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8109" codeName="{00000000-0000-0000-0000-000000000000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ty-a-00-019/BULL_data/master_excel/"/>
    </mc:Choice>
  </mc:AlternateContent>
  <bookViews>
    <workbookView xWindow="3760" yWindow="1260" windowWidth="31580" windowHeight="20260" tabRatio="740" activeTab="5"/>
  </bookViews>
  <sheets>
    <sheet name="output" sheetId="16" r:id="rId1"/>
    <sheet name="floors" sheetId="2" r:id="rId2"/>
    <sheet name="enemy_habitats" sheetId="1" r:id="rId3"/>
    <sheet name="enemy_habitat_S" sheetId="7" r:id="rId4"/>
    <sheet name="enemy_skill_sets" sheetId="9" r:id="rId5"/>
    <sheet name="enemy_skills" sheetId="10" r:id="rId6"/>
    <sheet name="enemy_skill_triggers" sheetId="11" r:id="rId7"/>
    <sheet name="bugbonuses" sheetId="18" r:id="rId8"/>
    <sheet name="stage_hints_complete" sheetId="19" r:id="rId9"/>
    <sheet name="stage_hints_failure" sheetId="21" r:id="rId10"/>
    <sheet name="stage_bonuses" sheetId="22" r:id="rId11"/>
  </sheets>
  <externalReferences>
    <externalReference r:id="rId12"/>
    <externalReference r:id="rId13"/>
    <externalReference r:id="rId14"/>
    <externalReference r:id="rId15"/>
    <externalReference r:id="rId16"/>
  </externalReferences>
  <definedNames>
    <definedName name="_xlnm._FilterDatabase" localSheetId="3" hidden="1">enemy_habitat_S!$B$1:$AA$2</definedName>
    <definedName name="_xlnm._FilterDatabase" localSheetId="2" hidden="1">enemy_habitats!$B$1:$AJ$2</definedName>
    <definedName name="_xlnm._FilterDatabase" localSheetId="4" hidden="1">enemy_skill_sets!$A$1:$R$1</definedName>
    <definedName name="_xlnm._FilterDatabase" localSheetId="6" hidden="1">enemy_skill_triggers!$A$1:$N$59</definedName>
    <definedName name="_xlnm._FilterDatabase" localSheetId="5" hidden="1">enemy_skills!$A$1:$AB$1</definedName>
    <definedName name="_xlnm._FilterDatabase" localSheetId="10" hidden="1">stage_bonuses!$B$1:$I$1</definedName>
    <definedName name="_xlnm._FilterDatabase" localSheetId="8" hidden="1">stage_hints_complete!$B$1:$L$1</definedName>
    <definedName name="_xlnm._FilterDatabase" localSheetId="9" hidden="1">stage_hints_failure!$B$1:$M$2</definedName>
    <definedName name="Excel_BuiltIn__FilterDatabase_6_1" localSheetId="4">[1]unit_skills!#REF!</definedName>
    <definedName name="Excel_BuiltIn__FilterDatabase_6_1" localSheetId="6">[1]unit_skills!#REF!</definedName>
  </definedNames>
  <calcPr calcId="150001" calcMode="manual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  <ext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C11" i="10" l="1"/>
  <c r="AC10" i="10"/>
  <c r="AC2" i="10"/>
  <c r="B20" i="10"/>
  <c r="N3" i="22"/>
  <c r="G3" i="22"/>
  <c r="F3" i="22"/>
  <c r="D3" i="22"/>
  <c r="C3" i="22"/>
  <c r="A3" i="22"/>
  <c r="E25" i="9"/>
  <c r="A6" i="22"/>
  <c r="C6" i="22"/>
  <c r="D6" i="22"/>
  <c r="F6" i="22"/>
  <c r="G6" i="22"/>
  <c r="N6" i="22"/>
  <c r="N5" i="22"/>
  <c r="G5" i="22"/>
  <c r="F5" i="22"/>
  <c r="D5" i="22"/>
  <c r="C5" i="22"/>
  <c r="A5" i="22"/>
  <c r="C3" i="18"/>
  <c r="D3" i="18"/>
  <c r="C4" i="18"/>
  <c r="D4" i="18"/>
  <c r="B3" i="10"/>
  <c r="B4" i="10"/>
  <c r="B5" i="10"/>
  <c r="B6" i="10"/>
  <c r="B7" i="10"/>
  <c r="B8" i="10"/>
  <c r="B9" i="10"/>
  <c r="B10" i="10"/>
  <c r="B11" i="10"/>
  <c r="B12" i="10"/>
  <c r="B13" i="10"/>
  <c r="B14" i="10"/>
  <c r="B15" i="10"/>
  <c r="B16" i="10"/>
  <c r="B17" i="10"/>
  <c r="B18" i="10"/>
  <c r="B19" i="10"/>
  <c r="B21" i="10"/>
  <c r="B22" i="10"/>
  <c r="B23" i="10"/>
  <c r="B24" i="10"/>
  <c r="B25" i="10"/>
  <c r="B26" i="10"/>
  <c r="B27" i="10"/>
  <c r="B28" i="10"/>
  <c r="B29" i="10"/>
  <c r="B30" i="10"/>
  <c r="B31" i="10"/>
  <c r="B32" i="10"/>
  <c r="B33" i="10"/>
  <c r="B34" i="10"/>
  <c r="B35" i="10"/>
  <c r="B36" i="10"/>
  <c r="B37" i="10"/>
  <c r="B38" i="10"/>
  <c r="B2" i="10"/>
  <c r="E43" i="9"/>
  <c r="E46" i="9"/>
  <c r="R52" i="9"/>
  <c r="J125" i="11"/>
  <c r="O52" i="9"/>
  <c r="N52" i="9"/>
  <c r="M52" i="9"/>
  <c r="L52" i="9"/>
  <c r="K52" i="9"/>
  <c r="J52" i="9"/>
  <c r="I52" i="9"/>
  <c r="H52" i="9"/>
  <c r="G52" i="9"/>
  <c r="E52" i="9"/>
  <c r="D52" i="9"/>
  <c r="A52" i="9"/>
  <c r="R51" i="9"/>
  <c r="J124" i="11"/>
  <c r="O51" i="9"/>
  <c r="N51" i="9"/>
  <c r="M51" i="9"/>
  <c r="L51" i="9"/>
  <c r="K51" i="9"/>
  <c r="J51" i="9"/>
  <c r="I51" i="9"/>
  <c r="H51" i="9"/>
  <c r="G51" i="9"/>
  <c r="E51" i="9"/>
  <c r="D51" i="9"/>
  <c r="A51" i="9"/>
  <c r="R50" i="9"/>
  <c r="J123" i="11"/>
  <c r="O50" i="9"/>
  <c r="N50" i="9"/>
  <c r="M50" i="9"/>
  <c r="L50" i="9"/>
  <c r="K50" i="9"/>
  <c r="J50" i="9"/>
  <c r="I50" i="9"/>
  <c r="H50" i="9"/>
  <c r="G50" i="9"/>
  <c r="E50" i="9"/>
  <c r="D50" i="9"/>
  <c r="A50" i="9"/>
  <c r="R49" i="9"/>
  <c r="J122" i="11"/>
  <c r="O49" i="9"/>
  <c r="N49" i="9"/>
  <c r="M49" i="9"/>
  <c r="L49" i="9"/>
  <c r="K49" i="9"/>
  <c r="J49" i="9"/>
  <c r="I49" i="9"/>
  <c r="H49" i="9"/>
  <c r="G49" i="9"/>
  <c r="E49" i="9"/>
  <c r="D49" i="9"/>
  <c r="A49" i="9"/>
  <c r="R48" i="9"/>
  <c r="J121" i="11"/>
  <c r="O48" i="9"/>
  <c r="N48" i="9"/>
  <c r="M48" i="9"/>
  <c r="L48" i="9"/>
  <c r="K48" i="9"/>
  <c r="J48" i="9"/>
  <c r="I48" i="9"/>
  <c r="H48" i="9"/>
  <c r="G48" i="9"/>
  <c r="E48" i="9"/>
  <c r="D48" i="9"/>
  <c r="A48" i="9"/>
  <c r="R47" i="9"/>
  <c r="J120" i="11"/>
  <c r="O47" i="9"/>
  <c r="N47" i="9"/>
  <c r="M47" i="9"/>
  <c r="L47" i="9"/>
  <c r="K47" i="9"/>
  <c r="J47" i="9"/>
  <c r="I47" i="9"/>
  <c r="H47" i="9"/>
  <c r="G47" i="9"/>
  <c r="E47" i="9"/>
  <c r="D47" i="9"/>
  <c r="A47" i="9"/>
  <c r="R46" i="9"/>
  <c r="J119" i="11"/>
  <c r="O46" i="9"/>
  <c r="N46" i="9"/>
  <c r="M46" i="9"/>
  <c r="L46" i="9"/>
  <c r="K46" i="9"/>
  <c r="J46" i="9"/>
  <c r="I46" i="9"/>
  <c r="H46" i="9"/>
  <c r="G46" i="9"/>
  <c r="D46" i="9"/>
  <c r="A46" i="9"/>
  <c r="J19" i="11"/>
  <c r="J18" i="11"/>
  <c r="J17" i="11"/>
  <c r="J27" i="11"/>
  <c r="J26" i="11"/>
  <c r="L208" i="11"/>
  <c r="J208" i="11"/>
  <c r="L207" i="11"/>
  <c r="J207" i="11"/>
  <c r="L206" i="11"/>
  <c r="J206" i="11"/>
  <c r="L205" i="11"/>
  <c r="J205" i="11"/>
  <c r="L204" i="11"/>
  <c r="J204" i="11"/>
  <c r="L203" i="11"/>
  <c r="J203" i="11"/>
  <c r="L202" i="11"/>
  <c r="J202" i="11"/>
  <c r="L201" i="11"/>
  <c r="J201" i="11"/>
  <c r="L200" i="11"/>
  <c r="J200" i="11"/>
  <c r="L199" i="11"/>
  <c r="J199" i="11"/>
  <c r="L198" i="11"/>
  <c r="J198" i="11"/>
  <c r="L197" i="11"/>
  <c r="J197" i="11"/>
  <c r="L196" i="11"/>
  <c r="J196" i="11"/>
  <c r="L195" i="11"/>
  <c r="J195" i="11"/>
  <c r="L194" i="11"/>
  <c r="J194" i="11"/>
  <c r="L193" i="11"/>
  <c r="J193" i="11"/>
  <c r="L192" i="11"/>
  <c r="J192" i="11"/>
  <c r="L191" i="11"/>
  <c r="J191" i="11"/>
  <c r="L190" i="11"/>
  <c r="J190" i="11"/>
  <c r="L189" i="11"/>
  <c r="J189" i="11"/>
  <c r="L188" i="11"/>
  <c r="J188" i="11"/>
  <c r="L187" i="11"/>
  <c r="J187" i="11"/>
  <c r="L186" i="11"/>
  <c r="J186" i="11"/>
  <c r="L185" i="11"/>
  <c r="J185" i="11"/>
  <c r="L184" i="11"/>
  <c r="J184" i="11"/>
  <c r="L183" i="11"/>
  <c r="J183" i="11"/>
  <c r="L182" i="11"/>
  <c r="J182" i="11"/>
  <c r="L181" i="11"/>
  <c r="J181" i="11"/>
  <c r="L180" i="11"/>
  <c r="J180" i="11"/>
  <c r="L179" i="11"/>
  <c r="J179" i="11"/>
  <c r="L178" i="11"/>
  <c r="J178" i="11"/>
  <c r="L177" i="11"/>
  <c r="J177" i="11"/>
  <c r="L176" i="11"/>
  <c r="J176" i="11"/>
  <c r="L175" i="11"/>
  <c r="J175" i="11"/>
  <c r="L174" i="11"/>
  <c r="J174" i="11"/>
  <c r="L173" i="11"/>
  <c r="J173" i="11"/>
  <c r="L172" i="11"/>
  <c r="J172" i="11"/>
  <c r="L171" i="11"/>
  <c r="J171" i="11"/>
  <c r="L170" i="11"/>
  <c r="J170" i="11"/>
  <c r="L169" i="11"/>
  <c r="J169" i="11"/>
  <c r="L168" i="11"/>
  <c r="J168" i="11"/>
  <c r="L167" i="11"/>
  <c r="J167" i="11"/>
  <c r="L166" i="11"/>
  <c r="J166" i="11"/>
  <c r="L165" i="11"/>
  <c r="J165" i="11"/>
  <c r="L164" i="11"/>
  <c r="J164" i="11"/>
  <c r="L120" i="11"/>
  <c r="L121" i="11"/>
  <c r="L122" i="11"/>
  <c r="L123" i="11"/>
  <c r="L124" i="11"/>
  <c r="L125" i="11"/>
  <c r="L126" i="11"/>
  <c r="L127" i="11"/>
  <c r="L128" i="11"/>
  <c r="L129" i="11"/>
  <c r="L130" i="11"/>
  <c r="L131" i="11"/>
  <c r="L132" i="11"/>
  <c r="L133" i="11"/>
  <c r="L134" i="11"/>
  <c r="L135" i="11"/>
  <c r="L136" i="11"/>
  <c r="L137" i="11"/>
  <c r="L138" i="11"/>
  <c r="L139" i="11"/>
  <c r="L140" i="11"/>
  <c r="L141" i="11"/>
  <c r="L142" i="11"/>
  <c r="L143" i="11"/>
  <c r="L144" i="11"/>
  <c r="L145" i="11"/>
  <c r="L146" i="11"/>
  <c r="L147" i="11"/>
  <c r="L148" i="11"/>
  <c r="L149" i="11"/>
  <c r="L150" i="11"/>
  <c r="L151" i="11"/>
  <c r="L152" i="11"/>
  <c r="L153" i="11"/>
  <c r="L154" i="11"/>
  <c r="L155" i="11"/>
  <c r="L156" i="11"/>
  <c r="L157" i="11"/>
  <c r="L158" i="11"/>
  <c r="L159" i="11"/>
  <c r="L160" i="11"/>
  <c r="L161" i="11"/>
  <c r="L162" i="11"/>
  <c r="L163" i="11"/>
  <c r="L119" i="11"/>
  <c r="J163" i="11"/>
  <c r="J162" i="11"/>
  <c r="J161" i="11"/>
  <c r="J160" i="11"/>
  <c r="J159" i="11"/>
  <c r="J158" i="11"/>
  <c r="J157" i="11"/>
  <c r="J156" i="11"/>
  <c r="J155" i="11"/>
  <c r="J154" i="11"/>
  <c r="J153" i="11"/>
  <c r="J152" i="11"/>
  <c r="J151" i="11"/>
  <c r="J150" i="11"/>
  <c r="J149" i="11"/>
  <c r="J148" i="11"/>
  <c r="J147" i="11"/>
  <c r="J146" i="11"/>
  <c r="J145" i="11"/>
  <c r="J144" i="11"/>
  <c r="J143" i="11"/>
  <c r="J142" i="11"/>
  <c r="J141" i="11"/>
  <c r="J140" i="11"/>
  <c r="J139" i="11"/>
  <c r="J138" i="11"/>
  <c r="J137" i="11"/>
  <c r="J136" i="11"/>
  <c r="J135" i="11"/>
  <c r="J134" i="11"/>
  <c r="J126" i="11"/>
  <c r="J127" i="11"/>
  <c r="J128" i="11"/>
  <c r="J129" i="11"/>
  <c r="J130" i="11"/>
  <c r="J131" i="11"/>
  <c r="J132" i="11"/>
  <c r="J133" i="11"/>
  <c r="J22" i="11"/>
  <c r="J14" i="11"/>
  <c r="J21" i="11"/>
  <c r="J8" i="11"/>
  <c r="M24" i="10"/>
  <c r="T24" i="10"/>
  <c r="W24" i="10"/>
  <c r="V24" i="10"/>
  <c r="X24" i="10"/>
  <c r="U24" i="10"/>
  <c r="Y24" i="10"/>
  <c r="N24" i="10"/>
  <c r="Q24" i="10"/>
  <c r="P24" i="10"/>
  <c r="R24" i="10"/>
  <c r="O24" i="10"/>
  <c r="S24" i="10"/>
  <c r="G24" i="10"/>
  <c r="J24" i="10"/>
  <c r="I24" i="10"/>
  <c r="K24" i="10"/>
  <c r="H24" i="10"/>
  <c r="L24" i="10"/>
  <c r="M23" i="10"/>
  <c r="T23" i="10"/>
  <c r="W23" i="10"/>
  <c r="V23" i="10"/>
  <c r="X23" i="10"/>
  <c r="U23" i="10"/>
  <c r="Y23" i="10"/>
  <c r="N23" i="10"/>
  <c r="Q23" i="10"/>
  <c r="P23" i="10"/>
  <c r="R23" i="10"/>
  <c r="O23" i="10"/>
  <c r="S23" i="10"/>
  <c r="G23" i="10"/>
  <c r="J23" i="10"/>
  <c r="I23" i="10"/>
  <c r="K23" i="10"/>
  <c r="H23" i="10"/>
  <c r="L23" i="10"/>
  <c r="M22" i="10"/>
  <c r="T22" i="10"/>
  <c r="W22" i="10"/>
  <c r="V22" i="10"/>
  <c r="X22" i="10"/>
  <c r="U22" i="10"/>
  <c r="Y22" i="10"/>
  <c r="N22" i="10"/>
  <c r="Q22" i="10"/>
  <c r="P22" i="10"/>
  <c r="R22" i="10"/>
  <c r="O22" i="10"/>
  <c r="S22" i="10"/>
  <c r="G22" i="10"/>
  <c r="J22" i="10"/>
  <c r="I22" i="10"/>
  <c r="K22" i="10"/>
  <c r="H22" i="10"/>
  <c r="L22" i="10"/>
  <c r="M26" i="10"/>
  <c r="T26" i="10"/>
  <c r="W26" i="10"/>
  <c r="V26" i="10"/>
  <c r="X26" i="10"/>
  <c r="U26" i="10"/>
  <c r="Y26" i="10"/>
  <c r="N26" i="10"/>
  <c r="Q26" i="10"/>
  <c r="P26" i="10"/>
  <c r="R26" i="10"/>
  <c r="O26" i="10"/>
  <c r="S26" i="10"/>
  <c r="G26" i="10"/>
  <c r="J26" i="10"/>
  <c r="I26" i="10"/>
  <c r="K26" i="10"/>
  <c r="H26" i="10"/>
  <c r="L26" i="10"/>
  <c r="M25" i="10"/>
  <c r="T25" i="10"/>
  <c r="W25" i="10"/>
  <c r="V25" i="10"/>
  <c r="X25" i="10"/>
  <c r="U25" i="10"/>
  <c r="Y25" i="10"/>
  <c r="N25" i="10"/>
  <c r="Q25" i="10"/>
  <c r="P25" i="10"/>
  <c r="R25" i="10"/>
  <c r="O25" i="10"/>
  <c r="S25" i="10"/>
  <c r="G25" i="10"/>
  <c r="J25" i="10"/>
  <c r="I25" i="10"/>
  <c r="K25" i="10"/>
  <c r="H25" i="10"/>
  <c r="L25" i="10"/>
  <c r="M27" i="10"/>
  <c r="T27" i="10"/>
  <c r="W27" i="10"/>
  <c r="V27" i="10"/>
  <c r="X27" i="10"/>
  <c r="U27" i="10"/>
  <c r="Y27" i="10"/>
  <c r="N27" i="10"/>
  <c r="Q27" i="10"/>
  <c r="P27" i="10"/>
  <c r="R27" i="10"/>
  <c r="O27" i="10"/>
  <c r="S27" i="10"/>
  <c r="G27" i="10"/>
  <c r="J27" i="10"/>
  <c r="I27" i="10"/>
  <c r="K27" i="10"/>
  <c r="H27" i="10"/>
  <c r="L27" i="10"/>
  <c r="M41" i="10"/>
  <c r="T41" i="10"/>
  <c r="W41" i="10"/>
  <c r="V41" i="10"/>
  <c r="X41" i="10"/>
  <c r="U41" i="10"/>
  <c r="Y41" i="10"/>
  <c r="N41" i="10"/>
  <c r="Q41" i="10"/>
  <c r="P41" i="10"/>
  <c r="R41" i="10"/>
  <c r="O41" i="10"/>
  <c r="S41" i="10"/>
  <c r="G41" i="10"/>
  <c r="J41" i="10"/>
  <c r="I41" i="10"/>
  <c r="K41" i="10"/>
  <c r="H41" i="10"/>
  <c r="L41" i="10"/>
  <c r="M40" i="10"/>
  <c r="T40" i="10"/>
  <c r="W40" i="10"/>
  <c r="V40" i="10"/>
  <c r="X40" i="10"/>
  <c r="U40" i="10"/>
  <c r="Y40" i="10"/>
  <c r="N40" i="10"/>
  <c r="Q40" i="10"/>
  <c r="P40" i="10"/>
  <c r="R40" i="10"/>
  <c r="O40" i="10"/>
  <c r="S40" i="10"/>
  <c r="G40" i="10"/>
  <c r="J40" i="10"/>
  <c r="I40" i="10"/>
  <c r="K40" i="10"/>
  <c r="H40" i="10"/>
  <c r="L40" i="10"/>
  <c r="M39" i="10"/>
  <c r="T39" i="10"/>
  <c r="W39" i="10"/>
  <c r="V39" i="10"/>
  <c r="X39" i="10"/>
  <c r="U39" i="10"/>
  <c r="Y39" i="10"/>
  <c r="M46" i="10"/>
  <c r="N46" i="10"/>
  <c r="Q46" i="10"/>
  <c r="P46" i="10"/>
  <c r="R46" i="10"/>
  <c r="O46" i="10"/>
  <c r="S46" i="10"/>
  <c r="N39" i="10"/>
  <c r="Q39" i="10"/>
  <c r="P39" i="10"/>
  <c r="R39" i="10"/>
  <c r="O39" i="10"/>
  <c r="S39" i="10"/>
  <c r="G39" i="10"/>
  <c r="J39" i="10"/>
  <c r="I39" i="10"/>
  <c r="K39" i="10"/>
  <c r="H39" i="10"/>
  <c r="L39" i="10"/>
  <c r="M43" i="10"/>
  <c r="T43" i="10"/>
  <c r="W43" i="10"/>
  <c r="V43" i="10"/>
  <c r="X43" i="10"/>
  <c r="U43" i="10"/>
  <c r="Y43" i="10"/>
  <c r="N43" i="10"/>
  <c r="Q43" i="10"/>
  <c r="P43" i="10"/>
  <c r="R43" i="10"/>
  <c r="O43" i="10"/>
  <c r="S43" i="10"/>
  <c r="G43" i="10"/>
  <c r="J43" i="10"/>
  <c r="I43" i="10"/>
  <c r="K43" i="10"/>
  <c r="H43" i="10"/>
  <c r="L43" i="10"/>
  <c r="M42" i="10"/>
  <c r="T42" i="10"/>
  <c r="W42" i="10"/>
  <c r="V42" i="10"/>
  <c r="X42" i="10"/>
  <c r="U42" i="10"/>
  <c r="Y42" i="10"/>
  <c r="N42" i="10"/>
  <c r="Q42" i="10"/>
  <c r="P42" i="10"/>
  <c r="R42" i="10"/>
  <c r="O42" i="10"/>
  <c r="S42" i="10"/>
  <c r="G42" i="10"/>
  <c r="J42" i="10"/>
  <c r="I42" i="10"/>
  <c r="K42" i="10"/>
  <c r="H42" i="10"/>
  <c r="L42" i="10"/>
  <c r="M44" i="10"/>
  <c r="T44" i="10"/>
  <c r="W44" i="10"/>
  <c r="V44" i="10"/>
  <c r="X44" i="10"/>
  <c r="U44" i="10"/>
  <c r="Y44" i="10"/>
  <c r="N44" i="10"/>
  <c r="Q44" i="10"/>
  <c r="P44" i="10"/>
  <c r="R44" i="10"/>
  <c r="O44" i="10"/>
  <c r="S44" i="10"/>
  <c r="G44" i="10"/>
  <c r="J44" i="10"/>
  <c r="I44" i="10"/>
  <c r="K44" i="10"/>
  <c r="H44" i="10"/>
  <c r="L44" i="10"/>
  <c r="J29" i="11"/>
  <c r="J30" i="11"/>
  <c r="J31" i="11"/>
  <c r="J32" i="11"/>
  <c r="J33" i="11"/>
  <c r="J60" i="11"/>
  <c r="J34" i="11"/>
  <c r="J61" i="11"/>
  <c r="J35" i="11"/>
  <c r="J62" i="11"/>
  <c r="J36" i="11"/>
  <c r="J37" i="11"/>
  <c r="J38" i="11"/>
  <c r="J39" i="11"/>
  <c r="J40" i="11"/>
  <c r="J41" i="11"/>
  <c r="J42" i="11"/>
  <c r="J43" i="11"/>
  <c r="J44" i="11"/>
  <c r="J45" i="11"/>
  <c r="J46" i="11"/>
  <c r="J63" i="11"/>
  <c r="J47" i="11"/>
  <c r="J64" i="11"/>
  <c r="J48" i="11"/>
  <c r="J49" i="11"/>
  <c r="J50" i="11"/>
  <c r="J51" i="11"/>
  <c r="J52" i="11"/>
  <c r="J53" i="11"/>
  <c r="J54" i="11"/>
  <c r="J55" i="11"/>
  <c r="J56" i="11"/>
  <c r="J65" i="11"/>
  <c r="J57" i="11"/>
  <c r="J66" i="11"/>
  <c r="J58" i="11"/>
  <c r="J67" i="11"/>
  <c r="J59" i="11"/>
  <c r="A61" i="9"/>
  <c r="D61" i="9"/>
  <c r="E61" i="9"/>
  <c r="G61" i="9"/>
  <c r="H61" i="9"/>
  <c r="I61" i="9"/>
  <c r="J61" i="9"/>
  <c r="K61" i="9"/>
  <c r="L61" i="9"/>
  <c r="M61" i="9"/>
  <c r="N61" i="9"/>
  <c r="J68" i="11"/>
  <c r="O61" i="9"/>
  <c r="R61" i="9"/>
  <c r="A62" i="9"/>
  <c r="D62" i="9"/>
  <c r="E62" i="9"/>
  <c r="G62" i="9"/>
  <c r="H62" i="9"/>
  <c r="I62" i="9"/>
  <c r="J62" i="9"/>
  <c r="K62" i="9"/>
  <c r="L62" i="9"/>
  <c r="M62" i="9"/>
  <c r="N62" i="9"/>
  <c r="J69" i="11"/>
  <c r="O62" i="9"/>
  <c r="R62" i="9"/>
  <c r="A63" i="9"/>
  <c r="D63" i="9"/>
  <c r="E63" i="9"/>
  <c r="G63" i="9"/>
  <c r="H63" i="9"/>
  <c r="I63" i="9"/>
  <c r="J63" i="9"/>
  <c r="K63" i="9"/>
  <c r="L63" i="9"/>
  <c r="M63" i="9"/>
  <c r="N63" i="9"/>
  <c r="J70" i="11"/>
  <c r="O63" i="9"/>
  <c r="R63" i="9"/>
  <c r="A64" i="9"/>
  <c r="D64" i="9"/>
  <c r="E64" i="9"/>
  <c r="G64" i="9"/>
  <c r="H64" i="9"/>
  <c r="I64" i="9"/>
  <c r="J64" i="9"/>
  <c r="K64" i="9"/>
  <c r="L64" i="9"/>
  <c r="M64" i="9"/>
  <c r="N64" i="9"/>
  <c r="J71" i="11"/>
  <c r="O64" i="9"/>
  <c r="R64" i="9"/>
  <c r="A65" i="9"/>
  <c r="D65" i="9"/>
  <c r="E65" i="9"/>
  <c r="G65" i="9"/>
  <c r="H65" i="9"/>
  <c r="I65" i="9"/>
  <c r="J65" i="9"/>
  <c r="K65" i="9"/>
  <c r="L65" i="9"/>
  <c r="M65" i="9"/>
  <c r="N65" i="9"/>
  <c r="J72" i="11"/>
  <c r="O65" i="9"/>
  <c r="R65" i="9"/>
  <c r="A66" i="9"/>
  <c r="D66" i="9"/>
  <c r="E66" i="9"/>
  <c r="G66" i="9"/>
  <c r="H66" i="9"/>
  <c r="I66" i="9"/>
  <c r="J66" i="9"/>
  <c r="K66" i="9"/>
  <c r="L66" i="9"/>
  <c r="M66" i="9"/>
  <c r="N66" i="9"/>
  <c r="J73" i="11"/>
  <c r="O66" i="9"/>
  <c r="R66" i="9"/>
  <c r="A67" i="9"/>
  <c r="D67" i="9"/>
  <c r="E67" i="9"/>
  <c r="G67" i="9"/>
  <c r="H67" i="9"/>
  <c r="I67" i="9"/>
  <c r="J67" i="9"/>
  <c r="K67" i="9"/>
  <c r="L67" i="9"/>
  <c r="M67" i="9"/>
  <c r="N67" i="9"/>
  <c r="J74" i="11"/>
  <c r="O67" i="9"/>
  <c r="R67" i="9"/>
  <c r="A68" i="9"/>
  <c r="D68" i="9"/>
  <c r="E68" i="9"/>
  <c r="G68" i="9"/>
  <c r="H68" i="9"/>
  <c r="I68" i="9"/>
  <c r="J68" i="9"/>
  <c r="K68" i="9"/>
  <c r="L68" i="9"/>
  <c r="M68" i="9"/>
  <c r="N68" i="9"/>
  <c r="O68" i="9"/>
  <c r="R68" i="9"/>
  <c r="A69" i="9"/>
  <c r="D69" i="9"/>
  <c r="E69" i="9"/>
  <c r="G69" i="9"/>
  <c r="H69" i="9"/>
  <c r="I69" i="9"/>
  <c r="J69" i="9"/>
  <c r="K69" i="9"/>
  <c r="L69" i="9"/>
  <c r="M69" i="9"/>
  <c r="N69" i="9"/>
  <c r="O69" i="9"/>
  <c r="R69" i="9"/>
  <c r="A70" i="9"/>
  <c r="D70" i="9"/>
  <c r="E70" i="9"/>
  <c r="G70" i="9"/>
  <c r="H70" i="9"/>
  <c r="I70" i="9"/>
  <c r="J70" i="9"/>
  <c r="K70" i="9"/>
  <c r="L70" i="9"/>
  <c r="M70" i="9"/>
  <c r="N70" i="9"/>
  <c r="O70" i="9"/>
  <c r="R70" i="9"/>
  <c r="A71" i="9"/>
  <c r="D71" i="9"/>
  <c r="E71" i="9"/>
  <c r="G71" i="9"/>
  <c r="H71" i="9"/>
  <c r="I71" i="9"/>
  <c r="J71" i="9"/>
  <c r="K71" i="9"/>
  <c r="L71" i="9"/>
  <c r="M71" i="9"/>
  <c r="N71" i="9"/>
  <c r="O71" i="9"/>
  <c r="R71" i="9"/>
  <c r="A72" i="9"/>
  <c r="D72" i="9"/>
  <c r="E72" i="9"/>
  <c r="G72" i="9"/>
  <c r="H72" i="9"/>
  <c r="I72" i="9"/>
  <c r="J72" i="9"/>
  <c r="K72" i="9"/>
  <c r="L72" i="9"/>
  <c r="M72" i="9"/>
  <c r="N72" i="9"/>
  <c r="O72" i="9"/>
  <c r="R72" i="9"/>
  <c r="A73" i="9"/>
  <c r="D73" i="9"/>
  <c r="E73" i="9"/>
  <c r="G73" i="9"/>
  <c r="H73" i="9"/>
  <c r="I73" i="9"/>
  <c r="J73" i="9"/>
  <c r="K73" i="9"/>
  <c r="L73" i="9"/>
  <c r="M73" i="9"/>
  <c r="N73" i="9"/>
  <c r="O73" i="9"/>
  <c r="R73" i="9"/>
  <c r="A74" i="9"/>
  <c r="D74" i="9"/>
  <c r="E74" i="9"/>
  <c r="G74" i="9"/>
  <c r="H74" i="9"/>
  <c r="I74" i="9"/>
  <c r="J74" i="9"/>
  <c r="K74" i="9"/>
  <c r="L74" i="9"/>
  <c r="M74" i="9"/>
  <c r="N74" i="9"/>
  <c r="O74" i="9"/>
  <c r="R74" i="9"/>
  <c r="A75" i="9"/>
  <c r="D75" i="9"/>
  <c r="E75" i="9"/>
  <c r="G75" i="9"/>
  <c r="H75" i="9"/>
  <c r="I75" i="9"/>
  <c r="J75" i="9"/>
  <c r="K75" i="9"/>
  <c r="L75" i="9"/>
  <c r="M75" i="9"/>
  <c r="N75" i="9"/>
  <c r="O75" i="9"/>
  <c r="R75" i="9"/>
  <c r="J116" i="11"/>
  <c r="J20" i="11"/>
  <c r="J25" i="11"/>
  <c r="J24" i="11"/>
  <c r="J23" i="11"/>
  <c r="J16" i="11"/>
  <c r="J15" i="11"/>
  <c r="J13" i="11"/>
  <c r="J12" i="11"/>
  <c r="J11" i="11"/>
  <c r="J10" i="11"/>
  <c r="J9" i="11"/>
  <c r="J7" i="11"/>
  <c r="J6" i="11"/>
  <c r="J5" i="11"/>
  <c r="J4" i="11"/>
  <c r="J3" i="11"/>
  <c r="J2" i="11"/>
  <c r="R58" i="9"/>
  <c r="O58" i="9"/>
  <c r="N58" i="9"/>
  <c r="M58" i="9"/>
  <c r="L58" i="9"/>
  <c r="K58" i="9"/>
  <c r="J58" i="9"/>
  <c r="I58" i="9"/>
  <c r="H58" i="9"/>
  <c r="G58" i="9"/>
  <c r="E58" i="9"/>
  <c r="D58" i="9"/>
  <c r="A58" i="9"/>
  <c r="R57" i="9"/>
  <c r="O57" i="9"/>
  <c r="N57" i="9"/>
  <c r="M57" i="9"/>
  <c r="L57" i="9"/>
  <c r="K57" i="9"/>
  <c r="J57" i="9"/>
  <c r="I57" i="9"/>
  <c r="H57" i="9"/>
  <c r="G57" i="9"/>
  <c r="E57" i="9"/>
  <c r="D57" i="9"/>
  <c r="A57" i="9"/>
  <c r="R56" i="9"/>
  <c r="O56" i="9"/>
  <c r="N56" i="9"/>
  <c r="M56" i="9"/>
  <c r="L56" i="9"/>
  <c r="K56" i="9"/>
  <c r="J56" i="9"/>
  <c r="I56" i="9"/>
  <c r="H56" i="9"/>
  <c r="G56" i="9"/>
  <c r="E56" i="9"/>
  <c r="D56" i="9"/>
  <c r="A56" i="9"/>
  <c r="R55" i="9"/>
  <c r="O55" i="9"/>
  <c r="N55" i="9"/>
  <c r="M55" i="9"/>
  <c r="L55" i="9"/>
  <c r="K55" i="9"/>
  <c r="J55" i="9"/>
  <c r="I55" i="9"/>
  <c r="H55" i="9"/>
  <c r="G55" i="9"/>
  <c r="E55" i="9"/>
  <c r="D55" i="9"/>
  <c r="A55" i="9"/>
  <c r="R54" i="9"/>
  <c r="O54" i="9"/>
  <c r="N54" i="9"/>
  <c r="M54" i="9"/>
  <c r="L54" i="9"/>
  <c r="K54" i="9"/>
  <c r="J54" i="9"/>
  <c r="I54" i="9"/>
  <c r="H54" i="9"/>
  <c r="G54" i="9"/>
  <c r="E54" i="9"/>
  <c r="D54" i="9"/>
  <c r="A54" i="9"/>
  <c r="R53" i="9"/>
  <c r="O53" i="9"/>
  <c r="N53" i="9"/>
  <c r="M53" i="9"/>
  <c r="L53" i="9"/>
  <c r="K53" i="9"/>
  <c r="J53" i="9"/>
  <c r="I53" i="9"/>
  <c r="H53" i="9"/>
  <c r="G53" i="9"/>
  <c r="E53" i="9"/>
  <c r="D53" i="9"/>
  <c r="A53" i="9"/>
  <c r="R60" i="9"/>
  <c r="O60" i="9"/>
  <c r="N60" i="9"/>
  <c r="M60" i="9"/>
  <c r="L60" i="9"/>
  <c r="K60" i="9"/>
  <c r="J60" i="9"/>
  <c r="I60" i="9"/>
  <c r="H60" i="9"/>
  <c r="G60" i="9"/>
  <c r="E60" i="9"/>
  <c r="D60" i="9"/>
  <c r="A60" i="9"/>
  <c r="R59" i="9"/>
  <c r="O59" i="9"/>
  <c r="N59" i="9"/>
  <c r="M59" i="9"/>
  <c r="L59" i="9"/>
  <c r="K59" i="9"/>
  <c r="J59" i="9"/>
  <c r="I59" i="9"/>
  <c r="H59" i="9"/>
  <c r="G59" i="9"/>
  <c r="E59" i="9"/>
  <c r="D59" i="9"/>
  <c r="A59" i="9"/>
  <c r="O45" i="9"/>
  <c r="N45" i="9"/>
  <c r="M45" i="9"/>
  <c r="L45" i="9"/>
  <c r="K45" i="9"/>
  <c r="J45" i="9"/>
  <c r="I45" i="9"/>
  <c r="H45" i="9"/>
  <c r="G45" i="9"/>
  <c r="E45" i="9"/>
  <c r="D45" i="9"/>
  <c r="A45" i="9"/>
  <c r="J28" i="11"/>
  <c r="J97" i="11"/>
  <c r="O26" i="9"/>
  <c r="N26" i="9"/>
  <c r="M26" i="9"/>
  <c r="L26" i="9"/>
  <c r="K26" i="9"/>
  <c r="J26" i="9"/>
  <c r="I26" i="9"/>
  <c r="H26" i="9"/>
  <c r="G26" i="9"/>
  <c r="E26" i="9"/>
  <c r="D26" i="9"/>
  <c r="A26" i="9"/>
  <c r="T46" i="10"/>
  <c r="W46" i="10"/>
  <c r="V46" i="10"/>
  <c r="X46" i="10"/>
  <c r="U46" i="10"/>
  <c r="Y46" i="10"/>
  <c r="G46" i="10"/>
  <c r="J46" i="10"/>
  <c r="I46" i="10"/>
  <c r="K46" i="10"/>
  <c r="H46" i="10"/>
  <c r="L46" i="10"/>
  <c r="M35" i="10"/>
  <c r="T35" i="10"/>
  <c r="W35" i="10"/>
  <c r="V35" i="10"/>
  <c r="X35" i="10"/>
  <c r="U35" i="10"/>
  <c r="Y35" i="10"/>
  <c r="N35" i="10"/>
  <c r="Q35" i="10"/>
  <c r="P35" i="10"/>
  <c r="R35" i="10"/>
  <c r="O35" i="10"/>
  <c r="S35" i="10"/>
  <c r="G35" i="10"/>
  <c r="J35" i="10"/>
  <c r="I35" i="10"/>
  <c r="K35" i="10"/>
  <c r="H35" i="10"/>
  <c r="L35" i="10"/>
  <c r="M29" i="10"/>
  <c r="T29" i="10"/>
  <c r="W29" i="10"/>
  <c r="V29" i="10"/>
  <c r="X29" i="10"/>
  <c r="U29" i="10"/>
  <c r="Y29" i="10"/>
  <c r="N29" i="10"/>
  <c r="Q29" i="10"/>
  <c r="P29" i="10"/>
  <c r="R29" i="10"/>
  <c r="O29" i="10"/>
  <c r="S29" i="10"/>
  <c r="G29" i="10"/>
  <c r="J29" i="10"/>
  <c r="I29" i="10"/>
  <c r="K29" i="10"/>
  <c r="H29" i="10"/>
  <c r="L29" i="10"/>
  <c r="AD11" i="1"/>
  <c r="AF11" i="1"/>
  <c r="AI11" i="1"/>
  <c r="AG11" i="1"/>
  <c r="AE11" i="1"/>
  <c r="X11" i="1"/>
  <c r="M11" i="1"/>
  <c r="V11" i="1"/>
  <c r="T11" i="1"/>
  <c r="Q11" i="1"/>
  <c r="P11" i="1"/>
  <c r="O11" i="1"/>
  <c r="N11" i="1"/>
  <c r="H11" i="1"/>
  <c r="G8" i="2"/>
  <c r="A8" i="2"/>
  <c r="G2" i="2"/>
  <c r="A2" i="2"/>
  <c r="G3" i="2"/>
  <c r="A3" i="2"/>
  <c r="G4" i="2"/>
  <c r="A4" i="2"/>
  <c r="G5" i="2"/>
  <c r="A5" i="2"/>
  <c r="G6" i="2"/>
  <c r="A6" i="2"/>
  <c r="G7" i="2"/>
  <c r="A7" i="2"/>
  <c r="J11" i="1"/>
  <c r="I11" i="1"/>
  <c r="D11" i="1"/>
  <c r="F11" i="1"/>
  <c r="E11" i="1"/>
  <c r="A11" i="1"/>
  <c r="H8" i="2"/>
  <c r="E8" i="2"/>
  <c r="D8" i="2"/>
  <c r="H2" i="1"/>
  <c r="H3" i="1"/>
  <c r="H4" i="1"/>
  <c r="H5" i="1"/>
  <c r="H6" i="1"/>
  <c r="H7" i="1"/>
  <c r="H8" i="1"/>
  <c r="H9" i="1"/>
  <c r="H10" i="1"/>
  <c r="B8" i="2"/>
  <c r="J117" i="11"/>
  <c r="O25" i="9"/>
  <c r="N25" i="9"/>
  <c r="M25" i="9"/>
  <c r="L25" i="9"/>
  <c r="K25" i="9"/>
  <c r="J25" i="9"/>
  <c r="I25" i="9"/>
  <c r="H25" i="9"/>
  <c r="G25" i="9"/>
  <c r="D25" i="9"/>
  <c r="A25" i="9"/>
  <c r="J118" i="11"/>
  <c r="O24" i="9"/>
  <c r="N24" i="9"/>
  <c r="M24" i="9"/>
  <c r="L24" i="9"/>
  <c r="K24" i="9"/>
  <c r="J24" i="9"/>
  <c r="I24" i="9"/>
  <c r="H24" i="9"/>
  <c r="G24" i="9"/>
  <c r="E24" i="9"/>
  <c r="D24" i="9"/>
  <c r="A24" i="9"/>
  <c r="M21" i="10"/>
  <c r="T21" i="10"/>
  <c r="W21" i="10"/>
  <c r="V21" i="10"/>
  <c r="X21" i="10"/>
  <c r="U21" i="10"/>
  <c r="Y21" i="10"/>
  <c r="N21" i="10"/>
  <c r="Q21" i="10"/>
  <c r="P21" i="10"/>
  <c r="R21" i="10"/>
  <c r="O21" i="10"/>
  <c r="S21" i="10"/>
  <c r="G21" i="10"/>
  <c r="J21" i="10"/>
  <c r="I21" i="10"/>
  <c r="K21" i="10"/>
  <c r="H21" i="10"/>
  <c r="L21" i="10"/>
  <c r="M20" i="10"/>
  <c r="T20" i="10"/>
  <c r="W20" i="10"/>
  <c r="V20" i="10"/>
  <c r="X20" i="10"/>
  <c r="U20" i="10"/>
  <c r="Y20" i="10"/>
  <c r="N20" i="10"/>
  <c r="Q20" i="10"/>
  <c r="P20" i="10"/>
  <c r="R20" i="10"/>
  <c r="O20" i="10"/>
  <c r="S20" i="10"/>
  <c r="G20" i="10"/>
  <c r="J20" i="10"/>
  <c r="I20" i="10"/>
  <c r="K20" i="10"/>
  <c r="H20" i="10"/>
  <c r="L20" i="10"/>
  <c r="M45" i="10"/>
  <c r="T45" i="10"/>
  <c r="W45" i="10"/>
  <c r="V45" i="10"/>
  <c r="X45" i="10"/>
  <c r="U45" i="10"/>
  <c r="Y45" i="10"/>
  <c r="N45" i="10"/>
  <c r="Q45" i="10"/>
  <c r="P45" i="10"/>
  <c r="R45" i="10"/>
  <c r="O45" i="10"/>
  <c r="S45" i="10"/>
  <c r="G45" i="10"/>
  <c r="J45" i="10"/>
  <c r="I45" i="10"/>
  <c r="K45" i="10"/>
  <c r="H45" i="10"/>
  <c r="L45" i="10"/>
  <c r="J115" i="11"/>
  <c r="O44" i="9"/>
  <c r="N44" i="9"/>
  <c r="M44" i="9"/>
  <c r="L44" i="9"/>
  <c r="K44" i="9"/>
  <c r="J44" i="9"/>
  <c r="I44" i="9"/>
  <c r="H44" i="9"/>
  <c r="G44" i="9"/>
  <c r="E44" i="9"/>
  <c r="D44" i="9"/>
  <c r="A44" i="9"/>
  <c r="C10" i="21"/>
  <c r="D10" i="21"/>
  <c r="F10" i="21"/>
  <c r="G10" i="21"/>
  <c r="I10" i="21"/>
  <c r="O10" i="21"/>
  <c r="C11" i="21"/>
  <c r="D11" i="21"/>
  <c r="F11" i="21"/>
  <c r="G11" i="21"/>
  <c r="I11" i="21"/>
  <c r="O11" i="21"/>
  <c r="M9" i="1"/>
  <c r="V9" i="1"/>
  <c r="E15" i="9"/>
  <c r="X9" i="1"/>
  <c r="AD9" i="1"/>
  <c r="AE9" i="1"/>
  <c r="M10" i="1"/>
  <c r="V10" i="1"/>
  <c r="X10" i="1"/>
  <c r="AD10" i="1"/>
  <c r="AE10" i="1"/>
  <c r="O9" i="21"/>
  <c r="I9" i="21"/>
  <c r="G9" i="21"/>
  <c r="F9" i="21"/>
  <c r="D9" i="21"/>
  <c r="C9" i="21"/>
  <c r="M3" i="1"/>
  <c r="V3" i="1"/>
  <c r="M4" i="1"/>
  <c r="V4" i="1"/>
  <c r="M5" i="1"/>
  <c r="V5" i="1"/>
  <c r="M6" i="1"/>
  <c r="V6" i="1"/>
  <c r="M7" i="1"/>
  <c r="V7" i="1"/>
  <c r="M8" i="1"/>
  <c r="V8" i="1"/>
  <c r="T3" i="1"/>
  <c r="T4" i="1"/>
  <c r="T5" i="1"/>
  <c r="T6" i="1"/>
  <c r="T7" i="1"/>
  <c r="T8" i="1"/>
  <c r="T9" i="1"/>
  <c r="T10" i="1"/>
  <c r="M2" i="1"/>
  <c r="V2" i="1"/>
  <c r="T2" i="1"/>
  <c r="AD3" i="1"/>
  <c r="AF3" i="1"/>
  <c r="AI3" i="1"/>
  <c r="AD4" i="1"/>
  <c r="AF4" i="1"/>
  <c r="AI4" i="1"/>
  <c r="Q5" i="1"/>
  <c r="AD5" i="1"/>
  <c r="AE5" i="1"/>
  <c r="AF5" i="1"/>
  <c r="AI5" i="1"/>
  <c r="Q6" i="1"/>
  <c r="AD6" i="1"/>
  <c r="AE6" i="1"/>
  <c r="AF6" i="1"/>
  <c r="AI6" i="1"/>
  <c r="Q7" i="1"/>
  <c r="AD7" i="1"/>
  <c r="AE7" i="1"/>
  <c r="AF7" i="1"/>
  <c r="AI7" i="1"/>
  <c r="Q8" i="1"/>
  <c r="AD8" i="1"/>
  <c r="AE8" i="1"/>
  <c r="AF8" i="1"/>
  <c r="AI8" i="1"/>
  <c r="Q9" i="1"/>
  <c r="AF9" i="1"/>
  <c r="AI9" i="1"/>
  <c r="Q10" i="1"/>
  <c r="AF10" i="1"/>
  <c r="AI10" i="1"/>
  <c r="Q4" i="1"/>
  <c r="AE4" i="1"/>
  <c r="J114" i="11"/>
  <c r="O43" i="9"/>
  <c r="N43" i="9"/>
  <c r="M43" i="9"/>
  <c r="L43" i="9"/>
  <c r="K43" i="9"/>
  <c r="J43" i="9"/>
  <c r="I43" i="9"/>
  <c r="H43" i="9"/>
  <c r="G43" i="9"/>
  <c r="D43" i="9"/>
  <c r="A43" i="9"/>
  <c r="J113" i="11"/>
  <c r="O42" i="9"/>
  <c r="N42" i="9"/>
  <c r="M42" i="9"/>
  <c r="L42" i="9"/>
  <c r="K42" i="9"/>
  <c r="J42" i="9"/>
  <c r="I42" i="9"/>
  <c r="H42" i="9"/>
  <c r="G42" i="9"/>
  <c r="E42" i="9"/>
  <c r="D42" i="9"/>
  <c r="A42" i="9"/>
  <c r="J112" i="11"/>
  <c r="O41" i="9"/>
  <c r="N41" i="9"/>
  <c r="M41" i="9"/>
  <c r="L41" i="9"/>
  <c r="K41" i="9"/>
  <c r="J41" i="9"/>
  <c r="I41" i="9"/>
  <c r="H41" i="9"/>
  <c r="G41" i="9"/>
  <c r="E41" i="9"/>
  <c r="D41" i="9"/>
  <c r="A41" i="9"/>
  <c r="J111" i="11"/>
  <c r="O40" i="9"/>
  <c r="N40" i="9"/>
  <c r="M40" i="9"/>
  <c r="L40" i="9"/>
  <c r="K40" i="9"/>
  <c r="J40" i="9"/>
  <c r="I40" i="9"/>
  <c r="H40" i="9"/>
  <c r="G40" i="9"/>
  <c r="E40" i="9"/>
  <c r="D40" i="9"/>
  <c r="A40" i="9"/>
  <c r="J110" i="11"/>
  <c r="O39" i="9"/>
  <c r="N39" i="9"/>
  <c r="M39" i="9"/>
  <c r="L39" i="9"/>
  <c r="K39" i="9"/>
  <c r="J39" i="9"/>
  <c r="I39" i="9"/>
  <c r="H39" i="9"/>
  <c r="G39" i="9"/>
  <c r="E39" i="9"/>
  <c r="D39" i="9"/>
  <c r="A39" i="9"/>
  <c r="J109" i="11"/>
  <c r="O38" i="9"/>
  <c r="N38" i="9"/>
  <c r="M38" i="9"/>
  <c r="L38" i="9"/>
  <c r="K38" i="9"/>
  <c r="J38" i="9"/>
  <c r="I38" i="9"/>
  <c r="H38" i="9"/>
  <c r="G38" i="9"/>
  <c r="E38" i="9"/>
  <c r="D38" i="9"/>
  <c r="A38" i="9"/>
  <c r="J108" i="11"/>
  <c r="O37" i="9"/>
  <c r="N37" i="9"/>
  <c r="M37" i="9"/>
  <c r="L37" i="9"/>
  <c r="K37" i="9"/>
  <c r="J37" i="9"/>
  <c r="I37" i="9"/>
  <c r="H37" i="9"/>
  <c r="G37" i="9"/>
  <c r="E37" i="9"/>
  <c r="D37" i="9"/>
  <c r="A37" i="9"/>
  <c r="J107" i="11"/>
  <c r="O36" i="9"/>
  <c r="N36" i="9"/>
  <c r="M36" i="9"/>
  <c r="L36" i="9"/>
  <c r="K36" i="9"/>
  <c r="J36" i="9"/>
  <c r="I36" i="9"/>
  <c r="H36" i="9"/>
  <c r="G36" i="9"/>
  <c r="E36" i="9"/>
  <c r="D36" i="9"/>
  <c r="A36" i="9"/>
  <c r="J106" i="11"/>
  <c r="O35" i="9"/>
  <c r="N35" i="9"/>
  <c r="M35" i="9"/>
  <c r="L35" i="9"/>
  <c r="K35" i="9"/>
  <c r="J35" i="9"/>
  <c r="I35" i="9"/>
  <c r="H35" i="9"/>
  <c r="G35" i="9"/>
  <c r="E35" i="9"/>
  <c r="D35" i="9"/>
  <c r="A35" i="9"/>
  <c r="J96" i="11"/>
  <c r="O23" i="9"/>
  <c r="N23" i="9"/>
  <c r="M23" i="9"/>
  <c r="L23" i="9"/>
  <c r="K23" i="9"/>
  <c r="J23" i="9"/>
  <c r="I23" i="9"/>
  <c r="H23" i="9"/>
  <c r="G23" i="9"/>
  <c r="E23" i="9"/>
  <c r="D23" i="9"/>
  <c r="A23" i="9"/>
  <c r="J95" i="11"/>
  <c r="O22" i="9"/>
  <c r="N22" i="9"/>
  <c r="M22" i="9"/>
  <c r="L22" i="9"/>
  <c r="K22" i="9"/>
  <c r="J22" i="9"/>
  <c r="I22" i="9"/>
  <c r="H22" i="9"/>
  <c r="G22" i="9"/>
  <c r="E22" i="9"/>
  <c r="D22" i="9"/>
  <c r="A22" i="9"/>
  <c r="J94" i="11"/>
  <c r="O21" i="9"/>
  <c r="N21" i="9"/>
  <c r="M21" i="9"/>
  <c r="L21" i="9"/>
  <c r="K21" i="9"/>
  <c r="J21" i="9"/>
  <c r="I21" i="9"/>
  <c r="H21" i="9"/>
  <c r="G21" i="9"/>
  <c r="E21" i="9"/>
  <c r="D21" i="9"/>
  <c r="A21" i="9"/>
  <c r="J93" i="11"/>
  <c r="O20" i="9"/>
  <c r="N20" i="9"/>
  <c r="M20" i="9"/>
  <c r="L20" i="9"/>
  <c r="K20" i="9"/>
  <c r="J20" i="9"/>
  <c r="I20" i="9"/>
  <c r="H20" i="9"/>
  <c r="G20" i="9"/>
  <c r="E20" i="9"/>
  <c r="D20" i="9"/>
  <c r="A20" i="9"/>
  <c r="J83" i="11"/>
  <c r="J84" i="11"/>
  <c r="J85" i="11"/>
  <c r="J86" i="11"/>
  <c r="J87" i="11"/>
  <c r="D30" i="9"/>
  <c r="D31" i="9"/>
  <c r="O7" i="21"/>
  <c r="I7" i="21"/>
  <c r="G7" i="21"/>
  <c r="F7" i="21"/>
  <c r="D7" i="21"/>
  <c r="C7" i="21"/>
  <c r="C3" i="21"/>
  <c r="D3" i="21"/>
  <c r="F3" i="21"/>
  <c r="G3" i="21"/>
  <c r="I3" i="21"/>
  <c r="O3" i="21"/>
  <c r="C4" i="21"/>
  <c r="D4" i="21"/>
  <c r="F4" i="21"/>
  <c r="G4" i="21"/>
  <c r="I4" i="21"/>
  <c r="O4" i="21"/>
  <c r="C5" i="21"/>
  <c r="D5" i="21"/>
  <c r="F5" i="21"/>
  <c r="G5" i="21"/>
  <c r="I5" i="21"/>
  <c r="O5" i="21"/>
  <c r="C6" i="21"/>
  <c r="D6" i="21"/>
  <c r="F6" i="21"/>
  <c r="G6" i="21"/>
  <c r="I6" i="21"/>
  <c r="O6" i="21"/>
  <c r="C8" i="21"/>
  <c r="D8" i="21"/>
  <c r="F8" i="21"/>
  <c r="G8" i="21"/>
  <c r="I8" i="21"/>
  <c r="O8" i="21"/>
  <c r="AC14" i="10"/>
  <c r="E32" i="9"/>
  <c r="Y3" i="7"/>
  <c r="E29" i="9"/>
  <c r="Y2" i="7"/>
  <c r="J2" i="1"/>
  <c r="I2" i="1"/>
  <c r="A3" i="1"/>
  <c r="A4" i="1"/>
  <c r="A6" i="1"/>
  <c r="A7" i="1"/>
  <c r="A8" i="1"/>
  <c r="A5" i="1"/>
  <c r="A9" i="1"/>
  <c r="A10" i="1"/>
  <c r="A2" i="1"/>
  <c r="A3" i="7"/>
  <c r="D3" i="7"/>
  <c r="E3" i="7"/>
  <c r="F3" i="7"/>
  <c r="H3" i="7"/>
  <c r="I3" i="7"/>
  <c r="J3" i="7"/>
  <c r="N3" i="7"/>
  <c r="O3" i="7"/>
  <c r="P3" i="7"/>
  <c r="Q3" i="7"/>
  <c r="R3" i="7"/>
  <c r="U3" i="7"/>
  <c r="W3" i="7"/>
  <c r="E3" i="9"/>
  <c r="X3" i="1"/>
  <c r="E5" i="9"/>
  <c r="X4" i="1"/>
  <c r="E8" i="9"/>
  <c r="E10" i="9"/>
  <c r="X6" i="1"/>
  <c r="E11" i="9"/>
  <c r="X7" i="1"/>
  <c r="E13" i="9"/>
  <c r="X8" i="1"/>
  <c r="X5" i="1"/>
  <c r="E2" i="9"/>
  <c r="X2" i="1"/>
  <c r="AG10" i="1"/>
  <c r="P10" i="1"/>
  <c r="O10" i="1"/>
  <c r="N10" i="1"/>
  <c r="AG9" i="1"/>
  <c r="P9" i="1"/>
  <c r="O9" i="1"/>
  <c r="N9" i="1"/>
  <c r="AG5" i="1"/>
  <c r="P5" i="1"/>
  <c r="O5" i="1"/>
  <c r="N5" i="1"/>
  <c r="AG8" i="1"/>
  <c r="P8" i="1"/>
  <c r="O8" i="1"/>
  <c r="N8" i="1"/>
  <c r="AG7" i="1"/>
  <c r="P7" i="1"/>
  <c r="O7" i="1"/>
  <c r="N7" i="1"/>
  <c r="AG6" i="1"/>
  <c r="P6" i="1"/>
  <c r="O6" i="1"/>
  <c r="N6" i="1"/>
  <c r="AG4" i="1"/>
  <c r="P4" i="1"/>
  <c r="O4" i="1"/>
  <c r="N4" i="1"/>
  <c r="AG3" i="1"/>
  <c r="AE3" i="1"/>
  <c r="Q3" i="1"/>
  <c r="P3" i="1"/>
  <c r="O3" i="1"/>
  <c r="N3" i="1"/>
  <c r="AD2" i="1"/>
  <c r="AF2" i="1"/>
  <c r="AI2" i="1"/>
  <c r="AG2" i="1"/>
  <c r="AE2" i="1"/>
  <c r="Q2" i="1"/>
  <c r="P2" i="1"/>
  <c r="O2" i="1"/>
  <c r="N2" i="1"/>
  <c r="D2" i="1"/>
  <c r="F2" i="1"/>
  <c r="E2" i="1"/>
  <c r="J80" i="11"/>
  <c r="O7" i="9"/>
  <c r="N7" i="9"/>
  <c r="M7" i="9"/>
  <c r="L7" i="9"/>
  <c r="K7" i="9"/>
  <c r="J7" i="9"/>
  <c r="I7" i="9"/>
  <c r="H7" i="9"/>
  <c r="G7" i="9"/>
  <c r="E7" i="9"/>
  <c r="D7" i="9"/>
  <c r="A7" i="9"/>
  <c r="J76" i="11"/>
  <c r="M3" i="10"/>
  <c r="T3" i="10"/>
  <c r="W3" i="10"/>
  <c r="V3" i="10"/>
  <c r="X3" i="10"/>
  <c r="U3" i="10"/>
  <c r="Y3" i="10"/>
  <c r="M11" i="10"/>
  <c r="M37" i="10"/>
  <c r="N37" i="10"/>
  <c r="Q37" i="10"/>
  <c r="P37" i="10"/>
  <c r="R37" i="10"/>
  <c r="O37" i="10"/>
  <c r="S37" i="10"/>
  <c r="N11" i="10"/>
  <c r="Q11" i="10"/>
  <c r="P11" i="10"/>
  <c r="R11" i="10"/>
  <c r="O11" i="10"/>
  <c r="S11" i="10"/>
  <c r="N3" i="10"/>
  <c r="Q3" i="10"/>
  <c r="P3" i="10"/>
  <c r="R3" i="10"/>
  <c r="O3" i="10"/>
  <c r="S3" i="10"/>
  <c r="G3" i="10"/>
  <c r="J3" i="10"/>
  <c r="I3" i="10"/>
  <c r="K3" i="10"/>
  <c r="H3" i="10"/>
  <c r="L3" i="10"/>
  <c r="J77" i="11"/>
  <c r="J78" i="11"/>
  <c r="J79" i="11"/>
  <c r="J81" i="11"/>
  <c r="J82" i="11"/>
  <c r="J88" i="11"/>
  <c r="J89" i="11"/>
  <c r="J90" i="11"/>
  <c r="J92" i="11"/>
  <c r="J91" i="11"/>
  <c r="J98" i="11"/>
  <c r="J99" i="11"/>
  <c r="J100" i="11"/>
  <c r="J101" i="11"/>
  <c r="J102" i="11"/>
  <c r="J103" i="11"/>
  <c r="J104" i="11"/>
  <c r="J105" i="11"/>
  <c r="A2" i="9"/>
  <c r="A3" i="9"/>
  <c r="A4" i="9"/>
  <c r="A5" i="9"/>
  <c r="A6" i="9"/>
  <c r="A8" i="9"/>
  <c r="A9" i="9"/>
  <c r="A15" i="9"/>
  <c r="A16" i="9"/>
  <c r="A17" i="9"/>
  <c r="A18" i="9"/>
  <c r="A19" i="9"/>
  <c r="A10" i="9"/>
  <c r="A11" i="9"/>
  <c r="A12" i="9"/>
  <c r="A13" i="9"/>
  <c r="A14" i="9"/>
  <c r="A27" i="9"/>
  <c r="A28" i="9"/>
  <c r="A29" i="9"/>
  <c r="A30" i="9"/>
  <c r="A31" i="9"/>
  <c r="A32" i="9"/>
  <c r="A33" i="9"/>
  <c r="A34" i="9"/>
  <c r="D28" i="9"/>
  <c r="E28" i="9"/>
  <c r="G28" i="9"/>
  <c r="H28" i="9"/>
  <c r="I28" i="9"/>
  <c r="J28" i="9"/>
  <c r="K28" i="9"/>
  <c r="L28" i="9"/>
  <c r="M28" i="9"/>
  <c r="N28" i="9"/>
  <c r="O28" i="9"/>
  <c r="D29" i="9"/>
  <c r="G29" i="9"/>
  <c r="H29" i="9"/>
  <c r="I29" i="9"/>
  <c r="J29" i="9"/>
  <c r="K29" i="9"/>
  <c r="L29" i="9"/>
  <c r="M29" i="9"/>
  <c r="N29" i="9"/>
  <c r="O29" i="9"/>
  <c r="E30" i="9"/>
  <c r="G30" i="9"/>
  <c r="H30" i="9"/>
  <c r="I30" i="9"/>
  <c r="J30" i="9"/>
  <c r="K30" i="9"/>
  <c r="L30" i="9"/>
  <c r="M30" i="9"/>
  <c r="N30" i="9"/>
  <c r="O30" i="9"/>
  <c r="E31" i="9"/>
  <c r="G31" i="9"/>
  <c r="H31" i="9"/>
  <c r="I31" i="9"/>
  <c r="J31" i="9"/>
  <c r="K31" i="9"/>
  <c r="L31" i="9"/>
  <c r="M31" i="9"/>
  <c r="N31" i="9"/>
  <c r="O31" i="9"/>
  <c r="D32" i="9"/>
  <c r="G32" i="9"/>
  <c r="H32" i="9"/>
  <c r="I32" i="9"/>
  <c r="J32" i="9"/>
  <c r="K32" i="9"/>
  <c r="L32" i="9"/>
  <c r="M32" i="9"/>
  <c r="N32" i="9"/>
  <c r="O32" i="9"/>
  <c r="D33" i="9"/>
  <c r="E33" i="9"/>
  <c r="G33" i="9"/>
  <c r="H33" i="9"/>
  <c r="I33" i="9"/>
  <c r="J33" i="9"/>
  <c r="K33" i="9"/>
  <c r="L33" i="9"/>
  <c r="M33" i="9"/>
  <c r="N33" i="9"/>
  <c r="O33" i="9"/>
  <c r="D34" i="9"/>
  <c r="E34" i="9"/>
  <c r="G34" i="9"/>
  <c r="H34" i="9"/>
  <c r="I34" i="9"/>
  <c r="J34" i="9"/>
  <c r="K34" i="9"/>
  <c r="L34" i="9"/>
  <c r="M34" i="9"/>
  <c r="N34" i="9"/>
  <c r="O34" i="9"/>
  <c r="D3" i="9"/>
  <c r="G3" i="9"/>
  <c r="H3" i="9"/>
  <c r="I3" i="9"/>
  <c r="J3" i="9"/>
  <c r="K3" i="9"/>
  <c r="L3" i="9"/>
  <c r="M3" i="9"/>
  <c r="N3" i="9"/>
  <c r="O3" i="9"/>
  <c r="D4" i="9"/>
  <c r="E4" i="9"/>
  <c r="G4" i="9"/>
  <c r="H4" i="9"/>
  <c r="I4" i="9"/>
  <c r="J4" i="9"/>
  <c r="K4" i="9"/>
  <c r="L4" i="9"/>
  <c r="M4" i="9"/>
  <c r="N4" i="9"/>
  <c r="O4" i="9"/>
  <c r="D5" i="9"/>
  <c r="G5" i="9"/>
  <c r="H5" i="9"/>
  <c r="I5" i="9"/>
  <c r="J5" i="9"/>
  <c r="K5" i="9"/>
  <c r="L5" i="9"/>
  <c r="M5" i="9"/>
  <c r="N5" i="9"/>
  <c r="O5" i="9"/>
  <c r="D6" i="9"/>
  <c r="E6" i="9"/>
  <c r="G6" i="9"/>
  <c r="H6" i="9"/>
  <c r="I6" i="9"/>
  <c r="J6" i="9"/>
  <c r="K6" i="9"/>
  <c r="L6" i="9"/>
  <c r="M6" i="9"/>
  <c r="N6" i="9"/>
  <c r="O6" i="9"/>
  <c r="D8" i="9"/>
  <c r="G8" i="9"/>
  <c r="H8" i="9"/>
  <c r="I8" i="9"/>
  <c r="J8" i="9"/>
  <c r="K8" i="9"/>
  <c r="L8" i="9"/>
  <c r="M8" i="9"/>
  <c r="N8" i="9"/>
  <c r="O8" i="9"/>
  <c r="D9" i="9"/>
  <c r="E9" i="9"/>
  <c r="G9" i="9"/>
  <c r="H9" i="9"/>
  <c r="I9" i="9"/>
  <c r="J9" i="9"/>
  <c r="K9" i="9"/>
  <c r="L9" i="9"/>
  <c r="M9" i="9"/>
  <c r="N9" i="9"/>
  <c r="O9" i="9"/>
  <c r="D15" i="9"/>
  <c r="G15" i="9"/>
  <c r="H15" i="9"/>
  <c r="I15" i="9"/>
  <c r="J15" i="9"/>
  <c r="K15" i="9"/>
  <c r="L15" i="9"/>
  <c r="M15" i="9"/>
  <c r="N15" i="9"/>
  <c r="O15" i="9"/>
  <c r="D16" i="9"/>
  <c r="E16" i="9"/>
  <c r="G16" i="9"/>
  <c r="H16" i="9"/>
  <c r="I16" i="9"/>
  <c r="J16" i="9"/>
  <c r="K16" i="9"/>
  <c r="L16" i="9"/>
  <c r="M16" i="9"/>
  <c r="N16" i="9"/>
  <c r="O16" i="9"/>
  <c r="D17" i="9"/>
  <c r="E17" i="9"/>
  <c r="G17" i="9"/>
  <c r="H17" i="9"/>
  <c r="I17" i="9"/>
  <c r="J17" i="9"/>
  <c r="K17" i="9"/>
  <c r="L17" i="9"/>
  <c r="M17" i="9"/>
  <c r="N17" i="9"/>
  <c r="O17" i="9"/>
  <c r="D18" i="9"/>
  <c r="E18" i="9"/>
  <c r="G18" i="9"/>
  <c r="H18" i="9"/>
  <c r="I18" i="9"/>
  <c r="J18" i="9"/>
  <c r="K18" i="9"/>
  <c r="L18" i="9"/>
  <c r="M18" i="9"/>
  <c r="N18" i="9"/>
  <c r="O18" i="9"/>
  <c r="D19" i="9"/>
  <c r="E19" i="9"/>
  <c r="G19" i="9"/>
  <c r="H19" i="9"/>
  <c r="I19" i="9"/>
  <c r="J19" i="9"/>
  <c r="K19" i="9"/>
  <c r="L19" i="9"/>
  <c r="M19" i="9"/>
  <c r="N19" i="9"/>
  <c r="O19" i="9"/>
  <c r="D10" i="9"/>
  <c r="G10" i="9"/>
  <c r="H10" i="9"/>
  <c r="I10" i="9"/>
  <c r="J10" i="9"/>
  <c r="K10" i="9"/>
  <c r="L10" i="9"/>
  <c r="M10" i="9"/>
  <c r="N10" i="9"/>
  <c r="O10" i="9"/>
  <c r="D11" i="9"/>
  <c r="G11" i="9"/>
  <c r="H11" i="9"/>
  <c r="I11" i="9"/>
  <c r="J11" i="9"/>
  <c r="K11" i="9"/>
  <c r="L11" i="9"/>
  <c r="M11" i="9"/>
  <c r="N11" i="9"/>
  <c r="O11" i="9"/>
  <c r="D12" i="9"/>
  <c r="E12" i="9"/>
  <c r="G12" i="9"/>
  <c r="H12" i="9"/>
  <c r="I12" i="9"/>
  <c r="J12" i="9"/>
  <c r="K12" i="9"/>
  <c r="L12" i="9"/>
  <c r="M12" i="9"/>
  <c r="N12" i="9"/>
  <c r="O12" i="9"/>
  <c r="D13" i="9"/>
  <c r="G13" i="9"/>
  <c r="H13" i="9"/>
  <c r="I13" i="9"/>
  <c r="J13" i="9"/>
  <c r="K13" i="9"/>
  <c r="L13" i="9"/>
  <c r="M13" i="9"/>
  <c r="N13" i="9"/>
  <c r="O13" i="9"/>
  <c r="D14" i="9"/>
  <c r="E14" i="9"/>
  <c r="G14" i="9"/>
  <c r="H14" i="9"/>
  <c r="I14" i="9"/>
  <c r="J14" i="9"/>
  <c r="K14" i="9"/>
  <c r="L14" i="9"/>
  <c r="M14" i="9"/>
  <c r="N14" i="9"/>
  <c r="O14" i="9"/>
  <c r="D27" i="9"/>
  <c r="E27" i="9"/>
  <c r="G27" i="9"/>
  <c r="H27" i="9"/>
  <c r="I27" i="9"/>
  <c r="J27" i="9"/>
  <c r="K27" i="9"/>
  <c r="L27" i="9"/>
  <c r="M27" i="9"/>
  <c r="N27" i="9"/>
  <c r="O27" i="9"/>
  <c r="G37" i="10"/>
  <c r="H37" i="10"/>
  <c r="I37" i="10"/>
  <c r="J37" i="10"/>
  <c r="K37" i="10"/>
  <c r="L37" i="10"/>
  <c r="T37" i="10"/>
  <c r="U37" i="10"/>
  <c r="V37" i="10"/>
  <c r="W37" i="10"/>
  <c r="X37" i="10"/>
  <c r="Y37" i="10"/>
  <c r="G38" i="10"/>
  <c r="H38" i="10"/>
  <c r="I38" i="10"/>
  <c r="J38" i="10"/>
  <c r="K38" i="10"/>
  <c r="L38" i="10"/>
  <c r="M38" i="10"/>
  <c r="N38" i="10"/>
  <c r="O38" i="10"/>
  <c r="P38" i="10"/>
  <c r="Q38" i="10"/>
  <c r="R38" i="10"/>
  <c r="S38" i="10"/>
  <c r="T38" i="10"/>
  <c r="U38" i="10"/>
  <c r="V38" i="10"/>
  <c r="W38" i="10"/>
  <c r="X38" i="10"/>
  <c r="Y38" i="10"/>
  <c r="G30" i="10"/>
  <c r="H30" i="10"/>
  <c r="I30" i="10"/>
  <c r="J30" i="10"/>
  <c r="K30" i="10"/>
  <c r="L30" i="10"/>
  <c r="M30" i="10"/>
  <c r="N30" i="10"/>
  <c r="O30" i="10"/>
  <c r="P30" i="10"/>
  <c r="Q30" i="10"/>
  <c r="R30" i="10"/>
  <c r="S30" i="10"/>
  <c r="T30" i="10"/>
  <c r="U30" i="10"/>
  <c r="V30" i="10"/>
  <c r="W30" i="10"/>
  <c r="X30" i="10"/>
  <c r="Y30" i="10"/>
  <c r="G31" i="10"/>
  <c r="H31" i="10"/>
  <c r="I31" i="10"/>
  <c r="J31" i="10"/>
  <c r="K31" i="10"/>
  <c r="L31" i="10"/>
  <c r="M31" i="10"/>
  <c r="N31" i="10"/>
  <c r="O31" i="10"/>
  <c r="P31" i="10"/>
  <c r="Q31" i="10"/>
  <c r="R31" i="10"/>
  <c r="S31" i="10"/>
  <c r="T31" i="10"/>
  <c r="U31" i="10"/>
  <c r="V31" i="10"/>
  <c r="W31" i="10"/>
  <c r="X31" i="10"/>
  <c r="Y31" i="10"/>
  <c r="G32" i="10"/>
  <c r="H32" i="10"/>
  <c r="I32" i="10"/>
  <c r="J32" i="10"/>
  <c r="K32" i="10"/>
  <c r="L32" i="10"/>
  <c r="M32" i="10"/>
  <c r="N32" i="10"/>
  <c r="O32" i="10"/>
  <c r="P32" i="10"/>
  <c r="Q32" i="10"/>
  <c r="R32" i="10"/>
  <c r="S32" i="10"/>
  <c r="T32" i="10"/>
  <c r="U32" i="10"/>
  <c r="V32" i="10"/>
  <c r="W32" i="10"/>
  <c r="X32" i="10"/>
  <c r="Y32" i="10"/>
  <c r="G33" i="10"/>
  <c r="H33" i="10"/>
  <c r="I33" i="10"/>
  <c r="J33" i="10"/>
  <c r="K33" i="10"/>
  <c r="L33" i="10"/>
  <c r="M33" i="10"/>
  <c r="N33" i="10"/>
  <c r="O33" i="10"/>
  <c r="P33" i="10"/>
  <c r="Q33" i="10"/>
  <c r="R33" i="10"/>
  <c r="S33" i="10"/>
  <c r="T33" i="10"/>
  <c r="U33" i="10"/>
  <c r="V33" i="10"/>
  <c r="W33" i="10"/>
  <c r="X33" i="10"/>
  <c r="Y33" i="10"/>
  <c r="G34" i="10"/>
  <c r="H34" i="10"/>
  <c r="I34" i="10"/>
  <c r="J34" i="10"/>
  <c r="K34" i="10"/>
  <c r="L34" i="10"/>
  <c r="M34" i="10"/>
  <c r="N34" i="10"/>
  <c r="O34" i="10"/>
  <c r="P34" i="10"/>
  <c r="Q34" i="10"/>
  <c r="R34" i="10"/>
  <c r="S34" i="10"/>
  <c r="T34" i="10"/>
  <c r="U34" i="10"/>
  <c r="V34" i="10"/>
  <c r="W34" i="10"/>
  <c r="X34" i="10"/>
  <c r="Y34" i="10"/>
  <c r="G36" i="10"/>
  <c r="H36" i="10"/>
  <c r="I36" i="10"/>
  <c r="J36" i="10"/>
  <c r="K36" i="10"/>
  <c r="L36" i="10"/>
  <c r="M36" i="10"/>
  <c r="N36" i="10"/>
  <c r="O36" i="10"/>
  <c r="P36" i="10"/>
  <c r="Q36" i="10"/>
  <c r="R36" i="10"/>
  <c r="S36" i="10"/>
  <c r="T36" i="10"/>
  <c r="U36" i="10"/>
  <c r="V36" i="10"/>
  <c r="W36" i="10"/>
  <c r="X36" i="10"/>
  <c r="Y36" i="10"/>
  <c r="M28" i="10"/>
  <c r="T28" i="10"/>
  <c r="W28" i="10"/>
  <c r="V28" i="10"/>
  <c r="X28" i="10"/>
  <c r="U28" i="10"/>
  <c r="Y28" i="10"/>
  <c r="N28" i="10"/>
  <c r="Q28" i="10"/>
  <c r="P28" i="10"/>
  <c r="R28" i="10"/>
  <c r="O28" i="10"/>
  <c r="S28" i="10"/>
  <c r="G28" i="10"/>
  <c r="J28" i="10"/>
  <c r="I28" i="10"/>
  <c r="K28" i="10"/>
  <c r="H28" i="10"/>
  <c r="L28" i="10"/>
  <c r="M14" i="10"/>
  <c r="T14" i="10"/>
  <c r="W14" i="10"/>
  <c r="V14" i="10"/>
  <c r="X14" i="10"/>
  <c r="U14" i="10"/>
  <c r="Y14" i="10"/>
  <c r="N14" i="10"/>
  <c r="Q14" i="10"/>
  <c r="P14" i="10"/>
  <c r="R14" i="10"/>
  <c r="O14" i="10"/>
  <c r="S14" i="10"/>
  <c r="G14" i="10"/>
  <c r="J14" i="10"/>
  <c r="I14" i="10"/>
  <c r="K14" i="10"/>
  <c r="H14" i="10"/>
  <c r="L14" i="10"/>
  <c r="M13" i="10"/>
  <c r="T13" i="10"/>
  <c r="W13" i="10"/>
  <c r="V13" i="10"/>
  <c r="X13" i="10"/>
  <c r="U13" i="10"/>
  <c r="Y13" i="10"/>
  <c r="N13" i="10"/>
  <c r="Q13" i="10"/>
  <c r="P13" i="10"/>
  <c r="R13" i="10"/>
  <c r="O13" i="10"/>
  <c r="S13" i="10"/>
  <c r="G13" i="10"/>
  <c r="J13" i="10"/>
  <c r="I13" i="10"/>
  <c r="K13" i="10"/>
  <c r="H13" i="10"/>
  <c r="L13" i="10"/>
  <c r="M12" i="10"/>
  <c r="T12" i="10"/>
  <c r="W12" i="10"/>
  <c r="V12" i="10"/>
  <c r="X12" i="10"/>
  <c r="U12" i="10"/>
  <c r="Y12" i="10"/>
  <c r="N12" i="10"/>
  <c r="Q12" i="10"/>
  <c r="P12" i="10"/>
  <c r="R12" i="10"/>
  <c r="O12" i="10"/>
  <c r="S12" i="10"/>
  <c r="G12" i="10"/>
  <c r="J12" i="10"/>
  <c r="I12" i="10"/>
  <c r="K12" i="10"/>
  <c r="H12" i="10"/>
  <c r="L12" i="10"/>
  <c r="T11" i="10"/>
  <c r="W11" i="10"/>
  <c r="V11" i="10"/>
  <c r="X11" i="10"/>
  <c r="U11" i="10"/>
  <c r="Y11" i="10"/>
  <c r="G11" i="10"/>
  <c r="J11" i="10"/>
  <c r="I11" i="10"/>
  <c r="K11" i="10"/>
  <c r="H11" i="10"/>
  <c r="L11" i="10"/>
  <c r="M10" i="10"/>
  <c r="T10" i="10"/>
  <c r="W10" i="10"/>
  <c r="V10" i="10"/>
  <c r="X10" i="10"/>
  <c r="U10" i="10"/>
  <c r="Y10" i="10"/>
  <c r="N10" i="10"/>
  <c r="Q10" i="10"/>
  <c r="P10" i="10"/>
  <c r="R10" i="10"/>
  <c r="O10" i="10"/>
  <c r="S10" i="10"/>
  <c r="G10" i="10"/>
  <c r="J10" i="10"/>
  <c r="I10" i="10"/>
  <c r="K10" i="10"/>
  <c r="H10" i="10"/>
  <c r="L10" i="10"/>
  <c r="M17" i="10"/>
  <c r="T17" i="10"/>
  <c r="W17" i="10"/>
  <c r="V17" i="10"/>
  <c r="X17" i="10"/>
  <c r="U17" i="10"/>
  <c r="Y17" i="10"/>
  <c r="N17" i="10"/>
  <c r="Q17" i="10"/>
  <c r="P17" i="10"/>
  <c r="R17" i="10"/>
  <c r="O17" i="10"/>
  <c r="S17" i="10"/>
  <c r="G17" i="10"/>
  <c r="J17" i="10"/>
  <c r="I17" i="10"/>
  <c r="K17" i="10"/>
  <c r="H17" i="10"/>
  <c r="L17" i="10"/>
  <c r="M16" i="10"/>
  <c r="T16" i="10"/>
  <c r="W16" i="10"/>
  <c r="V16" i="10"/>
  <c r="X16" i="10"/>
  <c r="U16" i="10"/>
  <c r="Y16" i="10"/>
  <c r="N16" i="10"/>
  <c r="Q16" i="10"/>
  <c r="P16" i="10"/>
  <c r="R16" i="10"/>
  <c r="O16" i="10"/>
  <c r="S16" i="10"/>
  <c r="G16" i="10"/>
  <c r="J16" i="10"/>
  <c r="I16" i="10"/>
  <c r="K16" i="10"/>
  <c r="H16" i="10"/>
  <c r="L16" i="10"/>
  <c r="M15" i="10"/>
  <c r="T15" i="10"/>
  <c r="W15" i="10"/>
  <c r="V15" i="10"/>
  <c r="X15" i="10"/>
  <c r="U15" i="10"/>
  <c r="Y15" i="10"/>
  <c r="N15" i="10"/>
  <c r="Q15" i="10"/>
  <c r="P15" i="10"/>
  <c r="R15" i="10"/>
  <c r="O15" i="10"/>
  <c r="S15" i="10"/>
  <c r="G15" i="10"/>
  <c r="J15" i="10"/>
  <c r="I15" i="10"/>
  <c r="K15" i="10"/>
  <c r="H15" i="10"/>
  <c r="L15" i="10"/>
  <c r="M19" i="10"/>
  <c r="T19" i="10"/>
  <c r="W19" i="10"/>
  <c r="V19" i="10"/>
  <c r="X19" i="10"/>
  <c r="U19" i="10"/>
  <c r="Y19" i="10"/>
  <c r="N19" i="10"/>
  <c r="Q19" i="10"/>
  <c r="P19" i="10"/>
  <c r="R19" i="10"/>
  <c r="O19" i="10"/>
  <c r="S19" i="10"/>
  <c r="G19" i="10"/>
  <c r="J19" i="10"/>
  <c r="I19" i="10"/>
  <c r="K19" i="10"/>
  <c r="H19" i="10"/>
  <c r="L19" i="10"/>
  <c r="M9" i="10"/>
  <c r="T9" i="10"/>
  <c r="W9" i="10"/>
  <c r="V9" i="10"/>
  <c r="X9" i="10"/>
  <c r="U9" i="10"/>
  <c r="Y9" i="10"/>
  <c r="N9" i="10"/>
  <c r="Q9" i="10"/>
  <c r="P9" i="10"/>
  <c r="R9" i="10"/>
  <c r="O9" i="10"/>
  <c r="S9" i="10"/>
  <c r="G9" i="10"/>
  <c r="J9" i="10"/>
  <c r="I9" i="10"/>
  <c r="K9" i="10"/>
  <c r="H9" i="10"/>
  <c r="L9" i="10"/>
  <c r="M7" i="10"/>
  <c r="T7" i="10"/>
  <c r="W7" i="10"/>
  <c r="V7" i="10"/>
  <c r="X7" i="10"/>
  <c r="U7" i="10"/>
  <c r="Y7" i="10"/>
  <c r="N7" i="10"/>
  <c r="Q7" i="10"/>
  <c r="P7" i="10"/>
  <c r="R7" i="10"/>
  <c r="O7" i="10"/>
  <c r="S7" i="10"/>
  <c r="G7" i="10"/>
  <c r="J7" i="10"/>
  <c r="I7" i="10"/>
  <c r="K7" i="10"/>
  <c r="H7" i="10"/>
  <c r="L7" i="10"/>
  <c r="M6" i="10"/>
  <c r="T6" i="10"/>
  <c r="W6" i="10"/>
  <c r="V6" i="10"/>
  <c r="X6" i="10"/>
  <c r="U6" i="10"/>
  <c r="Y6" i="10"/>
  <c r="N6" i="10"/>
  <c r="Q6" i="10"/>
  <c r="P6" i="10"/>
  <c r="R6" i="10"/>
  <c r="O6" i="10"/>
  <c r="S6" i="10"/>
  <c r="G6" i="10"/>
  <c r="J6" i="10"/>
  <c r="I6" i="10"/>
  <c r="K6" i="10"/>
  <c r="H6" i="10"/>
  <c r="L6" i="10"/>
  <c r="M8" i="10"/>
  <c r="N8" i="10"/>
  <c r="Q8" i="10"/>
  <c r="P8" i="10"/>
  <c r="R8" i="10"/>
  <c r="O8" i="10"/>
  <c r="S8" i="10"/>
  <c r="G4" i="10"/>
  <c r="H4" i="10"/>
  <c r="I4" i="10"/>
  <c r="J4" i="10"/>
  <c r="K4" i="10"/>
  <c r="L4" i="10"/>
  <c r="M4" i="10"/>
  <c r="N4" i="10"/>
  <c r="O4" i="10"/>
  <c r="P4" i="10"/>
  <c r="Q4" i="10"/>
  <c r="R4" i="10"/>
  <c r="S4" i="10"/>
  <c r="T4" i="10"/>
  <c r="U4" i="10"/>
  <c r="V4" i="10"/>
  <c r="W4" i="10"/>
  <c r="X4" i="10"/>
  <c r="Y4" i="10"/>
  <c r="G5" i="10"/>
  <c r="H5" i="10"/>
  <c r="I5" i="10"/>
  <c r="J5" i="10"/>
  <c r="K5" i="10"/>
  <c r="L5" i="10"/>
  <c r="M5" i="10"/>
  <c r="M18" i="10"/>
  <c r="N18" i="10"/>
  <c r="Q18" i="10"/>
  <c r="P18" i="10"/>
  <c r="R18" i="10"/>
  <c r="O18" i="10"/>
  <c r="S18" i="10"/>
  <c r="N5" i="10"/>
  <c r="O5" i="10"/>
  <c r="P5" i="10"/>
  <c r="Q5" i="10"/>
  <c r="R5" i="10"/>
  <c r="S5" i="10"/>
  <c r="T5" i="10"/>
  <c r="U5" i="10"/>
  <c r="V5" i="10"/>
  <c r="W5" i="10"/>
  <c r="X5" i="10"/>
  <c r="Y5" i="10"/>
  <c r="G8" i="10"/>
  <c r="H8" i="10"/>
  <c r="I8" i="10"/>
  <c r="J8" i="10"/>
  <c r="K8" i="10"/>
  <c r="L8" i="10"/>
  <c r="T8" i="10"/>
  <c r="U8" i="10"/>
  <c r="V8" i="10"/>
  <c r="W8" i="10"/>
  <c r="X8" i="10"/>
  <c r="Y8" i="10"/>
  <c r="G18" i="10"/>
  <c r="H18" i="10"/>
  <c r="I18" i="10"/>
  <c r="J18" i="10"/>
  <c r="K18" i="10"/>
  <c r="L18" i="10"/>
  <c r="T18" i="10"/>
  <c r="U18" i="10"/>
  <c r="V18" i="10"/>
  <c r="W18" i="10"/>
  <c r="X18" i="10"/>
  <c r="Y18" i="10"/>
  <c r="D10" i="1"/>
  <c r="E10" i="1"/>
  <c r="F10" i="1"/>
  <c r="I10" i="1"/>
  <c r="J10" i="1"/>
  <c r="D3" i="1"/>
  <c r="E3" i="1"/>
  <c r="F3" i="1"/>
  <c r="I3" i="1"/>
  <c r="J3" i="1"/>
  <c r="D4" i="1"/>
  <c r="E4" i="1"/>
  <c r="F4" i="1"/>
  <c r="I4" i="1"/>
  <c r="J4" i="1"/>
  <c r="D6" i="1"/>
  <c r="E6" i="1"/>
  <c r="F6" i="1"/>
  <c r="I6" i="1"/>
  <c r="J6" i="1"/>
  <c r="D7" i="1"/>
  <c r="E7" i="1"/>
  <c r="F7" i="1"/>
  <c r="I7" i="1"/>
  <c r="J7" i="1"/>
  <c r="D8" i="1"/>
  <c r="E8" i="1"/>
  <c r="F8" i="1"/>
  <c r="I8" i="1"/>
  <c r="J8" i="1"/>
  <c r="D5" i="1"/>
  <c r="E5" i="1"/>
  <c r="F5" i="1"/>
  <c r="I5" i="1"/>
  <c r="J5" i="1"/>
  <c r="D9" i="1"/>
  <c r="E9" i="1"/>
  <c r="F9" i="1"/>
  <c r="I9" i="1"/>
  <c r="J9" i="1"/>
  <c r="B3" i="2"/>
  <c r="D3" i="2"/>
  <c r="E3" i="2"/>
  <c r="H3" i="2"/>
  <c r="B4" i="2"/>
  <c r="D4" i="2"/>
  <c r="E4" i="2"/>
  <c r="H4" i="2"/>
  <c r="B5" i="2"/>
  <c r="D5" i="2"/>
  <c r="E5" i="2"/>
  <c r="H5" i="2"/>
  <c r="B6" i="2"/>
  <c r="D6" i="2"/>
  <c r="E6" i="2"/>
  <c r="H6" i="2"/>
  <c r="B7" i="2"/>
  <c r="D7" i="2"/>
  <c r="E7" i="2"/>
  <c r="H7" i="2"/>
  <c r="O2" i="21"/>
  <c r="M2" i="10"/>
  <c r="T2" i="10"/>
  <c r="W2" i="10"/>
  <c r="V2" i="10"/>
  <c r="X2" i="10"/>
  <c r="U2" i="10"/>
  <c r="Y2" i="10"/>
  <c r="N2" i="10"/>
  <c r="Q2" i="10"/>
  <c r="P2" i="10"/>
  <c r="R2" i="10"/>
  <c r="O2" i="10"/>
  <c r="S2" i="10"/>
  <c r="G2" i="10"/>
  <c r="J2" i="10"/>
  <c r="I2" i="10"/>
  <c r="K2" i="10"/>
  <c r="H2" i="10"/>
  <c r="L2" i="10"/>
  <c r="W2" i="7"/>
  <c r="U2" i="7"/>
  <c r="N4" i="22"/>
  <c r="G4" i="22"/>
  <c r="F4" i="22"/>
  <c r="D4" i="22"/>
  <c r="C4" i="22"/>
  <c r="A4" i="22"/>
  <c r="E13" i="16"/>
  <c r="N2" i="22"/>
  <c r="G2" i="22"/>
  <c r="F2" i="22"/>
  <c r="D2" i="22"/>
  <c r="C2" i="22"/>
  <c r="A2" i="22"/>
  <c r="I2" i="21"/>
  <c r="G2" i="21"/>
  <c r="F2" i="21"/>
  <c r="D2" i="21"/>
  <c r="C2" i="21"/>
  <c r="E12" i="16"/>
  <c r="E11" i="16"/>
  <c r="E10" i="16"/>
  <c r="C2" i="18"/>
  <c r="D2" i="18"/>
  <c r="J75" i="11"/>
  <c r="O2" i="9"/>
  <c r="N2" i="9"/>
  <c r="M2" i="9"/>
  <c r="L2" i="9"/>
  <c r="K2" i="9"/>
  <c r="J2" i="9"/>
  <c r="I2" i="9"/>
  <c r="H2" i="9"/>
  <c r="G2" i="9"/>
  <c r="D2" i="9"/>
  <c r="E9" i="16"/>
  <c r="R2" i="7"/>
  <c r="Q2" i="7"/>
  <c r="P2" i="7"/>
  <c r="O2" i="7"/>
  <c r="N2" i="7"/>
  <c r="H2" i="7"/>
  <c r="J2" i="7"/>
  <c r="E8" i="16"/>
  <c r="E7" i="16"/>
  <c r="E6" i="16"/>
  <c r="E5" i="16"/>
  <c r="E4" i="16"/>
  <c r="E3" i="16"/>
  <c r="E2" i="16"/>
  <c r="A2" i="7"/>
  <c r="I2" i="7"/>
  <c r="D2" i="7"/>
  <c r="F2" i="7"/>
  <c r="E2" i="7"/>
  <c r="D2" i="2"/>
  <c r="E2" i="2"/>
  <c r="H2" i="2"/>
  <c r="B2" i="2"/>
</calcChain>
</file>

<file path=xl/comments1.xml><?xml version="1.0" encoding="utf-8"?>
<comments xmlns="http://schemas.openxmlformats.org/spreadsheetml/2006/main">
  <authors>
    <author>加藤 雅大</author>
  </authors>
  <commentList>
    <comment ref="AP1" authorId="0">
      <text>
        <r>
          <rPr>
            <b/>
            <sz val="10"/>
            <color indexed="81"/>
            <rFont val="ＭＳ Ｐゴシック"/>
            <family val="2"/>
            <charset val="128"/>
          </rPr>
          <t>ドロップするユニットのスキルレベルです</t>
        </r>
      </text>
    </comment>
  </commentList>
</comments>
</file>

<file path=xl/comments2.xml><?xml version="1.0" encoding="utf-8"?>
<comments xmlns="http://schemas.openxmlformats.org/spreadsheetml/2006/main">
  <authors>
    <author>吉澤 曜祐</author>
  </authors>
  <commentList>
    <comment ref="L1" authorId="0">
      <text>
        <r>
          <rPr>
            <b/>
            <sz val="10"/>
            <color indexed="81"/>
            <rFont val="ＭＳ Ｐゴシック"/>
            <family val="2"/>
            <charset val="128"/>
          </rPr>
          <t>HPゲージの番号
※必ず2以上</t>
        </r>
      </text>
    </comment>
  </commentList>
</comments>
</file>

<file path=xl/comments3.xml><?xml version="1.0" encoding="utf-8"?>
<comments xmlns="http://schemas.openxmlformats.org/spreadsheetml/2006/main">
  <authors>
    <author>Linkedbrain 社用MacPC</author>
    <author>鷲見 政明</author>
    <author>吉澤 曜祐</author>
  </authors>
  <commentList>
    <comment ref="F1" authorId="0">
      <text>
        <r>
          <rPr>
            <b/>
            <sz val="10"/>
            <color indexed="81"/>
            <rFont val="ＭＳ Ｐゴシック"/>
            <family val="2"/>
            <charset val="128"/>
          </rPr>
          <t>Linkedbrain 社用MacPC:</t>
        </r>
        <r>
          <rPr>
            <sz val="10"/>
            <color indexed="81"/>
            <rFont val="ＭＳ Ｐゴシック"/>
            <family val="3"/>
            <charset val="128"/>
          </rPr>
          <t xml:space="preserve">
1. first_time が設定されていたら無条件で先制攻撃（初回ターンではなく、こちらの行動前に打ってきます）
2. invoke_times の回数分打ったら それ以上使わない（first_time で打った分は含まない）
3. hp_threshold が設定されていたら それを下回るまで使わない
4. invoke_rate の確率で発動
</t>
        </r>
      </text>
    </comment>
    <comment ref="G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最初のターンで必ず発動</t>
        </r>
      </text>
    </comment>
    <comment ref="H1" authorId="1">
      <text>
        <r>
          <rPr>
            <b/>
            <sz val="10"/>
            <color indexed="81"/>
            <rFont val="ＭＳ Ｐゴシック"/>
            <family val="2"/>
            <charset val="128"/>
          </rPr>
          <t>処理優先度を制御
・高いほど優先される
・同じ優先度のものは一つだけ発動</t>
        </r>
      </text>
    </comment>
    <comment ref="I1" authorId="1">
      <text>
        <r>
          <rPr>
            <b/>
            <sz val="10"/>
            <color indexed="81"/>
            <rFont val="ＭＳ Ｐゴシック"/>
            <family val="2"/>
            <charset val="128"/>
          </rPr>
          <t>発動確率</t>
        </r>
      </text>
    </comment>
    <comment ref="J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下回ったときに発動するHPの値(nullでHPに依存しない)</t>
        </r>
      </text>
    </comment>
    <comment ref="L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発動回数の上限(nullで上限無し)</t>
        </r>
      </text>
    </comment>
    <comment ref="M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指定した数値の倍数ターンで必ず発動
・null と 0 は無効</t>
        </r>
      </text>
    </comment>
    <comment ref="N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 character_id のお供が死んだ時に発動
null:無効
0:全お供が対象</t>
        </r>
      </text>
    </comment>
    <comment ref="O1" authorId="1">
      <text>
        <r>
          <rPr>
            <b/>
            <sz val="10"/>
            <color indexed="81"/>
            <rFont val="ＭＳ Ｐゴシック"/>
            <family val="2"/>
            <charset val="128"/>
          </rPr>
          <t>[UNUSED]
システム側では未使用。</t>
        </r>
      </text>
    </comment>
  </commentList>
</comments>
</file>

<file path=xl/comments4.xml><?xml version="1.0" encoding="utf-8"?>
<comments xmlns="http://schemas.openxmlformats.org/spreadsheetml/2006/main">
  <authors>
    <author>Linkedbrain 社用MacPC</author>
    <author>鷲見 政明</author>
    <author>吉澤 曜祐</author>
  </authors>
  <commentList>
    <comment ref="A1" authorId="0">
      <text>
        <r>
          <rPr>
            <b/>
            <sz val="10"/>
            <color indexed="81"/>
            <rFont val="ＭＳ Ｐゴシック"/>
            <family val="2"/>
            <charset val="128"/>
          </rPr>
          <t>Linkedbrain 社用MacPC:</t>
        </r>
        <r>
          <rPr>
            <sz val="10"/>
            <color indexed="81"/>
            <rFont val="ＭＳ Ｐゴシック"/>
            <family val="3"/>
            <charset val="128"/>
          </rPr>
          <t xml:space="preserve">
1. first_time が設定されていたら無条件で先制攻撃（初回ターンではなく、こちらの行動前に打ってきます）
2. invoke_times の回数分打ったら それ以上使わない（first_time で打った分は含まない）
3. hp_threshold が設定されていたら それを下回るまで使わない
4. invoke_rate の確率で発動
</t>
        </r>
      </text>
    </comment>
    <comment ref="B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最初のターンで必ず発動</t>
        </r>
      </text>
    </comment>
    <comment ref="C1" authorId="1">
      <text>
        <r>
          <rPr>
            <b/>
            <sz val="10"/>
            <color indexed="81"/>
            <rFont val="ＭＳ Ｐゴシック"/>
            <family val="2"/>
            <charset val="128"/>
          </rPr>
          <t>処理優先度を制御
・高いほど優先される
・同じ優先度のものは一つだけ発動</t>
        </r>
      </text>
    </comment>
    <comment ref="D1" authorId="1">
      <text>
        <r>
          <rPr>
            <b/>
            <sz val="10"/>
            <color indexed="81"/>
            <rFont val="ＭＳ Ｐゴシック"/>
            <family val="2"/>
            <charset val="128"/>
          </rPr>
          <t>発動確率</t>
        </r>
      </text>
    </comment>
    <comment ref="E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下回ったときに発動するHPの値(nullでHPに依存しない)</t>
        </r>
      </text>
    </comment>
    <comment ref="G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発動回数の上限(nullで上限無し)</t>
        </r>
      </text>
    </comment>
    <comment ref="H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指定した数値の倍数ターンで必ず発動
・null と 0 は無効</t>
        </r>
      </text>
    </comment>
    <comment ref="I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 character_id のお供が死んだ時に発動
null:無効
0:全お供が対象</t>
        </r>
      </text>
    </comment>
    <comment ref="J1" authorId="1">
      <text>
        <r>
          <rPr>
            <b/>
            <sz val="10"/>
            <color indexed="81"/>
            <rFont val="ＭＳ Ｐゴシック"/>
            <family val="2"/>
            <charset val="128"/>
          </rPr>
          <t>[UNUSED]
システム側では未使用。</t>
        </r>
      </text>
    </comment>
  </commentList>
</comments>
</file>

<file path=xl/comments5.xml><?xml version="1.0" encoding="utf-8"?>
<comments xmlns="http://schemas.openxmlformats.org/spreadsheetml/2006/main">
  <authors>
    <author>加藤 雅大</author>
  </authors>
  <commentList>
    <comment ref="E1" authorId="0">
      <text>
        <r>
          <rPr>
            <b/>
            <sz val="10"/>
            <color indexed="81"/>
            <rFont val="ＭＳ Ｐゴシック"/>
            <family val="2"/>
            <charset val="128"/>
          </rPr>
          <t>加藤 雅大:</t>
        </r>
        <r>
          <rPr>
            <sz val="10"/>
            <color indexed="81"/>
            <rFont val="ＭＳ Ｐゴシック"/>
            <family val="3"/>
            <charset val="128"/>
          </rPr>
          <t xml:space="preserve">
quest_id,stage_idの組に対して一意であること</t>
        </r>
      </text>
    </comment>
  </commentList>
</comments>
</file>

<file path=xl/comments6.xml><?xml version="1.0" encoding="utf-8"?>
<comments xmlns="http://schemas.openxmlformats.org/spreadsheetml/2006/main">
  <authors>
    <author>加藤 雅大</author>
  </authors>
  <commentList>
    <comment ref="E1" authorId="0">
      <text>
        <r>
          <rPr>
            <b/>
            <sz val="10"/>
            <color indexed="81"/>
            <rFont val="ＭＳ Ｐゴシック"/>
            <family val="2"/>
            <charset val="128"/>
          </rPr>
          <t>加藤 雅大:</t>
        </r>
        <r>
          <rPr>
            <sz val="10"/>
            <color indexed="81"/>
            <rFont val="ＭＳ Ｐゴシック"/>
            <family val="3"/>
            <charset val="128"/>
          </rPr>
          <t xml:space="preserve">
実際に使う場合は不要な難易度を消し、stage_idに置き換えてください</t>
        </r>
      </text>
    </comment>
  </commentList>
</comments>
</file>

<file path=xl/sharedStrings.xml><?xml version="1.0" encoding="utf-8"?>
<sst xmlns="http://schemas.openxmlformats.org/spreadsheetml/2006/main" count="1522" uniqueCount="502">
  <si>
    <t>quest_id</t>
  </si>
  <si>
    <t>stage_id</t>
  </si>
  <si>
    <t>character_id</t>
  </si>
  <si>
    <t>level</t>
  </si>
  <si>
    <t>skill_set_id</t>
    <phoneticPr fontId="5"/>
  </si>
  <si>
    <t>fix_count</t>
  </si>
  <si>
    <t>incidence</t>
  </si>
  <si>
    <t>boss_flg</t>
  </si>
  <si>
    <t>speed</t>
  </si>
  <si>
    <t>drop_unit_id</t>
  </si>
  <si>
    <t>drop_unit_level</t>
  </si>
  <si>
    <t>drop_unit_rare</t>
  </si>
  <si>
    <t>drop_unit_rate</t>
  </si>
  <si>
    <t>floor_id</t>
  </si>
  <si>
    <t>total_size_min</t>
  </si>
  <si>
    <t>total_size_max</t>
  </si>
  <si>
    <t>name</t>
    <phoneticPr fontId="5"/>
  </si>
  <si>
    <t>rare</t>
    <phoneticPr fontId="5"/>
  </si>
  <si>
    <t>name</t>
    <phoneticPr fontId="5"/>
  </si>
  <si>
    <t>floor_id</t>
    <phoneticPr fontId="5"/>
  </si>
  <si>
    <t>name</t>
    <phoneticPr fontId="5"/>
  </si>
  <si>
    <t>name</t>
    <phoneticPr fontId="5"/>
  </si>
  <si>
    <t>skill_set_id</t>
  </si>
  <si>
    <t>drop_label</t>
    <phoneticPr fontId="5"/>
  </si>
  <si>
    <t>color</t>
    <phoneticPr fontId="5"/>
  </si>
  <si>
    <t>size</t>
    <phoneticPr fontId="5"/>
  </si>
  <si>
    <t>character_main_tribe_id</t>
    <phoneticPr fontId="5"/>
  </si>
  <si>
    <t>drop_label</t>
    <phoneticPr fontId="7"/>
  </si>
  <si>
    <t>temp_stage</t>
    <phoneticPr fontId="5"/>
  </si>
  <si>
    <t>temp_habitats</t>
    <phoneticPr fontId="5"/>
  </si>
  <si>
    <t>temp_floor</t>
    <phoneticPr fontId="5"/>
  </si>
  <si>
    <t>スキル</t>
    <phoneticPr fontId="5"/>
  </si>
  <si>
    <t>temp_stage</t>
    <phoneticPr fontId="5"/>
  </si>
  <si>
    <t>位置付け</t>
    <rPh sb="0" eb="3">
      <t>イチヅ</t>
    </rPh>
    <phoneticPr fontId="5"/>
  </si>
  <si>
    <t>name</t>
    <phoneticPr fontId="5"/>
  </si>
  <si>
    <t>temp_floor</t>
    <phoneticPr fontId="5"/>
  </si>
  <si>
    <t>status</t>
    <phoneticPr fontId="5"/>
  </si>
  <si>
    <t>hp_plus</t>
  </si>
  <si>
    <t>hp_plus</t>
    <phoneticPr fontId="5"/>
  </si>
  <si>
    <t>attack_plus</t>
  </si>
  <si>
    <t>attack_plus</t>
    <phoneticPr fontId="5"/>
  </si>
  <si>
    <t>defense_plus</t>
  </si>
  <si>
    <t>defense_plus</t>
    <phoneticPr fontId="5"/>
  </si>
  <si>
    <t>heal_plus</t>
  </si>
  <si>
    <t>heal_plus</t>
    <phoneticPr fontId="5"/>
  </si>
  <si>
    <t>bug</t>
  </si>
  <si>
    <t>bug</t>
    <phoneticPr fontId="5"/>
  </si>
  <si>
    <t>hp_coefficient</t>
  </si>
  <si>
    <t>hp_coefficient</t>
    <phoneticPr fontId="5"/>
  </si>
  <si>
    <t>attack_coefficient</t>
  </si>
  <si>
    <t>attack_coefficient</t>
    <phoneticPr fontId="5"/>
  </si>
  <si>
    <t>defense_correction</t>
  </si>
  <si>
    <t>defense_correction</t>
    <phoneticPr fontId="5"/>
  </si>
  <si>
    <t>null</t>
    <phoneticPr fontId="5"/>
  </si>
  <si>
    <t>seq_no</t>
    <phoneticPr fontId="5"/>
  </si>
  <si>
    <t>state_no</t>
    <phoneticPr fontId="5"/>
  </si>
  <si>
    <t>character_id</t>
    <phoneticPr fontId="5"/>
  </si>
  <si>
    <t>level</t>
    <phoneticPr fontId="5"/>
  </si>
  <si>
    <t>speed</t>
    <phoneticPr fontId="5"/>
  </si>
  <si>
    <t>skill_set_id</t>
    <phoneticPr fontId="5"/>
  </si>
  <si>
    <t>temp_id</t>
    <phoneticPr fontId="5"/>
  </si>
  <si>
    <t>skill_set_id</t>
    <phoneticPr fontId="7"/>
  </si>
  <si>
    <t>skill_id</t>
    <phoneticPr fontId="7"/>
  </si>
  <si>
    <t>name</t>
    <phoneticPr fontId="7"/>
  </si>
  <si>
    <t>comment</t>
    <phoneticPr fontId="7"/>
  </si>
  <si>
    <t>skill_trigger_id</t>
    <phoneticPr fontId="7"/>
  </si>
  <si>
    <t>first_time</t>
    <phoneticPr fontId="5"/>
  </si>
  <si>
    <t>priority</t>
    <phoneticPr fontId="5"/>
  </si>
  <si>
    <t>priority</t>
    <phoneticPr fontId="5"/>
  </si>
  <si>
    <t>invoke_rate</t>
    <phoneticPr fontId="5"/>
  </si>
  <si>
    <t>hp_threshold</t>
    <phoneticPr fontId="5"/>
  </si>
  <si>
    <t>hp_termination</t>
    <phoneticPr fontId="5"/>
  </si>
  <si>
    <t>invoke_times</t>
    <phoneticPr fontId="5"/>
  </si>
  <si>
    <t>every_time_count</t>
    <phoneticPr fontId="5"/>
  </si>
  <si>
    <t>neighbor_dead_id</t>
    <phoneticPr fontId="5"/>
  </si>
  <si>
    <t>invoke_weight</t>
    <phoneticPr fontId="5"/>
  </si>
  <si>
    <t>作成者</t>
    <rPh sb="0" eb="3">
      <t>サクセイシャ</t>
    </rPh>
    <phoneticPr fontId="5"/>
  </si>
  <si>
    <t>更新日</t>
    <rPh sb="0" eb="3">
      <t>コウシンニチジ</t>
    </rPh>
    <phoneticPr fontId="5"/>
  </si>
  <si>
    <t>備考（使用箇所）</t>
    <rPh sb="0" eb="2">
      <t>ビコウ</t>
    </rPh>
    <rPh sb="3" eb="7">
      <t>シヨウカショ</t>
    </rPh>
    <phoneticPr fontId="5"/>
  </si>
  <si>
    <t>enemy_skill_id</t>
  </si>
  <si>
    <t>effect_param</t>
    <phoneticPr fontId="5"/>
  </si>
  <si>
    <t>valid_flg</t>
  </si>
  <si>
    <t>name</t>
    <phoneticPr fontId="7"/>
  </si>
  <si>
    <t>comment</t>
    <phoneticPr fontId="7"/>
  </si>
  <si>
    <t>skill_trigger_id</t>
    <phoneticPr fontId="7"/>
  </si>
  <si>
    <t>first_time</t>
    <phoneticPr fontId="5"/>
  </si>
  <si>
    <t>priority</t>
    <phoneticPr fontId="5"/>
  </si>
  <si>
    <t>invoke_rate</t>
    <phoneticPr fontId="5"/>
  </si>
  <si>
    <t>重複チェック</t>
    <rPh sb="0" eb="2">
      <t>チョウフク</t>
    </rPh>
    <phoneticPr fontId="5"/>
  </si>
  <si>
    <t>null</t>
    <phoneticPr fontId="5"/>
  </si>
  <si>
    <t>enemy_skills</t>
    <phoneticPr fontId="5"/>
  </si>
  <si>
    <t>language</t>
  </si>
  <si>
    <t>name</t>
  </si>
  <si>
    <t>comment</t>
  </si>
  <si>
    <t>skill_trigger_id</t>
  </si>
  <si>
    <t>first_time</t>
  </si>
  <si>
    <t>invoke_rate</t>
  </si>
  <si>
    <t>hp_threshold</t>
  </si>
  <si>
    <t>invoke_times</t>
  </si>
  <si>
    <t>skill_id</t>
  </si>
  <si>
    <t>接頭語</t>
    <rPh sb="0" eb="3">
      <t>セットウゴ</t>
    </rPh>
    <phoneticPr fontId="5"/>
  </si>
  <si>
    <t>識別子</t>
    <rPh sb="0" eb="3">
      <t>シキベツシ</t>
    </rPh>
    <phoneticPr fontId="5"/>
  </si>
  <si>
    <t>形式</t>
    <rPh sb="0" eb="2">
      <t>ケイシキ</t>
    </rPh>
    <phoneticPr fontId="5"/>
  </si>
  <si>
    <t>出力ファイル名</t>
    <rPh sb="0" eb="2">
      <t>シュツリョク</t>
    </rPh>
    <rPh sb="6" eb="7">
      <t>メイ</t>
    </rPh>
    <phoneticPr fontId="5"/>
  </si>
  <si>
    <t>入力シート名</t>
    <rPh sb="0" eb="2">
      <t>ニュウリョク</t>
    </rPh>
    <rPh sb="5" eb="6">
      <t>メイ</t>
    </rPh>
    <phoneticPr fontId="5"/>
  </si>
  <si>
    <t>出力データ</t>
    <rPh sb="0" eb="2">
      <t>シュツリョク</t>
    </rPh>
    <phoneticPr fontId="5"/>
  </si>
  <si>
    <t>floors_</t>
    <phoneticPr fontId="5"/>
  </si>
  <si>
    <t>.tmp</t>
    <phoneticPr fontId="5"/>
  </si>
  <si>
    <t>floors</t>
    <phoneticPr fontId="5"/>
  </si>
  <si>
    <t>enemy_habitats_</t>
    <phoneticPr fontId="5"/>
  </si>
  <si>
    <t>enemy_habitats</t>
    <phoneticPr fontId="5"/>
  </si>
  <si>
    <t>enemy_habitat_S_</t>
    <phoneticPr fontId="5"/>
  </si>
  <si>
    <t>enemy_habitat_S</t>
    <phoneticPr fontId="5"/>
  </si>
  <si>
    <t>enemy_skill_sets_</t>
    <phoneticPr fontId="5"/>
  </si>
  <si>
    <t>enemy_skill_sets</t>
    <phoneticPr fontId="5"/>
  </si>
  <si>
    <t>enemy_skills_tmp_</t>
    <phoneticPr fontId="5"/>
  </si>
  <si>
    <t>.tmp</t>
    <phoneticPr fontId="5"/>
  </si>
  <si>
    <t>enemy_skills_i18n_</t>
    <phoneticPr fontId="5"/>
  </si>
  <si>
    <t>enemy_skills</t>
    <phoneticPr fontId="5"/>
  </si>
  <si>
    <t>enemy_skill_triggers_</t>
    <phoneticPr fontId="5"/>
  </si>
  <si>
    <t>.tmp</t>
    <phoneticPr fontId="5"/>
  </si>
  <si>
    <t>enemy_skill_triggers</t>
    <phoneticPr fontId="5"/>
  </si>
  <si>
    <t>hp_termination</t>
    <phoneticPr fontId="5"/>
  </si>
  <si>
    <t>invoke_weight</t>
    <phoneticPr fontId="5"/>
  </si>
  <si>
    <t>every_time_count</t>
    <phoneticPr fontId="5"/>
  </si>
  <si>
    <t>neighbor_dead_id</t>
    <phoneticPr fontId="5"/>
  </si>
  <si>
    <t>language</t>
    <phoneticPr fontId="5"/>
  </si>
  <si>
    <t>skill_set_id</t>
    <phoneticPr fontId="5"/>
  </si>
  <si>
    <t>スキル</t>
    <phoneticPr fontId="5"/>
  </si>
  <si>
    <t>出力flg</t>
    <rPh sb="0" eb="2">
      <t>シュツリョク</t>
    </rPh>
    <phoneticPr fontId="5"/>
  </si>
  <si>
    <t>中間文字列１</t>
    <rPh sb="0" eb="2">
      <t>チュウカン</t>
    </rPh>
    <rPh sb="2" eb="5">
      <t>モジレツ</t>
    </rPh>
    <phoneticPr fontId="5"/>
  </si>
  <si>
    <t>効果１文字列</t>
    <rPh sb="0" eb="2">
      <t>コウカ</t>
    </rPh>
    <rPh sb="3" eb="6">
      <t>モジレツ</t>
    </rPh>
    <phoneticPr fontId="5"/>
  </si>
  <si>
    <t>効果１簡易デコード</t>
    <rPh sb="0" eb="2">
      <t>コウカ</t>
    </rPh>
    <rPh sb="3" eb="5">
      <t>カンイ</t>
    </rPh>
    <phoneticPr fontId="5"/>
  </si>
  <si>
    <t>効果２文字列</t>
    <rPh sb="0" eb="2">
      <t>コウカ</t>
    </rPh>
    <rPh sb="3" eb="6">
      <t>モジレツ</t>
    </rPh>
    <phoneticPr fontId="5"/>
  </si>
  <si>
    <t>効果２簡易デコード</t>
    <rPh sb="0" eb="2">
      <t>コウカ</t>
    </rPh>
    <rPh sb="3" eb="5">
      <t>カンイ</t>
    </rPh>
    <phoneticPr fontId="5"/>
  </si>
  <si>
    <t>効果３文字列</t>
    <rPh sb="0" eb="2">
      <t>コウカ</t>
    </rPh>
    <rPh sb="3" eb="6">
      <t>モジレツ</t>
    </rPh>
    <phoneticPr fontId="5"/>
  </si>
  <si>
    <t>効果３簡易デコード</t>
    <rPh sb="0" eb="2">
      <t>コウカ</t>
    </rPh>
    <rPh sb="3" eb="5">
      <t>カンイ</t>
    </rPh>
    <phoneticPr fontId="5"/>
  </si>
  <si>
    <t>効果１efect位置</t>
    <rPh sb="0" eb="2">
      <t>コウカ</t>
    </rPh>
    <rPh sb="8" eb="10">
      <t>イチ</t>
    </rPh>
    <phoneticPr fontId="5"/>
  </si>
  <si>
    <t>効果１target位置</t>
    <rPh sb="0" eb="2">
      <t>コウカ</t>
    </rPh>
    <rPh sb="9" eb="11">
      <t>イチ</t>
    </rPh>
    <phoneticPr fontId="5"/>
  </si>
  <si>
    <t>効果1終了位置</t>
    <rPh sb="0" eb="2">
      <t>コウカ</t>
    </rPh>
    <rPh sb="3" eb="5">
      <t>シュウリョウ</t>
    </rPh>
    <rPh sb="5" eb="7">
      <t>イチ</t>
    </rPh>
    <phoneticPr fontId="5"/>
  </si>
  <si>
    <t>効果1target終了位置</t>
    <rPh sb="0" eb="2">
      <t>コウカ</t>
    </rPh>
    <rPh sb="9" eb="11">
      <t>シュウリョウ</t>
    </rPh>
    <rPh sb="11" eb="13">
      <t>イチ</t>
    </rPh>
    <phoneticPr fontId="5"/>
  </si>
  <si>
    <t>効果2efect位置</t>
    <rPh sb="0" eb="2">
      <t>コウカ</t>
    </rPh>
    <rPh sb="8" eb="10">
      <t>イチ</t>
    </rPh>
    <phoneticPr fontId="5"/>
  </si>
  <si>
    <t>効果2終了位置</t>
    <rPh sb="0" eb="2">
      <t>コウカ</t>
    </rPh>
    <rPh sb="3" eb="5">
      <t>シュウリョウ</t>
    </rPh>
    <rPh sb="5" eb="7">
      <t>イチ</t>
    </rPh>
    <phoneticPr fontId="5"/>
  </si>
  <si>
    <t>効果2target位置</t>
    <rPh sb="0" eb="2">
      <t>コウカ</t>
    </rPh>
    <rPh sb="9" eb="11">
      <t>イチ</t>
    </rPh>
    <phoneticPr fontId="5"/>
  </si>
  <si>
    <t>効果2target終了位置</t>
    <rPh sb="0" eb="2">
      <t>コウカ</t>
    </rPh>
    <rPh sb="9" eb="11">
      <t>シュウリョウ</t>
    </rPh>
    <rPh sb="11" eb="13">
      <t>イチ</t>
    </rPh>
    <phoneticPr fontId="5"/>
  </si>
  <si>
    <t>効果3efect位置</t>
    <rPh sb="0" eb="2">
      <t>コウカ</t>
    </rPh>
    <rPh sb="8" eb="10">
      <t>イチ</t>
    </rPh>
    <phoneticPr fontId="5"/>
  </si>
  <si>
    <t>効果3終了位置</t>
    <rPh sb="0" eb="2">
      <t>コウカ</t>
    </rPh>
    <rPh sb="3" eb="5">
      <t>シュウリョウ</t>
    </rPh>
    <rPh sb="5" eb="7">
      <t>イチ</t>
    </rPh>
    <phoneticPr fontId="5"/>
  </si>
  <si>
    <t>効果3target位置</t>
    <rPh sb="0" eb="2">
      <t>コウカ</t>
    </rPh>
    <rPh sb="9" eb="11">
      <t>イチ</t>
    </rPh>
    <phoneticPr fontId="5"/>
  </si>
  <si>
    <t>効果3target終了位置</t>
    <rPh sb="0" eb="2">
      <t>コウカ</t>
    </rPh>
    <rPh sb="9" eb="11">
      <t>シュウリョウ</t>
    </rPh>
    <rPh sb="11" eb="13">
      <t>イチ</t>
    </rPh>
    <phoneticPr fontId="5"/>
  </si>
  <si>
    <t>quest_id</t>
    <phoneticPr fontId="5"/>
  </si>
  <si>
    <t>stage_id</t>
    <phoneticPr fontId="5"/>
  </si>
  <si>
    <t>temp_stage</t>
    <phoneticPr fontId="7"/>
  </si>
  <si>
    <t>stage_target</t>
    <phoneticPr fontId="5"/>
  </si>
  <si>
    <t>bonus_id</t>
    <phoneticPr fontId="5"/>
  </si>
  <si>
    <t>bonus_type</t>
    <phoneticPr fontId="5"/>
  </si>
  <si>
    <t>bonus_value</t>
    <phoneticPr fontId="5"/>
  </si>
  <si>
    <t>bonus_count</t>
    <phoneticPr fontId="5"/>
  </si>
  <si>
    <t>level</t>
    <phoneticPr fontId="5"/>
  </si>
  <si>
    <t>skill_level</t>
    <phoneticPr fontId="5"/>
  </si>
  <si>
    <t>hp_plus</t>
    <phoneticPr fontId="5"/>
  </si>
  <si>
    <t>attack_plus</t>
    <phoneticPr fontId="5"/>
  </si>
  <si>
    <t>defense_plus</t>
    <phoneticPr fontId="5"/>
  </si>
  <si>
    <t>heal_plus</t>
    <phoneticPr fontId="5"/>
  </si>
  <si>
    <t>bug</t>
    <phoneticPr fontId="5"/>
  </si>
  <si>
    <t>weight</t>
    <phoneticPr fontId="5"/>
  </si>
  <si>
    <t>definite_start_date</t>
    <phoneticPr fontId="5"/>
  </si>
  <si>
    <t>definite_end_date</t>
    <phoneticPr fontId="5"/>
  </si>
  <si>
    <t>2015-03-27 00:00:00</t>
  </si>
  <si>
    <t>2970-01-01 09:00:00</t>
  </si>
  <si>
    <r>
      <t>.</t>
    </r>
    <r>
      <rPr>
        <sz val="12"/>
        <color theme="1"/>
        <rFont val="ＭＳ Ｐゴシック"/>
        <family val="2"/>
        <charset val="128"/>
        <scheme val="minor"/>
      </rPr>
      <t>tmp</t>
    </r>
    <phoneticPr fontId="5"/>
  </si>
  <si>
    <t>bugbonuses</t>
    <phoneticPr fontId="5"/>
  </si>
  <si>
    <t>stage_id</t>
    <phoneticPr fontId="5"/>
  </si>
  <si>
    <t>stage_target</t>
    <phoneticPr fontId="5"/>
  </si>
  <si>
    <t>bonus_id</t>
    <phoneticPr fontId="5"/>
  </si>
  <si>
    <t>bonus_type</t>
    <phoneticPr fontId="5"/>
  </si>
  <si>
    <t>stage_bug_bonuses_</t>
    <phoneticPr fontId="5"/>
  </si>
  <si>
    <t>skill_level</t>
    <phoneticPr fontId="5"/>
  </si>
  <si>
    <t>skill_level</t>
    <phoneticPr fontId="5"/>
  </si>
  <si>
    <r>
      <t>.</t>
    </r>
    <r>
      <rPr>
        <sz val="12"/>
        <color theme="1"/>
        <rFont val="ＭＳ Ｐゴシック"/>
        <family val="2"/>
        <charset val="128"/>
        <scheme val="minor"/>
      </rPr>
      <t>tmp</t>
    </r>
    <phoneticPr fontId="5"/>
  </si>
  <si>
    <t>quest_id</t>
    <phoneticPr fontId="5"/>
  </si>
  <si>
    <t>hint_id</t>
    <phoneticPr fontId="5"/>
  </si>
  <si>
    <t>floor_id</t>
    <phoneticPr fontId="5"/>
  </si>
  <si>
    <t>hint_type</t>
    <phoneticPr fontId="5"/>
  </si>
  <si>
    <t>hint</t>
    <phoneticPr fontId="5"/>
  </si>
  <si>
    <t>title</t>
    <phoneticPr fontId="5"/>
  </si>
  <si>
    <t>hint_type</t>
    <phoneticPr fontId="5"/>
  </si>
  <si>
    <t>quest_id</t>
    <phoneticPr fontId="5"/>
  </si>
  <si>
    <t>name</t>
    <phoneticPr fontId="5"/>
  </si>
  <si>
    <t>stage_id</t>
    <phoneticPr fontId="5"/>
  </si>
  <si>
    <t>name</t>
    <phoneticPr fontId="5"/>
  </si>
  <si>
    <t>floor_id</t>
    <phoneticPr fontId="5"/>
  </si>
  <si>
    <t>tmp_hint_id</t>
    <phoneticPr fontId="5"/>
  </si>
  <si>
    <t>hint_id</t>
    <phoneticPr fontId="5"/>
  </si>
  <si>
    <t>filename</t>
    <phoneticPr fontId="5"/>
  </si>
  <si>
    <t>failure</t>
  </si>
  <si>
    <t>ja</t>
    <phoneticPr fontId="5"/>
  </si>
  <si>
    <t>NULL</t>
    <phoneticPr fontId="5"/>
  </si>
  <si>
    <t>stage_hints_data_c_</t>
    <phoneticPr fontId="5"/>
  </si>
  <si>
    <t>stage_hints_data_f_</t>
    <phoneticPr fontId="5"/>
  </si>
  <si>
    <r>
      <t>stage_hints_i18n</t>
    </r>
    <r>
      <rPr>
        <sz val="12"/>
        <color theme="1"/>
        <rFont val="ＭＳ Ｐゴシック"/>
        <family val="2"/>
        <charset val="128"/>
        <scheme val="minor"/>
      </rPr>
      <t>_</t>
    </r>
    <phoneticPr fontId="5"/>
  </si>
  <si>
    <t>hint_id</t>
    <phoneticPr fontId="5"/>
  </si>
  <si>
    <t>language</t>
    <phoneticPr fontId="5"/>
  </si>
  <si>
    <t>hint</t>
    <phoneticPr fontId="5"/>
  </si>
  <si>
    <t>filename</t>
  </si>
  <si>
    <t>title</t>
    <phoneticPr fontId="5"/>
  </si>
  <si>
    <r>
      <t>stage_hints</t>
    </r>
    <r>
      <rPr>
        <sz val="12"/>
        <color theme="1"/>
        <rFont val="ＭＳ Ｐゴシック"/>
        <family val="2"/>
        <charset val="128"/>
        <scheme val="minor"/>
      </rPr>
      <t>_complete</t>
    </r>
    <phoneticPr fontId="5"/>
  </si>
  <si>
    <t>stage_hints_failure</t>
    <phoneticPr fontId="5"/>
  </si>
  <si>
    <t>stage_hints_failure</t>
    <phoneticPr fontId="5"/>
  </si>
  <si>
    <t>temp_id</t>
    <phoneticPr fontId="5"/>
  </si>
  <si>
    <t>quest_id</t>
    <phoneticPr fontId="5"/>
  </si>
  <si>
    <t>name</t>
    <phoneticPr fontId="5"/>
  </si>
  <si>
    <t>stage_id</t>
    <phoneticPr fontId="5"/>
  </si>
  <si>
    <t>name</t>
    <phoneticPr fontId="5"/>
  </si>
  <si>
    <t>stage_target</t>
    <phoneticPr fontId="5"/>
  </si>
  <si>
    <t>bonus_category</t>
    <phoneticPr fontId="5"/>
  </si>
  <si>
    <t>bonus_id</t>
    <phoneticPr fontId="5"/>
  </si>
  <si>
    <t>weight</t>
    <phoneticPr fontId="5"/>
  </si>
  <si>
    <t>bonus_type</t>
    <phoneticPr fontId="5"/>
  </si>
  <si>
    <t>bonus_count</t>
    <phoneticPr fontId="5"/>
  </si>
  <si>
    <t>skill_level</t>
    <phoneticPr fontId="5"/>
  </si>
  <si>
    <t>definite_start_date</t>
    <phoneticPr fontId="5"/>
  </si>
  <si>
    <t>definite_end_date</t>
    <phoneticPr fontId="5"/>
  </si>
  <si>
    <t>everyone</t>
    <phoneticPr fontId="5"/>
  </si>
  <si>
    <t>clear</t>
    <phoneticPr fontId="5"/>
  </si>
  <si>
    <t>unit</t>
    <phoneticPr fontId="5"/>
  </si>
  <si>
    <t>2016-5-27 0:00:00</t>
    <phoneticPr fontId="5"/>
  </si>
  <si>
    <t>2970-01-01 09:00:00</t>
    <phoneticPr fontId="5"/>
  </si>
  <si>
    <t>no_continue</t>
    <phoneticPr fontId="5"/>
  </si>
  <si>
    <t>stage_bonuses</t>
    <phoneticPr fontId="5"/>
  </si>
  <si>
    <t>.tmp</t>
    <phoneticPr fontId="5"/>
  </si>
  <si>
    <t>quest_id</t>
    <phoneticPr fontId="5"/>
  </si>
  <si>
    <t>stage_id</t>
    <phoneticPr fontId="5"/>
  </si>
  <si>
    <t>stage_target</t>
    <phoneticPr fontId="5"/>
  </si>
  <si>
    <t>bonus_category</t>
    <phoneticPr fontId="5"/>
  </si>
  <si>
    <t>bonus_id</t>
    <phoneticPr fontId="5"/>
  </si>
  <si>
    <t>bonus_type</t>
    <phoneticPr fontId="5"/>
  </si>
  <si>
    <t>bonus_value</t>
    <phoneticPr fontId="5"/>
  </si>
  <si>
    <t>bonus_count</t>
    <phoneticPr fontId="5"/>
  </si>
  <si>
    <t>level</t>
    <phoneticPr fontId="5"/>
  </si>
  <si>
    <t>skill_level</t>
    <phoneticPr fontId="5"/>
  </si>
  <si>
    <t>hp_plus</t>
    <phoneticPr fontId="5"/>
  </si>
  <si>
    <t>attack_plus</t>
    <phoneticPr fontId="5"/>
  </si>
  <si>
    <t>defense_plus</t>
    <phoneticPr fontId="5"/>
  </si>
  <si>
    <t>heal_plus</t>
    <phoneticPr fontId="5"/>
  </si>
  <si>
    <t>bug</t>
    <phoneticPr fontId="5"/>
  </si>
  <si>
    <t>weight</t>
    <phoneticPr fontId="5"/>
  </si>
  <si>
    <t>definite_start_date</t>
    <phoneticPr fontId="5"/>
  </si>
  <si>
    <t>definite_end_date</t>
    <phoneticPr fontId="5"/>
  </si>
  <si>
    <t>stage_bonuses_</t>
    <phoneticPr fontId="5"/>
  </si>
  <si>
    <t>hp</t>
    <phoneticPr fontId="5"/>
  </si>
  <si>
    <t>attack</t>
    <phoneticPr fontId="5"/>
  </si>
  <si>
    <t>攻略のヒント</t>
    <rPh sb="0" eb="2">
      <t>コウリャク</t>
    </rPh>
    <phoneticPr fontId="5"/>
  </si>
  <si>
    <t>null</t>
    <phoneticPr fontId="5"/>
  </si>
  <si>
    <t>ja</t>
    <phoneticPr fontId="5"/>
  </si>
  <si>
    <t>参照用コード（ここにeffect_paramを入力してください）</t>
    <rPh sb="0" eb="3">
      <t>サンショウヨウ</t>
    </rPh>
    <rPh sb="23" eb="25">
      <t>ニュウry</t>
    </rPh>
    <phoneticPr fontId="5"/>
  </si>
  <si>
    <t>文字数確認欄</t>
    <rPh sb="0" eb="6">
      <t>モジス</t>
    </rPh>
    <phoneticPr fontId="5"/>
  </si>
  <si>
    <t>ネコ</t>
    <phoneticPr fontId="5"/>
  </si>
  <si>
    <t>バトルネコ</t>
    <phoneticPr fontId="5"/>
  </si>
  <si>
    <t>ネコノトリ</t>
    <phoneticPr fontId="5"/>
  </si>
  <si>
    <t>タンクネコ</t>
    <phoneticPr fontId="5"/>
  </si>
  <si>
    <t>キモネコ</t>
    <phoneticPr fontId="5"/>
  </si>
  <si>
    <t>巨神ネコ</t>
    <rPh sb="0" eb="2">
      <t>キョシn</t>
    </rPh>
    <phoneticPr fontId="5"/>
  </si>
  <si>
    <t>ヴァルキリー</t>
    <phoneticPr fontId="5"/>
  </si>
  <si>
    <t>ヴァルキリー２</t>
    <phoneticPr fontId="5"/>
  </si>
  <si>
    <t>ヴァルキリー３</t>
    <phoneticPr fontId="5"/>
  </si>
  <si>
    <t>クリティカル！１</t>
    <phoneticPr fontId="5"/>
  </si>
  <si>
    <t>毎ターン５０％：クリティカル！</t>
    <phoneticPr fontId="5"/>
  </si>
  <si>
    <t>開幕：３ターン全ユニットの回復力を３０％DOWN</t>
    <phoneticPr fontId="5"/>
  </si>
  <si>
    <t>毎ターン５０％：単体攻撃+対象の攻撃力を５０％DOWN</t>
    <phoneticPr fontId="5"/>
  </si>
  <si>
    <t>毎ターン７０％：クリティカル！（5,000）</t>
    <phoneticPr fontId="5"/>
  </si>
  <si>
    <t>２ターン目：２ターン赤パネル無効</t>
  </si>
  <si>
    <t>毎ターン５０％：自身の防御力をUP（1000）</t>
    <phoneticPr fontId="5"/>
  </si>
  <si>
    <t>毎ターン５０％：全体攻撃（1,000）</t>
    <phoneticPr fontId="5"/>
  </si>
  <si>
    <t>毎ターン７０％：クリティカル</t>
    <phoneticPr fontId="5"/>
  </si>
  <si>
    <t>2ターン毎：何もしない（キモいセリフを言います）</t>
    <phoneticPr fontId="5"/>
  </si>
  <si>
    <t>開幕：自身の防御力UP（5,000）</t>
    <phoneticPr fontId="5"/>
  </si>
  <si>
    <t>１ターン目：２ターン自身にカウンター（カウンターダメージは低め）</t>
    <phoneticPr fontId="5"/>
  </si>
  <si>
    <t>２ターン目：全体攻撃（10,000）</t>
    <phoneticPr fontId="5"/>
  </si>
  <si>
    <t>３ターン目：緑パネルをお邪魔パネルに最大８個変換</t>
    <phoneticPr fontId="5"/>
  </si>
  <si>
    <t>４ターン目：お邪魔パネルを吸収して防御力UP（１つにつき500程度）</t>
    <phoneticPr fontId="5"/>
  </si>
  <si>
    <t>開幕：緑パネルをプロテクト</t>
    <phoneticPr fontId="5"/>
  </si>
  <si>
    <t>１ターン目：２ターン全ユニットの回復力を５０％DOWN</t>
    <phoneticPr fontId="5"/>
  </si>
  <si>
    <t>２ターン目：全体攻撃</t>
    <phoneticPr fontId="5"/>
  </si>
  <si>
    <t>２ターン毎：２ターンユニット２体にスキルバインド</t>
    <phoneticPr fontId="5"/>
  </si>
  <si>
    <t>毎ターン７０％：全体攻撃</t>
    <phoneticPr fontId="5"/>
  </si>
  <si>
    <t>毎ターン３０％：２ターン全ユニットの攻撃力を３０％DOWN</t>
  </si>
  <si>
    <t>開幕：３ターンパネル生成延長(特大)</t>
    <phoneticPr fontId="5"/>
  </si>
  <si>
    <t>１ターン目：全体攻撃</t>
    <phoneticPr fontId="5"/>
  </si>
  <si>
    <t>２ターン目：赤パネルプロテクト（最大３個）+単体攻撃</t>
    <phoneticPr fontId="5"/>
  </si>
  <si>
    <t>３ターン目：青パネルプロテクト（最大３個）+単体攻撃</t>
    <phoneticPr fontId="5"/>
  </si>
  <si>
    <t>ネコのクリティカル</t>
    <phoneticPr fontId="5"/>
  </si>
  <si>
    <t>ネコだらけのクリティカル</t>
    <phoneticPr fontId="5"/>
  </si>
  <si>
    <t>39012_5</t>
    <phoneticPr fontId="5"/>
  </si>
  <si>
    <t>雑魚</t>
    <rPh sb="0" eb="2">
      <t>ザk</t>
    </rPh>
    <phoneticPr fontId="5"/>
  </si>
  <si>
    <t>バトルネコのクリティカル</t>
    <phoneticPr fontId="5"/>
  </si>
  <si>
    <t>タンクネコの全体攻撃</t>
    <rPh sb="6" eb="10">
      <t>ゼンタ</t>
    </rPh>
    <phoneticPr fontId="5"/>
  </si>
  <si>
    <t>[effect:enhance_enemy, target:myself, turn:1, status:defense, val:1000, calc:add, animation:enemy_enhance_defense]</t>
    <phoneticPr fontId="5"/>
  </si>
  <si>
    <t>[effect:dis_panel, target:block_red, turn:2, animation:enemy_dis_red]</t>
    <phoneticPr fontId="5"/>
  </si>
  <si>
    <t>[effect:degrade_unit, target:unit_all, turn:2, status:heal, val:0.5, calc:mul, animation:degrade_unit_all_heal]</t>
    <phoneticPr fontId="5"/>
  </si>
  <si>
    <t>[effect:enemy_counter, target:myself, invoke_condition:unit_all, counter_target:attacker, turn:2, val:0.1, animation:enemy_counter]</t>
    <phoneticPr fontId="5"/>
  </si>
  <si>
    <t>[effect:force_change_block, new_block:jammer, target:block_green, count:8, val:0, animation:change_block]</t>
    <phoneticPr fontId="5"/>
  </si>
  <si>
    <t>[effect:break_enchance_enemy, target:myself, val:500, lowest_val:0, count:-1, status:defense, turn:2, block01:jammer, calc:add, animation:enemy_enhance_defense]</t>
    <phoneticPr fontId="5"/>
  </si>
  <si>
    <t>[effect:crash_condition, target:unit_all, turn:3, val:3, animation:enemy_crash_extend]</t>
    <phoneticPr fontId="5"/>
  </si>
  <si>
    <t>[effect:degrade_unit, target:unit_all, turn:3, status:heal, val:0.3, calc:mul, animation:degrade_unit_all_heal], [effect:fix_speed, target:myself, turn:2]</t>
    <phoneticPr fontId="5"/>
  </si>
  <si>
    <t>[表示しない]</t>
    <rPh sb="1" eb="3">
      <t>ヒョ</t>
    </rPh>
    <phoneticPr fontId="5"/>
  </si>
  <si>
    <t>[effect:fix_speed, target:myself, turn:2]</t>
    <phoneticPr fontId="5"/>
  </si>
  <si>
    <t>開幕：行動頻度１に揃える</t>
    <rPh sb="0" eb="2">
      <t>カイマk</t>
    </rPh>
    <rPh sb="3" eb="7">
      <t>コウド</t>
    </rPh>
    <rPh sb="9" eb="10">
      <t>ソロ</t>
    </rPh>
    <phoneticPr fontId="5"/>
  </si>
  <si>
    <t>old</t>
    <phoneticPr fontId="5"/>
  </si>
  <si>
    <t xml:space="preserve">ネコが大量出現しても
あせらず一体ずつ倒せばいいにゃ
</t>
    <rPh sb="5" eb="7">
      <t>タイリョ</t>
    </rPh>
    <rPh sb="15" eb="17">
      <t>イッタイズ</t>
    </rPh>
    <rPh sb="19" eb="20">
      <t>タオs</t>
    </rPh>
    <phoneticPr fontId="5"/>
  </si>
  <si>
    <t>バトルネコは１回だけ赤パネルを
無効にするスキルを使用するにゃ
時には受け流すことも必要にゃ</t>
    <rPh sb="10" eb="11">
      <t>アカパn</t>
    </rPh>
    <rPh sb="25" eb="27">
      <t>シヨウs</t>
    </rPh>
    <rPh sb="32" eb="33">
      <t>トキn</t>
    </rPh>
    <rPh sb="35" eb="36">
      <t>ウケナガs</t>
    </rPh>
    <rPh sb="42" eb="44">
      <t>ヒツヨ</t>
    </rPh>
    <phoneticPr fontId="5"/>
  </si>
  <si>
    <t>ネコヴァルキリーは
全体攻撃を頻繁に使用するにゃ
防御力を上げたり
カウンターを持つのも手にゃ</t>
    <rPh sb="10" eb="14">
      <t>ゼンタ</t>
    </rPh>
    <rPh sb="15" eb="17">
      <t>ヒンパン</t>
    </rPh>
    <rPh sb="18" eb="20">
      <t>シヨ</t>
    </rPh>
    <rPh sb="25" eb="28">
      <t>ボ</t>
    </rPh>
    <rPh sb="29" eb="30">
      <t>アg</t>
    </rPh>
    <rPh sb="40" eb="41">
      <t>モt</t>
    </rPh>
    <rPh sb="44" eb="45">
      <t>テny</t>
    </rPh>
    <phoneticPr fontId="5"/>
  </si>
  <si>
    <t>巨神ネコはお邪魔パネルを吸収して
さらに防御力を上げようとしてくるにゃ
フィーバーやスキルで阻止するにゃ</t>
    <rPh sb="0" eb="2">
      <t>キョシn</t>
    </rPh>
    <rPh sb="12" eb="14">
      <t>キュウシュ</t>
    </rPh>
    <rPh sb="20" eb="23">
      <t>ボウgy</t>
    </rPh>
    <rPh sb="24" eb="25">
      <t>アゲヨウt</t>
    </rPh>
    <rPh sb="46" eb="48">
      <t>ソs</t>
    </rPh>
    <phoneticPr fontId="5"/>
  </si>
  <si>
    <t>F３</t>
    <phoneticPr fontId="5"/>
  </si>
  <si>
    <t>F２</t>
    <phoneticPr fontId="5"/>
  </si>
  <si>
    <t>F１</t>
    <phoneticPr fontId="5"/>
  </si>
  <si>
    <t>F４</t>
    <phoneticPr fontId="5"/>
  </si>
  <si>
    <t>F５</t>
    <phoneticPr fontId="5"/>
  </si>
  <si>
    <t>F６</t>
    <phoneticPr fontId="5"/>
  </si>
  <si>
    <t>クリティカル！</t>
    <phoneticPr fontId="5"/>
  </si>
  <si>
    <t>2ターン赤パネル無効</t>
    <phoneticPr fontId="5"/>
  </si>
  <si>
    <t>緑パネルをお邪魔パネルに最大8個変換</t>
    <phoneticPr fontId="5"/>
  </si>
  <si>
    <t>全体攻撃</t>
    <phoneticPr fontId="5"/>
  </si>
  <si>
    <t>[effect:enhance_enemy, target:myself, turn:-1, status:defense, val:5000, calc:add, animation:enemy_enhance_defense]</t>
    <phoneticPr fontId="5"/>
  </si>
  <si>
    <t>[effect:freq_turn, target:myself, turn:-1, val:1, animation:enemy_freq_turn]</t>
    <phoneticPr fontId="5"/>
  </si>
  <si>
    <t>３ループ目以降：全体攻撃（10,000）</t>
    <rPh sb="4" eb="5">
      <t>メ</t>
    </rPh>
    <rPh sb="5" eb="7">
      <t>イコ</t>
    </rPh>
    <phoneticPr fontId="5"/>
  </si>
  <si>
    <t>３ループ目以降：２ターン自身にカウンター（カウンターダメージは低め）</t>
    <rPh sb="4" eb="5">
      <t>メ</t>
    </rPh>
    <rPh sb="5" eb="7">
      <t>イコ</t>
    </rPh>
    <phoneticPr fontId="5"/>
  </si>
  <si>
    <t>赤</t>
  </si>
  <si>
    <t>緑</t>
  </si>
  <si>
    <t>黄</t>
  </si>
  <si>
    <t>青</t>
  </si>
  <si>
    <t>hp_coefficient</t>
    <phoneticPr fontId="5"/>
  </si>
  <si>
    <t>[effect:spread, val:0.4]</t>
    <phoneticPr fontId="5"/>
  </si>
  <si>
    <t>[effect:spread, val:0.6]</t>
    <phoneticPr fontId="5"/>
  </si>
  <si>
    <t>[effect:spread, val:0.5]</t>
    <phoneticPr fontId="5"/>
  </si>
  <si>
    <t>ATTACK</t>
    <phoneticPr fontId="5"/>
  </si>
  <si>
    <t>HP</t>
    <phoneticPr fontId="5"/>
  </si>
  <si>
    <t>ネコ</t>
  </si>
  <si>
    <t>タンクネコ</t>
  </si>
  <si>
    <t>バトルネコ</t>
  </si>
  <si>
    <t>キモネコ</t>
  </si>
  <si>
    <t>ネコノトリ</t>
  </si>
  <si>
    <t>巨神ネコ</t>
  </si>
  <si>
    <t>ネコヴァルキリー</t>
  </si>
  <si>
    <t>ネコヴァルキリー・真</t>
  </si>
  <si>
    <t>1.7</t>
    <phoneticPr fontId="5"/>
  </si>
  <si>
    <t>1.1</t>
    <phoneticPr fontId="5"/>
  </si>
  <si>
    <t>[effect:spread, val:0.4]</t>
    <phoneticPr fontId="5"/>
  </si>
  <si>
    <t>complete</t>
  </si>
  <si>
    <t>1.3</t>
    <phoneticPr fontId="5"/>
  </si>
  <si>
    <t>全体攻撃</t>
    <phoneticPr fontId="5"/>
  </si>
  <si>
    <t>大量発生のナゾ</t>
    <rPh sb="0" eb="4">
      <t>タイリョウハッセイ</t>
    </rPh>
    <phoneticPr fontId="5"/>
  </si>
  <si>
    <t>クリティカル！</t>
    <phoneticPr fontId="5"/>
  </si>
  <si>
    <t>ネコノトリはデバフ攻撃が豊富にゃ
厄介な事から片付けるのが
上手く生きるコツにゃ</t>
    <rPh sb="12" eb="14">
      <t>ホ</t>
    </rPh>
    <rPh sb="17" eb="19">
      <t>ヤッカ</t>
    </rPh>
    <rPh sb="20" eb="21">
      <t>コト</t>
    </rPh>
    <rPh sb="23" eb="25">
      <t>カタズk</t>
    </rPh>
    <rPh sb="30" eb="32">
      <t>ウマクイキr</t>
    </rPh>
    <phoneticPr fontId="5"/>
  </si>
  <si>
    <t>死亡時</t>
    <rPh sb="0" eb="2">
      <t>シボ</t>
    </rPh>
    <rPh sb="2" eb="3">
      <t>j</t>
    </rPh>
    <phoneticPr fontId="5"/>
  </si>
  <si>
    <t>にゃんこ達は集団行動すると強気になるにゃ
赤信号みんなで渡れば怖くないにゃんて
よく言ったもんにゃ…</t>
    <rPh sb="6" eb="10">
      <t>シュウダンコウドウ</t>
    </rPh>
    <rPh sb="21" eb="24">
      <t>アカシンゴ</t>
    </rPh>
    <rPh sb="28" eb="29">
      <t>ワタr</t>
    </rPh>
    <phoneticPr fontId="5"/>
  </si>
  <si>
    <t>キモネコのダンスがどんなに上手くても
戦いに情けは無用にゃ
さっさとやっつけるにゃ</t>
    <phoneticPr fontId="5"/>
  </si>
  <si>
    <t>事件の動機</t>
    <rPh sb="0" eb="2">
      <t>ジケンノ</t>
    </rPh>
    <phoneticPr fontId="5"/>
  </si>
  <si>
    <t>故郷へ…</t>
    <rPh sb="0" eb="2">
      <t>コキョ</t>
    </rPh>
    <phoneticPr fontId="5"/>
  </si>
  <si>
    <t>にゃんこヴァルキリーを倒したことで
にゃんこ達の集会はなくなり
みんな戦地へ戻って行ったにゃ</t>
    <rPh sb="11" eb="12">
      <t>タオs</t>
    </rPh>
    <rPh sb="22" eb="23">
      <t>タt</t>
    </rPh>
    <rPh sb="24" eb="26">
      <t>シュウカ</t>
    </rPh>
    <rPh sb="35" eb="37">
      <t>センチ</t>
    </rPh>
    <rPh sb="38" eb="39">
      <t>モドッt</t>
    </rPh>
    <phoneticPr fontId="5"/>
  </si>
  <si>
    <t>null</t>
  </si>
  <si>
    <t>神様</t>
    <rPh sb="0" eb="2">
      <t>カミサm</t>
    </rPh>
    <phoneticPr fontId="5"/>
  </si>
  <si>
    <t>1ターン自身の防御力UP</t>
    <phoneticPr fontId="5"/>
  </si>
  <si>
    <t>3ターン全ユニットの回復力30%DOWN</t>
    <phoneticPr fontId="5"/>
  </si>
  <si>
    <t>2ターン全属性の攻撃をカウンター</t>
    <phoneticPr fontId="5"/>
  </si>
  <si>
    <t>2ターンお邪魔パネルを吸収して防御力UP</t>
    <phoneticPr fontId="5"/>
  </si>
  <si>
    <t>2ターン全ユニットの回復力50%DOWN</t>
    <phoneticPr fontId="5"/>
  </si>
  <si>
    <t>2ターン全ユニットの攻撃力30%DOWN</t>
    <phoneticPr fontId="5"/>
  </si>
  <si>
    <t>3ターンCパネル生成延長(効果特大)</t>
    <rPh sb="13" eb="15">
      <t>コウk</t>
    </rPh>
    <phoneticPr fontId="5"/>
  </si>
  <si>
    <t>巨神ネコ</t>
    <phoneticPr fontId="5"/>
  </si>
  <si>
    <t>ネコヴァルキリー</t>
    <phoneticPr fontId="5"/>
  </si>
  <si>
    <t>金ネコ</t>
    <phoneticPr fontId="5"/>
  </si>
  <si>
    <t>メタルネコ（赤）</t>
    <phoneticPr fontId="5"/>
  </si>
  <si>
    <t>メタルネコ（青）</t>
    <phoneticPr fontId="5"/>
  </si>
  <si>
    <t>メタルネコビルダー（青）</t>
    <phoneticPr fontId="5"/>
  </si>
  <si>
    <t>メタルネコ（緑）</t>
    <phoneticPr fontId="5"/>
  </si>
  <si>
    <t>メタルネコビルダー（緑）</t>
    <phoneticPr fontId="5"/>
  </si>
  <si>
    <t>メタルネコ（黄）</t>
    <phoneticPr fontId="5"/>
  </si>
  <si>
    <t>ネコムート</t>
    <phoneticPr fontId="5"/>
  </si>
  <si>
    <t>狂乱のネコ</t>
    <phoneticPr fontId="5"/>
  </si>
  <si>
    <t>ネコ魔剣士</t>
    <phoneticPr fontId="5"/>
  </si>
  <si>
    <t>ねこ海賊</t>
    <phoneticPr fontId="5"/>
  </si>
  <si>
    <t>ねこジュラ</t>
    <phoneticPr fontId="5"/>
  </si>
  <si>
    <t>ネコエステ</t>
    <phoneticPr fontId="5"/>
  </si>
  <si>
    <t>ねこナース</t>
    <phoneticPr fontId="5"/>
  </si>
  <si>
    <t>ハートフルねこナース</t>
    <phoneticPr fontId="5"/>
  </si>
  <si>
    <t>キャットマンダディ</t>
    <phoneticPr fontId="5"/>
  </si>
  <si>
    <t>キャットマンダーク</t>
    <phoneticPr fontId="5"/>
  </si>
  <si>
    <t>雷神のサンディア</t>
    <phoneticPr fontId="5"/>
  </si>
  <si>
    <t>雷神のサンディアβ</t>
    <phoneticPr fontId="5"/>
  </si>
  <si>
    <t>美女神アフロディーテ</t>
    <phoneticPr fontId="5"/>
  </si>
  <si>
    <t>メガロディーテ</t>
    <phoneticPr fontId="5"/>
  </si>
  <si>
    <t>ツルの恩返し</t>
    <phoneticPr fontId="5"/>
  </si>
  <si>
    <t>銀河戦士コスモ</t>
    <phoneticPr fontId="5"/>
  </si>
  <si>
    <t>ネコルガ</t>
    <phoneticPr fontId="5"/>
  </si>
  <si>
    <t>ケセランパサラン</t>
    <phoneticPr fontId="5"/>
  </si>
  <si>
    <t>ネコフラワー</t>
    <phoneticPr fontId="5"/>
  </si>
  <si>
    <t>にゃんこ扇風</t>
    <phoneticPr fontId="5"/>
  </si>
  <si>
    <t>ネコリンゴ</t>
    <phoneticPr fontId="5"/>
  </si>
  <si>
    <t>カオルくん</t>
    <phoneticPr fontId="5"/>
  </si>
  <si>
    <t>ネコヴァルキリー・真</t>
    <phoneticPr fontId="5"/>
  </si>
  <si>
    <t>ネコヴァルキリー・聖</t>
    <phoneticPr fontId="5"/>
  </si>
  <si>
    <t>金ネコビルダー</t>
    <phoneticPr fontId="5"/>
  </si>
  <si>
    <t>メタルネコビルダー（赤）</t>
    <phoneticPr fontId="5"/>
  </si>
  <si>
    <t>メタルネコビルダー（黄）</t>
    <phoneticPr fontId="5"/>
  </si>
  <si>
    <t>狂乱のネコムート</t>
    <phoneticPr fontId="5"/>
  </si>
  <si>
    <t>狂乱のネコビルダー</t>
    <phoneticPr fontId="5"/>
  </si>
  <si>
    <t>双剣ネコ魔剣士</t>
    <phoneticPr fontId="5"/>
  </si>
  <si>
    <t>ニャーコック船長</t>
    <phoneticPr fontId="5"/>
  </si>
  <si>
    <t>ねこジュラシッター</t>
    <phoneticPr fontId="5"/>
  </si>
  <si>
    <t>ネコジェンヌ</t>
    <phoneticPr fontId="5"/>
  </si>
  <si>
    <t>死亡時</t>
    <rPh sb="0" eb="3">
      <t>シボ</t>
    </rPh>
    <phoneticPr fontId="5"/>
  </si>
  <si>
    <t>開幕</t>
    <rPh sb="0" eb="2">
      <t>カイマk</t>
    </rPh>
    <phoneticPr fontId="5"/>
  </si>
  <si>
    <t>開幕（超ウィザード専用）</t>
    <rPh sb="0" eb="2">
      <t>カイマk</t>
    </rPh>
    <phoneticPr fontId="5"/>
  </si>
  <si>
    <t>かみつく</t>
  </si>
  <si>
    <t>魅惑のダンス</t>
    <phoneticPr fontId="5"/>
  </si>
  <si>
    <t>不思議なダンス</t>
    <phoneticPr fontId="5"/>
  </si>
  <si>
    <t>ハイテンションダンス</t>
    <phoneticPr fontId="5"/>
  </si>
  <si>
    <t>しなる触腕</t>
    <phoneticPr fontId="5"/>
  </si>
  <si>
    <t>[表示しない]</t>
  </si>
  <si>
    <t>レッドイレイザー</t>
    <phoneticPr fontId="5"/>
  </si>
  <si>
    <t>硬くなる</t>
    <phoneticPr fontId="5"/>
  </si>
  <si>
    <t>高速頭突き</t>
    <phoneticPr fontId="5"/>
  </si>
  <si>
    <t>防御の構え</t>
    <phoneticPr fontId="5"/>
  </si>
  <si>
    <t>反撃の構え</t>
    <phoneticPr fontId="5"/>
  </si>
  <si>
    <t>豪腕の鉄槌</t>
    <phoneticPr fontId="5"/>
  </si>
  <si>
    <t>荒ぶる咆哮</t>
    <phoneticPr fontId="5"/>
  </si>
  <si>
    <t>強靭な巨体</t>
    <phoneticPr fontId="5"/>
  </si>
  <si>
    <t>テンション・コントロール</t>
    <phoneticPr fontId="5"/>
  </si>
  <si>
    <t>ギガスニャッシュ</t>
  </si>
  <si>
    <t>ギガスニャッシュ</t>
    <phoneticPr fontId="5"/>
  </si>
  <si>
    <t>ニャングリル・アイズ</t>
  </si>
  <si>
    <t>ジャッジ・オブ・ニャングリル</t>
  </si>
  <si>
    <t>レッド・チャーム</t>
  </si>
  <si>
    <t>ブルー・チャーム</t>
  </si>
  <si>
    <t>周りにいるにゃんこ達が
悲しそうにこちらを見ている…</t>
  </si>
  <si>
    <t>別に呼んでないけど神さまがあらわれた！</t>
  </si>
  <si>
    <t>『呼んだ？ボク、神さまだけど。』</t>
  </si>
  <si>
    <t>神のチカラ</t>
  </si>
  <si>
    <t>緑パネルプロテクト</t>
    <phoneticPr fontId="5"/>
  </si>
  <si>
    <t>バトルアクス</t>
    <phoneticPr fontId="5"/>
  </si>
  <si>
    <t>３ターン目：自身の攻撃頻度をUP</t>
    <rPh sb="6" eb="8">
      <t>ジシn</t>
    </rPh>
    <phoneticPr fontId="5"/>
  </si>
  <si>
    <t>べ、別に女性として負けたわけでは…</t>
  </si>
  <si>
    <t>自分への投資が足りなかったようです…</t>
  </si>
  <si>
    <t>私の負けのようですね…</t>
  </si>
  <si>
    <t>たかがきぐるみと侮っていました…</t>
  </si>
  <si>
    <t>…注射は苦手なのです</t>
  </si>
  <si>
    <t>撃破セリフ（キャットマン系統あり）</t>
    <rPh sb="12" eb="14">
      <t>ケ</t>
    </rPh>
    <phoneticPr fontId="5"/>
  </si>
  <si>
    <t>撃破セリフ（メガロディーテ系統あり）</t>
    <rPh sb="13" eb="15">
      <t>ケ</t>
    </rPh>
    <phoneticPr fontId="5"/>
  </si>
  <si>
    <t>撃破セリフ（サンディア系統あり）</t>
    <rPh sb="11" eb="13">
      <t>ケ</t>
    </rPh>
    <phoneticPr fontId="5"/>
  </si>
  <si>
    <t>撃破セリフ（ネコエステ系統あり）</t>
    <rPh sb="11" eb="13">
      <t>ケ</t>
    </rPh>
    <phoneticPr fontId="5"/>
  </si>
  <si>
    <t>撃破セリフ（ネコヴァルキリー系統あり）</t>
    <rPh sb="14" eb="16">
      <t>ケ</t>
    </rPh>
    <phoneticPr fontId="5"/>
  </si>
  <si>
    <t>撃破セリフ（ネコムート系統あり）</t>
    <rPh sb="11" eb="13">
      <t>ケ</t>
    </rPh>
    <phoneticPr fontId="5"/>
  </si>
  <si>
    <t>撃破セリフ（ねこナース系統あり）</t>
    <rPh sb="11" eb="13">
      <t>ケ</t>
    </rPh>
    <phoneticPr fontId="5"/>
  </si>
  <si>
    <t>美の女神に負けてしまうとは…戦女神失格ですね…</t>
    <phoneticPr fontId="5"/>
  </si>
  <si>
    <t>緑パネルプロテクト</t>
  </si>
  <si>
    <t>同じ女神として負けられません…！</t>
  </si>
  <si>
    <t>くっ…戦ってないのになぜか負けた気がします…</t>
  </si>
  <si>
    <t>古代兵器とはいえ所詮はきぐるみ…！</t>
  </si>
  <si>
    <t>戦の女神の力をここに示します…！</t>
  </si>
  <si>
    <t>開幕（ウィザード専用）</t>
    <rPh sb="0" eb="2">
      <t>カイマk</t>
    </rPh>
    <phoneticPr fontId="5"/>
  </si>
  <si>
    <t>開幕（超絶専用）</t>
    <rPh sb="0" eb="2">
      <t>カイマk</t>
    </rPh>
    <rPh sb="4" eb="5">
      <t>ゼt</t>
    </rPh>
    <phoneticPr fontId="5"/>
  </si>
  <si>
    <t>死亡時（超絶専用）</t>
    <rPh sb="5" eb="6">
      <t>ゼt</t>
    </rPh>
    <phoneticPr fontId="5"/>
  </si>
  <si>
    <t>死亡時（超ウィザード専用）</t>
    <phoneticPr fontId="5"/>
  </si>
  <si>
    <t>死亡時（ウィザード専用）</t>
    <phoneticPr fontId="5"/>
  </si>
  <si>
    <t>全てのにゃんこの幸せのために…！</t>
    <phoneticPr fontId="5"/>
  </si>
  <si>
    <t>ネコヴァルキリーの美しい容姿に惹かれ
普段は隠れていたにゃんこ達が集まり
今回の騒動が起きたみたいにゃ</t>
    <phoneticPr fontId="5"/>
  </si>
  <si>
    <t>単体攻撃
(2ターン命中したユニットの攻撃力50%DOWN)</t>
    <phoneticPr fontId="5"/>
  </si>
  <si>
    <t>自身の攻撃頻度UP</t>
    <rPh sb="0" eb="2">
      <t>ジシn</t>
    </rPh>
    <phoneticPr fontId="5"/>
  </si>
  <si>
    <t>華麗にステップを踏み
ながらこちらを見ている</t>
    <phoneticPr fontId="5"/>
  </si>
  <si>
    <t>にゃんこの正義と秩序のために！</t>
    <phoneticPr fontId="5"/>
  </si>
  <si>
    <t>[effect:damage_abnormal, target:unit_one, val:0.5, status:attack, turn:2, rate:1, val_abnormal:0.5, calc:mul, animation:attack_break01]</t>
    <phoneticPr fontId="5"/>
  </si>
  <si>
    <t>[effect:hungup, target:unit_one, turn:2, rate:1, animation:hungup01],[effect:hungup, target:unit_one, turn:2, rate:1, animation:hungup01]</t>
    <phoneticPr fontId="5"/>
  </si>
  <si>
    <t>[effect:attack_break, target:unit_all, turn:2, val:0.3, calc:mul, animation:attack_break01]</t>
    <phoneticPr fontId="5"/>
  </si>
  <si>
    <t>赤パネルプロテクト(最大3個)+単体攻撃</t>
    <rPh sb="16" eb="20">
      <t>タンタイコウg</t>
    </rPh>
    <phoneticPr fontId="5"/>
  </si>
  <si>
    <t>青パネルプロテクト(最大3個)+単体攻撃</t>
    <rPh sb="16" eb="20">
      <t>タンタイコウg</t>
    </rPh>
    <phoneticPr fontId="5"/>
  </si>
  <si>
    <t>巨神ネコは防御力UPスキルを使用する上に
カウンタースキルも使用してくるにゃ
一撃必殺のネコパンチで倒すといいにゃ</t>
    <rPh sb="0" eb="2">
      <t>キョシn</t>
    </rPh>
    <rPh sb="5" eb="8">
      <t>ボウ</t>
    </rPh>
    <rPh sb="14" eb="16">
      <t>シヨ</t>
    </rPh>
    <rPh sb="30" eb="32">
      <t>シヨ</t>
    </rPh>
    <rPh sb="39" eb="43">
      <t>１ゲk</t>
    </rPh>
    <rPh sb="50" eb="51">
      <t>タオs</t>
    </rPh>
    <phoneticPr fontId="5"/>
  </si>
  <si>
    <t>あなたも私と同じ目的のはず…
立ちふさがるなら容赦はしません！</t>
    <phoneticPr fontId="5"/>
  </si>
  <si>
    <t>美容に余念がないのですね…敵ながら尊敬します</t>
    <phoneticPr fontId="5"/>
  </si>
  <si>
    <t>[effect:enemy_message, val1:1.7, val2:3.0]</t>
    <phoneticPr fontId="5"/>
  </si>
  <si>
    <t>[effect:enemy_message, val1:2.1, val2:3.0]</t>
    <phoneticPr fontId="5"/>
  </si>
  <si>
    <t>item</t>
    <phoneticPr fontId="5"/>
  </si>
  <si>
    <t>full_member</t>
    <phoneticPr fontId="5"/>
  </si>
  <si>
    <t>[effect:enemy_message, val1:2.6, val2:3.0]</t>
    <phoneticPr fontId="5"/>
  </si>
  <si>
    <t>[effect:enemy_message, val1:2.8, val2:3.0]</t>
    <phoneticPr fontId="5"/>
  </si>
  <si>
    <t>[effect:enemy_message, val1:2.2, val2:3.0]</t>
    <phoneticPr fontId="5"/>
  </si>
  <si>
    <t>[effect:enemy_message, val1:2.3, val2:3.0]</t>
    <phoneticPr fontId="5"/>
  </si>
  <si>
    <t>ヒーローといえど容赦はしません…！</t>
    <phoneticPr fontId="5"/>
  </si>
  <si>
    <t>あなたの強さに免じて、ここは引きましょう…</t>
    <phoneticPr fontId="5"/>
  </si>
  <si>
    <t>周りにいるにゃんこ達が
悲しそうにこちらを見ている…</t>
    <phoneticPr fontId="5"/>
  </si>
  <si>
    <t>にゃんこのための
幸せな世界を作りたかった…</t>
    <phoneticPr fontId="5"/>
  </si>
  <si>
    <t>[effect:ability_lock, target:unit_all, turn:1],[effect:sleep, target:unit_all, turn:1, rate:1, calc_type:target_all],[effect:fix_speed, target:myself, turn:1]</t>
    <phoneticPr fontId="5"/>
  </si>
  <si>
    <t>[effect:force_change_block, new_block:crash, target:block_all, ignore01:crash, ignore02:crack_bomb, ignore03:color_break, ignore04:magnet, count:5, val:12],[effect:suicide, val:1, dead_type:escape, target:myself]</t>
    <phoneticPr fontId="5"/>
  </si>
  <si>
    <t>[effect:critical, val:1.2, animation:enemy_critical]</t>
    <phoneticPr fontId="5"/>
  </si>
  <si>
    <t>[effect:fix_speed, target:myself, turn:1]</t>
    <phoneticPr fontId="5"/>
  </si>
  <si>
    <t>[effect:critical, val:1.5, animation:enemy_critical]</t>
    <phoneticPr fontId="5"/>
  </si>
  <si>
    <t>ランダムで先頭ユニットのSCパネルに最大5個変換</t>
    <phoneticPr fontId="5"/>
  </si>
  <si>
    <t>自身の防御力大UP</t>
    <rPh sb="6" eb="7">
      <t>ダ</t>
    </rPh>
    <phoneticPr fontId="5"/>
  </si>
  <si>
    <t>[effect:panel_freeze, target:normal, color:block_green, count:-1]</t>
  </si>
  <si>
    <t>[effect:panel_freeze, target:normal, color:block_green, count:-1]</t>
    <phoneticPr fontId="5"/>
  </si>
  <si>
    <t>[effect:panel_freeze, target:normal, color:block_red, count:3], [effect:rush, count:1, val:1.0]</t>
    <phoneticPr fontId="5"/>
  </si>
  <si>
    <t>[effect:panel_freeze, target:normal, color:block_blue, count:3], [effect:rush, count:1, val:1.0]</t>
    <phoneticPr fontId="5"/>
  </si>
  <si>
    <t>2ターンユニット1〜2体にスキルバインド</t>
    <phoneticPr fontId="5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</si>
</sst>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76" formatCode="0_);[Red]\(0\)"/>
    <numFmt numFmtId="177" formatCode="0.0"/>
  </numFmts>
  <fonts count="63" x14ac:knownFonts="1"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0"/>
      <color theme="1"/>
      <name val="ＭＳ Ｐゴシック"/>
      <family val="3"/>
      <charset val="128"/>
    </font>
    <font>
      <sz val="6"/>
      <name val="ＭＳ Ｐゴシック"/>
      <family val="2"/>
      <charset val="128"/>
      <scheme val="minor"/>
    </font>
    <font>
      <sz val="10"/>
      <name val="ＭＳ Ｐゴシック"/>
      <family val="3"/>
      <charset val="128"/>
    </font>
    <font>
      <sz val="6"/>
      <name val="ＭＳ Ｐゴシック"/>
      <family val="2"/>
      <charset val="128"/>
    </font>
    <font>
      <sz val="10"/>
      <color rgb="FF000000"/>
      <name val="ＭＳ Ｐゴシック"/>
      <family val="3"/>
      <charset val="128"/>
    </font>
    <font>
      <u/>
      <sz val="12"/>
      <color theme="10"/>
      <name val="ＭＳ Ｐゴシック"/>
      <family val="2"/>
      <charset val="128"/>
      <scheme val="minor"/>
    </font>
    <font>
      <u/>
      <sz val="12"/>
      <color theme="11"/>
      <name val="ＭＳ Ｐゴシック"/>
      <family val="2"/>
      <charset val="128"/>
      <scheme val="minor"/>
    </font>
    <font>
      <sz val="10"/>
      <color rgb="FF000000"/>
      <name val="ＭＳ Ｐゴシック"/>
      <family val="3"/>
      <charset val="128"/>
      <scheme val="minor"/>
    </font>
    <font>
      <sz val="10"/>
      <color theme="0"/>
      <name val="ＭＳ Ｐゴシック"/>
      <family val="3"/>
      <charset val="128"/>
    </font>
    <font>
      <sz val="12"/>
      <color theme="0"/>
      <name val="ＭＳ Ｐゴシック"/>
      <family val="2"/>
      <charset val="128"/>
      <scheme val="minor"/>
    </font>
    <font>
      <sz val="10"/>
      <color theme="0"/>
      <name val="ＭＳ Ｐゴシック"/>
      <family val="3"/>
      <charset val="128"/>
      <scheme val="minor"/>
    </font>
    <font>
      <b/>
      <sz val="10"/>
      <color indexed="81"/>
      <name val="ＭＳ Ｐゴシック"/>
      <family val="2"/>
      <charset val="128"/>
    </font>
    <font>
      <sz val="10"/>
      <color theme="1"/>
      <name val="ＭＳ Ｐゴシック"/>
      <family val="3"/>
      <charset val="128"/>
      <scheme val="minor"/>
    </font>
    <font>
      <sz val="10"/>
      <color indexed="81"/>
      <name val="ＭＳ Ｐゴシック"/>
      <family val="3"/>
      <charset val="128"/>
    </font>
    <font>
      <sz val="10"/>
      <color indexed="8"/>
      <name val="Arial"/>
      <family val="2"/>
    </font>
    <font>
      <sz val="12"/>
      <color indexed="8"/>
      <name val="Times New Roman"/>
      <family val="1"/>
    </font>
    <font>
      <sz val="12"/>
      <color indexed="15"/>
      <name val="ＭＳ Ｐゴシック"/>
      <family val="3"/>
      <charset val="128"/>
    </font>
    <font>
      <sz val="12"/>
      <color indexed="10"/>
      <name val="ＭＳ Ｐゴシック"/>
      <family val="3"/>
      <charset val="128"/>
    </font>
    <font>
      <sz val="12"/>
      <color indexed="8"/>
      <name val="ＭＳ Ｐゴシック"/>
      <family val="3"/>
      <charset val="128"/>
    </font>
    <font>
      <sz val="11"/>
      <color theme="1"/>
      <name val="ＭＳ Ｐゴシック"/>
      <family val="2"/>
      <charset val="128"/>
      <scheme val="minor"/>
    </font>
    <font>
      <sz val="11"/>
      <color indexed="8"/>
      <name val="ＭＳ Ｐゴシック"/>
      <family val="3"/>
      <charset val="128"/>
    </font>
    <font>
      <sz val="12"/>
      <color indexed="52"/>
      <name val="ＭＳ Ｐゴシック"/>
      <family val="3"/>
      <charset val="128"/>
    </font>
    <font>
      <sz val="12"/>
      <color rgb="FF000000"/>
      <name val="ＭＳ Ｐゴシック"/>
      <family val="3"/>
      <charset val="128"/>
      <scheme val="minor"/>
    </font>
    <font>
      <sz val="12"/>
      <name val="ＭＳ Ｐゴシック"/>
      <family val="3"/>
      <charset val="128"/>
      <scheme val="minor"/>
    </font>
    <font>
      <sz val="10"/>
      <color rgb="FF000000"/>
      <name val="Arial"/>
      <family val="2"/>
    </font>
    <font>
      <sz val="10"/>
      <color indexed="8"/>
      <name val="ＭＳ Ｐゴシック"/>
      <family val="3"/>
      <charset val="128"/>
      <scheme val="minor"/>
    </font>
    <font>
      <sz val="9.6"/>
      <color rgb="FF000000"/>
      <name val="Arial"/>
      <family val="2"/>
    </font>
    <font>
      <sz val="9.6"/>
      <color rgb="FF000000"/>
      <name val="ＭＳ Ｐゴシック"/>
      <family val="2"/>
      <charset val="128"/>
    </font>
    <font>
      <sz val="10"/>
      <color indexed="8"/>
      <name val="ＭＳ Ｐゴシック"/>
      <family val="3"/>
      <charset val="128"/>
    </font>
    <font>
      <sz val="12"/>
      <color indexed="60"/>
      <name val="lr oSVbN"/>
      <family val="3"/>
      <charset val="128"/>
    </font>
    <font>
      <sz val="12"/>
      <color indexed="62"/>
      <name val="lr oSVbN"/>
      <family val="3"/>
      <charset val="128"/>
    </font>
    <font>
      <i/>
      <sz val="12"/>
      <color indexed="23"/>
      <name val="lr oSVbN"/>
      <family val="3"/>
      <charset val="128"/>
    </font>
    <font>
      <sz val="12"/>
      <color indexed="14"/>
      <name val="lr oSVbN"/>
      <family val="3"/>
      <charset val="128"/>
    </font>
    <font>
      <b/>
      <sz val="12"/>
      <color indexed="9"/>
      <name val="lr oSVbN"/>
      <family val="3"/>
      <charset val="128"/>
    </font>
    <font>
      <b/>
      <sz val="18"/>
      <color indexed="62"/>
      <name val="lr oSVbN"/>
      <family val="3"/>
      <charset val="128"/>
    </font>
    <font>
      <b/>
      <sz val="15"/>
      <color indexed="62"/>
      <name val="lr oSVbN"/>
      <family val="3"/>
      <charset val="128"/>
    </font>
    <font>
      <b/>
      <sz val="13"/>
      <color indexed="62"/>
      <name val="lr oSVbN"/>
      <family val="3"/>
      <charset val="128"/>
    </font>
    <font>
      <b/>
      <sz val="11"/>
      <color indexed="62"/>
      <name val="lr oSVbN"/>
      <family val="3"/>
      <charset val="128"/>
    </font>
    <font>
      <sz val="12"/>
      <color indexed="8"/>
      <name val="lr oSVbN"/>
      <family val="3"/>
      <charset val="128"/>
    </font>
    <font>
      <sz val="12"/>
      <color indexed="9"/>
      <name val="lr oSVbN"/>
      <family val="3"/>
      <charset val="128"/>
    </font>
    <font>
      <sz val="12"/>
      <color indexed="17"/>
      <name val="lr oSVbN"/>
      <family val="3"/>
      <charset val="128"/>
    </font>
    <font>
      <sz val="12"/>
      <color indexed="52"/>
      <name val="lr oSVbN"/>
      <family val="3"/>
      <charset val="128"/>
    </font>
    <font>
      <b/>
      <sz val="12"/>
      <color indexed="63"/>
      <name val="lr oSVbN"/>
      <family val="3"/>
      <charset val="128"/>
    </font>
    <font>
      <b/>
      <sz val="12"/>
      <color indexed="8"/>
      <name val="lr oSVbN"/>
      <family val="3"/>
      <charset val="128"/>
    </font>
    <font>
      <b/>
      <sz val="12"/>
      <color indexed="52"/>
      <name val="lr oSVbN"/>
      <family val="3"/>
      <charset val="128"/>
    </font>
    <font>
      <sz val="12"/>
      <color indexed="10"/>
      <name val="lr oSVbN"/>
      <family val="3"/>
      <charset val="128"/>
    </font>
    <font>
      <b/>
      <sz val="15"/>
      <color indexed="56"/>
      <name val="lr oSVbN"/>
      <family val="3"/>
      <charset val="128"/>
    </font>
    <font>
      <b/>
      <sz val="10"/>
      <color theme="1"/>
      <name val="ＭＳ Ｐゴシック"/>
      <family val="3"/>
      <charset val="128"/>
      <scheme val="minor"/>
    </font>
    <font>
      <sz val="12"/>
      <color theme="1"/>
      <name val="ＭＳ ゴシック"/>
      <family val="3"/>
      <charset val="128"/>
    </font>
    <font>
      <outline/>
      <sz val="12"/>
      <color theme="1"/>
      <name val="ＭＳ Ｐゴシック"/>
      <family val="2"/>
      <charset val="128"/>
      <scheme val="minor"/>
    </font>
    <font>
      <outline/>
      <sz val="10"/>
      <color theme="1"/>
      <name val="ＭＳ Ｐゴシック"/>
      <family val="3"/>
      <charset val="128"/>
    </font>
    <font>
      <sz val="16"/>
      <color theme="1"/>
      <name val="ＭＳ Ｐゴシック"/>
      <family val="2"/>
      <charset val="128"/>
      <scheme val="minor"/>
    </font>
    <font>
      <sz val="10.8"/>
      <color rgb="FF000000"/>
      <name val="MS PGothic"/>
      <family val="3"/>
      <charset val="128"/>
    </font>
    <font>
      <sz val="10"/>
      <color theme="8"/>
      <name val="ＭＳ Ｐゴシック"/>
      <family val="3"/>
      <charset val="128"/>
      <scheme val="minor"/>
    </font>
    <font>
      <sz val="10"/>
      <color rgb="FFFF0000"/>
      <name val="ＭＳ Ｐゴシック"/>
      <family val="3"/>
      <charset val="128"/>
      <scheme val="minor"/>
    </font>
    <font>
      <sz val="16"/>
      <color rgb="FFFF0000"/>
      <name val="ＭＳ Ｐゴシック"/>
      <family val="3"/>
      <charset val="128"/>
      <scheme val="minor"/>
    </font>
    <font>
      <sz val="16"/>
      <color theme="8"/>
      <name val="ＭＳ Ｐゴシック"/>
      <family val="3"/>
      <charset val="128"/>
      <scheme val="minor"/>
    </font>
    <font>
      <sz val="10"/>
      <color theme="1"/>
      <name val="MS PGothic"/>
      <family val="3"/>
      <charset val="128"/>
    </font>
    <font>
      <sz val="10"/>
      <color rgb="FFFF0000"/>
      <name val="MS PGothic"/>
      <family val="3"/>
      <charset val="128"/>
    </font>
  </fonts>
  <fills count="41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14999847407452621"/>
        <bgColor indexed="59"/>
      </patternFill>
    </fill>
    <fill>
      <patternFill patternType="solid">
        <fgColor theme="0" tint="-0.14999847407452621"/>
        <bgColor indexed="2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indexed="18"/>
        <bgColor indexed="32"/>
      </patternFill>
    </fill>
    <fill>
      <patternFill patternType="solid">
        <fgColor indexed="16"/>
        <bgColor indexed="59"/>
      </patternFill>
    </fill>
    <fill>
      <patternFill patternType="solid">
        <fgColor indexed="16"/>
        <bgColor indexed="37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DDEBF7"/>
        <bgColor rgb="FF000000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indexed="43"/>
        <bgColor indexed="26"/>
      </patternFill>
    </fill>
    <fill>
      <patternFill patternType="solid">
        <fgColor indexed="26"/>
        <bgColor indexed="9"/>
      </patternFill>
    </fill>
    <fill>
      <patternFill patternType="solid">
        <fgColor indexed="22"/>
        <bgColor indexed="31"/>
      </patternFill>
    </fill>
    <fill>
      <patternFill patternType="solid">
        <fgColor indexed="45"/>
        <bgColor indexed="29"/>
      </patternFill>
    </fill>
    <fill>
      <patternFill patternType="solid">
        <fgColor indexed="55"/>
        <bgColor indexed="23"/>
      </patternFill>
    </fill>
    <fill>
      <patternFill patternType="solid">
        <fgColor indexed="31"/>
        <bgColor indexed="22"/>
      </patternFill>
    </fill>
    <fill>
      <patternFill patternType="solid">
        <fgColor indexed="27"/>
        <bgColor indexed="41"/>
      </patternFill>
    </fill>
    <fill>
      <patternFill patternType="solid">
        <fgColor indexed="29"/>
        <bgColor indexed="45"/>
      </patternFill>
    </fill>
    <fill>
      <patternFill patternType="solid">
        <fgColor indexed="44"/>
        <bgColor indexed="31"/>
      </patternFill>
    </fill>
    <fill>
      <patternFill patternType="solid">
        <fgColor indexed="49"/>
        <bgColor indexed="40"/>
      </patternFill>
    </fill>
    <fill>
      <patternFill patternType="solid">
        <fgColor indexed="19"/>
        <bgColor indexed="23"/>
      </patternFill>
    </fill>
    <fill>
      <patternFill patternType="solid">
        <fgColor indexed="54"/>
        <bgColor indexed="23"/>
      </patternFill>
    </fill>
    <fill>
      <patternFill patternType="solid">
        <fgColor indexed="42"/>
        <bgColor indexed="27"/>
      </patternFill>
    </fill>
    <fill>
      <patternFill patternType="solid">
        <fgColor indexed="9"/>
        <bgColor indexed="26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FFBACD"/>
        <bgColor indexed="64"/>
      </patternFill>
    </fill>
    <fill>
      <patternFill patternType="solid">
        <fgColor rgb="FFFFD7E6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4" tint="0.59999389629810485"/>
        <bgColor indexed="64"/>
      </patternFill>
    </fill>
  </fills>
  <borders count="30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auto="1"/>
      </top>
      <bottom style="thin">
        <color auto="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auto="1"/>
      </left>
      <right style="thin">
        <color indexed="8"/>
      </right>
      <top style="thin">
        <color auto="1"/>
      </top>
      <bottom style="thin">
        <color indexed="8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8"/>
      </left>
      <right style="thin">
        <color auto="1"/>
      </right>
      <top style="thin">
        <color auto="1"/>
      </top>
      <bottom style="thin">
        <color indexed="8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double">
        <color indexed="5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/>
      <bottom style="thick">
        <color indexed="62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indexed="8"/>
      </left>
      <right style="thin">
        <color indexed="8"/>
      </right>
      <top/>
      <bottom style="medium">
        <color auto="1"/>
      </bottom>
      <diagonal/>
    </border>
    <border>
      <left style="thin">
        <color indexed="8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8"/>
      </left>
      <right style="thin">
        <color indexed="8"/>
      </right>
      <top/>
      <bottom style="thin">
        <color auto="1"/>
      </bottom>
      <diagonal/>
    </border>
    <border>
      <left/>
      <right/>
      <top/>
      <bottom style="thin">
        <color indexed="8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indexed="8"/>
      </left>
      <right/>
      <top style="thin">
        <color auto="1"/>
      </top>
      <bottom style="thin">
        <color auto="1"/>
      </bottom>
      <diagonal/>
    </border>
  </borders>
  <cellStyleXfs count="860">
    <xf numFmtId="0" fontId="0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3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8" fillId="0" borderId="0"/>
    <xf numFmtId="38" fontId="19" fillId="0" borderId="0" applyFill="0" applyBorder="0" applyAlignment="0" applyProtection="0"/>
    <xf numFmtId="0" fontId="20" fillId="8" borderId="0" applyNumberFormat="0" applyBorder="0" applyAlignment="0" applyProtection="0"/>
    <xf numFmtId="0" fontId="21" fillId="9" borderId="0" applyNumberFormat="0" applyBorder="0" applyAlignment="0" applyProtection="0"/>
    <xf numFmtId="0" fontId="22" fillId="0" borderId="0"/>
    <xf numFmtId="0" fontId="23" fillId="0" borderId="0">
      <alignment vertical="center"/>
    </xf>
    <xf numFmtId="0" fontId="24" fillId="0" borderId="0">
      <alignment vertical="center"/>
    </xf>
    <xf numFmtId="0" fontId="25" fillId="10" borderId="0" applyNumberFormat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2" fillId="0" borderId="0"/>
    <xf numFmtId="0" fontId="2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38" fontId="1" fillId="0" borderId="0" applyFont="0" applyFill="0" applyBorder="0" applyAlignment="0" applyProtection="0">
      <alignment vertical="center"/>
    </xf>
    <xf numFmtId="0" fontId="32" fillId="16" borderId="13" applyNumberFormat="0" applyAlignment="0" applyProtection="0"/>
    <xf numFmtId="0" fontId="33" fillId="17" borderId="0" applyNumberFormat="0" applyBorder="0" applyAlignment="0" applyProtection="0"/>
    <xf numFmtId="0" fontId="34" fillId="18" borderId="14" applyNumberFormat="0" applyAlignment="0" applyProtection="0"/>
    <xf numFmtId="0" fontId="35" fillId="0" borderId="0" applyNumberFormat="0" applyFill="0" applyBorder="0" applyAlignment="0" applyProtection="0"/>
    <xf numFmtId="0" fontId="36" fillId="19" borderId="0" applyNumberFormat="0" applyBorder="0" applyAlignment="0" applyProtection="0"/>
    <xf numFmtId="0" fontId="37" fillId="20" borderId="15" applyNumberFormat="0" applyAlignment="0" applyProtection="0"/>
    <xf numFmtId="0" fontId="38" fillId="0" borderId="0" applyNumberFormat="0" applyFill="0" applyBorder="0" applyAlignment="0" applyProtection="0"/>
    <xf numFmtId="0" fontId="39" fillId="0" borderId="16" applyNumberFormat="0" applyFill="0" applyAlignment="0" applyProtection="0"/>
    <xf numFmtId="0" fontId="40" fillId="0" borderId="17" applyNumberFormat="0" applyFill="0" applyAlignment="0" applyProtection="0"/>
    <xf numFmtId="0" fontId="41" fillId="0" borderId="18" applyNumberFormat="0" applyFill="0" applyAlignment="0" applyProtection="0"/>
    <xf numFmtId="0" fontId="41" fillId="0" borderId="0" applyNumberFormat="0" applyFill="0" applyBorder="0" applyAlignment="0" applyProtection="0"/>
    <xf numFmtId="0" fontId="42" fillId="18" borderId="0" applyNumberFormat="0" applyBorder="0" applyAlignment="0" applyProtection="0"/>
    <xf numFmtId="0" fontId="42" fillId="17" borderId="0" applyNumberFormat="0" applyBorder="0" applyAlignment="0" applyProtection="0"/>
    <xf numFmtId="0" fontId="42" fillId="21" borderId="0" applyNumberFormat="0" applyBorder="0" applyAlignment="0" applyProtection="0"/>
    <xf numFmtId="0" fontId="42" fillId="18" borderId="0" applyNumberFormat="0" applyBorder="0" applyAlignment="0" applyProtection="0"/>
    <xf numFmtId="0" fontId="42" fillId="22" borderId="0" applyNumberFormat="0" applyBorder="0" applyAlignment="0" applyProtection="0"/>
    <xf numFmtId="0" fontId="42" fillId="16" borderId="0" applyNumberFormat="0" applyBorder="0" applyAlignment="0" applyProtection="0"/>
    <xf numFmtId="0" fontId="42" fillId="18" borderId="0" applyNumberFormat="0" applyBorder="0" applyAlignment="0" applyProtection="0"/>
    <xf numFmtId="0" fontId="42" fillId="23" borderId="0" applyNumberFormat="0" applyBorder="0" applyAlignment="0" applyProtection="0"/>
    <xf numFmtId="0" fontId="42" fillId="21" borderId="0" applyNumberFormat="0" applyBorder="0" applyAlignment="0" applyProtection="0"/>
    <xf numFmtId="0" fontId="42" fillId="18" borderId="0" applyNumberFormat="0" applyBorder="0" applyAlignment="0" applyProtection="0"/>
    <xf numFmtId="0" fontId="42" fillId="24" borderId="0" applyNumberFormat="0" applyBorder="0" applyAlignment="0" applyProtection="0"/>
    <xf numFmtId="0" fontId="42" fillId="17" borderId="0" applyNumberFormat="0" applyBorder="0" applyAlignment="0" applyProtection="0"/>
    <xf numFmtId="0" fontId="43" fillId="25" borderId="0" applyNumberFormat="0" applyBorder="0" applyAlignment="0" applyProtection="0"/>
    <xf numFmtId="0" fontId="43" fillId="23" borderId="0" applyNumberFormat="0" applyBorder="0" applyAlignment="0" applyProtection="0"/>
    <xf numFmtId="0" fontId="43" fillId="21" borderId="0" applyNumberFormat="0" applyBorder="0" applyAlignment="0" applyProtection="0"/>
    <xf numFmtId="0" fontId="43" fillId="18" borderId="0" applyNumberFormat="0" applyBorder="0" applyAlignment="0" applyProtection="0"/>
    <xf numFmtId="0" fontId="43" fillId="25" borderId="0" applyNumberFormat="0" applyBorder="0" applyAlignment="0" applyProtection="0"/>
    <xf numFmtId="0" fontId="43" fillId="17" borderId="0" applyNumberFormat="0" applyBorder="0" applyAlignment="0" applyProtection="0"/>
    <xf numFmtId="0" fontId="35" fillId="0" borderId="0" applyNumberFormat="0" applyFill="0" applyBorder="0" applyAlignment="0" applyProtection="0"/>
    <xf numFmtId="0" fontId="43" fillId="25" borderId="0" applyNumberFormat="0" applyBorder="0" applyAlignment="0" applyProtection="0"/>
    <xf numFmtId="0" fontId="43" fillId="26" borderId="0" applyNumberFormat="0" applyBorder="0" applyAlignment="0" applyProtection="0"/>
    <xf numFmtId="0" fontId="43" fillId="21" borderId="0" applyNumberFormat="0" applyBorder="0" applyAlignment="0" applyProtection="0"/>
    <xf numFmtId="0" fontId="43" fillId="27" borderId="0" applyNumberFormat="0" applyBorder="0" applyAlignment="0" applyProtection="0"/>
    <xf numFmtId="0" fontId="43" fillId="25" borderId="0" applyNumberFormat="0" applyBorder="0" applyAlignment="0" applyProtection="0"/>
    <xf numFmtId="0" fontId="43" fillId="23" borderId="0" applyNumberFormat="0" applyBorder="0" applyAlignment="0" applyProtection="0"/>
    <xf numFmtId="0" fontId="44" fillId="28" borderId="0" applyNumberFormat="0" applyBorder="0" applyAlignment="0" applyProtection="0"/>
    <xf numFmtId="0" fontId="33" fillId="17" borderId="0" applyNumberFormat="0" applyBorder="0" applyAlignment="0" applyProtection="0"/>
    <xf numFmtId="0" fontId="45" fillId="0" borderId="19" applyNumberFormat="0" applyFill="0" applyAlignment="0" applyProtection="0"/>
    <xf numFmtId="0" fontId="46" fillId="18" borderId="20" applyNumberFormat="0" applyAlignment="0" applyProtection="0"/>
    <xf numFmtId="0" fontId="46" fillId="29" borderId="20" applyNumberFormat="0" applyAlignment="0" applyProtection="0"/>
    <xf numFmtId="0" fontId="34" fillId="17" borderId="14" applyNumberFormat="0" applyAlignment="0" applyProtection="0"/>
    <xf numFmtId="0" fontId="47" fillId="0" borderId="21" applyNumberFormat="0" applyFill="0" applyAlignment="0" applyProtection="0"/>
    <xf numFmtId="0" fontId="48" fillId="29" borderId="14" applyNumberFormat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50" fillId="0" borderId="22" applyNumberFormat="0" applyFill="0" applyAlignment="0" applyProtection="0"/>
    <xf numFmtId="0" fontId="1" fillId="0" borderId="0"/>
    <xf numFmtId="0" fontId="1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</cellStyleXfs>
  <cellXfs count="203">
    <xf numFmtId="0" fontId="0" fillId="0" borderId="0" xfId="0"/>
    <xf numFmtId="0" fontId="4" fillId="2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center" vertical="center"/>
    </xf>
    <xf numFmtId="0" fontId="4" fillId="0" borderId="0" xfId="0" applyFont="1" applyAlignment="1">
      <alignment vertical="center"/>
    </xf>
    <xf numFmtId="0" fontId="6" fillId="5" borderId="3" xfId="0" applyFont="1" applyFill="1" applyBorder="1" applyAlignment="1">
      <alignment vertical="center"/>
    </xf>
    <xf numFmtId="0" fontId="8" fillId="0" borderId="4" xfId="0" applyFont="1" applyBorder="1" applyAlignment="1">
      <alignment vertical="center"/>
    </xf>
    <xf numFmtId="0" fontId="4" fillId="0" borderId="5" xfId="0" applyFont="1" applyBorder="1" applyAlignment="1">
      <alignment vertical="center"/>
    </xf>
    <xf numFmtId="0" fontId="4" fillId="0" borderId="1" xfId="0" applyFont="1" applyFill="1" applyBorder="1" applyAlignment="1">
      <alignment vertical="center"/>
    </xf>
    <xf numFmtId="0" fontId="4" fillId="0" borderId="6" xfId="0" applyFont="1" applyBorder="1" applyAlignment="1">
      <alignment vertical="center"/>
    </xf>
    <xf numFmtId="0" fontId="4" fillId="0" borderId="0" xfId="0" applyFont="1" applyAlignment="1">
      <alignment horizontal="center" vertical="center"/>
    </xf>
    <xf numFmtId="0" fontId="4" fillId="0" borderId="0" xfId="0" applyFont="1" applyFill="1" applyAlignment="1">
      <alignment vertical="center"/>
    </xf>
    <xf numFmtId="0" fontId="6" fillId="5" borderId="1" xfId="0" applyFont="1" applyFill="1" applyBorder="1" applyAlignment="1">
      <alignment vertical="center"/>
    </xf>
    <xf numFmtId="0" fontId="6" fillId="0" borderId="1" xfId="0" applyFont="1" applyFill="1" applyBorder="1" applyAlignment="1">
      <alignment vertical="center"/>
    </xf>
    <xf numFmtId="0" fontId="4" fillId="3" borderId="0" xfId="0" applyFont="1" applyFill="1" applyAlignment="1">
      <alignment horizontal="center" vertical="center"/>
    </xf>
    <xf numFmtId="0" fontId="4" fillId="3" borderId="0" xfId="0" applyFont="1" applyFill="1" applyAlignment="1">
      <alignment vertical="center"/>
    </xf>
    <xf numFmtId="0" fontId="4" fillId="3" borderId="7" xfId="0" applyFont="1" applyFill="1" applyBorder="1" applyAlignment="1">
      <alignment horizontal="center" vertical="center"/>
    </xf>
    <xf numFmtId="0" fontId="12" fillId="7" borderId="0" xfId="0" applyFont="1" applyFill="1" applyAlignment="1">
      <alignment vertical="center"/>
    </xf>
    <xf numFmtId="0" fontId="6" fillId="5" borderId="9" xfId="0" applyFont="1" applyFill="1" applyBorder="1" applyAlignment="1">
      <alignment vertical="center"/>
    </xf>
    <xf numFmtId="0" fontId="6" fillId="5" borderId="7" xfId="0" applyFont="1" applyFill="1" applyBorder="1" applyAlignment="1">
      <alignment vertical="center"/>
    </xf>
    <xf numFmtId="0" fontId="12" fillId="0" borderId="0" xfId="0" applyFont="1" applyFill="1" applyAlignment="1">
      <alignment vertical="center"/>
    </xf>
    <xf numFmtId="0" fontId="4" fillId="0" borderId="1" xfId="0" applyFont="1" applyBorder="1" applyAlignment="1">
      <alignment horizontal="center" vertical="center"/>
    </xf>
    <xf numFmtId="0" fontId="4" fillId="0" borderId="1" xfId="0" applyFont="1" applyFill="1" applyBorder="1" applyAlignment="1">
      <alignment horizontal="center" vertical="center"/>
    </xf>
    <xf numFmtId="176" fontId="4" fillId="0" borderId="3" xfId="0" applyNumberFormat="1" applyFont="1" applyFill="1" applyBorder="1" applyAlignment="1">
      <alignment horizontal="center" vertical="center"/>
    </xf>
    <xf numFmtId="0" fontId="6" fillId="3" borderId="7" xfId="0" applyFont="1" applyFill="1" applyBorder="1" applyAlignment="1">
      <alignment vertical="center"/>
    </xf>
    <xf numFmtId="177" fontId="8" fillId="0" borderId="4" xfId="0" applyNumberFormat="1" applyFont="1" applyBorder="1" applyAlignment="1">
      <alignment vertical="center"/>
    </xf>
    <xf numFmtId="0" fontId="4" fillId="2" borderId="7" xfId="0" applyFont="1" applyFill="1" applyBorder="1" applyAlignment="1">
      <alignment horizontal="left" vertical="center"/>
    </xf>
    <xf numFmtId="0" fontId="12" fillId="7" borderId="0" xfId="0" applyFont="1" applyFill="1" applyAlignment="1">
      <alignment horizontal="left" vertical="center"/>
    </xf>
    <xf numFmtId="0" fontId="4" fillId="2" borderId="1" xfId="0" applyFont="1" applyFill="1" applyBorder="1" applyAlignment="1">
      <alignment horizontal="left" vertical="center"/>
    </xf>
    <xf numFmtId="0" fontId="4" fillId="3" borderId="7" xfId="0" applyFont="1" applyFill="1" applyBorder="1" applyAlignment="1">
      <alignment horizontal="left" vertical="center"/>
    </xf>
    <xf numFmtId="0" fontId="4" fillId="3" borderId="1" xfId="0" applyFont="1" applyFill="1" applyBorder="1" applyAlignment="1">
      <alignment horizontal="left" vertical="center"/>
    </xf>
    <xf numFmtId="0" fontId="4" fillId="3" borderId="8" xfId="0" applyFont="1" applyFill="1" applyBorder="1" applyAlignment="1">
      <alignment horizontal="left" vertical="center"/>
    </xf>
    <xf numFmtId="0" fontId="4" fillId="3" borderId="10" xfId="0" applyFont="1" applyFill="1" applyBorder="1" applyAlignment="1">
      <alignment horizontal="left" vertical="center"/>
    </xf>
    <xf numFmtId="0" fontId="4" fillId="2" borderId="2" xfId="0" applyFont="1" applyFill="1" applyBorder="1" applyAlignment="1">
      <alignment horizontal="left" vertical="center"/>
    </xf>
    <xf numFmtId="0" fontId="6" fillId="4" borderId="7" xfId="0" applyFont="1" applyFill="1" applyBorder="1" applyAlignment="1">
      <alignment horizontal="left" vertical="center"/>
    </xf>
    <xf numFmtId="0" fontId="4" fillId="0" borderId="0" xfId="0" applyFont="1" applyAlignment="1">
      <alignment horizontal="left" vertical="center"/>
    </xf>
    <xf numFmtId="0" fontId="4" fillId="6" borderId="7" xfId="0" applyFont="1" applyFill="1" applyBorder="1" applyAlignment="1">
      <alignment horizontal="left" vertical="center"/>
    </xf>
    <xf numFmtId="0" fontId="4" fillId="6" borderId="1" xfId="0" applyFont="1" applyFill="1" applyBorder="1" applyAlignment="1">
      <alignment horizontal="left" vertical="center"/>
    </xf>
    <xf numFmtId="0" fontId="6" fillId="0" borderId="7" xfId="0" applyFont="1" applyFill="1" applyBorder="1" applyAlignment="1">
      <alignment vertical="center"/>
    </xf>
    <xf numFmtId="0" fontId="14" fillId="7" borderId="0" xfId="0" applyFont="1" applyFill="1" applyAlignment="1">
      <alignment vertical="center"/>
    </xf>
    <xf numFmtId="0" fontId="16" fillId="6" borderId="7" xfId="0" applyFont="1" applyFill="1" applyBorder="1" applyAlignment="1">
      <alignment horizontal="center" vertical="center"/>
    </xf>
    <xf numFmtId="0" fontId="16" fillId="3" borderId="7" xfId="0" applyFont="1" applyFill="1" applyBorder="1" applyAlignment="1">
      <alignment horizontal="center" vertical="center"/>
    </xf>
    <xf numFmtId="0" fontId="11" fillId="6" borderId="7" xfId="0" applyFont="1" applyFill="1" applyBorder="1" applyAlignment="1">
      <alignment horizontal="center" vertical="center"/>
    </xf>
    <xf numFmtId="0" fontId="11" fillId="3" borderId="7" xfId="0" applyFont="1" applyFill="1" applyBorder="1" applyAlignment="1">
      <alignment horizontal="center" vertical="center"/>
    </xf>
    <xf numFmtId="0" fontId="11" fillId="3" borderId="2" xfId="0" applyFont="1" applyFill="1" applyBorder="1" applyAlignment="1">
      <alignment horizontal="center" vertical="center"/>
    </xf>
    <xf numFmtId="0" fontId="16" fillId="0" borderId="0" xfId="0" applyFont="1" applyAlignment="1">
      <alignment vertical="center"/>
    </xf>
    <xf numFmtId="0" fontId="16" fillId="3" borderId="7" xfId="0" applyFont="1" applyFill="1" applyBorder="1" applyAlignment="1">
      <alignment horizontal="left" vertical="center"/>
    </xf>
    <xf numFmtId="0" fontId="16" fillId="0" borderId="7" xfId="0" applyFont="1" applyFill="1" applyBorder="1" applyAlignment="1">
      <alignment vertical="center"/>
    </xf>
    <xf numFmtId="0" fontId="16" fillId="3" borderId="7" xfId="0" applyFont="1" applyFill="1" applyBorder="1" applyAlignment="1">
      <alignment vertical="center"/>
    </xf>
    <xf numFmtId="0" fontId="16" fillId="0" borderId="0" xfId="0" applyFont="1" applyFill="1" applyAlignment="1">
      <alignment vertical="center"/>
    </xf>
    <xf numFmtId="0" fontId="11" fillId="6" borderId="2" xfId="0" applyFont="1" applyFill="1" applyBorder="1" applyAlignment="1">
      <alignment horizontal="center" vertical="center"/>
    </xf>
    <xf numFmtId="0" fontId="14" fillId="7" borderId="0" xfId="0" applyFont="1" applyFill="1" applyAlignment="1">
      <alignment horizontal="center" vertical="center"/>
    </xf>
    <xf numFmtId="0" fontId="13" fillId="11" borderId="7" xfId="0" applyFont="1" applyFill="1" applyBorder="1"/>
    <xf numFmtId="0" fontId="0" fillId="11" borderId="7" xfId="0" applyFill="1" applyBorder="1"/>
    <xf numFmtId="0" fontId="0" fillId="0" borderId="7" xfId="0" applyBorder="1"/>
    <xf numFmtId="0" fontId="0" fillId="6" borderId="7" xfId="0" applyFill="1" applyBorder="1"/>
    <xf numFmtId="0" fontId="26" fillId="12" borderId="7" xfId="0" applyFont="1" applyFill="1" applyBorder="1"/>
    <xf numFmtId="0" fontId="13" fillId="11" borderId="7" xfId="434" applyFont="1" applyFill="1" applyBorder="1" applyAlignment="1"/>
    <xf numFmtId="0" fontId="24" fillId="0" borderId="7" xfId="434" applyBorder="1" applyAlignment="1"/>
    <xf numFmtId="0" fontId="6" fillId="0" borderId="3" xfId="0" applyFont="1" applyFill="1" applyBorder="1" applyAlignment="1">
      <alignment vertical="center"/>
    </xf>
    <xf numFmtId="0" fontId="16" fillId="3" borderId="7" xfId="0" applyFont="1" applyFill="1" applyBorder="1" applyAlignment="1">
      <alignment horizontal="left" vertical="center" wrapText="1"/>
    </xf>
    <xf numFmtId="0" fontId="16" fillId="6" borderId="7" xfId="614" applyFont="1" applyFill="1" applyBorder="1" applyAlignment="1">
      <alignment horizontal="left"/>
    </xf>
    <xf numFmtId="0" fontId="14" fillId="7" borderId="0" xfId="614" applyFont="1" applyFill="1" applyAlignment="1">
      <alignment horizontal="center" vertical="center"/>
    </xf>
    <xf numFmtId="0" fontId="0" fillId="6" borderId="7" xfId="615" applyFont="1" applyFill="1" applyBorder="1"/>
    <xf numFmtId="0" fontId="0" fillId="0" borderId="7" xfId="615" applyFont="1" applyBorder="1"/>
    <xf numFmtId="0" fontId="2" fillId="11" borderId="7" xfId="615" applyFill="1" applyBorder="1"/>
    <xf numFmtId="0" fontId="4" fillId="0" borderId="7" xfId="0" applyFont="1" applyBorder="1" applyAlignment="1">
      <alignment vertical="center"/>
    </xf>
    <xf numFmtId="0" fontId="0" fillId="3" borderId="7" xfId="0" applyFill="1" applyBorder="1"/>
    <xf numFmtId="0" fontId="16" fillId="3" borderId="7" xfId="614" applyFont="1" applyFill="1" applyBorder="1" applyAlignment="1">
      <alignment horizontal="left"/>
    </xf>
    <xf numFmtId="0" fontId="16" fillId="6" borderId="7" xfId="0" applyFont="1" applyFill="1" applyBorder="1" applyAlignment="1">
      <alignment horizontal="center"/>
    </xf>
    <xf numFmtId="56" fontId="16" fillId="6" borderId="7" xfId="0" applyNumberFormat="1" applyFont="1" applyFill="1" applyBorder="1" applyAlignment="1">
      <alignment horizontal="center"/>
    </xf>
    <xf numFmtId="0" fontId="2" fillId="0" borderId="0" xfId="615"/>
    <xf numFmtId="0" fontId="27" fillId="6" borderId="7" xfId="0" applyFont="1" applyFill="1" applyBorder="1" applyAlignment="1">
      <alignment horizontal="center"/>
    </xf>
    <xf numFmtId="0" fontId="16" fillId="3" borderId="7" xfId="0" applyFont="1" applyFill="1" applyBorder="1" applyAlignment="1">
      <alignment horizontal="center"/>
    </xf>
    <xf numFmtId="0" fontId="16" fillId="14" borderId="7" xfId="0" applyFont="1" applyFill="1" applyBorder="1" applyAlignment="1">
      <alignment horizontal="center"/>
    </xf>
    <xf numFmtId="0" fontId="16" fillId="15" borderId="7" xfId="0" applyFont="1" applyFill="1" applyBorder="1" applyAlignment="1">
      <alignment horizontal="center"/>
    </xf>
    <xf numFmtId="0" fontId="0" fillId="15" borderId="7" xfId="0" applyFill="1" applyBorder="1"/>
    <xf numFmtId="0" fontId="27" fillId="0" borderId="7" xfId="0" applyFont="1" applyFill="1" applyBorder="1"/>
    <xf numFmtId="0" fontId="28" fillId="0" borderId="7" xfId="0" applyFont="1" applyFill="1" applyBorder="1"/>
    <xf numFmtId="0" fontId="29" fillId="3" borderId="12" xfId="0" applyFont="1" applyFill="1" applyBorder="1" applyAlignment="1">
      <alignment vertical="center"/>
    </xf>
    <xf numFmtId="0" fontId="30" fillId="0" borderId="7" xfId="0" applyFont="1" applyFill="1" applyBorder="1"/>
    <xf numFmtId="0" fontId="29" fillId="0" borderId="12" xfId="0" applyFont="1" applyFill="1" applyBorder="1" applyAlignment="1">
      <alignment vertical="center"/>
    </xf>
    <xf numFmtId="0" fontId="30" fillId="14" borderId="7" xfId="0" applyFont="1" applyFill="1" applyBorder="1"/>
    <xf numFmtId="0" fontId="31" fillId="0" borderId="7" xfId="0" applyFont="1" applyFill="1" applyBorder="1"/>
    <xf numFmtId="0" fontId="27" fillId="0" borderId="0" xfId="0" applyFont="1" applyFill="1"/>
    <xf numFmtId="0" fontId="16" fillId="30" borderId="7" xfId="0" applyFont="1" applyFill="1" applyBorder="1" applyAlignment="1">
      <alignment horizontal="center"/>
    </xf>
    <xf numFmtId="0" fontId="30" fillId="30" borderId="7" xfId="0" applyFont="1" applyFill="1" applyBorder="1"/>
    <xf numFmtId="0" fontId="16" fillId="13" borderId="7" xfId="0" applyFont="1" applyFill="1" applyBorder="1" applyAlignment="1">
      <alignment horizontal="center"/>
    </xf>
    <xf numFmtId="56" fontId="16" fillId="14" borderId="7" xfId="0" applyNumberFormat="1" applyFont="1" applyFill="1" applyBorder="1" applyAlignment="1">
      <alignment horizontal="center"/>
    </xf>
    <xf numFmtId="0" fontId="16" fillId="6" borderId="7" xfId="11" applyFont="1" applyFill="1" applyBorder="1" applyAlignment="1">
      <alignment horizontal="left"/>
    </xf>
    <xf numFmtId="0" fontId="13" fillId="7" borderId="0" xfId="0" applyFont="1" applyFill="1" applyAlignment="1">
      <alignment horizontal="center"/>
    </xf>
    <xf numFmtId="0" fontId="51" fillId="6" borderId="7" xfId="0" applyFont="1" applyFill="1" applyBorder="1" applyAlignment="1">
      <alignment horizontal="center"/>
    </xf>
    <xf numFmtId="0" fontId="13" fillId="7" borderId="0" xfId="0" applyFont="1" applyFill="1" applyAlignment="1">
      <alignment horizontal="left" indent="1"/>
    </xf>
    <xf numFmtId="0" fontId="30" fillId="3" borderId="7" xfId="0" applyFont="1" applyFill="1" applyBorder="1"/>
    <xf numFmtId="22" fontId="30" fillId="0" borderId="7" xfId="0" quotePrefix="1" applyNumberFormat="1" applyFont="1" applyFill="1" applyBorder="1"/>
    <xf numFmtId="0" fontId="30" fillId="0" borderId="7" xfId="0" quotePrefix="1" applyFont="1" applyFill="1" applyBorder="1"/>
    <xf numFmtId="0" fontId="2" fillId="0" borderId="7" xfId="615" applyBorder="1"/>
    <xf numFmtId="0" fontId="2" fillId="6" borderId="7" xfId="615" applyFill="1" applyBorder="1"/>
    <xf numFmtId="0" fontId="4" fillId="31" borderId="7" xfId="0" applyFont="1" applyFill="1" applyBorder="1" applyAlignment="1">
      <alignment horizontal="left" vertical="center"/>
    </xf>
    <xf numFmtId="1" fontId="32" fillId="31" borderId="7" xfId="0" applyNumberFormat="1" applyFont="1" applyFill="1" applyBorder="1" applyAlignment="1">
      <alignment vertical="center"/>
    </xf>
    <xf numFmtId="0" fontId="4" fillId="31" borderId="0" xfId="0" applyFont="1" applyFill="1" applyAlignment="1">
      <alignment vertical="center"/>
    </xf>
    <xf numFmtId="0" fontId="52" fillId="14" borderId="12" xfId="0" applyNumberFormat="1" applyFont="1" applyFill="1" applyBorder="1" applyAlignment="1">
      <alignment vertical="top" wrapText="1"/>
    </xf>
    <xf numFmtId="0" fontId="4" fillId="3" borderId="23" xfId="0" applyFont="1" applyFill="1" applyBorder="1" applyAlignment="1">
      <alignment horizontal="center" vertical="center"/>
    </xf>
    <xf numFmtId="0" fontId="6" fillId="5" borderId="24" xfId="0" applyFont="1" applyFill="1" applyBorder="1" applyAlignment="1">
      <alignment vertical="center"/>
    </xf>
    <xf numFmtId="0" fontId="16" fillId="0" borderId="0" xfId="0" applyFont="1" applyFill="1" applyBorder="1" applyAlignment="1">
      <alignment vertical="center"/>
    </xf>
    <xf numFmtId="0" fontId="16" fillId="32" borderId="7" xfId="0" applyFont="1" applyFill="1" applyBorder="1" applyAlignment="1">
      <alignment horizontal="left" vertical="center" wrapText="1"/>
    </xf>
    <xf numFmtId="0" fontId="16" fillId="33" borderId="7" xfId="0" applyFont="1" applyFill="1" applyBorder="1" applyAlignment="1">
      <alignment horizontal="left" vertical="center" wrapText="1"/>
    </xf>
    <xf numFmtId="0" fontId="16" fillId="33" borderId="7" xfId="0" applyFont="1" applyFill="1" applyBorder="1" applyAlignment="1">
      <alignment vertical="center"/>
    </xf>
    <xf numFmtId="0" fontId="16" fillId="33" borderId="7" xfId="0" applyFont="1" applyFill="1" applyBorder="1" applyAlignment="1">
      <alignment horizontal="left" vertical="center"/>
    </xf>
    <xf numFmtId="14" fontId="16" fillId="33" borderId="7" xfId="0" applyNumberFormat="1" applyFont="1" applyFill="1" applyBorder="1" applyAlignment="1">
      <alignment horizontal="left" vertical="center"/>
    </xf>
    <xf numFmtId="0" fontId="16" fillId="32" borderId="7" xfId="0" applyFont="1" applyFill="1" applyBorder="1" applyAlignment="1">
      <alignment vertical="center"/>
    </xf>
    <xf numFmtId="0" fontId="16" fillId="32" borderId="7" xfId="0" applyFont="1" applyFill="1" applyBorder="1" applyAlignment="1">
      <alignment horizontal="left" vertical="center"/>
    </xf>
    <xf numFmtId="14" fontId="16" fillId="32" borderId="7" xfId="0" applyNumberFormat="1" applyFont="1" applyFill="1" applyBorder="1" applyAlignment="1">
      <alignment horizontal="left" vertical="center"/>
    </xf>
    <xf numFmtId="0" fontId="53" fillId="13" borderId="7" xfId="0" applyFont="1" applyFill="1" applyBorder="1"/>
    <xf numFmtId="0" fontId="54" fillId="0" borderId="1" xfId="0" applyFont="1" applyFill="1" applyBorder="1" applyAlignment="1">
      <alignment horizontal="center" vertical="center"/>
    </xf>
    <xf numFmtId="0" fontId="4" fillId="0" borderId="25" xfId="0" applyFont="1" applyFill="1" applyBorder="1" applyAlignment="1">
      <alignment horizontal="center" vertical="center"/>
    </xf>
    <xf numFmtId="0" fontId="4" fillId="0" borderId="7" xfId="0" applyFont="1" applyBorder="1" applyAlignment="1">
      <alignment horizontal="center" vertical="center"/>
    </xf>
    <xf numFmtId="0" fontId="4" fillId="3" borderId="7" xfId="0" applyFont="1" applyFill="1" applyBorder="1" applyAlignment="1">
      <alignment vertical="center"/>
    </xf>
    <xf numFmtId="0" fontId="4" fillId="0" borderId="7" xfId="0" applyFont="1" applyFill="1" applyBorder="1" applyAlignment="1">
      <alignment vertical="center"/>
    </xf>
    <xf numFmtId="0" fontId="6" fillId="5" borderId="26" xfId="0" applyFont="1" applyFill="1" applyBorder="1" applyAlignment="1">
      <alignment vertical="center"/>
    </xf>
    <xf numFmtId="0" fontId="29" fillId="0" borderId="12" xfId="0" applyFont="1" applyFill="1" applyBorder="1" applyAlignment="1"/>
    <xf numFmtId="0" fontId="4" fillId="0" borderId="7" xfId="0" applyFont="1" applyFill="1" applyBorder="1" applyAlignment="1">
      <alignment horizontal="center" vertical="center"/>
    </xf>
    <xf numFmtId="0" fontId="6" fillId="5" borderId="27" xfId="0" applyFont="1" applyFill="1" applyBorder="1" applyAlignment="1">
      <alignment vertical="center"/>
    </xf>
    <xf numFmtId="0" fontId="6" fillId="0" borderId="9" xfId="0" applyFont="1" applyFill="1" applyBorder="1" applyAlignment="1">
      <alignment vertical="center"/>
    </xf>
    <xf numFmtId="0" fontId="6" fillId="0" borderId="11" xfId="0" applyFont="1" applyFill="1" applyBorder="1" applyAlignment="1">
      <alignment vertical="center"/>
    </xf>
    <xf numFmtId="0" fontId="16" fillId="3" borderId="7" xfId="0" applyFont="1" applyFill="1" applyBorder="1" applyAlignment="1">
      <alignment horizontal="center" vertical="top"/>
    </xf>
    <xf numFmtId="0" fontId="55" fillId="32" borderId="7" xfId="0" applyFont="1" applyFill="1" applyBorder="1" applyAlignment="1">
      <alignment vertical="top" wrapText="1"/>
    </xf>
    <xf numFmtId="0" fontId="55" fillId="33" borderId="7" xfId="0" applyFont="1" applyFill="1" applyBorder="1" applyAlignment="1">
      <alignment vertical="top" wrapText="1"/>
    </xf>
    <xf numFmtId="0" fontId="16" fillId="0" borderId="0" xfId="0" applyFont="1" applyFill="1" applyAlignment="1">
      <alignment vertical="top"/>
    </xf>
    <xf numFmtId="0" fontId="55" fillId="0" borderId="0" xfId="0" applyFont="1" applyFill="1" applyBorder="1" applyAlignment="1">
      <alignment vertical="top" wrapText="1"/>
    </xf>
    <xf numFmtId="38" fontId="16" fillId="0" borderId="7" xfId="628" applyFont="1" applyFill="1" applyBorder="1" applyAlignment="1">
      <alignment wrapText="1"/>
    </xf>
    <xf numFmtId="9" fontId="16" fillId="32" borderId="7" xfId="0" applyNumberFormat="1" applyFont="1" applyFill="1" applyBorder="1" applyAlignment="1">
      <alignment horizontal="left" vertical="center" wrapText="1"/>
    </xf>
    <xf numFmtId="0" fontId="16" fillId="33" borderId="2" xfId="0" applyFont="1" applyFill="1" applyBorder="1" applyAlignment="1">
      <alignment vertical="center"/>
    </xf>
    <xf numFmtId="0" fontId="16" fillId="0" borderId="0" xfId="0" applyFont="1" applyBorder="1" applyAlignment="1">
      <alignment vertical="center"/>
    </xf>
    <xf numFmtId="0" fontId="56" fillId="0" borderId="0" xfId="0" applyFont="1"/>
    <xf numFmtId="0" fontId="56" fillId="13" borderId="0" xfId="0" applyFont="1" applyFill="1"/>
    <xf numFmtId="0" fontId="4" fillId="0" borderId="7" xfId="0" applyFont="1" applyBorder="1" applyAlignment="1">
      <alignment horizontal="center" vertical="center"/>
    </xf>
    <xf numFmtId="49" fontId="16" fillId="0" borderId="0" xfId="0" applyNumberFormat="1" applyFont="1" applyFill="1" applyBorder="1" applyAlignment="1">
      <alignment vertical="center"/>
    </xf>
    <xf numFmtId="0" fontId="32" fillId="3" borderId="7" xfId="0" applyFont="1" applyFill="1" applyBorder="1" applyAlignment="1">
      <alignment vertical="center"/>
    </xf>
    <xf numFmtId="0" fontId="8" fillId="0" borderId="29" xfId="0" applyFont="1" applyBorder="1" applyAlignment="1">
      <alignment vertical="center"/>
    </xf>
    <xf numFmtId="0" fontId="4" fillId="0" borderId="7" xfId="0" applyFont="1" applyBorder="1" applyAlignment="1">
      <alignment horizontal="center" vertical="center"/>
    </xf>
    <xf numFmtId="0" fontId="16" fillId="34" borderId="7" xfId="0" applyFont="1" applyFill="1" applyBorder="1" applyAlignment="1">
      <alignment vertical="center"/>
    </xf>
    <xf numFmtId="0" fontId="16" fillId="34" borderId="7" xfId="0" applyFont="1" applyFill="1" applyBorder="1" applyAlignment="1">
      <alignment horizontal="left" vertical="center"/>
    </xf>
    <xf numFmtId="0" fontId="16" fillId="34" borderId="7" xfId="0" applyFont="1" applyFill="1" applyBorder="1" applyAlignment="1">
      <alignment horizontal="left" vertical="center" wrapText="1"/>
    </xf>
    <xf numFmtId="14" fontId="16" fillId="34" borderId="7" xfId="0" applyNumberFormat="1" applyFont="1" applyFill="1" applyBorder="1" applyAlignment="1">
      <alignment horizontal="left" vertical="center"/>
    </xf>
    <xf numFmtId="0" fontId="55" fillId="34" borderId="7" xfId="0" applyFont="1" applyFill="1" applyBorder="1" applyAlignment="1">
      <alignment vertical="top" wrapText="1"/>
    </xf>
    <xf numFmtId="0" fontId="16" fillId="34" borderId="0" xfId="0" applyFont="1" applyFill="1" applyBorder="1" applyAlignment="1">
      <alignment vertical="center"/>
    </xf>
    <xf numFmtId="0" fontId="16" fillId="0" borderId="7" xfId="0" applyFont="1" applyFill="1" applyBorder="1" applyAlignment="1">
      <alignment horizontal="left" vertical="center"/>
    </xf>
    <xf numFmtId="0" fontId="16" fillId="0" borderId="7" xfId="0" applyFont="1" applyFill="1" applyBorder="1" applyAlignment="1">
      <alignment horizontal="left" vertical="center" wrapText="1"/>
    </xf>
    <xf numFmtId="0" fontId="16" fillId="34" borderId="0" xfId="0" applyFont="1" applyFill="1" applyAlignment="1">
      <alignment vertical="center"/>
    </xf>
    <xf numFmtId="0" fontId="16" fillId="6" borderId="7" xfId="0" applyFont="1" applyFill="1" applyBorder="1" applyAlignment="1">
      <alignment vertical="center"/>
    </xf>
    <xf numFmtId="0" fontId="16" fillId="6" borderId="7" xfId="0" applyFont="1" applyFill="1" applyBorder="1" applyAlignment="1">
      <alignment horizontal="left" vertical="center" wrapText="1"/>
    </xf>
    <xf numFmtId="9" fontId="16" fillId="6" borderId="7" xfId="0" applyNumberFormat="1" applyFont="1" applyFill="1" applyBorder="1" applyAlignment="1">
      <alignment horizontal="left" vertical="center" wrapText="1"/>
    </xf>
    <xf numFmtId="0" fontId="55" fillId="6" borderId="7" xfId="0" applyFont="1" applyFill="1" applyBorder="1" applyAlignment="1">
      <alignment vertical="top" wrapText="1"/>
    </xf>
    <xf numFmtId="0" fontId="16" fillId="6" borderId="7" xfId="0" applyFont="1" applyFill="1" applyBorder="1" applyAlignment="1">
      <alignment horizontal="left" vertical="center"/>
    </xf>
    <xf numFmtId="14" fontId="16" fillId="6" borderId="7" xfId="0" applyNumberFormat="1" applyFont="1" applyFill="1" applyBorder="1" applyAlignment="1">
      <alignment horizontal="left" vertical="center"/>
    </xf>
    <xf numFmtId="0" fontId="16" fillId="6" borderId="0" xfId="0" applyFont="1" applyFill="1" applyBorder="1" applyAlignment="1">
      <alignment vertical="center"/>
    </xf>
    <xf numFmtId="0" fontId="57" fillId="33" borderId="7" xfId="0" applyFont="1" applyFill="1" applyBorder="1" applyAlignment="1">
      <alignment horizontal="left" vertical="center" wrapText="1"/>
    </xf>
    <xf numFmtId="0" fontId="58" fillId="33" borderId="7" xfId="0" applyFont="1" applyFill="1" applyBorder="1" applyAlignment="1">
      <alignment horizontal="left" vertical="center" wrapText="1"/>
    </xf>
    <xf numFmtId="0" fontId="58" fillId="33" borderId="7" xfId="0" applyFont="1" applyFill="1" applyBorder="1" applyAlignment="1">
      <alignment vertical="center"/>
    </xf>
    <xf numFmtId="0" fontId="58" fillId="33" borderId="7" xfId="0" applyFont="1" applyFill="1" applyBorder="1" applyAlignment="1">
      <alignment horizontal="left" vertical="center"/>
    </xf>
    <xf numFmtId="14" fontId="58" fillId="33" borderId="7" xfId="0" applyNumberFormat="1" applyFont="1" applyFill="1" applyBorder="1" applyAlignment="1">
      <alignment horizontal="left" vertical="center"/>
    </xf>
    <xf numFmtId="0" fontId="59" fillId="33" borderId="7" xfId="0" applyFont="1" applyFill="1" applyBorder="1" applyAlignment="1">
      <alignment vertical="top" wrapText="1"/>
    </xf>
    <xf numFmtId="0" fontId="58" fillId="0" borderId="0" xfId="0" applyFont="1" applyFill="1" applyBorder="1" applyAlignment="1">
      <alignment vertical="center"/>
    </xf>
    <xf numFmtId="0" fontId="57" fillId="33" borderId="7" xfId="0" applyFont="1" applyFill="1" applyBorder="1" applyAlignment="1">
      <alignment vertical="center"/>
    </xf>
    <xf numFmtId="0" fontId="57" fillId="33" borderId="7" xfId="0" applyFont="1" applyFill="1" applyBorder="1" applyAlignment="1">
      <alignment horizontal="left" vertical="center"/>
    </xf>
    <xf numFmtId="14" fontId="57" fillId="33" borderId="7" xfId="0" applyNumberFormat="1" applyFont="1" applyFill="1" applyBorder="1" applyAlignment="1">
      <alignment horizontal="left" vertical="center"/>
    </xf>
    <xf numFmtId="0" fontId="60" fillId="33" borderId="7" xfId="0" applyFont="1" applyFill="1" applyBorder="1" applyAlignment="1">
      <alignment vertical="top" wrapText="1"/>
    </xf>
    <xf numFmtId="0" fontId="57" fillId="0" borderId="0" xfId="0" applyFont="1" applyFill="1" applyBorder="1" applyAlignment="1">
      <alignment vertical="center"/>
    </xf>
    <xf numFmtId="0" fontId="61" fillId="0" borderId="7" xfId="0" applyFont="1" applyBorder="1"/>
    <xf numFmtId="0" fontId="16" fillId="35" borderId="7" xfId="0" applyFont="1" applyFill="1" applyBorder="1" applyAlignment="1">
      <alignment vertical="center"/>
    </xf>
    <xf numFmtId="0" fontId="16" fillId="36" borderId="7" xfId="0" applyFont="1" applyFill="1" applyBorder="1" applyAlignment="1">
      <alignment vertical="center"/>
    </xf>
    <xf numFmtId="0" fontId="58" fillId="7" borderId="0" xfId="0" applyFont="1" applyFill="1" applyAlignment="1">
      <alignment vertical="center"/>
    </xf>
    <xf numFmtId="0" fontId="58" fillId="3" borderId="7" xfId="0" applyFont="1" applyFill="1" applyBorder="1" applyAlignment="1">
      <alignment horizontal="left" vertical="center"/>
    </xf>
    <xf numFmtId="0" fontId="58" fillId="3" borderId="7" xfId="0" applyFont="1" applyFill="1" applyBorder="1" applyAlignment="1">
      <alignment vertical="center"/>
    </xf>
    <xf numFmtId="0" fontId="58" fillId="0" borderId="7" xfId="0" applyFont="1" applyFill="1" applyBorder="1" applyAlignment="1">
      <alignment vertical="center"/>
    </xf>
    <xf numFmtId="0" fontId="58" fillId="0" borderId="0" xfId="0" applyFont="1" applyAlignment="1">
      <alignment vertical="center"/>
    </xf>
    <xf numFmtId="0" fontId="58" fillId="32" borderId="7" xfId="0" applyFont="1" applyFill="1" applyBorder="1" applyAlignment="1">
      <alignment vertical="center"/>
    </xf>
    <xf numFmtId="0" fontId="4" fillId="0" borderId="7" xfId="0" applyFont="1" applyBorder="1" applyAlignment="1">
      <alignment horizontal="center" vertical="center"/>
    </xf>
    <xf numFmtId="2" fontId="8" fillId="0" borderId="4" xfId="0" applyNumberFormat="1" applyFont="1" applyBorder="1" applyAlignment="1">
      <alignment vertical="center"/>
    </xf>
    <xf numFmtId="0" fontId="0" fillId="35" borderId="0" xfId="0" applyFont="1" applyFill="1" applyBorder="1"/>
    <xf numFmtId="0" fontId="62" fillId="0" borderId="7" xfId="0" applyFont="1" applyBorder="1"/>
    <xf numFmtId="0" fontId="61" fillId="35" borderId="7" xfId="0" applyFont="1" applyFill="1" applyBorder="1"/>
    <xf numFmtId="0" fontId="61" fillId="6" borderId="7" xfId="0" applyFont="1" applyFill="1" applyBorder="1"/>
    <xf numFmtId="0" fontId="16" fillId="37" borderId="7" xfId="0" applyFont="1" applyFill="1" applyBorder="1" applyAlignment="1">
      <alignment vertical="center"/>
    </xf>
    <xf numFmtId="0" fontId="61" fillId="37" borderId="7" xfId="0" applyFont="1" applyFill="1" applyBorder="1"/>
    <xf numFmtId="0" fontId="16" fillId="38" borderId="7" xfId="0" applyFont="1" applyFill="1" applyBorder="1" applyAlignment="1">
      <alignment vertical="center"/>
    </xf>
    <xf numFmtId="0" fontId="61" fillId="38" borderId="7" xfId="0" applyFont="1" applyFill="1" applyBorder="1"/>
    <xf numFmtId="0" fontId="16" fillId="39" borderId="7" xfId="0" applyFont="1" applyFill="1" applyBorder="1" applyAlignment="1">
      <alignment vertical="center"/>
    </xf>
    <xf numFmtId="0" fontId="61" fillId="39" borderId="7" xfId="0" applyFont="1" applyFill="1" applyBorder="1"/>
    <xf numFmtId="0" fontId="16" fillId="40" borderId="7" xfId="0" applyFont="1" applyFill="1" applyBorder="1" applyAlignment="1">
      <alignment vertical="center"/>
    </xf>
    <xf numFmtId="0" fontId="61" fillId="40" borderId="7" xfId="0" applyFont="1" applyFill="1" applyBorder="1"/>
    <xf numFmtId="0" fontId="14" fillId="39" borderId="0" xfId="0" applyFont="1" applyFill="1" applyAlignment="1">
      <alignment vertical="center"/>
    </xf>
    <xf numFmtId="0" fontId="14" fillId="40" borderId="0" xfId="0" applyFont="1" applyFill="1" applyAlignment="1">
      <alignment vertical="center"/>
    </xf>
    <xf numFmtId="0" fontId="14" fillId="37" borderId="0" xfId="0" applyFont="1" applyFill="1" applyAlignment="1">
      <alignment vertical="center"/>
    </xf>
    <xf numFmtId="0" fontId="57" fillId="3" borderId="7" xfId="0" applyFont="1" applyFill="1" applyBorder="1" applyAlignment="1">
      <alignment horizontal="left" vertical="center"/>
    </xf>
    <xf numFmtId="0" fontId="57" fillId="7" borderId="0" xfId="0" applyFont="1" applyFill="1" applyAlignment="1">
      <alignment vertical="center"/>
    </xf>
    <xf numFmtId="0" fontId="57" fillId="3" borderId="7" xfId="0" applyFont="1" applyFill="1" applyBorder="1" applyAlignment="1">
      <alignment vertical="center"/>
    </xf>
    <xf numFmtId="0" fontId="57" fillId="0" borderId="7" xfId="0" applyFont="1" applyFill="1" applyBorder="1" applyAlignment="1">
      <alignment vertical="center"/>
    </xf>
    <xf numFmtId="0" fontId="57" fillId="0" borderId="0" xfId="0" applyFont="1" applyAlignment="1">
      <alignment vertical="center"/>
    </xf>
    <xf numFmtId="0" fontId="4" fillId="0" borderId="7" xfId="0" applyFont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0" fontId="4" fillId="0" borderId="28" xfId="0" applyFont="1" applyBorder="1" applyAlignment="1">
      <alignment horizontal="center" vertical="center"/>
    </xf>
    <xf numFmtId="0" fontId="4" fillId="0" borderId="12" xfId="0" applyFont="1" applyBorder="1" applyAlignment="1">
      <alignment horizontal="center" vertical="center"/>
    </xf>
  </cellXfs>
  <cellStyles count="860">
    <cellStyle name="20% - ANZg1" xfId="640"/>
    <cellStyle name="20% - ANZg2" xfId="641"/>
    <cellStyle name="20% - ANZg3" xfId="642"/>
    <cellStyle name="20% - ANZg4" xfId="643"/>
    <cellStyle name="20% - ANZg5" xfId="644"/>
    <cellStyle name="20% - ANZg6" xfId="645"/>
    <cellStyle name="40% - ANZg1" xfId="646"/>
    <cellStyle name="40% - ANZg2" xfId="647"/>
    <cellStyle name="40% - ANZg3" xfId="648"/>
    <cellStyle name="40% - ANZg4" xfId="649"/>
    <cellStyle name="40% - ANZg5" xfId="650"/>
    <cellStyle name="40% - ANZg6" xfId="651"/>
    <cellStyle name="60% - ANZg1" xfId="652"/>
    <cellStyle name="60% - ANZg2" xfId="653"/>
    <cellStyle name="60% - ANZg3" xfId="654"/>
    <cellStyle name="60% - ANZg4" xfId="655"/>
    <cellStyle name="60% - ANZg5" xfId="656"/>
    <cellStyle name="60% - ANZg6" xfId="657"/>
    <cellStyle name="Excel Built-in Normal" xfId="428"/>
    <cellStyle name="^Cg" xfId="635"/>
    <cellStyle name="`FbN Z" xfId="634"/>
    <cellStyle name="ANZg 1" xfId="659"/>
    <cellStyle name="ANZg 2" xfId="660"/>
    <cellStyle name="ANZg 3" xfId="661"/>
    <cellStyle name="ANZg 4" xfId="662"/>
    <cellStyle name="ANZg 5" xfId="663"/>
    <cellStyle name="ANZg 6" xfId="664"/>
    <cellStyle name="" xfId="629"/>
    <cellStyle name="N Z" xfId="667"/>
    <cellStyle name="_" xfId="630"/>
    <cellStyle name="«¢" xfId="633"/>
    <cellStyle name="vZ" xfId="672"/>
    <cellStyle name="x÷" xfId="674"/>
    <cellStyle name="x¶" xfId="673"/>
    <cellStyle name="ýo_ 1" xfId="675"/>
    <cellStyle name="©oµ 1" xfId="636"/>
    <cellStyle name="©oµ 2" xfId="637"/>
    <cellStyle name="©oµ 3" xfId="638"/>
    <cellStyle name="©oµ 4" xfId="639"/>
    <cellStyle name="v" xfId="671"/>
    <cellStyle name="o_" xfId="668"/>
    <cellStyle name="oÍ" xfId="669"/>
    <cellStyle name="__÷" xfId="632"/>
    <cellStyle name="à¾¶" xfId="658"/>
    <cellStyle name="__" xfId="631"/>
    <cellStyle name="üÍ" xfId="670"/>
    <cellStyle name="Ê" xfId="666"/>
    <cellStyle name="Ç¢" xfId="665"/>
    <cellStyle name="ハイパーリンク" xfId="1" builtinId="8" hidden="1"/>
    <cellStyle name="ハイパーリンク" xfId="3" builtinId="8" hidden="1"/>
    <cellStyle name="ハイパーリンク" xfId="5" builtinId="8" hidden="1"/>
    <cellStyle name="ハイパーリンク" xfId="7" builtinId="8" hidden="1"/>
    <cellStyle name="ハイパーリンク" xfId="9" builtinId="8" hidden="1"/>
    <cellStyle name="ハイパーリンク" xfId="12" builtinId="8" hidden="1"/>
    <cellStyle name="ハイパーリンク" xfId="14" builtinId="8" hidden="1"/>
    <cellStyle name="ハイパーリンク" xfId="16" builtinId="8" hidden="1"/>
    <cellStyle name="ハイパーリンク" xfId="18" builtinId="8" hidden="1"/>
    <cellStyle name="ハイパーリンク" xfId="20" builtinId="8" hidden="1"/>
    <cellStyle name="ハイパーリンク" xfId="22" builtinId="8" hidden="1"/>
    <cellStyle name="ハイパーリンク" xfId="24" builtinId="8" hidden="1"/>
    <cellStyle name="ハイパーリンク" xfId="26" builtinId="8" hidden="1"/>
    <cellStyle name="ハイパーリンク" xfId="28" builtinId="8" hidden="1"/>
    <cellStyle name="ハイパーリンク" xfId="30" builtinId="8" hidden="1"/>
    <cellStyle name="ハイパーリンク" xfId="32" builtinId="8" hidden="1"/>
    <cellStyle name="ハイパーリンク" xfId="34" builtinId="8" hidden="1"/>
    <cellStyle name="ハイパーリンク" xfId="36" builtinId="8" hidden="1"/>
    <cellStyle name="ハイパーリンク" xfId="38" builtinId="8" hidden="1"/>
    <cellStyle name="ハイパーリンク" xfId="40" builtinId="8" hidden="1"/>
    <cellStyle name="ハイパーリンク" xfId="42" builtinId="8" hidden="1"/>
    <cellStyle name="ハイパーリンク" xfId="44" builtinId="8" hidden="1"/>
    <cellStyle name="ハイパーリンク" xfId="46" builtinId="8" hidden="1"/>
    <cellStyle name="ハイパーリンク" xfId="48" builtinId="8" hidden="1"/>
    <cellStyle name="ハイパーリンク" xfId="50" builtinId="8" hidden="1"/>
    <cellStyle name="ハイパーリンク" xfId="52" builtinId="8" hidden="1"/>
    <cellStyle name="ハイパーリンク" xfId="54" builtinId="8" hidden="1"/>
    <cellStyle name="ハイパーリンク" xfId="56" builtinId="8" hidden="1"/>
    <cellStyle name="ハイパーリンク" xfId="58" builtinId="8" hidden="1"/>
    <cellStyle name="ハイパーリンク" xfId="60" builtinId="8" hidden="1"/>
    <cellStyle name="ハイパーリンク" xfId="62" builtinId="8" hidden="1"/>
    <cellStyle name="ハイパーリンク" xfId="64" builtinId="8" hidden="1"/>
    <cellStyle name="ハイパーリンク" xfId="66" builtinId="8" hidden="1"/>
    <cellStyle name="ハイパーリンク" xfId="68" builtinId="8" hidden="1"/>
    <cellStyle name="ハイパーリンク" xfId="70" builtinId="8" hidden="1"/>
    <cellStyle name="ハイパーリンク" xfId="72" builtinId="8" hidden="1"/>
    <cellStyle name="ハイパーリンク" xfId="74" builtinId="8" hidden="1"/>
    <cellStyle name="ハイパーリンク" xfId="76" builtinId="8" hidden="1"/>
    <cellStyle name="ハイパーリンク" xfId="78" builtinId="8" hidden="1"/>
    <cellStyle name="ハイパーリンク" xfId="80" builtinId="8" hidden="1"/>
    <cellStyle name="ハイパーリンク" xfId="82" builtinId="8" hidden="1"/>
    <cellStyle name="ハイパーリンク" xfId="84" builtinId="8" hidden="1"/>
    <cellStyle name="ハイパーリンク" xfId="86" builtinId="8" hidden="1"/>
    <cellStyle name="ハイパーリンク" xfId="88" builtinId="8" hidden="1"/>
    <cellStyle name="ハイパーリンク" xfId="90" builtinId="8" hidden="1"/>
    <cellStyle name="ハイパーリンク" xfId="92" builtinId="8" hidden="1"/>
    <cellStyle name="ハイパーリンク" xfId="94" builtinId="8" hidden="1"/>
    <cellStyle name="ハイパーリンク" xfId="96" builtinId="8" hidden="1"/>
    <cellStyle name="ハイパーリンク" xfId="98" builtinId="8" hidden="1"/>
    <cellStyle name="ハイパーリンク" xfId="100" builtinId="8" hidden="1"/>
    <cellStyle name="ハイパーリンク" xfId="102" builtinId="8" hidden="1"/>
    <cellStyle name="ハイパーリンク" xfId="104" builtinId="8" hidden="1"/>
    <cellStyle name="ハイパーリンク" xfId="106" builtinId="8" hidden="1"/>
    <cellStyle name="ハイパーリンク" xfId="108" builtinId="8" hidden="1"/>
    <cellStyle name="ハイパーリンク" xfId="110" builtinId="8" hidden="1"/>
    <cellStyle name="ハイパーリンク" xfId="112" builtinId="8" hidden="1"/>
    <cellStyle name="ハイパーリンク" xfId="114" builtinId="8" hidden="1"/>
    <cellStyle name="ハイパーリンク" xfId="116" builtinId="8" hidden="1"/>
    <cellStyle name="ハイパーリンク" xfId="118" builtinId="8" hidden="1"/>
    <cellStyle name="ハイパーリンク" xfId="120" builtinId="8" hidden="1"/>
    <cellStyle name="ハイパーリンク" xfId="122" builtinId="8" hidden="1"/>
    <cellStyle name="ハイパーリンク" xfId="124" builtinId="8" hidden="1"/>
    <cellStyle name="ハイパーリンク" xfId="126" builtinId="8" hidden="1"/>
    <cellStyle name="ハイパーリンク" xfId="128" builtinId="8" hidden="1"/>
    <cellStyle name="ハイパーリンク" xfId="130" builtinId="8" hidden="1"/>
    <cellStyle name="ハイパーリンク" xfId="132" builtinId="8" hidden="1"/>
    <cellStyle name="ハイパーリンク" xfId="134" builtinId="8" hidden="1"/>
    <cellStyle name="ハイパーリンク" xfId="136" builtinId="8" hidden="1"/>
    <cellStyle name="ハイパーリンク" xfId="138" builtinId="8" hidden="1"/>
    <cellStyle name="ハイパーリンク" xfId="140" builtinId="8" hidden="1"/>
    <cellStyle name="ハイパーリンク" xfId="142" builtinId="8" hidden="1"/>
    <cellStyle name="ハイパーリンク" xfId="144" builtinId="8" hidden="1"/>
    <cellStyle name="ハイパーリンク" xfId="146" builtinId="8" hidden="1"/>
    <cellStyle name="ハイパーリンク" xfId="148" builtinId="8" hidden="1"/>
    <cellStyle name="ハイパーリンク" xfId="150" builtinId="8" hidden="1"/>
    <cellStyle name="ハイパーリンク" xfId="152" builtinId="8" hidden="1"/>
    <cellStyle name="ハイパーリンク" xfId="154" builtinId="8" hidden="1"/>
    <cellStyle name="ハイパーリンク" xfId="156" builtinId="8" hidden="1"/>
    <cellStyle name="ハイパーリンク" xfId="158" builtinId="8" hidden="1"/>
    <cellStyle name="ハイパーリンク" xfId="160" builtinId="8" hidden="1"/>
    <cellStyle name="ハイパーリンク" xfId="162" builtinId="8" hidden="1"/>
    <cellStyle name="ハイパーリンク" xfId="164" builtinId="8" hidden="1"/>
    <cellStyle name="ハイパーリンク" xfId="166" builtinId="8" hidden="1"/>
    <cellStyle name="ハイパーリンク" xfId="168" builtinId="8" hidden="1"/>
    <cellStyle name="ハイパーリンク" xfId="170" builtinId="8" hidden="1"/>
    <cellStyle name="ハイパーリンク" xfId="172" builtinId="8" hidden="1"/>
    <cellStyle name="ハイパーリンク" xfId="174" builtinId="8" hidden="1"/>
    <cellStyle name="ハイパーリンク" xfId="176" builtinId="8" hidden="1"/>
    <cellStyle name="ハイパーリンク" xfId="178" builtinId="8" hidden="1"/>
    <cellStyle name="ハイパーリンク" xfId="180" builtinId="8" hidden="1"/>
    <cellStyle name="ハイパーリンク" xfId="182" builtinId="8" hidden="1"/>
    <cellStyle name="ハイパーリンク" xfId="184" builtinId="8" hidden="1"/>
    <cellStyle name="ハイパーリンク" xfId="186" builtinId="8" hidden="1"/>
    <cellStyle name="ハイパーリンク" xfId="188" builtinId="8" hidden="1"/>
    <cellStyle name="ハイパーリンク" xfId="190" builtinId="8" hidden="1"/>
    <cellStyle name="ハイパーリンク" xfId="192" builtinId="8" hidden="1"/>
    <cellStyle name="ハイパーリンク" xfId="194" builtinId="8" hidden="1"/>
    <cellStyle name="ハイパーリンク" xfId="196" builtinId="8" hidden="1"/>
    <cellStyle name="ハイパーリンク" xfId="198" builtinId="8" hidden="1"/>
    <cellStyle name="ハイパーリンク" xfId="200" builtinId="8" hidden="1"/>
    <cellStyle name="ハイパーリンク" xfId="202" builtinId="8" hidden="1"/>
    <cellStyle name="ハイパーリンク" xfId="204" builtinId="8" hidden="1"/>
    <cellStyle name="ハイパーリンク" xfId="206" builtinId="8" hidden="1"/>
    <cellStyle name="ハイパーリンク" xfId="208" builtinId="8" hidden="1"/>
    <cellStyle name="ハイパーリンク" xfId="210" builtinId="8" hidden="1"/>
    <cellStyle name="ハイパーリンク" xfId="212" builtinId="8" hidden="1"/>
    <cellStyle name="ハイパーリンク" xfId="214" builtinId="8" hidden="1"/>
    <cellStyle name="ハイパーリンク" xfId="216" builtinId="8" hidden="1"/>
    <cellStyle name="ハイパーリンク" xfId="218" builtinId="8" hidden="1"/>
    <cellStyle name="ハイパーリンク" xfId="220" builtinId="8" hidden="1"/>
    <cellStyle name="ハイパーリンク" xfId="222" builtinId="8" hidden="1"/>
    <cellStyle name="ハイパーリンク" xfId="224" builtinId="8" hidden="1"/>
    <cellStyle name="ハイパーリンク" xfId="226" builtinId="8" hidden="1"/>
    <cellStyle name="ハイパーリンク" xfId="228" builtinId="8" hidden="1"/>
    <cellStyle name="ハイパーリンク" xfId="230" builtinId="8" hidden="1"/>
    <cellStyle name="ハイパーリンク" xfId="232" builtinId="8" hidden="1"/>
    <cellStyle name="ハイパーリンク" xfId="234" builtinId="8" hidden="1"/>
    <cellStyle name="ハイパーリンク" xfId="236" builtinId="8" hidden="1"/>
    <cellStyle name="ハイパーリンク" xfId="238" builtinId="8" hidden="1"/>
    <cellStyle name="ハイパーリンク" xfId="240" builtinId="8" hidden="1"/>
    <cellStyle name="ハイパーリンク" xfId="242" builtinId="8" hidden="1"/>
    <cellStyle name="ハイパーリンク" xfId="244" builtinId="8" hidden="1"/>
    <cellStyle name="ハイパーリンク" xfId="246" builtinId="8" hidden="1"/>
    <cellStyle name="ハイパーリンク" xfId="248" builtinId="8" hidden="1"/>
    <cellStyle name="ハイパーリンク" xfId="250" builtinId="8" hidden="1"/>
    <cellStyle name="ハイパーリンク" xfId="252" builtinId="8" hidden="1"/>
    <cellStyle name="ハイパーリンク" xfId="254" builtinId="8" hidden="1"/>
    <cellStyle name="ハイパーリンク" xfId="256" builtinId="8" hidden="1"/>
    <cellStyle name="ハイパーリンク" xfId="258" builtinId="8" hidden="1"/>
    <cellStyle name="ハイパーリンク" xfId="260" builtinId="8" hidden="1"/>
    <cellStyle name="ハイパーリンク" xfId="262" builtinId="8" hidden="1"/>
    <cellStyle name="ハイパーリンク" xfId="264" builtinId="8" hidden="1"/>
    <cellStyle name="ハイパーリンク" xfId="266" builtinId="8" hidden="1"/>
    <cellStyle name="ハイパーリンク" xfId="268" builtinId="8" hidden="1"/>
    <cellStyle name="ハイパーリンク" xfId="270" builtinId="8" hidden="1"/>
    <cellStyle name="ハイパーリンク" xfId="272" builtinId="8" hidden="1"/>
    <cellStyle name="ハイパーリンク" xfId="274" builtinId="8" hidden="1"/>
    <cellStyle name="ハイパーリンク" xfId="276" builtinId="8" hidden="1"/>
    <cellStyle name="ハイパーリンク" xfId="278" builtinId="8" hidden="1"/>
    <cellStyle name="ハイパーリンク" xfId="280" builtinId="8" hidden="1"/>
    <cellStyle name="ハイパーリンク" xfId="282" builtinId="8" hidden="1"/>
    <cellStyle name="ハイパーリンク" xfId="284" builtinId="8" hidden="1"/>
    <cellStyle name="ハイパーリンク" xfId="286" builtinId="8" hidden="1"/>
    <cellStyle name="ハイパーリンク" xfId="288" builtinId="8" hidden="1"/>
    <cellStyle name="ハイパーリンク" xfId="290" builtinId="8" hidden="1"/>
    <cellStyle name="ハイパーリンク" xfId="292" builtinId="8" hidden="1"/>
    <cellStyle name="ハイパーリンク" xfId="294" builtinId="8" hidden="1"/>
    <cellStyle name="ハイパーリンク" xfId="296" builtinId="8" hidden="1"/>
    <cellStyle name="ハイパーリンク" xfId="298" builtinId="8" hidden="1"/>
    <cellStyle name="ハイパーリンク" xfId="300" builtinId="8" hidden="1"/>
    <cellStyle name="ハイパーリンク" xfId="302" builtinId="8" hidden="1"/>
    <cellStyle name="ハイパーリンク" xfId="304" builtinId="8" hidden="1"/>
    <cellStyle name="ハイパーリンク" xfId="306" builtinId="8" hidden="1"/>
    <cellStyle name="ハイパーリンク" xfId="308" builtinId="8" hidden="1"/>
    <cellStyle name="ハイパーリンク" xfId="310" builtinId="8" hidden="1"/>
    <cellStyle name="ハイパーリンク" xfId="312" builtinId="8" hidden="1"/>
    <cellStyle name="ハイパーリンク" xfId="314" builtinId="8" hidden="1"/>
    <cellStyle name="ハイパーリンク" xfId="316" builtinId="8" hidden="1"/>
    <cellStyle name="ハイパーリンク" xfId="318" builtinId="8" hidden="1"/>
    <cellStyle name="ハイパーリンク" xfId="320" builtinId="8" hidden="1"/>
    <cellStyle name="ハイパーリンク" xfId="322" builtinId="8" hidden="1"/>
    <cellStyle name="ハイパーリンク" xfId="324" builtinId="8" hidden="1"/>
    <cellStyle name="ハイパーリンク" xfId="326" builtinId="8" hidden="1"/>
    <cellStyle name="ハイパーリンク" xfId="328" builtinId="8" hidden="1"/>
    <cellStyle name="ハイパーリンク" xfId="330" builtinId="8" hidden="1"/>
    <cellStyle name="ハイパーリンク" xfId="332" builtinId="8" hidden="1"/>
    <cellStyle name="ハイパーリンク" xfId="334" builtinId="8" hidden="1"/>
    <cellStyle name="ハイパーリンク" xfId="336" builtinId="8" hidden="1"/>
    <cellStyle name="ハイパーリンク" xfId="338" builtinId="8" hidden="1"/>
    <cellStyle name="ハイパーリンク" xfId="340" builtinId="8" hidden="1"/>
    <cellStyle name="ハイパーリンク" xfId="342" builtinId="8" hidden="1"/>
    <cellStyle name="ハイパーリンク" xfId="344" builtinId="8" hidden="1"/>
    <cellStyle name="ハイパーリンク" xfId="346" builtinId="8" hidden="1"/>
    <cellStyle name="ハイパーリンク" xfId="348" builtinId="8" hidden="1"/>
    <cellStyle name="ハイパーリンク" xfId="350" builtinId="8" hidden="1"/>
    <cellStyle name="ハイパーリンク" xfId="352" builtinId="8" hidden="1"/>
    <cellStyle name="ハイパーリンク" xfId="354" builtinId="8" hidden="1"/>
    <cellStyle name="ハイパーリンク" xfId="356" builtinId="8" hidden="1"/>
    <cellStyle name="ハイパーリンク" xfId="358" builtinId="8" hidden="1"/>
    <cellStyle name="ハイパーリンク" xfId="360" builtinId="8" hidden="1"/>
    <cellStyle name="ハイパーリンク" xfId="362" builtinId="8" hidden="1"/>
    <cellStyle name="ハイパーリンク" xfId="364" builtinId="8" hidden="1"/>
    <cellStyle name="ハイパーリンク" xfId="366" builtinId="8" hidden="1"/>
    <cellStyle name="ハイパーリンク" xfId="368" builtinId="8" hidden="1"/>
    <cellStyle name="ハイパーリンク" xfId="370" builtinId="8" hidden="1"/>
    <cellStyle name="ハイパーリンク" xfId="372" builtinId="8" hidden="1"/>
    <cellStyle name="ハイパーリンク" xfId="374" builtinId="8" hidden="1"/>
    <cellStyle name="ハイパーリンク" xfId="376" builtinId="8" hidden="1"/>
    <cellStyle name="ハイパーリンク" xfId="378" builtinId="8" hidden="1"/>
    <cellStyle name="ハイパーリンク" xfId="380" builtinId="8" hidden="1"/>
    <cellStyle name="ハイパーリンク" xfId="382" builtinId="8" hidden="1"/>
    <cellStyle name="ハイパーリンク" xfId="384" builtinId="8" hidden="1"/>
    <cellStyle name="ハイパーリンク" xfId="386" builtinId="8" hidden="1"/>
    <cellStyle name="ハイパーリンク" xfId="388" builtinId="8" hidden="1"/>
    <cellStyle name="ハイパーリンク" xfId="390" builtinId="8" hidden="1"/>
    <cellStyle name="ハイパーリンク" xfId="392" builtinId="8" hidden="1"/>
    <cellStyle name="ハイパーリンク" xfId="394" builtinId="8" hidden="1"/>
    <cellStyle name="ハイパーリンク" xfId="396" builtinId="8" hidden="1"/>
    <cellStyle name="ハイパーリンク" xfId="398" builtinId="8" hidden="1"/>
    <cellStyle name="ハイパーリンク" xfId="400" builtinId="8" hidden="1"/>
    <cellStyle name="ハイパーリンク" xfId="402" builtinId="8" hidden="1"/>
    <cellStyle name="ハイパーリンク" xfId="404" builtinId="8" hidden="1"/>
    <cellStyle name="ハイパーリンク" xfId="406" builtinId="8" hidden="1"/>
    <cellStyle name="ハイパーリンク" xfId="408" builtinId="8" hidden="1"/>
    <cellStyle name="ハイパーリンク" xfId="410" builtinId="8" hidden="1"/>
    <cellStyle name="ハイパーリンク" xfId="412" builtinId="8" hidden="1"/>
    <cellStyle name="ハイパーリンク" xfId="414" builtinId="8" hidden="1"/>
    <cellStyle name="ハイパーリンク" xfId="416" builtinId="8" hidden="1"/>
    <cellStyle name="ハイパーリンク" xfId="418" builtinId="8" hidden="1"/>
    <cellStyle name="ハイパーリンク" xfId="420" builtinId="8" hidden="1"/>
    <cellStyle name="ハイパーリンク" xfId="422" builtinId="8" hidden="1"/>
    <cellStyle name="ハイパーリンク" xfId="424" builtinId="8" hidden="1"/>
    <cellStyle name="ハイパーリンク" xfId="426" builtinId="8" hidden="1"/>
    <cellStyle name="ハイパーリンク" xfId="436" builtinId="8" hidden="1"/>
    <cellStyle name="ハイパーリンク" xfId="438" builtinId="8" hidden="1"/>
    <cellStyle name="ハイパーリンク" xfId="440" builtinId="8" hidden="1"/>
    <cellStyle name="ハイパーリンク" xfId="442" builtinId="8" hidden="1"/>
    <cellStyle name="ハイパーリンク" xfId="444" builtinId="8" hidden="1"/>
    <cellStyle name="ハイパーリンク" xfId="446" builtinId="8" hidden="1"/>
    <cellStyle name="ハイパーリンク" xfId="448" builtinId="8" hidden="1"/>
    <cellStyle name="ハイパーリンク" xfId="450" builtinId="8" hidden="1"/>
    <cellStyle name="ハイパーリンク" xfId="452" builtinId="8" hidden="1"/>
    <cellStyle name="ハイパーリンク" xfId="454" builtinId="8" hidden="1"/>
    <cellStyle name="ハイパーリンク" xfId="456" builtinId="8" hidden="1"/>
    <cellStyle name="ハイパーリンク" xfId="458" builtinId="8" hidden="1"/>
    <cellStyle name="ハイパーリンク" xfId="460" builtinId="8" hidden="1"/>
    <cellStyle name="ハイパーリンク" xfId="462" builtinId="8" hidden="1"/>
    <cellStyle name="ハイパーリンク" xfId="464" builtinId="8" hidden="1"/>
    <cellStyle name="ハイパーリンク" xfId="466" builtinId="8" hidden="1"/>
    <cellStyle name="ハイパーリンク" xfId="468" builtinId="8" hidden="1"/>
    <cellStyle name="ハイパーリンク" xfId="470" builtinId="8" hidden="1"/>
    <cellStyle name="ハイパーリンク" xfId="472" builtinId="8" hidden="1"/>
    <cellStyle name="ハイパーリンク" xfId="474" builtinId="8" hidden="1"/>
    <cellStyle name="ハイパーリンク" xfId="476" builtinId="8" hidden="1"/>
    <cellStyle name="ハイパーリンク" xfId="478" builtinId="8" hidden="1"/>
    <cellStyle name="ハイパーリンク" xfId="480" builtinId="8" hidden="1"/>
    <cellStyle name="ハイパーリンク" xfId="482" builtinId="8" hidden="1"/>
    <cellStyle name="ハイパーリンク" xfId="484" builtinId="8" hidden="1"/>
    <cellStyle name="ハイパーリンク" xfId="486" builtinId="8" hidden="1"/>
    <cellStyle name="ハイパーリンク" xfId="488" builtinId="8" hidden="1"/>
    <cellStyle name="ハイパーリンク" xfId="490" builtinId="8" hidden="1"/>
    <cellStyle name="ハイパーリンク" xfId="492" builtinId="8" hidden="1"/>
    <cellStyle name="ハイパーリンク" xfId="494" builtinId="8" hidden="1"/>
    <cellStyle name="ハイパーリンク" xfId="496" builtinId="8" hidden="1"/>
    <cellStyle name="ハイパーリンク" xfId="498" builtinId="8" hidden="1"/>
    <cellStyle name="ハイパーリンク" xfId="500" builtinId="8" hidden="1"/>
    <cellStyle name="ハイパーリンク" xfId="502" builtinId="8" hidden="1"/>
    <cellStyle name="ハイパーリンク" xfId="504" builtinId="8" hidden="1"/>
    <cellStyle name="ハイパーリンク" xfId="506" builtinId="8" hidden="1"/>
    <cellStyle name="ハイパーリンク" xfId="508" builtinId="8" hidden="1"/>
    <cellStyle name="ハイパーリンク" xfId="510" builtinId="8" hidden="1"/>
    <cellStyle name="ハイパーリンク" xfId="512" builtinId="8" hidden="1"/>
    <cellStyle name="ハイパーリンク" xfId="514" builtinId="8" hidden="1"/>
    <cellStyle name="ハイパーリンク" xfId="516" builtinId="8" hidden="1"/>
    <cellStyle name="ハイパーリンク" xfId="518" builtinId="8" hidden="1"/>
    <cellStyle name="ハイパーリンク" xfId="520" builtinId="8" hidden="1"/>
    <cellStyle name="ハイパーリンク" xfId="522" builtinId="8" hidden="1"/>
    <cellStyle name="ハイパーリンク" xfId="524" builtinId="8" hidden="1"/>
    <cellStyle name="ハイパーリンク" xfId="526" builtinId="8" hidden="1"/>
    <cellStyle name="ハイパーリンク" xfId="528" builtinId="8" hidden="1"/>
    <cellStyle name="ハイパーリンク" xfId="530" builtinId="8" hidden="1"/>
    <cellStyle name="ハイパーリンク" xfId="532" builtinId="8" hidden="1"/>
    <cellStyle name="ハイパーリンク" xfId="534" builtinId="8" hidden="1"/>
    <cellStyle name="ハイパーリンク" xfId="536" builtinId="8" hidden="1"/>
    <cellStyle name="ハイパーリンク" xfId="538" builtinId="8" hidden="1"/>
    <cellStyle name="ハイパーリンク" xfId="540" builtinId="8" hidden="1"/>
    <cellStyle name="ハイパーリンク" xfId="542" builtinId="8" hidden="1"/>
    <cellStyle name="ハイパーリンク" xfId="544" builtinId="8" hidden="1"/>
    <cellStyle name="ハイパーリンク" xfId="546" builtinId="8" hidden="1"/>
    <cellStyle name="ハイパーリンク" xfId="548" builtinId="8" hidden="1"/>
    <cellStyle name="ハイパーリンク" xfId="550" builtinId="8" hidden="1"/>
    <cellStyle name="ハイパーリンク" xfId="552" builtinId="8" hidden="1"/>
    <cellStyle name="ハイパーリンク" xfId="554" builtinId="8" hidden="1"/>
    <cellStyle name="ハイパーリンク" xfId="556" builtinId="8" hidden="1"/>
    <cellStyle name="ハイパーリンク" xfId="558" builtinId="8" hidden="1"/>
    <cellStyle name="ハイパーリンク" xfId="560" builtinId="8" hidden="1"/>
    <cellStyle name="ハイパーリンク" xfId="562" builtinId="8" hidden="1"/>
    <cellStyle name="ハイパーリンク" xfId="564" builtinId="8" hidden="1"/>
    <cellStyle name="ハイパーリンク" xfId="566" builtinId="8" hidden="1"/>
    <cellStyle name="ハイパーリンク" xfId="568" builtinId="8" hidden="1"/>
    <cellStyle name="ハイパーリンク" xfId="570" builtinId="8" hidden="1"/>
    <cellStyle name="ハイパーリンク" xfId="572" builtinId="8" hidden="1"/>
    <cellStyle name="ハイパーリンク" xfId="574" builtinId="8" hidden="1"/>
    <cellStyle name="ハイパーリンク" xfId="576" builtinId="8" hidden="1"/>
    <cellStyle name="ハイパーリンク" xfId="578" builtinId="8" hidden="1"/>
    <cellStyle name="ハイパーリンク" xfId="580" builtinId="8" hidden="1"/>
    <cellStyle name="ハイパーリンク" xfId="582" builtinId="8" hidden="1"/>
    <cellStyle name="ハイパーリンク" xfId="584" builtinId="8" hidden="1"/>
    <cellStyle name="ハイパーリンク" xfId="586" builtinId="8" hidden="1"/>
    <cellStyle name="ハイパーリンク" xfId="588" builtinId="8" hidden="1"/>
    <cellStyle name="ハイパーリンク" xfId="590" builtinId="8" hidden="1"/>
    <cellStyle name="ハイパーリンク" xfId="592" builtinId="8" hidden="1"/>
    <cellStyle name="ハイパーリンク" xfId="594" builtinId="8" hidden="1"/>
    <cellStyle name="ハイパーリンク" xfId="596" builtinId="8" hidden="1"/>
    <cellStyle name="ハイパーリンク" xfId="598" builtinId="8" hidden="1"/>
    <cellStyle name="ハイパーリンク" xfId="600" builtinId="8" hidden="1"/>
    <cellStyle name="ハイパーリンク" xfId="602" builtinId="8" hidden="1"/>
    <cellStyle name="ハイパーリンク" xfId="604" builtinId="8" hidden="1"/>
    <cellStyle name="ハイパーリンク" xfId="606" builtinId="8" hidden="1"/>
    <cellStyle name="ハイパーリンク" xfId="608" builtinId="8" hidden="1"/>
    <cellStyle name="ハイパーリンク" xfId="610" builtinId="8" hidden="1"/>
    <cellStyle name="ハイパーリンク" xfId="612" builtinId="8" hidden="1"/>
    <cellStyle name="ハイパーリンク" xfId="616" builtinId="8" hidden="1"/>
    <cellStyle name="ハイパーリンク" xfId="618" builtinId="8" hidden="1"/>
    <cellStyle name="ハイパーリンク" xfId="620" builtinId="8" hidden="1"/>
    <cellStyle name="ハイパーリンク" xfId="622" builtinId="8" hidden="1"/>
    <cellStyle name="ハイパーリンク" xfId="624" builtinId="8" hidden="1"/>
    <cellStyle name="ハイパーリンク" xfId="626" builtinId="8" hidden="1"/>
    <cellStyle name="ハイパーリンク" xfId="678" builtinId="8" hidden="1"/>
    <cellStyle name="ハイパーリンク" xfId="680" builtinId="8" hidden="1"/>
    <cellStyle name="ハイパーリンク" xfId="682" builtinId="8" hidden="1"/>
    <cellStyle name="ハイパーリンク" xfId="684" builtinId="8" hidden="1"/>
    <cellStyle name="ハイパーリンク" xfId="686" builtinId="8" hidden="1"/>
    <cellStyle name="ハイパーリンク" xfId="688" builtinId="8" hidden="1"/>
    <cellStyle name="ハイパーリンク" xfId="690" builtinId="8" hidden="1"/>
    <cellStyle name="ハイパーリンク" xfId="692" builtinId="8" hidden="1"/>
    <cellStyle name="ハイパーリンク" xfId="694" builtinId="8" hidden="1"/>
    <cellStyle name="ハイパーリンク" xfId="696" builtinId="8" hidden="1"/>
    <cellStyle name="ハイパーリンク" xfId="698" builtinId="8" hidden="1"/>
    <cellStyle name="ハイパーリンク" xfId="700" builtinId="8" hidden="1"/>
    <cellStyle name="ハイパーリンク" xfId="702" builtinId="8" hidden="1"/>
    <cellStyle name="ハイパーリンク" xfId="704" builtinId="8" hidden="1"/>
    <cellStyle name="ハイパーリンク" xfId="706" builtinId="8" hidden="1"/>
    <cellStyle name="ハイパーリンク" xfId="708" builtinId="8" hidden="1"/>
    <cellStyle name="ハイパーリンク" xfId="710" builtinId="8" hidden="1"/>
    <cellStyle name="ハイパーリンク" xfId="712" builtinId="8" hidden="1"/>
    <cellStyle name="ハイパーリンク" xfId="714" builtinId="8" hidden="1"/>
    <cellStyle name="ハイパーリンク" xfId="716" builtinId="8" hidden="1"/>
    <cellStyle name="ハイパーリンク" xfId="718" builtinId="8" hidden="1"/>
    <cellStyle name="ハイパーリンク" xfId="720" builtinId="8" hidden="1"/>
    <cellStyle name="ハイパーリンク" xfId="722" builtinId="8" hidden="1"/>
    <cellStyle name="ハイパーリンク" xfId="724" builtinId="8" hidden="1"/>
    <cellStyle name="ハイパーリンク" xfId="726" builtinId="8" hidden="1"/>
    <cellStyle name="ハイパーリンク" xfId="728" builtinId="8" hidden="1"/>
    <cellStyle name="ハイパーリンク" xfId="730" builtinId="8" hidden="1"/>
    <cellStyle name="ハイパーリンク" xfId="732" builtinId="8" hidden="1"/>
    <cellStyle name="ハイパーリンク" xfId="734" builtinId="8" hidden="1"/>
    <cellStyle name="ハイパーリンク" xfId="736" builtinId="8" hidden="1"/>
    <cellStyle name="ハイパーリンク" xfId="738" builtinId="8" hidden="1"/>
    <cellStyle name="ハイパーリンク" xfId="740" builtinId="8" hidden="1"/>
    <cellStyle name="ハイパーリンク" xfId="742" builtinId="8" hidden="1"/>
    <cellStyle name="ハイパーリンク" xfId="744" builtinId="8" hidden="1"/>
    <cellStyle name="ハイパーリンク" xfId="746" builtinId="8" hidden="1"/>
    <cellStyle name="ハイパーリンク" xfId="748" builtinId="8" hidden="1"/>
    <cellStyle name="ハイパーリンク" xfId="750" builtinId="8" hidden="1"/>
    <cellStyle name="ハイパーリンク" xfId="752" builtinId="8" hidden="1"/>
    <cellStyle name="ハイパーリンク" xfId="754" builtinId="8" hidden="1"/>
    <cellStyle name="ハイパーリンク" xfId="756" builtinId="8" hidden="1"/>
    <cellStyle name="ハイパーリンク" xfId="758" builtinId="8" hidden="1"/>
    <cellStyle name="ハイパーリンク" xfId="760" builtinId="8" hidden="1"/>
    <cellStyle name="ハイパーリンク" xfId="762" builtinId="8" hidden="1"/>
    <cellStyle name="ハイパーリンク" xfId="764" builtinId="8" hidden="1"/>
    <cellStyle name="ハイパーリンク" xfId="766" builtinId="8" hidden="1"/>
    <cellStyle name="ハイパーリンク" xfId="768" builtinId="8" hidden="1"/>
    <cellStyle name="ハイパーリンク" xfId="770" builtinId="8" hidden="1"/>
    <cellStyle name="ハイパーリンク" xfId="772" builtinId="8" hidden="1"/>
    <cellStyle name="ハイパーリンク" xfId="774" builtinId="8" hidden="1"/>
    <cellStyle name="ハイパーリンク" xfId="776" builtinId="8" hidden="1"/>
    <cellStyle name="ハイパーリンク" xfId="778" builtinId="8" hidden="1"/>
    <cellStyle name="ハイパーリンク" xfId="780" builtinId="8" hidden="1"/>
    <cellStyle name="ハイパーリンク" xfId="782" builtinId="8" hidden="1"/>
    <cellStyle name="ハイパーリンク" xfId="784" builtinId="8" hidden="1"/>
    <cellStyle name="ハイパーリンク" xfId="786" builtinId="8" hidden="1"/>
    <cellStyle name="ハイパーリンク" xfId="788" builtinId="8" hidden="1"/>
    <cellStyle name="ハイパーリンク" xfId="790" builtinId="8" hidden="1"/>
    <cellStyle name="ハイパーリンク" xfId="792" builtinId="8" hidden="1"/>
    <cellStyle name="ハイパーリンク" xfId="794" builtinId="8" hidden="1"/>
    <cellStyle name="ハイパーリンク" xfId="796" builtinId="8" hidden="1"/>
    <cellStyle name="ハイパーリンク" xfId="798" builtinId="8" hidden="1"/>
    <cellStyle name="ハイパーリンク" xfId="800" builtinId="8" hidden="1"/>
    <cellStyle name="ハイパーリンク" xfId="802" builtinId="8" hidden="1"/>
    <cellStyle name="ハイパーリンク" xfId="804" builtinId="8" hidden="1"/>
    <cellStyle name="ハイパーリンク" xfId="806" builtinId="8" hidden="1"/>
    <cellStyle name="ハイパーリンク" xfId="808" builtinId="8" hidden="1"/>
    <cellStyle name="ハイパーリンク" xfId="810" builtinId="8" hidden="1"/>
    <cellStyle name="ハイパーリンク" xfId="812" builtinId="8" hidden="1"/>
    <cellStyle name="ハイパーリンク" xfId="814" builtinId="8" hidden="1"/>
    <cellStyle name="ハイパーリンク" xfId="816" builtinId="8" hidden="1"/>
    <cellStyle name="ハイパーリンク" xfId="818" builtinId="8" hidden="1"/>
    <cellStyle name="ハイパーリンク" xfId="820" builtinId="8" hidden="1"/>
    <cellStyle name="ハイパーリンク" xfId="822" builtinId="8" hidden="1"/>
    <cellStyle name="ハイパーリンク" xfId="824" builtinId="8" hidden="1"/>
    <cellStyle name="ハイパーリンク" xfId="826" builtinId="8" hidden="1"/>
    <cellStyle name="ハイパーリンク" xfId="828" builtinId="8" hidden="1"/>
    <cellStyle name="ハイパーリンク" xfId="830" builtinId="8" hidden="1"/>
    <cellStyle name="ハイパーリンク" xfId="832" builtinId="8" hidden="1"/>
    <cellStyle name="ハイパーリンク" xfId="834" builtinId="8" hidden="1"/>
    <cellStyle name="ハイパーリンク" xfId="836" builtinId="8" hidden="1"/>
    <cellStyle name="ハイパーリンク" xfId="838" builtinId="8" hidden="1"/>
    <cellStyle name="ハイパーリンク" xfId="840" builtinId="8" hidden="1"/>
    <cellStyle name="ハイパーリンク" xfId="842" builtinId="8" hidden="1"/>
    <cellStyle name="ハイパーリンク" xfId="844" builtinId="8" hidden="1"/>
    <cellStyle name="ハイパーリンク" xfId="846" builtinId="8" hidden="1"/>
    <cellStyle name="ハイパーリンク" xfId="848" builtinId="8" hidden="1"/>
    <cellStyle name="ハイパーリンク" xfId="850" builtinId="8" hidden="1"/>
    <cellStyle name="ハイパーリンク" xfId="852" builtinId="8" hidden="1"/>
    <cellStyle name="ハイパーリンク" xfId="854" builtinId="8" hidden="1"/>
    <cellStyle name="ハイパーリンク" xfId="856" builtinId="8" hidden="1"/>
    <cellStyle name="ハイパーリンク" xfId="858" builtinId="8" hidden="1"/>
    <cellStyle name="桁区切り 2" xfId="429"/>
    <cellStyle name="桁区切り 2 2" xfId="628"/>
    <cellStyle name="標準" xfId="0" builtinId="0"/>
    <cellStyle name="標準 2" xfId="432"/>
    <cellStyle name="標準 2 2" xfId="433"/>
    <cellStyle name="標準 3" xfId="434"/>
    <cellStyle name="標準 4" xfId="11"/>
    <cellStyle name="標準 4 2" xfId="614"/>
    <cellStyle name="標準 5" xfId="676"/>
    <cellStyle name="標準 5 2" xfId="677"/>
    <cellStyle name="標準 6" xfId="615"/>
    <cellStyle name="無題1" xfId="435"/>
    <cellStyle name="表示済みのハイパーリンク" xfId="2" builtinId="9" hidden="1"/>
    <cellStyle name="表示済みのハイパーリンク" xfId="4" builtinId="9" hidden="1"/>
    <cellStyle name="表示済みのハイパーリンク" xfId="6" builtinId="9" hidden="1"/>
    <cellStyle name="表示済みのハイパーリンク" xfId="8" builtinId="9" hidden="1"/>
    <cellStyle name="表示済みのハイパーリンク" xfId="10" builtinId="9" hidden="1"/>
    <cellStyle name="表示済みのハイパーリンク" xfId="13" builtinId="9" hidden="1"/>
    <cellStyle name="表示済みのハイパーリンク" xfId="15" builtinId="9" hidden="1"/>
    <cellStyle name="表示済みのハイパーリンク" xfId="17" builtinId="9" hidden="1"/>
    <cellStyle name="表示済みのハイパーリンク" xfId="19" builtinId="9" hidden="1"/>
    <cellStyle name="表示済みのハイパーリンク" xfId="21" builtinId="9" hidden="1"/>
    <cellStyle name="表示済みのハイパーリンク" xfId="23" builtinId="9" hidden="1"/>
    <cellStyle name="表示済みのハイパーリンク" xfId="25" builtinId="9" hidden="1"/>
    <cellStyle name="表示済みのハイパーリンク" xfId="27" builtinId="9" hidden="1"/>
    <cellStyle name="表示済みのハイパーリンク" xfId="29" builtinId="9" hidden="1"/>
    <cellStyle name="表示済みのハイパーリンク" xfId="31" builtinId="9" hidden="1"/>
    <cellStyle name="表示済みのハイパーリンク" xfId="33" builtinId="9" hidden="1"/>
    <cellStyle name="表示済みのハイパーリンク" xfId="35" builtinId="9" hidden="1"/>
    <cellStyle name="表示済みのハイパーリンク" xfId="37" builtinId="9" hidden="1"/>
    <cellStyle name="表示済みのハイパーリンク" xfId="39" builtinId="9" hidden="1"/>
    <cellStyle name="表示済みのハイパーリンク" xfId="41" builtinId="9" hidden="1"/>
    <cellStyle name="表示済みのハイパーリンク" xfId="43" builtinId="9" hidden="1"/>
    <cellStyle name="表示済みのハイパーリンク" xfId="45" builtinId="9" hidden="1"/>
    <cellStyle name="表示済みのハイパーリンク" xfId="47" builtinId="9" hidden="1"/>
    <cellStyle name="表示済みのハイパーリンク" xfId="49" builtinId="9" hidden="1"/>
    <cellStyle name="表示済みのハイパーリンク" xfId="51" builtinId="9" hidden="1"/>
    <cellStyle name="表示済みのハイパーリンク" xfId="53" builtinId="9" hidden="1"/>
    <cellStyle name="表示済みのハイパーリンク" xfId="55" builtinId="9" hidden="1"/>
    <cellStyle name="表示済みのハイパーリンク" xfId="57" builtinId="9" hidden="1"/>
    <cellStyle name="表示済みのハイパーリンク" xfId="59" builtinId="9" hidden="1"/>
    <cellStyle name="表示済みのハイパーリンク" xfId="61" builtinId="9" hidden="1"/>
    <cellStyle name="表示済みのハイパーリンク" xfId="63" builtinId="9" hidden="1"/>
    <cellStyle name="表示済みのハイパーリンク" xfId="65" builtinId="9" hidden="1"/>
    <cellStyle name="表示済みのハイパーリンク" xfId="67" builtinId="9" hidden="1"/>
    <cellStyle name="表示済みのハイパーリンク" xfId="69" builtinId="9" hidden="1"/>
    <cellStyle name="表示済みのハイパーリンク" xfId="71" builtinId="9" hidden="1"/>
    <cellStyle name="表示済みのハイパーリンク" xfId="73" builtinId="9" hidden="1"/>
    <cellStyle name="表示済みのハイパーリンク" xfId="75" builtinId="9" hidden="1"/>
    <cellStyle name="表示済みのハイパーリンク" xfId="77" builtinId="9" hidden="1"/>
    <cellStyle name="表示済みのハイパーリンク" xfId="79" builtinId="9" hidden="1"/>
    <cellStyle name="表示済みのハイパーリンク" xfId="81" builtinId="9" hidden="1"/>
    <cellStyle name="表示済みのハイパーリンク" xfId="83" builtinId="9" hidden="1"/>
    <cellStyle name="表示済みのハイパーリンク" xfId="85" builtinId="9" hidden="1"/>
    <cellStyle name="表示済みのハイパーリンク" xfId="87" builtinId="9" hidden="1"/>
    <cellStyle name="表示済みのハイパーリンク" xfId="89" builtinId="9" hidden="1"/>
    <cellStyle name="表示済みのハイパーリンク" xfId="91" builtinId="9" hidden="1"/>
    <cellStyle name="表示済みのハイパーリンク" xfId="93" builtinId="9" hidden="1"/>
    <cellStyle name="表示済みのハイパーリンク" xfId="95" builtinId="9" hidden="1"/>
    <cellStyle name="表示済みのハイパーリンク" xfId="97" builtinId="9" hidden="1"/>
    <cellStyle name="表示済みのハイパーリンク" xfId="99" builtinId="9" hidden="1"/>
    <cellStyle name="表示済みのハイパーリンク" xfId="101" builtinId="9" hidden="1"/>
    <cellStyle name="表示済みのハイパーリンク" xfId="103" builtinId="9" hidden="1"/>
    <cellStyle name="表示済みのハイパーリンク" xfId="105" builtinId="9" hidden="1"/>
    <cellStyle name="表示済みのハイパーリンク" xfId="107" builtinId="9" hidden="1"/>
    <cellStyle name="表示済みのハイパーリンク" xfId="109" builtinId="9" hidden="1"/>
    <cellStyle name="表示済みのハイパーリンク" xfId="111" builtinId="9" hidden="1"/>
    <cellStyle name="表示済みのハイパーリンク" xfId="113" builtinId="9" hidden="1"/>
    <cellStyle name="表示済みのハイパーリンク" xfId="115" builtinId="9" hidden="1"/>
    <cellStyle name="表示済みのハイパーリンク" xfId="117" builtinId="9" hidden="1"/>
    <cellStyle name="表示済みのハイパーリンク" xfId="119" builtinId="9" hidden="1"/>
    <cellStyle name="表示済みのハイパーリンク" xfId="121" builtinId="9" hidden="1"/>
    <cellStyle name="表示済みのハイパーリンク" xfId="123" builtinId="9" hidden="1"/>
    <cellStyle name="表示済みのハイパーリンク" xfId="125" builtinId="9" hidden="1"/>
    <cellStyle name="表示済みのハイパーリンク" xfId="127" builtinId="9" hidden="1"/>
    <cellStyle name="表示済みのハイパーリンク" xfId="129" builtinId="9" hidden="1"/>
    <cellStyle name="表示済みのハイパーリンク" xfId="131" builtinId="9" hidden="1"/>
    <cellStyle name="表示済みのハイパーリンク" xfId="133" builtinId="9" hidden="1"/>
    <cellStyle name="表示済みのハイパーリンク" xfId="135" builtinId="9" hidden="1"/>
    <cellStyle name="表示済みのハイパーリンク" xfId="137" builtinId="9" hidden="1"/>
    <cellStyle name="表示済みのハイパーリンク" xfId="139" builtinId="9" hidden="1"/>
    <cellStyle name="表示済みのハイパーリンク" xfId="141" builtinId="9" hidden="1"/>
    <cellStyle name="表示済みのハイパーリンク" xfId="143" builtinId="9" hidden="1"/>
    <cellStyle name="表示済みのハイパーリンク" xfId="145" builtinId="9" hidden="1"/>
    <cellStyle name="表示済みのハイパーリンク" xfId="147" builtinId="9" hidden="1"/>
    <cellStyle name="表示済みのハイパーリンク" xfId="149" builtinId="9" hidden="1"/>
    <cellStyle name="表示済みのハイパーリンク" xfId="151" builtinId="9" hidden="1"/>
    <cellStyle name="表示済みのハイパーリンク" xfId="153" builtinId="9" hidden="1"/>
    <cellStyle name="表示済みのハイパーリンク" xfId="155" builtinId="9" hidden="1"/>
    <cellStyle name="表示済みのハイパーリンク" xfId="157" builtinId="9" hidden="1"/>
    <cellStyle name="表示済みのハイパーリンク" xfId="159" builtinId="9" hidden="1"/>
    <cellStyle name="表示済みのハイパーリンク" xfId="161" builtinId="9" hidden="1"/>
    <cellStyle name="表示済みのハイパーリンク" xfId="163" builtinId="9" hidden="1"/>
    <cellStyle name="表示済みのハイパーリンク" xfId="165" builtinId="9" hidden="1"/>
    <cellStyle name="表示済みのハイパーリンク" xfId="167" builtinId="9" hidden="1"/>
    <cellStyle name="表示済みのハイパーリンク" xfId="169" builtinId="9" hidden="1"/>
    <cellStyle name="表示済みのハイパーリンク" xfId="171" builtinId="9" hidden="1"/>
    <cellStyle name="表示済みのハイパーリンク" xfId="173" builtinId="9" hidden="1"/>
    <cellStyle name="表示済みのハイパーリンク" xfId="175" builtinId="9" hidden="1"/>
    <cellStyle name="表示済みのハイパーリンク" xfId="177" builtinId="9" hidden="1"/>
    <cellStyle name="表示済みのハイパーリンク" xfId="179" builtinId="9" hidden="1"/>
    <cellStyle name="表示済みのハイパーリンク" xfId="181" builtinId="9" hidden="1"/>
    <cellStyle name="表示済みのハイパーリンク" xfId="183" builtinId="9" hidden="1"/>
    <cellStyle name="表示済みのハイパーリンク" xfId="185" builtinId="9" hidden="1"/>
    <cellStyle name="表示済みのハイパーリンク" xfId="187" builtinId="9" hidden="1"/>
    <cellStyle name="表示済みのハイパーリンク" xfId="189" builtinId="9" hidden="1"/>
    <cellStyle name="表示済みのハイパーリンク" xfId="191" builtinId="9" hidden="1"/>
    <cellStyle name="表示済みのハイパーリンク" xfId="193" builtinId="9" hidden="1"/>
    <cellStyle name="表示済みのハイパーリンク" xfId="195" builtinId="9" hidden="1"/>
    <cellStyle name="表示済みのハイパーリンク" xfId="197" builtinId="9" hidden="1"/>
    <cellStyle name="表示済みのハイパーリンク" xfId="199" builtinId="9" hidden="1"/>
    <cellStyle name="表示済みのハイパーリンク" xfId="201" builtinId="9" hidden="1"/>
    <cellStyle name="表示済みのハイパーリンク" xfId="203" builtinId="9" hidden="1"/>
    <cellStyle name="表示済みのハイパーリンク" xfId="205" builtinId="9" hidden="1"/>
    <cellStyle name="表示済みのハイパーリンク" xfId="207" builtinId="9" hidden="1"/>
    <cellStyle name="表示済みのハイパーリンク" xfId="209" builtinId="9" hidden="1"/>
    <cellStyle name="表示済みのハイパーリンク" xfId="211" builtinId="9" hidden="1"/>
    <cellStyle name="表示済みのハイパーリンク" xfId="213" builtinId="9" hidden="1"/>
    <cellStyle name="表示済みのハイパーリンク" xfId="215" builtinId="9" hidden="1"/>
    <cellStyle name="表示済みのハイパーリンク" xfId="217" builtinId="9" hidden="1"/>
    <cellStyle name="表示済みのハイパーリンク" xfId="219" builtinId="9" hidden="1"/>
    <cellStyle name="表示済みのハイパーリンク" xfId="221" builtinId="9" hidden="1"/>
    <cellStyle name="表示済みのハイパーリンク" xfId="223" builtinId="9" hidden="1"/>
    <cellStyle name="表示済みのハイパーリンク" xfId="225" builtinId="9" hidden="1"/>
    <cellStyle name="表示済みのハイパーリンク" xfId="227" builtinId="9" hidden="1"/>
    <cellStyle name="表示済みのハイパーリンク" xfId="229" builtinId="9" hidden="1"/>
    <cellStyle name="表示済みのハイパーリンク" xfId="231" builtinId="9" hidden="1"/>
    <cellStyle name="表示済みのハイパーリンク" xfId="233" builtinId="9" hidden="1"/>
    <cellStyle name="表示済みのハイパーリンク" xfId="235" builtinId="9" hidden="1"/>
    <cellStyle name="表示済みのハイパーリンク" xfId="237" builtinId="9" hidden="1"/>
    <cellStyle name="表示済みのハイパーリンク" xfId="239" builtinId="9" hidden="1"/>
    <cellStyle name="表示済みのハイパーリンク" xfId="241" builtinId="9" hidden="1"/>
    <cellStyle name="表示済みのハイパーリンク" xfId="243" builtinId="9" hidden="1"/>
    <cellStyle name="表示済みのハイパーリンク" xfId="245" builtinId="9" hidden="1"/>
    <cellStyle name="表示済みのハイパーリンク" xfId="247" builtinId="9" hidden="1"/>
    <cellStyle name="表示済みのハイパーリンク" xfId="249" builtinId="9" hidden="1"/>
    <cellStyle name="表示済みのハイパーリンク" xfId="251" builtinId="9" hidden="1"/>
    <cellStyle name="表示済みのハイパーリンク" xfId="253" builtinId="9" hidden="1"/>
    <cellStyle name="表示済みのハイパーリンク" xfId="255" builtinId="9" hidden="1"/>
    <cellStyle name="表示済みのハイパーリンク" xfId="257" builtinId="9" hidden="1"/>
    <cellStyle name="表示済みのハイパーリンク" xfId="259" builtinId="9" hidden="1"/>
    <cellStyle name="表示済みのハイパーリンク" xfId="261" builtinId="9" hidden="1"/>
    <cellStyle name="表示済みのハイパーリンク" xfId="263" builtinId="9" hidden="1"/>
    <cellStyle name="表示済みのハイパーリンク" xfId="265" builtinId="9" hidden="1"/>
    <cellStyle name="表示済みのハイパーリンク" xfId="267" builtinId="9" hidden="1"/>
    <cellStyle name="表示済みのハイパーリンク" xfId="269" builtinId="9" hidden="1"/>
    <cellStyle name="表示済みのハイパーリンク" xfId="271" builtinId="9" hidden="1"/>
    <cellStyle name="表示済みのハイパーリンク" xfId="273" builtinId="9" hidden="1"/>
    <cellStyle name="表示済みのハイパーリンク" xfId="275" builtinId="9" hidden="1"/>
    <cellStyle name="表示済みのハイパーリンク" xfId="277" builtinId="9" hidden="1"/>
    <cellStyle name="表示済みのハイパーリンク" xfId="279" builtinId="9" hidden="1"/>
    <cellStyle name="表示済みのハイパーリンク" xfId="281" builtinId="9" hidden="1"/>
    <cellStyle name="表示済みのハイパーリンク" xfId="283" builtinId="9" hidden="1"/>
    <cellStyle name="表示済みのハイパーリンク" xfId="285" builtinId="9" hidden="1"/>
    <cellStyle name="表示済みのハイパーリンク" xfId="287" builtinId="9" hidden="1"/>
    <cellStyle name="表示済みのハイパーリンク" xfId="289" builtinId="9" hidden="1"/>
    <cellStyle name="表示済みのハイパーリンク" xfId="291" builtinId="9" hidden="1"/>
    <cellStyle name="表示済みのハイパーリンク" xfId="293" builtinId="9" hidden="1"/>
    <cellStyle name="表示済みのハイパーリンク" xfId="295" builtinId="9" hidden="1"/>
    <cellStyle name="表示済みのハイパーリンク" xfId="297" builtinId="9" hidden="1"/>
    <cellStyle name="表示済みのハイパーリンク" xfId="299" builtinId="9" hidden="1"/>
    <cellStyle name="表示済みのハイパーリンク" xfId="301" builtinId="9" hidden="1"/>
    <cellStyle name="表示済みのハイパーリンク" xfId="303" builtinId="9" hidden="1"/>
    <cellStyle name="表示済みのハイパーリンク" xfId="305" builtinId="9" hidden="1"/>
    <cellStyle name="表示済みのハイパーリンク" xfId="307" builtinId="9" hidden="1"/>
    <cellStyle name="表示済みのハイパーリンク" xfId="309" builtinId="9" hidden="1"/>
    <cellStyle name="表示済みのハイパーリンク" xfId="311" builtinId="9" hidden="1"/>
    <cellStyle name="表示済みのハイパーリンク" xfId="313" builtinId="9" hidden="1"/>
    <cellStyle name="表示済みのハイパーリンク" xfId="315" builtinId="9" hidden="1"/>
    <cellStyle name="表示済みのハイパーリンク" xfId="317" builtinId="9" hidden="1"/>
    <cellStyle name="表示済みのハイパーリンク" xfId="319" builtinId="9" hidden="1"/>
    <cellStyle name="表示済みのハイパーリンク" xfId="321" builtinId="9" hidden="1"/>
    <cellStyle name="表示済みのハイパーリンク" xfId="323" builtinId="9" hidden="1"/>
    <cellStyle name="表示済みのハイパーリンク" xfId="325" builtinId="9" hidden="1"/>
    <cellStyle name="表示済みのハイパーリンク" xfId="327" builtinId="9" hidden="1"/>
    <cellStyle name="表示済みのハイパーリンク" xfId="329" builtinId="9" hidden="1"/>
    <cellStyle name="表示済みのハイパーリンク" xfId="331" builtinId="9" hidden="1"/>
    <cellStyle name="表示済みのハイパーリンク" xfId="333" builtinId="9" hidden="1"/>
    <cellStyle name="表示済みのハイパーリンク" xfId="335" builtinId="9" hidden="1"/>
    <cellStyle name="表示済みのハイパーリンク" xfId="337" builtinId="9" hidden="1"/>
    <cellStyle name="表示済みのハイパーリンク" xfId="339" builtinId="9" hidden="1"/>
    <cellStyle name="表示済みのハイパーリンク" xfId="341" builtinId="9" hidden="1"/>
    <cellStyle name="表示済みのハイパーリンク" xfId="343" builtinId="9" hidden="1"/>
    <cellStyle name="表示済みのハイパーリンク" xfId="345" builtinId="9" hidden="1"/>
    <cellStyle name="表示済みのハイパーリンク" xfId="347" builtinId="9" hidden="1"/>
    <cellStyle name="表示済みのハイパーリンク" xfId="349" builtinId="9" hidden="1"/>
    <cellStyle name="表示済みのハイパーリンク" xfId="351" builtinId="9" hidden="1"/>
    <cellStyle name="表示済みのハイパーリンク" xfId="353" builtinId="9" hidden="1"/>
    <cellStyle name="表示済みのハイパーリンク" xfId="355" builtinId="9" hidden="1"/>
    <cellStyle name="表示済みのハイパーリンク" xfId="357" builtinId="9" hidden="1"/>
    <cellStyle name="表示済みのハイパーリンク" xfId="359" builtinId="9" hidden="1"/>
    <cellStyle name="表示済みのハイパーリンク" xfId="361" builtinId="9" hidden="1"/>
    <cellStyle name="表示済みのハイパーリンク" xfId="363" builtinId="9" hidden="1"/>
    <cellStyle name="表示済みのハイパーリンク" xfId="365" builtinId="9" hidden="1"/>
    <cellStyle name="表示済みのハイパーリンク" xfId="367" builtinId="9" hidden="1"/>
    <cellStyle name="表示済みのハイパーリンク" xfId="369" builtinId="9" hidden="1"/>
    <cellStyle name="表示済みのハイパーリンク" xfId="371" builtinId="9" hidden="1"/>
    <cellStyle name="表示済みのハイパーリンク" xfId="373" builtinId="9" hidden="1"/>
    <cellStyle name="表示済みのハイパーリンク" xfId="375" builtinId="9" hidden="1"/>
    <cellStyle name="表示済みのハイパーリンク" xfId="377" builtinId="9" hidden="1"/>
    <cellStyle name="表示済みのハイパーリンク" xfId="379" builtinId="9" hidden="1"/>
    <cellStyle name="表示済みのハイパーリンク" xfId="381" builtinId="9" hidden="1"/>
    <cellStyle name="表示済みのハイパーリンク" xfId="383" builtinId="9" hidden="1"/>
    <cellStyle name="表示済みのハイパーリンク" xfId="385" builtinId="9" hidden="1"/>
    <cellStyle name="表示済みのハイパーリンク" xfId="387" builtinId="9" hidden="1"/>
    <cellStyle name="表示済みのハイパーリンク" xfId="389" builtinId="9" hidden="1"/>
    <cellStyle name="表示済みのハイパーリンク" xfId="391" builtinId="9" hidden="1"/>
    <cellStyle name="表示済みのハイパーリンク" xfId="393" builtinId="9" hidden="1"/>
    <cellStyle name="表示済みのハイパーリンク" xfId="395" builtinId="9" hidden="1"/>
    <cellStyle name="表示済みのハイパーリンク" xfId="397" builtinId="9" hidden="1"/>
    <cellStyle name="表示済みのハイパーリンク" xfId="399" builtinId="9" hidden="1"/>
    <cellStyle name="表示済みのハイパーリンク" xfId="401" builtinId="9" hidden="1"/>
    <cellStyle name="表示済みのハイパーリンク" xfId="403" builtinId="9" hidden="1"/>
    <cellStyle name="表示済みのハイパーリンク" xfId="405" builtinId="9" hidden="1"/>
    <cellStyle name="表示済みのハイパーリンク" xfId="407" builtinId="9" hidden="1"/>
    <cellStyle name="表示済みのハイパーリンク" xfId="409" builtinId="9" hidden="1"/>
    <cellStyle name="表示済みのハイパーリンク" xfId="411" builtinId="9" hidden="1"/>
    <cellStyle name="表示済みのハイパーリンク" xfId="413" builtinId="9" hidden="1"/>
    <cellStyle name="表示済みのハイパーリンク" xfId="415" builtinId="9" hidden="1"/>
    <cellStyle name="表示済みのハイパーリンク" xfId="417" builtinId="9" hidden="1"/>
    <cellStyle name="表示済みのハイパーリンク" xfId="419" builtinId="9" hidden="1"/>
    <cellStyle name="表示済みのハイパーリンク" xfId="421" builtinId="9" hidden="1"/>
    <cellStyle name="表示済みのハイパーリンク" xfId="423" builtinId="9" hidden="1"/>
    <cellStyle name="表示済みのハイパーリンク" xfId="425" builtinId="9" hidden="1"/>
    <cellStyle name="表示済みのハイパーリンク" xfId="427" builtinId="9" hidden="1"/>
    <cellStyle name="表示済みのハイパーリンク" xfId="437" builtinId="9" hidden="1"/>
    <cellStyle name="表示済みのハイパーリンク" xfId="439" builtinId="9" hidden="1"/>
    <cellStyle name="表示済みのハイパーリンク" xfId="441" builtinId="9" hidden="1"/>
    <cellStyle name="表示済みのハイパーリンク" xfId="443" builtinId="9" hidden="1"/>
    <cellStyle name="表示済みのハイパーリンク" xfId="445" builtinId="9" hidden="1"/>
    <cellStyle name="表示済みのハイパーリンク" xfId="447" builtinId="9" hidden="1"/>
    <cellStyle name="表示済みのハイパーリンク" xfId="449" builtinId="9" hidden="1"/>
    <cellStyle name="表示済みのハイパーリンク" xfId="451" builtinId="9" hidden="1"/>
    <cellStyle name="表示済みのハイパーリンク" xfId="453" builtinId="9" hidden="1"/>
    <cellStyle name="表示済みのハイパーリンク" xfId="455" builtinId="9" hidden="1"/>
    <cellStyle name="表示済みのハイパーリンク" xfId="457" builtinId="9" hidden="1"/>
    <cellStyle name="表示済みのハイパーリンク" xfId="459" builtinId="9" hidden="1"/>
    <cellStyle name="表示済みのハイパーリンク" xfId="461" builtinId="9" hidden="1"/>
    <cellStyle name="表示済みのハイパーリンク" xfId="463" builtinId="9" hidden="1"/>
    <cellStyle name="表示済みのハイパーリンク" xfId="465" builtinId="9" hidden="1"/>
    <cellStyle name="表示済みのハイパーリンク" xfId="467" builtinId="9" hidden="1"/>
    <cellStyle name="表示済みのハイパーリンク" xfId="469" builtinId="9" hidden="1"/>
    <cellStyle name="表示済みのハイパーリンク" xfId="471" builtinId="9" hidden="1"/>
    <cellStyle name="表示済みのハイパーリンク" xfId="473" builtinId="9" hidden="1"/>
    <cellStyle name="表示済みのハイパーリンク" xfId="475" builtinId="9" hidden="1"/>
    <cellStyle name="表示済みのハイパーリンク" xfId="477" builtinId="9" hidden="1"/>
    <cellStyle name="表示済みのハイパーリンク" xfId="479" builtinId="9" hidden="1"/>
    <cellStyle name="表示済みのハイパーリンク" xfId="481" builtinId="9" hidden="1"/>
    <cellStyle name="表示済みのハイパーリンク" xfId="483" builtinId="9" hidden="1"/>
    <cellStyle name="表示済みのハイパーリンク" xfId="485" builtinId="9" hidden="1"/>
    <cellStyle name="表示済みのハイパーリンク" xfId="487" builtinId="9" hidden="1"/>
    <cellStyle name="表示済みのハイパーリンク" xfId="489" builtinId="9" hidden="1"/>
    <cellStyle name="表示済みのハイパーリンク" xfId="491" builtinId="9" hidden="1"/>
    <cellStyle name="表示済みのハイパーリンク" xfId="493" builtinId="9" hidden="1"/>
    <cellStyle name="表示済みのハイパーリンク" xfId="495" builtinId="9" hidden="1"/>
    <cellStyle name="表示済みのハイパーリンク" xfId="497" builtinId="9" hidden="1"/>
    <cellStyle name="表示済みのハイパーリンク" xfId="499" builtinId="9" hidden="1"/>
    <cellStyle name="表示済みのハイパーリンク" xfId="501" builtinId="9" hidden="1"/>
    <cellStyle name="表示済みのハイパーリンク" xfId="503" builtinId="9" hidden="1"/>
    <cellStyle name="表示済みのハイパーリンク" xfId="505" builtinId="9" hidden="1"/>
    <cellStyle name="表示済みのハイパーリンク" xfId="507" builtinId="9" hidden="1"/>
    <cellStyle name="表示済みのハイパーリンク" xfId="509" builtinId="9" hidden="1"/>
    <cellStyle name="表示済みのハイパーリンク" xfId="511" builtinId="9" hidden="1"/>
    <cellStyle name="表示済みのハイパーリンク" xfId="513" builtinId="9" hidden="1"/>
    <cellStyle name="表示済みのハイパーリンク" xfId="515" builtinId="9" hidden="1"/>
    <cellStyle name="表示済みのハイパーリンク" xfId="517" builtinId="9" hidden="1"/>
    <cellStyle name="表示済みのハイパーリンク" xfId="519" builtinId="9" hidden="1"/>
    <cellStyle name="表示済みのハイパーリンク" xfId="521" builtinId="9" hidden="1"/>
    <cellStyle name="表示済みのハイパーリンク" xfId="523" builtinId="9" hidden="1"/>
    <cellStyle name="表示済みのハイパーリンク" xfId="525" builtinId="9" hidden="1"/>
    <cellStyle name="表示済みのハイパーリンク" xfId="527" builtinId="9" hidden="1"/>
    <cellStyle name="表示済みのハイパーリンク" xfId="529" builtinId="9" hidden="1"/>
    <cellStyle name="表示済みのハイパーリンク" xfId="531" builtinId="9" hidden="1"/>
    <cellStyle name="表示済みのハイパーリンク" xfId="533" builtinId="9" hidden="1"/>
    <cellStyle name="表示済みのハイパーリンク" xfId="535" builtinId="9" hidden="1"/>
    <cellStyle name="表示済みのハイパーリンク" xfId="537" builtinId="9" hidden="1"/>
    <cellStyle name="表示済みのハイパーリンク" xfId="539" builtinId="9" hidden="1"/>
    <cellStyle name="表示済みのハイパーリンク" xfId="541" builtinId="9" hidden="1"/>
    <cellStyle name="表示済みのハイパーリンク" xfId="543" builtinId="9" hidden="1"/>
    <cellStyle name="表示済みのハイパーリンク" xfId="545" builtinId="9" hidden="1"/>
    <cellStyle name="表示済みのハイパーリンク" xfId="547" builtinId="9" hidden="1"/>
    <cellStyle name="表示済みのハイパーリンク" xfId="549" builtinId="9" hidden="1"/>
    <cellStyle name="表示済みのハイパーリンク" xfId="551" builtinId="9" hidden="1"/>
    <cellStyle name="表示済みのハイパーリンク" xfId="553" builtinId="9" hidden="1"/>
    <cellStyle name="表示済みのハイパーリンク" xfId="555" builtinId="9" hidden="1"/>
    <cellStyle name="表示済みのハイパーリンク" xfId="557" builtinId="9" hidden="1"/>
    <cellStyle name="表示済みのハイパーリンク" xfId="559" builtinId="9" hidden="1"/>
    <cellStyle name="表示済みのハイパーリンク" xfId="561" builtinId="9" hidden="1"/>
    <cellStyle name="表示済みのハイパーリンク" xfId="563" builtinId="9" hidden="1"/>
    <cellStyle name="表示済みのハイパーリンク" xfId="565" builtinId="9" hidden="1"/>
    <cellStyle name="表示済みのハイパーリンク" xfId="567" builtinId="9" hidden="1"/>
    <cellStyle name="表示済みのハイパーリンク" xfId="569" builtinId="9" hidden="1"/>
    <cellStyle name="表示済みのハイパーリンク" xfId="571" builtinId="9" hidden="1"/>
    <cellStyle name="表示済みのハイパーリンク" xfId="573" builtinId="9" hidden="1"/>
    <cellStyle name="表示済みのハイパーリンク" xfId="575" builtinId="9" hidden="1"/>
    <cellStyle name="表示済みのハイパーリンク" xfId="577" builtinId="9" hidden="1"/>
    <cellStyle name="表示済みのハイパーリンク" xfId="579" builtinId="9" hidden="1"/>
    <cellStyle name="表示済みのハイパーリンク" xfId="581" builtinId="9" hidden="1"/>
    <cellStyle name="表示済みのハイパーリンク" xfId="583" builtinId="9" hidden="1"/>
    <cellStyle name="表示済みのハイパーリンク" xfId="585" builtinId="9" hidden="1"/>
    <cellStyle name="表示済みのハイパーリンク" xfId="587" builtinId="9" hidden="1"/>
    <cellStyle name="表示済みのハイパーリンク" xfId="589" builtinId="9" hidden="1"/>
    <cellStyle name="表示済みのハイパーリンク" xfId="591" builtinId="9" hidden="1"/>
    <cellStyle name="表示済みのハイパーリンク" xfId="593" builtinId="9" hidden="1"/>
    <cellStyle name="表示済みのハイパーリンク" xfId="595" builtinId="9" hidden="1"/>
    <cellStyle name="表示済みのハイパーリンク" xfId="597" builtinId="9" hidden="1"/>
    <cellStyle name="表示済みのハイパーリンク" xfId="599" builtinId="9" hidden="1"/>
    <cellStyle name="表示済みのハイパーリンク" xfId="601" builtinId="9" hidden="1"/>
    <cellStyle name="表示済みのハイパーリンク" xfId="603" builtinId="9" hidden="1"/>
    <cellStyle name="表示済みのハイパーリンク" xfId="605" builtinId="9" hidden="1"/>
    <cellStyle name="表示済みのハイパーリンク" xfId="607" builtinId="9" hidden="1"/>
    <cellStyle name="表示済みのハイパーリンク" xfId="609" builtinId="9" hidden="1"/>
    <cellStyle name="表示済みのハイパーリンク" xfId="611" builtinId="9" hidden="1"/>
    <cellStyle name="表示済みのハイパーリンク" xfId="613" builtinId="9" hidden="1"/>
    <cellStyle name="表示済みのハイパーリンク" xfId="617" builtinId="9" hidden="1"/>
    <cellStyle name="表示済みのハイパーリンク" xfId="619" builtinId="9" hidden="1"/>
    <cellStyle name="表示済みのハイパーリンク" xfId="621" builtinId="9" hidden="1"/>
    <cellStyle name="表示済みのハイパーリンク" xfId="623" builtinId="9" hidden="1"/>
    <cellStyle name="表示済みのハイパーリンク" xfId="625" builtinId="9" hidden="1"/>
    <cellStyle name="表示済みのハイパーリンク" xfId="627" builtinId="9" hidden="1"/>
    <cellStyle name="表示済みのハイパーリンク" xfId="679" builtinId="9" hidden="1"/>
    <cellStyle name="表示済みのハイパーリンク" xfId="681" builtinId="9" hidden="1"/>
    <cellStyle name="表示済みのハイパーリンク" xfId="683" builtinId="9" hidden="1"/>
    <cellStyle name="表示済みのハイパーリンク" xfId="685" builtinId="9" hidden="1"/>
    <cellStyle name="表示済みのハイパーリンク" xfId="687" builtinId="9" hidden="1"/>
    <cellStyle name="表示済みのハイパーリンク" xfId="689" builtinId="9" hidden="1"/>
    <cellStyle name="表示済みのハイパーリンク" xfId="691" builtinId="9" hidden="1"/>
    <cellStyle name="表示済みのハイパーリンク" xfId="693" builtinId="9" hidden="1"/>
    <cellStyle name="表示済みのハイパーリンク" xfId="695" builtinId="9" hidden="1"/>
    <cellStyle name="表示済みのハイパーリンク" xfId="697" builtinId="9" hidden="1"/>
    <cellStyle name="表示済みのハイパーリンク" xfId="699" builtinId="9" hidden="1"/>
    <cellStyle name="表示済みのハイパーリンク" xfId="701" builtinId="9" hidden="1"/>
    <cellStyle name="表示済みのハイパーリンク" xfId="703" builtinId="9" hidden="1"/>
    <cellStyle name="表示済みのハイパーリンク" xfId="705" builtinId="9" hidden="1"/>
    <cellStyle name="表示済みのハイパーリンク" xfId="707" builtinId="9" hidden="1"/>
    <cellStyle name="表示済みのハイパーリンク" xfId="709" builtinId="9" hidden="1"/>
    <cellStyle name="表示済みのハイパーリンク" xfId="711" builtinId="9" hidden="1"/>
    <cellStyle name="表示済みのハイパーリンク" xfId="713" builtinId="9" hidden="1"/>
    <cellStyle name="表示済みのハイパーリンク" xfId="715" builtinId="9" hidden="1"/>
    <cellStyle name="表示済みのハイパーリンク" xfId="717" builtinId="9" hidden="1"/>
    <cellStyle name="表示済みのハイパーリンク" xfId="719" builtinId="9" hidden="1"/>
    <cellStyle name="表示済みのハイパーリンク" xfId="721" builtinId="9" hidden="1"/>
    <cellStyle name="表示済みのハイパーリンク" xfId="723" builtinId="9" hidden="1"/>
    <cellStyle name="表示済みのハイパーリンク" xfId="725" builtinId="9" hidden="1"/>
    <cellStyle name="表示済みのハイパーリンク" xfId="727" builtinId="9" hidden="1"/>
    <cellStyle name="表示済みのハイパーリンク" xfId="729" builtinId="9" hidden="1"/>
    <cellStyle name="表示済みのハイパーリンク" xfId="731" builtinId="9" hidden="1"/>
    <cellStyle name="表示済みのハイパーリンク" xfId="733" builtinId="9" hidden="1"/>
    <cellStyle name="表示済みのハイパーリンク" xfId="735" builtinId="9" hidden="1"/>
    <cellStyle name="表示済みのハイパーリンク" xfId="737" builtinId="9" hidden="1"/>
    <cellStyle name="表示済みのハイパーリンク" xfId="739" builtinId="9" hidden="1"/>
    <cellStyle name="表示済みのハイパーリンク" xfId="741" builtinId="9" hidden="1"/>
    <cellStyle name="表示済みのハイパーリンク" xfId="743" builtinId="9" hidden="1"/>
    <cellStyle name="表示済みのハイパーリンク" xfId="745" builtinId="9" hidden="1"/>
    <cellStyle name="表示済みのハイパーリンク" xfId="747" builtinId="9" hidden="1"/>
    <cellStyle name="表示済みのハイパーリンク" xfId="749" builtinId="9" hidden="1"/>
    <cellStyle name="表示済みのハイパーリンク" xfId="751" builtinId="9" hidden="1"/>
    <cellStyle name="表示済みのハイパーリンク" xfId="753" builtinId="9" hidden="1"/>
    <cellStyle name="表示済みのハイパーリンク" xfId="755" builtinId="9" hidden="1"/>
    <cellStyle name="表示済みのハイパーリンク" xfId="757" builtinId="9" hidden="1"/>
    <cellStyle name="表示済みのハイパーリンク" xfId="759" builtinId="9" hidden="1"/>
    <cellStyle name="表示済みのハイパーリンク" xfId="761" builtinId="9" hidden="1"/>
    <cellStyle name="表示済みのハイパーリンク" xfId="763" builtinId="9" hidden="1"/>
    <cellStyle name="表示済みのハイパーリンク" xfId="765" builtinId="9" hidden="1"/>
    <cellStyle name="表示済みのハイパーリンク" xfId="767" builtinId="9" hidden="1"/>
    <cellStyle name="表示済みのハイパーリンク" xfId="769" builtinId="9" hidden="1"/>
    <cellStyle name="表示済みのハイパーリンク" xfId="771" builtinId="9" hidden="1"/>
    <cellStyle name="表示済みのハイパーリンク" xfId="773" builtinId="9" hidden="1"/>
    <cellStyle name="表示済みのハイパーリンク" xfId="775" builtinId="9" hidden="1"/>
    <cellStyle name="表示済みのハイパーリンク" xfId="777" builtinId="9" hidden="1"/>
    <cellStyle name="表示済みのハイパーリンク" xfId="779" builtinId="9" hidden="1"/>
    <cellStyle name="表示済みのハイパーリンク" xfId="781" builtinId="9" hidden="1"/>
    <cellStyle name="表示済みのハイパーリンク" xfId="783" builtinId="9" hidden="1"/>
    <cellStyle name="表示済みのハイパーリンク" xfId="785" builtinId="9" hidden="1"/>
    <cellStyle name="表示済みのハイパーリンク" xfId="787" builtinId="9" hidden="1"/>
    <cellStyle name="表示済みのハイパーリンク" xfId="789" builtinId="9" hidden="1"/>
    <cellStyle name="表示済みのハイパーリンク" xfId="791" builtinId="9" hidden="1"/>
    <cellStyle name="表示済みのハイパーリンク" xfId="793" builtinId="9" hidden="1"/>
    <cellStyle name="表示済みのハイパーリンク" xfId="795" builtinId="9" hidden="1"/>
    <cellStyle name="表示済みのハイパーリンク" xfId="797" builtinId="9" hidden="1"/>
    <cellStyle name="表示済みのハイパーリンク" xfId="799" builtinId="9" hidden="1"/>
    <cellStyle name="表示済みのハイパーリンク" xfId="801" builtinId="9" hidden="1"/>
    <cellStyle name="表示済みのハイパーリンク" xfId="803" builtinId="9" hidden="1"/>
    <cellStyle name="表示済みのハイパーリンク" xfId="805" builtinId="9" hidden="1"/>
    <cellStyle name="表示済みのハイパーリンク" xfId="807" builtinId="9" hidden="1"/>
    <cellStyle name="表示済みのハイパーリンク" xfId="809" builtinId="9" hidden="1"/>
    <cellStyle name="表示済みのハイパーリンク" xfId="811" builtinId="9" hidden="1"/>
    <cellStyle name="表示済みのハイパーリンク" xfId="813" builtinId="9" hidden="1"/>
    <cellStyle name="表示済みのハイパーリンク" xfId="815" builtinId="9" hidden="1"/>
    <cellStyle name="表示済みのハイパーリンク" xfId="817" builtinId="9" hidden="1"/>
    <cellStyle name="表示済みのハイパーリンク" xfId="819" builtinId="9" hidden="1"/>
    <cellStyle name="表示済みのハイパーリンク" xfId="821" builtinId="9" hidden="1"/>
    <cellStyle name="表示済みのハイパーリンク" xfId="823" builtinId="9" hidden="1"/>
    <cellStyle name="表示済みのハイパーリンク" xfId="825" builtinId="9" hidden="1"/>
    <cellStyle name="表示済みのハイパーリンク" xfId="827" builtinId="9" hidden="1"/>
    <cellStyle name="表示済みのハイパーリンク" xfId="829" builtinId="9" hidden="1"/>
    <cellStyle name="表示済みのハイパーリンク" xfId="831" builtinId="9" hidden="1"/>
    <cellStyle name="表示済みのハイパーリンク" xfId="833" builtinId="9" hidden="1"/>
    <cellStyle name="表示済みのハイパーリンク" xfId="835" builtinId="9" hidden="1"/>
    <cellStyle name="表示済みのハイパーリンク" xfId="837" builtinId="9" hidden="1"/>
    <cellStyle name="表示済みのハイパーリンク" xfId="839" builtinId="9" hidden="1"/>
    <cellStyle name="表示済みのハイパーリンク" xfId="841" builtinId="9" hidden="1"/>
    <cellStyle name="表示済みのハイパーリンク" xfId="843" builtinId="9" hidden="1"/>
    <cellStyle name="表示済みのハイパーリンク" xfId="845" builtinId="9" hidden="1"/>
    <cellStyle name="表示済みのハイパーリンク" xfId="847" builtinId="9" hidden="1"/>
    <cellStyle name="表示済みのハイパーリンク" xfId="849" builtinId="9" hidden="1"/>
    <cellStyle name="表示済みのハイパーリンク" xfId="851" builtinId="9" hidden="1"/>
    <cellStyle name="表示済みのハイパーリンク" xfId="853" builtinId="9" hidden="1"/>
    <cellStyle name="表示済みのハイパーリンク" xfId="855" builtinId="9" hidden="1"/>
    <cellStyle name="表示済みのハイパーリンク" xfId="857" builtinId="9" hidden="1"/>
    <cellStyle name="表示済みのハイパーリンク" xfId="859" builtinId="9" hidden="1"/>
    <cellStyle name="赤字強調" xfId="431"/>
    <cellStyle name="青字強調" xfId="430"/>
  </cellStyles>
  <dxfs count="90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BACD"/>
      <color rgb="FFFFD7E6"/>
      <color rgb="FFEE854D"/>
      <color rgb="FFEE6B1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worksheet" Target="worksheets/sheet9.xml"/><Relationship Id="rId20" Type="http://schemas.openxmlformats.org/officeDocument/2006/relationships/calcChain" Target="calcChain.xml"/><Relationship Id="rId21" Type="http://schemas.microsoft.com/office/2006/relationships/vbaProject" Target="vbaProject.bin"/><Relationship Id="rId10" Type="http://schemas.openxmlformats.org/officeDocument/2006/relationships/worksheet" Target="worksheets/sheet10.xml"/><Relationship Id="rId11" Type="http://schemas.openxmlformats.org/officeDocument/2006/relationships/worksheet" Target="worksheets/sheet11.xml"/><Relationship Id="rId12" Type="http://schemas.openxmlformats.org/officeDocument/2006/relationships/externalLink" Target="externalLinks/externalLink1.xml"/><Relationship Id="rId13" Type="http://schemas.openxmlformats.org/officeDocument/2006/relationships/externalLink" Target="externalLinks/externalLink2.xml"/><Relationship Id="rId14" Type="http://schemas.openxmlformats.org/officeDocument/2006/relationships/externalLink" Target="externalLinks/externalLink3.xml"/><Relationship Id="rId15" Type="http://schemas.openxmlformats.org/officeDocument/2006/relationships/externalLink" Target="externalLinks/externalLink4.xml"/><Relationship Id="rId16" Type="http://schemas.openxmlformats.org/officeDocument/2006/relationships/externalLink" Target="externalLinks/externalLink5.xml"/><Relationship Id="rId17" Type="http://schemas.openxmlformats.org/officeDocument/2006/relationships/theme" Target="theme/theme1.xml"/><Relationship Id="rId18" Type="http://schemas.openxmlformats.org/officeDocument/2006/relationships/styles" Target="styles.xml"/><Relationship Id="rId19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@/psf/Home/Users/sumi/Desktop/&#20316;&#26989;&#29992;/%20&#12503;&#12525;&#12480;&#12463;&#12488;&#12510;&#12493;&#12540;&#12472;&#12515;/&#12487;&#12540;&#12479;&#12471;&#12540;&#12488;/&#12518;&#12491;&#12483;&#12488;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QuestMasterData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EnemyMasterData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CharacterMasterData.xlsm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Definition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ユニット基礎設計"/>
      <sheetName val="ユニット"/>
      <sheetName val="characters_i18n"/>
      <sheetName val="unit_levels"/>
      <sheetName val="characters"/>
      <sheetName val="units"/>
      <sheetName val="character_type_i18n"/>
      <sheetName val="character_tribe_i18n"/>
      <sheetName val="awake_materials"/>
      <sheetName val="awake_material_habitats"/>
      <sheetName val="limitbreak_materials"/>
      <sheetName val="unit_skills"/>
      <sheetName val="スキル仕様"/>
      <sheetName val="party_skills"/>
      <sheetName val="パーティスキル仕様"/>
      <sheetName val="パラメータ仕様"/>
      <sheetName val="unit_skill_up_patterns"/>
      <sheetName val="スキルラベル"/>
      <sheetName val="コスト"/>
      <sheetName val="レベル"/>
      <sheetName val="経験値"/>
      <sheetName val="RC6SV"/>
      <sheetName val="属性"/>
      <sheetName val="マナ"/>
      <sheetName val="経験値テーブル"/>
      <sheetName val="素材経験値"/>
      <sheetName val="売却ビット係数"/>
      <sheetName val="Sheet1"/>
      <sheetName val="localized_texts"/>
      <sheetName val="character_types"/>
      <sheetName val="character_tribes"/>
      <sheetName val="mst_evolution"/>
      <sheetName val="group_skills"/>
      <sheetName val="grimoires(extended)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/>
      <sheetData sheetId="23"/>
      <sheetData sheetId="24"/>
      <sheetData sheetId="25"/>
      <sheetData sheetId="26"/>
      <sheetData sheetId="27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マスタ"/>
      <sheetName val="quests"/>
      <sheetName val="stages"/>
      <sheetName val="weekly_quests"/>
      <sheetName val="rank_quests"/>
      <sheetName val="event_quests"/>
      <sheetName val="banners"/>
      <sheetName val="guerilla_quests"/>
      <sheetName val="noon_guerilla_times"/>
      <sheetName val="night_guerilla_times"/>
      <sheetName val="automatic_quest_bonuses"/>
    </sheetNames>
    <sheetDataSet>
      <sheetData sheetId="0"/>
      <sheetData sheetId="1"/>
      <sheetData sheetId="2">
        <row r="1">
          <cell r="A1" t="str">
            <v>quest_id</v>
          </cell>
          <cell r="B1" t="str">
            <v>quest_type</v>
          </cell>
          <cell r="C1" t="str">
            <v>language</v>
          </cell>
          <cell r="D1" t="str">
            <v>name</v>
          </cell>
          <cell r="E1" t="str">
            <v>detail</v>
          </cell>
          <cell r="F1" t="str">
            <v>valid_flg</v>
          </cell>
          <cell r="G1" t="str">
            <v>pay_limit_time</v>
          </cell>
          <cell r="H1" t="str">
            <v>attribute_red</v>
          </cell>
          <cell r="I1" t="str">
            <v>attribute_blue</v>
          </cell>
          <cell r="J1" t="str">
            <v>attribute_green</v>
          </cell>
          <cell r="K1" t="str">
            <v>attribute_yellow</v>
          </cell>
          <cell r="L1" t="str">
            <v>story</v>
          </cell>
          <cell r="M1" t="str">
            <v>story文字数</v>
          </cell>
          <cell r="N1" t="str">
            <v>位置付け</v>
          </cell>
          <cell r="O1" t="str">
            <v>備考</v>
          </cell>
          <cell r="P1" t="str">
            <v>options</v>
          </cell>
          <cell r="Q1" t="str">
            <v>help_myself</v>
          </cell>
          <cell r="R1" t="str">
            <v>preview_start_date</v>
          </cell>
          <cell r="S1" t="str">
            <v>preview_end_date</v>
          </cell>
        </row>
        <row r="2">
          <cell r="A2">
            <v>0</v>
          </cell>
        </row>
        <row r="3">
          <cell r="A3">
            <v>1</v>
          </cell>
        </row>
        <row r="4">
          <cell r="A4">
            <v>2</v>
          </cell>
        </row>
        <row r="5">
          <cell r="A5">
            <v>3</v>
          </cell>
        </row>
        <row r="6">
          <cell r="A6">
            <v>4</v>
          </cell>
        </row>
        <row r="7">
          <cell r="A7">
            <v>5</v>
          </cell>
        </row>
        <row r="8">
          <cell r="A8">
            <v>6</v>
          </cell>
        </row>
        <row r="9">
          <cell r="A9">
            <v>7</v>
          </cell>
        </row>
        <row r="10">
          <cell r="A10">
            <v>8</v>
          </cell>
        </row>
        <row r="11">
          <cell r="A11">
            <v>9</v>
          </cell>
        </row>
        <row r="12">
          <cell r="A12">
            <v>10</v>
          </cell>
        </row>
        <row r="13">
          <cell r="A13">
            <v>11</v>
          </cell>
        </row>
        <row r="14">
          <cell r="A14">
            <v>12</v>
          </cell>
        </row>
        <row r="15">
          <cell r="A15">
            <v>13</v>
          </cell>
        </row>
        <row r="16">
          <cell r="A16">
            <v>14</v>
          </cell>
        </row>
        <row r="17">
          <cell r="A17">
            <v>15</v>
          </cell>
        </row>
        <row r="18">
          <cell r="A18">
            <v>16</v>
          </cell>
        </row>
        <row r="19">
          <cell r="A19">
            <v>17</v>
          </cell>
        </row>
        <row r="20">
          <cell r="A20">
            <v>18</v>
          </cell>
        </row>
        <row r="21">
          <cell r="A21">
            <v>19</v>
          </cell>
        </row>
        <row r="22">
          <cell r="A22">
            <v>20</v>
          </cell>
        </row>
        <row r="23">
          <cell r="A23">
            <v>21</v>
          </cell>
        </row>
        <row r="24">
          <cell r="A24">
            <v>22</v>
          </cell>
        </row>
        <row r="25">
          <cell r="A25">
            <v>23</v>
          </cell>
        </row>
        <row r="26">
          <cell r="A26">
            <v>24</v>
          </cell>
        </row>
        <row r="27">
          <cell r="A27">
            <v>25</v>
          </cell>
        </row>
        <row r="28">
          <cell r="A28">
            <v>26</v>
          </cell>
        </row>
        <row r="29">
          <cell r="A29">
            <v>27</v>
          </cell>
        </row>
        <row r="30">
          <cell r="A30">
            <v>28</v>
          </cell>
        </row>
        <row r="31">
          <cell r="A31">
            <v>29</v>
          </cell>
        </row>
        <row r="32">
          <cell r="A32">
            <v>30</v>
          </cell>
        </row>
        <row r="33">
          <cell r="A33">
            <v>31</v>
          </cell>
        </row>
        <row r="34">
          <cell r="A34">
            <v>10008</v>
          </cell>
        </row>
        <row r="35">
          <cell r="A35">
            <v>10010</v>
          </cell>
        </row>
        <row r="36">
          <cell r="A36">
            <v>10015</v>
          </cell>
        </row>
        <row r="37">
          <cell r="A37">
            <v>10020</v>
          </cell>
        </row>
        <row r="38">
          <cell r="A38">
            <v>10025</v>
          </cell>
        </row>
        <row r="39">
          <cell r="A39">
            <v>10030</v>
          </cell>
        </row>
        <row r="40">
          <cell r="A40">
            <v>10035</v>
          </cell>
        </row>
        <row r="41">
          <cell r="A41">
            <v>10040</v>
          </cell>
        </row>
        <row r="42">
          <cell r="A42">
            <v>10045</v>
          </cell>
        </row>
        <row r="43">
          <cell r="A43">
            <v>10050</v>
          </cell>
        </row>
        <row r="44">
          <cell r="A44">
            <v>10055</v>
          </cell>
        </row>
        <row r="45">
          <cell r="A45">
            <v>10060</v>
          </cell>
        </row>
        <row r="46">
          <cell r="A46">
            <v>10065</v>
          </cell>
        </row>
        <row r="47">
          <cell r="A47">
            <v>10090</v>
          </cell>
        </row>
        <row r="48">
          <cell r="A48">
            <v>10100</v>
          </cell>
        </row>
        <row r="49">
          <cell r="A49">
            <v>11001</v>
          </cell>
        </row>
        <row r="50">
          <cell r="A50">
            <v>11002</v>
          </cell>
        </row>
        <row r="51">
          <cell r="A51">
            <v>11003</v>
          </cell>
        </row>
        <row r="52">
          <cell r="A52">
            <v>11004</v>
          </cell>
        </row>
        <row r="53">
          <cell r="A53">
            <v>11005</v>
          </cell>
        </row>
        <row r="54">
          <cell r="A54">
            <v>11006</v>
          </cell>
        </row>
        <row r="55">
          <cell r="A55">
            <v>11007</v>
          </cell>
        </row>
        <row r="56">
          <cell r="A56">
            <v>11008</v>
          </cell>
        </row>
        <row r="57">
          <cell r="A57">
            <v>11101</v>
          </cell>
        </row>
        <row r="58">
          <cell r="A58">
            <v>11102</v>
          </cell>
        </row>
        <row r="59">
          <cell r="A59">
            <v>11103</v>
          </cell>
        </row>
        <row r="60">
          <cell r="A60">
            <v>11104</v>
          </cell>
        </row>
        <row r="61">
          <cell r="A61">
            <v>11105</v>
          </cell>
        </row>
        <row r="62">
          <cell r="A62">
            <v>11106</v>
          </cell>
        </row>
        <row r="63">
          <cell r="A63">
            <v>11206</v>
          </cell>
        </row>
        <row r="64">
          <cell r="A64">
            <v>11016</v>
          </cell>
        </row>
        <row r="65">
          <cell r="A65">
            <v>11017</v>
          </cell>
        </row>
        <row r="66">
          <cell r="A66">
            <v>11018</v>
          </cell>
        </row>
        <row r="67">
          <cell r="A67">
            <v>11207</v>
          </cell>
        </row>
        <row r="68">
          <cell r="A68">
            <v>11208</v>
          </cell>
        </row>
        <row r="69">
          <cell r="A69">
            <v>11209</v>
          </cell>
        </row>
        <row r="70">
          <cell r="A70">
            <v>11210</v>
          </cell>
        </row>
        <row r="71">
          <cell r="A71">
            <v>11211</v>
          </cell>
        </row>
        <row r="72">
          <cell r="A72">
            <v>11212</v>
          </cell>
        </row>
        <row r="73">
          <cell r="A73">
            <v>11213</v>
          </cell>
        </row>
        <row r="74">
          <cell r="A74">
            <v>11214</v>
          </cell>
        </row>
        <row r="75">
          <cell r="A75">
            <v>11215</v>
          </cell>
        </row>
        <row r="76">
          <cell r="A76">
            <v>11216</v>
          </cell>
        </row>
        <row r="77">
          <cell r="A77">
            <v>11217</v>
          </cell>
        </row>
        <row r="78">
          <cell r="A78">
            <v>11218</v>
          </cell>
        </row>
        <row r="79">
          <cell r="A79">
            <v>11219</v>
          </cell>
        </row>
        <row r="80">
          <cell r="A80">
            <v>11220</v>
          </cell>
        </row>
        <row r="81">
          <cell r="A81">
            <v>11221</v>
          </cell>
        </row>
        <row r="82">
          <cell r="A82">
            <v>11224</v>
          </cell>
        </row>
        <row r="83">
          <cell r="A83">
            <v>11225</v>
          </cell>
        </row>
        <row r="84">
          <cell r="A84">
            <v>11226</v>
          </cell>
        </row>
        <row r="85">
          <cell r="A85">
            <v>11227</v>
          </cell>
        </row>
        <row r="86">
          <cell r="A86">
            <v>11228</v>
          </cell>
        </row>
        <row r="87">
          <cell r="A87">
            <v>11229</v>
          </cell>
        </row>
        <row r="88">
          <cell r="A88">
            <v>11230</v>
          </cell>
        </row>
        <row r="89">
          <cell r="A89">
            <v>12001</v>
          </cell>
        </row>
        <row r="90">
          <cell r="A90">
            <v>12002</v>
          </cell>
        </row>
        <row r="91">
          <cell r="A91">
            <v>12003</v>
          </cell>
        </row>
        <row r="92">
          <cell r="A92">
            <v>12004</v>
          </cell>
        </row>
        <row r="93">
          <cell r="A93">
            <v>13001</v>
          </cell>
        </row>
        <row r="94">
          <cell r="A94">
            <v>13101</v>
          </cell>
        </row>
        <row r="95">
          <cell r="A95">
            <v>13300</v>
          </cell>
        </row>
        <row r="96">
          <cell r="A96">
            <v>13301</v>
          </cell>
        </row>
        <row r="97">
          <cell r="A97">
            <v>13302</v>
          </cell>
        </row>
        <row r="98">
          <cell r="A98">
            <v>13400</v>
          </cell>
        </row>
        <row r="99">
          <cell r="A99">
            <v>14001</v>
          </cell>
        </row>
        <row r="100">
          <cell r="A100">
            <v>14002</v>
          </cell>
        </row>
        <row r="101">
          <cell r="A101">
            <v>14003</v>
          </cell>
        </row>
        <row r="102">
          <cell r="A102">
            <v>14004</v>
          </cell>
        </row>
        <row r="103">
          <cell r="A103">
            <v>14005</v>
          </cell>
        </row>
        <row r="104">
          <cell r="A104">
            <v>14006</v>
          </cell>
        </row>
        <row r="105">
          <cell r="A105">
            <v>15027</v>
          </cell>
        </row>
        <row r="106">
          <cell r="A106">
            <v>15028</v>
          </cell>
        </row>
        <row r="107">
          <cell r="A107">
            <v>15029</v>
          </cell>
        </row>
        <row r="108">
          <cell r="A108">
            <v>15030</v>
          </cell>
        </row>
        <row r="109">
          <cell r="A109">
            <v>15031</v>
          </cell>
        </row>
        <row r="110">
          <cell r="A110">
            <v>20001</v>
          </cell>
        </row>
        <row r="111">
          <cell r="A111">
            <v>20002</v>
          </cell>
        </row>
        <row r="112">
          <cell r="A112">
            <v>20003</v>
          </cell>
        </row>
        <row r="113">
          <cell r="A113">
            <v>20004</v>
          </cell>
        </row>
        <row r="114">
          <cell r="A114">
            <v>20005</v>
          </cell>
        </row>
        <row r="115">
          <cell r="A115">
            <v>20006</v>
          </cell>
        </row>
        <row r="116">
          <cell r="A116">
            <v>20007</v>
          </cell>
        </row>
        <row r="117">
          <cell r="A117">
            <v>20008</v>
          </cell>
        </row>
        <row r="118">
          <cell r="A118">
            <v>20009</v>
          </cell>
        </row>
        <row r="119">
          <cell r="A119">
            <v>20010</v>
          </cell>
        </row>
        <row r="120">
          <cell r="A120">
            <v>20011</v>
          </cell>
        </row>
        <row r="121">
          <cell r="A121">
            <v>20012</v>
          </cell>
        </row>
        <row r="122">
          <cell r="A122">
            <v>20013</v>
          </cell>
        </row>
        <row r="123">
          <cell r="A123">
            <v>20014</v>
          </cell>
        </row>
        <row r="124">
          <cell r="A124">
            <v>20015</v>
          </cell>
        </row>
        <row r="125">
          <cell r="A125">
            <v>20016</v>
          </cell>
        </row>
        <row r="126">
          <cell r="A126">
            <v>20017</v>
          </cell>
        </row>
        <row r="127">
          <cell r="A127">
            <v>20018</v>
          </cell>
        </row>
        <row r="128">
          <cell r="A128">
            <v>20019</v>
          </cell>
        </row>
        <row r="129">
          <cell r="A129">
            <v>20020</v>
          </cell>
        </row>
        <row r="130">
          <cell r="A130">
            <v>20021</v>
          </cell>
        </row>
        <row r="131">
          <cell r="A131">
            <v>20022</v>
          </cell>
        </row>
        <row r="132">
          <cell r="A132">
            <v>30001</v>
          </cell>
        </row>
        <row r="133">
          <cell r="A133">
            <v>30002</v>
          </cell>
        </row>
        <row r="134">
          <cell r="A134">
            <v>30003</v>
          </cell>
        </row>
        <row r="135">
          <cell r="A135">
            <v>30004</v>
          </cell>
        </row>
        <row r="136">
          <cell r="A136">
            <v>30005</v>
          </cell>
        </row>
        <row r="137">
          <cell r="A137">
            <v>30006</v>
          </cell>
        </row>
        <row r="138">
          <cell r="A138">
            <v>30007</v>
          </cell>
        </row>
        <row r="139">
          <cell r="A139">
            <v>30008</v>
          </cell>
        </row>
        <row r="140">
          <cell r="A140">
            <v>30009</v>
          </cell>
        </row>
        <row r="141">
          <cell r="A141">
            <v>30010</v>
          </cell>
        </row>
        <row r="142">
          <cell r="A142">
            <v>30011</v>
          </cell>
        </row>
        <row r="143">
          <cell r="A143">
            <v>30012</v>
          </cell>
        </row>
        <row r="144">
          <cell r="A144">
            <v>30013</v>
          </cell>
        </row>
        <row r="145">
          <cell r="A145">
            <v>30014</v>
          </cell>
        </row>
        <row r="146">
          <cell r="A146">
            <v>30015</v>
          </cell>
        </row>
        <row r="147">
          <cell r="A147">
            <v>30016</v>
          </cell>
        </row>
        <row r="148">
          <cell r="A148">
            <v>30017</v>
          </cell>
        </row>
        <row r="149">
          <cell r="A149">
            <v>30018</v>
          </cell>
        </row>
        <row r="150">
          <cell r="A150">
            <v>30019</v>
          </cell>
        </row>
        <row r="151">
          <cell r="A151">
            <v>30020</v>
          </cell>
        </row>
        <row r="152">
          <cell r="A152">
            <v>30021</v>
          </cell>
        </row>
        <row r="153">
          <cell r="A153">
            <v>30022</v>
          </cell>
        </row>
        <row r="154">
          <cell r="A154">
            <v>30023</v>
          </cell>
        </row>
        <row r="155">
          <cell r="A155">
            <v>30024</v>
          </cell>
        </row>
        <row r="156">
          <cell r="A156">
            <v>30025</v>
          </cell>
        </row>
        <row r="157">
          <cell r="A157">
            <v>30026</v>
          </cell>
        </row>
        <row r="158">
          <cell r="A158">
            <v>30027</v>
          </cell>
        </row>
        <row r="159">
          <cell r="A159">
            <v>30028</v>
          </cell>
        </row>
        <row r="160">
          <cell r="A160">
            <v>30029</v>
          </cell>
        </row>
        <row r="161">
          <cell r="A161">
            <v>30030</v>
          </cell>
        </row>
        <row r="162">
          <cell r="A162">
            <v>30031</v>
          </cell>
        </row>
        <row r="163">
          <cell r="A163">
            <v>30032</v>
          </cell>
        </row>
        <row r="164">
          <cell r="A164">
            <v>30033</v>
          </cell>
        </row>
        <row r="165">
          <cell r="A165">
            <v>30034</v>
          </cell>
        </row>
        <row r="166">
          <cell r="A166">
            <v>30035</v>
          </cell>
        </row>
        <row r="167">
          <cell r="A167">
            <v>30036</v>
          </cell>
        </row>
        <row r="168">
          <cell r="A168">
            <v>30037</v>
          </cell>
        </row>
        <row r="169">
          <cell r="A169">
            <v>30038</v>
          </cell>
        </row>
        <row r="170">
          <cell r="A170">
            <v>30039</v>
          </cell>
        </row>
        <row r="171">
          <cell r="A171">
            <v>30040</v>
          </cell>
        </row>
        <row r="172">
          <cell r="A172">
            <v>30041</v>
          </cell>
        </row>
        <row r="173">
          <cell r="A173">
            <v>30042</v>
          </cell>
        </row>
        <row r="174">
          <cell r="A174">
            <v>30043</v>
          </cell>
        </row>
        <row r="175">
          <cell r="A175">
            <v>30044</v>
          </cell>
        </row>
        <row r="176">
          <cell r="A176">
            <v>30045</v>
          </cell>
        </row>
        <row r="177">
          <cell r="A177">
            <v>30046</v>
          </cell>
        </row>
        <row r="178">
          <cell r="A178">
            <v>30047</v>
          </cell>
        </row>
        <row r="179">
          <cell r="A179">
            <v>30048</v>
          </cell>
        </row>
        <row r="180">
          <cell r="A180">
            <v>39001</v>
          </cell>
        </row>
        <row r="181">
          <cell r="A181">
            <v>39002</v>
          </cell>
        </row>
        <row r="182">
          <cell r="A182">
            <v>39003</v>
          </cell>
        </row>
        <row r="183">
          <cell r="A183">
            <v>39004</v>
          </cell>
        </row>
        <row r="184">
          <cell r="A184">
            <v>39005</v>
          </cell>
        </row>
        <row r="185">
          <cell r="A185">
            <v>39006</v>
          </cell>
        </row>
        <row r="186">
          <cell r="A186">
            <v>39007</v>
          </cell>
        </row>
        <row r="187">
          <cell r="A187">
            <v>39008</v>
          </cell>
        </row>
        <row r="188">
          <cell r="A188">
            <v>39009</v>
          </cell>
        </row>
        <row r="189">
          <cell r="A189">
            <v>39010</v>
          </cell>
        </row>
        <row r="190">
          <cell r="A190">
            <v>39011</v>
          </cell>
        </row>
        <row r="191">
          <cell r="A191">
            <v>39012</v>
          </cell>
        </row>
        <row r="192">
          <cell r="A192">
            <v>40001</v>
          </cell>
        </row>
        <row r="193">
          <cell r="A193">
            <v>40002</v>
          </cell>
        </row>
        <row r="194">
          <cell r="A194">
            <v>40003</v>
          </cell>
        </row>
        <row r="195">
          <cell r="A195">
            <v>40004</v>
          </cell>
        </row>
        <row r="196">
          <cell r="A196">
            <v>40005</v>
          </cell>
        </row>
        <row r="197">
          <cell r="A197">
            <v>40006</v>
          </cell>
        </row>
        <row r="198">
          <cell r="A198">
            <v>40007</v>
          </cell>
        </row>
        <row r="199">
          <cell r="A199">
            <v>40008</v>
          </cell>
        </row>
        <row r="200">
          <cell r="A200">
            <v>40009</v>
          </cell>
        </row>
        <row r="201">
          <cell r="A201">
            <v>40010</v>
          </cell>
        </row>
        <row r="202">
          <cell r="A202">
            <v>40011</v>
          </cell>
        </row>
        <row r="203">
          <cell r="A203">
            <v>40012</v>
          </cell>
        </row>
        <row r="204">
          <cell r="A204">
            <v>40013</v>
          </cell>
        </row>
        <row r="205">
          <cell r="A205">
            <v>40014</v>
          </cell>
        </row>
        <row r="206">
          <cell r="A206">
            <v>40015</v>
          </cell>
        </row>
        <row r="207">
          <cell r="A207">
            <v>40016</v>
          </cell>
        </row>
        <row r="208">
          <cell r="A208">
            <v>40017</v>
          </cell>
        </row>
        <row r="209">
          <cell r="A209">
            <v>40018</v>
          </cell>
        </row>
        <row r="210">
          <cell r="A210">
            <v>40019</v>
          </cell>
        </row>
        <row r="211">
          <cell r="A211">
            <v>40021</v>
          </cell>
        </row>
        <row r="212">
          <cell r="A212">
            <v>40022</v>
          </cell>
        </row>
        <row r="213">
          <cell r="A213">
            <v>40023</v>
          </cell>
        </row>
        <row r="214">
          <cell r="A214">
            <v>40024</v>
          </cell>
        </row>
        <row r="215">
          <cell r="A215">
            <v>40025</v>
          </cell>
        </row>
        <row r="216">
          <cell r="A216">
            <v>40026</v>
          </cell>
        </row>
        <row r="217">
          <cell r="A217">
            <v>40027</v>
          </cell>
        </row>
        <row r="218">
          <cell r="A218">
            <v>40028</v>
          </cell>
        </row>
        <row r="219">
          <cell r="A219">
            <v>40029</v>
          </cell>
        </row>
        <row r="220">
          <cell r="A220">
            <v>40030</v>
          </cell>
        </row>
        <row r="221">
          <cell r="A221">
            <v>40031</v>
          </cell>
        </row>
        <row r="222">
          <cell r="A222">
            <v>40032</v>
          </cell>
        </row>
        <row r="223">
          <cell r="A223">
            <v>40033</v>
          </cell>
        </row>
        <row r="224">
          <cell r="A224">
            <v>40034</v>
          </cell>
        </row>
        <row r="225">
          <cell r="A225">
            <v>40035</v>
          </cell>
        </row>
        <row r="226">
          <cell r="A226">
            <v>40036</v>
          </cell>
        </row>
        <row r="227">
          <cell r="A227">
            <v>40037</v>
          </cell>
        </row>
        <row r="228">
          <cell r="A228">
            <v>40038</v>
          </cell>
        </row>
        <row r="229">
          <cell r="A229">
            <v>40039</v>
          </cell>
        </row>
        <row r="230">
          <cell r="A230">
            <v>40040</v>
          </cell>
        </row>
        <row r="231">
          <cell r="A231">
            <v>40041</v>
          </cell>
        </row>
        <row r="232">
          <cell r="A232">
            <v>40042</v>
          </cell>
        </row>
        <row r="233">
          <cell r="A233">
            <v>40043</v>
          </cell>
        </row>
        <row r="234">
          <cell r="A234">
            <v>48001</v>
          </cell>
        </row>
        <row r="235">
          <cell r="A235">
            <v>48002</v>
          </cell>
        </row>
        <row r="236">
          <cell r="A236">
            <v>48003</v>
          </cell>
        </row>
        <row r="237">
          <cell r="A237">
            <v>48004</v>
          </cell>
        </row>
        <row r="238">
          <cell r="A238">
            <v>48005</v>
          </cell>
        </row>
        <row r="239">
          <cell r="A239">
            <v>48006</v>
          </cell>
        </row>
        <row r="240">
          <cell r="A240">
            <v>48007</v>
          </cell>
        </row>
        <row r="241">
          <cell r="A241">
            <v>48008</v>
          </cell>
        </row>
        <row r="242">
          <cell r="A242">
            <v>48009</v>
          </cell>
        </row>
        <row r="243">
          <cell r="A243">
            <v>48010</v>
          </cell>
        </row>
        <row r="244">
          <cell r="A244">
            <v>48011</v>
          </cell>
        </row>
        <row r="245">
          <cell r="A245">
            <v>48012</v>
          </cell>
        </row>
        <row r="246">
          <cell r="A246">
            <v>48501</v>
          </cell>
        </row>
        <row r="247">
          <cell r="A247">
            <v>48502</v>
          </cell>
        </row>
        <row r="248">
          <cell r="A248">
            <v>48701</v>
          </cell>
        </row>
        <row r="249">
          <cell r="A249">
            <v>41001</v>
          </cell>
        </row>
        <row r="250">
          <cell r="A250">
            <v>41002</v>
          </cell>
        </row>
        <row r="251">
          <cell r="A251">
            <v>41003</v>
          </cell>
        </row>
        <row r="252">
          <cell r="A252">
            <v>41004</v>
          </cell>
        </row>
        <row r="253">
          <cell r="A253">
            <v>41005</v>
          </cell>
        </row>
        <row r="254">
          <cell r="A254">
            <v>41006</v>
          </cell>
        </row>
        <row r="255">
          <cell r="A255">
            <v>41007</v>
          </cell>
        </row>
        <row r="256">
          <cell r="A256">
            <v>41008</v>
          </cell>
        </row>
        <row r="257">
          <cell r="A257">
            <v>41009</v>
          </cell>
        </row>
        <row r="258">
          <cell r="A258">
            <v>41010</v>
          </cell>
        </row>
        <row r="259">
          <cell r="A259">
            <v>41011</v>
          </cell>
        </row>
        <row r="260">
          <cell r="A260">
            <v>41012</v>
          </cell>
        </row>
        <row r="261">
          <cell r="A261">
            <v>41013</v>
          </cell>
        </row>
        <row r="262">
          <cell r="A262">
            <v>41014</v>
          </cell>
        </row>
        <row r="263">
          <cell r="A263">
            <v>41015</v>
          </cell>
        </row>
        <row r="264">
          <cell r="A264">
            <v>47001</v>
          </cell>
        </row>
        <row r="265">
          <cell r="A265">
            <v>47002</v>
          </cell>
        </row>
        <row r="266">
          <cell r="A266">
            <v>47003</v>
          </cell>
        </row>
        <row r="267">
          <cell r="A267">
            <v>47004</v>
          </cell>
        </row>
        <row r="268">
          <cell r="A268">
            <v>47005</v>
          </cell>
        </row>
        <row r="269">
          <cell r="A269">
            <v>47006</v>
          </cell>
        </row>
        <row r="270">
          <cell r="A270">
            <v>47007</v>
          </cell>
        </row>
        <row r="271">
          <cell r="A271">
            <v>47008</v>
          </cell>
        </row>
        <row r="272">
          <cell r="A272">
            <v>47009</v>
          </cell>
        </row>
        <row r="273">
          <cell r="A273">
            <v>47010</v>
          </cell>
        </row>
        <row r="274">
          <cell r="A274">
            <v>47011</v>
          </cell>
        </row>
        <row r="275">
          <cell r="A275">
            <v>49001</v>
          </cell>
        </row>
        <row r="276">
          <cell r="A276">
            <v>49002</v>
          </cell>
        </row>
        <row r="277">
          <cell r="A277">
            <v>49003</v>
          </cell>
        </row>
        <row r="278">
          <cell r="A278">
            <v>49004</v>
          </cell>
        </row>
        <row r="279">
          <cell r="A279">
            <v>49005</v>
          </cell>
        </row>
        <row r="280">
          <cell r="A280">
            <v>49006</v>
          </cell>
        </row>
        <row r="281">
          <cell r="A281">
            <v>49007</v>
          </cell>
        </row>
        <row r="282">
          <cell r="A282">
            <v>49008</v>
          </cell>
        </row>
        <row r="283">
          <cell r="A283">
            <v>49009</v>
          </cell>
        </row>
        <row r="284">
          <cell r="A284">
            <v>49010</v>
          </cell>
        </row>
        <row r="285">
          <cell r="A285">
            <v>49011</v>
          </cell>
        </row>
        <row r="286">
          <cell r="A286">
            <v>49012</v>
          </cell>
        </row>
        <row r="287">
          <cell r="A287">
            <v>49013</v>
          </cell>
        </row>
        <row r="288">
          <cell r="A288">
            <v>49014</v>
          </cell>
        </row>
        <row r="289">
          <cell r="A289">
            <v>49015</v>
          </cell>
        </row>
        <row r="290">
          <cell r="A290">
            <v>50001</v>
          </cell>
        </row>
        <row r="291">
          <cell r="A291">
            <v>50002</v>
          </cell>
        </row>
        <row r="292">
          <cell r="A292">
            <v>50003</v>
          </cell>
        </row>
        <row r="293">
          <cell r="A293">
            <v>50004</v>
          </cell>
        </row>
        <row r="294">
          <cell r="A294">
            <v>50005</v>
          </cell>
        </row>
        <row r="295">
          <cell r="A295">
            <v>50006</v>
          </cell>
        </row>
        <row r="296">
          <cell r="A296">
            <v>50007</v>
          </cell>
        </row>
        <row r="297">
          <cell r="A297">
            <v>50008</v>
          </cell>
        </row>
        <row r="298">
          <cell r="A298">
            <v>50009</v>
          </cell>
        </row>
        <row r="299">
          <cell r="A299">
            <v>50010</v>
          </cell>
        </row>
        <row r="300">
          <cell r="A300">
            <v>50011</v>
          </cell>
        </row>
        <row r="301">
          <cell r="A301">
            <v>50012</v>
          </cell>
        </row>
        <row r="302">
          <cell r="A302">
            <v>50013</v>
          </cell>
        </row>
        <row r="303">
          <cell r="A303">
            <v>50014</v>
          </cell>
        </row>
        <row r="304">
          <cell r="A304">
            <v>51001</v>
          </cell>
        </row>
        <row r="305">
          <cell r="A305">
            <v>51002</v>
          </cell>
        </row>
        <row r="306">
          <cell r="A306">
            <v>58001</v>
          </cell>
        </row>
        <row r="307">
          <cell r="A307">
            <v>59001</v>
          </cell>
        </row>
        <row r="308">
          <cell r="A308">
            <v>59002</v>
          </cell>
        </row>
        <row r="309">
          <cell r="A309">
            <v>60001</v>
          </cell>
        </row>
        <row r="310">
          <cell r="A310">
            <v>60002</v>
          </cell>
        </row>
        <row r="311">
          <cell r="A311">
            <v>60003</v>
          </cell>
        </row>
        <row r="312">
          <cell r="A312">
            <v>60004</v>
          </cell>
        </row>
        <row r="313">
          <cell r="A313">
            <v>60005</v>
          </cell>
        </row>
        <row r="314">
          <cell r="A314">
            <v>60006</v>
          </cell>
        </row>
        <row r="315">
          <cell r="A315">
            <v>60007</v>
          </cell>
        </row>
        <row r="316">
          <cell r="A316">
            <v>60010</v>
          </cell>
        </row>
        <row r="317">
          <cell r="A317">
            <v>60011</v>
          </cell>
        </row>
        <row r="318">
          <cell r="A318">
            <v>61011</v>
          </cell>
        </row>
        <row r="319">
          <cell r="A319">
            <v>60012</v>
          </cell>
        </row>
        <row r="320">
          <cell r="A320">
            <v>60013</v>
          </cell>
        </row>
        <row r="321">
          <cell r="A321">
            <v>60014</v>
          </cell>
        </row>
        <row r="322">
          <cell r="A322">
            <v>60015</v>
          </cell>
        </row>
        <row r="323">
          <cell r="A323">
            <v>60016</v>
          </cell>
        </row>
        <row r="324">
          <cell r="A324">
            <v>60017</v>
          </cell>
        </row>
        <row r="325">
          <cell r="A325">
            <v>60018</v>
          </cell>
        </row>
        <row r="326">
          <cell r="A326">
            <v>60019</v>
          </cell>
        </row>
        <row r="327">
          <cell r="A327">
            <v>60020</v>
          </cell>
        </row>
        <row r="328">
          <cell r="A328">
            <v>60025</v>
          </cell>
        </row>
        <row r="329">
          <cell r="A329">
            <v>60026</v>
          </cell>
        </row>
        <row r="330">
          <cell r="A330">
            <v>60027</v>
          </cell>
        </row>
        <row r="331">
          <cell r="A331">
            <v>60028</v>
          </cell>
        </row>
        <row r="332">
          <cell r="A332">
            <v>65525</v>
          </cell>
        </row>
        <row r="333">
          <cell r="A333">
            <v>65526</v>
          </cell>
        </row>
        <row r="334">
          <cell r="A334">
            <v>65527</v>
          </cell>
        </row>
        <row r="335">
          <cell r="A335">
            <v>65528</v>
          </cell>
        </row>
        <row r="336">
          <cell r="A336">
            <v>65529</v>
          </cell>
        </row>
        <row r="337">
          <cell r="A337">
            <v>65530</v>
          </cell>
        </row>
        <row r="338">
          <cell r="A338">
            <v>65531</v>
          </cell>
        </row>
        <row r="339">
          <cell r="A339">
            <v>65532</v>
          </cell>
        </row>
        <row r="340">
          <cell r="A340">
            <v>65533</v>
          </cell>
        </row>
        <row r="341">
          <cell r="A341">
            <v>65534</v>
          </cell>
        </row>
        <row r="342">
          <cell r="A342">
            <v>65535</v>
          </cell>
        </row>
        <row r="343">
          <cell r="A343">
            <v>60021</v>
          </cell>
        </row>
        <row r="344">
          <cell r="A344">
            <v>60022</v>
          </cell>
        </row>
        <row r="345">
          <cell r="A345">
            <v>60023</v>
          </cell>
        </row>
        <row r="346">
          <cell r="A346">
            <v>60024</v>
          </cell>
        </row>
      </sheetData>
      <sheetData sheetId="3">
        <row r="1">
          <cell r="A1" t="str">
            <v>ID</v>
          </cell>
        </row>
        <row r="2">
          <cell r="A2" t="str">
            <v>temp_stage</v>
          </cell>
          <cell r="B2" t="str">
            <v>valid_flg</v>
          </cell>
          <cell r="C2" t="str">
            <v>quest_id</v>
          </cell>
          <cell r="D2" t="str">
            <v>クエスト名</v>
          </cell>
          <cell r="E2" t="str">
            <v>位置付け</v>
          </cell>
          <cell r="F2" t="str">
            <v>stage_id</v>
          </cell>
          <cell r="G2" t="str">
            <v>language</v>
          </cell>
          <cell r="H2" t="str">
            <v>name</v>
          </cell>
          <cell r="I2" t="str">
            <v>位置付け</v>
          </cell>
          <cell r="J2" t="str">
            <v>thumbnail_character_id</v>
          </cell>
          <cell r="K2" t="str">
            <v>stamina</v>
          </cell>
          <cell r="L2" t="str">
            <v>rank_exp</v>
          </cell>
          <cell r="M2" t="str">
            <v>red_flg</v>
          </cell>
          <cell r="N2" t="str">
            <v>blue_flg</v>
          </cell>
          <cell r="O2" t="str">
            <v>green_flg</v>
          </cell>
          <cell r="P2" t="str">
            <v>yellow_flg</v>
          </cell>
          <cell r="Q2" t="str">
            <v>heal_flg</v>
          </cell>
          <cell r="R2" t="str">
            <v>attack_count</v>
          </cell>
          <cell r="S2" t="str">
            <v>treasure_type</v>
          </cell>
          <cell r="T2" t="str">
            <v>treasure_value</v>
          </cell>
          <cell r="U2" t="str">
            <v>prev_quest_id</v>
          </cell>
          <cell r="V2" t="str">
            <v>prev_stage_id</v>
          </cell>
          <cell r="W2" t="str">
            <v>name</v>
          </cell>
          <cell r="X2" t="str">
            <v>attribute_red</v>
          </cell>
          <cell r="Y2" t="str">
            <v>attribute_blue</v>
          </cell>
          <cell r="Z2" t="str">
            <v>attribute_green</v>
          </cell>
          <cell r="AA2" t="str">
            <v>attribute_yellow</v>
          </cell>
          <cell r="AB2" t="str">
            <v>completable_time</v>
          </cell>
          <cell r="AC2" t="str">
            <v>background</v>
          </cell>
          <cell r="AD2" t="str">
            <v>crash_panel_materials</v>
          </cell>
          <cell r="AE2" t="str">
            <v>stage_target</v>
          </cell>
          <cell r="AF2" t="str">
            <v>bgm</v>
          </cell>
          <cell r="AG2" t="str">
            <v>bgm_boss</v>
          </cell>
          <cell r="AH2" t="str">
            <v>bgm_boss_last</v>
          </cell>
          <cell r="AI2" t="str">
            <v>continue_limit</v>
          </cell>
          <cell r="AJ2" t="str">
            <v>need_rank</v>
          </cell>
          <cell r="AK2" t="str">
            <v>chat_type</v>
          </cell>
          <cell r="AL2" t="str">
            <v>treasure_bug</v>
          </cell>
        </row>
        <row r="3">
          <cell r="A3" t="str">
            <v>0_1</v>
          </cell>
        </row>
        <row r="4">
          <cell r="A4" t="str">
            <v>0_2</v>
          </cell>
        </row>
        <row r="5">
          <cell r="A5" t="str">
            <v>1_1</v>
          </cell>
        </row>
        <row r="6">
          <cell r="A6" t="str">
            <v>1_2</v>
          </cell>
        </row>
        <row r="7">
          <cell r="A7" t="str">
            <v>1_3</v>
          </cell>
        </row>
        <row r="8">
          <cell r="A8" t="str">
            <v>1_4</v>
          </cell>
        </row>
        <row r="9">
          <cell r="A9" t="str">
            <v>2_1</v>
          </cell>
        </row>
        <row r="10">
          <cell r="A10" t="str">
            <v>2_2</v>
          </cell>
        </row>
        <row r="11">
          <cell r="A11" t="str">
            <v>2_3</v>
          </cell>
        </row>
        <row r="12">
          <cell r="A12" t="str">
            <v>2_4</v>
          </cell>
        </row>
        <row r="13">
          <cell r="A13" t="str">
            <v>3_1</v>
          </cell>
        </row>
        <row r="14">
          <cell r="A14" t="str">
            <v>3_2</v>
          </cell>
        </row>
        <row r="15">
          <cell r="A15" t="str">
            <v>3_3</v>
          </cell>
        </row>
        <row r="16">
          <cell r="A16" t="str">
            <v>3_4</v>
          </cell>
        </row>
        <row r="17">
          <cell r="A17" t="str">
            <v>4_1</v>
          </cell>
        </row>
        <row r="18">
          <cell r="A18" t="str">
            <v>4_2</v>
          </cell>
        </row>
        <row r="19">
          <cell r="A19" t="str">
            <v>4_3</v>
          </cell>
        </row>
        <row r="20">
          <cell r="A20" t="str">
            <v>4_4</v>
          </cell>
        </row>
        <row r="21">
          <cell r="A21" t="str">
            <v>5_1</v>
          </cell>
        </row>
        <row r="22">
          <cell r="A22" t="str">
            <v>5_2</v>
          </cell>
        </row>
        <row r="23">
          <cell r="A23" t="str">
            <v>5_3</v>
          </cell>
        </row>
        <row r="24">
          <cell r="A24" t="str">
            <v>5_4</v>
          </cell>
        </row>
        <row r="25">
          <cell r="A25" t="str">
            <v>6_1</v>
          </cell>
        </row>
        <row r="26">
          <cell r="A26" t="str">
            <v>6_2</v>
          </cell>
        </row>
        <row r="27">
          <cell r="A27" t="str">
            <v>6_3</v>
          </cell>
        </row>
        <row r="28">
          <cell r="A28" t="str">
            <v>6_4</v>
          </cell>
        </row>
        <row r="29">
          <cell r="A29" t="str">
            <v>6_5</v>
          </cell>
        </row>
        <row r="30">
          <cell r="A30" t="str">
            <v>6_6</v>
          </cell>
        </row>
        <row r="31">
          <cell r="A31" t="str">
            <v>7_1</v>
          </cell>
        </row>
        <row r="32">
          <cell r="A32" t="str">
            <v>7_2</v>
          </cell>
        </row>
        <row r="33">
          <cell r="A33" t="str">
            <v>7_3</v>
          </cell>
        </row>
        <row r="34">
          <cell r="A34" t="str">
            <v>7_4</v>
          </cell>
        </row>
        <row r="35">
          <cell r="A35" t="str">
            <v>7_5</v>
          </cell>
        </row>
        <row r="36">
          <cell r="A36" t="str">
            <v>7_6</v>
          </cell>
        </row>
        <row r="37">
          <cell r="A37" t="str">
            <v>8_1</v>
          </cell>
        </row>
        <row r="38">
          <cell r="A38" t="str">
            <v>8_2</v>
          </cell>
        </row>
        <row r="39">
          <cell r="A39" t="str">
            <v>8_3</v>
          </cell>
        </row>
        <row r="40">
          <cell r="A40" t="str">
            <v>8_4</v>
          </cell>
        </row>
        <row r="41">
          <cell r="A41" t="str">
            <v>8_5</v>
          </cell>
        </row>
        <row r="42">
          <cell r="A42" t="str">
            <v>8_6</v>
          </cell>
        </row>
        <row r="43">
          <cell r="A43" t="str">
            <v>9_1</v>
          </cell>
        </row>
        <row r="44">
          <cell r="A44" t="str">
            <v>9_2</v>
          </cell>
        </row>
        <row r="45">
          <cell r="A45" t="str">
            <v>9_3</v>
          </cell>
        </row>
        <row r="46">
          <cell r="A46" t="str">
            <v>9_4</v>
          </cell>
        </row>
        <row r="47">
          <cell r="A47" t="str">
            <v>9_5</v>
          </cell>
        </row>
        <row r="48">
          <cell r="A48" t="str">
            <v>9_6</v>
          </cell>
        </row>
        <row r="49">
          <cell r="A49" t="str">
            <v>10_1</v>
          </cell>
        </row>
        <row r="50">
          <cell r="A50" t="str">
            <v>10_2</v>
          </cell>
        </row>
        <row r="51">
          <cell r="A51" t="str">
            <v>10_3</v>
          </cell>
        </row>
        <row r="52">
          <cell r="A52" t="str">
            <v>10_4</v>
          </cell>
        </row>
        <row r="53">
          <cell r="A53" t="str">
            <v>10_5</v>
          </cell>
        </row>
        <row r="54">
          <cell r="A54" t="str">
            <v>10_6</v>
          </cell>
        </row>
        <row r="55">
          <cell r="A55" t="str">
            <v>11_1</v>
          </cell>
        </row>
        <row r="56">
          <cell r="A56" t="str">
            <v>11_2</v>
          </cell>
        </row>
        <row r="57">
          <cell r="A57" t="str">
            <v>11_3</v>
          </cell>
        </row>
        <row r="58">
          <cell r="A58" t="str">
            <v>11_4</v>
          </cell>
        </row>
        <row r="59">
          <cell r="A59" t="str">
            <v>11_5</v>
          </cell>
        </row>
        <row r="60">
          <cell r="A60" t="str">
            <v>11_6</v>
          </cell>
        </row>
        <row r="61">
          <cell r="A61" t="str">
            <v>12_1</v>
          </cell>
        </row>
        <row r="62">
          <cell r="A62" t="str">
            <v>12_2</v>
          </cell>
        </row>
        <row r="63">
          <cell r="A63" t="str">
            <v>12_3</v>
          </cell>
        </row>
        <row r="64">
          <cell r="A64" t="str">
            <v>12_4</v>
          </cell>
        </row>
        <row r="65">
          <cell r="A65" t="str">
            <v>12_5</v>
          </cell>
        </row>
        <row r="66">
          <cell r="A66" t="str">
            <v>12_6</v>
          </cell>
        </row>
        <row r="67">
          <cell r="A67" t="str">
            <v>13_1</v>
          </cell>
        </row>
        <row r="68">
          <cell r="A68" t="str">
            <v>13_2</v>
          </cell>
        </row>
        <row r="69">
          <cell r="A69" t="str">
            <v>13_3</v>
          </cell>
        </row>
        <row r="70">
          <cell r="A70" t="str">
            <v>13_4</v>
          </cell>
        </row>
        <row r="71">
          <cell r="A71" t="str">
            <v>13_5</v>
          </cell>
        </row>
        <row r="72">
          <cell r="A72" t="str">
            <v>13_6</v>
          </cell>
        </row>
        <row r="73">
          <cell r="A73" t="str">
            <v>14_1</v>
          </cell>
        </row>
        <row r="74">
          <cell r="A74" t="str">
            <v>14_2</v>
          </cell>
        </row>
        <row r="75">
          <cell r="A75" t="str">
            <v>14_3</v>
          </cell>
        </row>
        <row r="76">
          <cell r="A76" t="str">
            <v>14_4</v>
          </cell>
        </row>
        <row r="77">
          <cell r="A77" t="str">
            <v>14_5</v>
          </cell>
        </row>
        <row r="78">
          <cell r="A78" t="str">
            <v>14_6</v>
          </cell>
        </row>
        <row r="79">
          <cell r="A79" t="str">
            <v>15_1</v>
          </cell>
        </row>
        <row r="80">
          <cell r="A80" t="str">
            <v>15_2</v>
          </cell>
        </row>
        <row r="81">
          <cell r="A81" t="str">
            <v>15_3</v>
          </cell>
        </row>
        <row r="82">
          <cell r="A82" t="str">
            <v>15_4</v>
          </cell>
        </row>
        <row r="83">
          <cell r="A83" t="str">
            <v>15_5</v>
          </cell>
        </row>
        <row r="84">
          <cell r="A84" t="str">
            <v>15_6</v>
          </cell>
        </row>
        <row r="85">
          <cell r="A85" t="str">
            <v>16_1</v>
          </cell>
        </row>
        <row r="86">
          <cell r="A86" t="str">
            <v>16_2</v>
          </cell>
        </row>
        <row r="87">
          <cell r="A87" t="str">
            <v>16_3</v>
          </cell>
        </row>
        <row r="88">
          <cell r="A88" t="str">
            <v>16_4</v>
          </cell>
        </row>
        <row r="89">
          <cell r="A89" t="str">
            <v>16_5</v>
          </cell>
        </row>
        <row r="90">
          <cell r="A90" t="str">
            <v>16_6</v>
          </cell>
        </row>
        <row r="91">
          <cell r="A91" t="str">
            <v>17_1</v>
          </cell>
        </row>
        <row r="92">
          <cell r="A92" t="str">
            <v>17_2</v>
          </cell>
        </row>
        <row r="93">
          <cell r="A93" t="str">
            <v>17_3</v>
          </cell>
        </row>
        <row r="94">
          <cell r="A94" t="str">
            <v>17_4</v>
          </cell>
        </row>
        <row r="95">
          <cell r="A95" t="str">
            <v>17_5</v>
          </cell>
        </row>
        <row r="96">
          <cell r="A96" t="str">
            <v>17_6</v>
          </cell>
        </row>
        <row r="97">
          <cell r="A97" t="str">
            <v>18_1</v>
          </cell>
        </row>
        <row r="98">
          <cell r="A98" t="str">
            <v>18_2</v>
          </cell>
        </row>
        <row r="99">
          <cell r="A99" t="str">
            <v>18_3</v>
          </cell>
        </row>
        <row r="100">
          <cell r="A100" t="str">
            <v>18_4</v>
          </cell>
        </row>
        <row r="101">
          <cell r="A101" t="str">
            <v>18_5</v>
          </cell>
        </row>
        <row r="102">
          <cell r="A102" t="str">
            <v>18_6</v>
          </cell>
        </row>
        <row r="103">
          <cell r="A103" t="str">
            <v>19_1</v>
          </cell>
        </row>
        <row r="104">
          <cell r="A104" t="str">
            <v>19_2</v>
          </cell>
        </row>
        <row r="105">
          <cell r="A105" t="str">
            <v>19_3</v>
          </cell>
        </row>
        <row r="106">
          <cell r="A106" t="str">
            <v>19_4</v>
          </cell>
        </row>
        <row r="107">
          <cell r="A107" t="str">
            <v>19_5</v>
          </cell>
        </row>
        <row r="108">
          <cell r="A108" t="str">
            <v>19_6</v>
          </cell>
        </row>
        <row r="109">
          <cell r="A109" t="str">
            <v>20_1</v>
          </cell>
        </row>
        <row r="110">
          <cell r="A110" t="str">
            <v>20_2</v>
          </cell>
        </row>
        <row r="111">
          <cell r="A111" t="str">
            <v>20_3</v>
          </cell>
        </row>
        <row r="112">
          <cell r="A112" t="str">
            <v>20_4</v>
          </cell>
        </row>
        <row r="113">
          <cell r="A113" t="str">
            <v>20_5</v>
          </cell>
        </row>
        <row r="114">
          <cell r="A114" t="str">
            <v>20_6</v>
          </cell>
        </row>
        <row r="115">
          <cell r="A115" t="str">
            <v>21_1</v>
          </cell>
        </row>
        <row r="116">
          <cell r="A116" t="str">
            <v>21_2</v>
          </cell>
        </row>
        <row r="117">
          <cell r="A117" t="str">
            <v>21_3</v>
          </cell>
        </row>
        <row r="118">
          <cell r="A118" t="str">
            <v>21_4</v>
          </cell>
        </row>
        <row r="119">
          <cell r="A119" t="str">
            <v>21_5</v>
          </cell>
        </row>
        <row r="120">
          <cell r="A120" t="str">
            <v>21_6</v>
          </cell>
        </row>
        <row r="121">
          <cell r="A121" t="str">
            <v>22_1</v>
          </cell>
        </row>
        <row r="122">
          <cell r="A122" t="str">
            <v>22_2</v>
          </cell>
        </row>
        <row r="123">
          <cell r="A123" t="str">
            <v>22_3</v>
          </cell>
        </row>
        <row r="124">
          <cell r="A124" t="str">
            <v>22_4</v>
          </cell>
        </row>
        <row r="125">
          <cell r="A125" t="str">
            <v>22_5</v>
          </cell>
        </row>
        <row r="126">
          <cell r="A126" t="str">
            <v>22_6</v>
          </cell>
        </row>
        <row r="127">
          <cell r="A127" t="str">
            <v>23_1</v>
          </cell>
        </row>
        <row r="128">
          <cell r="A128" t="str">
            <v>23_2</v>
          </cell>
        </row>
        <row r="129">
          <cell r="A129" t="str">
            <v>23_3</v>
          </cell>
        </row>
        <row r="130">
          <cell r="A130" t="str">
            <v>23_4</v>
          </cell>
        </row>
        <row r="131">
          <cell r="A131" t="str">
            <v>23_5</v>
          </cell>
        </row>
        <row r="132">
          <cell r="A132" t="str">
            <v>23_6</v>
          </cell>
        </row>
        <row r="133">
          <cell r="A133" t="str">
            <v>24_1</v>
          </cell>
        </row>
        <row r="134">
          <cell r="A134" t="str">
            <v>24_2</v>
          </cell>
        </row>
        <row r="135">
          <cell r="A135" t="str">
            <v>24_3</v>
          </cell>
        </row>
        <row r="136">
          <cell r="A136" t="str">
            <v>24_4</v>
          </cell>
        </row>
        <row r="137">
          <cell r="A137" t="str">
            <v>24_5</v>
          </cell>
        </row>
        <row r="138">
          <cell r="A138" t="str">
            <v>24_6</v>
          </cell>
        </row>
        <row r="139">
          <cell r="A139" t="str">
            <v>25_1</v>
          </cell>
        </row>
        <row r="140">
          <cell r="A140" t="str">
            <v>25_2</v>
          </cell>
        </row>
        <row r="141">
          <cell r="A141" t="str">
            <v>25_3</v>
          </cell>
        </row>
        <row r="142">
          <cell r="A142" t="str">
            <v>25_4</v>
          </cell>
        </row>
        <row r="143">
          <cell r="A143" t="str">
            <v>25_5</v>
          </cell>
        </row>
        <row r="144">
          <cell r="A144" t="str">
            <v>25_6</v>
          </cell>
        </row>
        <row r="145">
          <cell r="A145" t="str">
            <v>26_1</v>
          </cell>
        </row>
        <row r="146">
          <cell r="A146" t="str">
            <v>26_2</v>
          </cell>
        </row>
        <row r="147">
          <cell r="A147" t="str">
            <v>26_3</v>
          </cell>
        </row>
        <row r="148">
          <cell r="A148" t="str">
            <v>26_4</v>
          </cell>
        </row>
        <row r="149">
          <cell r="A149" t="str">
            <v>26_5</v>
          </cell>
        </row>
        <row r="150">
          <cell r="A150" t="str">
            <v>26_6</v>
          </cell>
        </row>
        <row r="151">
          <cell r="A151" t="str">
            <v>27_1</v>
          </cell>
        </row>
        <row r="152">
          <cell r="A152" t="str">
            <v>27_2</v>
          </cell>
        </row>
        <row r="153">
          <cell r="A153" t="str">
            <v>27_3</v>
          </cell>
        </row>
        <row r="154">
          <cell r="A154" t="str">
            <v>27_4</v>
          </cell>
        </row>
        <row r="155">
          <cell r="A155" t="str">
            <v>27_5</v>
          </cell>
        </row>
        <row r="156">
          <cell r="A156" t="str">
            <v>27_6</v>
          </cell>
        </row>
        <row r="157">
          <cell r="A157" t="str">
            <v>28_1</v>
          </cell>
        </row>
        <row r="158">
          <cell r="A158" t="str">
            <v>28_2</v>
          </cell>
        </row>
        <row r="159">
          <cell r="A159" t="str">
            <v>28_3</v>
          </cell>
        </row>
        <row r="160">
          <cell r="A160" t="str">
            <v>28_4</v>
          </cell>
        </row>
        <row r="161">
          <cell r="A161" t="str">
            <v>28_5</v>
          </cell>
        </row>
        <row r="162">
          <cell r="A162" t="str">
            <v>28_6</v>
          </cell>
        </row>
        <row r="163">
          <cell r="A163" t="str">
            <v>29_1</v>
          </cell>
        </row>
        <row r="164">
          <cell r="A164" t="str">
            <v>29_2</v>
          </cell>
        </row>
        <row r="165">
          <cell r="A165" t="str">
            <v>29_3</v>
          </cell>
        </row>
        <row r="166">
          <cell r="A166" t="str">
            <v>29_4</v>
          </cell>
        </row>
        <row r="167">
          <cell r="A167" t="str">
            <v>29_5</v>
          </cell>
        </row>
        <row r="168">
          <cell r="A168" t="str">
            <v>29_6</v>
          </cell>
        </row>
        <row r="169">
          <cell r="A169" t="str">
            <v>30_1</v>
          </cell>
        </row>
        <row r="170">
          <cell r="A170" t="str">
            <v>30_2</v>
          </cell>
        </row>
        <row r="171">
          <cell r="A171" t="str">
            <v>30_3</v>
          </cell>
        </row>
        <row r="172">
          <cell r="A172" t="str">
            <v>30_4</v>
          </cell>
        </row>
        <row r="173">
          <cell r="A173" t="str">
            <v>30_5</v>
          </cell>
        </row>
        <row r="174">
          <cell r="A174" t="str">
            <v>30_6</v>
          </cell>
        </row>
        <row r="175">
          <cell r="A175" t="str">
            <v>31_1</v>
          </cell>
        </row>
        <row r="176">
          <cell r="A176" t="str">
            <v>31_2</v>
          </cell>
        </row>
        <row r="177">
          <cell r="A177" t="str">
            <v>31_3</v>
          </cell>
        </row>
        <row r="178">
          <cell r="A178" t="str">
            <v>31_4</v>
          </cell>
        </row>
        <row r="179">
          <cell r="A179" t="str">
            <v>31_5</v>
          </cell>
        </row>
        <row r="180">
          <cell r="A180" t="str">
            <v>31_6</v>
          </cell>
        </row>
        <row r="181">
          <cell r="A181" t="str">
            <v>10008_1</v>
          </cell>
        </row>
        <row r="182">
          <cell r="A182" t="str">
            <v>10010_1</v>
          </cell>
        </row>
        <row r="183">
          <cell r="A183" t="str">
            <v>10015_1</v>
          </cell>
        </row>
        <row r="184">
          <cell r="A184" t="str">
            <v>10020_1</v>
          </cell>
        </row>
        <row r="185">
          <cell r="A185" t="str">
            <v>10025_1</v>
          </cell>
        </row>
        <row r="186">
          <cell r="A186" t="str">
            <v>10030_1</v>
          </cell>
        </row>
        <row r="187">
          <cell r="A187" t="str">
            <v>10035_1</v>
          </cell>
        </row>
        <row r="188">
          <cell r="A188" t="str">
            <v>10040_1</v>
          </cell>
        </row>
        <row r="189">
          <cell r="A189" t="str">
            <v>10045_1</v>
          </cell>
        </row>
        <row r="190">
          <cell r="A190" t="str">
            <v>10050_1</v>
          </cell>
        </row>
        <row r="191">
          <cell r="A191" t="str">
            <v>10055_1</v>
          </cell>
        </row>
        <row r="192">
          <cell r="A192" t="str">
            <v>10060_1</v>
          </cell>
        </row>
        <row r="193">
          <cell r="A193" t="str">
            <v>10065_1</v>
          </cell>
        </row>
        <row r="194">
          <cell r="A194" t="str">
            <v>10090_1</v>
          </cell>
        </row>
        <row r="195">
          <cell r="A195" t="str">
            <v>10100_1</v>
          </cell>
        </row>
        <row r="196">
          <cell r="A196" t="str">
            <v>11001_1</v>
          </cell>
        </row>
        <row r="197">
          <cell r="A197" t="str">
            <v>11001_2</v>
          </cell>
        </row>
        <row r="198">
          <cell r="A198" t="str">
            <v>11001_3</v>
          </cell>
        </row>
        <row r="199">
          <cell r="A199" t="str">
            <v>11001_4</v>
          </cell>
        </row>
        <row r="200">
          <cell r="A200" t="str">
            <v>11001_10</v>
          </cell>
        </row>
        <row r="201">
          <cell r="A201" t="str">
            <v>11002_1</v>
          </cell>
        </row>
        <row r="202">
          <cell r="A202" t="str">
            <v>11002_2</v>
          </cell>
        </row>
        <row r="203">
          <cell r="A203" t="str">
            <v>11002_3</v>
          </cell>
        </row>
        <row r="204">
          <cell r="A204" t="str">
            <v>11002_4</v>
          </cell>
        </row>
        <row r="205">
          <cell r="A205" t="str">
            <v>11002_10</v>
          </cell>
        </row>
        <row r="206">
          <cell r="A206" t="str">
            <v>11003_1</v>
          </cell>
        </row>
        <row r="207">
          <cell r="A207" t="str">
            <v>11003_2</v>
          </cell>
        </row>
        <row r="208">
          <cell r="A208" t="str">
            <v>11003_3</v>
          </cell>
        </row>
        <row r="209">
          <cell r="A209" t="str">
            <v>11003_4</v>
          </cell>
        </row>
        <row r="210">
          <cell r="A210" t="str">
            <v>11003_10</v>
          </cell>
        </row>
        <row r="211">
          <cell r="A211" t="str">
            <v>11004_1</v>
          </cell>
        </row>
        <row r="212">
          <cell r="A212" t="str">
            <v>11004_2</v>
          </cell>
        </row>
        <row r="213">
          <cell r="A213" t="str">
            <v>11004_3</v>
          </cell>
        </row>
        <row r="214">
          <cell r="A214" t="str">
            <v>11004_4</v>
          </cell>
        </row>
        <row r="215">
          <cell r="A215" t="str">
            <v>11004_10</v>
          </cell>
        </row>
        <row r="216">
          <cell r="A216" t="str">
            <v>11005_1</v>
          </cell>
        </row>
        <row r="217">
          <cell r="A217" t="str">
            <v>11005_2</v>
          </cell>
        </row>
        <row r="218">
          <cell r="A218" t="str">
            <v>11005_3</v>
          </cell>
        </row>
        <row r="219">
          <cell r="A219" t="str">
            <v>11005_4</v>
          </cell>
        </row>
        <row r="220">
          <cell r="A220" t="str">
            <v>11006_1</v>
          </cell>
        </row>
        <row r="221">
          <cell r="A221" t="str">
            <v>11006_2</v>
          </cell>
        </row>
        <row r="222">
          <cell r="A222" t="str">
            <v>11006_3</v>
          </cell>
        </row>
        <row r="223">
          <cell r="A223" t="str">
            <v>11006_4</v>
          </cell>
        </row>
        <row r="224">
          <cell r="A224" t="str">
            <v>11007_1</v>
          </cell>
        </row>
        <row r="225">
          <cell r="A225" t="str">
            <v>11007_2</v>
          </cell>
        </row>
        <row r="226">
          <cell r="A226" t="str">
            <v>11007_3</v>
          </cell>
        </row>
        <row r="227">
          <cell r="A227" t="str">
            <v>11007_4</v>
          </cell>
        </row>
        <row r="228">
          <cell r="A228" t="str">
            <v>11007_5</v>
          </cell>
        </row>
        <row r="229">
          <cell r="A229" t="str">
            <v>11008_1</v>
          </cell>
        </row>
        <row r="230">
          <cell r="A230" t="str">
            <v>11008_2</v>
          </cell>
        </row>
        <row r="231">
          <cell r="A231" t="str">
            <v>11008_3</v>
          </cell>
        </row>
        <row r="232">
          <cell r="A232" t="str">
            <v>11008_4</v>
          </cell>
        </row>
        <row r="233">
          <cell r="A233" t="str">
            <v>11008_5</v>
          </cell>
        </row>
        <row r="234">
          <cell r="A234" t="str">
            <v>11016_1</v>
          </cell>
        </row>
        <row r="235">
          <cell r="A235" t="str">
            <v>11017_1</v>
          </cell>
        </row>
        <row r="236">
          <cell r="A236" t="str">
            <v>11018_1</v>
          </cell>
        </row>
        <row r="237">
          <cell r="A237" t="str">
            <v>11101_1</v>
          </cell>
        </row>
        <row r="238">
          <cell r="A238" t="str">
            <v>11101_2</v>
          </cell>
        </row>
        <row r="239">
          <cell r="A239" t="str">
            <v>11101_3</v>
          </cell>
        </row>
        <row r="240">
          <cell r="A240" t="str">
            <v>11101_4</v>
          </cell>
        </row>
        <row r="241">
          <cell r="A241" t="str">
            <v>11101_10</v>
          </cell>
        </row>
        <row r="242">
          <cell r="A242" t="str">
            <v>11102_1</v>
          </cell>
        </row>
        <row r="243">
          <cell r="A243" t="str">
            <v>11102_2</v>
          </cell>
        </row>
        <row r="244">
          <cell r="A244" t="str">
            <v>11102_3</v>
          </cell>
        </row>
        <row r="245">
          <cell r="A245" t="str">
            <v>11102_4</v>
          </cell>
        </row>
        <row r="246">
          <cell r="A246" t="str">
            <v>11102_10</v>
          </cell>
        </row>
        <row r="247">
          <cell r="A247" t="str">
            <v>11103_1</v>
          </cell>
        </row>
        <row r="248">
          <cell r="A248" t="str">
            <v>11103_2</v>
          </cell>
        </row>
        <row r="249">
          <cell r="A249" t="str">
            <v>11103_3</v>
          </cell>
        </row>
        <row r="250">
          <cell r="A250" t="str">
            <v>11103_4</v>
          </cell>
        </row>
        <row r="251">
          <cell r="A251" t="str">
            <v>11103_10</v>
          </cell>
        </row>
        <row r="252">
          <cell r="A252" t="str">
            <v>11104_1</v>
          </cell>
        </row>
        <row r="253">
          <cell r="A253" t="str">
            <v>11104_2</v>
          </cell>
        </row>
        <row r="254">
          <cell r="A254" t="str">
            <v>11104_3</v>
          </cell>
        </row>
        <row r="255">
          <cell r="A255" t="str">
            <v>11104_4</v>
          </cell>
        </row>
        <row r="256">
          <cell r="A256" t="str">
            <v>11104_10</v>
          </cell>
        </row>
        <row r="257">
          <cell r="A257" t="str">
            <v>11105_1</v>
          </cell>
        </row>
        <row r="258">
          <cell r="A258" t="str">
            <v>11105_2</v>
          </cell>
        </row>
        <row r="259">
          <cell r="A259" t="str">
            <v>11105_3</v>
          </cell>
        </row>
        <row r="260">
          <cell r="A260" t="str">
            <v>11105_4</v>
          </cell>
        </row>
        <row r="261">
          <cell r="A261" t="str">
            <v>11106_1</v>
          </cell>
        </row>
        <row r="262">
          <cell r="A262" t="str">
            <v>11106_2</v>
          </cell>
        </row>
        <row r="263">
          <cell r="A263" t="str">
            <v>11106_3</v>
          </cell>
        </row>
        <row r="264">
          <cell r="A264" t="str">
            <v>11206_1</v>
          </cell>
        </row>
        <row r="265">
          <cell r="A265" t="str">
            <v>11206_2</v>
          </cell>
        </row>
        <row r="266">
          <cell r="A266" t="str">
            <v>11206_3</v>
          </cell>
        </row>
        <row r="267">
          <cell r="A267" t="str">
            <v>11207_1</v>
          </cell>
        </row>
        <row r="268">
          <cell r="A268" t="str">
            <v>11207_2</v>
          </cell>
        </row>
        <row r="269">
          <cell r="A269" t="str">
            <v>11208_1</v>
          </cell>
        </row>
        <row r="270">
          <cell r="A270" t="str">
            <v>11208_2</v>
          </cell>
        </row>
        <row r="271">
          <cell r="A271" t="str">
            <v>11209_1</v>
          </cell>
        </row>
        <row r="272">
          <cell r="A272" t="str">
            <v>11209_2</v>
          </cell>
        </row>
        <row r="273">
          <cell r="A273" t="str">
            <v>11212_1</v>
          </cell>
        </row>
        <row r="274">
          <cell r="A274" t="str">
            <v>11213_1</v>
          </cell>
        </row>
        <row r="275">
          <cell r="A275" t="str">
            <v>11214_1</v>
          </cell>
        </row>
        <row r="276">
          <cell r="A276" t="str">
            <v>11214_2</v>
          </cell>
        </row>
        <row r="277">
          <cell r="A277" t="str">
            <v>11214_3</v>
          </cell>
        </row>
        <row r="278">
          <cell r="A278" t="str">
            <v>11215_1</v>
          </cell>
        </row>
        <row r="279">
          <cell r="A279" t="str">
            <v>11216_1</v>
          </cell>
        </row>
        <row r="280">
          <cell r="A280" t="str">
            <v>11217_1</v>
          </cell>
        </row>
        <row r="281">
          <cell r="A281" t="str">
            <v>11218_1</v>
          </cell>
        </row>
        <row r="282">
          <cell r="A282" t="str">
            <v>11219_1</v>
          </cell>
        </row>
        <row r="283">
          <cell r="A283" t="str">
            <v>11220_1</v>
          </cell>
        </row>
        <row r="284">
          <cell r="A284" t="str">
            <v>11221_1</v>
          </cell>
        </row>
        <row r="285">
          <cell r="A285" t="str">
            <v>11224_1</v>
          </cell>
        </row>
        <row r="286">
          <cell r="A286" t="str">
            <v>11225_1</v>
          </cell>
        </row>
        <row r="287">
          <cell r="A287" t="str">
            <v>11226_1</v>
          </cell>
        </row>
        <row r="288">
          <cell r="A288" t="str">
            <v>11226_2</v>
          </cell>
        </row>
        <row r="289">
          <cell r="A289" t="str">
            <v>11226_3</v>
          </cell>
        </row>
        <row r="290">
          <cell r="A290" t="str">
            <v>11226_4</v>
          </cell>
        </row>
        <row r="291">
          <cell r="A291" t="str">
            <v>11226_5</v>
          </cell>
        </row>
        <row r="292">
          <cell r="A292" t="str">
            <v>11226_6</v>
          </cell>
        </row>
        <row r="293">
          <cell r="A293" t="str">
            <v>11226_7</v>
          </cell>
        </row>
        <row r="294">
          <cell r="A294" t="str">
            <v>11226_8</v>
          </cell>
        </row>
        <row r="295">
          <cell r="A295" t="str">
            <v>11227_1</v>
          </cell>
        </row>
        <row r="296">
          <cell r="A296" t="str">
            <v>11227_2</v>
          </cell>
        </row>
        <row r="297">
          <cell r="A297" t="str">
            <v>11228_1</v>
          </cell>
        </row>
        <row r="298">
          <cell r="A298" t="str">
            <v>11229_1</v>
          </cell>
        </row>
        <row r="299">
          <cell r="A299" t="str">
            <v>11230_1</v>
          </cell>
        </row>
        <row r="300">
          <cell r="A300" t="str">
            <v>11230_2</v>
          </cell>
        </row>
        <row r="301">
          <cell r="A301" t="str">
            <v>12001_1</v>
          </cell>
        </row>
        <row r="302">
          <cell r="A302" t="str">
            <v>12001_2</v>
          </cell>
        </row>
        <row r="303">
          <cell r="A303" t="str">
            <v>12001_3</v>
          </cell>
        </row>
        <row r="304">
          <cell r="A304" t="str">
            <v>12002_1</v>
          </cell>
        </row>
        <row r="305">
          <cell r="A305" t="str">
            <v>12002_2</v>
          </cell>
        </row>
        <row r="306">
          <cell r="A306" t="str">
            <v>12003_1</v>
          </cell>
        </row>
        <row r="307">
          <cell r="A307" t="str">
            <v>12003_2</v>
          </cell>
        </row>
        <row r="308">
          <cell r="A308" t="str">
            <v>12003_3</v>
          </cell>
        </row>
        <row r="309">
          <cell r="A309" t="str">
            <v>12003_4</v>
          </cell>
        </row>
        <row r="310">
          <cell r="A310" t="str">
            <v>12004_1</v>
          </cell>
        </row>
        <row r="311">
          <cell r="A311" t="str">
            <v>13001_1</v>
          </cell>
        </row>
        <row r="312">
          <cell r="A312" t="str">
            <v>13001_2</v>
          </cell>
        </row>
        <row r="313">
          <cell r="A313" t="str">
            <v>13001_3</v>
          </cell>
        </row>
        <row r="314">
          <cell r="A314" t="str">
            <v>13001_4</v>
          </cell>
        </row>
        <row r="315">
          <cell r="A315" t="str">
            <v>13001_5</v>
          </cell>
        </row>
        <row r="316">
          <cell r="A316" t="str">
            <v>13001_6</v>
          </cell>
        </row>
        <row r="317">
          <cell r="A317" t="str">
            <v>13001_7</v>
          </cell>
        </row>
        <row r="318">
          <cell r="A318" t="str">
            <v>13001_8</v>
          </cell>
        </row>
        <row r="319">
          <cell r="A319" t="str">
            <v>13001_9</v>
          </cell>
        </row>
        <row r="320">
          <cell r="A320" t="str">
            <v>13001_10</v>
          </cell>
        </row>
        <row r="321">
          <cell r="A321" t="str">
            <v>13001_11</v>
          </cell>
        </row>
        <row r="322">
          <cell r="A322" t="str">
            <v>13001_12</v>
          </cell>
        </row>
        <row r="323">
          <cell r="A323" t="str">
            <v>13001_13</v>
          </cell>
        </row>
        <row r="324">
          <cell r="A324" t="str">
            <v>13001_14</v>
          </cell>
        </row>
        <row r="325">
          <cell r="A325" t="str">
            <v>13001_15</v>
          </cell>
        </row>
        <row r="326">
          <cell r="A326" t="str">
            <v>13001_16</v>
          </cell>
        </row>
        <row r="327">
          <cell r="A327" t="str">
            <v>13001_17</v>
          </cell>
        </row>
        <row r="328">
          <cell r="A328" t="str">
            <v>13001_18</v>
          </cell>
        </row>
        <row r="329">
          <cell r="A329" t="str">
            <v>13001_19</v>
          </cell>
        </row>
        <row r="330">
          <cell r="A330" t="str">
            <v>13001_20</v>
          </cell>
        </row>
        <row r="331">
          <cell r="A331" t="str">
            <v>13001_21</v>
          </cell>
        </row>
        <row r="332">
          <cell r="A332" t="str">
            <v>13001_22</v>
          </cell>
        </row>
        <row r="333">
          <cell r="A333" t="str">
            <v>13001_23</v>
          </cell>
        </row>
        <row r="334">
          <cell r="A334" t="str">
            <v>13001_24</v>
          </cell>
        </row>
        <row r="335">
          <cell r="A335" t="str">
            <v>13001_25</v>
          </cell>
        </row>
        <row r="336">
          <cell r="A336" t="str">
            <v>13101_1</v>
          </cell>
        </row>
        <row r="337">
          <cell r="A337" t="str">
            <v>13101_2</v>
          </cell>
        </row>
        <row r="338">
          <cell r="A338" t="str">
            <v>13101_3</v>
          </cell>
        </row>
        <row r="339">
          <cell r="A339" t="str">
            <v>13101_4</v>
          </cell>
        </row>
        <row r="340">
          <cell r="A340" t="str">
            <v>13101_5</v>
          </cell>
        </row>
        <row r="341">
          <cell r="A341" t="str">
            <v>13101_6</v>
          </cell>
        </row>
        <row r="342">
          <cell r="A342" t="str">
            <v>13101_7</v>
          </cell>
        </row>
        <row r="343">
          <cell r="A343" t="str">
            <v>13101_8</v>
          </cell>
        </row>
        <row r="344">
          <cell r="A344" t="str">
            <v>13101_9</v>
          </cell>
        </row>
        <row r="345">
          <cell r="A345" t="str">
            <v>13101_10</v>
          </cell>
        </row>
        <row r="346">
          <cell r="A346" t="str">
            <v>13101_11</v>
          </cell>
        </row>
        <row r="347">
          <cell r="A347" t="str">
            <v>13101_12</v>
          </cell>
        </row>
        <row r="348">
          <cell r="A348" t="str">
            <v>13101_13</v>
          </cell>
        </row>
        <row r="349">
          <cell r="A349" t="str">
            <v>13101_14</v>
          </cell>
        </row>
        <row r="350">
          <cell r="A350" t="str">
            <v>13101_15</v>
          </cell>
        </row>
        <row r="351">
          <cell r="A351" t="str">
            <v>13101_16</v>
          </cell>
        </row>
        <row r="352">
          <cell r="A352" t="str">
            <v>13101_17</v>
          </cell>
        </row>
        <row r="353">
          <cell r="A353" t="str">
            <v>13101_18</v>
          </cell>
        </row>
        <row r="354">
          <cell r="A354" t="str">
            <v>13101_19</v>
          </cell>
        </row>
        <row r="355">
          <cell r="A355" t="str">
            <v>13101_20</v>
          </cell>
        </row>
        <row r="356">
          <cell r="A356" t="str">
            <v>13101_21</v>
          </cell>
        </row>
        <row r="357">
          <cell r="A357" t="str">
            <v>13101_22</v>
          </cell>
        </row>
        <row r="358">
          <cell r="A358" t="str">
            <v>13101_23</v>
          </cell>
        </row>
        <row r="359">
          <cell r="A359" t="str">
            <v>13101_24</v>
          </cell>
        </row>
        <row r="360">
          <cell r="A360" t="str">
            <v>13101_25</v>
          </cell>
        </row>
        <row r="361">
          <cell r="A361" t="str">
            <v>13300_1</v>
          </cell>
        </row>
        <row r="362">
          <cell r="A362" t="str">
            <v>13300_2</v>
          </cell>
        </row>
        <row r="363">
          <cell r="A363" t="str">
            <v>13300_3</v>
          </cell>
        </row>
        <row r="364">
          <cell r="A364" t="str">
            <v>13300_4</v>
          </cell>
        </row>
        <row r="365">
          <cell r="A365" t="str">
            <v>13300_5</v>
          </cell>
        </row>
        <row r="366">
          <cell r="A366" t="str">
            <v>13300_6</v>
          </cell>
        </row>
        <row r="367">
          <cell r="A367" t="str">
            <v>13300_7</v>
          </cell>
        </row>
        <row r="368">
          <cell r="A368" t="str">
            <v>13300_8</v>
          </cell>
        </row>
        <row r="369">
          <cell r="A369" t="str">
            <v>13300_9</v>
          </cell>
        </row>
        <row r="370">
          <cell r="A370" t="str">
            <v>13300_10</v>
          </cell>
        </row>
        <row r="371">
          <cell r="A371" t="str">
            <v>13300_11</v>
          </cell>
        </row>
        <row r="372">
          <cell r="A372" t="str">
            <v>13300_12</v>
          </cell>
        </row>
        <row r="373">
          <cell r="A373" t="str">
            <v>13300_13</v>
          </cell>
        </row>
        <row r="374">
          <cell r="A374" t="str">
            <v>13300_14</v>
          </cell>
        </row>
        <row r="375">
          <cell r="A375" t="str">
            <v>13300_15</v>
          </cell>
        </row>
        <row r="376">
          <cell r="A376" t="str">
            <v>13301_1</v>
          </cell>
        </row>
        <row r="377">
          <cell r="A377" t="str">
            <v>13301_2</v>
          </cell>
        </row>
        <row r="378">
          <cell r="A378" t="str">
            <v>13301_3</v>
          </cell>
        </row>
        <row r="379">
          <cell r="A379" t="str">
            <v>13301_4</v>
          </cell>
        </row>
        <row r="380">
          <cell r="A380" t="str">
            <v>13301_5</v>
          </cell>
        </row>
        <row r="381">
          <cell r="A381" t="str">
            <v>13301_6</v>
          </cell>
        </row>
        <row r="382">
          <cell r="A382" t="str">
            <v>13301_7</v>
          </cell>
        </row>
        <row r="383">
          <cell r="A383" t="str">
            <v>13301_8</v>
          </cell>
        </row>
        <row r="384">
          <cell r="A384" t="str">
            <v>13301_9</v>
          </cell>
        </row>
        <row r="385">
          <cell r="A385" t="str">
            <v>13301_10</v>
          </cell>
        </row>
        <row r="386">
          <cell r="A386" t="str">
            <v>13301_11</v>
          </cell>
        </row>
        <row r="387">
          <cell r="A387" t="str">
            <v>13301_12</v>
          </cell>
        </row>
        <row r="388">
          <cell r="A388" t="str">
            <v>13301_13</v>
          </cell>
        </row>
        <row r="389">
          <cell r="A389" t="str">
            <v>13301_14</v>
          </cell>
        </row>
        <row r="390">
          <cell r="A390" t="str">
            <v>13301_15</v>
          </cell>
        </row>
        <row r="391">
          <cell r="A391" t="str">
            <v>13302_1</v>
          </cell>
        </row>
        <row r="392">
          <cell r="A392" t="str">
            <v>13302_2</v>
          </cell>
        </row>
        <row r="393">
          <cell r="A393" t="str">
            <v>13302_3</v>
          </cell>
        </row>
        <row r="394">
          <cell r="A394" t="str">
            <v>13302_4</v>
          </cell>
        </row>
        <row r="395">
          <cell r="A395" t="str">
            <v>13302_5</v>
          </cell>
        </row>
        <row r="396">
          <cell r="A396" t="str">
            <v>13302_6</v>
          </cell>
        </row>
        <row r="397">
          <cell r="A397" t="str">
            <v>13302_7</v>
          </cell>
        </row>
        <row r="398">
          <cell r="A398" t="str">
            <v>13302_8</v>
          </cell>
        </row>
        <row r="399">
          <cell r="A399" t="str">
            <v>13302_9</v>
          </cell>
        </row>
        <row r="400">
          <cell r="A400" t="str">
            <v>13302_10</v>
          </cell>
        </row>
        <row r="401">
          <cell r="A401" t="str">
            <v>13302_11</v>
          </cell>
        </row>
        <row r="402">
          <cell r="A402" t="str">
            <v>13302_12</v>
          </cell>
        </row>
        <row r="403">
          <cell r="A403" t="str">
            <v>13302_13</v>
          </cell>
        </row>
        <row r="404">
          <cell r="A404" t="str">
            <v>13302_14</v>
          </cell>
        </row>
        <row r="405">
          <cell r="A405" t="str">
            <v>13302_15</v>
          </cell>
        </row>
        <row r="406">
          <cell r="A406" t="str">
            <v>13400_1</v>
          </cell>
        </row>
        <row r="407">
          <cell r="A407" t="str">
            <v>13400_2</v>
          </cell>
        </row>
        <row r="408">
          <cell r="A408" t="str">
            <v>13400_3</v>
          </cell>
        </row>
        <row r="409">
          <cell r="A409" t="str">
            <v>13400_4</v>
          </cell>
        </row>
        <row r="410">
          <cell r="A410" t="str">
            <v>13400_5</v>
          </cell>
        </row>
        <row r="411">
          <cell r="A411" t="str">
            <v>13400_6</v>
          </cell>
        </row>
        <row r="412">
          <cell r="A412" t="str">
            <v>13400_7</v>
          </cell>
        </row>
        <row r="413">
          <cell r="A413" t="str">
            <v>13400_8</v>
          </cell>
        </row>
        <row r="414">
          <cell r="A414" t="str">
            <v>13400_9</v>
          </cell>
        </row>
        <row r="415">
          <cell r="A415" t="str">
            <v>13400_10</v>
          </cell>
        </row>
        <row r="416">
          <cell r="A416" t="str">
            <v>13400_11</v>
          </cell>
        </row>
        <row r="417">
          <cell r="A417" t="str">
            <v>13400_12</v>
          </cell>
        </row>
        <row r="418">
          <cell r="A418" t="str">
            <v>13400_13</v>
          </cell>
        </row>
        <row r="419">
          <cell r="A419" t="str">
            <v>13400_14</v>
          </cell>
        </row>
        <row r="420">
          <cell r="A420" t="str">
            <v>13400_15</v>
          </cell>
        </row>
        <row r="421">
          <cell r="A421" t="str">
            <v>14001_1</v>
          </cell>
        </row>
        <row r="422">
          <cell r="A422" t="str">
            <v>14001_2</v>
          </cell>
        </row>
        <row r="423">
          <cell r="A423" t="str">
            <v>14001_3</v>
          </cell>
        </row>
        <row r="424">
          <cell r="A424" t="str">
            <v>14001_4</v>
          </cell>
        </row>
        <row r="425">
          <cell r="A425" t="str">
            <v>14001_5</v>
          </cell>
        </row>
        <row r="426">
          <cell r="A426" t="str">
            <v>14001_6</v>
          </cell>
        </row>
        <row r="427">
          <cell r="A427" t="str">
            <v>14001_7</v>
          </cell>
        </row>
        <row r="428">
          <cell r="A428" t="str">
            <v>14001_8</v>
          </cell>
        </row>
        <row r="429">
          <cell r="A429" t="str">
            <v>14002_1</v>
          </cell>
        </row>
        <row r="430">
          <cell r="A430" t="str">
            <v>14002_2</v>
          </cell>
        </row>
        <row r="431">
          <cell r="A431" t="str">
            <v>14003_1</v>
          </cell>
        </row>
        <row r="432">
          <cell r="A432" t="str">
            <v>14003_2</v>
          </cell>
        </row>
        <row r="433">
          <cell r="A433" t="str">
            <v>14003_3</v>
          </cell>
        </row>
        <row r="434">
          <cell r="A434" t="str">
            <v>14003_4</v>
          </cell>
        </row>
        <row r="435">
          <cell r="A435" t="str">
            <v>14004_1</v>
          </cell>
        </row>
        <row r="436">
          <cell r="A436" t="str">
            <v>14004_2</v>
          </cell>
        </row>
        <row r="437">
          <cell r="A437" t="str">
            <v>14004_3</v>
          </cell>
        </row>
        <row r="438">
          <cell r="A438" t="str">
            <v>14004_4</v>
          </cell>
        </row>
        <row r="439">
          <cell r="A439" t="str">
            <v>14005_1</v>
          </cell>
        </row>
        <row r="440">
          <cell r="A440" t="str">
            <v>14006_1</v>
          </cell>
        </row>
        <row r="441">
          <cell r="A441" t="str">
            <v>15027_1</v>
          </cell>
        </row>
        <row r="442">
          <cell r="A442" t="str">
            <v>15027_2</v>
          </cell>
        </row>
        <row r="443">
          <cell r="A443" t="str">
            <v>15027_3</v>
          </cell>
        </row>
        <row r="444">
          <cell r="A444" t="str">
            <v>15027_4</v>
          </cell>
        </row>
        <row r="445">
          <cell r="A445" t="str">
            <v>15028_1</v>
          </cell>
        </row>
        <row r="446">
          <cell r="A446" t="str">
            <v>15028_2</v>
          </cell>
        </row>
        <row r="447">
          <cell r="A447" t="str">
            <v>15028_3</v>
          </cell>
        </row>
        <row r="448">
          <cell r="A448" t="str">
            <v>15028_4</v>
          </cell>
        </row>
        <row r="449">
          <cell r="A449" t="str">
            <v>15029_1</v>
          </cell>
        </row>
        <row r="450">
          <cell r="A450" t="str">
            <v>15029_2</v>
          </cell>
        </row>
        <row r="451">
          <cell r="A451" t="str">
            <v>15029_3</v>
          </cell>
        </row>
        <row r="452">
          <cell r="A452" t="str">
            <v>15029_4</v>
          </cell>
        </row>
        <row r="453">
          <cell r="A453" t="str">
            <v>15030_1</v>
          </cell>
        </row>
        <row r="454">
          <cell r="A454" t="str">
            <v>15030_2</v>
          </cell>
        </row>
        <row r="455">
          <cell r="A455" t="str">
            <v>15030_3</v>
          </cell>
        </row>
        <row r="456">
          <cell r="A456" t="str">
            <v>15030_4</v>
          </cell>
        </row>
        <row r="457">
          <cell r="A457" t="str">
            <v>15031_1</v>
          </cell>
        </row>
        <row r="458">
          <cell r="A458" t="str">
            <v>15031_2</v>
          </cell>
        </row>
        <row r="459">
          <cell r="A459" t="str">
            <v>15031_3</v>
          </cell>
        </row>
        <row r="460">
          <cell r="A460" t="str">
            <v>15031_4</v>
          </cell>
        </row>
        <row r="461">
          <cell r="A461" t="str">
            <v>20001_1</v>
          </cell>
        </row>
        <row r="462">
          <cell r="A462" t="str">
            <v>20001_2</v>
          </cell>
        </row>
        <row r="463">
          <cell r="A463" t="str">
            <v>20001_3</v>
          </cell>
        </row>
        <row r="464">
          <cell r="A464" t="str">
            <v>20002_1</v>
          </cell>
        </row>
        <row r="465">
          <cell r="A465" t="str">
            <v>20002_2</v>
          </cell>
        </row>
        <row r="466">
          <cell r="A466" t="str">
            <v>20002_3</v>
          </cell>
        </row>
        <row r="467">
          <cell r="A467" t="str">
            <v>20003_1</v>
          </cell>
        </row>
        <row r="468">
          <cell r="A468" t="str">
            <v>20003_2</v>
          </cell>
        </row>
        <row r="469">
          <cell r="A469" t="str">
            <v>20003_3</v>
          </cell>
        </row>
        <row r="470">
          <cell r="A470" t="str">
            <v>20004_1</v>
          </cell>
        </row>
        <row r="471">
          <cell r="A471" t="str">
            <v>20004_2</v>
          </cell>
        </row>
        <row r="472">
          <cell r="A472" t="str">
            <v>20004_3</v>
          </cell>
        </row>
        <row r="473">
          <cell r="A473" t="str">
            <v>20005_1</v>
          </cell>
        </row>
        <row r="474">
          <cell r="A474" t="str">
            <v>20005_2</v>
          </cell>
        </row>
        <row r="475">
          <cell r="A475" t="str">
            <v>20005_3</v>
          </cell>
        </row>
        <row r="476">
          <cell r="A476" t="str">
            <v>20006_1</v>
          </cell>
        </row>
        <row r="477">
          <cell r="A477" t="str">
            <v>20006_2</v>
          </cell>
        </row>
        <row r="478">
          <cell r="A478" t="str">
            <v>20006_3</v>
          </cell>
        </row>
        <row r="479">
          <cell r="A479" t="str">
            <v>20007_1</v>
          </cell>
        </row>
        <row r="480">
          <cell r="A480" t="str">
            <v>20007_2</v>
          </cell>
        </row>
        <row r="481">
          <cell r="A481" t="str">
            <v>20007_3</v>
          </cell>
        </row>
        <row r="482">
          <cell r="A482" t="str">
            <v>20008_1</v>
          </cell>
        </row>
        <row r="483">
          <cell r="A483" t="str">
            <v>20008_2</v>
          </cell>
        </row>
        <row r="484">
          <cell r="A484" t="str">
            <v>20008_3</v>
          </cell>
        </row>
        <row r="485">
          <cell r="A485" t="str">
            <v>20009_1</v>
          </cell>
        </row>
        <row r="486">
          <cell r="A486" t="str">
            <v>20009_2</v>
          </cell>
        </row>
        <row r="487">
          <cell r="A487" t="str">
            <v>20009_3</v>
          </cell>
        </row>
        <row r="488">
          <cell r="A488" t="str">
            <v>20010_1</v>
          </cell>
        </row>
        <row r="489">
          <cell r="A489" t="str">
            <v>20010_2</v>
          </cell>
        </row>
        <row r="490">
          <cell r="A490" t="str">
            <v>20010_3</v>
          </cell>
        </row>
        <row r="491">
          <cell r="A491" t="str">
            <v>20011_1</v>
          </cell>
        </row>
        <row r="492">
          <cell r="A492" t="str">
            <v>20011_2</v>
          </cell>
        </row>
        <row r="493">
          <cell r="A493" t="str">
            <v>20011_3</v>
          </cell>
        </row>
        <row r="494">
          <cell r="A494" t="str">
            <v>20012_1</v>
          </cell>
        </row>
        <row r="495">
          <cell r="A495" t="str">
            <v>20012_2</v>
          </cell>
        </row>
        <row r="496">
          <cell r="A496" t="str">
            <v>20012_3</v>
          </cell>
        </row>
        <row r="497">
          <cell r="A497" t="str">
            <v>20013_1</v>
          </cell>
        </row>
        <row r="498">
          <cell r="A498" t="str">
            <v>20013_2</v>
          </cell>
        </row>
        <row r="499">
          <cell r="A499" t="str">
            <v>20013_3</v>
          </cell>
        </row>
        <row r="500">
          <cell r="A500" t="str">
            <v>20014_1</v>
          </cell>
        </row>
        <row r="501">
          <cell r="A501" t="str">
            <v>20014_2</v>
          </cell>
        </row>
        <row r="502">
          <cell r="A502" t="str">
            <v>20014_3</v>
          </cell>
        </row>
        <row r="503">
          <cell r="A503" t="str">
            <v>20015_1</v>
          </cell>
        </row>
        <row r="504">
          <cell r="A504" t="str">
            <v>20015_2</v>
          </cell>
        </row>
        <row r="505">
          <cell r="A505" t="str">
            <v>20015_3</v>
          </cell>
        </row>
        <row r="506">
          <cell r="A506" t="str">
            <v>20016_1</v>
          </cell>
        </row>
        <row r="507">
          <cell r="A507" t="str">
            <v>20016_2</v>
          </cell>
        </row>
        <row r="508">
          <cell r="A508" t="str">
            <v>20016_3</v>
          </cell>
        </row>
        <row r="509">
          <cell r="A509" t="str">
            <v>20017_1</v>
          </cell>
        </row>
        <row r="510">
          <cell r="A510" t="str">
            <v>20017_2</v>
          </cell>
        </row>
        <row r="511">
          <cell r="A511" t="str">
            <v>20017_3</v>
          </cell>
        </row>
        <row r="512">
          <cell r="A512" t="str">
            <v>20018_1</v>
          </cell>
        </row>
        <row r="513">
          <cell r="A513" t="str">
            <v>20018_2</v>
          </cell>
        </row>
        <row r="514">
          <cell r="A514" t="str">
            <v>20018_3</v>
          </cell>
        </row>
        <row r="515">
          <cell r="A515" t="str">
            <v>20019_1</v>
          </cell>
        </row>
        <row r="516">
          <cell r="A516" t="str">
            <v>20019_2</v>
          </cell>
        </row>
        <row r="517">
          <cell r="A517" t="str">
            <v>20019_3</v>
          </cell>
        </row>
        <row r="518">
          <cell r="A518" t="str">
            <v>20020_1</v>
          </cell>
        </row>
        <row r="519">
          <cell r="A519" t="str">
            <v>20020_2</v>
          </cell>
        </row>
        <row r="520">
          <cell r="A520" t="str">
            <v>20020_3</v>
          </cell>
        </row>
        <row r="521">
          <cell r="A521" t="str">
            <v>20021_1</v>
          </cell>
        </row>
        <row r="522">
          <cell r="A522" t="str">
            <v>20021_2</v>
          </cell>
        </row>
        <row r="523">
          <cell r="A523" t="str">
            <v>20021_3</v>
          </cell>
        </row>
        <row r="524">
          <cell r="A524" t="str">
            <v>20022_1</v>
          </cell>
        </row>
        <row r="525">
          <cell r="A525" t="str">
            <v>30001_1</v>
          </cell>
        </row>
        <row r="526">
          <cell r="A526" t="str">
            <v>30001_2</v>
          </cell>
        </row>
        <row r="527">
          <cell r="A527" t="str">
            <v>30001_3</v>
          </cell>
        </row>
        <row r="528">
          <cell r="A528" t="str">
            <v>30002_1</v>
          </cell>
        </row>
        <row r="529">
          <cell r="A529" t="str">
            <v>30002_2</v>
          </cell>
        </row>
        <row r="530">
          <cell r="A530" t="str">
            <v>30002_3</v>
          </cell>
        </row>
        <row r="531">
          <cell r="A531" t="str">
            <v>30003_1</v>
          </cell>
        </row>
        <row r="532">
          <cell r="A532" t="str">
            <v>30003_2</v>
          </cell>
        </row>
        <row r="533">
          <cell r="A533" t="str">
            <v>30003_3</v>
          </cell>
        </row>
        <row r="534">
          <cell r="A534" t="str">
            <v>30004_1</v>
          </cell>
        </row>
        <row r="535">
          <cell r="A535" t="str">
            <v>30004_2</v>
          </cell>
        </row>
        <row r="536">
          <cell r="A536" t="str">
            <v>30004_3</v>
          </cell>
        </row>
        <row r="537">
          <cell r="A537" t="str">
            <v>30005_1</v>
          </cell>
        </row>
        <row r="538">
          <cell r="A538" t="str">
            <v>30005_2</v>
          </cell>
        </row>
        <row r="539">
          <cell r="A539" t="str">
            <v>30005_3</v>
          </cell>
        </row>
        <row r="540">
          <cell r="A540" t="str">
            <v>30006_1</v>
          </cell>
        </row>
        <row r="541">
          <cell r="A541" t="str">
            <v>30006_2</v>
          </cell>
        </row>
        <row r="542">
          <cell r="A542" t="str">
            <v>30006_3</v>
          </cell>
        </row>
        <row r="543">
          <cell r="A543" t="str">
            <v>30007_1</v>
          </cell>
        </row>
        <row r="544">
          <cell r="A544" t="str">
            <v>30007_2</v>
          </cell>
        </row>
        <row r="545">
          <cell r="A545" t="str">
            <v>30007_3</v>
          </cell>
        </row>
        <row r="546">
          <cell r="A546" t="str">
            <v>30008_1</v>
          </cell>
        </row>
        <row r="547">
          <cell r="A547" t="str">
            <v>30008_2</v>
          </cell>
        </row>
        <row r="548">
          <cell r="A548" t="str">
            <v>30008_3</v>
          </cell>
        </row>
        <row r="549">
          <cell r="A549" t="str">
            <v>30009_3</v>
          </cell>
        </row>
        <row r="550">
          <cell r="A550" t="str">
            <v>30009_1</v>
          </cell>
        </row>
        <row r="551">
          <cell r="A551" t="str">
            <v>30009_2</v>
          </cell>
        </row>
        <row r="552">
          <cell r="A552" t="str">
            <v>30010_1</v>
          </cell>
        </row>
        <row r="553">
          <cell r="A553" t="str">
            <v>30010_2</v>
          </cell>
        </row>
        <row r="554">
          <cell r="A554" t="str">
            <v>30010_3</v>
          </cell>
        </row>
        <row r="555">
          <cell r="A555" t="str">
            <v>30011_1</v>
          </cell>
        </row>
        <row r="556">
          <cell r="A556" t="str">
            <v>30011_2</v>
          </cell>
        </row>
        <row r="557">
          <cell r="A557" t="str">
            <v>30011_3</v>
          </cell>
        </row>
        <row r="558">
          <cell r="A558" t="str">
            <v>30012_1</v>
          </cell>
        </row>
        <row r="559">
          <cell r="A559" t="str">
            <v>30012_2</v>
          </cell>
        </row>
        <row r="560">
          <cell r="A560" t="str">
            <v>30012_3</v>
          </cell>
        </row>
        <row r="561">
          <cell r="A561" t="str">
            <v>30013_1</v>
          </cell>
        </row>
        <row r="562">
          <cell r="A562" t="str">
            <v>30013_2</v>
          </cell>
        </row>
        <row r="563">
          <cell r="A563" t="str">
            <v>30014_1</v>
          </cell>
        </row>
        <row r="564">
          <cell r="A564" t="str">
            <v>30014_2</v>
          </cell>
        </row>
        <row r="565">
          <cell r="A565" t="str">
            <v>30015_1</v>
          </cell>
        </row>
        <row r="566">
          <cell r="A566" t="str">
            <v>30015_2</v>
          </cell>
        </row>
        <row r="567">
          <cell r="A567" t="str">
            <v>30016_1</v>
          </cell>
        </row>
        <row r="568">
          <cell r="A568" t="str">
            <v>30016_2</v>
          </cell>
        </row>
        <row r="569">
          <cell r="A569" t="str">
            <v>30017_1</v>
          </cell>
        </row>
        <row r="570">
          <cell r="A570" t="str">
            <v>30017_2</v>
          </cell>
        </row>
        <row r="571">
          <cell r="A571" t="str">
            <v>30018_1</v>
          </cell>
        </row>
        <row r="572">
          <cell r="A572" t="str">
            <v>30018_2</v>
          </cell>
        </row>
        <row r="573">
          <cell r="A573" t="str">
            <v>30019_1</v>
          </cell>
        </row>
        <row r="574">
          <cell r="A574" t="str">
            <v>30019_2</v>
          </cell>
        </row>
        <row r="575">
          <cell r="A575" t="str">
            <v>30020_1</v>
          </cell>
        </row>
        <row r="576">
          <cell r="A576" t="str">
            <v>30020_2</v>
          </cell>
        </row>
        <row r="577">
          <cell r="A577" t="str">
            <v>30021_1</v>
          </cell>
        </row>
        <row r="578">
          <cell r="A578" t="str">
            <v>30021_2</v>
          </cell>
        </row>
        <row r="579">
          <cell r="A579" t="str">
            <v>30021_3</v>
          </cell>
        </row>
        <row r="580">
          <cell r="A580" t="str">
            <v>30022_1</v>
          </cell>
        </row>
        <row r="581">
          <cell r="A581" t="str">
            <v>30022_2</v>
          </cell>
        </row>
        <row r="582">
          <cell r="A582" t="str">
            <v>30023_1</v>
          </cell>
        </row>
        <row r="583">
          <cell r="A583" t="str">
            <v>30023_2</v>
          </cell>
        </row>
        <row r="584">
          <cell r="A584" t="str">
            <v>30023_3</v>
          </cell>
        </row>
        <row r="585">
          <cell r="A585" t="str">
            <v>30024_1</v>
          </cell>
        </row>
        <row r="586">
          <cell r="A586" t="str">
            <v>30024_2</v>
          </cell>
        </row>
        <row r="587">
          <cell r="A587" t="str">
            <v>30024_3</v>
          </cell>
        </row>
        <row r="588">
          <cell r="A588" t="str">
            <v>30025_1</v>
          </cell>
        </row>
        <row r="589">
          <cell r="A589" t="str">
            <v>30025_2</v>
          </cell>
        </row>
        <row r="590">
          <cell r="A590" t="str">
            <v>30025_3</v>
          </cell>
        </row>
        <row r="591">
          <cell r="A591" t="str">
            <v>30026_1</v>
          </cell>
        </row>
        <row r="592">
          <cell r="A592" t="str">
            <v>30026_2</v>
          </cell>
        </row>
        <row r="593">
          <cell r="A593" t="str">
            <v>30026_3</v>
          </cell>
        </row>
        <row r="594">
          <cell r="A594" t="str">
            <v>30027_1</v>
          </cell>
        </row>
        <row r="595">
          <cell r="A595" t="str">
            <v>30027_2</v>
          </cell>
        </row>
        <row r="596">
          <cell r="A596" t="str">
            <v>30027_3</v>
          </cell>
        </row>
        <row r="597">
          <cell r="A597" t="str">
            <v>30028_1</v>
          </cell>
        </row>
        <row r="598">
          <cell r="A598" t="str">
            <v>30028_2</v>
          </cell>
        </row>
        <row r="599">
          <cell r="A599" t="str">
            <v>30028_3</v>
          </cell>
        </row>
        <row r="600">
          <cell r="A600" t="str">
            <v>30029_1</v>
          </cell>
        </row>
        <row r="601">
          <cell r="A601" t="str">
            <v>30029_2</v>
          </cell>
        </row>
        <row r="602">
          <cell r="A602" t="str">
            <v>30029_3</v>
          </cell>
        </row>
        <row r="603">
          <cell r="A603" t="str">
            <v>30030_1</v>
          </cell>
        </row>
        <row r="604">
          <cell r="A604" t="str">
            <v>30030_2</v>
          </cell>
        </row>
        <row r="605">
          <cell r="A605" t="str">
            <v>30030_3</v>
          </cell>
        </row>
        <row r="606">
          <cell r="A606" t="str">
            <v>30031_1</v>
          </cell>
        </row>
        <row r="607">
          <cell r="A607" t="str">
            <v>30031_2</v>
          </cell>
        </row>
        <row r="608">
          <cell r="A608" t="str">
            <v>30031_3</v>
          </cell>
        </row>
        <row r="609">
          <cell r="A609" t="str">
            <v>30032_1</v>
          </cell>
        </row>
        <row r="610">
          <cell r="A610" t="str">
            <v>30032_2</v>
          </cell>
        </row>
        <row r="611">
          <cell r="A611" t="str">
            <v>30032_3</v>
          </cell>
        </row>
        <row r="612">
          <cell r="A612" t="str">
            <v>30033_1</v>
          </cell>
        </row>
        <row r="613">
          <cell r="A613" t="str">
            <v>30033_2</v>
          </cell>
        </row>
        <row r="614">
          <cell r="A614" t="str">
            <v>30033_3</v>
          </cell>
        </row>
        <row r="615">
          <cell r="A615" t="str">
            <v>30034_1</v>
          </cell>
        </row>
        <row r="616">
          <cell r="A616" t="str">
            <v>30034_2</v>
          </cell>
        </row>
        <row r="617">
          <cell r="A617" t="str">
            <v>30034_3</v>
          </cell>
        </row>
        <row r="618">
          <cell r="A618" t="str">
            <v>30035_1</v>
          </cell>
        </row>
        <row r="619">
          <cell r="A619" t="str">
            <v>30035_2</v>
          </cell>
        </row>
        <row r="620">
          <cell r="A620" t="str">
            <v>30035_3</v>
          </cell>
        </row>
        <row r="621">
          <cell r="A621" t="str">
            <v>30036_1</v>
          </cell>
        </row>
        <row r="622">
          <cell r="A622" t="str">
            <v>30036_2</v>
          </cell>
        </row>
        <row r="623">
          <cell r="A623" t="str">
            <v>30036_3</v>
          </cell>
        </row>
        <row r="624">
          <cell r="A624" t="str">
            <v>30037_1</v>
          </cell>
        </row>
        <row r="625">
          <cell r="A625" t="str">
            <v>30037_2</v>
          </cell>
        </row>
        <row r="626">
          <cell r="A626" t="str">
            <v>30037_3</v>
          </cell>
        </row>
        <row r="627">
          <cell r="A627" t="str">
            <v>30038_1</v>
          </cell>
        </row>
        <row r="628">
          <cell r="A628" t="str">
            <v>30038_2</v>
          </cell>
        </row>
        <row r="629">
          <cell r="A629" t="str">
            <v>30038_3</v>
          </cell>
        </row>
        <row r="630">
          <cell r="A630" t="str">
            <v>30039_1</v>
          </cell>
        </row>
        <row r="631">
          <cell r="A631" t="str">
            <v>30039_2</v>
          </cell>
        </row>
        <row r="632">
          <cell r="A632" t="str">
            <v>30039_3</v>
          </cell>
        </row>
        <row r="633">
          <cell r="A633" t="str">
            <v>30040_1</v>
          </cell>
        </row>
        <row r="634">
          <cell r="A634" t="str">
            <v>30040_2</v>
          </cell>
        </row>
        <row r="635">
          <cell r="A635" t="str">
            <v>30040_3</v>
          </cell>
        </row>
        <row r="636">
          <cell r="A636" t="str">
            <v>30041_1</v>
          </cell>
        </row>
        <row r="637">
          <cell r="A637" t="str">
            <v>30041_2</v>
          </cell>
        </row>
        <row r="638">
          <cell r="A638" t="str">
            <v>30041_3</v>
          </cell>
        </row>
        <row r="639">
          <cell r="A639" t="str">
            <v>30042_1</v>
          </cell>
        </row>
        <row r="640">
          <cell r="A640" t="str">
            <v>30042_2</v>
          </cell>
        </row>
        <row r="641">
          <cell r="A641" t="str">
            <v>30042_3</v>
          </cell>
        </row>
        <row r="642">
          <cell r="A642" t="str">
            <v>30043_1</v>
          </cell>
        </row>
        <row r="643">
          <cell r="A643" t="str">
            <v>30043_2</v>
          </cell>
        </row>
        <row r="644">
          <cell r="A644" t="str">
            <v>30043_3</v>
          </cell>
        </row>
        <row r="645">
          <cell r="A645" t="str">
            <v>30044_1</v>
          </cell>
        </row>
        <row r="646">
          <cell r="A646" t="str">
            <v>30044_2</v>
          </cell>
        </row>
        <row r="647">
          <cell r="A647" t="str">
            <v>30044_3</v>
          </cell>
        </row>
        <row r="648">
          <cell r="A648" t="str">
            <v>30045_1</v>
          </cell>
        </row>
        <row r="649">
          <cell r="A649" t="str">
            <v>30045_2</v>
          </cell>
        </row>
        <row r="650">
          <cell r="A650" t="str">
            <v>30045_3</v>
          </cell>
        </row>
        <row r="651">
          <cell r="A651" t="str">
            <v>30046_1</v>
          </cell>
        </row>
        <row r="652">
          <cell r="A652" t="str">
            <v>30046_2</v>
          </cell>
        </row>
        <row r="653">
          <cell r="A653" t="str">
            <v>30046_3</v>
          </cell>
        </row>
        <row r="654">
          <cell r="A654" t="str">
            <v>30047_1</v>
          </cell>
        </row>
        <row r="655">
          <cell r="A655" t="str">
            <v>30047_2</v>
          </cell>
        </row>
        <row r="656">
          <cell r="A656" t="str">
            <v>30047_3</v>
          </cell>
        </row>
        <row r="657">
          <cell r="A657" t="str">
            <v>30048_1</v>
          </cell>
        </row>
        <row r="658">
          <cell r="A658" t="str">
            <v>30048_2</v>
          </cell>
        </row>
        <row r="659">
          <cell r="A659" t="str">
            <v>30048_3</v>
          </cell>
        </row>
        <row r="660">
          <cell r="A660" t="str">
            <v>39001_1</v>
          </cell>
        </row>
        <row r="661">
          <cell r="A661" t="str">
            <v>39001_2</v>
          </cell>
        </row>
        <row r="662">
          <cell r="A662" t="str">
            <v>39001_3</v>
          </cell>
        </row>
        <row r="663">
          <cell r="A663" t="str">
            <v>39001_4</v>
          </cell>
        </row>
        <row r="664">
          <cell r="A664" t="str">
            <v>39001_5</v>
          </cell>
        </row>
        <row r="665">
          <cell r="A665" t="str">
            <v>39002_1</v>
          </cell>
        </row>
        <row r="666">
          <cell r="A666" t="str">
            <v>39002_2</v>
          </cell>
        </row>
        <row r="667">
          <cell r="A667" t="str">
            <v>39002_3</v>
          </cell>
        </row>
        <row r="668">
          <cell r="A668" t="str">
            <v>39002_4</v>
          </cell>
        </row>
        <row r="669">
          <cell r="A669" t="str">
            <v>39003_1</v>
          </cell>
        </row>
        <row r="670">
          <cell r="A670" t="str">
            <v>39003_2</v>
          </cell>
        </row>
        <row r="671">
          <cell r="A671" t="str">
            <v>39003_3</v>
          </cell>
        </row>
        <row r="672">
          <cell r="A672" t="str">
            <v>39003_4</v>
          </cell>
        </row>
        <row r="673">
          <cell r="A673" t="str">
            <v>39004_1</v>
          </cell>
        </row>
        <row r="674">
          <cell r="A674" t="str">
            <v>39004_2</v>
          </cell>
        </row>
        <row r="675">
          <cell r="A675" t="str">
            <v>39004_3</v>
          </cell>
        </row>
        <row r="676">
          <cell r="A676" t="str">
            <v>39004_4</v>
          </cell>
        </row>
        <row r="677">
          <cell r="A677" t="str">
            <v>39005_1</v>
          </cell>
        </row>
        <row r="678">
          <cell r="A678" t="str">
            <v>39005_2</v>
          </cell>
        </row>
        <row r="679">
          <cell r="A679" t="str">
            <v>39005_3</v>
          </cell>
        </row>
        <row r="680">
          <cell r="A680" t="str">
            <v>39005_4</v>
          </cell>
        </row>
        <row r="681">
          <cell r="A681" t="str">
            <v>39005_5</v>
          </cell>
        </row>
        <row r="682">
          <cell r="A682" t="str">
            <v>39006_1</v>
          </cell>
        </row>
        <row r="683">
          <cell r="A683" t="str">
            <v>39006_2</v>
          </cell>
        </row>
        <row r="684">
          <cell r="A684" t="str">
            <v>39006_3</v>
          </cell>
        </row>
        <row r="685">
          <cell r="A685" t="str">
            <v>39006_4</v>
          </cell>
        </row>
        <row r="686">
          <cell r="A686" t="str">
            <v>39007_1</v>
          </cell>
        </row>
        <row r="687">
          <cell r="A687" t="str">
            <v>39007_2</v>
          </cell>
        </row>
        <row r="688">
          <cell r="A688" t="str">
            <v>39007_3</v>
          </cell>
        </row>
        <row r="689">
          <cell r="A689" t="str">
            <v>39007_4</v>
          </cell>
        </row>
        <row r="690">
          <cell r="A690" t="str">
            <v>39008_1</v>
          </cell>
        </row>
        <row r="691">
          <cell r="A691" t="str">
            <v>39008_2</v>
          </cell>
        </row>
        <row r="692">
          <cell r="A692" t="str">
            <v>39008_3</v>
          </cell>
        </row>
        <row r="693">
          <cell r="A693" t="str">
            <v>39008_4</v>
          </cell>
        </row>
        <row r="694">
          <cell r="A694" t="str">
            <v>39008_5</v>
          </cell>
        </row>
        <row r="695">
          <cell r="A695" t="str">
            <v>39009_1</v>
          </cell>
        </row>
        <row r="696">
          <cell r="A696" t="str">
            <v>39009_2</v>
          </cell>
        </row>
        <row r="697">
          <cell r="A697" t="str">
            <v>39009_3</v>
          </cell>
        </row>
        <row r="698">
          <cell r="A698" t="str">
            <v>39009_4</v>
          </cell>
        </row>
        <row r="699">
          <cell r="A699" t="str">
            <v>39009_5</v>
          </cell>
        </row>
        <row r="700">
          <cell r="A700" t="str">
            <v>39010_1</v>
          </cell>
        </row>
        <row r="701">
          <cell r="A701" t="str">
            <v>39010_2</v>
          </cell>
        </row>
        <row r="702">
          <cell r="A702" t="str">
            <v>39010_3</v>
          </cell>
        </row>
        <row r="703">
          <cell r="A703" t="str">
            <v>39010_4</v>
          </cell>
        </row>
        <row r="704">
          <cell r="A704" t="str">
            <v>39011_1</v>
          </cell>
        </row>
        <row r="705">
          <cell r="A705" t="str">
            <v>39011_2</v>
          </cell>
        </row>
        <row r="706">
          <cell r="A706" t="str">
            <v>39011_3</v>
          </cell>
        </row>
        <row r="707">
          <cell r="A707" t="str">
            <v>39011_4</v>
          </cell>
        </row>
        <row r="708">
          <cell r="A708" t="str">
            <v>39012_1</v>
          </cell>
        </row>
        <row r="709">
          <cell r="A709" t="str">
            <v>39012_2</v>
          </cell>
        </row>
        <row r="710">
          <cell r="A710" t="str">
            <v>39012_3</v>
          </cell>
        </row>
        <row r="711">
          <cell r="A711" t="str">
            <v>39012_4</v>
          </cell>
        </row>
        <row r="712">
          <cell r="A712" t="str">
            <v>39012_5</v>
          </cell>
        </row>
        <row r="713">
          <cell r="A713" t="str">
            <v>40001_1</v>
          </cell>
        </row>
        <row r="714">
          <cell r="A714" t="str">
            <v>40002_1</v>
          </cell>
        </row>
        <row r="715">
          <cell r="A715" t="str">
            <v>40002_2</v>
          </cell>
        </row>
        <row r="716">
          <cell r="A716" t="str">
            <v>40002_3</v>
          </cell>
        </row>
        <row r="717">
          <cell r="A717" t="str">
            <v>40003_1</v>
          </cell>
        </row>
        <row r="718">
          <cell r="A718" t="str">
            <v>40004_1</v>
          </cell>
        </row>
        <row r="719">
          <cell r="A719" t="str">
            <v>40005_1</v>
          </cell>
        </row>
        <row r="720">
          <cell r="A720" t="str">
            <v>40006_1</v>
          </cell>
        </row>
        <row r="721">
          <cell r="A721" t="str">
            <v>40007_1</v>
          </cell>
        </row>
        <row r="722">
          <cell r="A722" t="str">
            <v>40008_1</v>
          </cell>
        </row>
        <row r="723">
          <cell r="A723" t="str">
            <v>40009_1</v>
          </cell>
        </row>
        <row r="724">
          <cell r="A724" t="str">
            <v>40010_1</v>
          </cell>
        </row>
        <row r="725">
          <cell r="A725" t="str">
            <v>40011_1</v>
          </cell>
        </row>
        <row r="726">
          <cell r="A726" t="str">
            <v>40012_1</v>
          </cell>
        </row>
        <row r="727">
          <cell r="A727" t="str">
            <v>40013_1</v>
          </cell>
        </row>
        <row r="728">
          <cell r="A728" t="str">
            <v>40014_1</v>
          </cell>
        </row>
        <row r="729">
          <cell r="A729" t="str">
            <v>40015_1</v>
          </cell>
        </row>
        <row r="730">
          <cell r="A730" t="str">
            <v>40016_1</v>
          </cell>
        </row>
        <row r="731">
          <cell r="A731" t="str">
            <v>40016_2</v>
          </cell>
        </row>
        <row r="732">
          <cell r="A732" t="str">
            <v>40017_1</v>
          </cell>
        </row>
        <row r="733">
          <cell r="A733" t="str">
            <v>40017_2</v>
          </cell>
        </row>
        <row r="734">
          <cell r="A734" t="str">
            <v>40017_3</v>
          </cell>
        </row>
        <row r="735">
          <cell r="A735" t="str">
            <v>40018_1</v>
          </cell>
        </row>
        <row r="736">
          <cell r="A736" t="str">
            <v>40018_2</v>
          </cell>
        </row>
        <row r="737">
          <cell r="A737" t="str">
            <v>40018_3</v>
          </cell>
        </row>
        <row r="738">
          <cell r="A738" t="str">
            <v>40019_1</v>
          </cell>
        </row>
        <row r="739">
          <cell r="A739" t="str">
            <v>40019_2</v>
          </cell>
        </row>
        <row r="740">
          <cell r="A740" t="str">
            <v>40019_3</v>
          </cell>
        </row>
        <row r="741">
          <cell r="A741" t="str">
            <v>40021_1</v>
          </cell>
        </row>
        <row r="742">
          <cell r="A742" t="str">
            <v>40021_2</v>
          </cell>
        </row>
        <row r="743">
          <cell r="A743" t="str">
            <v>40022_1</v>
          </cell>
        </row>
        <row r="744">
          <cell r="A744" t="str">
            <v>40022_2</v>
          </cell>
        </row>
        <row r="745">
          <cell r="A745" t="str">
            <v>40023_1</v>
          </cell>
        </row>
        <row r="746">
          <cell r="A746" t="str">
            <v>40023_2</v>
          </cell>
        </row>
        <row r="747">
          <cell r="A747" t="str">
            <v>40024_1</v>
          </cell>
        </row>
        <row r="748">
          <cell r="A748" t="str">
            <v>40024_2</v>
          </cell>
        </row>
        <row r="749">
          <cell r="A749" t="str">
            <v>40025_1</v>
          </cell>
        </row>
        <row r="750">
          <cell r="A750" t="str">
            <v>40025_2</v>
          </cell>
        </row>
        <row r="751">
          <cell r="A751" t="str">
            <v>40026_1</v>
          </cell>
        </row>
        <row r="752">
          <cell r="A752" t="str">
            <v>40026_2</v>
          </cell>
        </row>
        <row r="753">
          <cell r="A753" t="str">
            <v>40027_1</v>
          </cell>
        </row>
        <row r="754">
          <cell r="A754" t="str">
            <v>40027_2</v>
          </cell>
        </row>
        <row r="755">
          <cell r="A755" t="str">
            <v>40028_1</v>
          </cell>
        </row>
        <row r="756">
          <cell r="A756" t="str">
            <v>40028_2</v>
          </cell>
        </row>
        <row r="757">
          <cell r="A757" t="str">
            <v>40029_1</v>
          </cell>
        </row>
        <row r="758">
          <cell r="A758" t="str">
            <v>40029_2</v>
          </cell>
        </row>
        <row r="759">
          <cell r="A759" t="str">
            <v>40030_1</v>
          </cell>
        </row>
        <row r="760">
          <cell r="A760" t="str">
            <v>40030_2</v>
          </cell>
        </row>
        <row r="761">
          <cell r="A761" t="str">
            <v>40031_1</v>
          </cell>
        </row>
        <row r="762">
          <cell r="A762" t="str">
            <v>40031_2</v>
          </cell>
        </row>
        <row r="763">
          <cell r="A763" t="str">
            <v>40032_1</v>
          </cell>
        </row>
        <row r="764">
          <cell r="A764" t="str">
            <v>40032_2</v>
          </cell>
        </row>
        <row r="765">
          <cell r="A765" t="str">
            <v>40033_1</v>
          </cell>
        </row>
        <row r="766">
          <cell r="A766" t="str">
            <v>40033_2</v>
          </cell>
        </row>
        <row r="767">
          <cell r="A767" t="str">
            <v>40034_1</v>
          </cell>
        </row>
        <row r="768">
          <cell r="A768" t="str">
            <v>40034_2</v>
          </cell>
        </row>
        <row r="769">
          <cell r="A769" t="str">
            <v>40035_1</v>
          </cell>
        </row>
        <row r="770">
          <cell r="A770" t="str">
            <v>40035_2</v>
          </cell>
        </row>
        <row r="771">
          <cell r="A771" t="str">
            <v>40036_1</v>
          </cell>
        </row>
        <row r="772">
          <cell r="A772" t="str">
            <v>40036_2</v>
          </cell>
        </row>
        <row r="773">
          <cell r="A773" t="str">
            <v>40037_1</v>
          </cell>
        </row>
        <row r="774">
          <cell r="A774" t="str">
            <v>40037_2</v>
          </cell>
        </row>
        <row r="775">
          <cell r="A775" t="str">
            <v>40038_1</v>
          </cell>
        </row>
        <row r="776">
          <cell r="A776" t="str">
            <v>40038_2</v>
          </cell>
        </row>
        <row r="777">
          <cell r="A777" t="str">
            <v>40039_1</v>
          </cell>
        </row>
        <row r="778">
          <cell r="A778" t="str">
            <v>40039_2</v>
          </cell>
        </row>
        <row r="779">
          <cell r="A779" t="str">
            <v>40040_1</v>
          </cell>
        </row>
        <row r="780">
          <cell r="A780" t="str">
            <v>40040_2</v>
          </cell>
        </row>
        <row r="781">
          <cell r="A781" t="str">
            <v>40041_1</v>
          </cell>
        </row>
        <row r="782">
          <cell r="A782" t="str">
            <v>40041_2</v>
          </cell>
        </row>
        <row r="783">
          <cell r="A783" t="str">
            <v>40042_1</v>
          </cell>
        </row>
        <row r="784">
          <cell r="A784" t="str">
            <v>40042_2</v>
          </cell>
        </row>
        <row r="785">
          <cell r="A785" t="str">
            <v>40043_1</v>
          </cell>
        </row>
        <row r="786">
          <cell r="A786" t="str">
            <v>40043_2</v>
          </cell>
        </row>
        <row r="787">
          <cell r="A787" t="str">
            <v>41001_1</v>
          </cell>
        </row>
        <row r="788">
          <cell r="A788" t="str">
            <v>41001_2</v>
          </cell>
        </row>
        <row r="789">
          <cell r="A789" t="str">
            <v>41001_3</v>
          </cell>
        </row>
        <row r="790">
          <cell r="A790" t="str">
            <v>41002_1</v>
          </cell>
        </row>
        <row r="791">
          <cell r="A791" t="str">
            <v>41002_2</v>
          </cell>
        </row>
        <row r="792">
          <cell r="A792" t="str">
            <v>41002_3</v>
          </cell>
        </row>
        <row r="793">
          <cell r="A793" t="str">
            <v>41003_1</v>
          </cell>
        </row>
        <row r="794">
          <cell r="A794" t="str">
            <v>41003_2</v>
          </cell>
        </row>
        <row r="795">
          <cell r="A795" t="str">
            <v>41003_3</v>
          </cell>
        </row>
        <row r="796">
          <cell r="A796" t="str">
            <v>41004_1</v>
          </cell>
        </row>
        <row r="797">
          <cell r="A797" t="str">
            <v>41004_2</v>
          </cell>
        </row>
        <row r="798">
          <cell r="A798" t="str">
            <v>41004_3</v>
          </cell>
        </row>
        <row r="799">
          <cell r="A799" t="str">
            <v>41005_1</v>
          </cell>
        </row>
        <row r="800">
          <cell r="A800" t="str">
            <v>41005_2</v>
          </cell>
        </row>
        <row r="801">
          <cell r="A801" t="str">
            <v>41005_3</v>
          </cell>
        </row>
        <row r="802">
          <cell r="A802" t="str">
            <v>41006_1</v>
          </cell>
        </row>
        <row r="803">
          <cell r="A803" t="str">
            <v>41006_2</v>
          </cell>
        </row>
        <row r="804">
          <cell r="A804" t="str">
            <v>41006_3</v>
          </cell>
        </row>
        <row r="805">
          <cell r="A805" t="str">
            <v>41007_1</v>
          </cell>
        </row>
        <row r="806">
          <cell r="A806" t="str">
            <v>41007_2</v>
          </cell>
        </row>
        <row r="807">
          <cell r="A807" t="str">
            <v>41007_3</v>
          </cell>
        </row>
        <row r="808">
          <cell r="A808" t="str">
            <v>41008_1</v>
          </cell>
        </row>
        <row r="809">
          <cell r="A809" t="str">
            <v>41008_2</v>
          </cell>
        </row>
        <row r="810">
          <cell r="A810" t="str">
            <v>41008_3</v>
          </cell>
        </row>
        <row r="811">
          <cell r="A811" t="str">
            <v>41009_1</v>
          </cell>
        </row>
        <row r="812">
          <cell r="A812" t="str">
            <v>41009_2</v>
          </cell>
        </row>
        <row r="813">
          <cell r="A813" t="str">
            <v>41009_3</v>
          </cell>
        </row>
        <row r="814">
          <cell r="A814" t="str">
            <v>41010_1</v>
          </cell>
        </row>
        <row r="815">
          <cell r="A815" t="str">
            <v>41010_2</v>
          </cell>
        </row>
        <row r="816">
          <cell r="A816" t="str">
            <v>41010_3</v>
          </cell>
        </row>
        <row r="817">
          <cell r="A817" t="str">
            <v>41011_1</v>
          </cell>
        </row>
        <row r="818">
          <cell r="A818" t="str">
            <v>41011_2</v>
          </cell>
        </row>
        <row r="819">
          <cell r="A819" t="str">
            <v>41012_1</v>
          </cell>
        </row>
        <row r="820">
          <cell r="A820" t="str">
            <v>41012_2</v>
          </cell>
        </row>
        <row r="821">
          <cell r="A821" t="str">
            <v>41013_1</v>
          </cell>
        </row>
        <row r="822">
          <cell r="A822" t="str">
            <v>41013_2</v>
          </cell>
        </row>
        <row r="823">
          <cell r="A823" t="str">
            <v>41014_1</v>
          </cell>
        </row>
        <row r="824">
          <cell r="A824" t="str">
            <v>41014_2</v>
          </cell>
        </row>
        <row r="825">
          <cell r="A825" t="str">
            <v>41015_1</v>
          </cell>
        </row>
        <row r="826">
          <cell r="A826" t="str">
            <v>41015_2</v>
          </cell>
        </row>
        <row r="827">
          <cell r="A827" t="str">
            <v>47001_1</v>
          </cell>
        </row>
        <row r="828">
          <cell r="A828" t="str">
            <v>47001_2</v>
          </cell>
        </row>
        <row r="829">
          <cell r="A829" t="str">
            <v>47002_1</v>
          </cell>
        </row>
        <row r="830">
          <cell r="A830" t="str">
            <v>47002_2</v>
          </cell>
        </row>
        <row r="831">
          <cell r="A831" t="str">
            <v>47003_1</v>
          </cell>
        </row>
        <row r="832">
          <cell r="A832" t="str">
            <v>47003_2</v>
          </cell>
        </row>
        <row r="833">
          <cell r="A833" t="str">
            <v>47003_3</v>
          </cell>
        </row>
        <row r="834">
          <cell r="A834" t="str">
            <v>47003_4</v>
          </cell>
        </row>
        <row r="835">
          <cell r="A835" t="str">
            <v>47004_1</v>
          </cell>
        </row>
        <row r="836">
          <cell r="A836" t="str">
            <v>47004_2</v>
          </cell>
        </row>
        <row r="837">
          <cell r="A837" t="str">
            <v>47004_3</v>
          </cell>
        </row>
        <row r="838">
          <cell r="A838" t="str">
            <v>47004_4</v>
          </cell>
        </row>
        <row r="839">
          <cell r="A839" t="str">
            <v>47005_1</v>
          </cell>
        </row>
        <row r="840">
          <cell r="A840" t="str">
            <v>47006_1</v>
          </cell>
        </row>
        <row r="841">
          <cell r="A841" t="str">
            <v>47006_2</v>
          </cell>
        </row>
        <row r="842">
          <cell r="A842" t="str">
            <v>47007_1</v>
          </cell>
        </row>
        <row r="843">
          <cell r="A843" t="str">
            <v>47007_2</v>
          </cell>
        </row>
        <row r="844">
          <cell r="A844" t="str">
            <v>47008_1</v>
          </cell>
        </row>
        <row r="845">
          <cell r="A845" t="str">
            <v>47008_2</v>
          </cell>
        </row>
        <row r="846">
          <cell r="A846" t="str">
            <v>47009_1</v>
          </cell>
        </row>
        <row r="847">
          <cell r="A847" t="str">
            <v>47009_2</v>
          </cell>
        </row>
        <row r="848">
          <cell r="A848" t="str">
            <v>47010_1</v>
          </cell>
        </row>
        <row r="849">
          <cell r="A849" t="str">
            <v>47010_2</v>
          </cell>
        </row>
        <row r="850">
          <cell r="A850" t="str">
            <v>47011_1</v>
          </cell>
        </row>
        <row r="851">
          <cell r="A851" t="str">
            <v>48001_1</v>
          </cell>
        </row>
        <row r="852">
          <cell r="A852" t="str">
            <v>48002_1</v>
          </cell>
        </row>
        <row r="853">
          <cell r="A853" t="str">
            <v>48002_2</v>
          </cell>
        </row>
        <row r="854">
          <cell r="A854" t="str">
            <v>48002_3</v>
          </cell>
        </row>
        <row r="855">
          <cell r="A855" t="str">
            <v>48003_1</v>
          </cell>
        </row>
        <row r="856">
          <cell r="A856" t="str">
            <v>48003_2</v>
          </cell>
        </row>
        <row r="857">
          <cell r="A857" t="str">
            <v>48004_1</v>
          </cell>
        </row>
        <row r="858">
          <cell r="A858" t="str">
            <v>48004_2</v>
          </cell>
        </row>
        <row r="859">
          <cell r="A859" t="str">
            <v>48005_1</v>
          </cell>
        </row>
        <row r="860">
          <cell r="A860" t="str">
            <v>48005_2</v>
          </cell>
        </row>
        <row r="861">
          <cell r="A861" t="str">
            <v>48006_1</v>
          </cell>
        </row>
        <row r="862">
          <cell r="A862" t="str">
            <v>48006_2</v>
          </cell>
        </row>
        <row r="863">
          <cell r="A863" t="str">
            <v>48007_1</v>
          </cell>
        </row>
        <row r="864">
          <cell r="A864" t="str">
            <v>48007_2</v>
          </cell>
        </row>
        <row r="865">
          <cell r="A865" t="str">
            <v>48008_1</v>
          </cell>
        </row>
        <row r="866">
          <cell r="A866" t="str">
            <v>48008_2</v>
          </cell>
        </row>
        <row r="867">
          <cell r="A867" t="str">
            <v>48009_1</v>
          </cell>
        </row>
        <row r="868">
          <cell r="A868" t="str">
            <v>48009_2</v>
          </cell>
        </row>
        <row r="869">
          <cell r="A869" t="str">
            <v>48010_1</v>
          </cell>
        </row>
        <row r="870">
          <cell r="A870" t="str">
            <v>48011_1</v>
          </cell>
        </row>
        <row r="871">
          <cell r="A871" t="str">
            <v>48011_2</v>
          </cell>
        </row>
        <row r="872">
          <cell r="A872" t="str">
            <v>48012_1</v>
          </cell>
        </row>
        <row r="873">
          <cell r="A873" t="str">
            <v>48012_2</v>
          </cell>
        </row>
        <row r="874">
          <cell r="A874" t="str">
            <v>48501_1</v>
          </cell>
        </row>
        <row r="875">
          <cell r="A875" t="str">
            <v>48501_2</v>
          </cell>
        </row>
        <row r="876">
          <cell r="A876" t="str">
            <v>48502_1</v>
          </cell>
        </row>
        <row r="877">
          <cell r="A877" t="str">
            <v>48502_2</v>
          </cell>
        </row>
        <row r="878">
          <cell r="A878" t="str">
            <v>48701_1</v>
          </cell>
        </row>
        <row r="879">
          <cell r="A879" t="str">
            <v>48701_2</v>
          </cell>
        </row>
        <row r="880">
          <cell r="A880" t="str">
            <v>49001_1</v>
          </cell>
        </row>
        <row r="881">
          <cell r="A881" t="str">
            <v>49002_1</v>
          </cell>
        </row>
        <row r="882">
          <cell r="A882" t="str">
            <v>49002_2</v>
          </cell>
        </row>
        <row r="883">
          <cell r="A883" t="str">
            <v>49003_1</v>
          </cell>
        </row>
        <row r="884">
          <cell r="A884" t="str">
            <v>49003_2</v>
          </cell>
        </row>
        <row r="885">
          <cell r="A885" t="str">
            <v>49004_1</v>
          </cell>
        </row>
        <row r="886">
          <cell r="A886" t="str">
            <v>49004_2</v>
          </cell>
        </row>
        <row r="887">
          <cell r="A887" t="str">
            <v>49004_3</v>
          </cell>
        </row>
        <row r="888">
          <cell r="A888" t="str">
            <v>49005_1</v>
          </cell>
        </row>
        <row r="889">
          <cell r="A889" t="str">
            <v>49006_1</v>
          </cell>
        </row>
        <row r="890">
          <cell r="A890" t="str">
            <v>49006_2</v>
          </cell>
        </row>
        <row r="891">
          <cell r="A891" t="str">
            <v>49007_1</v>
          </cell>
        </row>
        <row r="892">
          <cell r="A892" t="str">
            <v>49007_2</v>
          </cell>
        </row>
        <row r="893">
          <cell r="A893" t="str">
            <v>49007_3</v>
          </cell>
        </row>
        <row r="894">
          <cell r="A894" t="str">
            <v>49008_1</v>
          </cell>
        </row>
        <row r="895">
          <cell r="A895" t="str">
            <v>49009_1</v>
          </cell>
        </row>
        <row r="896">
          <cell r="A896" t="str">
            <v>49010_1</v>
          </cell>
        </row>
        <row r="897">
          <cell r="A897" t="str">
            <v>49011_1</v>
          </cell>
        </row>
        <row r="898">
          <cell r="A898" t="str">
            <v>49012_1</v>
          </cell>
        </row>
        <row r="899">
          <cell r="A899" t="str">
            <v>49013_1</v>
          </cell>
        </row>
        <row r="900">
          <cell r="A900" t="str">
            <v>49014_1</v>
          </cell>
        </row>
        <row r="901">
          <cell r="A901" t="str">
            <v>49014_2</v>
          </cell>
        </row>
        <row r="902">
          <cell r="A902" t="str">
            <v>49015_1</v>
          </cell>
        </row>
        <row r="903">
          <cell r="A903" t="str">
            <v>49015_2</v>
          </cell>
        </row>
        <row r="904">
          <cell r="A904" t="str">
            <v>49015_3</v>
          </cell>
        </row>
        <row r="905">
          <cell r="A905" t="str">
            <v>50001_1</v>
          </cell>
        </row>
        <row r="906">
          <cell r="A906" t="str">
            <v>50002_1</v>
          </cell>
        </row>
        <row r="907">
          <cell r="A907" t="str">
            <v>50003_1</v>
          </cell>
        </row>
        <row r="908">
          <cell r="A908" t="str">
            <v>50004_1</v>
          </cell>
        </row>
        <row r="909">
          <cell r="A909" t="str">
            <v>50005_1</v>
          </cell>
        </row>
        <row r="910">
          <cell r="A910" t="str">
            <v>50006_1</v>
          </cell>
        </row>
        <row r="911">
          <cell r="A911" t="str">
            <v>50007_1</v>
          </cell>
        </row>
        <row r="912">
          <cell r="A912" t="str">
            <v>50008_1</v>
          </cell>
        </row>
        <row r="913">
          <cell r="A913" t="str">
            <v>50009_1</v>
          </cell>
        </row>
        <row r="914">
          <cell r="A914" t="str">
            <v>50010_1</v>
          </cell>
        </row>
        <row r="915">
          <cell r="A915" t="str">
            <v>50011_1</v>
          </cell>
        </row>
        <row r="916">
          <cell r="A916" t="str">
            <v>50012_1</v>
          </cell>
        </row>
        <row r="917">
          <cell r="A917" t="str">
            <v>50013_1</v>
          </cell>
        </row>
        <row r="918">
          <cell r="A918" t="str">
            <v>50014_1</v>
          </cell>
        </row>
        <row r="919">
          <cell r="A919" t="str">
            <v>51001_1</v>
          </cell>
        </row>
        <row r="920">
          <cell r="A920" t="str">
            <v>51002_1</v>
          </cell>
        </row>
        <row r="921">
          <cell r="A921" t="str">
            <v>58001_1</v>
          </cell>
        </row>
        <row r="922">
          <cell r="A922" t="str">
            <v>59001_1</v>
          </cell>
        </row>
        <row r="923">
          <cell r="A923" t="str">
            <v>59002_1</v>
          </cell>
        </row>
        <row r="924">
          <cell r="A924" t="str">
            <v>60001_1</v>
          </cell>
        </row>
        <row r="925">
          <cell r="A925" t="str">
            <v>60002_1</v>
          </cell>
        </row>
        <row r="926">
          <cell r="A926" t="str">
            <v>60002_2</v>
          </cell>
        </row>
        <row r="927">
          <cell r="A927" t="str">
            <v>60003_1</v>
          </cell>
        </row>
        <row r="928">
          <cell r="A928" t="str">
            <v>60003_2</v>
          </cell>
        </row>
        <row r="929">
          <cell r="A929" t="str">
            <v>60003_3</v>
          </cell>
        </row>
        <row r="930">
          <cell r="A930" t="str">
            <v>60004_1</v>
          </cell>
        </row>
        <row r="931">
          <cell r="A931" t="str">
            <v>60005_1</v>
          </cell>
        </row>
        <row r="932">
          <cell r="A932" t="str">
            <v>60006_1</v>
          </cell>
        </row>
        <row r="933">
          <cell r="A933" t="str">
            <v>60006_2</v>
          </cell>
        </row>
        <row r="934">
          <cell r="A934" t="str">
            <v>60006_3</v>
          </cell>
        </row>
        <row r="935">
          <cell r="A935" t="str">
            <v>60007_1</v>
          </cell>
        </row>
        <row r="936">
          <cell r="A936" t="str">
            <v>60007_2</v>
          </cell>
        </row>
        <row r="937">
          <cell r="A937" t="str">
            <v>60007_3</v>
          </cell>
        </row>
        <row r="938">
          <cell r="A938" t="str">
            <v>60010_1</v>
          </cell>
        </row>
        <row r="939">
          <cell r="A939" t="str">
            <v>60011_1</v>
          </cell>
        </row>
        <row r="940">
          <cell r="A940" t="str">
            <v>60011_2</v>
          </cell>
        </row>
        <row r="941">
          <cell r="A941" t="str">
            <v>60012_1</v>
          </cell>
        </row>
        <row r="942">
          <cell r="A942" t="str">
            <v>60013_1</v>
          </cell>
        </row>
        <row r="943">
          <cell r="A943" t="str">
            <v>60013_2</v>
          </cell>
        </row>
        <row r="944">
          <cell r="A944" t="str">
            <v>60013_3</v>
          </cell>
        </row>
        <row r="945">
          <cell r="A945" t="str">
            <v>60014_1</v>
          </cell>
        </row>
        <row r="946">
          <cell r="A946" t="str">
            <v>60015_1</v>
          </cell>
        </row>
        <row r="947">
          <cell r="A947" t="str">
            <v>60016_1</v>
          </cell>
        </row>
        <row r="948">
          <cell r="A948" t="str">
            <v>60017_1</v>
          </cell>
        </row>
        <row r="949">
          <cell r="A949" t="str">
            <v>60018_1</v>
          </cell>
        </row>
        <row r="950">
          <cell r="A950" t="str">
            <v>60019_1</v>
          </cell>
        </row>
        <row r="951">
          <cell r="A951" t="str">
            <v>60020_1</v>
          </cell>
        </row>
        <row r="952">
          <cell r="A952" t="str">
            <v>60021_3</v>
          </cell>
        </row>
        <row r="953">
          <cell r="A953" t="str">
            <v>60022_3</v>
          </cell>
        </row>
        <row r="954">
          <cell r="A954" t="str">
            <v>60023_3</v>
          </cell>
        </row>
        <row r="955">
          <cell r="A955" t="str">
            <v>60024_3</v>
          </cell>
        </row>
        <row r="956">
          <cell r="A956" t="str">
            <v>60025_1</v>
          </cell>
        </row>
        <row r="957">
          <cell r="A957" t="str">
            <v>60026_1</v>
          </cell>
        </row>
        <row r="958">
          <cell r="A958" t="str">
            <v>61011_1</v>
          </cell>
        </row>
        <row r="959">
          <cell r="A959" t="str">
            <v>60027_1</v>
          </cell>
        </row>
        <row r="960">
          <cell r="A960" t="str">
            <v>60028_1</v>
          </cell>
        </row>
        <row r="961">
          <cell r="A961" t="str">
            <v>65525_1</v>
          </cell>
        </row>
        <row r="962">
          <cell r="A962" t="str">
            <v>65526_1</v>
          </cell>
        </row>
        <row r="963">
          <cell r="A963" t="str">
            <v>65526_2</v>
          </cell>
        </row>
        <row r="964">
          <cell r="A964" t="str">
            <v>65527_1</v>
          </cell>
        </row>
        <row r="965">
          <cell r="A965" t="str">
            <v>65528_1</v>
          </cell>
        </row>
        <row r="966">
          <cell r="A966" t="str">
            <v>65529_1</v>
          </cell>
        </row>
        <row r="967">
          <cell r="A967" t="str">
            <v>65530_1</v>
          </cell>
        </row>
        <row r="968">
          <cell r="A968" t="str">
            <v>65531_1</v>
          </cell>
        </row>
        <row r="969">
          <cell r="A969" t="str">
            <v>65531_2</v>
          </cell>
        </row>
        <row r="970">
          <cell r="A970" t="str">
            <v>65532_1</v>
          </cell>
        </row>
        <row r="971">
          <cell r="A971" t="str">
            <v>65532_2</v>
          </cell>
        </row>
        <row r="972">
          <cell r="A972" t="str">
            <v>65533_1</v>
          </cell>
        </row>
        <row r="973">
          <cell r="A973" t="str">
            <v>65533_2</v>
          </cell>
        </row>
        <row r="974">
          <cell r="A974" t="str">
            <v>65534_1</v>
          </cell>
        </row>
        <row r="975">
          <cell r="A975" t="str">
            <v>65534_2</v>
          </cell>
        </row>
        <row r="976">
          <cell r="A976" t="str">
            <v>65535_1</v>
          </cell>
        </row>
        <row r="977">
          <cell r="A977" t="str">
            <v>65535_2</v>
          </cell>
        </row>
        <row r="978">
          <cell r="A978" t="str">
            <v>65535_3</v>
          </cell>
        </row>
        <row r="979">
          <cell r="A979" t="str">
            <v>65535_4</v>
          </cell>
        </row>
        <row r="980">
          <cell r="A980" t="str">
            <v>65535_5</v>
          </cell>
        </row>
        <row r="981">
          <cell r="A981" t="str">
            <v>65535_6</v>
          </cell>
        </row>
        <row r="982">
          <cell r="A982" t="str">
            <v>65535_7</v>
          </cell>
        </row>
        <row r="983">
          <cell r="A983" t="str">
            <v>65535_8</v>
          </cell>
        </row>
        <row r="984">
          <cell r="A984" t="str">
            <v>65535_9</v>
          </cell>
        </row>
        <row r="985">
          <cell r="A985" t="str">
            <v>65535_10</v>
          </cell>
        </row>
      </sheetData>
      <sheetData sheetId="4"/>
      <sheetData sheetId="5"/>
      <sheetData sheetId="6"/>
      <sheetData sheetId="7"/>
      <sheetData sheetId="8"/>
      <sheetData sheetId="9"/>
      <sheetData sheetId="10"/>
      <sheetData sheetId="1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enemies"/>
      <sheetName val="enemy_base_stats"/>
      <sheetName val="サイズ別係数"/>
      <sheetName val="ラベル別係数"/>
      <sheetName val="ターン数別攻撃係数"/>
      <sheetName val="特殊モンスターレベル"/>
    </sheetNames>
    <sheetDataSet>
      <sheetData sheetId="0"/>
      <sheetData sheetId="1">
        <row r="1">
          <cell r="A1" t="str">
            <v>character_id</v>
          </cell>
          <cell r="B1" t="str">
            <v>name</v>
          </cell>
          <cell r="C1" t="str">
            <v>rare</v>
          </cell>
          <cell r="D1" t="str">
            <v>color</v>
          </cell>
          <cell r="E1" t="str">
            <v>HP係数</v>
          </cell>
          <cell r="F1" t="str">
            <v>攻撃係数</v>
          </cell>
          <cell r="G1" t="str">
            <v>防御系数</v>
          </cell>
          <cell r="H1" t="str">
            <v>character_type_id</v>
          </cell>
          <cell r="I1" t="str">
            <v>name</v>
          </cell>
          <cell r="J1" t="str">
            <v>HP係数</v>
          </cell>
          <cell r="K1" t="str">
            <v>攻撃係数</v>
          </cell>
          <cell r="L1" t="str">
            <v>防御係数</v>
          </cell>
          <cell r="M1" t="str">
            <v>character_main_tribe_id</v>
          </cell>
          <cell r="N1" t="str">
            <v>name</v>
          </cell>
          <cell r="O1" t="str">
            <v>HP係数</v>
          </cell>
          <cell r="P1" t="str">
            <v>攻撃係数</v>
          </cell>
          <cell r="Q1" t="str">
            <v>防御係数</v>
          </cell>
          <cell r="R1" t="str">
            <v>ラベル</v>
          </cell>
          <cell r="S1" t="str">
            <v>HP係数</v>
          </cell>
          <cell r="T1" t="str">
            <v>攻撃係数</v>
          </cell>
          <cell r="U1" t="str">
            <v>防御係数</v>
          </cell>
          <cell r="V1" t="str">
            <v>speed</v>
          </cell>
          <cell r="W1" t="str">
            <v>攻撃系数</v>
          </cell>
          <cell r="X1" t="str">
            <v>size</v>
          </cell>
          <cell r="Y1" t="str">
            <v>HP係数</v>
          </cell>
          <cell r="Z1" t="str">
            <v>攻撃係数</v>
          </cell>
          <cell r="AA1" t="str">
            <v>防御係数</v>
          </cell>
          <cell r="AB1" t="str">
            <v>skill_set_id</v>
          </cell>
          <cell r="AC1" t="str">
            <v>comment</v>
          </cell>
          <cell r="AD1" t="str">
            <v>HP係数</v>
          </cell>
          <cell r="AE1" t="str">
            <v>攻撃係数</v>
          </cell>
          <cell r="AF1" t="str">
            <v>防御係数</v>
          </cell>
          <cell r="AG1" t="str">
            <v>min_hp</v>
          </cell>
          <cell r="AH1" t="str">
            <v>min_attack</v>
          </cell>
          <cell r="AI1" t="str">
            <v>min_defense</v>
          </cell>
          <cell r="AJ1" t="str">
            <v>max_hp</v>
          </cell>
          <cell r="AK1" t="str">
            <v>max_attack</v>
          </cell>
          <cell r="AL1" t="str">
            <v>max_defense</v>
          </cell>
          <cell r="AM1" t="str">
            <v>base_reward_bits</v>
          </cell>
          <cell r="AN1" t="str">
            <v>base_reward_exp</v>
          </cell>
          <cell r="AO1" t="str">
            <v>skip</v>
          </cell>
          <cell r="AP1" t="str">
            <v>level_test</v>
          </cell>
          <cell r="AQ1" t="str">
            <v>enemy_id</v>
          </cell>
        </row>
        <row r="2">
          <cell r="A2">
            <v>1</v>
          </cell>
        </row>
        <row r="3">
          <cell r="A3">
            <v>2</v>
          </cell>
        </row>
        <row r="4">
          <cell r="A4">
            <v>3</v>
          </cell>
        </row>
        <row r="5">
          <cell r="A5">
            <v>4</v>
          </cell>
        </row>
        <row r="6">
          <cell r="A6">
            <v>5</v>
          </cell>
        </row>
        <row r="7">
          <cell r="A7">
            <v>6</v>
          </cell>
        </row>
        <row r="8">
          <cell r="A8">
            <v>7</v>
          </cell>
        </row>
        <row r="9">
          <cell r="A9">
            <v>8</v>
          </cell>
        </row>
        <row r="10">
          <cell r="A10">
            <v>9</v>
          </cell>
        </row>
        <row r="11">
          <cell r="A11">
            <v>10</v>
          </cell>
        </row>
        <row r="12">
          <cell r="A12">
            <v>11</v>
          </cell>
        </row>
        <row r="13">
          <cell r="A13">
            <v>12</v>
          </cell>
        </row>
        <row r="14">
          <cell r="A14">
            <v>13</v>
          </cell>
        </row>
        <row r="15">
          <cell r="A15">
            <v>14</v>
          </cell>
        </row>
        <row r="16">
          <cell r="A16">
            <v>15</v>
          </cell>
        </row>
        <row r="17">
          <cell r="A17">
            <v>16</v>
          </cell>
        </row>
        <row r="18">
          <cell r="A18">
            <v>17</v>
          </cell>
        </row>
        <row r="19">
          <cell r="A19">
            <v>18</v>
          </cell>
        </row>
        <row r="20">
          <cell r="A20">
            <v>19</v>
          </cell>
        </row>
        <row r="21">
          <cell r="A21">
            <v>20</v>
          </cell>
        </row>
        <row r="22">
          <cell r="A22">
            <v>21</v>
          </cell>
        </row>
        <row r="23">
          <cell r="A23">
            <v>22</v>
          </cell>
        </row>
        <row r="24">
          <cell r="A24">
            <v>23</v>
          </cell>
        </row>
        <row r="25">
          <cell r="A25">
            <v>24</v>
          </cell>
        </row>
        <row r="26">
          <cell r="A26">
            <v>25</v>
          </cell>
        </row>
        <row r="27">
          <cell r="A27">
            <v>26</v>
          </cell>
        </row>
        <row r="28">
          <cell r="A28">
            <v>27</v>
          </cell>
        </row>
        <row r="29">
          <cell r="A29">
            <v>28</v>
          </cell>
        </row>
        <row r="30">
          <cell r="A30">
            <v>29</v>
          </cell>
        </row>
        <row r="31">
          <cell r="A31">
            <v>30</v>
          </cell>
        </row>
        <row r="32">
          <cell r="A32">
            <v>31</v>
          </cell>
        </row>
        <row r="33">
          <cell r="A33">
            <v>32</v>
          </cell>
        </row>
        <row r="34">
          <cell r="A34">
            <v>33</v>
          </cell>
        </row>
        <row r="35">
          <cell r="A35">
            <v>34</v>
          </cell>
        </row>
        <row r="36">
          <cell r="A36">
            <v>35</v>
          </cell>
        </row>
        <row r="37">
          <cell r="A37">
            <v>36</v>
          </cell>
        </row>
        <row r="38">
          <cell r="A38">
            <v>37</v>
          </cell>
        </row>
        <row r="39">
          <cell r="A39">
            <v>38</v>
          </cell>
        </row>
        <row r="40">
          <cell r="A40">
            <v>39</v>
          </cell>
        </row>
        <row r="41">
          <cell r="A41">
            <v>40</v>
          </cell>
        </row>
        <row r="42">
          <cell r="A42">
            <v>41</v>
          </cell>
        </row>
        <row r="43">
          <cell r="A43">
            <v>42</v>
          </cell>
        </row>
        <row r="44">
          <cell r="A44">
            <v>43</v>
          </cell>
        </row>
        <row r="45">
          <cell r="A45">
            <v>44</v>
          </cell>
        </row>
        <row r="46">
          <cell r="A46">
            <v>45</v>
          </cell>
        </row>
        <row r="47">
          <cell r="A47">
            <v>46</v>
          </cell>
        </row>
        <row r="48">
          <cell r="A48">
            <v>47</v>
          </cell>
        </row>
        <row r="49">
          <cell r="A49">
            <v>48</v>
          </cell>
        </row>
        <row r="50">
          <cell r="A50">
            <v>49</v>
          </cell>
        </row>
        <row r="51">
          <cell r="A51">
            <v>50</v>
          </cell>
        </row>
        <row r="52">
          <cell r="A52">
            <v>51</v>
          </cell>
        </row>
        <row r="53">
          <cell r="A53">
            <v>52</v>
          </cell>
        </row>
        <row r="54">
          <cell r="A54">
            <v>53</v>
          </cell>
        </row>
        <row r="55">
          <cell r="A55">
            <v>54</v>
          </cell>
        </row>
        <row r="56">
          <cell r="A56">
            <v>55</v>
          </cell>
        </row>
        <row r="57">
          <cell r="A57">
            <v>56</v>
          </cell>
        </row>
        <row r="58">
          <cell r="A58">
            <v>57</v>
          </cell>
        </row>
        <row r="59">
          <cell r="A59">
            <v>58</v>
          </cell>
        </row>
        <row r="60">
          <cell r="A60">
            <v>59</v>
          </cell>
        </row>
        <row r="61">
          <cell r="A61">
            <v>60</v>
          </cell>
        </row>
        <row r="62">
          <cell r="A62">
            <v>61</v>
          </cell>
        </row>
        <row r="63">
          <cell r="A63">
            <v>62</v>
          </cell>
        </row>
        <row r="64">
          <cell r="A64">
            <v>63</v>
          </cell>
        </row>
        <row r="65">
          <cell r="A65">
            <v>64</v>
          </cell>
        </row>
        <row r="66">
          <cell r="A66">
            <v>65</v>
          </cell>
        </row>
        <row r="67">
          <cell r="A67">
            <v>66</v>
          </cell>
        </row>
        <row r="68">
          <cell r="A68">
            <v>67</v>
          </cell>
        </row>
        <row r="69">
          <cell r="A69">
            <v>68</v>
          </cell>
        </row>
        <row r="70">
          <cell r="A70">
            <v>69</v>
          </cell>
        </row>
        <row r="71">
          <cell r="A71">
            <v>70</v>
          </cell>
        </row>
        <row r="72">
          <cell r="A72">
            <v>71</v>
          </cell>
        </row>
        <row r="73">
          <cell r="A73">
            <v>72</v>
          </cell>
        </row>
        <row r="74">
          <cell r="A74">
            <v>73</v>
          </cell>
        </row>
        <row r="75">
          <cell r="A75">
            <v>74</v>
          </cell>
        </row>
        <row r="76">
          <cell r="A76">
            <v>75</v>
          </cell>
        </row>
        <row r="77">
          <cell r="A77">
            <v>76</v>
          </cell>
        </row>
        <row r="78">
          <cell r="A78">
            <v>77</v>
          </cell>
        </row>
        <row r="79">
          <cell r="A79">
            <v>78</v>
          </cell>
        </row>
        <row r="80">
          <cell r="A80">
            <v>79</v>
          </cell>
        </row>
        <row r="81">
          <cell r="A81">
            <v>80</v>
          </cell>
        </row>
        <row r="82">
          <cell r="A82">
            <v>81</v>
          </cell>
        </row>
        <row r="83">
          <cell r="A83">
            <v>82</v>
          </cell>
        </row>
        <row r="84">
          <cell r="A84">
            <v>83</v>
          </cell>
        </row>
        <row r="85">
          <cell r="A85">
            <v>84</v>
          </cell>
        </row>
        <row r="86">
          <cell r="A86">
            <v>85</v>
          </cell>
        </row>
        <row r="87">
          <cell r="A87">
            <v>86</v>
          </cell>
        </row>
        <row r="88">
          <cell r="A88">
            <v>87</v>
          </cell>
        </row>
        <row r="89">
          <cell r="A89">
            <v>88</v>
          </cell>
        </row>
        <row r="90">
          <cell r="A90">
            <v>89</v>
          </cell>
        </row>
        <row r="91">
          <cell r="A91">
            <v>90</v>
          </cell>
        </row>
        <row r="92">
          <cell r="A92">
            <v>91</v>
          </cell>
        </row>
        <row r="93">
          <cell r="A93">
            <v>92</v>
          </cell>
        </row>
        <row r="94">
          <cell r="A94">
            <v>93</v>
          </cell>
        </row>
        <row r="95">
          <cell r="A95">
            <v>94</v>
          </cell>
        </row>
        <row r="96">
          <cell r="A96">
            <v>95</v>
          </cell>
        </row>
        <row r="97">
          <cell r="A97">
            <v>96</v>
          </cell>
        </row>
        <row r="98">
          <cell r="A98">
            <v>97</v>
          </cell>
        </row>
        <row r="99">
          <cell r="A99">
            <v>98</v>
          </cell>
        </row>
        <row r="100">
          <cell r="A100">
            <v>99</v>
          </cell>
        </row>
        <row r="101">
          <cell r="A101">
            <v>100</v>
          </cell>
        </row>
        <row r="102">
          <cell r="A102">
            <v>101</v>
          </cell>
        </row>
        <row r="103">
          <cell r="A103">
            <v>102</v>
          </cell>
        </row>
        <row r="104">
          <cell r="A104">
            <v>103</v>
          </cell>
        </row>
        <row r="105">
          <cell r="A105">
            <v>104</v>
          </cell>
        </row>
        <row r="106">
          <cell r="A106">
            <v>105</v>
          </cell>
        </row>
        <row r="107">
          <cell r="A107">
            <v>106</v>
          </cell>
        </row>
        <row r="108">
          <cell r="A108">
            <v>107</v>
          </cell>
        </row>
        <row r="109">
          <cell r="A109">
            <v>108</v>
          </cell>
        </row>
        <row r="110">
          <cell r="A110">
            <v>109</v>
          </cell>
        </row>
        <row r="111">
          <cell r="A111">
            <v>110</v>
          </cell>
        </row>
        <row r="112">
          <cell r="A112">
            <v>111</v>
          </cell>
        </row>
        <row r="113">
          <cell r="A113">
            <v>112</v>
          </cell>
        </row>
        <row r="114">
          <cell r="A114">
            <v>113</v>
          </cell>
        </row>
        <row r="115">
          <cell r="A115">
            <v>114</v>
          </cell>
        </row>
        <row r="116">
          <cell r="A116">
            <v>115</v>
          </cell>
        </row>
        <row r="117">
          <cell r="A117">
            <v>116</v>
          </cell>
        </row>
        <row r="118">
          <cell r="A118">
            <v>117</v>
          </cell>
        </row>
        <row r="119">
          <cell r="A119">
            <v>118</v>
          </cell>
        </row>
        <row r="120">
          <cell r="A120">
            <v>119</v>
          </cell>
        </row>
        <row r="121">
          <cell r="A121">
            <v>120</v>
          </cell>
        </row>
        <row r="122">
          <cell r="A122">
            <v>121</v>
          </cell>
        </row>
        <row r="123">
          <cell r="A123">
            <v>122</v>
          </cell>
        </row>
        <row r="124">
          <cell r="A124">
            <v>123</v>
          </cell>
        </row>
        <row r="125">
          <cell r="A125">
            <v>124</v>
          </cell>
        </row>
        <row r="126">
          <cell r="A126">
            <v>125</v>
          </cell>
        </row>
        <row r="127">
          <cell r="A127">
            <v>126</v>
          </cell>
        </row>
        <row r="128">
          <cell r="A128">
            <v>127</v>
          </cell>
        </row>
        <row r="129">
          <cell r="A129">
            <v>128</v>
          </cell>
        </row>
        <row r="130">
          <cell r="A130">
            <v>129</v>
          </cell>
        </row>
        <row r="131">
          <cell r="A131">
            <v>130</v>
          </cell>
        </row>
        <row r="132">
          <cell r="A132">
            <v>131</v>
          </cell>
        </row>
        <row r="133">
          <cell r="A133">
            <v>132</v>
          </cell>
        </row>
        <row r="134">
          <cell r="A134">
            <v>133</v>
          </cell>
        </row>
        <row r="135">
          <cell r="A135">
            <v>134</v>
          </cell>
        </row>
        <row r="136">
          <cell r="A136">
            <v>135</v>
          </cell>
        </row>
        <row r="137">
          <cell r="A137">
            <v>136</v>
          </cell>
        </row>
        <row r="138">
          <cell r="A138">
            <v>137</v>
          </cell>
        </row>
        <row r="139">
          <cell r="A139">
            <v>138</v>
          </cell>
        </row>
        <row r="140">
          <cell r="A140">
            <v>139</v>
          </cell>
        </row>
        <row r="141">
          <cell r="A141">
            <v>140</v>
          </cell>
        </row>
        <row r="142">
          <cell r="A142">
            <v>141</v>
          </cell>
        </row>
        <row r="143">
          <cell r="A143">
            <v>142</v>
          </cell>
        </row>
        <row r="144">
          <cell r="A144">
            <v>143</v>
          </cell>
        </row>
        <row r="145">
          <cell r="A145">
            <v>144</v>
          </cell>
        </row>
        <row r="146">
          <cell r="A146">
            <v>145</v>
          </cell>
        </row>
        <row r="147">
          <cell r="A147">
            <v>146</v>
          </cell>
        </row>
        <row r="148">
          <cell r="A148">
            <v>147</v>
          </cell>
        </row>
        <row r="149">
          <cell r="A149">
            <v>148</v>
          </cell>
        </row>
        <row r="150">
          <cell r="A150">
            <v>149</v>
          </cell>
        </row>
        <row r="151">
          <cell r="A151">
            <v>150</v>
          </cell>
        </row>
        <row r="152">
          <cell r="A152">
            <v>151</v>
          </cell>
        </row>
        <row r="153">
          <cell r="A153">
            <v>152</v>
          </cell>
        </row>
        <row r="154">
          <cell r="A154">
            <v>153</v>
          </cell>
        </row>
        <row r="155">
          <cell r="A155">
            <v>154</v>
          </cell>
        </row>
        <row r="156">
          <cell r="A156">
            <v>155</v>
          </cell>
        </row>
        <row r="157">
          <cell r="A157">
            <v>156</v>
          </cell>
        </row>
        <row r="158">
          <cell r="A158">
            <v>157</v>
          </cell>
        </row>
        <row r="159">
          <cell r="A159">
            <v>158</v>
          </cell>
        </row>
        <row r="160">
          <cell r="A160">
            <v>159</v>
          </cell>
        </row>
        <row r="161">
          <cell r="A161">
            <v>160</v>
          </cell>
        </row>
        <row r="162">
          <cell r="A162">
            <v>161</v>
          </cell>
        </row>
        <row r="163">
          <cell r="A163">
            <v>162</v>
          </cell>
        </row>
        <row r="164">
          <cell r="A164">
            <v>163</v>
          </cell>
        </row>
        <row r="165">
          <cell r="A165">
            <v>164</v>
          </cell>
        </row>
        <row r="166">
          <cell r="A166">
            <v>165</v>
          </cell>
        </row>
        <row r="167">
          <cell r="A167">
            <v>166</v>
          </cell>
        </row>
        <row r="168">
          <cell r="A168">
            <v>167</v>
          </cell>
        </row>
        <row r="169">
          <cell r="A169">
            <v>168</v>
          </cell>
        </row>
        <row r="170">
          <cell r="A170">
            <v>169</v>
          </cell>
        </row>
        <row r="171">
          <cell r="A171">
            <v>170</v>
          </cell>
        </row>
        <row r="172">
          <cell r="A172">
            <v>171</v>
          </cell>
        </row>
        <row r="173">
          <cell r="A173">
            <v>172</v>
          </cell>
        </row>
        <row r="174">
          <cell r="A174">
            <v>173</v>
          </cell>
        </row>
        <row r="175">
          <cell r="A175">
            <v>174</v>
          </cell>
        </row>
        <row r="176">
          <cell r="A176">
            <v>175</v>
          </cell>
        </row>
        <row r="177">
          <cell r="A177">
            <v>176</v>
          </cell>
        </row>
        <row r="178">
          <cell r="A178">
            <v>177</v>
          </cell>
        </row>
        <row r="179">
          <cell r="A179">
            <v>178</v>
          </cell>
        </row>
        <row r="180">
          <cell r="A180">
            <v>179</v>
          </cell>
        </row>
        <row r="181">
          <cell r="A181">
            <v>180</v>
          </cell>
        </row>
        <row r="182">
          <cell r="A182">
            <v>181</v>
          </cell>
        </row>
        <row r="183">
          <cell r="A183">
            <v>182</v>
          </cell>
        </row>
        <row r="184">
          <cell r="A184">
            <v>183</v>
          </cell>
        </row>
        <row r="185">
          <cell r="A185">
            <v>184</v>
          </cell>
        </row>
        <row r="186">
          <cell r="A186">
            <v>185</v>
          </cell>
        </row>
        <row r="187">
          <cell r="A187">
            <v>186</v>
          </cell>
        </row>
        <row r="188">
          <cell r="A188">
            <v>187</v>
          </cell>
        </row>
        <row r="189">
          <cell r="A189">
            <v>188</v>
          </cell>
        </row>
        <row r="190">
          <cell r="A190">
            <v>189</v>
          </cell>
        </row>
        <row r="191">
          <cell r="A191">
            <v>190</v>
          </cell>
        </row>
        <row r="192">
          <cell r="A192">
            <v>191</v>
          </cell>
        </row>
        <row r="193">
          <cell r="A193">
            <v>192</v>
          </cell>
        </row>
        <row r="194">
          <cell r="A194">
            <v>193</v>
          </cell>
        </row>
        <row r="195">
          <cell r="A195">
            <v>194</v>
          </cell>
        </row>
        <row r="196">
          <cell r="A196">
            <v>195</v>
          </cell>
        </row>
        <row r="197">
          <cell r="A197">
            <v>196</v>
          </cell>
        </row>
        <row r="198">
          <cell r="A198">
            <v>197</v>
          </cell>
        </row>
        <row r="199">
          <cell r="A199">
            <v>198</v>
          </cell>
        </row>
        <row r="200">
          <cell r="A200">
            <v>199</v>
          </cell>
        </row>
        <row r="201">
          <cell r="A201">
            <v>200</v>
          </cell>
        </row>
        <row r="202">
          <cell r="A202">
            <v>201</v>
          </cell>
        </row>
        <row r="203">
          <cell r="A203">
            <v>202</v>
          </cell>
        </row>
        <row r="204">
          <cell r="A204">
            <v>203</v>
          </cell>
        </row>
        <row r="205">
          <cell r="A205">
            <v>204</v>
          </cell>
        </row>
        <row r="206">
          <cell r="A206">
            <v>205</v>
          </cell>
        </row>
        <row r="207">
          <cell r="A207">
            <v>206</v>
          </cell>
        </row>
        <row r="208">
          <cell r="A208">
            <v>207</v>
          </cell>
        </row>
        <row r="209">
          <cell r="A209">
            <v>208</v>
          </cell>
        </row>
        <row r="210">
          <cell r="A210">
            <v>209</v>
          </cell>
        </row>
        <row r="211">
          <cell r="A211">
            <v>210</v>
          </cell>
        </row>
        <row r="212">
          <cell r="A212">
            <v>211</v>
          </cell>
        </row>
        <row r="213">
          <cell r="A213">
            <v>212</v>
          </cell>
        </row>
        <row r="214">
          <cell r="A214">
            <v>213</v>
          </cell>
        </row>
        <row r="215">
          <cell r="A215">
            <v>214</v>
          </cell>
        </row>
        <row r="216">
          <cell r="A216">
            <v>215</v>
          </cell>
        </row>
        <row r="217">
          <cell r="A217">
            <v>216</v>
          </cell>
        </row>
        <row r="218">
          <cell r="A218">
            <v>217</v>
          </cell>
        </row>
        <row r="219">
          <cell r="A219">
            <v>218</v>
          </cell>
        </row>
        <row r="220">
          <cell r="A220">
            <v>219</v>
          </cell>
        </row>
        <row r="221">
          <cell r="A221">
            <v>220</v>
          </cell>
        </row>
        <row r="222">
          <cell r="A222">
            <v>221</v>
          </cell>
        </row>
        <row r="223">
          <cell r="A223">
            <v>222</v>
          </cell>
        </row>
        <row r="224">
          <cell r="A224">
            <v>223</v>
          </cell>
        </row>
        <row r="225">
          <cell r="A225">
            <v>224</v>
          </cell>
        </row>
        <row r="226">
          <cell r="A226">
            <v>225</v>
          </cell>
        </row>
        <row r="227">
          <cell r="A227">
            <v>226</v>
          </cell>
        </row>
        <row r="228">
          <cell r="A228">
            <v>227</v>
          </cell>
        </row>
        <row r="229">
          <cell r="A229">
            <v>228</v>
          </cell>
        </row>
        <row r="230">
          <cell r="A230">
            <v>229</v>
          </cell>
        </row>
        <row r="231">
          <cell r="A231">
            <v>230</v>
          </cell>
        </row>
        <row r="232">
          <cell r="A232">
            <v>231</v>
          </cell>
        </row>
        <row r="233">
          <cell r="A233">
            <v>232</v>
          </cell>
        </row>
        <row r="234">
          <cell r="A234">
            <v>233</v>
          </cell>
        </row>
        <row r="235">
          <cell r="A235">
            <v>234</v>
          </cell>
        </row>
        <row r="236">
          <cell r="A236">
            <v>235</v>
          </cell>
        </row>
        <row r="237">
          <cell r="A237">
            <v>236</v>
          </cell>
        </row>
        <row r="238">
          <cell r="A238">
            <v>237</v>
          </cell>
        </row>
        <row r="239">
          <cell r="A239">
            <v>238</v>
          </cell>
        </row>
        <row r="240">
          <cell r="A240">
            <v>239</v>
          </cell>
        </row>
        <row r="241">
          <cell r="A241">
            <v>240</v>
          </cell>
        </row>
        <row r="242">
          <cell r="A242">
            <v>241</v>
          </cell>
        </row>
        <row r="243">
          <cell r="A243">
            <v>242</v>
          </cell>
        </row>
        <row r="244">
          <cell r="A244">
            <v>243</v>
          </cell>
        </row>
        <row r="245">
          <cell r="A245">
            <v>244</v>
          </cell>
        </row>
        <row r="246">
          <cell r="A246">
            <v>245</v>
          </cell>
        </row>
        <row r="247">
          <cell r="A247">
            <v>246</v>
          </cell>
        </row>
        <row r="248">
          <cell r="A248">
            <v>247</v>
          </cell>
        </row>
        <row r="249">
          <cell r="A249">
            <v>248</v>
          </cell>
        </row>
        <row r="250">
          <cell r="A250">
            <v>249</v>
          </cell>
        </row>
        <row r="251">
          <cell r="A251">
            <v>250</v>
          </cell>
        </row>
        <row r="252">
          <cell r="A252">
            <v>251</v>
          </cell>
        </row>
        <row r="253">
          <cell r="A253">
            <v>252</v>
          </cell>
        </row>
        <row r="254">
          <cell r="A254">
            <v>253</v>
          </cell>
        </row>
        <row r="255">
          <cell r="A255">
            <v>254</v>
          </cell>
        </row>
        <row r="256">
          <cell r="A256">
            <v>255</v>
          </cell>
        </row>
        <row r="257">
          <cell r="A257">
            <v>256</v>
          </cell>
        </row>
        <row r="258">
          <cell r="A258">
            <v>257</v>
          </cell>
        </row>
        <row r="259">
          <cell r="A259">
            <v>258</v>
          </cell>
        </row>
        <row r="260">
          <cell r="A260">
            <v>259</v>
          </cell>
        </row>
        <row r="261">
          <cell r="A261">
            <v>260</v>
          </cell>
        </row>
        <row r="262">
          <cell r="A262">
            <v>261</v>
          </cell>
        </row>
        <row r="263">
          <cell r="A263">
            <v>262</v>
          </cell>
        </row>
        <row r="264">
          <cell r="A264">
            <v>263</v>
          </cell>
        </row>
        <row r="265">
          <cell r="A265">
            <v>264</v>
          </cell>
        </row>
        <row r="266">
          <cell r="A266">
            <v>265</v>
          </cell>
        </row>
        <row r="267">
          <cell r="A267">
            <v>266</v>
          </cell>
        </row>
        <row r="268">
          <cell r="A268">
            <v>267</v>
          </cell>
        </row>
        <row r="269">
          <cell r="A269">
            <v>268</v>
          </cell>
        </row>
        <row r="270">
          <cell r="A270">
            <v>269</v>
          </cell>
        </row>
        <row r="271">
          <cell r="A271">
            <v>270</v>
          </cell>
        </row>
        <row r="272">
          <cell r="A272">
            <v>271</v>
          </cell>
        </row>
        <row r="273">
          <cell r="A273">
            <v>272</v>
          </cell>
        </row>
        <row r="274">
          <cell r="A274">
            <v>273</v>
          </cell>
        </row>
        <row r="275">
          <cell r="A275">
            <v>274</v>
          </cell>
        </row>
        <row r="276">
          <cell r="A276">
            <v>275</v>
          </cell>
        </row>
        <row r="277">
          <cell r="A277">
            <v>276</v>
          </cell>
        </row>
        <row r="278">
          <cell r="A278">
            <v>277</v>
          </cell>
        </row>
        <row r="279">
          <cell r="A279">
            <v>278</v>
          </cell>
        </row>
        <row r="280">
          <cell r="A280">
            <v>279</v>
          </cell>
        </row>
        <row r="281">
          <cell r="A281">
            <v>280</v>
          </cell>
        </row>
        <row r="282">
          <cell r="A282">
            <v>281</v>
          </cell>
        </row>
        <row r="283">
          <cell r="A283">
            <v>282</v>
          </cell>
        </row>
        <row r="284">
          <cell r="A284">
            <v>283</v>
          </cell>
        </row>
        <row r="285">
          <cell r="A285">
            <v>284</v>
          </cell>
        </row>
        <row r="286">
          <cell r="A286">
            <v>285</v>
          </cell>
        </row>
        <row r="287">
          <cell r="A287">
            <v>286</v>
          </cell>
        </row>
        <row r="288">
          <cell r="A288">
            <v>287</v>
          </cell>
        </row>
        <row r="289">
          <cell r="A289">
            <v>288</v>
          </cell>
        </row>
        <row r="290">
          <cell r="A290">
            <v>289</v>
          </cell>
        </row>
        <row r="291">
          <cell r="A291">
            <v>290</v>
          </cell>
        </row>
        <row r="292">
          <cell r="A292">
            <v>291</v>
          </cell>
        </row>
        <row r="293">
          <cell r="A293">
            <v>292</v>
          </cell>
        </row>
        <row r="294">
          <cell r="A294">
            <v>293</v>
          </cell>
        </row>
        <row r="295">
          <cell r="A295">
            <v>294</v>
          </cell>
        </row>
        <row r="296">
          <cell r="A296">
            <v>295</v>
          </cell>
        </row>
        <row r="297">
          <cell r="A297">
            <v>296</v>
          </cell>
        </row>
        <row r="298">
          <cell r="A298">
            <v>297</v>
          </cell>
        </row>
        <row r="299">
          <cell r="A299">
            <v>298</v>
          </cell>
        </row>
        <row r="300">
          <cell r="A300">
            <v>299</v>
          </cell>
        </row>
        <row r="301">
          <cell r="A301">
            <v>300</v>
          </cell>
        </row>
        <row r="302">
          <cell r="A302">
            <v>301</v>
          </cell>
        </row>
        <row r="303">
          <cell r="A303">
            <v>302</v>
          </cell>
        </row>
        <row r="304">
          <cell r="A304">
            <v>303</v>
          </cell>
        </row>
        <row r="305">
          <cell r="A305">
            <v>304</v>
          </cell>
        </row>
        <row r="306">
          <cell r="A306">
            <v>305</v>
          </cell>
        </row>
        <row r="307">
          <cell r="A307">
            <v>306</v>
          </cell>
        </row>
        <row r="308">
          <cell r="A308">
            <v>307</v>
          </cell>
        </row>
        <row r="309">
          <cell r="A309">
            <v>308</v>
          </cell>
        </row>
        <row r="310">
          <cell r="A310">
            <v>309</v>
          </cell>
        </row>
        <row r="311">
          <cell r="A311">
            <v>310</v>
          </cell>
        </row>
        <row r="312">
          <cell r="A312">
            <v>311</v>
          </cell>
        </row>
        <row r="313">
          <cell r="A313">
            <v>312</v>
          </cell>
        </row>
        <row r="314">
          <cell r="A314">
            <v>313</v>
          </cell>
        </row>
        <row r="315">
          <cell r="A315">
            <v>314</v>
          </cell>
        </row>
        <row r="316">
          <cell r="A316">
            <v>315</v>
          </cell>
        </row>
        <row r="317">
          <cell r="A317">
            <v>316</v>
          </cell>
        </row>
        <row r="318">
          <cell r="A318">
            <v>317</v>
          </cell>
        </row>
        <row r="319">
          <cell r="A319">
            <v>318</v>
          </cell>
        </row>
        <row r="320">
          <cell r="A320">
            <v>319</v>
          </cell>
        </row>
        <row r="321">
          <cell r="A321">
            <v>320</v>
          </cell>
        </row>
        <row r="322">
          <cell r="A322">
            <v>321</v>
          </cell>
        </row>
        <row r="323">
          <cell r="A323">
            <v>322</v>
          </cell>
        </row>
        <row r="324">
          <cell r="A324">
            <v>323</v>
          </cell>
        </row>
        <row r="325">
          <cell r="A325">
            <v>324</v>
          </cell>
        </row>
        <row r="326">
          <cell r="A326">
            <v>325</v>
          </cell>
        </row>
        <row r="327">
          <cell r="A327">
            <v>326</v>
          </cell>
        </row>
        <row r="328">
          <cell r="A328">
            <v>327</v>
          </cell>
        </row>
        <row r="329">
          <cell r="A329">
            <v>328</v>
          </cell>
        </row>
        <row r="330">
          <cell r="A330">
            <v>329</v>
          </cell>
        </row>
        <row r="331">
          <cell r="A331">
            <v>330</v>
          </cell>
        </row>
        <row r="332">
          <cell r="A332">
            <v>331</v>
          </cell>
        </row>
        <row r="333">
          <cell r="A333">
            <v>332</v>
          </cell>
        </row>
        <row r="334">
          <cell r="A334">
            <v>333</v>
          </cell>
        </row>
        <row r="335">
          <cell r="A335">
            <v>334</v>
          </cell>
        </row>
        <row r="336">
          <cell r="A336">
            <v>335</v>
          </cell>
        </row>
        <row r="337">
          <cell r="A337">
            <v>336</v>
          </cell>
        </row>
        <row r="338">
          <cell r="A338">
            <v>337</v>
          </cell>
        </row>
        <row r="339">
          <cell r="A339">
            <v>338</v>
          </cell>
        </row>
        <row r="340">
          <cell r="A340">
            <v>339</v>
          </cell>
        </row>
        <row r="341">
          <cell r="A341">
            <v>340</v>
          </cell>
        </row>
        <row r="342">
          <cell r="A342">
            <v>341</v>
          </cell>
        </row>
        <row r="343">
          <cell r="A343">
            <v>342</v>
          </cell>
        </row>
        <row r="344">
          <cell r="A344">
            <v>343</v>
          </cell>
        </row>
        <row r="345">
          <cell r="A345">
            <v>344</v>
          </cell>
        </row>
        <row r="346">
          <cell r="A346">
            <v>345</v>
          </cell>
        </row>
        <row r="347">
          <cell r="A347">
            <v>346</v>
          </cell>
        </row>
        <row r="348">
          <cell r="A348">
            <v>347</v>
          </cell>
        </row>
        <row r="349">
          <cell r="A349">
            <v>348</v>
          </cell>
        </row>
        <row r="350">
          <cell r="A350">
            <v>349</v>
          </cell>
        </row>
        <row r="351">
          <cell r="A351">
            <v>350</v>
          </cell>
        </row>
        <row r="352">
          <cell r="A352">
            <v>351</v>
          </cell>
        </row>
        <row r="353">
          <cell r="A353">
            <v>352</v>
          </cell>
        </row>
        <row r="354">
          <cell r="A354">
            <v>353</v>
          </cell>
        </row>
        <row r="355">
          <cell r="A355">
            <v>354</v>
          </cell>
        </row>
        <row r="356">
          <cell r="A356">
            <v>355</v>
          </cell>
        </row>
        <row r="357">
          <cell r="A357">
            <v>356</v>
          </cell>
        </row>
        <row r="358">
          <cell r="A358">
            <v>357</v>
          </cell>
        </row>
        <row r="359">
          <cell r="A359">
            <v>358</v>
          </cell>
        </row>
        <row r="360">
          <cell r="A360">
            <v>359</v>
          </cell>
        </row>
        <row r="361">
          <cell r="A361">
            <v>360</v>
          </cell>
        </row>
        <row r="362">
          <cell r="A362">
            <v>361</v>
          </cell>
        </row>
        <row r="363">
          <cell r="A363">
            <v>362</v>
          </cell>
        </row>
        <row r="364">
          <cell r="A364">
            <v>363</v>
          </cell>
        </row>
        <row r="365">
          <cell r="A365">
            <v>364</v>
          </cell>
        </row>
        <row r="366">
          <cell r="A366">
            <v>365</v>
          </cell>
        </row>
        <row r="367">
          <cell r="A367">
            <v>366</v>
          </cell>
        </row>
        <row r="368">
          <cell r="A368">
            <v>367</v>
          </cell>
        </row>
        <row r="369">
          <cell r="A369">
            <v>368</v>
          </cell>
        </row>
        <row r="370">
          <cell r="A370">
            <v>369</v>
          </cell>
        </row>
        <row r="371">
          <cell r="A371">
            <v>370</v>
          </cell>
        </row>
        <row r="372">
          <cell r="A372">
            <v>371</v>
          </cell>
        </row>
        <row r="373">
          <cell r="A373">
            <v>372</v>
          </cell>
        </row>
        <row r="374">
          <cell r="A374">
            <v>373</v>
          </cell>
        </row>
        <row r="375">
          <cell r="A375">
            <v>374</v>
          </cell>
        </row>
        <row r="376">
          <cell r="A376">
            <v>375</v>
          </cell>
        </row>
        <row r="377">
          <cell r="A377">
            <v>376</v>
          </cell>
        </row>
        <row r="378">
          <cell r="A378">
            <v>377</v>
          </cell>
        </row>
        <row r="379">
          <cell r="A379">
            <v>378</v>
          </cell>
        </row>
        <row r="380">
          <cell r="A380">
            <v>379</v>
          </cell>
        </row>
        <row r="381">
          <cell r="A381">
            <v>380</v>
          </cell>
        </row>
        <row r="382">
          <cell r="A382">
            <v>381</v>
          </cell>
        </row>
        <row r="383">
          <cell r="A383">
            <v>382</v>
          </cell>
        </row>
        <row r="384">
          <cell r="A384">
            <v>383</v>
          </cell>
        </row>
        <row r="385">
          <cell r="A385">
            <v>384</v>
          </cell>
        </row>
        <row r="386">
          <cell r="A386">
            <v>385</v>
          </cell>
        </row>
        <row r="387">
          <cell r="A387">
            <v>386</v>
          </cell>
        </row>
        <row r="388">
          <cell r="A388">
            <v>387</v>
          </cell>
        </row>
        <row r="389">
          <cell r="A389">
            <v>388</v>
          </cell>
        </row>
        <row r="390">
          <cell r="A390">
            <v>389</v>
          </cell>
        </row>
        <row r="391">
          <cell r="A391">
            <v>390</v>
          </cell>
        </row>
        <row r="392">
          <cell r="A392">
            <v>391</v>
          </cell>
        </row>
        <row r="393">
          <cell r="A393">
            <v>392</v>
          </cell>
        </row>
        <row r="394">
          <cell r="A394">
            <v>393</v>
          </cell>
        </row>
        <row r="395">
          <cell r="A395">
            <v>394</v>
          </cell>
        </row>
        <row r="396">
          <cell r="A396">
            <v>395</v>
          </cell>
        </row>
        <row r="397">
          <cell r="A397">
            <v>396</v>
          </cell>
        </row>
        <row r="398">
          <cell r="A398">
            <v>397</v>
          </cell>
        </row>
        <row r="399">
          <cell r="A399">
            <v>398</v>
          </cell>
        </row>
        <row r="400">
          <cell r="A400">
            <v>399</v>
          </cell>
        </row>
        <row r="401">
          <cell r="A401">
            <v>400</v>
          </cell>
        </row>
        <row r="402">
          <cell r="A402">
            <v>401</v>
          </cell>
        </row>
        <row r="403">
          <cell r="A403">
            <v>402</v>
          </cell>
        </row>
        <row r="404">
          <cell r="A404">
            <v>403</v>
          </cell>
        </row>
        <row r="405">
          <cell r="A405">
            <v>404</v>
          </cell>
        </row>
        <row r="406">
          <cell r="A406">
            <v>405</v>
          </cell>
        </row>
        <row r="407">
          <cell r="A407">
            <v>406</v>
          </cell>
        </row>
        <row r="408">
          <cell r="A408">
            <v>407</v>
          </cell>
        </row>
        <row r="409">
          <cell r="A409">
            <v>408</v>
          </cell>
        </row>
        <row r="410">
          <cell r="A410">
            <v>409</v>
          </cell>
        </row>
        <row r="411">
          <cell r="A411">
            <v>410</v>
          </cell>
        </row>
        <row r="412">
          <cell r="A412">
            <v>411</v>
          </cell>
        </row>
        <row r="413">
          <cell r="A413">
            <v>412</v>
          </cell>
        </row>
        <row r="414">
          <cell r="A414">
            <v>413</v>
          </cell>
        </row>
        <row r="415">
          <cell r="A415">
            <v>414</v>
          </cell>
        </row>
        <row r="416">
          <cell r="A416">
            <v>415</v>
          </cell>
        </row>
        <row r="417">
          <cell r="A417">
            <v>416</v>
          </cell>
        </row>
        <row r="418">
          <cell r="A418">
            <v>417</v>
          </cell>
        </row>
        <row r="419">
          <cell r="A419">
            <v>418</v>
          </cell>
        </row>
        <row r="420">
          <cell r="A420">
            <v>419</v>
          </cell>
        </row>
        <row r="421">
          <cell r="A421">
            <v>420</v>
          </cell>
        </row>
        <row r="422">
          <cell r="A422">
            <v>421</v>
          </cell>
        </row>
        <row r="423">
          <cell r="A423">
            <v>422</v>
          </cell>
        </row>
        <row r="424">
          <cell r="A424">
            <v>423</v>
          </cell>
        </row>
        <row r="425">
          <cell r="A425">
            <v>424</v>
          </cell>
        </row>
        <row r="426">
          <cell r="A426">
            <v>425</v>
          </cell>
        </row>
        <row r="427">
          <cell r="A427">
            <v>426</v>
          </cell>
        </row>
        <row r="428">
          <cell r="A428">
            <v>427</v>
          </cell>
        </row>
        <row r="429">
          <cell r="A429">
            <v>428</v>
          </cell>
        </row>
        <row r="430">
          <cell r="A430">
            <v>429</v>
          </cell>
        </row>
        <row r="431">
          <cell r="A431">
            <v>430</v>
          </cell>
        </row>
        <row r="432">
          <cell r="A432">
            <v>431</v>
          </cell>
        </row>
        <row r="433">
          <cell r="A433">
            <v>432</v>
          </cell>
        </row>
        <row r="434">
          <cell r="A434">
            <v>433</v>
          </cell>
        </row>
        <row r="435">
          <cell r="A435">
            <v>434</v>
          </cell>
        </row>
        <row r="436">
          <cell r="A436">
            <v>435</v>
          </cell>
        </row>
        <row r="437">
          <cell r="A437">
            <v>436</v>
          </cell>
        </row>
        <row r="438">
          <cell r="A438">
            <v>437</v>
          </cell>
        </row>
        <row r="439">
          <cell r="A439">
            <v>438</v>
          </cell>
        </row>
        <row r="440">
          <cell r="A440">
            <v>439</v>
          </cell>
        </row>
        <row r="441">
          <cell r="A441">
            <v>440</v>
          </cell>
        </row>
        <row r="442">
          <cell r="A442">
            <v>441</v>
          </cell>
        </row>
        <row r="443">
          <cell r="A443">
            <v>442</v>
          </cell>
        </row>
        <row r="444">
          <cell r="A444">
            <v>443</v>
          </cell>
        </row>
        <row r="445">
          <cell r="A445">
            <v>444</v>
          </cell>
        </row>
        <row r="446">
          <cell r="A446">
            <v>445</v>
          </cell>
        </row>
        <row r="447">
          <cell r="A447">
            <v>446</v>
          </cell>
        </row>
        <row r="448">
          <cell r="A448">
            <v>447</v>
          </cell>
        </row>
        <row r="449">
          <cell r="A449">
            <v>448</v>
          </cell>
        </row>
        <row r="450">
          <cell r="A450">
            <v>449</v>
          </cell>
        </row>
        <row r="451">
          <cell r="A451">
            <v>450</v>
          </cell>
        </row>
        <row r="452">
          <cell r="A452">
            <v>451</v>
          </cell>
        </row>
        <row r="453">
          <cell r="A453">
            <v>452</v>
          </cell>
        </row>
        <row r="454">
          <cell r="A454">
            <v>453</v>
          </cell>
        </row>
        <row r="455">
          <cell r="A455">
            <v>454</v>
          </cell>
        </row>
        <row r="456">
          <cell r="A456">
            <v>455</v>
          </cell>
        </row>
        <row r="457">
          <cell r="A457">
            <v>456</v>
          </cell>
        </row>
        <row r="458">
          <cell r="A458">
            <v>457</v>
          </cell>
        </row>
        <row r="459">
          <cell r="A459">
            <v>458</v>
          </cell>
        </row>
        <row r="460">
          <cell r="A460">
            <v>459</v>
          </cell>
        </row>
        <row r="461">
          <cell r="A461">
            <v>460</v>
          </cell>
        </row>
        <row r="462">
          <cell r="A462">
            <v>461</v>
          </cell>
        </row>
        <row r="463">
          <cell r="A463">
            <v>462</v>
          </cell>
        </row>
        <row r="464">
          <cell r="A464">
            <v>463</v>
          </cell>
        </row>
        <row r="465">
          <cell r="A465">
            <v>464</v>
          </cell>
        </row>
        <row r="466">
          <cell r="A466">
            <v>465</v>
          </cell>
        </row>
        <row r="467">
          <cell r="A467">
            <v>466</v>
          </cell>
        </row>
        <row r="468">
          <cell r="A468">
            <v>467</v>
          </cell>
        </row>
        <row r="469">
          <cell r="A469">
            <v>468</v>
          </cell>
        </row>
        <row r="470">
          <cell r="A470">
            <v>469</v>
          </cell>
        </row>
        <row r="471">
          <cell r="A471">
            <v>470</v>
          </cell>
        </row>
        <row r="472">
          <cell r="A472">
            <v>471</v>
          </cell>
        </row>
        <row r="473">
          <cell r="A473">
            <v>472</v>
          </cell>
        </row>
        <row r="474">
          <cell r="A474">
            <v>473</v>
          </cell>
        </row>
        <row r="475">
          <cell r="A475">
            <v>474</v>
          </cell>
        </row>
        <row r="476">
          <cell r="A476">
            <v>475</v>
          </cell>
        </row>
        <row r="477">
          <cell r="A477">
            <v>476</v>
          </cell>
        </row>
        <row r="478">
          <cell r="A478">
            <v>477</v>
          </cell>
        </row>
        <row r="479">
          <cell r="A479">
            <v>478</v>
          </cell>
        </row>
        <row r="480">
          <cell r="A480">
            <v>479</v>
          </cell>
        </row>
        <row r="481">
          <cell r="A481">
            <v>480</v>
          </cell>
        </row>
        <row r="482">
          <cell r="A482">
            <v>481</v>
          </cell>
        </row>
        <row r="483">
          <cell r="A483">
            <v>482</v>
          </cell>
        </row>
        <row r="484">
          <cell r="A484">
            <v>483</v>
          </cell>
        </row>
        <row r="485">
          <cell r="A485">
            <v>484</v>
          </cell>
        </row>
        <row r="486">
          <cell r="A486">
            <v>485</v>
          </cell>
        </row>
        <row r="487">
          <cell r="A487">
            <v>486</v>
          </cell>
        </row>
        <row r="488">
          <cell r="A488">
            <v>487</v>
          </cell>
        </row>
        <row r="489">
          <cell r="A489">
            <v>488</v>
          </cell>
        </row>
        <row r="490">
          <cell r="A490">
            <v>489</v>
          </cell>
        </row>
        <row r="491">
          <cell r="A491">
            <v>490</v>
          </cell>
        </row>
        <row r="492">
          <cell r="A492">
            <v>491</v>
          </cell>
        </row>
        <row r="493">
          <cell r="A493">
            <v>492</v>
          </cell>
        </row>
        <row r="494">
          <cell r="A494">
            <v>493</v>
          </cell>
        </row>
        <row r="495">
          <cell r="A495">
            <v>494</v>
          </cell>
        </row>
        <row r="496">
          <cell r="A496">
            <v>495</v>
          </cell>
        </row>
        <row r="497">
          <cell r="A497">
            <v>496</v>
          </cell>
        </row>
        <row r="498">
          <cell r="A498">
            <v>497</v>
          </cell>
        </row>
        <row r="499">
          <cell r="A499">
            <v>498</v>
          </cell>
        </row>
        <row r="500">
          <cell r="A500">
            <v>499</v>
          </cell>
        </row>
        <row r="501">
          <cell r="A501">
            <v>500</v>
          </cell>
        </row>
        <row r="502">
          <cell r="A502">
            <v>501</v>
          </cell>
        </row>
        <row r="503">
          <cell r="A503">
            <v>502</v>
          </cell>
        </row>
        <row r="504">
          <cell r="A504">
            <v>503</v>
          </cell>
        </row>
        <row r="505">
          <cell r="A505">
            <v>504</v>
          </cell>
        </row>
        <row r="506">
          <cell r="A506">
            <v>505</v>
          </cell>
        </row>
        <row r="507">
          <cell r="A507">
            <v>506</v>
          </cell>
        </row>
        <row r="508">
          <cell r="A508">
            <v>507</v>
          </cell>
        </row>
        <row r="509">
          <cell r="A509">
            <v>508</v>
          </cell>
        </row>
        <row r="510">
          <cell r="A510">
            <v>509</v>
          </cell>
        </row>
        <row r="511">
          <cell r="A511">
            <v>510</v>
          </cell>
        </row>
        <row r="512">
          <cell r="A512">
            <v>511</v>
          </cell>
        </row>
        <row r="513">
          <cell r="A513">
            <v>512</v>
          </cell>
        </row>
        <row r="514">
          <cell r="A514">
            <v>513</v>
          </cell>
        </row>
        <row r="515">
          <cell r="A515">
            <v>514</v>
          </cell>
        </row>
        <row r="516">
          <cell r="A516">
            <v>515</v>
          </cell>
        </row>
        <row r="517">
          <cell r="A517">
            <v>516</v>
          </cell>
        </row>
        <row r="518">
          <cell r="A518">
            <v>517</v>
          </cell>
        </row>
        <row r="519">
          <cell r="A519">
            <v>518</v>
          </cell>
        </row>
        <row r="520">
          <cell r="A520">
            <v>519</v>
          </cell>
        </row>
        <row r="521">
          <cell r="A521">
            <v>520</v>
          </cell>
        </row>
        <row r="522">
          <cell r="A522">
            <v>521</v>
          </cell>
        </row>
        <row r="523">
          <cell r="A523">
            <v>522</v>
          </cell>
        </row>
        <row r="524">
          <cell r="A524">
            <v>523</v>
          </cell>
        </row>
        <row r="525">
          <cell r="A525">
            <v>524</v>
          </cell>
        </row>
        <row r="526">
          <cell r="A526">
            <v>525</v>
          </cell>
        </row>
        <row r="527">
          <cell r="A527">
            <v>526</v>
          </cell>
        </row>
        <row r="528">
          <cell r="A528">
            <v>527</v>
          </cell>
        </row>
        <row r="529">
          <cell r="A529">
            <v>528</v>
          </cell>
        </row>
        <row r="530">
          <cell r="A530">
            <v>529</v>
          </cell>
        </row>
        <row r="531">
          <cell r="A531">
            <v>530</v>
          </cell>
        </row>
        <row r="532">
          <cell r="A532">
            <v>531</v>
          </cell>
        </row>
        <row r="533">
          <cell r="A533">
            <v>532</v>
          </cell>
        </row>
        <row r="534">
          <cell r="A534">
            <v>533</v>
          </cell>
        </row>
        <row r="535">
          <cell r="A535">
            <v>534</v>
          </cell>
        </row>
        <row r="536">
          <cell r="A536">
            <v>535</v>
          </cell>
        </row>
        <row r="537">
          <cell r="A537">
            <v>536</v>
          </cell>
        </row>
        <row r="538">
          <cell r="A538">
            <v>537</v>
          </cell>
        </row>
        <row r="539">
          <cell r="A539">
            <v>538</v>
          </cell>
        </row>
        <row r="540">
          <cell r="A540">
            <v>539</v>
          </cell>
        </row>
        <row r="541">
          <cell r="A541">
            <v>540</v>
          </cell>
        </row>
        <row r="542">
          <cell r="A542">
            <v>541</v>
          </cell>
        </row>
        <row r="543">
          <cell r="A543">
            <v>542</v>
          </cell>
        </row>
        <row r="544">
          <cell r="A544">
            <v>543</v>
          </cell>
        </row>
        <row r="545">
          <cell r="A545">
            <v>544</v>
          </cell>
        </row>
        <row r="546">
          <cell r="A546">
            <v>545</v>
          </cell>
        </row>
        <row r="547">
          <cell r="A547">
            <v>546</v>
          </cell>
        </row>
        <row r="548">
          <cell r="A548">
            <v>547</v>
          </cell>
        </row>
        <row r="549">
          <cell r="A549">
            <v>548</v>
          </cell>
        </row>
        <row r="550">
          <cell r="A550">
            <v>549</v>
          </cell>
        </row>
        <row r="551">
          <cell r="A551">
            <v>550</v>
          </cell>
        </row>
        <row r="552">
          <cell r="A552">
            <v>551</v>
          </cell>
        </row>
        <row r="553">
          <cell r="A553">
            <v>552</v>
          </cell>
        </row>
        <row r="554">
          <cell r="A554">
            <v>553</v>
          </cell>
        </row>
        <row r="555">
          <cell r="A555">
            <v>554</v>
          </cell>
        </row>
        <row r="556">
          <cell r="A556">
            <v>555</v>
          </cell>
        </row>
        <row r="557">
          <cell r="A557">
            <v>556</v>
          </cell>
        </row>
        <row r="558">
          <cell r="A558">
            <v>557</v>
          </cell>
        </row>
        <row r="559">
          <cell r="A559">
            <v>558</v>
          </cell>
        </row>
        <row r="560">
          <cell r="A560">
            <v>559</v>
          </cell>
        </row>
        <row r="561">
          <cell r="A561">
            <v>560</v>
          </cell>
        </row>
        <row r="562">
          <cell r="A562">
            <v>561</v>
          </cell>
        </row>
        <row r="563">
          <cell r="A563">
            <v>562</v>
          </cell>
        </row>
        <row r="564">
          <cell r="A564">
            <v>563</v>
          </cell>
        </row>
        <row r="565">
          <cell r="A565">
            <v>564</v>
          </cell>
        </row>
        <row r="566">
          <cell r="A566">
            <v>565</v>
          </cell>
        </row>
        <row r="567">
          <cell r="A567">
            <v>566</v>
          </cell>
        </row>
        <row r="568">
          <cell r="A568">
            <v>567</v>
          </cell>
        </row>
        <row r="569">
          <cell r="A569">
            <v>568</v>
          </cell>
        </row>
        <row r="570">
          <cell r="A570">
            <v>569</v>
          </cell>
        </row>
        <row r="571">
          <cell r="A571">
            <v>570</v>
          </cell>
        </row>
        <row r="572">
          <cell r="A572">
            <v>571</v>
          </cell>
        </row>
        <row r="573">
          <cell r="A573">
            <v>572</v>
          </cell>
        </row>
        <row r="574">
          <cell r="A574">
            <v>573</v>
          </cell>
        </row>
        <row r="575">
          <cell r="A575">
            <v>574</v>
          </cell>
        </row>
        <row r="576">
          <cell r="A576">
            <v>575</v>
          </cell>
        </row>
        <row r="577">
          <cell r="A577">
            <v>576</v>
          </cell>
        </row>
        <row r="578">
          <cell r="A578">
            <v>577</v>
          </cell>
        </row>
        <row r="579">
          <cell r="A579">
            <v>578</v>
          </cell>
        </row>
        <row r="580">
          <cell r="A580">
            <v>579</v>
          </cell>
        </row>
        <row r="581">
          <cell r="A581">
            <v>580</v>
          </cell>
        </row>
        <row r="582">
          <cell r="A582">
            <v>581</v>
          </cell>
        </row>
        <row r="583">
          <cell r="A583">
            <v>582</v>
          </cell>
        </row>
        <row r="584">
          <cell r="A584">
            <v>583</v>
          </cell>
        </row>
        <row r="585">
          <cell r="A585">
            <v>584</v>
          </cell>
        </row>
        <row r="586">
          <cell r="A586">
            <v>585</v>
          </cell>
        </row>
        <row r="587">
          <cell r="A587">
            <v>586</v>
          </cell>
        </row>
        <row r="588">
          <cell r="A588">
            <v>587</v>
          </cell>
        </row>
        <row r="589">
          <cell r="A589">
            <v>588</v>
          </cell>
        </row>
        <row r="590">
          <cell r="A590">
            <v>589</v>
          </cell>
        </row>
        <row r="591">
          <cell r="A591">
            <v>590</v>
          </cell>
        </row>
        <row r="592">
          <cell r="A592">
            <v>591</v>
          </cell>
        </row>
        <row r="593">
          <cell r="A593">
            <v>592</v>
          </cell>
        </row>
        <row r="594">
          <cell r="A594">
            <v>593</v>
          </cell>
        </row>
        <row r="595">
          <cell r="A595">
            <v>594</v>
          </cell>
        </row>
        <row r="596">
          <cell r="A596">
            <v>595</v>
          </cell>
        </row>
        <row r="597">
          <cell r="A597">
            <v>596</v>
          </cell>
        </row>
        <row r="598">
          <cell r="A598">
            <v>597</v>
          </cell>
        </row>
        <row r="599">
          <cell r="A599">
            <v>598</v>
          </cell>
        </row>
        <row r="600">
          <cell r="A600">
            <v>599</v>
          </cell>
        </row>
        <row r="601">
          <cell r="A601">
            <v>600</v>
          </cell>
        </row>
        <row r="602">
          <cell r="A602">
            <v>601</v>
          </cell>
        </row>
        <row r="603">
          <cell r="A603">
            <v>602</v>
          </cell>
        </row>
        <row r="604">
          <cell r="A604">
            <v>603</v>
          </cell>
        </row>
        <row r="605">
          <cell r="A605">
            <v>604</v>
          </cell>
        </row>
        <row r="606">
          <cell r="A606">
            <v>605</v>
          </cell>
        </row>
        <row r="607">
          <cell r="A607">
            <v>606</v>
          </cell>
        </row>
        <row r="608">
          <cell r="A608">
            <v>607</v>
          </cell>
        </row>
        <row r="609">
          <cell r="A609">
            <v>608</v>
          </cell>
        </row>
        <row r="610">
          <cell r="A610">
            <v>609</v>
          </cell>
        </row>
        <row r="611">
          <cell r="A611">
            <v>610</v>
          </cell>
        </row>
        <row r="612">
          <cell r="A612">
            <v>611</v>
          </cell>
        </row>
        <row r="613">
          <cell r="A613">
            <v>612</v>
          </cell>
        </row>
        <row r="614">
          <cell r="A614">
            <v>613</v>
          </cell>
        </row>
        <row r="615">
          <cell r="A615">
            <v>614</v>
          </cell>
        </row>
        <row r="616">
          <cell r="A616">
            <v>615</v>
          </cell>
        </row>
        <row r="617">
          <cell r="A617">
            <v>616</v>
          </cell>
        </row>
        <row r="618">
          <cell r="A618">
            <v>617</v>
          </cell>
        </row>
        <row r="619">
          <cell r="A619">
            <v>618</v>
          </cell>
        </row>
        <row r="620">
          <cell r="A620">
            <v>619</v>
          </cell>
        </row>
        <row r="621">
          <cell r="A621">
            <v>620</v>
          </cell>
        </row>
        <row r="622">
          <cell r="A622">
            <v>621</v>
          </cell>
        </row>
        <row r="623">
          <cell r="A623">
            <v>622</v>
          </cell>
        </row>
        <row r="624">
          <cell r="A624">
            <v>623</v>
          </cell>
        </row>
        <row r="625">
          <cell r="A625">
            <v>624</v>
          </cell>
        </row>
        <row r="626">
          <cell r="A626">
            <v>625</v>
          </cell>
        </row>
        <row r="627">
          <cell r="A627">
            <v>626</v>
          </cell>
        </row>
        <row r="628">
          <cell r="A628">
            <v>627</v>
          </cell>
        </row>
        <row r="629">
          <cell r="A629">
            <v>628</v>
          </cell>
        </row>
        <row r="630">
          <cell r="A630">
            <v>629</v>
          </cell>
        </row>
        <row r="631">
          <cell r="A631">
            <v>630</v>
          </cell>
        </row>
        <row r="632">
          <cell r="A632">
            <v>631</v>
          </cell>
        </row>
        <row r="633">
          <cell r="A633">
            <v>632</v>
          </cell>
        </row>
        <row r="634">
          <cell r="A634">
            <v>633</v>
          </cell>
        </row>
        <row r="635">
          <cell r="A635">
            <v>634</v>
          </cell>
        </row>
        <row r="636">
          <cell r="A636">
            <v>635</v>
          </cell>
        </row>
        <row r="637">
          <cell r="A637">
            <v>636</v>
          </cell>
        </row>
        <row r="638">
          <cell r="A638">
            <v>637</v>
          </cell>
        </row>
        <row r="639">
          <cell r="A639">
            <v>638</v>
          </cell>
        </row>
        <row r="640">
          <cell r="A640">
            <v>639</v>
          </cell>
        </row>
        <row r="641">
          <cell r="A641">
            <v>640</v>
          </cell>
        </row>
        <row r="642">
          <cell r="A642">
            <v>641</v>
          </cell>
        </row>
        <row r="643">
          <cell r="A643">
            <v>642</v>
          </cell>
        </row>
        <row r="644">
          <cell r="A644">
            <v>643</v>
          </cell>
        </row>
        <row r="645">
          <cell r="A645">
            <v>644</v>
          </cell>
        </row>
        <row r="646">
          <cell r="A646">
            <v>645</v>
          </cell>
        </row>
        <row r="647">
          <cell r="A647">
            <v>646</v>
          </cell>
        </row>
        <row r="648">
          <cell r="A648">
            <v>647</v>
          </cell>
        </row>
        <row r="649">
          <cell r="A649">
            <v>648</v>
          </cell>
        </row>
        <row r="650">
          <cell r="A650">
            <v>649</v>
          </cell>
        </row>
        <row r="651">
          <cell r="A651">
            <v>650</v>
          </cell>
        </row>
        <row r="652">
          <cell r="A652">
            <v>651</v>
          </cell>
        </row>
        <row r="653">
          <cell r="A653">
            <v>652</v>
          </cell>
        </row>
        <row r="654">
          <cell r="A654">
            <v>653</v>
          </cell>
        </row>
        <row r="655">
          <cell r="A655">
            <v>654</v>
          </cell>
        </row>
        <row r="656">
          <cell r="A656">
            <v>655</v>
          </cell>
        </row>
        <row r="657">
          <cell r="A657">
            <v>656</v>
          </cell>
        </row>
        <row r="658">
          <cell r="A658">
            <v>657</v>
          </cell>
        </row>
        <row r="659">
          <cell r="A659">
            <v>658</v>
          </cell>
        </row>
        <row r="660">
          <cell r="A660">
            <v>659</v>
          </cell>
        </row>
        <row r="661">
          <cell r="A661">
            <v>660</v>
          </cell>
        </row>
        <row r="662">
          <cell r="A662">
            <v>661</v>
          </cell>
        </row>
        <row r="663">
          <cell r="A663">
            <v>662</v>
          </cell>
        </row>
        <row r="664">
          <cell r="A664">
            <v>663</v>
          </cell>
        </row>
        <row r="665">
          <cell r="A665">
            <v>664</v>
          </cell>
        </row>
        <row r="666">
          <cell r="A666">
            <v>665</v>
          </cell>
        </row>
        <row r="667">
          <cell r="A667">
            <v>666</v>
          </cell>
        </row>
        <row r="668">
          <cell r="A668">
            <v>667</v>
          </cell>
        </row>
        <row r="669">
          <cell r="A669">
            <v>668</v>
          </cell>
        </row>
        <row r="670">
          <cell r="A670">
            <v>669</v>
          </cell>
        </row>
        <row r="671">
          <cell r="A671">
            <v>670</v>
          </cell>
        </row>
        <row r="672">
          <cell r="A672">
            <v>671</v>
          </cell>
        </row>
        <row r="673">
          <cell r="A673">
            <v>672</v>
          </cell>
        </row>
        <row r="674">
          <cell r="A674">
            <v>673</v>
          </cell>
        </row>
        <row r="675">
          <cell r="A675">
            <v>674</v>
          </cell>
        </row>
        <row r="676">
          <cell r="A676">
            <v>675</v>
          </cell>
        </row>
        <row r="677">
          <cell r="A677">
            <v>676</v>
          </cell>
        </row>
        <row r="678">
          <cell r="A678">
            <v>677</v>
          </cell>
        </row>
        <row r="679">
          <cell r="A679">
            <v>678</v>
          </cell>
        </row>
        <row r="680">
          <cell r="A680">
            <v>679</v>
          </cell>
        </row>
        <row r="681">
          <cell r="A681">
            <v>680</v>
          </cell>
        </row>
        <row r="682">
          <cell r="A682">
            <v>681</v>
          </cell>
        </row>
        <row r="683">
          <cell r="A683">
            <v>682</v>
          </cell>
        </row>
        <row r="684">
          <cell r="A684">
            <v>683</v>
          </cell>
        </row>
        <row r="685">
          <cell r="A685">
            <v>684</v>
          </cell>
        </row>
        <row r="686">
          <cell r="A686">
            <v>685</v>
          </cell>
        </row>
        <row r="687">
          <cell r="A687">
            <v>686</v>
          </cell>
        </row>
        <row r="688">
          <cell r="A688">
            <v>687</v>
          </cell>
        </row>
        <row r="689">
          <cell r="A689">
            <v>688</v>
          </cell>
        </row>
        <row r="690">
          <cell r="A690">
            <v>689</v>
          </cell>
        </row>
        <row r="691">
          <cell r="A691">
            <v>690</v>
          </cell>
        </row>
        <row r="692">
          <cell r="A692">
            <v>691</v>
          </cell>
        </row>
        <row r="693">
          <cell r="A693">
            <v>692</v>
          </cell>
        </row>
        <row r="694">
          <cell r="A694">
            <v>693</v>
          </cell>
        </row>
        <row r="695">
          <cell r="A695">
            <v>694</v>
          </cell>
        </row>
        <row r="696">
          <cell r="A696">
            <v>695</v>
          </cell>
        </row>
        <row r="697">
          <cell r="A697">
            <v>696</v>
          </cell>
        </row>
        <row r="698">
          <cell r="A698">
            <v>697</v>
          </cell>
        </row>
        <row r="699">
          <cell r="A699">
            <v>698</v>
          </cell>
        </row>
        <row r="700">
          <cell r="A700">
            <v>699</v>
          </cell>
        </row>
        <row r="701">
          <cell r="A701">
            <v>700</v>
          </cell>
        </row>
        <row r="702">
          <cell r="A702">
            <v>701</v>
          </cell>
        </row>
        <row r="703">
          <cell r="A703">
            <v>702</v>
          </cell>
        </row>
        <row r="704">
          <cell r="A704">
            <v>703</v>
          </cell>
        </row>
        <row r="705">
          <cell r="A705">
            <v>704</v>
          </cell>
        </row>
        <row r="706">
          <cell r="A706">
            <v>705</v>
          </cell>
        </row>
        <row r="707">
          <cell r="A707">
            <v>706</v>
          </cell>
        </row>
        <row r="708">
          <cell r="A708">
            <v>707</v>
          </cell>
        </row>
        <row r="709">
          <cell r="A709">
            <v>708</v>
          </cell>
        </row>
        <row r="710">
          <cell r="A710">
            <v>709</v>
          </cell>
        </row>
        <row r="711">
          <cell r="A711">
            <v>710</v>
          </cell>
        </row>
        <row r="712">
          <cell r="A712">
            <v>711</v>
          </cell>
        </row>
        <row r="713">
          <cell r="A713">
            <v>712</v>
          </cell>
        </row>
        <row r="714">
          <cell r="A714">
            <v>713</v>
          </cell>
        </row>
        <row r="715">
          <cell r="A715">
            <v>714</v>
          </cell>
        </row>
        <row r="716">
          <cell r="A716">
            <v>715</v>
          </cell>
        </row>
        <row r="717">
          <cell r="A717">
            <v>716</v>
          </cell>
        </row>
        <row r="718">
          <cell r="A718">
            <v>717</v>
          </cell>
        </row>
        <row r="719">
          <cell r="A719">
            <v>718</v>
          </cell>
        </row>
        <row r="720">
          <cell r="A720">
            <v>719</v>
          </cell>
        </row>
        <row r="721">
          <cell r="A721">
            <v>720</v>
          </cell>
        </row>
        <row r="722">
          <cell r="A722">
            <v>721</v>
          </cell>
        </row>
        <row r="723">
          <cell r="A723">
            <v>722</v>
          </cell>
        </row>
        <row r="724">
          <cell r="A724">
            <v>723</v>
          </cell>
        </row>
        <row r="725">
          <cell r="A725">
            <v>724</v>
          </cell>
        </row>
        <row r="726">
          <cell r="A726">
            <v>725</v>
          </cell>
        </row>
        <row r="727">
          <cell r="A727">
            <v>726</v>
          </cell>
        </row>
        <row r="728">
          <cell r="A728">
            <v>727</v>
          </cell>
        </row>
        <row r="729">
          <cell r="A729">
            <v>728</v>
          </cell>
        </row>
        <row r="730">
          <cell r="A730">
            <v>729</v>
          </cell>
        </row>
        <row r="731">
          <cell r="A731">
            <v>730</v>
          </cell>
        </row>
        <row r="732">
          <cell r="A732">
            <v>731</v>
          </cell>
        </row>
        <row r="733">
          <cell r="A733">
            <v>732</v>
          </cell>
        </row>
        <row r="734">
          <cell r="A734">
            <v>733</v>
          </cell>
        </row>
        <row r="735">
          <cell r="A735">
            <v>734</v>
          </cell>
        </row>
        <row r="736">
          <cell r="A736">
            <v>735</v>
          </cell>
        </row>
        <row r="737">
          <cell r="A737">
            <v>736</v>
          </cell>
        </row>
        <row r="738">
          <cell r="A738">
            <v>737</v>
          </cell>
        </row>
        <row r="739">
          <cell r="A739">
            <v>738</v>
          </cell>
        </row>
        <row r="740">
          <cell r="A740">
            <v>739</v>
          </cell>
        </row>
        <row r="741">
          <cell r="A741">
            <v>740</v>
          </cell>
        </row>
        <row r="742">
          <cell r="A742">
            <v>741</v>
          </cell>
        </row>
        <row r="743">
          <cell r="A743">
            <v>742</v>
          </cell>
        </row>
        <row r="744">
          <cell r="A744">
            <v>743</v>
          </cell>
        </row>
        <row r="745">
          <cell r="A745">
            <v>744</v>
          </cell>
        </row>
        <row r="746">
          <cell r="A746">
            <v>745</v>
          </cell>
        </row>
        <row r="747">
          <cell r="A747">
            <v>746</v>
          </cell>
        </row>
        <row r="748">
          <cell r="A748">
            <v>747</v>
          </cell>
        </row>
        <row r="749">
          <cell r="A749">
            <v>748</v>
          </cell>
        </row>
        <row r="750">
          <cell r="A750">
            <v>749</v>
          </cell>
        </row>
        <row r="751">
          <cell r="A751">
            <v>750</v>
          </cell>
        </row>
        <row r="752">
          <cell r="A752">
            <v>751</v>
          </cell>
        </row>
        <row r="753">
          <cell r="A753">
            <v>752</v>
          </cell>
        </row>
        <row r="754">
          <cell r="A754">
            <v>753</v>
          </cell>
        </row>
        <row r="755">
          <cell r="A755">
            <v>754</v>
          </cell>
        </row>
        <row r="756">
          <cell r="A756">
            <v>755</v>
          </cell>
        </row>
        <row r="757">
          <cell r="A757">
            <v>756</v>
          </cell>
        </row>
        <row r="758">
          <cell r="A758">
            <v>757</v>
          </cell>
        </row>
        <row r="759">
          <cell r="A759">
            <v>758</v>
          </cell>
        </row>
        <row r="760">
          <cell r="A760">
            <v>759</v>
          </cell>
        </row>
        <row r="761">
          <cell r="A761">
            <v>760</v>
          </cell>
        </row>
        <row r="762">
          <cell r="A762">
            <v>761</v>
          </cell>
        </row>
        <row r="763">
          <cell r="A763">
            <v>762</v>
          </cell>
        </row>
        <row r="764">
          <cell r="A764">
            <v>763</v>
          </cell>
        </row>
        <row r="765">
          <cell r="A765">
            <v>764</v>
          </cell>
        </row>
        <row r="766">
          <cell r="A766">
            <v>765</v>
          </cell>
        </row>
        <row r="767">
          <cell r="A767">
            <v>766</v>
          </cell>
        </row>
        <row r="768">
          <cell r="A768">
            <v>767</v>
          </cell>
        </row>
        <row r="769">
          <cell r="A769">
            <v>768</v>
          </cell>
        </row>
        <row r="770">
          <cell r="A770">
            <v>769</v>
          </cell>
        </row>
        <row r="771">
          <cell r="A771">
            <v>770</v>
          </cell>
        </row>
        <row r="772">
          <cell r="A772">
            <v>771</v>
          </cell>
        </row>
        <row r="773">
          <cell r="A773">
            <v>772</v>
          </cell>
        </row>
        <row r="774">
          <cell r="A774">
            <v>773</v>
          </cell>
        </row>
        <row r="775">
          <cell r="A775">
            <v>774</v>
          </cell>
        </row>
        <row r="776">
          <cell r="A776">
            <v>775</v>
          </cell>
        </row>
        <row r="777">
          <cell r="A777">
            <v>776</v>
          </cell>
        </row>
        <row r="778">
          <cell r="A778">
            <v>777</v>
          </cell>
        </row>
        <row r="779">
          <cell r="A779">
            <v>778</v>
          </cell>
        </row>
        <row r="780">
          <cell r="A780">
            <v>779</v>
          </cell>
        </row>
        <row r="781">
          <cell r="A781">
            <v>780</v>
          </cell>
        </row>
        <row r="782">
          <cell r="A782">
            <v>781</v>
          </cell>
        </row>
        <row r="783">
          <cell r="A783">
            <v>782</v>
          </cell>
        </row>
        <row r="784">
          <cell r="A784">
            <v>783</v>
          </cell>
        </row>
        <row r="785">
          <cell r="A785">
            <v>784</v>
          </cell>
        </row>
        <row r="786">
          <cell r="A786">
            <v>785</v>
          </cell>
        </row>
        <row r="787">
          <cell r="A787">
            <v>786</v>
          </cell>
        </row>
        <row r="788">
          <cell r="A788">
            <v>787</v>
          </cell>
        </row>
        <row r="789">
          <cell r="A789">
            <v>788</v>
          </cell>
        </row>
        <row r="790">
          <cell r="A790">
            <v>789</v>
          </cell>
        </row>
        <row r="791">
          <cell r="A791">
            <v>790</v>
          </cell>
        </row>
        <row r="792">
          <cell r="A792">
            <v>791</v>
          </cell>
        </row>
        <row r="793">
          <cell r="A793">
            <v>792</v>
          </cell>
        </row>
        <row r="794">
          <cell r="A794">
            <v>793</v>
          </cell>
        </row>
        <row r="795">
          <cell r="A795">
            <v>794</v>
          </cell>
        </row>
        <row r="796">
          <cell r="A796">
            <v>795</v>
          </cell>
        </row>
        <row r="797">
          <cell r="A797">
            <v>796</v>
          </cell>
        </row>
        <row r="798">
          <cell r="A798">
            <v>797</v>
          </cell>
        </row>
        <row r="799">
          <cell r="A799">
            <v>798</v>
          </cell>
        </row>
        <row r="800">
          <cell r="A800">
            <v>799</v>
          </cell>
        </row>
        <row r="801">
          <cell r="A801">
            <v>800</v>
          </cell>
        </row>
        <row r="802">
          <cell r="A802">
            <v>801</v>
          </cell>
        </row>
        <row r="803">
          <cell r="A803">
            <v>802</v>
          </cell>
        </row>
        <row r="804">
          <cell r="A804">
            <v>803</v>
          </cell>
        </row>
        <row r="805">
          <cell r="A805">
            <v>804</v>
          </cell>
        </row>
        <row r="806">
          <cell r="A806">
            <v>805</v>
          </cell>
        </row>
        <row r="807">
          <cell r="A807">
            <v>806</v>
          </cell>
        </row>
        <row r="808">
          <cell r="A808">
            <v>807</v>
          </cell>
        </row>
        <row r="809">
          <cell r="A809">
            <v>808</v>
          </cell>
        </row>
        <row r="810">
          <cell r="A810">
            <v>809</v>
          </cell>
        </row>
        <row r="811">
          <cell r="A811">
            <v>810</v>
          </cell>
        </row>
        <row r="812">
          <cell r="A812">
            <v>811</v>
          </cell>
        </row>
        <row r="813">
          <cell r="A813">
            <v>812</v>
          </cell>
        </row>
        <row r="814">
          <cell r="A814">
            <v>813</v>
          </cell>
        </row>
        <row r="815">
          <cell r="A815">
            <v>814</v>
          </cell>
        </row>
        <row r="816">
          <cell r="A816">
            <v>815</v>
          </cell>
        </row>
        <row r="817">
          <cell r="A817">
            <v>816</v>
          </cell>
        </row>
        <row r="818">
          <cell r="A818">
            <v>817</v>
          </cell>
        </row>
        <row r="819">
          <cell r="A819">
            <v>818</v>
          </cell>
        </row>
        <row r="820">
          <cell r="A820">
            <v>819</v>
          </cell>
        </row>
        <row r="821">
          <cell r="A821">
            <v>820</v>
          </cell>
        </row>
        <row r="822">
          <cell r="A822">
            <v>821</v>
          </cell>
        </row>
        <row r="823">
          <cell r="A823">
            <v>822</v>
          </cell>
        </row>
        <row r="824">
          <cell r="A824">
            <v>823</v>
          </cell>
        </row>
        <row r="825">
          <cell r="A825">
            <v>824</v>
          </cell>
        </row>
        <row r="826">
          <cell r="A826">
            <v>825</v>
          </cell>
        </row>
        <row r="827">
          <cell r="A827">
            <v>826</v>
          </cell>
        </row>
        <row r="828">
          <cell r="A828">
            <v>827</v>
          </cell>
        </row>
        <row r="829">
          <cell r="A829">
            <v>828</v>
          </cell>
        </row>
        <row r="830">
          <cell r="A830">
            <v>829</v>
          </cell>
        </row>
        <row r="831">
          <cell r="A831">
            <v>830</v>
          </cell>
        </row>
        <row r="832">
          <cell r="A832">
            <v>831</v>
          </cell>
        </row>
        <row r="833">
          <cell r="A833">
            <v>832</v>
          </cell>
        </row>
        <row r="834">
          <cell r="A834">
            <v>833</v>
          </cell>
        </row>
        <row r="835">
          <cell r="A835">
            <v>834</v>
          </cell>
        </row>
        <row r="836">
          <cell r="A836">
            <v>835</v>
          </cell>
        </row>
        <row r="837">
          <cell r="A837">
            <v>836</v>
          </cell>
        </row>
        <row r="838">
          <cell r="A838">
            <v>837</v>
          </cell>
        </row>
        <row r="839">
          <cell r="A839">
            <v>838</v>
          </cell>
        </row>
        <row r="840">
          <cell r="A840">
            <v>839</v>
          </cell>
        </row>
        <row r="841">
          <cell r="A841">
            <v>840</v>
          </cell>
        </row>
        <row r="842">
          <cell r="A842">
            <v>841</v>
          </cell>
        </row>
        <row r="843">
          <cell r="A843">
            <v>842</v>
          </cell>
        </row>
        <row r="844">
          <cell r="A844">
            <v>843</v>
          </cell>
        </row>
        <row r="845">
          <cell r="A845">
            <v>844</v>
          </cell>
        </row>
        <row r="846">
          <cell r="A846">
            <v>845</v>
          </cell>
        </row>
        <row r="847">
          <cell r="A847">
            <v>846</v>
          </cell>
        </row>
        <row r="848">
          <cell r="A848">
            <v>847</v>
          </cell>
        </row>
        <row r="849">
          <cell r="A849">
            <v>848</v>
          </cell>
        </row>
        <row r="850">
          <cell r="A850">
            <v>849</v>
          </cell>
        </row>
        <row r="851">
          <cell r="A851">
            <v>850</v>
          </cell>
        </row>
        <row r="852">
          <cell r="A852">
            <v>851</v>
          </cell>
        </row>
        <row r="853">
          <cell r="A853">
            <v>852</v>
          </cell>
        </row>
        <row r="854">
          <cell r="A854">
            <v>853</v>
          </cell>
        </row>
        <row r="855">
          <cell r="A855">
            <v>854</v>
          </cell>
        </row>
        <row r="856">
          <cell r="A856">
            <v>855</v>
          </cell>
        </row>
        <row r="857">
          <cell r="A857">
            <v>856</v>
          </cell>
        </row>
        <row r="858">
          <cell r="A858">
            <v>857</v>
          </cell>
        </row>
        <row r="859">
          <cell r="A859">
            <v>858</v>
          </cell>
        </row>
        <row r="860">
          <cell r="A860">
            <v>859</v>
          </cell>
        </row>
        <row r="861">
          <cell r="A861">
            <v>860</v>
          </cell>
        </row>
        <row r="862">
          <cell r="A862">
            <v>861</v>
          </cell>
        </row>
        <row r="863">
          <cell r="A863">
            <v>862</v>
          </cell>
        </row>
        <row r="864">
          <cell r="A864">
            <v>863</v>
          </cell>
        </row>
        <row r="865">
          <cell r="A865">
            <v>864</v>
          </cell>
        </row>
        <row r="866">
          <cell r="A866">
            <v>865</v>
          </cell>
        </row>
        <row r="867">
          <cell r="A867">
            <v>866</v>
          </cell>
        </row>
        <row r="868">
          <cell r="A868">
            <v>867</v>
          </cell>
        </row>
        <row r="869">
          <cell r="A869">
            <v>868</v>
          </cell>
        </row>
        <row r="870">
          <cell r="A870">
            <v>869</v>
          </cell>
        </row>
        <row r="871">
          <cell r="A871">
            <v>870</v>
          </cell>
        </row>
        <row r="872">
          <cell r="A872">
            <v>871</v>
          </cell>
        </row>
        <row r="873">
          <cell r="A873">
            <v>872</v>
          </cell>
        </row>
        <row r="874">
          <cell r="A874">
            <v>873</v>
          </cell>
        </row>
        <row r="875">
          <cell r="A875">
            <v>874</v>
          </cell>
        </row>
        <row r="876">
          <cell r="A876">
            <v>875</v>
          </cell>
        </row>
        <row r="877">
          <cell r="A877">
            <v>876</v>
          </cell>
        </row>
        <row r="878">
          <cell r="A878">
            <v>877</v>
          </cell>
        </row>
        <row r="879">
          <cell r="A879">
            <v>878</v>
          </cell>
        </row>
        <row r="880">
          <cell r="A880">
            <v>879</v>
          </cell>
        </row>
        <row r="881">
          <cell r="A881">
            <v>880</v>
          </cell>
        </row>
        <row r="882">
          <cell r="A882">
            <v>881</v>
          </cell>
        </row>
        <row r="883">
          <cell r="A883">
            <v>882</v>
          </cell>
        </row>
        <row r="884">
          <cell r="A884">
            <v>883</v>
          </cell>
        </row>
        <row r="885">
          <cell r="A885">
            <v>884</v>
          </cell>
        </row>
        <row r="886">
          <cell r="A886">
            <v>885</v>
          </cell>
        </row>
        <row r="887">
          <cell r="A887">
            <v>886</v>
          </cell>
        </row>
        <row r="888">
          <cell r="A888">
            <v>887</v>
          </cell>
        </row>
        <row r="889">
          <cell r="A889">
            <v>888</v>
          </cell>
        </row>
        <row r="890">
          <cell r="A890">
            <v>889</v>
          </cell>
        </row>
        <row r="891">
          <cell r="A891">
            <v>890</v>
          </cell>
        </row>
        <row r="892">
          <cell r="A892">
            <v>891</v>
          </cell>
        </row>
        <row r="893">
          <cell r="A893">
            <v>892</v>
          </cell>
        </row>
        <row r="894">
          <cell r="A894">
            <v>893</v>
          </cell>
        </row>
        <row r="895">
          <cell r="A895">
            <v>894</v>
          </cell>
        </row>
        <row r="896">
          <cell r="A896">
            <v>895</v>
          </cell>
        </row>
        <row r="897">
          <cell r="A897">
            <v>896</v>
          </cell>
        </row>
        <row r="898">
          <cell r="A898">
            <v>897</v>
          </cell>
        </row>
        <row r="899">
          <cell r="A899">
            <v>898</v>
          </cell>
        </row>
        <row r="900">
          <cell r="A900">
            <v>899</v>
          </cell>
        </row>
        <row r="901">
          <cell r="A901">
            <v>900</v>
          </cell>
        </row>
        <row r="902">
          <cell r="A902">
            <v>901</v>
          </cell>
        </row>
        <row r="903">
          <cell r="A903">
            <v>902</v>
          </cell>
        </row>
        <row r="904">
          <cell r="A904">
            <v>903</v>
          </cell>
        </row>
        <row r="905">
          <cell r="A905">
            <v>904</v>
          </cell>
        </row>
        <row r="906">
          <cell r="A906">
            <v>905</v>
          </cell>
        </row>
        <row r="907">
          <cell r="A907">
            <v>906</v>
          </cell>
        </row>
        <row r="908">
          <cell r="A908">
            <v>907</v>
          </cell>
        </row>
        <row r="909">
          <cell r="A909">
            <v>908</v>
          </cell>
        </row>
        <row r="910">
          <cell r="A910">
            <v>909</v>
          </cell>
        </row>
        <row r="911">
          <cell r="A911">
            <v>910</v>
          </cell>
        </row>
        <row r="912">
          <cell r="A912">
            <v>911</v>
          </cell>
        </row>
        <row r="913">
          <cell r="A913">
            <v>912</v>
          </cell>
        </row>
        <row r="914">
          <cell r="A914">
            <v>913</v>
          </cell>
        </row>
        <row r="915">
          <cell r="A915">
            <v>914</v>
          </cell>
        </row>
        <row r="916">
          <cell r="A916">
            <v>915</v>
          </cell>
        </row>
        <row r="917">
          <cell r="A917">
            <v>916</v>
          </cell>
        </row>
        <row r="918">
          <cell r="A918">
            <v>917</v>
          </cell>
        </row>
        <row r="919">
          <cell r="A919">
            <v>918</v>
          </cell>
        </row>
        <row r="920">
          <cell r="A920">
            <v>919</v>
          </cell>
        </row>
        <row r="921">
          <cell r="A921">
            <v>920</v>
          </cell>
        </row>
        <row r="922">
          <cell r="A922">
            <v>921</v>
          </cell>
        </row>
        <row r="923">
          <cell r="A923">
            <v>922</v>
          </cell>
        </row>
        <row r="924">
          <cell r="A924">
            <v>923</v>
          </cell>
        </row>
        <row r="925">
          <cell r="A925">
            <v>924</v>
          </cell>
        </row>
        <row r="926">
          <cell r="A926">
            <v>925</v>
          </cell>
        </row>
        <row r="927">
          <cell r="A927">
            <v>926</v>
          </cell>
        </row>
        <row r="928">
          <cell r="A928">
            <v>927</v>
          </cell>
        </row>
        <row r="929">
          <cell r="A929">
            <v>928</v>
          </cell>
        </row>
        <row r="930">
          <cell r="A930">
            <v>929</v>
          </cell>
        </row>
        <row r="931">
          <cell r="A931">
            <v>930</v>
          </cell>
        </row>
        <row r="932">
          <cell r="A932">
            <v>931</v>
          </cell>
        </row>
        <row r="933">
          <cell r="A933">
            <v>932</v>
          </cell>
        </row>
        <row r="934">
          <cell r="A934">
            <v>933</v>
          </cell>
        </row>
        <row r="935">
          <cell r="A935">
            <v>934</v>
          </cell>
        </row>
        <row r="936">
          <cell r="A936">
            <v>935</v>
          </cell>
        </row>
        <row r="937">
          <cell r="A937">
            <v>936</v>
          </cell>
        </row>
        <row r="938">
          <cell r="A938">
            <v>937</v>
          </cell>
        </row>
        <row r="939">
          <cell r="A939">
            <v>938</v>
          </cell>
        </row>
        <row r="940">
          <cell r="A940">
            <v>939</v>
          </cell>
        </row>
        <row r="941">
          <cell r="A941">
            <v>940</v>
          </cell>
        </row>
        <row r="942">
          <cell r="A942">
            <v>941</v>
          </cell>
        </row>
        <row r="943">
          <cell r="A943">
            <v>942</v>
          </cell>
        </row>
        <row r="944">
          <cell r="A944">
            <v>943</v>
          </cell>
        </row>
        <row r="945">
          <cell r="A945">
            <v>944</v>
          </cell>
        </row>
        <row r="946">
          <cell r="A946">
            <v>945</v>
          </cell>
        </row>
        <row r="947">
          <cell r="A947">
            <v>946</v>
          </cell>
        </row>
        <row r="948">
          <cell r="A948">
            <v>947</v>
          </cell>
        </row>
        <row r="949">
          <cell r="A949">
            <v>948</v>
          </cell>
        </row>
        <row r="950">
          <cell r="A950">
            <v>949</v>
          </cell>
        </row>
        <row r="951">
          <cell r="A951">
            <v>950</v>
          </cell>
        </row>
        <row r="952">
          <cell r="A952">
            <v>951</v>
          </cell>
        </row>
        <row r="953">
          <cell r="A953">
            <v>952</v>
          </cell>
        </row>
        <row r="954">
          <cell r="A954">
            <v>953</v>
          </cell>
        </row>
        <row r="955">
          <cell r="A955">
            <v>954</v>
          </cell>
        </row>
        <row r="956">
          <cell r="A956">
            <v>955</v>
          </cell>
        </row>
        <row r="957">
          <cell r="A957">
            <v>956</v>
          </cell>
        </row>
        <row r="958">
          <cell r="A958">
            <v>957</v>
          </cell>
        </row>
        <row r="959">
          <cell r="A959">
            <v>958</v>
          </cell>
        </row>
        <row r="960">
          <cell r="A960">
            <v>959</v>
          </cell>
        </row>
        <row r="961">
          <cell r="A961">
            <v>960</v>
          </cell>
        </row>
        <row r="962">
          <cell r="A962">
            <v>961</v>
          </cell>
        </row>
        <row r="963">
          <cell r="A963">
            <v>962</v>
          </cell>
        </row>
        <row r="964">
          <cell r="A964">
            <v>963</v>
          </cell>
        </row>
        <row r="965">
          <cell r="A965">
            <v>964</v>
          </cell>
        </row>
        <row r="966">
          <cell r="A966">
            <v>965</v>
          </cell>
        </row>
        <row r="967">
          <cell r="A967">
            <v>966</v>
          </cell>
        </row>
        <row r="968">
          <cell r="A968">
            <v>967</v>
          </cell>
        </row>
        <row r="969">
          <cell r="A969">
            <v>968</v>
          </cell>
        </row>
        <row r="970">
          <cell r="A970">
            <v>969</v>
          </cell>
        </row>
        <row r="971">
          <cell r="A971">
            <v>970</v>
          </cell>
        </row>
        <row r="972">
          <cell r="A972">
            <v>971</v>
          </cell>
        </row>
        <row r="973">
          <cell r="A973">
            <v>972</v>
          </cell>
        </row>
        <row r="974">
          <cell r="A974">
            <v>973</v>
          </cell>
        </row>
        <row r="975">
          <cell r="A975">
            <v>974</v>
          </cell>
        </row>
        <row r="976">
          <cell r="A976">
            <v>975</v>
          </cell>
        </row>
        <row r="977">
          <cell r="A977">
            <v>976</v>
          </cell>
        </row>
        <row r="978">
          <cell r="A978">
            <v>977</v>
          </cell>
        </row>
        <row r="979">
          <cell r="A979">
            <v>978</v>
          </cell>
        </row>
        <row r="980">
          <cell r="A980">
            <v>979</v>
          </cell>
        </row>
        <row r="981">
          <cell r="A981">
            <v>980</v>
          </cell>
        </row>
        <row r="982">
          <cell r="A982">
            <v>981</v>
          </cell>
        </row>
        <row r="983">
          <cell r="A983">
            <v>982</v>
          </cell>
        </row>
        <row r="984">
          <cell r="A984">
            <v>983</v>
          </cell>
        </row>
        <row r="985">
          <cell r="A985">
            <v>984</v>
          </cell>
        </row>
        <row r="986">
          <cell r="A986">
            <v>985</v>
          </cell>
        </row>
        <row r="987">
          <cell r="A987">
            <v>986</v>
          </cell>
        </row>
        <row r="988">
          <cell r="A988">
            <v>987</v>
          </cell>
        </row>
        <row r="989">
          <cell r="A989">
            <v>988</v>
          </cell>
        </row>
        <row r="990">
          <cell r="A990">
            <v>989</v>
          </cell>
        </row>
        <row r="991">
          <cell r="A991">
            <v>990</v>
          </cell>
        </row>
        <row r="992">
          <cell r="A992">
            <v>991</v>
          </cell>
        </row>
        <row r="993">
          <cell r="A993">
            <v>992</v>
          </cell>
        </row>
        <row r="994">
          <cell r="A994">
            <v>993</v>
          </cell>
        </row>
        <row r="995">
          <cell r="A995">
            <v>994</v>
          </cell>
        </row>
        <row r="996">
          <cell r="A996">
            <v>995</v>
          </cell>
        </row>
        <row r="997">
          <cell r="A997">
            <v>996</v>
          </cell>
        </row>
        <row r="998">
          <cell r="A998">
            <v>997</v>
          </cell>
        </row>
        <row r="999">
          <cell r="A999">
            <v>998</v>
          </cell>
        </row>
        <row r="1000">
          <cell r="A1000">
            <v>999</v>
          </cell>
        </row>
        <row r="1001">
          <cell r="A1001">
            <v>1000</v>
          </cell>
        </row>
        <row r="1002">
          <cell r="A1002">
            <v>1001</v>
          </cell>
        </row>
        <row r="1003">
          <cell r="A1003">
            <v>1002</v>
          </cell>
        </row>
        <row r="1004">
          <cell r="A1004">
            <v>1003</v>
          </cell>
        </row>
        <row r="1005">
          <cell r="A1005">
            <v>1004</v>
          </cell>
        </row>
        <row r="1006">
          <cell r="A1006">
            <v>1005</v>
          </cell>
        </row>
        <row r="1007">
          <cell r="A1007">
            <v>1006</v>
          </cell>
        </row>
        <row r="1008">
          <cell r="A1008">
            <v>1007</v>
          </cell>
        </row>
        <row r="1009">
          <cell r="A1009">
            <v>1008</v>
          </cell>
        </row>
        <row r="1010">
          <cell r="A1010">
            <v>1009</v>
          </cell>
        </row>
        <row r="1011">
          <cell r="A1011">
            <v>1010</v>
          </cell>
        </row>
        <row r="1012">
          <cell r="A1012">
            <v>1011</v>
          </cell>
        </row>
        <row r="1013">
          <cell r="A1013">
            <v>1012</v>
          </cell>
        </row>
        <row r="1014">
          <cell r="A1014">
            <v>1013</v>
          </cell>
        </row>
        <row r="1015">
          <cell r="A1015">
            <v>1014</v>
          </cell>
        </row>
        <row r="1016">
          <cell r="A1016">
            <v>1015</v>
          </cell>
        </row>
        <row r="1017">
          <cell r="A1017">
            <v>1016</v>
          </cell>
        </row>
        <row r="1018">
          <cell r="A1018">
            <v>1017</v>
          </cell>
        </row>
        <row r="1019">
          <cell r="A1019">
            <v>1018</v>
          </cell>
        </row>
        <row r="1020">
          <cell r="A1020">
            <v>1019</v>
          </cell>
        </row>
        <row r="1021">
          <cell r="A1021">
            <v>1020</v>
          </cell>
        </row>
        <row r="1022">
          <cell r="A1022">
            <v>1021</v>
          </cell>
        </row>
        <row r="1023">
          <cell r="A1023">
            <v>1022</v>
          </cell>
        </row>
        <row r="1024">
          <cell r="A1024">
            <v>1023</v>
          </cell>
        </row>
        <row r="1025">
          <cell r="A1025">
            <v>1024</v>
          </cell>
        </row>
        <row r="1026">
          <cell r="A1026">
            <v>1025</v>
          </cell>
        </row>
        <row r="1027">
          <cell r="A1027">
            <v>1026</v>
          </cell>
        </row>
        <row r="1028">
          <cell r="A1028">
            <v>1027</v>
          </cell>
        </row>
        <row r="1029">
          <cell r="A1029">
            <v>1028</v>
          </cell>
        </row>
        <row r="1030">
          <cell r="A1030">
            <v>1029</v>
          </cell>
        </row>
        <row r="1031">
          <cell r="A1031">
            <v>1030</v>
          </cell>
        </row>
        <row r="1032">
          <cell r="A1032">
            <v>1031</v>
          </cell>
        </row>
        <row r="1033">
          <cell r="A1033">
            <v>1032</v>
          </cell>
        </row>
        <row r="1034">
          <cell r="A1034">
            <v>1033</v>
          </cell>
        </row>
        <row r="1035">
          <cell r="A1035">
            <v>1034</v>
          </cell>
        </row>
        <row r="1036">
          <cell r="A1036">
            <v>1035</v>
          </cell>
        </row>
        <row r="1037">
          <cell r="A1037">
            <v>1036</v>
          </cell>
        </row>
        <row r="1038">
          <cell r="A1038">
            <v>1037</v>
          </cell>
        </row>
        <row r="1039">
          <cell r="A1039">
            <v>1038</v>
          </cell>
        </row>
        <row r="1040">
          <cell r="A1040">
            <v>1039</v>
          </cell>
        </row>
        <row r="1041">
          <cell r="A1041">
            <v>1040</v>
          </cell>
        </row>
        <row r="1042">
          <cell r="A1042">
            <v>1041</v>
          </cell>
        </row>
        <row r="1043">
          <cell r="A1043">
            <v>1042</v>
          </cell>
        </row>
        <row r="1044">
          <cell r="A1044">
            <v>1043</v>
          </cell>
        </row>
        <row r="1045">
          <cell r="A1045">
            <v>1044</v>
          </cell>
        </row>
        <row r="1046">
          <cell r="A1046">
            <v>1045</v>
          </cell>
        </row>
        <row r="1047">
          <cell r="A1047">
            <v>1046</v>
          </cell>
        </row>
        <row r="1048">
          <cell r="A1048">
            <v>1047</v>
          </cell>
        </row>
        <row r="1049">
          <cell r="A1049">
            <v>1048</v>
          </cell>
        </row>
        <row r="1050">
          <cell r="A1050">
            <v>1049</v>
          </cell>
        </row>
        <row r="1051">
          <cell r="A1051">
            <v>1050</v>
          </cell>
        </row>
        <row r="1052">
          <cell r="A1052">
            <v>1051</v>
          </cell>
        </row>
        <row r="1053">
          <cell r="A1053">
            <v>1052</v>
          </cell>
        </row>
        <row r="1054">
          <cell r="A1054">
            <v>1053</v>
          </cell>
        </row>
        <row r="1055">
          <cell r="A1055">
            <v>1054</v>
          </cell>
        </row>
        <row r="1056">
          <cell r="A1056">
            <v>1055</v>
          </cell>
        </row>
        <row r="1057">
          <cell r="A1057">
            <v>1056</v>
          </cell>
        </row>
        <row r="1058">
          <cell r="A1058">
            <v>1057</v>
          </cell>
        </row>
        <row r="1059">
          <cell r="A1059">
            <v>1058</v>
          </cell>
        </row>
        <row r="1060">
          <cell r="A1060">
            <v>1059</v>
          </cell>
        </row>
        <row r="1061">
          <cell r="A1061">
            <v>1060</v>
          </cell>
        </row>
        <row r="1062">
          <cell r="A1062">
            <v>1061</v>
          </cell>
        </row>
        <row r="1063">
          <cell r="A1063">
            <v>1062</v>
          </cell>
        </row>
        <row r="1064">
          <cell r="A1064">
            <v>1063</v>
          </cell>
        </row>
        <row r="1065">
          <cell r="A1065">
            <v>1064</v>
          </cell>
        </row>
        <row r="1066">
          <cell r="A1066">
            <v>1065</v>
          </cell>
        </row>
        <row r="1067">
          <cell r="A1067">
            <v>1066</v>
          </cell>
        </row>
        <row r="1068">
          <cell r="A1068">
            <v>1067</v>
          </cell>
        </row>
        <row r="1069">
          <cell r="A1069">
            <v>1068</v>
          </cell>
        </row>
        <row r="1070">
          <cell r="A1070">
            <v>1069</v>
          </cell>
        </row>
        <row r="1071">
          <cell r="A1071">
            <v>1070</v>
          </cell>
        </row>
        <row r="1072">
          <cell r="A1072">
            <v>1071</v>
          </cell>
        </row>
        <row r="1073">
          <cell r="A1073">
            <v>1072</v>
          </cell>
        </row>
        <row r="1074">
          <cell r="A1074">
            <v>1073</v>
          </cell>
        </row>
        <row r="1075">
          <cell r="A1075">
            <v>1074</v>
          </cell>
        </row>
        <row r="1076">
          <cell r="A1076">
            <v>1075</v>
          </cell>
        </row>
        <row r="1077">
          <cell r="A1077">
            <v>1076</v>
          </cell>
        </row>
        <row r="1078">
          <cell r="A1078">
            <v>1077</v>
          </cell>
        </row>
        <row r="1079">
          <cell r="A1079">
            <v>1078</v>
          </cell>
        </row>
        <row r="1080">
          <cell r="A1080">
            <v>1079</v>
          </cell>
        </row>
        <row r="1081">
          <cell r="A1081">
            <v>1080</v>
          </cell>
        </row>
        <row r="1082">
          <cell r="A1082">
            <v>1081</v>
          </cell>
        </row>
        <row r="1083">
          <cell r="A1083">
            <v>1082</v>
          </cell>
        </row>
        <row r="1084">
          <cell r="A1084">
            <v>1083</v>
          </cell>
        </row>
        <row r="1085">
          <cell r="A1085">
            <v>1084</v>
          </cell>
        </row>
        <row r="1086">
          <cell r="A1086">
            <v>1085</v>
          </cell>
        </row>
        <row r="1087">
          <cell r="A1087">
            <v>1086</v>
          </cell>
        </row>
        <row r="1088">
          <cell r="A1088">
            <v>1087</v>
          </cell>
        </row>
        <row r="1089">
          <cell r="A1089">
            <v>1088</v>
          </cell>
        </row>
        <row r="1090">
          <cell r="A1090">
            <v>1089</v>
          </cell>
        </row>
        <row r="1091">
          <cell r="A1091">
            <v>1090</v>
          </cell>
        </row>
        <row r="1092">
          <cell r="A1092">
            <v>1091</v>
          </cell>
        </row>
        <row r="1093">
          <cell r="A1093">
            <v>1092</v>
          </cell>
        </row>
        <row r="1094">
          <cell r="A1094">
            <v>1093</v>
          </cell>
        </row>
        <row r="1095">
          <cell r="A1095">
            <v>1094</v>
          </cell>
        </row>
        <row r="1096">
          <cell r="A1096">
            <v>1095</v>
          </cell>
        </row>
        <row r="1097">
          <cell r="A1097">
            <v>1096</v>
          </cell>
        </row>
        <row r="1098">
          <cell r="A1098">
            <v>1097</v>
          </cell>
        </row>
        <row r="1099">
          <cell r="A1099">
            <v>1098</v>
          </cell>
        </row>
        <row r="1100">
          <cell r="A1100">
            <v>1099</v>
          </cell>
        </row>
        <row r="1101">
          <cell r="A1101">
            <v>1100</v>
          </cell>
        </row>
        <row r="1102">
          <cell r="A1102">
            <v>1101</v>
          </cell>
        </row>
        <row r="1103">
          <cell r="A1103">
            <v>1102</v>
          </cell>
        </row>
        <row r="1104">
          <cell r="A1104">
            <v>1103</v>
          </cell>
        </row>
        <row r="1105">
          <cell r="A1105">
            <v>1104</v>
          </cell>
        </row>
        <row r="1106">
          <cell r="A1106">
            <v>1105</v>
          </cell>
        </row>
        <row r="1107">
          <cell r="A1107">
            <v>1106</v>
          </cell>
        </row>
        <row r="1108">
          <cell r="A1108">
            <v>1107</v>
          </cell>
        </row>
        <row r="1109">
          <cell r="A1109">
            <v>1108</v>
          </cell>
        </row>
        <row r="1110">
          <cell r="A1110">
            <v>1109</v>
          </cell>
        </row>
        <row r="1111">
          <cell r="A1111">
            <v>1110</v>
          </cell>
        </row>
        <row r="1112">
          <cell r="A1112">
            <v>1111</v>
          </cell>
        </row>
        <row r="1113">
          <cell r="A1113">
            <v>1112</v>
          </cell>
        </row>
        <row r="1114">
          <cell r="A1114">
            <v>1113</v>
          </cell>
        </row>
        <row r="1115">
          <cell r="A1115">
            <v>1114</v>
          </cell>
        </row>
        <row r="1116">
          <cell r="A1116">
            <v>1115</v>
          </cell>
        </row>
        <row r="1117">
          <cell r="A1117">
            <v>1116</v>
          </cell>
        </row>
        <row r="1118">
          <cell r="A1118">
            <v>1117</v>
          </cell>
        </row>
        <row r="1119">
          <cell r="A1119">
            <v>1118</v>
          </cell>
        </row>
        <row r="1120">
          <cell r="A1120">
            <v>1119</v>
          </cell>
        </row>
        <row r="1121">
          <cell r="A1121">
            <v>1120</v>
          </cell>
        </row>
        <row r="1122">
          <cell r="A1122">
            <v>1121</v>
          </cell>
        </row>
        <row r="1123">
          <cell r="A1123">
            <v>1122</v>
          </cell>
        </row>
        <row r="1124">
          <cell r="A1124">
            <v>1123</v>
          </cell>
        </row>
        <row r="1125">
          <cell r="A1125">
            <v>1124</v>
          </cell>
        </row>
        <row r="1126">
          <cell r="A1126">
            <v>1125</v>
          </cell>
        </row>
        <row r="1127">
          <cell r="A1127">
            <v>1126</v>
          </cell>
        </row>
        <row r="1128">
          <cell r="A1128">
            <v>1127</v>
          </cell>
        </row>
        <row r="1129">
          <cell r="A1129">
            <v>1128</v>
          </cell>
        </row>
        <row r="1130">
          <cell r="A1130">
            <v>1129</v>
          </cell>
        </row>
        <row r="1131">
          <cell r="A1131">
            <v>1130</v>
          </cell>
        </row>
        <row r="1132">
          <cell r="A1132">
            <v>1131</v>
          </cell>
        </row>
        <row r="1133">
          <cell r="A1133">
            <v>1132</v>
          </cell>
        </row>
        <row r="1134">
          <cell r="A1134">
            <v>1133</v>
          </cell>
        </row>
        <row r="1135">
          <cell r="A1135">
            <v>1134</v>
          </cell>
        </row>
        <row r="1136">
          <cell r="A1136">
            <v>1135</v>
          </cell>
        </row>
        <row r="1137">
          <cell r="A1137">
            <v>1136</v>
          </cell>
        </row>
        <row r="1138">
          <cell r="A1138">
            <v>1137</v>
          </cell>
        </row>
        <row r="1139">
          <cell r="A1139">
            <v>1138</v>
          </cell>
        </row>
        <row r="1140">
          <cell r="A1140">
            <v>1139</v>
          </cell>
        </row>
        <row r="1141">
          <cell r="A1141">
            <v>1140</v>
          </cell>
        </row>
        <row r="1142">
          <cell r="A1142">
            <v>1141</v>
          </cell>
        </row>
        <row r="1143">
          <cell r="A1143">
            <v>1142</v>
          </cell>
        </row>
        <row r="1144">
          <cell r="A1144">
            <v>1143</v>
          </cell>
        </row>
        <row r="1145">
          <cell r="A1145">
            <v>1144</v>
          </cell>
        </row>
        <row r="1146">
          <cell r="A1146">
            <v>1145</v>
          </cell>
        </row>
        <row r="1147">
          <cell r="A1147">
            <v>1146</v>
          </cell>
        </row>
        <row r="1148">
          <cell r="A1148">
            <v>1147</v>
          </cell>
        </row>
        <row r="1149">
          <cell r="A1149">
            <v>1148</v>
          </cell>
        </row>
        <row r="1150">
          <cell r="A1150">
            <v>1149</v>
          </cell>
        </row>
        <row r="1151">
          <cell r="A1151">
            <v>1150</v>
          </cell>
        </row>
        <row r="1152">
          <cell r="A1152">
            <v>1151</v>
          </cell>
        </row>
        <row r="1153">
          <cell r="A1153">
            <v>1152</v>
          </cell>
        </row>
        <row r="1154">
          <cell r="A1154">
            <v>1153</v>
          </cell>
        </row>
        <row r="1155">
          <cell r="A1155">
            <v>1154</v>
          </cell>
        </row>
        <row r="1156">
          <cell r="A1156">
            <v>1155</v>
          </cell>
        </row>
        <row r="1157">
          <cell r="A1157">
            <v>1156</v>
          </cell>
        </row>
        <row r="1158">
          <cell r="A1158">
            <v>1157</v>
          </cell>
        </row>
        <row r="1159">
          <cell r="A1159">
            <v>1158</v>
          </cell>
        </row>
        <row r="1160">
          <cell r="A1160">
            <v>1159</v>
          </cell>
        </row>
        <row r="1161">
          <cell r="A1161">
            <v>1160</v>
          </cell>
        </row>
        <row r="1162">
          <cell r="A1162">
            <v>1161</v>
          </cell>
        </row>
        <row r="1163">
          <cell r="A1163">
            <v>1162</v>
          </cell>
        </row>
        <row r="1164">
          <cell r="A1164">
            <v>1163</v>
          </cell>
        </row>
        <row r="1165">
          <cell r="A1165">
            <v>1164</v>
          </cell>
        </row>
        <row r="1166">
          <cell r="A1166">
            <v>1165</v>
          </cell>
        </row>
        <row r="1167">
          <cell r="A1167">
            <v>1166</v>
          </cell>
        </row>
        <row r="1168">
          <cell r="A1168">
            <v>1167</v>
          </cell>
        </row>
        <row r="1169">
          <cell r="A1169">
            <v>1168</v>
          </cell>
        </row>
        <row r="1170">
          <cell r="A1170">
            <v>1169</v>
          </cell>
        </row>
        <row r="1171">
          <cell r="A1171">
            <v>1170</v>
          </cell>
        </row>
        <row r="1172">
          <cell r="A1172">
            <v>1171</v>
          </cell>
        </row>
        <row r="1173">
          <cell r="A1173">
            <v>1172</v>
          </cell>
        </row>
        <row r="1174">
          <cell r="A1174">
            <v>1173</v>
          </cell>
        </row>
        <row r="1175">
          <cell r="A1175">
            <v>1174</v>
          </cell>
        </row>
        <row r="1176">
          <cell r="A1176">
            <v>1175</v>
          </cell>
        </row>
        <row r="1177">
          <cell r="A1177">
            <v>1176</v>
          </cell>
        </row>
        <row r="1178">
          <cell r="A1178">
            <v>1177</v>
          </cell>
        </row>
        <row r="1179">
          <cell r="A1179">
            <v>1178</v>
          </cell>
        </row>
        <row r="1180">
          <cell r="A1180">
            <v>1179</v>
          </cell>
        </row>
        <row r="1181">
          <cell r="A1181">
            <v>1180</v>
          </cell>
        </row>
        <row r="1182">
          <cell r="A1182">
            <v>1181</v>
          </cell>
        </row>
        <row r="1183">
          <cell r="A1183">
            <v>1182</v>
          </cell>
        </row>
        <row r="1184">
          <cell r="A1184">
            <v>1183</v>
          </cell>
        </row>
        <row r="1185">
          <cell r="A1185">
            <v>1184</v>
          </cell>
        </row>
        <row r="1186">
          <cell r="A1186">
            <v>1185</v>
          </cell>
        </row>
        <row r="1187">
          <cell r="A1187">
            <v>1186</v>
          </cell>
        </row>
        <row r="1188">
          <cell r="A1188">
            <v>1187</v>
          </cell>
        </row>
        <row r="1189">
          <cell r="A1189">
            <v>1188</v>
          </cell>
        </row>
        <row r="1190">
          <cell r="A1190">
            <v>1189</v>
          </cell>
        </row>
        <row r="1191">
          <cell r="A1191">
            <v>1190</v>
          </cell>
        </row>
        <row r="1192">
          <cell r="A1192">
            <v>1191</v>
          </cell>
        </row>
        <row r="1193">
          <cell r="A1193">
            <v>1192</v>
          </cell>
        </row>
        <row r="1194">
          <cell r="A1194">
            <v>1193</v>
          </cell>
        </row>
        <row r="1195">
          <cell r="A1195">
            <v>1194</v>
          </cell>
        </row>
        <row r="1196">
          <cell r="A1196">
            <v>1195</v>
          </cell>
        </row>
        <row r="1197">
          <cell r="A1197">
            <v>1196</v>
          </cell>
        </row>
        <row r="1198">
          <cell r="A1198">
            <v>1197</v>
          </cell>
        </row>
        <row r="1199">
          <cell r="A1199">
            <v>1198</v>
          </cell>
        </row>
        <row r="1200">
          <cell r="A1200">
            <v>1199</v>
          </cell>
        </row>
        <row r="1201">
          <cell r="A1201">
            <v>1200</v>
          </cell>
        </row>
        <row r="1202">
          <cell r="A1202">
            <v>1201</v>
          </cell>
        </row>
        <row r="1203">
          <cell r="A1203">
            <v>1202</v>
          </cell>
        </row>
        <row r="1204">
          <cell r="A1204">
            <v>1203</v>
          </cell>
        </row>
        <row r="1205">
          <cell r="A1205">
            <v>1204</v>
          </cell>
        </row>
        <row r="1206">
          <cell r="A1206">
            <v>1205</v>
          </cell>
        </row>
        <row r="1207">
          <cell r="A1207">
            <v>1206</v>
          </cell>
        </row>
        <row r="1208">
          <cell r="A1208">
            <v>1207</v>
          </cell>
        </row>
        <row r="1209">
          <cell r="A1209">
            <v>1208</v>
          </cell>
        </row>
        <row r="1210">
          <cell r="A1210">
            <v>1209</v>
          </cell>
        </row>
        <row r="1211">
          <cell r="A1211">
            <v>1210</v>
          </cell>
        </row>
        <row r="1212">
          <cell r="A1212">
            <v>1211</v>
          </cell>
        </row>
        <row r="1213">
          <cell r="A1213">
            <v>1212</v>
          </cell>
        </row>
        <row r="1214">
          <cell r="A1214">
            <v>1213</v>
          </cell>
        </row>
        <row r="1215">
          <cell r="A1215">
            <v>1214</v>
          </cell>
        </row>
        <row r="1216">
          <cell r="A1216">
            <v>1215</v>
          </cell>
        </row>
        <row r="1217">
          <cell r="A1217">
            <v>1216</v>
          </cell>
        </row>
        <row r="1218">
          <cell r="A1218">
            <v>1217</v>
          </cell>
        </row>
        <row r="1219">
          <cell r="A1219">
            <v>1218</v>
          </cell>
        </row>
        <row r="1220">
          <cell r="A1220">
            <v>1219</v>
          </cell>
        </row>
        <row r="1221">
          <cell r="A1221">
            <v>1220</v>
          </cell>
        </row>
        <row r="1222">
          <cell r="A1222">
            <v>1221</v>
          </cell>
        </row>
        <row r="1223">
          <cell r="A1223">
            <v>1222</v>
          </cell>
        </row>
        <row r="1224">
          <cell r="A1224">
            <v>1223</v>
          </cell>
        </row>
        <row r="1225">
          <cell r="A1225">
            <v>1224</v>
          </cell>
        </row>
        <row r="1226">
          <cell r="A1226">
            <v>1225</v>
          </cell>
        </row>
        <row r="1227">
          <cell r="A1227">
            <v>1226</v>
          </cell>
        </row>
        <row r="1228">
          <cell r="A1228">
            <v>1227</v>
          </cell>
        </row>
        <row r="1229">
          <cell r="A1229">
            <v>1228</v>
          </cell>
        </row>
        <row r="1230">
          <cell r="A1230">
            <v>1229</v>
          </cell>
        </row>
        <row r="1231">
          <cell r="A1231">
            <v>1230</v>
          </cell>
        </row>
        <row r="1232">
          <cell r="A1232">
            <v>1231</v>
          </cell>
        </row>
        <row r="1233">
          <cell r="A1233">
            <v>1232</v>
          </cell>
        </row>
        <row r="1234">
          <cell r="A1234">
            <v>1233</v>
          </cell>
        </row>
        <row r="1235">
          <cell r="A1235">
            <v>1234</v>
          </cell>
        </row>
        <row r="1236">
          <cell r="A1236">
            <v>1235</v>
          </cell>
        </row>
        <row r="1237">
          <cell r="A1237">
            <v>1236</v>
          </cell>
        </row>
        <row r="1238">
          <cell r="A1238">
            <v>1237</v>
          </cell>
        </row>
        <row r="1239">
          <cell r="A1239">
            <v>1238</v>
          </cell>
        </row>
        <row r="1240">
          <cell r="A1240">
            <v>1239</v>
          </cell>
        </row>
        <row r="1241">
          <cell r="A1241">
            <v>1240</v>
          </cell>
        </row>
        <row r="1242">
          <cell r="A1242">
            <v>1241</v>
          </cell>
        </row>
        <row r="1243">
          <cell r="A1243">
            <v>1242</v>
          </cell>
        </row>
        <row r="1244">
          <cell r="A1244">
            <v>1243</v>
          </cell>
        </row>
        <row r="1245">
          <cell r="A1245">
            <v>1244</v>
          </cell>
        </row>
        <row r="1246">
          <cell r="A1246">
            <v>1245</v>
          </cell>
        </row>
        <row r="1247">
          <cell r="A1247">
            <v>1246</v>
          </cell>
        </row>
        <row r="1248">
          <cell r="A1248">
            <v>1247</v>
          </cell>
        </row>
        <row r="1249">
          <cell r="A1249">
            <v>1248</v>
          </cell>
        </row>
        <row r="1250">
          <cell r="A1250">
            <v>1249</v>
          </cell>
        </row>
        <row r="1251">
          <cell r="A1251">
            <v>1250</v>
          </cell>
        </row>
        <row r="1252">
          <cell r="A1252">
            <v>1251</v>
          </cell>
        </row>
        <row r="1253">
          <cell r="A1253">
            <v>1252</v>
          </cell>
        </row>
        <row r="1254">
          <cell r="A1254">
            <v>1253</v>
          </cell>
        </row>
        <row r="1255">
          <cell r="A1255">
            <v>1254</v>
          </cell>
        </row>
        <row r="1256">
          <cell r="A1256">
            <v>1255</v>
          </cell>
        </row>
        <row r="1257">
          <cell r="A1257">
            <v>1256</v>
          </cell>
        </row>
        <row r="1258">
          <cell r="A1258">
            <v>1257</v>
          </cell>
        </row>
        <row r="1259">
          <cell r="A1259">
            <v>1258</v>
          </cell>
        </row>
        <row r="1260">
          <cell r="A1260">
            <v>1259</v>
          </cell>
        </row>
        <row r="1261">
          <cell r="A1261">
            <v>1260</v>
          </cell>
        </row>
        <row r="1262">
          <cell r="A1262">
            <v>1261</v>
          </cell>
        </row>
        <row r="1263">
          <cell r="A1263">
            <v>1262</v>
          </cell>
        </row>
        <row r="1264">
          <cell r="A1264">
            <v>1263</v>
          </cell>
        </row>
        <row r="1265">
          <cell r="A1265">
            <v>1264</v>
          </cell>
        </row>
        <row r="1266">
          <cell r="A1266">
            <v>1265</v>
          </cell>
        </row>
        <row r="1267">
          <cell r="A1267">
            <v>1266</v>
          </cell>
        </row>
        <row r="1268">
          <cell r="A1268">
            <v>1267</v>
          </cell>
        </row>
        <row r="1269">
          <cell r="A1269">
            <v>1268</v>
          </cell>
        </row>
        <row r="1270">
          <cell r="A1270">
            <v>1269</v>
          </cell>
        </row>
        <row r="1271">
          <cell r="A1271">
            <v>1270</v>
          </cell>
        </row>
        <row r="1272">
          <cell r="A1272">
            <v>1271</v>
          </cell>
        </row>
        <row r="1273">
          <cell r="A1273">
            <v>1272</v>
          </cell>
        </row>
        <row r="1274">
          <cell r="A1274">
            <v>1273</v>
          </cell>
        </row>
        <row r="1275">
          <cell r="A1275">
            <v>1274</v>
          </cell>
        </row>
        <row r="1276">
          <cell r="A1276">
            <v>1275</v>
          </cell>
        </row>
        <row r="1277">
          <cell r="A1277">
            <v>1276</v>
          </cell>
        </row>
        <row r="1278">
          <cell r="A1278">
            <v>1277</v>
          </cell>
        </row>
        <row r="1279">
          <cell r="A1279">
            <v>1278</v>
          </cell>
        </row>
        <row r="1280">
          <cell r="A1280">
            <v>1279</v>
          </cell>
        </row>
        <row r="1281">
          <cell r="A1281">
            <v>1280</v>
          </cell>
        </row>
        <row r="1282">
          <cell r="A1282">
            <v>1281</v>
          </cell>
        </row>
        <row r="1283">
          <cell r="A1283">
            <v>1282</v>
          </cell>
        </row>
        <row r="1284">
          <cell r="A1284">
            <v>1283</v>
          </cell>
        </row>
        <row r="1285">
          <cell r="A1285">
            <v>1284</v>
          </cell>
        </row>
        <row r="1286">
          <cell r="A1286">
            <v>1285</v>
          </cell>
        </row>
        <row r="1287">
          <cell r="A1287">
            <v>1286</v>
          </cell>
        </row>
        <row r="1288">
          <cell r="A1288">
            <v>1287</v>
          </cell>
        </row>
        <row r="1289">
          <cell r="A1289">
            <v>1288</v>
          </cell>
        </row>
        <row r="1290">
          <cell r="A1290">
            <v>1289</v>
          </cell>
        </row>
        <row r="1291">
          <cell r="A1291">
            <v>1290</v>
          </cell>
        </row>
        <row r="1292">
          <cell r="A1292">
            <v>1291</v>
          </cell>
        </row>
        <row r="1293">
          <cell r="A1293">
            <v>1292</v>
          </cell>
        </row>
        <row r="1294">
          <cell r="A1294">
            <v>1293</v>
          </cell>
        </row>
        <row r="1295">
          <cell r="A1295">
            <v>1294</v>
          </cell>
        </row>
        <row r="1296">
          <cell r="A1296">
            <v>1297</v>
          </cell>
        </row>
        <row r="1297">
          <cell r="A1297">
            <v>1298</v>
          </cell>
        </row>
        <row r="1298">
          <cell r="A1298">
            <v>1299</v>
          </cell>
        </row>
        <row r="1299">
          <cell r="A1299">
            <v>1300</v>
          </cell>
        </row>
        <row r="1300">
          <cell r="A1300">
            <v>1301</v>
          </cell>
        </row>
        <row r="1301">
          <cell r="A1301">
            <v>1302</v>
          </cell>
        </row>
        <row r="1302">
          <cell r="A1302">
            <v>1303</v>
          </cell>
        </row>
        <row r="1303">
          <cell r="A1303">
            <v>1304</v>
          </cell>
        </row>
        <row r="1304">
          <cell r="A1304">
            <v>1305</v>
          </cell>
        </row>
        <row r="1305">
          <cell r="A1305">
            <v>1306</v>
          </cell>
        </row>
        <row r="1306">
          <cell r="A1306">
            <v>1307</v>
          </cell>
        </row>
        <row r="1307">
          <cell r="A1307">
            <v>1324</v>
          </cell>
        </row>
        <row r="1308">
          <cell r="A1308">
            <v>1325</v>
          </cell>
        </row>
        <row r="1309">
          <cell r="A1309">
            <v>1326</v>
          </cell>
        </row>
        <row r="1310">
          <cell r="A1310">
            <v>1327</v>
          </cell>
        </row>
        <row r="1311">
          <cell r="A1311">
            <v>1328</v>
          </cell>
        </row>
        <row r="1312">
          <cell r="A1312">
            <v>1329</v>
          </cell>
        </row>
        <row r="1313">
          <cell r="A1313">
            <v>1330</v>
          </cell>
        </row>
        <row r="1314">
          <cell r="A1314">
            <v>1331</v>
          </cell>
        </row>
        <row r="1315">
          <cell r="A1315">
            <v>1332</v>
          </cell>
        </row>
        <row r="1316">
          <cell r="A1316">
            <v>1333</v>
          </cell>
        </row>
        <row r="1317">
          <cell r="A1317">
            <v>1334</v>
          </cell>
        </row>
        <row r="1318">
          <cell r="A1318">
            <v>1335</v>
          </cell>
        </row>
        <row r="1319">
          <cell r="A1319">
            <v>1336</v>
          </cell>
        </row>
        <row r="1320">
          <cell r="A1320">
            <v>1337</v>
          </cell>
        </row>
        <row r="1321">
          <cell r="A1321">
            <v>1338</v>
          </cell>
        </row>
        <row r="1322">
          <cell r="A1322">
            <v>1339</v>
          </cell>
        </row>
        <row r="1323">
          <cell r="A1323">
            <v>1351</v>
          </cell>
        </row>
        <row r="1324">
          <cell r="A1324">
            <v>1352</v>
          </cell>
        </row>
        <row r="1325">
          <cell r="A1325">
            <v>1353</v>
          </cell>
        </row>
        <row r="1326">
          <cell r="A1326">
            <v>1354</v>
          </cell>
        </row>
        <row r="1327">
          <cell r="A1327">
            <v>1355</v>
          </cell>
        </row>
        <row r="1328">
          <cell r="A1328">
            <v>1356</v>
          </cell>
        </row>
        <row r="1329">
          <cell r="A1329">
            <v>1357</v>
          </cell>
        </row>
        <row r="1330">
          <cell r="A1330">
            <v>1358</v>
          </cell>
        </row>
        <row r="1331">
          <cell r="A1331">
            <v>1359</v>
          </cell>
        </row>
        <row r="1332">
          <cell r="A1332">
            <v>1360</v>
          </cell>
        </row>
        <row r="1333">
          <cell r="A1333">
            <v>1362</v>
          </cell>
        </row>
        <row r="1334">
          <cell r="A1334">
            <v>1363</v>
          </cell>
        </row>
        <row r="1335">
          <cell r="A1335">
            <v>1364</v>
          </cell>
        </row>
        <row r="1336">
          <cell r="A1336">
            <v>1407</v>
          </cell>
        </row>
        <row r="1337">
          <cell r="A1337">
            <v>1408</v>
          </cell>
        </row>
        <row r="1338">
          <cell r="A1338">
            <v>1409</v>
          </cell>
        </row>
        <row r="1339">
          <cell r="A1339">
            <v>1410</v>
          </cell>
        </row>
        <row r="1340">
          <cell r="A1340">
            <v>1466</v>
          </cell>
        </row>
        <row r="1341">
          <cell r="A1341">
            <v>1467</v>
          </cell>
        </row>
        <row r="1342">
          <cell r="A1342">
            <v>1468</v>
          </cell>
        </row>
        <row r="1343">
          <cell r="A1343">
            <v>1469</v>
          </cell>
        </row>
        <row r="1344">
          <cell r="A1344">
            <v>1470</v>
          </cell>
        </row>
        <row r="1345">
          <cell r="A1345">
            <v>1504</v>
          </cell>
        </row>
        <row r="1346">
          <cell r="A1346">
            <v>1505</v>
          </cell>
        </row>
        <row r="1347">
          <cell r="A1347">
            <v>1506</v>
          </cell>
        </row>
        <row r="1348">
          <cell r="A1348">
            <v>1507</v>
          </cell>
        </row>
        <row r="1349">
          <cell r="A1349">
            <v>1508</v>
          </cell>
        </row>
        <row r="1350">
          <cell r="A1350">
            <v>1509</v>
          </cell>
        </row>
        <row r="1351">
          <cell r="A1351">
            <v>1510</v>
          </cell>
        </row>
        <row r="1352">
          <cell r="A1352">
            <v>1511</v>
          </cell>
        </row>
        <row r="1353">
          <cell r="A1353">
            <v>1512</v>
          </cell>
        </row>
        <row r="1354">
          <cell r="A1354">
            <v>1523</v>
          </cell>
        </row>
        <row r="1355">
          <cell r="A1355">
            <v>1524</v>
          </cell>
        </row>
        <row r="1356">
          <cell r="A1356">
            <v>1525</v>
          </cell>
        </row>
        <row r="1357">
          <cell r="A1357">
            <v>1526</v>
          </cell>
        </row>
        <row r="1358">
          <cell r="A1358">
            <v>5001</v>
          </cell>
        </row>
        <row r="1359">
          <cell r="A1359">
            <v>5002</v>
          </cell>
        </row>
        <row r="1360">
          <cell r="A1360">
            <v>5003</v>
          </cell>
        </row>
        <row r="1361">
          <cell r="A1361">
            <v>5004</v>
          </cell>
        </row>
        <row r="1362">
          <cell r="A1362">
            <v>5005</v>
          </cell>
        </row>
        <row r="1363">
          <cell r="A1363">
            <v>5006</v>
          </cell>
        </row>
        <row r="1364">
          <cell r="A1364">
            <v>5007</v>
          </cell>
        </row>
        <row r="1365">
          <cell r="A1365">
            <v>5008</v>
          </cell>
        </row>
        <row r="1366">
          <cell r="A1366">
            <v>6001</v>
          </cell>
        </row>
        <row r="1367">
          <cell r="A1367">
            <v>6002</v>
          </cell>
        </row>
        <row r="1368">
          <cell r="A1368">
            <v>6003</v>
          </cell>
        </row>
        <row r="1369">
          <cell r="A1369">
            <v>6004</v>
          </cell>
        </row>
        <row r="1370">
          <cell r="A1370">
            <v>6005</v>
          </cell>
        </row>
        <row r="1371">
          <cell r="A1371">
            <v>6006</v>
          </cell>
        </row>
        <row r="1372">
          <cell r="A1372">
            <v>6007</v>
          </cell>
        </row>
        <row r="1373">
          <cell r="A1373">
            <v>6008</v>
          </cell>
        </row>
        <row r="1374">
          <cell r="A1374">
            <v>6009</v>
          </cell>
        </row>
        <row r="1375">
          <cell r="A1375">
            <v>6010</v>
          </cell>
        </row>
        <row r="1376">
          <cell r="A1376">
            <v>6011</v>
          </cell>
        </row>
        <row r="1377">
          <cell r="A1377">
            <v>6012</v>
          </cell>
        </row>
        <row r="1378">
          <cell r="A1378">
            <v>6013</v>
          </cell>
        </row>
        <row r="1379">
          <cell r="A1379">
            <v>6014</v>
          </cell>
        </row>
        <row r="1380">
          <cell r="A1380">
            <v>6015</v>
          </cell>
        </row>
        <row r="1381">
          <cell r="A1381">
            <v>6016</v>
          </cell>
        </row>
        <row r="1382">
          <cell r="A1382">
            <v>6017</v>
          </cell>
        </row>
        <row r="1383">
          <cell r="A1383">
            <v>6018</v>
          </cell>
        </row>
        <row r="1384">
          <cell r="A1384">
            <v>6019</v>
          </cell>
        </row>
        <row r="1385">
          <cell r="A1385">
            <v>6020</v>
          </cell>
        </row>
        <row r="1386">
          <cell r="A1386">
            <v>8001</v>
          </cell>
        </row>
        <row r="1387">
          <cell r="A1387">
            <v>8002</v>
          </cell>
        </row>
        <row r="1388">
          <cell r="A1388">
            <v>8003</v>
          </cell>
        </row>
        <row r="1389">
          <cell r="A1389">
            <v>8004</v>
          </cell>
        </row>
        <row r="1390">
          <cell r="A1390">
            <v>8005</v>
          </cell>
        </row>
        <row r="1391">
          <cell r="A1391">
            <v>8006</v>
          </cell>
        </row>
        <row r="1392">
          <cell r="A1392">
            <v>8007</v>
          </cell>
        </row>
        <row r="1393">
          <cell r="A1393">
            <v>8008</v>
          </cell>
        </row>
        <row r="1394">
          <cell r="A1394">
            <v>8009</v>
          </cell>
        </row>
        <row r="1395">
          <cell r="A1395">
            <v>8010</v>
          </cell>
        </row>
        <row r="1396">
          <cell r="A1396">
            <v>8011</v>
          </cell>
        </row>
        <row r="1397">
          <cell r="A1397">
            <v>8012</v>
          </cell>
        </row>
        <row r="1398">
          <cell r="A1398">
            <v>8013</v>
          </cell>
        </row>
        <row r="1399">
          <cell r="A1399">
            <v>8014</v>
          </cell>
        </row>
        <row r="1400">
          <cell r="A1400">
            <v>8015</v>
          </cell>
        </row>
        <row r="1401">
          <cell r="A1401">
            <v>8016</v>
          </cell>
        </row>
        <row r="1402">
          <cell r="A1402">
            <v>8017</v>
          </cell>
        </row>
        <row r="1403">
          <cell r="A1403">
            <v>8018</v>
          </cell>
        </row>
        <row r="1404">
          <cell r="A1404">
            <v>8019</v>
          </cell>
        </row>
        <row r="1405">
          <cell r="A1405">
            <v>8020</v>
          </cell>
        </row>
        <row r="1406">
          <cell r="A1406">
            <v>8021</v>
          </cell>
        </row>
        <row r="1407">
          <cell r="A1407">
            <v>8022</v>
          </cell>
        </row>
        <row r="1408">
          <cell r="A1408">
            <v>8023</v>
          </cell>
        </row>
        <row r="1409">
          <cell r="A1409">
            <v>8024</v>
          </cell>
        </row>
        <row r="1410">
          <cell r="A1410">
            <v>8025</v>
          </cell>
        </row>
        <row r="1411">
          <cell r="A1411">
            <v>8026</v>
          </cell>
        </row>
        <row r="1412">
          <cell r="A1412">
            <v>8027</v>
          </cell>
        </row>
        <row r="1413">
          <cell r="A1413">
            <v>8028</v>
          </cell>
        </row>
        <row r="1414">
          <cell r="A1414">
            <v>8029</v>
          </cell>
        </row>
        <row r="1415">
          <cell r="A1415">
            <v>8030</v>
          </cell>
        </row>
        <row r="1416">
          <cell r="A1416">
            <v>8031</v>
          </cell>
        </row>
        <row r="1417">
          <cell r="A1417">
            <v>8032</v>
          </cell>
        </row>
        <row r="1418">
          <cell r="A1418">
            <v>8033</v>
          </cell>
        </row>
        <row r="1419">
          <cell r="A1419">
            <v>8034</v>
          </cell>
        </row>
        <row r="1420">
          <cell r="A1420">
            <v>8035</v>
          </cell>
        </row>
        <row r="1421">
          <cell r="A1421">
            <v>8036</v>
          </cell>
        </row>
        <row r="1422">
          <cell r="A1422">
            <v>8037</v>
          </cell>
        </row>
        <row r="1423">
          <cell r="A1423">
            <v>8038</v>
          </cell>
        </row>
        <row r="1424">
          <cell r="A1424">
            <v>8039</v>
          </cell>
        </row>
        <row r="1425">
          <cell r="A1425">
            <v>8040</v>
          </cell>
        </row>
        <row r="1426">
          <cell r="A1426">
            <v>8041</v>
          </cell>
        </row>
        <row r="1427">
          <cell r="A1427">
            <v>8042</v>
          </cell>
        </row>
        <row r="1428">
          <cell r="A1428">
            <v>8043</v>
          </cell>
        </row>
        <row r="1429">
          <cell r="A1429">
            <v>8044</v>
          </cell>
        </row>
        <row r="1430">
          <cell r="A1430">
            <v>8045</v>
          </cell>
        </row>
        <row r="1431">
          <cell r="A1431">
            <v>8046</v>
          </cell>
        </row>
        <row r="1432">
          <cell r="A1432">
            <v>8047</v>
          </cell>
        </row>
        <row r="1433">
          <cell r="A1433">
            <v>8048</v>
          </cell>
        </row>
        <row r="1434">
          <cell r="A1434">
            <v>8049</v>
          </cell>
        </row>
        <row r="1435">
          <cell r="A1435">
            <v>8050</v>
          </cell>
        </row>
        <row r="1436">
          <cell r="A1436">
            <v>8051</v>
          </cell>
        </row>
        <row r="1437">
          <cell r="A1437">
            <v>8052</v>
          </cell>
        </row>
        <row r="1438">
          <cell r="A1438">
            <v>8053</v>
          </cell>
        </row>
        <row r="1439">
          <cell r="A1439">
            <v>8054</v>
          </cell>
        </row>
        <row r="1440">
          <cell r="A1440">
            <v>8055</v>
          </cell>
        </row>
        <row r="1441">
          <cell r="A1441">
            <v>8056</v>
          </cell>
        </row>
        <row r="1442">
          <cell r="A1442">
            <v>8057</v>
          </cell>
        </row>
        <row r="1443">
          <cell r="A1443">
            <v>8058</v>
          </cell>
        </row>
        <row r="1444">
          <cell r="A1444">
            <v>8059</v>
          </cell>
        </row>
        <row r="1445">
          <cell r="A1445">
            <v>8060</v>
          </cell>
        </row>
        <row r="1446">
          <cell r="A1446">
            <v>8061</v>
          </cell>
        </row>
        <row r="1447">
          <cell r="A1447">
            <v>8062</v>
          </cell>
        </row>
        <row r="1448">
          <cell r="A1448">
            <v>8063</v>
          </cell>
        </row>
        <row r="1449">
          <cell r="A1449">
            <v>8064</v>
          </cell>
        </row>
        <row r="1450">
          <cell r="A1450">
            <v>8065</v>
          </cell>
        </row>
        <row r="1451">
          <cell r="A1451">
            <v>8066</v>
          </cell>
        </row>
        <row r="1452">
          <cell r="A1452">
            <v>8067</v>
          </cell>
        </row>
        <row r="1453">
          <cell r="A1453">
            <v>8068</v>
          </cell>
        </row>
        <row r="1454">
          <cell r="A1454">
            <v>8069</v>
          </cell>
        </row>
        <row r="1455">
          <cell r="A1455">
            <v>8070</v>
          </cell>
        </row>
        <row r="1456">
          <cell r="A1456">
            <v>8071</v>
          </cell>
        </row>
        <row r="1457">
          <cell r="A1457">
            <v>8072</v>
          </cell>
        </row>
        <row r="1458">
          <cell r="A1458">
            <v>8073</v>
          </cell>
        </row>
        <row r="1459">
          <cell r="A1459">
            <v>8074</v>
          </cell>
        </row>
        <row r="1460">
          <cell r="A1460">
            <v>8077</v>
          </cell>
        </row>
        <row r="1461">
          <cell r="A1461">
            <v>8078</v>
          </cell>
        </row>
        <row r="1462">
          <cell r="A1462">
            <v>8079</v>
          </cell>
        </row>
        <row r="1463">
          <cell r="A1463">
            <v>8080</v>
          </cell>
        </row>
        <row r="1464">
          <cell r="A1464">
            <v>8081</v>
          </cell>
        </row>
        <row r="1465">
          <cell r="A1465">
            <v>8082</v>
          </cell>
        </row>
        <row r="1466">
          <cell r="A1466">
            <v>8083</v>
          </cell>
        </row>
        <row r="1467">
          <cell r="A1467">
            <v>8084</v>
          </cell>
        </row>
        <row r="1468">
          <cell r="A1468">
            <v>8087</v>
          </cell>
        </row>
        <row r="1469">
          <cell r="A1469">
            <v>8088</v>
          </cell>
        </row>
        <row r="1470">
          <cell r="A1470">
            <v>8089</v>
          </cell>
        </row>
        <row r="1471">
          <cell r="A1471">
            <v>8090</v>
          </cell>
        </row>
        <row r="1472">
          <cell r="A1472">
            <v>8095</v>
          </cell>
        </row>
        <row r="1473">
          <cell r="A1473">
            <v>8096</v>
          </cell>
        </row>
        <row r="1474">
          <cell r="A1474">
            <v>8097</v>
          </cell>
        </row>
        <row r="1475">
          <cell r="A1475">
            <v>8098</v>
          </cell>
        </row>
        <row r="1476">
          <cell r="A1476">
            <v>8099</v>
          </cell>
        </row>
        <row r="1477">
          <cell r="A1477">
            <v>9001</v>
          </cell>
        </row>
        <row r="1478">
          <cell r="A1478">
            <v>9002</v>
          </cell>
        </row>
        <row r="1479">
          <cell r="A1479">
            <v>9003</v>
          </cell>
        </row>
        <row r="1480">
          <cell r="A1480">
            <v>9004</v>
          </cell>
        </row>
      </sheetData>
      <sheetData sheetId="2">
        <row r="1">
          <cell r="A1" t="str">
            <v>level</v>
          </cell>
          <cell r="B1" t="str">
            <v>base_hp</v>
          </cell>
          <cell r="C1" t="str">
            <v>標準HP</v>
          </cell>
          <cell r="D1" t="str">
            <v>base_attack</v>
          </cell>
          <cell r="E1" t="str">
            <v>標準攻撃力</v>
          </cell>
          <cell r="F1" t="str">
            <v>base_defense</v>
          </cell>
        </row>
        <row r="2">
          <cell r="A2">
            <v>1</v>
          </cell>
          <cell r="B2">
            <v>1000</v>
          </cell>
          <cell r="C2">
            <v>500</v>
          </cell>
          <cell r="D2">
            <v>1000</v>
          </cell>
          <cell r="E2">
            <v>300</v>
          </cell>
          <cell r="F2">
            <v>1</v>
          </cell>
        </row>
        <row r="3">
          <cell r="A3">
            <v>2</v>
          </cell>
          <cell r="B3">
            <v>1400</v>
          </cell>
          <cell r="C3">
            <v>700</v>
          </cell>
          <cell r="D3">
            <v>1200</v>
          </cell>
          <cell r="E3">
            <v>360</v>
          </cell>
          <cell r="F3">
            <v>31</v>
          </cell>
        </row>
        <row r="4">
          <cell r="A4">
            <v>3</v>
          </cell>
          <cell r="B4">
            <v>1800</v>
          </cell>
          <cell r="C4">
            <v>900</v>
          </cell>
          <cell r="D4">
            <v>1400</v>
          </cell>
          <cell r="E4">
            <v>420</v>
          </cell>
          <cell r="F4">
            <v>61</v>
          </cell>
        </row>
        <row r="5">
          <cell r="A5">
            <v>4</v>
          </cell>
          <cell r="B5">
            <v>2200</v>
          </cell>
          <cell r="C5">
            <v>1100</v>
          </cell>
          <cell r="D5">
            <v>1600</v>
          </cell>
          <cell r="E5">
            <v>480</v>
          </cell>
          <cell r="F5">
            <v>91</v>
          </cell>
        </row>
        <row r="6">
          <cell r="A6">
            <v>5</v>
          </cell>
          <cell r="B6">
            <v>2600</v>
          </cell>
          <cell r="C6">
            <v>1300</v>
          </cell>
          <cell r="D6">
            <v>1800</v>
          </cell>
          <cell r="E6">
            <v>540</v>
          </cell>
          <cell r="F6">
            <v>121</v>
          </cell>
        </row>
        <row r="7">
          <cell r="A7">
            <v>6</v>
          </cell>
          <cell r="B7">
            <v>3000</v>
          </cell>
          <cell r="C7">
            <v>1500</v>
          </cell>
          <cell r="D7">
            <v>2000</v>
          </cell>
          <cell r="E7">
            <v>600</v>
          </cell>
          <cell r="F7">
            <v>151</v>
          </cell>
        </row>
        <row r="8">
          <cell r="A8">
            <v>7</v>
          </cell>
          <cell r="B8">
            <v>3400</v>
          </cell>
          <cell r="C8">
            <v>1700</v>
          </cell>
          <cell r="D8">
            <v>2200</v>
          </cell>
          <cell r="E8">
            <v>660</v>
          </cell>
          <cell r="F8">
            <v>181</v>
          </cell>
        </row>
        <row r="9">
          <cell r="A9">
            <v>8</v>
          </cell>
          <cell r="B9">
            <v>3800</v>
          </cell>
          <cell r="C9">
            <v>1900</v>
          </cell>
          <cell r="D9">
            <v>2400</v>
          </cell>
          <cell r="E9">
            <v>720</v>
          </cell>
          <cell r="F9">
            <v>211</v>
          </cell>
        </row>
        <row r="10">
          <cell r="A10">
            <v>9</v>
          </cell>
          <cell r="B10">
            <v>4200</v>
          </cell>
          <cell r="C10">
            <v>2100</v>
          </cell>
          <cell r="D10">
            <v>2600</v>
          </cell>
          <cell r="E10">
            <v>780</v>
          </cell>
          <cell r="F10">
            <v>241</v>
          </cell>
        </row>
        <row r="11">
          <cell r="A11">
            <v>10</v>
          </cell>
          <cell r="B11">
            <v>4600</v>
          </cell>
          <cell r="C11">
            <v>2300</v>
          </cell>
          <cell r="D11">
            <v>2800</v>
          </cell>
          <cell r="E11">
            <v>840</v>
          </cell>
          <cell r="F11">
            <v>271</v>
          </cell>
        </row>
        <row r="12">
          <cell r="A12">
            <v>11</v>
          </cell>
          <cell r="B12">
            <v>5000</v>
          </cell>
          <cell r="C12">
            <v>2500</v>
          </cell>
          <cell r="D12">
            <v>3000</v>
          </cell>
          <cell r="E12">
            <v>900</v>
          </cell>
          <cell r="F12">
            <v>301</v>
          </cell>
        </row>
        <row r="13">
          <cell r="A13">
            <v>12</v>
          </cell>
          <cell r="B13">
            <v>5400</v>
          </cell>
          <cell r="C13">
            <v>2700</v>
          </cell>
          <cell r="D13">
            <v>3200</v>
          </cell>
          <cell r="E13">
            <v>960</v>
          </cell>
          <cell r="F13">
            <v>331</v>
          </cell>
        </row>
        <row r="14">
          <cell r="A14">
            <v>13</v>
          </cell>
          <cell r="B14">
            <v>5800</v>
          </cell>
          <cell r="C14">
            <v>2900</v>
          </cell>
          <cell r="D14">
            <v>3400</v>
          </cell>
          <cell r="E14">
            <v>1020</v>
          </cell>
          <cell r="F14">
            <v>361</v>
          </cell>
        </row>
        <row r="15">
          <cell r="A15">
            <v>14</v>
          </cell>
          <cell r="B15">
            <v>6200</v>
          </cell>
          <cell r="C15">
            <v>3100</v>
          </cell>
          <cell r="D15">
            <v>3600</v>
          </cell>
          <cell r="E15">
            <v>1080</v>
          </cell>
          <cell r="F15">
            <v>391</v>
          </cell>
        </row>
        <row r="16">
          <cell r="A16">
            <v>15</v>
          </cell>
          <cell r="B16">
            <v>6600</v>
          </cell>
          <cell r="C16">
            <v>3300</v>
          </cell>
          <cell r="D16">
            <v>3800</v>
          </cell>
          <cell r="E16">
            <v>1140</v>
          </cell>
          <cell r="F16">
            <v>421</v>
          </cell>
        </row>
        <row r="17">
          <cell r="A17">
            <v>16</v>
          </cell>
          <cell r="B17">
            <v>7000</v>
          </cell>
          <cell r="C17">
            <v>3500</v>
          </cell>
          <cell r="D17">
            <v>4000</v>
          </cell>
          <cell r="E17">
            <v>1200</v>
          </cell>
          <cell r="F17">
            <v>451</v>
          </cell>
        </row>
        <row r="18">
          <cell r="A18">
            <v>17</v>
          </cell>
          <cell r="B18">
            <v>7400</v>
          </cell>
          <cell r="C18">
            <v>3700</v>
          </cell>
          <cell r="D18">
            <v>4200</v>
          </cell>
          <cell r="E18">
            <v>1260</v>
          </cell>
          <cell r="F18">
            <v>481</v>
          </cell>
        </row>
        <row r="19">
          <cell r="A19">
            <v>18</v>
          </cell>
          <cell r="B19">
            <v>7800</v>
          </cell>
          <cell r="C19">
            <v>3900</v>
          </cell>
          <cell r="D19">
            <v>4400</v>
          </cell>
          <cell r="E19">
            <v>1320</v>
          </cell>
          <cell r="F19">
            <v>511</v>
          </cell>
        </row>
        <row r="20">
          <cell r="A20">
            <v>19</v>
          </cell>
          <cell r="B20">
            <v>8200</v>
          </cell>
          <cell r="C20">
            <v>4100</v>
          </cell>
          <cell r="D20">
            <v>4600</v>
          </cell>
          <cell r="E20">
            <v>1380</v>
          </cell>
          <cell r="F20">
            <v>541</v>
          </cell>
        </row>
        <row r="21">
          <cell r="A21">
            <v>20</v>
          </cell>
          <cell r="B21">
            <v>8600</v>
          </cell>
          <cell r="C21">
            <v>4300</v>
          </cell>
          <cell r="D21">
            <v>4800</v>
          </cell>
          <cell r="E21">
            <v>1440</v>
          </cell>
          <cell r="F21">
            <v>571</v>
          </cell>
        </row>
        <row r="22">
          <cell r="A22">
            <v>21</v>
          </cell>
          <cell r="B22">
            <v>9000</v>
          </cell>
          <cell r="C22">
            <v>4500</v>
          </cell>
          <cell r="D22">
            <v>5000</v>
          </cell>
          <cell r="E22">
            <v>1500</v>
          </cell>
          <cell r="F22">
            <v>601</v>
          </cell>
        </row>
        <row r="23">
          <cell r="A23">
            <v>22</v>
          </cell>
          <cell r="B23">
            <v>9400</v>
          </cell>
          <cell r="C23">
            <v>4700</v>
          </cell>
          <cell r="D23">
            <v>5200</v>
          </cell>
          <cell r="E23">
            <v>1560</v>
          </cell>
          <cell r="F23">
            <v>631</v>
          </cell>
        </row>
        <row r="24">
          <cell r="A24">
            <v>23</v>
          </cell>
          <cell r="B24">
            <v>9800</v>
          </cell>
          <cell r="C24">
            <v>4900</v>
          </cell>
          <cell r="D24">
            <v>5400</v>
          </cell>
          <cell r="E24">
            <v>1620</v>
          </cell>
          <cell r="F24">
            <v>661</v>
          </cell>
        </row>
        <row r="25">
          <cell r="A25">
            <v>24</v>
          </cell>
          <cell r="B25">
            <v>10200</v>
          </cell>
          <cell r="C25">
            <v>5100</v>
          </cell>
          <cell r="D25">
            <v>5600</v>
          </cell>
          <cell r="E25">
            <v>1680</v>
          </cell>
          <cell r="F25">
            <v>691</v>
          </cell>
        </row>
        <row r="26">
          <cell r="A26">
            <v>25</v>
          </cell>
          <cell r="B26">
            <v>10600</v>
          </cell>
          <cell r="C26">
            <v>5300</v>
          </cell>
          <cell r="D26">
            <v>5800</v>
          </cell>
          <cell r="E26">
            <v>1740</v>
          </cell>
          <cell r="F26">
            <v>721</v>
          </cell>
        </row>
        <row r="27">
          <cell r="A27">
            <v>26</v>
          </cell>
          <cell r="B27">
            <v>11000</v>
          </cell>
          <cell r="C27">
            <v>5500</v>
          </cell>
          <cell r="D27">
            <v>6000</v>
          </cell>
          <cell r="E27">
            <v>1800</v>
          </cell>
          <cell r="F27">
            <v>751</v>
          </cell>
        </row>
        <row r="28">
          <cell r="A28">
            <v>27</v>
          </cell>
          <cell r="B28">
            <v>11400</v>
          </cell>
          <cell r="C28">
            <v>5700</v>
          </cell>
          <cell r="D28">
            <v>6200</v>
          </cell>
          <cell r="E28">
            <v>1860</v>
          </cell>
          <cell r="F28">
            <v>781</v>
          </cell>
        </row>
        <row r="29">
          <cell r="A29">
            <v>28</v>
          </cell>
          <cell r="B29">
            <v>11800</v>
          </cell>
          <cell r="C29">
            <v>5900</v>
          </cell>
          <cell r="D29">
            <v>6400</v>
          </cell>
          <cell r="E29">
            <v>1920</v>
          </cell>
          <cell r="F29">
            <v>811</v>
          </cell>
        </row>
        <row r="30">
          <cell r="A30">
            <v>29</v>
          </cell>
          <cell r="B30">
            <v>12200</v>
          </cell>
          <cell r="C30">
            <v>6100</v>
          </cell>
          <cell r="D30">
            <v>6600</v>
          </cell>
          <cell r="E30">
            <v>1980</v>
          </cell>
          <cell r="F30">
            <v>841</v>
          </cell>
        </row>
        <row r="31">
          <cell r="A31">
            <v>30</v>
          </cell>
          <cell r="B31">
            <v>12600</v>
          </cell>
          <cell r="C31">
            <v>6300</v>
          </cell>
          <cell r="D31">
            <v>6800</v>
          </cell>
          <cell r="E31">
            <v>2040</v>
          </cell>
          <cell r="F31">
            <v>871</v>
          </cell>
        </row>
        <row r="32">
          <cell r="A32">
            <v>31</v>
          </cell>
          <cell r="B32">
            <v>13000</v>
          </cell>
          <cell r="C32">
            <v>6500</v>
          </cell>
          <cell r="D32">
            <v>7000</v>
          </cell>
          <cell r="E32">
            <v>2100</v>
          </cell>
          <cell r="F32">
            <v>901</v>
          </cell>
        </row>
        <row r="33">
          <cell r="A33">
            <v>32</v>
          </cell>
          <cell r="B33">
            <v>13400</v>
          </cell>
          <cell r="C33">
            <v>6700</v>
          </cell>
          <cell r="D33">
            <v>7200</v>
          </cell>
          <cell r="E33">
            <v>2160</v>
          </cell>
          <cell r="F33">
            <v>931</v>
          </cell>
        </row>
        <row r="34">
          <cell r="A34">
            <v>33</v>
          </cell>
          <cell r="B34">
            <v>13800</v>
          </cell>
          <cell r="C34">
            <v>6900</v>
          </cell>
          <cell r="D34">
            <v>7400</v>
          </cell>
          <cell r="E34">
            <v>2220</v>
          </cell>
          <cell r="F34">
            <v>961</v>
          </cell>
        </row>
        <row r="35">
          <cell r="A35">
            <v>34</v>
          </cell>
          <cell r="B35">
            <v>14200</v>
          </cell>
          <cell r="C35">
            <v>7100</v>
          </cell>
          <cell r="D35">
            <v>7600</v>
          </cell>
          <cell r="E35">
            <v>2280</v>
          </cell>
          <cell r="F35">
            <v>991</v>
          </cell>
        </row>
        <row r="36">
          <cell r="A36">
            <v>35</v>
          </cell>
          <cell r="B36">
            <v>14600</v>
          </cell>
          <cell r="C36">
            <v>7300</v>
          </cell>
          <cell r="D36">
            <v>7800</v>
          </cell>
          <cell r="E36">
            <v>2340</v>
          </cell>
          <cell r="F36">
            <v>1021</v>
          </cell>
        </row>
        <row r="37">
          <cell r="A37">
            <v>36</v>
          </cell>
          <cell r="B37">
            <v>15000</v>
          </cell>
          <cell r="C37">
            <v>7500</v>
          </cell>
          <cell r="D37">
            <v>8000</v>
          </cell>
          <cell r="E37">
            <v>2400</v>
          </cell>
          <cell r="F37">
            <v>1051</v>
          </cell>
        </row>
        <row r="38">
          <cell r="A38">
            <v>37</v>
          </cell>
          <cell r="B38">
            <v>15400</v>
          </cell>
          <cell r="C38">
            <v>7700</v>
          </cell>
          <cell r="D38">
            <v>8200</v>
          </cell>
          <cell r="E38">
            <v>2460</v>
          </cell>
          <cell r="F38">
            <v>1081</v>
          </cell>
        </row>
        <row r="39">
          <cell r="A39">
            <v>38</v>
          </cell>
          <cell r="B39">
            <v>15800</v>
          </cell>
          <cell r="C39">
            <v>7900</v>
          </cell>
          <cell r="D39">
            <v>8400</v>
          </cell>
          <cell r="E39">
            <v>2520</v>
          </cell>
          <cell r="F39">
            <v>1111</v>
          </cell>
        </row>
        <row r="40">
          <cell r="A40">
            <v>39</v>
          </cell>
          <cell r="B40">
            <v>16200</v>
          </cell>
          <cell r="C40">
            <v>8100</v>
          </cell>
          <cell r="D40">
            <v>8600</v>
          </cell>
          <cell r="E40">
            <v>2580</v>
          </cell>
          <cell r="F40">
            <v>1141</v>
          </cell>
        </row>
        <row r="41">
          <cell r="A41">
            <v>40</v>
          </cell>
          <cell r="B41">
            <v>16600</v>
          </cell>
          <cell r="C41">
            <v>8300</v>
          </cell>
          <cell r="D41">
            <v>8800</v>
          </cell>
          <cell r="E41">
            <v>2640</v>
          </cell>
          <cell r="F41">
            <v>1171</v>
          </cell>
        </row>
        <row r="42">
          <cell r="A42">
            <v>41</v>
          </cell>
          <cell r="B42">
            <v>17000</v>
          </cell>
          <cell r="C42">
            <v>8500</v>
          </cell>
          <cell r="D42">
            <v>9000</v>
          </cell>
          <cell r="E42">
            <v>2700</v>
          </cell>
          <cell r="F42">
            <v>1201</v>
          </cell>
        </row>
        <row r="43">
          <cell r="A43">
            <v>42</v>
          </cell>
          <cell r="B43">
            <v>17400</v>
          </cell>
          <cell r="C43">
            <v>8700</v>
          </cell>
          <cell r="D43">
            <v>9200</v>
          </cell>
          <cell r="E43">
            <v>2760</v>
          </cell>
          <cell r="F43">
            <v>1231</v>
          </cell>
        </row>
        <row r="44">
          <cell r="A44">
            <v>43</v>
          </cell>
          <cell r="B44">
            <v>17800</v>
          </cell>
          <cell r="C44">
            <v>8900</v>
          </cell>
          <cell r="D44">
            <v>9400</v>
          </cell>
          <cell r="E44">
            <v>2820</v>
          </cell>
          <cell r="F44">
            <v>1261</v>
          </cell>
        </row>
        <row r="45">
          <cell r="A45">
            <v>44</v>
          </cell>
          <cell r="B45">
            <v>18200</v>
          </cell>
          <cell r="C45">
            <v>9100</v>
          </cell>
          <cell r="D45">
            <v>9600</v>
          </cell>
          <cell r="E45">
            <v>2880</v>
          </cell>
          <cell r="F45">
            <v>1291</v>
          </cell>
        </row>
        <row r="46">
          <cell r="A46">
            <v>45</v>
          </cell>
          <cell r="B46">
            <v>18600</v>
          </cell>
          <cell r="C46">
            <v>9300</v>
          </cell>
          <cell r="D46">
            <v>9800</v>
          </cell>
          <cell r="E46">
            <v>2940</v>
          </cell>
          <cell r="F46">
            <v>1321</v>
          </cell>
        </row>
        <row r="47">
          <cell r="A47">
            <v>46</v>
          </cell>
          <cell r="B47">
            <v>19000</v>
          </cell>
          <cell r="C47">
            <v>9500</v>
          </cell>
          <cell r="D47">
            <v>10000</v>
          </cell>
          <cell r="E47">
            <v>3000</v>
          </cell>
          <cell r="F47">
            <v>1351</v>
          </cell>
        </row>
        <row r="48">
          <cell r="A48">
            <v>47</v>
          </cell>
          <cell r="B48">
            <v>19400</v>
          </cell>
          <cell r="C48">
            <v>9700</v>
          </cell>
          <cell r="D48">
            <v>10200</v>
          </cell>
          <cell r="E48">
            <v>3060</v>
          </cell>
          <cell r="F48">
            <v>1381</v>
          </cell>
        </row>
        <row r="49">
          <cell r="A49">
            <v>48</v>
          </cell>
          <cell r="B49">
            <v>19800</v>
          </cell>
          <cell r="C49">
            <v>9900</v>
          </cell>
          <cell r="D49">
            <v>10400</v>
          </cell>
          <cell r="E49">
            <v>3120</v>
          </cell>
          <cell r="F49">
            <v>1411</v>
          </cell>
        </row>
        <row r="50">
          <cell r="A50">
            <v>49</v>
          </cell>
          <cell r="B50">
            <v>20200</v>
          </cell>
          <cell r="C50">
            <v>10100</v>
          </cell>
          <cell r="D50">
            <v>10600</v>
          </cell>
          <cell r="E50">
            <v>3180</v>
          </cell>
          <cell r="F50">
            <v>1441</v>
          </cell>
        </row>
        <row r="51">
          <cell r="A51">
            <v>50</v>
          </cell>
          <cell r="B51">
            <v>20600</v>
          </cell>
          <cell r="C51">
            <v>10300</v>
          </cell>
          <cell r="D51">
            <v>10800</v>
          </cell>
          <cell r="E51">
            <v>3240</v>
          </cell>
          <cell r="F51">
            <v>1471</v>
          </cell>
        </row>
        <row r="52">
          <cell r="A52">
            <v>51</v>
          </cell>
          <cell r="B52">
            <v>21000</v>
          </cell>
          <cell r="C52">
            <v>10500</v>
          </cell>
          <cell r="D52">
            <v>11000</v>
          </cell>
          <cell r="E52">
            <v>3300</v>
          </cell>
          <cell r="F52">
            <v>1501</v>
          </cell>
        </row>
        <row r="53">
          <cell r="A53">
            <v>52</v>
          </cell>
          <cell r="B53">
            <v>21400</v>
          </cell>
          <cell r="C53">
            <v>10700</v>
          </cell>
          <cell r="D53">
            <v>11200</v>
          </cell>
          <cell r="E53">
            <v>3360</v>
          </cell>
          <cell r="F53">
            <v>1531</v>
          </cell>
        </row>
        <row r="54">
          <cell r="A54">
            <v>53</v>
          </cell>
          <cell r="B54">
            <v>21800</v>
          </cell>
          <cell r="C54">
            <v>10900</v>
          </cell>
          <cell r="D54">
            <v>11400</v>
          </cell>
          <cell r="E54">
            <v>3420</v>
          </cell>
          <cell r="F54">
            <v>1561</v>
          </cell>
        </row>
        <row r="55">
          <cell r="A55">
            <v>54</v>
          </cell>
          <cell r="B55">
            <v>22200</v>
          </cell>
          <cell r="C55">
            <v>11100</v>
          </cell>
          <cell r="D55">
            <v>11600</v>
          </cell>
          <cell r="E55">
            <v>3480</v>
          </cell>
          <cell r="F55">
            <v>1591</v>
          </cell>
        </row>
        <row r="56">
          <cell r="A56">
            <v>55</v>
          </cell>
          <cell r="B56">
            <v>22600</v>
          </cell>
          <cell r="C56">
            <v>11300</v>
          </cell>
          <cell r="D56">
            <v>11800</v>
          </cell>
          <cell r="E56">
            <v>3540</v>
          </cell>
          <cell r="F56">
            <v>1621</v>
          </cell>
        </row>
        <row r="57">
          <cell r="A57">
            <v>56</v>
          </cell>
          <cell r="B57">
            <v>23000</v>
          </cell>
          <cell r="C57">
            <v>11500</v>
          </cell>
          <cell r="D57">
            <v>12000</v>
          </cell>
          <cell r="E57">
            <v>3600</v>
          </cell>
          <cell r="F57">
            <v>1651</v>
          </cell>
        </row>
        <row r="58">
          <cell r="A58">
            <v>57</v>
          </cell>
          <cell r="B58">
            <v>23400</v>
          </cell>
          <cell r="C58">
            <v>11700</v>
          </cell>
          <cell r="D58">
            <v>12200</v>
          </cell>
          <cell r="E58">
            <v>3660</v>
          </cell>
          <cell r="F58">
            <v>1681</v>
          </cell>
        </row>
        <row r="59">
          <cell r="A59">
            <v>58</v>
          </cell>
          <cell r="B59">
            <v>23800</v>
          </cell>
          <cell r="C59">
            <v>11900</v>
          </cell>
          <cell r="D59">
            <v>12400</v>
          </cell>
          <cell r="E59">
            <v>3720</v>
          </cell>
          <cell r="F59">
            <v>1711</v>
          </cell>
        </row>
        <row r="60">
          <cell r="A60">
            <v>59</v>
          </cell>
          <cell r="B60">
            <v>24200</v>
          </cell>
          <cell r="C60">
            <v>12100</v>
          </cell>
          <cell r="D60">
            <v>12600</v>
          </cell>
          <cell r="E60">
            <v>3780</v>
          </cell>
          <cell r="F60">
            <v>1741</v>
          </cell>
        </row>
        <row r="61">
          <cell r="A61">
            <v>60</v>
          </cell>
          <cell r="B61">
            <v>24600</v>
          </cell>
          <cell r="C61">
            <v>12300</v>
          </cell>
          <cell r="D61">
            <v>12800</v>
          </cell>
          <cell r="E61">
            <v>3840</v>
          </cell>
          <cell r="F61">
            <v>1771</v>
          </cell>
        </row>
        <row r="62">
          <cell r="A62">
            <v>61</v>
          </cell>
          <cell r="B62">
            <v>25000</v>
          </cell>
          <cell r="C62">
            <v>12500</v>
          </cell>
          <cell r="D62">
            <v>13000</v>
          </cell>
          <cell r="E62">
            <v>3900</v>
          </cell>
          <cell r="F62">
            <v>1801</v>
          </cell>
        </row>
        <row r="63">
          <cell r="A63">
            <v>62</v>
          </cell>
          <cell r="B63">
            <v>25400</v>
          </cell>
          <cell r="C63">
            <v>12700</v>
          </cell>
          <cell r="D63">
            <v>13200</v>
          </cell>
          <cell r="E63">
            <v>3960</v>
          </cell>
          <cell r="F63">
            <v>1831</v>
          </cell>
        </row>
        <row r="64">
          <cell r="A64">
            <v>63</v>
          </cell>
          <cell r="B64">
            <v>25800</v>
          </cell>
          <cell r="C64">
            <v>12900</v>
          </cell>
          <cell r="D64">
            <v>13400</v>
          </cell>
          <cell r="E64">
            <v>4020</v>
          </cell>
          <cell r="F64">
            <v>1861</v>
          </cell>
        </row>
        <row r="65">
          <cell r="A65">
            <v>64</v>
          </cell>
          <cell r="B65">
            <v>26200</v>
          </cell>
          <cell r="C65">
            <v>13100</v>
          </cell>
          <cell r="D65">
            <v>13600</v>
          </cell>
          <cell r="E65">
            <v>4080</v>
          </cell>
          <cell r="F65">
            <v>1891</v>
          </cell>
        </row>
        <row r="66">
          <cell r="A66">
            <v>65</v>
          </cell>
          <cell r="B66">
            <v>26600</v>
          </cell>
          <cell r="C66">
            <v>13300</v>
          </cell>
          <cell r="D66">
            <v>13800</v>
          </cell>
          <cell r="E66">
            <v>4140</v>
          </cell>
          <cell r="F66">
            <v>1921</v>
          </cell>
        </row>
        <row r="67">
          <cell r="A67">
            <v>66</v>
          </cell>
          <cell r="B67">
            <v>27000</v>
          </cell>
          <cell r="C67">
            <v>13500</v>
          </cell>
          <cell r="D67">
            <v>14000</v>
          </cell>
          <cell r="E67">
            <v>4200</v>
          </cell>
          <cell r="F67">
            <v>1951</v>
          </cell>
        </row>
        <row r="68">
          <cell r="A68">
            <v>67</v>
          </cell>
          <cell r="B68">
            <v>27400</v>
          </cell>
          <cell r="C68">
            <v>13700</v>
          </cell>
          <cell r="D68">
            <v>14200</v>
          </cell>
          <cell r="E68">
            <v>4260</v>
          </cell>
          <cell r="F68">
            <v>1981</v>
          </cell>
        </row>
        <row r="69">
          <cell r="A69">
            <v>68</v>
          </cell>
          <cell r="B69">
            <v>27800</v>
          </cell>
          <cell r="C69">
            <v>13900</v>
          </cell>
          <cell r="D69">
            <v>14400</v>
          </cell>
          <cell r="E69">
            <v>4320</v>
          </cell>
          <cell r="F69">
            <v>2011</v>
          </cell>
        </row>
        <row r="70">
          <cell r="A70">
            <v>69</v>
          </cell>
          <cell r="B70">
            <v>28200</v>
          </cell>
          <cell r="C70">
            <v>14100</v>
          </cell>
          <cell r="D70">
            <v>14600</v>
          </cell>
          <cell r="E70">
            <v>4380</v>
          </cell>
          <cell r="F70">
            <v>2041</v>
          </cell>
        </row>
        <row r="71">
          <cell r="A71">
            <v>70</v>
          </cell>
          <cell r="B71">
            <v>28600</v>
          </cell>
          <cell r="C71">
            <v>14300</v>
          </cell>
          <cell r="D71">
            <v>14800</v>
          </cell>
          <cell r="E71">
            <v>4440</v>
          </cell>
          <cell r="F71">
            <v>2071</v>
          </cell>
        </row>
        <row r="72">
          <cell r="A72">
            <v>71</v>
          </cell>
          <cell r="B72">
            <v>29000</v>
          </cell>
          <cell r="C72">
            <v>14500</v>
          </cell>
          <cell r="D72">
            <v>15000</v>
          </cell>
          <cell r="E72">
            <v>4500</v>
          </cell>
          <cell r="F72">
            <v>2101</v>
          </cell>
        </row>
        <row r="73">
          <cell r="A73">
            <v>72</v>
          </cell>
          <cell r="B73">
            <v>29400</v>
          </cell>
          <cell r="C73">
            <v>14700</v>
          </cell>
          <cell r="D73">
            <v>15200</v>
          </cell>
          <cell r="E73">
            <v>4560</v>
          </cell>
          <cell r="F73">
            <v>2131</v>
          </cell>
        </row>
        <row r="74">
          <cell r="A74">
            <v>73</v>
          </cell>
          <cell r="B74">
            <v>29800</v>
          </cell>
          <cell r="C74">
            <v>14900</v>
          </cell>
          <cell r="D74">
            <v>15400</v>
          </cell>
          <cell r="E74">
            <v>4620</v>
          </cell>
          <cell r="F74">
            <v>2161</v>
          </cell>
        </row>
        <row r="75">
          <cell r="A75">
            <v>74</v>
          </cell>
          <cell r="B75">
            <v>30200</v>
          </cell>
          <cell r="C75">
            <v>15100</v>
          </cell>
          <cell r="D75">
            <v>15600</v>
          </cell>
          <cell r="E75">
            <v>4680</v>
          </cell>
          <cell r="F75">
            <v>2191</v>
          </cell>
        </row>
        <row r="76">
          <cell r="A76">
            <v>75</v>
          </cell>
          <cell r="B76">
            <v>30600</v>
          </cell>
          <cell r="C76">
            <v>15300</v>
          </cell>
          <cell r="D76">
            <v>15800</v>
          </cell>
          <cell r="E76">
            <v>4740</v>
          </cell>
          <cell r="F76">
            <v>2221</v>
          </cell>
        </row>
        <row r="77">
          <cell r="A77">
            <v>76</v>
          </cell>
          <cell r="B77">
            <v>31000</v>
          </cell>
          <cell r="C77">
            <v>15500</v>
          </cell>
          <cell r="D77">
            <v>16000</v>
          </cell>
          <cell r="E77">
            <v>4800</v>
          </cell>
          <cell r="F77">
            <v>2251</v>
          </cell>
        </row>
        <row r="78">
          <cell r="A78">
            <v>77</v>
          </cell>
          <cell r="B78">
            <v>31400</v>
          </cell>
          <cell r="C78">
            <v>15700</v>
          </cell>
          <cell r="D78">
            <v>16200</v>
          </cell>
          <cell r="E78">
            <v>4860</v>
          </cell>
          <cell r="F78">
            <v>2281</v>
          </cell>
        </row>
        <row r="79">
          <cell r="A79">
            <v>78</v>
          </cell>
          <cell r="B79">
            <v>31800</v>
          </cell>
          <cell r="C79">
            <v>15900</v>
          </cell>
          <cell r="D79">
            <v>16400</v>
          </cell>
          <cell r="E79">
            <v>4920</v>
          </cell>
          <cell r="F79">
            <v>2311</v>
          </cell>
        </row>
        <row r="80">
          <cell r="A80">
            <v>79</v>
          </cell>
          <cell r="B80">
            <v>32200</v>
          </cell>
          <cell r="C80">
            <v>16100</v>
          </cell>
          <cell r="D80">
            <v>16600</v>
          </cell>
          <cell r="E80">
            <v>4980</v>
          </cell>
          <cell r="F80">
            <v>2341</v>
          </cell>
        </row>
        <row r="81">
          <cell r="A81">
            <v>80</v>
          </cell>
          <cell r="B81">
            <v>32600</v>
          </cell>
          <cell r="C81">
            <v>16300</v>
          </cell>
          <cell r="D81">
            <v>16800</v>
          </cell>
          <cell r="E81">
            <v>5040</v>
          </cell>
          <cell r="F81">
            <v>2371</v>
          </cell>
        </row>
        <row r="82">
          <cell r="A82">
            <v>81</v>
          </cell>
          <cell r="B82">
            <v>33000</v>
          </cell>
          <cell r="C82">
            <v>16500</v>
          </cell>
          <cell r="D82">
            <v>17000</v>
          </cell>
          <cell r="E82">
            <v>5100</v>
          </cell>
          <cell r="F82">
            <v>2401</v>
          </cell>
        </row>
        <row r="83">
          <cell r="A83">
            <v>82</v>
          </cell>
          <cell r="B83">
            <v>33400</v>
          </cell>
          <cell r="C83">
            <v>16700</v>
          </cell>
          <cell r="D83">
            <v>17200</v>
          </cell>
          <cell r="E83">
            <v>5160</v>
          </cell>
          <cell r="F83">
            <v>2431</v>
          </cell>
        </row>
        <row r="84">
          <cell r="A84">
            <v>83</v>
          </cell>
          <cell r="B84">
            <v>33800</v>
          </cell>
          <cell r="C84">
            <v>16900</v>
          </cell>
          <cell r="D84">
            <v>17400</v>
          </cell>
          <cell r="E84">
            <v>5220</v>
          </cell>
          <cell r="F84">
            <v>2461</v>
          </cell>
        </row>
        <row r="85">
          <cell r="A85">
            <v>84</v>
          </cell>
          <cell r="B85">
            <v>34200</v>
          </cell>
          <cell r="C85">
            <v>17100</v>
          </cell>
          <cell r="D85">
            <v>17600</v>
          </cell>
          <cell r="E85">
            <v>5280</v>
          </cell>
          <cell r="F85">
            <v>2491</v>
          </cell>
        </row>
        <row r="86">
          <cell r="A86">
            <v>85</v>
          </cell>
          <cell r="B86">
            <v>34600</v>
          </cell>
          <cell r="C86">
            <v>17300</v>
          </cell>
          <cell r="D86">
            <v>17800</v>
          </cell>
          <cell r="E86">
            <v>5340</v>
          </cell>
          <cell r="F86">
            <v>2521</v>
          </cell>
        </row>
        <row r="87">
          <cell r="A87">
            <v>86</v>
          </cell>
          <cell r="B87">
            <v>35000</v>
          </cell>
          <cell r="C87">
            <v>17500</v>
          </cell>
          <cell r="D87">
            <v>18000</v>
          </cell>
          <cell r="E87">
            <v>5400</v>
          </cell>
          <cell r="F87">
            <v>2551</v>
          </cell>
        </row>
        <row r="88">
          <cell r="A88">
            <v>87</v>
          </cell>
          <cell r="B88">
            <v>35400</v>
          </cell>
          <cell r="C88">
            <v>17700</v>
          </cell>
          <cell r="D88">
            <v>18200</v>
          </cell>
          <cell r="E88">
            <v>5460</v>
          </cell>
          <cell r="F88">
            <v>2581</v>
          </cell>
        </row>
        <row r="89">
          <cell r="A89">
            <v>88</v>
          </cell>
          <cell r="B89">
            <v>35800</v>
          </cell>
          <cell r="C89">
            <v>17900</v>
          </cell>
          <cell r="D89">
            <v>18400</v>
          </cell>
          <cell r="E89">
            <v>5520</v>
          </cell>
          <cell r="F89">
            <v>2611</v>
          </cell>
        </row>
        <row r="90">
          <cell r="A90">
            <v>89</v>
          </cell>
          <cell r="B90">
            <v>36200</v>
          </cell>
          <cell r="C90">
            <v>18100</v>
          </cell>
          <cell r="D90">
            <v>18600</v>
          </cell>
          <cell r="E90">
            <v>5580</v>
          </cell>
          <cell r="F90">
            <v>2641</v>
          </cell>
        </row>
        <row r="91">
          <cell r="A91">
            <v>90</v>
          </cell>
          <cell r="B91">
            <v>36600</v>
          </cell>
          <cell r="C91">
            <v>18300</v>
          </cell>
          <cell r="D91">
            <v>18800</v>
          </cell>
          <cell r="E91">
            <v>5640</v>
          </cell>
          <cell r="F91">
            <v>2671</v>
          </cell>
        </row>
        <row r="92">
          <cell r="A92">
            <v>91</v>
          </cell>
          <cell r="B92">
            <v>37000</v>
          </cell>
          <cell r="C92">
            <v>18500</v>
          </cell>
          <cell r="D92">
            <v>19000</v>
          </cell>
          <cell r="E92">
            <v>5700</v>
          </cell>
          <cell r="F92">
            <v>2701</v>
          </cell>
        </row>
        <row r="93">
          <cell r="A93">
            <v>92</v>
          </cell>
          <cell r="B93">
            <v>37400</v>
          </cell>
          <cell r="C93">
            <v>18700</v>
          </cell>
          <cell r="D93">
            <v>19200</v>
          </cell>
          <cell r="E93">
            <v>5760</v>
          </cell>
          <cell r="F93">
            <v>2731</v>
          </cell>
        </row>
        <row r="94">
          <cell r="A94">
            <v>93</v>
          </cell>
          <cell r="B94">
            <v>37800</v>
          </cell>
          <cell r="C94">
            <v>18900</v>
          </cell>
          <cell r="D94">
            <v>19400</v>
          </cell>
          <cell r="E94">
            <v>5820</v>
          </cell>
          <cell r="F94">
            <v>2761</v>
          </cell>
        </row>
        <row r="95">
          <cell r="A95">
            <v>94</v>
          </cell>
          <cell r="B95">
            <v>38200</v>
          </cell>
          <cell r="C95">
            <v>19100</v>
          </cell>
          <cell r="D95">
            <v>19600</v>
          </cell>
          <cell r="E95">
            <v>5880</v>
          </cell>
          <cell r="F95">
            <v>2791</v>
          </cell>
        </row>
        <row r="96">
          <cell r="A96">
            <v>95</v>
          </cell>
          <cell r="B96">
            <v>38600</v>
          </cell>
          <cell r="C96">
            <v>19300</v>
          </cell>
          <cell r="D96">
            <v>19800</v>
          </cell>
          <cell r="E96">
            <v>5940</v>
          </cell>
          <cell r="F96">
            <v>2821</v>
          </cell>
        </row>
        <row r="97">
          <cell r="A97">
            <v>96</v>
          </cell>
          <cell r="B97">
            <v>39000</v>
          </cell>
          <cell r="C97">
            <v>19500</v>
          </cell>
          <cell r="D97">
            <v>20000</v>
          </cell>
          <cell r="E97">
            <v>6000</v>
          </cell>
          <cell r="F97">
            <v>2851</v>
          </cell>
        </row>
        <row r="98">
          <cell r="A98">
            <v>97</v>
          </cell>
          <cell r="B98">
            <v>39400</v>
          </cell>
          <cell r="C98">
            <v>19700</v>
          </cell>
          <cell r="D98">
            <v>20200</v>
          </cell>
          <cell r="E98">
            <v>6060</v>
          </cell>
          <cell r="F98">
            <v>2881</v>
          </cell>
        </row>
        <row r="99">
          <cell r="A99">
            <v>98</v>
          </cell>
          <cell r="B99">
            <v>39800</v>
          </cell>
          <cell r="C99">
            <v>19900</v>
          </cell>
          <cell r="D99">
            <v>20400</v>
          </cell>
          <cell r="E99">
            <v>6120</v>
          </cell>
          <cell r="F99">
            <v>2911</v>
          </cell>
        </row>
        <row r="100">
          <cell r="A100">
            <v>99</v>
          </cell>
          <cell r="B100">
            <v>40200</v>
          </cell>
          <cell r="C100">
            <v>20100</v>
          </cell>
          <cell r="D100">
            <v>20600</v>
          </cell>
          <cell r="E100">
            <v>6180</v>
          </cell>
          <cell r="F100">
            <v>2941</v>
          </cell>
        </row>
        <row r="101">
          <cell r="A101">
            <v>100</v>
          </cell>
          <cell r="B101">
            <v>40600</v>
          </cell>
          <cell r="C101">
            <v>20300</v>
          </cell>
          <cell r="D101">
            <v>20800</v>
          </cell>
          <cell r="E101">
            <v>6240</v>
          </cell>
          <cell r="F101">
            <v>2971</v>
          </cell>
        </row>
      </sheetData>
      <sheetData sheetId="3"/>
      <sheetData sheetId="4"/>
      <sheetData sheetId="5"/>
      <sheetData sheetId="6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ステータス"/>
      <sheetName val="属性"/>
      <sheetName val="characters"/>
      <sheetName val="character_type_i18n"/>
      <sheetName val="character_tribe_i18n"/>
      <sheetName val="unit_cautions"/>
    </sheetNames>
    <sheetDataSet>
      <sheetData sheetId="0"/>
      <sheetData sheetId="1">
        <row r="2">
          <cell r="B2">
            <v>0.5</v>
          </cell>
          <cell r="C2">
            <v>0.3</v>
          </cell>
        </row>
      </sheetData>
      <sheetData sheetId="2"/>
      <sheetData sheetId="3">
        <row r="1">
          <cell r="A1" t="str">
            <v>character_id</v>
          </cell>
          <cell r="B1" t="str">
            <v>language</v>
          </cell>
          <cell r="C1" t="str">
            <v>name</v>
          </cell>
          <cell r="D1" t="str">
            <v>特徴</v>
          </cell>
          <cell r="E1" t="str">
            <v>勢力</v>
          </cell>
          <cell r="F1" t="str">
            <v>訴求軸</v>
          </cell>
          <cell r="G1" t="str">
            <v>性別</v>
          </cell>
          <cell r="H1" t="str">
            <v>color</v>
          </cell>
          <cell r="I1" t="str">
            <v>rare</v>
          </cell>
          <cell r="J1" t="str">
            <v>drop_label</v>
          </cell>
          <cell r="K1" t="str">
            <v>character_type_id</v>
          </cell>
          <cell r="L1" t="str">
            <v>name</v>
          </cell>
          <cell r="M1" t="str">
            <v>character_main_tribe_id</v>
          </cell>
          <cell r="N1" t="str">
            <v>name</v>
          </cell>
          <cell r="O1" t="str">
            <v>character_sub_tribe_id</v>
          </cell>
          <cell r="P1" t="str">
            <v>name</v>
          </cell>
          <cell r="Q1" t="str">
            <v>スキルタイプ</v>
          </cell>
          <cell r="R1" t="str">
            <v>valid_flg</v>
          </cell>
          <cell r="S1" t="str">
            <v>category</v>
          </cell>
          <cell r="T1" t="str">
            <v>awaketype</v>
          </cell>
          <cell r="U1" t="str">
            <v>flavor_text</v>
          </cell>
          <cell r="V1" t="str">
            <v>obtain_message</v>
          </cell>
          <cell r="W1" t="str">
            <v>awaken_message</v>
          </cell>
        </row>
        <row r="2">
          <cell r="A2">
            <v>1</v>
          </cell>
        </row>
        <row r="3">
          <cell r="A3">
            <v>2</v>
          </cell>
        </row>
        <row r="4">
          <cell r="A4">
            <v>3</v>
          </cell>
        </row>
        <row r="5">
          <cell r="A5">
            <v>4</v>
          </cell>
        </row>
        <row r="6">
          <cell r="A6">
            <v>5</v>
          </cell>
        </row>
        <row r="7">
          <cell r="A7">
            <v>6</v>
          </cell>
        </row>
        <row r="8">
          <cell r="A8">
            <v>7</v>
          </cell>
        </row>
        <row r="9">
          <cell r="A9">
            <v>8</v>
          </cell>
        </row>
        <row r="10">
          <cell r="A10">
            <v>9</v>
          </cell>
        </row>
        <row r="11">
          <cell r="A11">
            <v>10</v>
          </cell>
        </row>
        <row r="12">
          <cell r="A12">
            <v>11</v>
          </cell>
        </row>
        <row r="13">
          <cell r="A13">
            <v>12</v>
          </cell>
        </row>
        <row r="14">
          <cell r="A14">
            <v>13</v>
          </cell>
        </row>
        <row r="15">
          <cell r="A15">
            <v>14</v>
          </cell>
        </row>
        <row r="16">
          <cell r="A16">
            <v>15</v>
          </cell>
        </row>
        <row r="17">
          <cell r="A17">
            <v>16</v>
          </cell>
        </row>
        <row r="18">
          <cell r="A18">
            <v>17</v>
          </cell>
        </row>
        <row r="19">
          <cell r="A19">
            <v>18</v>
          </cell>
        </row>
        <row r="20">
          <cell r="A20">
            <v>19</v>
          </cell>
        </row>
        <row r="21">
          <cell r="A21">
            <v>20</v>
          </cell>
        </row>
        <row r="22">
          <cell r="A22">
            <v>21</v>
          </cell>
        </row>
        <row r="23">
          <cell r="A23">
            <v>22</v>
          </cell>
        </row>
        <row r="24">
          <cell r="A24">
            <v>23</v>
          </cell>
        </row>
        <row r="25">
          <cell r="A25">
            <v>24</v>
          </cell>
        </row>
        <row r="26">
          <cell r="A26">
            <v>25</v>
          </cell>
        </row>
        <row r="27">
          <cell r="A27">
            <v>26</v>
          </cell>
        </row>
        <row r="28">
          <cell r="A28">
            <v>27</v>
          </cell>
        </row>
        <row r="29">
          <cell r="A29">
            <v>28</v>
          </cell>
        </row>
        <row r="30">
          <cell r="A30">
            <v>29</v>
          </cell>
        </row>
        <row r="31">
          <cell r="A31">
            <v>30</v>
          </cell>
        </row>
        <row r="32">
          <cell r="A32">
            <v>31</v>
          </cell>
        </row>
        <row r="33">
          <cell r="A33">
            <v>32</v>
          </cell>
        </row>
        <row r="34">
          <cell r="A34">
            <v>33</v>
          </cell>
        </row>
        <row r="35">
          <cell r="A35">
            <v>34</v>
          </cell>
        </row>
        <row r="36">
          <cell r="A36">
            <v>35</v>
          </cell>
        </row>
        <row r="37">
          <cell r="A37">
            <v>36</v>
          </cell>
        </row>
        <row r="38">
          <cell r="A38">
            <v>37</v>
          </cell>
        </row>
        <row r="39">
          <cell r="A39">
            <v>38</v>
          </cell>
        </row>
        <row r="40">
          <cell r="A40">
            <v>39</v>
          </cell>
        </row>
        <row r="41">
          <cell r="A41">
            <v>40</v>
          </cell>
        </row>
        <row r="42">
          <cell r="A42">
            <v>41</v>
          </cell>
        </row>
        <row r="43">
          <cell r="A43">
            <v>42</v>
          </cell>
        </row>
        <row r="44">
          <cell r="A44">
            <v>43</v>
          </cell>
        </row>
        <row r="45">
          <cell r="A45">
            <v>44</v>
          </cell>
        </row>
        <row r="46">
          <cell r="A46">
            <v>45</v>
          </cell>
        </row>
        <row r="47">
          <cell r="A47">
            <v>46</v>
          </cell>
        </row>
        <row r="48">
          <cell r="A48">
            <v>47</v>
          </cell>
        </row>
        <row r="49">
          <cell r="A49">
            <v>48</v>
          </cell>
        </row>
        <row r="50">
          <cell r="A50">
            <v>49</v>
          </cell>
        </row>
        <row r="51">
          <cell r="A51">
            <v>50</v>
          </cell>
        </row>
        <row r="52">
          <cell r="A52">
            <v>51</v>
          </cell>
        </row>
        <row r="53">
          <cell r="A53">
            <v>52</v>
          </cell>
        </row>
        <row r="54">
          <cell r="A54">
            <v>53</v>
          </cell>
        </row>
        <row r="55">
          <cell r="A55">
            <v>54</v>
          </cell>
        </row>
        <row r="56">
          <cell r="A56">
            <v>55</v>
          </cell>
        </row>
        <row r="57">
          <cell r="A57">
            <v>56</v>
          </cell>
        </row>
        <row r="58">
          <cell r="A58">
            <v>57</v>
          </cell>
        </row>
        <row r="59">
          <cell r="A59">
            <v>58</v>
          </cell>
        </row>
        <row r="60">
          <cell r="A60">
            <v>59</v>
          </cell>
        </row>
        <row r="61">
          <cell r="A61">
            <v>60</v>
          </cell>
        </row>
        <row r="62">
          <cell r="A62">
            <v>61</v>
          </cell>
        </row>
        <row r="63">
          <cell r="A63">
            <v>62</v>
          </cell>
        </row>
        <row r="64">
          <cell r="A64">
            <v>63</v>
          </cell>
        </row>
        <row r="65">
          <cell r="A65">
            <v>64</v>
          </cell>
        </row>
        <row r="66">
          <cell r="A66">
            <v>65</v>
          </cell>
        </row>
        <row r="67">
          <cell r="A67">
            <v>66</v>
          </cell>
        </row>
        <row r="68">
          <cell r="A68">
            <v>67</v>
          </cell>
        </row>
        <row r="69">
          <cell r="A69">
            <v>68</v>
          </cell>
        </row>
        <row r="70">
          <cell r="A70">
            <v>69</v>
          </cell>
        </row>
        <row r="71">
          <cell r="A71">
            <v>70</v>
          </cell>
        </row>
        <row r="72">
          <cell r="A72">
            <v>71</v>
          </cell>
        </row>
        <row r="73">
          <cell r="A73">
            <v>72</v>
          </cell>
        </row>
        <row r="74">
          <cell r="A74">
            <v>73</v>
          </cell>
        </row>
        <row r="75">
          <cell r="A75">
            <v>74</v>
          </cell>
        </row>
        <row r="76">
          <cell r="A76">
            <v>75</v>
          </cell>
        </row>
        <row r="77">
          <cell r="A77">
            <v>76</v>
          </cell>
        </row>
        <row r="78">
          <cell r="A78">
            <v>77</v>
          </cell>
        </row>
        <row r="79">
          <cell r="A79">
            <v>78</v>
          </cell>
        </row>
        <row r="80">
          <cell r="A80">
            <v>79</v>
          </cell>
        </row>
        <row r="81">
          <cell r="A81">
            <v>80</v>
          </cell>
        </row>
        <row r="82">
          <cell r="A82">
            <v>81</v>
          </cell>
        </row>
        <row r="83">
          <cell r="A83">
            <v>82</v>
          </cell>
        </row>
        <row r="84">
          <cell r="A84">
            <v>83</v>
          </cell>
        </row>
        <row r="85">
          <cell r="A85">
            <v>84</v>
          </cell>
        </row>
        <row r="86">
          <cell r="A86">
            <v>85</v>
          </cell>
        </row>
        <row r="87">
          <cell r="A87">
            <v>86</v>
          </cell>
        </row>
        <row r="88">
          <cell r="A88">
            <v>87</v>
          </cell>
        </row>
        <row r="89">
          <cell r="A89">
            <v>88</v>
          </cell>
        </row>
        <row r="90">
          <cell r="A90">
            <v>89</v>
          </cell>
        </row>
        <row r="91">
          <cell r="A91">
            <v>90</v>
          </cell>
        </row>
        <row r="92">
          <cell r="A92">
            <v>91</v>
          </cell>
        </row>
        <row r="93">
          <cell r="A93">
            <v>92</v>
          </cell>
        </row>
        <row r="94">
          <cell r="A94">
            <v>93</v>
          </cell>
        </row>
        <row r="95">
          <cell r="A95">
            <v>94</v>
          </cell>
        </row>
        <row r="96">
          <cell r="A96">
            <v>95</v>
          </cell>
        </row>
        <row r="97">
          <cell r="A97">
            <v>96</v>
          </cell>
        </row>
        <row r="98">
          <cell r="A98">
            <v>97</v>
          </cell>
        </row>
        <row r="99">
          <cell r="A99">
            <v>98</v>
          </cell>
        </row>
        <row r="100">
          <cell r="A100">
            <v>99</v>
          </cell>
        </row>
        <row r="101">
          <cell r="A101">
            <v>100</v>
          </cell>
        </row>
        <row r="102">
          <cell r="A102">
            <v>101</v>
          </cell>
        </row>
        <row r="103">
          <cell r="A103">
            <v>102</v>
          </cell>
        </row>
        <row r="104">
          <cell r="A104">
            <v>103</v>
          </cell>
        </row>
        <row r="105">
          <cell r="A105">
            <v>104</v>
          </cell>
        </row>
        <row r="106">
          <cell r="A106">
            <v>105</v>
          </cell>
        </row>
        <row r="107">
          <cell r="A107">
            <v>106</v>
          </cell>
        </row>
        <row r="108">
          <cell r="A108">
            <v>107</v>
          </cell>
        </row>
        <row r="109">
          <cell r="A109">
            <v>108</v>
          </cell>
        </row>
        <row r="110">
          <cell r="A110">
            <v>109</v>
          </cell>
        </row>
        <row r="111">
          <cell r="A111">
            <v>110</v>
          </cell>
        </row>
        <row r="112">
          <cell r="A112">
            <v>111</v>
          </cell>
        </row>
        <row r="113">
          <cell r="A113">
            <v>112</v>
          </cell>
        </row>
        <row r="114">
          <cell r="A114">
            <v>113</v>
          </cell>
        </row>
        <row r="115">
          <cell r="A115">
            <v>114</v>
          </cell>
        </row>
        <row r="116">
          <cell r="A116">
            <v>115</v>
          </cell>
        </row>
        <row r="117">
          <cell r="A117">
            <v>116</v>
          </cell>
        </row>
        <row r="118">
          <cell r="A118">
            <v>117</v>
          </cell>
        </row>
        <row r="119">
          <cell r="A119">
            <v>118</v>
          </cell>
        </row>
        <row r="120">
          <cell r="A120">
            <v>119</v>
          </cell>
        </row>
        <row r="121">
          <cell r="A121">
            <v>120</v>
          </cell>
        </row>
        <row r="122">
          <cell r="A122">
            <v>121</v>
          </cell>
        </row>
        <row r="123">
          <cell r="A123">
            <v>122</v>
          </cell>
        </row>
        <row r="124">
          <cell r="A124">
            <v>123</v>
          </cell>
        </row>
        <row r="125">
          <cell r="A125">
            <v>124</v>
          </cell>
        </row>
        <row r="126">
          <cell r="A126">
            <v>125</v>
          </cell>
        </row>
        <row r="127">
          <cell r="A127">
            <v>126</v>
          </cell>
        </row>
        <row r="128">
          <cell r="A128">
            <v>127</v>
          </cell>
        </row>
        <row r="129">
          <cell r="A129">
            <v>128</v>
          </cell>
        </row>
        <row r="130">
          <cell r="A130">
            <v>129</v>
          </cell>
        </row>
        <row r="131">
          <cell r="A131">
            <v>130</v>
          </cell>
        </row>
        <row r="132">
          <cell r="A132">
            <v>131</v>
          </cell>
        </row>
        <row r="133">
          <cell r="A133">
            <v>132</v>
          </cell>
        </row>
        <row r="134">
          <cell r="A134">
            <v>133</v>
          </cell>
        </row>
        <row r="135">
          <cell r="A135">
            <v>134</v>
          </cell>
        </row>
        <row r="136">
          <cell r="A136">
            <v>135</v>
          </cell>
        </row>
        <row r="137">
          <cell r="A137">
            <v>136</v>
          </cell>
        </row>
        <row r="138">
          <cell r="A138">
            <v>137</v>
          </cell>
        </row>
        <row r="139">
          <cell r="A139">
            <v>138</v>
          </cell>
        </row>
        <row r="140">
          <cell r="A140">
            <v>139</v>
          </cell>
        </row>
        <row r="141">
          <cell r="A141">
            <v>140</v>
          </cell>
        </row>
        <row r="142">
          <cell r="A142">
            <v>141</v>
          </cell>
        </row>
        <row r="143">
          <cell r="A143">
            <v>142</v>
          </cell>
        </row>
        <row r="144">
          <cell r="A144">
            <v>143</v>
          </cell>
        </row>
        <row r="145">
          <cell r="A145">
            <v>144</v>
          </cell>
        </row>
        <row r="146">
          <cell r="A146">
            <v>145</v>
          </cell>
        </row>
        <row r="147">
          <cell r="A147">
            <v>146</v>
          </cell>
        </row>
        <row r="148">
          <cell r="A148">
            <v>147</v>
          </cell>
        </row>
        <row r="149">
          <cell r="A149">
            <v>148</v>
          </cell>
        </row>
        <row r="150">
          <cell r="A150">
            <v>149</v>
          </cell>
        </row>
        <row r="151">
          <cell r="A151">
            <v>150</v>
          </cell>
        </row>
        <row r="152">
          <cell r="A152">
            <v>151</v>
          </cell>
        </row>
        <row r="153">
          <cell r="A153">
            <v>152</v>
          </cell>
        </row>
        <row r="154">
          <cell r="A154">
            <v>153</v>
          </cell>
        </row>
        <row r="155">
          <cell r="A155">
            <v>154</v>
          </cell>
        </row>
        <row r="156">
          <cell r="A156">
            <v>155</v>
          </cell>
        </row>
        <row r="157">
          <cell r="A157">
            <v>156</v>
          </cell>
        </row>
        <row r="158">
          <cell r="A158">
            <v>157</v>
          </cell>
        </row>
        <row r="159">
          <cell r="A159">
            <v>158</v>
          </cell>
        </row>
        <row r="160">
          <cell r="A160">
            <v>159</v>
          </cell>
        </row>
        <row r="161">
          <cell r="A161">
            <v>160</v>
          </cell>
        </row>
        <row r="162">
          <cell r="A162">
            <v>161</v>
          </cell>
        </row>
        <row r="163">
          <cell r="A163">
            <v>162</v>
          </cell>
        </row>
        <row r="164">
          <cell r="A164">
            <v>163</v>
          </cell>
        </row>
        <row r="165">
          <cell r="A165">
            <v>164</v>
          </cell>
        </row>
        <row r="166">
          <cell r="A166">
            <v>165</v>
          </cell>
        </row>
        <row r="167">
          <cell r="A167">
            <v>166</v>
          </cell>
        </row>
        <row r="168">
          <cell r="A168">
            <v>167</v>
          </cell>
        </row>
        <row r="169">
          <cell r="A169">
            <v>168</v>
          </cell>
        </row>
        <row r="170">
          <cell r="A170">
            <v>169</v>
          </cell>
        </row>
        <row r="171">
          <cell r="A171">
            <v>170</v>
          </cell>
        </row>
        <row r="172">
          <cell r="A172">
            <v>171</v>
          </cell>
        </row>
        <row r="173">
          <cell r="A173">
            <v>172</v>
          </cell>
        </row>
        <row r="174">
          <cell r="A174">
            <v>173</v>
          </cell>
        </row>
        <row r="175">
          <cell r="A175">
            <v>174</v>
          </cell>
        </row>
        <row r="176">
          <cell r="A176">
            <v>175</v>
          </cell>
        </row>
        <row r="177">
          <cell r="A177">
            <v>176</v>
          </cell>
        </row>
        <row r="178">
          <cell r="A178">
            <v>177</v>
          </cell>
        </row>
        <row r="179">
          <cell r="A179">
            <v>178</v>
          </cell>
        </row>
        <row r="180">
          <cell r="A180">
            <v>179</v>
          </cell>
        </row>
        <row r="181">
          <cell r="A181">
            <v>180</v>
          </cell>
        </row>
        <row r="182">
          <cell r="A182">
            <v>181</v>
          </cell>
        </row>
        <row r="183">
          <cell r="A183">
            <v>182</v>
          </cell>
        </row>
        <row r="184">
          <cell r="A184">
            <v>183</v>
          </cell>
        </row>
        <row r="185">
          <cell r="A185">
            <v>184</v>
          </cell>
        </row>
        <row r="186">
          <cell r="A186">
            <v>185</v>
          </cell>
        </row>
        <row r="187">
          <cell r="A187">
            <v>186</v>
          </cell>
        </row>
        <row r="188">
          <cell r="A188">
            <v>187</v>
          </cell>
        </row>
        <row r="189">
          <cell r="A189">
            <v>188</v>
          </cell>
        </row>
        <row r="190">
          <cell r="A190">
            <v>189</v>
          </cell>
        </row>
        <row r="191">
          <cell r="A191">
            <v>190</v>
          </cell>
        </row>
        <row r="192">
          <cell r="A192">
            <v>191</v>
          </cell>
        </row>
        <row r="193">
          <cell r="A193">
            <v>192</v>
          </cell>
        </row>
        <row r="194">
          <cell r="A194">
            <v>193</v>
          </cell>
        </row>
        <row r="195">
          <cell r="A195">
            <v>194</v>
          </cell>
        </row>
        <row r="196">
          <cell r="A196">
            <v>195</v>
          </cell>
        </row>
        <row r="197">
          <cell r="A197">
            <v>196</v>
          </cell>
        </row>
        <row r="198">
          <cell r="A198">
            <v>197</v>
          </cell>
        </row>
        <row r="199">
          <cell r="A199">
            <v>198</v>
          </cell>
        </row>
        <row r="200">
          <cell r="A200">
            <v>199</v>
          </cell>
        </row>
        <row r="201">
          <cell r="A201">
            <v>200</v>
          </cell>
        </row>
        <row r="202">
          <cell r="A202">
            <v>201</v>
          </cell>
        </row>
        <row r="203">
          <cell r="A203">
            <v>202</v>
          </cell>
        </row>
        <row r="204">
          <cell r="A204">
            <v>203</v>
          </cell>
        </row>
        <row r="205">
          <cell r="A205">
            <v>204</v>
          </cell>
        </row>
        <row r="206">
          <cell r="A206">
            <v>205</v>
          </cell>
        </row>
        <row r="207">
          <cell r="A207">
            <v>206</v>
          </cell>
        </row>
        <row r="208">
          <cell r="A208">
            <v>207</v>
          </cell>
        </row>
        <row r="209">
          <cell r="A209">
            <v>208</v>
          </cell>
        </row>
        <row r="210">
          <cell r="A210">
            <v>209</v>
          </cell>
        </row>
        <row r="211">
          <cell r="A211">
            <v>210</v>
          </cell>
        </row>
        <row r="212">
          <cell r="A212">
            <v>211</v>
          </cell>
        </row>
        <row r="213">
          <cell r="A213">
            <v>212</v>
          </cell>
        </row>
        <row r="214">
          <cell r="A214">
            <v>213</v>
          </cell>
        </row>
        <row r="215">
          <cell r="A215">
            <v>214</v>
          </cell>
        </row>
        <row r="216">
          <cell r="A216">
            <v>215</v>
          </cell>
        </row>
        <row r="217">
          <cell r="A217">
            <v>216</v>
          </cell>
        </row>
        <row r="218">
          <cell r="A218">
            <v>217</v>
          </cell>
        </row>
        <row r="219">
          <cell r="A219">
            <v>218</v>
          </cell>
        </row>
        <row r="220">
          <cell r="A220">
            <v>219</v>
          </cell>
        </row>
        <row r="221">
          <cell r="A221">
            <v>220</v>
          </cell>
        </row>
        <row r="222">
          <cell r="A222">
            <v>221</v>
          </cell>
        </row>
        <row r="223">
          <cell r="A223">
            <v>222</v>
          </cell>
        </row>
        <row r="224">
          <cell r="A224">
            <v>223</v>
          </cell>
        </row>
        <row r="225">
          <cell r="A225">
            <v>224</v>
          </cell>
        </row>
        <row r="226">
          <cell r="A226">
            <v>225</v>
          </cell>
        </row>
        <row r="227">
          <cell r="A227">
            <v>226</v>
          </cell>
        </row>
        <row r="228">
          <cell r="A228">
            <v>227</v>
          </cell>
        </row>
        <row r="229">
          <cell r="A229">
            <v>228</v>
          </cell>
        </row>
        <row r="230">
          <cell r="A230">
            <v>229</v>
          </cell>
        </row>
        <row r="231">
          <cell r="A231">
            <v>230</v>
          </cell>
        </row>
        <row r="232">
          <cell r="A232">
            <v>231</v>
          </cell>
        </row>
        <row r="233">
          <cell r="A233">
            <v>232</v>
          </cell>
        </row>
        <row r="234">
          <cell r="A234">
            <v>233</v>
          </cell>
        </row>
        <row r="235">
          <cell r="A235">
            <v>234</v>
          </cell>
        </row>
        <row r="236">
          <cell r="A236">
            <v>235</v>
          </cell>
        </row>
        <row r="237">
          <cell r="A237">
            <v>236</v>
          </cell>
        </row>
        <row r="238">
          <cell r="A238">
            <v>237</v>
          </cell>
        </row>
        <row r="239">
          <cell r="A239">
            <v>238</v>
          </cell>
        </row>
        <row r="240">
          <cell r="A240">
            <v>239</v>
          </cell>
        </row>
        <row r="241">
          <cell r="A241">
            <v>240</v>
          </cell>
        </row>
        <row r="242">
          <cell r="A242">
            <v>241</v>
          </cell>
        </row>
        <row r="243">
          <cell r="A243">
            <v>242</v>
          </cell>
        </row>
        <row r="244">
          <cell r="A244">
            <v>243</v>
          </cell>
        </row>
        <row r="245">
          <cell r="A245">
            <v>244</v>
          </cell>
        </row>
        <row r="246">
          <cell r="A246">
            <v>245</v>
          </cell>
        </row>
        <row r="247">
          <cell r="A247">
            <v>246</v>
          </cell>
        </row>
        <row r="248">
          <cell r="A248">
            <v>247</v>
          </cell>
        </row>
        <row r="249">
          <cell r="A249">
            <v>248</v>
          </cell>
        </row>
        <row r="250">
          <cell r="A250">
            <v>249</v>
          </cell>
        </row>
        <row r="251">
          <cell r="A251">
            <v>250</v>
          </cell>
        </row>
        <row r="252">
          <cell r="A252">
            <v>251</v>
          </cell>
        </row>
        <row r="253">
          <cell r="A253">
            <v>252</v>
          </cell>
        </row>
        <row r="254">
          <cell r="A254">
            <v>253</v>
          </cell>
        </row>
        <row r="255">
          <cell r="A255">
            <v>254</v>
          </cell>
        </row>
        <row r="256">
          <cell r="A256">
            <v>255</v>
          </cell>
        </row>
        <row r="257">
          <cell r="A257">
            <v>256</v>
          </cell>
        </row>
        <row r="258">
          <cell r="A258">
            <v>257</v>
          </cell>
        </row>
        <row r="259">
          <cell r="A259">
            <v>258</v>
          </cell>
        </row>
        <row r="260">
          <cell r="A260">
            <v>259</v>
          </cell>
        </row>
        <row r="261">
          <cell r="A261">
            <v>260</v>
          </cell>
        </row>
        <row r="262">
          <cell r="A262">
            <v>261</v>
          </cell>
        </row>
        <row r="263">
          <cell r="A263">
            <v>262</v>
          </cell>
        </row>
        <row r="264">
          <cell r="A264">
            <v>263</v>
          </cell>
        </row>
        <row r="265">
          <cell r="A265">
            <v>264</v>
          </cell>
        </row>
        <row r="266">
          <cell r="A266">
            <v>265</v>
          </cell>
        </row>
        <row r="267">
          <cell r="A267">
            <v>266</v>
          </cell>
        </row>
        <row r="268">
          <cell r="A268">
            <v>267</v>
          </cell>
        </row>
        <row r="269">
          <cell r="A269">
            <v>268</v>
          </cell>
        </row>
        <row r="270">
          <cell r="A270">
            <v>269</v>
          </cell>
        </row>
        <row r="271">
          <cell r="A271">
            <v>270</v>
          </cell>
        </row>
        <row r="272">
          <cell r="A272">
            <v>271</v>
          </cell>
        </row>
        <row r="273">
          <cell r="A273">
            <v>272</v>
          </cell>
        </row>
        <row r="274">
          <cell r="A274">
            <v>273</v>
          </cell>
        </row>
        <row r="275">
          <cell r="A275">
            <v>274</v>
          </cell>
        </row>
        <row r="276">
          <cell r="A276">
            <v>275</v>
          </cell>
        </row>
        <row r="277">
          <cell r="A277">
            <v>276</v>
          </cell>
        </row>
        <row r="278">
          <cell r="A278">
            <v>277</v>
          </cell>
        </row>
        <row r="279">
          <cell r="A279">
            <v>278</v>
          </cell>
        </row>
        <row r="280">
          <cell r="A280">
            <v>279</v>
          </cell>
        </row>
        <row r="281">
          <cell r="A281">
            <v>280</v>
          </cell>
        </row>
        <row r="282">
          <cell r="A282">
            <v>281</v>
          </cell>
        </row>
        <row r="283">
          <cell r="A283">
            <v>282</v>
          </cell>
        </row>
        <row r="284">
          <cell r="A284">
            <v>283</v>
          </cell>
        </row>
        <row r="285">
          <cell r="A285">
            <v>284</v>
          </cell>
        </row>
        <row r="286">
          <cell r="A286">
            <v>285</v>
          </cell>
        </row>
        <row r="287">
          <cell r="A287">
            <v>286</v>
          </cell>
        </row>
        <row r="288">
          <cell r="A288">
            <v>287</v>
          </cell>
        </row>
        <row r="289">
          <cell r="A289">
            <v>288</v>
          </cell>
        </row>
        <row r="290">
          <cell r="A290">
            <v>289</v>
          </cell>
        </row>
        <row r="291">
          <cell r="A291">
            <v>290</v>
          </cell>
        </row>
        <row r="292">
          <cell r="A292">
            <v>291</v>
          </cell>
        </row>
        <row r="293">
          <cell r="A293">
            <v>292</v>
          </cell>
        </row>
        <row r="294">
          <cell r="A294">
            <v>293</v>
          </cell>
        </row>
        <row r="295">
          <cell r="A295">
            <v>294</v>
          </cell>
        </row>
        <row r="296">
          <cell r="A296">
            <v>295</v>
          </cell>
        </row>
        <row r="297">
          <cell r="A297">
            <v>296</v>
          </cell>
        </row>
        <row r="298">
          <cell r="A298">
            <v>297</v>
          </cell>
        </row>
        <row r="299">
          <cell r="A299">
            <v>298</v>
          </cell>
        </row>
        <row r="300">
          <cell r="A300">
            <v>299</v>
          </cell>
        </row>
        <row r="301">
          <cell r="A301">
            <v>300</v>
          </cell>
        </row>
        <row r="302">
          <cell r="A302">
            <v>301</v>
          </cell>
        </row>
        <row r="303">
          <cell r="A303">
            <v>302</v>
          </cell>
        </row>
        <row r="304">
          <cell r="A304">
            <v>303</v>
          </cell>
        </row>
        <row r="305">
          <cell r="A305">
            <v>304</v>
          </cell>
        </row>
        <row r="306">
          <cell r="A306">
            <v>305</v>
          </cell>
        </row>
        <row r="307">
          <cell r="A307">
            <v>306</v>
          </cell>
        </row>
        <row r="308">
          <cell r="A308">
            <v>307</v>
          </cell>
        </row>
        <row r="309">
          <cell r="A309">
            <v>308</v>
          </cell>
        </row>
        <row r="310">
          <cell r="A310">
            <v>309</v>
          </cell>
        </row>
        <row r="311">
          <cell r="A311">
            <v>310</v>
          </cell>
        </row>
        <row r="312">
          <cell r="A312">
            <v>311</v>
          </cell>
        </row>
        <row r="313">
          <cell r="A313">
            <v>312</v>
          </cell>
        </row>
        <row r="314">
          <cell r="A314">
            <v>313</v>
          </cell>
        </row>
        <row r="315">
          <cell r="A315">
            <v>314</v>
          </cell>
        </row>
        <row r="316">
          <cell r="A316">
            <v>315</v>
          </cell>
        </row>
        <row r="317">
          <cell r="A317">
            <v>316</v>
          </cell>
        </row>
        <row r="318">
          <cell r="A318">
            <v>317</v>
          </cell>
        </row>
        <row r="319">
          <cell r="A319">
            <v>318</v>
          </cell>
        </row>
        <row r="320">
          <cell r="A320">
            <v>319</v>
          </cell>
        </row>
        <row r="321">
          <cell r="A321">
            <v>320</v>
          </cell>
        </row>
        <row r="322">
          <cell r="A322">
            <v>321</v>
          </cell>
        </row>
        <row r="323">
          <cell r="A323">
            <v>322</v>
          </cell>
        </row>
        <row r="324">
          <cell r="A324">
            <v>323</v>
          </cell>
        </row>
        <row r="325">
          <cell r="A325">
            <v>324</v>
          </cell>
        </row>
        <row r="326">
          <cell r="A326">
            <v>325</v>
          </cell>
        </row>
        <row r="327">
          <cell r="A327">
            <v>326</v>
          </cell>
        </row>
        <row r="328">
          <cell r="A328">
            <v>327</v>
          </cell>
        </row>
        <row r="329">
          <cell r="A329">
            <v>328</v>
          </cell>
        </row>
        <row r="330">
          <cell r="A330">
            <v>329</v>
          </cell>
        </row>
        <row r="331">
          <cell r="A331">
            <v>330</v>
          </cell>
        </row>
        <row r="332">
          <cell r="A332">
            <v>331</v>
          </cell>
        </row>
        <row r="333">
          <cell r="A333">
            <v>332</v>
          </cell>
        </row>
        <row r="334">
          <cell r="A334">
            <v>333</v>
          </cell>
        </row>
        <row r="335">
          <cell r="A335">
            <v>334</v>
          </cell>
        </row>
        <row r="336">
          <cell r="A336">
            <v>335</v>
          </cell>
        </row>
        <row r="337">
          <cell r="A337">
            <v>336</v>
          </cell>
        </row>
        <row r="338">
          <cell r="A338">
            <v>337</v>
          </cell>
        </row>
        <row r="339">
          <cell r="A339">
            <v>338</v>
          </cell>
        </row>
        <row r="340">
          <cell r="A340">
            <v>339</v>
          </cell>
        </row>
        <row r="341">
          <cell r="A341">
            <v>340</v>
          </cell>
        </row>
        <row r="342">
          <cell r="A342">
            <v>341</v>
          </cell>
        </row>
        <row r="343">
          <cell r="A343">
            <v>342</v>
          </cell>
        </row>
        <row r="344">
          <cell r="A344">
            <v>343</v>
          </cell>
        </row>
        <row r="345">
          <cell r="A345">
            <v>344</v>
          </cell>
        </row>
        <row r="346">
          <cell r="A346">
            <v>345</v>
          </cell>
        </row>
        <row r="347">
          <cell r="A347">
            <v>346</v>
          </cell>
        </row>
        <row r="348">
          <cell r="A348">
            <v>347</v>
          </cell>
        </row>
        <row r="349">
          <cell r="A349">
            <v>348</v>
          </cell>
        </row>
        <row r="350">
          <cell r="A350">
            <v>349</v>
          </cell>
        </row>
        <row r="351">
          <cell r="A351">
            <v>350</v>
          </cell>
        </row>
        <row r="352">
          <cell r="A352">
            <v>351</v>
          </cell>
        </row>
        <row r="353">
          <cell r="A353">
            <v>352</v>
          </cell>
        </row>
        <row r="354">
          <cell r="A354">
            <v>353</v>
          </cell>
        </row>
        <row r="355">
          <cell r="A355">
            <v>354</v>
          </cell>
        </row>
        <row r="356">
          <cell r="A356">
            <v>355</v>
          </cell>
        </row>
        <row r="357">
          <cell r="A357">
            <v>356</v>
          </cell>
        </row>
        <row r="358">
          <cell r="A358">
            <v>357</v>
          </cell>
        </row>
        <row r="359">
          <cell r="A359">
            <v>358</v>
          </cell>
        </row>
        <row r="360">
          <cell r="A360">
            <v>359</v>
          </cell>
        </row>
        <row r="361">
          <cell r="A361">
            <v>360</v>
          </cell>
        </row>
        <row r="362">
          <cell r="A362">
            <v>361</v>
          </cell>
        </row>
        <row r="363">
          <cell r="A363">
            <v>362</v>
          </cell>
        </row>
        <row r="364">
          <cell r="A364">
            <v>363</v>
          </cell>
        </row>
        <row r="365">
          <cell r="A365">
            <v>364</v>
          </cell>
        </row>
        <row r="366">
          <cell r="A366">
            <v>365</v>
          </cell>
        </row>
        <row r="367">
          <cell r="A367">
            <v>366</v>
          </cell>
        </row>
        <row r="368">
          <cell r="A368">
            <v>367</v>
          </cell>
        </row>
        <row r="369">
          <cell r="A369">
            <v>368</v>
          </cell>
        </row>
        <row r="370">
          <cell r="A370">
            <v>369</v>
          </cell>
        </row>
        <row r="371">
          <cell r="A371">
            <v>370</v>
          </cell>
        </row>
        <row r="372">
          <cell r="A372">
            <v>371</v>
          </cell>
        </row>
        <row r="373">
          <cell r="A373">
            <v>372</v>
          </cell>
        </row>
        <row r="374">
          <cell r="A374">
            <v>373</v>
          </cell>
        </row>
        <row r="375">
          <cell r="A375">
            <v>374</v>
          </cell>
        </row>
        <row r="376">
          <cell r="A376">
            <v>375</v>
          </cell>
        </row>
        <row r="377">
          <cell r="A377">
            <v>376</v>
          </cell>
        </row>
        <row r="378">
          <cell r="A378">
            <v>377</v>
          </cell>
        </row>
        <row r="379">
          <cell r="A379">
            <v>378</v>
          </cell>
        </row>
        <row r="380">
          <cell r="A380">
            <v>379</v>
          </cell>
        </row>
        <row r="381">
          <cell r="A381">
            <v>380</v>
          </cell>
        </row>
        <row r="382">
          <cell r="A382">
            <v>381</v>
          </cell>
        </row>
        <row r="383">
          <cell r="A383">
            <v>382</v>
          </cell>
        </row>
        <row r="384">
          <cell r="A384">
            <v>383</v>
          </cell>
        </row>
        <row r="385">
          <cell r="A385">
            <v>384</v>
          </cell>
        </row>
        <row r="386">
          <cell r="A386">
            <v>385</v>
          </cell>
        </row>
        <row r="387">
          <cell r="A387">
            <v>386</v>
          </cell>
        </row>
        <row r="388">
          <cell r="A388">
            <v>387</v>
          </cell>
        </row>
        <row r="389">
          <cell r="A389">
            <v>388</v>
          </cell>
        </row>
        <row r="390">
          <cell r="A390">
            <v>389</v>
          </cell>
        </row>
        <row r="391">
          <cell r="A391">
            <v>390</v>
          </cell>
        </row>
        <row r="392">
          <cell r="A392">
            <v>391</v>
          </cell>
        </row>
        <row r="393">
          <cell r="A393">
            <v>392</v>
          </cell>
        </row>
        <row r="394">
          <cell r="A394">
            <v>393</v>
          </cell>
        </row>
        <row r="395">
          <cell r="A395">
            <v>394</v>
          </cell>
        </row>
        <row r="396">
          <cell r="A396">
            <v>395</v>
          </cell>
        </row>
        <row r="397">
          <cell r="A397">
            <v>396</v>
          </cell>
        </row>
        <row r="398">
          <cell r="A398">
            <v>397</v>
          </cell>
        </row>
        <row r="399">
          <cell r="A399">
            <v>398</v>
          </cell>
        </row>
        <row r="400">
          <cell r="A400">
            <v>399</v>
          </cell>
        </row>
        <row r="401">
          <cell r="A401">
            <v>400</v>
          </cell>
        </row>
        <row r="402">
          <cell r="A402">
            <v>401</v>
          </cell>
        </row>
        <row r="403">
          <cell r="A403">
            <v>402</v>
          </cell>
        </row>
        <row r="404">
          <cell r="A404">
            <v>403</v>
          </cell>
        </row>
        <row r="405">
          <cell r="A405">
            <v>404</v>
          </cell>
        </row>
        <row r="406">
          <cell r="A406">
            <v>405</v>
          </cell>
        </row>
        <row r="407">
          <cell r="A407">
            <v>406</v>
          </cell>
        </row>
        <row r="408">
          <cell r="A408">
            <v>407</v>
          </cell>
        </row>
        <row r="409">
          <cell r="A409">
            <v>408</v>
          </cell>
        </row>
        <row r="410">
          <cell r="A410">
            <v>409</v>
          </cell>
        </row>
        <row r="411">
          <cell r="A411">
            <v>410</v>
          </cell>
        </row>
        <row r="412">
          <cell r="A412">
            <v>411</v>
          </cell>
        </row>
        <row r="413">
          <cell r="A413">
            <v>412</v>
          </cell>
        </row>
        <row r="414">
          <cell r="A414">
            <v>413</v>
          </cell>
        </row>
        <row r="415">
          <cell r="A415">
            <v>414</v>
          </cell>
        </row>
        <row r="416">
          <cell r="A416">
            <v>415</v>
          </cell>
        </row>
        <row r="417">
          <cell r="A417">
            <v>416</v>
          </cell>
        </row>
        <row r="418">
          <cell r="A418">
            <v>417</v>
          </cell>
        </row>
        <row r="419">
          <cell r="A419">
            <v>418</v>
          </cell>
        </row>
        <row r="420">
          <cell r="A420">
            <v>419</v>
          </cell>
        </row>
        <row r="421">
          <cell r="A421">
            <v>420</v>
          </cell>
        </row>
        <row r="422">
          <cell r="A422">
            <v>421</v>
          </cell>
        </row>
        <row r="423">
          <cell r="A423">
            <v>422</v>
          </cell>
        </row>
        <row r="424">
          <cell r="A424">
            <v>423</v>
          </cell>
        </row>
        <row r="425">
          <cell r="A425">
            <v>424</v>
          </cell>
        </row>
        <row r="426">
          <cell r="A426">
            <v>425</v>
          </cell>
        </row>
        <row r="427">
          <cell r="A427">
            <v>426</v>
          </cell>
        </row>
        <row r="428">
          <cell r="A428">
            <v>427</v>
          </cell>
        </row>
        <row r="429">
          <cell r="A429">
            <v>428</v>
          </cell>
        </row>
        <row r="430">
          <cell r="A430">
            <v>429</v>
          </cell>
        </row>
        <row r="431">
          <cell r="A431">
            <v>430</v>
          </cell>
        </row>
        <row r="432">
          <cell r="A432">
            <v>431</v>
          </cell>
        </row>
        <row r="433">
          <cell r="A433">
            <v>432</v>
          </cell>
        </row>
        <row r="434">
          <cell r="A434">
            <v>433</v>
          </cell>
        </row>
        <row r="435">
          <cell r="A435">
            <v>434</v>
          </cell>
        </row>
        <row r="436">
          <cell r="A436">
            <v>435</v>
          </cell>
        </row>
        <row r="437">
          <cell r="A437">
            <v>436</v>
          </cell>
        </row>
        <row r="438">
          <cell r="A438">
            <v>437</v>
          </cell>
        </row>
        <row r="439">
          <cell r="A439">
            <v>438</v>
          </cell>
        </row>
        <row r="440">
          <cell r="A440">
            <v>439</v>
          </cell>
        </row>
        <row r="441">
          <cell r="A441">
            <v>440</v>
          </cell>
        </row>
        <row r="442">
          <cell r="A442">
            <v>441</v>
          </cell>
        </row>
        <row r="443">
          <cell r="A443">
            <v>442</v>
          </cell>
        </row>
        <row r="444">
          <cell r="A444">
            <v>443</v>
          </cell>
        </row>
        <row r="445">
          <cell r="A445">
            <v>444</v>
          </cell>
        </row>
        <row r="446">
          <cell r="A446">
            <v>445</v>
          </cell>
        </row>
        <row r="447">
          <cell r="A447">
            <v>446</v>
          </cell>
        </row>
        <row r="448">
          <cell r="A448">
            <v>447</v>
          </cell>
        </row>
        <row r="449">
          <cell r="A449">
            <v>448</v>
          </cell>
        </row>
        <row r="450">
          <cell r="A450">
            <v>449</v>
          </cell>
        </row>
        <row r="451">
          <cell r="A451">
            <v>450</v>
          </cell>
        </row>
        <row r="452">
          <cell r="A452">
            <v>451</v>
          </cell>
        </row>
        <row r="453">
          <cell r="A453">
            <v>452</v>
          </cell>
        </row>
        <row r="454">
          <cell r="A454">
            <v>453</v>
          </cell>
        </row>
        <row r="455">
          <cell r="A455">
            <v>454</v>
          </cell>
        </row>
        <row r="456">
          <cell r="A456">
            <v>455</v>
          </cell>
        </row>
        <row r="457">
          <cell r="A457">
            <v>456</v>
          </cell>
        </row>
        <row r="458">
          <cell r="A458">
            <v>457</v>
          </cell>
        </row>
        <row r="459">
          <cell r="A459">
            <v>458</v>
          </cell>
        </row>
        <row r="460">
          <cell r="A460">
            <v>459</v>
          </cell>
        </row>
        <row r="461">
          <cell r="A461">
            <v>460</v>
          </cell>
        </row>
        <row r="462">
          <cell r="A462">
            <v>461</v>
          </cell>
        </row>
        <row r="463">
          <cell r="A463">
            <v>462</v>
          </cell>
        </row>
        <row r="464">
          <cell r="A464">
            <v>463</v>
          </cell>
        </row>
        <row r="465">
          <cell r="A465">
            <v>464</v>
          </cell>
        </row>
        <row r="466">
          <cell r="A466">
            <v>465</v>
          </cell>
        </row>
        <row r="467">
          <cell r="A467">
            <v>466</v>
          </cell>
        </row>
        <row r="468">
          <cell r="A468">
            <v>467</v>
          </cell>
        </row>
        <row r="469">
          <cell r="A469">
            <v>468</v>
          </cell>
        </row>
        <row r="470">
          <cell r="A470">
            <v>469</v>
          </cell>
        </row>
        <row r="471">
          <cell r="A471">
            <v>470</v>
          </cell>
        </row>
        <row r="472">
          <cell r="A472">
            <v>471</v>
          </cell>
        </row>
        <row r="473">
          <cell r="A473">
            <v>472</v>
          </cell>
        </row>
        <row r="474">
          <cell r="A474">
            <v>473</v>
          </cell>
        </row>
        <row r="475">
          <cell r="A475">
            <v>474</v>
          </cell>
        </row>
        <row r="476">
          <cell r="A476">
            <v>475</v>
          </cell>
        </row>
        <row r="477">
          <cell r="A477">
            <v>476</v>
          </cell>
        </row>
        <row r="478">
          <cell r="A478">
            <v>477</v>
          </cell>
        </row>
        <row r="479">
          <cell r="A479">
            <v>478</v>
          </cell>
        </row>
        <row r="480">
          <cell r="A480">
            <v>479</v>
          </cell>
        </row>
        <row r="481">
          <cell r="A481">
            <v>480</v>
          </cell>
        </row>
        <row r="482">
          <cell r="A482">
            <v>481</v>
          </cell>
        </row>
        <row r="483">
          <cell r="A483">
            <v>482</v>
          </cell>
        </row>
        <row r="484">
          <cell r="A484">
            <v>483</v>
          </cell>
        </row>
        <row r="485">
          <cell r="A485">
            <v>484</v>
          </cell>
        </row>
        <row r="486">
          <cell r="A486">
            <v>485</v>
          </cell>
        </row>
        <row r="487">
          <cell r="A487">
            <v>486</v>
          </cell>
        </row>
        <row r="488">
          <cell r="A488">
            <v>487</v>
          </cell>
        </row>
        <row r="489">
          <cell r="A489">
            <v>488</v>
          </cell>
        </row>
        <row r="490">
          <cell r="A490">
            <v>489</v>
          </cell>
        </row>
        <row r="491">
          <cell r="A491">
            <v>490</v>
          </cell>
        </row>
        <row r="492">
          <cell r="A492">
            <v>491</v>
          </cell>
        </row>
        <row r="493">
          <cell r="A493">
            <v>492</v>
          </cell>
        </row>
        <row r="494">
          <cell r="A494">
            <v>493</v>
          </cell>
        </row>
        <row r="495">
          <cell r="A495">
            <v>494</v>
          </cell>
        </row>
        <row r="496">
          <cell r="A496">
            <v>495</v>
          </cell>
        </row>
        <row r="497">
          <cell r="A497">
            <v>496</v>
          </cell>
        </row>
        <row r="498">
          <cell r="A498">
            <v>497</v>
          </cell>
        </row>
        <row r="499">
          <cell r="A499">
            <v>498</v>
          </cell>
        </row>
        <row r="500">
          <cell r="A500">
            <v>499</v>
          </cell>
        </row>
        <row r="501">
          <cell r="A501">
            <v>500</v>
          </cell>
        </row>
        <row r="502">
          <cell r="A502">
            <v>501</v>
          </cell>
        </row>
        <row r="503">
          <cell r="A503">
            <v>502</v>
          </cell>
        </row>
        <row r="504">
          <cell r="A504">
            <v>503</v>
          </cell>
        </row>
        <row r="505">
          <cell r="A505">
            <v>504</v>
          </cell>
        </row>
        <row r="506">
          <cell r="A506">
            <v>505</v>
          </cell>
        </row>
        <row r="507">
          <cell r="A507">
            <v>506</v>
          </cell>
        </row>
        <row r="508">
          <cell r="A508">
            <v>507</v>
          </cell>
        </row>
        <row r="509">
          <cell r="A509">
            <v>508</v>
          </cell>
        </row>
        <row r="510">
          <cell r="A510">
            <v>509</v>
          </cell>
        </row>
        <row r="511">
          <cell r="A511">
            <v>510</v>
          </cell>
        </row>
        <row r="512">
          <cell r="A512">
            <v>511</v>
          </cell>
        </row>
        <row r="513">
          <cell r="A513">
            <v>512</v>
          </cell>
        </row>
        <row r="514">
          <cell r="A514">
            <v>513</v>
          </cell>
        </row>
        <row r="515">
          <cell r="A515">
            <v>514</v>
          </cell>
        </row>
        <row r="516">
          <cell r="A516">
            <v>515</v>
          </cell>
        </row>
        <row r="517">
          <cell r="A517">
            <v>516</v>
          </cell>
        </row>
        <row r="518">
          <cell r="A518">
            <v>517</v>
          </cell>
        </row>
        <row r="519">
          <cell r="A519">
            <v>518</v>
          </cell>
        </row>
        <row r="520">
          <cell r="A520">
            <v>519</v>
          </cell>
        </row>
        <row r="521">
          <cell r="A521">
            <v>520</v>
          </cell>
        </row>
        <row r="522">
          <cell r="A522">
            <v>521</v>
          </cell>
        </row>
        <row r="523">
          <cell r="A523">
            <v>522</v>
          </cell>
        </row>
        <row r="524">
          <cell r="A524">
            <v>523</v>
          </cell>
        </row>
        <row r="525">
          <cell r="A525">
            <v>524</v>
          </cell>
        </row>
        <row r="526">
          <cell r="A526">
            <v>525</v>
          </cell>
        </row>
        <row r="527">
          <cell r="A527">
            <v>526</v>
          </cell>
        </row>
        <row r="528">
          <cell r="A528">
            <v>527</v>
          </cell>
        </row>
        <row r="529">
          <cell r="A529">
            <v>528</v>
          </cell>
        </row>
        <row r="530">
          <cell r="A530">
            <v>529</v>
          </cell>
        </row>
        <row r="531">
          <cell r="A531">
            <v>530</v>
          </cell>
        </row>
        <row r="532">
          <cell r="A532">
            <v>531</v>
          </cell>
        </row>
        <row r="533">
          <cell r="A533">
            <v>532</v>
          </cell>
        </row>
        <row r="534">
          <cell r="A534">
            <v>533</v>
          </cell>
        </row>
        <row r="535">
          <cell r="A535">
            <v>534</v>
          </cell>
        </row>
        <row r="536">
          <cell r="A536">
            <v>535</v>
          </cell>
        </row>
        <row r="537">
          <cell r="A537">
            <v>536</v>
          </cell>
        </row>
        <row r="538">
          <cell r="A538">
            <v>537</v>
          </cell>
        </row>
        <row r="539">
          <cell r="A539">
            <v>538</v>
          </cell>
        </row>
        <row r="540">
          <cell r="A540">
            <v>539</v>
          </cell>
        </row>
        <row r="541">
          <cell r="A541">
            <v>540</v>
          </cell>
        </row>
        <row r="542">
          <cell r="A542">
            <v>541</v>
          </cell>
        </row>
        <row r="543">
          <cell r="A543">
            <v>542</v>
          </cell>
        </row>
        <row r="544">
          <cell r="A544">
            <v>543</v>
          </cell>
        </row>
        <row r="545">
          <cell r="A545">
            <v>544</v>
          </cell>
        </row>
        <row r="546">
          <cell r="A546">
            <v>545</v>
          </cell>
        </row>
        <row r="547">
          <cell r="A547">
            <v>546</v>
          </cell>
        </row>
        <row r="548">
          <cell r="A548">
            <v>547</v>
          </cell>
        </row>
        <row r="549">
          <cell r="A549">
            <v>548</v>
          </cell>
        </row>
        <row r="550">
          <cell r="A550">
            <v>549</v>
          </cell>
        </row>
        <row r="551">
          <cell r="A551">
            <v>550</v>
          </cell>
        </row>
        <row r="552">
          <cell r="A552">
            <v>551</v>
          </cell>
        </row>
        <row r="553">
          <cell r="A553">
            <v>552</v>
          </cell>
        </row>
        <row r="554">
          <cell r="A554">
            <v>553</v>
          </cell>
        </row>
        <row r="555">
          <cell r="A555">
            <v>554</v>
          </cell>
        </row>
        <row r="556">
          <cell r="A556">
            <v>555</v>
          </cell>
        </row>
        <row r="557">
          <cell r="A557">
            <v>556</v>
          </cell>
        </row>
        <row r="558">
          <cell r="A558">
            <v>557</v>
          </cell>
        </row>
        <row r="559">
          <cell r="A559">
            <v>558</v>
          </cell>
        </row>
        <row r="560">
          <cell r="A560">
            <v>559</v>
          </cell>
        </row>
        <row r="561">
          <cell r="A561">
            <v>560</v>
          </cell>
        </row>
        <row r="562">
          <cell r="A562">
            <v>561</v>
          </cell>
        </row>
        <row r="563">
          <cell r="A563">
            <v>562</v>
          </cell>
        </row>
        <row r="564">
          <cell r="A564">
            <v>563</v>
          </cell>
        </row>
        <row r="565">
          <cell r="A565">
            <v>564</v>
          </cell>
        </row>
        <row r="566">
          <cell r="A566">
            <v>565</v>
          </cell>
        </row>
        <row r="567">
          <cell r="A567">
            <v>566</v>
          </cell>
        </row>
        <row r="568">
          <cell r="A568">
            <v>567</v>
          </cell>
        </row>
        <row r="569">
          <cell r="A569">
            <v>568</v>
          </cell>
        </row>
        <row r="570">
          <cell r="A570">
            <v>569</v>
          </cell>
        </row>
        <row r="571">
          <cell r="A571">
            <v>570</v>
          </cell>
        </row>
        <row r="572">
          <cell r="A572">
            <v>571</v>
          </cell>
        </row>
        <row r="573">
          <cell r="A573">
            <v>572</v>
          </cell>
        </row>
        <row r="574">
          <cell r="A574">
            <v>573</v>
          </cell>
        </row>
        <row r="575">
          <cell r="A575">
            <v>574</v>
          </cell>
        </row>
        <row r="576">
          <cell r="A576">
            <v>575</v>
          </cell>
        </row>
        <row r="577">
          <cell r="A577">
            <v>576</v>
          </cell>
        </row>
        <row r="578">
          <cell r="A578">
            <v>577</v>
          </cell>
        </row>
        <row r="579">
          <cell r="A579">
            <v>578</v>
          </cell>
        </row>
        <row r="580">
          <cell r="A580">
            <v>579</v>
          </cell>
        </row>
        <row r="581">
          <cell r="A581">
            <v>580</v>
          </cell>
        </row>
        <row r="582">
          <cell r="A582">
            <v>581</v>
          </cell>
        </row>
        <row r="583">
          <cell r="A583">
            <v>582</v>
          </cell>
        </row>
        <row r="584">
          <cell r="A584">
            <v>583</v>
          </cell>
        </row>
        <row r="585">
          <cell r="A585">
            <v>584</v>
          </cell>
        </row>
        <row r="586">
          <cell r="A586">
            <v>585</v>
          </cell>
        </row>
        <row r="587">
          <cell r="A587">
            <v>586</v>
          </cell>
        </row>
        <row r="588">
          <cell r="A588">
            <v>587</v>
          </cell>
        </row>
        <row r="589">
          <cell r="A589">
            <v>588</v>
          </cell>
        </row>
        <row r="590">
          <cell r="A590">
            <v>589</v>
          </cell>
        </row>
        <row r="591">
          <cell r="A591">
            <v>590</v>
          </cell>
        </row>
        <row r="592">
          <cell r="A592">
            <v>591</v>
          </cell>
        </row>
        <row r="593">
          <cell r="A593">
            <v>592</v>
          </cell>
        </row>
        <row r="594">
          <cell r="A594">
            <v>593</v>
          </cell>
        </row>
        <row r="595">
          <cell r="A595">
            <v>594</v>
          </cell>
        </row>
        <row r="596">
          <cell r="A596">
            <v>595</v>
          </cell>
        </row>
        <row r="597">
          <cell r="A597">
            <v>596</v>
          </cell>
        </row>
        <row r="598">
          <cell r="A598">
            <v>597</v>
          </cell>
        </row>
        <row r="599">
          <cell r="A599">
            <v>598</v>
          </cell>
        </row>
        <row r="600">
          <cell r="A600">
            <v>599</v>
          </cell>
        </row>
        <row r="601">
          <cell r="A601">
            <v>600</v>
          </cell>
        </row>
        <row r="602">
          <cell r="A602">
            <v>601</v>
          </cell>
        </row>
        <row r="603">
          <cell r="A603">
            <v>602</v>
          </cell>
        </row>
        <row r="604">
          <cell r="A604">
            <v>603</v>
          </cell>
        </row>
        <row r="605">
          <cell r="A605">
            <v>604</v>
          </cell>
        </row>
        <row r="606">
          <cell r="A606">
            <v>605</v>
          </cell>
        </row>
        <row r="607">
          <cell r="A607">
            <v>606</v>
          </cell>
        </row>
        <row r="608">
          <cell r="A608">
            <v>607</v>
          </cell>
        </row>
        <row r="609">
          <cell r="A609">
            <v>608</v>
          </cell>
        </row>
        <row r="610">
          <cell r="A610">
            <v>609</v>
          </cell>
        </row>
        <row r="611">
          <cell r="A611">
            <v>610</v>
          </cell>
        </row>
        <row r="612">
          <cell r="A612">
            <v>611</v>
          </cell>
        </row>
        <row r="613">
          <cell r="A613">
            <v>612</v>
          </cell>
        </row>
        <row r="614">
          <cell r="A614">
            <v>613</v>
          </cell>
        </row>
        <row r="615">
          <cell r="A615">
            <v>614</v>
          </cell>
        </row>
        <row r="616">
          <cell r="A616">
            <v>615</v>
          </cell>
        </row>
        <row r="617">
          <cell r="A617">
            <v>616</v>
          </cell>
        </row>
        <row r="618">
          <cell r="A618">
            <v>617</v>
          </cell>
        </row>
        <row r="619">
          <cell r="A619">
            <v>618</v>
          </cell>
        </row>
        <row r="620">
          <cell r="A620">
            <v>619</v>
          </cell>
        </row>
        <row r="621">
          <cell r="A621">
            <v>620</v>
          </cell>
        </row>
        <row r="622">
          <cell r="A622">
            <v>621</v>
          </cell>
        </row>
        <row r="623">
          <cell r="A623">
            <v>622</v>
          </cell>
        </row>
        <row r="624">
          <cell r="A624">
            <v>623</v>
          </cell>
        </row>
        <row r="625">
          <cell r="A625">
            <v>624</v>
          </cell>
        </row>
        <row r="626">
          <cell r="A626">
            <v>625</v>
          </cell>
        </row>
        <row r="627">
          <cell r="A627">
            <v>626</v>
          </cell>
        </row>
        <row r="628">
          <cell r="A628">
            <v>627</v>
          </cell>
        </row>
        <row r="629">
          <cell r="A629">
            <v>628</v>
          </cell>
        </row>
        <row r="630">
          <cell r="A630">
            <v>629</v>
          </cell>
        </row>
        <row r="631">
          <cell r="A631">
            <v>630</v>
          </cell>
        </row>
        <row r="632">
          <cell r="A632">
            <v>631</v>
          </cell>
        </row>
        <row r="633">
          <cell r="A633">
            <v>632</v>
          </cell>
        </row>
        <row r="634">
          <cell r="A634">
            <v>633</v>
          </cell>
        </row>
        <row r="635">
          <cell r="A635">
            <v>634</v>
          </cell>
        </row>
        <row r="636">
          <cell r="A636">
            <v>635</v>
          </cell>
        </row>
        <row r="637">
          <cell r="A637">
            <v>636</v>
          </cell>
        </row>
        <row r="638">
          <cell r="A638">
            <v>637</v>
          </cell>
        </row>
        <row r="639">
          <cell r="A639">
            <v>638</v>
          </cell>
        </row>
        <row r="640">
          <cell r="A640">
            <v>639</v>
          </cell>
        </row>
        <row r="641">
          <cell r="A641">
            <v>640</v>
          </cell>
        </row>
        <row r="642">
          <cell r="A642">
            <v>641</v>
          </cell>
        </row>
        <row r="643">
          <cell r="A643">
            <v>642</v>
          </cell>
        </row>
        <row r="644">
          <cell r="A644">
            <v>643</v>
          </cell>
        </row>
        <row r="645">
          <cell r="A645">
            <v>644</v>
          </cell>
        </row>
        <row r="646">
          <cell r="A646">
            <v>645</v>
          </cell>
        </row>
        <row r="647">
          <cell r="A647">
            <v>646</v>
          </cell>
        </row>
        <row r="648">
          <cell r="A648">
            <v>647</v>
          </cell>
        </row>
        <row r="649">
          <cell r="A649">
            <v>648</v>
          </cell>
        </row>
        <row r="650">
          <cell r="A650">
            <v>649</v>
          </cell>
        </row>
        <row r="651">
          <cell r="A651">
            <v>650</v>
          </cell>
        </row>
        <row r="652">
          <cell r="A652">
            <v>651</v>
          </cell>
        </row>
        <row r="653">
          <cell r="A653">
            <v>652</v>
          </cell>
        </row>
        <row r="654">
          <cell r="A654">
            <v>653</v>
          </cell>
        </row>
        <row r="655">
          <cell r="A655">
            <v>654</v>
          </cell>
        </row>
        <row r="656">
          <cell r="A656">
            <v>655</v>
          </cell>
        </row>
        <row r="657">
          <cell r="A657">
            <v>656</v>
          </cell>
        </row>
        <row r="658">
          <cell r="A658">
            <v>657</v>
          </cell>
        </row>
        <row r="659">
          <cell r="A659">
            <v>658</v>
          </cell>
        </row>
        <row r="660">
          <cell r="A660">
            <v>659</v>
          </cell>
        </row>
        <row r="661">
          <cell r="A661">
            <v>660</v>
          </cell>
        </row>
        <row r="662">
          <cell r="A662">
            <v>661</v>
          </cell>
        </row>
        <row r="663">
          <cell r="A663">
            <v>662</v>
          </cell>
        </row>
        <row r="664">
          <cell r="A664">
            <v>663</v>
          </cell>
        </row>
        <row r="665">
          <cell r="A665">
            <v>664</v>
          </cell>
        </row>
        <row r="666">
          <cell r="A666">
            <v>665</v>
          </cell>
        </row>
        <row r="667">
          <cell r="A667">
            <v>666</v>
          </cell>
        </row>
        <row r="668">
          <cell r="A668">
            <v>667</v>
          </cell>
        </row>
        <row r="669">
          <cell r="A669">
            <v>668</v>
          </cell>
        </row>
        <row r="670">
          <cell r="A670">
            <v>669</v>
          </cell>
        </row>
        <row r="671">
          <cell r="A671">
            <v>670</v>
          </cell>
        </row>
        <row r="672">
          <cell r="A672">
            <v>671</v>
          </cell>
        </row>
        <row r="673">
          <cell r="A673">
            <v>672</v>
          </cell>
        </row>
        <row r="674">
          <cell r="A674">
            <v>673</v>
          </cell>
        </row>
        <row r="675">
          <cell r="A675">
            <v>674</v>
          </cell>
        </row>
        <row r="676">
          <cell r="A676">
            <v>675</v>
          </cell>
        </row>
        <row r="677">
          <cell r="A677">
            <v>676</v>
          </cell>
        </row>
        <row r="678">
          <cell r="A678">
            <v>677</v>
          </cell>
        </row>
        <row r="679">
          <cell r="A679">
            <v>678</v>
          </cell>
        </row>
        <row r="680">
          <cell r="A680">
            <v>679</v>
          </cell>
        </row>
        <row r="681">
          <cell r="A681">
            <v>680</v>
          </cell>
        </row>
        <row r="682">
          <cell r="A682">
            <v>681</v>
          </cell>
        </row>
        <row r="683">
          <cell r="A683">
            <v>682</v>
          </cell>
        </row>
        <row r="684">
          <cell r="A684">
            <v>683</v>
          </cell>
        </row>
        <row r="685">
          <cell r="A685">
            <v>684</v>
          </cell>
        </row>
        <row r="686">
          <cell r="A686">
            <v>685</v>
          </cell>
        </row>
        <row r="687">
          <cell r="A687">
            <v>686</v>
          </cell>
        </row>
        <row r="688">
          <cell r="A688">
            <v>687</v>
          </cell>
        </row>
        <row r="689">
          <cell r="A689">
            <v>688</v>
          </cell>
        </row>
        <row r="690">
          <cell r="A690">
            <v>689</v>
          </cell>
        </row>
        <row r="691">
          <cell r="A691">
            <v>690</v>
          </cell>
        </row>
        <row r="692">
          <cell r="A692">
            <v>691</v>
          </cell>
        </row>
        <row r="693">
          <cell r="A693">
            <v>692</v>
          </cell>
        </row>
        <row r="694">
          <cell r="A694">
            <v>693</v>
          </cell>
        </row>
        <row r="695">
          <cell r="A695">
            <v>694</v>
          </cell>
        </row>
        <row r="696">
          <cell r="A696">
            <v>695</v>
          </cell>
        </row>
        <row r="697">
          <cell r="A697">
            <v>696</v>
          </cell>
        </row>
        <row r="698">
          <cell r="A698">
            <v>697</v>
          </cell>
        </row>
        <row r="699">
          <cell r="A699">
            <v>698</v>
          </cell>
        </row>
        <row r="700">
          <cell r="A700">
            <v>699</v>
          </cell>
        </row>
        <row r="701">
          <cell r="A701">
            <v>700</v>
          </cell>
        </row>
        <row r="702">
          <cell r="A702">
            <v>701</v>
          </cell>
        </row>
        <row r="703">
          <cell r="A703">
            <v>702</v>
          </cell>
        </row>
        <row r="704">
          <cell r="A704">
            <v>703</v>
          </cell>
        </row>
        <row r="705">
          <cell r="A705">
            <v>704</v>
          </cell>
        </row>
        <row r="706">
          <cell r="A706">
            <v>705</v>
          </cell>
        </row>
        <row r="707">
          <cell r="A707">
            <v>706</v>
          </cell>
        </row>
        <row r="708">
          <cell r="A708">
            <v>707</v>
          </cell>
        </row>
        <row r="709">
          <cell r="A709">
            <v>708</v>
          </cell>
        </row>
        <row r="710">
          <cell r="A710">
            <v>709</v>
          </cell>
        </row>
        <row r="711">
          <cell r="A711">
            <v>710</v>
          </cell>
        </row>
        <row r="712">
          <cell r="A712">
            <v>711</v>
          </cell>
        </row>
        <row r="713">
          <cell r="A713">
            <v>712</v>
          </cell>
        </row>
        <row r="714">
          <cell r="A714">
            <v>713</v>
          </cell>
        </row>
        <row r="715">
          <cell r="A715">
            <v>714</v>
          </cell>
        </row>
        <row r="716">
          <cell r="A716">
            <v>715</v>
          </cell>
        </row>
        <row r="717">
          <cell r="A717">
            <v>716</v>
          </cell>
        </row>
        <row r="718">
          <cell r="A718">
            <v>717</v>
          </cell>
        </row>
        <row r="719">
          <cell r="A719">
            <v>718</v>
          </cell>
        </row>
        <row r="720">
          <cell r="A720">
            <v>719</v>
          </cell>
        </row>
        <row r="721">
          <cell r="A721">
            <v>720</v>
          </cell>
        </row>
        <row r="722">
          <cell r="A722">
            <v>721</v>
          </cell>
        </row>
        <row r="723">
          <cell r="A723">
            <v>722</v>
          </cell>
        </row>
        <row r="724">
          <cell r="A724">
            <v>723</v>
          </cell>
        </row>
        <row r="725">
          <cell r="A725">
            <v>724</v>
          </cell>
        </row>
        <row r="726">
          <cell r="A726">
            <v>725</v>
          </cell>
        </row>
        <row r="727">
          <cell r="A727">
            <v>726</v>
          </cell>
        </row>
        <row r="728">
          <cell r="A728">
            <v>727</v>
          </cell>
        </row>
        <row r="729">
          <cell r="A729">
            <v>728</v>
          </cell>
        </row>
        <row r="730">
          <cell r="A730">
            <v>729</v>
          </cell>
        </row>
        <row r="731">
          <cell r="A731">
            <v>730</v>
          </cell>
        </row>
        <row r="732">
          <cell r="A732">
            <v>731</v>
          </cell>
        </row>
        <row r="733">
          <cell r="A733">
            <v>732</v>
          </cell>
        </row>
        <row r="734">
          <cell r="A734">
            <v>733</v>
          </cell>
        </row>
        <row r="735">
          <cell r="A735">
            <v>734</v>
          </cell>
        </row>
        <row r="736">
          <cell r="A736">
            <v>735</v>
          </cell>
        </row>
        <row r="737">
          <cell r="A737">
            <v>736</v>
          </cell>
        </row>
        <row r="738">
          <cell r="A738">
            <v>737</v>
          </cell>
        </row>
        <row r="739">
          <cell r="A739">
            <v>738</v>
          </cell>
        </row>
        <row r="740">
          <cell r="A740">
            <v>739</v>
          </cell>
        </row>
        <row r="741">
          <cell r="A741">
            <v>740</v>
          </cell>
        </row>
        <row r="742">
          <cell r="A742">
            <v>741</v>
          </cell>
        </row>
        <row r="743">
          <cell r="A743">
            <v>742</v>
          </cell>
        </row>
        <row r="744">
          <cell r="A744">
            <v>743</v>
          </cell>
        </row>
        <row r="745">
          <cell r="A745">
            <v>744</v>
          </cell>
        </row>
        <row r="746">
          <cell r="A746">
            <v>745</v>
          </cell>
        </row>
        <row r="747">
          <cell r="A747">
            <v>746</v>
          </cell>
        </row>
        <row r="748">
          <cell r="A748">
            <v>747</v>
          </cell>
        </row>
        <row r="749">
          <cell r="A749">
            <v>748</v>
          </cell>
        </row>
        <row r="750">
          <cell r="A750">
            <v>749</v>
          </cell>
        </row>
        <row r="751">
          <cell r="A751">
            <v>750</v>
          </cell>
        </row>
        <row r="752">
          <cell r="A752">
            <v>751</v>
          </cell>
        </row>
        <row r="753">
          <cell r="A753">
            <v>752</v>
          </cell>
        </row>
        <row r="754">
          <cell r="A754">
            <v>753</v>
          </cell>
        </row>
        <row r="755">
          <cell r="A755">
            <v>754</v>
          </cell>
        </row>
        <row r="756">
          <cell r="A756">
            <v>755</v>
          </cell>
        </row>
        <row r="757">
          <cell r="A757">
            <v>756</v>
          </cell>
        </row>
        <row r="758">
          <cell r="A758">
            <v>757</v>
          </cell>
        </row>
        <row r="759">
          <cell r="A759">
            <v>758</v>
          </cell>
        </row>
        <row r="760">
          <cell r="A760">
            <v>759</v>
          </cell>
        </row>
        <row r="761">
          <cell r="A761">
            <v>760</v>
          </cell>
        </row>
        <row r="762">
          <cell r="A762">
            <v>761</v>
          </cell>
        </row>
        <row r="763">
          <cell r="A763">
            <v>762</v>
          </cell>
        </row>
        <row r="764">
          <cell r="A764">
            <v>763</v>
          </cell>
        </row>
        <row r="765">
          <cell r="A765">
            <v>764</v>
          </cell>
        </row>
        <row r="766">
          <cell r="A766">
            <v>765</v>
          </cell>
        </row>
        <row r="767">
          <cell r="A767">
            <v>766</v>
          </cell>
        </row>
        <row r="768">
          <cell r="A768">
            <v>767</v>
          </cell>
        </row>
        <row r="769">
          <cell r="A769">
            <v>768</v>
          </cell>
        </row>
        <row r="770">
          <cell r="A770">
            <v>769</v>
          </cell>
        </row>
        <row r="771">
          <cell r="A771">
            <v>770</v>
          </cell>
        </row>
        <row r="772">
          <cell r="A772">
            <v>771</v>
          </cell>
        </row>
        <row r="773">
          <cell r="A773">
            <v>772</v>
          </cell>
        </row>
        <row r="774">
          <cell r="A774">
            <v>773</v>
          </cell>
        </row>
        <row r="775">
          <cell r="A775">
            <v>774</v>
          </cell>
        </row>
        <row r="776">
          <cell r="A776">
            <v>775</v>
          </cell>
        </row>
        <row r="777">
          <cell r="A777">
            <v>776</v>
          </cell>
        </row>
        <row r="778">
          <cell r="A778">
            <v>777</v>
          </cell>
        </row>
        <row r="779">
          <cell r="A779">
            <v>778</v>
          </cell>
        </row>
        <row r="780">
          <cell r="A780">
            <v>779</v>
          </cell>
        </row>
        <row r="781">
          <cell r="A781">
            <v>780</v>
          </cell>
        </row>
        <row r="782">
          <cell r="A782">
            <v>781</v>
          </cell>
        </row>
        <row r="783">
          <cell r="A783">
            <v>782</v>
          </cell>
        </row>
        <row r="784">
          <cell r="A784">
            <v>783</v>
          </cell>
        </row>
        <row r="785">
          <cell r="A785">
            <v>784</v>
          </cell>
        </row>
        <row r="786">
          <cell r="A786">
            <v>785</v>
          </cell>
        </row>
        <row r="787">
          <cell r="A787">
            <v>786</v>
          </cell>
        </row>
        <row r="788">
          <cell r="A788">
            <v>787</v>
          </cell>
        </row>
        <row r="789">
          <cell r="A789">
            <v>788</v>
          </cell>
        </row>
        <row r="790">
          <cell r="A790">
            <v>789</v>
          </cell>
        </row>
        <row r="791">
          <cell r="A791">
            <v>790</v>
          </cell>
        </row>
        <row r="792">
          <cell r="A792">
            <v>791</v>
          </cell>
        </row>
        <row r="793">
          <cell r="A793">
            <v>792</v>
          </cell>
        </row>
        <row r="794">
          <cell r="A794">
            <v>793</v>
          </cell>
        </row>
        <row r="795">
          <cell r="A795">
            <v>794</v>
          </cell>
        </row>
        <row r="796">
          <cell r="A796">
            <v>795</v>
          </cell>
        </row>
        <row r="797">
          <cell r="A797">
            <v>796</v>
          </cell>
        </row>
        <row r="798">
          <cell r="A798">
            <v>797</v>
          </cell>
        </row>
        <row r="799">
          <cell r="A799">
            <v>798</v>
          </cell>
        </row>
        <row r="800">
          <cell r="A800">
            <v>799</v>
          </cell>
        </row>
        <row r="801">
          <cell r="A801">
            <v>800</v>
          </cell>
        </row>
        <row r="802">
          <cell r="A802">
            <v>801</v>
          </cell>
        </row>
        <row r="803">
          <cell r="A803">
            <v>802</v>
          </cell>
        </row>
        <row r="804">
          <cell r="A804">
            <v>803</v>
          </cell>
        </row>
        <row r="805">
          <cell r="A805">
            <v>804</v>
          </cell>
        </row>
        <row r="806">
          <cell r="A806">
            <v>805</v>
          </cell>
        </row>
        <row r="807">
          <cell r="A807">
            <v>806</v>
          </cell>
        </row>
        <row r="808">
          <cell r="A808">
            <v>807</v>
          </cell>
        </row>
        <row r="809">
          <cell r="A809">
            <v>808</v>
          </cell>
        </row>
        <row r="810">
          <cell r="A810">
            <v>809</v>
          </cell>
        </row>
        <row r="811">
          <cell r="A811">
            <v>810</v>
          </cell>
        </row>
        <row r="812">
          <cell r="A812">
            <v>811</v>
          </cell>
        </row>
        <row r="813">
          <cell r="A813">
            <v>812</v>
          </cell>
        </row>
        <row r="814">
          <cell r="A814">
            <v>813</v>
          </cell>
        </row>
        <row r="815">
          <cell r="A815">
            <v>814</v>
          </cell>
        </row>
        <row r="816">
          <cell r="A816">
            <v>815</v>
          </cell>
        </row>
        <row r="817">
          <cell r="A817">
            <v>816</v>
          </cell>
        </row>
        <row r="818">
          <cell r="A818">
            <v>817</v>
          </cell>
        </row>
        <row r="819">
          <cell r="A819">
            <v>818</v>
          </cell>
        </row>
        <row r="820">
          <cell r="A820">
            <v>819</v>
          </cell>
        </row>
        <row r="821">
          <cell r="A821">
            <v>820</v>
          </cell>
        </row>
        <row r="822">
          <cell r="A822">
            <v>821</v>
          </cell>
        </row>
        <row r="823">
          <cell r="A823">
            <v>822</v>
          </cell>
        </row>
        <row r="824">
          <cell r="A824">
            <v>823</v>
          </cell>
        </row>
        <row r="825">
          <cell r="A825">
            <v>824</v>
          </cell>
        </row>
        <row r="826">
          <cell r="A826">
            <v>825</v>
          </cell>
        </row>
        <row r="827">
          <cell r="A827">
            <v>826</v>
          </cell>
        </row>
        <row r="828">
          <cell r="A828">
            <v>827</v>
          </cell>
        </row>
        <row r="829">
          <cell r="A829">
            <v>828</v>
          </cell>
        </row>
        <row r="830">
          <cell r="A830">
            <v>829</v>
          </cell>
        </row>
        <row r="831">
          <cell r="A831">
            <v>830</v>
          </cell>
        </row>
        <row r="832">
          <cell r="A832">
            <v>831</v>
          </cell>
        </row>
        <row r="833">
          <cell r="A833">
            <v>832</v>
          </cell>
        </row>
        <row r="834">
          <cell r="A834">
            <v>833</v>
          </cell>
        </row>
        <row r="835">
          <cell r="A835">
            <v>834</v>
          </cell>
        </row>
        <row r="836">
          <cell r="A836">
            <v>835</v>
          </cell>
        </row>
        <row r="837">
          <cell r="A837">
            <v>836</v>
          </cell>
        </row>
        <row r="838">
          <cell r="A838">
            <v>837</v>
          </cell>
        </row>
        <row r="839">
          <cell r="A839">
            <v>838</v>
          </cell>
        </row>
        <row r="840">
          <cell r="A840">
            <v>839</v>
          </cell>
        </row>
        <row r="841">
          <cell r="A841">
            <v>840</v>
          </cell>
        </row>
        <row r="842">
          <cell r="A842">
            <v>841</v>
          </cell>
        </row>
        <row r="843">
          <cell r="A843">
            <v>842</v>
          </cell>
        </row>
        <row r="844">
          <cell r="A844">
            <v>843</v>
          </cell>
        </row>
        <row r="845">
          <cell r="A845">
            <v>844</v>
          </cell>
        </row>
        <row r="846">
          <cell r="A846">
            <v>845</v>
          </cell>
        </row>
        <row r="847">
          <cell r="A847">
            <v>846</v>
          </cell>
        </row>
        <row r="848">
          <cell r="A848">
            <v>847</v>
          </cell>
        </row>
        <row r="849">
          <cell r="A849">
            <v>848</v>
          </cell>
        </row>
        <row r="850">
          <cell r="A850">
            <v>849</v>
          </cell>
        </row>
        <row r="851">
          <cell r="A851">
            <v>850</v>
          </cell>
        </row>
        <row r="852">
          <cell r="A852">
            <v>851</v>
          </cell>
        </row>
        <row r="853">
          <cell r="A853">
            <v>852</v>
          </cell>
        </row>
        <row r="854">
          <cell r="A854">
            <v>853</v>
          </cell>
        </row>
        <row r="855">
          <cell r="A855">
            <v>854</v>
          </cell>
        </row>
        <row r="856">
          <cell r="A856">
            <v>855</v>
          </cell>
        </row>
        <row r="857">
          <cell r="A857">
            <v>856</v>
          </cell>
        </row>
        <row r="858">
          <cell r="A858">
            <v>857</v>
          </cell>
        </row>
        <row r="859">
          <cell r="A859">
            <v>858</v>
          </cell>
        </row>
        <row r="860">
          <cell r="A860">
            <v>859</v>
          </cell>
        </row>
        <row r="861">
          <cell r="A861">
            <v>860</v>
          </cell>
        </row>
        <row r="862">
          <cell r="A862">
            <v>861</v>
          </cell>
        </row>
        <row r="863">
          <cell r="A863">
            <v>862</v>
          </cell>
        </row>
        <row r="864">
          <cell r="A864">
            <v>863</v>
          </cell>
        </row>
        <row r="865">
          <cell r="A865">
            <v>864</v>
          </cell>
        </row>
        <row r="866">
          <cell r="A866">
            <v>865</v>
          </cell>
        </row>
        <row r="867">
          <cell r="A867">
            <v>866</v>
          </cell>
        </row>
        <row r="868">
          <cell r="A868">
            <v>867</v>
          </cell>
        </row>
        <row r="869">
          <cell r="A869">
            <v>868</v>
          </cell>
        </row>
        <row r="870">
          <cell r="A870">
            <v>869</v>
          </cell>
        </row>
        <row r="871">
          <cell r="A871">
            <v>870</v>
          </cell>
        </row>
        <row r="872">
          <cell r="A872">
            <v>871</v>
          </cell>
        </row>
        <row r="873">
          <cell r="A873">
            <v>872</v>
          </cell>
        </row>
        <row r="874">
          <cell r="A874">
            <v>873</v>
          </cell>
        </row>
        <row r="875">
          <cell r="A875">
            <v>874</v>
          </cell>
        </row>
        <row r="876">
          <cell r="A876">
            <v>875</v>
          </cell>
        </row>
        <row r="877">
          <cell r="A877">
            <v>876</v>
          </cell>
        </row>
        <row r="878">
          <cell r="A878">
            <v>877</v>
          </cell>
        </row>
        <row r="879">
          <cell r="A879">
            <v>878</v>
          </cell>
        </row>
        <row r="880">
          <cell r="A880">
            <v>879</v>
          </cell>
        </row>
        <row r="881">
          <cell r="A881">
            <v>880</v>
          </cell>
        </row>
        <row r="882">
          <cell r="A882">
            <v>881</v>
          </cell>
        </row>
        <row r="883">
          <cell r="A883">
            <v>882</v>
          </cell>
        </row>
        <row r="884">
          <cell r="A884">
            <v>883</v>
          </cell>
        </row>
        <row r="885">
          <cell r="A885">
            <v>884</v>
          </cell>
        </row>
        <row r="886">
          <cell r="A886">
            <v>885</v>
          </cell>
        </row>
        <row r="887">
          <cell r="A887">
            <v>886</v>
          </cell>
        </row>
        <row r="888">
          <cell r="A888">
            <v>887</v>
          </cell>
        </row>
        <row r="889">
          <cell r="A889">
            <v>888</v>
          </cell>
        </row>
        <row r="890">
          <cell r="A890">
            <v>889</v>
          </cell>
        </row>
        <row r="891">
          <cell r="A891">
            <v>890</v>
          </cell>
        </row>
        <row r="892">
          <cell r="A892">
            <v>891</v>
          </cell>
        </row>
        <row r="893">
          <cell r="A893">
            <v>892</v>
          </cell>
        </row>
        <row r="894">
          <cell r="A894">
            <v>893</v>
          </cell>
        </row>
        <row r="895">
          <cell r="A895">
            <v>894</v>
          </cell>
        </row>
        <row r="896">
          <cell r="A896">
            <v>895</v>
          </cell>
        </row>
        <row r="897">
          <cell r="A897">
            <v>896</v>
          </cell>
        </row>
        <row r="898">
          <cell r="A898">
            <v>897</v>
          </cell>
        </row>
        <row r="899">
          <cell r="A899">
            <v>898</v>
          </cell>
        </row>
        <row r="900">
          <cell r="A900">
            <v>899</v>
          </cell>
        </row>
        <row r="901">
          <cell r="A901">
            <v>900</v>
          </cell>
        </row>
        <row r="902">
          <cell r="A902">
            <v>901</v>
          </cell>
        </row>
        <row r="903">
          <cell r="A903">
            <v>902</v>
          </cell>
        </row>
        <row r="904">
          <cell r="A904">
            <v>903</v>
          </cell>
        </row>
        <row r="905">
          <cell r="A905">
            <v>904</v>
          </cell>
        </row>
        <row r="906">
          <cell r="A906">
            <v>905</v>
          </cell>
        </row>
        <row r="907">
          <cell r="A907">
            <v>906</v>
          </cell>
        </row>
        <row r="908">
          <cell r="A908">
            <v>907</v>
          </cell>
        </row>
        <row r="909">
          <cell r="A909">
            <v>908</v>
          </cell>
        </row>
        <row r="910">
          <cell r="A910">
            <v>909</v>
          </cell>
        </row>
        <row r="911">
          <cell r="A911">
            <v>910</v>
          </cell>
        </row>
        <row r="912">
          <cell r="A912">
            <v>911</v>
          </cell>
        </row>
        <row r="913">
          <cell r="A913">
            <v>912</v>
          </cell>
        </row>
        <row r="914">
          <cell r="A914">
            <v>913</v>
          </cell>
        </row>
        <row r="915">
          <cell r="A915">
            <v>914</v>
          </cell>
        </row>
        <row r="916">
          <cell r="A916">
            <v>915</v>
          </cell>
        </row>
        <row r="917">
          <cell r="A917">
            <v>916</v>
          </cell>
        </row>
        <row r="918">
          <cell r="A918">
            <v>917</v>
          </cell>
        </row>
        <row r="919">
          <cell r="A919">
            <v>918</v>
          </cell>
        </row>
        <row r="920">
          <cell r="A920">
            <v>919</v>
          </cell>
        </row>
        <row r="921">
          <cell r="A921">
            <v>920</v>
          </cell>
        </row>
        <row r="922">
          <cell r="A922">
            <v>921</v>
          </cell>
        </row>
        <row r="923">
          <cell r="A923">
            <v>922</v>
          </cell>
        </row>
        <row r="924">
          <cell r="A924">
            <v>923</v>
          </cell>
        </row>
        <row r="925">
          <cell r="A925">
            <v>924</v>
          </cell>
        </row>
        <row r="926">
          <cell r="A926">
            <v>925</v>
          </cell>
        </row>
        <row r="927">
          <cell r="A927">
            <v>926</v>
          </cell>
        </row>
        <row r="928">
          <cell r="A928">
            <v>927</v>
          </cell>
        </row>
        <row r="929">
          <cell r="A929">
            <v>928</v>
          </cell>
        </row>
        <row r="930">
          <cell r="A930">
            <v>929</v>
          </cell>
        </row>
        <row r="931">
          <cell r="A931">
            <v>930</v>
          </cell>
        </row>
        <row r="932">
          <cell r="A932">
            <v>931</v>
          </cell>
        </row>
        <row r="933">
          <cell r="A933">
            <v>932</v>
          </cell>
        </row>
        <row r="934">
          <cell r="A934">
            <v>933</v>
          </cell>
        </row>
        <row r="935">
          <cell r="A935">
            <v>934</v>
          </cell>
        </row>
        <row r="936">
          <cell r="A936">
            <v>935</v>
          </cell>
        </row>
        <row r="937">
          <cell r="A937">
            <v>936</v>
          </cell>
        </row>
        <row r="938">
          <cell r="A938">
            <v>937</v>
          </cell>
        </row>
        <row r="939">
          <cell r="A939">
            <v>938</v>
          </cell>
        </row>
        <row r="940">
          <cell r="A940">
            <v>939</v>
          </cell>
        </row>
        <row r="941">
          <cell r="A941">
            <v>940</v>
          </cell>
        </row>
        <row r="942">
          <cell r="A942">
            <v>941</v>
          </cell>
        </row>
        <row r="943">
          <cell r="A943">
            <v>942</v>
          </cell>
        </row>
        <row r="944">
          <cell r="A944">
            <v>943</v>
          </cell>
        </row>
        <row r="945">
          <cell r="A945">
            <v>944</v>
          </cell>
        </row>
        <row r="946">
          <cell r="A946">
            <v>945</v>
          </cell>
        </row>
        <row r="947">
          <cell r="A947">
            <v>946</v>
          </cell>
        </row>
        <row r="948">
          <cell r="A948">
            <v>947</v>
          </cell>
        </row>
        <row r="949">
          <cell r="A949">
            <v>948</v>
          </cell>
        </row>
        <row r="950">
          <cell r="A950">
            <v>949</v>
          </cell>
        </row>
        <row r="951">
          <cell r="A951">
            <v>950</v>
          </cell>
        </row>
        <row r="952">
          <cell r="A952">
            <v>951</v>
          </cell>
        </row>
        <row r="953">
          <cell r="A953">
            <v>952</v>
          </cell>
        </row>
        <row r="954">
          <cell r="A954">
            <v>953</v>
          </cell>
        </row>
        <row r="955">
          <cell r="A955">
            <v>954</v>
          </cell>
        </row>
        <row r="956">
          <cell r="A956">
            <v>955</v>
          </cell>
        </row>
        <row r="957">
          <cell r="A957">
            <v>956</v>
          </cell>
        </row>
        <row r="958">
          <cell r="A958">
            <v>957</v>
          </cell>
        </row>
        <row r="959">
          <cell r="A959">
            <v>958</v>
          </cell>
        </row>
        <row r="960">
          <cell r="A960">
            <v>959</v>
          </cell>
        </row>
        <row r="961">
          <cell r="A961">
            <v>960</v>
          </cell>
        </row>
        <row r="962">
          <cell r="A962">
            <v>961</v>
          </cell>
        </row>
        <row r="963">
          <cell r="A963">
            <v>962</v>
          </cell>
        </row>
        <row r="964">
          <cell r="A964">
            <v>963</v>
          </cell>
        </row>
        <row r="965">
          <cell r="A965">
            <v>964</v>
          </cell>
        </row>
        <row r="966">
          <cell r="A966">
            <v>965</v>
          </cell>
        </row>
        <row r="967">
          <cell r="A967">
            <v>966</v>
          </cell>
        </row>
        <row r="968">
          <cell r="A968">
            <v>967</v>
          </cell>
        </row>
        <row r="969">
          <cell r="A969">
            <v>968</v>
          </cell>
        </row>
        <row r="970">
          <cell r="A970">
            <v>969</v>
          </cell>
        </row>
        <row r="971">
          <cell r="A971">
            <v>970</v>
          </cell>
        </row>
        <row r="972">
          <cell r="A972">
            <v>971</v>
          </cell>
        </row>
        <row r="973">
          <cell r="A973">
            <v>972</v>
          </cell>
        </row>
        <row r="974">
          <cell r="A974">
            <v>973</v>
          </cell>
        </row>
        <row r="975">
          <cell r="A975">
            <v>974</v>
          </cell>
        </row>
        <row r="976">
          <cell r="A976">
            <v>975</v>
          </cell>
        </row>
        <row r="977">
          <cell r="A977">
            <v>976</v>
          </cell>
        </row>
        <row r="978">
          <cell r="A978">
            <v>977</v>
          </cell>
        </row>
        <row r="979">
          <cell r="A979">
            <v>978</v>
          </cell>
        </row>
        <row r="980">
          <cell r="A980">
            <v>979</v>
          </cell>
        </row>
        <row r="981">
          <cell r="A981">
            <v>980</v>
          </cell>
        </row>
        <row r="982">
          <cell r="A982">
            <v>981</v>
          </cell>
        </row>
        <row r="983">
          <cell r="A983">
            <v>982</v>
          </cell>
        </row>
        <row r="984">
          <cell r="A984">
            <v>983</v>
          </cell>
        </row>
        <row r="985">
          <cell r="A985">
            <v>984</v>
          </cell>
        </row>
        <row r="986">
          <cell r="A986">
            <v>985</v>
          </cell>
        </row>
        <row r="987">
          <cell r="A987">
            <v>986</v>
          </cell>
        </row>
        <row r="988">
          <cell r="A988">
            <v>987</v>
          </cell>
        </row>
        <row r="989">
          <cell r="A989">
            <v>988</v>
          </cell>
        </row>
        <row r="990">
          <cell r="A990">
            <v>989</v>
          </cell>
        </row>
        <row r="991">
          <cell r="A991">
            <v>990</v>
          </cell>
        </row>
        <row r="992">
          <cell r="A992">
            <v>991</v>
          </cell>
        </row>
        <row r="993">
          <cell r="A993">
            <v>992</v>
          </cell>
        </row>
        <row r="994">
          <cell r="A994">
            <v>993</v>
          </cell>
        </row>
        <row r="995">
          <cell r="A995">
            <v>994</v>
          </cell>
        </row>
        <row r="996">
          <cell r="A996">
            <v>995</v>
          </cell>
        </row>
        <row r="997">
          <cell r="A997">
            <v>996</v>
          </cell>
        </row>
        <row r="998">
          <cell r="A998">
            <v>997</v>
          </cell>
        </row>
        <row r="999">
          <cell r="A999">
            <v>998</v>
          </cell>
        </row>
        <row r="1000">
          <cell r="A1000">
            <v>999</v>
          </cell>
        </row>
        <row r="1001">
          <cell r="A1001">
            <v>1000</v>
          </cell>
        </row>
        <row r="1002">
          <cell r="A1002">
            <v>1001</v>
          </cell>
        </row>
        <row r="1003">
          <cell r="A1003">
            <v>1002</v>
          </cell>
        </row>
        <row r="1004">
          <cell r="A1004">
            <v>1003</v>
          </cell>
        </row>
        <row r="1005">
          <cell r="A1005">
            <v>1004</v>
          </cell>
        </row>
        <row r="1006">
          <cell r="A1006">
            <v>1005</v>
          </cell>
        </row>
        <row r="1007">
          <cell r="A1007">
            <v>1006</v>
          </cell>
        </row>
        <row r="1008">
          <cell r="A1008">
            <v>1007</v>
          </cell>
        </row>
        <row r="1009">
          <cell r="A1009">
            <v>1008</v>
          </cell>
        </row>
        <row r="1010">
          <cell r="A1010">
            <v>1009</v>
          </cell>
        </row>
        <row r="1011">
          <cell r="A1011">
            <v>1010</v>
          </cell>
        </row>
        <row r="1012">
          <cell r="A1012">
            <v>1011</v>
          </cell>
        </row>
        <row r="1013">
          <cell r="A1013">
            <v>1012</v>
          </cell>
        </row>
        <row r="1014">
          <cell r="A1014">
            <v>1013</v>
          </cell>
        </row>
        <row r="1015">
          <cell r="A1015">
            <v>1014</v>
          </cell>
        </row>
        <row r="1016">
          <cell r="A1016">
            <v>1015</v>
          </cell>
        </row>
        <row r="1017">
          <cell r="A1017">
            <v>1016</v>
          </cell>
        </row>
        <row r="1018">
          <cell r="A1018">
            <v>1017</v>
          </cell>
        </row>
        <row r="1019">
          <cell r="A1019">
            <v>1018</v>
          </cell>
        </row>
        <row r="1020">
          <cell r="A1020">
            <v>1019</v>
          </cell>
        </row>
        <row r="1021">
          <cell r="A1021">
            <v>1020</v>
          </cell>
        </row>
        <row r="1022">
          <cell r="A1022">
            <v>1021</v>
          </cell>
        </row>
        <row r="1023">
          <cell r="A1023">
            <v>1022</v>
          </cell>
        </row>
        <row r="1024">
          <cell r="A1024">
            <v>1023</v>
          </cell>
        </row>
        <row r="1025">
          <cell r="A1025">
            <v>1024</v>
          </cell>
        </row>
        <row r="1026">
          <cell r="A1026">
            <v>1025</v>
          </cell>
        </row>
        <row r="1027">
          <cell r="A1027">
            <v>1026</v>
          </cell>
        </row>
        <row r="1028">
          <cell r="A1028">
            <v>1027</v>
          </cell>
        </row>
        <row r="1029">
          <cell r="A1029">
            <v>1028</v>
          </cell>
        </row>
        <row r="1030">
          <cell r="A1030">
            <v>1029</v>
          </cell>
        </row>
        <row r="1031">
          <cell r="A1031">
            <v>1030</v>
          </cell>
        </row>
        <row r="1032">
          <cell r="A1032">
            <v>1031</v>
          </cell>
        </row>
        <row r="1033">
          <cell r="A1033">
            <v>1032</v>
          </cell>
        </row>
        <row r="1034">
          <cell r="A1034">
            <v>1033</v>
          </cell>
        </row>
        <row r="1035">
          <cell r="A1035">
            <v>1034</v>
          </cell>
        </row>
        <row r="1036">
          <cell r="A1036">
            <v>1035</v>
          </cell>
        </row>
        <row r="1037">
          <cell r="A1037">
            <v>1036</v>
          </cell>
        </row>
        <row r="1038">
          <cell r="A1038">
            <v>1037</v>
          </cell>
        </row>
        <row r="1039">
          <cell r="A1039">
            <v>1038</v>
          </cell>
        </row>
        <row r="1040">
          <cell r="A1040">
            <v>1039</v>
          </cell>
        </row>
        <row r="1041">
          <cell r="A1041">
            <v>1040</v>
          </cell>
        </row>
        <row r="1042">
          <cell r="A1042">
            <v>1041</v>
          </cell>
        </row>
        <row r="1043">
          <cell r="A1043">
            <v>1042</v>
          </cell>
        </row>
        <row r="1044">
          <cell r="A1044">
            <v>1043</v>
          </cell>
        </row>
        <row r="1045">
          <cell r="A1045">
            <v>1044</v>
          </cell>
        </row>
        <row r="1046">
          <cell r="A1046">
            <v>1045</v>
          </cell>
        </row>
        <row r="1047">
          <cell r="A1047">
            <v>1046</v>
          </cell>
        </row>
        <row r="1048">
          <cell r="A1048">
            <v>1047</v>
          </cell>
        </row>
        <row r="1049">
          <cell r="A1049">
            <v>1048</v>
          </cell>
        </row>
        <row r="1050">
          <cell r="A1050">
            <v>1049</v>
          </cell>
        </row>
        <row r="1051">
          <cell r="A1051">
            <v>1050</v>
          </cell>
        </row>
        <row r="1052">
          <cell r="A1052">
            <v>1051</v>
          </cell>
        </row>
        <row r="1053">
          <cell r="A1053">
            <v>1052</v>
          </cell>
        </row>
        <row r="1054">
          <cell r="A1054">
            <v>1053</v>
          </cell>
        </row>
        <row r="1055">
          <cell r="A1055">
            <v>1054</v>
          </cell>
        </row>
        <row r="1056">
          <cell r="A1056">
            <v>1055</v>
          </cell>
        </row>
        <row r="1057">
          <cell r="A1057">
            <v>1056</v>
          </cell>
        </row>
        <row r="1058">
          <cell r="A1058">
            <v>1057</v>
          </cell>
        </row>
        <row r="1059">
          <cell r="A1059">
            <v>1058</v>
          </cell>
        </row>
        <row r="1060">
          <cell r="A1060">
            <v>1059</v>
          </cell>
        </row>
        <row r="1061">
          <cell r="A1061">
            <v>1060</v>
          </cell>
        </row>
        <row r="1062">
          <cell r="A1062">
            <v>1061</v>
          </cell>
        </row>
        <row r="1063">
          <cell r="A1063">
            <v>1062</v>
          </cell>
        </row>
        <row r="1064">
          <cell r="A1064">
            <v>1063</v>
          </cell>
        </row>
        <row r="1065">
          <cell r="A1065">
            <v>1064</v>
          </cell>
        </row>
        <row r="1066">
          <cell r="A1066">
            <v>1065</v>
          </cell>
        </row>
        <row r="1067">
          <cell r="A1067">
            <v>1066</v>
          </cell>
        </row>
        <row r="1068">
          <cell r="A1068">
            <v>1067</v>
          </cell>
        </row>
        <row r="1069">
          <cell r="A1069">
            <v>1068</v>
          </cell>
        </row>
        <row r="1070">
          <cell r="A1070">
            <v>1069</v>
          </cell>
        </row>
        <row r="1071">
          <cell r="A1071">
            <v>1070</v>
          </cell>
        </row>
        <row r="1072">
          <cell r="A1072">
            <v>1071</v>
          </cell>
        </row>
        <row r="1073">
          <cell r="A1073">
            <v>1072</v>
          </cell>
        </row>
        <row r="1074">
          <cell r="A1074">
            <v>1073</v>
          </cell>
        </row>
        <row r="1075">
          <cell r="A1075">
            <v>1074</v>
          </cell>
        </row>
        <row r="1076">
          <cell r="A1076">
            <v>1075</v>
          </cell>
        </row>
        <row r="1077">
          <cell r="A1077">
            <v>1076</v>
          </cell>
        </row>
        <row r="1078">
          <cell r="A1078">
            <v>1077</v>
          </cell>
        </row>
        <row r="1079">
          <cell r="A1079">
            <v>1078</v>
          </cell>
        </row>
        <row r="1080">
          <cell r="A1080">
            <v>1079</v>
          </cell>
        </row>
        <row r="1081">
          <cell r="A1081">
            <v>1080</v>
          </cell>
        </row>
        <row r="1082">
          <cell r="A1082">
            <v>1081</v>
          </cell>
        </row>
        <row r="1083">
          <cell r="A1083">
            <v>1082</v>
          </cell>
        </row>
        <row r="1084">
          <cell r="A1084">
            <v>1083</v>
          </cell>
        </row>
        <row r="1085">
          <cell r="A1085">
            <v>1084</v>
          </cell>
        </row>
        <row r="1086">
          <cell r="A1086">
            <v>1085</v>
          </cell>
        </row>
        <row r="1087">
          <cell r="A1087">
            <v>1086</v>
          </cell>
        </row>
        <row r="1088">
          <cell r="A1088">
            <v>1087</v>
          </cell>
        </row>
        <row r="1089">
          <cell r="A1089">
            <v>1088</v>
          </cell>
        </row>
        <row r="1090">
          <cell r="A1090">
            <v>1089</v>
          </cell>
        </row>
        <row r="1091">
          <cell r="A1091">
            <v>1090</v>
          </cell>
        </row>
        <row r="1092">
          <cell r="A1092">
            <v>1091</v>
          </cell>
        </row>
        <row r="1093">
          <cell r="A1093">
            <v>1092</v>
          </cell>
        </row>
        <row r="1094">
          <cell r="A1094">
            <v>1093</v>
          </cell>
        </row>
        <row r="1095">
          <cell r="A1095">
            <v>1094</v>
          </cell>
        </row>
        <row r="1096">
          <cell r="A1096">
            <v>1095</v>
          </cell>
        </row>
        <row r="1097">
          <cell r="A1097">
            <v>1096</v>
          </cell>
        </row>
        <row r="1098">
          <cell r="A1098">
            <v>1097</v>
          </cell>
        </row>
        <row r="1099">
          <cell r="A1099">
            <v>1098</v>
          </cell>
        </row>
        <row r="1100">
          <cell r="A1100">
            <v>1099</v>
          </cell>
        </row>
        <row r="1101">
          <cell r="A1101">
            <v>1100</v>
          </cell>
        </row>
        <row r="1102">
          <cell r="A1102">
            <v>1101</v>
          </cell>
        </row>
        <row r="1103">
          <cell r="A1103">
            <v>1102</v>
          </cell>
        </row>
        <row r="1104">
          <cell r="A1104">
            <v>1103</v>
          </cell>
        </row>
        <row r="1105">
          <cell r="A1105">
            <v>1104</v>
          </cell>
        </row>
        <row r="1106">
          <cell r="A1106">
            <v>1105</v>
          </cell>
        </row>
        <row r="1107">
          <cell r="A1107">
            <v>1106</v>
          </cell>
        </row>
        <row r="1108">
          <cell r="A1108">
            <v>1107</v>
          </cell>
        </row>
        <row r="1109">
          <cell r="A1109">
            <v>1108</v>
          </cell>
        </row>
        <row r="1110">
          <cell r="A1110">
            <v>1109</v>
          </cell>
        </row>
        <row r="1111">
          <cell r="A1111">
            <v>1110</v>
          </cell>
        </row>
        <row r="1112">
          <cell r="A1112">
            <v>1111</v>
          </cell>
        </row>
        <row r="1113">
          <cell r="A1113">
            <v>1112</v>
          </cell>
        </row>
        <row r="1114">
          <cell r="A1114">
            <v>1113</v>
          </cell>
        </row>
        <row r="1115">
          <cell r="A1115">
            <v>1114</v>
          </cell>
        </row>
        <row r="1116">
          <cell r="A1116">
            <v>1115</v>
          </cell>
        </row>
        <row r="1117">
          <cell r="A1117">
            <v>1116</v>
          </cell>
        </row>
        <row r="1118">
          <cell r="A1118">
            <v>1117</v>
          </cell>
        </row>
        <row r="1119">
          <cell r="A1119">
            <v>1118</v>
          </cell>
        </row>
        <row r="1120">
          <cell r="A1120">
            <v>1119</v>
          </cell>
        </row>
        <row r="1121">
          <cell r="A1121">
            <v>1120</v>
          </cell>
        </row>
        <row r="1122">
          <cell r="A1122">
            <v>1121</v>
          </cell>
        </row>
        <row r="1123">
          <cell r="A1123">
            <v>1122</v>
          </cell>
        </row>
        <row r="1124">
          <cell r="A1124">
            <v>1123</v>
          </cell>
        </row>
        <row r="1125">
          <cell r="A1125">
            <v>1124</v>
          </cell>
        </row>
        <row r="1126">
          <cell r="A1126">
            <v>1125</v>
          </cell>
        </row>
        <row r="1127">
          <cell r="A1127">
            <v>1126</v>
          </cell>
        </row>
        <row r="1128">
          <cell r="A1128">
            <v>1127</v>
          </cell>
        </row>
        <row r="1129">
          <cell r="A1129">
            <v>1128</v>
          </cell>
        </row>
        <row r="1130">
          <cell r="A1130">
            <v>1129</v>
          </cell>
        </row>
        <row r="1131">
          <cell r="A1131">
            <v>1130</v>
          </cell>
        </row>
        <row r="1132">
          <cell r="A1132">
            <v>1131</v>
          </cell>
        </row>
        <row r="1133">
          <cell r="A1133">
            <v>1132</v>
          </cell>
        </row>
        <row r="1134">
          <cell r="A1134">
            <v>1133</v>
          </cell>
        </row>
        <row r="1135">
          <cell r="A1135">
            <v>1134</v>
          </cell>
        </row>
        <row r="1136">
          <cell r="A1136">
            <v>1135</v>
          </cell>
        </row>
        <row r="1137">
          <cell r="A1137">
            <v>1136</v>
          </cell>
        </row>
        <row r="1138">
          <cell r="A1138">
            <v>1137</v>
          </cell>
        </row>
        <row r="1139">
          <cell r="A1139">
            <v>1138</v>
          </cell>
        </row>
        <row r="1140">
          <cell r="A1140">
            <v>1139</v>
          </cell>
        </row>
        <row r="1141">
          <cell r="A1141">
            <v>1140</v>
          </cell>
        </row>
        <row r="1142">
          <cell r="A1142">
            <v>1141</v>
          </cell>
        </row>
        <row r="1143">
          <cell r="A1143">
            <v>1142</v>
          </cell>
        </row>
        <row r="1144">
          <cell r="A1144">
            <v>1143</v>
          </cell>
        </row>
        <row r="1145">
          <cell r="A1145">
            <v>1144</v>
          </cell>
        </row>
        <row r="1146">
          <cell r="A1146">
            <v>1145</v>
          </cell>
        </row>
        <row r="1147">
          <cell r="A1147">
            <v>1146</v>
          </cell>
        </row>
        <row r="1148">
          <cell r="A1148">
            <v>1147</v>
          </cell>
        </row>
        <row r="1149">
          <cell r="A1149">
            <v>1148</v>
          </cell>
        </row>
        <row r="1150">
          <cell r="A1150">
            <v>1149</v>
          </cell>
        </row>
        <row r="1151">
          <cell r="A1151">
            <v>1150</v>
          </cell>
        </row>
        <row r="1152">
          <cell r="A1152">
            <v>1151</v>
          </cell>
        </row>
        <row r="1153">
          <cell r="A1153">
            <v>1152</v>
          </cell>
        </row>
        <row r="1154">
          <cell r="A1154">
            <v>1153</v>
          </cell>
        </row>
        <row r="1155">
          <cell r="A1155">
            <v>1154</v>
          </cell>
        </row>
        <row r="1156">
          <cell r="A1156">
            <v>1155</v>
          </cell>
        </row>
        <row r="1157">
          <cell r="A1157">
            <v>1156</v>
          </cell>
        </row>
        <row r="1158">
          <cell r="A1158">
            <v>1157</v>
          </cell>
        </row>
        <row r="1159">
          <cell r="A1159">
            <v>1158</v>
          </cell>
        </row>
        <row r="1160">
          <cell r="A1160">
            <v>1159</v>
          </cell>
        </row>
        <row r="1161">
          <cell r="A1161">
            <v>1160</v>
          </cell>
        </row>
        <row r="1162">
          <cell r="A1162">
            <v>1161</v>
          </cell>
        </row>
        <row r="1163">
          <cell r="A1163">
            <v>1162</v>
          </cell>
        </row>
        <row r="1164">
          <cell r="A1164">
            <v>1163</v>
          </cell>
        </row>
        <row r="1165">
          <cell r="A1165">
            <v>1164</v>
          </cell>
        </row>
        <row r="1166">
          <cell r="A1166">
            <v>1165</v>
          </cell>
        </row>
        <row r="1167">
          <cell r="A1167">
            <v>1166</v>
          </cell>
        </row>
        <row r="1168">
          <cell r="A1168">
            <v>1167</v>
          </cell>
        </row>
        <row r="1169">
          <cell r="A1169">
            <v>1168</v>
          </cell>
        </row>
        <row r="1170">
          <cell r="A1170">
            <v>1169</v>
          </cell>
        </row>
        <row r="1171">
          <cell r="A1171">
            <v>1170</v>
          </cell>
        </row>
        <row r="1172">
          <cell r="A1172">
            <v>1171</v>
          </cell>
        </row>
        <row r="1173">
          <cell r="A1173">
            <v>1172</v>
          </cell>
        </row>
        <row r="1174">
          <cell r="A1174">
            <v>1173</v>
          </cell>
        </row>
        <row r="1175">
          <cell r="A1175">
            <v>1174</v>
          </cell>
        </row>
        <row r="1176">
          <cell r="A1176">
            <v>1175</v>
          </cell>
        </row>
        <row r="1177">
          <cell r="A1177">
            <v>1176</v>
          </cell>
        </row>
        <row r="1178">
          <cell r="A1178">
            <v>1177</v>
          </cell>
        </row>
        <row r="1179">
          <cell r="A1179">
            <v>1178</v>
          </cell>
        </row>
        <row r="1180">
          <cell r="A1180">
            <v>1179</v>
          </cell>
        </row>
        <row r="1181">
          <cell r="A1181">
            <v>1180</v>
          </cell>
        </row>
        <row r="1182">
          <cell r="A1182">
            <v>1181</v>
          </cell>
        </row>
        <row r="1183">
          <cell r="A1183">
            <v>1182</v>
          </cell>
        </row>
        <row r="1184">
          <cell r="A1184">
            <v>1183</v>
          </cell>
        </row>
        <row r="1185">
          <cell r="A1185">
            <v>1184</v>
          </cell>
        </row>
        <row r="1186">
          <cell r="A1186">
            <v>1185</v>
          </cell>
        </row>
        <row r="1187">
          <cell r="A1187">
            <v>1186</v>
          </cell>
        </row>
        <row r="1188">
          <cell r="A1188">
            <v>1187</v>
          </cell>
        </row>
        <row r="1189">
          <cell r="A1189">
            <v>1188</v>
          </cell>
        </row>
        <row r="1190">
          <cell r="A1190">
            <v>1189</v>
          </cell>
        </row>
        <row r="1191">
          <cell r="A1191">
            <v>1190</v>
          </cell>
        </row>
        <row r="1192">
          <cell r="A1192">
            <v>1191</v>
          </cell>
        </row>
        <row r="1193">
          <cell r="A1193">
            <v>1192</v>
          </cell>
        </row>
        <row r="1194">
          <cell r="A1194">
            <v>1193</v>
          </cell>
        </row>
        <row r="1195">
          <cell r="A1195">
            <v>1194</v>
          </cell>
        </row>
        <row r="1196">
          <cell r="A1196">
            <v>1195</v>
          </cell>
        </row>
        <row r="1197">
          <cell r="A1197">
            <v>1196</v>
          </cell>
        </row>
        <row r="1198">
          <cell r="A1198">
            <v>1197</v>
          </cell>
        </row>
        <row r="1199">
          <cell r="A1199">
            <v>1198</v>
          </cell>
        </row>
        <row r="1200">
          <cell r="A1200">
            <v>1199</v>
          </cell>
        </row>
        <row r="1201">
          <cell r="A1201">
            <v>1200</v>
          </cell>
        </row>
        <row r="1202">
          <cell r="A1202">
            <v>1201</v>
          </cell>
        </row>
        <row r="1203">
          <cell r="A1203">
            <v>1202</v>
          </cell>
        </row>
        <row r="1204">
          <cell r="A1204">
            <v>1203</v>
          </cell>
        </row>
        <row r="1205">
          <cell r="A1205">
            <v>1204</v>
          </cell>
        </row>
        <row r="1206">
          <cell r="A1206">
            <v>1205</v>
          </cell>
        </row>
        <row r="1207">
          <cell r="A1207">
            <v>1206</v>
          </cell>
        </row>
        <row r="1208">
          <cell r="A1208">
            <v>1207</v>
          </cell>
        </row>
        <row r="1209">
          <cell r="A1209">
            <v>1208</v>
          </cell>
        </row>
        <row r="1210">
          <cell r="A1210">
            <v>1209</v>
          </cell>
        </row>
        <row r="1211">
          <cell r="A1211">
            <v>1210</v>
          </cell>
        </row>
        <row r="1212">
          <cell r="A1212">
            <v>1211</v>
          </cell>
        </row>
        <row r="1213">
          <cell r="A1213">
            <v>1212</v>
          </cell>
        </row>
        <row r="1214">
          <cell r="A1214">
            <v>1213</v>
          </cell>
        </row>
        <row r="1215">
          <cell r="A1215">
            <v>1214</v>
          </cell>
        </row>
        <row r="1216">
          <cell r="A1216">
            <v>1215</v>
          </cell>
        </row>
        <row r="1217">
          <cell r="A1217">
            <v>1216</v>
          </cell>
        </row>
        <row r="1218">
          <cell r="A1218">
            <v>1217</v>
          </cell>
        </row>
        <row r="1219">
          <cell r="A1219">
            <v>1218</v>
          </cell>
        </row>
        <row r="1220">
          <cell r="A1220">
            <v>1219</v>
          </cell>
        </row>
        <row r="1221">
          <cell r="A1221">
            <v>1220</v>
          </cell>
        </row>
        <row r="1222">
          <cell r="A1222">
            <v>1221</v>
          </cell>
        </row>
        <row r="1223">
          <cell r="A1223">
            <v>1222</v>
          </cell>
        </row>
        <row r="1224">
          <cell r="A1224">
            <v>1223</v>
          </cell>
        </row>
        <row r="1225">
          <cell r="A1225">
            <v>1224</v>
          </cell>
        </row>
        <row r="1226">
          <cell r="A1226">
            <v>1225</v>
          </cell>
        </row>
        <row r="1227">
          <cell r="A1227">
            <v>1226</v>
          </cell>
        </row>
        <row r="1228">
          <cell r="A1228">
            <v>1227</v>
          </cell>
        </row>
        <row r="1229">
          <cell r="A1229">
            <v>1228</v>
          </cell>
        </row>
        <row r="1230">
          <cell r="A1230">
            <v>1229</v>
          </cell>
        </row>
        <row r="1231">
          <cell r="A1231">
            <v>1230</v>
          </cell>
        </row>
        <row r="1232">
          <cell r="A1232">
            <v>1231</v>
          </cell>
        </row>
        <row r="1233">
          <cell r="A1233">
            <v>1232</v>
          </cell>
        </row>
        <row r="1234">
          <cell r="A1234">
            <v>1233</v>
          </cell>
        </row>
        <row r="1235">
          <cell r="A1235">
            <v>1234</v>
          </cell>
        </row>
        <row r="1236">
          <cell r="A1236">
            <v>1235</v>
          </cell>
        </row>
        <row r="1237">
          <cell r="A1237">
            <v>1236</v>
          </cell>
        </row>
        <row r="1238">
          <cell r="A1238">
            <v>1237</v>
          </cell>
        </row>
        <row r="1239">
          <cell r="A1239">
            <v>1238</v>
          </cell>
        </row>
        <row r="1240">
          <cell r="A1240">
            <v>1239</v>
          </cell>
        </row>
        <row r="1241">
          <cell r="A1241">
            <v>1240</v>
          </cell>
        </row>
        <row r="1242">
          <cell r="A1242">
            <v>1241</v>
          </cell>
        </row>
        <row r="1243">
          <cell r="A1243">
            <v>1242</v>
          </cell>
        </row>
        <row r="1244">
          <cell r="A1244">
            <v>1243</v>
          </cell>
        </row>
        <row r="1245">
          <cell r="A1245">
            <v>1244</v>
          </cell>
        </row>
        <row r="1246">
          <cell r="A1246">
            <v>1245</v>
          </cell>
        </row>
        <row r="1247">
          <cell r="A1247">
            <v>1246</v>
          </cell>
        </row>
        <row r="1248">
          <cell r="A1248">
            <v>1247</v>
          </cell>
        </row>
        <row r="1249">
          <cell r="A1249">
            <v>1248</v>
          </cell>
        </row>
        <row r="1250">
          <cell r="A1250">
            <v>1249</v>
          </cell>
        </row>
        <row r="1251">
          <cell r="A1251">
            <v>1250</v>
          </cell>
        </row>
        <row r="1252">
          <cell r="A1252">
            <v>1251</v>
          </cell>
        </row>
        <row r="1253">
          <cell r="A1253">
            <v>1252</v>
          </cell>
        </row>
        <row r="1254">
          <cell r="A1254">
            <v>1253</v>
          </cell>
        </row>
        <row r="1255">
          <cell r="A1255">
            <v>1254</v>
          </cell>
        </row>
        <row r="1256">
          <cell r="A1256">
            <v>1255</v>
          </cell>
        </row>
        <row r="1257">
          <cell r="A1257">
            <v>1256</v>
          </cell>
        </row>
        <row r="1258">
          <cell r="A1258">
            <v>1257</v>
          </cell>
        </row>
        <row r="1259">
          <cell r="A1259">
            <v>1258</v>
          </cell>
        </row>
        <row r="1260">
          <cell r="A1260">
            <v>1259</v>
          </cell>
        </row>
        <row r="1261">
          <cell r="A1261">
            <v>1260</v>
          </cell>
        </row>
        <row r="1262">
          <cell r="A1262">
            <v>1261</v>
          </cell>
        </row>
        <row r="1263">
          <cell r="A1263">
            <v>1262</v>
          </cell>
        </row>
        <row r="1264">
          <cell r="A1264">
            <v>1263</v>
          </cell>
        </row>
        <row r="1265">
          <cell r="A1265">
            <v>1264</v>
          </cell>
        </row>
        <row r="1266">
          <cell r="A1266">
            <v>1265</v>
          </cell>
        </row>
        <row r="1267">
          <cell r="A1267">
            <v>1266</v>
          </cell>
        </row>
        <row r="1268">
          <cell r="A1268">
            <v>1267</v>
          </cell>
        </row>
        <row r="1269">
          <cell r="A1269">
            <v>1268</v>
          </cell>
        </row>
        <row r="1270">
          <cell r="A1270">
            <v>1269</v>
          </cell>
        </row>
        <row r="1271">
          <cell r="A1271">
            <v>1270</v>
          </cell>
        </row>
        <row r="1272">
          <cell r="A1272">
            <v>1271</v>
          </cell>
        </row>
        <row r="1273">
          <cell r="A1273">
            <v>1272</v>
          </cell>
        </row>
        <row r="1274">
          <cell r="A1274">
            <v>1273</v>
          </cell>
        </row>
        <row r="1275">
          <cell r="A1275">
            <v>1274</v>
          </cell>
        </row>
        <row r="1276">
          <cell r="A1276">
            <v>1275</v>
          </cell>
        </row>
        <row r="1277">
          <cell r="A1277">
            <v>1276</v>
          </cell>
        </row>
        <row r="1278">
          <cell r="A1278">
            <v>1277</v>
          </cell>
        </row>
        <row r="1279">
          <cell r="A1279">
            <v>1278</v>
          </cell>
        </row>
        <row r="1280">
          <cell r="A1280">
            <v>1279</v>
          </cell>
        </row>
        <row r="1281">
          <cell r="A1281">
            <v>1280</v>
          </cell>
        </row>
        <row r="1282">
          <cell r="A1282">
            <v>1281</v>
          </cell>
        </row>
        <row r="1283">
          <cell r="A1283">
            <v>1282</v>
          </cell>
        </row>
        <row r="1284">
          <cell r="A1284">
            <v>1283</v>
          </cell>
        </row>
        <row r="1285">
          <cell r="A1285">
            <v>1284</v>
          </cell>
        </row>
        <row r="1286">
          <cell r="A1286">
            <v>1285</v>
          </cell>
        </row>
        <row r="1287">
          <cell r="A1287">
            <v>1286</v>
          </cell>
        </row>
        <row r="1288">
          <cell r="A1288">
            <v>1287</v>
          </cell>
        </row>
        <row r="1289">
          <cell r="A1289">
            <v>1288</v>
          </cell>
        </row>
        <row r="1290">
          <cell r="A1290">
            <v>1289</v>
          </cell>
        </row>
        <row r="1291">
          <cell r="A1291">
            <v>1290</v>
          </cell>
        </row>
        <row r="1292">
          <cell r="A1292">
            <v>1291</v>
          </cell>
        </row>
        <row r="1293">
          <cell r="A1293">
            <v>1292</v>
          </cell>
        </row>
        <row r="1294">
          <cell r="A1294">
            <v>1293</v>
          </cell>
        </row>
        <row r="1295">
          <cell r="A1295">
            <v>1294</v>
          </cell>
        </row>
        <row r="1296">
          <cell r="A1296">
            <v>1295</v>
          </cell>
        </row>
        <row r="1297">
          <cell r="A1297">
            <v>1296</v>
          </cell>
        </row>
        <row r="1298">
          <cell r="A1298">
            <v>1297</v>
          </cell>
        </row>
        <row r="1299">
          <cell r="A1299">
            <v>1298</v>
          </cell>
        </row>
        <row r="1300">
          <cell r="A1300">
            <v>1299</v>
          </cell>
        </row>
        <row r="1301">
          <cell r="A1301">
            <v>1300</v>
          </cell>
        </row>
        <row r="1302">
          <cell r="A1302">
            <v>1301</v>
          </cell>
        </row>
        <row r="1303">
          <cell r="A1303">
            <v>1302</v>
          </cell>
        </row>
        <row r="1304">
          <cell r="A1304">
            <v>1303</v>
          </cell>
        </row>
        <row r="1305">
          <cell r="A1305">
            <v>1304</v>
          </cell>
        </row>
        <row r="1306">
          <cell r="A1306">
            <v>1305</v>
          </cell>
        </row>
        <row r="1307">
          <cell r="A1307">
            <v>1306</v>
          </cell>
        </row>
        <row r="1308">
          <cell r="A1308">
            <v>1307</v>
          </cell>
        </row>
        <row r="1309">
          <cell r="A1309">
            <v>1308</v>
          </cell>
        </row>
        <row r="1310">
          <cell r="A1310">
            <v>1309</v>
          </cell>
        </row>
        <row r="1311">
          <cell r="A1311">
            <v>1310</v>
          </cell>
        </row>
        <row r="1312">
          <cell r="A1312">
            <v>1311</v>
          </cell>
        </row>
        <row r="1313">
          <cell r="A1313">
            <v>1312</v>
          </cell>
        </row>
        <row r="1314">
          <cell r="A1314">
            <v>1313</v>
          </cell>
        </row>
        <row r="1315">
          <cell r="A1315">
            <v>1314</v>
          </cell>
        </row>
        <row r="1316">
          <cell r="A1316">
            <v>1315</v>
          </cell>
        </row>
        <row r="1317">
          <cell r="A1317">
            <v>1316</v>
          </cell>
        </row>
        <row r="1318">
          <cell r="A1318">
            <v>1317</v>
          </cell>
        </row>
        <row r="1319">
          <cell r="A1319">
            <v>1318</v>
          </cell>
        </row>
        <row r="1320">
          <cell r="A1320">
            <v>1319</v>
          </cell>
        </row>
        <row r="1321">
          <cell r="A1321">
            <v>1320</v>
          </cell>
        </row>
        <row r="1322">
          <cell r="A1322">
            <v>1321</v>
          </cell>
        </row>
        <row r="1323">
          <cell r="A1323">
            <v>1322</v>
          </cell>
        </row>
        <row r="1324">
          <cell r="A1324">
            <v>1323</v>
          </cell>
        </row>
        <row r="1325">
          <cell r="A1325">
            <v>1324</v>
          </cell>
        </row>
        <row r="1326">
          <cell r="A1326">
            <v>1325</v>
          </cell>
        </row>
        <row r="1327">
          <cell r="A1327">
            <v>1326</v>
          </cell>
        </row>
        <row r="1328">
          <cell r="A1328">
            <v>1327</v>
          </cell>
        </row>
        <row r="1329">
          <cell r="A1329">
            <v>1328</v>
          </cell>
        </row>
        <row r="1330">
          <cell r="A1330">
            <v>1329</v>
          </cell>
        </row>
        <row r="1331">
          <cell r="A1331">
            <v>1330</v>
          </cell>
        </row>
        <row r="1332">
          <cell r="A1332">
            <v>1331</v>
          </cell>
        </row>
        <row r="1333">
          <cell r="A1333">
            <v>1332</v>
          </cell>
        </row>
        <row r="1334">
          <cell r="A1334">
            <v>1333</v>
          </cell>
        </row>
        <row r="1335">
          <cell r="A1335">
            <v>1334</v>
          </cell>
        </row>
        <row r="1336">
          <cell r="A1336">
            <v>1335</v>
          </cell>
        </row>
        <row r="1337">
          <cell r="A1337">
            <v>1336</v>
          </cell>
        </row>
        <row r="1338">
          <cell r="A1338">
            <v>1337</v>
          </cell>
        </row>
        <row r="1339">
          <cell r="A1339">
            <v>1338</v>
          </cell>
        </row>
        <row r="1340">
          <cell r="A1340">
            <v>1339</v>
          </cell>
        </row>
        <row r="1341">
          <cell r="A1341">
            <v>1340</v>
          </cell>
        </row>
        <row r="1342">
          <cell r="A1342">
            <v>1341</v>
          </cell>
        </row>
        <row r="1343">
          <cell r="A1343">
            <v>1342</v>
          </cell>
        </row>
        <row r="1344">
          <cell r="A1344">
            <v>1343</v>
          </cell>
        </row>
        <row r="1345">
          <cell r="A1345">
            <v>1344</v>
          </cell>
        </row>
        <row r="1346">
          <cell r="A1346">
            <v>1345</v>
          </cell>
        </row>
        <row r="1347">
          <cell r="A1347">
            <v>1346</v>
          </cell>
        </row>
        <row r="1348">
          <cell r="A1348">
            <v>1347</v>
          </cell>
        </row>
        <row r="1349">
          <cell r="A1349">
            <v>1348</v>
          </cell>
        </row>
        <row r="1350">
          <cell r="A1350">
            <v>1349</v>
          </cell>
        </row>
        <row r="1351">
          <cell r="A1351">
            <v>1350</v>
          </cell>
        </row>
        <row r="1352">
          <cell r="A1352">
            <v>1351</v>
          </cell>
        </row>
        <row r="1353">
          <cell r="A1353">
            <v>1352</v>
          </cell>
        </row>
        <row r="1354">
          <cell r="A1354">
            <v>1353</v>
          </cell>
        </row>
        <row r="1355">
          <cell r="A1355">
            <v>1354</v>
          </cell>
        </row>
        <row r="1356">
          <cell r="A1356">
            <v>1355</v>
          </cell>
        </row>
        <row r="1357">
          <cell r="A1357">
            <v>1356</v>
          </cell>
        </row>
        <row r="1358">
          <cell r="A1358">
            <v>1357</v>
          </cell>
        </row>
        <row r="1359">
          <cell r="A1359">
            <v>1358</v>
          </cell>
        </row>
        <row r="1360">
          <cell r="A1360">
            <v>1359</v>
          </cell>
        </row>
        <row r="1361">
          <cell r="A1361">
            <v>1360</v>
          </cell>
        </row>
        <row r="1362">
          <cell r="A1362">
            <v>1361</v>
          </cell>
        </row>
        <row r="1363">
          <cell r="A1363">
            <v>1362</v>
          </cell>
        </row>
        <row r="1364">
          <cell r="A1364">
            <v>1363</v>
          </cell>
        </row>
        <row r="1365">
          <cell r="A1365">
            <v>1364</v>
          </cell>
        </row>
        <row r="1366">
          <cell r="A1366">
            <v>1365</v>
          </cell>
        </row>
        <row r="1367">
          <cell r="A1367">
            <v>1366</v>
          </cell>
        </row>
        <row r="1368">
          <cell r="A1368">
            <v>1367</v>
          </cell>
        </row>
        <row r="1369">
          <cell r="A1369">
            <v>1368</v>
          </cell>
        </row>
        <row r="1370">
          <cell r="A1370">
            <v>1369</v>
          </cell>
        </row>
        <row r="1371">
          <cell r="A1371">
            <v>1370</v>
          </cell>
        </row>
        <row r="1372">
          <cell r="A1372">
            <v>1389</v>
          </cell>
        </row>
        <row r="1373">
          <cell r="A1373">
            <v>1390</v>
          </cell>
        </row>
        <row r="1374">
          <cell r="A1374">
            <v>1399</v>
          </cell>
        </row>
        <row r="1375">
          <cell r="A1375">
            <v>1400</v>
          </cell>
        </row>
        <row r="1376">
          <cell r="A1376">
            <v>1401</v>
          </cell>
        </row>
        <row r="1377">
          <cell r="A1377">
            <v>1402</v>
          </cell>
        </row>
        <row r="1378">
          <cell r="A1378">
            <v>1403</v>
          </cell>
        </row>
        <row r="1379">
          <cell r="A1379">
            <v>1404</v>
          </cell>
        </row>
        <row r="1380">
          <cell r="A1380">
            <v>1405</v>
          </cell>
        </row>
        <row r="1381">
          <cell r="A1381">
            <v>1406</v>
          </cell>
        </row>
        <row r="1382">
          <cell r="A1382">
            <v>1407</v>
          </cell>
        </row>
        <row r="1383">
          <cell r="A1383">
            <v>1408</v>
          </cell>
        </row>
        <row r="1384">
          <cell r="A1384">
            <v>1409</v>
          </cell>
        </row>
        <row r="1385">
          <cell r="A1385">
            <v>1410</v>
          </cell>
        </row>
        <row r="1386">
          <cell r="A1386">
            <v>1411</v>
          </cell>
        </row>
        <row r="1387">
          <cell r="A1387">
            <v>1412</v>
          </cell>
        </row>
        <row r="1388">
          <cell r="A1388">
            <v>1413</v>
          </cell>
        </row>
        <row r="1389">
          <cell r="A1389">
            <v>1414</v>
          </cell>
        </row>
        <row r="1390">
          <cell r="A1390">
            <v>1415</v>
          </cell>
        </row>
        <row r="1391">
          <cell r="A1391">
            <v>1416</v>
          </cell>
        </row>
        <row r="1392">
          <cell r="A1392">
            <v>1417</v>
          </cell>
        </row>
        <row r="1393">
          <cell r="A1393">
            <v>1418</v>
          </cell>
        </row>
        <row r="1394">
          <cell r="A1394">
            <v>1419</v>
          </cell>
        </row>
        <row r="1395">
          <cell r="A1395">
            <v>1420</v>
          </cell>
        </row>
        <row r="1396">
          <cell r="A1396">
            <v>1421</v>
          </cell>
        </row>
        <row r="1397">
          <cell r="A1397">
            <v>1422</v>
          </cell>
        </row>
        <row r="1398">
          <cell r="A1398">
            <v>1423</v>
          </cell>
        </row>
        <row r="1399">
          <cell r="A1399">
            <v>1424</v>
          </cell>
        </row>
        <row r="1400">
          <cell r="A1400">
            <v>1425</v>
          </cell>
        </row>
        <row r="1401">
          <cell r="A1401">
            <v>1426</v>
          </cell>
        </row>
        <row r="1402">
          <cell r="A1402">
            <v>1431</v>
          </cell>
        </row>
        <row r="1403">
          <cell r="A1403">
            <v>1432</v>
          </cell>
        </row>
        <row r="1404">
          <cell r="A1404">
            <v>1433</v>
          </cell>
        </row>
        <row r="1405">
          <cell r="A1405">
            <v>1434</v>
          </cell>
        </row>
        <row r="1406">
          <cell r="A1406">
            <v>1435</v>
          </cell>
        </row>
        <row r="1407">
          <cell r="A1407">
            <v>1452</v>
          </cell>
        </row>
        <row r="1408">
          <cell r="A1408">
            <v>1453</v>
          </cell>
        </row>
        <row r="1409">
          <cell r="A1409">
            <v>1454</v>
          </cell>
        </row>
        <row r="1410">
          <cell r="A1410">
            <v>1455</v>
          </cell>
        </row>
        <row r="1411">
          <cell r="A1411">
            <v>1456</v>
          </cell>
        </row>
        <row r="1412">
          <cell r="A1412">
            <v>1457</v>
          </cell>
        </row>
        <row r="1413">
          <cell r="A1413">
            <v>1458</v>
          </cell>
        </row>
        <row r="1414">
          <cell r="A1414">
            <v>1459</v>
          </cell>
        </row>
        <row r="1415">
          <cell r="A1415">
            <v>1460</v>
          </cell>
        </row>
        <row r="1416">
          <cell r="A1416">
            <v>1461</v>
          </cell>
        </row>
        <row r="1417">
          <cell r="A1417">
            <v>1462</v>
          </cell>
        </row>
        <row r="1418">
          <cell r="A1418">
            <v>1463</v>
          </cell>
        </row>
        <row r="1419">
          <cell r="A1419">
            <v>1464</v>
          </cell>
        </row>
        <row r="1420">
          <cell r="A1420">
            <v>1465</v>
          </cell>
        </row>
        <row r="1421">
          <cell r="A1421">
            <v>1466</v>
          </cell>
        </row>
        <row r="1422">
          <cell r="A1422">
            <v>1467</v>
          </cell>
        </row>
        <row r="1423">
          <cell r="A1423">
            <v>1468</v>
          </cell>
        </row>
        <row r="1424">
          <cell r="A1424">
            <v>1469</v>
          </cell>
        </row>
        <row r="1425">
          <cell r="A1425">
            <v>1470</v>
          </cell>
        </row>
        <row r="1426">
          <cell r="A1426">
            <v>1488</v>
          </cell>
        </row>
        <row r="1427">
          <cell r="A1427">
            <v>1489</v>
          </cell>
        </row>
        <row r="1428">
          <cell r="A1428">
            <v>1497</v>
          </cell>
        </row>
        <row r="1429">
          <cell r="A1429">
            <v>1498</v>
          </cell>
        </row>
        <row r="1430">
          <cell r="A1430">
            <v>1499</v>
          </cell>
        </row>
        <row r="1431">
          <cell r="A1431">
            <v>1500</v>
          </cell>
        </row>
        <row r="1432">
          <cell r="A1432">
            <v>1504</v>
          </cell>
        </row>
        <row r="1433">
          <cell r="A1433">
            <v>1505</v>
          </cell>
        </row>
        <row r="1434">
          <cell r="A1434">
            <v>1506</v>
          </cell>
        </row>
        <row r="1435">
          <cell r="A1435">
            <v>1507</v>
          </cell>
        </row>
        <row r="1436">
          <cell r="A1436">
            <v>1508</v>
          </cell>
        </row>
        <row r="1437">
          <cell r="A1437">
            <v>1509</v>
          </cell>
        </row>
        <row r="1438">
          <cell r="A1438">
            <v>1510</v>
          </cell>
        </row>
        <row r="1439">
          <cell r="A1439">
            <v>1511</v>
          </cell>
        </row>
        <row r="1440">
          <cell r="A1440">
            <v>1512</v>
          </cell>
        </row>
        <row r="1441">
          <cell r="A1441">
            <v>1513</v>
          </cell>
        </row>
        <row r="1442">
          <cell r="A1442">
            <v>1514</v>
          </cell>
        </row>
        <row r="1443">
          <cell r="A1443">
            <v>1515</v>
          </cell>
        </row>
        <row r="1444">
          <cell r="A1444">
            <v>1516</v>
          </cell>
        </row>
        <row r="1445">
          <cell r="A1445">
            <v>1517</v>
          </cell>
        </row>
        <row r="1446">
          <cell r="A1446">
            <v>1518</v>
          </cell>
        </row>
        <row r="1447">
          <cell r="A1447">
            <v>1519</v>
          </cell>
        </row>
        <row r="1448">
          <cell r="A1448">
            <v>1520</v>
          </cell>
        </row>
        <row r="1449">
          <cell r="A1449">
            <v>1521</v>
          </cell>
        </row>
        <row r="1450">
          <cell r="A1450">
            <v>1522</v>
          </cell>
        </row>
        <row r="1451">
          <cell r="A1451">
            <v>1523</v>
          </cell>
        </row>
        <row r="1452">
          <cell r="A1452">
            <v>1524</v>
          </cell>
        </row>
        <row r="1453">
          <cell r="A1453">
            <v>1525</v>
          </cell>
        </row>
        <row r="1454">
          <cell r="A1454">
            <v>1526</v>
          </cell>
        </row>
        <row r="1455">
          <cell r="A1455">
            <v>1527</v>
          </cell>
        </row>
        <row r="1456">
          <cell r="A1456">
            <v>1528</v>
          </cell>
        </row>
        <row r="1457">
          <cell r="A1457">
            <v>1529</v>
          </cell>
        </row>
        <row r="1458">
          <cell r="A1458">
            <v>1530</v>
          </cell>
        </row>
        <row r="1459">
          <cell r="A1459">
            <v>1531</v>
          </cell>
        </row>
        <row r="1460">
          <cell r="A1460">
            <v>1532</v>
          </cell>
        </row>
        <row r="1461">
          <cell r="A1461">
            <v>1533</v>
          </cell>
        </row>
        <row r="1462">
          <cell r="A1462">
            <v>1534</v>
          </cell>
        </row>
        <row r="1463">
          <cell r="A1463">
            <v>1535</v>
          </cell>
        </row>
        <row r="1464">
          <cell r="A1464">
            <v>1536</v>
          </cell>
        </row>
        <row r="1465">
          <cell r="A1465">
            <v>1537</v>
          </cell>
        </row>
        <row r="1466">
          <cell r="A1466">
            <v>1538</v>
          </cell>
        </row>
        <row r="1467">
          <cell r="A1467">
            <v>1539</v>
          </cell>
        </row>
        <row r="1468">
          <cell r="A1468">
            <v>1540</v>
          </cell>
        </row>
        <row r="1469">
          <cell r="A1469">
            <v>1541</v>
          </cell>
        </row>
        <row r="1470">
          <cell r="A1470">
            <v>1542</v>
          </cell>
        </row>
        <row r="1471">
          <cell r="A1471">
            <v>1543</v>
          </cell>
        </row>
        <row r="1472">
          <cell r="A1472">
            <v>1544</v>
          </cell>
        </row>
        <row r="1473">
          <cell r="A1473">
            <v>1545</v>
          </cell>
        </row>
        <row r="1474">
          <cell r="A1474">
            <v>1546</v>
          </cell>
        </row>
        <row r="1475">
          <cell r="A1475">
            <v>1547</v>
          </cell>
        </row>
        <row r="1476">
          <cell r="A1476">
            <v>1548</v>
          </cell>
        </row>
        <row r="1477">
          <cell r="A1477">
            <v>1549</v>
          </cell>
        </row>
        <row r="1478">
          <cell r="A1478">
            <v>1550</v>
          </cell>
        </row>
        <row r="1479">
          <cell r="A1479">
            <v>5001</v>
          </cell>
        </row>
        <row r="1480">
          <cell r="A1480">
            <v>5002</v>
          </cell>
        </row>
        <row r="1481">
          <cell r="A1481">
            <v>5003</v>
          </cell>
        </row>
        <row r="1482">
          <cell r="A1482">
            <v>5004</v>
          </cell>
        </row>
        <row r="1483">
          <cell r="A1483">
            <v>5005</v>
          </cell>
        </row>
        <row r="1484">
          <cell r="A1484">
            <v>5006</v>
          </cell>
        </row>
        <row r="1485">
          <cell r="A1485">
            <v>5007</v>
          </cell>
        </row>
        <row r="1486">
          <cell r="A1486">
            <v>5008</v>
          </cell>
        </row>
        <row r="1487">
          <cell r="A1487">
            <v>6001</v>
          </cell>
        </row>
        <row r="1488">
          <cell r="A1488">
            <v>6002</v>
          </cell>
        </row>
        <row r="1489">
          <cell r="A1489">
            <v>6003</v>
          </cell>
        </row>
        <row r="1490">
          <cell r="A1490">
            <v>6004</v>
          </cell>
        </row>
        <row r="1491">
          <cell r="A1491">
            <v>6005</v>
          </cell>
        </row>
        <row r="1492">
          <cell r="A1492">
            <v>6006</v>
          </cell>
        </row>
        <row r="1493">
          <cell r="A1493">
            <v>6007</v>
          </cell>
        </row>
        <row r="1494">
          <cell r="A1494">
            <v>6008</v>
          </cell>
        </row>
        <row r="1495">
          <cell r="A1495">
            <v>6009</v>
          </cell>
        </row>
        <row r="1496">
          <cell r="A1496">
            <v>6010</v>
          </cell>
        </row>
        <row r="1497">
          <cell r="A1497">
            <v>6011</v>
          </cell>
        </row>
        <row r="1498">
          <cell r="A1498">
            <v>6012</v>
          </cell>
        </row>
        <row r="1499">
          <cell r="A1499">
            <v>6013</v>
          </cell>
        </row>
        <row r="1500">
          <cell r="A1500">
            <v>6014</v>
          </cell>
        </row>
        <row r="1501">
          <cell r="A1501">
            <v>6015</v>
          </cell>
        </row>
        <row r="1502">
          <cell r="A1502">
            <v>6016</v>
          </cell>
        </row>
        <row r="1503">
          <cell r="A1503">
            <v>6017</v>
          </cell>
        </row>
        <row r="1504">
          <cell r="A1504">
            <v>6018</v>
          </cell>
        </row>
        <row r="1505">
          <cell r="A1505">
            <v>6019</v>
          </cell>
        </row>
        <row r="1506">
          <cell r="A1506">
            <v>6020</v>
          </cell>
        </row>
        <row r="1507">
          <cell r="A1507">
            <v>8001</v>
          </cell>
        </row>
        <row r="1508">
          <cell r="A1508">
            <v>8002</v>
          </cell>
        </row>
        <row r="1509">
          <cell r="A1509">
            <v>8003</v>
          </cell>
        </row>
        <row r="1510">
          <cell r="A1510">
            <v>8004</v>
          </cell>
        </row>
        <row r="1511">
          <cell r="A1511">
            <v>8005</v>
          </cell>
        </row>
        <row r="1512">
          <cell r="A1512">
            <v>8006</v>
          </cell>
        </row>
        <row r="1513">
          <cell r="A1513">
            <v>8007</v>
          </cell>
        </row>
        <row r="1514">
          <cell r="A1514">
            <v>8008</v>
          </cell>
        </row>
        <row r="1515">
          <cell r="A1515">
            <v>8009</v>
          </cell>
        </row>
        <row r="1516">
          <cell r="A1516">
            <v>8010</v>
          </cell>
        </row>
        <row r="1517">
          <cell r="A1517">
            <v>8011</v>
          </cell>
        </row>
        <row r="1518">
          <cell r="A1518">
            <v>8012</v>
          </cell>
        </row>
        <row r="1519">
          <cell r="A1519">
            <v>8013</v>
          </cell>
        </row>
        <row r="1520">
          <cell r="A1520">
            <v>8014</v>
          </cell>
        </row>
        <row r="1521">
          <cell r="A1521">
            <v>8015</v>
          </cell>
        </row>
        <row r="1522">
          <cell r="A1522">
            <v>8016</v>
          </cell>
        </row>
        <row r="1523">
          <cell r="A1523">
            <v>8017</v>
          </cell>
        </row>
        <row r="1524">
          <cell r="A1524">
            <v>8018</v>
          </cell>
        </row>
        <row r="1525">
          <cell r="A1525">
            <v>8019</v>
          </cell>
        </row>
        <row r="1526">
          <cell r="A1526">
            <v>8020</v>
          </cell>
        </row>
        <row r="1527">
          <cell r="A1527">
            <v>8021</v>
          </cell>
        </row>
        <row r="1528">
          <cell r="A1528">
            <v>8022</v>
          </cell>
        </row>
        <row r="1529">
          <cell r="A1529">
            <v>8023</v>
          </cell>
        </row>
        <row r="1530">
          <cell r="A1530">
            <v>8024</v>
          </cell>
        </row>
        <row r="1531">
          <cell r="A1531">
            <v>8025</v>
          </cell>
        </row>
        <row r="1532">
          <cell r="A1532">
            <v>8026</v>
          </cell>
        </row>
        <row r="1533">
          <cell r="A1533">
            <v>8027</v>
          </cell>
        </row>
        <row r="1534">
          <cell r="A1534">
            <v>8028</v>
          </cell>
        </row>
        <row r="1535">
          <cell r="A1535">
            <v>8029</v>
          </cell>
        </row>
        <row r="1536">
          <cell r="A1536">
            <v>8030</v>
          </cell>
        </row>
        <row r="1537">
          <cell r="A1537">
            <v>8031</v>
          </cell>
        </row>
        <row r="1538">
          <cell r="A1538">
            <v>8032</v>
          </cell>
        </row>
        <row r="1539">
          <cell r="A1539">
            <v>8033</v>
          </cell>
        </row>
        <row r="1540">
          <cell r="A1540">
            <v>8034</v>
          </cell>
        </row>
        <row r="1541">
          <cell r="A1541">
            <v>8035</v>
          </cell>
        </row>
        <row r="1542">
          <cell r="A1542">
            <v>8036</v>
          </cell>
        </row>
        <row r="1543">
          <cell r="A1543">
            <v>8037</v>
          </cell>
        </row>
        <row r="1544">
          <cell r="A1544">
            <v>8038</v>
          </cell>
        </row>
        <row r="1545">
          <cell r="A1545">
            <v>8039</v>
          </cell>
        </row>
        <row r="1546">
          <cell r="A1546">
            <v>8040</v>
          </cell>
        </row>
        <row r="1547">
          <cell r="A1547">
            <v>8041</v>
          </cell>
        </row>
        <row r="1548">
          <cell r="A1548">
            <v>8042</v>
          </cell>
        </row>
        <row r="1549">
          <cell r="A1549">
            <v>8043</v>
          </cell>
        </row>
        <row r="1550">
          <cell r="A1550">
            <v>8044</v>
          </cell>
        </row>
        <row r="1551">
          <cell r="A1551">
            <v>8045</v>
          </cell>
        </row>
        <row r="1552">
          <cell r="A1552">
            <v>8046</v>
          </cell>
        </row>
        <row r="1553">
          <cell r="A1553">
            <v>8047</v>
          </cell>
        </row>
        <row r="1554">
          <cell r="A1554">
            <v>8048</v>
          </cell>
        </row>
        <row r="1555">
          <cell r="A1555">
            <v>8049</v>
          </cell>
        </row>
        <row r="1556">
          <cell r="A1556">
            <v>8050</v>
          </cell>
        </row>
        <row r="1557">
          <cell r="A1557">
            <v>8051</v>
          </cell>
        </row>
        <row r="1558">
          <cell r="A1558">
            <v>8052</v>
          </cell>
        </row>
        <row r="1559">
          <cell r="A1559">
            <v>8053</v>
          </cell>
        </row>
        <row r="1560">
          <cell r="A1560">
            <v>8054</v>
          </cell>
        </row>
        <row r="1561">
          <cell r="A1561">
            <v>8055</v>
          </cell>
        </row>
        <row r="1562">
          <cell r="A1562">
            <v>8056</v>
          </cell>
        </row>
        <row r="1563">
          <cell r="A1563">
            <v>8057</v>
          </cell>
        </row>
        <row r="1564">
          <cell r="A1564">
            <v>8058</v>
          </cell>
        </row>
        <row r="1565">
          <cell r="A1565">
            <v>8059</v>
          </cell>
        </row>
        <row r="1566">
          <cell r="A1566">
            <v>8060</v>
          </cell>
        </row>
        <row r="1567">
          <cell r="A1567">
            <v>8061</v>
          </cell>
        </row>
        <row r="1568">
          <cell r="A1568">
            <v>8062</v>
          </cell>
        </row>
        <row r="1569">
          <cell r="A1569">
            <v>8063</v>
          </cell>
        </row>
        <row r="1570">
          <cell r="A1570">
            <v>8064</v>
          </cell>
        </row>
        <row r="1571">
          <cell r="A1571">
            <v>8065</v>
          </cell>
        </row>
        <row r="1572">
          <cell r="A1572">
            <v>8066</v>
          </cell>
        </row>
        <row r="1573">
          <cell r="A1573">
            <v>8067</v>
          </cell>
        </row>
        <row r="1574">
          <cell r="A1574">
            <v>8068</v>
          </cell>
        </row>
        <row r="1575">
          <cell r="A1575">
            <v>8069</v>
          </cell>
        </row>
        <row r="1576">
          <cell r="A1576">
            <v>8070</v>
          </cell>
        </row>
        <row r="1577">
          <cell r="A1577">
            <v>8071</v>
          </cell>
        </row>
        <row r="1578">
          <cell r="A1578">
            <v>8072</v>
          </cell>
        </row>
        <row r="1579">
          <cell r="A1579">
            <v>8073</v>
          </cell>
        </row>
        <row r="1580">
          <cell r="A1580">
            <v>8074</v>
          </cell>
        </row>
        <row r="1581">
          <cell r="A1581">
            <v>8075</v>
          </cell>
        </row>
        <row r="1582">
          <cell r="A1582">
            <v>8076</v>
          </cell>
        </row>
        <row r="1583">
          <cell r="A1583">
            <v>8077</v>
          </cell>
        </row>
        <row r="1584">
          <cell r="A1584">
            <v>8078</v>
          </cell>
        </row>
        <row r="1585">
          <cell r="A1585">
            <v>8079</v>
          </cell>
        </row>
        <row r="1586">
          <cell r="A1586">
            <v>8080</v>
          </cell>
        </row>
        <row r="1587">
          <cell r="A1587">
            <v>8081</v>
          </cell>
        </row>
        <row r="1588">
          <cell r="A1588">
            <v>8082</v>
          </cell>
        </row>
        <row r="1589">
          <cell r="A1589">
            <v>8083</v>
          </cell>
        </row>
        <row r="1590">
          <cell r="A1590">
            <v>8084</v>
          </cell>
        </row>
        <row r="1591">
          <cell r="A1591">
            <v>8087</v>
          </cell>
        </row>
        <row r="1592">
          <cell r="A1592">
            <v>8088</v>
          </cell>
        </row>
        <row r="1593">
          <cell r="A1593">
            <v>8089</v>
          </cell>
        </row>
        <row r="1594">
          <cell r="A1594">
            <v>8090</v>
          </cell>
        </row>
        <row r="1595">
          <cell r="A1595">
            <v>8095</v>
          </cell>
        </row>
        <row r="1596">
          <cell r="A1596">
            <v>8096</v>
          </cell>
        </row>
        <row r="1597">
          <cell r="A1597">
            <v>8097</v>
          </cell>
        </row>
        <row r="1598">
          <cell r="A1598">
            <v>8098</v>
          </cell>
        </row>
        <row r="1599">
          <cell r="A1599">
            <v>8099</v>
          </cell>
        </row>
        <row r="1600">
          <cell r="A1600">
            <v>9001</v>
          </cell>
        </row>
        <row r="1601">
          <cell r="A1601">
            <v>9002</v>
          </cell>
        </row>
        <row r="1602">
          <cell r="A1602">
            <v>9003</v>
          </cell>
        </row>
        <row r="1603">
          <cell r="A1603">
            <v>9004</v>
          </cell>
        </row>
        <row r="1604">
          <cell r="A1604">
            <v>10001</v>
          </cell>
        </row>
        <row r="1605">
          <cell r="A1605">
            <v>10002</v>
          </cell>
        </row>
        <row r="1606">
          <cell r="A1606">
            <v>10003</v>
          </cell>
        </row>
        <row r="1607">
          <cell r="A1607">
            <v>10004</v>
          </cell>
        </row>
        <row r="1608">
          <cell r="A1608">
            <v>10005</v>
          </cell>
        </row>
        <row r="1609">
          <cell r="A1609">
            <v>10006</v>
          </cell>
        </row>
        <row r="1610">
          <cell r="A1610">
            <v>10007</v>
          </cell>
        </row>
        <row r="1611">
          <cell r="A1611">
            <v>10008</v>
          </cell>
        </row>
        <row r="1612">
          <cell r="A1612">
            <v>10009</v>
          </cell>
        </row>
        <row r="1613">
          <cell r="A1613">
            <v>10010</v>
          </cell>
        </row>
        <row r="1614">
          <cell r="A1614">
            <v>10011</v>
          </cell>
        </row>
        <row r="1615">
          <cell r="A1615">
            <v>10012</v>
          </cell>
        </row>
      </sheetData>
      <sheetData sheetId="4"/>
      <sheetData sheetId="5"/>
      <sheetData sheetId="6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efinitions"/>
      <sheetName val="skilldef"/>
    </sheetNames>
    <sheetDataSet>
      <sheetData sheetId="0"/>
      <sheetData sheetId="1">
        <row r="1">
          <cell r="A1" t="str">
            <v>effect</v>
          </cell>
          <cell r="C1" t="str">
            <v>target</v>
          </cell>
        </row>
        <row r="2">
          <cell r="A2" t="str">
            <v>rush</v>
          </cell>
          <cell r="B2" t="str">
            <v>連続攻撃</v>
          </cell>
          <cell r="C2" t="str">
            <v>enemy_one</v>
          </cell>
          <cell r="D2" t="str">
            <v>敵単体に</v>
          </cell>
        </row>
        <row r="3">
          <cell r="A3" t="str">
            <v>critical</v>
          </cell>
          <cell r="B3" t="str">
            <v>大攻撃</v>
          </cell>
          <cell r="C3" t="str">
            <v>enemy_all</v>
          </cell>
          <cell r="D3" t="str">
            <v>敵全体に</v>
          </cell>
        </row>
        <row r="4">
          <cell r="A4" t="str">
            <v>spread</v>
          </cell>
          <cell r="B4" t="str">
            <v>全体攻撃</v>
          </cell>
          <cell r="C4" t="str">
            <v>enemy_red</v>
          </cell>
          <cell r="D4" t="str">
            <v>赤の敵に</v>
          </cell>
        </row>
        <row r="5">
          <cell r="A5" t="str">
            <v>kamikaze</v>
          </cell>
          <cell r="B5" t="str">
            <v>自爆</v>
          </cell>
          <cell r="C5" t="str">
            <v>enemy_green</v>
          </cell>
          <cell r="D5" t="str">
            <v>緑の敵に</v>
          </cell>
        </row>
        <row r="6">
          <cell r="A6" t="str">
            <v>damage_gravity</v>
          </cell>
          <cell r="B6" t="str">
            <v>割合ダメージ</v>
          </cell>
          <cell r="C6" t="str">
            <v>enemy_blue</v>
          </cell>
          <cell r="D6" t="str">
            <v>青の敵に</v>
          </cell>
        </row>
        <row r="7">
          <cell r="A7" t="str">
            <v>damage_hp</v>
          </cell>
          <cell r="B7" t="str">
            <v>HP準拠ダメージ</v>
          </cell>
          <cell r="C7" t="str">
            <v>enemy_yellow</v>
          </cell>
          <cell r="D7" t="str">
            <v>黄の敵に</v>
          </cell>
        </row>
        <row r="8">
          <cell r="A8" t="str">
            <v>damage_anti_color</v>
          </cell>
          <cell r="B8" t="str">
            <v>属性キラー</v>
          </cell>
          <cell r="C8" t="str">
            <v>unit_one</v>
          </cell>
          <cell r="D8" t="str">
            <v>味方単体に</v>
          </cell>
        </row>
        <row r="9">
          <cell r="A9" t="str">
            <v>damage_anti_tribe</v>
          </cell>
          <cell r="B9" t="str">
            <v>種族キラー</v>
          </cell>
          <cell r="C9" t="str">
            <v>unit_all</v>
          </cell>
          <cell r="D9" t="str">
            <v>味方全体に</v>
          </cell>
        </row>
        <row r="10">
          <cell r="A10" t="str">
            <v>damage_anti_type</v>
          </cell>
          <cell r="B10" t="str">
            <v>タイプキラー</v>
          </cell>
          <cell r="C10" t="str">
            <v>unit_red</v>
          </cell>
          <cell r="D10" t="str">
            <v>赤の味方に</v>
          </cell>
        </row>
        <row r="11">
          <cell r="A11" t="str">
            <v>damage_status_break</v>
          </cell>
          <cell r="B11" t="str">
            <v>直接ダメージ＋ステータス解除</v>
          </cell>
          <cell r="C11" t="str">
            <v>unit_green</v>
          </cell>
          <cell r="D11" t="str">
            <v>緑の味方に</v>
          </cell>
        </row>
        <row r="12">
          <cell r="A12" t="str">
            <v>charge</v>
          </cell>
          <cell r="B12" t="str">
            <v>溜め</v>
          </cell>
          <cell r="C12" t="str">
            <v>unit_blue</v>
          </cell>
          <cell r="D12" t="str">
            <v>青の味方に</v>
          </cell>
        </row>
        <row r="13">
          <cell r="A13" t="str">
            <v>enhance_enemy</v>
          </cell>
          <cell r="B13" t="str">
            <v>ステータス強化</v>
          </cell>
          <cell r="C13" t="str">
            <v>unit_yellow</v>
          </cell>
          <cell r="D13" t="str">
            <v>黄の味方に</v>
          </cell>
        </row>
        <row r="14">
          <cell r="A14" t="str">
            <v>freq_turn</v>
          </cell>
          <cell r="B14" t="str">
            <v>攻撃頻度がUP</v>
          </cell>
          <cell r="C14" t="str">
            <v>unit_attack</v>
          </cell>
          <cell r="D14" t="str">
            <v>攻撃タイプの味方に</v>
          </cell>
        </row>
        <row r="15">
          <cell r="A15" t="str">
            <v>tolerance</v>
          </cell>
          <cell r="B15" t="str">
            <v>状態異常耐性</v>
          </cell>
          <cell r="C15" t="str">
            <v>unit_balance</v>
          </cell>
          <cell r="D15" t="str">
            <v>バランスタイプの味方に</v>
          </cell>
        </row>
        <row r="16">
          <cell r="A16" t="str">
            <v>tolerance</v>
          </cell>
          <cell r="B16" t="str">
            <v>状態異常予防</v>
          </cell>
          <cell r="C16" t="str">
            <v>unit_hp</v>
          </cell>
          <cell r="D16" t="str">
            <v>体力タイプの味方に</v>
          </cell>
        </row>
        <row r="17">
          <cell r="A17" t="str">
            <v>enemy_counter</v>
          </cell>
          <cell r="B17" t="str">
            <v>カウンター</v>
          </cell>
          <cell r="C17" t="str">
            <v>unit_heal</v>
          </cell>
          <cell r="D17" t="str">
            <v>回復タイプの味方に</v>
          </cell>
        </row>
        <row r="18">
          <cell r="A18" t="str">
            <v>barrier_attack_skill_color</v>
          </cell>
          <cell r="B18" t="str">
            <v>一定ターン特定属性のユニットの攻撃スキルダメージを軽減／無効／反射</v>
          </cell>
          <cell r="C18" t="str">
            <v>unit_human</v>
          </cell>
          <cell r="D18" t="str">
            <v>ヒューマンの味方に</v>
          </cell>
        </row>
        <row r="19">
          <cell r="A19" t="str">
            <v>barrier_attack_skill_tribe</v>
          </cell>
          <cell r="B19" t="str">
            <v>一定ターン特定種族のユニットの攻撃スキルダメージを軽減／無効／反射</v>
          </cell>
          <cell r="C19" t="str">
            <v>unit_dragon</v>
          </cell>
          <cell r="D19" t="str">
            <v>ドラゴンの味方に</v>
          </cell>
        </row>
        <row r="20">
          <cell r="A20" t="str">
            <v>barrier_attack_skill_type</v>
          </cell>
          <cell r="B20" t="str">
            <v>一定ターン特定タイプのユニットの攻撃スキルダメージを軽減／無効／反射</v>
          </cell>
          <cell r="C20" t="str">
            <v>unit_animal</v>
          </cell>
          <cell r="D20" t="str">
            <v>アニマルの味方に</v>
          </cell>
        </row>
        <row r="21">
          <cell r="A21" t="str">
            <v>degrade_unit</v>
          </cell>
          <cell r="B21" t="str">
            <v>ステータスDOWN</v>
          </cell>
          <cell r="C21" t="str">
            <v>unit_robo</v>
          </cell>
          <cell r="D21" t="str">
            <v>ロボットの味方に</v>
          </cell>
        </row>
        <row r="22">
          <cell r="A22" t="str">
            <v>sleep</v>
          </cell>
          <cell r="B22" t="str">
            <v>スリープ</v>
          </cell>
          <cell r="C22" t="str">
            <v>unit_god</v>
          </cell>
          <cell r="D22" t="str">
            <v>ゴッドの味方に</v>
          </cell>
        </row>
        <row r="23">
          <cell r="A23" t="str">
            <v>hungup</v>
          </cell>
          <cell r="B23" t="str">
            <v>ハングアップ</v>
          </cell>
          <cell r="C23" t="str">
            <v>unit_other</v>
          </cell>
          <cell r="D23" t="str">
            <v>それ以外の味方に</v>
          </cell>
        </row>
        <row r="24">
          <cell r="A24" t="str">
            <v>virus</v>
          </cell>
          <cell r="B24" t="str">
            <v>ウィルス</v>
          </cell>
          <cell r="C24" t="str">
            <v>unit_right</v>
          </cell>
          <cell r="D24" t="str">
            <v>右の味方に</v>
          </cell>
        </row>
        <row r="25">
          <cell r="A25" t="str">
            <v>time_limit</v>
          </cell>
          <cell r="B25" t="str">
            <v>タップ制限時間</v>
          </cell>
          <cell r="C25" t="str">
            <v>unit_left</v>
          </cell>
          <cell r="D25" t="str">
            <v>左の味方に</v>
          </cell>
        </row>
        <row r="26">
          <cell r="A26" t="str">
            <v>dis_heart</v>
          </cell>
          <cell r="B26" t="str">
            <v>ディスハート</v>
          </cell>
          <cell r="C26" t="str">
            <v>unit_both</v>
          </cell>
          <cell r="D26" t="str">
            <v>両方の味方に</v>
          </cell>
        </row>
        <row r="27">
          <cell r="A27" t="str">
            <v>dis_panel</v>
          </cell>
          <cell r="B27" t="str">
            <v>ディスパネル</v>
          </cell>
          <cell r="C27" t="str">
            <v>player</v>
          </cell>
          <cell r="D27" t="str">
            <v>プレイヤーに</v>
          </cell>
        </row>
        <row r="28">
          <cell r="A28" t="str">
            <v>dark</v>
          </cell>
          <cell r="B28" t="str">
            <v>暗黒</v>
          </cell>
          <cell r="C28" t="str">
            <v>myself</v>
          </cell>
          <cell r="D28" t="str">
            <v>自分自身に</v>
          </cell>
        </row>
        <row r="29">
          <cell r="A29" t="str">
            <v>degrade_crash</v>
          </cell>
          <cell r="B29" t="str">
            <v>クラッシュパネル生成条件増加</v>
          </cell>
          <cell r="C29" t="str">
            <v>random_block</v>
          </cell>
          <cell r="D29" t="str">
            <v>ランダムなパネルを</v>
          </cell>
        </row>
        <row r="30">
          <cell r="A30" t="str">
            <v>change_block</v>
          </cell>
          <cell r="B30" t="str">
            <v>ブロック変換</v>
          </cell>
          <cell r="C30" t="str">
            <v>block_red</v>
          </cell>
          <cell r="D30" t="str">
            <v>赤パネルを</v>
          </cell>
        </row>
        <row r="31">
          <cell r="A31" t="str">
            <v>drop_block</v>
          </cell>
          <cell r="B31" t="str">
            <v>特定ブロックの割合ドロップ</v>
          </cell>
          <cell r="C31" t="str">
            <v>block_green</v>
          </cell>
          <cell r="D31" t="str">
            <v>緑パネルを</v>
          </cell>
        </row>
        <row r="32">
          <cell r="A32" t="str">
            <v>heal</v>
          </cell>
          <cell r="B32" t="str">
            <v>回復</v>
          </cell>
          <cell r="C32" t="str">
            <v>block_blue</v>
          </cell>
          <cell r="D32" t="str">
            <v>青パネルを</v>
          </cell>
        </row>
        <row r="33">
          <cell r="A33" t="str">
            <v>fix_speed</v>
          </cell>
          <cell r="B33" t="str">
            <v>行動値設定</v>
          </cell>
          <cell r="C33" t="str">
            <v>block_yellow</v>
          </cell>
          <cell r="D33" t="str">
            <v>黄色パネルを</v>
          </cell>
        </row>
        <row r="34">
          <cell r="A34" t="str">
            <v>nothing</v>
          </cell>
          <cell r="B34" t="str">
            <v>何もしない</v>
          </cell>
          <cell r="C34" t="str">
            <v>block_heart</v>
          </cell>
          <cell r="D34" t="str">
            <v>ハートパネルを</v>
          </cell>
        </row>
        <row r="35">
          <cell r="A35" t="str">
            <v>degrade_fever</v>
          </cell>
          <cell r="B35" t="str">
            <v>フィーバーゲージ減少</v>
          </cell>
        </row>
      </sheetData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1.vml"/><Relationship Id="rId2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2.vml"/><Relationship Id="rId2" Type="http://schemas.openxmlformats.org/officeDocument/2006/relationships/comments" Target="../comments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3.vml"/><Relationship Id="rId2" Type="http://schemas.openxmlformats.org/officeDocument/2006/relationships/comments" Target="../comments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4.vml"/><Relationship Id="rId2" Type="http://schemas.openxmlformats.org/officeDocument/2006/relationships/comments" Target="../comments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5.vml"/><Relationship Id="rId2" Type="http://schemas.openxmlformats.org/officeDocument/2006/relationships/comments" Target="../comments5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6.vml"/><Relationship Id="rId2" Type="http://schemas.openxmlformats.org/officeDocument/2006/relationships/comments" Target="../comments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 enableFormatConditionsCalculation="0"/>
  <dimension ref="A1:AD13"/>
  <sheetViews>
    <sheetView workbookViewId="0">
      <selection activeCell="C16" sqref="C16"/>
    </sheetView>
  </sheetViews>
  <sheetFormatPr baseColWidth="12" defaultRowHeight="15" x14ac:dyDescent="0.15"/>
  <cols>
    <col min="2" max="2" width="14.83203125" bestFit="1" customWidth="1"/>
    <col min="5" max="5" width="26.83203125" bestFit="1" customWidth="1"/>
    <col min="6" max="6" width="22.1640625" bestFit="1" customWidth="1"/>
  </cols>
  <sheetData>
    <row r="1" spans="1:30" x14ac:dyDescent="0.15">
      <c r="A1" s="56" t="s">
        <v>129</v>
      </c>
      <c r="B1" s="51" t="s">
        <v>100</v>
      </c>
      <c r="C1" s="51" t="s">
        <v>101</v>
      </c>
      <c r="D1" s="51" t="s">
        <v>102</v>
      </c>
      <c r="E1" s="51" t="s">
        <v>103</v>
      </c>
      <c r="F1" s="51" t="s">
        <v>104</v>
      </c>
      <c r="G1" s="51" t="s">
        <v>105</v>
      </c>
      <c r="H1" s="51"/>
      <c r="I1" s="51"/>
      <c r="J1" s="51"/>
      <c r="K1" s="51"/>
      <c r="L1" s="52"/>
      <c r="M1" s="52"/>
      <c r="N1" s="52"/>
      <c r="O1" s="52"/>
      <c r="P1" s="52"/>
      <c r="Q1" s="52"/>
      <c r="R1" s="52"/>
      <c r="S1" s="52"/>
      <c r="T1" s="52"/>
      <c r="U1" s="52"/>
      <c r="V1" s="52"/>
      <c r="W1" s="52"/>
      <c r="X1" s="52"/>
      <c r="Y1" s="52"/>
      <c r="Z1" s="52"/>
      <c r="AA1" s="52"/>
      <c r="AB1" s="52"/>
      <c r="AC1" s="52"/>
      <c r="AD1" s="52"/>
    </row>
    <row r="2" spans="1:30" x14ac:dyDescent="0.15">
      <c r="A2" s="57" t="s">
        <v>307</v>
      </c>
      <c r="B2" s="53" t="s">
        <v>106</v>
      </c>
      <c r="C2" s="112" t="s">
        <v>292</v>
      </c>
      <c r="D2" s="53" t="s">
        <v>107</v>
      </c>
      <c r="E2" s="52" t="str">
        <f>B2&amp;C2&amp;D2</f>
        <v>floors_39012_5.tmp</v>
      </c>
      <c r="F2" s="53" t="s">
        <v>108</v>
      </c>
      <c r="G2" s="54" t="s">
        <v>0</v>
      </c>
      <c r="H2" s="54" t="s">
        <v>1</v>
      </c>
      <c r="I2" s="54" t="s">
        <v>13</v>
      </c>
      <c r="J2" s="54" t="s">
        <v>14</v>
      </c>
      <c r="K2" s="54" t="s">
        <v>15</v>
      </c>
      <c r="L2" s="53"/>
      <c r="M2" s="53"/>
      <c r="N2" s="53"/>
      <c r="O2" s="53"/>
      <c r="P2" s="53"/>
      <c r="Q2" s="53"/>
      <c r="R2" s="53"/>
      <c r="S2" s="53"/>
      <c r="T2" s="53"/>
      <c r="U2" s="53"/>
      <c r="V2" s="53"/>
      <c r="W2" s="53"/>
      <c r="X2" s="53"/>
      <c r="Y2" s="53"/>
      <c r="Z2" s="53"/>
      <c r="AA2" s="53"/>
      <c r="AB2" s="53"/>
      <c r="AC2" s="53"/>
      <c r="AD2" s="53"/>
    </row>
    <row r="3" spans="1:30" x14ac:dyDescent="0.15">
      <c r="A3" s="57" t="s">
        <v>307</v>
      </c>
      <c r="B3" s="53" t="s">
        <v>109</v>
      </c>
      <c r="C3" s="112" t="s">
        <v>292</v>
      </c>
      <c r="D3" s="53" t="s">
        <v>107</v>
      </c>
      <c r="E3" s="52" t="str">
        <f>B3&amp;C3&amp;D3</f>
        <v>enemy_habitats_39012_5.tmp</v>
      </c>
      <c r="F3" s="53" t="s">
        <v>110</v>
      </c>
      <c r="G3" s="54" t="s">
        <v>0</v>
      </c>
      <c r="H3" s="54" t="s">
        <v>1</v>
      </c>
      <c r="I3" s="54" t="s">
        <v>13</v>
      </c>
      <c r="J3" s="54" t="s">
        <v>2</v>
      </c>
      <c r="K3" s="54" t="s">
        <v>3</v>
      </c>
      <c r="L3" s="54" t="s">
        <v>47</v>
      </c>
      <c r="M3" s="54" t="s">
        <v>49</v>
      </c>
      <c r="N3" s="54" t="s">
        <v>51</v>
      </c>
      <c r="O3" s="54" t="s">
        <v>22</v>
      </c>
      <c r="P3" s="54" t="s">
        <v>5</v>
      </c>
      <c r="Q3" s="54" t="s">
        <v>6</v>
      </c>
      <c r="R3" s="54" t="s">
        <v>7</v>
      </c>
      <c r="S3" s="54" t="s">
        <v>8</v>
      </c>
      <c r="T3" s="54" t="s">
        <v>9</v>
      </c>
      <c r="U3" s="54" t="s">
        <v>10</v>
      </c>
      <c r="V3" s="54" t="s">
        <v>11</v>
      </c>
      <c r="W3" s="54" t="s">
        <v>12</v>
      </c>
      <c r="X3" s="54" t="s">
        <v>37</v>
      </c>
      <c r="Y3" s="54" t="s">
        <v>39</v>
      </c>
      <c r="Z3" s="54" t="s">
        <v>41</v>
      </c>
      <c r="AA3" s="54" t="s">
        <v>43</v>
      </c>
      <c r="AB3" s="54" t="s">
        <v>45</v>
      </c>
      <c r="AC3" s="54" t="s">
        <v>54</v>
      </c>
      <c r="AD3" s="54" t="s">
        <v>176</v>
      </c>
    </row>
    <row r="4" spans="1:30" x14ac:dyDescent="0.15">
      <c r="A4" s="57" t="s">
        <v>307</v>
      </c>
      <c r="B4" s="53" t="s">
        <v>111</v>
      </c>
      <c r="C4" s="112" t="s">
        <v>292</v>
      </c>
      <c r="D4" s="53" t="s">
        <v>107</v>
      </c>
      <c r="E4" s="52" t="str">
        <f>B4&amp;C4&amp;D4</f>
        <v>enemy_habitat_S_39012_5.tmp</v>
      </c>
      <c r="F4" s="53" t="s">
        <v>112</v>
      </c>
      <c r="G4" s="54" t="s">
        <v>0</v>
      </c>
      <c r="H4" s="54" t="s">
        <v>1</v>
      </c>
      <c r="I4" s="54" t="s">
        <v>13</v>
      </c>
      <c r="J4" s="54" t="s">
        <v>54</v>
      </c>
      <c r="K4" s="54" t="s">
        <v>55</v>
      </c>
      <c r="L4" s="54" t="s">
        <v>56</v>
      </c>
      <c r="M4" s="54" t="s">
        <v>57</v>
      </c>
      <c r="N4" s="54" t="s">
        <v>58</v>
      </c>
      <c r="O4" s="54" t="s">
        <v>59</v>
      </c>
      <c r="P4" s="54" t="s">
        <v>48</v>
      </c>
      <c r="Q4" s="54" t="s">
        <v>50</v>
      </c>
      <c r="R4" s="54" t="s">
        <v>52</v>
      </c>
      <c r="S4" s="53"/>
      <c r="T4" s="53"/>
      <c r="U4" s="53"/>
      <c r="V4" s="53"/>
      <c r="W4" s="53"/>
      <c r="X4" s="53"/>
      <c r="Y4" s="53"/>
      <c r="Z4" s="53"/>
      <c r="AA4" s="53"/>
      <c r="AB4" s="53"/>
      <c r="AC4" s="53"/>
      <c r="AD4" s="53"/>
    </row>
    <row r="5" spans="1:30" x14ac:dyDescent="0.15">
      <c r="A5" s="57" t="s">
        <v>307</v>
      </c>
      <c r="B5" s="53" t="s">
        <v>113</v>
      </c>
      <c r="C5" s="112" t="s">
        <v>292</v>
      </c>
      <c r="D5" s="53" t="s">
        <v>107</v>
      </c>
      <c r="E5" s="52" t="str">
        <f>B5&amp;C5&amp;D5</f>
        <v>enemy_skill_sets_39012_5.tmp</v>
      </c>
      <c r="F5" s="53" t="s">
        <v>114</v>
      </c>
      <c r="G5" s="55" t="s">
        <v>22</v>
      </c>
      <c r="H5" s="55" t="s">
        <v>99</v>
      </c>
      <c r="I5" s="55" t="s">
        <v>94</v>
      </c>
      <c r="J5" s="53"/>
      <c r="K5" s="53"/>
      <c r="L5" s="53"/>
      <c r="M5" s="53"/>
      <c r="N5" s="53"/>
      <c r="O5" s="53"/>
      <c r="P5" s="53"/>
      <c r="Q5" s="53"/>
      <c r="R5" s="53"/>
      <c r="S5" s="53"/>
      <c r="T5" s="53"/>
      <c r="U5" s="53"/>
      <c r="V5" s="53"/>
      <c r="W5" s="53"/>
      <c r="X5" s="53"/>
      <c r="Y5" s="53"/>
      <c r="Z5" s="53"/>
      <c r="AA5" s="53"/>
      <c r="AB5" s="53"/>
      <c r="AC5" s="53"/>
      <c r="AD5" s="53"/>
    </row>
    <row r="6" spans="1:30" x14ac:dyDescent="0.15">
      <c r="A6" s="57" t="s">
        <v>307</v>
      </c>
      <c r="B6" s="53" t="s">
        <v>115</v>
      </c>
      <c r="C6" s="112" t="s">
        <v>292</v>
      </c>
      <c r="D6" s="53" t="s">
        <v>116</v>
      </c>
      <c r="E6" s="52" t="str">
        <f t="shared" ref="E6:E10" si="0">B6&amp;C6&amp;D6</f>
        <v>enemy_skills_tmp_39012_5.tmp</v>
      </c>
      <c r="F6" s="53" t="s">
        <v>90</v>
      </c>
      <c r="G6" s="54" t="s">
        <v>79</v>
      </c>
      <c r="H6" s="54" t="s">
        <v>80</v>
      </c>
      <c r="I6" s="54" t="s">
        <v>81</v>
      </c>
      <c r="J6" s="53"/>
      <c r="K6" s="53"/>
      <c r="L6" s="53"/>
      <c r="M6" s="53"/>
      <c r="N6" s="53"/>
      <c r="O6" s="53"/>
      <c r="P6" s="53"/>
      <c r="Q6" s="53"/>
      <c r="R6" s="53"/>
      <c r="S6" s="53"/>
      <c r="T6" s="53"/>
      <c r="U6" s="53"/>
      <c r="V6" s="53"/>
      <c r="W6" s="53"/>
      <c r="X6" s="53"/>
      <c r="Y6" s="53"/>
      <c r="Z6" s="53"/>
      <c r="AA6" s="53"/>
      <c r="AB6" s="53"/>
      <c r="AC6" s="53"/>
      <c r="AD6" s="53"/>
    </row>
    <row r="7" spans="1:30" x14ac:dyDescent="0.15">
      <c r="A7" s="57" t="s">
        <v>307</v>
      </c>
      <c r="B7" s="53" t="s">
        <v>117</v>
      </c>
      <c r="C7" s="112" t="s">
        <v>292</v>
      </c>
      <c r="D7" s="53" t="s">
        <v>107</v>
      </c>
      <c r="E7" s="52" t="str">
        <f>B7&amp;C7&amp;D7</f>
        <v>enemy_skills_i18n_39012_5.tmp</v>
      </c>
      <c r="F7" s="53" t="s">
        <v>118</v>
      </c>
      <c r="G7" s="54" t="s">
        <v>79</v>
      </c>
      <c r="H7" s="54" t="s">
        <v>91</v>
      </c>
      <c r="I7" s="54" t="s">
        <v>92</v>
      </c>
      <c r="J7" s="54" t="s">
        <v>93</v>
      </c>
      <c r="K7" s="53"/>
      <c r="L7" s="53"/>
      <c r="M7" s="53"/>
      <c r="N7" s="53"/>
      <c r="O7" s="53"/>
      <c r="P7" s="53"/>
      <c r="Q7" s="53"/>
      <c r="R7" s="53"/>
      <c r="S7" s="53"/>
      <c r="T7" s="53"/>
      <c r="U7" s="53"/>
      <c r="V7" s="53"/>
      <c r="W7" s="53"/>
      <c r="X7" s="53"/>
      <c r="Y7" s="53"/>
      <c r="Z7" s="53"/>
      <c r="AA7" s="53"/>
      <c r="AB7" s="53"/>
      <c r="AC7" s="53"/>
      <c r="AD7" s="53"/>
    </row>
    <row r="8" spans="1:30" x14ac:dyDescent="0.15">
      <c r="A8" s="57" t="s">
        <v>307</v>
      </c>
      <c r="B8" s="53" t="s">
        <v>119</v>
      </c>
      <c r="C8" s="112" t="s">
        <v>292</v>
      </c>
      <c r="D8" s="53" t="s">
        <v>120</v>
      </c>
      <c r="E8" s="52" t="str">
        <f t="shared" si="0"/>
        <v>enemy_skill_triggers_39012_5.tmp</v>
      </c>
      <c r="F8" s="53" t="s">
        <v>121</v>
      </c>
      <c r="G8" s="54" t="s">
        <v>94</v>
      </c>
      <c r="H8" s="54" t="s">
        <v>95</v>
      </c>
      <c r="I8" s="54" t="s">
        <v>96</v>
      </c>
      <c r="J8" s="54" t="s">
        <v>97</v>
      </c>
      <c r="K8" s="54" t="s">
        <v>122</v>
      </c>
      <c r="L8" s="54" t="s">
        <v>98</v>
      </c>
      <c r="M8" s="54" t="s">
        <v>123</v>
      </c>
      <c r="N8" s="54" t="s">
        <v>124</v>
      </c>
      <c r="O8" s="54" t="s">
        <v>125</v>
      </c>
      <c r="P8" s="54" t="s">
        <v>67</v>
      </c>
      <c r="Q8" s="53"/>
      <c r="R8" s="53"/>
      <c r="S8" s="53"/>
      <c r="T8" s="53"/>
      <c r="U8" s="53"/>
      <c r="V8" s="53"/>
      <c r="W8" s="53"/>
      <c r="X8" s="53"/>
      <c r="Y8" s="53"/>
      <c r="Z8" s="53"/>
      <c r="AA8" s="53"/>
      <c r="AB8" s="53"/>
      <c r="AC8" s="53"/>
      <c r="AD8" s="53"/>
    </row>
    <row r="9" spans="1:30" x14ac:dyDescent="0.15">
      <c r="A9" s="57" t="s">
        <v>307</v>
      </c>
      <c r="B9" s="63" t="s">
        <v>175</v>
      </c>
      <c r="C9" s="112" t="s">
        <v>292</v>
      </c>
      <c r="D9" s="63" t="s">
        <v>169</v>
      </c>
      <c r="E9" s="64" t="str">
        <f t="shared" si="0"/>
        <v>stage_bug_bonuses_39012_5.tmp</v>
      </c>
      <c r="F9" s="63" t="s">
        <v>170</v>
      </c>
      <c r="G9" s="60" t="s">
        <v>149</v>
      </c>
      <c r="H9" s="60" t="s">
        <v>171</v>
      </c>
      <c r="I9" s="60" t="s">
        <v>172</v>
      </c>
      <c r="J9" s="62" t="s">
        <v>173</v>
      </c>
      <c r="K9" s="60" t="s">
        <v>174</v>
      </c>
      <c r="L9" s="60" t="s">
        <v>155</v>
      </c>
      <c r="M9" s="60" t="s">
        <v>156</v>
      </c>
      <c r="N9" s="60" t="s">
        <v>157</v>
      </c>
      <c r="O9" s="60" t="s">
        <v>158</v>
      </c>
      <c r="P9" s="60" t="s">
        <v>159</v>
      </c>
      <c r="Q9" s="60" t="s">
        <v>160</v>
      </c>
      <c r="R9" s="60" t="s">
        <v>161</v>
      </c>
      <c r="S9" s="60" t="s">
        <v>162</v>
      </c>
      <c r="T9" s="60" t="s">
        <v>163</v>
      </c>
      <c r="U9" s="60" t="s">
        <v>164</v>
      </c>
      <c r="V9" s="60" t="s">
        <v>165</v>
      </c>
      <c r="W9" s="60" t="s">
        <v>166</v>
      </c>
      <c r="X9" s="53"/>
      <c r="Y9" s="53"/>
      <c r="Z9" s="53"/>
      <c r="AA9" s="53"/>
      <c r="AB9" s="53"/>
      <c r="AC9" s="53"/>
      <c r="AD9" s="53"/>
    </row>
    <row r="10" spans="1:30" s="70" customFormat="1" x14ac:dyDescent="0.15">
      <c r="A10" s="57" t="s">
        <v>307</v>
      </c>
      <c r="B10" s="63" t="s">
        <v>197</v>
      </c>
      <c r="C10" s="112" t="s">
        <v>292</v>
      </c>
      <c r="D10" s="63" t="s">
        <v>178</v>
      </c>
      <c r="E10" s="64" t="str">
        <f t="shared" si="0"/>
        <v>stage_hints_data_c_39012_5.tmp</v>
      </c>
      <c r="F10" s="63" t="s">
        <v>205</v>
      </c>
      <c r="G10" s="68" t="s">
        <v>179</v>
      </c>
      <c r="H10" s="68" t="s">
        <v>171</v>
      </c>
      <c r="I10" s="69" t="s">
        <v>180</v>
      </c>
      <c r="J10" s="62" t="s">
        <v>181</v>
      </c>
      <c r="K10" s="62" t="s">
        <v>182</v>
      </c>
      <c r="L10" s="95"/>
      <c r="M10" s="95"/>
      <c r="N10" s="95"/>
      <c r="O10" s="95"/>
      <c r="P10" s="95"/>
      <c r="Q10" s="95"/>
      <c r="R10" s="95"/>
      <c r="S10" s="95"/>
      <c r="T10" s="95"/>
      <c r="U10" s="95"/>
      <c r="V10" s="95"/>
      <c r="W10" s="95"/>
      <c r="X10" s="95"/>
      <c r="Y10" s="95"/>
      <c r="Z10" s="95"/>
      <c r="AA10" s="95"/>
      <c r="AB10" s="95"/>
      <c r="AC10" s="95"/>
      <c r="AD10" s="95"/>
    </row>
    <row r="11" spans="1:30" s="70" customFormat="1" x14ac:dyDescent="0.15">
      <c r="A11" s="57" t="s">
        <v>307</v>
      </c>
      <c r="B11" s="63" t="s">
        <v>198</v>
      </c>
      <c r="C11" s="112" t="s">
        <v>292</v>
      </c>
      <c r="D11" s="63" t="s">
        <v>169</v>
      </c>
      <c r="E11" s="64" t="str">
        <f t="shared" ref="E11:E13" si="1">B11&amp;C11&amp;D11</f>
        <v>stage_hints_data_f_39012_5.tmp</v>
      </c>
      <c r="F11" s="63" t="s">
        <v>206</v>
      </c>
      <c r="G11" s="68" t="s">
        <v>179</v>
      </c>
      <c r="H11" s="68" t="s">
        <v>171</v>
      </c>
      <c r="I11" s="69" t="s">
        <v>180</v>
      </c>
      <c r="J11" s="62" t="s">
        <v>181</v>
      </c>
      <c r="K11" s="62" t="s">
        <v>182</v>
      </c>
      <c r="L11" s="95"/>
      <c r="M11" s="95"/>
      <c r="N11" s="95"/>
      <c r="O11" s="95"/>
      <c r="P11" s="95"/>
      <c r="Q11" s="95"/>
      <c r="R11" s="95"/>
      <c r="S11" s="95"/>
      <c r="T11" s="95"/>
      <c r="U11" s="95"/>
      <c r="V11" s="95"/>
      <c r="W11" s="95"/>
      <c r="X11" s="95"/>
      <c r="Y11" s="95"/>
      <c r="Z11" s="95"/>
      <c r="AA11" s="95"/>
      <c r="AB11" s="95"/>
      <c r="AC11" s="95"/>
      <c r="AD11" s="95"/>
    </row>
    <row r="12" spans="1:30" s="70" customFormat="1" x14ac:dyDescent="0.15">
      <c r="A12" s="57" t="s">
        <v>307</v>
      </c>
      <c r="B12" s="63" t="s">
        <v>199</v>
      </c>
      <c r="C12" s="112" t="s">
        <v>292</v>
      </c>
      <c r="D12" s="63" t="s">
        <v>169</v>
      </c>
      <c r="E12" s="64" t="str">
        <f t="shared" si="1"/>
        <v>stage_hints_i18n_39012_5.tmp</v>
      </c>
      <c r="F12" s="63" t="s">
        <v>207</v>
      </c>
      <c r="G12" s="69" t="s">
        <v>200</v>
      </c>
      <c r="H12" s="88" t="s">
        <v>201</v>
      </c>
      <c r="I12" s="68" t="s">
        <v>202</v>
      </c>
      <c r="J12" s="96" t="s">
        <v>203</v>
      </c>
      <c r="K12" s="62" t="s">
        <v>204</v>
      </c>
      <c r="L12" s="95"/>
      <c r="M12" s="95"/>
      <c r="N12" s="95"/>
      <c r="O12" s="95"/>
      <c r="P12" s="95"/>
      <c r="Q12" s="95"/>
      <c r="R12" s="95"/>
      <c r="S12" s="95"/>
      <c r="T12" s="95"/>
      <c r="U12" s="95"/>
      <c r="V12" s="95"/>
      <c r="W12" s="95"/>
      <c r="X12" s="95"/>
      <c r="Y12" s="95"/>
      <c r="Z12" s="95"/>
      <c r="AA12" s="95"/>
      <c r="AB12" s="95"/>
      <c r="AC12" s="95"/>
      <c r="AD12" s="95"/>
    </row>
    <row r="13" spans="1:30" s="70" customFormat="1" x14ac:dyDescent="0.15">
      <c r="A13" s="57" t="s">
        <v>307</v>
      </c>
      <c r="B13" s="63" t="s">
        <v>248</v>
      </c>
      <c r="C13" s="112" t="s">
        <v>292</v>
      </c>
      <c r="D13" s="63" t="s">
        <v>229</v>
      </c>
      <c r="E13" s="64" t="str">
        <f t="shared" si="1"/>
        <v>stage_bonuses_39012_5.tmp</v>
      </c>
      <c r="F13" s="63" t="s">
        <v>228</v>
      </c>
      <c r="G13" s="68" t="s">
        <v>230</v>
      </c>
      <c r="H13" s="68" t="s">
        <v>231</v>
      </c>
      <c r="I13" s="68" t="s">
        <v>232</v>
      </c>
      <c r="J13" s="68" t="s">
        <v>233</v>
      </c>
      <c r="K13" s="68" t="s">
        <v>234</v>
      </c>
      <c r="L13" s="68" t="s">
        <v>235</v>
      </c>
      <c r="M13" s="68" t="s">
        <v>236</v>
      </c>
      <c r="N13" s="68" t="s">
        <v>237</v>
      </c>
      <c r="O13" s="68" t="s">
        <v>238</v>
      </c>
      <c r="P13" s="68" t="s">
        <v>239</v>
      </c>
      <c r="Q13" s="68" t="s">
        <v>240</v>
      </c>
      <c r="R13" s="68" t="s">
        <v>241</v>
      </c>
      <c r="S13" s="68" t="s">
        <v>242</v>
      </c>
      <c r="T13" s="68" t="s">
        <v>243</v>
      </c>
      <c r="U13" s="68" t="s">
        <v>244</v>
      </c>
      <c r="V13" s="68" t="s">
        <v>245</v>
      </c>
      <c r="W13" s="68" t="s">
        <v>246</v>
      </c>
      <c r="X13" s="68" t="s">
        <v>247</v>
      </c>
      <c r="Y13" s="95"/>
      <c r="Z13" s="95"/>
      <c r="AA13" s="95"/>
      <c r="AB13" s="95"/>
      <c r="AC13" s="95"/>
      <c r="AD13" s="95"/>
    </row>
  </sheetData>
  <phoneticPr fontId="5"/>
  <dataValidations count="1">
    <dataValidation type="list" allowBlank="1" showInputMessage="1" showErrorMessage="1" sqref="A2:A13">
      <formula1>"new,old,skip,both"</formula1>
    </dataValidation>
  </dataValidations>
  <pageMargins left="0.7" right="0.7" top="0.75" bottom="0.75" header="0.3" footer="0.3"/>
  <pageSetup paperSize="9" orientation="portrait" horizontalDpi="4294967292" verticalDpi="429496729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>
    <tabColor rgb="FF0000FF"/>
    <outlinePr summaryBelow="0" summaryRight="0"/>
  </sheetPr>
  <dimension ref="A1:K8"/>
  <sheetViews>
    <sheetView showGridLines="0" workbookViewId="0">
      <pane ySplit="1" topLeftCell="A2" activePane="bottomLeft" state="frozen"/>
      <selection activeCell="V2" sqref="V2:X34"/>
      <selection pane="bottomLeft" activeCell="L9" sqref="L9"/>
    </sheetView>
  </sheetViews>
  <sheetFormatPr baseColWidth="12" defaultColWidth="13" defaultRowHeight="21" customHeight="1" outlineLevelCol="1" x14ac:dyDescent="0.15"/>
  <cols>
    <col min="1" max="1" width="8.83203125" style="19" bestFit="1" customWidth="1"/>
    <col min="2" max="2" width="5" style="19" bestFit="1" customWidth="1"/>
    <col min="3" max="3" width="7.1640625" style="3" bestFit="1" customWidth="1"/>
    <col min="4" max="5" width="10.33203125" style="3" customWidth="1" outlineLevel="1"/>
    <col min="6" max="6" width="7" style="3" bestFit="1" customWidth="1"/>
    <col min="7" max="7" width="8.83203125" style="19" customWidth="1" outlineLevel="1"/>
    <col min="8" max="8" width="16.1640625" style="3" customWidth="1" outlineLevel="1"/>
    <col min="9" max="9" width="6.5" style="3" bestFit="1" customWidth="1"/>
    <col min="10" max="10" width="11" style="3" bestFit="1" customWidth="1"/>
    <col min="11" max="11" width="11.33203125" style="3" bestFit="1" customWidth="1"/>
    <col min="12" max="16384" width="13" style="3"/>
  </cols>
  <sheetData>
    <row r="1" spans="1:11" ht="21" customHeight="1" x14ac:dyDescent="0.15">
      <c r="A1" s="16" t="s">
        <v>30</v>
      </c>
      <c r="B1" s="16" t="s">
        <v>36</v>
      </c>
      <c r="C1" s="1" t="s">
        <v>0</v>
      </c>
      <c r="D1" s="2" t="s">
        <v>18</v>
      </c>
      <c r="E1" s="15" t="s">
        <v>33</v>
      </c>
      <c r="F1" s="1" t="s">
        <v>1</v>
      </c>
      <c r="G1" s="23" t="s">
        <v>32</v>
      </c>
      <c r="H1" s="15" t="s">
        <v>34</v>
      </c>
      <c r="I1" s="1" t="s">
        <v>13</v>
      </c>
      <c r="J1" s="1" t="s">
        <v>14</v>
      </c>
      <c r="K1" s="1" t="s">
        <v>15</v>
      </c>
    </row>
    <row r="2" spans="1:11" ht="21" customHeight="1" x14ac:dyDescent="0.15">
      <c r="A2" s="16" t="str">
        <f>G2&amp;"-"&amp;I2</f>
        <v>39012_5-1</v>
      </c>
      <c r="B2" s="16" t="str">
        <f>IF(COUNTIF(enemy_habitats!$H:$H,A2),"OK","NG")</f>
        <v>OK</v>
      </c>
      <c r="C2" s="7">
        <v>39012</v>
      </c>
      <c r="D2" s="11" t="str">
        <f ca="1">VLOOKUP($C2,OFFSET([2]quests!$A$1,0,0,COUNTA([2]quests!$A:$A),MATCH(D$1,[2]quests!$1:$1,0)-MATCH($C$1,[2]quests!$1:$1,0)+1),MATCH(D$1,[2]quests!$1:$1,0)-MATCH($C$1,[2]quests!$1:$1,0)+1,FALSE)</f>
        <v>侵略！？にゃんこ軍団現る！</v>
      </c>
      <c r="E2" s="18" t="str">
        <f ca="1">VLOOKUP($C2,OFFSET([2]quests!$A$1,0,0,COUNTA([2]quests!$A:$A),MATCH(E$1,[2]quests!$1:$1,0)-MATCH($C$1,[2]quests!$1:$1,0)+1),MATCH(E$1,[2]quests!$1:$1,0)-MATCH($C$1,[2]quests!$1:$1,0)+1,FALSE)</f>
        <v>コラボクエスト</v>
      </c>
      <c r="F2" s="113">
        <v>5</v>
      </c>
      <c r="G2" s="23" t="str">
        <f>C2&amp;"_"&amp;F2</f>
        <v>39012_5</v>
      </c>
      <c r="H2" s="15" t="str">
        <f ca="1">VLOOKUP($G2,OFFSET([2]stages!$A$1,0,0,COUNTA([2]stages!$A:$A),MATCH(H$1,[2]stages!$2:$2,0)-MATCH($G$1,[2]stages!$2:$2,0)+1),MATCH(H$1,[2]stages!$2:$2,0)-MATCH($G$1,[2]stages!$2:$2,0)+1,FALSE)</f>
        <v>【激ムズ】侵略！？にゃんこ軍団現る！</v>
      </c>
      <c r="I2" s="21">
        <v>1</v>
      </c>
      <c r="J2" s="12">
        <v>60</v>
      </c>
      <c r="K2" s="12">
        <v>60</v>
      </c>
    </row>
    <row r="3" spans="1:11" ht="21" customHeight="1" x14ac:dyDescent="0.15">
      <c r="A3" s="16" t="str">
        <f t="shared" ref="A3:A7" si="0">G3&amp;"-"&amp;I3</f>
        <v>39012_5-2</v>
      </c>
      <c r="B3" s="16" t="str">
        <f>IF(COUNTIF(enemy_habitats!$H:$H,A3),"OK","NG")</f>
        <v>OK</v>
      </c>
      <c r="C3" s="7">
        <v>39012</v>
      </c>
      <c r="D3" s="11" t="str">
        <f ca="1">VLOOKUP($C3,OFFSET([2]quests!$A$1,0,0,COUNTA([2]quests!$A:$A),MATCH(D$1,[2]quests!$1:$1,0)-MATCH($C$1,[2]quests!$1:$1,0)+1),MATCH(D$1,[2]quests!$1:$1,0)-MATCH($C$1,[2]quests!$1:$1,0)+1,FALSE)</f>
        <v>侵略！？にゃんこ軍団現る！</v>
      </c>
      <c r="E3" s="18" t="str">
        <f ca="1">VLOOKUP($C3,OFFSET([2]quests!$A$1,0,0,COUNTA([2]quests!$A:$A),MATCH(E$1,[2]quests!$1:$1,0)-MATCH($C$1,[2]quests!$1:$1,0)+1),MATCH(E$1,[2]quests!$1:$1,0)-MATCH($C$1,[2]quests!$1:$1,0)+1,FALSE)</f>
        <v>コラボクエスト</v>
      </c>
      <c r="F3" s="113">
        <v>5</v>
      </c>
      <c r="G3" s="23" t="str">
        <f t="shared" ref="G3:G7" si="1">C3&amp;"_"&amp;F3</f>
        <v>39012_5</v>
      </c>
      <c r="H3" s="15" t="str">
        <f ca="1">VLOOKUP($G3,OFFSET([2]stages!$A$1,0,0,COUNTA([2]stages!$A:$A),MATCH(H$1,[2]stages!$2:$2,0)-MATCH($G$1,[2]stages!$2:$2,0)+1),MATCH(H$1,[2]stages!$2:$2,0)-MATCH($G$1,[2]stages!$2:$2,0)+1,FALSE)</f>
        <v>【激ムズ】侵略！？にゃんこ軍団現る！</v>
      </c>
      <c r="I3" s="21">
        <v>2</v>
      </c>
      <c r="J3" s="12">
        <v>60</v>
      </c>
      <c r="K3" s="12">
        <v>60</v>
      </c>
    </row>
    <row r="4" spans="1:11" ht="21" customHeight="1" x14ac:dyDescent="0.15">
      <c r="A4" s="16" t="str">
        <f t="shared" si="0"/>
        <v>39012_5-3</v>
      </c>
      <c r="B4" s="16" t="str">
        <f>IF(COUNTIF(enemy_habitats!$H:$H,A4),"OK","NG")</f>
        <v>OK</v>
      </c>
      <c r="C4" s="7">
        <v>39012</v>
      </c>
      <c r="D4" s="11" t="str">
        <f ca="1">VLOOKUP($C4,OFFSET([2]quests!$A$1,0,0,COUNTA([2]quests!$A:$A),MATCH(D$1,[2]quests!$1:$1,0)-MATCH($C$1,[2]quests!$1:$1,0)+1),MATCH(D$1,[2]quests!$1:$1,0)-MATCH($C$1,[2]quests!$1:$1,0)+1,FALSE)</f>
        <v>侵略！？にゃんこ軍団現る！</v>
      </c>
      <c r="E4" s="18" t="str">
        <f ca="1">VLOOKUP($C4,OFFSET([2]quests!$A$1,0,0,COUNTA([2]quests!$A:$A),MATCH(E$1,[2]quests!$1:$1,0)-MATCH($C$1,[2]quests!$1:$1,0)+1),MATCH(E$1,[2]quests!$1:$1,0)-MATCH($C$1,[2]quests!$1:$1,0)+1,FALSE)</f>
        <v>コラボクエスト</v>
      </c>
      <c r="F4" s="113">
        <v>5</v>
      </c>
      <c r="G4" s="23" t="str">
        <f t="shared" si="1"/>
        <v>39012_5</v>
      </c>
      <c r="H4" s="15" t="str">
        <f ca="1">VLOOKUP($G4,OFFSET([2]stages!$A$1,0,0,COUNTA([2]stages!$A:$A),MATCH(H$1,[2]stages!$2:$2,0)-MATCH($G$1,[2]stages!$2:$2,0)+1),MATCH(H$1,[2]stages!$2:$2,0)-MATCH($G$1,[2]stages!$2:$2,0)+1,FALSE)</f>
        <v>【激ムズ】侵略！？にゃんこ軍団現る！</v>
      </c>
      <c r="I4" s="21">
        <v>3</v>
      </c>
      <c r="J4" s="12">
        <v>50</v>
      </c>
      <c r="K4" s="12">
        <v>50</v>
      </c>
    </row>
    <row r="5" spans="1:11" ht="21" customHeight="1" x14ac:dyDescent="0.15">
      <c r="A5" s="16" t="str">
        <f t="shared" si="0"/>
        <v>39012_5-4</v>
      </c>
      <c r="B5" s="16" t="str">
        <f>IF(COUNTIF(enemy_habitats!$H:$H,A5),"OK","NG")</f>
        <v>OK</v>
      </c>
      <c r="C5" s="7">
        <v>39012</v>
      </c>
      <c r="D5" s="11" t="str">
        <f ca="1">VLOOKUP($C5,OFFSET([2]quests!$A$1,0,0,COUNTA([2]quests!$A:$A),MATCH(D$1,[2]quests!$1:$1,0)-MATCH($C$1,[2]quests!$1:$1,0)+1),MATCH(D$1,[2]quests!$1:$1,0)-MATCH($C$1,[2]quests!$1:$1,0)+1,FALSE)</f>
        <v>侵略！？にゃんこ軍団現る！</v>
      </c>
      <c r="E5" s="18" t="str">
        <f ca="1">VLOOKUP($C5,OFFSET([2]quests!$A$1,0,0,COUNTA([2]quests!$A:$A),MATCH(E$1,[2]quests!$1:$1,0)-MATCH($C$1,[2]quests!$1:$1,0)+1),MATCH(E$1,[2]quests!$1:$1,0)-MATCH($C$1,[2]quests!$1:$1,0)+1,FALSE)</f>
        <v>コラボクエスト</v>
      </c>
      <c r="F5" s="113">
        <v>5</v>
      </c>
      <c r="G5" s="23" t="str">
        <f t="shared" si="1"/>
        <v>39012_5</v>
      </c>
      <c r="H5" s="15" t="str">
        <f ca="1">VLOOKUP($G5,OFFSET([2]stages!$A$1,0,0,COUNTA([2]stages!$A:$A),MATCH(H$1,[2]stages!$2:$2,0)-MATCH($G$1,[2]stages!$2:$2,0)+1),MATCH(H$1,[2]stages!$2:$2,0)-MATCH($G$1,[2]stages!$2:$2,0)+1,FALSE)</f>
        <v>【激ムズ】侵略！？にゃんこ軍団現る！</v>
      </c>
      <c r="I5" s="21">
        <v>4</v>
      </c>
      <c r="J5" s="12">
        <v>45</v>
      </c>
      <c r="K5" s="12">
        <v>45</v>
      </c>
    </row>
    <row r="6" spans="1:11" ht="21" customHeight="1" x14ac:dyDescent="0.15">
      <c r="A6" s="16" t="str">
        <f t="shared" si="0"/>
        <v>39012_5-5</v>
      </c>
      <c r="B6" s="16" t="str">
        <f>IF(COUNTIF(enemy_habitats!$H:$H,A6),"OK","NG")</f>
        <v>OK</v>
      </c>
      <c r="C6" s="7">
        <v>39012</v>
      </c>
      <c r="D6" s="11" t="str">
        <f ca="1">VLOOKUP($C6,OFFSET([2]quests!$A$1,0,0,COUNTA([2]quests!$A:$A),MATCH(D$1,[2]quests!$1:$1,0)-MATCH($C$1,[2]quests!$1:$1,0)+1),MATCH(D$1,[2]quests!$1:$1,0)-MATCH($C$1,[2]quests!$1:$1,0)+1,FALSE)</f>
        <v>侵略！？にゃんこ軍団現る！</v>
      </c>
      <c r="E6" s="18" t="str">
        <f ca="1">VLOOKUP($C6,OFFSET([2]quests!$A$1,0,0,COUNTA([2]quests!$A:$A),MATCH(E$1,[2]quests!$1:$1,0)-MATCH($C$1,[2]quests!$1:$1,0)+1),MATCH(E$1,[2]quests!$1:$1,0)-MATCH($C$1,[2]quests!$1:$1,0)+1,FALSE)</f>
        <v>コラボクエスト</v>
      </c>
      <c r="F6" s="113">
        <v>5</v>
      </c>
      <c r="G6" s="23" t="str">
        <f t="shared" si="1"/>
        <v>39012_5</v>
      </c>
      <c r="H6" s="15" t="str">
        <f ca="1">VLOOKUP($G6,OFFSET([2]stages!$A$1,0,0,COUNTA([2]stages!$A:$A),MATCH(H$1,[2]stages!$2:$2,0)-MATCH($G$1,[2]stages!$2:$2,0)+1),MATCH(H$1,[2]stages!$2:$2,0)-MATCH($G$1,[2]stages!$2:$2,0)+1,FALSE)</f>
        <v>【激ムズ】侵略！？にゃんこ軍団現る！</v>
      </c>
      <c r="I6" s="21">
        <v>5</v>
      </c>
      <c r="J6" s="12">
        <v>60</v>
      </c>
      <c r="K6" s="12">
        <v>60</v>
      </c>
    </row>
    <row r="7" spans="1:11" ht="21" customHeight="1" x14ac:dyDescent="0.15">
      <c r="A7" s="16" t="str">
        <f t="shared" si="0"/>
        <v>39012_5-6</v>
      </c>
      <c r="B7" s="16" t="str">
        <f>IF(COUNTIF(enemy_habitats!$H:$H,A7),"OK","NG")</f>
        <v>OK</v>
      </c>
      <c r="C7" s="7">
        <v>39012</v>
      </c>
      <c r="D7" s="11" t="str">
        <f ca="1">VLOOKUP($C7,OFFSET([2]quests!$A$1,0,0,COUNTA([2]quests!$A:$A),MATCH(D$1,[2]quests!$1:$1,0)-MATCH($C$1,[2]quests!$1:$1,0)+1),MATCH(D$1,[2]quests!$1:$1,0)-MATCH($C$1,[2]quests!$1:$1,0)+1,FALSE)</f>
        <v>侵略！？にゃんこ軍団現る！</v>
      </c>
      <c r="E7" s="18" t="str">
        <f ca="1">VLOOKUP($C7,OFFSET([2]quests!$A$1,0,0,COUNTA([2]quests!$A:$A),MATCH(E$1,[2]quests!$1:$1,0)-MATCH($C$1,[2]quests!$1:$1,0)+1),MATCH(E$1,[2]quests!$1:$1,0)-MATCH($C$1,[2]quests!$1:$1,0)+1,FALSE)</f>
        <v>コラボクエスト</v>
      </c>
      <c r="F7" s="113">
        <v>5</v>
      </c>
      <c r="G7" s="23" t="str">
        <f t="shared" si="1"/>
        <v>39012_5</v>
      </c>
      <c r="H7" s="15" t="str">
        <f ca="1">VLOOKUP($G7,OFFSET([2]stages!$A$1,0,0,COUNTA([2]stages!$A:$A),MATCH(H$1,[2]stages!$2:$2,0)-MATCH($G$1,[2]stages!$2:$2,0)+1),MATCH(H$1,[2]stages!$2:$2,0)-MATCH($G$1,[2]stages!$2:$2,0)+1,FALSE)</f>
        <v>【激ムズ】侵略！？にゃんこ軍団現る！</v>
      </c>
      <c r="I7" s="21">
        <v>6</v>
      </c>
      <c r="J7" s="12">
        <v>60</v>
      </c>
      <c r="K7" s="12">
        <v>60</v>
      </c>
    </row>
    <row r="8" spans="1:11" ht="21" customHeight="1" x14ac:dyDescent="0.15">
      <c r="A8" s="16" t="str">
        <f t="shared" ref="A8" si="2">G8&amp;"-"&amp;I8</f>
        <v>39012_5-7</v>
      </c>
      <c r="B8" s="16" t="str">
        <f>IF(COUNTIF(enemy_habitats!$H:$H,A8),"OK","NG")</f>
        <v>OK</v>
      </c>
      <c r="C8" s="7">
        <v>39012</v>
      </c>
      <c r="D8" s="11" t="str">
        <f ca="1">VLOOKUP($C8,OFFSET([2]quests!$A$1,0,0,COUNTA([2]quests!$A:$A),MATCH(D$1,[2]quests!$1:$1,0)-MATCH($C$1,[2]quests!$1:$1,0)+1),MATCH(D$1,[2]quests!$1:$1,0)-MATCH($C$1,[2]quests!$1:$1,0)+1,FALSE)</f>
        <v>侵略！？にゃんこ軍団現る！</v>
      </c>
      <c r="E8" s="18" t="str">
        <f ca="1">VLOOKUP($C8,OFFSET([2]quests!$A$1,0,0,COUNTA([2]quests!$A:$A),MATCH(E$1,[2]quests!$1:$1,0)-MATCH($C$1,[2]quests!$1:$1,0)+1),MATCH(E$1,[2]quests!$1:$1,0)-MATCH($C$1,[2]quests!$1:$1,0)+1,FALSE)</f>
        <v>コラボクエスト</v>
      </c>
      <c r="F8" s="113">
        <v>5</v>
      </c>
      <c r="G8" s="23" t="str">
        <f t="shared" ref="G8" si="3">C8&amp;"_"&amp;F8</f>
        <v>39012_5</v>
      </c>
      <c r="H8" s="15" t="str">
        <f ca="1">VLOOKUP($G8,OFFSET([2]stages!$A$1,0,0,COUNTA([2]stages!$A:$A),MATCH(H$1,[2]stages!$2:$2,0)-MATCH($G$1,[2]stages!$2:$2,0)+1),MATCH(H$1,[2]stages!$2:$2,0)-MATCH($G$1,[2]stages!$2:$2,0)+1,FALSE)</f>
        <v>【激ムズ】侵略！？にゃんこ軍団現る！</v>
      </c>
      <c r="I8" s="21">
        <v>7</v>
      </c>
      <c r="J8" s="12">
        <v>60</v>
      </c>
      <c r="K8" s="12">
        <v>60</v>
      </c>
    </row>
  </sheetData>
  <sheetProtection selectLockedCells="1" selectUnlockedCells="1"/>
  <phoneticPr fontId="5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 enableFormatConditionsCalculation="0">
    <tabColor rgb="FF0000FF"/>
    <outlinePr summaryBelow="0" summaryRight="0"/>
  </sheetPr>
  <dimension ref="A1:AT30"/>
  <sheetViews>
    <sheetView showGridLines="0" workbookViewId="0">
      <pane xSplit="17" ySplit="1" topLeftCell="AG2" activePane="bottomRight" state="frozen"/>
      <selection pane="topRight" activeCell="N1" sqref="N1"/>
      <selection pane="bottomLeft" activeCell="A2" sqref="A2"/>
      <selection pane="bottomRight" activeCell="L27" sqref="L27"/>
    </sheetView>
  </sheetViews>
  <sheetFormatPr baseColWidth="12" defaultColWidth="13" defaultRowHeight="21" customHeight="1" outlineLevelCol="1" x14ac:dyDescent="0.15"/>
  <cols>
    <col min="1" max="1" width="17.33203125" style="19" customWidth="1"/>
    <col min="2" max="2" width="10.83203125" style="3" bestFit="1" customWidth="1"/>
    <col min="3" max="3" width="10.6640625" style="3" bestFit="1" customWidth="1" collapsed="1"/>
    <col min="4" max="4" width="13" style="14" hidden="1" customWidth="1" outlineLevel="1"/>
    <col min="5" max="5" width="11.6640625" style="3" hidden="1" customWidth="1" outlineLevel="1"/>
    <col min="6" max="6" width="16.1640625" style="3" hidden="1" customWidth="1" outlineLevel="1"/>
    <col min="7" max="7" width="10" style="3" bestFit="1" customWidth="1" collapsed="1"/>
    <col min="8" max="10" width="12.33203125" style="3" hidden="1" customWidth="1" outlineLevel="1"/>
    <col min="11" max="11" width="12.33203125" style="3" customWidth="1"/>
    <col min="12" max="12" width="13.5" style="9" bestFit="1" customWidth="1"/>
    <col min="13" max="13" width="19.6640625" style="3" customWidth="1" outlineLevel="1"/>
    <col min="14" max="14" width="8.6640625" style="3" customWidth="1" outlineLevel="1"/>
    <col min="15" max="15" width="12" style="3" customWidth="1" outlineLevel="1"/>
    <col min="16" max="16" width="21" style="3" customWidth="1" outlineLevel="1"/>
    <col min="17" max="17" width="8" style="3" customWidth="1" outlineLevel="1"/>
    <col min="18" max="18" width="8.33203125" style="3" bestFit="1" customWidth="1"/>
    <col min="19" max="19" width="14.83203125" style="3" bestFit="1" customWidth="1"/>
    <col min="20" max="20" width="14.83203125" style="99" customWidth="1"/>
    <col min="21" max="21" width="17.5" style="3" bestFit="1" customWidth="1"/>
    <col min="22" max="22" width="17.5" style="3" customWidth="1"/>
    <col min="23" max="23" width="18.33203125" style="3" bestFit="1" customWidth="1"/>
    <col min="24" max="24" width="10" style="3" customWidth="1"/>
    <col min="25" max="25" width="12.1640625" style="3" customWidth="1" outlineLevel="1"/>
    <col min="26" max="26" width="11.33203125" style="3" bestFit="1" customWidth="1"/>
    <col min="27" max="27" width="11.6640625" style="3" bestFit="1" customWidth="1"/>
    <col min="28" max="28" width="10.6640625" style="3" bestFit="1" customWidth="1"/>
    <col min="29" max="29" width="9.33203125" style="3" bestFit="1" customWidth="1"/>
    <col min="30" max="30" width="13" style="3" bestFit="1" customWidth="1"/>
    <col min="31" max="31" width="8.83203125" style="13" bestFit="1" customWidth="1" outlineLevel="1"/>
    <col min="32" max="32" width="8" style="14" bestFit="1" customWidth="1" outlineLevel="1"/>
    <col min="33" max="33" width="12" style="14" bestFit="1" customWidth="1" outlineLevel="1"/>
    <col min="34" max="34" width="15" style="10" bestFit="1" customWidth="1" collapsed="1"/>
    <col min="35" max="36" width="14.83203125" style="3" bestFit="1" customWidth="1"/>
    <col min="37" max="37" width="6.6640625" style="3" bestFit="1" customWidth="1"/>
    <col min="38" max="38" width="9.33203125" style="3" bestFit="1" customWidth="1"/>
    <col min="39" max="39" width="10.33203125" style="3" bestFit="1" customWidth="1"/>
    <col min="40" max="40" width="7.6640625" style="3" bestFit="1" customWidth="1"/>
    <col min="41" max="41" width="4" style="3" bestFit="1" customWidth="1"/>
    <col min="42" max="43" width="13" style="3"/>
    <col min="44" max="44" width="17.1640625" style="3" customWidth="1"/>
    <col min="45" max="16384" width="13" style="3"/>
  </cols>
  <sheetData>
    <row r="1" spans="1:46" s="34" customFormat="1" ht="21" customHeight="1" x14ac:dyDescent="0.15">
      <c r="A1" s="26" t="s">
        <v>29</v>
      </c>
      <c r="B1" s="27" t="s">
        <v>0</v>
      </c>
      <c r="C1" s="27" t="s">
        <v>1</v>
      </c>
      <c r="D1" s="28" t="s">
        <v>28</v>
      </c>
      <c r="E1" s="29" t="s">
        <v>20</v>
      </c>
      <c r="F1" s="29" t="s">
        <v>20</v>
      </c>
      <c r="G1" s="27" t="s">
        <v>19</v>
      </c>
      <c r="H1" s="28" t="s">
        <v>35</v>
      </c>
      <c r="I1" s="28" t="s">
        <v>14</v>
      </c>
      <c r="J1" s="28" t="s">
        <v>15</v>
      </c>
      <c r="K1" s="35" t="s">
        <v>54</v>
      </c>
      <c r="L1" s="36" t="s">
        <v>2</v>
      </c>
      <c r="M1" s="30" t="s">
        <v>21</v>
      </c>
      <c r="N1" s="28" t="s">
        <v>24</v>
      </c>
      <c r="O1" s="28" t="s">
        <v>23</v>
      </c>
      <c r="P1" s="31" t="s">
        <v>26</v>
      </c>
      <c r="Q1" s="29" t="s">
        <v>25</v>
      </c>
      <c r="R1" s="27" t="s">
        <v>3</v>
      </c>
      <c r="S1" s="25" t="s">
        <v>330</v>
      </c>
      <c r="T1" s="97" t="s">
        <v>249</v>
      </c>
      <c r="U1" s="25" t="s">
        <v>50</v>
      </c>
      <c r="V1" s="97" t="s">
        <v>250</v>
      </c>
      <c r="W1" s="25" t="s">
        <v>52</v>
      </c>
      <c r="X1" s="28" t="s">
        <v>31</v>
      </c>
      <c r="Y1" s="27" t="s">
        <v>4</v>
      </c>
      <c r="Z1" s="27" t="s">
        <v>5</v>
      </c>
      <c r="AA1" s="27" t="s">
        <v>6</v>
      </c>
      <c r="AB1" s="27" t="s">
        <v>7</v>
      </c>
      <c r="AC1" s="27" t="s">
        <v>8</v>
      </c>
      <c r="AD1" s="32" t="s">
        <v>9</v>
      </c>
      <c r="AE1" s="33" t="s">
        <v>16</v>
      </c>
      <c r="AF1" s="33" t="s">
        <v>17</v>
      </c>
      <c r="AG1" s="33" t="s">
        <v>27</v>
      </c>
      <c r="AH1" s="32" t="s">
        <v>10</v>
      </c>
      <c r="AI1" s="27" t="s">
        <v>11</v>
      </c>
      <c r="AJ1" s="27" t="s">
        <v>12</v>
      </c>
      <c r="AK1" s="27" t="s">
        <v>38</v>
      </c>
      <c r="AL1" s="27" t="s">
        <v>40</v>
      </c>
      <c r="AM1" s="27" t="s">
        <v>42</v>
      </c>
      <c r="AN1" s="27" t="s">
        <v>44</v>
      </c>
      <c r="AO1" s="27" t="s">
        <v>46</v>
      </c>
      <c r="AP1" s="35" t="s">
        <v>177</v>
      </c>
    </row>
    <row r="2" spans="1:46" ht="21" customHeight="1" x14ac:dyDescent="0.15">
      <c r="A2" s="16" t="str">
        <f t="shared" ref="A2:A10" si="0">B2&amp;"_"&amp;C2&amp;"-"&amp;G2&amp;"/"&amp;L2&amp;"&lt;lv"&amp;R2&amp;"&gt;s"&amp;AC2</f>
        <v>39012_5-1/1504&lt;lv1&gt;s1</v>
      </c>
      <c r="B2" s="22">
        <v>39012</v>
      </c>
      <c r="C2" s="120">
        <v>5</v>
      </c>
      <c r="D2" s="15" t="str">
        <f>B2&amp;"_"&amp;C2</f>
        <v>39012_5</v>
      </c>
      <c r="E2" s="4" t="str">
        <f ca="1">VLOOKUP($B2,OFFSET([2]quests!$A$1,0,0,COUNTA([2]quests!$A:$A),MATCH(E$1,[2]quests!$1:$1,0)-MATCH($B$1,[2]quests!$1:$1,0)+1),MATCH(E$1,[2]quests!$1:$1,0)-MATCH($B$1,[2]quests!$1:$1,0)+1,FALSE)</f>
        <v>侵略！？にゃんこ軍団現る！</v>
      </c>
      <c r="F2" s="4" t="str">
        <f ca="1">VLOOKUP($D2,OFFSET([2]stages!$A$1,0,0,COUNTA([2]stages!$A:$A),MATCH(F$1,[2]stages!$2:$2,0)-MATCH($D$1,[2]stages!$2:$2,0)+1),MATCH(F$1,[2]stages!$2:$2,0)-MATCH($D$1,[2]stages!$2:$2,0)+1,FALSE)</f>
        <v>【激ムズ】侵略！？にゃんこ軍団現る！</v>
      </c>
      <c r="G2" s="120">
        <v>1</v>
      </c>
      <c r="H2" s="15" t="str">
        <f>B2&amp;"_"&amp;C2&amp;"-"&amp;G2</f>
        <v>39012_5-1</v>
      </c>
      <c r="I2" s="4">
        <f ca="1">VLOOKUP($H2,OFFSET(floors!$A$1,0,0,COUNTA(floors!$A:$A),MATCH(I$1,floors!$1:$1,0)-MATCH($H$1,floors!$1:$1,0)+1),MATCH(I$1,floors!$1:$1,0)-MATCH($H$1,floors!$1:$1,0)+1,FALSE)</f>
        <v>60</v>
      </c>
      <c r="J2" s="4">
        <f ca="1">VLOOKUP($H2,OFFSET(floors!$A$1,0,0,COUNTA(floors!$A:$A),MATCH(J$1,floors!$1:$1,0)-MATCH($H$1,floors!$1:$1,0)+1),MATCH(J$1,floors!$1:$1,0)-MATCH($H$1,floors!$1:$1,0)+1,FALSE)</f>
        <v>60</v>
      </c>
      <c r="K2" s="37" t="s">
        <v>53</v>
      </c>
      <c r="L2" s="115">
        <v>1504</v>
      </c>
      <c r="M2" s="121" t="str">
        <f ca="1">VLOOKUP($L2,OFFSET([3]enemies!$A$1,0,0,COUNTA([3]enemies!$A:$A),MATCH(M$1,[3]enemies!$1:$1,0)-MATCH($L$1,[3]enemies!$1:$1,0)+1),MATCH(M$1,[3]enemies!$1:$1,0)-MATCH($L$1,[3]enemies!$1:$1,0)+1,FALSE)</f>
        <v>ネコ</v>
      </c>
      <c r="N2" s="17" t="str">
        <f ca="1">VLOOKUP($L2,OFFSET([3]enemies!$A$1,0,0,COUNTA([3]enemies!$A:$A),MATCH(N$1,[3]enemies!$1:$1,0)-MATCH($L$1,[3]enemies!$1:$1,0)+1),MATCH(N$1,[3]enemies!$1:$1,0)-MATCH($L$1,[3]enemies!$1:$1,0)+1,FALSE)</f>
        <v>red</v>
      </c>
      <c r="O2" s="17" t="str">
        <f ca="1">VLOOKUP($L2,OFFSET([4]characters!$A$1,0,0,COUNTA([4]characters!$A:$A),MATCH(O$1,[4]characters!$1:$1,0)-MATCH($L$1,[4]characters!$1:$1,0)+1),MATCH(O$1,[4]characters!$1:$1,0)-MATCH($L$1,[4]characters!$1:$1,0)+1,FALSE)</f>
        <v>Drop1T</v>
      </c>
      <c r="P2" s="17" t="str">
        <f ca="1">VLOOKUP($L2,OFFSET([3]enemies!$A$1,0,0,COUNTA([3]enemies!$A:$A),MATCH(P$1,[3]enemies!$1:$1,0)-MATCH($L$1,[3]enemies!$1:$1,0)+1),MATCH(P$1,[3]enemies!$1:$1,0)-MATCH($L$1,[3]enemies!$1:$1,0)+1,FALSE)</f>
        <v>unknown</v>
      </c>
      <c r="Q2" s="17">
        <f ca="1">VLOOKUP($L2,OFFSET([3]enemies!$A$1,0,0,COUNTA([3]enemies!$A:$A),MATCH(Q$1,[3]enemies!$1:$1,0)-MATCH($L$1,[3]enemies!$1:$1,0)+1),MATCH(Q$1,[3]enemies!$1:$1,0)-MATCH($L$1,[3]enemies!$1:$1,0)+1,FALSE)</f>
        <v>15</v>
      </c>
      <c r="R2" s="5">
        <v>1</v>
      </c>
      <c r="S2" s="24">
        <v>3.8</v>
      </c>
      <c r="T2" s="98">
        <f ca="1">S2*VLOOKUP(M2,$AR$3:$AT$11,2,0)</f>
        <v>9500</v>
      </c>
      <c r="U2" s="24">
        <v>4</v>
      </c>
      <c r="V2" s="98">
        <f ca="1">U2*VLOOKUP(M2,$AR$3:$AT$11,3,0)</f>
        <v>796</v>
      </c>
      <c r="W2" s="5">
        <v>0</v>
      </c>
      <c r="X2" s="4" t="str">
        <f ca="1">VLOOKUP($Y2,OFFSET(enemy_skill_sets!$B$1,0,0,COUNTA(enemy_skill_sets!$B:$B),MATCH(M$1,enemy_skill_sets!$1:$1,0)-MATCH($Y$1,enemy_skill_sets!$1:$1,0)+2),MATCH(M$1,enemy_skill_sets!$1:$1,0)-MATCH($Y$1,enemy_skill_sets!$1:$1,0)+2,FALSE)</f>
        <v>クリティカル！</v>
      </c>
      <c r="Y2" s="46">
        <v>39012500</v>
      </c>
      <c r="Z2" s="6">
        <v>0</v>
      </c>
      <c r="AA2" s="6">
        <v>100</v>
      </c>
      <c r="AB2" s="6">
        <v>0</v>
      </c>
      <c r="AC2" s="122">
        <v>1</v>
      </c>
      <c r="AD2" s="116">
        <f t="shared" ref="AD2" si="1">L2</f>
        <v>1504</v>
      </c>
      <c r="AE2" s="4" t="str">
        <f ca="1">VLOOKUP($AD2,OFFSET([4]characters!$A$1,0,0,COUNTA([4]characters!$A:$A),MATCH(AE$1,[4]characters!$1:$1,0)-MATCH("character_id",[4]characters!$1:$1,0)+1),MATCH(AE$1,[4]characters!$1:$1,0)-MATCH("character_id",[4]characters!$1:$1,0)+1,FALSE)</f>
        <v>ネコ</v>
      </c>
      <c r="AF2" s="4">
        <f ca="1">VLOOKUP($AD2,OFFSET([4]characters!$A$1,0,0,COUNTA([4]characters!$A:$A),MATCH(AF$1,[4]characters!$1:$1,0)-MATCH("character_id",[4]characters!$1:$1,0)+1),MATCH(AF$1,[4]characters!$1:$1,0)-MATCH("character_id",[4]characters!$1:$1,0)+1,FALSE)</f>
        <v>1</v>
      </c>
      <c r="AG2" s="4" t="str">
        <f ca="1">VLOOKUP($AD2,OFFSET([4]characters!$A$1,0,0,COUNTA([4]characters!$A:$A),MATCH(AG$1,[4]characters!$1:$1,0)-MATCH("character_id",[4]characters!$1:$1,0)+1),MATCH(AG$1,[4]characters!$1:$1,0)-MATCH("character_id",[4]characters!$1:$1,0)+1,FALSE)</f>
        <v>Drop1T</v>
      </c>
      <c r="AH2" s="117">
        <v>1</v>
      </c>
      <c r="AI2" s="116">
        <f ca="1">AF2</f>
        <v>1</v>
      </c>
      <c r="AJ2" s="8">
        <v>0</v>
      </c>
      <c r="AK2" s="117">
        <v>0</v>
      </c>
      <c r="AL2" s="117">
        <v>0</v>
      </c>
      <c r="AM2" s="117">
        <v>0</v>
      </c>
      <c r="AN2" s="117">
        <v>0</v>
      </c>
      <c r="AO2" s="117">
        <v>1</v>
      </c>
      <c r="AP2" s="65">
        <v>1</v>
      </c>
      <c r="AS2" s="3" t="s">
        <v>335</v>
      </c>
      <c r="AT2" s="3" t="s">
        <v>334</v>
      </c>
    </row>
    <row r="3" spans="1:46" ht="21" customHeight="1" x14ac:dyDescent="0.15">
      <c r="A3" s="16" t="str">
        <f t="shared" si="0"/>
        <v>39012_5-2/1506&lt;lv1&gt;s2</v>
      </c>
      <c r="B3" s="22">
        <v>39012</v>
      </c>
      <c r="C3" s="21">
        <v>5</v>
      </c>
      <c r="D3" s="2" t="str">
        <f t="shared" ref="D3:D9" si="2">B3&amp;"_"&amp;C3</f>
        <v>39012_5</v>
      </c>
      <c r="E3" s="4" t="str">
        <f ca="1">VLOOKUP($B3,OFFSET([2]quests!$A$1,0,0,COUNTA([2]quests!$A:$A),MATCH(E$1,[2]quests!$1:$1,0)-MATCH($B$1,[2]quests!$1:$1,0)+1),MATCH(E$1,[2]quests!$1:$1,0)-MATCH($B$1,[2]quests!$1:$1,0)+1,FALSE)</f>
        <v>侵略！？にゃんこ軍団現る！</v>
      </c>
      <c r="F3" s="4" t="str">
        <f ca="1">VLOOKUP($D3,OFFSET([2]stages!$A$1,0,0,COUNTA([2]stages!$A:$A),MATCH(F$1,[2]stages!$2:$2,0)-MATCH($D$1,[2]stages!$2:$2,0)+1),MATCH(F$1,[2]stages!$2:$2,0)-MATCH($D$1,[2]stages!$2:$2,0)+1,FALSE)</f>
        <v>【激ムズ】侵略！？にゃんこ軍団現る！</v>
      </c>
      <c r="G3" s="114">
        <v>2</v>
      </c>
      <c r="H3" s="15" t="str">
        <f t="shared" ref="H3:H9" si="3">B3&amp;"_"&amp;C3&amp;"-"&amp;G3</f>
        <v>39012_5-2</v>
      </c>
      <c r="I3" s="4">
        <f ca="1">VLOOKUP($H3,OFFSET(floors!$A$1,0,0,COUNTA(floors!$A:$A),MATCH(I$1,floors!$1:$1,0)-MATCH($H$1,floors!$1:$1,0)+1),MATCH(I$1,floors!$1:$1,0)-MATCH($H$1,floors!$1:$1,0)+1,FALSE)</f>
        <v>60</v>
      </c>
      <c r="J3" s="4">
        <f ca="1">VLOOKUP($H3,OFFSET(floors!$A$1,0,0,COUNTA(floors!$A:$A),MATCH(J$1,floors!$1:$1,0)-MATCH($H$1,floors!$1:$1,0)+1),MATCH(J$1,floors!$1:$1,0)-MATCH($H$1,floors!$1:$1,0)+1,FALSE)</f>
        <v>60</v>
      </c>
      <c r="K3" s="37" t="s">
        <v>53</v>
      </c>
      <c r="L3" s="135">
        <v>1506</v>
      </c>
      <c r="M3" s="121" t="str">
        <f ca="1">VLOOKUP($L3,OFFSET([3]enemies!$A$1,0,0,COUNTA([3]enemies!$A:$A),MATCH(M$1,[3]enemies!$1:$1,0)-MATCH($L$1,[3]enemies!$1:$1,0)+1),MATCH(M$1,[3]enemies!$1:$1,0)-MATCH($L$1,[3]enemies!$1:$1,0)+1,FALSE)</f>
        <v>バトルネコ</v>
      </c>
      <c r="N3" s="17" t="str">
        <f ca="1">VLOOKUP($L3,OFFSET([3]enemies!$A$1,0,0,COUNTA([3]enemies!$A:$A),MATCH(N$1,[3]enemies!$1:$1,0)-MATCH($L$1,[3]enemies!$1:$1,0)+1),MATCH(N$1,[3]enemies!$1:$1,0)-MATCH($L$1,[3]enemies!$1:$1,0)+1,FALSE)</f>
        <v>yellow</v>
      </c>
      <c r="O3" s="17" t="str">
        <f ca="1">VLOOKUP($L3,OFFSET([4]characters!$A$1,0,0,COUNTA([4]characters!$A:$A),MATCH(O$1,[4]characters!$1:$1,0)-MATCH($L$1,[4]characters!$1:$1,0)+1),MATCH(O$1,[4]characters!$1:$1,0)-MATCH($L$1,[4]characters!$1:$1,0)+1,FALSE)</f>
        <v>Drop1S</v>
      </c>
      <c r="P3" s="17" t="str">
        <f ca="1">VLOOKUP($L3,OFFSET([3]enemies!$A$1,0,0,COUNTA([3]enemies!$A:$A),MATCH(P$1,[3]enemies!$1:$1,0)-MATCH($L$1,[3]enemies!$1:$1,0)+1),MATCH(P$1,[3]enemies!$1:$1,0)-MATCH($L$1,[3]enemies!$1:$1,0)+1,FALSE)</f>
        <v>unknown</v>
      </c>
      <c r="Q3" s="17">
        <f ca="1">VLOOKUP($L3,OFFSET([3]enemies!$A$1,0,0,COUNTA([3]enemies!$A:$A),MATCH(Q$1,[3]enemies!$1:$1,0)-MATCH($L$1,[3]enemies!$1:$1,0)+1),MATCH(Q$1,[3]enemies!$1:$1,0)-MATCH($L$1,[3]enemies!$1:$1,0)+1,FALSE)</f>
        <v>15</v>
      </c>
      <c r="R3" s="5">
        <v>1</v>
      </c>
      <c r="S3" s="24">
        <v>12</v>
      </c>
      <c r="T3" s="98">
        <f t="shared" ref="T3:T10" ca="1" si="4">S3*VLOOKUP(M3,$AR$3:$AT$11,2,0)</f>
        <v>29400</v>
      </c>
      <c r="U3" s="24">
        <v>11.5</v>
      </c>
      <c r="V3" s="98">
        <f t="shared" ref="V3:V10" ca="1" si="5">U3*VLOOKUP(M3,$AR$3:$AT$11,3,0)</f>
        <v>3013</v>
      </c>
      <c r="W3" s="5">
        <v>0</v>
      </c>
      <c r="X3" s="4" t="str">
        <f ca="1">VLOOKUP($Y3,OFFSET(enemy_skill_sets!$B$1,0,0,COUNTA(enemy_skill_sets!$B:$B),MATCH(M$1,enemy_skill_sets!$1:$1,0)-MATCH($Y$1,enemy_skill_sets!$1:$1,0)+2),MATCH(M$1,enemy_skill_sets!$1:$1,0)-MATCH($Y$1,enemy_skill_sets!$1:$1,0)+2,FALSE)</f>
        <v>[表示しない]</v>
      </c>
      <c r="Y3" s="46">
        <v>39012501</v>
      </c>
      <c r="Z3" s="6">
        <v>0</v>
      </c>
      <c r="AA3" s="6">
        <v>100</v>
      </c>
      <c r="AB3" s="6">
        <v>0</v>
      </c>
      <c r="AC3" s="122">
        <v>2</v>
      </c>
      <c r="AD3" s="116">
        <f t="shared" ref="AD3:AD10" si="6">L3</f>
        <v>1506</v>
      </c>
      <c r="AE3" s="4" t="str">
        <f ca="1">VLOOKUP($AD3,OFFSET([4]characters!$A$1,0,0,COUNTA([4]characters!$A:$A),MATCH(AE$1,[4]characters!$1:$1,0)-MATCH("character_id",[4]characters!$1:$1,0)+1),MATCH(AE$1,[4]characters!$1:$1,0)-MATCH("character_id",[4]characters!$1:$1,0)+1,FALSE)</f>
        <v>バトルネコ</v>
      </c>
      <c r="AF3" s="4">
        <f ca="1">VLOOKUP($AD3,OFFSET([4]characters!$A$1,0,0,COUNTA([4]characters!$A:$A),MATCH(AF$1,[4]characters!$1:$1,0)-MATCH("character_id",[4]characters!$1:$1,0)+1),MATCH(AF$1,[4]characters!$1:$1,0)-MATCH("character_id",[4]characters!$1:$1,0)+1,FALSE)</f>
        <v>2</v>
      </c>
      <c r="AG3" s="4" t="str">
        <f ca="1">VLOOKUP($AD3,OFFSET([4]characters!$A$1,0,0,COUNTA([4]characters!$A:$A),MATCH(AG$1,[4]characters!$1:$1,0)-MATCH("character_id",[4]characters!$1:$1,0)+1),MATCH(AG$1,[4]characters!$1:$1,0)-MATCH("character_id",[4]characters!$1:$1,0)+1,FALSE)</f>
        <v>Drop1S</v>
      </c>
      <c r="AH3" s="117">
        <v>1</v>
      </c>
      <c r="AI3" s="116">
        <f t="shared" ref="AI3:AI10" ca="1" si="7">AF3</f>
        <v>2</v>
      </c>
      <c r="AJ3" s="8">
        <v>0</v>
      </c>
      <c r="AK3" s="117">
        <v>0</v>
      </c>
      <c r="AL3" s="117">
        <v>0</v>
      </c>
      <c r="AM3" s="117">
        <v>0</v>
      </c>
      <c r="AN3" s="117">
        <v>0</v>
      </c>
      <c r="AO3" s="117">
        <v>1</v>
      </c>
      <c r="AP3" s="65">
        <v>1</v>
      </c>
      <c r="AR3" s="28" t="s">
        <v>336</v>
      </c>
      <c r="AS3" s="137">
        <v>2500</v>
      </c>
      <c r="AT3" s="137">
        <v>199</v>
      </c>
    </row>
    <row r="4" spans="1:46" ht="21" customHeight="1" x14ac:dyDescent="0.15">
      <c r="A4" s="16" t="str">
        <f t="shared" si="0"/>
        <v>39012_5-2/1508&lt;lv1&gt;s1</v>
      </c>
      <c r="B4" s="22">
        <v>39012</v>
      </c>
      <c r="C4" s="21">
        <v>5</v>
      </c>
      <c r="D4" s="2" t="str">
        <f t="shared" si="2"/>
        <v>39012_5</v>
      </c>
      <c r="E4" s="4" t="str">
        <f ca="1">VLOOKUP($B4,OFFSET([2]quests!$A$1,0,0,COUNTA([2]quests!$A:$A),MATCH(E$1,[2]quests!$1:$1,0)-MATCH($B$1,[2]quests!$1:$1,0)+1),MATCH(E$1,[2]quests!$1:$1,0)-MATCH($B$1,[2]quests!$1:$1,0)+1,FALSE)</f>
        <v>侵略！？にゃんこ軍団現る！</v>
      </c>
      <c r="F4" s="4" t="str">
        <f ca="1">VLOOKUP($D4,OFFSET([2]stages!$A$1,0,0,COUNTA([2]stages!$A:$A),MATCH(F$1,[2]stages!$2:$2,0)-MATCH($D$1,[2]stages!$2:$2,0)+1),MATCH(F$1,[2]stages!$2:$2,0)-MATCH($D$1,[2]stages!$2:$2,0)+1,FALSE)</f>
        <v>【激ムズ】侵略！？にゃんこ軍団現る！</v>
      </c>
      <c r="G4" s="114">
        <v>2</v>
      </c>
      <c r="H4" s="15" t="str">
        <f t="shared" si="3"/>
        <v>39012_5-2</v>
      </c>
      <c r="I4" s="4">
        <f ca="1">VLOOKUP($H4,OFFSET(floors!$A$1,0,0,COUNTA(floors!$A:$A),MATCH(I$1,floors!$1:$1,0)-MATCH($H$1,floors!$1:$1,0)+1),MATCH(I$1,floors!$1:$1,0)-MATCH($H$1,floors!$1:$1,0)+1,FALSE)</f>
        <v>60</v>
      </c>
      <c r="J4" s="4">
        <f ca="1">VLOOKUP($H4,OFFSET(floors!$A$1,0,0,COUNTA(floors!$A:$A),MATCH(J$1,floors!$1:$1,0)-MATCH($H$1,floors!$1:$1,0)+1),MATCH(J$1,floors!$1:$1,0)-MATCH($H$1,floors!$1:$1,0)+1,FALSE)</f>
        <v>60</v>
      </c>
      <c r="K4" s="37" t="s">
        <v>53</v>
      </c>
      <c r="L4" s="135">
        <v>1508</v>
      </c>
      <c r="M4" s="121" t="str">
        <f ca="1">VLOOKUP($L4,OFFSET([3]enemies!$A$1,0,0,COUNTA([3]enemies!$A:$A),MATCH(M$1,[3]enemies!$1:$1,0)-MATCH($L$1,[3]enemies!$1:$1,0)+1),MATCH(M$1,[3]enemies!$1:$1,0)-MATCH($L$1,[3]enemies!$1:$1,0)+1,FALSE)</f>
        <v>ネコノトリ</v>
      </c>
      <c r="N4" s="17" t="str">
        <f ca="1">VLOOKUP($L4,OFFSET([3]enemies!$A$1,0,0,COUNTA([3]enemies!$A:$A),MATCH(N$1,[3]enemies!$1:$1,0)-MATCH($L$1,[3]enemies!$1:$1,0)+1),MATCH(N$1,[3]enemies!$1:$1,0)-MATCH($L$1,[3]enemies!$1:$1,0)+1,FALSE)</f>
        <v>red</v>
      </c>
      <c r="O4" s="17" t="str">
        <f ca="1">VLOOKUP($L4,OFFSET([4]characters!$A$1,0,0,COUNTA([4]characters!$A:$A),MATCH(O$1,[4]characters!$1:$1,0)-MATCH($L$1,[4]characters!$1:$1,0)+1),MATCH(O$1,[4]characters!$1:$1,0)-MATCH($L$1,[4]characters!$1:$1,0)+1,FALSE)</f>
        <v>Drop2N</v>
      </c>
      <c r="P4" s="17" t="str">
        <f ca="1">VLOOKUP($L4,OFFSET([3]enemies!$A$1,0,0,COUNTA([3]enemies!$A:$A),MATCH(P$1,[3]enemies!$1:$1,0)-MATCH($L$1,[3]enemies!$1:$1,0)+1),MATCH(P$1,[3]enemies!$1:$1,0)-MATCH($L$1,[3]enemies!$1:$1,0)+1,FALSE)</f>
        <v>unknown</v>
      </c>
      <c r="Q4" s="17">
        <f ca="1">VLOOKUP($L4,OFFSET([3]enemies!$A$1,0,0,COUNTA([3]enemies!$A:$A),MATCH(Q$1,[3]enemies!$1:$1,0)-MATCH($L$1,[3]enemies!$1:$1,0)+1),MATCH(Q$1,[3]enemies!$1:$1,0)-MATCH($L$1,[3]enemies!$1:$1,0)+1,FALSE)</f>
        <v>30</v>
      </c>
      <c r="R4" s="5">
        <v>1</v>
      </c>
      <c r="S4" s="24">
        <v>6</v>
      </c>
      <c r="T4" s="98">
        <f t="shared" ca="1" si="4"/>
        <v>19500</v>
      </c>
      <c r="U4" s="24">
        <v>18</v>
      </c>
      <c r="V4" s="98">
        <f t="shared" ca="1" si="5"/>
        <v>4662</v>
      </c>
      <c r="W4" s="5">
        <v>0</v>
      </c>
      <c r="X4" s="4" t="str">
        <f ca="1">VLOOKUP($Y4,OFFSET(enemy_skill_sets!$B$1,0,0,COUNTA(enemy_skill_sets!$B:$B),MATCH(M$1,enemy_skill_sets!$1:$1,0)-MATCH($Y$1,enemy_skill_sets!$1:$1,0)+2),MATCH(M$1,enemy_skill_sets!$1:$1,0)-MATCH($Y$1,enemy_skill_sets!$1:$1,0)+2,FALSE)</f>
        <v>3ターン全ユニットの回復力30%DOWN</v>
      </c>
      <c r="Y4" s="46">
        <v>39012502</v>
      </c>
      <c r="Z4" s="6">
        <v>1</v>
      </c>
      <c r="AA4" s="6">
        <v>100</v>
      </c>
      <c r="AB4" s="6">
        <v>1</v>
      </c>
      <c r="AC4" s="122">
        <v>1</v>
      </c>
      <c r="AD4" s="116">
        <f t="shared" si="6"/>
        <v>1508</v>
      </c>
      <c r="AE4" s="4" t="str">
        <f ca="1">VLOOKUP($AD4,OFFSET([4]characters!$A$1,0,0,COUNTA([4]characters!$A:$A),MATCH(AE$1,[4]characters!$1:$1,0)-MATCH("character_id",[4]characters!$1:$1,0)+1),MATCH(AE$1,[4]characters!$1:$1,0)-MATCH("character_id",[4]characters!$1:$1,0)+1,FALSE)</f>
        <v>ネコノトリ</v>
      </c>
      <c r="AF4" s="4">
        <f ca="1">VLOOKUP($AD4,OFFSET([4]characters!$A$1,0,0,COUNTA([4]characters!$A:$A),MATCH(AF$1,[4]characters!$1:$1,0)-MATCH("character_id",[4]characters!$1:$1,0)+1),MATCH(AF$1,[4]characters!$1:$1,0)-MATCH("character_id",[4]characters!$1:$1,0)+1,FALSE)</f>
        <v>4</v>
      </c>
      <c r="AG4" s="4" t="str">
        <f ca="1">VLOOKUP($AD4,OFFSET([4]characters!$A$1,0,0,COUNTA([4]characters!$A:$A),MATCH(AG$1,[4]characters!$1:$1,0)-MATCH("character_id",[4]characters!$1:$1,0)+1),MATCH(AG$1,[4]characters!$1:$1,0)-MATCH("character_id",[4]characters!$1:$1,0)+1,FALSE)</f>
        <v>Drop2N</v>
      </c>
      <c r="AH4" s="117">
        <v>1</v>
      </c>
      <c r="AI4" s="116">
        <f t="shared" ca="1" si="7"/>
        <v>4</v>
      </c>
      <c r="AJ4" s="8">
        <v>0</v>
      </c>
      <c r="AK4" s="117">
        <v>0</v>
      </c>
      <c r="AL4" s="117">
        <v>0</v>
      </c>
      <c r="AM4" s="117">
        <v>0</v>
      </c>
      <c r="AN4" s="117">
        <v>0</v>
      </c>
      <c r="AO4" s="117">
        <v>1</v>
      </c>
      <c r="AP4" s="65">
        <v>1</v>
      </c>
      <c r="AR4" s="28" t="s">
        <v>337</v>
      </c>
      <c r="AS4" s="137">
        <v>3698</v>
      </c>
      <c r="AT4" s="137">
        <v>162</v>
      </c>
    </row>
    <row r="5" spans="1:46" ht="21" customHeight="1" x14ac:dyDescent="0.15">
      <c r="A5" s="16" t="str">
        <f t="shared" si="0"/>
        <v>39012_5-3/1507&lt;lv1&gt;s3</v>
      </c>
      <c r="B5" s="22">
        <v>39012</v>
      </c>
      <c r="C5" s="21">
        <v>5</v>
      </c>
      <c r="D5" s="2" t="str">
        <f t="shared" si="2"/>
        <v>39012_5</v>
      </c>
      <c r="E5" s="4" t="str">
        <f ca="1">VLOOKUP($B5,OFFSET([2]quests!$A$1,0,0,COUNTA([2]quests!$A:$A),MATCH(E$1,[2]quests!$1:$1,0)-MATCH($B$1,[2]quests!$1:$1,0)+1),MATCH(E$1,[2]quests!$1:$1,0)-MATCH($B$1,[2]quests!$1:$1,0)+1,FALSE)</f>
        <v>侵略！？にゃんこ軍団現る！</v>
      </c>
      <c r="F5" s="4" t="str">
        <f ca="1">VLOOKUP($D5,OFFSET([2]stages!$A$1,0,0,COUNTA([2]stages!$A:$A),MATCH(F$1,[2]stages!$2:$2,0)-MATCH($D$1,[2]stages!$2:$2,0)+1),MATCH(F$1,[2]stages!$2:$2,0)-MATCH($D$1,[2]stages!$2:$2,0)+1,FALSE)</f>
        <v>【激ムズ】侵略！？にゃんこ軍団現る！</v>
      </c>
      <c r="G5" s="114">
        <v>3</v>
      </c>
      <c r="H5" s="15" t="str">
        <f t="shared" si="3"/>
        <v>39012_5-3</v>
      </c>
      <c r="I5" s="4">
        <f ca="1">VLOOKUP($H5,OFFSET(floors!$A$1,0,0,COUNTA(floors!$A:$A),MATCH(I$1,floors!$1:$1,0)-MATCH($H$1,floors!$1:$1,0)+1),MATCH(I$1,floors!$1:$1,0)-MATCH($H$1,floors!$1:$1,0)+1,FALSE)</f>
        <v>50</v>
      </c>
      <c r="J5" s="4">
        <f ca="1">VLOOKUP($H5,OFFSET(floors!$A$1,0,0,COUNTA(floors!$A:$A),MATCH(J$1,floors!$1:$1,0)-MATCH($H$1,floors!$1:$1,0)+1),MATCH(J$1,floors!$1:$1,0)-MATCH($H$1,floors!$1:$1,0)+1,FALSE)</f>
        <v>50</v>
      </c>
      <c r="K5" s="37" t="s">
        <v>53</v>
      </c>
      <c r="L5" s="115">
        <v>1507</v>
      </c>
      <c r="M5" s="121" t="str">
        <f ca="1">VLOOKUP($L5,OFFSET([3]enemies!$A$1,0,0,COUNTA([3]enemies!$A:$A),MATCH(M$1,[3]enemies!$1:$1,0)-MATCH($L$1,[3]enemies!$1:$1,0)+1),MATCH(M$1,[3]enemies!$1:$1,0)-MATCH($L$1,[3]enemies!$1:$1,0)+1,FALSE)</f>
        <v>キモネコ</v>
      </c>
      <c r="N5" s="17" t="str">
        <f ca="1">VLOOKUP($L5,OFFSET([3]enemies!$A$1,0,0,COUNTA([3]enemies!$A:$A),MATCH(N$1,[3]enemies!$1:$1,0)-MATCH($L$1,[3]enemies!$1:$1,0)+1),MATCH(N$1,[3]enemies!$1:$1,0)-MATCH($L$1,[3]enemies!$1:$1,0)+1,FALSE)</f>
        <v>blue</v>
      </c>
      <c r="O5" s="17" t="str">
        <f ca="1">VLOOKUP($L5,OFFSET([4]characters!$A$1,0,0,COUNTA([4]characters!$A:$A),MATCH(O$1,[4]characters!$1:$1,0)-MATCH($L$1,[4]characters!$1:$1,0)+1),MATCH(O$1,[4]characters!$1:$1,0)-MATCH($L$1,[4]characters!$1:$1,0)+1,FALSE)</f>
        <v>Drop2N</v>
      </c>
      <c r="P5" s="17" t="str">
        <f ca="1">VLOOKUP($L5,OFFSET([3]enemies!$A$1,0,0,COUNTA([3]enemies!$A:$A),MATCH(P$1,[3]enemies!$1:$1,0)-MATCH($L$1,[3]enemies!$1:$1,0)+1),MATCH(P$1,[3]enemies!$1:$1,0)-MATCH($L$1,[3]enemies!$1:$1,0)+1,FALSE)</f>
        <v>unknown</v>
      </c>
      <c r="Q5" s="17">
        <f ca="1">VLOOKUP($L5,OFFSET([3]enemies!$A$1,0,0,COUNTA([3]enemies!$A:$A),MATCH(Q$1,[3]enemies!$1:$1,0)-MATCH($L$1,[3]enemies!$1:$1,0)+1),MATCH(Q$1,[3]enemies!$1:$1,0)-MATCH($L$1,[3]enemies!$1:$1,0)+1,FALSE)</f>
        <v>25</v>
      </c>
      <c r="R5" s="5">
        <v>1</v>
      </c>
      <c r="S5" s="24">
        <v>12</v>
      </c>
      <c r="T5" s="98">
        <f t="shared" ca="1" si="4"/>
        <v>32400</v>
      </c>
      <c r="U5" s="24">
        <v>16</v>
      </c>
      <c r="V5" s="98">
        <f t="shared" ca="1" si="5"/>
        <v>3440</v>
      </c>
      <c r="W5" s="5">
        <v>0</v>
      </c>
      <c r="X5" s="4" t="str">
        <f ca="1">VLOOKUP($Y5,OFFSET(enemy_skill_sets!$B$1,0,0,COUNTA(enemy_skill_sets!$B:$B),MATCH(M$1,enemy_skill_sets!$1:$1,0)-MATCH($Y$1,enemy_skill_sets!$1:$1,0)+2),MATCH(M$1,enemy_skill_sets!$1:$1,0)-MATCH($Y$1,enemy_skill_sets!$1:$1,0)+2,FALSE)</f>
        <v>クリティカル！</v>
      </c>
      <c r="Y5" s="46">
        <v>39012503</v>
      </c>
      <c r="Z5" s="6">
        <v>0</v>
      </c>
      <c r="AA5" s="6">
        <v>100</v>
      </c>
      <c r="AB5" s="6">
        <v>0</v>
      </c>
      <c r="AC5" s="122">
        <v>3</v>
      </c>
      <c r="AD5" s="116">
        <f t="shared" si="6"/>
        <v>1507</v>
      </c>
      <c r="AE5" s="4" t="str">
        <f ca="1">VLOOKUP($AD5,OFFSET([4]characters!$A$1,0,0,COUNTA([4]characters!$A:$A),MATCH(AE$1,[4]characters!$1:$1,0)-MATCH("character_id",[4]characters!$1:$1,0)+1),MATCH(AE$1,[4]characters!$1:$1,0)-MATCH("character_id",[4]characters!$1:$1,0)+1,FALSE)</f>
        <v>キモネコ</v>
      </c>
      <c r="AF5" s="4">
        <f ca="1">VLOOKUP($AD5,OFFSET([4]characters!$A$1,0,0,COUNTA([4]characters!$A:$A),MATCH(AF$1,[4]characters!$1:$1,0)-MATCH("character_id",[4]characters!$1:$1,0)+1),MATCH(AF$1,[4]characters!$1:$1,0)-MATCH("character_id",[4]characters!$1:$1,0)+1,FALSE)</f>
        <v>3</v>
      </c>
      <c r="AG5" s="4" t="str">
        <f ca="1">VLOOKUP($AD5,OFFSET([4]characters!$A$1,0,0,COUNTA([4]characters!$A:$A),MATCH(AG$1,[4]characters!$1:$1,0)-MATCH("character_id",[4]characters!$1:$1,0)+1),MATCH(AG$1,[4]characters!$1:$1,0)-MATCH("character_id",[4]characters!$1:$1,0)+1,FALSE)</f>
        <v>Drop2N</v>
      </c>
      <c r="AH5" s="117">
        <v>1</v>
      </c>
      <c r="AI5" s="116">
        <f t="shared" ca="1" si="7"/>
        <v>3</v>
      </c>
      <c r="AJ5" s="8">
        <v>0</v>
      </c>
      <c r="AK5" s="117">
        <v>0</v>
      </c>
      <c r="AL5" s="117">
        <v>0</v>
      </c>
      <c r="AM5" s="117">
        <v>0</v>
      </c>
      <c r="AN5" s="117">
        <v>0</v>
      </c>
      <c r="AO5" s="117">
        <v>1</v>
      </c>
      <c r="AP5" s="65">
        <v>1</v>
      </c>
      <c r="AR5" s="28" t="s">
        <v>338</v>
      </c>
      <c r="AS5" s="137">
        <v>2450</v>
      </c>
      <c r="AT5" s="137">
        <v>262</v>
      </c>
    </row>
    <row r="6" spans="1:46" ht="21" customHeight="1" x14ac:dyDescent="0.15">
      <c r="A6" s="16" t="str">
        <f>B6&amp;"_"&amp;C6&amp;"-"&amp;G6&amp;"/"&amp;L6&amp;"&lt;lv"&amp;R6&amp;"&gt;s"&amp;AC6</f>
        <v>39012_5-4/1504&lt;lv1&gt;s2</v>
      </c>
      <c r="B6" s="22">
        <v>39012</v>
      </c>
      <c r="C6" s="21">
        <v>5</v>
      </c>
      <c r="D6" s="2" t="str">
        <f>B6&amp;"_"&amp;C6</f>
        <v>39012_5</v>
      </c>
      <c r="E6" s="4" t="str">
        <f ca="1">VLOOKUP($B6,OFFSET([2]quests!$A$1,0,0,COUNTA([2]quests!$A:$A),MATCH(E$1,[2]quests!$1:$1,0)-MATCH($B$1,[2]quests!$1:$1,0)+1),MATCH(E$1,[2]quests!$1:$1,0)-MATCH($B$1,[2]quests!$1:$1,0)+1,FALSE)</f>
        <v>侵略！？にゃんこ軍団現る！</v>
      </c>
      <c r="F6" s="4" t="str">
        <f ca="1">VLOOKUP($D6,OFFSET([2]stages!$A$1,0,0,COUNTA([2]stages!$A:$A),MATCH(F$1,[2]stages!$2:$2,0)-MATCH($D$1,[2]stages!$2:$2,0)+1),MATCH(F$1,[2]stages!$2:$2,0)-MATCH($D$1,[2]stages!$2:$2,0)+1,FALSE)</f>
        <v>【激ムズ】侵略！？にゃんこ軍団現る！</v>
      </c>
      <c r="G6" s="114">
        <v>4</v>
      </c>
      <c r="H6" s="15" t="str">
        <f>B6&amp;"_"&amp;C6&amp;"-"&amp;G6</f>
        <v>39012_5-4</v>
      </c>
      <c r="I6" s="4">
        <f ca="1">VLOOKUP($H6,OFFSET(floors!$A$1,0,0,COUNTA(floors!$A:$A),MATCH(I$1,floors!$1:$1,0)-MATCH($H$1,floors!$1:$1,0)+1),MATCH(I$1,floors!$1:$1,0)-MATCH($H$1,floors!$1:$1,0)+1,FALSE)</f>
        <v>45</v>
      </c>
      <c r="J6" s="4">
        <f ca="1">VLOOKUP($H6,OFFSET(floors!$A$1,0,0,COUNTA(floors!$A:$A),MATCH(J$1,floors!$1:$1,0)-MATCH($H$1,floors!$1:$1,0)+1),MATCH(J$1,floors!$1:$1,0)-MATCH($H$1,floors!$1:$1,0)+1,FALSE)</f>
        <v>45</v>
      </c>
      <c r="K6" s="37" t="s">
        <v>53</v>
      </c>
      <c r="L6" s="135">
        <v>1504</v>
      </c>
      <c r="M6" s="121" t="str">
        <f ca="1">VLOOKUP($L6,OFFSET([3]enemies!$A$1,0,0,COUNTA([3]enemies!$A:$A),MATCH(M$1,[3]enemies!$1:$1,0)-MATCH($L$1,[3]enemies!$1:$1,0)+1),MATCH(M$1,[3]enemies!$1:$1,0)-MATCH($L$1,[3]enemies!$1:$1,0)+1,FALSE)</f>
        <v>ネコ</v>
      </c>
      <c r="N6" s="17" t="str">
        <f ca="1">VLOOKUP($L6,OFFSET([3]enemies!$A$1,0,0,COUNTA([3]enemies!$A:$A),MATCH(N$1,[3]enemies!$1:$1,0)-MATCH($L$1,[3]enemies!$1:$1,0)+1),MATCH(N$1,[3]enemies!$1:$1,0)-MATCH($L$1,[3]enemies!$1:$1,0)+1,FALSE)</f>
        <v>red</v>
      </c>
      <c r="O6" s="17" t="str">
        <f ca="1">VLOOKUP($L6,OFFSET([4]characters!$A$1,0,0,COUNTA([4]characters!$A:$A),MATCH(O$1,[4]characters!$1:$1,0)-MATCH($L$1,[4]characters!$1:$1,0)+1),MATCH(O$1,[4]characters!$1:$1,0)-MATCH($L$1,[4]characters!$1:$1,0)+1,FALSE)</f>
        <v>Drop1T</v>
      </c>
      <c r="P6" s="17" t="str">
        <f ca="1">VLOOKUP($L6,OFFSET([3]enemies!$A$1,0,0,COUNTA([3]enemies!$A:$A),MATCH(P$1,[3]enemies!$1:$1,0)-MATCH($L$1,[3]enemies!$1:$1,0)+1),MATCH(P$1,[3]enemies!$1:$1,0)-MATCH($L$1,[3]enemies!$1:$1,0)+1,FALSE)</f>
        <v>unknown</v>
      </c>
      <c r="Q6" s="17">
        <f ca="1">VLOOKUP($L6,OFFSET([3]enemies!$A$1,0,0,COUNTA([3]enemies!$A:$A),MATCH(Q$1,[3]enemies!$1:$1,0)-MATCH($L$1,[3]enemies!$1:$1,0)+1),MATCH(Q$1,[3]enemies!$1:$1,0)-MATCH($L$1,[3]enemies!$1:$1,0)+1,FALSE)</f>
        <v>15</v>
      </c>
      <c r="R6" s="5">
        <v>1</v>
      </c>
      <c r="S6" s="24">
        <v>8</v>
      </c>
      <c r="T6" s="98">
        <f t="shared" ca="1" si="4"/>
        <v>20000</v>
      </c>
      <c r="U6" s="24">
        <v>13</v>
      </c>
      <c r="V6" s="98">
        <f t="shared" ca="1" si="5"/>
        <v>2587</v>
      </c>
      <c r="W6" s="5">
        <v>0</v>
      </c>
      <c r="X6" s="4" t="str">
        <f ca="1">VLOOKUP($Y6,OFFSET(enemy_skill_sets!$B$1,0,0,COUNTA(enemy_skill_sets!$B:$B),MATCH(M$1,enemy_skill_sets!$1:$1,0)-MATCH($Y$1,enemy_skill_sets!$1:$1,0)+2),MATCH(M$1,enemy_skill_sets!$1:$1,0)-MATCH($Y$1,enemy_skill_sets!$1:$1,0)+2,FALSE)</f>
        <v>クリティカル！</v>
      </c>
      <c r="Y6" s="46">
        <v>39012504</v>
      </c>
      <c r="Z6" s="6">
        <v>1</v>
      </c>
      <c r="AA6" s="6">
        <v>100</v>
      </c>
      <c r="AB6" s="6">
        <v>0</v>
      </c>
      <c r="AC6" s="122">
        <v>2</v>
      </c>
      <c r="AD6" s="116">
        <f>L6</f>
        <v>1504</v>
      </c>
      <c r="AE6" s="4" t="str">
        <f ca="1">VLOOKUP($AD6,OFFSET([4]characters!$A$1,0,0,COUNTA([4]characters!$A:$A),MATCH(AE$1,[4]characters!$1:$1,0)-MATCH("character_id",[4]characters!$1:$1,0)+1),MATCH(AE$1,[4]characters!$1:$1,0)-MATCH("character_id",[4]characters!$1:$1,0)+1,FALSE)</f>
        <v>ネコ</v>
      </c>
      <c r="AF6" s="4">
        <f ca="1">VLOOKUP($AD6,OFFSET([4]characters!$A$1,0,0,COUNTA([4]characters!$A:$A),MATCH(AF$1,[4]characters!$1:$1,0)-MATCH("character_id",[4]characters!$1:$1,0)+1),MATCH(AF$1,[4]characters!$1:$1,0)-MATCH("character_id",[4]characters!$1:$1,0)+1,FALSE)</f>
        <v>1</v>
      </c>
      <c r="AG6" s="4" t="str">
        <f ca="1">VLOOKUP($AD6,OFFSET([4]characters!$A$1,0,0,COUNTA([4]characters!$A:$A),MATCH(AG$1,[4]characters!$1:$1,0)-MATCH("character_id",[4]characters!$1:$1,0)+1),MATCH(AG$1,[4]characters!$1:$1,0)-MATCH("character_id",[4]characters!$1:$1,0)+1,FALSE)</f>
        <v>Drop1T</v>
      </c>
      <c r="AH6" s="117">
        <v>1</v>
      </c>
      <c r="AI6" s="116">
        <f ca="1">AF6</f>
        <v>1</v>
      </c>
      <c r="AJ6" s="8">
        <v>0</v>
      </c>
      <c r="AK6" s="117">
        <v>0</v>
      </c>
      <c r="AL6" s="117">
        <v>0</v>
      </c>
      <c r="AM6" s="117">
        <v>0</v>
      </c>
      <c r="AN6" s="117">
        <v>0</v>
      </c>
      <c r="AO6" s="117">
        <v>1</v>
      </c>
      <c r="AP6" s="65">
        <v>1</v>
      </c>
      <c r="AR6" s="28" t="s">
        <v>339</v>
      </c>
      <c r="AS6" s="137">
        <v>2700</v>
      </c>
      <c r="AT6" s="137">
        <v>215</v>
      </c>
    </row>
    <row r="7" spans="1:46" ht="21" customHeight="1" x14ac:dyDescent="0.15">
      <c r="A7" s="16" t="str">
        <f>B7&amp;"_"&amp;C7&amp;"-"&amp;G7&amp;"/"&amp;L7&amp;"&lt;lv"&amp;R7&amp;"&gt;s"&amp;AC7</f>
        <v>39012_5-4/1506&lt;lv1&gt;s2</v>
      </c>
      <c r="B7" s="22">
        <v>39012</v>
      </c>
      <c r="C7" s="21">
        <v>5</v>
      </c>
      <c r="D7" s="2" t="str">
        <f>B7&amp;"_"&amp;C7</f>
        <v>39012_5</v>
      </c>
      <c r="E7" s="4" t="str">
        <f ca="1">VLOOKUP($B7,OFFSET([2]quests!$A$1,0,0,COUNTA([2]quests!$A:$A),MATCH(E$1,[2]quests!$1:$1,0)-MATCH($B$1,[2]quests!$1:$1,0)+1),MATCH(E$1,[2]quests!$1:$1,0)-MATCH($B$1,[2]quests!$1:$1,0)+1,FALSE)</f>
        <v>侵略！？にゃんこ軍団現る！</v>
      </c>
      <c r="F7" s="4" t="str">
        <f ca="1">VLOOKUP($D7,OFFSET([2]stages!$A$1,0,0,COUNTA([2]stages!$A:$A),MATCH(F$1,[2]stages!$2:$2,0)-MATCH($D$1,[2]stages!$2:$2,0)+1),MATCH(F$1,[2]stages!$2:$2,0)-MATCH($D$1,[2]stages!$2:$2,0)+1,FALSE)</f>
        <v>【激ムズ】侵略！？にゃんこ軍団現る！</v>
      </c>
      <c r="G7" s="114">
        <v>4</v>
      </c>
      <c r="H7" s="15" t="str">
        <f>B7&amp;"_"&amp;C7&amp;"-"&amp;G7</f>
        <v>39012_5-4</v>
      </c>
      <c r="I7" s="4">
        <f ca="1">VLOOKUP($H7,OFFSET(floors!$A$1,0,0,COUNTA(floors!$A:$A),MATCH(I$1,floors!$1:$1,0)-MATCH($H$1,floors!$1:$1,0)+1),MATCH(I$1,floors!$1:$1,0)-MATCH($H$1,floors!$1:$1,0)+1,FALSE)</f>
        <v>45</v>
      </c>
      <c r="J7" s="4">
        <f ca="1">VLOOKUP($H7,OFFSET(floors!$A$1,0,0,COUNTA(floors!$A:$A),MATCH(J$1,floors!$1:$1,0)-MATCH($H$1,floors!$1:$1,0)+1),MATCH(J$1,floors!$1:$1,0)-MATCH($H$1,floors!$1:$1,0)+1,FALSE)</f>
        <v>45</v>
      </c>
      <c r="K7" s="37" t="s">
        <v>53</v>
      </c>
      <c r="L7" s="135">
        <v>1506</v>
      </c>
      <c r="M7" s="121" t="str">
        <f ca="1">VLOOKUP($L7,OFFSET([3]enemies!$A$1,0,0,COUNTA([3]enemies!$A:$A),MATCH(M$1,[3]enemies!$1:$1,0)-MATCH($L$1,[3]enemies!$1:$1,0)+1),MATCH(M$1,[3]enemies!$1:$1,0)-MATCH($L$1,[3]enemies!$1:$1,0)+1,FALSE)</f>
        <v>バトルネコ</v>
      </c>
      <c r="N7" s="17" t="str">
        <f ca="1">VLOOKUP($L7,OFFSET([3]enemies!$A$1,0,0,COUNTA([3]enemies!$A:$A),MATCH(N$1,[3]enemies!$1:$1,0)-MATCH($L$1,[3]enemies!$1:$1,0)+1),MATCH(N$1,[3]enemies!$1:$1,0)-MATCH($L$1,[3]enemies!$1:$1,0)+1,FALSE)</f>
        <v>yellow</v>
      </c>
      <c r="O7" s="17" t="str">
        <f ca="1">VLOOKUP($L7,OFFSET([4]characters!$A$1,0,0,COUNTA([4]characters!$A:$A),MATCH(O$1,[4]characters!$1:$1,0)-MATCH($L$1,[4]characters!$1:$1,0)+1),MATCH(O$1,[4]characters!$1:$1,0)-MATCH($L$1,[4]characters!$1:$1,0)+1,FALSE)</f>
        <v>Drop1S</v>
      </c>
      <c r="P7" s="17" t="str">
        <f ca="1">VLOOKUP($L7,OFFSET([3]enemies!$A$1,0,0,COUNTA([3]enemies!$A:$A),MATCH(P$1,[3]enemies!$1:$1,0)-MATCH($L$1,[3]enemies!$1:$1,0)+1),MATCH(P$1,[3]enemies!$1:$1,0)-MATCH($L$1,[3]enemies!$1:$1,0)+1,FALSE)</f>
        <v>unknown</v>
      </c>
      <c r="Q7" s="17">
        <f ca="1">VLOOKUP($L7,OFFSET([3]enemies!$A$1,0,0,COUNTA([3]enemies!$A:$A),MATCH(Q$1,[3]enemies!$1:$1,0)-MATCH($L$1,[3]enemies!$1:$1,0)+1),MATCH(Q$1,[3]enemies!$1:$1,0)-MATCH($L$1,[3]enemies!$1:$1,0)+1,FALSE)</f>
        <v>15</v>
      </c>
      <c r="R7" s="5">
        <v>1</v>
      </c>
      <c r="S7" s="24">
        <v>12</v>
      </c>
      <c r="T7" s="98">
        <f t="shared" ca="1" si="4"/>
        <v>29400</v>
      </c>
      <c r="U7" s="24">
        <v>12</v>
      </c>
      <c r="V7" s="98">
        <f t="shared" ca="1" si="5"/>
        <v>3144</v>
      </c>
      <c r="W7" s="5">
        <v>0</v>
      </c>
      <c r="X7" s="4" t="str">
        <f ca="1">VLOOKUP($Y7,OFFSET(enemy_skill_sets!$B$1,0,0,COUNTA(enemy_skill_sets!$B:$B),MATCH(M$1,enemy_skill_sets!$1:$1,0)-MATCH($Y$1,enemy_skill_sets!$1:$1,0)+2),MATCH(M$1,enemy_skill_sets!$1:$1,0)-MATCH($Y$1,enemy_skill_sets!$1:$1,0)+2,FALSE)</f>
        <v>クリティカル！</v>
      </c>
      <c r="Y7" s="46">
        <v>39012505</v>
      </c>
      <c r="Z7" s="6">
        <v>1</v>
      </c>
      <c r="AA7" s="6">
        <v>100</v>
      </c>
      <c r="AB7" s="6">
        <v>0</v>
      </c>
      <c r="AC7" s="122">
        <v>2</v>
      </c>
      <c r="AD7" s="116">
        <f>L7</f>
        <v>1506</v>
      </c>
      <c r="AE7" s="4" t="str">
        <f ca="1">VLOOKUP($AD7,OFFSET([4]characters!$A$1,0,0,COUNTA([4]characters!$A:$A),MATCH(AE$1,[4]characters!$1:$1,0)-MATCH("character_id",[4]characters!$1:$1,0)+1),MATCH(AE$1,[4]characters!$1:$1,0)-MATCH("character_id",[4]characters!$1:$1,0)+1,FALSE)</f>
        <v>バトルネコ</v>
      </c>
      <c r="AF7" s="4">
        <f ca="1">VLOOKUP($AD7,OFFSET([4]characters!$A$1,0,0,COUNTA([4]characters!$A:$A),MATCH(AF$1,[4]characters!$1:$1,0)-MATCH("character_id",[4]characters!$1:$1,0)+1),MATCH(AF$1,[4]characters!$1:$1,0)-MATCH("character_id",[4]characters!$1:$1,0)+1,FALSE)</f>
        <v>2</v>
      </c>
      <c r="AG7" s="4" t="str">
        <f ca="1">VLOOKUP($AD7,OFFSET([4]characters!$A$1,0,0,COUNTA([4]characters!$A:$A),MATCH(AG$1,[4]characters!$1:$1,0)-MATCH("character_id",[4]characters!$1:$1,0)+1),MATCH(AG$1,[4]characters!$1:$1,0)-MATCH("character_id",[4]characters!$1:$1,0)+1,FALSE)</f>
        <v>Drop1S</v>
      </c>
      <c r="AH7" s="117">
        <v>1</v>
      </c>
      <c r="AI7" s="116">
        <f ca="1">AF7</f>
        <v>2</v>
      </c>
      <c r="AJ7" s="8">
        <v>0</v>
      </c>
      <c r="AK7" s="117">
        <v>0</v>
      </c>
      <c r="AL7" s="117">
        <v>0</v>
      </c>
      <c r="AM7" s="117">
        <v>0</v>
      </c>
      <c r="AN7" s="117">
        <v>0</v>
      </c>
      <c r="AO7" s="117">
        <v>1</v>
      </c>
      <c r="AP7" s="65">
        <v>1</v>
      </c>
      <c r="AR7" s="28" t="s">
        <v>340</v>
      </c>
      <c r="AS7" s="137">
        <v>3250</v>
      </c>
      <c r="AT7" s="137">
        <v>259</v>
      </c>
    </row>
    <row r="8" spans="1:46" ht="21" customHeight="1" x14ac:dyDescent="0.15">
      <c r="A8" s="16" t="str">
        <f>B8&amp;"_"&amp;C8&amp;"-"&amp;G8&amp;"/"&amp;L8&amp;"&lt;lv"&amp;R8&amp;"&gt;s"&amp;AC8</f>
        <v>39012_5-4/1505&lt;lv1&gt;s2</v>
      </c>
      <c r="B8" s="22">
        <v>39012</v>
      </c>
      <c r="C8" s="21">
        <v>5</v>
      </c>
      <c r="D8" s="2" t="str">
        <f>B8&amp;"_"&amp;C8</f>
        <v>39012_5</v>
      </c>
      <c r="E8" s="4" t="str">
        <f ca="1">VLOOKUP($B8,OFFSET([2]quests!$A$1,0,0,COUNTA([2]quests!$A:$A),MATCH(E$1,[2]quests!$1:$1,0)-MATCH($B$1,[2]quests!$1:$1,0)+1),MATCH(E$1,[2]quests!$1:$1,0)-MATCH($B$1,[2]quests!$1:$1,0)+1,FALSE)</f>
        <v>侵略！？にゃんこ軍団現る！</v>
      </c>
      <c r="F8" s="4" t="str">
        <f ca="1">VLOOKUP($D8,OFFSET([2]stages!$A$1,0,0,COUNTA([2]stages!$A:$A),MATCH(F$1,[2]stages!$2:$2,0)-MATCH($D$1,[2]stages!$2:$2,0)+1),MATCH(F$1,[2]stages!$2:$2,0)-MATCH($D$1,[2]stages!$2:$2,0)+1,FALSE)</f>
        <v>【激ムズ】侵略！？にゃんこ軍団現る！</v>
      </c>
      <c r="G8" s="114">
        <v>4</v>
      </c>
      <c r="H8" s="15" t="str">
        <f>B8&amp;"_"&amp;C8&amp;"-"&amp;G8</f>
        <v>39012_5-4</v>
      </c>
      <c r="I8" s="4">
        <f ca="1">VLOOKUP($H8,OFFSET(floors!$A$1,0,0,COUNTA(floors!$A:$A),MATCH(I$1,floors!$1:$1,0)-MATCH($H$1,floors!$1:$1,0)+1),MATCH(I$1,floors!$1:$1,0)-MATCH($H$1,floors!$1:$1,0)+1,FALSE)</f>
        <v>45</v>
      </c>
      <c r="J8" s="4">
        <f ca="1">VLOOKUP($H8,OFFSET(floors!$A$1,0,0,COUNTA(floors!$A:$A),MATCH(J$1,floors!$1:$1,0)-MATCH($H$1,floors!$1:$1,0)+1),MATCH(J$1,floors!$1:$1,0)-MATCH($H$1,floors!$1:$1,0)+1,FALSE)</f>
        <v>45</v>
      </c>
      <c r="K8" s="37" t="s">
        <v>53</v>
      </c>
      <c r="L8" s="115">
        <v>1505</v>
      </c>
      <c r="M8" s="121" t="str">
        <f ca="1">VLOOKUP($L8,OFFSET([3]enemies!$A$1,0,0,COUNTA([3]enemies!$A:$A),MATCH(M$1,[3]enemies!$1:$1,0)-MATCH($L$1,[3]enemies!$1:$1,0)+1),MATCH(M$1,[3]enemies!$1:$1,0)-MATCH($L$1,[3]enemies!$1:$1,0)+1,FALSE)</f>
        <v>タンクネコ</v>
      </c>
      <c r="N8" s="17" t="str">
        <f ca="1">VLOOKUP($L8,OFFSET([3]enemies!$A$1,0,0,COUNTA([3]enemies!$A:$A),MATCH(N$1,[3]enemies!$1:$1,0)-MATCH($L$1,[3]enemies!$1:$1,0)+1),MATCH(N$1,[3]enemies!$1:$1,0)-MATCH($L$1,[3]enemies!$1:$1,0)+1,FALSE)</f>
        <v>green</v>
      </c>
      <c r="O8" s="17" t="str">
        <f ca="1">VLOOKUP($L8,OFFSET([4]characters!$A$1,0,0,COUNTA([4]characters!$A:$A),MATCH(O$1,[4]characters!$1:$1,0)-MATCH($L$1,[4]characters!$1:$1,0)+1),MATCH(O$1,[4]characters!$1:$1,0)-MATCH($L$1,[4]characters!$1:$1,0)+1,FALSE)</f>
        <v>Drop1T</v>
      </c>
      <c r="P8" s="17" t="str">
        <f ca="1">VLOOKUP($L8,OFFSET([3]enemies!$A$1,0,0,COUNTA([3]enemies!$A:$A),MATCH(P$1,[3]enemies!$1:$1,0)-MATCH($L$1,[3]enemies!$1:$1,0)+1),MATCH(P$1,[3]enemies!$1:$1,0)-MATCH($L$1,[3]enemies!$1:$1,0)+1,FALSE)</f>
        <v>unknown</v>
      </c>
      <c r="Q8" s="17">
        <f ca="1">VLOOKUP($L8,OFFSET([3]enemies!$A$1,0,0,COUNTA([3]enemies!$A:$A),MATCH(Q$1,[3]enemies!$1:$1,0)-MATCH($L$1,[3]enemies!$1:$1,0)+1),MATCH(Q$1,[3]enemies!$1:$1,0)-MATCH($L$1,[3]enemies!$1:$1,0)+1,FALSE)</f>
        <v>15</v>
      </c>
      <c r="R8" s="5">
        <v>1</v>
      </c>
      <c r="S8" s="24">
        <v>15</v>
      </c>
      <c r="T8" s="98">
        <f t="shared" ca="1" si="4"/>
        <v>55470</v>
      </c>
      <c r="U8" s="178">
        <v>6.85</v>
      </c>
      <c r="V8" s="98">
        <f t="shared" ca="1" si="5"/>
        <v>1109.7</v>
      </c>
      <c r="W8" s="5">
        <v>0</v>
      </c>
      <c r="X8" s="4" t="str">
        <f ca="1">VLOOKUP($Y8,OFFSET(enemy_skill_sets!$B$1,0,0,COUNTA(enemy_skill_sets!$B:$B),MATCH(M$1,enemy_skill_sets!$1:$1,0)-MATCH($Y$1,enemy_skill_sets!$1:$1,0)+2),MATCH(M$1,enemy_skill_sets!$1:$1,0)-MATCH($Y$1,enemy_skill_sets!$1:$1,0)+2,FALSE)</f>
        <v>1ターン自身の防御力UP</v>
      </c>
      <c r="Y8" s="46">
        <v>39012506</v>
      </c>
      <c r="Z8" s="6">
        <v>1</v>
      </c>
      <c r="AA8" s="6">
        <v>100</v>
      </c>
      <c r="AB8" s="6">
        <v>0</v>
      </c>
      <c r="AC8" s="122">
        <v>2</v>
      </c>
      <c r="AD8" s="116">
        <f>L8</f>
        <v>1505</v>
      </c>
      <c r="AE8" s="4" t="str">
        <f ca="1">VLOOKUP($AD8,OFFSET([4]characters!$A$1,0,0,COUNTA([4]characters!$A:$A),MATCH(AE$1,[4]characters!$1:$1,0)-MATCH("character_id",[4]characters!$1:$1,0)+1),MATCH(AE$1,[4]characters!$1:$1,0)-MATCH("character_id",[4]characters!$1:$1,0)+1,FALSE)</f>
        <v>タンクネコ</v>
      </c>
      <c r="AF8" s="4">
        <f ca="1">VLOOKUP($AD8,OFFSET([4]characters!$A$1,0,0,COUNTA([4]characters!$A:$A),MATCH(AF$1,[4]characters!$1:$1,0)-MATCH("character_id",[4]characters!$1:$1,0)+1),MATCH(AF$1,[4]characters!$1:$1,0)-MATCH("character_id",[4]characters!$1:$1,0)+1,FALSE)</f>
        <v>1</v>
      </c>
      <c r="AG8" s="4" t="str">
        <f ca="1">VLOOKUP($AD8,OFFSET([4]characters!$A$1,0,0,COUNTA([4]characters!$A:$A),MATCH(AG$1,[4]characters!$1:$1,0)-MATCH("character_id",[4]characters!$1:$1,0)+1),MATCH(AG$1,[4]characters!$1:$1,0)-MATCH("character_id",[4]characters!$1:$1,0)+1,FALSE)</f>
        <v>Drop1T</v>
      </c>
      <c r="AH8" s="117">
        <v>1</v>
      </c>
      <c r="AI8" s="116">
        <f ca="1">AF8</f>
        <v>1</v>
      </c>
      <c r="AJ8" s="8">
        <v>0</v>
      </c>
      <c r="AK8" s="117">
        <v>0</v>
      </c>
      <c r="AL8" s="117">
        <v>0</v>
      </c>
      <c r="AM8" s="117">
        <v>0</v>
      </c>
      <c r="AN8" s="117">
        <v>0</v>
      </c>
      <c r="AO8" s="117">
        <v>1</v>
      </c>
      <c r="AP8" s="65">
        <v>1</v>
      </c>
      <c r="AR8" s="28" t="s">
        <v>341</v>
      </c>
      <c r="AS8" s="137">
        <v>6034</v>
      </c>
      <c r="AT8" s="137">
        <v>232</v>
      </c>
    </row>
    <row r="9" spans="1:46" ht="21" customHeight="1" x14ac:dyDescent="0.15">
      <c r="A9" s="16" t="str">
        <f t="shared" si="0"/>
        <v>39012_5-5/1509&lt;lv1&gt;s3</v>
      </c>
      <c r="B9" s="22">
        <v>39012</v>
      </c>
      <c r="C9" s="21">
        <v>5</v>
      </c>
      <c r="D9" s="2" t="str">
        <f t="shared" si="2"/>
        <v>39012_5</v>
      </c>
      <c r="E9" s="4" t="str">
        <f ca="1">VLOOKUP($B9,OFFSET([2]quests!$A$1,0,0,COUNTA([2]quests!$A:$A),MATCH(E$1,[2]quests!$1:$1,0)-MATCH($B$1,[2]quests!$1:$1,0)+1),MATCH(E$1,[2]quests!$1:$1,0)-MATCH($B$1,[2]quests!$1:$1,0)+1,FALSE)</f>
        <v>侵略！？にゃんこ軍団現る！</v>
      </c>
      <c r="F9" s="4" t="str">
        <f ca="1">VLOOKUP($D9,OFFSET([2]stages!$A$1,0,0,COUNTA([2]stages!$A:$A),MATCH(F$1,[2]stages!$2:$2,0)-MATCH($D$1,[2]stages!$2:$2,0)+1),MATCH(F$1,[2]stages!$2:$2,0)-MATCH($D$1,[2]stages!$2:$2,0)+1,FALSE)</f>
        <v>【激ムズ】侵略！？にゃんこ軍団現る！</v>
      </c>
      <c r="G9" s="114">
        <v>5</v>
      </c>
      <c r="H9" s="15" t="str">
        <f t="shared" si="3"/>
        <v>39012_5-5</v>
      </c>
      <c r="I9" s="4">
        <f ca="1">VLOOKUP($H9,OFFSET(floors!$A$1,0,0,COUNTA(floors!$A:$A),MATCH(I$1,floors!$1:$1,0)-MATCH($H$1,floors!$1:$1,0)+1),MATCH(I$1,floors!$1:$1,0)-MATCH($H$1,floors!$1:$1,0)+1,FALSE)</f>
        <v>60</v>
      </c>
      <c r="J9" s="4">
        <f ca="1">VLOOKUP($H9,OFFSET(floors!$A$1,0,0,COUNTA(floors!$A:$A),MATCH(J$1,floors!$1:$1,0)-MATCH($H$1,floors!$1:$1,0)+1),MATCH(J$1,floors!$1:$1,0)-MATCH($H$1,floors!$1:$1,0)+1,FALSE)</f>
        <v>60</v>
      </c>
      <c r="K9" s="37" t="s">
        <v>53</v>
      </c>
      <c r="L9" s="115">
        <v>1509</v>
      </c>
      <c r="M9" s="121" t="str">
        <f ca="1">VLOOKUP($L9,OFFSET([3]enemies!$A$1,0,0,COUNTA([3]enemies!$A:$A),MATCH(M$1,[3]enemies!$1:$1,0)-MATCH($L$1,[3]enemies!$1:$1,0)+1),MATCH(M$1,[3]enemies!$1:$1,0)-MATCH($L$1,[3]enemies!$1:$1,0)+1,FALSE)</f>
        <v>巨神ネコ</v>
      </c>
      <c r="N9" s="17" t="str">
        <f ca="1">VLOOKUP($L9,OFFSET([3]enemies!$A$1,0,0,COUNTA([3]enemies!$A:$A),MATCH(N$1,[3]enemies!$1:$1,0)-MATCH($L$1,[3]enemies!$1:$1,0)+1),MATCH(N$1,[3]enemies!$1:$1,0)-MATCH($L$1,[3]enemies!$1:$1,0)+1,FALSE)</f>
        <v>green</v>
      </c>
      <c r="O9" s="17" t="str">
        <f ca="1">VLOOKUP($L9,OFFSET([4]characters!$A$1,0,0,COUNTA([4]characters!$A:$A),MATCH(O$1,[4]characters!$1:$1,0)-MATCH($L$1,[4]characters!$1:$1,0)+1),MATCH(O$1,[4]characters!$1:$1,0)-MATCH($L$1,[4]characters!$1:$1,0)+1,FALSE)</f>
        <v>Drop2N</v>
      </c>
      <c r="P9" s="17" t="str">
        <f ca="1">VLOOKUP($L9,OFFSET([3]enemies!$A$1,0,0,COUNTA([3]enemies!$A:$A),MATCH(P$1,[3]enemies!$1:$1,0)-MATCH($L$1,[3]enemies!$1:$1,0)+1),MATCH(P$1,[3]enemies!$1:$1,0)-MATCH($L$1,[3]enemies!$1:$1,0)+1,FALSE)</f>
        <v>god</v>
      </c>
      <c r="Q9" s="17">
        <f ca="1">VLOOKUP($L9,OFFSET([3]enemies!$A$1,0,0,COUNTA([3]enemies!$A:$A),MATCH(Q$1,[3]enemies!$1:$1,0)-MATCH($L$1,[3]enemies!$1:$1,0)+1),MATCH(Q$1,[3]enemies!$1:$1,0)-MATCH($L$1,[3]enemies!$1:$1,0)+1,FALSE)</f>
        <v>60</v>
      </c>
      <c r="R9" s="5">
        <v>1</v>
      </c>
      <c r="S9" s="24">
        <v>7.5</v>
      </c>
      <c r="T9" s="98">
        <f t="shared" ca="1" si="4"/>
        <v>45255</v>
      </c>
      <c r="U9" s="24">
        <v>18</v>
      </c>
      <c r="V9" s="98">
        <f t="shared" ca="1" si="5"/>
        <v>4176</v>
      </c>
      <c r="W9" s="5">
        <v>0</v>
      </c>
      <c r="X9" s="4" t="str">
        <f ca="1">VLOOKUP($Y9,OFFSET(enemy_skill_sets!$B$1,0,0,COUNTA(enemy_skill_sets!$B:$B),MATCH(M$1,enemy_skill_sets!$1:$1,0)-MATCH($Y$1,enemy_skill_sets!$1:$1,0)+2),MATCH(M$1,enemy_skill_sets!$1:$1,0)-MATCH($Y$1,enemy_skill_sets!$1:$1,0)+2,FALSE)</f>
        <v>自身の防御力大UP</v>
      </c>
      <c r="Y9" s="46">
        <v>39012507</v>
      </c>
      <c r="Z9" s="6">
        <v>1</v>
      </c>
      <c r="AA9" s="6">
        <v>100</v>
      </c>
      <c r="AB9" s="6">
        <v>0</v>
      </c>
      <c r="AC9" s="122">
        <v>3</v>
      </c>
      <c r="AD9" s="116">
        <f t="shared" si="6"/>
        <v>1509</v>
      </c>
      <c r="AE9" s="4" t="str">
        <f ca="1">VLOOKUP($AD9,OFFSET([4]characters!$A$1,0,0,COUNTA([4]characters!$A:$A),MATCH(AE$1,[4]characters!$1:$1,0)-MATCH("character_id",[4]characters!$1:$1,0)+1),MATCH(AE$1,[4]characters!$1:$1,0)-MATCH("character_id",[4]characters!$1:$1,0)+1,FALSE)</f>
        <v>巨神ネコ</v>
      </c>
      <c r="AF9" s="4">
        <f ca="1">VLOOKUP($AD9,OFFSET([4]characters!$A$1,0,0,COUNTA([4]characters!$A:$A),MATCH(AF$1,[4]characters!$1:$1,0)-MATCH("character_id",[4]characters!$1:$1,0)+1),MATCH(AF$1,[4]characters!$1:$1,0)-MATCH("character_id",[4]characters!$1:$1,0)+1,FALSE)</f>
        <v>5</v>
      </c>
      <c r="AG9" s="4" t="str">
        <f ca="1">VLOOKUP($AD9,OFFSET([4]characters!$A$1,0,0,COUNTA([4]characters!$A:$A),MATCH(AG$1,[4]characters!$1:$1,0)-MATCH("character_id",[4]characters!$1:$1,0)+1),MATCH(AG$1,[4]characters!$1:$1,0)-MATCH("character_id",[4]characters!$1:$1,0)+1,FALSE)</f>
        <v>Drop2N</v>
      </c>
      <c r="AH9" s="117">
        <v>1</v>
      </c>
      <c r="AI9" s="116">
        <f t="shared" ca="1" si="7"/>
        <v>5</v>
      </c>
      <c r="AJ9" s="8">
        <v>0</v>
      </c>
      <c r="AK9" s="117">
        <v>0</v>
      </c>
      <c r="AL9" s="117">
        <v>0</v>
      </c>
      <c r="AM9" s="117">
        <v>0</v>
      </c>
      <c r="AN9" s="117">
        <v>0</v>
      </c>
      <c r="AO9" s="117">
        <v>1</v>
      </c>
      <c r="AP9" s="65">
        <v>1</v>
      </c>
      <c r="AR9" s="28" t="s">
        <v>342</v>
      </c>
      <c r="AS9" s="137">
        <v>3058</v>
      </c>
      <c r="AT9" s="137">
        <v>261</v>
      </c>
    </row>
    <row r="10" spans="1:46" ht="21" customHeight="1" thickBot="1" x14ac:dyDescent="0.2">
      <c r="A10" s="16" t="str">
        <f t="shared" si="0"/>
        <v>39012_5-6/638&lt;lv1&gt;s2</v>
      </c>
      <c r="B10" s="22">
        <v>39012</v>
      </c>
      <c r="C10" s="21">
        <v>5</v>
      </c>
      <c r="D10" s="101" t="str">
        <f t="shared" ref="D10" si="8">B10&amp;"_"&amp;C10</f>
        <v>39012_5</v>
      </c>
      <c r="E10" s="102" t="str">
        <f ca="1">VLOOKUP($B10,OFFSET([2]quests!$A$1,0,0,COUNTA([2]quests!$A:$A),MATCH(E$1,[2]quests!$1:$1,0)-MATCH($B$1,[2]quests!$1:$1,0)+1),MATCH(E$1,[2]quests!$1:$1,0)-MATCH($B$1,[2]quests!$1:$1,0)+1,FALSE)</f>
        <v>侵略！？にゃんこ軍団現る！</v>
      </c>
      <c r="F10" s="102" t="str">
        <f ca="1">VLOOKUP($D10,OFFSET([2]stages!$A$1,0,0,COUNTA([2]stages!$A:$A),MATCH(F$1,[2]stages!$2:$2,0)-MATCH($D$1,[2]stages!$2:$2,0)+1),MATCH(F$1,[2]stages!$2:$2,0)-MATCH($D$1,[2]stages!$2:$2,0)+1,FALSE)</f>
        <v>【激ムズ】侵略！？にゃんこ軍団現る！</v>
      </c>
      <c r="G10" s="114">
        <v>6</v>
      </c>
      <c r="H10" s="15" t="str">
        <f t="shared" ref="H10" si="9">B10&amp;"_"&amp;C10&amp;"-"&amp;G10</f>
        <v>39012_5-6</v>
      </c>
      <c r="I10" s="118">
        <f ca="1">VLOOKUP($H10,OFFSET(floors!$A$1,0,0,COUNTA(floors!$A:$A),MATCH(I$1,floors!$1:$1,0)-MATCH($H$1,floors!$1:$1,0)+1),MATCH(I$1,floors!$1:$1,0)-MATCH($H$1,floors!$1:$1,0)+1,FALSE)</f>
        <v>60</v>
      </c>
      <c r="J10" s="118">
        <f ca="1">VLOOKUP($H10,OFFSET(floors!$A$1,0,0,COUNTA(floors!$A:$A),MATCH(J$1,floors!$1:$1,0)-MATCH($H$1,floors!$1:$1,0)+1),MATCH(J$1,floors!$1:$1,0)-MATCH($H$1,floors!$1:$1,0)+1,FALSE)</f>
        <v>60</v>
      </c>
      <c r="K10" s="37" t="s">
        <v>53</v>
      </c>
      <c r="L10" s="177">
        <v>638</v>
      </c>
      <c r="M10" s="121" t="str">
        <f ca="1">VLOOKUP($L10,OFFSET([3]enemies!$A$1,0,0,COUNTA([3]enemies!$A:$A),MATCH(M$1,[3]enemies!$1:$1,0)-MATCH($L$1,[3]enemies!$1:$1,0)+1),MATCH(M$1,[3]enemies!$1:$1,0)-MATCH($L$1,[3]enemies!$1:$1,0)+1,FALSE)</f>
        <v>神さま</v>
      </c>
      <c r="N10" s="17" t="str">
        <f ca="1">VLOOKUP($L10,OFFSET([3]enemies!$A$1,0,0,COUNTA([3]enemies!$A:$A),MATCH(N$1,[3]enemies!$1:$1,0)-MATCH($L$1,[3]enemies!$1:$1,0)+1),MATCH(N$1,[3]enemies!$1:$1,0)-MATCH($L$1,[3]enemies!$1:$1,0)+1,FALSE)</f>
        <v>yellow</v>
      </c>
      <c r="O10" s="17" t="str">
        <f ca="1">VLOOKUP($L10,OFFSET([4]characters!$A$1,0,0,COUNTA([4]characters!$A:$A),MATCH(O$1,[4]characters!$1:$1,0)-MATCH($L$1,[4]characters!$1:$1,0)+1),MATCH(O$1,[4]characters!$1:$1,0)-MATCH($L$1,[4]characters!$1:$1,0)+1,FALSE)</f>
        <v>DropWizS</v>
      </c>
      <c r="P10" s="17" t="str">
        <f ca="1">VLOOKUP($L10,OFFSET([3]enemies!$A$1,0,0,COUNTA([3]enemies!$A:$A),MATCH(P$1,[3]enemies!$1:$1,0)-MATCH($L$1,[3]enemies!$1:$1,0)+1),MATCH(P$1,[3]enemies!$1:$1,0)-MATCH($L$1,[3]enemies!$1:$1,0)+1,FALSE)</f>
        <v>god</v>
      </c>
      <c r="Q10" s="17">
        <f ca="1">VLOOKUP($L10,OFFSET([3]enemies!$A$1,0,0,COUNTA([3]enemies!$A:$A),MATCH(Q$1,[3]enemies!$1:$1,0)-MATCH($L$1,[3]enemies!$1:$1,0)+1),MATCH(Q$1,[3]enemies!$1:$1,0)-MATCH($L$1,[3]enemies!$1:$1,0)+1,FALSE)</f>
        <v>60</v>
      </c>
      <c r="R10" s="5">
        <v>1</v>
      </c>
      <c r="S10" s="24">
        <v>82</v>
      </c>
      <c r="T10" s="98" t="e">
        <f t="shared" ca="1" si="4"/>
        <v>#N/A</v>
      </c>
      <c r="U10" s="24">
        <v>23</v>
      </c>
      <c r="V10" s="98" t="e">
        <f t="shared" ca="1" si="5"/>
        <v>#N/A</v>
      </c>
      <c r="W10" s="5">
        <v>0</v>
      </c>
      <c r="X10" s="4" t="str">
        <f ca="1">VLOOKUP($Y10,OFFSET(enemy_skill_sets!$B$1,0,0,COUNTA(enemy_skill_sets!$B:$B),MATCH(M$1,enemy_skill_sets!$1:$1,0)-MATCH($Y$1,enemy_skill_sets!$1:$1,0)+2),MATCH(M$1,enemy_skill_sets!$1:$1,0)-MATCH($Y$1,enemy_skill_sets!$1:$1,0)+2,FALSE)</f>
        <v>別に呼んでないけど神さまがあらわれた！</v>
      </c>
      <c r="Y10" s="46">
        <v>39012511</v>
      </c>
      <c r="Z10" s="6">
        <v>1</v>
      </c>
      <c r="AA10" s="6">
        <v>100</v>
      </c>
      <c r="AB10" s="6">
        <v>0</v>
      </c>
      <c r="AC10" s="122">
        <v>2</v>
      </c>
      <c r="AD10" s="116">
        <f t="shared" si="6"/>
        <v>638</v>
      </c>
      <c r="AE10" s="4" t="str">
        <f ca="1">VLOOKUP($AD10,OFFSET([4]characters!$A$1,0,0,COUNTA([4]characters!$A:$A),MATCH(AE$1,[4]characters!$1:$1,0)-MATCH("character_id",[4]characters!$1:$1,0)+1),MATCH(AE$1,[4]characters!$1:$1,0)-MATCH("character_id",[4]characters!$1:$1,0)+1,FALSE)</f>
        <v>神さま</v>
      </c>
      <c r="AF10" s="4">
        <f ca="1">VLOOKUP($AD10,OFFSET([4]characters!$A$1,0,0,COUNTA([4]characters!$A:$A),MATCH(AF$1,[4]characters!$1:$1,0)-MATCH("character_id",[4]characters!$1:$1,0)+1),MATCH(AF$1,[4]characters!$1:$1,0)-MATCH("character_id",[4]characters!$1:$1,0)+1,FALSE)</f>
        <v>6</v>
      </c>
      <c r="AG10" s="4" t="str">
        <f ca="1">VLOOKUP($AD10,OFFSET([4]characters!$A$1,0,0,COUNTA([4]characters!$A:$A),MATCH(AG$1,[4]characters!$1:$1,0)-MATCH("character_id",[4]characters!$1:$1,0)+1),MATCH(AG$1,[4]characters!$1:$1,0)-MATCH("character_id",[4]characters!$1:$1,0)+1,FALSE)</f>
        <v>DropWizS</v>
      </c>
      <c r="AH10" s="117">
        <v>1</v>
      </c>
      <c r="AI10" s="116">
        <f t="shared" ca="1" si="7"/>
        <v>6</v>
      </c>
      <c r="AJ10" s="8">
        <v>0</v>
      </c>
      <c r="AK10" s="117">
        <v>0</v>
      </c>
      <c r="AL10" s="117">
        <v>0</v>
      </c>
      <c r="AM10" s="117">
        <v>0</v>
      </c>
      <c r="AN10" s="117">
        <v>0</v>
      </c>
      <c r="AO10" s="117">
        <v>1</v>
      </c>
      <c r="AP10" s="65">
        <v>1</v>
      </c>
      <c r="AR10" s="28" t="s">
        <v>343</v>
      </c>
      <c r="AS10" s="137">
        <v>3998</v>
      </c>
      <c r="AT10" s="137">
        <v>281</v>
      </c>
    </row>
    <row r="11" spans="1:46" ht="21" customHeight="1" thickBot="1" x14ac:dyDescent="0.2">
      <c r="A11" s="16" t="str">
        <f t="shared" ref="A11" si="10">B11&amp;"_"&amp;C11&amp;"-"&amp;G11&amp;"/"&amp;L11&amp;"&lt;lv"&amp;R11&amp;"&gt;s"&amp;AC11</f>
        <v>39012_5-7/1510&lt;lv1&gt;s2</v>
      </c>
      <c r="B11" s="22">
        <v>39012</v>
      </c>
      <c r="C11" s="21">
        <v>5</v>
      </c>
      <c r="D11" s="101" t="str">
        <f t="shared" ref="D11" si="11">B11&amp;"_"&amp;C11</f>
        <v>39012_5</v>
      </c>
      <c r="E11" s="102" t="str">
        <f ca="1">VLOOKUP($B11,OFFSET([2]quests!$A$1,0,0,COUNTA([2]quests!$A:$A),MATCH(E$1,[2]quests!$1:$1,0)-MATCH($B$1,[2]quests!$1:$1,0)+1),MATCH(E$1,[2]quests!$1:$1,0)-MATCH($B$1,[2]quests!$1:$1,0)+1,FALSE)</f>
        <v>侵略！？にゃんこ軍団現る！</v>
      </c>
      <c r="F11" s="102" t="str">
        <f ca="1">VLOOKUP($D11,OFFSET([2]stages!$A$1,0,0,COUNTA([2]stages!$A:$A),MATCH(F$1,[2]stages!$2:$2,0)-MATCH($D$1,[2]stages!$2:$2,0)+1),MATCH(F$1,[2]stages!$2:$2,0)-MATCH($D$1,[2]stages!$2:$2,0)+1,FALSE)</f>
        <v>【激ムズ】侵略！？にゃんこ軍団現る！</v>
      </c>
      <c r="G11" s="114">
        <v>7</v>
      </c>
      <c r="H11" s="15" t="str">
        <f t="shared" ref="H11" si="12">B11&amp;"_"&amp;C11&amp;"-"&amp;G11</f>
        <v>39012_5-7</v>
      </c>
      <c r="I11" s="118">
        <f ca="1">VLOOKUP($H11,OFFSET(floors!$A$1,0,0,COUNTA(floors!$A:$A),MATCH(I$1,floors!$1:$1,0)-MATCH($H$1,floors!$1:$1,0)+1),MATCH(I$1,floors!$1:$1,0)-MATCH($H$1,floors!$1:$1,0)+1,FALSE)</f>
        <v>60</v>
      </c>
      <c r="J11" s="118">
        <f ca="1">VLOOKUP($H11,OFFSET(floors!$A$1,0,0,COUNTA(floors!$A:$A),MATCH(J$1,floors!$1:$1,0)-MATCH($H$1,floors!$1:$1,0)+1),MATCH(J$1,floors!$1:$1,0)-MATCH($H$1,floors!$1:$1,0)+1,FALSE)</f>
        <v>60</v>
      </c>
      <c r="K11" s="37">
        <v>1</v>
      </c>
      <c r="L11" s="139">
        <v>1510</v>
      </c>
      <c r="M11" s="121" t="str">
        <f ca="1">VLOOKUP($L11,OFFSET([3]enemies!$A$1,0,0,COUNTA([3]enemies!$A:$A),MATCH(M$1,[3]enemies!$1:$1,0)-MATCH($L$1,[3]enemies!$1:$1,0)+1),MATCH(M$1,[3]enemies!$1:$1,0)-MATCH($L$1,[3]enemies!$1:$1,0)+1,FALSE)</f>
        <v>ネコヴァルキリー</v>
      </c>
      <c r="N11" s="17" t="str">
        <f ca="1">VLOOKUP($L11,OFFSET([3]enemies!$A$1,0,0,COUNTA([3]enemies!$A:$A),MATCH(N$1,[3]enemies!$1:$1,0)-MATCH($L$1,[3]enemies!$1:$1,0)+1),MATCH(N$1,[3]enemies!$1:$1,0)-MATCH($L$1,[3]enemies!$1:$1,0)+1,FALSE)</f>
        <v>yellow</v>
      </c>
      <c r="O11" s="17" t="str">
        <f ca="1">VLOOKUP($L11,OFFSET([4]characters!$A$1,0,0,COUNTA([4]characters!$A:$A),MATCH(O$1,[4]characters!$1:$1,0)-MATCH($L$1,[4]characters!$1:$1,0)+1),MATCH(O$1,[4]characters!$1:$1,0)-MATCH($L$1,[4]characters!$1:$1,0)+1,FALSE)</f>
        <v>DropWizS</v>
      </c>
      <c r="P11" s="17" t="str">
        <f ca="1">VLOOKUP($L11,OFFSET([3]enemies!$A$1,0,0,COUNTA([3]enemies!$A:$A),MATCH(P$1,[3]enemies!$1:$1,0)-MATCH($L$1,[3]enemies!$1:$1,0)+1),MATCH(P$1,[3]enemies!$1:$1,0)-MATCH($L$1,[3]enemies!$1:$1,0)+1,FALSE)</f>
        <v>god</v>
      </c>
      <c r="Q11" s="17">
        <f ca="1">VLOOKUP($L11,OFFSET([3]enemies!$A$1,0,0,COUNTA([3]enemies!$A:$A),MATCH(Q$1,[3]enemies!$1:$1,0)-MATCH($L$1,[3]enemies!$1:$1,0)+1),MATCH(Q$1,[3]enemies!$1:$1,0)-MATCH($L$1,[3]enemies!$1:$1,0)+1,FALSE)</f>
        <v>30</v>
      </c>
      <c r="R11" s="5">
        <v>1</v>
      </c>
      <c r="S11" s="24">
        <v>82</v>
      </c>
      <c r="T11" s="98">
        <f t="shared" ref="T11" ca="1" si="13">S11*VLOOKUP(M11,$AR$3:$AT$11,2,0)</f>
        <v>250756</v>
      </c>
      <c r="U11" s="24">
        <v>23</v>
      </c>
      <c r="V11" s="98">
        <f t="shared" ref="V11" ca="1" si="14">U11*VLOOKUP(M11,$AR$3:$AT$11,3,0)</f>
        <v>6003</v>
      </c>
      <c r="W11" s="5">
        <v>0</v>
      </c>
      <c r="X11" s="4" t="str">
        <f ca="1">VLOOKUP($Y11,OFFSET(enemy_skill_sets!$B$1,0,0,COUNTA(enemy_skill_sets!$B:$B),MATCH(M$1,enemy_skill_sets!$1:$1,0)-MATCH($Y$1,enemy_skill_sets!$1:$1,0)+2),MATCH(M$1,enemy_skill_sets!$1:$1,0)-MATCH($Y$1,enemy_skill_sets!$1:$1,0)+2,FALSE)</f>
        <v>緑パネルプロテクト</v>
      </c>
      <c r="Y11" s="46">
        <v>39012508</v>
      </c>
      <c r="Z11" s="6">
        <v>1</v>
      </c>
      <c r="AA11" s="6">
        <v>100</v>
      </c>
      <c r="AB11" s="6">
        <v>0</v>
      </c>
      <c r="AC11" s="122">
        <v>2</v>
      </c>
      <c r="AD11" s="116">
        <f t="shared" ref="AD11" si="15">L11</f>
        <v>1510</v>
      </c>
      <c r="AE11" s="4" t="str">
        <f ca="1">VLOOKUP($AD11,OFFSET([4]characters!$A$1,0,0,COUNTA([4]characters!$A:$A),MATCH(AE$1,[4]characters!$1:$1,0)-MATCH("character_id",[4]characters!$1:$1,0)+1),MATCH(AE$1,[4]characters!$1:$1,0)-MATCH("character_id",[4]characters!$1:$1,0)+1,FALSE)</f>
        <v>ネコヴァルキリー</v>
      </c>
      <c r="AF11" s="4">
        <f ca="1">VLOOKUP($AD11,OFFSET([4]characters!$A$1,0,0,COUNTA([4]characters!$A:$A),MATCH(AF$1,[4]characters!$1:$1,0)-MATCH("character_id",[4]characters!$1:$1,0)+1),MATCH(AF$1,[4]characters!$1:$1,0)-MATCH("character_id",[4]characters!$1:$1,0)+1,FALSE)</f>
        <v>4</v>
      </c>
      <c r="AG11" s="4" t="str">
        <f ca="1">VLOOKUP($AD11,OFFSET([4]characters!$A$1,0,0,COUNTA([4]characters!$A:$A),MATCH(AG$1,[4]characters!$1:$1,0)-MATCH("character_id",[4]characters!$1:$1,0)+1),MATCH(AG$1,[4]characters!$1:$1,0)-MATCH("character_id",[4]characters!$1:$1,0)+1,FALSE)</f>
        <v>DropWizS</v>
      </c>
      <c r="AH11" s="117">
        <v>1</v>
      </c>
      <c r="AI11" s="116">
        <f t="shared" ref="AI11" ca="1" si="16">AF11</f>
        <v>4</v>
      </c>
      <c r="AJ11" s="8">
        <v>100</v>
      </c>
      <c r="AK11" s="117">
        <v>0</v>
      </c>
      <c r="AL11" s="117">
        <v>0</v>
      </c>
      <c r="AM11" s="117">
        <v>0</v>
      </c>
      <c r="AN11" s="117">
        <v>0</v>
      </c>
      <c r="AO11" s="117">
        <v>2</v>
      </c>
      <c r="AP11" s="65">
        <v>1</v>
      </c>
      <c r="AR11" s="28" t="s">
        <v>343</v>
      </c>
      <c r="AS11" s="137">
        <v>3998</v>
      </c>
      <c r="AT11" s="137">
        <v>281</v>
      </c>
    </row>
    <row r="12" spans="1:46" ht="21" customHeight="1" x14ac:dyDescent="0.15">
      <c r="AQ12" s="115" t="s">
        <v>314</v>
      </c>
      <c r="AR12" s="115" t="s">
        <v>256</v>
      </c>
      <c r="AS12" s="133" t="s">
        <v>326</v>
      </c>
    </row>
    <row r="13" spans="1:46" ht="21" customHeight="1" x14ac:dyDescent="0.15">
      <c r="AQ13" s="199" t="s">
        <v>313</v>
      </c>
      <c r="AR13" s="115" t="s">
        <v>257</v>
      </c>
      <c r="AS13" s="134" t="s">
        <v>328</v>
      </c>
    </row>
    <row r="14" spans="1:46" ht="21" customHeight="1" x14ac:dyDescent="0.15">
      <c r="AQ14" s="199"/>
      <c r="AR14" s="115" t="s">
        <v>258</v>
      </c>
      <c r="AS14" s="134" t="s">
        <v>326</v>
      </c>
    </row>
    <row r="15" spans="1:46" ht="21" customHeight="1" x14ac:dyDescent="0.15">
      <c r="AQ15" s="115" t="s">
        <v>312</v>
      </c>
      <c r="AR15" s="115" t="s">
        <v>260</v>
      </c>
      <c r="AS15" s="133" t="s">
        <v>329</v>
      </c>
    </row>
    <row r="16" spans="1:46" ht="21" customHeight="1" x14ac:dyDescent="0.15">
      <c r="AQ16" s="200" t="s">
        <v>315</v>
      </c>
      <c r="AR16" s="115" t="s">
        <v>256</v>
      </c>
      <c r="AS16" s="133" t="s">
        <v>326</v>
      </c>
    </row>
    <row r="17" spans="43:45" ht="21" customHeight="1" x14ac:dyDescent="0.15">
      <c r="AQ17" s="201"/>
      <c r="AR17" s="115" t="s">
        <v>257</v>
      </c>
      <c r="AS17" s="134" t="s">
        <v>328</v>
      </c>
    </row>
    <row r="18" spans="43:45" ht="21" customHeight="1" x14ac:dyDescent="0.15">
      <c r="AQ18" s="202"/>
      <c r="AR18" s="115" t="s">
        <v>259</v>
      </c>
      <c r="AS18" s="134" t="s">
        <v>327</v>
      </c>
    </row>
    <row r="19" spans="43:45" ht="21" customHeight="1" x14ac:dyDescent="0.15">
      <c r="AQ19" s="115" t="s">
        <v>316</v>
      </c>
      <c r="AR19" s="115" t="s">
        <v>261</v>
      </c>
      <c r="AS19" s="134" t="s">
        <v>327</v>
      </c>
    </row>
    <row r="20" spans="43:45" ht="21" customHeight="1" x14ac:dyDescent="0.15">
      <c r="AQ20" s="115" t="s">
        <v>317</v>
      </c>
      <c r="AR20" s="115" t="s">
        <v>262</v>
      </c>
      <c r="AS20" s="134" t="s">
        <v>328</v>
      </c>
    </row>
    <row r="22" spans="43:45" ht="21" customHeight="1" x14ac:dyDescent="0.15">
      <c r="AQ22" s="135">
        <v>1</v>
      </c>
      <c r="AR22" s="24">
        <v>20</v>
      </c>
      <c r="AS22" s="24">
        <v>5</v>
      </c>
    </row>
    <row r="23" spans="43:45" ht="21" customHeight="1" x14ac:dyDescent="0.15">
      <c r="AQ23" s="135">
        <v>113</v>
      </c>
      <c r="AR23" s="24">
        <v>82</v>
      </c>
      <c r="AS23" s="24">
        <v>16</v>
      </c>
    </row>
    <row r="24" spans="43:45" ht="21" customHeight="1" x14ac:dyDescent="0.15">
      <c r="AQ24" s="135">
        <v>85</v>
      </c>
      <c r="AR24" s="24">
        <v>7</v>
      </c>
      <c r="AS24" s="24">
        <v>21</v>
      </c>
    </row>
    <row r="25" spans="43:45" ht="21" customHeight="1" x14ac:dyDescent="0.15">
      <c r="AQ25" s="135">
        <v>38</v>
      </c>
      <c r="AR25" s="24">
        <v>18</v>
      </c>
      <c r="AS25" s="24">
        <v>13</v>
      </c>
    </row>
    <row r="26" spans="43:45" ht="21" customHeight="1" x14ac:dyDescent="0.15">
      <c r="AQ26" s="135">
        <v>1</v>
      </c>
      <c r="AR26" s="24">
        <v>40</v>
      </c>
      <c r="AS26" s="24">
        <v>14</v>
      </c>
    </row>
    <row r="27" spans="43:45" ht="21" customHeight="1" x14ac:dyDescent="0.15">
      <c r="AQ27" s="135">
        <v>113</v>
      </c>
      <c r="AR27" s="24">
        <v>82</v>
      </c>
      <c r="AS27" s="24">
        <v>16</v>
      </c>
    </row>
    <row r="28" spans="43:45" ht="21" customHeight="1" x14ac:dyDescent="0.15">
      <c r="AQ28" s="135">
        <v>337</v>
      </c>
      <c r="AR28" s="24">
        <v>98</v>
      </c>
      <c r="AS28" s="24">
        <v>16</v>
      </c>
    </row>
    <row r="29" spans="43:45" ht="21" customHeight="1" x14ac:dyDescent="0.15">
      <c r="AQ29" s="135">
        <v>627</v>
      </c>
      <c r="AR29" s="24">
        <v>1.1000000000000001</v>
      </c>
      <c r="AS29" s="24">
        <v>1.6</v>
      </c>
    </row>
    <row r="30" spans="43:45" ht="21" customHeight="1" x14ac:dyDescent="0.15">
      <c r="AQ30" s="135">
        <v>827</v>
      </c>
      <c r="AR30" s="24">
        <v>5</v>
      </c>
      <c r="AS30" s="24">
        <v>1.4</v>
      </c>
    </row>
  </sheetData>
  <sheetProtection selectLockedCells="1" selectUnlockedCells="1"/>
  <autoFilter ref="B1:AJ2"/>
  <mergeCells count="2">
    <mergeCell ref="AQ13:AQ14"/>
    <mergeCell ref="AQ16:AQ18"/>
  </mergeCells>
  <phoneticPr fontId="5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 enableFormatConditionsCalculation="0">
    <tabColor rgb="FF0000FF"/>
    <outlinePr summaryBelow="0" summaryRight="0"/>
  </sheetPr>
  <dimension ref="A1:AA3"/>
  <sheetViews>
    <sheetView showGridLines="0" workbookViewId="0">
      <pane xSplit="18" ySplit="1" topLeftCell="S2" activePane="bottomRight" state="frozen"/>
      <selection activeCell="E25" sqref="E25"/>
      <selection pane="topRight" activeCell="E25" sqref="E25"/>
      <selection pane="bottomLeft" activeCell="E25" sqref="E25"/>
      <selection pane="bottomRight" activeCell="P5" sqref="P5"/>
    </sheetView>
  </sheetViews>
  <sheetFormatPr baseColWidth="12" defaultColWidth="13" defaultRowHeight="21" customHeight="1" outlineLevelCol="1" x14ac:dyDescent="0.15"/>
  <cols>
    <col min="1" max="1" width="21" style="19" customWidth="1"/>
    <col min="2" max="2" width="10.83203125" style="3" bestFit="1" customWidth="1"/>
    <col min="3" max="3" width="10.6640625" style="3" bestFit="1" customWidth="1" collapsed="1"/>
    <col min="4" max="4" width="13" style="14" hidden="1" customWidth="1" outlineLevel="1"/>
    <col min="5" max="5" width="11.6640625" style="3" hidden="1" customWidth="1" outlineLevel="1"/>
    <col min="6" max="6" width="16.1640625" style="3" hidden="1" customWidth="1" outlineLevel="1"/>
    <col min="7" max="7" width="10" style="3" bestFit="1" customWidth="1" collapsed="1"/>
    <col min="8" max="10" width="12.33203125" style="3" hidden="1" customWidth="1" outlineLevel="1"/>
    <col min="11" max="11" width="12.33203125" style="3" customWidth="1"/>
    <col min="12" max="12" width="11" style="3" bestFit="1" customWidth="1"/>
    <col min="13" max="13" width="13.5" style="9" bestFit="1" customWidth="1"/>
    <col min="14" max="14" width="16.1640625" style="3" customWidth="1" outlineLevel="1"/>
    <col min="15" max="15" width="8.6640625" style="3" customWidth="1" outlineLevel="1"/>
    <col min="16" max="16" width="12" style="3" customWidth="1" outlineLevel="1"/>
    <col min="17" max="17" width="21" style="3" customWidth="1" outlineLevel="1"/>
    <col min="18" max="18" width="8" style="3" customWidth="1" outlineLevel="1"/>
    <col min="19" max="19" width="8.33203125" style="3" bestFit="1" customWidth="1"/>
    <col min="20" max="20" width="14.83203125" style="3" bestFit="1" customWidth="1"/>
    <col min="21" max="21" width="14.83203125" style="3" customWidth="1"/>
    <col min="22" max="22" width="17.5" style="3" bestFit="1" customWidth="1"/>
    <col min="23" max="23" width="17.5" style="3" customWidth="1"/>
    <col min="24" max="24" width="18.33203125" style="3" bestFit="1" customWidth="1"/>
    <col min="25" max="25" width="16.6640625" style="3" customWidth="1"/>
    <col min="26" max="26" width="10" style="3" bestFit="1" customWidth="1" outlineLevel="1"/>
    <col min="27" max="27" width="9.33203125" style="3" bestFit="1" customWidth="1"/>
    <col min="28" max="16384" width="13" style="3"/>
  </cols>
  <sheetData>
    <row r="1" spans="1:27" s="34" customFormat="1" ht="21" customHeight="1" x14ac:dyDescent="0.15">
      <c r="A1" s="26" t="s">
        <v>29</v>
      </c>
      <c r="B1" s="27" t="s">
        <v>0</v>
      </c>
      <c r="C1" s="27" t="s">
        <v>1</v>
      </c>
      <c r="D1" s="28" t="s">
        <v>28</v>
      </c>
      <c r="E1" s="29" t="s">
        <v>16</v>
      </c>
      <c r="F1" s="29" t="s">
        <v>16</v>
      </c>
      <c r="G1" s="27" t="s">
        <v>19</v>
      </c>
      <c r="H1" s="28" t="s">
        <v>30</v>
      </c>
      <c r="I1" s="28" t="s">
        <v>14</v>
      </c>
      <c r="J1" s="28" t="s">
        <v>15</v>
      </c>
      <c r="K1" s="35" t="s">
        <v>54</v>
      </c>
      <c r="L1" s="35" t="s">
        <v>55</v>
      </c>
      <c r="M1" s="36" t="s">
        <v>2</v>
      </c>
      <c r="N1" s="30" t="s">
        <v>16</v>
      </c>
      <c r="O1" s="28" t="s">
        <v>24</v>
      </c>
      <c r="P1" s="28" t="s">
        <v>23</v>
      </c>
      <c r="Q1" s="31" t="s">
        <v>26</v>
      </c>
      <c r="R1" s="29" t="s">
        <v>25</v>
      </c>
      <c r="S1" s="27" t="s">
        <v>3</v>
      </c>
      <c r="T1" s="25" t="s">
        <v>48</v>
      </c>
      <c r="U1" s="97" t="s">
        <v>249</v>
      </c>
      <c r="V1" s="25" t="s">
        <v>50</v>
      </c>
      <c r="W1" s="97" t="s">
        <v>250</v>
      </c>
      <c r="X1" s="25" t="s">
        <v>52</v>
      </c>
      <c r="Y1" s="27" t="s">
        <v>128</v>
      </c>
      <c r="Z1" s="28" t="s">
        <v>127</v>
      </c>
      <c r="AA1" s="27" t="s">
        <v>8</v>
      </c>
    </row>
    <row r="2" spans="1:27" ht="21" customHeight="1" x14ac:dyDescent="0.15">
      <c r="A2" s="16" t="str">
        <f>B2&amp;"_"&amp;C2&amp;"-"&amp;G2&amp;"/"&amp;M2&amp;"&lt;lv"&amp;S2&amp;"&gt;sq"&amp;K2&amp;"st"&amp;L2</f>
        <v>39012_5-7/1511&lt;lv1&gt;sq1st2</v>
      </c>
      <c r="B2" s="22">
        <v>39012</v>
      </c>
      <c r="C2" s="21">
        <v>5</v>
      </c>
      <c r="D2" s="2" t="str">
        <f>B2&amp;"_"&amp;C2</f>
        <v>39012_5</v>
      </c>
      <c r="E2" s="4" t="str">
        <f ca="1">VLOOKUP($B2,OFFSET([2]quests!$A$1,0,0,COUNTA([2]quests!$A:$A),MATCH(E$1,[2]quests!$1:$1,0)-MATCH($B$1,[2]quests!$1:$1,0)+1),MATCH(E$1,[2]quests!$1:$1,0)-MATCH($B$1,[2]quests!$1:$1,0)+1,FALSE)</f>
        <v>侵略！？にゃんこ軍団現る！</v>
      </c>
      <c r="F2" s="4" t="str">
        <f ca="1">VLOOKUP($D2,OFFSET([2]stages!$A$1,0,0,COUNTA([2]stages!$A:$A),MATCH(F$1,[2]stages!$2:$2,0)-MATCH($D$1,[2]stages!$2:$2,0)+1),MATCH(F$1,[2]stages!$2:$2,0)-MATCH($D$1,[2]stages!$2:$2,0)+1,FALSE)</f>
        <v>【激ムズ】侵略！？にゃんこ軍団現る！</v>
      </c>
      <c r="G2" s="21">
        <v>7</v>
      </c>
      <c r="H2" s="15" t="str">
        <f>B2&amp;"_"&amp;C2&amp;"-"&amp;G2</f>
        <v>39012_5-7</v>
      </c>
      <c r="I2" s="4">
        <f ca="1">VLOOKUP($H2,OFFSET(floors!$A$1,0,0,COUNTA(floors!$A:$A),MATCH(I$1,floors!$1:$1,0)-MATCH($H$1,floors!$1:$1,0)+1),MATCH(I$1,floors!$1:$1,0)-MATCH($H$1,floors!$1:$1,0)+1,FALSE)</f>
        <v>60</v>
      </c>
      <c r="J2" s="4">
        <f ca="1">VLOOKUP($H2,OFFSET(floors!$A$1,0,0,COUNTA(floors!$A:$A),MATCH(J$1,floors!$1:$1,0)-MATCH($H$1,floors!$1:$1,0)+1),MATCH(J$1,floors!$1:$1,0)-MATCH($H$1,floors!$1:$1,0)+1,FALSE)</f>
        <v>60</v>
      </c>
      <c r="K2" s="37">
        <v>1</v>
      </c>
      <c r="L2" s="37">
        <v>2</v>
      </c>
      <c r="M2" s="20">
        <v>1511</v>
      </c>
      <c r="N2" s="17" t="str">
        <f ca="1">VLOOKUP($M2,OFFSET([3]enemies!$A$1,0,0,COUNTA([3]enemies!$A:$A),MATCH(N$1,[3]enemies!$1:$1,0)-MATCH($M$1,[3]enemies!$1:$1,0)+1),MATCH(N$1,[3]enemies!$1:$1,0)-MATCH($M$1,[3]enemies!$1:$1,0)+1,FALSE)</f>
        <v>ネコヴァルキリー･真</v>
      </c>
      <c r="O2" s="17" t="str">
        <f ca="1">VLOOKUP($M2,OFFSET([3]enemies!$A$1,0,0,COUNTA([3]enemies!$A:$A),MATCH(O$1,[3]enemies!$1:$1,0)-MATCH($M$1,[3]enemies!$1:$1,0)+1),MATCH(O$1,[3]enemies!$1:$1,0)-MATCH($M$1,[3]enemies!$1:$1,0)+1,FALSE)</f>
        <v>yellow</v>
      </c>
      <c r="P2" s="17" t="str">
        <f ca="1">VLOOKUP($M2,OFFSET([4]characters!$A$1,0,0,COUNTA([4]characters!$A:$A),MATCH(P$1,[4]characters!$1:$1,0)-MATCH($M$1,[4]characters!$1:$1,0)+1),MATCH(P$1,[4]characters!$1:$1,0)-MATCH($M$1,[4]characters!$1:$1,0)+1,FALSE)</f>
        <v>DropWizS</v>
      </c>
      <c r="Q2" s="17" t="str">
        <f ca="1">VLOOKUP($M2,OFFSET([3]enemies!$A$1,0,0,COUNTA([3]enemies!$A:$A),MATCH(Q$1,[3]enemies!$1:$1,0)-MATCH($M$1,[3]enemies!$1:$1,0)+1),MATCH(Q$1,[3]enemies!$1:$1,0)-MATCH($M$1,[3]enemies!$1:$1,0)+1,FALSE)</f>
        <v>god</v>
      </c>
      <c r="R2" s="17">
        <f ca="1">VLOOKUP($M2,OFFSET([3]enemies!$A$1,0,0,COUNTA([3]enemies!$A:$A),MATCH(R$1,[3]enemies!$1:$1,0)-MATCH($M$1,[3]enemies!$1:$1,0)+1),MATCH(R$1,[3]enemies!$1:$1,0)-MATCH($M$1,[3]enemies!$1:$1,0)+1,FALSE)</f>
        <v>60</v>
      </c>
      <c r="S2" s="138">
        <v>1</v>
      </c>
      <c r="T2" s="65">
        <v>50</v>
      </c>
      <c r="U2" s="98">
        <f ca="1">ROUND(VLOOKUP(S2,[3]enemy_base_stats!$A:$F,2,FALSE) *INDIRECT("[EnemyMasterData.xlsm]enemies!Y"&amp;(M2+1))*  INDIRECT("[EnemyMasterData.xlsm]enemies!J"&amp;(M2+1))* INDIRECT("[EnemyMasterData.xlsm]enemies!O"&amp;(M2+1))* INDIRECT("[EnemyMasterData.xlsm]enemies!E"&amp;(M2+1))* INDIRECT("[EnemyMasterData.xlsm]enemies!S"&amp;(M2+1))* INDIRECT("[EnemyMasterData.xlsm]enemies!AD"&amp;(M2+1))*[4]ステータス!$B$2,0)*T2</f>
        <v>0</v>
      </c>
      <c r="V2" s="65">
        <v>19.5</v>
      </c>
      <c r="W2" s="98">
        <f ca="1">ROUND(VLOOKUP(S2,[3]enemy_base_stats!$A:$F,3,FALSE) *INDIRECT("[EnemyMasterData.xlsm]enemies!Z"&amp;(M2+1))*  INDIRECT("[EnemyMasterData.xlsm]enemies!K"&amp;(M2+1))* INDIRECT("[EnemyMasterData.xlsm]enemies!P"&amp;(M2+1))* INDIRECT("[EnemyMasterData.xlsm]enemies!F"&amp;(M2+1))* INDIRECT("[EnemyMasterData.xlsm]enemies!T"&amp;(M2+1))* INDIRECT("[EnemyMasterData.xlsm]enemies!AE"&amp;(M2+1))*[4]ステータス!$C$2,0)*V2</f>
        <v>0</v>
      </c>
      <c r="X2" s="5">
        <v>0</v>
      </c>
      <c r="Y2" s="4" t="str">
        <f ca="1">VLOOKUP($Z2,OFFSET(enemy_skill_sets!$B$1,0,0,COUNTA(enemy_skill_sets!$B:$B),MATCH(N$1,enemy_skill_sets!$1:$1,0)-MATCH($Z$1,enemy_skill_sets!$1:$1,0)+2),MATCH(N$1,enemy_skill_sets!$1:$1,0)-MATCH($Z$1,enemy_skill_sets!$1:$1,0)+2,FALSE)</f>
        <v>2ターンユニット1〜2体にスキルバインド</v>
      </c>
      <c r="Z2" s="58">
        <v>39012509</v>
      </c>
      <c r="AA2" s="123">
        <v>2</v>
      </c>
    </row>
    <row r="3" spans="1:27" ht="21" customHeight="1" x14ac:dyDescent="0.15">
      <c r="A3" s="16" t="str">
        <f>B3&amp;"_"&amp;C3&amp;"-"&amp;G3&amp;"/"&amp;M3&amp;"&lt;lv"&amp;S3&amp;"&gt;sq"&amp;K3&amp;"st"&amp;L3</f>
        <v>39012_5-7/1512&lt;lv1&gt;sq1st3</v>
      </c>
      <c r="B3" s="22">
        <v>39012</v>
      </c>
      <c r="C3" s="21">
        <v>5</v>
      </c>
      <c r="D3" s="2" t="str">
        <f>B3&amp;"_"&amp;C3</f>
        <v>39012_5</v>
      </c>
      <c r="E3" s="4" t="str">
        <f ca="1">VLOOKUP($B3,OFFSET([2]quests!$A$1,0,0,COUNTA([2]quests!$A:$A),MATCH(E$1,[2]quests!$1:$1,0)-MATCH($B$1,[2]quests!$1:$1,0)+1),MATCH(E$1,[2]quests!$1:$1,0)-MATCH($B$1,[2]quests!$1:$1,0)+1,FALSE)</f>
        <v>侵略！？にゃんこ軍団現る！</v>
      </c>
      <c r="F3" s="4" t="str">
        <f ca="1">VLOOKUP($D3,OFFSET([2]stages!$A$1,0,0,COUNTA([2]stages!$A:$A),MATCH(F$1,[2]stages!$2:$2,0)-MATCH($D$1,[2]stages!$2:$2,0)+1),MATCH(F$1,[2]stages!$2:$2,0)-MATCH($D$1,[2]stages!$2:$2,0)+1,FALSE)</f>
        <v>【激ムズ】侵略！？にゃんこ軍団現る！</v>
      </c>
      <c r="G3" s="21">
        <v>7</v>
      </c>
      <c r="H3" s="15" t="str">
        <f>B3&amp;"_"&amp;C3&amp;"-"&amp;G3</f>
        <v>39012_5-7</v>
      </c>
      <c r="I3" s="4">
        <f ca="1">VLOOKUP($H3,OFFSET(floors!$A$1,0,0,COUNTA(floors!$A:$A),MATCH(I$1,floors!$1:$1,0)-MATCH($H$1,floors!$1:$1,0)+1),MATCH(I$1,floors!$1:$1,0)-MATCH($H$1,floors!$1:$1,0)+1,FALSE)</f>
        <v>60</v>
      </c>
      <c r="J3" s="4">
        <f ca="1">VLOOKUP($H3,OFFSET(floors!$A$1,0,0,COUNTA(floors!$A:$A),MATCH(J$1,floors!$1:$1,0)-MATCH($H$1,floors!$1:$1,0)+1),MATCH(J$1,floors!$1:$1,0)-MATCH($H$1,floors!$1:$1,0)+1,FALSE)</f>
        <v>60</v>
      </c>
      <c r="K3" s="37">
        <v>1</v>
      </c>
      <c r="L3" s="37">
        <v>3</v>
      </c>
      <c r="M3" s="20">
        <v>1512</v>
      </c>
      <c r="N3" s="17" t="str">
        <f ca="1">VLOOKUP($M3,OFFSET([3]enemies!$A$1,0,0,COUNTA([3]enemies!$A:$A),MATCH(N$1,[3]enemies!$1:$1,0)-MATCH($M$1,[3]enemies!$1:$1,0)+1),MATCH(N$1,[3]enemies!$1:$1,0)-MATCH($M$1,[3]enemies!$1:$1,0)+1,FALSE)</f>
        <v>ネコヴァルキリー･聖</v>
      </c>
      <c r="O3" s="17" t="str">
        <f ca="1">VLOOKUP($M3,OFFSET([3]enemies!$A$1,0,0,COUNTA([3]enemies!$A:$A),MATCH(O$1,[3]enemies!$1:$1,0)-MATCH($M$1,[3]enemies!$1:$1,0)+1),MATCH(O$1,[3]enemies!$1:$1,0)-MATCH($M$1,[3]enemies!$1:$1,0)+1,FALSE)</f>
        <v>yellow</v>
      </c>
      <c r="P3" s="17" t="str">
        <f ca="1">VLOOKUP($M3,OFFSET([4]characters!$A$1,0,0,COUNTA([4]characters!$A:$A),MATCH(P$1,[4]characters!$1:$1,0)-MATCH($M$1,[4]characters!$1:$1,0)+1),MATCH(P$1,[4]characters!$1:$1,0)-MATCH($M$1,[4]characters!$1:$1,0)+1,FALSE)</f>
        <v>DropWizS</v>
      </c>
      <c r="Q3" s="17" t="str">
        <f ca="1">VLOOKUP($M3,OFFSET([3]enemies!$A$1,0,0,COUNTA([3]enemies!$A:$A),MATCH(Q$1,[3]enemies!$1:$1,0)-MATCH($M$1,[3]enemies!$1:$1,0)+1),MATCH(Q$1,[3]enemies!$1:$1,0)-MATCH($M$1,[3]enemies!$1:$1,0)+1,FALSE)</f>
        <v>god</v>
      </c>
      <c r="R3" s="17">
        <f ca="1">VLOOKUP($M3,OFFSET([3]enemies!$A$1,0,0,COUNTA([3]enemies!$A:$A),MATCH(R$1,[3]enemies!$1:$1,0)-MATCH($M$1,[3]enemies!$1:$1,0)+1),MATCH(R$1,[3]enemies!$1:$1,0)-MATCH($M$1,[3]enemies!$1:$1,0)+1,FALSE)</f>
        <v>60</v>
      </c>
      <c r="S3" s="138">
        <v>1</v>
      </c>
      <c r="T3" s="65">
        <v>50</v>
      </c>
      <c r="U3" s="98">
        <f ca="1">ROUND(VLOOKUP(S3,[3]enemy_base_stats!$A:$F,2,FALSE) *INDIRECT("[EnemyMasterData.xlsm]enemies!Y"&amp;(M3+1))*  INDIRECT("[EnemyMasterData.xlsm]enemies!J"&amp;(M3+1))* INDIRECT("[EnemyMasterData.xlsm]enemies!O"&amp;(M3+1))* INDIRECT("[EnemyMasterData.xlsm]enemies!E"&amp;(M3+1))* INDIRECT("[EnemyMasterData.xlsm]enemies!S"&amp;(M3+1))* INDIRECT("[EnemyMasterData.xlsm]enemies!AD"&amp;(M3+1))*[4]ステータス!$B$2,0)*T3</f>
        <v>0</v>
      </c>
      <c r="V3" s="65">
        <v>25</v>
      </c>
      <c r="W3" s="98">
        <f ca="1">ROUND(VLOOKUP(S3,[3]enemy_base_stats!$A:$F,3,FALSE) *INDIRECT("[EnemyMasterData.xlsm]enemies!Z"&amp;(M3+1))*  INDIRECT("[EnemyMasterData.xlsm]enemies!K"&amp;(M3+1))* INDIRECT("[EnemyMasterData.xlsm]enemies!P"&amp;(M3+1))* INDIRECT("[EnemyMasterData.xlsm]enemies!F"&amp;(M3+1))* INDIRECT("[EnemyMasterData.xlsm]enemies!T"&amp;(M3+1))* INDIRECT("[EnemyMasterData.xlsm]enemies!AE"&amp;(M3+1))*[4]ステータス!$C$2,0)*V3</f>
        <v>0</v>
      </c>
      <c r="X3" s="5">
        <v>0</v>
      </c>
      <c r="Y3" s="4" t="str">
        <f ca="1">VLOOKUP($Z3,OFFSET(enemy_skill_sets!$B$1,0,0,COUNTA(enemy_skill_sets!$B:$B),MATCH(N$1,enemy_skill_sets!$1:$1,0)-MATCH($Z$1,enemy_skill_sets!$1:$1,0)+2),MATCH(N$1,enemy_skill_sets!$1:$1,0)-MATCH($Z$1,enemy_skill_sets!$1:$1,0)+2,FALSE)</f>
        <v>3ターンCパネル生成延長(効果特大)</v>
      </c>
      <c r="Z3" s="58">
        <v>39012510</v>
      </c>
      <c r="AA3" s="123">
        <v>1</v>
      </c>
    </row>
  </sheetData>
  <sheetProtection selectLockedCells="1" selectUnlockedCells="1"/>
  <autoFilter ref="B1:AA2"/>
  <phoneticPr fontId="5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 enableFormatConditionsCalculation="0">
    <tabColor rgb="FF0000FF"/>
    <outlinePr summaryBelow="0" summaryRight="0"/>
  </sheetPr>
  <dimension ref="A1:R75"/>
  <sheetViews>
    <sheetView showGridLines="0" workbookViewId="0">
      <pane xSplit="5" ySplit="1" topLeftCell="F24" activePane="bottomRight" state="frozen"/>
      <selection pane="topRight"/>
      <selection pane="bottomLeft"/>
      <selection pane="bottomRight" activeCell="I29" sqref="I29"/>
    </sheetView>
  </sheetViews>
  <sheetFormatPr baseColWidth="12" defaultColWidth="12.83203125" defaultRowHeight="21" customHeight="1" outlineLevelCol="1" x14ac:dyDescent="0.15"/>
  <cols>
    <col min="1" max="1" width="17.5" style="38" customWidth="1"/>
    <col min="2" max="2" width="9.5" style="48" bestFit="1" customWidth="1"/>
    <col min="3" max="3" width="9.6640625" style="48" customWidth="1"/>
    <col min="4" max="4" width="40.83203125" style="48" customWidth="1" outlineLevel="1"/>
    <col min="5" max="5" width="44.1640625" style="48" bestFit="1" customWidth="1" outlineLevel="1"/>
    <col min="6" max="6" width="10.83203125" style="48" bestFit="1" customWidth="1"/>
    <col min="7" max="7" width="8.33203125" style="48" bestFit="1" customWidth="1" outlineLevel="1"/>
    <col min="8" max="9" width="12.83203125" style="48" outlineLevel="1"/>
    <col min="10" max="10" width="17.6640625" style="48" bestFit="1" customWidth="1" outlineLevel="1"/>
    <col min="11" max="15" width="12.83203125" style="48" outlineLevel="1"/>
    <col min="16" max="16" width="8.33203125" style="44" bestFit="1" customWidth="1"/>
    <col min="17" max="17" width="9.6640625" style="44" customWidth="1"/>
    <col min="18" max="18" width="56.5" style="44" bestFit="1" customWidth="1"/>
    <col min="19" max="16384" width="12.83203125" style="44"/>
  </cols>
  <sheetData>
    <row r="1" spans="1:18" ht="21" customHeight="1" x14ac:dyDescent="0.15">
      <c r="A1" s="38" t="s">
        <v>60</v>
      </c>
      <c r="B1" s="39" t="s">
        <v>61</v>
      </c>
      <c r="C1" s="39" t="s">
        <v>62</v>
      </c>
      <c r="D1" s="40" t="s">
        <v>63</v>
      </c>
      <c r="E1" s="40" t="s">
        <v>64</v>
      </c>
      <c r="F1" s="41" t="s">
        <v>65</v>
      </c>
      <c r="G1" s="42" t="s">
        <v>66</v>
      </c>
      <c r="H1" s="42" t="s">
        <v>68</v>
      </c>
      <c r="I1" s="42" t="s">
        <v>69</v>
      </c>
      <c r="J1" s="42" t="s">
        <v>70</v>
      </c>
      <c r="K1" s="43" t="s">
        <v>71</v>
      </c>
      <c r="L1" s="43" t="s">
        <v>72</v>
      </c>
      <c r="M1" s="42" t="s">
        <v>73</v>
      </c>
      <c r="N1" s="42" t="s">
        <v>74</v>
      </c>
      <c r="O1" s="42" t="s">
        <v>75</v>
      </c>
      <c r="P1" s="40" t="s">
        <v>76</v>
      </c>
      <c r="Q1" s="40" t="s">
        <v>77</v>
      </c>
      <c r="R1" s="40" t="s">
        <v>78</v>
      </c>
    </row>
    <row r="2" spans="1:18" ht="21" customHeight="1" x14ac:dyDescent="0.15">
      <c r="A2" s="38" t="str">
        <f t="shared" ref="A2" si="0">B2&amp;"_"&amp;C2</f>
        <v>39012500_39012500</v>
      </c>
      <c r="B2" s="109">
        <v>39012500</v>
      </c>
      <c r="C2" s="109">
        <v>39012500</v>
      </c>
      <c r="D2" s="45" t="str">
        <f ca="1">VLOOKUP($C2,OFFSET(enemy_skills!$A$1,0,0,COUNTA(enemy_skills!$A:$A),MATCH(D$1,enemy_skills!$1:$1,0)-MATCH("enemy_skill_id",enemy_skills!$1:$1,0)+1),MATCH(D$1,enemy_skills!$1:$1,0)-MATCH("enemy_skill_id",enemy_skills!$1:$1,0)+1,FALSE)</f>
        <v>かみつく</v>
      </c>
      <c r="E2" s="45" t="str">
        <f ca="1">VLOOKUP($C2,OFFSET(enemy_skills!$A$1,0,0,COUNTA(enemy_skills!$A:$A),MATCH(E$1,enemy_skills!$1:$1,0)-MATCH("enemy_skill_id",enemy_skills!$1:$1,0)+1),MATCH(E$1,enemy_skills!$1:$1,0)-MATCH("enemy_skill_id",enemy_skills!$1:$1,0)+1,FALSE)</f>
        <v>クリティカル！</v>
      </c>
      <c r="F2" s="109">
        <v>39012500</v>
      </c>
      <c r="G2" s="47">
        <f ca="1">VLOOKUP($F2,OFFSET(enemy_skill_triggers!$A$1,0,0,COUNTA(enemy_skill_triggers!$A:$A),MATCH(G$1,enemy_skill_triggers!$1:$1,0)-MATCH($F$1,enemy_skill_triggers!$1:$1,0)+1),MATCH(G$1,enemy_skill_triggers!$1:$1,0)-MATCH($F$1,enemy_skill_triggers!$1:$1,0)+1,FALSE)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" s="47">
        <f ca="1">VLOOKUP($F2,OFFSET(enemy_skill_triggers!$A$1,0,0,COUNTA(enemy_skill_triggers!$A:$A),MATCH(H$1,enemy_skill_triggers!$1:$1,0)-MATCH($F$1,enemy_skill_triggers!$1:$1,0)+1),MATCH(H$1,enemy_skill_triggers!$1:$1,0)-MATCH($F$1,enemy_skill_triggers!$1:$1,0)+1,FALSE)</f>
        <v>550</v>
      </c>
      <c r="I2" s="47">
        <f ca="1">VLOOKUP($F2,OFFSET(enemy_skill_triggers!$A$1,0,0,COUNTA(enemy_skill_triggers!$A:$A),MATCH(I$1,enemy_skill_triggers!$1:$1,0)-MATCH($F$1,enemy_skill_triggers!$1:$1,0)+1),MATCH(I$1,enemy_skill_triggers!$1:$1,0)-MATCH($F$1,enemy_skill_triggers!$1:$1,0)+1,FALSE)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" s="47" t="str">
        <f ca="1">VLOOKUP($F2,OFFSET(enemy_skill_triggers!$A$1,0,0,COUNTA(enemy_skill_triggers!$A:$A),MATCH(J$1,enemy_skill_triggers!$1:$1,0)-MATCH($F$1,enemy_skill_triggers!$1:$1,0)+1),MATCH(J$1,enemy_skill_triggers!$1:$1,0)-MATCH($F$1,enemy_skill_triggers!$1:$1,0)+1,FALSE)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" s="47" t="str">
        <f ca="1">VLOOKUP($F2,OFFSET(enemy_skill_triggers!$A$1,0,0,COUNTA(enemy_skill_triggers!$A:$A),MATCH(K$1,enemy_skill_triggers!$1:$1,0)-MATCH($F$1,enemy_skill_triggers!$1:$1,0)+1),MATCH(K$1,enemy_skill_triggers!$1:$1,0)-MATCH($F$1,enemy_skill_triggers!$1:$1,0)+1,FALSE)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" s="47" t="str">
        <f ca="1">VLOOKUP($F2,OFFSET(enemy_skill_triggers!$A$1,0,0,COUNTA(enemy_skill_triggers!$A:$A),MATCH(L$1,enemy_skill_triggers!$1:$1,0)-MATCH($F$1,enemy_skill_triggers!$1:$1,0)+1),MATCH(L$1,enemy_skill_triggers!$1:$1,0)-MATCH($F$1,enemy_skill_triggers!$1:$1,0)+1,FALSE)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" s="47">
        <f ca="1">VLOOKUP($F2,OFFSET(enemy_skill_triggers!$A$1,0,0,COUNTA(enemy_skill_triggers!$A:$A),MATCH(M$1,enemy_skill_triggers!$1:$1,0)-MATCH($F$1,enemy_skill_triggers!$1:$1,0)+1),MATCH(M$1,enemy_skill_triggers!$1:$1,0)-MATCH($F$1,enemy_skill_triggers!$1:$1,0)+1,FALSE)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2" s="47" t="str">
        <f ca="1">VLOOKUP($F2,OFFSET(enemy_skill_triggers!$A$1,0,0,COUNTA(enemy_skill_triggers!$A:$A),MATCH(N$1,enemy_skill_triggers!$1:$1,0)-MATCH($F$1,enemy_skill_triggers!$1:$1,0)+1),MATCH(N$1,enemy_skill_triggers!$1:$1,0)-MATCH($F$1,enemy_skill_triggers!$1:$1,0)+1,FALSE)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" s="47">
        <f ca="1">VLOOKUP($F2,OFFSET(enemy_skill_triggers!$A$1,0,0,COUNTA(enemy_skill_triggers!$A:$A),MATCH(O$1,enemy_skill_triggers!$1:$1,0)-MATCH($F$1,enemy_skill_triggers!$1:$1,0)+1),MATCH(O$1,enemy_skill_triggers!$1:$1,0)-MATCH($F$1,enemy_skill_triggers!$1:$1,0)+1,FALSE)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" s="46"/>
      <c r="Q2" s="46"/>
      <c r="R2" s="46"/>
    </row>
    <row r="3" spans="1:18" ht="21" customHeight="1" x14ac:dyDescent="0.15">
      <c r="A3" s="38" t="str">
        <f t="shared" ref="A3:A27" si="1">B3&amp;"_"&amp;C3</f>
        <v>39012501_39012502</v>
      </c>
      <c r="B3" s="106">
        <v>39012501</v>
      </c>
      <c r="C3" s="149">
        <v>39012502</v>
      </c>
      <c r="D3" s="45" t="str">
        <f ca="1">VLOOKUP($C3,OFFSET(enemy_skills!$A$1,0,0,COUNTA(enemy_skills!$A:$A),MATCH(D$1,enemy_skills!$1:$1,0)-MATCH("enemy_skill_id",enemy_skills!$1:$1,0)+1),MATCH(D$1,enemy_skills!$1:$1,0)-MATCH("enemy_skill_id",enemy_skills!$1:$1,0)+1,FALSE)</f>
        <v>[表示しない]</v>
      </c>
      <c r="E3" s="45" t="str">
        <f ca="1">VLOOKUP($C3,OFFSET(enemy_skills!$A$1,0,0,COUNTA(enemy_skills!$A:$A),MATCH(E$1,enemy_skills!$1:$1,0)-MATCH("enemy_skill_id",enemy_skills!$1:$1,0)+1),MATCH(E$1,enemy_skills!$1:$1,0)-MATCH("enemy_skill_id",enemy_skills!$1:$1,0)+1,FALSE)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3" s="149">
        <v>39012502</v>
      </c>
      <c r="G3" s="47">
        <f ca="1">VLOOKUP($F3,OFFSET(enemy_skill_triggers!$A$1,0,0,COUNTA(enemy_skill_triggers!$A:$A),MATCH(G$1,enemy_skill_triggers!$1:$1,0)-MATCH($F$1,enemy_skill_triggers!$1:$1,0)+1),MATCH(G$1,enemy_skill_triggers!$1:$1,0)-MATCH($F$1,enemy_skill_triggers!$1:$1,0)+1,FALSE)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3" s="47">
        <f ca="1">VLOOKUP($F3,OFFSET(enemy_skill_triggers!$A$1,0,0,COUNTA(enemy_skill_triggers!$A:$A),MATCH(H$1,enemy_skill_triggers!$1:$1,0)-MATCH($F$1,enemy_skill_triggers!$1:$1,0)+1),MATCH(H$1,enemy_skill_triggers!$1:$1,0)-MATCH($F$1,enemy_skill_triggers!$1:$1,0)+1,FALSE)</f>
        <v>550</v>
      </c>
      <c r="I3" s="47">
        <f ca="1">VLOOKUP($F3,OFFSET(enemy_skill_triggers!$A$1,0,0,COUNTA(enemy_skill_triggers!$A:$A),MATCH(I$1,enemy_skill_triggers!$1:$1,0)-MATCH($F$1,enemy_skill_triggers!$1:$1,0)+1),MATCH(I$1,enemy_skill_triggers!$1:$1,0)-MATCH($F$1,enemy_skill_triggers!$1:$1,0)+1,FALSE)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" s="47" t="str">
        <f ca="1">VLOOKUP($F3,OFFSET(enemy_skill_triggers!$A$1,0,0,COUNTA(enemy_skill_triggers!$A:$A),MATCH(J$1,enemy_skill_triggers!$1:$1,0)-MATCH($F$1,enemy_skill_triggers!$1:$1,0)+1),MATCH(J$1,enemy_skill_triggers!$1:$1,0)-MATCH($F$1,enemy_skill_triggers!$1:$1,0)+1,FALSE)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" s="47" t="str">
        <f ca="1">VLOOKUP($F3,OFFSET(enemy_skill_triggers!$A$1,0,0,COUNTA(enemy_skill_triggers!$A:$A),MATCH(K$1,enemy_skill_triggers!$1:$1,0)-MATCH($F$1,enemy_skill_triggers!$1:$1,0)+1),MATCH(K$1,enemy_skill_triggers!$1:$1,0)-MATCH($F$1,enemy_skill_triggers!$1:$1,0)+1,FALSE)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" s="47">
        <f ca="1">VLOOKUP($F3,OFFSET(enemy_skill_triggers!$A$1,0,0,COUNTA(enemy_skill_triggers!$A:$A),MATCH(L$1,enemy_skill_triggers!$1:$1,0)-MATCH($F$1,enemy_skill_triggers!$1:$1,0)+1),MATCH(L$1,enemy_skill_triggers!$1:$1,0)-MATCH($F$1,enemy_skill_triggers!$1:$1,0)+1,FALSE)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" s="47">
        <f ca="1">VLOOKUP($F3,OFFSET(enemy_skill_triggers!$A$1,0,0,COUNTA(enemy_skill_triggers!$A:$A),MATCH(M$1,enemy_skill_triggers!$1:$1,0)-MATCH($F$1,enemy_skill_triggers!$1:$1,0)+1),MATCH(M$1,enemy_skill_triggers!$1:$1,0)-MATCH($F$1,enemy_skill_triggers!$1:$1,0)+1,FALSE)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3" s="47" t="str">
        <f ca="1">VLOOKUP($F3,OFFSET(enemy_skill_triggers!$A$1,0,0,COUNTA(enemy_skill_triggers!$A:$A),MATCH(N$1,enemy_skill_triggers!$1:$1,0)-MATCH($F$1,enemy_skill_triggers!$1:$1,0)+1),MATCH(N$1,enemy_skill_triggers!$1:$1,0)-MATCH($F$1,enemy_skill_triggers!$1:$1,0)+1,FALSE)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" s="47">
        <f ca="1">VLOOKUP($F3,OFFSET(enemy_skill_triggers!$A$1,0,0,COUNTA(enemy_skill_triggers!$A:$A),MATCH(O$1,enemy_skill_triggers!$1:$1,0)-MATCH($F$1,enemy_skill_triggers!$1:$1,0)+1),MATCH(O$1,enemy_skill_triggers!$1:$1,0)-MATCH($F$1,enemy_skill_triggers!$1:$1,0)+1,FALSE)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" s="46"/>
      <c r="Q3" s="46"/>
      <c r="R3" s="46"/>
    </row>
    <row r="4" spans="1:18" ht="21" customHeight="1" x14ac:dyDescent="0.15">
      <c r="A4" s="38" t="str">
        <f t="shared" si="1"/>
        <v>39012501_39012503</v>
      </c>
      <c r="B4" s="106">
        <v>39012501</v>
      </c>
      <c r="C4" s="149">
        <v>39012503</v>
      </c>
      <c r="D4" s="45" t="str">
        <f ca="1">VLOOKUP($C4,OFFSET(enemy_skills!$A$1,0,0,COUNTA(enemy_skills!$A:$A),MATCH(D$1,enemy_skills!$1:$1,0)-MATCH("enemy_skill_id",enemy_skills!$1:$1,0)+1),MATCH(D$1,enemy_skills!$1:$1,0)-MATCH("enemy_skill_id",enemy_skills!$1:$1,0)+1,FALSE)</f>
        <v>バトルアクス</v>
      </c>
      <c r="E4" s="45" t="str">
        <f ca="1">VLOOKUP($C4,OFFSET(enemy_skills!$A$1,0,0,COUNTA(enemy_skills!$A:$A),MATCH(E$1,enemy_skills!$1:$1,0)-MATCH("enemy_skill_id",enemy_skills!$1:$1,0)+1),MATCH(E$1,enemy_skills!$1:$1,0)-MATCH("enemy_skill_id",enemy_skills!$1:$1,0)+1,FALSE)</f>
        <v>クリティカル！</v>
      </c>
      <c r="F4" s="149">
        <v>39012503</v>
      </c>
      <c r="G4" s="47">
        <f ca="1">VLOOKUP($F4,OFFSET(enemy_skill_triggers!$A$1,0,0,COUNTA(enemy_skill_triggers!$A:$A),MATCH(G$1,enemy_skill_triggers!$1:$1,0)-MATCH($F$1,enemy_skill_triggers!$1:$1,0)+1),MATCH(G$1,enemy_skill_triggers!$1:$1,0)-MATCH($F$1,enemy_skill_triggers!$1:$1,0)+1,FALSE)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" s="47">
        <f ca="1">VLOOKUP($F4,OFFSET(enemy_skill_triggers!$A$1,0,0,COUNTA(enemy_skill_triggers!$A:$A),MATCH(H$1,enemy_skill_triggers!$1:$1,0)-MATCH($F$1,enemy_skill_triggers!$1:$1,0)+1),MATCH(H$1,enemy_skill_triggers!$1:$1,0)-MATCH($F$1,enemy_skill_triggers!$1:$1,0)+1,FALSE)</f>
        <v>540</v>
      </c>
      <c r="I4" s="47">
        <f ca="1">VLOOKUP($F4,OFFSET(enemy_skill_triggers!$A$1,0,0,COUNTA(enemy_skill_triggers!$A:$A),MATCH(I$1,enemy_skill_triggers!$1:$1,0)-MATCH($F$1,enemy_skill_triggers!$1:$1,0)+1),MATCH(I$1,enemy_skill_triggers!$1:$1,0)-MATCH($F$1,enemy_skill_triggers!$1:$1,0)+1,FALSE)</f>
        <v>50</v>
      </c>
      <c r="J4" s="47" t="str">
        <f ca="1">VLOOKUP($F4,OFFSET(enemy_skill_triggers!$A$1,0,0,COUNTA(enemy_skill_triggers!$A:$A),MATCH(J$1,enemy_skill_triggers!$1:$1,0)-MATCH($F$1,enemy_skill_triggers!$1:$1,0)+1),MATCH(J$1,enemy_skill_triggers!$1:$1,0)-MATCH($F$1,enemy_skill_triggers!$1:$1,0)+1,FALSE)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" s="47" t="str">
        <f ca="1">VLOOKUP($F4,OFFSET(enemy_skill_triggers!$A$1,0,0,COUNTA(enemy_skill_triggers!$A:$A),MATCH(K$1,enemy_skill_triggers!$1:$1,0)-MATCH($F$1,enemy_skill_triggers!$1:$1,0)+1),MATCH(K$1,enemy_skill_triggers!$1:$1,0)-MATCH($F$1,enemy_skill_triggers!$1:$1,0)+1,FALSE)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" s="47" t="str">
        <f ca="1">VLOOKUP($F4,OFFSET(enemy_skill_triggers!$A$1,0,0,COUNTA(enemy_skill_triggers!$A:$A),MATCH(L$1,enemy_skill_triggers!$1:$1,0)-MATCH($F$1,enemy_skill_triggers!$1:$1,0)+1),MATCH(L$1,enemy_skill_triggers!$1:$1,0)-MATCH($F$1,enemy_skill_triggers!$1:$1,0)+1,FALSE)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4" s="47">
        <f ca="1">VLOOKUP($F4,OFFSET(enemy_skill_triggers!$A$1,0,0,COUNTA(enemy_skill_triggers!$A:$A),MATCH(M$1,enemy_skill_triggers!$1:$1,0)-MATCH($F$1,enemy_skill_triggers!$1:$1,0)+1),MATCH(M$1,enemy_skill_triggers!$1:$1,0)-MATCH($F$1,enemy_skill_triggers!$1:$1,0)+1,FALSE)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4" s="47" t="str">
        <f ca="1">VLOOKUP($F4,OFFSET(enemy_skill_triggers!$A$1,0,0,COUNTA(enemy_skill_triggers!$A:$A),MATCH(N$1,enemy_skill_triggers!$1:$1,0)-MATCH($F$1,enemy_skill_triggers!$1:$1,0)+1),MATCH(N$1,enemy_skill_triggers!$1:$1,0)-MATCH($F$1,enemy_skill_triggers!$1:$1,0)+1,FALSE)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" s="47">
        <f ca="1">VLOOKUP($F4,OFFSET(enemy_skill_triggers!$A$1,0,0,COUNTA(enemy_skill_triggers!$A:$A),MATCH(O$1,enemy_skill_triggers!$1:$1,0)-MATCH($F$1,enemy_skill_triggers!$1:$1,0)+1),MATCH(O$1,enemy_skill_triggers!$1:$1,0)-MATCH($F$1,enemy_skill_triggers!$1:$1,0)+1,FALSE)</f>
        <v>50</v>
      </c>
      <c r="P4" s="46"/>
      <c r="Q4" s="46"/>
      <c r="R4" s="46"/>
    </row>
    <row r="5" spans="1:18" ht="21" customHeight="1" x14ac:dyDescent="0.15">
      <c r="A5" s="38" t="str">
        <f t="shared" si="1"/>
        <v>39012502_39012504</v>
      </c>
      <c r="B5" s="106">
        <v>39012502</v>
      </c>
      <c r="C5" s="149">
        <v>39012504</v>
      </c>
      <c r="D5" s="45" t="str">
        <f ca="1">VLOOKUP($C5,OFFSET(enemy_skills!$A$1,0,0,COUNTA(enemy_skills!$A:$A),MATCH(D$1,enemy_skills!$1:$1,0)-MATCH("enemy_skill_id",enemy_skills!$1:$1,0)+1),MATCH(D$1,enemy_skills!$1:$1,0)-MATCH("enemy_skill_id",enemy_skills!$1:$1,0)+1,FALSE)</f>
        <v>不思議なダンス</v>
      </c>
      <c r="E5" s="45" t="str">
        <f ca="1">VLOOKUP($C5,OFFSET(enemy_skills!$A$1,0,0,COUNTA(enemy_skills!$A:$A),MATCH(E$1,enemy_skills!$1:$1,0)-MATCH("enemy_skill_id",enemy_skills!$1:$1,0)+1),MATCH(E$1,enemy_skills!$1:$1,0)-MATCH("enemy_skill_id",enemy_skills!$1:$1,0)+1,FALSE)</f>
        <v>3ターン全ユニットの回復力30%DOWN</v>
      </c>
      <c r="F5" s="149">
        <v>39012504</v>
      </c>
      <c r="G5" s="47">
        <f ca="1">VLOOKUP($F5,OFFSET(enemy_skill_triggers!$A$1,0,0,COUNTA(enemy_skill_triggers!$A:$A),MATCH(G$1,enemy_skill_triggers!$1:$1,0)-MATCH($F$1,enemy_skill_triggers!$1:$1,0)+1),MATCH(G$1,enemy_skill_triggers!$1:$1,0)-MATCH($F$1,enemy_skill_triggers!$1:$1,0)+1,FALSE)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5" s="47">
        <f ca="1">VLOOKUP($F5,OFFSET(enemy_skill_triggers!$A$1,0,0,COUNTA(enemy_skill_triggers!$A:$A),MATCH(H$1,enemy_skill_triggers!$1:$1,0)-MATCH($F$1,enemy_skill_triggers!$1:$1,0)+1),MATCH(H$1,enemy_skill_triggers!$1:$1,0)-MATCH($F$1,enemy_skill_triggers!$1:$1,0)+1,FALSE)</f>
        <v>550</v>
      </c>
      <c r="I5" s="47">
        <f ca="1">VLOOKUP($F5,OFFSET(enemy_skill_triggers!$A$1,0,0,COUNTA(enemy_skill_triggers!$A:$A),MATCH(I$1,enemy_skill_triggers!$1:$1,0)-MATCH($F$1,enemy_skill_triggers!$1:$1,0)+1),MATCH(I$1,enemy_skill_triggers!$1:$1,0)-MATCH($F$1,enemy_skill_triggers!$1:$1,0)+1,FALSE)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" s="47" t="str">
        <f ca="1">VLOOKUP($F5,OFFSET(enemy_skill_triggers!$A$1,0,0,COUNTA(enemy_skill_triggers!$A:$A),MATCH(J$1,enemy_skill_triggers!$1:$1,0)-MATCH($F$1,enemy_skill_triggers!$1:$1,0)+1),MATCH(J$1,enemy_skill_triggers!$1:$1,0)-MATCH($F$1,enemy_skill_triggers!$1:$1,0)+1,FALSE)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" s="47" t="str">
        <f ca="1">VLOOKUP($F5,OFFSET(enemy_skill_triggers!$A$1,0,0,COUNTA(enemy_skill_triggers!$A:$A),MATCH(K$1,enemy_skill_triggers!$1:$1,0)-MATCH($F$1,enemy_skill_triggers!$1:$1,0)+1),MATCH(K$1,enemy_skill_triggers!$1:$1,0)-MATCH($F$1,enemy_skill_triggers!$1:$1,0)+1,FALSE)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" s="47">
        <f ca="1">VLOOKUP($F5,OFFSET(enemy_skill_triggers!$A$1,0,0,COUNTA(enemy_skill_triggers!$A:$A),MATCH(L$1,enemy_skill_triggers!$1:$1,0)-MATCH($F$1,enemy_skill_triggers!$1:$1,0)+1),MATCH(L$1,enemy_skill_triggers!$1:$1,0)-MATCH($F$1,enemy_skill_triggers!$1:$1,0)+1,FALSE)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5" s="47">
        <f ca="1">VLOOKUP($F5,OFFSET(enemy_skill_triggers!$A$1,0,0,COUNTA(enemy_skill_triggers!$A:$A),MATCH(M$1,enemy_skill_triggers!$1:$1,0)-MATCH($F$1,enemy_skill_triggers!$1:$1,0)+1),MATCH(M$1,enemy_skill_triggers!$1:$1,0)-MATCH($F$1,enemy_skill_triggers!$1:$1,0)+1,FALSE)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5" s="47" t="str">
        <f ca="1">VLOOKUP($F5,OFFSET(enemy_skill_triggers!$A$1,0,0,COUNTA(enemy_skill_triggers!$A:$A),MATCH(N$1,enemy_skill_triggers!$1:$1,0)-MATCH($F$1,enemy_skill_triggers!$1:$1,0)+1),MATCH(N$1,enemy_skill_triggers!$1:$1,0)-MATCH($F$1,enemy_skill_triggers!$1:$1,0)+1,FALSE)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" s="47">
        <f ca="1">VLOOKUP($F5,OFFSET(enemy_skill_triggers!$A$1,0,0,COUNTA(enemy_skill_triggers!$A:$A),MATCH(O$1,enemy_skill_triggers!$1:$1,0)-MATCH($F$1,enemy_skill_triggers!$1:$1,0)+1),MATCH(O$1,enemy_skill_triggers!$1:$1,0)-MATCH($F$1,enemy_skill_triggers!$1:$1,0)+1,FALSE)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" s="46"/>
      <c r="Q5" s="46"/>
      <c r="R5" s="46"/>
    </row>
    <row r="6" spans="1:18" ht="21" customHeight="1" x14ac:dyDescent="0.15">
      <c r="A6" s="38" t="str">
        <f t="shared" si="1"/>
        <v>39012502_39012505</v>
      </c>
      <c r="B6" s="106">
        <v>39012502</v>
      </c>
      <c r="C6" s="149">
        <v>39012505</v>
      </c>
      <c r="D6" s="45" t="str">
        <f ca="1">VLOOKUP($C6,OFFSET(enemy_skills!$A$1,0,0,COUNTA(enemy_skills!$A:$A),MATCH(D$1,enemy_skills!$1:$1,0)-MATCH("enemy_skill_id",enemy_skills!$1:$1,0)+1),MATCH(D$1,enemy_skills!$1:$1,0)-MATCH("enemy_skill_id",enemy_skills!$1:$1,0)+1,FALSE)</f>
        <v>魅惑のダンス</v>
      </c>
      <c r="E6" s="45" t="str">
        <f ca="1">VLOOKUP($C6,OFFSET(enemy_skills!$A$1,0,0,COUNTA(enemy_skills!$A:$A),MATCH(E$1,enemy_skills!$1:$1,0)-MATCH("enemy_skill_id",enemy_skills!$1:$1,0)+1),MATCH(E$1,enemy_skills!$1:$1,0)-MATCH("enemy_skill_id",enemy_skills!$1:$1,0)+1,FALSE)</f>
        <v>単体攻撃_x000D_(2ターン命中したユニットの攻撃力50%DOWN)</v>
      </c>
      <c r="F6" s="149">
        <v>39012505</v>
      </c>
      <c r="G6" s="47">
        <f ca="1">VLOOKUP($F6,OFFSET(enemy_skill_triggers!$A$1,0,0,COUNTA(enemy_skill_triggers!$A:$A),MATCH(G$1,enemy_skill_triggers!$1:$1,0)-MATCH($F$1,enemy_skill_triggers!$1:$1,0)+1),MATCH(G$1,enemy_skill_triggers!$1:$1,0)-MATCH($F$1,enemy_skill_triggers!$1:$1,0)+1,FALSE)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6" s="47">
        <f ca="1">VLOOKUP($F6,OFFSET(enemy_skill_triggers!$A$1,0,0,COUNTA(enemy_skill_triggers!$A:$A),MATCH(H$1,enemy_skill_triggers!$1:$1,0)-MATCH($F$1,enemy_skill_triggers!$1:$1,0)+1),MATCH(H$1,enemy_skill_triggers!$1:$1,0)-MATCH($F$1,enemy_skill_triggers!$1:$1,0)+1,FALSE)</f>
        <v>530</v>
      </c>
      <c r="I6" s="47">
        <f ca="1">VLOOKUP($F6,OFFSET(enemy_skill_triggers!$A$1,0,0,COUNTA(enemy_skill_triggers!$A:$A),MATCH(I$1,enemy_skill_triggers!$1:$1,0)-MATCH($F$1,enemy_skill_triggers!$1:$1,0)+1),MATCH(I$1,enemy_skill_triggers!$1:$1,0)-MATCH($F$1,enemy_skill_triggers!$1:$1,0)+1,FALSE)</f>
        <v>50</v>
      </c>
      <c r="J6" s="47" t="str">
        <f ca="1">VLOOKUP($F6,OFFSET(enemy_skill_triggers!$A$1,0,0,COUNTA(enemy_skill_triggers!$A:$A),MATCH(J$1,enemy_skill_triggers!$1:$1,0)-MATCH($F$1,enemy_skill_triggers!$1:$1,0)+1),MATCH(J$1,enemy_skill_triggers!$1:$1,0)-MATCH($F$1,enemy_skill_triggers!$1:$1,0)+1,FALSE)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" s="47" t="str">
        <f ca="1">VLOOKUP($F6,OFFSET(enemy_skill_triggers!$A$1,0,0,COUNTA(enemy_skill_triggers!$A:$A),MATCH(K$1,enemy_skill_triggers!$1:$1,0)-MATCH($F$1,enemy_skill_triggers!$1:$1,0)+1),MATCH(K$1,enemy_skill_triggers!$1:$1,0)-MATCH($F$1,enemy_skill_triggers!$1:$1,0)+1,FALSE)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" s="47" t="str">
        <f ca="1">VLOOKUP($F6,OFFSET(enemy_skill_triggers!$A$1,0,0,COUNTA(enemy_skill_triggers!$A:$A),MATCH(L$1,enemy_skill_triggers!$1:$1,0)-MATCH($F$1,enemy_skill_triggers!$1:$1,0)+1),MATCH(L$1,enemy_skill_triggers!$1:$1,0)-MATCH($F$1,enemy_skill_triggers!$1:$1,0)+1,FALSE)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6" s="47">
        <f ca="1">VLOOKUP($F6,OFFSET(enemy_skill_triggers!$A$1,0,0,COUNTA(enemy_skill_triggers!$A:$A),MATCH(M$1,enemy_skill_triggers!$1:$1,0)-MATCH($F$1,enemy_skill_triggers!$1:$1,0)+1),MATCH(M$1,enemy_skill_triggers!$1:$1,0)-MATCH($F$1,enemy_skill_triggers!$1:$1,0)+1,FALSE)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6" s="47" t="str">
        <f ca="1">VLOOKUP($F6,OFFSET(enemy_skill_triggers!$A$1,0,0,COUNTA(enemy_skill_triggers!$A:$A),MATCH(N$1,enemy_skill_triggers!$1:$1,0)-MATCH($F$1,enemy_skill_triggers!$1:$1,0)+1),MATCH(N$1,enemy_skill_triggers!$1:$1,0)-MATCH($F$1,enemy_skill_triggers!$1:$1,0)+1,FALSE)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6" s="47">
        <f ca="1">VLOOKUP($F6,OFFSET(enemy_skill_triggers!$A$1,0,0,COUNTA(enemy_skill_triggers!$A:$A),MATCH(O$1,enemy_skill_triggers!$1:$1,0)-MATCH($F$1,enemy_skill_triggers!$1:$1,0)+1),MATCH(O$1,enemy_skill_triggers!$1:$1,0)-MATCH($F$1,enemy_skill_triggers!$1:$1,0)+1,FALSE)</f>
        <v>50</v>
      </c>
      <c r="P6" s="46"/>
      <c r="Q6" s="46"/>
      <c r="R6" s="46"/>
    </row>
    <row r="7" spans="1:18" ht="21" customHeight="1" x14ac:dyDescent="0.15">
      <c r="A7" s="38" t="str">
        <f t="shared" ref="A7" si="2">B7&amp;"_"&amp;C7</f>
        <v>39012502_39012506</v>
      </c>
      <c r="B7" s="106">
        <v>39012502</v>
      </c>
      <c r="C7" s="149">
        <v>39012506</v>
      </c>
      <c r="D7" s="45" t="str">
        <f ca="1">VLOOKUP($C7,OFFSET(enemy_skills!$A$1,0,0,COUNTA(enemy_skills!$A:$A),MATCH(D$1,enemy_skills!$1:$1,0)-MATCH("enemy_skill_id",enemy_skills!$1:$1,0)+1),MATCH(D$1,enemy_skills!$1:$1,0)-MATCH("enemy_skill_id",enemy_skills!$1:$1,0)+1,FALSE)</f>
        <v>ハイテンションダンス</v>
      </c>
      <c r="E7" s="45" t="str">
        <f ca="1">VLOOKUP($C7,OFFSET(enemy_skills!$A$1,0,0,COUNTA(enemy_skills!$A:$A),MATCH(E$1,enemy_skills!$1:$1,0)-MATCH("enemy_skill_id",enemy_skills!$1:$1,0)+1),MATCH(E$1,enemy_skills!$1:$1,0)-MATCH("enemy_skill_id",enemy_skills!$1:$1,0)+1,FALSE)</f>
        <v>自身の攻撃頻度UP</v>
      </c>
      <c r="F7" s="149">
        <v>39012506</v>
      </c>
      <c r="G7" s="47">
        <f ca="1">VLOOKUP($F7,OFFSET(enemy_skill_triggers!$A$1,0,0,COUNTA(enemy_skill_triggers!$A:$A),MATCH(G$1,enemy_skill_triggers!$1:$1,0)-MATCH($F$1,enemy_skill_triggers!$1:$1,0)+1),MATCH(G$1,enemy_skill_triggers!$1:$1,0)-MATCH($F$1,enemy_skill_triggers!$1:$1,0)+1,FALSE)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7" s="47">
        <f ca="1">VLOOKUP($F7,OFFSET(enemy_skill_triggers!$A$1,0,0,COUNTA(enemy_skill_triggers!$A:$A),MATCH(H$1,enemy_skill_triggers!$1:$1,0)-MATCH($F$1,enemy_skill_triggers!$1:$1,0)+1),MATCH(H$1,enemy_skill_triggers!$1:$1,0)-MATCH($F$1,enemy_skill_triggers!$1:$1,0)+1,FALSE)</f>
        <v>540</v>
      </c>
      <c r="I7" s="47">
        <f ca="1">VLOOKUP($F7,OFFSET(enemy_skill_triggers!$A$1,0,0,COUNTA(enemy_skill_triggers!$A:$A),MATCH(I$1,enemy_skill_triggers!$1:$1,0)-MATCH($F$1,enemy_skill_triggers!$1:$1,0)+1),MATCH(I$1,enemy_skill_triggers!$1:$1,0)-MATCH($F$1,enemy_skill_triggers!$1:$1,0)+1,FALSE)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7" s="47" t="str">
        <f ca="1">VLOOKUP($F7,OFFSET(enemy_skill_triggers!$A$1,0,0,COUNTA(enemy_skill_triggers!$A:$A),MATCH(J$1,enemy_skill_triggers!$1:$1,0)-MATCH($F$1,enemy_skill_triggers!$1:$1,0)+1),MATCH(J$1,enemy_skill_triggers!$1:$1,0)-MATCH($F$1,enemy_skill_triggers!$1:$1,0)+1,FALSE)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7" s="47" t="str">
        <f ca="1">VLOOKUP($F7,OFFSET(enemy_skill_triggers!$A$1,0,0,COUNTA(enemy_skill_triggers!$A:$A),MATCH(K$1,enemy_skill_triggers!$1:$1,0)-MATCH($F$1,enemy_skill_triggers!$1:$1,0)+1),MATCH(K$1,enemy_skill_triggers!$1:$1,0)-MATCH($F$1,enemy_skill_triggers!$1:$1,0)+1,FALSE)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" s="47">
        <f ca="1">VLOOKUP($F7,OFFSET(enemy_skill_triggers!$A$1,0,0,COUNTA(enemy_skill_triggers!$A:$A),MATCH(L$1,enemy_skill_triggers!$1:$1,0)-MATCH($F$1,enemy_skill_triggers!$1:$1,0)+1),MATCH(L$1,enemy_skill_triggers!$1:$1,0)-MATCH($F$1,enemy_skill_triggers!$1:$1,0)+1,FALSE)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7" s="47">
        <f ca="1">VLOOKUP($F7,OFFSET(enemy_skill_triggers!$A$1,0,0,COUNTA(enemy_skill_triggers!$A:$A),MATCH(M$1,enemy_skill_triggers!$1:$1,0)-MATCH($F$1,enemy_skill_triggers!$1:$1,0)+1),MATCH(M$1,enemy_skill_triggers!$1:$1,0)-MATCH($F$1,enemy_skill_triggers!$1:$1,0)+1,FALSE)</f>
        <v>3</v>
      </c>
      <c r="N7" s="47" t="str">
        <f ca="1">VLOOKUP($F7,OFFSET(enemy_skill_triggers!$A$1,0,0,COUNTA(enemy_skill_triggers!$A:$A),MATCH(N$1,enemy_skill_triggers!$1:$1,0)-MATCH($F$1,enemy_skill_triggers!$1:$1,0)+1),MATCH(N$1,enemy_skill_triggers!$1:$1,0)-MATCH($F$1,enemy_skill_triggers!$1:$1,0)+1,FALSE)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7" s="47">
        <f ca="1">VLOOKUP($F7,OFFSET(enemy_skill_triggers!$A$1,0,0,COUNTA(enemy_skill_triggers!$A:$A),MATCH(O$1,enemy_skill_triggers!$1:$1,0)-MATCH($F$1,enemy_skill_triggers!$1:$1,0)+1),MATCH(O$1,enemy_skill_triggers!$1:$1,0)-MATCH($F$1,enemy_skill_triggers!$1:$1,0)+1,FALSE)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7" s="46"/>
      <c r="Q7" s="46"/>
      <c r="R7" s="46"/>
    </row>
    <row r="8" spans="1:18" ht="21" customHeight="1" x14ac:dyDescent="0.15">
      <c r="A8" s="38" t="str">
        <f t="shared" si="1"/>
        <v>39012503_39012507</v>
      </c>
      <c r="B8" s="109">
        <v>39012503</v>
      </c>
      <c r="C8" s="109">
        <v>39012507</v>
      </c>
      <c r="D8" s="45" t="str">
        <f ca="1">VLOOKUP($C8,OFFSET(enemy_skills!$A$1,0,0,COUNTA(enemy_skills!$A:$A),MATCH(D$1,enemy_skills!$1:$1,0)-MATCH("enemy_skill_id",enemy_skills!$1:$1,0)+1),MATCH(D$1,enemy_skills!$1:$1,0)-MATCH("enemy_skill_id",enemy_skills!$1:$1,0)+1,FALSE)</f>
        <v>しなる触腕</v>
      </c>
      <c r="E8" s="45" t="str">
        <f ca="1">VLOOKUP($C8,OFFSET(enemy_skills!$A$1,0,0,COUNTA(enemy_skills!$A:$A),MATCH(E$1,enemy_skills!$1:$1,0)-MATCH("enemy_skill_id",enemy_skills!$1:$1,0)+1),MATCH(E$1,enemy_skills!$1:$1,0)-MATCH("enemy_skill_id",enemy_skills!$1:$1,0)+1,FALSE)</f>
        <v>クリティカル！</v>
      </c>
      <c r="F8" s="109">
        <v>39012507</v>
      </c>
      <c r="G8" s="47">
        <f ca="1">VLOOKUP($F8,OFFSET(enemy_skill_triggers!$A$1,0,0,COUNTA(enemy_skill_triggers!$A:$A),MATCH(G$1,enemy_skill_triggers!$1:$1,0)-MATCH($F$1,enemy_skill_triggers!$1:$1,0)+1),MATCH(G$1,enemy_skill_triggers!$1:$1,0)-MATCH($F$1,enemy_skill_triggers!$1:$1,0)+1,FALSE)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8" s="47">
        <f ca="1">VLOOKUP($F8,OFFSET(enemy_skill_triggers!$A$1,0,0,COUNTA(enemy_skill_triggers!$A:$A),MATCH(H$1,enemy_skill_triggers!$1:$1,0)-MATCH($F$1,enemy_skill_triggers!$1:$1,0)+1),MATCH(H$1,enemy_skill_triggers!$1:$1,0)-MATCH($F$1,enemy_skill_triggers!$1:$1,0)+1,FALSE)</f>
        <v>550</v>
      </c>
      <c r="I8" s="47">
        <f ca="1">VLOOKUP($F8,OFFSET(enemy_skill_triggers!$A$1,0,0,COUNTA(enemy_skill_triggers!$A:$A),MATCH(I$1,enemy_skill_triggers!$1:$1,0)-MATCH($F$1,enemy_skill_triggers!$1:$1,0)+1),MATCH(I$1,enemy_skill_triggers!$1:$1,0)-MATCH($F$1,enemy_skill_triggers!$1:$1,0)+1,FALSE)</f>
        <v>70</v>
      </c>
      <c r="J8" s="47" t="str">
        <f ca="1">VLOOKUP($F8,OFFSET(enemy_skill_triggers!$A$1,0,0,COUNTA(enemy_skill_triggers!$A:$A),MATCH(J$1,enemy_skill_triggers!$1:$1,0)-MATCH($F$1,enemy_skill_triggers!$1:$1,0)+1),MATCH(J$1,enemy_skill_triggers!$1:$1,0)-MATCH($F$1,enemy_skill_triggers!$1:$1,0)+1,FALSE)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8" s="47" t="str">
        <f ca="1">VLOOKUP($F8,OFFSET(enemy_skill_triggers!$A$1,0,0,COUNTA(enemy_skill_triggers!$A:$A),MATCH(K$1,enemy_skill_triggers!$1:$1,0)-MATCH($F$1,enemy_skill_triggers!$1:$1,0)+1),MATCH(K$1,enemy_skill_triggers!$1:$1,0)-MATCH($F$1,enemy_skill_triggers!$1:$1,0)+1,FALSE)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8" s="47" t="str">
        <f ca="1">VLOOKUP($F8,OFFSET(enemy_skill_triggers!$A$1,0,0,COUNTA(enemy_skill_triggers!$A:$A),MATCH(L$1,enemy_skill_triggers!$1:$1,0)-MATCH($F$1,enemy_skill_triggers!$1:$1,0)+1),MATCH(L$1,enemy_skill_triggers!$1:$1,0)-MATCH($F$1,enemy_skill_triggers!$1:$1,0)+1,FALSE)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8" s="47">
        <f ca="1">VLOOKUP($F8,OFFSET(enemy_skill_triggers!$A$1,0,0,COUNTA(enemy_skill_triggers!$A:$A),MATCH(M$1,enemy_skill_triggers!$1:$1,0)-MATCH($F$1,enemy_skill_triggers!$1:$1,0)+1),MATCH(M$1,enemy_skill_triggers!$1:$1,0)-MATCH($F$1,enemy_skill_triggers!$1:$1,0)+1,FALSE)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8" s="47" t="str">
        <f ca="1">VLOOKUP($F8,OFFSET(enemy_skill_triggers!$A$1,0,0,COUNTA(enemy_skill_triggers!$A:$A),MATCH(N$1,enemy_skill_triggers!$1:$1,0)-MATCH($F$1,enemy_skill_triggers!$1:$1,0)+1),MATCH(N$1,enemy_skill_triggers!$1:$1,0)-MATCH($F$1,enemy_skill_triggers!$1:$1,0)+1,FALSE)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8" s="47">
        <f ca="1">VLOOKUP($F8,OFFSET(enemy_skill_triggers!$A$1,0,0,COUNTA(enemy_skill_triggers!$A:$A),MATCH(O$1,enemy_skill_triggers!$1:$1,0)-MATCH($F$1,enemy_skill_triggers!$1:$1,0)+1),MATCH(O$1,enemy_skill_triggers!$1:$1,0)-MATCH($F$1,enemy_skill_triggers!$1:$1,0)+1,FALSE)</f>
        <v>70</v>
      </c>
      <c r="P8" s="46"/>
      <c r="Q8" s="46"/>
      <c r="R8" s="46"/>
    </row>
    <row r="9" spans="1:18" ht="21" customHeight="1" x14ac:dyDescent="0.15">
      <c r="A9" s="38" t="str">
        <f t="shared" si="1"/>
        <v>39012503_39012508</v>
      </c>
      <c r="B9" s="109">
        <v>39012503</v>
      </c>
      <c r="C9" s="109">
        <v>39012508</v>
      </c>
      <c r="D9" s="45" t="str">
        <f ca="1">VLOOKUP($C9,OFFSET(enemy_skills!$A$1,0,0,COUNTA(enemy_skills!$A:$A),MATCH(D$1,enemy_skills!$1:$1,0)-MATCH("enemy_skill_id",enemy_skills!$1:$1,0)+1),MATCH(D$1,enemy_skills!$1:$1,0)-MATCH("enemy_skill_id",enemy_skills!$1:$1,0)+1,FALSE)</f>
        <v>華麗にステップを踏み_x000D_ながらこちらを見ている</v>
      </c>
      <c r="E9" s="45" t="str">
        <f ca="1">VLOOKUP($C9,OFFSET(enemy_skills!$A$1,0,0,COUNTA(enemy_skills!$A:$A),MATCH(E$1,enemy_skills!$1:$1,0)-MATCH("enemy_skill_id",enemy_skills!$1:$1,0)+1),MATCH(E$1,enemy_skills!$1:$1,0)-MATCH("enemy_skill_id",enemy_skills!$1:$1,0)+1,FALSE)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9" s="109">
        <v>39012508</v>
      </c>
      <c r="G9" s="47">
        <f ca="1">VLOOKUP($F9,OFFSET(enemy_skill_triggers!$A$1,0,0,COUNTA(enemy_skill_triggers!$A:$A),MATCH(G$1,enemy_skill_triggers!$1:$1,0)-MATCH($F$1,enemy_skill_triggers!$1:$1,0)+1),MATCH(G$1,enemy_skill_triggers!$1:$1,0)-MATCH($F$1,enemy_skill_triggers!$1:$1,0)+1,FALSE)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9" s="47">
        <f ca="1">VLOOKUP($F9,OFFSET(enemy_skill_triggers!$A$1,0,0,COUNTA(enemy_skill_triggers!$A:$A),MATCH(H$1,enemy_skill_triggers!$1:$1,0)-MATCH($F$1,enemy_skill_triggers!$1:$1,0)+1),MATCH(H$1,enemy_skill_triggers!$1:$1,0)-MATCH($F$1,enemy_skill_triggers!$1:$1,0)+1,FALSE)</f>
        <v>560</v>
      </c>
      <c r="I9" s="47">
        <f ca="1">VLOOKUP($F9,OFFSET(enemy_skill_triggers!$A$1,0,0,COUNTA(enemy_skill_triggers!$A:$A),MATCH(I$1,enemy_skill_triggers!$1:$1,0)-MATCH($F$1,enemy_skill_triggers!$1:$1,0)+1),MATCH(I$1,enemy_skill_triggers!$1:$1,0)-MATCH($F$1,enemy_skill_triggers!$1:$1,0)+1,FALSE)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9" s="47" t="str">
        <f ca="1">VLOOKUP($F9,OFFSET(enemy_skill_triggers!$A$1,0,0,COUNTA(enemy_skill_triggers!$A:$A),MATCH(J$1,enemy_skill_triggers!$1:$1,0)-MATCH($F$1,enemy_skill_triggers!$1:$1,0)+1),MATCH(J$1,enemy_skill_triggers!$1:$1,0)-MATCH($F$1,enemy_skill_triggers!$1:$1,0)+1,FALSE)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9" s="47" t="str">
        <f ca="1">VLOOKUP($F9,OFFSET(enemy_skill_triggers!$A$1,0,0,COUNTA(enemy_skill_triggers!$A:$A),MATCH(K$1,enemy_skill_triggers!$1:$1,0)-MATCH($F$1,enemy_skill_triggers!$1:$1,0)+1),MATCH(K$1,enemy_skill_triggers!$1:$1,0)-MATCH($F$1,enemy_skill_triggers!$1:$1,0)+1,FALSE)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9" s="47" t="str">
        <f ca="1">VLOOKUP($F9,OFFSET(enemy_skill_triggers!$A$1,0,0,COUNTA(enemy_skill_triggers!$A:$A),MATCH(L$1,enemy_skill_triggers!$1:$1,0)-MATCH($F$1,enemy_skill_triggers!$1:$1,0)+1),MATCH(L$1,enemy_skill_triggers!$1:$1,0)-MATCH($F$1,enemy_skill_triggers!$1:$1,0)+1,FALSE)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9" s="47">
        <f ca="1">VLOOKUP($F9,OFFSET(enemy_skill_triggers!$A$1,0,0,COUNTA(enemy_skill_triggers!$A:$A),MATCH(M$1,enemy_skill_triggers!$1:$1,0)-MATCH($F$1,enemy_skill_triggers!$1:$1,0)+1),MATCH(M$1,enemy_skill_triggers!$1:$1,0)-MATCH($F$1,enemy_skill_triggers!$1:$1,0)+1,FALSE)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9" s="47" t="str">
        <f ca="1">VLOOKUP($F9,OFFSET(enemy_skill_triggers!$A$1,0,0,COUNTA(enemy_skill_triggers!$A:$A),MATCH(N$1,enemy_skill_triggers!$1:$1,0)-MATCH($F$1,enemy_skill_triggers!$1:$1,0)+1),MATCH(N$1,enemy_skill_triggers!$1:$1,0)-MATCH($F$1,enemy_skill_triggers!$1:$1,0)+1,FALSE)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9" s="47">
        <f ca="1">VLOOKUP($F9,OFFSET(enemy_skill_triggers!$A$1,0,0,COUNTA(enemy_skill_triggers!$A:$A),MATCH(O$1,enemy_skill_triggers!$1:$1,0)-MATCH($F$1,enemy_skill_triggers!$1:$1,0)+1),MATCH(O$1,enemy_skill_triggers!$1:$1,0)-MATCH($F$1,enemy_skill_triggers!$1:$1,0)+1,FALSE)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9" s="46"/>
      <c r="Q9" s="46"/>
      <c r="R9" s="46"/>
    </row>
    <row r="10" spans="1:18" ht="21" customHeight="1" x14ac:dyDescent="0.15">
      <c r="A10" s="38" t="str">
        <f t="shared" ref="A10:A14" si="3">B10&amp;"_"&amp;C10</f>
        <v>39012504_39012509</v>
      </c>
      <c r="B10" s="106">
        <v>39012504</v>
      </c>
      <c r="C10" s="149">
        <v>39012509</v>
      </c>
      <c r="D10" s="45" t="str">
        <f ca="1">VLOOKUP($C10,OFFSET(enemy_skills!$A$1,0,0,COUNTA(enemy_skills!$A:$A),MATCH(D$1,enemy_skills!$1:$1,0)-MATCH("enemy_skill_id",enemy_skills!$1:$1,0)+1),MATCH(D$1,enemy_skills!$1:$1,0)-MATCH("enemy_skill_id",enemy_skills!$1:$1,0)+1,FALSE)</f>
        <v>かみつく</v>
      </c>
      <c r="E10" s="45" t="str">
        <f ca="1">VLOOKUP($C10,OFFSET(enemy_skills!$A$1,0,0,COUNTA(enemy_skills!$A:$A),MATCH(E$1,enemy_skills!$1:$1,0)-MATCH("enemy_skill_id",enemy_skills!$1:$1,0)+1),MATCH(E$1,enemy_skills!$1:$1,0)-MATCH("enemy_skill_id",enemy_skills!$1:$1,0)+1,FALSE)</f>
        <v>クリティカル！</v>
      </c>
      <c r="F10" s="149">
        <v>39012509</v>
      </c>
      <c r="G10" s="47">
        <f ca="1">VLOOKUP($F10,OFFSET(enemy_skill_triggers!$A$1,0,0,COUNTA(enemy_skill_triggers!$A:$A),MATCH(G$1,enemy_skill_triggers!$1:$1,0)-MATCH($F$1,enemy_skill_triggers!$1:$1,0)+1),MATCH(G$1,enemy_skill_triggers!$1:$1,0)-MATCH($F$1,enemy_skill_triggers!$1:$1,0)+1,FALSE)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0" s="47">
        <f ca="1">VLOOKUP($F10,OFFSET(enemy_skill_triggers!$A$1,0,0,COUNTA(enemy_skill_triggers!$A:$A),MATCH(H$1,enemy_skill_triggers!$1:$1,0)-MATCH($F$1,enemy_skill_triggers!$1:$1,0)+1),MATCH(H$1,enemy_skill_triggers!$1:$1,0)-MATCH($F$1,enemy_skill_triggers!$1:$1,0)+1,FALSE)</f>
        <v>550</v>
      </c>
      <c r="I10" s="47">
        <f ca="1">VLOOKUP($F10,OFFSET(enemy_skill_triggers!$A$1,0,0,COUNTA(enemy_skill_triggers!$A:$A),MATCH(I$1,enemy_skill_triggers!$1:$1,0)-MATCH($F$1,enemy_skill_triggers!$1:$1,0)+1),MATCH(I$1,enemy_skill_triggers!$1:$1,0)-MATCH($F$1,enemy_skill_triggers!$1:$1,0)+1,FALSE)</f>
        <v>50</v>
      </c>
      <c r="J10" s="47" t="str">
        <f ca="1">VLOOKUP($F10,OFFSET(enemy_skill_triggers!$A$1,0,0,COUNTA(enemy_skill_triggers!$A:$A),MATCH(J$1,enemy_skill_triggers!$1:$1,0)-MATCH($F$1,enemy_skill_triggers!$1:$1,0)+1),MATCH(J$1,enemy_skill_triggers!$1:$1,0)-MATCH($F$1,enemy_skill_triggers!$1:$1,0)+1,FALSE)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0" s="47" t="str">
        <f ca="1">VLOOKUP($F10,OFFSET(enemy_skill_triggers!$A$1,0,0,COUNTA(enemy_skill_triggers!$A:$A),MATCH(K$1,enemy_skill_triggers!$1:$1,0)-MATCH($F$1,enemy_skill_triggers!$1:$1,0)+1),MATCH(K$1,enemy_skill_triggers!$1:$1,0)-MATCH($F$1,enemy_skill_triggers!$1:$1,0)+1,FALSE)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0" s="47" t="str">
        <f ca="1">VLOOKUP($F10,OFFSET(enemy_skill_triggers!$A$1,0,0,COUNTA(enemy_skill_triggers!$A:$A),MATCH(L$1,enemy_skill_triggers!$1:$1,0)-MATCH($F$1,enemy_skill_triggers!$1:$1,0)+1),MATCH(L$1,enemy_skill_triggers!$1:$1,0)-MATCH($F$1,enemy_skill_triggers!$1:$1,0)+1,FALSE)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0" s="47">
        <f ca="1">VLOOKUP($F10,OFFSET(enemy_skill_triggers!$A$1,0,0,COUNTA(enemy_skill_triggers!$A:$A),MATCH(M$1,enemy_skill_triggers!$1:$1,0)-MATCH($F$1,enemy_skill_triggers!$1:$1,0)+1),MATCH(M$1,enemy_skill_triggers!$1:$1,0)-MATCH($F$1,enemy_skill_triggers!$1:$1,0)+1,FALSE)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10" s="47" t="str">
        <f ca="1">VLOOKUP($F10,OFFSET(enemy_skill_triggers!$A$1,0,0,COUNTA(enemy_skill_triggers!$A:$A),MATCH(N$1,enemy_skill_triggers!$1:$1,0)-MATCH($F$1,enemy_skill_triggers!$1:$1,0)+1),MATCH(N$1,enemy_skill_triggers!$1:$1,0)-MATCH($F$1,enemy_skill_triggers!$1:$1,0)+1,FALSE)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0" s="47">
        <f ca="1">VLOOKUP($F10,OFFSET(enemy_skill_triggers!$A$1,0,0,COUNTA(enemy_skill_triggers!$A:$A),MATCH(O$1,enemy_skill_triggers!$1:$1,0)-MATCH($F$1,enemy_skill_triggers!$1:$1,0)+1),MATCH(O$1,enemy_skill_triggers!$1:$1,0)-MATCH($F$1,enemy_skill_triggers!$1:$1,0)+1,FALSE)</f>
        <v>50</v>
      </c>
      <c r="P10" s="46"/>
      <c r="Q10" s="46"/>
      <c r="R10" s="46"/>
    </row>
    <row r="11" spans="1:18" ht="21" customHeight="1" x14ac:dyDescent="0.15">
      <c r="A11" s="38" t="str">
        <f t="shared" si="3"/>
        <v>39012505_39012511</v>
      </c>
      <c r="B11" s="106">
        <v>39012505</v>
      </c>
      <c r="C11" s="149">
        <v>39012511</v>
      </c>
      <c r="D11" s="45" t="str">
        <f ca="1">VLOOKUP($C11,OFFSET(enemy_skills!$A$1,0,0,COUNTA(enemy_skills!$A:$A),MATCH(D$1,enemy_skills!$1:$1,0)-MATCH("enemy_skill_id",enemy_skills!$1:$1,0)+1),MATCH(D$1,enemy_skills!$1:$1,0)-MATCH("enemy_skill_id",enemy_skills!$1:$1,0)+1,FALSE)</f>
        <v>バトルアクス</v>
      </c>
      <c r="E11" s="45" t="str">
        <f ca="1">VLOOKUP($C11,OFFSET(enemy_skills!$A$1,0,0,COUNTA(enemy_skills!$A:$A),MATCH(E$1,enemy_skills!$1:$1,0)-MATCH("enemy_skill_id",enemy_skills!$1:$1,0)+1),MATCH(E$1,enemy_skills!$1:$1,0)-MATCH("enemy_skill_id",enemy_skills!$1:$1,0)+1,FALSE)</f>
        <v>クリティカル！</v>
      </c>
      <c r="F11" s="149">
        <v>39012511</v>
      </c>
      <c r="G11" s="47">
        <f ca="1">VLOOKUP($F11,OFFSET(enemy_skill_triggers!$A$1,0,0,COUNTA(enemy_skill_triggers!$A:$A),MATCH(G$1,enemy_skill_triggers!$1:$1,0)-MATCH($F$1,enemy_skill_triggers!$1:$1,0)+1),MATCH(G$1,enemy_skill_triggers!$1:$1,0)-MATCH($F$1,enemy_skill_triggers!$1:$1,0)+1,FALSE)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1" s="47">
        <f ca="1">VLOOKUP($F11,OFFSET(enemy_skill_triggers!$A$1,0,0,COUNTA(enemy_skill_triggers!$A:$A),MATCH(H$1,enemy_skill_triggers!$1:$1,0)-MATCH($F$1,enemy_skill_triggers!$1:$1,0)+1),MATCH(H$1,enemy_skill_triggers!$1:$1,0)-MATCH($F$1,enemy_skill_triggers!$1:$1,0)+1,FALSE)</f>
        <v>550</v>
      </c>
      <c r="I11" s="47">
        <f ca="1">VLOOKUP($F11,OFFSET(enemy_skill_triggers!$A$1,0,0,COUNTA(enemy_skill_triggers!$A:$A),MATCH(I$1,enemy_skill_triggers!$1:$1,0)-MATCH($F$1,enemy_skill_triggers!$1:$1,0)+1),MATCH(I$1,enemy_skill_triggers!$1:$1,0)-MATCH($F$1,enemy_skill_triggers!$1:$1,0)+1,FALSE)</f>
        <v>70</v>
      </c>
      <c r="J11" s="47" t="str">
        <f ca="1">VLOOKUP($F11,OFFSET(enemy_skill_triggers!$A$1,0,0,COUNTA(enemy_skill_triggers!$A:$A),MATCH(J$1,enemy_skill_triggers!$1:$1,0)-MATCH($F$1,enemy_skill_triggers!$1:$1,0)+1),MATCH(J$1,enemy_skill_triggers!$1:$1,0)-MATCH($F$1,enemy_skill_triggers!$1:$1,0)+1,FALSE)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1" s="47" t="str">
        <f ca="1">VLOOKUP($F11,OFFSET(enemy_skill_triggers!$A$1,0,0,COUNTA(enemy_skill_triggers!$A:$A),MATCH(K$1,enemy_skill_triggers!$1:$1,0)-MATCH($F$1,enemy_skill_triggers!$1:$1,0)+1),MATCH(K$1,enemy_skill_triggers!$1:$1,0)-MATCH($F$1,enemy_skill_triggers!$1:$1,0)+1,FALSE)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1" s="47" t="str">
        <f ca="1">VLOOKUP($F11,OFFSET(enemy_skill_triggers!$A$1,0,0,COUNTA(enemy_skill_triggers!$A:$A),MATCH(L$1,enemy_skill_triggers!$1:$1,0)-MATCH($F$1,enemy_skill_triggers!$1:$1,0)+1),MATCH(L$1,enemy_skill_triggers!$1:$1,0)-MATCH($F$1,enemy_skill_triggers!$1:$1,0)+1,FALSE)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1" s="47">
        <f ca="1">VLOOKUP($F11,OFFSET(enemy_skill_triggers!$A$1,0,0,COUNTA(enemy_skill_triggers!$A:$A),MATCH(M$1,enemy_skill_triggers!$1:$1,0)-MATCH($F$1,enemy_skill_triggers!$1:$1,0)+1),MATCH(M$1,enemy_skill_triggers!$1:$1,0)-MATCH($F$1,enemy_skill_triggers!$1:$1,0)+1,FALSE)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11" s="47" t="str">
        <f ca="1">VLOOKUP($F11,OFFSET(enemy_skill_triggers!$A$1,0,0,COUNTA(enemy_skill_triggers!$A:$A),MATCH(N$1,enemy_skill_triggers!$1:$1,0)-MATCH($F$1,enemy_skill_triggers!$1:$1,0)+1),MATCH(N$1,enemy_skill_triggers!$1:$1,0)-MATCH($F$1,enemy_skill_triggers!$1:$1,0)+1,FALSE)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1" s="47">
        <f ca="1">VLOOKUP($F11,OFFSET(enemy_skill_triggers!$A$1,0,0,COUNTA(enemy_skill_triggers!$A:$A),MATCH(O$1,enemy_skill_triggers!$1:$1,0)-MATCH($F$1,enemy_skill_triggers!$1:$1,0)+1),MATCH(O$1,enemy_skill_triggers!$1:$1,0)-MATCH($F$1,enemy_skill_triggers!$1:$1,0)+1,FALSE)</f>
        <v>70</v>
      </c>
      <c r="P11" s="46"/>
      <c r="Q11" s="46"/>
      <c r="R11" s="46"/>
    </row>
    <row r="12" spans="1:18" ht="21" customHeight="1" x14ac:dyDescent="0.15">
      <c r="A12" s="38" t="str">
        <f t="shared" si="3"/>
        <v>39012505_39012512</v>
      </c>
      <c r="B12" s="106">
        <v>39012505</v>
      </c>
      <c r="C12" s="149">
        <v>39012512</v>
      </c>
      <c r="D12" s="45" t="str">
        <f ca="1">VLOOKUP($C12,OFFSET(enemy_skills!$A$1,0,0,COUNTA(enemy_skills!$A:$A),MATCH(D$1,enemy_skills!$1:$1,0)-MATCH("enemy_skill_id",enemy_skills!$1:$1,0)+1),MATCH(D$1,enemy_skills!$1:$1,0)-MATCH("enemy_skill_id",enemy_skills!$1:$1,0)+1,FALSE)</f>
        <v>レッドイレイザー</v>
      </c>
      <c r="E12" s="45" t="str">
        <f ca="1">VLOOKUP($C12,OFFSET(enemy_skills!$A$1,0,0,COUNTA(enemy_skills!$A:$A),MATCH(E$1,enemy_skills!$1:$1,0)-MATCH("enemy_skill_id",enemy_skills!$1:$1,0)+1),MATCH(E$1,enemy_skills!$1:$1,0)-MATCH("enemy_skill_id",enemy_skills!$1:$1,0)+1,FALSE)</f>
        <v>2ターン赤パネル無効</v>
      </c>
      <c r="F12" s="149">
        <v>39012512</v>
      </c>
      <c r="G12" s="47">
        <f ca="1">VLOOKUP($F12,OFFSET(enemy_skill_triggers!$A$1,0,0,COUNTA(enemy_skill_triggers!$A:$A),MATCH(G$1,enemy_skill_triggers!$1:$1,0)-MATCH($F$1,enemy_skill_triggers!$1:$1,0)+1),MATCH(G$1,enemy_skill_triggers!$1:$1,0)-MATCH($F$1,enemy_skill_triggers!$1:$1,0)+1,FALSE)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2" s="47">
        <f ca="1">VLOOKUP($F12,OFFSET(enemy_skill_triggers!$A$1,0,0,COUNTA(enemy_skill_triggers!$A:$A),MATCH(H$1,enemy_skill_triggers!$1:$1,0)-MATCH($F$1,enemy_skill_triggers!$1:$1,0)+1),MATCH(H$1,enemy_skill_triggers!$1:$1,0)-MATCH($F$1,enemy_skill_triggers!$1:$1,0)+1,FALSE)</f>
        <v>560</v>
      </c>
      <c r="I12" s="47">
        <f ca="1">VLOOKUP($F12,OFFSET(enemy_skill_triggers!$A$1,0,0,COUNTA(enemy_skill_triggers!$A:$A),MATCH(I$1,enemy_skill_triggers!$1:$1,0)-MATCH($F$1,enemy_skill_triggers!$1:$1,0)+1),MATCH(I$1,enemy_skill_triggers!$1:$1,0)-MATCH($F$1,enemy_skill_triggers!$1:$1,0)+1,FALSE)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2" s="47" t="str">
        <f ca="1">VLOOKUP($F12,OFFSET(enemy_skill_triggers!$A$1,0,0,COUNTA(enemy_skill_triggers!$A:$A),MATCH(J$1,enemy_skill_triggers!$1:$1,0)-MATCH($F$1,enemy_skill_triggers!$1:$1,0)+1),MATCH(J$1,enemy_skill_triggers!$1:$1,0)-MATCH($F$1,enemy_skill_triggers!$1:$1,0)+1,FALSE)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2" s="47" t="str">
        <f ca="1">VLOOKUP($F12,OFFSET(enemy_skill_triggers!$A$1,0,0,COUNTA(enemy_skill_triggers!$A:$A),MATCH(K$1,enemy_skill_triggers!$1:$1,0)-MATCH($F$1,enemy_skill_triggers!$1:$1,0)+1),MATCH(K$1,enemy_skill_triggers!$1:$1,0)-MATCH($F$1,enemy_skill_triggers!$1:$1,0)+1,FALSE)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2" s="47">
        <f ca="1">VLOOKUP($F12,OFFSET(enemy_skill_triggers!$A$1,0,0,COUNTA(enemy_skill_triggers!$A:$A),MATCH(L$1,enemy_skill_triggers!$1:$1,0)-MATCH($F$1,enemy_skill_triggers!$1:$1,0)+1),MATCH(L$1,enemy_skill_triggers!$1:$1,0)-MATCH($F$1,enemy_skill_triggers!$1:$1,0)+1,FALSE)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2" s="47">
        <f ca="1">VLOOKUP($F12,OFFSET(enemy_skill_triggers!$A$1,0,0,COUNTA(enemy_skill_triggers!$A:$A),MATCH(M$1,enemy_skill_triggers!$1:$1,0)-MATCH($F$1,enemy_skill_triggers!$1:$1,0)+1),MATCH(M$1,enemy_skill_triggers!$1:$1,0)-MATCH($F$1,enemy_skill_triggers!$1:$1,0)+1,FALSE)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12" s="47" t="str">
        <f ca="1">VLOOKUP($F12,OFFSET(enemy_skill_triggers!$A$1,0,0,COUNTA(enemy_skill_triggers!$A:$A),MATCH(N$1,enemy_skill_triggers!$1:$1,0)-MATCH($F$1,enemy_skill_triggers!$1:$1,0)+1),MATCH(N$1,enemy_skill_triggers!$1:$1,0)-MATCH($F$1,enemy_skill_triggers!$1:$1,0)+1,FALSE)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2" s="47">
        <f ca="1">VLOOKUP($F12,OFFSET(enemy_skill_triggers!$A$1,0,0,COUNTA(enemy_skill_triggers!$A:$A),MATCH(O$1,enemy_skill_triggers!$1:$1,0)-MATCH($F$1,enemy_skill_triggers!$1:$1,0)+1),MATCH(O$1,enemy_skill_triggers!$1:$1,0)-MATCH($F$1,enemy_skill_triggers!$1:$1,0)+1,FALSE)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2" s="46"/>
      <c r="Q12" s="46"/>
      <c r="R12" s="46"/>
    </row>
    <row r="13" spans="1:18" ht="21" customHeight="1" x14ac:dyDescent="0.15">
      <c r="A13" s="38" t="str">
        <f t="shared" si="3"/>
        <v>39012506_39012513</v>
      </c>
      <c r="B13" s="106">
        <v>39012506</v>
      </c>
      <c r="C13" s="149">
        <v>39012513</v>
      </c>
      <c r="D13" s="45" t="str">
        <f ca="1">VLOOKUP($C13,OFFSET(enemy_skills!$A$1,0,0,COUNTA(enemy_skills!$A:$A),MATCH(D$1,enemy_skills!$1:$1,0)-MATCH("enemy_skill_id",enemy_skills!$1:$1,0)+1),MATCH(D$1,enemy_skills!$1:$1,0)-MATCH("enemy_skill_id",enemy_skills!$1:$1,0)+1,FALSE)</f>
        <v>硬くなる</v>
      </c>
      <c r="E13" s="45" t="str">
        <f ca="1">VLOOKUP($C13,OFFSET(enemy_skills!$A$1,0,0,COUNTA(enemy_skills!$A:$A),MATCH(E$1,enemy_skills!$1:$1,0)-MATCH("enemy_skill_id",enemy_skills!$1:$1,0)+1),MATCH(E$1,enemy_skills!$1:$1,0)-MATCH("enemy_skill_id",enemy_skills!$1:$1,0)+1,FALSE)</f>
        <v>1ターン自身の防御力UP</v>
      </c>
      <c r="F13" s="149">
        <v>39012513</v>
      </c>
      <c r="G13" s="47">
        <f ca="1">VLOOKUP($F13,OFFSET(enemy_skill_triggers!$A$1,0,0,COUNTA(enemy_skill_triggers!$A:$A),MATCH(G$1,enemy_skill_triggers!$1:$1,0)-MATCH($F$1,enemy_skill_triggers!$1:$1,0)+1),MATCH(G$1,enemy_skill_triggers!$1:$1,0)-MATCH($F$1,enemy_skill_triggers!$1:$1,0)+1,FALSE)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3" s="47">
        <f ca="1">VLOOKUP($F13,OFFSET(enemy_skill_triggers!$A$1,0,0,COUNTA(enemy_skill_triggers!$A:$A),MATCH(H$1,enemy_skill_triggers!$1:$1,0)-MATCH($F$1,enemy_skill_triggers!$1:$1,0)+1),MATCH(H$1,enemy_skill_triggers!$1:$1,0)-MATCH($F$1,enemy_skill_triggers!$1:$1,0)+1,FALSE)</f>
        <v>550</v>
      </c>
      <c r="I13" s="47">
        <f ca="1">VLOOKUP($F13,OFFSET(enemy_skill_triggers!$A$1,0,0,COUNTA(enemy_skill_triggers!$A:$A),MATCH(I$1,enemy_skill_triggers!$1:$1,0)-MATCH($F$1,enemy_skill_triggers!$1:$1,0)+1),MATCH(I$1,enemy_skill_triggers!$1:$1,0)-MATCH($F$1,enemy_skill_triggers!$1:$1,0)+1,FALSE)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3" s="47" t="str">
        <f ca="1">VLOOKUP($F13,OFFSET(enemy_skill_triggers!$A$1,0,0,COUNTA(enemy_skill_triggers!$A:$A),MATCH(J$1,enemy_skill_triggers!$1:$1,0)-MATCH($F$1,enemy_skill_triggers!$1:$1,0)+1),MATCH(J$1,enemy_skill_triggers!$1:$1,0)-MATCH($F$1,enemy_skill_triggers!$1:$1,0)+1,FALSE)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3" s="47" t="str">
        <f ca="1">VLOOKUP($F13,OFFSET(enemy_skill_triggers!$A$1,0,0,COUNTA(enemy_skill_triggers!$A:$A),MATCH(K$1,enemy_skill_triggers!$1:$1,0)-MATCH($F$1,enemy_skill_triggers!$1:$1,0)+1),MATCH(K$1,enemy_skill_triggers!$1:$1,0)-MATCH($F$1,enemy_skill_triggers!$1:$1,0)+1,FALSE)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3" s="47" t="str">
        <f ca="1">VLOOKUP($F13,OFFSET(enemy_skill_triggers!$A$1,0,0,COUNTA(enemy_skill_triggers!$A:$A),MATCH(L$1,enemy_skill_triggers!$1:$1,0)-MATCH($F$1,enemy_skill_triggers!$1:$1,0)+1),MATCH(L$1,enemy_skill_triggers!$1:$1,0)-MATCH($F$1,enemy_skill_triggers!$1:$1,0)+1,FALSE)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3" s="47">
        <f ca="1">VLOOKUP($F13,OFFSET(enemy_skill_triggers!$A$1,0,0,COUNTA(enemy_skill_triggers!$A:$A),MATCH(M$1,enemy_skill_triggers!$1:$1,0)-MATCH($F$1,enemy_skill_triggers!$1:$1,0)+1),MATCH(M$1,enemy_skill_triggers!$1:$1,0)-MATCH($F$1,enemy_skill_triggers!$1:$1,0)+1,FALSE)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13" s="47" t="str">
        <f ca="1">VLOOKUP($F13,OFFSET(enemy_skill_triggers!$A$1,0,0,COUNTA(enemy_skill_triggers!$A:$A),MATCH(N$1,enemy_skill_triggers!$1:$1,0)-MATCH($F$1,enemy_skill_triggers!$1:$1,0)+1),MATCH(N$1,enemy_skill_triggers!$1:$1,0)-MATCH($F$1,enemy_skill_triggers!$1:$1,0)+1,FALSE)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3" s="47">
        <f ca="1">VLOOKUP($F13,OFFSET(enemy_skill_triggers!$A$1,0,0,COUNTA(enemy_skill_triggers!$A:$A),MATCH(O$1,enemy_skill_triggers!$1:$1,0)-MATCH($F$1,enemy_skill_triggers!$1:$1,0)+1),MATCH(O$1,enemy_skill_triggers!$1:$1,0)-MATCH($F$1,enemy_skill_triggers!$1:$1,0)+1,FALSE)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3" s="46"/>
      <c r="Q13" s="46"/>
      <c r="R13" s="46"/>
    </row>
    <row r="14" spans="1:18" ht="21" customHeight="1" x14ac:dyDescent="0.15">
      <c r="A14" s="38" t="str">
        <f t="shared" si="3"/>
        <v>39012506_39012514</v>
      </c>
      <c r="B14" s="106">
        <v>39012506</v>
      </c>
      <c r="C14" s="149">
        <v>39012514</v>
      </c>
      <c r="D14" s="45" t="str">
        <f ca="1">VLOOKUP($C14,OFFSET(enemy_skills!$A$1,0,0,COUNTA(enemy_skills!$A:$A),MATCH(D$1,enemy_skills!$1:$1,0)-MATCH("enemy_skill_id",enemy_skills!$1:$1,0)+1),MATCH(D$1,enemy_skills!$1:$1,0)-MATCH("enemy_skill_id",enemy_skills!$1:$1,0)+1,FALSE)</f>
        <v>高速頭突き</v>
      </c>
      <c r="E14" s="45" t="str">
        <f ca="1">VLOOKUP($C14,OFFSET(enemy_skills!$A$1,0,0,COUNTA(enemy_skills!$A:$A),MATCH(E$1,enemy_skills!$1:$1,0)-MATCH("enemy_skill_id",enemy_skills!$1:$1,0)+1),MATCH(E$1,enemy_skills!$1:$1,0)-MATCH("enemy_skill_id",enemy_skills!$1:$1,0)+1,FALSE)</f>
        <v>全体攻撃</v>
      </c>
      <c r="F14" s="149">
        <v>39012514</v>
      </c>
      <c r="G14" s="47">
        <f ca="1">VLOOKUP($F14,OFFSET(enemy_skill_triggers!$A$1,0,0,COUNTA(enemy_skill_triggers!$A:$A),MATCH(G$1,enemy_skill_triggers!$1:$1,0)-MATCH($F$1,enemy_skill_triggers!$1:$1,0)+1),MATCH(G$1,enemy_skill_triggers!$1:$1,0)-MATCH($F$1,enemy_skill_triggers!$1:$1,0)+1,FALSE)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4" s="47">
        <f ca="1">VLOOKUP($F14,OFFSET(enemy_skill_triggers!$A$1,0,0,COUNTA(enemy_skill_triggers!$A:$A),MATCH(H$1,enemy_skill_triggers!$1:$1,0)-MATCH($F$1,enemy_skill_triggers!$1:$1,0)+1),MATCH(H$1,enemy_skill_triggers!$1:$1,0)-MATCH($F$1,enemy_skill_triggers!$1:$1,0)+1,FALSE)</f>
        <v>560</v>
      </c>
      <c r="I14" s="47">
        <f ca="1">VLOOKUP($F14,OFFSET(enemy_skill_triggers!$A$1,0,0,COUNTA(enemy_skill_triggers!$A:$A),MATCH(I$1,enemy_skill_triggers!$1:$1,0)-MATCH($F$1,enemy_skill_triggers!$1:$1,0)+1),MATCH(I$1,enemy_skill_triggers!$1:$1,0)-MATCH($F$1,enemy_skill_triggers!$1:$1,0)+1,FALSE)</f>
        <v>50</v>
      </c>
      <c r="J14" s="47" t="str">
        <f ca="1">VLOOKUP($F14,OFFSET(enemy_skill_triggers!$A$1,0,0,COUNTA(enemy_skill_triggers!$A:$A),MATCH(J$1,enemy_skill_triggers!$1:$1,0)-MATCH($F$1,enemy_skill_triggers!$1:$1,0)+1),MATCH(J$1,enemy_skill_triggers!$1:$1,0)-MATCH($F$1,enemy_skill_triggers!$1:$1,0)+1,FALSE)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4" s="47" t="str">
        <f ca="1">VLOOKUP($F14,OFFSET(enemy_skill_triggers!$A$1,0,0,COUNTA(enemy_skill_triggers!$A:$A),MATCH(K$1,enemy_skill_triggers!$1:$1,0)-MATCH($F$1,enemy_skill_triggers!$1:$1,0)+1),MATCH(K$1,enemy_skill_triggers!$1:$1,0)-MATCH($F$1,enemy_skill_triggers!$1:$1,0)+1,FALSE)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4" s="47" t="str">
        <f ca="1">VLOOKUP($F14,OFFSET(enemy_skill_triggers!$A$1,0,0,COUNTA(enemy_skill_triggers!$A:$A),MATCH(L$1,enemy_skill_triggers!$1:$1,0)-MATCH($F$1,enemy_skill_triggers!$1:$1,0)+1),MATCH(L$1,enemy_skill_triggers!$1:$1,0)-MATCH($F$1,enemy_skill_triggers!$1:$1,0)+1,FALSE)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4" s="47">
        <f ca="1">VLOOKUP($F14,OFFSET(enemy_skill_triggers!$A$1,0,0,COUNTA(enemy_skill_triggers!$A:$A),MATCH(M$1,enemy_skill_triggers!$1:$1,0)-MATCH($F$1,enemy_skill_triggers!$1:$1,0)+1),MATCH(M$1,enemy_skill_triggers!$1:$1,0)-MATCH($F$1,enemy_skill_triggers!$1:$1,0)+1,FALSE)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14" s="47" t="str">
        <f ca="1">VLOOKUP($F14,OFFSET(enemy_skill_triggers!$A$1,0,0,COUNTA(enemy_skill_triggers!$A:$A),MATCH(N$1,enemy_skill_triggers!$1:$1,0)-MATCH($F$1,enemy_skill_triggers!$1:$1,0)+1),MATCH(N$1,enemy_skill_triggers!$1:$1,0)-MATCH($F$1,enemy_skill_triggers!$1:$1,0)+1,FALSE)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4" s="47">
        <f ca="1">VLOOKUP($F14,OFFSET(enemy_skill_triggers!$A$1,0,0,COUNTA(enemy_skill_triggers!$A:$A),MATCH(O$1,enemy_skill_triggers!$1:$1,0)-MATCH($F$1,enemy_skill_triggers!$1:$1,0)+1),MATCH(O$1,enemy_skill_triggers!$1:$1,0)-MATCH($F$1,enemy_skill_triggers!$1:$1,0)+1,FALSE)</f>
        <v>50</v>
      </c>
      <c r="P14" s="46"/>
      <c r="Q14" s="46"/>
      <c r="R14" s="46"/>
    </row>
    <row r="15" spans="1:18" ht="21" customHeight="1" x14ac:dyDescent="0.15">
      <c r="A15" s="38" t="str">
        <f t="shared" si="1"/>
        <v>39012507_39012520</v>
      </c>
      <c r="B15" s="109">
        <v>39012507</v>
      </c>
      <c r="C15" s="109">
        <v>39012520</v>
      </c>
      <c r="D15" s="45" t="str">
        <f ca="1">VLOOKUP($C15,OFFSET(enemy_skills!$A$1,0,0,COUNTA(enemy_skills!$A:$A),MATCH(D$1,enemy_skills!$1:$1,0)-MATCH("enemy_skill_id",enemy_skills!$1:$1,0)+1),MATCH(D$1,enemy_skills!$1:$1,0)-MATCH("enemy_skill_id",enemy_skills!$1:$1,0)+1,FALSE)</f>
        <v>防御の構え</v>
      </c>
      <c r="E15" s="45" t="str">
        <f ca="1">VLOOKUP($C15,OFFSET(enemy_skills!$A$1,0,0,COUNTA(enemy_skills!$A:$A),MATCH(E$1,enemy_skills!$1:$1,0)-MATCH("enemy_skill_id",enemy_skills!$1:$1,0)+1),MATCH(E$1,enemy_skills!$1:$1,0)-MATCH("enemy_skill_id",enemy_skills!$1:$1,0)+1,FALSE)</f>
        <v>自身の防御力大UP</v>
      </c>
      <c r="F15" s="109">
        <v>39012520</v>
      </c>
      <c r="G15" s="47">
        <f ca="1">VLOOKUP($F15,OFFSET(enemy_skill_triggers!$A$1,0,0,COUNTA(enemy_skill_triggers!$A:$A),MATCH(G$1,enemy_skill_triggers!$1:$1,0)-MATCH($F$1,enemy_skill_triggers!$1:$1,0)+1),MATCH(G$1,enemy_skill_triggers!$1:$1,0)-MATCH($F$1,enemy_skill_triggers!$1:$1,0)+1,FALSE)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5" s="47">
        <f ca="1">VLOOKUP($F15,OFFSET(enemy_skill_triggers!$A$1,0,0,COUNTA(enemy_skill_triggers!$A:$A),MATCH(H$1,enemy_skill_triggers!$1:$1,0)-MATCH($F$1,enemy_skill_triggers!$1:$1,0)+1),MATCH(H$1,enemy_skill_triggers!$1:$1,0)-MATCH($F$1,enemy_skill_triggers!$1:$1,0)+1,FALSE)</f>
        <v>600</v>
      </c>
      <c r="I15" s="47">
        <f ca="1">VLOOKUP($F15,OFFSET(enemy_skill_triggers!$A$1,0,0,COUNTA(enemy_skill_triggers!$A:$A),MATCH(I$1,enemy_skill_triggers!$1:$1,0)-MATCH($F$1,enemy_skill_triggers!$1:$1,0)+1),MATCH(I$1,enemy_skill_triggers!$1:$1,0)-MATCH($F$1,enemy_skill_triggers!$1:$1,0)+1,FALSE)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5" s="47" t="str">
        <f ca="1">VLOOKUP($F15,OFFSET(enemy_skill_triggers!$A$1,0,0,COUNTA(enemy_skill_triggers!$A:$A),MATCH(J$1,enemy_skill_triggers!$1:$1,0)-MATCH($F$1,enemy_skill_triggers!$1:$1,0)+1),MATCH(J$1,enemy_skill_triggers!$1:$1,0)-MATCH($F$1,enemy_skill_triggers!$1:$1,0)+1,FALSE)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5" s="47" t="str">
        <f ca="1">VLOOKUP($F15,OFFSET(enemy_skill_triggers!$A$1,0,0,COUNTA(enemy_skill_triggers!$A:$A),MATCH(K$1,enemy_skill_triggers!$1:$1,0)-MATCH($F$1,enemy_skill_triggers!$1:$1,0)+1),MATCH(K$1,enemy_skill_triggers!$1:$1,0)-MATCH($F$1,enemy_skill_triggers!$1:$1,0)+1,FALSE)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5" s="47">
        <f ca="1">VLOOKUP($F15,OFFSET(enemy_skill_triggers!$A$1,0,0,COUNTA(enemy_skill_triggers!$A:$A),MATCH(L$1,enemy_skill_triggers!$1:$1,0)-MATCH($F$1,enemy_skill_triggers!$1:$1,0)+1),MATCH(L$1,enemy_skill_triggers!$1:$1,0)-MATCH($F$1,enemy_skill_triggers!$1:$1,0)+1,FALSE)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5" s="47">
        <f ca="1">VLOOKUP($F15,OFFSET(enemy_skill_triggers!$A$1,0,0,COUNTA(enemy_skill_triggers!$A:$A),MATCH(M$1,enemy_skill_triggers!$1:$1,0)-MATCH($F$1,enemy_skill_triggers!$1:$1,0)+1),MATCH(M$1,enemy_skill_triggers!$1:$1,0)-MATCH($F$1,enemy_skill_triggers!$1:$1,0)+1,FALSE)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15" s="47" t="str">
        <f ca="1">VLOOKUP($F15,OFFSET(enemy_skill_triggers!$A$1,0,0,COUNTA(enemy_skill_triggers!$A:$A),MATCH(N$1,enemy_skill_triggers!$1:$1,0)-MATCH($F$1,enemy_skill_triggers!$1:$1,0)+1),MATCH(N$1,enemy_skill_triggers!$1:$1,0)-MATCH($F$1,enemy_skill_triggers!$1:$1,0)+1,FALSE)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5" s="47">
        <f ca="1">VLOOKUP($F15,OFFSET(enemy_skill_triggers!$A$1,0,0,COUNTA(enemy_skill_triggers!$A:$A),MATCH(O$1,enemy_skill_triggers!$1:$1,0)-MATCH($F$1,enemy_skill_triggers!$1:$1,0)+1),MATCH(O$1,enemy_skill_triggers!$1:$1,0)-MATCH($F$1,enemy_skill_triggers!$1:$1,0)+1,FALSE)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5" s="46"/>
      <c r="Q15" s="46"/>
      <c r="R15" s="46"/>
    </row>
    <row r="16" spans="1:18" ht="21" customHeight="1" x14ac:dyDescent="0.15">
      <c r="A16" s="38" t="str">
        <f t="shared" si="1"/>
        <v>39012507_39012521</v>
      </c>
      <c r="B16" s="109">
        <v>39012507</v>
      </c>
      <c r="C16" s="109">
        <v>39012521</v>
      </c>
      <c r="D16" s="45" t="str">
        <f ca="1">VLOOKUP($C16,OFFSET(enemy_skills!$A$1,0,0,COUNTA(enemy_skills!$A:$A),MATCH(D$1,enemy_skills!$1:$1,0)-MATCH("enemy_skill_id",enemy_skills!$1:$1,0)+1),MATCH(D$1,enemy_skills!$1:$1,0)-MATCH("enemy_skill_id",enemy_skills!$1:$1,0)+1,FALSE)</f>
        <v>反撃の構え</v>
      </c>
      <c r="E16" s="45" t="str">
        <f ca="1">VLOOKUP($C16,OFFSET(enemy_skills!$A$1,0,0,COUNTA(enemy_skills!$A:$A),MATCH(E$1,enemy_skills!$1:$1,0)-MATCH("enemy_skill_id",enemy_skills!$1:$1,0)+1),MATCH(E$1,enemy_skills!$1:$1,0)-MATCH("enemy_skill_id",enemy_skills!$1:$1,0)+1,FALSE)</f>
        <v>2ターン全属性の攻撃をカウンター</v>
      </c>
      <c r="F16" s="109">
        <v>39012521</v>
      </c>
      <c r="G16" s="47">
        <f ca="1">VLOOKUP($F16,OFFSET(enemy_skill_triggers!$A$1,0,0,COUNTA(enemy_skill_triggers!$A:$A),MATCH(G$1,enemy_skill_triggers!$1:$1,0)-MATCH($F$1,enemy_skill_triggers!$1:$1,0)+1),MATCH(G$1,enemy_skill_triggers!$1:$1,0)-MATCH($F$1,enemy_skill_triggers!$1:$1,0)+1,FALSE)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6" s="47">
        <f ca="1">VLOOKUP($F16,OFFSET(enemy_skill_triggers!$A$1,0,0,COUNTA(enemy_skill_triggers!$A:$A),MATCH(H$1,enemy_skill_triggers!$1:$1,0)-MATCH($F$1,enemy_skill_triggers!$1:$1,0)+1),MATCH(H$1,enemy_skill_triggers!$1:$1,0)-MATCH($F$1,enemy_skill_triggers!$1:$1,0)+1,FALSE)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16" s="47">
        <f ca="1">VLOOKUP($F16,OFFSET(enemy_skill_triggers!$A$1,0,0,COUNTA(enemy_skill_triggers!$A:$A),MATCH(I$1,enemy_skill_triggers!$1:$1,0)-MATCH($F$1,enemy_skill_triggers!$1:$1,0)+1),MATCH(I$1,enemy_skill_triggers!$1:$1,0)-MATCH($F$1,enemy_skill_triggers!$1:$1,0)+1,FALSE)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6" s="47" t="str">
        <f ca="1">VLOOKUP($F16,OFFSET(enemy_skill_triggers!$A$1,0,0,COUNTA(enemy_skill_triggers!$A:$A),MATCH(J$1,enemy_skill_triggers!$1:$1,0)-MATCH($F$1,enemy_skill_triggers!$1:$1,0)+1),MATCH(J$1,enemy_skill_triggers!$1:$1,0)-MATCH($F$1,enemy_skill_triggers!$1:$1,0)+1,FALSE)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6" s="47" t="str">
        <f ca="1">VLOOKUP($F16,OFFSET(enemy_skill_triggers!$A$1,0,0,COUNTA(enemy_skill_triggers!$A:$A),MATCH(K$1,enemy_skill_triggers!$1:$1,0)-MATCH($F$1,enemy_skill_triggers!$1:$1,0)+1),MATCH(K$1,enemy_skill_triggers!$1:$1,0)-MATCH($F$1,enemy_skill_triggers!$1:$1,0)+1,FALSE)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6" s="47">
        <f ca="1">VLOOKUP($F16,OFFSET(enemy_skill_triggers!$A$1,0,0,COUNTA(enemy_skill_triggers!$A:$A),MATCH(L$1,enemy_skill_triggers!$1:$1,0)-MATCH($F$1,enemy_skill_triggers!$1:$1,0)+1),MATCH(L$1,enemy_skill_triggers!$1:$1,0)-MATCH($F$1,enemy_skill_triggers!$1:$1,0)+1,FALSE)</f>
        <v>3</v>
      </c>
      <c r="M16" s="47">
        <f ca="1">VLOOKUP($F16,OFFSET(enemy_skill_triggers!$A$1,0,0,COUNTA(enemy_skill_triggers!$A:$A),MATCH(M$1,enemy_skill_triggers!$1:$1,0)-MATCH($F$1,enemy_skill_triggers!$1:$1,0)+1),MATCH(M$1,enemy_skill_triggers!$1:$1,0)-MATCH($F$1,enemy_skill_triggers!$1:$1,0)+1,FALSE)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16" s="47" t="str">
        <f ca="1">VLOOKUP($F16,OFFSET(enemy_skill_triggers!$A$1,0,0,COUNTA(enemy_skill_triggers!$A:$A),MATCH(N$1,enemy_skill_triggers!$1:$1,0)-MATCH($F$1,enemy_skill_triggers!$1:$1,0)+1),MATCH(N$1,enemy_skill_triggers!$1:$1,0)-MATCH($F$1,enemy_skill_triggers!$1:$1,0)+1,FALSE)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6" s="47">
        <f ca="1">VLOOKUP($F16,OFFSET(enemy_skill_triggers!$A$1,0,0,COUNTA(enemy_skill_triggers!$A:$A),MATCH(O$1,enemy_skill_triggers!$1:$1,0)-MATCH($F$1,enemy_skill_triggers!$1:$1,0)+1),MATCH(O$1,enemy_skill_triggers!$1:$1,0)-MATCH($F$1,enemy_skill_triggers!$1:$1,0)+1,FALSE)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6" s="46"/>
      <c r="Q16" s="46"/>
      <c r="R16" s="46"/>
    </row>
    <row r="17" spans="1:18" ht="21" customHeight="1" x14ac:dyDescent="0.15">
      <c r="A17" s="38" t="str">
        <f t="shared" si="1"/>
        <v>39012507_39012522</v>
      </c>
      <c r="B17" s="109">
        <v>39012507</v>
      </c>
      <c r="C17" s="109">
        <v>39012522</v>
      </c>
      <c r="D17" s="45" t="str">
        <f ca="1">VLOOKUP($C17,OFFSET(enemy_skills!$A$1,0,0,COUNTA(enemy_skills!$A:$A),MATCH(D$1,enemy_skills!$1:$1,0)-MATCH("enemy_skill_id",enemy_skills!$1:$1,0)+1),MATCH(D$1,enemy_skills!$1:$1,0)-MATCH("enemy_skill_id",enemy_skills!$1:$1,0)+1,FALSE)</f>
        <v>豪腕の鉄槌</v>
      </c>
      <c r="E17" s="45" t="str">
        <f ca="1">VLOOKUP($C17,OFFSET(enemy_skills!$A$1,0,0,COUNTA(enemy_skills!$A:$A),MATCH(E$1,enemy_skills!$1:$1,0)-MATCH("enemy_skill_id",enemy_skills!$1:$1,0)+1),MATCH(E$1,enemy_skills!$1:$1,0)-MATCH("enemy_skill_id",enemy_skills!$1:$1,0)+1,FALSE)</f>
        <v>全体攻撃</v>
      </c>
      <c r="F17" s="109">
        <v>39012522</v>
      </c>
      <c r="G17" s="47">
        <f ca="1">VLOOKUP($F17,OFFSET(enemy_skill_triggers!$A$1,0,0,COUNTA(enemy_skill_triggers!$A:$A),MATCH(G$1,enemy_skill_triggers!$1:$1,0)-MATCH($F$1,enemy_skill_triggers!$1:$1,0)+1),MATCH(G$1,enemy_skill_triggers!$1:$1,0)-MATCH($F$1,enemy_skill_triggers!$1:$1,0)+1,FALSE)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7" s="47">
        <f ca="1">VLOOKUP($F17,OFFSET(enemy_skill_triggers!$A$1,0,0,COUNTA(enemy_skill_triggers!$A:$A),MATCH(H$1,enemy_skill_triggers!$1:$1,0)-MATCH($F$1,enemy_skill_triggers!$1:$1,0)+1),MATCH(H$1,enemy_skill_triggers!$1:$1,0)-MATCH($F$1,enemy_skill_triggers!$1:$1,0)+1,FALSE)</f>
        <v>200</v>
      </c>
      <c r="I17" s="47">
        <f ca="1">VLOOKUP($F17,OFFSET(enemy_skill_triggers!$A$1,0,0,COUNTA(enemy_skill_triggers!$A:$A),MATCH(I$1,enemy_skill_triggers!$1:$1,0)-MATCH($F$1,enemy_skill_triggers!$1:$1,0)+1),MATCH(I$1,enemy_skill_triggers!$1:$1,0)-MATCH($F$1,enemy_skill_triggers!$1:$1,0)+1,FALSE)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7" s="47" t="str">
        <f ca="1">VLOOKUP($F17,OFFSET(enemy_skill_triggers!$A$1,0,0,COUNTA(enemy_skill_triggers!$A:$A),MATCH(J$1,enemy_skill_triggers!$1:$1,0)-MATCH($F$1,enemy_skill_triggers!$1:$1,0)+1),MATCH(J$1,enemy_skill_triggers!$1:$1,0)-MATCH($F$1,enemy_skill_triggers!$1:$1,0)+1,FALSE)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7" s="47" t="str">
        <f ca="1">VLOOKUP($F17,OFFSET(enemy_skill_triggers!$A$1,0,0,COUNTA(enemy_skill_triggers!$A:$A),MATCH(K$1,enemy_skill_triggers!$1:$1,0)-MATCH($F$1,enemy_skill_triggers!$1:$1,0)+1),MATCH(K$1,enemy_skill_triggers!$1:$1,0)-MATCH($F$1,enemy_skill_triggers!$1:$1,0)+1,FALSE)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7" s="47">
        <f ca="1">VLOOKUP($F17,OFFSET(enemy_skill_triggers!$A$1,0,0,COUNTA(enemy_skill_triggers!$A:$A),MATCH(L$1,enemy_skill_triggers!$1:$1,0)-MATCH($F$1,enemy_skill_triggers!$1:$1,0)+1),MATCH(L$1,enemy_skill_triggers!$1:$1,0)-MATCH($F$1,enemy_skill_triggers!$1:$1,0)+1,FALSE)</f>
        <v>3</v>
      </c>
      <c r="M17" s="47">
        <f ca="1">VLOOKUP($F17,OFFSET(enemy_skill_triggers!$A$1,0,0,COUNTA(enemy_skill_triggers!$A:$A),MATCH(M$1,enemy_skill_triggers!$1:$1,0)-MATCH($F$1,enemy_skill_triggers!$1:$1,0)+1),MATCH(M$1,enemy_skill_triggers!$1:$1,0)-MATCH($F$1,enemy_skill_triggers!$1:$1,0)+1,FALSE)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17" s="47" t="str">
        <f ca="1">VLOOKUP($F17,OFFSET(enemy_skill_triggers!$A$1,0,0,COUNTA(enemy_skill_triggers!$A:$A),MATCH(N$1,enemy_skill_triggers!$1:$1,0)-MATCH($F$1,enemy_skill_triggers!$1:$1,0)+1),MATCH(N$1,enemy_skill_triggers!$1:$1,0)-MATCH($F$1,enemy_skill_triggers!$1:$1,0)+1,FALSE)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7" s="47">
        <f ca="1">VLOOKUP($F17,OFFSET(enemy_skill_triggers!$A$1,0,0,COUNTA(enemy_skill_triggers!$A:$A),MATCH(O$1,enemy_skill_triggers!$1:$1,0)-MATCH($F$1,enemy_skill_triggers!$1:$1,0)+1),MATCH(O$1,enemy_skill_triggers!$1:$1,0)-MATCH($F$1,enemy_skill_triggers!$1:$1,0)+1,FALSE)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7" s="46"/>
      <c r="Q17" s="46"/>
      <c r="R17" s="46"/>
    </row>
    <row r="18" spans="1:18" ht="21" customHeight="1" x14ac:dyDescent="0.15">
      <c r="A18" s="38" t="str">
        <f t="shared" si="1"/>
        <v>39012507_39012524</v>
      </c>
      <c r="B18" s="109">
        <v>39012507</v>
      </c>
      <c r="C18" s="109">
        <v>39012524</v>
      </c>
      <c r="D18" s="45" t="str">
        <f ca="1">VLOOKUP($C18,OFFSET(enemy_skills!$A$1,0,0,COUNTA(enemy_skills!$A:$A),MATCH(D$1,enemy_skills!$1:$1,0)-MATCH("enemy_skill_id",enemy_skills!$1:$1,0)+1),MATCH(D$1,enemy_skills!$1:$1,0)-MATCH("enemy_skill_id",enemy_skills!$1:$1,0)+1,FALSE)</f>
        <v>強靭な巨体</v>
      </c>
      <c r="E18" s="45" t="str">
        <f ca="1">VLOOKUP($C18,OFFSET(enemy_skills!$A$1,0,0,COUNTA(enemy_skills!$A:$A),MATCH(E$1,enemy_skills!$1:$1,0)-MATCH("enemy_skill_id",enemy_skills!$1:$1,0)+1),MATCH(E$1,enemy_skills!$1:$1,0)-MATCH("enemy_skill_id",enemy_skills!$1:$1,0)+1,FALSE)</f>
        <v>2ターンお邪魔パネルを吸収して防御力UP</v>
      </c>
      <c r="F18" s="109">
        <v>39012523</v>
      </c>
      <c r="G18" s="47">
        <f ca="1">VLOOKUP($F18,OFFSET(enemy_skill_triggers!$A$1,0,0,COUNTA(enemy_skill_triggers!$A:$A),MATCH(G$1,enemy_skill_triggers!$1:$1,0)-MATCH($F$1,enemy_skill_triggers!$1:$1,0)+1),MATCH(G$1,enemy_skill_triggers!$1:$1,0)-MATCH($F$1,enemy_skill_triggers!$1:$1,0)+1,FALSE)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8" s="47">
        <f ca="1">VLOOKUP($F18,OFFSET(enemy_skill_triggers!$A$1,0,0,COUNTA(enemy_skill_triggers!$A:$A),MATCH(H$1,enemy_skill_triggers!$1:$1,0)-MATCH($F$1,enemy_skill_triggers!$1:$1,0)+1),MATCH(H$1,enemy_skill_triggers!$1:$1,0)-MATCH($F$1,enemy_skill_triggers!$1:$1,0)+1,FALSE)</f>
        <v>400</v>
      </c>
      <c r="I18" s="47">
        <f ca="1">VLOOKUP($F18,OFFSET(enemy_skill_triggers!$A$1,0,0,COUNTA(enemy_skill_triggers!$A:$A),MATCH(I$1,enemy_skill_triggers!$1:$1,0)-MATCH($F$1,enemy_skill_triggers!$1:$1,0)+1),MATCH(I$1,enemy_skill_triggers!$1:$1,0)-MATCH($F$1,enemy_skill_triggers!$1:$1,0)+1,FALSE)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8" s="47" t="str">
        <f ca="1">VLOOKUP($F18,OFFSET(enemy_skill_triggers!$A$1,0,0,COUNTA(enemy_skill_triggers!$A:$A),MATCH(J$1,enemy_skill_triggers!$1:$1,0)-MATCH($F$1,enemy_skill_triggers!$1:$1,0)+1),MATCH(J$1,enemy_skill_triggers!$1:$1,0)-MATCH($F$1,enemy_skill_triggers!$1:$1,0)+1,FALSE)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8" s="47" t="str">
        <f ca="1">VLOOKUP($F18,OFFSET(enemy_skill_triggers!$A$1,0,0,COUNTA(enemy_skill_triggers!$A:$A),MATCH(K$1,enemy_skill_triggers!$1:$1,0)-MATCH($F$1,enemy_skill_triggers!$1:$1,0)+1),MATCH(K$1,enemy_skill_triggers!$1:$1,0)-MATCH($F$1,enemy_skill_triggers!$1:$1,0)+1,FALSE)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8" s="47">
        <f ca="1">VLOOKUP($F18,OFFSET(enemy_skill_triggers!$A$1,0,0,COUNTA(enemy_skill_triggers!$A:$A),MATCH(L$1,enemy_skill_triggers!$1:$1,0)-MATCH($F$1,enemy_skill_triggers!$1:$1,0)+1),MATCH(L$1,enemy_skill_triggers!$1:$1,0)-MATCH($F$1,enemy_skill_triggers!$1:$1,0)+1,FALSE)</f>
        <v>3</v>
      </c>
      <c r="M18" s="47">
        <f ca="1">VLOOKUP($F18,OFFSET(enemy_skill_triggers!$A$1,0,0,COUNTA(enemy_skill_triggers!$A:$A),MATCH(M$1,enemy_skill_triggers!$1:$1,0)-MATCH($F$1,enemy_skill_triggers!$1:$1,0)+1),MATCH(M$1,enemy_skill_triggers!$1:$1,0)-MATCH($F$1,enemy_skill_triggers!$1:$1,0)+1,FALSE)</f>
        <v>4</v>
      </c>
      <c r="N18" s="47" t="str">
        <f ca="1">VLOOKUP($F18,OFFSET(enemy_skill_triggers!$A$1,0,0,COUNTA(enemy_skill_triggers!$A:$A),MATCH(N$1,enemy_skill_triggers!$1:$1,0)-MATCH($F$1,enemy_skill_triggers!$1:$1,0)+1),MATCH(N$1,enemy_skill_triggers!$1:$1,0)-MATCH($F$1,enemy_skill_triggers!$1:$1,0)+1,FALSE)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8" s="47">
        <f ca="1">VLOOKUP($F18,OFFSET(enemy_skill_triggers!$A$1,0,0,COUNTA(enemy_skill_triggers!$A:$A),MATCH(O$1,enemy_skill_triggers!$1:$1,0)-MATCH($F$1,enemy_skill_triggers!$1:$1,0)+1),MATCH(O$1,enemy_skill_triggers!$1:$1,0)-MATCH($F$1,enemy_skill_triggers!$1:$1,0)+1,FALSE)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8" s="46"/>
      <c r="Q18" s="46"/>
      <c r="R18" s="46"/>
    </row>
    <row r="19" spans="1:18" ht="21" customHeight="1" x14ac:dyDescent="0.15">
      <c r="A19" s="38" t="str">
        <f t="shared" si="1"/>
        <v>39012507_39012523</v>
      </c>
      <c r="B19" s="109">
        <v>39012507</v>
      </c>
      <c r="C19" s="109">
        <v>39012523</v>
      </c>
      <c r="D19" s="45" t="str">
        <f ca="1">VLOOKUP($C19,OFFSET(enemy_skills!$A$1,0,0,COUNTA(enemy_skills!$A:$A),MATCH(D$1,enemy_skills!$1:$1,0)-MATCH("enemy_skill_id",enemy_skills!$1:$1,0)+1),MATCH(D$1,enemy_skills!$1:$1,0)-MATCH("enemy_skill_id",enemy_skills!$1:$1,0)+1,FALSE)</f>
        <v>荒ぶる咆哮</v>
      </c>
      <c r="E19" s="45" t="str">
        <f ca="1">VLOOKUP($C19,OFFSET(enemy_skills!$A$1,0,0,COUNTA(enemy_skills!$A:$A),MATCH(E$1,enemy_skills!$1:$1,0)-MATCH("enemy_skill_id",enemy_skills!$1:$1,0)+1),MATCH(E$1,enemy_skills!$1:$1,0)-MATCH("enemy_skill_id",enemy_skills!$1:$1,0)+1,FALSE)</f>
        <v>緑パネルをお邪魔パネルに最大8個変換</v>
      </c>
      <c r="F19" s="109">
        <v>39012524</v>
      </c>
      <c r="G19" s="47">
        <f ca="1">VLOOKUP($F19,OFFSET(enemy_skill_triggers!$A$1,0,0,COUNTA(enemy_skill_triggers!$A:$A),MATCH(G$1,enemy_skill_triggers!$1:$1,0)-MATCH($F$1,enemy_skill_triggers!$1:$1,0)+1),MATCH(G$1,enemy_skill_triggers!$1:$1,0)-MATCH($F$1,enemy_skill_triggers!$1:$1,0)+1,FALSE)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9" s="47">
        <f ca="1">VLOOKUP($F19,OFFSET(enemy_skill_triggers!$A$1,0,0,COUNTA(enemy_skill_triggers!$A:$A),MATCH(H$1,enemy_skill_triggers!$1:$1,0)-MATCH($F$1,enemy_skill_triggers!$1:$1,0)+1),MATCH(H$1,enemy_skill_triggers!$1:$1,0)-MATCH($F$1,enemy_skill_triggers!$1:$1,0)+1,FALSE)</f>
        <v>300</v>
      </c>
      <c r="I19" s="47">
        <f ca="1">VLOOKUP($F19,OFFSET(enemy_skill_triggers!$A$1,0,0,COUNTA(enemy_skill_triggers!$A:$A),MATCH(I$1,enemy_skill_triggers!$1:$1,0)-MATCH($F$1,enemy_skill_triggers!$1:$1,0)+1),MATCH(I$1,enemy_skill_triggers!$1:$1,0)-MATCH($F$1,enemy_skill_triggers!$1:$1,0)+1,FALSE)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9" s="47" t="str">
        <f ca="1">VLOOKUP($F19,OFFSET(enemy_skill_triggers!$A$1,0,0,COUNTA(enemy_skill_triggers!$A:$A),MATCH(J$1,enemy_skill_triggers!$1:$1,0)-MATCH($F$1,enemy_skill_triggers!$1:$1,0)+1),MATCH(J$1,enemy_skill_triggers!$1:$1,0)-MATCH($F$1,enemy_skill_triggers!$1:$1,0)+1,FALSE)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9" s="47" t="str">
        <f ca="1">VLOOKUP($F19,OFFSET(enemy_skill_triggers!$A$1,0,0,COUNTA(enemy_skill_triggers!$A:$A),MATCH(K$1,enemy_skill_triggers!$1:$1,0)-MATCH($F$1,enemy_skill_triggers!$1:$1,0)+1),MATCH(K$1,enemy_skill_triggers!$1:$1,0)-MATCH($F$1,enemy_skill_triggers!$1:$1,0)+1,FALSE)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9" s="47">
        <f ca="1">VLOOKUP($F19,OFFSET(enemy_skill_triggers!$A$1,0,0,COUNTA(enemy_skill_triggers!$A:$A),MATCH(L$1,enemy_skill_triggers!$1:$1,0)-MATCH($F$1,enemy_skill_triggers!$1:$1,0)+1),MATCH(L$1,enemy_skill_triggers!$1:$1,0)-MATCH($F$1,enemy_skill_triggers!$1:$1,0)+1,FALSE)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9" s="47">
        <f ca="1">VLOOKUP($F19,OFFSET(enemy_skill_triggers!$A$1,0,0,COUNTA(enemy_skill_triggers!$A:$A),MATCH(M$1,enemy_skill_triggers!$1:$1,0)-MATCH($F$1,enemy_skill_triggers!$1:$1,0)+1),MATCH(M$1,enemy_skill_triggers!$1:$1,0)-MATCH($F$1,enemy_skill_triggers!$1:$1,0)+1,FALSE)</f>
        <v>3</v>
      </c>
      <c r="N19" s="47" t="str">
        <f ca="1">VLOOKUP($F19,OFFSET(enemy_skill_triggers!$A$1,0,0,COUNTA(enemy_skill_triggers!$A:$A),MATCH(N$1,enemy_skill_triggers!$1:$1,0)-MATCH($F$1,enemy_skill_triggers!$1:$1,0)+1),MATCH(N$1,enemy_skill_triggers!$1:$1,0)-MATCH($F$1,enemy_skill_triggers!$1:$1,0)+1,FALSE)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9" s="47">
        <f ca="1">VLOOKUP($F19,OFFSET(enemy_skill_triggers!$A$1,0,0,COUNTA(enemy_skill_triggers!$A:$A),MATCH(O$1,enemy_skill_triggers!$1:$1,0)-MATCH($F$1,enemy_skill_triggers!$1:$1,0)+1),MATCH(O$1,enemy_skill_triggers!$1:$1,0)-MATCH($F$1,enemy_skill_triggers!$1:$1,0)+1,FALSE)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9" s="46"/>
      <c r="Q19" s="46"/>
      <c r="R19" s="46"/>
    </row>
    <row r="20" spans="1:18" ht="21" customHeight="1" x14ac:dyDescent="0.15">
      <c r="A20" s="38" t="str">
        <f t="shared" ref="A20:A25" si="4">B20&amp;"_"&amp;C20</f>
        <v>39012507_39012523</v>
      </c>
      <c r="B20" s="109">
        <v>39012507</v>
      </c>
      <c r="C20" s="109">
        <v>39012523</v>
      </c>
      <c r="D20" s="45" t="str">
        <f ca="1">VLOOKUP($C20,OFFSET(enemy_skills!$A$1,0,0,COUNTA(enemy_skills!$A:$A),MATCH(D$1,enemy_skills!$1:$1,0)-MATCH("enemy_skill_id",enemy_skills!$1:$1,0)+1),MATCH(D$1,enemy_skills!$1:$1,0)-MATCH("enemy_skill_id",enemy_skills!$1:$1,0)+1,FALSE)</f>
        <v>荒ぶる咆哮</v>
      </c>
      <c r="E20" s="45" t="str">
        <f ca="1">VLOOKUP($C20,OFFSET(enemy_skills!$A$1,0,0,COUNTA(enemy_skills!$A:$A),MATCH(E$1,enemy_skills!$1:$1,0)-MATCH("enemy_skill_id",enemy_skills!$1:$1,0)+1),MATCH(E$1,enemy_skills!$1:$1,0)-MATCH("enemy_skill_id",enemy_skills!$1:$1,0)+1,FALSE)</f>
        <v>緑パネルをお邪魔パネルに最大8個変換</v>
      </c>
      <c r="F20" s="109">
        <v>39012525</v>
      </c>
      <c r="G20" s="47">
        <f ca="1">VLOOKUP($F20,OFFSET(enemy_skill_triggers!$A$1,0,0,COUNTA(enemy_skill_triggers!$A:$A),MATCH(G$1,enemy_skill_triggers!$1:$1,0)-MATCH($F$1,enemy_skill_triggers!$1:$1,0)+1),MATCH(G$1,enemy_skill_triggers!$1:$1,0)-MATCH($F$1,enemy_skill_triggers!$1:$1,0)+1,FALSE)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0" s="47">
        <f ca="1">VLOOKUP($F20,OFFSET(enemy_skill_triggers!$A$1,0,0,COUNTA(enemy_skill_triggers!$A:$A),MATCH(H$1,enemy_skill_triggers!$1:$1,0)-MATCH($F$1,enemy_skill_triggers!$1:$1,0)+1),MATCH(H$1,enemy_skill_triggers!$1:$1,0)-MATCH($F$1,enemy_skill_triggers!$1:$1,0)+1,FALSE)</f>
        <v>301</v>
      </c>
      <c r="I20" s="47">
        <f ca="1">VLOOKUP($F20,OFFSET(enemy_skill_triggers!$A$1,0,0,COUNTA(enemy_skill_triggers!$A:$A),MATCH(I$1,enemy_skill_triggers!$1:$1,0)-MATCH($F$1,enemy_skill_triggers!$1:$1,0)+1),MATCH(I$1,enemy_skill_triggers!$1:$1,0)-MATCH($F$1,enemy_skill_triggers!$1:$1,0)+1,FALSE)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0" s="47" t="str">
        <f ca="1">VLOOKUP($F20,OFFSET(enemy_skill_triggers!$A$1,0,0,COUNTA(enemy_skill_triggers!$A:$A),MATCH(J$1,enemy_skill_triggers!$1:$1,0)-MATCH($F$1,enemy_skill_triggers!$1:$1,0)+1),MATCH(J$1,enemy_skill_triggers!$1:$1,0)-MATCH($F$1,enemy_skill_triggers!$1:$1,0)+1,FALSE)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0" s="47" t="str">
        <f ca="1">VLOOKUP($F20,OFFSET(enemy_skill_triggers!$A$1,0,0,COUNTA(enemy_skill_triggers!$A:$A),MATCH(K$1,enemy_skill_triggers!$1:$1,0)-MATCH($F$1,enemy_skill_triggers!$1:$1,0)+1),MATCH(K$1,enemy_skill_triggers!$1:$1,0)-MATCH($F$1,enemy_skill_triggers!$1:$1,0)+1,FALSE)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0" s="47">
        <f ca="1">VLOOKUP($F20,OFFSET(enemy_skill_triggers!$A$1,0,0,COUNTA(enemy_skill_triggers!$A:$A),MATCH(L$1,enemy_skill_triggers!$1:$1,0)-MATCH($F$1,enemy_skill_triggers!$1:$1,0)+1),MATCH(L$1,enemy_skill_triggers!$1:$1,0)-MATCH($F$1,enemy_skill_triggers!$1:$1,0)+1,FALSE)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0" s="47">
        <f ca="1">VLOOKUP($F20,OFFSET(enemy_skill_triggers!$A$1,0,0,COUNTA(enemy_skill_triggers!$A:$A),MATCH(M$1,enemy_skill_triggers!$1:$1,0)-MATCH($F$1,enemy_skill_triggers!$1:$1,0)+1),MATCH(M$1,enemy_skill_triggers!$1:$1,0)-MATCH($F$1,enemy_skill_triggers!$1:$1,0)+1,FALSE)</f>
        <v>7</v>
      </c>
      <c r="N20" s="47" t="str">
        <f ca="1">VLOOKUP($F20,OFFSET(enemy_skill_triggers!$A$1,0,0,COUNTA(enemy_skill_triggers!$A:$A),MATCH(N$1,enemy_skill_triggers!$1:$1,0)-MATCH($F$1,enemy_skill_triggers!$1:$1,0)+1),MATCH(N$1,enemy_skill_triggers!$1:$1,0)-MATCH($F$1,enemy_skill_triggers!$1:$1,0)+1,FALSE)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0" s="47">
        <f ca="1">VLOOKUP($F20,OFFSET(enemy_skill_triggers!$A$1,0,0,COUNTA(enemy_skill_triggers!$A:$A),MATCH(O$1,enemy_skill_triggers!$1:$1,0)-MATCH($F$1,enemy_skill_triggers!$1:$1,0)+1),MATCH(O$1,enemy_skill_triggers!$1:$1,0)-MATCH($F$1,enemy_skill_triggers!$1:$1,0)+1,FALSE)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0" s="46"/>
      <c r="Q20" s="46"/>
      <c r="R20" s="46"/>
    </row>
    <row r="21" spans="1:18" ht="21" customHeight="1" x14ac:dyDescent="0.15">
      <c r="A21" s="38" t="str">
        <f t="shared" si="4"/>
        <v>39012507_39012523</v>
      </c>
      <c r="B21" s="109">
        <v>39012507</v>
      </c>
      <c r="C21" s="109">
        <v>39012523</v>
      </c>
      <c r="D21" s="45" t="str">
        <f ca="1">VLOOKUP($C21,OFFSET(enemy_skills!$A$1,0,0,COUNTA(enemy_skills!$A:$A),MATCH(D$1,enemy_skills!$1:$1,0)-MATCH("enemy_skill_id",enemy_skills!$1:$1,0)+1),MATCH(D$1,enemy_skills!$1:$1,0)-MATCH("enemy_skill_id",enemy_skills!$1:$1,0)+1,FALSE)</f>
        <v>荒ぶる咆哮</v>
      </c>
      <c r="E21" s="45" t="str">
        <f ca="1">VLOOKUP($C21,OFFSET(enemy_skills!$A$1,0,0,COUNTA(enemy_skills!$A:$A),MATCH(E$1,enemy_skills!$1:$1,0)-MATCH("enemy_skill_id",enemy_skills!$1:$1,0)+1),MATCH(E$1,enemy_skills!$1:$1,0)-MATCH("enemy_skill_id",enemy_skills!$1:$1,0)+1,FALSE)</f>
        <v>緑パネルをお邪魔パネルに最大8個変換</v>
      </c>
      <c r="F21" s="109">
        <v>39012526</v>
      </c>
      <c r="G21" s="47">
        <f ca="1">VLOOKUP($F21,OFFSET(enemy_skill_triggers!$A$1,0,0,COUNTA(enemy_skill_triggers!$A:$A),MATCH(G$1,enemy_skill_triggers!$1:$1,0)-MATCH($F$1,enemy_skill_triggers!$1:$1,0)+1),MATCH(G$1,enemy_skill_triggers!$1:$1,0)-MATCH($F$1,enemy_skill_triggers!$1:$1,0)+1,FALSE)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1" s="47">
        <f ca="1">VLOOKUP($F21,OFFSET(enemy_skill_triggers!$A$1,0,0,COUNTA(enemy_skill_triggers!$A:$A),MATCH(H$1,enemy_skill_triggers!$1:$1,0)-MATCH($F$1,enemy_skill_triggers!$1:$1,0)+1),MATCH(H$1,enemy_skill_triggers!$1:$1,0)-MATCH($F$1,enemy_skill_triggers!$1:$1,0)+1,FALSE)</f>
        <v>302</v>
      </c>
      <c r="I21" s="47">
        <f ca="1">VLOOKUP($F21,OFFSET(enemy_skill_triggers!$A$1,0,0,COUNTA(enemy_skill_triggers!$A:$A),MATCH(I$1,enemy_skill_triggers!$1:$1,0)-MATCH($F$1,enemy_skill_triggers!$1:$1,0)+1),MATCH(I$1,enemy_skill_triggers!$1:$1,0)-MATCH($F$1,enemy_skill_triggers!$1:$1,0)+1,FALSE)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1" s="47" t="str">
        <f ca="1">VLOOKUP($F21,OFFSET(enemy_skill_triggers!$A$1,0,0,COUNTA(enemy_skill_triggers!$A:$A),MATCH(J$1,enemy_skill_triggers!$1:$1,0)-MATCH($F$1,enemy_skill_triggers!$1:$1,0)+1),MATCH(J$1,enemy_skill_triggers!$1:$1,0)-MATCH($F$1,enemy_skill_triggers!$1:$1,0)+1,FALSE)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1" s="47" t="str">
        <f ca="1">VLOOKUP($F21,OFFSET(enemy_skill_triggers!$A$1,0,0,COUNTA(enemy_skill_triggers!$A:$A),MATCH(K$1,enemy_skill_triggers!$1:$1,0)-MATCH($F$1,enemy_skill_triggers!$1:$1,0)+1),MATCH(K$1,enemy_skill_triggers!$1:$1,0)-MATCH($F$1,enemy_skill_triggers!$1:$1,0)+1,FALSE)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1" s="47">
        <f ca="1">VLOOKUP($F21,OFFSET(enemy_skill_triggers!$A$1,0,0,COUNTA(enemy_skill_triggers!$A:$A),MATCH(L$1,enemy_skill_triggers!$1:$1,0)-MATCH($F$1,enemy_skill_triggers!$1:$1,0)+1),MATCH(L$1,enemy_skill_triggers!$1:$1,0)-MATCH($F$1,enemy_skill_triggers!$1:$1,0)+1,FALSE)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1" s="47">
        <f ca="1">VLOOKUP($F21,OFFSET(enemy_skill_triggers!$A$1,0,0,COUNTA(enemy_skill_triggers!$A:$A),MATCH(M$1,enemy_skill_triggers!$1:$1,0)-MATCH($F$1,enemy_skill_triggers!$1:$1,0)+1),MATCH(M$1,enemy_skill_triggers!$1:$1,0)-MATCH($F$1,enemy_skill_triggers!$1:$1,0)+1,FALSE)</f>
        <v>11</v>
      </c>
      <c r="N21" s="47" t="str">
        <f ca="1">VLOOKUP($F21,OFFSET(enemy_skill_triggers!$A$1,0,0,COUNTA(enemy_skill_triggers!$A:$A),MATCH(N$1,enemy_skill_triggers!$1:$1,0)-MATCH($F$1,enemy_skill_triggers!$1:$1,0)+1),MATCH(N$1,enemy_skill_triggers!$1:$1,0)-MATCH($F$1,enemy_skill_triggers!$1:$1,0)+1,FALSE)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1" s="47">
        <f ca="1">VLOOKUP($F21,OFFSET(enemy_skill_triggers!$A$1,0,0,COUNTA(enemy_skill_triggers!$A:$A),MATCH(O$1,enemy_skill_triggers!$1:$1,0)-MATCH($F$1,enemy_skill_triggers!$1:$1,0)+1),MATCH(O$1,enemy_skill_triggers!$1:$1,0)-MATCH($F$1,enemy_skill_triggers!$1:$1,0)+1,FALSE)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1" s="46"/>
      <c r="Q21" s="46"/>
      <c r="R21" s="46"/>
    </row>
    <row r="22" spans="1:18" ht="21" customHeight="1" x14ac:dyDescent="0.15">
      <c r="A22" s="38" t="str">
        <f t="shared" si="4"/>
        <v>39012507_39012522</v>
      </c>
      <c r="B22" s="109">
        <v>39012507</v>
      </c>
      <c r="C22" s="109">
        <v>39012522</v>
      </c>
      <c r="D22" s="45" t="str">
        <f ca="1">VLOOKUP($C22,OFFSET(enemy_skills!$A$1,0,0,COUNTA(enemy_skills!$A:$A),MATCH(D$1,enemy_skills!$1:$1,0)-MATCH("enemy_skill_id",enemy_skills!$1:$1,0)+1),MATCH(D$1,enemy_skills!$1:$1,0)-MATCH("enemy_skill_id",enemy_skills!$1:$1,0)+1,FALSE)</f>
        <v>豪腕の鉄槌</v>
      </c>
      <c r="E22" s="45" t="str">
        <f ca="1">VLOOKUP($C22,OFFSET(enemy_skills!$A$1,0,0,COUNTA(enemy_skills!$A:$A),MATCH(E$1,enemy_skills!$1:$1,0)-MATCH("enemy_skill_id",enemy_skills!$1:$1,0)+1),MATCH(E$1,enemy_skills!$1:$1,0)-MATCH("enemy_skill_id",enemy_skills!$1:$1,0)+1,FALSE)</f>
        <v>全体攻撃</v>
      </c>
      <c r="F22" s="109">
        <v>39012527</v>
      </c>
      <c r="G22" s="47">
        <f ca="1">VLOOKUP($F22,OFFSET(enemy_skill_triggers!$A$1,0,0,COUNTA(enemy_skill_triggers!$A:$A),MATCH(G$1,enemy_skill_triggers!$1:$1,0)-MATCH($F$1,enemy_skill_triggers!$1:$1,0)+1),MATCH(G$1,enemy_skill_triggers!$1:$1,0)-MATCH($F$1,enemy_skill_triggers!$1:$1,0)+1,FALSE)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2" s="47">
        <f ca="1">VLOOKUP($F22,OFFSET(enemy_skill_triggers!$A$1,0,0,COUNTA(enemy_skill_triggers!$A:$A),MATCH(H$1,enemy_skill_triggers!$1:$1,0)-MATCH($F$1,enemy_skill_triggers!$1:$1,0)+1),MATCH(H$1,enemy_skill_triggers!$1:$1,0)-MATCH($F$1,enemy_skill_triggers!$1:$1,0)+1,FALSE)</f>
        <v>1</v>
      </c>
      <c r="I22" s="47">
        <f ca="1">VLOOKUP($F22,OFFSET(enemy_skill_triggers!$A$1,0,0,COUNTA(enemy_skill_triggers!$A:$A),MATCH(I$1,enemy_skill_triggers!$1:$1,0)-MATCH($F$1,enemy_skill_triggers!$1:$1,0)+1),MATCH(I$1,enemy_skill_triggers!$1:$1,0)-MATCH($F$1,enemy_skill_triggers!$1:$1,0)+1,FALSE)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2" s="47" t="str">
        <f ca="1">VLOOKUP($F22,OFFSET(enemy_skill_triggers!$A$1,0,0,COUNTA(enemy_skill_triggers!$A:$A),MATCH(J$1,enemy_skill_triggers!$1:$1,0)-MATCH($F$1,enemy_skill_triggers!$1:$1,0)+1),MATCH(J$1,enemy_skill_triggers!$1:$1,0)-MATCH($F$1,enemy_skill_triggers!$1:$1,0)+1,FALSE)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2" s="47" t="str">
        <f ca="1">VLOOKUP($F22,OFFSET(enemy_skill_triggers!$A$1,0,0,COUNTA(enemy_skill_triggers!$A:$A),MATCH(K$1,enemy_skill_triggers!$1:$1,0)-MATCH($F$1,enemy_skill_triggers!$1:$1,0)+1),MATCH(K$1,enemy_skill_triggers!$1:$1,0)-MATCH($F$1,enemy_skill_triggers!$1:$1,0)+1,FALSE)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2" s="47" t="str">
        <f ca="1">VLOOKUP($F22,OFFSET(enemy_skill_triggers!$A$1,0,0,COUNTA(enemy_skill_triggers!$A:$A),MATCH(L$1,enemy_skill_triggers!$1:$1,0)-MATCH($F$1,enemy_skill_triggers!$1:$1,0)+1),MATCH(L$1,enemy_skill_triggers!$1:$1,0)-MATCH($F$1,enemy_skill_triggers!$1:$1,0)+1,FALSE)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2" s="47">
        <f ca="1">VLOOKUP($F22,OFFSET(enemy_skill_triggers!$A$1,0,0,COUNTA(enemy_skill_triggers!$A:$A),MATCH(M$1,enemy_skill_triggers!$1:$1,0)-MATCH($F$1,enemy_skill_triggers!$1:$1,0)+1),MATCH(M$1,enemy_skill_triggers!$1:$1,0)-MATCH($F$1,enemy_skill_triggers!$1:$1,0)+1,FALSE)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22" s="47" t="str">
        <f ca="1">VLOOKUP($F22,OFFSET(enemy_skill_triggers!$A$1,0,0,COUNTA(enemy_skill_triggers!$A:$A),MATCH(N$1,enemy_skill_triggers!$1:$1,0)-MATCH($F$1,enemy_skill_triggers!$1:$1,0)+1),MATCH(N$1,enemy_skill_triggers!$1:$1,0)-MATCH($F$1,enemy_skill_triggers!$1:$1,0)+1,FALSE)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2" s="47">
        <f ca="1">VLOOKUP($F22,OFFSET(enemy_skill_triggers!$A$1,0,0,COUNTA(enemy_skill_triggers!$A:$A),MATCH(O$1,enemy_skill_triggers!$1:$1,0)-MATCH($F$1,enemy_skill_triggers!$1:$1,0)+1),MATCH(O$1,enemy_skill_triggers!$1:$1,0)-MATCH($F$1,enemy_skill_triggers!$1:$1,0)+1,FALSE)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2" s="46"/>
      <c r="Q22" s="46"/>
      <c r="R22" s="46"/>
    </row>
    <row r="23" spans="1:18" ht="21" customHeight="1" x14ac:dyDescent="0.15">
      <c r="A23" s="38" t="str">
        <f t="shared" si="4"/>
        <v>39012507_39012521</v>
      </c>
      <c r="B23" s="109">
        <v>39012507</v>
      </c>
      <c r="C23" s="109">
        <v>39012521</v>
      </c>
      <c r="D23" s="45" t="str">
        <f ca="1">VLOOKUP($C23,OFFSET(enemy_skills!$A$1,0,0,COUNTA(enemy_skills!$A:$A),MATCH(D$1,enemy_skills!$1:$1,0)-MATCH("enemy_skill_id",enemy_skills!$1:$1,0)+1),MATCH(D$1,enemy_skills!$1:$1,0)-MATCH("enemy_skill_id",enemy_skills!$1:$1,0)+1,FALSE)</f>
        <v>反撃の構え</v>
      </c>
      <c r="E23" s="45" t="str">
        <f ca="1">VLOOKUP($C23,OFFSET(enemy_skills!$A$1,0,0,COUNTA(enemy_skills!$A:$A),MATCH(E$1,enemy_skills!$1:$1,0)-MATCH("enemy_skill_id",enemy_skills!$1:$1,0)+1),MATCH(E$1,enemy_skills!$1:$1,0)-MATCH("enemy_skill_id",enemy_skills!$1:$1,0)+1,FALSE)</f>
        <v>2ターン全属性の攻撃をカウンター</v>
      </c>
      <c r="F23" s="109">
        <v>39012528</v>
      </c>
      <c r="G23" s="47">
        <f ca="1">VLOOKUP($F23,OFFSET(enemy_skill_triggers!$A$1,0,0,COUNTA(enemy_skill_triggers!$A:$A),MATCH(G$1,enemy_skill_triggers!$1:$1,0)-MATCH($F$1,enemy_skill_triggers!$1:$1,0)+1),MATCH(G$1,enemy_skill_triggers!$1:$1,0)-MATCH($F$1,enemy_skill_triggers!$1:$1,0)+1,FALSE)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3" s="47">
        <f ca="1">VLOOKUP($F23,OFFSET(enemy_skill_triggers!$A$1,0,0,COUNTA(enemy_skill_triggers!$A:$A),MATCH(H$1,enemy_skill_triggers!$1:$1,0)-MATCH($F$1,enemy_skill_triggers!$1:$1,0)+1),MATCH(H$1,enemy_skill_triggers!$1:$1,0)-MATCH($F$1,enemy_skill_triggers!$1:$1,0)+1,FALSE)</f>
        <v>2</v>
      </c>
      <c r="I23" s="47">
        <f ca="1">VLOOKUP($F23,OFFSET(enemy_skill_triggers!$A$1,0,0,COUNTA(enemy_skill_triggers!$A:$A),MATCH(I$1,enemy_skill_triggers!$1:$1,0)-MATCH($F$1,enemy_skill_triggers!$1:$1,0)+1),MATCH(I$1,enemy_skill_triggers!$1:$1,0)-MATCH($F$1,enemy_skill_triggers!$1:$1,0)+1,FALSE)</f>
        <v>70</v>
      </c>
      <c r="J23" s="47" t="str">
        <f ca="1">VLOOKUP($F23,OFFSET(enemy_skill_triggers!$A$1,0,0,COUNTA(enemy_skill_triggers!$A:$A),MATCH(J$1,enemy_skill_triggers!$1:$1,0)-MATCH($F$1,enemy_skill_triggers!$1:$1,0)+1),MATCH(J$1,enemy_skill_triggers!$1:$1,0)-MATCH($F$1,enemy_skill_triggers!$1:$1,0)+1,FALSE)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3" s="47" t="str">
        <f ca="1">VLOOKUP($F23,OFFSET(enemy_skill_triggers!$A$1,0,0,COUNTA(enemy_skill_triggers!$A:$A),MATCH(K$1,enemy_skill_triggers!$1:$1,0)-MATCH($F$1,enemy_skill_triggers!$1:$1,0)+1),MATCH(K$1,enemy_skill_triggers!$1:$1,0)-MATCH($F$1,enemy_skill_triggers!$1:$1,0)+1,FALSE)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3" s="47" t="str">
        <f ca="1">VLOOKUP($F23,OFFSET(enemy_skill_triggers!$A$1,0,0,COUNTA(enemy_skill_triggers!$A:$A),MATCH(L$1,enemy_skill_triggers!$1:$1,0)-MATCH($F$1,enemy_skill_triggers!$1:$1,0)+1),MATCH(L$1,enemy_skill_triggers!$1:$1,0)-MATCH($F$1,enemy_skill_triggers!$1:$1,0)+1,FALSE)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3" s="47">
        <f ca="1">VLOOKUP($F23,OFFSET(enemy_skill_triggers!$A$1,0,0,COUNTA(enemy_skill_triggers!$A:$A),MATCH(M$1,enemy_skill_triggers!$1:$1,0)-MATCH($F$1,enemy_skill_triggers!$1:$1,0)+1),MATCH(M$1,enemy_skill_triggers!$1:$1,0)-MATCH($F$1,enemy_skill_triggers!$1:$1,0)+1,FALSE)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23" s="47" t="str">
        <f ca="1">VLOOKUP($F23,OFFSET(enemy_skill_triggers!$A$1,0,0,COUNTA(enemy_skill_triggers!$A:$A),MATCH(N$1,enemy_skill_triggers!$1:$1,0)-MATCH($F$1,enemy_skill_triggers!$1:$1,0)+1),MATCH(N$1,enemy_skill_triggers!$1:$1,0)-MATCH($F$1,enemy_skill_triggers!$1:$1,0)+1,FALSE)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3" s="47">
        <f ca="1">VLOOKUP($F23,OFFSET(enemy_skill_triggers!$A$1,0,0,COUNTA(enemy_skill_triggers!$A:$A),MATCH(O$1,enemy_skill_triggers!$1:$1,0)-MATCH($F$1,enemy_skill_triggers!$1:$1,0)+1),MATCH(O$1,enemy_skill_triggers!$1:$1,0)-MATCH($F$1,enemy_skill_triggers!$1:$1,0)+1,FALSE)</f>
        <v>70</v>
      </c>
      <c r="P23" s="46"/>
      <c r="Q23" s="46"/>
      <c r="R23" s="46"/>
    </row>
    <row r="24" spans="1:18" ht="21" customHeight="1" x14ac:dyDescent="0.15">
      <c r="A24" s="38" t="str">
        <f t="shared" si="4"/>
        <v>39012511_39012599</v>
      </c>
      <c r="B24" s="140">
        <v>39012511</v>
      </c>
      <c r="C24" s="140">
        <v>39012599</v>
      </c>
      <c r="D24" s="45" t="str">
        <f ca="1">VLOOKUP($C24,OFFSET(enemy_skills!$A$1,0,0,COUNTA(enemy_skills!$A:$A),MATCH(D$1,enemy_skills!$1:$1,0)-MATCH("enemy_skill_id",enemy_skills!$1:$1,0)+1),MATCH(D$1,enemy_skills!$1:$1,0)-MATCH("enemy_skill_id",enemy_skills!$1:$1,0)+1,FALSE)</f>
        <v>『呼んだ？ボク、神さまだけど。』</v>
      </c>
      <c r="E24" s="45" t="str">
        <f ca="1">VLOOKUP($C24,OFFSET(enemy_skills!$A$1,0,0,COUNTA(enemy_skills!$A:$A),MATCH(E$1,enemy_skills!$1:$1,0)-MATCH("enemy_skill_id",enemy_skills!$1:$1,0)+1),MATCH(E$1,enemy_skills!$1:$1,0)-MATCH("enemy_skill_id",enemy_skills!$1:$1,0)+1,FALSE)</f>
        <v>別に呼んでないけど神さまがあらわれた！</v>
      </c>
      <c r="F24" s="140">
        <v>39012599</v>
      </c>
      <c r="G24" s="47">
        <f ca="1">VLOOKUP($F24,OFFSET(enemy_skill_triggers!$A$1,0,0,COUNTA(enemy_skill_triggers!$A:$A),MATCH(G$1,enemy_skill_triggers!$1:$1,0)-MATCH($F$1,enemy_skill_triggers!$1:$1,0)+1),MATCH(G$1,enemy_skill_triggers!$1:$1,0)-MATCH($F$1,enemy_skill_triggers!$1:$1,0)+1,FALSE)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4" s="47">
        <f ca="1">VLOOKUP($F24,OFFSET(enemy_skill_triggers!$A$1,0,0,COUNTA(enemy_skill_triggers!$A:$A),MATCH(H$1,enemy_skill_triggers!$1:$1,0)-MATCH($F$1,enemy_skill_triggers!$1:$1,0)+1),MATCH(H$1,enemy_skill_triggers!$1:$1,0)-MATCH($F$1,enemy_skill_triggers!$1:$1,0)+1,FALSE)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24" s="47">
        <f ca="1">VLOOKUP($F24,OFFSET(enemy_skill_triggers!$A$1,0,0,COUNTA(enemy_skill_triggers!$A:$A),MATCH(I$1,enemy_skill_triggers!$1:$1,0)-MATCH($F$1,enemy_skill_triggers!$1:$1,0)+1),MATCH(I$1,enemy_skill_triggers!$1:$1,0)-MATCH($F$1,enemy_skill_triggers!$1:$1,0)+1,FALSE)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4" s="47" t="str">
        <f ca="1">VLOOKUP($F24,OFFSET(enemy_skill_triggers!$A$1,0,0,COUNTA(enemy_skill_triggers!$A:$A),MATCH(J$1,enemy_skill_triggers!$1:$1,0)-MATCH($F$1,enemy_skill_triggers!$1:$1,0)+1),MATCH(J$1,enemy_skill_triggers!$1:$1,0)-MATCH($F$1,enemy_skill_triggers!$1:$1,0)+1,FALSE)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4" s="47" t="str">
        <f ca="1">VLOOKUP($F24,OFFSET(enemy_skill_triggers!$A$1,0,0,COUNTA(enemy_skill_triggers!$A:$A),MATCH(K$1,enemy_skill_triggers!$1:$1,0)-MATCH($F$1,enemy_skill_triggers!$1:$1,0)+1),MATCH(K$1,enemy_skill_triggers!$1:$1,0)-MATCH($F$1,enemy_skill_triggers!$1:$1,0)+1,FALSE)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4" s="47">
        <f ca="1">VLOOKUP($F24,OFFSET(enemy_skill_triggers!$A$1,0,0,COUNTA(enemy_skill_triggers!$A:$A),MATCH(L$1,enemy_skill_triggers!$1:$1,0)-MATCH($F$1,enemy_skill_triggers!$1:$1,0)+1),MATCH(L$1,enemy_skill_triggers!$1:$1,0)-MATCH($F$1,enemy_skill_triggers!$1:$1,0)+1,FALSE)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4" s="47" t="str">
        <f ca="1">VLOOKUP($F24,OFFSET(enemy_skill_triggers!$A$1,0,0,COUNTA(enemy_skill_triggers!$A:$A),MATCH(M$1,enemy_skill_triggers!$1:$1,0)-MATCH($F$1,enemy_skill_triggers!$1:$1,0)+1),MATCH(M$1,enemy_skill_triggers!$1:$1,0)-MATCH($F$1,enemy_skill_triggers!$1:$1,0)+1,FALSE)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4" s="47" t="str">
        <f ca="1">VLOOKUP($F24,OFFSET(enemy_skill_triggers!$A$1,0,0,COUNTA(enemy_skill_triggers!$A:$A),MATCH(N$1,enemy_skill_triggers!$1:$1,0)-MATCH($F$1,enemy_skill_triggers!$1:$1,0)+1),MATCH(N$1,enemy_skill_triggers!$1:$1,0)-MATCH($F$1,enemy_skill_triggers!$1:$1,0)+1,FALSE)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4" s="47">
        <f ca="1">VLOOKUP($F24,OFFSET(enemy_skill_triggers!$A$1,0,0,COUNTA(enemy_skill_triggers!$A:$A),MATCH(O$1,enemy_skill_triggers!$1:$1,0)-MATCH($F$1,enemy_skill_triggers!$1:$1,0)+1),MATCH(O$1,enemy_skill_triggers!$1:$1,0)-MATCH($F$1,enemy_skill_triggers!$1:$1,0)+1,FALSE)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4" s="46"/>
      <c r="Q24" s="46"/>
      <c r="R24" s="46"/>
    </row>
    <row r="25" spans="1:18" ht="21" customHeight="1" x14ac:dyDescent="0.15">
      <c r="A25" s="38" t="str">
        <f t="shared" si="4"/>
        <v>39012511_39012598</v>
      </c>
      <c r="B25" s="140">
        <v>39012511</v>
      </c>
      <c r="C25" s="140">
        <v>39012598</v>
      </c>
      <c r="D25" s="45" t="str">
        <f ca="1">VLOOKUP($C25,OFFSET(enemy_skills!$A$1,0,0,COUNTA(enemy_skills!$A:$A),MATCH(D$1,enemy_skills!$1:$1,0)-MATCH("enemy_skill_id",enemy_skills!$1:$1,0)+1),MATCH(D$1,enemy_skills!$1:$1,0)-MATCH("enemy_skill_id",enemy_skills!$1:$1,0)+1,FALSE)</f>
        <v>神のチカラ</v>
      </c>
      <c r="E25" s="45" t="str">
        <f ca="1">VLOOKUP($C25,OFFSET(enemy_skills!$A$1,0,0,COUNTA(enemy_skills!$A:$A),MATCH(E$1,enemy_skills!$1:$1,0)-MATCH("enemy_skill_id",enemy_skills!$1:$1,0)+1),MATCH(E$1,enemy_skills!$1:$1,0)-MATCH("enemy_skill_id",enemy_skills!$1:$1,0)+1,FALSE)</f>
        <v>ランダムで先頭ユニットのSCパネルに最大5個変換</v>
      </c>
      <c r="F25" s="140">
        <v>39012598</v>
      </c>
      <c r="G25" s="47">
        <f ca="1">VLOOKUP($F25,OFFSET(enemy_skill_triggers!$A$1,0,0,COUNTA(enemy_skill_triggers!$A:$A),MATCH(G$1,enemy_skill_triggers!$1:$1,0)-MATCH($F$1,enemy_skill_triggers!$1:$1,0)+1),MATCH(G$1,enemy_skill_triggers!$1:$1,0)-MATCH($F$1,enemy_skill_triggers!$1:$1,0)+1,FALSE)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5" s="47">
        <f ca="1">VLOOKUP($F25,OFFSET(enemy_skill_triggers!$A$1,0,0,COUNTA(enemy_skill_triggers!$A:$A),MATCH(H$1,enemy_skill_triggers!$1:$1,0)-MATCH($F$1,enemy_skill_triggers!$1:$1,0)+1),MATCH(H$1,enemy_skill_triggers!$1:$1,0)-MATCH($F$1,enemy_skill_triggers!$1:$1,0)+1,FALSE)</f>
        <v>99</v>
      </c>
      <c r="I25" s="47">
        <f ca="1">VLOOKUP($F25,OFFSET(enemy_skill_triggers!$A$1,0,0,COUNTA(enemy_skill_triggers!$A:$A),MATCH(I$1,enemy_skill_triggers!$1:$1,0)-MATCH($F$1,enemy_skill_triggers!$1:$1,0)+1),MATCH(I$1,enemy_skill_triggers!$1:$1,0)-MATCH($F$1,enemy_skill_triggers!$1:$1,0)+1,FALSE)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5" s="47" t="str">
        <f ca="1">VLOOKUP($F25,OFFSET(enemy_skill_triggers!$A$1,0,0,COUNTA(enemy_skill_triggers!$A:$A),MATCH(J$1,enemy_skill_triggers!$1:$1,0)-MATCH($F$1,enemy_skill_triggers!$1:$1,0)+1),MATCH(J$1,enemy_skill_triggers!$1:$1,0)-MATCH($F$1,enemy_skill_triggers!$1:$1,0)+1,FALSE)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5" s="47" t="str">
        <f ca="1">VLOOKUP($F25,OFFSET(enemy_skill_triggers!$A$1,0,0,COUNTA(enemy_skill_triggers!$A:$A),MATCH(K$1,enemy_skill_triggers!$1:$1,0)-MATCH($F$1,enemy_skill_triggers!$1:$1,0)+1),MATCH(K$1,enemy_skill_triggers!$1:$1,0)-MATCH($F$1,enemy_skill_triggers!$1:$1,0)+1,FALSE)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5" s="47">
        <f ca="1">VLOOKUP($F25,OFFSET(enemy_skill_triggers!$A$1,0,0,COUNTA(enemy_skill_triggers!$A:$A),MATCH(L$1,enemy_skill_triggers!$1:$1,0)-MATCH($F$1,enemy_skill_triggers!$1:$1,0)+1),MATCH(L$1,enemy_skill_triggers!$1:$1,0)-MATCH($F$1,enemy_skill_triggers!$1:$1,0)+1,FALSE)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5" s="47" t="str">
        <f ca="1">VLOOKUP($F25,OFFSET(enemy_skill_triggers!$A$1,0,0,COUNTA(enemy_skill_triggers!$A:$A),MATCH(M$1,enemy_skill_triggers!$1:$1,0)-MATCH($F$1,enemy_skill_triggers!$1:$1,0)+1),MATCH(M$1,enemy_skill_triggers!$1:$1,0)-MATCH($F$1,enemy_skill_triggers!$1:$1,0)+1,FALSE)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5" s="47" t="str">
        <f ca="1">VLOOKUP($F25,OFFSET(enemy_skill_triggers!$A$1,0,0,COUNTA(enemy_skill_triggers!$A:$A),MATCH(N$1,enemy_skill_triggers!$1:$1,0)-MATCH($F$1,enemy_skill_triggers!$1:$1,0)+1),MATCH(N$1,enemy_skill_triggers!$1:$1,0)-MATCH($F$1,enemy_skill_triggers!$1:$1,0)+1,FALSE)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5" s="47">
        <f ca="1">VLOOKUP($F25,OFFSET(enemy_skill_triggers!$A$1,0,0,COUNTA(enemy_skill_triggers!$A:$A),MATCH(O$1,enemy_skill_triggers!$1:$1,0)-MATCH($F$1,enemy_skill_triggers!$1:$1,0)+1),MATCH(O$1,enemy_skill_triggers!$1:$1,0)-MATCH($F$1,enemy_skill_triggers!$1:$1,0)+1,FALSE)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5" s="46"/>
      <c r="Q25" s="46"/>
      <c r="R25" s="46"/>
    </row>
    <row r="26" spans="1:18" s="198" customFormat="1" ht="21" customHeight="1" x14ac:dyDescent="0.15">
      <c r="A26" s="195" t="str">
        <f t="shared" ref="A26" si="5">B26&amp;"_"&amp;C26</f>
        <v>39012508_39012530</v>
      </c>
      <c r="B26" s="163">
        <v>39012508</v>
      </c>
      <c r="C26" s="163">
        <v>39012530</v>
      </c>
      <c r="D26" s="194" t="str">
        <f ca="1">VLOOKUP($C26,OFFSET(enemy_skills!$A$1,0,0,COUNTA(enemy_skills!$A:$A),MATCH(D$1,enemy_skills!$1:$1,0)-MATCH("enemy_skill_id",enemy_skills!$1:$1,0)+1),MATCH(D$1,enemy_skills!$1:$1,0)-MATCH("enemy_skill_id",enemy_skills!$1:$1,0)+1,FALSE)</f>
        <v>全てのにゃんこの幸せのために…！</v>
      </c>
      <c r="E26" s="194" t="str">
        <f ca="1">VLOOKUP($C26,OFFSET(enemy_skills!$A$1,0,0,COUNTA(enemy_skills!$A:$A),MATCH(E$1,enemy_skills!$1:$1,0)-MATCH("enemy_skill_id",enemy_skills!$1:$1,0)+1),MATCH(E$1,enemy_skills!$1:$1,0)-MATCH("enemy_skill_id",enemy_skills!$1:$1,0)+1,FALSE)</f>
        <v>緑パネルプロテクト</v>
      </c>
      <c r="F26" s="163">
        <v>39012530</v>
      </c>
      <c r="G26" s="196">
        <f ca="1">VLOOKUP($F26,OFFSET(enemy_skill_triggers!$A$1,0,0,COUNTA(enemy_skill_triggers!$A:$A),MATCH(G$1,enemy_skill_triggers!$1:$1,0)-MATCH($F$1,enemy_skill_triggers!$1:$1,0)+1),MATCH(G$1,enemy_skill_triggers!$1:$1,0)-MATCH($F$1,enemy_skill_triggers!$1:$1,0)+1,FALSE)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6" s="196">
        <f ca="1">VLOOKUP($F26,OFFSET(enemy_skill_triggers!$A$1,0,0,COUNTA(enemy_skill_triggers!$A:$A),MATCH(H$1,enemy_skill_triggers!$1:$1,0)-MATCH($F$1,enemy_skill_triggers!$1:$1,0)+1),MATCH(H$1,enemy_skill_triggers!$1:$1,0)-MATCH($F$1,enemy_skill_triggers!$1:$1,0)+1,FALSE)</f>
        <v>550</v>
      </c>
      <c r="I26" s="196">
        <f ca="1">VLOOKUP($F26,OFFSET(enemy_skill_triggers!$A$1,0,0,COUNTA(enemy_skill_triggers!$A:$A),MATCH(I$1,enemy_skill_triggers!$1:$1,0)-MATCH($F$1,enemy_skill_triggers!$1:$1,0)+1),MATCH(I$1,enemy_skill_triggers!$1:$1,0)-MATCH($F$1,enemy_skill_triggers!$1:$1,0)+1,FALSE)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6" s="196" t="str">
        <f ca="1">VLOOKUP($F26,OFFSET(enemy_skill_triggers!$A$1,0,0,COUNTA(enemy_skill_triggers!$A:$A),MATCH(J$1,enemy_skill_triggers!$1:$1,0)-MATCH($F$1,enemy_skill_triggers!$1:$1,0)+1),MATCH(J$1,enemy_skill_triggers!$1:$1,0)-MATCH($F$1,enemy_skill_triggers!$1:$1,0)+1,FALSE)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6" s="196" t="str">
        <f ca="1">VLOOKUP($F26,OFFSET(enemy_skill_triggers!$A$1,0,0,COUNTA(enemy_skill_triggers!$A:$A),MATCH(K$1,enemy_skill_triggers!$1:$1,0)-MATCH($F$1,enemy_skill_triggers!$1:$1,0)+1),MATCH(K$1,enemy_skill_triggers!$1:$1,0)-MATCH($F$1,enemy_skill_triggers!$1:$1,0)+1,FALSE)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6" s="196">
        <f ca="1">VLOOKUP($F26,OFFSET(enemy_skill_triggers!$A$1,0,0,COUNTA(enemy_skill_triggers!$A:$A),MATCH(L$1,enemy_skill_triggers!$1:$1,0)-MATCH($F$1,enemy_skill_triggers!$1:$1,0)+1),MATCH(L$1,enemy_skill_triggers!$1:$1,0)-MATCH($F$1,enemy_skill_triggers!$1:$1,0)+1,FALSE)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6" s="196">
        <f ca="1">VLOOKUP($F26,OFFSET(enemy_skill_triggers!$A$1,0,0,COUNTA(enemy_skill_triggers!$A:$A),MATCH(M$1,enemy_skill_triggers!$1:$1,0)-MATCH($F$1,enemy_skill_triggers!$1:$1,0)+1),MATCH(M$1,enemy_skill_triggers!$1:$1,0)-MATCH($F$1,enemy_skill_triggers!$1:$1,0)+1,FALSE)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26" s="196" t="str">
        <f ca="1">VLOOKUP($F26,OFFSET(enemy_skill_triggers!$A$1,0,0,COUNTA(enemy_skill_triggers!$A:$A),MATCH(N$1,enemy_skill_triggers!$1:$1,0)-MATCH($F$1,enemy_skill_triggers!$1:$1,0)+1),MATCH(N$1,enemy_skill_triggers!$1:$1,0)-MATCH($F$1,enemy_skill_triggers!$1:$1,0)+1,FALSE)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6" s="196">
        <f ca="1">VLOOKUP($F26,OFFSET(enemy_skill_triggers!$A$1,0,0,COUNTA(enemy_skill_triggers!$A:$A),MATCH(O$1,enemy_skill_triggers!$1:$1,0)-MATCH($F$1,enemy_skill_triggers!$1:$1,0)+1),MATCH(O$1,enemy_skill_triggers!$1:$1,0)-MATCH($F$1,enemy_skill_triggers!$1:$1,0)+1,FALSE)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6" s="197"/>
      <c r="Q26" s="197"/>
      <c r="R26" s="197"/>
    </row>
    <row r="27" spans="1:18" ht="21" customHeight="1" x14ac:dyDescent="0.15">
      <c r="A27" s="38" t="str">
        <f t="shared" si="1"/>
        <v>39012508_39012532</v>
      </c>
      <c r="B27" s="106">
        <v>39012508</v>
      </c>
      <c r="C27" s="106">
        <v>39012532</v>
      </c>
      <c r="D27" s="45" t="str">
        <f ca="1">VLOOKUP($C27,OFFSET(enemy_skills!$A$1,0,0,COUNTA(enemy_skills!$A:$A),MATCH(D$1,enemy_skills!$1:$1,0)-MATCH("enemy_skill_id",enemy_skills!$1:$1,0)+1),MATCH(D$1,enemy_skills!$1:$1,0)-MATCH("enemy_skill_id",enemy_skills!$1:$1,0)+1,FALSE)</f>
        <v>テンション・コントロール</v>
      </c>
      <c r="E27" s="45" t="str">
        <f ca="1">VLOOKUP($C27,OFFSET(enemy_skills!$A$1,0,0,COUNTA(enemy_skills!$A:$A),MATCH(E$1,enemy_skills!$1:$1,0)-MATCH("enemy_skill_id",enemy_skills!$1:$1,0)+1),MATCH(E$1,enemy_skills!$1:$1,0)-MATCH("enemy_skill_id",enemy_skills!$1:$1,0)+1,FALSE)</f>
        <v>2ターン全ユニットの回復力50%DOWN</v>
      </c>
      <c r="F27" s="106">
        <v>39012531</v>
      </c>
      <c r="G27" s="47">
        <f ca="1">VLOOKUP($F27,OFFSET(enemy_skill_triggers!$A$1,0,0,COUNTA(enemy_skill_triggers!$A:$A),MATCH(G$1,enemy_skill_triggers!$1:$1,0)-MATCH($F$1,enemy_skill_triggers!$1:$1,0)+1),MATCH(G$1,enemy_skill_triggers!$1:$1,0)-MATCH($F$1,enemy_skill_triggers!$1:$1,0)+1,FALSE)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7" s="47">
        <f ca="1">VLOOKUP($F27,OFFSET(enemy_skill_triggers!$A$1,0,0,COUNTA(enemy_skill_triggers!$A:$A),MATCH(H$1,enemy_skill_triggers!$1:$1,0)-MATCH($F$1,enemy_skill_triggers!$1:$1,0)+1),MATCH(H$1,enemy_skill_triggers!$1:$1,0)-MATCH($F$1,enemy_skill_triggers!$1:$1,0)+1,FALSE)</f>
        <v>530</v>
      </c>
      <c r="I27" s="47">
        <f ca="1">VLOOKUP($F27,OFFSET(enemy_skill_triggers!$A$1,0,0,COUNTA(enemy_skill_triggers!$A:$A),MATCH(I$1,enemy_skill_triggers!$1:$1,0)-MATCH($F$1,enemy_skill_triggers!$1:$1,0)+1),MATCH(I$1,enemy_skill_triggers!$1:$1,0)-MATCH($F$1,enemy_skill_triggers!$1:$1,0)+1,FALSE)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7" s="47" t="str">
        <f ca="1">VLOOKUP($F27,OFFSET(enemy_skill_triggers!$A$1,0,0,COUNTA(enemy_skill_triggers!$A:$A),MATCH(J$1,enemy_skill_triggers!$1:$1,0)-MATCH($F$1,enemy_skill_triggers!$1:$1,0)+1),MATCH(J$1,enemy_skill_triggers!$1:$1,0)-MATCH($F$1,enemy_skill_triggers!$1:$1,0)+1,FALSE)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7" s="47" t="str">
        <f ca="1">VLOOKUP($F27,OFFSET(enemy_skill_triggers!$A$1,0,0,COUNTA(enemy_skill_triggers!$A:$A),MATCH(K$1,enemy_skill_triggers!$1:$1,0)-MATCH($F$1,enemy_skill_triggers!$1:$1,0)+1),MATCH(K$1,enemy_skill_triggers!$1:$1,0)-MATCH($F$1,enemy_skill_triggers!$1:$1,0)+1,FALSE)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7" s="47" t="str">
        <f ca="1">VLOOKUP($F27,OFFSET(enemy_skill_triggers!$A$1,0,0,COUNTA(enemy_skill_triggers!$A:$A),MATCH(L$1,enemy_skill_triggers!$1:$1,0)-MATCH($F$1,enemy_skill_triggers!$1:$1,0)+1),MATCH(L$1,enemy_skill_triggers!$1:$1,0)-MATCH($F$1,enemy_skill_triggers!$1:$1,0)+1,FALSE)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7" s="47">
        <f ca="1">VLOOKUP($F27,OFFSET(enemy_skill_triggers!$A$1,0,0,COUNTA(enemy_skill_triggers!$A:$A),MATCH(M$1,enemy_skill_triggers!$1:$1,0)-MATCH($F$1,enemy_skill_triggers!$1:$1,0)+1),MATCH(M$1,enemy_skill_triggers!$1:$1,0)-MATCH($F$1,enemy_skill_triggers!$1:$1,0)+1,FALSE)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27" s="47" t="str">
        <f ca="1">VLOOKUP($F27,OFFSET(enemy_skill_triggers!$A$1,0,0,COUNTA(enemy_skill_triggers!$A:$A),MATCH(N$1,enemy_skill_triggers!$1:$1,0)-MATCH($F$1,enemy_skill_triggers!$1:$1,0)+1),MATCH(N$1,enemy_skill_triggers!$1:$1,0)-MATCH($F$1,enemy_skill_triggers!$1:$1,0)+1,FALSE)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7" s="47">
        <f ca="1">VLOOKUP($F27,OFFSET(enemy_skill_triggers!$A$1,0,0,COUNTA(enemy_skill_triggers!$A:$A),MATCH(O$1,enemy_skill_triggers!$1:$1,0)-MATCH($F$1,enemy_skill_triggers!$1:$1,0)+1),MATCH(O$1,enemy_skill_triggers!$1:$1,0)-MATCH($F$1,enemy_skill_triggers!$1:$1,0)+1,FALSE)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7" s="46"/>
      <c r="Q27" s="46"/>
      <c r="R27" s="46"/>
    </row>
    <row r="28" spans="1:18" ht="21" customHeight="1" x14ac:dyDescent="0.15">
      <c r="A28" s="38" t="str">
        <f t="shared" ref="A28:A34" si="6">B28&amp;"_"&amp;C28</f>
        <v>39012508_39012531</v>
      </c>
      <c r="B28" s="106">
        <v>39012508</v>
      </c>
      <c r="C28" s="106">
        <v>39012531</v>
      </c>
      <c r="D28" s="45" t="str">
        <f ca="1">VLOOKUP($C28,OFFSET(enemy_skills!$A$1,0,0,COUNTA(enemy_skills!$A:$A),MATCH(D$1,enemy_skills!$1:$1,0)-MATCH("enemy_skill_id",enemy_skills!$1:$1,0)+1),MATCH(D$1,enemy_skills!$1:$1,0)-MATCH("enemy_skill_id",enemy_skills!$1:$1,0)+1,FALSE)</f>
        <v>ギガスニャッシュ</v>
      </c>
      <c r="E28" s="45" t="str">
        <f ca="1">VLOOKUP($C28,OFFSET(enemy_skills!$A$1,0,0,COUNTA(enemy_skills!$A:$A),MATCH(E$1,enemy_skills!$1:$1,0)-MATCH("enemy_skill_id",enemy_skills!$1:$1,0)+1),MATCH(E$1,enemy_skills!$1:$1,0)-MATCH("enemy_skill_id",enemy_skills!$1:$1,0)+1,FALSE)</f>
        <v>全体攻撃</v>
      </c>
      <c r="F28" s="106">
        <v>39012532</v>
      </c>
      <c r="G28" s="47">
        <f ca="1">VLOOKUP($F28,OFFSET(enemy_skill_triggers!$A$1,0,0,COUNTA(enemy_skill_triggers!$A:$A),MATCH(G$1,enemy_skill_triggers!$1:$1,0)-MATCH($F$1,enemy_skill_triggers!$1:$1,0)+1),MATCH(G$1,enemy_skill_triggers!$1:$1,0)-MATCH($F$1,enemy_skill_triggers!$1:$1,0)+1,FALSE)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8" s="47">
        <f ca="1">VLOOKUP($F28,OFFSET(enemy_skill_triggers!$A$1,0,0,COUNTA(enemy_skill_triggers!$A:$A),MATCH(H$1,enemy_skill_triggers!$1:$1,0)-MATCH($F$1,enemy_skill_triggers!$1:$1,0)+1),MATCH(H$1,enemy_skill_triggers!$1:$1,0)-MATCH($F$1,enemy_skill_triggers!$1:$1,0)+1,FALSE)</f>
        <v>540</v>
      </c>
      <c r="I28" s="47">
        <f ca="1">VLOOKUP($F28,OFFSET(enemy_skill_triggers!$A$1,0,0,COUNTA(enemy_skill_triggers!$A:$A),MATCH(I$1,enemy_skill_triggers!$1:$1,0)-MATCH($F$1,enemy_skill_triggers!$1:$1,0)+1),MATCH(I$1,enemy_skill_triggers!$1:$1,0)-MATCH($F$1,enemy_skill_triggers!$1:$1,0)+1,FALSE)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8" s="47" t="str">
        <f ca="1">VLOOKUP($F28,OFFSET(enemy_skill_triggers!$A$1,0,0,COUNTA(enemy_skill_triggers!$A:$A),MATCH(J$1,enemy_skill_triggers!$1:$1,0)-MATCH($F$1,enemy_skill_triggers!$1:$1,0)+1),MATCH(J$1,enemy_skill_triggers!$1:$1,0)-MATCH($F$1,enemy_skill_triggers!$1:$1,0)+1,FALSE)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8" s="47" t="str">
        <f ca="1">VLOOKUP($F28,OFFSET(enemy_skill_triggers!$A$1,0,0,COUNTA(enemy_skill_triggers!$A:$A),MATCH(K$1,enemy_skill_triggers!$1:$1,0)-MATCH($F$1,enemy_skill_triggers!$1:$1,0)+1),MATCH(K$1,enemy_skill_triggers!$1:$1,0)-MATCH($F$1,enemy_skill_triggers!$1:$1,0)+1,FALSE)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8" s="47" t="str">
        <f ca="1">VLOOKUP($F28,OFFSET(enemy_skill_triggers!$A$1,0,0,COUNTA(enemy_skill_triggers!$A:$A),MATCH(L$1,enemy_skill_triggers!$1:$1,0)-MATCH($F$1,enemy_skill_triggers!$1:$1,0)+1),MATCH(L$1,enemy_skill_triggers!$1:$1,0)-MATCH($F$1,enemy_skill_triggers!$1:$1,0)+1,FALSE)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8" s="47">
        <f ca="1">VLOOKUP($F28,OFFSET(enemy_skill_triggers!$A$1,0,0,COUNTA(enemy_skill_triggers!$A:$A),MATCH(M$1,enemy_skill_triggers!$1:$1,0)-MATCH($F$1,enemy_skill_triggers!$1:$1,0)+1),MATCH(M$1,enemy_skill_triggers!$1:$1,0)-MATCH($F$1,enemy_skill_triggers!$1:$1,0)+1,FALSE)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28" s="47" t="str">
        <f ca="1">VLOOKUP($F28,OFFSET(enemy_skill_triggers!$A$1,0,0,COUNTA(enemy_skill_triggers!$A:$A),MATCH(N$1,enemy_skill_triggers!$1:$1,0)-MATCH($F$1,enemy_skill_triggers!$1:$1,0)+1),MATCH(N$1,enemy_skill_triggers!$1:$1,0)-MATCH($F$1,enemy_skill_triggers!$1:$1,0)+1,FALSE)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8" s="47">
        <f ca="1">VLOOKUP($F28,OFFSET(enemy_skill_triggers!$A$1,0,0,COUNTA(enemy_skill_triggers!$A:$A),MATCH(O$1,enemy_skill_triggers!$1:$1,0)-MATCH($F$1,enemy_skill_triggers!$1:$1,0)+1),MATCH(O$1,enemy_skill_triggers!$1:$1,0)-MATCH($F$1,enemy_skill_triggers!$1:$1,0)+1,FALSE)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8" s="46"/>
      <c r="Q28" s="46"/>
      <c r="R28" s="46"/>
    </row>
    <row r="29" spans="1:18" ht="21" customHeight="1" x14ac:dyDescent="0.15">
      <c r="A29" s="38" t="str">
        <f t="shared" si="6"/>
        <v>39012509_39012540</v>
      </c>
      <c r="B29" s="109">
        <v>39012509</v>
      </c>
      <c r="C29" s="109">
        <v>39012540</v>
      </c>
      <c r="D29" s="45" t="str">
        <f ca="1">VLOOKUP($C29,OFFSET(enemy_skills!$A$1,0,0,COUNTA(enemy_skills!$A:$A),MATCH(D$1,enemy_skills!$1:$1,0)-MATCH("enemy_skill_id",enemy_skills!$1:$1,0)+1),MATCH(D$1,enemy_skills!$1:$1,0)-MATCH("enemy_skill_id",enemy_skills!$1:$1,0)+1,FALSE)</f>
        <v>ニャングリル・アイズ</v>
      </c>
      <c r="E29" s="45" t="str">
        <f ca="1">VLOOKUP($C29,OFFSET(enemy_skills!$A$1,0,0,COUNTA(enemy_skills!$A:$A),MATCH(E$1,enemy_skills!$1:$1,0)-MATCH("enemy_skill_id",enemy_skills!$1:$1,0)+1),MATCH(E$1,enemy_skills!$1:$1,0)-MATCH("enemy_skill_id",enemy_skills!$1:$1,0)+1,FALSE)</f>
        <v>2ターンユニット1〜2体にスキルバインド</v>
      </c>
      <c r="F29" s="109">
        <v>39012540</v>
      </c>
      <c r="G29" s="47">
        <f ca="1">VLOOKUP($F29,OFFSET(enemy_skill_triggers!$A$1,0,0,COUNTA(enemy_skill_triggers!$A:$A),MATCH(G$1,enemy_skill_triggers!$1:$1,0)-MATCH($F$1,enemy_skill_triggers!$1:$1,0)+1),MATCH(G$1,enemy_skill_triggers!$1:$1,0)-MATCH($F$1,enemy_skill_triggers!$1:$1,0)+1,FALSE)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9" s="47">
        <f ca="1">VLOOKUP($F29,OFFSET(enemy_skill_triggers!$A$1,0,0,COUNTA(enemy_skill_triggers!$A:$A),MATCH(H$1,enemy_skill_triggers!$1:$1,0)-MATCH($F$1,enemy_skill_triggers!$1:$1,0)+1),MATCH(H$1,enemy_skill_triggers!$1:$1,0)-MATCH($F$1,enemy_skill_triggers!$1:$1,0)+1,FALSE)</f>
        <v>550</v>
      </c>
      <c r="I29" s="47">
        <f ca="1">VLOOKUP($F29,OFFSET(enemy_skill_triggers!$A$1,0,0,COUNTA(enemy_skill_triggers!$A:$A),MATCH(I$1,enemy_skill_triggers!$1:$1,0)-MATCH($F$1,enemy_skill_triggers!$1:$1,0)+1),MATCH(I$1,enemy_skill_triggers!$1:$1,0)-MATCH($F$1,enemy_skill_triggers!$1:$1,0)+1,FALSE)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9" s="47" t="str">
        <f ca="1">VLOOKUP($F29,OFFSET(enemy_skill_triggers!$A$1,0,0,COUNTA(enemy_skill_triggers!$A:$A),MATCH(J$1,enemy_skill_triggers!$1:$1,0)-MATCH($F$1,enemy_skill_triggers!$1:$1,0)+1),MATCH(J$1,enemy_skill_triggers!$1:$1,0)-MATCH($F$1,enemy_skill_triggers!$1:$1,0)+1,FALSE)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9" s="47" t="str">
        <f ca="1">VLOOKUP($F29,OFFSET(enemy_skill_triggers!$A$1,0,0,COUNTA(enemy_skill_triggers!$A:$A),MATCH(K$1,enemy_skill_triggers!$1:$1,0)-MATCH($F$1,enemy_skill_triggers!$1:$1,0)+1),MATCH(K$1,enemy_skill_triggers!$1:$1,0)-MATCH($F$1,enemy_skill_triggers!$1:$1,0)+1,FALSE)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9" s="47" t="str">
        <f ca="1">VLOOKUP($F29,OFFSET(enemy_skill_triggers!$A$1,0,0,COUNTA(enemy_skill_triggers!$A:$A),MATCH(L$1,enemy_skill_triggers!$1:$1,0)-MATCH($F$1,enemy_skill_triggers!$1:$1,0)+1),MATCH(L$1,enemy_skill_triggers!$1:$1,0)-MATCH($F$1,enemy_skill_triggers!$1:$1,0)+1,FALSE)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9" s="47">
        <f ca="1">VLOOKUP($F29,OFFSET(enemy_skill_triggers!$A$1,0,0,COUNTA(enemy_skill_triggers!$A:$A),MATCH(M$1,enemy_skill_triggers!$1:$1,0)-MATCH($F$1,enemy_skill_triggers!$1:$1,0)+1),MATCH(M$1,enemy_skill_triggers!$1:$1,0)-MATCH($F$1,enemy_skill_triggers!$1:$1,0)+1,FALSE)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29" s="47" t="str">
        <f ca="1">VLOOKUP($F29,OFFSET(enemy_skill_triggers!$A$1,0,0,COUNTA(enemy_skill_triggers!$A:$A),MATCH(N$1,enemy_skill_triggers!$1:$1,0)-MATCH($F$1,enemy_skill_triggers!$1:$1,0)+1),MATCH(N$1,enemy_skill_triggers!$1:$1,0)-MATCH($F$1,enemy_skill_triggers!$1:$1,0)+1,FALSE)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9" s="47">
        <f ca="1">VLOOKUP($F29,OFFSET(enemy_skill_triggers!$A$1,0,0,COUNTA(enemy_skill_triggers!$A:$A),MATCH(O$1,enemy_skill_triggers!$1:$1,0)-MATCH($F$1,enemy_skill_triggers!$1:$1,0)+1),MATCH(O$1,enemy_skill_triggers!$1:$1,0)-MATCH($F$1,enemy_skill_triggers!$1:$1,0)+1,FALSE)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9" s="46"/>
      <c r="Q29" s="46"/>
      <c r="R29" s="46"/>
    </row>
    <row r="30" spans="1:18" ht="21" customHeight="1" x14ac:dyDescent="0.15">
      <c r="A30" s="38" t="str">
        <f t="shared" si="6"/>
        <v>39012509_39012541</v>
      </c>
      <c r="B30" s="109">
        <v>39012509</v>
      </c>
      <c r="C30" s="109">
        <v>39012541</v>
      </c>
      <c r="D30" s="45" t="str">
        <f ca="1">VLOOKUP($C30,OFFSET(enemy_skills!$A$1,0,0,COUNTA(enemy_skills!$A:$A),MATCH(D$1,enemy_skills!$1:$1,0)-MATCH("enemy_skill_id",enemy_skills!$1:$1,0)+1),MATCH(D$1,enemy_skills!$1:$1,0)-MATCH("enemy_skill_id",enemy_skills!$1:$1,0)+1,FALSE)</f>
        <v>ギガスニャッシュ</v>
      </c>
      <c r="E30" s="45" t="str">
        <f ca="1">VLOOKUP($C30,OFFSET(enemy_skills!$A$1,0,0,COUNTA(enemy_skills!$A:$A),MATCH(E$1,enemy_skills!$1:$1,0)-MATCH("enemy_skill_id",enemy_skills!$1:$1,0)+1),MATCH(E$1,enemy_skills!$1:$1,0)-MATCH("enemy_skill_id",enemy_skills!$1:$1,0)+1,FALSE)</f>
        <v>全体攻撃</v>
      </c>
      <c r="F30" s="109">
        <v>39012541</v>
      </c>
      <c r="G30" s="47">
        <f ca="1">VLOOKUP($F30,OFFSET(enemy_skill_triggers!$A$1,0,0,COUNTA(enemy_skill_triggers!$A:$A),MATCH(G$1,enemy_skill_triggers!$1:$1,0)-MATCH($F$1,enemy_skill_triggers!$1:$1,0)+1),MATCH(G$1,enemy_skill_triggers!$1:$1,0)-MATCH($F$1,enemy_skill_triggers!$1:$1,0)+1,FALSE)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0" s="47">
        <f ca="1">VLOOKUP($F30,OFFSET(enemy_skill_triggers!$A$1,0,0,COUNTA(enemy_skill_triggers!$A:$A),MATCH(H$1,enemy_skill_triggers!$1:$1,0)-MATCH($F$1,enemy_skill_triggers!$1:$1,0)+1),MATCH(H$1,enemy_skill_triggers!$1:$1,0)-MATCH($F$1,enemy_skill_triggers!$1:$1,0)+1,FALSE)</f>
        <v>540</v>
      </c>
      <c r="I30" s="47">
        <f ca="1">VLOOKUP($F30,OFFSET(enemy_skill_triggers!$A$1,0,0,COUNTA(enemy_skill_triggers!$A:$A),MATCH(I$1,enemy_skill_triggers!$1:$1,0)-MATCH($F$1,enemy_skill_triggers!$1:$1,0)+1),MATCH(I$1,enemy_skill_triggers!$1:$1,0)-MATCH($F$1,enemy_skill_triggers!$1:$1,0)+1,FALSE)</f>
        <v>70</v>
      </c>
      <c r="J30" s="47" t="str">
        <f ca="1">VLOOKUP($F30,OFFSET(enemy_skill_triggers!$A$1,0,0,COUNTA(enemy_skill_triggers!$A:$A),MATCH(J$1,enemy_skill_triggers!$1:$1,0)-MATCH($F$1,enemy_skill_triggers!$1:$1,0)+1),MATCH(J$1,enemy_skill_triggers!$1:$1,0)-MATCH($F$1,enemy_skill_triggers!$1:$1,0)+1,FALSE)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0" s="47" t="str">
        <f ca="1">VLOOKUP($F30,OFFSET(enemy_skill_triggers!$A$1,0,0,COUNTA(enemy_skill_triggers!$A:$A),MATCH(K$1,enemy_skill_triggers!$1:$1,0)-MATCH($F$1,enemy_skill_triggers!$1:$1,0)+1),MATCH(K$1,enemy_skill_triggers!$1:$1,0)-MATCH($F$1,enemy_skill_triggers!$1:$1,0)+1,FALSE)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0" s="47" t="str">
        <f ca="1">VLOOKUP($F30,OFFSET(enemy_skill_triggers!$A$1,0,0,COUNTA(enemy_skill_triggers!$A:$A),MATCH(L$1,enemy_skill_triggers!$1:$1,0)-MATCH($F$1,enemy_skill_triggers!$1:$1,0)+1),MATCH(L$1,enemy_skill_triggers!$1:$1,0)-MATCH($F$1,enemy_skill_triggers!$1:$1,0)+1,FALSE)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30" s="47">
        <f ca="1">VLOOKUP($F30,OFFSET(enemy_skill_triggers!$A$1,0,0,COUNTA(enemy_skill_triggers!$A:$A),MATCH(M$1,enemy_skill_triggers!$1:$1,0)-MATCH($F$1,enemy_skill_triggers!$1:$1,0)+1),MATCH(M$1,enemy_skill_triggers!$1:$1,0)-MATCH($F$1,enemy_skill_triggers!$1:$1,0)+1,FALSE)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30" s="47" t="str">
        <f ca="1">VLOOKUP($F30,OFFSET(enemy_skill_triggers!$A$1,0,0,COUNTA(enemy_skill_triggers!$A:$A),MATCH(N$1,enemy_skill_triggers!$1:$1,0)-MATCH($F$1,enemy_skill_triggers!$1:$1,0)+1),MATCH(N$1,enemy_skill_triggers!$1:$1,0)-MATCH($F$1,enemy_skill_triggers!$1:$1,0)+1,FALSE)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0" s="47">
        <f ca="1">VLOOKUP($F30,OFFSET(enemy_skill_triggers!$A$1,0,0,COUNTA(enemy_skill_triggers!$A:$A),MATCH(O$1,enemy_skill_triggers!$1:$1,0)-MATCH($F$1,enemy_skill_triggers!$1:$1,0)+1),MATCH(O$1,enemy_skill_triggers!$1:$1,0)-MATCH($F$1,enemy_skill_triggers!$1:$1,0)+1,FALSE)</f>
        <v>70</v>
      </c>
      <c r="P30" s="46"/>
      <c r="Q30" s="46"/>
      <c r="R30" s="46"/>
    </row>
    <row r="31" spans="1:18" ht="21" customHeight="1" x14ac:dyDescent="0.15">
      <c r="A31" s="38" t="str">
        <f t="shared" si="6"/>
        <v>39012509_39012542</v>
      </c>
      <c r="B31" s="109">
        <v>39012509</v>
      </c>
      <c r="C31" s="109">
        <v>39012542</v>
      </c>
      <c r="D31" s="45" t="str">
        <f ca="1">VLOOKUP($C31,OFFSET(enemy_skills!$A$1,0,0,COUNTA(enemy_skills!$A:$A),MATCH(D$1,enemy_skills!$1:$1,0)-MATCH("enemy_skill_id",enemy_skills!$1:$1,0)+1),MATCH(D$1,enemy_skills!$1:$1,0)-MATCH("enemy_skill_id",enemy_skills!$1:$1,0)+1,FALSE)</f>
        <v>ジャッジ・オブ・ニャングリル</v>
      </c>
      <c r="E31" s="45" t="str">
        <f ca="1">VLOOKUP($C31,OFFSET(enemy_skills!$A$1,0,0,COUNTA(enemy_skills!$A:$A),MATCH(E$1,enemy_skills!$1:$1,0)-MATCH("enemy_skill_id",enemy_skills!$1:$1,0)+1),MATCH(E$1,enemy_skills!$1:$1,0)-MATCH("enemy_skill_id",enemy_skills!$1:$1,0)+1,FALSE)</f>
        <v>2ターン全ユニットの攻撃力30%DOWN</v>
      </c>
      <c r="F31" s="109">
        <v>39012542</v>
      </c>
      <c r="G31" s="47">
        <f ca="1">VLOOKUP($F31,OFFSET(enemy_skill_triggers!$A$1,0,0,COUNTA(enemy_skill_triggers!$A:$A),MATCH(G$1,enemy_skill_triggers!$1:$1,0)-MATCH($F$1,enemy_skill_triggers!$1:$1,0)+1),MATCH(G$1,enemy_skill_triggers!$1:$1,0)-MATCH($F$1,enemy_skill_triggers!$1:$1,0)+1,FALSE)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1" s="47">
        <f ca="1">VLOOKUP($F31,OFFSET(enemy_skill_triggers!$A$1,0,0,COUNTA(enemy_skill_triggers!$A:$A),MATCH(H$1,enemy_skill_triggers!$1:$1,0)-MATCH($F$1,enemy_skill_triggers!$1:$1,0)+1),MATCH(H$1,enemy_skill_triggers!$1:$1,0)-MATCH($F$1,enemy_skill_triggers!$1:$1,0)+1,FALSE)</f>
        <v>530</v>
      </c>
      <c r="I31" s="47">
        <f ca="1">VLOOKUP($F31,OFFSET(enemy_skill_triggers!$A$1,0,0,COUNTA(enemy_skill_triggers!$A:$A),MATCH(I$1,enemy_skill_triggers!$1:$1,0)-MATCH($F$1,enemy_skill_triggers!$1:$1,0)+1),MATCH(I$1,enemy_skill_triggers!$1:$1,0)-MATCH($F$1,enemy_skill_triggers!$1:$1,0)+1,FALSE)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1" s="47" t="str">
        <f ca="1">VLOOKUP($F31,OFFSET(enemy_skill_triggers!$A$1,0,0,COUNTA(enemy_skill_triggers!$A:$A),MATCH(J$1,enemy_skill_triggers!$1:$1,0)-MATCH($F$1,enemy_skill_triggers!$1:$1,0)+1),MATCH(J$1,enemy_skill_triggers!$1:$1,0)-MATCH($F$1,enemy_skill_triggers!$1:$1,0)+1,FALSE)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1" s="47" t="str">
        <f ca="1">VLOOKUP($F31,OFFSET(enemy_skill_triggers!$A$1,0,0,COUNTA(enemy_skill_triggers!$A:$A),MATCH(K$1,enemy_skill_triggers!$1:$1,0)-MATCH($F$1,enemy_skill_triggers!$1:$1,0)+1),MATCH(K$1,enemy_skill_triggers!$1:$1,0)-MATCH($F$1,enemy_skill_triggers!$1:$1,0)+1,FALSE)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1" s="47" t="str">
        <f ca="1">VLOOKUP($F31,OFFSET(enemy_skill_triggers!$A$1,0,0,COUNTA(enemy_skill_triggers!$A:$A),MATCH(L$1,enemy_skill_triggers!$1:$1,0)-MATCH($F$1,enemy_skill_triggers!$1:$1,0)+1),MATCH(L$1,enemy_skill_triggers!$1:$1,0)-MATCH($F$1,enemy_skill_triggers!$1:$1,0)+1,FALSE)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31" s="47">
        <f ca="1">VLOOKUP($F31,OFFSET(enemy_skill_triggers!$A$1,0,0,COUNTA(enemy_skill_triggers!$A:$A),MATCH(M$1,enemy_skill_triggers!$1:$1,0)-MATCH($F$1,enemy_skill_triggers!$1:$1,0)+1),MATCH(M$1,enemy_skill_triggers!$1:$1,0)-MATCH($F$1,enemy_skill_triggers!$1:$1,0)+1,FALSE)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31" s="47" t="str">
        <f ca="1">VLOOKUP($F31,OFFSET(enemy_skill_triggers!$A$1,0,0,COUNTA(enemy_skill_triggers!$A:$A),MATCH(N$1,enemy_skill_triggers!$1:$1,0)-MATCH($F$1,enemy_skill_triggers!$1:$1,0)+1),MATCH(N$1,enemy_skill_triggers!$1:$1,0)-MATCH($F$1,enemy_skill_triggers!$1:$1,0)+1,FALSE)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1" s="47">
        <f ca="1">VLOOKUP($F31,OFFSET(enemy_skill_triggers!$A$1,0,0,COUNTA(enemy_skill_triggers!$A:$A),MATCH(O$1,enemy_skill_triggers!$1:$1,0)-MATCH($F$1,enemy_skill_triggers!$1:$1,0)+1),MATCH(O$1,enemy_skill_triggers!$1:$1,0)-MATCH($F$1,enemy_skill_triggers!$1:$1,0)+1,FALSE)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1" s="46"/>
      <c r="Q31" s="46"/>
      <c r="R31" s="46"/>
    </row>
    <row r="32" spans="1:18" ht="21" customHeight="1" x14ac:dyDescent="0.15">
      <c r="A32" s="38" t="str">
        <f t="shared" si="6"/>
        <v>39012510_39012551</v>
      </c>
      <c r="B32" s="106">
        <v>39012510</v>
      </c>
      <c r="C32" s="106">
        <v>39012551</v>
      </c>
      <c r="D32" s="45" t="str">
        <f ca="1">VLOOKUP($C32,OFFSET(enemy_skills!$A$1,0,0,COUNTA(enemy_skills!$A:$A),MATCH(D$1,enemy_skills!$1:$1,0)-MATCH("enemy_skill_id",enemy_skills!$1:$1,0)+1),MATCH(D$1,enemy_skills!$1:$1,0)-MATCH("enemy_skill_id",enemy_skills!$1:$1,0)+1,FALSE)</f>
        <v>にゃんこの正義と秩序のために！</v>
      </c>
      <c r="E32" s="45" t="str">
        <f ca="1">VLOOKUP($C32,OFFSET(enemy_skills!$A$1,0,0,COUNTA(enemy_skills!$A:$A),MATCH(E$1,enemy_skills!$1:$1,0)-MATCH("enemy_skill_id",enemy_skills!$1:$1,0)+1),MATCH(E$1,enemy_skills!$1:$1,0)-MATCH("enemy_skill_id",enemy_skills!$1:$1,0)+1,FALSE)</f>
        <v>3ターンCパネル生成延長(効果特大)</v>
      </c>
      <c r="F32" s="106">
        <v>39012550</v>
      </c>
      <c r="G32" s="47">
        <f ca="1">VLOOKUP($F32,OFFSET(enemy_skill_triggers!$A$1,0,0,COUNTA(enemy_skill_triggers!$A:$A),MATCH(G$1,enemy_skill_triggers!$1:$1,0)-MATCH($F$1,enemy_skill_triggers!$1:$1,0)+1),MATCH(G$1,enemy_skill_triggers!$1:$1,0)-MATCH($F$1,enemy_skill_triggers!$1:$1,0)+1,FALSE)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32" s="47">
        <f ca="1">VLOOKUP($F32,OFFSET(enemy_skill_triggers!$A$1,0,0,COUNTA(enemy_skill_triggers!$A:$A),MATCH(H$1,enemy_skill_triggers!$1:$1,0)-MATCH($F$1,enemy_skill_triggers!$1:$1,0)+1),MATCH(H$1,enemy_skill_triggers!$1:$1,0)-MATCH($F$1,enemy_skill_triggers!$1:$1,0)+1,FALSE)</f>
        <v>600</v>
      </c>
      <c r="I32" s="47">
        <f ca="1">VLOOKUP($F32,OFFSET(enemy_skill_triggers!$A$1,0,0,COUNTA(enemy_skill_triggers!$A:$A),MATCH(I$1,enemy_skill_triggers!$1:$1,0)-MATCH($F$1,enemy_skill_triggers!$1:$1,0)+1),MATCH(I$1,enemy_skill_triggers!$1:$1,0)-MATCH($F$1,enemy_skill_triggers!$1:$1,0)+1,FALSE)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2" s="47" t="str">
        <f ca="1">VLOOKUP($F32,OFFSET(enemy_skill_triggers!$A$1,0,0,COUNTA(enemy_skill_triggers!$A:$A),MATCH(J$1,enemy_skill_triggers!$1:$1,0)-MATCH($F$1,enemy_skill_triggers!$1:$1,0)+1),MATCH(J$1,enemy_skill_triggers!$1:$1,0)-MATCH($F$1,enemy_skill_triggers!$1:$1,0)+1,FALSE)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2" s="47" t="str">
        <f ca="1">VLOOKUP($F32,OFFSET(enemy_skill_triggers!$A$1,0,0,COUNTA(enemy_skill_triggers!$A:$A),MATCH(K$1,enemy_skill_triggers!$1:$1,0)-MATCH($F$1,enemy_skill_triggers!$1:$1,0)+1),MATCH(K$1,enemy_skill_triggers!$1:$1,0)-MATCH($F$1,enemy_skill_triggers!$1:$1,0)+1,FALSE)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2" s="47">
        <f ca="1">VLOOKUP($F32,OFFSET(enemy_skill_triggers!$A$1,0,0,COUNTA(enemy_skill_triggers!$A:$A),MATCH(L$1,enemy_skill_triggers!$1:$1,0)-MATCH($F$1,enemy_skill_triggers!$1:$1,0)+1),MATCH(L$1,enemy_skill_triggers!$1:$1,0)-MATCH($F$1,enemy_skill_triggers!$1:$1,0)+1,FALSE)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2" s="47">
        <f ca="1">VLOOKUP($F32,OFFSET(enemy_skill_triggers!$A$1,0,0,COUNTA(enemy_skill_triggers!$A:$A),MATCH(M$1,enemy_skill_triggers!$1:$1,0)-MATCH($F$1,enemy_skill_triggers!$1:$1,0)+1),MATCH(M$1,enemy_skill_triggers!$1:$1,0)-MATCH($F$1,enemy_skill_triggers!$1:$1,0)+1,FALSE)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32" s="47" t="str">
        <f ca="1">VLOOKUP($F32,OFFSET(enemy_skill_triggers!$A$1,0,0,COUNTA(enemy_skill_triggers!$A:$A),MATCH(N$1,enemy_skill_triggers!$1:$1,0)-MATCH($F$1,enemy_skill_triggers!$1:$1,0)+1),MATCH(N$1,enemy_skill_triggers!$1:$1,0)-MATCH($F$1,enemy_skill_triggers!$1:$1,0)+1,FALSE)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2" s="47">
        <f ca="1">VLOOKUP($F32,OFFSET(enemy_skill_triggers!$A$1,0,0,COUNTA(enemy_skill_triggers!$A:$A),MATCH(O$1,enemy_skill_triggers!$1:$1,0)-MATCH($F$1,enemy_skill_triggers!$1:$1,0)+1),MATCH(O$1,enemy_skill_triggers!$1:$1,0)-MATCH($F$1,enemy_skill_triggers!$1:$1,0)+1,FALSE)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2" s="46"/>
      <c r="Q32" s="46"/>
      <c r="R32" s="46"/>
    </row>
    <row r="33" spans="1:18" ht="21" customHeight="1" x14ac:dyDescent="0.15">
      <c r="A33" s="38" t="str">
        <f t="shared" si="6"/>
        <v>39012510_39012552</v>
      </c>
      <c r="B33" s="106">
        <v>39012510</v>
      </c>
      <c r="C33" s="106">
        <v>39012552</v>
      </c>
      <c r="D33" s="45" t="str">
        <f ca="1">VLOOKUP($C33,OFFSET(enemy_skills!$A$1,0,0,COUNTA(enemy_skills!$A:$A),MATCH(D$1,enemy_skills!$1:$1,0)-MATCH("enemy_skill_id",enemy_skills!$1:$1,0)+1),MATCH(D$1,enemy_skills!$1:$1,0)-MATCH("enemy_skill_id",enemy_skills!$1:$1,0)+1,FALSE)</f>
        <v>ギガスニャッシュ</v>
      </c>
      <c r="E33" s="45" t="str">
        <f ca="1">VLOOKUP($C33,OFFSET(enemy_skills!$A$1,0,0,COUNTA(enemy_skills!$A:$A),MATCH(E$1,enemy_skills!$1:$1,0)-MATCH("enemy_skill_id",enemy_skills!$1:$1,0)+1),MATCH(E$1,enemy_skills!$1:$1,0)-MATCH("enemy_skill_id",enemy_skills!$1:$1,0)+1,FALSE)</f>
        <v>全体攻撃</v>
      </c>
      <c r="F33" s="106">
        <v>39012551</v>
      </c>
      <c r="G33" s="47">
        <f ca="1">VLOOKUP($F33,OFFSET(enemy_skill_triggers!$A$1,0,0,COUNTA(enemy_skill_triggers!$A:$A),MATCH(G$1,enemy_skill_triggers!$1:$1,0)-MATCH($F$1,enemy_skill_triggers!$1:$1,0)+1),MATCH(G$1,enemy_skill_triggers!$1:$1,0)-MATCH($F$1,enemy_skill_triggers!$1:$1,0)+1,FALSE)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3" s="47">
        <f ca="1">VLOOKUP($F33,OFFSET(enemy_skill_triggers!$A$1,0,0,COUNTA(enemy_skill_triggers!$A:$A),MATCH(H$1,enemy_skill_triggers!$1:$1,0)-MATCH($F$1,enemy_skill_triggers!$1:$1,0)+1),MATCH(H$1,enemy_skill_triggers!$1:$1,0)-MATCH($F$1,enemy_skill_triggers!$1:$1,0)+1,FALSE)</f>
        <v>440</v>
      </c>
      <c r="I33" s="47">
        <f ca="1">VLOOKUP($F33,OFFSET(enemy_skill_triggers!$A$1,0,0,COUNTA(enemy_skill_triggers!$A:$A),MATCH(I$1,enemy_skill_triggers!$1:$1,0)-MATCH($F$1,enemy_skill_triggers!$1:$1,0)+1),MATCH(I$1,enemy_skill_triggers!$1:$1,0)-MATCH($F$1,enemy_skill_triggers!$1:$1,0)+1,FALSE)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3" s="47" t="str">
        <f ca="1">VLOOKUP($F33,OFFSET(enemy_skill_triggers!$A$1,0,0,COUNTA(enemy_skill_triggers!$A:$A),MATCH(J$1,enemy_skill_triggers!$1:$1,0)-MATCH($F$1,enemy_skill_triggers!$1:$1,0)+1),MATCH(J$1,enemy_skill_triggers!$1:$1,0)-MATCH($F$1,enemy_skill_triggers!$1:$1,0)+1,FALSE)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3" s="47" t="str">
        <f ca="1">VLOOKUP($F33,OFFSET(enemy_skill_triggers!$A$1,0,0,COUNTA(enemy_skill_triggers!$A:$A),MATCH(K$1,enemy_skill_triggers!$1:$1,0)-MATCH($F$1,enemy_skill_triggers!$1:$1,0)+1),MATCH(K$1,enemy_skill_triggers!$1:$1,0)-MATCH($F$1,enemy_skill_triggers!$1:$1,0)+1,FALSE)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3" s="47">
        <f ca="1">VLOOKUP($F33,OFFSET(enemy_skill_triggers!$A$1,0,0,COUNTA(enemy_skill_triggers!$A:$A),MATCH(L$1,enemy_skill_triggers!$1:$1,0)-MATCH($F$1,enemy_skill_triggers!$1:$1,0)+1),MATCH(L$1,enemy_skill_triggers!$1:$1,0)-MATCH($F$1,enemy_skill_triggers!$1:$1,0)+1,FALSE)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3" s="47">
        <f ca="1">VLOOKUP($F33,OFFSET(enemy_skill_triggers!$A$1,0,0,COUNTA(enemy_skill_triggers!$A:$A),MATCH(M$1,enemy_skill_triggers!$1:$1,0)-MATCH($F$1,enemy_skill_triggers!$1:$1,0)+1),MATCH(M$1,enemy_skill_triggers!$1:$1,0)-MATCH($F$1,enemy_skill_triggers!$1:$1,0)+1,FALSE)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33" s="47" t="str">
        <f ca="1">VLOOKUP($F33,OFFSET(enemy_skill_triggers!$A$1,0,0,COUNTA(enemy_skill_triggers!$A:$A),MATCH(N$1,enemy_skill_triggers!$1:$1,0)-MATCH($F$1,enemy_skill_triggers!$1:$1,0)+1),MATCH(N$1,enemy_skill_triggers!$1:$1,0)-MATCH($F$1,enemy_skill_triggers!$1:$1,0)+1,FALSE)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3" s="47">
        <f ca="1">VLOOKUP($F33,OFFSET(enemy_skill_triggers!$A$1,0,0,COUNTA(enemy_skill_triggers!$A:$A),MATCH(O$1,enemy_skill_triggers!$1:$1,0)-MATCH($F$1,enemy_skill_triggers!$1:$1,0)+1),MATCH(O$1,enemy_skill_triggers!$1:$1,0)-MATCH($F$1,enemy_skill_triggers!$1:$1,0)+1,FALSE)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3" s="46"/>
      <c r="Q33" s="46"/>
      <c r="R33" s="46"/>
    </row>
    <row r="34" spans="1:18" ht="21" customHeight="1" x14ac:dyDescent="0.15">
      <c r="A34" s="38" t="str">
        <f t="shared" si="6"/>
        <v>39012510_39012553</v>
      </c>
      <c r="B34" s="106">
        <v>39012510</v>
      </c>
      <c r="C34" s="106">
        <v>39012553</v>
      </c>
      <c r="D34" s="45" t="str">
        <f ca="1">VLOOKUP($C34,OFFSET(enemy_skills!$A$1,0,0,COUNTA(enemy_skills!$A:$A),MATCH(D$1,enemy_skills!$1:$1,0)-MATCH("enemy_skill_id",enemy_skills!$1:$1,0)+1),MATCH(D$1,enemy_skills!$1:$1,0)-MATCH("enemy_skill_id",enemy_skills!$1:$1,0)+1,FALSE)</f>
        <v>レッド・チャーム</v>
      </c>
      <c r="E34" s="45" t="str">
        <f ca="1">VLOOKUP($C34,OFFSET(enemy_skills!$A$1,0,0,COUNTA(enemy_skills!$A:$A),MATCH(E$1,enemy_skills!$1:$1,0)-MATCH("enemy_skill_id",enemy_skills!$1:$1,0)+1),MATCH(E$1,enemy_skills!$1:$1,0)-MATCH("enemy_skill_id",enemy_skills!$1:$1,0)+1,FALSE)</f>
        <v>赤パネルプロテクト(最大3個)+単体攻撃</v>
      </c>
      <c r="F34" s="106">
        <v>39012552</v>
      </c>
      <c r="G34" s="47">
        <f ca="1">VLOOKUP($F34,OFFSET(enemy_skill_triggers!$A$1,0,0,COUNTA(enemy_skill_triggers!$A:$A),MATCH(G$1,enemy_skill_triggers!$1:$1,0)-MATCH($F$1,enemy_skill_triggers!$1:$1,0)+1),MATCH(G$1,enemy_skill_triggers!$1:$1,0)-MATCH($F$1,enemy_skill_triggers!$1:$1,0)+1,FALSE)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4" s="47">
        <f ca="1">VLOOKUP($F34,OFFSET(enemy_skill_triggers!$A$1,0,0,COUNTA(enemy_skill_triggers!$A:$A),MATCH(H$1,enemy_skill_triggers!$1:$1,0)-MATCH($F$1,enemy_skill_triggers!$1:$1,0)+1),MATCH(H$1,enemy_skill_triggers!$1:$1,0)-MATCH($F$1,enemy_skill_triggers!$1:$1,0)+1,FALSE)</f>
        <v>450</v>
      </c>
      <c r="I34" s="47">
        <f ca="1">VLOOKUP($F34,OFFSET(enemy_skill_triggers!$A$1,0,0,COUNTA(enemy_skill_triggers!$A:$A),MATCH(I$1,enemy_skill_triggers!$1:$1,0)-MATCH($F$1,enemy_skill_triggers!$1:$1,0)+1),MATCH(I$1,enemy_skill_triggers!$1:$1,0)-MATCH($F$1,enemy_skill_triggers!$1:$1,0)+1,FALSE)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4" s="47" t="str">
        <f ca="1">VLOOKUP($F34,OFFSET(enemy_skill_triggers!$A$1,0,0,COUNTA(enemy_skill_triggers!$A:$A),MATCH(J$1,enemy_skill_triggers!$1:$1,0)-MATCH($F$1,enemy_skill_triggers!$1:$1,0)+1),MATCH(J$1,enemy_skill_triggers!$1:$1,0)-MATCH($F$1,enemy_skill_triggers!$1:$1,0)+1,FALSE)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4" s="47" t="str">
        <f ca="1">VLOOKUP($F34,OFFSET(enemy_skill_triggers!$A$1,0,0,COUNTA(enemy_skill_triggers!$A:$A),MATCH(K$1,enemy_skill_triggers!$1:$1,0)-MATCH($F$1,enemy_skill_triggers!$1:$1,0)+1),MATCH(K$1,enemy_skill_triggers!$1:$1,0)-MATCH($F$1,enemy_skill_triggers!$1:$1,0)+1,FALSE)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4" s="47">
        <f ca="1">VLOOKUP($F34,OFFSET(enemy_skill_triggers!$A$1,0,0,COUNTA(enemy_skill_triggers!$A:$A),MATCH(L$1,enemy_skill_triggers!$1:$1,0)-MATCH($F$1,enemy_skill_triggers!$1:$1,0)+1),MATCH(L$1,enemy_skill_triggers!$1:$1,0)-MATCH($F$1,enemy_skill_triggers!$1:$1,0)+1,FALSE)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4" s="47">
        <f ca="1">VLOOKUP($F34,OFFSET(enemy_skill_triggers!$A$1,0,0,COUNTA(enemy_skill_triggers!$A:$A),MATCH(M$1,enemy_skill_triggers!$1:$1,0)-MATCH($F$1,enemy_skill_triggers!$1:$1,0)+1),MATCH(M$1,enemy_skill_triggers!$1:$1,0)-MATCH($F$1,enemy_skill_triggers!$1:$1,0)+1,FALSE)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34" s="47" t="str">
        <f ca="1">VLOOKUP($F34,OFFSET(enemy_skill_triggers!$A$1,0,0,COUNTA(enemy_skill_triggers!$A:$A),MATCH(N$1,enemy_skill_triggers!$1:$1,0)-MATCH($F$1,enemy_skill_triggers!$1:$1,0)+1),MATCH(N$1,enemy_skill_triggers!$1:$1,0)-MATCH($F$1,enemy_skill_triggers!$1:$1,0)+1,FALSE)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4" s="47">
        <f ca="1">VLOOKUP($F34,OFFSET(enemy_skill_triggers!$A$1,0,0,COUNTA(enemy_skill_triggers!$A:$A),MATCH(O$1,enemy_skill_triggers!$1:$1,0)-MATCH($F$1,enemy_skill_triggers!$1:$1,0)+1),MATCH(O$1,enemy_skill_triggers!$1:$1,0)-MATCH($F$1,enemy_skill_triggers!$1:$1,0)+1,FALSE)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4" s="46"/>
      <c r="Q34" s="46"/>
      <c r="R34" s="46"/>
    </row>
    <row r="35" spans="1:18" ht="21" customHeight="1" x14ac:dyDescent="0.15">
      <c r="A35" s="38" t="str">
        <f t="shared" ref="A35:A43" si="7">B35&amp;"_"&amp;C35</f>
        <v>39012510_39012554</v>
      </c>
      <c r="B35" s="106">
        <v>39012510</v>
      </c>
      <c r="C35" s="106">
        <v>39012554</v>
      </c>
      <c r="D35" s="45" t="str">
        <f ca="1">VLOOKUP($C35,OFFSET(enemy_skills!$A$1,0,0,COUNTA(enemy_skills!$A:$A),MATCH(D$1,enemy_skills!$1:$1,0)-MATCH("enemy_skill_id",enemy_skills!$1:$1,0)+1),MATCH(D$1,enemy_skills!$1:$1,0)-MATCH("enemy_skill_id",enemy_skills!$1:$1,0)+1,FALSE)</f>
        <v>ブルー・チャーム</v>
      </c>
      <c r="E35" s="45" t="str">
        <f ca="1">VLOOKUP($C35,OFFSET(enemy_skills!$A$1,0,0,COUNTA(enemy_skills!$A:$A),MATCH(E$1,enemy_skills!$1:$1,0)-MATCH("enemy_skill_id",enemy_skills!$1:$1,0)+1),MATCH(E$1,enemy_skills!$1:$1,0)-MATCH("enemy_skill_id",enemy_skills!$1:$1,0)+1,FALSE)</f>
        <v>青パネルプロテクト(最大3個)+単体攻撃</v>
      </c>
      <c r="F35" s="106">
        <v>39012553</v>
      </c>
      <c r="G35" s="47">
        <f ca="1">VLOOKUP($F35,OFFSET(enemy_skill_triggers!$A$1,0,0,COUNTA(enemy_skill_triggers!$A:$A),MATCH(G$1,enemy_skill_triggers!$1:$1,0)-MATCH($F$1,enemy_skill_triggers!$1:$1,0)+1),MATCH(G$1,enemy_skill_triggers!$1:$1,0)-MATCH($F$1,enemy_skill_triggers!$1:$1,0)+1,FALSE)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5" s="47">
        <f ca="1">VLOOKUP($F35,OFFSET(enemy_skill_triggers!$A$1,0,0,COUNTA(enemy_skill_triggers!$A:$A),MATCH(H$1,enemy_skill_triggers!$1:$1,0)-MATCH($F$1,enemy_skill_triggers!$1:$1,0)+1),MATCH(H$1,enemy_skill_triggers!$1:$1,0)-MATCH($F$1,enemy_skill_triggers!$1:$1,0)+1,FALSE)</f>
        <v>460</v>
      </c>
      <c r="I35" s="47">
        <f ca="1">VLOOKUP($F35,OFFSET(enemy_skill_triggers!$A$1,0,0,COUNTA(enemy_skill_triggers!$A:$A),MATCH(I$1,enemy_skill_triggers!$1:$1,0)-MATCH($F$1,enemy_skill_triggers!$1:$1,0)+1),MATCH(I$1,enemy_skill_triggers!$1:$1,0)-MATCH($F$1,enemy_skill_triggers!$1:$1,0)+1,FALSE)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5" s="47" t="str">
        <f ca="1">VLOOKUP($F35,OFFSET(enemy_skill_triggers!$A$1,0,0,COUNTA(enemy_skill_triggers!$A:$A),MATCH(J$1,enemy_skill_triggers!$1:$1,0)-MATCH($F$1,enemy_skill_triggers!$1:$1,0)+1),MATCH(J$1,enemy_skill_triggers!$1:$1,0)-MATCH($F$1,enemy_skill_triggers!$1:$1,0)+1,FALSE)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5" s="47" t="str">
        <f ca="1">VLOOKUP($F35,OFFSET(enemy_skill_triggers!$A$1,0,0,COUNTA(enemy_skill_triggers!$A:$A),MATCH(K$1,enemy_skill_triggers!$1:$1,0)-MATCH($F$1,enemy_skill_triggers!$1:$1,0)+1),MATCH(K$1,enemy_skill_triggers!$1:$1,0)-MATCH($F$1,enemy_skill_triggers!$1:$1,0)+1,FALSE)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5" s="47">
        <f ca="1">VLOOKUP($F35,OFFSET(enemy_skill_triggers!$A$1,0,0,COUNTA(enemy_skill_triggers!$A:$A),MATCH(L$1,enemy_skill_triggers!$1:$1,0)-MATCH($F$1,enemy_skill_triggers!$1:$1,0)+1),MATCH(L$1,enemy_skill_triggers!$1:$1,0)-MATCH($F$1,enemy_skill_triggers!$1:$1,0)+1,FALSE)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5" s="47">
        <f ca="1">VLOOKUP($F35,OFFSET(enemy_skill_triggers!$A$1,0,0,COUNTA(enemy_skill_triggers!$A:$A),MATCH(M$1,enemy_skill_triggers!$1:$1,0)-MATCH($F$1,enemy_skill_triggers!$1:$1,0)+1),MATCH(M$1,enemy_skill_triggers!$1:$1,0)-MATCH($F$1,enemy_skill_triggers!$1:$1,0)+1,FALSE)</f>
        <v>3</v>
      </c>
      <c r="N35" s="47" t="str">
        <f ca="1">VLOOKUP($F35,OFFSET(enemy_skill_triggers!$A$1,0,0,COUNTA(enemy_skill_triggers!$A:$A),MATCH(N$1,enemy_skill_triggers!$1:$1,0)-MATCH($F$1,enemy_skill_triggers!$1:$1,0)+1),MATCH(N$1,enemy_skill_triggers!$1:$1,0)-MATCH($F$1,enemy_skill_triggers!$1:$1,0)+1,FALSE)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5" s="47">
        <f ca="1">VLOOKUP($F35,OFFSET(enemy_skill_triggers!$A$1,0,0,COUNTA(enemy_skill_triggers!$A:$A),MATCH(O$1,enemy_skill_triggers!$1:$1,0)-MATCH($F$1,enemy_skill_triggers!$1:$1,0)+1),MATCH(O$1,enemy_skill_triggers!$1:$1,0)-MATCH($F$1,enemy_skill_triggers!$1:$1,0)+1,FALSE)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5" s="46"/>
      <c r="Q35" s="46"/>
      <c r="R35" s="46"/>
    </row>
    <row r="36" spans="1:18" ht="21" customHeight="1" x14ac:dyDescent="0.15">
      <c r="A36" s="38" t="str">
        <f t="shared" si="7"/>
        <v>39012510_39012552</v>
      </c>
      <c r="B36" s="106">
        <v>39012510</v>
      </c>
      <c r="C36" s="106">
        <v>39012552</v>
      </c>
      <c r="D36" s="45" t="str">
        <f ca="1">VLOOKUP($C36,OFFSET(enemy_skills!$A$1,0,0,COUNTA(enemy_skills!$A:$A),MATCH(D$1,enemy_skills!$1:$1,0)-MATCH("enemy_skill_id",enemy_skills!$1:$1,0)+1),MATCH(D$1,enemy_skills!$1:$1,0)-MATCH("enemy_skill_id",enemy_skills!$1:$1,0)+1,FALSE)</f>
        <v>ギガスニャッシュ</v>
      </c>
      <c r="E36" s="45" t="str">
        <f ca="1">VLOOKUP($C36,OFFSET(enemy_skills!$A$1,0,0,COUNTA(enemy_skills!$A:$A),MATCH(E$1,enemy_skills!$1:$1,0)-MATCH("enemy_skill_id",enemy_skills!$1:$1,0)+1),MATCH(E$1,enemy_skills!$1:$1,0)-MATCH("enemy_skill_id",enemy_skills!$1:$1,0)+1,FALSE)</f>
        <v>全体攻撃</v>
      </c>
      <c r="F36" s="106">
        <v>39012554</v>
      </c>
      <c r="G36" s="47">
        <f ca="1">VLOOKUP($F36,OFFSET(enemy_skill_triggers!$A$1,0,0,COUNTA(enemy_skill_triggers!$A:$A),MATCH(G$1,enemy_skill_triggers!$1:$1,0)-MATCH($F$1,enemy_skill_triggers!$1:$1,0)+1),MATCH(G$1,enemy_skill_triggers!$1:$1,0)-MATCH($F$1,enemy_skill_triggers!$1:$1,0)+1,FALSE)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6" s="47">
        <f ca="1">VLOOKUP($F36,OFFSET(enemy_skill_triggers!$A$1,0,0,COUNTA(enemy_skill_triggers!$A:$A),MATCH(H$1,enemy_skill_triggers!$1:$1,0)-MATCH($F$1,enemy_skill_triggers!$1:$1,0)+1),MATCH(H$1,enemy_skill_triggers!$1:$1,0)-MATCH($F$1,enemy_skill_triggers!$1:$1,0)+1,FALSE)</f>
        <v>470</v>
      </c>
      <c r="I36" s="47">
        <f ca="1">VLOOKUP($F36,OFFSET(enemy_skill_triggers!$A$1,0,0,COUNTA(enemy_skill_triggers!$A:$A),MATCH(I$1,enemy_skill_triggers!$1:$1,0)-MATCH($F$1,enemy_skill_triggers!$1:$1,0)+1),MATCH(I$1,enemy_skill_triggers!$1:$1,0)-MATCH($F$1,enemy_skill_triggers!$1:$1,0)+1,FALSE)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6" s="47" t="str">
        <f ca="1">VLOOKUP($F36,OFFSET(enemy_skill_triggers!$A$1,0,0,COUNTA(enemy_skill_triggers!$A:$A),MATCH(J$1,enemy_skill_triggers!$1:$1,0)-MATCH($F$1,enemy_skill_triggers!$1:$1,0)+1),MATCH(J$1,enemy_skill_triggers!$1:$1,0)-MATCH($F$1,enemy_skill_triggers!$1:$1,0)+1,FALSE)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6" s="47" t="str">
        <f ca="1">VLOOKUP($F36,OFFSET(enemy_skill_triggers!$A$1,0,0,COUNTA(enemy_skill_triggers!$A:$A),MATCH(K$1,enemy_skill_triggers!$1:$1,0)-MATCH($F$1,enemy_skill_triggers!$1:$1,0)+1),MATCH(K$1,enemy_skill_triggers!$1:$1,0)-MATCH($F$1,enemy_skill_triggers!$1:$1,0)+1,FALSE)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6" s="47">
        <f ca="1">VLOOKUP($F36,OFFSET(enemy_skill_triggers!$A$1,0,0,COUNTA(enemy_skill_triggers!$A:$A),MATCH(L$1,enemy_skill_triggers!$1:$1,0)-MATCH($F$1,enemy_skill_triggers!$1:$1,0)+1),MATCH(L$1,enemy_skill_triggers!$1:$1,0)-MATCH($F$1,enemy_skill_triggers!$1:$1,0)+1,FALSE)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6" s="47">
        <f ca="1">VLOOKUP($F36,OFFSET(enemy_skill_triggers!$A$1,0,0,COUNTA(enemy_skill_triggers!$A:$A),MATCH(M$1,enemy_skill_triggers!$1:$1,0)-MATCH($F$1,enemy_skill_triggers!$1:$1,0)+1),MATCH(M$1,enemy_skill_triggers!$1:$1,0)-MATCH($F$1,enemy_skill_triggers!$1:$1,0)+1,FALSE)</f>
        <v>4</v>
      </c>
      <c r="N36" s="47" t="str">
        <f ca="1">VLOOKUP($F36,OFFSET(enemy_skill_triggers!$A$1,0,0,COUNTA(enemy_skill_triggers!$A:$A),MATCH(N$1,enemy_skill_triggers!$1:$1,0)-MATCH($F$1,enemy_skill_triggers!$1:$1,0)+1),MATCH(N$1,enemy_skill_triggers!$1:$1,0)-MATCH($F$1,enemy_skill_triggers!$1:$1,0)+1,FALSE)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6" s="47">
        <f ca="1">VLOOKUP($F36,OFFSET(enemy_skill_triggers!$A$1,0,0,COUNTA(enemy_skill_triggers!$A:$A),MATCH(O$1,enemy_skill_triggers!$1:$1,0)-MATCH($F$1,enemy_skill_triggers!$1:$1,0)+1),MATCH(O$1,enemy_skill_triggers!$1:$1,0)-MATCH($F$1,enemy_skill_triggers!$1:$1,0)+1,FALSE)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6" s="46"/>
      <c r="Q36" s="46"/>
      <c r="R36" s="46"/>
    </row>
    <row r="37" spans="1:18" ht="21" customHeight="1" x14ac:dyDescent="0.15">
      <c r="A37" s="38" t="str">
        <f t="shared" si="7"/>
        <v>39012510_39012553</v>
      </c>
      <c r="B37" s="106">
        <v>39012510</v>
      </c>
      <c r="C37" s="106">
        <v>39012553</v>
      </c>
      <c r="D37" s="45" t="str">
        <f ca="1">VLOOKUP($C37,OFFSET(enemy_skills!$A$1,0,0,COUNTA(enemy_skills!$A:$A),MATCH(D$1,enemy_skills!$1:$1,0)-MATCH("enemy_skill_id",enemy_skills!$1:$1,0)+1),MATCH(D$1,enemy_skills!$1:$1,0)-MATCH("enemy_skill_id",enemy_skills!$1:$1,0)+1,FALSE)</f>
        <v>レッド・チャーム</v>
      </c>
      <c r="E37" s="45" t="str">
        <f ca="1">VLOOKUP($C37,OFFSET(enemy_skills!$A$1,0,0,COUNTA(enemy_skills!$A:$A),MATCH(E$1,enemy_skills!$1:$1,0)-MATCH("enemy_skill_id",enemy_skills!$1:$1,0)+1),MATCH(E$1,enemy_skills!$1:$1,0)-MATCH("enemy_skill_id",enemy_skills!$1:$1,0)+1,FALSE)</f>
        <v>赤パネルプロテクト(最大3個)+単体攻撃</v>
      </c>
      <c r="F37" s="106">
        <v>39012555</v>
      </c>
      <c r="G37" s="47">
        <f ca="1">VLOOKUP($F37,OFFSET(enemy_skill_triggers!$A$1,0,0,COUNTA(enemy_skill_triggers!$A:$A),MATCH(G$1,enemy_skill_triggers!$1:$1,0)-MATCH($F$1,enemy_skill_triggers!$1:$1,0)+1),MATCH(G$1,enemy_skill_triggers!$1:$1,0)-MATCH($F$1,enemy_skill_triggers!$1:$1,0)+1,FALSE)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7" s="47">
        <f ca="1">VLOOKUP($F37,OFFSET(enemy_skill_triggers!$A$1,0,0,COUNTA(enemy_skill_triggers!$A:$A),MATCH(H$1,enemy_skill_triggers!$1:$1,0)-MATCH($F$1,enemy_skill_triggers!$1:$1,0)+1),MATCH(H$1,enemy_skill_triggers!$1:$1,0)-MATCH($F$1,enemy_skill_triggers!$1:$1,0)+1,FALSE)</f>
        <v>480</v>
      </c>
      <c r="I37" s="47">
        <f ca="1">VLOOKUP($F37,OFFSET(enemy_skill_triggers!$A$1,0,0,COUNTA(enemy_skill_triggers!$A:$A),MATCH(I$1,enemy_skill_triggers!$1:$1,0)-MATCH($F$1,enemy_skill_triggers!$1:$1,0)+1),MATCH(I$1,enemy_skill_triggers!$1:$1,0)-MATCH($F$1,enemy_skill_triggers!$1:$1,0)+1,FALSE)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7" s="47" t="str">
        <f ca="1">VLOOKUP($F37,OFFSET(enemy_skill_triggers!$A$1,0,0,COUNTA(enemy_skill_triggers!$A:$A),MATCH(J$1,enemy_skill_triggers!$1:$1,0)-MATCH($F$1,enemy_skill_triggers!$1:$1,0)+1),MATCH(J$1,enemy_skill_triggers!$1:$1,0)-MATCH($F$1,enemy_skill_triggers!$1:$1,0)+1,FALSE)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7" s="47" t="str">
        <f ca="1">VLOOKUP($F37,OFFSET(enemy_skill_triggers!$A$1,0,0,COUNTA(enemy_skill_triggers!$A:$A),MATCH(K$1,enemy_skill_triggers!$1:$1,0)-MATCH($F$1,enemy_skill_triggers!$1:$1,0)+1),MATCH(K$1,enemy_skill_triggers!$1:$1,0)-MATCH($F$1,enemy_skill_triggers!$1:$1,0)+1,FALSE)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7" s="47">
        <f ca="1">VLOOKUP($F37,OFFSET(enemy_skill_triggers!$A$1,0,0,COUNTA(enemy_skill_triggers!$A:$A),MATCH(L$1,enemy_skill_triggers!$1:$1,0)-MATCH($F$1,enemy_skill_triggers!$1:$1,0)+1),MATCH(L$1,enemy_skill_triggers!$1:$1,0)-MATCH($F$1,enemy_skill_triggers!$1:$1,0)+1,FALSE)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7" s="47">
        <f ca="1">VLOOKUP($F37,OFFSET(enemy_skill_triggers!$A$1,0,0,COUNTA(enemy_skill_triggers!$A:$A),MATCH(M$1,enemy_skill_triggers!$1:$1,0)-MATCH($F$1,enemy_skill_triggers!$1:$1,0)+1),MATCH(M$1,enemy_skill_triggers!$1:$1,0)-MATCH($F$1,enemy_skill_triggers!$1:$1,0)+1,FALSE)</f>
        <v>5</v>
      </c>
      <c r="N37" s="47" t="str">
        <f ca="1">VLOOKUP($F37,OFFSET(enemy_skill_triggers!$A$1,0,0,COUNTA(enemy_skill_triggers!$A:$A),MATCH(N$1,enemy_skill_triggers!$1:$1,0)-MATCH($F$1,enemy_skill_triggers!$1:$1,0)+1),MATCH(N$1,enemy_skill_triggers!$1:$1,0)-MATCH($F$1,enemy_skill_triggers!$1:$1,0)+1,FALSE)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7" s="47">
        <f ca="1">VLOOKUP($F37,OFFSET(enemy_skill_triggers!$A$1,0,0,COUNTA(enemy_skill_triggers!$A:$A),MATCH(O$1,enemy_skill_triggers!$1:$1,0)-MATCH($F$1,enemy_skill_triggers!$1:$1,0)+1),MATCH(O$1,enemy_skill_triggers!$1:$1,0)-MATCH($F$1,enemy_skill_triggers!$1:$1,0)+1,FALSE)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7" s="46"/>
      <c r="Q37" s="46"/>
      <c r="R37" s="46"/>
    </row>
    <row r="38" spans="1:18" ht="21" customHeight="1" x14ac:dyDescent="0.15">
      <c r="A38" s="38" t="str">
        <f t="shared" si="7"/>
        <v>39012510_39012554</v>
      </c>
      <c r="B38" s="106">
        <v>39012510</v>
      </c>
      <c r="C38" s="106">
        <v>39012554</v>
      </c>
      <c r="D38" s="45" t="str">
        <f ca="1">VLOOKUP($C38,OFFSET(enemy_skills!$A$1,0,0,COUNTA(enemy_skills!$A:$A),MATCH(D$1,enemy_skills!$1:$1,0)-MATCH("enemy_skill_id",enemy_skills!$1:$1,0)+1),MATCH(D$1,enemy_skills!$1:$1,0)-MATCH("enemy_skill_id",enemy_skills!$1:$1,0)+1,FALSE)</f>
        <v>ブルー・チャーム</v>
      </c>
      <c r="E38" s="45" t="str">
        <f ca="1">VLOOKUP($C38,OFFSET(enemy_skills!$A$1,0,0,COUNTA(enemy_skills!$A:$A),MATCH(E$1,enemy_skills!$1:$1,0)-MATCH("enemy_skill_id",enemy_skills!$1:$1,0)+1),MATCH(E$1,enemy_skills!$1:$1,0)-MATCH("enemy_skill_id",enemy_skills!$1:$1,0)+1,FALSE)</f>
        <v>青パネルプロテクト(最大3個)+単体攻撃</v>
      </c>
      <c r="F38" s="106">
        <v>39012556</v>
      </c>
      <c r="G38" s="47">
        <f ca="1">VLOOKUP($F38,OFFSET(enemy_skill_triggers!$A$1,0,0,COUNTA(enemy_skill_triggers!$A:$A),MATCH(G$1,enemy_skill_triggers!$1:$1,0)-MATCH($F$1,enemy_skill_triggers!$1:$1,0)+1),MATCH(G$1,enemy_skill_triggers!$1:$1,0)-MATCH($F$1,enemy_skill_triggers!$1:$1,0)+1,FALSE)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8" s="47">
        <f ca="1">VLOOKUP($F38,OFFSET(enemy_skill_triggers!$A$1,0,0,COUNTA(enemy_skill_triggers!$A:$A),MATCH(H$1,enemy_skill_triggers!$1:$1,0)-MATCH($F$1,enemy_skill_triggers!$1:$1,0)+1),MATCH(H$1,enemy_skill_triggers!$1:$1,0)-MATCH($F$1,enemy_skill_triggers!$1:$1,0)+1,FALSE)</f>
        <v>490</v>
      </c>
      <c r="I38" s="47">
        <f ca="1">VLOOKUP($F38,OFFSET(enemy_skill_triggers!$A$1,0,0,COUNTA(enemy_skill_triggers!$A:$A),MATCH(I$1,enemy_skill_triggers!$1:$1,0)-MATCH($F$1,enemy_skill_triggers!$1:$1,0)+1),MATCH(I$1,enemy_skill_triggers!$1:$1,0)-MATCH($F$1,enemy_skill_triggers!$1:$1,0)+1,FALSE)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8" s="47" t="str">
        <f ca="1">VLOOKUP($F38,OFFSET(enemy_skill_triggers!$A$1,0,0,COUNTA(enemy_skill_triggers!$A:$A),MATCH(J$1,enemy_skill_triggers!$1:$1,0)-MATCH($F$1,enemy_skill_triggers!$1:$1,0)+1),MATCH(J$1,enemy_skill_triggers!$1:$1,0)-MATCH($F$1,enemy_skill_triggers!$1:$1,0)+1,FALSE)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8" s="47" t="str">
        <f ca="1">VLOOKUP($F38,OFFSET(enemy_skill_triggers!$A$1,0,0,COUNTA(enemy_skill_triggers!$A:$A),MATCH(K$1,enemy_skill_triggers!$1:$1,0)-MATCH($F$1,enemy_skill_triggers!$1:$1,0)+1),MATCH(K$1,enemy_skill_triggers!$1:$1,0)-MATCH($F$1,enemy_skill_triggers!$1:$1,0)+1,FALSE)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8" s="47">
        <f ca="1">VLOOKUP($F38,OFFSET(enemy_skill_triggers!$A$1,0,0,COUNTA(enemy_skill_triggers!$A:$A),MATCH(L$1,enemy_skill_triggers!$1:$1,0)-MATCH($F$1,enemy_skill_triggers!$1:$1,0)+1),MATCH(L$1,enemy_skill_triggers!$1:$1,0)-MATCH($F$1,enemy_skill_triggers!$1:$1,0)+1,FALSE)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8" s="47">
        <f ca="1">VLOOKUP($F38,OFFSET(enemy_skill_triggers!$A$1,0,0,COUNTA(enemy_skill_triggers!$A:$A),MATCH(M$1,enemy_skill_triggers!$1:$1,0)-MATCH($F$1,enemy_skill_triggers!$1:$1,0)+1),MATCH(M$1,enemy_skill_triggers!$1:$1,0)-MATCH($F$1,enemy_skill_triggers!$1:$1,0)+1,FALSE)</f>
        <v>6</v>
      </c>
      <c r="N38" s="47" t="str">
        <f ca="1">VLOOKUP($F38,OFFSET(enemy_skill_triggers!$A$1,0,0,COUNTA(enemy_skill_triggers!$A:$A),MATCH(N$1,enemy_skill_triggers!$1:$1,0)-MATCH($F$1,enemy_skill_triggers!$1:$1,0)+1),MATCH(N$1,enemy_skill_triggers!$1:$1,0)-MATCH($F$1,enemy_skill_triggers!$1:$1,0)+1,FALSE)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8" s="47">
        <f ca="1">VLOOKUP($F38,OFFSET(enemy_skill_triggers!$A$1,0,0,COUNTA(enemy_skill_triggers!$A:$A),MATCH(O$1,enemy_skill_triggers!$1:$1,0)-MATCH($F$1,enemy_skill_triggers!$1:$1,0)+1),MATCH(O$1,enemy_skill_triggers!$1:$1,0)-MATCH($F$1,enemy_skill_triggers!$1:$1,0)+1,FALSE)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8" s="46"/>
      <c r="Q38" s="46"/>
      <c r="R38" s="46"/>
    </row>
    <row r="39" spans="1:18" ht="21" customHeight="1" x14ac:dyDescent="0.15">
      <c r="A39" s="38" t="str">
        <f t="shared" si="7"/>
        <v>39012510_39012552</v>
      </c>
      <c r="B39" s="106">
        <v>39012510</v>
      </c>
      <c r="C39" s="106">
        <v>39012552</v>
      </c>
      <c r="D39" s="45" t="str">
        <f ca="1">VLOOKUP($C39,OFFSET(enemy_skills!$A$1,0,0,COUNTA(enemy_skills!$A:$A),MATCH(D$1,enemy_skills!$1:$1,0)-MATCH("enemy_skill_id",enemy_skills!$1:$1,0)+1),MATCH(D$1,enemy_skills!$1:$1,0)-MATCH("enemy_skill_id",enemy_skills!$1:$1,0)+1,FALSE)</f>
        <v>ギガスニャッシュ</v>
      </c>
      <c r="E39" s="45" t="str">
        <f ca="1">VLOOKUP($C39,OFFSET(enemy_skills!$A$1,0,0,COUNTA(enemy_skills!$A:$A),MATCH(E$1,enemy_skills!$1:$1,0)-MATCH("enemy_skill_id",enemy_skills!$1:$1,0)+1),MATCH(E$1,enemy_skills!$1:$1,0)-MATCH("enemy_skill_id",enemy_skills!$1:$1,0)+1,FALSE)</f>
        <v>全体攻撃</v>
      </c>
      <c r="F39" s="106">
        <v>39012557</v>
      </c>
      <c r="G39" s="47">
        <f ca="1">VLOOKUP($F39,OFFSET(enemy_skill_triggers!$A$1,0,0,COUNTA(enemy_skill_triggers!$A:$A),MATCH(G$1,enemy_skill_triggers!$1:$1,0)-MATCH($F$1,enemy_skill_triggers!$1:$1,0)+1),MATCH(G$1,enemy_skill_triggers!$1:$1,0)-MATCH($F$1,enemy_skill_triggers!$1:$1,0)+1,FALSE)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9" s="47">
        <f ca="1">VLOOKUP($F39,OFFSET(enemy_skill_triggers!$A$1,0,0,COUNTA(enemy_skill_triggers!$A:$A),MATCH(H$1,enemy_skill_triggers!$1:$1,0)-MATCH($F$1,enemy_skill_triggers!$1:$1,0)+1),MATCH(H$1,enemy_skill_triggers!$1:$1,0)-MATCH($F$1,enemy_skill_triggers!$1:$1,0)+1,FALSE)</f>
        <v>500</v>
      </c>
      <c r="I39" s="47">
        <f ca="1">VLOOKUP($F39,OFFSET(enemy_skill_triggers!$A$1,0,0,COUNTA(enemy_skill_triggers!$A:$A),MATCH(I$1,enemy_skill_triggers!$1:$1,0)-MATCH($F$1,enemy_skill_triggers!$1:$1,0)+1),MATCH(I$1,enemy_skill_triggers!$1:$1,0)-MATCH($F$1,enemy_skill_triggers!$1:$1,0)+1,FALSE)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9" s="47" t="str">
        <f ca="1">VLOOKUP($F39,OFFSET(enemy_skill_triggers!$A$1,0,0,COUNTA(enemy_skill_triggers!$A:$A),MATCH(J$1,enemy_skill_triggers!$1:$1,0)-MATCH($F$1,enemy_skill_triggers!$1:$1,0)+1),MATCH(J$1,enemy_skill_triggers!$1:$1,0)-MATCH($F$1,enemy_skill_triggers!$1:$1,0)+1,FALSE)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9" s="47" t="str">
        <f ca="1">VLOOKUP($F39,OFFSET(enemy_skill_triggers!$A$1,0,0,COUNTA(enemy_skill_triggers!$A:$A),MATCH(K$1,enemy_skill_triggers!$1:$1,0)-MATCH($F$1,enemy_skill_triggers!$1:$1,0)+1),MATCH(K$1,enemy_skill_triggers!$1:$1,0)-MATCH($F$1,enemy_skill_triggers!$1:$1,0)+1,FALSE)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9" s="47">
        <f ca="1">VLOOKUP($F39,OFFSET(enemy_skill_triggers!$A$1,0,0,COUNTA(enemy_skill_triggers!$A:$A),MATCH(L$1,enemy_skill_triggers!$1:$1,0)-MATCH($F$1,enemy_skill_triggers!$1:$1,0)+1),MATCH(L$1,enemy_skill_triggers!$1:$1,0)-MATCH($F$1,enemy_skill_triggers!$1:$1,0)+1,FALSE)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9" s="47">
        <f ca="1">VLOOKUP($F39,OFFSET(enemy_skill_triggers!$A$1,0,0,COUNTA(enemy_skill_triggers!$A:$A),MATCH(M$1,enemy_skill_triggers!$1:$1,0)-MATCH($F$1,enemy_skill_triggers!$1:$1,0)+1),MATCH(M$1,enemy_skill_triggers!$1:$1,0)-MATCH($F$1,enemy_skill_triggers!$1:$1,0)+1,FALSE)</f>
        <v>7</v>
      </c>
      <c r="N39" s="47" t="str">
        <f ca="1">VLOOKUP($F39,OFFSET(enemy_skill_triggers!$A$1,0,0,COUNTA(enemy_skill_triggers!$A:$A),MATCH(N$1,enemy_skill_triggers!$1:$1,0)-MATCH($F$1,enemy_skill_triggers!$1:$1,0)+1),MATCH(N$1,enemy_skill_triggers!$1:$1,0)-MATCH($F$1,enemy_skill_triggers!$1:$1,0)+1,FALSE)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9" s="47">
        <f ca="1">VLOOKUP($F39,OFFSET(enemy_skill_triggers!$A$1,0,0,COUNTA(enemy_skill_triggers!$A:$A),MATCH(O$1,enemy_skill_triggers!$1:$1,0)-MATCH($F$1,enemy_skill_triggers!$1:$1,0)+1),MATCH(O$1,enemy_skill_triggers!$1:$1,0)-MATCH($F$1,enemy_skill_triggers!$1:$1,0)+1,FALSE)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9" s="46"/>
      <c r="Q39" s="46"/>
      <c r="R39" s="46"/>
    </row>
    <row r="40" spans="1:18" ht="21" customHeight="1" x14ac:dyDescent="0.15">
      <c r="A40" s="38" t="str">
        <f t="shared" si="7"/>
        <v>39012510_39012553</v>
      </c>
      <c r="B40" s="106">
        <v>39012510</v>
      </c>
      <c r="C40" s="106">
        <v>39012553</v>
      </c>
      <c r="D40" s="45" t="str">
        <f ca="1">VLOOKUP($C40,OFFSET(enemy_skills!$A$1,0,0,COUNTA(enemy_skills!$A:$A),MATCH(D$1,enemy_skills!$1:$1,0)-MATCH("enemy_skill_id",enemy_skills!$1:$1,0)+1),MATCH(D$1,enemy_skills!$1:$1,0)-MATCH("enemy_skill_id",enemy_skills!$1:$1,0)+1,FALSE)</f>
        <v>レッド・チャーム</v>
      </c>
      <c r="E40" s="45" t="str">
        <f ca="1">VLOOKUP($C40,OFFSET(enemy_skills!$A$1,0,0,COUNTA(enemy_skills!$A:$A),MATCH(E$1,enemy_skills!$1:$1,0)-MATCH("enemy_skill_id",enemy_skills!$1:$1,0)+1),MATCH(E$1,enemy_skills!$1:$1,0)-MATCH("enemy_skill_id",enemy_skills!$1:$1,0)+1,FALSE)</f>
        <v>赤パネルプロテクト(最大3個)+単体攻撃</v>
      </c>
      <c r="F40" s="106">
        <v>39012558</v>
      </c>
      <c r="G40" s="47">
        <f ca="1">VLOOKUP($F40,OFFSET(enemy_skill_triggers!$A$1,0,0,COUNTA(enemy_skill_triggers!$A:$A),MATCH(G$1,enemy_skill_triggers!$1:$1,0)-MATCH($F$1,enemy_skill_triggers!$1:$1,0)+1),MATCH(G$1,enemy_skill_triggers!$1:$1,0)-MATCH($F$1,enemy_skill_triggers!$1:$1,0)+1,FALSE)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0" s="47">
        <f ca="1">VLOOKUP($F40,OFFSET(enemy_skill_triggers!$A$1,0,0,COUNTA(enemy_skill_triggers!$A:$A),MATCH(H$1,enemy_skill_triggers!$1:$1,0)-MATCH($F$1,enemy_skill_triggers!$1:$1,0)+1),MATCH(H$1,enemy_skill_triggers!$1:$1,0)-MATCH($F$1,enemy_skill_triggers!$1:$1,0)+1,FALSE)</f>
        <v>510</v>
      </c>
      <c r="I40" s="47">
        <f ca="1">VLOOKUP($F40,OFFSET(enemy_skill_triggers!$A$1,0,0,COUNTA(enemy_skill_triggers!$A:$A),MATCH(I$1,enemy_skill_triggers!$1:$1,0)-MATCH($F$1,enemy_skill_triggers!$1:$1,0)+1),MATCH(I$1,enemy_skill_triggers!$1:$1,0)-MATCH($F$1,enemy_skill_triggers!$1:$1,0)+1,FALSE)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0" s="47" t="str">
        <f ca="1">VLOOKUP($F40,OFFSET(enemy_skill_triggers!$A$1,0,0,COUNTA(enemy_skill_triggers!$A:$A),MATCH(J$1,enemy_skill_triggers!$1:$1,0)-MATCH($F$1,enemy_skill_triggers!$1:$1,0)+1),MATCH(J$1,enemy_skill_triggers!$1:$1,0)-MATCH($F$1,enemy_skill_triggers!$1:$1,0)+1,FALSE)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0" s="47" t="str">
        <f ca="1">VLOOKUP($F40,OFFSET(enemy_skill_triggers!$A$1,0,0,COUNTA(enemy_skill_triggers!$A:$A),MATCH(K$1,enemy_skill_triggers!$1:$1,0)-MATCH($F$1,enemy_skill_triggers!$1:$1,0)+1),MATCH(K$1,enemy_skill_triggers!$1:$1,0)-MATCH($F$1,enemy_skill_triggers!$1:$1,0)+1,FALSE)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0" s="47">
        <f ca="1">VLOOKUP($F40,OFFSET(enemy_skill_triggers!$A$1,0,0,COUNTA(enemy_skill_triggers!$A:$A),MATCH(L$1,enemy_skill_triggers!$1:$1,0)-MATCH($F$1,enemy_skill_triggers!$1:$1,0)+1),MATCH(L$1,enemy_skill_triggers!$1:$1,0)-MATCH($F$1,enemy_skill_triggers!$1:$1,0)+1,FALSE)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0" s="47">
        <f ca="1">VLOOKUP($F40,OFFSET(enemy_skill_triggers!$A$1,0,0,COUNTA(enemy_skill_triggers!$A:$A),MATCH(M$1,enemy_skill_triggers!$1:$1,0)-MATCH($F$1,enemy_skill_triggers!$1:$1,0)+1),MATCH(M$1,enemy_skill_triggers!$1:$1,0)-MATCH($F$1,enemy_skill_triggers!$1:$1,0)+1,FALSE)</f>
        <v>8</v>
      </c>
      <c r="N40" s="47" t="str">
        <f ca="1">VLOOKUP($F40,OFFSET(enemy_skill_triggers!$A$1,0,0,COUNTA(enemy_skill_triggers!$A:$A),MATCH(N$1,enemy_skill_triggers!$1:$1,0)-MATCH($F$1,enemy_skill_triggers!$1:$1,0)+1),MATCH(N$1,enemy_skill_triggers!$1:$1,0)-MATCH($F$1,enemy_skill_triggers!$1:$1,0)+1,FALSE)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0" s="47">
        <f ca="1">VLOOKUP($F40,OFFSET(enemy_skill_triggers!$A$1,0,0,COUNTA(enemy_skill_triggers!$A:$A),MATCH(O$1,enemy_skill_triggers!$1:$1,0)-MATCH($F$1,enemy_skill_triggers!$1:$1,0)+1),MATCH(O$1,enemy_skill_triggers!$1:$1,0)-MATCH($F$1,enemy_skill_triggers!$1:$1,0)+1,FALSE)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0" s="46"/>
      <c r="Q40" s="46"/>
      <c r="R40" s="46"/>
    </row>
    <row r="41" spans="1:18" ht="21" customHeight="1" x14ac:dyDescent="0.15">
      <c r="A41" s="38" t="str">
        <f t="shared" si="7"/>
        <v>39012510_39012554</v>
      </c>
      <c r="B41" s="106">
        <v>39012510</v>
      </c>
      <c r="C41" s="106">
        <v>39012554</v>
      </c>
      <c r="D41" s="45" t="str">
        <f ca="1">VLOOKUP($C41,OFFSET(enemy_skills!$A$1,0,0,COUNTA(enemy_skills!$A:$A),MATCH(D$1,enemy_skills!$1:$1,0)-MATCH("enemy_skill_id",enemy_skills!$1:$1,0)+1),MATCH(D$1,enemy_skills!$1:$1,0)-MATCH("enemy_skill_id",enemy_skills!$1:$1,0)+1,FALSE)</f>
        <v>ブルー・チャーム</v>
      </c>
      <c r="E41" s="45" t="str">
        <f ca="1">VLOOKUP($C41,OFFSET(enemy_skills!$A$1,0,0,COUNTA(enemy_skills!$A:$A),MATCH(E$1,enemy_skills!$1:$1,0)-MATCH("enemy_skill_id",enemy_skills!$1:$1,0)+1),MATCH(E$1,enemy_skills!$1:$1,0)-MATCH("enemy_skill_id",enemy_skills!$1:$1,0)+1,FALSE)</f>
        <v>青パネルプロテクト(最大3個)+単体攻撃</v>
      </c>
      <c r="F41" s="106">
        <v>39012559</v>
      </c>
      <c r="G41" s="47">
        <f ca="1">VLOOKUP($F41,OFFSET(enemy_skill_triggers!$A$1,0,0,COUNTA(enemy_skill_triggers!$A:$A),MATCH(G$1,enemy_skill_triggers!$1:$1,0)-MATCH($F$1,enemy_skill_triggers!$1:$1,0)+1),MATCH(G$1,enemy_skill_triggers!$1:$1,0)-MATCH($F$1,enemy_skill_triggers!$1:$1,0)+1,FALSE)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1" s="47">
        <f ca="1">VLOOKUP($F41,OFFSET(enemy_skill_triggers!$A$1,0,0,COUNTA(enemy_skill_triggers!$A:$A),MATCH(H$1,enemy_skill_triggers!$1:$1,0)-MATCH($F$1,enemy_skill_triggers!$1:$1,0)+1),MATCH(H$1,enemy_skill_triggers!$1:$1,0)-MATCH($F$1,enemy_skill_triggers!$1:$1,0)+1,FALSE)</f>
        <v>520</v>
      </c>
      <c r="I41" s="47">
        <f ca="1">VLOOKUP($F41,OFFSET(enemy_skill_triggers!$A$1,0,0,COUNTA(enemy_skill_triggers!$A:$A),MATCH(I$1,enemy_skill_triggers!$1:$1,0)-MATCH($F$1,enemy_skill_triggers!$1:$1,0)+1),MATCH(I$1,enemy_skill_triggers!$1:$1,0)-MATCH($F$1,enemy_skill_triggers!$1:$1,0)+1,FALSE)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1" s="47" t="str">
        <f ca="1">VLOOKUP($F41,OFFSET(enemy_skill_triggers!$A$1,0,0,COUNTA(enemy_skill_triggers!$A:$A),MATCH(J$1,enemy_skill_triggers!$1:$1,0)-MATCH($F$1,enemy_skill_triggers!$1:$1,0)+1),MATCH(J$1,enemy_skill_triggers!$1:$1,0)-MATCH($F$1,enemy_skill_triggers!$1:$1,0)+1,FALSE)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1" s="47" t="str">
        <f ca="1">VLOOKUP($F41,OFFSET(enemy_skill_triggers!$A$1,0,0,COUNTA(enemy_skill_triggers!$A:$A),MATCH(K$1,enemy_skill_triggers!$1:$1,0)-MATCH($F$1,enemy_skill_triggers!$1:$1,0)+1),MATCH(K$1,enemy_skill_triggers!$1:$1,0)-MATCH($F$1,enemy_skill_triggers!$1:$1,0)+1,FALSE)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1" s="47">
        <f ca="1">VLOOKUP($F41,OFFSET(enemy_skill_triggers!$A$1,0,0,COUNTA(enemy_skill_triggers!$A:$A),MATCH(L$1,enemy_skill_triggers!$1:$1,0)-MATCH($F$1,enemy_skill_triggers!$1:$1,0)+1),MATCH(L$1,enemy_skill_triggers!$1:$1,0)-MATCH($F$1,enemy_skill_triggers!$1:$1,0)+1,FALSE)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1" s="47">
        <f ca="1">VLOOKUP($F41,OFFSET(enemy_skill_triggers!$A$1,0,0,COUNTA(enemy_skill_triggers!$A:$A),MATCH(M$1,enemy_skill_triggers!$1:$1,0)-MATCH($F$1,enemy_skill_triggers!$1:$1,0)+1),MATCH(M$1,enemy_skill_triggers!$1:$1,0)-MATCH($F$1,enemy_skill_triggers!$1:$1,0)+1,FALSE)</f>
        <v>9</v>
      </c>
      <c r="N41" s="47" t="str">
        <f ca="1">VLOOKUP($F41,OFFSET(enemy_skill_triggers!$A$1,0,0,COUNTA(enemy_skill_triggers!$A:$A),MATCH(N$1,enemy_skill_triggers!$1:$1,0)-MATCH($F$1,enemy_skill_triggers!$1:$1,0)+1),MATCH(N$1,enemy_skill_triggers!$1:$1,0)-MATCH($F$1,enemy_skill_triggers!$1:$1,0)+1,FALSE)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1" s="47">
        <f ca="1">VLOOKUP($F41,OFFSET(enemy_skill_triggers!$A$1,0,0,COUNTA(enemy_skill_triggers!$A:$A),MATCH(O$1,enemy_skill_triggers!$1:$1,0)-MATCH($F$1,enemy_skill_triggers!$1:$1,0)+1),MATCH(O$1,enemy_skill_triggers!$1:$1,0)-MATCH($F$1,enemy_skill_triggers!$1:$1,0)+1,FALSE)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1" s="46"/>
      <c r="Q41" s="46"/>
      <c r="R41" s="46"/>
    </row>
    <row r="42" spans="1:18" ht="21" customHeight="1" x14ac:dyDescent="0.15">
      <c r="A42" s="38" t="str">
        <f t="shared" si="7"/>
        <v>39012510_39012552</v>
      </c>
      <c r="B42" s="106">
        <v>39012510</v>
      </c>
      <c r="C42" s="106">
        <v>39012552</v>
      </c>
      <c r="D42" s="45" t="str">
        <f ca="1">VLOOKUP($C42,OFFSET(enemy_skills!$A$1,0,0,COUNTA(enemy_skills!$A:$A),MATCH(D$1,enemy_skills!$1:$1,0)-MATCH("enemy_skill_id",enemy_skills!$1:$1,0)+1),MATCH(D$1,enemy_skills!$1:$1,0)-MATCH("enemy_skill_id",enemy_skills!$1:$1,0)+1,FALSE)</f>
        <v>ギガスニャッシュ</v>
      </c>
      <c r="E42" s="45" t="str">
        <f ca="1">VLOOKUP($C42,OFFSET(enemy_skills!$A$1,0,0,COUNTA(enemy_skills!$A:$A),MATCH(E$1,enemy_skills!$1:$1,0)-MATCH("enemy_skill_id",enemy_skills!$1:$1,0)+1),MATCH(E$1,enemy_skills!$1:$1,0)-MATCH("enemy_skill_id",enemy_skills!$1:$1,0)+1,FALSE)</f>
        <v>全体攻撃</v>
      </c>
      <c r="F42" s="106">
        <v>39012560</v>
      </c>
      <c r="G42" s="47">
        <f ca="1">VLOOKUP($F42,OFFSET(enemy_skill_triggers!$A$1,0,0,COUNTA(enemy_skill_triggers!$A:$A),MATCH(G$1,enemy_skill_triggers!$1:$1,0)-MATCH($F$1,enemy_skill_triggers!$1:$1,0)+1),MATCH(G$1,enemy_skill_triggers!$1:$1,0)-MATCH($F$1,enemy_skill_triggers!$1:$1,0)+1,FALSE)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2" s="47">
        <f ca="1">VLOOKUP($F42,OFFSET(enemy_skill_triggers!$A$1,0,0,COUNTA(enemy_skill_triggers!$A:$A),MATCH(H$1,enemy_skill_triggers!$1:$1,0)-MATCH($F$1,enemy_skill_triggers!$1:$1,0)+1),MATCH(H$1,enemy_skill_triggers!$1:$1,0)-MATCH($F$1,enemy_skill_triggers!$1:$1,0)+1,FALSE)</f>
        <v>3</v>
      </c>
      <c r="I42" s="47">
        <f ca="1">VLOOKUP($F42,OFFSET(enemy_skill_triggers!$A$1,0,0,COUNTA(enemy_skill_triggers!$A:$A),MATCH(I$1,enemy_skill_triggers!$1:$1,0)-MATCH($F$1,enemy_skill_triggers!$1:$1,0)+1),MATCH(I$1,enemy_skill_triggers!$1:$1,0)-MATCH($F$1,enemy_skill_triggers!$1:$1,0)+1,FALSE)</f>
        <v>40</v>
      </c>
      <c r="J42" s="47" t="str">
        <f ca="1">VLOOKUP($F42,OFFSET(enemy_skill_triggers!$A$1,0,0,COUNTA(enemy_skill_triggers!$A:$A),MATCH(J$1,enemy_skill_triggers!$1:$1,0)-MATCH($F$1,enemy_skill_triggers!$1:$1,0)+1),MATCH(J$1,enemy_skill_triggers!$1:$1,0)-MATCH($F$1,enemy_skill_triggers!$1:$1,0)+1,FALSE)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2" s="47" t="str">
        <f ca="1">VLOOKUP($F42,OFFSET(enemy_skill_triggers!$A$1,0,0,COUNTA(enemy_skill_triggers!$A:$A),MATCH(K$1,enemy_skill_triggers!$1:$1,0)-MATCH($F$1,enemy_skill_triggers!$1:$1,0)+1),MATCH(K$1,enemy_skill_triggers!$1:$1,0)-MATCH($F$1,enemy_skill_triggers!$1:$1,0)+1,FALSE)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2" s="47" t="str">
        <f ca="1">VLOOKUP($F42,OFFSET(enemy_skill_triggers!$A$1,0,0,COUNTA(enemy_skill_triggers!$A:$A),MATCH(L$1,enemy_skill_triggers!$1:$1,0)-MATCH($F$1,enemy_skill_triggers!$1:$1,0)+1),MATCH(L$1,enemy_skill_triggers!$1:$1,0)-MATCH($F$1,enemy_skill_triggers!$1:$1,0)+1,FALSE)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42" s="47">
        <f ca="1">VLOOKUP($F42,OFFSET(enemy_skill_triggers!$A$1,0,0,COUNTA(enemy_skill_triggers!$A:$A),MATCH(M$1,enemy_skill_triggers!$1:$1,0)-MATCH($F$1,enemy_skill_triggers!$1:$1,0)+1),MATCH(M$1,enemy_skill_triggers!$1:$1,0)-MATCH($F$1,enemy_skill_triggers!$1:$1,0)+1,FALSE)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42" s="47" t="str">
        <f ca="1">VLOOKUP($F42,OFFSET(enemy_skill_triggers!$A$1,0,0,COUNTA(enemy_skill_triggers!$A:$A),MATCH(N$1,enemy_skill_triggers!$1:$1,0)-MATCH($F$1,enemy_skill_triggers!$1:$1,0)+1),MATCH(N$1,enemy_skill_triggers!$1:$1,0)-MATCH($F$1,enemy_skill_triggers!$1:$1,0)+1,FALSE)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2" s="47">
        <f ca="1">VLOOKUP($F42,OFFSET(enemy_skill_triggers!$A$1,0,0,COUNTA(enemy_skill_triggers!$A:$A),MATCH(O$1,enemy_skill_triggers!$1:$1,0)-MATCH($F$1,enemy_skill_triggers!$1:$1,0)+1),MATCH(O$1,enemy_skill_triggers!$1:$1,0)-MATCH($F$1,enemy_skill_triggers!$1:$1,0)+1,FALSE)</f>
        <v>40</v>
      </c>
      <c r="P42" s="46"/>
      <c r="Q42" s="46"/>
      <c r="R42" s="46"/>
    </row>
    <row r="43" spans="1:18" ht="21" customHeight="1" x14ac:dyDescent="0.15">
      <c r="A43" s="38" t="str">
        <f t="shared" si="7"/>
        <v>39012510_39012553</v>
      </c>
      <c r="B43" s="106">
        <v>39012510</v>
      </c>
      <c r="C43" s="106">
        <v>39012553</v>
      </c>
      <c r="D43" s="45" t="str">
        <f ca="1">VLOOKUP($C43,OFFSET(enemy_skills!$A$1,0,0,COUNTA(enemy_skills!$A:$A),MATCH(D$1,enemy_skills!$1:$1,0)-MATCH("enemy_skill_id",enemy_skills!$1:$1,0)+1),MATCH(D$1,enemy_skills!$1:$1,0)-MATCH("enemy_skill_id",enemy_skills!$1:$1,0)+1,FALSE)</f>
        <v>レッド・チャーム</v>
      </c>
      <c r="E43" s="45" t="str">
        <f ca="1">VLOOKUP($C43,OFFSET(enemy_skills!$A$1,0,0,COUNTA(enemy_skills!$A:$A),MATCH(E$1,enemy_skills!$1:$1,0)-MATCH("enemy_skill_id",enemy_skills!$1:$1,0)+1),MATCH(E$1,enemy_skills!$1:$1,0)-MATCH("enemy_skill_id",enemy_skills!$1:$1,0)+1,FALSE)</f>
        <v>赤パネルプロテクト(最大3個)+単体攻撃</v>
      </c>
      <c r="F43" s="106">
        <v>39012561</v>
      </c>
      <c r="G43" s="47">
        <f ca="1">VLOOKUP($F43,OFFSET(enemy_skill_triggers!$A$1,0,0,COUNTA(enemy_skill_triggers!$A:$A),MATCH(G$1,enemy_skill_triggers!$1:$1,0)-MATCH($F$1,enemy_skill_triggers!$1:$1,0)+1),MATCH(G$1,enemy_skill_triggers!$1:$1,0)-MATCH($F$1,enemy_skill_triggers!$1:$1,0)+1,FALSE)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3" s="47">
        <f ca="1">VLOOKUP($F43,OFFSET(enemy_skill_triggers!$A$1,0,0,COUNTA(enemy_skill_triggers!$A:$A),MATCH(H$1,enemy_skill_triggers!$1:$1,0)-MATCH($F$1,enemy_skill_triggers!$1:$1,0)+1),MATCH(H$1,enemy_skill_triggers!$1:$1,0)-MATCH($F$1,enemy_skill_triggers!$1:$1,0)+1,FALSE)</f>
        <v>2</v>
      </c>
      <c r="I43" s="47">
        <f ca="1">VLOOKUP($F43,OFFSET(enemy_skill_triggers!$A$1,0,0,COUNTA(enemy_skill_triggers!$A:$A),MATCH(I$1,enemy_skill_triggers!$1:$1,0)-MATCH($F$1,enemy_skill_triggers!$1:$1,0)+1),MATCH(I$1,enemy_skill_triggers!$1:$1,0)-MATCH($F$1,enemy_skill_triggers!$1:$1,0)+1,FALSE)</f>
        <v>50</v>
      </c>
      <c r="J43" s="47" t="str">
        <f ca="1">VLOOKUP($F43,OFFSET(enemy_skill_triggers!$A$1,0,0,COUNTA(enemy_skill_triggers!$A:$A),MATCH(J$1,enemy_skill_triggers!$1:$1,0)-MATCH($F$1,enemy_skill_triggers!$1:$1,0)+1),MATCH(J$1,enemy_skill_triggers!$1:$1,0)-MATCH($F$1,enemy_skill_triggers!$1:$1,0)+1,FALSE)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3" s="47" t="str">
        <f ca="1">VLOOKUP($F43,OFFSET(enemy_skill_triggers!$A$1,0,0,COUNTA(enemy_skill_triggers!$A:$A),MATCH(K$1,enemy_skill_triggers!$1:$1,0)-MATCH($F$1,enemy_skill_triggers!$1:$1,0)+1),MATCH(K$1,enemy_skill_triggers!$1:$1,0)-MATCH($F$1,enemy_skill_triggers!$1:$1,0)+1,FALSE)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3" s="47" t="str">
        <f ca="1">VLOOKUP($F43,OFFSET(enemy_skill_triggers!$A$1,0,0,COUNTA(enemy_skill_triggers!$A:$A),MATCH(L$1,enemy_skill_triggers!$1:$1,0)-MATCH($F$1,enemy_skill_triggers!$1:$1,0)+1),MATCH(L$1,enemy_skill_triggers!$1:$1,0)-MATCH($F$1,enemy_skill_triggers!$1:$1,0)+1,FALSE)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43" s="47">
        <f ca="1">VLOOKUP($F43,OFFSET(enemy_skill_triggers!$A$1,0,0,COUNTA(enemy_skill_triggers!$A:$A),MATCH(M$1,enemy_skill_triggers!$1:$1,0)-MATCH($F$1,enemy_skill_triggers!$1:$1,0)+1),MATCH(M$1,enemy_skill_triggers!$1:$1,0)-MATCH($F$1,enemy_skill_triggers!$1:$1,0)+1,FALSE)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43" s="47" t="str">
        <f ca="1">VLOOKUP($F43,OFFSET(enemy_skill_triggers!$A$1,0,0,COUNTA(enemy_skill_triggers!$A:$A),MATCH(N$1,enemy_skill_triggers!$1:$1,0)-MATCH($F$1,enemy_skill_triggers!$1:$1,0)+1),MATCH(N$1,enemy_skill_triggers!$1:$1,0)-MATCH($F$1,enemy_skill_triggers!$1:$1,0)+1,FALSE)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3" s="47">
        <f ca="1">VLOOKUP($F43,OFFSET(enemy_skill_triggers!$A$1,0,0,COUNTA(enemy_skill_triggers!$A:$A),MATCH(O$1,enemy_skill_triggers!$1:$1,0)-MATCH($F$1,enemy_skill_triggers!$1:$1,0)+1),MATCH(O$1,enemy_skill_triggers!$1:$1,0)-MATCH($F$1,enemy_skill_triggers!$1:$1,0)+1,FALSE)</f>
        <v>50</v>
      </c>
      <c r="P43" s="46"/>
      <c r="Q43" s="46"/>
      <c r="R43" s="46"/>
    </row>
    <row r="44" spans="1:18" ht="21" customHeight="1" x14ac:dyDescent="0.15">
      <c r="A44" s="38" t="str">
        <f t="shared" ref="A44" si="8">B44&amp;"_"&amp;C44</f>
        <v>39012510_39012554</v>
      </c>
      <c r="B44" s="106">
        <v>39012510</v>
      </c>
      <c r="C44" s="106">
        <v>39012554</v>
      </c>
      <c r="D44" s="45" t="str">
        <f ca="1">VLOOKUP($C44,OFFSET(enemy_skills!$A$1,0,0,COUNTA(enemy_skills!$A:$A),MATCH(D$1,enemy_skills!$1:$1,0)-MATCH("enemy_skill_id",enemy_skills!$1:$1,0)+1),MATCH(D$1,enemy_skills!$1:$1,0)-MATCH("enemy_skill_id",enemy_skills!$1:$1,0)+1,FALSE)</f>
        <v>ブルー・チャーム</v>
      </c>
      <c r="E44" s="45" t="str">
        <f ca="1">VLOOKUP($C44,OFFSET(enemy_skills!$A$1,0,0,COUNTA(enemy_skills!$A:$A),MATCH(E$1,enemy_skills!$1:$1,0)-MATCH("enemy_skill_id",enemy_skills!$1:$1,0)+1),MATCH(E$1,enemy_skills!$1:$1,0)-MATCH("enemy_skill_id",enemy_skills!$1:$1,0)+1,FALSE)</f>
        <v>青パネルプロテクト(最大3個)+単体攻撃</v>
      </c>
      <c r="F44" s="106">
        <v>39012562</v>
      </c>
      <c r="G44" s="47">
        <f ca="1">VLOOKUP($F44,OFFSET(enemy_skill_triggers!$A$1,0,0,COUNTA(enemy_skill_triggers!$A:$A),MATCH(G$1,enemy_skill_triggers!$1:$1,0)-MATCH($F$1,enemy_skill_triggers!$1:$1,0)+1),MATCH(G$1,enemy_skill_triggers!$1:$1,0)-MATCH($F$1,enemy_skill_triggers!$1:$1,0)+1,FALSE)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4" s="47">
        <f ca="1">VLOOKUP($F44,OFFSET(enemy_skill_triggers!$A$1,0,0,COUNTA(enemy_skill_triggers!$A:$A),MATCH(H$1,enemy_skill_triggers!$1:$1,0)-MATCH($F$1,enemy_skill_triggers!$1:$1,0)+1),MATCH(H$1,enemy_skill_triggers!$1:$1,0)-MATCH($F$1,enemy_skill_triggers!$1:$1,0)+1,FALSE)</f>
        <v>1</v>
      </c>
      <c r="I44" s="47">
        <f ca="1">VLOOKUP($F44,OFFSET(enemy_skill_triggers!$A$1,0,0,COUNTA(enemy_skill_triggers!$A:$A),MATCH(I$1,enemy_skill_triggers!$1:$1,0)-MATCH($F$1,enemy_skill_triggers!$1:$1,0)+1),MATCH(I$1,enemy_skill_triggers!$1:$1,0)-MATCH($F$1,enemy_skill_triggers!$1:$1,0)+1,FALSE)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4" s="47" t="str">
        <f ca="1">VLOOKUP($F44,OFFSET(enemy_skill_triggers!$A$1,0,0,COUNTA(enemy_skill_triggers!$A:$A),MATCH(J$1,enemy_skill_triggers!$1:$1,0)-MATCH($F$1,enemy_skill_triggers!$1:$1,0)+1),MATCH(J$1,enemy_skill_triggers!$1:$1,0)-MATCH($F$1,enemy_skill_triggers!$1:$1,0)+1,FALSE)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4" s="47" t="str">
        <f ca="1">VLOOKUP($F44,OFFSET(enemy_skill_triggers!$A$1,0,0,COUNTA(enemy_skill_triggers!$A:$A),MATCH(K$1,enemy_skill_triggers!$1:$1,0)-MATCH($F$1,enemy_skill_triggers!$1:$1,0)+1),MATCH(K$1,enemy_skill_triggers!$1:$1,0)-MATCH($F$1,enemy_skill_triggers!$1:$1,0)+1,FALSE)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4" s="47" t="str">
        <f ca="1">VLOOKUP($F44,OFFSET(enemy_skill_triggers!$A$1,0,0,COUNTA(enemy_skill_triggers!$A:$A),MATCH(L$1,enemy_skill_triggers!$1:$1,0)-MATCH($F$1,enemy_skill_triggers!$1:$1,0)+1),MATCH(L$1,enemy_skill_triggers!$1:$1,0)-MATCH($F$1,enemy_skill_triggers!$1:$1,0)+1,FALSE)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44" s="47">
        <f ca="1">VLOOKUP($F44,OFFSET(enemy_skill_triggers!$A$1,0,0,COUNTA(enemy_skill_triggers!$A:$A),MATCH(M$1,enemy_skill_triggers!$1:$1,0)-MATCH($F$1,enemy_skill_triggers!$1:$1,0)+1),MATCH(M$1,enemy_skill_triggers!$1:$1,0)-MATCH($F$1,enemy_skill_triggers!$1:$1,0)+1,FALSE)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44" s="47" t="str">
        <f ca="1">VLOOKUP($F44,OFFSET(enemy_skill_triggers!$A$1,0,0,COUNTA(enemy_skill_triggers!$A:$A),MATCH(N$1,enemy_skill_triggers!$1:$1,0)-MATCH($F$1,enemy_skill_triggers!$1:$1,0)+1),MATCH(N$1,enemy_skill_triggers!$1:$1,0)-MATCH($F$1,enemy_skill_triggers!$1:$1,0)+1,FALSE)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4" s="47">
        <f ca="1">VLOOKUP($F44,OFFSET(enemy_skill_triggers!$A$1,0,0,COUNTA(enemy_skill_triggers!$A:$A),MATCH(O$1,enemy_skill_triggers!$1:$1,0)-MATCH($F$1,enemy_skill_triggers!$1:$1,0)+1),MATCH(O$1,enemy_skill_triggers!$1:$1,0)-MATCH($F$1,enemy_skill_triggers!$1:$1,0)+1,FALSE)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4" s="46"/>
      <c r="Q44" s="46"/>
      <c r="R44" s="46"/>
    </row>
    <row r="45" spans="1:18" s="198" customFormat="1" ht="21" customHeight="1" x14ac:dyDescent="0.15">
      <c r="A45" s="195" t="str">
        <f t="shared" ref="A45" si="9">B45&amp;"_"&amp;C45</f>
        <v>39012510_39012562</v>
      </c>
      <c r="B45" s="163">
        <v>39012510</v>
      </c>
      <c r="C45" s="163">
        <v>39012562</v>
      </c>
      <c r="D45" s="194" t="str">
        <f ca="1">VLOOKUP($C45,OFFSET(enemy_skills!$A$1,0,0,COUNTA(enemy_skills!$A:$A),MATCH(D$1,enemy_skills!$1:$1,0)-MATCH("enemy_skill_id",enemy_skills!$1:$1,0)+1),MATCH(D$1,enemy_skills!$1:$1,0)-MATCH("enemy_skill_id",enemy_skills!$1:$1,0)+1,FALSE)</f>
        <v>にゃんこのための_x000D_幸せな世界を作りたかった…</v>
      </c>
      <c r="E45" s="194" t="str">
        <f ca="1">VLOOKUP($C45,OFFSET(enemy_skills!$A$1,0,0,COUNTA(enemy_skills!$A:$A),MATCH(E$1,enemy_skills!$1:$1,0)-MATCH("enemy_skill_id",enemy_skills!$1:$1,0)+1),MATCH(E$1,enemy_skills!$1:$1,0)-MATCH("enemy_skill_id",enemy_skills!$1:$1,0)+1,FALSE)</f>
        <v>周りにいるにゃんこ達が_x000D_悲しそうにこちらを見ている…</v>
      </c>
      <c r="F45" s="163">
        <v>39012563</v>
      </c>
      <c r="G45" s="196">
        <f ca="1">VLOOKUP($F45,OFFSET(enemy_skill_triggers!$A$1,0,0,COUNTA(enemy_skill_triggers!$A:$A),MATCH(G$1,enemy_skill_triggers!$1:$1,0)-MATCH($F$1,enemy_skill_triggers!$1:$1,0)+1),MATCH(G$1,enemy_skill_triggers!$1:$1,0)-MATCH($F$1,enemy_skill_triggers!$1:$1,0)+1,FALSE)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5" s="196">
        <f ca="1">VLOOKUP($F45,OFFSET(enemy_skill_triggers!$A$1,0,0,COUNTA(enemy_skill_triggers!$A:$A),MATCH(H$1,enemy_skill_triggers!$1:$1,0)-MATCH($F$1,enemy_skill_triggers!$1:$1,0)+1),MATCH(H$1,enemy_skill_triggers!$1:$1,0)-MATCH($F$1,enemy_skill_triggers!$1:$1,0)+1,FALSE)</f>
        <v>600</v>
      </c>
      <c r="I45" s="196">
        <f ca="1">VLOOKUP($F45,OFFSET(enemy_skill_triggers!$A$1,0,0,COUNTA(enemy_skill_triggers!$A:$A),MATCH(I$1,enemy_skill_triggers!$1:$1,0)-MATCH($F$1,enemy_skill_triggers!$1:$1,0)+1),MATCH(I$1,enemy_skill_triggers!$1:$1,0)-MATCH($F$1,enemy_skill_triggers!$1:$1,0)+1,FALSE)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5" s="196" t="str">
        <f ca="1">VLOOKUP($F45,OFFSET(enemy_skill_triggers!$A$1,0,0,COUNTA(enemy_skill_triggers!$A:$A),MATCH(J$1,enemy_skill_triggers!$1:$1,0)-MATCH($F$1,enemy_skill_triggers!$1:$1,0)+1),MATCH(J$1,enemy_skill_triggers!$1:$1,0)-MATCH($F$1,enemy_skill_triggers!$1:$1,0)+1,FALSE)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5" s="196" t="str">
        <f ca="1">VLOOKUP($F45,OFFSET(enemy_skill_triggers!$A$1,0,0,COUNTA(enemy_skill_triggers!$A:$A),MATCH(K$1,enemy_skill_triggers!$1:$1,0)-MATCH($F$1,enemy_skill_triggers!$1:$1,0)+1),MATCH(K$1,enemy_skill_triggers!$1:$1,0)-MATCH($F$1,enemy_skill_triggers!$1:$1,0)+1,FALSE)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5" s="196">
        <f ca="1">VLOOKUP($F45,OFFSET(enemy_skill_triggers!$A$1,0,0,COUNTA(enemy_skill_triggers!$A:$A),MATCH(L$1,enemy_skill_triggers!$1:$1,0)-MATCH($F$1,enemy_skill_triggers!$1:$1,0)+1),MATCH(L$1,enemy_skill_triggers!$1:$1,0)-MATCH($F$1,enemy_skill_triggers!$1:$1,0)+1,FALSE)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45" s="196">
        <f ca="1">VLOOKUP($F45,OFFSET(enemy_skill_triggers!$A$1,0,0,COUNTA(enemy_skill_triggers!$A:$A),MATCH(M$1,enemy_skill_triggers!$1:$1,0)-MATCH($F$1,enemy_skill_triggers!$1:$1,0)+1),MATCH(M$1,enemy_skill_triggers!$1:$1,0)-MATCH($F$1,enemy_skill_triggers!$1:$1,0)+1,FALSE)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45" s="196">
        <f ca="1">VLOOKUP($F45,OFFSET(enemy_skill_triggers!$A$1,0,0,COUNTA(enemy_skill_triggers!$A:$A),MATCH(N$1,enemy_skill_triggers!$1:$1,0)-MATCH($F$1,enemy_skill_triggers!$1:$1,0)+1),MATCH(N$1,enemy_skill_triggers!$1:$1,0)-MATCH($F$1,enemy_skill_triggers!$1:$1,0)+1,FALSE)</f>
        <v>0</v>
      </c>
      <c r="O45" s="196">
        <f ca="1">VLOOKUP($F45,OFFSET(enemy_skill_triggers!$A$1,0,0,COUNTA(enemy_skill_triggers!$A:$A),MATCH(O$1,enemy_skill_triggers!$1:$1,0)-MATCH($F$1,enemy_skill_triggers!$1:$1,0)+1),MATCH(O$1,enemy_skill_triggers!$1:$1,0)-MATCH($F$1,enemy_skill_triggers!$1:$1,0)+1,FALSE)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5" s="197"/>
      <c r="Q45" s="197"/>
      <c r="R45" s="197"/>
    </row>
    <row r="46" spans="1:18" s="175" customFormat="1" ht="21" customHeight="1" x14ac:dyDescent="0.15">
      <c r="A46" s="171" t="str">
        <f t="shared" ref="A46:A52" si="10">B46&amp;"_"&amp;C46</f>
        <v>39012508_39012534</v>
      </c>
      <c r="B46" s="176">
        <v>39012508</v>
      </c>
      <c r="C46" s="176">
        <v>39012534</v>
      </c>
      <c r="D46" s="172" t="str">
        <f ca="1">VLOOKUP($C46,OFFSET(enemy_skills!$A$1,0,0,COUNTA(enemy_skills!$A:$A),MATCH(D$1,enemy_skills!$1:$1,0)-MATCH("enemy_skill_id",enemy_skills!$1:$1,0)+1),MATCH(D$1,enemy_skills!$1:$1,0)-MATCH("enemy_skill_id",enemy_skills!$1:$1,0)+1,FALSE)</f>
        <v>同じ女神として負けられません…！</v>
      </c>
      <c r="E46" s="172" t="str">
        <f ca="1">VLOOKUP($C46,OFFSET(enemy_skills!$A$1,0,0,COUNTA(enemy_skills!$A:$A),MATCH(E$1,enemy_skills!$1:$1,0)-MATCH("enemy_skill_id",enemy_skills!$1:$1,0)+1),MATCH(E$1,enemy_skills!$1:$1,0)-MATCH("enemy_skill_id",enemy_skills!$1:$1,0)+1,FALSE)</f>
        <v>緑パネルプロテクト</v>
      </c>
      <c r="F46" s="176">
        <v>39012600</v>
      </c>
      <c r="G46" s="173">
        <f ca="1">VLOOKUP($F46,OFFSET(enemy_skill_triggers!$A$1,0,0,COUNTA(enemy_skill_triggers!$A:$A),MATCH(G$1,enemy_skill_triggers!$1:$1,0)-MATCH($F$1,enemy_skill_triggers!$1:$1,0)+1),MATCH(G$1,enemy_skill_triggers!$1:$1,0)-MATCH($F$1,enemy_skill_triggers!$1:$1,0)+1,FALSE)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46" s="173">
        <f ca="1">VLOOKUP($F46,OFFSET(enemy_skill_triggers!$A$1,0,0,COUNTA(enemy_skill_triggers!$A:$A),MATCH(H$1,enemy_skill_triggers!$1:$1,0)-MATCH($F$1,enemy_skill_triggers!$1:$1,0)+1),MATCH(H$1,enemy_skill_triggers!$1:$1,0)-MATCH($F$1,enemy_skill_triggers!$1:$1,0)+1,FALSE)</f>
        <v>999</v>
      </c>
      <c r="I46" s="173">
        <f ca="1">VLOOKUP($F46,OFFSET(enemy_skill_triggers!$A$1,0,0,COUNTA(enemy_skill_triggers!$A:$A),MATCH(I$1,enemy_skill_triggers!$1:$1,0)-MATCH($F$1,enemy_skill_triggers!$1:$1,0)+1),MATCH(I$1,enemy_skill_triggers!$1:$1,0)-MATCH($F$1,enemy_skill_triggers!$1:$1,0)+1,FALSE)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6" s="173" t="str">
        <f ca="1">VLOOKUP($F46,OFFSET(enemy_skill_triggers!$A$1,0,0,COUNTA(enemy_skill_triggers!$A:$A),MATCH(J$1,enemy_skill_triggers!$1:$1,0)-MATCH($F$1,enemy_skill_triggers!$1:$1,0)+1),MATCH(J$1,enemy_skill_triggers!$1:$1,0)-MATCH($F$1,enemy_skill_triggers!$1:$1,0)+1,FALSE)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6" s="173" t="str">
        <f ca="1">VLOOKUP($F46,OFFSET(enemy_skill_triggers!$A$1,0,0,COUNTA(enemy_skill_triggers!$A:$A),MATCH(K$1,enemy_skill_triggers!$1:$1,0)-MATCH($F$1,enemy_skill_triggers!$1:$1,0)+1),MATCH(K$1,enemy_skill_triggers!$1:$1,0)-MATCH($F$1,enemy_skill_triggers!$1:$1,0)+1,FALSE)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6" s="173">
        <f ca="1">VLOOKUP($F46,OFFSET(enemy_skill_triggers!$A$1,0,0,COUNTA(enemy_skill_triggers!$A:$A),MATCH(L$1,enemy_skill_triggers!$1:$1,0)-MATCH($F$1,enemy_skill_triggers!$1:$1,0)+1),MATCH(L$1,enemy_skill_triggers!$1:$1,0)-MATCH($F$1,enemy_skill_triggers!$1:$1,0)+1,FALSE)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6" s="173">
        <f ca="1">VLOOKUP($F46,OFFSET(enemy_skill_triggers!$A$1,0,0,COUNTA(enemy_skill_triggers!$A:$A),MATCH(M$1,enemy_skill_triggers!$1:$1,0)-MATCH($F$1,enemy_skill_triggers!$1:$1,0)+1),MATCH(M$1,enemy_skill_triggers!$1:$1,0)-MATCH($F$1,enemy_skill_triggers!$1:$1,0)+1,FALSE)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46" s="173">
        <f ca="1">VLOOKUP($F46,OFFSET(enemy_skill_triggers!$A$1,0,0,COUNTA(enemy_skill_triggers!$A:$A),MATCH(N$1,enemy_skill_triggers!$1:$1,0)-MATCH($F$1,enemy_skill_triggers!$1:$1,0)+1),MATCH(N$1,enemy_skill_triggers!$1:$1,0)-MATCH($F$1,enemy_skill_triggers!$1:$1,0)+1,FALSE)</f>
        <v>1542</v>
      </c>
      <c r="O46" s="173">
        <f ca="1">VLOOKUP($F46,OFFSET(enemy_skill_triggers!$A$1,0,0,COUNTA(enemy_skill_triggers!$A:$A),MATCH(O$1,enemy_skill_triggers!$1:$1,0)-MATCH($F$1,enemy_skill_triggers!$1:$1,0)+1),MATCH(O$1,enemy_skill_triggers!$1:$1,0)-MATCH($F$1,enemy_skill_triggers!$1:$1,0)+1,FALSE)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6" s="174"/>
      <c r="Q46" s="174"/>
      <c r="R46" s="172">
        <f ca="1">VLOOKUP($C46,OFFSET(enemy_skills!$A$1,0,0,COUNTA(enemy_skills!$A:$A),MATCH(R$1,enemy_skills!$1:$1,0)-MATCH("enemy_skill_id",enemy_skills!$1:$1,0)+1),MATCH(R$1,enemy_skills!$1:$1,0)-MATCH("enemy_skill_id",enemy_skills!$1:$1,0)+1,FALSE)</f>
        <v>0</v>
      </c>
    </row>
    <row r="47" spans="1:18" s="175" customFormat="1" ht="21" customHeight="1" x14ac:dyDescent="0.15">
      <c r="A47" s="171" t="str">
        <f t="shared" si="10"/>
        <v>39012508_39012534</v>
      </c>
      <c r="B47" s="176">
        <v>39012508</v>
      </c>
      <c r="C47" s="176">
        <v>39012534</v>
      </c>
      <c r="D47" s="172" t="str">
        <f ca="1">VLOOKUP($C47,OFFSET(enemy_skills!$A$1,0,0,COUNTA(enemy_skills!$A:$A),MATCH(D$1,enemy_skills!$1:$1,0)-MATCH("enemy_skill_id",enemy_skills!$1:$1,0)+1),MATCH(D$1,enemy_skills!$1:$1,0)-MATCH("enemy_skill_id",enemy_skills!$1:$1,0)+1,FALSE)</f>
        <v>同じ女神として負けられません…！</v>
      </c>
      <c r="E47" s="172" t="str">
        <f ca="1">VLOOKUP($C47,OFFSET(enemy_skills!$A$1,0,0,COUNTA(enemy_skills!$A:$A),MATCH(E$1,enemy_skills!$1:$1,0)-MATCH("enemy_skill_id",enemy_skills!$1:$1,0)+1),MATCH(E$1,enemy_skills!$1:$1,0)-MATCH("enemy_skill_id",enemy_skills!$1:$1,0)+1,FALSE)</f>
        <v>緑パネルプロテクト</v>
      </c>
      <c r="F47" s="176">
        <v>39012601</v>
      </c>
      <c r="G47" s="173">
        <f ca="1">VLOOKUP($F47,OFFSET(enemy_skill_triggers!$A$1,0,0,COUNTA(enemy_skill_triggers!$A:$A),MATCH(G$1,enemy_skill_triggers!$1:$1,0)-MATCH($F$1,enemy_skill_triggers!$1:$1,0)+1),MATCH(G$1,enemy_skill_triggers!$1:$1,0)-MATCH($F$1,enemy_skill_triggers!$1:$1,0)+1,FALSE)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47" s="173">
        <f ca="1">VLOOKUP($F47,OFFSET(enemy_skill_triggers!$A$1,0,0,COUNTA(enemy_skill_triggers!$A:$A),MATCH(H$1,enemy_skill_triggers!$1:$1,0)-MATCH($F$1,enemy_skill_triggers!$1:$1,0)+1),MATCH(H$1,enemy_skill_triggers!$1:$1,0)-MATCH($F$1,enemy_skill_triggers!$1:$1,0)+1,FALSE)</f>
        <v>998</v>
      </c>
      <c r="I47" s="173">
        <f ca="1">VLOOKUP($F47,OFFSET(enemy_skill_triggers!$A$1,0,0,COUNTA(enemy_skill_triggers!$A:$A),MATCH(I$1,enemy_skill_triggers!$1:$1,0)-MATCH($F$1,enemy_skill_triggers!$1:$1,0)+1),MATCH(I$1,enemy_skill_triggers!$1:$1,0)-MATCH($F$1,enemy_skill_triggers!$1:$1,0)+1,FALSE)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7" s="173" t="str">
        <f ca="1">VLOOKUP($F47,OFFSET(enemy_skill_triggers!$A$1,0,0,COUNTA(enemy_skill_triggers!$A:$A),MATCH(J$1,enemy_skill_triggers!$1:$1,0)-MATCH($F$1,enemy_skill_triggers!$1:$1,0)+1),MATCH(J$1,enemy_skill_triggers!$1:$1,0)-MATCH($F$1,enemy_skill_triggers!$1:$1,0)+1,FALSE)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7" s="173" t="str">
        <f ca="1">VLOOKUP($F47,OFFSET(enemy_skill_triggers!$A$1,0,0,COUNTA(enemy_skill_triggers!$A:$A),MATCH(K$1,enemy_skill_triggers!$1:$1,0)-MATCH($F$1,enemy_skill_triggers!$1:$1,0)+1),MATCH(K$1,enemy_skill_triggers!$1:$1,0)-MATCH($F$1,enemy_skill_triggers!$1:$1,0)+1,FALSE)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7" s="173">
        <f ca="1">VLOOKUP($F47,OFFSET(enemy_skill_triggers!$A$1,0,0,COUNTA(enemy_skill_triggers!$A:$A),MATCH(L$1,enemy_skill_triggers!$1:$1,0)-MATCH($F$1,enemy_skill_triggers!$1:$1,0)+1),MATCH(L$1,enemy_skill_triggers!$1:$1,0)-MATCH($F$1,enemy_skill_triggers!$1:$1,0)+1,FALSE)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7" s="173">
        <f ca="1">VLOOKUP($F47,OFFSET(enemy_skill_triggers!$A$1,0,0,COUNTA(enemy_skill_triggers!$A:$A),MATCH(M$1,enemy_skill_triggers!$1:$1,0)-MATCH($F$1,enemy_skill_triggers!$1:$1,0)+1),MATCH(M$1,enemy_skill_triggers!$1:$1,0)-MATCH($F$1,enemy_skill_triggers!$1:$1,0)+1,FALSE)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47" s="173">
        <f ca="1">VLOOKUP($F47,OFFSET(enemy_skill_triggers!$A$1,0,0,COUNTA(enemy_skill_triggers!$A:$A),MATCH(N$1,enemy_skill_triggers!$1:$1,0)-MATCH($F$1,enemy_skill_triggers!$1:$1,0)+1),MATCH(N$1,enemy_skill_triggers!$1:$1,0)-MATCH($F$1,enemy_skill_triggers!$1:$1,0)+1,FALSE)</f>
        <v>1541</v>
      </c>
      <c r="O47" s="173">
        <f ca="1">VLOOKUP($F47,OFFSET(enemy_skill_triggers!$A$1,0,0,COUNTA(enemy_skill_triggers!$A:$A),MATCH(O$1,enemy_skill_triggers!$1:$1,0)-MATCH($F$1,enemy_skill_triggers!$1:$1,0)+1),MATCH(O$1,enemy_skill_triggers!$1:$1,0)-MATCH($F$1,enemy_skill_triggers!$1:$1,0)+1,FALSE)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7" s="174"/>
      <c r="Q47" s="174"/>
      <c r="R47" s="172">
        <f ca="1">VLOOKUP($C47,OFFSET(enemy_skills!$A$1,0,0,COUNTA(enemy_skills!$A:$A),MATCH(R$1,enemy_skills!$1:$1,0)-MATCH("enemy_skill_id",enemy_skills!$1:$1,0)+1),MATCH(R$1,enemy_skills!$1:$1,0)-MATCH("enemy_skill_id",enemy_skills!$1:$1,0)+1,FALSE)</f>
        <v>0</v>
      </c>
    </row>
    <row r="48" spans="1:18" s="175" customFormat="1" ht="21" customHeight="1" x14ac:dyDescent="0.15">
      <c r="A48" s="171" t="str">
        <f t="shared" si="10"/>
        <v>39012508_39012533</v>
      </c>
      <c r="B48" s="176">
        <v>39012508</v>
      </c>
      <c r="C48" s="176">
        <v>39012533</v>
      </c>
      <c r="D48" s="172" t="str">
        <f ca="1">VLOOKUP($C48,OFFSET(enemy_skills!$A$1,0,0,COUNTA(enemy_skills!$A:$A),MATCH(D$1,enemy_skills!$1:$1,0)-MATCH("enemy_skill_id",enemy_skills!$1:$1,0)+1),MATCH(D$1,enemy_skills!$1:$1,0)-MATCH("enemy_skill_id",enemy_skills!$1:$1,0)+1,FALSE)</f>
        <v>ヒーローといえど容赦はしません…！</v>
      </c>
      <c r="E48" s="172" t="str">
        <f ca="1">VLOOKUP($C48,OFFSET(enemy_skills!$A$1,0,0,COUNTA(enemy_skills!$A:$A),MATCH(E$1,enemy_skills!$1:$1,0)-MATCH("enemy_skill_id",enemy_skills!$1:$1,0)+1),MATCH(E$1,enemy_skills!$1:$1,0)-MATCH("enemy_skill_id",enemy_skills!$1:$1,0)+1,FALSE)</f>
        <v>緑パネルプロテクト</v>
      </c>
      <c r="F48" s="176">
        <v>39012602</v>
      </c>
      <c r="G48" s="173">
        <f ca="1">VLOOKUP($F48,OFFSET(enemy_skill_triggers!$A$1,0,0,COUNTA(enemy_skill_triggers!$A:$A),MATCH(G$1,enemy_skill_triggers!$1:$1,0)-MATCH($F$1,enemy_skill_triggers!$1:$1,0)+1),MATCH(G$1,enemy_skill_triggers!$1:$1,0)-MATCH($F$1,enemy_skill_triggers!$1:$1,0)+1,FALSE)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48" s="173">
        <f ca="1">VLOOKUP($F48,OFFSET(enemy_skill_triggers!$A$1,0,0,COUNTA(enemy_skill_triggers!$A:$A),MATCH(H$1,enemy_skill_triggers!$1:$1,0)-MATCH($F$1,enemy_skill_triggers!$1:$1,0)+1),MATCH(H$1,enemy_skill_triggers!$1:$1,0)-MATCH($F$1,enemy_skill_triggers!$1:$1,0)+1,FALSE)</f>
        <v>997</v>
      </c>
      <c r="I48" s="173">
        <f ca="1">VLOOKUP($F48,OFFSET(enemy_skill_triggers!$A$1,0,0,COUNTA(enemy_skill_triggers!$A:$A),MATCH(I$1,enemy_skill_triggers!$1:$1,0)-MATCH($F$1,enemy_skill_triggers!$1:$1,0)+1),MATCH(I$1,enemy_skill_triggers!$1:$1,0)-MATCH($F$1,enemy_skill_triggers!$1:$1,0)+1,FALSE)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8" s="173" t="str">
        <f ca="1">VLOOKUP($F48,OFFSET(enemy_skill_triggers!$A$1,0,0,COUNTA(enemy_skill_triggers!$A:$A),MATCH(J$1,enemy_skill_triggers!$1:$1,0)-MATCH($F$1,enemy_skill_triggers!$1:$1,0)+1),MATCH(J$1,enemy_skill_triggers!$1:$1,0)-MATCH($F$1,enemy_skill_triggers!$1:$1,0)+1,FALSE)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8" s="173" t="str">
        <f ca="1">VLOOKUP($F48,OFFSET(enemy_skill_triggers!$A$1,0,0,COUNTA(enemy_skill_triggers!$A:$A),MATCH(K$1,enemy_skill_triggers!$1:$1,0)-MATCH($F$1,enemy_skill_triggers!$1:$1,0)+1),MATCH(K$1,enemy_skill_triggers!$1:$1,0)-MATCH($F$1,enemy_skill_triggers!$1:$1,0)+1,FALSE)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8" s="173">
        <f ca="1">VLOOKUP($F48,OFFSET(enemy_skill_triggers!$A$1,0,0,COUNTA(enemy_skill_triggers!$A:$A),MATCH(L$1,enemy_skill_triggers!$1:$1,0)-MATCH($F$1,enemy_skill_triggers!$1:$1,0)+1),MATCH(L$1,enemy_skill_triggers!$1:$1,0)-MATCH($F$1,enemy_skill_triggers!$1:$1,0)+1,FALSE)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8" s="173">
        <f ca="1">VLOOKUP($F48,OFFSET(enemy_skill_triggers!$A$1,0,0,COUNTA(enemy_skill_triggers!$A:$A),MATCH(M$1,enemy_skill_triggers!$1:$1,0)-MATCH($F$1,enemy_skill_triggers!$1:$1,0)+1),MATCH(M$1,enemy_skill_triggers!$1:$1,0)-MATCH($F$1,enemy_skill_triggers!$1:$1,0)+1,FALSE)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48" s="173">
        <f ca="1">VLOOKUP($F48,OFFSET(enemy_skill_triggers!$A$1,0,0,COUNTA(enemy_skill_triggers!$A:$A),MATCH(N$1,enemy_skill_triggers!$1:$1,0)-MATCH($F$1,enemy_skill_triggers!$1:$1,0)+1),MATCH(N$1,enemy_skill_triggers!$1:$1,0)-MATCH($F$1,enemy_skill_triggers!$1:$1,0)+1,FALSE)</f>
        <v>1538</v>
      </c>
      <c r="O48" s="173">
        <f ca="1">VLOOKUP($F48,OFFSET(enemy_skill_triggers!$A$1,0,0,COUNTA(enemy_skill_triggers!$A:$A),MATCH(O$1,enemy_skill_triggers!$1:$1,0)-MATCH($F$1,enemy_skill_triggers!$1:$1,0)+1),MATCH(O$1,enemy_skill_triggers!$1:$1,0)-MATCH($F$1,enemy_skill_triggers!$1:$1,0)+1,FALSE)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8" s="174"/>
      <c r="Q48" s="174"/>
      <c r="R48" s="172">
        <f ca="1">VLOOKUP($C48,OFFSET(enemy_skills!$A$1,0,0,COUNTA(enemy_skills!$A:$A),MATCH(R$1,enemy_skills!$1:$1,0)-MATCH("enemy_skill_id",enemy_skills!$1:$1,0)+1),MATCH(R$1,enemy_skills!$1:$1,0)-MATCH("enemy_skill_id",enemy_skills!$1:$1,0)+1,FALSE)</f>
        <v>0</v>
      </c>
    </row>
    <row r="49" spans="1:18" s="175" customFormat="1" ht="21" customHeight="1" x14ac:dyDescent="0.15">
      <c r="A49" s="171" t="str">
        <f t="shared" si="10"/>
        <v>39012508_39012533</v>
      </c>
      <c r="B49" s="176">
        <v>39012508</v>
      </c>
      <c r="C49" s="176">
        <v>39012533</v>
      </c>
      <c r="D49" s="172" t="str">
        <f ca="1">VLOOKUP($C49,OFFSET(enemy_skills!$A$1,0,0,COUNTA(enemy_skills!$A:$A),MATCH(D$1,enemy_skills!$1:$1,0)-MATCH("enemy_skill_id",enemy_skills!$1:$1,0)+1),MATCH(D$1,enemy_skills!$1:$1,0)-MATCH("enemy_skill_id",enemy_skills!$1:$1,0)+1,FALSE)</f>
        <v>ヒーローといえど容赦はしません…！</v>
      </c>
      <c r="E49" s="172" t="str">
        <f ca="1">VLOOKUP($C49,OFFSET(enemy_skills!$A$1,0,0,COUNTA(enemy_skills!$A:$A),MATCH(E$1,enemy_skills!$1:$1,0)-MATCH("enemy_skill_id",enemy_skills!$1:$1,0)+1),MATCH(E$1,enemy_skills!$1:$1,0)-MATCH("enemy_skill_id",enemy_skills!$1:$1,0)+1,FALSE)</f>
        <v>緑パネルプロテクト</v>
      </c>
      <c r="F49" s="176">
        <v>39012603</v>
      </c>
      <c r="G49" s="173">
        <f ca="1">VLOOKUP($F49,OFFSET(enemy_skill_triggers!$A$1,0,0,COUNTA(enemy_skill_triggers!$A:$A),MATCH(G$1,enemy_skill_triggers!$1:$1,0)-MATCH($F$1,enemy_skill_triggers!$1:$1,0)+1),MATCH(G$1,enemy_skill_triggers!$1:$1,0)-MATCH($F$1,enemy_skill_triggers!$1:$1,0)+1,FALSE)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49" s="173">
        <f ca="1">VLOOKUP($F49,OFFSET(enemy_skill_triggers!$A$1,0,0,COUNTA(enemy_skill_triggers!$A:$A),MATCH(H$1,enemy_skill_triggers!$1:$1,0)-MATCH($F$1,enemy_skill_triggers!$1:$1,0)+1),MATCH(H$1,enemy_skill_triggers!$1:$1,0)-MATCH($F$1,enemy_skill_triggers!$1:$1,0)+1,FALSE)</f>
        <v>996</v>
      </c>
      <c r="I49" s="173">
        <f ca="1">VLOOKUP($F49,OFFSET(enemy_skill_triggers!$A$1,0,0,COUNTA(enemy_skill_triggers!$A:$A),MATCH(I$1,enemy_skill_triggers!$1:$1,0)-MATCH($F$1,enemy_skill_triggers!$1:$1,0)+1),MATCH(I$1,enemy_skill_triggers!$1:$1,0)-MATCH($F$1,enemy_skill_triggers!$1:$1,0)+1,FALSE)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9" s="173" t="str">
        <f ca="1">VLOOKUP($F49,OFFSET(enemy_skill_triggers!$A$1,0,0,COUNTA(enemy_skill_triggers!$A:$A),MATCH(J$1,enemy_skill_triggers!$1:$1,0)-MATCH($F$1,enemy_skill_triggers!$1:$1,0)+1),MATCH(J$1,enemy_skill_triggers!$1:$1,0)-MATCH($F$1,enemy_skill_triggers!$1:$1,0)+1,FALSE)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9" s="173" t="str">
        <f ca="1">VLOOKUP($F49,OFFSET(enemy_skill_triggers!$A$1,0,0,COUNTA(enemy_skill_triggers!$A:$A),MATCH(K$1,enemy_skill_triggers!$1:$1,0)-MATCH($F$1,enemy_skill_triggers!$1:$1,0)+1),MATCH(K$1,enemy_skill_triggers!$1:$1,0)-MATCH($F$1,enemy_skill_triggers!$1:$1,0)+1,FALSE)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9" s="173">
        <f ca="1">VLOOKUP($F49,OFFSET(enemy_skill_triggers!$A$1,0,0,COUNTA(enemy_skill_triggers!$A:$A),MATCH(L$1,enemy_skill_triggers!$1:$1,0)-MATCH($F$1,enemy_skill_triggers!$1:$1,0)+1),MATCH(L$1,enemy_skill_triggers!$1:$1,0)-MATCH($F$1,enemy_skill_triggers!$1:$1,0)+1,FALSE)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9" s="173">
        <f ca="1">VLOOKUP($F49,OFFSET(enemy_skill_triggers!$A$1,0,0,COUNTA(enemy_skill_triggers!$A:$A),MATCH(M$1,enemy_skill_triggers!$1:$1,0)-MATCH($F$1,enemy_skill_triggers!$1:$1,0)+1),MATCH(M$1,enemy_skill_triggers!$1:$1,0)-MATCH($F$1,enemy_skill_triggers!$1:$1,0)+1,FALSE)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49" s="173">
        <f ca="1">VLOOKUP($F49,OFFSET(enemy_skill_triggers!$A$1,0,0,COUNTA(enemy_skill_triggers!$A:$A),MATCH(N$1,enemy_skill_triggers!$1:$1,0)-MATCH($F$1,enemy_skill_triggers!$1:$1,0)+1),MATCH(N$1,enemy_skill_triggers!$1:$1,0)-MATCH($F$1,enemy_skill_triggers!$1:$1,0)+1,FALSE)</f>
        <v>1537</v>
      </c>
      <c r="O49" s="173">
        <f ca="1">VLOOKUP($F49,OFFSET(enemy_skill_triggers!$A$1,0,0,COUNTA(enemy_skill_triggers!$A:$A),MATCH(O$1,enemy_skill_triggers!$1:$1,0)-MATCH($F$1,enemy_skill_triggers!$1:$1,0)+1),MATCH(O$1,enemy_skill_triggers!$1:$1,0)-MATCH($F$1,enemy_skill_triggers!$1:$1,0)+1,FALSE)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9" s="174"/>
      <c r="Q49" s="174"/>
      <c r="R49" s="172">
        <f ca="1">VLOOKUP($C49,OFFSET(enemy_skills!$A$1,0,0,COUNTA(enemy_skills!$A:$A),MATCH(R$1,enemy_skills!$1:$1,0)-MATCH("enemy_skill_id",enemy_skills!$1:$1,0)+1),MATCH(R$1,enemy_skills!$1:$1,0)-MATCH("enemy_skill_id",enemy_skills!$1:$1,0)+1,FALSE)</f>
        <v>0</v>
      </c>
    </row>
    <row r="50" spans="1:18" s="175" customFormat="1" ht="21" customHeight="1" x14ac:dyDescent="0.15">
      <c r="A50" s="171" t="str">
        <f t="shared" si="10"/>
        <v>39012508_39012539</v>
      </c>
      <c r="B50" s="176">
        <v>39012508</v>
      </c>
      <c r="C50" s="176">
        <v>39012539</v>
      </c>
      <c r="D50" s="172" t="str">
        <f ca="1">VLOOKUP($C50,OFFSET(enemy_skills!$A$1,0,0,COUNTA(enemy_skills!$A:$A),MATCH(D$1,enemy_skills!$1:$1,0)-MATCH("enemy_skill_id",enemy_skills!$1:$1,0)+1),MATCH(D$1,enemy_skills!$1:$1,0)-MATCH("enemy_skill_id",enemy_skills!$1:$1,0)+1,FALSE)</f>
        <v>戦の女神の力をここに示します…！</v>
      </c>
      <c r="E50" s="172" t="str">
        <f ca="1">VLOOKUP($C50,OFFSET(enemy_skills!$A$1,0,0,COUNTA(enemy_skills!$A:$A),MATCH(E$1,enemy_skills!$1:$1,0)-MATCH("enemy_skill_id",enemy_skills!$1:$1,0)+1),MATCH(E$1,enemy_skills!$1:$1,0)-MATCH("enemy_skill_id",enemy_skills!$1:$1,0)+1,FALSE)</f>
        <v>緑パネルプロテクト</v>
      </c>
      <c r="F50" s="176">
        <v>39012604</v>
      </c>
      <c r="G50" s="173">
        <f ca="1">VLOOKUP($F50,OFFSET(enemy_skill_triggers!$A$1,0,0,COUNTA(enemy_skill_triggers!$A:$A),MATCH(G$1,enemy_skill_triggers!$1:$1,0)-MATCH($F$1,enemy_skill_triggers!$1:$1,0)+1),MATCH(G$1,enemy_skill_triggers!$1:$1,0)-MATCH($F$1,enemy_skill_triggers!$1:$1,0)+1,FALSE)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50" s="173">
        <f ca="1">VLOOKUP($F50,OFFSET(enemy_skill_triggers!$A$1,0,0,COUNTA(enemy_skill_triggers!$A:$A),MATCH(H$1,enemy_skill_triggers!$1:$1,0)-MATCH($F$1,enemy_skill_triggers!$1:$1,0)+1),MATCH(H$1,enemy_skill_triggers!$1:$1,0)-MATCH($F$1,enemy_skill_triggers!$1:$1,0)+1,FALSE)</f>
        <v>995</v>
      </c>
      <c r="I50" s="173">
        <f ca="1">VLOOKUP($F50,OFFSET(enemy_skill_triggers!$A$1,0,0,COUNTA(enemy_skill_triggers!$A:$A),MATCH(I$1,enemy_skill_triggers!$1:$1,0)-MATCH($F$1,enemy_skill_triggers!$1:$1,0)+1),MATCH(I$1,enemy_skill_triggers!$1:$1,0)-MATCH($F$1,enemy_skill_triggers!$1:$1,0)+1,FALSE)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0" s="173" t="str">
        <f ca="1">VLOOKUP($F50,OFFSET(enemy_skill_triggers!$A$1,0,0,COUNTA(enemy_skill_triggers!$A:$A),MATCH(J$1,enemy_skill_triggers!$1:$1,0)-MATCH($F$1,enemy_skill_triggers!$1:$1,0)+1),MATCH(J$1,enemy_skill_triggers!$1:$1,0)-MATCH($F$1,enemy_skill_triggers!$1:$1,0)+1,FALSE)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0" s="173" t="str">
        <f ca="1">VLOOKUP($F50,OFFSET(enemy_skill_triggers!$A$1,0,0,COUNTA(enemy_skill_triggers!$A:$A),MATCH(K$1,enemy_skill_triggers!$1:$1,0)-MATCH($F$1,enemy_skill_triggers!$1:$1,0)+1),MATCH(K$1,enemy_skill_triggers!$1:$1,0)-MATCH($F$1,enemy_skill_triggers!$1:$1,0)+1,FALSE)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0" s="173">
        <f ca="1">VLOOKUP($F50,OFFSET(enemy_skill_triggers!$A$1,0,0,COUNTA(enemy_skill_triggers!$A:$A),MATCH(L$1,enemy_skill_triggers!$1:$1,0)-MATCH($F$1,enemy_skill_triggers!$1:$1,0)+1),MATCH(L$1,enemy_skill_triggers!$1:$1,0)-MATCH($F$1,enemy_skill_triggers!$1:$1,0)+1,FALSE)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50" s="173">
        <f ca="1">VLOOKUP($F50,OFFSET(enemy_skill_triggers!$A$1,0,0,COUNTA(enemy_skill_triggers!$A:$A),MATCH(M$1,enemy_skill_triggers!$1:$1,0)-MATCH($F$1,enemy_skill_triggers!$1:$1,0)+1),MATCH(M$1,enemy_skill_triggers!$1:$1,0)-MATCH($F$1,enemy_skill_triggers!$1:$1,0)+1,FALSE)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50" s="173">
        <f ca="1">VLOOKUP($F50,OFFSET(enemy_skill_triggers!$A$1,0,0,COUNTA(enemy_skill_triggers!$A:$A),MATCH(N$1,enemy_skill_triggers!$1:$1,0)-MATCH($F$1,enemy_skill_triggers!$1:$1,0)+1),MATCH(N$1,enemy_skill_triggers!$1:$1,0)-MATCH($F$1,enemy_skill_triggers!$1:$1,0)+1,FALSE)</f>
        <v>1536</v>
      </c>
      <c r="O50" s="173">
        <f ca="1">VLOOKUP($F50,OFFSET(enemy_skill_triggers!$A$1,0,0,COUNTA(enemy_skill_triggers!$A:$A),MATCH(O$1,enemy_skill_triggers!$1:$1,0)-MATCH($F$1,enemy_skill_triggers!$1:$1,0)+1),MATCH(O$1,enemy_skill_triggers!$1:$1,0)-MATCH($F$1,enemy_skill_triggers!$1:$1,0)+1,FALSE)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0" s="174"/>
      <c r="Q50" s="174"/>
      <c r="R50" s="172">
        <f ca="1">VLOOKUP($C50,OFFSET(enemy_skills!$A$1,0,0,COUNTA(enemy_skills!$A:$A),MATCH(R$1,enemy_skills!$1:$1,0)-MATCH("enemy_skill_id",enemy_skills!$1:$1,0)+1),MATCH(R$1,enemy_skills!$1:$1,0)-MATCH("enemy_skill_id",enemy_skills!$1:$1,0)+1,FALSE)</f>
        <v>0</v>
      </c>
    </row>
    <row r="51" spans="1:18" s="175" customFormat="1" ht="21" customHeight="1" x14ac:dyDescent="0.15">
      <c r="A51" s="171" t="str">
        <f t="shared" si="10"/>
        <v>39012508_39012539</v>
      </c>
      <c r="B51" s="176">
        <v>39012508</v>
      </c>
      <c r="C51" s="176">
        <v>39012539</v>
      </c>
      <c r="D51" s="172" t="str">
        <f ca="1">VLOOKUP($C51,OFFSET(enemy_skills!$A$1,0,0,COUNTA(enemy_skills!$A:$A),MATCH(D$1,enemy_skills!$1:$1,0)-MATCH("enemy_skill_id",enemy_skills!$1:$1,0)+1),MATCH(D$1,enemy_skills!$1:$1,0)-MATCH("enemy_skill_id",enemy_skills!$1:$1,0)+1,FALSE)</f>
        <v>戦の女神の力をここに示します…！</v>
      </c>
      <c r="E51" s="172" t="str">
        <f ca="1">VLOOKUP($C51,OFFSET(enemy_skills!$A$1,0,0,COUNTA(enemy_skills!$A:$A),MATCH(E$1,enemy_skills!$1:$1,0)-MATCH("enemy_skill_id",enemy_skills!$1:$1,0)+1),MATCH(E$1,enemy_skills!$1:$1,0)-MATCH("enemy_skill_id",enemy_skills!$1:$1,0)+1,FALSE)</f>
        <v>緑パネルプロテクト</v>
      </c>
      <c r="F51" s="176">
        <v>39012605</v>
      </c>
      <c r="G51" s="173">
        <f ca="1">VLOOKUP($F51,OFFSET(enemy_skill_triggers!$A$1,0,0,COUNTA(enemy_skill_triggers!$A:$A),MATCH(G$1,enemy_skill_triggers!$1:$1,0)-MATCH($F$1,enemy_skill_triggers!$1:$1,0)+1),MATCH(G$1,enemy_skill_triggers!$1:$1,0)-MATCH($F$1,enemy_skill_triggers!$1:$1,0)+1,FALSE)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51" s="173">
        <f ca="1">VLOOKUP($F51,OFFSET(enemy_skill_triggers!$A$1,0,0,COUNTA(enemy_skill_triggers!$A:$A),MATCH(H$1,enemy_skill_triggers!$1:$1,0)-MATCH($F$1,enemy_skill_triggers!$1:$1,0)+1),MATCH(H$1,enemy_skill_triggers!$1:$1,0)-MATCH($F$1,enemy_skill_triggers!$1:$1,0)+1,FALSE)</f>
        <v>994</v>
      </c>
      <c r="I51" s="173">
        <f ca="1">VLOOKUP($F51,OFFSET(enemy_skill_triggers!$A$1,0,0,COUNTA(enemy_skill_triggers!$A:$A),MATCH(I$1,enemy_skill_triggers!$1:$1,0)-MATCH($F$1,enemy_skill_triggers!$1:$1,0)+1),MATCH(I$1,enemy_skill_triggers!$1:$1,0)-MATCH($F$1,enemy_skill_triggers!$1:$1,0)+1,FALSE)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1" s="173" t="str">
        <f ca="1">VLOOKUP($F51,OFFSET(enemy_skill_triggers!$A$1,0,0,COUNTA(enemy_skill_triggers!$A:$A),MATCH(J$1,enemy_skill_triggers!$1:$1,0)-MATCH($F$1,enemy_skill_triggers!$1:$1,0)+1),MATCH(J$1,enemy_skill_triggers!$1:$1,0)-MATCH($F$1,enemy_skill_triggers!$1:$1,0)+1,FALSE)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1" s="173" t="str">
        <f ca="1">VLOOKUP($F51,OFFSET(enemy_skill_triggers!$A$1,0,0,COUNTA(enemy_skill_triggers!$A:$A),MATCH(K$1,enemy_skill_triggers!$1:$1,0)-MATCH($F$1,enemy_skill_triggers!$1:$1,0)+1),MATCH(K$1,enemy_skill_triggers!$1:$1,0)-MATCH($F$1,enemy_skill_triggers!$1:$1,0)+1,FALSE)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1" s="173">
        <f ca="1">VLOOKUP($F51,OFFSET(enemy_skill_triggers!$A$1,0,0,COUNTA(enemy_skill_triggers!$A:$A),MATCH(L$1,enemy_skill_triggers!$1:$1,0)-MATCH($F$1,enemy_skill_triggers!$1:$1,0)+1),MATCH(L$1,enemy_skill_triggers!$1:$1,0)-MATCH($F$1,enemy_skill_triggers!$1:$1,0)+1,FALSE)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51" s="173">
        <f ca="1">VLOOKUP($F51,OFFSET(enemy_skill_triggers!$A$1,0,0,COUNTA(enemy_skill_triggers!$A:$A),MATCH(M$1,enemy_skill_triggers!$1:$1,0)-MATCH($F$1,enemy_skill_triggers!$1:$1,0)+1),MATCH(M$1,enemy_skill_triggers!$1:$1,0)-MATCH($F$1,enemy_skill_triggers!$1:$1,0)+1,FALSE)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51" s="173">
        <f ca="1">VLOOKUP($F51,OFFSET(enemy_skill_triggers!$A$1,0,0,COUNTA(enemy_skill_triggers!$A:$A),MATCH(N$1,enemy_skill_triggers!$1:$1,0)-MATCH($F$1,enemy_skill_triggers!$1:$1,0)+1),MATCH(N$1,enemy_skill_triggers!$1:$1,0)-MATCH($F$1,enemy_skill_triggers!$1:$1,0)+1,FALSE)</f>
        <v>1535</v>
      </c>
      <c r="O51" s="173">
        <f ca="1">VLOOKUP($F51,OFFSET(enemy_skill_triggers!$A$1,0,0,COUNTA(enemy_skill_triggers!$A:$A),MATCH(O$1,enemy_skill_triggers!$1:$1,0)-MATCH($F$1,enemy_skill_triggers!$1:$1,0)+1),MATCH(O$1,enemy_skill_triggers!$1:$1,0)-MATCH($F$1,enemy_skill_triggers!$1:$1,0)+1,FALSE)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1" s="174"/>
      <c r="Q51" s="174"/>
      <c r="R51" s="172">
        <f ca="1">VLOOKUP($C51,OFFSET(enemy_skills!$A$1,0,0,COUNTA(enemy_skills!$A:$A),MATCH(R$1,enemy_skills!$1:$1,0)-MATCH("enemy_skill_id",enemy_skills!$1:$1,0)+1),MATCH(R$1,enemy_skills!$1:$1,0)-MATCH("enemy_skill_id",enemy_skills!$1:$1,0)+1,FALSE)</f>
        <v>0</v>
      </c>
    </row>
    <row r="52" spans="1:18" s="175" customFormat="1" ht="21" customHeight="1" x14ac:dyDescent="0.15">
      <c r="A52" s="171" t="str">
        <f t="shared" si="10"/>
        <v>39012508_39012535</v>
      </c>
      <c r="B52" s="176">
        <v>39012508</v>
      </c>
      <c r="C52" s="176">
        <v>39012535</v>
      </c>
      <c r="D52" s="172" t="str">
        <f ca="1">VLOOKUP($C52,OFFSET(enemy_skills!$A$1,0,0,COUNTA(enemy_skills!$A:$A),MATCH(D$1,enemy_skills!$1:$1,0)-MATCH("enemy_skill_id",enemy_skills!$1:$1,0)+1),MATCH(D$1,enemy_skills!$1:$1,0)-MATCH("enemy_skill_id",enemy_skills!$1:$1,0)+1,FALSE)</f>
        <v>くっ…戦ってないのになぜか負けた気がします…</v>
      </c>
      <c r="E52" s="172" t="str">
        <f ca="1">VLOOKUP($C52,OFFSET(enemy_skills!$A$1,0,0,COUNTA(enemy_skills!$A:$A),MATCH(E$1,enemy_skills!$1:$1,0)-MATCH("enemy_skill_id",enemy_skills!$1:$1,0)+1),MATCH(E$1,enemy_skills!$1:$1,0)-MATCH("enemy_skill_id",enemy_skills!$1:$1,0)+1,FALSE)</f>
        <v>緑パネルプロテクト</v>
      </c>
      <c r="F52" s="176">
        <v>39012606</v>
      </c>
      <c r="G52" s="173">
        <f ca="1">VLOOKUP($F52,OFFSET(enemy_skill_triggers!$A$1,0,0,COUNTA(enemy_skill_triggers!$A:$A),MATCH(G$1,enemy_skill_triggers!$1:$1,0)-MATCH($F$1,enemy_skill_triggers!$1:$1,0)+1),MATCH(G$1,enemy_skill_triggers!$1:$1,0)-MATCH($F$1,enemy_skill_triggers!$1:$1,0)+1,FALSE)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52" s="173">
        <f ca="1">VLOOKUP($F52,OFFSET(enemy_skill_triggers!$A$1,0,0,COUNTA(enemy_skill_triggers!$A:$A),MATCH(H$1,enemy_skill_triggers!$1:$1,0)-MATCH($F$1,enemy_skill_triggers!$1:$1,0)+1),MATCH(H$1,enemy_skill_triggers!$1:$1,0)-MATCH($F$1,enemy_skill_triggers!$1:$1,0)+1,FALSE)</f>
        <v>993</v>
      </c>
      <c r="I52" s="173">
        <f ca="1">VLOOKUP($F52,OFFSET(enemy_skill_triggers!$A$1,0,0,COUNTA(enemy_skill_triggers!$A:$A),MATCH(I$1,enemy_skill_triggers!$1:$1,0)-MATCH($F$1,enemy_skill_triggers!$1:$1,0)+1),MATCH(I$1,enemy_skill_triggers!$1:$1,0)-MATCH($F$1,enemy_skill_triggers!$1:$1,0)+1,FALSE)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2" s="173" t="str">
        <f ca="1">VLOOKUP($F52,OFFSET(enemy_skill_triggers!$A$1,0,0,COUNTA(enemy_skill_triggers!$A:$A),MATCH(J$1,enemy_skill_triggers!$1:$1,0)-MATCH($F$1,enemy_skill_triggers!$1:$1,0)+1),MATCH(J$1,enemy_skill_triggers!$1:$1,0)-MATCH($F$1,enemy_skill_triggers!$1:$1,0)+1,FALSE)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2" s="173" t="str">
        <f ca="1">VLOOKUP($F52,OFFSET(enemy_skill_triggers!$A$1,0,0,COUNTA(enemy_skill_triggers!$A:$A),MATCH(K$1,enemy_skill_triggers!$1:$1,0)-MATCH($F$1,enemy_skill_triggers!$1:$1,0)+1),MATCH(K$1,enemy_skill_triggers!$1:$1,0)-MATCH($F$1,enemy_skill_triggers!$1:$1,0)+1,FALSE)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2" s="173">
        <f ca="1">VLOOKUP($F52,OFFSET(enemy_skill_triggers!$A$1,0,0,COUNTA(enemy_skill_triggers!$A:$A),MATCH(L$1,enemy_skill_triggers!$1:$1,0)-MATCH($F$1,enemy_skill_triggers!$1:$1,0)+1),MATCH(L$1,enemy_skill_triggers!$1:$1,0)-MATCH($F$1,enemy_skill_triggers!$1:$1,0)+1,FALSE)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52" s="173">
        <f ca="1">VLOOKUP($F52,OFFSET(enemy_skill_triggers!$A$1,0,0,COUNTA(enemy_skill_triggers!$A:$A),MATCH(M$1,enemy_skill_triggers!$1:$1,0)-MATCH($F$1,enemy_skill_triggers!$1:$1,0)+1),MATCH(M$1,enemy_skill_triggers!$1:$1,0)-MATCH($F$1,enemy_skill_triggers!$1:$1,0)+1,FALSE)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52" s="173">
        <f ca="1">VLOOKUP($F52,OFFSET(enemy_skill_triggers!$A$1,0,0,COUNTA(enemy_skill_triggers!$A:$A),MATCH(N$1,enemy_skill_triggers!$1:$1,0)-MATCH($F$1,enemy_skill_triggers!$1:$1,0)+1),MATCH(N$1,enemy_skill_triggers!$1:$1,0)-MATCH($F$1,enemy_skill_triggers!$1:$1,0)+1,FALSE)</f>
        <v>1540</v>
      </c>
      <c r="O52" s="173">
        <f ca="1">VLOOKUP($F52,OFFSET(enemy_skill_triggers!$A$1,0,0,COUNTA(enemy_skill_triggers!$A:$A),MATCH(O$1,enemy_skill_triggers!$1:$1,0)-MATCH($F$1,enemy_skill_triggers!$1:$1,0)+1),MATCH(O$1,enemy_skill_triggers!$1:$1,0)-MATCH($F$1,enemy_skill_triggers!$1:$1,0)+1,FALSE)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2" s="174"/>
      <c r="Q52" s="174"/>
      <c r="R52" s="172">
        <f ca="1">VLOOKUP($C52,OFFSET(enemy_skills!$A$1,0,0,COUNTA(enemy_skills!$A:$A),MATCH(R$1,enemy_skills!$1:$1,0)-MATCH("enemy_skill_id",enemy_skills!$1:$1,0)+1),MATCH(R$1,enemy_skills!$1:$1,0)-MATCH("enemy_skill_id",enemy_skills!$1:$1,0)+1,FALSE)</f>
        <v>0</v>
      </c>
    </row>
    <row r="53" spans="1:18" s="175" customFormat="1" ht="21" customHeight="1" x14ac:dyDescent="0.15">
      <c r="A53" s="171" t="str">
        <f t="shared" ref="A53:A60" si="11">B53&amp;"_"&amp;C53</f>
        <v>39012508_39012535</v>
      </c>
      <c r="B53" s="176">
        <v>39012508</v>
      </c>
      <c r="C53" s="176">
        <v>39012535</v>
      </c>
      <c r="D53" s="172" t="str">
        <f ca="1">VLOOKUP($C53,OFFSET(enemy_skills!$A$1,0,0,COUNTA(enemy_skills!$A:$A),MATCH(D$1,enemy_skills!$1:$1,0)-MATCH("enemy_skill_id",enemy_skills!$1:$1,0)+1),MATCH(D$1,enemy_skills!$1:$1,0)-MATCH("enemy_skill_id",enemy_skills!$1:$1,0)+1,FALSE)</f>
        <v>くっ…戦ってないのになぜか負けた気がします…</v>
      </c>
      <c r="E53" s="172" t="str">
        <f ca="1">VLOOKUP($C53,OFFSET(enemy_skills!$A$1,0,0,COUNTA(enemy_skills!$A:$A),MATCH(E$1,enemy_skills!$1:$1,0)-MATCH("enemy_skill_id",enemy_skills!$1:$1,0)+1),MATCH(E$1,enemy_skills!$1:$1,0)-MATCH("enemy_skill_id",enemy_skills!$1:$1,0)+1,FALSE)</f>
        <v>緑パネルプロテクト</v>
      </c>
      <c r="F53" s="176">
        <v>39012607</v>
      </c>
      <c r="G53" s="173">
        <f ca="1">VLOOKUP($F53,OFFSET(enemy_skill_triggers!$A$1,0,0,COUNTA(enemy_skill_triggers!$A:$A),MATCH(G$1,enemy_skill_triggers!$1:$1,0)-MATCH($F$1,enemy_skill_triggers!$1:$1,0)+1),MATCH(G$1,enemy_skill_triggers!$1:$1,0)-MATCH($F$1,enemy_skill_triggers!$1:$1,0)+1,FALSE)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53" s="173">
        <f ca="1">VLOOKUP($F53,OFFSET(enemy_skill_triggers!$A$1,0,0,COUNTA(enemy_skill_triggers!$A:$A),MATCH(H$1,enemy_skill_triggers!$1:$1,0)-MATCH($F$1,enemy_skill_triggers!$1:$1,0)+1),MATCH(H$1,enemy_skill_triggers!$1:$1,0)-MATCH($F$1,enemy_skill_triggers!$1:$1,0)+1,FALSE)</f>
        <v>992</v>
      </c>
      <c r="I53" s="173">
        <f ca="1">VLOOKUP($F53,OFFSET(enemy_skill_triggers!$A$1,0,0,COUNTA(enemy_skill_triggers!$A:$A),MATCH(I$1,enemy_skill_triggers!$1:$1,0)-MATCH($F$1,enemy_skill_triggers!$1:$1,0)+1),MATCH(I$1,enemy_skill_triggers!$1:$1,0)-MATCH($F$1,enemy_skill_triggers!$1:$1,0)+1,FALSE)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3" s="173" t="str">
        <f ca="1">VLOOKUP($F53,OFFSET(enemy_skill_triggers!$A$1,0,0,COUNTA(enemy_skill_triggers!$A:$A),MATCH(J$1,enemy_skill_triggers!$1:$1,0)-MATCH($F$1,enemy_skill_triggers!$1:$1,0)+1),MATCH(J$1,enemy_skill_triggers!$1:$1,0)-MATCH($F$1,enemy_skill_triggers!$1:$1,0)+1,FALSE)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3" s="173" t="str">
        <f ca="1">VLOOKUP($F53,OFFSET(enemy_skill_triggers!$A$1,0,0,COUNTA(enemy_skill_triggers!$A:$A),MATCH(K$1,enemy_skill_triggers!$1:$1,0)-MATCH($F$1,enemy_skill_triggers!$1:$1,0)+1),MATCH(K$1,enemy_skill_triggers!$1:$1,0)-MATCH($F$1,enemy_skill_triggers!$1:$1,0)+1,FALSE)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3" s="173">
        <f ca="1">VLOOKUP($F53,OFFSET(enemy_skill_triggers!$A$1,0,0,COUNTA(enemy_skill_triggers!$A:$A),MATCH(L$1,enemy_skill_triggers!$1:$1,0)-MATCH($F$1,enemy_skill_triggers!$1:$1,0)+1),MATCH(L$1,enemy_skill_triggers!$1:$1,0)-MATCH($F$1,enemy_skill_triggers!$1:$1,0)+1,FALSE)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53" s="173">
        <f ca="1">VLOOKUP($F53,OFFSET(enemy_skill_triggers!$A$1,0,0,COUNTA(enemy_skill_triggers!$A:$A),MATCH(M$1,enemy_skill_triggers!$1:$1,0)-MATCH($F$1,enemy_skill_triggers!$1:$1,0)+1),MATCH(M$1,enemy_skill_triggers!$1:$1,0)-MATCH($F$1,enemy_skill_triggers!$1:$1,0)+1,FALSE)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53" s="173">
        <f ca="1">VLOOKUP($F53,OFFSET(enemy_skill_triggers!$A$1,0,0,COUNTA(enemy_skill_triggers!$A:$A),MATCH(N$1,enemy_skill_triggers!$1:$1,0)-MATCH($F$1,enemy_skill_triggers!$1:$1,0)+1),MATCH(N$1,enemy_skill_triggers!$1:$1,0)-MATCH($F$1,enemy_skill_triggers!$1:$1,0)+1,FALSE)</f>
        <v>1539</v>
      </c>
      <c r="O53" s="173">
        <f ca="1">VLOOKUP($F53,OFFSET(enemy_skill_triggers!$A$1,0,0,COUNTA(enemy_skill_triggers!$A:$A),MATCH(O$1,enemy_skill_triggers!$1:$1,0)-MATCH($F$1,enemy_skill_triggers!$1:$1,0)+1),MATCH(O$1,enemy_skill_triggers!$1:$1,0)-MATCH($F$1,enemy_skill_triggers!$1:$1,0)+1,FALSE)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3" s="174"/>
      <c r="Q53" s="174"/>
      <c r="R53" s="172">
        <f ca="1">VLOOKUP($C53,OFFSET(enemy_skills!$A$1,0,0,COUNTA(enemy_skills!$A:$A),MATCH(R$1,enemy_skills!$1:$1,0)-MATCH("enemy_skill_id",enemy_skills!$1:$1,0)+1),MATCH(R$1,enemy_skills!$1:$1,0)-MATCH("enemy_skill_id",enemy_skills!$1:$1,0)+1,FALSE)</f>
        <v>0</v>
      </c>
    </row>
    <row r="54" spans="1:18" s="175" customFormat="1" ht="21" customHeight="1" x14ac:dyDescent="0.15">
      <c r="A54" s="171" t="str">
        <f t="shared" si="11"/>
        <v>39012508_39012536</v>
      </c>
      <c r="B54" s="176">
        <v>39012508</v>
      </c>
      <c r="C54" s="176">
        <v>39012536</v>
      </c>
      <c r="D54" s="172" t="str">
        <f ca="1">VLOOKUP($C54,OFFSET(enemy_skills!$A$1,0,0,COUNTA(enemy_skills!$A:$A),MATCH(D$1,enemy_skills!$1:$1,0)-MATCH("enemy_skill_id",enemy_skills!$1:$1,0)+1),MATCH(D$1,enemy_skills!$1:$1,0)-MATCH("enemy_skill_id",enemy_skills!$1:$1,0)+1,FALSE)</f>
        <v>美容に余念がないのですね…敵ながら尊敬します</v>
      </c>
      <c r="E54" s="172" t="str">
        <f ca="1">VLOOKUP($C54,OFFSET(enemy_skills!$A$1,0,0,COUNTA(enemy_skills!$A:$A),MATCH(E$1,enemy_skills!$1:$1,0)-MATCH("enemy_skill_id",enemy_skills!$1:$1,0)+1),MATCH(E$1,enemy_skills!$1:$1,0)-MATCH("enemy_skill_id",enemy_skills!$1:$1,0)+1,FALSE)</f>
        <v>緑パネルプロテクト</v>
      </c>
      <c r="F54" s="176">
        <v>39012608</v>
      </c>
      <c r="G54" s="173">
        <f ca="1">VLOOKUP($F54,OFFSET(enemy_skill_triggers!$A$1,0,0,COUNTA(enemy_skill_triggers!$A:$A),MATCH(G$1,enemy_skill_triggers!$1:$1,0)-MATCH($F$1,enemy_skill_triggers!$1:$1,0)+1),MATCH(G$1,enemy_skill_triggers!$1:$1,0)-MATCH($F$1,enemy_skill_triggers!$1:$1,0)+1,FALSE)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54" s="173">
        <f ca="1">VLOOKUP($F54,OFFSET(enemy_skill_triggers!$A$1,0,0,COUNTA(enemy_skill_triggers!$A:$A),MATCH(H$1,enemy_skill_triggers!$1:$1,0)-MATCH($F$1,enemy_skill_triggers!$1:$1,0)+1),MATCH(H$1,enemy_skill_triggers!$1:$1,0)-MATCH($F$1,enemy_skill_triggers!$1:$1,0)+1,FALSE)</f>
        <v>991</v>
      </c>
      <c r="I54" s="173">
        <f ca="1">VLOOKUP($F54,OFFSET(enemy_skill_triggers!$A$1,0,0,COUNTA(enemy_skill_triggers!$A:$A),MATCH(I$1,enemy_skill_triggers!$1:$1,0)-MATCH($F$1,enemy_skill_triggers!$1:$1,0)+1),MATCH(I$1,enemy_skill_triggers!$1:$1,0)-MATCH($F$1,enemy_skill_triggers!$1:$1,0)+1,FALSE)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4" s="173" t="str">
        <f ca="1">VLOOKUP($F54,OFFSET(enemy_skill_triggers!$A$1,0,0,COUNTA(enemy_skill_triggers!$A:$A),MATCH(J$1,enemy_skill_triggers!$1:$1,0)-MATCH($F$1,enemy_skill_triggers!$1:$1,0)+1),MATCH(J$1,enemy_skill_triggers!$1:$1,0)-MATCH($F$1,enemy_skill_triggers!$1:$1,0)+1,FALSE)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4" s="173" t="str">
        <f ca="1">VLOOKUP($F54,OFFSET(enemy_skill_triggers!$A$1,0,0,COUNTA(enemy_skill_triggers!$A:$A),MATCH(K$1,enemy_skill_triggers!$1:$1,0)-MATCH($F$1,enemy_skill_triggers!$1:$1,0)+1),MATCH(K$1,enemy_skill_triggers!$1:$1,0)-MATCH($F$1,enemy_skill_triggers!$1:$1,0)+1,FALSE)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4" s="173">
        <f ca="1">VLOOKUP($F54,OFFSET(enemy_skill_triggers!$A$1,0,0,COUNTA(enemy_skill_triggers!$A:$A),MATCH(L$1,enemy_skill_triggers!$1:$1,0)-MATCH($F$1,enemy_skill_triggers!$1:$1,0)+1),MATCH(L$1,enemy_skill_triggers!$1:$1,0)-MATCH($F$1,enemy_skill_triggers!$1:$1,0)+1,FALSE)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54" s="173">
        <f ca="1">VLOOKUP($F54,OFFSET(enemy_skill_triggers!$A$1,0,0,COUNTA(enemy_skill_triggers!$A:$A),MATCH(M$1,enemy_skill_triggers!$1:$1,0)-MATCH($F$1,enemy_skill_triggers!$1:$1,0)+1),MATCH(M$1,enemy_skill_triggers!$1:$1,0)-MATCH($F$1,enemy_skill_triggers!$1:$1,0)+1,FALSE)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54" s="173">
        <f ca="1">VLOOKUP($F54,OFFSET(enemy_skill_triggers!$A$1,0,0,COUNTA(enemy_skill_triggers!$A:$A),MATCH(N$1,enemy_skill_triggers!$1:$1,0)-MATCH($F$1,enemy_skill_triggers!$1:$1,0)+1),MATCH(N$1,enemy_skill_triggers!$1:$1,0)-MATCH($F$1,enemy_skill_triggers!$1:$1,0)+1,FALSE)</f>
        <v>1534</v>
      </c>
      <c r="O54" s="173">
        <f ca="1">VLOOKUP($F54,OFFSET(enemy_skill_triggers!$A$1,0,0,COUNTA(enemy_skill_triggers!$A:$A),MATCH(O$1,enemy_skill_triggers!$1:$1,0)-MATCH($F$1,enemy_skill_triggers!$1:$1,0)+1),MATCH(O$1,enemy_skill_triggers!$1:$1,0)-MATCH($F$1,enemy_skill_triggers!$1:$1,0)+1,FALSE)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4" s="174"/>
      <c r="Q54" s="174"/>
      <c r="R54" s="172">
        <f ca="1">VLOOKUP($C54,OFFSET(enemy_skills!$A$1,0,0,COUNTA(enemy_skills!$A:$A),MATCH(R$1,enemy_skills!$1:$1,0)-MATCH("enemy_skill_id",enemy_skills!$1:$1,0)+1),MATCH(R$1,enemy_skills!$1:$1,0)-MATCH("enemy_skill_id",enemy_skills!$1:$1,0)+1,FALSE)</f>
        <v>0</v>
      </c>
    </row>
    <row r="55" spans="1:18" s="175" customFormat="1" ht="21" customHeight="1" x14ac:dyDescent="0.15">
      <c r="A55" s="171" t="str">
        <f t="shared" si="11"/>
        <v>39012508_39012536</v>
      </c>
      <c r="B55" s="176">
        <v>39012508</v>
      </c>
      <c r="C55" s="176">
        <v>39012536</v>
      </c>
      <c r="D55" s="172" t="str">
        <f ca="1">VLOOKUP($C55,OFFSET(enemy_skills!$A$1,0,0,COUNTA(enemy_skills!$A:$A),MATCH(D$1,enemy_skills!$1:$1,0)-MATCH("enemy_skill_id",enemy_skills!$1:$1,0)+1),MATCH(D$1,enemy_skills!$1:$1,0)-MATCH("enemy_skill_id",enemy_skills!$1:$1,0)+1,FALSE)</f>
        <v>美容に余念がないのですね…敵ながら尊敬します</v>
      </c>
      <c r="E55" s="172" t="str">
        <f ca="1">VLOOKUP($C55,OFFSET(enemy_skills!$A$1,0,0,COUNTA(enemy_skills!$A:$A),MATCH(E$1,enemy_skills!$1:$1,0)-MATCH("enemy_skill_id",enemy_skills!$1:$1,0)+1),MATCH(E$1,enemy_skills!$1:$1,0)-MATCH("enemy_skill_id",enemy_skills!$1:$1,0)+1,FALSE)</f>
        <v>緑パネルプロテクト</v>
      </c>
      <c r="F55" s="176">
        <v>39012609</v>
      </c>
      <c r="G55" s="173">
        <f ca="1">VLOOKUP($F55,OFFSET(enemy_skill_triggers!$A$1,0,0,COUNTA(enemy_skill_triggers!$A:$A),MATCH(G$1,enemy_skill_triggers!$1:$1,0)-MATCH($F$1,enemy_skill_triggers!$1:$1,0)+1),MATCH(G$1,enemy_skill_triggers!$1:$1,0)-MATCH($F$1,enemy_skill_triggers!$1:$1,0)+1,FALSE)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55" s="173">
        <f ca="1">VLOOKUP($F55,OFFSET(enemy_skill_triggers!$A$1,0,0,COUNTA(enemy_skill_triggers!$A:$A),MATCH(H$1,enemy_skill_triggers!$1:$1,0)-MATCH($F$1,enemy_skill_triggers!$1:$1,0)+1),MATCH(H$1,enemy_skill_triggers!$1:$1,0)-MATCH($F$1,enemy_skill_triggers!$1:$1,0)+1,FALSE)</f>
        <v>990</v>
      </c>
      <c r="I55" s="173">
        <f ca="1">VLOOKUP($F55,OFFSET(enemy_skill_triggers!$A$1,0,0,COUNTA(enemy_skill_triggers!$A:$A),MATCH(I$1,enemy_skill_triggers!$1:$1,0)-MATCH($F$1,enemy_skill_triggers!$1:$1,0)+1),MATCH(I$1,enemy_skill_triggers!$1:$1,0)-MATCH($F$1,enemy_skill_triggers!$1:$1,0)+1,FALSE)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5" s="173" t="str">
        <f ca="1">VLOOKUP($F55,OFFSET(enemy_skill_triggers!$A$1,0,0,COUNTA(enemy_skill_triggers!$A:$A),MATCH(J$1,enemy_skill_triggers!$1:$1,0)-MATCH($F$1,enemy_skill_triggers!$1:$1,0)+1),MATCH(J$1,enemy_skill_triggers!$1:$1,0)-MATCH($F$1,enemy_skill_triggers!$1:$1,0)+1,FALSE)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5" s="173" t="str">
        <f ca="1">VLOOKUP($F55,OFFSET(enemy_skill_triggers!$A$1,0,0,COUNTA(enemy_skill_triggers!$A:$A),MATCH(K$1,enemy_skill_triggers!$1:$1,0)-MATCH($F$1,enemy_skill_triggers!$1:$1,0)+1),MATCH(K$1,enemy_skill_triggers!$1:$1,0)-MATCH($F$1,enemy_skill_triggers!$1:$1,0)+1,FALSE)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5" s="173">
        <f ca="1">VLOOKUP($F55,OFFSET(enemy_skill_triggers!$A$1,0,0,COUNTA(enemy_skill_triggers!$A:$A),MATCH(L$1,enemy_skill_triggers!$1:$1,0)-MATCH($F$1,enemy_skill_triggers!$1:$1,0)+1),MATCH(L$1,enemy_skill_triggers!$1:$1,0)-MATCH($F$1,enemy_skill_triggers!$1:$1,0)+1,FALSE)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55" s="173">
        <f ca="1">VLOOKUP($F55,OFFSET(enemy_skill_triggers!$A$1,0,0,COUNTA(enemy_skill_triggers!$A:$A),MATCH(M$1,enemy_skill_triggers!$1:$1,0)-MATCH($F$1,enemy_skill_triggers!$1:$1,0)+1),MATCH(M$1,enemy_skill_triggers!$1:$1,0)-MATCH($F$1,enemy_skill_triggers!$1:$1,0)+1,FALSE)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55" s="173">
        <f ca="1">VLOOKUP($F55,OFFSET(enemy_skill_triggers!$A$1,0,0,COUNTA(enemy_skill_triggers!$A:$A),MATCH(N$1,enemy_skill_triggers!$1:$1,0)-MATCH($F$1,enemy_skill_triggers!$1:$1,0)+1),MATCH(N$1,enemy_skill_triggers!$1:$1,0)-MATCH($F$1,enemy_skill_triggers!$1:$1,0)+1,FALSE)</f>
        <v>1533</v>
      </c>
      <c r="O55" s="173">
        <f ca="1">VLOOKUP($F55,OFFSET(enemy_skill_triggers!$A$1,0,0,COUNTA(enemy_skill_triggers!$A:$A),MATCH(O$1,enemy_skill_triggers!$1:$1,0)-MATCH($F$1,enemy_skill_triggers!$1:$1,0)+1),MATCH(O$1,enemy_skill_triggers!$1:$1,0)-MATCH($F$1,enemy_skill_triggers!$1:$1,0)+1,FALSE)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5" s="174"/>
      <c r="Q55" s="174"/>
      <c r="R55" s="172">
        <f ca="1">VLOOKUP($C55,OFFSET(enemy_skills!$A$1,0,0,COUNTA(enemy_skills!$A:$A),MATCH(R$1,enemy_skills!$1:$1,0)-MATCH("enemy_skill_id",enemy_skills!$1:$1,0)+1),MATCH(R$1,enemy_skills!$1:$1,0)-MATCH("enemy_skill_id",enemy_skills!$1:$1,0)+1,FALSE)</f>
        <v>0</v>
      </c>
    </row>
    <row r="56" spans="1:18" s="175" customFormat="1" ht="21" customHeight="1" x14ac:dyDescent="0.15">
      <c r="A56" s="171" t="str">
        <f t="shared" si="11"/>
        <v>39012508_39012538</v>
      </c>
      <c r="B56" s="176">
        <v>39012508</v>
      </c>
      <c r="C56" s="176">
        <v>39012538</v>
      </c>
      <c r="D56" s="172" t="str">
        <f ca="1">VLOOKUP($C56,OFFSET(enemy_skills!$A$1,0,0,COUNTA(enemy_skills!$A:$A),MATCH(D$1,enemy_skills!$1:$1,0)-MATCH("enemy_skill_id",enemy_skills!$1:$1,0)+1),MATCH(D$1,enemy_skills!$1:$1,0)-MATCH("enemy_skill_id",enemy_skills!$1:$1,0)+1,FALSE)</f>
        <v>古代兵器とはいえ所詮はきぐるみ…！</v>
      </c>
      <c r="E56" s="172" t="str">
        <f ca="1">VLOOKUP($C56,OFFSET(enemy_skills!$A$1,0,0,COUNTA(enemy_skills!$A:$A),MATCH(E$1,enemy_skills!$1:$1,0)-MATCH("enemy_skill_id",enemy_skills!$1:$1,0)+1),MATCH(E$1,enemy_skills!$1:$1,0)-MATCH("enemy_skill_id",enemy_skills!$1:$1,0)+1,FALSE)</f>
        <v>緑パネルプロテクト</v>
      </c>
      <c r="F56" s="176">
        <v>39012610</v>
      </c>
      <c r="G56" s="173">
        <f ca="1">VLOOKUP($F56,OFFSET(enemy_skill_triggers!$A$1,0,0,COUNTA(enemy_skill_triggers!$A:$A),MATCH(G$1,enemy_skill_triggers!$1:$1,0)-MATCH($F$1,enemy_skill_triggers!$1:$1,0)+1),MATCH(G$1,enemy_skill_triggers!$1:$1,0)-MATCH($F$1,enemy_skill_triggers!$1:$1,0)+1,FALSE)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56" s="173">
        <f ca="1">VLOOKUP($F56,OFFSET(enemy_skill_triggers!$A$1,0,0,COUNTA(enemy_skill_triggers!$A:$A),MATCH(H$1,enemy_skill_triggers!$1:$1,0)-MATCH($F$1,enemy_skill_triggers!$1:$1,0)+1),MATCH(H$1,enemy_skill_triggers!$1:$1,0)-MATCH($F$1,enemy_skill_triggers!$1:$1,0)+1,FALSE)</f>
        <v>989</v>
      </c>
      <c r="I56" s="173">
        <f ca="1">VLOOKUP($F56,OFFSET(enemy_skill_triggers!$A$1,0,0,COUNTA(enemy_skill_triggers!$A:$A),MATCH(I$1,enemy_skill_triggers!$1:$1,0)-MATCH($F$1,enemy_skill_triggers!$1:$1,0)+1),MATCH(I$1,enemy_skill_triggers!$1:$1,0)-MATCH($F$1,enemy_skill_triggers!$1:$1,0)+1,FALSE)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6" s="173" t="str">
        <f ca="1">VLOOKUP($F56,OFFSET(enemy_skill_triggers!$A$1,0,0,COUNTA(enemy_skill_triggers!$A:$A),MATCH(J$1,enemy_skill_triggers!$1:$1,0)-MATCH($F$1,enemy_skill_triggers!$1:$1,0)+1),MATCH(J$1,enemy_skill_triggers!$1:$1,0)-MATCH($F$1,enemy_skill_triggers!$1:$1,0)+1,FALSE)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6" s="173" t="str">
        <f ca="1">VLOOKUP($F56,OFFSET(enemy_skill_triggers!$A$1,0,0,COUNTA(enemy_skill_triggers!$A:$A),MATCH(K$1,enemy_skill_triggers!$1:$1,0)-MATCH($F$1,enemy_skill_triggers!$1:$1,0)+1),MATCH(K$1,enemy_skill_triggers!$1:$1,0)-MATCH($F$1,enemy_skill_triggers!$1:$1,0)+1,FALSE)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6" s="173">
        <f ca="1">VLOOKUP($F56,OFFSET(enemy_skill_triggers!$A$1,0,0,COUNTA(enemy_skill_triggers!$A:$A),MATCH(L$1,enemy_skill_triggers!$1:$1,0)-MATCH($F$1,enemy_skill_triggers!$1:$1,0)+1),MATCH(L$1,enemy_skill_triggers!$1:$1,0)-MATCH($F$1,enemy_skill_triggers!$1:$1,0)+1,FALSE)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56" s="173">
        <f ca="1">VLOOKUP($F56,OFFSET(enemy_skill_triggers!$A$1,0,0,COUNTA(enemy_skill_triggers!$A:$A),MATCH(M$1,enemy_skill_triggers!$1:$1,0)-MATCH($F$1,enemy_skill_triggers!$1:$1,0)+1),MATCH(M$1,enemy_skill_triggers!$1:$1,0)-MATCH($F$1,enemy_skill_triggers!$1:$1,0)+1,FALSE)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56" s="173">
        <f ca="1">VLOOKUP($F56,OFFSET(enemy_skill_triggers!$A$1,0,0,COUNTA(enemy_skill_triggers!$A:$A),MATCH(N$1,enemy_skill_triggers!$1:$1,0)-MATCH($F$1,enemy_skill_triggers!$1:$1,0)+1),MATCH(N$1,enemy_skill_triggers!$1:$1,0)-MATCH($F$1,enemy_skill_triggers!$1:$1,0)+1,FALSE)</f>
        <v>1524</v>
      </c>
      <c r="O56" s="173">
        <f ca="1">VLOOKUP($F56,OFFSET(enemy_skill_triggers!$A$1,0,0,COUNTA(enemy_skill_triggers!$A:$A),MATCH(O$1,enemy_skill_triggers!$1:$1,0)-MATCH($F$1,enemy_skill_triggers!$1:$1,0)+1),MATCH(O$1,enemy_skill_triggers!$1:$1,0)-MATCH($F$1,enemy_skill_triggers!$1:$1,0)+1,FALSE)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6" s="174"/>
      <c r="Q56" s="174"/>
      <c r="R56" s="172">
        <f ca="1">VLOOKUP($C56,OFFSET(enemy_skills!$A$1,0,0,COUNTA(enemy_skills!$A:$A),MATCH(R$1,enemy_skills!$1:$1,0)-MATCH("enemy_skill_id",enemy_skills!$1:$1,0)+1),MATCH(R$1,enemy_skills!$1:$1,0)-MATCH("enemy_skill_id",enemy_skills!$1:$1,0)+1,FALSE)</f>
        <v>0</v>
      </c>
    </row>
    <row r="57" spans="1:18" s="175" customFormat="1" ht="21" customHeight="1" x14ac:dyDescent="0.15">
      <c r="A57" s="171" t="str">
        <f t="shared" si="11"/>
        <v>39012508_39012538</v>
      </c>
      <c r="B57" s="176">
        <v>39012508</v>
      </c>
      <c r="C57" s="176">
        <v>39012538</v>
      </c>
      <c r="D57" s="172" t="str">
        <f ca="1">VLOOKUP($C57,OFFSET(enemy_skills!$A$1,0,0,COUNTA(enemy_skills!$A:$A),MATCH(D$1,enemy_skills!$1:$1,0)-MATCH("enemy_skill_id",enemy_skills!$1:$1,0)+1),MATCH(D$1,enemy_skills!$1:$1,0)-MATCH("enemy_skill_id",enemy_skills!$1:$1,0)+1,FALSE)</f>
        <v>古代兵器とはいえ所詮はきぐるみ…！</v>
      </c>
      <c r="E57" s="172" t="str">
        <f ca="1">VLOOKUP($C57,OFFSET(enemy_skills!$A$1,0,0,COUNTA(enemy_skills!$A:$A),MATCH(E$1,enemy_skills!$1:$1,0)-MATCH("enemy_skill_id",enemy_skills!$1:$1,0)+1),MATCH(E$1,enemy_skills!$1:$1,0)-MATCH("enemy_skill_id",enemy_skills!$1:$1,0)+1,FALSE)</f>
        <v>緑パネルプロテクト</v>
      </c>
      <c r="F57" s="176">
        <v>39012611</v>
      </c>
      <c r="G57" s="173">
        <f ca="1">VLOOKUP($F57,OFFSET(enemy_skill_triggers!$A$1,0,0,COUNTA(enemy_skill_triggers!$A:$A),MATCH(G$1,enemy_skill_triggers!$1:$1,0)-MATCH($F$1,enemy_skill_triggers!$1:$1,0)+1),MATCH(G$1,enemy_skill_triggers!$1:$1,0)-MATCH($F$1,enemy_skill_triggers!$1:$1,0)+1,FALSE)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57" s="173">
        <f ca="1">VLOOKUP($F57,OFFSET(enemy_skill_triggers!$A$1,0,0,COUNTA(enemy_skill_triggers!$A:$A),MATCH(H$1,enemy_skill_triggers!$1:$1,0)-MATCH($F$1,enemy_skill_triggers!$1:$1,0)+1),MATCH(H$1,enemy_skill_triggers!$1:$1,0)-MATCH($F$1,enemy_skill_triggers!$1:$1,0)+1,FALSE)</f>
        <v>988</v>
      </c>
      <c r="I57" s="173">
        <f ca="1">VLOOKUP($F57,OFFSET(enemy_skill_triggers!$A$1,0,0,COUNTA(enemy_skill_triggers!$A:$A),MATCH(I$1,enemy_skill_triggers!$1:$1,0)-MATCH($F$1,enemy_skill_triggers!$1:$1,0)+1),MATCH(I$1,enemy_skill_triggers!$1:$1,0)-MATCH($F$1,enemy_skill_triggers!$1:$1,0)+1,FALSE)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7" s="173" t="str">
        <f ca="1">VLOOKUP($F57,OFFSET(enemy_skill_triggers!$A$1,0,0,COUNTA(enemy_skill_triggers!$A:$A),MATCH(J$1,enemy_skill_triggers!$1:$1,0)-MATCH($F$1,enemy_skill_triggers!$1:$1,0)+1),MATCH(J$1,enemy_skill_triggers!$1:$1,0)-MATCH($F$1,enemy_skill_triggers!$1:$1,0)+1,FALSE)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7" s="173" t="str">
        <f ca="1">VLOOKUP($F57,OFFSET(enemy_skill_triggers!$A$1,0,0,COUNTA(enemy_skill_triggers!$A:$A),MATCH(K$1,enemy_skill_triggers!$1:$1,0)-MATCH($F$1,enemy_skill_triggers!$1:$1,0)+1),MATCH(K$1,enemy_skill_triggers!$1:$1,0)-MATCH($F$1,enemy_skill_triggers!$1:$1,0)+1,FALSE)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7" s="173">
        <f ca="1">VLOOKUP($F57,OFFSET(enemy_skill_triggers!$A$1,0,0,COUNTA(enemy_skill_triggers!$A:$A),MATCH(L$1,enemy_skill_triggers!$1:$1,0)-MATCH($F$1,enemy_skill_triggers!$1:$1,0)+1),MATCH(L$1,enemy_skill_triggers!$1:$1,0)-MATCH($F$1,enemy_skill_triggers!$1:$1,0)+1,FALSE)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57" s="173">
        <f ca="1">VLOOKUP($F57,OFFSET(enemy_skill_triggers!$A$1,0,0,COUNTA(enemy_skill_triggers!$A:$A),MATCH(M$1,enemy_skill_triggers!$1:$1,0)-MATCH($F$1,enemy_skill_triggers!$1:$1,0)+1),MATCH(M$1,enemy_skill_triggers!$1:$1,0)-MATCH($F$1,enemy_skill_triggers!$1:$1,0)+1,FALSE)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57" s="173">
        <f ca="1">VLOOKUP($F57,OFFSET(enemy_skill_triggers!$A$1,0,0,COUNTA(enemy_skill_triggers!$A:$A),MATCH(N$1,enemy_skill_triggers!$1:$1,0)-MATCH($F$1,enemy_skill_triggers!$1:$1,0)+1),MATCH(N$1,enemy_skill_triggers!$1:$1,0)-MATCH($F$1,enemy_skill_triggers!$1:$1,0)+1,FALSE)</f>
        <v>1523</v>
      </c>
      <c r="O57" s="173">
        <f ca="1">VLOOKUP($F57,OFFSET(enemy_skill_triggers!$A$1,0,0,COUNTA(enemy_skill_triggers!$A:$A),MATCH(O$1,enemy_skill_triggers!$1:$1,0)-MATCH($F$1,enemy_skill_triggers!$1:$1,0)+1),MATCH(O$1,enemy_skill_triggers!$1:$1,0)-MATCH($F$1,enemy_skill_triggers!$1:$1,0)+1,FALSE)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7" s="174"/>
      <c r="Q57" s="174"/>
      <c r="R57" s="172">
        <f ca="1">VLOOKUP($C57,OFFSET(enemy_skills!$A$1,0,0,COUNTA(enemy_skills!$A:$A),MATCH(R$1,enemy_skills!$1:$1,0)-MATCH("enemy_skill_id",enemy_skills!$1:$1,0)+1),MATCH(R$1,enemy_skills!$1:$1,0)-MATCH("enemy_skill_id",enemy_skills!$1:$1,0)+1,FALSE)</f>
        <v>0</v>
      </c>
    </row>
    <row r="58" spans="1:18" s="175" customFormat="1" ht="21" customHeight="1" x14ac:dyDescent="0.15">
      <c r="A58" s="171" t="str">
        <f t="shared" si="11"/>
        <v>39012508_39012537</v>
      </c>
      <c r="B58" s="176">
        <v>39012508</v>
      </c>
      <c r="C58" s="176">
        <v>39012537</v>
      </c>
      <c r="D58" s="172" t="str">
        <f ca="1">VLOOKUP($C58,OFFSET(enemy_skills!$A$1,0,0,COUNTA(enemy_skills!$A:$A),MATCH(D$1,enemy_skills!$1:$1,0)-MATCH("enemy_skill_id",enemy_skills!$1:$1,0)+1),MATCH(D$1,enemy_skills!$1:$1,0)-MATCH("enemy_skill_id",enemy_skills!$1:$1,0)+1,FALSE)</f>
        <v>あなたも私と同じ目的のはず…_x000D_立ちふさがるなら容赦はしません！</v>
      </c>
      <c r="E58" s="172" t="str">
        <f ca="1">VLOOKUP($C58,OFFSET(enemy_skills!$A$1,0,0,COUNTA(enemy_skills!$A:$A),MATCH(E$1,enemy_skills!$1:$1,0)-MATCH("enemy_skill_id",enemy_skills!$1:$1,0)+1),MATCH(E$1,enemy_skills!$1:$1,0)-MATCH("enemy_skill_id",enemy_skills!$1:$1,0)+1,FALSE)</f>
        <v>緑パネルプロテクト</v>
      </c>
      <c r="F58" s="176">
        <v>39012612</v>
      </c>
      <c r="G58" s="173">
        <f ca="1">VLOOKUP($F58,OFFSET(enemy_skill_triggers!$A$1,0,0,COUNTA(enemy_skill_triggers!$A:$A),MATCH(G$1,enemy_skill_triggers!$1:$1,0)-MATCH($F$1,enemy_skill_triggers!$1:$1,0)+1),MATCH(G$1,enemy_skill_triggers!$1:$1,0)-MATCH($F$1,enemy_skill_triggers!$1:$1,0)+1,FALSE)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58" s="173">
        <f ca="1">VLOOKUP($F58,OFFSET(enemy_skill_triggers!$A$1,0,0,COUNTA(enemy_skill_triggers!$A:$A),MATCH(H$1,enemy_skill_triggers!$1:$1,0)-MATCH($F$1,enemy_skill_triggers!$1:$1,0)+1),MATCH(H$1,enemy_skill_triggers!$1:$1,0)-MATCH($F$1,enemy_skill_triggers!$1:$1,0)+1,FALSE)</f>
        <v>987</v>
      </c>
      <c r="I58" s="173">
        <f ca="1">VLOOKUP($F58,OFFSET(enemy_skill_triggers!$A$1,0,0,COUNTA(enemy_skill_triggers!$A:$A),MATCH(I$1,enemy_skill_triggers!$1:$1,0)-MATCH($F$1,enemy_skill_triggers!$1:$1,0)+1),MATCH(I$1,enemy_skill_triggers!$1:$1,0)-MATCH($F$1,enemy_skill_triggers!$1:$1,0)+1,FALSE)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8" s="173" t="str">
        <f ca="1">VLOOKUP($F58,OFFSET(enemy_skill_triggers!$A$1,0,0,COUNTA(enemy_skill_triggers!$A:$A),MATCH(J$1,enemy_skill_triggers!$1:$1,0)-MATCH($F$1,enemy_skill_triggers!$1:$1,0)+1),MATCH(J$1,enemy_skill_triggers!$1:$1,0)-MATCH($F$1,enemy_skill_triggers!$1:$1,0)+1,FALSE)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8" s="173" t="str">
        <f ca="1">VLOOKUP($F58,OFFSET(enemy_skill_triggers!$A$1,0,0,COUNTA(enemy_skill_triggers!$A:$A),MATCH(K$1,enemy_skill_triggers!$1:$1,0)-MATCH($F$1,enemy_skill_triggers!$1:$1,0)+1),MATCH(K$1,enemy_skill_triggers!$1:$1,0)-MATCH($F$1,enemy_skill_triggers!$1:$1,0)+1,FALSE)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8" s="173">
        <f ca="1">VLOOKUP($F58,OFFSET(enemy_skill_triggers!$A$1,0,0,COUNTA(enemy_skill_triggers!$A:$A),MATCH(L$1,enemy_skill_triggers!$1:$1,0)-MATCH($F$1,enemy_skill_triggers!$1:$1,0)+1),MATCH(L$1,enemy_skill_triggers!$1:$1,0)-MATCH($F$1,enemy_skill_triggers!$1:$1,0)+1,FALSE)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58" s="173">
        <f ca="1">VLOOKUP($F58,OFFSET(enemy_skill_triggers!$A$1,0,0,COUNTA(enemy_skill_triggers!$A:$A),MATCH(M$1,enemy_skill_triggers!$1:$1,0)-MATCH($F$1,enemy_skill_triggers!$1:$1,0)+1),MATCH(M$1,enemy_skill_triggers!$1:$1,0)-MATCH($F$1,enemy_skill_triggers!$1:$1,0)+1,FALSE)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58" s="173">
        <f ca="1">VLOOKUP($F58,OFFSET(enemy_skill_triggers!$A$1,0,0,COUNTA(enemy_skill_triggers!$A:$A),MATCH(N$1,enemy_skill_triggers!$1:$1,0)-MATCH($F$1,enemy_skill_triggers!$1:$1,0)+1),MATCH(N$1,enemy_skill_triggers!$1:$1,0)-MATCH($F$1,enemy_skill_triggers!$1:$1,0)+1,FALSE)</f>
        <v>1512</v>
      </c>
      <c r="O58" s="173">
        <f ca="1">VLOOKUP($F58,OFFSET(enemy_skill_triggers!$A$1,0,0,COUNTA(enemy_skill_triggers!$A:$A),MATCH(O$1,enemy_skill_triggers!$1:$1,0)-MATCH($F$1,enemy_skill_triggers!$1:$1,0)+1),MATCH(O$1,enemy_skill_triggers!$1:$1,0)-MATCH($F$1,enemy_skill_triggers!$1:$1,0)+1,FALSE)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8" s="174"/>
      <c r="Q58" s="174"/>
      <c r="R58" s="172">
        <f ca="1">VLOOKUP($C58,OFFSET(enemy_skills!$A$1,0,0,COUNTA(enemy_skills!$A:$A),MATCH(R$1,enemy_skills!$1:$1,0)-MATCH("enemy_skill_id",enemy_skills!$1:$1,0)+1),MATCH(R$1,enemy_skills!$1:$1,0)-MATCH("enemy_skill_id",enemy_skills!$1:$1,0)+1,FALSE)</f>
        <v>0</v>
      </c>
    </row>
    <row r="59" spans="1:18" s="175" customFormat="1" ht="21" customHeight="1" x14ac:dyDescent="0.15">
      <c r="A59" s="171" t="str">
        <f t="shared" si="11"/>
        <v>39012508_39012537</v>
      </c>
      <c r="B59" s="176">
        <v>39012508</v>
      </c>
      <c r="C59" s="176">
        <v>39012537</v>
      </c>
      <c r="D59" s="172" t="str">
        <f ca="1">VLOOKUP($C59,OFFSET(enemy_skills!$A$1,0,0,COUNTA(enemy_skills!$A:$A),MATCH(D$1,enemy_skills!$1:$1,0)-MATCH("enemy_skill_id",enemy_skills!$1:$1,0)+1),MATCH(D$1,enemy_skills!$1:$1,0)-MATCH("enemy_skill_id",enemy_skills!$1:$1,0)+1,FALSE)</f>
        <v>あなたも私と同じ目的のはず…_x000D_立ちふさがるなら容赦はしません！</v>
      </c>
      <c r="E59" s="172" t="str">
        <f ca="1">VLOOKUP($C59,OFFSET(enemy_skills!$A$1,0,0,COUNTA(enemy_skills!$A:$A),MATCH(E$1,enemy_skills!$1:$1,0)-MATCH("enemy_skill_id",enemy_skills!$1:$1,0)+1),MATCH(E$1,enemy_skills!$1:$1,0)-MATCH("enemy_skill_id",enemy_skills!$1:$1,0)+1,FALSE)</f>
        <v>緑パネルプロテクト</v>
      </c>
      <c r="F59" s="176">
        <v>39012613</v>
      </c>
      <c r="G59" s="173">
        <f ca="1">VLOOKUP($F59,OFFSET(enemy_skill_triggers!$A$1,0,0,COUNTA(enemy_skill_triggers!$A:$A),MATCH(G$1,enemy_skill_triggers!$1:$1,0)-MATCH($F$1,enemy_skill_triggers!$1:$1,0)+1),MATCH(G$1,enemy_skill_triggers!$1:$1,0)-MATCH($F$1,enemy_skill_triggers!$1:$1,0)+1,FALSE)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59" s="173">
        <f ca="1">VLOOKUP($F59,OFFSET(enemy_skill_triggers!$A$1,0,0,COUNTA(enemy_skill_triggers!$A:$A),MATCH(H$1,enemy_skill_triggers!$1:$1,0)-MATCH($F$1,enemy_skill_triggers!$1:$1,0)+1),MATCH(H$1,enemy_skill_triggers!$1:$1,0)-MATCH($F$1,enemy_skill_triggers!$1:$1,0)+1,FALSE)</f>
        <v>986</v>
      </c>
      <c r="I59" s="173">
        <f ca="1">VLOOKUP($F59,OFFSET(enemy_skill_triggers!$A$1,0,0,COUNTA(enemy_skill_triggers!$A:$A),MATCH(I$1,enemy_skill_triggers!$1:$1,0)-MATCH($F$1,enemy_skill_triggers!$1:$1,0)+1),MATCH(I$1,enemy_skill_triggers!$1:$1,0)-MATCH($F$1,enemy_skill_triggers!$1:$1,0)+1,FALSE)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9" s="173" t="str">
        <f ca="1">VLOOKUP($F59,OFFSET(enemy_skill_triggers!$A$1,0,0,COUNTA(enemy_skill_triggers!$A:$A),MATCH(J$1,enemy_skill_triggers!$1:$1,0)-MATCH($F$1,enemy_skill_triggers!$1:$1,0)+1),MATCH(J$1,enemy_skill_triggers!$1:$1,0)-MATCH($F$1,enemy_skill_triggers!$1:$1,0)+1,FALSE)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9" s="173" t="str">
        <f ca="1">VLOOKUP($F59,OFFSET(enemy_skill_triggers!$A$1,0,0,COUNTA(enemy_skill_triggers!$A:$A),MATCH(K$1,enemy_skill_triggers!$1:$1,0)-MATCH($F$1,enemy_skill_triggers!$1:$1,0)+1),MATCH(K$1,enemy_skill_triggers!$1:$1,0)-MATCH($F$1,enemy_skill_triggers!$1:$1,0)+1,FALSE)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9" s="173">
        <f ca="1">VLOOKUP($F59,OFFSET(enemy_skill_triggers!$A$1,0,0,COUNTA(enemy_skill_triggers!$A:$A),MATCH(L$1,enemy_skill_triggers!$1:$1,0)-MATCH($F$1,enemy_skill_triggers!$1:$1,0)+1),MATCH(L$1,enemy_skill_triggers!$1:$1,0)-MATCH($F$1,enemy_skill_triggers!$1:$1,0)+1,FALSE)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59" s="173">
        <f ca="1">VLOOKUP($F59,OFFSET(enemy_skill_triggers!$A$1,0,0,COUNTA(enemy_skill_triggers!$A:$A),MATCH(M$1,enemy_skill_triggers!$1:$1,0)-MATCH($F$1,enemy_skill_triggers!$1:$1,0)+1),MATCH(M$1,enemy_skill_triggers!$1:$1,0)-MATCH($F$1,enemy_skill_triggers!$1:$1,0)+1,FALSE)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59" s="173">
        <f ca="1">VLOOKUP($F59,OFFSET(enemy_skill_triggers!$A$1,0,0,COUNTA(enemy_skill_triggers!$A:$A),MATCH(N$1,enemy_skill_triggers!$1:$1,0)-MATCH($F$1,enemy_skill_triggers!$1:$1,0)+1),MATCH(N$1,enemy_skill_triggers!$1:$1,0)-MATCH($F$1,enemy_skill_triggers!$1:$1,0)+1,FALSE)</f>
        <v>1511</v>
      </c>
      <c r="O59" s="173">
        <f ca="1">VLOOKUP($F59,OFFSET(enemy_skill_triggers!$A$1,0,0,COUNTA(enemy_skill_triggers!$A:$A),MATCH(O$1,enemy_skill_triggers!$1:$1,0)-MATCH($F$1,enemy_skill_triggers!$1:$1,0)+1),MATCH(O$1,enemy_skill_triggers!$1:$1,0)-MATCH($F$1,enemy_skill_triggers!$1:$1,0)+1,FALSE)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9" s="174"/>
      <c r="Q59" s="174"/>
      <c r="R59" s="172">
        <f ca="1">VLOOKUP($C59,OFFSET(enemy_skills!$A$1,0,0,COUNTA(enemy_skills!$A:$A),MATCH(R$1,enemy_skills!$1:$1,0)-MATCH("enemy_skill_id",enemy_skills!$1:$1,0)+1),MATCH(R$1,enemy_skills!$1:$1,0)-MATCH("enemy_skill_id",enemy_skills!$1:$1,0)+1,FALSE)</f>
        <v>0</v>
      </c>
    </row>
    <row r="60" spans="1:18" s="175" customFormat="1" ht="21" customHeight="1" x14ac:dyDescent="0.15">
      <c r="A60" s="171" t="str">
        <f t="shared" si="11"/>
        <v>39012508_39012537</v>
      </c>
      <c r="B60" s="176">
        <v>39012508</v>
      </c>
      <c r="C60" s="176">
        <v>39012537</v>
      </c>
      <c r="D60" s="172" t="str">
        <f ca="1">VLOOKUP($C60,OFFSET(enemy_skills!$A$1,0,0,COUNTA(enemy_skills!$A:$A),MATCH(D$1,enemy_skills!$1:$1,0)-MATCH("enemy_skill_id",enemy_skills!$1:$1,0)+1),MATCH(D$1,enemy_skills!$1:$1,0)-MATCH("enemy_skill_id",enemy_skills!$1:$1,0)+1,FALSE)</f>
        <v>あなたも私と同じ目的のはず…_x000D_立ちふさがるなら容赦はしません！</v>
      </c>
      <c r="E60" s="172" t="str">
        <f ca="1">VLOOKUP($C60,OFFSET(enemy_skills!$A$1,0,0,COUNTA(enemy_skills!$A:$A),MATCH(E$1,enemy_skills!$1:$1,0)-MATCH("enemy_skill_id",enemy_skills!$1:$1,0)+1),MATCH(E$1,enemy_skills!$1:$1,0)-MATCH("enemy_skill_id",enemy_skills!$1:$1,0)+1,FALSE)</f>
        <v>緑パネルプロテクト</v>
      </c>
      <c r="F60" s="176">
        <v>39012614</v>
      </c>
      <c r="G60" s="173">
        <f ca="1">VLOOKUP($F60,OFFSET(enemy_skill_triggers!$A$1,0,0,COUNTA(enemy_skill_triggers!$A:$A),MATCH(G$1,enemy_skill_triggers!$1:$1,0)-MATCH($F$1,enemy_skill_triggers!$1:$1,0)+1),MATCH(G$1,enemy_skill_triggers!$1:$1,0)-MATCH($F$1,enemy_skill_triggers!$1:$1,0)+1,FALSE)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60" s="173">
        <f ca="1">VLOOKUP($F60,OFFSET(enemy_skill_triggers!$A$1,0,0,COUNTA(enemy_skill_triggers!$A:$A),MATCH(H$1,enemy_skill_triggers!$1:$1,0)-MATCH($F$1,enemy_skill_triggers!$1:$1,0)+1),MATCH(H$1,enemy_skill_triggers!$1:$1,0)-MATCH($F$1,enemy_skill_triggers!$1:$1,0)+1,FALSE)</f>
        <v>985</v>
      </c>
      <c r="I60" s="173">
        <f ca="1">VLOOKUP($F60,OFFSET(enemy_skill_triggers!$A$1,0,0,COUNTA(enemy_skill_triggers!$A:$A),MATCH(I$1,enemy_skill_triggers!$1:$1,0)-MATCH($F$1,enemy_skill_triggers!$1:$1,0)+1),MATCH(I$1,enemy_skill_triggers!$1:$1,0)-MATCH($F$1,enemy_skill_triggers!$1:$1,0)+1,FALSE)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0" s="173" t="str">
        <f ca="1">VLOOKUP($F60,OFFSET(enemy_skill_triggers!$A$1,0,0,COUNTA(enemy_skill_triggers!$A:$A),MATCH(J$1,enemy_skill_triggers!$1:$1,0)-MATCH($F$1,enemy_skill_triggers!$1:$1,0)+1),MATCH(J$1,enemy_skill_triggers!$1:$1,0)-MATCH($F$1,enemy_skill_triggers!$1:$1,0)+1,FALSE)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0" s="173" t="str">
        <f ca="1">VLOOKUP($F60,OFFSET(enemy_skill_triggers!$A$1,0,0,COUNTA(enemy_skill_triggers!$A:$A),MATCH(K$1,enemy_skill_triggers!$1:$1,0)-MATCH($F$1,enemy_skill_triggers!$1:$1,0)+1),MATCH(K$1,enemy_skill_triggers!$1:$1,0)-MATCH($F$1,enemy_skill_triggers!$1:$1,0)+1,FALSE)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0" s="173">
        <f ca="1">VLOOKUP($F60,OFFSET(enemy_skill_triggers!$A$1,0,0,COUNTA(enemy_skill_triggers!$A:$A),MATCH(L$1,enemy_skill_triggers!$1:$1,0)-MATCH($F$1,enemy_skill_triggers!$1:$1,0)+1),MATCH(L$1,enemy_skill_triggers!$1:$1,0)-MATCH($F$1,enemy_skill_triggers!$1:$1,0)+1,FALSE)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60" s="173">
        <f ca="1">VLOOKUP($F60,OFFSET(enemy_skill_triggers!$A$1,0,0,COUNTA(enemy_skill_triggers!$A:$A),MATCH(M$1,enemy_skill_triggers!$1:$1,0)-MATCH($F$1,enemy_skill_triggers!$1:$1,0)+1),MATCH(M$1,enemy_skill_triggers!$1:$1,0)-MATCH($F$1,enemy_skill_triggers!$1:$1,0)+1,FALSE)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60" s="173">
        <f ca="1">VLOOKUP($F60,OFFSET(enemy_skill_triggers!$A$1,0,0,COUNTA(enemy_skill_triggers!$A:$A),MATCH(N$1,enemy_skill_triggers!$1:$1,0)-MATCH($F$1,enemy_skill_triggers!$1:$1,0)+1),MATCH(N$1,enemy_skill_triggers!$1:$1,0)-MATCH($F$1,enemy_skill_triggers!$1:$1,0)+1,FALSE)</f>
        <v>1510</v>
      </c>
      <c r="O60" s="173">
        <f ca="1">VLOOKUP($F60,OFFSET(enemy_skill_triggers!$A$1,0,0,COUNTA(enemy_skill_triggers!$A:$A),MATCH(O$1,enemy_skill_triggers!$1:$1,0)-MATCH($F$1,enemy_skill_triggers!$1:$1,0)+1),MATCH(O$1,enemy_skill_triggers!$1:$1,0)-MATCH($F$1,enemy_skill_triggers!$1:$1,0)+1,FALSE)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0" s="174"/>
      <c r="Q60" s="174"/>
      <c r="R60" s="172">
        <f ca="1">VLOOKUP($C60,OFFSET(enemy_skills!$A$1,0,0,COUNTA(enemy_skills!$A:$A),MATCH(R$1,enemy_skills!$1:$1,0)-MATCH("enemy_skill_id",enemy_skills!$1:$1,0)+1),MATCH(R$1,enemy_skills!$1:$1,0)-MATCH("enemy_skill_id",enemy_skills!$1:$1,0)+1,FALSE)</f>
        <v>0</v>
      </c>
    </row>
    <row r="61" spans="1:18" s="175" customFormat="1" ht="21" customHeight="1" x14ac:dyDescent="0.15">
      <c r="A61" s="171" t="str">
        <f t="shared" ref="A61:A75" si="12">B61&amp;"_"&amp;C61</f>
        <v>39012510_39012556</v>
      </c>
      <c r="B61" s="158">
        <v>39012510</v>
      </c>
      <c r="C61" s="158">
        <v>39012556</v>
      </c>
      <c r="D61" s="172" t="str">
        <f ca="1">VLOOKUP($C61,OFFSET(enemy_skills!$A$1,0,0,COUNTA(enemy_skills!$A:$A),MATCH(D$1,enemy_skills!$1:$1,0)-MATCH("enemy_skill_id",enemy_skills!$1:$1,0)+1),MATCH(D$1,enemy_skills!$1:$1,0)-MATCH("enemy_skill_id",enemy_skills!$1:$1,0)+1,FALSE)</f>
        <v>美の女神に負けてしまうとは…戦女神失格ですね…</v>
      </c>
      <c r="E61" s="172" t="str">
        <f ca="1">VLOOKUP($C61,OFFSET(enemy_skills!$A$1,0,0,COUNTA(enemy_skills!$A:$A),MATCH(E$1,enemy_skills!$1:$1,0)-MATCH("enemy_skill_id",enemy_skills!$1:$1,0)+1),MATCH(E$1,enemy_skills!$1:$1,0)-MATCH("enemy_skill_id",enemy_skills!$1:$1,0)+1,FALSE)</f>
        <v>周りにいるにゃんこ達が_x000D_悲しそうにこちらを見ている…</v>
      </c>
      <c r="F61" s="158">
        <v>39012645</v>
      </c>
      <c r="G61" s="173">
        <f ca="1">VLOOKUP($F61,OFFSET(enemy_skill_triggers!$A$1,0,0,COUNTA(enemy_skill_triggers!$A:$A),MATCH(G$1,enemy_skill_triggers!$1:$1,0)-MATCH($F$1,enemy_skill_triggers!$1:$1,0)+1),MATCH(G$1,enemy_skill_triggers!$1:$1,0)-MATCH($F$1,enemy_skill_triggers!$1:$1,0)+1,FALSE)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61" s="173">
        <f ca="1">VLOOKUP($F61,OFFSET(enemy_skill_triggers!$A$1,0,0,COUNTA(enemy_skill_triggers!$A:$A),MATCH(H$1,enemy_skill_triggers!$1:$1,0)-MATCH($F$1,enemy_skill_triggers!$1:$1,0)+1),MATCH(H$1,enemy_skill_triggers!$1:$1,0)-MATCH($F$1,enemy_skill_triggers!$1:$1,0)+1,FALSE)</f>
        <v>984</v>
      </c>
      <c r="I61" s="173">
        <f ca="1">VLOOKUP($F61,OFFSET(enemy_skill_triggers!$A$1,0,0,COUNTA(enemy_skill_triggers!$A:$A),MATCH(I$1,enemy_skill_triggers!$1:$1,0)-MATCH($F$1,enemy_skill_triggers!$1:$1,0)+1),MATCH(I$1,enemy_skill_triggers!$1:$1,0)-MATCH($F$1,enemy_skill_triggers!$1:$1,0)+1,FALSE)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1" s="173" t="str">
        <f ca="1">VLOOKUP($F61,OFFSET(enemy_skill_triggers!$A$1,0,0,COUNTA(enemy_skill_triggers!$A:$A),MATCH(J$1,enemy_skill_triggers!$1:$1,0)-MATCH($F$1,enemy_skill_triggers!$1:$1,0)+1),MATCH(J$1,enemy_skill_triggers!$1:$1,0)-MATCH($F$1,enemy_skill_triggers!$1:$1,0)+1,FALSE)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1" s="173" t="str">
        <f ca="1">VLOOKUP($F61,OFFSET(enemy_skill_triggers!$A$1,0,0,COUNTA(enemy_skill_triggers!$A:$A),MATCH(K$1,enemy_skill_triggers!$1:$1,0)-MATCH($F$1,enemy_skill_triggers!$1:$1,0)+1),MATCH(K$1,enemy_skill_triggers!$1:$1,0)-MATCH($F$1,enemy_skill_triggers!$1:$1,0)+1,FALSE)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1" s="173">
        <f ca="1">VLOOKUP($F61,OFFSET(enemy_skill_triggers!$A$1,0,0,COUNTA(enemy_skill_triggers!$A:$A),MATCH(L$1,enemy_skill_triggers!$1:$1,0)-MATCH($F$1,enemy_skill_triggers!$1:$1,0)+1),MATCH(L$1,enemy_skill_triggers!$1:$1,0)-MATCH($F$1,enemy_skill_triggers!$1:$1,0)+1,FALSE)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61" s="173">
        <f ca="1">VLOOKUP($F61,OFFSET(enemy_skill_triggers!$A$1,0,0,COUNTA(enemy_skill_triggers!$A:$A),MATCH(M$1,enemy_skill_triggers!$1:$1,0)-MATCH($F$1,enemy_skill_triggers!$1:$1,0)+1),MATCH(M$1,enemy_skill_triggers!$1:$1,0)-MATCH($F$1,enemy_skill_triggers!$1:$1,0)+1,FALSE)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61" s="173">
        <f ca="1">VLOOKUP($F61,OFFSET(enemy_skill_triggers!$A$1,0,0,COUNTA(enemy_skill_triggers!$A:$A),MATCH(N$1,enemy_skill_triggers!$1:$1,0)-MATCH($F$1,enemy_skill_triggers!$1:$1,0)+1),MATCH(N$1,enemy_skill_triggers!$1:$1,0)-MATCH($F$1,enemy_skill_triggers!$1:$1,0)+1,FALSE)</f>
        <v>1542</v>
      </c>
      <c r="O61" s="173">
        <f ca="1">VLOOKUP($F61,OFFSET(enemy_skill_triggers!$A$1,0,0,COUNTA(enemy_skill_triggers!$A:$A),MATCH(O$1,enemy_skill_triggers!$1:$1,0)-MATCH($F$1,enemy_skill_triggers!$1:$1,0)+1),MATCH(O$1,enemy_skill_triggers!$1:$1,0)-MATCH($F$1,enemy_skill_triggers!$1:$1,0)+1,FALSE)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1" s="174"/>
      <c r="Q61" s="174"/>
      <c r="R61" s="172">
        <f ca="1">VLOOKUP($C61,OFFSET(enemy_skills!$A$1,0,0,COUNTA(enemy_skills!$A:$A),MATCH(R$1,enemy_skills!$1:$1,0)-MATCH("enemy_skill_id",enemy_skills!$1:$1,0)+1),MATCH(R$1,enemy_skills!$1:$1,0)-MATCH("enemy_skill_id",enemy_skills!$1:$1,0)+1,FALSE)</f>
        <v>0</v>
      </c>
    </row>
    <row r="62" spans="1:18" s="175" customFormat="1" ht="21" customHeight="1" x14ac:dyDescent="0.15">
      <c r="A62" s="171" t="str">
        <f t="shared" si="12"/>
        <v>39012510_39012556</v>
      </c>
      <c r="B62" s="158">
        <v>39012510</v>
      </c>
      <c r="C62" s="158">
        <v>39012556</v>
      </c>
      <c r="D62" s="172" t="str">
        <f ca="1">VLOOKUP($C62,OFFSET(enemy_skills!$A$1,0,0,COUNTA(enemy_skills!$A:$A),MATCH(D$1,enemy_skills!$1:$1,0)-MATCH("enemy_skill_id",enemy_skills!$1:$1,0)+1),MATCH(D$1,enemy_skills!$1:$1,0)-MATCH("enemy_skill_id",enemy_skills!$1:$1,0)+1,FALSE)</f>
        <v>美の女神に負けてしまうとは…戦女神失格ですね…</v>
      </c>
      <c r="E62" s="172" t="str">
        <f ca="1">VLOOKUP($C62,OFFSET(enemy_skills!$A$1,0,0,COUNTA(enemy_skills!$A:$A),MATCH(E$1,enemy_skills!$1:$1,0)-MATCH("enemy_skill_id",enemy_skills!$1:$1,0)+1),MATCH(E$1,enemy_skills!$1:$1,0)-MATCH("enemy_skill_id",enemy_skills!$1:$1,0)+1,FALSE)</f>
        <v>周りにいるにゃんこ達が_x000D_悲しそうにこちらを見ている…</v>
      </c>
      <c r="F62" s="158">
        <v>39012646</v>
      </c>
      <c r="G62" s="173">
        <f ca="1">VLOOKUP($F62,OFFSET(enemy_skill_triggers!$A$1,0,0,COUNTA(enemy_skill_triggers!$A:$A),MATCH(G$1,enemy_skill_triggers!$1:$1,0)-MATCH($F$1,enemy_skill_triggers!$1:$1,0)+1),MATCH(G$1,enemy_skill_triggers!$1:$1,0)-MATCH($F$1,enemy_skill_triggers!$1:$1,0)+1,FALSE)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62" s="173">
        <f ca="1">VLOOKUP($F62,OFFSET(enemy_skill_triggers!$A$1,0,0,COUNTA(enemy_skill_triggers!$A:$A),MATCH(H$1,enemy_skill_triggers!$1:$1,0)-MATCH($F$1,enemy_skill_triggers!$1:$1,0)+1),MATCH(H$1,enemy_skill_triggers!$1:$1,0)-MATCH($F$1,enemy_skill_triggers!$1:$1,0)+1,FALSE)</f>
        <v>983</v>
      </c>
      <c r="I62" s="173">
        <f ca="1">VLOOKUP($F62,OFFSET(enemy_skill_triggers!$A$1,0,0,COUNTA(enemy_skill_triggers!$A:$A),MATCH(I$1,enemy_skill_triggers!$1:$1,0)-MATCH($F$1,enemy_skill_triggers!$1:$1,0)+1),MATCH(I$1,enemy_skill_triggers!$1:$1,0)-MATCH($F$1,enemy_skill_triggers!$1:$1,0)+1,FALSE)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2" s="173" t="str">
        <f ca="1">VLOOKUP($F62,OFFSET(enemy_skill_triggers!$A$1,0,0,COUNTA(enemy_skill_triggers!$A:$A),MATCH(J$1,enemy_skill_triggers!$1:$1,0)-MATCH($F$1,enemy_skill_triggers!$1:$1,0)+1),MATCH(J$1,enemy_skill_triggers!$1:$1,0)-MATCH($F$1,enemy_skill_triggers!$1:$1,0)+1,FALSE)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2" s="173" t="str">
        <f ca="1">VLOOKUP($F62,OFFSET(enemy_skill_triggers!$A$1,0,0,COUNTA(enemy_skill_triggers!$A:$A),MATCH(K$1,enemy_skill_triggers!$1:$1,0)-MATCH($F$1,enemy_skill_triggers!$1:$1,0)+1),MATCH(K$1,enemy_skill_triggers!$1:$1,0)-MATCH($F$1,enemy_skill_triggers!$1:$1,0)+1,FALSE)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2" s="173">
        <f ca="1">VLOOKUP($F62,OFFSET(enemy_skill_triggers!$A$1,0,0,COUNTA(enemy_skill_triggers!$A:$A),MATCH(L$1,enemy_skill_triggers!$1:$1,0)-MATCH($F$1,enemy_skill_triggers!$1:$1,0)+1),MATCH(L$1,enemy_skill_triggers!$1:$1,0)-MATCH($F$1,enemy_skill_triggers!$1:$1,0)+1,FALSE)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62" s="173">
        <f ca="1">VLOOKUP($F62,OFFSET(enemy_skill_triggers!$A$1,0,0,COUNTA(enemy_skill_triggers!$A:$A),MATCH(M$1,enemy_skill_triggers!$1:$1,0)-MATCH($F$1,enemy_skill_triggers!$1:$1,0)+1),MATCH(M$1,enemy_skill_triggers!$1:$1,0)-MATCH($F$1,enemy_skill_triggers!$1:$1,0)+1,FALSE)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62" s="173">
        <f ca="1">VLOOKUP($F62,OFFSET(enemy_skill_triggers!$A$1,0,0,COUNTA(enemy_skill_triggers!$A:$A),MATCH(N$1,enemy_skill_triggers!$1:$1,0)-MATCH($F$1,enemy_skill_triggers!$1:$1,0)+1),MATCH(N$1,enemy_skill_triggers!$1:$1,0)-MATCH($F$1,enemy_skill_triggers!$1:$1,0)+1,FALSE)</f>
        <v>1541</v>
      </c>
      <c r="O62" s="173">
        <f ca="1">VLOOKUP($F62,OFFSET(enemy_skill_triggers!$A$1,0,0,COUNTA(enemy_skill_triggers!$A:$A),MATCH(O$1,enemy_skill_triggers!$1:$1,0)-MATCH($F$1,enemy_skill_triggers!$1:$1,0)+1),MATCH(O$1,enemy_skill_triggers!$1:$1,0)-MATCH($F$1,enemy_skill_triggers!$1:$1,0)+1,FALSE)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2" s="174"/>
      <c r="Q62" s="174"/>
      <c r="R62" s="172">
        <f ca="1">VLOOKUP($C62,OFFSET(enemy_skills!$A$1,0,0,COUNTA(enemy_skills!$A:$A),MATCH(R$1,enemy_skills!$1:$1,0)-MATCH("enemy_skill_id",enemy_skills!$1:$1,0)+1),MATCH(R$1,enemy_skills!$1:$1,0)-MATCH("enemy_skill_id",enemy_skills!$1:$1,0)+1,FALSE)</f>
        <v>0</v>
      </c>
    </row>
    <row r="63" spans="1:18" s="175" customFormat="1" ht="21" customHeight="1" x14ac:dyDescent="0.15">
      <c r="A63" s="171" t="str">
        <f t="shared" si="12"/>
        <v>39012510_39012555</v>
      </c>
      <c r="B63" s="158">
        <v>39012510</v>
      </c>
      <c r="C63" s="158">
        <v>39012555</v>
      </c>
      <c r="D63" s="172" t="str">
        <f ca="1">VLOOKUP($C63,OFFSET(enemy_skills!$A$1,0,0,COUNTA(enemy_skills!$A:$A),MATCH(D$1,enemy_skills!$1:$1,0)-MATCH("enemy_skill_id",enemy_skills!$1:$1,0)+1),MATCH(D$1,enemy_skills!$1:$1,0)-MATCH("enemy_skill_id",enemy_skills!$1:$1,0)+1,FALSE)</f>
        <v>あなたの強さに免じて、ここは引きましょう…</v>
      </c>
      <c r="E63" s="172" t="str">
        <f ca="1">VLOOKUP($C63,OFFSET(enemy_skills!$A$1,0,0,COUNTA(enemy_skills!$A:$A),MATCH(E$1,enemy_skills!$1:$1,0)-MATCH("enemy_skill_id",enemy_skills!$1:$1,0)+1),MATCH(E$1,enemy_skills!$1:$1,0)-MATCH("enemy_skill_id",enemy_skills!$1:$1,0)+1,FALSE)</f>
        <v>周りにいるにゃんこ達が_x000D_悲しそうにこちらを見ている…</v>
      </c>
      <c r="F63" s="158">
        <v>39012647</v>
      </c>
      <c r="G63" s="173">
        <f ca="1">VLOOKUP($F63,OFFSET(enemy_skill_triggers!$A$1,0,0,COUNTA(enemy_skill_triggers!$A:$A),MATCH(G$1,enemy_skill_triggers!$1:$1,0)-MATCH($F$1,enemy_skill_triggers!$1:$1,0)+1),MATCH(G$1,enemy_skill_triggers!$1:$1,0)-MATCH($F$1,enemy_skill_triggers!$1:$1,0)+1,FALSE)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63" s="173">
        <f ca="1">VLOOKUP($F63,OFFSET(enemy_skill_triggers!$A$1,0,0,COUNTA(enemy_skill_triggers!$A:$A),MATCH(H$1,enemy_skill_triggers!$1:$1,0)-MATCH($F$1,enemy_skill_triggers!$1:$1,0)+1),MATCH(H$1,enemy_skill_triggers!$1:$1,0)-MATCH($F$1,enemy_skill_triggers!$1:$1,0)+1,FALSE)</f>
        <v>982</v>
      </c>
      <c r="I63" s="173">
        <f ca="1">VLOOKUP($F63,OFFSET(enemy_skill_triggers!$A$1,0,0,COUNTA(enemy_skill_triggers!$A:$A),MATCH(I$1,enemy_skill_triggers!$1:$1,0)-MATCH($F$1,enemy_skill_triggers!$1:$1,0)+1),MATCH(I$1,enemy_skill_triggers!$1:$1,0)-MATCH($F$1,enemy_skill_triggers!$1:$1,0)+1,FALSE)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3" s="173" t="str">
        <f ca="1">VLOOKUP($F63,OFFSET(enemy_skill_triggers!$A$1,0,0,COUNTA(enemy_skill_triggers!$A:$A),MATCH(J$1,enemy_skill_triggers!$1:$1,0)-MATCH($F$1,enemy_skill_triggers!$1:$1,0)+1),MATCH(J$1,enemy_skill_triggers!$1:$1,0)-MATCH($F$1,enemy_skill_triggers!$1:$1,0)+1,FALSE)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3" s="173" t="str">
        <f ca="1">VLOOKUP($F63,OFFSET(enemy_skill_triggers!$A$1,0,0,COUNTA(enemy_skill_triggers!$A:$A),MATCH(K$1,enemy_skill_triggers!$1:$1,0)-MATCH($F$1,enemy_skill_triggers!$1:$1,0)+1),MATCH(K$1,enemy_skill_triggers!$1:$1,0)-MATCH($F$1,enemy_skill_triggers!$1:$1,0)+1,FALSE)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3" s="173">
        <f ca="1">VLOOKUP($F63,OFFSET(enemy_skill_triggers!$A$1,0,0,COUNTA(enemy_skill_triggers!$A:$A),MATCH(L$1,enemy_skill_triggers!$1:$1,0)-MATCH($F$1,enemy_skill_triggers!$1:$1,0)+1),MATCH(L$1,enemy_skill_triggers!$1:$1,0)-MATCH($F$1,enemy_skill_triggers!$1:$1,0)+1,FALSE)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63" s="173">
        <f ca="1">VLOOKUP($F63,OFFSET(enemy_skill_triggers!$A$1,0,0,COUNTA(enemy_skill_triggers!$A:$A),MATCH(M$1,enemy_skill_triggers!$1:$1,0)-MATCH($F$1,enemy_skill_triggers!$1:$1,0)+1),MATCH(M$1,enemy_skill_triggers!$1:$1,0)-MATCH($F$1,enemy_skill_triggers!$1:$1,0)+1,FALSE)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63" s="173">
        <f ca="1">VLOOKUP($F63,OFFSET(enemy_skill_triggers!$A$1,0,0,COUNTA(enemy_skill_triggers!$A:$A),MATCH(N$1,enemy_skill_triggers!$1:$1,0)-MATCH($F$1,enemy_skill_triggers!$1:$1,0)+1),MATCH(N$1,enemy_skill_triggers!$1:$1,0)-MATCH($F$1,enemy_skill_triggers!$1:$1,0)+1,FALSE)</f>
        <v>1538</v>
      </c>
      <c r="O63" s="173">
        <f ca="1">VLOOKUP($F63,OFFSET(enemy_skill_triggers!$A$1,0,0,COUNTA(enemy_skill_triggers!$A:$A),MATCH(O$1,enemy_skill_triggers!$1:$1,0)-MATCH($F$1,enemy_skill_triggers!$1:$1,0)+1),MATCH(O$1,enemy_skill_triggers!$1:$1,0)-MATCH($F$1,enemy_skill_triggers!$1:$1,0)+1,FALSE)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3" s="174"/>
      <c r="Q63" s="174"/>
      <c r="R63" s="172">
        <f ca="1">VLOOKUP($C63,OFFSET(enemy_skills!$A$1,0,0,COUNTA(enemy_skills!$A:$A),MATCH(R$1,enemy_skills!$1:$1,0)-MATCH("enemy_skill_id",enemy_skills!$1:$1,0)+1),MATCH(R$1,enemy_skills!$1:$1,0)-MATCH("enemy_skill_id",enemy_skills!$1:$1,0)+1,FALSE)</f>
        <v>0</v>
      </c>
    </row>
    <row r="64" spans="1:18" s="175" customFormat="1" ht="21" customHeight="1" x14ac:dyDescent="0.15">
      <c r="A64" s="171" t="str">
        <f t="shared" si="12"/>
        <v>39012510_39012555</v>
      </c>
      <c r="B64" s="158">
        <v>39012510</v>
      </c>
      <c r="C64" s="158">
        <v>39012555</v>
      </c>
      <c r="D64" s="172" t="str">
        <f ca="1">VLOOKUP($C64,OFFSET(enemy_skills!$A$1,0,0,COUNTA(enemy_skills!$A:$A),MATCH(D$1,enemy_skills!$1:$1,0)-MATCH("enemy_skill_id",enemy_skills!$1:$1,0)+1),MATCH(D$1,enemy_skills!$1:$1,0)-MATCH("enemy_skill_id",enemy_skills!$1:$1,0)+1,FALSE)</f>
        <v>あなたの強さに免じて、ここは引きましょう…</v>
      </c>
      <c r="E64" s="172" t="str">
        <f ca="1">VLOOKUP($C64,OFFSET(enemy_skills!$A$1,0,0,COUNTA(enemy_skills!$A:$A),MATCH(E$1,enemy_skills!$1:$1,0)-MATCH("enemy_skill_id",enemy_skills!$1:$1,0)+1),MATCH(E$1,enemy_skills!$1:$1,0)-MATCH("enemy_skill_id",enemy_skills!$1:$1,0)+1,FALSE)</f>
        <v>周りにいるにゃんこ達が_x000D_悲しそうにこちらを見ている…</v>
      </c>
      <c r="F64" s="158">
        <v>39012648</v>
      </c>
      <c r="G64" s="173">
        <f ca="1">VLOOKUP($F64,OFFSET(enemy_skill_triggers!$A$1,0,0,COUNTA(enemy_skill_triggers!$A:$A),MATCH(G$1,enemy_skill_triggers!$1:$1,0)-MATCH($F$1,enemy_skill_triggers!$1:$1,0)+1),MATCH(G$1,enemy_skill_triggers!$1:$1,0)-MATCH($F$1,enemy_skill_triggers!$1:$1,0)+1,FALSE)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64" s="173">
        <f ca="1">VLOOKUP($F64,OFFSET(enemy_skill_triggers!$A$1,0,0,COUNTA(enemy_skill_triggers!$A:$A),MATCH(H$1,enemy_skill_triggers!$1:$1,0)-MATCH($F$1,enemy_skill_triggers!$1:$1,0)+1),MATCH(H$1,enemy_skill_triggers!$1:$1,0)-MATCH($F$1,enemy_skill_triggers!$1:$1,0)+1,FALSE)</f>
        <v>981</v>
      </c>
      <c r="I64" s="173">
        <f ca="1">VLOOKUP($F64,OFFSET(enemy_skill_triggers!$A$1,0,0,COUNTA(enemy_skill_triggers!$A:$A),MATCH(I$1,enemy_skill_triggers!$1:$1,0)-MATCH($F$1,enemy_skill_triggers!$1:$1,0)+1),MATCH(I$1,enemy_skill_triggers!$1:$1,0)-MATCH($F$1,enemy_skill_triggers!$1:$1,0)+1,FALSE)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4" s="173" t="str">
        <f ca="1">VLOOKUP($F64,OFFSET(enemy_skill_triggers!$A$1,0,0,COUNTA(enemy_skill_triggers!$A:$A),MATCH(J$1,enemy_skill_triggers!$1:$1,0)-MATCH($F$1,enemy_skill_triggers!$1:$1,0)+1),MATCH(J$1,enemy_skill_triggers!$1:$1,0)-MATCH($F$1,enemy_skill_triggers!$1:$1,0)+1,FALSE)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4" s="173" t="str">
        <f ca="1">VLOOKUP($F64,OFFSET(enemy_skill_triggers!$A$1,0,0,COUNTA(enemy_skill_triggers!$A:$A),MATCH(K$1,enemy_skill_triggers!$1:$1,0)-MATCH($F$1,enemy_skill_triggers!$1:$1,0)+1),MATCH(K$1,enemy_skill_triggers!$1:$1,0)-MATCH($F$1,enemy_skill_triggers!$1:$1,0)+1,FALSE)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4" s="173">
        <f ca="1">VLOOKUP($F64,OFFSET(enemy_skill_triggers!$A$1,0,0,COUNTA(enemy_skill_triggers!$A:$A),MATCH(L$1,enemy_skill_triggers!$1:$1,0)-MATCH($F$1,enemy_skill_triggers!$1:$1,0)+1),MATCH(L$1,enemy_skill_triggers!$1:$1,0)-MATCH($F$1,enemy_skill_triggers!$1:$1,0)+1,FALSE)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64" s="173">
        <f ca="1">VLOOKUP($F64,OFFSET(enemy_skill_triggers!$A$1,0,0,COUNTA(enemy_skill_triggers!$A:$A),MATCH(M$1,enemy_skill_triggers!$1:$1,0)-MATCH($F$1,enemy_skill_triggers!$1:$1,0)+1),MATCH(M$1,enemy_skill_triggers!$1:$1,0)-MATCH($F$1,enemy_skill_triggers!$1:$1,0)+1,FALSE)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64" s="173">
        <f ca="1">VLOOKUP($F64,OFFSET(enemy_skill_triggers!$A$1,0,0,COUNTA(enemy_skill_triggers!$A:$A),MATCH(N$1,enemy_skill_triggers!$1:$1,0)-MATCH($F$1,enemy_skill_triggers!$1:$1,0)+1),MATCH(N$1,enemy_skill_triggers!$1:$1,0)-MATCH($F$1,enemy_skill_triggers!$1:$1,0)+1,FALSE)</f>
        <v>1537</v>
      </c>
      <c r="O64" s="173">
        <f ca="1">VLOOKUP($F64,OFFSET(enemy_skill_triggers!$A$1,0,0,COUNTA(enemy_skill_triggers!$A:$A),MATCH(O$1,enemy_skill_triggers!$1:$1,0)-MATCH($F$1,enemy_skill_triggers!$1:$1,0)+1),MATCH(O$1,enemy_skill_triggers!$1:$1,0)-MATCH($F$1,enemy_skill_triggers!$1:$1,0)+1,FALSE)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4" s="174"/>
      <c r="Q64" s="174"/>
      <c r="R64" s="172">
        <f ca="1">VLOOKUP($C64,OFFSET(enemy_skills!$A$1,0,0,COUNTA(enemy_skills!$A:$A),MATCH(R$1,enemy_skills!$1:$1,0)-MATCH("enemy_skill_id",enemy_skills!$1:$1,0)+1),MATCH(R$1,enemy_skills!$1:$1,0)-MATCH("enemy_skill_id",enemy_skills!$1:$1,0)+1,FALSE)</f>
        <v>0</v>
      </c>
    </row>
    <row r="65" spans="1:18" s="175" customFormat="1" ht="21" customHeight="1" x14ac:dyDescent="0.15">
      <c r="A65" s="171" t="str">
        <f t="shared" si="12"/>
        <v>39012510_39012561</v>
      </c>
      <c r="B65" s="158">
        <v>39012510</v>
      </c>
      <c r="C65" s="158">
        <v>39012561</v>
      </c>
      <c r="D65" s="172" t="str">
        <f ca="1">VLOOKUP($C65,OFFSET(enemy_skills!$A$1,0,0,COUNTA(enemy_skills!$A:$A),MATCH(D$1,enemy_skills!$1:$1,0)-MATCH("enemy_skill_id",enemy_skills!$1:$1,0)+1),MATCH(D$1,enemy_skills!$1:$1,0)-MATCH("enemy_skill_id",enemy_skills!$1:$1,0)+1,FALSE)</f>
        <v>…注射は苦手なのです</v>
      </c>
      <c r="E65" s="172" t="str">
        <f ca="1">VLOOKUP($C65,OFFSET(enemy_skills!$A$1,0,0,COUNTA(enemy_skills!$A:$A),MATCH(E$1,enemy_skills!$1:$1,0)-MATCH("enemy_skill_id",enemy_skills!$1:$1,0)+1),MATCH(E$1,enemy_skills!$1:$1,0)-MATCH("enemy_skill_id",enemy_skills!$1:$1,0)+1,FALSE)</f>
        <v>周りにいるにゃんこ達が_x000D_悲しそうにこちらを見ている…</v>
      </c>
      <c r="F65" s="158">
        <v>39012649</v>
      </c>
      <c r="G65" s="173">
        <f ca="1">VLOOKUP($F65,OFFSET(enemy_skill_triggers!$A$1,0,0,COUNTA(enemy_skill_triggers!$A:$A),MATCH(G$1,enemy_skill_triggers!$1:$1,0)-MATCH($F$1,enemy_skill_triggers!$1:$1,0)+1),MATCH(G$1,enemy_skill_triggers!$1:$1,0)-MATCH($F$1,enemy_skill_triggers!$1:$1,0)+1,FALSE)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65" s="173">
        <f ca="1">VLOOKUP($F65,OFFSET(enemy_skill_triggers!$A$1,0,0,COUNTA(enemy_skill_triggers!$A:$A),MATCH(H$1,enemy_skill_triggers!$1:$1,0)-MATCH($F$1,enemy_skill_triggers!$1:$1,0)+1),MATCH(H$1,enemy_skill_triggers!$1:$1,0)-MATCH($F$1,enemy_skill_triggers!$1:$1,0)+1,FALSE)</f>
        <v>980</v>
      </c>
      <c r="I65" s="173">
        <f ca="1">VLOOKUP($F65,OFFSET(enemy_skill_triggers!$A$1,0,0,COUNTA(enemy_skill_triggers!$A:$A),MATCH(I$1,enemy_skill_triggers!$1:$1,0)-MATCH($F$1,enemy_skill_triggers!$1:$1,0)+1),MATCH(I$1,enemy_skill_triggers!$1:$1,0)-MATCH($F$1,enemy_skill_triggers!$1:$1,0)+1,FALSE)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5" s="173" t="str">
        <f ca="1">VLOOKUP($F65,OFFSET(enemy_skill_triggers!$A$1,0,0,COUNTA(enemy_skill_triggers!$A:$A),MATCH(J$1,enemy_skill_triggers!$1:$1,0)-MATCH($F$1,enemy_skill_triggers!$1:$1,0)+1),MATCH(J$1,enemy_skill_triggers!$1:$1,0)-MATCH($F$1,enemy_skill_triggers!$1:$1,0)+1,FALSE)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5" s="173" t="str">
        <f ca="1">VLOOKUP($F65,OFFSET(enemy_skill_triggers!$A$1,0,0,COUNTA(enemy_skill_triggers!$A:$A),MATCH(K$1,enemy_skill_triggers!$1:$1,0)-MATCH($F$1,enemy_skill_triggers!$1:$1,0)+1),MATCH(K$1,enemy_skill_triggers!$1:$1,0)-MATCH($F$1,enemy_skill_triggers!$1:$1,0)+1,FALSE)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5" s="173">
        <f ca="1">VLOOKUP($F65,OFFSET(enemy_skill_triggers!$A$1,0,0,COUNTA(enemy_skill_triggers!$A:$A),MATCH(L$1,enemy_skill_triggers!$1:$1,0)-MATCH($F$1,enemy_skill_triggers!$1:$1,0)+1),MATCH(L$1,enemy_skill_triggers!$1:$1,0)-MATCH($F$1,enemy_skill_triggers!$1:$1,0)+1,FALSE)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65" s="173">
        <f ca="1">VLOOKUP($F65,OFFSET(enemy_skill_triggers!$A$1,0,0,COUNTA(enemy_skill_triggers!$A:$A),MATCH(M$1,enemy_skill_triggers!$1:$1,0)-MATCH($F$1,enemy_skill_triggers!$1:$1,0)+1),MATCH(M$1,enemy_skill_triggers!$1:$1,0)-MATCH($F$1,enemy_skill_triggers!$1:$1,0)+1,FALSE)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65" s="173">
        <f ca="1">VLOOKUP($F65,OFFSET(enemy_skill_triggers!$A$1,0,0,COUNTA(enemy_skill_triggers!$A:$A),MATCH(N$1,enemy_skill_triggers!$1:$1,0)-MATCH($F$1,enemy_skill_triggers!$1:$1,0)+1),MATCH(N$1,enemy_skill_triggers!$1:$1,0)-MATCH($F$1,enemy_skill_triggers!$1:$1,0)+1,FALSE)</f>
        <v>1536</v>
      </c>
      <c r="O65" s="173">
        <f ca="1">VLOOKUP($F65,OFFSET(enemy_skill_triggers!$A$1,0,0,COUNTA(enemy_skill_triggers!$A:$A),MATCH(O$1,enemy_skill_triggers!$1:$1,0)-MATCH($F$1,enemy_skill_triggers!$1:$1,0)+1),MATCH(O$1,enemy_skill_triggers!$1:$1,0)-MATCH($F$1,enemy_skill_triggers!$1:$1,0)+1,FALSE)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5" s="174"/>
      <c r="Q65" s="174"/>
      <c r="R65" s="172">
        <f ca="1">VLOOKUP($C65,OFFSET(enemy_skills!$A$1,0,0,COUNTA(enemy_skills!$A:$A),MATCH(R$1,enemy_skills!$1:$1,0)-MATCH("enemy_skill_id",enemy_skills!$1:$1,0)+1),MATCH(R$1,enemy_skills!$1:$1,0)-MATCH("enemy_skill_id",enemy_skills!$1:$1,0)+1,FALSE)</f>
        <v>0</v>
      </c>
    </row>
    <row r="66" spans="1:18" s="175" customFormat="1" ht="21" customHeight="1" x14ac:dyDescent="0.15">
      <c r="A66" s="171" t="str">
        <f t="shared" si="12"/>
        <v>39012510_39012561</v>
      </c>
      <c r="B66" s="158">
        <v>39012510</v>
      </c>
      <c r="C66" s="158">
        <v>39012561</v>
      </c>
      <c r="D66" s="172" t="str">
        <f ca="1">VLOOKUP($C66,OFFSET(enemy_skills!$A$1,0,0,COUNTA(enemy_skills!$A:$A),MATCH(D$1,enemy_skills!$1:$1,0)-MATCH("enemy_skill_id",enemy_skills!$1:$1,0)+1),MATCH(D$1,enemy_skills!$1:$1,0)-MATCH("enemy_skill_id",enemy_skills!$1:$1,0)+1,FALSE)</f>
        <v>…注射は苦手なのです</v>
      </c>
      <c r="E66" s="172" t="str">
        <f ca="1">VLOOKUP($C66,OFFSET(enemy_skills!$A$1,0,0,COUNTA(enemy_skills!$A:$A),MATCH(E$1,enemy_skills!$1:$1,0)-MATCH("enemy_skill_id",enemy_skills!$1:$1,0)+1),MATCH(E$1,enemy_skills!$1:$1,0)-MATCH("enemy_skill_id",enemy_skills!$1:$1,0)+1,FALSE)</f>
        <v>周りにいるにゃんこ達が_x000D_悲しそうにこちらを見ている…</v>
      </c>
      <c r="F66" s="158">
        <v>39012650</v>
      </c>
      <c r="G66" s="173">
        <f ca="1">VLOOKUP($F66,OFFSET(enemy_skill_triggers!$A$1,0,0,COUNTA(enemy_skill_triggers!$A:$A),MATCH(G$1,enemy_skill_triggers!$1:$1,0)-MATCH($F$1,enemy_skill_triggers!$1:$1,0)+1),MATCH(G$1,enemy_skill_triggers!$1:$1,0)-MATCH($F$1,enemy_skill_triggers!$1:$1,0)+1,FALSE)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66" s="173">
        <f ca="1">VLOOKUP($F66,OFFSET(enemy_skill_triggers!$A$1,0,0,COUNTA(enemy_skill_triggers!$A:$A),MATCH(H$1,enemy_skill_triggers!$1:$1,0)-MATCH($F$1,enemy_skill_triggers!$1:$1,0)+1),MATCH(H$1,enemy_skill_triggers!$1:$1,0)-MATCH($F$1,enemy_skill_triggers!$1:$1,0)+1,FALSE)</f>
        <v>979</v>
      </c>
      <c r="I66" s="173">
        <f ca="1">VLOOKUP($F66,OFFSET(enemy_skill_triggers!$A$1,0,0,COUNTA(enemy_skill_triggers!$A:$A),MATCH(I$1,enemy_skill_triggers!$1:$1,0)-MATCH($F$1,enemy_skill_triggers!$1:$1,0)+1),MATCH(I$1,enemy_skill_triggers!$1:$1,0)-MATCH($F$1,enemy_skill_triggers!$1:$1,0)+1,FALSE)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6" s="173" t="str">
        <f ca="1">VLOOKUP($F66,OFFSET(enemy_skill_triggers!$A$1,0,0,COUNTA(enemy_skill_triggers!$A:$A),MATCH(J$1,enemy_skill_triggers!$1:$1,0)-MATCH($F$1,enemy_skill_triggers!$1:$1,0)+1),MATCH(J$1,enemy_skill_triggers!$1:$1,0)-MATCH($F$1,enemy_skill_triggers!$1:$1,0)+1,FALSE)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6" s="173" t="str">
        <f ca="1">VLOOKUP($F66,OFFSET(enemy_skill_triggers!$A$1,0,0,COUNTA(enemy_skill_triggers!$A:$A),MATCH(K$1,enemy_skill_triggers!$1:$1,0)-MATCH($F$1,enemy_skill_triggers!$1:$1,0)+1),MATCH(K$1,enemy_skill_triggers!$1:$1,0)-MATCH($F$1,enemy_skill_triggers!$1:$1,0)+1,FALSE)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6" s="173">
        <f ca="1">VLOOKUP($F66,OFFSET(enemy_skill_triggers!$A$1,0,0,COUNTA(enemy_skill_triggers!$A:$A),MATCH(L$1,enemy_skill_triggers!$1:$1,0)-MATCH($F$1,enemy_skill_triggers!$1:$1,0)+1),MATCH(L$1,enemy_skill_triggers!$1:$1,0)-MATCH($F$1,enemy_skill_triggers!$1:$1,0)+1,FALSE)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66" s="173">
        <f ca="1">VLOOKUP($F66,OFFSET(enemy_skill_triggers!$A$1,0,0,COUNTA(enemy_skill_triggers!$A:$A),MATCH(M$1,enemy_skill_triggers!$1:$1,0)-MATCH($F$1,enemy_skill_triggers!$1:$1,0)+1),MATCH(M$1,enemy_skill_triggers!$1:$1,0)-MATCH($F$1,enemy_skill_triggers!$1:$1,0)+1,FALSE)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66" s="173">
        <f ca="1">VLOOKUP($F66,OFFSET(enemy_skill_triggers!$A$1,0,0,COUNTA(enemy_skill_triggers!$A:$A),MATCH(N$1,enemy_skill_triggers!$1:$1,0)-MATCH($F$1,enemy_skill_triggers!$1:$1,0)+1),MATCH(N$1,enemy_skill_triggers!$1:$1,0)-MATCH($F$1,enemy_skill_triggers!$1:$1,0)+1,FALSE)</f>
        <v>1535</v>
      </c>
      <c r="O66" s="173">
        <f ca="1">VLOOKUP($F66,OFFSET(enemy_skill_triggers!$A$1,0,0,COUNTA(enemy_skill_triggers!$A:$A),MATCH(O$1,enemy_skill_triggers!$1:$1,0)-MATCH($F$1,enemy_skill_triggers!$1:$1,0)+1),MATCH(O$1,enemy_skill_triggers!$1:$1,0)-MATCH($F$1,enemy_skill_triggers!$1:$1,0)+1,FALSE)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6" s="174"/>
      <c r="Q66" s="174"/>
      <c r="R66" s="172">
        <f ca="1">VLOOKUP($C66,OFFSET(enemy_skills!$A$1,0,0,COUNTA(enemy_skills!$A:$A),MATCH(R$1,enemy_skills!$1:$1,0)-MATCH("enemy_skill_id",enemy_skills!$1:$1,0)+1),MATCH(R$1,enemy_skills!$1:$1,0)-MATCH("enemy_skill_id",enemy_skills!$1:$1,0)+1,FALSE)</f>
        <v>0</v>
      </c>
    </row>
    <row r="67" spans="1:18" s="175" customFormat="1" ht="21" customHeight="1" x14ac:dyDescent="0.15">
      <c r="A67" s="171" t="str">
        <f t="shared" si="12"/>
        <v>39012510_39012557</v>
      </c>
      <c r="B67" s="158">
        <v>39012510</v>
      </c>
      <c r="C67" s="158">
        <v>39012557</v>
      </c>
      <c r="D67" s="172" t="str">
        <f ca="1">VLOOKUP($C67,OFFSET(enemy_skills!$A$1,0,0,COUNTA(enemy_skills!$A:$A),MATCH(D$1,enemy_skills!$1:$1,0)-MATCH("enemy_skill_id",enemy_skills!$1:$1,0)+1),MATCH(D$1,enemy_skills!$1:$1,0)-MATCH("enemy_skill_id",enemy_skills!$1:$1,0)+1,FALSE)</f>
        <v>べ、別に女性として負けたわけでは…</v>
      </c>
      <c r="E67" s="172" t="str">
        <f ca="1">VLOOKUP($C67,OFFSET(enemy_skills!$A$1,0,0,COUNTA(enemy_skills!$A:$A),MATCH(E$1,enemy_skills!$1:$1,0)-MATCH("enemy_skill_id",enemy_skills!$1:$1,0)+1),MATCH(E$1,enemy_skills!$1:$1,0)-MATCH("enemy_skill_id",enemy_skills!$1:$1,0)+1,FALSE)</f>
        <v>周りにいるにゃんこ達が_x000D_悲しそうにこちらを見ている…</v>
      </c>
      <c r="F67" s="158">
        <v>39012651</v>
      </c>
      <c r="G67" s="173">
        <f ca="1">VLOOKUP($F67,OFFSET(enemy_skill_triggers!$A$1,0,0,COUNTA(enemy_skill_triggers!$A:$A),MATCH(G$1,enemy_skill_triggers!$1:$1,0)-MATCH($F$1,enemy_skill_triggers!$1:$1,0)+1),MATCH(G$1,enemy_skill_triggers!$1:$1,0)-MATCH($F$1,enemy_skill_triggers!$1:$1,0)+1,FALSE)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67" s="173">
        <f ca="1">VLOOKUP($F67,OFFSET(enemy_skill_triggers!$A$1,0,0,COUNTA(enemy_skill_triggers!$A:$A),MATCH(H$1,enemy_skill_triggers!$1:$1,0)-MATCH($F$1,enemy_skill_triggers!$1:$1,0)+1),MATCH(H$1,enemy_skill_triggers!$1:$1,0)-MATCH($F$1,enemy_skill_triggers!$1:$1,0)+1,FALSE)</f>
        <v>978</v>
      </c>
      <c r="I67" s="173">
        <f ca="1">VLOOKUP($F67,OFFSET(enemy_skill_triggers!$A$1,0,0,COUNTA(enemy_skill_triggers!$A:$A),MATCH(I$1,enemy_skill_triggers!$1:$1,0)-MATCH($F$1,enemy_skill_triggers!$1:$1,0)+1),MATCH(I$1,enemy_skill_triggers!$1:$1,0)-MATCH($F$1,enemy_skill_triggers!$1:$1,0)+1,FALSE)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7" s="173" t="str">
        <f ca="1">VLOOKUP($F67,OFFSET(enemy_skill_triggers!$A$1,0,0,COUNTA(enemy_skill_triggers!$A:$A),MATCH(J$1,enemy_skill_triggers!$1:$1,0)-MATCH($F$1,enemy_skill_triggers!$1:$1,0)+1),MATCH(J$1,enemy_skill_triggers!$1:$1,0)-MATCH($F$1,enemy_skill_triggers!$1:$1,0)+1,FALSE)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7" s="173" t="str">
        <f ca="1">VLOOKUP($F67,OFFSET(enemy_skill_triggers!$A$1,0,0,COUNTA(enemy_skill_triggers!$A:$A),MATCH(K$1,enemy_skill_triggers!$1:$1,0)-MATCH($F$1,enemy_skill_triggers!$1:$1,0)+1),MATCH(K$1,enemy_skill_triggers!$1:$1,0)-MATCH($F$1,enemy_skill_triggers!$1:$1,0)+1,FALSE)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7" s="173">
        <f ca="1">VLOOKUP($F67,OFFSET(enemy_skill_triggers!$A$1,0,0,COUNTA(enemy_skill_triggers!$A:$A),MATCH(L$1,enemy_skill_triggers!$1:$1,0)-MATCH($F$1,enemy_skill_triggers!$1:$1,0)+1),MATCH(L$1,enemy_skill_triggers!$1:$1,0)-MATCH($F$1,enemy_skill_triggers!$1:$1,0)+1,FALSE)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67" s="173">
        <f ca="1">VLOOKUP($F67,OFFSET(enemy_skill_triggers!$A$1,0,0,COUNTA(enemy_skill_triggers!$A:$A),MATCH(M$1,enemy_skill_triggers!$1:$1,0)-MATCH($F$1,enemy_skill_triggers!$1:$1,0)+1),MATCH(M$1,enemy_skill_triggers!$1:$1,0)-MATCH($F$1,enemy_skill_triggers!$1:$1,0)+1,FALSE)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67" s="173">
        <f ca="1">VLOOKUP($F67,OFFSET(enemy_skill_triggers!$A$1,0,0,COUNTA(enemy_skill_triggers!$A:$A),MATCH(N$1,enemy_skill_triggers!$1:$1,0)-MATCH($F$1,enemy_skill_triggers!$1:$1,0)+1),MATCH(N$1,enemy_skill_triggers!$1:$1,0)-MATCH($F$1,enemy_skill_triggers!$1:$1,0)+1,FALSE)</f>
        <v>1540</v>
      </c>
      <c r="O67" s="173">
        <f ca="1">VLOOKUP($F67,OFFSET(enemy_skill_triggers!$A$1,0,0,COUNTA(enemy_skill_triggers!$A:$A),MATCH(O$1,enemy_skill_triggers!$1:$1,0)-MATCH($F$1,enemy_skill_triggers!$1:$1,0)+1),MATCH(O$1,enemy_skill_triggers!$1:$1,0)-MATCH($F$1,enemy_skill_triggers!$1:$1,0)+1,FALSE)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7" s="174"/>
      <c r="Q67" s="174"/>
      <c r="R67" s="172">
        <f ca="1">VLOOKUP($C67,OFFSET(enemy_skills!$A$1,0,0,COUNTA(enemy_skills!$A:$A),MATCH(R$1,enemy_skills!$1:$1,0)-MATCH("enemy_skill_id",enemy_skills!$1:$1,0)+1),MATCH(R$1,enemy_skills!$1:$1,0)-MATCH("enemy_skill_id",enemy_skills!$1:$1,0)+1,FALSE)</f>
        <v>0</v>
      </c>
    </row>
    <row r="68" spans="1:18" s="175" customFormat="1" ht="21" customHeight="1" x14ac:dyDescent="0.15">
      <c r="A68" s="171" t="str">
        <f t="shared" si="12"/>
        <v>39012510_39012557</v>
      </c>
      <c r="B68" s="158">
        <v>39012510</v>
      </c>
      <c r="C68" s="158">
        <v>39012557</v>
      </c>
      <c r="D68" s="172" t="str">
        <f ca="1">VLOOKUP($C68,OFFSET(enemy_skills!$A$1,0,0,COUNTA(enemy_skills!$A:$A),MATCH(D$1,enemy_skills!$1:$1,0)-MATCH("enemy_skill_id",enemy_skills!$1:$1,0)+1),MATCH(D$1,enemy_skills!$1:$1,0)-MATCH("enemy_skill_id",enemy_skills!$1:$1,0)+1,FALSE)</f>
        <v>べ、別に女性として負けたわけでは…</v>
      </c>
      <c r="E68" s="172" t="str">
        <f ca="1">VLOOKUP($C68,OFFSET(enemy_skills!$A$1,0,0,COUNTA(enemy_skills!$A:$A),MATCH(E$1,enemy_skills!$1:$1,0)-MATCH("enemy_skill_id",enemy_skills!$1:$1,0)+1),MATCH(E$1,enemy_skills!$1:$1,0)-MATCH("enemy_skill_id",enemy_skills!$1:$1,0)+1,FALSE)</f>
        <v>周りにいるにゃんこ達が_x000D_悲しそうにこちらを見ている…</v>
      </c>
      <c r="F68" s="158">
        <v>39012652</v>
      </c>
      <c r="G68" s="173">
        <f ca="1">VLOOKUP($F68,OFFSET(enemy_skill_triggers!$A$1,0,0,COUNTA(enemy_skill_triggers!$A:$A),MATCH(G$1,enemy_skill_triggers!$1:$1,0)-MATCH($F$1,enemy_skill_triggers!$1:$1,0)+1),MATCH(G$1,enemy_skill_triggers!$1:$1,0)-MATCH($F$1,enemy_skill_triggers!$1:$1,0)+1,FALSE)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68" s="173">
        <f ca="1">VLOOKUP($F68,OFFSET(enemy_skill_triggers!$A$1,0,0,COUNTA(enemy_skill_triggers!$A:$A),MATCH(H$1,enemy_skill_triggers!$1:$1,0)-MATCH($F$1,enemy_skill_triggers!$1:$1,0)+1),MATCH(H$1,enemy_skill_triggers!$1:$1,0)-MATCH($F$1,enemy_skill_triggers!$1:$1,0)+1,FALSE)</f>
        <v>977</v>
      </c>
      <c r="I68" s="173">
        <f ca="1">VLOOKUP($F68,OFFSET(enemy_skill_triggers!$A$1,0,0,COUNTA(enemy_skill_triggers!$A:$A),MATCH(I$1,enemy_skill_triggers!$1:$1,0)-MATCH($F$1,enemy_skill_triggers!$1:$1,0)+1),MATCH(I$1,enemy_skill_triggers!$1:$1,0)-MATCH($F$1,enemy_skill_triggers!$1:$1,0)+1,FALSE)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8" s="173" t="str">
        <f ca="1">VLOOKUP($F68,OFFSET(enemy_skill_triggers!$A$1,0,0,COUNTA(enemy_skill_triggers!$A:$A),MATCH(J$1,enemy_skill_triggers!$1:$1,0)-MATCH($F$1,enemy_skill_triggers!$1:$1,0)+1),MATCH(J$1,enemy_skill_triggers!$1:$1,0)-MATCH($F$1,enemy_skill_triggers!$1:$1,0)+1,FALSE)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8" s="173" t="str">
        <f ca="1">VLOOKUP($F68,OFFSET(enemy_skill_triggers!$A$1,0,0,COUNTA(enemy_skill_triggers!$A:$A),MATCH(K$1,enemy_skill_triggers!$1:$1,0)-MATCH($F$1,enemy_skill_triggers!$1:$1,0)+1),MATCH(K$1,enemy_skill_triggers!$1:$1,0)-MATCH($F$1,enemy_skill_triggers!$1:$1,0)+1,FALSE)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8" s="173">
        <f ca="1">VLOOKUP($F68,OFFSET(enemy_skill_triggers!$A$1,0,0,COUNTA(enemy_skill_triggers!$A:$A),MATCH(L$1,enemy_skill_triggers!$1:$1,0)-MATCH($F$1,enemy_skill_triggers!$1:$1,0)+1),MATCH(L$1,enemy_skill_triggers!$1:$1,0)-MATCH($F$1,enemy_skill_triggers!$1:$1,0)+1,FALSE)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68" s="173">
        <f ca="1">VLOOKUP($F68,OFFSET(enemy_skill_triggers!$A$1,0,0,COUNTA(enemy_skill_triggers!$A:$A),MATCH(M$1,enemy_skill_triggers!$1:$1,0)-MATCH($F$1,enemy_skill_triggers!$1:$1,0)+1),MATCH(M$1,enemy_skill_triggers!$1:$1,0)-MATCH($F$1,enemy_skill_triggers!$1:$1,0)+1,FALSE)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68" s="173">
        <f ca="1">VLOOKUP($F68,OFFSET(enemy_skill_triggers!$A$1,0,0,COUNTA(enemy_skill_triggers!$A:$A),MATCH(N$1,enemy_skill_triggers!$1:$1,0)-MATCH($F$1,enemy_skill_triggers!$1:$1,0)+1),MATCH(N$1,enemy_skill_triggers!$1:$1,0)-MATCH($F$1,enemy_skill_triggers!$1:$1,0)+1,FALSE)</f>
        <v>1539</v>
      </c>
      <c r="O68" s="173">
        <f ca="1">VLOOKUP($F68,OFFSET(enemy_skill_triggers!$A$1,0,0,COUNTA(enemy_skill_triggers!$A:$A),MATCH(O$1,enemy_skill_triggers!$1:$1,0)-MATCH($F$1,enemy_skill_triggers!$1:$1,0)+1),MATCH(O$1,enemy_skill_triggers!$1:$1,0)-MATCH($F$1,enemy_skill_triggers!$1:$1,0)+1,FALSE)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8" s="174"/>
      <c r="Q68" s="174"/>
      <c r="R68" s="172">
        <f ca="1">VLOOKUP($C68,OFFSET(enemy_skills!$A$1,0,0,COUNTA(enemy_skills!$A:$A),MATCH(R$1,enemy_skills!$1:$1,0)-MATCH("enemy_skill_id",enemy_skills!$1:$1,0)+1),MATCH(R$1,enemy_skills!$1:$1,0)-MATCH("enemy_skill_id",enemy_skills!$1:$1,0)+1,FALSE)</f>
        <v>0</v>
      </c>
    </row>
    <row r="69" spans="1:18" s="175" customFormat="1" ht="21" customHeight="1" x14ac:dyDescent="0.15">
      <c r="A69" s="171" t="str">
        <f t="shared" si="12"/>
        <v>39012510_39012558</v>
      </c>
      <c r="B69" s="158">
        <v>39012510</v>
      </c>
      <c r="C69" s="158">
        <v>39012558</v>
      </c>
      <c r="D69" s="172" t="str">
        <f ca="1">VLOOKUP($C69,OFFSET(enemy_skills!$A$1,0,0,COUNTA(enemy_skills!$A:$A),MATCH(D$1,enemy_skills!$1:$1,0)-MATCH("enemy_skill_id",enemy_skills!$1:$1,0)+1),MATCH(D$1,enemy_skills!$1:$1,0)-MATCH("enemy_skill_id",enemy_skills!$1:$1,0)+1,FALSE)</f>
        <v>自分への投資が足りなかったようです…</v>
      </c>
      <c r="E69" s="172" t="str">
        <f ca="1">VLOOKUP($C69,OFFSET(enemy_skills!$A$1,0,0,COUNTA(enemy_skills!$A:$A),MATCH(E$1,enemy_skills!$1:$1,0)-MATCH("enemy_skill_id",enemy_skills!$1:$1,0)+1),MATCH(E$1,enemy_skills!$1:$1,0)-MATCH("enemy_skill_id",enemy_skills!$1:$1,0)+1,FALSE)</f>
        <v>周りにいるにゃんこ達が_x000D_悲しそうにこちらを見ている…</v>
      </c>
      <c r="F69" s="158">
        <v>39012653</v>
      </c>
      <c r="G69" s="173">
        <f ca="1">VLOOKUP($F69,OFFSET(enemy_skill_triggers!$A$1,0,0,COUNTA(enemy_skill_triggers!$A:$A),MATCH(G$1,enemy_skill_triggers!$1:$1,0)-MATCH($F$1,enemy_skill_triggers!$1:$1,0)+1),MATCH(G$1,enemy_skill_triggers!$1:$1,0)-MATCH($F$1,enemy_skill_triggers!$1:$1,0)+1,FALSE)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69" s="173">
        <f ca="1">VLOOKUP($F69,OFFSET(enemy_skill_triggers!$A$1,0,0,COUNTA(enemy_skill_triggers!$A:$A),MATCH(H$1,enemy_skill_triggers!$1:$1,0)-MATCH($F$1,enemy_skill_triggers!$1:$1,0)+1),MATCH(H$1,enemy_skill_triggers!$1:$1,0)-MATCH($F$1,enemy_skill_triggers!$1:$1,0)+1,FALSE)</f>
        <v>976</v>
      </c>
      <c r="I69" s="173">
        <f ca="1">VLOOKUP($F69,OFFSET(enemy_skill_triggers!$A$1,0,0,COUNTA(enemy_skill_triggers!$A:$A),MATCH(I$1,enemy_skill_triggers!$1:$1,0)-MATCH($F$1,enemy_skill_triggers!$1:$1,0)+1),MATCH(I$1,enemy_skill_triggers!$1:$1,0)-MATCH($F$1,enemy_skill_triggers!$1:$1,0)+1,FALSE)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9" s="173" t="str">
        <f ca="1">VLOOKUP($F69,OFFSET(enemy_skill_triggers!$A$1,0,0,COUNTA(enemy_skill_triggers!$A:$A),MATCH(J$1,enemy_skill_triggers!$1:$1,0)-MATCH($F$1,enemy_skill_triggers!$1:$1,0)+1),MATCH(J$1,enemy_skill_triggers!$1:$1,0)-MATCH($F$1,enemy_skill_triggers!$1:$1,0)+1,FALSE)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9" s="173" t="str">
        <f ca="1">VLOOKUP($F69,OFFSET(enemy_skill_triggers!$A$1,0,0,COUNTA(enemy_skill_triggers!$A:$A),MATCH(K$1,enemy_skill_triggers!$1:$1,0)-MATCH($F$1,enemy_skill_triggers!$1:$1,0)+1),MATCH(K$1,enemy_skill_triggers!$1:$1,0)-MATCH($F$1,enemy_skill_triggers!$1:$1,0)+1,FALSE)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9" s="173">
        <f ca="1">VLOOKUP($F69,OFFSET(enemy_skill_triggers!$A$1,0,0,COUNTA(enemy_skill_triggers!$A:$A),MATCH(L$1,enemy_skill_triggers!$1:$1,0)-MATCH($F$1,enemy_skill_triggers!$1:$1,0)+1),MATCH(L$1,enemy_skill_triggers!$1:$1,0)-MATCH($F$1,enemy_skill_triggers!$1:$1,0)+1,FALSE)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69" s="173">
        <f ca="1">VLOOKUP($F69,OFFSET(enemy_skill_triggers!$A$1,0,0,COUNTA(enemy_skill_triggers!$A:$A),MATCH(M$1,enemy_skill_triggers!$1:$1,0)-MATCH($F$1,enemy_skill_triggers!$1:$1,0)+1),MATCH(M$1,enemy_skill_triggers!$1:$1,0)-MATCH($F$1,enemy_skill_triggers!$1:$1,0)+1,FALSE)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69" s="173">
        <f ca="1">VLOOKUP($F69,OFFSET(enemy_skill_triggers!$A$1,0,0,COUNTA(enemy_skill_triggers!$A:$A),MATCH(N$1,enemy_skill_triggers!$1:$1,0)-MATCH($F$1,enemy_skill_triggers!$1:$1,0)+1),MATCH(N$1,enemy_skill_triggers!$1:$1,0)-MATCH($F$1,enemy_skill_triggers!$1:$1,0)+1,FALSE)</f>
        <v>1534</v>
      </c>
      <c r="O69" s="173">
        <f ca="1">VLOOKUP($F69,OFFSET(enemy_skill_triggers!$A$1,0,0,COUNTA(enemy_skill_triggers!$A:$A),MATCH(O$1,enemy_skill_triggers!$1:$1,0)-MATCH($F$1,enemy_skill_triggers!$1:$1,0)+1),MATCH(O$1,enemy_skill_triggers!$1:$1,0)-MATCH($F$1,enemy_skill_triggers!$1:$1,0)+1,FALSE)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9" s="174"/>
      <c r="Q69" s="174"/>
      <c r="R69" s="172">
        <f ca="1">VLOOKUP($C69,OFFSET(enemy_skills!$A$1,0,0,COUNTA(enemy_skills!$A:$A),MATCH(R$1,enemy_skills!$1:$1,0)-MATCH("enemy_skill_id",enemy_skills!$1:$1,0)+1),MATCH(R$1,enemy_skills!$1:$1,0)-MATCH("enemy_skill_id",enemy_skills!$1:$1,0)+1,FALSE)</f>
        <v>0</v>
      </c>
    </row>
    <row r="70" spans="1:18" s="175" customFormat="1" ht="21" customHeight="1" x14ac:dyDescent="0.15">
      <c r="A70" s="171" t="str">
        <f t="shared" si="12"/>
        <v>39012510_39012558</v>
      </c>
      <c r="B70" s="158">
        <v>39012510</v>
      </c>
      <c r="C70" s="158">
        <v>39012558</v>
      </c>
      <c r="D70" s="172" t="str">
        <f ca="1">VLOOKUP($C70,OFFSET(enemy_skills!$A$1,0,0,COUNTA(enemy_skills!$A:$A),MATCH(D$1,enemy_skills!$1:$1,0)-MATCH("enemy_skill_id",enemy_skills!$1:$1,0)+1),MATCH(D$1,enemy_skills!$1:$1,0)-MATCH("enemy_skill_id",enemy_skills!$1:$1,0)+1,FALSE)</f>
        <v>自分への投資が足りなかったようです…</v>
      </c>
      <c r="E70" s="172" t="str">
        <f ca="1">VLOOKUP($C70,OFFSET(enemy_skills!$A$1,0,0,COUNTA(enemy_skills!$A:$A),MATCH(E$1,enemy_skills!$1:$1,0)-MATCH("enemy_skill_id",enemy_skills!$1:$1,0)+1),MATCH(E$1,enemy_skills!$1:$1,0)-MATCH("enemy_skill_id",enemy_skills!$1:$1,0)+1,FALSE)</f>
        <v>周りにいるにゃんこ達が_x000D_悲しそうにこちらを見ている…</v>
      </c>
      <c r="F70" s="158">
        <v>39012654</v>
      </c>
      <c r="G70" s="173">
        <f ca="1">VLOOKUP($F70,OFFSET(enemy_skill_triggers!$A$1,0,0,COUNTA(enemy_skill_triggers!$A:$A),MATCH(G$1,enemy_skill_triggers!$1:$1,0)-MATCH($F$1,enemy_skill_triggers!$1:$1,0)+1),MATCH(G$1,enemy_skill_triggers!$1:$1,0)-MATCH($F$1,enemy_skill_triggers!$1:$1,0)+1,FALSE)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70" s="173">
        <f ca="1">VLOOKUP($F70,OFFSET(enemy_skill_triggers!$A$1,0,0,COUNTA(enemy_skill_triggers!$A:$A),MATCH(H$1,enemy_skill_triggers!$1:$1,0)-MATCH($F$1,enemy_skill_triggers!$1:$1,0)+1),MATCH(H$1,enemy_skill_triggers!$1:$1,0)-MATCH($F$1,enemy_skill_triggers!$1:$1,0)+1,FALSE)</f>
        <v>975</v>
      </c>
      <c r="I70" s="173">
        <f ca="1">VLOOKUP($F70,OFFSET(enemy_skill_triggers!$A$1,0,0,COUNTA(enemy_skill_triggers!$A:$A),MATCH(I$1,enemy_skill_triggers!$1:$1,0)-MATCH($F$1,enemy_skill_triggers!$1:$1,0)+1),MATCH(I$1,enemy_skill_triggers!$1:$1,0)-MATCH($F$1,enemy_skill_triggers!$1:$1,0)+1,FALSE)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70" s="173" t="str">
        <f ca="1">VLOOKUP($F70,OFFSET(enemy_skill_triggers!$A$1,0,0,COUNTA(enemy_skill_triggers!$A:$A),MATCH(J$1,enemy_skill_triggers!$1:$1,0)-MATCH($F$1,enemy_skill_triggers!$1:$1,0)+1),MATCH(J$1,enemy_skill_triggers!$1:$1,0)-MATCH($F$1,enemy_skill_triggers!$1:$1,0)+1,FALSE)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70" s="173" t="str">
        <f ca="1">VLOOKUP($F70,OFFSET(enemy_skill_triggers!$A$1,0,0,COUNTA(enemy_skill_triggers!$A:$A),MATCH(K$1,enemy_skill_triggers!$1:$1,0)-MATCH($F$1,enemy_skill_triggers!$1:$1,0)+1),MATCH(K$1,enemy_skill_triggers!$1:$1,0)-MATCH($F$1,enemy_skill_triggers!$1:$1,0)+1,FALSE)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0" s="173">
        <f ca="1">VLOOKUP($F70,OFFSET(enemy_skill_triggers!$A$1,0,0,COUNTA(enemy_skill_triggers!$A:$A),MATCH(L$1,enemy_skill_triggers!$1:$1,0)-MATCH($F$1,enemy_skill_triggers!$1:$1,0)+1),MATCH(L$1,enemy_skill_triggers!$1:$1,0)-MATCH($F$1,enemy_skill_triggers!$1:$1,0)+1,FALSE)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70" s="173">
        <f ca="1">VLOOKUP($F70,OFFSET(enemy_skill_triggers!$A$1,0,0,COUNTA(enemy_skill_triggers!$A:$A),MATCH(M$1,enemy_skill_triggers!$1:$1,0)-MATCH($F$1,enemy_skill_triggers!$1:$1,0)+1),MATCH(M$1,enemy_skill_triggers!$1:$1,0)-MATCH($F$1,enemy_skill_triggers!$1:$1,0)+1,FALSE)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70" s="173">
        <f ca="1">VLOOKUP($F70,OFFSET(enemy_skill_triggers!$A$1,0,0,COUNTA(enemy_skill_triggers!$A:$A),MATCH(N$1,enemy_skill_triggers!$1:$1,0)-MATCH($F$1,enemy_skill_triggers!$1:$1,0)+1),MATCH(N$1,enemy_skill_triggers!$1:$1,0)-MATCH($F$1,enemy_skill_triggers!$1:$1,0)+1,FALSE)</f>
        <v>1533</v>
      </c>
      <c r="O70" s="173">
        <f ca="1">VLOOKUP($F70,OFFSET(enemy_skill_triggers!$A$1,0,0,COUNTA(enemy_skill_triggers!$A:$A),MATCH(O$1,enemy_skill_triggers!$1:$1,0)-MATCH($F$1,enemy_skill_triggers!$1:$1,0)+1),MATCH(O$1,enemy_skill_triggers!$1:$1,0)-MATCH($F$1,enemy_skill_triggers!$1:$1,0)+1,FALSE)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70" s="174"/>
      <c r="Q70" s="174"/>
      <c r="R70" s="172">
        <f ca="1">VLOOKUP($C70,OFFSET(enemy_skills!$A$1,0,0,COUNTA(enemy_skills!$A:$A),MATCH(R$1,enemy_skills!$1:$1,0)-MATCH("enemy_skill_id",enemy_skills!$1:$1,0)+1),MATCH(R$1,enemy_skills!$1:$1,0)-MATCH("enemy_skill_id",enemy_skills!$1:$1,0)+1,FALSE)</f>
        <v>0</v>
      </c>
    </row>
    <row r="71" spans="1:18" s="175" customFormat="1" ht="21" customHeight="1" x14ac:dyDescent="0.15">
      <c r="A71" s="171" t="str">
        <f t="shared" si="12"/>
        <v>39012510_39012560</v>
      </c>
      <c r="B71" s="158">
        <v>39012510</v>
      </c>
      <c r="C71" s="158">
        <v>39012560</v>
      </c>
      <c r="D71" s="172" t="str">
        <f ca="1">VLOOKUP($C71,OFFSET(enemy_skills!$A$1,0,0,COUNTA(enemy_skills!$A:$A),MATCH(D$1,enemy_skills!$1:$1,0)-MATCH("enemy_skill_id",enemy_skills!$1:$1,0)+1),MATCH(D$1,enemy_skills!$1:$1,0)-MATCH("enemy_skill_id",enemy_skills!$1:$1,0)+1,FALSE)</f>
        <v>たかがきぐるみと侮っていました…</v>
      </c>
      <c r="E71" s="172" t="str">
        <f ca="1">VLOOKUP($C71,OFFSET(enemy_skills!$A$1,0,0,COUNTA(enemy_skills!$A:$A),MATCH(E$1,enemy_skills!$1:$1,0)-MATCH("enemy_skill_id",enemy_skills!$1:$1,0)+1),MATCH(E$1,enemy_skills!$1:$1,0)-MATCH("enemy_skill_id",enemy_skills!$1:$1,0)+1,FALSE)</f>
        <v>周りにいるにゃんこ達が_x000D_悲しそうにこちらを見ている…</v>
      </c>
      <c r="F71" s="158">
        <v>39012655</v>
      </c>
      <c r="G71" s="173">
        <f ca="1">VLOOKUP($F71,OFFSET(enemy_skill_triggers!$A$1,0,0,COUNTA(enemy_skill_triggers!$A:$A),MATCH(G$1,enemy_skill_triggers!$1:$1,0)-MATCH($F$1,enemy_skill_triggers!$1:$1,0)+1),MATCH(G$1,enemy_skill_triggers!$1:$1,0)-MATCH($F$1,enemy_skill_triggers!$1:$1,0)+1,FALSE)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71" s="173">
        <f ca="1">VLOOKUP($F71,OFFSET(enemy_skill_triggers!$A$1,0,0,COUNTA(enemy_skill_triggers!$A:$A),MATCH(H$1,enemy_skill_triggers!$1:$1,0)-MATCH($F$1,enemy_skill_triggers!$1:$1,0)+1),MATCH(H$1,enemy_skill_triggers!$1:$1,0)-MATCH($F$1,enemy_skill_triggers!$1:$1,0)+1,FALSE)</f>
        <v>974</v>
      </c>
      <c r="I71" s="173">
        <f ca="1">VLOOKUP($F71,OFFSET(enemy_skill_triggers!$A$1,0,0,COUNTA(enemy_skill_triggers!$A:$A),MATCH(I$1,enemy_skill_triggers!$1:$1,0)-MATCH($F$1,enemy_skill_triggers!$1:$1,0)+1),MATCH(I$1,enemy_skill_triggers!$1:$1,0)-MATCH($F$1,enemy_skill_triggers!$1:$1,0)+1,FALSE)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71" s="173" t="str">
        <f ca="1">VLOOKUP($F71,OFFSET(enemy_skill_triggers!$A$1,0,0,COUNTA(enemy_skill_triggers!$A:$A),MATCH(J$1,enemy_skill_triggers!$1:$1,0)-MATCH($F$1,enemy_skill_triggers!$1:$1,0)+1),MATCH(J$1,enemy_skill_triggers!$1:$1,0)-MATCH($F$1,enemy_skill_triggers!$1:$1,0)+1,FALSE)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71" s="173" t="str">
        <f ca="1">VLOOKUP($F71,OFFSET(enemy_skill_triggers!$A$1,0,0,COUNTA(enemy_skill_triggers!$A:$A),MATCH(K$1,enemy_skill_triggers!$1:$1,0)-MATCH($F$1,enemy_skill_triggers!$1:$1,0)+1),MATCH(K$1,enemy_skill_triggers!$1:$1,0)-MATCH($F$1,enemy_skill_triggers!$1:$1,0)+1,FALSE)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1" s="173">
        <f ca="1">VLOOKUP($F71,OFFSET(enemy_skill_triggers!$A$1,0,0,COUNTA(enemy_skill_triggers!$A:$A),MATCH(L$1,enemy_skill_triggers!$1:$1,0)-MATCH($F$1,enemy_skill_triggers!$1:$1,0)+1),MATCH(L$1,enemy_skill_triggers!$1:$1,0)-MATCH($F$1,enemy_skill_triggers!$1:$1,0)+1,FALSE)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71" s="173">
        <f ca="1">VLOOKUP($F71,OFFSET(enemy_skill_triggers!$A$1,0,0,COUNTA(enemy_skill_triggers!$A:$A),MATCH(M$1,enemy_skill_triggers!$1:$1,0)-MATCH($F$1,enemy_skill_triggers!$1:$1,0)+1),MATCH(M$1,enemy_skill_triggers!$1:$1,0)-MATCH($F$1,enemy_skill_triggers!$1:$1,0)+1,FALSE)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71" s="173">
        <f ca="1">VLOOKUP($F71,OFFSET(enemy_skill_triggers!$A$1,0,0,COUNTA(enemy_skill_triggers!$A:$A),MATCH(N$1,enemy_skill_triggers!$1:$1,0)-MATCH($F$1,enemy_skill_triggers!$1:$1,0)+1),MATCH(N$1,enemy_skill_triggers!$1:$1,0)-MATCH($F$1,enemy_skill_triggers!$1:$1,0)+1,FALSE)</f>
        <v>1524</v>
      </c>
      <c r="O71" s="173">
        <f ca="1">VLOOKUP($F71,OFFSET(enemy_skill_triggers!$A$1,0,0,COUNTA(enemy_skill_triggers!$A:$A),MATCH(O$1,enemy_skill_triggers!$1:$1,0)-MATCH($F$1,enemy_skill_triggers!$1:$1,0)+1),MATCH(O$1,enemy_skill_triggers!$1:$1,0)-MATCH($F$1,enemy_skill_triggers!$1:$1,0)+1,FALSE)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71" s="174"/>
      <c r="Q71" s="174"/>
      <c r="R71" s="172">
        <f ca="1">VLOOKUP($C71,OFFSET(enemy_skills!$A$1,0,0,COUNTA(enemy_skills!$A:$A),MATCH(R$1,enemy_skills!$1:$1,0)-MATCH("enemy_skill_id",enemy_skills!$1:$1,0)+1),MATCH(R$1,enemy_skills!$1:$1,0)-MATCH("enemy_skill_id",enemy_skills!$1:$1,0)+1,FALSE)</f>
        <v>0</v>
      </c>
    </row>
    <row r="72" spans="1:18" s="175" customFormat="1" ht="21" customHeight="1" x14ac:dyDescent="0.15">
      <c r="A72" s="171" t="str">
        <f t="shared" si="12"/>
        <v>39012510_39012560</v>
      </c>
      <c r="B72" s="158">
        <v>39012510</v>
      </c>
      <c r="C72" s="158">
        <v>39012560</v>
      </c>
      <c r="D72" s="172" t="str">
        <f ca="1">VLOOKUP($C72,OFFSET(enemy_skills!$A$1,0,0,COUNTA(enemy_skills!$A:$A),MATCH(D$1,enemy_skills!$1:$1,0)-MATCH("enemy_skill_id",enemy_skills!$1:$1,0)+1),MATCH(D$1,enemy_skills!$1:$1,0)-MATCH("enemy_skill_id",enemy_skills!$1:$1,0)+1,FALSE)</f>
        <v>たかがきぐるみと侮っていました…</v>
      </c>
      <c r="E72" s="172" t="str">
        <f ca="1">VLOOKUP($C72,OFFSET(enemy_skills!$A$1,0,0,COUNTA(enemy_skills!$A:$A),MATCH(E$1,enemy_skills!$1:$1,0)-MATCH("enemy_skill_id",enemy_skills!$1:$1,0)+1),MATCH(E$1,enemy_skills!$1:$1,0)-MATCH("enemy_skill_id",enemy_skills!$1:$1,0)+1,FALSE)</f>
        <v>周りにいるにゃんこ達が_x000D_悲しそうにこちらを見ている…</v>
      </c>
      <c r="F72" s="158">
        <v>39012656</v>
      </c>
      <c r="G72" s="173">
        <f ca="1">VLOOKUP($F72,OFFSET(enemy_skill_triggers!$A$1,0,0,COUNTA(enemy_skill_triggers!$A:$A),MATCH(G$1,enemy_skill_triggers!$1:$1,0)-MATCH($F$1,enemy_skill_triggers!$1:$1,0)+1),MATCH(G$1,enemy_skill_triggers!$1:$1,0)-MATCH($F$1,enemy_skill_triggers!$1:$1,0)+1,FALSE)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72" s="173">
        <f ca="1">VLOOKUP($F72,OFFSET(enemy_skill_triggers!$A$1,0,0,COUNTA(enemy_skill_triggers!$A:$A),MATCH(H$1,enemy_skill_triggers!$1:$1,0)-MATCH($F$1,enemy_skill_triggers!$1:$1,0)+1),MATCH(H$1,enemy_skill_triggers!$1:$1,0)-MATCH($F$1,enemy_skill_triggers!$1:$1,0)+1,FALSE)</f>
        <v>973</v>
      </c>
      <c r="I72" s="173">
        <f ca="1">VLOOKUP($F72,OFFSET(enemy_skill_triggers!$A$1,0,0,COUNTA(enemy_skill_triggers!$A:$A),MATCH(I$1,enemy_skill_triggers!$1:$1,0)-MATCH($F$1,enemy_skill_triggers!$1:$1,0)+1),MATCH(I$1,enemy_skill_triggers!$1:$1,0)-MATCH($F$1,enemy_skill_triggers!$1:$1,0)+1,FALSE)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72" s="173" t="str">
        <f ca="1">VLOOKUP($F72,OFFSET(enemy_skill_triggers!$A$1,0,0,COUNTA(enemy_skill_triggers!$A:$A),MATCH(J$1,enemy_skill_triggers!$1:$1,0)-MATCH($F$1,enemy_skill_triggers!$1:$1,0)+1),MATCH(J$1,enemy_skill_triggers!$1:$1,0)-MATCH($F$1,enemy_skill_triggers!$1:$1,0)+1,FALSE)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72" s="173" t="str">
        <f ca="1">VLOOKUP($F72,OFFSET(enemy_skill_triggers!$A$1,0,0,COUNTA(enemy_skill_triggers!$A:$A),MATCH(K$1,enemy_skill_triggers!$1:$1,0)-MATCH($F$1,enemy_skill_triggers!$1:$1,0)+1),MATCH(K$1,enemy_skill_triggers!$1:$1,0)-MATCH($F$1,enemy_skill_triggers!$1:$1,0)+1,FALSE)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2" s="173">
        <f ca="1">VLOOKUP($F72,OFFSET(enemy_skill_triggers!$A$1,0,0,COUNTA(enemy_skill_triggers!$A:$A),MATCH(L$1,enemy_skill_triggers!$1:$1,0)-MATCH($F$1,enemy_skill_triggers!$1:$1,0)+1),MATCH(L$1,enemy_skill_triggers!$1:$1,0)-MATCH($F$1,enemy_skill_triggers!$1:$1,0)+1,FALSE)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72" s="173">
        <f ca="1">VLOOKUP($F72,OFFSET(enemy_skill_triggers!$A$1,0,0,COUNTA(enemy_skill_triggers!$A:$A),MATCH(M$1,enemy_skill_triggers!$1:$1,0)-MATCH($F$1,enemy_skill_triggers!$1:$1,0)+1),MATCH(M$1,enemy_skill_triggers!$1:$1,0)-MATCH($F$1,enemy_skill_triggers!$1:$1,0)+1,FALSE)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72" s="173">
        <f ca="1">VLOOKUP($F72,OFFSET(enemy_skill_triggers!$A$1,0,0,COUNTA(enemy_skill_triggers!$A:$A),MATCH(N$1,enemy_skill_triggers!$1:$1,0)-MATCH($F$1,enemy_skill_triggers!$1:$1,0)+1),MATCH(N$1,enemy_skill_triggers!$1:$1,0)-MATCH($F$1,enemy_skill_triggers!$1:$1,0)+1,FALSE)</f>
        <v>1523</v>
      </c>
      <c r="O72" s="173">
        <f ca="1">VLOOKUP($F72,OFFSET(enemy_skill_triggers!$A$1,0,0,COUNTA(enemy_skill_triggers!$A:$A),MATCH(O$1,enemy_skill_triggers!$1:$1,0)-MATCH($F$1,enemy_skill_triggers!$1:$1,0)+1),MATCH(O$1,enemy_skill_triggers!$1:$1,0)-MATCH($F$1,enemy_skill_triggers!$1:$1,0)+1,FALSE)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72" s="174"/>
      <c r="Q72" s="174"/>
      <c r="R72" s="172">
        <f ca="1">VLOOKUP($C72,OFFSET(enemy_skills!$A$1,0,0,COUNTA(enemy_skills!$A:$A),MATCH(R$1,enemy_skills!$1:$1,0)-MATCH("enemy_skill_id",enemy_skills!$1:$1,0)+1),MATCH(R$1,enemy_skills!$1:$1,0)-MATCH("enemy_skill_id",enemy_skills!$1:$1,0)+1,FALSE)</f>
        <v>0</v>
      </c>
    </row>
    <row r="73" spans="1:18" s="175" customFormat="1" ht="21" customHeight="1" x14ac:dyDescent="0.15">
      <c r="A73" s="171" t="str">
        <f t="shared" si="12"/>
        <v>39012510_39012559</v>
      </c>
      <c r="B73" s="158">
        <v>39012510</v>
      </c>
      <c r="C73" s="158">
        <v>39012559</v>
      </c>
      <c r="D73" s="172" t="str">
        <f ca="1">VLOOKUP($C73,OFFSET(enemy_skills!$A$1,0,0,COUNTA(enemy_skills!$A:$A),MATCH(D$1,enemy_skills!$1:$1,0)-MATCH("enemy_skill_id",enemy_skills!$1:$1,0)+1),MATCH(D$1,enemy_skills!$1:$1,0)-MATCH("enemy_skill_id",enemy_skills!$1:$1,0)+1,FALSE)</f>
        <v>私の負けのようですね…</v>
      </c>
      <c r="E73" s="172" t="str">
        <f ca="1">VLOOKUP($C73,OFFSET(enemy_skills!$A$1,0,0,COUNTA(enemy_skills!$A:$A),MATCH(E$1,enemy_skills!$1:$1,0)-MATCH("enemy_skill_id",enemy_skills!$1:$1,0)+1),MATCH(E$1,enemy_skills!$1:$1,0)-MATCH("enemy_skill_id",enemy_skills!$1:$1,0)+1,FALSE)</f>
        <v>周りにいるにゃんこ達が_x000D_悲しそうにこちらを見ている…</v>
      </c>
      <c r="F73" s="158">
        <v>39012657</v>
      </c>
      <c r="G73" s="173">
        <f ca="1">VLOOKUP($F73,OFFSET(enemy_skill_triggers!$A$1,0,0,COUNTA(enemy_skill_triggers!$A:$A),MATCH(G$1,enemy_skill_triggers!$1:$1,0)-MATCH($F$1,enemy_skill_triggers!$1:$1,0)+1),MATCH(G$1,enemy_skill_triggers!$1:$1,0)-MATCH($F$1,enemy_skill_triggers!$1:$1,0)+1,FALSE)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73" s="173">
        <f ca="1">VLOOKUP($F73,OFFSET(enemy_skill_triggers!$A$1,0,0,COUNTA(enemy_skill_triggers!$A:$A),MATCH(H$1,enemy_skill_triggers!$1:$1,0)-MATCH($F$1,enemy_skill_triggers!$1:$1,0)+1),MATCH(H$1,enemy_skill_triggers!$1:$1,0)-MATCH($F$1,enemy_skill_triggers!$1:$1,0)+1,FALSE)</f>
        <v>972</v>
      </c>
      <c r="I73" s="173">
        <f ca="1">VLOOKUP($F73,OFFSET(enemy_skill_triggers!$A$1,0,0,COUNTA(enemy_skill_triggers!$A:$A),MATCH(I$1,enemy_skill_triggers!$1:$1,0)-MATCH($F$1,enemy_skill_triggers!$1:$1,0)+1),MATCH(I$1,enemy_skill_triggers!$1:$1,0)-MATCH($F$1,enemy_skill_triggers!$1:$1,0)+1,FALSE)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73" s="173" t="str">
        <f ca="1">VLOOKUP($F73,OFFSET(enemy_skill_triggers!$A$1,0,0,COUNTA(enemy_skill_triggers!$A:$A),MATCH(J$1,enemy_skill_triggers!$1:$1,0)-MATCH($F$1,enemy_skill_triggers!$1:$1,0)+1),MATCH(J$1,enemy_skill_triggers!$1:$1,0)-MATCH($F$1,enemy_skill_triggers!$1:$1,0)+1,FALSE)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73" s="173" t="str">
        <f ca="1">VLOOKUP($F73,OFFSET(enemy_skill_triggers!$A$1,0,0,COUNTA(enemy_skill_triggers!$A:$A),MATCH(K$1,enemy_skill_triggers!$1:$1,0)-MATCH($F$1,enemy_skill_triggers!$1:$1,0)+1),MATCH(K$1,enemy_skill_triggers!$1:$1,0)-MATCH($F$1,enemy_skill_triggers!$1:$1,0)+1,FALSE)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3" s="173">
        <f ca="1">VLOOKUP($F73,OFFSET(enemy_skill_triggers!$A$1,0,0,COUNTA(enemy_skill_triggers!$A:$A),MATCH(L$1,enemy_skill_triggers!$1:$1,0)-MATCH($F$1,enemy_skill_triggers!$1:$1,0)+1),MATCH(L$1,enemy_skill_triggers!$1:$1,0)-MATCH($F$1,enemy_skill_triggers!$1:$1,0)+1,FALSE)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73" s="173">
        <f ca="1">VLOOKUP($F73,OFFSET(enemy_skill_triggers!$A$1,0,0,COUNTA(enemy_skill_triggers!$A:$A),MATCH(M$1,enemy_skill_triggers!$1:$1,0)-MATCH($F$1,enemy_skill_triggers!$1:$1,0)+1),MATCH(M$1,enemy_skill_triggers!$1:$1,0)-MATCH($F$1,enemy_skill_triggers!$1:$1,0)+1,FALSE)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73" s="173">
        <f ca="1">VLOOKUP($F73,OFFSET(enemy_skill_triggers!$A$1,0,0,COUNTA(enemy_skill_triggers!$A:$A),MATCH(N$1,enemy_skill_triggers!$1:$1,0)-MATCH($F$1,enemy_skill_triggers!$1:$1,0)+1),MATCH(N$1,enemy_skill_triggers!$1:$1,0)-MATCH($F$1,enemy_skill_triggers!$1:$1,0)+1,FALSE)</f>
        <v>1512</v>
      </c>
      <c r="O73" s="173">
        <f ca="1">VLOOKUP($F73,OFFSET(enemy_skill_triggers!$A$1,0,0,COUNTA(enemy_skill_triggers!$A:$A),MATCH(O$1,enemy_skill_triggers!$1:$1,0)-MATCH($F$1,enemy_skill_triggers!$1:$1,0)+1),MATCH(O$1,enemy_skill_triggers!$1:$1,0)-MATCH($F$1,enemy_skill_triggers!$1:$1,0)+1,FALSE)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73" s="174"/>
      <c r="Q73" s="174"/>
      <c r="R73" s="172">
        <f ca="1">VLOOKUP($C73,OFFSET(enemy_skills!$A$1,0,0,COUNTA(enemy_skills!$A:$A),MATCH(R$1,enemy_skills!$1:$1,0)-MATCH("enemy_skill_id",enemy_skills!$1:$1,0)+1),MATCH(R$1,enemy_skills!$1:$1,0)-MATCH("enemy_skill_id",enemy_skills!$1:$1,0)+1,FALSE)</f>
        <v>0</v>
      </c>
    </row>
    <row r="74" spans="1:18" s="175" customFormat="1" ht="21" customHeight="1" x14ac:dyDescent="0.15">
      <c r="A74" s="171" t="str">
        <f t="shared" si="12"/>
        <v>39012510_39012559</v>
      </c>
      <c r="B74" s="158">
        <v>39012510</v>
      </c>
      <c r="C74" s="158">
        <v>39012559</v>
      </c>
      <c r="D74" s="172" t="str">
        <f ca="1">VLOOKUP($C74,OFFSET(enemy_skills!$A$1,0,0,COUNTA(enemy_skills!$A:$A),MATCH(D$1,enemy_skills!$1:$1,0)-MATCH("enemy_skill_id",enemy_skills!$1:$1,0)+1),MATCH(D$1,enemy_skills!$1:$1,0)-MATCH("enemy_skill_id",enemy_skills!$1:$1,0)+1,FALSE)</f>
        <v>私の負けのようですね…</v>
      </c>
      <c r="E74" s="172" t="str">
        <f ca="1">VLOOKUP($C74,OFFSET(enemy_skills!$A$1,0,0,COUNTA(enemy_skills!$A:$A),MATCH(E$1,enemy_skills!$1:$1,0)-MATCH("enemy_skill_id",enemy_skills!$1:$1,0)+1),MATCH(E$1,enemy_skills!$1:$1,0)-MATCH("enemy_skill_id",enemy_skills!$1:$1,0)+1,FALSE)</f>
        <v>周りにいるにゃんこ達が_x000D_悲しそうにこちらを見ている…</v>
      </c>
      <c r="F74" s="158">
        <v>39012658</v>
      </c>
      <c r="G74" s="173">
        <f ca="1">VLOOKUP($F74,OFFSET(enemy_skill_triggers!$A$1,0,0,COUNTA(enemy_skill_triggers!$A:$A),MATCH(G$1,enemy_skill_triggers!$1:$1,0)-MATCH($F$1,enemy_skill_triggers!$1:$1,0)+1),MATCH(G$1,enemy_skill_triggers!$1:$1,0)-MATCH($F$1,enemy_skill_triggers!$1:$1,0)+1,FALSE)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74" s="173">
        <f ca="1">VLOOKUP($F74,OFFSET(enemy_skill_triggers!$A$1,0,0,COUNTA(enemy_skill_triggers!$A:$A),MATCH(H$1,enemy_skill_triggers!$1:$1,0)-MATCH($F$1,enemy_skill_triggers!$1:$1,0)+1),MATCH(H$1,enemy_skill_triggers!$1:$1,0)-MATCH($F$1,enemy_skill_triggers!$1:$1,0)+1,FALSE)</f>
        <v>971</v>
      </c>
      <c r="I74" s="173">
        <f ca="1">VLOOKUP($F74,OFFSET(enemy_skill_triggers!$A$1,0,0,COUNTA(enemy_skill_triggers!$A:$A),MATCH(I$1,enemy_skill_triggers!$1:$1,0)-MATCH($F$1,enemy_skill_triggers!$1:$1,0)+1),MATCH(I$1,enemy_skill_triggers!$1:$1,0)-MATCH($F$1,enemy_skill_triggers!$1:$1,0)+1,FALSE)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74" s="173" t="str">
        <f ca="1">VLOOKUP($F74,OFFSET(enemy_skill_triggers!$A$1,0,0,COUNTA(enemy_skill_triggers!$A:$A),MATCH(J$1,enemy_skill_triggers!$1:$1,0)-MATCH($F$1,enemy_skill_triggers!$1:$1,0)+1),MATCH(J$1,enemy_skill_triggers!$1:$1,0)-MATCH($F$1,enemy_skill_triggers!$1:$1,0)+1,FALSE)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74" s="173" t="str">
        <f ca="1">VLOOKUP($F74,OFFSET(enemy_skill_triggers!$A$1,0,0,COUNTA(enemy_skill_triggers!$A:$A),MATCH(K$1,enemy_skill_triggers!$1:$1,0)-MATCH($F$1,enemy_skill_triggers!$1:$1,0)+1),MATCH(K$1,enemy_skill_triggers!$1:$1,0)-MATCH($F$1,enemy_skill_triggers!$1:$1,0)+1,FALSE)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4" s="173">
        <f ca="1">VLOOKUP($F74,OFFSET(enemy_skill_triggers!$A$1,0,0,COUNTA(enemy_skill_triggers!$A:$A),MATCH(L$1,enemy_skill_triggers!$1:$1,0)-MATCH($F$1,enemy_skill_triggers!$1:$1,0)+1),MATCH(L$1,enemy_skill_triggers!$1:$1,0)-MATCH($F$1,enemy_skill_triggers!$1:$1,0)+1,FALSE)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74" s="173">
        <f ca="1">VLOOKUP($F74,OFFSET(enemy_skill_triggers!$A$1,0,0,COUNTA(enemy_skill_triggers!$A:$A),MATCH(M$1,enemy_skill_triggers!$1:$1,0)-MATCH($F$1,enemy_skill_triggers!$1:$1,0)+1),MATCH(M$1,enemy_skill_triggers!$1:$1,0)-MATCH($F$1,enemy_skill_triggers!$1:$1,0)+1,FALSE)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74" s="173">
        <f ca="1">VLOOKUP($F74,OFFSET(enemy_skill_triggers!$A$1,0,0,COUNTA(enemy_skill_triggers!$A:$A),MATCH(N$1,enemy_skill_triggers!$1:$1,0)-MATCH($F$1,enemy_skill_triggers!$1:$1,0)+1),MATCH(N$1,enemy_skill_triggers!$1:$1,0)-MATCH($F$1,enemy_skill_triggers!$1:$1,0)+1,FALSE)</f>
        <v>1511</v>
      </c>
      <c r="O74" s="173">
        <f ca="1">VLOOKUP($F74,OFFSET(enemy_skill_triggers!$A$1,0,0,COUNTA(enemy_skill_triggers!$A:$A),MATCH(O$1,enemy_skill_triggers!$1:$1,0)-MATCH($F$1,enemy_skill_triggers!$1:$1,0)+1),MATCH(O$1,enemy_skill_triggers!$1:$1,0)-MATCH($F$1,enemy_skill_triggers!$1:$1,0)+1,FALSE)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74" s="174"/>
      <c r="Q74" s="174"/>
      <c r="R74" s="172">
        <f ca="1">VLOOKUP($C74,OFFSET(enemy_skills!$A$1,0,0,COUNTA(enemy_skills!$A:$A),MATCH(R$1,enemy_skills!$1:$1,0)-MATCH("enemy_skill_id",enemy_skills!$1:$1,0)+1),MATCH(R$1,enemy_skills!$1:$1,0)-MATCH("enemy_skill_id",enemy_skills!$1:$1,0)+1,FALSE)</f>
        <v>0</v>
      </c>
    </row>
    <row r="75" spans="1:18" s="175" customFormat="1" ht="21" customHeight="1" x14ac:dyDescent="0.15">
      <c r="A75" s="171" t="str">
        <f t="shared" si="12"/>
        <v>39012510_39012559</v>
      </c>
      <c r="B75" s="158">
        <v>39012510</v>
      </c>
      <c r="C75" s="158">
        <v>39012559</v>
      </c>
      <c r="D75" s="172" t="str">
        <f ca="1">VLOOKUP($C75,OFFSET(enemy_skills!$A$1,0,0,COUNTA(enemy_skills!$A:$A),MATCH(D$1,enemy_skills!$1:$1,0)-MATCH("enemy_skill_id",enemy_skills!$1:$1,0)+1),MATCH(D$1,enemy_skills!$1:$1,0)-MATCH("enemy_skill_id",enemy_skills!$1:$1,0)+1,FALSE)</f>
        <v>私の負けのようですね…</v>
      </c>
      <c r="E75" s="172" t="str">
        <f ca="1">VLOOKUP($C75,OFFSET(enemy_skills!$A$1,0,0,COUNTA(enemy_skills!$A:$A),MATCH(E$1,enemy_skills!$1:$1,0)-MATCH("enemy_skill_id",enemy_skills!$1:$1,0)+1),MATCH(E$1,enemy_skills!$1:$1,0)-MATCH("enemy_skill_id",enemy_skills!$1:$1,0)+1,FALSE)</f>
        <v>周りにいるにゃんこ達が_x000D_悲しそうにこちらを見ている…</v>
      </c>
      <c r="F75" s="158">
        <v>39012659</v>
      </c>
      <c r="G75" s="173">
        <f ca="1">VLOOKUP($F75,OFFSET(enemy_skill_triggers!$A$1,0,0,COUNTA(enemy_skill_triggers!$A:$A),MATCH(G$1,enemy_skill_triggers!$1:$1,0)-MATCH($F$1,enemy_skill_triggers!$1:$1,0)+1),MATCH(G$1,enemy_skill_triggers!$1:$1,0)-MATCH($F$1,enemy_skill_triggers!$1:$1,0)+1,FALSE)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75" s="173">
        <f ca="1">VLOOKUP($F75,OFFSET(enemy_skill_triggers!$A$1,0,0,COUNTA(enemy_skill_triggers!$A:$A),MATCH(H$1,enemy_skill_triggers!$1:$1,0)-MATCH($F$1,enemy_skill_triggers!$1:$1,0)+1),MATCH(H$1,enemy_skill_triggers!$1:$1,0)-MATCH($F$1,enemy_skill_triggers!$1:$1,0)+1,FALSE)</f>
        <v>970</v>
      </c>
      <c r="I75" s="173">
        <f ca="1">VLOOKUP($F75,OFFSET(enemy_skill_triggers!$A$1,0,0,COUNTA(enemy_skill_triggers!$A:$A),MATCH(I$1,enemy_skill_triggers!$1:$1,0)-MATCH($F$1,enemy_skill_triggers!$1:$1,0)+1),MATCH(I$1,enemy_skill_triggers!$1:$1,0)-MATCH($F$1,enemy_skill_triggers!$1:$1,0)+1,FALSE)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75" s="173" t="str">
        <f ca="1">VLOOKUP($F75,OFFSET(enemy_skill_triggers!$A$1,0,0,COUNTA(enemy_skill_triggers!$A:$A),MATCH(J$1,enemy_skill_triggers!$1:$1,0)-MATCH($F$1,enemy_skill_triggers!$1:$1,0)+1),MATCH(J$1,enemy_skill_triggers!$1:$1,0)-MATCH($F$1,enemy_skill_triggers!$1:$1,0)+1,FALSE)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75" s="173" t="str">
        <f ca="1">VLOOKUP($F75,OFFSET(enemy_skill_triggers!$A$1,0,0,COUNTA(enemy_skill_triggers!$A:$A),MATCH(K$1,enemy_skill_triggers!$1:$1,0)-MATCH($F$1,enemy_skill_triggers!$1:$1,0)+1),MATCH(K$1,enemy_skill_triggers!$1:$1,0)-MATCH($F$1,enemy_skill_triggers!$1:$1,0)+1,FALSE)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5" s="173">
        <f ca="1">VLOOKUP($F75,OFFSET(enemy_skill_triggers!$A$1,0,0,COUNTA(enemy_skill_triggers!$A:$A),MATCH(L$1,enemy_skill_triggers!$1:$1,0)-MATCH($F$1,enemy_skill_triggers!$1:$1,0)+1),MATCH(L$1,enemy_skill_triggers!$1:$1,0)-MATCH($F$1,enemy_skill_triggers!$1:$1,0)+1,FALSE)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75" s="173">
        <f ca="1">VLOOKUP($F75,OFFSET(enemy_skill_triggers!$A$1,0,0,COUNTA(enemy_skill_triggers!$A:$A),MATCH(M$1,enemy_skill_triggers!$1:$1,0)-MATCH($F$1,enemy_skill_triggers!$1:$1,0)+1),MATCH(M$1,enemy_skill_triggers!$1:$1,0)-MATCH($F$1,enemy_skill_triggers!$1:$1,0)+1,FALSE)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75" s="173">
        <f ca="1">VLOOKUP($F75,OFFSET(enemy_skill_triggers!$A$1,0,0,COUNTA(enemy_skill_triggers!$A:$A),MATCH(N$1,enemy_skill_triggers!$1:$1,0)-MATCH($F$1,enemy_skill_triggers!$1:$1,0)+1),MATCH(N$1,enemy_skill_triggers!$1:$1,0)-MATCH($F$1,enemy_skill_triggers!$1:$1,0)+1,FALSE)</f>
        <v>1510</v>
      </c>
      <c r="O75" s="173">
        <f ca="1">VLOOKUP($F75,OFFSET(enemy_skill_triggers!$A$1,0,0,COUNTA(enemy_skill_triggers!$A:$A),MATCH(O$1,enemy_skill_triggers!$1:$1,0)-MATCH($F$1,enemy_skill_triggers!$1:$1,0)+1),MATCH(O$1,enemy_skill_triggers!$1:$1,0)-MATCH($F$1,enemy_skill_triggers!$1:$1,0)+1,FALSE)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75" s="174"/>
      <c r="Q75" s="174"/>
      <c r="R75" s="172">
        <f ca="1">VLOOKUP($C75,OFFSET(enemy_skills!$A$1,0,0,COUNTA(enemy_skills!$A:$A),MATCH(R$1,enemy_skills!$1:$1,0)-MATCH("enemy_skill_id",enemy_skills!$1:$1,0)+1),MATCH(R$1,enemy_skills!$1:$1,0)-MATCH("enemy_skill_id",enemy_skills!$1:$1,0)+1,FALSE)</f>
        <v>0</v>
      </c>
    </row>
  </sheetData>
  <autoFilter ref="A1:R1"/>
  <phoneticPr fontId="5"/>
  <pageMargins left="0.75" right="0.75" top="1" bottom="1" header="0.3" footer="0.3"/>
  <pageSetup paperSize="9" orientation="portrait" horizontalDpi="4294967292" verticalDpi="4294967292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 enableFormatConditionsCalculation="0">
    <tabColor rgb="FF0000FF"/>
  </sheetPr>
  <dimension ref="A1:AG77"/>
  <sheetViews>
    <sheetView showGridLines="0" tabSelected="1" workbookViewId="0">
      <pane ySplit="1" topLeftCell="A9" activePane="bottomLeft" state="frozenSplit"/>
      <selection pane="bottomLeft" activeCell="F24" sqref="F24"/>
    </sheetView>
  </sheetViews>
  <sheetFormatPr baseColWidth="12" defaultColWidth="12.83203125" defaultRowHeight="21" customHeight="1" outlineLevelCol="1" x14ac:dyDescent="0.15"/>
  <cols>
    <col min="1" max="1" width="12.83203125" style="48"/>
    <col min="2" max="2" width="67.1640625" style="48" customWidth="1"/>
    <col min="3" max="3" width="11.1640625" style="48" customWidth="1"/>
    <col min="4" max="4" width="10" style="48" customWidth="1"/>
    <col min="5" max="5" width="37.33203125" style="48" customWidth="1"/>
    <col min="6" max="6" width="44.1640625" style="48" bestFit="1" customWidth="1"/>
    <col min="7" max="7" width="52" style="48" hidden="1" customWidth="1" outlineLevel="1"/>
    <col min="8" max="8" width="18.33203125" style="48" hidden="1" customWidth="1" outlineLevel="1"/>
    <col min="9" max="11" width="18.6640625" style="48" hidden="1" customWidth="1" outlineLevel="1"/>
    <col min="12" max="12" width="12.83203125" style="48" customWidth="1" collapsed="1"/>
    <col min="13" max="18" width="12.83203125" style="48" hidden="1" customWidth="1" outlineLevel="1"/>
    <col min="19" max="19" width="12.83203125" style="48" customWidth="1" collapsed="1"/>
    <col min="20" max="24" width="12.83203125" style="48" hidden="1" customWidth="1" outlineLevel="1"/>
    <col min="25" max="25" width="12.83203125" style="48" customWidth="1" collapsed="1"/>
    <col min="26" max="28" width="8.5" style="48" hidden="1" customWidth="1"/>
    <col min="29" max="29" width="133.33203125" style="127" customWidth="1"/>
    <col min="30" max="30" width="34" style="103" bestFit="1" customWidth="1"/>
    <col min="31" max="31" width="22" style="103" customWidth="1"/>
    <col min="32" max="16384" width="12.83203125" style="103"/>
  </cols>
  <sheetData>
    <row r="1" spans="1:33" ht="21" customHeight="1" x14ac:dyDescent="0.15">
      <c r="A1" s="39" t="s">
        <v>79</v>
      </c>
      <c r="B1" s="39" t="s">
        <v>80</v>
      </c>
      <c r="C1" s="40" t="s">
        <v>81</v>
      </c>
      <c r="D1" s="40" t="s">
        <v>126</v>
      </c>
      <c r="E1" s="39" t="s">
        <v>82</v>
      </c>
      <c r="F1" s="39" t="s">
        <v>83</v>
      </c>
      <c r="G1" s="40" t="s">
        <v>131</v>
      </c>
      <c r="H1" s="40" t="s">
        <v>137</v>
      </c>
      <c r="I1" s="40" t="s">
        <v>139</v>
      </c>
      <c r="J1" s="40" t="s">
        <v>138</v>
      </c>
      <c r="K1" s="40" t="s">
        <v>140</v>
      </c>
      <c r="L1" s="40" t="s">
        <v>132</v>
      </c>
      <c r="M1" s="40" t="s">
        <v>130</v>
      </c>
      <c r="N1" s="40" t="s">
        <v>133</v>
      </c>
      <c r="O1" s="40" t="s">
        <v>141</v>
      </c>
      <c r="P1" s="40" t="s">
        <v>142</v>
      </c>
      <c r="Q1" s="40" t="s">
        <v>143</v>
      </c>
      <c r="R1" s="40" t="s">
        <v>144</v>
      </c>
      <c r="S1" s="40" t="s">
        <v>134</v>
      </c>
      <c r="T1" s="40" t="s">
        <v>135</v>
      </c>
      <c r="U1" s="40" t="s">
        <v>145</v>
      </c>
      <c r="V1" s="40" t="s">
        <v>146</v>
      </c>
      <c r="W1" s="40" t="s">
        <v>147</v>
      </c>
      <c r="X1" s="40" t="s">
        <v>148</v>
      </c>
      <c r="Y1" s="40" t="s">
        <v>136</v>
      </c>
      <c r="Z1" s="40" t="s">
        <v>76</v>
      </c>
      <c r="AA1" s="40" t="s">
        <v>77</v>
      </c>
      <c r="AB1" s="40" t="s">
        <v>78</v>
      </c>
      <c r="AC1" s="124" t="s">
        <v>254</v>
      </c>
    </row>
    <row r="2" spans="1:33" ht="21" customHeight="1" x14ac:dyDescent="0.15">
      <c r="A2" s="109">
        <v>39012500</v>
      </c>
      <c r="B2" s="109" t="str">
        <f>"[effect:enemy_message, val1:"&amp;TEXT(IF(TEXT(E2,0)="[表示しない]", "0", IF(LEN(SUBSTITUTE(E2,CHAR(13),""))*0.1&lt;1.2, 1.2, LEN(SUBSTITUTE(E2,CHAR(13),""))*0.1)), "0.0")&amp;", val2:"&amp;TEXT(IF(TEXT(F2,0)="[表示しない]", "0", IF(LEN(SUBSTITUTE(F2,CHAR(13),""))*0.1&lt;1.2, 1.2, LEN(SUBSTITUTE(F2,CHAR(13),""))*0.1)),"0.0")&amp;"]"&amp;IF(LEN(AC2)&gt;0, ","&amp;AC2,AC2)</f>
        <v>[effect:enemy_message, val1:1.2, val2:1.2],[effect:critical, val:1.3, animation:enemy_critical]</v>
      </c>
      <c r="C2" s="45">
        <v>3</v>
      </c>
      <c r="D2" s="45" t="s">
        <v>253</v>
      </c>
      <c r="E2" s="130" t="s">
        <v>413</v>
      </c>
      <c r="F2" s="104" t="s">
        <v>318</v>
      </c>
      <c r="G2" s="104" t="str">
        <f>IFERROR(LEFT(B2,FIND("],",B2)),B2)</f>
        <v>[effect:enemy_message, val1:1.2, val2:1.2]</v>
      </c>
      <c r="H2" s="104">
        <f>FIND("effect:",G2)+7</f>
        <v>9</v>
      </c>
      <c r="I2" s="104">
        <f>IFERROR(FIND(",",G2),LEN(G2))</f>
        <v>22</v>
      </c>
      <c r="J2" s="104" t="e">
        <f>FIND("target:",G2)+7</f>
        <v>#VALUE!</v>
      </c>
      <c r="K2" s="104">
        <f>FIND(",",G2,I2+1)</f>
        <v>32</v>
      </c>
      <c r="L2" s="59" t="str">
        <f>IFERROR(VLOOKUP(MID(G2,J2,K2-J2),[5]skilldef!$C:$D,2,FALSE),"-") &amp; " / " &amp; IFERROR(VLOOKUP(MID(G2,H2,I2-H2),[5]skilldef!$A:$B,2,FALSE),"-")</f>
        <v>- / -</v>
      </c>
      <c r="M2" s="59" t="str">
        <f>IFERROR(RIGHT(B2,LEN(B2)-FIND("],",B2)-1),"none")</f>
        <v>[effect:critical, val:1.3, animation:enemy_critical]</v>
      </c>
      <c r="N2" s="47" t="str">
        <f>IFERROR(LEFT(M2,FIND("],",M2)+#REF!),M2)</f>
        <v>[effect:critical, val:1.3, animation:enemy_critical]</v>
      </c>
      <c r="O2" s="59">
        <f>FIND("effect:",N2)+7</f>
        <v>9</v>
      </c>
      <c r="P2" s="59">
        <f>IFERROR(FIND(",",N2),LEN(N2))</f>
        <v>17</v>
      </c>
      <c r="Q2" s="59" t="e">
        <f>FIND("target:",N2)+7</f>
        <v>#VALUE!</v>
      </c>
      <c r="R2" s="59">
        <f>FIND(",",N2,P2+1)</f>
        <v>26</v>
      </c>
      <c r="S2" s="59" t="str">
        <f>IFERROR(VLOOKUP(MID(N2,Q2,R2-Q2),[5]skilldef!$C:$D,2,FALSE),"-") &amp; " / " &amp; IFERROR(VLOOKUP(MID(N2,O2,P2-O2),[5]skilldef!$A:$B,2,FALSE),"-")</f>
        <v>- / 大攻撃</v>
      </c>
      <c r="T2" s="47" t="str">
        <f>IFERROR(RIGHT(M2,LEN(M2)-FIND("],",M2)-1),"none")</f>
        <v>none</v>
      </c>
      <c r="U2" s="59" t="e">
        <f>FIND("effect:",T2)+7</f>
        <v>#VALUE!</v>
      </c>
      <c r="V2" s="59">
        <f>IFERROR(FIND(",",T2),LEN(T2))</f>
        <v>4</v>
      </c>
      <c r="W2" s="59" t="e">
        <f>FIND("target:",T2)+7</f>
        <v>#VALUE!</v>
      </c>
      <c r="X2" s="59" t="e">
        <f>FIND(",",T2,V2+1)</f>
        <v>#VALUE!</v>
      </c>
      <c r="Y2" s="59" t="str">
        <f>IFERROR(VLOOKUP(MID(T2,W2,X2-W2),[5]skilldef!$C:$D,2,FALSE),"-") &amp; " / " &amp; IFERROR(VLOOKUP(MID(T2,U2,V2-U2),[5]skilldef!$A:$B,2,FALSE),"-")</f>
        <v>- / -</v>
      </c>
      <c r="Z2" s="110"/>
      <c r="AA2" s="111"/>
      <c r="AB2" s="110"/>
      <c r="AC2" s="125" t="str">
        <f>"[effect:critical, val:"&amp;$AF$3&amp;", animation:enemy_critical]"</f>
        <v>[effect:critical, val:1.3, animation:enemy_critical]</v>
      </c>
    </row>
    <row r="3" spans="1:33" ht="21" customHeight="1" x14ac:dyDescent="0.15">
      <c r="A3" s="149">
        <v>39012502</v>
      </c>
      <c r="B3" s="149" t="str">
        <f t="shared" ref="B3:B38" si="0">"[effect:enemy_message, val1:"&amp;TEXT(IF(TEXT(E3,0)="[表示しない]", "0", IF(LEN(SUBSTITUTE(E3,CHAR(13),""))*0.1&lt;1.2, 1.2, LEN(SUBSTITUTE(E3,CHAR(13),""))*0.1)), "0.0")&amp;", val2:"&amp;TEXT(IF(TEXT(F3,0)="[表示しない]", "0", IF(LEN(SUBSTITUTE(F3,CHAR(13),""))*0.1&lt;1.2, 1.2, LEN(SUBSTITUTE(F3,CHAR(13),""))*0.1)),"0.0")&amp;"]"&amp;IF(LEN(AC3)&gt;0, ","&amp;AC3,AC3)</f>
        <v>[effect:enemy_message, val1:0.0, val2:0.0],[effect:fix_speed, target:myself, turn:1]</v>
      </c>
      <c r="C3" s="45">
        <v>3</v>
      </c>
      <c r="D3" s="45" t="s">
        <v>195</v>
      </c>
      <c r="E3" s="150" t="s">
        <v>304</v>
      </c>
      <c r="F3" s="150" t="s">
        <v>304</v>
      </c>
      <c r="G3" s="105" t="str">
        <f t="shared" ref="G3" si="1">IFERROR(LEFT(B3,FIND("],",B3)),B3)</f>
        <v>[effect:enemy_message, val1:0.0, val2:0.0]</v>
      </c>
      <c r="H3" s="105">
        <f t="shared" ref="H3" si="2">FIND("effect:",G3)+7</f>
        <v>9</v>
      </c>
      <c r="I3" s="105">
        <f t="shared" ref="I3" si="3">IFERROR(FIND(",",G3),LEN(G3))</f>
        <v>22</v>
      </c>
      <c r="J3" s="105" t="e">
        <f t="shared" ref="J3" si="4">FIND("target:",G3)+7</f>
        <v>#VALUE!</v>
      </c>
      <c r="K3" s="105">
        <f t="shared" ref="K3" si="5">FIND(",",G3,I3+1)</f>
        <v>32</v>
      </c>
      <c r="L3" s="59" t="str">
        <f>IFERROR(VLOOKUP(MID(G3,J3,K3-J3),[5]skilldef!$C:$D,2,FALSE),"-") &amp; " / " &amp; IFERROR(VLOOKUP(MID(G3,H3,I3-H3),[5]skilldef!$A:$B,2,FALSE),"-")</f>
        <v>- / -</v>
      </c>
      <c r="M3" s="59" t="str">
        <f t="shared" ref="M3" si="6">IFERROR(RIGHT(B3,LEN(B3)-FIND("],",B3)-1),"none")</f>
        <v>[effect:fix_speed, target:myself, turn:1]</v>
      </c>
      <c r="N3" s="47" t="str">
        <f>IFERROR(LEFT(M3,FIND("],",M3)+#REF!),M3)</f>
        <v>[effect:fix_speed, target:myself, turn:1]</v>
      </c>
      <c r="O3" s="59">
        <f t="shared" ref="O3" si="7">FIND("effect:",N3)+7</f>
        <v>9</v>
      </c>
      <c r="P3" s="59">
        <f t="shared" ref="P3" si="8">IFERROR(FIND(",",N3),LEN(N3))</f>
        <v>18</v>
      </c>
      <c r="Q3" s="59">
        <f t="shared" ref="Q3" si="9">FIND("target:",N3)+7</f>
        <v>27</v>
      </c>
      <c r="R3" s="59">
        <f t="shared" ref="R3" si="10">FIND(",",N3,P3+1)</f>
        <v>33</v>
      </c>
      <c r="S3" s="59" t="str">
        <f>IFERROR(VLOOKUP(MID(N3,Q3,R3-Q3),[5]skilldef!$C:$D,2,FALSE),"-") &amp; " / " &amp; IFERROR(VLOOKUP(MID(N3,O3,P3-O3),[5]skilldef!$A:$B,2,FALSE),"-")</f>
        <v>自分自身に / 行動値設定</v>
      </c>
      <c r="T3" s="47" t="str">
        <f t="shared" ref="T3" si="11">IFERROR(RIGHT(M3,LEN(M3)-FIND("],",M3)-1),"none")</f>
        <v>none</v>
      </c>
      <c r="U3" s="59" t="e">
        <f t="shared" ref="U3" si="12">FIND("effect:",T3)+7</f>
        <v>#VALUE!</v>
      </c>
      <c r="V3" s="59">
        <f t="shared" ref="V3" si="13">IFERROR(FIND(",",T3),LEN(T3))</f>
        <v>4</v>
      </c>
      <c r="W3" s="59" t="e">
        <f t="shared" ref="W3" si="14">FIND("target:",T3)+7</f>
        <v>#VALUE!</v>
      </c>
      <c r="X3" s="59" t="e">
        <f t="shared" ref="X3" si="15">FIND(",",T3,V3+1)</f>
        <v>#VALUE!</v>
      </c>
      <c r="Y3" s="59" t="str">
        <f>IFERROR(VLOOKUP(MID(T3,W3,X3-W3),[5]skilldef!$C:$D,2,FALSE),"-") &amp; " / " &amp; IFERROR(VLOOKUP(MID(T3,U3,V3-U3),[5]skilldef!$A:$B,2,FALSE),"-")</f>
        <v>- / -</v>
      </c>
      <c r="Z3" s="107"/>
      <c r="AA3" s="108"/>
      <c r="AB3" s="107"/>
      <c r="AC3" s="152" t="s">
        <v>493</v>
      </c>
      <c r="AE3" s="103" t="s">
        <v>291</v>
      </c>
      <c r="AF3" s="136" t="s">
        <v>348</v>
      </c>
    </row>
    <row r="4" spans="1:33" ht="21" customHeight="1" x14ac:dyDescent="0.15">
      <c r="A4" s="149">
        <v>39012503</v>
      </c>
      <c r="B4" s="149" t="str">
        <f t="shared" si="0"/>
        <v>[effect:enemy_message, val1:1.2, val2:1.2],[effect:critical, val:1.2, animation:enemy_critical]</v>
      </c>
      <c r="C4" s="45">
        <v>3</v>
      </c>
      <c r="D4" s="45" t="s">
        <v>253</v>
      </c>
      <c r="E4" s="151" t="s">
        <v>439</v>
      </c>
      <c r="F4" s="150" t="s">
        <v>318</v>
      </c>
      <c r="G4" s="105" t="str">
        <f t="shared" ref="G4:G18" si="16">IFERROR(LEFT(B4,FIND("],",B4)),B4)</f>
        <v>[effect:enemy_message, val1:1.2, val2:1.2]</v>
      </c>
      <c r="H4" s="105">
        <f t="shared" ref="H4:H19" si="17">FIND("effect:",G4)+7</f>
        <v>9</v>
      </c>
      <c r="I4" s="105">
        <f t="shared" ref="I4:I18" si="18">IFERROR(FIND(",",G4),LEN(G4))</f>
        <v>22</v>
      </c>
      <c r="J4" s="105" t="e">
        <f t="shared" ref="J4:J18" si="19">FIND("target:",G4)+7</f>
        <v>#VALUE!</v>
      </c>
      <c r="K4" s="105">
        <f t="shared" ref="K4:K18" si="20">FIND(",",G4,I4+1)</f>
        <v>32</v>
      </c>
      <c r="L4" s="59" t="str">
        <f>IFERROR(VLOOKUP(MID(G4,J4,K4-J4),[5]skilldef!$C:$D,2,FALSE),"-") &amp; " / " &amp; IFERROR(VLOOKUP(MID(G4,H4,I4-H4),[5]skilldef!$A:$B,2,FALSE),"-")</f>
        <v>- / -</v>
      </c>
      <c r="M4" s="59" t="str">
        <f t="shared" ref="M4:M18" si="21">IFERROR(RIGHT(B4,LEN(B4)-FIND("],",B4)-1),"none")</f>
        <v>[effect:critical, val:1.2, animation:enemy_critical]</v>
      </c>
      <c r="N4" s="47" t="str">
        <f>IFERROR(LEFT(M4,FIND("],",M4)+S8),M4)</f>
        <v>[effect:critical, val:1.2, animation:enemy_critical]</v>
      </c>
      <c r="O4" s="59">
        <f t="shared" ref="O4:O19" si="22">FIND("effect:",N4)+7</f>
        <v>9</v>
      </c>
      <c r="P4" s="59">
        <f t="shared" ref="P4:P18" si="23">IFERROR(FIND(",",N4),LEN(N4))</f>
        <v>17</v>
      </c>
      <c r="Q4" s="59" t="e">
        <f t="shared" ref="Q4:Q18" si="24">FIND("target:",N4)+7</f>
        <v>#VALUE!</v>
      </c>
      <c r="R4" s="59">
        <f t="shared" ref="R4:R18" si="25">FIND(",",N4,P4+1)</f>
        <v>26</v>
      </c>
      <c r="S4" s="59" t="str">
        <f>IFERROR(VLOOKUP(MID(N4,Q4,R4-Q4),[5]skilldef!$C:$D,2,FALSE),"-") &amp; " / " &amp; IFERROR(VLOOKUP(MID(N4,O4,P4-O4),[5]skilldef!$A:$B,2,FALSE),"-")</f>
        <v>- / 大攻撃</v>
      </c>
      <c r="T4" s="47" t="str">
        <f t="shared" ref="T4:T18" si="26">IFERROR(RIGHT(M4,LEN(M4)-FIND("],",M4)-1),"none")</f>
        <v>none</v>
      </c>
      <c r="U4" s="59" t="e">
        <f t="shared" ref="U4:U19" si="27">FIND("effect:",T4)+7</f>
        <v>#VALUE!</v>
      </c>
      <c r="V4" s="59">
        <f t="shared" ref="V4:V18" si="28">IFERROR(FIND(",",T4),LEN(T4))</f>
        <v>4</v>
      </c>
      <c r="W4" s="59" t="e">
        <f t="shared" ref="W4:W18" si="29">FIND("target:",T4)+7</f>
        <v>#VALUE!</v>
      </c>
      <c r="X4" s="59" t="e">
        <f t="shared" ref="X4:X18" si="30">FIND(",",T4,V4+1)</f>
        <v>#VALUE!</v>
      </c>
      <c r="Y4" s="59" t="str">
        <f>IFERROR(VLOOKUP(MID(T4,W4,X4-W4),[5]skilldef!$C:$D,2,FALSE),"-") &amp; " / " &amp; IFERROR(VLOOKUP(MID(T4,U4,V4-U4),[5]skilldef!$A:$B,2,FALSE),"-")</f>
        <v>- / -</v>
      </c>
      <c r="Z4" s="107"/>
      <c r="AA4" s="108"/>
      <c r="AB4" s="107"/>
      <c r="AC4" s="152" t="s">
        <v>492</v>
      </c>
    </row>
    <row r="5" spans="1:33" ht="21" customHeight="1" x14ac:dyDescent="0.15">
      <c r="A5" s="149">
        <v>39012504</v>
      </c>
      <c r="B5" s="149" t="str">
        <f t="shared" si="0"/>
        <v>[effect:enemy_message, val1:1.2, val2:2.0],[effect:degrade_unit, target:unit_all, turn:3, status:heal, val:0.3, calc:mul, animation:degrade_unit_all_heal], [effect:fix_speed, target:myself, turn:2]</v>
      </c>
      <c r="C5" s="45">
        <v>3</v>
      </c>
      <c r="D5" s="45" t="s">
        <v>253</v>
      </c>
      <c r="E5" s="150" t="s">
        <v>415</v>
      </c>
      <c r="F5" s="150" t="s">
        <v>362</v>
      </c>
      <c r="G5" s="105" t="str">
        <f t="shared" si="16"/>
        <v>[effect:enemy_message, val1:1.2, val2:2.0]</v>
      </c>
      <c r="H5" s="105">
        <f t="shared" si="17"/>
        <v>9</v>
      </c>
      <c r="I5" s="105">
        <f t="shared" si="18"/>
        <v>22</v>
      </c>
      <c r="J5" s="105" t="e">
        <f t="shared" si="19"/>
        <v>#VALUE!</v>
      </c>
      <c r="K5" s="105">
        <f t="shared" si="20"/>
        <v>32</v>
      </c>
      <c r="L5" s="59" t="str">
        <f>IFERROR(VLOOKUP(MID(G5,J5,K5-J5),[5]skilldef!$C:$D,2,FALSE),"-") &amp; " / " &amp; IFERROR(VLOOKUP(MID(G5,H5,I5-H5),[5]skilldef!$A:$B,2,FALSE),"-")</f>
        <v>- / -</v>
      </c>
      <c r="M5" s="59" t="str">
        <f t="shared" si="21"/>
        <v>[effect:degrade_unit, target:unit_all, turn:3, status:heal, val:0.3, calc:mul, animation:degrade_unit_all_heal], [effect:fix_speed, target:myself, turn:2]</v>
      </c>
      <c r="N5" s="47" t="str">
        <f>IFERROR(LEFT(M5,FIND("],",M5)+S18),M5)</f>
        <v>[effect:degrade_unit, target:unit_all, turn:3, status:heal, val:0.3, calc:mul, animation:degrade_unit_all_heal], [effect:fix_speed, target:myself, turn:2]</v>
      </c>
      <c r="O5" s="59">
        <f t="shared" si="22"/>
        <v>9</v>
      </c>
      <c r="P5" s="59">
        <f t="shared" si="23"/>
        <v>21</v>
      </c>
      <c r="Q5" s="59">
        <f t="shared" si="24"/>
        <v>30</v>
      </c>
      <c r="R5" s="59">
        <f t="shared" si="25"/>
        <v>38</v>
      </c>
      <c r="S5" s="59" t="str">
        <f>IFERROR(VLOOKUP(MID(N5,Q5,R5-Q5),[5]skilldef!$C:$D,2,FALSE),"-") &amp; " / " &amp; IFERROR(VLOOKUP(MID(N5,O5,P5-O5),[5]skilldef!$A:$B,2,FALSE),"-")</f>
        <v>味方全体に / ステータスDOWN</v>
      </c>
      <c r="T5" s="47" t="str">
        <f t="shared" si="26"/>
        <v xml:space="preserve"> [effect:fix_speed, target:myself, turn:2]</v>
      </c>
      <c r="U5" s="59">
        <f t="shared" si="27"/>
        <v>10</v>
      </c>
      <c r="V5" s="59">
        <f t="shared" si="28"/>
        <v>19</v>
      </c>
      <c r="W5" s="59">
        <f t="shared" si="29"/>
        <v>28</v>
      </c>
      <c r="X5" s="59">
        <f t="shared" si="30"/>
        <v>34</v>
      </c>
      <c r="Y5" s="59" t="str">
        <f>IFERROR(VLOOKUP(MID(T5,W5,X5-W5),[5]skilldef!$C:$D,2,FALSE),"-") &amp; " / " &amp; IFERROR(VLOOKUP(MID(T5,U5,V5-U5),[5]skilldef!$A:$B,2,FALSE),"-")</f>
        <v>自分自身に / 行動値設定</v>
      </c>
      <c r="Z5" s="107"/>
      <c r="AA5" s="108"/>
      <c r="AB5" s="107"/>
      <c r="AC5" s="152" t="s">
        <v>303</v>
      </c>
    </row>
    <row r="6" spans="1:33" ht="21" customHeight="1" x14ac:dyDescent="0.15">
      <c r="A6" s="149">
        <v>39012505</v>
      </c>
      <c r="B6" s="149" t="str">
        <f t="shared" si="0"/>
        <v>[effect:enemy_message, val1:1.2, val2:2.9],[effect:damage_abnormal, target:unit_one, val:0.5, status:attack, turn:2, rate:1, val_abnormal:0.5, calc:mul, animation:attack_break01]</v>
      </c>
      <c r="C6" s="45">
        <v>3</v>
      </c>
      <c r="D6" s="45" t="s">
        <v>253</v>
      </c>
      <c r="E6" s="150" t="s">
        <v>414</v>
      </c>
      <c r="F6" s="150" t="s">
        <v>466</v>
      </c>
      <c r="G6" s="105" t="str">
        <f t="shared" ref="G6" si="31">IFERROR(LEFT(B6,FIND("],",B6)),B6)</f>
        <v>[effect:enemy_message, val1:1.2, val2:2.9]</v>
      </c>
      <c r="H6" s="105">
        <f t="shared" si="17"/>
        <v>9</v>
      </c>
      <c r="I6" s="105">
        <f t="shared" ref="I6" si="32">IFERROR(FIND(",",G6),LEN(G6))</f>
        <v>22</v>
      </c>
      <c r="J6" s="105" t="e">
        <f t="shared" ref="J6" si="33">FIND("target:",G6)+7</f>
        <v>#VALUE!</v>
      </c>
      <c r="K6" s="105">
        <f t="shared" ref="K6" si="34">FIND(",",G6,I6+1)</f>
        <v>32</v>
      </c>
      <c r="L6" s="59" t="str">
        <f>IFERROR(VLOOKUP(MID(G6,J6,K6-J6),[5]skilldef!$C:$D,2,FALSE),"-") &amp; " / " &amp; IFERROR(VLOOKUP(MID(G6,H6,I6-H6),[5]skilldef!$A:$B,2,FALSE),"-")</f>
        <v>- / -</v>
      </c>
      <c r="M6" s="59" t="str">
        <f t="shared" ref="M6" si="35">IFERROR(RIGHT(B6,LEN(B6)-FIND("],",B6)-1),"none")</f>
        <v>[effect:damage_abnormal, target:unit_one, val:0.5, status:attack, turn:2, rate:1, val_abnormal:0.5, calc:mul, animation:attack_break01]</v>
      </c>
      <c r="N6" s="47" t="str">
        <f>IFERROR(LEFT(M6,FIND("],",M6)+S10),M6)</f>
        <v>[effect:damage_abnormal, target:unit_one, val:0.5, status:attack, turn:2, rate:1, val_abnormal:0.5, calc:mul, animation:attack_break01]</v>
      </c>
      <c r="O6" s="59">
        <f t="shared" si="22"/>
        <v>9</v>
      </c>
      <c r="P6" s="59">
        <f t="shared" ref="P6" si="36">IFERROR(FIND(",",N6),LEN(N6))</f>
        <v>24</v>
      </c>
      <c r="Q6" s="59">
        <f t="shared" ref="Q6" si="37">FIND("target:",N6)+7</f>
        <v>33</v>
      </c>
      <c r="R6" s="59">
        <f t="shared" ref="R6" si="38">FIND(",",N6,P6+1)</f>
        <v>41</v>
      </c>
      <c r="S6" s="59" t="str">
        <f>IFERROR(VLOOKUP(MID(N6,Q6,R6-Q6),[5]skilldef!$C:$D,2,FALSE),"-") &amp; " / " &amp; IFERROR(VLOOKUP(MID(N6,O6,P6-O6),[5]skilldef!$A:$B,2,FALSE),"-")</f>
        <v>味方単体に / -</v>
      </c>
      <c r="T6" s="47" t="str">
        <f t="shared" ref="T6" si="39">IFERROR(RIGHT(M6,LEN(M6)-FIND("],",M6)-1),"none")</f>
        <v>none</v>
      </c>
      <c r="U6" s="59" t="e">
        <f t="shared" si="27"/>
        <v>#VALUE!</v>
      </c>
      <c r="V6" s="59">
        <f t="shared" ref="V6" si="40">IFERROR(FIND(",",T6),LEN(T6))</f>
        <v>4</v>
      </c>
      <c r="W6" s="59" t="e">
        <f t="shared" ref="W6" si="41">FIND("target:",T6)+7</f>
        <v>#VALUE!</v>
      </c>
      <c r="X6" s="59" t="e">
        <f t="shared" ref="X6" si="42">FIND(",",T6,V6+1)</f>
        <v>#VALUE!</v>
      </c>
      <c r="Y6" s="59" t="str">
        <f>IFERROR(VLOOKUP(MID(T6,W6,X6-W6),[5]skilldef!$C:$D,2,FALSE),"-") &amp; " / " &amp; IFERROR(VLOOKUP(MID(T6,U6,V6-U6),[5]skilldef!$A:$B,2,FALSE),"-")</f>
        <v>- / -</v>
      </c>
      <c r="Z6" s="107"/>
      <c r="AA6" s="108"/>
      <c r="AB6" s="107"/>
      <c r="AC6" s="152" t="s">
        <v>470</v>
      </c>
    </row>
    <row r="7" spans="1:33" ht="21" customHeight="1" x14ac:dyDescent="0.15">
      <c r="A7" s="149">
        <v>39012506</v>
      </c>
      <c r="B7" s="149" t="str">
        <f t="shared" si="0"/>
        <v>[effect:enemy_message, val1:1.2, val2:1.2],[effect:freq_turn, target:myself, turn:-1, val:1, animation:enemy_freq_turn]</v>
      </c>
      <c r="C7" s="45">
        <v>3</v>
      </c>
      <c r="D7" s="45" t="s">
        <v>253</v>
      </c>
      <c r="E7" s="150" t="s">
        <v>416</v>
      </c>
      <c r="F7" s="150" t="s">
        <v>467</v>
      </c>
      <c r="G7" s="105" t="str">
        <f t="shared" ref="G7" si="43">IFERROR(LEFT(B7,FIND("],",B7)),B7)</f>
        <v>[effect:enemy_message, val1:1.2, val2:1.2]</v>
      </c>
      <c r="H7" s="105">
        <f t="shared" si="17"/>
        <v>9</v>
      </c>
      <c r="I7" s="105">
        <f t="shared" ref="I7" si="44">IFERROR(FIND(",",G7),LEN(G7))</f>
        <v>22</v>
      </c>
      <c r="J7" s="105" t="e">
        <f t="shared" ref="J7" si="45">FIND("target:",G7)+7</f>
        <v>#VALUE!</v>
      </c>
      <c r="K7" s="105">
        <f t="shared" ref="K7" si="46">FIND(",",G7,I7+1)</f>
        <v>32</v>
      </c>
      <c r="L7" s="59" t="str">
        <f>IFERROR(VLOOKUP(MID(G7,J7,K7-J7),[5]skilldef!$C:$D,2,FALSE),"-") &amp; " / " &amp; IFERROR(VLOOKUP(MID(G7,H7,I7-H7),[5]skilldef!$A:$B,2,FALSE),"-")</f>
        <v>- / -</v>
      </c>
      <c r="M7" s="59" t="str">
        <f t="shared" ref="M7" si="47">IFERROR(RIGHT(B7,LEN(B7)-FIND("],",B7)-1),"none")</f>
        <v>[effect:freq_turn, target:myself, turn:-1, val:1, animation:enemy_freq_turn]</v>
      </c>
      <c r="N7" s="47" t="str">
        <f>IFERROR(LEFT(M7,FIND("],",M7)+#REF!),M7)</f>
        <v>[effect:freq_turn, target:myself, turn:-1, val:1, animation:enemy_freq_turn]</v>
      </c>
      <c r="O7" s="59">
        <f t="shared" si="22"/>
        <v>9</v>
      </c>
      <c r="P7" s="59">
        <f t="shared" ref="P7" si="48">IFERROR(FIND(",",N7),LEN(N7))</f>
        <v>18</v>
      </c>
      <c r="Q7" s="59">
        <f t="shared" ref="Q7" si="49">FIND("target:",N7)+7</f>
        <v>27</v>
      </c>
      <c r="R7" s="59">
        <f t="shared" ref="R7" si="50">FIND(",",N7,P7+1)</f>
        <v>33</v>
      </c>
      <c r="S7" s="59" t="str">
        <f>IFERROR(VLOOKUP(MID(N7,Q7,R7-Q7),[5]skilldef!$C:$D,2,FALSE),"-") &amp; " / " &amp; IFERROR(VLOOKUP(MID(N7,O7,P7-O7),[5]skilldef!$A:$B,2,FALSE),"-")</f>
        <v>自分自身に / 攻撃頻度がUP</v>
      </c>
      <c r="T7" s="47" t="str">
        <f t="shared" ref="T7" si="51">IFERROR(RIGHT(M7,LEN(M7)-FIND("],",M7)-1),"none")</f>
        <v>none</v>
      </c>
      <c r="U7" s="59" t="e">
        <f t="shared" si="27"/>
        <v>#VALUE!</v>
      </c>
      <c r="V7" s="59">
        <f t="shared" ref="V7" si="52">IFERROR(FIND(",",T7),LEN(T7))</f>
        <v>4</v>
      </c>
      <c r="W7" s="59" t="e">
        <f t="shared" ref="W7" si="53">FIND("target:",T7)+7</f>
        <v>#VALUE!</v>
      </c>
      <c r="X7" s="59" t="e">
        <f t="shared" ref="X7" si="54">FIND(",",T7,V7+1)</f>
        <v>#VALUE!</v>
      </c>
      <c r="Y7" s="59" t="str">
        <f>IFERROR(VLOOKUP(MID(T7,W7,X7-W7),[5]skilldef!$C:$D,2,FALSE),"-") &amp; " / " &amp; IFERROR(VLOOKUP(MID(T7,U7,V7-U7),[5]skilldef!$A:$B,2,FALSE),"-")</f>
        <v>- / -</v>
      </c>
      <c r="Z7" s="107"/>
      <c r="AA7" s="108"/>
      <c r="AB7" s="107"/>
      <c r="AC7" s="152" t="s">
        <v>323</v>
      </c>
    </row>
    <row r="8" spans="1:33" ht="21" customHeight="1" x14ac:dyDescent="0.15">
      <c r="A8" s="109">
        <v>39012507</v>
      </c>
      <c r="B8" s="109" t="str">
        <f t="shared" si="0"/>
        <v>[effect:enemy_message, val1:1.2, val2:1.2],[effect:critical, val:1.5, animation:enemy_critical]</v>
      </c>
      <c r="C8" s="110">
        <v>3</v>
      </c>
      <c r="D8" s="110" t="s">
        <v>253</v>
      </c>
      <c r="E8" s="130" t="s">
        <v>417</v>
      </c>
      <c r="F8" s="104" t="s">
        <v>318</v>
      </c>
      <c r="G8" s="104" t="str">
        <f t="shared" si="16"/>
        <v>[effect:enemy_message, val1:1.2, val2:1.2]</v>
      </c>
      <c r="H8" s="104">
        <f t="shared" si="17"/>
        <v>9</v>
      </c>
      <c r="I8" s="104">
        <f t="shared" si="18"/>
        <v>22</v>
      </c>
      <c r="J8" s="104" t="e">
        <f t="shared" si="19"/>
        <v>#VALUE!</v>
      </c>
      <c r="K8" s="104">
        <f t="shared" si="20"/>
        <v>32</v>
      </c>
      <c r="L8" s="104" t="str">
        <f>IFERROR(VLOOKUP(MID(G8,J8,K8-J8),[5]skilldef!$C:$D,2,FALSE),"-") &amp; " / " &amp; IFERROR(VLOOKUP(MID(G8,H8,I8-H8),[5]skilldef!$A:$B,2,FALSE),"-")</f>
        <v>- / -</v>
      </c>
      <c r="M8" s="104" t="str">
        <f t="shared" si="21"/>
        <v>[effect:critical, val:1.5, animation:enemy_critical]</v>
      </c>
      <c r="N8" s="109" t="str">
        <f>IFERROR(LEFT(M8,FIND("],",M8)+S12),M8)</f>
        <v>[effect:critical, val:1.5, animation:enemy_critical]</v>
      </c>
      <c r="O8" s="104">
        <f t="shared" si="22"/>
        <v>9</v>
      </c>
      <c r="P8" s="104">
        <f t="shared" si="23"/>
        <v>17</v>
      </c>
      <c r="Q8" s="104" t="e">
        <f t="shared" si="24"/>
        <v>#VALUE!</v>
      </c>
      <c r="R8" s="104">
        <f t="shared" si="25"/>
        <v>26</v>
      </c>
      <c r="S8" s="104" t="str">
        <f>IFERROR(VLOOKUP(MID(N8,Q8,R8-Q8),[5]skilldef!$C:$D,2,FALSE),"-") &amp; " / " &amp; IFERROR(VLOOKUP(MID(N8,O8,P8-O8),[5]skilldef!$A:$B,2,FALSE),"-")</f>
        <v>- / 大攻撃</v>
      </c>
      <c r="T8" s="109" t="str">
        <f t="shared" si="26"/>
        <v>none</v>
      </c>
      <c r="U8" s="104" t="e">
        <f t="shared" si="27"/>
        <v>#VALUE!</v>
      </c>
      <c r="V8" s="104">
        <f t="shared" si="28"/>
        <v>4</v>
      </c>
      <c r="W8" s="104" t="e">
        <f t="shared" si="29"/>
        <v>#VALUE!</v>
      </c>
      <c r="X8" s="104" t="e">
        <f t="shared" si="30"/>
        <v>#VALUE!</v>
      </c>
      <c r="Y8" s="104" t="str">
        <f>IFERROR(VLOOKUP(MID(T8,W8,X8-W8),[5]skilldef!$C:$D,2,FALSE),"-") &amp; " / " &amp; IFERROR(VLOOKUP(MID(T8,U8,V8-U8),[5]skilldef!$A:$B,2,FALSE),"-")</f>
        <v>- / -</v>
      </c>
      <c r="Z8" s="110"/>
      <c r="AA8" s="111"/>
      <c r="AB8" s="110"/>
      <c r="AC8" s="125" t="s">
        <v>494</v>
      </c>
      <c r="AD8" s="103" t="s">
        <v>293</v>
      </c>
      <c r="AE8" s="103" t="s">
        <v>290</v>
      </c>
      <c r="AF8" s="136" t="s">
        <v>345</v>
      </c>
    </row>
    <row r="9" spans="1:33" ht="21" customHeight="1" x14ac:dyDescent="0.15">
      <c r="A9" s="109">
        <v>39012508</v>
      </c>
      <c r="B9" s="109" t="str">
        <f t="shared" si="0"/>
        <v>[effect:enemy_message, val1:2.1, val2:0.0]</v>
      </c>
      <c r="C9" s="110">
        <v>3</v>
      </c>
      <c r="D9" s="110" t="s">
        <v>253</v>
      </c>
      <c r="E9" s="104" t="s">
        <v>468</v>
      </c>
      <c r="F9" s="104" t="s">
        <v>418</v>
      </c>
      <c r="G9" s="104" t="str">
        <f t="shared" ref="G9:G17" si="55">IFERROR(LEFT(B9,FIND("],",B9)),B9)</f>
        <v>[effect:enemy_message, val1:2.1, val2:0.0]</v>
      </c>
      <c r="H9" s="104">
        <f t="shared" si="17"/>
        <v>9</v>
      </c>
      <c r="I9" s="104">
        <f t="shared" ref="I9:I17" si="56">IFERROR(FIND(",",G9),LEN(G9))</f>
        <v>22</v>
      </c>
      <c r="J9" s="104" t="e">
        <f t="shared" ref="J9:J17" si="57">FIND("target:",G9)+7</f>
        <v>#VALUE!</v>
      </c>
      <c r="K9" s="104">
        <f t="shared" ref="K9:K17" si="58">FIND(",",G9,I9+1)</f>
        <v>32</v>
      </c>
      <c r="L9" s="104" t="str">
        <f>IFERROR(VLOOKUP(MID(G9,J9,K9-J9),[5]skilldef!$C:$D,2,FALSE),"-") &amp; " / " &amp; IFERROR(VLOOKUP(MID(G9,H9,I9-H9),[5]skilldef!$A:$B,2,FALSE),"-")</f>
        <v>- / -</v>
      </c>
      <c r="M9" s="104" t="str">
        <f t="shared" ref="M9:M17" si="59">IFERROR(RIGHT(B9,LEN(B9)-FIND("],",B9)-1),"none")</f>
        <v>none</v>
      </c>
      <c r="N9" s="109" t="str">
        <f>IFERROR(LEFT(M9,FIND("],",M9)+S13),M9)</f>
        <v>none</v>
      </c>
      <c r="O9" s="104" t="e">
        <f t="shared" si="22"/>
        <v>#VALUE!</v>
      </c>
      <c r="P9" s="104">
        <f t="shared" ref="P9:P17" si="60">IFERROR(FIND(",",N9),LEN(N9))</f>
        <v>4</v>
      </c>
      <c r="Q9" s="104" t="e">
        <f t="shared" ref="Q9:Q17" si="61">FIND("target:",N9)+7</f>
        <v>#VALUE!</v>
      </c>
      <c r="R9" s="104" t="e">
        <f t="shared" ref="R9:R17" si="62">FIND(",",N9,P9+1)</f>
        <v>#VALUE!</v>
      </c>
      <c r="S9" s="104" t="str">
        <f>IFERROR(VLOOKUP(MID(N9,Q9,R9-Q9),[5]skilldef!$C:$D,2,FALSE),"-") &amp; " / " &amp; IFERROR(VLOOKUP(MID(N9,O9,P9-O9),[5]skilldef!$A:$B,2,FALSE),"-")</f>
        <v>- / -</v>
      </c>
      <c r="T9" s="109" t="str">
        <f t="shared" ref="T9:T17" si="63">IFERROR(RIGHT(M9,LEN(M9)-FIND("],",M9)-1),"none")</f>
        <v>none</v>
      </c>
      <c r="U9" s="104" t="e">
        <f t="shared" si="27"/>
        <v>#VALUE!</v>
      </c>
      <c r="V9" s="104">
        <f t="shared" ref="V9:V17" si="64">IFERROR(FIND(",",T9),LEN(T9))</f>
        <v>4</v>
      </c>
      <c r="W9" s="104" t="e">
        <f t="shared" ref="W9:W17" si="65">FIND("target:",T9)+7</f>
        <v>#VALUE!</v>
      </c>
      <c r="X9" s="104" t="e">
        <f t="shared" ref="X9:X17" si="66">FIND(",",T9,V9+1)</f>
        <v>#VALUE!</v>
      </c>
      <c r="Y9" s="104" t="str">
        <f>IFERROR(VLOOKUP(MID(T9,W9,X9-W9),[5]skilldef!$C:$D,2,FALSE),"-") &amp; " / " &amp; IFERROR(VLOOKUP(MID(T9,U9,V9-U9),[5]skilldef!$A:$B,2,FALSE),"-")</f>
        <v>- / -</v>
      </c>
      <c r="Z9" s="110"/>
      <c r="AA9" s="111"/>
      <c r="AB9" s="110"/>
      <c r="AC9" s="125"/>
      <c r="AD9" s="103" t="s">
        <v>293</v>
      </c>
      <c r="AE9" s="103" t="s">
        <v>294</v>
      </c>
      <c r="AF9" s="136" t="s">
        <v>344</v>
      </c>
    </row>
    <row r="10" spans="1:33" ht="21" customHeight="1" x14ac:dyDescent="0.15">
      <c r="A10" s="149">
        <v>39012509</v>
      </c>
      <c r="B10" s="149" t="str">
        <f t="shared" si="0"/>
        <v>[effect:enemy_message, val1:1.2, val2:1.2],[effect:critical, val:1.1, animation:enemy_critical]</v>
      </c>
      <c r="C10" s="153">
        <v>3</v>
      </c>
      <c r="D10" s="153" t="s">
        <v>253</v>
      </c>
      <c r="E10" s="151" t="s">
        <v>413</v>
      </c>
      <c r="F10" s="150" t="s">
        <v>318</v>
      </c>
      <c r="G10" s="150" t="str">
        <f>IFERROR(LEFT(B10,FIND("],",B10)),B10)</f>
        <v>[effect:enemy_message, val1:1.2, val2:1.2]</v>
      </c>
      <c r="H10" s="150">
        <f t="shared" ref="H10:H14" si="67">FIND("effect:",G10)+7</f>
        <v>9</v>
      </c>
      <c r="I10" s="150">
        <f>IFERROR(FIND(",",G10),LEN(G10))</f>
        <v>22</v>
      </c>
      <c r="J10" s="150" t="e">
        <f>FIND("target:",G10)+7</f>
        <v>#VALUE!</v>
      </c>
      <c r="K10" s="150">
        <f>FIND(",",G10,I10+1)</f>
        <v>32</v>
      </c>
      <c r="L10" s="150" t="str">
        <f>IFERROR(VLOOKUP(MID(G10,J10,K10-J10),[5]skilldef!$C:$D,2,FALSE),"-") &amp; " / " &amp; IFERROR(VLOOKUP(MID(G10,H10,I10-H10),[5]skilldef!$A:$B,2,FALSE),"-")</f>
        <v>- / -</v>
      </c>
      <c r="M10" s="150" t="str">
        <f>IFERROR(RIGHT(B10,LEN(B10)-FIND("],",B10)-1),"none")</f>
        <v>[effect:critical, val:1.1, animation:enemy_critical]</v>
      </c>
      <c r="N10" s="149" t="str">
        <f>IFERROR(LEFT(M10,FIND("],",M10)+#REF!),M10)</f>
        <v>[effect:critical, val:1.1, animation:enemy_critical]</v>
      </c>
      <c r="O10" s="150">
        <f t="shared" ref="O10:O14" si="68">FIND("effect:",N10)+7</f>
        <v>9</v>
      </c>
      <c r="P10" s="150">
        <f>IFERROR(FIND(",",N10),LEN(N10))</f>
        <v>17</v>
      </c>
      <c r="Q10" s="150" t="e">
        <f>FIND("target:",N10)+7</f>
        <v>#VALUE!</v>
      </c>
      <c r="R10" s="150">
        <f>FIND(",",N10,P10+1)</f>
        <v>26</v>
      </c>
      <c r="S10" s="150" t="str">
        <f>IFERROR(VLOOKUP(MID(N10,Q10,R10-Q10),[5]skilldef!$C:$D,2,FALSE),"-") &amp; " / " &amp; IFERROR(VLOOKUP(MID(N10,O10,P10-O10),[5]skilldef!$A:$B,2,FALSE),"-")</f>
        <v>- / 大攻撃</v>
      </c>
      <c r="T10" s="149" t="str">
        <f>IFERROR(RIGHT(M10,LEN(M10)-FIND("],",M10)-1),"none")</f>
        <v>none</v>
      </c>
      <c r="U10" s="150" t="e">
        <f t="shared" ref="U10:U14" si="69">FIND("effect:",T10)+7</f>
        <v>#VALUE!</v>
      </c>
      <c r="V10" s="150">
        <f>IFERROR(FIND(",",T10),LEN(T10))</f>
        <v>4</v>
      </c>
      <c r="W10" s="150" t="e">
        <f>FIND("target:",T10)+7</f>
        <v>#VALUE!</v>
      </c>
      <c r="X10" s="150" t="e">
        <f>FIND(",",T10,V10+1)</f>
        <v>#VALUE!</v>
      </c>
      <c r="Y10" s="150" t="str">
        <f>IFERROR(VLOOKUP(MID(T10,W10,X10-W10),[5]skilldef!$C:$D,2,FALSE),"-") &amp; " / " &amp; IFERROR(VLOOKUP(MID(T10,U10,V10-U10),[5]skilldef!$A:$B,2,FALSE),"-")</f>
        <v>- / -</v>
      </c>
      <c r="Z10" s="153"/>
      <c r="AA10" s="154"/>
      <c r="AB10" s="153"/>
      <c r="AC10" s="152" t="str">
        <f>"[effect:critical, val:"&amp;$AF$8&amp;", animation:enemy_critical]"</f>
        <v>[effect:critical, val:1.1, animation:enemy_critical]</v>
      </c>
      <c r="AD10" s="103" t="s">
        <v>293</v>
      </c>
      <c r="AE10" s="103" t="s">
        <v>295</v>
      </c>
      <c r="AF10" s="136">
        <v>0.2</v>
      </c>
    </row>
    <row r="11" spans="1:33" s="155" customFormat="1" ht="21" customHeight="1" x14ac:dyDescent="0.15">
      <c r="A11" s="149">
        <v>39012511</v>
      </c>
      <c r="B11" s="149" t="str">
        <f t="shared" si="0"/>
        <v>[effect:enemy_message, val1:1.2, val2:1.2],[effect:critical, val:1.7, animation:enemy_critical]</v>
      </c>
      <c r="C11" s="153">
        <v>3</v>
      </c>
      <c r="D11" s="153" t="s">
        <v>253</v>
      </c>
      <c r="E11" s="151" t="s">
        <v>439</v>
      </c>
      <c r="F11" s="150" t="s">
        <v>351</v>
      </c>
      <c r="G11" s="150" t="str">
        <f t="shared" ref="G11:G14" si="70">IFERROR(LEFT(B11,FIND("],",B11)),B11)</f>
        <v>[effect:enemy_message, val1:1.2, val2:1.2]</v>
      </c>
      <c r="H11" s="150">
        <f t="shared" si="67"/>
        <v>9</v>
      </c>
      <c r="I11" s="150">
        <f t="shared" ref="I11:I14" si="71">IFERROR(FIND(",",G11),LEN(G11))</f>
        <v>22</v>
      </c>
      <c r="J11" s="150" t="e">
        <f t="shared" ref="J11:J14" si="72">FIND("target:",G11)+7</f>
        <v>#VALUE!</v>
      </c>
      <c r="K11" s="150">
        <f t="shared" ref="K11:K14" si="73">FIND(",",G11,I11+1)</f>
        <v>32</v>
      </c>
      <c r="L11" s="150" t="str">
        <f>IFERROR(VLOOKUP(MID(G11,J11,K11-J11),[5]skilldef!$C:$D,2,FALSE),"-") &amp; " / " &amp; IFERROR(VLOOKUP(MID(G11,H11,I11-H11),[5]skilldef!$A:$B,2,FALSE),"-")</f>
        <v>- / -</v>
      </c>
      <c r="M11" s="150" t="str">
        <f t="shared" ref="M11:M14" si="74">IFERROR(RIGHT(B11,LEN(B11)-FIND("],",B11)-1),"none")</f>
        <v>[effect:critical, val:1.7, animation:enemy_critical]</v>
      </c>
      <c r="N11" s="149" t="str">
        <f>IFERROR(LEFT(M11,FIND("],",M11)+S37),M11)</f>
        <v>[effect:critical, val:1.7, animation:enemy_critical]</v>
      </c>
      <c r="O11" s="150">
        <f t="shared" si="68"/>
        <v>9</v>
      </c>
      <c r="P11" s="150">
        <f t="shared" ref="P11:P14" si="75">IFERROR(FIND(",",N11),LEN(N11))</f>
        <v>17</v>
      </c>
      <c r="Q11" s="150" t="e">
        <f t="shared" ref="Q11:Q14" si="76">FIND("target:",N11)+7</f>
        <v>#VALUE!</v>
      </c>
      <c r="R11" s="150">
        <f t="shared" ref="R11:R14" si="77">FIND(",",N11,P11+1)</f>
        <v>26</v>
      </c>
      <c r="S11" s="150" t="str">
        <f>IFERROR(VLOOKUP(MID(N11,Q11,R11-Q11),[5]skilldef!$C:$D,2,FALSE),"-") &amp; " / " &amp; IFERROR(VLOOKUP(MID(N11,O11,P11-O11),[5]skilldef!$A:$B,2,FALSE),"-")</f>
        <v>- / 大攻撃</v>
      </c>
      <c r="T11" s="149" t="str">
        <f t="shared" ref="T11:T14" si="78">IFERROR(RIGHT(M11,LEN(M11)-FIND("],",M11)-1),"none")</f>
        <v>none</v>
      </c>
      <c r="U11" s="150" t="e">
        <f t="shared" si="69"/>
        <v>#VALUE!</v>
      </c>
      <c r="V11" s="150">
        <f t="shared" ref="V11:V14" si="79">IFERROR(FIND(",",T11),LEN(T11))</f>
        <v>4</v>
      </c>
      <c r="W11" s="150" t="e">
        <f t="shared" ref="W11:W14" si="80">FIND("target:",T11)+7</f>
        <v>#VALUE!</v>
      </c>
      <c r="X11" s="150" t="e">
        <f t="shared" ref="X11:X14" si="81">FIND(",",T11,V11+1)</f>
        <v>#VALUE!</v>
      </c>
      <c r="Y11" s="150" t="str">
        <f>IFERROR(VLOOKUP(MID(T11,W11,X11-W11),[5]skilldef!$C:$D,2,FALSE),"-") &amp; " / " &amp; IFERROR(VLOOKUP(MID(T11,U11,V11-U11),[5]skilldef!$A:$B,2,FALSE),"-")</f>
        <v>- / -</v>
      </c>
      <c r="Z11" s="153"/>
      <c r="AA11" s="154"/>
      <c r="AB11" s="153"/>
      <c r="AC11" s="152" t="str">
        <f>"[effect:critical, val:"&amp;$AF$9&amp;", animation:enemy_critical]"</f>
        <v>[effect:critical, val:1.7, animation:enemy_critical]</v>
      </c>
    </row>
    <row r="12" spans="1:33" s="155" customFormat="1" ht="21" customHeight="1" x14ac:dyDescent="0.15">
      <c r="A12" s="149">
        <v>39012512</v>
      </c>
      <c r="B12" s="149" t="str">
        <f t="shared" si="0"/>
        <v>[effect:enemy_message, val1:1.2, val2:1.2],[effect:dis_panel, target:block_red, turn:2, animation:enemy_dis_red]</v>
      </c>
      <c r="C12" s="153">
        <v>3</v>
      </c>
      <c r="D12" s="153" t="s">
        <v>253</v>
      </c>
      <c r="E12" s="150" t="s">
        <v>419</v>
      </c>
      <c r="F12" s="150" t="s">
        <v>319</v>
      </c>
      <c r="G12" s="150" t="str">
        <f t="shared" si="70"/>
        <v>[effect:enemy_message, val1:1.2, val2:1.2]</v>
      </c>
      <c r="H12" s="150">
        <f t="shared" si="67"/>
        <v>9</v>
      </c>
      <c r="I12" s="150">
        <f t="shared" si="71"/>
        <v>22</v>
      </c>
      <c r="J12" s="150" t="e">
        <f t="shared" si="72"/>
        <v>#VALUE!</v>
      </c>
      <c r="K12" s="150">
        <f t="shared" si="73"/>
        <v>32</v>
      </c>
      <c r="L12" s="150" t="str">
        <f>IFERROR(VLOOKUP(MID(G12,J12,K12-J12),[5]skilldef!$C:$D,2,FALSE),"-") &amp; " / " &amp; IFERROR(VLOOKUP(MID(G12,H12,I12-H12),[5]skilldef!$A:$B,2,FALSE),"-")</f>
        <v>- / -</v>
      </c>
      <c r="M12" s="150" t="str">
        <f t="shared" si="74"/>
        <v>[effect:dis_panel, target:block_red, turn:2, animation:enemy_dis_red]</v>
      </c>
      <c r="N12" s="149" t="str">
        <f>IFERROR(LEFT(M12,FIND("],",M12)+S38),M12)</f>
        <v>[effect:dis_panel, target:block_red, turn:2, animation:enemy_dis_red]</v>
      </c>
      <c r="O12" s="150">
        <f t="shared" si="68"/>
        <v>9</v>
      </c>
      <c r="P12" s="150">
        <f t="shared" si="75"/>
        <v>18</v>
      </c>
      <c r="Q12" s="150">
        <f t="shared" si="76"/>
        <v>27</v>
      </c>
      <c r="R12" s="150">
        <f t="shared" si="77"/>
        <v>36</v>
      </c>
      <c r="S12" s="150" t="str">
        <f>IFERROR(VLOOKUP(MID(N12,Q12,R12-Q12),[5]skilldef!$C:$D,2,FALSE),"-") &amp; " / " &amp; IFERROR(VLOOKUP(MID(N12,O12,P12-O12),[5]skilldef!$A:$B,2,FALSE),"-")</f>
        <v>赤パネルを / ディスパネル</v>
      </c>
      <c r="T12" s="149" t="str">
        <f t="shared" si="78"/>
        <v>none</v>
      </c>
      <c r="U12" s="150" t="e">
        <f t="shared" si="69"/>
        <v>#VALUE!</v>
      </c>
      <c r="V12" s="150">
        <f t="shared" si="79"/>
        <v>4</v>
      </c>
      <c r="W12" s="150" t="e">
        <f t="shared" si="80"/>
        <v>#VALUE!</v>
      </c>
      <c r="X12" s="150" t="e">
        <f t="shared" si="81"/>
        <v>#VALUE!</v>
      </c>
      <c r="Y12" s="150" t="str">
        <f>IFERROR(VLOOKUP(MID(T12,W12,X12-W12),[5]skilldef!$C:$D,2,FALSE),"-") &amp; " / " &amp; IFERROR(VLOOKUP(MID(T12,U12,V12-U12),[5]skilldef!$A:$B,2,FALSE),"-")</f>
        <v>- / -</v>
      </c>
      <c r="Z12" s="153"/>
      <c r="AA12" s="154"/>
      <c r="AB12" s="153"/>
      <c r="AC12" s="152" t="s">
        <v>297</v>
      </c>
      <c r="AG12" s="155" t="s">
        <v>305</v>
      </c>
    </row>
    <row r="13" spans="1:33" s="155" customFormat="1" ht="21" customHeight="1" x14ac:dyDescent="0.15">
      <c r="A13" s="149">
        <v>39012513</v>
      </c>
      <c r="B13" s="149" t="str">
        <f t="shared" si="0"/>
        <v>[effect:enemy_message, val1:1.2, val2:1.2],[effect:enhance_enemy, target:myself, turn:1, status:defense, val:1000, calc:add, animation:enemy_enhance_defense]</v>
      </c>
      <c r="C13" s="153">
        <v>3</v>
      </c>
      <c r="D13" s="153" t="s">
        <v>253</v>
      </c>
      <c r="E13" s="151" t="s">
        <v>420</v>
      </c>
      <c r="F13" s="150" t="s">
        <v>361</v>
      </c>
      <c r="G13" s="150" t="str">
        <f t="shared" si="70"/>
        <v>[effect:enemy_message, val1:1.2, val2:1.2]</v>
      </c>
      <c r="H13" s="150">
        <f t="shared" si="67"/>
        <v>9</v>
      </c>
      <c r="I13" s="150">
        <f t="shared" si="71"/>
        <v>22</v>
      </c>
      <c r="J13" s="150" t="e">
        <f t="shared" si="72"/>
        <v>#VALUE!</v>
      </c>
      <c r="K13" s="150">
        <f t="shared" si="73"/>
        <v>32</v>
      </c>
      <c r="L13" s="150" t="str">
        <f>IFERROR(VLOOKUP(MID(G13,J13,K13-J13),[5]skilldef!$C:$D,2,FALSE),"-") &amp; " / " &amp; IFERROR(VLOOKUP(MID(G13,H13,I13-H13),[5]skilldef!$A:$B,2,FALSE),"-")</f>
        <v>- / -</v>
      </c>
      <c r="M13" s="150" t="str">
        <f t="shared" si="74"/>
        <v>[effect:enhance_enemy, target:myself, turn:1, status:defense, val:1000, calc:add, animation:enemy_enhance_defense]</v>
      </c>
      <c r="N13" s="149" t="str">
        <f>IFERROR(LEFT(M13,FIND("],",M13)+S37),M13)</f>
        <v>[effect:enhance_enemy, target:myself, turn:1, status:defense, val:1000, calc:add, animation:enemy_enhance_defense]</v>
      </c>
      <c r="O13" s="150">
        <f t="shared" si="68"/>
        <v>9</v>
      </c>
      <c r="P13" s="150">
        <f t="shared" si="75"/>
        <v>22</v>
      </c>
      <c r="Q13" s="150">
        <f t="shared" si="76"/>
        <v>31</v>
      </c>
      <c r="R13" s="150">
        <f t="shared" si="77"/>
        <v>37</v>
      </c>
      <c r="S13" s="150" t="str">
        <f>IFERROR(VLOOKUP(MID(N13,Q13,R13-Q13),[5]skilldef!$C:$D,2,FALSE),"-") &amp; " / " &amp; IFERROR(VLOOKUP(MID(N13,O13,P13-O13),[5]skilldef!$A:$B,2,FALSE),"-")</f>
        <v>自分自身に / ステータス強化</v>
      </c>
      <c r="T13" s="149" t="str">
        <f t="shared" si="78"/>
        <v>none</v>
      </c>
      <c r="U13" s="150" t="e">
        <f t="shared" si="69"/>
        <v>#VALUE!</v>
      </c>
      <c r="V13" s="150">
        <f t="shared" si="79"/>
        <v>4</v>
      </c>
      <c r="W13" s="150" t="e">
        <f t="shared" si="80"/>
        <v>#VALUE!</v>
      </c>
      <c r="X13" s="150" t="e">
        <f t="shared" si="81"/>
        <v>#VALUE!</v>
      </c>
      <c r="Y13" s="150" t="str">
        <f>IFERROR(VLOOKUP(MID(T13,W13,X13-W13),[5]skilldef!$C:$D,2,FALSE),"-") &amp; " / " &amp; IFERROR(VLOOKUP(MID(T13,U13,V13-U13),[5]skilldef!$A:$B,2,FALSE),"-")</f>
        <v>- / -</v>
      </c>
      <c r="Z13" s="153"/>
      <c r="AA13" s="154"/>
      <c r="AB13" s="153"/>
      <c r="AC13" s="152" t="s">
        <v>296</v>
      </c>
    </row>
    <row r="14" spans="1:33" s="155" customFormat="1" ht="21" customHeight="1" x14ac:dyDescent="0.15">
      <c r="A14" s="149">
        <v>39012514</v>
      </c>
      <c r="B14" s="149" t="str">
        <f t="shared" si="0"/>
        <v>[effect:enemy_message, val1:1.2, val2:1.2],[effect:spread, val:0.2]</v>
      </c>
      <c r="C14" s="153">
        <v>3</v>
      </c>
      <c r="D14" s="153" t="s">
        <v>253</v>
      </c>
      <c r="E14" s="151" t="s">
        <v>421</v>
      </c>
      <c r="F14" s="150" t="s">
        <v>321</v>
      </c>
      <c r="G14" s="150" t="str">
        <f t="shared" si="70"/>
        <v>[effect:enemy_message, val1:1.2, val2:1.2]</v>
      </c>
      <c r="H14" s="150">
        <f t="shared" si="67"/>
        <v>9</v>
      </c>
      <c r="I14" s="150">
        <f t="shared" si="71"/>
        <v>22</v>
      </c>
      <c r="J14" s="150" t="e">
        <f t="shared" si="72"/>
        <v>#VALUE!</v>
      </c>
      <c r="K14" s="150">
        <f t="shared" si="73"/>
        <v>32</v>
      </c>
      <c r="L14" s="150" t="str">
        <f>IFERROR(VLOOKUP(MID(G14,J14,K14-J14),[5]skilldef!$C:$D,2,FALSE),"-") &amp; " / " &amp; IFERROR(VLOOKUP(MID(G14,H14,I14-H14),[5]skilldef!$A:$B,2,FALSE),"-")</f>
        <v>- / -</v>
      </c>
      <c r="M14" s="150" t="str">
        <f t="shared" si="74"/>
        <v>[effect:spread, val:0.2]</v>
      </c>
      <c r="N14" s="149" t="str">
        <f>IFERROR(LEFT(M14,FIND("],",M14)+S38),M14)</f>
        <v>[effect:spread, val:0.2]</v>
      </c>
      <c r="O14" s="150">
        <f t="shared" si="68"/>
        <v>9</v>
      </c>
      <c r="P14" s="150">
        <f t="shared" si="75"/>
        <v>15</v>
      </c>
      <c r="Q14" s="150" t="e">
        <f t="shared" si="76"/>
        <v>#VALUE!</v>
      </c>
      <c r="R14" s="150" t="e">
        <f t="shared" si="77"/>
        <v>#VALUE!</v>
      </c>
      <c r="S14" s="150" t="str">
        <f>IFERROR(VLOOKUP(MID(N14,Q14,R14-Q14),[5]skilldef!$C:$D,2,FALSE),"-") &amp; " / " &amp; IFERROR(VLOOKUP(MID(N14,O14,P14-O14),[5]skilldef!$A:$B,2,FALSE),"-")</f>
        <v>- / 全体攻撃</v>
      </c>
      <c r="T14" s="149" t="str">
        <f t="shared" si="78"/>
        <v>none</v>
      </c>
      <c r="U14" s="150" t="e">
        <f t="shared" si="69"/>
        <v>#VALUE!</v>
      </c>
      <c r="V14" s="150">
        <f t="shared" si="79"/>
        <v>4</v>
      </c>
      <c r="W14" s="150" t="e">
        <f t="shared" si="80"/>
        <v>#VALUE!</v>
      </c>
      <c r="X14" s="150" t="e">
        <f t="shared" si="81"/>
        <v>#VALUE!</v>
      </c>
      <c r="Y14" s="150" t="str">
        <f>IFERROR(VLOOKUP(MID(T14,W14,X14-W14),[5]skilldef!$C:$D,2,FALSE),"-") &amp; " / " &amp; IFERROR(VLOOKUP(MID(T14,U14,V14-U14),[5]skilldef!$A:$B,2,FALSE),"-")</f>
        <v>- / -</v>
      </c>
      <c r="Z14" s="153"/>
      <c r="AA14" s="154"/>
      <c r="AB14" s="153"/>
      <c r="AC14" s="152" t="str">
        <f>"[effect:spread, val:"&amp;$AF$10&amp;"]"</f>
        <v>[effect:spread, val:0.2]</v>
      </c>
    </row>
    <row r="15" spans="1:33" s="155" customFormat="1" ht="21" customHeight="1" x14ac:dyDescent="0.15">
      <c r="A15" s="109">
        <v>39012520</v>
      </c>
      <c r="B15" s="109" t="str">
        <f t="shared" si="0"/>
        <v>[effect:enemy_message, val1:1.2, val2:1.2],[effect:enhance_enemy, target:myself, turn:-1, status:defense, val:5000, calc:add, animation:enemy_enhance_defense]</v>
      </c>
      <c r="C15" s="45">
        <v>3</v>
      </c>
      <c r="D15" s="45" t="s">
        <v>253</v>
      </c>
      <c r="E15" s="104" t="s">
        <v>422</v>
      </c>
      <c r="F15" s="104" t="s">
        <v>496</v>
      </c>
      <c r="G15" s="59" t="str">
        <f t="shared" si="55"/>
        <v>[effect:enemy_message, val1:1.2, val2:1.2]</v>
      </c>
      <c r="H15" s="59">
        <f t="shared" si="17"/>
        <v>9</v>
      </c>
      <c r="I15" s="59">
        <f t="shared" si="56"/>
        <v>22</v>
      </c>
      <c r="J15" s="59" t="e">
        <f t="shared" si="57"/>
        <v>#VALUE!</v>
      </c>
      <c r="K15" s="59">
        <f t="shared" si="58"/>
        <v>32</v>
      </c>
      <c r="L15" s="59" t="str">
        <f>IFERROR(VLOOKUP(MID(G15,J15,K15-J15),[5]skilldef!$C:$D,2,FALSE),"-") &amp; " / " &amp; IFERROR(VLOOKUP(MID(G15,H15,I15-H15),[5]skilldef!$A:$B,2,FALSE),"-")</f>
        <v>- / -</v>
      </c>
      <c r="M15" s="59" t="str">
        <f t="shared" si="59"/>
        <v>[effect:enhance_enemy, target:myself, turn:-1, status:defense, val:5000, calc:add, animation:enemy_enhance_defense]</v>
      </c>
      <c r="N15" s="47" t="str">
        <f>IFERROR(LEFT(M15,FIND("],",M15)+S11),M15)</f>
        <v>[effect:enhance_enemy, target:myself, turn:-1, status:defense, val:5000, calc:add, animation:enemy_enhance_defense]</v>
      </c>
      <c r="O15" s="59">
        <f t="shared" si="22"/>
        <v>9</v>
      </c>
      <c r="P15" s="59">
        <f t="shared" si="60"/>
        <v>22</v>
      </c>
      <c r="Q15" s="59">
        <f t="shared" si="61"/>
        <v>31</v>
      </c>
      <c r="R15" s="59">
        <f t="shared" si="62"/>
        <v>37</v>
      </c>
      <c r="S15" s="59" t="str">
        <f>IFERROR(VLOOKUP(MID(N15,Q15,R15-Q15),[5]skilldef!$C:$D,2,FALSE),"-") &amp; " / " &amp; IFERROR(VLOOKUP(MID(N15,O15,P15-O15),[5]skilldef!$A:$B,2,FALSE),"-")</f>
        <v>自分自身に / ステータス強化</v>
      </c>
      <c r="T15" s="47" t="str">
        <f t="shared" si="63"/>
        <v>none</v>
      </c>
      <c r="U15" s="59" t="e">
        <f t="shared" si="27"/>
        <v>#VALUE!</v>
      </c>
      <c r="V15" s="59">
        <f t="shared" si="64"/>
        <v>4</v>
      </c>
      <c r="W15" s="59" t="e">
        <f t="shared" si="65"/>
        <v>#VALUE!</v>
      </c>
      <c r="X15" s="59" t="e">
        <f t="shared" si="66"/>
        <v>#VALUE!</v>
      </c>
      <c r="Y15" s="59" t="str">
        <f>IFERROR(VLOOKUP(MID(T15,W15,X15-W15),[5]skilldef!$C:$D,2,FALSE),"-") &amp; " / " &amp; IFERROR(VLOOKUP(MID(T15,U15,V15-U15),[5]skilldef!$A:$B,2,FALSE),"-")</f>
        <v>- / -</v>
      </c>
      <c r="Z15" s="110"/>
      <c r="AA15" s="111"/>
      <c r="AB15" s="110"/>
      <c r="AC15" s="125" t="s">
        <v>322</v>
      </c>
    </row>
    <row r="16" spans="1:33" ht="21" customHeight="1" x14ac:dyDescent="0.15">
      <c r="A16" s="109">
        <v>39012521</v>
      </c>
      <c r="B16" s="109" t="str">
        <f t="shared" si="0"/>
        <v>[effect:enemy_message, val1:1.2, val2:1.6],[effect:enemy_counter, target:myself, invoke_condition:unit_all, counter_target:attacker, turn:2, val:0.1, animation:enemy_counter]</v>
      </c>
      <c r="C16" s="45">
        <v>3</v>
      </c>
      <c r="D16" s="45" t="s">
        <v>253</v>
      </c>
      <c r="E16" s="104" t="s">
        <v>423</v>
      </c>
      <c r="F16" s="104" t="s">
        <v>363</v>
      </c>
      <c r="G16" s="59" t="str">
        <f t="shared" si="55"/>
        <v>[effect:enemy_message, val1:1.2, val2:1.6]</v>
      </c>
      <c r="H16" s="59">
        <f t="shared" si="17"/>
        <v>9</v>
      </c>
      <c r="I16" s="59">
        <f t="shared" si="56"/>
        <v>22</v>
      </c>
      <c r="J16" s="59" t="e">
        <f t="shared" si="57"/>
        <v>#VALUE!</v>
      </c>
      <c r="K16" s="59">
        <f t="shared" si="58"/>
        <v>32</v>
      </c>
      <c r="L16" s="59" t="str">
        <f>IFERROR(VLOOKUP(MID(G16,J16,K16-J16),[5]skilldef!$C:$D,2,FALSE),"-") &amp; " / " &amp; IFERROR(VLOOKUP(MID(G16,H16,I16-H16),[5]skilldef!$A:$B,2,FALSE),"-")</f>
        <v>- / -</v>
      </c>
      <c r="M16" s="59" t="str">
        <f t="shared" si="59"/>
        <v>[effect:enemy_counter, target:myself, invoke_condition:unit_all, counter_target:attacker, turn:2, val:0.1, animation:enemy_counter]</v>
      </c>
      <c r="N16" s="47" t="str">
        <f>IFERROR(LEFT(M16,FIND("],",M16)+S12),M16)</f>
        <v>[effect:enemy_counter, target:myself, invoke_condition:unit_all, counter_target:attacker, turn:2, val:0.1, animation:enemy_counter]</v>
      </c>
      <c r="O16" s="59">
        <f t="shared" si="22"/>
        <v>9</v>
      </c>
      <c r="P16" s="59">
        <f t="shared" si="60"/>
        <v>22</v>
      </c>
      <c r="Q16" s="59">
        <f t="shared" si="61"/>
        <v>31</v>
      </c>
      <c r="R16" s="59">
        <f t="shared" si="62"/>
        <v>37</v>
      </c>
      <c r="S16" s="59" t="str">
        <f>IFERROR(VLOOKUP(MID(N16,Q16,R16-Q16),[5]skilldef!$C:$D,2,FALSE),"-") &amp; " / " &amp; IFERROR(VLOOKUP(MID(N16,O16,P16-O16),[5]skilldef!$A:$B,2,FALSE),"-")</f>
        <v>自分自身に / カウンター</v>
      </c>
      <c r="T16" s="47" t="str">
        <f t="shared" si="63"/>
        <v>none</v>
      </c>
      <c r="U16" s="59" t="e">
        <f t="shared" si="27"/>
        <v>#VALUE!</v>
      </c>
      <c r="V16" s="59">
        <f t="shared" si="64"/>
        <v>4</v>
      </c>
      <c r="W16" s="59" t="e">
        <f t="shared" si="65"/>
        <v>#VALUE!</v>
      </c>
      <c r="X16" s="59" t="e">
        <f t="shared" si="66"/>
        <v>#VALUE!</v>
      </c>
      <c r="Y16" s="59" t="str">
        <f>IFERROR(VLOOKUP(MID(T16,W16,X16-W16),[5]skilldef!$C:$D,2,FALSE),"-") &amp; " / " &amp; IFERROR(VLOOKUP(MID(T16,U16,V16-U16),[5]skilldef!$A:$B,2,FALSE),"-")</f>
        <v>- / -</v>
      </c>
      <c r="Z16" s="110"/>
      <c r="AA16" s="111"/>
      <c r="AB16" s="110"/>
      <c r="AC16" s="125" t="s">
        <v>299</v>
      </c>
    </row>
    <row r="17" spans="1:29" ht="21" customHeight="1" x14ac:dyDescent="0.15">
      <c r="A17" s="109">
        <v>39012522</v>
      </c>
      <c r="B17" s="109" t="str">
        <f t="shared" si="0"/>
        <v>[effect:enemy_message, val1:1.2, val2:1.2],[effect:spread, val:0.6]</v>
      </c>
      <c r="C17" s="45">
        <v>3</v>
      </c>
      <c r="D17" s="45" t="s">
        <v>253</v>
      </c>
      <c r="E17" s="104" t="s">
        <v>424</v>
      </c>
      <c r="F17" s="104" t="s">
        <v>349</v>
      </c>
      <c r="G17" s="59" t="str">
        <f t="shared" si="55"/>
        <v>[effect:enemy_message, val1:1.2, val2:1.2]</v>
      </c>
      <c r="H17" s="59">
        <f t="shared" si="17"/>
        <v>9</v>
      </c>
      <c r="I17" s="59">
        <f t="shared" si="56"/>
        <v>22</v>
      </c>
      <c r="J17" s="59" t="e">
        <f t="shared" si="57"/>
        <v>#VALUE!</v>
      </c>
      <c r="K17" s="59">
        <f t="shared" si="58"/>
        <v>32</v>
      </c>
      <c r="L17" s="59" t="str">
        <f>IFERROR(VLOOKUP(MID(G17,J17,K17-J17),[5]skilldef!$C:$D,2,FALSE),"-") &amp; " / " &amp; IFERROR(VLOOKUP(MID(G17,H17,I17-H17),[5]skilldef!$A:$B,2,FALSE),"-")</f>
        <v>- / -</v>
      </c>
      <c r="M17" s="59" t="str">
        <f t="shared" si="59"/>
        <v>[effect:spread, val:0.6]</v>
      </c>
      <c r="N17" s="47" t="str">
        <f>IFERROR(LEFT(M17,FIND("],",M17)+S12),M17)</f>
        <v>[effect:spread, val:0.6]</v>
      </c>
      <c r="O17" s="59">
        <f t="shared" si="22"/>
        <v>9</v>
      </c>
      <c r="P17" s="59">
        <f t="shared" si="60"/>
        <v>15</v>
      </c>
      <c r="Q17" s="59" t="e">
        <f t="shared" si="61"/>
        <v>#VALUE!</v>
      </c>
      <c r="R17" s="59" t="e">
        <f t="shared" si="62"/>
        <v>#VALUE!</v>
      </c>
      <c r="S17" s="59" t="str">
        <f>IFERROR(VLOOKUP(MID(N17,Q17,R17-Q17),[5]skilldef!$C:$D,2,FALSE),"-") &amp; " / " &amp; IFERROR(VLOOKUP(MID(N17,O17,P17-O17),[5]skilldef!$A:$B,2,FALSE),"-")</f>
        <v>- / 全体攻撃</v>
      </c>
      <c r="T17" s="47" t="str">
        <f t="shared" si="63"/>
        <v>none</v>
      </c>
      <c r="U17" s="59" t="e">
        <f t="shared" si="27"/>
        <v>#VALUE!</v>
      </c>
      <c r="V17" s="59">
        <f t="shared" si="64"/>
        <v>4</v>
      </c>
      <c r="W17" s="59" t="e">
        <f t="shared" si="65"/>
        <v>#VALUE!</v>
      </c>
      <c r="X17" s="59" t="e">
        <f t="shared" si="66"/>
        <v>#VALUE!</v>
      </c>
      <c r="Y17" s="59" t="str">
        <f>IFERROR(VLOOKUP(MID(T17,W17,X17-W17),[5]skilldef!$C:$D,2,FALSE),"-") &amp; " / " &amp; IFERROR(VLOOKUP(MID(T17,U17,V17-U17),[5]skilldef!$A:$B,2,FALSE),"-")</f>
        <v>- / -</v>
      </c>
      <c r="Z17" s="110"/>
      <c r="AA17" s="111"/>
      <c r="AB17" s="110"/>
      <c r="AC17" s="125" t="s">
        <v>332</v>
      </c>
    </row>
    <row r="18" spans="1:29" ht="21" customHeight="1" x14ac:dyDescent="0.15">
      <c r="A18" s="109">
        <v>39012523</v>
      </c>
      <c r="B18" s="109" t="str">
        <f t="shared" si="0"/>
        <v>[effect:enemy_message, val1:1.2, val2:1.8],[effect:force_change_block, new_block:jammer, target:block_green, count:8, val:0, animation:change_block]</v>
      </c>
      <c r="C18" s="45">
        <v>3</v>
      </c>
      <c r="D18" s="45" t="s">
        <v>253</v>
      </c>
      <c r="E18" s="104" t="s">
        <v>425</v>
      </c>
      <c r="F18" s="104" t="s">
        <v>320</v>
      </c>
      <c r="G18" s="59" t="str">
        <f t="shared" si="16"/>
        <v>[effect:enemy_message, val1:1.2, val2:1.8]</v>
      </c>
      <c r="H18" s="59">
        <f t="shared" si="17"/>
        <v>9</v>
      </c>
      <c r="I18" s="59">
        <f t="shared" si="18"/>
        <v>22</v>
      </c>
      <c r="J18" s="59" t="e">
        <f t="shared" si="19"/>
        <v>#VALUE!</v>
      </c>
      <c r="K18" s="59">
        <f t="shared" si="20"/>
        <v>32</v>
      </c>
      <c r="L18" s="59" t="str">
        <f>IFERROR(VLOOKUP(MID(G18,J18,K18-J18),[5]skilldef!$C:$D,2,FALSE),"-") &amp; " / " &amp; IFERROR(VLOOKUP(MID(G18,H18,I18-H18),[5]skilldef!$A:$B,2,FALSE),"-")</f>
        <v>- / -</v>
      </c>
      <c r="M18" s="59" t="str">
        <f t="shared" si="21"/>
        <v>[effect:force_change_block, new_block:jammer, target:block_green, count:8, val:0, animation:change_block]</v>
      </c>
      <c r="N18" s="47" t="str">
        <f>IFERROR(LEFT(M18,FIND("],",M18)+S13),M18)</f>
        <v>[effect:force_change_block, new_block:jammer, target:block_green, count:8, val:0, animation:change_block]</v>
      </c>
      <c r="O18" s="59">
        <f t="shared" si="22"/>
        <v>9</v>
      </c>
      <c r="P18" s="59">
        <f t="shared" si="23"/>
        <v>27</v>
      </c>
      <c r="Q18" s="59">
        <f t="shared" si="24"/>
        <v>54</v>
      </c>
      <c r="R18" s="59">
        <f t="shared" si="25"/>
        <v>45</v>
      </c>
      <c r="S18" s="59" t="str">
        <f>IFERROR(VLOOKUP(MID(N18,Q18,R18-Q18),[5]skilldef!$C:$D,2,FALSE),"-") &amp; " / " &amp; IFERROR(VLOOKUP(MID(N18,O18,P18-O18),[5]skilldef!$A:$B,2,FALSE),"-")</f>
        <v>- / -</v>
      </c>
      <c r="T18" s="47" t="str">
        <f t="shared" si="26"/>
        <v>none</v>
      </c>
      <c r="U18" s="59" t="e">
        <f t="shared" si="27"/>
        <v>#VALUE!</v>
      </c>
      <c r="V18" s="59">
        <f t="shared" si="28"/>
        <v>4</v>
      </c>
      <c r="W18" s="59" t="e">
        <f t="shared" si="29"/>
        <v>#VALUE!</v>
      </c>
      <c r="X18" s="59" t="e">
        <f t="shared" si="30"/>
        <v>#VALUE!</v>
      </c>
      <c r="Y18" s="59" t="str">
        <f>IFERROR(VLOOKUP(MID(T18,W18,X18-W18),[5]skilldef!$C:$D,2,FALSE),"-") &amp; " / " &amp; IFERROR(VLOOKUP(MID(T18,U18,V18-U18),[5]skilldef!$A:$B,2,FALSE),"-")</f>
        <v>- / -</v>
      </c>
      <c r="Z18" s="110"/>
      <c r="AA18" s="111"/>
      <c r="AB18" s="110"/>
      <c r="AC18" s="125" t="s">
        <v>300</v>
      </c>
    </row>
    <row r="19" spans="1:29" ht="21" customHeight="1" x14ac:dyDescent="0.15">
      <c r="A19" s="109">
        <v>39012524</v>
      </c>
      <c r="B19" s="109" t="str">
        <f t="shared" si="0"/>
        <v>[effect:enemy_message, val1:1.2, val2:2.0],[effect:break_enchance_enemy, target:myself, val:500, lowest_val:0, count:-1, status:defense, turn:2, block01:jammer, calc:add, animation:enemy_enhance_defense]</v>
      </c>
      <c r="C19" s="45">
        <v>3</v>
      </c>
      <c r="D19" s="45" t="s">
        <v>253</v>
      </c>
      <c r="E19" s="104" t="s">
        <v>426</v>
      </c>
      <c r="F19" s="104" t="s">
        <v>364</v>
      </c>
      <c r="G19" s="59" t="str">
        <f t="shared" ref="G19:G27" si="82">IFERROR(LEFT(B19,FIND("],",B19)),B19)</f>
        <v>[effect:enemy_message, val1:1.2, val2:2.0]</v>
      </c>
      <c r="H19" s="59">
        <f t="shared" si="17"/>
        <v>9</v>
      </c>
      <c r="I19" s="59">
        <f t="shared" ref="I19:I27" si="83">IFERROR(FIND(",",G19),LEN(G19))</f>
        <v>22</v>
      </c>
      <c r="J19" s="59" t="e">
        <f t="shared" ref="J19:J27" si="84">FIND("target:",G19)+7</f>
        <v>#VALUE!</v>
      </c>
      <c r="K19" s="59">
        <f t="shared" ref="K19:K27" si="85">FIND(",",G19,I19+1)</f>
        <v>32</v>
      </c>
      <c r="L19" s="59" t="str">
        <f>IFERROR(VLOOKUP(MID(G19,J19,K19-J19),[5]skilldef!$C:$D,2,FALSE),"-") &amp; " / " &amp; IFERROR(VLOOKUP(MID(G19,H19,I19-H19),[5]skilldef!$A:$B,2,FALSE),"-")</f>
        <v>- / -</v>
      </c>
      <c r="M19" s="59" t="str">
        <f t="shared" ref="M19" si="86">IFERROR(RIGHT(B19,LEN(B19)-FIND("],",B19)-1),"none")</f>
        <v>[effect:break_enchance_enemy, target:myself, val:500, lowest_val:0, count:-1, status:defense, turn:2, block01:jammer, calc:add, animation:enemy_enhance_defense]</v>
      </c>
      <c r="N19" s="47" t="str">
        <f>IFERROR(LEFT(M19,FIND("],",M19)+S14),M19)</f>
        <v>[effect:break_enchance_enemy, target:myself, val:500, lowest_val:0, count:-1, status:defense, turn:2, block01:jammer, calc:add, animation:enemy_enhance_defense]</v>
      </c>
      <c r="O19" s="59">
        <f t="shared" si="22"/>
        <v>9</v>
      </c>
      <c r="P19" s="59">
        <f t="shared" ref="P19:P27" si="87">IFERROR(FIND(",",N19),LEN(N19))</f>
        <v>29</v>
      </c>
      <c r="Q19" s="59">
        <f t="shared" ref="Q19:Q27" si="88">FIND("target:",N19)+7</f>
        <v>38</v>
      </c>
      <c r="R19" s="59">
        <f t="shared" ref="R19:R27" si="89">FIND(",",N19,P19+1)</f>
        <v>44</v>
      </c>
      <c r="S19" s="59" t="str">
        <f>IFERROR(VLOOKUP(MID(N19,Q19,R19-Q19),[5]skilldef!$C:$D,2,FALSE),"-") &amp; " / " &amp; IFERROR(VLOOKUP(MID(N19,O19,P19-O19),[5]skilldef!$A:$B,2,FALSE),"-")</f>
        <v>自分自身に / -</v>
      </c>
      <c r="T19" s="47" t="str">
        <f t="shared" ref="T19" si="90">IFERROR(RIGHT(M19,LEN(M19)-FIND("],",M19)-1),"none")</f>
        <v>none</v>
      </c>
      <c r="U19" s="59" t="e">
        <f t="shared" si="27"/>
        <v>#VALUE!</v>
      </c>
      <c r="V19" s="59">
        <f t="shared" ref="V19:V27" si="91">IFERROR(FIND(",",T19),LEN(T19))</f>
        <v>4</v>
      </c>
      <c r="W19" s="59" t="e">
        <f t="shared" ref="W19:W27" si="92">FIND("target:",T19)+7</f>
        <v>#VALUE!</v>
      </c>
      <c r="X19" s="59" t="e">
        <f t="shared" ref="X19:X27" si="93">FIND(",",T19,V19+1)</f>
        <v>#VALUE!</v>
      </c>
      <c r="Y19" s="59" t="str">
        <f>IFERROR(VLOOKUP(MID(T19,W19,X19-W19),[5]skilldef!$C:$D,2,FALSE),"-") &amp; " / " &amp; IFERROR(VLOOKUP(MID(T19,U19,V19-U19),[5]skilldef!$A:$B,2,FALSE),"-")</f>
        <v>- / -</v>
      </c>
      <c r="Z19" s="110"/>
      <c r="AA19" s="111"/>
      <c r="AB19" s="110"/>
      <c r="AC19" s="125" t="s">
        <v>301</v>
      </c>
    </row>
    <row r="20" spans="1:29" ht="21" customHeight="1" x14ac:dyDescent="0.15">
      <c r="A20" s="140">
        <v>39012599</v>
      </c>
      <c r="B20" s="46" t="str">
        <f>"[effect:enemy_message, val1:"&amp;TEXT(IF(TEXT(E20,0)="[表示しない]", "0", IF(LEN(SUBSTITUTE(E20,CHAR(13),""))*0.1&lt;1.2, 1.2, LEN(SUBSTITUTE(E20,CHAR(13),""))*0.1)), "0.0")&amp;", val2:"&amp;TEXT(IF(TEXT(F20,0)="[表示しない]", "0", IF(LEN(SUBSTITUTE(F20,CHAR(13),""))*0.1&lt;1.2, 1.2, LEN(SUBSTITUTE(F20,CHAR(13),""))*0.1)),"0.0")&amp;"]"&amp;IF(LEN(AC20)&gt;0, ","&amp;AC20,AC20)</f>
        <v>[effect:enemy_message, val1:1.6, val2:1.9],[effect:ability_lock, target:unit_all, turn:1],[effect:sleep, target:unit_all, turn:1, rate:1, calc_type:target_all],[effect:fix_speed, target:myself, turn:1]</v>
      </c>
      <c r="C20" s="146">
        <v>3</v>
      </c>
      <c r="D20" s="146" t="s">
        <v>195</v>
      </c>
      <c r="E20" s="147" t="s">
        <v>436</v>
      </c>
      <c r="F20" s="147" t="s">
        <v>435</v>
      </c>
      <c r="G20" s="142" t="str">
        <f t="shared" si="82"/>
        <v>[effect:enemy_message, val1:1.6, val2:1.9]</v>
      </c>
      <c r="H20" s="142">
        <f>FIND("effect:",G20)+7</f>
        <v>9</v>
      </c>
      <c r="I20" s="142">
        <f t="shared" si="83"/>
        <v>22</v>
      </c>
      <c r="J20" s="142" t="e">
        <f t="shared" si="84"/>
        <v>#VALUE!</v>
      </c>
      <c r="K20" s="142">
        <f t="shared" si="85"/>
        <v>32</v>
      </c>
      <c r="L20" s="142" t="str">
        <f>IFERROR(VLOOKUP(MID(G20,J20,K20-J20),[5]skilldef!$C:$D,2,FALSE),"-") &amp; " / " &amp; IFERROR(VLOOKUP(MID(G20,H20,I20-H20),[5]skilldef!$A:$B,2,FALSE),"-")</f>
        <v>- / -</v>
      </c>
      <c r="M20" s="142" t="str">
        <f>IFERROR(RIGHT(B20,LEN(B20)-FIND("],",B20)-1),"none")</f>
        <v>none</v>
      </c>
      <c r="N20" s="140" t="str">
        <f>IFERROR(LEFT(M20,FIND("],",M20)+#REF!),M20)</f>
        <v>none</v>
      </c>
      <c r="O20" s="142" t="e">
        <f>FIND("effect:",N20)+7</f>
        <v>#VALUE!</v>
      </c>
      <c r="P20" s="142">
        <f t="shared" si="87"/>
        <v>4</v>
      </c>
      <c r="Q20" s="142" t="e">
        <f t="shared" si="88"/>
        <v>#VALUE!</v>
      </c>
      <c r="R20" s="142" t="e">
        <f t="shared" si="89"/>
        <v>#VALUE!</v>
      </c>
      <c r="S20" s="142" t="str">
        <f>IFERROR(VLOOKUP(MID(N20,Q20,R20-Q20),[5]skilldef!$C:$D,2,FALSE),"-") &amp; " / " &amp; IFERROR(VLOOKUP(MID(N20,O20,P20-O20),[5]skilldef!$A:$B,2,FALSE),"-")</f>
        <v>- / -</v>
      </c>
      <c r="T20" s="140" t="str">
        <f>IFERROR(RIGHT(M20,LEN(M20)-FIND("],",M20)-1),"none")</f>
        <v>none</v>
      </c>
      <c r="U20" s="142" t="e">
        <f>FIND("effect:",T20)+7</f>
        <v>#VALUE!</v>
      </c>
      <c r="V20" s="142">
        <f t="shared" si="91"/>
        <v>4</v>
      </c>
      <c r="W20" s="142" t="e">
        <f t="shared" si="92"/>
        <v>#VALUE!</v>
      </c>
      <c r="X20" s="142" t="e">
        <f t="shared" si="93"/>
        <v>#VALUE!</v>
      </c>
      <c r="Y20" s="142" t="str">
        <f>IFERROR(VLOOKUP(MID(T20,W20,X20-W20),[5]skilldef!$C:$D,2,FALSE),"-") &amp; " / " &amp; IFERROR(VLOOKUP(MID(T20,U20,V20-U20),[5]skilldef!$A:$B,2,FALSE),"-")</f>
        <v>- / -</v>
      </c>
      <c r="Z20" s="141"/>
      <c r="AA20" s="143"/>
      <c r="AB20" s="141"/>
      <c r="AC20" s="144" t="s">
        <v>490</v>
      </c>
    </row>
    <row r="21" spans="1:29" s="145" customFormat="1" ht="21" customHeight="1" x14ac:dyDescent="0.15">
      <c r="A21" s="140">
        <v>39012598</v>
      </c>
      <c r="B21" s="46" t="str">
        <f t="shared" si="0"/>
        <v>[effect:enemy_message, val1:1.2, val2:2.4],[effect:force_change_block, new_block:crash, target:block_all, ignore01:crash, ignore02:crack_bomb, ignore03:color_break, ignore04:magnet, count:5, val:12],[effect:suicide, val:1, dead_type:escape, target:myself]</v>
      </c>
      <c r="C21" s="146">
        <v>3</v>
      </c>
      <c r="D21" s="146" t="s">
        <v>195</v>
      </c>
      <c r="E21" s="147" t="s">
        <v>437</v>
      </c>
      <c r="F21" s="147" t="s">
        <v>495</v>
      </c>
      <c r="G21" s="142" t="str">
        <f t="shared" si="82"/>
        <v>[effect:enemy_message, val1:1.2, val2:2.4]</v>
      </c>
      <c r="H21" s="142">
        <f t="shared" ref="H21" si="94">FIND("effect:",G21)+7</f>
        <v>9</v>
      </c>
      <c r="I21" s="142">
        <f t="shared" si="83"/>
        <v>22</v>
      </c>
      <c r="J21" s="142" t="e">
        <f t="shared" si="84"/>
        <v>#VALUE!</v>
      </c>
      <c r="K21" s="142">
        <f t="shared" si="85"/>
        <v>32</v>
      </c>
      <c r="L21" s="142" t="str">
        <f>IFERROR(VLOOKUP(MID(G21,J21,K21-J21),[5]skilldef!$C:$D,2,FALSE),"-") &amp; " / " &amp; IFERROR(VLOOKUP(MID(G21,H21,I21-H21),[5]skilldef!$A:$B,2,FALSE),"-")</f>
        <v>- / -</v>
      </c>
      <c r="M21" s="142" t="str">
        <f t="shared" ref="M21" si="95">IFERROR(RIGHT(B21,LEN(B21)-FIND("],",B21)-1),"none")</f>
        <v>[effect:force_change_block, new_block:crash, target:block_all, ignore01:crash, ignore02:crack_bomb, ignore03:color_break, ignore04:magnet, count:5, val:12],[effect:suicide, val:1, dead_type:escape, target:myself]</v>
      </c>
      <c r="N21" s="140" t="str">
        <f>IFERROR(LEFT(M21,FIND("],",M21)+#REF!),M21)</f>
        <v>[effect:force_change_block, new_block:crash, target:block_all, ignore01:crash, ignore02:crack_bomb, ignore03:color_break, ignore04:magnet, count:5, val:12],[effect:suicide, val:1, dead_type:escape, target:myself]</v>
      </c>
      <c r="O21" s="142">
        <f t="shared" ref="O21" si="96">FIND("effect:",N21)+7</f>
        <v>9</v>
      </c>
      <c r="P21" s="142">
        <f t="shared" si="87"/>
        <v>27</v>
      </c>
      <c r="Q21" s="142">
        <f t="shared" si="88"/>
        <v>53</v>
      </c>
      <c r="R21" s="142">
        <f t="shared" si="89"/>
        <v>44</v>
      </c>
      <c r="S21" s="142" t="str">
        <f>IFERROR(VLOOKUP(MID(N21,Q21,R21-Q21),[5]skilldef!$C:$D,2,FALSE),"-") &amp; " / " &amp; IFERROR(VLOOKUP(MID(N21,O21,P21-O21),[5]skilldef!$A:$B,2,FALSE),"-")</f>
        <v>- / -</v>
      </c>
      <c r="T21" s="140" t="str">
        <f t="shared" ref="T21" si="97">IFERROR(RIGHT(M21,LEN(M21)-FIND("],",M21)-1),"none")</f>
        <v>[effect:suicide, val:1, dead_type:escape, target:myself]</v>
      </c>
      <c r="U21" s="142">
        <f t="shared" ref="U21" si="98">FIND("effect:",T21)+7</f>
        <v>9</v>
      </c>
      <c r="V21" s="142">
        <f t="shared" si="91"/>
        <v>16</v>
      </c>
      <c r="W21" s="142">
        <f t="shared" si="92"/>
        <v>50</v>
      </c>
      <c r="X21" s="142">
        <f t="shared" si="93"/>
        <v>23</v>
      </c>
      <c r="Y21" s="142" t="str">
        <f>IFERROR(VLOOKUP(MID(T21,W21,X21-W21),[5]skilldef!$C:$D,2,FALSE),"-") &amp; " / " &amp; IFERROR(VLOOKUP(MID(T21,U21,V21-U21),[5]skilldef!$A:$B,2,FALSE),"-")</f>
        <v>- / -</v>
      </c>
      <c r="Z21" s="141"/>
      <c r="AA21" s="143"/>
      <c r="AB21" s="141"/>
      <c r="AC21" s="144" t="s">
        <v>491</v>
      </c>
    </row>
    <row r="22" spans="1:29" s="145" customFormat="1" ht="21" customHeight="1" x14ac:dyDescent="0.15">
      <c r="A22" s="106">
        <v>39012533</v>
      </c>
      <c r="B22" s="158" t="str">
        <f t="shared" si="0"/>
        <v>[effect:enemy_message, val1:1.7, val2:1.2],[effect:panel_freeze, target:normal, color:block_green, count:-1]</v>
      </c>
      <c r="C22" s="159">
        <v>3</v>
      </c>
      <c r="D22" s="159" t="s">
        <v>253</v>
      </c>
      <c r="E22" s="157" t="s">
        <v>486</v>
      </c>
      <c r="F22" s="157" t="s">
        <v>454</v>
      </c>
      <c r="G22" s="157" t="str">
        <f t="shared" si="82"/>
        <v>[effect:enemy_message, val1:1.7, val2:1.2]</v>
      </c>
      <c r="H22" s="157">
        <f t="shared" ref="H22:H29" si="99">FIND("effect:",G22)+7</f>
        <v>9</v>
      </c>
      <c r="I22" s="157">
        <f t="shared" si="83"/>
        <v>22</v>
      </c>
      <c r="J22" s="157" t="e">
        <f t="shared" si="84"/>
        <v>#VALUE!</v>
      </c>
      <c r="K22" s="157">
        <f t="shared" si="85"/>
        <v>32</v>
      </c>
      <c r="L22" s="157" t="str">
        <f>IFERROR(VLOOKUP(MID(G22,J22,K22-J22),[5]skilldef!$C:$D,2,FALSE),"-") &amp; " / " &amp; IFERROR(VLOOKUP(MID(G22,H22,I22-H22),[5]skilldef!$A:$B,2,FALSE),"-")</f>
        <v>- / -</v>
      </c>
      <c r="M22" s="157" t="str">
        <f t="shared" ref="M22:M29" si="100">IFERROR(RIGHT(B22,LEN(B22)-FIND("],",B22)-1),"none")</f>
        <v>[effect:panel_freeze, target:normal, color:block_green, count:-1]</v>
      </c>
      <c r="N22" s="158" t="str">
        <f>IFERROR(LEFT(M22,FIND("],",M22)+#REF!),M22)</f>
        <v>[effect:panel_freeze, target:normal, color:block_green, count:-1]</v>
      </c>
      <c r="O22" s="157">
        <f t="shared" ref="O22:O29" si="101">FIND("effect:",N22)+7</f>
        <v>9</v>
      </c>
      <c r="P22" s="157">
        <f t="shared" si="87"/>
        <v>21</v>
      </c>
      <c r="Q22" s="157">
        <f t="shared" si="88"/>
        <v>30</v>
      </c>
      <c r="R22" s="157">
        <f t="shared" si="89"/>
        <v>36</v>
      </c>
      <c r="S22" s="157" t="str">
        <f>IFERROR(VLOOKUP(MID(N22,Q22,R22-Q22),[5]skilldef!$C:$D,2,FALSE),"-") &amp; " / " &amp; IFERROR(VLOOKUP(MID(N22,O22,P22-O22),[5]skilldef!$A:$B,2,FALSE),"-")</f>
        <v>- / -</v>
      </c>
      <c r="T22" s="158" t="str">
        <f t="shared" ref="T22:T29" si="102">IFERROR(RIGHT(M22,LEN(M22)-FIND("],",M22)-1),"none")</f>
        <v>none</v>
      </c>
      <c r="U22" s="157" t="e">
        <f t="shared" ref="U22:U29" si="103">FIND("effect:",T22)+7</f>
        <v>#VALUE!</v>
      </c>
      <c r="V22" s="157">
        <f t="shared" si="91"/>
        <v>4</v>
      </c>
      <c r="W22" s="157" t="e">
        <f t="shared" si="92"/>
        <v>#VALUE!</v>
      </c>
      <c r="X22" s="157" t="e">
        <f t="shared" si="93"/>
        <v>#VALUE!</v>
      </c>
      <c r="Y22" s="157" t="str">
        <f>IFERROR(VLOOKUP(MID(T22,W22,X22-W22),[5]skilldef!$C:$D,2,FALSE),"-") &amp; " / " &amp; IFERROR(VLOOKUP(MID(T22,U22,V22-U22),[5]skilldef!$A:$B,2,FALSE),"-")</f>
        <v>- / -</v>
      </c>
      <c r="Z22" s="159"/>
      <c r="AA22" s="160"/>
      <c r="AB22" s="159"/>
      <c r="AC22" s="161" t="s">
        <v>498</v>
      </c>
    </row>
    <row r="23" spans="1:29" s="145" customFormat="1" ht="21" customHeight="1" x14ac:dyDescent="0.15">
      <c r="A23" s="106">
        <v>39012534</v>
      </c>
      <c r="B23" s="158" t="str">
        <f t="shared" si="0"/>
        <v>[effect:enemy_message, val1:1.6, val2:1.2],[effect:panel_freeze, target:normal, color:block_green, count:-1]</v>
      </c>
      <c r="C23" s="159">
        <v>3</v>
      </c>
      <c r="D23" s="159" t="s">
        <v>253</v>
      </c>
      <c r="E23" s="157" t="s">
        <v>455</v>
      </c>
      <c r="F23" s="157" t="s">
        <v>454</v>
      </c>
      <c r="G23" s="157" t="str">
        <f t="shared" si="82"/>
        <v>[effect:enemy_message, val1:1.6, val2:1.2]</v>
      </c>
      <c r="H23" s="157">
        <f t="shared" si="99"/>
        <v>9</v>
      </c>
      <c r="I23" s="157">
        <f t="shared" si="83"/>
        <v>22</v>
      </c>
      <c r="J23" s="157" t="e">
        <f t="shared" si="84"/>
        <v>#VALUE!</v>
      </c>
      <c r="K23" s="157">
        <f t="shared" si="85"/>
        <v>32</v>
      </c>
      <c r="L23" s="157" t="str">
        <f>IFERROR(VLOOKUP(MID(G23,J23,K23-J23),[5]skilldef!$C:$D,2,FALSE),"-") &amp; " / " &amp; IFERROR(VLOOKUP(MID(G23,H23,I23-H23),[5]skilldef!$A:$B,2,FALSE),"-")</f>
        <v>- / -</v>
      </c>
      <c r="M23" s="157" t="str">
        <f t="shared" si="100"/>
        <v>[effect:panel_freeze, target:normal, color:block_green, count:-1]</v>
      </c>
      <c r="N23" s="158" t="str">
        <f>IFERROR(LEFT(M23,FIND("],",M23)+#REF!),M23)</f>
        <v>[effect:panel_freeze, target:normal, color:block_green, count:-1]</v>
      </c>
      <c r="O23" s="157">
        <f t="shared" si="101"/>
        <v>9</v>
      </c>
      <c r="P23" s="157">
        <f t="shared" si="87"/>
        <v>21</v>
      </c>
      <c r="Q23" s="157">
        <f t="shared" si="88"/>
        <v>30</v>
      </c>
      <c r="R23" s="157">
        <f t="shared" si="89"/>
        <v>36</v>
      </c>
      <c r="S23" s="157" t="str">
        <f>IFERROR(VLOOKUP(MID(N23,Q23,R23-Q23),[5]skilldef!$C:$D,2,FALSE),"-") &amp; " / " &amp; IFERROR(VLOOKUP(MID(N23,O23,P23-O23),[5]skilldef!$A:$B,2,FALSE),"-")</f>
        <v>- / -</v>
      </c>
      <c r="T23" s="158" t="str">
        <f t="shared" si="102"/>
        <v>none</v>
      </c>
      <c r="U23" s="157" t="e">
        <f t="shared" si="103"/>
        <v>#VALUE!</v>
      </c>
      <c r="V23" s="157">
        <f t="shared" si="91"/>
        <v>4</v>
      </c>
      <c r="W23" s="157" t="e">
        <f t="shared" si="92"/>
        <v>#VALUE!</v>
      </c>
      <c r="X23" s="157" t="e">
        <f t="shared" si="93"/>
        <v>#VALUE!</v>
      </c>
      <c r="Y23" s="157" t="str">
        <f>IFERROR(VLOOKUP(MID(T23,W23,X23-W23),[5]skilldef!$C:$D,2,FALSE),"-") &amp; " / " &amp; IFERROR(VLOOKUP(MID(T23,U23,V23-U23),[5]skilldef!$A:$B,2,FALSE),"-")</f>
        <v>- / -</v>
      </c>
      <c r="Z23" s="159"/>
      <c r="AA23" s="160"/>
      <c r="AB23" s="159"/>
      <c r="AC23" s="161" t="s">
        <v>497</v>
      </c>
    </row>
    <row r="24" spans="1:29" s="145" customFormat="1" ht="21" customHeight="1" x14ac:dyDescent="0.15">
      <c r="A24" s="106">
        <v>39012535</v>
      </c>
      <c r="B24" s="158" t="str">
        <f t="shared" si="0"/>
        <v>[effect:enemy_message, val1:2.2, val2:1.2],[effect:panel_freeze, target:normal, color:block_green, count:-1]</v>
      </c>
      <c r="C24" s="159">
        <v>3</v>
      </c>
      <c r="D24" s="159" t="s">
        <v>253</v>
      </c>
      <c r="E24" s="157" t="s">
        <v>456</v>
      </c>
      <c r="F24" s="157" t="s">
        <v>454</v>
      </c>
      <c r="G24" s="157" t="str">
        <f t="shared" ref="G24" si="104">IFERROR(LEFT(B24,FIND("],",B24)),B24)</f>
        <v>[effect:enemy_message, val1:2.2, val2:1.2]</v>
      </c>
      <c r="H24" s="157">
        <f t="shared" si="99"/>
        <v>9</v>
      </c>
      <c r="I24" s="157">
        <f t="shared" ref="I24" si="105">IFERROR(FIND(",",G24),LEN(G24))</f>
        <v>22</v>
      </c>
      <c r="J24" s="157" t="e">
        <f t="shared" ref="J24" si="106">FIND("target:",G24)+7</f>
        <v>#VALUE!</v>
      </c>
      <c r="K24" s="157">
        <f t="shared" ref="K24" si="107">FIND(",",G24,I24+1)</f>
        <v>32</v>
      </c>
      <c r="L24" s="157" t="str">
        <f>IFERROR(VLOOKUP(MID(G24,J24,K24-J24),[5]skilldef!$C:$D,2,FALSE),"-") &amp; " / " &amp; IFERROR(VLOOKUP(MID(G24,H24,I24-H24),[5]skilldef!$A:$B,2,FALSE),"-")</f>
        <v>- / -</v>
      </c>
      <c r="M24" s="157" t="str">
        <f t="shared" si="100"/>
        <v>[effect:panel_freeze, target:normal, color:block_green, count:-1]</v>
      </c>
      <c r="N24" s="158" t="str">
        <f>IFERROR(LEFT(M24,FIND("],",M24)+#REF!),M24)</f>
        <v>[effect:panel_freeze, target:normal, color:block_green, count:-1]</v>
      </c>
      <c r="O24" s="157">
        <f t="shared" si="101"/>
        <v>9</v>
      </c>
      <c r="P24" s="157">
        <f t="shared" ref="P24" si="108">IFERROR(FIND(",",N24),LEN(N24))</f>
        <v>21</v>
      </c>
      <c r="Q24" s="157">
        <f t="shared" ref="Q24" si="109">FIND("target:",N24)+7</f>
        <v>30</v>
      </c>
      <c r="R24" s="157">
        <f t="shared" ref="R24" si="110">FIND(",",N24,P24+1)</f>
        <v>36</v>
      </c>
      <c r="S24" s="157" t="str">
        <f>IFERROR(VLOOKUP(MID(N24,Q24,R24-Q24),[5]skilldef!$C:$D,2,FALSE),"-") &amp; " / " &amp; IFERROR(VLOOKUP(MID(N24,O24,P24-O24),[5]skilldef!$A:$B,2,FALSE),"-")</f>
        <v>- / -</v>
      </c>
      <c r="T24" s="158" t="str">
        <f t="shared" si="102"/>
        <v>none</v>
      </c>
      <c r="U24" s="157" t="e">
        <f t="shared" si="103"/>
        <v>#VALUE!</v>
      </c>
      <c r="V24" s="157">
        <f t="shared" ref="V24" si="111">IFERROR(FIND(",",T24),LEN(T24))</f>
        <v>4</v>
      </c>
      <c r="W24" s="157" t="e">
        <f t="shared" ref="W24" si="112">FIND("target:",T24)+7</f>
        <v>#VALUE!</v>
      </c>
      <c r="X24" s="157" t="e">
        <f t="shared" ref="X24" si="113">FIND(",",T24,V24+1)</f>
        <v>#VALUE!</v>
      </c>
      <c r="Y24" s="157" t="str">
        <f>IFERROR(VLOOKUP(MID(T24,W24,X24-W24),[5]skilldef!$C:$D,2,FALSE),"-") &amp; " / " &amp; IFERROR(VLOOKUP(MID(T24,U24,V24-U24),[5]skilldef!$A:$B,2,FALSE),"-")</f>
        <v>- / -</v>
      </c>
      <c r="Z24" s="159"/>
      <c r="AA24" s="160"/>
      <c r="AB24" s="159"/>
      <c r="AC24" s="161" t="s">
        <v>497</v>
      </c>
    </row>
    <row r="25" spans="1:29" s="145" customFormat="1" ht="21" customHeight="1" x14ac:dyDescent="0.15">
      <c r="A25" s="106">
        <v>39012536</v>
      </c>
      <c r="B25" s="158" t="str">
        <f t="shared" si="0"/>
        <v>[effect:enemy_message, val1:2.2, val2:1.2],[effect:panel_freeze, target:normal, color:block_green, count:-1]</v>
      </c>
      <c r="C25" s="159">
        <v>3</v>
      </c>
      <c r="D25" s="159" t="s">
        <v>253</v>
      </c>
      <c r="E25" s="157" t="s">
        <v>477</v>
      </c>
      <c r="F25" s="157" t="s">
        <v>454</v>
      </c>
      <c r="G25" s="157" t="str">
        <f t="shared" ref="G25:G26" si="114">IFERROR(LEFT(B25,FIND("],",B25)),B25)</f>
        <v>[effect:enemy_message, val1:2.2, val2:1.2]</v>
      </c>
      <c r="H25" s="157">
        <f t="shared" si="99"/>
        <v>9</v>
      </c>
      <c r="I25" s="157">
        <f t="shared" ref="I25:I26" si="115">IFERROR(FIND(",",G25),LEN(G25))</f>
        <v>22</v>
      </c>
      <c r="J25" s="157" t="e">
        <f t="shared" ref="J25:J26" si="116">FIND("target:",G25)+7</f>
        <v>#VALUE!</v>
      </c>
      <c r="K25" s="157">
        <f t="shared" ref="K25:K26" si="117">FIND(",",G25,I25+1)</f>
        <v>32</v>
      </c>
      <c r="L25" s="157" t="str">
        <f>IFERROR(VLOOKUP(MID(G25,J25,K25-J25),[5]skilldef!$C:$D,2,FALSE),"-") &amp; " / " &amp; IFERROR(VLOOKUP(MID(G25,H25,I25-H25),[5]skilldef!$A:$B,2,FALSE),"-")</f>
        <v>- / -</v>
      </c>
      <c r="M25" s="157" t="str">
        <f t="shared" si="100"/>
        <v>[effect:panel_freeze, target:normal, color:block_green, count:-1]</v>
      </c>
      <c r="N25" s="158" t="str">
        <f>IFERROR(LEFT(M25,FIND("],",M25)+#REF!),M25)</f>
        <v>[effect:panel_freeze, target:normal, color:block_green, count:-1]</v>
      </c>
      <c r="O25" s="157">
        <f t="shared" si="101"/>
        <v>9</v>
      </c>
      <c r="P25" s="157">
        <f t="shared" ref="P25:P26" si="118">IFERROR(FIND(",",N25),LEN(N25))</f>
        <v>21</v>
      </c>
      <c r="Q25" s="157">
        <f t="shared" ref="Q25:Q26" si="119">FIND("target:",N25)+7</f>
        <v>30</v>
      </c>
      <c r="R25" s="157">
        <f t="shared" ref="R25:R26" si="120">FIND(",",N25,P25+1)</f>
        <v>36</v>
      </c>
      <c r="S25" s="157" t="str">
        <f>IFERROR(VLOOKUP(MID(N25,Q25,R25-Q25),[5]skilldef!$C:$D,2,FALSE),"-") &amp; " / " &amp; IFERROR(VLOOKUP(MID(N25,O25,P25-O25),[5]skilldef!$A:$B,2,FALSE),"-")</f>
        <v>- / -</v>
      </c>
      <c r="T25" s="158" t="str">
        <f t="shared" si="102"/>
        <v>none</v>
      </c>
      <c r="U25" s="157" t="e">
        <f t="shared" si="103"/>
        <v>#VALUE!</v>
      </c>
      <c r="V25" s="157">
        <f t="shared" ref="V25:V26" si="121">IFERROR(FIND(",",T25),LEN(T25))</f>
        <v>4</v>
      </c>
      <c r="W25" s="157" t="e">
        <f t="shared" ref="W25:W26" si="122">FIND("target:",T25)+7</f>
        <v>#VALUE!</v>
      </c>
      <c r="X25" s="157" t="e">
        <f t="shared" ref="X25:X26" si="123">FIND(",",T25,V25+1)</f>
        <v>#VALUE!</v>
      </c>
      <c r="Y25" s="157" t="str">
        <f>IFERROR(VLOOKUP(MID(T25,W25,X25-W25),[5]skilldef!$C:$D,2,FALSE),"-") &amp; " / " &amp; IFERROR(VLOOKUP(MID(T25,U25,V25-U25),[5]skilldef!$A:$B,2,FALSE),"-")</f>
        <v>- / -</v>
      </c>
      <c r="Z25" s="159"/>
      <c r="AA25" s="160"/>
      <c r="AB25" s="159"/>
      <c r="AC25" s="161" t="s">
        <v>497</v>
      </c>
    </row>
    <row r="26" spans="1:29" s="145" customFormat="1" ht="21" customHeight="1" x14ac:dyDescent="0.15">
      <c r="A26" s="106">
        <v>39012537</v>
      </c>
      <c r="B26" s="158" t="str">
        <f t="shared" si="0"/>
        <v>[effect:enemy_message, val1:3.0, val2:1.2],[effect:panel_freeze, target:normal, color:block_green, count:-1]</v>
      </c>
      <c r="C26" s="159">
        <v>3</v>
      </c>
      <c r="D26" s="159" t="s">
        <v>253</v>
      </c>
      <c r="E26" s="157" t="s">
        <v>476</v>
      </c>
      <c r="F26" s="157" t="s">
        <v>454</v>
      </c>
      <c r="G26" s="157" t="str">
        <f t="shared" si="114"/>
        <v>[effect:enemy_message, val1:3.0, val2:1.2]</v>
      </c>
      <c r="H26" s="157">
        <f t="shared" si="99"/>
        <v>9</v>
      </c>
      <c r="I26" s="157">
        <f t="shared" si="115"/>
        <v>22</v>
      </c>
      <c r="J26" s="157" t="e">
        <f t="shared" si="116"/>
        <v>#VALUE!</v>
      </c>
      <c r="K26" s="157">
        <f t="shared" si="117"/>
        <v>32</v>
      </c>
      <c r="L26" s="157" t="str">
        <f>IFERROR(VLOOKUP(MID(G26,J26,K26-J26),[5]skilldef!$C:$D,2,FALSE),"-") &amp; " / " &amp; IFERROR(VLOOKUP(MID(G26,H26,I26-H26),[5]skilldef!$A:$B,2,FALSE),"-")</f>
        <v>- / -</v>
      </c>
      <c r="M26" s="157" t="str">
        <f t="shared" si="100"/>
        <v>[effect:panel_freeze, target:normal, color:block_green, count:-1]</v>
      </c>
      <c r="N26" s="158" t="str">
        <f>IFERROR(LEFT(M26,FIND("],",M26)+#REF!),M26)</f>
        <v>[effect:panel_freeze, target:normal, color:block_green, count:-1]</v>
      </c>
      <c r="O26" s="157">
        <f t="shared" si="101"/>
        <v>9</v>
      </c>
      <c r="P26" s="157">
        <f t="shared" si="118"/>
        <v>21</v>
      </c>
      <c r="Q26" s="157">
        <f t="shared" si="119"/>
        <v>30</v>
      </c>
      <c r="R26" s="157">
        <f t="shared" si="120"/>
        <v>36</v>
      </c>
      <c r="S26" s="157" t="str">
        <f>IFERROR(VLOOKUP(MID(N26,Q26,R26-Q26),[5]skilldef!$C:$D,2,FALSE),"-") &amp; " / " &amp; IFERROR(VLOOKUP(MID(N26,O26,P26-O26),[5]skilldef!$A:$B,2,FALSE),"-")</f>
        <v>- / -</v>
      </c>
      <c r="T26" s="158" t="str">
        <f t="shared" si="102"/>
        <v>none</v>
      </c>
      <c r="U26" s="157" t="e">
        <f t="shared" si="103"/>
        <v>#VALUE!</v>
      </c>
      <c r="V26" s="157">
        <f t="shared" si="121"/>
        <v>4</v>
      </c>
      <c r="W26" s="157" t="e">
        <f t="shared" si="122"/>
        <v>#VALUE!</v>
      </c>
      <c r="X26" s="157" t="e">
        <f t="shared" si="123"/>
        <v>#VALUE!</v>
      </c>
      <c r="Y26" s="157" t="str">
        <f>IFERROR(VLOOKUP(MID(T26,W26,X26-W26),[5]skilldef!$C:$D,2,FALSE),"-") &amp; " / " &amp; IFERROR(VLOOKUP(MID(T26,U26,V26-U26),[5]skilldef!$A:$B,2,FALSE),"-")</f>
        <v>- / -</v>
      </c>
      <c r="Z26" s="159"/>
      <c r="AA26" s="160"/>
      <c r="AB26" s="159"/>
      <c r="AC26" s="161" t="s">
        <v>498</v>
      </c>
    </row>
    <row r="27" spans="1:29" s="145" customFormat="1" ht="21" customHeight="1" x14ac:dyDescent="0.15">
      <c r="A27" s="106">
        <v>39012538</v>
      </c>
      <c r="B27" s="158" t="str">
        <f t="shared" si="0"/>
        <v>[effect:enemy_message, val1:1.7, val2:1.2],[effect:panel_freeze, target:normal, color:block_green, count:-1]</v>
      </c>
      <c r="C27" s="159">
        <v>3</v>
      </c>
      <c r="D27" s="159" t="s">
        <v>253</v>
      </c>
      <c r="E27" s="157" t="s">
        <v>457</v>
      </c>
      <c r="F27" s="157" t="s">
        <v>454</v>
      </c>
      <c r="G27" s="157" t="str">
        <f t="shared" si="82"/>
        <v>[effect:enemy_message, val1:1.7, val2:1.2]</v>
      </c>
      <c r="H27" s="157">
        <f t="shared" si="99"/>
        <v>9</v>
      </c>
      <c r="I27" s="157">
        <f t="shared" si="83"/>
        <v>22</v>
      </c>
      <c r="J27" s="157" t="e">
        <f t="shared" si="84"/>
        <v>#VALUE!</v>
      </c>
      <c r="K27" s="157">
        <f t="shared" si="85"/>
        <v>32</v>
      </c>
      <c r="L27" s="157" t="str">
        <f>IFERROR(VLOOKUP(MID(G27,J27,K27-J27),[5]skilldef!$C:$D,2,FALSE),"-") &amp; " / " &amp; IFERROR(VLOOKUP(MID(G27,H27,I27-H27),[5]skilldef!$A:$B,2,FALSE),"-")</f>
        <v>- / -</v>
      </c>
      <c r="M27" s="157" t="str">
        <f t="shared" si="100"/>
        <v>[effect:panel_freeze, target:normal, color:block_green, count:-1]</v>
      </c>
      <c r="N27" s="158" t="str">
        <f>IFERROR(LEFT(M27,FIND("],",M27)+#REF!),M27)</f>
        <v>[effect:panel_freeze, target:normal, color:block_green, count:-1]</v>
      </c>
      <c r="O27" s="157">
        <f t="shared" si="101"/>
        <v>9</v>
      </c>
      <c r="P27" s="157">
        <f t="shared" si="87"/>
        <v>21</v>
      </c>
      <c r="Q27" s="157">
        <f t="shared" si="88"/>
        <v>30</v>
      </c>
      <c r="R27" s="157">
        <f t="shared" si="89"/>
        <v>36</v>
      </c>
      <c r="S27" s="157" t="str">
        <f>IFERROR(VLOOKUP(MID(N27,Q27,R27-Q27),[5]skilldef!$C:$D,2,FALSE),"-") &amp; " / " &amp; IFERROR(VLOOKUP(MID(N27,O27,P27-O27),[5]skilldef!$A:$B,2,FALSE),"-")</f>
        <v>- / -</v>
      </c>
      <c r="T27" s="158" t="str">
        <f t="shared" si="102"/>
        <v>none</v>
      </c>
      <c r="U27" s="157" t="e">
        <f t="shared" si="103"/>
        <v>#VALUE!</v>
      </c>
      <c r="V27" s="157">
        <f t="shared" si="91"/>
        <v>4</v>
      </c>
      <c r="W27" s="157" t="e">
        <f t="shared" si="92"/>
        <v>#VALUE!</v>
      </c>
      <c r="X27" s="157" t="e">
        <f t="shared" si="93"/>
        <v>#VALUE!</v>
      </c>
      <c r="Y27" s="157" t="str">
        <f>IFERROR(VLOOKUP(MID(T27,W27,X27-W27),[5]skilldef!$C:$D,2,FALSE),"-") &amp; " / " &amp; IFERROR(VLOOKUP(MID(T27,U27,V27-U27),[5]skilldef!$A:$B,2,FALSE),"-")</f>
        <v>- / -</v>
      </c>
      <c r="Z27" s="159"/>
      <c r="AA27" s="160"/>
      <c r="AB27" s="159"/>
      <c r="AC27" s="161" t="s">
        <v>497</v>
      </c>
    </row>
    <row r="28" spans="1:29" s="145" customFormat="1" ht="21" customHeight="1" x14ac:dyDescent="0.15">
      <c r="A28" s="106">
        <v>39012539</v>
      </c>
      <c r="B28" s="158" t="str">
        <f t="shared" si="0"/>
        <v>[effect:enemy_message, val1:1.6, val2:1.2],[effect:panel_freeze, target:normal, color:block_green, count:-1]</v>
      </c>
      <c r="C28" s="159">
        <v>3</v>
      </c>
      <c r="D28" s="159" t="s">
        <v>253</v>
      </c>
      <c r="E28" s="157" t="s">
        <v>458</v>
      </c>
      <c r="F28" s="157" t="s">
        <v>454</v>
      </c>
      <c r="G28" s="157" t="str">
        <f t="shared" ref="G28" si="124">IFERROR(LEFT(B28,FIND("],",B28)),B28)</f>
        <v>[effect:enemy_message, val1:1.6, val2:1.2]</v>
      </c>
      <c r="H28" s="157">
        <f t="shared" si="99"/>
        <v>9</v>
      </c>
      <c r="I28" s="157">
        <f t="shared" ref="I28" si="125">IFERROR(FIND(",",G28),LEN(G28))</f>
        <v>22</v>
      </c>
      <c r="J28" s="157" t="e">
        <f t="shared" ref="J28" si="126">FIND("target:",G28)+7</f>
        <v>#VALUE!</v>
      </c>
      <c r="K28" s="157">
        <f t="shared" ref="K28" si="127">FIND(",",G28,I28+1)</f>
        <v>32</v>
      </c>
      <c r="L28" s="157" t="str">
        <f>IFERROR(VLOOKUP(MID(G28,J28,K28-J28),[5]skilldef!$C:$D,2,FALSE),"-") &amp; " / " &amp; IFERROR(VLOOKUP(MID(G28,H28,I28-H28),[5]skilldef!$A:$B,2,FALSE),"-")</f>
        <v>- / -</v>
      </c>
      <c r="M28" s="157" t="str">
        <f t="shared" si="100"/>
        <v>[effect:panel_freeze, target:normal, color:block_green, count:-1]</v>
      </c>
      <c r="N28" s="158" t="str">
        <f>IFERROR(LEFT(M28,FIND("],",M28)+#REF!),M28)</f>
        <v>[effect:panel_freeze, target:normal, color:block_green, count:-1]</v>
      </c>
      <c r="O28" s="157">
        <f t="shared" si="101"/>
        <v>9</v>
      </c>
      <c r="P28" s="157">
        <f t="shared" ref="P28" si="128">IFERROR(FIND(",",N28),LEN(N28))</f>
        <v>21</v>
      </c>
      <c r="Q28" s="157">
        <f t="shared" ref="Q28" si="129">FIND("target:",N28)+7</f>
        <v>30</v>
      </c>
      <c r="R28" s="157">
        <f t="shared" ref="R28" si="130">FIND(",",N28,P28+1)</f>
        <v>36</v>
      </c>
      <c r="S28" s="157" t="str">
        <f>IFERROR(VLOOKUP(MID(N28,Q28,R28-Q28),[5]skilldef!$C:$D,2,FALSE),"-") &amp; " / " &amp; IFERROR(VLOOKUP(MID(N28,O28,P28-O28),[5]skilldef!$A:$B,2,FALSE),"-")</f>
        <v>- / -</v>
      </c>
      <c r="T28" s="158" t="str">
        <f t="shared" si="102"/>
        <v>none</v>
      </c>
      <c r="U28" s="157" t="e">
        <f t="shared" si="103"/>
        <v>#VALUE!</v>
      </c>
      <c r="V28" s="157">
        <f t="shared" ref="V28" si="131">IFERROR(FIND(",",T28),LEN(T28))</f>
        <v>4</v>
      </c>
      <c r="W28" s="157" t="e">
        <f t="shared" ref="W28" si="132">FIND("target:",T28)+7</f>
        <v>#VALUE!</v>
      </c>
      <c r="X28" s="157" t="e">
        <f t="shared" ref="X28" si="133">FIND(",",T28,V28+1)</f>
        <v>#VALUE!</v>
      </c>
      <c r="Y28" s="157" t="str">
        <f>IFERROR(VLOOKUP(MID(T28,W28,X28-W28),[5]skilldef!$C:$D,2,FALSE),"-") &amp; " / " &amp; IFERROR(VLOOKUP(MID(T28,U28,V28-U28),[5]skilldef!$A:$B,2,FALSE),"-")</f>
        <v>- / -</v>
      </c>
      <c r="Z28" s="159"/>
      <c r="AA28" s="160"/>
      <c r="AB28" s="159"/>
      <c r="AC28" s="161" t="s">
        <v>497</v>
      </c>
    </row>
    <row r="29" spans="1:29" s="162" customFormat="1" ht="21" customHeight="1" x14ac:dyDescent="0.15">
      <c r="A29" s="106">
        <v>39012530</v>
      </c>
      <c r="B29" s="163" t="str">
        <f t="shared" si="0"/>
        <v>[effect:enemy_message, val1:1.6, val2:1.2],[effect:panel_freeze, target:normal, color:block_green, count:-1]</v>
      </c>
      <c r="C29" s="164">
        <v>3</v>
      </c>
      <c r="D29" s="164" t="s">
        <v>195</v>
      </c>
      <c r="E29" s="156" t="s">
        <v>464</v>
      </c>
      <c r="F29" s="156" t="s">
        <v>438</v>
      </c>
      <c r="G29" s="156" t="str">
        <f t="shared" ref="G29" si="134">IFERROR(LEFT(B29,FIND("],",B29)),B29)</f>
        <v>[effect:enemy_message, val1:1.6, val2:1.2]</v>
      </c>
      <c r="H29" s="156">
        <f t="shared" si="99"/>
        <v>9</v>
      </c>
      <c r="I29" s="156">
        <f t="shared" ref="I29" si="135">IFERROR(FIND(",",G29),LEN(G29))</f>
        <v>22</v>
      </c>
      <c r="J29" s="156" t="e">
        <f t="shared" ref="J29" si="136">FIND("target:",G29)+7</f>
        <v>#VALUE!</v>
      </c>
      <c r="K29" s="156">
        <f t="shared" ref="K29" si="137">FIND(",",G29,I29+1)</f>
        <v>32</v>
      </c>
      <c r="L29" s="156" t="str">
        <f>IFERROR(VLOOKUP(MID(G29,J29,K29-J29),[5]skilldef!$C:$D,2,FALSE),"-") &amp; " / " &amp; IFERROR(VLOOKUP(MID(G29,H29,I29-H29),[5]skilldef!$A:$B,2,FALSE),"-")</f>
        <v>- / -</v>
      </c>
      <c r="M29" s="156" t="str">
        <f t="shared" si="100"/>
        <v>[effect:panel_freeze, target:normal, color:block_green, count:-1]</v>
      </c>
      <c r="N29" s="163" t="str">
        <f>IFERROR(LEFT(M29,FIND("],",M29)+#REF!),M29)</f>
        <v>[effect:panel_freeze, target:normal, color:block_green, count:-1]</v>
      </c>
      <c r="O29" s="156">
        <f t="shared" si="101"/>
        <v>9</v>
      </c>
      <c r="P29" s="156">
        <f t="shared" ref="P29" si="138">IFERROR(FIND(",",N29),LEN(N29))</f>
        <v>21</v>
      </c>
      <c r="Q29" s="156">
        <f t="shared" ref="Q29" si="139">FIND("target:",N29)+7</f>
        <v>30</v>
      </c>
      <c r="R29" s="156">
        <f t="shared" ref="R29" si="140">FIND(",",N29,P29+1)</f>
        <v>36</v>
      </c>
      <c r="S29" s="156" t="str">
        <f>IFERROR(VLOOKUP(MID(N29,Q29,R29-Q29),[5]skilldef!$C:$D,2,FALSE),"-") &amp; " / " &amp; IFERROR(VLOOKUP(MID(N29,O29,P29-O29),[5]skilldef!$A:$B,2,FALSE),"-")</f>
        <v>- / -</v>
      </c>
      <c r="T29" s="163" t="str">
        <f t="shared" si="102"/>
        <v>none</v>
      </c>
      <c r="U29" s="156" t="e">
        <f t="shared" si="103"/>
        <v>#VALUE!</v>
      </c>
      <c r="V29" s="156">
        <f t="shared" ref="V29" si="141">IFERROR(FIND(",",T29),LEN(T29))</f>
        <v>4</v>
      </c>
      <c r="W29" s="156" t="e">
        <f t="shared" ref="W29" si="142">FIND("target:",T29)+7</f>
        <v>#VALUE!</v>
      </c>
      <c r="X29" s="156" t="e">
        <f t="shared" ref="X29" si="143">FIND(",",T29,V29+1)</f>
        <v>#VALUE!</v>
      </c>
      <c r="Y29" s="156" t="str">
        <f>IFERROR(VLOOKUP(MID(T29,W29,X29-W29),[5]skilldef!$C:$D,2,FALSE),"-") &amp; " / " &amp; IFERROR(VLOOKUP(MID(T29,U29,V29-U29),[5]skilldef!$A:$B,2,FALSE),"-")</f>
        <v>- / -</v>
      </c>
      <c r="Z29" s="164"/>
      <c r="AA29" s="165"/>
      <c r="AB29" s="164"/>
      <c r="AC29" s="166" t="s">
        <v>497</v>
      </c>
    </row>
    <row r="30" spans="1:29" s="167" customFormat="1" ht="21" customHeight="1" x14ac:dyDescent="0.15">
      <c r="A30" s="106">
        <v>39012532</v>
      </c>
      <c r="B30" s="106" t="str">
        <f t="shared" si="0"/>
        <v>[effect:enemy_message, val1:1.2, val2:2.0],[effect:degrade_unit, target:unit_all, turn:2, status:heal, val:0.5, calc:mul, animation:degrade_unit_all_heal]</v>
      </c>
      <c r="C30" s="107">
        <v>3</v>
      </c>
      <c r="D30" s="107" t="s">
        <v>253</v>
      </c>
      <c r="E30" s="105" t="s">
        <v>427</v>
      </c>
      <c r="F30" s="105" t="s">
        <v>365</v>
      </c>
      <c r="G30" s="105" t="str">
        <f t="shared" ref="G30:G36" si="144">IFERROR(LEFT(B30,FIND("],",B30)),B30)</f>
        <v>[effect:enemy_message, val1:1.2, val2:2.0]</v>
      </c>
      <c r="H30" s="105">
        <f t="shared" ref="H30:H44" si="145">FIND("effect:",G30)+7</f>
        <v>9</v>
      </c>
      <c r="I30" s="105">
        <f t="shared" ref="I30:I36" si="146">IFERROR(FIND(",",G30),LEN(G30))</f>
        <v>22</v>
      </c>
      <c r="J30" s="105" t="e">
        <f t="shared" ref="J30:J36" si="147">FIND("target:",G30)+7</f>
        <v>#VALUE!</v>
      </c>
      <c r="K30" s="105">
        <f t="shared" ref="K30:K36" si="148">FIND(",",G30,I30+1)</f>
        <v>32</v>
      </c>
      <c r="L30" s="105" t="str">
        <f>IFERROR(VLOOKUP(MID(G30,J30,K30-J30),[5]skilldef!$C:$D,2,FALSE),"-") &amp; " / " &amp; IFERROR(VLOOKUP(MID(G30,H30,I30-H30),[5]skilldef!$A:$B,2,FALSE),"-")</f>
        <v>- / -</v>
      </c>
      <c r="M30" s="105" t="str">
        <f t="shared" ref="M30:M36" si="149">IFERROR(RIGHT(B30,LEN(B30)-FIND("],",B30)-1),"none")</f>
        <v>[effect:degrade_unit, target:unit_all, turn:2, status:heal, val:0.5, calc:mul, animation:degrade_unit_all_heal]</v>
      </c>
      <c r="N30" s="106" t="str">
        <f>IFERROR(LEFT(M30,FIND("],",M30)+#REF!),M30)</f>
        <v>[effect:degrade_unit, target:unit_all, turn:2, status:heal, val:0.5, calc:mul, animation:degrade_unit_all_heal]</v>
      </c>
      <c r="O30" s="105">
        <f t="shared" ref="O30:O44" si="150">FIND("effect:",N30)+7</f>
        <v>9</v>
      </c>
      <c r="P30" s="105">
        <f t="shared" ref="P30:P36" si="151">IFERROR(FIND(",",N30),LEN(N30))</f>
        <v>21</v>
      </c>
      <c r="Q30" s="105">
        <f t="shared" ref="Q30:Q36" si="152">FIND("target:",N30)+7</f>
        <v>30</v>
      </c>
      <c r="R30" s="105">
        <f t="shared" ref="R30:R36" si="153">FIND(",",N30,P30+1)</f>
        <v>38</v>
      </c>
      <c r="S30" s="105" t="str">
        <f>IFERROR(VLOOKUP(MID(N30,Q30,R30-Q30),[5]skilldef!$C:$D,2,FALSE),"-") &amp; " / " &amp; IFERROR(VLOOKUP(MID(N30,O30,P30-O30),[5]skilldef!$A:$B,2,FALSE),"-")</f>
        <v>味方全体に / ステータスDOWN</v>
      </c>
      <c r="T30" s="106" t="str">
        <f t="shared" ref="T30:T36" si="154">IFERROR(RIGHT(M30,LEN(M30)-FIND("],",M30)-1),"none")</f>
        <v>none</v>
      </c>
      <c r="U30" s="105" t="e">
        <f t="shared" ref="U30:U44" si="155">FIND("effect:",T30)+7</f>
        <v>#VALUE!</v>
      </c>
      <c r="V30" s="105">
        <f t="shared" ref="V30:V36" si="156">IFERROR(FIND(",",T30),LEN(T30))</f>
        <v>4</v>
      </c>
      <c r="W30" s="105" t="e">
        <f t="shared" ref="W30:W36" si="157">FIND("target:",T30)+7</f>
        <v>#VALUE!</v>
      </c>
      <c r="X30" s="105" t="e">
        <f t="shared" ref="X30:X36" si="158">FIND(",",T30,V30+1)</f>
        <v>#VALUE!</v>
      </c>
      <c r="Y30" s="105" t="str">
        <f>IFERROR(VLOOKUP(MID(T30,W30,X30-W30),[5]skilldef!$C:$D,2,FALSE),"-") &amp; " / " &amp; IFERROR(VLOOKUP(MID(T30,U30,V30-U30),[5]skilldef!$A:$B,2,FALSE),"-")</f>
        <v>- / -</v>
      </c>
      <c r="Z30" s="107"/>
      <c r="AA30" s="108"/>
      <c r="AB30" s="107"/>
      <c r="AC30" s="126" t="s">
        <v>298</v>
      </c>
    </row>
    <row r="31" spans="1:29" ht="21" customHeight="1" x14ac:dyDescent="0.15">
      <c r="A31" s="106">
        <v>39012531</v>
      </c>
      <c r="B31" s="106" t="str">
        <f t="shared" si="0"/>
        <v>[effect:enemy_message, val1:1.2, val2:1.2],[effect:spread, val:0.4]</v>
      </c>
      <c r="C31" s="107">
        <v>3</v>
      </c>
      <c r="D31" s="107" t="s">
        <v>253</v>
      </c>
      <c r="E31" s="105" t="s">
        <v>429</v>
      </c>
      <c r="F31" s="105" t="s">
        <v>321</v>
      </c>
      <c r="G31" s="105" t="str">
        <f t="shared" si="144"/>
        <v>[effect:enemy_message, val1:1.2, val2:1.2]</v>
      </c>
      <c r="H31" s="105">
        <f t="shared" si="145"/>
        <v>9</v>
      </c>
      <c r="I31" s="105">
        <f t="shared" si="146"/>
        <v>22</v>
      </c>
      <c r="J31" s="105" t="e">
        <f t="shared" si="147"/>
        <v>#VALUE!</v>
      </c>
      <c r="K31" s="105">
        <f t="shared" si="148"/>
        <v>32</v>
      </c>
      <c r="L31" s="105" t="str">
        <f>IFERROR(VLOOKUP(MID(G31,J31,K31-J31),[5]skilldef!$C:$D,2,FALSE),"-") &amp; " / " &amp; IFERROR(VLOOKUP(MID(G31,H31,I31-H31),[5]skilldef!$A:$B,2,FALSE),"-")</f>
        <v>- / -</v>
      </c>
      <c r="M31" s="105" t="str">
        <f t="shared" si="149"/>
        <v>[effect:spread, val:0.4]</v>
      </c>
      <c r="N31" s="106" t="str">
        <f>IFERROR(LEFT(M31,FIND("],",M31)+#REF!),M31)</f>
        <v>[effect:spread, val:0.4]</v>
      </c>
      <c r="O31" s="105">
        <f t="shared" si="150"/>
        <v>9</v>
      </c>
      <c r="P31" s="105">
        <f t="shared" si="151"/>
        <v>15</v>
      </c>
      <c r="Q31" s="105" t="e">
        <f t="shared" si="152"/>
        <v>#VALUE!</v>
      </c>
      <c r="R31" s="105" t="e">
        <f t="shared" si="153"/>
        <v>#VALUE!</v>
      </c>
      <c r="S31" s="105" t="str">
        <f>IFERROR(VLOOKUP(MID(N31,Q31,R31-Q31),[5]skilldef!$C:$D,2,FALSE),"-") &amp; " / " &amp; IFERROR(VLOOKUP(MID(N31,O31,P31-O31),[5]skilldef!$A:$B,2,FALSE),"-")</f>
        <v>- / 全体攻撃</v>
      </c>
      <c r="T31" s="106" t="str">
        <f t="shared" si="154"/>
        <v>none</v>
      </c>
      <c r="U31" s="105" t="e">
        <f t="shared" si="155"/>
        <v>#VALUE!</v>
      </c>
      <c r="V31" s="105">
        <f t="shared" si="156"/>
        <v>4</v>
      </c>
      <c r="W31" s="105" t="e">
        <f t="shared" si="157"/>
        <v>#VALUE!</v>
      </c>
      <c r="X31" s="105" t="e">
        <f t="shared" si="158"/>
        <v>#VALUE!</v>
      </c>
      <c r="Y31" s="105" t="str">
        <f>IFERROR(VLOOKUP(MID(T31,W31,X31-W31),[5]skilldef!$C:$D,2,FALSE),"-") &amp; " / " &amp; IFERROR(VLOOKUP(MID(T31,U31,V31-U31),[5]skilldef!$A:$B,2,FALSE),"-")</f>
        <v>- / -</v>
      </c>
      <c r="Z31" s="107"/>
      <c r="AA31" s="108"/>
      <c r="AB31" s="107"/>
      <c r="AC31" s="126" t="s">
        <v>331</v>
      </c>
    </row>
    <row r="32" spans="1:29" ht="21" customHeight="1" x14ac:dyDescent="0.15">
      <c r="A32" s="109">
        <v>39012540</v>
      </c>
      <c r="B32" s="109" t="str">
        <f t="shared" si="0"/>
        <v>[effect:enemy_message, val1:1.2, val2:2.0],[effect:hungup, target:unit_one, turn:2, rate:1, animation:hungup01],[effect:hungup, target:unit_one, turn:2, rate:1, animation:hungup01]</v>
      </c>
      <c r="C32" s="110">
        <v>3</v>
      </c>
      <c r="D32" s="110" t="s">
        <v>253</v>
      </c>
      <c r="E32" s="104" t="s">
        <v>430</v>
      </c>
      <c r="F32" s="104" t="s">
        <v>501</v>
      </c>
      <c r="G32" s="104" t="str">
        <f t="shared" si="144"/>
        <v>[effect:enemy_message, val1:1.2, val2:2.0]</v>
      </c>
      <c r="H32" s="104">
        <f t="shared" si="145"/>
        <v>9</v>
      </c>
      <c r="I32" s="104">
        <f t="shared" si="146"/>
        <v>22</v>
      </c>
      <c r="J32" s="104" t="e">
        <f t="shared" si="147"/>
        <v>#VALUE!</v>
      </c>
      <c r="K32" s="104">
        <f t="shared" si="148"/>
        <v>32</v>
      </c>
      <c r="L32" s="104" t="str">
        <f>IFERROR(VLOOKUP(MID(G32,J32,K32-J32),[5]skilldef!$C:$D,2,FALSE),"-") &amp; " / " &amp; IFERROR(VLOOKUP(MID(G32,H32,I32-H32),[5]skilldef!$A:$B,2,FALSE),"-")</f>
        <v>- / -</v>
      </c>
      <c r="M32" s="104" t="str">
        <f t="shared" si="149"/>
        <v>[effect:hungup, target:unit_one, turn:2, rate:1, animation:hungup01],[effect:hungup, target:unit_one, turn:2, rate:1, animation:hungup01]</v>
      </c>
      <c r="N32" s="109" t="str">
        <f>IFERROR(LEFT(M32,FIND("],",M32)+S45),M32)</f>
        <v>[effect:hungup, target:unit_one, turn:2, rate:1, animation:hungup01],[effect:hungup, target:unit_one, turn:2, rate:1, animation:hungup01]</v>
      </c>
      <c r="O32" s="104">
        <f t="shared" si="150"/>
        <v>9</v>
      </c>
      <c r="P32" s="104">
        <f t="shared" si="151"/>
        <v>15</v>
      </c>
      <c r="Q32" s="104">
        <f t="shared" si="152"/>
        <v>24</v>
      </c>
      <c r="R32" s="104">
        <f t="shared" si="153"/>
        <v>32</v>
      </c>
      <c r="S32" s="104" t="str">
        <f>IFERROR(VLOOKUP(MID(N32,Q32,R32-Q32),[5]skilldef!$C:$D,2,FALSE),"-") &amp; " / " &amp; IFERROR(VLOOKUP(MID(N32,O32,P32-O32),[5]skilldef!$A:$B,2,FALSE),"-")</f>
        <v>味方単体に / ハングアップ</v>
      </c>
      <c r="T32" s="109" t="str">
        <f t="shared" si="154"/>
        <v>[effect:hungup, target:unit_one, turn:2, rate:1, animation:hungup01]</v>
      </c>
      <c r="U32" s="104">
        <f t="shared" si="155"/>
        <v>9</v>
      </c>
      <c r="V32" s="104">
        <f t="shared" si="156"/>
        <v>15</v>
      </c>
      <c r="W32" s="104">
        <f t="shared" si="157"/>
        <v>24</v>
      </c>
      <c r="X32" s="104">
        <f t="shared" si="158"/>
        <v>32</v>
      </c>
      <c r="Y32" s="104" t="str">
        <f>IFERROR(VLOOKUP(MID(T32,W32,X32-W32),[5]skilldef!$C:$D,2,FALSE),"-") &amp; " / " &amp; IFERROR(VLOOKUP(MID(T32,U32,V32-U32),[5]skilldef!$A:$B,2,FALSE),"-")</f>
        <v>味方単体に / ハングアップ</v>
      </c>
      <c r="Z32" s="110"/>
      <c r="AA32" s="111"/>
      <c r="AB32" s="110"/>
      <c r="AC32" s="125" t="s">
        <v>471</v>
      </c>
    </row>
    <row r="33" spans="1:30" ht="21" customHeight="1" x14ac:dyDescent="0.15">
      <c r="A33" s="109">
        <v>39012541</v>
      </c>
      <c r="B33" s="109" t="str">
        <f t="shared" si="0"/>
        <v>[effect:enemy_message, val1:1.2, val2:1.2],[effect:spread, val:0.5]</v>
      </c>
      <c r="C33" s="110">
        <v>3</v>
      </c>
      <c r="D33" s="110" t="s">
        <v>253</v>
      </c>
      <c r="E33" s="130" t="s">
        <v>428</v>
      </c>
      <c r="F33" s="104" t="s">
        <v>321</v>
      </c>
      <c r="G33" s="104" t="str">
        <f t="shared" si="144"/>
        <v>[effect:enemy_message, val1:1.2, val2:1.2]</v>
      </c>
      <c r="H33" s="104">
        <f t="shared" si="145"/>
        <v>9</v>
      </c>
      <c r="I33" s="104">
        <f t="shared" si="146"/>
        <v>22</v>
      </c>
      <c r="J33" s="104" t="e">
        <f t="shared" si="147"/>
        <v>#VALUE!</v>
      </c>
      <c r="K33" s="104">
        <f t="shared" si="148"/>
        <v>32</v>
      </c>
      <c r="L33" s="104" t="str">
        <f>IFERROR(VLOOKUP(MID(G33,J33,K33-J33),[5]skilldef!$C:$D,2,FALSE),"-") &amp; " / " &amp; IFERROR(VLOOKUP(MID(G33,H33,I33-H33),[5]skilldef!$A:$B,2,FALSE),"-")</f>
        <v>- / -</v>
      </c>
      <c r="M33" s="104" t="str">
        <f t="shared" si="149"/>
        <v>[effect:spread, val:0.5]</v>
      </c>
      <c r="N33" s="109" t="str">
        <f>IFERROR(LEFT(M33,FIND("],",M33)+S46),M33)</f>
        <v>[effect:spread, val:0.5]</v>
      </c>
      <c r="O33" s="104">
        <f t="shared" si="150"/>
        <v>9</v>
      </c>
      <c r="P33" s="104">
        <f t="shared" si="151"/>
        <v>15</v>
      </c>
      <c r="Q33" s="104" t="e">
        <f t="shared" si="152"/>
        <v>#VALUE!</v>
      </c>
      <c r="R33" s="104" t="e">
        <f t="shared" si="153"/>
        <v>#VALUE!</v>
      </c>
      <c r="S33" s="104" t="str">
        <f>IFERROR(VLOOKUP(MID(N33,Q33,R33-Q33),[5]skilldef!$C:$D,2,FALSE),"-") &amp; " / " &amp; IFERROR(VLOOKUP(MID(N33,O33,P33-O33),[5]skilldef!$A:$B,2,FALSE),"-")</f>
        <v>- / 全体攻撃</v>
      </c>
      <c r="T33" s="109" t="str">
        <f t="shared" si="154"/>
        <v>none</v>
      </c>
      <c r="U33" s="104" t="e">
        <f t="shared" si="155"/>
        <v>#VALUE!</v>
      </c>
      <c r="V33" s="104">
        <f t="shared" si="156"/>
        <v>4</v>
      </c>
      <c r="W33" s="104" t="e">
        <f t="shared" si="157"/>
        <v>#VALUE!</v>
      </c>
      <c r="X33" s="104" t="e">
        <f t="shared" si="158"/>
        <v>#VALUE!</v>
      </c>
      <c r="Y33" s="104" t="str">
        <f>IFERROR(VLOOKUP(MID(T33,W33,X33-W33),[5]skilldef!$C:$D,2,FALSE),"-") &amp; " / " &amp; IFERROR(VLOOKUP(MID(T33,U33,V33-U33),[5]skilldef!$A:$B,2,FALSE),"-")</f>
        <v>- / -</v>
      </c>
      <c r="Z33" s="110"/>
      <c r="AA33" s="111"/>
      <c r="AB33" s="110"/>
      <c r="AC33" s="125" t="s">
        <v>333</v>
      </c>
    </row>
    <row r="34" spans="1:30" ht="21" customHeight="1" x14ac:dyDescent="0.15">
      <c r="A34" s="109">
        <v>39012542</v>
      </c>
      <c r="B34" s="109" t="str">
        <f t="shared" si="0"/>
        <v>[effect:enemy_message, val1:1.4, val2:2.0],[effect:attack_break, target:unit_all, turn:2, val:0.3, calc:mul, animation:attack_break01]</v>
      </c>
      <c r="C34" s="110">
        <v>3</v>
      </c>
      <c r="D34" s="110" t="s">
        <v>253</v>
      </c>
      <c r="E34" s="130" t="s">
        <v>431</v>
      </c>
      <c r="F34" s="104" t="s">
        <v>366</v>
      </c>
      <c r="G34" s="104" t="str">
        <f t="shared" si="144"/>
        <v>[effect:enemy_message, val1:1.4, val2:2.0]</v>
      </c>
      <c r="H34" s="104">
        <f t="shared" si="145"/>
        <v>9</v>
      </c>
      <c r="I34" s="104">
        <f t="shared" si="146"/>
        <v>22</v>
      </c>
      <c r="J34" s="104" t="e">
        <f t="shared" si="147"/>
        <v>#VALUE!</v>
      </c>
      <c r="K34" s="104">
        <f t="shared" si="148"/>
        <v>32</v>
      </c>
      <c r="L34" s="104" t="str">
        <f>IFERROR(VLOOKUP(MID(G34,J34,K34-J34),[5]skilldef!$C:$D,2,FALSE),"-") &amp; " / " &amp; IFERROR(VLOOKUP(MID(G34,H34,I34-H34),[5]skilldef!$A:$B,2,FALSE),"-")</f>
        <v>- / -</v>
      </c>
      <c r="M34" s="104" t="str">
        <f t="shared" si="149"/>
        <v>[effect:attack_break, target:unit_all, turn:2, val:0.3, calc:mul, animation:attack_break01]</v>
      </c>
      <c r="N34" s="109" t="str">
        <f>IFERROR(LEFT(M34,FIND("],",M34)+S47),M34)</f>
        <v>[effect:attack_break, target:unit_all, turn:2, val:0.3, calc:mul, animation:attack_break01]</v>
      </c>
      <c r="O34" s="104">
        <f t="shared" si="150"/>
        <v>9</v>
      </c>
      <c r="P34" s="104">
        <f t="shared" si="151"/>
        <v>21</v>
      </c>
      <c r="Q34" s="104">
        <f t="shared" si="152"/>
        <v>30</v>
      </c>
      <c r="R34" s="104">
        <f t="shared" si="153"/>
        <v>38</v>
      </c>
      <c r="S34" s="104" t="str">
        <f>IFERROR(VLOOKUP(MID(N34,Q34,R34-Q34),[5]skilldef!$C:$D,2,FALSE),"-") &amp; " / " &amp; IFERROR(VLOOKUP(MID(N34,O34,P34-O34),[5]skilldef!$A:$B,2,FALSE),"-")</f>
        <v>味方全体に / -</v>
      </c>
      <c r="T34" s="109" t="str">
        <f t="shared" si="154"/>
        <v>none</v>
      </c>
      <c r="U34" s="104" t="e">
        <f t="shared" si="155"/>
        <v>#VALUE!</v>
      </c>
      <c r="V34" s="104">
        <f t="shared" si="156"/>
        <v>4</v>
      </c>
      <c r="W34" s="104" t="e">
        <f t="shared" si="157"/>
        <v>#VALUE!</v>
      </c>
      <c r="X34" s="104" t="e">
        <f t="shared" si="158"/>
        <v>#VALUE!</v>
      </c>
      <c r="Y34" s="104" t="str">
        <f>IFERROR(VLOOKUP(MID(T34,W34,X34-W34),[5]skilldef!$C:$D,2,FALSE),"-") &amp; " / " &amp; IFERROR(VLOOKUP(MID(T34,U34,V34-U34),[5]skilldef!$A:$B,2,FALSE),"-")</f>
        <v>- / -</v>
      </c>
      <c r="Z34" s="110"/>
      <c r="AA34" s="111"/>
      <c r="AB34" s="110"/>
      <c r="AC34" s="125" t="s">
        <v>472</v>
      </c>
    </row>
    <row r="35" spans="1:30" ht="21" customHeight="1" x14ac:dyDescent="0.15">
      <c r="A35" s="106">
        <v>39012551</v>
      </c>
      <c r="B35" s="106" t="str">
        <f t="shared" si="0"/>
        <v>[effect:enemy_message, val1:1.5, val2:1.8],[effect:crash_condition, target:unit_all, turn:3, val:3, animation:enemy_crash_extend]</v>
      </c>
      <c r="C35" s="107">
        <v>3</v>
      </c>
      <c r="D35" s="107" t="s">
        <v>195</v>
      </c>
      <c r="E35" s="105" t="s">
        <v>469</v>
      </c>
      <c r="F35" s="105" t="s">
        <v>367</v>
      </c>
      <c r="G35" s="105" t="str">
        <f t="shared" ref="G35" si="159">IFERROR(LEFT(B35,FIND("],",B35)),B35)</f>
        <v>[effect:enemy_message, val1:1.5, val2:1.8]</v>
      </c>
      <c r="H35" s="105">
        <f t="shared" ref="H35" si="160">FIND("effect:",G35)+7</f>
        <v>9</v>
      </c>
      <c r="I35" s="105">
        <f t="shared" ref="I35" si="161">IFERROR(FIND(",",G35),LEN(G35))</f>
        <v>22</v>
      </c>
      <c r="J35" s="105" t="e">
        <f t="shared" ref="J35" si="162">FIND("target:",G35)+7</f>
        <v>#VALUE!</v>
      </c>
      <c r="K35" s="105">
        <f t="shared" ref="K35" si="163">FIND(",",G35,I35+1)</f>
        <v>32</v>
      </c>
      <c r="L35" s="105" t="str">
        <f>IFERROR(VLOOKUP(MID(G35,J35,K35-J35),[5]skilldef!$C:$D,2,FALSE),"-") &amp; " / " &amp; IFERROR(VLOOKUP(MID(G35,H35,I35-H35),[5]skilldef!$A:$B,2,FALSE),"-")</f>
        <v>- / -</v>
      </c>
      <c r="M35" s="105" t="str">
        <f t="shared" ref="M35" si="164">IFERROR(RIGHT(B35,LEN(B35)-FIND("],",B35)-1),"none")</f>
        <v>[effect:crash_condition, target:unit_all, turn:3, val:3, animation:enemy_crash_extend]</v>
      </c>
      <c r="N35" s="106" t="str">
        <f>IFERROR(LEFT(M35,FIND("],",M35)+S49),M35)</f>
        <v>[effect:crash_condition, target:unit_all, turn:3, val:3, animation:enemy_crash_extend]</v>
      </c>
      <c r="O35" s="105">
        <f t="shared" ref="O35" si="165">FIND("effect:",N35)+7</f>
        <v>9</v>
      </c>
      <c r="P35" s="105">
        <f t="shared" ref="P35" si="166">IFERROR(FIND(",",N35),LEN(N35))</f>
        <v>24</v>
      </c>
      <c r="Q35" s="105">
        <f t="shared" ref="Q35" si="167">FIND("target:",N35)+7</f>
        <v>33</v>
      </c>
      <c r="R35" s="105">
        <f t="shared" ref="R35" si="168">FIND(",",N35,P35+1)</f>
        <v>41</v>
      </c>
      <c r="S35" s="105" t="str">
        <f>IFERROR(VLOOKUP(MID(N35,Q35,R35-Q35),[5]skilldef!$C:$D,2,FALSE),"-") &amp; " / " &amp; IFERROR(VLOOKUP(MID(N35,O35,P35-O35),[5]skilldef!$A:$B,2,FALSE),"-")</f>
        <v>味方全体に / -</v>
      </c>
      <c r="T35" s="106" t="str">
        <f t="shared" ref="T35" si="169">IFERROR(RIGHT(M35,LEN(M35)-FIND("],",M35)-1),"none")</f>
        <v>none</v>
      </c>
      <c r="U35" s="105" t="e">
        <f t="shared" ref="U35" si="170">FIND("effect:",T35)+7</f>
        <v>#VALUE!</v>
      </c>
      <c r="V35" s="105">
        <f t="shared" ref="V35" si="171">IFERROR(FIND(",",T35),LEN(T35))</f>
        <v>4</v>
      </c>
      <c r="W35" s="105" t="e">
        <f t="shared" ref="W35" si="172">FIND("target:",T35)+7</f>
        <v>#VALUE!</v>
      </c>
      <c r="X35" s="105" t="e">
        <f t="shared" ref="X35" si="173">FIND(",",T35,V35+1)</f>
        <v>#VALUE!</v>
      </c>
      <c r="Y35" s="105" t="str">
        <f>IFERROR(VLOOKUP(MID(T35,W35,X35-W35),[5]skilldef!$C:$D,2,FALSE),"-") &amp; " / " &amp; IFERROR(VLOOKUP(MID(T35,U35,V35-U35),[5]skilldef!$A:$B,2,FALSE),"-")</f>
        <v>- / -</v>
      </c>
      <c r="Z35" s="107"/>
      <c r="AA35" s="108"/>
      <c r="AB35" s="107"/>
      <c r="AC35" s="126" t="s">
        <v>302</v>
      </c>
    </row>
    <row r="36" spans="1:30" s="167" customFormat="1" ht="21" customHeight="1" x14ac:dyDescent="0.15">
      <c r="A36" s="106">
        <v>39012552</v>
      </c>
      <c r="B36" s="106" t="str">
        <f t="shared" si="0"/>
        <v>[effect:enemy_message, val1:1.2, val2:1.2],[effect:spread, val:0.4]</v>
      </c>
      <c r="C36" s="107">
        <v>3</v>
      </c>
      <c r="D36" s="107" t="s">
        <v>253</v>
      </c>
      <c r="E36" s="105" t="s">
        <v>428</v>
      </c>
      <c r="F36" s="105" t="s">
        <v>321</v>
      </c>
      <c r="G36" s="105" t="str">
        <f t="shared" si="144"/>
        <v>[effect:enemy_message, val1:1.2, val2:1.2]</v>
      </c>
      <c r="H36" s="105">
        <f t="shared" si="145"/>
        <v>9</v>
      </c>
      <c r="I36" s="105">
        <f t="shared" si="146"/>
        <v>22</v>
      </c>
      <c r="J36" s="105" t="e">
        <f t="shared" si="147"/>
        <v>#VALUE!</v>
      </c>
      <c r="K36" s="105">
        <f t="shared" si="148"/>
        <v>32</v>
      </c>
      <c r="L36" s="105" t="str">
        <f>IFERROR(VLOOKUP(MID(G36,J36,K36-J36),[5]skilldef!$C:$D,2,FALSE),"-") &amp; " / " &amp; IFERROR(VLOOKUP(MID(G36,H36,I36-H36),[5]skilldef!$A:$B,2,FALSE),"-")</f>
        <v>- / -</v>
      </c>
      <c r="M36" s="105" t="str">
        <f t="shared" si="149"/>
        <v>[effect:spread, val:0.4]</v>
      </c>
      <c r="N36" s="106" t="str">
        <f>IFERROR(LEFT(M36,FIND("],",M36)+S49),M36)</f>
        <v>[effect:spread, val:0.4]</v>
      </c>
      <c r="O36" s="105">
        <f t="shared" si="150"/>
        <v>9</v>
      </c>
      <c r="P36" s="105">
        <f t="shared" si="151"/>
        <v>15</v>
      </c>
      <c r="Q36" s="105" t="e">
        <f t="shared" si="152"/>
        <v>#VALUE!</v>
      </c>
      <c r="R36" s="105" t="e">
        <f t="shared" si="153"/>
        <v>#VALUE!</v>
      </c>
      <c r="S36" s="105" t="str">
        <f>IFERROR(VLOOKUP(MID(N36,Q36,R36-Q36),[5]skilldef!$C:$D,2,FALSE),"-") &amp; " / " &amp; IFERROR(VLOOKUP(MID(N36,O36,P36-O36),[5]skilldef!$A:$B,2,FALSE),"-")</f>
        <v>- / 全体攻撃</v>
      </c>
      <c r="T36" s="106" t="str">
        <f t="shared" si="154"/>
        <v>none</v>
      </c>
      <c r="U36" s="105" t="e">
        <f t="shared" si="155"/>
        <v>#VALUE!</v>
      </c>
      <c r="V36" s="105">
        <f t="shared" si="156"/>
        <v>4</v>
      </c>
      <c r="W36" s="105" t="e">
        <f t="shared" si="157"/>
        <v>#VALUE!</v>
      </c>
      <c r="X36" s="105" t="e">
        <f t="shared" si="158"/>
        <v>#VALUE!</v>
      </c>
      <c r="Y36" s="105" t="str">
        <f>IFERROR(VLOOKUP(MID(T36,W36,X36-W36),[5]skilldef!$C:$D,2,FALSE),"-") &amp; " / " &amp; IFERROR(VLOOKUP(MID(T36,U36,V36-U36),[5]skilldef!$A:$B,2,FALSE),"-")</f>
        <v>- / -</v>
      </c>
      <c r="Z36" s="107"/>
      <c r="AA36" s="108"/>
      <c r="AB36" s="107"/>
      <c r="AC36" s="126" t="s">
        <v>346</v>
      </c>
    </row>
    <row r="37" spans="1:30" ht="21" customHeight="1" x14ac:dyDescent="0.15">
      <c r="A37" s="106">
        <v>39012553</v>
      </c>
      <c r="B37" s="106" t="str">
        <f t="shared" si="0"/>
        <v>[effect:enemy_message, val1:1.2, val2:2.0],[effect:panel_freeze, target:normal, color:block_red, count:3], [effect:rush, count:1, val:1.0]</v>
      </c>
      <c r="C37" s="107">
        <v>3</v>
      </c>
      <c r="D37" s="107" t="s">
        <v>253</v>
      </c>
      <c r="E37" s="105" t="s">
        <v>432</v>
      </c>
      <c r="F37" s="105" t="s">
        <v>473</v>
      </c>
      <c r="G37" s="105" t="str">
        <f t="shared" ref="G37:G44" si="174">IFERROR(LEFT(B37,FIND("],",B37)),B37)</f>
        <v>[effect:enemy_message, val1:1.2, val2:2.0]</v>
      </c>
      <c r="H37" s="105">
        <f t="shared" si="145"/>
        <v>9</v>
      </c>
      <c r="I37" s="105">
        <f t="shared" ref="I37:I44" si="175">IFERROR(FIND(",",G37),LEN(G37))</f>
        <v>22</v>
      </c>
      <c r="J37" s="105" t="e">
        <f t="shared" ref="J37:J44" si="176">FIND("target:",G37)+7</f>
        <v>#VALUE!</v>
      </c>
      <c r="K37" s="105">
        <f t="shared" ref="K37:K44" si="177">FIND(",",G37,I37+1)</f>
        <v>32</v>
      </c>
      <c r="L37" s="105" t="str">
        <f>IFERROR(VLOOKUP(MID(G37,J37,K37-J37),[5]skilldef!$C:$D,2,FALSE),"-") &amp; " / " &amp; IFERROR(VLOOKUP(MID(G37,H37,I37-H37),[5]skilldef!$A:$B,2,FALSE),"-")</f>
        <v>- / -</v>
      </c>
      <c r="M37" s="105" t="str">
        <f t="shared" ref="M37:M44" si="178">IFERROR(RIGHT(B37,LEN(B37)-FIND("],",B37)-1),"none")</f>
        <v>[effect:panel_freeze, target:normal, color:block_red, count:3], [effect:rush, count:1, val:1.0]</v>
      </c>
      <c r="N37" s="106" t="str">
        <f>IFERROR(LEFT(M37,FIND("],",M37)+S50),M37)</f>
        <v>[effect:panel_freeze, target:normal, color:block_red, count:3]</v>
      </c>
      <c r="O37" s="105">
        <f t="shared" si="150"/>
        <v>9</v>
      </c>
      <c r="P37" s="105">
        <f t="shared" ref="P37:P44" si="179">IFERROR(FIND(",",N37),LEN(N37))</f>
        <v>21</v>
      </c>
      <c r="Q37" s="105">
        <f t="shared" ref="Q37:Q44" si="180">FIND("target:",N37)+7</f>
        <v>30</v>
      </c>
      <c r="R37" s="105">
        <f t="shared" ref="R37:R44" si="181">FIND(",",N37,P37+1)</f>
        <v>36</v>
      </c>
      <c r="S37" s="105" t="str">
        <f>IFERROR(VLOOKUP(MID(N37,Q37,R37-Q37),[5]skilldef!$C:$D,2,FALSE),"-") &amp; " / " &amp; IFERROR(VLOOKUP(MID(N37,O37,P37-O37),[5]skilldef!$A:$B,2,FALSE),"-")</f>
        <v>- / -</v>
      </c>
      <c r="T37" s="106" t="str">
        <f t="shared" ref="T37:T44" si="182">IFERROR(RIGHT(M37,LEN(M37)-FIND("],",M37)-1),"none")</f>
        <v xml:space="preserve"> [effect:rush, count:1, val:1.0]</v>
      </c>
      <c r="U37" s="105">
        <f t="shared" si="155"/>
        <v>10</v>
      </c>
      <c r="V37" s="105">
        <f t="shared" ref="V37:V44" si="183">IFERROR(FIND(",",T37),LEN(T37))</f>
        <v>14</v>
      </c>
      <c r="W37" s="105" t="e">
        <f t="shared" ref="W37:W44" si="184">FIND("target:",T37)+7</f>
        <v>#VALUE!</v>
      </c>
      <c r="X37" s="105">
        <f t="shared" ref="X37:X44" si="185">FIND(",",T37,V37+1)</f>
        <v>23</v>
      </c>
      <c r="Y37" s="105" t="str">
        <f>IFERROR(VLOOKUP(MID(T37,W37,X37-W37),[5]skilldef!$C:$D,2,FALSE),"-") &amp; " / " &amp; IFERROR(VLOOKUP(MID(T37,U37,V37-U37),[5]skilldef!$A:$B,2,FALSE),"-")</f>
        <v>- / 連続攻撃</v>
      </c>
      <c r="Z37" s="107"/>
      <c r="AA37" s="108"/>
      <c r="AB37" s="107"/>
      <c r="AC37" s="126" t="s">
        <v>499</v>
      </c>
    </row>
    <row r="38" spans="1:30" ht="21" customHeight="1" x14ac:dyDescent="0.15">
      <c r="A38" s="106">
        <v>39012554</v>
      </c>
      <c r="B38" s="106" t="str">
        <f t="shared" si="0"/>
        <v>[effect:enemy_message, val1:1.2, val2:2.0],[effect:panel_freeze, target:normal, color:block_blue, count:3], [effect:rush, count:1, val:1.0]</v>
      </c>
      <c r="C38" s="107">
        <v>3</v>
      </c>
      <c r="D38" s="107" t="s">
        <v>253</v>
      </c>
      <c r="E38" s="105" t="s">
        <v>433</v>
      </c>
      <c r="F38" s="105" t="s">
        <v>474</v>
      </c>
      <c r="G38" s="105" t="str">
        <f t="shared" si="174"/>
        <v>[effect:enemy_message, val1:1.2, val2:2.0]</v>
      </c>
      <c r="H38" s="105">
        <f t="shared" si="145"/>
        <v>9</v>
      </c>
      <c r="I38" s="105">
        <f t="shared" si="175"/>
        <v>22</v>
      </c>
      <c r="J38" s="105" t="e">
        <f t="shared" si="176"/>
        <v>#VALUE!</v>
      </c>
      <c r="K38" s="105">
        <f t="shared" si="177"/>
        <v>32</v>
      </c>
      <c r="L38" s="105" t="str">
        <f>IFERROR(VLOOKUP(MID(G38,J38,K38-J38),[5]skilldef!$C:$D,2,FALSE),"-") &amp; " / " &amp; IFERROR(VLOOKUP(MID(G38,H38,I38-H38),[5]skilldef!$A:$B,2,FALSE),"-")</f>
        <v>- / -</v>
      </c>
      <c r="M38" s="105" t="str">
        <f t="shared" si="178"/>
        <v>[effect:panel_freeze, target:normal, color:block_blue, count:3], [effect:rush, count:1, val:1.0]</v>
      </c>
      <c r="N38" s="106" t="str">
        <f>IFERROR(LEFT(M38,FIND("],",M38)+S51),M38)</f>
        <v>[effect:panel_freeze, target:normal, color:block_blue, count:3]</v>
      </c>
      <c r="O38" s="105">
        <f t="shared" si="150"/>
        <v>9</v>
      </c>
      <c r="P38" s="105">
        <f t="shared" si="179"/>
        <v>21</v>
      </c>
      <c r="Q38" s="105">
        <f t="shared" si="180"/>
        <v>30</v>
      </c>
      <c r="R38" s="105">
        <f t="shared" si="181"/>
        <v>36</v>
      </c>
      <c r="S38" s="105" t="str">
        <f>IFERROR(VLOOKUP(MID(N38,Q38,R38-Q38),[5]skilldef!$C:$D,2,FALSE),"-") &amp; " / " &amp; IFERROR(VLOOKUP(MID(N38,O38,P38-O38),[5]skilldef!$A:$B,2,FALSE),"-")</f>
        <v>- / -</v>
      </c>
      <c r="T38" s="106" t="str">
        <f t="shared" si="182"/>
        <v xml:space="preserve"> [effect:rush, count:1, val:1.0]</v>
      </c>
      <c r="U38" s="105">
        <f t="shared" si="155"/>
        <v>10</v>
      </c>
      <c r="V38" s="105">
        <f t="shared" si="183"/>
        <v>14</v>
      </c>
      <c r="W38" s="105" t="e">
        <f t="shared" si="184"/>
        <v>#VALUE!</v>
      </c>
      <c r="X38" s="105">
        <f t="shared" si="185"/>
        <v>23</v>
      </c>
      <c r="Y38" s="105" t="str">
        <f>IFERROR(VLOOKUP(MID(T38,W38,X38-W38),[5]skilldef!$C:$D,2,FALSE),"-") &amp; " / " &amp; IFERROR(VLOOKUP(MID(T38,U38,V38-U38),[5]skilldef!$A:$B,2,FALSE),"-")</f>
        <v>- / 連続攻撃</v>
      </c>
      <c r="Z38" s="107"/>
      <c r="AA38" s="108"/>
      <c r="AB38" s="107"/>
      <c r="AC38" s="126" t="s">
        <v>500</v>
      </c>
    </row>
    <row r="39" spans="1:30" ht="21" customHeight="1" x14ac:dyDescent="0.15">
      <c r="A39" s="106">
        <v>39012555</v>
      </c>
      <c r="B39" s="158" t="s">
        <v>482</v>
      </c>
      <c r="C39" s="159">
        <v>3</v>
      </c>
      <c r="D39" s="159" t="s">
        <v>195</v>
      </c>
      <c r="E39" s="157" t="s">
        <v>487</v>
      </c>
      <c r="F39" s="157" t="s">
        <v>488</v>
      </c>
      <c r="G39" s="157" t="str">
        <f t="shared" si="174"/>
        <v>[effect:enemy_message, val1:2.6, val2:3.0]</v>
      </c>
      <c r="H39" s="157">
        <f t="shared" si="145"/>
        <v>9</v>
      </c>
      <c r="I39" s="157">
        <f t="shared" si="175"/>
        <v>22</v>
      </c>
      <c r="J39" s="157" t="e">
        <f t="shared" si="176"/>
        <v>#VALUE!</v>
      </c>
      <c r="K39" s="157">
        <f t="shared" si="177"/>
        <v>32</v>
      </c>
      <c r="L39" s="157" t="str">
        <f>IFERROR(VLOOKUP(MID(G39,J39,K39-J39),[5]skilldef!$C:$D,2,FALSE),"-") &amp; " / " &amp; IFERROR(VLOOKUP(MID(G39,H39,I39-H39),[5]skilldef!$A:$B,2,FALSE),"-")</f>
        <v>- / -</v>
      </c>
      <c r="M39" s="157" t="str">
        <f t="shared" si="178"/>
        <v>none</v>
      </c>
      <c r="N39" s="158" t="str">
        <f t="shared" ref="N39:N41" si="186">IFERROR(LEFT(M39,FIND("],",M39)+S46),M39)</f>
        <v>none</v>
      </c>
      <c r="O39" s="157" t="e">
        <f t="shared" si="150"/>
        <v>#VALUE!</v>
      </c>
      <c r="P39" s="157">
        <f t="shared" si="179"/>
        <v>4</v>
      </c>
      <c r="Q39" s="157" t="e">
        <f t="shared" si="180"/>
        <v>#VALUE!</v>
      </c>
      <c r="R39" s="157" t="e">
        <f t="shared" si="181"/>
        <v>#VALUE!</v>
      </c>
      <c r="S39" s="157" t="str">
        <f>IFERROR(VLOOKUP(MID(N39,Q39,R39-Q39),[5]skilldef!$C:$D,2,FALSE),"-") &amp; " / " &amp; IFERROR(VLOOKUP(MID(N39,O39,P39-O39),[5]skilldef!$A:$B,2,FALSE),"-")</f>
        <v>- / -</v>
      </c>
      <c r="T39" s="158" t="str">
        <f t="shared" si="182"/>
        <v>none</v>
      </c>
      <c r="U39" s="157" t="e">
        <f t="shared" si="155"/>
        <v>#VALUE!</v>
      </c>
      <c r="V39" s="157">
        <f t="shared" si="183"/>
        <v>4</v>
      </c>
      <c r="W39" s="157" t="e">
        <f t="shared" si="184"/>
        <v>#VALUE!</v>
      </c>
      <c r="X39" s="157" t="e">
        <f t="shared" si="185"/>
        <v>#VALUE!</v>
      </c>
      <c r="Y39" s="157" t="str">
        <f>IFERROR(VLOOKUP(MID(T39,W39,X39-W39),[5]skilldef!$C:$D,2,FALSE),"-") &amp; " / " &amp; IFERROR(VLOOKUP(MID(T39,U39,V39-U39),[5]skilldef!$A:$B,2,FALSE),"-")</f>
        <v>- / -</v>
      </c>
      <c r="Z39" s="159"/>
      <c r="AA39" s="160"/>
      <c r="AB39" s="159"/>
      <c r="AC39" s="161"/>
      <c r="AD39" s="179" t="s">
        <v>446</v>
      </c>
    </row>
    <row r="40" spans="1:30" ht="21" customHeight="1" x14ac:dyDescent="0.15">
      <c r="A40" s="106">
        <v>39012556</v>
      </c>
      <c r="B40" s="158" t="s">
        <v>483</v>
      </c>
      <c r="C40" s="159">
        <v>3</v>
      </c>
      <c r="D40" s="159" t="s">
        <v>195</v>
      </c>
      <c r="E40" s="157" t="s">
        <v>453</v>
      </c>
      <c r="F40" s="157" t="s">
        <v>434</v>
      </c>
      <c r="G40" s="157" t="str">
        <f t="shared" si="174"/>
        <v>[effect:enemy_message, val1:2.8, val2:3.0]</v>
      </c>
      <c r="H40" s="157">
        <f t="shared" si="145"/>
        <v>9</v>
      </c>
      <c r="I40" s="157">
        <f t="shared" si="175"/>
        <v>22</v>
      </c>
      <c r="J40" s="157" t="e">
        <f t="shared" si="176"/>
        <v>#VALUE!</v>
      </c>
      <c r="K40" s="157">
        <f t="shared" si="177"/>
        <v>32</v>
      </c>
      <c r="L40" s="157" t="str">
        <f>IFERROR(VLOOKUP(MID(G40,J40,K40-J40),[5]skilldef!$C:$D,2,FALSE),"-") &amp; " / " &amp; IFERROR(VLOOKUP(MID(G40,H40,I40-H40),[5]skilldef!$A:$B,2,FALSE),"-")</f>
        <v>- / -</v>
      </c>
      <c r="M40" s="157" t="str">
        <f t="shared" si="178"/>
        <v>none</v>
      </c>
      <c r="N40" s="158" t="str">
        <f t="shared" si="186"/>
        <v>none</v>
      </c>
      <c r="O40" s="157" t="e">
        <f t="shared" si="150"/>
        <v>#VALUE!</v>
      </c>
      <c r="P40" s="157">
        <f t="shared" si="179"/>
        <v>4</v>
      </c>
      <c r="Q40" s="157" t="e">
        <f t="shared" si="180"/>
        <v>#VALUE!</v>
      </c>
      <c r="R40" s="157" t="e">
        <f t="shared" si="181"/>
        <v>#VALUE!</v>
      </c>
      <c r="S40" s="157" t="str">
        <f>IFERROR(VLOOKUP(MID(N40,Q40,R40-Q40),[5]skilldef!$C:$D,2,FALSE),"-") &amp; " / " &amp; IFERROR(VLOOKUP(MID(N40,O40,P40-O40),[5]skilldef!$A:$B,2,FALSE),"-")</f>
        <v>- / -</v>
      </c>
      <c r="T40" s="158" t="str">
        <f t="shared" si="182"/>
        <v>none</v>
      </c>
      <c r="U40" s="157" t="e">
        <f t="shared" si="155"/>
        <v>#VALUE!</v>
      </c>
      <c r="V40" s="157">
        <f t="shared" si="183"/>
        <v>4</v>
      </c>
      <c r="W40" s="157" t="e">
        <f t="shared" si="184"/>
        <v>#VALUE!</v>
      </c>
      <c r="X40" s="157" t="e">
        <f t="shared" si="185"/>
        <v>#VALUE!</v>
      </c>
      <c r="Y40" s="157" t="str">
        <f>IFERROR(VLOOKUP(MID(T40,W40,X40-W40),[5]skilldef!$C:$D,2,FALSE),"-") &amp; " / " &amp; IFERROR(VLOOKUP(MID(T40,U40,V40-U40),[5]skilldef!$A:$B,2,FALSE),"-")</f>
        <v>- / -</v>
      </c>
      <c r="Z40" s="159"/>
      <c r="AA40" s="160"/>
      <c r="AB40" s="159"/>
      <c r="AC40" s="161"/>
      <c r="AD40" s="179" t="s">
        <v>447</v>
      </c>
    </row>
    <row r="41" spans="1:30" ht="21" customHeight="1" x14ac:dyDescent="0.15">
      <c r="A41" s="106">
        <v>39012557</v>
      </c>
      <c r="B41" s="158" t="s">
        <v>484</v>
      </c>
      <c r="C41" s="159">
        <v>3</v>
      </c>
      <c r="D41" s="159" t="s">
        <v>195</v>
      </c>
      <c r="E41" s="157" t="s">
        <v>441</v>
      </c>
      <c r="F41" s="157" t="s">
        <v>434</v>
      </c>
      <c r="G41" s="157" t="str">
        <f t="shared" ref="G41" si="187">IFERROR(LEFT(B41,FIND("],",B41)),B41)</f>
        <v>[effect:enemy_message, val1:2.2, val2:3.0]</v>
      </c>
      <c r="H41" s="157">
        <f t="shared" ref="H41" si="188">FIND("effect:",G41)+7</f>
        <v>9</v>
      </c>
      <c r="I41" s="157">
        <f t="shared" ref="I41" si="189">IFERROR(FIND(",",G41),LEN(G41))</f>
        <v>22</v>
      </c>
      <c r="J41" s="157" t="e">
        <f t="shared" ref="J41" si="190">FIND("target:",G41)+7</f>
        <v>#VALUE!</v>
      </c>
      <c r="K41" s="157">
        <f t="shared" ref="K41" si="191">FIND(",",G41,I41+1)</f>
        <v>32</v>
      </c>
      <c r="L41" s="157" t="str">
        <f>IFERROR(VLOOKUP(MID(G41,J41,K41-J41),[5]skilldef!$C:$D,2,FALSE),"-") &amp; " / " &amp; IFERROR(VLOOKUP(MID(G41,H41,I41-H41),[5]skilldef!$A:$B,2,FALSE),"-")</f>
        <v>- / -</v>
      </c>
      <c r="M41" s="157" t="str">
        <f t="shared" ref="M41" si="192">IFERROR(RIGHT(B41,LEN(B41)-FIND("],",B41)-1),"none")</f>
        <v>none</v>
      </c>
      <c r="N41" s="158" t="str">
        <f t="shared" si="186"/>
        <v>none</v>
      </c>
      <c r="O41" s="157" t="e">
        <f t="shared" ref="O41" si="193">FIND("effect:",N41)+7</f>
        <v>#VALUE!</v>
      </c>
      <c r="P41" s="157">
        <f t="shared" ref="P41" si="194">IFERROR(FIND(",",N41),LEN(N41))</f>
        <v>4</v>
      </c>
      <c r="Q41" s="157" t="e">
        <f t="shared" ref="Q41" si="195">FIND("target:",N41)+7</f>
        <v>#VALUE!</v>
      </c>
      <c r="R41" s="157" t="e">
        <f t="shared" ref="R41" si="196">FIND(",",N41,P41+1)</f>
        <v>#VALUE!</v>
      </c>
      <c r="S41" s="157" t="str">
        <f>IFERROR(VLOOKUP(MID(N41,Q41,R41-Q41),[5]skilldef!$C:$D,2,FALSE),"-") &amp; " / " &amp; IFERROR(VLOOKUP(MID(N41,O41,P41-O41),[5]skilldef!$A:$B,2,FALSE),"-")</f>
        <v>- / -</v>
      </c>
      <c r="T41" s="158" t="str">
        <f t="shared" ref="T41" si="197">IFERROR(RIGHT(M41,LEN(M41)-FIND("],",M41)-1),"none")</f>
        <v>none</v>
      </c>
      <c r="U41" s="157" t="e">
        <f t="shared" ref="U41" si="198">FIND("effect:",T41)+7</f>
        <v>#VALUE!</v>
      </c>
      <c r="V41" s="157">
        <f t="shared" ref="V41" si="199">IFERROR(FIND(",",T41),LEN(T41))</f>
        <v>4</v>
      </c>
      <c r="W41" s="157" t="e">
        <f t="shared" ref="W41" si="200">FIND("target:",T41)+7</f>
        <v>#VALUE!</v>
      </c>
      <c r="X41" s="157" t="e">
        <f t="shared" ref="X41" si="201">FIND(",",T41,V41+1)</f>
        <v>#VALUE!</v>
      </c>
      <c r="Y41" s="157" t="str">
        <f>IFERROR(VLOOKUP(MID(T41,W41,X41-W41),[5]skilldef!$C:$D,2,FALSE),"-") &amp; " / " &amp; IFERROR(VLOOKUP(MID(T41,U41,V41-U41),[5]skilldef!$A:$B,2,FALSE),"-")</f>
        <v>- / -</v>
      </c>
      <c r="Z41" s="159"/>
      <c r="AA41" s="160"/>
      <c r="AB41" s="159"/>
      <c r="AC41" s="161"/>
      <c r="AD41" s="179" t="s">
        <v>448</v>
      </c>
    </row>
    <row r="42" spans="1:30" ht="21" customHeight="1" x14ac:dyDescent="0.15">
      <c r="A42" s="106">
        <v>39012558</v>
      </c>
      <c r="B42" s="158" t="s">
        <v>485</v>
      </c>
      <c r="C42" s="159">
        <v>3</v>
      </c>
      <c r="D42" s="159" t="s">
        <v>195</v>
      </c>
      <c r="E42" s="157" t="s">
        <v>442</v>
      </c>
      <c r="F42" s="157" t="s">
        <v>434</v>
      </c>
      <c r="G42" s="157" t="str">
        <f t="shared" ref="G42:G43" si="202">IFERROR(LEFT(B42,FIND("],",B42)),B42)</f>
        <v>[effect:enemy_message, val1:2.3, val2:3.0]</v>
      </c>
      <c r="H42" s="157">
        <f t="shared" ref="H42:H43" si="203">FIND("effect:",G42)+7</f>
        <v>9</v>
      </c>
      <c r="I42" s="157">
        <f t="shared" ref="I42:I43" si="204">IFERROR(FIND(",",G42),LEN(G42))</f>
        <v>22</v>
      </c>
      <c r="J42" s="157" t="e">
        <f t="shared" ref="J42:J43" si="205">FIND("target:",G42)+7</f>
        <v>#VALUE!</v>
      </c>
      <c r="K42" s="157">
        <f t="shared" ref="K42:K43" si="206">FIND(",",G42,I42+1)</f>
        <v>32</v>
      </c>
      <c r="L42" s="157" t="str">
        <f>IFERROR(VLOOKUP(MID(G42,J42,K42-J42),[5]skilldef!$C:$D,2,FALSE),"-") &amp; " / " &amp; IFERROR(VLOOKUP(MID(G42,H42,I42-H42),[5]skilldef!$A:$B,2,FALSE),"-")</f>
        <v>- / -</v>
      </c>
      <c r="M42" s="157" t="str">
        <f t="shared" ref="M42:M43" si="207">IFERROR(RIGHT(B42,LEN(B42)-FIND("],",B42)-1),"none")</f>
        <v>none</v>
      </c>
      <c r="N42" s="158" t="str">
        <f t="shared" ref="N42:N43" si="208">IFERROR(LEFT(M42,FIND("],",M42)+S49),M42)</f>
        <v>none</v>
      </c>
      <c r="O42" s="157" t="e">
        <f t="shared" ref="O42:O43" si="209">FIND("effect:",N42)+7</f>
        <v>#VALUE!</v>
      </c>
      <c r="P42" s="157">
        <f t="shared" ref="P42:P43" si="210">IFERROR(FIND(",",N42),LEN(N42))</f>
        <v>4</v>
      </c>
      <c r="Q42" s="157" t="e">
        <f t="shared" ref="Q42:Q43" si="211">FIND("target:",N42)+7</f>
        <v>#VALUE!</v>
      </c>
      <c r="R42" s="157" t="e">
        <f t="shared" ref="R42:R43" si="212">FIND(",",N42,P42+1)</f>
        <v>#VALUE!</v>
      </c>
      <c r="S42" s="157" t="str">
        <f>IFERROR(VLOOKUP(MID(N42,Q42,R42-Q42),[5]skilldef!$C:$D,2,FALSE),"-") &amp; " / " &amp; IFERROR(VLOOKUP(MID(N42,O42,P42-O42),[5]skilldef!$A:$B,2,FALSE),"-")</f>
        <v>- / -</v>
      </c>
      <c r="T42" s="158" t="str">
        <f t="shared" ref="T42:T43" si="213">IFERROR(RIGHT(M42,LEN(M42)-FIND("],",M42)-1),"none")</f>
        <v>none</v>
      </c>
      <c r="U42" s="157" t="e">
        <f t="shared" ref="U42:U43" si="214">FIND("effect:",T42)+7</f>
        <v>#VALUE!</v>
      </c>
      <c r="V42" s="157">
        <f t="shared" ref="V42:V43" si="215">IFERROR(FIND(",",T42),LEN(T42))</f>
        <v>4</v>
      </c>
      <c r="W42" s="157" t="e">
        <f t="shared" ref="W42:W43" si="216">FIND("target:",T42)+7</f>
        <v>#VALUE!</v>
      </c>
      <c r="X42" s="157" t="e">
        <f t="shared" ref="X42:X43" si="217">FIND(",",T42,V42+1)</f>
        <v>#VALUE!</v>
      </c>
      <c r="Y42" s="157" t="str">
        <f>IFERROR(VLOOKUP(MID(T42,W42,X42-W42),[5]skilldef!$C:$D,2,FALSE),"-") &amp; " / " &amp; IFERROR(VLOOKUP(MID(T42,U42,V42-U42),[5]skilldef!$A:$B,2,FALSE),"-")</f>
        <v>- / -</v>
      </c>
      <c r="Z42" s="159"/>
      <c r="AA42" s="160"/>
      <c r="AB42" s="159"/>
      <c r="AC42" s="161"/>
      <c r="AD42" s="179" t="s">
        <v>449</v>
      </c>
    </row>
    <row r="43" spans="1:30" ht="21" customHeight="1" x14ac:dyDescent="0.15">
      <c r="A43" s="106">
        <v>39012559</v>
      </c>
      <c r="B43" s="158" t="s">
        <v>478</v>
      </c>
      <c r="C43" s="159">
        <v>3</v>
      </c>
      <c r="D43" s="159" t="s">
        <v>195</v>
      </c>
      <c r="E43" s="157" t="s">
        <v>443</v>
      </c>
      <c r="F43" s="157" t="s">
        <v>434</v>
      </c>
      <c r="G43" s="157" t="str">
        <f t="shared" si="202"/>
        <v>[effect:enemy_message, val1:1.7, val2:3.0]</v>
      </c>
      <c r="H43" s="157">
        <f t="shared" si="203"/>
        <v>9</v>
      </c>
      <c r="I43" s="157">
        <f t="shared" si="204"/>
        <v>22</v>
      </c>
      <c r="J43" s="157" t="e">
        <f t="shared" si="205"/>
        <v>#VALUE!</v>
      </c>
      <c r="K43" s="157">
        <f t="shared" si="206"/>
        <v>32</v>
      </c>
      <c r="L43" s="157" t="str">
        <f>IFERROR(VLOOKUP(MID(G43,J43,K43-J43),[5]skilldef!$C:$D,2,FALSE),"-") &amp; " / " &amp; IFERROR(VLOOKUP(MID(G43,H43,I43-H43),[5]skilldef!$A:$B,2,FALSE),"-")</f>
        <v>- / -</v>
      </c>
      <c r="M43" s="157" t="str">
        <f t="shared" si="207"/>
        <v>none</v>
      </c>
      <c r="N43" s="158" t="str">
        <f t="shared" si="208"/>
        <v>none</v>
      </c>
      <c r="O43" s="157" t="e">
        <f t="shared" si="209"/>
        <v>#VALUE!</v>
      </c>
      <c r="P43" s="157">
        <f t="shared" si="210"/>
        <v>4</v>
      </c>
      <c r="Q43" s="157" t="e">
        <f t="shared" si="211"/>
        <v>#VALUE!</v>
      </c>
      <c r="R43" s="157" t="e">
        <f t="shared" si="212"/>
        <v>#VALUE!</v>
      </c>
      <c r="S43" s="157" t="str">
        <f>IFERROR(VLOOKUP(MID(N43,Q43,R43-Q43),[5]skilldef!$C:$D,2,FALSE),"-") &amp; " / " &amp; IFERROR(VLOOKUP(MID(N43,O43,P43-O43),[5]skilldef!$A:$B,2,FALSE),"-")</f>
        <v>- / -</v>
      </c>
      <c r="T43" s="158" t="str">
        <f t="shared" si="213"/>
        <v>none</v>
      </c>
      <c r="U43" s="157" t="e">
        <f t="shared" si="214"/>
        <v>#VALUE!</v>
      </c>
      <c r="V43" s="157">
        <f t="shared" si="215"/>
        <v>4</v>
      </c>
      <c r="W43" s="157" t="e">
        <f t="shared" si="216"/>
        <v>#VALUE!</v>
      </c>
      <c r="X43" s="157" t="e">
        <f t="shared" si="217"/>
        <v>#VALUE!</v>
      </c>
      <c r="Y43" s="157" t="str">
        <f>IFERROR(VLOOKUP(MID(T43,W43,X43-W43),[5]skilldef!$C:$D,2,FALSE),"-") &amp; " / " &amp; IFERROR(VLOOKUP(MID(T43,U43,V43-U43),[5]skilldef!$A:$B,2,FALSE),"-")</f>
        <v>- / -</v>
      </c>
      <c r="Z43" s="159"/>
      <c r="AA43" s="160"/>
      <c r="AB43" s="159"/>
      <c r="AC43" s="161"/>
      <c r="AD43" s="179" t="s">
        <v>450</v>
      </c>
    </row>
    <row r="44" spans="1:30" ht="21" customHeight="1" x14ac:dyDescent="0.15">
      <c r="A44" s="106">
        <v>39012560</v>
      </c>
      <c r="B44" s="158" t="s">
        <v>479</v>
      </c>
      <c r="C44" s="159">
        <v>3</v>
      </c>
      <c r="D44" s="159" t="s">
        <v>195</v>
      </c>
      <c r="E44" s="157" t="s">
        <v>444</v>
      </c>
      <c r="F44" s="157" t="s">
        <v>434</v>
      </c>
      <c r="G44" s="157" t="str">
        <f t="shared" si="174"/>
        <v>[effect:enemy_message, val1:2.1, val2:3.0]</v>
      </c>
      <c r="H44" s="157">
        <f t="shared" si="145"/>
        <v>9</v>
      </c>
      <c r="I44" s="157">
        <f t="shared" si="175"/>
        <v>22</v>
      </c>
      <c r="J44" s="157" t="e">
        <f t="shared" si="176"/>
        <v>#VALUE!</v>
      </c>
      <c r="K44" s="157">
        <f t="shared" si="177"/>
        <v>32</v>
      </c>
      <c r="L44" s="157" t="str">
        <f>IFERROR(VLOOKUP(MID(G44,J44,K44-J44),[5]skilldef!$C:$D,2,FALSE),"-") &amp; " / " &amp; IFERROR(VLOOKUP(MID(G44,H44,I44-H44),[5]skilldef!$A:$B,2,FALSE),"-")</f>
        <v>- / -</v>
      </c>
      <c r="M44" s="157" t="str">
        <f t="shared" si="178"/>
        <v>none</v>
      </c>
      <c r="N44" s="158" t="str">
        <f t="shared" ref="N44" si="218">IFERROR(LEFT(M44,FIND("],",M44)+S51),M44)</f>
        <v>none</v>
      </c>
      <c r="O44" s="157" t="e">
        <f t="shared" si="150"/>
        <v>#VALUE!</v>
      </c>
      <c r="P44" s="157">
        <f t="shared" si="179"/>
        <v>4</v>
      </c>
      <c r="Q44" s="157" t="e">
        <f t="shared" si="180"/>
        <v>#VALUE!</v>
      </c>
      <c r="R44" s="157" t="e">
        <f t="shared" si="181"/>
        <v>#VALUE!</v>
      </c>
      <c r="S44" s="157" t="str">
        <f>IFERROR(VLOOKUP(MID(N44,Q44,R44-Q44),[5]skilldef!$C:$D,2,FALSE),"-") &amp; " / " &amp; IFERROR(VLOOKUP(MID(N44,O44,P44-O44),[5]skilldef!$A:$B,2,FALSE),"-")</f>
        <v>- / -</v>
      </c>
      <c r="T44" s="158" t="str">
        <f t="shared" si="182"/>
        <v>none</v>
      </c>
      <c r="U44" s="157" t="e">
        <f t="shared" si="155"/>
        <v>#VALUE!</v>
      </c>
      <c r="V44" s="157">
        <f t="shared" si="183"/>
        <v>4</v>
      </c>
      <c r="W44" s="157" t="e">
        <f t="shared" si="184"/>
        <v>#VALUE!</v>
      </c>
      <c r="X44" s="157" t="e">
        <f t="shared" si="185"/>
        <v>#VALUE!</v>
      </c>
      <c r="Y44" s="157" t="str">
        <f>IFERROR(VLOOKUP(MID(T44,W44,X44-W44),[5]skilldef!$C:$D,2,FALSE),"-") &amp; " / " &amp; IFERROR(VLOOKUP(MID(T44,U44,V44-U44),[5]skilldef!$A:$B,2,FALSE),"-")</f>
        <v>- / -</v>
      </c>
      <c r="Z44" s="159"/>
      <c r="AA44" s="160"/>
      <c r="AB44" s="159"/>
      <c r="AC44" s="161"/>
      <c r="AD44" s="179" t="s">
        <v>451</v>
      </c>
    </row>
    <row r="45" spans="1:30" ht="21" customHeight="1" x14ac:dyDescent="0.15">
      <c r="A45" s="106">
        <v>39012561</v>
      </c>
      <c r="B45" s="158" t="s">
        <v>478</v>
      </c>
      <c r="C45" s="159">
        <v>3</v>
      </c>
      <c r="D45" s="159" t="s">
        <v>195</v>
      </c>
      <c r="E45" s="157" t="s">
        <v>445</v>
      </c>
      <c r="F45" s="157" t="s">
        <v>434</v>
      </c>
      <c r="G45" s="157" t="str">
        <f t="shared" ref="G45" si="219">IFERROR(LEFT(B45,FIND("],",B45)),B45)</f>
        <v>[effect:enemy_message, val1:1.7, val2:3.0]</v>
      </c>
      <c r="H45" s="157">
        <f t="shared" ref="H45" si="220">FIND("effect:",G45)+7</f>
        <v>9</v>
      </c>
      <c r="I45" s="157">
        <f t="shared" ref="I45" si="221">IFERROR(FIND(",",G45),LEN(G45))</f>
        <v>22</v>
      </c>
      <c r="J45" s="157" t="e">
        <f t="shared" ref="J45" si="222">FIND("target:",G45)+7</f>
        <v>#VALUE!</v>
      </c>
      <c r="K45" s="157">
        <f t="shared" ref="K45" si="223">FIND(",",G45,I45+1)</f>
        <v>32</v>
      </c>
      <c r="L45" s="157" t="str">
        <f>IFERROR(VLOOKUP(MID(G45,J45,K45-J45),[5]skilldef!$C:$D,2,FALSE),"-") &amp; " / " &amp; IFERROR(VLOOKUP(MID(G45,H45,I45-H45),[5]skilldef!$A:$B,2,FALSE),"-")</f>
        <v>- / -</v>
      </c>
      <c r="M45" s="157" t="str">
        <f t="shared" ref="M45" si="224">IFERROR(RIGHT(B45,LEN(B45)-FIND("],",B45)-1),"none")</f>
        <v>none</v>
      </c>
      <c r="N45" s="158" t="str">
        <f t="shared" ref="N45" si="225">IFERROR(LEFT(M45,FIND("],",M45)+S52),M45)</f>
        <v>none</v>
      </c>
      <c r="O45" s="157" t="e">
        <f t="shared" ref="O45" si="226">FIND("effect:",N45)+7</f>
        <v>#VALUE!</v>
      </c>
      <c r="P45" s="157">
        <f t="shared" ref="P45" si="227">IFERROR(FIND(",",N45),LEN(N45))</f>
        <v>4</v>
      </c>
      <c r="Q45" s="157" t="e">
        <f t="shared" ref="Q45" si="228">FIND("target:",N45)+7</f>
        <v>#VALUE!</v>
      </c>
      <c r="R45" s="157" t="e">
        <f t="shared" ref="R45" si="229">FIND(",",N45,P45+1)</f>
        <v>#VALUE!</v>
      </c>
      <c r="S45" s="157" t="str">
        <f>IFERROR(VLOOKUP(MID(N45,Q45,R45-Q45),[5]skilldef!$C:$D,2,FALSE),"-") &amp; " / " &amp; IFERROR(VLOOKUP(MID(N45,O45,P45-O45),[5]skilldef!$A:$B,2,FALSE),"-")</f>
        <v>- / -</v>
      </c>
      <c r="T45" s="158" t="str">
        <f t="shared" ref="T45" si="230">IFERROR(RIGHT(M45,LEN(M45)-FIND("],",M45)-1),"none")</f>
        <v>none</v>
      </c>
      <c r="U45" s="157" t="e">
        <f t="shared" ref="U45" si="231">FIND("effect:",T45)+7</f>
        <v>#VALUE!</v>
      </c>
      <c r="V45" s="157">
        <f t="shared" ref="V45" si="232">IFERROR(FIND(",",T45),LEN(T45))</f>
        <v>4</v>
      </c>
      <c r="W45" s="157" t="e">
        <f t="shared" ref="W45" si="233">FIND("target:",T45)+7</f>
        <v>#VALUE!</v>
      </c>
      <c r="X45" s="157" t="e">
        <f t="shared" ref="X45" si="234">FIND(",",T45,V45+1)</f>
        <v>#VALUE!</v>
      </c>
      <c r="Y45" s="157" t="str">
        <f>IFERROR(VLOOKUP(MID(T45,W45,X45-W45),[5]skilldef!$C:$D,2,FALSE),"-") &amp; " / " &amp; IFERROR(VLOOKUP(MID(T45,U45,V45-U45),[5]skilldef!$A:$B,2,FALSE),"-")</f>
        <v>- / -</v>
      </c>
      <c r="Z45" s="159"/>
      <c r="AA45" s="160"/>
      <c r="AB45" s="159"/>
      <c r="AC45" s="161"/>
      <c r="AD45" s="179" t="s">
        <v>452</v>
      </c>
    </row>
    <row r="46" spans="1:30" s="162" customFormat="1" ht="21" customHeight="1" x14ac:dyDescent="0.15">
      <c r="A46" s="106">
        <v>39012562</v>
      </c>
      <c r="B46" s="163" t="s">
        <v>482</v>
      </c>
      <c r="C46" s="164">
        <v>3</v>
      </c>
      <c r="D46" s="164" t="s">
        <v>195</v>
      </c>
      <c r="E46" s="156" t="s">
        <v>489</v>
      </c>
      <c r="F46" s="156" t="s">
        <v>434</v>
      </c>
      <c r="G46" s="156" t="str">
        <f t="shared" ref="G46" si="235">IFERROR(LEFT(B46,FIND("],",B46)),B46)</f>
        <v>[effect:enemy_message, val1:2.6, val2:3.0]</v>
      </c>
      <c r="H46" s="156">
        <f t="shared" ref="H46" si="236">FIND("effect:",G46)+7</f>
        <v>9</v>
      </c>
      <c r="I46" s="156">
        <f t="shared" ref="I46" si="237">IFERROR(FIND(",",G46),LEN(G46))</f>
        <v>22</v>
      </c>
      <c r="J46" s="156" t="e">
        <f t="shared" ref="J46" si="238">FIND("target:",G46)+7</f>
        <v>#VALUE!</v>
      </c>
      <c r="K46" s="156">
        <f t="shared" ref="K46" si="239">FIND(",",G46,I46+1)</f>
        <v>32</v>
      </c>
      <c r="L46" s="156" t="str">
        <f>IFERROR(VLOOKUP(MID(G46,J46,K46-J46),[5]skilldef!$C:$D,2,FALSE),"-") &amp; " / " &amp; IFERROR(VLOOKUP(MID(G46,H46,I46-H46),[5]skilldef!$A:$B,2,FALSE),"-")</f>
        <v>- / -</v>
      </c>
      <c r="M46" s="156" t="str">
        <f t="shared" ref="M46" si="240">IFERROR(RIGHT(B46,LEN(B46)-FIND("],",B46)-1),"none")</f>
        <v>none</v>
      </c>
      <c r="N46" s="163" t="str">
        <f t="shared" ref="N46" si="241">IFERROR(LEFT(M46,FIND("],",M46)+S53),M46)</f>
        <v>none</v>
      </c>
      <c r="O46" s="156" t="e">
        <f t="shared" ref="O46" si="242">FIND("effect:",N46)+7</f>
        <v>#VALUE!</v>
      </c>
      <c r="P46" s="156">
        <f t="shared" ref="P46" si="243">IFERROR(FIND(",",N46),LEN(N46))</f>
        <v>4</v>
      </c>
      <c r="Q46" s="156" t="e">
        <f t="shared" ref="Q46" si="244">FIND("target:",N46)+7</f>
        <v>#VALUE!</v>
      </c>
      <c r="R46" s="156" t="e">
        <f t="shared" ref="R46" si="245">FIND(",",N46,P46+1)</f>
        <v>#VALUE!</v>
      </c>
      <c r="S46" s="156" t="str">
        <f>IFERROR(VLOOKUP(MID(N46,Q46,R46-Q46),[5]skilldef!$C:$D,2,FALSE),"-") &amp; " / " &amp; IFERROR(VLOOKUP(MID(N46,O46,P46-O46),[5]skilldef!$A:$B,2,FALSE),"-")</f>
        <v>- / -</v>
      </c>
      <c r="T46" s="163" t="str">
        <f t="shared" ref="T46" si="246">IFERROR(RIGHT(M46,LEN(M46)-FIND("],",M46)-1),"none")</f>
        <v>none</v>
      </c>
      <c r="U46" s="156" t="e">
        <f t="shared" ref="U46" si="247">FIND("effect:",T46)+7</f>
        <v>#VALUE!</v>
      </c>
      <c r="V46" s="156">
        <f t="shared" ref="V46" si="248">IFERROR(FIND(",",T46),LEN(T46))</f>
        <v>4</v>
      </c>
      <c r="W46" s="156" t="e">
        <f t="shared" ref="W46" si="249">FIND("target:",T46)+7</f>
        <v>#VALUE!</v>
      </c>
      <c r="X46" s="156" t="e">
        <f t="shared" ref="X46" si="250">FIND(",",T46,V46+1)</f>
        <v>#VALUE!</v>
      </c>
      <c r="Y46" s="156" t="str">
        <f>IFERROR(VLOOKUP(MID(T46,W46,X46-W46),[5]skilldef!$C:$D,2,FALSE),"-") &amp; " / " &amp; IFERROR(VLOOKUP(MID(T46,U46,V46-U46),[5]skilldef!$A:$B,2,FALSE),"-")</f>
        <v>- / -</v>
      </c>
      <c r="Z46" s="164"/>
      <c r="AA46" s="165"/>
      <c r="AB46" s="164"/>
      <c r="AC46" s="166"/>
    </row>
    <row r="47" spans="1:30" s="167" customFormat="1" ht="21" customHeight="1" x14ac:dyDescent="0.15">
      <c r="A47" s="48"/>
      <c r="B47" s="48"/>
      <c r="C47" s="48"/>
      <c r="D47" s="48"/>
      <c r="E47" s="48"/>
      <c r="F47" s="48"/>
      <c r="G47" s="48"/>
      <c r="H47" s="48"/>
      <c r="I47" s="48"/>
      <c r="J47" s="48"/>
      <c r="K47" s="48"/>
      <c r="L47" s="48"/>
      <c r="M47" s="48"/>
      <c r="N47" s="48"/>
      <c r="O47" s="48"/>
      <c r="P47" s="48"/>
      <c r="Q47" s="48"/>
      <c r="R47" s="48"/>
      <c r="S47" s="48"/>
      <c r="T47" s="48"/>
      <c r="U47" s="48"/>
      <c r="V47" s="48"/>
      <c r="W47" s="48"/>
      <c r="X47" s="48"/>
      <c r="Y47" s="48"/>
      <c r="Z47" s="48"/>
      <c r="AA47" s="48"/>
      <c r="AB47" s="48"/>
      <c r="AC47" s="128"/>
    </row>
    <row r="48" spans="1:30" ht="21" customHeight="1" x14ac:dyDescent="0.15">
      <c r="AC48" s="128"/>
    </row>
    <row r="49" spans="29:29" ht="21" customHeight="1" x14ac:dyDescent="0.15">
      <c r="AC49" s="128"/>
    </row>
    <row r="50" spans="29:29" ht="21" customHeight="1" x14ac:dyDescent="0.15">
      <c r="AC50" s="128"/>
    </row>
    <row r="51" spans="29:29" ht="21" customHeight="1" x14ac:dyDescent="0.15">
      <c r="AC51" s="128"/>
    </row>
    <row r="52" spans="29:29" ht="21" customHeight="1" x14ac:dyDescent="0.15">
      <c r="AC52" s="128"/>
    </row>
    <row r="53" spans="29:29" ht="21" customHeight="1" x14ac:dyDescent="0.15">
      <c r="AC53" s="128"/>
    </row>
    <row r="54" spans="29:29" ht="21" customHeight="1" x14ac:dyDescent="0.15">
      <c r="AC54" s="128"/>
    </row>
    <row r="55" spans="29:29" ht="21" customHeight="1" x14ac:dyDescent="0.15">
      <c r="AC55" s="128"/>
    </row>
    <row r="56" spans="29:29" ht="21" customHeight="1" x14ac:dyDescent="0.15">
      <c r="AC56" s="128"/>
    </row>
    <row r="57" spans="29:29" ht="21" customHeight="1" x14ac:dyDescent="0.15">
      <c r="AC57" s="128"/>
    </row>
    <row r="58" spans="29:29" ht="21" customHeight="1" x14ac:dyDescent="0.15">
      <c r="AC58" s="128"/>
    </row>
    <row r="59" spans="29:29" ht="21" customHeight="1" x14ac:dyDescent="0.15">
      <c r="AC59" s="128"/>
    </row>
    <row r="60" spans="29:29" ht="21" customHeight="1" x14ac:dyDescent="0.15">
      <c r="AC60" s="128"/>
    </row>
    <row r="61" spans="29:29" ht="21" customHeight="1" x14ac:dyDescent="0.15">
      <c r="AC61" s="128"/>
    </row>
    <row r="62" spans="29:29" ht="21" customHeight="1" x14ac:dyDescent="0.15">
      <c r="AC62" s="128"/>
    </row>
    <row r="63" spans="29:29" ht="21" customHeight="1" x14ac:dyDescent="0.15">
      <c r="AC63" s="128"/>
    </row>
    <row r="64" spans="29:29" ht="21" customHeight="1" x14ac:dyDescent="0.15">
      <c r="AC64" s="128"/>
    </row>
    <row r="65" spans="29:29" ht="21" customHeight="1" x14ac:dyDescent="0.15">
      <c r="AC65" s="128"/>
    </row>
    <row r="66" spans="29:29" ht="21" customHeight="1" x14ac:dyDescent="0.15">
      <c r="AC66" s="128"/>
    </row>
    <row r="67" spans="29:29" ht="21" customHeight="1" x14ac:dyDescent="0.15">
      <c r="AC67" s="128"/>
    </row>
    <row r="68" spans="29:29" ht="21" customHeight="1" x14ac:dyDescent="0.15">
      <c r="AC68" s="128"/>
    </row>
    <row r="69" spans="29:29" ht="21" customHeight="1" x14ac:dyDescent="0.15">
      <c r="AC69" s="128"/>
    </row>
    <row r="70" spans="29:29" ht="21" customHeight="1" x14ac:dyDescent="0.15">
      <c r="AC70" s="128"/>
    </row>
    <row r="71" spans="29:29" ht="21" customHeight="1" x14ac:dyDescent="0.15">
      <c r="AC71" s="128"/>
    </row>
    <row r="72" spans="29:29" ht="21" customHeight="1" x14ac:dyDescent="0.15">
      <c r="AC72" s="128"/>
    </row>
    <row r="73" spans="29:29" ht="21" customHeight="1" x14ac:dyDescent="0.15">
      <c r="AC73" s="128"/>
    </row>
    <row r="74" spans="29:29" ht="21" customHeight="1" x14ac:dyDescent="0.15">
      <c r="AC74" s="128"/>
    </row>
    <row r="75" spans="29:29" ht="21" customHeight="1" x14ac:dyDescent="0.15">
      <c r="AC75" s="128"/>
    </row>
    <row r="76" spans="29:29" ht="21" customHeight="1" x14ac:dyDescent="0.15">
      <c r="AC76" s="128"/>
    </row>
    <row r="77" spans="29:29" ht="21" customHeight="1" x14ac:dyDescent="0.15">
      <c r="AC77" s="128"/>
    </row>
  </sheetData>
  <autoFilter ref="A1:AB1"/>
  <phoneticPr fontId="5"/>
  <pageMargins left="0.75" right="0.75" top="1" bottom="1" header="0.3" footer="0.3"/>
  <pageSetup paperSize="9" orientation="portrait" horizontalDpi="4294967292" verticalDpi="429496729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 enableFormatConditionsCalculation="0">
    <tabColor rgb="FF0000FF"/>
  </sheetPr>
  <dimension ref="A1:R208"/>
  <sheetViews>
    <sheetView showGridLines="0" workbookViewId="0">
      <pane ySplit="1" topLeftCell="A71" activePane="bottomLeft" state="frozenSplit"/>
      <selection pane="bottomLeft" activeCell="H12" sqref="H12"/>
    </sheetView>
  </sheetViews>
  <sheetFormatPr baseColWidth="12" defaultColWidth="12.83203125" defaultRowHeight="21" customHeight="1" x14ac:dyDescent="0.15"/>
  <cols>
    <col min="1" max="1" width="16.1640625" style="48" bestFit="1" customWidth="1"/>
    <col min="2" max="2" width="13.33203125" style="48" bestFit="1" customWidth="1"/>
    <col min="3" max="3" width="11.83203125" style="48" bestFit="1" customWidth="1"/>
    <col min="4" max="4" width="14.6640625" style="48" bestFit="1" customWidth="1"/>
    <col min="5" max="5" width="15.6640625" style="48" bestFit="1" customWidth="1"/>
    <col min="6" max="6" width="17" style="48" bestFit="1" customWidth="1"/>
    <col min="7" max="7" width="15.6640625" style="48" bestFit="1" customWidth="1"/>
    <col min="8" max="9" width="14.6640625" style="48" customWidth="1"/>
    <col min="10" max="10" width="14.6640625" style="48" bestFit="1" customWidth="1"/>
    <col min="11" max="11" width="22.83203125" style="38" hidden="1" customWidth="1"/>
    <col min="12" max="12" width="18" style="44" bestFit="1" customWidth="1"/>
    <col min="13" max="13" width="8.5" style="44" customWidth="1"/>
    <col min="14" max="15" width="12.83203125" style="44"/>
    <col min="16" max="16" width="16.5" style="44" bestFit="1" customWidth="1"/>
    <col min="17" max="16384" width="12.83203125" style="44"/>
  </cols>
  <sheetData>
    <row r="1" spans="1:14" ht="21" customHeight="1" x14ac:dyDescent="0.15">
      <c r="A1" s="41" t="s">
        <v>84</v>
      </c>
      <c r="B1" s="41" t="s">
        <v>85</v>
      </c>
      <c r="C1" s="41" t="s">
        <v>86</v>
      </c>
      <c r="D1" s="41" t="s">
        <v>87</v>
      </c>
      <c r="E1" s="41" t="s">
        <v>70</v>
      </c>
      <c r="F1" s="49" t="s">
        <v>71</v>
      </c>
      <c r="G1" s="49" t="s">
        <v>72</v>
      </c>
      <c r="H1" s="41" t="s">
        <v>73</v>
      </c>
      <c r="I1" s="41" t="s">
        <v>74</v>
      </c>
      <c r="J1" s="41" t="s">
        <v>75</v>
      </c>
      <c r="K1" s="50" t="s">
        <v>88</v>
      </c>
      <c r="N1" s="48"/>
    </row>
    <row r="2" spans="1:14" s="48" customFormat="1" ht="21" customHeight="1" x14ac:dyDescent="0.15">
      <c r="A2" s="169">
        <v>39012000</v>
      </c>
      <c r="B2" s="169">
        <v>1</v>
      </c>
      <c r="C2" s="169">
        <v>900</v>
      </c>
      <c r="D2" s="169">
        <v>100</v>
      </c>
      <c r="E2" s="169" t="s">
        <v>53</v>
      </c>
      <c r="F2" s="169" t="s">
        <v>53</v>
      </c>
      <c r="G2" s="169">
        <v>1</v>
      </c>
      <c r="H2" s="169">
        <v>1</v>
      </c>
      <c r="I2" s="169">
        <v>1504</v>
      </c>
      <c r="J2" s="169">
        <f t="shared" ref="J2:J43" si="0">D2</f>
        <v>100</v>
      </c>
      <c r="K2" s="38"/>
      <c r="L2" s="168" t="s">
        <v>256</v>
      </c>
      <c r="M2" s="103" t="s">
        <v>411</v>
      </c>
    </row>
    <row r="3" spans="1:14" s="48" customFormat="1" ht="21" customHeight="1" x14ac:dyDescent="0.15">
      <c r="A3" s="169">
        <v>39012001</v>
      </c>
      <c r="B3" s="169">
        <v>1</v>
      </c>
      <c r="C3" s="169">
        <v>901</v>
      </c>
      <c r="D3" s="169">
        <v>100</v>
      </c>
      <c r="E3" s="169" t="s">
        <v>53</v>
      </c>
      <c r="F3" s="169" t="s">
        <v>53</v>
      </c>
      <c r="G3" s="169">
        <v>1</v>
      </c>
      <c r="H3" s="169">
        <v>1</v>
      </c>
      <c r="I3" s="169">
        <v>1505</v>
      </c>
      <c r="J3" s="169">
        <f t="shared" si="0"/>
        <v>100</v>
      </c>
      <c r="K3" s="38"/>
      <c r="L3" s="168" t="s">
        <v>259</v>
      </c>
      <c r="M3" s="103" t="s">
        <v>411</v>
      </c>
    </row>
    <row r="4" spans="1:14" s="48" customFormat="1" ht="21" customHeight="1" x14ac:dyDescent="0.15">
      <c r="A4" s="169">
        <v>39012002</v>
      </c>
      <c r="B4" s="169">
        <v>1</v>
      </c>
      <c r="C4" s="169">
        <v>902</v>
      </c>
      <c r="D4" s="169">
        <v>100</v>
      </c>
      <c r="E4" s="169" t="s">
        <v>53</v>
      </c>
      <c r="F4" s="169" t="s">
        <v>53</v>
      </c>
      <c r="G4" s="169">
        <v>1</v>
      </c>
      <c r="H4" s="169">
        <v>1</v>
      </c>
      <c r="I4" s="169">
        <v>1506</v>
      </c>
      <c r="J4" s="169">
        <f t="shared" si="0"/>
        <v>100</v>
      </c>
      <c r="K4" s="38"/>
      <c r="L4" s="168" t="s">
        <v>257</v>
      </c>
      <c r="M4" s="103" t="s">
        <v>411</v>
      </c>
    </row>
    <row r="5" spans="1:14" s="48" customFormat="1" ht="21" customHeight="1" x14ac:dyDescent="0.15">
      <c r="A5" s="169">
        <v>39012003</v>
      </c>
      <c r="B5" s="169">
        <v>1</v>
      </c>
      <c r="C5" s="169">
        <v>903</v>
      </c>
      <c r="D5" s="169">
        <v>100</v>
      </c>
      <c r="E5" s="169" t="s">
        <v>53</v>
      </c>
      <c r="F5" s="169" t="s">
        <v>53</v>
      </c>
      <c r="G5" s="169">
        <v>1</v>
      </c>
      <c r="H5" s="169">
        <v>1</v>
      </c>
      <c r="I5" s="169">
        <v>1507</v>
      </c>
      <c r="J5" s="169">
        <f t="shared" si="0"/>
        <v>100</v>
      </c>
      <c r="K5" s="38"/>
      <c r="L5" s="168" t="s">
        <v>260</v>
      </c>
      <c r="M5" s="103" t="s">
        <v>411</v>
      </c>
    </row>
    <row r="6" spans="1:14" s="48" customFormat="1" ht="21" customHeight="1" x14ac:dyDescent="0.15">
      <c r="A6" s="169">
        <v>39012004</v>
      </c>
      <c r="B6" s="169">
        <v>1</v>
      </c>
      <c r="C6" s="169">
        <v>904</v>
      </c>
      <c r="D6" s="169">
        <v>100</v>
      </c>
      <c r="E6" s="169" t="s">
        <v>53</v>
      </c>
      <c r="F6" s="169" t="s">
        <v>53</v>
      </c>
      <c r="G6" s="169">
        <v>1</v>
      </c>
      <c r="H6" s="169">
        <v>1</v>
      </c>
      <c r="I6" s="169">
        <v>1508</v>
      </c>
      <c r="J6" s="169">
        <f t="shared" si="0"/>
        <v>100</v>
      </c>
      <c r="K6" s="38"/>
      <c r="L6" s="168" t="s">
        <v>258</v>
      </c>
      <c r="M6" s="103" t="s">
        <v>411</v>
      </c>
    </row>
    <row r="7" spans="1:14" s="48" customFormat="1" ht="21" customHeight="1" x14ac:dyDescent="0.15">
      <c r="A7" s="169">
        <v>39012005</v>
      </c>
      <c r="B7" s="169">
        <v>1</v>
      </c>
      <c r="C7" s="169">
        <v>913</v>
      </c>
      <c r="D7" s="169">
        <v>100</v>
      </c>
      <c r="E7" s="169" t="s">
        <v>53</v>
      </c>
      <c r="F7" s="169" t="s">
        <v>53</v>
      </c>
      <c r="G7" s="169">
        <v>1</v>
      </c>
      <c r="H7" s="169">
        <v>1</v>
      </c>
      <c r="I7" s="169">
        <v>1509</v>
      </c>
      <c r="J7" s="169">
        <f t="shared" si="0"/>
        <v>100</v>
      </c>
      <c r="K7" s="38"/>
      <c r="L7" s="168" t="s">
        <v>368</v>
      </c>
      <c r="M7" s="103" t="s">
        <v>411</v>
      </c>
    </row>
    <row r="8" spans="1:14" s="48" customFormat="1" ht="21" customHeight="1" x14ac:dyDescent="0.15">
      <c r="A8" s="169">
        <v>39012007</v>
      </c>
      <c r="B8" s="169">
        <v>1</v>
      </c>
      <c r="C8" s="169">
        <v>905</v>
      </c>
      <c r="D8" s="169">
        <v>100</v>
      </c>
      <c r="E8" s="169" t="s">
        <v>53</v>
      </c>
      <c r="F8" s="169" t="s">
        <v>53</v>
      </c>
      <c r="G8" s="169">
        <v>1</v>
      </c>
      <c r="H8" s="169">
        <v>1</v>
      </c>
      <c r="I8" s="169">
        <v>1513</v>
      </c>
      <c r="J8" s="169">
        <f t="shared" si="0"/>
        <v>100</v>
      </c>
      <c r="K8" s="38"/>
      <c r="L8" s="168" t="s">
        <v>370</v>
      </c>
      <c r="M8" s="103" t="s">
        <v>411</v>
      </c>
    </row>
    <row r="9" spans="1:14" s="48" customFormat="1" ht="21" customHeight="1" x14ac:dyDescent="0.15">
      <c r="A9" s="169">
        <v>39012008</v>
      </c>
      <c r="B9" s="169">
        <v>1</v>
      </c>
      <c r="C9" s="169">
        <v>906</v>
      </c>
      <c r="D9" s="169">
        <v>100</v>
      </c>
      <c r="E9" s="169" t="s">
        <v>53</v>
      </c>
      <c r="F9" s="169" t="s">
        <v>53</v>
      </c>
      <c r="G9" s="169">
        <v>1</v>
      </c>
      <c r="H9" s="169">
        <v>1</v>
      </c>
      <c r="I9" s="169">
        <v>1515</v>
      </c>
      <c r="J9" s="169">
        <f t="shared" si="0"/>
        <v>100</v>
      </c>
      <c r="K9" s="38"/>
      <c r="L9" s="168" t="s">
        <v>371</v>
      </c>
      <c r="M9" s="103" t="s">
        <v>411</v>
      </c>
    </row>
    <row r="10" spans="1:14" s="48" customFormat="1" ht="21" customHeight="1" x14ac:dyDescent="0.15">
      <c r="A10" s="169">
        <v>39012009</v>
      </c>
      <c r="B10" s="169">
        <v>1</v>
      </c>
      <c r="C10" s="169">
        <v>907</v>
      </c>
      <c r="D10" s="169">
        <v>100</v>
      </c>
      <c r="E10" s="169" t="s">
        <v>53</v>
      </c>
      <c r="F10" s="169" t="s">
        <v>53</v>
      </c>
      <c r="G10" s="169">
        <v>1</v>
      </c>
      <c r="H10" s="169">
        <v>1</v>
      </c>
      <c r="I10" s="169">
        <v>1517</v>
      </c>
      <c r="J10" s="169">
        <f t="shared" si="0"/>
        <v>100</v>
      </c>
      <c r="K10" s="38"/>
      <c r="L10" s="168" t="s">
        <v>372</v>
      </c>
      <c r="M10" s="103" t="s">
        <v>411</v>
      </c>
    </row>
    <row r="11" spans="1:14" s="48" customFormat="1" ht="21" customHeight="1" x14ac:dyDescent="0.15">
      <c r="A11" s="169">
        <v>39012010</v>
      </c>
      <c r="B11" s="169">
        <v>1</v>
      </c>
      <c r="C11" s="169">
        <v>908</v>
      </c>
      <c r="D11" s="169">
        <v>100</v>
      </c>
      <c r="E11" s="169" t="s">
        <v>53</v>
      </c>
      <c r="F11" s="169" t="s">
        <v>53</v>
      </c>
      <c r="G11" s="169">
        <v>1</v>
      </c>
      <c r="H11" s="169">
        <v>1</v>
      </c>
      <c r="I11" s="169">
        <v>1519</v>
      </c>
      <c r="J11" s="169">
        <f t="shared" si="0"/>
        <v>100</v>
      </c>
      <c r="K11" s="38"/>
      <c r="L11" s="168" t="s">
        <v>374</v>
      </c>
      <c r="M11" s="103" t="s">
        <v>411</v>
      </c>
    </row>
    <row r="12" spans="1:14" s="48" customFormat="1" ht="21" customHeight="1" x14ac:dyDescent="0.15">
      <c r="A12" s="169">
        <v>39012011</v>
      </c>
      <c r="B12" s="169">
        <v>1</v>
      </c>
      <c r="C12" s="169">
        <v>909</v>
      </c>
      <c r="D12" s="169">
        <v>100</v>
      </c>
      <c r="E12" s="169" t="s">
        <v>53</v>
      </c>
      <c r="F12" s="169" t="s">
        <v>53</v>
      </c>
      <c r="G12" s="169">
        <v>1</v>
      </c>
      <c r="H12" s="169">
        <v>1</v>
      </c>
      <c r="I12" s="169">
        <v>1521</v>
      </c>
      <c r="J12" s="169">
        <f t="shared" si="0"/>
        <v>100</v>
      </c>
      <c r="K12" s="38"/>
      <c r="L12" s="168" t="s">
        <v>376</v>
      </c>
      <c r="M12" s="103" t="s">
        <v>411</v>
      </c>
    </row>
    <row r="13" spans="1:14" s="48" customFormat="1" ht="21" customHeight="1" x14ac:dyDescent="0.15">
      <c r="A13" s="169">
        <v>39012013</v>
      </c>
      <c r="B13" s="169">
        <v>1</v>
      </c>
      <c r="C13" s="169">
        <v>917</v>
      </c>
      <c r="D13" s="169">
        <v>100</v>
      </c>
      <c r="E13" s="169" t="s">
        <v>53</v>
      </c>
      <c r="F13" s="169" t="s">
        <v>53</v>
      </c>
      <c r="G13" s="169">
        <v>1</v>
      </c>
      <c r="H13" s="169">
        <v>1</v>
      </c>
      <c r="I13" s="169">
        <v>1525</v>
      </c>
      <c r="J13" s="169">
        <f t="shared" si="0"/>
        <v>100</v>
      </c>
      <c r="K13" s="38"/>
      <c r="L13" s="168" t="s">
        <v>378</v>
      </c>
      <c r="M13" s="103" t="s">
        <v>411</v>
      </c>
    </row>
    <row r="14" spans="1:14" s="48" customFormat="1" ht="21" customHeight="1" x14ac:dyDescent="0.15">
      <c r="A14" s="169">
        <v>39012014</v>
      </c>
      <c r="B14" s="169">
        <v>1</v>
      </c>
      <c r="C14" s="169">
        <v>910</v>
      </c>
      <c r="D14" s="169">
        <v>100</v>
      </c>
      <c r="E14" s="169" t="s">
        <v>53</v>
      </c>
      <c r="F14" s="169" t="s">
        <v>53</v>
      </c>
      <c r="G14" s="169">
        <v>1</v>
      </c>
      <c r="H14" s="169">
        <v>1</v>
      </c>
      <c r="I14" s="169">
        <v>1527</v>
      </c>
      <c r="J14" s="169">
        <f t="shared" si="0"/>
        <v>100</v>
      </c>
      <c r="K14" s="38"/>
      <c r="L14" s="168" t="s">
        <v>379</v>
      </c>
      <c r="M14" s="103" t="s">
        <v>411</v>
      </c>
    </row>
    <row r="15" spans="1:14" s="48" customFormat="1" ht="21" customHeight="1" x14ac:dyDescent="0.15">
      <c r="A15" s="169">
        <v>39012015</v>
      </c>
      <c r="B15" s="169">
        <v>1</v>
      </c>
      <c r="C15" s="169">
        <v>911</v>
      </c>
      <c r="D15" s="169">
        <v>100</v>
      </c>
      <c r="E15" s="169" t="s">
        <v>53</v>
      </c>
      <c r="F15" s="169" t="s">
        <v>53</v>
      </c>
      <c r="G15" s="169">
        <v>1</v>
      </c>
      <c r="H15" s="169">
        <v>1</v>
      </c>
      <c r="I15" s="169">
        <v>1529</v>
      </c>
      <c r="J15" s="169">
        <f t="shared" si="0"/>
        <v>100</v>
      </c>
      <c r="K15" s="38"/>
      <c r="L15" s="168" t="s">
        <v>380</v>
      </c>
      <c r="M15" s="103" t="s">
        <v>411</v>
      </c>
    </row>
    <row r="16" spans="1:14" s="48" customFormat="1" ht="21" customHeight="1" x14ac:dyDescent="0.15">
      <c r="A16" s="169">
        <v>39012016</v>
      </c>
      <c r="B16" s="169">
        <v>1</v>
      </c>
      <c r="C16" s="169">
        <v>912</v>
      </c>
      <c r="D16" s="169">
        <v>100</v>
      </c>
      <c r="E16" s="169" t="s">
        <v>53</v>
      </c>
      <c r="F16" s="169" t="s">
        <v>53</v>
      </c>
      <c r="G16" s="169">
        <v>1</v>
      </c>
      <c r="H16" s="169">
        <v>1</v>
      </c>
      <c r="I16" s="169">
        <v>1531</v>
      </c>
      <c r="J16" s="169">
        <f t="shared" si="0"/>
        <v>100</v>
      </c>
      <c r="K16" s="38"/>
      <c r="L16" s="168" t="s">
        <v>381</v>
      </c>
      <c r="M16" s="103" t="s">
        <v>411</v>
      </c>
    </row>
    <row r="17" spans="1:13" s="48" customFormat="1" ht="21" customHeight="1" x14ac:dyDescent="0.15">
      <c r="A17" s="169">
        <v>39012022</v>
      </c>
      <c r="B17" s="169">
        <v>1</v>
      </c>
      <c r="C17" s="169">
        <v>918</v>
      </c>
      <c r="D17" s="169">
        <v>100</v>
      </c>
      <c r="E17" s="169" t="s">
        <v>53</v>
      </c>
      <c r="F17" s="169" t="s">
        <v>53</v>
      </c>
      <c r="G17" s="169">
        <v>1</v>
      </c>
      <c r="H17" s="169">
        <v>1</v>
      </c>
      <c r="I17" s="169">
        <v>1543</v>
      </c>
      <c r="J17" s="169">
        <f t="shared" si="0"/>
        <v>100</v>
      </c>
      <c r="K17" s="38"/>
      <c r="L17" s="168" t="s">
        <v>391</v>
      </c>
      <c r="M17" s="103" t="s">
        <v>411</v>
      </c>
    </row>
    <row r="18" spans="1:13" s="48" customFormat="1" ht="21" customHeight="1" x14ac:dyDescent="0.15">
      <c r="A18" s="169">
        <v>39012023</v>
      </c>
      <c r="B18" s="169">
        <v>1</v>
      </c>
      <c r="C18" s="169">
        <v>919</v>
      </c>
      <c r="D18" s="169">
        <v>100</v>
      </c>
      <c r="E18" s="169" t="s">
        <v>53</v>
      </c>
      <c r="F18" s="169" t="s">
        <v>53</v>
      </c>
      <c r="G18" s="169">
        <v>1</v>
      </c>
      <c r="H18" s="169">
        <v>1</v>
      </c>
      <c r="I18" s="169">
        <v>1545</v>
      </c>
      <c r="J18" s="169">
        <f t="shared" si="0"/>
        <v>100</v>
      </c>
      <c r="K18" s="38"/>
      <c r="L18" s="168" t="s">
        <v>393</v>
      </c>
      <c r="M18" s="103" t="s">
        <v>411</v>
      </c>
    </row>
    <row r="19" spans="1:13" s="48" customFormat="1" ht="21" customHeight="1" x14ac:dyDescent="0.15">
      <c r="A19" s="169">
        <v>39012025</v>
      </c>
      <c r="B19" s="169">
        <v>1</v>
      </c>
      <c r="C19" s="169">
        <v>914</v>
      </c>
      <c r="D19" s="169">
        <v>100</v>
      </c>
      <c r="E19" s="169" t="s">
        <v>53</v>
      </c>
      <c r="F19" s="169" t="s">
        <v>53</v>
      </c>
      <c r="G19" s="169">
        <v>1</v>
      </c>
      <c r="H19" s="169">
        <v>1</v>
      </c>
      <c r="I19" s="169">
        <v>1547</v>
      </c>
      <c r="J19" s="169">
        <f t="shared" si="0"/>
        <v>100</v>
      </c>
      <c r="K19" s="38"/>
      <c r="L19" s="168" t="s">
        <v>395</v>
      </c>
      <c r="M19" s="103" t="s">
        <v>411</v>
      </c>
    </row>
    <row r="20" spans="1:13" s="48" customFormat="1" ht="21" customHeight="1" x14ac:dyDescent="0.15">
      <c r="A20" s="169">
        <v>39012026</v>
      </c>
      <c r="B20" s="169">
        <v>1</v>
      </c>
      <c r="C20" s="169">
        <v>915</v>
      </c>
      <c r="D20" s="169">
        <v>100</v>
      </c>
      <c r="E20" s="169" t="s">
        <v>53</v>
      </c>
      <c r="F20" s="169" t="s">
        <v>53</v>
      </c>
      <c r="G20" s="169">
        <v>1</v>
      </c>
      <c r="H20" s="169">
        <v>1</v>
      </c>
      <c r="I20" s="169">
        <v>1549</v>
      </c>
      <c r="J20" s="169">
        <f t="shared" si="0"/>
        <v>100</v>
      </c>
      <c r="K20" s="38"/>
      <c r="L20" s="168" t="s">
        <v>397</v>
      </c>
      <c r="M20" s="103" t="s">
        <v>411</v>
      </c>
    </row>
    <row r="21" spans="1:13" s="48" customFormat="1" ht="21" customHeight="1" x14ac:dyDescent="0.15">
      <c r="A21" s="169">
        <v>39012006</v>
      </c>
      <c r="B21" s="169">
        <v>1</v>
      </c>
      <c r="C21" s="169">
        <v>921</v>
      </c>
      <c r="D21" s="169">
        <v>100</v>
      </c>
      <c r="E21" s="169" t="s">
        <v>53</v>
      </c>
      <c r="F21" s="169" t="s">
        <v>53</v>
      </c>
      <c r="G21" s="169">
        <v>1</v>
      </c>
      <c r="H21" s="169">
        <v>1</v>
      </c>
      <c r="I21" s="169">
        <v>1510</v>
      </c>
      <c r="J21" s="169">
        <f t="shared" si="0"/>
        <v>100</v>
      </c>
      <c r="K21" s="38"/>
      <c r="L21" s="180" t="s">
        <v>369</v>
      </c>
      <c r="M21" s="162" t="s">
        <v>411</v>
      </c>
    </row>
    <row r="22" spans="1:13" s="48" customFormat="1" ht="21" customHeight="1" x14ac:dyDescent="0.15">
      <c r="A22" s="169">
        <v>39012012</v>
      </c>
      <c r="B22" s="169">
        <v>1</v>
      </c>
      <c r="C22" s="169">
        <v>916</v>
      </c>
      <c r="D22" s="169">
        <v>100</v>
      </c>
      <c r="E22" s="169" t="s">
        <v>53</v>
      </c>
      <c r="F22" s="169" t="s">
        <v>53</v>
      </c>
      <c r="G22" s="169">
        <v>1</v>
      </c>
      <c r="H22" s="169">
        <v>1</v>
      </c>
      <c r="I22" s="169">
        <v>1523</v>
      </c>
      <c r="J22" s="169">
        <f t="shared" si="0"/>
        <v>100</v>
      </c>
      <c r="K22" s="38"/>
      <c r="L22" s="180" t="s">
        <v>377</v>
      </c>
      <c r="M22" s="162" t="s">
        <v>411</v>
      </c>
    </row>
    <row r="23" spans="1:13" s="48" customFormat="1" ht="21" customHeight="1" x14ac:dyDescent="0.15">
      <c r="A23" s="169">
        <v>39012017</v>
      </c>
      <c r="B23" s="169">
        <v>1</v>
      </c>
      <c r="C23" s="169">
        <v>924</v>
      </c>
      <c r="D23" s="169">
        <v>100</v>
      </c>
      <c r="E23" s="169" t="s">
        <v>53</v>
      </c>
      <c r="F23" s="169" t="s">
        <v>53</v>
      </c>
      <c r="G23" s="169">
        <v>1</v>
      </c>
      <c r="H23" s="169">
        <v>1</v>
      </c>
      <c r="I23" s="169">
        <v>1533</v>
      </c>
      <c r="J23" s="169">
        <f t="shared" si="0"/>
        <v>100</v>
      </c>
      <c r="K23" s="38"/>
      <c r="L23" s="180" t="s">
        <v>382</v>
      </c>
      <c r="M23" s="162" t="s">
        <v>411</v>
      </c>
    </row>
    <row r="24" spans="1:13" s="48" customFormat="1" ht="21" customHeight="1" x14ac:dyDescent="0.15">
      <c r="A24" s="169">
        <v>39012018</v>
      </c>
      <c r="B24" s="169">
        <v>1</v>
      </c>
      <c r="C24" s="169">
        <v>920</v>
      </c>
      <c r="D24" s="169">
        <v>100</v>
      </c>
      <c r="E24" s="169" t="s">
        <v>53</v>
      </c>
      <c r="F24" s="169" t="s">
        <v>53</v>
      </c>
      <c r="G24" s="169">
        <v>1</v>
      </c>
      <c r="H24" s="169">
        <v>1</v>
      </c>
      <c r="I24" s="169">
        <v>1535</v>
      </c>
      <c r="J24" s="169">
        <f t="shared" si="0"/>
        <v>100</v>
      </c>
      <c r="K24" s="38"/>
      <c r="L24" s="180" t="s">
        <v>383</v>
      </c>
      <c r="M24" s="162" t="s">
        <v>411</v>
      </c>
    </row>
    <row r="25" spans="1:13" s="48" customFormat="1" ht="21" customHeight="1" x14ac:dyDescent="0.15">
      <c r="A25" s="169">
        <v>39012019</v>
      </c>
      <c r="B25" s="169">
        <v>1</v>
      </c>
      <c r="C25" s="169">
        <v>930</v>
      </c>
      <c r="D25" s="169">
        <v>100</v>
      </c>
      <c r="E25" s="169" t="s">
        <v>53</v>
      </c>
      <c r="F25" s="169" t="s">
        <v>53</v>
      </c>
      <c r="G25" s="169">
        <v>1</v>
      </c>
      <c r="H25" s="169">
        <v>1</v>
      </c>
      <c r="I25" s="169">
        <v>1537</v>
      </c>
      <c r="J25" s="169">
        <f t="shared" si="0"/>
        <v>100</v>
      </c>
      <c r="K25" s="38"/>
      <c r="L25" s="180" t="s">
        <v>385</v>
      </c>
      <c r="M25" s="162" t="s">
        <v>411</v>
      </c>
    </row>
    <row r="26" spans="1:13" s="48" customFormat="1" ht="21" customHeight="1" x14ac:dyDescent="0.15">
      <c r="A26" s="169">
        <v>39012020</v>
      </c>
      <c r="B26" s="169">
        <v>1</v>
      </c>
      <c r="C26" s="169">
        <v>926</v>
      </c>
      <c r="D26" s="169">
        <v>100</v>
      </c>
      <c r="E26" s="169" t="s">
        <v>53</v>
      </c>
      <c r="F26" s="169" t="s">
        <v>53</v>
      </c>
      <c r="G26" s="169">
        <v>1</v>
      </c>
      <c r="H26" s="169">
        <v>1</v>
      </c>
      <c r="I26" s="169">
        <v>1539</v>
      </c>
      <c r="J26" s="169">
        <f t="shared" si="0"/>
        <v>100</v>
      </c>
      <c r="K26" s="38"/>
      <c r="L26" s="180" t="s">
        <v>387</v>
      </c>
      <c r="M26" s="162" t="s">
        <v>411</v>
      </c>
    </row>
    <row r="27" spans="1:13" s="48" customFormat="1" ht="21" customHeight="1" x14ac:dyDescent="0.15">
      <c r="A27" s="169">
        <v>39012021</v>
      </c>
      <c r="B27" s="169">
        <v>1</v>
      </c>
      <c r="C27" s="169">
        <v>928</v>
      </c>
      <c r="D27" s="169">
        <v>100</v>
      </c>
      <c r="E27" s="169" t="s">
        <v>53</v>
      </c>
      <c r="F27" s="169" t="s">
        <v>53</v>
      </c>
      <c r="G27" s="169">
        <v>1</v>
      </c>
      <c r="H27" s="169">
        <v>1</v>
      </c>
      <c r="I27" s="169">
        <v>1541</v>
      </c>
      <c r="J27" s="169">
        <f t="shared" si="0"/>
        <v>100</v>
      </c>
      <c r="K27" s="38"/>
      <c r="L27" s="180" t="s">
        <v>389</v>
      </c>
      <c r="M27" s="162" t="s">
        <v>411</v>
      </c>
    </row>
    <row r="28" spans="1:13" s="48" customFormat="1" ht="21" customHeight="1" x14ac:dyDescent="0.15">
      <c r="A28" s="170">
        <v>39012053</v>
      </c>
      <c r="B28" s="170">
        <v>0</v>
      </c>
      <c r="C28" s="170">
        <v>932</v>
      </c>
      <c r="D28" s="170">
        <v>100</v>
      </c>
      <c r="E28" s="170" t="s">
        <v>53</v>
      </c>
      <c r="F28" s="170" t="s">
        <v>53</v>
      </c>
      <c r="G28" s="170">
        <v>0</v>
      </c>
      <c r="H28" s="170">
        <v>1</v>
      </c>
      <c r="I28" s="170">
        <v>1504</v>
      </c>
      <c r="J28" s="170">
        <f t="shared" si="0"/>
        <v>100</v>
      </c>
      <c r="K28" s="38"/>
      <c r="L28" s="168" t="s">
        <v>256</v>
      </c>
      <c r="M28" s="103" t="s">
        <v>410</v>
      </c>
    </row>
    <row r="29" spans="1:13" s="48" customFormat="1" ht="21" customHeight="1" x14ac:dyDescent="0.15">
      <c r="A29" s="170">
        <v>39012054</v>
      </c>
      <c r="B29" s="170">
        <v>0</v>
      </c>
      <c r="C29" s="170">
        <v>933</v>
      </c>
      <c r="D29" s="170">
        <v>100</v>
      </c>
      <c r="E29" s="170" t="s">
        <v>53</v>
      </c>
      <c r="F29" s="170" t="s">
        <v>53</v>
      </c>
      <c r="G29" s="170">
        <v>0</v>
      </c>
      <c r="H29" s="170">
        <v>1</v>
      </c>
      <c r="I29" s="170">
        <v>1505</v>
      </c>
      <c r="J29" s="170">
        <f t="shared" si="0"/>
        <v>100</v>
      </c>
      <c r="K29" s="38"/>
      <c r="L29" s="168" t="s">
        <v>259</v>
      </c>
      <c r="M29" s="103" t="s">
        <v>410</v>
      </c>
    </row>
    <row r="30" spans="1:13" s="48" customFormat="1" ht="21" customHeight="1" x14ac:dyDescent="0.15">
      <c r="A30" s="170">
        <v>39012055</v>
      </c>
      <c r="B30" s="170">
        <v>0</v>
      </c>
      <c r="C30" s="170">
        <v>934</v>
      </c>
      <c r="D30" s="170">
        <v>100</v>
      </c>
      <c r="E30" s="170" t="s">
        <v>53</v>
      </c>
      <c r="F30" s="170" t="s">
        <v>53</v>
      </c>
      <c r="G30" s="170">
        <v>0</v>
      </c>
      <c r="H30" s="170">
        <v>1</v>
      </c>
      <c r="I30" s="170">
        <v>1506</v>
      </c>
      <c r="J30" s="170">
        <f t="shared" si="0"/>
        <v>100</v>
      </c>
      <c r="K30" s="38"/>
      <c r="L30" s="168" t="s">
        <v>257</v>
      </c>
      <c r="M30" s="103" t="s">
        <v>410</v>
      </c>
    </row>
    <row r="31" spans="1:13" s="48" customFormat="1" ht="21" customHeight="1" x14ac:dyDescent="0.15">
      <c r="A31" s="170">
        <v>39012056</v>
      </c>
      <c r="B31" s="170">
        <v>0</v>
      </c>
      <c r="C31" s="170">
        <v>935</v>
      </c>
      <c r="D31" s="170">
        <v>100</v>
      </c>
      <c r="E31" s="170" t="s">
        <v>53</v>
      </c>
      <c r="F31" s="170" t="s">
        <v>53</v>
      </c>
      <c r="G31" s="170">
        <v>0</v>
      </c>
      <c r="H31" s="170">
        <v>1</v>
      </c>
      <c r="I31" s="170">
        <v>1507</v>
      </c>
      <c r="J31" s="170">
        <f t="shared" si="0"/>
        <v>100</v>
      </c>
      <c r="K31" s="38"/>
      <c r="L31" s="168" t="s">
        <v>260</v>
      </c>
      <c r="M31" s="103" t="s">
        <v>410</v>
      </c>
    </row>
    <row r="32" spans="1:13" s="48" customFormat="1" ht="21" customHeight="1" x14ac:dyDescent="0.15">
      <c r="A32" s="170">
        <v>39012057</v>
      </c>
      <c r="B32" s="170">
        <v>0</v>
      </c>
      <c r="C32" s="170">
        <v>936</v>
      </c>
      <c r="D32" s="170">
        <v>100</v>
      </c>
      <c r="E32" s="170" t="s">
        <v>53</v>
      </c>
      <c r="F32" s="170" t="s">
        <v>53</v>
      </c>
      <c r="G32" s="170">
        <v>0</v>
      </c>
      <c r="H32" s="170">
        <v>1</v>
      </c>
      <c r="I32" s="170">
        <v>1508</v>
      </c>
      <c r="J32" s="170">
        <f t="shared" si="0"/>
        <v>100</v>
      </c>
      <c r="K32" s="38"/>
      <c r="L32" s="168" t="s">
        <v>258</v>
      </c>
      <c r="M32" s="103" t="s">
        <v>410</v>
      </c>
    </row>
    <row r="33" spans="1:13" s="48" customFormat="1" ht="21" customHeight="1" x14ac:dyDescent="0.15">
      <c r="A33" s="170">
        <v>39012058</v>
      </c>
      <c r="B33" s="170">
        <v>0</v>
      </c>
      <c r="C33" s="170">
        <v>953</v>
      </c>
      <c r="D33" s="170">
        <v>100</v>
      </c>
      <c r="E33" s="170" t="s">
        <v>53</v>
      </c>
      <c r="F33" s="170" t="s">
        <v>53</v>
      </c>
      <c r="G33" s="170">
        <v>0</v>
      </c>
      <c r="H33" s="170">
        <v>1</v>
      </c>
      <c r="I33" s="170">
        <v>1509</v>
      </c>
      <c r="J33" s="170">
        <f t="shared" si="0"/>
        <v>100</v>
      </c>
      <c r="K33" s="38"/>
      <c r="L33" s="168" t="s">
        <v>368</v>
      </c>
      <c r="M33" s="103" t="s">
        <v>410</v>
      </c>
    </row>
    <row r="34" spans="1:13" s="48" customFormat="1" ht="21" customHeight="1" x14ac:dyDescent="0.15">
      <c r="A34" s="170">
        <v>39012062</v>
      </c>
      <c r="B34" s="170">
        <v>0</v>
      </c>
      <c r="C34" s="170">
        <v>937</v>
      </c>
      <c r="D34" s="170">
        <v>100</v>
      </c>
      <c r="E34" s="170" t="s">
        <v>53</v>
      </c>
      <c r="F34" s="170" t="s">
        <v>53</v>
      </c>
      <c r="G34" s="170">
        <v>0</v>
      </c>
      <c r="H34" s="170">
        <v>1</v>
      </c>
      <c r="I34" s="170">
        <v>1513</v>
      </c>
      <c r="J34" s="170">
        <f t="shared" si="0"/>
        <v>100</v>
      </c>
      <c r="K34" s="38"/>
      <c r="L34" s="168" t="s">
        <v>370</v>
      </c>
      <c r="M34" s="103" t="s">
        <v>410</v>
      </c>
    </row>
    <row r="35" spans="1:13" s="48" customFormat="1" ht="21" customHeight="1" x14ac:dyDescent="0.15">
      <c r="A35" s="170">
        <v>39012063</v>
      </c>
      <c r="B35" s="170">
        <v>0</v>
      </c>
      <c r="C35" s="170">
        <v>938</v>
      </c>
      <c r="D35" s="170">
        <v>100</v>
      </c>
      <c r="E35" s="170" t="s">
        <v>53</v>
      </c>
      <c r="F35" s="170" t="s">
        <v>53</v>
      </c>
      <c r="G35" s="170">
        <v>0</v>
      </c>
      <c r="H35" s="170">
        <v>1</v>
      </c>
      <c r="I35" s="170">
        <v>1514</v>
      </c>
      <c r="J35" s="170">
        <f t="shared" si="0"/>
        <v>100</v>
      </c>
      <c r="K35" s="38"/>
      <c r="L35" s="168" t="s">
        <v>401</v>
      </c>
      <c r="M35" s="103" t="s">
        <v>410</v>
      </c>
    </row>
    <row r="36" spans="1:13" s="48" customFormat="1" ht="21" customHeight="1" x14ac:dyDescent="0.15">
      <c r="A36" s="170">
        <v>39012064</v>
      </c>
      <c r="B36" s="170">
        <v>0</v>
      </c>
      <c r="C36" s="170">
        <v>939</v>
      </c>
      <c r="D36" s="170">
        <v>100</v>
      </c>
      <c r="E36" s="170" t="s">
        <v>53</v>
      </c>
      <c r="F36" s="170" t="s">
        <v>53</v>
      </c>
      <c r="G36" s="170">
        <v>0</v>
      </c>
      <c r="H36" s="170">
        <v>1</v>
      </c>
      <c r="I36" s="170">
        <v>1515</v>
      </c>
      <c r="J36" s="170">
        <f t="shared" si="0"/>
        <v>100</v>
      </c>
      <c r="K36" s="38"/>
      <c r="L36" s="168" t="s">
        <v>371</v>
      </c>
      <c r="M36" s="103" t="s">
        <v>410</v>
      </c>
    </row>
    <row r="37" spans="1:13" s="48" customFormat="1" ht="21" customHeight="1" x14ac:dyDescent="0.15">
      <c r="A37" s="170">
        <v>39012065</v>
      </c>
      <c r="B37" s="170">
        <v>0</v>
      </c>
      <c r="C37" s="170">
        <v>940</v>
      </c>
      <c r="D37" s="170">
        <v>100</v>
      </c>
      <c r="E37" s="170" t="s">
        <v>53</v>
      </c>
      <c r="F37" s="170" t="s">
        <v>53</v>
      </c>
      <c r="G37" s="170">
        <v>0</v>
      </c>
      <c r="H37" s="170">
        <v>1</v>
      </c>
      <c r="I37" s="170">
        <v>1516</v>
      </c>
      <c r="J37" s="170">
        <f t="shared" si="0"/>
        <v>100</v>
      </c>
      <c r="K37" s="38"/>
      <c r="L37" s="168" t="s">
        <v>402</v>
      </c>
      <c r="M37" s="103" t="s">
        <v>410</v>
      </c>
    </row>
    <row r="38" spans="1:13" s="48" customFormat="1" ht="21" customHeight="1" x14ac:dyDescent="0.15">
      <c r="A38" s="170">
        <v>39012066</v>
      </c>
      <c r="B38" s="170">
        <v>0</v>
      </c>
      <c r="C38" s="170">
        <v>941</v>
      </c>
      <c r="D38" s="170">
        <v>100</v>
      </c>
      <c r="E38" s="170" t="s">
        <v>53</v>
      </c>
      <c r="F38" s="170" t="s">
        <v>53</v>
      </c>
      <c r="G38" s="170">
        <v>0</v>
      </c>
      <c r="H38" s="170">
        <v>1</v>
      </c>
      <c r="I38" s="170">
        <v>1517</v>
      </c>
      <c r="J38" s="170">
        <f t="shared" si="0"/>
        <v>100</v>
      </c>
      <c r="K38" s="38"/>
      <c r="L38" s="168" t="s">
        <v>372</v>
      </c>
      <c r="M38" s="103" t="s">
        <v>410</v>
      </c>
    </row>
    <row r="39" spans="1:13" s="48" customFormat="1" ht="21" customHeight="1" x14ac:dyDescent="0.15">
      <c r="A39" s="170">
        <v>39012067</v>
      </c>
      <c r="B39" s="170">
        <v>0</v>
      </c>
      <c r="C39" s="170">
        <v>942</v>
      </c>
      <c r="D39" s="170">
        <v>100</v>
      </c>
      <c r="E39" s="170" t="s">
        <v>53</v>
      </c>
      <c r="F39" s="170" t="s">
        <v>53</v>
      </c>
      <c r="G39" s="170">
        <v>0</v>
      </c>
      <c r="H39" s="170">
        <v>1</v>
      </c>
      <c r="I39" s="170">
        <v>1518</v>
      </c>
      <c r="J39" s="170">
        <f t="shared" si="0"/>
        <v>100</v>
      </c>
      <c r="K39" s="38"/>
      <c r="L39" s="168" t="s">
        <v>373</v>
      </c>
      <c r="M39" s="103" t="s">
        <v>410</v>
      </c>
    </row>
    <row r="40" spans="1:13" s="48" customFormat="1" ht="21" customHeight="1" x14ac:dyDescent="0.15">
      <c r="A40" s="170">
        <v>39012068</v>
      </c>
      <c r="B40" s="170">
        <v>0</v>
      </c>
      <c r="C40" s="170">
        <v>943</v>
      </c>
      <c r="D40" s="170">
        <v>100</v>
      </c>
      <c r="E40" s="170" t="s">
        <v>53</v>
      </c>
      <c r="F40" s="170" t="s">
        <v>53</v>
      </c>
      <c r="G40" s="170">
        <v>0</v>
      </c>
      <c r="H40" s="170">
        <v>1</v>
      </c>
      <c r="I40" s="170">
        <v>1519</v>
      </c>
      <c r="J40" s="170">
        <f t="shared" si="0"/>
        <v>100</v>
      </c>
      <c r="K40" s="38"/>
      <c r="L40" s="168" t="s">
        <v>374</v>
      </c>
      <c r="M40" s="103" t="s">
        <v>410</v>
      </c>
    </row>
    <row r="41" spans="1:13" s="48" customFormat="1" ht="21" customHeight="1" x14ac:dyDescent="0.15">
      <c r="A41" s="170">
        <v>39012069</v>
      </c>
      <c r="B41" s="170">
        <v>0</v>
      </c>
      <c r="C41" s="170">
        <v>944</v>
      </c>
      <c r="D41" s="170">
        <v>100</v>
      </c>
      <c r="E41" s="170" t="s">
        <v>53</v>
      </c>
      <c r="F41" s="170" t="s">
        <v>53</v>
      </c>
      <c r="G41" s="170">
        <v>0</v>
      </c>
      <c r="H41" s="170">
        <v>1</v>
      </c>
      <c r="I41" s="170">
        <v>1520</v>
      </c>
      <c r="J41" s="170">
        <f t="shared" si="0"/>
        <v>100</v>
      </c>
      <c r="K41" s="38"/>
      <c r="L41" s="168" t="s">
        <v>375</v>
      </c>
      <c r="M41" s="103" t="s">
        <v>410</v>
      </c>
    </row>
    <row r="42" spans="1:13" s="48" customFormat="1" ht="21" customHeight="1" x14ac:dyDescent="0.15">
      <c r="A42" s="170">
        <v>39012070</v>
      </c>
      <c r="B42" s="170">
        <v>0</v>
      </c>
      <c r="C42" s="170">
        <v>945</v>
      </c>
      <c r="D42" s="170">
        <v>100</v>
      </c>
      <c r="E42" s="170" t="s">
        <v>53</v>
      </c>
      <c r="F42" s="170" t="s">
        <v>53</v>
      </c>
      <c r="G42" s="170">
        <v>0</v>
      </c>
      <c r="H42" s="170">
        <v>1</v>
      </c>
      <c r="I42" s="170">
        <v>1521</v>
      </c>
      <c r="J42" s="170">
        <f t="shared" si="0"/>
        <v>100</v>
      </c>
      <c r="K42" s="38"/>
      <c r="L42" s="168" t="s">
        <v>376</v>
      </c>
      <c r="M42" s="103" t="s">
        <v>410</v>
      </c>
    </row>
    <row r="43" spans="1:13" s="48" customFormat="1" ht="21" customHeight="1" x14ac:dyDescent="0.15">
      <c r="A43" s="170">
        <v>39012071</v>
      </c>
      <c r="B43" s="170">
        <v>0</v>
      </c>
      <c r="C43" s="170">
        <v>946</v>
      </c>
      <c r="D43" s="170">
        <v>100</v>
      </c>
      <c r="E43" s="170" t="s">
        <v>53</v>
      </c>
      <c r="F43" s="170" t="s">
        <v>53</v>
      </c>
      <c r="G43" s="170">
        <v>0</v>
      </c>
      <c r="H43" s="170">
        <v>1</v>
      </c>
      <c r="I43" s="170">
        <v>1522</v>
      </c>
      <c r="J43" s="170">
        <f t="shared" si="0"/>
        <v>100</v>
      </c>
      <c r="K43" s="38"/>
      <c r="L43" s="168" t="s">
        <v>403</v>
      </c>
      <c r="M43" s="103" t="s">
        <v>410</v>
      </c>
    </row>
    <row r="44" spans="1:13" s="48" customFormat="1" ht="21" customHeight="1" x14ac:dyDescent="0.15">
      <c r="A44" s="170">
        <v>39012074</v>
      </c>
      <c r="B44" s="170">
        <v>0</v>
      </c>
      <c r="C44" s="170">
        <v>960</v>
      </c>
      <c r="D44" s="170">
        <v>100</v>
      </c>
      <c r="E44" s="170" t="s">
        <v>53</v>
      </c>
      <c r="F44" s="170" t="s">
        <v>53</v>
      </c>
      <c r="G44" s="170">
        <v>0</v>
      </c>
      <c r="H44" s="170">
        <v>1</v>
      </c>
      <c r="I44" s="170">
        <v>1525</v>
      </c>
      <c r="J44" s="170">
        <f t="shared" ref="J44:J107" si="1">D44</f>
        <v>100</v>
      </c>
      <c r="K44" s="38"/>
      <c r="L44" s="168" t="s">
        <v>378</v>
      </c>
      <c r="M44" s="103" t="s">
        <v>410</v>
      </c>
    </row>
    <row r="45" spans="1:13" s="48" customFormat="1" ht="21" customHeight="1" x14ac:dyDescent="0.15">
      <c r="A45" s="170">
        <v>39012075</v>
      </c>
      <c r="B45" s="170">
        <v>0</v>
      </c>
      <c r="C45" s="170">
        <v>961</v>
      </c>
      <c r="D45" s="170">
        <v>100</v>
      </c>
      <c r="E45" s="170" t="s">
        <v>53</v>
      </c>
      <c r="F45" s="170" t="s">
        <v>53</v>
      </c>
      <c r="G45" s="170">
        <v>0</v>
      </c>
      <c r="H45" s="170">
        <v>1</v>
      </c>
      <c r="I45" s="170">
        <v>1526</v>
      </c>
      <c r="J45" s="170">
        <f t="shared" si="1"/>
        <v>100</v>
      </c>
      <c r="K45" s="38"/>
      <c r="L45" s="168" t="s">
        <v>405</v>
      </c>
      <c r="M45" s="103" t="s">
        <v>410</v>
      </c>
    </row>
    <row r="46" spans="1:13" s="48" customFormat="1" ht="21" customHeight="1" x14ac:dyDescent="0.15">
      <c r="A46" s="170">
        <v>39012076</v>
      </c>
      <c r="B46" s="170">
        <v>0</v>
      </c>
      <c r="C46" s="170">
        <v>947</v>
      </c>
      <c r="D46" s="170">
        <v>100</v>
      </c>
      <c r="E46" s="170" t="s">
        <v>53</v>
      </c>
      <c r="F46" s="170" t="s">
        <v>53</v>
      </c>
      <c r="G46" s="170">
        <v>0</v>
      </c>
      <c r="H46" s="170">
        <v>1</v>
      </c>
      <c r="I46" s="170">
        <v>1527</v>
      </c>
      <c r="J46" s="170">
        <f t="shared" si="1"/>
        <v>100</v>
      </c>
      <c r="K46" s="38"/>
      <c r="L46" s="168" t="s">
        <v>379</v>
      </c>
      <c r="M46" s="103" t="s">
        <v>410</v>
      </c>
    </row>
    <row r="47" spans="1:13" s="48" customFormat="1" ht="21" customHeight="1" x14ac:dyDescent="0.15">
      <c r="A47" s="170">
        <v>39012077</v>
      </c>
      <c r="B47" s="170">
        <v>0</v>
      </c>
      <c r="C47" s="170">
        <v>948</v>
      </c>
      <c r="D47" s="170">
        <v>100</v>
      </c>
      <c r="E47" s="170" t="s">
        <v>53</v>
      </c>
      <c r="F47" s="170" t="s">
        <v>53</v>
      </c>
      <c r="G47" s="170">
        <v>0</v>
      </c>
      <c r="H47" s="170">
        <v>1</v>
      </c>
      <c r="I47" s="170">
        <v>1528</v>
      </c>
      <c r="J47" s="170">
        <f t="shared" si="1"/>
        <v>100</v>
      </c>
      <c r="K47" s="38"/>
      <c r="L47" s="168" t="s">
        <v>406</v>
      </c>
      <c r="M47" s="103" t="s">
        <v>410</v>
      </c>
    </row>
    <row r="48" spans="1:13" s="48" customFormat="1" ht="21" customHeight="1" x14ac:dyDescent="0.15">
      <c r="A48" s="170">
        <v>39012078</v>
      </c>
      <c r="B48" s="170">
        <v>0</v>
      </c>
      <c r="C48" s="170">
        <v>949</v>
      </c>
      <c r="D48" s="170">
        <v>100</v>
      </c>
      <c r="E48" s="170" t="s">
        <v>53</v>
      </c>
      <c r="F48" s="170" t="s">
        <v>53</v>
      </c>
      <c r="G48" s="170">
        <v>0</v>
      </c>
      <c r="H48" s="170">
        <v>1</v>
      </c>
      <c r="I48" s="170">
        <v>1529</v>
      </c>
      <c r="J48" s="170">
        <f t="shared" si="1"/>
        <v>100</v>
      </c>
      <c r="K48" s="38"/>
      <c r="L48" s="168" t="s">
        <v>380</v>
      </c>
      <c r="M48" s="103" t="s">
        <v>410</v>
      </c>
    </row>
    <row r="49" spans="1:13" s="48" customFormat="1" ht="20" customHeight="1" x14ac:dyDescent="0.15">
      <c r="A49" s="170">
        <v>39012079</v>
      </c>
      <c r="B49" s="170">
        <v>0</v>
      </c>
      <c r="C49" s="170">
        <v>950</v>
      </c>
      <c r="D49" s="170">
        <v>100</v>
      </c>
      <c r="E49" s="170" t="s">
        <v>53</v>
      </c>
      <c r="F49" s="170" t="s">
        <v>53</v>
      </c>
      <c r="G49" s="170">
        <v>0</v>
      </c>
      <c r="H49" s="170">
        <v>1</v>
      </c>
      <c r="I49" s="170">
        <v>1530</v>
      </c>
      <c r="J49" s="170">
        <f t="shared" si="1"/>
        <v>100</v>
      </c>
      <c r="K49" s="38"/>
      <c r="L49" s="168" t="s">
        <v>407</v>
      </c>
      <c r="M49" s="103" t="s">
        <v>410</v>
      </c>
    </row>
    <row r="50" spans="1:13" s="48" customFormat="1" ht="21" customHeight="1" x14ac:dyDescent="0.15">
      <c r="A50" s="170">
        <v>39012080</v>
      </c>
      <c r="B50" s="170">
        <v>0</v>
      </c>
      <c r="C50" s="170">
        <v>951</v>
      </c>
      <c r="D50" s="170">
        <v>100</v>
      </c>
      <c r="E50" s="170" t="s">
        <v>53</v>
      </c>
      <c r="F50" s="170" t="s">
        <v>53</v>
      </c>
      <c r="G50" s="170">
        <v>0</v>
      </c>
      <c r="H50" s="170">
        <v>1</v>
      </c>
      <c r="I50" s="170">
        <v>1531</v>
      </c>
      <c r="J50" s="170">
        <f t="shared" si="1"/>
        <v>100</v>
      </c>
      <c r="K50" s="38"/>
      <c r="L50" s="168" t="s">
        <v>381</v>
      </c>
      <c r="M50" s="103" t="s">
        <v>410</v>
      </c>
    </row>
    <row r="51" spans="1:13" s="48" customFormat="1" ht="21" customHeight="1" x14ac:dyDescent="0.15">
      <c r="A51" s="170">
        <v>39012081</v>
      </c>
      <c r="B51" s="170">
        <v>0</v>
      </c>
      <c r="C51" s="170">
        <v>952</v>
      </c>
      <c r="D51" s="170">
        <v>100</v>
      </c>
      <c r="E51" s="170" t="s">
        <v>53</v>
      </c>
      <c r="F51" s="170" t="s">
        <v>53</v>
      </c>
      <c r="G51" s="170">
        <v>0</v>
      </c>
      <c r="H51" s="170">
        <v>1</v>
      </c>
      <c r="I51" s="170">
        <v>1532</v>
      </c>
      <c r="J51" s="170">
        <f t="shared" si="1"/>
        <v>100</v>
      </c>
      <c r="K51" s="38"/>
      <c r="L51" s="168" t="s">
        <v>408</v>
      </c>
      <c r="M51" s="103" t="s">
        <v>410</v>
      </c>
    </row>
    <row r="52" spans="1:13" s="48" customFormat="1" ht="21" customHeight="1" x14ac:dyDescent="0.15">
      <c r="A52" s="170">
        <v>39012092</v>
      </c>
      <c r="B52" s="170">
        <v>0</v>
      </c>
      <c r="C52" s="170">
        <v>962</v>
      </c>
      <c r="D52" s="170">
        <v>100</v>
      </c>
      <c r="E52" s="170" t="s">
        <v>53</v>
      </c>
      <c r="F52" s="170" t="s">
        <v>53</v>
      </c>
      <c r="G52" s="170">
        <v>0</v>
      </c>
      <c r="H52" s="170">
        <v>1</v>
      </c>
      <c r="I52" s="170">
        <v>1543</v>
      </c>
      <c r="J52" s="170">
        <f t="shared" si="1"/>
        <v>100</v>
      </c>
      <c r="K52" s="38"/>
      <c r="L52" s="168" t="s">
        <v>391</v>
      </c>
      <c r="M52" s="103" t="s">
        <v>410</v>
      </c>
    </row>
    <row r="53" spans="1:13" s="48" customFormat="1" ht="21" customHeight="1" x14ac:dyDescent="0.15">
      <c r="A53" s="170">
        <v>39012093</v>
      </c>
      <c r="B53" s="170">
        <v>0</v>
      </c>
      <c r="C53" s="170">
        <v>963</v>
      </c>
      <c r="D53" s="170">
        <v>100</v>
      </c>
      <c r="E53" s="170" t="s">
        <v>53</v>
      </c>
      <c r="F53" s="170" t="s">
        <v>53</v>
      </c>
      <c r="G53" s="170">
        <v>0</v>
      </c>
      <c r="H53" s="170">
        <v>1</v>
      </c>
      <c r="I53" s="170">
        <v>1544</v>
      </c>
      <c r="J53" s="170">
        <f t="shared" si="1"/>
        <v>100</v>
      </c>
      <c r="K53" s="38"/>
      <c r="L53" s="168" t="s">
        <v>392</v>
      </c>
      <c r="M53" s="103" t="s">
        <v>410</v>
      </c>
    </row>
    <row r="54" spans="1:13" s="48" customFormat="1" ht="21" customHeight="1" x14ac:dyDescent="0.15">
      <c r="A54" s="170">
        <v>39012094</v>
      </c>
      <c r="B54" s="170">
        <v>0</v>
      </c>
      <c r="C54" s="170">
        <v>964</v>
      </c>
      <c r="D54" s="170">
        <v>100</v>
      </c>
      <c r="E54" s="170" t="s">
        <v>53</v>
      </c>
      <c r="F54" s="170" t="s">
        <v>53</v>
      </c>
      <c r="G54" s="170">
        <v>0</v>
      </c>
      <c r="H54" s="170">
        <v>1</v>
      </c>
      <c r="I54" s="170">
        <v>1545</v>
      </c>
      <c r="J54" s="170">
        <f t="shared" si="1"/>
        <v>100</v>
      </c>
      <c r="K54" s="38"/>
      <c r="L54" s="168" t="s">
        <v>393</v>
      </c>
      <c r="M54" s="103" t="s">
        <v>410</v>
      </c>
    </row>
    <row r="55" spans="1:13" s="48" customFormat="1" ht="21" customHeight="1" x14ac:dyDescent="0.15">
      <c r="A55" s="170">
        <v>39012095</v>
      </c>
      <c r="B55" s="170">
        <v>0</v>
      </c>
      <c r="C55" s="170">
        <v>965</v>
      </c>
      <c r="D55" s="170">
        <v>100</v>
      </c>
      <c r="E55" s="170" t="s">
        <v>53</v>
      </c>
      <c r="F55" s="170" t="s">
        <v>53</v>
      </c>
      <c r="G55" s="170">
        <v>0</v>
      </c>
      <c r="H55" s="170">
        <v>1</v>
      </c>
      <c r="I55" s="170">
        <v>1546</v>
      </c>
      <c r="J55" s="170">
        <f t="shared" si="1"/>
        <v>100</v>
      </c>
      <c r="K55" s="38"/>
      <c r="L55" s="168" t="s">
        <v>394</v>
      </c>
      <c r="M55" s="103" t="s">
        <v>410</v>
      </c>
    </row>
    <row r="56" spans="1:13" s="48" customFormat="1" ht="21" customHeight="1" x14ac:dyDescent="0.15">
      <c r="A56" s="170">
        <v>39012096</v>
      </c>
      <c r="B56" s="170">
        <v>0</v>
      </c>
      <c r="C56" s="170">
        <v>954</v>
      </c>
      <c r="D56" s="170">
        <v>100</v>
      </c>
      <c r="E56" s="170" t="s">
        <v>53</v>
      </c>
      <c r="F56" s="170" t="s">
        <v>53</v>
      </c>
      <c r="G56" s="170">
        <v>0</v>
      </c>
      <c r="H56" s="170">
        <v>1</v>
      </c>
      <c r="I56" s="170">
        <v>1547</v>
      </c>
      <c r="J56" s="170">
        <f t="shared" si="1"/>
        <v>100</v>
      </c>
      <c r="K56" s="38"/>
      <c r="L56" s="168" t="s">
        <v>395</v>
      </c>
      <c r="M56" s="103" t="s">
        <v>410</v>
      </c>
    </row>
    <row r="57" spans="1:13" s="48" customFormat="1" ht="21" customHeight="1" x14ac:dyDescent="0.15">
      <c r="A57" s="170">
        <v>39012097</v>
      </c>
      <c r="B57" s="170">
        <v>0</v>
      </c>
      <c r="C57" s="170">
        <v>955</v>
      </c>
      <c r="D57" s="170">
        <v>100</v>
      </c>
      <c r="E57" s="170" t="s">
        <v>53</v>
      </c>
      <c r="F57" s="170" t="s">
        <v>53</v>
      </c>
      <c r="G57" s="170">
        <v>0</v>
      </c>
      <c r="H57" s="170">
        <v>1</v>
      </c>
      <c r="I57" s="170">
        <v>1548</v>
      </c>
      <c r="J57" s="170">
        <f t="shared" si="1"/>
        <v>100</v>
      </c>
      <c r="K57" s="38"/>
      <c r="L57" s="168" t="s">
        <v>396</v>
      </c>
      <c r="M57" s="103" t="s">
        <v>410</v>
      </c>
    </row>
    <row r="58" spans="1:13" s="48" customFormat="1" ht="21" customHeight="1" x14ac:dyDescent="0.15">
      <c r="A58" s="170">
        <v>39012098</v>
      </c>
      <c r="B58" s="170">
        <v>0</v>
      </c>
      <c r="C58" s="170">
        <v>956</v>
      </c>
      <c r="D58" s="170">
        <v>100</v>
      </c>
      <c r="E58" s="170" t="s">
        <v>53</v>
      </c>
      <c r="F58" s="170" t="s">
        <v>53</v>
      </c>
      <c r="G58" s="170">
        <v>0</v>
      </c>
      <c r="H58" s="170">
        <v>1</v>
      </c>
      <c r="I58" s="170">
        <v>1549</v>
      </c>
      <c r="J58" s="170">
        <f t="shared" si="1"/>
        <v>100</v>
      </c>
      <c r="K58" s="38"/>
      <c r="L58" s="168" t="s">
        <v>397</v>
      </c>
      <c r="M58" s="103" t="s">
        <v>410</v>
      </c>
    </row>
    <row r="59" spans="1:13" s="48" customFormat="1" ht="21" customHeight="1" x14ac:dyDescent="0.15">
      <c r="A59" s="170">
        <v>39012099</v>
      </c>
      <c r="B59" s="170">
        <v>0</v>
      </c>
      <c r="C59" s="170">
        <v>957</v>
      </c>
      <c r="D59" s="170">
        <v>100</v>
      </c>
      <c r="E59" s="170" t="s">
        <v>53</v>
      </c>
      <c r="F59" s="170" t="s">
        <v>53</v>
      </c>
      <c r="G59" s="170">
        <v>0</v>
      </c>
      <c r="H59" s="170">
        <v>1</v>
      </c>
      <c r="I59" s="170">
        <v>1550</v>
      </c>
      <c r="J59" s="170">
        <f t="shared" si="1"/>
        <v>100</v>
      </c>
      <c r="K59" s="38"/>
      <c r="L59" s="168" t="s">
        <v>398</v>
      </c>
      <c r="M59" s="103" t="s">
        <v>410</v>
      </c>
    </row>
    <row r="60" spans="1:13" s="48" customFormat="1" ht="21" customHeight="1" x14ac:dyDescent="0.15">
      <c r="A60" s="170">
        <v>39012059</v>
      </c>
      <c r="B60" s="170">
        <v>0</v>
      </c>
      <c r="C60" s="170">
        <v>968</v>
      </c>
      <c r="D60" s="170">
        <v>100</v>
      </c>
      <c r="E60" s="170" t="s">
        <v>53</v>
      </c>
      <c r="F60" s="170" t="s">
        <v>53</v>
      </c>
      <c r="G60" s="170">
        <v>0</v>
      </c>
      <c r="H60" s="170">
        <v>1</v>
      </c>
      <c r="I60" s="170">
        <v>1510</v>
      </c>
      <c r="J60" s="170">
        <f t="shared" si="1"/>
        <v>100</v>
      </c>
      <c r="K60" s="38"/>
      <c r="L60" s="180" t="s">
        <v>369</v>
      </c>
      <c r="M60" s="162" t="s">
        <v>410</v>
      </c>
    </row>
    <row r="61" spans="1:13" s="48" customFormat="1" ht="21" customHeight="1" x14ac:dyDescent="0.15">
      <c r="A61" s="170">
        <v>39012060</v>
      </c>
      <c r="B61" s="170">
        <v>0</v>
      </c>
      <c r="C61" s="170">
        <v>969</v>
      </c>
      <c r="D61" s="170">
        <v>100</v>
      </c>
      <c r="E61" s="170" t="s">
        <v>53</v>
      </c>
      <c r="F61" s="170" t="s">
        <v>53</v>
      </c>
      <c r="G61" s="170">
        <v>0</v>
      </c>
      <c r="H61" s="170">
        <v>1</v>
      </c>
      <c r="I61" s="170">
        <v>1511</v>
      </c>
      <c r="J61" s="170">
        <f t="shared" si="1"/>
        <v>100</v>
      </c>
      <c r="K61" s="38"/>
      <c r="L61" s="180" t="s">
        <v>399</v>
      </c>
      <c r="M61" s="162" t="s">
        <v>410</v>
      </c>
    </row>
    <row r="62" spans="1:13" s="48" customFormat="1" ht="21" customHeight="1" x14ac:dyDescent="0.15">
      <c r="A62" s="170">
        <v>39012061</v>
      </c>
      <c r="B62" s="170">
        <v>0</v>
      </c>
      <c r="C62" s="170">
        <v>970</v>
      </c>
      <c r="D62" s="170">
        <v>100</v>
      </c>
      <c r="E62" s="170" t="s">
        <v>53</v>
      </c>
      <c r="F62" s="170" t="s">
        <v>53</v>
      </c>
      <c r="G62" s="170">
        <v>0</v>
      </c>
      <c r="H62" s="170">
        <v>1</v>
      </c>
      <c r="I62" s="170">
        <v>1512</v>
      </c>
      <c r="J62" s="170">
        <f t="shared" si="1"/>
        <v>100</v>
      </c>
      <c r="K62" s="38"/>
      <c r="L62" s="180" t="s">
        <v>400</v>
      </c>
      <c r="M62" s="162" t="s">
        <v>410</v>
      </c>
    </row>
    <row r="63" spans="1:13" s="48" customFormat="1" ht="21" customHeight="1" x14ac:dyDescent="0.15">
      <c r="A63" s="170">
        <v>39012072</v>
      </c>
      <c r="B63" s="170">
        <v>0</v>
      </c>
      <c r="C63" s="170">
        <v>958</v>
      </c>
      <c r="D63" s="170">
        <v>100</v>
      </c>
      <c r="E63" s="170" t="s">
        <v>53</v>
      </c>
      <c r="F63" s="170" t="s">
        <v>53</v>
      </c>
      <c r="G63" s="170">
        <v>0</v>
      </c>
      <c r="H63" s="170">
        <v>1</v>
      </c>
      <c r="I63" s="170">
        <v>1523</v>
      </c>
      <c r="J63" s="170">
        <f t="shared" si="1"/>
        <v>100</v>
      </c>
      <c r="K63" s="38"/>
      <c r="L63" s="180" t="s">
        <v>377</v>
      </c>
      <c r="M63" s="162" t="s">
        <v>410</v>
      </c>
    </row>
    <row r="64" spans="1:13" s="48" customFormat="1" ht="21" customHeight="1" x14ac:dyDescent="0.15">
      <c r="A64" s="170">
        <v>39012073</v>
      </c>
      <c r="B64" s="170">
        <v>0</v>
      </c>
      <c r="C64" s="170">
        <v>959</v>
      </c>
      <c r="D64" s="170">
        <v>100</v>
      </c>
      <c r="E64" s="170" t="s">
        <v>53</v>
      </c>
      <c r="F64" s="170" t="s">
        <v>53</v>
      </c>
      <c r="G64" s="170">
        <v>0</v>
      </c>
      <c r="H64" s="170">
        <v>1</v>
      </c>
      <c r="I64" s="170">
        <v>1524</v>
      </c>
      <c r="J64" s="170">
        <f t="shared" si="1"/>
        <v>100</v>
      </c>
      <c r="K64" s="38"/>
      <c r="L64" s="180" t="s">
        <v>404</v>
      </c>
      <c r="M64" s="162" t="s">
        <v>410</v>
      </c>
    </row>
    <row r="65" spans="1:13" s="48" customFormat="1" ht="21" customHeight="1" x14ac:dyDescent="0.15">
      <c r="A65" s="170">
        <v>39012082</v>
      </c>
      <c r="B65" s="170">
        <v>0</v>
      </c>
      <c r="C65" s="170">
        <v>971</v>
      </c>
      <c r="D65" s="170">
        <v>100</v>
      </c>
      <c r="E65" s="170" t="s">
        <v>53</v>
      </c>
      <c r="F65" s="170" t="s">
        <v>53</v>
      </c>
      <c r="G65" s="170">
        <v>0</v>
      </c>
      <c r="H65" s="170">
        <v>1</v>
      </c>
      <c r="I65" s="170">
        <v>1533</v>
      </c>
      <c r="J65" s="170">
        <f t="shared" si="1"/>
        <v>100</v>
      </c>
      <c r="K65" s="38"/>
      <c r="L65" s="180" t="s">
        <v>382</v>
      </c>
      <c r="M65" s="162" t="s">
        <v>410</v>
      </c>
    </row>
    <row r="66" spans="1:13" s="48" customFormat="1" ht="21" customHeight="1" x14ac:dyDescent="0.15">
      <c r="A66" s="170">
        <v>39012083</v>
      </c>
      <c r="B66" s="170">
        <v>0</v>
      </c>
      <c r="C66" s="170">
        <v>972</v>
      </c>
      <c r="D66" s="170">
        <v>100</v>
      </c>
      <c r="E66" s="170" t="s">
        <v>53</v>
      </c>
      <c r="F66" s="170" t="s">
        <v>53</v>
      </c>
      <c r="G66" s="170">
        <v>0</v>
      </c>
      <c r="H66" s="170">
        <v>1</v>
      </c>
      <c r="I66" s="170">
        <v>1534</v>
      </c>
      <c r="J66" s="170">
        <f t="shared" si="1"/>
        <v>100</v>
      </c>
      <c r="K66" s="38"/>
      <c r="L66" s="180" t="s">
        <v>409</v>
      </c>
      <c r="M66" s="162" t="s">
        <v>410</v>
      </c>
    </row>
    <row r="67" spans="1:13" s="48" customFormat="1" ht="21" customHeight="1" x14ac:dyDescent="0.15">
      <c r="A67" s="170">
        <v>39012084</v>
      </c>
      <c r="B67" s="170">
        <v>0</v>
      </c>
      <c r="C67" s="170">
        <v>966</v>
      </c>
      <c r="D67" s="170">
        <v>100</v>
      </c>
      <c r="E67" s="170" t="s">
        <v>53</v>
      </c>
      <c r="F67" s="170" t="s">
        <v>53</v>
      </c>
      <c r="G67" s="170">
        <v>0</v>
      </c>
      <c r="H67" s="170">
        <v>1</v>
      </c>
      <c r="I67" s="170">
        <v>1535</v>
      </c>
      <c r="J67" s="170">
        <f t="shared" si="1"/>
        <v>100</v>
      </c>
      <c r="K67" s="38"/>
      <c r="L67" s="180" t="s">
        <v>383</v>
      </c>
      <c r="M67" s="162" t="s">
        <v>410</v>
      </c>
    </row>
    <row r="68" spans="1:13" s="48" customFormat="1" ht="21" customHeight="1" x14ac:dyDescent="0.15">
      <c r="A68" s="170">
        <v>39012085</v>
      </c>
      <c r="B68" s="170">
        <v>0</v>
      </c>
      <c r="C68" s="170">
        <v>967</v>
      </c>
      <c r="D68" s="170">
        <v>100</v>
      </c>
      <c r="E68" s="170" t="s">
        <v>53</v>
      </c>
      <c r="F68" s="170" t="s">
        <v>53</v>
      </c>
      <c r="G68" s="170">
        <v>0</v>
      </c>
      <c r="H68" s="170">
        <v>1</v>
      </c>
      <c r="I68" s="170">
        <v>1536</v>
      </c>
      <c r="J68" s="170">
        <f t="shared" si="1"/>
        <v>100</v>
      </c>
      <c r="K68" s="38"/>
      <c r="L68" s="180" t="s">
        <v>384</v>
      </c>
      <c r="M68" s="162" t="s">
        <v>410</v>
      </c>
    </row>
    <row r="69" spans="1:13" s="48" customFormat="1" ht="21" customHeight="1" x14ac:dyDescent="0.15">
      <c r="A69" s="170">
        <v>39012086</v>
      </c>
      <c r="B69" s="170">
        <v>0</v>
      </c>
      <c r="C69" s="170">
        <v>977</v>
      </c>
      <c r="D69" s="170">
        <v>100</v>
      </c>
      <c r="E69" s="170" t="s">
        <v>53</v>
      </c>
      <c r="F69" s="170" t="s">
        <v>53</v>
      </c>
      <c r="G69" s="170">
        <v>0</v>
      </c>
      <c r="H69" s="170">
        <v>1</v>
      </c>
      <c r="I69" s="170">
        <v>1537</v>
      </c>
      <c r="J69" s="170">
        <f t="shared" si="1"/>
        <v>100</v>
      </c>
      <c r="K69" s="38"/>
      <c r="L69" s="180" t="s">
        <v>385</v>
      </c>
      <c r="M69" s="162" t="s">
        <v>410</v>
      </c>
    </row>
    <row r="70" spans="1:13" s="48" customFormat="1" ht="21" customHeight="1" x14ac:dyDescent="0.15">
      <c r="A70" s="170">
        <v>39012087</v>
      </c>
      <c r="B70" s="170">
        <v>0</v>
      </c>
      <c r="C70" s="170">
        <v>978</v>
      </c>
      <c r="D70" s="170">
        <v>100</v>
      </c>
      <c r="E70" s="170" t="s">
        <v>53</v>
      </c>
      <c r="F70" s="170" t="s">
        <v>53</v>
      </c>
      <c r="G70" s="170">
        <v>0</v>
      </c>
      <c r="H70" s="170">
        <v>1</v>
      </c>
      <c r="I70" s="170">
        <v>1538</v>
      </c>
      <c r="J70" s="170">
        <f t="shared" si="1"/>
        <v>100</v>
      </c>
      <c r="K70" s="38"/>
      <c r="L70" s="180" t="s">
        <v>386</v>
      </c>
      <c r="M70" s="162" t="s">
        <v>410</v>
      </c>
    </row>
    <row r="71" spans="1:13" s="48" customFormat="1" ht="21" customHeight="1" x14ac:dyDescent="0.15">
      <c r="A71" s="170">
        <v>39012088</v>
      </c>
      <c r="B71" s="170">
        <v>0</v>
      </c>
      <c r="C71" s="170">
        <v>973</v>
      </c>
      <c r="D71" s="170">
        <v>100</v>
      </c>
      <c r="E71" s="170" t="s">
        <v>53</v>
      </c>
      <c r="F71" s="170" t="s">
        <v>53</v>
      </c>
      <c r="G71" s="170">
        <v>0</v>
      </c>
      <c r="H71" s="170">
        <v>1</v>
      </c>
      <c r="I71" s="170">
        <v>1539</v>
      </c>
      <c r="J71" s="170">
        <f t="shared" si="1"/>
        <v>100</v>
      </c>
      <c r="K71" s="38"/>
      <c r="L71" s="180" t="s">
        <v>387</v>
      </c>
      <c r="M71" s="162" t="s">
        <v>410</v>
      </c>
    </row>
    <row r="72" spans="1:13" s="48" customFormat="1" ht="21" customHeight="1" x14ac:dyDescent="0.15">
      <c r="A72" s="170">
        <v>39012089</v>
      </c>
      <c r="B72" s="170">
        <v>0</v>
      </c>
      <c r="C72" s="170">
        <v>974</v>
      </c>
      <c r="D72" s="170">
        <v>100</v>
      </c>
      <c r="E72" s="170" t="s">
        <v>53</v>
      </c>
      <c r="F72" s="170" t="s">
        <v>53</v>
      </c>
      <c r="G72" s="170">
        <v>0</v>
      </c>
      <c r="H72" s="170">
        <v>1</v>
      </c>
      <c r="I72" s="170">
        <v>1540</v>
      </c>
      <c r="J72" s="170">
        <f t="shared" si="1"/>
        <v>100</v>
      </c>
      <c r="K72" s="38"/>
      <c r="L72" s="180" t="s">
        <v>388</v>
      </c>
      <c r="M72" s="162" t="s">
        <v>410</v>
      </c>
    </row>
    <row r="73" spans="1:13" s="48" customFormat="1" ht="21" customHeight="1" x14ac:dyDescent="0.15">
      <c r="A73" s="170">
        <v>39012090</v>
      </c>
      <c r="B73" s="170">
        <v>0</v>
      </c>
      <c r="C73" s="170">
        <v>975</v>
      </c>
      <c r="D73" s="170">
        <v>100</v>
      </c>
      <c r="E73" s="170" t="s">
        <v>53</v>
      </c>
      <c r="F73" s="170" t="s">
        <v>53</v>
      </c>
      <c r="G73" s="170">
        <v>0</v>
      </c>
      <c r="H73" s="170">
        <v>1</v>
      </c>
      <c r="I73" s="170">
        <v>1541</v>
      </c>
      <c r="J73" s="170">
        <f t="shared" si="1"/>
        <v>100</v>
      </c>
      <c r="K73" s="38"/>
      <c r="L73" s="180" t="s">
        <v>389</v>
      </c>
      <c r="M73" s="162" t="s">
        <v>410</v>
      </c>
    </row>
    <row r="74" spans="1:13" s="48" customFormat="1" ht="21" customHeight="1" x14ac:dyDescent="0.15">
      <c r="A74" s="170">
        <v>39012091</v>
      </c>
      <c r="B74" s="170">
        <v>0</v>
      </c>
      <c r="C74" s="170">
        <v>976</v>
      </c>
      <c r="D74" s="170">
        <v>100</v>
      </c>
      <c r="E74" s="170" t="s">
        <v>53</v>
      </c>
      <c r="F74" s="170" t="s">
        <v>53</v>
      </c>
      <c r="G74" s="170">
        <v>0</v>
      </c>
      <c r="H74" s="170">
        <v>1</v>
      </c>
      <c r="I74" s="170">
        <v>1542</v>
      </c>
      <c r="J74" s="170">
        <f t="shared" si="1"/>
        <v>100</v>
      </c>
      <c r="K74" s="38"/>
      <c r="L74" s="180" t="s">
        <v>390</v>
      </c>
      <c r="M74" s="162" t="s">
        <v>410</v>
      </c>
    </row>
    <row r="75" spans="1:13" ht="21" customHeight="1" x14ac:dyDescent="0.15">
      <c r="A75" s="109">
        <v>39012500</v>
      </c>
      <c r="B75" s="109">
        <v>0</v>
      </c>
      <c r="C75" s="109">
        <v>550</v>
      </c>
      <c r="D75" s="109">
        <v>100</v>
      </c>
      <c r="E75" s="109" t="s">
        <v>252</v>
      </c>
      <c r="F75" s="109" t="s">
        <v>89</v>
      </c>
      <c r="G75" s="109" t="s">
        <v>252</v>
      </c>
      <c r="H75" s="109">
        <v>1</v>
      </c>
      <c r="I75" s="109" t="s">
        <v>89</v>
      </c>
      <c r="J75" s="47">
        <f t="shared" si="1"/>
        <v>100</v>
      </c>
      <c r="L75" s="104" t="s">
        <v>256</v>
      </c>
      <c r="M75" s="104" t="s">
        <v>265</v>
      </c>
    </row>
    <row r="76" spans="1:13" ht="21" customHeight="1" x14ac:dyDescent="0.15">
      <c r="A76" s="149">
        <v>39012502</v>
      </c>
      <c r="B76" s="106">
        <v>1</v>
      </c>
      <c r="C76" s="106">
        <v>550</v>
      </c>
      <c r="D76" s="106">
        <v>100</v>
      </c>
      <c r="E76" s="106" t="s">
        <v>53</v>
      </c>
      <c r="F76" s="106" t="s">
        <v>53</v>
      </c>
      <c r="G76" s="106">
        <v>1</v>
      </c>
      <c r="H76" s="106">
        <v>1</v>
      </c>
      <c r="I76" s="106" t="s">
        <v>53</v>
      </c>
      <c r="J76" s="47">
        <f t="shared" si="1"/>
        <v>100</v>
      </c>
      <c r="L76" s="105" t="s">
        <v>257</v>
      </c>
      <c r="M76" s="105" t="s">
        <v>306</v>
      </c>
    </row>
    <row r="77" spans="1:13" ht="21" customHeight="1" x14ac:dyDescent="0.15">
      <c r="A77" s="149">
        <v>39012503</v>
      </c>
      <c r="B77" s="106">
        <v>0</v>
      </c>
      <c r="C77" s="106">
        <v>540</v>
      </c>
      <c r="D77" s="106">
        <v>50</v>
      </c>
      <c r="E77" s="106" t="s">
        <v>53</v>
      </c>
      <c r="F77" s="106" t="s">
        <v>53</v>
      </c>
      <c r="G77" s="106" t="s">
        <v>53</v>
      </c>
      <c r="H77" s="106">
        <v>1</v>
      </c>
      <c r="I77" s="106" t="s">
        <v>53</v>
      </c>
      <c r="J77" s="47">
        <f t="shared" si="1"/>
        <v>50</v>
      </c>
      <c r="L77" s="105" t="s">
        <v>257</v>
      </c>
      <c r="M77" s="105" t="s">
        <v>266</v>
      </c>
    </row>
    <row r="78" spans="1:13" ht="21" customHeight="1" x14ac:dyDescent="0.15">
      <c r="A78" s="149">
        <v>39012504</v>
      </c>
      <c r="B78" s="106">
        <v>1</v>
      </c>
      <c r="C78" s="106">
        <v>550</v>
      </c>
      <c r="D78" s="106">
        <v>100</v>
      </c>
      <c r="E78" s="106" t="s">
        <v>53</v>
      </c>
      <c r="F78" s="106" t="s">
        <v>53</v>
      </c>
      <c r="G78" s="106">
        <v>1</v>
      </c>
      <c r="H78" s="106">
        <v>1</v>
      </c>
      <c r="I78" s="106" t="s">
        <v>53</v>
      </c>
      <c r="J78" s="47">
        <f t="shared" si="1"/>
        <v>100</v>
      </c>
      <c r="L78" s="105" t="s">
        <v>258</v>
      </c>
      <c r="M78" s="105" t="s">
        <v>267</v>
      </c>
    </row>
    <row r="79" spans="1:13" ht="21" customHeight="1" x14ac:dyDescent="0.15">
      <c r="A79" s="149">
        <v>39012505</v>
      </c>
      <c r="B79" s="106">
        <v>0</v>
      </c>
      <c r="C79" s="106">
        <v>530</v>
      </c>
      <c r="D79" s="106">
        <v>50</v>
      </c>
      <c r="E79" s="106" t="s">
        <v>53</v>
      </c>
      <c r="F79" s="106" t="s">
        <v>53</v>
      </c>
      <c r="G79" s="106" t="s">
        <v>53</v>
      </c>
      <c r="H79" s="106">
        <v>1</v>
      </c>
      <c r="I79" s="106" t="s">
        <v>53</v>
      </c>
      <c r="J79" s="47">
        <f t="shared" si="1"/>
        <v>50</v>
      </c>
      <c r="L79" s="105" t="s">
        <v>258</v>
      </c>
      <c r="M79" s="105" t="s">
        <v>268</v>
      </c>
    </row>
    <row r="80" spans="1:13" ht="21" customHeight="1" x14ac:dyDescent="0.15">
      <c r="A80" s="149">
        <v>39012506</v>
      </c>
      <c r="B80" s="106">
        <v>0</v>
      </c>
      <c r="C80" s="106">
        <v>540</v>
      </c>
      <c r="D80" s="106">
        <v>100</v>
      </c>
      <c r="E80" s="106" t="s">
        <v>53</v>
      </c>
      <c r="F80" s="106" t="s">
        <v>53</v>
      </c>
      <c r="G80" s="106">
        <v>1</v>
      </c>
      <c r="H80" s="106">
        <v>3</v>
      </c>
      <c r="I80" s="106" t="s">
        <v>53</v>
      </c>
      <c r="J80" s="47">
        <f t="shared" si="1"/>
        <v>100</v>
      </c>
      <c r="L80" s="105" t="s">
        <v>258</v>
      </c>
      <c r="M80" s="105" t="s">
        <v>440</v>
      </c>
    </row>
    <row r="81" spans="1:13" ht="21" customHeight="1" x14ac:dyDescent="0.15">
      <c r="A81" s="109">
        <v>39012507</v>
      </c>
      <c r="B81" s="109">
        <v>0</v>
      </c>
      <c r="C81" s="109">
        <v>550</v>
      </c>
      <c r="D81" s="109">
        <v>70</v>
      </c>
      <c r="E81" s="109" t="s">
        <v>53</v>
      </c>
      <c r="F81" s="109" t="s">
        <v>53</v>
      </c>
      <c r="G81" s="109" t="s">
        <v>53</v>
      </c>
      <c r="H81" s="109">
        <v>1</v>
      </c>
      <c r="I81" s="109" t="s">
        <v>53</v>
      </c>
      <c r="J81" s="47">
        <f t="shared" si="1"/>
        <v>70</v>
      </c>
      <c r="L81" s="104" t="s">
        <v>260</v>
      </c>
      <c r="M81" s="104" t="s">
        <v>273</v>
      </c>
    </row>
    <row r="82" spans="1:13" ht="21" customHeight="1" x14ac:dyDescent="0.15">
      <c r="A82" s="109">
        <v>39012508</v>
      </c>
      <c r="B82" s="109">
        <v>0</v>
      </c>
      <c r="C82" s="109">
        <v>560</v>
      </c>
      <c r="D82" s="109">
        <v>100</v>
      </c>
      <c r="E82" s="109" t="s">
        <v>53</v>
      </c>
      <c r="F82" s="109" t="s">
        <v>53</v>
      </c>
      <c r="G82" s="109" t="s">
        <v>53</v>
      </c>
      <c r="H82" s="109">
        <v>2</v>
      </c>
      <c r="I82" s="109" t="s">
        <v>53</v>
      </c>
      <c r="J82" s="47">
        <f t="shared" si="1"/>
        <v>100</v>
      </c>
      <c r="L82" s="104" t="s">
        <v>260</v>
      </c>
      <c r="M82" s="104" t="s">
        <v>274</v>
      </c>
    </row>
    <row r="83" spans="1:13" ht="21" customHeight="1" x14ac:dyDescent="0.15">
      <c r="A83" s="149">
        <v>39012509</v>
      </c>
      <c r="B83" s="106">
        <v>0</v>
      </c>
      <c r="C83" s="106">
        <v>550</v>
      </c>
      <c r="D83" s="106">
        <v>50</v>
      </c>
      <c r="E83" s="106" t="s">
        <v>53</v>
      </c>
      <c r="F83" s="106" t="s">
        <v>53</v>
      </c>
      <c r="G83" s="106" t="s">
        <v>53</v>
      </c>
      <c r="H83" s="106">
        <v>1</v>
      </c>
      <c r="I83" s="106" t="s">
        <v>53</v>
      </c>
      <c r="J83" s="47">
        <f t="shared" si="1"/>
        <v>50</v>
      </c>
      <c r="L83" s="105" t="s">
        <v>256</v>
      </c>
      <c r="M83" s="105" t="s">
        <v>265</v>
      </c>
    </row>
    <row r="84" spans="1:13" ht="21" customHeight="1" x14ac:dyDescent="0.15">
      <c r="A84" s="149">
        <v>39012511</v>
      </c>
      <c r="B84" s="106">
        <v>0</v>
      </c>
      <c r="C84" s="106">
        <v>550</v>
      </c>
      <c r="D84" s="106">
        <v>70</v>
      </c>
      <c r="E84" s="106" t="s">
        <v>53</v>
      </c>
      <c r="F84" s="106" t="s">
        <v>53</v>
      </c>
      <c r="G84" s="106" t="s">
        <v>53</v>
      </c>
      <c r="H84" s="106">
        <v>1</v>
      </c>
      <c r="I84" s="106" t="s">
        <v>53</v>
      </c>
      <c r="J84" s="47">
        <f t="shared" si="1"/>
        <v>70</v>
      </c>
      <c r="L84" s="105" t="s">
        <v>257</v>
      </c>
      <c r="M84" s="105" t="s">
        <v>269</v>
      </c>
    </row>
    <row r="85" spans="1:13" ht="21" customHeight="1" x14ac:dyDescent="0.15">
      <c r="A85" s="149">
        <v>39012512</v>
      </c>
      <c r="B85" s="106">
        <v>0</v>
      </c>
      <c r="C85" s="106">
        <v>560</v>
      </c>
      <c r="D85" s="106">
        <v>100</v>
      </c>
      <c r="E85" s="106" t="s">
        <v>53</v>
      </c>
      <c r="F85" s="106" t="s">
        <v>53</v>
      </c>
      <c r="G85" s="106">
        <v>1</v>
      </c>
      <c r="H85" s="106">
        <v>2</v>
      </c>
      <c r="I85" s="106" t="s">
        <v>53</v>
      </c>
      <c r="J85" s="47">
        <f t="shared" si="1"/>
        <v>100</v>
      </c>
      <c r="L85" s="105" t="s">
        <v>257</v>
      </c>
      <c r="M85" s="105" t="s">
        <v>270</v>
      </c>
    </row>
    <row r="86" spans="1:13" ht="21" customHeight="1" x14ac:dyDescent="0.15">
      <c r="A86" s="149">
        <v>39012513</v>
      </c>
      <c r="B86" s="106">
        <v>0</v>
      </c>
      <c r="C86" s="106">
        <v>550</v>
      </c>
      <c r="D86" s="106">
        <v>100</v>
      </c>
      <c r="E86" s="106" t="s">
        <v>53</v>
      </c>
      <c r="F86" s="106" t="s">
        <v>53</v>
      </c>
      <c r="G86" s="106" t="s">
        <v>53</v>
      </c>
      <c r="H86" s="106">
        <v>1</v>
      </c>
      <c r="I86" s="106" t="s">
        <v>53</v>
      </c>
      <c r="J86" s="47">
        <f t="shared" si="1"/>
        <v>100</v>
      </c>
      <c r="L86" s="105" t="s">
        <v>259</v>
      </c>
      <c r="M86" s="105" t="s">
        <v>271</v>
      </c>
    </row>
    <row r="87" spans="1:13" ht="21" customHeight="1" x14ac:dyDescent="0.15">
      <c r="A87" s="149">
        <v>39012514</v>
      </c>
      <c r="B87" s="106">
        <v>0</v>
      </c>
      <c r="C87" s="106">
        <v>560</v>
      </c>
      <c r="D87" s="106">
        <v>50</v>
      </c>
      <c r="E87" s="106" t="s">
        <v>53</v>
      </c>
      <c r="F87" s="106" t="s">
        <v>53</v>
      </c>
      <c r="G87" s="106" t="s">
        <v>53</v>
      </c>
      <c r="H87" s="106">
        <v>1</v>
      </c>
      <c r="I87" s="106" t="s">
        <v>53</v>
      </c>
      <c r="J87" s="47">
        <f t="shared" si="1"/>
        <v>50</v>
      </c>
      <c r="L87" s="105" t="s">
        <v>259</v>
      </c>
      <c r="M87" s="105" t="s">
        <v>272</v>
      </c>
    </row>
    <row r="88" spans="1:13" ht="21" customHeight="1" x14ac:dyDescent="0.15">
      <c r="A88" s="109">
        <v>39012520</v>
      </c>
      <c r="B88" s="109">
        <v>1</v>
      </c>
      <c r="C88" s="109">
        <v>600</v>
      </c>
      <c r="D88" s="109">
        <v>100</v>
      </c>
      <c r="E88" s="109" t="s">
        <v>53</v>
      </c>
      <c r="F88" s="109" t="s">
        <v>53</v>
      </c>
      <c r="G88" s="109">
        <v>1</v>
      </c>
      <c r="H88" s="109">
        <v>1</v>
      </c>
      <c r="I88" s="109" t="s">
        <v>53</v>
      </c>
      <c r="J88" s="47">
        <f t="shared" si="1"/>
        <v>100</v>
      </c>
      <c r="L88" s="104" t="s">
        <v>261</v>
      </c>
      <c r="M88" s="104" t="s">
        <v>275</v>
      </c>
    </row>
    <row r="89" spans="1:13" ht="21" customHeight="1" x14ac:dyDescent="0.15">
      <c r="A89" s="109">
        <v>39012521</v>
      </c>
      <c r="B89" s="109">
        <v>0</v>
      </c>
      <c r="C89" s="109">
        <v>100</v>
      </c>
      <c r="D89" s="109">
        <v>100</v>
      </c>
      <c r="E89" s="109" t="s">
        <v>53</v>
      </c>
      <c r="F89" s="109" t="s">
        <v>53</v>
      </c>
      <c r="G89" s="109">
        <v>3</v>
      </c>
      <c r="H89" s="109">
        <v>1</v>
      </c>
      <c r="I89" s="109" t="s">
        <v>53</v>
      </c>
      <c r="J89" s="47">
        <f t="shared" si="1"/>
        <v>100</v>
      </c>
      <c r="L89" s="104" t="s">
        <v>261</v>
      </c>
      <c r="M89" s="104" t="s">
        <v>276</v>
      </c>
    </row>
    <row r="90" spans="1:13" ht="21" customHeight="1" x14ac:dyDescent="0.15">
      <c r="A90" s="109">
        <v>39012522</v>
      </c>
      <c r="B90" s="109">
        <v>0</v>
      </c>
      <c r="C90" s="109">
        <v>200</v>
      </c>
      <c r="D90" s="109">
        <v>100</v>
      </c>
      <c r="E90" s="109" t="s">
        <v>53</v>
      </c>
      <c r="F90" s="109" t="s">
        <v>53</v>
      </c>
      <c r="G90" s="109">
        <v>3</v>
      </c>
      <c r="H90" s="109">
        <v>2</v>
      </c>
      <c r="I90" s="109" t="s">
        <v>53</v>
      </c>
      <c r="J90" s="47">
        <f t="shared" si="1"/>
        <v>100</v>
      </c>
      <c r="L90" s="104" t="s">
        <v>261</v>
      </c>
      <c r="M90" s="104" t="s">
        <v>277</v>
      </c>
    </row>
    <row r="91" spans="1:13" ht="21" customHeight="1" x14ac:dyDescent="0.15">
      <c r="A91" s="109">
        <v>39012523</v>
      </c>
      <c r="B91" s="109">
        <v>0</v>
      </c>
      <c r="C91" s="109">
        <v>400</v>
      </c>
      <c r="D91" s="109">
        <v>100</v>
      </c>
      <c r="E91" s="109" t="s">
        <v>53</v>
      </c>
      <c r="F91" s="109" t="s">
        <v>53</v>
      </c>
      <c r="G91" s="109">
        <v>3</v>
      </c>
      <c r="H91" s="109">
        <v>4</v>
      </c>
      <c r="I91" s="109" t="s">
        <v>53</v>
      </c>
      <c r="J91" s="47">
        <f t="shared" si="1"/>
        <v>100</v>
      </c>
      <c r="L91" s="104" t="s">
        <v>261</v>
      </c>
      <c r="M91" s="104" t="s">
        <v>279</v>
      </c>
    </row>
    <row r="92" spans="1:13" ht="21" customHeight="1" x14ac:dyDescent="0.15">
      <c r="A92" s="109">
        <v>39012524</v>
      </c>
      <c r="B92" s="109">
        <v>0</v>
      </c>
      <c r="C92" s="109">
        <v>300</v>
      </c>
      <c r="D92" s="109">
        <v>100</v>
      </c>
      <c r="E92" s="109" t="s">
        <v>53</v>
      </c>
      <c r="F92" s="109" t="s">
        <v>53</v>
      </c>
      <c r="G92" s="109">
        <v>1</v>
      </c>
      <c r="H92" s="109">
        <v>3</v>
      </c>
      <c r="I92" s="109" t="s">
        <v>53</v>
      </c>
      <c r="J92" s="47">
        <f t="shared" si="1"/>
        <v>100</v>
      </c>
      <c r="L92" s="104" t="s">
        <v>261</v>
      </c>
      <c r="M92" s="104" t="s">
        <v>278</v>
      </c>
    </row>
    <row r="93" spans="1:13" ht="21" customHeight="1" x14ac:dyDescent="0.15">
      <c r="A93" s="109">
        <v>39012525</v>
      </c>
      <c r="B93" s="109">
        <v>0</v>
      </c>
      <c r="C93" s="109">
        <v>301</v>
      </c>
      <c r="D93" s="109">
        <v>100</v>
      </c>
      <c r="E93" s="109" t="s">
        <v>53</v>
      </c>
      <c r="F93" s="109" t="s">
        <v>53</v>
      </c>
      <c r="G93" s="109">
        <v>1</v>
      </c>
      <c r="H93" s="109">
        <v>7</v>
      </c>
      <c r="I93" s="109" t="s">
        <v>53</v>
      </c>
      <c r="J93" s="47">
        <f t="shared" si="1"/>
        <v>100</v>
      </c>
      <c r="L93" s="104" t="s">
        <v>261</v>
      </c>
      <c r="M93" s="104" t="s">
        <v>278</v>
      </c>
    </row>
    <row r="94" spans="1:13" ht="21" customHeight="1" x14ac:dyDescent="0.15">
      <c r="A94" s="109">
        <v>39012526</v>
      </c>
      <c r="B94" s="109">
        <v>0</v>
      </c>
      <c r="C94" s="109">
        <v>302</v>
      </c>
      <c r="D94" s="109">
        <v>100</v>
      </c>
      <c r="E94" s="109" t="s">
        <v>53</v>
      </c>
      <c r="F94" s="109" t="s">
        <v>53</v>
      </c>
      <c r="G94" s="109">
        <v>1</v>
      </c>
      <c r="H94" s="109">
        <v>11</v>
      </c>
      <c r="I94" s="109" t="s">
        <v>53</v>
      </c>
      <c r="J94" s="47">
        <f t="shared" si="1"/>
        <v>100</v>
      </c>
      <c r="L94" s="104" t="s">
        <v>261</v>
      </c>
      <c r="M94" s="104" t="s">
        <v>278</v>
      </c>
    </row>
    <row r="95" spans="1:13" ht="21" customHeight="1" x14ac:dyDescent="0.15">
      <c r="A95" s="109">
        <v>39012527</v>
      </c>
      <c r="B95" s="109">
        <v>0</v>
      </c>
      <c r="C95" s="109">
        <v>1</v>
      </c>
      <c r="D95" s="109">
        <v>100</v>
      </c>
      <c r="E95" s="109" t="s">
        <v>53</v>
      </c>
      <c r="F95" s="109" t="s">
        <v>53</v>
      </c>
      <c r="G95" s="109" t="s">
        <v>53</v>
      </c>
      <c r="H95" s="109">
        <v>1</v>
      </c>
      <c r="I95" s="109" t="s">
        <v>53</v>
      </c>
      <c r="J95" s="47">
        <f t="shared" si="1"/>
        <v>100</v>
      </c>
      <c r="L95" s="104" t="s">
        <v>261</v>
      </c>
      <c r="M95" s="104" t="s">
        <v>324</v>
      </c>
    </row>
    <row r="96" spans="1:13" ht="21" customHeight="1" x14ac:dyDescent="0.15">
      <c r="A96" s="109">
        <v>39012528</v>
      </c>
      <c r="B96" s="109">
        <v>0</v>
      </c>
      <c r="C96" s="109">
        <v>2</v>
      </c>
      <c r="D96" s="109">
        <v>70</v>
      </c>
      <c r="E96" s="109" t="s">
        <v>53</v>
      </c>
      <c r="F96" s="109" t="s">
        <v>53</v>
      </c>
      <c r="G96" s="109" t="s">
        <v>53</v>
      </c>
      <c r="H96" s="109">
        <v>1</v>
      </c>
      <c r="I96" s="109" t="s">
        <v>53</v>
      </c>
      <c r="J96" s="47">
        <f t="shared" si="1"/>
        <v>70</v>
      </c>
      <c r="L96" s="104" t="s">
        <v>261</v>
      </c>
      <c r="M96" s="104" t="s">
        <v>325</v>
      </c>
    </row>
    <row r="97" spans="1:14" s="148" customFormat="1" ht="21" customHeight="1" x14ac:dyDescent="0.15">
      <c r="A97" s="106">
        <v>39012530</v>
      </c>
      <c r="B97" s="106">
        <v>1</v>
      </c>
      <c r="C97" s="106">
        <v>550</v>
      </c>
      <c r="D97" s="106">
        <v>100</v>
      </c>
      <c r="E97" s="106" t="s">
        <v>53</v>
      </c>
      <c r="F97" s="106" t="s">
        <v>53</v>
      </c>
      <c r="G97" s="106">
        <v>1</v>
      </c>
      <c r="H97" s="106">
        <v>1</v>
      </c>
      <c r="I97" s="106" t="s">
        <v>53</v>
      </c>
      <c r="J97" s="47">
        <f t="shared" si="1"/>
        <v>100</v>
      </c>
      <c r="K97" s="38"/>
      <c r="L97" s="105" t="s">
        <v>262</v>
      </c>
      <c r="M97" s="105" t="s">
        <v>280</v>
      </c>
      <c r="N97" s="44"/>
    </row>
    <row r="98" spans="1:14" s="148" customFormat="1" ht="21" customHeight="1" x14ac:dyDescent="0.15">
      <c r="A98" s="106">
        <v>39012531</v>
      </c>
      <c r="B98" s="106">
        <v>0</v>
      </c>
      <c r="C98" s="106">
        <v>530</v>
      </c>
      <c r="D98" s="106">
        <v>100</v>
      </c>
      <c r="E98" s="106" t="s">
        <v>53</v>
      </c>
      <c r="F98" s="106" t="s">
        <v>53</v>
      </c>
      <c r="G98" s="106" t="s">
        <v>53</v>
      </c>
      <c r="H98" s="106">
        <v>1</v>
      </c>
      <c r="I98" s="106" t="s">
        <v>53</v>
      </c>
      <c r="J98" s="47">
        <f t="shared" si="1"/>
        <v>100</v>
      </c>
      <c r="K98" s="38"/>
      <c r="L98" s="105" t="s">
        <v>262</v>
      </c>
      <c r="M98" s="105" t="s">
        <v>281</v>
      </c>
      <c r="N98" s="44"/>
    </row>
    <row r="99" spans="1:14" ht="21" customHeight="1" x14ac:dyDescent="0.15">
      <c r="A99" s="106">
        <v>39012532</v>
      </c>
      <c r="B99" s="106">
        <v>0</v>
      </c>
      <c r="C99" s="106">
        <v>540</v>
      </c>
      <c r="D99" s="106">
        <v>100</v>
      </c>
      <c r="E99" s="106" t="s">
        <v>53</v>
      </c>
      <c r="F99" s="106" t="s">
        <v>53</v>
      </c>
      <c r="G99" s="106" t="s">
        <v>53</v>
      </c>
      <c r="H99" s="106">
        <v>2</v>
      </c>
      <c r="I99" s="106" t="s">
        <v>53</v>
      </c>
      <c r="J99" s="47">
        <f t="shared" si="1"/>
        <v>100</v>
      </c>
      <c r="L99" s="105" t="s">
        <v>262</v>
      </c>
      <c r="M99" s="105" t="s">
        <v>282</v>
      </c>
    </row>
    <row r="100" spans="1:14" ht="21" customHeight="1" x14ac:dyDescent="0.15">
      <c r="A100" s="109">
        <v>39012540</v>
      </c>
      <c r="B100" s="109">
        <v>0</v>
      </c>
      <c r="C100" s="109">
        <v>550</v>
      </c>
      <c r="D100" s="109">
        <v>100</v>
      </c>
      <c r="E100" s="109" t="s">
        <v>53</v>
      </c>
      <c r="F100" s="109" t="s">
        <v>53</v>
      </c>
      <c r="G100" s="109" t="s">
        <v>53</v>
      </c>
      <c r="H100" s="109">
        <v>2</v>
      </c>
      <c r="I100" s="109" t="s">
        <v>53</v>
      </c>
      <c r="J100" s="47">
        <f t="shared" si="1"/>
        <v>100</v>
      </c>
      <c r="L100" s="104" t="s">
        <v>263</v>
      </c>
      <c r="M100" s="104" t="s">
        <v>283</v>
      </c>
    </row>
    <row r="101" spans="1:14" ht="21" customHeight="1" x14ac:dyDescent="0.15">
      <c r="A101" s="109">
        <v>39012541</v>
      </c>
      <c r="B101" s="109">
        <v>0</v>
      </c>
      <c r="C101" s="109">
        <v>540</v>
      </c>
      <c r="D101" s="109">
        <v>70</v>
      </c>
      <c r="E101" s="109" t="s">
        <v>53</v>
      </c>
      <c r="F101" s="109" t="s">
        <v>53</v>
      </c>
      <c r="G101" s="109" t="s">
        <v>53</v>
      </c>
      <c r="H101" s="109">
        <v>1</v>
      </c>
      <c r="I101" s="109" t="s">
        <v>53</v>
      </c>
      <c r="J101" s="47">
        <f t="shared" si="1"/>
        <v>70</v>
      </c>
      <c r="L101" s="104" t="s">
        <v>263</v>
      </c>
      <c r="M101" s="104" t="s">
        <v>284</v>
      </c>
    </row>
    <row r="102" spans="1:14" ht="21" customHeight="1" x14ac:dyDescent="0.15">
      <c r="A102" s="109">
        <v>39012542</v>
      </c>
      <c r="B102" s="109">
        <v>0</v>
      </c>
      <c r="C102" s="109">
        <v>530</v>
      </c>
      <c r="D102" s="109">
        <v>100</v>
      </c>
      <c r="E102" s="109" t="s">
        <v>53</v>
      </c>
      <c r="F102" s="109" t="s">
        <v>53</v>
      </c>
      <c r="G102" s="109" t="s">
        <v>53</v>
      </c>
      <c r="H102" s="109">
        <v>1</v>
      </c>
      <c r="I102" s="109" t="s">
        <v>53</v>
      </c>
      <c r="J102" s="47">
        <f t="shared" si="1"/>
        <v>100</v>
      </c>
      <c r="L102" s="104" t="s">
        <v>263</v>
      </c>
      <c r="M102" s="104" t="s">
        <v>285</v>
      </c>
    </row>
    <row r="103" spans="1:14" ht="21" customHeight="1" x14ac:dyDescent="0.15">
      <c r="A103" s="106">
        <v>39012550</v>
      </c>
      <c r="B103" s="106">
        <v>1</v>
      </c>
      <c r="C103" s="106">
        <v>600</v>
      </c>
      <c r="D103" s="106">
        <v>100</v>
      </c>
      <c r="E103" s="106" t="s">
        <v>53</v>
      </c>
      <c r="F103" s="106" t="s">
        <v>53</v>
      </c>
      <c r="G103" s="106">
        <v>1</v>
      </c>
      <c r="H103" s="106">
        <v>1</v>
      </c>
      <c r="I103" s="106" t="s">
        <v>53</v>
      </c>
      <c r="J103" s="47">
        <f t="shared" si="1"/>
        <v>100</v>
      </c>
      <c r="L103" s="105" t="s">
        <v>264</v>
      </c>
      <c r="M103" s="105" t="s">
        <v>286</v>
      </c>
    </row>
    <row r="104" spans="1:14" ht="21" customHeight="1" x14ac:dyDescent="0.15">
      <c r="A104" s="106">
        <v>39012551</v>
      </c>
      <c r="B104" s="106">
        <v>0</v>
      </c>
      <c r="C104" s="106">
        <v>440</v>
      </c>
      <c r="D104" s="106">
        <v>100</v>
      </c>
      <c r="E104" s="106" t="s">
        <v>53</v>
      </c>
      <c r="F104" s="106" t="s">
        <v>53</v>
      </c>
      <c r="G104" s="106">
        <v>1</v>
      </c>
      <c r="H104" s="106">
        <v>1</v>
      </c>
      <c r="I104" s="106" t="s">
        <v>53</v>
      </c>
      <c r="J104" s="47">
        <f t="shared" si="1"/>
        <v>100</v>
      </c>
      <c r="L104" s="105" t="s">
        <v>264</v>
      </c>
      <c r="M104" s="105" t="s">
        <v>287</v>
      </c>
    </row>
    <row r="105" spans="1:14" ht="21" customHeight="1" x14ac:dyDescent="0.15">
      <c r="A105" s="106">
        <v>39012552</v>
      </c>
      <c r="B105" s="106">
        <v>0</v>
      </c>
      <c r="C105" s="106">
        <v>450</v>
      </c>
      <c r="D105" s="106">
        <v>100</v>
      </c>
      <c r="E105" s="106" t="s">
        <v>53</v>
      </c>
      <c r="F105" s="106" t="s">
        <v>53</v>
      </c>
      <c r="G105" s="106">
        <v>1</v>
      </c>
      <c r="H105" s="106">
        <v>2</v>
      </c>
      <c r="I105" s="106" t="s">
        <v>53</v>
      </c>
      <c r="J105" s="47">
        <f t="shared" si="1"/>
        <v>100</v>
      </c>
      <c r="L105" s="105" t="s">
        <v>264</v>
      </c>
      <c r="M105" s="105" t="s">
        <v>288</v>
      </c>
    </row>
    <row r="106" spans="1:14" ht="21" customHeight="1" x14ac:dyDescent="0.15">
      <c r="A106" s="106">
        <v>39012553</v>
      </c>
      <c r="B106" s="106">
        <v>0</v>
      </c>
      <c r="C106" s="131">
        <v>460</v>
      </c>
      <c r="D106" s="106">
        <v>100</v>
      </c>
      <c r="E106" s="106" t="s">
        <v>53</v>
      </c>
      <c r="F106" s="106" t="s">
        <v>53</v>
      </c>
      <c r="G106" s="106">
        <v>1</v>
      </c>
      <c r="H106" s="106">
        <v>3</v>
      </c>
      <c r="I106" s="106" t="s">
        <v>53</v>
      </c>
      <c r="J106" s="47">
        <f t="shared" si="1"/>
        <v>100</v>
      </c>
      <c r="L106" s="105" t="s">
        <v>264</v>
      </c>
      <c r="M106" s="105" t="s">
        <v>289</v>
      </c>
    </row>
    <row r="107" spans="1:14" ht="21" customHeight="1" x14ac:dyDescent="0.15">
      <c r="A107" s="106">
        <v>39012554</v>
      </c>
      <c r="B107" s="106">
        <v>0</v>
      </c>
      <c r="C107" s="106">
        <v>470</v>
      </c>
      <c r="D107" s="106">
        <v>100</v>
      </c>
      <c r="E107" s="106" t="s">
        <v>53</v>
      </c>
      <c r="F107" s="106" t="s">
        <v>53</v>
      </c>
      <c r="G107" s="106">
        <v>1</v>
      </c>
      <c r="H107" s="106">
        <v>4</v>
      </c>
      <c r="I107" s="106" t="s">
        <v>53</v>
      </c>
      <c r="J107" s="47">
        <f t="shared" si="1"/>
        <v>100</v>
      </c>
      <c r="L107" s="105" t="s">
        <v>264</v>
      </c>
      <c r="M107" s="105" t="s">
        <v>287</v>
      </c>
    </row>
    <row r="108" spans="1:14" ht="21" customHeight="1" x14ac:dyDescent="0.15">
      <c r="A108" s="106">
        <v>39012555</v>
      </c>
      <c r="B108" s="106">
        <v>0</v>
      </c>
      <c r="C108" s="131">
        <v>480</v>
      </c>
      <c r="D108" s="106">
        <v>100</v>
      </c>
      <c r="E108" s="106" t="s">
        <v>53</v>
      </c>
      <c r="F108" s="106" t="s">
        <v>53</v>
      </c>
      <c r="G108" s="106">
        <v>1</v>
      </c>
      <c r="H108" s="106">
        <v>5</v>
      </c>
      <c r="I108" s="106" t="s">
        <v>53</v>
      </c>
      <c r="J108" s="47">
        <f t="shared" ref="J108:J171" si="2">D108</f>
        <v>100</v>
      </c>
      <c r="L108" s="105" t="s">
        <v>264</v>
      </c>
      <c r="M108" s="105" t="s">
        <v>288</v>
      </c>
    </row>
    <row r="109" spans="1:14" ht="21" customHeight="1" x14ac:dyDescent="0.15">
      <c r="A109" s="106">
        <v>39012556</v>
      </c>
      <c r="B109" s="106">
        <v>0</v>
      </c>
      <c r="C109" s="106">
        <v>490</v>
      </c>
      <c r="D109" s="106">
        <v>100</v>
      </c>
      <c r="E109" s="106" t="s">
        <v>53</v>
      </c>
      <c r="F109" s="106" t="s">
        <v>53</v>
      </c>
      <c r="G109" s="106">
        <v>1</v>
      </c>
      <c r="H109" s="106">
        <v>6</v>
      </c>
      <c r="I109" s="106" t="s">
        <v>53</v>
      </c>
      <c r="J109" s="47">
        <f t="shared" si="2"/>
        <v>100</v>
      </c>
      <c r="L109" s="105" t="s">
        <v>264</v>
      </c>
      <c r="M109" s="105" t="s">
        <v>289</v>
      </c>
    </row>
    <row r="110" spans="1:14" ht="21" customHeight="1" x14ac:dyDescent="0.15">
      <c r="A110" s="106">
        <v>39012557</v>
      </c>
      <c r="B110" s="106">
        <v>0</v>
      </c>
      <c r="C110" s="131">
        <v>500</v>
      </c>
      <c r="D110" s="106">
        <v>100</v>
      </c>
      <c r="E110" s="106" t="s">
        <v>53</v>
      </c>
      <c r="F110" s="106" t="s">
        <v>53</v>
      </c>
      <c r="G110" s="106">
        <v>1</v>
      </c>
      <c r="H110" s="106">
        <v>7</v>
      </c>
      <c r="I110" s="106" t="s">
        <v>53</v>
      </c>
      <c r="J110" s="47">
        <f t="shared" si="2"/>
        <v>100</v>
      </c>
      <c r="L110" s="105" t="s">
        <v>264</v>
      </c>
      <c r="M110" s="105" t="s">
        <v>287</v>
      </c>
    </row>
    <row r="111" spans="1:14" ht="21" customHeight="1" x14ac:dyDescent="0.15">
      <c r="A111" s="106">
        <v>39012558</v>
      </c>
      <c r="B111" s="106">
        <v>0</v>
      </c>
      <c r="C111" s="106">
        <v>510</v>
      </c>
      <c r="D111" s="106">
        <v>100</v>
      </c>
      <c r="E111" s="106" t="s">
        <v>53</v>
      </c>
      <c r="F111" s="106" t="s">
        <v>53</v>
      </c>
      <c r="G111" s="106">
        <v>1</v>
      </c>
      <c r="H111" s="106">
        <v>8</v>
      </c>
      <c r="I111" s="106" t="s">
        <v>53</v>
      </c>
      <c r="J111" s="47">
        <f t="shared" si="2"/>
        <v>100</v>
      </c>
      <c r="L111" s="105" t="s">
        <v>264</v>
      </c>
      <c r="M111" s="105" t="s">
        <v>288</v>
      </c>
    </row>
    <row r="112" spans="1:14" ht="21" customHeight="1" x14ac:dyDescent="0.15">
      <c r="A112" s="106">
        <v>39012559</v>
      </c>
      <c r="B112" s="106">
        <v>0</v>
      </c>
      <c r="C112" s="131">
        <v>520</v>
      </c>
      <c r="D112" s="106">
        <v>100</v>
      </c>
      <c r="E112" s="106" t="s">
        <v>53</v>
      </c>
      <c r="F112" s="106" t="s">
        <v>53</v>
      </c>
      <c r="G112" s="106">
        <v>1</v>
      </c>
      <c r="H112" s="106">
        <v>9</v>
      </c>
      <c r="I112" s="106" t="s">
        <v>53</v>
      </c>
      <c r="J112" s="47">
        <f t="shared" si="2"/>
        <v>100</v>
      </c>
      <c r="L112" s="105" t="s">
        <v>264</v>
      </c>
      <c r="M112" s="105" t="s">
        <v>289</v>
      </c>
    </row>
    <row r="113" spans="1:18" ht="21" customHeight="1" x14ac:dyDescent="0.15">
      <c r="A113" s="106">
        <v>39012560</v>
      </c>
      <c r="B113" s="106">
        <v>0</v>
      </c>
      <c r="C113" s="106">
        <v>3</v>
      </c>
      <c r="D113" s="106">
        <v>40</v>
      </c>
      <c r="E113" s="106" t="s">
        <v>53</v>
      </c>
      <c r="F113" s="106" t="s">
        <v>53</v>
      </c>
      <c r="G113" s="106" t="s">
        <v>53</v>
      </c>
      <c r="H113" s="106">
        <v>1</v>
      </c>
      <c r="I113" s="106" t="s">
        <v>53</v>
      </c>
      <c r="J113" s="47">
        <f t="shared" si="2"/>
        <v>40</v>
      </c>
      <c r="L113" s="105" t="s">
        <v>264</v>
      </c>
      <c r="M113" s="105" t="s">
        <v>287</v>
      </c>
    </row>
    <row r="114" spans="1:18" ht="21" customHeight="1" x14ac:dyDescent="0.15">
      <c r="A114" s="106">
        <v>39012561</v>
      </c>
      <c r="B114" s="106">
        <v>0</v>
      </c>
      <c r="C114" s="106">
        <v>2</v>
      </c>
      <c r="D114" s="106">
        <v>50</v>
      </c>
      <c r="E114" s="106" t="s">
        <v>53</v>
      </c>
      <c r="F114" s="106" t="s">
        <v>53</v>
      </c>
      <c r="G114" s="106" t="s">
        <v>53</v>
      </c>
      <c r="H114" s="106">
        <v>1</v>
      </c>
      <c r="I114" s="106" t="s">
        <v>53</v>
      </c>
      <c r="J114" s="47">
        <f t="shared" si="2"/>
        <v>50</v>
      </c>
      <c r="L114" s="105" t="s">
        <v>264</v>
      </c>
      <c r="M114" s="105" t="s">
        <v>288</v>
      </c>
    </row>
    <row r="115" spans="1:18" ht="21" customHeight="1" x14ac:dyDescent="0.15">
      <c r="A115" s="106">
        <v>39012562</v>
      </c>
      <c r="B115" s="106">
        <v>0</v>
      </c>
      <c r="C115" s="131">
        <v>1</v>
      </c>
      <c r="D115" s="106">
        <v>100</v>
      </c>
      <c r="E115" s="106" t="s">
        <v>53</v>
      </c>
      <c r="F115" s="106" t="s">
        <v>53</v>
      </c>
      <c r="G115" s="106" t="s">
        <v>53</v>
      </c>
      <c r="H115" s="106">
        <v>1</v>
      </c>
      <c r="I115" s="106" t="s">
        <v>53</v>
      </c>
      <c r="J115" s="47">
        <f t="shared" si="2"/>
        <v>100</v>
      </c>
      <c r="L115" s="105" t="s">
        <v>264</v>
      </c>
      <c r="M115" s="105" t="s">
        <v>289</v>
      </c>
    </row>
    <row r="116" spans="1:18" ht="21" customHeight="1" x14ac:dyDescent="0.15">
      <c r="A116" s="106">
        <v>39012563</v>
      </c>
      <c r="B116" s="106">
        <v>0</v>
      </c>
      <c r="C116" s="106">
        <v>600</v>
      </c>
      <c r="D116" s="106">
        <v>100</v>
      </c>
      <c r="E116" s="106" t="s">
        <v>53</v>
      </c>
      <c r="F116" s="106" t="s">
        <v>53</v>
      </c>
      <c r="G116" s="106">
        <v>0</v>
      </c>
      <c r="H116" s="106">
        <v>1</v>
      </c>
      <c r="I116" s="106">
        <v>0</v>
      </c>
      <c r="J116" s="47">
        <f t="shared" si="2"/>
        <v>100</v>
      </c>
      <c r="L116" s="105" t="s">
        <v>264</v>
      </c>
      <c r="M116" s="105" t="s">
        <v>353</v>
      </c>
      <c r="Q116" s="132"/>
      <c r="R116" s="132"/>
    </row>
    <row r="117" spans="1:18" ht="21" customHeight="1" x14ac:dyDescent="0.15">
      <c r="A117" s="140">
        <v>39012598</v>
      </c>
      <c r="B117" s="140">
        <v>0</v>
      </c>
      <c r="C117" s="140">
        <v>99</v>
      </c>
      <c r="D117" s="140">
        <v>100</v>
      </c>
      <c r="E117" s="140" t="s">
        <v>359</v>
      </c>
      <c r="F117" s="140" t="s">
        <v>359</v>
      </c>
      <c r="G117" s="140">
        <v>1</v>
      </c>
      <c r="H117" s="140" t="s">
        <v>359</v>
      </c>
      <c r="I117" s="140" t="s">
        <v>359</v>
      </c>
      <c r="J117" s="140">
        <f t="shared" si="2"/>
        <v>100</v>
      </c>
      <c r="L117" s="142" t="s">
        <v>360</v>
      </c>
      <c r="M117" s="142"/>
      <c r="N117" s="148"/>
      <c r="Q117" s="48"/>
      <c r="R117" s="48"/>
    </row>
    <row r="118" spans="1:18" ht="21" customHeight="1" x14ac:dyDescent="0.15">
      <c r="A118" s="140">
        <v>39012599</v>
      </c>
      <c r="B118" s="140">
        <v>1</v>
      </c>
      <c r="C118" s="140">
        <v>100</v>
      </c>
      <c r="D118" s="140">
        <v>100</v>
      </c>
      <c r="E118" s="140" t="s">
        <v>359</v>
      </c>
      <c r="F118" s="140" t="s">
        <v>359</v>
      </c>
      <c r="G118" s="140">
        <v>1</v>
      </c>
      <c r="H118" s="140" t="s">
        <v>359</v>
      </c>
      <c r="I118" s="140" t="s">
        <v>359</v>
      </c>
      <c r="J118" s="140">
        <f t="shared" si="2"/>
        <v>100</v>
      </c>
      <c r="L118" s="142" t="s">
        <v>360</v>
      </c>
      <c r="M118" s="142"/>
      <c r="N118" s="148"/>
      <c r="Q118" s="48"/>
      <c r="R118" s="48"/>
    </row>
    <row r="119" spans="1:18" s="48" customFormat="1" ht="21" customHeight="1" x14ac:dyDescent="0.15">
      <c r="A119" s="169">
        <v>39012600</v>
      </c>
      <c r="B119" s="169">
        <v>1</v>
      </c>
      <c r="C119" s="169">
        <v>999</v>
      </c>
      <c r="D119" s="169">
        <v>100</v>
      </c>
      <c r="E119" s="169" t="s">
        <v>53</v>
      </c>
      <c r="F119" s="169" t="s">
        <v>53</v>
      </c>
      <c r="G119" s="169">
        <v>1</v>
      </c>
      <c r="H119" s="169">
        <v>1</v>
      </c>
      <c r="I119" s="169">
        <v>1542</v>
      </c>
      <c r="J119" s="169">
        <f t="shared" si="2"/>
        <v>100</v>
      </c>
      <c r="K119" s="38"/>
      <c r="L119" s="181" t="str">
        <f t="shared" ref="L119:L150" si="3">VLOOKUP(I119,$O$119:$P$133,2,0)</f>
        <v>メガロディーテ</v>
      </c>
      <c r="M119" s="169" t="s">
        <v>460</v>
      </c>
      <c r="O119" s="46">
        <v>1510</v>
      </c>
      <c r="P119" s="168" t="s">
        <v>369</v>
      </c>
    </row>
    <row r="120" spans="1:18" s="48" customFormat="1" ht="21" customHeight="1" x14ac:dyDescent="0.15">
      <c r="A120" s="169">
        <v>39012601</v>
      </c>
      <c r="B120" s="169">
        <v>1</v>
      </c>
      <c r="C120" s="169">
        <v>998</v>
      </c>
      <c r="D120" s="169">
        <v>100</v>
      </c>
      <c r="E120" s="169" t="s">
        <v>53</v>
      </c>
      <c r="F120" s="169" t="s">
        <v>53</v>
      </c>
      <c r="G120" s="169">
        <v>1</v>
      </c>
      <c r="H120" s="169">
        <v>1</v>
      </c>
      <c r="I120" s="169">
        <v>1541</v>
      </c>
      <c r="J120" s="169">
        <f t="shared" si="2"/>
        <v>100</v>
      </c>
      <c r="K120" s="38"/>
      <c r="L120" s="181" t="str">
        <f t="shared" si="3"/>
        <v>美女神アフロディーテ</v>
      </c>
      <c r="M120" s="169" t="s">
        <v>460</v>
      </c>
      <c r="O120" s="46">
        <v>1511</v>
      </c>
      <c r="P120" s="168" t="s">
        <v>399</v>
      </c>
    </row>
    <row r="121" spans="1:18" s="48" customFormat="1" ht="21" customHeight="1" x14ac:dyDescent="0.15">
      <c r="A121" s="169">
        <v>39012602</v>
      </c>
      <c r="B121" s="169">
        <v>1</v>
      </c>
      <c r="C121" s="169">
        <v>997</v>
      </c>
      <c r="D121" s="169">
        <v>100</v>
      </c>
      <c r="E121" s="169" t="s">
        <v>53</v>
      </c>
      <c r="F121" s="169" t="s">
        <v>53</v>
      </c>
      <c r="G121" s="169">
        <v>1</v>
      </c>
      <c r="H121" s="169">
        <v>1</v>
      </c>
      <c r="I121" s="169">
        <v>1538</v>
      </c>
      <c r="J121" s="169">
        <f t="shared" si="2"/>
        <v>100</v>
      </c>
      <c r="K121" s="38"/>
      <c r="L121" s="181" t="str">
        <f t="shared" si="3"/>
        <v>キャットマンダーク</v>
      </c>
      <c r="M121" s="169" t="s">
        <v>460</v>
      </c>
      <c r="O121" s="46">
        <v>1512</v>
      </c>
      <c r="P121" s="168" t="s">
        <v>400</v>
      </c>
    </row>
    <row r="122" spans="1:18" s="48" customFormat="1" ht="21" customHeight="1" x14ac:dyDescent="0.15">
      <c r="A122" s="169">
        <v>39012603</v>
      </c>
      <c r="B122" s="169">
        <v>1</v>
      </c>
      <c r="C122" s="169">
        <v>996</v>
      </c>
      <c r="D122" s="169">
        <v>100</v>
      </c>
      <c r="E122" s="169" t="s">
        <v>53</v>
      </c>
      <c r="F122" s="169" t="s">
        <v>53</v>
      </c>
      <c r="G122" s="169">
        <v>1</v>
      </c>
      <c r="H122" s="169">
        <v>1</v>
      </c>
      <c r="I122" s="169">
        <v>1537</v>
      </c>
      <c r="J122" s="169">
        <f t="shared" si="2"/>
        <v>100</v>
      </c>
      <c r="K122" s="38"/>
      <c r="L122" s="181" t="str">
        <f t="shared" si="3"/>
        <v>キャットマンダディ</v>
      </c>
      <c r="M122" s="169" t="s">
        <v>460</v>
      </c>
      <c r="O122" s="46">
        <v>1523</v>
      </c>
      <c r="P122" s="168" t="s">
        <v>377</v>
      </c>
    </row>
    <row r="123" spans="1:18" s="48" customFormat="1" ht="21" customHeight="1" x14ac:dyDescent="0.15">
      <c r="A123" s="169">
        <v>39012604</v>
      </c>
      <c r="B123" s="169">
        <v>1</v>
      </c>
      <c r="C123" s="169">
        <v>995</v>
      </c>
      <c r="D123" s="169">
        <v>100</v>
      </c>
      <c r="E123" s="169" t="s">
        <v>53</v>
      </c>
      <c r="F123" s="169" t="s">
        <v>53</v>
      </c>
      <c r="G123" s="169">
        <v>1</v>
      </c>
      <c r="H123" s="169">
        <v>1</v>
      </c>
      <c r="I123" s="169">
        <v>1536</v>
      </c>
      <c r="J123" s="169">
        <f t="shared" si="2"/>
        <v>100</v>
      </c>
      <c r="K123" s="38"/>
      <c r="L123" s="181" t="str">
        <f t="shared" si="3"/>
        <v>ハートフルねこナース</v>
      </c>
      <c r="M123" s="169" t="s">
        <v>460</v>
      </c>
      <c r="O123" s="46">
        <v>1524</v>
      </c>
      <c r="P123" s="168" t="s">
        <v>404</v>
      </c>
    </row>
    <row r="124" spans="1:18" s="48" customFormat="1" ht="21" customHeight="1" x14ac:dyDescent="0.15">
      <c r="A124" s="169">
        <v>39012605</v>
      </c>
      <c r="B124" s="169">
        <v>1</v>
      </c>
      <c r="C124" s="169">
        <v>994</v>
      </c>
      <c r="D124" s="169">
        <v>100</v>
      </c>
      <c r="E124" s="169" t="s">
        <v>53</v>
      </c>
      <c r="F124" s="169" t="s">
        <v>53</v>
      </c>
      <c r="G124" s="169">
        <v>1</v>
      </c>
      <c r="H124" s="169">
        <v>1</v>
      </c>
      <c r="I124" s="169">
        <v>1535</v>
      </c>
      <c r="J124" s="169">
        <f t="shared" si="2"/>
        <v>100</v>
      </c>
      <c r="K124" s="38"/>
      <c r="L124" s="181" t="str">
        <f t="shared" si="3"/>
        <v>ねこナース</v>
      </c>
      <c r="M124" s="169" t="s">
        <v>460</v>
      </c>
      <c r="O124" s="46">
        <v>1533</v>
      </c>
      <c r="P124" s="168" t="s">
        <v>382</v>
      </c>
    </row>
    <row r="125" spans="1:18" s="48" customFormat="1" ht="21" customHeight="1" x14ac:dyDescent="0.15">
      <c r="A125" s="169">
        <v>39012606</v>
      </c>
      <c r="B125" s="169">
        <v>1</v>
      </c>
      <c r="C125" s="169">
        <v>993</v>
      </c>
      <c r="D125" s="169">
        <v>100</v>
      </c>
      <c r="E125" s="169" t="s">
        <v>53</v>
      </c>
      <c r="F125" s="169" t="s">
        <v>53</v>
      </c>
      <c r="G125" s="169">
        <v>1</v>
      </c>
      <c r="H125" s="169">
        <v>1</v>
      </c>
      <c r="I125" s="169">
        <v>1540</v>
      </c>
      <c r="J125" s="169">
        <f t="shared" si="2"/>
        <v>100</v>
      </c>
      <c r="K125" s="38"/>
      <c r="L125" s="181" t="str">
        <f t="shared" si="3"/>
        <v>雷神のサンディアβ</v>
      </c>
      <c r="M125" s="169" t="s">
        <v>460</v>
      </c>
      <c r="O125" s="46">
        <v>1534</v>
      </c>
      <c r="P125" s="168" t="s">
        <v>409</v>
      </c>
    </row>
    <row r="126" spans="1:18" s="48" customFormat="1" ht="21" customHeight="1" x14ac:dyDescent="0.15">
      <c r="A126" s="169">
        <v>39012607</v>
      </c>
      <c r="B126" s="169">
        <v>1</v>
      </c>
      <c r="C126" s="169">
        <v>992</v>
      </c>
      <c r="D126" s="169">
        <v>100</v>
      </c>
      <c r="E126" s="169" t="s">
        <v>53</v>
      </c>
      <c r="F126" s="169" t="s">
        <v>53</v>
      </c>
      <c r="G126" s="169">
        <v>1</v>
      </c>
      <c r="H126" s="169">
        <v>1</v>
      </c>
      <c r="I126" s="169">
        <v>1539</v>
      </c>
      <c r="J126" s="169">
        <f t="shared" si="2"/>
        <v>100</v>
      </c>
      <c r="K126" s="38"/>
      <c r="L126" s="181" t="str">
        <f t="shared" si="3"/>
        <v>雷神のサンディア</v>
      </c>
      <c r="M126" s="169" t="s">
        <v>460</v>
      </c>
      <c r="O126" s="46">
        <v>1535</v>
      </c>
      <c r="P126" s="168" t="s">
        <v>383</v>
      </c>
    </row>
    <row r="127" spans="1:18" s="48" customFormat="1" ht="21" customHeight="1" x14ac:dyDescent="0.15">
      <c r="A127" s="169">
        <v>39012608</v>
      </c>
      <c r="B127" s="169">
        <v>1</v>
      </c>
      <c r="C127" s="169">
        <v>991</v>
      </c>
      <c r="D127" s="169">
        <v>100</v>
      </c>
      <c r="E127" s="169" t="s">
        <v>53</v>
      </c>
      <c r="F127" s="169" t="s">
        <v>53</v>
      </c>
      <c r="G127" s="169">
        <v>1</v>
      </c>
      <c r="H127" s="169">
        <v>1</v>
      </c>
      <c r="I127" s="169">
        <v>1534</v>
      </c>
      <c r="J127" s="169">
        <f t="shared" si="2"/>
        <v>100</v>
      </c>
      <c r="K127" s="38"/>
      <c r="L127" s="181" t="str">
        <f t="shared" si="3"/>
        <v>ネコジェンヌ</v>
      </c>
      <c r="M127" s="169" t="s">
        <v>460</v>
      </c>
      <c r="O127" s="46">
        <v>1536</v>
      </c>
      <c r="P127" s="168" t="s">
        <v>384</v>
      </c>
    </row>
    <row r="128" spans="1:18" s="48" customFormat="1" ht="21" customHeight="1" x14ac:dyDescent="0.15">
      <c r="A128" s="169">
        <v>39012609</v>
      </c>
      <c r="B128" s="169">
        <v>1</v>
      </c>
      <c r="C128" s="169">
        <v>990</v>
      </c>
      <c r="D128" s="169">
        <v>100</v>
      </c>
      <c r="E128" s="169" t="s">
        <v>53</v>
      </c>
      <c r="F128" s="169" t="s">
        <v>53</v>
      </c>
      <c r="G128" s="169">
        <v>1</v>
      </c>
      <c r="H128" s="169">
        <v>1</v>
      </c>
      <c r="I128" s="169">
        <v>1533</v>
      </c>
      <c r="J128" s="169">
        <f t="shared" si="2"/>
        <v>100</v>
      </c>
      <c r="K128" s="38"/>
      <c r="L128" s="181" t="str">
        <f t="shared" si="3"/>
        <v>ネコエステ</v>
      </c>
      <c r="M128" s="169" t="s">
        <v>460</v>
      </c>
      <c r="O128" s="46">
        <v>1537</v>
      </c>
      <c r="P128" s="168" t="s">
        <v>385</v>
      </c>
    </row>
    <row r="129" spans="1:16" s="48" customFormat="1" ht="21" customHeight="1" x14ac:dyDescent="0.15">
      <c r="A129" s="169">
        <v>39012610</v>
      </c>
      <c r="B129" s="169">
        <v>1</v>
      </c>
      <c r="C129" s="169">
        <v>989</v>
      </c>
      <c r="D129" s="169">
        <v>100</v>
      </c>
      <c r="E129" s="169" t="s">
        <v>53</v>
      </c>
      <c r="F129" s="169" t="s">
        <v>53</v>
      </c>
      <c r="G129" s="169">
        <v>1</v>
      </c>
      <c r="H129" s="169">
        <v>1</v>
      </c>
      <c r="I129" s="169">
        <v>1524</v>
      </c>
      <c r="J129" s="169">
        <f t="shared" si="2"/>
        <v>100</v>
      </c>
      <c r="K129" s="38"/>
      <c r="L129" s="181" t="str">
        <f t="shared" si="3"/>
        <v>狂乱のネコムート</v>
      </c>
      <c r="M129" s="169" t="s">
        <v>460</v>
      </c>
      <c r="O129" s="46">
        <v>1538</v>
      </c>
      <c r="P129" s="168" t="s">
        <v>386</v>
      </c>
    </row>
    <row r="130" spans="1:16" s="48" customFormat="1" ht="21" customHeight="1" x14ac:dyDescent="0.15">
      <c r="A130" s="169">
        <v>39012611</v>
      </c>
      <c r="B130" s="169">
        <v>1</v>
      </c>
      <c r="C130" s="169">
        <v>988</v>
      </c>
      <c r="D130" s="169">
        <v>100</v>
      </c>
      <c r="E130" s="169" t="s">
        <v>53</v>
      </c>
      <c r="F130" s="169" t="s">
        <v>53</v>
      </c>
      <c r="G130" s="169">
        <v>1</v>
      </c>
      <c r="H130" s="169">
        <v>1</v>
      </c>
      <c r="I130" s="169">
        <v>1523</v>
      </c>
      <c r="J130" s="169">
        <f t="shared" si="2"/>
        <v>100</v>
      </c>
      <c r="K130" s="38"/>
      <c r="L130" s="181" t="str">
        <f t="shared" si="3"/>
        <v>ネコムート</v>
      </c>
      <c r="M130" s="169" t="s">
        <v>460</v>
      </c>
      <c r="O130" s="46">
        <v>1539</v>
      </c>
      <c r="P130" s="168" t="s">
        <v>387</v>
      </c>
    </row>
    <row r="131" spans="1:16" s="48" customFormat="1" ht="21" customHeight="1" x14ac:dyDescent="0.15">
      <c r="A131" s="169">
        <v>39012612</v>
      </c>
      <c r="B131" s="169">
        <v>1</v>
      </c>
      <c r="C131" s="169">
        <v>987</v>
      </c>
      <c r="D131" s="169">
        <v>100</v>
      </c>
      <c r="E131" s="169" t="s">
        <v>53</v>
      </c>
      <c r="F131" s="169" t="s">
        <v>53</v>
      </c>
      <c r="G131" s="169">
        <v>1</v>
      </c>
      <c r="H131" s="169">
        <v>1</v>
      </c>
      <c r="I131" s="169">
        <v>1512</v>
      </c>
      <c r="J131" s="169">
        <f t="shared" si="2"/>
        <v>100</v>
      </c>
      <c r="K131" s="38"/>
      <c r="L131" s="181" t="str">
        <f t="shared" si="3"/>
        <v>ネコヴァルキリー・聖</v>
      </c>
      <c r="M131" s="169" t="s">
        <v>460</v>
      </c>
      <c r="O131" s="46">
        <v>1540</v>
      </c>
      <c r="P131" s="168" t="s">
        <v>388</v>
      </c>
    </row>
    <row r="132" spans="1:16" s="48" customFormat="1" ht="21" customHeight="1" x14ac:dyDescent="0.15">
      <c r="A132" s="169">
        <v>39012613</v>
      </c>
      <c r="B132" s="169">
        <v>1</v>
      </c>
      <c r="C132" s="169">
        <v>986</v>
      </c>
      <c r="D132" s="169">
        <v>100</v>
      </c>
      <c r="E132" s="169" t="s">
        <v>53</v>
      </c>
      <c r="F132" s="169" t="s">
        <v>53</v>
      </c>
      <c r="G132" s="169">
        <v>1</v>
      </c>
      <c r="H132" s="169">
        <v>1</v>
      </c>
      <c r="I132" s="169">
        <v>1511</v>
      </c>
      <c r="J132" s="169">
        <f t="shared" si="2"/>
        <v>100</v>
      </c>
      <c r="K132" s="38"/>
      <c r="L132" s="181" t="str">
        <f t="shared" si="3"/>
        <v>ネコヴァルキリー・真</v>
      </c>
      <c r="M132" s="169" t="s">
        <v>460</v>
      </c>
      <c r="O132" s="46">
        <v>1541</v>
      </c>
      <c r="P132" s="168" t="s">
        <v>389</v>
      </c>
    </row>
    <row r="133" spans="1:16" s="48" customFormat="1" ht="21" customHeight="1" x14ac:dyDescent="0.15">
      <c r="A133" s="169">
        <v>39012614</v>
      </c>
      <c r="B133" s="169">
        <v>1</v>
      </c>
      <c r="C133" s="169">
        <v>985</v>
      </c>
      <c r="D133" s="169">
        <v>100</v>
      </c>
      <c r="E133" s="169" t="s">
        <v>53</v>
      </c>
      <c r="F133" s="169" t="s">
        <v>53</v>
      </c>
      <c r="G133" s="169">
        <v>1</v>
      </c>
      <c r="H133" s="169">
        <v>1</v>
      </c>
      <c r="I133" s="169">
        <v>1510</v>
      </c>
      <c r="J133" s="169">
        <f t="shared" si="2"/>
        <v>100</v>
      </c>
      <c r="K133" s="38"/>
      <c r="L133" s="181" t="str">
        <f t="shared" si="3"/>
        <v>ネコヴァルキリー</v>
      </c>
      <c r="M133" s="169" t="s">
        <v>460</v>
      </c>
      <c r="O133" s="46">
        <v>1542</v>
      </c>
      <c r="P133" s="168" t="s">
        <v>390</v>
      </c>
    </row>
    <row r="134" spans="1:16" s="48" customFormat="1" ht="21" customHeight="1" x14ac:dyDescent="0.15">
      <c r="A134" s="149">
        <v>39012615</v>
      </c>
      <c r="B134" s="149">
        <v>1</v>
      </c>
      <c r="C134" s="149">
        <v>999</v>
      </c>
      <c r="D134" s="149">
        <v>100</v>
      </c>
      <c r="E134" s="149" t="s">
        <v>53</v>
      </c>
      <c r="F134" s="149" t="s">
        <v>53</v>
      </c>
      <c r="G134" s="149">
        <v>1</v>
      </c>
      <c r="H134" s="149">
        <v>1</v>
      </c>
      <c r="I134" s="149">
        <v>1538</v>
      </c>
      <c r="J134" s="149">
        <f t="shared" si="2"/>
        <v>100</v>
      </c>
      <c r="K134" s="38"/>
      <c r="L134" s="182" t="str">
        <f t="shared" si="3"/>
        <v>キャットマンダーク</v>
      </c>
      <c r="M134" s="149" t="s">
        <v>459</v>
      </c>
    </row>
    <row r="135" spans="1:16" s="48" customFormat="1" ht="21" customHeight="1" x14ac:dyDescent="0.15">
      <c r="A135" s="149">
        <v>39012616</v>
      </c>
      <c r="B135" s="149">
        <v>1</v>
      </c>
      <c r="C135" s="149">
        <v>998</v>
      </c>
      <c r="D135" s="149">
        <v>100</v>
      </c>
      <c r="E135" s="149" t="s">
        <v>53</v>
      </c>
      <c r="F135" s="149" t="s">
        <v>53</v>
      </c>
      <c r="G135" s="149">
        <v>1</v>
      </c>
      <c r="H135" s="149">
        <v>1</v>
      </c>
      <c r="I135" s="149">
        <v>1537</v>
      </c>
      <c r="J135" s="149">
        <f t="shared" si="2"/>
        <v>100</v>
      </c>
      <c r="K135" s="38"/>
      <c r="L135" s="182" t="str">
        <f t="shared" si="3"/>
        <v>キャットマンダディ</v>
      </c>
      <c r="M135" s="149" t="s">
        <v>459</v>
      </c>
    </row>
    <row r="136" spans="1:16" s="48" customFormat="1" ht="21" customHeight="1" x14ac:dyDescent="0.15">
      <c r="A136" s="149">
        <v>39012617</v>
      </c>
      <c r="B136" s="149">
        <v>1</v>
      </c>
      <c r="C136" s="149">
        <v>997</v>
      </c>
      <c r="D136" s="149">
        <v>100</v>
      </c>
      <c r="E136" s="149" t="s">
        <v>53</v>
      </c>
      <c r="F136" s="149" t="s">
        <v>53</v>
      </c>
      <c r="G136" s="149">
        <v>1</v>
      </c>
      <c r="H136" s="149">
        <v>1</v>
      </c>
      <c r="I136" s="149">
        <v>1542</v>
      </c>
      <c r="J136" s="149">
        <f t="shared" si="2"/>
        <v>100</v>
      </c>
      <c r="K136" s="38"/>
      <c r="L136" s="182" t="str">
        <f t="shared" si="3"/>
        <v>メガロディーテ</v>
      </c>
      <c r="M136" s="149" t="s">
        <v>459</v>
      </c>
    </row>
    <row r="137" spans="1:16" s="48" customFormat="1" ht="21" customHeight="1" x14ac:dyDescent="0.15">
      <c r="A137" s="149">
        <v>39012618</v>
      </c>
      <c r="B137" s="149">
        <v>1</v>
      </c>
      <c r="C137" s="149">
        <v>996</v>
      </c>
      <c r="D137" s="149">
        <v>100</v>
      </c>
      <c r="E137" s="149" t="s">
        <v>53</v>
      </c>
      <c r="F137" s="149" t="s">
        <v>53</v>
      </c>
      <c r="G137" s="149">
        <v>1</v>
      </c>
      <c r="H137" s="149">
        <v>1</v>
      </c>
      <c r="I137" s="149">
        <v>1541</v>
      </c>
      <c r="J137" s="149">
        <f t="shared" si="2"/>
        <v>100</v>
      </c>
      <c r="K137" s="38"/>
      <c r="L137" s="182" t="str">
        <f t="shared" si="3"/>
        <v>美女神アフロディーテ</v>
      </c>
      <c r="M137" s="149" t="s">
        <v>459</v>
      </c>
    </row>
    <row r="138" spans="1:16" s="48" customFormat="1" ht="21" customHeight="1" x14ac:dyDescent="0.15">
      <c r="A138" s="149">
        <v>39012619</v>
      </c>
      <c r="B138" s="149">
        <v>1</v>
      </c>
      <c r="C138" s="149">
        <v>995</v>
      </c>
      <c r="D138" s="149">
        <v>100</v>
      </c>
      <c r="E138" s="149" t="s">
        <v>53</v>
      </c>
      <c r="F138" s="149" t="s">
        <v>53</v>
      </c>
      <c r="G138" s="149">
        <v>1</v>
      </c>
      <c r="H138" s="149">
        <v>1</v>
      </c>
      <c r="I138" s="149">
        <v>1540</v>
      </c>
      <c r="J138" s="149">
        <f t="shared" si="2"/>
        <v>100</v>
      </c>
      <c r="K138" s="38"/>
      <c r="L138" s="182" t="str">
        <f t="shared" si="3"/>
        <v>雷神のサンディアβ</v>
      </c>
      <c r="M138" s="149" t="s">
        <v>459</v>
      </c>
    </row>
    <row r="139" spans="1:16" s="48" customFormat="1" ht="21" customHeight="1" x14ac:dyDescent="0.15">
      <c r="A139" s="149">
        <v>39012620</v>
      </c>
      <c r="B139" s="149">
        <v>1</v>
      </c>
      <c r="C139" s="149">
        <v>994</v>
      </c>
      <c r="D139" s="149">
        <v>100</v>
      </c>
      <c r="E139" s="149" t="s">
        <v>53</v>
      </c>
      <c r="F139" s="149" t="s">
        <v>53</v>
      </c>
      <c r="G139" s="149">
        <v>1</v>
      </c>
      <c r="H139" s="149">
        <v>1</v>
      </c>
      <c r="I139" s="149">
        <v>1539</v>
      </c>
      <c r="J139" s="149">
        <f t="shared" si="2"/>
        <v>100</v>
      </c>
      <c r="K139" s="38"/>
      <c r="L139" s="182" t="str">
        <f t="shared" si="3"/>
        <v>雷神のサンディア</v>
      </c>
      <c r="M139" s="149" t="s">
        <v>459</v>
      </c>
    </row>
    <row r="140" spans="1:16" s="48" customFormat="1" ht="21" customHeight="1" x14ac:dyDescent="0.15">
      <c r="A140" s="149">
        <v>39012621</v>
      </c>
      <c r="B140" s="149">
        <v>1</v>
      </c>
      <c r="C140" s="149">
        <v>993</v>
      </c>
      <c r="D140" s="149">
        <v>100</v>
      </c>
      <c r="E140" s="149" t="s">
        <v>53</v>
      </c>
      <c r="F140" s="149" t="s">
        <v>53</v>
      </c>
      <c r="G140" s="149">
        <v>1</v>
      </c>
      <c r="H140" s="149">
        <v>1</v>
      </c>
      <c r="I140" s="149">
        <v>1534</v>
      </c>
      <c r="J140" s="149">
        <f t="shared" si="2"/>
        <v>100</v>
      </c>
      <c r="K140" s="38"/>
      <c r="L140" s="182" t="str">
        <f t="shared" si="3"/>
        <v>ネコジェンヌ</v>
      </c>
      <c r="M140" s="149" t="s">
        <v>459</v>
      </c>
    </row>
    <row r="141" spans="1:16" s="48" customFormat="1" ht="21" customHeight="1" x14ac:dyDescent="0.15">
      <c r="A141" s="149">
        <v>39012622</v>
      </c>
      <c r="B141" s="149">
        <v>1</v>
      </c>
      <c r="C141" s="149">
        <v>992</v>
      </c>
      <c r="D141" s="149">
        <v>100</v>
      </c>
      <c r="E141" s="149" t="s">
        <v>53</v>
      </c>
      <c r="F141" s="149" t="s">
        <v>53</v>
      </c>
      <c r="G141" s="149">
        <v>1</v>
      </c>
      <c r="H141" s="149">
        <v>1</v>
      </c>
      <c r="I141" s="149">
        <v>1533</v>
      </c>
      <c r="J141" s="149">
        <f t="shared" si="2"/>
        <v>100</v>
      </c>
      <c r="K141" s="38"/>
      <c r="L141" s="182" t="str">
        <f t="shared" si="3"/>
        <v>ネコエステ</v>
      </c>
      <c r="M141" s="149" t="s">
        <v>459</v>
      </c>
    </row>
    <row r="142" spans="1:16" s="48" customFormat="1" ht="21" customHeight="1" x14ac:dyDescent="0.15">
      <c r="A142" s="149">
        <v>39012623</v>
      </c>
      <c r="B142" s="149">
        <v>1</v>
      </c>
      <c r="C142" s="149">
        <v>991</v>
      </c>
      <c r="D142" s="149">
        <v>100</v>
      </c>
      <c r="E142" s="149" t="s">
        <v>53</v>
      </c>
      <c r="F142" s="149" t="s">
        <v>53</v>
      </c>
      <c r="G142" s="149">
        <v>1</v>
      </c>
      <c r="H142" s="149">
        <v>1</v>
      </c>
      <c r="I142" s="149">
        <v>1512</v>
      </c>
      <c r="J142" s="149">
        <f t="shared" si="2"/>
        <v>100</v>
      </c>
      <c r="K142" s="38"/>
      <c r="L142" s="182" t="str">
        <f t="shared" si="3"/>
        <v>ネコヴァルキリー・聖</v>
      </c>
      <c r="M142" s="149" t="s">
        <v>459</v>
      </c>
    </row>
    <row r="143" spans="1:16" s="48" customFormat="1" ht="21" customHeight="1" x14ac:dyDescent="0.15">
      <c r="A143" s="149">
        <v>39012624</v>
      </c>
      <c r="B143" s="149">
        <v>1</v>
      </c>
      <c r="C143" s="149">
        <v>990</v>
      </c>
      <c r="D143" s="149">
        <v>100</v>
      </c>
      <c r="E143" s="149" t="s">
        <v>53</v>
      </c>
      <c r="F143" s="149" t="s">
        <v>53</v>
      </c>
      <c r="G143" s="149">
        <v>1</v>
      </c>
      <c r="H143" s="149">
        <v>1</v>
      </c>
      <c r="I143" s="149">
        <v>1511</v>
      </c>
      <c r="J143" s="149">
        <f t="shared" si="2"/>
        <v>100</v>
      </c>
      <c r="K143" s="38"/>
      <c r="L143" s="182" t="str">
        <f t="shared" si="3"/>
        <v>ネコヴァルキリー・真</v>
      </c>
      <c r="M143" s="149" t="s">
        <v>459</v>
      </c>
    </row>
    <row r="144" spans="1:16" s="48" customFormat="1" ht="21" customHeight="1" x14ac:dyDescent="0.15">
      <c r="A144" s="149">
        <v>39012625</v>
      </c>
      <c r="B144" s="149">
        <v>1</v>
      </c>
      <c r="C144" s="149">
        <v>989</v>
      </c>
      <c r="D144" s="149">
        <v>100</v>
      </c>
      <c r="E144" s="149" t="s">
        <v>53</v>
      </c>
      <c r="F144" s="149" t="s">
        <v>53</v>
      </c>
      <c r="G144" s="149">
        <v>1</v>
      </c>
      <c r="H144" s="149">
        <v>1</v>
      </c>
      <c r="I144" s="149">
        <v>1510</v>
      </c>
      <c r="J144" s="149">
        <f t="shared" si="2"/>
        <v>100</v>
      </c>
      <c r="K144" s="38"/>
      <c r="L144" s="182" t="str">
        <f t="shared" si="3"/>
        <v>ネコヴァルキリー</v>
      </c>
      <c r="M144" s="149" t="s">
        <v>459</v>
      </c>
    </row>
    <row r="145" spans="1:18" s="48" customFormat="1" ht="21" customHeight="1" x14ac:dyDescent="0.15">
      <c r="A145" s="149">
        <v>39012626</v>
      </c>
      <c r="B145" s="149">
        <v>1</v>
      </c>
      <c r="C145" s="149">
        <v>988</v>
      </c>
      <c r="D145" s="149">
        <v>100</v>
      </c>
      <c r="E145" s="149" t="s">
        <v>53</v>
      </c>
      <c r="F145" s="149" t="s">
        <v>53</v>
      </c>
      <c r="G145" s="149">
        <v>1</v>
      </c>
      <c r="H145" s="149">
        <v>1</v>
      </c>
      <c r="I145" s="149">
        <v>1536</v>
      </c>
      <c r="J145" s="149">
        <f t="shared" si="2"/>
        <v>100</v>
      </c>
      <c r="K145" s="38"/>
      <c r="L145" s="182" t="str">
        <f t="shared" si="3"/>
        <v>ハートフルねこナース</v>
      </c>
      <c r="M145" s="149" t="s">
        <v>459</v>
      </c>
    </row>
    <row r="146" spans="1:18" s="48" customFormat="1" ht="21" customHeight="1" x14ac:dyDescent="0.15">
      <c r="A146" s="149">
        <v>39012627</v>
      </c>
      <c r="B146" s="149">
        <v>1</v>
      </c>
      <c r="C146" s="149">
        <v>987</v>
      </c>
      <c r="D146" s="149">
        <v>100</v>
      </c>
      <c r="E146" s="149" t="s">
        <v>53</v>
      </c>
      <c r="F146" s="149" t="s">
        <v>53</v>
      </c>
      <c r="G146" s="149">
        <v>1</v>
      </c>
      <c r="H146" s="149">
        <v>1</v>
      </c>
      <c r="I146" s="149">
        <v>1535</v>
      </c>
      <c r="J146" s="149">
        <f t="shared" si="2"/>
        <v>100</v>
      </c>
      <c r="K146" s="38"/>
      <c r="L146" s="182" t="str">
        <f t="shared" si="3"/>
        <v>ねこナース</v>
      </c>
      <c r="M146" s="149" t="s">
        <v>459</v>
      </c>
      <c r="O146" s="44"/>
      <c r="P146" s="44"/>
    </row>
    <row r="147" spans="1:18" s="48" customFormat="1" ht="21" customHeight="1" x14ac:dyDescent="0.15">
      <c r="A147" s="149">
        <v>39012628</v>
      </c>
      <c r="B147" s="149">
        <v>1</v>
      </c>
      <c r="C147" s="149">
        <v>986</v>
      </c>
      <c r="D147" s="149">
        <v>100</v>
      </c>
      <c r="E147" s="149" t="s">
        <v>53</v>
      </c>
      <c r="F147" s="149" t="s">
        <v>53</v>
      </c>
      <c r="G147" s="149">
        <v>1</v>
      </c>
      <c r="H147" s="149">
        <v>1</v>
      </c>
      <c r="I147" s="149">
        <v>1524</v>
      </c>
      <c r="J147" s="149">
        <f t="shared" si="2"/>
        <v>100</v>
      </c>
      <c r="K147" s="38"/>
      <c r="L147" s="182" t="str">
        <f t="shared" si="3"/>
        <v>狂乱のネコムート</v>
      </c>
      <c r="M147" s="149" t="s">
        <v>459</v>
      </c>
      <c r="Q147" s="44"/>
      <c r="R147" s="44"/>
    </row>
    <row r="148" spans="1:18" s="48" customFormat="1" ht="21" customHeight="1" x14ac:dyDescent="0.15">
      <c r="A148" s="149">
        <v>39012629</v>
      </c>
      <c r="B148" s="149">
        <v>1</v>
      </c>
      <c r="C148" s="149">
        <v>985</v>
      </c>
      <c r="D148" s="149">
        <v>100</v>
      </c>
      <c r="E148" s="149" t="s">
        <v>53</v>
      </c>
      <c r="F148" s="149" t="s">
        <v>53</v>
      </c>
      <c r="G148" s="149">
        <v>1</v>
      </c>
      <c r="H148" s="149">
        <v>1</v>
      </c>
      <c r="I148" s="149">
        <v>1523</v>
      </c>
      <c r="J148" s="149">
        <f t="shared" si="2"/>
        <v>100</v>
      </c>
      <c r="K148" s="38"/>
      <c r="L148" s="182" t="str">
        <f t="shared" si="3"/>
        <v>ネコムート</v>
      </c>
      <c r="M148" s="149" t="s">
        <v>459</v>
      </c>
    </row>
    <row r="149" spans="1:18" s="48" customFormat="1" ht="21" customHeight="1" x14ac:dyDescent="0.15">
      <c r="A149" s="185">
        <v>39012630</v>
      </c>
      <c r="B149" s="185">
        <v>1</v>
      </c>
      <c r="C149" s="185">
        <v>999</v>
      </c>
      <c r="D149" s="185">
        <v>100</v>
      </c>
      <c r="E149" s="185" t="s">
        <v>53</v>
      </c>
      <c r="F149" s="185" t="s">
        <v>53</v>
      </c>
      <c r="G149" s="185">
        <v>1</v>
      </c>
      <c r="H149" s="185">
        <v>1</v>
      </c>
      <c r="I149" s="185">
        <v>1542</v>
      </c>
      <c r="J149" s="185">
        <f t="shared" si="2"/>
        <v>100</v>
      </c>
      <c r="K149" s="38"/>
      <c r="L149" s="186" t="str">
        <f t="shared" si="3"/>
        <v>メガロディーテ</v>
      </c>
      <c r="M149" s="185" t="s">
        <v>412</v>
      </c>
    </row>
    <row r="150" spans="1:18" s="48" customFormat="1" ht="21" customHeight="1" x14ac:dyDescent="0.15">
      <c r="A150" s="185">
        <v>39012631</v>
      </c>
      <c r="B150" s="185">
        <v>1</v>
      </c>
      <c r="C150" s="185">
        <v>998</v>
      </c>
      <c r="D150" s="185">
        <v>100</v>
      </c>
      <c r="E150" s="185" t="s">
        <v>53</v>
      </c>
      <c r="F150" s="185" t="s">
        <v>53</v>
      </c>
      <c r="G150" s="185">
        <v>1</v>
      </c>
      <c r="H150" s="185">
        <v>1</v>
      </c>
      <c r="I150" s="185">
        <v>1541</v>
      </c>
      <c r="J150" s="185">
        <f t="shared" si="2"/>
        <v>100</v>
      </c>
      <c r="K150" s="38"/>
      <c r="L150" s="186" t="str">
        <f t="shared" si="3"/>
        <v>美女神アフロディーテ</v>
      </c>
      <c r="M150" s="185" t="s">
        <v>412</v>
      </c>
    </row>
    <row r="151" spans="1:18" s="48" customFormat="1" ht="21" customHeight="1" x14ac:dyDescent="0.15">
      <c r="A151" s="185">
        <v>39012632</v>
      </c>
      <c r="B151" s="185">
        <v>1</v>
      </c>
      <c r="C151" s="185">
        <v>997</v>
      </c>
      <c r="D151" s="185">
        <v>100</v>
      </c>
      <c r="E151" s="185" t="s">
        <v>53</v>
      </c>
      <c r="F151" s="185" t="s">
        <v>53</v>
      </c>
      <c r="G151" s="185">
        <v>1</v>
      </c>
      <c r="H151" s="185">
        <v>1</v>
      </c>
      <c r="I151" s="185">
        <v>1538</v>
      </c>
      <c r="J151" s="185">
        <f t="shared" si="2"/>
        <v>100</v>
      </c>
      <c r="K151" s="38"/>
      <c r="L151" s="186" t="str">
        <f t="shared" ref="L151:L182" si="4">VLOOKUP(I151,$O$119:$P$133,2,0)</f>
        <v>キャットマンダーク</v>
      </c>
      <c r="M151" s="185" t="s">
        <v>412</v>
      </c>
    </row>
    <row r="152" spans="1:18" s="48" customFormat="1" ht="21" customHeight="1" x14ac:dyDescent="0.15">
      <c r="A152" s="185">
        <v>39012633</v>
      </c>
      <c r="B152" s="185">
        <v>1</v>
      </c>
      <c r="C152" s="185">
        <v>996</v>
      </c>
      <c r="D152" s="185">
        <v>100</v>
      </c>
      <c r="E152" s="185" t="s">
        <v>53</v>
      </c>
      <c r="F152" s="185" t="s">
        <v>53</v>
      </c>
      <c r="G152" s="185">
        <v>1</v>
      </c>
      <c r="H152" s="185">
        <v>1</v>
      </c>
      <c r="I152" s="185">
        <v>1537</v>
      </c>
      <c r="J152" s="185">
        <f t="shared" si="2"/>
        <v>100</v>
      </c>
      <c r="K152" s="38"/>
      <c r="L152" s="186" t="str">
        <f t="shared" si="4"/>
        <v>キャットマンダディ</v>
      </c>
      <c r="M152" s="185" t="s">
        <v>412</v>
      </c>
    </row>
    <row r="153" spans="1:18" s="48" customFormat="1" ht="21" customHeight="1" x14ac:dyDescent="0.15">
      <c r="A153" s="185">
        <v>39012634</v>
      </c>
      <c r="B153" s="185">
        <v>1</v>
      </c>
      <c r="C153" s="185">
        <v>995</v>
      </c>
      <c r="D153" s="185">
        <v>100</v>
      </c>
      <c r="E153" s="185" t="s">
        <v>53</v>
      </c>
      <c r="F153" s="185" t="s">
        <v>53</v>
      </c>
      <c r="G153" s="185">
        <v>1</v>
      </c>
      <c r="H153" s="185">
        <v>1</v>
      </c>
      <c r="I153" s="185">
        <v>1536</v>
      </c>
      <c r="J153" s="185">
        <f t="shared" si="2"/>
        <v>100</v>
      </c>
      <c r="K153" s="38"/>
      <c r="L153" s="186" t="str">
        <f t="shared" si="4"/>
        <v>ハートフルねこナース</v>
      </c>
      <c r="M153" s="185" t="s">
        <v>412</v>
      </c>
    </row>
    <row r="154" spans="1:18" s="48" customFormat="1" ht="21" customHeight="1" x14ac:dyDescent="0.15">
      <c r="A154" s="185">
        <v>39012635</v>
      </c>
      <c r="B154" s="185">
        <v>1</v>
      </c>
      <c r="C154" s="185">
        <v>994</v>
      </c>
      <c r="D154" s="185">
        <v>100</v>
      </c>
      <c r="E154" s="185" t="s">
        <v>53</v>
      </c>
      <c r="F154" s="185" t="s">
        <v>53</v>
      </c>
      <c r="G154" s="185">
        <v>1</v>
      </c>
      <c r="H154" s="185">
        <v>1</v>
      </c>
      <c r="I154" s="185">
        <v>1535</v>
      </c>
      <c r="J154" s="185">
        <f t="shared" si="2"/>
        <v>100</v>
      </c>
      <c r="K154" s="38"/>
      <c r="L154" s="186" t="str">
        <f t="shared" si="4"/>
        <v>ねこナース</v>
      </c>
      <c r="M154" s="185" t="s">
        <v>412</v>
      </c>
    </row>
    <row r="155" spans="1:18" s="48" customFormat="1" ht="21" customHeight="1" x14ac:dyDescent="0.15">
      <c r="A155" s="185">
        <v>39012636</v>
      </c>
      <c r="B155" s="185">
        <v>1</v>
      </c>
      <c r="C155" s="185">
        <v>993</v>
      </c>
      <c r="D155" s="185">
        <v>100</v>
      </c>
      <c r="E155" s="185" t="s">
        <v>53</v>
      </c>
      <c r="F155" s="185" t="s">
        <v>53</v>
      </c>
      <c r="G155" s="185">
        <v>1</v>
      </c>
      <c r="H155" s="185">
        <v>1</v>
      </c>
      <c r="I155" s="185">
        <v>1524</v>
      </c>
      <c r="J155" s="185">
        <f t="shared" si="2"/>
        <v>100</v>
      </c>
      <c r="K155" s="38"/>
      <c r="L155" s="186" t="str">
        <f t="shared" si="4"/>
        <v>狂乱のネコムート</v>
      </c>
      <c r="M155" s="185" t="s">
        <v>412</v>
      </c>
    </row>
    <row r="156" spans="1:18" s="48" customFormat="1" ht="21" customHeight="1" x14ac:dyDescent="0.15">
      <c r="A156" s="185">
        <v>39012637</v>
      </c>
      <c r="B156" s="185">
        <v>1</v>
      </c>
      <c r="C156" s="185">
        <v>992</v>
      </c>
      <c r="D156" s="185">
        <v>100</v>
      </c>
      <c r="E156" s="185" t="s">
        <v>53</v>
      </c>
      <c r="F156" s="185" t="s">
        <v>53</v>
      </c>
      <c r="G156" s="185">
        <v>1</v>
      </c>
      <c r="H156" s="185">
        <v>1</v>
      </c>
      <c r="I156" s="185">
        <v>1523</v>
      </c>
      <c r="J156" s="185">
        <f t="shared" si="2"/>
        <v>100</v>
      </c>
      <c r="K156" s="38"/>
      <c r="L156" s="186" t="str">
        <f t="shared" si="4"/>
        <v>ネコムート</v>
      </c>
      <c r="M156" s="185" t="s">
        <v>412</v>
      </c>
    </row>
    <row r="157" spans="1:18" s="48" customFormat="1" ht="21" customHeight="1" x14ac:dyDescent="0.15">
      <c r="A157" s="185">
        <v>39012638</v>
      </c>
      <c r="B157" s="185">
        <v>1</v>
      </c>
      <c r="C157" s="185">
        <v>991</v>
      </c>
      <c r="D157" s="185">
        <v>100</v>
      </c>
      <c r="E157" s="185" t="s">
        <v>53</v>
      </c>
      <c r="F157" s="185" t="s">
        <v>53</v>
      </c>
      <c r="G157" s="185">
        <v>1</v>
      </c>
      <c r="H157" s="185">
        <v>1</v>
      </c>
      <c r="I157" s="185">
        <v>1540</v>
      </c>
      <c r="J157" s="185">
        <f t="shared" si="2"/>
        <v>100</v>
      </c>
      <c r="K157" s="38"/>
      <c r="L157" s="186" t="str">
        <f t="shared" si="4"/>
        <v>雷神のサンディアβ</v>
      </c>
      <c r="M157" s="185" t="s">
        <v>412</v>
      </c>
    </row>
    <row r="158" spans="1:18" s="48" customFormat="1" ht="21" customHeight="1" x14ac:dyDescent="0.15">
      <c r="A158" s="185">
        <v>39012639</v>
      </c>
      <c r="B158" s="185">
        <v>1</v>
      </c>
      <c r="C158" s="185">
        <v>990</v>
      </c>
      <c r="D158" s="185">
        <v>100</v>
      </c>
      <c r="E158" s="185" t="s">
        <v>53</v>
      </c>
      <c r="F158" s="185" t="s">
        <v>53</v>
      </c>
      <c r="G158" s="185">
        <v>1</v>
      </c>
      <c r="H158" s="185">
        <v>1</v>
      </c>
      <c r="I158" s="185">
        <v>1539</v>
      </c>
      <c r="J158" s="185">
        <f t="shared" si="2"/>
        <v>100</v>
      </c>
      <c r="K158" s="38"/>
      <c r="L158" s="186" t="str">
        <f t="shared" si="4"/>
        <v>雷神のサンディア</v>
      </c>
      <c r="M158" s="185" t="s">
        <v>412</v>
      </c>
    </row>
    <row r="159" spans="1:18" s="48" customFormat="1" ht="21" customHeight="1" x14ac:dyDescent="0.15">
      <c r="A159" s="185">
        <v>39012640</v>
      </c>
      <c r="B159" s="185">
        <v>1</v>
      </c>
      <c r="C159" s="185">
        <v>989</v>
      </c>
      <c r="D159" s="185">
        <v>100</v>
      </c>
      <c r="E159" s="185" t="s">
        <v>53</v>
      </c>
      <c r="F159" s="185" t="s">
        <v>53</v>
      </c>
      <c r="G159" s="185">
        <v>1</v>
      </c>
      <c r="H159" s="185">
        <v>1</v>
      </c>
      <c r="I159" s="185">
        <v>1534</v>
      </c>
      <c r="J159" s="185">
        <f t="shared" si="2"/>
        <v>100</v>
      </c>
      <c r="K159" s="38"/>
      <c r="L159" s="186" t="str">
        <f t="shared" si="4"/>
        <v>ネコジェンヌ</v>
      </c>
      <c r="M159" s="185" t="s">
        <v>412</v>
      </c>
    </row>
    <row r="160" spans="1:18" s="48" customFormat="1" ht="21" customHeight="1" x14ac:dyDescent="0.15">
      <c r="A160" s="185">
        <v>39012641</v>
      </c>
      <c r="B160" s="185">
        <v>1</v>
      </c>
      <c r="C160" s="185">
        <v>988</v>
      </c>
      <c r="D160" s="185">
        <v>100</v>
      </c>
      <c r="E160" s="185" t="s">
        <v>53</v>
      </c>
      <c r="F160" s="185" t="s">
        <v>53</v>
      </c>
      <c r="G160" s="185">
        <v>1</v>
      </c>
      <c r="H160" s="185">
        <v>1</v>
      </c>
      <c r="I160" s="185">
        <v>1533</v>
      </c>
      <c r="J160" s="185">
        <f t="shared" si="2"/>
        <v>100</v>
      </c>
      <c r="K160" s="38"/>
      <c r="L160" s="186" t="str">
        <f t="shared" si="4"/>
        <v>ネコエステ</v>
      </c>
      <c r="M160" s="185" t="s">
        <v>412</v>
      </c>
    </row>
    <row r="161" spans="1:13" s="48" customFormat="1" ht="21" customHeight="1" x14ac:dyDescent="0.15">
      <c r="A161" s="185">
        <v>39012642</v>
      </c>
      <c r="B161" s="185">
        <v>1</v>
      </c>
      <c r="C161" s="185">
        <v>987</v>
      </c>
      <c r="D161" s="185">
        <v>100</v>
      </c>
      <c r="E161" s="185" t="s">
        <v>53</v>
      </c>
      <c r="F161" s="185" t="s">
        <v>53</v>
      </c>
      <c r="G161" s="185">
        <v>1</v>
      </c>
      <c r="H161" s="185">
        <v>1</v>
      </c>
      <c r="I161" s="185">
        <v>1512</v>
      </c>
      <c r="J161" s="185">
        <f t="shared" si="2"/>
        <v>100</v>
      </c>
      <c r="K161" s="38"/>
      <c r="L161" s="186" t="str">
        <f t="shared" si="4"/>
        <v>ネコヴァルキリー・聖</v>
      </c>
      <c r="M161" s="185" t="s">
        <v>412</v>
      </c>
    </row>
    <row r="162" spans="1:13" s="48" customFormat="1" ht="21" customHeight="1" x14ac:dyDescent="0.15">
      <c r="A162" s="185">
        <v>39012643</v>
      </c>
      <c r="B162" s="185">
        <v>1</v>
      </c>
      <c r="C162" s="185">
        <v>986</v>
      </c>
      <c r="D162" s="185">
        <v>100</v>
      </c>
      <c r="E162" s="185" t="s">
        <v>53</v>
      </c>
      <c r="F162" s="185" t="s">
        <v>53</v>
      </c>
      <c r="G162" s="185">
        <v>1</v>
      </c>
      <c r="H162" s="185">
        <v>1</v>
      </c>
      <c r="I162" s="185">
        <v>1511</v>
      </c>
      <c r="J162" s="185">
        <f t="shared" si="2"/>
        <v>100</v>
      </c>
      <c r="K162" s="38"/>
      <c r="L162" s="186" t="str">
        <f t="shared" si="4"/>
        <v>ネコヴァルキリー・真</v>
      </c>
      <c r="M162" s="185" t="s">
        <v>412</v>
      </c>
    </row>
    <row r="163" spans="1:13" s="48" customFormat="1" ht="21" customHeight="1" x14ac:dyDescent="0.15">
      <c r="A163" s="185">
        <v>39012644</v>
      </c>
      <c r="B163" s="185">
        <v>1</v>
      </c>
      <c r="C163" s="185">
        <v>985</v>
      </c>
      <c r="D163" s="185">
        <v>100</v>
      </c>
      <c r="E163" s="185" t="s">
        <v>53</v>
      </c>
      <c r="F163" s="185" t="s">
        <v>53</v>
      </c>
      <c r="G163" s="185">
        <v>1</v>
      </c>
      <c r="H163" s="185">
        <v>1</v>
      </c>
      <c r="I163" s="185">
        <v>1510</v>
      </c>
      <c r="J163" s="185">
        <f t="shared" si="2"/>
        <v>100</v>
      </c>
      <c r="K163" s="38"/>
      <c r="L163" s="186" t="str">
        <f t="shared" si="4"/>
        <v>ネコヴァルキリー</v>
      </c>
      <c r="M163" s="185" t="s">
        <v>412</v>
      </c>
    </row>
    <row r="164" spans="1:13" s="48" customFormat="1" ht="21" customHeight="1" x14ac:dyDescent="0.15">
      <c r="A164" s="187">
        <v>39012645</v>
      </c>
      <c r="B164" s="187">
        <v>0</v>
      </c>
      <c r="C164" s="187">
        <v>984</v>
      </c>
      <c r="D164" s="187">
        <v>100</v>
      </c>
      <c r="E164" s="187" t="s">
        <v>53</v>
      </c>
      <c r="F164" s="187" t="s">
        <v>53</v>
      </c>
      <c r="G164" s="187">
        <v>0</v>
      </c>
      <c r="H164" s="187">
        <v>1</v>
      </c>
      <c r="I164" s="187">
        <v>1542</v>
      </c>
      <c r="J164" s="187">
        <f t="shared" si="2"/>
        <v>100</v>
      </c>
      <c r="K164" s="191"/>
      <c r="L164" s="188" t="str">
        <f t="shared" si="4"/>
        <v>メガロディーテ</v>
      </c>
      <c r="M164" s="187" t="s">
        <v>461</v>
      </c>
    </row>
    <row r="165" spans="1:13" s="48" customFormat="1" ht="21" customHeight="1" x14ac:dyDescent="0.15">
      <c r="A165" s="187">
        <v>39012646</v>
      </c>
      <c r="B165" s="187">
        <v>0</v>
      </c>
      <c r="C165" s="187">
        <v>983</v>
      </c>
      <c r="D165" s="187">
        <v>100</v>
      </c>
      <c r="E165" s="187" t="s">
        <v>53</v>
      </c>
      <c r="F165" s="187" t="s">
        <v>53</v>
      </c>
      <c r="G165" s="187">
        <v>0</v>
      </c>
      <c r="H165" s="187">
        <v>1</v>
      </c>
      <c r="I165" s="187">
        <v>1541</v>
      </c>
      <c r="J165" s="187">
        <f t="shared" si="2"/>
        <v>100</v>
      </c>
      <c r="K165" s="191"/>
      <c r="L165" s="188" t="str">
        <f t="shared" si="4"/>
        <v>美女神アフロディーテ</v>
      </c>
      <c r="M165" s="187" t="s">
        <v>461</v>
      </c>
    </row>
    <row r="166" spans="1:13" s="48" customFormat="1" ht="21" customHeight="1" x14ac:dyDescent="0.15">
      <c r="A166" s="187">
        <v>39012647</v>
      </c>
      <c r="B166" s="187">
        <v>0</v>
      </c>
      <c r="C166" s="187">
        <v>982</v>
      </c>
      <c r="D166" s="187">
        <v>100</v>
      </c>
      <c r="E166" s="187" t="s">
        <v>53</v>
      </c>
      <c r="F166" s="187" t="s">
        <v>53</v>
      </c>
      <c r="G166" s="187">
        <v>0</v>
      </c>
      <c r="H166" s="187">
        <v>1</v>
      </c>
      <c r="I166" s="187">
        <v>1538</v>
      </c>
      <c r="J166" s="187">
        <f t="shared" si="2"/>
        <v>100</v>
      </c>
      <c r="K166" s="191"/>
      <c r="L166" s="188" t="str">
        <f t="shared" si="4"/>
        <v>キャットマンダーク</v>
      </c>
      <c r="M166" s="187" t="s">
        <v>461</v>
      </c>
    </row>
    <row r="167" spans="1:13" s="48" customFormat="1" ht="21" customHeight="1" x14ac:dyDescent="0.15">
      <c r="A167" s="187">
        <v>39012648</v>
      </c>
      <c r="B167" s="187">
        <v>0</v>
      </c>
      <c r="C167" s="187">
        <v>981</v>
      </c>
      <c r="D167" s="187">
        <v>100</v>
      </c>
      <c r="E167" s="187" t="s">
        <v>53</v>
      </c>
      <c r="F167" s="187" t="s">
        <v>53</v>
      </c>
      <c r="G167" s="187">
        <v>0</v>
      </c>
      <c r="H167" s="187">
        <v>1</v>
      </c>
      <c r="I167" s="187">
        <v>1537</v>
      </c>
      <c r="J167" s="187">
        <f t="shared" si="2"/>
        <v>100</v>
      </c>
      <c r="K167" s="191"/>
      <c r="L167" s="188" t="str">
        <f t="shared" si="4"/>
        <v>キャットマンダディ</v>
      </c>
      <c r="M167" s="187" t="s">
        <v>461</v>
      </c>
    </row>
    <row r="168" spans="1:13" s="48" customFormat="1" ht="21" customHeight="1" x14ac:dyDescent="0.15">
      <c r="A168" s="187">
        <v>39012649</v>
      </c>
      <c r="B168" s="187">
        <v>0</v>
      </c>
      <c r="C168" s="187">
        <v>980</v>
      </c>
      <c r="D168" s="187">
        <v>100</v>
      </c>
      <c r="E168" s="187" t="s">
        <v>53</v>
      </c>
      <c r="F168" s="187" t="s">
        <v>53</v>
      </c>
      <c r="G168" s="187">
        <v>0</v>
      </c>
      <c r="H168" s="187">
        <v>1</v>
      </c>
      <c r="I168" s="187">
        <v>1536</v>
      </c>
      <c r="J168" s="187">
        <f t="shared" si="2"/>
        <v>100</v>
      </c>
      <c r="K168" s="191"/>
      <c r="L168" s="188" t="str">
        <f t="shared" si="4"/>
        <v>ハートフルねこナース</v>
      </c>
      <c r="M168" s="187" t="s">
        <v>461</v>
      </c>
    </row>
    <row r="169" spans="1:13" s="48" customFormat="1" ht="21" customHeight="1" x14ac:dyDescent="0.15">
      <c r="A169" s="187">
        <v>39012650</v>
      </c>
      <c r="B169" s="187">
        <v>0</v>
      </c>
      <c r="C169" s="187">
        <v>979</v>
      </c>
      <c r="D169" s="187">
        <v>100</v>
      </c>
      <c r="E169" s="187" t="s">
        <v>53</v>
      </c>
      <c r="F169" s="187" t="s">
        <v>53</v>
      </c>
      <c r="G169" s="187">
        <v>0</v>
      </c>
      <c r="H169" s="187">
        <v>1</v>
      </c>
      <c r="I169" s="187">
        <v>1535</v>
      </c>
      <c r="J169" s="187">
        <f t="shared" si="2"/>
        <v>100</v>
      </c>
      <c r="K169" s="191"/>
      <c r="L169" s="188" t="str">
        <f t="shared" si="4"/>
        <v>ねこナース</v>
      </c>
      <c r="M169" s="187" t="s">
        <v>461</v>
      </c>
    </row>
    <row r="170" spans="1:13" s="48" customFormat="1" ht="21" customHeight="1" x14ac:dyDescent="0.15">
      <c r="A170" s="187">
        <v>39012651</v>
      </c>
      <c r="B170" s="187">
        <v>0</v>
      </c>
      <c r="C170" s="187">
        <v>978</v>
      </c>
      <c r="D170" s="187">
        <v>100</v>
      </c>
      <c r="E170" s="187" t="s">
        <v>53</v>
      </c>
      <c r="F170" s="187" t="s">
        <v>53</v>
      </c>
      <c r="G170" s="187">
        <v>0</v>
      </c>
      <c r="H170" s="187">
        <v>1</v>
      </c>
      <c r="I170" s="187">
        <v>1540</v>
      </c>
      <c r="J170" s="187">
        <f t="shared" si="2"/>
        <v>100</v>
      </c>
      <c r="K170" s="191"/>
      <c r="L170" s="188" t="str">
        <f t="shared" si="4"/>
        <v>雷神のサンディアβ</v>
      </c>
      <c r="M170" s="187" t="s">
        <v>461</v>
      </c>
    </row>
    <row r="171" spans="1:13" s="48" customFormat="1" ht="21" customHeight="1" x14ac:dyDescent="0.15">
      <c r="A171" s="187">
        <v>39012652</v>
      </c>
      <c r="B171" s="187">
        <v>0</v>
      </c>
      <c r="C171" s="187">
        <v>977</v>
      </c>
      <c r="D171" s="187">
        <v>100</v>
      </c>
      <c r="E171" s="187" t="s">
        <v>53</v>
      </c>
      <c r="F171" s="187" t="s">
        <v>53</v>
      </c>
      <c r="G171" s="187">
        <v>0</v>
      </c>
      <c r="H171" s="187">
        <v>1</v>
      </c>
      <c r="I171" s="187">
        <v>1539</v>
      </c>
      <c r="J171" s="187">
        <f t="shared" si="2"/>
        <v>100</v>
      </c>
      <c r="K171" s="191"/>
      <c r="L171" s="188" t="str">
        <f t="shared" si="4"/>
        <v>雷神のサンディア</v>
      </c>
      <c r="M171" s="187" t="s">
        <v>461</v>
      </c>
    </row>
    <row r="172" spans="1:13" s="48" customFormat="1" ht="21" customHeight="1" x14ac:dyDescent="0.15">
      <c r="A172" s="187">
        <v>39012653</v>
      </c>
      <c r="B172" s="187">
        <v>0</v>
      </c>
      <c r="C172" s="187">
        <v>976</v>
      </c>
      <c r="D172" s="187">
        <v>100</v>
      </c>
      <c r="E172" s="187" t="s">
        <v>53</v>
      </c>
      <c r="F172" s="187" t="s">
        <v>53</v>
      </c>
      <c r="G172" s="187">
        <v>0</v>
      </c>
      <c r="H172" s="187">
        <v>1</v>
      </c>
      <c r="I172" s="187">
        <v>1534</v>
      </c>
      <c r="J172" s="187">
        <f t="shared" ref="J172:J208" si="5">D172</f>
        <v>100</v>
      </c>
      <c r="K172" s="191"/>
      <c r="L172" s="188" t="str">
        <f t="shared" si="4"/>
        <v>ネコジェンヌ</v>
      </c>
      <c r="M172" s="187" t="s">
        <v>461</v>
      </c>
    </row>
    <row r="173" spans="1:13" s="48" customFormat="1" ht="21" customHeight="1" x14ac:dyDescent="0.15">
      <c r="A173" s="187">
        <v>39012654</v>
      </c>
      <c r="B173" s="187">
        <v>0</v>
      </c>
      <c r="C173" s="187">
        <v>975</v>
      </c>
      <c r="D173" s="187">
        <v>100</v>
      </c>
      <c r="E173" s="187" t="s">
        <v>53</v>
      </c>
      <c r="F173" s="187" t="s">
        <v>53</v>
      </c>
      <c r="G173" s="187">
        <v>0</v>
      </c>
      <c r="H173" s="187">
        <v>1</v>
      </c>
      <c r="I173" s="187">
        <v>1533</v>
      </c>
      <c r="J173" s="187">
        <f t="shared" si="5"/>
        <v>100</v>
      </c>
      <c r="K173" s="191"/>
      <c r="L173" s="188" t="str">
        <f t="shared" si="4"/>
        <v>ネコエステ</v>
      </c>
      <c r="M173" s="187" t="s">
        <v>461</v>
      </c>
    </row>
    <row r="174" spans="1:13" s="48" customFormat="1" ht="21" customHeight="1" x14ac:dyDescent="0.15">
      <c r="A174" s="187">
        <v>39012655</v>
      </c>
      <c r="B174" s="187">
        <v>0</v>
      </c>
      <c r="C174" s="187">
        <v>974</v>
      </c>
      <c r="D174" s="187">
        <v>100</v>
      </c>
      <c r="E174" s="187" t="s">
        <v>53</v>
      </c>
      <c r="F174" s="187" t="s">
        <v>53</v>
      </c>
      <c r="G174" s="187">
        <v>0</v>
      </c>
      <c r="H174" s="187">
        <v>1</v>
      </c>
      <c r="I174" s="187">
        <v>1524</v>
      </c>
      <c r="J174" s="187">
        <f t="shared" si="5"/>
        <v>100</v>
      </c>
      <c r="K174" s="191"/>
      <c r="L174" s="188" t="str">
        <f t="shared" si="4"/>
        <v>狂乱のネコムート</v>
      </c>
      <c r="M174" s="187" t="s">
        <v>461</v>
      </c>
    </row>
    <row r="175" spans="1:13" s="48" customFormat="1" ht="21" customHeight="1" x14ac:dyDescent="0.15">
      <c r="A175" s="187">
        <v>39012656</v>
      </c>
      <c r="B175" s="187">
        <v>0</v>
      </c>
      <c r="C175" s="187">
        <v>973</v>
      </c>
      <c r="D175" s="187">
        <v>100</v>
      </c>
      <c r="E175" s="187" t="s">
        <v>53</v>
      </c>
      <c r="F175" s="187" t="s">
        <v>53</v>
      </c>
      <c r="G175" s="187">
        <v>0</v>
      </c>
      <c r="H175" s="187">
        <v>1</v>
      </c>
      <c r="I175" s="187">
        <v>1523</v>
      </c>
      <c r="J175" s="187">
        <f t="shared" si="5"/>
        <v>100</v>
      </c>
      <c r="K175" s="191"/>
      <c r="L175" s="188" t="str">
        <f t="shared" si="4"/>
        <v>ネコムート</v>
      </c>
      <c r="M175" s="187" t="s">
        <v>461</v>
      </c>
    </row>
    <row r="176" spans="1:13" s="48" customFormat="1" ht="21" customHeight="1" x14ac:dyDescent="0.15">
      <c r="A176" s="187">
        <v>39012657</v>
      </c>
      <c r="B176" s="187">
        <v>0</v>
      </c>
      <c r="C176" s="187">
        <v>972</v>
      </c>
      <c r="D176" s="187">
        <v>100</v>
      </c>
      <c r="E176" s="187" t="s">
        <v>53</v>
      </c>
      <c r="F176" s="187" t="s">
        <v>53</v>
      </c>
      <c r="G176" s="187">
        <v>0</v>
      </c>
      <c r="H176" s="187">
        <v>1</v>
      </c>
      <c r="I176" s="187">
        <v>1512</v>
      </c>
      <c r="J176" s="187">
        <f t="shared" si="5"/>
        <v>100</v>
      </c>
      <c r="K176" s="191"/>
      <c r="L176" s="188" t="str">
        <f t="shared" si="4"/>
        <v>ネコヴァルキリー・聖</v>
      </c>
      <c r="M176" s="187" t="s">
        <v>461</v>
      </c>
    </row>
    <row r="177" spans="1:18" s="48" customFormat="1" ht="21" customHeight="1" x14ac:dyDescent="0.15">
      <c r="A177" s="187">
        <v>39012658</v>
      </c>
      <c r="B177" s="187">
        <v>0</v>
      </c>
      <c r="C177" s="187">
        <v>971</v>
      </c>
      <c r="D177" s="187">
        <v>100</v>
      </c>
      <c r="E177" s="187" t="s">
        <v>53</v>
      </c>
      <c r="F177" s="187" t="s">
        <v>53</v>
      </c>
      <c r="G177" s="187">
        <v>0</v>
      </c>
      <c r="H177" s="187">
        <v>1</v>
      </c>
      <c r="I177" s="187">
        <v>1511</v>
      </c>
      <c r="J177" s="187">
        <f t="shared" si="5"/>
        <v>100</v>
      </c>
      <c r="K177" s="191"/>
      <c r="L177" s="188" t="str">
        <f t="shared" si="4"/>
        <v>ネコヴァルキリー・真</v>
      </c>
      <c r="M177" s="187" t="s">
        <v>461</v>
      </c>
    </row>
    <row r="178" spans="1:18" s="48" customFormat="1" ht="21" customHeight="1" x14ac:dyDescent="0.15">
      <c r="A178" s="187">
        <v>39012659</v>
      </c>
      <c r="B178" s="187">
        <v>0</v>
      </c>
      <c r="C178" s="187">
        <v>970</v>
      </c>
      <c r="D178" s="187">
        <v>100</v>
      </c>
      <c r="E178" s="187" t="s">
        <v>53</v>
      </c>
      <c r="F178" s="187" t="s">
        <v>53</v>
      </c>
      <c r="G178" s="187">
        <v>0</v>
      </c>
      <c r="H178" s="187">
        <v>1</v>
      </c>
      <c r="I178" s="187">
        <v>1510</v>
      </c>
      <c r="J178" s="187">
        <f t="shared" si="5"/>
        <v>100</v>
      </c>
      <c r="K178" s="191"/>
      <c r="L178" s="188" t="str">
        <f t="shared" si="4"/>
        <v>ネコヴァルキリー</v>
      </c>
      <c r="M178" s="187" t="s">
        <v>461</v>
      </c>
    </row>
    <row r="179" spans="1:18" s="48" customFormat="1" ht="21" customHeight="1" x14ac:dyDescent="0.15">
      <c r="A179" s="189">
        <v>39012660</v>
      </c>
      <c r="B179" s="189">
        <v>0</v>
      </c>
      <c r="C179" s="189">
        <v>984</v>
      </c>
      <c r="D179" s="189">
        <v>100</v>
      </c>
      <c r="E179" s="189" t="s">
        <v>53</v>
      </c>
      <c r="F179" s="189" t="s">
        <v>53</v>
      </c>
      <c r="G179" s="189">
        <v>0</v>
      </c>
      <c r="H179" s="189">
        <v>1</v>
      </c>
      <c r="I179" s="189">
        <v>1538</v>
      </c>
      <c r="J179" s="189">
        <f t="shared" si="5"/>
        <v>100</v>
      </c>
      <c r="K179" s="192"/>
      <c r="L179" s="190" t="str">
        <f t="shared" si="4"/>
        <v>キャットマンダーク</v>
      </c>
      <c r="M179" s="189" t="s">
        <v>463</v>
      </c>
    </row>
    <row r="180" spans="1:18" s="48" customFormat="1" ht="21" customHeight="1" x14ac:dyDescent="0.15">
      <c r="A180" s="189">
        <v>39012661</v>
      </c>
      <c r="B180" s="189">
        <v>0</v>
      </c>
      <c r="C180" s="189">
        <v>983</v>
      </c>
      <c r="D180" s="189">
        <v>100</v>
      </c>
      <c r="E180" s="189" t="s">
        <v>53</v>
      </c>
      <c r="F180" s="189" t="s">
        <v>53</v>
      </c>
      <c r="G180" s="189">
        <v>0</v>
      </c>
      <c r="H180" s="189">
        <v>1</v>
      </c>
      <c r="I180" s="189">
        <v>1537</v>
      </c>
      <c r="J180" s="189">
        <f t="shared" si="5"/>
        <v>100</v>
      </c>
      <c r="K180" s="192"/>
      <c r="L180" s="190" t="str">
        <f t="shared" si="4"/>
        <v>キャットマンダディ</v>
      </c>
      <c r="M180" s="189" t="s">
        <v>463</v>
      </c>
    </row>
    <row r="181" spans="1:18" s="48" customFormat="1" ht="21" customHeight="1" x14ac:dyDescent="0.15">
      <c r="A181" s="189">
        <v>39012662</v>
      </c>
      <c r="B181" s="189">
        <v>0</v>
      </c>
      <c r="C181" s="189">
        <v>982</v>
      </c>
      <c r="D181" s="189">
        <v>100</v>
      </c>
      <c r="E181" s="189" t="s">
        <v>53</v>
      </c>
      <c r="F181" s="189" t="s">
        <v>53</v>
      </c>
      <c r="G181" s="189">
        <v>0</v>
      </c>
      <c r="H181" s="189">
        <v>1</v>
      </c>
      <c r="I181" s="189">
        <v>1542</v>
      </c>
      <c r="J181" s="189">
        <f t="shared" si="5"/>
        <v>100</v>
      </c>
      <c r="K181" s="192"/>
      <c r="L181" s="190" t="str">
        <f t="shared" si="4"/>
        <v>メガロディーテ</v>
      </c>
      <c r="M181" s="189" t="s">
        <v>463</v>
      </c>
    </row>
    <row r="182" spans="1:18" s="48" customFormat="1" ht="21" customHeight="1" x14ac:dyDescent="0.15">
      <c r="A182" s="189">
        <v>39012663</v>
      </c>
      <c r="B182" s="189">
        <v>0</v>
      </c>
      <c r="C182" s="189">
        <v>981</v>
      </c>
      <c r="D182" s="189">
        <v>100</v>
      </c>
      <c r="E182" s="189" t="s">
        <v>53</v>
      </c>
      <c r="F182" s="189" t="s">
        <v>53</v>
      </c>
      <c r="G182" s="189">
        <v>0</v>
      </c>
      <c r="H182" s="189">
        <v>1</v>
      </c>
      <c r="I182" s="189">
        <v>1541</v>
      </c>
      <c r="J182" s="189">
        <f t="shared" si="5"/>
        <v>100</v>
      </c>
      <c r="K182" s="192"/>
      <c r="L182" s="190" t="str">
        <f t="shared" si="4"/>
        <v>美女神アフロディーテ</v>
      </c>
      <c r="M182" s="189" t="s">
        <v>463</v>
      </c>
    </row>
    <row r="183" spans="1:18" s="48" customFormat="1" ht="21" customHeight="1" x14ac:dyDescent="0.15">
      <c r="A183" s="189">
        <v>39012664</v>
      </c>
      <c r="B183" s="189">
        <v>0</v>
      </c>
      <c r="C183" s="189">
        <v>980</v>
      </c>
      <c r="D183" s="189">
        <v>100</v>
      </c>
      <c r="E183" s="189" t="s">
        <v>53</v>
      </c>
      <c r="F183" s="189" t="s">
        <v>53</v>
      </c>
      <c r="G183" s="189">
        <v>0</v>
      </c>
      <c r="H183" s="189">
        <v>1</v>
      </c>
      <c r="I183" s="189">
        <v>1540</v>
      </c>
      <c r="J183" s="189">
        <f t="shared" si="5"/>
        <v>100</v>
      </c>
      <c r="K183" s="192"/>
      <c r="L183" s="190" t="str">
        <f t="shared" ref="L183:L208" si="6">VLOOKUP(I183,$O$119:$P$133,2,0)</f>
        <v>雷神のサンディアβ</v>
      </c>
      <c r="M183" s="189" t="s">
        <v>463</v>
      </c>
    </row>
    <row r="184" spans="1:18" s="48" customFormat="1" ht="21" customHeight="1" x14ac:dyDescent="0.15">
      <c r="A184" s="189">
        <v>39012665</v>
      </c>
      <c r="B184" s="189">
        <v>0</v>
      </c>
      <c r="C184" s="189">
        <v>979</v>
      </c>
      <c r="D184" s="189">
        <v>100</v>
      </c>
      <c r="E184" s="189" t="s">
        <v>53</v>
      </c>
      <c r="F184" s="189" t="s">
        <v>53</v>
      </c>
      <c r="G184" s="189">
        <v>0</v>
      </c>
      <c r="H184" s="189">
        <v>1</v>
      </c>
      <c r="I184" s="189">
        <v>1539</v>
      </c>
      <c r="J184" s="189">
        <f t="shared" si="5"/>
        <v>100</v>
      </c>
      <c r="K184" s="192"/>
      <c r="L184" s="190" t="str">
        <f t="shared" si="6"/>
        <v>雷神のサンディア</v>
      </c>
      <c r="M184" s="189" t="s">
        <v>463</v>
      </c>
    </row>
    <row r="185" spans="1:18" s="48" customFormat="1" ht="21" customHeight="1" x14ac:dyDescent="0.15">
      <c r="A185" s="189">
        <v>39012666</v>
      </c>
      <c r="B185" s="189">
        <v>0</v>
      </c>
      <c r="C185" s="189">
        <v>978</v>
      </c>
      <c r="D185" s="189">
        <v>100</v>
      </c>
      <c r="E185" s="189" t="s">
        <v>53</v>
      </c>
      <c r="F185" s="189" t="s">
        <v>53</v>
      </c>
      <c r="G185" s="189">
        <v>0</v>
      </c>
      <c r="H185" s="189">
        <v>1</v>
      </c>
      <c r="I185" s="189">
        <v>1534</v>
      </c>
      <c r="J185" s="189">
        <f t="shared" si="5"/>
        <v>100</v>
      </c>
      <c r="K185" s="192"/>
      <c r="L185" s="190" t="str">
        <f t="shared" si="6"/>
        <v>ネコジェンヌ</v>
      </c>
      <c r="M185" s="189" t="s">
        <v>463</v>
      </c>
    </row>
    <row r="186" spans="1:18" s="48" customFormat="1" ht="21" customHeight="1" x14ac:dyDescent="0.15">
      <c r="A186" s="189">
        <v>39012667</v>
      </c>
      <c r="B186" s="189">
        <v>0</v>
      </c>
      <c r="C186" s="189">
        <v>977</v>
      </c>
      <c r="D186" s="189">
        <v>100</v>
      </c>
      <c r="E186" s="189" t="s">
        <v>53</v>
      </c>
      <c r="F186" s="189" t="s">
        <v>53</v>
      </c>
      <c r="G186" s="189">
        <v>0</v>
      </c>
      <c r="H186" s="189">
        <v>1</v>
      </c>
      <c r="I186" s="189">
        <v>1533</v>
      </c>
      <c r="J186" s="189">
        <f t="shared" si="5"/>
        <v>100</v>
      </c>
      <c r="K186" s="192"/>
      <c r="L186" s="190" t="str">
        <f t="shared" si="6"/>
        <v>ネコエステ</v>
      </c>
      <c r="M186" s="189" t="s">
        <v>463</v>
      </c>
    </row>
    <row r="187" spans="1:18" s="48" customFormat="1" ht="21" customHeight="1" x14ac:dyDescent="0.15">
      <c r="A187" s="189">
        <v>39012668</v>
      </c>
      <c r="B187" s="189">
        <v>0</v>
      </c>
      <c r="C187" s="189">
        <v>976</v>
      </c>
      <c r="D187" s="189">
        <v>100</v>
      </c>
      <c r="E187" s="189" t="s">
        <v>53</v>
      </c>
      <c r="F187" s="189" t="s">
        <v>53</v>
      </c>
      <c r="G187" s="189">
        <v>0</v>
      </c>
      <c r="H187" s="189">
        <v>1</v>
      </c>
      <c r="I187" s="189">
        <v>1512</v>
      </c>
      <c r="J187" s="189">
        <f t="shared" si="5"/>
        <v>100</v>
      </c>
      <c r="K187" s="192"/>
      <c r="L187" s="190" t="str">
        <f t="shared" si="6"/>
        <v>ネコヴァルキリー・聖</v>
      </c>
      <c r="M187" s="189" t="s">
        <v>463</v>
      </c>
    </row>
    <row r="188" spans="1:18" s="48" customFormat="1" ht="21" customHeight="1" x14ac:dyDescent="0.15">
      <c r="A188" s="189">
        <v>39012669</v>
      </c>
      <c r="B188" s="189">
        <v>0</v>
      </c>
      <c r="C188" s="189">
        <v>975</v>
      </c>
      <c r="D188" s="189">
        <v>100</v>
      </c>
      <c r="E188" s="189" t="s">
        <v>53</v>
      </c>
      <c r="F188" s="189" t="s">
        <v>53</v>
      </c>
      <c r="G188" s="189">
        <v>0</v>
      </c>
      <c r="H188" s="189">
        <v>1</v>
      </c>
      <c r="I188" s="189">
        <v>1511</v>
      </c>
      <c r="J188" s="189">
        <f t="shared" si="5"/>
        <v>100</v>
      </c>
      <c r="K188" s="192"/>
      <c r="L188" s="190" t="str">
        <f t="shared" si="6"/>
        <v>ネコヴァルキリー・真</v>
      </c>
      <c r="M188" s="189" t="s">
        <v>463</v>
      </c>
    </row>
    <row r="189" spans="1:18" s="48" customFormat="1" ht="21" customHeight="1" x14ac:dyDescent="0.15">
      <c r="A189" s="189">
        <v>39012670</v>
      </c>
      <c r="B189" s="189">
        <v>0</v>
      </c>
      <c r="C189" s="189">
        <v>974</v>
      </c>
      <c r="D189" s="189">
        <v>100</v>
      </c>
      <c r="E189" s="189" t="s">
        <v>53</v>
      </c>
      <c r="F189" s="189" t="s">
        <v>53</v>
      </c>
      <c r="G189" s="189">
        <v>0</v>
      </c>
      <c r="H189" s="189">
        <v>1</v>
      </c>
      <c r="I189" s="189">
        <v>1510</v>
      </c>
      <c r="J189" s="189">
        <f t="shared" si="5"/>
        <v>100</v>
      </c>
      <c r="K189" s="192"/>
      <c r="L189" s="190" t="str">
        <f t="shared" si="6"/>
        <v>ネコヴァルキリー</v>
      </c>
      <c r="M189" s="189" t="s">
        <v>463</v>
      </c>
    </row>
    <row r="190" spans="1:18" s="48" customFormat="1" ht="21" customHeight="1" x14ac:dyDescent="0.15">
      <c r="A190" s="189">
        <v>39012671</v>
      </c>
      <c r="B190" s="189">
        <v>0</v>
      </c>
      <c r="C190" s="189">
        <v>973</v>
      </c>
      <c r="D190" s="189">
        <v>100</v>
      </c>
      <c r="E190" s="189" t="s">
        <v>53</v>
      </c>
      <c r="F190" s="189" t="s">
        <v>53</v>
      </c>
      <c r="G190" s="189">
        <v>0</v>
      </c>
      <c r="H190" s="189">
        <v>1</v>
      </c>
      <c r="I190" s="189">
        <v>1536</v>
      </c>
      <c r="J190" s="189">
        <f t="shared" si="5"/>
        <v>100</v>
      </c>
      <c r="K190" s="192"/>
      <c r="L190" s="190" t="str">
        <f t="shared" si="6"/>
        <v>ハートフルねこナース</v>
      </c>
      <c r="M190" s="189" t="s">
        <v>463</v>
      </c>
    </row>
    <row r="191" spans="1:18" s="48" customFormat="1" ht="21" customHeight="1" x14ac:dyDescent="0.15">
      <c r="A191" s="189">
        <v>39012672</v>
      </c>
      <c r="B191" s="189">
        <v>0</v>
      </c>
      <c r="C191" s="189">
        <v>972</v>
      </c>
      <c r="D191" s="189">
        <v>100</v>
      </c>
      <c r="E191" s="189" t="s">
        <v>53</v>
      </c>
      <c r="F191" s="189" t="s">
        <v>53</v>
      </c>
      <c r="G191" s="189">
        <v>0</v>
      </c>
      <c r="H191" s="189">
        <v>1</v>
      </c>
      <c r="I191" s="189">
        <v>1535</v>
      </c>
      <c r="J191" s="189">
        <f t="shared" si="5"/>
        <v>100</v>
      </c>
      <c r="K191" s="192"/>
      <c r="L191" s="190" t="str">
        <f t="shared" si="6"/>
        <v>ねこナース</v>
      </c>
      <c r="M191" s="189" t="s">
        <v>463</v>
      </c>
      <c r="O191" s="44"/>
      <c r="P191" s="44"/>
    </row>
    <row r="192" spans="1:18" s="48" customFormat="1" ht="21" customHeight="1" x14ac:dyDescent="0.15">
      <c r="A192" s="189">
        <v>39012673</v>
      </c>
      <c r="B192" s="189">
        <v>0</v>
      </c>
      <c r="C192" s="189">
        <v>971</v>
      </c>
      <c r="D192" s="189">
        <v>100</v>
      </c>
      <c r="E192" s="189" t="s">
        <v>53</v>
      </c>
      <c r="F192" s="189" t="s">
        <v>53</v>
      </c>
      <c r="G192" s="189">
        <v>0</v>
      </c>
      <c r="H192" s="189">
        <v>1</v>
      </c>
      <c r="I192" s="189">
        <v>1524</v>
      </c>
      <c r="J192" s="189">
        <f t="shared" si="5"/>
        <v>100</v>
      </c>
      <c r="K192" s="192"/>
      <c r="L192" s="190" t="str">
        <f t="shared" si="6"/>
        <v>狂乱のネコムート</v>
      </c>
      <c r="M192" s="189" t="s">
        <v>463</v>
      </c>
      <c r="O192" s="44"/>
      <c r="P192" s="44"/>
      <c r="Q192" s="44"/>
      <c r="R192" s="44"/>
    </row>
    <row r="193" spans="1:18" s="48" customFormat="1" ht="21" customHeight="1" x14ac:dyDescent="0.15">
      <c r="A193" s="189">
        <v>39012674</v>
      </c>
      <c r="B193" s="189">
        <v>0</v>
      </c>
      <c r="C193" s="189">
        <v>970</v>
      </c>
      <c r="D193" s="189">
        <v>100</v>
      </c>
      <c r="E193" s="189" t="s">
        <v>53</v>
      </c>
      <c r="F193" s="189" t="s">
        <v>53</v>
      </c>
      <c r="G193" s="189">
        <v>0</v>
      </c>
      <c r="H193" s="189">
        <v>1</v>
      </c>
      <c r="I193" s="189">
        <v>1523</v>
      </c>
      <c r="J193" s="189">
        <f t="shared" si="5"/>
        <v>100</v>
      </c>
      <c r="K193" s="192"/>
      <c r="L193" s="190" t="str">
        <f t="shared" si="6"/>
        <v>ネコムート</v>
      </c>
      <c r="M193" s="189" t="s">
        <v>463</v>
      </c>
      <c r="O193" s="44"/>
      <c r="P193" s="44"/>
      <c r="Q193" s="44"/>
      <c r="R193" s="44"/>
    </row>
    <row r="194" spans="1:18" s="48" customFormat="1" ht="21" customHeight="1" x14ac:dyDescent="0.15">
      <c r="A194" s="183">
        <v>39012675</v>
      </c>
      <c r="B194" s="183">
        <v>0</v>
      </c>
      <c r="C194" s="183">
        <v>984</v>
      </c>
      <c r="D194" s="183">
        <v>100</v>
      </c>
      <c r="E194" s="183" t="s">
        <v>53</v>
      </c>
      <c r="F194" s="183" t="s">
        <v>53</v>
      </c>
      <c r="G194" s="183">
        <v>0</v>
      </c>
      <c r="H194" s="183">
        <v>1</v>
      </c>
      <c r="I194" s="183">
        <v>1542</v>
      </c>
      <c r="J194" s="183">
        <f t="shared" si="5"/>
        <v>100</v>
      </c>
      <c r="K194" s="193"/>
      <c r="L194" s="184" t="str">
        <f t="shared" si="6"/>
        <v>メガロディーテ</v>
      </c>
      <c r="M194" s="183" t="s">
        <v>462</v>
      </c>
      <c r="O194" s="44"/>
      <c r="P194" s="44"/>
      <c r="Q194" s="44"/>
      <c r="R194" s="44"/>
    </row>
    <row r="195" spans="1:18" s="48" customFormat="1" ht="21" customHeight="1" x14ac:dyDescent="0.15">
      <c r="A195" s="183">
        <v>39012676</v>
      </c>
      <c r="B195" s="183">
        <v>0</v>
      </c>
      <c r="C195" s="183">
        <v>983</v>
      </c>
      <c r="D195" s="183">
        <v>100</v>
      </c>
      <c r="E195" s="183" t="s">
        <v>53</v>
      </c>
      <c r="F195" s="183" t="s">
        <v>53</v>
      </c>
      <c r="G195" s="183">
        <v>0</v>
      </c>
      <c r="H195" s="183">
        <v>1</v>
      </c>
      <c r="I195" s="183">
        <v>1541</v>
      </c>
      <c r="J195" s="183">
        <f t="shared" si="5"/>
        <v>100</v>
      </c>
      <c r="K195" s="193"/>
      <c r="L195" s="184" t="str">
        <f t="shared" si="6"/>
        <v>美女神アフロディーテ</v>
      </c>
      <c r="M195" s="183" t="s">
        <v>462</v>
      </c>
      <c r="O195" s="44"/>
      <c r="P195" s="44"/>
      <c r="Q195" s="44"/>
      <c r="R195" s="44"/>
    </row>
    <row r="196" spans="1:18" s="48" customFormat="1" ht="21" customHeight="1" x14ac:dyDescent="0.15">
      <c r="A196" s="183">
        <v>39012677</v>
      </c>
      <c r="B196" s="183">
        <v>0</v>
      </c>
      <c r="C196" s="183">
        <v>982</v>
      </c>
      <c r="D196" s="183">
        <v>100</v>
      </c>
      <c r="E196" s="183" t="s">
        <v>53</v>
      </c>
      <c r="F196" s="183" t="s">
        <v>53</v>
      </c>
      <c r="G196" s="183">
        <v>0</v>
      </c>
      <c r="H196" s="183">
        <v>1</v>
      </c>
      <c r="I196" s="183">
        <v>1538</v>
      </c>
      <c r="J196" s="183">
        <f t="shared" si="5"/>
        <v>100</v>
      </c>
      <c r="K196" s="193"/>
      <c r="L196" s="184" t="str">
        <f t="shared" si="6"/>
        <v>キャットマンダーク</v>
      </c>
      <c r="M196" s="183" t="s">
        <v>462</v>
      </c>
      <c r="O196" s="44"/>
      <c r="P196" s="44"/>
      <c r="Q196" s="44"/>
      <c r="R196" s="44"/>
    </row>
    <row r="197" spans="1:18" s="48" customFormat="1" ht="21" customHeight="1" x14ac:dyDescent="0.15">
      <c r="A197" s="183">
        <v>39012678</v>
      </c>
      <c r="B197" s="183">
        <v>0</v>
      </c>
      <c r="C197" s="183">
        <v>981</v>
      </c>
      <c r="D197" s="183">
        <v>100</v>
      </c>
      <c r="E197" s="183" t="s">
        <v>53</v>
      </c>
      <c r="F197" s="183" t="s">
        <v>53</v>
      </c>
      <c r="G197" s="183">
        <v>0</v>
      </c>
      <c r="H197" s="183">
        <v>1</v>
      </c>
      <c r="I197" s="183">
        <v>1537</v>
      </c>
      <c r="J197" s="183">
        <f t="shared" si="5"/>
        <v>100</v>
      </c>
      <c r="K197" s="193"/>
      <c r="L197" s="184" t="str">
        <f t="shared" si="6"/>
        <v>キャットマンダディ</v>
      </c>
      <c r="M197" s="183" t="s">
        <v>462</v>
      </c>
      <c r="O197" s="44"/>
      <c r="P197" s="44"/>
      <c r="Q197" s="44"/>
      <c r="R197" s="44"/>
    </row>
    <row r="198" spans="1:18" s="48" customFormat="1" ht="21" customHeight="1" x14ac:dyDescent="0.15">
      <c r="A198" s="183">
        <v>39012679</v>
      </c>
      <c r="B198" s="183">
        <v>0</v>
      </c>
      <c r="C198" s="183">
        <v>980</v>
      </c>
      <c r="D198" s="183">
        <v>100</v>
      </c>
      <c r="E198" s="183" t="s">
        <v>53</v>
      </c>
      <c r="F198" s="183" t="s">
        <v>53</v>
      </c>
      <c r="G198" s="183">
        <v>0</v>
      </c>
      <c r="H198" s="183">
        <v>1</v>
      </c>
      <c r="I198" s="183">
        <v>1536</v>
      </c>
      <c r="J198" s="183">
        <f t="shared" si="5"/>
        <v>100</v>
      </c>
      <c r="K198" s="193"/>
      <c r="L198" s="184" t="str">
        <f t="shared" si="6"/>
        <v>ハートフルねこナース</v>
      </c>
      <c r="M198" s="183" t="s">
        <v>462</v>
      </c>
      <c r="O198" s="44"/>
      <c r="P198" s="44"/>
      <c r="Q198" s="44"/>
      <c r="R198" s="44"/>
    </row>
    <row r="199" spans="1:18" s="48" customFormat="1" ht="21" customHeight="1" x14ac:dyDescent="0.15">
      <c r="A199" s="183">
        <v>39012680</v>
      </c>
      <c r="B199" s="183">
        <v>0</v>
      </c>
      <c r="C199" s="183">
        <v>979</v>
      </c>
      <c r="D199" s="183">
        <v>100</v>
      </c>
      <c r="E199" s="183" t="s">
        <v>53</v>
      </c>
      <c r="F199" s="183" t="s">
        <v>53</v>
      </c>
      <c r="G199" s="183">
        <v>0</v>
      </c>
      <c r="H199" s="183">
        <v>1</v>
      </c>
      <c r="I199" s="183">
        <v>1535</v>
      </c>
      <c r="J199" s="183">
        <f t="shared" si="5"/>
        <v>100</v>
      </c>
      <c r="K199" s="193"/>
      <c r="L199" s="184" t="str">
        <f t="shared" si="6"/>
        <v>ねこナース</v>
      </c>
      <c r="M199" s="183" t="s">
        <v>462</v>
      </c>
      <c r="O199" s="44"/>
      <c r="P199" s="44"/>
      <c r="Q199" s="44"/>
      <c r="R199" s="44"/>
    </row>
    <row r="200" spans="1:18" s="48" customFormat="1" ht="21" customHeight="1" x14ac:dyDescent="0.15">
      <c r="A200" s="183">
        <v>39012681</v>
      </c>
      <c r="B200" s="183">
        <v>0</v>
      </c>
      <c r="C200" s="183">
        <v>978</v>
      </c>
      <c r="D200" s="183">
        <v>100</v>
      </c>
      <c r="E200" s="183" t="s">
        <v>53</v>
      </c>
      <c r="F200" s="183" t="s">
        <v>53</v>
      </c>
      <c r="G200" s="183">
        <v>0</v>
      </c>
      <c r="H200" s="183">
        <v>1</v>
      </c>
      <c r="I200" s="183">
        <v>1524</v>
      </c>
      <c r="J200" s="183">
        <f t="shared" si="5"/>
        <v>100</v>
      </c>
      <c r="K200" s="193"/>
      <c r="L200" s="184" t="str">
        <f t="shared" si="6"/>
        <v>狂乱のネコムート</v>
      </c>
      <c r="M200" s="183" t="s">
        <v>462</v>
      </c>
      <c r="O200" s="44"/>
      <c r="P200" s="44"/>
      <c r="Q200" s="44"/>
      <c r="R200" s="44"/>
    </row>
    <row r="201" spans="1:18" s="48" customFormat="1" ht="21" customHeight="1" x14ac:dyDescent="0.15">
      <c r="A201" s="183">
        <v>39012682</v>
      </c>
      <c r="B201" s="183">
        <v>0</v>
      </c>
      <c r="C201" s="183">
        <v>977</v>
      </c>
      <c r="D201" s="183">
        <v>100</v>
      </c>
      <c r="E201" s="183" t="s">
        <v>53</v>
      </c>
      <c r="F201" s="183" t="s">
        <v>53</v>
      </c>
      <c r="G201" s="183">
        <v>0</v>
      </c>
      <c r="H201" s="183">
        <v>1</v>
      </c>
      <c r="I201" s="183">
        <v>1523</v>
      </c>
      <c r="J201" s="183">
        <f t="shared" si="5"/>
        <v>100</v>
      </c>
      <c r="K201" s="193"/>
      <c r="L201" s="184" t="str">
        <f t="shared" si="6"/>
        <v>ネコムート</v>
      </c>
      <c r="M201" s="183" t="s">
        <v>462</v>
      </c>
      <c r="O201" s="44"/>
      <c r="P201" s="44"/>
      <c r="Q201" s="44"/>
      <c r="R201" s="44"/>
    </row>
    <row r="202" spans="1:18" s="48" customFormat="1" ht="21" customHeight="1" x14ac:dyDescent="0.15">
      <c r="A202" s="183">
        <v>39012683</v>
      </c>
      <c r="B202" s="183">
        <v>0</v>
      </c>
      <c r="C202" s="183">
        <v>976</v>
      </c>
      <c r="D202" s="183">
        <v>100</v>
      </c>
      <c r="E202" s="183" t="s">
        <v>53</v>
      </c>
      <c r="F202" s="183" t="s">
        <v>53</v>
      </c>
      <c r="G202" s="183">
        <v>0</v>
      </c>
      <c r="H202" s="183">
        <v>1</v>
      </c>
      <c r="I202" s="183">
        <v>1540</v>
      </c>
      <c r="J202" s="183">
        <f t="shared" si="5"/>
        <v>100</v>
      </c>
      <c r="K202" s="193"/>
      <c r="L202" s="184" t="str">
        <f t="shared" si="6"/>
        <v>雷神のサンディアβ</v>
      </c>
      <c r="M202" s="183" t="s">
        <v>462</v>
      </c>
      <c r="O202" s="44"/>
      <c r="P202" s="44"/>
      <c r="Q202" s="44"/>
      <c r="R202" s="44"/>
    </row>
    <row r="203" spans="1:18" s="48" customFormat="1" ht="21" customHeight="1" x14ac:dyDescent="0.15">
      <c r="A203" s="183">
        <v>39012684</v>
      </c>
      <c r="B203" s="183">
        <v>0</v>
      </c>
      <c r="C203" s="183">
        <v>975</v>
      </c>
      <c r="D203" s="183">
        <v>100</v>
      </c>
      <c r="E203" s="183" t="s">
        <v>53</v>
      </c>
      <c r="F203" s="183" t="s">
        <v>53</v>
      </c>
      <c r="G203" s="183">
        <v>0</v>
      </c>
      <c r="H203" s="183">
        <v>1</v>
      </c>
      <c r="I203" s="183">
        <v>1539</v>
      </c>
      <c r="J203" s="183">
        <f t="shared" si="5"/>
        <v>100</v>
      </c>
      <c r="K203" s="193"/>
      <c r="L203" s="184" t="str">
        <f t="shared" si="6"/>
        <v>雷神のサンディア</v>
      </c>
      <c r="M203" s="183" t="s">
        <v>462</v>
      </c>
      <c r="O203" s="44"/>
      <c r="P203" s="44"/>
      <c r="Q203" s="44"/>
      <c r="R203" s="44"/>
    </row>
    <row r="204" spans="1:18" s="48" customFormat="1" ht="21" customHeight="1" x14ac:dyDescent="0.15">
      <c r="A204" s="183">
        <v>39012685</v>
      </c>
      <c r="B204" s="183">
        <v>0</v>
      </c>
      <c r="C204" s="183">
        <v>974</v>
      </c>
      <c r="D204" s="183">
        <v>100</v>
      </c>
      <c r="E204" s="183" t="s">
        <v>53</v>
      </c>
      <c r="F204" s="183" t="s">
        <v>53</v>
      </c>
      <c r="G204" s="183">
        <v>0</v>
      </c>
      <c r="H204" s="183">
        <v>1</v>
      </c>
      <c r="I204" s="183">
        <v>1534</v>
      </c>
      <c r="J204" s="183">
        <f t="shared" si="5"/>
        <v>100</v>
      </c>
      <c r="K204" s="193"/>
      <c r="L204" s="184" t="str">
        <f t="shared" si="6"/>
        <v>ネコジェンヌ</v>
      </c>
      <c r="M204" s="183" t="s">
        <v>462</v>
      </c>
      <c r="O204" s="44"/>
      <c r="P204" s="44"/>
      <c r="Q204" s="44"/>
      <c r="R204" s="44"/>
    </row>
    <row r="205" spans="1:18" s="48" customFormat="1" ht="21" customHeight="1" x14ac:dyDescent="0.15">
      <c r="A205" s="183">
        <v>39012686</v>
      </c>
      <c r="B205" s="183">
        <v>0</v>
      </c>
      <c r="C205" s="183">
        <v>973</v>
      </c>
      <c r="D205" s="183">
        <v>100</v>
      </c>
      <c r="E205" s="183" t="s">
        <v>53</v>
      </c>
      <c r="F205" s="183" t="s">
        <v>53</v>
      </c>
      <c r="G205" s="183">
        <v>0</v>
      </c>
      <c r="H205" s="183">
        <v>1</v>
      </c>
      <c r="I205" s="183">
        <v>1533</v>
      </c>
      <c r="J205" s="183">
        <f t="shared" si="5"/>
        <v>100</v>
      </c>
      <c r="K205" s="193"/>
      <c r="L205" s="184" t="str">
        <f t="shared" si="6"/>
        <v>ネコエステ</v>
      </c>
      <c r="M205" s="183" t="s">
        <v>462</v>
      </c>
      <c r="O205" s="44"/>
      <c r="P205" s="44"/>
      <c r="Q205" s="44"/>
      <c r="R205" s="44"/>
    </row>
    <row r="206" spans="1:18" s="48" customFormat="1" ht="21" customHeight="1" x14ac:dyDescent="0.15">
      <c r="A206" s="183">
        <v>39012687</v>
      </c>
      <c r="B206" s="183">
        <v>0</v>
      </c>
      <c r="C206" s="183">
        <v>972</v>
      </c>
      <c r="D206" s="183">
        <v>100</v>
      </c>
      <c r="E206" s="183" t="s">
        <v>53</v>
      </c>
      <c r="F206" s="183" t="s">
        <v>53</v>
      </c>
      <c r="G206" s="183">
        <v>0</v>
      </c>
      <c r="H206" s="183">
        <v>1</v>
      </c>
      <c r="I206" s="183">
        <v>1512</v>
      </c>
      <c r="J206" s="183">
        <f t="shared" si="5"/>
        <v>100</v>
      </c>
      <c r="K206" s="193"/>
      <c r="L206" s="184" t="str">
        <f t="shared" si="6"/>
        <v>ネコヴァルキリー・聖</v>
      </c>
      <c r="M206" s="183" t="s">
        <v>462</v>
      </c>
      <c r="O206" s="44"/>
      <c r="P206" s="44"/>
      <c r="Q206" s="44"/>
      <c r="R206" s="44"/>
    </row>
    <row r="207" spans="1:18" s="48" customFormat="1" ht="21" customHeight="1" x14ac:dyDescent="0.15">
      <c r="A207" s="183">
        <v>39012688</v>
      </c>
      <c r="B207" s="183">
        <v>0</v>
      </c>
      <c r="C207" s="183">
        <v>971</v>
      </c>
      <c r="D207" s="183">
        <v>100</v>
      </c>
      <c r="E207" s="183" t="s">
        <v>53</v>
      </c>
      <c r="F207" s="183" t="s">
        <v>53</v>
      </c>
      <c r="G207" s="183">
        <v>0</v>
      </c>
      <c r="H207" s="183">
        <v>1</v>
      </c>
      <c r="I207" s="183">
        <v>1511</v>
      </c>
      <c r="J207" s="183">
        <f t="shared" si="5"/>
        <v>100</v>
      </c>
      <c r="K207" s="193"/>
      <c r="L207" s="184" t="str">
        <f t="shared" si="6"/>
        <v>ネコヴァルキリー・真</v>
      </c>
      <c r="M207" s="183" t="s">
        <v>462</v>
      </c>
      <c r="O207" s="44"/>
      <c r="P207" s="44"/>
      <c r="Q207" s="44"/>
      <c r="R207" s="44"/>
    </row>
    <row r="208" spans="1:18" s="48" customFormat="1" ht="21" customHeight="1" x14ac:dyDescent="0.15">
      <c r="A208" s="183">
        <v>39012689</v>
      </c>
      <c r="B208" s="183">
        <v>0</v>
      </c>
      <c r="C208" s="183">
        <v>970</v>
      </c>
      <c r="D208" s="183">
        <v>100</v>
      </c>
      <c r="E208" s="183" t="s">
        <v>53</v>
      </c>
      <c r="F208" s="183" t="s">
        <v>53</v>
      </c>
      <c r="G208" s="183">
        <v>0</v>
      </c>
      <c r="H208" s="183">
        <v>1</v>
      </c>
      <c r="I208" s="183">
        <v>1510</v>
      </c>
      <c r="J208" s="183">
        <f t="shared" si="5"/>
        <v>100</v>
      </c>
      <c r="K208" s="193"/>
      <c r="L208" s="184" t="str">
        <f t="shared" si="6"/>
        <v>ネコヴァルキリー</v>
      </c>
      <c r="M208" s="183" t="s">
        <v>462</v>
      </c>
      <c r="O208" s="44"/>
      <c r="P208" s="44"/>
      <c r="Q208" s="44"/>
      <c r="R208" s="44"/>
    </row>
  </sheetData>
  <autoFilter ref="A1:N59">
    <sortState ref="A2:N230">
      <sortCondition ref="A1:A230"/>
    </sortState>
  </autoFilter>
  <phoneticPr fontId="5"/>
  <conditionalFormatting sqref="K209:K1048576 K99:K108 K1 K77:K92 K75">
    <cfRule type="duplicateValues" dxfId="89" priority="167"/>
  </conditionalFormatting>
  <conditionalFormatting sqref="K76">
    <cfRule type="duplicateValues" dxfId="88" priority="166"/>
  </conditionalFormatting>
  <conditionalFormatting sqref="K93">
    <cfRule type="duplicateValues" dxfId="87" priority="164"/>
  </conditionalFormatting>
  <conditionalFormatting sqref="K94">
    <cfRule type="duplicateValues" dxfId="86" priority="162"/>
  </conditionalFormatting>
  <conditionalFormatting sqref="K95">
    <cfRule type="duplicateValues" dxfId="85" priority="161"/>
  </conditionalFormatting>
  <conditionalFormatting sqref="K96">
    <cfRule type="duplicateValues" dxfId="84" priority="160"/>
  </conditionalFormatting>
  <conditionalFormatting sqref="K109:K111">
    <cfRule type="duplicateValues" dxfId="83" priority="159"/>
  </conditionalFormatting>
  <conditionalFormatting sqref="K112:K114">
    <cfRule type="duplicateValues" dxfId="82" priority="158"/>
  </conditionalFormatting>
  <conditionalFormatting sqref="K115:K116">
    <cfRule type="duplicateValues" dxfId="81" priority="157"/>
  </conditionalFormatting>
  <conditionalFormatting sqref="K97:K98">
    <cfRule type="duplicateValues" dxfId="80" priority="155"/>
  </conditionalFormatting>
  <conditionalFormatting sqref="K54">
    <cfRule type="duplicateValues" dxfId="79" priority="153"/>
  </conditionalFormatting>
  <conditionalFormatting sqref="K56">
    <cfRule type="duplicateValues" dxfId="78" priority="151"/>
  </conditionalFormatting>
  <conditionalFormatting sqref="K57">
    <cfRule type="duplicateValues" dxfId="77" priority="150"/>
  </conditionalFormatting>
  <conditionalFormatting sqref="K52">
    <cfRule type="duplicateValues" dxfId="76" priority="149"/>
  </conditionalFormatting>
  <conditionalFormatting sqref="K53">
    <cfRule type="duplicateValues" dxfId="75" priority="148"/>
  </conditionalFormatting>
  <conditionalFormatting sqref="K51">
    <cfRule type="duplicateValues" dxfId="74" priority="147"/>
  </conditionalFormatting>
  <conditionalFormatting sqref="K65">
    <cfRule type="duplicateValues" dxfId="73" priority="146"/>
  </conditionalFormatting>
  <conditionalFormatting sqref="K38">
    <cfRule type="duplicateValues" dxfId="72" priority="145"/>
  </conditionalFormatting>
  <conditionalFormatting sqref="K39">
    <cfRule type="duplicateValues" dxfId="71" priority="144"/>
  </conditionalFormatting>
  <conditionalFormatting sqref="K36">
    <cfRule type="duplicateValues" dxfId="70" priority="143"/>
  </conditionalFormatting>
  <conditionalFormatting sqref="K37">
    <cfRule type="duplicateValues" dxfId="69" priority="142"/>
  </conditionalFormatting>
  <conditionalFormatting sqref="K34">
    <cfRule type="duplicateValues" dxfId="68" priority="141"/>
  </conditionalFormatting>
  <conditionalFormatting sqref="K35">
    <cfRule type="duplicateValues" dxfId="67" priority="140"/>
  </conditionalFormatting>
  <conditionalFormatting sqref="K69">
    <cfRule type="duplicateValues" dxfId="66" priority="139"/>
  </conditionalFormatting>
  <conditionalFormatting sqref="K70">
    <cfRule type="duplicateValues" dxfId="65" priority="138"/>
  </conditionalFormatting>
  <conditionalFormatting sqref="K67">
    <cfRule type="duplicateValues" dxfId="64" priority="137"/>
  </conditionalFormatting>
  <conditionalFormatting sqref="K68">
    <cfRule type="duplicateValues" dxfId="63" priority="136"/>
  </conditionalFormatting>
  <conditionalFormatting sqref="K61">
    <cfRule type="duplicateValues" dxfId="62" priority="135"/>
  </conditionalFormatting>
  <conditionalFormatting sqref="K62">
    <cfRule type="duplicateValues" dxfId="61" priority="134"/>
  </conditionalFormatting>
  <conditionalFormatting sqref="K33">
    <cfRule type="duplicateValues" dxfId="60" priority="133"/>
  </conditionalFormatting>
  <conditionalFormatting sqref="K60">
    <cfRule type="duplicateValues" dxfId="59" priority="132"/>
  </conditionalFormatting>
  <conditionalFormatting sqref="K31">
    <cfRule type="duplicateValues" dxfId="58" priority="131"/>
  </conditionalFormatting>
  <conditionalFormatting sqref="K32">
    <cfRule type="duplicateValues" dxfId="57" priority="130"/>
  </conditionalFormatting>
  <conditionalFormatting sqref="K29">
    <cfRule type="duplicateValues" dxfId="56" priority="129"/>
  </conditionalFormatting>
  <conditionalFormatting sqref="K30">
    <cfRule type="duplicateValues" dxfId="55" priority="128"/>
  </conditionalFormatting>
  <conditionalFormatting sqref="K28">
    <cfRule type="duplicateValues" dxfId="54" priority="126"/>
  </conditionalFormatting>
  <conditionalFormatting sqref="K63">
    <cfRule type="duplicateValues" dxfId="53" priority="125"/>
  </conditionalFormatting>
  <conditionalFormatting sqref="K43">
    <cfRule type="duplicateValues" dxfId="52" priority="124"/>
  </conditionalFormatting>
  <conditionalFormatting sqref="K40">
    <cfRule type="duplicateValues" dxfId="51" priority="123"/>
  </conditionalFormatting>
  <conditionalFormatting sqref="K66">
    <cfRule type="duplicateValues" dxfId="50" priority="122"/>
  </conditionalFormatting>
  <conditionalFormatting sqref="K18">
    <cfRule type="duplicateValues" dxfId="49" priority="113"/>
  </conditionalFormatting>
  <conditionalFormatting sqref="K19">
    <cfRule type="duplicateValues" dxfId="48" priority="106"/>
  </conditionalFormatting>
  <conditionalFormatting sqref="K17">
    <cfRule type="duplicateValues" dxfId="47" priority="102"/>
  </conditionalFormatting>
  <conditionalFormatting sqref="K20">
    <cfRule type="duplicateValues" dxfId="46" priority="97"/>
  </conditionalFormatting>
  <conditionalFormatting sqref="K27">
    <cfRule type="duplicateValues" dxfId="45" priority="96"/>
  </conditionalFormatting>
  <conditionalFormatting sqref="K26">
    <cfRule type="duplicateValues" dxfId="44" priority="95"/>
  </conditionalFormatting>
  <conditionalFormatting sqref="K24">
    <cfRule type="duplicateValues" dxfId="43" priority="93"/>
  </conditionalFormatting>
  <conditionalFormatting sqref="K25">
    <cfRule type="duplicateValues" dxfId="42" priority="92"/>
  </conditionalFormatting>
  <conditionalFormatting sqref="K16">
    <cfRule type="duplicateValues" dxfId="41" priority="91"/>
  </conditionalFormatting>
  <conditionalFormatting sqref="K23">
    <cfRule type="duplicateValues" dxfId="40" priority="90"/>
  </conditionalFormatting>
  <conditionalFormatting sqref="K50">
    <cfRule type="duplicateValues" dxfId="39" priority="77"/>
  </conditionalFormatting>
  <conditionalFormatting sqref="K42">
    <cfRule type="duplicateValues" dxfId="38" priority="75"/>
  </conditionalFormatting>
  <conditionalFormatting sqref="K49">
    <cfRule type="duplicateValues" dxfId="37" priority="74"/>
  </conditionalFormatting>
  <conditionalFormatting sqref="K74">
    <cfRule type="duplicateValues" dxfId="36" priority="73"/>
  </conditionalFormatting>
  <conditionalFormatting sqref="K41">
    <cfRule type="duplicateValues" dxfId="35" priority="72"/>
  </conditionalFormatting>
  <conditionalFormatting sqref="K72">
    <cfRule type="duplicateValues" dxfId="34" priority="71"/>
  </conditionalFormatting>
  <conditionalFormatting sqref="K73">
    <cfRule type="duplicateValues" dxfId="33" priority="70"/>
  </conditionalFormatting>
  <conditionalFormatting sqref="K59">
    <cfRule type="duplicateValues" dxfId="32" priority="69"/>
  </conditionalFormatting>
  <conditionalFormatting sqref="K71">
    <cfRule type="duplicateValues" dxfId="31" priority="68"/>
  </conditionalFormatting>
  <conditionalFormatting sqref="K58">
    <cfRule type="duplicateValues" dxfId="30" priority="67"/>
  </conditionalFormatting>
  <conditionalFormatting sqref="K55">
    <cfRule type="duplicateValues" dxfId="29" priority="172"/>
  </conditionalFormatting>
  <conditionalFormatting sqref="K8">
    <cfRule type="duplicateValues" dxfId="28" priority="66"/>
  </conditionalFormatting>
  <conditionalFormatting sqref="K21">
    <cfRule type="duplicateValues" dxfId="27" priority="65"/>
  </conditionalFormatting>
  <conditionalFormatting sqref="K7">
    <cfRule type="duplicateValues" dxfId="26" priority="64"/>
  </conditionalFormatting>
  <conditionalFormatting sqref="K6">
    <cfRule type="duplicateValues" dxfId="25" priority="63"/>
  </conditionalFormatting>
  <conditionalFormatting sqref="K4">
    <cfRule type="duplicateValues" dxfId="24" priority="62"/>
  </conditionalFormatting>
  <conditionalFormatting sqref="K5">
    <cfRule type="duplicateValues" dxfId="23" priority="61"/>
  </conditionalFormatting>
  <conditionalFormatting sqref="K2">
    <cfRule type="duplicateValues" dxfId="22" priority="60"/>
  </conditionalFormatting>
  <conditionalFormatting sqref="K3">
    <cfRule type="duplicateValues" dxfId="21" priority="59"/>
  </conditionalFormatting>
  <conditionalFormatting sqref="K11">
    <cfRule type="duplicateValues" dxfId="20" priority="58"/>
  </conditionalFormatting>
  <conditionalFormatting sqref="K12">
    <cfRule type="duplicateValues" dxfId="19" priority="57"/>
  </conditionalFormatting>
  <conditionalFormatting sqref="K9">
    <cfRule type="duplicateValues" dxfId="18" priority="56"/>
  </conditionalFormatting>
  <conditionalFormatting sqref="K10">
    <cfRule type="duplicateValues" dxfId="17" priority="55"/>
  </conditionalFormatting>
  <conditionalFormatting sqref="K14">
    <cfRule type="duplicateValues" dxfId="16" priority="54"/>
  </conditionalFormatting>
  <conditionalFormatting sqref="K15">
    <cfRule type="duplicateValues" dxfId="15" priority="53"/>
  </conditionalFormatting>
  <conditionalFormatting sqref="K22">
    <cfRule type="duplicateValues" dxfId="14" priority="52"/>
  </conditionalFormatting>
  <conditionalFormatting sqref="K13">
    <cfRule type="duplicateValues" dxfId="13" priority="51"/>
  </conditionalFormatting>
  <conditionalFormatting sqref="K48">
    <cfRule type="duplicateValues" dxfId="12" priority="50"/>
  </conditionalFormatting>
  <conditionalFormatting sqref="K46">
    <cfRule type="duplicateValues" dxfId="11" priority="49"/>
  </conditionalFormatting>
  <conditionalFormatting sqref="K64">
    <cfRule type="duplicateValues" dxfId="10" priority="48"/>
  </conditionalFormatting>
  <conditionalFormatting sqref="K45">
    <cfRule type="duplicateValues" dxfId="9" priority="47"/>
  </conditionalFormatting>
  <conditionalFormatting sqref="K44">
    <cfRule type="duplicateValues" dxfId="8" priority="46"/>
  </conditionalFormatting>
  <conditionalFormatting sqref="K47">
    <cfRule type="duplicateValues" dxfId="7" priority="45"/>
  </conditionalFormatting>
  <conditionalFormatting sqref="K117:K118">
    <cfRule type="duplicateValues" dxfId="6" priority="44"/>
  </conditionalFormatting>
  <conditionalFormatting sqref="K119:K133">
    <cfRule type="duplicateValues" dxfId="5" priority="179"/>
  </conditionalFormatting>
  <conditionalFormatting sqref="K134:K148">
    <cfRule type="duplicateValues" dxfId="4" priority="40"/>
  </conditionalFormatting>
  <conditionalFormatting sqref="K149:K163">
    <cfRule type="duplicateValues" dxfId="3" priority="39"/>
  </conditionalFormatting>
  <conditionalFormatting sqref="K164:K178">
    <cfRule type="duplicateValues" dxfId="2" priority="3"/>
  </conditionalFormatting>
  <conditionalFormatting sqref="K179:K193">
    <cfRule type="duplicateValues" dxfId="1" priority="2"/>
  </conditionalFormatting>
  <conditionalFormatting sqref="K194:K208">
    <cfRule type="duplicateValues" dxfId="0" priority="1"/>
  </conditionalFormatting>
  <printOptions gridLines="1"/>
  <pageMargins left="0.75" right="0.75" top="1" bottom="1" header="0.3" footer="0.3"/>
  <pageSetup paperSize="9" orientation="portrait" horizontalDpi="4294967292" verticalDpi="4294967292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 enableFormatConditionsCalculation="0">
    <tabColor rgb="FF0000FF"/>
  </sheetPr>
  <dimension ref="A1:R4"/>
  <sheetViews>
    <sheetView workbookViewId="0">
      <selection activeCell="I24" sqref="I24"/>
    </sheetView>
  </sheetViews>
  <sheetFormatPr baseColWidth="12" defaultRowHeight="15" x14ac:dyDescent="0.15"/>
  <cols>
    <col min="17" max="18" width="19" bestFit="1" customWidth="1"/>
  </cols>
  <sheetData>
    <row r="1" spans="1:18" x14ac:dyDescent="0.15">
      <c r="A1" s="60" t="s">
        <v>149</v>
      </c>
      <c r="B1" s="60" t="s">
        <v>150</v>
      </c>
      <c r="C1" s="61" t="s">
        <v>151</v>
      </c>
      <c r="D1" s="67" t="s">
        <v>152</v>
      </c>
      <c r="E1" s="62" t="s">
        <v>153</v>
      </c>
      <c r="F1" s="60" t="s">
        <v>154</v>
      </c>
      <c r="G1" s="60" t="s">
        <v>155</v>
      </c>
      <c r="H1" s="60" t="s">
        <v>156</v>
      </c>
      <c r="I1" s="60" t="s">
        <v>157</v>
      </c>
      <c r="J1" s="60" t="s">
        <v>158</v>
      </c>
      <c r="K1" s="60" t="s">
        <v>159</v>
      </c>
      <c r="L1" s="60" t="s">
        <v>160</v>
      </c>
      <c r="M1" s="60" t="s">
        <v>161</v>
      </c>
      <c r="N1" s="60" t="s">
        <v>162</v>
      </c>
      <c r="O1" s="60" t="s">
        <v>163</v>
      </c>
      <c r="P1" s="60" t="s">
        <v>164</v>
      </c>
      <c r="Q1" s="60" t="s">
        <v>165</v>
      </c>
      <c r="R1" s="60" t="s">
        <v>166</v>
      </c>
    </row>
    <row r="2" spans="1:18" x14ac:dyDescent="0.15">
      <c r="A2" s="53">
        <v>39012</v>
      </c>
      <c r="B2" s="53">
        <v>5</v>
      </c>
      <c r="C2" s="66" t="str">
        <f>A2&amp; "_"&amp;B2</f>
        <v>39012_5</v>
      </c>
      <c r="D2" s="11" t="str">
        <f ca="1">VLOOKUP($C2,OFFSET([2]stages!$A$1,0,0,COUNTA([2]stages!$A:$A),MATCH(D$1,[2]stages!$2:$2,0)-MATCH($C$1,[2]stages!$2:$2,0)+1),MATCH(D$1,[2]stages!$2:$2,0)-MATCH($C$1,[2]stages!$2:$2,0)+1,FALSE)</f>
        <v>everyone</v>
      </c>
      <c r="E2" s="53">
        <v>1</v>
      </c>
      <c r="F2" s="53" t="s">
        <v>480</v>
      </c>
      <c r="G2" s="53">
        <v>704</v>
      </c>
      <c r="H2" s="53">
        <v>1</v>
      </c>
      <c r="I2" s="53">
        <v>1</v>
      </c>
      <c r="J2" s="53">
        <v>1</v>
      </c>
      <c r="K2" s="53">
        <v>0</v>
      </c>
      <c r="L2" s="53">
        <v>0</v>
      </c>
      <c r="M2" s="53">
        <v>0</v>
      </c>
      <c r="N2" s="53">
        <v>0</v>
      </c>
      <c r="O2" s="53">
        <v>1</v>
      </c>
      <c r="P2" s="53">
        <v>45</v>
      </c>
      <c r="Q2" s="53" t="s">
        <v>167</v>
      </c>
      <c r="R2" s="53" t="s">
        <v>168</v>
      </c>
    </row>
    <row r="3" spans="1:18" x14ac:dyDescent="0.15">
      <c r="A3" s="53">
        <v>39012</v>
      </c>
      <c r="B3" s="53">
        <v>5</v>
      </c>
      <c r="C3" s="66" t="str">
        <f t="shared" ref="C3:C4" si="0">A3&amp; "_"&amp;B3</f>
        <v>39012_5</v>
      </c>
      <c r="D3" s="11" t="str">
        <f ca="1">VLOOKUP($C3,OFFSET([2]stages!$A$1,0,0,COUNTA([2]stages!$A:$A),MATCH(D$1,[2]stages!$2:$2,0)-MATCH($C$1,[2]stages!$2:$2,0)+1),MATCH(D$1,[2]stages!$2:$2,0)-MATCH($C$1,[2]stages!$2:$2,0)+1,FALSE)</f>
        <v>everyone</v>
      </c>
      <c r="E3" s="53">
        <v>2</v>
      </c>
      <c r="F3" s="53" t="s">
        <v>480</v>
      </c>
      <c r="G3" s="53">
        <v>704</v>
      </c>
      <c r="H3" s="53">
        <v>2</v>
      </c>
      <c r="I3" s="53">
        <v>1</v>
      </c>
      <c r="J3" s="53">
        <v>1</v>
      </c>
      <c r="K3" s="53">
        <v>0</v>
      </c>
      <c r="L3" s="53">
        <v>0</v>
      </c>
      <c r="M3" s="53">
        <v>0</v>
      </c>
      <c r="N3" s="53">
        <v>0</v>
      </c>
      <c r="O3" s="53">
        <v>1</v>
      </c>
      <c r="P3" s="53">
        <v>40</v>
      </c>
      <c r="Q3" s="53" t="s">
        <v>167</v>
      </c>
      <c r="R3" s="53" t="s">
        <v>168</v>
      </c>
    </row>
    <row r="4" spans="1:18" x14ac:dyDescent="0.15">
      <c r="A4" s="53">
        <v>39012</v>
      </c>
      <c r="B4" s="53">
        <v>5</v>
      </c>
      <c r="C4" s="66" t="str">
        <f t="shared" si="0"/>
        <v>39012_5</v>
      </c>
      <c r="D4" s="11" t="str">
        <f ca="1">VLOOKUP($C4,OFFSET([2]stages!$A$1,0,0,COUNTA([2]stages!$A:$A),MATCH(D$1,[2]stages!$2:$2,0)-MATCH($C$1,[2]stages!$2:$2,0)+1),MATCH(D$1,[2]stages!$2:$2,0)-MATCH($C$1,[2]stages!$2:$2,0)+1,FALSE)</f>
        <v>everyone</v>
      </c>
      <c r="E4" s="53">
        <v>3</v>
      </c>
      <c r="F4" s="53" t="s">
        <v>224</v>
      </c>
      <c r="G4" s="53">
        <v>1510</v>
      </c>
      <c r="H4" s="53">
        <v>1</v>
      </c>
      <c r="I4" s="53">
        <v>1</v>
      </c>
      <c r="J4" s="53">
        <v>1</v>
      </c>
      <c r="K4" s="53">
        <v>0</v>
      </c>
      <c r="L4" s="53">
        <v>0</v>
      </c>
      <c r="M4" s="53">
        <v>0</v>
      </c>
      <c r="N4" s="53">
        <v>0</v>
      </c>
      <c r="O4" s="53">
        <v>1</v>
      </c>
      <c r="P4" s="53">
        <v>15</v>
      </c>
      <c r="Q4" s="53" t="s">
        <v>167</v>
      </c>
      <c r="R4" s="53" t="s">
        <v>168</v>
      </c>
    </row>
  </sheetData>
  <phoneticPr fontId="5"/>
  <pageMargins left="0.7" right="0.7" top="0.75" bottom="0.75" header="0.3" footer="0.3"/>
  <legacy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 enableFormatConditionsCalculation="0">
    <tabColor rgb="FF0000FF"/>
    <outlinePr summaryBelow="0" summaryRight="0"/>
  </sheetPr>
  <dimension ref="A1:M1"/>
  <sheetViews>
    <sheetView showGridLines="0" workbookViewId="0">
      <pane ySplit="1" topLeftCell="A2" activePane="bottomLeft" state="frozen"/>
      <selection pane="bottomLeft" activeCell="A2" sqref="A2"/>
    </sheetView>
  </sheetViews>
  <sheetFormatPr baseColWidth="12" defaultColWidth="13" defaultRowHeight="15" outlineLevelCol="1" x14ac:dyDescent="0.15"/>
  <cols>
    <col min="1" max="1" width="13" style="83"/>
    <col min="2" max="2" width="13" collapsed="1"/>
    <col min="3" max="3" width="17" hidden="1" customWidth="1" outlineLevel="1"/>
    <col min="4" max="4" width="18.83203125" hidden="1" customWidth="1" outlineLevel="1"/>
    <col min="5" max="5" width="13" collapsed="1"/>
    <col min="6" max="6" width="22.5" hidden="1" customWidth="1" outlineLevel="1"/>
    <col min="7" max="7" width="22" hidden="1" customWidth="1" outlineLevel="1"/>
    <col min="8" max="8" width="22" customWidth="1"/>
    <col min="9" max="11" width="11.1640625" customWidth="1"/>
    <col min="12" max="12" width="42.6640625" customWidth="1"/>
  </cols>
  <sheetData>
    <row r="1" spans="1:13" x14ac:dyDescent="0.15">
      <c r="A1" s="71" t="s">
        <v>185</v>
      </c>
      <c r="B1" s="68" t="s">
        <v>186</v>
      </c>
      <c r="C1" s="72" t="s">
        <v>187</v>
      </c>
      <c r="D1" s="72" t="s">
        <v>33</v>
      </c>
      <c r="E1" s="68" t="s">
        <v>188</v>
      </c>
      <c r="F1" s="72" t="s">
        <v>189</v>
      </c>
      <c r="G1" s="72" t="s">
        <v>33</v>
      </c>
      <c r="H1" s="68" t="s">
        <v>190</v>
      </c>
      <c r="I1" s="86" t="s">
        <v>192</v>
      </c>
      <c r="J1" s="74" t="s">
        <v>126</v>
      </c>
      <c r="K1" s="73" t="s">
        <v>184</v>
      </c>
      <c r="L1" s="87" t="s">
        <v>183</v>
      </c>
      <c r="M1" s="75" t="s">
        <v>193</v>
      </c>
    </row>
  </sheetData>
  <phoneticPr fontId="5"/>
  <pageMargins left="0.7" right="0.7" top="0.75" bottom="0.75" header="0.3" footer="0.3"/>
  <pageSetup paperSize="9" orientation="portrait" horizontalDpi="4294967292" verticalDpi="4294967292"/>
  <legacy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 enableFormatConditionsCalculation="0">
    <tabColor rgb="FF0000FF"/>
    <outlinePr summaryBelow="0" summaryRight="0"/>
  </sheetPr>
  <dimension ref="A1:O11"/>
  <sheetViews>
    <sheetView showGridLines="0" workbookViewId="0">
      <pane ySplit="1" topLeftCell="A2" activePane="bottomLeft" state="frozen"/>
      <selection pane="bottomLeft" activeCell="K9" sqref="K9"/>
    </sheetView>
  </sheetViews>
  <sheetFormatPr baseColWidth="12" defaultColWidth="13" defaultRowHeight="15" outlineLevelCol="1" x14ac:dyDescent="0.15"/>
  <cols>
    <col min="1" max="1" width="13" style="83"/>
    <col min="2" max="2" width="13" collapsed="1"/>
    <col min="3" max="3" width="17" hidden="1" customWidth="1" outlineLevel="1"/>
    <col min="4" max="4" width="18.83203125" hidden="1" customWidth="1" outlineLevel="1"/>
    <col min="5" max="5" width="13" collapsed="1"/>
    <col min="6" max="6" width="22.5" hidden="1" customWidth="1" outlineLevel="1"/>
    <col min="7" max="7" width="22" hidden="1" customWidth="1" outlineLevel="1"/>
    <col min="8" max="9" width="22" customWidth="1"/>
    <col min="10" max="11" width="11.1640625" customWidth="1"/>
    <col min="12" max="12" width="12.6640625" customWidth="1"/>
    <col min="13" max="13" width="42.6640625" customWidth="1"/>
    <col min="15" max="15" width="40.83203125" customWidth="1"/>
  </cols>
  <sheetData>
    <row r="1" spans="1:15" x14ac:dyDescent="0.15">
      <c r="A1" s="71" t="s">
        <v>185</v>
      </c>
      <c r="B1" s="68" t="s">
        <v>149</v>
      </c>
      <c r="C1" s="72" t="s">
        <v>187</v>
      </c>
      <c r="D1" s="72" t="s">
        <v>33</v>
      </c>
      <c r="E1" s="68" t="s">
        <v>188</v>
      </c>
      <c r="F1" s="72" t="s">
        <v>18</v>
      </c>
      <c r="G1" s="72" t="s">
        <v>33</v>
      </c>
      <c r="H1" s="68" t="s">
        <v>190</v>
      </c>
      <c r="I1" s="84" t="s">
        <v>191</v>
      </c>
      <c r="J1" s="86" t="s">
        <v>192</v>
      </c>
      <c r="K1" s="74" t="s">
        <v>126</v>
      </c>
      <c r="L1" s="73" t="s">
        <v>184</v>
      </c>
      <c r="M1" s="87" t="s">
        <v>183</v>
      </c>
      <c r="N1" s="75" t="s">
        <v>193</v>
      </c>
      <c r="O1" s="87" t="s">
        <v>255</v>
      </c>
    </row>
    <row r="2" spans="1:15" ht="76" customHeight="1" x14ac:dyDescent="0.15">
      <c r="A2" s="76" t="s">
        <v>194</v>
      </c>
      <c r="B2" s="77">
        <v>39012</v>
      </c>
      <c r="C2" s="78" t="str">
        <f ca="1">VLOOKUP($B2,OFFSET([2]quests!$A$1,0,0,COUNTA([2]quests!$A:$A),MATCH(C$1,[2]quests!$1:$1,0)-MATCH($B$1,[2]quests!$1:$1,0)+1),MATCH(C$1,[2]quests!$1:$1,0)-MATCH($B$1,[2]quests!$1:$1,0)+1,FALSE)</f>
        <v>侵略！？にゃんこ軍団現る！</v>
      </c>
      <c r="D2" s="78" t="str">
        <f ca="1">VLOOKUP($B2,OFFSET([2]quests!$A$1,0,0,COUNTA([2]quests!$A:$A),MATCH(D$1,[2]quests!$1:$1,0)-MATCH($B$1,[2]quests!$1:$1,0)+1),MATCH(D$1,[2]quests!$1:$1,0)-MATCH($B$1,[2]quests!$1:$1,0)+1,FALSE)</f>
        <v>コラボクエスト</v>
      </c>
      <c r="E2" s="79">
        <v>5</v>
      </c>
      <c r="F2" s="78" t="str">
        <f ca="1">VLOOKUP($B2&amp;"_"&amp;$E2,OFFSET([2]stages!$A$1,0,0,COUNTA([2]stages!$A:$A),MATCH(F$1,[2]stages!$2:$2,0)-MATCH("temp_stage",[2]stages!$2:$2,0)+1),MATCH(F$1,[2]stages!$2:$2,0)-MATCH("temp_stage",[2]stages!$2:$2,0)+1,FALSE)</f>
        <v>【激ムズ】侵略！？にゃんこ軍団現る！</v>
      </c>
      <c r="G2" s="78" t="str">
        <f ca="1">VLOOKUP($B2&amp;"_"&amp;$E2,OFFSET([2]stages!$A$1,0,0,COUNTA([2]stages!$A:$A),MATCH(G$1,[2]stages!$2:$2,0)-MATCH("temp_stage",[2]stages!$2:$2,0)+1),MATCH(G$1,[2]stages!$2:$2,0)-MATCH("temp_stage",[2]stages!$2:$2,0)+1,FALSE)</f>
        <v>コラボクエスト</v>
      </c>
      <c r="H2" s="119">
        <v>1</v>
      </c>
      <c r="I2" s="85">
        <f>ROW()-1</f>
        <v>1</v>
      </c>
      <c r="J2" s="81">
        <v>39012501</v>
      </c>
      <c r="K2" s="79" t="s">
        <v>195</v>
      </c>
      <c r="L2" s="82" t="s">
        <v>251</v>
      </c>
      <c r="M2" s="129" t="s">
        <v>308</v>
      </c>
      <c r="N2" s="53" t="s">
        <v>196</v>
      </c>
      <c r="O2" s="100" t="str">
        <f>"１２３４５６７８９０１２３４５６７８９０"&amp;M2</f>
        <v>１２３４５６７８９０１２３４５６７８９０ネコが大量出現しても_x000D_あせらず一体ずつ倒せばいいにゃ_x000D_</v>
      </c>
    </row>
    <row r="3" spans="1:15" ht="76" customHeight="1" x14ac:dyDescent="0.15">
      <c r="A3" s="76" t="s">
        <v>194</v>
      </c>
      <c r="B3" s="77">
        <v>39012</v>
      </c>
      <c r="C3" s="78" t="str">
        <f ca="1">VLOOKUP($B3,OFFSET([2]quests!$A$1,0,0,COUNTA([2]quests!$A:$A),MATCH(C$1,[2]quests!$1:$1,0)-MATCH($B$1,[2]quests!$1:$1,0)+1),MATCH(C$1,[2]quests!$1:$1,0)-MATCH($B$1,[2]quests!$1:$1,0)+1,FALSE)</f>
        <v>侵略！？にゃんこ軍団現る！</v>
      </c>
      <c r="D3" s="78" t="str">
        <f ca="1">VLOOKUP($B3,OFFSET([2]quests!$A$1,0,0,COUNTA([2]quests!$A:$A),MATCH(D$1,[2]quests!$1:$1,0)-MATCH($B$1,[2]quests!$1:$1,0)+1),MATCH(D$1,[2]quests!$1:$1,0)-MATCH($B$1,[2]quests!$1:$1,0)+1,FALSE)</f>
        <v>コラボクエスト</v>
      </c>
      <c r="E3" s="79">
        <v>5</v>
      </c>
      <c r="F3" s="78" t="str">
        <f ca="1">VLOOKUP($B3&amp;"_"&amp;$E3,OFFSET([2]stages!$A$1,0,0,COUNTA([2]stages!$A:$A),MATCH(F$1,[2]stages!$2:$2,0)-MATCH("temp_stage",[2]stages!$2:$2,0)+1),MATCH(F$1,[2]stages!$2:$2,0)-MATCH("temp_stage",[2]stages!$2:$2,0)+1,FALSE)</f>
        <v>【激ムズ】侵略！？にゃんこ軍団現る！</v>
      </c>
      <c r="G3" s="78" t="str">
        <f ca="1">VLOOKUP($B3&amp;"_"&amp;$E3,OFFSET([2]stages!$A$1,0,0,COUNTA([2]stages!$A:$A),MATCH(G$1,[2]stages!$2:$2,0)-MATCH("temp_stage",[2]stages!$2:$2,0)+1),MATCH(G$1,[2]stages!$2:$2,0)-MATCH("temp_stage",[2]stages!$2:$2,0)+1,FALSE)</f>
        <v>コラボクエスト</v>
      </c>
      <c r="H3" s="119">
        <v>2</v>
      </c>
      <c r="I3" s="85">
        <f t="shared" ref="I3:I11" si="0">ROW()-1</f>
        <v>2</v>
      </c>
      <c r="J3" s="81">
        <v>39012502</v>
      </c>
      <c r="K3" s="79" t="s">
        <v>195</v>
      </c>
      <c r="L3" s="82" t="s">
        <v>251</v>
      </c>
      <c r="M3" s="129" t="s">
        <v>352</v>
      </c>
      <c r="N3" s="53" t="s">
        <v>196</v>
      </c>
      <c r="O3" s="100" t="str">
        <f t="shared" ref="O3:O8" si="1">"１２３４５６７８９０１２３４５６７８９０"&amp;M3</f>
        <v>１２３４５６７８９０１２３４５６７８９０ネコノトリはデバフ攻撃が豊富にゃ_x000D_厄介な事から片付けるのが_x000D_上手く生きるコツにゃ</v>
      </c>
    </row>
    <row r="4" spans="1:15" ht="76" customHeight="1" x14ac:dyDescent="0.15">
      <c r="A4" s="76" t="s">
        <v>194</v>
      </c>
      <c r="B4" s="77">
        <v>39012</v>
      </c>
      <c r="C4" s="78" t="str">
        <f ca="1">VLOOKUP($B4,OFFSET([2]quests!$A$1,0,0,COUNTA([2]quests!$A:$A),MATCH(C$1,[2]quests!$1:$1,0)-MATCH($B$1,[2]quests!$1:$1,0)+1),MATCH(C$1,[2]quests!$1:$1,0)-MATCH($B$1,[2]quests!$1:$1,0)+1,FALSE)</f>
        <v>侵略！？にゃんこ軍団現る！</v>
      </c>
      <c r="D4" s="78" t="str">
        <f ca="1">VLOOKUP($B4,OFFSET([2]quests!$A$1,0,0,COUNTA([2]quests!$A:$A),MATCH(D$1,[2]quests!$1:$1,0)-MATCH($B$1,[2]quests!$1:$1,0)+1),MATCH(D$1,[2]quests!$1:$1,0)-MATCH($B$1,[2]quests!$1:$1,0)+1,FALSE)</f>
        <v>コラボクエスト</v>
      </c>
      <c r="E4" s="79">
        <v>5</v>
      </c>
      <c r="F4" s="78" t="str">
        <f ca="1">VLOOKUP($B4&amp;"_"&amp;$E4,OFFSET([2]stages!$A$1,0,0,COUNTA([2]stages!$A:$A),MATCH(F$1,[2]stages!$2:$2,0)-MATCH("temp_stage",[2]stages!$2:$2,0)+1),MATCH(F$1,[2]stages!$2:$2,0)-MATCH("temp_stage",[2]stages!$2:$2,0)+1,FALSE)</f>
        <v>【激ムズ】侵略！？にゃんこ軍団現る！</v>
      </c>
      <c r="G4" s="78" t="str">
        <f ca="1">VLOOKUP($B4&amp;"_"&amp;$E4,OFFSET([2]stages!$A$1,0,0,COUNTA([2]stages!$A:$A),MATCH(G$1,[2]stages!$2:$2,0)-MATCH("temp_stage",[2]stages!$2:$2,0)+1),MATCH(G$1,[2]stages!$2:$2,0)-MATCH("temp_stage",[2]stages!$2:$2,0)+1,FALSE)</f>
        <v>コラボクエスト</v>
      </c>
      <c r="H4" s="119">
        <v>3</v>
      </c>
      <c r="I4" s="85">
        <f t="shared" si="0"/>
        <v>3</v>
      </c>
      <c r="J4" s="81">
        <v>39012503</v>
      </c>
      <c r="K4" s="79" t="s">
        <v>195</v>
      </c>
      <c r="L4" s="82" t="s">
        <v>251</v>
      </c>
      <c r="M4" s="129" t="s">
        <v>355</v>
      </c>
      <c r="N4" s="53" t="s">
        <v>196</v>
      </c>
      <c r="O4" s="100" t="str">
        <f t="shared" si="1"/>
        <v>１２３４５６７８９０１２３４５６７８９０キモネコのダンスがどんなに上手くても_x000D_戦いに情けは無用にゃ_x000D_さっさとやっつけるにゃ</v>
      </c>
    </row>
    <row r="5" spans="1:15" ht="76" customHeight="1" x14ac:dyDescent="0.15">
      <c r="A5" s="76" t="s">
        <v>194</v>
      </c>
      <c r="B5" s="77">
        <v>39012</v>
      </c>
      <c r="C5" s="78" t="str">
        <f ca="1">VLOOKUP($B5,OFFSET([2]quests!$A$1,0,0,COUNTA([2]quests!$A:$A),MATCH(C$1,[2]quests!$1:$1,0)-MATCH($B$1,[2]quests!$1:$1,0)+1),MATCH(C$1,[2]quests!$1:$1,0)-MATCH($B$1,[2]quests!$1:$1,0)+1,FALSE)</f>
        <v>侵略！？にゃんこ軍団現る！</v>
      </c>
      <c r="D5" s="78" t="str">
        <f ca="1">VLOOKUP($B5,OFFSET([2]quests!$A$1,0,0,COUNTA([2]quests!$A:$A),MATCH(D$1,[2]quests!$1:$1,0)-MATCH($B$1,[2]quests!$1:$1,0)+1),MATCH(D$1,[2]quests!$1:$1,0)-MATCH($B$1,[2]quests!$1:$1,0)+1,FALSE)</f>
        <v>コラボクエスト</v>
      </c>
      <c r="E5" s="79">
        <v>5</v>
      </c>
      <c r="F5" s="78" t="str">
        <f ca="1">VLOOKUP($B5&amp;"_"&amp;$E5,OFFSET([2]stages!$A$1,0,0,COUNTA([2]stages!$A:$A),MATCH(F$1,[2]stages!$2:$2,0)-MATCH("temp_stage",[2]stages!$2:$2,0)+1),MATCH(F$1,[2]stages!$2:$2,0)-MATCH("temp_stage",[2]stages!$2:$2,0)+1,FALSE)</f>
        <v>【激ムズ】侵略！？にゃんこ軍団現る！</v>
      </c>
      <c r="G5" s="78" t="str">
        <f ca="1">VLOOKUP($B5&amp;"_"&amp;$E5,OFFSET([2]stages!$A$1,0,0,COUNTA([2]stages!$A:$A),MATCH(G$1,[2]stages!$2:$2,0)-MATCH("temp_stage",[2]stages!$2:$2,0)+1),MATCH(G$1,[2]stages!$2:$2,0)-MATCH("temp_stage",[2]stages!$2:$2,0)+1,FALSE)</f>
        <v>コラボクエスト</v>
      </c>
      <c r="H5" s="119">
        <v>4</v>
      </c>
      <c r="I5" s="85">
        <f t="shared" si="0"/>
        <v>4</v>
      </c>
      <c r="J5" s="81">
        <v>39012504</v>
      </c>
      <c r="K5" s="79" t="s">
        <v>195</v>
      </c>
      <c r="L5" s="82" t="s">
        <v>251</v>
      </c>
      <c r="M5" s="129" t="s">
        <v>309</v>
      </c>
      <c r="N5" s="53" t="s">
        <v>196</v>
      </c>
      <c r="O5" s="100" t="str">
        <f t="shared" si="1"/>
        <v>１２３４５６７８９０１２３４５６７８９０バトルネコは１回だけ赤パネルを_x000D_無効にするスキルを使用するにゃ_x000D_時には受け流すことも必要にゃ</v>
      </c>
    </row>
    <row r="6" spans="1:15" ht="76" customHeight="1" x14ac:dyDescent="0.15">
      <c r="A6" s="76" t="s">
        <v>194</v>
      </c>
      <c r="B6" s="77">
        <v>39012</v>
      </c>
      <c r="C6" s="78" t="str">
        <f ca="1">VLOOKUP($B6,OFFSET([2]quests!$A$1,0,0,COUNTA([2]quests!$A:$A),MATCH(C$1,[2]quests!$1:$1,0)-MATCH($B$1,[2]quests!$1:$1,0)+1),MATCH(C$1,[2]quests!$1:$1,0)-MATCH($B$1,[2]quests!$1:$1,0)+1,FALSE)</f>
        <v>侵略！？にゃんこ軍団現る！</v>
      </c>
      <c r="D6" s="78" t="str">
        <f ca="1">VLOOKUP($B6,OFFSET([2]quests!$A$1,0,0,COUNTA([2]quests!$A:$A),MATCH(D$1,[2]quests!$1:$1,0)-MATCH($B$1,[2]quests!$1:$1,0)+1),MATCH(D$1,[2]quests!$1:$1,0)-MATCH($B$1,[2]quests!$1:$1,0)+1,FALSE)</f>
        <v>コラボクエスト</v>
      </c>
      <c r="E6" s="79">
        <v>5</v>
      </c>
      <c r="F6" s="78" t="str">
        <f ca="1">VLOOKUP($B6&amp;"_"&amp;$E6,OFFSET([2]stages!$A$1,0,0,COUNTA([2]stages!$A:$A),MATCH(F$1,[2]stages!$2:$2,0)-MATCH("temp_stage",[2]stages!$2:$2,0)+1),MATCH(F$1,[2]stages!$2:$2,0)-MATCH("temp_stage",[2]stages!$2:$2,0)+1,FALSE)</f>
        <v>【激ムズ】侵略！？にゃんこ軍団現る！</v>
      </c>
      <c r="G6" s="78" t="str">
        <f ca="1">VLOOKUP($B6&amp;"_"&amp;$E6,OFFSET([2]stages!$A$1,0,0,COUNTA([2]stages!$A:$A),MATCH(G$1,[2]stages!$2:$2,0)-MATCH("temp_stage",[2]stages!$2:$2,0)+1),MATCH(G$1,[2]stages!$2:$2,0)-MATCH("temp_stage",[2]stages!$2:$2,0)+1,FALSE)</f>
        <v>コラボクエスト</v>
      </c>
      <c r="H6" s="119">
        <v>5</v>
      </c>
      <c r="I6" s="85">
        <f t="shared" si="0"/>
        <v>5</v>
      </c>
      <c r="J6" s="81">
        <v>39012505</v>
      </c>
      <c r="K6" s="79" t="s">
        <v>195</v>
      </c>
      <c r="L6" s="82" t="s">
        <v>251</v>
      </c>
      <c r="M6" s="129" t="s">
        <v>475</v>
      </c>
      <c r="N6" s="53" t="s">
        <v>196</v>
      </c>
      <c r="O6" s="100" t="str">
        <f t="shared" si="1"/>
        <v>１２３４５６７８９０１２３４５６７８９０巨神ネコは防御力UPスキルを使用する上に_x000D_カウンタースキルも使用してくるにゃ_x000D_一撃必殺のネコパンチで倒すといいにゃ</v>
      </c>
    </row>
    <row r="7" spans="1:15" ht="76" customHeight="1" x14ac:dyDescent="0.15">
      <c r="A7" s="76" t="s">
        <v>194</v>
      </c>
      <c r="B7" s="77">
        <v>39012</v>
      </c>
      <c r="C7" s="78" t="str">
        <f ca="1">VLOOKUP($B7,OFFSET([2]quests!$A$1,0,0,COUNTA([2]quests!$A:$A),MATCH(C$1,[2]quests!$1:$1,0)-MATCH($B$1,[2]quests!$1:$1,0)+1),MATCH(C$1,[2]quests!$1:$1,0)-MATCH($B$1,[2]quests!$1:$1,0)+1,FALSE)</f>
        <v>侵略！？にゃんこ軍団現る！</v>
      </c>
      <c r="D7" s="78" t="str">
        <f ca="1">VLOOKUP($B7,OFFSET([2]quests!$A$1,0,0,COUNTA([2]quests!$A:$A),MATCH(D$1,[2]quests!$1:$1,0)-MATCH($B$1,[2]quests!$1:$1,0)+1),MATCH(D$1,[2]quests!$1:$1,0)-MATCH($B$1,[2]quests!$1:$1,0)+1,FALSE)</f>
        <v>コラボクエスト</v>
      </c>
      <c r="E7" s="79">
        <v>5</v>
      </c>
      <c r="F7" s="78" t="str">
        <f ca="1">VLOOKUP($B7&amp;"_"&amp;$E7,OFFSET([2]stages!$A$1,0,0,COUNTA([2]stages!$A:$A),MATCH(F$1,[2]stages!$2:$2,0)-MATCH("temp_stage",[2]stages!$2:$2,0)+1),MATCH(F$1,[2]stages!$2:$2,0)-MATCH("temp_stage",[2]stages!$2:$2,0)+1,FALSE)</f>
        <v>【激ムズ】侵略！？にゃんこ軍団現る！</v>
      </c>
      <c r="G7" s="78" t="str">
        <f ca="1">VLOOKUP($B7&amp;"_"&amp;$E7,OFFSET([2]stages!$A$1,0,0,COUNTA([2]stages!$A:$A),MATCH(G$1,[2]stages!$2:$2,0)-MATCH("temp_stage",[2]stages!$2:$2,0)+1),MATCH(G$1,[2]stages!$2:$2,0)-MATCH("temp_stage",[2]stages!$2:$2,0)+1,FALSE)</f>
        <v>コラボクエスト</v>
      </c>
      <c r="H7" s="119">
        <v>5</v>
      </c>
      <c r="I7" s="85">
        <f t="shared" si="0"/>
        <v>6</v>
      </c>
      <c r="J7" s="81">
        <v>39012506</v>
      </c>
      <c r="K7" s="79" t="s">
        <v>195</v>
      </c>
      <c r="L7" s="82" t="s">
        <v>251</v>
      </c>
      <c r="M7" s="129" t="s">
        <v>311</v>
      </c>
      <c r="N7" s="53" t="s">
        <v>196</v>
      </c>
      <c r="O7" s="100" t="str">
        <f t="shared" ref="O7" si="2">"１２３４５６７８９０１２３４５６７８９０"&amp;M7</f>
        <v>１２３４５６７８９０１２３４５６７８９０巨神ネコはお邪魔パネルを吸収して_x000D_さらに防御力を上げようとしてくるにゃ_x000D_フィーバーやスキルで阻止するにゃ</v>
      </c>
    </row>
    <row r="8" spans="1:15" ht="76" customHeight="1" x14ac:dyDescent="0.15">
      <c r="A8" s="76" t="s">
        <v>194</v>
      </c>
      <c r="B8" s="77">
        <v>39012</v>
      </c>
      <c r="C8" s="78" t="str">
        <f ca="1">VLOOKUP($B8,OFFSET([2]quests!$A$1,0,0,COUNTA([2]quests!$A:$A),MATCH(C$1,[2]quests!$1:$1,0)-MATCH($B$1,[2]quests!$1:$1,0)+1),MATCH(C$1,[2]quests!$1:$1,0)-MATCH($B$1,[2]quests!$1:$1,0)+1,FALSE)</f>
        <v>侵略！？にゃんこ軍団現る！</v>
      </c>
      <c r="D8" s="78" t="str">
        <f ca="1">VLOOKUP($B8,OFFSET([2]quests!$A$1,0,0,COUNTA([2]quests!$A:$A),MATCH(D$1,[2]quests!$1:$1,0)-MATCH($B$1,[2]quests!$1:$1,0)+1),MATCH(D$1,[2]quests!$1:$1,0)-MATCH($B$1,[2]quests!$1:$1,0)+1,FALSE)</f>
        <v>コラボクエスト</v>
      </c>
      <c r="E8" s="79">
        <v>5</v>
      </c>
      <c r="F8" s="78" t="str">
        <f ca="1">VLOOKUP($B8&amp;"_"&amp;$E8,OFFSET([2]stages!$A$1,0,0,COUNTA([2]stages!$A:$A),MATCH(F$1,[2]stages!$2:$2,0)-MATCH("temp_stage",[2]stages!$2:$2,0)+1),MATCH(F$1,[2]stages!$2:$2,0)-MATCH("temp_stage",[2]stages!$2:$2,0)+1,FALSE)</f>
        <v>【激ムズ】侵略！？にゃんこ軍団現る！</v>
      </c>
      <c r="G8" s="78" t="str">
        <f ca="1">VLOOKUP($B8&amp;"_"&amp;$E8,OFFSET([2]stages!$A$1,0,0,COUNTA([2]stages!$A:$A),MATCH(G$1,[2]stages!$2:$2,0)-MATCH("temp_stage",[2]stages!$2:$2,0)+1),MATCH(G$1,[2]stages!$2:$2,0)-MATCH("temp_stage",[2]stages!$2:$2,0)+1,FALSE)</f>
        <v>コラボクエスト</v>
      </c>
      <c r="H8" s="119">
        <v>7</v>
      </c>
      <c r="I8" s="85">
        <f t="shared" si="0"/>
        <v>7</v>
      </c>
      <c r="J8" s="81">
        <v>39012507</v>
      </c>
      <c r="K8" s="79" t="s">
        <v>195</v>
      </c>
      <c r="L8" s="82" t="s">
        <v>251</v>
      </c>
      <c r="M8" s="129" t="s">
        <v>310</v>
      </c>
      <c r="N8" s="53" t="s">
        <v>196</v>
      </c>
      <c r="O8" s="100" t="str">
        <f t="shared" si="1"/>
        <v>１２３４５６７８９０１２３４５６７８９０ネコヴァルキリーは_x000D_全体攻撃を頻繁に使用するにゃ_x000D_防御力を上げたり_x000D_カウンターを持つのも手にゃ</v>
      </c>
    </row>
    <row r="9" spans="1:15" ht="60" x14ac:dyDescent="0.15">
      <c r="A9" s="76" t="s">
        <v>347</v>
      </c>
      <c r="B9" s="77">
        <v>39012</v>
      </c>
      <c r="C9" s="78" t="str">
        <f ca="1">VLOOKUP($B9,OFFSET([2]quests!$A$1,0,0,COUNTA([2]quests!$A:$A),MATCH(C$1,[2]quests!$1:$1,0)-MATCH($B$1,[2]quests!$1:$1,0)+1),MATCH(C$1,[2]quests!$1:$1,0)-MATCH($B$1,[2]quests!$1:$1,0)+1,FALSE)</f>
        <v>侵略！？にゃんこ軍団現る！</v>
      </c>
      <c r="D9" s="78" t="str">
        <f ca="1">VLOOKUP($B9,OFFSET([2]quests!$A$1,0,0,COUNTA([2]quests!$A:$A),MATCH(D$1,[2]quests!$1:$1,0)-MATCH($B$1,[2]quests!$1:$1,0)+1),MATCH(D$1,[2]quests!$1:$1,0)-MATCH($B$1,[2]quests!$1:$1,0)+1,FALSE)</f>
        <v>コラボクエスト</v>
      </c>
      <c r="E9" s="79">
        <v>5</v>
      </c>
      <c r="F9" s="78" t="str">
        <f ca="1">VLOOKUP($B9&amp;"_"&amp;$E9,OFFSET([2]stages!$A$1,0,0,COUNTA([2]stages!$A:$A),MATCH(F$1,[2]stages!$2:$2,0)-MATCH("temp_stage",[2]stages!$2:$2,0)+1),MATCH(F$1,[2]stages!$2:$2,0)-MATCH("temp_stage",[2]stages!$2:$2,0)+1,FALSE)</f>
        <v>【激ムズ】侵略！？にゃんこ軍団現る！</v>
      </c>
      <c r="G9" s="78" t="str">
        <f ca="1">VLOOKUP($B9&amp;"_"&amp;$E9,OFFSET([2]stages!$A$1,0,0,COUNTA([2]stages!$A:$A),MATCH(G$1,[2]stages!$2:$2,0)-MATCH("temp_stage",[2]stages!$2:$2,0)+1),MATCH(G$1,[2]stages!$2:$2,0)-MATCH("temp_stage",[2]stages!$2:$2,0)+1,FALSE)</f>
        <v>コラボクエスト</v>
      </c>
      <c r="H9" s="119">
        <v>0</v>
      </c>
      <c r="I9" s="85">
        <f t="shared" si="0"/>
        <v>8</v>
      </c>
      <c r="J9" s="81">
        <v>39012508</v>
      </c>
      <c r="K9" s="79" t="s">
        <v>195</v>
      </c>
      <c r="L9" s="82" t="s">
        <v>350</v>
      </c>
      <c r="M9" s="129" t="s">
        <v>465</v>
      </c>
      <c r="N9" s="53" t="s">
        <v>196</v>
      </c>
      <c r="O9" s="100" t="str">
        <f t="shared" ref="O9" si="3">"１２３４５６７８９０１２３４５６７８９０"&amp;M9</f>
        <v>１２３４５６７８９０１２３４５６７８９０ネコヴァルキリーの美しい容姿に惹かれ_x000D_普段は隠れていたにゃんこ達が集まり_x000D_今回の騒動が起きたみたいにゃ</v>
      </c>
    </row>
    <row r="10" spans="1:15" ht="60" customHeight="1" x14ac:dyDescent="0.15">
      <c r="A10" s="76" t="s">
        <v>347</v>
      </c>
      <c r="B10" s="77">
        <v>39012</v>
      </c>
      <c r="C10" s="78" t="str">
        <f ca="1">VLOOKUP($B10,OFFSET([2]quests!$A$1,0,0,COUNTA([2]quests!$A:$A),MATCH(C$1,[2]quests!$1:$1,0)-MATCH($B$1,[2]quests!$1:$1,0)+1),MATCH(C$1,[2]quests!$1:$1,0)-MATCH($B$1,[2]quests!$1:$1,0)+1,FALSE)</f>
        <v>侵略！？にゃんこ軍団現る！</v>
      </c>
      <c r="D10" s="78" t="str">
        <f ca="1">VLOOKUP($B10,OFFSET([2]quests!$A$1,0,0,COUNTA([2]quests!$A:$A),MATCH(D$1,[2]quests!$1:$1,0)-MATCH($B$1,[2]quests!$1:$1,0)+1),MATCH(D$1,[2]quests!$1:$1,0)-MATCH($B$1,[2]quests!$1:$1,0)+1,FALSE)</f>
        <v>コラボクエスト</v>
      </c>
      <c r="E10" s="79">
        <v>5</v>
      </c>
      <c r="F10" s="78" t="str">
        <f ca="1">VLOOKUP($B10&amp;"_"&amp;$E10,OFFSET([2]stages!$A$1,0,0,COUNTA([2]stages!$A:$A),MATCH(F$1,[2]stages!$2:$2,0)-MATCH("temp_stage",[2]stages!$2:$2,0)+1),MATCH(F$1,[2]stages!$2:$2,0)-MATCH("temp_stage",[2]stages!$2:$2,0)+1,FALSE)</f>
        <v>【激ムズ】侵略！？にゃんこ軍団現る！</v>
      </c>
      <c r="G10" s="78" t="str">
        <f ca="1">VLOOKUP($B10&amp;"_"&amp;$E10,OFFSET([2]stages!$A$1,0,0,COUNTA([2]stages!$A:$A),MATCH(G$1,[2]stages!$2:$2,0)-MATCH("temp_stage",[2]stages!$2:$2,0)+1),MATCH(G$1,[2]stages!$2:$2,0)-MATCH("temp_stage",[2]stages!$2:$2,0)+1,FALSE)</f>
        <v>コラボクエスト</v>
      </c>
      <c r="H10" s="119">
        <v>0</v>
      </c>
      <c r="I10" s="85">
        <f t="shared" si="0"/>
        <v>9</v>
      </c>
      <c r="J10" s="81">
        <v>39012509</v>
      </c>
      <c r="K10" s="79" t="s">
        <v>195</v>
      </c>
      <c r="L10" s="82" t="s">
        <v>356</v>
      </c>
      <c r="M10" s="129" t="s">
        <v>354</v>
      </c>
      <c r="N10" s="53" t="s">
        <v>196</v>
      </c>
      <c r="O10" s="100" t="str">
        <f t="shared" ref="O10:O11" si="4">"１２３４５６７８９０１２３４５６７８９０"&amp;M10</f>
        <v>１２３４５６７８９０１２３４５６７８９０にゃんこ達は集団行動すると強気になるにゃ_x000D_赤信号みんなで渡れば怖くないにゃんて_x000D_よく言ったもんにゃ…</v>
      </c>
    </row>
    <row r="11" spans="1:15" ht="60" customHeight="1" x14ac:dyDescent="0.15">
      <c r="A11" s="76" t="s">
        <v>347</v>
      </c>
      <c r="B11" s="77">
        <v>39012</v>
      </c>
      <c r="C11" s="78" t="str">
        <f ca="1">VLOOKUP($B11,OFFSET([2]quests!$A$1,0,0,COUNTA([2]quests!$A:$A),MATCH(C$1,[2]quests!$1:$1,0)-MATCH($B$1,[2]quests!$1:$1,0)+1),MATCH(C$1,[2]quests!$1:$1,0)-MATCH($B$1,[2]quests!$1:$1,0)+1,FALSE)</f>
        <v>侵略！？にゃんこ軍団現る！</v>
      </c>
      <c r="D11" s="78" t="str">
        <f ca="1">VLOOKUP($B11,OFFSET([2]quests!$A$1,0,0,COUNTA([2]quests!$A:$A),MATCH(D$1,[2]quests!$1:$1,0)-MATCH($B$1,[2]quests!$1:$1,0)+1),MATCH(D$1,[2]quests!$1:$1,0)-MATCH($B$1,[2]quests!$1:$1,0)+1,FALSE)</f>
        <v>コラボクエスト</v>
      </c>
      <c r="E11" s="79">
        <v>5</v>
      </c>
      <c r="F11" s="78" t="str">
        <f ca="1">VLOOKUP($B11&amp;"_"&amp;$E11,OFFSET([2]stages!$A$1,0,0,COUNTA([2]stages!$A:$A),MATCH(F$1,[2]stages!$2:$2,0)-MATCH("temp_stage",[2]stages!$2:$2,0)+1),MATCH(F$1,[2]stages!$2:$2,0)-MATCH("temp_stage",[2]stages!$2:$2,0)+1,FALSE)</f>
        <v>【激ムズ】侵略！？にゃんこ軍団現る！</v>
      </c>
      <c r="G11" s="78" t="str">
        <f ca="1">VLOOKUP($B11&amp;"_"&amp;$E11,OFFSET([2]stages!$A$1,0,0,COUNTA([2]stages!$A:$A),MATCH(G$1,[2]stages!$2:$2,0)-MATCH("temp_stage",[2]stages!$2:$2,0)+1),MATCH(G$1,[2]stages!$2:$2,0)-MATCH("temp_stage",[2]stages!$2:$2,0)+1,FALSE)</f>
        <v>コラボクエスト</v>
      </c>
      <c r="H11" s="119">
        <v>0</v>
      </c>
      <c r="I11" s="85">
        <f t="shared" si="0"/>
        <v>10</v>
      </c>
      <c r="J11" s="81">
        <v>39012510</v>
      </c>
      <c r="K11" s="79" t="s">
        <v>195</v>
      </c>
      <c r="L11" s="82" t="s">
        <v>357</v>
      </c>
      <c r="M11" s="129" t="s">
        <v>358</v>
      </c>
      <c r="N11" s="53" t="s">
        <v>196</v>
      </c>
      <c r="O11" s="100" t="str">
        <f t="shared" si="4"/>
        <v>１２３４５６７８９０１２３４５６７８９０にゃんこヴァルキリーを倒したことで_x000D_にゃんこ達の集会はなくなり_x000D_みんな戦地へ戻って行ったにゃ</v>
      </c>
    </row>
  </sheetData>
  <phoneticPr fontId="5"/>
  <dataValidations count="1">
    <dataValidation type="list" allowBlank="1" showInputMessage="1" showErrorMessage="1" sqref="A2:A11">
      <formula1>"complete,failure"</formula1>
    </dataValidation>
  </dataValidations>
  <pageMargins left="0.7" right="0.7" top="0.75" bottom="0.75" header="0.3" footer="0.3"/>
  <pageSetup paperSize="9" orientation="portrait" horizontalDpi="4294967292" verticalDpi="429496729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 enableFormatConditionsCalculation="0">
    <tabColor rgb="FF0000FF"/>
    <outlinePr summaryBelow="0" summaryRight="0"/>
  </sheetPr>
  <dimension ref="A1:X6"/>
  <sheetViews>
    <sheetView showGridLines="0" topLeftCell="B1" workbookViewId="0">
      <pane ySplit="1" topLeftCell="A2" activePane="bottomLeft" state="frozen"/>
      <selection pane="bottomLeft" activeCell="Q12" sqref="Q12"/>
    </sheetView>
  </sheetViews>
  <sheetFormatPr baseColWidth="12" defaultColWidth="13" defaultRowHeight="15" outlineLevelCol="1" x14ac:dyDescent="0.15"/>
  <cols>
    <col min="1" max="1" width="8.33203125" customWidth="1"/>
    <col min="2" max="2" width="7" bestFit="1" customWidth="1"/>
    <col min="3" max="3" width="17" customWidth="1" outlineLevel="1"/>
    <col min="4" max="4" width="18.83203125" customWidth="1" outlineLevel="1"/>
    <col min="5" max="5" width="6.83203125" bestFit="1" customWidth="1"/>
    <col min="6" max="6" width="22.5" customWidth="1" outlineLevel="1"/>
    <col min="7" max="7" width="22" customWidth="1" outlineLevel="1"/>
    <col min="8" max="8" width="9.83203125" bestFit="1" customWidth="1"/>
    <col min="9" max="9" width="12" bestFit="1" customWidth="1"/>
    <col min="10" max="10" width="7.1640625" bestFit="1" customWidth="1"/>
    <col min="11" max="11" width="5.83203125" bestFit="1" customWidth="1"/>
    <col min="12" max="12" width="9" bestFit="1" customWidth="1"/>
    <col min="13" max="13" width="9.6640625" bestFit="1" customWidth="1"/>
    <col min="14" max="14" width="12" customWidth="1" outlineLevel="1"/>
    <col min="15" max="15" width="10" bestFit="1" customWidth="1"/>
    <col min="16" max="16" width="4.5" bestFit="1" customWidth="1"/>
    <col min="17" max="17" width="7.6640625" bestFit="1" customWidth="1"/>
    <col min="18" max="18" width="6.33203125" bestFit="1" customWidth="1"/>
    <col min="19" max="19" width="9" bestFit="1" customWidth="1"/>
    <col min="20" max="20" width="10.1640625" bestFit="1" customWidth="1"/>
    <col min="21" max="21" width="7.5" bestFit="1" customWidth="1"/>
    <col min="22" max="22" width="3.83203125" bestFit="1" customWidth="1"/>
    <col min="23" max="23" width="15" bestFit="1" customWidth="1"/>
    <col min="24" max="24" width="16.83203125" bestFit="1" customWidth="1"/>
  </cols>
  <sheetData>
    <row r="1" spans="1:24" x14ac:dyDescent="0.15">
      <c r="A1" s="89" t="s">
        <v>208</v>
      </c>
      <c r="B1" s="90" t="s">
        <v>209</v>
      </c>
      <c r="C1" s="72" t="s">
        <v>210</v>
      </c>
      <c r="D1" s="72" t="s">
        <v>33</v>
      </c>
      <c r="E1" s="90" t="s">
        <v>211</v>
      </c>
      <c r="F1" s="72" t="s">
        <v>212</v>
      </c>
      <c r="G1" s="72" t="s">
        <v>33</v>
      </c>
      <c r="H1" s="90" t="s">
        <v>213</v>
      </c>
      <c r="I1" s="90" t="s">
        <v>214</v>
      </c>
      <c r="J1" s="90" t="s">
        <v>215</v>
      </c>
      <c r="K1" s="68" t="s">
        <v>216</v>
      </c>
      <c r="L1" s="68" t="s">
        <v>217</v>
      </c>
      <c r="M1" s="68" t="s">
        <v>155</v>
      </c>
      <c r="N1" s="72" t="s">
        <v>16</v>
      </c>
      <c r="O1" s="68" t="s">
        <v>218</v>
      </c>
      <c r="P1" s="68" t="s">
        <v>57</v>
      </c>
      <c r="Q1" s="68" t="s">
        <v>219</v>
      </c>
      <c r="R1" s="68" t="s">
        <v>38</v>
      </c>
      <c r="S1" s="68" t="s">
        <v>40</v>
      </c>
      <c r="T1" s="68" t="s">
        <v>42</v>
      </c>
      <c r="U1" s="68" t="s">
        <v>44</v>
      </c>
      <c r="V1" s="68" t="s">
        <v>46</v>
      </c>
      <c r="W1" s="68" t="s">
        <v>220</v>
      </c>
      <c r="X1" s="68" t="s">
        <v>221</v>
      </c>
    </row>
    <row r="2" spans="1:24" x14ac:dyDescent="0.15">
      <c r="A2" s="91" t="str">
        <f>B2&amp;"_"&amp;E2&amp;"_"&amp;H2&amp;"_"&amp;I2&amp;"_"&amp;J2</f>
        <v>39012_5_everyone_clear_1</v>
      </c>
      <c r="B2" s="77">
        <v>39012</v>
      </c>
      <c r="C2" s="78" t="str">
        <f ca="1">VLOOKUP($B2,OFFSET([2]quests!$A$1,0,0,COUNTA([2]quests!$A:$A),MATCH(C$1,[2]quests!$1:$1,0)-MATCH($B$1,[2]quests!$1:$1,0)+1),MATCH(C$1,[2]quests!$1:$1,0)-MATCH($B$1,[2]quests!$1:$1,0)+1,FALSE)</f>
        <v>侵略！？にゃんこ軍団現る！</v>
      </c>
      <c r="D2" s="78" t="str">
        <f ca="1">VLOOKUP($B2,OFFSET([2]quests!$A$1,0,0,COUNTA([2]quests!$A:$A),MATCH(D$1,[2]quests!$1:$1,0)-MATCH($B$1,[2]quests!$1:$1,0)+1),MATCH(D$1,[2]quests!$1:$1,0)-MATCH($B$1,[2]quests!$1:$1,0)+1,FALSE)</f>
        <v>コラボクエスト</v>
      </c>
      <c r="E2" s="79">
        <v>5</v>
      </c>
      <c r="F2" s="78" t="str">
        <f ca="1">VLOOKUP($B2&amp;"_"&amp;$E2,OFFSET([2]stages!$A$1,0,0,COUNTA([2]stages!$A:$A),MATCH(F$1,[2]stages!$2:$2,0)-MATCH("temp_stage",[2]stages!$2:$2,0)+1),MATCH(F$1,[2]stages!$2:$2,0)-MATCH("temp_stage",[2]stages!$2:$2,0)+1,FALSE)</f>
        <v>【激ムズ】侵略！？にゃんこ軍団現る！</v>
      </c>
      <c r="G2" s="78" t="str">
        <f ca="1">VLOOKUP($B2&amp;"_"&amp;$E2,OFFSET([2]stages!$A$1,0,0,COUNTA([2]stages!$A:$A),MATCH(G$1,[2]stages!$2:$2,0)-MATCH("temp_stage",[2]stages!$2:$2,0)+1),MATCH(G$1,[2]stages!$2:$2,0)-MATCH("temp_stage",[2]stages!$2:$2,0)+1,FALSE)</f>
        <v>コラボクエスト</v>
      </c>
      <c r="H2" s="80" t="s">
        <v>222</v>
      </c>
      <c r="I2" s="79" t="s">
        <v>223</v>
      </c>
      <c r="J2" s="79">
        <v>1</v>
      </c>
      <c r="K2" s="79">
        <v>90</v>
      </c>
      <c r="L2" s="79" t="s">
        <v>480</v>
      </c>
      <c r="M2" s="79">
        <v>704</v>
      </c>
      <c r="N2" s="92" t="str">
        <f ca="1">IF(L2="unit",VLOOKUP($M2,OFFSET([4]characters!$A$1,0,0,COUNTA([4]characters!$A:$A),MATCH(N$1,[4]characters!$1:$1,0)-MATCH("character_id",[4]characters!$1:$1,0)+1),MATCH(N$1,[4]characters!$1:$1,0)-MATCH("character_id",[4]characters!$1:$1,0)+1,FALSE),"")</f>
        <v/>
      </c>
      <c r="O2" s="79">
        <v>2</v>
      </c>
      <c r="P2" s="79">
        <v>1</v>
      </c>
      <c r="Q2" s="79">
        <v>1</v>
      </c>
      <c r="R2" s="79">
        <v>0</v>
      </c>
      <c r="S2" s="79">
        <v>0</v>
      </c>
      <c r="T2" s="79">
        <v>0</v>
      </c>
      <c r="U2" s="79">
        <v>0</v>
      </c>
      <c r="V2" s="79">
        <v>1</v>
      </c>
      <c r="W2" s="93" t="s">
        <v>225</v>
      </c>
      <c r="X2" s="94" t="s">
        <v>226</v>
      </c>
    </row>
    <row r="3" spans="1:24" x14ac:dyDescent="0.15">
      <c r="A3" s="91" t="str">
        <f>B3&amp;"_"&amp;E3&amp;"_"&amp;H3&amp;"_"&amp;I3&amp;"_"&amp;J3</f>
        <v>39012_5_everyone_clear_2</v>
      </c>
      <c r="B3" s="77">
        <v>39012</v>
      </c>
      <c r="C3" s="78" t="str">
        <f ca="1">VLOOKUP($B3,OFFSET([2]quests!$A$1,0,0,COUNTA([2]quests!$A:$A),MATCH(C$1,[2]quests!$1:$1,0)-MATCH($B$1,[2]quests!$1:$1,0)+1),MATCH(C$1,[2]quests!$1:$1,0)-MATCH($B$1,[2]quests!$1:$1,0)+1,FALSE)</f>
        <v>侵略！？にゃんこ軍団現る！</v>
      </c>
      <c r="D3" s="78" t="str">
        <f ca="1">VLOOKUP($B3,OFFSET([2]quests!$A$1,0,0,COUNTA([2]quests!$A:$A),MATCH(D$1,[2]quests!$1:$1,0)-MATCH($B$1,[2]quests!$1:$1,0)+1),MATCH(D$1,[2]quests!$1:$1,0)-MATCH($B$1,[2]quests!$1:$1,0)+1,FALSE)</f>
        <v>コラボクエスト</v>
      </c>
      <c r="E3" s="79">
        <v>5</v>
      </c>
      <c r="F3" s="78" t="str">
        <f ca="1">VLOOKUP($B3&amp;"_"&amp;$E3,OFFSET([2]stages!$A$1,0,0,COUNTA([2]stages!$A:$A),MATCH(F$1,[2]stages!$2:$2,0)-MATCH("temp_stage",[2]stages!$2:$2,0)+1),MATCH(F$1,[2]stages!$2:$2,0)-MATCH("temp_stage",[2]stages!$2:$2,0)+1,FALSE)</f>
        <v>【激ムズ】侵略！？にゃんこ軍団現る！</v>
      </c>
      <c r="G3" s="78" t="str">
        <f ca="1">VLOOKUP($B3&amp;"_"&amp;$E3,OFFSET([2]stages!$A$1,0,0,COUNTA([2]stages!$A:$A),MATCH(G$1,[2]stages!$2:$2,0)-MATCH("temp_stage",[2]stages!$2:$2,0)+1),MATCH(G$1,[2]stages!$2:$2,0)-MATCH("temp_stage",[2]stages!$2:$2,0)+1,FALSE)</f>
        <v>コラボクエスト</v>
      </c>
      <c r="H3" s="80" t="s">
        <v>222</v>
      </c>
      <c r="I3" s="79" t="s">
        <v>223</v>
      </c>
      <c r="J3" s="79">
        <v>2</v>
      </c>
      <c r="K3" s="79">
        <v>10</v>
      </c>
      <c r="L3" s="79" t="s">
        <v>480</v>
      </c>
      <c r="M3" s="79">
        <v>704</v>
      </c>
      <c r="N3" s="92" t="str">
        <f ca="1">IF(L3="unit",VLOOKUP($M3,OFFSET([4]characters!$A$1,0,0,COUNTA([4]characters!$A:$A),MATCH(N$1,[4]characters!$1:$1,0)-MATCH("character_id",[4]characters!$1:$1,0)+1),MATCH(N$1,[4]characters!$1:$1,0)-MATCH("character_id",[4]characters!$1:$1,0)+1,FALSE),"")</f>
        <v/>
      </c>
      <c r="O3" s="79">
        <v>1</v>
      </c>
      <c r="P3" s="79">
        <v>1</v>
      </c>
      <c r="Q3" s="79">
        <v>1</v>
      </c>
      <c r="R3" s="79">
        <v>0</v>
      </c>
      <c r="S3" s="79">
        <v>0</v>
      </c>
      <c r="T3" s="79">
        <v>0</v>
      </c>
      <c r="U3" s="79">
        <v>0</v>
      </c>
      <c r="V3" s="79">
        <v>1</v>
      </c>
      <c r="W3" s="93" t="s">
        <v>225</v>
      </c>
      <c r="X3" s="94" t="s">
        <v>226</v>
      </c>
    </row>
    <row r="4" spans="1:24" x14ac:dyDescent="0.15">
      <c r="A4" s="91" t="str">
        <f>B4&amp;"_"&amp;E4&amp;"_"&amp;H4&amp;"_"&amp;I4&amp;"_"&amp;J4</f>
        <v>39012_5_everyone_no_continue_3</v>
      </c>
      <c r="B4" s="77">
        <v>39012</v>
      </c>
      <c r="C4" s="78" t="str">
        <f ca="1">VLOOKUP($B4,OFFSET([2]quests!$A$1,0,0,COUNTA([2]quests!$A:$A),MATCH(C$1,[2]quests!$1:$1,0)-MATCH($B$1,[2]quests!$1:$1,0)+1),MATCH(C$1,[2]quests!$1:$1,0)-MATCH($B$1,[2]quests!$1:$1,0)+1,FALSE)</f>
        <v>侵略！？にゃんこ軍団現る！</v>
      </c>
      <c r="D4" s="78" t="str">
        <f ca="1">VLOOKUP($B4,OFFSET([2]quests!$A$1,0,0,COUNTA([2]quests!$A:$A),MATCH(D$1,[2]quests!$1:$1,0)-MATCH($B$1,[2]quests!$1:$1,0)+1),MATCH(D$1,[2]quests!$1:$1,0)-MATCH($B$1,[2]quests!$1:$1,0)+1,FALSE)</f>
        <v>コラボクエスト</v>
      </c>
      <c r="E4" s="79">
        <v>5</v>
      </c>
      <c r="F4" s="78" t="str">
        <f ca="1">VLOOKUP($B4&amp;"_"&amp;$E4,OFFSET([2]stages!$A$1,0,0,COUNTA([2]stages!$A:$A),MATCH(F$1,[2]stages!$2:$2,0)-MATCH("temp_stage",[2]stages!$2:$2,0)+1),MATCH(F$1,[2]stages!$2:$2,0)-MATCH("temp_stage",[2]stages!$2:$2,0)+1,FALSE)</f>
        <v>【激ムズ】侵略！？にゃんこ軍団現る！</v>
      </c>
      <c r="G4" s="78" t="str">
        <f ca="1">VLOOKUP($B4&amp;"_"&amp;$E4,OFFSET([2]stages!$A$1,0,0,COUNTA([2]stages!$A:$A),MATCH(G$1,[2]stages!$2:$2,0)-MATCH("temp_stage",[2]stages!$2:$2,0)+1),MATCH(G$1,[2]stages!$2:$2,0)-MATCH("temp_stage",[2]stages!$2:$2,0)+1,FALSE)</f>
        <v>コラボクエスト</v>
      </c>
      <c r="H4" s="80" t="s">
        <v>222</v>
      </c>
      <c r="I4" s="79" t="s">
        <v>227</v>
      </c>
      <c r="J4" s="79">
        <v>3</v>
      </c>
      <c r="K4" s="79">
        <v>100</v>
      </c>
      <c r="L4" s="79" t="s">
        <v>224</v>
      </c>
      <c r="M4" s="79">
        <v>1510</v>
      </c>
      <c r="N4" s="92" t="str">
        <f ca="1">IF(L4="unit",VLOOKUP($M4,OFFSET([4]characters!$A$1,0,0,COUNTA([4]characters!$A:$A),MATCH(N$1,[4]characters!$1:$1,0)-MATCH("character_id",[4]characters!$1:$1,0)+1),MATCH(N$1,[4]characters!$1:$1,0)-MATCH("character_id",[4]characters!$1:$1,0)+1,FALSE),"")</f>
        <v>ネコヴァルキリー</v>
      </c>
      <c r="O4" s="79">
        <v>1</v>
      </c>
      <c r="P4" s="79">
        <v>1</v>
      </c>
      <c r="Q4" s="79">
        <v>1</v>
      </c>
      <c r="R4" s="79">
        <v>0</v>
      </c>
      <c r="S4" s="79">
        <v>0</v>
      </c>
      <c r="T4" s="79">
        <v>0</v>
      </c>
      <c r="U4" s="79">
        <v>0</v>
      </c>
      <c r="V4" s="79">
        <v>1</v>
      </c>
      <c r="W4" s="93" t="s">
        <v>225</v>
      </c>
      <c r="X4" s="94" t="s">
        <v>226</v>
      </c>
    </row>
    <row r="5" spans="1:24" x14ac:dyDescent="0.15">
      <c r="A5" s="91" t="str">
        <f>B5&amp;"_"&amp;E5&amp;"_"&amp;H5&amp;"_"&amp;I5&amp;"_"&amp;J5</f>
        <v>39012_5_everyone_full_member_4</v>
      </c>
      <c r="B5" s="77">
        <v>39012</v>
      </c>
      <c r="C5" s="78" t="str">
        <f ca="1">VLOOKUP($B5,OFFSET([2]quests!$A$1,0,0,COUNTA([2]quests!$A:$A),MATCH(C$1,[2]quests!$1:$1,0)-MATCH($B$1,[2]quests!$1:$1,0)+1),MATCH(C$1,[2]quests!$1:$1,0)-MATCH($B$1,[2]quests!$1:$1,0)+1,FALSE)</f>
        <v>侵略！？にゃんこ軍団現る！</v>
      </c>
      <c r="D5" s="78" t="str">
        <f ca="1">VLOOKUP($B5,OFFSET([2]quests!$A$1,0,0,COUNTA([2]quests!$A:$A),MATCH(D$1,[2]quests!$1:$1,0)-MATCH($B$1,[2]quests!$1:$1,0)+1),MATCH(D$1,[2]quests!$1:$1,0)-MATCH($B$1,[2]quests!$1:$1,0)+1,FALSE)</f>
        <v>コラボクエスト</v>
      </c>
      <c r="E5" s="79">
        <v>5</v>
      </c>
      <c r="F5" s="78" t="str">
        <f ca="1">VLOOKUP($B5&amp;"_"&amp;$E5,OFFSET([2]stages!$A$1,0,0,COUNTA([2]stages!$A:$A),MATCH(F$1,[2]stages!$2:$2,0)-MATCH("temp_stage",[2]stages!$2:$2,0)+1),MATCH(F$1,[2]stages!$2:$2,0)-MATCH("temp_stage",[2]stages!$2:$2,0)+1,FALSE)</f>
        <v>【激ムズ】侵略！？にゃんこ軍団現る！</v>
      </c>
      <c r="G5" s="78" t="str">
        <f ca="1">VLOOKUP($B5&amp;"_"&amp;$E5,OFFSET([2]stages!$A$1,0,0,COUNTA([2]stages!$A:$A),MATCH(G$1,[2]stages!$2:$2,0)-MATCH("temp_stage",[2]stages!$2:$2,0)+1),MATCH(G$1,[2]stages!$2:$2,0)-MATCH("temp_stage",[2]stages!$2:$2,0)+1,FALSE)</f>
        <v>コラボクエスト</v>
      </c>
      <c r="H5" s="80" t="s">
        <v>222</v>
      </c>
      <c r="I5" s="79" t="s">
        <v>481</v>
      </c>
      <c r="J5" s="79">
        <v>4</v>
      </c>
      <c r="K5" s="79">
        <v>70</v>
      </c>
      <c r="L5" s="79" t="s">
        <v>480</v>
      </c>
      <c r="M5" s="79">
        <v>704</v>
      </c>
      <c r="N5" s="92" t="str">
        <f ca="1">IF(L5="unit",VLOOKUP($M5,OFFSET([4]characters!$A$1,0,0,COUNTA([4]characters!$A:$A),MATCH(N$1,[4]characters!$1:$1,0)-MATCH("character_id",[4]characters!$1:$1,0)+1),MATCH(N$1,[4]characters!$1:$1,0)-MATCH("character_id",[4]characters!$1:$1,0)+1,FALSE),"")</f>
        <v/>
      </c>
      <c r="O5" s="79">
        <v>1</v>
      </c>
      <c r="P5" s="79">
        <v>1</v>
      </c>
      <c r="Q5" s="79">
        <v>1</v>
      </c>
      <c r="R5" s="79">
        <v>0</v>
      </c>
      <c r="S5" s="79">
        <v>0</v>
      </c>
      <c r="T5" s="79">
        <v>0</v>
      </c>
      <c r="U5" s="79">
        <v>0</v>
      </c>
      <c r="V5" s="79">
        <v>1</v>
      </c>
      <c r="W5" s="93" t="s">
        <v>225</v>
      </c>
      <c r="X5" s="94" t="s">
        <v>226</v>
      </c>
    </row>
    <row r="6" spans="1:24" x14ac:dyDescent="0.15">
      <c r="A6" s="91" t="str">
        <f>B6&amp;"_"&amp;E6&amp;"_"&amp;H6&amp;"_"&amp;I6&amp;"_"&amp;J6</f>
        <v>39012_5_everyone_full_member_5</v>
      </c>
      <c r="B6" s="77">
        <v>39012</v>
      </c>
      <c r="C6" s="78" t="str">
        <f ca="1">VLOOKUP($B6,OFFSET([2]quests!$A$1,0,0,COUNTA([2]quests!$A:$A),MATCH(C$1,[2]quests!$1:$1,0)-MATCH($B$1,[2]quests!$1:$1,0)+1),MATCH(C$1,[2]quests!$1:$1,0)-MATCH($B$1,[2]quests!$1:$1,0)+1,FALSE)</f>
        <v>侵略！？にゃんこ軍団現る！</v>
      </c>
      <c r="D6" s="78" t="str">
        <f ca="1">VLOOKUP($B6,OFFSET([2]quests!$A$1,0,0,COUNTA([2]quests!$A:$A),MATCH(D$1,[2]quests!$1:$1,0)-MATCH($B$1,[2]quests!$1:$1,0)+1),MATCH(D$1,[2]quests!$1:$1,0)-MATCH($B$1,[2]quests!$1:$1,0)+1,FALSE)</f>
        <v>コラボクエスト</v>
      </c>
      <c r="E6" s="79">
        <v>5</v>
      </c>
      <c r="F6" s="78" t="str">
        <f ca="1">VLOOKUP($B6&amp;"_"&amp;$E6,OFFSET([2]stages!$A$1,0,0,COUNTA([2]stages!$A:$A),MATCH(F$1,[2]stages!$2:$2,0)-MATCH("temp_stage",[2]stages!$2:$2,0)+1),MATCH(F$1,[2]stages!$2:$2,0)-MATCH("temp_stage",[2]stages!$2:$2,0)+1,FALSE)</f>
        <v>【激ムズ】侵略！？にゃんこ軍団現る！</v>
      </c>
      <c r="G6" s="78" t="str">
        <f ca="1">VLOOKUP($B6&amp;"_"&amp;$E6,OFFSET([2]stages!$A$1,0,0,COUNTA([2]stages!$A:$A),MATCH(G$1,[2]stages!$2:$2,0)-MATCH("temp_stage",[2]stages!$2:$2,0)+1),MATCH(G$1,[2]stages!$2:$2,0)-MATCH("temp_stage",[2]stages!$2:$2,0)+1,FALSE)</f>
        <v>コラボクエスト</v>
      </c>
      <c r="H6" s="80" t="s">
        <v>222</v>
      </c>
      <c r="I6" s="79" t="s">
        <v>481</v>
      </c>
      <c r="J6" s="79">
        <v>5</v>
      </c>
      <c r="K6" s="79">
        <v>30</v>
      </c>
      <c r="L6" s="79" t="s">
        <v>224</v>
      </c>
      <c r="M6" s="79">
        <v>1510</v>
      </c>
      <c r="N6" s="92" t="str">
        <f ca="1">IF(L6="unit",VLOOKUP($M6,OFFSET([4]characters!$A$1,0,0,COUNTA([4]characters!$A:$A),MATCH(N$1,[4]characters!$1:$1,0)-MATCH("character_id",[4]characters!$1:$1,0)+1),MATCH(N$1,[4]characters!$1:$1,0)-MATCH("character_id",[4]characters!$1:$1,0)+1,FALSE),"")</f>
        <v>ネコヴァルキリー</v>
      </c>
      <c r="O6" s="79">
        <v>1</v>
      </c>
      <c r="P6" s="79">
        <v>1</v>
      </c>
      <c r="Q6" s="79">
        <v>1</v>
      </c>
      <c r="R6" s="79">
        <v>0</v>
      </c>
      <c r="S6" s="79">
        <v>0</v>
      </c>
      <c r="T6" s="79">
        <v>0</v>
      </c>
      <c r="U6" s="79">
        <v>0</v>
      </c>
      <c r="V6" s="79">
        <v>1</v>
      </c>
      <c r="W6" s="93" t="s">
        <v>225</v>
      </c>
      <c r="X6" s="94" t="s">
        <v>226</v>
      </c>
    </row>
  </sheetData>
  <phoneticPr fontId="5"/>
  <pageMargins left="0.7" right="0.7" top="0.75" bottom="0.75" header="0.3" footer="0.3"/>
  <pageSetup paperSize="9" orientation="portrait" horizontalDpi="4294967292" verticalDpi="429496729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11</vt:i4>
      </vt:variant>
    </vt:vector>
  </HeadingPairs>
  <TitlesOfParts>
    <vt:vector size="11" baseType="lpstr">
      <vt:lpstr>output</vt:lpstr>
      <vt:lpstr>floors</vt:lpstr>
      <vt:lpstr>enemy_habitats</vt:lpstr>
      <vt:lpstr>enemy_habitat_S</vt:lpstr>
      <vt:lpstr>enemy_skill_sets</vt:lpstr>
      <vt:lpstr>enemy_skills</vt:lpstr>
      <vt:lpstr>enemy_skill_triggers</vt:lpstr>
      <vt:lpstr>bugbonuses</vt:lpstr>
      <vt:lpstr>stage_hints_complete</vt:lpstr>
      <vt:lpstr>stage_hints_failure</vt:lpstr>
      <vt:lpstr>stage_bonuses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椿秀典</dc:creator>
  <cp:lastModifiedBy>Microsoft Office ユーザー</cp:lastModifiedBy>
  <dcterms:created xsi:type="dcterms:W3CDTF">2015-01-30T13:36:44Z</dcterms:created>
  <dcterms:modified xsi:type="dcterms:W3CDTF">2017-03-17T08:37:04Z</dcterms:modified>
</cp:coreProperties>
</file>