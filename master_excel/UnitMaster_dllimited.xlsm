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5840" windowHeight="16260" tabRatio="963" activeTab="12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59" r:id="rId7"/>
    <sheet name="awake__old" sheetId="3" r:id="rId8"/>
    <sheet name="abilities" sheetId="56" r:id="rId9"/>
    <sheet name="unit_abilities" sheetId="57" r:id="rId10"/>
    <sheet name="→base値" sheetId="51" r:id="rId11"/>
    <sheet name="ghosts_label" sheetId="60" r:id="rId12"/>
    <sheet name="コスト" sheetId="13" r:id="rId13"/>
    <sheet name="レベル" sheetId="12" r:id="rId14"/>
    <sheet name="経験値" sheetId="10" r:id="rId15"/>
    <sheet name="RC6SV" sheetId="11" r:id="rId16"/>
    <sheet name="ビット" sheetId="15" r:id="rId17"/>
    <sheet name="チェックシート" sheetId="55" r:id="rId18"/>
  </sheets>
  <externalReferences>
    <externalReference r:id="rId19"/>
    <externalReference r:id="rId20"/>
    <externalReference r:id="rId21"/>
    <externalReference r:id="rId22"/>
  </externalReferences>
  <definedNames>
    <definedName name="_xlnm._FilterDatabase" localSheetId="7" hidden="1">awake__old!$B$1:$H$1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awake__old!$B$1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" i="23" l="1"/>
  <c r="G4" i="23"/>
  <c r="BC4" i="23"/>
  <c r="BE5" i="23"/>
  <c r="BE4" i="23"/>
  <c r="H3" i="23"/>
  <c r="BR3" i="23"/>
  <c r="H5" i="23"/>
  <c r="H2" i="23"/>
  <c r="BR2" i="23"/>
  <c r="AG4" i="23"/>
  <c r="E4" i="52"/>
  <c r="I2" i="23"/>
  <c r="J2" i="23"/>
  <c r="BF3" i="23"/>
  <c r="I4" i="23"/>
  <c r="J4" i="23"/>
  <c r="BF4" i="23"/>
  <c r="I5" i="23"/>
  <c r="J5" i="23"/>
  <c r="BF5" i="23"/>
  <c r="E3" i="54"/>
  <c r="E4" i="54"/>
  <c r="E5" i="54"/>
  <c r="E6" i="54"/>
  <c r="E7" i="54"/>
  <c r="E8" i="54"/>
  <c r="E9" i="54"/>
  <c r="E10" i="54"/>
  <c r="E2" i="54"/>
  <c r="E2" i="57"/>
  <c r="B10" i="54"/>
  <c r="B9" i="54"/>
  <c r="B8" i="54"/>
  <c r="B7" i="54"/>
  <c r="B6" i="54"/>
  <c r="B3" i="54"/>
  <c r="B4" i="54"/>
  <c r="B5" i="54"/>
  <c r="B2" i="54"/>
  <c r="E5" i="49"/>
  <c r="E4" i="49"/>
  <c r="E3" i="49"/>
  <c r="J6" i="59"/>
  <c r="H6" i="59"/>
  <c r="C6" i="59"/>
  <c r="F6" i="59"/>
  <c r="E6" i="59"/>
  <c r="D6" i="59"/>
  <c r="A6" i="59"/>
  <c r="J5" i="59"/>
  <c r="H5" i="59"/>
  <c r="C5" i="59"/>
  <c r="F5" i="59"/>
  <c r="E5" i="59"/>
  <c r="D5" i="59"/>
  <c r="A5" i="59"/>
  <c r="J4" i="59"/>
  <c r="H4" i="59"/>
  <c r="C4" i="59"/>
  <c r="F4" i="59"/>
  <c r="E4" i="59"/>
  <c r="D4" i="59"/>
  <c r="A4" i="59"/>
  <c r="J3" i="59"/>
  <c r="H3" i="59"/>
  <c r="C3" i="59"/>
  <c r="F3" i="59"/>
  <c r="E3" i="59"/>
  <c r="D3" i="59"/>
  <c r="A3" i="59"/>
  <c r="J2" i="59"/>
  <c r="H2" i="59"/>
  <c r="C2" i="59"/>
  <c r="F2" i="59"/>
  <c r="E2" i="59"/>
  <c r="D2" i="59"/>
  <c r="A2" i="59"/>
  <c r="G2" i="58"/>
  <c r="U2" i="58"/>
  <c r="S2" i="58"/>
  <c r="T2" i="58"/>
  <c r="R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E5" i="53"/>
  <c r="E4" i="53"/>
  <c r="H5" i="52"/>
  <c r="E5" i="52"/>
  <c r="H4" i="52"/>
  <c r="F3" i="57"/>
  <c r="E3" i="57"/>
  <c r="B3" i="57"/>
  <c r="F2" i="57"/>
  <c r="B2" i="57"/>
  <c r="E15" i="49"/>
  <c r="E14" i="49"/>
  <c r="E13" i="49"/>
  <c r="G5" i="23"/>
  <c r="BC5" i="23"/>
  <c r="BD5" i="23"/>
  <c r="Q5" i="23"/>
  <c r="V5" i="23"/>
  <c r="W5" i="23"/>
  <c r="AD5" i="23"/>
  <c r="M5" i="23"/>
  <c r="BN5" i="23"/>
  <c r="U5" i="23"/>
  <c r="AC5" i="23"/>
  <c r="L5" i="23"/>
  <c r="BM5" i="23"/>
  <c r="T5" i="23"/>
  <c r="AB5" i="23"/>
  <c r="K5" i="23"/>
  <c r="BL5" i="23"/>
  <c r="S5" i="23"/>
  <c r="AA5" i="23"/>
  <c r="BK5" i="23"/>
  <c r="BI5" i="23"/>
  <c r="AX5" i="23"/>
  <c r="AT5" i="23"/>
  <c r="AW5" i="23"/>
  <c r="AV5" i="23"/>
  <c r="AU5" i="23"/>
  <c r="AP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J4" i="23"/>
  <c r="BI4" i="23"/>
  <c r="BH4" i="23"/>
  <c r="BG4" i="23"/>
  <c r="AX4" i="23"/>
  <c r="AT4" i="23"/>
  <c r="AW4" i="23"/>
  <c r="AV4" i="23"/>
  <c r="AU4" i="23"/>
  <c r="AP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G6" i="3"/>
  <c r="E6" i="3"/>
  <c r="D6" i="3"/>
  <c r="B2" i="23"/>
  <c r="C6" i="3"/>
  <c r="A6" i="3"/>
  <c r="G5" i="3"/>
  <c r="E5" i="3"/>
  <c r="D5" i="3"/>
  <c r="C5" i="3"/>
  <c r="A5" i="3"/>
  <c r="G4" i="3"/>
  <c r="E4" i="3"/>
  <c r="D4" i="3"/>
  <c r="C4" i="3"/>
  <c r="A4" i="3"/>
  <c r="G3" i="3"/>
  <c r="E3" i="3"/>
  <c r="D3" i="3"/>
  <c r="C3" i="3"/>
  <c r="A3" i="3"/>
  <c r="C2" i="3"/>
  <c r="G2" i="3"/>
  <c r="E2" i="3"/>
  <c r="D2" i="3"/>
  <c r="A2" i="3"/>
  <c r="E2" i="52"/>
  <c r="G2" i="23"/>
  <c r="BC2" i="23"/>
  <c r="BE3" i="23"/>
  <c r="Q3" i="23"/>
  <c r="T3" i="23"/>
  <c r="W3" i="23"/>
  <c r="AB3" i="23"/>
  <c r="I3" i="23"/>
  <c r="K3" i="23"/>
  <c r="G3" i="23"/>
  <c r="BC3" i="23"/>
  <c r="BD3" i="23"/>
  <c r="BL3" i="23"/>
  <c r="BH3" i="23"/>
  <c r="BD2" i="23"/>
  <c r="Q2" i="23"/>
  <c r="T2" i="23"/>
  <c r="W2" i="23"/>
  <c r="AB2" i="23"/>
  <c r="K2" i="23"/>
  <c r="BL2" i="23"/>
  <c r="E3" i="52"/>
  <c r="E3" i="53"/>
  <c r="E2" i="53"/>
  <c r="H3" i="52"/>
  <c r="H2" i="52"/>
  <c r="V3" i="23"/>
  <c r="AD3" i="23"/>
  <c r="M3" i="23"/>
  <c r="BN3" i="23"/>
  <c r="U3" i="23"/>
  <c r="AC3" i="23"/>
  <c r="L3" i="23"/>
  <c r="BM3" i="23"/>
  <c r="S3" i="23"/>
  <c r="AA3" i="23"/>
  <c r="J3" i="23"/>
  <c r="BK3" i="23"/>
  <c r="BJ3" i="23"/>
  <c r="BI3" i="23"/>
  <c r="BG3" i="23"/>
  <c r="AX3" i="23"/>
  <c r="AT3" i="23"/>
  <c r="AW3" i="23"/>
  <c r="AV3" i="23"/>
  <c r="AU3" i="23"/>
  <c r="AP3" i="23"/>
  <c r="AS3" i="23"/>
  <c r="AR3" i="23"/>
  <c r="AQ3" i="23"/>
  <c r="AN3" i="23"/>
  <c r="AM3" i="23"/>
  <c r="AL3" i="23"/>
  <c r="AK3" i="23"/>
  <c r="AI3" i="23"/>
  <c r="AG2" i="23"/>
  <c r="AG3" i="23"/>
  <c r="AH3" i="23"/>
  <c r="AF3" i="23"/>
  <c r="Y3" i="23"/>
  <c r="Z3" i="23"/>
  <c r="X3" i="23"/>
  <c r="R3" i="23"/>
  <c r="P3" i="23"/>
  <c r="O3" i="23"/>
  <c r="N3" i="23"/>
  <c r="F3" i="23"/>
  <c r="E3" i="23"/>
  <c r="D3" i="23"/>
  <c r="C3" i="23"/>
  <c r="B3" i="23"/>
  <c r="V2" i="23"/>
  <c r="AD2" i="23"/>
  <c r="M2" i="23"/>
  <c r="BN2" i="23"/>
  <c r="U2" i="23"/>
  <c r="AC2" i="23"/>
  <c r="L2" i="23"/>
  <c r="BM2" i="23"/>
  <c r="S2" i="23"/>
  <c r="AA2" i="23"/>
  <c r="BK2" i="23"/>
  <c r="BE2" i="23"/>
  <c r="BJ2" i="23"/>
  <c r="BI2" i="23"/>
  <c r="BH2" i="23"/>
  <c r="BG2" i="23"/>
  <c r="BF2" i="23"/>
  <c r="AX2" i="23"/>
  <c r="AT2" i="23"/>
  <c r="AW2" i="23"/>
  <c r="AV2" i="23"/>
  <c r="AU2" i="23"/>
  <c r="AP2" i="23"/>
  <c r="AS2" i="23"/>
  <c r="AR2" i="23"/>
  <c r="AQ2" i="23"/>
  <c r="AN2" i="23"/>
  <c r="AM2" i="23"/>
  <c r="AL2" i="23"/>
  <c r="AK2" i="23"/>
  <c r="AI2" i="23"/>
  <c r="AH2" i="23"/>
  <c r="AF2" i="23"/>
  <c r="Y2" i="23"/>
  <c r="Z2" i="23"/>
  <c r="X2" i="23"/>
  <c r="R2" i="23"/>
  <c r="P2" i="23"/>
  <c r="O2" i="23"/>
  <c r="N2" i="23"/>
  <c r="F2" i="23"/>
  <c r="E2" i="23"/>
  <c r="D2" i="23"/>
  <c r="C2" i="23"/>
  <c r="G10" i="13"/>
  <c r="G9" i="13"/>
  <c r="G8" i="13"/>
  <c r="G4" i="13"/>
  <c r="G3" i="13"/>
  <c r="G2" i="1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10" i="49"/>
  <c r="E9" i="49"/>
  <c r="E8" i="49"/>
  <c r="E7" i="49"/>
  <c r="E11" i="49"/>
  <c r="E12" i="49"/>
  <c r="E6" i="49"/>
  <c r="E2" i="49"/>
</calcChain>
</file>

<file path=xl/sharedStrings.xml><?xml version="1.0" encoding="utf-8"?>
<sst xmlns="http://schemas.openxmlformats.org/spreadsheetml/2006/main" count="883" uniqueCount="391">
  <si>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</si>
  <si>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</si>
  <si>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</si>
  <si>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</si>
  <si>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</si>
  <si>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</si>
  <si>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</si>
  <si>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</si>
  <si>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</si>
  <si>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</si>
  <si>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</si>
  <si>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</si>
  <si>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</si>
  <si>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</si>
  <si>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</si>
  <si>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</si>
  <si>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</si>
  <si>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</si>
  <si>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</si>
  <si>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</si>
  <si>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</si>
  <si>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</si>
  <si>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</si>
  <si>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</si>
  <si>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</si>
  <si>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</si>
  <si>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</si>
  <si>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</si>
  <si>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</si>
  <si>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</si>
  <si>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</si>
  <si>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</si>
  <si>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</si>
  <si>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</si>
  <si>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</si>
  <si>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</si>
  <si>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</si>
  <si>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</si>
  <si>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</si>
  <si>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</si>
  <si>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</si>
  <si>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</si>
  <si>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</si>
  <si>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</si>
  <si>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</si>
  <si>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</si>
  <si>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</si>
  <si>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</si>
  <si>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</si>
  <si>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</si>
  <si>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</si>
  <si>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</si>
  <si>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</si>
  <si>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</si>
  <si>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</si>
  <si>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</si>
  <si>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</si>
  <si>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</si>
  <si>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</si>
  <si>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</si>
  <si>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</si>
  <si>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</si>
  <si>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</si>
  <si>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</si>
  <si>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</si>
  <si>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</si>
  <si>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</si>
  <si>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</si>
  <si>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</si>
  <si>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</si>
  <si>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</si>
  <si>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</si>
  <si>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</si>
  <si>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</si>
  <si>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</si>
  <si>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</si>
  <si>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</si>
  <si>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</si>
  <si>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</si>
  <si>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</si>
  <si>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</si>
  <si>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</si>
  <si>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</si>
  <si>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</si>
  <si>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</si>
  <si>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</si>
  <si>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</si>
  <si>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</si>
  <si>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</si>
  <si>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</si>
  <si>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</si>
  <si>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</si>
  <si>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</si>
  <si>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</si>
  <si>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</si>
  <si>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</si>
  <si>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</si>
  <si>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</si>
  <si>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</si>
  <si>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</si>
  <si>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</si>
  <si>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</si>
  <si>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</si>
  <si>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</si>
  <si>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</si>
  <si>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</si>
  <si>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</si>
  <si>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</si>
  <si>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</si>
  <si>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</si>
  <si>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</si>
  <si>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</si>
  <si>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</si>
  <si>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</si>
  <si>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</si>
  <si>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</si>
  <si>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</si>
  <si>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</si>
  <si>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</si>
  <si>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</si>
  <si>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</si>
  <si>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</si>
  <si>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</si>
  <si>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</si>
  <si>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</si>
  <si>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</si>
  <si>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9"/>
  </si>
  <si>
    <t>.tmp</t>
    <phoneticPr fontId="22"/>
  </si>
  <si>
    <t>units_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</si>
  <si>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</si>
  <si>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</si>
  <si>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</si>
  <si>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</si>
  <si>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</si>
  <si>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</si>
  <si>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</si>
  <si>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</si>
  <si>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</si>
  <si>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</si>
  <si>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</si>
  <si>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</si>
  <si>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</si>
  <si>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</si>
  <si>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</si>
  <si>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</si>
  <si>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</si>
  <si>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</si>
  <si>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</si>
  <si>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</si>
  <si>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</si>
  <si>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</si>
  <si>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</si>
  <si>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</si>
  <si>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</si>
  <si>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</si>
  <si>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</si>
  <si>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</si>
  <si>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</si>
  <si>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</si>
  <si>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</si>
  <si>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</si>
  <si>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</si>
  <si>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</si>
  <si>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</si>
  <si>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</si>
  <si>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</si>
  <si>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</si>
  <si>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</si>
  <si>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</si>
  <si>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</si>
  <si>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</si>
  <si>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</si>
  <si>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</si>
  <si>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</si>
  <si>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</si>
  <si>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</si>
  <si>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</si>
  <si>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</si>
  <si>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</si>
  <si>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</si>
  <si>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</si>
  <si>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</si>
  <si>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</si>
  <si>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</si>
  <si>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</si>
  <si>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</si>
  <si>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</si>
  <si>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</si>
  <si>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</si>
  <si>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</si>
  <si>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</si>
  <si>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</si>
  <si>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</si>
  <si>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</si>
  <si>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</si>
  <si>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</si>
  <si>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</si>
  <si>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</si>
  <si>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</si>
  <si>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</si>
  <si>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</si>
  <si>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</si>
  <si>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</si>
  <si>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</si>
  <si>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</si>
  <si>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</si>
  <si>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</si>
  <si>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</si>
  <si>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</si>
  <si>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</si>
  <si>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</si>
  <si>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</si>
  <si>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</si>
  <si>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</si>
  <si>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</si>
  <si>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</si>
  <si>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</si>
  <si>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</si>
  <si>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</si>
  <si>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</si>
  <si>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</si>
  <si>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</si>
  <si>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</si>
  <si>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</si>
  <si>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</si>
  <si>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</si>
  <si>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</si>
  <si>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</si>
  <si>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</si>
  <si>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</si>
  <si>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</si>
  <si>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</si>
  <si>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</si>
  <si>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</si>
  <si>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</si>
  <si>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</si>
  <si>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</si>
  <si>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</si>
  <si>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</si>
  <si>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</si>
  <si>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</si>
  <si>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</si>
  <si>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</si>
  <si>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</si>
  <si>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</si>
  <si>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ラスト・セオレム・スライド</t>
    <phoneticPr fontId="22"/>
  </si>
  <si>
    <t>ja</t>
    <phoneticPr fontId="22"/>
  </si>
  <si>
    <t>ラスト・セオレム・スライド</t>
    <phoneticPr fontId="22"/>
  </si>
  <si>
    <t>プロバビリティ・スピン180°</t>
    <phoneticPr fontId="22"/>
  </si>
  <si>
    <t>ja</t>
    <phoneticPr fontId="22"/>
  </si>
  <si>
    <t>プロバビリティ・スピン360°</t>
    <phoneticPr fontId="22"/>
  </si>
  <si>
    <t>dlunit</t>
    <phoneticPr fontId="22"/>
  </si>
  <si>
    <t>old</t>
    <phoneticPr fontId="22"/>
  </si>
  <si>
    <t>1体に特大ダメージ</t>
    <phoneticPr fontId="22"/>
  </si>
  <si>
    <t>[effect:damage, target:enemy_one, color:yellow, val:2.0, animation:damage_one_yellow04]</t>
    <phoneticPr fontId="22"/>
  </si>
  <si>
    <t>1体に大ダメージ</t>
    <phoneticPr fontId="22"/>
  </si>
  <si>
    <t>[effect:damage, target:enemy_one, color:yellow, val:2.25, animation:damage_one_yellow04]</t>
    <phoneticPr fontId="22"/>
  </si>
  <si>
    <t>[effect:change_panel_ratio, turn:1, block_type:yellow, val:0.96],[effect:force_change_block, new_block:crash, target:block_all, count:1, val:36, animation:change_block],[effect:enhance_unit, target:unit_all, turn:1, status:action, val:1, calc:add, animation:enhance_unit_one_action01]</t>
    <phoneticPr fontId="22"/>
  </si>
  <si>
    <t>ランダムで1つSCパネル(特大)に変換+1ターン黄パネル出現率特大UPし、全ユニットのタップ回数を1増やす</t>
    <phoneticPr fontId="9"/>
  </si>
  <si>
    <t>NULL</t>
    <phoneticPr fontId="9"/>
  </si>
  <si>
    <t>abilities_tmp_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</si>
  <si>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</si>
  <si>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</si>
  <si>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</si>
  <si>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</si>
  <si>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</si>
  <si>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</si>
  <si>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language</t>
    <phoneticPr fontId="22"/>
  </si>
  <si>
    <t>name</t>
    <phoneticPr fontId="22"/>
  </si>
  <si>
    <t>comment</t>
    <phoneticPr fontId="22"/>
  </si>
  <si>
    <t>unit_abilities_</t>
    <phoneticPr fontId="22"/>
  </si>
  <si>
    <t>unit_abilities</t>
    <phoneticPr fontId="22"/>
  </si>
  <si>
    <t>character_id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</si>
  <si>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</si>
  <si>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</si>
  <si>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</si>
  <si>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</si>
  <si>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</si>
  <si>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</si>
  <si>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</si>
  <si>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</si>
  <si>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</si>
  <si>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</si>
  <si>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</si>
  <si>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</si>
  <si>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</si>
  <si>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</si>
  <si>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character_id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</si>
  <si>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</si>
  <si>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</si>
  <si>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</si>
  <si>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</si>
  <si>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</si>
  <si>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</si>
  <si>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</si>
  <si>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</si>
  <si>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1</t>
    <phoneticPr fontId="22"/>
  </si>
  <si>
    <t>bug</t>
    <phoneticPr fontId="22"/>
  </si>
  <si>
    <t>1</t>
    <phoneticPr fontId="22"/>
  </si>
  <si>
    <t>ja</t>
    <phoneticPr fontId="22"/>
  </si>
  <si>
    <t>幸福契約曲線</t>
    <phoneticPr fontId="22"/>
  </si>
  <si>
    <t>ja</t>
    <phoneticPr fontId="22"/>
  </si>
  <si>
    <t>ja</t>
    <phoneticPr fontId="22"/>
  </si>
  <si>
    <t>パレード・オブ・フェリーチェ</t>
    <phoneticPr fontId="22"/>
  </si>
  <si>
    <t>1体に超大ダメージ
+2ターン回復力小UP</t>
    <phoneticPr fontId="22"/>
  </si>
  <si>
    <t>[effect:damage, target:enemy_one, color:green, val:2.5, animation:damage_one_green04],
[effect:enhance_unit, target:unit_all, turn:2, status:heal, val:0.015, calc:mul,animation:enhance_unit_all_heal01_unit01]</t>
    <phoneticPr fontId="22"/>
  </si>
  <si>
    <t>ja</t>
    <phoneticPr fontId="22"/>
  </si>
  <si>
    <t>パレード・オブ・フェリーチェ</t>
    <phoneticPr fontId="22"/>
  </si>
  <si>
    <t>1体に超大ダメージ
+2ターン回復力小UP</t>
    <phoneticPr fontId="22"/>
  </si>
  <si>
    <t>[effect:damage, target:enemy_one, color:green, val:2.5, animation:damage_one_green04],
[effect:enhance_unit, target:unit_all, turn:2, status:heal, val:0.015, calc:mul,animation:enhance_unit_all_heal01_unit01]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</si>
  <si>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</si>
  <si>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</si>
  <si>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</si>
  <si>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</si>
  <si>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</si>
  <si>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</si>
  <si>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</si>
  <si>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</si>
  <si>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</si>
  <si>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</si>
  <si>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</si>
  <si>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name</t>
    <phoneticPr fontId="9"/>
  </si>
  <si>
    <t>base_character_id</t>
    <phoneticPr fontId="9"/>
  </si>
  <si>
    <t>awake_cost</t>
    <phoneticPr fontId="9"/>
  </si>
  <si>
    <t>normal</t>
    <phoneticPr fontId="9"/>
  </si>
  <si>
    <t>temp_awake</t>
    <phoneticPr fontId="9"/>
  </si>
  <si>
    <t>base_character_id</t>
    <phoneticPr fontId="9"/>
  </si>
  <si>
    <t>character_id</t>
    <phoneticPr fontId="9"/>
  </si>
  <si>
    <t>name</t>
    <phoneticPr fontId="9"/>
  </si>
  <si>
    <t>rare</t>
    <phoneticPr fontId="9"/>
  </si>
  <si>
    <t>drop_label</t>
    <phoneticPr fontId="9"/>
  </si>
  <si>
    <t>awake_character_id</t>
    <phoneticPr fontId="9"/>
  </si>
  <si>
    <t>material_bug</t>
    <phoneticPr fontId="9"/>
  </si>
  <si>
    <t>priority</t>
    <phoneticPr fontId="9"/>
  </si>
  <si>
    <t>fork_awake_units_</t>
    <phoneticPr fontId="22"/>
  </si>
  <si>
    <t>.tmp</t>
    <phoneticPr fontId="22"/>
  </si>
  <si>
    <t>fork_awake_units</t>
    <phoneticPr fontId="22"/>
  </si>
  <si>
    <t>character_id</t>
    <phoneticPr fontId="22"/>
  </si>
  <si>
    <t>awake_character_id</t>
    <phoneticPr fontId="22"/>
  </si>
  <si>
    <t>awake_cost</t>
    <phoneticPr fontId="22"/>
  </si>
  <si>
    <t>awake_type</t>
    <phoneticPr fontId="22"/>
  </si>
  <si>
    <t>awake_materials_</t>
    <phoneticPr fontId="22"/>
  </si>
  <si>
    <t>base_character_id</t>
    <phoneticPr fontId="9"/>
  </si>
  <si>
    <t>material_bug</t>
    <phoneticPr fontId="22"/>
  </si>
  <si>
    <t>fork_awake_materials_</t>
    <phoneticPr fontId="22"/>
  </si>
  <si>
    <t>character_id</t>
    <phoneticPr fontId="9"/>
  </si>
  <si>
    <t>material_character_id</t>
    <phoneticPr fontId="22"/>
  </si>
  <si>
    <t>priority</t>
    <phoneticPr fontId="22"/>
  </si>
  <si>
    <t>old</t>
    <phoneticPr fontId="22"/>
  </si>
  <si>
    <t>old</t>
    <phoneticPr fontId="22"/>
  </si>
  <si>
    <t>skill</t>
    <phoneticPr fontId="22"/>
  </si>
  <si>
    <t>ja</t>
    <phoneticPr fontId="22"/>
  </si>
  <si>
    <t>cskill</t>
    <phoneticPr fontId="22"/>
  </si>
  <si>
    <t>cskill</t>
    <phoneticPr fontId="22"/>
  </si>
  <si>
    <t>kumo</t>
    <phoneticPr fontId="22"/>
  </si>
  <si>
    <t>[effect:change_panel_ratio, turn:1, block_type:yellow, val:0.96],[effect:force_change_block, new_block:crash, target:block_all, count:1, val:36, animation:change_block],[effect:enhance_unit, target:unit_all, turn:1, status:action, val:1, calc:add, animation:enhance_unit_one_action01]</t>
    <phoneticPr fontId="22"/>
  </si>
  <si>
    <t>皆に幸せを分けなくちゃ♪</t>
    <phoneticPr fontId="22"/>
  </si>
  <si>
    <t>お披露目の時間よ〜♪</t>
    <phoneticPr fontId="22"/>
  </si>
  <si>
    <t>お祭りの始まりよっ♪</t>
    <phoneticPr fontId="22"/>
  </si>
  <si>
    <t>はい､いちにーさんしっ♪</t>
    <phoneticPr fontId="22"/>
  </si>
  <si>
    <t>ぱぱーんとやっちゃお〜♪</t>
    <phoneticPr fontId="22"/>
  </si>
  <si>
    <t>お披露目の時間よ〜♪</t>
    <phoneticPr fontId="22"/>
  </si>
  <si>
    <t>お祭りの始まりよっ♪</t>
    <phoneticPr fontId="22"/>
  </si>
  <si>
    <t>はい､いちにーさんしっ♪</t>
    <phoneticPr fontId="22"/>
  </si>
  <si>
    <t>集団の力見せてあげる♪</t>
    <phoneticPr fontId="22"/>
  </si>
  <si>
    <t>お邪魔パネルと青パネルを緑ボムパネルに変換+2ターン自身が先頭以外でも通常攻撃に参加する</t>
    <rPh sb="7" eb="8">
      <t>アオパネルｗ</t>
    </rPh>
    <rPh sb="12" eb="13">
      <t>ミドリ</t>
    </rPh>
    <rPh sb="19" eb="21">
      <t>ヘンカン</t>
    </rPh>
    <rPh sb="35" eb="39">
      <t>ツウジョウコウゲキニサンカシ</t>
    </rPh>
    <phoneticPr fontId="22"/>
  </si>
  <si>
    <t>comment</t>
    <phoneticPr fontId="9"/>
  </si>
  <si>
    <t>[effect:attack_command, turn:2, target:myself, val:1.0, animation:unit_all_attack_command05],[effect:force_change_block, new_block:crack_bomb, target:block_blue, ignore01:crack_bomb, color:block_green, count:0, val:12, animation:change_block],[effect:force_change_block, new_block:crack_bomb, target:jammer, ignore01:crack_bomb, color:block_green, count:0, val:12, animation:change_block]</t>
    <phoneticPr fontId="22"/>
  </si>
  <si>
    <t>sell_ghosts</t>
    <phoneticPr fontId="10"/>
  </si>
  <si>
    <t>sell_ghosts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</si>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</sst>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4.4"/>
      <color rgb="FF0000FF"/>
      <name val="Arial"/>
    </font>
  </fonts>
  <fills count="34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55"/>
      </patternFill>
    </fill>
    <fill>
      <patternFill patternType="solid">
        <fgColor rgb="FFFFFF0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9" tint="0.79998168889431442"/>
        <bgColor indexed="59"/>
      </patternFill>
    </fill>
  </fills>
  <borders count="3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606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1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0" fillId="0" borderId="4" xfId="0" applyFill="1" applyBorder="1"/>
    <xf numFmtId="0" fontId="0" fillId="8" borderId="4" xfId="0" applyFill="1" applyBorder="1"/>
    <xf numFmtId="0" fontId="12" fillId="21" borderId="4" xfId="0" applyFont="1" applyFill="1" applyBorder="1" applyAlignment="1">
      <alignment horizontal="center"/>
    </xf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3" borderId="4" xfId="0" applyFill="1" applyBorder="1"/>
    <xf numFmtId="0" fontId="0" fillId="23" borderId="0" xfId="0" applyFill="1"/>
    <xf numFmtId="0" fontId="28" fillId="0" borderId="0" xfId="0" applyFont="1"/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5" borderId="4" xfId="0" applyFont="1" applyFill="1" applyBorder="1" applyAlignment="1">
      <alignment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26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27" xfId="0" applyFont="1" applyFill="1" applyBorder="1" applyAlignment="1">
      <alignment horizontal="center" vertical="center"/>
    </xf>
    <xf numFmtId="0" fontId="16" fillId="24" borderId="21" xfId="0" applyFont="1" applyFill="1" applyBorder="1" applyAlignment="1">
      <alignment horizontal="center" vertical="center"/>
    </xf>
    <xf numFmtId="0" fontId="17" fillId="25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6" borderId="0" xfId="0" applyFont="1" applyFill="1" applyAlignment="1">
      <alignment horizontal="left" vertical="center"/>
    </xf>
    <xf numFmtId="0" fontId="16" fillId="14" borderId="8" xfId="0" applyFont="1" applyFill="1" applyBorder="1" applyAlignment="1">
      <alignment horizontal="right" vertical="center"/>
    </xf>
    <xf numFmtId="0" fontId="16" fillId="14" borderId="0" xfId="0" applyFont="1" applyFill="1" applyAlignment="1">
      <alignment horizontal="left" vertical="center"/>
    </xf>
    <xf numFmtId="0" fontId="16" fillId="0" borderId="4" xfId="0" applyFont="1" applyFill="1" applyBorder="1" applyAlignment="1">
      <alignment horizontal="left" vertical="center"/>
    </xf>
    <xf numFmtId="0" fontId="26" fillId="0" borderId="4" xfId="0" applyFont="1" applyFill="1" applyBorder="1" applyAlignment="1">
      <alignment horizontal="right" vertical="center" wrapText="1"/>
    </xf>
    <xf numFmtId="0" fontId="14" fillId="0" borderId="4" xfId="0" applyFont="1" applyBorder="1" applyAlignment="1">
      <alignment horizontal="left" vertical="center" wrapText="1"/>
    </xf>
    <xf numFmtId="0" fontId="16" fillId="0" borderId="1" xfId="0" applyFont="1" applyFill="1" applyBorder="1" applyAlignment="1">
      <alignment horizontal="left" vertical="center"/>
    </xf>
    <xf numFmtId="0" fontId="13" fillId="0" borderId="4" xfId="0" applyFont="1" applyBorder="1" applyAlignment="1">
      <alignment vertical="center"/>
    </xf>
    <xf numFmtId="0" fontId="25" fillId="0" borderId="7" xfId="0" applyFont="1" applyFill="1" applyBorder="1" applyAlignment="1">
      <alignment vertical="center" wrapText="1"/>
    </xf>
    <xf numFmtId="0" fontId="13" fillId="0" borderId="4" xfId="0" applyFont="1" applyBorder="1"/>
    <xf numFmtId="0" fontId="16" fillId="27" borderId="4" xfId="0" applyFont="1" applyFill="1" applyBorder="1"/>
    <xf numFmtId="0" fontId="14" fillId="0" borderId="4" xfId="0" applyFont="1" applyBorder="1" applyAlignment="1">
      <alignment horizontal="right" vertical="center" wrapText="1"/>
    </xf>
    <xf numFmtId="0" fontId="16" fillId="0" borderId="4" xfId="0" applyFont="1" applyFill="1" applyBorder="1" applyAlignment="1">
      <alignment horizontal="right" vertical="center" wrapText="1"/>
    </xf>
    <xf numFmtId="0" fontId="0" fillId="0" borderId="4" xfId="0" applyFont="1" applyBorder="1"/>
    <xf numFmtId="0" fontId="14" fillId="28" borderId="28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3" fillId="0" borderId="4" xfId="6" applyBorder="1" applyAlignment="1"/>
    <xf numFmtId="0" fontId="16" fillId="29" borderId="4" xfId="0" applyFont="1" applyFill="1" applyBorder="1" applyAlignment="1">
      <alignment horizontal="center" vertical="center"/>
    </xf>
    <xf numFmtId="0" fontId="0" fillId="29" borderId="4" xfId="0" applyFill="1" applyBorder="1"/>
    <xf numFmtId="0" fontId="13" fillId="29" borderId="15" xfId="0" applyFont="1" applyFill="1" applyBorder="1" applyAlignment="1">
      <alignment horizontal="center" vertical="center"/>
    </xf>
    <xf numFmtId="0" fontId="13" fillId="29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3" borderId="4" xfId="0" applyFont="1" applyFill="1" applyBorder="1" applyAlignment="1">
      <alignment horizontal="center" vertical="center"/>
    </xf>
    <xf numFmtId="0" fontId="16" fillId="25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29" fillId="0" borderId="0" xfId="0" applyFont="1"/>
    <xf numFmtId="0" fontId="16" fillId="23" borderId="15" xfId="0" applyFont="1" applyFill="1" applyBorder="1" applyAlignment="1">
      <alignment horizontal="center" vertical="center"/>
    </xf>
    <xf numFmtId="0" fontId="13" fillId="23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6" fillId="30" borderId="4" xfId="0" applyFont="1" applyFill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26" fillId="0" borderId="8" xfId="0" applyFont="1" applyFill="1" applyBorder="1" applyAlignment="1">
      <alignment vertical="top" wrapText="1"/>
    </xf>
    <xf numFmtId="0" fontId="14" fillId="31" borderId="28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0" fontId="15" fillId="8" borderId="29" xfId="0" applyFont="1" applyFill="1" applyBorder="1" applyAlignment="1">
      <alignment horizontal="left" vertical="center"/>
    </xf>
    <xf numFmtId="0" fontId="15" fillId="7" borderId="0" xfId="0" applyFont="1" applyFill="1" applyBorder="1" applyAlignment="1">
      <alignment horizontal="left" vertical="center"/>
    </xf>
    <xf numFmtId="0" fontId="15" fillId="7" borderId="29" xfId="0" applyFont="1" applyFill="1" applyBorder="1" applyAlignment="1">
      <alignment horizontal="left" vertical="center"/>
    </xf>
    <xf numFmtId="0" fontId="12" fillId="7" borderId="29" xfId="0" applyFont="1" applyFill="1" applyBorder="1" applyAlignment="1">
      <alignment horizontal="left" vertical="center"/>
    </xf>
    <xf numFmtId="0" fontId="15" fillId="11" borderId="29" xfId="0" applyFont="1" applyFill="1" applyBorder="1" applyAlignment="1">
      <alignment horizontal="left" vertical="center"/>
    </xf>
    <xf numFmtId="0" fontId="12" fillId="9" borderId="30" xfId="0" applyFont="1" applyFill="1" applyBorder="1" applyAlignment="1">
      <alignment horizontal="left" vertical="center"/>
    </xf>
    <xf numFmtId="0" fontId="15" fillId="8" borderId="31" xfId="0" applyFont="1" applyFill="1" applyBorder="1" applyAlignment="1">
      <alignment horizontal="left" vertical="center"/>
    </xf>
    <xf numFmtId="0" fontId="15" fillId="8" borderId="12" xfId="0" applyFont="1" applyFill="1" applyBorder="1" applyAlignment="1">
      <alignment horizontal="left" vertical="center"/>
    </xf>
    <xf numFmtId="0" fontId="15" fillId="7" borderId="12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32" borderId="4" xfId="0" applyFont="1" applyFill="1" applyBorder="1" applyAlignment="1">
      <alignment horizontal="center" vertical="center" wrapText="1"/>
    </xf>
    <xf numFmtId="0" fontId="12" fillId="33" borderId="4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right" vertical="center" wrapText="1"/>
    </xf>
    <xf numFmtId="0" fontId="16" fillId="0" borderId="4" xfId="0" applyFont="1" applyFill="1" applyBorder="1"/>
    <xf numFmtId="0" fontId="0" fillId="0" borderId="4" xfId="0" applyFont="1" applyFill="1" applyBorder="1"/>
    <xf numFmtId="0" fontId="13" fillId="8" borderId="4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/>
    </xf>
    <xf numFmtId="0" fontId="0" fillId="0" borderId="6" xfId="0" applyFill="1" applyBorder="1"/>
    <xf numFmtId="0" fontId="13" fillId="0" borderId="4" xfId="0" applyFont="1" applyFill="1" applyBorder="1" applyAlignment="1">
      <alignment horizontal="left"/>
    </xf>
    <xf numFmtId="0" fontId="0" fillId="25" borderId="4" xfId="0" applyFill="1" applyBorder="1"/>
    <xf numFmtId="0" fontId="13" fillId="0" borderId="4" xfId="0" applyFont="1" applyFill="1" applyBorder="1" applyAlignment="1">
      <alignment horizontal="center" vertical="center" wrapText="1"/>
    </xf>
    <xf numFmtId="0" fontId="16" fillId="14" borderId="4" xfId="0" applyFont="1" applyFill="1" applyBorder="1" applyAlignment="1">
      <alignment horizontal="left" vertical="center"/>
    </xf>
    <xf numFmtId="0" fontId="13" fillId="14" borderId="1" xfId="0" applyFont="1" applyFill="1" applyBorder="1" applyAlignment="1">
      <alignment vertical="center"/>
    </xf>
  </cellXfs>
  <cellStyles count="4606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赤字強調" xfId="4"/>
    <cellStyle name="青字強調" xfId="3"/>
  </cellStyles>
  <dxfs count="40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2.xml"/><Relationship Id="rId21" Type="http://schemas.openxmlformats.org/officeDocument/2006/relationships/externalLink" Target="externalLinks/externalLink3.xml"/><Relationship Id="rId22" Type="http://schemas.openxmlformats.org/officeDocument/2006/relationships/externalLink" Target="externalLinks/externalLink4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limitedunit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  <sheetName val="Sheet1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Q1" t="str">
            <v>character_type_id</v>
          </cell>
          <cell r="W1" t="str">
            <v>character_main_tribe_id</v>
          </cell>
          <cell r="Y1" t="str">
            <v>character_sub_tribe_id</v>
          </cell>
          <cell r="AF1" t="str">
            <v>name</v>
          </cell>
          <cell r="AH1" t="str">
            <v>name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</row>
      </sheetData>
      <sheetData sheetId="2">
        <row r="1">
          <cell r="A1" t="str">
            <v>unit_skill_id</v>
          </cell>
          <cell r="B1" t="str">
            <v>language</v>
          </cell>
          <cell r="C1" t="str">
            <v>name</v>
          </cell>
          <cell r="D1" t="str">
            <v>comment</v>
          </cell>
          <cell r="E1" t="str">
            <v>文字数</v>
          </cell>
          <cell r="F1" t="str">
            <v>skill_cost</v>
          </cell>
          <cell r="G1" t="str">
            <v>max_level</v>
          </cell>
          <cell r="H1" t="str">
            <v>skill_up_pattern_id</v>
          </cell>
          <cell r="I1" t="str">
            <v>effect_param</v>
          </cell>
          <cell r="J1" t="str">
            <v>valid_flg</v>
          </cell>
          <cell r="K1" t="str">
            <v>ダメージ</v>
          </cell>
          <cell r="L1" t="str">
            <v>回復</v>
          </cell>
          <cell r="M1" t="str">
            <v>バフ</v>
          </cell>
          <cell r="N1" t="str">
            <v>デバフ</v>
          </cell>
          <cell r="O1" t="str">
            <v>パズル</v>
          </cell>
          <cell r="P1" t="str">
            <v>その他</v>
          </cell>
          <cell r="Q1" t="str">
            <v>分類2</v>
          </cell>
          <cell r="R1" t="str">
            <v>ターン数</v>
          </cell>
          <cell r="T1" t="str">
            <v>等級</v>
          </cell>
        </row>
        <row r="2">
          <cell r="A2">
            <v>410</v>
          </cell>
        </row>
        <row r="3">
          <cell r="A3">
            <v>411</v>
          </cell>
        </row>
        <row r="4">
          <cell r="A4">
            <v>484</v>
          </cell>
        </row>
        <row r="5">
          <cell r="A5">
            <v>485</v>
          </cell>
        </row>
        <row r="6">
          <cell r="A6">
            <v>486</v>
          </cell>
        </row>
        <row r="7">
          <cell r="A7">
            <v>487</v>
          </cell>
        </row>
        <row r="8">
          <cell r="A8">
            <v>488</v>
          </cell>
        </row>
        <row r="9">
          <cell r="A9">
            <v>489</v>
          </cell>
        </row>
        <row r="10">
          <cell r="A10">
            <v>619</v>
          </cell>
        </row>
        <row r="11">
          <cell r="A11">
            <v>620</v>
          </cell>
        </row>
        <row r="12">
          <cell r="A12">
            <v>621</v>
          </cell>
        </row>
        <row r="13">
          <cell r="A13">
            <v>688</v>
          </cell>
        </row>
        <row r="14">
          <cell r="A14">
            <v>689</v>
          </cell>
        </row>
        <row r="15">
          <cell r="A15">
            <v>690</v>
          </cell>
        </row>
        <row r="16">
          <cell r="A16">
            <v>760</v>
          </cell>
        </row>
        <row r="17">
          <cell r="A17">
            <v>761</v>
          </cell>
        </row>
        <row r="18">
          <cell r="A18">
            <v>762</v>
          </cell>
        </row>
        <row r="19">
          <cell r="A19">
            <v>763</v>
          </cell>
        </row>
        <row r="20">
          <cell r="A20">
            <v>786</v>
          </cell>
        </row>
        <row r="21">
          <cell r="A21">
            <v>787</v>
          </cell>
        </row>
        <row r="22">
          <cell r="A22">
            <v>790</v>
          </cell>
        </row>
        <row r="23">
          <cell r="A23">
            <v>791</v>
          </cell>
        </row>
        <row r="24">
          <cell r="A24">
            <v>792</v>
          </cell>
        </row>
        <row r="25">
          <cell r="A25">
            <v>793</v>
          </cell>
        </row>
        <row r="26">
          <cell r="A26">
            <v>796</v>
          </cell>
        </row>
        <row r="27">
          <cell r="A27">
            <v>797</v>
          </cell>
        </row>
        <row r="28">
          <cell r="A28">
            <v>799</v>
          </cell>
        </row>
        <row r="29">
          <cell r="A29">
            <v>800</v>
          </cell>
        </row>
        <row r="30">
          <cell r="A30">
            <v>803</v>
          </cell>
        </row>
        <row r="31">
          <cell r="A31">
            <v>804</v>
          </cell>
        </row>
        <row r="32">
          <cell r="A32">
            <v>872</v>
          </cell>
        </row>
        <row r="33">
          <cell r="A33">
            <v>873</v>
          </cell>
        </row>
        <row r="34">
          <cell r="A34">
            <v>880</v>
          </cell>
        </row>
        <row r="35">
          <cell r="A35">
            <v>881</v>
          </cell>
        </row>
        <row r="36">
          <cell r="A36">
            <v>953</v>
          </cell>
        </row>
        <row r="37">
          <cell r="A37">
            <v>954</v>
          </cell>
        </row>
        <row r="38">
          <cell r="A38">
            <v>974</v>
          </cell>
        </row>
        <row r="39">
          <cell r="A39">
            <v>975</v>
          </cell>
        </row>
        <row r="40">
          <cell r="A40">
            <v>750</v>
          </cell>
        </row>
        <row r="41">
          <cell r="A41">
            <v>751</v>
          </cell>
        </row>
        <row r="42">
          <cell r="A42">
            <v>1109</v>
          </cell>
        </row>
        <row r="43">
          <cell r="A43">
            <v>1110</v>
          </cell>
        </row>
      </sheetData>
      <sheetData sheetId="3">
        <row r="1">
          <cell r="A1" t="str">
            <v>crash_skill_id</v>
          </cell>
          <cell r="B1" t="str">
            <v>language</v>
          </cell>
          <cell r="C1" t="str">
            <v>name</v>
          </cell>
          <cell r="D1" t="str">
            <v>comment</v>
          </cell>
          <cell r="E1" t="str">
            <v>文字数チェック</v>
          </cell>
          <cell r="F1" t="str">
            <v>effect_param</v>
          </cell>
          <cell r="G1" t="str">
            <v>valid_flg</v>
          </cell>
          <cell r="H1" t="str">
            <v>分類</v>
          </cell>
          <cell r="I1" t="str">
            <v>等級</v>
          </cell>
        </row>
        <row r="2">
          <cell r="A2">
            <v>410</v>
          </cell>
        </row>
        <row r="3">
          <cell r="A3">
            <v>411</v>
          </cell>
        </row>
        <row r="4">
          <cell r="A4">
            <v>484</v>
          </cell>
        </row>
        <row r="5">
          <cell r="A5">
            <v>485</v>
          </cell>
        </row>
        <row r="6">
          <cell r="A6">
            <v>486</v>
          </cell>
        </row>
        <row r="7">
          <cell r="A7">
            <v>487</v>
          </cell>
        </row>
        <row r="8">
          <cell r="A8">
            <v>488</v>
          </cell>
        </row>
        <row r="9">
          <cell r="A9">
            <v>489</v>
          </cell>
        </row>
        <row r="10">
          <cell r="A10">
            <v>619</v>
          </cell>
        </row>
        <row r="11">
          <cell r="A11">
            <v>620</v>
          </cell>
        </row>
        <row r="12">
          <cell r="A12">
            <v>621</v>
          </cell>
        </row>
        <row r="13">
          <cell r="A13">
            <v>688</v>
          </cell>
        </row>
        <row r="14">
          <cell r="A14">
            <v>689</v>
          </cell>
        </row>
        <row r="15">
          <cell r="A15">
            <v>690</v>
          </cell>
        </row>
        <row r="16">
          <cell r="A16">
            <v>760</v>
          </cell>
        </row>
        <row r="17">
          <cell r="A17">
            <v>761</v>
          </cell>
        </row>
        <row r="18">
          <cell r="A18">
            <v>762</v>
          </cell>
        </row>
        <row r="19">
          <cell r="A19">
            <v>763</v>
          </cell>
        </row>
        <row r="20">
          <cell r="A20">
            <v>786</v>
          </cell>
        </row>
        <row r="21">
          <cell r="A21">
            <v>787</v>
          </cell>
        </row>
        <row r="22">
          <cell r="A22">
            <v>790</v>
          </cell>
        </row>
        <row r="23">
          <cell r="A23">
            <v>791</v>
          </cell>
        </row>
        <row r="24">
          <cell r="A24">
            <v>792</v>
          </cell>
        </row>
        <row r="25">
          <cell r="A25">
            <v>793</v>
          </cell>
        </row>
        <row r="26">
          <cell r="A26">
            <v>796</v>
          </cell>
        </row>
        <row r="27">
          <cell r="A27">
            <v>797</v>
          </cell>
        </row>
        <row r="28">
          <cell r="A28">
            <v>798</v>
          </cell>
        </row>
        <row r="29">
          <cell r="A29">
            <v>799</v>
          </cell>
        </row>
        <row r="30">
          <cell r="A30">
            <v>800</v>
          </cell>
        </row>
        <row r="31">
          <cell r="A31">
            <v>803</v>
          </cell>
        </row>
        <row r="32">
          <cell r="A32">
            <v>804</v>
          </cell>
        </row>
        <row r="33">
          <cell r="A33">
            <v>870</v>
          </cell>
        </row>
        <row r="34">
          <cell r="A34">
            <v>871</v>
          </cell>
        </row>
        <row r="35">
          <cell r="A35">
            <v>872</v>
          </cell>
        </row>
        <row r="36">
          <cell r="A36">
            <v>873</v>
          </cell>
        </row>
        <row r="37">
          <cell r="A37">
            <v>880</v>
          </cell>
        </row>
        <row r="38">
          <cell r="A38">
            <v>881</v>
          </cell>
        </row>
        <row r="39">
          <cell r="A39">
            <v>953</v>
          </cell>
        </row>
        <row r="40">
          <cell r="A40">
            <v>954</v>
          </cell>
        </row>
        <row r="41">
          <cell r="A41">
            <v>974</v>
          </cell>
        </row>
        <row r="42">
          <cell r="A42">
            <v>975</v>
          </cell>
        </row>
        <row r="43">
          <cell r="A43">
            <v>750</v>
          </cell>
        </row>
        <row r="44">
          <cell r="A44">
            <v>751</v>
          </cell>
        </row>
        <row r="45">
          <cell r="A45">
            <v>1039</v>
          </cell>
        </row>
        <row r="46">
          <cell r="A46">
            <v>1040</v>
          </cell>
        </row>
        <row r="47">
          <cell r="A47">
            <v>1109</v>
          </cell>
        </row>
        <row r="48">
          <cell r="A48">
            <v>1110</v>
          </cell>
        </row>
      </sheetData>
      <sheetData sheetId="4"/>
      <sheetData sheetId="5"/>
      <sheetData sheetId="6"/>
      <sheetData sheetId="7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79101</v>
          </cell>
          <cell r="B2" t="str">
            <v>ja</v>
          </cell>
          <cell r="C2" t="str">
            <v>パネルブレイク40 攻撃力UP</v>
          </cell>
          <cell r="D2" t="str">
            <v>自身が先頭の時、1ターンの間に合計40個以上パネルを破壊した場合に攻撃力UP</v>
          </cell>
        </row>
        <row r="3">
          <cell r="A3">
            <v>104001</v>
          </cell>
          <cell r="B3" t="str">
            <v>ja</v>
          </cell>
          <cell r="C3" t="str">
            <v>パネルブレイク40 HP回復</v>
          </cell>
          <cell r="D3" t="str">
            <v>自身が先頭の時、1ターンの間に合計40個以上パネルを破壊した場合にターン終了時HP回復</v>
          </cell>
        </row>
        <row r="4">
          <cell r="A4">
            <v>11101</v>
          </cell>
          <cell r="B4" t="str">
            <v>ja</v>
          </cell>
          <cell r="C4" t="str">
            <v>パネルブレイク20 攻撃力UP</v>
          </cell>
          <cell r="D4" t="str">
            <v>自身が先頭の時、1ターンの間に合計20個以上パネルを破壊した場合に攻撃力UP</v>
          </cell>
        </row>
      </sheetData>
      <sheetData sheetId="8"/>
      <sheetData sheetId="9"/>
      <sheetData sheetId="10"/>
      <sheetData sheetId="11">
        <row r="1">
          <cell r="A1" t="str">
            <v>ラベル/レアリティ</v>
          </cell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</row>
        <row r="2">
          <cell r="A2" t="str">
            <v>PremiumL</v>
          </cell>
          <cell r="B2" t="str">
            <v>-</v>
          </cell>
          <cell r="C2" t="str">
            <v>-</v>
          </cell>
          <cell r="D2" t="str">
            <v>-</v>
          </cell>
          <cell r="E2" t="str">
            <v>-</v>
          </cell>
          <cell r="F2" t="str">
            <v>-</v>
          </cell>
          <cell r="G2" t="str">
            <v>-</v>
          </cell>
          <cell r="H2" t="str">
            <v>-</v>
          </cell>
          <cell r="I2" t="str">
            <v>-</v>
          </cell>
        </row>
        <row r="3">
          <cell r="A3" t="str">
            <v>PremiumSSS</v>
          </cell>
          <cell r="B3" t="str">
            <v>-</v>
          </cell>
          <cell r="C3" t="str">
            <v>-</v>
          </cell>
          <cell r="D3" t="str">
            <v>-</v>
          </cell>
          <cell r="E3">
            <v>30</v>
          </cell>
          <cell r="F3">
            <v>40</v>
          </cell>
          <cell r="G3">
            <v>55</v>
          </cell>
          <cell r="H3" t="str">
            <v>-</v>
          </cell>
          <cell r="I3" t="str">
            <v>-</v>
          </cell>
        </row>
        <row r="4">
          <cell r="A4" t="str">
            <v>PremiumSS</v>
          </cell>
          <cell r="B4" t="str">
            <v>-</v>
          </cell>
          <cell r="C4" t="str">
            <v>-</v>
          </cell>
          <cell r="D4" t="str">
            <v>-</v>
          </cell>
          <cell r="E4">
            <v>25</v>
          </cell>
          <cell r="F4">
            <v>35</v>
          </cell>
          <cell r="G4">
            <v>50</v>
          </cell>
          <cell r="H4" t="str">
            <v>-</v>
          </cell>
          <cell r="I4" t="str">
            <v>-</v>
          </cell>
        </row>
        <row r="5">
          <cell r="A5" t="str">
            <v>PremiumS</v>
          </cell>
          <cell r="B5" t="str">
            <v>-</v>
          </cell>
          <cell r="C5" t="str">
            <v>-</v>
          </cell>
          <cell r="D5">
            <v>10</v>
          </cell>
          <cell r="E5">
            <v>20</v>
          </cell>
          <cell r="F5">
            <v>30</v>
          </cell>
          <cell r="G5">
            <v>45</v>
          </cell>
          <cell r="H5" t="str">
            <v>-</v>
          </cell>
          <cell r="I5" t="str">
            <v>-</v>
          </cell>
        </row>
        <row r="6">
          <cell r="A6" t="str">
            <v>PremiumN</v>
          </cell>
          <cell r="B6" t="str">
            <v>-</v>
          </cell>
          <cell r="C6" t="str">
            <v>-</v>
          </cell>
          <cell r="D6">
            <v>9</v>
          </cell>
          <cell r="E6">
            <v>18</v>
          </cell>
          <cell r="F6">
            <v>28</v>
          </cell>
          <cell r="G6">
            <v>38</v>
          </cell>
          <cell r="H6" t="str">
            <v>-</v>
          </cell>
          <cell r="I6" t="str">
            <v>-</v>
          </cell>
        </row>
        <row r="7">
          <cell r="A7" t="str">
            <v>PremiumW</v>
          </cell>
          <cell r="B7" t="str">
            <v>-</v>
          </cell>
          <cell r="C7" t="str">
            <v>-</v>
          </cell>
          <cell r="D7">
            <v>7</v>
          </cell>
          <cell r="E7">
            <v>16</v>
          </cell>
          <cell r="F7" t="str">
            <v>-</v>
          </cell>
          <cell r="G7" t="str">
            <v>-</v>
          </cell>
          <cell r="H7" t="str">
            <v>-</v>
          </cell>
          <cell r="I7" t="str">
            <v>-</v>
          </cell>
        </row>
        <row r="8">
          <cell r="A8" t="str">
            <v>Drop2S</v>
          </cell>
          <cell r="B8" t="str">
            <v>-</v>
          </cell>
          <cell r="C8" t="str">
            <v>-</v>
          </cell>
          <cell r="D8">
            <v>8</v>
          </cell>
          <cell r="E8">
            <v>17</v>
          </cell>
          <cell r="F8">
            <v>26</v>
          </cell>
          <cell r="G8" t="str">
            <v>-</v>
          </cell>
          <cell r="H8" t="str">
            <v>-</v>
          </cell>
          <cell r="I8" t="str">
            <v>-</v>
          </cell>
        </row>
        <row r="9">
          <cell r="A9" t="str">
            <v>Drop2N</v>
          </cell>
          <cell r="B9" t="str">
            <v>-</v>
          </cell>
          <cell r="C9" t="str">
            <v>-</v>
          </cell>
          <cell r="D9">
            <v>8</v>
          </cell>
          <cell r="E9">
            <v>17</v>
          </cell>
          <cell r="F9">
            <v>26</v>
          </cell>
          <cell r="G9" t="str">
            <v>-</v>
          </cell>
          <cell r="H9" t="str">
            <v>-</v>
          </cell>
          <cell r="I9" t="str">
            <v>-</v>
          </cell>
        </row>
        <row r="10">
          <cell r="A10" t="str">
            <v>Drop2W</v>
          </cell>
          <cell r="B10" t="str">
            <v>-</v>
          </cell>
          <cell r="C10" t="str">
            <v>-</v>
          </cell>
          <cell r="D10">
            <v>6</v>
          </cell>
          <cell r="E10">
            <v>14</v>
          </cell>
          <cell r="F10" t="str">
            <v>-</v>
          </cell>
          <cell r="G10" t="str">
            <v>-</v>
          </cell>
          <cell r="H10" t="str">
            <v>-</v>
          </cell>
          <cell r="I10" t="str">
            <v>-</v>
          </cell>
        </row>
        <row r="11">
          <cell r="A11" t="str">
            <v>Drop1S</v>
          </cell>
          <cell r="B11" t="str">
            <v>-</v>
          </cell>
          <cell r="C11">
            <v>4</v>
          </cell>
          <cell r="D11">
            <v>6</v>
          </cell>
          <cell r="E11">
            <v>14</v>
          </cell>
          <cell r="F11" t="str">
            <v>-</v>
          </cell>
          <cell r="G11" t="str">
            <v>-</v>
          </cell>
          <cell r="H11" t="str">
            <v>-</v>
          </cell>
          <cell r="I11" t="str">
            <v>-</v>
          </cell>
        </row>
        <row r="12">
          <cell r="A12" t="str">
            <v>Drop1N</v>
          </cell>
          <cell r="B12">
            <v>2</v>
          </cell>
          <cell r="C12">
            <v>4</v>
          </cell>
          <cell r="D12">
            <v>6</v>
          </cell>
          <cell r="E12" t="str">
            <v>-</v>
          </cell>
          <cell r="F12" t="str">
            <v>-</v>
          </cell>
          <cell r="G12" t="str">
            <v>-</v>
          </cell>
          <cell r="H12" t="str">
            <v>-</v>
          </cell>
          <cell r="I12" t="str">
            <v>-</v>
          </cell>
        </row>
        <row r="13">
          <cell r="A13" t="str">
            <v>Drop1W</v>
          </cell>
          <cell r="B13">
            <v>1</v>
          </cell>
          <cell r="C13">
            <v>2</v>
          </cell>
          <cell r="D13" t="str">
            <v>-</v>
          </cell>
          <cell r="E13" t="str">
            <v>-</v>
          </cell>
          <cell r="F13" t="str">
            <v>-</v>
          </cell>
          <cell r="G13" t="str">
            <v>-</v>
          </cell>
          <cell r="H13" t="str">
            <v>-</v>
          </cell>
          <cell r="I13" t="str">
            <v>-</v>
          </cell>
        </row>
        <row r="14">
          <cell r="A14" t="str">
            <v>Drop1T</v>
          </cell>
          <cell r="B14">
            <v>1</v>
          </cell>
          <cell r="C14">
            <v>1</v>
          </cell>
          <cell r="D14" t="str">
            <v>-</v>
          </cell>
          <cell r="E14" t="str">
            <v>-</v>
          </cell>
          <cell r="F14" t="str">
            <v>-</v>
          </cell>
          <cell r="G14" t="str">
            <v>-</v>
          </cell>
          <cell r="H14" t="str">
            <v>-</v>
          </cell>
          <cell r="I14" t="str">
            <v>-</v>
          </cell>
        </row>
        <row r="15">
          <cell r="A15" t="str">
            <v>Material</v>
          </cell>
          <cell r="B15">
            <v>99</v>
          </cell>
          <cell r="C15">
            <v>99</v>
          </cell>
          <cell r="D15">
            <v>99</v>
          </cell>
          <cell r="E15">
            <v>99</v>
          </cell>
          <cell r="F15">
            <v>99</v>
          </cell>
          <cell r="G15">
            <v>99</v>
          </cell>
          <cell r="H15">
            <v>99</v>
          </cell>
          <cell r="I15">
            <v>99</v>
          </cell>
        </row>
      </sheetData>
      <sheetData sheetId="12">
        <row r="1">
          <cell r="A1" t="str">
            <v>ラベル</v>
          </cell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</row>
        <row r="2">
          <cell r="A2" t="str">
            <v>PremiumL</v>
          </cell>
          <cell r="B2" t="str">
            <v>-</v>
          </cell>
          <cell r="C2" t="str">
            <v>-</v>
          </cell>
          <cell r="D2" t="str">
            <v>-</v>
          </cell>
          <cell r="E2" t="str">
            <v>-</v>
          </cell>
          <cell r="F2" t="str">
            <v>-</v>
          </cell>
          <cell r="G2" t="str">
            <v>-</v>
          </cell>
          <cell r="H2" t="str">
            <v>-</v>
          </cell>
          <cell r="I2" t="str">
            <v>-</v>
          </cell>
        </row>
        <row r="3">
          <cell r="A3" t="str">
            <v>PremiumSSS</v>
          </cell>
          <cell r="B3" t="str">
            <v>-</v>
          </cell>
          <cell r="C3" t="str">
            <v>-</v>
          </cell>
          <cell r="D3" t="str">
            <v>-</v>
          </cell>
          <cell r="E3">
            <v>60</v>
          </cell>
          <cell r="F3">
            <v>80</v>
          </cell>
          <cell r="G3">
            <v>99</v>
          </cell>
          <cell r="H3" t="str">
            <v>-</v>
          </cell>
          <cell r="I3" t="str">
            <v>-</v>
          </cell>
        </row>
        <row r="4">
          <cell r="A4" t="str">
            <v>PremiumSS</v>
          </cell>
          <cell r="B4" t="str">
            <v>-</v>
          </cell>
          <cell r="C4" t="str">
            <v>-</v>
          </cell>
          <cell r="D4" t="str">
            <v>-</v>
          </cell>
          <cell r="E4">
            <v>60</v>
          </cell>
          <cell r="F4">
            <v>80</v>
          </cell>
          <cell r="G4">
            <v>99</v>
          </cell>
          <cell r="H4" t="str">
            <v>-</v>
          </cell>
          <cell r="I4" t="str">
            <v>-</v>
          </cell>
        </row>
        <row r="5">
          <cell r="A5" t="str">
            <v>PremiumS</v>
          </cell>
          <cell r="B5" t="str">
            <v>-</v>
          </cell>
          <cell r="C5" t="str">
            <v>-</v>
          </cell>
          <cell r="D5">
            <v>40</v>
          </cell>
          <cell r="E5">
            <v>60</v>
          </cell>
          <cell r="F5">
            <v>80</v>
          </cell>
          <cell r="G5">
            <v>99</v>
          </cell>
          <cell r="H5" t="str">
            <v>-</v>
          </cell>
          <cell r="I5" t="str">
            <v>-</v>
          </cell>
        </row>
        <row r="6">
          <cell r="A6" t="str">
            <v>PremiumN</v>
          </cell>
          <cell r="B6" t="str">
            <v>-</v>
          </cell>
          <cell r="C6" t="str">
            <v>-</v>
          </cell>
          <cell r="D6">
            <v>40</v>
          </cell>
          <cell r="E6">
            <v>60</v>
          </cell>
          <cell r="F6">
            <v>80</v>
          </cell>
          <cell r="G6">
            <v>99</v>
          </cell>
          <cell r="H6" t="str">
            <v>-</v>
          </cell>
          <cell r="I6" t="str">
            <v>-</v>
          </cell>
        </row>
        <row r="7">
          <cell r="A7" t="str">
            <v>PremiumW</v>
          </cell>
          <cell r="B7" t="str">
            <v>-</v>
          </cell>
          <cell r="C7" t="str">
            <v>-</v>
          </cell>
          <cell r="D7">
            <v>40</v>
          </cell>
          <cell r="E7">
            <v>60</v>
          </cell>
          <cell r="F7" t="str">
            <v>-</v>
          </cell>
          <cell r="G7" t="str">
            <v>-</v>
          </cell>
          <cell r="H7" t="str">
            <v>-</v>
          </cell>
          <cell r="I7" t="str">
            <v>-</v>
          </cell>
        </row>
        <row r="8">
          <cell r="A8" t="str">
            <v>Drop2S</v>
          </cell>
          <cell r="B8" t="str">
            <v>-</v>
          </cell>
          <cell r="C8" t="str">
            <v>-</v>
          </cell>
          <cell r="D8">
            <v>40</v>
          </cell>
          <cell r="E8">
            <v>60</v>
          </cell>
          <cell r="F8">
            <v>80</v>
          </cell>
          <cell r="G8" t="str">
            <v>-</v>
          </cell>
          <cell r="H8" t="str">
            <v>-</v>
          </cell>
          <cell r="I8" t="str">
            <v>-</v>
          </cell>
        </row>
        <row r="9">
          <cell r="A9" t="str">
            <v>Drop2N</v>
          </cell>
          <cell r="B9" t="str">
            <v>-</v>
          </cell>
          <cell r="C9" t="str">
            <v>-</v>
          </cell>
          <cell r="D9">
            <v>40</v>
          </cell>
          <cell r="E9">
            <v>60</v>
          </cell>
          <cell r="F9">
            <v>80</v>
          </cell>
          <cell r="G9" t="str">
            <v>-</v>
          </cell>
          <cell r="H9" t="str">
            <v>-</v>
          </cell>
          <cell r="I9" t="str">
            <v>-</v>
          </cell>
        </row>
        <row r="10">
          <cell r="A10" t="str">
            <v>Drop2W</v>
          </cell>
          <cell r="B10" t="str">
            <v>-</v>
          </cell>
          <cell r="C10">
            <v>30</v>
          </cell>
          <cell r="D10">
            <v>40</v>
          </cell>
          <cell r="E10">
            <v>60</v>
          </cell>
          <cell r="F10" t="str">
            <v>-</v>
          </cell>
          <cell r="G10" t="str">
            <v>-</v>
          </cell>
          <cell r="H10" t="str">
            <v>-</v>
          </cell>
          <cell r="I10" t="str">
            <v>-</v>
          </cell>
        </row>
        <row r="11">
          <cell r="A11" t="str">
            <v>Drop1S</v>
          </cell>
          <cell r="B11" t="str">
            <v>-</v>
          </cell>
          <cell r="C11">
            <v>30</v>
          </cell>
          <cell r="D11">
            <v>40</v>
          </cell>
          <cell r="E11">
            <v>60</v>
          </cell>
          <cell r="F11" t="str">
            <v>-</v>
          </cell>
          <cell r="G11" t="str">
            <v>-</v>
          </cell>
          <cell r="H11" t="str">
            <v>-</v>
          </cell>
          <cell r="I11" t="str">
            <v>-</v>
          </cell>
        </row>
        <row r="12">
          <cell r="A12" t="str">
            <v>Drop1N</v>
          </cell>
          <cell r="B12">
            <v>15</v>
          </cell>
          <cell r="C12">
            <v>30</v>
          </cell>
          <cell r="D12">
            <v>40</v>
          </cell>
          <cell r="E12" t="str">
            <v>-</v>
          </cell>
          <cell r="F12" t="str">
            <v>-</v>
          </cell>
          <cell r="G12" t="str">
            <v>-</v>
          </cell>
          <cell r="H12" t="str">
            <v>-</v>
          </cell>
          <cell r="I12" t="str">
            <v>-</v>
          </cell>
        </row>
        <row r="13">
          <cell r="A13" t="str">
            <v>Drop1W</v>
          </cell>
          <cell r="B13">
            <v>15</v>
          </cell>
          <cell r="C13">
            <v>30</v>
          </cell>
          <cell r="D13">
            <v>40</v>
          </cell>
          <cell r="E13" t="str">
            <v>-</v>
          </cell>
          <cell r="F13" t="str">
            <v>-</v>
          </cell>
          <cell r="G13" t="str">
            <v>-</v>
          </cell>
          <cell r="H13" t="str">
            <v>-</v>
          </cell>
          <cell r="I13" t="str">
            <v>-</v>
          </cell>
        </row>
        <row r="14">
          <cell r="A14" t="str">
            <v>Drop1T</v>
          </cell>
          <cell r="B14">
            <v>10</v>
          </cell>
          <cell r="C14">
            <v>20</v>
          </cell>
          <cell r="D14" t="str">
            <v>-</v>
          </cell>
          <cell r="E14" t="str">
            <v>-</v>
          </cell>
          <cell r="F14" t="str">
            <v>-</v>
          </cell>
          <cell r="G14" t="str">
            <v>-</v>
          </cell>
          <cell r="H14" t="str">
            <v>-</v>
          </cell>
          <cell r="I14" t="str">
            <v>-</v>
          </cell>
        </row>
        <row r="15">
          <cell r="A15" t="str">
            <v>Material</v>
          </cell>
          <cell r="B15">
            <v>1</v>
          </cell>
          <cell r="C15">
            <v>1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</row>
      </sheetData>
      <sheetData sheetId="13">
        <row r="1">
          <cell r="A1" t="str">
            <v>ラベル</v>
          </cell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</row>
        <row r="2">
          <cell r="A2" t="str">
            <v>PremiumL</v>
          </cell>
          <cell r="B2" t="str">
            <v>-</v>
          </cell>
          <cell r="C2" t="str">
            <v>-</v>
          </cell>
          <cell r="D2" t="str">
            <v>-</v>
          </cell>
          <cell r="E2" t="str">
            <v>-</v>
          </cell>
          <cell r="F2" t="str">
            <v>-</v>
          </cell>
          <cell r="G2" t="str">
            <v>-</v>
          </cell>
          <cell r="H2" t="str">
            <v>-</v>
          </cell>
          <cell r="I2" t="str">
            <v>-</v>
          </cell>
        </row>
        <row r="3">
          <cell r="A3" t="str">
            <v>PremiumSSS</v>
          </cell>
          <cell r="B3" t="str">
            <v>-</v>
          </cell>
          <cell r="C3" t="str">
            <v>-</v>
          </cell>
          <cell r="D3" t="str">
            <v>-</v>
          </cell>
          <cell r="E3" t="str">
            <v>required_exp_250</v>
          </cell>
          <cell r="F3" t="str">
            <v>required_exp_250</v>
          </cell>
          <cell r="G3" t="str">
            <v>required_exp_300</v>
          </cell>
          <cell r="H3" t="str">
            <v>-</v>
          </cell>
          <cell r="I3" t="str">
            <v>-</v>
          </cell>
        </row>
        <row r="4">
          <cell r="A4" t="str">
            <v>PremiumSS</v>
          </cell>
          <cell r="B4" t="str">
            <v>-</v>
          </cell>
          <cell r="C4" t="str">
            <v>-</v>
          </cell>
          <cell r="D4" t="str">
            <v>-</v>
          </cell>
          <cell r="E4" t="str">
            <v>required_exp_200</v>
          </cell>
          <cell r="F4" t="str">
            <v>required_exp_200</v>
          </cell>
          <cell r="G4" t="str">
            <v>required_exp_250</v>
          </cell>
          <cell r="H4" t="str">
            <v>-</v>
          </cell>
          <cell r="I4" t="str">
            <v>-</v>
          </cell>
        </row>
        <row r="5">
          <cell r="A5" t="str">
            <v>PremiumS</v>
          </cell>
          <cell r="B5" t="str">
            <v>-</v>
          </cell>
          <cell r="C5" t="str">
            <v>-</v>
          </cell>
          <cell r="D5" t="str">
            <v>required_exp_200</v>
          </cell>
          <cell r="E5" t="str">
            <v>required_exp_200</v>
          </cell>
          <cell r="F5" t="str">
            <v>required_exp_200</v>
          </cell>
          <cell r="G5" t="str">
            <v>required_exp_250</v>
          </cell>
          <cell r="H5" t="str">
            <v>-</v>
          </cell>
          <cell r="I5" t="str">
            <v>-</v>
          </cell>
        </row>
        <row r="6">
          <cell r="A6" t="str">
            <v>PremiumN</v>
          </cell>
          <cell r="B6" t="str">
            <v>-</v>
          </cell>
          <cell r="C6" t="str">
            <v>-</v>
          </cell>
          <cell r="D6" t="str">
            <v>required_exp_200</v>
          </cell>
          <cell r="E6" t="str">
            <v>required_exp_200</v>
          </cell>
          <cell r="F6" t="str">
            <v>required_exp_200</v>
          </cell>
          <cell r="G6" t="str">
            <v>required_exp_250</v>
          </cell>
          <cell r="H6" t="str">
            <v>-</v>
          </cell>
          <cell r="I6" t="str">
            <v>-</v>
          </cell>
        </row>
        <row r="7">
          <cell r="A7" t="str">
            <v>PremiumW</v>
          </cell>
          <cell r="B7" t="str">
            <v>-</v>
          </cell>
          <cell r="C7" t="str">
            <v>-</v>
          </cell>
          <cell r="D7" t="str">
            <v>required_exp_150</v>
          </cell>
          <cell r="E7" t="str">
            <v>required_exp_150</v>
          </cell>
          <cell r="F7" t="str">
            <v>-</v>
          </cell>
          <cell r="G7" t="str">
            <v>-</v>
          </cell>
          <cell r="H7" t="str">
            <v>-</v>
          </cell>
          <cell r="I7" t="str">
            <v>-</v>
          </cell>
        </row>
        <row r="8">
          <cell r="A8" t="str">
            <v>Drop2S</v>
          </cell>
          <cell r="B8" t="str">
            <v>-</v>
          </cell>
          <cell r="C8" t="str">
            <v>-</v>
          </cell>
          <cell r="D8" t="str">
            <v>required_exp_200</v>
          </cell>
          <cell r="E8" t="str">
            <v>required_exp_200</v>
          </cell>
          <cell r="F8" t="str">
            <v>required_exp_200</v>
          </cell>
          <cell r="G8" t="str">
            <v>-</v>
          </cell>
          <cell r="H8" t="str">
            <v>-</v>
          </cell>
          <cell r="I8" t="str">
            <v>-</v>
          </cell>
        </row>
        <row r="9">
          <cell r="A9" t="str">
            <v>Drop2N</v>
          </cell>
          <cell r="B9" t="str">
            <v>-</v>
          </cell>
          <cell r="C9" t="str">
            <v>-</v>
          </cell>
          <cell r="D9" t="str">
            <v>required_exp_200</v>
          </cell>
          <cell r="E9" t="str">
            <v>required_exp_200</v>
          </cell>
          <cell r="F9" t="str">
            <v>required_exp_200</v>
          </cell>
          <cell r="G9" t="str">
            <v>-</v>
          </cell>
          <cell r="H9" t="str">
            <v>-</v>
          </cell>
          <cell r="I9" t="str">
            <v>-</v>
          </cell>
        </row>
        <row r="10">
          <cell r="A10" t="str">
            <v>Drop2W</v>
          </cell>
          <cell r="B10" t="str">
            <v>-</v>
          </cell>
          <cell r="C10" t="str">
            <v>-</v>
          </cell>
          <cell r="D10" t="str">
            <v>required_exp_150</v>
          </cell>
          <cell r="E10" t="str">
            <v>required_exp_150</v>
          </cell>
          <cell r="F10" t="str">
            <v>-</v>
          </cell>
          <cell r="G10" t="str">
            <v>-</v>
          </cell>
          <cell r="H10" t="str">
            <v>-</v>
          </cell>
          <cell r="I10" t="str">
            <v>-</v>
          </cell>
        </row>
        <row r="11">
          <cell r="A11" t="str">
            <v>Drop1S</v>
          </cell>
          <cell r="B11" t="str">
            <v>-</v>
          </cell>
          <cell r="C11" t="str">
            <v>required_exp_150</v>
          </cell>
          <cell r="D11" t="str">
            <v>required_exp_150</v>
          </cell>
          <cell r="E11" t="str">
            <v>required_exp_150</v>
          </cell>
          <cell r="F11" t="str">
            <v>-</v>
          </cell>
          <cell r="G11" t="str">
            <v>-</v>
          </cell>
          <cell r="H11" t="str">
            <v>-</v>
          </cell>
          <cell r="I11" t="str">
            <v>-</v>
          </cell>
        </row>
        <row r="12">
          <cell r="A12" t="str">
            <v>Drop1N</v>
          </cell>
          <cell r="B12" t="str">
            <v>required_exp_100</v>
          </cell>
          <cell r="C12" t="str">
            <v>required_exp_100</v>
          </cell>
          <cell r="D12" t="str">
            <v>required_exp_100</v>
          </cell>
          <cell r="E12" t="str">
            <v>-</v>
          </cell>
          <cell r="F12" t="str">
            <v>-</v>
          </cell>
          <cell r="G12" t="str">
            <v>-</v>
          </cell>
          <cell r="H12" t="str">
            <v>-</v>
          </cell>
          <cell r="I12" t="str">
            <v>-</v>
          </cell>
        </row>
        <row r="13">
          <cell r="A13" t="str">
            <v>Drop1W</v>
          </cell>
          <cell r="B13" t="str">
            <v>required_exp_70</v>
          </cell>
          <cell r="C13" t="str">
            <v>required_exp_70</v>
          </cell>
          <cell r="D13" t="str">
            <v>-</v>
          </cell>
          <cell r="E13" t="str">
            <v>-</v>
          </cell>
          <cell r="F13" t="str">
            <v>-</v>
          </cell>
          <cell r="G13" t="str">
            <v>-</v>
          </cell>
          <cell r="H13" t="str">
            <v>-</v>
          </cell>
          <cell r="I13" t="str">
            <v>-</v>
          </cell>
        </row>
        <row r="14">
          <cell r="A14" t="str">
            <v>Drop1T</v>
          </cell>
          <cell r="B14" t="str">
            <v>required_exp_50</v>
          </cell>
          <cell r="C14" t="str">
            <v>required_exp_50</v>
          </cell>
          <cell r="D14" t="str">
            <v>-</v>
          </cell>
          <cell r="E14" t="str">
            <v>-</v>
          </cell>
          <cell r="F14" t="str">
            <v>-</v>
          </cell>
          <cell r="G14" t="str">
            <v>-</v>
          </cell>
          <cell r="H14" t="str">
            <v>-</v>
          </cell>
          <cell r="I14" t="str">
            <v>-</v>
          </cell>
        </row>
        <row r="15">
          <cell r="A15" t="str">
            <v>Material</v>
          </cell>
          <cell r="B15" t="str">
            <v>NULL</v>
          </cell>
          <cell r="C15" t="str">
            <v>NULL</v>
          </cell>
          <cell r="D15" t="str">
            <v>NULL</v>
          </cell>
          <cell r="E15" t="str">
            <v>NULL</v>
          </cell>
          <cell r="F15" t="str">
            <v>NULL</v>
          </cell>
          <cell r="G15" t="str">
            <v>NULL</v>
          </cell>
          <cell r="H15" t="str">
            <v>NULL</v>
          </cell>
          <cell r="I15" t="str">
            <v>NULL</v>
          </cell>
        </row>
        <row r="22">
          <cell r="A22">
            <v>1</v>
          </cell>
          <cell r="B22">
            <v>200</v>
          </cell>
        </row>
        <row r="23">
          <cell r="A23">
            <v>2</v>
          </cell>
          <cell r="B23">
            <v>600</v>
          </cell>
        </row>
        <row r="24">
          <cell r="A24">
            <v>3</v>
          </cell>
          <cell r="B24">
            <v>1500</v>
          </cell>
        </row>
        <row r="25">
          <cell r="A25">
            <v>4</v>
          </cell>
          <cell r="B25">
            <v>3400</v>
          </cell>
        </row>
        <row r="26">
          <cell r="A26">
            <v>5</v>
          </cell>
          <cell r="B26">
            <v>6400</v>
          </cell>
        </row>
      </sheetData>
      <sheetData sheetId="14">
        <row r="1">
          <cell r="A1" t="str">
            <v>ラベル</v>
          </cell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</row>
        <row r="2">
          <cell r="A2" t="str">
            <v>PremiumL</v>
          </cell>
          <cell r="B2" t="str">
            <v>-</v>
          </cell>
          <cell r="C2" t="str">
            <v>-</v>
          </cell>
          <cell r="D2" t="str">
            <v>-</v>
          </cell>
          <cell r="E2" t="str">
            <v>-</v>
          </cell>
          <cell r="F2" t="str">
            <v>-</v>
          </cell>
          <cell r="G2" t="str">
            <v>-</v>
          </cell>
        </row>
        <row r="3">
          <cell r="A3" t="str">
            <v>PremiumSSS</v>
          </cell>
          <cell r="B3" t="str">
            <v>-</v>
          </cell>
          <cell r="C3" t="str">
            <v>-</v>
          </cell>
          <cell r="D3" t="str">
            <v>-</v>
          </cell>
          <cell r="E3">
            <v>8000</v>
          </cell>
          <cell r="F3">
            <v>10000</v>
          </cell>
          <cell r="G3">
            <v>14000</v>
          </cell>
        </row>
        <row r="4">
          <cell r="A4" t="str">
            <v>PremiumSS</v>
          </cell>
          <cell r="B4" t="str">
            <v>-</v>
          </cell>
          <cell r="C4" t="str">
            <v>-</v>
          </cell>
          <cell r="D4" t="str">
            <v>-</v>
          </cell>
          <cell r="E4">
            <v>7500</v>
          </cell>
          <cell r="F4">
            <v>9500</v>
          </cell>
          <cell r="G4">
            <v>13000</v>
          </cell>
        </row>
        <row r="5">
          <cell r="A5" t="str">
            <v>PremiumS</v>
          </cell>
          <cell r="B5" t="str">
            <v>-</v>
          </cell>
          <cell r="C5" t="str">
            <v>-</v>
          </cell>
          <cell r="D5">
            <v>5000</v>
          </cell>
          <cell r="E5">
            <v>7000</v>
          </cell>
          <cell r="F5">
            <v>9000</v>
          </cell>
          <cell r="G5">
            <v>12000</v>
          </cell>
        </row>
        <row r="6">
          <cell r="A6" t="str">
            <v>PremiumN</v>
          </cell>
          <cell r="B6" t="str">
            <v>-</v>
          </cell>
          <cell r="C6" t="str">
            <v>-</v>
          </cell>
          <cell r="D6">
            <v>4900</v>
          </cell>
          <cell r="E6">
            <v>6700</v>
          </cell>
          <cell r="F6">
            <v>8500</v>
          </cell>
          <cell r="G6">
            <v>11000</v>
          </cell>
        </row>
        <row r="7">
          <cell r="A7" t="str">
            <v>PremiumW</v>
          </cell>
          <cell r="B7" t="str">
            <v>-</v>
          </cell>
          <cell r="C7" t="str">
            <v>-</v>
          </cell>
          <cell r="D7">
            <v>4800</v>
          </cell>
          <cell r="E7">
            <v>6600</v>
          </cell>
          <cell r="F7" t="str">
            <v>-</v>
          </cell>
          <cell r="G7" t="str">
            <v>-</v>
          </cell>
        </row>
        <row r="8">
          <cell r="A8" t="str">
            <v>Drop2S</v>
          </cell>
          <cell r="B8" t="str">
            <v>-</v>
          </cell>
          <cell r="C8" t="str">
            <v>-</v>
          </cell>
          <cell r="D8" t="str">
            <v>-</v>
          </cell>
          <cell r="E8">
            <v>6300</v>
          </cell>
          <cell r="F8" t="str">
            <v>-</v>
          </cell>
          <cell r="G8" t="str">
            <v>-</v>
          </cell>
        </row>
        <row r="9">
          <cell r="A9" t="str">
            <v>Drop2N</v>
          </cell>
          <cell r="B9" t="str">
            <v>-</v>
          </cell>
          <cell r="C9" t="str">
            <v>-</v>
          </cell>
          <cell r="D9">
            <v>4600</v>
          </cell>
          <cell r="E9">
            <v>5800</v>
          </cell>
          <cell r="F9">
            <v>7600</v>
          </cell>
          <cell r="G9" t="str">
            <v>-</v>
          </cell>
        </row>
        <row r="10">
          <cell r="A10" t="str">
            <v>Drop2W</v>
          </cell>
          <cell r="B10" t="str">
            <v>-</v>
          </cell>
          <cell r="C10" t="str">
            <v>-</v>
          </cell>
          <cell r="D10">
            <v>4400</v>
          </cell>
          <cell r="E10">
            <v>5600</v>
          </cell>
          <cell r="F10" t="str">
            <v>-</v>
          </cell>
          <cell r="G10" t="str">
            <v>-</v>
          </cell>
        </row>
        <row r="11">
          <cell r="A11" t="str">
            <v>Drop1S</v>
          </cell>
          <cell r="B11" t="str">
            <v>-</v>
          </cell>
          <cell r="C11">
            <v>3000</v>
          </cell>
          <cell r="D11">
            <v>4200</v>
          </cell>
          <cell r="E11">
            <v>5400</v>
          </cell>
          <cell r="F11" t="str">
            <v>-</v>
          </cell>
          <cell r="G11" t="str">
            <v>-</v>
          </cell>
        </row>
        <row r="12">
          <cell r="A12" t="str">
            <v>Drop1N</v>
          </cell>
          <cell r="B12">
            <v>2000</v>
          </cell>
          <cell r="C12">
            <v>2800</v>
          </cell>
          <cell r="D12">
            <v>4000</v>
          </cell>
          <cell r="E12" t="str">
            <v>-</v>
          </cell>
          <cell r="F12" t="str">
            <v>-</v>
          </cell>
          <cell r="G12" t="str">
            <v>-</v>
          </cell>
        </row>
        <row r="13">
          <cell r="A13" t="str">
            <v>Drop1W</v>
          </cell>
          <cell r="B13">
            <v>1750</v>
          </cell>
          <cell r="C13">
            <v>2550</v>
          </cell>
          <cell r="D13" t="str">
            <v>-</v>
          </cell>
          <cell r="E13" t="str">
            <v>-</v>
          </cell>
          <cell r="F13" t="str">
            <v>-</v>
          </cell>
          <cell r="G13" t="str">
            <v>-</v>
          </cell>
        </row>
        <row r="14">
          <cell r="A14" t="str">
            <v>Drop1T</v>
          </cell>
          <cell r="B14">
            <v>1500</v>
          </cell>
          <cell r="C14">
            <v>2300</v>
          </cell>
          <cell r="D14" t="str">
            <v>-</v>
          </cell>
          <cell r="E14" t="str">
            <v>-</v>
          </cell>
          <cell r="F14" t="str">
            <v>-</v>
          </cell>
          <cell r="G14" t="str">
            <v>-</v>
          </cell>
        </row>
        <row r="15">
          <cell r="A15" t="str">
            <v>Material</v>
          </cell>
          <cell r="B15">
            <v>1000</v>
          </cell>
          <cell r="C15">
            <v>1000</v>
          </cell>
          <cell r="D15">
            <v>1000</v>
          </cell>
          <cell r="E15">
            <v>1000</v>
          </cell>
          <cell r="F15">
            <v>1000</v>
          </cell>
          <cell r="G15">
            <v>1000</v>
          </cell>
        </row>
      </sheetData>
      <sheetData sheetId="15">
        <row r="2">
          <cell r="A2" t="str">
            <v>レアレリティ</v>
          </cell>
          <cell r="B2" t="str">
            <v>金額</v>
          </cell>
          <cell r="G2" t="str">
            <v>レアレリティ</v>
          </cell>
          <cell r="H2" t="str">
            <v>金額</v>
          </cell>
        </row>
        <row r="3">
          <cell r="A3">
            <v>1</v>
          </cell>
          <cell r="B3">
            <v>5000</v>
          </cell>
          <cell r="G3">
            <v>1</v>
          </cell>
          <cell r="H3">
            <v>75</v>
          </cell>
        </row>
        <row r="4">
          <cell r="A4">
            <v>2</v>
          </cell>
          <cell r="B4">
            <v>10000</v>
          </cell>
          <cell r="G4">
            <v>2</v>
          </cell>
          <cell r="H4">
            <v>150</v>
          </cell>
        </row>
        <row r="5">
          <cell r="A5">
            <v>3</v>
          </cell>
          <cell r="B5">
            <v>20000</v>
          </cell>
          <cell r="G5">
            <v>3</v>
          </cell>
          <cell r="H5">
            <v>300</v>
          </cell>
        </row>
        <row r="6">
          <cell r="A6">
            <v>4</v>
          </cell>
          <cell r="B6">
            <v>50000</v>
          </cell>
          <cell r="G6">
            <v>4</v>
          </cell>
          <cell r="H6">
            <v>600</v>
          </cell>
        </row>
        <row r="7">
          <cell r="A7">
            <v>5</v>
          </cell>
          <cell r="B7">
            <v>200000</v>
          </cell>
          <cell r="G7">
            <v>5</v>
          </cell>
          <cell r="H7">
            <v>900</v>
          </cell>
        </row>
      </sheetData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1503</v>
          </cell>
          <cell r="B124" t="str">
            <v>ja</v>
          </cell>
          <cell r="C124" t="str">
            <v>バリア8000</v>
          </cell>
          <cell r="D124" t="str">
            <v>戦闘開始時に、自身への直接ダメージを8000まで防ぐバリアを一度だけ展開(バリアは破壊されると復活しない)</v>
          </cell>
        </row>
        <row r="125">
          <cell r="A125">
            <v>1600</v>
          </cell>
          <cell r="B125" t="str">
            <v>ja</v>
          </cell>
          <cell r="C125" t="str">
            <v>攻撃力・回復力UP</v>
          </cell>
          <cell r="D125" t="str">
            <v>自身の攻撃力と回復力をUP</v>
          </cell>
        </row>
        <row r="126">
          <cell r="A126">
            <v>1700</v>
          </cell>
          <cell r="B126" t="str">
            <v>ja</v>
          </cell>
          <cell r="C126" t="str">
            <v>パネルブレイク20 回復</v>
          </cell>
          <cell r="D126" t="str">
            <v>自身が先頭の時、1ターンの間に合計20個以上パネルを破壊した場合ににHPを2000回復</v>
          </cell>
        </row>
        <row r="127">
          <cell r="A127">
            <v>1800</v>
          </cell>
          <cell r="B127" t="str">
            <v>ja</v>
          </cell>
          <cell r="C127" t="str">
            <v>フィーバー攻撃力UP</v>
          </cell>
          <cell r="D127" t="str">
            <v>フィーバー時自身の攻撃力、回復力を特大UP</v>
          </cell>
        </row>
        <row r="128">
          <cell r="A128">
            <v>119402</v>
          </cell>
          <cell r="B128" t="str">
            <v>ja</v>
          </cell>
          <cell r="C128" t="str">
            <v>ハロウィンナイトパニック！ 威力UP</v>
          </cell>
          <cell r="D128" t="str">
            <v>ハロウィンナイトパニック！内で自身の全ての攻撃の威力を究極UP</v>
          </cell>
        </row>
        <row r="129">
          <cell r="A129">
            <v>805</v>
          </cell>
          <cell r="B129" t="str">
            <v>ja</v>
          </cell>
          <cell r="C129" t="str">
            <v>パネルブレイク30 防御力特大UP</v>
          </cell>
          <cell r="D129" t="str">
            <v>自身が先頭の時、1ターンの間に合計30個以上パネルを破壊した場合に防御力特大UP</v>
          </cell>
        </row>
        <row r="130">
          <cell r="A130">
            <v>806</v>
          </cell>
          <cell r="B130" t="str">
            <v>ja</v>
          </cell>
          <cell r="C130" t="str">
            <v>ボムブレイク10 防御力UP</v>
          </cell>
          <cell r="D130" t="str">
            <v>自身または味方が1ターンの間に合計10個以上ボムパネルを破壊した場合に防御力UP</v>
          </cell>
        </row>
        <row r="131">
          <cell r="A131">
            <v>807</v>
          </cell>
          <cell r="B131" t="str">
            <v>ja</v>
          </cell>
          <cell r="C131" t="str">
            <v>パネル18 破壊フィーバーゲージ上昇</v>
          </cell>
          <cell r="D131" t="str">
            <v>自身が先頭の時、1ターンの間に合計18個以上パネルを破壊した場合にフィーバーゲージ上昇</v>
          </cell>
        </row>
        <row r="132">
          <cell r="A132">
            <v>808</v>
          </cell>
          <cell r="B132" t="str">
            <v>ja</v>
          </cell>
          <cell r="C132" t="str">
            <v>パネルブレイク40 防御力UP</v>
          </cell>
          <cell r="D132" t="str">
            <v>自身が先頭の時、1ターンの間に合計40個以上パネルを破壊した場合に青属性ユニットの防御力を400UP</v>
          </cell>
        </row>
        <row r="133">
          <cell r="A133">
            <v>809</v>
          </cell>
          <cell r="B133" t="str">
            <v>ja</v>
          </cell>
          <cell r="C133" t="str">
            <v>パネルブレイク40 攻撃力UP</v>
          </cell>
          <cell r="D133" t="str">
            <v>自身が先頭の時、1ターンの間に合計40個以上パネルを破壊した場合に攻撃力UP</v>
          </cell>
        </row>
        <row r="134">
          <cell r="A134">
            <v>810</v>
          </cell>
          <cell r="B134" t="str">
            <v>ja</v>
          </cell>
          <cell r="C134" t="str">
            <v>パネルブレイク40 攻撃力小UP</v>
          </cell>
          <cell r="D134" t="str">
            <v>自身が先頭の時、1ターンの間に合計40個以上パネルを破壊した場合に攻撃力小UP</v>
          </cell>
        </row>
        <row r="135">
          <cell r="A135">
            <v>811</v>
          </cell>
          <cell r="B135" t="str">
            <v>ja</v>
          </cell>
          <cell r="C135" t="str">
            <v>パネルブレイク30 攻撃力小UP</v>
          </cell>
          <cell r="D135" t="str">
            <v>自身が先頭の時、1ターンの間に合計30個以上パネルを破壊した場合に攻撃力小UP</v>
          </cell>
        </row>
        <row r="136">
          <cell r="A136">
            <v>812</v>
          </cell>
          <cell r="B136" t="str">
            <v>ja</v>
          </cell>
          <cell r="C136" t="str">
            <v>パネルブレイク40 HP小回復</v>
          </cell>
          <cell r="D136" t="str">
            <v>自身が先頭の時、1ターンの間に合計40個以上パネルを破壊した場合にターン終了時HP小回復</v>
          </cell>
        </row>
        <row r="137">
          <cell r="A137">
            <v>813</v>
          </cell>
          <cell r="B137" t="str">
            <v>ja</v>
          </cell>
          <cell r="C137" t="str">
            <v>パネルブレイク100 攻撃力UP</v>
          </cell>
          <cell r="D137" t="str">
            <v>自身が先頭の時、1ターンの間に合計100個以上パネルを破壊した場合に攻撃力2140UP</v>
          </cell>
        </row>
        <row r="138">
          <cell r="A138">
            <v>814</v>
          </cell>
          <cell r="B138" t="str">
            <v>ja</v>
          </cell>
          <cell r="C138" t="str">
            <v>パネルブレイク50 タップ回数UP</v>
          </cell>
          <cell r="D138" t="str">
            <v>自身が先頭の時、1ターンの間に合計50個以上パネルを破壊した場合にタップ回数1UP</v>
          </cell>
        </row>
        <row r="139">
          <cell r="A139">
            <v>815</v>
          </cell>
          <cell r="B139" t="str">
            <v>ja</v>
          </cell>
          <cell r="C139" t="str">
            <v>パネルブレイク50 HP回復</v>
          </cell>
          <cell r="D139" t="str">
            <v>自身が先頭の時、1ターンの間に合計50個以上パネルを破壊した場合にターン終了時HP回復</v>
          </cell>
        </row>
        <row r="140">
          <cell r="A140">
            <v>900</v>
          </cell>
          <cell r="B140" t="str">
            <v>ja</v>
          </cell>
          <cell r="C140" t="str">
            <v>チェイン12 攻撃力UP</v>
          </cell>
          <cell r="D140" t="str">
            <v>自身が先頭の時、1タップで12個以上パネルを繋げた場合に攻撃力UP</v>
          </cell>
        </row>
        <row r="141">
          <cell r="A141">
            <v>901</v>
          </cell>
          <cell r="B141" t="str">
            <v>ja</v>
          </cell>
          <cell r="C141" t="str">
            <v>チェイン12 回復力UP</v>
          </cell>
          <cell r="D141" t="str">
            <v>自身が先頭の時、1タップで12個以上パネルを繋げた場合に回復力UP</v>
          </cell>
        </row>
        <row r="142">
          <cell r="A142">
            <v>902</v>
          </cell>
          <cell r="B142" t="str">
            <v>ja</v>
          </cell>
          <cell r="C142" t="str">
            <v>チェイン12 タップ回数UP</v>
          </cell>
          <cell r="D142" t="str">
            <v>自身が先頭の時、1タップで12個以上パネルを繋げた場合にタップ回数を1回増やす</v>
          </cell>
        </row>
        <row r="143">
          <cell r="A143">
            <v>903</v>
          </cell>
          <cell r="B143" t="str">
            <v>ja</v>
          </cell>
          <cell r="C143" t="str">
            <v>チェイン18 スキルゲージUP</v>
          </cell>
          <cell r="D143" t="str">
            <v>自身が先頭の時、1タップで18個以上パネルを繋げた場合に自身のスキルゲージを1増やす(1ターンに1度だけ発動)</v>
          </cell>
        </row>
        <row r="144">
          <cell r="A144">
            <v>904</v>
          </cell>
          <cell r="B144" t="str">
            <v>ja</v>
          </cell>
          <cell r="C144" t="str">
            <v>チェイン17 回復力UP</v>
          </cell>
          <cell r="D144" t="str">
            <v>自身が先頭の時、1タップで17個以上パネルを繋げた場合に自身の回復力を2017UP</v>
          </cell>
        </row>
        <row r="145">
          <cell r="A145">
            <v>905</v>
          </cell>
          <cell r="B145" t="str">
            <v>ja</v>
          </cell>
          <cell r="C145" t="str">
            <v>チェイン12 攻撃力小UP</v>
          </cell>
          <cell r="D145" t="str">
            <v>自身が先頭の時、1タップで12個以上パネルを繋げた場合に攻撃力小UP</v>
          </cell>
        </row>
        <row r="146">
          <cell r="A146">
            <v>906</v>
          </cell>
          <cell r="B146" t="str">
            <v>ja</v>
          </cell>
          <cell r="C146" t="str">
            <v>チェイン14 回復力小UP</v>
          </cell>
          <cell r="D146" t="str">
            <v>自身が先頭の時、1タップで14個以上パネルを繋げた場合に回復力小UP</v>
          </cell>
        </row>
        <row r="147">
          <cell r="A147">
            <v>907</v>
          </cell>
          <cell r="B147" t="str">
            <v>ja</v>
          </cell>
          <cell r="C147" t="str">
            <v>チェイン14 攻撃力UP</v>
          </cell>
          <cell r="D147" t="str">
            <v>自身が先頭の時、1タップで14個以上パネルを繋げた場合に攻撃力UP</v>
          </cell>
        </row>
        <row r="148">
          <cell r="A148">
            <v>908</v>
          </cell>
          <cell r="B148" t="str">
            <v>ja</v>
          </cell>
          <cell r="C148" t="str">
            <v>チェイン16 黄属性防御力UP</v>
          </cell>
          <cell r="D148" t="str">
            <v>自身が先頭の時、1タップで16個以上パネルを繋げた場合に黄属性ユニットの防御力UP</v>
          </cell>
        </row>
        <row r="149">
          <cell r="A149">
            <v>1100</v>
          </cell>
          <cell r="B149" t="str">
            <v>ja</v>
          </cell>
          <cell r="C149" t="str">
            <v>Cパネル生成短縮</v>
          </cell>
          <cell r="D149" t="str">
            <v>自身が先頭の時、Cパネル生成に必要なチェイン数を1短縮する</v>
          </cell>
        </row>
        <row r="150">
          <cell r="A150">
            <v>1101</v>
          </cell>
          <cell r="B150" t="str">
            <v>ja</v>
          </cell>
          <cell r="C150" t="str">
            <v>Cパネル生成短縮(大)</v>
          </cell>
          <cell r="D150" t="str">
            <v>自身が先頭の時、Cパネル生成に必要なチェイン数を2短縮する</v>
          </cell>
        </row>
        <row r="151">
          <cell r="A151">
            <v>1200</v>
          </cell>
          <cell r="B151" t="str">
            <v>ja</v>
          </cell>
          <cell r="C151" t="str">
            <v>フィーバー攻撃UP</v>
          </cell>
          <cell r="D151" t="str">
            <v>自身が先頭の時、フィーバー発動時に緑属性の攻撃力と回復力UP</v>
          </cell>
        </row>
        <row r="152">
          <cell r="A152">
            <v>1300</v>
          </cell>
          <cell r="B152" t="str">
            <v>ja</v>
          </cell>
          <cell r="C152" t="str">
            <v>チェイン12 HP回復</v>
          </cell>
          <cell r="D152" t="str">
            <v>自身が先頭の時、1タップで12個以上パネルを繋げた場合にHPを2000回復(1ターンに1度だけ発動)</v>
          </cell>
        </row>
        <row r="153">
          <cell r="A153">
            <v>1400</v>
          </cell>
          <cell r="B153" t="str">
            <v>ja</v>
          </cell>
          <cell r="C153" t="str">
            <v>カウンター威力UP</v>
          </cell>
          <cell r="D153" t="str">
            <v>4ターン毎に自身のカウンタースキルの威力が1ターンの間UP</v>
          </cell>
        </row>
        <row r="154">
          <cell r="A154">
            <v>1500</v>
          </cell>
          <cell r="B154" t="str">
            <v>ja</v>
          </cell>
          <cell r="C154" t="str">
            <v>バリア15000</v>
          </cell>
          <cell r="D154" t="str">
            <v>戦闘開始時に、自身への直接ダメージを15000まで防ぐバリアを一度だけ展開(バリアは破壊されると復活しない)</v>
          </cell>
        </row>
        <row r="155">
          <cell r="A155">
            <v>1501</v>
          </cell>
          <cell r="B155" t="str">
            <v>ja</v>
          </cell>
          <cell r="C155" t="str">
            <v>バリア</v>
          </cell>
          <cell r="D155" t="str">
            <v>戦闘開始時に、ダメージを25000まで防ぐバリアを一度だけ展開</v>
          </cell>
        </row>
        <row r="156">
          <cell r="A156">
            <v>1502</v>
          </cell>
          <cell r="B156" t="str">
            <v>ja</v>
          </cell>
          <cell r="C156" t="str">
            <v>バリア</v>
          </cell>
          <cell r="D156" t="str">
            <v>戦闘開始時に、ダメージを50000まで防ぐバリアを一度だけ展開</v>
          </cell>
        </row>
        <row r="157">
          <cell r="A157">
            <v>1503</v>
          </cell>
          <cell r="B157" t="str">
            <v>ja</v>
          </cell>
          <cell r="C157" t="str">
            <v>バリア8000</v>
          </cell>
          <cell r="D157" t="str">
            <v>戦闘開始時に、自身への直接ダメージを8000まで防ぐバリアを一度だけ展開(バリアは破壊されると復活しない)</v>
          </cell>
        </row>
        <row r="158">
          <cell r="A158">
            <v>1504</v>
          </cell>
          <cell r="B158" t="str">
            <v>ja</v>
          </cell>
          <cell r="C158" t="str">
            <v>バリア10000</v>
          </cell>
          <cell r="D158" t="str">
            <v>戦闘開始時に、自身への直接ダメージを10000まで防ぐバリアを一度だけ展開(バリアは破壊されると復活しない)</v>
          </cell>
        </row>
        <row r="159">
          <cell r="A159">
            <v>1505</v>
          </cell>
          <cell r="B159" t="str">
            <v>ja</v>
          </cell>
          <cell r="C159" t="str">
            <v>バリア3939</v>
          </cell>
          <cell r="D159" t="str">
            <v>戦闘開始時に、自身への直接ダメージを3939まで防ぐバリアを一度だけ展開(バリアは破壊されると復活しない)</v>
          </cell>
        </row>
        <row r="160">
          <cell r="A160">
            <v>1600</v>
          </cell>
          <cell r="B160" t="str">
            <v>ja</v>
          </cell>
          <cell r="C160" t="str">
            <v>攻撃力・回復力UP</v>
          </cell>
          <cell r="D160" t="str">
            <v>自身の攻撃力と回復力をUP</v>
          </cell>
        </row>
        <row r="161">
          <cell r="A161">
            <v>1700</v>
          </cell>
          <cell r="B161" t="str">
            <v>ja</v>
          </cell>
          <cell r="C161" t="str">
            <v>パネルブレイク30 ターンHP小回復</v>
          </cell>
          <cell r="D161" t="str">
            <v>自身が先頭の時、1ターンの間に合計30個以上パネルを破壊した場合に1ターン HP小回復</v>
          </cell>
        </row>
        <row r="162">
          <cell r="A162">
            <v>1800</v>
          </cell>
          <cell r="B162" t="str">
            <v>ja</v>
          </cell>
          <cell r="C162" t="str">
            <v>フィーバー強化</v>
          </cell>
          <cell r="D162" t="str">
            <v>フィーバー時自身の攻撃力、回復力を特大UP</v>
          </cell>
        </row>
        <row r="163">
          <cell r="A163">
            <v>1900</v>
          </cell>
          <cell r="B163" t="str">
            <v>ja</v>
          </cell>
          <cell r="C163" t="str">
            <v>ハート出現率UP</v>
          </cell>
          <cell r="D163" t="str">
            <v>自身が先頭の時、ハートパネルの出現率UP</v>
          </cell>
        </row>
        <row r="164">
          <cell r="A164">
            <v>2000</v>
          </cell>
          <cell r="B164" t="str">
            <v>ja</v>
          </cell>
          <cell r="C164" t="str">
            <v>赤パネル出現率UP</v>
          </cell>
          <cell r="D164" t="str">
            <v>自身が先頭の時、赤パネルの出現率UP</v>
          </cell>
        </row>
        <row r="165">
          <cell r="A165">
            <v>2100</v>
          </cell>
          <cell r="B165" t="str">
            <v>ja</v>
          </cell>
          <cell r="C165" t="str">
            <v>緑パネル出現率UP</v>
          </cell>
          <cell r="D165" t="str">
            <v>自身が先頭の時、緑パネルの出現率UP</v>
          </cell>
        </row>
        <row r="166">
          <cell r="A166">
            <v>2200</v>
          </cell>
          <cell r="B166" t="str">
            <v>ja</v>
          </cell>
          <cell r="C166" t="str">
            <v>青パネル出現率UP</v>
          </cell>
          <cell r="D166" t="str">
            <v>自身が先頭の時、青パネルの出現率UP</v>
          </cell>
        </row>
        <row r="167">
          <cell r="A167">
            <v>2300</v>
          </cell>
          <cell r="B167" t="str">
            <v>ja</v>
          </cell>
          <cell r="C167" t="str">
            <v>黄パネル出現率UP</v>
          </cell>
          <cell r="D167" t="str">
            <v>自身が先頭の時、黄パネルの出現率UP</v>
          </cell>
        </row>
        <row r="168">
          <cell r="A168">
            <v>2400</v>
          </cell>
          <cell r="B168" t="str">
            <v>ja</v>
          </cell>
          <cell r="C168" t="str">
            <v>ハートボムパネルドロップ</v>
          </cell>
          <cell r="D168" t="str">
            <v>自身が先頭の時、ハートパネルを確率でハートボムパネルに変換しドロップ</v>
          </cell>
        </row>
        <row r="169">
          <cell r="A169">
            <v>2401</v>
          </cell>
          <cell r="B169" t="str">
            <v>ja</v>
          </cell>
          <cell r="C169" t="str">
            <v>赤ボムパネルドロップ</v>
          </cell>
          <cell r="D169" t="str">
            <v>自身が先頭の時、赤パネルを低確率で赤ボムパネルに変換しドロップ</v>
          </cell>
        </row>
        <row r="170">
          <cell r="A170">
            <v>2402</v>
          </cell>
          <cell r="B170" t="str">
            <v>ja</v>
          </cell>
          <cell r="C170" t="str">
            <v>緑ボムパネルドロップ</v>
          </cell>
          <cell r="D170" t="str">
            <v>自身が先頭の時、緑パネルを低確率で緑ボムパネルに変換しドロップ</v>
          </cell>
        </row>
        <row r="171">
          <cell r="A171">
            <v>2403</v>
          </cell>
          <cell r="B171" t="str">
            <v>ja</v>
          </cell>
          <cell r="C171" t="str">
            <v>青ボムパネルドロップ</v>
          </cell>
          <cell r="D171" t="str">
            <v>自身が先頭の時、青パネルを確率で青ボムパネルに変換しドロップ</v>
          </cell>
        </row>
        <row r="172">
          <cell r="A172">
            <v>2500</v>
          </cell>
          <cell r="B172" t="str">
            <v>ja</v>
          </cell>
          <cell r="C172" t="str">
            <v>青パネルドロップ</v>
          </cell>
          <cell r="D172" t="str">
            <v>自身が先頭の時、緑パネルを確率で青パネルに変換しドロップ</v>
          </cell>
        </row>
        <row r="173">
          <cell r="A173">
            <v>2501</v>
          </cell>
          <cell r="B173" t="str">
            <v>ja</v>
          </cell>
          <cell r="C173" t="str">
            <v>黄パネルドロップ</v>
          </cell>
          <cell r="D173" t="str">
            <v>自身が先頭の時、青パネルを確率で黄パネルに変換しドロップ</v>
          </cell>
        </row>
        <row r="174">
          <cell r="A174">
            <v>2502</v>
          </cell>
          <cell r="B174" t="str">
            <v>ja</v>
          </cell>
          <cell r="C174" t="str">
            <v>赤パネルドロップ</v>
          </cell>
          <cell r="D174" t="str">
            <v>自身が先頭の時、黄パネルを確率で赤パネルに変換しドロップ</v>
          </cell>
        </row>
        <row r="175">
          <cell r="A175">
            <v>2503</v>
          </cell>
          <cell r="B175" t="str">
            <v>ja</v>
          </cell>
          <cell r="C175" t="str">
            <v>黄パネルドロップ</v>
          </cell>
          <cell r="D175" t="str">
            <v>自身が先頭の時、赤パネルを確率で黄パネルに変換しドロップ</v>
          </cell>
        </row>
        <row r="176">
          <cell r="A176">
            <v>2504</v>
          </cell>
          <cell r="B176" t="str">
            <v>ja</v>
          </cell>
          <cell r="C176" t="str">
            <v>SCパネルドロップ</v>
          </cell>
          <cell r="D176" t="str">
            <v>自身が先頭の時、緑パネルを確率でSCパネルに変換しドロップ</v>
          </cell>
        </row>
        <row r="177">
          <cell r="A177">
            <v>2505</v>
          </cell>
          <cell r="B177" t="str">
            <v>ja</v>
          </cell>
          <cell r="C177" t="str">
            <v>緑ボムパネル(大)ドロップ</v>
          </cell>
          <cell r="D177" t="str">
            <v>自身が先頭の時、低確率で緑ボムパネル(大)をドロップ</v>
          </cell>
        </row>
        <row r="178">
          <cell r="A178">
            <v>2506</v>
          </cell>
          <cell r="B178" t="str">
            <v>ja</v>
          </cell>
          <cell r="C178" t="str">
            <v>ハートボムパネル(大)ドロップ</v>
          </cell>
          <cell r="D178" t="str">
            <v>自身が先頭の時、低確率でハートボムパネル(大)をドロップ</v>
          </cell>
        </row>
        <row r="179">
          <cell r="A179">
            <v>2507</v>
          </cell>
          <cell r="B179" t="str">
            <v>ja</v>
          </cell>
          <cell r="C179" t="str">
            <v>Cパネルドロップ</v>
          </cell>
          <cell r="D179" t="str">
            <v>自身が先頭の時、低確率でCパネルをドロップ</v>
          </cell>
        </row>
        <row r="180">
          <cell r="A180">
            <v>2600</v>
          </cell>
          <cell r="B180" t="str">
            <v>ja</v>
          </cell>
          <cell r="C180" t="str">
            <v>回復力400UP</v>
          </cell>
          <cell r="D180" t="str">
            <v>自身の回復力を400UP</v>
          </cell>
        </row>
        <row r="181">
          <cell r="A181">
            <v>2601</v>
          </cell>
          <cell r="B181" t="str">
            <v>ja</v>
          </cell>
          <cell r="C181" t="str">
            <v>回復力300UP</v>
          </cell>
          <cell r="D181" t="str">
            <v>自身の回復力を300UP</v>
          </cell>
        </row>
        <row r="182">
          <cell r="A182">
            <v>2700</v>
          </cell>
          <cell r="B182" t="str">
            <v>ja</v>
          </cell>
          <cell r="C182" t="str">
            <v>攻撃力UP</v>
          </cell>
          <cell r="D182" t="str">
            <v>自身の攻撃力を300UP</v>
          </cell>
        </row>
        <row r="183">
          <cell r="A183">
            <v>2701</v>
          </cell>
          <cell r="B183" t="str">
            <v>ja</v>
          </cell>
          <cell r="C183" t="str">
            <v>攻撃力UP</v>
          </cell>
          <cell r="D183" t="str">
            <v>自身の攻撃力を500UP</v>
          </cell>
        </row>
        <row r="184">
          <cell r="A184">
            <v>2800</v>
          </cell>
          <cell r="B184" t="str">
            <v>ja</v>
          </cell>
          <cell r="C184" t="str">
            <v>防御力UP</v>
          </cell>
          <cell r="D184" t="str">
            <v>自身の防御力を250UP</v>
          </cell>
        </row>
        <row r="185">
          <cell r="A185">
            <v>2801</v>
          </cell>
          <cell r="B185" t="str">
            <v>ja</v>
          </cell>
          <cell r="C185" t="str">
            <v>防御力UP</v>
          </cell>
          <cell r="D185" t="str">
            <v>自身の防御力を350UP</v>
          </cell>
        </row>
        <row r="186">
          <cell r="A186">
            <v>2802</v>
          </cell>
          <cell r="B186" t="str">
            <v>ja</v>
          </cell>
          <cell r="C186" t="str">
            <v>防御力UP</v>
          </cell>
          <cell r="D186" t="str">
            <v>自身の防御力を300UP</v>
          </cell>
        </row>
        <row r="187">
          <cell r="A187">
            <v>2803</v>
          </cell>
          <cell r="B187" t="str">
            <v>ja</v>
          </cell>
          <cell r="C187" t="str">
            <v>防御力UP</v>
          </cell>
          <cell r="D187" t="str">
            <v>自身の防御力を400UP</v>
          </cell>
        </row>
        <row r="188">
          <cell r="A188">
            <v>2900</v>
          </cell>
          <cell r="B188" t="str">
            <v>ja</v>
          </cell>
          <cell r="C188" t="str">
            <v>フィーバー50 攻撃力小UP</v>
          </cell>
          <cell r="D188" t="str">
            <v>フィーバーゲージが50％以上の時、自身の攻撃力小UP</v>
          </cell>
        </row>
        <row r="189">
          <cell r="A189">
            <v>2901</v>
          </cell>
          <cell r="B189" t="str">
            <v>ja</v>
          </cell>
          <cell r="C189" t="str">
            <v>フィーバー40 攻撃力UP</v>
          </cell>
          <cell r="D189" t="str">
            <v>フィーバーゲージが40％以上の時、自身の攻撃力UP</v>
          </cell>
        </row>
        <row r="190">
          <cell r="A190">
            <v>9000</v>
          </cell>
          <cell r="B190" t="str">
            <v>ja</v>
          </cell>
          <cell r="C190" t="str">
            <v>ハップルチャレンジ ダメージUP</v>
          </cell>
          <cell r="D190" t="str">
            <v>ハップルチャレンジ内で自身の全ての攻撃の威力をUP</v>
          </cell>
        </row>
        <row r="191">
          <cell r="A191">
            <v>119402</v>
          </cell>
          <cell r="B191" t="str">
            <v>ja</v>
          </cell>
          <cell r="C191" t="str">
            <v>ハロウィンナイトパニック！ 威力UP</v>
          </cell>
          <cell r="D191" t="str">
            <v>ハロウィンナイトパニック！内で自身の全ての攻撃の威力を究極UP</v>
          </cell>
        </row>
        <row r="192">
          <cell r="A192">
            <v>808082</v>
          </cell>
          <cell r="B192" t="str">
            <v>ja</v>
          </cell>
          <cell r="C192" t="str">
            <v>Cパネルドロップ</v>
          </cell>
          <cell r="D192" t="str">
            <v>自身が先頭の時、低確率でCパネルをドロップ</v>
          </cell>
        </row>
        <row r="193">
          <cell r="A193">
            <v>2000</v>
          </cell>
          <cell r="B193" t="str">
            <v>ja</v>
          </cell>
          <cell r="C193" t="str">
            <v>赤パネル出現率UP</v>
          </cell>
          <cell r="D193" t="str">
            <v>自身が先頭の時、赤パネルの出現率UP</v>
          </cell>
        </row>
        <row r="194">
          <cell r="A194">
            <v>2100</v>
          </cell>
          <cell r="B194" t="str">
            <v>ja</v>
          </cell>
          <cell r="C194" t="str">
            <v>緑パネル出現率UP</v>
          </cell>
          <cell r="D194" t="str">
            <v>自身が先頭の時、緑パネルの出現率UP</v>
          </cell>
        </row>
        <row r="195">
          <cell r="A195">
            <v>2101</v>
          </cell>
          <cell r="B195" t="str">
            <v>ja</v>
          </cell>
          <cell r="C195" t="str">
            <v>緑パネル出現率UP</v>
          </cell>
          <cell r="D195" t="str">
            <v>自身が先頭の時、緑パネルの出現率UP</v>
          </cell>
        </row>
        <row r="196">
          <cell r="A196">
            <v>2200</v>
          </cell>
          <cell r="B196" t="str">
            <v>ja</v>
          </cell>
          <cell r="C196" t="str">
            <v>青パネル出現率UP</v>
          </cell>
          <cell r="D196" t="str">
            <v>自身が先頭の時、青パネルの出現率UP</v>
          </cell>
        </row>
        <row r="197">
          <cell r="A197">
            <v>2201</v>
          </cell>
          <cell r="B197" t="str">
            <v>ja</v>
          </cell>
          <cell r="C197" t="str">
            <v>青パネル出現率UP</v>
          </cell>
          <cell r="D197" t="str">
            <v>自身が先頭の時、青パネルの出現率UP</v>
          </cell>
        </row>
        <row r="198">
          <cell r="A198">
            <v>2300</v>
          </cell>
          <cell r="B198" t="str">
            <v>ja</v>
          </cell>
          <cell r="C198" t="str">
            <v>黄パネル出現率UP</v>
          </cell>
          <cell r="D198" t="str">
            <v>自身が先頭の時、黄パネルの出現率UP</v>
          </cell>
        </row>
        <row r="199">
          <cell r="A199">
            <v>2400</v>
          </cell>
          <cell r="B199" t="str">
            <v>ja</v>
          </cell>
          <cell r="C199" t="str">
            <v>ハートボムパネルドロップ</v>
          </cell>
          <cell r="D199" t="str">
            <v>自身が先頭の時、ハートパネルを確率でハートボムパネルに変換しドロップ</v>
          </cell>
        </row>
        <row r="200">
          <cell r="A200">
            <v>2401</v>
          </cell>
          <cell r="B200" t="str">
            <v>ja</v>
          </cell>
          <cell r="C200" t="str">
            <v>赤ボムパネルドロップ</v>
          </cell>
          <cell r="D200" t="str">
            <v>自身が先頭の時、赤パネルを低確率で赤ボムパネルに変換しドロップ</v>
          </cell>
        </row>
        <row r="201">
          <cell r="A201">
            <v>2402</v>
          </cell>
          <cell r="B201" t="str">
            <v>ja</v>
          </cell>
          <cell r="C201" t="str">
            <v>緑ボムパネルドロップ</v>
          </cell>
          <cell r="D201" t="str">
            <v>自身が先頭の時、緑パネルを低確率で緑ボムパネルに変換しドロップ</v>
          </cell>
        </row>
        <row r="202">
          <cell r="A202">
            <v>2403</v>
          </cell>
          <cell r="B202" t="str">
            <v>ja</v>
          </cell>
          <cell r="C202" t="str">
            <v>青ボムパネルドロップ</v>
          </cell>
          <cell r="D202" t="str">
            <v>自身が先頭の時、青パネルを確率で青ボムパネルに変換しドロップ</v>
          </cell>
        </row>
        <row r="203">
          <cell r="A203">
            <v>2500</v>
          </cell>
          <cell r="B203" t="str">
            <v>ja</v>
          </cell>
          <cell r="C203" t="str">
            <v>青パネルドロップ</v>
          </cell>
          <cell r="D203" t="str">
            <v>自身が先頭の時、緑パネルを確率で青パネルに変換しドロップ</v>
          </cell>
        </row>
        <row r="204">
          <cell r="A204">
            <v>2501</v>
          </cell>
          <cell r="B204" t="str">
            <v>ja</v>
          </cell>
          <cell r="C204" t="str">
            <v>黄パネルドロップ</v>
          </cell>
          <cell r="D204" t="str">
            <v>自身が先頭の時、青パネルを確率で黄パネルに変換しドロップ</v>
          </cell>
        </row>
        <row r="205">
          <cell r="A205">
            <v>2502</v>
          </cell>
          <cell r="B205" t="str">
            <v>ja</v>
          </cell>
          <cell r="C205" t="str">
            <v>赤パネルドロップ</v>
          </cell>
          <cell r="D205" t="str">
            <v>自身が先頭の時、黄パネルを確率で赤パネルに変換しドロップ</v>
          </cell>
        </row>
        <row r="206">
          <cell r="A206">
            <v>2503</v>
          </cell>
          <cell r="B206" t="str">
            <v>ja</v>
          </cell>
          <cell r="C206" t="str">
            <v>黄パネルドロップ</v>
          </cell>
          <cell r="D206" t="str">
            <v>自身が先頭の時、赤パネルを確率で黄パネルに変換しドロップ</v>
          </cell>
        </row>
        <row r="207">
          <cell r="A207">
            <v>2504</v>
          </cell>
          <cell r="B207" t="str">
            <v>ja</v>
          </cell>
          <cell r="C207" t="str">
            <v>SCパネルドロップ</v>
          </cell>
          <cell r="D207" t="str">
            <v>自身が先頭の時、緑パネルを確率でSCパネルに変換しドロップ</v>
          </cell>
        </row>
        <row r="208">
          <cell r="A208">
            <v>2505</v>
          </cell>
          <cell r="B208" t="str">
            <v>ja</v>
          </cell>
          <cell r="C208" t="str">
            <v>緑ボムパネル(大)ドロップ</v>
          </cell>
          <cell r="D208" t="str">
            <v>自身が先頭の時、低確率で緑ボムパネル(大)をドロップ</v>
          </cell>
        </row>
        <row r="209">
          <cell r="A209">
            <v>2506</v>
          </cell>
          <cell r="B209" t="str">
            <v>ja</v>
          </cell>
          <cell r="C209" t="str">
            <v>ハートボムパネル(大)ドロップ</v>
          </cell>
          <cell r="D209" t="str">
            <v>自身が先頭の時、低確率でハートボムパネル(大)をドロップ</v>
          </cell>
        </row>
        <row r="210">
          <cell r="A210">
            <v>2507</v>
          </cell>
          <cell r="B210" t="str">
            <v>ja</v>
          </cell>
          <cell r="C210" t="str">
            <v>Cパネルドロップ</v>
          </cell>
          <cell r="D210" t="str">
            <v>自身が先頭の時、低確率でCパネルをドロップ</v>
          </cell>
        </row>
        <row r="211">
          <cell r="A211">
            <v>2508</v>
          </cell>
          <cell r="B211" t="str">
            <v>ja</v>
          </cell>
          <cell r="C211" t="str">
            <v>黄パネルドロップ</v>
          </cell>
          <cell r="D211" t="str">
            <v>自身が先頭の時、緑パネルを確率で黄パネルに変換しドロップ</v>
          </cell>
        </row>
        <row r="212">
          <cell r="A212">
            <v>2509</v>
          </cell>
          <cell r="B212" t="str">
            <v>ja</v>
          </cell>
          <cell r="C212" t="str">
            <v>赤ボムパネル(大)ドロップ</v>
          </cell>
          <cell r="D212" t="str">
            <v>自身が先頭の時、低確率で赤ボムパネル(大)をドロップ</v>
          </cell>
        </row>
        <row r="213">
          <cell r="A213">
            <v>2510</v>
          </cell>
          <cell r="B213" t="str">
            <v>ja</v>
          </cell>
          <cell r="C213" t="str">
            <v>青ボムパネル(大)ドロップ</v>
          </cell>
          <cell r="D213" t="str">
            <v>自身が先頭の時、低確率で青ボムパネル(大)をドロップ</v>
          </cell>
        </row>
        <row r="214">
          <cell r="A214">
            <v>2511</v>
          </cell>
          <cell r="B214" t="str">
            <v>ja</v>
          </cell>
          <cell r="C214" t="str">
            <v>緑ボムパネルドロップ</v>
          </cell>
          <cell r="D214" t="str">
            <v>自身が先頭の時、ハートパネルを確率で緑ボムパネルに変換しドロップ</v>
          </cell>
        </row>
        <row r="215">
          <cell r="A215">
            <v>2512</v>
          </cell>
          <cell r="B215" t="str">
            <v>ja</v>
          </cell>
          <cell r="C215" t="str">
            <v>ハートボムパネル(大)ドロップ</v>
          </cell>
          <cell r="D215" t="str">
            <v>自身が先頭の時、低確率でハートボムパネル(大)をドロップ</v>
          </cell>
        </row>
        <row r="216">
          <cell r="A216">
            <v>2513</v>
          </cell>
          <cell r="B216" t="str">
            <v>ja</v>
          </cell>
          <cell r="C216" t="str">
            <v>緑ボムパネル(大)ドロップ</v>
          </cell>
          <cell r="D216" t="str">
            <v>自身が先頭の時、低確率で緑ボムパネル(大)をドロップ</v>
          </cell>
        </row>
        <row r="217">
          <cell r="A217">
            <v>2600</v>
          </cell>
          <cell r="B217" t="str">
            <v>ja</v>
          </cell>
          <cell r="C217" t="str">
            <v>回復力400UP</v>
          </cell>
          <cell r="D217" t="str">
            <v>自身の回復力を400UP</v>
          </cell>
        </row>
        <row r="218">
          <cell r="A218">
            <v>2601</v>
          </cell>
          <cell r="B218" t="str">
            <v>ja</v>
          </cell>
          <cell r="C218" t="str">
            <v>回復力300UP</v>
          </cell>
          <cell r="D218" t="str">
            <v>自身の回復力を300UP</v>
          </cell>
        </row>
        <row r="219">
          <cell r="A219">
            <v>2700</v>
          </cell>
          <cell r="B219" t="str">
            <v>ja</v>
          </cell>
          <cell r="C219" t="str">
            <v>攻撃力UP</v>
          </cell>
          <cell r="D219" t="str">
            <v>自身の攻撃力を300UP</v>
          </cell>
        </row>
        <row r="220">
          <cell r="A220">
            <v>2701</v>
          </cell>
          <cell r="B220" t="str">
            <v>ja</v>
          </cell>
          <cell r="C220" t="str">
            <v>攻撃力UP</v>
          </cell>
          <cell r="D220" t="str">
            <v>自身の攻撃力を500UP</v>
          </cell>
        </row>
        <row r="221">
          <cell r="A221">
            <v>2800</v>
          </cell>
          <cell r="B221" t="str">
            <v>ja</v>
          </cell>
          <cell r="C221" t="str">
            <v>防御力UP</v>
          </cell>
          <cell r="D221" t="str">
            <v>自身の防御力を250UP</v>
          </cell>
        </row>
        <row r="222">
          <cell r="A222">
            <v>2801</v>
          </cell>
          <cell r="B222" t="str">
            <v>ja</v>
          </cell>
          <cell r="C222" t="str">
            <v>防御力UP</v>
          </cell>
          <cell r="D222" t="str">
            <v>自身の防御力を350UP</v>
          </cell>
        </row>
        <row r="223">
          <cell r="A223">
            <v>2802</v>
          </cell>
          <cell r="B223" t="str">
            <v>ja</v>
          </cell>
          <cell r="C223" t="str">
            <v>防御力UP</v>
          </cell>
          <cell r="D223" t="str">
            <v>自身の防御力を300UP</v>
          </cell>
        </row>
        <row r="224">
          <cell r="A224">
            <v>2803</v>
          </cell>
          <cell r="B224" t="str">
            <v>ja</v>
          </cell>
          <cell r="C224" t="str">
            <v>防御力UP</v>
          </cell>
          <cell r="D224" t="str">
            <v>自身の防御力を400UP</v>
          </cell>
        </row>
        <row r="225">
          <cell r="A225">
            <v>2804</v>
          </cell>
          <cell r="B225" t="str">
            <v>ja</v>
          </cell>
          <cell r="C225" t="str">
            <v>防御力UP</v>
          </cell>
          <cell r="D225" t="str">
            <v>自身の防御力を280UP</v>
          </cell>
        </row>
        <row r="226">
          <cell r="A226">
            <v>2900</v>
          </cell>
          <cell r="B226" t="str">
            <v>ja</v>
          </cell>
          <cell r="C226" t="str">
            <v>フィーバー50 攻撃力小UP</v>
          </cell>
          <cell r="D226" t="str">
            <v>フィーバーゲージが50％以上の時、自身の攻撃力小UP</v>
          </cell>
        </row>
        <row r="227">
          <cell r="A227">
            <v>2901</v>
          </cell>
          <cell r="B227" t="str">
            <v>ja</v>
          </cell>
          <cell r="C227" t="str">
            <v>フィーバー40 攻撃力UP</v>
          </cell>
          <cell r="D227" t="str">
            <v>フィーバーゲージが40％以上の時、自身の攻撃力UP</v>
          </cell>
        </row>
        <row r="228">
          <cell r="A228">
            <v>2902</v>
          </cell>
          <cell r="B228" t="str">
            <v>ja</v>
          </cell>
          <cell r="C228" t="str">
            <v>フィーバー80 攻撃力大UP</v>
          </cell>
          <cell r="D228" t="str">
            <v>フィーバーゲージが80％以上の時、自身の攻撃力大UP</v>
          </cell>
        </row>
        <row r="229">
          <cell r="A229">
            <v>2903</v>
          </cell>
          <cell r="B229" t="str">
            <v>ja</v>
          </cell>
          <cell r="C229" t="str">
            <v>フィーバー100 攻撃参加</v>
          </cell>
          <cell r="D229" t="str">
            <v>フィーバーゲージが100％の時、自身が先頭以外でも通常攻撃に参加する</v>
          </cell>
        </row>
        <row r="230">
          <cell r="A230">
            <v>3000</v>
          </cell>
          <cell r="B230" t="str">
            <v>ja</v>
          </cell>
          <cell r="C230" t="str">
            <v>攻撃参加</v>
          </cell>
          <cell r="D230" t="str">
            <v>最初の1ターン目と、その後7ターン毎に自身が先頭以外でも通常攻撃に参加する</v>
          </cell>
        </row>
        <row r="231">
          <cell r="A231">
            <v>3001</v>
          </cell>
          <cell r="B231" t="str">
            <v>ja</v>
          </cell>
          <cell r="C231" t="str">
            <v>攻撃参加</v>
          </cell>
          <cell r="D231" t="str">
            <v>最初の1ターン目と、その後6ターン毎に自身が先頭以外でも通常攻撃に参加する</v>
          </cell>
        </row>
        <row r="232">
          <cell r="A232">
            <v>3002</v>
          </cell>
          <cell r="B232" t="str">
            <v>ja</v>
          </cell>
          <cell r="C232" t="str">
            <v>攻撃参加</v>
          </cell>
          <cell r="D232" t="str">
            <v>最初の1ターン目と、その後9ターン毎に自身が先頭以外でも通常攻撃に参加する</v>
          </cell>
        </row>
        <row r="233">
          <cell r="A233">
            <v>3100</v>
          </cell>
          <cell r="B233" t="str">
            <v>ja</v>
          </cell>
          <cell r="C233" t="str">
            <v>ボスフロア Cパネル生成短縮(特大)</v>
          </cell>
          <cell r="D233" t="str">
            <v>ボスフロア内で自身が先頭の時、Cパネル生成に必要なチェイン数を短縮する</v>
          </cell>
        </row>
        <row r="234">
          <cell r="A234">
            <v>3101</v>
          </cell>
          <cell r="B234" t="str">
            <v>ja</v>
          </cell>
          <cell r="C234" t="str">
            <v>ボスフロア時 バリア3000</v>
          </cell>
          <cell r="D234" t="str">
            <v>ボスフロア到達時に自身への直接ダメージを3000まで防ぐバリアを一度だけ展開(バリアは破壊されると復活しない)</v>
          </cell>
        </row>
        <row r="235">
          <cell r="A235">
            <v>3102</v>
          </cell>
          <cell r="B235" t="str">
            <v>ja</v>
          </cell>
          <cell r="C235" t="str">
            <v>ボスフロア時 Cスキル威力UP</v>
          </cell>
          <cell r="D235" t="str">
            <v>ボスフロアの1ターン目終了時に自身のCスキルの威力をUP</v>
          </cell>
        </row>
        <row r="236">
          <cell r="A236">
            <v>3103</v>
          </cell>
          <cell r="B236" t="str">
            <v>ja</v>
          </cell>
          <cell r="C236" t="str">
            <v>ボスフロア 攻撃力UP</v>
          </cell>
          <cell r="D236" t="str">
            <v>ボスフロア内で自身の攻撃力を700UP</v>
          </cell>
        </row>
        <row r="237">
          <cell r="A237">
            <v>3200</v>
          </cell>
          <cell r="B237" t="str">
            <v>ja</v>
          </cell>
          <cell r="C237" t="str">
            <v>HP33%以下 攻撃力UP</v>
          </cell>
          <cell r="D237" t="str">
            <v>自身が先頭の時、残りHPが33%以下で攻撃力特大UP</v>
          </cell>
        </row>
        <row r="238">
          <cell r="A238">
            <v>3201</v>
          </cell>
          <cell r="B238" t="str">
            <v>ja</v>
          </cell>
          <cell r="C238" t="str">
            <v>HP35%以下 回復力UP</v>
          </cell>
          <cell r="D238" t="str">
            <v>自身が先頭の時、残りHPが35%以下で回復力40%UP</v>
          </cell>
        </row>
        <row r="239">
          <cell r="A239">
            <v>3202</v>
          </cell>
          <cell r="B239" t="str">
            <v>ja</v>
          </cell>
          <cell r="C239" t="str">
            <v>HP90%以上 全属性耐性15</v>
          </cell>
          <cell r="D239" t="str">
            <v>自身が先頭の時、残りHPが90%以上で全ユニットに対する全属性の敵からの攻撃を15％軽減</v>
          </cell>
        </row>
        <row r="240">
          <cell r="A240">
            <v>3203</v>
          </cell>
          <cell r="B240" t="str">
            <v>ja</v>
          </cell>
          <cell r="C240" t="str">
            <v>HP50%以下 防御力UP</v>
          </cell>
          <cell r="D240" t="str">
            <v>自身が先頭の時、残りHPが50%以下で防御力398UP</v>
          </cell>
        </row>
        <row r="241">
          <cell r="A241">
            <v>3204</v>
          </cell>
          <cell r="B241" t="str">
            <v>ja</v>
          </cell>
          <cell r="C241" t="str">
            <v>HP30%以下 攻撃力大UP</v>
          </cell>
          <cell r="D241" t="str">
            <v>自身が先頭の時、残りHPが30%以下で攻撃力大UP</v>
          </cell>
        </row>
        <row r="242">
          <cell r="A242">
            <v>3205</v>
          </cell>
          <cell r="B242" t="str">
            <v>ja</v>
          </cell>
          <cell r="C242" t="str">
            <v>HP90%以上 ダメージ軽減</v>
          </cell>
          <cell r="D242" t="str">
            <v>残りHPが90%以上の時、全ユニットが敵からの攻撃を15％軽減</v>
          </cell>
        </row>
        <row r="243">
          <cell r="A243">
            <v>4000</v>
          </cell>
          <cell r="B243" t="str">
            <v>ja</v>
          </cell>
          <cell r="C243" t="str">
            <v>被ダメージ時 HP回復</v>
          </cell>
          <cell r="D243" t="str">
            <v>自身が攻撃を受けた場合、次のターンの開始時にHP500回復する</v>
          </cell>
        </row>
        <row r="244">
          <cell r="A244">
            <v>8000</v>
          </cell>
          <cell r="B244" t="str">
            <v>ja</v>
          </cell>
          <cell r="C244" t="str">
            <v>ユニットが一番右にいるとき 攻撃力UP</v>
          </cell>
          <cell r="D244" t="str">
            <v>自身が一番右にいる場合、全ユニットの攻撃力UP</v>
          </cell>
        </row>
        <row r="245">
          <cell r="A245">
            <v>8001</v>
          </cell>
          <cell r="B245" t="str">
            <v>ja</v>
          </cell>
          <cell r="C245" t="str">
            <v>敵に青属性がいる場合 小カウンター</v>
          </cell>
          <cell r="D245" t="str">
            <v>敵に青属性がいる場合、小カウンター</v>
          </cell>
        </row>
        <row r="246">
          <cell r="A246">
            <v>8002</v>
          </cell>
          <cell r="B246" t="str">
            <v>ja</v>
          </cell>
          <cell r="C246" t="str">
            <v>テスト</v>
          </cell>
          <cell r="D246" t="str">
            <v>フロアスタート時、1ターン全ユニットの攻撃力UP</v>
          </cell>
        </row>
        <row r="247">
          <cell r="A247">
            <v>8003</v>
          </cell>
          <cell r="B247" t="str">
            <v>ja</v>
          </cell>
          <cell r="C247" t="str">
            <v>HP70%以上 ウィルス無効</v>
          </cell>
          <cell r="D247" t="str">
            <v>残りHPが70%以上で自身にかかるウィルスを無効化する</v>
          </cell>
        </row>
        <row r="248">
          <cell r="A248">
            <v>9000</v>
          </cell>
          <cell r="B248" t="str">
            <v>ja</v>
          </cell>
          <cell r="C248" t="str">
            <v>ハップルチャレンジ ダメージUP</v>
          </cell>
          <cell r="D248" t="str">
            <v>ハップルチャレンジ内で自身の全ての攻撃の威力をUP</v>
          </cell>
        </row>
        <row r="249">
          <cell r="A249">
            <v>9001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クロネッカーチャレンジ内で自身の全ての攻撃の威力をUP</v>
          </cell>
        </row>
        <row r="250">
          <cell r="A250">
            <v>9002</v>
          </cell>
          <cell r="B250" t="str">
            <v>ja</v>
          </cell>
          <cell r="C250" t="str">
            <v>クロネッカーチャレンジ ダメージUP</v>
          </cell>
          <cell r="D250" t="str">
            <v>クロネッカーチャレンジ内で自身の全ての攻撃+カウンターの威力をUP</v>
          </cell>
        </row>
        <row r="251">
          <cell r="A251">
            <v>9003</v>
          </cell>
          <cell r="B251" t="str">
            <v>ja</v>
          </cell>
          <cell r="C251" t="str">
            <v>オイラーチャレンジ ダメージUP</v>
          </cell>
          <cell r="D251" t="str">
            <v>オイラーチャレンジ内で自身の全ての攻撃の威力をUP</v>
          </cell>
        </row>
        <row r="252">
          <cell r="A252">
            <v>9004</v>
          </cell>
          <cell r="B252" t="str">
            <v>ja</v>
          </cell>
          <cell r="C252" t="str">
            <v>オイラーチャレンジ ダメージ究極UP</v>
          </cell>
          <cell r="D252" t="str">
            <v>オイラーチャレンジ内で自身の全ての攻撃の威力を究極UP</v>
          </cell>
        </row>
        <row r="253">
          <cell r="A253">
            <v>119402</v>
          </cell>
          <cell r="B253" t="str">
            <v>ja</v>
          </cell>
          <cell r="C253" t="str">
            <v>ハロウィンナイトパニック！ 威力UP</v>
          </cell>
          <cell r="D253" t="str">
            <v>ハロウィンナイトパニック！内で自身の全ての攻撃の威力を究極UP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3202</v>
          </cell>
          <cell r="B260" t="str">
            <v>ja</v>
          </cell>
          <cell r="C260" t="str">
            <v>HP90%以上 全属性耐性15</v>
          </cell>
          <cell r="D260" t="str">
            <v>自身が先頭の時、残りHPが90%以上で全ユニットに対する全属性の敵からの攻撃を15％軽減</v>
          </cell>
        </row>
        <row r="261">
          <cell r="A261">
            <v>3203</v>
          </cell>
          <cell r="B261" t="str">
            <v>ja</v>
          </cell>
          <cell r="C261" t="str">
            <v>HP50%以下 防御力UP</v>
          </cell>
          <cell r="D261" t="str">
            <v>自身が先頭の時、残りHPが50%以下で防御力398UP</v>
          </cell>
        </row>
        <row r="262">
          <cell r="A262">
            <v>3204</v>
          </cell>
          <cell r="B262" t="str">
            <v>ja</v>
          </cell>
          <cell r="C262" t="str">
            <v>HP30%以下 攻撃力大UP</v>
          </cell>
          <cell r="D262" t="str">
            <v>自身が先頭の時、残りHPが30%以下で攻撃力大UP</v>
          </cell>
        </row>
        <row r="263">
          <cell r="A263">
            <v>3205</v>
          </cell>
          <cell r="B263" t="str">
            <v>ja</v>
          </cell>
          <cell r="C263" t="str">
            <v>HP90%以上 ダメージ軽減</v>
          </cell>
          <cell r="D263" t="str">
            <v>残りHPが90%以上の時、全ユニットが敵からの攻撃を15％軽減</v>
          </cell>
        </row>
        <row r="264">
          <cell r="A264">
            <v>3206</v>
          </cell>
          <cell r="B264" t="str">
            <v>ja</v>
          </cell>
          <cell r="C264" t="str">
            <v>HP30%以下 回復力UP</v>
          </cell>
          <cell r="D264" t="str">
            <v>残りHPが30%以下の時、全ユニットの回復力20%UP</v>
          </cell>
        </row>
        <row r="265">
          <cell r="A265">
            <v>4000</v>
          </cell>
          <cell r="B265" t="str">
            <v>ja</v>
          </cell>
          <cell r="C265" t="str">
            <v>被ダメージ時 HP回復</v>
          </cell>
          <cell r="D265" t="str">
            <v>自身が攻撃を受けた場合、次のターンの開始時にHP500回復する</v>
          </cell>
        </row>
        <row r="266">
          <cell r="A266">
            <v>5000</v>
          </cell>
          <cell r="B266" t="str">
            <v>ja</v>
          </cell>
          <cell r="C266" t="str">
            <v>パーティー内ゴッド 攻撃力UP</v>
          </cell>
          <cell r="D266" t="str">
            <v>パーティー内に種族ゴッドがいる時、全ユニットの攻撃力を500UP</v>
          </cell>
        </row>
        <row r="267">
          <cell r="A267">
            <v>5001</v>
          </cell>
          <cell r="B267" t="str">
            <v>ja</v>
          </cell>
          <cell r="C267" t="str">
            <v>パーティー内バランス 回復力UP</v>
          </cell>
          <cell r="D267" t="str">
            <v>パーティー内にバランスタイプがいる時、全ユニットの回復力を500UP</v>
          </cell>
        </row>
        <row r="268">
          <cell r="A268">
            <v>5002</v>
          </cell>
          <cell r="B268" t="str">
            <v>ja</v>
          </cell>
          <cell r="C268" t="str">
            <v>パーティー内青属性 攻撃力UP</v>
          </cell>
          <cell r="D268" t="str">
            <v>パーティー内に青属性ユニットがいる時、全ユニットの攻撃力を700UP</v>
          </cell>
        </row>
        <row r="269">
          <cell r="A269">
            <v>5003</v>
          </cell>
          <cell r="B269" t="str">
            <v>ja</v>
          </cell>
          <cell r="C269" t="str">
            <v>パーティー内赤属性 自身攻撃力UP</v>
          </cell>
          <cell r="D269" t="str">
            <v>パーティー内に赤属性ユニットがいる時、自身の攻撃力を1500UP</v>
          </cell>
        </row>
        <row r="270">
          <cell r="A270">
            <v>8000</v>
          </cell>
          <cell r="B270" t="str">
            <v>ja</v>
          </cell>
          <cell r="C270" t="str">
            <v>ユニットが一番右にいるとき 攻撃力UP</v>
          </cell>
          <cell r="D270" t="str">
            <v>自身が一番右にいる場合、全ユニットの攻撃力UP</v>
          </cell>
        </row>
        <row r="271">
          <cell r="A271">
            <v>8001</v>
          </cell>
          <cell r="B271" t="str">
            <v>ja</v>
          </cell>
          <cell r="C271" t="str">
            <v>敵に青属性がいる場合 小カウンター</v>
          </cell>
          <cell r="D271" t="str">
            <v>敵に青属性がいる場合、小カウンター</v>
          </cell>
        </row>
        <row r="272">
          <cell r="A272">
            <v>8002</v>
          </cell>
          <cell r="B272" t="str">
            <v>ja</v>
          </cell>
          <cell r="C272" t="str">
            <v>テスト</v>
          </cell>
          <cell r="D272" t="str">
            <v>フロアスタート時、1ターン全ユニットの攻撃力UP</v>
          </cell>
        </row>
        <row r="273">
          <cell r="A273">
            <v>8003</v>
          </cell>
          <cell r="B273" t="str">
            <v>ja</v>
          </cell>
          <cell r="C273" t="str">
            <v>HP70%以上 ウィルス無効</v>
          </cell>
          <cell r="D273" t="str">
            <v>残りHPが70%以上で自身にかかるウィルスを無効化する</v>
          </cell>
        </row>
        <row r="274">
          <cell r="A274">
            <v>8004</v>
          </cell>
          <cell r="B274" t="str">
            <v>ja</v>
          </cell>
          <cell r="C274" t="str">
            <v>フロアスタート時 スキルブースト</v>
          </cell>
          <cell r="D274" t="str">
            <v>フロアスタート時、1ターンスキルブースト</v>
          </cell>
        </row>
        <row r="275">
          <cell r="A275">
            <v>8005</v>
          </cell>
          <cell r="B275" t="str">
            <v>ja</v>
          </cell>
          <cell r="C275" t="str">
            <v>ハートがハートボム大</v>
          </cell>
          <cell r="D275" t="str">
            <v>ハートがハートボム大</v>
          </cell>
        </row>
        <row r="276">
          <cell r="A276">
            <v>8006</v>
          </cell>
          <cell r="B276" t="str">
            <v>ja</v>
          </cell>
          <cell r="C276" t="str">
            <v>攻撃、回復、体力のCP短縮1</v>
          </cell>
          <cell r="D276" t="str">
            <v>攻撃、回復、体力のCP短縮1</v>
          </cell>
        </row>
        <row r="277">
          <cell r="A277">
            <v>8007</v>
          </cell>
          <cell r="B277" t="str">
            <v>ja</v>
          </cell>
          <cell r="C277" t="str">
            <v>自身の左ユニットが攻撃参加</v>
          </cell>
          <cell r="D277" t="str">
            <v>自身の左ユニットが攻撃参加</v>
          </cell>
        </row>
        <row r="278">
          <cell r="A278">
            <v>9000</v>
          </cell>
          <cell r="B278" t="str">
            <v>ja</v>
          </cell>
          <cell r="C278" t="str">
            <v>ハップルチャレンジ ダメージUP</v>
          </cell>
          <cell r="D278" t="str">
            <v>ハップルチャレンジ内で自身の全ての攻撃の威力をUP</v>
          </cell>
        </row>
        <row r="279">
          <cell r="A279">
            <v>9001</v>
          </cell>
          <cell r="B279" t="str">
            <v>ja</v>
          </cell>
          <cell r="C279" t="str">
            <v>クロネッカーチャレンジ ダメージUP</v>
          </cell>
          <cell r="D279" t="str">
            <v>クロネッカーチャレンジ内で自身の全ての攻撃の威力をUP</v>
          </cell>
        </row>
        <row r="280">
          <cell r="A280">
            <v>9002</v>
          </cell>
          <cell r="B280" t="str">
            <v>ja</v>
          </cell>
          <cell r="C280" t="str">
            <v>クロネッカーチャレンジ ダメージUP</v>
          </cell>
          <cell r="D280" t="str">
            <v>クロネッカーチャレンジ内で自身の全ての攻撃+カウンターの威力をUP</v>
          </cell>
        </row>
        <row r="281">
          <cell r="A281">
            <v>9003</v>
          </cell>
          <cell r="B281" t="str">
            <v>ja</v>
          </cell>
          <cell r="C281" t="str">
            <v>オイラーチャレンジ ダメージUP</v>
          </cell>
          <cell r="D281" t="str">
            <v>オイラーチャレンジ内で自身の全ての攻撃の威力をUP</v>
          </cell>
        </row>
        <row r="282">
          <cell r="A282">
            <v>9004</v>
          </cell>
          <cell r="B282" t="str">
            <v>ja</v>
          </cell>
          <cell r="C282" t="str">
            <v>オイラーチャレンジ ダメージ究極UP</v>
          </cell>
          <cell r="D282" t="str">
            <v>オイラーチャレンジ内で自身の全ての攻撃の威力を究極UP</v>
          </cell>
        </row>
        <row r="283">
          <cell r="A283">
            <v>9005</v>
          </cell>
          <cell r="B283" t="str">
            <v>ja</v>
          </cell>
          <cell r="C283" t="str">
            <v>ヘンペルチャレンジ ダメージUP</v>
          </cell>
          <cell r="D283" t="str">
            <v>ヘンペルチャレンジ内で自身の全ての攻撃の威力をUP</v>
          </cell>
        </row>
        <row r="284">
          <cell r="A284">
            <v>9006</v>
          </cell>
          <cell r="B284" t="str">
            <v>ja</v>
          </cell>
          <cell r="C284" t="str">
            <v>ヘンペルチャレンジ ダメージUP</v>
          </cell>
          <cell r="D284" t="str">
            <v>ヘンペルチャレンジ内で自身の全ての攻撃+カウンターの威力をUP</v>
          </cell>
        </row>
        <row r="285">
          <cell r="A285">
            <v>9007</v>
          </cell>
          <cell r="B285" t="str">
            <v>ja</v>
          </cell>
          <cell r="C285" t="str">
            <v>フロイトチャレンジ ダメージ究極UP</v>
          </cell>
          <cell r="D285" t="str">
            <v>フロイトチャレンジ内で自身の全ての攻撃の威力を究極UP</v>
          </cell>
        </row>
        <row r="286">
          <cell r="A286">
            <v>9008</v>
          </cell>
          <cell r="B286" t="str">
            <v>ja</v>
          </cell>
          <cell r="C286" t="str">
            <v>フロイトチャレンジ ダメージUP</v>
          </cell>
          <cell r="D286" t="str">
            <v>フロイトチャレンジ内で自身の全ての攻撃の威力をUP</v>
          </cell>
        </row>
        <row r="287">
          <cell r="A287">
            <v>9009</v>
          </cell>
          <cell r="B287" t="str">
            <v>ja</v>
          </cell>
          <cell r="C287" t="str">
            <v>フロイトチャレンジ ダメージUP</v>
          </cell>
          <cell r="D287" t="str">
            <v>フロイトチャレンジ内で自身の全ての攻撃+カウンターの威力をUP</v>
          </cell>
        </row>
        <row r="288">
          <cell r="A288">
            <v>119402</v>
          </cell>
          <cell r="B288" t="str">
            <v>ja</v>
          </cell>
          <cell r="C288" t="str">
            <v>ハロウィンナイトパニック！ 威力UP</v>
          </cell>
          <cell r="D288" t="str">
            <v>ハロウィンナイトパニック！内で自身の全ての攻撃の威力を究極UP</v>
          </cell>
        </row>
        <row r="289">
          <cell r="A289">
            <v>500801</v>
          </cell>
          <cell r="B289" t="str">
            <v>ja</v>
          </cell>
          <cell r="C289" t="str">
            <v>パネルブレイク35 攻撃力小UP</v>
          </cell>
          <cell r="D289" t="str">
            <v>自身が先頭の時、1ターンの間に合計35個以上パネルを破壊した場合に攻撃力小UP</v>
          </cell>
        </row>
        <row r="290">
          <cell r="A290">
            <v>808082</v>
          </cell>
          <cell r="B290" t="str">
            <v>ja</v>
          </cell>
          <cell r="C290" t="str">
            <v>Cパネルドロップ</v>
          </cell>
          <cell r="D290" t="str">
            <v>自身が先頭の時、低確率でCパネルをドロップ</v>
          </cell>
        </row>
        <row r="291">
          <cell r="A291">
            <v>900000</v>
          </cell>
          <cell r="B291" t="str">
            <v>ja</v>
          </cell>
          <cell r="C291" t="str">
            <v>フィーバー100 プロテクトブレイク</v>
          </cell>
          <cell r="D291" t="str">
            <v>フィーバーゲージが100％以上の時、1ターンプロテクトブレイク</v>
          </cell>
        </row>
        <row r="292">
          <cell r="A292">
            <v>900001</v>
          </cell>
          <cell r="B292" t="str">
            <v>ja</v>
          </cell>
          <cell r="C292" t="str">
            <v>フィーバー100 お邪魔ブレイク</v>
          </cell>
          <cell r="D292" t="str">
            <v>フィーバーゲージが100％以上の時、1ターンお邪魔ブレイク</v>
          </cell>
        </row>
        <row r="293">
          <cell r="A293">
            <v>900402</v>
          </cell>
          <cell r="B293" t="str">
            <v>ja</v>
          </cell>
          <cell r="C293" t="str">
            <v>バリア3500</v>
          </cell>
          <cell r="D293" t="str">
            <v>戦闘開始時に、自身への直接ダメージを3500まで防ぐバリアを一度だけ展開(バリアは破壊されると復活しない)</v>
          </cell>
        </row>
        <row r="294">
          <cell r="A294">
            <v>810202</v>
          </cell>
          <cell r="B294" t="str">
            <v>ja</v>
          </cell>
          <cell r="C294" t="str">
            <v>パネルブレイク50 ダメージ軽減</v>
          </cell>
          <cell r="D294" t="str">
            <v>自身が先頭の時、1ターンの間に合計50個以上パネルを破壊した場合敵からのダメージを15%軽減（1ターンに1度だけ発動）</v>
          </cell>
        </row>
        <row r="295">
          <cell r="A295">
            <v>811802</v>
          </cell>
          <cell r="B295" t="str">
            <v>ja</v>
          </cell>
          <cell r="C295" t="str">
            <v>ターン攻撃力UP</v>
          </cell>
          <cell r="D295" t="str">
            <v>最初の1ターン目と、その後6ターン毎に1ターン種族ドラゴン・ファンタジー・アニマルの攻撃力1000UP</v>
          </cell>
        </row>
        <row r="296">
          <cell r="A296">
            <v>812002</v>
          </cell>
          <cell r="B296" t="str">
            <v>ja</v>
          </cell>
          <cell r="C296" t="str">
            <v>ターンタップ増加</v>
          </cell>
          <cell r="D296" t="str">
            <v>最初の1ターン目と、その後6ターン毎に1ターン種族ドラゴン・ファンタジー・アニマルのタップ数1増加</v>
          </cell>
        </row>
        <row r="297">
          <cell r="A297">
            <v>811803</v>
          </cell>
          <cell r="B297" t="str">
            <v>ja</v>
          </cell>
          <cell r="C297" t="str">
            <v>端午クエスト ダメージUP</v>
          </cell>
          <cell r="D297" t="str">
            <v>端午クエスト内で自身の全ての攻撃の威力をUP</v>
          </cell>
        </row>
        <row r="298">
          <cell r="A298">
            <v>900802</v>
          </cell>
          <cell r="B298" t="str">
            <v>ja</v>
          </cell>
          <cell r="C298" t="str">
            <v>ターン攻撃力UP</v>
          </cell>
          <cell r="D298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zoomScale="117" workbookViewId="0">
      <selection activeCell="A7" sqref="A7:XFD10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2" t="s">
        <v>125</v>
      </c>
      <c r="B1" s="102" t="s">
        <v>116</v>
      </c>
      <c r="C1" s="102" t="s">
        <v>117</v>
      </c>
      <c r="D1" s="102" t="s">
        <v>118</v>
      </c>
      <c r="E1" s="102" t="s">
        <v>119</v>
      </c>
      <c r="F1" s="102" t="s">
        <v>120</v>
      </c>
      <c r="G1" s="102" t="s">
        <v>121</v>
      </c>
      <c r="H1" s="102"/>
      <c r="I1" s="102"/>
      <c r="J1" s="102"/>
      <c r="K1" s="102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29" x14ac:dyDescent="0.15">
      <c r="A2" s="104" t="s">
        <v>252</v>
      </c>
      <c r="B2" s="104" t="s">
        <v>128</v>
      </c>
      <c r="C2" s="160" t="s">
        <v>251</v>
      </c>
      <c r="D2" s="104" t="s">
        <v>127</v>
      </c>
      <c r="E2" s="103" t="str">
        <f>B2&amp;C2&amp;D2</f>
        <v>units_dlunit.tmp</v>
      </c>
      <c r="F2" s="104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104" t="s">
        <v>369</v>
      </c>
      <c r="S2" s="104"/>
      <c r="T2" s="104"/>
      <c r="U2" s="104"/>
      <c r="V2" s="104"/>
      <c r="W2" s="104"/>
    </row>
    <row r="3" spans="1:29" x14ac:dyDescent="0.15">
      <c r="A3" s="104" t="s">
        <v>348</v>
      </c>
      <c r="B3" s="104" t="s">
        <v>334</v>
      </c>
      <c r="C3" s="160" t="s">
        <v>251</v>
      </c>
      <c r="D3" s="104" t="s">
        <v>335</v>
      </c>
      <c r="E3" s="103" t="str">
        <f>B3&amp;C3&amp;D3</f>
        <v>fork_awake_units_dlunit.tmp</v>
      </c>
      <c r="F3" s="104" t="s">
        <v>336</v>
      </c>
      <c r="G3" s="211" t="s">
        <v>337</v>
      </c>
      <c r="H3" s="212" t="s">
        <v>338</v>
      </c>
      <c r="I3" s="212" t="s">
        <v>339</v>
      </c>
      <c r="J3" s="106" t="s">
        <v>340</v>
      </c>
      <c r="K3" s="213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</row>
    <row r="4" spans="1:29" x14ac:dyDescent="0.15">
      <c r="A4" s="104" t="s">
        <v>348</v>
      </c>
      <c r="B4" s="104" t="s">
        <v>341</v>
      </c>
      <c r="C4" s="160" t="s">
        <v>251</v>
      </c>
      <c r="D4" s="104" t="s">
        <v>335</v>
      </c>
      <c r="E4" s="103" t="str">
        <f>B4&amp;C4&amp;D4</f>
        <v>awake_materials_dlunit.tmp</v>
      </c>
      <c r="F4" s="104" t="s">
        <v>123</v>
      </c>
      <c r="G4" s="211" t="s">
        <v>342</v>
      </c>
      <c r="H4" s="212" t="s">
        <v>36</v>
      </c>
      <c r="I4" s="212" t="s">
        <v>37</v>
      </c>
      <c r="J4" s="106" t="s">
        <v>343</v>
      </c>
      <c r="K4" s="213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</row>
    <row r="5" spans="1:29" x14ac:dyDescent="0.15">
      <c r="A5" s="104" t="s">
        <v>348</v>
      </c>
      <c r="B5" s="104" t="s">
        <v>344</v>
      </c>
      <c r="C5" s="160" t="s">
        <v>251</v>
      </c>
      <c r="D5" s="104" t="s">
        <v>335</v>
      </c>
      <c r="E5" s="103" t="str">
        <f>B5&amp;C5&amp;D5</f>
        <v>fork_awake_materials_dlunit.tmp</v>
      </c>
      <c r="F5" s="104" t="s">
        <v>123</v>
      </c>
      <c r="G5" s="211" t="s">
        <v>345</v>
      </c>
      <c r="H5" s="212" t="s">
        <v>338</v>
      </c>
      <c r="I5" s="212" t="s">
        <v>346</v>
      </c>
      <c r="J5" s="212" t="s">
        <v>37</v>
      </c>
      <c r="K5" s="106" t="s">
        <v>343</v>
      </c>
      <c r="L5" s="106" t="s">
        <v>347</v>
      </c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</row>
    <row r="6" spans="1:29" x14ac:dyDescent="0.15">
      <c r="A6" s="104" t="s">
        <v>252</v>
      </c>
      <c r="B6" s="104" t="s">
        <v>129</v>
      </c>
      <c r="C6" s="160" t="s">
        <v>251</v>
      </c>
      <c r="D6" s="104" t="s">
        <v>130</v>
      </c>
      <c r="E6" s="103" t="str">
        <f t="shared" ref="E6" si="0">B6&amp;C6&amp;D6</f>
        <v>unit_levels_calc_dlunit.tmp</v>
      </c>
      <c r="F6" s="104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4" t="s">
        <v>252</v>
      </c>
      <c r="B7" s="104" t="s">
        <v>141</v>
      </c>
      <c r="C7" s="160" t="s">
        <v>251</v>
      </c>
      <c r="D7" s="104" t="s">
        <v>142</v>
      </c>
      <c r="E7" s="103" t="str">
        <f>B7&amp;C7&amp;D7</f>
        <v>unit_skills_data_dlunit.tmp</v>
      </c>
      <c r="F7" s="104" t="s">
        <v>143</v>
      </c>
      <c r="G7" s="110" t="s">
        <v>20</v>
      </c>
      <c r="H7" s="110" t="s">
        <v>144</v>
      </c>
      <c r="I7" s="110" t="s">
        <v>2</v>
      </c>
      <c r="J7" s="110" t="s">
        <v>145</v>
      </c>
      <c r="K7" s="110" t="s">
        <v>146</v>
      </c>
      <c r="L7" s="110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4" t="s">
        <v>252</v>
      </c>
      <c r="B8" s="104" t="s">
        <v>147</v>
      </c>
      <c r="C8" s="160" t="s">
        <v>251</v>
      </c>
      <c r="D8" s="104" t="s">
        <v>127</v>
      </c>
      <c r="E8" s="103" t="str">
        <f>B8&amp;C8&amp;D8</f>
        <v>unit_skills_i18n_dlunit.tmp</v>
      </c>
      <c r="F8" s="104" t="s">
        <v>143</v>
      </c>
      <c r="G8" s="110" t="s">
        <v>148</v>
      </c>
      <c r="H8" s="110" t="s">
        <v>132</v>
      </c>
      <c r="I8" s="110" t="s">
        <v>149</v>
      </c>
      <c r="J8" s="110" t="s">
        <v>150</v>
      </c>
      <c r="K8" s="105"/>
      <c r="L8" s="105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4" t="s">
        <v>252</v>
      </c>
      <c r="B9" s="104" t="s">
        <v>151</v>
      </c>
      <c r="C9" s="160" t="s">
        <v>251</v>
      </c>
      <c r="D9" s="104" t="s">
        <v>152</v>
      </c>
      <c r="E9" s="103" t="str">
        <f>B9&amp;C9&amp;D9</f>
        <v>crash_skills_data_dlunit.tmp</v>
      </c>
      <c r="F9" s="104" t="s">
        <v>153</v>
      </c>
      <c r="G9" s="110" t="s">
        <v>154</v>
      </c>
      <c r="H9" s="110" t="s">
        <v>146</v>
      </c>
      <c r="I9" s="110" t="s">
        <v>4</v>
      </c>
      <c r="J9" s="105"/>
      <c r="K9" s="105"/>
      <c r="L9" s="105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4" t="s">
        <v>252</v>
      </c>
      <c r="B10" s="104" t="s">
        <v>155</v>
      </c>
      <c r="C10" s="160" t="s">
        <v>251</v>
      </c>
      <c r="D10" s="104" t="s">
        <v>156</v>
      </c>
      <c r="E10" s="103" t="str">
        <f t="shared" ref="E10" si="1">B10&amp;C10&amp;D10</f>
        <v>crash_skills_i18n_dlunit.tmp</v>
      </c>
      <c r="F10" s="104" t="s">
        <v>153</v>
      </c>
      <c r="G10" s="110" t="s">
        <v>157</v>
      </c>
      <c r="H10" s="110" t="s">
        <v>158</v>
      </c>
      <c r="I10" s="110" t="s">
        <v>159</v>
      </c>
      <c r="J10" s="110" t="s">
        <v>160</v>
      </c>
      <c r="K10" s="111"/>
      <c r="L10" s="111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4" t="s">
        <v>252</v>
      </c>
      <c r="B11" s="105" t="s">
        <v>133</v>
      </c>
      <c r="C11" s="160" t="s">
        <v>251</v>
      </c>
      <c r="D11" s="104" t="s">
        <v>156</v>
      </c>
      <c r="E11" s="103" t="str">
        <f t="shared" ref="E11:E12" si="2">B11&amp;C11&amp;D11</f>
        <v>unit_serifs_data_dlunit.tmp</v>
      </c>
      <c r="F11" s="105" t="s">
        <v>135</v>
      </c>
      <c r="G11" s="109" t="s">
        <v>136</v>
      </c>
      <c r="H11" s="110" t="s">
        <v>137</v>
      </c>
      <c r="I11" s="110" t="s">
        <v>131</v>
      </c>
      <c r="J11" s="108" t="s">
        <v>186</v>
      </c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</row>
    <row r="12" spans="1:29" x14ac:dyDescent="0.15">
      <c r="A12" s="104" t="s">
        <v>252</v>
      </c>
      <c r="B12" s="105" t="s">
        <v>134</v>
      </c>
      <c r="C12" s="160" t="s">
        <v>251</v>
      </c>
      <c r="D12" s="104" t="s">
        <v>156</v>
      </c>
      <c r="E12" s="103" t="str">
        <f t="shared" si="2"/>
        <v>unit_serifs_i18n_dlunit.tmp</v>
      </c>
      <c r="F12" s="105" t="s">
        <v>135</v>
      </c>
      <c r="G12" s="109" t="s">
        <v>138</v>
      </c>
      <c r="H12" s="110" t="s">
        <v>139</v>
      </c>
      <c r="I12" s="110" t="s">
        <v>140</v>
      </c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</row>
    <row r="13" spans="1:29" x14ac:dyDescent="0.15">
      <c r="A13" s="177" t="s">
        <v>390</v>
      </c>
      <c r="B13" s="104" t="s">
        <v>260</v>
      </c>
      <c r="C13" s="160" t="s">
        <v>251</v>
      </c>
      <c r="D13" s="104" t="s">
        <v>261</v>
      </c>
      <c r="E13" s="103" t="str">
        <f>B13&amp;C13&amp;D13</f>
        <v>abilities_tmp_dlunit.tmp</v>
      </c>
      <c r="F13" s="104" t="s">
        <v>262</v>
      </c>
      <c r="G13" s="178" t="s">
        <v>263</v>
      </c>
      <c r="H13" s="178" t="s">
        <v>264</v>
      </c>
      <c r="I13" s="178" t="s">
        <v>265</v>
      </c>
      <c r="J13" s="178"/>
      <c r="K13" s="179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29" x14ac:dyDescent="0.15">
      <c r="A14" s="177" t="s">
        <v>348</v>
      </c>
      <c r="B14" s="104" t="s">
        <v>266</v>
      </c>
      <c r="C14" s="160" t="s">
        <v>251</v>
      </c>
      <c r="D14" s="104" t="s">
        <v>261</v>
      </c>
      <c r="E14" s="103" t="str">
        <f>B14&amp;C14&amp;D14</f>
        <v>abilities_i18n_dlunit.tmp</v>
      </c>
      <c r="F14" s="104" t="s">
        <v>262</v>
      </c>
      <c r="G14" s="178" t="s">
        <v>263</v>
      </c>
      <c r="H14" s="178" t="s">
        <v>267</v>
      </c>
      <c r="I14" s="178" t="s">
        <v>268</v>
      </c>
      <c r="J14" s="178" t="s">
        <v>269</v>
      </c>
      <c r="K14" s="179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29" x14ac:dyDescent="0.15">
      <c r="A15" s="177" t="s">
        <v>349</v>
      </c>
      <c r="B15" s="104" t="s">
        <v>270</v>
      </c>
      <c r="C15" s="160" t="s">
        <v>251</v>
      </c>
      <c r="D15" s="104" t="s">
        <v>261</v>
      </c>
      <c r="E15" s="103" t="str">
        <f>B15&amp;C15&amp;D15</f>
        <v>unit_abilities_dlunit.tmp</v>
      </c>
      <c r="F15" s="104" t="s">
        <v>271</v>
      </c>
      <c r="G15" s="178" t="s">
        <v>272</v>
      </c>
      <c r="H15" s="180" t="s">
        <v>273</v>
      </c>
      <c r="I15" s="180" t="s">
        <v>274</v>
      </c>
      <c r="J15" s="181" t="s">
        <v>275</v>
      </c>
      <c r="K15" s="178" t="s">
        <v>276</v>
      </c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zoomScale="110" zoomScaleNormal="110" zoomScalePageLayoutView="110" workbookViewId="0">
      <pane xSplit="9" ySplit="1" topLeftCell="BE2" activePane="bottomRight" state="frozen"/>
      <selection pane="topRight" activeCell="J1" sqref="J1"/>
      <selection pane="bottomLeft" activeCell="A3" sqref="A3"/>
      <selection pane="bottomRight" activeCell="BI10" sqref="BI10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2" bestFit="1" customWidth="1"/>
    <col min="42" max="42" width="14.33203125" style="15" bestFit="1" customWidth="1"/>
    <col min="43" max="43" width="7.83203125" style="13" bestFit="1" customWidth="1" collapsed="1"/>
    <col min="44" max="44" width="80.6640625" style="13" hidden="1" customWidth="1" outlineLevel="1"/>
    <col min="45" max="45" width="6.83203125" style="13" customWidth="1"/>
    <col min="46" max="46" width="15.6640625" style="12" bestFit="1" customWidth="1"/>
    <col min="47" max="47" width="43.6640625" style="13" customWidth="1" collapsed="1"/>
    <col min="48" max="48" width="43.6640625" style="13" hidden="1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76" t="s">
        <v>108</v>
      </c>
      <c r="B1" s="78" t="s">
        <v>44</v>
      </c>
      <c r="C1" s="81" t="s">
        <v>27</v>
      </c>
      <c r="D1" s="81" t="s">
        <v>30</v>
      </c>
      <c r="E1" s="81" t="s">
        <v>28</v>
      </c>
      <c r="F1" s="81" t="s">
        <v>29</v>
      </c>
      <c r="G1" s="76" t="s">
        <v>1</v>
      </c>
      <c r="H1" s="79" t="s">
        <v>19</v>
      </c>
      <c r="I1" s="80" t="s">
        <v>0</v>
      </c>
      <c r="J1" s="82" t="s">
        <v>49</v>
      </c>
      <c r="K1" s="82" t="s">
        <v>48</v>
      </c>
      <c r="L1" s="82" t="s">
        <v>50</v>
      </c>
      <c r="M1" s="82" t="s">
        <v>51</v>
      </c>
      <c r="N1" s="76" t="s">
        <v>3</v>
      </c>
      <c r="O1" s="83" t="s">
        <v>2</v>
      </c>
      <c r="P1" s="76" t="s">
        <v>97</v>
      </c>
      <c r="Q1" s="84" t="s">
        <v>18</v>
      </c>
      <c r="R1" s="75" t="s">
        <v>52</v>
      </c>
      <c r="S1" s="85" t="s">
        <v>23</v>
      </c>
      <c r="T1" s="85" t="s">
        <v>24</v>
      </c>
      <c r="U1" s="85" t="s">
        <v>26</v>
      </c>
      <c r="V1" s="85" t="s">
        <v>25</v>
      </c>
      <c r="W1" s="80" t="s">
        <v>32</v>
      </c>
      <c r="X1" s="81" t="s">
        <v>53</v>
      </c>
      <c r="Y1" s="80" t="s">
        <v>33</v>
      </c>
      <c r="Z1" s="81" t="s">
        <v>53</v>
      </c>
      <c r="AA1" s="82" t="s">
        <v>23</v>
      </c>
      <c r="AB1" s="82" t="s">
        <v>24</v>
      </c>
      <c r="AC1" s="82" t="s">
        <v>26</v>
      </c>
      <c r="AD1" s="82" t="s">
        <v>25</v>
      </c>
      <c r="AE1" s="86" t="s">
        <v>100</v>
      </c>
      <c r="AF1" s="75" t="s">
        <v>45</v>
      </c>
      <c r="AG1" s="87" t="s">
        <v>58</v>
      </c>
      <c r="AH1" s="75" t="s">
        <v>45</v>
      </c>
      <c r="AI1" s="87" t="s">
        <v>46</v>
      </c>
      <c r="AJ1" s="77" t="s">
        <v>67</v>
      </c>
      <c r="AK1" s="75" t="s">
        <v>21</v>
      </c>
      <c r="AL1" s="88" t="s">
        <v>68</v>
      </c>
      <c r="AM1" s="89" t="s">
        <v>66</v>
      </c>
      <c r="AN1" s="89" t="s">
        <v>69</v>
      </c>
      <c r="AO1" s="90" t="s">
        <v>31</v>
      </c>
      <c r="AP1" s="86" t="s">
        <v>20</v>
      </c>
      <c r="AQ1" s="91" t="s">
        <v>113</v>
      </c>
      <c r="AR1" s="91" t="s">
        <v>107</v>
      </c>
      <c r="AS1" s="75" t="s">
        <v>104</v>
      </c>
      <c r="AT1" s="86" t="s">
        <v>102</v>
      </c>
      <c r="AU1" s="75" t="s">
        <v>110</v>
      </c>
      <c r="AV1" s="91" t="s">
        <v>107</v>
      </c>
      <c r="AW1" s="75" t="s">
        <v>104</v>
      </c>
      <c r="AX1" s="81" t="s">
        <v>4</v>
      </c>
      <c r="AY1" s="92" t="s">
        <v>54</v>
      </c>
      <c r="AZ1" s="92" t="s">
        <v>55</v>
      </c>
      <c r="BA1" s="92" t="s">
        <v>114</v>
      </c>
      <c r="BB1" s="92" t="s">
        <v>56</v>
      </c>
      <c r="BC1" s="5" t="s">
        <v>22</v>
      </c>
      <c r="BD1" s="95" t="s">
        <v>34</v>
      </c>
      <c r="BE1" s="93" t="s">
        <v>5</v>
      </c>
      <c r="BF1" s="94" t="s">
        <v>6</v>
      </c>
      <c r="BG1" s="96" t="s">
        <v>70</v>
      </c>
      <c r="BH1" s="96" t="s">
        <v>71</v>
      </c>
      <c r="BI1" s="96" t="s">
        <v>72</v>
      </c>
      <c r="BJ1" s="96" t="s">
        <v>73</v>
      </c>
      <c r="BK1" s="97" t="s">
        <v>74</v>
      </c>
      <c r="BL1" s="97" t="s">
        <v>95</v>
      </c>
      <c r="BM1" s="97" t="s">
        <v>75</v>
      </c>
      <c r="BN1" s="97" t="s">
        <v>76</v>
      </c>
      <c r="BO1" s="98" t="s">
        <v>77</v>
      </c>
      <c r="BP1" s="99" t="s">
        <v>78</v>
      </c>
      <c r="BQ1" s="77" t="s">
        <v>86</v>
      </c>
      <c r="BR1" s="10" t="s">
        <v>368</v>
      </c>
    </row>
    <row r="2" spans="1:70" ht="21" customHeight="1" x14ac:dyDescent="0.15">
      <c r="A2" s="161">
        <v>623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フェルマー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ガチャ:DL記念02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1">
        <f ca="1">VLOOKUP(I2,[1]属性!$A:$E,2,FALSE)</f>
        <v>0.98</v>
      </c>
      <c r="K2" s="11">
        <f ca="1">VLOOKUP(I2,[1]属性!$A:$E,3,FALSE)</f>
        <v>1.01</v>
      </c>
      <c r="L2" s="11">
        <f ca="1">VLOOKUP(I2,[1]属性!$A:$E,4,FALSE)</f>
        <v>1</v>
      </c>
      <c r="M2" s="11">
        <f ca="1">VLOOKUP(I2,[1]属性!$A:$E,5,FALSE)</f>
        <v>1.01</v>
      </c>
      <c r="N2" s="11">
        <f ca="1">INDEX([2]コスト!$A$1:$I$15,MATCH(H2,[2]コスト!$A$1:$A$15,FALSE),MATCH(G2,[2]コスト!$A$1:$I$1,FALSE))</f>
        <v>40</v>
      </c>
      <c r="O2" s="11">
        <f ca="1">INDEX([2]レベル!$A$1:$I$16,MATCH(H2,[2]レベル!$A$1:$A$16,FALSE),MATCH(G2,[2]レベル!$A$1:$I$1,FALSE))</f>
        <v>80</v>
      </c>
      <c r="P2" s="44">
        <f t="shared" ref="P2:P3" ca="1" si="0">IF(G2=6,99, 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machine</v>
      </c>
      <c r="Z2" s="5" t="str">
        <f ca="1">VLOOKUP(Y2,[1]character_tribe_i18n!$A:$H,3,FALSE)</f>
        <v>マシン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>
        <v>624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挑発の尖駆者 フェルマー</v>
      </c>
      <c r="AG2" s="5">
        <f t="shared" ref="AG2:AG3" ca="1" si="1">IF(ISNA(MATCH(A2,AE:AE,0)),A2,INDIRECT(ADDRESS(MATCH(A2,AE:AE,0),COLUMN())))</f>
        <v>623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フェルマー</v>
      </c>
      <c r="AI2" s="11">
        <f ca="1">IF(AE2="NULL","NULL",VLOOKUP(G2,[2]ビット!$A$2:$B$7,2))</f>
        <v>200000</v>
      </c>
      <c r="AJ2" s="6">
        <v>2</v>
      </c>
      <c r="AK2" s="7" t="str">
        <f t="shared" ref="AK2:AK3" si="2">IF(AJ2=1,"早熟",IF(AJ2=2,"普通",IF(AJ2=3,"晩成","")))</f>
        <v>普通</v>
      </c>
      <c r="AL2" s="11" t="str">
        <f ca="1">INDEX([2]経験値!$A$1:$I$15,MATCH(H2,[2]経験値!$A$1:$A$15,FALSE),MATCH(G2,[2]経験値!$A$1:$I$1,FALSE))</f>
        <v>required_exp_250</v>
      </c>
      <c r="AM2" s="8">
        <f ca="1">VLOOKUP(G2,[2]経験値!$A$22:$B$26,2)</f>
        <v>6400</v>
      </c>
      <c r="AN2" s="17">
        <f ca="1">VLOOKUP(G2,[2]ビット!$G$2:$H$7,2)</f>
        <v>900</v>
      </c>
      <c r="AO2" s="41"/>
      <c r="AP2" s="162">
        <f>A2</f>
        <v>623</v>
      </c>
      <c r="AQ2" s="53" t="e">
        <f ca="1">VLOOKUP($AP2,OFFSET([2]unit_skills!$A$1,0,0,COUNTA([2]unit_skills!$A:$A),MATCH(AQ$1,[2]unit_skills!$1:$1,0)-MATCH($AP$1,[2]unit_skills!$1:$1,0)+1),MATCH(AQ$1,[2]unit_skills!$1:$1,0)-MATCH($AP$1,[2]unit_skills!$1:$1,0)+1,FALSE)</f>
        <v>#VALUE!</v>
      </c>
      <c r="AR2" s="53" t="e">
        <f ca="1">VLOOKUP($AP2,OFFSET([2]unit_skills!$A$1,0,0,COUNTA([2]unit_skills!$A:$A),MATCH(AR$1,[2]unit_skills!$1:$1,0)-MATCH($AP$1,[2]unit_skills!$1:$1,0)+1),MATCH(AR$1,[2]unit_skills!$1:$1,0)-MATCH($AP$1,[2]unit_skills!$1:$1,0)+1,FALSE)</f>
        <v>#VALUE!</v>
      </c>
      <c r="AS2" s="53" t="e">
        <f ca="1">VLOOKUP($AP2,OFFSET([2]unit_skills!$A$1,0,0,COUNTA([2]unit_skills!$A:$A),MATCH(AS$1,[2]unit_skills!$1:$1,0)-MATCH($AP$1,[2]unit_skills!$1:$1,0)+1),MATCH(AS$1,[2]unit_skills!$1:$1,0)-MATCH($AP$1,[2]unit_skills!$1:$1,0)+1,FALSE)</f>
        <v>#VALUE!</v>
      </c>
      <c r="AT2" s="163">
        <f>A2</f>
        <v>623</v>
      </c>
      <c r="AU2" s="53" t="e">
        <f ca="1">VLOOKUP($AT2,OFFSET([2]crash_skills!$A$1,0,0,COUNTA([2]crash_skills!$A:$A),MATCH(AU$1,[2]crash_skills!$1:$1,0)-MATCH($AT$1,[2]crash_skills!$1:$1,0)+1),MATCH(AU$1,[2]crash_skills!$1:$1,0)-MATCH($AT$1,[2]crash_skills!$1:$1,0)+1,FALSE)</f>
        <v>#VALUE!</v>
      </c>
      <c r="AV2" s="53" t="e">
        <f ca="1">VLOOKUP($AT2,OFFSET([2]crash_skills!$A$1,0,0,COUNTA([2]crash_skills!$A:$A),MATCH(AV$1,[2]crash_skills!$1:$1,0)-MATCH($AT$1,[2]crash_skills!$1:$1,0)+1),MATCH(AV$1,[2]crash_skills!$1:$1,0)-MATCH($AT$1,[2]crash_skills!$1:$1,0)+1,FALSE)</f>
        <v>#VALUE!</v>
      </c>
      <c r="AW2" s="53" t="e">
        <f ca="1">VLOOKUP($AT2,OFFSET([2]crash_skills!$A$1,0,0,COUNTA([2]crash_skills!$A:$A),MATCH(AW$1,[2]crash_skills!$1:$1,0)-MATCH($AT$1,[2]crash_skills!$1:$1,0)+1),MATCH(AW$1,[2]crash_skills!$1:$1,0)-MATCH($AT$1,[2]crash_skills!$1:$1,0)+1,FALSE)</f>
        <v>#VALUE!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3">
        <v>0.98</v>
      </c>
      <c r="AZ2" s="63">
        <v>0.97499999999999998</v>
      </c>
      <c r="BA2" s="63">
        <v>0</v>
      </c>
      <c r="BB2" s="63">
        <v>1</v>
      </c>
      <c r="BC2" s="11">
        <f ca="1">INDEX([2]RC6SV!$A$1:$G$15,MATCH(H2,[2]RC6SV!$A$1:$A$15,FALSE),MATCH(G2,[2]RC6SV!$A$1:$G$1,FALSE))</f>
        <v>10000</v>
      </c>
      <c r="BD2" s="44">
        <f t="shared" ref="BD2:BD3" ca="1" si="3">ROUND(BC2*IF(AJ2=1,0.95,IF(AJ2=2,1,IF(AJ2,1.05,0))),0)</f>
        <v>10000</v>
      </c>
      <c r="BE2" s="11">
        <f t="shared" ref="BE2:BE3" ca="1" si="4">ROUND(IFERROR(INDIRECT(ADDRESS(MATCH($A2,$AE:$AE,0),MATCH($BC$1,$1:$1,0))),0),0)</f>
        <v>0</v>
      </c>
      <c r="BF2" s="11">
        <f t="shared" ref="BF2:BF5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2401</v>
      </c>
      <c r="BH2" s="16">
        <f ca="1">IF($BE2&lt;=0,ROUND(BL2*0.5,0), ROUND($BE2*T2*AB2*K2*AZ2*0.8*[1]ステータス!$C$2,0))</f>
        <v>1965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846</v>
      </c>
      <c r="BK2" s="11">
        <f ca="1">ROUND(BD2*S2*AA2*J2*AY2*[1]ステータス!$B$2,0)</f>
        <v>4802</v>
      </c>
      <c r="BL2" s="11">
        <f ca="1">ROUND(BD2*T2*AB2*K2*AZ2*[1]ステータス!$C$2,0)</f>
        <v>3929</v>
      </c>
      <c r="BM2" s="11">
        <f ca="1">ROUND(BD2*U2*AC2*L2*BA2*[1]ステータス!$D$2,0)</f>
        <v>0</v>
      </c>
      <c r="BN2" s="11">
        <f ca="1">ROUND(BD2*V2*AD2*M2*BB2*[1]ステータス!$E$2,0)</f>
        <v>1692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30000</v>
      </c>
    </row>
    <row r="3" spans="1:70" ht="21" customHeight="1" x14ac:dyDescent="0.15">
      <c r="A3" s="161">
        <v>624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挑発の尖駆者 フェルマー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ガチャ:DL記念02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1">
        <f ca="1">VLOOKUP(I3,[1]属性!$A:$E,2,FALSE)</f>
        <v>0.98</v>
      </c>
      <c r="K3" s="11">
        <f ca="1">VLOOKUP(I3,[1]属性!$A:$E,3,FALSE)</f>
        <v>1.01</v>
      </c>
      <c r="L3" s="11">
        <f ca="1">VLOOKUP(I3,[1]属性!$A:$E,4,FALSE)</f>
        <v>1</v>
      </c>
      <c r="M3" s="11">
        <f ca="1">VLOOKUP(I3,[1]属性!$A:$E,5,FALSE)</f>
        <v>1.01</v>
      </c>
      <c r="N3" s="11">
        <f ca="1">INDEX([2]コスト!$A$1:$I$15,MATCH(H3,[2]コスト!$A$1:$A$15,FALSE),MATCH(G3,[2]コスト!$A$1:$I$1,FALSE))</f>
        <v>55</v>
      </c>
      <c r="O3" s="11">
        <f ca="1">INDEX([2]レベル!$A$1:$I$16,MATCH(H3,[2]レベル!$A$1:$A$16,FALSE),MATCH(G3,[2]レベル!$A$1:$I$1,FALSE))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machine</v>
      </c>
      <c r="Z3" s="5" t="str">
        <f ca="1">VLOOKUP(Y3,[1]character_tribe_i18n!$A:$H,3,FALSE)</f>
        <v>マシン</v>
      </c>
      <c r="AA3" s="11">
        <f ca="1">VLOOKUP(W3,[1]character_tribe_i18n!$A:$H,4,FALSE)</f>
        <v>1</v>
      </c>
      <c r="AB3" s="11">
        <f ca="1">VLOOKUP(W3,[1]character_tribe_i18n!$A:$H,5,FALSE)</f>
        <v>1</v>
      </c>
      <c r="AC3" s="11">
        <f ca="1">VLOOKUP(W3,[1]character_tribe_i18n!$A:$H,6,FALSE)</f>
        <v>1</v>
      </c>
      <c r="AD3" s="11">
        <f ca="1">VLOOKUP(W3,[1]character_tribe_i18n!$A:$H,7,FALSE)</f>
        <v>1</v>
      </c>
      <c r="AE3" s="9" t="s">
        <v>180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623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フェルマー</v>
      </c>
      <c r="AI3" s="11" t="str">
        <f>IF(AE3="NULL","NULL",VLOOKUP(G3,[2]ビット!$A$2:$B$7,2))</f>
        <v>NULL</v>
      </c>
      <c r="AJ3" s="6">
        <v>2</v>
      </c>
      <c r="AK3" s="7" t="str">
        <f t="shared" si="2"/>
        <v>普通</v>
      </c>
      <c r="AL3" s="11" t="str">
        <f ca="1">INDEX([2]経験値!$A$1:$I$15,MATCH(H3,[2]経験値!$A$1:$A$15,FALSE),MATCH(G3,[2]経験値!$A$1:$I$1,FALSE))</f>
        <v>required_exp_300</v>
      </c>
      <c r="AM3" s="8">
        <f ca="1">VLOOKUP(G3,[2]経験値!$A$22:$B$26,2)</f>
        <v>6400</v>
      </c>
      <c r="AN3" s="17">
        <f ca="1">VLOOKUP(G3,[2]ビット!$G$2:$H$7,2)</f>
        <v>900</v>
      </c>
      <c r="AO3" s="41"/>
      <c r="AP3" s="162">
        <f>A3</f>
        <v>624</v>
      </c>
      <c r="AQ3" s="53" t="e">
        <f ca="1">VLOOKUP($AP3,OFFSET([2]unit_skills!$A$1,0,0,COUNTA([2]unit_skills!$A:$A),MATCH(AQ$1,[2]unit_skills!$1:$1,0)-MATCH($AP$1,[2]unit_skills!$1:$1,0)+1),MATCH(AQ$1,[2]unit_skills!$1:$1,0)-MATCH($AP$1,[2]unit_skills!$1:$1,0)+1,FALSE)</f>
        <v>#VALUE!</v>
      </c>
      <c r="AR3" s="53" t="e">
        <f ca="1">VLOOKUP($AP3,OFFSET([2]unit_skills!$A$1,0,0,COUNTA([2]unit_skills!$A:$A),MATCH(AR$1,[2]unit_skills!$1:$1,0)-MATCH($AP$1,[2]unit_skills!$1:$1,0)+1),MATCH(AR$1,[2]unit_skills!$1:$1,0)-MATCH($AP$1,[2]unit_skills!$1:$1,0)+1,FALSE)</f>
        <v>#VALUE!</v>
      </c>
      <c r="AS3" s="53" t="e">
        <f ca="1">VLOOKUP($AP3,OFFSET([2]unit_skills!$A$1,0,0,COUNTA([2]unit_skills!$A:$A),MATCH(AS$1,[2]unit_skills!$1:$1,0)-MATCH($AP$1,[2]unit_skills!$1:$1,0)+1),MATCH(AS$1,[2]unit_skills!$1:$1,0)-MATCH($AP$1,[2]unit_skills!$1:$1,0)+1,FALSE)</f>
        <v>#VALUE!</v>
      </c>
      <c r="AT3" s="163">
        <f>A3</f>
        <v>624</v>
      </c>
      <c r="AU3" s="53" t="e">
        <f ca="1">VLOOKUP($AT3,OFFSET([2]crash_skills!$A$1,0,0,COUNTA([2]crash_skills!$A:$A),MATCH(AU$1,[2]crash_skills!$1:$1,0)-MATCH($AT$1,[2]crash_skills!$1:$1,0)+1),MATCH(AU$1,[2]crash_skills!$1:$1,0)-MATCH($AT$1,[2]crash_skills!$1:$1,0)+1,FALSE)</f>
        <v>#VALUE!</v>
      </c>
      <c r="AV3" s="53" t="e">
        <f ca="1">VLOOKUP($AT3,OFFSET([2]crash_skills!$A$1,0,0,COUNTA([2]crash_skills!$A:$A),MATCH(AV$1,[2]crash_skills!$1:$1,0)-MATCH($AT$1,[2]crash_skills!$1:$1,0)+1),MATCH(AV$1,[2]crash_skills!$1:$1,0)-MATCH($AT$1,[2]crash_skills!$1:$1,0)+1,FALSE)</f>
        <v>#VALUE!</v>
      </c>
      <c r="AW3" s="53" t="e">
        <f ca="1">VLOOKUP($AT3,OFFSET([2]crash_skills!$A$1,0,0,COUNTA([2]crash_skills!$A:$A),MATCH(AW$1,[2]crash_skills!$1:$1,0)-MATCH($AT$1,[2]crash_skills!$1:$1,0)+1),MATCH(AW$1,[2]crash_skills!$1:$1,0)-MATCH($AT$1,[2]crash_skills!$1:$1,0)+1,FALSE)</f>
        <v>#VALUE!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3">
        <v>0.97</v>
      </c>
      <c r="AZ3" s="63">
        <v>0.94</v>
      </c>
      <c r="BA3" s="63">
        <v>0</v>
      </c>
      <c r="BB3" s="63">
        <v>1</v>
      </c>
      <c r="BC3" s="11">
        <f ca="1">INDEX([2]RC6SV!$A$1:$G$15,MATCH(H3,[2]RC6SV!$A$1:$A$15,FALSE),MATCH(G3,[2]RC6SV!$A$1:$G$1,FALSE))</f>
        <v>14000</v>
      </c>
      <c r="BD3" s="44">
        <f t="shared" ca="1" si="3"/>
        <v>14000</v>
      </c>
      <c r="BE3" s="11">
        <f t="shared" ca="1" si="4"/>
        <v>10000</v>
      </c>
      <c r="BF3" s="11">
        <f t="shared" ca="1" si="5"/>
        <v>1</v>
      </c>
      <c r="BG3" s="16">
        <f ca="1">IF($BE3&lt;=0,ROUND(BK3*0.5,0), ROUND($BE3*S3*AA3*J3*AY3*0.8*[1]ステータス!$B$2,0))</f>
        <v>3802</v>
      </c>
      <c r="BH3" s="16">
        <f ca="1">IF($BE3&lt;=0,ROUND(BL3*0.5,0), ROUND($BE3*T3*AB3*K3*AZ3*0.8*[1]ステータス!$C$2,0))</f>
        <v>3030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1353</v>
      </c>
      <c r="BK3" s="11">
        <f ca="1">ROUND(BD3*S3*AA3*J3*AY3*[1]ステータス!$B$2,0)</f>
        <v>6654</v>
      </c>
      <c r="BL3" s="11">
        <f ca="1">ROUND(BD3*T3*AB3*K3*AZ3*[1]ステータス!$C$2,0)</f>
        <v>5303</v>
      </c>
      <c r="BM3" s="11">
        <f ca="1">ROUND(BD3*U3*AC3*L3*BA3*[1]ステータス!$D$2,0)</f>
        <v>0</v>
      </c>
      <c r="BN3" s="11">
        <f ca="1">ROUND(BD3*V3*AD3*M3*BB3*[1]ステータス!$E$2,0)</f>
        <v>2368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30000</v>
      </c>
    </row>
    <row r="4" spans="1:70" ht="21" customHeight="1" x14ac:dyDescent="0.15">
      <c r="A4" s="175">
        <v>1076</v>
      </c>
      <c r="B4" s="176" t="str">
        <f ca="1">VLOOKUP($A4,OFFSET([1]characters!$A$1,0,0,COUNTA([1]characters!$A:$A),MATCH([2]units!B$1,[1]characters!$1:$1,0)-MATCH([2]units!$A$1,[1]characters!$1:$1,0)+1),MATCH([2]units!B$1,[1]characters!$1:$1,0)-MATCH([2]units!$A$1,[1]characters!$1:$1,0)+1,FALSE)</f>
        <v>パレート</v>
      </c>
      <c r="C4" s="53" t="str">
        <f ca="1">VLOOKUP($A4,OFFSET([1]characters!$A$1,0,0,COUNTA([1]characters!$A:$A),MATCH([2]units!C$1,[1]characters!$1:$1,0)-MATCH([2]units!$A$1,[1]characters!$1:$1,0)+1),MATCH([2]units!C$1,[1]characters!$1:$1,0)-MATCH([2]units!$A$1,[1]characters!$1:$1,0)+1,FALSE)</f>
        <v>イザナミ_分岐</v>
      </c>
      <c r="D4" s="53" t="str">
        <f ca="1">VLOOKUP($A4,OFFSET([1]characters!$A$1,0,0,COUNTA([1]characters!$A:$A),MATCH([2]units!D$1,[1]characters!$1:$1,0)-MATCH([2]units!$A$1,[1]characters!$1:$1,0)+1),MATCH([2]units!D$1,[1]characters!$1:$1,0)-MATCH([2]units!$A$1,[1]characters!$1:$1,0)+1,FALSE)</f>
        <v>執行者</v>
      </c>
      <c r="E4" s="53" t="str">
        <f ca="1">VLOOKUP($A4,OFFSET([1]characters!$A$1,0,0,COUNTA([1]characters!$A:$A),MATCH([2]units!E$1,[1]characters!$1:$1,0)-MATCH([2]units!$A$1,[1]characters!$1:$1,0)+1),MATCH([2]units!E$1,[1]characters!$1:$1,0)-MATCH([2]units!$A$1,[1]characters!$1:$1,0)+1,FALSE)</f>
        <v>格好いい</v>
      </c>
      <c r="F4" s="53" t="str">
        <f ca="1">VLOOKUP($A4,OFFSET([1]characters!$A$1,0,0,COUNTA([1]characters!$A:$A),MATCH([2]units!F$1,[1]characters!$1:$1,0)-MATCH([2]units!$A$1,[1]characters!$1:$1,0)+1),MATCH([2]units!F$1,[1]characters!$1:$1,0)-MATCH([2]units!$A$1,[1]characters!$1:$1,0)+1,FALSE)</f>
        <v>男性</v>
      </c>
      <c r="G4" s="53">
        <f ca="1">VLOOKUP($A4,OFFSET([1]characters!$A$1,0,0,COUNTA([1]characters!$A:$A),MATCH([2]units!G$1,[1]characters!$1:$1,0)-MATCH([2]units!$A$1,[1]characters!$1:$1,0)+1),MATCH([2]units!G$1,[1]characters!$1:$1,0)-MATCH([2]units!$A$1,[1]characters!$1:$1,0)+1,FALSE)</f>
        <v>5</v>
      </c>
      <c r="H4" s="53" t="str">
        <f ca="1">VLOOKUP($A4,OFFSET([1]characters!$A$1,0,0,COUNTA([1]characters!$A:$A),MATCH([2]units!H$1,[1]characters!$1:$1,0)-MATCH([2]units!$A$1,[1]characters!$1:$1,0)+1),MATCH([2]units!H$1,[1]characters!$1:$1,0)-MATCH([2]units!$A$1,[1]characters!$1:$1,0)+1,FALSE)</f>
        <v>PremiumSSS</v>
      </c>
      <c r="I4" s="53" t="str">
        <f ca="1">VLOOKUP($A4,OFFSET([1]characters!$A$1,0,0,COUNTA([1]characters!$A:$A),MATCH([2]units!I$1,[1]characters!$1:$1,0)-MATCH([2]units!$A$1,[1]characters!$1:$1,0)+1),MATCH([2]units!I$1,[1]characters!$1:$1,0)-MATCH([2]units!$A$1,[1]characters!$1:$1,0)+1,FALSE)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INDEX([2]コスト!$A$1:$I$15,MATCH(H4,[2]コスト!$A$1:$A$15,FALSE),MATCH(G4,[2]コスト!$A$1:$I$1,FALSE))</f>
        <v>40</v>
      </c>
      <c r="O4" s="11">
        <f ca="1">INDEX([2]レベル!$A$1:$I$16,MATCH(H4,[2]レベル!$A$1:$A$16,FALSE),MATCH(G4,[2]レベル!$A$1:$I$1,FALSE))</f>
        <v>80</v>
      </c>
      <c r="P4" s="44">
        <f ca="1">IF(G4=6,99, G4*15)</f>
        <v>75</v>
      </c>
      <c r="Q4" s="53" t="str">
        <f ca="1">VLOOKUP($A4,OFFSET([1]characters!$A$1,0,0,COUNTA([1]characters!$A:$A),MATCH([2]units!Q$1,[1]characters!$1:$1,0)-MATCH([2]units!$A$1,[1]characters!$1:$1,0)+1),MATCH([2]units!Q$1,[1]characters!$1:$1,0)-MATCH([2]units!$A$1,[1]characters!$1:$1,0)+1,FALSE)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3" t="str">
        <f ca="1">VLOOKUP($A4,OFFSET([1]characters!$A$1,0,0,COUNTA([1]characters!$A:$A),MATCH([2]units!W$1,[1]characters!$1:$1,0)-MATCH([2]units!$A$1,[1]characters!$1:$1,0)+1),MATCH([2]units!W$1,[1]characters!$1:$1,0)-MATCH([2]units!$A$1,[1]characters!$1:$1,0)+1,FALSE)</f>
        <v>academia</v>
      </c>
      <c r="X4" s="5" t="str">
        <f ca="1">VLOOKUP(W4,[1]character_tribe_i18n!$A:$H,3,FALSE)</f>
        <v>アカデミア</v>
      </c>
      <c r="Y4" s="53" t="str">
        <f ca="1">VLOOKUP($A4,OFFSET([1]characters!$A$1,0,0,COUNTA([1]characters!$A:$A),MATCH([2]units!Y$1,[1]characters!$1:$1,0)-MATCH([2]units!$A$1,[1]characters!$1:$1,0)+1),MATCH([2]units!Y$1,[1]characters!$1:$1,0)-MATCH([2]units!$A$1,[1]characters!$1:$1,0)+1,FALSE)</f>
        <v>unknown</v>
      </c>
      <c r="Z4" s="5" t="str">
        <f ca="1">VLOOKUP(Y4,[1]character_tribe_i18n!$A:$H,3,FALSE)</f>
        <v>Unknown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>
        <v>1077</v>
      </c>
      <c r="AF4" s="58" t="str">
        <f ca="1">IF(AE4="NULL","",VLOOKUP($AE4,OFFSET([1]characters!$A$1,0,0,COUNTA([1]characters!$A:$A),MATCH([2]units!AF$1,[1]characters!$1:$1,0)-MATCH([2]units!$A$1,[1]characters!$1:$1,0)+1),MATCH([2]units!AF$1,[1]characters!$1:$1,0)-MATCH([2]units!$A$1,[1]characters!$1:$1,0)+1,FALSE))</f>
        <v>彩適な幸詠隊 パレート</v>
      </c>
      <c r="AG4" s="5">
        <f ca="1">IF(ISNA(MATCH(A4,AE$4:AE$5,0)),A4,INDIRECT(ADDRESS(MATCH(A4,AE$4:AE$5,0),COLUMN())))</f>
        <v>1076</v>
      </c>
      <c r="AH4" s="58" t="str">
        <f ca="1">VLOOKUP($AG4,OFFSET([1]characters!$A$1,0,0,COUNTA([1]characters!$A:$A),MATCH([2]units!AH$1,[1]characters!$1:$1,0)-MATCH([2]units!$A$1,[1]characters!$1:$1,0)+1),MATCH([2]units!AH$1,[1]characters!$1:$1,0)-MATCH([2]units!$A$1,[1]characters!$1:$1,0)+1,FALSE)</f>
        <v>パレート</v>
      </c>
      <c r="AI4" s="11">
        <f ca="1">IF(AE4="NULL","NULL",VLOOKUP(G4,[2]ビット!$A$2:$B$7,2))</f>
        <v>200000</v>
      </c>
      <c r="AJ4" s="6">
        <v>2</v>
      </c>
      <c r="AK4" s="7" t="str">
        <f>IF(AJ4=1,"早熟",IF(AJ4=2,"普通",IF(AJ4=3,"晩成","")))</f>
        <v>普通</v>
      </c>
      <c r="AL4" s="11" t="str">
        <f ca="1">INDEX([2]経験値!$A$1:$I$15,MATCH(H4,[2]経験値!$A$1:$A$15,FALSE),MATCH(G4,[2]経験値!$A$1:$I$1,FALSE))</f>
        <v>required_exp_250</v>
      </c>
      <c r="AM4" s="8">
        <f ca="1">VLOOKUP(G4,[2]経験値!$A$22:$B$26,2)</f>
        <v>6400</v>
      </c>
      <c r="AN4" s="17">
        <f ca="1">VLOOKUP(G4,[2]ビット!$G$2:$H$7,2)</f>
        <v>900</v>
      </c>
      <c r="AO4" s="41"/>
      <c r="AP4" s="163">
        <f>A4</f>
        <v>1076</v>
      </c>
      <c r="AQ4" s="53" t="e">
        <f ca="1">VLOOKUP($AP4,OFFSET([2]unit_skills!$A$1,0,0,COUNTA([2]unit_skills!$A:$A),MATCH([2]units!AQ$1,[2]unit_skills!$1:$1,0)-MATCH([2]units!$AP$1,[2]unit_skills!$1:$1,0)+1),MATCH([2]units!AQ$1,[2]unit_skills!$1:$1,0)-MATCH([2]units!$AP$1,[2]unit_skills!$1:$1,0)+1,FALSE)</f>
        <v>#VALUE!</v>
      </c>
      <c r="AR4" s="53" t="e">
        <f ca="1">VLOOKUP($AP4,OFFSET([2]unit_skills!$A$1,0,0,COUNTA([2]unit_skills!$A:$A),MATCH([2]units!AR$1,[2]unit_skills!$1:$1,0)-MATCH([2]units!$AP$1,[2]unit_skills!$1:$1,0)+1),MATCH([2]units!AR$1,[2]unit_skills!$1:$1,0)-MATCH([2]units!$AP$1,[2]unit_skills!$1:$1,0)+1,FALSE)</f>
        <v>#VALUE!</v>
      </c>
      <c r="AS4" s="53" t="e">
        <f ca="1">VLOOKUP($AP4,OFFSET([2]unit_skills!$A$1,0,0,COUNTA([2]unit_skills!$A:$A),MATCH([2]units!AS$1,[2]unit_skills!$1:$1,0)-MATCH([2]units!$AP$1,[2]unit_skills!$1:$1,0)+1),MATCH([2]units!AS$1,[2]unit_skills!$1:$1,0)-MATCH([2]units!$AP$1,[2]unit_skills!$1:$1,0)+1,FALSE)</f>
        <v>#VALUE!</v>
      </c>
      <c r="AT4" s="163">
        <f>A4</f>
        <v>1076</v>
      </c>
      <c r="AU4" s="53" t="e">
        <f ca="1">VLOOKUP($AT4,OFFSET([2]crash_skills!$A$1,0,0,COUNTA([2]crash_skills!$A:$A),MATCH([2]units!AU$1,[2]crash_skills!$1:$1,0)-MATCH([2]units!$AT$1,[2]crash_skills!$1:$1,0)+1),MATCH([2]units!AU$1,[2]crash_skills!$1:$1,0)-MATCH([2]units!$AT$1,[2]crash_skills!$1:$1,0)+1,FALSE)</f>
        <v>#VALUE!</v>
      </c>
      <c r="AV4" s="53" t="e">
        <f ca="1">VLOOKUP($AT4,OFFSET([2]crash_skills!$A$1,0,0,COUNTA([2]crash_skills!$A:$A),MATCH([2]units!AV$1,[2]crash_skills!$1:$1,0)-MATCH([2]units!$AT$1,[2]crash_skills!$1:$1,0)+1),MATCH([2]units!AV$1,[2]crash_skills!$1:$1,0)-MATCH([2]units!$AT$1,[2]crash_skills!$1:$1,0)+1,FALSE)</f>
        <v>#VALUE!</v>
      </c>
      <c r="AW4" s="53" t="e">
        <f ca="1">VLOOKUP($AT4,OFFSET([2]crash_skills!$A$1,0,0,COUNTA([2]crash_skills!$A:$A),MATCH([2]units!AW$1,[2]crash_skills!$1:$1,0)-MATCH([2]units!$AT$1,[2]crash_skills!$1:$1,0)+1),MATCH([2]units!AW$1,[2]crash_skills!$1:$1,0)-MATCH([2]units!$AT$1,[2]crash_skills!$1:$1,0)+1,FALSE)</f>
        <v>#VALUE!</v>
      </c>
      <c r="AX4" s="54">
        <f ca="1">VLOOKUP($A4,OFFSET([1]characters!$A$1,0,0,COUNTA([1]characters!$A:$A),MATCH([2]units!AX$1,[1]characters!$1:$1,0)-MATCH([2]units!$A$1,[1]characters!$1:$1,0)+1),MATCH([2]units!AX$1,[1]characters!$1:$1,0)-MATCH([2]units!$A$1,[1]characters!$1:$1,0)+1,FALSE)</f>
        <v>3</v>
      </c>
      <c r="AY4" s="63">
        <v>0.97</v>
      </c>
      <c r="AZ4" s="63">
        <v>1.04</v>
      </c>
      <c r="BA4" s="63">
        <v>0</v>
      </c>
      <c r="BB4" s="63">
        <v>1.03</v>
      </c>
      <c r="BC4" s="11">
        <f ca="1">INDEX([2]RC6SV!$A$1:$G$15,MATCH(H4,[2]RC6SV!$A$1:$A$15,FALSE),MATCH(G4,[2]RC6SV!$A$1:$G$1,FALSE))</f>
        <v>10000</v>
      </c>
      <c r="BD4" s="44">
        <f ca="1">ROUND(BC4*IF(AJ4=1,0.95,IF(AJ4=2,1,IF(AJ4,1.05,0))),0)</f>
        <v>10000</v>
      </c>
      <c r="BE4" s="11">
        <f ca="1">ROUND(IFERROR(INDIRECT(ADDRESS(MATCH($A4,$AE:$AE,0),MATCH($BC$1,$1:$1,0))),0),0)</f>
        <v>0</v>
      </c>
      <c r="BF4" s="11">
        <f t="shared" ca="1" si="5"/>
        <v>1</v>
      </c>
      <c r="BG4" s="16">
        <f ca="1">IF($BE4&lt;=0,ROUND(BK4*0.5,0), ROUND($BE4*S4*AA4*J4*AY4*0.8*[1]ステータス!$B$2,0))</f>
        <v>2474</v>
      </c>
      <c r="BH4" s="16">
        <f ca="1">IF($BE4&lt;=0,ROUND(BL4*0.5,0), ROUND($BE4*T4*AB4*K4*AZ4*0.8*[1]ステータス!$C$2,0))</f>
        <v>1529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1288</v>
      </c>
      <c r="BK4" s="11">
        <f ca="1">ROUND(BD4*S4*AA4*J4*AY4*[1]ステータス!$B$2,0)</f>
        <v>4947</v>
      </c>
      <c r="BL4" s="11">
        <f ca="1">ROUND(BD4*T4*AB4*K4*AZ4*[1]ステータス!$C$2,0)</f>
        <v>3058</v>
      </c>
      <c r="BM4" s="11">
        <f ca="1">ROUND(BD4*U4*AC4*L4*BA4*[1]ステータス!$D$2,0)</f>
        <v>0</v>
      </c>
      <c r="BN4" s="11">
        <f ca="1">ROUND(BD4*V4*AD4*M4*BB4*[1]ステータス!$E$2,0)</f>
        <v>2575</v>
      </c>
      <c r="BO4" s="10">
        <v>0</v>
      </c>
      <c r="BP4" s="10">
        <v>1</v>
      </c>
      <c r="BQ4" s="10" t="s">
        <v>47</v>
      </c>
      <c r="BR4" s="217">
        <v>3000</v>
      </c>
    </row>
    <row r="5" spans="1:70" ht="21" customHeight="1" x14ac:dyDescent="0.15">
      <c r="A5" s="175">
        <v>1077</v>
      </c>
      <c r="B5" s="176" t="str">
        <f ca="1">VLOOKUP($A5,OFFSET([1]characters!$A$1,0,0,COUNTA([1]characters!$A:$A),MATCH([2]units!B$1,[1]characters!$1:$1,0)-MATCH([2]units!$A$1,[1]characters!$1:$1,0)+1),MATCH([2]units!B$1,[1]characters!$1:$1,0)-MATCH([2]units!$A$1,[1]characters!$1:$1,0)+1,FALSE)</f>
        <v>彩適な幸詠隊 パレート</v>
      </c>
      <c r="C5" s="53" t="str">
        <f ca="1">VLOOKUP($A5,OFFSET([1]characters!$A$1,0,0,COUNTA([1]characters!$A:$A),MATCH([2]units!C$1,[1]characters!$1:$1,0)-MATCH([2]units!$A$1,[1]characters!$1:$1,0)+1),MATCH([2]units!C$1,[1]characters!$1:$1,0)-MATCH([2]units!$A$1,[1]characters!$1:$1,0)+1,FALSE)</f>
        <v>イザナミ_分岐</v>
      </c>
      <c r="D5" s="53" t="str">
        <f ca="1">VLOOKUP($A5,OFFSET([1]characters!$A$1,0,0,COUNTA([1]characters!$A:$A),MATCH([2]units!D$1,[1]characters!$1:$1,0)-MATCH([2]units!$A$1,[1]characters!$1:$1,0)+1),MATCH([2]units!D$1,[1]characters!$1:$1,0)-MATCH([2]units!$A$1,[1]characters!$1:$1,0)+1,FALSE)</f>
        <v>執行者</v>
      </c>
      <c r="E5" s="53" t="str">
        <f ca="1">VLOOKUP($A5,OFFSET([1]characters!$A$1,0,0,COUNTA([1]characters!$A:$A),MATCH([2]units!E$1,[1]characters!$1:$1,0)-MATCH([2]units!$A$1,[1]characters!$1:$1,0)+1),MATCH([2]units!E$1,[1]characters!$1:$1,0)-MATCH([2]units!$A$1,[1]characters!$1:$1,0)+1,FALSE)</f>
        <v>格好いい</v>
      </c>
      <c r="F5" s="53" t="str">
        <f ca="1">VLOOKUP($A5,OFFSET([1]characters!$A$1,0,0,COUNTA([1]characters!$A:$A),MATCH([2]units!F$1,[1]characters!$1:$1,0)-MATCH([2]units!$A$1,[1]characters!$1:$1,0)+1),MATCH([2]units!F$1,[1]characters!$1:$1,0)-MATCH([2]units!$A$1,[1]characters!$1:$1,0)+1,FALSE)</f>
        <v>男性</v>
      </c>
      <c r="G5" s="53">
        <f ca="1">VLOOKUP($A5,OFFSET([1]characters!$A$1,0,0,COUNTA([1]characters!$A:$A),MATCH([2]units!G$1,[1]characters!$1:$1,0)-MATCH([2]units!$A$1,[1]characters!$1:$1,0)+1),MATCH([2]units!G$1,[1]characters!$1:$1,0)-MATCH([2]units!$A$1,[1]characters!$1:$1,0)+1,FALSE)</f>
        <v>6</v>
      </c>
      <c r="H5" s="53" t="str">
        <f ca="1">VLOOKUP($A5,OFFSET([1]characters!$A$1,0,0,COUNTA([1]characters!$A:$A),MATCH([2]units!H$1,[1]characters!$1:$1,0)-MATCH([2]units!$A$1,[1]characters!$1:$1,0)+1),MATCH([2]units!H$1,[1]characters!$1:$1,0)-MATCH([2]units!$A$1,[1]characters!$1:$1,0)+1,FALSE)</f>
        <v>PremiumSSS</v>
      </c>
      <c r="I5" s="53" t="str">
        <f ca="1">VLOOKUP($A5,OFFSET([1]characters!$A$1,0,0,COUNTA([1]characters!$A:$A),MATCH([2]units!I$1,[1]characters!$1:$1,0)-MATCH([2]units!$A$1,[1]characters!$1:$1,0)+1),MATCH([2]units!I$1,[1]characters!$1:$1,0)-MATCH([2]units!$A$1,[1]characters!$1:$1,0)+1,FALSE)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INDEX([2]コスト!$A$1:$I$15,MATCH(H5,[2]コスト!$A$1:$A$15,FALSE),MATCH(G5,[2]コスト!$A$1:$I$1,FALSE))</f>
        <v>55</v>
      </c>
      <c r="O5" s="11">
        <f ca="1">INDEX([2]レベル!$A$1:$I$16,MATCH(H5,[2]レベル!$A$1:$A$16,FALSE),MATCH(G5,[2]レベル!$A$1:$I$1,FALSE))</f>
        <v>99</v>
      </c>
      <c r="P5" s="44">
        <f ca="1">IF(G5=6,99, G5*15)</f>
        <v>99</v>
      </c>
      <c r="Q5" s="53" t="str">
        <f ca="1">VLOOKUP($A5,OFFSET([1]characters!$A$1,0,0,COUNTA([1]characters!$A:$A),MATCH([2]units!Q$1,[1]characters!$1:$1,0)-MATCH([2]units!$A$1,[1]characters!$1:$1,0)+1),MATCH([2]units!Q$1,[1]characters!$1:$1,0)-MATCH([2]units!$A$1,[1]characters!$1:$1,0)+1,FALSE)</f>
        <v>balance</v>
      </c>
      <c r="R5" s="5" t="str">
        <f ca="1">VLOOKUP(Q5,[1]character_type_i18n!$A:$H,3,FALSE)</f>
        <v>バランスタイプ</v>
      </c>
      <c r="S5" s="11">
        <f ca="1">VLOOKUP(Q5,[1]character_type_i18n!$A:$H,4,FALSE)</f>
        <v>1</v>
      </c>
      <c r="T5" s="11">
        <f ca="1">VLOOKUP(Q5,[1]character_type_i18n!$A:$H,5,FALSE)</f>
        <v>1</v>
      </c>
      <c r="U5" s="11">
        <f ca="1">VLOOKUP(Q5,[1]character_type_i18n!$A:$H,6,FALSE)</f>
        <v>1</v>
      </c>
      <c r="V5" s="11">
        <f ca="1">VLOOKUP(Q5,[1]character_type_i18n!$A:$H,7,FALSE)</f>
        <v>1</v>
      </c>
      <c r="W5" s="53" t="str">
        <f ca="1">VLOOKUP($A5,OFFSET([1]characters!$A$1,0,0,COUNTA([1]characters!$A:$A),MATCH([2]units!W$1,[1]characters!$1:$1,0)-MATCH([2]units!$A$1,[1]characters!$1:$1,0)+1),MATCH([2]units!W$1,[1]characters!$1:$1,0)-MATCH([2]units!$A$1,[1]characters!$1:$1,0)+1,FALSE)</f>
        <v>academia</v>
      </c>
      <c r="X5" s="5" t="str">
        <f ca="1">VLOOKUP(W5,[1]character_tribe_i18n!$A:$H,3,FALSE)</f>
        <v>アカデミア</v>
      </c>
      <c r="Y5" s="53" t="str">
        <f ca="1">VLOOKUP($A5,OFFSET([1]characters!$A$1,0,0,COUNTA([1]characters!$A:$A),MATCH([2]units!Y$1,[1]characters!$1:$1,0)-MATCH([2]units!$A$1,[1]characters!$1:$1,0)+1),MATCH([2]units!Y$1,[1]characters!$1:$1,0)-MATCH([2]units!$A$1,[1]characters!$1:$1,0)+1,FALSE)</f>
        <v>unknown</v>
      </c>
      <c r="Z5" s="5" t="str">
        <f ca="1">VLOOKUP(Y5,[1]character_tribe_i18n!$A:$H,3,FALSE)</f>
        <v>Unknown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 t="s">
        <v>259</v>
      </c>
      <c r="AF5" s="58" t="str">
        <f ca="1">IF(AE5="NULL","",VLOOKUP($AE5,OFFSET([1]characters!$A$1,0,0,COUNTA([1]characters!$A:$A),MATCH([2]units!AF$1,[1]characters!$1:$1,0)-MATCH([2]units!$A$1,[1]characters!$1:$1,0)+1),MATCH([2]units!AF$1,[1]characters!$1:$1,0)-MATCH([2]units!$A$1,[1]characters!$1:$1,0)+1,FALSE))</f>
        <v/>
      </c>
      <c r="AG5" s="5">
        <v>1076</v>
      </c>
      <c r="AH5" s="58" t="str">
        <f ca="1">VLOOKUP($AG5,OFFSET([1]characters!$A$1,0,0,COUNTA([1]characters!$A:$A),MATCH([2]units!AH$1,[1]characters!$1:$1,0)-MATCH([2]units!$A$1,[1]characters!$1:$1,0)+1),MATCH([2]units!AH$1,[1]characters!$1:$1,0)-MATCH([2]units!$A$1,[1]characters!$1:$1,0)+1,FALSE)</f>
        <v>パレート</v>
      </c>
      <c r="AI5" s="11" t="str">
        <f>IF(AE5="NULL","NULL",VLOOKUP(G5,[2]ビット!$A$2:$B$7,2))</f>
        <v>NULL</v>
      </c>
      <c r="AJ5" s="6">
        <v>2</v>
      </c>
      <c r="AK5" s="7" t="str">
        <f>IF(AJ5=1,"早熟",IF(AJ5=2,"普通",IF(AJ5=3,"晩成","")))</f>
        <v>普通</v>
      </c>
      <c r="AL5" s="11" t="str">
        <f ca="1">INDEX([2]経験値!$A$1:$I$15,MATCH(H5,[2]経験値!$A$1:$A$15,FALSE),MATCH(G5,[2]経験値!$A$1:$I$1,FALSE))</f>
        <v>required_exp_300</v>
      </c>
      <c r="AM5" s="8">
        <f ca="1">VLOOKUP(G5,[2]経験値!$A$22:$B$26,2)</f>
        <v>6400</v>
      </c>
      <c r="AN5" s="17">
        <f ca="1">VLOOKUP(G5,[2]ビット!$G$2:$H$7,2)</f>
        <v>900</v>
      </c>
      <c r="AO5" s="41"/>
      <c r="AP5" s="163">
        <f>A5</f>
        <v>1077</v>
      </c>
      <c r="AQ5" s="53" t="e">
        <f ca="1">VLOOKUP($AP5,OFFSET([2]unit_skills!$A$1,0,0,COUNTA([2]unit_skills!$A:$A),MATCH([2]units!AQ$1,[2]unit_skills!$1:$1,0)-MATCH([2]units!$AP$1,[2]unit_skills!$1:$1,0)+1),MATCH([2]units!AQ$1,[2]unit_skills!$1:$1,0)-MATCH([2]units!$AP$1,[2]unit_skills!$1:$1,0)+1,FALSE)</f>
        <v>#VALUE!</v>
      </c>
      <c r="AR5" s="53" t="e">
        <f ca="1">VLOOKUP($AP5,OFFSET([2]unit_skills!$A$1,0,0,COUNTA([2]unit_skills!$A:$A),MATCH([2]units!AR$1,[2]unit_skills!$1:$1,0)-MATCH([2]units!$AP$1,[2]unit_skills!$1:$1,0)+1),MATCH([2]units!AR$1,[2]unit_skills!$1:$1,0)-MATCH([2]units!$AP$1,[2]unit_skills!$1:$1,0)+1,FALSE)</f>
        <v>#VALUE!</v>
      </c>
      <c r="AS5" s="53" t="e">
        <f ca="1">VLOOKUP($AP5,OFFSET([2]unit_skills!$A$1,0,0,COUNTA([2]unit_skills!$A:$A),MATCH([2]units!AS$1,[2]unit_skills!$1:$1,0)-MATCH([2]units!$AP$1,[2]unit_skills!$1:$1,0)+1),MATCH([2]units!AS$1,[2]unit_skills!$1:$1,0)-MATCH([2]units!$AP$1,[2]unit_skills!$1:$1,0)+1,FALSE)</f>
        <v>#VALUE!</v>
      </c>
      <c r="AT5" s="163">
        <f>A5</f>
        <v>1077</v>
      </c>
      <c r="AU5" s="53" t="e">
        <f ca="1">VLOOKUP($AT5,OFFSET([2]crash_skills!$A$1,0,0,COUNTA([2]crash_skills!$A:$A),MATCH([2]units!AU$1,[2]crash_skills!$1:$1,0)-MATCH([2]units!$AT$1,[2]crash_skills!$1:$1,0)+1),MATCH([2]units!AU$1,[2]crash_skills!$1:$1,0)-MATCH([2]units!$AT$1,[2]crash_skills!$1:$1,0)+1,FALSE)</f>
        <v>#VALUE!</v>
      </c>
      <c r="AV5" s="53" t="e">
        <f ca="1">VLOOKUP($AT5,OFFSET([2]crash_skills!$A$1,0,0,COUNTA([2]crash_skills!$A:$A),MATCH([2]units!AV$1,[2]crash_skills!$1:$1,0)-MATCH([2]units!$AT$1,[2]crash_skills!$1:$1,0)+1),MATCH([2]units!AV$1,[2]crash_skills!$1:$1,0)-MATCH([2]units!$AT$1,[2]crash_skills!$1:$1,0)+1,FALSE)</f>
        <v>#VALUE!</v>
      </c>
      <c r="AW5" s="53" t="e">
        <f ca="1">VLOOKUP($AT5,OFFSET([2]crash_skills!$A$1,0,0,COUNTA([2]crash_skills!$A:$A),MATCH([2]units!AW$1,[2]crash_skills!$1:$1,0)-MATCH([2]units!$AT$1,[2]crash_skills!$1:$1,0)+1),MATCH([2]units!AW$1,[2]crash_skills!$1:$1,0)-MATCH([2]units!$AT$1,[2]crash_skills!$1:$1,0)+1,FALSE)</f>
        <v>#VALUE!</v>
      </c>
      <c r="AX5" s="54">
        <f ca="1">VLOOKUP($A5,OFFSET([1]characters!$A$1,0,0,COUNTA([1]characters!$A:$A),MATCH([2]units!AX$1,[1]characters!$1:$1,0)-MATCH([2]units!$A$1,[1]characters!$1:$1,0)+1),MATCH([2]units!AX$1,[1]characters!$1:$1,0)-MATCH([2]units!$A$1,[1]characters!$1:$1,0)+1,FALSE)</f>
        <v>3</v>
      </c>
      <c r="AY5" s="63">
        <v>0.97</v>
      </c>
      <c r="AZ5" s="63">
        <v>1.1000000000000001</v>
      </c>
      <c r="BA5" s="63">
        <v>0</v>
      </c>
      <c r="BB5" s="63">
        <v>1.03</v>
      </c>
      <c r="BC5" s="11">
        <f ca="1">INDEX([2]RC6SV!$A$1:$G$15,MATCH(H5,[2]RC6SV!$A$1:$A$15,FALSE),MATCH(G5,[2]RC6SV!$A$1:$G$1,FALSE))</f>
        <v>14000</v>
      </c>
      <c r="BD5" s="44">
        <f ca="1">ROUND(BC5*IF(AJ5=1,0.95,IF(AJ5=2,1,IF(AJ5,1.05,0))),0)</f>
        <v>14000</v>
      </c>
      <c r="BE5" s="11">
        <f ca="1">ROUND(IFERROR(INDIRECT(ADDRESS(MATCH($A5,$AE:$AE,0),MATCH($BC$1,$1:$1,0))),0),0)</f>
        <v>10000</v>
      </c>
      <c r="BF5" s="11">
        <f t="shared" ca="1" si="5"/>
        <v>1</v>
      </c>
      <c r="BG5" s="218">
        <v>3463</v>
      </c>
      <c r="BH5" s="218">
        <v>2264</v>
      </c>
      <c r="BI5" s="16">
        <f ca="1">IF($BE5&lt;=0,ROUND(BM5*0.5,0), ROUND($BE5*U5*AC5*L5*BA5*0.8*[1]ステータス!$D$2,0))</f>
        <v>0</v>
      </c>
      <c r="BJ5" s="218">
        <v>1803</v>
      </c>
      <c r="BK5" s="11">
        <f ca="1">ROUND(BD5*S5*AA5*J5*AY5*[1]ステータス!$B$2,0)</f>
        <v>6926</v>
      </c>
      <c r="BL5" s="11">
        <f ca="1">ROUND(BD5*T5*AB5*K5*AZ5*[1]ステータス!$C$2,0)</f>
        <v>4528</v>
      </c>
      <c r="BM5" s="11">
        <f ca="1">ROUND(BD5*U5*AC5*L5*BA5*[1]ステータス!$D$2,0)</f>
        <v>0</v>
      </c>
      <c r="BN5" s="11">
        <f ca="1">ROUND(BD5*V5*AD5*M5*BB5*[1]ステータス!$E$2,0)</f>
        <v>3605</v>
      </c>
      <c r="BO5" s="10">
        <v>0</v>
      </c>
      <c r="BP5" s="10">
        <v>1</v>
      </c>
      <c r="BQ5" s="10" t="s">
        <v>47</v>
      </c>
      <c r="BR5" s="217">
        <v>3000</v>
      </c>
    </row>
  </sheetData>
  <autoFilter ref="A1:BQ1"/>
  <phoneticPr fontId="10"/>
  <conditionalFormatting sqref="BO1">
    <cfRule type="cellIs" dxfId="39" priority="120" stopIfTrue="1" operator="equal">
      <formula>1</formula>
    </cfRule>
  </conditionalFormatting>
  <conditionalFormatting sqref="BQ1">
    <cfRule type="cellIs" dxfId="38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U892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5" sqref="D5"/>
    </sheetView>
  </sheetViews>
  <sheetFormatPr baseColWidth="12" defaultColWidth="13" defaultRowHeight="21" customHeight="1" outlineLevelCol="1" x14ac:dyDescent="0.15"/>
  <cols>
    <col min="1" max="1" width="16.1640625" style="124" bestFit="1" customWidth="1"/>
    <col min="2" max="2" width="13" style="124" bestFit="1" customWidth="1"/>
    <col min="3" max="3" width="21.83203125" style="124" customWidth="1"/>
    <col min="4" max="4" width="41.83203125" style="124" customWidth="1"/>
    <col min="5" max="5" width="9" style="124" customWidth="1"/>
    <col min="6" max="6" width="7.83203125" style="124" bestFit="1" customWidth="1"/>
    <col min="7" max="7" width="8.1640625" style="124" bestFit="1" customWidth="1"/>
    <col min="8" max="8" width="13.6640625" style="124" bestFit="1" customWidth="1"/>
    <col min="9" max="10" width="51.6640625" style="124" customWidth="1"/>
    <col min="11" max="11" width="10.83203125" style="124" customWidth="1" outlineLevel="1"/>
    <col min="12" max="17" width="9.5" style="123" customWidth="1" outlineLevel="1"/>
    <col min="18" max="18" width="20.33203125" style="124" customWidth="1" outlineLevel="1"/>
    <col min="19" max="19" width="10.33203125" style="124" bestFit="1" customWidth="1"/>
    <col min="20" max="16384" width="13" style="124"/>
  </cols>
  <sheetData>
    <row r="1" spans="1:21" s="123" customFormat="1" ht="21" customHeight="1" x14ac:dyDescent="0.15">
      <c r="A1" s="112" t="s">
        <v>20</v>
      </c>
      <c r="B1" s="113" t="s">
        <v>132</v>
      </c>
      <c r="C1" s="114" t="s">
        <v>40</v>
      </c>
      <c r="D1" s="115" t="s">
        <v>366</v>
      </c>
      <c r="E1" s="115" t="s">
        <v>161</v>
      </c>
      <c r="F1" s="112" t="s">
        <v>144</v>
      </c>
      <c r="G1" s="116" t="s">
        <v>2</v>
      </c>
      <c r="H1" s="116" t="s">
        <v>162</v>
      </c>
      <c r="I1" s="116" t="s">
        <v>163</v>
      </c>
      <c r="J1" s="117" t="s">
        <v>181</v>
      </c>
      <c r="K1" s="116" t="s">
        <v>4</v>
      </c>
      <c r="L1" s="118" t="s">
        <v>164</v>
      </c>
      <c r="M1" s="119" t="s">
        <v>165</v>
      </c>
      <c r="N1" s="119" t="s">
        <v>166</v>
      </c>
      <c r="O1" s="119" t="s">
        <v>167</v>
      </c>
      <c r="P1" s="119" t="s">
        <v>168</v>
      </c>
      <c r="Q1" s="120" t="s">
        <v>169</v>
      </c>
      <c r="R1" s="121" t="s">
        <v>170</v>
      </c>
      <c r="S1" s="122" t="s">
        <v>171</v>
      </c>
    </row>
    <row r="2" spans="1:21" ht="21" customHeight="1" x14ac:dyDescent="0.15">
      <c r="A2" s="164">
        <v>623</v>
      </c>
      <c r="B2" s="165" t="s">
        <v>182</v>
      </c>
      <c r="C2" s="111" t="s">
        <v>245</v>
      </c>
      <c r="D2" s="166" t="s">
        <v>258</v>
      </c>
      <c r="E2" s="129">
        <f>LEN(D2)</f>
        <v>53</v>
      </c>
      <c r="F2" s="111">
        <v>14</v>
      </c>
      <c r="G2" s="111">
        <v>7</v>
      </c>
      <c r="H2" s="130">
        <f>2001</f>
        <v>2001</v>
      </c>
      <c r="I2" s="130" t="s">
        <v>257</v>
      </c>
      <c r="J2" s="167">
        <v>1</v>
      </c>
      <c r="K2" s="131">
        <v>3</v>
      </c>
      <c r="L2" s="132"/>
      <c r="M2" s="133"/>
      <c r="N2" s="133"/>
      <c r="O2" s="133"/>
      <c r="P2" s="133"/>
      <c r="Q2" s="133"/>
      <c r="R2" s="133"/>
      <c r="S2" s="133"/>
      <c r="T2" s="128"/>
      <c r="U2" s="134"/>
    </row>
    <row r="3" spans="1:21" ht="21" customHeight="1" x14ac:dyDescent="0.15">
      <c r="A3" s="164">
        <v>624</v>
      </c>
      <c r="B3" s="165" t="s">
        <v>246</v>
      </c>
      <c r="C3" s="111" t="s">
        <v>247</v>
      </c>
      <c r="D3" s="166" t="s">
        <v>258</v>
      </c>
      <c r="E3" s="129">
        <f>LEN(D3)</f>
        <v>53</v>
      </c>
      <c r="F3" s="111">
        <v>14</v>
      </c>
      <c r="G3" s="111">
        <v>7</v>
      </c>
      <c r="H3" s="130">
        <f>2001</f>
        <v>2001</v>
      </c>
      <c r="I3" s="130" t="s">
        <v>355</v>
      </c>
      <c r="J3" s="167">
        <v>1</v>
      </c>
      <c r="K3" s="131">
        <v>3</v>
      </c>
      <c r="L3" s="132"/>
      <c r="M3" s="133"/>
      <c r="N3" s="133"/>
      <c r="O3" s="133"/>
      <c r="P3" s="133"/>
      <c r="Q3" s="133"/>
      <c r="R3" s="133"/>
      <c r="S3" s="133"/>
      <c r="T3" s="128"/>
      <c r="U3" s="134"/>
    </row>
    <row r="4" spans="1:21" ht="21" customHeight="1" x14ac:dyDescent="0.15">
      <c r="A4" s="191">
        <v>1076</v>
      </c>
      <c r="B4" s="165" t="s">
        <v>299</v>
      </c>
      <c r="C4" s="192" t="s">
        <v>300</v>
      </c>
      <c r="D4" s="128" t="s">
        <v>365</v>
      </c>
      <c r="E4" s="129">
        <f>LEN(D4)</f>
        <v>44</v>
      </c>
      <c r="F4" s="111">
        <v>12</v>
      </c>
      <c r="G4" s="111">
        <v>7</v>
      </c>
      <c r="H4" s="130">
        <f>2001</f>
        <v>2001</v>
      </c>
      <c r="I4" s="193" t="s">
        <v>367</v>
      </c>
      <c r="J4" s="167">
        <v>1</v>
      </c>
      <c r="K4" s="131">
        <v>3</v>
      </c>
      <c r="L4" s="132"/>
      <c r="M4" s="133"/>
      <c r="N4" s="133"/>
      <c r="O4" s="133"/>
      <c r="P4" s="133"/>
      <c r="Q4" s="133"/>
      <c r="R4" s="133"/>
      <c r="S4" s="133"/>
      <c r="T4" s="128"/>
      <c r="U4" s="134"/>
    </row>
    <row r="5" spans="1:21" ht="21" customHeight="1" x14ac:dyDescent="0.15">
      <c r="A5" s="191">
        <v>1077</v>
      </c>
      <c r="B5" s="165" t="s">
        <v>301</v>
      </c>
      <c r="C5" s="192" t="s">
        <v>300</v>
      </c>
      <c r="D5" s="128" t="s">
        <v>365</v>
      </c>
      <c r="E5" s="129">
        <f>LEN(D5)</f>
        <v>44</v>
      </c>
      <c r="F5" s="111">
        <v>12</v>
      </c>
      <c r="G5" s="111">
        <v>7</v>
      </c>
      <c r="H5" s="130">
        <f>2001</f>
        <v>2001</v>
      </c>
      <c r="I5" s="193" t="s">
        <v>367</v>
      </c>
      <c r="J5" s="167">
        <v>1</v>
      </c>
      <c r="K5" s="131">
        <v>3</v>
      </c>
      <c r="L5" s="132"/>
      <c r="M5" s="133"/>
      <c r="N5" s="133"/>
      <c r="O5" s="133"/>
      <c r="P5" s="133"/>
      <c r="Q5" s="133"/>
      <c r="R5" s="133"/>
      <c r="S5" s="133"/>
      <c r="T5" s="128"/>
      <c r="U5" s="134"/>
    </row>
    <row r="804" spans="18:18" ht="21" customHeight="1" x14ac:dyDescent="0.15">
      <c r="R804" s="124">
        <v>3</v>
      </c>
    </row>
    <row r="890" spans="18:18" ht="21" customHeight="1" x14ac:dyDescent="0.15">
      <c r="R890" s="124">
        <v>3</v>
      </c>
    </row>
    <row r="891" spans="18:18" ht="21" customHeight="1" x14ac:dyDescent="0.15">
      <c r="R891" s="124">
        <v>3</v>
      </c>
    </row>
    <row r="892" spans="18:18" ht="21" customHeight="1" x14ac:dyDescent="0.15">
      <c r="R892" s="124">
        <v>1</v>
      </c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6:E1048576">
    <cfRule type="cellIs" dxfId="37" priority="19" operator="greaterThan">
      <formula>41</formula>
    </cfRule>
  </conditionalFormatting>
  <conditionalFormatting sqref="E3">
    <cfRule type="cellIs" dxfId="36" priority="11" operator="greaterThan">
      <formula>41</formula>
    </cfRule>
  </conditionalFormatting>
  <conditionalFormatting sqref="E2">
    <cfRule type="cellIs" dxfId="35" priority="12" operator="greaterThan">
      <formula>41</formula>
    </cfRule>
  </conditionalFormatting>
  <conditionalFormatting sqref="E4">
    <cfRule type="cellIs" dxfId="34" priority="10" operator="greaterThan">
      <formula>41</formula>
    </cfRule>
  </conditionalFormatting>
  <conditionalFormatting sqref="E5">
    <cfRule type="cellIs" dxfId="33" priority="9" operator="greaterThan">
      <formula>41</formula>
    </cfRule>
  </conditionalFormatting>
  <conditionalFormatting sqref="C4:C5">
    <cfRule type="expression" dxfId="32" priority="2">
      <formula>$E4="黄"</formula>
    </cfRule>
    <cfRule type="expression" dxfId="31" priority="3">
      <formula>$E4="赤"</formula>
    </cfRule>
    <cfRule type="expression" dxfId="30" priority="4">
      <formula>$E4="緑"</formula>
    </cfRule>
  </conditionalFormatting>
  <conditionalFormatting sqref="C4:C5">
    <cfRule type="expression" dxfId="29" priority="1">
      <formula>$E4="青"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J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16" sqref="D16"/>
    </sheetView>
  </sheetViews>
  <sheetFormatPr baseColWidth="12" defaultColWidth="13" defaultRowHeight="21" customHeight="1" x14ac:dyDescent="0.15"/>
  <cols>
    <col min="1" max="2" width="12.1640625" style="124" customWidth="1"/>
    <col min="3" max="3" width="48.83203125" style="125" customWidth="1"/>
    <col min="4" max="4" width="23.83203125" style="125" customWidth="1"/>
    <col min="5" max="5" width="10.5" style="125" customWidth="1"/>
    <col min="6" max="6" width="59.1640625" style="125" customWidth="1"/>
    <col min="7" max="7" width="15.5" style="125" bestFit="1" customWidth="1"/>
    <col min="8" max="8" width="6.83203125" style="124" bestFit="1" customWidth="1"/>
    <col min="9" max="9" width="20.33203125" style="124" customWidth="1"/>
    <col min="10" max="10" width="5" style="124" bestFit="1" customWidth="1"/>
    <col min="11" max="16384" width="13" style="124"/>
  </cols>
  <sheetData>
    <row r="1" spans="1:10" ht="21" customHeight="1" x14ac:dyDescent="0.15">
      <c r="A1" s="112" t="s">
        <v>179</v>
      </c>
      <c r="B1" s="113" t="s">
        <v>178</v>
      </c>
      <c r="C1" s="114" t="s">
        <v>177</v>
      </c>
      <c r="D1" s="115" t="s">
        <v>176</v>
      </c>
      <c r="E1" s="115" t="s">
        <v>175</v>
      </c>
      <c r="F1" s="116" t="s">
        <v>174</v>
      </c>
      <c r="G1" s="117" t="s">
        <v>181</v>
      </c>
      <c r="H1" s="116" t="s">
        <v>173</v>
      </c>
      <c r="I1" s="117" t="s">
        <v>172</v>
      </c>
      <c r="J1" s="121" t="s">
        <v>171</v>
      </c>
    </row>
    <row r="2" spans="1:10" ht="21" customHeight="1" x14ac:dyDescent="0.15">
      <c r="A2" s="163">
        <v>623</v>
      </c>
      <c r="B2" s="127" t="s">
        <v>182</v>
      </c>
      <c r="C2" s="168" t="s">
        <v>248</v>
      </c>
      <c r="D2" s="128" t="s">
        <v>255</v>
      </c>
      <c r="E2" s="129">
        <f t="shared" ref="E2:E3" si="0">LEN(D2)</f>
        <v>8</v>
      </c>
      <c r="F2" s="169" t="s">
        <v>254</v>
      </c>
      <c r="G2" s="216">
        <v>1</v>
      </c>
      <c r="H2" s="130">
        <v>3</v>
      </c>
      <c r="I2" s="135"/>
    </row>
    <row r="3" spans="1:10" ht="21" customHeight="1" x14ac:dyDescent="0.15">
      <c r="A3" s="163">
        <v>624</v>
      </c>
      <c r="B3" s="127" t="s">
        <v>249</v>
      </c>
      <c r="C3" s="168" t="s">
        <v>250</v>
      </c>
      <c r="D3" s="128" t="s">
        <v>253</v>
      </c>
      <c r="E3" s="129">
        <f t="shared" si="0"/>
        <v>9</v>
      </c>
      <c r="F3" s="169" t="s">
        <v>256</v>
      </c>
      <c r="G3" s="216">
        <v>1</v>
      </c>
      <c r="H3" s="130">
        <v>3</v>
      </c>
      <c r="I3" s="135"/>
    </row>
    <row r="4" spans="1:10" ht="21" customHeight="1" x14ac:dyDescent="0.15">
      <c r="A4" s="194">
        <v>1076</v>
      </c>
      <c r="B4" s="127" t="s">
        <v>302</v>
      </c>
      <c r="C4" s="195" t="s">
        <v>303</v>
      </c>
      <c r="D4" s="128" t="s">
        <v>304</v>
      </c>
      <c r="E4" s="129">
        <f>LEN(D4)</f>
        <v>21</v>
      </c>
      <c r="F4" s="169" t="s">
        <v>305</v>
      </c>
      <c r="G4" s="216">
        <v>1</v>
      </c>
      <c r="H4" s="130">
        <v>3</v>
      </c>
      <c r="I4" s="135"/>
    </row>
    <row r="5" spans="1:10" ht="21" customHeight="1" x14ac:dyDescent="0.15">
      <c r="A5" s="194">
        <v>1077</v>
      </c>
      <c r="B5" s="127" t="s">
        <v>306</v>
      </c>
      <c r="C5" s="195" t="s">
        <v>307</v>
      </c>
      <c r="D5" s="128" t="s">
        <v>308</v>
      </c>
      <c r="E5" s="129">
        <f>LEN(D5)</f>
        <v>21</v>
      </c>
      <c r="F5" s="169" t="s">
        <v>309</v>
      </c>
      <c r="G5" s="216">
        <v>1</v>
      </c>
      <c r="H5" s="130">
        <v>3</v>
      </c>
      <c r="I5" s="135"/>
    </row>
  </sheetData>
  <sheetProtection selectLockedCells="1" selectUnlockedCells="1"/>
  <autoFilter ref="A1:J1"/>
  <phoneticPr fontId="22"/>
  <conditionalFormatting sqref="E3">
    <cfRule type="cellIs" dxfId="28" priority="3" operator="greaterThan">
      <formula>41</formula>
    </cfRule>
  </conditionalFormatting>
  <conditionalFormatting sqref="E2">
    <cfRule type="cellIs" dxfId="27" priority="4" operator="greaterThan">
      <formula>41</formula>
    </cfRule>
  </conditionalFormatting>
  <conditionalFormatting sqref="E4">
    <cfRule type="cellIs" dxfId="26" priority="2" operator="greaterThan">
      <formula>41</formula>
    </cfRule>
  </conditionalFormatting>
  <conditionalFormatting sqref="E5">
    <cfRule type="cellIs" dxfId="25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3"/>
  <sheetViews>
    <sheetView workbookViewId="0">
      <selection activeCell="J30" sqref="J30"/>
    </sheetView>
  </sheetViews>
  <sheetFormatPr baseColWidth="12" defaultRowHeight="15" outlineLevelCol="1" x14ac:dyDescent="0.15"/>
  <cols>
    <col min="2" max="2" width="12.83203125" style="137"/>
    <col min="4" max="4" width="12.83203125" style="137" customWidth="1" outlineLevel="1"/>
    <col min="5" max="5" width="12.83203125" style="137"/>
  </cols>
  <sheetData>
    <row r="1" spans="1:8" x14ac:dyDescent="0.15">
      <c r="A1" s="108" t="s">
        <v>183</v>
      </c>
      <c r="B1" s="136" t="s">
        <v>184</v>
      </c>
      <c r="C1" s="108" t="s">
        <v>185</v>
      </c>
      <c r="D1" s="136" t="s">
        <v>187</v>
      </c>
      <c r="E1" s="136" t="s">
        <v>188</v>
      </c>
      <c r="F1" s="106" t="s">
        <v>189</v>
      </c>
      <c r="G1" s="108" t="s">
        <v>186</v>
      </c>
      <c r="H1" s="106" t="s">
        <v>190</v>
      </c>
    </row>
    <row r="2" spans="1:8" x14ac:dyDescent="0.15">
      <c r="A2" s="104">
        <v>1076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パレート</v>
      </c>
      <c r="C2" s="104" t="s">
        <v>350</v>
      </c>
      <c r="D2" s="136"/>
      <c r="E2" s="136" t="str">
        <f>A2&amp;+(COUNTIF(A2:A$10,A2)-1)</f>
        <v>10763</v>
      </c>
      <c r="F2" s="104" t="s">
        <v>351</v>
      </c>
      <c r="G2" s="214" t="s">
        <v>354</v>
      </c>
      <c r="H2" s="214" t="s">
        <v>356</v>
      </c>
    </row>
    <row r="3" spans="1:8" x14ac:dyDescent="0.15">
      <c r="A3" s="104">
        <v>1076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パレート</v>
      </c>
      <c r="C3" s="104" t="s">
        <v>352</v>
      </c>
      <c r="D3" s="136"/>
      <c r="E3" s="136" t="str">
        <f>A3&amp;+(COUNTIF(A3:A$10,A3)-1)</f>
        <v>10762</v>
      </c>
      <c r="F3" s="104" t="s">
        <v>351</v>
      </c>
      <c r="G3" s="214" t="s">
        <v>354</v>
      </c>
      <c r="H3" s="214" t="s">
        <v>357</v>
      </c>
    </row>
    <row r="4" spans="1:8" x14ac:dyDescent="0.15">
      <c r="A4" s="104">
        <v>1076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パレート</v>
      </c>
      <c r="C4" s="104" t="s">
        <v>352</v>
      </c>
      <c r="D4" s="136"/>
      <c r="E4" s="136" t="str">
        <f>A4&amp;+(COUNTIF(A4:A$10,A4)-1)</f>
        <v>10761</v>
      </c>
      <c r="F4" s="104" t="s">
        <v>351</v>
      </c>
      <c r="G4" s="214" t="s">
        <v>354</v>
      </c>
      <c r="H4" s="214" t="s">
        <v>358</v>
      </c>
    </row>
    <row r="5" spans="1:8" x14ac:dyDescent="0.15">
      <c r="A5" s="104">
        <v>1076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パレート</v>
      </c>
      <c r="C5" s="104" t="s">
        <v>352</v>
      </c>
      <c r="D5" s="136"/>
      <c r="E5" s="136" t="str">
        <f>A5&amp;+(COUNTIF(A5:A$10,A5)-1)</f>
        <v>10760</v>
      </c>
      <c r="F5" s="104" t="s">
        <v>351</v>
      </c>
      <c r="G5" s="214" t="s">
        <v>354</v>
      </c>
      <c r="H5" s="214" t="s">
        <v>359</v>
      </c>
    </row>
    <row r="6" spans="1:8" x14ac:dyDescent="0.15">
      <c r="A6" s="215">
        <v>1077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彩適な幸詠隊 パレート</v>
      </c>
      <c r="C6" s="104" t="s">
        <v>350</v>
      </c>
      <c r="D6" s="136"/>
      <c r="E6" s="136" t="str">
        <f>A6&amp;+(COUNTIF(A6:A$10,A6)-1)</f>
        <v>10774</v>
      </c>
      <c r="F6" s="104" t="s">
        <v>351</v>
      </c>
      <c r="G6" s="214" t="s">
        <v>354</v>
      </c>
      <c r="H6" s="214" t="s">
        <v>360</v>
      </c>
    </row>
    <row r="7" spans="1:8" x14ac:dyDescent="0.15">
      <c r="A7" s="215">
        <v>1077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彩適な幸詠隊 パレート</v>
      </c>
      <c r="C7" s="104" t="s">
        <v>353</v>
      </c>
      <c r="D7" s="136"/>
      <c r="E7" s="136" t="str">
        <f>A7&amp;+(COUNTIF(A7:A$10,A7)-1)</f>
        <v>10773</v>
      </c>
      <c r="F7" s="104" t="s">
        <v>351</v>
      </c>
      <c r="G7" s="214" t="s">
        <v>354</v>
      </c>
      <c r="H7" s="214" t="s">
        <v>361</v>
      </c>
    </row>
    <row r="8" spans="1:8" x14ac:dyDescent="0.15">
      <c r="A8" s="215">
        <v>1077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彩適な幸詠隊 パレート</v>
      </c>
      <c r="C8" s="104" t="s">
        <v>353</v>
      </c>
      <c r="D8" s="136"/>
      <c r="E8" s="136" t="str">
        <f>A8&amp;+(COUNTIF(A8:A$10,A8)-1)</f>
        <v>10772</v>
      </c>
      <c r="F8" s="104" t="s">
        <v>351</v>
      </c>
      <c r="G8" s="214" t="s">
        <v>354</v>
      </c>
      <c r="H8" s="214" t="s">
        <v>362</v>
      </c>
    </row>
    <row r="9" spans="1:8" x14ac:dyDescent="0.15">
      <c r="A9" s="215">
        <v>1077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彩適な幸詠隊 パレート</v>
      </c>
      <c r="C9" s="104" t="s">
        <v>353</v>
      </c>
      <c r="D9" s="136"/>
      <c r="E9" s="136" t="str">
        <f>A9&amp;+(COUNTIF(A9:A$10,A9)-1)</f>
        <v>10771</v>
      </c>
      <c r="F9" s="104" t="s">
        <v>351</v>
      </c>
      <c r="G9" s="214" t="s">
        <v>354</v>
      </c>
      <c r="H9" s="214" t="s">
        <v>363</v>
      </c>
    </row>
    <row r="10" spans="1:8" x14ac:dyDescent="0.15">
      <c r="A10" s="215">
        <v>1077</v>
      </c>
      <c r="B10" s="53" t="str">
        <f ca="1">VLOOKUP($A10,OFFSET([1]characters!$A$1,0,0,COUNTA([1]characters!$A:$A),MATCH(B$1,[1]characters!$1:$1,0)-MATCH($A$1,[1]characters!$1:$1,0)+1),MATCH(B$1,[1]characters!$1:$1,0)-MATCH($A$1,[1]characters!$1:$1,0)+1,FALSE)</f>
        <v>彩適な幸詠隊 パレート</v>
      </c>
      <c r="C10" s="104" t="s">
        <v>353</v>
      </c>
      <c r="D10" s="136"/>
      <c r="E10" s="136" t="str">
        <f>A10&amp;+(COUNTIF(A10:A$10,A10)-1)</f>
        <v>10770</v>
      </c>
      <c r="F10" s="104" t="s">
        <v>351</v>
      </c>
      <c r="G10" s="214" t="s">
        <v>354</v>
      </c>
      <c r="H10" s="214" t="s">
        <v>364</v>
      </c>
    </row>
    <row r="11" spans="1:8" x14ac:dyDescent="0.15">
      <c r="A11" s="104"/>
      <c r="B11" s="136"/>
      <c r="C11" s="104"/>
      <c r="D11" s="136"/>
      <c r="E11" s="136"/>
      <c r="F11" s="104"/>
      <c r="G11" s="104"/>
      <c r="H11" s="104"/>
    </row>
    <row r="12" spans="1:8" x14ac:dyDescent="0.15">
      <c r="A12" s="104"/>
      <c r="B12" s="136"/>
      <c r="C12" s="104"/>
      <c r="D12" s="136"/>
      <c r="E12" s="136"/>
      <c r="F12" s="104"/>
      <c r="G12" s="104"/>
      <c r="H12" s="104"/>
    </row>
    <row r="13" spans="1:8" x14ac:dyDescent="0.15">
      <c r="A13" s="104"/>
      <c r="B13" s="136"/>
      <c r="C13" s="104"/>
      <c r="D13" s="136"/>
      <c r="E13" s="136"/>
      <c r="F13" s="104"/>
      <c r="G13" s="104"/>
      <c r="H13" s="104"/>
    </row>
    <row r="14" spans="1:8" x14ac:dyDescent="0.15">
      <c r="A14" s="104"/>
      <c r="B14" s="136"/>
      <c r="C14" s="104"/>
      <c r="D14" s="136"/>
      <c r="E14" s="136"/>
      <c r="F14" s="104"/>
      <c r="G14" s="104"/>
      <c r="H14" s="104"/>
    </row>
    <row r="15" spans="1:8" x14ac:dyDescent="0.15">
      <c r="A15" s="104"/>
      <c r="B15" s="136"/>
      <c r="C15" s="104"/>
      <c r="D15" s="136"/>
      <c r="E15" s="136"/>
      <c r="F15" s="104"/>
      <c r="G15" s="104"/>
      <c r="H15" s="104"/>
    </row>
    <row r="16" spans="1:8" x14ac:dyDescent="0.15">
      <c r="A16" s="104"/>
      <c r="B16" s="136"/>
      <c r="C16" s="104"/>
      <c r="D16" s="136"/>
      <c r="E16" s="136"/>
      <c r="F16" s="104"/>
      <c r="G16" s="104"/>
      <c r="H16" s="104"/>
    </row>
    <row r="17" spans="1:8" x14ac:dyDescent="0.15">
      <c r="A17" s="104"/>
      <c r="B17" s="136"/>
      <c r="C17" s="104"/>
      <c r="D17" s="136"/>
      <c r="E17" s="136"/>
      <c r="F17" s="104"/>
      <c r="G17" s="104"/>
      <c r="H17" s="104"/>
    </row>
    <row r="18" spans="1:8" x14ac:dyDescent="0.15">
      <c r="A18" s="104"/>
      <c r="B18" s="136"/>
      <c r="C18" s="104"/>
      <c r="D18" s="136"/>
      <c r="E18" s="136"/>
      <c r="F18" s="104"/>
      <c r="G18" s="104"/>
      <c r="H18" s="104"/>
    </row>
    <row r="19" spans="1:8" x14ac:dyDescent="0.15">
      <c r="A19" s="104"/>
      <c r="B19" s="136"/>
      <c r="C19" s="104"/>
      <c r="D19" s="136"/>
      <c r="E19" s="136"/>
      <c r="F19" s="104"/>
      <c r="G19" s="104"/>
      <c r="H19" s="104"/>
    </row>
    <row r="20" spans="1:8" x14ac:dyDescent="0.15">
      <c r="A20" s="104"/>
      <c r="B20" s="136"/>
      <c r="C20" s="104"/>
      <c r="D20" s="136"/>
      <c r="E20" s="136"/>
      <c r="F20" s="104"/>
      <c r="G20" s="104"/>
      <c r="H20" s="104"/>
    </row>
    <row r="21" spans="1:8" x14ac:dyDescent="0.15">
      <c r="A21" s="104"/>
      <c r="B21" s="136"/>
      <c r="C21" s="104"/>
      <c r="D21" s="136"/>
      <c r="E21" s="136"/>
      <c r="F21" s="104"/>
      <c r="G21" s="104"/>
      <c r="H21" s="104"/>
    </row>
    <row r="22" spans="1:8" x14ac:dyDescent="0.15">
      <c r="A22" s="104"/>
      <c r="B22" s="136"/>
      <c r="C22" s="104"/>
      <c r="D22" s="136"/>
      <c r="E22" s="136"/>
      <c r="F22" s="104"/>
      <c r="G22" s="104"/>
      <c r="H22" s="104"/>
    </row>
    <row r="23" spans="1:8" x14ac:dyDescent="0.15">
      <c r="A23" s="104"/>
      <c r="B23" s="136"/>
      <c r="C23" s="104"/>
      <c r="D23" s="136"/>
      <c r="E23" s="136"/>
      <c r="F23" s="104"/>
      <c r="G23" s="104"/>
      <c r="H23" s="104"/>
    </row>
  </sheetData>
  <phoneticPr fontId="22"/>
  <dataValidations count="2">
    <dataValidation type="list" allowBlank="1" showInputMessage="1" showErrorMessage="1" sqref="C2:C10">
      <formula1>"skill,cskill"</formula1>
    </dataValidation>
    <dataValidation type="list" allowBlank="1" showInputMessage="1" showErrorMessage="1" sqref="G2:G10">
      <formula1>"maru,giza,kumo"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V2"/>
  <sheetViews>
    <sheetView workbookViewId="0">
      <selection activeCell="P20" sqref="P20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 collapsed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 collapsed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2" ht="14" x14ac:dyDescent="0.15">
      <c r="A1" s="196" t="s">
        <v>310</v>
      </c>
      <c r="B1" s="197" t="s">
        <v>311</v>
      </c>
      <c r="C1" s="198" t="s">
        <v>312</v>
      </c>
      <c r="D1" s="198" t="s">
        <v>313</v>
      </c>
      <c r="E1" s="198" t="s">
        <v>314</v>
      </c>
      <c r="F1" s="198" t="s">
        <v>315</v>
      </c>
      <c r="G1" s="198" t="s">
        <v>1</v>
      </c>
      <c r="H1" s="199" t="s">
        <v>19</v>
      </c>
      <c r="I1" s="198" t="s">
        <v>0</v>
      </c>
      <c r="J1" s="200" t="s">
        <v>316</v>
      </c>
      <c r="K1" s="198" t="s">
        <v>311</v>
      </c>
      <c r="L1" s="201" t="s">
        <v>49</v>
      </c>
      <c r="M1" s="201" t="s">
        <v>48</v>
      </c>
      <c r="N1" s="201" t="s">
        <v>317</v>
      </c>
      <c r="O1" s="201" t="s">
        <v>318</v>
      </c>
      <c r="P1" s="202" t="s">
        <v>319</v>
      </c>
      <c r="Q1" s="203" t="s">
        <v>320</v>
      </c>
      <c r="R1" s="204" t="s">
        <v>321</v>
      </c>
      <c r="S1" s="202" t="s">
        <v>322</v>
      </c>
      <c r="T1" s="204" t="s">
        <v>321</v>
      </c>
      <c r="U1" s="202" t="s">
        <v>323</v>
      </c>
    </row>
    <row r="2" spans="1:22" ht="15" x14ac:dyDescent="0.15">
      <c r="A2" s="105">
        <v>1076</v>
      </c>
      <c r="B2" s="5" t="str">
        <f ca="1">VLOOKUP($A2,OFFSET([1]characters!$A$1,0,0,COUNTA([1]characters!$A:$A),MATCH(B$1,[1]characters!$1:$1,0)-MATCH($A$1,[1]characters!$1:$1,0)+1),MATCH(B$1,[1]characters!$1:$1,0)-MATCH($A$1,[1]characters!$1:$1,0)+1,FALSE)</f>
        <v>パレート</v>
      </c>
      <c r="C2" s="5" t="str">
        <f ca="1">VLOOKUP($A2,OFFSET([1]characters!$A$1,0,0,COUNTA([1]characters!$A:$A),MATCH(C$1,[1]characters!$1:$1,0)-MATCH($A$1,[1]characters!$1:$1,0)+1),MATCH(C$1,[1]characters!$1:$1,0)-MATCH($A$1,[1]characters!$1:$1,0)+1,FALSE)</f>
        <v>イザナミ_分岐</v>
      </c>
      <c r="D2" s="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" t="str">
        <f ca="1">VLOOKUP($A2,OFFSET([1]characters!$A$1,0,0,COUNTA([1]characters!$A:$A),MATCH(J$1,[1]characters!$1:$1,0)-MATCH($A$1,[1]characters!$1:$1,0)+1),MATCH(J$1,[1]characters!$1:$1,0)-MATCH($A$1,[1]characters!$1:$1,0)+1,FALSE)</f>
        <v>unknown</v>
      </c>
      <c r="K2" s="5" t="str">
        <f ca="1">VLOOKUP(J2,[1]character_tribe_i18n!$A:$H,3,FALSE)</f>
        <v>Unknown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205" t="s">
        <v>324</v>
      </c>
      <c r="Q2" s="105">
        <v>1077</v>
      </c>
      <c r="R2" s="5" t="str">
        <f ca="1">IF(Q2="NULL","",VLOOKUP($Q2,OFFSET([1]characters!$A$1,0,0,COUNTA([1]characters!$A:$A),MATCH(R$1,[1]characters!$1:$1,0)-MATCH($A$1,[1]characters!$1:$1,0)+1),MATCH(R$1,[1]characters!$1:$1,0)-MATCH($A$1,[1]characters!$1:$1,0)+1,FALSE))</f>
        <v>彩適な幸詠隊 パレート</v>
      </c>
      <c r="S2" s="5">
        <f ca="1">IF(ISNA(MATCH(A2,Q:Q,0)),A2,INDIRECT(ADDRESS(MATCH(A2,Q:Q,0),COLUMN())))</f>
        <v>1076</v>
      </c>
      <c r="T2" s="5" t="str">
        <f ca="1">VLOOKUP($S2,OFFSET([1]characters!$A$1,0,0,COUNTA([1]characters!$A:$A),MATCH(T$1,[1]characters!$1:$1,0)-MATCH($A$1,[1]characters!$1:$1,0)+1),MATCH(T$1,[1]characters!$1:$1,0)-MATCH($A$1,[1]characters!$1:$1,0)+1,FALSE)</f>
        <v>パレート</v>
      </c>
      <c r="U2" s="11">
        <f ca="1">IF(Q2="NULL","NULL",VLOOKUP(G2,[2]ビット!$A$2:$B$7,2))</f>
        <v>200000</v>
      </c>
      <c r="V2"/>
    </row>
  </sheetData>
  <phoneticPr fontId="22"/>
  <conditionalFormatting sqref="W1 W3:W1048576">
    <cfRule type="cellIs" dxfId="24" priority="11" operator="equal">
      <formula>"FALSE"</formula>
    </cfRule>
  </conditionalFormatting>
  <conditionalFormatting sqref="W2">
    <cfRule type="cellIs" dxfId="23" priority="1" operator="equal">
      <formula>"FALSE"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M6"/>
  <sheetViews>
    <sheetView workbookViewId="0">
      <selection activeCell="H19" sqref="H19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5.1640625" style="3" bestFit="1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83203125" style="2" bestFit="1" customWidth="1"/>
    <col min="8" max="8" width="22.83203125" style="2" bestFit="1" customWidth="1"/>
    <col min="9" max="9" width="21.33203125" style="2" bestFit="1" customWidth="1"/>
    <col min="10" max="10" width="19.6640625" style="2" bestFit="1" customWidth="1"/>
    <col min="11" max="11" width="17" style="1" bestFit="1" customWidth="1"/>
    <col min="12" max="16384" width="13" style="2"/>
  </cols>
  <sheetData>
    <row r="1" spans="1:13" ht="21" customHeight="1" x14ac:dyDescent="0.15">
      <c r="A1" s="61" t="s">
        <v>325</v>
      </c>
      <c r="B1" s="39" t="s">
        <v>326</v>
      </c>
      <c r="C1" s="206" t="s">
        <v>327</v>
      </c>
      <c r="D1" s="19" t="s">
        <v>328</v>
      </c>
      <c r="E1" s="19" t="s">
        <v>329</v>
      </c>
      <c r="F1" s="19" t="s">
        <v>330</v>
      </c>
      <c r="G1" s="207" t="s">
        <v>331</v>
      </c>
      <c r="H1" s="19" t="s">
        <v>328</v>
      </c>
      <c r="I1" s="40" t="s">
        <v>36</v>
      </c>
      <c r="J1" s="19" t="s">
        <v>328</v>
      </c>
      <c r="K1" s="18" t="s">
        <v>37</v>
      </c>
      <c r="L1" s="107" t="s">
        <v>332</v>
      </c>
      <c r="M1" s="207" t="s">
        <v>333</v>
      </c>
    </row>
    <row r="2" spans="1:13" x14ac:dyDescent="0.15">
      <c r="A2" s="61" t="str">
        <f t="shared" ref="A2:A6" si="0">B2&amp;"_"&amp;I2</f>
        <v>1076_1059</v>
      </c>
      <c r="B2" s="170">
        <v>1076</v>
      </c>
      <c r="C2" s="208">
        <f t="shared" ref="C2:C6" si="1">B2</f>
        <v>1076</v>
      </c>
      <c r="D2" s="171" t="str">
        <f ca="1">VLOOKUP($C2,OFFSET([1]characters!$A$1,0,0,COUNTA([1]characters!$A:$A),MATCH(D$1,[1]characters!$1:$1,0)-COLUMN(INDIRECT("character_id"))+1),MATCH(D$1,[1]characters!$1:$1,0)-COLUMN(INDIRECT("character_id"))+1,FALSE)</f>
        <v>パレート</v>
      </c>
      <c r="E2" s="171">
        <f ca="1">VLOOKUP($C2,OFFSET([1]characters!$A$1,0,0,COUNTA([1]characters!$A:$A),MATCH(E$1,[1]characters!$1:$1,0)-COLUMN(INDIRECT("character_id"))+1),MATCH(E$1,[1]characters!$1:$1,0)-COLUMN(INDIRECT("character_id"))+1,FALSE)</f>
        <v>5</v>
      </c>
      <c r="F2" s="171" t="str">
        <f ca="1">VLOOKUP($C2,OFFSET([1]characters!$A$1,0,0,COUNTA([1]characters!$A:$A),MATCH(F$1,[1]characters!$1:$1,0)-COLUMN(INDIRECT("character_id"))+1),MATCH(F$1,[1]characters!$1:$1,0)-COLUMN(INDIRECT("character_id"))+1,FALSE)</f>
        <v>PremiumSSS</v>
      </c>
      <c r="G2" s="209">
        <v>1077</v>
      </c>
      <c r="H2" s="171" t="str">
        <f ca="1">VLOOKUP(G2,OFFSET([1]characters!$A$1,0,0,COUNTA([1]characters!$A:$A),MATCH(H$1,[1]characters!$1:$1,0)-COLUMN(INDIRECT("character_id"))+1),MATCH(H$1,[1]characters!$1:$1,0)-COLUMN(INDIRECT("character_id"))+1,FALSE)</f>
        <v>彩適な幸詠隊 パレート</v>
      </c>
      <c r="I2" s="172">
        <v>1059</v>
      </c>
      <c r="J2" s="171" t="str">
        <f ca="1">VLOOKUP(I2,OFFSET([1]characters!$A$1,0,0,COUNTA([1]characters!$A:$A),MATCH(J$1,[1]characters!$1:$1,0)-COLUMN(INDIRECT("character_id"))+1),MATCH(J$1,[1]characters!$1:$1,0)-COLUMN(INDIRECT("character_id"))+1,FALSE)</f>
        <v>パズズ</v>
      </c>
      <c r="K2" s="173">
        <v>1</v>
      </c>
      <c r="L2" s="174">
        <v>1</v>
      </c>
      <c r="M2" s="174">
        <v>100</v>
      </c>
    </row>
    <row r="3" spans="1:13" x14ac:dyDescent="0.15">
      <c r="A3" s="61" t="str">
        <f t="shared" si="0"/>
        <v>1076_1094</v>
      </c>
      <c r="B3" s="170">
        <v>1076</v>
      </c>
      <c r="C3" s="208">
        <f t="shared" si="1"/>
        <v>1076</v>
      </c>
      <c r="D3" s="171" t="str">
        <f ca="1">VLOOKUP($C3,OFFSET([1]characters!$A$1,0,0,COUNTA([1]characters!$A:$A),MATCH(D$1,[1]characters!$1:$1,0)-COLUMN(INDIRECT("character_id"))+1),MATCH(D$1,[1]characters!$1:$1,0)-COLUMN(INDIRECT("character_id"))+1,FALSE)</f>
        <v>パレート</v>
      </c>
      <c r="E3" s="171">
        <f ca="1">VLOOKUP($C3,OFFSET([1]characters!$A$1,0,0,COUNTA([1]characters!$A:$A),MATCH(E$1,[1]characters!$1:$1,0)-COLUMN(INDIRECT("character_id"))+1),MATCH(E$1,[1]characters!$1:$1,0)-COLUMN(INDIRECT("character_id"))+1,FALSE)</f>
        <v>5</v>
      </c>
      <c r="F3" s="171" t="str">
        <f ca="1">VLOOKUP($C3,OFFSET([1]characters!$A$1,0,0,COUNTA([1]characters!$A:$A),MATCH(F$1,[1]characters!$1:$1,0)-COLUMN(INDIRECT("character_id"))+1),MATCH(F$1,[1]characters!$1:$1,0)-COLUMN(INDIRECT("character_id"))+1,FALSE)</f>
        <v>PremiumSSS</v>
      </c>
      <c r="G3" s="209">
        <v>1077</v>
      </c>
      <c r="H3" s="171" t="str">
        <f ca="1">VLOOKUP(G3,OFFSET([1]characters!$A$1,0,0,COUNTA([1]characters!$A:$A),MATCH(H$1,[1]characters!$1:$1,0)-COLUMN(INDIRECT("character_id"))+1),MATCH(H$1,[1]characters!$1:$1,0)-COLUMN(INDIRECT("character_id"))+1,FALSE)</f>
        <v>彩適な幸詠隊 パレート</v>
      </c>
      <c r="I3" s="172">
        <v>1094</v>
      </c>
      <c r="J3" s="171" t="str">
        <f ca="1">VLOOKUP(I3,OFFSET([1]characters!$A$1,0,0,COUNTA([1]characters!$A:$A),MATCH(J$1,[1]characters!$1:$1,0)-COLUMN(INDIRECT("character_id"))+1),MATCH(J$1,[1]characters!$1:$1,0)-COLUMN(INDIRECT("character_id"))+1,FALSE)</f>
        <v>メルクシャ</v>
      </c>
      <c r="K3" s="173">
        <v>1</v>
      </c>
      <c r="L3" s="174">
        <v>1</v>
      </c>
      <c r="M3" s="174">
        <v>100</v>
      </c>
    </row>
    <row r="4" spans="1:13" x14ac:dyDescent="0.15">
      <c r="A4" s="61" t="str">
        <f t="shared" si="0"/>
        <v>1076_577</v>
      </c>
      <c r="B4" s="170">
        <v>1076</v>
      </c>
      <c r="C4" s="208">
        <f t="shared" si="1"/>
        <v>1076</v>
      </c>
      <c r="D4" s="171" t="str">
        <f ca="1">VLOOKUP($C4,OFFSET([1]characters!$A$1,0,0,COUNTA([1]characters!$A:$A),MATCH(D$1,[1]characters!$1:$1,0)-COLUMN(INDIRECT("character_id"))+1),MATCH(D$1,[1]characters!$1:$1,0)-COLUMN(INDIRECT("character_id"))+1,FALSE)</f>
        <v>パレート</v>
      </c>
      <c r="E4" s="171">
        <f ca="1">VLOOKUP($C4,OFFSET([1]characters!$A$1,0,0,COUNTA([1]characters!$A:$A),MATCH(E$1,[1]characters!$1:$1,0)-COLUMN(INDIRECT("character_id"))+1),MATCH(E$1,[1]characters!$1:$1,0)-COLUMN(INDIRECT("character_id"))+1,FALSE)</f>
        <v>5</v>
      </c>
      <c r="F4" s="171" t="str">
        <f ca="1">VLOOKUP($C4,OFFSET([1]characters!$A$1,0,0,COUNTA([1]characters!$A:$A),MATCH(F$1,[1]characters!$1:$1,0)-COLUMN(INDIRECT("character_id"))+1),MATCH(F$1,[1]characters!$1:$1,0)-COLUMN(INDIRECT("character_id"))+1,FALSE)</f>
        <v>PremiumSSS</v>
      </c>
      <c r="G4" s="209">
        <v>1077</v>
      </c>
      <c r="H4" s="171" t="str">
        <f ca="1">VLOOKUP(G4,OFFSET([1]characters!$A$1,0,0,COUNTA([1]characters!$A:$A),MATCH(H$1,[1]characters!$1:$1,0)-COLUMN(INDIRECT("character_id"))+1),MATCH(H$1,[1]characters!$1:$1,0)-COLUMN(INDIRECT("character_id"))+1,FALSE)</f>
        <v>彩適な幸詠隊 パレート</v>
      </c>
      <c r="I4" s="172">
        <v>577</v>
      </c>
      <c r="J4" s="171" t="str">
        <f ca="1">VLOOKUP(I4,OFFSET([1]characters!$A$1,0,0,COUNTA([1]characters!$A:$A),MATCH(J$1,[1]characters!$1:$1,0)-COLUMN(INDIRECT("character_id"))+1),MATCH(J$1,[1]characters!$1:$1,0)-COLUMN(INDIRECT("character_id"))+1,FALSE)</f>
        <v>ビュグヴィルとベイラ</v>
      </c>
      <c r="K4" s="173">
        <v>1</v>
      </c>
      <c r="L4" s="174">
        <v>3</v>
      </c>
      <c r="M4" s="174">
        <v>100</v>
      </c>
    </row>
    <row r="5" spans="1:13" x14ac:dyDescent="0.15">
      <c r="A5" s="61" t="str">
        <f t="shared" si="0"/>
        <v>1076_1061</v>
      </c>
      <c r="B5" s="170">
        <v>1076</v>
      </c>
      <c r="C5" s="208">
        <f t="shared" si="1"/>
        <v>1076</v>
      </c>
      <c r="D5" s="171" t="str">
        <f ca="1">VLOOKUP($C5,OFFSET([1]characters!$A$1,0,0,COUNTA([1]characters!$A:$A),MATCH(D$1,[1]characters!$1:$1,0)-COLUMN(INDIRECT("character_id"))+1),MATCH(D$1,[1]characters!$1:$1,0)-COLUMN(INDIRECT("character_id"))+1,FALSE)</f>
        <v>パレート</v>
      </c>
      <c r="E5" s="171">
        <f ca="1">VLOOKUP($C5,OFFSET([1]characters!$A$1,0,0,COUNTA([1]characters!$A:$A),MATCH(E$1,[1]characters!$1:$1,0)-COLUMN(INDIRECT("character_id"))+1),MATCH(E$1,[1]characters!$1:$1,0)-COLUMN(INDIRECT("character_id"))+1,FALSE)</f>
        <v>5</v>
      </c>
      <c r="F5" s="171" t="str">
        <f ca="1">VLOOKUP($C5,OFFSET([1]characters!$A$1,0,0,COUNTA([1]characters!$A:$A),MATCH(F$1,[1]characters!$1:$1,0)-COLUMN(INDIRECT("character_id"))+1),MATCH(F$1,[1]characters!$1:$1,0)-COLUMN(INDIRECT("character_id"))+1,FALSE)</f>
        <v>PremiumSSS</v>
      </c>
      <c r="G5" s="209">
        <v>1077</v>
      </c>
      <c r="H5" s="171" t="str">
        <f ca="1">VLOOKUP(G5,OFFSET([1]characters!$A$1,0,0,COUNTA([1]characters!$A:$A),MATCH(H$1,[1]characters!$1:$1,0)-COLUMN(INDIRECT("character_id"))+1),MATCH(H$1,[1]characters!$1:$1,0)-COLUMN(INDIRECT("character_id"))+1,FALSE)</f>
        <v>彩適な幸詠隊 パレート</v>
      </c>
      <c r="I5" s="172">
        <v>1061</v>
      </c>
      <c r="J5" s="171" t="str">
        <f ca="1">VLOOKUP(I5,OFFSET([1]characters!$A$1,0,0,COUNTA([1]characters!$A:$A),MATCH(J$1,[1]characters!$1:$1,0)-COLUMN(INDIRECT("character_id"))+1),MATCH(J$1,[1]characters!$1:$1,0)-COLUMN(INDIRECT("character_id"))+1,FALSE)</f>
        <v>フンババ</v>
      </c>
      <c r="K5" s="173">
        <v>1</v>
      </c>
      <c r="L5" s="174">
        <v>1</v>
      </c>
      <c r="M5" s="174">
        <v>100</v>
      </c>
    </row>
    <row r="6" spans="1:13" x14ac:dyDescent="0.15">
      <c r="A6" s="61" t="str">
        <f t="shared" si="0"/>
        <v>1076_837</v>
      </c>
      <c r="B6" s="170">
        <v>1076</v>
      </c>
      <c r="C6" s="208">
        <f t="shared" si="1"/>
        <v>1076</v>
      </c>
      <c r="D6" s="171" t="str">
        <f ca="1">VLOOKUP($C6,OFFSET([1]characters!$A$1,0,0,COUNTA([1]characters!$A:$A),MATCH(D$1,[1]characters!$1:$1,0)-COLUMN(INDIRECT("character_id"))+1),MATCH(D$1,[1]characters!$1:$1,0)-COLUMN(INDIRECT("character_id"))+1,FALSE)</f>
        <v>パレート</v>
      </c>
      <c r="E6" s="171">
        <f ca="1">VLOOKUP($C6,OFFSET([1]characters!$A$1,0,0,COUNTA([1]characters!$A:$A),MATCH(E$1,[1]characters!$1:$1,0)-COLUMN(INDIRECT("character_id"))+1),MATCH(E$1,[1]characters!$1:$1,0)-COLUMN(INDIRECT("character_id"))+1,FALSE)</f>
        <v>5</v>
      </c>
      <c r="F6" s="171" t="str">
        <f ca="1">VLOOKUP($C6,OFFSET([1]characters!$A$1,0,0,COUNTA([1]characters!$A:$A),MATCH(F$1,[1]characters!$1:$1,0)-COLUMN(INDIRECT("character_id"))+1),MATCH(F$1,[1]characters!$1:$1,0)-COLUMN(INDIRECT("character_id"))+1,FALSE)</f>
        <v>PremiumSSS</v>
      </c>
      <c r="G6" s="209">
        <v>1077</v>
      </c>
      <c r="H6" s="171" t="str">
        <f ca="1">VLOOKUP(G6,OFFSET([1]characters!$A$1,0,0,COUNTA([1]characters!$A:$A),MATCH(H$1,[1]characters!$1:$1,0)-COLUMN(INDIRECT("character_id"))+1),MATCH(H$1,[1]characters!$1:$1,0)-COLUMN(INDIRECT("character_id"))+1,FALSE)</f>
        <v>彩適な幸詠隊 パレート</v>
      </c>
      <c r="I6" s="172">
        <v>837</v>
      </c>
      <c r="J6" s="171" t="str">
        <f ca="1">VLOOKUP(I6,OFFSET([1]characters!$A$1,0,0,COUNTA([1]characters!$A:$A),MATCH(J$1,[1]characters!$1:$1,0)-COLUMN(INDIRECT("character_id"))+1),MATCH(J$1,[1]characters!$1:$1,0)-COLUMN(INDIRECT("character_id"))+1,FALSE)</f>
        <v>リトルハンプティ</v>
      </c>
      <c r="K6" s="173">
        <v>1</v>
      </c>
      <c r="L6" s="174">
        <v>1</v>
      </c>
      <c r="M6" s="210">
        <v>1000</v>
      </c>
    </row>
  </sheetData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6"/>
  <sheetViews>
    <sheetView showGridLines="0" workbookViewId="0">
      <pane ySplit="1" topLeftCell="A2" activePane="bottomLeft" state="frozen"/>
      <selection pane="bottomLeft" activeCell="F29" sqref="F29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1" t="s">
        <v>99</v>
      </c>
      <c r="B1" s="39" t="s">
        <v>38</v>
      </c>
      <c r="C1" s="19" t="s">
        <v>40</v>
      </c>
      <c r="D1" s="19" t="s">
        <v>42</v>
      </c>
      <c r="E1" s="19" t="s">
        <v>43</v>
      </c>
      <c r="F1" s="40" t="s">
        <v>36</v>
      </c>
      <c r="G1" s="19" t="s">
        <v>41</v>
      </c>
      <c r="H1" s="18" t="s">
        <v>37</v>
      </c>
      <c r="I1" s="107" t="s">
        <v>126</v>
      </c>
    </row>
    <row r="2" spans="1:9" x14ac:dyDescent="0.15">
      <c r="A2" s="61" t="str">
        <f t="shared" ref="A2" si="0">B2&amp;"_"&amp;F2</f>
        <v>623_837</v>
      </c>
      <c r="B2" s="170">
        <v>623</v>
      </c>
      <c r="C2" s="171" t="str">
        <f ca="1">VLOOKUP(B2,units!A:B,2)</f>
        <v>フェルマー</v>
      </c>
      <c r="D2" s="171" t="e">
        <f ca="1">VLOOKUP($B2,OFFSET([3]units!$A$1,0,0,COUNTA([3]units!$A:$A),MATCH(D$1,[3]units!$1:$1,0)-COLUMN(INDIRECT("character_id"))+1),MATCH(D$1,[3]units!$1:$1,0)-COLUMN(INDIRECT("character_id"))+1,FALSE)</f>
        <v>#VALUE!</v>
      </c>
      <c r="E2" s="171" t="e">
        <f ca="1">VLOOKUP($B2,OFFSET([3]units!$A$1,0,0,COUNTA([3]units!$A:$A),MATCH(E$1,[3]units!$1:$1,0)-COLUMN(INDIRECT("character_id"))+1),MATCH(E$1,[3]units!$1:$1,0)-COLUMN(INDIRECT("character_id"))+1,FALSE)</f>
        <v>#VALUE!</v>
      </c>
      <c r="F2" s="172">
        <v>837</v>
      </c>
      <c r="G2" s="171" t="str">
        <f>VLOOKUP(F2,[1]characters!$A:$C,3)</f>
        <v>リトルハンプティ</v>
      </c>
      <c r="H2" s="173">
        <v>1</v>
      </c>
      <c r="I2" s="174">
        <v>1</v>
      </c>
    </row>
    <row r="3" spans="1:9" x14ac:dyDescent="0.15">
      <c r="A3" s="61" t="str">
        <f t="shared" ref="A3:A6" si="1">B3&amp;"_"&amp;F3</f>
        <v>623_272</v>
      </c>
      <c r="B3" s="170">
        <v>623</v>
      </c>
      <c r="C3" s="171" t="str">
        <f ca="1">VLOOKUP(B3,units!A:B,2)</f>
        <v>フェルマー</v>
      </c>
      <c r="D3" s="171" t="e">
        <f ca="1">VLOOKUP($B3,OFFSET([3]units!$A$1,0,0,COUNTA([3]units!$A:$A),MATCH(D$1,[3]units!$1:$1,0)-COLUMN(INDIRECT("character_id"))+1),MATCH(D$1,[3]units!$1:$1,0)-COLUMN(INDIRECT("character_id"))+1,FALSE)</f>
        <v>#VALUE!</v>
      </c>
      <c r="E3" s="171" t="e">
        <f ca="1">VLOOKUP($B3,OFFSET([3]units!$A$1,0,0,COUNTA([3]units!$A:$A),MATCH(E$1,[3]units!$1:$1,0)-COLUMN(INDIRECT("character_id"))+1),MATCH(E$1,[3]units!$1:$1,0)-COLUMN(INDIRECT("character_id"))+1,FALSE)</f>
        <v>#VALUE!</v>
      </c>
      <c r="F3" s="172">
        <v>272</v>
      </c>
      <c r="G3" s="171" t="str">
        <f>VLOOKUP(F3,[1]characters!$A:$C,3)</f>
        <v>魔札のシルベール</v>
      </c>
      <c r="H3" s="173">
        <v>1</v>
      </c>
      <c r="I3" s="174">
        <v>1</v>
      </c>
    </row>
    <row r="4" spans="1:9" x14ac:dyDescent="0.15">
      <c r="A4" s="61" t="str">
        <f t="shared" si="1"/>
        <v>623_652</v>
      </c>
      <c r="B4" s="170">
        <v>623</v>
      </c>
      <c r="C4" s="171" t="str">
        <f ca="1">VLOOKUP(B4,units!A:B,2)</f>
        <v>フェルマー</v>
      </c>
      <c r="D4" s="171" t="e">
        <f ca="1">VLOOKUP($B4,OFFSET([3]units!$A$1,0,0,COUNTA([3]units!$A:$A),MATCH(D$1,[3]units!$1:$1,0)-COLUMN(INDIRECT("character_id"))+1),MATCH(D$1,[3]units!$1:$1,0)-COLUMN(INDIRECT("character_id"))+1,FALSE)</f>
        <v>#VALUE!</v>
      </c>
      <c r="E4" s="171" t="e">
        <f ca="1">VLOOKUP($B4,OFFSET([3]units!$A$1,0,0,COUNTA([3]units!$A:$A),MATCH(E$1,[3]units!$1:$1,0)-COLUMN(INDIRECT("character_id"))+1),MATCH(E$1,[3]units!$1:$1,0)-COLUMN(INDIRECT("character_id"))+1,FALSE)</f>
        <v>#VALUE!</v>
      </c>
      <c r="F4" s="172">
        <v>652</v>
      </c>
      <c r="G4" s="171" t="str">
        <f>VLOOKUP(F4,[1]characters!$A:$C,3)</f>
        <v>アナンタ</v>
      </c>
      <c r="H4" s="173">
        <v>1</v>
      </c>
      <c r="I4" s="174">
        <v>1</v>
      </c>
    </row>
    <row r="5" spans="1:9" x14ac:dyDescent="0.15">
      <c r="A5" s="61" t="str">
        <f t="shared" si="1"/>
        <v>623_856</v>
      </c>
      <c r="B5" s="170">
        <v>623</v>
      </c>
      <c r="C5" s="171" t="str">
        <f ca="1">VLOOKUP(B5,units!A:B,2)</f>
        <v>フェルマー</v>
      </c>
      <c r="D5" s="171" t="e">
        <f ca="1">VLOOKUP($B5,OFFSET([3]units!$A$1,0,0,COUNTA([3]units!$A:$A),MATCH(D$1,[3]units!$1:$1,0)-COLUMN(INDIRECT("character_id"))+1),MATCH(D$1,[3]units!$1:$1,0)-COLUMN(INDIRECT("character_id"))+1,FALSE)</f>
        <v>#VALUE!</v>
      </c>
      <c r="E5" s="171" t="e">
        <f ca="1">VLOOKUP($B5,OFFSET([3]units!$A$1,0,0,COUNTA([3]units!$A:$A),MATCH(E$1,[3]units!$1:$1,0)-COLUMN(INDIRECT("character_id"))+1),MATCH(E$1,[3]units!$1:$1,0)-COLUMN(INDIRECT("character_id"))+1,FALSE)</f>
        <v>#VALUE!</v>
      </c>
      <c r="F5" s="172">
        <v>856</v>
      </c>
      <c r="G5" s="171" t="str">
        <f>VLOOKUP(F5,[1]characters!$A:$C,3)</f>
        <v>リフレクト＆M.I.R.R.O.R.</v>
      </c>
      <c r="H5" s="173">
        <v>1</v>
      </c>
      <c r="I5" s="174">
        <v>1</v>
      </c>
    </row>
    <row r="6" spans="1:9" x14ac:dyDescent="0.15">
      <c r="A6" s="61" t="str">
        <f t="shared" si="1"/>
        <v>623_282</v>
      </c>
      <c r="B6" s="170">
        <v>623</v>
      </c>
      <c r="C6" s="171" t="str">
        <f ca="1">VLOOKUP(B6,units!A:B,2)</f>
        <v>フェルマー</v>
      </c>
      <c r="D6" s="171" t="e">
        <f ca="1">VLOOKUP($B6,OFFSET([3]units!$A$1,0,0,COUNTA([3]units!$A:$A),MATCH(D$1,[3]units!$1:$1,0)-COLUMN(INDIRECT("character_id"))+1),MATCH(D$1,[3]units!$1:$1,0)-COLUMN(INDIRECT("character_id"))+1,FALSE)</f>
        <v>#VALUE!</v>
      </c>
      <c r="E6" s="171" t="e">
        <f ca="1">VLOOKUP($B6,OFFSET([3]units!$A$1,0,0,COUNTA([3]units!$A:$A),MATCH(E$1,[3]units!$1:$1,0)-COLUMN(INDIRECT("character_id"))+1),MATCH(E$1,[3]units!$1:$1,0)-COLUMN(INDIRECT("character_id"))+1,FALSE)</f>
        <v>#VALUE!</v>
      </c>
      <c r="F6" s="172">
        <v>282</v>
      </c>
      <c r="G6" s="171" t="str">
        <f>VLOOKUP(F6,[1]characters!$A:$C,3)</f>
        <v>ラーフ</v>
      </c>
      <c r="H6" s="173">
        <v>1</v>
      </c>
      <c r="I6" s="174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J2"/>
  <sheetViews>
    <sheetView workbookViewId="0">
      <selection activeCell="D15" sqref="D15"/>
    </sheetView>
  </sheetViews>
  <sheetFormatPr baseColWidth="12" defaultRowHeight="15" x14ac:dyDescent="0.15"/>
  <cols>
    <col min="3" max="3" width="26.33203125" customWidth="1"/>
    <col min="4" max="4" width="63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2" customFormat="1" ht="14" x14ac:dyDescent="0.15">
      <c r="A1" s="182" t="s">
        <v>277</v>
      </c>
      <c r="B1" s="113" t="s">
        <v>278</v>
      </c>
      <c r="C1" s="114" t="s">
        <v>279</v>
      </c>
      <c r="D1" s="115" t="s">
        <v>280</v>
      </c>
      <c r="E1" s="115" t="s">
        <v>281</v>
      </c>
      <c r="F1" s="115" t="s">
        <v>282</v>
      </c>
      <c r="G1" s="115" t="s">
        <v>283</v>
      </c>
      <c r="H1" s="115" t="s">
        <v>284</v>
      </c>
      <c r="I1" s="183" t="s">
        <v>285</v>
      </c>
      <c r="J1" s="184" t="s">
        <v>286</v>
      </c>
    </row>
    <row r="2" spans="1:10" ht="18" x14ac:dyDescent="0.2">
      <c r="G2" s="186"/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H3"/>
  <sheetViews>
    <sheetView workbookViewId="0">
      <selection activeCell="C22" sqref="C22"/>
    </sheetView>
  </sheetViews>
  <sheetFormatPr baseColWidth="12" defaultRowHeight="15" x14ac:dyDescent="0.15"/>
  <cols>
    <col min="2" max="2" width="27.6640625" customWidth="1"/>
    <col min="5" max="5" width="22.83203125" customWidth="1"/>
    <col min="6" max="6" width="57.1640625" customWidth="1"/>
  </cols>
  <sheetData>
    <row r="1" spans="1:8" s="22" customFormat="1" ht="14" x14ac:dyDescent="0.15">
      <c r="A1" s="182" t="s">
        <v>287</v>
      </c>
      <c r="B1" s="187" t="s">
        <v>288</v>
      </c>
      <c r="C1" s="113" t="s">
        <v>289</v>
      </c>
      <c r="D1" s="113" t="s">
        <v>290</v>
      </c>
      <c r="E1" s="188" t="s">
        <v>291</v>
      </c>
      <c r="F1" s="188" t="s">
        <v>292</v>
      </c>
      <c r="G1" s="116" t="s">
        <v>293</v>
      </c>
      <c r="H1" s="182" t="s">
        <v>294</v>
      </c>
    </row>
    <row r="2" spans="1:8" s="4" customFormat="1" ht="14" x14ac:dyDescent="0.15">
      <c r="A2" s="185">
        <v>1077</v>
      </c>
      <c r="B2" s="189" t="str">
        <f>VLOOKUP(A2,[1]characters!$A:$C,3)</f>
        <v>彩適な幸詠隊 パレート</v>
      </c>
      <c r="C2" s="185">
        <v>1</v>
      </c>
      <c r="D2" s="185">
        <v>200</v>
      </c>
      <c r="E2" s="183" t="str">
        <f>VLOOKUP(D2,[4]abilities!A:D,3)</f>
        <v>ウィルス無効</v>
      </c>
      <c r="F2" s="183" t="str">
        <f>IF(ISERROR(VLOOKUP(D2,[4]abilities!A:D,4,FALSE))=FALSE,VLOOKUP(D2,[4]abilities!A:D,4),IF(ISERROR(VLOOKUP(D2,[4]abilities!A:D,4,FALSE))=FALSE,VLOOKUP(D2,[4]abilities!A:D,4),"なし"))</f>
        <v>自身にかかるウィルスを無効化する</v>
      </c>
      <c r="G2" s="190" t="s">
        <v>295</v>
      </c>
      <c r="H2" s="190" t="s">
        <v>296</v>
      </c>
    </row>
    <row r="3" spans="1:8" s="4" customFormat="1" ht="14" x14ac:dyDescent="0.15">
      <c r="A3" s="185">
        <v>1077</v>
      </c>
      <c r="B3" s="189" t="str">
        <f>VLOOKUP(A3,[1]characters!$A:$C,3)</f>
        <v>彩適な幸詠隊 パレート</v>
      </c>
      <c r="C3" s="185">
        <v>2</v>
      </c>
      <c r="D3" s="62">
        <v>316</v>
      </c>
      <c r="E3" s="183" t="str">
        <f>VLOOKUP(D3,[4]abilities!A:D,3)</f>
        <v>対Unknown ダメージUP</v>
      </c>
      <c r="F3" s="183" t="str">
        <f>IF(ISERROR(VLOOKUP(D3,[2]abilities!A:D,4,FALSE))=FALSE,VLOOKUP(D3,[2]abilities!A:D,4),IF(ISERROR(VLOOKUP(D3,[2]abilities!A:D,4,FALSE))=FALSE,VLOOKUP(D3,[2]abilities!A:D,4),"なし"))</f>
        <v>なし</v>
      </c>
      <c r="G3" s="190" t="s">
        <v>297</v>
      </c>
      <c r="H3" s="190" t="s">
        <v>298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B19"/>
  <sheetViews>
    <sheetView workbookViewId="0">
      <selection activeCell="E9" sqref="E9"/>
    </sheetView>
  </sheetViews>
  <sheetFormatPr baseColWidth="12" defaultRowHeight="15" x14ac:dyDescent="0.15"/>
  <sheetData>
    <row r="1" spans="1:2" x14ac:dyDescent="0.15">
      <c r="A1" t="s">
        <v>370</v>
      </c>
      <c r="B1" t="s">
        <v>371</v>
      </c>
    </row>
    <row r="2" spans="1:2" x14ac:dyDescent="0.15">
      <c r="A2" t="s">
        <v>372</v>
      </c>
      <c r="B2">
        <v>1</v>
      </c>
    </row>
    <row r="3" spans="1:2" x14ac:dyDescent="0.15">
      <c r="A3" t="s">
        <v>373</v>
      </c>
      <c r="B3">
        <v>1</v>
      </c>
    </row>
    <row r="4" spans="1:2" x14ac:dyDescent="0.15">
      <c r="A4" t="s">
        <v>374</v>
      </c>
      <c r="B4">
        <v>1</v>
      </c>
    </row>
    <row r="5" spans="1:2" x14ac:dyDescent="0.15">
      <c r="A5" t="s">
        <v>375</v>
      </c>
      <c r="B5">
        <v>1</v>
      </c>
    </row>
    <row r="6" spans="1:2" x14ac:dyDescent="0.15">
      <c r="A6" t="s">
        <v>376</v>
      </c>
      <c r="B6">
        <v>1</v>
      </c>
    </row>
    <row r="7" spans="1:2" x14ac:dyDescent="0.15">
      <c r="A7" t="s">
        <v>377</v>
      </c>
      <c r="B7">
        <v>1</v>
      </c>
    </row>
    <row r="8" spans="1:2" x14ac:dyDescent="0.15">
      <c r="A8" t="s">
        <v>378</v>
      </c>
      <c r="B8">
        <v>1</v>
      </c>
    </row>
    <row r="9" spans="1:2" x14ac:dyDescent="0.15">
      <c r="A9" t="s">
        <v>379</v>
      </c>
      <c r="B9">
        <v>1</v>
      </c>
    </row>
    <row r="10" spans="1:2" x14ac:dyDescent="0.15">
      <c r="A10" t="s">
        <v>380</v>
      </c>
      <c r="B10">
        <v>1</v>
      </c>
    </row>
    <row r="11" spans="1:2" x14ac:dyDescent="0.15">
      <c r="A11" t="s">
        <v>381</v>
      </c>
      <c r="B11">
        <v>1</v>
      </c>
    </row>
    <row r="12" spans="1:2" x14ac:dyDescent="0.15">
      <c r="A12" t="s">
        <v>382</v>
      </c>
      <c r="B12">
        <v>1</v>
      </c>
    </row>
    <row r="13" spans="1:2" x14ac:dyDescent="0.15">
      <c r="A13" t="s">
        <v>383</v>
      </c>
      <c r="B13">
        <v>0</v>
      </c>
    </row>
    <row r="14" spans="1:2" x14ac:dyDescent="0.15">
      <c r="A14" t="s">
        <v>384</v>
      </c>
      <c r="B14">
        <v>500</v>
      </c>
    </row>
    <row r="15" spans="1:2" x14ac:dyDescent="0.15">
      <c r="A15" t="s">
        <v>385</v>
      </c>
      <c r="B15">
        <v>600</v>
      </c>
    </row>
    <row r="16" spans="1:2" x14ac:dyDescent="0.15">
      <c r="A16" t="s">
        <v>386</v>
      </c>
      <c r="B16">
        <v>700</v>
      </c>
    </row>
    <row r="17" spans="1:2" x14ac:dyDescent="0.15">
      <c r="A17" t="s">
        <v>387</v>
      </c>
      <c r="B17">
        <v>5500</v>
      </c>
    </row>
    <row r="18" spans="1:2" x14ac:dyDescent="0.15">
      <c r="A18" t="s">
        <v>388</v>
      </c>
      <c r="B18">
        <v>6000</v>
      </c>
    </row>
    <row r="19" spans="1:2" x14ac:dyDescent="0.15">
      <c r="A19" t="s">
        <v>389</v>
      </c>
      <c r="B19">
        <v>30000</v>
      </c>
    </row>
  </sheetData>
  <phoneticPr fontId="2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topLeftCell="A2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29" t="s">
        <v>226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39" t="s">
        <v>227</v>
      </c>
      <c r="B2" s="140"/>
      <c r="C2" s="141"/>
      <c r="D2" s="142" t="s">
        <v>228</v>
      </c>
      <c r="E2" s="142">
        <v>30</v>
      </c>
      <c r="F2" s="142">
        <v>40</v>
      </c>
      <c r="G2" s="142">
        <f>15+F2</f>
        <v>55</v>
      </c>
      <c r="H2" s="141"/>
      <c r="I2" s="141"/>
    </row>
    <row r="3" spans="1:9" s="4" customFormat="1" ht="21" customHeight="1" x14ac:dyDescent="0.15">
      <c r="A3" s="139" t="s">
        <v>229</v>
      </c>
      <c r="B3" s="143"/>
      <c r="C3" s="144"/>
      <c r="D3" s="145" t="s">
        <v>228</v>
      </c>
      <c r="E3" s="145">
        <v>25</v>
      </c>
      <c r="F3" s="145">
        <v>35</v>
      </c>
      <c r="G3" s="142">
        <f t="shared" ref="G3:G4" si="0">15+F3</f>
        <v>50</v>
      </c>
      <c r="H3" s="144"/>
      <c r="I3" s="144"/>
    </row>
    <row r="4" spans="1:9" s="4" customFormat="1" ht="21" customHeight="1" x14ac:dyDescent="0.15">
      <c r="A4" s="139" t="s">
        <v>230</v>
      </c>
      <c r="B4" s="146"/>
      <c r="C4" s="147"/>
      <c r="D4" s="148">
        <v>10</v>
      </c>
      <c r="E4" s="148">
        <v>20</v>
      </c>
      <c r="F4" s="148">
        <v>30</v>
      </c>
      <c r="G4" s="148">
        <f t="shared" si="0"/>
        <v>45</v>
      </c>
      <c r="H4" s="147"/>
      <c r="I4" s="147"/>
    </row>
    <row r="5" spans="1:9" s="4" customFormat="1" ht="21" customHeight="1" x14ac:dyDescent="0.15">
      <c r="A5" s="158" t="s">
        <v>231</v>
      </c>
      <c r="B5" s="153"/>
      <c r="C5" s="154"/>
      <c r="D5" s="27">
        <v>9</v>
      </c>
      <c r="E5" s="27">
        <v>18</v>
      </c>
      <c r="F5" s="27">
        <v>28</v>
      </c>
      <c r="G5" s="37">
        <v>38</v>
      </c>
      <c r="H5" s="154"/>
      <c r="I5" s="154"/>
    </row>
    <row r="6" spans="1:9" s="4" customFormat="1" ht="21" customHeight="1" x14ac:dyDescent="0.15">
      <c r="A6" s="158" t="s">
        <v>232</v>
      </c>
      <c r="B6" s="153"/>
      <c r="C6" s="154"/>
      <c r="D6" s="27">
        <v>7</v>
      </c>
      <c r="E6" s="27">
        <v>16</v>
      </c>
      <c r="F6" s="64" t="s">
        <v>11</v>
      </c>
      <c r="G6" s="64" t="s">
        <v>11</v>
      </c>
      <c r="H6" s="154"/>
      <c r="I6" s="154"/>
    </row>
    <row r="7" spans="1:9" ht="21" customHeight="1" x14ac:dyDescent="0.15">
      <c r="A7" s="69" t="s">
        <v>233</v>
      </c>
      <c r="B7" s="43" t="s">
        <v>11</v>
      </c>
      <c r="C7" s="43" t="s">
        <v>11</v>
      </c>
      <c r="D7" s="37" t="s">
        <v>228</v>
      </c>
      <c r="E7" s="37" t="s">
        <v>228</v>
      </c>
      <c r="F7" s="37" t="s">
        <v>228</v>
      </c>
      <c r="G7" s="37" t="s">
        <v>228</v>
      </c>
      <c r="H7" s="37" t="s">
        <v>228</v>
      </c>
      <c r="I7" s="37" t="s">
        <v>228</v>
      </c>
    </row>
    <row r="8" spans="1:9" ht="21" customHeight="1" x14ac:dyDescent="0.15">
      <c r="A8" s="70" t="s">
        <v>234</v>
      </c>
      <c r="B8" s="43" t="s">
        <v>11</v>
      </c>
      <c r="C8" s="43" t="s">
        <v>11</v>
      </c>
      <c r="D8" s="37" t="s">
        <v>228</v>
      </c>
      <c r="E8" s="37">
        <v>30</v>
      </c>
      <c r="F8" s="37">
        <v>40</v>
      </c>
      <c r="G8" s="37">
        <f>15+F8</f>
        <v>55</v>
      </c>
      <c r="H8" s="37" t="s">
        <v>228</v>
      </c>
      <c r="I8" s="37" t="s">
        <v>228</v>
      </c>
    </row>
    <row r="9" spans="1:9" s="42" customFormat="1" ht="21" customHeight="1" x14ac:dyDescent="0.15">
      <c r="A9" s="71" t="s">
        <v>235</v>
      </c>
      <c r="B9" s="27" t="s">
        <v>11</v>
      </c>
      <c r="C9" s="27" t="s">
        <v>11</v>
      </c>
      <c r="D9" s="101" t="s">
        <v>228</v>
      </c>
      <c r="E9" s="101">
        <v>25</v>
      </c>
      <c r="F9" s="101">
        <v>35</v>
      </c>
      <c r="G9" s="37">
        <f t="shared" ref="G9:G10" si="1">15+F9</f>
        <v>50</v>
      </c>
      <c r="H9" s="101" t="s">
        <v>228</v>
      </c>
      <c r="I9" s="101" t="s">
        <v>228</v>
      </c>
    </row>
    <row r="10" spans="1:9" ht="21" customHeight="1" x14ac:dyDescent="0.15">
      <c r="A10" s="71" t="s">
        <v>9</v>
      </c>
      <c r="B10" s="64" t="s">
        <v>11</v>
      </c>
      <c r="C10" s="64" t="s">
        <v>11</v>
      </c>
      <c r="D10" s="27">
        <v>10</v>
      </c>
      <c r="E10" s="27">
        <v>20</v>
      </c>
      <c r="F10" s="27">
        <v>30</v>
      </c>
      <c r="G10" s="37">
        <f t="shared" si="1"/>
        <v>45</v>
      </c>
      <c r="H10" s="64" t="s">
        <v>11</v>
      </c>
      <c r="I10" s="64" t="s">
        <v>11</v>
      </c>
    </row>
    <row r="11" spans="1:9" ht="21" customHeight="1" x14ac:dyDescent="0.15">
      <c r="A11" s="71" t="s">
        <v>236</v>
      </c>
      <c r="B11" s="64" t="s">
        <v>11</v>
      </c>
      <c r="C11" s="64" t="s">
        <v>11</v>
      </c>
      <c r="D11" s="27">
        <v>9</v>
      </c>
      <c r="E11" s="27">
        <v>18</v>
      </c>
      <c r="F11" s="27">
        <v>28</v>
      </c>
      <c r="G11" s="37">
        <v>38</v>
      </c>
      <c r="H11" s="64" t="s">
        <v>11</v>
      </c>
      <c r="I11" s="64" t="s">
        <v>11</v>
      </c>
    </row>
    <row r="12" spans="1:9" ht="21" customHeight="1" x14ac:dyDescent="0.15">
      <c r="A12" s="71" t="s">
        <v>237</v>
      </c>
      <c r="B12" s="64" t="s">
        <v>11</v>
      </c>
      <c r="C12" s="64" t="s">
        <v>11</v>
      </c>
      <c r="D12" s="27">
        <v>7</v>
      </c>
      <c r="E12" s="27">
        <v>16</v>
      </c>
      <c r="F12" s="64" t="s">
        <v>11</v>
      </c>
      <c r="G12" s="64" t="s">
        <v>11</v>
      </c>
      <c r="H12" s="64" t="s">
        <v>11</v>
      </c>
      <c r="I12" s="64" t="s">
        <v>11</v>
      </c>
    </row>
    <row r="13" spans="1:9" ht="21" customHeight="1" x14ac:dyDescent="0.15">
      <c r="A13" s="100" t="s">
        <v>238</v>
      </c>
      <c r="B13" s="64" t="s">
        <v>11</v>
      </c>
      <c r="C13" s="64" t="s">
        <v>11</v>
      </c>
      <c r="D13" s="27">
        <v>8</v>
      </c>
      <c r="E13" s="27">
        <v>17</v>
      </c>
      <c r="F13" s="27">
        <v>26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71" t="s">
        <v>239</v>
      </c>
      <c r="B14" s="64" t="s">
        <v>11</v>
      </c>
      <c r="C14" s="64" t="s">
        <v>11</v>
      </c>
      <c r="D14" s="27">
        <v>8</v>
      </c>
      <c r="E14" s="27">
        <v>17</v>
      </c>
      <c r="F14" s="27">
        <v>26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240</v>
      </c>
      <c r="B15" s="64" t="s">
        <v>11</v>
      </c>
      <c r="C15" s="64" t="s">
        <v>11</v>
      </c>
      <c r="D15" s="27">
        <v>6</v>
      </c>
      <c r="E15" s="27">
        <v>14</v>
      </c>
      <c r="F15" s="64" t="s">
        <v>11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241</v>
      </c>
      <c r="B16" s="64" t="s">
        <v>11</v>
      </c>
      <c r="C16" s="27">
        <v>4</v>
      </c>
      <c r="D16" s="27">
        <v>6</v>
      </c>
      <c r="E16" s="27">
        <v>14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8</v>
      </c>
      <c r="B17" s="27">
        <v>2</v>
      </c>
      <c r="C17" s="27">
        <v>4</v>
      </c>
      <c r="D17" s="27">
        <v>6</v>
      </c>
      <c r="E17" s="64" t="s">
        <v>11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2" t="s">
        <v>7</v>
      </c>
      <c r="B18" s="30">
        <v>1</v>
      </c>
      <c r="C18" s="30">
        <v>2</v>
      </c>
      <c r="D18" s="65" t="s">
        <v>11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242</v>
      </c>
      <c r="B19" s="25">
        <v>1</v>
      </c>
      <c r="C19" s="25">
        <v>1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36" t="s">
        <v>243</v>
      </c>
      <c r="B20" s="35">
        <v>99</v>
      </c>
      <c r="C20" s="35">
        <v>99</v>
      </c>
      <c r="D20" s="35">
        <v>99</v>
      </c>
      <c r="E20" s="35">
        <v>99</v>
      </c>
      <c r="F20" s="35">
        <v>99</v>
      </c>
      <c r="G20" s="35">
        <v>99</v>
      </c>
      <c r="H20" s="35">
        <v>99</v>
      </c>
      <c r="I20" s="35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A2" sqref="A2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ht="21" customHeight="1" x14ac:dyDescent="0.15">
      <c r="A1" s="31" t="s">
        <v>10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</row>
    <row r="2" spans="1:9" s="4" customFormat="1" ht="21" customHeight="1" x14ac:dyDescent="0.15">
      <c r="A2" s="139" t="s">
        <v>227</v>
      </c>
      <c r="B2" s="155"/>
      <c r="C2" s="141"/>
      <c r="D2" s="149" t="s">
        <v>109</v>
      </c>
      <c r="E2" s="149">
        <v>60</v>
      </c>
      <c r="F2" s="149">
        <v>80</v>
      </c>
      <c r="G2" s="149">
        <v>99</v>
      </c>
      <c r="H2" s="141"/>
      <c r="I2" s="141"/>
    </row>
    <row r="3" spans="1:9" s="4" customFormat="1" ht="21" customHeight="1" x14ac:dyDescent="0.15">
      <c r="A3" s="139" t="s">
        <v>229</v>
      </c>
      <c r="B3" s="156"/>
      <c r="C3" s="144"/>
      <c r="D3" s="149" t="s">
        <v>109</v>
      </c>
      <c r="E3" s="149">
        <v>60</v>
      </c>
      <c r="F3" s="149">
        <v>80</v>
      </c>
      <c r="G3" s="149">
        <v>99</v>
      </c>
      <c r="H3" s="144"/>
      <c r="I3" s="144"/>
    </row>
    <row r="4" spans="1:9" s="4" customFormat="1" ht="21" customHeight="1" x14ac:dyDescent="0.15">
      <c r="A4" s="139" t="s">
        <v>223</v>
      </c>
      <c r="B4" s="157"/>
      <c r="C4" s="147"/>
      <c r="D4" s="149">
        <v>40</v>
      </c>
      <c r="E4" s="149">
        <v>60</v>
      </c>
      <c r="F4" s="149">
        <v>80</v>
      </c>
      <c r="G4" s="149">
        <v>99</v>
      </c>
      <c r="H4" s="147"/>
      <c r="I4" s="147"/>
    </row>
    <row r="5" spans="1:9" s="4" customFormat="1" ht="21" customHeight="1" x14ac:dyDescent="0.15">
      <c r="A5" s="158" t="s">
        <v>231</v>
      </c>
      <c r="B5" s="153"/>
      <c r="C5" s="154"/>
      <c r="D5" s="149">
        <v>40</v>
      </c>
      <c r="E5" s="149">
        <v>60</v>
      </c>
      <c r="F5" s="149">
        <v>80</v>
      </c>
      <c r="G5" s="149">
        <v>99</v>
      </c>
      <c r="H5" s="154"/>
      <c r="I5" s="154"/>
    </row>
    <row r="6" spans="1:9" s="4" customFormat="1" ht="21" customHeight="1" x14ac:dyDescent="0.15">
      <c r="A6" s="158" t="s">
        <v>232</v>
      </c>
      <c r="B6" s="153"/>
      <c r="C6" s="154"/>
      <c r="D6" s="149">
        <v>40</v>
      </c>
      <c r="E6" s="149">
        <v>60</v>
      </c>
      <c r="F6" s="149" t="s">
        <v>109</v>
      </c>
      <c r="G6" s="149" t="s">
        <v>109</v>
      </c>
      <c r="H6" s="154"/>
      <c r="I6" s="154"/>
    </row>
    <row r="7" spans="1:9" ht="21" customHeight="1" x14ac:dyDescent="0.15">
      <c r="A7" s="69" t="s">
        <v>199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0" t="s">
        <v>234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1" t="s">
        <v>235</v>
      </c>
      <c r="B9" s="62" t="s">
        <v>109</v>
      </c>
      <c r="C9" s="62" t="s">
        <v>109</v>
      </c>
      <c r="D9" s="62" t="s">
        <v>109</v>
      </c>
      <c r="E9" s="62">
        <v>60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ht="21" customHeight="1" x14ac:dyDescent="0.15">
      <c r="A10" s="71" t="s">
        <v>9</v>
      </c>
      <c r="B10" s="66" t="s">
        <v>109</v>
      </c>
      <c r="C10" s="66" t="s">
        <v>109</v>
      </c>
      <c r="D10" s="35">
        <v>40</v>
      </c>
      <c r="E10" s="35">
        <v>60</v>
      </c>
      <c r="F10" s="35">
        <v>80</v>
      </c>
      <c r="G10" s="38">
        <v>99</v>
      </c>
      <c r="H10" s="66" t="s">
        <v>109</v>
      </c>
      <c r="I10" s="66" t="s">
        <v>109</v>
      </c>
    </row>
    <row r="11" spans="1:9" ht="21" customHeight="1" x14ac:dyDescent="0.15">
      <c r="A11" s="71" t="s">
        <v>202</v>
      </c>
      <c r="B11" s="66" t="s">
        <v>109</v>
      </c>
      <c r="C11" s="66" t="s">
        <v>109</v>
      </c>
      <c r="D11" s="35">
        <v>40</v>
      </c>
      <c r="E11" s="35">
        <v>60</v>
      </c>
      <c r="F11" s="35">
        <v>80</v>
      </c>
      <c r="G11" s="62">
        <v>99</v>
      </c>
      <c r="H11" s="66" t="s">
        <v>109</v>
      </c>
      <c r="I11" s="66" t="s">
        <v>109</v>
      </c>
    </row>
    <row r="12" spans="1:9" ht="21" customHeight="1" x14ac:dyDescent="0.15">
      <c r="A12" s="71" t="s">
        <v>198</v>
      </c>
      <c r="B12" s="66" t="s">
        <v>109</v>
      </c>
      <c r="C12" s="66" t="s">
        <v>109</v>
      </c>
      <c r="D12" s="35">
        <v>40</v>
      </c>
      <c r="E12" s="35">
        <v>60</v>
      </c>
      <c r="F12" s="66" t="s">
        <v>109</v>
      </c>
      <c r="G12" s="66" t="s">
        <v>109</v>
      </c>
      <c r="H12" s="66" t="s">
        <v>109</v>
      </c>
      <c r="I12" s="66" t="s">
        <v>109</v>
      </c>
    </row>
    <row r="13" spans="1:9" ht="21" customHeight="1" x14ac:dyDescent="0.15">
      <c r="A13" s="100" t="s">
        <v>238</v>
      </c>
      <c r="B13" s="66" t="s">
        <v>109</v>
      </c>
      <c r="C13" s="66" t="s">
        <v>109</v>
      </c>
      <c r="D13" s="35">
        <v>40</v>
      </c>
      <c r="E13" s="35">
        <v>60</v>
      </c>
      <c r="F13" s="35">
        <v>80</v>
      </c>
      <c r="G13" s="66" t="s">
        <v>109</v>
      </c>
      <c r="H13" s="66" t="s">
        <v>109</v>
      </c>
      <c r="I13" s="66" t="s">
        <v>109</v>
      </c>
    </row>
    <row r="14" spans="1:9" ht="21" customHeight="1" x14ac:dyDescent="0.15">
      <c r="A14" s="71" t="s">
        <v>239</v>
      </c>
      <c r="B14" s="66" t="s">
        <v>109</v>
      </c>
      <c r="C14" s="66" t="s">
        <v>109</v>
      </c>
      <c r="D14" s="35">
        <v>40</v>
      </c>
      <c r="E14" s="35">
        <v>60</v>
      </c>
      <c r="F14" s="35">
        <v>80</v>
      </c>
      <c r="G14" s="66" t="s">
        <v>109</v>
      </c>
      <c r="H14" s="66" t="s">
        <v>109</v>
      </c>
      <c r="I14" s="66" t="s">
        <v>109</v>
      </c>
    </row>
    <row r="15" spans="1:9" ht="21" customHeight="1" x14ac:dyDescent="0.15">
      <c r="A15" s="71" t="s">
        <v>105</v>
      </c>
      <c r="B15" s="66" t="s">
        <v>109</v>
      </c>
      <c r="C15" s="35">
        <v>30</v>
      </c>
      <c r="D15" s="35">
        <v>40</v>
      </c>
      <c r="E15" s="35">
        <v>60</v>
      </c>
      <c r="F15" s="66" t="s">
        <v>109</v>
      </c>
      <c r="G15" s="66" t="s">
        <v>109</v>
      </c>
      <c r="H15" s="66" t="s">
        <v>109</v>
      </c>
      <c r="I15" s="66" t="s">
        <v>109</v>
      </c>
    </row>
    <row r="16" spans="1:9" ht="21" customHeight="1" x14ac:dyDescent="0.15">
      <c r="A16" s="71" t="s">
        <v>241</v>
      </c>
      <c r="B16" s="66" t="s">
        <v>109</v>
      </c>
      <c r="C16" s="35">
        <v>30</v>
      </c>
      <c r="D16" s="35">
        <v>40</v>
      </c>
      <c r="E16" s="35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8</v>
      </c>
      <c r="B17" s="35">
        <v>15</v>
      </c>
      <c r="C17" s="35">
        <v>30</v>
      </c>
      <c r="D17" s="35">
        <v>40</v>
      </c>
      <c r="E17" s="66" t="s">
        <v>109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2" t="s">
        <v>7</v>
      </c>
      <c r="B18" s="35">
        <v>15</v>
      </c>
      <c r="C18" s="35">
        <v>30</v>
      </c>
      <c r="D18" s="35">
        <v>40</v>
      </c>
      <c r="E18" s="66" t="s">
        <v>208</v>
      </c>
      <c r="F18" s="66" t="s">
        <v>208</v>
      </c>
      <c r="G18" s="66" t="s">
        <v>208</v>
      </c>
      <c r="H18" s="66" t="s">
        <v>208</v>
      </c>
      <c r="I18" s="66" t="s">
        <v>208</v>
      </c>
    </row>
    <row r="19" spans="1:9" ht="21" customHeight="1" x14ac:dyDescent="0.15">
      <c r="A19" s="73" t="s">
        <v>242</v>
      </c>
      <c r="B19" s="35">
        <v>10</v>
      </c>
      <c r="C19" s="35">
        <v>20</v>
      </c>
      <c r="D19" s="66" t="s">
        <v>208</v>
      </c>
      <c r="E19" s="66" t="s">
        <v>208</v>
      </c>
      <c r="F19" s="66" t="s">
        <v>208</v>
      </c>
      <c r="G19" s="66" t="s">
        <v>208</v>
      </c>
      <c r="H19" s="66" t="s">
        <v>208</v>
      </c>
      <c r="I19" s="66" t="s">
        <v>208</v>
      </c>
    </row>
    <row r="20" spans="1:9" ht="21" customHeight="1" x14ac:dyDescent="0.15">
      <c r="A20" s="36" t="s">
        <v>243</v>
      </c>
      <c r="B20" s="35">
        <v>1</v>
      </c>
      <c r="C20" s="35">
        <v>1</v>
      </c>
      <c r="D20" s="35">
        <v>1</v>
      </c>
      <c r="E20" s="35">
        <v>1</v>
      </c>
      <c r="F20" s="35">
        <v>1</v>
      </c>
      <c r="G20" s="35">
        <v>1</v>
      </c>
      <c r="H20" s="35">
        <v>1</v>
      </c>
      <c r="I20" s="35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topLeftCell="A3" workbookViewId="0">
      <selection activeCell="A21" sqref="A21"/>
    </sheetView>
  </sheetViews>
  <sheetFormatPr baseColWidth="12" defaultColWidth="13" defaultRowHeight="21" customHeight="1" x14ac:dyDescent="0.15"/>
  <cols>
    <col min="1" max="16384" width="13" style="22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39" t="s">
        <v>227</v>
      </c>
      <c r="B2" s="140"/>
      <c r="C2" s="141"/>
      <c r="D2" s="149" t="s">
        <v>109</v>
      </c>
      <c r="E2" s="150" t="s">
        <v>59</v>
      </c>
      <c r="F2" s="150" t="s">
        <v>59</v>
      </c>
      <c r="G2" s="150" t="s">
        <v>244</v>
      </c>
      <c r="H2" s="141"/>
      <c r="I2" s="141"/>
    </row>
    <row r="3" spans="1:11" s="4" customFormat="1" ht="21" customHeight="1" x14ac:dyDescent="0.15">
      <c r="A3" s="139" t="s">
        <v>229</v>
      </c>
      <c r="B3" s="143"/>
      <c r="C3" s="144"/>
      <c r="D3" s="150" t="s">
        <v>59</v>
      </c>
      <c r="E3" s="150" t="s">
        <v>59</v>
      </c>
      <c r="F3" s="150" t="s">
        <v>59</v>
      </c>
      <c r="G3" s="150" t="s">
        <v>222</v>
      </c>
      <c r="H3" s="144"/>
      <c r="I3" s="144"/>
    </row>
    <row r="4" spans="1:11" s="4" customFormat="1" ht="21" customHeight="1" x14ac:dyDescent="0.15">
      <c r="A4" s="139" t="s">
        <v>223</v>
      </c>
      <c r="B4" s="146"/>
      <c r="C4" s="147"/>
      <c r="D4" s="151" t="s">
        <v>59</v>
      </c>
      <c r="E4" s="151" t="s">
        <v>59</v>
      </c>
      <c r="F4" s="151" t="s">
        <v>59</v>
      </c>
      <c r="G4" s="150" t="s">
        <v>222</v>
      </c>
      <c r="H4" s="147"/>
      <c r="I4" s="147"/>
    </row>
    <row r="5" spans="1:11" s="4" customFormat="1" ht="21" customHeight="1" x14ac:dyDescent="0.15">
      <c r="A5" s="158" t="s">
        <v>231</v>
      </c>
      <c r="B5" s="153"/>
      <c r="C5" s="154"/>
      <c r="D5" s="151" t="s">
        <v>59</v>
      </c>
      <c r="E5" s="151" t="s">
        <v>59</v>
      </c>
      <c r="F5" s="151" t="s">
        <v>59</v>
      </c>
      <c r="G5" s="150" t="s">
        <v>212</v>
      </c>
      <c r="H5" s="154"/>
      <c r="I5" s="154"/>
    </row>
    <row r="6" spans="1:11" s="4" customFormat="1" ht="21" customHeight="1" x14ac:dyDescent="0.15">
      <c r="A6" s="158" t="s">
        <v>232</v>
      </c>
      <c r="B6" s="153"/>
      <c r="C6" s="154"/>
      <c r="D6" s="159" t="s">
        <v>60</v>
      </c>
      <c r="E6" s="159" t="s">
        <v>60</v>
      </c>
      <c r="F6" s="149" t="s">
        <v>109</v>
      </c>
      <c r="G6" s="149" t="s">
        <v>109</v>
      </c>
      <c r="H6" s="154"/>
      <c r="I6" s="154"/>
    </row>
    <row r="7" spans="1:11" ht="21" customHeight="1" x14ac:dyDescent="0.15">
      <c r="A7" s="69" t="s">
        <v>199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0" t="s">
        <v>234</v>
      </c>
      <c r="B8" s="38" t="s">
        <v>109</v>
      </c>
      <c r="C8" s="38" t="s">
        <v>109</v>
      </c>
      <c r="D8" s="38" t="s">
        <v>209</v>
      </c>
      <c r="E8" s="48" t="s">
        <v>115</v>
      </c>
      <c r="F8" s="48" t="s">
        <v>115</v>
      </c>
      <c r="G8" s="48" t="s">
        <v>210</v>
      </c>
      <c r="H8" s="38" t="s">
        <v>209</v>
      </c>
      <c r="I8" s="38" t="s">
        <v>109</v>
      </c>
    </row>
    <row r="9" spans="1:11" s="42" customFormat="1" ht="21" customHeight="1" x14ac:dyDescent="0.15">
      <c r="A9" s="71" t="s">
        <v>235</v>
      </c>
      <c r="B9" s="62" t="s">
        <v>109</v>
      </c>
      <c r="C9" s="62" t="s">
        <v>109</v>
      </c>
      <c r="D9" s="62" t="s">
        <v>109</v>
      </c>
      <c r="E9" s="48" t="s">
        <v>59</v>
      </c>
      <c r="F9" s="48" t="s">
        <v>59</v>
      </c>
      <c r="G9" s="48" t="s">
        <v>115</v>
      </c>
      <c r="H9" s="62" t="s">
        <v>211</v>
      </c>
      <c r="I9" s="62" t="s">
        <v>211</v>
      </c>
    </row>
    <row r="10" spans="1:11" ht="21" customHeight="1" x14ac:dyDescent="0.15">
      <c r="A10" s="71" t="s">
        <v>9</v>
      </c>
      <c r="B10" s="66" t="s">
        <v>109</v>
      </c>
      <c r="C10" s="66" t="s">
        <v>109</v>
      </c>
      <c r="D10" s="48" t="s">
        <v>59</v>
      </c>
      <c r="E10" s="48" t="s">
        <v>59</v>
      </c>
      <c r="F10" s="48" t="s">
        <v>59</v>
      </c>
      <c r="G10" s="48" t="s">
        <v>212</v>
      </c>
      <c r="H10" s="66" t="s">
        <v>211</v>
      </c>
      <c r="I10" s="66" t="s">
        <v>211</v>
      </c>
      <c r="K10" s="26" t="s">
        <v>12</v>
      </c>
    </row>
    <row r="11" spans="1:11" ht="21" customHeight="1" x14ac:dyDescent="0.15">
      <c r="A11" s="71" t="s">
        <v>202</v>
      </c>
      <c r="B11" s="66" t="s">
        <v>109</v>
      </c>
      <c r="C11" s="66" t="s">
        <v>109</v>
      </c>
      <c r="D11" s="49" t="s">
        <v>59</v>
      </c>
      <c r="E11" s="49" t="s">
        <v>59</v>
      </c>
      <c r="F11" s="49" t="s">
        <v>59</v>
      </c>
      <c r="G11" s="48" t="s">
        <v>212</v>
      </c>
      <c r="H11" s="66" t="s">
        <v>211</v>
      </c>
      <c r="I11" s="66" t="s">
        <v>211</v>
      </c>
      <c r="K11" s="28" t="s">
        <v>13</v>
      </c>
    </row>
    <row r="12" spans="1:11" ht="21" customHeight="1" x14ac:dyDescent="0.15">
      <c r="A12" s="71" t="s">
        <v>198</v>
      </c>
      <c r="B12" s="66" t="s">
        <v>109</v>
      </c>
      <c r="C12" s="66" t="s">
        <v>109</v>
      </c>
      <c r="D12" s="50" t="s">
        <v>60</v>
      </c>
      <c r="E12" s="50" t="s">
        <v>60</v>
      </c>
      <c r="F12" s="66" t="s">
        <v>109</v>
      </c>
      <c r="G12" s="66" t="s">
        <v>109</v>
      </c>
      <c r="H12" s="66" t="s">
        <v>109</v>
      </c>
      <c r="I12" s="66" t="s">
        <v>109</v>
      </c>
      <c r="K12" s="67" t="s">
        <v>35</v>
      </c>
    </row>
    <row r="13" spans="1:11" ht="21" customHeight="1" x14ac:dyDescent="0.15">
      <c r="A13" s="100" t="s">
        <v>238</v>
      </c>
      <c r="B13" s="66" t="s">
        <v>109</v>
      </c>
      <c r="C13" s="66" t="s">
        <v>109</v>
      </c>
      <c r="D13" s="51" t="s">
        <v>59</v>
      </c>
      <c r="E13" s="51" t="s">
        <v>59</v>
      </c>
      <c r="F13" s="51" t="s">
        <v>59</v>
      </c>
      <c r="G13" s="66" t="s">
        <v>109</v>
      </c>
      <c r="H13" s="66" t="s">
        <v>109</v>
      </c>
      <c r="I13" s="66" t="s">
        <v>109</v>
      </c>
      <c r="K13" s="68"/>
    </row>
    <row r="14" spans="1:11" ht="21" customHeight="1" x14ac:dyDescent="0.15">
      <c r="A14" s="71" t="s">
        <v>239</v>
      </c>
      <c r="B14" s="66" t="s">
        <v>109</v>
      </c>
      <c r="C14" s="66" t="s">
        <v>109</v>
      </c>
      <c r="D14" s="51" t="s">
        <v>59</v>
      </c>
      <c r="E14" s="51" t="s">
        <v>59</v>
      </c>
      <c r="F14" s="51" t="s">
        <v>59</v>
      </c>
      <c r="G14" s="66" t="s">
        <v>109</v>
      </c>
      <c r="H14" s="66" t="s">
        <v>109</v>
      </c>
      <c r="I14" s="66" t="s">
        <v>109</v>
      </c>
    </row>
    <row r="15" spans="1:11" ht="21" customHeight="1" x14ac:dyDescent="0.15">
      <c r="A15" s="71" t="s">
        <v>105</v>
      </c>
      <c r="B15" s="66" t="s">
        <v>109</v>
      </c>
      <c r="C15" s="66" t="s">
        <v>109</v>
      </c>
      <c r="D15" s="51" t="s">
        <v>60</v>
      </c>
      <c r="E15" s="51" t="s">
        <v>60</v>
      </c>
      <c r="F15" s="66" t="s">
        <v>109</v>
      </c>
      <c r="G15" s="66" t="s">
        <v>109</v>
      </c>
      <c r="H15" s="66" t="s">
        <v>109</v>
      </c>
      <c r="I15" s="66" t="s">
        <v>109</v>
      </c>
    </row>
    <row r="16" spans="1:11" ht="21" customHeight="1" x14ac:dyDescent="0.15">
      <c r="A16" s="71" t="s">
        <v>241</v>
      </c>
      <c r="B16" s="66" t="s">
        <v>109</v>
      </c>
      <c r="C16" s="51" t="s">
        <v>60</v>
      </c>
      <c r="D16" s="51" t="s">
        <v>60</v>
      </c>
      <c r="E16" s="51" t="s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8</v>
      </c>
      <c r="B17" s="52" t="s">
        <v>61</v>
      </c>
      <c r="C17" s="52" t="s">
        <v>61</v>
      </c>
      <c r="D17" s="52" t="s">
        <v>61</v>
      </c>
      <c r="E17" s="66" t="s">
        <v>109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2" t="s">
        <v>7</v>
      </c>
      <c r="B18" s="47" t="s">
        <v>62</v>
      </c>
      <c r="C18" s="47" t="s">
        <v>62</v>
      </c>
      <c r="D18" s="66" t="s">
        <v>109</v>
      </c>
      <c r="E18" s="66" t="s">
        <v>109</v>
      </c>
      <c r="F18" s="66" t="s">
        <v>109</v>
      </c>
      <c r="G18" s="66" t="s">
        <v>109</v>
      </c>
      <c r="H18" s="66" t="s">
        <v>109</v>
      </c>
      <c r="I18" s="66" t="s">
        <v>109</v>
      </c>
    </row>
    <row r="19" spans="1:9" ht="21" customHeight="1" x14ac:dyDescent="0.15">
      <c r="A19" s="73" t="s">
        <v>242</v>
      </c>
      <c r="B19" s="49" t="s">
        <v>63</v>
      </c>
      <c r="C19" s="49" t="s">
        <v>63</v>
      </c>
      <c r="D19" s="66" t="s">
        <v>109</v>
      </c>
      <c r="E19" s="66" t="s">
        <v>109</v>
      </c>
      <c r="F19" s="66" t="s">
        <v>109</v>
      </c>
      <c r="G19" s="66" t="s">
        <v>109</v>
      </c>
      <c r="H19" s="66" t="s">
        <v>109</v>
      </c>
      <c r="I19" s="66" t="s">
        <v>109</v>
      </c>
    </row>
    <row r="20" spans="1:9" ht="21" customHeight="1" x14ac:dyDescent="0.15">
      <c r="A20" s="36" t="s">
        <v>243</v>
      </c>
      <c r="B20" s="74" t="s">
        <v>47</v>
      </c>
      <c r="C20" s="74" t="s">
        <v>47</v>
      </c>
      <c r="D20" s="74" t="s">
        <v>47</v>
      </c>
      <c r="E20" s="74" t="s">
        <v>47</v>
      </c>
      <c r="F20" s="74" t="s">
        <v>47</v>
      </c>
      <c r="G20" s="74" t="s">
        <v>47</v>
      </c>
      <c r="H20" s="74" t="s">
        <v>47</v>
      </c>
      <c r="I20" s="74" t="s">
        <v>47</v>
      </c>
    </row>
    <row r="25" spans="1:9" ht="21" customHeight="1" x14ac:dyDescent="0.15">
      <c r="A25" s="22" t="s">
        <v>14</v>
      </c>
    </row>
    <row r="26" spans="1:9" ht="21" customHeight="1" x14ac:dyDescent="0.15">
      <c r="A26" s="20" t="s">
        <v>64</v>
      </c>
      <c r="B26" s="20" t="s">
        <v>65</v>
      </c>
    </row>
    <row r="27" spans="1:9" ht="21" customHeight="1" x14ac:dyDescent="0.15">
      <c r="A27" s="23">
        <v>1</v>
      </c>
      <c r="B27" s="23">
        <v>200</v>
      </c>
    </row>
    <row r="28" spans="1:9" ht="21" customHeight="1" x14ac:dyDescent="0.15">
      <c r="A28" s="23">
        <v>2</v>
      </c>
      <c r="B28" s="23">
        <v>600</v>
      </c>
    </row>
    <row r="29" spans="1:9" ht="21" customHeight="1" x14ac:dyDescent="0.15">
      <c r="A29" s="23">
        <v>3</v>
      </c>
      <c r="B29" s="23">
        <v>1500</v>
      </c>
    </row>
    <row r="30" spans="1:9" ht="21" customHeight="1" x14ac:dyDescent="0.15">
      <c r="A30" s="23">
        <v>4</v>
      </c>
      <c r="B30" s="23">
        <v>3400</v>
      </c>
    </row>
    <row r="31" spans="1:9" ht="21" customHeight="1" x14ac:dyDescent="0.15">
      <c r="A31" s="23">
        <v>5</v>
      </c>
      <c r="B31" s="23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31" t="s">
        <v>10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39" t="s">
        <v>220</v>
      </c>
      <c r="B2" s="140"/>
      <c r="C2" s="141"/>
      <c r="D2" s="152" t="s">
        <v>11</v>
      </c>
      <c r="E2" s="152">
        <v>8000</v>
      </c>
      <c r="F2" s="152">
        <v>10000</v>
      </c>
      <c r="G2" s="152">
        <v>14000</v>
      </c>
      <c r="H2" s="141"/>
      <c r="I2" s="141"/>
    </row>
    <row r="3" spans="1:9" s="4" customFormat="1" ht="21" customHeight="1" x14ac:dyDescent="0.15">
      <c r="A3" s="139" t="s">
        <v>221</v>
      </c>
      <c r="B3" s="143"/>
      <c r="C3" s="144"/>
      <c r="D3" s="152" t="s">
        <v>11</v>
      </c>
      <c r="E3" s="152">
        <v>7500</v>
      </c>
      <c r="F3" s="152">
        <v>9500</v>
      </c>
      <c r="G3" s="152">
        <v>13000</v>
      </c>
      <c r="H3" s="144"/>
      <c r="I3" s="144"/>
    </row>
    <row r="4" spans="1:9" s="4" customFormat="1" ht="21" customHeight="1" x14ac:dyDescent="0.15">
      <c r="A4" s="139" t="s">
        <v>223</v>
      </c>
      <c r="B4" s="146"/>
      <c r="C4" s="147"/>
      <c r="D4" s="152">
        <v>5000</v>
      </c>
      <c r="E4" s="152">
        <v>7000</v>
      </c>
      <c r="F4" s="152">
        <v>9000</v>
      </c>
      <c r="G4" s="152">
        <v>12000</v>
      </c>
      <c r="H4" s="147"/>
      <c r="I4" s="147"/>
    </row>
    <row r="5" spans="1:9" s="4" customFormat="1" ht="21" customHeight="1" x14ac:dyDescent="0.15">
      <c r="A5" s="158" t="s">
        <v>224</v>
      </c>
      <c r="B5" s="153"/>
      <c r="C5" s="154"/>
      <c r="D5" s="152">
        <v>4900</v>
      </c>
      <c r="E5" s="152">
        <v>6700</v>
      </c>
      <c r="F5" s="152">
        <v>8500</v>
      </c>
      <c r="G5" s="152">
        <v>11000</v>
      </c>
      <c r="H5" s="154"/>
      <c r="I5" s="154"/>
    </row>
    <row r="6" spans="1:9" s="4" customFormat="1" ht="21" customHeight="1" x14ac:dyDescent="0.15">
      <c r="A6" s="158" t="s">
        <v>225</v>
      </c>
      <c r="B6" s="153"/>
      <c r="C6" s="154"/>
      <c r="D6" s="152">
        <v>4800</v>
      </c>
      <c r="E6" s="152">
        <v>6600</v>
      </c>
      <c r="F6" s="152" t="s">
        <v>11</v>
      </c>
      <c r="G6" s="152" t="s">
        <v>11</v>
      </c>
      <c r="H6" s="154"/>
      <c r="I6" s="154"/>
    </row>
    <row r="7" spans="1:9" ht="21" customHeight="1" x14ac:dyDescent="0.15">
      <c r="A7" s="69" t="s">
        <v>199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0" t="s">
        <v>200</v>
      </c>
      <c r="B8" s="43" t="s">
        <v>11</v>
      </c>
      <c r="C8" s="43" t="s">
        <v>11</v>
      </c>
      <c r="D8" s="43" t="s">
        <v>11</v>
      </c>
      <c r="E8" s="43">
        <v>8000</v>
      </c>
      <c r="F8" s="27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71" t="s">
        <v>201</v>
      </c>
      <c r="B9" s="27" t="s">
        <v>11</v>
      </c>
      <c r="C9" s="27" t="s">
        <v>11</v>
      </c>
      <c r="D9" s="27" t="s">
        <v>11</v>
      </c>
      <c r="E9" s="27">
        <v>7500</v>
      </c>
      <c r="F9" s="27">
        <v>9500</v>
      </c>
      <c r="G9" s="43">
        <v>13000</v>
      </c>
      <c r="H9" s="27" t="s">
        <v>11</v>
      </c>
      <c r="I9" s="27" t="s">
        <v>11</v>
      </c>
    </row>
    <row r="10" spans="1:9" ht="21" customHeight="1" x14ac:dyDescent="0.15">
      <c r="A10" s="71" t="s">
        <v>9</v>
      </c>
      <c r="B10" s="64" t="s">
        <v>11</v>
      </c>
      <c r="C10" s="64" t="s">
        <v>11</v>
      </c>
      <c r="D10" s="27">
        <v>5000</v>
      </c>
      <c r="E10" s="27">
        <v>7000</v>
      </c>
      <c r="F10" s="27">
        <v>9000</v>
      </c>
      <c r="G10" s="43">
        <v>12000</v>
      </c>
      <c r="H10" s="64" t="s">
        <v>11</v>
      </c>
      <c r="I10" s="64" t="s">
        <v>11</v>
      </c>
    </row>
    <row r="11" spans="1:9" ht="21" customHeight="1" x14ac:dyDescent="0.15">
      <c r="A11" s="71" t="s">
        <v>202</v>
      </c>
      <c r="B11" s="64" t="s">
        <v>11</v>
      </c>
      <c r="C11" s="64" t="s">
        <v>11</v>
      </c>
      <c r="D11" s="27">
        <v>4900</v>
      </c>
      <c r="E11" s="27">
        <v>6700</v>
      </c>
      <c r="F11" s="27">
        <v>8500</v>
      </c>
      <c r="G11" s="43">
        <v>11000</v>
      </c>
      <c r="H11" s="64" t="s">
        <v>11</v>
      </c>
      <c r="I11" s="64" t="s">
        <v>11</v>
      </c>
    </row>
    <row r="12" spans="1:9" ht="21" customHeight="1" x14ac:dyDescent="0.15">
      <c r="A12" s="71" t="s">
        <v>106</v>
      </c>
      <c r="B12" s="64" t="s">
        <v>11</v>
      </c>
      <c r="C12" s="64" t="s">
        <v>11</v>
      </c>
      <c r="D12" s="27">
        <v>4800</v>
      </c>
      <c r="E12" s="27">
        <v>6600</v>
      </c>
      <c r="F12" s="64" t="s">
        <v>11</v>
      </c>
      <c r="G12" s="64" t="s">
        <v>11</v>
      </c>
      <c r="H12" s="64" t="s">
        <v>11</v>
      </c>
      <c r="I12" s="64" t="s">
        <v>11</v>
      </c>
    </row>
    <row r="13" spans="1:9" ht="21" customHeight="1" x14ac:dyDescent="0.15">
      <c r="A13" s="71" t="s">
        <v>203</v>
      </c>
      <c r="B13" s="64" t="s">
        <v>11</v>
      </c>
      <c r="C13" s="64" t="s">
        <v>11</v>
      </c>
      <c r="D13" s="64" t="s">
        <v>11</v>
      </c>
      <c r="E13" s="27">
        <v>6300</v>
      </c>
      <c r="F13" s="64" t="s">
        <v>11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71" t="s">
        <v>204</v>
      </c>
      <c r="B14" s="64" t="s">
        <v>11</v>
      </c>
      <c r="C14" s="64" t="s">
        <v>11</v>
      </c>
      <c r="D14" s="27">
        <v>4600</v>
      </c>
      <c r="E14" s="27">
        <v>5800</v>
      </c>
      <c r="F14" s="27">
        <v>7600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105</v>
      </c>
      <c r="B15" s="64" t="s">
        <v>11</v>
      </c>
      <c r="C15" s="64" t="s">
        <v>11</v>
      </c>
      <c r="D15" s="27">
        <v>4400</v>
      </c>
      <c r="E15" s="27">
        <v>5600</v>
      </c>
      <c r="F15" s="64" t="s">
        <v>11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205</v>
      </c>
      <c r="B16" s="64" t="s">
        <v>11</v>
      </c>
      <c r="C16" s="27">
        <v>3000</v>
      </c>
      <c r="D16" s="27">
        <v>4200</v>
      </c>
      <c r="E16" s="27">
        <v>5400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8</v>
      </c>
      <c r="B17" s="27">
        <v>2000</v>
      </c>
      <c r="C17" s="27">
        <v>2800</v>
      </c>
      <c r="D17" s="27">
        <v>4000</v>
      </c>
      <c r="E17" s="64" t="s">
        <v>11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2" t="s">
        <v>7</v>
      </c>
      <c r="B18" s="27">
        <v>1750</v>
      </c>
      <c r="C18" s="27">
        <v>2550</v>
      </c>
      <c r="D18" s="64" t="s">
        <v>11</v>
      </c>
      <c r="E18" s="64" t="s">
        <v>11</v>
      </c>
      <c r="F18" s="64" t="s">
        <v>11</v>
      </c>
      <c r="G18" s="64" t="s">
        <v>11</v>
      </c>
      <c r="H18" s="64" t="s">
        <v>11</v>
      </c>
      <c r="I18" s="64" t="s">
        <v>11</v>
      </c>
    </row>
    <row r="19" spans="1:9" ht="21" customHeight="1" x14ac:dyDescent="0.15">
      <c r="A19" s="72" t="s">
        <v>206</v>
      </c>
      <c r="B19" s="27">
        <v>1500</v>
      </c>
      <c r="C19" s="27">
        <v>2300</v>
      </c>
      <c r="D19" s="64" t="s">
        <v>11</v>
      </c>
      <c r="E19" s="64" t="s">
        <v>11</v>
      </c>
      <c r="F19" s="64" t="s">
        <v>11</v>
      </c>
      <c r="G19" s="64" t="s">
        <v>11</v>
      </c>
      <c r="H19" s="64" t="s">
        <v>11</v>
      </c>
      <c r="I19" s="64" t="s">
        <v>11</v>
      </c>
    </row>
    <row r="20" spans="1:9" ht="21" customHeight="1" x14ac:dyDescent="0.15">
      <c r="A20" s="36" t="s">
        <v>207</v>
      </c>
      <c r="B20" s="35">
        <v>1000</v>
      </c>
      <c r="C20" s="35">
        <v>1000</v>
      </c>
      <c r="D20" s="35">
        <v>1000</v>
      </c>
      <c r="E20" s="35">
        <v>1000</v>
      </c>
      <c r="F20" s="35">
        <v>1000</v>
      </c>
      <c r="G20" s="35">
        <v>1000</v>
      </c>
      <c r="H20" s="35">
        <v>1000</v>
      </c>
      <c r="I20" s="35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2"/>
  </cols>
  <sheetData>
    <row r="1" spans="1:8" ht="21" customHeight="1" x14ac:dyDescent="0.15">
      <c r="A1" s="22" t="s">
        <v>111</v>
      </c>
      <c r="G1" s="22" t="s">
        <v>112</v>
      </c>
    </row>
    <row r="2" spans="1:8" ht="21" customHeight="1" x14ac:dyDescent="0.15">
      <c r="A2" s="20" t="s">
        <v>15</v>
      </c>
      <c r="B2" s="20" t="s">
        <v>16</v>
      </c>
      <c r="G2" s="20" t="s">
        <v>15</v>
      </c>
      <c r="H2" s="20" t="s">
        <v>16</v>
      </c>
    </row>
    <row r="3" spans="1:8" ht="21" customHeight="1" x14ac:dyDescent="0.15">
      <c r="A3" s="23">
        <v>1</v>
      </c>
      <c r="B3" s="32">
        <v>5000</v>
      </c>
      <c r="G3" s="23">
        <v>1</v>
      </c>
      <c r="H3" s="23">
        <v>75</v>
      </c>
    </row>
    <row r="4" spans="1:8" ht="21" customHeight="1" x14ac:dyDescent="0.15">
      <c r="A4" s="23">
        <v>2</v>
      </c>
      <c r="B4" s="24">
        <v>10000</v>
      </c>
      <c r="G4" s="23">
        <v>2</v>
      </c>
      <c r="H4" s="23">
        <v>150</v>
      </c>
    </row>
    <row r="5" spans="1:8" ht="21" customHeight="1" x14ac:dyDescent="0.15">
      <c r="A5" s="23">
        <v>3</v>
      </c>
      <c r="B5" s="24">
        <v>20000</v>
      </c>
      <c r="G5" s="23">
        <v>3</v>
      </c>
      <c r="H5" s="23">
        <v>300</v>
      </c>
    </row>
    <row r="6" spans="1:8" ht="21" customHeight="1" x14ac:dyDescent="0.15">
      <c r="A6" s="23">
        <v>4</v>
      </c>
      <c r="B6" s="24">
        <v>50000</v>
      </c>
      <c r="G6" s="23">
        <v>4</v>
      </c>
      <c r="H6" s="23">
        <v>600</v>
      </c>
    </row>
    <row r="7" spans="1:8" ht="21" customHeight="1" x14ac:dyDescent="0.15">
      <c r="A7" s="23">
        <v>5</v>
      </c>
      <c r="B7" s="24">
        <v>200000</v>
      </c>
      <c r="G7" s="23">
        <v>5</v>
      </c>
      <c r="H7" s="23">
        <v>900</v>
      </c>
    </row>
    <row r="8" spans="1:8" ht="21" customHeight="1" x14ac:dyDescent="0.15">
      <c r="A8" s="23">
        <v>6</v>
      </c>
      <c r="B8" s="33">
        <v>0</v>
      </c>
      <c r="G8" s="23">
        <v>6</v>
      </c>
      <c r="H8" s="34">
        <v>1200</v>
      </c>
    </row>
    <row r="9" spans="1:8" ht="21" customHeight="1" x14ac:dyDescent="0.15">
      <c r="A9" s="23">
        <v>7</v>
      </c>
      <c r="B9" s="33"/>
      <c r="G9" s="23">
        <v>7</v>
      </c>
      <c r="H9" s="33"/>
    </row>
    <row r="10" spans="1:8" ht="21" customHeight="1" x14ac:dyDescent="0.15">
      <c r="A10" s="23">
        <v>8</v>
      </c>
      <c r="B10" s="33"/>
      <c r="G10" s="23">
        <v>8</v>
      </c>
      <c r="H10" s="33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191</v>
      </c>
      <c r="B2" s="12">
        <v>591</v>
      </c>
    </row>
    <row r="3" spans="1:4" x14ac:dyDescent="0.15">
      <c r="A3" t="s">
        <v>192</v>
      </c>
      <c r="B3" s="126">
        <v>592</v>
      </c>
    </row>
    <row r="4" spans="1:4" x14ac:dyDescent="0.15">
      <c r="A4" t="s">
        <v>193</v>
      </c>
      <c r="B4" s="126">
        <v>593</v>
      </c>
    </row>
    <row r="7" spans="1:4" x14ac:dyDescent="0.15">
      <c r="A7" t="s">
        <v>194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213</v>
      </c>
    </row>
    <row r="13" spans="1:4" x14ac:dyDescent="0.15">
      <c r="B13" t="s">
        <v>217</v>
      </c>
      <c r="C13" t="s">
        <v>218</v>
      </c>
      <c r="D13" t="s">
        <v>219</v>
      </c>
    </row>
    <row r="14" spans="1:4" x14ac:dyDescent="0.15">
      <c r="A14" t="s">
        <v>215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216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214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195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196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197</v>
      </c>
    </row>
    <row r="49" spans="1:1" x14ac:dyDescent="0.15">
      <c r="A49" t="str">
        <f>IFERROR(VLOOKUP($B$3,awake__old!A:I,2),"なし")</f>
        <v>なし</v>
      </c>
    </row>
    <row r="50" spans="1:1" x14ac:dyDescent="0.15">
      <c r="A50" t="str">
        <f>IFERROR(VLOOKUP($B$3,awake__old!A:I,2),"なし")</f>
        <v>なし</v>
      </c>
    </row>
    <row r="51" spans="1:1" x14ac:dyDescent="0.15">
      <c r="A51" t="str">
        <f>IFERROR(VLOOKUP($B$3,awake__old!A:I,2),"なし")</f>
        <v>なし</v>
      </c>
    </row>
    <row r="52" spans="1:1" x14ac:dyDescent="0.15">
      <c r="A52" t="str">
        <f>IFERROR(VLOOKUP($B$3,awake__old!A:I,2),"なし")</f>
        <v>なし</v>
      </c>
    </row>
    <row r="53" spans="1:1" x14ac:dyDescent="0.15">
      <c r="A53" t="str">
        <f>IFERROR(VLOOKUP($B$3,awake__old!A:I,2),"なし")</f>
        <v>なし</v>
      </c>
    </row>
    <row r="55" spans="1:1" x14ac:dyDescent="0.15">
      <c r="A55" s="138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awake__old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2017-06-06T07:41:54Z</dcterms:modified>
</cp:coreProperties>
</file>