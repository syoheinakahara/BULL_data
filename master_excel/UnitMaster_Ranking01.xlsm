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610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nagaminesusumutakashi/BULL_data/master_excel/"/>
    </mc:Choice>
  </mc:AlternateContent>
  <bookViews>
    <workbookView xWindow="1100" yWindow="460" windowWidth="27700" windowHeight="15940" tabRatio="963" activeTab="11"/>
  </bookViews>
  <sheets>
    <sheet name="output" sheetId="49" r:id="rId1"/>
    <sheet name="units" sheetId="23" r:id="rId2"/>
    <sheet name="unit_skills" sheetId="52" r:id="rId3"/>
    <sheet name="crash_skills" sheetId="53" r:id="rId4"/>
    <sheet name="unit_serifs" sheetId="54" r:id="rId5"/>
    <sheet name="fork_awake_units" sheetId="56" r:id="rId6"/>
    <sheet name="awake_materials" sheetId="3" r:id="rId7"/>
    <sheet name="unit_abilities" sheetId="57" r:id="rId8"/>
    <sheet name="abilities" sheetId="59" r:id="rId9"/>
    <sheet name="abilities_old" sheetId="58" r:id="rId10"/>
    <sheet name="→base値" sheetId="51" r:id="rId11"/>
    <sheet name="コスト" sheetId="13" r:id="rId12"/>
    <sheet name="レベル" sheetId="12" r:id="rId13"/>
    <sheet name="経験値" sheetId="10" r:id="rId14"/>
    <sheet name="RC6SV" sheetId="11" r:id="rId15"/>
    <sheet name="ビット" sheetId="15" r:id="rId16"/>
    <sheet name="チェックシート" sheetId="55" r:id="rId17"/>
  </sheets>
  <externalReferences>
    <externalReference r:id="rId18"/>
    <externalReference r:id="rId19"/>
  </externalReferences>
  <definedNames>
    <definedName name="_xlnm._FilterDatabase" localSheetId="6" hidden="1">awake_materials!$B$1:$K$1</definedName>
    <definedName name="_xlnm._FilterDatabase" localSheetId="3" hidden="1">crash_skills!$A$1:$J$1</definedName>
    <definedName name="_xlnm._FilterDatabase" localSheetId="5" hidden="1">fork_awake_units!$A$1:$U$4</definedName>
    <definedName name="_xlnm._FilterDatabase" localSheetId="2" hidden="1">unit_skills!$A$1:$S$1</definedName>
    <definedName name="_xlnm._FilterDatabase" localSheetId="1" hidden="1">units!$A$1:$BQ$1</definedName>
    <definedName name="base_character_id" localSheetId="9">#REF!</definedName>
    <definedName name="base_character_id" localSheetId="7">#REF!</definedName>
    <definedName name="base_character_id" localSheetId="4">#REF!</definedName>
    <definedName name="character_id" localSheetId="5">fork_awake_units!$A$1</definedName>
    <definedName name="character_id" localSheetId="4">#REF!</definedName>
    <definedName name="character_id">units!$A$1</definedName>
    <definedName name="LIMIT">INDIRECT("Definitions.xlsm!LIMIT")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5" i="57" l="1"/>
  <c r="E5" i="57"/>
  <c r="B5" i="57"/>
  <c r="F4" i="57"/>
  <c r="E4" i="57"/>
  <c r="B4" i="57"/>
  <c r="F7" i="57"/>
  <c r="E7" i="57"/>
  <c r="B7" i="57"/>
  <c r="F6" i="57"/>
  <c r="E6" i="57"/>
  <c r="B6" i="57"/>
  <c r="F3" i="57"/>
  <c r="E3" i="57"/>
  <c r="B3" i="57"/>
  <c r="F2" i="57"/>
  <c r="E2" i="57"/>
  <c r="B2" i="57"/>
  <c r="E55" i="54"/>
  <c r="B55" i="54"/>
  <c r="E54" i="54"/>
  <c r="B54" i="54"/>
  <c r="E53" i="54"/>
  <c r="B53" i="54"/>
  <c r="E52" i="54"/>
  <c r="B52" i="54"/>
  <c r="E51" i="54"/>
  <c r="B51" i="54"/>
  <c r="E50" i="54"/>
  <c r="B50" i="54"/>
  <c r="E49" i="54"/>
  <c r="B49" i="54"/>
  <c r="E48" i="54"/>
  <c r="B48" i="54"/>
  <c r="E47" i="54"/>
  <c r="B47" i="54"/>
  <c r="E46" i="54"/>
  <c r="B46" i="54"/>
  <c r="E45" i="54"/>
  <c r="B45" i="54"/>
  <c r="E44" i="54"/>
  <c r="B44" i="54"/>
  <c r="E43" i="54"/>
  <c r="B43" i="54"/>
  <c r="E42" i="54"/>
  <c r="B42" i="54"/>
  <c r="E41" i="54"/>
  <c r="B41" i="54"/>
  <c r="E40" i="54"/>
  <c r="B40" i="54"/>
  <c r="E39" i="54"/>
  <c r="B39" i="54"/>
  <c r="E38" i="54"/>
  <c r="B38" i="54"/>
  <c r="E37" i="54"/>
  <c r="B37" i="54"/>
  <c r="E36" i="54"/>
  <c r="B36" i="54"/>
  <c r="E35" i="54"/>
  <c r="B35" i="54"/>
  <c r="E34" i="54"/>
  <c r="B34" i="54"/>
  <c r="E33" i="54"/>
  <c r="B33" i="54"/>
  <c r="E32" i="54"/>
  <c r="B32" i="54"/>
  <c r="E31" i="54"/>
  <c r="B31" i="54"/>
  <c r="E30" i="54"/>
  <c r="B30" i="54"/>
  <c r="E29" i="54"/>
  <c r="B29" i="54"/>
  <c r="G7" i="56"/>
  <c r="U7" i="56"/>
  <c r="W7" i="56"/>
  <c r="S7" i="56"/>
  <c r="T7" i="56"/>
  <c r="R7" i="56"/>
  <c r="O7" i="56"/>
  <c r="N7" i="56"/>
  <c r="M7" i="56"/>
  <c r="L7" i="56"/>
  <c r="J7" i="56"/>
  <c r="K7" i="56"/>
  <c r="I7" i="56"/>
  <c r="H7" i="56"/>
  <c r="F7" i="56"/>
  <c r="E7" i="56"/>
  <c r="D7" i="56"/>
  <c r="C7" i="56"/>
  <c r="B7" i="56"/>
  <c r="G6" i="56"/>
  <c r="U6" i="56"/>
  <c r="W6" i="56"/>
  <c r="S6" i="56"/>
  <c r="T6" i="56"/>
  <c r="R6" i="56"/>
  <c r="O6" i="56"/>
  <c r="N6" i="56"/>
  <c r="M6" i="56"/>
  <c r="L6" i="56"/>
  <c r="J6" i="56"/>
  <c r="K6" i="56"/>
  <c r="I6" i="56"/>
  <c r="H6" i="56"/>
  <c r="F6" i="56"/>
  <c r="E6" i="56"/>
  <c r="D6" i="56"/>
  <c r="C6" i="56"/>
  <c r="B6" i="56"/>
  <c r="G5" i="56"/>
  <c r="U5" i="56"/>
  <c r="W5" i="56"/>
  <c r="S5" i="56"/>
  <c r="T5" i="56"/>
  <c r="R5" i="56"/>
  <c r="O5" i="56"/>
  <c r="N5" i="56"/>
  <c r="M5" i="56"/>
  <c r="L5" i="56"/>
  <c r="J5" i="56"/>
  <c r="K5" i="56"/>
  <c r="I5" i="56"/>
  <c r="H5" i="56"/>
  <c r="F5" i="56"/>
  <c r="E5" i="56"/>
  <c r="D5" i="56"/>
  <c r="C5" i="56"/>
  <c r="B5" i="56"/>
  <c r="J15" i="3"/>
  <c r="J19" i="3"/>
  <c r="J23" i="3"/>
  <c r="J25" i="3"/>
  <c r="J24" i="3"/>
  <c r="B7" i="23"/>
  <c r="B13" i="23"/>
  <c r="H25" i="3"/>
  <c r="H12" i="23"/>
  <c r="F25" i="3"/>
  <c r="G12" i="23"/>
  <c r="E25" i="3"/>
  <c r="B12" i="23"/>
  <c r="D25" i="3"/>
  <c r="C25" i="3"/>
  <c r="A25" i="3"/>
  <c r="H24" i="3"/>
  <c r="F24" i="3"/>
  <c r="E24" i="3"/>
  <c r="D24" i="3"/>
  <c r="C24" i="3"/>
  <c r="A24" i="3"/>
  <c r="H23" i="3"/>
  <c r="F23" i="3"/>
  <c r="E23" i="3"/>
  <c r="D23" i="3"/>
  <c r="C23" i="3"/>
  <c r="A23" i="3"/>
  <c r="J22" i="3"/>
  <c r="H22" i="3"/>
  <c r="F22" i="3"/>
  <c r="E22" i="3"/>
  <c r="D22" i="3"/>
  <c r="C22" i="3"/>
  <c r="A22" i="3"/>
  <c r="J21" i="3"/>
  <c r="B5" i="23"/>
  <c r="B11" i="23"/>
  <c r="H21" i="3"/>
  <c r="H10" i="23"/>
  <c r="F21" i="3"/>
  <c r="G10" i="23"/>
  <c r="E21" i="3"/>
  <c r="B10" i="23"/>
  <c r="D21" i="3"/>
  <c r="C21" i="3"/>
  <c r="A21" i="3"/>
  <c r="J20" i="3"/>
  <c r="H20" i="3"/>
  <c r="F20" i="3"/>
  <c r="E20" i="3"/>
  <c r="D20" i="3"/>
  <c r="C20" i="3"/>
  <c r="A20" i="3"/>
  <c r="H19" i="3"/>
  <c r="F19" i="3"/>
  <c r="E19" i="3"/>
  <c r="D19" i="3"/>
  <c r="C19" i="3"/>
  <c r="A19" i="3"/>
  <c r="J18" i="3"/>
  <c r="H18" i="3"/>
  <c r="F18" i="3"/>
  <c r="E18" i="3"/>
  <c r="D18" i="3"/>
  <c r="C18" i="3"/>
  <c r="A18" i="3"/>
  <c r="J17" i="3"/>
  <c r="B9" i="23"/>
  <c r="H17" i="3"/>
  <c r="H8" i="23"/>
  <c r="F17" i="3"/>
  <c r="G8" i="23"/>
  <c r="E17" i="3"/>
  <c r="B8" i="23"/>
  <c r="D17" i="3"/>
  <c r="C17" i="3"/>
  <c r="A17" i="3"/>
  <c r="J16" i="3"/>
  <c r="H16" i="3"/>
  <c r="F16" i="3"/>
  <c r="E16" i="3"/>
  <c r="D16" i="3"/>
  <c r="C16" i="3"/>
  <c r="A16" i="3"/>
  <c r="H15" i="3"/>
  <c r="F15" i="3"/>
  <c r="E15" i="3"/>
  <c r="D15" i="3"/>
  <c r="C15" i="3"/>
  <c r="A15" i="3"/>
  <c r="J14" i="3"/>
  <c r="H14" i="3"/>
  <c r="F14" i="3"/>
  <c r="E14" i="3"/>
  <c r="D14" i="3"/>
  <c r="C14" i="3"/>
  <c r="A14" i="3"/>
  <c r="E13" i="57"/>
  <c r="F13" i="57"/>
  <c r="B13" i="57"/>
  <c r="F12" i="57"/>
  <c r="E12" i="57"/>
  <c r="H13" i="23"/>
  <c r="G13" i="23"/>
  <c r="BC13" i="23"/>
  <c r="BD13" i="23"/>
  <c r="Q13" i="23"/>
  <c r="S13" i="23"/>
  <c r="W13" i="23"/>
  <c r="AA13" i="23"/>
  <c r="I13" i="23"/>
  <c r="J13" i="23"/>
  <c r="BK13" i="23"/>
  <c r="F11" i="57"/>
  <c r="F10" i="57"/>
  <c r="E11" i="57"/>
  <c r="E13" i="52"/>
  <c r="E12" i="52"/>
  <c r="AX13" i="23"/>
  <c r="H9" i="23"/>
  <c r="H11" i="23"/>
  <c r="E9" i="53"/>
  <c r="E8" i="53"/>
  <c r="E11" i="52"/>
  <c r="E10" i="52"/>
  <c r="I3" i="59"/>
  <c r="I4" i="59"/>
  <c r="I5" i="59"/>
  <c r="I6" i="59"/>
  <c r="I7" i="59"/>
  <c r="I8" i="59"/>
  <c r="I9" i="59"/>
  <c r="I10" i="59"/>
  <c r="I2" i="59"/>
  <c r="F9" i="57"/>
  <c r="E10" i="57"/>
  <c r="E9" i="57"/>
  <c r="F8" i="57"/>
  <c r="E8" i="57"/>
  <c r="B12" i="57"/>
  <c r="B11" i="57"/>
  <c r="B10" i="57"/>
  <c r="C4" i="49"/>
  <c r="C6" i="49"/>
  <c r="C7" i="49"/>
  <c r="C8" i="49"/>
  <c r="C9" i="49"/>
  <c r="C10" i="49"/>
  <c r="C11" i="49"/>
  <c r="C12" i="49"/>
  <c r="C13" i="49"/>
  <c r="C14" i="49"/>
  <c r="C15" i="49"/>
  <c r="E15" i="49"/>
  <c r="E14" i="49"/>
  <c r="E13" i="49"/>
  <c r="B9" i="57"/>
  <c r="B8" i="57"/>
  <c r="G10" i="53"/>
  <c r="G9" i="53"/>
  <c r="G8" i="53"/>
  <c r="G11" i="53"/>
  <c r="E11" i="53"/>
  <c r="E10" i="53"/>
  <c r="J12" i="52"/>
  <c r="J14" i="52"/>
  <c r="J11" i="52"/>
  <c r="J10" i="52"/>
  <c r="H10" i="52"/>
  <c r="H11" i="52"/>
  <c r="H12" i="52"/>
  <c r="J13" i="52"/>
  <c r="H13" i="52"/>
  <c r="G9" i="23"/>
  <c r="BC9" i="23"/>
  <c r="BD9" i="23"/>
  <c r="Q9" i="23"/>
  <c r="V9" i="23"/>
  <c r="W9" i="23"/>
  <c r="AD9" i="23"/>
  <c r="I9" i="23"/>
  <c r="M9" i="23"/>
  <c r="BN9" i="23"/>
  <c r="U9" i="23"/>
  <c r="AC9" i="23"/>
  <c r="L9" i="23"/>
  <c r="BM9" i="23"/>
  <c r="T9" i="23"/>
  <c r="AB9" i="23"/>
  <c r="K9" i="23"/>
  <c r="BL9" i="23"/>
  <c r="S9" i="23"/>
  <c r="AA9" i="23"/>
  <c r="J9" i="23"/>
  <c r="BK9" i="23"/>
  <c r="AE2" i="23"/>
  <c r="AE4" i="23"/>
  <c r="AE6" i="23"/>
  <c r="AE8" i="23"/>
  <c r="BC8" i="23"/>
  <c r="BE9" i="23"/>
  <c r="BJ9" i="23"/>
  <c r="BI9" i="23"/>
  <c r="BH9" i="23"/>
  <c r="BG9" i="23"/>
  <c r="I8" i="23"/>
  <c r="J8" i="23"/>
  <c r="BF9" i="23"/>
  <c r="AX9" i="23"/>
  <c r="AT9" i="23"/>
  <c r="AW9" i="23"/>
  <c r="AV9" i="23"/>
  <c r="AU9" i="23"/>
  <c r="AP9" i="23"/>
  <c r="AS9" i="23"/>
  <c r="AR9" i="23"/>
  <c r="AQ9" i="23"/>
  <c r="AN9" i="23"/>
  <c r="AM9" i="23"/>
  <c r="AL9" i="23"/>
  <c r="AK9" i="23"/>
  <c r="AI9" i="23"/>
  <c r="AE10" i="23"/>
  <c r="AE12" i="23"/>
  <c r="AG8" i="23"/>
  <c r="AG9" i="23"/>
  <c r="AH9" i="23"/>
  <c r="AF9" i="23"/>
  <c r="Y9" i="23"/>
  <c r="Z9" i="23"/>
  <c r="X9" i="23"/>
  <c r="R9" i="23"/>
  <c r="P9" i="23"/>
  <c r="O9" i="23"/>
  <c r="G2" i="13"/>
  <c r="N9" i="23"/>
  <c r="F9" i="23"/>
  <c r="E9" i="23"/>
  <c r="D9" i="23"/>
  <c r="C9" i="23"/>
  <c r="BD8" i="23"/>
  <c r="Q8" i="23"/>
  <c r="V8" i="23"/>
  <c r="W8" i="23"/>
  <c r="AD8" i="23"/>
  <c r="M8" i="23"/>
  <c r="BN8" i="23"/>
  <c r="U8" i="23"/>
  <c r="AC8" i="23"/>
  <c r="L8" i="23"/>
  <c r="BM8" i="23"/>
  <c r="T8" i="23"/>
  <c r="AB8" i="23"/>
  <c r="K8" i="23"/>
  <c r="BL8" i="23"/>
  <c r="S8" i="23"/>
  <c r="AA8" i="23"/>
  <c r="BK8" i="23"/>
  <c r="BE8" i="23"/>
  <c r="BJ8" i="23"/>
  <c r="BI8" i="23"/>
  <c r="BH8" i="23"/>
  <c r="BG8" i="23"/>
  <c r="BF8" i="23"/>
  <c r="AX8" i="23"/>
  <c r="AT8" i="23"/>
  <c r="AW8" i="23"/>
  <c r="AV8" i="23"/>
  <c r="AU8" i="23"/>
  <c r="AP8" i="23"/>
  <c r="AS8" i="23"/>
  <c r="AR8" i="23"/>
  <c r="AQ8" i="23"/>
  <c r="AN8" i="23"/>
  <c r="AM8" i="23"/>
  <c r="AL8" i="23"/>
  <c r="AK8" i="23"/>
  <c r="AI8" i="23"/>
  <c r="AH8" i="23"/>
  <c r="AF8" i="23"/>
  <c r="Y8" i="23"/>
  <c r="Z8" i="23"/>
  <c r="X8" i="23"/>
  <c r="R8" i="23"/>
  <c r="P8" i="23"/>
  <c r="O8" i="23"/>
  <c r="N8" i="23"/>
  <c r="F8" i="23"/>
  <c r="E8" i="23"/>
  <c r="D8" i="23"/>
  <c r="C8" i="23"/>
  <c r="G11" i="23"/>
  <c r="BC11" i="23"/>
  <c r="BD11" i="23"/>
  <c r="Q11" i="23"/>
  <c r="V11" i="23"/>
  <c r="W11" i="23"/>
  <c r="AD11" i="23"/>
  <c r="I11" i="23"/>
  <c r="M11" i="23"/>
  <c r="BN11" i="23"/>
  <c r="U11" i="23"/>
  <c r="AC11" i="23"/>
  <c r="L11" i="23"/>
  <c r="BM11" i="23"/>
  <c r="T11" i="23"/>
  <c r="AB11" i="23"/>
  <c r="K11" i="23"/>
  <c r="BL11" i="23"/>
  <c r="S11" i="23"/>
  <c r="AA11" i="23"/>
  <c r="J11" i="23"/>
  <c r="BK11" i="23"/>
  <c r="BC10" i="23"/>
  <c r="BE11" i="23"/>
  <c r="BJ11" i="23"/>
  <c r="BI11" i="23"/>
  <c r="BH11" i="23"/>
  <c r="BG11" i="23"/>
  <c r="I10" i="23"/>
  <c r="J10" i="23"/>
  <c r="BF11" i="23"/>
  <c r="AX11" i="23"/>
  <c r="AT11" i="23"/>
  <c r="AW11" i="23"/>
  <c r="AV11" i="23"/>
  <c r="AU11" i="23"/>
  <c r="AP11" i="23"/>
  <c r="AS11" i="23"/>
  <c r="AR11" i="23"/>
  <c r="AQ11" i="23"/>
  <c r="AN11" i="23"/>
  <c r="AM11" i="23"/>
  <c r="AL11" i="23"/>
  <c r="AK11" i="23"/>
  <c r="AI11" i="23"/>
  <c r="AG10" i="23"/>
  <c r="AG11" i="23"/>
  <c r="AH11" i="23"/>
  <c r="AF11" i="23"/>
  <c r="Y11" i="23"/>
  <c r="Z11" i="23"/>
  <c r="X11" i="23"/>
  <c r="R11" i="23"/>
  <c r="P11" i="23"/>
  <c r="O11" i="23"/>
  <c r="N11" i="23"/>
  <c r="F11" i="23"/>
  <c r="E11" i="23"/>
  <c r="D11" i="23"/>
  <c r="C11" i="23"/>
  <c r="BD10" i="23"/>
  <c r="Q10" i="23"/>
  <c r="V10" i="23"/>
  <c r="W10" i="23"/>
  <c r="AD10" i="23"/>
  <c r="M10" i="23"/>
  <c r="BN10" i="23"/>
  <c r="U10" i="23"/>
  <c r="AC10" i="23"/>
  <c r="L10" i="23"/>
  <c r="BM10" i="23"/>
  <c r="T10" i="23"/>
  <c r="AB10" i="23"/>
  <c r="K10" i="23"/>
  <c r="BL10" i="23"/>
  <c r="S10" i="23"/>
  <c r="AA10" i="23"/>
  <c r="BK10" i="23"/>
  <c r="BE10" i="23"/>
  <c r="BJ10" i="23"/>
  <c r="BI10" i="23"/>
  <c r="BH10" i="23"/>
  <c r="BG10" i="23"/>
  <c r="BF10" i="23"/>
  <c r="AX10" i="23"/>
  <c r="AT10" i="23"/>
  <c r="AW10" i="23"/>
  <c r="AV10" i="23"/>
  <c r="AU10" i="23"/>
  <c r="AP10" i="23"/>
  <c r="AS10" i="23"/>
  <c r="AR10" i="23"/>
  <c r="AQ10" i="23"/>
  <c r="AN10" i="23"/>
  <c r="AM10" i="23"/>
  <c r="AL10" i="23"/>
  <c r="AK10" i="23"/>
  <c r="AI10" i="23"/>
  <c r="AH10" i="23"/>
  <c r="AF10" i="23"/>
  <c r="Y10" i="23"/>
  <c r="Z10" i="23"/>
  <c r="X10" i="23"/>
  <c r="R10" i="23"/>
  <c r="P10" i="23"/>
  <c r="O10" i="23"/>
  <c r="N10" i="23"/>
  <c r="F10" i="23"/>
  <c r="E10" i="23"/>
  <c r="D10" i="23"/>
  <c r="C10" i="23"/>
  <c r="C3" i="49"/>
  <c r="C5" i="49"/>
  <c r="E5" i="49"/>
  <c r="E3" i="49"/>
  <c r="H13" i="3"/>
  <c r="H12" i="3"/>
  <c r="H11" i="3"/>
  <c r="H10" i="3"/>
  <c r="H9" i="3"/>
  <c r="H8" i="3"/>
  <c r="H7" i="3"/>
  <c r="H6" i="3"/>
  <c r="B3" i="23"/>
  <c r="H5" i="3"/>
  <c r="H4" i="3"/>
  <c r="H3" i="3"/>
  <c r="H2" i="3"/>
  <c r="H6" i="23"/>
  <c r="F13" i="3"/>
  <c r="F12" i="3"/>
  <c r="F11" i="3"/>
  <c r="F10" i="3"/>
  <c r="H4" i="23"/>
  <c r="F9" i="3"/>
  <c r="F8" i="3"/>
  <c r="F7" i="3"/>
  <c r="F6" i="3"/>
  <c r="H2" i="23"/>
  <c r="F5" i="3"/>
  <c r="F4" i="3"/>
  <c r="F3" i="3"/>
  <c r="G6" i="23"/>
  <c r="E13" i="3"/>
  <c r="E12" i="3"/>
  <c r="E11" i="3"/>
  <c r="E10" i="3"/>
  <c r="G4" i="23"/>
  <c r="E9" i="3"/>
  <c r="E8" i="3"/>
  <c r="E7" i="3"/>
  <c r="E6" i="3"/>
  <c r="G2" i="23"/>
  <c r="E5" i="3"/>
  <c r="E4" i="3"/>
  <c r="E3" i="3"/>
  <c r="C13" i="3"/>
  <c r="C12" i="3"/>
  <c r="C11" i="3"/>
  <c r="C10" i="3"/>
  <c r="C9" i="3"/>
  <c r="C8" i="3"/>
  <c r="C7" i="3"/>
  <c r="C6" i="3"/>
  <c r="C5" i="3"/>
  <c r="C4" i="3"/>
  <c r="C3" i="3"/>
  <c r="C2" i="3"/>
  <c r="G4" i="56"/>
  <c r="U4" i="56"/>
  <c r="G3" i="56"/>
  <c r="U3" i="56"/>
  <c r="G2" i="56"/>
  <c r="W4" i="56"/>
  <c r="R4" i="56"/>
  <c r="O4" i="56"/>
  <c r="N4" i="56"/>
  <c r="M4" i="56"/>
  <c r="L4" i="56"/>
  <c r="J4" i="56"/>
  <c r="K4" i="56"/>
  <c r="I4" i="56"/>
  <c r="H4" i="56"/>
  <c r="F4" i="56"/>
  <c r="E4" i="56"/>
  <c r="D4" i="56"/>
  <c r="C4" i="56"/>
  <c r="B4" i="56"/>
  <c r="W3" i="56"/>
  <c r="R3" i="56"/>
  <c r="O3" i="56"/>
  <c r="N3" i="56"/>
  <c r="M3" i="56"/>
  <c r="L3" i="56"/>
  <c r="J3" i="56"/>
  <c r="K3" i="56"/>
  <c r="I3" i="56"/>
  <c r="H3" i="56"/>
  <c r="F3" i="56"/>
  <c r="E3" i="56"/>
  <c r="D3" i="56"/>
  <c r="C3" i="56"/>
  <c r="B3" i="56"/>
  <c r="O2" i="56"/>
  <c r="N2" i="56"/>
  <c r="M2" i="56"/>
  <c r="L2" i="56"/>
  <c r="J2" i="56"/>
  <c r="K2" i="56"/>
  <c r="I2" i="56"/>
  <c r="H2" i="56"/>
  <c r="F2" i="56"/>
  <c r="E2" i="56"/>
  <c r="D2" i="56"/>
  <c r="C2" i="56"/>
  <c r="B2" i="56"/>
  <c r="G13" i="53"/>
  <c r="E13" i="53"/>
  <c r="G12" i="53"/>
  <c r="E12" i="53"/>
  <c r="J15" i="52"/>
  <c r="H15" i="52"/>
  <c r="E15" i="52"/>
  <c r="H14" i="52"/>
  <c r="E14" i="52"/>
  <c r="B2" i="23"/>
  <c r="J13" i="3"/>
  <c r="J11" i="3"/>
  <c r="J10" i="3"/>
  <c r="J8" i="3"/>
  <c r="J7" i="3"/>
  <c r="J4" i="3"/>
  <c r="J3" i="3"/>
  <c r="J6" i="3"/>
  <c r="J2" i="3"/>
  <c r="B6" i="23"/>
  <c r="D13" i="3"/>
  <c r="A13" i="3"/>
  <c r="J12" i="3"/>
  <c r="D12" i="3"/>
  <c r="A12" i="3"/>
  <c r="D11" i="3"/>
  <c r="A11" i="3"/>
  <c r="D10" i="3"/>
  <c r="A10" i="3"/>
  <c r="J9" i="3"/>
  <c r="B4" i="23"/>
  <c r="D9" i="3"/>
  <c r="A9" i="3"/>
  <c r="D8" i="3"/>
  <c r="A8" i="3"/>
  <c r="D7" i="3"/>
  <c r="A7" i="3"/>
  <c r="D6" i="3"/>
  <c r="A6" i="3"/>
  <c r="J5" i="3"/>
  <c r="D5" i="3"/>
  <c r="A5" i="3"/>
  <c r="D4" i="3"/>
  <c r="A4" i="3"/>
  <c r="D3" i="3"/>
  <c r="A3" i="3"/>
  <c r="D2" i="3"/>
  <c r="E28" i="54"/>
  <c r="B28" i="54"/>
  <c r="E27" i="54"/>
  <c r="B27" i="54"/>
  <c r="E26" i="54"/>
  <c r="B26" i="54"/>
  <c r="E25" i="54"/>
  <c r="B25" i="54"/>
  <c r="E24" i="54"/>
  <c r="B24" i="54"/>
  <c r="E23" i="54"/>
  <c r="B23" i="54"/>
  <c r="E22" i="54"/>
  <c r="B22" i="54"/>
  <c r="E21" i="54"/>
  <c r="B21" i="54"/>
  <c r="E20" i="54"/>
  <c r="B20" i="54"/>
  <c r="E19" i="54"/>
  <c r="B19" i="54"/>
  <c r="E18" i="54"/>
  <c r="B18" i="54"/>
  <c r="E17" i="54"/>
  <c r="B17" i="54"/>
  <c r="E16" i="54"/>
  <c r="B16" i="54"/>
  <c r="E15" i="54"/>
  <c r="B15" i="54"/>
  <c r="E14" i="54"/>
  <c r="B14" i="54"/>
  <c r="E13" i="54"/>
  <c r="B13" i="54"/>
  <c r="E12" i="54"/>
  <c r="B12" i="54"/>
  <c r="E11" i="54"/>
  <c r="B11" i="54"/>
  <c r="E10" i="54"/>
  <c r="B10" i="54"/>
  <c r="E9" i="54"/>
  <c r="B9" i="54"/>
  <c r="E8" i="54"/>
  <c r="B8" i="54"/>
  <c r="E7" i="54"/>
  <c r="B7" i="54"/>
  <c r="E6" i="54"/>
  <c r="B6" i="54"/>
  <c r="E5" i="54"/>
  <c r="B5" i="54"/>
  <c r="E4" i="54"/>
  <c r="B4" i="54"/>
  <c r="B3" i="54"/>
  <c r="B2" i="54"/>
  <c r="E3" i="54"/>
  <c r="E2" i="54"/>
  <c r="G4" i="53"/>
  <c r="E4" i="53"/>
  <c r="G5" i="53"/>
  <c r="E5" i="53"/>
  <c r="G6" i="53"/>
  <c r="E6" i="53"/>
  <c r="G7" i="53"/>
  <c r="E7" i="53"/>
  <c r="G3" i="53"/>
  <c r="E3" i="53"/>
  <c r="J4" i="52"/>
  <c r="J3" i="52"/>
  <c r="J2" i="52"/>
  <c r="J6" i="52"/>
  <c r="J5" i="52"/>
  <c r="E4" i="52"/>
  <c r="H4" i="52"/>
  <c r="E5" i="52"/>
  <c r="H5" i="52"/>
  <c r="E6" i="52"/>
  <c r="H6" i="52"/>
  <c r="J7" i="52"/>
  <c r="E7" i="52"/>
  <c r="H7" i="52"/>
  <c r="J8" i="52"/>
  <c r="C8" i="52"/>
  <c r="E8" i="52"/>
  <c r="H8" i="52"/>
  <c r="J9" i="52"/>
  <c r="C9" i="52"/>
  <c r="E9" i="52"/>
  <c r="H9" i="52"/>
  <c r="H3" i="52"/>
  <c r="E3" i="52"/>
  <c r="AT3" i="23"/>
  <c r="AT4" i="23"/>
  <c r="AT5" i="23"/>
  <c r="AT6" i="23"/>
  <c r="AT7" i="23"/>
  <c r="AT12" i="23"/>
  <c r="AT13" i="23"/>
  <c r="AT2" i="23"/>
  <c r="AP3" i="23"/>
  <c r="AP4" i="23"/>
  <c r="AP5" i="23"/>
  <c r="AP6" i="23"/>
  <c r="AP7" i="23"/>
  <c r="AP12" i="23"/>
  <c r="AP13" i="23"/>
  <c r="AP2" i="23"/>
  <c r="O13" i="23"/>
  <c r="G3" i="23"/>
  <c r="P3" i="23"/>
  <c r="P4" i="23"/>
  <c r="G5" i="23"/>
  <c r="P5" i="23"/>
  <c r="P6" i="23"/>
  <c r="G7" i="23"/>
  <c r="P7" i="23"/>
  <c r="P12" i="23"/>
  <c r="P13" i="23"/>
  <c r="P2" i="23"/>
  <c r="G10" i="13"/>
  <c r="G9" i="13"/>
  <c r="G8" i="13"/>
  <c r="G4" i="13"/>
  <c r="G3" i="13"/>
  <c r="G2" i="53"/>
  <c r="C2" i="23"/>
  <c r="D2" i="23"/>
  <c r="E2" i="23"/>
  <c r="F2" i="23"/>
  <c r="I2" i="23"/>
  <c r="J2" i="23"/>
  <c r="K2" i="23"/>
  <c r="L2" i="23"/>
  <c r="M2" i="23"/>
  <c r="N2" i="23"/>
  <c r="O2" i="23"/>
  <c r="Q2" i="23"/>
  <c r="R2" i="23"/>
  <c r="S2" i="23"/>
  <c r="T2" i="23"/>
  <c r="U2" i="23"/>
  <c r="V2" i="23"/>
  <c r="W2" i="23"/>
  <c r="X2" i="23"/>
  <c r="Y2" i="23"/>
  <c r="Z2" i="23"/>
  <c r="AA2" i="23"/>
  <c r="AB2" i="23"/>
  <c r="AC2" i="23"/>
  <c r="AD2" i="23"/>
  <c r="AF2" i="23"/>
  <c r="AG2" i="23"/>
  <c r="AH2" i="23"/>
  <c r="AI2" i="23"/>
  <c r="AK2" i="23"/>
  <c r="AL2" i="23"/>
  <c r="AM2" i="23"/>
  <c r="AN2" i="23"/>
  <c r="AQ2" i="23"/>
  <c r="AR2" i="23"/>
  <c r="AS2" i="23"/>
  <c r="AU2" i="23"/>
  <c r="AV2" i="23"/>
  <c r="AW2" i="23"/>
  <c r="AX2" i="23"/>
  <c r="BC2" i="23"/>
  <c r="BD2" i="23"/>
  <c r="BE2" i="23"/>
  <c r="BF2" i="23"/>
  <c r="BK2" i="23"/>
  <c r="BG2" i="23"/>
  <c r="BL2" i="23"/>
  <c r="BH2" i="23"/>
  <c r="BM2" i="23"/>
  <c r="BI2" i="23"/>
  <c r="BN2" i="23"/>
  <c r="BJ2" i="23"/>
  <c r="C3" i="23"/>
  <c r="D3" i="23"/>
  <c r="E3" i="23"/>
  <c r="F3" i="23"/>
  <c r="H3" i="23"/>
  <c r="I3" i="23"/>
  <c r="J3" i="23"/>
  <c r="K3" i="23"/>
  <c r="L3" i="23"/>
  <c r="M3" i="23"/>
  <c r="N3" i="23"/>
  <c r="O3" i="23"/>
  <c r="Q3" i="23"/>
  <c r="R3" i="23"/>
  <c r="S3" i="23"/>
  <c r="T3" i="23"/>
  <c r="U3" i="23"/>
  <c r="V3" i="23"/>
  <c r="W3" i="23"/>
  <c r="X3" i="23"/>
  <c r="Y3" i="23"/>
  <c r="Z3" i="23"/>
  <c r="AA3" i="23"/>
  <c r="AB3" i="23"/>
  <c r="AC3" i="23"/>
  <c r="AD3" i="23"/>
  <c r="AF3" i="23"/>
  <c r="AG3" i="23"/>
  <c r="AH3" i="23"/>
  <c r="AI3" i="23"/>
  <c r="AK3" i="23"/>
  <c r="AL3" i="23"/>
  <c r="AM3" i="23"/>
  <c r="AN3" i="23"/>
  <c r="AQ3" i="23"/>
  <c r="AR3" i="23"/>
  <c r="AS3" i="23"/>
  <c r="AU3" i="23"/>
  <c r="AV3" i="23"/>
  <c r="AW3" i="23"/>
  <c r="AX3" i="23"/>
  <c r="BC3" i="23"/>
  <c r="BD3" i="23"/>
  <c r="BE3" i="23"/>
  <c r="BF3" i="23"/>
  <c r="BK3" i="23"/>
  <c r="BG3" i="23"/>
  <c r="BL3" i="23"/>
  <c r="BH3" i="23"/>
  <c r="BM3" i="23"/>
  <c r="BI3" i="23"/>
  <c r="BN3" i="23"/>
  <c r="BJ3" i="23"/>
  <c r="C4" i="23"/>
  <c r="D4" i="23"/>
  <c r="E4" i="23"/>
  <c r="F4" i="23"/>
  <c r="I4" i="23"/>
  <c r="J4" i="23"/>
  <c r="K4" i="23"/>
  <c r="L4" i="23"/>
  <c r="M4" i="23"/>
  <c r="N4" i="23"/>
  <c r="O4" i="23"/>
  <c r="Q4" i="23"/>
  <c r="R4" i="23"/>
  <c r="S4" i="23"/>
  <c r="T4" i="23"/>
  <c r="U4" i="23"/>
  <c r="V4" i="23"/>
  <c r="W4" i="23"/>
  <c r="X4" i="23"/>
  <c r="Y4" i="23"/>
  <c r="Z4" i="23"/>
  <c r="AA4" i="23"/>
  <c r="AB4" i="23"/>
  <c r="AC4" i="23"/>
  <c r="AD4" i="23"/>
  <c r="AF4" i="23"/>
  <c r="AG4" i="23"/>
  <c r="AH4" i="23"/>
  <c r="AI4" i="23"/>
  <c r="AK4" i="23"/>
  <c r="AL4" i="23"/>
  <c r="AM4" i="23"/>
  <c r="AN4" i="23"/>
  <c r="AQ4" i="23"/>
  <c r="AR4" i="23"/>
  <c r="AS4" i="23"/>
  <c r="AU4" i="23"/>
  <c r="AV4" i="23"/>
  <c r="AW4" i="23"/>
  <c r="AX4" i="23"/>
  <c r="BC4" i="23"/>
  <c r="BD4" i="23"/>
  <c r="BE4" i="23"/>
  <c r="BF4" i="23"/>
  <c r="BK4" i="23"/>
  <c r="BG4" i="23"/>
  <c r="BL4" i="23"/>
  <c r="BH4" i="23"/>
  <c r="BM4" i="23"/>
  <c r="BI4" i="23"/>
  <c r="BN4" i="23"/>
  <c r="BJ4" i="23"/>
  <c r="C5" i="23"/>
  <c r="D5" i="23"/>
  <c r="E5" i="23"/>
  <c r="F5" i="23"/>
  <c r="H5" i="23"/>
  <c r="I5" i="23"/>
  <c r="J5" i="23"/>
  <c r="K5" i="23"/>
  <c r="L5" i="23"/>
  <c r="M5" i="23"/>
  <c r="N5" i="23"/>
  <c r="O5" i="23"/>
  <c r="Q5" i="23"/>
  <c r="R5" i="23"/>
  <c r="S5" i="23"/>
  <c r="T5" i="23"/>
  <c r="U5" i="23"/>
  <c r="V5" i="23"/>
  <c r="W5" i="23"/>
  <c r="X5" i="23"/>
  <c r="Y5" i="23"/>
  <c r="Z5" i="23"/>
  <c r="AA5" i="23"/>
  <c r="AB5" i="23"/>
  <c r="AC5" i="23"/>
  <c r="AD5" i="23"/>
  <c r="AF5" i="23"/>
  <c r="AG5" i="23"/>
  <c r="AH5" i="23"/>
  <c r="AI5" i="23"/>
  <c r="AK5" i="23"/>
  <c r="AL5" i="23"/>
  <c r="AM5" i="23"/>
  <c r="AN5" i="23"/>
  <c r="AQ5" i="23"/>
  <c r="AR5" i="23"/>
  <c r="AS5" i="23"/>
  <c r="AU5" i="23"/>
  <c r="AV5" i="23"/>
  <c r="AW5" i="23"/>
  <c r="AX5" i="23"/>
  <c r="BC5" i="23"/>
  <c r="BD5" i="23"/>
  <c r="BE5" i="23"/>
  <c r="BF5" i="23"/>
  <c r="BK5" i="23"/>
  <c r="BG5" i="23"/>
  <c r="BL5" i="23"/>
  <c r="BH5" i="23"/>
  <c r="BM5" i="23"/>
  <c r="BI5" i="23"/>
  <c r="BN5" i="23"/>
  <c r="BJ5" i="23"/>
  <c r="C6" i="23"/>
  <c r="D6" i="23"/>
  <c r="E6" i="23"/>
  <c r="F6" i="23"/>
  <c r="I6" i="23"/>
  <c r="J6" i="23"/>
  <c r="K6" i="23"/>
  <c r="L6" i="23"/>
  <c r="M6" i="23"/>
  <c r="N6" i="23"/>
  <c r="O6" i="23"/>
  <c r="Q6" i="23"/>
  <c r="R6" i="23"/>
  <c r="S6" i="23"/>
  <c r="T6" i="23"/>
  <c r="U6" i="23"/>
  <c r="V6" i="23"/>
  <c r="W6" i="23"/>
  <c r="X6" i="23"/>
  <c r="Y6" i="23"/>
  <c r="Z6" i="23"/>
  <c r="AA6" i="23"/>
  <c r="AB6" i="23"/>
  <c r="AC6" i="23"/>
  <c r="AD6" i="23"/>
  <c r="AF6" i="23"/>
  <c r="AG6" i="23"/>
  <c r="AH6" i="23"/>
  <c r="AI6" i="23"/>
  <c r="AK6" i="23"/>
  <c r="AL6" i="23"/>
  <c r="AM6" i="23"/>
  <c r="AN6" i="23"/>
  <c r="AQ6" i="23"/>
  <c r="AR6" i="23"/>
  <c r="AS6" i="23"/>
  <c r="AU6" i="23"/>
  <c r="AV6" i="23"/>
  <c r="AW6" i="23"/>
  <c r="AX6" i="23"/>
  <c r="BC6" i="23"/>
  <c r="BD6" i="23"/>
  <c r="BE6" i="23"/>
  <c r="BF6" i="23"/>
  <c r="BK6" i="23"/>
  <c r="BG6" i="23"/>
  <c r="BL6" i="23"/>
  <c r="BH6" i="23"/>
  <c r="BM6" i="23"/>
  <c r="BI6" i="23"/>
  <c r="BN6" i="23"/>
  <c r="BJ6" i="23"/>
  <c r="C7" i="23"/>
  <c r="D7" i="23"/>
  <c r="E7" i="23"/>
  <c r="F7" i="23"/>
  <c r="H7" i="23"/>
  <c r="I7" i="23"/>
  <c r="J7" i="23"/>
  <c r="K7" i="23"/>
  <c r="L7" i="23"/>
  <c r="M7" i="23"/>
  <c r="N7" i="23"/>
  <c r="O7" i="23"/>
  <c r="Q7" i="23"/>
  <c r="R7" i="23"/>
  <c r="S7" i="23"/>
  <c r="T7" i="23"/>
  <c r="U7" i="23"/>
  <c r="V7" i="23"/>
  <c r="W7" i="23"/>
  <c r="X7" i="23"/>
  <c r="Y7" i="23"/>
  <c r="Z7" i="23"/>
  <c r="AA7" i="23"/>
  <c r="AB7" i="23"/>
  <c r="AC7" i="23"/>
  <c r="AD7" i="23"/>
  <c r="AF7" i="23"/>
  <c r="AG7" i="23"/>
  <c r="AH7" i="23"/>
  <c r="AI7" i="23"/>
  <c r="AK7" i="23"/>
  <c r="AL7" i="23"/>
  <c r="AM7" i="23"/>
  <c r="AN7" i="23"/>
  <c r="AQ7" i="23"/>
  <c r="AR7" i="23"/>
  <c r="AS7" i="23"/>
  <c r="AU7" i="23"/>
  <c r="AV7" i="23"/>
  <c r="AW7" i="23"/>
  <c r="AX7" i="23"/>
  <c r="BC7" i="23"/>
  <c r="BD7" i="23"/>
  <c r="BE7" i="23"/>
  <c r="BF7" i="23"/>
  <c r="BK7" i="23"/>
  <c r="BG7" i="23"/>
  <c r="BL7" i="23"/>
  <c r="BH7" i="23"/>
  <c r="BM7" i="23"/>
  <c r="BI7" i="23"/>
  <c r="BN7" i="23"/>
  <c r="BJ7" i="23"/>
  <c r="C12" i="23"/>
  <c r="D12" i="23"/>
  <c r="E12" i="23"/>
  <c r="F12" i="23"/>
  <c r="I12" i="23"/>
  <c r="J12" i="23"/>
  <c r="K12" i="23"/>
  <c r="L12" i="23"/>
  <c r="M12" i="23"/>
  <c r="N12" i="23"/>
  <c r="O12" i="23"/>
  <c r="Q12" i="23"/>
  <c r="R12" i="23"/>
  <c r="S12" i="23"/>
  <c r="T12" i="23"/>
  <c r="U12" i="23"/>
  <c r="V12" i="23"/>
  <c r="W12" i="23"/>
  <c r="X12" i="23"/>
  <c r="Y12" i="23"/>
  <c r="Z12" i="23"/>
  <c r="AA12" i="23"/>
  <c r="AB12" i="23"/>
  <c r="AC12" i="23"/>
  <c r="AD12" i="23"/>
  <c r="AF12" i="23"/>
  <c r="AG12" i="23"/>
  <c r="AH12" i="23"/>
  <c r="AI12" i="23"/>
  <c r="AK12" i="23"/>
  <c r="AL12" i="23"/>
  <c r="AM12" i="23"/>
  <c r="AN12" i="23"/>
  <c r="AQ12" i="23"/>
  <c r="AR12" i="23"/>
  <c r="AS12" i="23"/>
  <c r="AU12" i="23"/>
  <c r="AV12" i="23"/>
  <c r="AW12" i="23"/>
  <c r="AX12" i="23"/>
  <c r="BC12" i="23"/>
  <c r="BD12" i="23"/>
  <c r="BE12" i="23"/>
  <c r="BF12" i="23"/>
  <c r="BK12" i="23"/>
  <c r="BG12" i="23"/>
  <c r="BL12" i="23"/>
  <c r="BH12" i="23"/>
  <c r="BM12" i="23"/>
  <c r="BI12" i="23"/>
  <c r="BN12" i="23"/>
  <c r="BJ12" i="23"/>
  <c r="C13" i="23"/>
  <c r="D13" i="23"/>
  <c r="E13" i="23"/>
  <c r="F13" i="23"/>
  <c r="K13" i="23"/>
  <c r="L13" i="23"/>
  <c r="M13" i="23"/>
  <c r="N13" i="23"/>
  <c r="R13" i="23"/>
  <c r="T13" i="23"/>
  <c r="U13" i="23"/>
  <c r="V13" i="23"/>
  <c r="X13" i="23"/>
  <c r="Y13" i="23"/>
  <c r="Z13" i="23"/>
  <c r="AB13" i="23"/>
  <c r="AC13" i="23"/>
  <c r="AD13" i="23"/>
  <c r="AF13" i="23"/>
  <c r="AG13" i="23"/>
  <c r="AH13" i="23"/>
  <c r="AI13" i="23"/>
  <c r="AK13" i="23"/>
  <c r="AL13" i="23"/>
  <c r="AM13" i="23"/>
  <c r="AN13" i="23"/>
  <c r="AQ13" i="23"/>
  <c r="AR13" i="23"/>
  <c r="AS13" i="23"/>
  <c r="AU13" i="23"/>
  <c r="AV13" i="23"/>
  <c r="AW13" i="23"/>
  <c r="BE13" i="23"/>
  <c r="BF13" i="23"/>
  <c r="BG13" i="23"/>
  <c r="BL13" i="23"/>
  <c r="BH13" i="23"/>
  <c r="BM13" i="23"/>
  <c r="BI13" i="23"/>
  <c r="BN13" i="23"/>
  <c r="BJ13" i="23"/>
  <c r="B15" i="55"/>
  <c r="C15" i="55"/>
  <c r="D15" i="55"/>
  <c r="B16" i="55"/>
  <c r="C16" i="55"/>
  <c r="D16" i="55"/>
  <c r="D14" i="55"/>
  <c r="C14" i="55"/>
  <c r="B14" i="55"/>
  <c r="A21" i="55"/>
  <c r="A26" i="55"/>
  <c r="A2" i="3"/>
  <c r="A53" i="55"/>
  <c r="A52" i="55"/>
  <c r="A51" i="55"/>
  <c r="A50" i="55"/>
  <c r="A49" i="55"/>
  <c r="A46" i="55"/>
  <c r="A45" i="55"/>
  <c r="A44" i="55"/>
  <c r="A42" i="55"/>
  <c r="A41" i="55"/>
  <c r="A40" i="55"/>
  <c r="A38" i="55"/>
  <c r="A37" i="55"/>
  <c r="A36" i="55"/>
  <c r="A33" i="55"/>
  <c r="A32" i="55"/>
  <c r="A31" i="55"/>
  <c r="A30" i="55"/>
  <c r="A28" i="55"/>
  <c r="A27" i="55"/>
  <c r="A25" i="55"/>
  <c r="A23" i="55"/>
  <c r="A22" i="55"/>
  <c r="A20" i="55"/>
  <c r="A10" i="55"/>
  <c r="A9" i="55"/>
  <c r="A8" i="55"/>
  <c r="E2" i="53"/>
  <c r="H2" i="52"/>
  <c r="E2" i="52"/>
  <c r="E10" i="49"/>
  <c r="E9" i="49"/>
  <c r="E8" i="49"/>
  <c r="E7" i="49"/>
  <c r="E11" i="49"/>
  <c r="E12" i="49"/>
  <c r="E4" i="49"/>
  <c r="E6" i="49"/>
  <c r="E2" i="49"/>
  <c r="F2" i="3"/>
  <c r="E2" i="3"/>
  <c r="S4" i="56"/>
  <c r="T4" i="56"/>
  <c r="S3" i="56"/>
  <c r="T3" i="56"/>
  <c r="U2" i="56"/>
  <c r="W2" i="56"/>
  <c r="S2" i="56"/>
  <c r="T2" i="56"/>
  <c r="R2" i="56"/>
</calcChain>
</file>

<file path=xl/sharedStrings.xml><?xml version="1.0" encoding="utf-8"?>
<sst xmlns="http://schemas.openxmlformats.org/spreadsheetml/2006/main" count="1242" uniqueCount="470">
  <si>
    <t>color</t>
  </si>
  <si>
    <t>rare</t>
  </si>
  <si>
    <t>max_level</t>
  </si>
  <si>
    <t>cost</t>
  </si>
  <si>
    <t>valid_flg</t>
  </si>
  <si>
    <t>進化前RC6SV</t>
  </si>
  <si>
    <t>進化前MAXレベル</t>
  </si>
  <si>
    <t>Drop1W</t>
  </si>
  <si>
    <t>Drop1N</t>
  </si>
  <si>
    <t>PremiumS</t>
  </si>
  <si>
    <t>ラベル</t>
  </si>
  <si>
    <t>-</t>
  </si>
  <si>
    <t>限定キャラ</t>
  </si>
  <si>
    <t>特殊キャラ</t>
  </si>
  <si>
    <t>強化合成時の取得経験値</t>
  </si>
  <si>
    <t>レアレリティ</t>
  </si>
  <si>
    <t>金額</t>
  </si>
  <si>
    <t>character_id</t>
  </si>
  <si>
    <t>character_type_id</t>
  </si>
  <si>
    <t>drop_label</t>
  </si>
  <si>
    <t>unit_skill_id</t>
  </si>
  <si>
    <t>成長速度名</t>
    <rPh sb="0" eb="4">
      <t>セイチョウソクド</t>
    </rPh>
    <rPh sb="4" eb="5">
      <t>メイ</t>
    </rPh>
    <phoneticPr fontId="10"/>
  </si>
  <si>
    <t>RC6SV</t>
    <phoneticPr fontId="10"/>
  </si>
  <si>
    <t>HP係数</t>
    <rPh sb="2" eb="4">
      <t>ケイスウ</t>
    </rPh>
    <phoneticPr fontId="10"/>
  </si>
  <si>
    <t>攻撃係数</t>
    <rPh sb="0" eb="2">
      <t>コウゲキ</t>
    </rPh>
    <rPh sb="2" eb="4">
      <t>ケイスウ</t>
    </rPh>
    <phoneticPr fontId="10"/>
  </si>
  <si>
    <t>回復係数</t>
    <rPh sb="0" eb="2">
      <t>カイフク</t>
    </rPh>
    <rPh sb="2" eb="4">
      <t>ケイスウ</t>
    </rPh>
    <phoneticPr fontId="10"/>
  </si>
  <si>
    <t>防御係数</t>
    <rPh sb="0" eb="2">
      <t>ボウギョ</t>
    </rPh>
    <rPh sb="2" eb="4">
      <t>ケイスウ</t>
    </rPh>
    <phoneticPr fontId="10"/>
  </si>
  <si>
    <t>特徴</t>
    <rPh sb="0" eb="2">
      <t>トクチョウ</t>
    </rPh>
    <phoneticPr fontId="10"/>
  </si>
  <si>
    <t>訴求軸</t>
    <phoneticPr fontId="10"/>
  </si>
  <si>
    <t>性別</t>
    <phoneticPr fontId="10"/>
  </si>
  <si>
    <t>勢力</t>
    <rPh sb="0" eb="2">
      <t>セイリョク</t>
    </rPh>
    <phoneticPr fontId="10"/>
  </si>
  <si>
    <t>スキルタイプ</t>
    <phoneticPr fontId="10"/>
  </si>
  <si>
    <t>character_main_tribe_id</t>
    <phoneticPr fontId="10"/>
  </si>
  <si>
    <t>character_sub_tribe_id</t>
    <phoneticPr fontId="10"/>
  </si>
  <si>
    <t>調整後</t>
    <rPh sb="0" eb="2">
      <t>チョウセイ</t>
    </rPh>
    <rPh sb="2" eb="3">
      <t>アト</t>
    </rPh>
    <phoneticPr fontId="10"/>
  </si>
  <si>
    <t>使用せず</t>
    <rPh sb="0" eb="2">
      <t>シヨウ</t>
    </rPh>
    <phoneticPr fontId="9"/>
  </si>
  <si>
    <t>material_character_id</t>
  </si>
  <si>
    <t>material_count</t>
  </si>
  <si>
    <t>base_character_id</t>
    <phoneticPr fontId="9"/>
  </si>
  <si>
    <t>awake_price</t>
    <phoneticPr fontId="11"/>
  </si>
  <si>
    <t>name</t>
    <phoneticPr fontId="9"/>
  </si>
  <si>
    <t>name</t>
    <phoneticPr fontId="9"/>
  </si>
  <si>
    <t>rare</t>
    <phoneticPr fontId="9"/>
  </si>
  <si>
    <t>drop_label</t>
    <phoneticPr fontId="9"/>
  </si>
  <si>
    <t>name</t>
    <phoneticPr fontId="10"/>
  </si>
  <si>
    <t>name</t>
    <phoneticPr fontId="10"/>
  </si>
  <si>
    <t>awake_price</t>
    <phoneticPr fontId="10"/>
  </si>
  <si>
    <t>NULL</t>
  </si>
  <si>
    <t>攻撃係数</t>
    <rPh sb="0" eb="2">
      <t>コウゲキ</t>
    </rPh>
    <rPh sb="2" eb="4">
      <t>ケイスウ</t>
    </rPh>
    <phoneticPr fontId="9"/>
  </si>
  <si>
    <t>HP係数</t>
    <rPh sb="2" eb="4">
      <t>ケイスウ</t>
    </rPh>
    <phoneticPr fontId="9"/>
  </si>
  <si>
    <t>防御系数</t>
    <rPh sb="0" eb="4">
      <t>ボウギョケイスウ</t>
    </rPh>
    <phoneticPr fontId="9"/>
  </si>
  <si>
    <t>回復系数</t>
    <rPh sb="0" eb="4">
      <t>カイフクケイスウ</t>
    </rPh>
    <phoneticPr fontId="9"/>
  </si>
  <si>
    <t>name</t>
    <phoneticPr fontId="10"/>
  </si>
  <si>
    <t>name</t>
    <phoneticPr fontId="10"/>
  </si>
  <si>
    <t>HP係数</t>
    <rPh sb="2" eb="4">
      <t>ケイスウ</t>
    </rPh>
    <phoneticPr fontId="10"/>
  </si>
  <si>
    <t>攻撃系数</t>
    <rPh sb="0" eb="4">
      <t>コウゲキケイスウ</t>
    </rPh>
    <phoneticPr fontId="10"/>
  </si>
  <si>
    <t>回復系数</t>
    <rPh sb="0" eb="4">
      <t>カイフクケイスウ</t>
    </rPh>
    <phoneticPr fontId="10"/>
  </si>
  <si>
    <t>base_character_id</t>
    <phoneticPr fontId="11"/>
  </si>
  <si>
    <t>base_character_id</t>
    <phoneticPr fontId="10"/>
  </si>
  <si>
    <t>required_exp_200</t>
  </si>
  <si>
    <t>required_exp_150</t>
  </si>
  <si>
    <t>required_exp_100</t>
  </si>
  <si>
    <t>required_exp_70</t>
  </si>
  <si>
    <t>required_exp_50</t>
  </si>
  <si>
    <t>rare</t>
    <phoneticPr fontId="9"/>
  </si>
  <si>
    <t>base_material_exp</t>
    <phoneticPr fontId="9"/>
  </si>
  <si>
    <t>base_material_exp</t>
    <phoneticPr fontId="10"/>
  </si>
  <si>
    <t>growth_speed</t>
    <phoneticPr fontId="10"/>
  </si>
  <si>
    <t>exp_table</t>
    <phoneticPr fontId="10"/>
  </si>
  <si>
    <t>base_soldprice</t>
    <phoneticPr fontId="10"/>
  </si>
  <si>
    <t>min_hp</t>
    <phoneticPr fontId="10"/>
  </si>
  <si>
    <t>min_attack</t>
    <phoneticPr fontId="10"/>
  </si>
  <si>
    <t>min_defense</t>
    <phoneticPr fontId="10"/>
  </si>
  <si>
    <t>min_heal</t>
    <phoneticPr fontId="10"/>
  </si>
  <si>
    <t>max_hp</t>
    <phoneticPr fontId="10"/>
  </si>
  <si>
    <t>max_defense</t>
    <phoneticPr fontId="10"/>
  </si>
  <si>
    <t>max_heal</t>
    <phoneticPr fontId="10"/>
  </si>
  <si>
    <t>skip</t>
    <phoneticPr fontId="10"/>
  </si>
  <si>
    <t>min_max</t>
    <phoneticPr fontId="10"/>
  </si>
  <si>
    <t>growth_speed</t>
    <phoneticPr fontId="11"/>
  </si>
  <si>
    <t>exp_table</t>
    <phoneticPr fontId="11"/>
  </si>
  <si>
    <t>base_material_exp</t>
    <phoneticPr fontId="11"/>
  </si>
  <si>
    <t>base_soldprice</t>
    <phoneticPr fontId="11"/>
  </si>
  <si>
    <t>skip</t>
    <phoneticPr fontId="11"/>
  </si>
  <si>
    <t>min_max</t>
    <phoneticPr fontId="11"/>
  </si>
  <si>
    <t>level_test</t>
    <phoneticPr fontId="11"/>
  </si>
  <si>
    <t>level_test</t>
    <phoneticPr fontId="9"/>
  </si>
  <si>
    <t>min_hp</t>
  </si>
  <si>
    <t>min_attack</t>
  </si>
  <si>
    <t>min_defense</t>
  </si>
  <si>
    <t>min_heal</t>
  </si>
  <si>
    <t>max_hp</t>
  </si>
  <si>
    <t>max_defense</t>
  </si>
  <si>
    <t>max_heal</t>
  </si>
  <si>
    <t>max_attack</t>
    <phoneticPr fontId="11"/>
  </si>
  <si>
    <t>max_attack</t>
    <phoneticPr fontId="10"/>
  </si>
  <si>
    <t>drop_label</t>
    <phoneticPr fontId="11"/>
  </si>
  <si>
    <t>max_bug</t>
    <phoneticPr fontId="10"/>
  </si>
  <si>
    <t>max_bug</t>
    <phoneticPr fontId="11"/>
  </si>
  <si>
    <t>temp_awake</t>
    <phoneticPr fontId="9"/>
  </si>
  <si>
    <t>awake_character_id</t>
    <phoneticPr fontId="10"/>
  </si>
  <si>
    <t>awake_character_id</t>
    <phoneticPr fontId="11"/>
  </si>
  <si>
    <t>crash_skill_id</t>
    <phoneticPr fontId="10"/>
  </si>
  <si>
    <t>crash_skill_id</t>
    <phoneticPr fontId="11"/>
  </si>
  <si>
    <t>等級</t>
    <rPh sb="0" eb="2">
      <t>トウキュウ</t>
    </rPh>
    <phoneticPr fontId="10"/>
  </si>
  <si>
    <t>Drop2W</t>
    <phoneticPr fontId="9"/>
  </si>
  <si>
    <t>PremiumW</t>
    <phoneticPr fontId="9"/>
  </si>
  <si>
    <t>comment</t>
    <phoneticPr fontId="10"/>
  </si>
  <si>
    <t>character_id</t>
    <phoneticPr fontId="10"/>
  </si>
  <si>
    <t>-</t>
    <phoneticPr fontId="9"/>
  </si>
  <si>
    <t>name</t>
    <phoneticPr fontId="10"/>
  </si>
  <si>
    <t>進化に必要なビット</t>
    <phoneticPr fontId="9"/>
  </si>
  <si>
    <t>売却時のビット価格</t>
    <rPh sb="0" eb="3">
      <t>バイキャクジ</t>
    </rPh>
    <rPh sb="7" eb="9">
      <t>カカク</t>
    </rPh>
    <phoneticPr fontId="9"/>
  </si>
  <si>
    <t>name</t>
    <phoneticPr fontId="10"/>
  </si>
  <si>
    <t>防御係数</t>
    <rPh sb="0" eb="2">
      <t>ボウギョケイスウ</t>
    </rPh>
    <rPh sb="2" eb="4">
      <t>ケイスウ</t>
    </rPh>
    <phoneticPr fontId="10"/>
  </si>
  <si>
    <t>required_exp_250</t>
    <phoneticPr fontId="9"/>
  </si>
  <si>
    <t>接頭語</t>
    <rPh sb="0" eb="3">
      <t>セットウゴ</t>
    </rPh>
    <phoneticPr fontId="22"/>
  </si>
  <si>
    <t>識別子</t>
    <rPh sb="0" eb="3">
      <t>シキベツシ</t>
    </rPh>
    <phoneticPr fontId="22"/>
  </si>
  <si>
    <t>形式</t>
    <rPh sb="0" eb="2">
      <t>ケイシキ</t>
    </rPh>
    <phoneticPr fontId="22"/>
  </si>
  <si>
    <t>出力ファイル名</t>
    <rPh sb="0" eb="2">
      <t>シュツリョク</t>
    </rPh>
    <rPh sb="6" eb="7">
      <t>メイ</t>
    </rPh>
    <phoneticPr fontId="22"/>
  </si>
  <si>
    <t>入力シート名</t>
    <rPh sb="0" eb="2">
      <t>ニュウリョク</t>
    </rPh>
    <rPh sb="5" eb="6">
      <t>メイ</t>
    </rPh>
    <phoneticPr fontId="22"/>
  </si>
  <si>
    <t>出力データ</t>
    <rPh sb="0" eb="2">
      <t>シュツリョク</t>
    </rPh>
    <phoneticPr fontId="22"/>
  </si>
  <si>
    <t>units</t>
  </si>
  <si>
    <t>awake_materials</t>
  </si>
  <si>
    <t>units</t>
    <phoneticPr fontId="22"/>
  </si>
  <si>
    <t>出力flg</t>
    <rPh sb="0" eb="2">
      <t>シュツリョク</t>
    </rPh>
    <phoneticPr fontId="22"/>
  </si>
  <si>
    <t>material_bug</t>
    <phoneticPr fontId="22"/>
  </si>
  <si>
    <t>material_bug</t>
    <phoneticPr fontId="9"/>
  </si>
  <si>
    <t>.tmp</t>
    <phoneticPr fontId="22"/>
  </si>
  <si>
    <t>units_</t>
    <phoneticPr fontId="22"/>
  </si>
  <si>
    <t>awake_materials_</t>
    <phoneticPr fontId="22"/>
  </si>
  <si>
    <t>unit_levels_calc_</t>
    <phoneticPr fontId="22"/>
  </si>
  <si>
    <t>.tmp</t>
    <phoneticPr fontId="22"/>
  </si>
  <si>
    <t>serif_type</t>
  </si>
  <si>
    <t>language</t>
    <phoneticPr fontId="22"/>
  </si>
  <si>
    <t>unit_serifs_data_</t>
    <phoneticPr fontId="22"/>
  </si>
  <si>
    <t>unit_serifs_i18n_</t>
    <phoneticPr fontId="22"/>
  </si>
  <si>
    <t>unit_serifs</t>
    <phoneticPr fontId="22"/>
  </si>
  <si>
    <t>character_id</t>
    <phoneticPr fontId="22"/>
  </si>
  <si>
    <t>serif_id</t>
    <phoneticPr fontId="22"/>
  </si>
  <si>
    <t>serif_id</t>
    <phoneticPr fontId="22"/>
  </si>
  <si>
    <t>language</t>
    <phoneticPr fontId="22"/>
  </si>
  <si>
    <t>serif</t>
    <phoneticPr fontId="22"/>
  </si>
  <si>
    <t>unit_skills_data_</t>
    <phoneticPr fontId="22"/>
  </si>
  <si>
    <t>.tmp</t>
    <phoneticPr fontId="22"/>
  </si>
  <si>
    <t>unit_skills</t>
  </si>
  <si>
    <t>skill_cost</t>
  </si>
  <si>
    <t>skill_up_pattern_id</t>
  </si>
  <si>
    <t>effect_param</t>
  </si>
  <si>
    <t>unit_skills_i18n_</t>
    <phoneticPr fontId="22"/>
  </si>
  <si>
    <t>unit_skill_id</t>
    <phoneticPr fontId="22"/>
  </si>
  <si>
    <t>name</t>
    <phoneticPr fontId="22"/>
  </si>
  <si>
    <t>comment</t>
    <phoneticPr fontId="22"/>
  </si>
  <si>
    <t>crash_skills_data_</t>
    <phoneticPr fontId="22"/>
  </si>
  <si>
    <t>.tmp</t>
    <phoneticPr fontId="22"/>
  </si>
  <si>
    <t>crash_skills</t>
  </si>
  <si>
    <t>crash_skill_id</t>
    <phoneticPr fontId="22"/>
  </si>
  <si>
    <t>crash_skills_i18n_</t>
    <phoneticPr fontId="22"/>
  </si>
  <si>
    <t>.tmp</t>
    <phoneticPr fontId="22"/>
  </si>
  <si>
    <t>crash_skill_id</t>
    <phoneticPr fontId="22"/>
  </si>
  <si>
    <t>language</t>
  </si>
  <si>
    <t>name</t>
  </si>
  <si>
    <t>comment</t>
  </si>
  <si>
    <t>comment</t>
    <phoneticPr fontId="9"/>
  </si>
  <si>
    <t>文字数</t>
    <rPh sb="0" eb="3">
      <t>モj</t>
    </rPh>
    <phoneticPr fontId="22"/>
  </si>
  <si>
    <t>skill_up_pattern_id</t>
    <phoneticPr fontId="22"/>
  </si>
  <si>
    <t>effect_param</t>
    <phoneticPr fontId="9"/>
  </si>
  <si>
    <t>ダメージ</t>
    <phoneticPr fontId="9"/>
  </si>
  <si>
    <t>回復</t>
    <rPh sb="0" eb="2">
      <t>カイフク</t>
    </rPh>
    <phoneticPr fontId="9"/>
  </si>
  <si>
    <t>バフ</t>
    <phoneticPr fontId="9"/>
  </si>
  <si>
    <t>デバフ</t>
    <phoneticPr fontId="9"/>
  </si>
  <si>
    <t>パズル</t>
    <phoneticPr fontId="9"/>
  </si>
  <si>
    <t>その他</t>
    <rPh sb="2" eb="3">
      <t>タ</t>
    </rPh>
    <phoneticPr fontId="9"/>
  </si>
  <si>
    <t>分類2</t>
    <rPh sb="0" eb="2">
      <t>ブンルイ</t>
    </rPh>
    <phoneticPr fontId="9"/>
  </si>
  <si>
    <t>等級</t>
    <rPh sb="0" eb="2">
      <t>トウキュウ</t>
    </rPh>
    <phoneticPr fontId="9"/>
  </si>
  <si>
    <t>分類</t>
    <rPh sb="0" eb="2">
      <t>ブンルイ</t>
    </rPh>
    <phoneticPr fontId="9"/>
  </si>
  <si>
    <t>valid_flg</t>
    <phoneticPr fontId="9"/>
  </si>
  <si>
    <t>effect_param</t>
    <phoneticPr fontId="9"/>
  </si>
  <si>
    <t>文字数チェック</t>
    <rPh sb="0" eb="7">
      <t>モジスウty</t>
    </rPh>
    <phoneticPr fontId="22"/>
  </si>
  <si>
    <t>comment</t>
    <phoneticPr fontId="9"/>
  </si>
  <si>
    <t>name</t>
    <phoneticPr fontId="9"/>
  </si>
  <si>
    <t>language</t>
    <phoneticPr fontId="22"/>
  </si>
  <si>
    <t>crash_skill_id</t>
    <phoneticPr fontId="9"/>
  </si>
  <si>
    <t>NULL</t>
    <phoneticPr fontId="9"/>
  </si>
  <si>
    <t>対象ユニット</t>
    <rPh sb="0" eb="6">
      <t>タイショ</t>
    </rPh>
    <phoneticPr fontId="22"/>
  </si>
  <si>
    <t>ja</t>
    <phoneticPr fontId="22"/>
  </si>
  <si>
    <t>3ターンの間体力タイプの攻撃力と防御力を大UP+自身の最大HPで攻撃</t>
    <rPh sb="5" eb="6">
      <t>ア</t>
    </rPh>
    <rPh sb="6" eb="8">
      <t>タイリョk</t>
    </rPh>
    <rPh sb="12" eb="15">
      <t>コウゲk</t>
    </rPh>
    <rPh sb="16" eb="19">
      <t>ボ</t>
    </rPh>
    <rPh sb="20" eb="21">
      <t>ダ</t>
    </rPh>
    <rPh sb="24" eb="26">
      <t>ジシン</t>
    </rPh>
    <rPh sb="27" eb="29">
      <t>サイダイ</t>
    </rPh>
    <rPh sb="32" eb="34">
      <t>コウゲk</t>
    </rPh>
    <phoneticPr fontId="22"/>
  </si>
  <si>
    <t>ja</t>
    <phoneticPr fontId="22"/>
  </si>
  <si>
    <t>character_id</t>
    <phoneticPr fontId="22"/>
  </si>
  <si>
    <t>name</t>
    <phoneticPr fontId="22"/>
  </si>
  <si>
    <t>serif_type</t>
    <phoneticPr fontId="22"/>
  </si>
  <si>
    <t>frame_type</t>
  </si>
  <si>
    <t>temp</t>
    <phoneticPr fontId="22"/>
  </si>
  <si>
    <t>serif_id</t>
    <phoneticPr fontId="22"/>
  </si>
  <si>
    <t>language</t>
    <phoneticPr fontId="22"/>
  </si>
  <si>
    <t>serif</t>
    <phoneticPr fontId="22"/>
  </si>
  <si>
    <t>skill</t>
  </si>
  <si>
    <t>ja</t>
    <phoneticPr fontId="22"/>
  </si>
  <si>
    <t>cskill</t>
  </si>
  <si>
    <t>R3</t>
  </si>
  <si>
    <t>R4</t>
  </si>
  <si>
    <t>R5</t>
  </si>
  <si>
    <t>ユニット名</t>
  </si>
  <si>
    <t>スキル</t>
  </si>
  <si>
    <t>Cスキル</t>
  </si>
  <si>
    <t>覚醒素材</t>
  </si>
  <si>
    <t>PremiumW</t>
    <phoneticPr fontId="9"/>
  </si>
  <si>
    <t>PremiumL</t>
    <phoneticPr fontId="9"/>
  </si>
  <si>
    <t>PremiumSSS</t>
    <phoneticPr fontId="9"/>
  </si>
  <si>
    <t>PremiumSS</t>
    <phoneticPr fontId="9"/>
  </si>
  <si>
    <t>PremiumN</t>
    <phoneticPr fontId="9"/>
  </si>
  <si>
    <t>Drop2S</t>
    <phoneticPr fontId="9"/>
  </si>
  <si>
    <t>Drop2N</t>
    <phoneticPr fontId="9"/>
  </si>
  <si>
    <t>Drop1S</t>
    <phoneticPr fontId="9"/>
  </si>
  <si>
    <t>Drop1T</t>
    <phoneticPr fontId="9"/>
  </si>
  <si>
    <t>Material</t>
    <phoneticPr fontId="9"/>
  </si>
  <si>
    <t>-</t>
    <phoneticPr fontId="9"/>
  </si>
  <si>
    <t>-</t>
    <phoneticPr fontId="9"/>
  </si>
  <si>
    <t>required_exp_300</t>
    <phoneticPr fontId="9"/>
  </si>
  <si>
    <t>-</t>
    <phoneticPr fontId="9"/>
  </si>
  <si>
    <t>required_exp_250</t>
    <phoneticPr fontId="9"/>
  </si>
  <si>
    <t>ステータス</t>
    <phoneticPr fontId="22"/>
  </si>
  <si>
    <t>R5</t>
    <phoneticPr fontId="22"/>
  </si>
  <si>
    <t>R3</t>
    <phoneticPr fontId="22"/>
  </si>
  <si>
    <t>R4</t>
    <phoneticPr fontId="22"/>
  </si>
  <si>
    <t>HP</t>
    <phoneticPr fontId="22"/>
  </si>
  <si>
    <t>Attack</t>
    <phoneticPr fontId="22"/>
  </si>
  <si>
    <t>Heal</t>
    <phoneticPr fontId="22"/>
  </si>
  <si>
    <t>DropWizSSS</t>
    <phoneticPr fontId="9"/>
  </si>
  <si>
    <t>DropWizSS</t>
    <phoneticPr fontId="9"/>
  </si>
  <si>
    <t>required_exp_250</t>
    <phoneticPr fontId="9"/>
  </si>
  <si>
    <t>DropWizS</t>
    <phoneticPr fontId="9"/>
  </si>
  <si>
    <t>DropWizN</t>
    <phoneticPr fontId="9"/>
  </si>
  <si>
    <t>DropWizW</t>
    <phoneticPr fontId="9"/>
  </si>
  <si>
    <t>ラベル/レアリティ</t>
    <phoneticPr fontId="9"/>
  </si>
  <si>
    <t>DropWizSSS</t>
    <phoneticPr fontId="9"/>
  </si>
  <si>
    <t>-</t>
    <phoneticPr fontId="9"/>
  </si>
  <si>
    <t>DropWizSS</t>
    <phoneticPr fontId="9"/>
  </si>
  <si>
    <t>DropWizS</t>
    <phoneticPr fontId="9"/>
  </si>
  <si>
    <t>DropWizN</t>
    <phoneticPr fontId="9"/>
  </si>
  <si>
    <t>DropWizW</t>
    <phoneticPr fontId="9"/>
  </si>
  <si>
    <t>PremiumL</t>
    <phoneticPr fontId="9"/>
  </si>
  <si>
    <t>PremiumSSS</t>
    <phoneticPr fontId="9"/>
  </si>
  <si>
    <t>PremiumSS</t>
    <phoneticPr fontId="9"/>
  </si>
  <si>
    <t>PremiumN</t>
    <phoneticPr fontId="9"/>
  </si>
  <si>
    <t>PremiumW</t>
    <phoneticPr fontId="9"/>
  </si>
  <si>
    <t>Drop2S</t>
    <phoneticPr fontId="9"/>
  </si>
  <si>
    <t>Drop2N</t>
    <phoneticPr fontId="9"/>
  </si>
  <si>
    <t>Drop2W</t>
    <phoneticPr fontId="9"/>
  </si>
  <si>
    <t>Drop1S</t>
    <phoneticPr fontId="9"/>
  </si>
  <si>
    <t>Drop1T</t>
    <phoneticPr fontId="9"/>
  </si>
  <si>
    <t>Material</t>
    <phoneticPr fontId="9"/>
  </si>
  <si>
    <t>required_exp_300</t>
    <phoneticPr fontId="9"/>
  </si>
  <si>
    <t>[effect:enhance_unit, target:unit_hp, turn:4, status:attack, val:0.25, calc:add, animation:enhance_unit_all_attack04],</t>
  </si>
  <si>
    <t>ranking01</t>
    <phoneticPr fontId="22"/>
  </si>
  <si>
    <t>old</t>
    <phoneticPr fontId="22"/>
  </si>
  <si>
    <t>SCパネル(特大)を1つ生成+3ターン攻撃力特大UP</t>
    <rPh sb="6" eb="8">
      <t>トクダ</t>
    </rPh>
    <rPh sb="12" eb="14">
      <t>セイセ</t>
    </rPh>
    <rPh sb="19" eb="22">
      <t>コウゲk</t>
    </rPh>
    <rPh sb="22" eb="24">
      <t>トクダ</t>
    </rPh>
    <phoneticPr fontId="22"/>
  </si>
  <si>
    <t>1体に特大ダメージを与え、与えたダメージの30%でHP回復</t>
    <rPh sb="1" eb="2">
      <t>タ</t>
    </rPh>
    <rPh sb="3" eb="4">
      <t>トk</t>
    </rPh>
    <rPh sb="4" eb="5">
      <t>チョ</t>
    </rPh>
    <rPh sb="10" eb="11">
      <t>アタ</t>
    </rPh>
    <rPh sb="13" eb="14">
      <t>アタエt</t>
    </rPh>
    <rPh sb="27" eb="29">
      <t>カ</t>
    </rPh>
    <phoneticPr fontId="22"/>
  </si>
  <si>
    <t xml:space="preserve">[effect:damage_absorb, target:enemy_one, color:red, val:8.16, heal_ratio:0.3, animation:damage_one_red05]    </t>
    <phoneticPr fontId="22"/>
  </si>
  <si>
    <t>1体に特大ダメージ</t>
    <rPh sb="1" eb="2">
      <t>タ</t>
    </rPh>
    <phoneticPr fontId="22"/>
  </si>
  <si>
    <t>1体に特大ダメージ</t>
    <rPh sb="1" eb="2">
      <t>タ</t>
    </rPh>
    <rPh sb="3" eb="5">
      <t>トk</t>
    </rPh>
    <phoneticPr fontId="22"/>
  </si>
  <si>
    <t>1体に超大ダメージ</t>
    <rPh sb="1" eb="2">
      <t>タイn</t>
    </rPh>
    <rPh sb="3" eb="5">
      <t>チョ</t>
    </rPh>
    <phoneticPr fontId="22"/>
  </si>
  <si>
    <t>[effect:damage, target:enemy_one, color:red, val:2.0, animation:damage_one_red05]</t>
    <phoneticPr fontId="22"/>
  </si>
  <si>
    <t>[effect:damage, target:enemy_one, color:red, val:2.25, animation:damage_one_red05]</t>
    <phoneticPr fontId="22"/>
  </si>
  <si>
    <t>[effect:damage, target:enemy_one, color:green, val:2.25, animation:damage_one_green05]</t>
    <phoneticPr fontId="22"/>
  </si>
  <si>
    <t>[effect:damage, target:enemy_one, color:green, val:2.5, animation:damage_one_green05]</t>
    <phoneticPr fontId="22"/>
  </si>
  <si>
    <t>[effect:damage, target:enemy_all, color:blue, val:0.675, animation:damage_all_blue04],[effect:damage, target:enemy_one, color:blue, val:1.4, animation:damage_one_blue04]</t>
    <phoneticPr fontId="22"/>
  </si>
  <si>
    <t>単体に大ダメージ+
全体に大ダメージ</t>
    <rPh sb="0" eb="2">
      <t>タンタ</t>
    </rPh>
    <phoneticPr fontId="22"/>
  </si>
  <si>
    <t xml:space="preserve">[effect:drop_block, block_type:crash, color:block_all, val:8, rate:0.23, turn:1, animation:crash_influence04],[effect:force_change_block, new_block:block_blue, target:block_red, ignore:crash, ignore02:crack_bomb, color:block_blue, count:0, val:8, animation:change_block],[effect:force_change_block, new_block:block_blue, target:block_green, ignore:crash, ignore02:crack_bomb, color:block_green, count:0, val:8, animation:change_block]      </t>
    <phoneticPr fontId="22"/>
  </si>
  <si>
    <t xml:space="preserve">[effect:drop_block, block_type:crash, color:block_all, val:8, rate:0.23, turn:1, animation:crash_influence04],[effect:force_change_block, new_block:block_blue, target:block_green, ignore:crash, ignore02:crack_bomb, color:block_green, count:0, val:8, animation:change_block]      </t>
    <phoneticPr fontId="22"/>
  </si>
  <si>
    <t>緑パネルを青パネルに変換+1ターン確率で先頭のユニットのCパネルをドロップ</t>
    <rPh sb="17" eb="19">
      <t>カクリt</t>
    </rPh>
    <phoneticPr fontId="22"/>
  </si>
  <si>
    <t>緑・赤パネルを青パネルに変換+1ターン確率で先頭のユニットのCパネルをドロップ</t>
    <rPh sb="19" eb="21">
      <t>カクリt</t>
    </rPh>
    <phoneticPr fontId="22"/>
  </si>
  <si>
    <t>外道の精彩</t>
    <rPh sb="0" eb="2">
      <t>ゲドウ</t>
    </rPh>
    <rPh sb="3" eb="5">
      <t>セイサイ</t>
    </rPh>
    <phoneticPr fontId="22"/>
  </si>
  <si>
    <t>外道の極彩</t>
    <rPh sb="0" eb="2">
      <t>ゲドウ</t>
    </rPh>
    <rPh sb="3" eb="5">
      <t>ky</t>
    </rPh>
    <phoneticPr fontId="22"/>
  </si>
  <si>
    <t>正道の即断</t>
    <rPh sb="0" eb="2">
      <t>セイドウ</t>
    </rPh>
    <rPh sb="3" eb="4">
      <t>ソクダン</t>
    </rPh>
    <rPh sb="4" eb="5">
      <t>ソクダン</t>
    </rPh>
    <phoneticPr fontId="22"/>
  </si>
  <si>
    <t>正道の結断</t>
    <rPh sb="0" eb="2">
      <t>セイドウ</t>
    </rPh>
    <rPh sb="3" eb="4">
      <t>Ketu</t>
    </rPh>
    <rPh sb="4" eb="5">
      <t>ダン</t>
    </rPh>
    <phoneticPr fontId="22"/>
  </si>
  <si>
    <t>八つの大罪</t>
    <rPh sb="0" eb="1">
      <t>8</t>
    </rPh>
    <rPh sb="3" eb="5">
      <t>タイザイ</t>
    </rPh>
    <phoneticPr fontId="22"/>
  </si>
  <si>
    <t>八つの厄災</t>
    <rPh sb="0" eb="1">
      <t>8</t>
    </rPh>
    <rPh sb="3" eb="5">
      <t>ヤクサイ</t>
    </rPh>
    <phoneticPr fontId="22"/>
  </si>
  <si>
    <t>サディスティック・トゥース</t>
    <phoneticPr fontId="22"/>
  </si>
  <si>
    <t>バイオレント・トゥース</t>
    <phoneticPr fontId="22"/>
  </si>
  <si>
    <t>ノーブル・フォース</t>
    <phoneticPr fontId="22"/>
  </si>
  <si>
    <t>スプリーム・フォース</t>
    <phoneticPr fontId="22"/>
  </si>
  <si>
    <t>リヴァイヴァル・オブ・オロチ</t>
    <phoneticPr fontId="22"/>
  </si>
  <si>
    <t>giza</t>
    <phoneticPr fontId="22"/>
  </si>
  <si>
    <t>今日は血が見てぇんだよ！</t>
    <rPh sb="0" eb="2">
      <t>キョウ</t>
    </rPh>
    <rPh sb="3" eb="4">
      <t>チ</t>
    </rPh>
    <rPh sb="5" eb="6">
      <t>ミ</t>
    </rPh>
    <phoneticPr fontId="22"/>
  </si>
  <si>
    <t>挽き肉にしてやんぜッ！</t>
    <rPh sb="0" eb="3">
      <t>ヒキニク</t>
    </rPh>
    <phoneticPr fontId="22"/>
  </si>
  <si>
    <t>maru</t>
    <phoneticPr fontId="22"/>
  </si>
  <si>
    <t>理性が足りないようだな…</t>
    <rPh sb="0" eb="2">
      <t>リセイ</t>
    </rPh>
    <rPh sb="3" eb="4">
      <t>タ</t>
    </rPh>
    <phoneticPr fontId="22"/>
  </si>
  <si>
    <t>これが私の至高の一閃…！</t>
    <rPh sb="3" eb="4">
      <t>ワタシ</t>
    </rPh>
    <rPh sb="5" eb="7">
      <t>シコウ</t>
    </rPh>
    <rPh sb="8" eb="10">
      <t>イッセン</t>
    </rPh>
    <phoneticPr fontId="22"/>
  </si>
  <si>
    <t>maru</t>
    <phoneticPr fontId="22"/>
  </si>
  <si>
    <t>…全部償ってもらうわよ？</t>
    <rPh sb="1" eb="3">
      <t>ゼンブ</t>
    </rPh>
    <rPh sb="3" eb="4">
      <t>ツグナ</t>
    </rPh>
    <phoneticPr fontId="22"/>
  </si>
  <si>
    <t>何度でも蘇り！滅ぼす！！</t>
    <rPh sb="0" eb="2">
      <t>ナンド</t>
    </rPh>
    <rPh sb="4" eb="5">
      <t>ヨミガエ</t>
    </rPh>
    <rPh sb="7" eb="8">
      <t>ホロ</t>
    </rPh>
    <phoneticPr fontId="22"/>
  </si>
  <si>
    <t>kumo</t>
    <phoneticPr fontId="22"/>
  </si>
  <si>
    <t>力とは責任なのだ…！</t>
    <rPh sb="0" eb="1">
      <t>チカラ</t>
    </rPh>
    <rPh sb="3" eb="5">
      <t>セキニン</t>
    </rPh>
    <phoneticPr fontId="22"/>
  </si>
  <si>
    <t>戦いの美学を見せよう</t>
    <rPh sb="0" eb="1">
      <t>タタカ</t>
    </rPh>
    <rPh sb="3" eb="5">
      <t>ビガク</t>
    </rPh>
    <rPh sb="6" eb="7">
      <t>ミ</t>
    </rPh>
    <phoneticPr fontId="22"/>
  </si>
  <si>
    <t>品性無き者は去れ！</t>
    <rPh sb="0" eb="2">
      <t>ヒンセイ</t>
    </rPh>
    <rPh sb="2" eb="3">
      <t>ナ</t>
    </rPh>
    <rPh sb="4" eb="5">
      <t>モノ</t>
    </rPh>
    <rPh sb="6" eb="7">
      <t>サ</t>
    </rPh>
    <phoneticPr fontId="22"/>
  </si>
  <si>
    <t>芸術的な痛みだろォ？</t>
    <rPh sb="0" eb="3">
      <t>ゲイジュツテキ</t>
    </rPh>
    <rPh sb="4" eb="5">
      <t>イタ</t>
    </rPh>
    <phoneticPr fontId="22"/>
  </si>
  <si>
    <t>ビビってんなお前ェ？</t>
    <rPh sb="7" eb="8">
      <t>マエ</t>
    </rPh>
    <phoneticPr fontId="22"/>
  </si>
  <si>
    <t>簡単には終わらせねェ</t>
    <rPh sb="0" eb="2">
      <t>カンタン</t>
    </rPh>
    <rPh sb="4" eb="5">
      <t>オ</t>
    </rPh>
    <phoneticPr fontId="22"/>
  </si>
  <si>
    <t>命乞いしやがれェ！！</t>
    <rPh sb="0" eb="2">
      <t>イノチゴ</t>
    </rPh>
    <phoneticPr fontId="22"/>
  </si>
  <si>
    <t>kumo</t>
    <phoneticPr fontId="22"/>
  </si>
  <si>
    <t>相手するのも不快だ！</t>
    <rPh sb="0" eb="2">
      <t>アイテ</t>
    </rPh>
    <rPh sb="6" eb="8">
      <t>フカイ</t>
    </rPh>
    <phoneticPr fontId="22"/>
  </si>
  <si>
    <t>良い目覚めだわ…！</t>
    <rPh sb="0" eb="1">
      <t>イ</t>
    </rPh>
    <rPh sb="2" eb="4">
      <t>メザ</t>
    </rPh>
    <phoneticPr fontId="22"/>
  </si>
  <si>
    <t>苛立ってるのよ、少し</t>
    <rPh sb="0" eb="2">
      <t>イラダ</t>
    </rPh>
    <rPh sb="8" eb="9">
      <t>スコ</t>
    </rPh>
    <phoneticPr fontId="22"/>
  </si>
  <si>
    <t>逃げきれるかしら！？</t>
    <rPh sb="0" eb="1">
      <t>ニ</t>
    </rPh>
    <phoneticPr fontId="22"/>
  </si>
  <si>
    <t>私に斬れぬ物はない！</t>
    <rPh sb="0" eb="1">
      <t>ワタシ</t>
    </rPh>
    <rPh sb="2" eb="3">
      <t>キ</t>
    </rPh>
    <rPh sb="5" eb="6">
      <t>モノ</t>
    </rPh>
    <phoneticPr fontId="22"/>
  </si>
  <si>
    <t>[effect:special_block,val:36, count:1, animation:change_block],[effect:enhance_unit, target:unit_all, turn:3, status:attack, val:0.28, calc:mul, animation:enhance_unit_all_attack03]</t>
    <phoneticPr fontId="22"/>
  </si>
  <si>
    <t>_</t>
    <phoneticPr fontId="22"/>
  </si>
  <si>
    <t>character_id</t>
    <phoneticPr fontId="9"/>
  </si>
  <si>
    <t>特徴</t>
    <rPh sb="0" eb="2">
      <t>トクチョウ</t>
    </rPh>
    <phoneticPr fontId="9"/>
  </si>
  <si>
    <t>勢力</t>
    <rPh sb="0" eb="2">
      <t>セイリョク</t>
    </rPh>
    <phoneticPr fontId="9"/>
  </si>
  <si>
    <t>訴求軸</t>
    <phoneticPr fontId="9"/>
  </si>
  <si>
    <t>性別</t>
    <phoneticPr fontId="9"/>
  </si>
  <si>
    <t>character_sub_tribe_id</t>
    <phoneticPr fontId="9"/>
  </si>
  <si>
    <t>防御係数</t>
    <rPh sb="0" eb="2">
      <t>ボウギョ</t>
    </rPh>
    <rPh sb="2" eb="4">
      <t>ケイスウ</t>
    </rPh>
    <phoneticPr fontId="9"/>
  </si>
  <si>
    <t>回復係数</t>
    <rPh sb="0" eb="2">
      <t>カイフク</t>
    </rPh>
    <rPh sb="2" eb="4">
      <t>ケイスウ</t>
    </rPh>
    <phoneticPr fontId="9"/>
  </si>
  <si>
    <t>awake_type</t>
    <phoneticPr fontId="9"/>
  </si>
  <si>
    <t>awake_character_id</t>
    <phoneticPr fontId="9"/>
  </si>
  <si>
    <t>name</t>
    <phoneticPr fontId="9"/>
  </si>
  <si>
    <t>awake_cost</t>
    <phoneticPr fontId="9"/>
  </si>
  <si>
    <t>normal</t>
    <phoneticPr fontId="9"/>
  </si>
  <si>
    <t>priority</t>
    <phoneticPr fontId="9"/>
  </si>
  <si>
    <t>fork_awake_units</t>
    <phoneticPr fontId="22"/>
  </si>
  <si>
    <t>fork_awake_units_</t>
    <phoneticPr fontId="22"/>
  </si>
  <si>
    <t>character_id</t>
    <phoneticPr fontId="22"/>
  </si>
  <si>
    <t>awake_character_id</t>
    <phoneticPr fontId="22"/>
  </si>
  <si>
    <t>awake_cost</t>
    <phoneticPr fontId="22"/>
  </si>
  <si>
    <t>awake_type</t>
    <phoneticPr fontId="22"/>
  </si>
  <si>
    <t>fork_awake_materials_</t>
    <phoneticPr fontId="22"/>
  </si>
  <si>
    <t>material_character_id</t>
    <phoneticPr fontId="22"/>
  </si>
  <si>
    <t>priority</t>
    <phoneticPr fontId="22"/>
  </si>
  <si>
    <t>character_id</t>
    <phoneticPr fontId="22"/>
  </si>
  <si>
    <t>名前</t>
    <rPh sb="0" eb="2">
      <t>ナマ</t>
    </rPh>
    <phoneticPr fontId="22"/>
  </si>
  <si>
    <t>ability_slot</t>
    <phoneticPr fontId="22"/>
  </si>
  <si>
    <t>ability_id</t>
    <phoneticPr fontId="9"/>
  </si>
  <si>
    <t>　アビリティ名</t>
    <phoneticPr fontId="22"/>
  </si>
  <si>
    <t>効果</t>
    <rPh sb="0" eb="2">
      <t>コウk</t>
    </rPh>
    <phoneticPr fontId="22"/>
  </si>
  <si>
    <t>unlock_type</t>
    <phoneticPr fontId="9"/>
  </si>
  <si>
    <t>unlock_value</t>
    <phoneticPr fontId="22"/>
  </si>
  <si>
    <t>bug</t>
    <phoneticPr fontId="22"/>
  </si>
  <si>
    <t>1</t>
    <phoneticPr fontId="22"/>
  </si>
  <si>
    <t>ability_id</t>
    <phoneticPr fontId="22"/>
  </si>
  <si>
    <t>ability_param</t>
    <phoneticPr fontId="22"/>
  </si>
  <si>
    <t>valid_flg</t>
    <phoneticPr fontId="22"/>
  </si>
  <si>
    <t>valid_flg</t>
    <phoneticPr fontId="22"/>
  </si>
  <si>
    <t>自身が先頭の時、1タップでも16チェインした時に攻撃力をUP</t>
    <phoneticPr fontId="22"/>
  </si>
  <si>
    <t xml:space="preserve">{"ver":1.7,"type":"ability","effects":"[effect:enhance_unit, target:myself, turn:1, status:attack, val:0.2, calc:mul, animation:enhance_unit_all_attack04]","conditions":"[condition:enclose,[condition:active_unit],[condition:panel_chain,count:16],logic:and]","priority":1} </t>
    <phoneticPr fontId="22"/>
  </si>
  <si>
    <t>old</t>
    <phoneticPr fontId="22"/>
  </si>
  <si>
    <t>abilities_tmp_</t>
    <phoneticPr fontId="22"/>
  </si>
  <si>
    <t>abilities</t>
    <phoneticPr fontId="22"/>
  </si>
  <si>
    <t>abilities_i18n_</t>
    <phoneticPr fontId="22"/>
  </si>
  <si>
    <t>comment</t>
    <phoneticPr fontId="22"/>
  </si>
  <si>
    <t>unit_abilities_</t>
    <phoneticPr fontId="22"/>
  </si>
  <si>
    <t>unit_abilities</t>
    <phoneticPr fontId="22"/>
  </si>
  <si>
    <t>ability_slot</t>
    <phoneticPr fontId="22"/>
  </si>
  <si>
    <t>ability_id</t>
    <phoneticPr fontId="9"/>
  </si>
  <si>
    <t>unlock_type</t>
    <phoneticPr fontId="9"/>
  </si>
  <si>
    <t>unlock_value</t>
    <phoneticPr fontId="22"/>
  </si>
  <si>
    <t>ゲイボルグのアビリティ</t>
    <phoneticPr fontId="22"/>
  </si>
  <si>
    <t>グングニルのアビリティ</t>
    <phoneticPr fontId="22"/>
  </si>
  <si>
    <t>トライデントのアビリティ</t>
    <phoneticPr fontId="22"/>
  </si>
  <si>
    <t>グングニルのアビリティ2</t>
    <phoneticPr fontId="22"/>
  </si>
  <si>
    <t>1体に大ダメージ</t>
    <rPh sb="3" eb="4">
      <t>ダ</t>
    </rPh>
    <phoneticPr fontId="22"/>
  </si>
  <si>
    <t xml:space="preserve">{"ver":1.7,"type":"ability","effects":"[effect:enhance_unit, target:myself, turn:1, status:attack, val:0.2, calc:mul, animation:enhance_unit_all_attack04]","conditions":"[condition:enclose,[condition:active_unit],[condition:panel_chain,count:16],logic:and]","priority":1} </t>
    <phoneticPr fontId="22"/>
  </si>
  <si>
    <t>自身が先頭の時、1タップでも6チェインした時に攻撃力をUP</t>
    <phoneticPr fontId="22"/>
  </si>
  <si>
    <t>HPが70％以下で6チェインした時、4000回復</t>
    <phoneticPr fontId="22"/>
  </si>
  <si>
    <t>自身が先頭の時、爆風を強化する</t>
    <phoneticPr fontId="22"/>
  </si>
  <si>
    <t>グングニルのアビリティ3</t>
    <phoneticPr fontId="22"/>
  </si>
  <si>
    <t>自身が攻撃する対象の種族がゴッドか、マシンの場合全ての攻撃の威力をUP</t>
    <phoneticPr fontId="22"/>
  </si>
  <si>
    <t xml:space="preserve">{"ver":1.7,"type":"ability","effects":"[effect:enhance_unit, target:myself, turn:1, status:attack, val:0.2, calc:mul, animation:enhance_unit_all_attack04]","conditions":"[condition:enclose,[condition:active_unit],[condition:panel_chain,count:16],logic:and]","priority":1} </t>
    <phoneticPr fontId="22"/>
  </si>
  <si>
    <t xml:space="preserve">{"ver":1.7,"type":"ability","effects":"[effect:enhance_unit, target:myself, turn:1, status:attack, val:0.2, calc:mul, animation:enhance_unit_all_attack04]","conditions":"[condition:enclose,[condition:active_unit],[condition:panel_chain,count:16],logic:and]","priority":1} </t>
    <phoneticPr fontId="22"/>
  </si>
  <si>
    <t>language</t>
    <phoneticPr fontId="22"/>
  </si>
  <si>
    <t>ver</t>
    <phoneticPr fontId="22"/>
  </si>
  <si>
    <t>conditions</t>
    <phoneticPr fontId="22"/>
  </si>
  <si>
    <t>effects</t>
    <phoneticPr fontId="22"/>
  </si>
  <si>
    <t>ja</t>
    <phoneticPr fontId="22"/>
  </si>
  <si>
    <t>1.7.0</t>
    <phoneticPr fontId="22"/>
  </si>
  <si>
    <t>[effect:enhance_unit, target:myself, turn:1, status:attack, val:0.2, calc:mul, animation:enhance_unit_all_attack03]</t>
    <phoneticPr fontId="22"/>
  </si>
  <si>
    <t>[effect:change_bomb_range, turn:-1, val:2, rate:1, animation:bomb_small]</t>
    <phoneticPr fontId="22"/>
  </si>
  <si>
    <t xml:space="preserve">{"ver":"1.7.0","type":"ability","effects":"[effect:change_bomb_range, turn:-1, val:2, rate:1, animation:bomb_small]","conditions":"[condition:active_unit] ","priority":1}    </t>
    <phoneticPr fontId="22"/>
  </si>
  <si>
    <t xml:space="preserve">[condition:active_unit] </t>
    <phoneticPr fontId="22"/>
  </si>
  <si>
    <t>自身が先頭の時、1ターンの間に1タップでも16チェインした時に自身の攻撃力をUP</t>
    <phoneticPr fontId="22"/>
  </si>
  <si>
    <t xml:space="preserve">{"ver":"1.7.0","type":"ability","effects":"[effect:regenerate, turn:3, val:4000, type:fix, animation:heal02]","conditions":"[condition:enclose,[condition:hp_rate,lower:0,upper:70],[condition:panel_chain,count:6],logic:and]","priority":4}   </t>
    <phoneticPr fontId="22"/>
  </si>
  <si>
    <t xml:space="preserve">{"ver":"1.6.0,"type":"ability","effects":"[effect:damage_up, target:myself, val:1.5, turn:1, type01:all,option:killer]","conditions":"[condition:unit_attack_target,tribe:god],[condition:unit_attack_target,tribe:machine]","priority":1}   </t>
    <phoneticPr fontId="22"/>
  </si>
  <si>
    <t>0</t>
    <phoneticPr fontId="22"/>
  </si>
  <si>
    <t>1.7.0</t>
    <phoneticPr fontId="22"/>
  </si>
  <si>
    <t>[condition:enclose,[condition:unit_attack_target,tribe:god],[condition:unit_attack_target,tribe:machine],logic:or]</t>
    <phoneticPr fontId="22"/>
  </si>
  <si>
    <t>単体に3回大ダメージ</t>
    <phoneticPr fontId="22"/>
  </si>
  <si>
    <t>嵐召の豪瀑布</t>
    <phoneticPr fontId="22"/>
  </si>
  <si>
    <t>英勝への豪突</t>
    <phoneticPr fontId="22"/>
  </si>
  <si>
    <t>全壊の命軌撃</t>
    <phoneticPr fontId="22"/>
  </si>
  <si>
    <t>破撃の雷速突</t>
    <phoneticPr fontId="22"/>
  </si>
  <si>
    <t>リローディング･トネリコ</t>
    <phoneticPr fontId="22"/>
  </si>
  <si>
    <t>ウィニングレイ･トネリコ</t>
    <phoneticPr fontId="22"/>
  </si>
  <si>
    <t>アクアリング･スピニング</t>
    <phoneticPr fontId="22"/>
  </si>
  <si>
    <t>インフィニティ･フォールダウン</t>
    <phoneticPr fontId="22"/>
  </si>
  <si>
    <t>ライトニング･フォール</t>
    <phoneticPr fontId="22"/>
  </si>
  <si>
    <t>1体に特大ダメージ</t>
    <rPh sb="1" eb="2">
      <t>タンタイ</t>
    </rPh>
    <phoneticPr fontId="22"/>
  </si>
  <si>
    <t>[effect:damage, target:enemy_one, color:blue, val:0.9, animation:damage_one_blue02],[effect:damage, target:enemy_one, color:blue, val:0.9, animation:damage_one_blue02],[effect:damage, target:enemy_one, color:blue, val:0.9, animation:damage_one_blue03]</t>
    <phoneticPr fontId="22"/>
  </si>
  <si>
    <t>[effect:enhance_unit, target:myself, turn:1, status:attack, val:0.2, calc:mul, animation:enhance_unit_all_attack03]</t>
    <phoneticPr fontId="22"/>
  </si>
  <si>
    <t>[effect:enhance_unit, target:myself, turn:1, status:attack, val:0.1, calc:mul, animation:enhance_unit_all_attack03]</t>
    <phoneticPr fontId="22"/>
  </si>
  <si>
    <t>自身が先頭の時、1ターンの間に合計30個以上パネルを破壊した場合に攻撃力UP</t>
    <phoneticPr fontId="22"/>
  </si>
  <si>
    <t>40</t>
    <phoneticPr fontId="22"/>
  </si>
  <si>
    <t>[condition:enclose,[condition:active_unit] ,[condition:panel_chain,count:12],logic:and]</t>
    <phoneticPr fontId="22"/>
  </si>
  <si>
    <t>チェイン12 HP小回復</t>
    <phoneticPr fontId="22"/>
  </si>
  <si>
    <t>1体に大ダメージ</t>
    <rPh sb="1" eb="2">
      <t>タンタイ</t>
    </rPh>
    <phoneticPr fontId="22"/>
  </si>
  <si>
    <t>[effect:damage, target:enemy_one, color:yellow, val:2.25, animation:damage_one_yellow04]</t>
    <phoneticPr fontId="22"/>
  </si>
  <si>
    <t>[effect:damage, target:enemy_one, color:yellow, val:2.0, animation:damage_one_yellow04]</t>
    <phoneticPr fontId="22"/>
  </si>
  <si>
    <t>[effect:damage, target:enemy_one, color:green, val:2.0, animation:damage_one_green04]</t>
    <phoneticPr fontId="22"/>
  </si>
  <si>
    <t>[effect:damage, target:enemy_one, color:green, val:2.25, animation:damage_one_green04]</t>
    <phoneticPr fontId="22"/>
  </si>
  <si>
    <t>ランダムでSCパネル(大)を2つ、ボムパネル(大)を4つ生成+1ターン自身の攻撃力を超大UP</t>
    <phoneticPr fontId="22"/>
  </si>
  <si>
    <t>[condition:every_floor]</t>
    <phoneticPr fontId="22"/>
  </si>
  <si>
    <t>[effect:enhance_sp_boost, target:myself, count:1]</t>
    <phoneticPr fontId="22"/>
  </si>
  <si>
    <t>[condition:always]</t>
    <phoneticPr fontId="22"/>
  </si>
  <si>
    <t xml:space="preserve">[condition:always]    </t>
    <phoneticPr fontId="22"/>
  </si>
  <si>
    <t>フロア開始時のスキルゲージ回復量が1増える</t>
    <phoneticPr fontId="22"/>
  </si>
  <si>
    <t>フロア スキルブースト1</t>
    <phoneticPr fontId="22"/>
  </si>
  <si>
    <t>緑パネルをCパネルに変換+2ターン自身の攻撃力をUP(ハートパネルを吸収して効果UP)+緑パネルが出現しない</t>
    <phoneticPr fontId="22"/>
  </si>
  <si>
    <t>自身が先頭の時、1タップで12個以上パネルを繋げた場合にHPを2000回復(1ターンに1度だけ発動)</t>
    <phoneticPr fontId="22"/>
  </si>
  <si>
    <t>[effect:regenerate, turn:1, val:2000, type:fix, animation:heal02]</t>
    <phoneticPr fontId="22"/>
  </si>
  <si>
    <t>1</t>
    <phoneticPr fontId="22"/>
  </si>
  <si>
    <t>攻撃力小UP</t>
    <phoneticPr fontId="22"/>
  </si>
  <si>
    <t>パネルブレイク30 攻撃力UP</t>
    <phoneticPr fontId="22"/>
  </si>
  <si>
    <t>対種族マシン・ゴッド　ダメージUP</t>
    <phoneticPr fontId="22"/>
  </si>
  <si>
    <t>雷の如く貫いてやろう…！</t>
  </si>
  <si>
    <t>降り注ぐ鏃の的になれ…！</t>
  </si>
  <si>
    <t>我が一閃の戦陣となれ…</t>
  </si>
  <si>
    <t>俺の…勝ちだ！</t>
  </si>
  <si>
    <t>一撃で済ませてやる…</t>
  </si>
  <si>
    <t>俺が勝敗を決める…！</t>
  </si>
  <si>
    <t>波に攫われないようにね！</t>
  </si>
  <si>
    <t>もー!海の声を聞かないからよ!</t>
  </si>
  <si>
    <t>海神様の命ずるままに！</t>
  </si>
  <si>
    <t>海光を浴びなさい！</t>
  </si>
  <si>
    <t>この海鳴りが聞こえる？</t>
  </si>
  <si>
    <t>轟け水流よ…！</t>
  </si>
  <si>
    <t>アタシの突きは外れないよ！</t>
  </si>
  <si>
    <t>負けなんてあるわけない！</t>
  </si>
  <si>
    <t>絶対に勝つんだから！！</t>
  </si>
  <si>
    <t>何度でも還ってみせる！</t>
  </si>
  <si>
    <t>一突入魂ーッ！！</t>
  </si>
  <si>
    <t>勝利以外ありえない！</t>
  </si>
  <si>
    <t>自身のCスキルの威力をUP</t>
    <phoneticPr fontId="22"/>
  </si>
  <si>
    <t>緑パネルをCパネルに変換+2ターン自身の攻撃力をUP(ハートパネルを吸収して効果UP)+緑パネルが出現しない</t>
    <phoneticPr fontId="22"/>
  </si>
  <si>
    <t>[effect:enhance_unit, target:myself, turn:1, status:attack, val:0.28, calc:mul, animation:enhance_unit_all_attack04],[effect:force_change_block, new_block:crack_bomb, target:block_all, ignore01:crash, ignore02:crack_bomb, color:block_green, count:4, val:20, animation:change_block],[effect:force_change_block, new_block:crash, target:block_all, ignore01:crash, ignore02:crack_bomb, color:block_green, count:2, val:24, animation:change_block]</t>
  </si>
  <si>
    <t>[condition:enclose,[condition:active_unit],[condition:panel_total,count:30],logic:and]</t>
    <phoneticPr fontId="22"/>
  </si>
  <si>
    <t>[effect:force_change_block, new_block:crash, target:block_green, ignore:crash, ignore02:jammer, count:-1, val:8, animation:change_block],[effect:break_enchance_unit, val:0.0075, lowest_val:0.2, count :-1, status:attack, turn:2, block:block_heart, target:myself, calc:mul, animation:enhance_unit_all_attack02],[effect:change_panel_ratio, turn:2, block_type:green, val:0]</t>
    <phoneticPr fontId="22"/>
  </si>
  <si>
    <t>自身の攻撃力を小UP</t>
    <phoneticPr fontId="22"/>
  </si>
  <si>
    <t>Cスキル威力UP</t>
    <phoneticPr fontId="22"/>
  </si>
  <si>
    <t>[effect:damage_up, target:myself, val:1.3, turn:1, type01:all,option:killer]</t>
    <phoneticPr fontId="22"/>
  </si>
  <si>
    <t>[effect:damage_up, target:myself, val:1.3, turn:1, type01:crash_skill,option:killer]</t>
    <phoneticPr fontId="22"/>
  </si>
  <si>
    <t>自身の攻撃対象が種族ゴッドか、マシンの場合全ての攻撃の威力をUP</t>
    <phoneticPr fontId="22"/>
  </si>
  <si>
    <t>sell_ghosts</t>
    <phoneticPr fontId="22"/>
  </si>
  <si>
    <t>sell_ghosts</t>
    <phoneticPr fontId="10"/>
  </si>
  <si>
    <t>[effect:special_block,val:36, count:1, animation:change_block],[effect:enhance_unit, target:unit_all, turn:3, status:attack, val:0.25, calc:mul, animation:enhance_unit_all_attack04],[effect:crash_condition, target:unit_all, val:-6, turn:1, animation:crash_panel_reduce04]</t>
    <phoneticPr fontId="22"/>
  </si>
  <si>
    <t>[effect:change_panel_ratio, turn:1, block_type:blue, val:0, animation:block_incidence04],[effect:force_change_block, new_block:block_yellow, target:block_green, count:0, val:0],[effect:force_change_block, new_block:block_yellow, target:block_blue, count:0, val:0, animation:change_block],[effect:damage_absorb, target:enemy_one, color:red, val:11.2, heal_ratio:0.3, animation:damage_one_red06]</t>
    <phoneticPr fontId="22"/>
  </si>
  <si>
    <t>青・緑パネルを黄パネルに変換+1体に超大ダメージ(与えたダメージの30%でHP回復)+1ターンの間、青パネルが出現しない</t>
    <phoneticPr fontId="22"/>
  </si>
  <si>
    <t>SCパネル(特大)に1つ変換+3ターンの間全ユニットの攻撃力超大UP+1ターンの間全ユニットCパネル生成短縮(効果超大)</t>
    <phoneticPr fontId="22"/>
  </si>
  <si>
    <t>[effect:damage, target:enemy_all, color:blue, val:1, animation:damage_all_blue04],[effect:damage, target:enemy_one, color:blue, val:1.4, animation:damage_one_blue04]</t>
    <phoneticPr fontId="22"/>
  </si>
  <si>
    <t>時限式ダメージパネルをCパネルに変換し、C・CB・マグネット・ボムパネル以外を全て青パネルに変換</t>
    <phoneticPr fontId="22"/>
  </si>
  <si>
    <t>[effect:force_change_block, new_block:crash, target:time_bomb, count:0, val:6, animation:change_block],[effect:force_change_block, new_block:block_blue, target:block_all, ignore01:crash, ignore02:crack_bomb, ignore03:color_break, ignore04:magnet, count:0, val:0, animation:change_block]</t>
    <phoneticPr fontId="22"/>
  </si>
  <si>
    <t>ability_param</t>
    <phoneticPr fontId="22"/>
  </si>
  <si>
    <t>category</t>
    <phoneticPr fontId="22"/>
  </si>
  <si>
    <t>攻撃力UP</t>
    <phoneticPr fontId="22"/>
  </si>
  <si>
    <t>その他</t>
    <phoneticPr fontId="22"/>
  </si>
  <si>
    <t>HP回復</t>
    <phoneticPr fontId="22"/>
  </si>
  <si>
    <t>キラー</t>
    <phoneticPr fontId="22"/>
  </si>
  <si>
    <t>skip</t>
  </si>
  <si>
    <t>[effect:force_change_block, new_block:crash, target:block_all, ignore01:crash, ignore02:crack_bomb, color:block_green, count:2, val:24, animation:change_block],[effect:force_change_block, new_block:crack_bomb, target:block_all, ignore01:crash, ignore02:crack_bomb, color:block_green, count:4, val:20, animation:change_block],[effect:force_change_block, new_block:crash, target:damage, count:4, val:12, animation:change_block],[effect:enhance_unit, target:myself, turn:3, status:attack, val:0.28, calc:mul, animation:enhance_unit_all_attack04]</t>
    <phoneticPr fontId="22"/>
  </si>
  <si>
    <t>ランダムで最大2個SCP(大)に、4個緑ボムパネル(大)に、ダメージパネルを最大4個SCPに変換+3ターン自身の攻撃力を超大UP</t>
    <phoneticPr fontId="2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</si>
</sst>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9" x14ac:knownFonts="1">
    <font>
      <sz val="12"/>
      <color theme="1"/>
      <name val="ＭＳ Ｐゴシック"/>
      <family val="2"/>
      <charset val="128"/>
      <scheme val="minor"/>
    </font>
    <font>
      <sz val="12"/>
      <color indexed="8"/>
      <name val="Times New Roman"/>
      <family val="1"/>
    </font>
    <font>
      <sz val="12"/>
      <color indexed="8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15"/>
      <name val="ＭＳ Ｐゴシック"/>
      <family val="3"/>
      <charset val="128"/>
    </font>
    <font>
      <sz val="10"/>
      <color indexed="8"/>
      <name val="Arial"/>
      <family val="2"/>
    </font>
    <font>
      <sz val="10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ajor"/>
    </font>
    <font>
      <sz val="10"/>
      <color indexed="8"/>
      <name val="ＭＳ Ｐゴシック"/>
      <family val="3"/>
      <charset val="128"/>
      <scheme val="major"/>
    </font>
    <font>
      <sz val="10"/>
      <color theme="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color indexed="8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0"/>
      <color rgb="FF000000"/>
      <name val="‚lＳ Ｐゴシック"/>
      <family val="3"/>
      <charset val="128"/>
    </font>
    <font>
      <sz val="12"/>
      <color indexed="206"/>
      <name val="ＭＳ Ｐゴシック"/>
      <family val="2"/>
      <charset val="128"/>
    </font>
  </fonts>
  <fills count="32">
    <fill>
      <patternFill patternType="none"/>
    </fill>
    <fill>
      <patternFill patternType="gray125"/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22"/>
        <bgColor indexed="55"/>
      </patternFill>
    </fill>
    <fill>
      <patternFill patternType="solid">
        <fgColor indexed="53"/>
        <bgColor indexed="52"/>
      </patternFill>
    </fill>
    <fill>
      <patternFill patternType="solid">
        <fgColor indexed="10"/>
        <bgColor indexed="6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31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indexed="27"/>
      </patternFill>
    </fill>
    <fill>
      <patternFill patternType="solid">
        <fgColor theme="0" tint="-0.14999847407452621"/>
        <bgColor indexed="5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008000"/>
        <bgColor indexed="59"/>
      </patternFill>
    </fill>
    <fill>
      <patternFill patternType="solid">
        <fgColor rgb="FF008000"/>
        <bgColor indexed="40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5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59"/>
      </patternFill>
    </fill>
    <fill>
      <patternFill patternType="solid">
        <fgColor theme="9" tint="0.79998168889431442"/>
        <bgColor indexed="27"/>
      </patternFill>
    </fill>
    <fill>
      <patternFill patternType="solid">
        <fgColor theme="4" tint="0.79998168889431442"/>
        <bgColor indexed="59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</fills>
  <borders count="31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8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indexed="8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auto="1"/>
      </left>
      <right/>
      <top style="thin">
        <color auto="1"/>
      </top>
      <bottom/>
      <diagonal/>
    </border>
  </borders>
  <cellStyleXfs count="4708">
    <xf numFmtId="0" fontId="0" fillId="0" borderId="0"/>
    <xf numFmtId="0" fontId="7" fillId="0" borderId="0"/>
    <xf numFmtId="38" fontId="1" fillId="0" borderId="0" applyFill="0" applyBorder="0" applyAlignment="0" applyProtection="0"/>
    <xf numFmtId="0" fontId="6" fillId="2" borderId="0" applyNumberFormat="0" applyBorder="0" applyAlignment="0" applyProtection="0"/>
    <xf numFmtId="0" fontId="5" fillId="3" borderId="0" applyNumberFormat="0" applyBorder="0" applyAlignment="0" applyProtection="0"/>
    <xf numFmtId="0" fontId="2" fillId="0" borderId="0"/>
    <xf numFmtId="0" fontId="3" fillId="0" borderId="0">
      <alignment vertical="center"/>
    </xf>
    <xf numFmtId="0" fontId="3" fillId="0" borderId="0">
      <alignment vertical="center"/>
    </xf>
    <xf numFmtId="0" fontId="4" fillId="3" borderId="0" applyNumberFormat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4" fillId="0" borderId="0">
      <alignment vertical="center"/>
    </xf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</cellStyleXfs>
  <cellXfs count="210">
    <xf numFmtId="0" fontId="0" fillId="0" borderId="0" xfId="0"/>
    <xf numFmtId="0" fontId="0" fillId="0" borderId="0" xfId="0" applyFont="1" applyFill="1"/>
    <xf numFmtId="0" fontId="0" fillId="0" borderId="0" xfId="0" applyFont="1"/>
    <xf numFmtId="0" fontId="13" fillId="0" borderId="0" xfId="0" applyFont="1"/>
    <xf numFmtId="0" fontId="16" fillId="0" borderId="0" xfId="0" applyFont="1" applyAlignment="1">
      <alignment horizontal="center" vertical="center"/>
    </xf>
    <xf numFmtId="0" fontId="16" fillId="7" borderId="4" xfId="0" applyFont="1" applyFill="1" applyBorder="1" applyAlignment="1">
      <alignment horizontal="left" vertical="center"/>
    </xf>
    <xf numFmtId="0" fontId="16" fillId="0" borderId="8" xfId="0" applyFont="1" applyFill="1" applyBorder="1" applyAlignment="1">
      <alignment vertical="center"/>
    </xf>
    <xf numFmtId="0" fontId="16" fillId="7" borderId="9" xfId="0" applyFont="1" applyFill="1" applyBorder="1" applyAlignment="1">
      <alignment horizontal="left" vertical="center"/>
    </xf>
    <xf numFmtId="0" fontId="16" fillId="10" borderId="1" xfId="0" applyFont="1" applyFill="1" applyBorder="1" applyAlignment="1">
      <alignment vertical="center"/>
    </xf>
    <xf numFmtId="0" fontId="16" fillId="0" borderId="1" xfId="0" applyFont="1" applyBorder="1" applyAlignment="1">
      <alignment vertical="center"/>
    </xf>
    <xf numFmtId="0" fontId="16" fillId="0" borderId="4" xfId="0" applyFont="1" applyBorder="1" applyAlignment="1">
      <alignment horizontal="left" vertical="center"/>
    </xf>
    <xf numFmtId="0" fontId="16" fillId="7" borderId="4" xfId="0" applyFont="1" applyFill="1" applyBorder="1" applyAlignment="1">
      <alignment horizontal="right" vertical="center"/>
    </xf>
    <xf numFmtId="0" fontId="16" fillId="0" borderId="0" xfId="0" applyFont="1" applyAlignment="1">
      <alignment horizontal="left" vertical="center"/>
    </xf>
    <xf numFmtId="0" fontId="16" fillId="7" borderId="0" xfId="0" applyFont="1" applyFill="1" applyAlignment="1">
      <alignment horizontal="left" vertical="center"/>
    </xf>
    <xf numFmtId="0" fontId="16" fillId="7" borderId="0" xfId="0" applyFont="1" applyFill="1" applyAlignment="1">
      <alignment vertical="center"/>
    </xf>
    <xf numFmtId="0" fontId="16" fillId="0" borderId="0" xfId="0" applyFont="1" applyAlignment="1">
      <alignment horizontal="right" vertical="center"/>
    </xf>
    <xf numFmtId="0" fontId="13" fillId="7" borderId="1" xfId="0" applyFont="1" applyFill="1" applyBorder="1" applyAlignment="1">
      <alignment vertical="center"/>
    </xf>
    <xf numFmtId="0" fontId="16" fillId="10" borderId="3" xfId="0" applyFont="1" applyFill="1" applyBorder="1" applyAlignment="1">
      <alignment vertical="center"/>
    </xf>
    <xf numFmtId="0" fontId="16" fillId="0" borderId="4" xfId="0" applyFont="1" applyFill="1" applyBorder="1" applyAlignment="1">
      <alignment horizontal="right" vertical="center" wrapText="1"/>
    </xf>
    <xf numFmtId="0" fontId="16" fillId="12" borderId="4" xfId="0" applyFont="1" applyFill="1" applyBorder="1" applyAlignment="1">
      <alignment horizontal="center" vertical="center" wrapText="1"/>
    </xf>
    <xf numFmtId="0" fontId="12" fillId="9" borderId="4" xfId="0" applyFont="1" applyFill="1" applyBorder="1" applyAlignment="1">
      <alignment horizontal="center"/>
    </xf>
    <xf numFmtId="0" fontId="16" fillId="13" borderId="4" xfId="0" applyFont="1" applyFill="1" applyBorder="1"/>
    <xf numFmtId="0" fontId="16" fillId="4" borderId="1" xfId="0" applyFont="1" applyFill="1" applyBorder="1" applyAlignment="1">
      <alignment vertical="center"/>
    </xf>
    <xf numFmtId="0" fontId="8" fillId="4" borderId="1" xfId="0" applyFont="1" applyFill="1" applyBorder="1" applyAlignment="1">
      <alignment vertical="center"/>
    </xf>
    <xf numFmtId="0" fontId="16" fillId="0" borderId="0" xfId="0" applyFont="1" applyAlignment="1">
      <alignment vertical="center"/>
    </xf>
    <xf numFmtId="0" fontId="8" fillId="0" borderId="1" xfId="0" applyFont="1" applyBorder="1" applyAlignment="1">
      <alignment vertical="center"/>
    </xf>
    <xf numFmtId="0" fontId="8" fillId="0" borderId="19" xfId="0" applyFont="1" applyBorder="1" applyAlignment="1">
      <alignment vertical="center"/>
    </xf>
    <xf numFmtId="0" fontId="8" fillId="0" borderId="4" xfId="0" applyFont="1" applyFill="1" applyBorder="1" applyAlignment="1">
      <alignment vertical="center"/>
    </xf>
    <xf numFmtId="0" fontId="16" fillId="5" borderId="0" xfId="0" applyFont="1" applyFill="1" applyAlignment="1">
      <alignment vertical="center"/>
    </xf>
    <xf numFmtId="0" fontId="8" fillId="0" borderId="1" xfId="0" applyFont="1" applyFill="1" applyBorder="1" applyAlignment="1">
      <alignment vertical="center"/>
    </xf>
    <xf numFmtId="0" fontId="16" fillId="6" borderId="0" xfId="0" applyFont="1" applyFill="1" applyAlignment="1">
      <alignment vertical="center"/>
    </xf>
    <xf numFmtId="0" fontId="16" fillId="4" borderId="1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vertical="center"/>
    </xf>
    <xf numFmtId="0" fontId="8" fillId="4" borderId="1" xfId="0" applyFont="1" applyFill="1" applyBorder="1" applyAlignment="1">
      <alignment horizontal="center" vertical="center"/>
    </xf>
    <xf numFmtId="0" fontId="8" fillId="0" borderId="20" xfId="0" applyFont="1" applyBorder="1" applyAlignment="1">
      <alignment vertical="center"/>
    </xf>
    <xf numFmtId="0" fontId="16" fillId="0" borderId="19" xfId="0" applyFont="1" applyBorder="1" applyAlignment="1">
      <alignment vertical="center"/>
    </xf>
    <xf numFmtId="0" fontId="16" fillId="0" borderId="20" xfId="0" applyFont="1" applyBorder="1" applyAlignment="1">
      <alignment vertical="center"/>
    </xf>
    <xf numFmtId="0" fontId="16" fillId="0" borderId="4" xfId="0" applyFont="1" applyBorder="1" applyAlignment="1">
      <alignment vertical="center"/>
    </xf>
    <xf numFmtId="0" fontId="16" fillId="0" borderId="4" xfId="0" applyFont="1" applyBorder="1" applyAlignment="1">
      <alignment horizontal="center" vertical="center"/>
    </xf>
    <xf numFmtId="0" fontId="8" fillId="14" borderId="10" xfId="0" applyFont="1" applyFill="1" applyBorder="1" applyAlignment="1">
      <alignment vertical="center"/>
    </xf>
    <xf numFmtId="0" fontId="16" fillId="14" borderId="4" xfId="0" applyFont="1" applyFill="1" applyBorder="1" applyAlignment="1">
      <alignment vertical="center"/>
    </xf>
    <xf numFmtId="0" fontId="13" fillId="0" borderId="4" xfId="0" applyFont="1" applyBorder="1" applyAlignment="1">
      <alignment horizontal="right" vertical="center" wrapText="1"/>
    </xf>
    <xf numFmtId="0" fontId="13" fillId="12" borderId="4" xfId="0" applyFont="1" applyFill="1" applyBorder="1" applyAlignment="1">
      <alignment horizontal="center" vertical="center" wrapText="1"/>
    </xf>
    <xf numFmtId="0" fontId="16" fillId="12" borderId="6" xfId="0" applyFont="1" applyFill="1" applyBorder="1" applyAlignment="1">
      <alignment horizontal="center" vertical="center" wrapText="1"/>
    </xf>
    <xf numFmtId="0" fontId="14" fillId="0" borderId="4" xfId="0" applyFont="1" applyBorder="1" applyAlignment="1">
      <alignment horizontal="right" vertical="center" wrapText="1"/>
    </xf>
    <xf numFmtId="0" fontId="16" fillId="0" borderId="3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8" fillId="14" borderId="1" xfId="0" applyFont="1" applyFill="1" applyBorder="1" applyAlignment="1">
      <alignment vertical="center"/>
    </xf>
    <xf numFmtId="0" fontId="16" fillId="7" borderId="8" xfId="0" applyFont="1" applyFill="1" applyBorder="1" applyAlignment="1">
      <alignment horizontal="right" vertical="center"/>
    </xf>
    <xf numFmtId="0" fontId="17" fillId="4" borderId="4" xfId="0" applyFont="1" applyFill="1" applyBorder="1" applyAlignment="1">
      <alignment horizontal="center" vertical="center"/>
    </xf>
    <xf numFmtId="0" fontId="18" fillId="4" borderId="4" xfId="0" applyFont="1" applyFill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8" fillId="0" borderId="4" xfId="0" applyFont="1" applyFill="1" applyBorder="1" applyAlignment="1">
      <alignment horizontal="center" vertical="center"/>
    </xf>
    <xf numFmtId="0" fontId="17" fillId="0" borderId="4" xfId="0" applyFont="1" applyBorder="1" applyAlignment="1">
      <alignment horizontal="center" vertical="center" wrapText="1"/>
    </xf>
    <xf numFmtId="0" fontId="17" fillId="0" borderId="12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8" fillId="0" borderId="7" xfId="0" applyFont="1" applyBorder="1" applyAlignment="1">
      <alignment horizontal="center" vertical="center"/>
    </xf>
    <xf numFmtId="0" fontId="16" fillId="7" borderId="1" xfId="0" applyFont="1" applyFill="1" applyBorder="1" applyAlignment="1">
      <alignment horizontal="left" vertical="center"/>
    </xf>
    <xf numFmtId="0" fontId="16" fillId="7" borderId="1" xfId="0" applyFont="1" applyFill="1" applyBorder="1" applyAlignment="1">
      <alignment horizontal="right" vertical="center"/>
    </xf>
    <xf numFmtId="0" fontId="15" fillId="11" borderId="0" xfId="0" applyFont="1" applyFill="1" applyBorder="1" applyAlignment="1">
      <alignment horizontal="center" vertical="center"/>
    </xf>
    <xf numFmtId="0" fontId="14" fillId="11" borderId="0" xfId="0" applyFont="1" applyFill="1" applyBorder="1" applyAlignment="1">
      <alignment horizontal="center" vertical="center"/>
    </xf>
    <xf numFmtId="0" fontId="13" fillId="11" borderId="0" xfId="0" applyFont="1" applyFill="1" applyAlignment="1">
      <alignment vertical="center"/>
    </xf>
    <xf numFmtId="0" fontId="16" fillId="7" borderId="3" xfId="0" applyFont="1" applyFill="1" applyBorder="1" applyAlignment="1">
      <alignment horizontal="left" vertical="center"/>
    </xf>
    <xf numFmtId="0" fontId="14" fillId="8" borderId="0" xfId="0" applyFont="1" applyFill="1" applyBorder="1" applyAlignment="1">
      <alignment horizontal="center" vertical="center"/>
    </xf>
    <xf numFmtId="0" fontId="23" fillId="19" borderId="0" xfId="0" applyFont="1" applyFill="1"/>
    <xf numFmtId="0" fontId="16" fillId="0" borderId="4" xfId="0" applyFont="1" applyFill="1" applyBorder="1" applyAlignment="1">
      <alignment vertical="center"/>
    </xf>
    <xf numFmtId="0" fontId="13" fillId="15" borderId="4" xfId="0" applyFont="1" applyFill="1" applyBorder="1" applyAlignment="1">
      <alignment vertical="center"/>
    </xf>
    <xf numFmtId="0" fontId="16" fillId="15" borderId="10" xfId="0" applyFont="1" applyFill="1" applyBorder="1" applyAlignment="1">
      <alignment horizontal="right" vertical="center"/>
    </xf>
    <xf numFmtId="0" fontId="8" fillId="7" borderId="1" xfId="0" applyFont="1" applyFill="1" applyBorder="1" applyAlignment="1">
      <alignment vertical="center"/>
    </xf>
    <xf numFmtId="0" fontId="8" fillId="7" borderId="2" xfId="0" applyFont="1" applyFill="1" applyBorder="1" applyAlignment="1">
      <alignment vertical="center"/>
    </xf>
    <xf numFmtId="0" fontId="16" fillId="7" borderId="4" xfId="0" applyFont="1" applyFill="1" applyBorder="1" applyAlignment="1">
      <alignment vertical="center"/>
    </xf>
    <xf numFmtId="0" fontId="12" fillId="7" borderId="0" xfId="0" applyFont="1" applyFill="1" applyAlignment="1">
      <alignment vertical="center"/>
    </xf>
    <xf numFmtId="0" fontId="19" fillId="0" borderId="0" xfId="0" applyFont="1" applyFill="1" applyAlignment="1">
      <alignment vertical="center"/>
    </xf>
    <xf numFmtId="0" fontId="8" fillId="14" borderId="21" xfId="0" applyFont="1" applyFill="1" applyBorder="1" applyAlignment="1">
      <alignment horizontal="center" vertical="center"/>
    </xf>
    <xf numFmtId="0" fontId="8" fillId="14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horizontal="center" vertical="center"/>
    </xf>
    <xf numFmtId="0" fontId="8" fillId="0" borderId="4" xfId="0" applyFont="1" applyFill="1" applyBorder="1" applyAlignment="1">
      <alignment horizontal="center" vertical="center"/>
    </xf>
    <xf numFmtId="0" fontId="17" fillId="0" borderId="4" xfId="0" applyFont="1" applyFill="1" applyBorder="1" applyAlignment="1">
      <alignment horizontal="center" vertical="center" wrapText="1"/>
    </xf>
    <xf numFmtId="0" fontId="15" fillId="7" borderId="4" xfId="0" applyFont="1" applyFill="1" applyBorder="1" applyAlignment="1">
      <alignment horizontal="left" vertical="center"/>
    </xf>
    <xf numFmtId="0" fontId="15" fillId="8" borderId="7" xfId="0" applyFont="1" applyFill="1" applyBorder="1" applyAlignment="1">
      <alignment horizontal="left" vertical="center"/>
    </xf>
    <xf numFmtId="0" fontId="19" fillId="16" borderId="4" xfId="0" applyFont="1" applyFill="1" applyBorder="1" applyAlignment="1">
      <alignment horizontal="left" vertical="center"/>
    </xf>
    <xf numFmtId="0" fontId="15" fillId="11" borderId="14" xfId="0" applyFont="1" applyFill="1" applyBorder="1" applyAlignment="1">
      <alignment horizontal="left" vertical="center"/>
    </xf>
    <xf numFmtId="0" fontId="12" fillId="8" borderId="7" xfId="0" applyFont="1" applyFill="1" applyBorder="1" applyAlignment="1">
      <alignment horizontal="left" vertical="center"/>
    </xf>
    <xf numFmtId="0" fontId="15" fillId="11" borderId="7" xfId="0" applyFont="1" applyFill="1" applyBorder="1" applyAlignment="1">
      <alignment horizontal="left" vertical="center"/>
    </xf>
    <xf numFmtId="0" fontId="15" fillId="7" borderId="7" xfId="0" applyFont="1" applyFill="1" applyBorder="1" applyAlignment="1">
      <alignment horizontal="left" vertical="center"/>
    </xf>
    <xf numFmtId="0" fontId="12" fillId="9" borderId="13" xfId="0" applyFont="1" applyFill="1" applyBorder="1" applyAlignment="1">
      <alignment horizontal="left" vertical="center"/>
    </xf>
    <xf numFmtId="0" fontId="15" fillId="8" borderId="15" xfId="0" applyFont="1" applyFill="1" applyBorder="1" applyAlignment="1">
      <alignment horizontal="left" vertical="center"/>
    </xf>
    <xf numFmtId="0" fontId="15" fillId="11" borderId="6" xfId="0" applyFont="1" applyFill="1" applyBorder="1" applyAlignment="1">
      <alignment horizontal="left" vertical="center"/>
    </xf>
    <xf numFmtId="0" fontId="12" fillId="9" borderId="1" xfId="0" applyFont="1" applyFill="1" applyBorder="1" applyAlignment="1">
      <alignment horizontal="left" vertical="center"/>
    </xf>
    <xf numFmtId="0" fontId="15" fillId="8" borderId="4" xfId="0" applyFont="1" applyFill="1" applyBorder="1" applyAlignment="1">
      <alignment horizontal="left" vertical="center"/>
    </xf>
    <xf numFmtId="0" fontId="15" fillId="8" borderId="5" xfId="0" applyFont="1" applyFill="1" applyBorder="1" applyAlignment="1">
      <alignment horizontal="left" vertical="center"/>
    </xf>
    <xf numFmtId="0" fontId="19" fillId="17" borderId="16" xfId="0" applyFont="1" applyFill="1" applyBorder="1" applyAlignment="1">
      <alignment horizontal="left" vertical="center"/>
    </xf>
    <xf numFmtId="0" fontId="19" fillId="18" borderId="1" xfId="0" applyFont="1" applyFill="1" applyBorder="1" applyAlignment="1">
      <alignment horizontal="left" vertical="center"/>
    </xf>
    <xf numFmtId="0" fontId="15" fillId="7" borderId="14" xfId="0" applyFont="1" applyFill="1" applyBorder="1" applyAlignment="1">
      <alignment horizontal="left" vertical="center"/>
    </xf>
    <xf numFmtId="0" fontId="15" fillId="7" borderId="6" xfId="0" applyFont="1" applyFill="1" applyBorder="1" applyAlignment="1">
      <alignment horizontal="left" vertical="center"/>
    </xf>
    <xf numFmtId="0" fontId="12" fillId="0" borderId="17" xfId="0" applyFont="1" applyFill="1" applyBorder="1" applyAlignment="1">
      <alignment horizontal="left" vertical="center"/>
    </xf>
    <xf numFmtId="0" fontId="12" fillId="9" borderId="18" xfId="0" applyFont="1" applyFill="1" applyBorder="1" applyAlignment="1">
      <alignment horizontal="left" vertical="center"/>
    </xf>
    <xf numFmtId="0" fontId="12" fillId="9" borderId="3" xfId="0" applyFont="1" applyFill="1" applyBorder="1" applyAlignment="1">
      <alignment horizontal="left" vertical="center"/>
    </xf>
    <xf numFmtId="0" fontId="12" fillId="9" borderId="4" xfId="0" applyFont="1" applyFill="1" applyBorder="1" applyAlignment="1">
      <alignment horizontal="left" vertical="center"/>
    </xf>
    <xf numFmtId="0" fontId="19" fillId="16" borderId="17" xfId="0" applyFont="1" applyFill="1" applyBorder="1" applyAlignment="1">
      <alignment horizontal="left" vertical="center"/>
    </xf>
    <xf numFmtId="0" fontId="19" fillId="17" borderId="17" xfId="0" applyFont="1" applyFill="1" applyBorder="1" applyAlignment="1">
      <alignment horizontal="left" vertical="center"/>
    </xf>
    <xf numFmtId="0" fontId="19" fillId="16" borderId="11" xfId="0" applyFont="1" applyFill="1" applyBorder="1" applyAlignment="1">
      <alignment horizontal="left" vertical="center"/>
    </xf>
    <xf numFmtId="0" fontId="19" fillId="16" borderId="12" xfId="0" applyFont="1" applyFill="1" applyBorder="1" applyAlignment="1">
      <alignment horizontal="left" vertical="center"/>
    </xf>
    <xf numFmtId="0" fontId="8" fillId="20" borderId="1" xfId="0" applyFont="1" applyFill="1" applyBorder="1" applyAlignment="1">
      <alignment horizontal="center" vertical="center"/>
    </xf>
    <xf numFmtId="0" fontId="8" fillId="0" borderId="10" xfId="0" applyFont="1" applyFill="1" applyBorder="1" applyAlignment="1">
      <alignment vertical="center"/>
    </xf>
    <xf numFmtId="0" fontId="23" fillId="21" borderId="4" xfId="0" applyFont="1" applyFill="1" applyBorder="1"/>
    <xf numFmtId="0" fontId="0" fillId="21" borderId="4" xfId="0" applyFill="1" applyBorder="1"/>
    <xf numFmtId="0" fontId="0" fillId="0" borderId="4" xfId="0" applyBorder="1"/>
    <xf numFmtId="0" fontId="0" fillId="0" borderId="4" xfId="0" applyFill="1" applyBorder="1"/>
    <xf numFmtId="0" fontId="0" fillId="8" borderId="4" xfId="0" applyFill="1" applyBorder="1"/>
    <xf numFmtId="0" fontId="0" fillId="0" borderId="4" xfId="0" applyFont="1" applyBorder="1"/>
    <xf numFmtId="0" fontId="0" fillId="22" borderId="4" xfId="0" applyFill="1" applyBorder="1"/>
    <xf numFmtId="0" fontId="0" fillId="11" borderId="6" xfId="0" applyFill="1" applyBorder="1"/>
    <xf numFmtId="0" fontId="0" fillId="11" borderId="4" xfId="0" applyFill="1" applyBorder="1"/>
    <xf numFmtId="0" fontId="13" fillId="0" borderId="4" xfId="0" applyFont="1" applyFill="1" applyBorder="1" applyAlignment="1">
      <alignment vertical="center"/>
    </xf>
    <xf numFmtId="0" fontId="13" fillId="11" borderId="7" xfId="0" applyFont="1" applyFill="1" applyBorder="1" applyAlignment="1">
      <alignment horizontal="center" vertical="center"/>
    </xf>
    <xf numFmtId="0" fontId="13" fillId="11" borderId="15" xfId="0" applyFont="1" applyFill="1" applyBorder="1" applyAlignment="1">
      <alignment horizontal="center" vertical="center"/>
    </xf>
    <xf numFmtId="0" fontId="13" fillId="8" borderId="15" xfId="0" applyFont="1" applyFill="1" applyBorder="1" applyAlignment="1">
      <alignment horizontal="center" vertical="center"/>
    </xf>
    <xf numFmtId="0" fontId="13" fillId="8" borderId="22" xfId="0" applyFont="1" applyFill="1" applyBorder="1" applyAlignment="1">
      <alignment horizontal="center" vertical="center"/>
    </xf>
    <xf numFmtId="0" fontId="13" fillId="11" borderId="22" xfId="0" applyFont="1" applyFill="1" applyBorder="1" applyAlignment="1">
      <alignment horizontal="center" vertical="center"/>
    </xf>
    <xf numFmtId="0" fontId="13" fillId="7" borderId="22" xfId="0" applyFont="1" applyFill="1" applyBorder="1" applyAlignment="1">
      <alignment horizontal="center" vertical="center"/>
    </xf>
    <xf numFmtId="0" fontId="13" fillId="7" borderId="6" xfId="0" applyFont="1" applyFill="1" applyBorder="1" applyAlignment="1">
      <alignment horizontal="left" vertical="center"/>
    </xf>
    <xf numFmtId="0" fontId="13" fillId="7" borderId="4" xfId="0" applyFont="1" applyFill="1" applyBorder="1" applyAlignment="1">
      <alignment horizontal="left" vertical="center"/>
    </xf>
    <xf numFmtId="0" fontId="13" fillId="7" borderId="5" xfId="0" applyFont="1" applyFill="1" applyBorder="1" applyAlignment="1">
      <alignment horizontal="left" vertical="center"/>
    </xf>
    <xf numFmtId="0" fontId="13" fillId="7" borderId="7" xfId="0" applyFont="1" applyFill="1" applyBorder="1" applyAlignment="1">
      <alignment horizontal="center" vertical="center"/>
    </xf>
    <xf numFmtId="0" fontId="13" fillId="7" borderId="7" xfId="0" applyFont="1" applyFill="1" applyBorder="1" applyAlignment="1">
      <alignment horizontal="left" vertical="center"/>
    </xf>
    <xf numFmtId="0" fontId="13" fillId="0" borderId="0" xfId="0" applyFont="1" applyFill="1" applyAlignment="1">
      <alignment horizontal="center" vertical="center"/>
    </xf>
    <xf numFmtId="0" fontId="13" fillId="0" borderId="0" xfId="0" applyFont="1" applyFill="1" applyAlignment="1">
      <alignment vertical="center"/>
    </xf>
    <xf numFmtId="0" fontId="25" fillId="0" borderId="0" xfId="0" applyFont="1" applyFill="1" applyAlignment="1">
      <alignment vertical="center"/>
    </xf>
    <xf numFmtId="0" fontId="16" fillId="20" borderId="4" xfId="0" applyFont="1" applyFill="1" applyBorder="1" applyAlignment="1">
      <alignment horizontal="left" vertical="center"/>
    </xf>
    <xf numFmtId="0" fontId="26" fillId="0" borderId="7" xfId="0" applyFont="1" applyFill="1" applyBorder="1" applyAlignment="1">
      <alignment horizontal="right" vertical="center" wrapText="1"/>
    </xf>
    <xf numFmtId="0" fontId="14" fillId="0" borderId="4" xfId="0" applyFont="1" applyFill="1" applyBorder="1" applyAlignment="1">
      <alignment horizontal="left" vertical="center" wrapText="1"/>
    </xf>
    <xf numFmtId="0" fontId="26" fillId="0" borderId="7" xfId="0" applyFont="1" applyFill="1" applyBorder="1" applyAlignment="1">
      <alignment horizontal="left" vertical="center" wrapText="1"/>
    </xf>
    <xf numFmtId="0" fontId="13" fillId="0" borderId="4" xfId="0" applyFont="1" applyFill="1" applyBorder="1" applyAlignment="1">
      <alignment horizontal="left" vertical="center" wrapText="1"/>
    </xf>
    <xf numFmtId="0" fontId="13" fillId="0" borderId="7" xfId="0" applyFont="1" applyFill="1" applyBorder="1" applyAlignment="1">
      <alignment horizontal="right" vertical="center" wrapText="1"/>
    </xf>
    <xf numFmtId="0" fontId="27" fillId="0" borderId="4" xfId="0" applyFont="1" applyFill="1" applyBorder="1" applyAlignment="1">
      <alignment horizontal="center" vertical="center" wrapText="1"/>
    </xf>
    <xf numFmtId="0" fontId="14" fillId="0" borderId="4" xfId="0" applyFont="1" applyFill="1" applyBorder="1" applyAlignment="1">
      <alignment horizontal="center" vertical="center" wrapText="1"/>
    </xf>
    <xf numFmtId="0" fontId="13" fillId="0" borderId="4" xfId="0" applyFont="1" applyFill="1" applyBorder="1" applyAlignment="1">
      <alignment horizontal="center" vertical="center"/>
    </xf>
    <xf numFmtId="0" fontId="13" fillId="0" borderId="7" xfId="0" applyFont="1" applyFill="1" applyBorder="1" applyAlignment="1">
      <alignment horizontal="left" vertical="center" wrapText="1"/>
    </xf>
    <xf numFmtId="0" fontId="0" fillId="23" borderId="4" xfId="0" applyFill="1" applyBorder="1"/>
    <xf numFmtId="0" fontId="0" fillId="23" borderId="0" xfId="0" applyFill="1"/>
    <xf numFmtId="0" fontId="28" fillId="0" borderId="0" xfId="0" applyFont="1"/>
    <xf numFmtId="0" fontId="16" fillId="24" borderId="3" xfId="0" applyFont="1" applyFill="1" applyBorder="1" applyAlignment="1">
      <alignment horizontal="center" vertical="center"/>
    </xf>
    <xf numFmtId="0" fontId="8" fillId="24" borderId="20" xfId="0" applyFont="1" applyFill="1" applyBorder="1" applyAlignment="1">
      <alignment horizontal="center" vertical="center"/>
    </xf>
    <xf numFmtId="0" fontId="8" fillId="24" borderId="10" xfId="0" applyFont="1" applyFill="1" applyBorder="1" applyAlignment="1">
      <alignment horizontal="center" vertical="center"/>
    </xf>
    <xf numFmtId="0" fontId="8" fillId="25" borderId="10" xfId="0" applyFont="1" applyFill="1" applyBorder="1" applyAlignment="1">
      <alignment vertical="center"/>
    </xf>
    <xf numFmtId="0" fontId="8" fillId="24" borderId="19" xfId="0" applyFont="1" applyFill="1" applyBorder="1" applyAlignment="1">
      <alignment horizontal="center" vertical="center"/>
    </xf>
    <xf numFmtId="0" fontId="8" fillId="24" borderId="4" xfId="0" applyFont="1" applyFill="1" applyBorder="1" applyAlignment="1">
      <alignment horizontal="center" vertical="center"/>
    </xf>
    <xf numFmtId="0" fontId="8" fillId="25" borderId="4" xfId="0" applyFont="1" applyFill="1" applyBorder="1" applyAlignment="1">
      <alignment vertical="center"/>
    </xf>
    <xf numFmtId="0" fontId="8" fillId="24" borderId="23" xfId="0" applyFont="1" applyFill="1" applyBorder="1" applyAlignment="1">
      <alignment horizontal="center" vertical="center"/>
    </xf>
    <xf numFmtId="0" fontId="8" fillId="24" borderId="24" xfId="0" applyFont="1" applyFill="1" applyBorder="1" applyAlignment="1">
      <alignment horizontal="center" vertical="center"/>
    </xf>
    <xf numFmtId="0" fontId="8" fillId="25" borderId="24" xfId="0" applyFont="1" applyFill="1" applyBorder="1" applyAlignment="1">
      <alignment vertical="center"/>
    </xf>
    <xf numFmtId="0" fontId="16" fillId="25" borderId="4" xfId="0" applyFont="1" applyFill="1" applyBorder="1" applyAlignment="1">
      <alignment vertical="center"/>
    </xf>
    <xf numFmtId="0" fontId="18" fillId="25" borderId="4" xfId="0" applyFont="1" applyFill="1" applyBorder="1" applyAlignment="1">
      <alignment horizontal="center" vertical="center"/>
    </xf>
    <xf numFmtId="0" fontId="17" fillId="25" borderId="4" xfId="0" applyFont="1" applyFill="1" applyBorder="1" applyAlignment="1">
      <alignment horizontal="center" vertical="center" wrapText="1"/>
    </xf>
    <xf numFmtId="0" fontId="8" fillId="25" borderId="1" xfId="0" applyFont="1" applyFill="1" applyBorder="1" applyAlignment="1">
      <alignment vertical="center"/>
    </xf>
    <xf numFmtId="0" fontId="8" fillId="24" borderId="25" xfId="0" applyFont="1" applyFill="1" applyBorder="1" applyAlignment="1">
      <alignment horizontal="center" vertical="center"/>
    </xf>
    <xf numFmtId="0" fontId="8" fillId="24" borderId="12" xfId="0" applyFont="1" applyFill="1" applyBorder="1" applyAlignment="1">
      <alignment horizontal="center" vertical="center"/>
    </xf>
    <xf numFmtId="0" fontId="8" fillId="24" borderId="26" xfId="0" applyFont="1" applyFill="1" applyBorder="1" applyAlignment="1">
      <alignment horizontal="center" vertical="center"/>
    </xf>
    <xf numFmtId="0" fontId="8" fillId="24" borderId="6" xfId="0" applyFont="1" applyFill="1" applyBorder="1" applyAlignment="1">
      <alignment horizontal="center" vertical="center"/>
    </xf>
    <xf numFmtId="0" fontId="8" fillId="24" borderId="27" xfId="0" applyFont="1" applyFill="1" applyBorder="1" applyAlignment="1">
      <alignment horizontal="center" vertical="center"/>
    </xf>
    <xf numFmtId="0" fontId="16" fillId="24" borderId="21" xfId="0" applyFont="1" applyFill="1" applyBorder="1" applyAlignment="1">
      <alignment horizontal="center" vertical="center"/>
    </xf>
    <xf numFmtId="0" fontId="17" fillId="25" borderId="12" xfId="0" applyFont="1" applyFill="1" applyBorder="1" applyAlignment="1">
      <alignment horizontal="center" vertical="center" wrapText="1"/>
    </xf>
    <xf numFmtId="0" fontId="0" fillId="15" borderId="4" xfId="0" applyFill="1" applyBorder="1"/>
    <xf numFmtId="0" fontId="14" fillId="0" borderId="4" xfId="0" applyFont="1" applyBorder="1" applyAlignment="1">
      <alignment horizontal="left" vertical="center" wrapText="1"/>
    </xf>
    <xf numFmtId="0" fontId="16" fillId="26" borderId="4" xfId="0" applyFont="1" applyFill="1" applyBorder="1" applyAlignment="1">
      <alignment horizontal="left" vertical="center"/>
    </xf>
    <xf numFmtId="0" fontId="16" fillId="26" borderId="4" xfId="0" applyFont="1" applyFill="1" applyBorder="1" applyAlignment="1">
      <alignment horizontal="left" vertical="center" wrapText="1"/>
    </xf>
    <xf numFmtId="0" fontId="26" fillId="26" borderId="4" xfId="0" applyFont="1" applyFill="1" applyBorder="1" applyAlignment="1">
      <alignment vertical="center"/>
    </xf>
    <xf numFmtId="0" fontId="16" fillId="0" borderId="4" xfId="0" applyFont="1" applyFill="1" applyBorder="1" applyAlignment="1">
      <alignment horizontal="right" vertical="center"/>
    </xf>
    <xf numFmtId="0" fontId="14" fillId="7" borderId="4" xfId="0" applyFont="1" applyFill="1" applyBorder="1" applyAlignment="1">
      <alignment horizontal="right" vertical="center" wrapText="1"/>
    </xf>
    <xf numFmtId="0" fontId="15" fillId="8" borderId="28" xfId="0" applyFont="1" applyFill="1" applyBorder="1" applyAlignment="1">
      <alignment horizontal="left" vertical="center"/>
    </xf>
    <xf numFmtId="0" fontId="15" fillId="7" borderId="28" xfId="0" applyFont="1" applyFill="1" applyBorder="1" applyAlignment="1">
      <alignment horizontal="left" vertical="center"/>
    </xf>
    <xf numFmtId="0" fontId="15" fillId="11" borderId="28" xfId="0" applyFont="1" applyFill="1" applyBorder="1" applyAlignment="1">
      <alignment horizontal="left" vertical="center"/>
    </xf>
    <xf numFmtId="0" fontId="12" fillId="9" borderId="29" xfId="0" applyFont="1" applyFill="1" applyBorder="1" applyAlignment="1">
      <alignment horizontal="left" vertical="center"/>
    </xf>
    <xf numFmtId="0" fontId="15" fillId="8" borderId="30" xfId="0" applyFont="1" applyFill="1" applyBorder="1" applyAlignment="1">
      <alignment horizontal="left" vertical="center"/>
    </xf>
    <xf numFmtId="0" fontId="15" fillId="8" borderId="12" xfId="0" applyFont="1" applyFill="1" applyBorder="1" applyAlignment="1">
      <alignment horizontal="left" vertical="center"/>
    </xf>
    <xf numFmtId="0" fontId="15" fillId="7" borderId="12" xfId="0" applyFont="1" applyFill="1" applyBorder="1" applyAlignment="1">
      <alignment horizontal="left" vertical="center"/>
    </xf>
    <xf numFmtId="0" fontId="12" fillId="27" borderId="4" xfId="0" applyFont="1" applyFill="1" applyBorder="1" applyAlignment="1">
      <alignment horizontal="center"/>
    </xf>
    <xf numFmtId="0" fontId="16" fillId="0" borderId="4" xfId="0" applyFont="1" applyFill="1" applyBorder="1"/>
    <xf numFmtId="0" fontId="13" fillId="28" borderId="4" xfId="0" applyFont="1" applyFill="1" applyBorder="1" applyAlignment="1">
      <alignment horizontal="center" vertical="center" wrapText="1"/>
    </xf>
    <xf numFmtId="0" fontId="12" fillId="29" borderId="4" xfId="0" applyFont="1" applyFill="1" applyBorder="1" applyAlignment="1">
      <alignment horizontal="center"/>
    </xf>
    <xf numFmtId="0" fontId="15" fillId="7" borderId="0" xfId="0" applyFont="1" applyFill="1" applyBorder="1" applyAlignment="1">
      <alignment horizontal="left" vertical="center"/>
    </xf>
    <xf numFmtId="0" fontId="12" fillId="7" borderId="28" xfId="0" applyFont="1" applyFill="1" applyBorder="1" applyAlignment="1">
      <alignment horizontal="left" vertical="center"/>
    </xf>
    <xf numFmtId="0" fontId="0" fillId="0" borderId="6" xfId="0" applyFill="1" applyBorder="1"/>
    <xf numFmtId="0" fontId="15" fillId="8" borderId="4" xfId="0" applyFont="1" applyFill="1" applyBorder="1" applyAlignment="1">
      <alignment horizontal="center" vertical="center"/>
    </xf>
    <xf numFmtId="0" fontId="14" fillId="8" borderId="4" xfId="0" applyFont="1" applyFill="1" applyBorder="1" applyAlignment="1">
      <alignment horizontal="center" vertical="center"/>
    </xf>
    <xf numFmtId="0" fontId="13" fillId="8" borderId="4" xfId="0" applyFont="1" applyFill="1" applyBorder="1" applyAlignment="1">
      <alignment horizontal="center" vertical="center"/>
    </xf>
    <xf numFmtId="0" fontId="16" fillId="8" borderId="4" xfId="0" applyFont="1" applyFill="1" applyBorder="1" applyAlignment="1">
      <alignment horizontal="center" vertical="center"/>
    </xf>
    <xf numFmtId="0" fontId="16" fillId="11" borderId="4" xfId="0" applyFont="1" applyFill="1" applyBorder="1" applyAlignment="1">
      <alignment horizontal="center" vertical="center"/>
    </xf>
    <xf numFmtId="0" fontId="16" fillId="23" borderId="15" xfId="0" applyFont="1" applyFill="1" applyBorder="1" applyAlignment="1">
      <alignment horizontal="center" vertical="center"/>
    </xf>
    <xf numFmtId="0" fontId="13" fillId="23" borderId="15" xfId="0" applyFont="1" applyFill="1" applyBorder="1" applyAlignment="1">
      <alignment horizontal="center" vertical="center"/>
    </xf>
    <xf numFmtId="0" fontId="16" fillId="0" borderId="4" xfId="0" applyFont="1" applyFill="1" applyBorder="1" applyAlignment="1">
      <alignment horizontal="center" vertical="center"/>
    </xf>
    <xf numFmtId="0" fontId="16" fillId="7" borderId="4" xfId="0" applyFont="1" applyFill="1" applyBorder="1" applyAlignment="1">
      <alignment horizontal="center" vertical="center"/>
    </xf>
    <xf numFmtId="0" fontId="16" fillId="23" borderId="4" xfId="0" applyFont="1" applyFill="1" applyBorder="1" applyAlignment="1">
      <alignment horizontal="center" vertical="center"/>
    </xf>
    <xf numFmtId="49" fontId="12" fillId="0" borderId="4" xfId="0" applyNumberFormat="1" applyFont="1" applyFill="1" applyBorder="1" applyAlignment="1">
      <alignment horizontal="center" vertical="center"/>
    </xf>
    <xf numFmtId="0" fontId="16" fillId="25" borderId="4" xfId="0" applyFont="1" applyFill="1" applyBorder="1" applyAlignment="1">
      <alignment horizontal="center" vertical="center"/>
    </xf>
    <xf numFmtId="49" fontId="12" fillId="0" borderId="4" xfId="0" applyNumberFormat="1" applyFont="1" applyFill="1" applyBorder="1" applyAlignment="1">
      <alignment vertical="center"/>
    </xf>
    <xf numFmtId="0" fontId="12" fillId="0" borderId="4" xfId="0" applyFont="1" applyFill="1" applyBorder="1" applyAlignment="1">
      <alignment vertical="center"/>
    </xf>
    <xf numFmtId="0" fontId="3" fillId="0" borderId="4" xfId="6" applyBorder="1" applyAlignment="1"/>
    <xf numFmtId="0" fontId="16" fillId="30" borderId="4" xfId="0" applyFont="1" applyFill="1" applyBorder="1" applyAlignment="1">
      <alignment horizontal="center" vertical="center"/>
    </xf>
    <xf numFmtId="0" fontId="13" fillId="30" borderId="15" xfId="0" applyFont="1" applyFill="1" applyBorder="1" applyAlignment="1">
      <alignment horizontal="center" vertical="center"/>
    </xf>
    <xf numFmtId="0" fontId="13" fillId="30" borderId="22" xfId="0" applyFont="1" applyFill="1" applyBorder="1" applyAlignment="1">
      <alignment horizontal="center" vertical="center"/>
    </xf>
    <xf numFmtId="49" fontId="12" fillId="0" borderId="4" xfId="0" applyNumberFormat="1" applyFont="1" applyFill="1" applyBorder="1" applyAlignment="1">
      <alignment vertical="center" wrapText="1"/>
    </xf>
    <xf numFmtId="0" fontId="16" fillId="23" borderId="4" xfId="0" applyFont="1" applyFill="1" applyBorder="1" applyAlignment="1">
      <alignment horizontal="center" vertical="center" wrapText="1"/>
    </xf>
    <xf numFmtId="0" fontId="12" fillId="23" borderId="4" xfId="0" applyNumberFormat="1" applyFont="1" applyFill="1" applyBorder="1" applyAlignment="1">
      <alignment vertical="center"/>
    </xf>
    <xf numFmtId="0" fontId="16" fillId="15" borderId="4" xfId="0" applyFont="1" applyFill="1" applyBorder="1" applyAlignment="1">
      <alignment horizontal="left" vertical="center"/>
    </xf>
    <xf numFmtId="0" fontId="13" fillId="31" borderId="4" xfId="0" applyFont="1" applyFill="1" applyBorder="1" applyAlignment="1">
      <alignment vertical="center"/>
    </xf>
    <xf numFmtId="0" fontId="16" fillId="23" borderId="4" xfId="0" applyNumberFormat="1" applyFont="1" applyFill="1" applyBorder="1" applyAlignment="1">
      <alignment vertical="center"/>
    </xf>
    <xf numFmtId="0" fontId="0" fillId="30" borderId="4" xfId="0" applyFill="1" applyBorder="1" applyAlignment="1">
      <alignment horizontal="center"/>
    </xf>
  </cellXfs>
  <cellStyles count="4708">
    <cellStyle name="Excel Built-in Normal" xfId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ハイパーリンク" xfId="25" builtinId="8" hidden="1"/>
    <cellStyle name="ハイパーリンク" xfId="27" builtinId="8" hidden="1"/>
    <cellStyle name="ハイパーリンク" xfId="29" builtinId="8" hidden="1"/>
    <cellStyle name="ハイパーリンク" xfId="31" builtinId="8" hidden="1"/>
    <cellStyle name="ハイパーリンク" xfId="33" builtinId="8" hidden="1"/>
    <cellStyle name="ハイパーリンク" xfId="35" builtinId="8" hidden="1"/>
    <cellStyle name="ハイパーリンク" xfId="37" builtinId="8" hidden="1"/>
    <cellStyle name="ハイパーリンク" xfId="39" builtinId="8" hidden="1"/>
    <cellStyle name="ハイパーリンク" xfId="41" builtinId="8" hidden="1"/>
    <cellStyle name="ハイパーリンク" xfId="43" builtinId="8" hidden="1"/>
    <cellStyle name="ハイパーリンク" xfId="45" builtinId="8" hidden="1"/>
    <cellStyle name="ハイパーリンク" xfId="47" builtinId="8" hidden="1"/>
    <cellStyle name="ハイパーリンク" xfId="49" builtinId="8" hidden="1"/>
    <cellStyle name="ハイパーリンク" xfId="51" builtinId="8" hidden="1"/>
    <cellStyle name="ハイパーリンク" xfId="53" builtinId="8" hidden="1"/>
    <cellStyle name="ハイパーリンク" xfId="55" builtinId="8" hidden="1"/>
    <cellStyle name="ハイパーリンク" xfId="57" builtinId="8" hidden="1"/>
    <cellStyle name="ハイパーリンク" xfId="59" builtinId="8" hidden="1"/>
    <cellStyle name="ハイパーリンク" xfId="61" builtinId="8" hidden="1"/>
    <cellStyle name="ハイパーリンク" xfId="63" builtinId="8" hidden="1"/>
    <cellStyle name="ハイパーリンク" xfId="65" builtinId="8" hidden="1"/>
    <cellStyle name="ハイパーリンク" xfId="67" builtinId="8" hidden="1"/>
    <cellStyle name="ハイパーリンク" xfId="69" builtinId="8" hidden="1"/>
    <cellStyle name="ハイパーリンク" xfId="71" builtinId="8" hidden="1"/>
    <cellStyle name="ハイパーリンク" xfId="73" builtinId="8" hidden="1"/>
    <cellStyle name="ハイパーリンク" xfId="75" builtinId="8" hidden="1"/>
    <cellStyle name="ハイパーリンク" xfId="77" builtinId="8" hidden="1"/>
    <cellStyle name="ハイパーリンク" xfId="79" builtinId="8" hidden="1"/>
    <cellStyle name="ハイパーリンク" xfId="81" builtinId="8" hidden="1"/>
    <cellStyle name="ハイパーリンク" xfId="83" builtinId="8" hidden="1"/>
    <cellStyle name="ハイパーリンク" xfId="85" builtinId="8" hidden="1"/>
    <cellStyle name="ハイパーリンク" xfId="87" builtinId="8" hidden="1"/>
    <cellStyle name="ハイパーリンク" xfId="89" builtinId="8" hidden="1"/>
    <cellStyle name="ハイパーリンク" xfId="91" builtinId="8" hidden="1"/>
    <cellStyle name="ハイパーリンク" xfId="93" builtinId="8" hidden="1"/>
    <cellStyle name="ハイパーリンク" xfId="95" builtinId="8" hidden="1"/>
    <cellStyle name="ハイパーリンク" xfId="97" builtinId="8" hidden="1"/>
    <cellStyle name="ハイパーリンク" xfId="99" builtinId="8" hidden="1"/>
    <cellStyle name="ハイパーリンク" xfId="101" builtinId="8" hidden="1"/>
    <cellStyle name="ハイパーリンク" xfId="103" builtinId="8" hidden="1"/>
    <cellStyle name="ハイパーリンク" xfId="105" builtinId="8" hidden="1"/>
    <cellStyle name="ハイパーリンク" xfId="107" builtinId="8" hidden="1"/>
    <cellStyle name="ハイパーリンク" xfId="109" builtinId="8" hidden="1"/>
    <cellStyle name="ハイパーリンク" xfId="111" builtinId="8" hidden="1"/>
    <cellStyle name="ハイパーリンク" xfId="113" builtinId="8" hidden="1"/>
    <cellStyle name="ハイパーリンク" xfId="115" builtinId="8" hidden="1"/>
    <cellStyle name="ハイパーリンク" xfId="117" builtinId="8" hidden="1"/>
    <cellStyle name="ハイパーリンク" xfId="119" builtinId="8" hidden="1"/>
    <cellStyle name="ハイパーリンク" xfId="121" builtinId="8" hidden="1"/>
    <cellStyle name="ハイパーリンク" xfId="123" builtinId="8" hidden="1"/>
    <cellStyle name="ハイパーリンク" xfId="125" builtinId="8" hidden="1"/>
    <cellStyle name="ハイパーリンク" xfId="127" builtinId="8" hidden="1"/>
    <cellStyle name="ハイパーリンク" xfId="129" builtinId="8" hidden="1"/>
    <cellStyle name="ハイパーリンク" xfId="131" builtinId="8" hidden="1"/>
    <cellStyle name="ハイパーリンク" xfId="133" builtinId="8" hidden="1"/>
    <cellStyle name="ハイパーリンク" xfId="135" builtinId="8" hidden="1"/>
    <cellStyle name="ハイパーリンク" xfId="137" builtinId="8" hidden="1"/>
    <cellStyle name="ハイパーリンク" xfId="139" builtinId="8" hidden="1"/>
    <cellStyle name="ハイパーリンク" xfId="141" builtinId="8" hidden="1"/>
    <cellStyle name="ハイパーリンク" xfId="143" builtinId="8" hidden="1"/>
    <cellStyle name="ハイパーリンク" xfId="145" builtinId="8" hidden="1"/>
    <cellStyle name="ハイパーリンク" xfId="147" builtinId="8" hidden="1"/>
    <cellStyle name="ハイパーリンク" xfId="149" builtinId="8" hidden="1"/>
    <cellStyle name="ハイパーリンク" xfId="151" builtinId="8" hidden="1"/>
    <cellStyle name="ハイパーリンク" xfId="153" builtinId="8" hidden="1"/>
    <cellStyle name="ハイパーリンク" xfId="155" builtinId="8" hidden="1"/>
    <cellStyle name="ハイパーリンク" xfId="157" builtinId="8" hidden="1"/>
    <cellStyle name="ハイパーリンク" xfId="159" builtinId="8" hidden="1"/>
    <cellStyle name="ハイパーリンク" xfId="161" builtinId="8" hidden="1"/>
    <cellStyle name="ハイパーリンク" xfId="163" builtinId="8" hidden="1"/>
    <cellStyle name="ハイパーリンク" xfId="165" builtinId="8" hidden="1"/>
    <cellStyle name="ハイパーリンク" xfId="167" builtinId="8" hidden="1"/>
    <cellStyle name="ハイパーリンク" xfId="169" builtinId="8" hidden="1"/>
    <cellStyle name="ハイパーリンク" xfId="171" builtinId="8" hidden="1"/>
    <cellStyle name="ハイパーリンク" xfId="173" builtinId="8" hidden="1"/>
    <cellStyle name="ハイパーリンク" xfId="175" builtinId="8" hidden="1"/>
    <cellStyle name="ハイパーリンク" xfId="177" builtinId="8" hidden="1"/>
    <cellStyle name="ハイパーリンク" xfId="179" builtinId="8" hidden="1"/>
    <cellStyle name="ハイパーリンク" xfId="181" builtinId="8" hidden="1"/>
    <cellStyle name="ハイパーリンク" xfId="183" builtinId="8" hidden="1"/>
    <cellStyle name="ハイパーリンク" xfId="185" builtinId="8" hidden="1"/>
    <cellStyle name="ハイパーリンク" xfId="187" builtinId="8" hidden="1"/>
    <cellStyle name="ハイパーリンク" xfId="189" builtinId="8" hidden="1"/>
    <cellStyle name="ハイパーリンク" xfId="191" builtinId="8" hidden="1"/>
    <cellStyle name="ハイパーリンク" xfId="193" builtinId="8" hidden="1"/>
    <cellStyle name="ハイパーリンク" xfId="195" builtinId="8" hidden="1"/>
    <cellStyle name="ハイパーリンク" xfId="197" builtinId="8" hidden="1"/>
    <cellStyle name="ハイパーリンク" xfId="199" builtinId="8" hidden="1"/>
    <cellStyle name="ハイパーリンク" xfId="201" builtinId="8" hidden="1"/>
    <cellStyle name="ハイパーリンク" xfId="203" builtinId="8" hidden="1"/>
    <cellStyle name="ハイパーリンク" xfId="205" builtinId="8" hidden="1"/>
    <cellStyle name="ハイパーリンク" xfId="207" builtinId="8" hidden="1"/>
    <cellStyle name="ハイパーリンク" xfId="209" builtinId="8" hidden="1"/>
    <cellStyle name="ハイパーリンク" xfId="211" builtinId="8" hidden="1"/>
    <cellStyle name="ハイパーリンク" xfId="213" builtinId="8" hidden="1"/>
    <cellStyle name="ハイパーリンク" xfId="215" builtinId="8" hidden="1"/>
    <cellStyle name="ハイパーリンク" xfId="217" builtinId="8" hidden="1"/>
    <cellStyle name="ハイパーリンク" xfId="219" builtinId="8" hidden="1"/>
    <cellStyle name="ハイパーリンク" xfId="221" builtinId="8" hidden="1"/>
    <cellStyle name="ハイパーリンク" xfId="223" builtinId="8" hidden="1"/>
    <cellStyle name="ハイパーリンク" xfId="225" builtinId="8" hidden="1"/>
    <cellStyle name="ハイパーリンク" xfId="227" builtinId="8" hidden="1"/>
    <cellStyle name="ハイパーリンク" xfId="229" builtinId="8" hidden="1"/>
    <cellStyle name="ハイパーリンク" xfId="231" builtinId="8" hidden="1"/>
    <cellStyle name="ハイパーリンク" xfId="233" builtinId="8" hidden="1"/>
    <cellStyle name="ハイパーリンク" xfId="235" builtinId="8" hidden="1"/>
    <cellStyle name="ハイパーリンク" xfId="237" builtinId="8" hidden="1"/>
    <cellStyle name="ハイパーリンク" xfId="239" builtinId="8" hidden="1"/>
    <cellStyle name="ハイパーリンク" xfId="241" builtinId="8" hidden="1"/>
    <cellStyle name="ハイパーリンク" xfId="243" builtinId="8" hidden="1"/>
    <cellStyle name="ハイパーリンク" xfId="245" builtinId="8" hidden="1"/>
    <cellStyle name="ハイパーリンク" xfId="247" builtinId="8" hidden="1"/>
    <cellStyle name="ハイパーリンク" xfId="249" builtinId="8" hidden="1"/>
    <cellStyle name="ハイパーリンク" xfId="251" builtinId="8" hidden="1"/>
    <cellStyle name="ハイパーリンク" xfId="253" builtinId="8" hidden="1"/>
    <cellStyle name="ハイパーリンク" xfId="255" builtinId="8" hidden="1"/>
    <cellStyle name="ハイパーリンク" xfId="257" builtinId="8" hidden="1"/>
    <cellStyle name="ハイパーリンク" xfId="259" builtinId="8" hidden="1"/>
    <cellStyle name="ハイパーリンク" xfId="261" builtinId="8" hidden="1"/>
    <cellStyle name="ハイパーリンク" xfId="263" builtinId="8" hidden="1"/>
    <cellStyle name="ハイパーリンク" xfId="265" builtinId="8" hidden="1"/>
    <cellStyle name="ハイパーリンク" xfId="267" builtinId="8" hidden="1"/>
    <cellStyle name="ハイパーリンク" xfId="269" builtinId="8" hidden="1"/>
    <cellStyle name="ハイパーリンク" xfId="271" builtinId="8" hidden="1"/>
    <cellStyle name="ハイパーリンク" xfId="273" builtinId="8" hidden="1"/>
    <cellStyle name="ハイパーリンク" xfId="275" builtinId="8" hidden="1"/>
    <cellStyle name="ハイパーリンク" xfId="277" builtinId="8" hidden="1"/>
    <cellStyle name="ハイパーリンク" xfId="279" builtinId="8" hidden="1"/>
    <cellStyle name="ハイパーリンク" xfId="281" builtinId="8" hidden="1"/>
    <cellStyle name="ハイパーリンク" xfId="283" builtinId="8" hidden="1"/>
    <cellStyle name="ハイパーリンク" xfId="285" builtinId="8" hidden="1"/>
    <cellStyle name="ハイパーリンク" xfId="287" builtinId="8" hidden="1"/>
    <cellStyle name="ハイパーリンク" xfId="289" builtinId="8" hidden="1"/>
    <cellStyle name="ハイパーリンク" xfId="291" builtinId="8" hidden="1"/>
    <cellStyle name="ハイパーリンク" xfId="293" builtinId="8" hidden="1"/>
    <cellStyle name="ハイパーリンク" xfId="295" builtinId="8" hidden="1"/>
    <cellStyle name="ハイパーリンク" xfId="297" builtinId="8" hidden="1"/>
    <cellStyle name="ハイパーリンク" xfId="299" builtinId="8" hidden="1"/>
    <cellStyle name="ハイパーリンク" xfId="301" builtinId="8" hidden="1"/>
    <cellStyle name="ハイパーリンク" xfId="303" builtinId="8" hidden="1"/>
    <cellStyle name="ハイパーリンク" xfId="305" builtinId="8" hidden="1"/>
    <cellStyle name="ハイパーリンク" xfId="307" builtinId="8" hidden="1"/>
    <cellStyle name="ハイパーリンク" xfId="309" builtinId="8" hidden="1"/>
    <cellStyle name="ハイパーリンク" xfId="311" builtinId="8" hidden="1"/>
    <cellStyle name="ハイパーリンク" xfId="313" builtinId="8" hidden="1"/>
    <cellStyle name="ハイパーリンク" xfId="315" builtinId="8" hidden="1"/>
    <cellStyle name="ハイパーリンク" xfId="317" builtinId="8" hidden="1"/>
    <cellStyle name="ハイパーリンク" xfId="319" builtinId="8" hidden="1"/>
    <cellStyle name="ハイパーリンク" xfId="321" builtinId="8" hidden="1"/>
    <cellStyle name="ハイパーリンク" xfId="323" builtinId="8" hidden="1"/>
    <cellStyle name="ハイパーリンク" xfId="325" builtinId="8" hidden="1"/>
    <cellStyle name="ハイパーリンク" xfId="327" builtinId="8" hidden="1"/>
    <cellStyle name="ハイパーリンク" xfId="329" builtinId="8" hidden="1"/>
    <cellStyle name="ハイパーリンク" xfId="331" builtinId="8" hidden="1"/>
    <cellStyle name="ハイパーリンク" xfId="333" builtinId="8" hidden="1"/>
    <cellStyle name="ハイパーリンク" xfId="335" builtinId="8" hidden="1"/>
    <cellStyle name="ハイパーリンク" xfId="337" builtinId="8" hidden="1"/>
    <cellStyle name="ハイパーリンク" xfId="339" builtinId="8" hidden="1"/>
    <cellStyle name="ハイパーリンク" xfId="341" builtinId="8" hidden="1"/>
    <cellStyle name="ハイパーリンク" xfId="343" builtinId="8" hidden="1"/>
    <cellStyle name="ハイパーリンク" xfId="345" builtinId="8" hidden="1"/>
    <cellStyle name="ハイパーリンク" xfId="347" builtinId="8" hidden="1"/>
    <cellStyle name="ハイパーリンク" xfId="349" builtinId="8" hidden="1"/>
    <cellStyle name="ハイパーリンク" xfId="351" builtinId="8" hidden="1"/>
    <cellStyle name="ハイパーリンク" xfId="353" builtinId="8" hidden="1"/>
    <cellStyle name="ハイパーリンク" xfId="355" builtinId="8" hidden="1"/>
    <cellStyle name="ハイパーリンク" xfId="357" builtinId="8" hidden="1"/>
    <cellStyle name="ハイパーリンク" xfId="359" builtinId="8" hidden="1"/>
    <cellStyle name="ハイパーリンク" xfId="361" builtinId="8" hidden="1"/>
    <cellStyle name="ハイパーリンク" xfId="363" builtinId="8" hidden="1"/>
    <cellStyle name="ハイパーリンク" xfId="365" builtinId="8" hidden="1"/>
    <cellStyle name="ハイパーリンク" xfId="367" builtinId="8" hidden="1"/>
    <cellStyle name="ハイパーリンク" xfId="369" builtinId="8" hidden="1"/>
    <cellStyle name="ハイパーリンク" xfId="371" builtinId="8" hidden="1"/>
    <cellStyle name="ハイパーリンク" xfId="373" builtinId="8" hidden="1"/>
    <cellStyle name="ハイパーリンク" xfId="375" builtinId="8" hidden="1"/>
    <cellStyle name="ハイパーリンク" xfId="377" builtinId="8" hidden="1"/>
    <cellStyle name="ハイパーリンク" xfId="379" builtinId="8" hidden="1"/>
    <cellStyle name="ハイパーリンク" xfId="381" builtinId="8" hidden="1"/>
    <cellStyle name="ハイパーリンク" xfId="383" builtinId="8" hidden="1"/>
    <cellStyle name="ハイパーリンク" xfId="385" builtinId="8" hidden="1"/>
    <cellStyle name="ハイパーリンク" xfId="387" builtinId="8" hidden="1"/>
    <cellStyle name="ハイパーリンク" xfId="389" builtinId="8" hidden="1"/>
    <cellStyle name="ハイパーリンク" xfId="391" builtinId="8" hidden="1"/>
    <cellStyle name="ハイパーリンク" xfId="393" builtinId="8" hidden="1"/>
    <cellStyle name="ハイパーリンク" xfId="395" builtinId="8" hidden="1"/>
    <cellStyle name="ハイパーリンク" xfId="397" builtinId="8" hidden="1"/>
    <cellStyle name="ハイパーリンク" xfId="399" builtinId="8" hidden="1"/>
    <cellStyle name="ハイパーリンク" xfId="401" builtinId="8" hidden="1"/>
    <cellStyle name="ハイパーリンク" xfId="403" builtinId="8" hidden="1"/>
    <cellStyle name="ハイパーリンク" xfId="405" builtinId="8" hidden="1"/>
    <cellStyle name="ハイパーリンク" xfId="407" builtinId="8" hidden="1"/>
    <cellStyle name="ハイパーリンク" xfId="409" builtinId="8" hidden="1"/>
    <cellStyle name="ハイパーリンク" xfId="411" builtinId="8" hidden="1"/>
    <cellStyle name="ハイパーリンク" xfId="413" builtinId="8" hidden="1"/>
    <cellStyle name="ハイパーリンク" xfId="415" builtinId="8" hidden="1"/>
    <cellStyle name="ハイパーリンク" xfId="417" builtinId="8" hidden="1"/>
    <cellStyle name="ハイパーリンク" xfId="419" builtinId="8" hidden="1"/>
    <cellStyle name="ハイパーリンク" xfId="421" builtinId="8" hidden="1"/>
    <cellStyle name="ハイパーリンク" xfId="423" builtinId="8" hidden="1"/>
    <cellStyle name="ハイパーリンク" xfId="425" builtinId="8" hidden="1"/>
    <cellStyle name="ハイパーリンク" xfId="427" builtinId="8" hidden="1"/>
    <cellStyle name="ハイパーリンク" xfId="429" builtinId="8" hidden="1"/>
    <cellStyle name="ハイパーリンク" xfId="431" builtinId="8" hidden="1"/>
    <cellStyle name="ハイパーリンク" xfId="433" builtinId="8" hidden="1"/>
    <cellStyle name="ハイパーリンク" xfId="435" builtinId="8" hidden="1"/>
    <cellStyle name="ハイパーリンク" xfId="437" builtinId="8" hidden="1"/>
    <cellStyle name="ハイパーリンク" xfId="439" builtinId="8" hidden="1"/>
    <cellStyle name="ハイパーリンク" xfId="441" builtinId="8" hidden="1"/>
    <cellStyle name="ハイパーリンク" xfId="443" builtinId="8" hidden="1"/>
    <cellStyle name="ハイパーリンク" xfId="445" builtinId="8" hidden="1"/>
    <cellStyle name="ハイパーリンク" xfId="447" builtinId="8" hidden="1"/>
    <cellStyle name="ハイパーリンク" xfId="449" builtinId="8" hidden="1"/>
    <cellStyle name="ハイパーリンク" xfId="451" builtinId="8" hidden="1"/>
    <cellStyle name="ハイパーリンク" xfId="453" builtinId="8" hidden="1"/>
    <cellStyle name="ハイパーリンク" xfId="455" builtinId="8" hidden="1"/>
    <cellStyle name="ハイパーリンク" xfId="457" builtinId="8" hidden="1"/>
    <cellStyle name="ハイパーリンク" xfId="459" builtinId="8" hidden="1"/>
    <cellStyle name="ハイパーリンク" xfId="461" builtinId="8" hidden="1"/>
    <cellStyle name="ハイパーリンク" xfId="463" builtinId="8" hidden="1"/>
    <cellStyle name="ハイパーリンク" xfId="465" builtinId="8" hidden="1"/>
    <cellStyle name="ハイパーリンク" xfId="467" builtinId="8" hidden="1"/>
    <cellStyle name="ハイパーリンク" xfId="469" builtinId="8" hidden="1"/>
    <cellStyle name="ハイパーリンク" xfId="471" builtinId="8" hidden="1"/>
    <cellStyle name="ハイパーリンク" xfId="473" builtinId="8" hidden="1"/>
    <cellStyle name="ハイパーリンク" xfId="475" builtinId="8" hidden="1"/>
    <cellStyle name="ハイパーリンク" xfId="477" builtinId="8" hidden="1"/>
    <cellStyle name="ハイパーリンク" xfId="479" builtinId="8" hidden="1"/>
    <cellStyle name="ハイパーリンク" xfId="481" builtinId="8" hidden="1"/>
    <cellStyle name="ハイパーリンク" xfId="483" builtinId="8" hidden="1"/>
    <cellStyle name="ハイパーリンク" xfId="485" builtinId="8" hidden="1"/>
    <cellStyle name="ハイパーリンク" xfId="487" builtinId="8" hidden="1"/>
    <cellStyle name="ハイパーリンク" xfId="489" builtinId="8" hidden="1"/>
    <cellStyle name="ハイパーリンク" xfId="491" builtinId="8" hidden="1"/>
    <cellStyle name="ハイパーリンク" xfId="493" builtinId="8" hidden="1"/>
    <cellStyle name="ハイパーリンク" xfId="495" builtinId="8" hidden="1"/>
    <cellStyle name="ハイパーリンク" xfId="497" builtinId="8" hidden="1"/>
    <cellStyle name="ハイパーリンク" xfId="499" builtinId="8" hidden="1"/>
    <cellStyle name="ハイパーリンク" xfId="501" builtinId="8" hidden="1"/>
    <cellStyle name="ハイパーリンク" xfId="503" builtinId="8" hidden="1"/>
    <cellStyle name="ハイパーリンク" xfId="505" builtinId="8" hidden="1"/>
    <cellStyle name="ハイパーリンク" xfId="507" builtinId="8" hidden="1"/>
    <cellStyle name="ハイパーリンク" xfId="509" builtinId="8" hidden="1"/>
    <cellStyle name="ハイパーリンク" xfId="511" builtinId="8" hidden="1"/>
    <cellStyle name="ハイパーリンク" xfId="513" builtinId="8" hidden="1"/>
    <cellStyle name="ハイパーリンク" xfId="515" builtinId="8" hidden="1"/>
    <cellStyle name="ハイパーリンク" xfId="517" builtinId="8" hidden="1"/>
    <cellStyle name="ハイパーリンク" xfId="519" builtinId="8" hidden="1"/>
    <cellStyle name="ハイパーリンク" xfId="521" builtinId="8" hidden="1"/>
    <cellStyle name="ハイパーリンク" xfId="523" builtinId="8" hidden="1"/>
    <cellStyle name="ハイパーリンク" xfId="525" builtinId="8" hidden="1"/>
    <cellStyle name="ハイパーリンク" xfId="527" builtinId="8" hidden="1"/>
    <cellStyle name="ハイパーリンク" xfId="529" builtinId="8" hidden="1"/>
    <cellStyle name="ハイパーリンク" xfId="531" builtinId="8" hidden="1"/>
    <cellStyle name="ハイパーリンク" xfId="533" builtinId="8" hidden="1"/>
    <cellStyle name="ハイパーリンク" xfId="535" builtinId="8" hidden="1"/>
    <cellStyle name="ハイパーリンク" xfId="537" builtinId="8" hidden="1"/>
    <cellStyle name="ハイパーリンク" xfId="539" builtinId="8" hidden="1"/>
    <cellStyle name="ハイパーリンク" xfId="541" builtinId="8" hidden="1"/>
    <cellStyle name="ハイパーリンク" xfId="543" builtinId="8" hidden="1"/>
    <cellStyle name="ハイパーリンク" xfId="545" builtinId="8" hidden="1"/>
    <cellStyle name="ハイパーリンク" xfId="547" builtinId="8" hidden="1"/>
    <cellStyle name="ハイパーリンク" xfId="549" builtinId="8" hidden="1"/>
    <cellStyle name="ハイパーリンク" xfId="551" builtinId="8" hidden="1"/>
    <cellStyle name="ハイパーリンク" xfId="553" builtinId="8" hidden="1"/>
    <cellStyle name="ハイパーリンク" xfId="555" builtinId="8" hidden="1"/>
    <cellStyle name="ハイパーリンク" xfId="557" builtinId="8" hidden="1"/>
    <cellStyle name="ハイパーリンク" xfId="559" builtinId="8" hidden="1"/>
    <cellStyle name="ハイパーリンク" xfId="561" builtinId="8" hidden="1"/>
    <cellStyle name="ハイパーリンク" xfId="563" builtinId="8" hidden="1"/>
    <cellStyle name="ハイパーリンク" xfId="565" builtinId="8" hidden="1"/>
    <cellStyle name="ハイパーリンク" xfId="567" builtinId="8" hidden="1"/>
    <cellStyle name="ハイパーリンク" xfId="569" builtinId="8" hidden="1"/>
    <cellStyle name="ハイパーリンク" xfId="571" builtinId="8" hidden="1"/>
    <cellStyle name="ハイパーリンク" xfId="573" builtinId="8" hidden="1"/>
    <cellStyle name="ハイパーリンク" xfId="575" builtinId="8" hidden="1"/>
    <cellStyle name="ハイパーリンク" xfId="577" builtinId="8" hidden="1"/>
    <cellStyle name="ハイパーリンク" xfId="579" builtinId="8" hidden="1"/>
    <cellStyle name="ハイパーリンク" xfId="581" builtinId="8" hidden="1"/>
    <cellStyle name="ハイパーリンク" xfId="583" builtinId="8" hidden="1"/>
    <cellStyle name="ハイパーリンク" xfId="585" builtinId="8" hidden="1"/>
    <cellStyle name="ハイパーリンク" xfId="587" builtinId="8" hidden="1"/>
    <cellStyle name="ハイパーリンク" xfId="589" builtinId="8" hidden="1"/>
    <cellStyle name="ハイパーリンク" xfId="591" builtinId="8" hidden="1"/>
    <cellStyle name="ハイパーリンク" xfId="593" builtinId="8" hidden="1"/>
    <cellStyle name="ハイパーリンク" xfId="595" builtinId="8" hidden="1"/>
    <cellStyle name="ハイパーリンク" xfId="597" builtinId="8" hidden="1"/>
    <cellStyle name="ハイパーリンク" xfId="599" builtinId="8" hidden="1"/>
    <cellStyle name="ハイパーリンク" xfId="601" builtinId="8" hidden="1"/>
    <cellStyle name="ハイパーリンク" xfId="603" builtinId="8" hidden="1"/>
    <cellStyle name="ハイパーリンク" xfId="605" builtinId="8" hidden="1"/>
    <cellStyle name="ハイパーリンク" xfId="607" builtinId="8" hidden="1"/>
    <cellStyle name="ハイパーリンク" xfId="609" builtinId="8" hidden="1"/>
    <cellStyle name="ハイパーリンク" xfId="611" builtinId="8" hidden="1"/>
    <cellStyle name="ハイパーリンク" xfId="613" builtinId="8" hidden="1"/>
    <cellStyle name="ハイパーリンク" xfId="615" builtinId="8" hidden="1"/>
    <cellStyle name="ハイパーリンク" xfId="617" builtinId="8" hidden="1"/>
    <cellStyle name="ハイパーリンク" xfId="619" builtinId="8" hidden="1"/>
    <cellStyle name="ハイパーリンク" xfId="621" builtinId="8" hidden="1"/>
    <cellStyle name="ハイパーリンク" xfId="623" builtinId="8" hidden="1"/>
    <cellStyle name="ハイパーリンク" xfId="625" builtinId="8" hidden="1"/>
    <cellStyle name="ハイパーリンク" xfId="627" builtinId="8" hidden="1"/>
    <cellStyle name="ハイパーリンク" xfId="629" builtinId="8" hidden="1"/>
    <cellStyle name="ハイパーリンク" xfId="631" builtinId="8" hidden="1"/>
    <cellStyle name="ハイパーリンク" xfId="633" builtinId="8" hidden="1"/>
    <cellStyle name="ハイパーリンク" xfId="635" builtinId="8" hidden="1"/>
    <cellStyle name="ハイパーリンク" xfId="637" builtinId="8" hidden="1"/>
    <cellStyle name="ハイパーリンク" xfId="639" builtinId="8" hidden="1"/>
    <cellStyle name="ハイパーリンク" xfId="641" builtinId="8" hidden="1"/>
    <cellStyle name="ハイパーリンク" xfId="643" builtinId="8" hidden="1"/>
    <cellStyle name="ハイパーリンク" xfId="645" builtinId="8" hidden="1"/>
    <cellStyle name="ハイパーリンク" xfId="647" builtinId="8" hidden="1"/>
    <cellStyle name="ハイパーリンク" xfId="649" builtinId="8" hidden="1"/>
    <cellStyle name="ハイパーリンク" xfId="651" builtinId="8" hidden="1"/>
    <cellStyle name="ハイパーリンク" xfId="653" builtinId="8" hidden="1"/>
    <cellStyle name="ハイパーリンク" xfId="655" builtinId="8" hidden="1"/>
    <cellStyle name="ハイパーリンク" xfId="657" builtinId="8" hidden="1"/>
    <cellStyle name="ハイパーリンク" xfId="659" builtinId="8" hidden="1"/>
    <cellStyle name="ハイパーリンク" xfId="661" builtinId="8" hidden="1"/>
    <cellStyle name="ハイパーリンク" xfId="663" builtinId="8" hidden="1"/>
    <cellStyle name="ハイパーリンク" xfId="665" builtinId="8" hidden="1"/>
    <cellStyle name="ハイパーリンク" xfId="667" builtinId="8" hidden="1"/>
    <cellStyle name="ハイパーリンク" xfId="669" builtinId="8" hidden="1"/>
    <cellStyle name="ハイパーリンク" xfId="671" builtinId="8" hidden="1"/>
    <cellStyle name="ハイパーリンク" xfId="673" builtinId="8" hidden="1"/>
    <cellStyle name="ハイパーリンク" xfId="675" builtinId="8" hidden="1"/>
    <cellStyle name="ハイパーリンク" xfId="677" builtinId="8" hidden="1"/>
    <cellStyle name="ハイパーリンク" xfId="679" builtinId="8" hidden="1"/>
    <cellStyle name="ハイパーリンク" xfId="681" builtinId="8" hidden="1"/>
    <cellStyle name="ハイパーリンク" xfId="683" builtinId="8" hidden="1"/>
    <cellStyle name="ハイパーリンク" xfId="685" builtinId="8" hidden="1"/>
    <cellStyle name="ハイパーリンク" xfId="687" builtinId="8" hidden="1"/>
    <cellStyle name="ハイパーリンク" xfId="689" builtinId="8" hidden="1"/>
    <cellStyle name="ハイパーリンク" xfId="691" builtinId="8" hidden="1"/>
    <cellStyle name="ハイパーリンク" xfId="693" builtinId="8" hidden="1"/>
    <cellStyle name="ハイパーリンク" xfId="695" builtinId="8" hidden="1"/>
    <cellStyle name="ハイパーリンク" xfId="697" builtinId="8" hidden="1"/>
    <cellStyle name="ハイパーリンク" xfId="699" builtinId="8" hidden="1"/>
    <cellStyle name="ハイパーリンク" xfId="701" builtinId="8" hidden="1"/>
    <cellStyle name="ハイパーリンク" xfId="703" builtinId="8" hidden="1"/>
    <cellStyle name="ハイパーリンク" xfId="705" builtinId="8" hidden="1"/>
    <cellStyle name="ハイパーリンク" xfId="707" builtinId="8" hidden="1"/>
    <cellStyle name="ハイパーリンク" xfId="709" builtinId="8" hidden="1"/>
    <cellStyle name="ハイパーリンク" xfId="711" builtinId="8" hidden="1"/>
    <cellStyle name="ハイパーリンク" xfId="713" builtinId="8" hidden="1"/>
    <cellStyle name="ハイパーリンク" xfId="715" builtinId="8" hidden="1"/>
    <cellStyle name="ハイパーリンク" xfId="717" builtinId="8" hidden="1"/>
    <cellStyle name="ハイパーリンク" xfId="719" builtinId="8" hidden="1"/>
    <cellStyle name="ハイパーリンク" xfId="721" builtinId="8" hidden="1"/>
    <cellStyle name="ハイパーリンク" xfId="723" builtinId="8" hidden="1"/>
    <cellStyle name="ハイパーリンク" xfId="725" builtinId="8" hidden="1"/>
    <cellStyle name="ハイパーリンク" xfId="727" builtinId="8" hidden="1"/>
    <cellStyle name="ハイパーリンク" xfId="729" builtinId="8" hidden="1"/>
    <cellStyle name="ハイパーリンク" xfId="731" builtinId="8" hidden="1"/>
    <cellStyle name="ハイパーリンク" xfId="733" builtinId="8" hidden="1"/>
    <cellStyle name="ハイパーリンク" xfId="735" builtinId="8" hidden="1"/>
    <cellStyle name="ハイパーリンク" xfId="737" builtinId="8" hidden="1"/>
    <cellStyle name="ハイパーリンク" xfId="739" builtinId="8" hidden="1"/>
    <cellStyle name="ハイパーリンク" xfId="741" builtinId="8" hidden="1"/>
    <cellStyle name="ハイパーリンク" xfId="743" builtinId="8" hidden="1"/>
    <cellStyle name="ハイパーリンク" xfId="745" builtinId="8" hidden="1"/>
    <cellStyle name="ハイパーリンク" xfId="747" builtinId="8" hidden="1"/>
    <cellStyle name="ハイパーリンク" xfId="749" builtinId="8" hidden="1"/>
    <cellStyle name="ハイパーリンク" xfId="751" builtinId="8" hidden="1"/>
    <cellStyle name="ハイパーリンク" xfId="753" builtinId="8" hidden="1"/>
    <cellStyle name="ハイパーリンク" xfId="755" builtinId="8" hidden="1"/>
    <cellStyle name="ハイパーリンク" xfId="757" builtinId="8" hidden="1"/>
    <cellStyle name="ハイパーリンク" xfId="759" builtinId="8" hidden="1"/>
    <cellStyle name="ハイパーリンク" xfId="761" builtinId="8" hidden="1"/>
    <cellStyle name="ハイパーリンク" xfId="763" builtinId="8" hidden="1"/>
    <cellStyle name="ハイパーリンク" xfId="765" builtinId="8" hidden="1"/>
    <cellStyle name="ハイパーリンク" xfId="767" builtinId="8" hidden="1"/>
    <cellStyle name="ハイパーリンク" xfId="769" builtinId="8" hidden="1"/>
    <cellStyle name="ハイパーリンク" xfId="771" builtinId="8" hidden="1"/>
    <cellStyle name="ハイパーリンク" xfId="773" builtinId="8" hidden="1"/>
    <cellStyle name="ハイパーリンク" xfId="775" builtinId="8" hidden="1"/>
    <cellStyle name="ハイパーリンク" xfId="777" builtinId="8" hidden="1"/>
    <cellStyle name="ハイパーリンク" xfId="779" builtinId="8" hidden="1"/>
    <cellStyle name="ハイパーリンク" xfId="781" builtinId="8" hidden="1"/>
    <cellStyle name="ハイパーリンク" xfId="783" builtinId="8" hidden="1"/>
    <cellStyle name="ハイパーリンク" xfId="785" builtinId="8" hidden="1"/>
    <cellStyle name="ハイパーリンク" xfId="787" builtinId="8" hidden="1"/>
    <cellStyle name="ハイパーリンク" xfId="789" builtinId="8" hidden="1"/>
    <cellStyle name="ハイパーリンク" xfId="791" builtinId="8" hidden="1"/>
    <cellStyle name="ハイパーリンク" xfId="793" builtinId="8" hidden="1"/>
    <cellStyle name="ハイパーリンク" xfId="795" builtinId="8" hidden="1"/>
    <cellStyle name="ハイパーリンク" xfId="797" builtinId="8" hidden="1"/>
    <cellStyle name="ハイパーリンク" xfId="799" builtinId="8" hidden="1"/>
    <cellStyle name="ハイパーリンク" xfId="801" builtinId="8" hidden="1"/>
    <cellStyle name="ハイパーリンク" xfId="803" builtinId="8" hidden="1"/>
    <cellStyle name="ハイパーリンク" xfId="805" builtinId="8" hidden="1"/>
    <cellStyle name="ハイパーリンク" xfId="807" builtinId="8" hidden="1"/>
    <cellStyle name="ハイパーリンク" xfId="809" builtinId="8" hidden="1"/>
    <cellStyle name="ハイパーリンク" xfId="811" builtinId="8" hidden="1"/>
    <cellStyle name="ハイパーリンク" xfId="813" builtinId="8" hidden="1"/>
    <cellStyle name="ハイパーリンク" xfId="815" builtinId="8" hidden="1"/>
    <cellStyle name="ハイパーリンク" xfId="817" builtinId="8" hidden="1"/>
    <cellStyle name="ハイパーリンク" xfId="819" builtinId="8" hidden="1"/>
    <cellStyle name="ハイパーリンク" xfId="821" builtinId="8" hidden="1"/>
    <cellStyle name="ハイパーリンク" xfId="823" builtinId="8" hidden="1"/>
    <cellStyle name="ハイパーリンク" xfId="825" builtinId="8" hidden="1"/>
    <cellStyle name="ハイパーリンク" xfId="827" builtinId="8" hidden="1"/>
    <cellStyle name="ハイパーリンク" xfId="829" builtinId="8" hidden="1"/>
    <cellStyle name="ハイパーリンク" xfId="831" builtinId="8" hidden="1"/>
    <cellStyle name="ハイパーリンク" xfId="833" builtinId="8" hidden="1"/>
    <cellStyle name="ハイパーリンク" xfId="835" builtinId="8" hidden="1"/>
    <cellStyle name="ハイパーリンク" xfId="837" builtinId="8" hidden="1"/>
    <cellStyle name="ハイパーリンク" xfId="839" builtinId="8" hidden="1"/>
    <cellStyle name="ハイパーリンク" xfId="841" builtinId="8" hidden="1"/>
    <cellStyle name="ハイパーリンク" xfId="843" builtinId="8" hidden="1"/>
    <cellStyle name="ハイパーリンク" xfId="845" builtinId="8" hidden="1"/>
    <cellStyle name="ハイパーリンク" xfId="847" builtinId="8" hidden="1"/>
    <cellStyle name="ハイパーリンク" xfId="849" builtinId="8" hidden="1"/>
    <cellStyle name="ハイパーリンク" xfId="851" builtinId="8" hidden="1"/>
    <cellStyle name="ハイパーリンク" xfId="853" builtinId="8" hidden="1"/>
    <cellStyle name="ハイパーリンク" xfId="855" builtinId="8" hidden="1"/>
    <cellStyle name="ハイパーリンク" xfId="857" builtinId="8" hidden="1"/>
    <cellStyle name="ハイパーリンク" xfId="859" builtinId="8" hidden="1"/>
    <cellStyle name="ハイパーリンク" xfId="861" builtinId="8" hidden="1"/>
    <cellStyle name="ハイパーリンク" xfId="863" builtinId="8" hidden="1"/>
    <cellStyle name="ハイパーリンク" xfId="865" builtinId="8" hidden="1"/>
    <cellStyle name="ハイパーリンク" xfId="867" builtinId="8" hidden="1"/>
    <cellStyle name="ハイパーリンク" xfId="869" builtinId="8" hidden="1"/>
    <cellStyle name="ハイパーリンク" xfId="871" builtinId="8" hidden="1"/>
    <cellStyle name="ハイパーリンク" xfId="873" builtinId="8" hidden="1"/>
    <cellStyle name="ハイパーリンク" xfId="875" builtinId="8" hidden="1"/>
    <cellStyle name="ハイパーリンク" xfId="877" builtinId="8" hidden="1"/>
    <cellStyle name="ハイパーリンク" xfId="879" builtinId="8" hidden="1"/>
    <cellStyle name="ハイパーリンク" xfId="881" builtinId="8" hidden="1"/>
    <cellStyle name="ハイパーリンク" xfId="883" builtinId="8" hidden="1"/>
    <cellStyle name="ハイパーリンク" xfId="885" builtinId="8" hidden="1"/>
    <cellStyle name="ハイパーリンク" xfId="887" builtinId="8" hidden="1"/>
    <cellStyle name="ハイパーリンク" xfId="889" builtinId="8" hidden="1"/>
    <cellStyle name="ハイパーリンク" xfId="891" builtinId="8" hidden="1"/>
    <cellStyle name="ハイパーリンク" xfId="893" builtinId="8" hidden="1"/>
    <cellStyle name="ハイパーリンク" xfId="895" builtinId="8" hidden="1"/>
    <cellStyle name="ハイパーリンク" xfId="897" builtinId="8" hidden="1"/>
    <cellStyle name="ハイパーリンク" xfId="899" builtinId="8" hidden="1"/>
    <cellStyle name="ハイパーリンク" xfId="901" builtinId="8" hidden="1"/>
    <cellStyle name="ハイパーリンク" xfId="903" builtinId="8" hidden="1"/>
    <cellStyle name="ハイパーリンク" xfId="905" builtinId="8" hidden="1"/>
    <cellStyle name="ハイパーリンク" xfId="907" builtinId="8" hidden="1"/>
    <cellStyle name="ハイパーリンク" xfId="909" builtinId="8" hidden="1"/>
    <cellStyle name="ハイパーリンク" xfId="911" builtinId="8" hidden="1"/>
    <cellStyle name="ハイパーリンク" xfId="913" builtinId="8" hidden="1"/>
    <cellStyle name="ハイパーリンク" xfId="915" builtinId="8" hidden="1"/>
    <cellStyle name="ハイパーリンク" xfId="917" builtinId="8" hidden="1"/>
    <cellStyle name="ハイパーリンク" xfId="919" builtinId="8" hidden="1"/>
    <cellStyle name="ハイパーリンク" xfId="921" builtinId="8" hidden="1"/>
    <cellStyle name="ハイパーリンク" xfId="923" builtinId="8" hidden="1"/>
    <cellStyle name="ハイパーリンク" xfId="925" builtinId="8" hidden="1"/>
    <cellStyle name="ハイパーリンク" xfId="927" builtinId="8" hidden="1"/>
    <cellStyle name="ハイパーリンク" xfId="929" builtinId="8" hidden="1"/>
    <cellStyle name="ハイパーリンク" xfId="931" builtinId="8" hidden="1"/>
    <cellStyle name="ハイパーリンク" xfId="933" builtinId="8" hidden="1"/>
    <cellStyle name="ハイパーリンク" xfId="935" builtinId="8" hidden="1"/>
    <cellStyle name="ハイパーリンク" xfId="937" builtinId="8" hidden="1"/>
    <cellStyle name="ハイパーリンク" xfId="939" builtinId="8" hidden="1"/>
    <cellStyle name="ハイパーリンク" xfId="941" builtinId="8" hidden="1"/>
    <cellStyle name="ハイパーリンク" xfId="943" builtinId="8" hidden="1"/>
    <cellStyle name="ハイパーリンク" xfId="945" builtinId="8" hidden="1"/>
    <cellStyle name="ハイパーリンク" xfId="947" builtinId="8" hidden="1"/>
    <cellStyle name="ハイパーリンク" xfId="949" builtinId="8" hidden="1"/>
    <cellStyle name="ハイパーリンク" xfId="951" builtinId="8" hidden="1"/>
    <cellStyle name="ハイパーリンク" xfId="953" builtinId="8" hidden="1"/>
    <cellStyle name="ハイパーリンク" xfId="955" builtinId="8" hidden="1"/>
    <cellStyle name="ハイパーリンク" xfId="957" builtinId="8" hidden="1"/>
    <cellStyle name="ハイパーリンク" xfId="959" builtinId="8" hidden="1"/>
    <cellStyle name="ハイパーリンク" xfId="961" builtinId="8" hidden="1"/>
    <cellStyle name="ハイパーリンク" xfId="963" builtinId="8" hidden="1"/>
    <cellStyle name="ハイパーリンク" xfId="965" builtinId="8" hidden="1"/>
    <cellStyle name="ハイパーリンク" xfId="967" builtinId="8" hidden="1"/>
    <cellStyle name="ハイパーリンク" xfId="969" builtinId="8" hidden="1"/>
    <cellStyle name="ハイパーリンク" xfId="971" builtinId="8" hidden="1"/>
    <cellStyle name="ハイパーリンク" xfId="973" builtinId="8" hidden="1"/>
    <cellStyle name="ハイパーリンク" xfId="975" builtinId="8" hidden="1"/>
    <cellStyle name="ハイパーリンク" xfId="977" builtinId="8" hidden="1"/>
    <cellStyle name="ハイパーリンク" xfId="979" builtinId="8" hidden="1"/>
    <cellStyle name="ハイパーリンク" xfId="981" builtinId="8" hidden="1"/>
    <cellStyle name="ハイパーリンク" xfId="983" builtinId="8" hidden="1"/>
    <cellStyle name="ハイパーリンク" xfId="985" builtinId="8" hidden="1"/>
    <cellStyle name="ハイパーリンク" xfId="987" builtinId="8" hidden="1"/>
    <cellStyle name="ハイパーリンク" xfId="989" builtinId="8" hidden="1"/>
    <cellStyle name="ハイパーリンク" xfId="991" builtinId="8" hidden="1"/>
    <cellStyle name="ハイパーリンク" xfId="993" builtinId="8" hidden="1"/>
    <cellStyle name="ハイパーリンク" xfId="995" builtinId="8" hidden="1"/>
    <cellStyle name="ハイパーリンク" xfId="997" builtinId="8" hidden="1"/>
    <cellStyle name="ハイパーリンク" xfId="999" builtinId="8" hidden="1"/>
    <cellStyle name="ハイパーリンク" xfId="1001" builtinId="8" hidden="1"/>
    <cellStyle name="ハイパーリンク" xfId="1003" builtinId="8" hidden="1"/>
    <cellStyle name="ハイパーリンク" xfId="1005" builtinId="8" hidden="1"/>
    <cellStyle name="ハイパーリンク" xfId="1007" builtinId="8" hidden="1"/>
    <cellStyle name="ハイパーリンク" xfId="1009" builtinId="8" hidden="1"/>
    <cellStyle name="ハイパーリンク" xfId="1011" builtinId="8" hidden="1"/>
    <cellStyle name="ハイパーリンク" xfId="1013" builtinId="8" hidden="1"/>
    <cellStyle name="ハイパーリンク" xfId="1015" builtinId="8" hidden="1"/>
    <cellStyle name="ハイパーリンク" xfId="1017" builtinId="8" hidden="1"/>
    <cellStyle name="ハイパーリンク" xfId="1019" builtinId="8" hidden="1"/>
    <cellStyle name="ハイパーリンク" xfId="1021" builtinId="8" hidden="1"/>
    <cellStyle name="ハイパーリンク" xfId="1023" builtinId="8" hidden="1"/>
    <cellStyle name="ハイパーリンク" xfId="1025" builtinId="8" hidden="1"/>
    <cellStyle name="ハイパーリンク" xfId="1027" builtinId="8" hidden="1"/>
    <cellStyle name="ハイパーリンク" xfId="1029" builtinId="8" hidden="1"/>
    <cellStyle name="ハイパーリンク" xfId="1031" builtinId="8" hidden="1"/>
    <cellStyle name="ハイパーリンク" xfId="1033" builtinId="8" hidden="1"/>
    <cellStyle name="ハイパーリンク" xfId="1035" builtinId="8" hidden="1"/>
    <cellStyle name="ハイパーリンク" xfId="1037" builtinId="8" hidden="1"/>
    <cellStyle name="ハイパーリンク" xfId="1039" builtinId="8" hidden="1"/>
    <cellStyle name="ハイパーリンク" xfId="1041" builtinId="8" hidden="1"/>
    <cellStyle name="ハイパーリンク" xfId="1043" builtinId="8" hidden="1"/>
    <cellStyle name="ハイパーリンク" xfId="1045" builtinId="8" hidden="1"/>
    <cellStyle name="ハイパーリンク" xfId="1047" builtinId="8" hidden="1"/>
    <cellStyle name="ハイパーリンク" xfId="1049" builtinId="8" hidden="1"/>
    <cellStyle name="ハイパーリンク" xfId="1051" builtinId="8" hidden="1"/>
    <cellStyle name="ハイパーリンク" xfId="1053" builtinId="8" hidden="1"/>
    <cellStyle name="ハイパーリンク" xfId="1055" builtinId="8" hidden="1"/>
    <cellStyle name="ハイパーリンク" xfId="1057" builtinId="8" hidden="1"/>
    <cellStyle name="ハイパーリンク" xfId="1059" builtinId="8" hidden="1"/>
    <cellStyle name="ハイパーリンク" xfId="1061" builtinId="8" hidden="1"/>
    <cellStyle name="ハイパーリンク" xfId="1063" builtinId="8" hidden="1"/>
    <cellStyle name="ハイパーリンク" xfId="1065" builtinId="8" hidden="1"/>
    <cellStyle name="ハイパーリンク" xfId="1067" builtinId="8" hidden="1"/>
    <cellStyle name="ハイパーリンク" xfId="1069" builtinId="8" hidden="1"/>
    <cellStyle name="ハイパーリンク" xfId="1071" builtinId="8" hidden="1"/>
    <cellStyle name="ハイパーリンク" xfId="1073" builtinId="8" hidden="1"/>
    <cellStyle name="ハイパーリンク" xfId="1075" builtinId="8" hidden="1"/>
    <cellStyle name="ハイパーリンク" xfId="1077" builtinId="8" hidden="1"/>
    <cellStyle name="ハイパーリンク" xfId="1079" builtinId="8" hidden="1"/>
    <cellStyle name="ハイパーリンク" xfId="1081" builtinId="8" hidden="1"/>
    <cellStyle name="ハイパーリンク" xfId="1083" builtinId="8" hidden="1"/>
    <cellStyle name="ハイパーリンク" xfId="1085" builtinId="8" hidden="1"/>
    <cellStyle name="ハイパーリンク" xfId="1087" builtinId="8" hidden="1"/>
    <cellStyle name="ハイパーリンク" xfId="1089" builtinId="8" hidden="1"/>
    <cellStyle name="ハイパーリンク" xfId="1091" builtinId="8" hidden="1"/>
    <cellStyle name="ハイパーリンク" xfId="1093" builtinId="8" hidden="1"/>
    <cellStyle name="ハイパーリンク" xfId="1095" builtinId="8" hidden="1"/>
    <cellStyle name="ハイパーリンク" xfId="1097" builtinId="8" hidden="1"/>
    <cellStyle name="ハイパーリンク" xfId="1099" builtinId="8" hidden="1"/>
    <cellStyle name="ハイパーリンク" xfId="1101" builtinId="8" hidden="1"/>
    <cellStyle name="ハイパーリンク" xfId="1103" builtinId="8" hidden="1"/>
    <cellStyle name="ハイパーリンク" xfId="1105" builtinId="8" hidden="1"/>
    <cellStyle name="ハイパーリンク" xfId="1107" builtinId="8" hidden="1"/>
    <cellStyle name="ハイパーリンク" xfId="1109" builtinId="8" hidden="1"/>
    <cellStyle name="ハイパーリンク" xfId="1111" builtinId="8" hidden="1"/>
    <cellStyle name="ハイパーリンク" xfId="1113" builtinId="8" hidden="1"/>
    <cellStyle name="ハイパーリンク" xfId="1115" builtinId="8" hidden="1"/>
    <cellStyle name="ハイパーリンク" xfId="1117" builtinId="8" hidden="1"/>
    <cellStyle name="ハイパーリンク" xfId="1119" builtinId="8" hidden="1"/>
    <cellStyle name="ハイパーリンク" xfId="1121" builtinId="8" hidden="1"/>
    <cellStyle name="ハイパーリンク" xfId="1123" builtinId="8" hidden="1"/>
    <cellStyle name="ハイパーリンク" xfId="1125" builtinId="8" hidden="1"/>
    <cellStyle name="ハイパーリンク" xfId="1127" builtinId="8" hidden="1"/>
    <cellStyle name="ハイパーリンク" xfId="1129" builtinId="8" hidden="1"/>
    <cellStyle name="ハイパーリンク" xfId="1131" builtinId="8" hidden="1"/>
    <cellStyle name="ハイパーリンク" xfId="1133" builtinId="8" hidden="1"/>
    <cellStyle name="ハイパーリンク" xfId="1135" builtinId="8" hidden="1"/>
    <cellStyle name="ハイパーリンク" xfId="1137" builtinId="8" hidden="1"/>
    <cellStyle name="ハイパーリンク" xfId="1139" builtinId="8" hidden="1"/>
    <cellStyle name="ハイパーリンク" xfId="1141" builtinId="8" hidden="1"/>
    <cellStyle name="ハイパーリンク" xfId="1143" builtinId="8" hidden="1"/>
    <cellStyle name="ハイパーリンク" xfId="1145" builtinId="8" hidden="1"/>
    <cellStyle name="ハイパーリンク" xfId="1147" builtinId="8" hidden="1"/>
    <cellStyle name="ハイパーリンク" xfId="1149" builtinId="8" hidden="1"/>
    <cellStyle name="ハイパーリンク" xfId="1151" builtinId="8" hidden="1"/>
    <cellStyle name="ハイパーリンク" xfId="1153" builtinId="8" hidden="1"/>
    <cellStyle name="ハイパーリンク" xfId="1155" builtinId="8" hidden="1"/>
    <cellStyle name="ハイパーリンク" xfId="1157" builtinId="8" hidden="1"/>
    <cellStyle name="ハイパーリンク" xfId="1159" builtinId="8" hidden="1"/>
    <cellStyle name="ハイパーリンク" xfId="1161" builtinId="8" hidden="1"/>
    <cellStyle name="ハイパーリンク" xfId="1163" builtinId="8" hidden="1"/>
    <cellStyle name="ハイパーリンク" xfId="1165" builtinId="8" hidden="1"/>
    <cellStyle name="ハイパーリンク" xfId="1167" builtinId="8" hidden="1"/>
    <cellStyle name="ハイパーリンク" xfId="1169" builtinId="8" hidden="1"/>
    <cellStyle name="ハイパーリンク" xfId="1171" builtinId="8" hidden="1"/>
    <cellStyle name="ハイパーリンク" xfId="1173" builtinId="8" hidden="1"/>
    <cellStyle name="ハイパーリンク" xfId="1175" builtinId="8" hidden="1"/>
    <cellStyle name="ハイパーリンク" xfId="1177" builtinId="8" hidden="1"/>
    <cellStyle name="ハイパーリンク" xfId="1179" builtinId="8" hidden="1"/>
    <cellStyle name="ハイパーリンク" xfId="1181" builtinId="8" hidden="1"/>
    <cellStyle name="ハイパーリンク" xfId="1183" builtinId="8" hidden="1"/>
    <cellStyle name="ハイパーリンク" xfId="1185" builtinId="8" hidden="1"/>
    <cellStyle name="ハイパーリンク" xfId="1187" builtinId="8" hidden="1"/>
    <cellStyle name="ハイパーリンク" xfId="1189" builtinId="8" hidden="1"/>
    <cellStyle name="ハイパーリンク" xfId="1191" builtinId="8" hidden="1"/>
    <cellStyle name="ハイパーリンク" xfId="1193" builtinId="8" hidden="1"/>
    <cellStyle name="ハイパーリンク" xfId="1195" builtinId="8" hidden="1"/>
    <cellStyle name="ハイパーリンク" xfId="1197" builtinId="8" hidden="1"/>
    <cellStyle name="ハイパーリンク" xfId="1199" builtinId="8" hidden="1"/>
    <cellStyle name="ハイパーリンク" xfId="1201" builtinId="8" hidden="1"/>
    <cellStyle name="ハイパーリンク" xfId="1203" builtinId="8" hidden="1"/>
    <cellStyle name="ハイパーリンク" xfId="1205" builtinId="8" hidden="1"/>
    <cellStyle name="ハイパーリンク" xfId="1207" builtinId="8" hidden="1"/>
    <cellStyle name="ハイパーリンク" xfId="1209" builtinId="8" hidden="1"/>
    <cellStyle name="ハイパーリンク" xfId="1211" builtinId="8" hidden="1"/>
    <cellStyle name="ハイパーリンク" xfId="1213" builtinId="8" hidden="1"/>
    <cellStyle name="ハイパーリンク" xfId="1215" builtinId="8" hidden="1"/>
    <cellStyle name="ハイパーリンク" xfId="1217" builtinId="8" hidden="1"/>
    <cellStyle name="ハイパーリンク" xfId="1219" builtinId="8" hidden="1"/>
    <cellStyle name="ハイパーリンク" xfId="1221" builtinId="8" hidden="1"/>
    <cellStyle name="ハイパーリンク" xfId="1223" builtinId="8" hidden="1"/>
    <cellStyle name="ハイパーリンク" xfId="1225" builtinId="8" hidden="1"/>
    <cellStyle name="ハイパーリンク" xfId="1227" builtinId="8" hidden="1"/>
    <cellStyle name="ハイパーリンク" xfId="1229" builtinId="8" hidden="1"/>
    <cellStyle name="ハイパーリンク" xfId="1231" builtinId="8" hidden="1"/>
    <cellStyle name="ハイパーリンク" xfId="1233" builtinId="8" hidden="1"/>
    <cellStyle name="ハイパーリンク" xfId="1235" builtinId="8" hidden="1"/>
    <cellStyle name="ハイパーリンク" xfId="1237" builtinId="8" hidden="1"/>
    <cellStyle name="ハイパーリンク" xfId="1239" builtinId="8" hidden="1"/>
    <cellStyle name="ハイパーリンク" xfId="1241" builtinId="8" hidden="1"/>
    <cellStyle name="ハイパーリンク" xfId="1243" builtinId="8" hidden="1"/>
    <cellStyle name="ハイパーリンク" xfId="1245" builtinId="8" hidden="1"/>
    <cellStyle name="ハイパーリンク" xfId="1247" builtinId="8" hidden="1"/>
    <cellStyle name="ハイパーリンク" xfId="1249" builtinId="8" hidden="1"/>
    <cellStyle name="ハイパーリンク" xfId="1251" builtinId="8" hidden="1"/>
    <cellStyle name="ハイパーリンク" xfId="1253" builtinId="8" hidden="1"/>
    <cellStyle name="ハイパーリンク" xfId="1255" builtinId="8" hidden="1"/>
    <cellStyle name="ハイパーリンク" xfId="1257" builtinId="8" hidden="1"/>
    <cellStyle name="ハイパーリンク" xfId="1259" builtinId="8" hidden="1"/>
    <cellStyle name="ハイパーリンク" xfId="1261" builtinId="8" hidden="1"/>
    <cellStyle name="ハイパーリンク" xfId="1263" builtinId="8" hidden="1"/>
    <cellStyle name="ハイパーリンク" xfId="1265" builtinId="8" hidden="1"/>
    <cellStyle name="ハイパーリンク" xfId="1267" builtinId="8" hidden="1"/>
    <cellStyle name="ハイパーリンク" xfId="1269" builtinId="8" hidden="1"/>
    <cellStyle name="ハイパーリンク" xfId="1271" builtinId="8" hidden="1"/>
    <cellStyle name="ハイパーリンク" xfId="1273" builtinId="8" hidden="1"/>
    <cellStyle name="ハイパーリンク" xfId="1275" builtinId="8" hidden="1"/>
    <cellStyle name="ハイパーリンク" xfId="1277" builtinId="8" hidden="1"/>
    <cellStyle name="ハイパーリンク" xfId="1279" builtinId="8" hidden="1"/>
    <cellStyle name="ハイパーリンク" xfId="1281" builtinId="8" hidden="1"/>
    <cellStyle name="ハイパーリンク" xfId="1283" builtinId="8" hidden="1"/>
    <cellStyle name="ハイパーリンク" xfId="1285" builtinId="8" hidden="1"/>
    <cellStyle name="ハイパーリンク" xfId="1287" builtinId="8" hidden="1"/>
    <cellStyle name="ハイパーリンク" xfId="1289" builtinId="8" hidden="1"/>
    <cellStyle name="ハイパーリンク" xfId="1291" builtinId="8" hidden="1"/>
    <cellStyle name="ハイパーリンク" xfId="1293" builtinId="8" hidden="1"/>
    <cellStyle name="ハイパーリンク" xfId="1295" builtinId="8" hidden="1"/>
    <cellStyle name="ハイパーリンク" xfId="1297" builtinId="8" hidden="1"/>
    <cellStyle name="ハイパーリンク" xfId="1299" builtinId="8" hidden="1"/>
    <cellStyle name="ハイパーリンク" xfId="1301" builtinId="8" hidden="1"/>
    <cellStyle name="ハイパーリンク" xfId="1303" builtinId="8" hidden="1"/>
    <cellStyle name="ハイパーリンク" xfId="1305" builtinId="8" hidden="1"/>
    <cellStyle name="ハイパーリンク" xfId="1307" builtinId="8" hidden="1"/>
    <cellStyle name="ハイパーリンク" xfId="1309" builtinId="8" hidden="1"/>
    <cellStyle name="ハイパーリンク" xfId="1311" builtinId="8" hidden="1"/>
    <cellStyle name="ハイパーリンク" xfId="1313" builtinId="8" hidden="1"/>
    <cellStyle name="ハイパーリンク" xfId="1315" builtinId="8" hidden="1"/>
    <cellStyle name="ハイパーリンク" xfId="1317" builtinId="8" hidden="1"/>
    <cellStyle name="ハイパーリンク" xfId="1319" builtinId="8" hidden="1"/>
    <cellStyle name="ハイパーリンク" xfId="1321" builtinId="8" hidden="1"/>
    <cellStyle name="ハイパーリンク" xfId="1323" builtinId="8" hidden="1"/>
    <cellStyle name="ハイパーリンク" xfId="1325" builtinId="8" hidden="1"/>
    <cellStyle name="ハイパーリンク" xfId="1327" builtinId="8" hidden="1"/>
    <cellStyle name="ハイパーリンク" xfId="1329" builtinId="8" hidden="1"/>
    <cellStyle name="ハイパーリンク" xfId="1331" builtinId="8" hidden="1"/>
    <cellStyle name="ハイパーリンク" xfId="1333" builtinId="8" hidden="1"/>
    <cellStyle name="ハイパーリンク" xfId="1335" builtinId="8" hidden="1"/>
    <cellStyle name="ハイパーリンク" xfId="1337" builtinId="8" hidden="1"/>
    <cellStyle name="ハイパーリンク" xfId="1339" builtinId="8" hidden="1"/>
    <cellStyle name="ハイパーリンク" xfId="1341" builtinId="8" hidden="1"/>
    <cellStyle name="ハイパーリンク" xfId="1343" builtinId="8" hidden="1"/>
    <cellStyle name="ハイパーリンク" xfId="1345" builtinId="8" hidden="1"/>
    <cellStyle name="ハイパーリンク" xfId="1347" builtinId="8" hidden="1"/>
    <cellStyle name="ハイパーリンク" xfId="1349" builtinId="8" hidden="1"/>
    <cellStyle name="ハイパーリンク" xfId="1351" builtinId="8" hidden="1"/>
    <cellStyle name="ハイパーリンク" xfId="1353" builtinId="8" hidden="1"/>
    <cellStyle name="ハイパーリンク" xfId="1355" builtinId="8" hidden="1"/>
    <cellStyle name="ハイパーリンク" xfId="1357" builtinId="8" hidden="1"/>
    <cellStyle name="ハイパーリンク" xfId="1359" builtinId="8" hidden="1"/>
    <cellStyle name="ハイパーリンク" xfId="1361" builtinId="8" hidden="1"/>
    <cellStyle name="ハイパーリンク" xfId="1363" builtinId="8" hidden="1"/>
    <cellStyle name="ハイパーリンク" xfId="1365" builtinId="8" hidden="1"/>
    <cellStyle name="ハイパーリンク" xfId="1367" builtinId="8" hidden="1"/>
    <cellStyle name="ハイパーリンク" xfId="1369" builtinId="8" hidden="1"/>
    <cellStyle name="ハイパーリンク" xfId="1371" builtinId="8" hidden="1"/>
    <cellStyle name="ハイパーリンク" xfId="1373" builtinId="8" hidden="1"/>
    <cellStyle name="ハイパーリンク" xfId="1375" builtinId="8" hidden="1"/>
    <cellStyle name="ハイパーリンク" xfId="1377" builtinId="8" hidden="1"/>
    <cellStyle name="ハイパーリンク" xfId="1379" builtinId="8" hidden="1"/>
    <cellStyle name="ハイパーリンク" xfId="1381" builtinId="8" hidden="1"/>
    <cellStyle name="ハイパーリンク" xfId="1383" builtinId="8" hidden="1"/>
    <cellStyle name="ハイパーリンク" xfId="1385" builtinId="8" hidden="1"/>
    <cellStyle name="ハイパーリンク" xfId="1387" builtinId="8" hidden="1"/>
    <cellStyle name="ハイパーリンク" xfId="1389" builtinId="8" hidden="1"/>
    <cellStyle name="ハイパーリンク" xfId="1391" builtinId="8" hidden="1"/>
    <cellStyle name="ハイパーリンク" xfId="1393" builtinId="8" hidden="1"/>
    <cellStyle name="ハイパーリンク" xfId="1395" builtinId="8" hidden="1"/>
    <cellStyle name="ハイパーリンク" xfId="1397" builtinId="8" hidden="1"/>
    <cellStyle name="ハイパーリンク" xfId="1399" builtinId="8" hidden="1"/>
    <cellStyle name="ハイパーリンク" xfId="1401" builtinId="8" hidden="1"/>
    <cellStyle name="ハイパーリンク" xfId="1403" builtinId="8" hidden="1"/>
    <cellStyle name="ハイパーリンク" xfId="1405" builtinId="8" hidden="1"/>
    <cellStyle name="ハイパーリンク" xfId="1407" builtinId="8" hidden="1"/>
    <cellStyle name="ハイパーリンク" xfId="1409" builtinId="8" hidden="1"/>
    <cellStyle name="ハイパーリンク" xfId="1411" builtinId="8" hidden="1"/>
    <cellStyle name="ハイパーリンク" xfId="1413" builtinId="8" hidden="1"/>
    <cellStyle name="ハイパーリンク" xfId="1415" builtinId="8" hidden="1"/>
    <cellStyle name="ハイパーリンク" xfId="1417" builtinId="8" hidden="1"/>
    <cellStyle name="ハイパーリンク" xfId="1419" builtinId="8" hidden="1"/>
    <cellStyle name="ハイパーリンク" xfId="1421" builtinId="8" hidden="1"/>
    <cellStyle name="ハイパーリンク" xfId="1423" builtinId="8" hidden="1"/>
    <cellStyle name="ハイパーリンク" xfId="1425" builtinId="8" hidden="1"/>
    <cellStyle name="ハイパーリンク" xfId="1427" builtinId="8" hidden="1"/>
    <cellStyle name="ハイパーリンク" xfId="1429" builtinId="8" hidden="1"/>
    <cellStyle name="ハイパーリンク" xfId="1431" builtinId="8" hidden="1"/>
    <cellStyle name="ハイパーリンク" xfId="1433" builtinId="8" hidden="1"/>
    <cellStyle name="ハイパーリンク" xfId="1435" builtinId="8" hidden="1"/>
    <cellStyle name="ハイパーリンク" xfId="1437" builtinId="8" hidden="1"/>
    <cellStyle name="ハイパーリンク" xfId="1439" builtinId="8" hidden="1"/>
    <cellStyle name="ハイパーリンク" xfId="1441" builtinId="8" hidden="1"/>
    <cellStyle name="ハイパーリンク" xfId="1443" builtinId="8" hidden="1"/>
    <cellStyle name="ハイパーリンク" xfId="1445" builtinId="8" hidden="1"/>
    <cellStyle name="ハイパーリンク" xfId="1447" builtinId="8" hidden="1"/>
    <cellStyle name="ハイパーリンク" xfId="1449" builtinId="8" hidden="1"/>
    <cellStyle name="ハイパーリンク" xfId="1451" builtinId="8" hidden="1"/>
    <cellStyle name="ハイパーリンク" xfId="1453" builtinId="8" hidden="1"/>
    <cellStyle name="ハイパーリンク" xfId="1455" builtinId="8" hidden="1"/>
    <cellStyle name="ハイパーリンク" xfId="1457" builtinId="8" hidden="1"/>
    <cellStyle name="ハイパーリンク" xfId="1459" builtinId="8" hidden="1"/>
    <cellStyle name="ハイパーリンク" xfId="1461" builtinId="8" hidden="1"/>
    <cellStyle name="ハイパーリンク" xfId="1463" builtinId="8" hidden="1"/>
    <cellStyle name="ハイパーリンク" xfId="1465" builtinId="8" hidden="1"/>
    <cellStyle name="ハイパーリンク" xfId="1467" builtinId="8" hidden="1"/>
    <cellStyle name="ハイパーリンク" xfId="1469" builtinId="8" hidden="1"/>
    <cellStyle name="ハイパーリンク" xfId="1471" builtinId="8" hidden="1"/>
    <cellStyle name="ハイパーリンク" xfId="1473" builtinId="8" hidden="1"/>
    <cellStyle name="ハイパーリンク" xfId="1475" builtinId="8" hidden="1"/>
    <cellStyle name="ハイパーリンク" xfId="1477" builtinId="8" hidden="1"/>
    <cellStyle name="ハイパーリンク" xfId="1479" builtinId="8" hidden="1"/>
    <cellStyle name="ハイパーリンク" xfId="1481" builtinId="8" hidden="1"/>
    <cellStyle name="ハイパーリンク" xfId="1483" builtinId="8" hidden="1"/>
    <cellStyle name="ハイパーリンク" xfId="1485" builtinId="8" hidden="1"/>
    <cellStyle name="ハイパーリンク" xfId="1487" builtinId="8" hidden="1"/>
    <cellStyle name="ハイパーリンク" xfId="1489" builtinId="8" hidden="1"/>
    <cellStyle name="ハイパーリンク" xfId="1491" builtinId="8" hidden="1"/>
    <cellStyle name="ハイパーリンク" xfId="1493" builtinId="8" hidden="1"/>
    <cellStyle name="ハイパーリンク" xfId="1495" builtinId="8" hidden="1"/>
    <cellStyle name="ハイパーリンク" xfId="1497" builtinId="8" hidden="1"/>
    <cellStyle name="ハイパーリンク" xfId="1499" builtinId="8" hidden="1"/>
    <cellStyle name="ハイパーリンク" xfId="1501" builtinId="8" hidden="1"/>
    <cellStyle name="ハイパーリンク" xfId="1503" builtinId="8" hidden="1"/>
    <cellStyle name="ハイパーリンク" xfId="1505" builtinId="8" hidden="1"/>
    <cellStyle name="ハイパーリンク" xfId="1507" builtinId="8" hidden="1"/>
    <cellStyle name="ハイパーリンク" xfId="1509" builtinId="8" hidden="1"/>
    <cellStyle name="ハイパーリンク" xfId="1511" builtinId="8" hidden="1"/>
    <cellStyle name="ハイパーリンク" xfId="1513" builtinId="8" hidden="1"/>
    <cellStyle name="ハイパーリンク" xfId="1515" builtinId="8" hidden="1"/>
    <cellStyle name="ハイパーリンク" xfId="1517" builtinId="8" hidden="1"/>
    <cellStyle name="ハイパーリンク" xfId="1519" builtinId="8" hidden="1"/>
    <cellStyle name="ハイパーリンク" xfId="1521" builtinId="8" hidden="1"/>
    <cellStyle name="ハイパーリンク" xfId="1523" builtinId="8" hidden="1"/>
    <cellStyle name="ハイパーリンク" xfId="1525" builtinId="8" hidden="1"/>
    <cellStyle name="ハイパーリンク" xfId="1527" builtinId="8" hidden="1"/>
    <cellStyle name="ハイパーリンク" xfId="1529" builtinId="8" hidden="1"/>
    <cellStyle name="ハイパーリンク" xfId="1531" builtinId="8" hidden="1"/>
    <cellStyle name="ハイパーリンク" xfId="1533" builtinId="8" hidden="1"/>
    <cellStyle name="ハイパーリンク" xfId="1535" builtinId="8" hidden="1"/>
    <cellStyle name="ハイパーリンク" xfId="1537" builtinId="8" hidden="1"/>
    <cellStyle name="ハイパーリンク" xfId="1539" builtinId="8" hidden="1"/>
    <cellStyle name="ハイパーリンク" xfId="1541" builtinId="8" hidden="1"/>
    <cellStyle name="ハイパーリンク" xfId="1543" builtinId="8" hidden="1"/>
    <cellStyle name="ハイパーリンク" xfId="1545" builtinId="8" hidden="1"/>
    <cellStyle name="ハイパーリンク" xfId="1547" builtinId="8" hidden="1"/>
    <cellStyle name="ハイパーリンク" xfId="1549" builtinId="8" hidden="1"/>
    <cellStyle name="ハイパーリンク" xfId="1551" builtinId="8" hidden="1"/>
    <cellStyle name="ハイパーリンク" xfId="1553" builtinId="8" hidden="1"/>
    <cellStyle name="ハイパーリンク" xfId="1555" builtinId="8" hidden="1"/>
    <cellStyle name="ハイパーリンク" xfId="1557" builtinId="8" hidden="1"/>
    <cellStyle name="ハイパーリンク" xfId="1559" builtinId="8" hidden="1"/>
    <cellStyle name="ハイパーリンク" xfId="1561" builtinId="8" hidden="1"/>
    <cellStyle name="ハイパーリンク" xfId="1563" builtinId="8" hidden="1"/>
    <cellStyle name="ハイパーリンク" xfId="1565" builtinId="8" hidden="1"/>
    <cellStyle name="ハイパーリンク" xfId="1567" builtinId="8" hidden="1"/>
    <cellStyle name="ハイパーリンク" xfId="1569" builtinId="8" hidden="1"/>
    <cellStyle name="ハイパーリンク" xfId="1571" builtinId="8" hidden="1"/>
    <cellStyle name="ハイパーリンク" xfId="1573" builtinId="8" hidden="1"/>
    <cellStyle name="ハイパーリンク" xfId="1575" builtinId="8" hidden="1"/>
    <cellStyle name="ハイパーリンク" xfId="1577" builtinId="8" hidden="1"/>
    <cellStyle name="ハイパーリンク" xfId="1579" builtinId="8" hidden="1"/>
    <cellStyle name="ハイパーリンク" xfId="1581" builtinId="8" hidden="1"/>
    <cellStyle name="ハイパーリンク" xfId="1583" builtinId="8" hidden="1"/>
    <cellStyle name="ハイパーリンク" xfId="1585" builtinId="8" hidden="1"/>
    <cellStyle name="ハイパーリンク" xfId="1587" builtinId="8" hidden="1"/>
    <cellStyle name="ハイパーリンク" xfId="1589" builtinId="8" hidden="1"/>
    <cellStyle name="ハイパーリンク" xfId="1591" builtinId="8" hidden="1"/>
    <cellStyle name="ハイパーリンク" xfId="1593" builtinId="8" hidden="1"/>
    <cellStyle name="ハイパーリンク" xfId="1595" builtinId="8" hidden="1"/>
    <cellStyle name="ハイパーリンク" xfId="1597" builtinId="8" hidden="1"/>
    <cellStyle name="ハイパーリンク" xfId="1599" builtinId="8" hidden="1"/>
    <cellStyle name="ハイパーリンク" xfId="1601" builtinId="8" hidden="1"/>
    <cellStyle name="ハイパーリンク" xfId="1603" builtinId="8" hidden="1"/>
    <cellStyle name="ハイパーリンク" xfId="1605" builtinId="8" hidden="1"/>
    <cellStyle name="ハイパーリンク" xfId="1607" builtinId="8" hidden="1"/>
    <cellStyle name="ハイパーリンク" xfId="1609" builtinId="8" hidden="1"/>
    <cellStyle name="ハイパーリンク" xfId="1611" builtinId="8" hidden="1"/>
    <cellStyle name="ハイパーリンク" xfId="1613" builtinId="8" hidden="1"/>
    <cellStyle name="ハイパーリンク" xfId="1615" builtinId="8" hidden="1"/>
    <cellStyle name="ハイパーリンク" xfId="1617" builtinId="8" hidden="1"/>
    <cellStyle name="ハイパーリンク" xfId="1619" builtinId="8" hidden="1"/>
    <cellStyle name="ハイパーリンク" xfId="1621" builtinId="8" hidden="1"/>
    <cellStyle name="ハイパーリンク" xfId="1623" builtinId="8" hidden="1"/>
    <cellStyle name="ハイパーリンク" xfId="1625" builtinId="8" hidden="1"/>
    <cellStyle name="ハイパーリンク" xfId="1627" builtinId="8" hidden="1"/>
    <cellStyle name="ハイパーリンク" xfId="1629" builtinId="8" hidden="1"/>
    <cellStyle name="ハイパーリンク" xfId="1631" builtinId="8" hidden="1"/>
    <cellStyle name="ハイパーリンク" xfId="1633" builtinId="8" hidden="1"/>
    <cellStyle name="ハイパーリンク" xfId="1635" builtinId="8" hidden="1"/>
    <cellStyle name="ハイパーリンク" xfId="1637" builtinId="8" hidden="1"/>
    <cellStyle name="ハイパーリンク" xfId="1639" builtinId="8" hidden="1"/>
    <cellStyle name="ハイパーリンク" xfId="1641" builtinId="8" hidden="1"/>
    <cellStyle name="ハイパーリンク" xfId="1643" builtinId="8" hidden="1"/>
    <cellStyle name="ハイパーリンク" xfId="1645" builtinId="8" hidden="1"/>
    <cellStyle name="ハイパーリンク" xfId="1647" builtinId="8" hidden="1"/>
    <cellStyle name="ハイパーリンク" xfId="1649" builtinId="8" hidden="1"/>
    <cellStyle name="ハイパーリンク" xfId="1651" builtinId="8" hidden="1"/>
    <cellStyle name="ハイパーリンク" xfId="1653" builtinId="8" hidden="1"/>
    <cellStyle name="ハイパーリンク" xfId="1655" builtinId="8" hidden="1"/>
    <cellStyle name="ハイパーリンク" xfId="1657" builtinId="8" hidden="1"/>
    <cellStyle name="ハイパーリンク" xfId="1659" builtinId="8" hidden="1"/>
    <cellStyle name="ハイパーリンク" xfId="1661" builtinId="8" hidden="1"/>
    <cellStyle name="ハイパーリンク" xfId="1663" builtinId="8" hidden="1"/>
    <cellStyle name="ハイパーリンク" xfId="1665" builtinId="8" hidden="1"/>
    <cellStyle name="ハイパーリンク" xfId="1667" builtinId="8" hidden="1"/>
    <cellStyle name="ハイパーリンク" xfId="1669" builtinId="8" hidden="1"/>
    <cellStyle name="ハイパーリンク" xfId="1671" builtinId="8" hidden="1"/>
    <cellStyle name="ハイパーリンク" xfId="1673" builtinId="8" hidden="1"/>
    <cellStyle name="ハイパーリンク" xfId="1675" builtinId="8" hidden="1"/>
    <cellStyle name="ハイパーリンク" xfId="1677" builtinId="8" hidden="1"/>
    <cellStyle name="ハイパーリンク" xfId="1679" builtinId="8" hidden="1"/>
    <cellStyle name="ハイパーリンク" xfId="1681" builtinId="8" hidden="1"/>
    <cellStyle name="ハイパーリンク" xfId="1683" builtinId="8" hidden="1"/>
    <cellStyle name="ハイパーリンク" xfId="1685" builtinId="8" hidden="1"/>
    <cellStyle name="ハイパーリンク" xfId="1687" builtinId="8" hidden="1"/>
    <cellStyle name="ハイパーリンク" xfId="1689" builtinId="8" hidden="1"/>
    <cellStyle name="ハイパーリンク" xfId="1691" builtinId="8" hidden="1"/>
    <cellStyle name="ハイパーリンク" xfId="1693" builtinId="8" hidden="1"/>
    <cellStyle name="ハイパーリンク" xfId="1695" builtinId="8" hidden="1"/>
    <cellStyle name="ハイパーリンク" xfId="1697" builtinId="8" hidden="1"/>
    <cellStyle name="ハイパーリンク" xfId="1699" builtinId="8" hidden="1"/>
    <cellStyle name="ハイパーリンク" xfId="1701" builtinId="8" hidden="1"/>
    <cellStyle name="ハイパーリンク" xfId="1703" builtinId="8" hidden="1"/>
    <cellStyle name="ハイパーリンク" xfId="1705" builtinId="8" hidden="1"/>
    <cellStyle name="ハイパーリンク" xfId="1707" builtinId="8" hidden="1"/>
    <cellStyle name="ハイパーリンク" xfId="1709" builtinId="8" hidden="1"/>
    <cellStyle name="ハイパーリンク" xfId="1711" builtinId="8" hidden="1"/>
    <cellStyle name="ハイパーリンク" xfId="1713" builtinId="8" hidden="1"/>
    <cellStyle name="ハイパーリンク" xfId="1715" builtinId="8" hidden="1"/>
    <cellStyle name="ハイパーリンク" xfId="1717" builtinId="8" hidden="1"/>
    <cellStyle name="ハイパーリンク" xfId="1719" builtinId="8" hidden="1"/>
    <cellStyle name="ハイパーリンク" xfId="1721" builtinId="8" hidden="1"/>
    <cellStyle name="ハイパーリンク" xfId="1723" builtinId="8" hidden="1"/>
    <cellStyle name="ハイパーリンク" xfId="1725" builtinId="8" hidden="1"/>
    <cellStyle name="ハイパーリンク" xfId="1727" builtinId="8" hidden="1"/>
    <cellStyle name="ハイパーリンク" xfId="1729" builtinId="8" hidden="1"/>
    <cellStyle name="ハイパーリンク" xfId="1731" builtinId="8" hidden="1"/>
    <cellStyle name="ハイパーリンク" xfId="1733" builtinId="8" hidden="1"/>
    <cellStyle name="ハイパーリンク" xfId="1735" builtinId="8" hidden="1"/>
    <cellStyle name="ハイパーリンク" xfId="1737" builtinId="8" hidden="1"/>
    <cellStyle name="ハイパーリンク" xfId="1739" builtinId="8" hidden="1"/>
    <cellStyle name="ハイパーリンク" xfId="1741" builtinId="8" hidden="1"/>
    <cellStyle name="ハイパーリンク" xfId="1743" builtinId="8" hidden="1"/>
    <cellStyle name="ハイパーリンク" xfId="1745" builtinId="8" hidden="1"/>
    <cellStyle name="ハイパーリンク" xfId="1747" builtinId="8" hidden="1"/>
    <cellStyle name="ハイパーリンク" xfId="1749" builtinId="8" hidden="1"/>
    <cellStyle name="ハイパーリンク" xfId="1751" builtinId="8" hidden="1"/>
    <cellStyle name="ハイパーリンク" xfId="1753" builtinId="8" hidden="1"/>
    <cellStyle name="ハイパーリンク" xfId="1755" builtinId="8" hidden="1"/>
    <cellStyle name="ハイパーリンク" xfId="1757" builtinId="8" hidden="1"/>
    <cellStyle name="ハイパーリンク" xfId="1759" builtinId="8" hidden="1"/>
    <cellStyle name="ハイパーリンク" xfId="1761" builtinId="8" hidden="1"/>
    <cellStyle name="ハイパーリンク" xfId="1763" builtinId="8" hidden="1"/>
    <cellStyle name="ハイパーリンク" xfId="1765" builtinId="8" hidden="1"/>
    <cellStyle name="ハイパーリンク" xfId="1767" builtinId="8" hidden="1"/>
    <cellStyle name="ハイパーリンク" xfId="1769" builtinId="8" hidden="1"/>
    <cellStyle name="ハイパーリンク" xfId="1771" builtinId="8" hidden="1"/>
    <cellStyle name="ハイパーリンク" xfId="1773" builtinId="8" hidden="1"/>
    <cellStyle name="ハイパーリンク" xfId="1775" builtinId="8" hidden="1"/>
    <cellStyle name="ハイパーリンク" xfId="1777" builtinId="8" hidden="1"/>
    <cellStyle name="ハイパーリンク" xfId="1779" builtinId="8" hidden="1"/>
    <cellStyle name="ハイパーリンク" xfId="1781" builtinId="8" hidden="1"/>
    <cellStyle name="ハイパーリンク" xfId="1783" builtinId="8" hidden="1"/>
    <cellStyle name="ハイパーリンク" xfId="1785" builtinId="8" hidden="1"/>
    <cellStyle name="ハイパーリンク" xfId="1787" builtinId="8" hidden="1"/>
    <cellStyle name="ハイパーリンク" xfId="1789" builtinId="8" hidden="1"/>
    <cellStyle name="ハイパーリンク" xfId="1791" builtinId="8" hidden="1"/>
    <cellStyle name="ハイパーリンク" xfId="1793" builtinId="8" hidden="1"/>
    <cellStyle name="ハイパーリンク" xfId="1795" builtinId="8" hidden="1"/>
    <cellStyle name="ハイパーリンク" xfId="1797" builtinId="8" hidden="1"/>
    <cellStyle name="ハイパーリンク" xfId="1799" builtinId="8" hidden="1"/>
    <cellStyle name="ハイパーリンク" xfId="1801" builtinId="8" hidden="1"/>
    <cellStyle name="ハイパーリンク" xfId="1803" builtinId="8" hidden="1"/>
    <cellStyle name="ハイパーリンク" xfId="1805" builtinId="8" hidden="1"/>
    <cellStyle name="ハイパーリンク" xfId="1807" builtinId="8" hidden="1"/>
    <cellStyle name="ハイパーリンク" xfId="1809" builtinId="8" hidden="1"/>
    <cellStyle name="ハイパーリンク" xfId="1811" builtinId="8" hidden="1"/>
    <cellStyle name="ハイパーリンク" xfId="1813" builtinId="8" hidden="1"/>
    <cellStyle name="ハイパーリンク" xfId="1815" builtinId="8" hidden="1"/>
    <cellStyle name="ハイパーリンク" xfId="1817" builtinId="8" hidden="1"/>
    <cellStyle name="ハイパーリンク" xfId="1819" builtinId="8" hidden="1"/>
    <cellStyle name="ハイパーリンク" xfId="1821" builtinId="8" hidden="1"/>
    <cellStyle name="ハイパーリンク" xfId="1823" builtinId="8" hidden="1"/>
    <cellStyle name="ハイパーリンク" xfId="1825" builtinId="8" hidden="1"/>
    <cellStyle name="ハイパーリンク" xfId="1827" builtinId="8" hidden="1"/>
    <cellStyle name="ハイパーリンク" xfId="1829" builtinId="8" hidden="1"/>
    <cellStyle name="ハイパーリンク" xfId="1831" builtinId="8" hidden="1"/>
    <cellStyle name="ハイパーリンク" xfId="1833" builtinId="8" hidden="1"/>
    <cellStyle name="ハイパーリンク" xfId="1835" builtinId="8" hidden="1"/>
    <cellStyle name="ハイパーリンク" xfId="1837" builtinId="8" hidden="1"/>
    <cellStyle name="ハイパーリンク" xfId="1839" builtinId="8" hidden="1"/>
    <cellStyle name="ハイパーリンク" xfId="1841" builtinId="8" hidden="1"/>
    <cellStyle name="ハイパーリンク" xfId="1843" builtinId="8" hidden="1"/>
    <cellStyle name="ハイパーリンク" xfId="1845" builtinId="8" hidden="1"/>
    <cellStyle name="ハイパーリンク" xfId="1847" builtinId="8" hidden="1"/>
    <cellStyle name="ハイパーリンク" xfId="1849" builtinId="8" hidden="1"/>
    <cellStyle name="ハイパーリンク" xfId="1851" builtinId="8" hidden="1"/>
    <cellStyle name="ハイパーリンク" xfId="1853" builtinId="8" hidden="1"/>
    <cellStyle name="ハイパーリンク" xfId="1855" builtinId="8" hidden="1"/>
    <cellStyle name="ハイパーリンク" xfId="1857" builtinId="8" hidden="1"/>
    <cellStyle name="ハイパーリンク" xfId="1859" builtinId="8" hidden="1"/>
    <cellStyle name="ハイパーリンク" xfId="1861" builtinId="8" hidden="1"/>
    <cellStyle name="ハイパーリンク" xfId="1863" builtinId="8" hidden="1"/>
    <cellStyle name="ハイパーリンク" xfId="1865" builtinId="8" hidden="1"/>
    <cellStyle name="ハイパーリンク" xfId="1867" builtinId="8" hidden="1"/>
    <cellStyle name="ハイパーリンク" xfId="1869" builtinId="8" hidden="1"/>
    <cellStyle name="ハイパーリンク" xfId="1871" builtinId="8" hidden="1"/>
    <cellStyle name="ハイパーリンク" xfId="1873" builtinId="8" hidden="1"/>
    <cellStyle name="ハイパーリンク" xfId="1875" builtinId="8" hidden="1"/>
    <cellStyle name="ハイパーリンク" xfId="1877" builtinId="8" hidden="1"/>
    <cellStyle name="ハイパーリンク" xfId="1879" builtinId="8" hidden="1"/>
    <cellStyle name="ハイパーリンク" xfId="1881" builtinId="8" hidden="1"/>
    <cellStyle name="ハイパーリンク" xfId="1883" builtinId="8" hidden="1"/>
    <cellStyle name="ハイパーリンク" xfId="1885" builtinId="8" hidden="1"/>
    <cellStyle name="ハイパーリンク" xfId="1887" builtinId="8" hidden="1"/>
    <cellStyle name="ハイパーリンク" xfId="1889" builtinId="8" hidden="1"/>
    <cellStyle name="ハイパーリンク" xfId="1891" builtinId="8" hidden="1"/>
    <cellStyle name="ハイパーリンク" xfId="1893" builtinId="8" hidden="1"/>
    <cellStyle name="ハイパーリンク" xfId="1895" builtinId="8" hidden="1"/>
    <cellStyle name="ハイパーリンク" xfId="1897" builtinId="8" hidden="1"/>
    <cellStyle name="ハイパーリンク" xfId="1899" builtinId="8" hidden="1"/>
    <cellStyle name="ハイパーリンク" xfId="1901" builtinId="8" hidden="1"/>
    <cellStyle name="ハイパーリンク" xfId="1903" builtinId="8" hidden="1"/>
    <cellStyle name="ハイパーリンク" xfId="1905" builtinId="8" hidden="1"/>
    <cellStyle name="ハイパーリンク" xfId="1907" builtinId="8" hidden="1"/>
    <cellStyle name="ハイパーリンク" xfId="1909" builtinId="8" hidden="1"/>
    <cellStyle name="ハイパーリンク" xfId="1911" builtinId="8" hidden="1"/>
    <cellStyle name="ハイパーリンク" xfId="1913" builtinId="8" hidden="1"/>
    <cellStyle name="ハイパーリンク" xfId="1915" builtinId="8" hidden="1"/>
    <cellStyle name="ハイパーリンク" xfId="1917" builtinId="8" hidden="1"/>
    <cellStyle name="ハイパーリンク" xfId="1919" builtinId="8" hidden="1"/>
    <cellStyle name="ハイパーリンク" xfId="1921" builtinId="8" hidden="1"/>
    <cellStyle name="ハイパーリンク" xfId="1923" builtinId="8" hidden="1"/>
    <cellStyle name="ハイパーリンク" xfId="1925" builtinId="8" hidden="1"/>
    <cellStyle name="ハイパーリンク" xfId="1927" builtinId="8" hidden="1"/>
    <cellStyle name="ハイパーリンク" xfId="1929" builtinId="8" hidden="1"/>
    <cellStyle name="ハイパーリンク" xfId="1931" builtinId="8" hidden="1"/>
    <cellStyle name="ハイパーリンク" xfId="1933" builtinId="8" hidden="1"/>
    <cellStyle name="ハイパーリンク" xfId="1935" builtinId="8" hidden="1"/>
    <cellStyle name="ハイパーリンク" xfId="1937" builtinId="8" hidden="1"/>
    <cellStyle name="ハイパーリンク" xfId="1939" builtinId="8" hidden="1"/>
    <cellStyle name="ハイパーリンク" xfId="1941" builtinId="8" hidden="1"/>
    <cellStyle name="ハイパーリンク" xfId="1943" builtinId="8" hidden="1"/>
    <cellStyle name="ハイパーリンク" xfId="1945" builtinId="8" hidden="1"/>
    <cellStyle name="ハイパーリンク" xfId="1947" builtinId="8" hidden="1"/>
    <cellStyle name="ハイパーリンク" xfId="1949" builtinId="8" hidden="1"/>
    <cellStyle name="ハイパーリンク" xfId="1951" builtinId="8" hidden="1"/>
    <cellStyle name="ハイパーリンク" xfId="1953" builtinId="8" hidden="1"/>
    <cellStyle name="ハイパーリンク" xfId="1955" builtinId="8" hidden="1"/>
    <cellStyle name="ハイパーリンク" xfId="1957" builtinId="8" hidden="1"/>
    <cellStyle name="ハイパーリンク" xfId="1959" builtinId="8" hidden="1"/>
    <cellStyle name="ハイパーリンク" xfId="1961" builtinId="8" hidden="1"/>
    <cellStyle name="ハイパーリンク" xfId="1963" builtinId="8" hidden="1"/>
    <cellStyle name="ハイパーリンク" xfId="1965" builtinId="8" hidden="1"/>
    <cellStyle name="ハイパーリンク" xfId="1967" builtinId="8" hidden="1"/>
    <cellStyle name="ハイパーリンク" xfId="1969" builtinId="8" hidden="1"/>
    <cellStyle name="ハイパーリンク" xfId="1971" builtinId="8" hidden="1"/>
    <cellStyle name="ハイパーリンク" xfId="1973" builtinId="8" hidden="1"/>
    <cellStyle name="ハイパーリンク" xfId="1975" builtinId="8" hidden="1"/>
    <cellStyle name="ハイパーリンク" xfId="1977" builtinId="8" hidden="1"/>
    <cellStyle name="ハイパーリンク" xfId="1979" builtinId="8" hidden="1"/>
    <cellStyle name="ハイパーリンク" xfId="1981" builtinId="8" hidden="1"/>
    <cellStyle name="ハイパーリンク" xfId="1983" builtinId="8" hidden="1"/>
    <cellStyle name="ハイパーリンク" xfId="1985" builtinId="8" hidden="1"/>
    <cellStyle name="ハイパーリンク" xfId="1987" builtinId="8" hidden="1"/>
    <cellStyle name="ハイパーリンク" xfId="1989" builtinId="8" hidden="1"/>
    <cellStyle name="ハイパーリンク" xfId="1991" builtinId="8" hidden="1"/>
    <cellStyle name="ハイパーリンク" xfId="1993" builtinId="8" hidden="1"/>
    <cellStyle name="ハイパーリンク" xfId="1995" builtinId="8" hidden="1"/>
    <cellStyle name="ハイパーリンク" xfId="1997" builtinId="8" hidden="1"/>
    <cellStyle name="ハイパーリンク" xfId="1999" builtinId="8" hidden="1"/>
    <cellStyle name="ハイパーリンク" xfId="2001" builtinId="8" hidden="1"/>
    <cellStyle name="ハイパーリンク" xfId="2003" builtinId="8" hidden="1"/>
    <cellStyle name="ハイパーリンク" xfId="2005" builtinId="8" hidden="1"/>
    <cellStyle name="ハイパーリンク" xfId="2007" builtinId="8" hidden="1"/>
    <cellStyle name="ハイパーリンク" xfId="2009" builtinId="8" hidden="1"/>
    <cellStyle name="ハイパーリンク" xfId="2011" builtinId="8" hidden="1"/>
    <cellStyle name="ハイパーリンク" xfId="2013" builtinId="8" hidden="1"/>
    <cellStyle name="ハイパーリンク" xfId="2015" builtinId="8" hidden="1"/>
    <cellStyle name="ハイパーリンク" xfId="2017" builtinId="8" hidden="1"/>
    <cellStyle name="ハイパーリンク" xfId="2019" builtinId="8" hidden="1"/>
    <cellStyle name="ハイパーリンク" xfId="2021" builtinId="8" hidden="1"/>
    <cellStyle name="ハイパーリンク" xfId="2023" builtinId="8" hidden="1"/>
    <cellStyle name="ハイパーリンク" xfId="2025" builtinId="8" hidden="1"/>
    <cellStyle name="ハイパーリンク" xfId="2027" builtinId="8" hidden="1"/>
    <cellStyle name="ハイパーリンク" xfId="2029" builtinId="8" hidden="1"/>
    <cellStyle name="ハイパーリンク" xfId="2031" builtinId="8" hidden="1"/>
    <cellStyle name="ハイパーリンク" xfId="2033" builtinId="8" hidden="1"/>
    <cellStyle name="ハイパーリンク" xfId="2035" builtinId="8" hidden="1"/>
    <cellStyle name="ハイパーリンク" xfId="2037" builtinId="8" hidden="1"/>
    <cellStyle name="ハイパーリンク" xfId="2039" builtinId="8" hidden="1"/>
    <cellStyle name="ハイパーリンク" xfId="2041" builtinId="8" hidden="1"/>
    <cellStyle name="ハイパーリンク" xfId="2043" builtinId="8" hidden="1"/>
    <cellStyle name="ハイパーリンク" xfId="2045" builtinId="8" hidden="1"/>
    <cellStyle name="ハイパーリンク" xfId="2047" builtinId="8" hidden="1"/>
    <cellStyle name="ハイパーリンク" xfId="2049" builtinId="8" hidden="1"/>
    <cellStyle name="ハイパーリンク" xfId="2051" builtinId="8" hidden="1"/>
    <cellStyle name="ハイパーリンク" xfId="2053" builtinId="8" hidden="1"/>
    <cellStyle name="ハイパーリンク" xfId="2055" builtinId="8" hidden="1"/>
    <cellStyle name="ハイパーリンク" xfId="2057" builtinId="8" hidden="1"/>
    <cellStyle name="ハイパーリンク" xfId="2059" builtinId="8" hidden="1"/>
    <cellStyle name="ハイパーリンク" xfId="2061" builtinId="8" hidden="1"/>
    <cellStyle name="ハイパーリンク" xfId="2063" builtinId="8" hidden="1"/>
    <cellStyle name="ハイパーリンク" xfId="2065" builtinId="8" hidden="1"/>
    <cellStyle name="ハイパーリンク" xfId="2067" builtinId="8" hidden="1"/>
    <cellStyle name="ハイパーリンク" xfId="2069" builtinId="8" hidden="1"/>
    <cellStyle name="ハイパーリンク" xfId="2071" builtinId="8" hidden="1"/>
    <cellStyle name="ハイパーリンク" xfId="2073" builtinId="8" hidden="1"/>
    <cellStyle name="ハイパーリンク" xfId="2075" builtinId="8" hidden="1"/>
    <cellStyle name="ハイパーリンク" xfId="2077" builtinId="8" hidden="1"/>
    <cellStyle name="ハイパーリンク" xfId="2079" builtinId="8" hidden="1"/>
    <cellStyle name="ハイパーリンク" xfId="2081" builtinId="8" hidden="1"/>
    <cellStyle name="ハイパーリンク" xfId="2083" builtinId="8" hidden="1"/>
    <cellStyle name="ハイパーリンク" xfId="2085" builtinId="8" hidden="1"/>
    <cellStyle name="ハイパーリンク" xfId="2087" builtinId="8" hidden="1"/>
    <cellStyle name="ハイパーリンク" xfId="2089" builtinId="8" hidden="1"/>
    <cellStyle name="ハイパーリンク" xfId="2091" builtinId="8" hidden="1"/>
    <cellStyle name="ハイパーリンク" xfId="2093" builtinId="8" hidden="1"/>
    <cellStyle name="ハイパーリンク" xfId="2095" builtinId="8" hidden="1"/>
    <cellStyle name="ハイパーリンク" xfId="2097" builtinId="8" hidden="1"/>
    <cellStyle name="ハイパーリンク" xfId="2099" builtinId="8" hidden="1"/>
    <cellStyle name="ハイパーリンク" xfId="2101" builtinId="8" hidden="1"/>
    <cellStyle name="ハイパーリンク" xfId="2103" builtinId="8" hidden="1"/>
    <cellStyle name="ハイパーリンク" xfId="2105" builtinId="8" hidden="1"/>
    <cellStyle name="ハイパーリンク" xfId="2107" builtinId="8" hidden="1"/>
    <cellStyle name="ハイパーリンク" xfId="2109" builtinId="8" hidden="1"/>
    <cellStyle name="ハイパーリンク" xfId="2111" builtinId="8" hidden="1"/>
    <cellStyle name="ハイパーリンク" xfId="2113" builtinId="8" hidden="1"/>
    <cellStyle name="ハイパーリンク" xfId="2115" builtinId="8" hidden="1"/>
    <cellStyle name="ハイパーリンク" xfId="2117" builtinId="8" hidden="1"/>
    <cellStyle name="ハイパーリンク" xfId="2119" builtinId="8" hidden="1"/>
    <cellStyle name="ハイパーリンク" xfId="2121" builtinId="8" hidden="1"/>
    <cellStyle name="ハイパーリンク" xfId="2123" builtinId="8" hidden="1"/>
    <cellStyle name="ハイパーリンク" xfId="2125" builtinId="8" hidden="1"/>
    <cellStyle name="ハイパーリンク" xfId="2127" builtinId="8" hidden="1"/>
    <cellStyle name="ハイパーリンク" xfId="2129" builtinId="8" hidden="1"/>
    <cellStyle name="ハイパーリンク" xfId="2131" builtinId="8" hidden="1"/>
    <cellStyle name="ハイパーリンク" xfId="2133" builtinId="8" hidden="1"/>
    <cellStyle name="ハイパーリンク" xfId="2135" builtinId="8" hidden="1"/>
    <cellStyle name="ハイパーリンク" xfId="2137" builtinId="8" hidden="1"/>
    <cellStyle name="ハイパーリンク" xfId="2139" builtinId="8" hidden="1"/>
    <cellStyle name="ハイパーリンク" xfId="2141" builtinId="8" hidden="1"/>
    <cellStyle name="ハイパーリンク" xfId="2143" builtinId="8" hidden="1"/>
    <cellStyle name="ハイパーリンク" xfId="2145" builtinId="8" hidden="1"/>
    <cellStyle name="ハイパーリンク" xfId="2147" builtinId="8" hidden="1"/>
    <cellStyle name="ハイパーリンク" xfId="2149" builtinId="8" hidden="1"/>
    <cellStyle name="ハイパーリンク" xfId="2151" builtinId="8" hidden="1"/>
    <cellStyle name="ハイパーリンク" xfId="2153" builtinId="8" hidden="1"/>
    <cellStyle name="ハイパーリンク" xfId="2155" builtinId="8" hidden="1"/>
    <cellStyle name="ハイパーリンク" xfId="2157" builtinId="8" hidden="1"/>
    <cellStyle name="ハイパーリンク" xfId="2159" builtinId="8" hidden="1"/>
    <cellStyle name="ハイパーリンク" xfId="2161" builtinId="8" hidden="1"/>
    <cellStyle name="ハイパーリンク" xfId="2163" builtinId="8" hidden="1"/>
    <cellStyle name="ハイパーリンク" xfId="2165" builtinId="8" hidden="1"/>
    <cellStyle name="ハイパーリンク" xfId="2167" builtinId="8" hidden="1"/>
    <cellStyle name="ハイパーリンク" xfId="2169" builtinId="8" hidden="1"/>
    <cellStyle name="ハイパーリンク" xfId="2171" builtinId="8" hidden="1"/>
    <cellStyle name="ハイパーリンク" xfId="2173" builtinId="8" hidden="1"/>
    <cellStyle name="ハイパーリンク" xfId="2175" builtinId="8" hidden="1"/>
    <cellStyle name="ハイパーリンク" xfId="2177" builtinId="8" hidden="1"/>
    <cellStyle name="ハイパーリンク" xfId="2179" builtinId="8" hidden="1"/>
    <cellStyle name="ハイパーリンク" xfId="2181" builtinId="8" hidden="1"/>
    <cellStyle name="ハイパーリンク" xfId="2183" builtinId="8" hidden="1"/>
    <cellStyle name="ハイパーリンク" xfId="2185" builtinId="8" hidden="1"/>
    <cellStyle name="ハイパーリンク" xfId="2187" builtinId="8" hidden="1"/>
    <cellStyle name="ハイパーリンク" xfId="2189" builtinId="8" hidden="1"/>
    <cellStyle name="ハイパーリンク" xfId="2191" builtinId="8" hidden="1"/>
    <cellStyle name="ハイパーリンク" xfId="2193" builtinId="8" hidden="1"/>
    <cellStyle name="ハイパーリンク" xfId="2195" builtinId="8" hidden="1"/>
    <cellStyle name="ハイパーリンク" xfId="2197" builtinId="8" hidden="1"/>
    <cellStyle name="ハイパーリンク" xfId="2199" builtinId="8" hidden="1"/>
    <cellStyle name="ハイパーリンク" xfId="2201" builtinId="8" hidden="1"/>
    <cellStyle name="ハイパーリンク" xfId="2203" builtinId="8" hidden="1"/>
    <cellStyle name="ハイパーリンク" xfId="2205" builtinId="8" hidden="1"/>
    <cellStyle name="ハイパーリンク" xfId="2207" builtinId="8" hidden="1"/>
    <cellStyle name="ハイパーリンク" xfId="2209" builtinId="8" hidden="1"/>
    <cellStyle name="ハイパーリンク" xfId="2211" builtinId="8" hidden="1"/>
    <cellStyle name="ハイパーリンク" xfId="2213" builtinId="8" hidden="1"/>
    <cellStyle name="ハイパーリンク" xfId="2215" builtinId="8" hidden="1"/>
    <cellStyle name="ハイパーリンク" xfId="2217" builtinId="8" hidden="1"/>
    <cellStyle name="ハイパーリンク" xfId="2219" builtinId="8" hidden="1"/>
    <cellStyle name="ハイパーリンク" xfId="2221" builtinId="8" hidden="1"/>
    <cellStyle name="ハイパーリンク" xfId="2223" builtinId="8" hidden="1"/>
    <cellStyle name="ハイパーリンク" xfId="2225" builtinId="8" hidden="1"/>
    <cellStyle name="ハイパーリンク" xfId="2227" builtinId="8" hidden="1"/>
    <cellStyle name="ハイパーリンク" xfId="2229" builtinId="8" hidden="1"/>
    <cellStyle name="ハイパーリンク" xfId="2231" builtinId="8" hidden="1"/>
    <cellStyle name="ハイパーリンク" xfId="2233" builtinId="8" hidden="1"/>
    <cellStyle name="ハイパーリンク" xfId="2235" builtinId="8" hidden="1"/>
    <cellStyle name="ハイパーリンク" xfId="2237" builtinId="8" hidden="1"/>
    <cellStyle name="ハイパーリンク" xfId="2239" builtinId="8" hidden="1"/>
    <cellStyle name="ハイパーリンク" xfId="2241" builtinId="8" hidden="1"/>
    <cellStyle name="ハイパーリンク" xfId="2243" builtinId="8" hidden="1"/>
    <cellStyle name="ハイパーリンク" xfId="2245" builtinId="8" hidden="1"/>
    <cellStyle name="ハイパーリンク" xfId="2247" builtinId="8" hidden="1"/>
    <cellStyle name="ハイパーリンク" xfId="2249" builtinId="8" hidden="1"/>
    <cellStyle name="ハイパーリンク" xfId="2251" builtinId="8" hidden="1"/>
    <cellStyle name="ハイパーリンク" xfId="2253" builtinId="8" hidden="1"/>
    <cellStyle name="ハイパーリンク" xfId="2255" builtinId="8" hidden="1"/>
    <cellStyle name="ハイパーリンク" xfId="2257" builtinId="8" hidden="1"/>
    <cellStyle name="ハイパーリンク" xfId="2259" builtinId="8" hidden="1"/>
    <cellStyle name="ハイパーリンク" xfId="2261" builtinId="8" hidden="1"/>
    <cellStyle name="ハイパーリンク" xfId="2263" builtinId="8" hidden="1"/>
    <cellStyle name="ハイパーリンク" xfId="2265" builtinId="8" hidden="1"/>
    <cellStyle name="ハイパーリンク" xfId="2267" builtinId="8" hidden="1"/>
    <cellStyle name="ハイパーリンク" xfId="2269" builtinId="8" hidden="1"/>
    <cellStyle name="ハイパーリンク" xfId="2271" builtinId="8" hidden="1"/>
    <cellStyle name="ハイパーリンク" xfId="2273" builtinId="8" hidden="1"/>
    <cellStyle name="ハイパーリンク" xfId="2275" builtinId="8" hidden="1"/>
    <cellStyle name="ハイパーリンク" xfId="2277" builtinId="8" hidden="1"/>
    <cellStyle name="ハイパーリンク" xfId="2279" builtinId="8" hidden="1"/>
    <cellStyle name="ハイパーリンク" xfId="2281" builtinId="8" hidden="1"/>
    <cellStyle name="ハイパーリンク" xfId="2283" builtinId="8" hidden="1"/>
    <cellStyle name="ハイパーリンク" xfId="2285" builtinId="8" hidden="1"/>
    <cellStyle name="ハイパーリンク" xfId="2287" builtinId="8" hidden="1"/>
    <cellStyle name="ハイパーリンク" xfId="2289" builtinId="8" hidden="1"/>
    <cellStyle name="ハイパーリンク" xfId="2291" builtinId="8" hidden="1"/>
    <cellStyle name="ハイパーリンク" xfId="2293" builtinId="8" hidden="1"/>
    <cellStyle name="ハイパーリンク" xfId="2295" builtinId="8" hidden="1"/>
    <cellStyle name="ハイパーリンク" xfId="2297" builtinId="8" hidden="1"/>
    <cellStyle name="ハイパーリンク" xfId="2299" builtinId="8" hidden="1"/>
    <cellStyle name="ハイパーリンク" xfId="2301" builtinId="8" hidden="1"/>
    <cellStyle name="ハイパーリンク" xfId="2303" builtinId="8" hidden="1"/>
    <cellStyle name="ハイパーリンク" xfId="2305" builtinId="8" hidden="1"/>
    <cellStyle name="ハイパーリンク" xfId="2307" builtinId="8" hidden="1"/>
    <cellStyle name="ハイパーリンク" xfId="2309" builtinId="8" hidden="1"/>
    <cellStyle name="ハイパーリンク" xfId="2311" builtinId="8" hidden="1"/>
    <cellStyle name="ハイパーリンク" xfId="2313" builtinId="8" hidden="1"/>
    <cellStyle name="ハイパーリンク" xfId="2315" builtinId="8" hidden="1"/>
    <cellStyle name="ハイパーリンク" xfId="2317" builtinId="8" hidden="1"/>
    <cellStyle name="ハイパーリンク" xfId="2319" builtinId="8" hidden="1"/>
    <cellStyle name="ハイパーリンク" xfId="2321" builtinId="8" hidden="1"/>
    <cellStyle name="ハイパーリンク" xfId="2323" builtinId="8" hidden="1"/>
    <cellStyle name="ハイパーリンク" xfId="2325" builtinId="8" hidden="1"/>
    <cellStyle name="ハイパーリンク" xfId="2327" builtinId="8" hidden="1"/>
    <cellStyle name="ハイパーリンク" xfId="2329" builtinId="8" hidden="1"/>
    <cellStyle name="ハイパーリンク" xfId="2331" builtinId="8" hidden="1"/>
    <cellStyle name="ハイパーリンク" xfId="2333" builtinId="8" hidden="1"/>
    <cellStyle name="ハイパーリンク" xfId="2335" builtinId="8" hidden="1"/>
    <cellStyle name="ハイパーリンク" xfId="2337" builtinId="8" hidden="1"/>
    <cellStyle name="ハイパーリンク" xfId="2339" builtinId="8" hidden="1"/>
    <cellStyle name="ハイパーリンク" xfId="2341" builtinId="8" hidden="1"/>
    <cellStyle name="ハイパーリンク" xfId="2343" builtinId="8" hidden="1"/>
    <cellStyle name="ハイパーリンク" xfId="2345" builtinId="8" hidden="1"/>
    <cellStyle name="ハイパーリンク" xfId="2347" builtinId="8" hidden="1"/>
    <cellStyle name="ハイパーリンク" xfId="2349" builtinId="8" hidden="1"/>
    <cellStyle name="ハイパーリンク" xfId="2351" builtinId="8" hidden="1"/>
    <cellStyle name="ハイパーリンク" xfId="2353" builtinId="8" hidden="1"/>
    <cellStyle name="ハイパーリンク" xfId="2355" builtinId="8" hidden="1"/>
    <cellStyle name="ハイパーリンク" xfId="2357" builtinId="8" hidden="1"/>
    <cellStyle name="ハイパーリンク" xfId="2359" builtinId="8" hidden="1"/>
    <cellStyle name="ハイパーリンク" xfId="2361" builtinId="8" hidden="1"/>
    <cellStyle name="ハイパーリンク" xfId="2363" builtinId="8" hidden="1"/>
    <cellStyle name="ハイパーリンク" xfId="2365" builtinId="8" hidden="1"/>
    <cellStyle name="ハイパーリンク" xfId="2367" builtinId="8" hidden="1"/>
    <cellStyle name="ハイパーリンク" xfId="2369" builtinId="8" hidden="1"/>
    <cellStyle name="ハイパーリンク" xfId="2371" builtinId="8" hidden="1"/>
    <cellStyle name="ハイパーリンク" xfId="2373" builtinId="8" hidden="1"/>
    <cellStyle name="ハイパーリンク" xfId="2375" builtinId="8" hidden="1"/>
    <cellStyle name="ハイパーリンク" xfId="2377" builtinId="8" hidden="1"/>
    <cellStyle name="ハイパーリンク" xfId="2379" builtinId="8" hidden="1"/>
    <cellStyle name="ハイパーリンク" xfId="2381" builtinId="8" hidden="1"/>
    <cellStyle name="ハイパーリンク" xfId="2383" builtinId="8" hidden="1"/>
    <cellStyle name="ハイパーリンク" xfId="2385" builtinId="8" hidden="1"/>
    <cellStyle name="ハイパーリンク" xfId="2387" builtinId="8" hidden="1"/>
    <cellStyle name="ハイパーリンク" xfId="2389" builtinId="8" hidden="1"/>
    <cellStyle name="ハイパーリンク" xfId="2391" builtinId="8" hidden="1"/>
    <cellStyle name="ハイパーリンク" xfId="2393" builtinId="8" hidden="1"/>
    <cellStyle name="ハイパーリンク" xfId="2395" builtinId="8" hidden="1"/>
    <cellStyle name="ハイパーリンク" xfId="2397" builtinId="8" hidden="1"/>
    <cellStyle name="ハイパーリンク" xfId="2399" builtinId="8" hidden="1"/>
    <cellStyle name="ハイパーリンク" xfId="2401" builtinId="8" hidden="1"/>
    <cellStyle name="ハイパーリンク" xfId="2403" builtinId="8" hidden="1"/>
    <cellStyle name="ハイパーリンク" xfId="2405" builtinId="8" hidden="1"/>
    <cellStyle name="ハイパーリンク" xfId="2407" builtinId="8" hidden="1"/>
    <cellStyle name="ハイパーリンク" xfId="2409" builtinId="8" hidden="1"/>
    <cellStyle name="ハイパーリンク" xfId="2411" builtinId="8" hidden="1"/>
    <cellStyle name="ハイパーリンク" xfId="2413" builtinId="8" hidden="1"/>
    <cellStyle name="ハイパーリンク" xfId="2415" builtinId="8" hidden="1"/>
    <cellStyle name="ハイパーリンク" xfId="2417" builtinId="8" hidden="1"/>
    <cellStyle name="ハイパーリンク" xfId="2419" builtinId="8" hidden="1"/>
    <cellStyle name="ハイパーリンク" xfId="2421" builtinId="8" hidden="1"/>
    <cellStyle name="ハイパーリンク" xfId="2423" builtinId="8" hidden="1"/>
    <cellStyle name="ハイパーリンク" xfId="2425" builtinId="8" hidden="1"/>
    <cellStyle name="ハイパーリンク" xfId="2427" builtinId="8" hidden="1"/>
    <cellStyle name="ハイパーリンク" xfId="2429" builtinId="8" hidden="1"/>
    <cellStyle name="ハイパーリンク" xfId="2431" builtinId="8" hidden="1"/>
    <cellStyle name="ハイパーリンク" xfId="2433" builtinId="8" hidden="1"/>
    <cellStyle name="ハイパーリンク" xfId="2435" builtinId="8" hidden="1"/>
    <cellStyle name="ハイパーリンク" xfId="2437" builtinId="8" hidden="1"/>
    <cellStyle name="ハイパーリンク" xfId="2439" builtinId="8" hidden="1"/>
    <cellStyle name="ハイパーリンク" xfId="2441" builtinId="8" hidden="1"/>
    <cellStyle name="ハイパーリンク" xfId="2443" builtinId="8" hidden="1"/>
    <cellStyle name="ハイパーリンク" xfId="2445" builtinId="8" hidden="1"/>
    <cellStyle name="ハイパーリンク" xfId="2447" builtinId="8" hidden="1"/>
    <cellStyle name="ハイパーリンク" xfId="2449" builtinId="8" hidden="1"/>
    <cellStyle name="ハイパーリンク" xfId="2451" builtinId="8" hidden="1"/>
    <cellStyle name="ハイパーリンク" xfId="2453" builtinId="8" hidden="1"/>
    <cellStyle name="ハイパーリンク" xfId="2455" builtinId="8" hidden="1"/>
    <cellStyle name="ハイパーリンク" xfId="2457" builtinId="8" hidden="1"/>
    <cellStyle name="ハイパーリンク" xfId="2459" builtinId="8" hidden="1"/>
    <cellStyle name="ハイパーリンク" xfId="2461" builtinId="8" hidden="1"/>
    <cellStyle name="ハイパーリンク" xfId="2463" builtinId="8" hidden="1"/>
    <cellStyle name="ハイパーリンク" xfId="2465" builtinId="8" hidden="1"/>
    <cellStyle name="ハイパーリンク" xfId="2467" builtinId="8" hidden="1"/>
    <cellStyle name="ハイパーリンク" xfId="2469" builtinId="8" hidden="1"/>
    <cellStyle name="ハイパーリンク" xfId="2471" builtinId="8" hidden="1"/>
    <cellStyle name="ハイパーリンク" xfId="2473" builtinId="8" hidden="1"/>
    <cellStyle name="ハイパーリンク" xfId="2475" builtinId="8" hidden="1"/>
    <cellStyle name="ハイパーリンク" xfId="2477" builtinId="8" hidden="1"/>
    <cellStyle name="ハイパーリンク" xfId="2479" builtinId="8" hidden="1"/>
    <cellStyle name="ハイパーリンク" xfId="2481" builtinId="8" hidden="1"/>
    <cellStyle name="ハイパーリンク" xfId="2483" builtinId="8" hidden="1"/>
    <cellStyle name="ハイパーリンク" xfId="2485" builtinId="8" hidden="1"/>
    <cellStyle name="ハイパーリンク" xfId="2487" builtinId="8" hidden="1"/>
    <cellStyle name="ハイパーリンク" xfId="2489" builtinId="8" hidden="1"/>
    <cellStyle name="ハイパーリンク" xfId="2491" builtinId="8" hidden="1"/>
    <cellStyle name="ハイパーリンク" xfId="2493" builtinId="8" hidden="1"/>
    <cellStyle name="ハイパーリンク" xfId="2495" builtinId="8" hidden="1"/>
    <cellStyle name="ハイパーリンク" xfId="2497" builtinId="8" hidden="1"/>
    <cellStyle name="ハイパーリンク" xfId="2499" builtinId="8" hidden="1"/>
    <cellStyle name="ハイパーリンク" xfId="2501" builtinId="8" hidden="1"/>
    <cellStyle name="ハイパーリンク" xfId="2503" builtinId="8" hidden="1"/>
    <cellStyle name="ハイパーリンク" xfId="2505" builtinId="8" hidden="1"/>
    <cellStyle name="ハイパーリンク" xfId="2507" builtinId="8" hidden="1"/>
    <cellStyle name="ハイパーリンク" xfId="2509" builtinId="8" hidden="1"/>
    <cellStyle name="ハイパーリンク" xfId="2511" builtinId="8" hidden="1"/>
    <cellStyle name="ハイパーリンク" xfId="2513" builtinId="8" hidden="1"/>
    <cellStyle name="ハイパーリンク" xfId="2515" builtinId="8" hidden="1"/>
    <cellStyle name="ハイパーリンク" xfId="2517" builtinId="8" hidden="1"/>
    <cellStyle name="ハイパーリンク" xfId="2519" builtinId="8" hidden="1"/>
    <cellStyle name="ハイパーリンク" xfId="2521" builtinId="8" hidden="1"/>
    <cellStyle name="ハイパーリンク" xfId="2523" builtinId="8" hidden="1"/>
    <cellStyle name="ハイパーリンク" xfId="2525" builtinId="8" hidden="1"/>
    <cellStyle name="ハイパーリンク" xfId="2527" builtinId="8" hidden="1"/>
    <cellStyle name="ハイパーリンク" xfId="2529" builtinId="8" hidden="1"/>
    <cellStyle name="ハイパーリンク" xfId="2531" builtinId="8" hidden="1"/>
    <cellStyle name="ハイパーリンク" xfId="2533" builtinId="8" hidden="1"/>
    <cellStyle name="ハイパーリンク" xfId="2535" builtinId="8" hidden="1"/>
    <cellStyle name="ハイパーリンク" xfId="2537" builtinId="8" hidden="1"/>
    <cellStyle name="ハイパーリンク" xfId="2539" builtinId="8" hidden="1"/>
    <cellStyle name="ハイパーリンク" xfId="2541" builtinId="8" hidden="1"/>
    <cellStyle name="ハイパーリンク" xfId="2543" builtinId="8" hidden="1"/>
    <cellStyle name="ハイパーリンク" xfId="2545" builtinId="8" hidden="1"/>
    <cellStyle name="ハイパーリンク" xfId="2547" builtinId="8" hidden="1"/>
    <cellStyle name="ハイパーリンク" xfId="2549" builtinId="8" hidden="1"/>
    <cellStyle name="ハイパーリンク" xfId="2551" builtinId="8" hidden="1"/>
    <cellStyle name="ハイパーリンク" xfId="2553" builtinId="8" hidden="1"/>
    <cellStyle name="ハイパーリンク" xfId="2555" builtinId="8" hidden="1"/>
    <cellStyle name="ハイパーリンク" xfId="2557" builtinId="8" hidden="1"/>
    <cellStyle name="ハイパーリンク" xfId="2559" builtinId="8" hidden="1"/>
    <cellStyle name="ハイパーリンク" xfId="2561" builtinId="8" hidden="1"/>
    <cellStyle name="ハイパーリンク" xfId="2563" builtinId="8" hidden="1"/>
    <cellStyle name="ハイパーリンク" xfId="2565" builtinId="8" hidden="1"/>
    <cellStyle name="ハイパーリンク" xfId="2567" builtinId="8" hidden="1"/>
    <cellStyle name="ハイパーリンク" xfId="2569" builtinId="8" hidden="1"/>
    <cellStyle name="ハイパーリンク" xfId="2571" builtinId="8" hidden="1"/>
    <cellStyle name="ハイパーリンク" xfId="2573" builtinId="8" hidden="1"/>
    <cellStyle name="ハイパーリンク" xfId="2575" builtinId="8" hidden="1"/>
    <cellStyle name="ハイパーリンク" xfId="2577" builtinId="8" hidden="1"/>
    <cellStyle name="ハイパーリンク" xfId="2579" builtinId="8" hidden="1"/>
    <cellStyle name="ハイパーリンク" xfId="2581" builtinId="8" hidden="1"/>
    <cellStyle name="ハイパーリンク" xfId="2583" builtinId="8" hidden="1"/>
    <cellStyle name="ハイパーリンク" xfId="2585" builtinId="8" hidden="1"/>
    <cellStyle name="ハイパーリンク" xfId="2587" builtinId="8" hidden="1"/>
    <cellStyle name="ハイパーリンク" xfId="2589" builtinId="8" hidden="1"/>
    <cellStyle name="ハイパーリンク" xfId="2591" builtinId="8" hidden="1"/>
    <cellStyle name="ハイパーリンク" xfId="2593" builtinId="8" hidden="1"/>
    <cellStyle name="ハイパーリンク" xfId="2595" builtinId="8" hidden="1"/>
    <cellStyle name="ハイパーリンク" xfId="2597" builtinId="8" hidden="1"/>
    <cellStyle name="ハイパーリンク" xfId="2599" builtinId="8" hidden="1"/>
    <cellStyle name="ハイパーリンク" xfId="2601" builtinId="8" hidden="1"/>
    <cellStyle name="ハイパーリンク" xfId="2603" builtinId="8" hidden="1"/>
    <cellStyle name="ハイパーリンク" xfId="2605" builtinId="8" hidden="1"/>
    <cellStyle name="ハイパーリンク" xfId="2607" builtinId="8" hidden="1"/>
    <cellStyle name="ハイパーリンク" xfId="2609" builtinId="8" hidden="1"/>
    <cellStyle name="ハイパーリンク" xfId="2611" builtinId="8" hidden="1"/>
    <cellStyle name="ハイパーリンク" xfId="2613" builtinId="8" hidden="1"/>
    <cellStyle name="ハイパーリンク" xfId="2615" builtinId="8" hidden="1"/>
    <cellStyle name="ハイパーリンク" xfId="2617" builtinId="8" hidden="1"/>
    <cellStyle name="ハイパーリンク" xfId="2619" builtinId="8" hidden="1"/>
    <cellStyle name="ハイパーリンク" xfId="2621" builtinId="8" hidden="1"/>
    <cellStyle name="ハイパーリンク" xfId="2623" builtinId="8" hidden="1"/>
    <cellStyle name="ハイパーリンク" xfId="2625" builtinId="8" hidden="1"/>
    <cellStyle name="ハイパーリンク" xfId="2627" builtinId="8" hidden="1"/>
    <cellStyle name="ハイパーリンク" xfId="2629" builtinId="8" hidden="1"/>
    <cellStyle name="ハイパーリンク" xfId="2631" builtinId="8" hidden="1"/>
    <cellStyle name="ハイパーリンク" xfId="2633" builtinId="8" hidden="1"/>
    <cellStyle name="ハイパーリンク" xfId="2635" builtinId="8" hidden="1"/>
    <cellStyle name="ハイパーリンク" xfId="2637" builtinId="8" hidden="1"/>
    <cellStyle name="ハイパーリンク" xfId="2639" builtinId="8" hidden="1"/>
    <cellStyle name="ハイパーリンク" xfId="2641" builtinId="8" hidden="1"/>
    <cellStyle name="ハイパーリンク" xfId="2643" builtinId="8" hidden="1"/>
    <cellStyle name="ハイパーリンク" xfId="2645" builtinId="8" hidden="1"/>
    <cellStyle name="ハイパーリンク" xfId="2647" builtinId="8" hidden="1"/>
    <cellStyle name="ハイパーリンク" xfId="2649" builtinId="8" hidden="1"/>
    <cellStyle name="ハイパーリンク" xfId="2651" builtinId="8" hidden="1"/>
    <cellStyle name="ハイパーリンク" xfId="2653" builtinId="8" hidden="1"/>
    <cellStyle name="ハイパーリンク" xfId="2655" builtinId="8" hidden="1"/>
    <cellStyle name="ハイパーリンク" xfId="2657" builtinId="8" hidden="1"/>
    <cellStyle name="ハイパーリンク" xfId="2659" builtinId="8" hidden="1"/>
    <cellStyle name="ハイパーリンク" xfId="2661" builtinId="8" hidden="1"/>
    <cellStyle name="ハイパーリンク" xfId="2663" builtinId="8" hidden="1"/>
    <cellStyle name="ハイパーリンク" xfId="2665" builtinId="8" hidden="1"/>
    <cellStyle name="ハイパーリンク" xfId="2667" builtinId="8" hidden="1"/>
    <cellStyle name="ハイパーリンク" xfId="2669" builtinId="8" hidden="1"/>
    <cellStyle name="ハイパーリンク" xfId="2671" builtinId="8" hidden="1"/>
    <cellStyle name="ハイパーリンク" xfId="2673" builtinId="8" hidden="1"/>
    <cellStyle name="ハイパーリンク" xfId="2675" builtinId="8" hidden="1"/>
    <cellStyle name="ハイパーリンク" xfId="2677" builtinId="8" hidden="1"/>
    <cellStyle name="ハイパーリンク" xfId="2679" builtinId="8" hidden="1"/>
    <cellStyle name="ハイパーリンク" xfId="2681" builtinId="8" hidden="1"/>
    <cellStyle name="ハイパーリンク" xfId="2683" builtinId="8" hidden="1"/>
    <cellStyle name="ハイパーリンク" xfId="2685" builtinId="8" hidden="1"/>
    <cellStyle name="ハイパーリンク" xfId="2687" builtinId="8" hidden="1"/>
    <cellStyle name="ハイパーリンク" xfId="2689" builtinId="8" hidden="1"/>
    <cellStyle name="ハイパーリンク" xfId="2691" builtinId="8" hidden="1"/>
    <cellStyle name="ハイパーリンク" xfId="2693" builtinId="8" hidden="1"/>
    <cellStyle name="ハイパーリンク" xfId="2695" builtinId="8" hidden="1"/>
    <cellStyle name="ハイパーリンク" xfId="2697" builtinId="8" hidden="1"/>
    <cellStyle name="ハイパーリンク" xfId="2699" builtinId="8" hidden="1"/>
    <cellStyle name="ハイパーリンク" xfId="2701" builtinId="8" hidden="1"/>
    <cellStyle name="ハイパーリンク" xfId="2703" builtinId="8" hidden="1"/>
    <cellStyle name="ハイパーリンク" xfId="2705" builtinId="8" hidden="1"/>
    <cellStyle name="ハイパーリンク" xfId="2707" builtinId="8" hidden="1"/>
    <cellStyle name="ハイパーリンク" xfId="2709" builtinId="8" hidden="1"/>
    <cellStyle name="ハイパーリンク" xfId="2711" builtinId="8" hidden="1"/>
    <cellStyle name="ハイパーリンク" xfId="2713" builtinId="8" hidden="1"/>
    <cellStyle name="ハイパーリンク" xfId="2715" builtinId="8" hidden="1"/>
    <cellStyle name="ハイパーリンク" xfId="2717" builtinId="8" hidden="1"/>
    <cellStyle name="ハイパーリンク" xfId="2719" builtinId="8" hidden="1"/>
    <cellStyle name="ハイパーリンク" xfId="2721" builtinId="8" hidden="1"/>
    <cellStyle name="ハイパーリンク" xfId="2723" builtinId="8" hidden="1"/>
    <cellStyle name="ハイパーリンク" xfId="2725" builtinId="8" hidden="1"/>
    <cellStyle name="ハイパーリンク" xfId="2727" builtinId="8" hidden="1"/>
    <cellStyle name="ハイパーリンク" xfId="2729" builtinId="8" hidden="1"/>
    <cellStyle name="ハイパーリンク" xfId="2731" builtinId="8" hidden="1"/>
    <cellStyle name="ハイパーリンク" xfId="2733" builtinId="8" hidden="1"/>
    <cellStyle name="ハイパーリンク" xfId="2735" builtinId="8" hidden="1"/>
    <cellStyle name="ハイパーリンク" xfId="2737" builtinId="8" hidden="1"/>
    <cellStyle name="ハイパーリンク" xfId="2739" builtinId="8" hidden="1"/>
    <cellStyle name="ハイパーリンク" xfId="2741" builtinId="8" hidden="1"/>
    <cellStyle name="ハイパーリンク" xfId="2743" builtinId="8" hidden="1"/>
    <cellStyle name="ハイパーリンク" xfId="2745" builtinId="8" hidden="1"/>
    <cellStyle name="ハイパーリンク" xfId="2747" builtinId="8" hidden="1"/>
    <cellStyle name="ハイパーリンク" xfId="2749" builtinId="8" hidden="1"/>
    <cellStyle name="ハイパーリンク" xfId="2751" builtinId="8" hidden="1"/>
    <cellStyle name="ハイパーリンク" xfId="2753" builtinId="8" hidden="1"/>
    <cellStyle name="ハイパーリンク" xfId="2755" builtinId="8" hidden="1"/>
    <cellStyle name="ハイパーリンク" xfId="2757" builtinId="8" hidden="1"/>
    <cellStyle name="ハイパーリンク" xfId="2759" builtinId="8" hidden="1"/>
    <cellStyle name="ハイパーリンク" xfId="2761" builtinId="8" hidden="1"/>
    <cellStyle name="ハイパーリンク" xfId="2763" builtinId="8" hidden="1"/>
    <cellStyle name="ハイパーリンク" xfId="2765" builtinId="8" hidden="1"/>
    <cellStyle name="ハイパーリンク" xfId="2767" builtinId="8" hidden="1"/>
    <cellStyle name="ハイパーリンク" xfId="2769" builtinId="8" hidden="1"/>
    <cellStyle name="ハイパーリンク" xfId="2771" builtinId="8" hidden="1"/>
    <cellStyle name="ハイパーリンク" xfId="2773" builtinId="8" hidden="1"/>
    <cellStyle name="ハイパーリンク" xfId="2775" builtinId="8" hidden="1"/>
    <cellStyle name="ハイパーリンク" xfId="2777" builtinId="8" hidden="1"/>
    <cellStyle name="ハイパーリンク" xfId="2779" builtinId="8" hidden="1"/>
    <cellStyle name="ハイパーリンク" xfId="2781" builtinId="8" hidden="1"/>
    <cellStyle name="ハイパーリンク" xfId="2783" builtinId="8" hidden="1"/>
    <cellStyle name="ハイパーリンク" xfId="2785" builtinId="8" hidden="1"/>
    <cellStyle name="ハイパーリンク" xfId="2787" builtinId="8" hidden="1"/>
    <cellStyle name="ハイパーリンク" xfId="2789" builtinId="8" hidden="1"/>
    <cellStyle name="ハイパーリンク" xfId="2791" builtinId="8" hidden="1"/>
    <cellStyle name="ハイパーリンク" xfId="2793" builtinId="8" hidden="1"/>
    <cellStyle name="ハイパーリンク" xfId="2795" builtinId="8" hidden="1"/>
    <cellStyle name="ハイパーリンク" xfId="2797" builtinId="8" hidden="1"/>
    <cellStyle name="ハイパーリンク" xfId="2799" builtinId="8" hidden="1"/>
    <cellStyle name="ハイパーリンク" xfId="2801" builtinId="8" hidden="1"/>
    <cellStyle name="ハイパーリンク" xfId="2803" builtinId="8" hidden="1"/>
    <cellStyle name="ハイパーリンク" xfId="2805" builtinId="8" hidden="1"/>
    <cellStyle name="ハイパーリンク" xfId="2807" builtinId="8" hidden="1"/>
    <cellStyle name="ハイパーリンク" xfId="2809" builtinId="8" hidden="1"/>
    <cellStyle name="ハイパーリンク" xfId="2811" builtinId="8" hidden="1"/>
    <cellStyle name="ハイパーリンク" xfId="2813" builtinId="8" hidden="1"/>
    <cellStyle name="ハイパーリンク" xfId="2815" builtinId="8" hidden="1"/>
    <cellStyle name="ハイパーリンク" xfId="2817" builtinId="8" hidden="1"/>
    <cellStyle name="ハイパーリンク" xfId="2819" builtinId="8" hidden="1"/>
    <cellStyle name="ハイパーリンク" xfId="2821" builtinId="8" hidden="1"/>
    <cellStyle name="ハイパーリンク" xfId="2823" builtinId="8" hidden="1"/>
    <cellStyle name="ハイパーリンク" xfId="2825" builtinId="8" hidden="1"/>
    <cellStyle name="ハイパーリンク" xfId="2827" builtinId="8" hidden="1"/>
    <cellStyle name="ハイパーリンク" xfId="2829" builtinId="8" hidden="1"/>
    <cellStyle name="ハイパーリンク" xfId="2831" builtinId="8" hidden="1"/>
    <cellStyle name="ハイパーリンク" xfId="2833" builtinId="8" hidden="1"/>
    <cellStyle name="ハイパーリンク" xfId="2835" builtinId="8" hidden="1"/>
    <cellStyle name="ハイパーリンク" xfId="2837" builtinId="8" hidden="1"/>
    <cellStyle name="ハイパーリンク" xfId="2839" builtinId="8" hidden="1"/>
    <cellStyle name="ハイパーリンク" xfId="2841" builtinId="8" hidden="1"/>
    <cellStyle name="ハイパーリンク" xfId="2843" builtinId="8" hidden="1"/>
    <cellStyle name="ハイパーリンク" xfId="2845" builtinId="8" hidden="1"/>
    <cellStyle name="ハイパーリンク" xfId="2847" builtinId="8" hidden="1"/>
    <cellStyle name="ハイパーリンク" xfId="2849" builtinId="8" hidden="1"/>
    <cellStyle name="ハイパーリンク" xfId="2851" builtinId="8" hidden="1"/>
    <cellStyle name="ハイパーリンク" xfId="2853" builtinId="8" hidden="1"/>
    <cellStyle name="ハイパーリンク" xfId="2855" builtinId="8" hidden="1"/>
    <cellStyle name="ハイパーリンク" xfId="2857" builtinId="8" hidden="1"/>
    <cellStyle name="ハイパーリンク" xfId="2859" builtinId="8" hidden="1"/>
    <cellStyle name="ハイパーリンク" xfId="2861" builtinId="8" hidden="1"/>
    <cellStyle name="ハイパーリンク" xfId="2863" builtinId="8" hidden="1"/>
    <cellStyle name="ハイパーリンク" xfId="2865" builtinId="8" hidden="1"/>
    <cellStyle name="ハイパーリンク" xfId="2867" builtinId="8" hidden="1"/>
    <cellStyle name="ハイパーリンク" xfId="2869" builtinId="8" hidden="1"/>
    <cellStyle name="ハイパーリンク" xfId="2871" builtinId="8" hidden="1"/>
    <cellStyle name="ハイパーリンク" xfId="2873" builtinId="8" hidden="1"/>
    <cellStyle name="ハイパーリンク" xfId="2875" builtinId="8" hidden="1"/>
    <cellStyle name="ハイパーリンク" xfId="2877" builtinId="8" hidden="1"/>
    <cellStyle name="ハイパーリンク" xfId="2879" builtinId="8" hidden="1"/>
    <cellStyle name="ハイパーリンク" xfId="2881" builtinId="8" hidden="1"/>
    <cellStyle name="ハイパーリンク" xfId="2883" builtinId="8" hidden="1"/>
    <cellStyle name="ハイパーリンク" xfId="2885" builtinId="8" hidden="1"/>
    <cellStyle name="ハイパーリンク" xfId="2887" builtinId="8" hidden="1"/>
    <cellStyle name="ハイパーリンク" xfId="2889" builtinId="8" hidden="1"/>
    <cellStyle name="ハイパーリンク" xfId="2891" builtinId="8" hidden="1"/>
    <cellStyle name="ハイパーリンク" xfId="2893" builtinId="8" hidden="1"/>
    <cellStyle name="ハイパーリンク" xfId="2895" builtinId="8" hidden="1"/>
    <cellStyle name="ハイパーリンク" xfId="2897" builtinId="8" hidden="1"/>
    <cellStyle name="ハイパーリンク" xfId="2899" builtinId="8" hidden="1"/>
    <cellStyle name="ハイパーリンク" xfId="2901" builtinId="8" hidden="1"/>
    <cellStyle name="ハイパーリンク" xfId="2903" builtinId="8" hidden="1"/>
    <cellStyle name="ハイパーリンク" xfId="2905" builtinId="8" hidden="1"/>
    <cellStyle name="ハイパーリンク" xfId="2907" builtinId="8" hidden="1"/>
    <cellStyle name="ハイパーリンク" xfId="2909" builtinId="8" hidden="1"/>
    <cellStyle name="ハイパーリンク" xfId="2911" builtinId="8" hidden="1"/>
    <cellStyle name="ハイパーリンク" xfId="2913" builtinId="8" hidden="1"/>
    <cellStyle name="ハイパーリンク" xfId="2915" builtinId="8" hidden="1"/>
    <cellStyle name="ハイパーリンク" xfId="2917" builtinId="8" hidden="1"/>
    <cellStyle name="ハイパーリンク" xfId="2919" builtinId="8" hidden="1"/>
    <cellStyle name="ハイパーリンク" xfId="2921" builtinId="8" hidden="1"/>
    <cellStyle name="ハイパーリンク" xfId="2923" builtinId="8" hidden="1"/>
    <cellStyle name="ハイパーリンク" xfId="2925" builtinId="8" hidden="1"/>
    <cellStyle name="ハイパーリンク" xfId="2927" builtinId="8" hidden="1"/>
    <cellStyle name="ハイパーリンク" xfId="2929" builtinId="8" hidden="1"/>
    <cellStyle name="ハイパーリンク" xfId="2931" builtinId="8" hidden="1"/>
    <cellStyle name="ハイパーリンク" xfId="2933" builtinId="8" hidden="1"/>
    <cellStyle name="ハイパーリンク" xfId="2935" builtinId="8" hidden="1"/>
    <cellStyle name="ハイパーリンク" xfId="2937" builtinId="8" hidden="1"/>
    <cellStyle name="ハイパーリンク" xfId="2939" builtinId="8" hidden="1"/>
    <cellStyle name="ハイパーリンク" xfId="2941" builtinId="8" hidden="1"/>
    <cellStyle name="ハイパーリンク" xfId="2943" builtinId="8" hidden="1"/>
    <cellStyle name="ハイパーリンク" xfId="2945" builtinId="8" hidden="1"/>
    <cellStyle name="ハイパーリンク" xfId="2947" builtinId="8" hidden="1"/>
    <cellStyle name="ハイパーリンク" xfId="2949" builtinId="8" hidden="1"/>
    <cellStyle name="ハイパーリンク" xfId="2951" builtinId="8" hidden="1"/>
    <cellStyle name="ハイパーリンク" xfId="2953" builtinId="8" hidden="1"/>
    <cellStyle name="ハイパーリンク" xfId="2955" builtinId="8" hidden="1"/>
    <cellStyle name="ハイパーリンク" xfId="2957" builtinId="8" hidden="1"/>
    <cellStyle name="ハイパーリンク" xfId="2959" builtinId="8" hidden="1"/>
    <cellStyle name="ハイパーリンク" xfId="2961" builtinId="8" hidden="1"/>
    <cellStyle name="ハイパーリンク" xfId="2963" builtinId="8" hidden="1"/>
    <cellStyle name="ハイパーリンク" xfId="2965" builtinId="8" hidden="1"/>
    <cellStyle name="ハイパーリンク" xfId="2967" builtinId="8" hidden="1"/>
    <cellStyle name="ハイパーリンク" xfId="2969" builtinId="8" hidden="1"/>
    <cellStyle name="ハイパーリンク" xfId="2971" builtinId="8" hidden="1"/>
    <cellStyle name="ハイパーリンク" xfId="2973" builtinId="8" hidden="1"/>
    <cellStyle name="ハイパーリンク" xfId="2975" builtinId="8" hidden="1"/>
    <cellStyle name="ハイパーリンク" xfId="2977" builtinId="8" hidden="1"/>
    <cellStyle name="ハイパーリンク" xfId="2979" builtinId="8" hidden="1"/>
    <cellStyle name="ハイパーリンク" xfId="2981" builtinId="8" hidden="1"/>
    <cellStyle name="ハイパーリンク" xfId="2983" builtinId="8" hidden="1"/>
    <cellStyle name="ハイパーリンク" xfId="2985" builtinId="8" hidden="1"/>
    <cellStyle name="ハイパーリンク" xfId="2987" builtinId="8" hidden="1"/>
    <cellStyle name="ハイパーリンク" xfId="2989" builtinId="8" hidden="1"/>
    <cellStyle name="ハイパーリンク" xfId="2991" builtinId="8" hidden="1"/>
    <cellStyle name="ハイパーリンク" xfId="2993" builtinId="8" hidden="1"/>
    <cellStyle name="ハイパーリンク" xfId="2995" builtinId="8" hidden="1"/>
    <cellStyle name="ハイパーリンク" xfId="2997" builtinId="8" hidden="1"/>
    <cellStyle name="ハイパーリンク" xfId="2999" builtinId="8" hidden="1"/>
    <cellStyle name="ハイパーリンク" xfId="3001" builtinId="8" hidden="1"/>
    <cellStyle name="ハイパーリンク" xfId="3003" builtinId="8" hidden="1"/>
    <cellStyle name="ハイパーリンク" xfId="3005" builtinId="8" hidden="1"/>
    <cellStyle name="ハイパーリンク" xfId="3007" builtinId="8" hidden="1"/>
    <cellStyle name="ハイパーリンク" xfId="3009" builtinId="8" hidden="1"/>
    <cellStyle name="ハイパーリンク" xfId="3011" builtinId="8" hidden="1"/>
    <cellStyle name="ハイパーリンク" xfId="3013" builtinId="8" hidden="1"/>
    <cellStyle name="ハイパーリンク" xfId="3015" builtinId="8" hidden="1"/>
    <cellStyle name="ハイパーリンク" xfId="3017" builtinId="8" hidden="1"/>
    <cellStyle name="ハイパーリンク" xfId="3019" builtinId="8" hidden="1"/>
    <cellStyle name="ハイパーリンク" xfId="3021" builtinId="8" hidden="1"/>
    <cellStyle name="ハイパーリンク" xfId="3023" builtinId="8" hidden="1"/>
    <cellStyle name="ハイパーリンク" xfId="3025" builtinId="8" hidden="1"/>
    <cellStyle name="ハイパーリンク" xfId="3027" builtinId="8" hidden="1"/>
    <cellStyle name="ハイパーリンク" xfId="3029" builtinId="8" hidden="1"/>
    <cellStyle name="ハイパーリンク" xfId="3031" builtinId="8" hidden="1"/>
    <cellStyle name="ハイパーリンク" xfId="3033" builtinId="8" hidden="1"/>
    <cellStyle name="ハイパーリンク" xfId="3035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5" builtinId="8" hidden="1"/>
    <cellStyle name="ハイパーリンク" xfId="3577" builtinId="8" hidden="1"/>
    <cellStyle name="ハイパーリンク" xfId="3579" builtinId="8" hidden="1"/>
    <cellStyle name="ハイパーリンク" xfId="3581" builtinId="8" hidden="1"/>
    <cellStyle name="ハイパーリンク" xfId="3583" builtinId="8" hidden="1"/>
    <cellStyle name="ハイパーリンク" xfId="3585" builtinId="8" hidden="1"/>
    <cellStyle name="ハイパーリンク" xfId="3587" builtinId="8" hidden="1"/>
    <cellStyle name="ハイパーリンク" xfId="3589" builtinId="8" hidden="1"/>
    <cellStyle name="ハイパーリンク" xfId="3591" builtinId="8" hidden="1"/>
    <cellStyle name="ハイパーリンク" xfId="3593" builtinId="8" hidden="1"/>
    <cellStyle name="ハイパーリンク" xfId="3595" builtinId="8" hidden="1"/>
    <cellStyle name="ハイパーリンク" xfId="3597" builtinId="8" hidden="1"/>
    <cellStyle name="ハイパーリンク" xfId="3599" builtinId="8" hidden="1"/>
    <cellStyle name="ハイパーリンク" xfId="3601" builtinId="8" hidden="1"/>
    <cellStyle name="ハイパーリンク" xfId="3603" builtinId="8" hidden="1"/>
    <cellStyle name="ハイパーリンク" xfId="3605" builtinId="8" hidden="1"/>
    <cellStyle name="ハイパーリンク" xfId="3607" builtinId="8" hidden="1"/>
    <cellStyle name="ハイパーリンク" xfId="3609" builtinId="8" hidden="1"/>
    <cellStyle name="ハイパーリンク" xfId="3611" builtinId="8" hidden="1"/>
    <cellStyle name="ハイパーリンク" xfId="3613" builtinId="8" hidden="1"/>
    <cellStyle name="ハイパーリンク" xfId="3615" builtinId="8" hidden="1"/>
    <cellStyle name="ハイパーリンク" xfId="3617" builtinId="8" hidden="1"/>
    <cellStyle name="ハイパーリンク" xfId="3619" builtinId="8" hidden="1"/>
    <cellStyle name="ハイパーリンク" xfId="3621" builtinId="8" hidden="1"/>
    <cellStyle name="ハイパーリンク" xfId="3623" builtinId="8" hidden="1"/>
    <cellStyle name="ハイパーリンク" xfId="3625" builtinId="8" hidden="1"/>
    <cellStyle name="ハイパーリンク" xfId="3627" builtinId="8" hidden="1"/>
    <cellStyle name="ハイパーリンク" xfId="3629" builtinId="8" hidden="1"/>
    <cellStyle name="ハイパーリンク" xfId="3631" builtinId="8" hidden="1"/>
    <cellStyle name="ハイパーリンク" xfId="3633" builtinId="8" hidden="1"/>
    <cellStyle name="ハイパーリンク" xfId="3635" builtinId="8" hidden="1"/>
    <cellStyle name="ハイパーリンク" xfId="3637" builtinId="8" hidden="1"/>
    <cellStyle name="ハイパーリンク" xfId="3639" builtinId="8" hidden="1"/>
    <cellStyle name="ハイパーリンク" xfId="3641" builtinId="8" hidden="1"/>
    <cellStyle name="ハイパーリンク" xfId="3643" builtinId="8" hidden="1"/>
    <cellStyle name="ハイパーリンク" xfId="3645" builtinId="8" hidden="1"/>
    <cellStyle name="ハイパーリンク" xfId="3647" builtinId="8" hidden="1"/>
    <cellStyle name="ハイパーリンク" xfId="3649" builtinId="8" hidden="1"/>
    <cellStyle name="ハイパーリンク" xfId="3651" builtinId="8" hidden="1"/>
    <cellStyle name="ハイパーリンク" xfId="3653" builtinId="8" hidden="1"/>
    <cellStyle name="ハイパーリンク" xfId="3655" builtinId="8" hidden="1"/>
    <cellStyle name="ハイパーリンク" xfId="3657" builtinId="8" hidden="1"/>
    <cellStyle name="ハイパーリンク" xfId="3659" builtinId="8" hidden="1"/>
    <cellStyle name="ハイパーリンク" xfId="3661" builtinId="8" hidden="1"/>
    <cellStyle name="ハイパーリンク" xfId="3663" builtinId="8" hidden="1"/>
    <cellStyle name="ハイパーリンク" xfId="3665" builtinId="8" hidden="1"/>
    <cellStyle name="ハイパーリンク" xfId="3667" builtinId="8" hidden="1"/>
    <cellStyle name="ハイパーリンク" xfId="3669" builtinId="8" hidden="1"/>
    <cellStyle name="ハイパーリンク" xfId="3671" builtinId="8" hidden="1"/>
    <cellStyle name="ハイパーリンク" xfId="3673" builtinId="8" hidden="1"/>
    <cellStyle name="ハイパーリンク" xfId="3675" builtinId="8" hidden="1"/>
    <cellStyle name="ハイパーリンク" xfId="3677" builtinId="8" hidden="1"/>
    <cellStyle name="ハイパーリンク" xfId="3679" builtinId="8" hidden="1"/>
    <cellStyle name="ハイパーリンク" xfId="3681" builtinId="8" hidden="1"/>
    <cellStyle name="ハイパーリンク" xfId="3683" builtinId="8" hidden="1"/>
    <cellStyle name="ハイパーリンク" xfId="3685" builtinId="8" hidden="1"/>
    <cellStyle name="ハイパーリンク" xfId="3687" builtinId="8" hidden="1"/>
    <cellStyle name="ハイパーリンク" xfId="3689" builtinId="8" hidden="1"/>
    <cellStyle name="ハイパーリンク" xfId="3691" builtinId="8" hidden="1"/>
    <cellStyle name="ハイパーリンク" xfId="3693" builtinId="8" hidden="1"/>
    <cellStyle name="ハイパーリンク" xfId="3695" builtinId="8" hidden="1"/>
    <cellStyle name="ハイパーリンク" xfId="3697" builtinId="8" hidden="1"/>
    <cellStyle name="ハイパーリンク" xfId="3699" builtinId="8" hidden="1"/>
    <cellStyle name="ハイパーリンク" xfId="3701" builtinId="8" hidden="1"/>
    <cellStyle name="ハイパーリンク" xfId="3703" builtinId="8" hidden="1"/>
    <cellStyle name="ハイパーリンク" xfId="3705" builtinId="8" hidden="1"/>
    <cellStyle name="ハイパーリンク" xfId="3707" builtinId="8" hidden="1"/>
    <cellStyle name="ハイパーリンク" xfId="3709" builtinId="8" hidden="1"/>
    <cellStyle name="ハイパーリンク" xfId="3711" builtinId="8" hidden="1"/>
    <cellStyle name="ハイパーリンク" xfId="3713" builtinId="8" hidden="1"/>
    <cellStyle name="ハイパーリンク" xfId="3715" builtinId="8" hidden="1"/>
    <cellStyle name="ハイパーリンク" xfId="3717" builtinId="8" hidden="1"/>
    <cellStyle name="ハイパーリンク" xfId="3719" builtinId="8" hidden="1"/>
    <cellStyle name="ハイパーリンク" xfId="3721" builtinId="8" hidden="1"/>
    <cellStyle name="ハイパーリンク" xfId="3723" builtinId="8" hidden="1"/>
    <cellStyle name="ハイパーリンク" xfId="3725" builtinId="8" hidden="1"/>
    <cellStyle name="ハイパーリンク" xfId="3727" builtinId="8" hidden="1"/>
    <cellStyle name="ハイパーリンク" xfId="3729" builtinId="8" hidden="1"/>
    <cellStyle name="ハイパーリンク" xfId="3731" builtinId="8" hidden="1"/>
    <cellStyle name="ハイパーリンク" xfId="3733" builtinId="8" hidden="1"/>
    <cellStyle name="ハイパーリンク" xfId="3735" builtinId="8" hidden="1"/>
    <cellStyle name="ハイパーリンク" xfId="3737" builtinId="8" hidden="1"/>
    <cellStyle name="ハイパーリンク" xfId="3739" builtinId="8" hidden="1"/>
    <cellStyle name="ハイパーリンク" xfId="3741" builtinId="8" hidden="1"/>
    <cellStyle name="ハイパーリンク" xfId="3743" builtinId="8" hidden="1"/>
    <cellStyle name="ハイパーリンク" xfId="3745" builtinId="8" hidden="1"/>
    <cellStyle name="ハイパーリンク" xfId="3747" builtinId="8" hidden="1"/>
    <cellStyle name="ハイパーリンク" xfId="3749" builtinId="8" hidden="1"/>
    <cellStyle name="ハイパーリンク" xfId="3751" builtinId="8" hidden="1"/>
    <cellStyle name="ハイパーリンク" xfId="3753" builtinId="8" hidden="1"/>
    <cellStyle name="ハイパーリンク" xfId="3755" builtinId="8" hidden="1"/>
    <cellStyle name="ハイパーリンク" xfId="3757" builtinId="8" hidden="1"/>
    <cellStyle name="ハイパーリンク" xfId="3759" builtinId="8" hidden="1"/>
    <cellStyle name="ハイパーリンク" xfId="3761" builtinId="8" hidden="1"/>
    <cellStyle name="ハイパーリンク" xfId="3763" builtinId="8" hidden="1"/>
    <cellStyle name="ハイパーリンク" xfId="3765" builtinId="8" hidden="1"/>
    <cellStyle name="ハイパーリンク" xfId="3767" builtinId="8" hidden="1"/>
    <cellStyle name="ハイパーリンク" xfId="3769" builtinId="8" hidden="1"/>
    <cellStyle name="ハイパーリンク" xfId="3771" builtinId="8" hidden="1"/>
    <cellStyle name="ハイパーリンク" xfId="3773" builtinId="8" hidden="1"/>
    <cellStyle name="ハイパーリンク" xfId="3775" builtinId="8" hidden="1"/>
    <cellStyle name="ハイパーリンク" xfId="3777" builtinId="8" hidden="1"/>
    <cellStyle name="ハイパーリンク" xfId="3779" builtinId="8" hidden="1"/>
    <cellStyle name="ハイパーリンク" xfId="3781" builtinId="8" hidden="1"/>
    <cellStyle name="ハイパーリンク" xfId="3783" builtinId="8" hidden="1"/>
    <cellStyle name="ハイパーリンク" xfId="3785" builtinId="8" hidden="1"/>
    <cellStyle name="ハイパーリンク" xfId="3787" builtinId="8" hidden="1"/>
    <cellStyle name="ハイパーリンク" xfId="3789" builtinId="8" hidden="1"/>
    <cellStyle name="ハイパーリンク" xfId="3791" builtinId="8" hidden="1"/>
    <cellStyle name="ハイパーリンク" xfId="3793" builtinId="8" hidden="1"/>
    <cellStyle name="ハイパーリンク" xfId="3795" builtinId="8" hidden="1"/>
    <cellStyle name="ハイパーリンク" xfId="3797" builtinId="8" hidden="1"/>
    <cellStyle name="ハイパーリンク" xfId="3799" builtinId="8" hidden="1"/>
    <cellStyle name="ハイパーリンク" xfId="3801" builtinId="8" hidden="1"/>
    <cellStyle name="ハイパーリンク" xfId="3803" builtinId="8" hidden="1"/>
    <cellStyle name="ハイパーリンク" xfId="3805" builtinId="8" hidden="1"/>
    <cellStyle name="ハイパーリンク" xfId="3807" builtinId="8" hidden="1"/>
    <cellStyle name="ハイパーリンク" xfId="3809" builtinId="8" hidden="1"/>
    <cellStyle name="ハイパーリンク" xfId="3811" builtinId="8" hidden="1"/>
    <cellStyle name="ハイパーリンク" xfId="3813" builtinId="8" hidden="1"/>
    <cellStyle name="ハイパーリンク" xfId="3815" builtinId="8" hidden="1"/>
    <cellStyle name="ハイパーリンク" xfId="3817" builtinId="8" hidden="1"/>
    <cellStyle name="ハイパーリンク" xfId="3819" builtinId="8" hidden="1"/>
    <cellStyle name="ハイパーリンク" xfId="3821" builtinId="8" hidden="1"/>
    <cellStyle name="ハイパーリンク" xfId="3823" builtinId="8" hidden="1"/>
    <cellStyle name="ハイパーリンク" xfId="3825" builtinId="8" hidden="1"/>
    <cellStyle name="ハイパーリンク" xfId="3827" builtinId="8" hidden="1"/>
    <cellStyle name="ハイパーリンク" xfId="3829" builtinId="8" hidden="1"/>
    <cellStyle name="ハイパーリンク" xfId="3831" builtinId="8" hidden="1"/>
    <cellStyle name="ハイパーリンク" xfId="3833" builtinId="8" hidden="1"/>
    <cellStyle name="ハイパーリンク" xfId="3835" builtinId="8" hidden="1"/>
    <cellStyle name="ハイパーリンク" xfId="3837" builtinId="8" hidden="1"/>
    <cellStyle name="ハイパーリンク" xfId="3839" builtinId="8" hidden="1"/>
    <cellStyle name="ハイパーリンク" xfId="3841" builtinId="8" hidden="1"/>
    <cellStyle name="ハイパーリンク" xfId="3843" builtinId="8" hidden="1"/>
    <cellStyle name="ハイパーリンク" xfId="3845" builtinId="8" hidden="1"/>
    <cellStyle name="ハイパーリンク" xfId="3847" builtinId="8" hidden="1"/>
    <cellStyle name="ハイパーリンク" xfId="3849" builtinId="8" hidden="1"/>
    <cellStyle name="ハイパーリンク" xfId="3851" builtinId="8" hidden="1"/>
    <cellStyle name="ハイパーリンク" xfId="3853" builtinId="8" hidden="1"/>
    <cellStyle name="ハイパーリンク" xfId="3855" builtinId="8" hidden="1"/>
    <cellStyle name="ハイパーリンク" xfId="3857" builtinId="8" hidden="1"/>
    <cellStyle name="ハイパーリンク" xfId="3859" builtinId="8" hidden="1"/>
    <cellStyle name="ハイパーリンク" xfId="3861" builtinId="8" hidden="1"/>
    <cellStyle name="ハイパーリンク" xfId="3863" builtinId="8" hidden="1"/>
    <cellStyle name="ハイパーリンク" xfId="3865" builtinId="8" hidden="1"/>
    <cellStyle name="ハイパーリンク" xfId="3867" builtinId="8" hidden="1"/>
    <cellStyle name="ハイパーリンク" xfId="3869" builtinId="8" hidden="1"/>
    <cellStyle name="ハイパーリンク" xfId="3871" builtinId="8" hidden="1"/>
    <cellStyle name="ハイパーリンク" xfId="3873" builtinId="8" hidden="1"/>
    <cellStyle name="ハイパーリンク" xfId="3875" builtinId="8" hidden="1"/>
    <cellStyle name="ハイパーリンク" xfId="3877" builtinId="8" hidden="1"/>
    <cellStyle name="ハイパーリンク" xfId="3879" builtinId="8" hidden="1"/>
    <cellStyle name="ハイパーリンク" xfId="3881" builtinId="8" hidden="1"/>
    <cellStyle name="ハイパーリンク" xfId="3883" builtinId="8" hidden="1"/>
    <cellStyle name="ハイパーリンク" xfId="3885" builtinId="8" hidden="1"/>
    <cellStyle name="ハイパーリンク" xfId="3887" builtinId="8" hidden="1"/>
    <cellStyle name="ハイパーリンク" xfId="3889" builtinId="8" hidden="1"/>
    <cellStyle name="ハイパーリンク" xfId="3891" builtinId="8" hidden="1"/>
    <cellStyle name="ハイパーリンク" xfId="3893" builtinId="8" hidden="1"/>
    <cellStyle name="ハイパーリンク" xfId="3895" builtinId="8" hidden="1"/>
    <cellStyle name="ハイパーリンク" xfId="3897" builtinId="8" hidden="1"/>
    <cellStyle name="ハイパーリンク" xfId="3899" builtinId="8" hidden="1"/>
    <cellStyle name="ハイパーリンク" xfId="3901" builtinId="8" hidden="1"/>
    <cellStyle name="ハイパーリンク" xfId="3903" builtinId="8" hidden="1"/>
    <cellStyle name="ハイパーリンク" xfId="3905" builtinId="8" hidden="1"/>
    <cellStyle name="ハイパーリンク" xfId="3907" builtinId="8" hidden="1"/>
    <cellStyle name="ハイパーリンク" xfId="3909" builtinId="8" hidden="1"/>
    <cellStyle name="ハイパーリンク" xfId="3911" builtinId="8" hidden="1"/>
    <cellStyle name="ハイパーリンク" xfId="3913" builtinId="8" hidden="1"/>
    <cellStyle name="ハイパーリンク" xfId="3915" builtinId="8" hidden="1"/>
    <cellStyle name="ハイパーリンク" xfId="3917" builtinId="8" hidden="1"/>
    <cellStyle name="ハイパーリンク" xfId="3919" builtinId="8" hidden="1"/>
    <cellStyle name="ハイパーリンク" xfId="3921" builtinId="8" hidden="1"/>
    <cellStyle name="ハイパーリンク" xfId="3923" builtinId="8" hidden="1"/>
    <cellStyle name="ハイパーリンク" xfId="3925" builtinId="8" hidden="1"/>
    <cellStyle name="ハイパーリンク" xfId="3927" builtinId="8" hidden="1"/>
    <cellStyle name="ハイパーリンク" xfId="3929" builtinId="8" hidden="1"/>
    <cellStyle name="ハイパーリンク" xfId="3931" builtinId="8" hidden="1"/>
    <cellStyle name="ハイパーリンク" xfId="3933" builtinId="8" hidden="1"/>
    <cellStyle name="ハイパーリンク" xfId="3935" builtinId="8" hidden="1"/>
    <cellStyle name="ハイパーリンク" xfId="3937" builtinId="8" hidden="1"/>
    <cellStyle name="ハイパーリンク" xfId="3939" builtinId="8" hidden="1"/>
    <cellStyle name="ハイパーリンク" xfId="3941" builtinId="8" hidden="1"/>
    <cellStyle name="ハイパーリンク" xfId="3943" builtinId="8" hidden="1"/>
    <cellStyle name="ハイパーリンク" xfId="3945" builtinId="8" hidden="1"/>
    <cellStyle name="ハイパーリンク" xfId="3947" builtinId="8" hidden="1"/>
    <cellStyle name="ハイパーリンク" xfId="3949" builtinId="8" hidden="1"/>
    <cellStyle name="ハイパーリンク" xfId="3951" builtinId="8" hidden="1"/>
    <cellStyle name="ハイパーリンク" xfId="3953" builtinId="8" hidden="1"/>
    <cellStyle name="ハイパーリンク" xfId="3955" builtinId="8" hidden="1"/>
    <cellStyle name="ハイパーリンク" xfId="3957" builtinId="8" hidden="1"/>
    <cellStyle name="ハイパーリンク" xfId="3959" builtinId="8" hidden="1"/>
    <cellStyle name="ハイパーリンク" xfId="3961" builtinId="8" hidden="1"/>
    <cellStyle name="ハイパーリンク" xfId="3963" builtinId="8" hidden="1"/>
    <cellStyle name="ハイパーリンク" xfId="3965" builtinId="8" hidden="1"/>
    <cellStyle name="ハイパーリンク" xfId="3967" builtinId="8" hidden="1"/>
    <cellStyle name="ハイパーリンク" xfId="3969" builtinId="8" hidden="1"/>
    <cellStyle name="ハイパーリンク" xfId="3971" builtinId="8" hidden="1"/>
    <cellStyle name="ハイパーリンク" xfId="3973" builtinId="8" hidden="1"/>
    <cellStyle name="ハイパーリンク" xfId="3975" builtinId="8" hidden="1"/>
    <cellStyle name="ハイパーリンク" xfId="3977" builtinId="8" hidden="1"/>
    <cellStyle name="ハイパーリンク" xfId="3979" builtinId="8" hidden="1"/>
    <cellStyle name="ハイパーリンク" xfId="3981" builtinId="8" hidden="1"/>
    <cellStyle name="ハイパーリンク" xfId="3983" builtinId="8" hidden="1"/>
    <cellStyle name="ハイパーリンク" xfId="3985" builtinId="8" hidden="1"/>
    <cellStyle name="ハイパーリンク" xfId="3987" builtinId="8" hidden="1"/>
    <cellStyle name="ハイパーリンク" xfId="3989" builtinId="8" hidden="1"/>
    <cellStyle name="ハイパーリンク" xfId="3991" builtinId="8" hidden="1"/>
    <cellStyle name="ハイパーリンク" xfId="3993" builtinId="8" hidden="1"/>
    <cellStyle name="ハイパーリンク" xfId="3995" builtinId="8" hidden="1"/>
    <cellStyle name="ハイパーリンク" xfId="3997" builtinId="8" hidden="1"/>
    <cellStyle name="ハイパーリンク" xfId="3999" builtinId="8" hidden="1"/>
    <cellStyle name="ハイパーリンク" xfId="4001" builtinId="8" hidden="1"/>
    <cellStyle name="ハイパーリンク" xfId="4003" builtinId="8" hidden="1"/>
    <cellStyle name="ハイパーリンク" xfId="4005" builtinId="8" hidden="1"/>
    <cellStyle name="ハイパーリンク" xfId="4007" builtinId="8" hidden="1"/>
    <cellStyle name="ハイパーリンク" xfId="4009" builtinId="8" hidden="1"/>
    <cellStyle name="ハイパーリンク" xfId="4011" builtinId="8" hidden="1"/>
    <cellStyle name="ハイパーリンク" xfId="4013" builtinId="8" hidden="1"/>
    <cellStyle name="ハイパーリンク" xfId="4015" builtinId="8" hidden="1"/>
    <cellStyle name="ハイパーリンク" xfId="4017" builtinId="8" hidden="1"/>
    <cellStyle name="ハイパーリンク" xfId="4019" builtinId="8" hidden="1"/>
    <cellStyle name="ハイパーリンク" xfId="4021" builtinId="8" hidden="1"/>
    <cellStyle name="ハイパーリンク" xfId="4023" builtinId="8" hidden="1"/>
    <cellStyle name="ハイパーリンク" xfId="4025" builtinId="8" hidden="1"/>
    <cellStyle name="ハイパーリンク" xfId="4027" builtinId="8" hidden="1"/>
    <cellStyle name="ハイパーリンク" xfId="4029" builtinId="8" hidden="1"/>
    <cellStyle name="ハイパーリンク" xfId="4031" builtinId="8" hidden="1"/>
    <cellStyle name="ハイパーリンク" xfId="4033" builtinId="8" hidden="1"/>
    <cellStyle name="ハイパーリンク" xfId="4035" builtinId="8" hidden="1"/>
    <cellStyle name="ハイパーリンク" xfId="4037" builtinId="8" hidden="1"/>
    <cellStyle name="ハイパーリンク" xfId="4039" builtinId="8" hidden="1"/>
    <cellStyle name="ハイパーリンク" xfId="4041" builtinId="8" hidden="1"/>
    <cellStyle name="ハイパーリンク" xfId="4043" builtinId="8" hidden="1"/>
    <cellStyle name="ハイパーリンク" xfId="4045" builtinId="8" hidden="1"/>
    <cellStyle name="ハイパーリンク" xfId="4047" builtinId="8" hidden="1"/>
    <cellStyle name="ハイパーリンク" xfId="4049" builtinId="8" hidden="1"/>
    <cellStyle name="ハイパーリンク" xfId="4051" builtinId="8" hidden="1"/>
    <cellStyle name="ハイパーリンク" xfId="4053" builtinId="8" hidden="1"/>
    <cellStyle name="ハイパーリンク" xfId="4055" builtinId="8" hidden="1"/>
    <cellStyle name="ハイパーリンク" xfId="4057" builtinId="8" hidden="1"/>
    <cellStyle name="ハイパーリンク" xfId="4059" builtinId="8" hidden="1"/>
    <cellStyle name="ハイパーリンク" xfId="4061" builtinId="8" hidden="1"/>
    <cellStyle name="ハイパーリンク" xfId="4063" builtinId="8" hidden="1"/>
    <cellStyle name="ハイパーリンク" xfId="4065" builtinId="8" hidden="1"/>
    <cellStyle name="ハイパーリンク" xfId="4067" builtinId="8" hidden="1"/>
    <cellStyle name="ハイパーリンク" xfId="4069" builtinId="8" hidden="1"/>
    <cellStyle name="ハイパーリンク" xfId="4071" builtinId="8" hidden="1"/>
    <cellStyle name="ハイパーリンク" xfId="4073" builtinId="8" hidden="1"/>
    <cellStyle name="ハイパーリンク" xfId="4075" builtinId="8" hidden="1"/>
    <cellStyle name="ハイパーリンク" xfId="4077" builtinId="8" hidden="1"/>
    <cellStyle name="ハイパーリンク" xfId="4079" builtinId="8" hidden="1"/>
    <cellStyle name="ハイパーリンク" xfId="4081" builtinId="8" hidden="1"/>
    <cellStyle name="ハイパーリンク" xfId="4083" builtinId="8" hidden="1"/>
    <cellStyle name="ハイパーリンク" xfId="4085" builtinId="8" hidden="1"/>
    <cellStyle name="ハイパーリンク" xfId="4087" builtinId="8" hidden="1"/>
    <cellStyle name="ハイパーリンク" xfId="4089" builtinId="8" hidden="1"/>
    <cellStyle name="ハイパーリンク" xfId="4091" builtinId="8" hidden="1"/>
    <cellStyle name="ハイパーリンク" xfId="4093" builtinId="8" hidden="1"/>
    <cellStyle name="ハイパーリンク" xfId="4095" builtinId="8" hidden="1"/>
    <cellStyle name="ハイパーリンク" xfId="4097" builtinId="8" hidden="1"/>
    <cellStyle name="ハイパーリンク" xfId="4099" builtinId="8" hidden="1"/>
    <cellStyle name="ハイパーリンク" xfId="4101" builtinId="8" hidden="1"/>
    <cellStyle name="ハイパーリンク" xfId="4103" builtinId="8" hidden="1"/>
    <cellStyle name="ハイパーリンク" xfId="4105" builtinId="8" hidden="1"/>
    <cellStyle name="ハイパーリンク" xfId="4107" builtinId="8" hidden="1"/>
    <cellStyle name="ハイパーリンク" xfId="4109" builtinId="8" hidden="1"/>
    <cellStyle name="ハイパーリンク" xfId="4111" builtinId="8" hidden="1"/>
    <cellStyle name="ハイパーリンク" xfId="4113" builtinId="8" hidden="1"/>
    <cellStyle name="ハイパーリンク" xfId="4115" builtinId="8" hidden="1"/>
    <cellStyle name="ハイパーリンク" xfId="4117" builtinId="8" hidden="1"/>
    <cellStyle name="ハイパーリンク" xfId="4119" builtinId="8" hidden="1"/>
    <cellStyle name="ハイパーリンク" xfId="4121" builtinId="8" hidden="1"/>
    <cellStyle name="ハイパーリンク" xfId="4123" builtinId="8" hidden="1"/>
    <cellStyle name="ハイパーリンク" xfId="4125" builtinId="8" hidden="1"/>
    <cellStyle name="ハイパーリンク" xfId="4127" builtinId="8" hidden="1"/>
    <cellStyle name="ハイパーリンク" xfId="4129" builtinId="8" hidden="1"/>
    <cellStyle name="ハイパーリンク" xfId="4131" builtinId="8" hidden="1"/>
    <cellStyle name="ハイパーリンク" xfId="4133" builtinId="8" hidden="1"/>
    <cellStyle name="ハイパーリンク" xfId="4135" builtinId="8" hidden="1"/>
    <cellStyle name="ハイパーリンク" xfId="4137" builtinId="8" hidden="1"/>
    <cellStyle name="ハイパーリンク" xfId="4139" builtinId="8" hidden="1"/>
    <cellStyle name="ハイパーリンク" xfId="4141" builtinId="8" hidden="1"/>
    <cellStyle name="ハイパーリンク" xfId="4143" builtinId="8" hidden="1"/>
    <cellStyle name="ハイパーリンク" xfId="4145" builtinId="8" hidden="1"/>
    <cellStyle name="ハイパーリンク" xfId="4147" builtinId="8" hidden="1"/>
    <cellStyle name="ハイパーリンク" xfId="4149" builtinId="8" hidden="1"/>
    <cellStyle name="ハイパーリンク" xfId="4151" builtinId="8" hidden="1"/>
    <cellStyle name="ハイパーリンク" xfId="4153" builtinId="8" hidden="1"/>
    <cellStyle name="ハイパーリンク" xfId="4155" builtinId="8" hidden="1"/>
    <cellStyle name="ハイパーリンク" xfId="4157" builtinId="8" hidden="1"/>
    <cellStyle name="ハイパーリンク" xfId="4159" builtinId="8" hidden="1"/>
    <cellStyle name="ハイパーリンク" xfId="4161" builtinId="8" hidden="1"/>
    <cellStyle name="ハイパーリンク" xfId="4163" builtinId="8" hidden="1"/>
    <cellStyle name="ハイパーリンク" xfId="4165" builtinId="8" hidden="1"/>
    <cellStyle name="ハイパーリンク" xfId="4167" builtinId="8" hidden="1"/>
    <cellStyle name="ハイパーリンク" xfId="4169" builtinId="8" hidden="1"/>
    <cellStyle name="ハイパーリンク" xfId="4171" builtinId="8" hidden="1"/>
    <cellStyle name="ハイパーリンク" xfId="4173" builtinId="8" hidden="1"/>
    <cellStyle name="ハイパーリンク" xfId="4175" builtinId="8" hidden="1"/>
    <cellStyle name="ハイパーリンク" xfId="4177" builtinId="8" hidden="1"/>
    <cellStyle name="ハイパーリンク" xfId="4179" builtinId="8" hidden="1"/>
    <cellStyle name="ハイパーリンク" xfId="4181" builtinId="8" hidden="1"/>
    <cellStyle name="ハイパーリンク" xfId="4183" builtinId="8" hidden="1"/>
    <cellStyle name="ハイパーリンク" xfId="4185" builtinId="8" hidden="1"/>
    <cellStyle name="ハイパーリンク" xfId="4187" builtinId="8" hidden="1"/>
    <cellStyle name="ハイパーリンク" xfId="4189" builtinId="8" hidden="1"/>
    <cellStyle name="ハイパーリンク" xfId="4191" builtinId="8" hidden="1"/>
    <cellStyle name="ハイパーリンク" xfId="4193" builtinId="8" hidden="1"/>
    <cellStyle name="ハイパーリンク" xfId="4195" builtinId="8" hidden="1"/>
    <cellStyle name="ハイパーリンク" xfId="4197" builtinId="8" hidden="1"/>
    <cellStyle name="ハイパーリンク" xfId="4199" builtinId="8" hidden="1"/>
    <cellStyle name="ハイパーリンク" xfId="4201" builtinId="8" hidden="1"/>
    <cellStyle name="ハイパーリンク" xfId="4203" builtinId="8" hidden="1"/>
    <cellStyle name="ハイパーリンク" xfId="4205" builtinId="8" hidden="1"/>
    <cellStyle name="ハイパーリンク" xfId="4207" builtinId="8" hidden="1"/>
    <cellStyle name="ハイパーリンク" xfId="4209" builtinId="8" hidden="1"/>
    <cellStyle name="ハイパーリンク" xfId="4211" builtinId="8" hidden="1"/>
    <cellStyle name="ハイパーリンク" xfId="4213" builtinId="8" hidden="1"/>
    <cellStyle name="ハイパーリンク" xfId="4215" builtinId="8" hidden="1"/>
    <cellStyle name="ハイパーリンク" xfId="4217" builtinId="8" hidden="1"/>
    <cellStyle name="ハイパーリンク" xfId="4219" builtinId="8" hidden="1"/>
    <cellStyle name="ハイパーリンク" xfId="4221" builtinId="8" hidden="1"/>
    <cellStyle name="ハイパーリンク" xfId="4223" builtinId="8" hidden="1"/>
    <cellStyle name="ハイパーリンク" xfId="4225" builtinId="8" hidden="1"/>
    <cellStyle name="ハイパーリンク" xfId="4227" builtinId="8" hidden="1"/>
    <cellStyle name="ハイパーリンク" xfId="4229" builtinId="8" hidden="1"/>
    <cellStyle name="ハイパーリンク" xfId="4231" builtinId="8" hidden="1"/>
    <cellStyle name="ハイパーリンク" xfId="4233" builtinId="8" hidden="1"/>
    <cellStyle name="ハイパーリンク" xfId="4235" builtinId="8" hidden="1"/>
    <cellStyle name="ハイパーリンク" xfId="4237" builtinId="8" hidden="1"/>
    <cellStyle name="ハイパーリンク" xfId="4239" builtinId="8" hidden="1"/>
    <cellStyle name="ハイパーリンク" xfId="4241" builtinId="8" hidden="1"/>
    <cellStyle name="ハイパーリンク" xfId="4243" builtinId="8" hidden="1"/>
    <cellStyle name="ハイパーリンク" xfId="4245" builtinId="8" hidden="1"/>
    <cellStyle name="ハイパーリンク" xfId="4247" builtinId="8" hidden="1"/>
    <cellStyle name="ハイパーリンク" xfId="4249" builtinId="8" hidden="1"/>
    <cellStyle name="ハイパーリンク" xfId="4251" builtinId="8" hidden="1"/>
    <cellStyle name="ハイパーリンク" xfId="4253" builtinId="8" hidden="1"/>
    <cellStyle name="ハイパーリンク" xfId="4255" builtinId="8" hidden="1"/>
    <cellStyle name="ハイパーリンク" xfId="4257" builtinId="8" hidden="1"/>
    <cellStyle name="ハイパーリンク" xfId="4259" builtinId="8" hidden="1"/>
    <cellStyle name="ハイパーリンク" xfId="4261" builtinId="8" hidden="1"/>
    <cellStyle name="ハイパーリンク" xfId="4263" builtinId="8" hidden="1"/>
    <cellStyle name="ハイパーリンク" xfId="4265" builtinId="8" hidden="1"/>
    <cellStyle name="ハイパーリンク" xfId="4267" builtinId="8" hidden="1"/>
    <cellStyle name="ハイパーリンク" xfId="4269" builtinId="8" hidden="1"/>
    <cellStyle name="ハイパーリンク" xfId="4271" builtinId="8" hidden="1"/>
    <cellStyle name="ハイパーリンク" xfId="4273" builtinId="8" hidden="1"/>
    <cellStyle name="ハイパーリンク" xfId="4275" builtinId="8" hidden="1"/>
    <cellStyle name="ハイパーリンク" xfId="4277" builtinId="8" hidden="1"/>
    <cellStyle name="ハイパーリンク" xfId="4279" builtinId="8" hidden="1"/>
    <cellStyle name="ハイパーリンク" xfId="4281" builtinId="8" hidden="1"/>
    <cellStyle name="ハイパーリンク" xfId="4283" builtinId="8" hidden="1"/>
    <cellStyle name="ハイパーリンク" xfId="4285" builtinId="8" hidden="1"/>
    <cellStyle name="ハイパーリンク" xfId="4287" builtinId="8" hidden="1"/>
    <cellStyle name="ハイパーリンク" xfId="4289" builtinId="8" hidden="1"/>
    <cellStyle name="ハイパーリンク" xfId="4291" builtinId="8" hidden="1"/>
    <cellStyle name="ハイパーリンク" xfId="4293" builtinId="8" hidden="1"/>
    <cellStyle name="ハイパーリンク" xfId="4295" builtinId="8" hidden="1"/>
    <cellStyle name="ハイパーリンク" xfId="4297" builtinId="8" hidden="1"/>
    <cellStyle name="ハイパーリンク" xfId="4299" builtinId="8" hidden="1"/>
    <cellStyle name="ハイパーリンク" xfId="4301" builtinId="8" hidden="1"/>
    <cellStyle name="ハイパーリンク" xfId="4303" builtinId="8" hidden="1"/>
    <cellStyle name="ハイパーリンク" xfId="4305" builtinId="8" hidden="1"/>
    <cellStyle name="ハイパーリンク" xfId="4307" builtinId="8" hidden="1"/>
    <cellStyle name="ハイパーリンク" xfId="4309" builtinId="8" hidden="1"/>
    <cellStyle name="ハイパーリンク" xfId="4311" builtinId="8" hidden="1"/>
    <cellStyle name="ハイパーリンク" xfId="4313" builtinId="8" hidden="1"/>
    <cellStyle name="ハイパーリンク" xfId="4315" builtinId="8" hidden="1"/>
    <cellStyle name="ハイパーリンク" xfId="4317" builtinId="8" hidden="1"/>
    <cellStyle name="ハイパーリンク" xfId="4319" builtinId="8" hidden="1"/>
    <cellStyle name="ハイパーリンク" xfId="4321" builtinId="8" hidden="1"/>
    <cellStyle name="ハイパーリンク" xfId="4323" builtinId="8" hidden="1"/>
    <cellStyle name="ハイパーリンク" xfId="4325" builtinId="8" hidden="1"/>
    <cellStyle name="ハイパーリンク" xfId="4327" builtinId="8" hidden="1"/>
    <cellStyle name="ハイパーリンク" xfId="4329" builtinId="8" hidden="1"/>
    <cellStyle name="ハイパーリンク" xfId="4331" builtinId="8" hidden="1"/>
    <cellStyle name="ハイパーリンク" xfId="4333" builtinId="8" hidden="1"/>
    <cellStyle name="ハイパーリンク" xfId="4335" builtinId="8" hidden="1"/>
    <cellStyle name="ハイパーリンク" xfId="4337" builtinId="8" hidden="1"/>
    <cellStyle name="ハイパーリンク" xfId="4339" builtinId="8" hidden="1"/>
    <cellStyle name="ハイパーリンク" xfId="4341" builtinId="8" hidden="1"/>
    <cellStyle name="ハイパーリンク" xfId="4343" builtinId="8" hidden="1"/>
    <cellStyle name="ハイパーリンク" xfId="4345" builtinId="8" hidden="1"/>
    <cellStyle name="ハイパーリンク" xfId="4347" builtinId="8" hidden="1"/>
    <cellStyle name="ハイパーリンク" xfId="4349" builtinId="8" hidden="1"/>
    <cellStyle name="ハイパーリンク" xfId="4351" builtinId="8" hidden="1"/>
    <cellStyle name="ハイパーリンク" xfId="4353" builtinId="8" hidden="1"/>
    <cellStyle name="ハイパーリンク" xfId="4355" builtinId="8" hidden="1"/>
    <cellStyle name="ハイパーリンク" xfId="4357" builtinId="8" hidden="1"/>
    <cellStyle name="ハイパーリンク" xfId="4359" builtinId="8" hidden="1"/>
    <cellStyle name="ハイパーリンク" xfId="4361" builtinId="8" hidden="1"/>
    <cellStyle name="ハイパーリンク" xfId="4363" builtinId="8" hidden="1"/>
    <cellStyle name="ハイパーリンク" xfId="4365" builtinId="8" hidden="1"/>
    <cellStyle name="ハイパーリンク" xfId="4367" builtinId="8" hidden="1"/>
    <cellStyle name="ハイパーリンク" xfId="4369" builtinId="8" hidden="1"/>
    <cellStyle name="ハイパーリンク" xfId="4371" builtinId="8" hidden="1"/>
    <cellStyle name="ハイパーリンク" xfId="4374" builtinId="8" hidden="1"/>
    <cellStyle name="ハイパーリンク" xfId="4376" builtinId="8" hidden="1"/>
    <cellStyle name="ハイパーリンク" xfId="4378" builtinId="8" hidden="1"/>
    <cellStyle name="ハイパーリンク" xfId="4380" builtinId="8" hidden="1"/>
    <cellStyle name="ハイパーリンク" xfId="4382" builtinId="8" hidden="1"/>
    <cellStyle name="ハイパーリンク" xfId="4384" builtinId="8" hidden="1"/>
    <cellStyle name="ハイパーリンク" xfId="4386" builtinId="8" hidden="1"/>
    <cellStyle name="ハイパーリンク" xfId="4388" builtinId="8" hidden="1"/>
    <cellStyle name="ハイパーリンク" xfId="4390" builtinId="8" hidden="1"/>
    <cellStyle name="ハイパーリンク" xfId="4392" builtinId="8" hidden="1"/>
    <cellStyle name="ハイパーリンク" xfId="4394" builtinId="8" hidden="1"/>
    <cellStyle name="ハイパーリンク" xfId="4396" builtinId="8" hidden="1"/>
    <cellStyle name="ハイパーリンク" xfId="4398" builtinId="8" hidden="1"/>
    <cellStyle name="ハイパーリンク" xfId="4400" builtinId="8" hidden="1"/>
    <cellStyle name="ハイパーリンク" xfId="4402" builtinId="8" hidden="1"/>
    <cellStyle name="ハイパーリンク" xfId="4404" builtinId="8" hidden="1"/>
    <cellStyle name="ハイパーリンク" xfId="4406" builtinId="8" hidden="1"/>
    <cellStyle name="ハイパーリンク" xfId="4408" builtinId="8" hidden="1"/>
    <cellStyle name="ハイパーリンク" xfId="4410" builtinId="8" hidden="1"/>
    <cellStyle name="ハイパーリンク" xfId="4412" builtinId="8" hidden="1"/>
    <cellStyle name="ハイパーリンク" xfId="4414" builtinId="8" hidden="1"/>
    <cellStyle name="ハイパーリンク" xfId="4416" builtinId="8" hidden="1"/>
    <cellStyle name="ハイパーリンク" xfId="4418" builtinId="8" hidden="1"/>
    <cellStyle name="ハイパーリンク" xfId="4420" builtinId="8" hidden="1"/>
    <cellStyle name="ハイパーリンク" xfId="4422" builtinId="8" hidden="1"/>
    <cellStyle name="ハイパーリンク" xfId="4424" builtinId="8" hidden="1"/>
    <cellStyle name="ハイパーリンク" xfId="4426" builtinId="8" hidden="1"/>
    <cellStyle name="ハイパーリンク" xfId="4428" builtinId="8" hidden="1"/>
    <cellStyle name="ハイパーリンク" xfId="4430" builtinId="8" hidden="1"/>
    <cellStyle name="ハイパーリンク" xfId="4432" builtinId="8" hidden="1"/>
    <cellStyle name="ハイパーリンク" xfId="4434" builtinId="8" hidden="1"/>
    <cellStyle name="ハイパーリンク" xfId="4436" builtinId="8" hidden="1"/>
    <cellStyle name="ハイパーリンク" xfId="4438" builtinId="8" hidden="1"/>
    <cellStyle name="ハイパーリンク" xfId="4440" builtinId="8" hidden="1"/>
    <cellStyle name="ハイパーリンク" xfId="4442" builtinId="8" hidden="1"/>
    <cellStyle name="ハイパーリンク" xfId="4444" builtinId="8" hidden="1"/>
    <cellStyle name="ハイパーリンク" xfId="4446" builtinId="8" hidden="1"/>
    <cellStyle name="ハイパーリンク" xfId="4448" builtinId="8" hidden="1"/>
    <cellStyle name="ハイパーリンク" xfId="4450" builtinId="8" hidden="1"/>
    <cellStyle name="ハイパーリンク" xfId="4452" builtinId="8" hidden="1"/>
    <cellStyle name="ハイパーリンク" xfId="4454" builtinId="8" hidden="1"/>
    <cellStyle name="ハイパーリンク" xfId="4456" builtinId="8" hidden="1"/>
    <cellStyle name="ハイパーリンク" xfId="4458" builtinId="8" hidden="1"/>
    <cellStyle name="ハイパーリンク" xfId="4460" builtinId="8" hidden="1"/>
    <cellStyle name="ハイパーリンク" xfId="4462" builtinId="8" hidden="1"/>
    <cellStyle name="ハイパーリンク" xfId="4464" builtinId="8" hidden="1"/>
    <cellStyle name="ハイパーリンク" xfId="4466" builtinId="8" hidden="1"/>
    <cellStyle name="ハイパーリンク" xfId="4468" builtinId="8" hidden="1"/>
    <cellStyle name="ハイパーリンク" xfId="4470" builtinId="8" hidden="1"/>
    <cellStyle name="ハイパーリンク" xfId="4472" builtinId="8" hidden="1"/>
    <cellStyle name="ハイパーリンク" xfId="4474" builtinId="8" hidden="1"/>
    <cellStyle name="ハイパーリンク" xfId="4476" builtinId="8" hidden="1"/>
    <cellStyle name="ハイパーリンク" xfId="4478" builtinId="8" hidden="1"/>
    <cellStyle name="ハイパーリンク" xfId="4480" builtinId="8" hidden="1"/>
    <cellStyle name="ハイパーリンク" xfId="4482" builtinId="8" hidden="1"/>
    <cellStyle name="ハイパーリンク" xfId="4484" builtinId="8" hidden="1"/>
    <cellStyle name="ハイパーリンク" xfId="4486" builtinId="8" hidden="1"/>
    <cellStyle name="ハイパーリンク" xfId="4488" builtinId="8" hidden="1"/>
    <cellStyle name="ハイパーリンク" xfId="4490" builtinId="8" hidden="1"/>
    <cellStyle name="ハイパーリンク" xfId="4492" builtinId="8" hidden="1"/>
    <cellStyle name="ハイパーリンク" xfId="4494" builtinId="8" hidden="1"/>
    <cellStyle name="ハイパーリンク" xfId="4496" builtinId="8" hidden="1"/>
    <cellStyle name="ハイパーリンク" xfId="4498" builtinId="8" hidden="1"/>
    <cellStyle name="ハイパーリンク" xfId="4500" builtinId="8" hidden="1"/>
    <cellStyle name="ハイパーリンク" xfId="4502" builtinId="8" hidden="1"/>
    <cellStyle name="ハイパーリンク" xfId="4504" builtinId="8" hidden="1"/>
    <cellStyle name="ハイパーリンク" xfId="4506" builtinId="8" hidden="1"/>
    <cellStyle name="ハイパーリンク" xfId="4508" builtinId="8" hidden="1"/>
    <cellStyle name="ハイパーリンク" xfId="4510" builtinId="8" hidden="1"/>
    <cellStyle name="ハイパーリンク" xfId="4512" builtinId="8" hidden="1"/>
    <cellStyle name="ハイパーリンク" xfId="4514" builtinId="8" hidden="1"/>
    <cellStyle name="ハイパーリンク" xfId="4516" builtinId="8" hidden="1"/>
    <cellStyle name="ハイパーリンク" xfId="4518" builtinId="8" hidden="1"/>
    <cellStyle name="ハイパーリンク" xfId="4520" builtinId="8" hidden="1"/>
    <cellStyle name="ハイパーリンク" xfId="4522" builtinId="8" hidden="1"/>
    <cellStyle name="ハイパーリンク" xfId="4524" builtinId="8" hidden="1"/>
    <cellStyle name="ハイパーリンク" xfId="4526" builtinId="8" hidden="1"/>
    <cellStyle name="ハイパーリンク" xfId="4528" builtinId="8" hidden="1"/>
    <cellStyle name="ハイパーリンク" xfId="4530" builtinId="8" hidden="1"/>
    <cellStyle name="ハイパーリンク" xfId="4532" builtinId="8" hidden="1"/>
    <cellStyle name="ハイパーリンク" xfId="4534" builtinId="8" hidden="1"/>
    <cellStyle name="ハイパーリンク" xfId="4536" builtinId="8" hidden="1"/>
    <cellStyle name="ハイパーリンク" xfId="4538" builtinId="8" hidden="1"/>
    <cellStyle name="ハイパーリンク" xfId="4540" builtinId="8" hidden="1"/>
    <cellStyle name="ハイパーリンク" xfId="4542" builtinId="8" hidden="1"/>
    <cellStyle name="ハイパーリンク" xfId="4544" builtinId="8" hidden="1"/>
    <cellStyle name="ハイパーリンク" xfId="4546" builtinId="8" hidden="1"/>
    <cellStyle name="ハイパーリンク" xfId="4548" builtinId="8" hidden="1"/>
    <cellStyle name="ハイパーリンク" xfId="4550" builtinId="8" hidden="1"/>
    <cellStyle name="ハイパーリンク" xfId="4552" builtinId="8" hidden="1"/>
    <cellStyle name="ハイパーリンク" xfId="4554" builtinId="8" hidden="1"/>
    <cellStyle name="ハイパーリンク" xfId="4556" builtinId="8" hidden="1"/>
    <cellStyle name="ハイパーリンク" xfId="4558" builtinId="8" hidden="1"/>
    <cellStyle name="ハイパーリンク" xfId="4560" builtinId="8" hidden="1"/>
    <cellStyle name="ハイパーリンク" xfId="4562" builtinId="8" hidden="1"/>
    <cellStyle name="ハイパーリンク" xfId="4564" builtinId="8" hidden="1"/>
    <cellStyle name="ハイパーリンク" xfId="4566" builtinId="8" hidden="1"/>
    <cellStyle name="ハイパーリンク" xfId="4568" builtinId="8" hidden="1"/>
    <cellStyle name="ハイパーリンク" xfId="4570" builtinId="8" hidden="1"/>
    <cellStyle name="ハイパーリンク" xfId="4572" builtinId="8" hidden="1"/>
    <cellStyle name="ハイパーリンク" xfId="4574" builtinId="8" hidden="1"/>
    <cellStyle name="ハイパーリンク" xfId="4576" builtinId="8" hidden="1"/>
    <cellStyle name="ハイパーリンク" xfId="4578" builtinId="8" hidden="1"/>
    <cellStyle name="ハイパーリンク" xfId="4580" builtinId="8" hidden="1"/>
    <cellStyle name="ハイパーリンク" xfId="4582" builtinId="8" hidden="1"/>
    <cellStyle name="ハイパーリンク" xfId="4584" builtinId="8" hidden="1"/>
    <cellStyle name="ハイパーリンク" xfId="4586" builtinId="8" hidden="1"/>
    <cellStyle name="ハイパーリンク" xfId="4588" builtinId="8" hidden="1"/>
    <cellStyle name="ハイパーリンク" xfId="4590" builtinId="8" hidden="1"/>
    <cellStyle name="ハイパーリンク" xfId="4592" builtinId="8" hidden="1"/>
    <cellStyle name="ハイパーリンク" xfId="4594" builtinId="8" hidden="1"/>
    <cellStyle name="ハイパーリンク" xfId="4596" builtinId="8" hidden="1"/>
    <cellStyle name="ハイパーリンク" xfId="4598" builtinId="8" hidden="1"/>
    <cellStyle name="ハイパーリンク" xfId="4600" builtinId="8" hidden="1"/>
    <cellStyle name="ハイパーリンク" xfId="4602" builtinId="8" hidden="1"/>
    <cellStyle name="ハイパーリンク" xfId="4604" builtinId="8" hidden="1"/>
    <cellStyle name="ハイパーリンク" xfId="4606" builtinId="8" hidden="1"/>
    <cellStyle name="ハイパーリンク" xfId="4608" builtinId="8" hidden="1"/>
    <cellStyle name="ハイパーリンク" xfId="4610" builtinId="8" hidden="1"/>
    <cellStyle name="ハイパーリンク" xfId="4612" builtinId="8" hidden="1"/>
    <cellStyle name="ハイパーリンク" xfId="4614" builtinId="8" hidden="1"/>
    <cellStyle name="ハイパーリンク" xfId="4616" builtinId="8" hidden="1"/>
    <cellStyle name="ハイパーリンク" xfId="4618" builtinId="8" hidden="1"/>
    <cellStyle name="ハイパーリンク" xfId="4620" builtinId="8" hidden="1"/>
    <cellStyle name="ハイパーリンク" xfId="4622" builtinId="8" hidden="1"/>
    <cellStyle name="ハイパーリンク" xfId="4624" builtinId="8" hidden="1"/>
    <cellStyle name="ハイパーリンク" xfId="4626" builtinId="8" hidden="1"/>
    <cellStyle name="ハイパーリンク" xfId="4628" builtinId="8" hidden="1"/>
    <cellStyle name="ハイパーリンク" xfId="4630" builtinId="8" hidden="1"/>
    <cellStyle name="ハイパーリンク" xfId="4632" builtinId="8" hidden="1"/>
    <cellStyle name="ハイパーリンク" xfId="4634" builtinId="8" hidden="1"/>
    <cellStyle name="ハイパーリンク" xfId="4636" builtinId="8" hidden="1"/>
    <cellStyle name="ハイパーリンク" xfId="4638" builtinId="8" hidden="1"/>
    <cellStyle name="ハイパーリンク" xfId="4640" builtinId="8" hidden="1"/>
    <cellStyle name="ハイパーリンク" xfId="4642" builtinId="8" hidden="1"/>
    <cellStyle name="ハイパーリンク" xfId="4644" builtinId="8" hidden="1"/>
    <cellStyle name="ハイパーリンク" xfId="4646" builtinId="8" hidden="1"/>
    <cellStyle name="ハイパーリンク" xfId="4648" builtinId="8" hidden="1"/>
    <cellStyle name="ハイパーリンク" xfId="4650" builtinId="8" hidden="1"/>
    <cellStyle name="ハイパーリンク" xfId="4652" builtinId="8" hidden="1"/>
    <cellStyle name="ハイパーリンク" xfId="4654" builtinId="8" hidden="1"/>
    <cellStyle name="ハイパーリンク" xfId="4656" builtinId="8" hidden="1"/>
    <cellStyle name="ハイパーリンク" xfId="4658" builtinId="8" hidden="1"/>
    <cellStyle name="ハイパーリンク" xfId="4660" builtinId="8" hidden="1"/>
    <cellStyle name="ハイパーリンク" xfId="4662" builtinId="8" hidden="1"/>
    <cellStyle name="ハイパーリンク" xfId="4664" builtinId="8" hidden="1"/>
    <cellStyle name="ハイパーリンク" xfId="4666" builtinId="8" hidden="1"/>
    <cellStyle name="ハイパーリンク" xfId="4668" builtinId="8" hidden="1"/>
    <cellStyle name="ハイパーリンク" xfId="4670" builtinId="8" hidden="1"/>
    <cellStyle name="ハイパーリンク" xfId="4672" builtinId="8" hidden="1"/>
    <cellStyle name="ハイパーリンク" xfId="4674" builtinId="8" hidden="1"/>
    <cellStyle name="ハイパーリンク" xfId="4676" builtinId="8" hidden="1"/>
    <cellStyle name="ハイパーリンク" xfId="4678" builtinId="8" hidden="1"/>
    <cellStyle name="ハイパーリンク" xfId="4680" builtinId="8" hidden="1"/>
    <cellStyle name="ハイパーリンク" xfId="4682" builtinId="8" hidden="1"/>
    <cellStyle name="ハイパーリンク" xfId="4684" builtinId="8" hidden="1"/>
    <cellStyle name="ハイパーリンク" xfId="4686" builtinId="8" hidden="1"/>
    <cellStyle name="ハイパーリンク" xfId="4688" builtinId="8" hidden="1"/>
    <cellStyle name="ハイパーリンク" xfId="4690" builtinId="8" hidden="1"/>
    <cellStyle name="ハイパーリンク" xfId="4692" builtinId="8" hidden="1"/>
    <cellStyle name="ハイパーリンク" xfId="4694" builtinId="8" hidden="1"/>
    <cellStyle name="ハイパーリンク" xfId="4696" builtinId="8" hidden="1"/>
    <cellStyle name="ハイパーリンク" xfId="4698" builtinId="8" hidden="1"/>
    <cellStyle name="ハイパーリンク" xfId="4700" builtinId="8" hidden="1"/>
    <cellStyle name="ハイパーリンク" xfId="4702" builtinId="8" hidden="1"/>
    <cellStyle name="ハイパーリンク" xfId="4704" builtinId="8" hidden="1"/>
    <cellStyle name="ハイパーリンク" xfId="4706" builtinId="8" hidden="1"/>
    <cellStyle name="桁区切り 2" xfId="2"/>
    <cellStyle name="標準" xfId="0" builtinId="0"/>
    <cellStyle name="標準 2" xfId="5"/>
    <cellStyle name="標準 2 2" xfId="4373"/>
    <cellStyle name="標準 3" xfId="6"/>
    <cellStyle name="標準 4" xfId="7"/>
    <cellStyle name="無題1" xfId="8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  <cellStyle name="表示済みのハイパーリンク" xfId="26" builtinId="9" hidden="1"/>
    <cellStyle name="表示済みのハイパーリンク" xfId="28" builtinId="9" hidden="1"/>
    <cellStyle name="表示済みのハイパーリンク" xfId="30" builtinId="9" hidden="1"/>
    <cellStyle name="表示済みのハイパーリンク" xfId="32" builtinId="9" hidden="1"/>
    <cellStyle name="表示済みのハイパーリンク" xfId="34" builtinId="9" hidden="1"/>
    <cellStyle name="表示済みのハイパーリンク" xfId="36" builtinId="9" hidden="1"/>
    <cellStyle name="表示済みのハイパーリンク" xfId="38" builtinId="9" hidden="1"/>
    <cellStyle name="表示済みのハイパーリンク" xfId="40" builtinId="9" hidden="1"/>
    <cellStyle name="表示済みのハイパーリンク" xfId="42" builtinId="9" hidden="1"/>
    <cellStyle name="表示済みのハイパーリンク" xfId="44" builtinId="9" hidden="1"/>
    <cellStyle name="表示済みのハイパーリンク" xfId="46" builtinId="9" hidden="1"/>
    <cellStyle name="表示済みのハイパーリンク" xfId="48" builtinId="9" hidden="1"/>
    <cellStyle name="表示済みのハイパーリンク" xfId="50" builtinId="9" hidden="1"/>
    <cellStyle name="表示済みのハイパーリンク" xfId="52" builtinId="9" hidden="1"/>
    <cellStyle name="表示済みのハイパーリンク" xfId="54" builtinId="9" hidden="1"/>
    <cellStyle name="表示済みのハイパーリンク" xfId="56" builtinId="9" hidden="1"/>
    <cellStyle name="表示済みのハイパーリンク" xfId="58" builtinId="9" hidden="1"/>
    <cellStyle name="表示済みのハイパーリンク" xfId="60" builtinId="9" hidden="1"/>
    <cellStyle name="表示済みのハイパーリンク" xfId="62" builtinId="9" hidden="1"/>
    <cellStyle name="表示済みのハイパーリンク" xfId="64" builtinId="9" hidden="1"/>
    <cellStyle name="表示済みのハイパーリンク" xfId="66" builtinId="9" hidden="1"/>
    <cellStyle name="表示済みのハイパーリンク" xfId="68" builtinId="9" hidden="1"/>
    <cellStyle name="表示済みのハイパーリンク" xfId="70" builtinId="9" hidden="1"/>
    <cellStyle name="表示済みのハイパーリンク" xfId="72" builtinId="9" hidden="1"/>
    <cellStyle name="表示済みのハイパーリンク" xfId="74" builtinId="9" hidden="1"/>
    <cellStyle name="表示済みのハイパーリンク" xfId="76" builtinId="9" hidden="1"/>
    <cellStyle name="表示済みのハイパーリンク" xfId="78" builtinId="9" hidden="1"/>
    <cellStyle name="表示済みのハイパーリンク" xfId="80" builtinId="9" hidden="1"/>
    <cellStyle name="表示済みのハイパーリンク" xfId="82" builtinId="9" hidden="1"/>
    <cellStyle name="表示済みのハイパーリンク" xfId="84" builtinId="9" hidden="1"/>
    <cellStyle name="表示済みのハイパーリンク" xfId="86" builtinId="9" hidden="1"/>
    <cellStyle name="表示済みのハイパーリンク" xfId="88" builtinId="9" hidden="1"/>
    <cellStyle name="表示済みのハイパーリンク" xfId="90" builtinId="9" hidden="1"/>
    <cellStyle name="表示済みのハイパーリンク" xfId="92" builtinId="9" hidden="1"/>
    <cellStyle name="表示済みのハイパーリンク" xfId="94" builtinId="9" hidden="1"/>
    <cellStyle name="表示済みのハイパーリンク" xfId="96" builtinId="9" hidden="1"/>
    <cellStyle name="表示済みのハイパーリンク" xfId="98" builtinId="9" hidden="1"/>
    <cellStyle name="表示済みのハイパーリンク" xfId="100" builtinId="9" hidden="1"/>
    <cellStyle name="表示済みのハイパーリンク" xfId="102" builtinId="9" hidden="1"/>
    <cellStyle name="表示済みのハイパーリンク" xfId="104" builtinId="9" hidden="1"/>
    <cellStyle name="表示済みのハイパーリンク" xfId="106" builtinId="9" hidden="1"/>
    <cellStyle name="表示済みのハイパーリンク" xfId="108" builtinId="9" hidden="1"/>
    <cellStyle name="表示済みのハイパーリンク" xfId="110" builtinId="9" hidden="1"/>
    <cellStyle name="表示済みのハイパーリンク" xfId="112" builtinId="9" hidden="1"/>
    <cellStyle name="表示済みのハイパーリンク" xfId="114" builtinId="9" hidden="1"/>
    <cellStyle name="表示済みのハイパーリンク" xfId="116" builtinId="9" hidden="1"/>
    <cellStyle name="表示済みのハイパーリンク" xfId="118" builtinId="9" hidden="1"/>
    <cellStyle name="表示済みのハイパーリンク" xfId="120" builtinId="9" hidden="1"/>
    <cellStyle name="表示済みのハイパーリンク" xfId="122" builtinId="9" hidden="1"/>
    <cellStyle name="表示済みのハイパーリンク" xfId="124" builtinId="9" hidden="1"/>
    <cellStyle name="表示済みのハイパーリンク" xfId="126" builtinId="9" hidden="1"/>
    <cellStyle name="表示済みのハイパーリンク" xfId="128" builtinId="9" hidden="1"/>
    <cellStyle name="表示済みのハイパーリンク" xfId="130" builtinId="9" hidden="1"/>
    <cellStyle name="表示済みのハイパーリンク" xfId="132" builtinId="9" hidden="1"/>
    <cellStyle name="表示済みのハイパーリンク" xfId="134" builtinId="9" hidden="1"/>
    <cellStyle name="表示済みのハイパーリンク" xfId="136" builtinId="9" hidden="1"/>
    <cellStyle name="表示済みのハイパーリンク" xfId="138" builtinId="9" hidden="1"/>
    <cellStyle name="表示済みのハイパーリンク" xfId="140" builtinId="9" hidden="1"/>
    <cellStyle name="表示済みのハイパーリンク" xfId="142" builtinId="9" hidden="1"/>
    <cellStyle name="表示済みのハイパーリンク" xfId="144" builtinId="9" hidden="1"/>
    <cellStyle name="表示済みのハイパーリンク" xfId="146" builtinId="9" hidden="1"/>
    <cellStyle name="表示済みのハイパーリンク" xfId="148" builtinId="9" hidden="1"/>
    <cellStyle name="表示済みのハイパーリンク" xfId="150" builtinId="9" hidden="1"/>
    <cellStyle name="表示済みのハイパーリンク" xfId="152" builtinId="9" hidden="1"/>
    <cellStyle name="表示済みのハイパーリンク" xfId="154" builtinId="9" hidden="1"/>
    <cellStyle name="表示済みのハイパーリンク" xfId="156" builtinId="9" hidden="1"/>
    <cellStyle name="表示済みのハイパーリンク" xfId="158" builtinId="9" hidden="1"/>
    <cellStyle name="表示済みのハイパーリンク" xfId="160" builtinId="9" hidden="1"/>
    <cellStyle name="表示済みのハイパーリンク" xfId="162" builtinId="9" hidden="1"/>
    <cellStyle name="表示済みのハイパーリンク" xfId="164" builtinId="9" hidden="1"/>
    <cellStyle name="表示済みのハイパーリンク" xfId="166" builtinId="9" hidden="1"/>
    <cellStyle name="表示済みのハイパーリンク" xfId="168" builtinId="9" hidden="1"/>
    <cellStyle name="表示済みのハイパーリンク" xfId="170" builtinId="9" hidden="1"/>
    <cellStyle name="表示済みのハイパーリンク" xfId="172" builtinId="9" hidden="1"/>
    <cellStyle name="表示済みのハイパーリンク" xfId="174" builtinId="9" hidden="1"/>
    <cellStyle name="表示済みのハイパーリンク" xfId="176" builtinId="9" hidden="1"/>
    <cellStyle name="表示済みのハイパーリンク" xfId="178" builtinId="9" hidden="1"/>
    <cellStyle name="表示済みのハイパーリンク" xfId="180" builtinId="9" hidden="1"/>
    <cellStyle name="表示済みのハイパーリンク" xfId="182" builtinId="9" hidden="1"/>
    <cellStyle name="表示済みのハイパーリンク" xfId="184" builtinId="9" hidden="1"/>
    <cellStyle name="表示済みのハイパーリンク" xfId="186" builtinId="9" hidden="1"/>
    <cellStyle name="表示済みのハイパーリンク" xfId="188" builtinId="9" hidden="1"/>
    <cellStyle name="表示済みのハイパーリンク" xfId="190" builtinId="9" hidden="1"/>
    <cellStyle name="表示済みのハイパーリンク" xfId="192" builtinId="9" hidden="1"/>
    <cellStyle name="表示済みのハイパーリンク" xfId="194" builtinId="9" hidden="1"/>
    <cellStyle name="表示済みのハイパーリンク" xfId="196" builtinId="9" hidden="1"/>
    <cellStyle name="表示済みのハイパーリンク" xfId="198" builtinId="9" hidden="1"/>
    <cellStyle name="表示済みのハイパーリンク" xfId="200" builtinId="9" hidden="1"/>
    <cellStyle name="表示済みのハイパーリンク" xfId="202" builtinId="9" hidden="1"/>
    <cellStyle name="表示済みのハイパーリンク" xfId="204" builtinId="9" hidden="1"/>
    <cellStyle name="表示済みのハイパーリンク" xfId="206" builtinId="9" hidden="1"/>
    <cellStyle name="表示済みのハイパーリンク" xfId="208" builtinId="9" hidden="1"/>
    <cellStyle name="表示済みのハイパーリンク" xfId="210" builtinId="9" hidden="1"/>
    <cellStyle name="表示済みのハイパーリンク" xfId="212" builtinId="9" hidden="1"/>
    <cellStyle name="表示済みのハイパーリンク" xfId="214" builtinId="9" hidden="1"/>
    <cellStyle name="表示済みのハイパーリンク" xfId="216" builtinId="9" hidden="1"/>
    <cellStyle name="表示済みのハイパーリンク" xfId="218" builtinId="9" hidden="1"/>
    <cellStyle name="表示済みのハイパーリンク" xfId="220" builtinId="9" hidden="1"/>
    <cellStyle name="表示済みのハイパーリンク" xfId="222" builtinId="9" hidden="1"/>
    <cellStyle name="表示済みのハイパーリンク" xfId="224" builtinId="9" hidden="1"/>
    <cellStyle name="表示済みのハイパーリンク" xfId="226" builtinId="9" hidden="1"/>
    <cellStyle name="表示済みのハイパーリンク" xfId="228" builtinId="9" hidden="1"/>
    <cellStyle name="表示済みのハイパーリンク" xfId="230" builtinId="9" hidden="1"/>
    <cellStyle name="表示済みのハイパーリンク" xfId="232" builtinId="9" hidden="1"/>
    <cellStyle name="表示済みのハイパーリンク" xfId="234" builtinId="9" hidden="1"/>
    <cellStyle name="表示済みのハイパーリンク" xfId="236" builtinId="9" hidden="1"/>
    <cellStyle name="表示済みのハイパーリンク" xfId="238" builtinId="9" hidden="1"/>
    <cellStyle name="表示済みのハイパーリンク" xfId="240" builtinId="9" hidden="1"/>
    <cellStyle name="表示済みのハイパーリンク" xfId="242" builtinId="9" hidden="1"/>
    <cellStyle name="表示済みのハイパーリンク" xfId="244" builtinId="9" hidden="1"/>
    <cellStyle name="表示済みのハイパーリンク" xfId="246" builtinId="9" hidden="1"/>
    <cellStyle name="表示済みのハイパーリンク" xfId="248" builtinId="9" hidden="1"/>
    <cellStyle name="表示済みのハイパーリンク" xfId="250" builtinId="9" hidden="1"/>
    <cellStyle name="表示済みのハイパーリンク" xfId="252" builtinId="9" hidden="1"/>
    <cellStyle name="表示済みのハイパーリンク" xfId="254" builtinId="9" hidden="1"/>
    <cellStyle name="表示済みのハイパーリンク" xfId="256" builtinId="9" hidden="1"/>
    <cellStyle name="表示済みのハイパーリンク" xfId="258" builtinId="9" hidden="1"/>
    <cellStyle name="表示済みのハイパーリンク" xfId="260" builtinId="9" hidden="1"/>
    <cellStyle name="表示済みのハイパーリンク" xfId="262" builtinId="9" hidden="1"/>
    <cellStyle name="表示済みのハイパーリンク" xfId="264" builtinId="9" hidden="1"/>
    <cellStyle name="表示済みのハイパーリンク" xfId="266" builtinId="9" hidden="1"/>
    <cellStyle name="表示済みのハイパーリンク" xfId="268" builtinId="9" hidden="1"/>
    <cellStyle name="表示済みのハイパーリンク" xfId="270" builtinId="9" hidden="1"/>
    <cellStyle name="表示済みのハイパーリンク" xfId="272" builtinId="9" hidden="1"/>
    <cellStyle name="表示済みのハイパーリンク" xfId="274" builtinId="9" hidden="1"/>
    <cellStyle name="表示済みのハイパーリンク" xfId="276" builtinId="9" hidden="1"/>
    <cellStyle name="表示済みのハイパーリンク" xfId="278" builtinId="9" hidden="1"/>
    <cellStyle name="表示済みのハイパーリンク" xfId="280" builtinId="9" hidden="1"/>
    <cellStyle name="表示済みのハイパーリンク" xfId="282" builtinId="9" hidden="1"/>
    <cellStyle name="表示済みのハイパーリンク" xfId="284" builtinId="9" hidden="1"/>
    <cellStyle name="表示済みのハイパーリンク" xfId="286" builtinId="9" hidden="1"/>
    <cellStyle name="表示済みのハイパーリンク" xfId="288" builtinId="9" hidden="1"/>
    <cellStyle name="表示済みのハイパーリンク" xfId="290" builtinId="9" hidden="1"/>
    <cellStyle name="表示済みのハイパーリンク" xfId="292" builtinId="9" hidden="1"/>
    <cellStyle name="表示済みのハイパーリンク" xfId="294" builtinId="9" hidden="1"/>
    <cellStyle name="表示済みのハイパーリンク" xfId="296" builtinId="9" hidden="1"/>
    <cellStyle name="表示済みのハイパーリンク" xfId="298" builtinId="9" hidden="1"/>
    <cellStyle name="表示済みのハイパーリンク" xfId="300" builtinId="9" hidden="1"/>
    <cellStyle name="表示済みのハイパーリンク" xfId="302" builtinId="9" hidden="1"/>
    <cellStyle name="表示済みのハイパーリンク" xfId="304" builtinId="9" hidden="1"/>
    <cellStyle name="表示済みのハイパーリンク" xfId="306" builtinId="9" hidden="1"/>
    <cellStyle name="表示済みのハイパーリンク" xfId="308" builtinId="9" hidden="1"/>
    <cellStyle name="表示済みのハイパーリンク" xfId="310" builtinId="9" hidden="1"/>
    <cellStyle name="表示済みのハイパーリンク" xfId="312" builtinId="9" hidden="1"/>
    <cellStyle name="表示済みのハイパーリンク" xfId="314" builtinId="9" hidden="1"/>
    <cellStyle name="表示済みのハイパーリンク" xfId="316" builtinId="9" hidden="1"/>
    <cellStyle name="表示済みのハイパーリンク" xfId="318" builtinId="9" hidden="1"/>
    <cellStyle name="表示済みのハイパーリンク" xfId="320" builtinId="9" hidden="1"/>
    <cellStyle name="表示済みのハイパーリンク" xfId="322" builtinId="9" hidden="1"/>
    <cellStyle name="表示済みのハイパーリンク" xfId="324" builtinId="9" hidden="1"/>
    <cellStyle name="表示済みのハイパーリンク" xfId="326" builtinId="9" hidden="1"/>
    <cellStyle name="表示済みのハイパーリンク" xfId="328" builtinId="9" hidden="1"/>
    <cellStyle name="表示済みのハイパーリンク" xfId="330" builtinId="9" hidden="1"/>
    <cellStyle name="表示済みのハイパーリンク" xfId="332" builtinId="9" hidden="1"/>
    <cellStyle name="表示済みのハイパーリンク" xfId="334" builtinId="9" hidden="1"/>
    <cellStyle name="表示済みのハイパーリンク" xfId="336" builtinId="9" hidden="1"/>
    <cellStyle name="表示済みのハイパーリンク" xfId="338" builtinId="9" hidden="1"/>
    <cellStyle name="表示済みのハイパーリンク" xfId="340" builtinId="9" hidden="1"/>
    <cellStyle name="表示済みのハイパーリンク" xfId="342" builtinId="9" hidden="1"/>
    <cellStyle name="表示済みのハイパーリンク" xfId="344" builtinId="9" hidden="1"/>
    <cellStyle name="表示済みのハイパーリンク" xfId="346" builtinId="9" hidden="1"/>
    <cellStyle name="表示済みのハイパーリンク" xfId="348" builtinId="9" hidden="1"/>
    <cellStyle name="表示済みのハイパーリンク" xfId="350" builtinId="9" hidden="1"/>
    <cellStyle name="表示済みのハイパーリンク" xfId="352" builtinId="9" hidden="1"/>
    <cellStyle name="表示済みのハイパーリンク" xfId="354" builtinId="9" hidden="1"/>
    <cellStyle name="表示済みのハイパーリンク" xfId="356" builtinId="9" hidden="1"/>
    <cellStyle name="表示済みのハイパーリンク" xfId="358" builtinId="9" hidden="1"/>
    <cellStyle name="表示済みのハイパーリンク" xfId="360" builtinId="9" hidden="1"/>
    <cellStyle name="表示済みのハイパーリンク" xfId="362" builtinId="9" hidden="1"/>
    <cellStyle name="表示済みのハイパーリンク" xfId="364" builtinId="9" hidden="1"/>
    <cellStyle name="表示済みのハイパーリンク" xfId="366" builtinId="9" hidden="1"/>
    <cellStyle name="表示済みのハイパーリンク" xfId="368" builtinId="9" hidden="1"/>
    <cellStyle name="表示済みのハイパーリンク" xfId="370" builtinId="9" hidden="1"/>
    <cellStyle name="表示済みのハイパーリンク" xfId="372" builtinId="9" hidden="1"/>
    <cellStyle name="表示済みのハイパーリンク" xfId="374" builtinId="9" hidden="1"/>
    <cellStyle name="表示済みのハイパーリンク" xfId="376" builtinId="9" hidden="1"/>
    <cellStyle name="表示済みのハイパーリンク" xfId="378" builtinId="9" hidden="1"/>
    <cellStyle name="表示済みのハイパーリンク" xfId="380" builtinId="9" hidden="1"/>
    <cellStyle name="表示済みのハイパーリンク" xfId="382" builtinId="9" hidden="1"/>
    <cellStyle name="表示済みのハイパーリンク" xfId="384" builtinId="9" hidden="1"/>
    <cellStyle name="表示済みのハイパーリンク" xfId="386" builtinId="9" hidden="1"/>
    <cellStyle name="表示済みのハイパーリンク" xfId="388" builtinId="9" hidden="1"/>
    <cellStyle name="表示済みのハイパーリンク" xfId="390" builtinId="9" hidden="1"/>
    <cellStyle name="表示済みのハイパーリンク" xfId="392" builtinId="9" hidden="1"/>
    <cellStyle name="表示済みのハイパーリンク" xfId="394" builtinId="9" hidden="1"/>
    <cellStyle name="表示済みのハイパーリンク" xfId="396" builtinId="9" hidden="1"/>
    <cellStyle name="表示済みのハイパーリンク" xfId="398" builtinId="9" hidden="1"/>
    <cellStyle name="表示済みのハイパーリンク" xfId="400" builtinId="9" hidden="1"/>
    <cellStyle name="表示済みのハイパーリンク" xfId="402" builtinId="9" hidden="1"/>
    <cellStyle name="表示済みのハイパーリンク" xfId="404" builtinId="9" hidden="1"/>
    <cellStyle name="表示済みのハイパーリンク" xfId="406" builtinId="9" hidden="1"/>
    <cellStyle name="表示済みのハイパーリンク" xfId="408" builtinId="9" hidden="1"/>
    <cellStyle name="表示済みのハイパーリンク" xfId="410" builtinId="9" hidden="1"/>
    <cellStyle name="表示済みのハイパーリンク" xfId="412" builtinId="9" hidden="1"/>
    <cellStyle name="表示済みのハイパーリンク" xfId="414" builtinId="9" hidden="1"/>
    <cellStyle name="表示済みのハイパーリンク" xfId="416" builtinId="9" hidden="1"/>
    <cellStyle name="表示済みのハイパーリンク" xfId="418" builtinId="9" hidden="1"/>
    <cellStyle name="表示済みのハイパーリンク" xfId="420" builtinId="9" hidden="1"/>
    <cellStyle name="表示済みのハイパーリンク" xfId="422" builtinId="9" hidden="1"/>
    <cellStyle name="表示済みのハイパーリンク" xfId="424" builtinId="9" hidden="1"/>
    <cellStyle name="表示済みのハイパーリンク" xfId="426" builtinId="9" hidden="1"/>
    <cellStyle name="表示済みのハイパーリンク" xfId="428" builtinId="9" hidden="1"/>
    <cellStyle name="表示済みのハイパーリンク" xfId="430" builtinId="9" hidden="1"/>
    <cellStyle name="表示済みのハイパーリンク" xfId="432" builtinId="9" hidden="1"/>
    <cellStyle name="表示済みのハイパーリンク" xfId="434" builtinId="9" hidden="1"/>
    <cellStyle name="表示済みのハイパーリンク" xfId="436" builtinId="9" hidden="1"/>
    <cellStyle name="表示済みのハイパーリンク" xfId="438" builtinId="9" hidden="1"/>
    <cellStyle name="表示済みのハイパーリンク" xfId="440" builtinId="9" hidden="1"/>
    <cellStyle name="表示済みのハイパーリンク" xfId="442" builtinId="9" hidden="1"/>
    <cellStyle name="表示済みのハイパーリンク" xfId="444" builtinId="9" hidden="1"/>
    <cellStyle name="表示済みのハイパーリンク" xfId="446" builtinId="9" hidden="1"/>
    <cellStyle name="表示済みのハイパーリンク" xfId="448" builtinId="9" hidden="1"/>
    <cellStyle name="表示済みのハイパーリンク" xfId="450" builtinId="9" hidden="1"/>
    <cellStyle name="表示済みのハイパーリンク" xfId="452" builtinId="9" hidden="1"/>
    <cellStyle name="表示済みのハイパーリンク" xfId="454" builtinId="9" hidden="1"/>
    <cellStyle name="表示済みのハイパーリンク" xfId="456" builtinId="9" hidden="1"/>
    <cellStyle name="表示済みのハイパーリンク" xfId="458" builtinId="9" hidden="1"/>
    <cellStyle name="表示済みのハイパーリンク" xfId="460" builtinId="9" hidden="1"/>
    <cellStyle name="表示済みのハイパーリンク" xfId="462" builtinId="9" hidden="1"/>
    <cellStyle name="表示済みのハイパーリンク" xfId="464" builtinId="9" hidden="1"/>
    <cellStyle name="表示済みのハイパーリンク" xfId="466" builtinId="9" hidden="1"/>
    <cellStyle name="表示済みのハイパーリンク" xfId="468" builtinId="9" hidden="1"/>
    <cellStyle name="表示済みのハイパーリンク" xfId="470" builtinId="9" hidden="1"/>
    <cellStyle name="表示済みのハイパーリンク" xfId="472" builtinId="9" hidden="1"/>
    <cellStyle name="表示済みのハイパーリンク" xfId="474" builtinId="9" hidden="1"/>
    <cellStyle name="表示済みのハイパーリンク" xfId="476" builtinId="9" hidden="1"/>
    <cellStyle name="表示済みのハイパーリンク" xfId="478" builtinId="9" hidden="1"/>
    <cellStyle name="表示済みのハイパーリンク" xfId="480" builtinId="9" hidden="1"/>
    <cellStyle name="表示済みのハイパーリンク" xfId="482" builtinId="9" hidden="1"/>
    <cellStyle name="表示済みのハイパーリンク" xfId="484" builtinId="9" hidden="1"/>
    <cellStyle name="表示済みのハイパーリンク" xfId="486" builtinId="9" hidden="1"/>
    <cellStyle name="表示済みのハイパーリンク" xfId="488" builtinId="9" hidden="1"/>
    <cellStyle name="表示済みのハイパーリンク" xfId="490" builtinId="9" hidden="1"/>
    <cellStyle name="表示済みのハイパーリンク" xfId="492" builtinId="9" hidden="1"/>
    <cellStyle name="表示済みのハイパーリンク" xfId="494" builtinId="9" hidden="1"/>
    <cellStyle name="表示済みのハイパーリンク" xfId="496" builtinId="9" hidden="1"/>
    <cellStyle name="表示済みのハイパーリンク" xfId="498" builtinId="9" hidden="1"/>
    <cellStyle name="表示済みのハイパーリンク" xfId="500" builtinId="9" hidden="1"/>
    <cellStyle name="表示済みのハイパーリンク" xfId="502" builtinId="9" hidden="1"/>
    <cellStyle name="表示済みのハイパーリンク" xfId="504" builtinId="9" hidden="1"/>
    <cellStyle name="表示済みのハイパーリンク" xfId="506" builtinId="9" hidden="1"/>
    <cellStyle name="表示済みのハイパーリンク" xfId="508" builtinId="9" hidden="1"/>
    <cellStyle name="表示済みのハイパーリンク" xfId="510" builtinId="9" hidden="1"/>
    <cellStyle name="表示済みのハイパーリンク" xfId="512" builtinId="9" hidden="1"/>
    <cellStyle name="表示済みのハイパーリンク" xfId="514" builtinId="9" hidden="1"/>
    <cellStyle name="表示済みのハイパーリンク" xfId="516" builtinId="9" hidden="1"/>
    <cellStyle name="表示済みのハイパーリンク" xfId="518" builtinId="9" hidden="1"/>
    <cellStyle name="表示済みのハイパーリンク" xfId="520" builtinId="9" hidden="1"/>
    <cellStyle name="表示済みのハイパーリンク" xfId="522" builtinId="9" hidden="1"/>
    <cellStyle name="表示済みのハイパーリンク" xfId="524" builtinId="9" hidden="1"/>
    <cellStyle name="表示済みのハイパーリンク" xfId="526" builtinId="9" hidden="1"/>
    <cellStyle name="表示済みのハイパーリンク" xfId="528" builtinId="9" hidden="1"/>
    <cellStyle name="表示済みのハイパーリンク" xfId="530" builtinId="9" hidden="1"/>
    <cellStyle name="表示済みのハイパーリンク" xfId="532" builtinId="9" hidden="1"/>
    <cellStyle name="表示済みのハイパーリンク" xfId="534" builtinId="9" hidden="1"/>
    <cellStyle name="表示済みのハイパーリンク" xfId="536" builtinId="9" hidden="1"/>
    <cellStyle name="表示済みのハイパーリンク" xfId="538" builtinId="9" hidden="1"/>
    <cellStyle name="表示済みのハイパーリンク" xfId="540" builtinId="9" hidden="1"/>
    <cellStyle name="表示済みのハイパーリンク" xfId="542" builtinId="9" hidden="1"/>
    <cellStyle name="表示済みのハイパーリンク" xfId="544" builtinId="9" hidden="1"/>
    <cellStyle name="表示済みのハイパーリンク" xfId="546" builtinId="9" hidden="1"/>
    <cellStyle name="表示済みのハイパーリンク" xfId="548" builtinId="9" hidden="1"/>
    <cellStyle name="表示済みのハイパーリンク" xfId="550" builtinId="9" hidden="1"/>
    <cellStyle name="表示済みのハイパーリンク" xfId="552" builtinId="9" hidden="1"/>
    <cellStyle name="表示済みのハイパーリンク" xfId="554" builtinId="9" hidden="1"/>
    <cellStyle name="表示済みのハイパーリンク" xfId="556" builtinId="9" hidden="1"/>
    <cellStyle name="表示済みのハイパーリンク" xfId="558" builtinId="9" hidden="1"/>
    <cellStyle name="表示済みのハイパーリンク" xfId="560" builtinId="9" hidden="1"/>
    <cellStyle name="表示済みのハイパーリンク" xfId="562" builtinId="9" hidden="1"/>
    <cellStyle name="表示済みのハイパーリンク" xfId="564" builtinId="9" hidden="1"/>
    <cellStyle name="表示済みのハイパーリンク" xfId="566" builtinId="9" hidden="1"/>
    <cellStyle name="表示済みのハイパーリンク" xfId="568" builtinId="9" hidden="1"/>
    <cellStyle name="表示済みのハイパーリンク" xfId="570" builtinId="9" hidden="1"/>
    <cellStyle name="表示済みのハイパーリンク" xfId="572" builtinId="9" hidden="1"/>
    <cellStyle name="表示済みのハイパーリンク" xfId="574" builtinId="9" hidden="1"/>
    <cellStyle name="表示済みのハイパーリンク" xfId="576" builtinId="9" hidden="1"/>
    <cellStyle name="表示済みのハイパーリンク" xfId="578" builtinId="9" hidden="1"/>
    <cellStyle name="表示済みのハイパーリンク" xfId="580" builtinId="9" hidden="1"/>
    <cellStyle name="表示済みのハイパーリンク" xfId="582" builtinId="9" hidden="1"/>
    <cellStyle name="表示済みのハイパーリンク" xfId="584" builtinId="9" hidden="1"/>
    <cellStyle name="表示済みのハイパーリンク" xfId="586" builtinId="9" hidden="1"/>
    <cellStyle name="表示済みのハイパーリンク" xfId="588" builtinId="9" hidden="1"/>
    <cellStyle name="表示済みのハイパーリンク" xfId="590" builtinId="9" hidden="1"/>
    <cellStyle name="表示済みのハイパーリンク" xfId="592" builtinId="9" hidden="1"/>
    <cellStyle name="表示済みのハイパーリンク" xfId="594" builtinId="9" hidden="1"/>
    <cellStyle name="表示済みのハイパーリンク" xfId="596" builtinId="9" hidden="1"/>
    <cellStyle name="表示済みのハイパーリンク" xfId="598" builtinId="9" hidden="1"/>
    <cellStyle name="表示済みのハイパーリンク" xfId="600" builtinId="9" hidden="1"/>
    <cellStyle name="表示済みのハイパーリンク" xfId="602" builtinId="9" hidden="1"/>
    <cellStyle name="表示済みのハイパーリンク" xfId="604" builtinId="9" hidden="1"/>
    <cellStyle name="表示済みのハイパーリンク" xfId="606" builtinId="9" hidden="1"/>
    <cellStyle name="表示済みのハイパーリンク" xfId="608" builtinId="9" hidden="1"/>
    <cellStyle name="表示済みのハイパーリンク" xfId="610" builtinId="9" hidden="1"/>
    <cellStyle name="表示済みのハイパーリンク" xfId="612" builtinId="9" hidden="1"/>
    <cellStyle name="表示済みのハイパーリンク" xfId="614" builtinId="9" hidden="1"/>
    <cellStyle name="表示済みのハイパーリンク" xfId="616" builtinId="9" hidden="1"/>
    <cellStyle name="表示済みのハイパーリンク" xfId="618" builtinId="9" hidden="1"/>
    <cellStyle name="表示済みのハイパーリンク" xfId="620" builtinId="9" hidden="1"/>
    <cellStyle name="表示済みのハイパーリンク" xfId="622" builtinId="9" hidden="1"/>
    <cellStyle name="表示済みのハイパーリンク" xfId="624" builtinId="9" hidden="1"/>
    <cellStyle name="表示済みのハイパーリンク" xfId="626" builtinId="9" hidden="1"/>
    <cellStyle name="表示済みのハイパーリンク" xfId="628" builtinId="9" hidden="1"/>
    <cellStyle name="表示済みのハイパーリンク" xfId="630" builtinId="9" hidden="1"/>
    <cellStyle name="表示済みのハイパーリンク" xfId="632" builtinId="9" hidden="1"/>
    <cellStyle name="表示済みのハイパーリンク" xfId="634" builtinId="9" hidden="1"/>
    <cellStyle name="表示済みのハイパーリンク" xfId="636" builtinId="9" hidden="1"/>
    <cellStyle name="表示済みのハイパーリンク" xfId="638" builtinId="9" hidden="1"/>
    <cellStyle name="表示済みのハイパーリンク" xfId="640" builtinId="9" hidden="1"/>
    <cellStyle name="表示済みのハイパーリンク" xfId="642" builtinId="9" hidden="1"/>
    <cellStyle name="表示済みのハイパーリンク" xfId="644" builtinId="9" hidden="1"/>
    <cellStyle name="表示済みのハイパーリンク" xfId="646" builtinId="9" hidden="1"/>
    <cellStyle name="表示済みのハイパーリンク" xfId="648" builtinId="9" hidden="1"/>
    <cellStyle name="表示済みのハイパーリンク" xfId="650" builtinId="9" hidden="1"/>
    <cellStyle name="表示済みのハイパーリンク" xfId="652" builtinId="9" hidden="1"/>
    <cellStyle name="表示済みのハイパーリンク" xfId="654" builtinId="9" hidden="1"/>
    <cellStyle name="表示済みのハイパーリンク" xfId="656" builtinId="9" hidden="1"/>
    <cellStyle name="表示済みのハイパーリンク" xfId="658" builtinId="9" hidden="1"/>
    <cellStyle name="表示済みのハイパーリンク" xfId="660" builtinId="9" hidden="1"/>
    <cellStyle name="表示済みのハイパーリンク" xfId="662" builtinId="9" hidden="1"/>
    <cellStyle name="表示済みのハイパーリンク" xfId="664" builtinId="9" hidden="1"/>
    <cellStyle name="表示済みのハイパーリンク" xfId="666" builtinId="9" hidden="1"/>
    <cellStyle name="表示済みのハイパーリンク" xfId="668" builtinId="9" hidden="1"/>
    <cellStyle name="表示済みのハイパーリンク" xfId="670" builtinId="9" hidden="1"/>
    <cellStyle name="表示済みのハイパーリンク" xfId="672" builtinId="9" hidden="1"/>
    <cellStyle name="表示済みのハイパーリンク" xfId="674" builtinId="9" hidden="1"/>
    <cellStyle name="表示済みのハイパーリンク" xfId="676" builtinId="9" hidden="1"/>
    <cellStyle name="表示済みのハイパーリンク" xfId="678" builtinId="9" hidden="1"/>
    <cellStyle name="表示済みのハイパーリンク" xfId="680" builtinId="9" hidden="1"/>
    <cellStyle name="表示済みのハイパーリンク" xfId="682" builtinId="9" hidden="1"/>
    <cellStyle name="表示済みのハイパーリンク" xfId="684" builtinId="9" hidden="1"/>
    <cellStyle name="表示済みのハイパーリンク" xfId="686" builtinId="9" hidden="1"/>
    <cellStyle name="表示済みのハイパーリンク" xfId="688" builtinId="9" hidden="1"/>
    <cellStyle name="表示済みのハイパーリンク" xfId="690" builtinId="9" hidden="1"/>
    <cellStyle name="表示済みのハイパーリンク" xfId="692" builtinId="9" hidden="1"/>
    <cellStyle name="表示済みのハイパーリンク" xfId="694" builtinId="9" hidden="1"/>
    <cellStyle name="表示済みのハイパーリンク" xfId="696" builtinId="9" hidden="1"/>
    <cellStyle name="表示済みのハイパーリンク" xfId="698" builtinId="9" hidden="1"/>
    <cellStyle name="表示済みのハイパーリンク" xfId="700" builtinId="9" hidden="1"/>
    <cellStyle name="表示済みのハイパーリンク" xfId="702" builtinId="9" hidden="1"/>
    <cellStyle name="表示済みのハイパーリンク" xfId="704" builtinId="9" hidden="1"/>
    <cellStyle name="表示済みのハイパーリンク" xfId="706" builtinId="9" hidden="1"/>
    <cellStyle name="表示済みのハイパーリンク" xfId="708" builtinId="9" hidden="1"/>
    <cellStyle name="表示済みのハイパーリンク" xfId="710" builtinId="9" hidden="1"/>
    <cellStyle name="表示済みのハイパーリンク" xfId="712" builtinId="9" hidden="1"/>
    <cellStyle name="表示済みのハイパーリンク" xfId="714" builtinId="9" hidden="1"/>
    <cellStyle name="表示済みのハイパーリンク" xfId="716" builtinId="9" hidden="1"/>
    <cellStyle name="表示済みのハイパーリンク" xfId="718" builtinId="9" hidden="1"/>
    <cellStyle name="表示済みのハイパーリンク" xfId="720" builtinId="9" hidden="1"/>
    <cellStyle name="表示済みのハイパーリンク" xfId="722" builtinId="9" hidden="1"/>
    <cellStyle name="表示済みのハイパーリンク" xfId="724" builtinId="9" hidden="1"/>
    <cellStyle name="表示済みのハイパーリンク" xfId="726" builtinId="9" hidden="1"/>
    <cellStyle name="表示済みのハイパーリンク" xfId="728" builtinId="9" hidden="1"/>
    <cellStyle name="表示済みのハイパーリンク" xfId="730" builtinId="9" hidden="1"/>
    <cellStyle name="表示済みのハイパーリンク" xfId="732" builtinId="9" hidden="1"/>
    <cellStyle name="表示済みのハイパーリンク" xfId="734" builtinId="9" hidden="1"/>
    <cellStyle name="表示済みのハイパーリンク" xfId="736" builtinId="9" hidden="1"/>
    <cellStyle name="表示済みのハイパーリンク" xfId="738" builtinId="9" hidden="1"/>
    <cellStyle name="表示済みのハイパーリンク" xfId="740" builtinId="9" hidden="1"/>
    <cellStyle name="表示済みのハイパーリンク" xfId="742" builtinId="9" hidden="1"/>
    <cellStyle name="表示済みのハイパーリンク" xfId="744" builtinId="9" hidden="1"/>
    <cellStyle name="表示済みのハイパーリンク" xfId="746" builtinId="9" hidden="1"/>
    <cellStyle name="表示済みのハイパーリンク" xfId="748" builtinId="9" hidden="1"/>
    <cellStyle name="表示済みのハイパーリンク" xfId="750" builtinId="9" hidden="1"/>
    <cellStyle name="表示済みのハイパーリンク" xfId="752" builtinId="9" hidden="1"/>
    <cellStyle name="表示済みのハイパーリンク" xfId="754" builtinId="9" hidden="1"/>
    <cellStyle name="表示済みのハイパーリンク" xfId="756" builtinId="9" hidden="1"/>
    <cellStyle name="表示済みのハイパーリンク" xfId="758" builtinId="9" hidden="1"/>
    <cellStyle name="表示済みのハイパーリンク" xfId="760" builtinId="9" hidden="1"/>
    <cellStyle name="表示済みのハイパーリンク" xfId="762" builtinId="9" hidden="1"/>
    <cellStyle name="表示済みのハイパーリンク" xfId="764" builtinId="9" hidden="1"/>
    <cellStyle name="表示済みのハイパーリンク" xfId="766" builtinId="9" hidden="1"/>
    <cellStyle name="表示済みのハイパーリンク" xfId="768" builtinId="9" hidden="1"/>
    <cellStyle name="表示済みのハイパーリンク" xfId="770" builtinId="9" hidden="1"/>
    <cellStyle name="表示済みのハイパーリンク" xfId="772" builtinId="9" hidden="1"/>
    <cellStyle name="表示済みのハイパーリンク" xfId="774" builtinId="9" hidden="1"/>
    <cellStyle name="表示済みのハイパーリンク" xfId="776" builtinId="9" hidden="1"/>
    <cellStyle name="表示済みのハイパーリンク" xfId="778" builtinId="9" hidden="1"/>
    <cellStyle name="表示済みのハイパーリンク" xfId="780" builtinId="9" hidden="1"/>
    <cellStyle name="表示済みのハイパーリンク" xfId="782" builtinId="9" hidden="1"/>
    <cellStyle name="表示済みのハイパーリンク" xfId="784" builtinId="9" hidden="1"/>
    <cellStyle name="表示済みのハイパーリンク" xfId="786" builtinId="9" hidden="1"/>
    <cellStyle name="表示済みのハイパーリンク" xfId="788" builtinId="9" hidden="1"/>
    <cellStyle name="表示済みのハイパーリンク" xfId="790" builtinId="9" hidden="1"/>
    <cellStyle name="表示済みのハイパーリンク" xfId="792" builtinId="9" hidden="1"/>
    <cellStyle name="表示済みのハイパーリンク" xfId="794" builtinId="9" hidden="1"/>
    <cellStyle name="表示済みのハイパーリンク" xfId="796" builtinId="9" hidden="1"/>
    <cellStyle name="表示済みのハイパーリンク" xfId="798" builtinId="9" hidden="1"/>
    <cellStyle name="表示済みのハイパーリンク" xfId="800" builtinId="9" hidden="1"/>
    <cellStyle name="表示済みのハイパーリンク" xfId="802" builtinId="9" hidden="1"/>
    <cellStyle name="表示済みのハイパーリンク" xfId="804" builtinId="9" hidden="1"/>
    <cellStyle name="表示済みのハイパーリンク" xfId="806" builtinId="9" hidden="1"/>
    <cellStyle name="表示済みのハイパーリンク" xfId="808" builtinId="9" hidden="1"/>
    <cellStyle name="表示済みのハイパーリンク" xfId="810" builtinId="9" hidden="1"/>
    <cellStyle name="表示済みのハイパーリンク" xfId="812" builtinId="9" hidden="1"/>
    <cellStyle name="表示済みのハイパーリンク" xfId="814" builtinId="9" hidden="1"/>
    <cellStyle name="表示済みのハイパーリンク" xfId="816" builtinId="9" hidden="1"/>
    <cellStyle name="表示済みのハイパーリンク" xfId="818" builtinId="9" hidden="1"/>
    <cellStyle name="表示済みのハイパーリンク" xfId="820" builtinId="9" hidden="1"/>
    <cellStyle name="表示済みのハイパーリンク" xfId="822" builtinId="9" hidden="1"/>
    <cellStyle name="表示済みのハイパーリンク" xfId="824" builtinId="9" hidden="1"/>
    <cellStyle name="表示済みのハイパーリンク" xfId="826" builtinId="9" hidden="1"/>
    <cellStyle name="表示済みのハイパーリンク" xfId="828" builtinId="9" hidden="1"/>
    <cellStyle name="表示済みのハイパーリンク" xfId="830" builtinId="9" hidden="1"/>
    <cellStyle name="表示済みのハイパーリンク" xfId="832" builtinId="9" hidden="1"/>
    <cellStyle name="表示済みのハイパーリンク" xfId="834" builtinId="9" hidden="1"/>
    <cellStyle name="表示済みのハイパーリンク" xfId="836" builtinId="9" hidden="1"/>
    <cellStyle name="表示済みのハイパーリンク" xfId="838" builtinId="9" hidden="1"/>
    <cellStyle name="表示済みのハイパーリンク" xfId="840" builtinId="9" hidden="1"/>
    <cellStyle name="表示済みのハイパーリンク" xfId="842" builtinId="9" hidden="1"/>
    <cellStyle name="表示済みのハイパーリンク" xfId="844" builtinId="9" hidden="1"/>
    <cellStyle name="表示済みのハイパーリンク" xfId="846" builtinId="9" hidden="1"/>
    <cellStyle name="表示済みのハイパーリンク" xfId="848" builtinId="9" hidden="1"/>
    <cellStyle name="表示済みのハイパーリンク" xfId="850" builtinId="9" hidden="1"/>
    <cellStyle name="表示済みのハイパーリンク" xfId="852" builtinId="9" hidden="1"/>
    <cellStyle name="表示済みのハイパーリンク" xfId="854" builtinId="9" hidden="1"/>
    <cellStyle name="表示済みのハイパーリンク" xfId="856" builtinId="9" hidden="1"/>
    <cellStyle name="表示済みのハイパーリンク" xfId="858" builtinId="9" hidden="1"/>
    <cellStyle name="表示済みのハイパーリンク" xfId="860" builtinId="9" hidden="1"/>
    <cellStyle name="表示済みのハイパーリンク" xfId="862" builtinId="9" hidden="1"/>
    <cellStyle name="表示済みのハイパーリンク" xfId="864" builtinId="9" hidden="1"/>
    <cellStyle name="表示済みのハイパーリンク" xfId="866" builtinId="9" hidden="1"/>
    <cellStyle name="表示済みのハイパーリンク" xfId="868" builtinId="9" hidden="1"/>
    <cellStyle name="表示済みのハイパーリンク" xfId="870" builtinId="9" hidden="1"/>
    <cellStyle name="表示済みのハイパーリンク" xfId="872" builtinId="9" hidden="1"/>
    <cellStyle name="表示済みのハイパーリンク" xfId="874" builtinId="9" hidden="1"/>
    <cellStyle name="表示済みのハイパーリンク" xfId="876" builtinId="9" hidden="1"/>
    <cellStyle name="表示済みのハイパーリンク" xfId="878" builtinId="9" hidden="1"/>
    <cellStyle name="表示済みのハイパーリンク" xfId="880" builtinId="9" hidden="1"/>
    <cellStyle name="表示済みのハイパーリンク" xfId="882" builtinId="9" hidden="1"/>
    <cellStyle name="表示済みのハイパーリンク" xfId="884" builtinId="9" hidden="1"/>
    <cellStyle name="表示済みのハイパーリンク" xfId="886" builtinId="9" hidden="1"/>
    <cellStyle name="表示済みのハイパーリンク" xfId="888" builtinId="9" hidden="1"/>
    <cellStyle name="表示済みのハイパーリンク" xfId="890" builtinId="9" hidden="1"/>
    <cellStyle name="表示済みのハイパーリンク" xfId="892" builtinId="9" hidden="1"/>
    <cellStyle name="表示済みのハイパーリンク" xfId="894" builtinId="9" hidden="1"/>
    <cellStyle name="表示済みのハイパーリンク" xfId="896" builtinId="9" hidden="1"/>
    <cellStyle name="表示済みのハイパーリンク" xfId="898" builtinId="9" hidden="1"/>
    <cellStyle name="表示済みのハイパーリンク" xfId="900" builtinId="9" hidden="1"/>
    <cellStyle name="表示済みのハイパーリンク" xfId="902" builtinId="9" hidden="1"/>
    <cellStyle name="表示済みのハイパーリンク" xfId="904" builtinId="9" hidden="1"/>
    <cellStyle name="表示済みのハイパーリンク" xfId="906" builtinId="9" hidden="1"/>
    <cellStyle name="表示済みのハイパーリンク" xfId="908" builtinId="9" hidden="1"/>
    <cellStyle name="表示済みのハイパーリンク" xfId="910" builtinId="9" hidden="1"/>
    <cellStyle name="表示済みのハイパーリンク" xfId="912" builtinId="9" hidden="1"/>
    <cellStyle name="表示済みのハイパーリンク" xfId="914" builtinId="9" hidden="1"/>
    <cellStyle name="表示済みのハイパーリンク" xfId="916" builtinId="9" hidden="1"/>
    <cellStyle name="表示済みのハイパーリンク" xfId="918" builtinId="9" hidden="1"/>
    <cellStyle name="表示済みのハイパーリンク" xfId="920" builtinId="9" hidden="1"/>
    <cellStyle name="表示済みのハイパーリンク" xfId="922" builtinId="9" hidden="1"/>
    <cellStyle name="表示済みのハイパーリンク" xfId="924" builtinId="9" hidden="1"/>
    <cellStyle name="表示済みのハイパーリンク" xfId="926" builtinId="9" hidden="1"/>
    <cellStyle name="表示済みのハイパーリンク" xfId="928" builtinId="9" hidden="1"/>
    <cellStyle name="表示済みのハイパーリンク" xfId="930" builtinId="9" hidden="1"/>
    <cellStyle name="表示済みのハイパーリンク" xfId="932" builtinId="9" hidden="1"/>
    <cellStyle name="表示済みのハイパーリンク" xfId="934" builtinId="9" hidden="1"/>
    <cellStyle name="表示済みのハイパーリンク" xfId="936" builtinId="9" hidden="1"/>
    <cellStyle name="表示済みのハイパーリンク" xfId="938" builtinId="9" hidden="1"/>
    <cellStyle name="表示済みのハイパーリンク" xfId="940" builtinId="9" hidden="1"/>
    <cellStyle name="表示済みのハイパーリンク" xfId="942" builtinId="9" hidden="1"/>
    <cellStyle name="表示済みのハイパーリンク" xfId="944" builtinId="9" hidden="1"/>
    <cellStyle name="表示済みのハイパーリンク" xfId="946" builtinId="9" hidden="1"/>
    <cellStyle name="表示済みのハイパーリンク" xfId="948" builtinId="9" hidden="1"/>
    <cellStyle name="表示済みのハイパーリンク" xfId="950" builtinId="9" hidden="1"/>
    <cellStyle name="表示済みのハイパーリンク" xfId="952" builtinId="9" hidden="1"/>
    <cellStyle name="表示済みのハイパーリンク" xfId="954" builtinId="9" hidden="1"/>
    <cellStyle name="表示済みのハイパーリンク" xfId="956" builtinId="9" hidden="1"/>
    <cellStyle name="表示済みのハイパーリンク" xfId="958" builtinId="9" hidden="1"/>
    <cellStyle name="表示済みのハイパーリンク" xfId="960" builtinId="9" hidden="1"/>
    <cellStyle name="表示済みのハイパーリンク" xfId="962" builtinId="9" hidden="1"/>
    <cellStyle name="表示済みのハイパーリンク" xfId="964" builtinId="9" hidden="1"/>
    <cellStyle name="表示済みのハイパーリンク" xfId="966" builtinId="9" hidden="1"/>
    <cellStyle name="表示済みのハイパーリンク" xfId="968" builtinId="9" hidden="1"/>
    <cellStyle name="表示済みのハイパーリンク" xfId="970" builtinId="9" hidden="1"/>
    <cellStyle name="表示済みのハイパーリンク" xfId="972" builtinId="9" hidden="1"/>
    <cellStyle name="表示済みのハイパーリンク" xfId="974" builtinId="9" hidden="1"/>
    <cellStyle name="表示済みのハイパーリンク" xfId="976" builtinId="9" hidden="1"/>
    <cellStyle name="表示済みのハイパーリンク" xfId="978" builtinId="9" hidden="1"/>
    <cellStyle name="表示済みのハイパーリンク" xfId="980" builtinId="9" hidden="1"/>
    <cellStyle name="表示済みのハイパーリンク" xfId="982" builtinId="9" hidden="1"/>
    <cellStyle name="表示済みのハイパーリンク" xfId="984" builtinId="9" hidden="1"/>
    <cellStyle name="表示済みのハイパーリンク" xfId="986" builtinId="9" hidden="1"/>
    <cellStyle name="表示済みのハイパーリンク" xfId="988" builtinId="9" hidden="1"/>
    <cellStyle name="表示済みのハイパーリンク" xfId="990" builtinId="9" hidden="1"/>
    <cellStyle name="表示済みのハイパーリンク" xfId="992" builtinId="9" hidden="1"/>
    <cellStyle name="表示済みのハイパーリンク" xfId="994" builtinId="9" hidden="1"/>
    <cellStyle name="表示済みのハイパーリンク" xfId="996" builtinId="9" hidden="1"/>
    <cellStyle name="表示済みのハイパーリンク" xfId="998" builtinId="9" hidden="1"/>
    <cellStyle name="表示済みのハイパーリンク" xfId="1000" builtinId="9" hidden="1"/>
    <cellStyle name="表示済みのハイパーリンク" xfId="1002" builtinId="9" hidden="1"/>
    <cellStyle name="表示済みのハイパーリンク" xfId="1004" builtinId="9" hidden="1"/>
    <cellStyle name="表示済みのハイパーリンク" xfId="1006" builtinId="9" hidden="1"/>
    <cellStyle name="表示済みのハイパーリンク" xfId="1008" builtinId="9" hidden="1"/>
    <cellStyle name="表示済みのハイパーリンク" xfId="1010" builtinId="9" hidden="1"/>
    <cellStyle name="表示済みのハイパーリンク" xfId="1012" builtinId="9" hidden="1"/>
    <cellStyle name="表示済みのハイパーリンク" xfId="1014" builtinId="9" hidden="1"/>
    <cellStyle name="表示済みのハイパーリンク" xfId="1016" builtinId="9" hidden="1"/>
    <cellStyle name="表示済みのハイパーリンク" xfId="1018" builtinId="9" hidden="1"/>
    <cellStyle name="表示済みのハイパーリンク" xfId="1020" builtinId="9" hidden="1"/>
    <cellStyle name="表示済みのハイパーリンク" xfId="1022" builtinId="9" hidden="1"/>
    <cellStyle name="表示済みのハイパーリンク" xfId="1024" builtinId="9" hidden="1"/>
    <cellStyle name="表示済みのハイパーリンク" xfId="1026" builtinId="9" hidden="1"/>
    <cellStyle name="表示済みのハイパーリンク" xfId="1028" builtinId="9" hidden="1"/>
    <cellStyle name="表示済みのハイパーリンク" xfId="1030" builtinId="9" hidden="1"/>
    <cellStyle name="表示済みのハイパーリンク" xfId="1032" builtinId="9" hidden="1"/>
    <cellStyle name="表示済みのハイパーリンク" xfId="1034" builtinId="9" hidden="1"/>
    <cellStyle name="表示済みのハイパーリンク" xfId="1036" builtinId="9" hidden="1"/>
    <cellStyle name="表示済みのハイパーリンク" xfId="1038" builtinId="9" hidden="1"/>
    <cellStyle name="表示済みのハイパーリンク" xfId="1040" builtinId="9" hidden="1"/>
    <cellStyle name="表示済みのハイパーリンク" xfId="1042" builtinId="9" hidden="1"/>
    <cellStyle name="表示済みのハイパーリンク" xfId="1044" builtinId="9" hidden="1"/>
    <cellStyle name="表示済みのハイパーリンク" xfId="1046" builtinId="9" hidden="1"/>
    <cellStyle name="表示済みのハイパーリンク" xfId="1048" builtinId="9" hidden="1"/>
    <cellStyle name="表示済みのハイパーリンク" xfId="1050" builtinId="9" hidden="1"/>
    <cellStyle name="表示済みのハイパーリンク" xfId="1052" builtinId="9" hidden="1"/>
    <cellStyle name="表示済みのハイパーリンク" xfId="1054" builtinId="9" hidden="1"/>
    <cellStyle name="表示済みのハイパーリンク" xfId="1056" builtinId="9" hidden="1"/>
    <cellStyle name="表示済みのハイパーリンク" xfId="1058" builtinId="9" hidden="1"/>
    <cellStyle name="表示済みのハイパーリンク" xfId="1060" builtinId="9" hidden="1"/>
    <cellStyle name="表示済みのハイパーリンク" xfId="1062" builtinId="9" hidden="1"/>
    <cellStyle name="表示済みのハイパーリンク" xfId="1064" builtinId="9" hidden="1"/>
    <cellStyle name="表示済みのハイパーリンク" xfId="1066" builtinId="9" hidden="1"/>
    <cellStyle name="表示済みのハイパーリンク" xfId="1068" builtinId="9" hidden="1"/>
    <cellStyle name="表示済みのハイパーリンク" xfId="1070" builtinId="9" hidden="1"/>
    <cellStyle name="表示済みのハイパーリンク" xfId="1072" builtinId="9" hidden="1"/>
    <cellStyle name="表示済みのハイパーリンク" xfId="1074" builtinId="9" hidden="1"/>
    <cellStyle name="表示済みのハイパーリンク" xfId="1076" builtinId="9" hidden="1"/>
    <cellStyle name="表示済みのハイパーリンク" xfId="1078" builtinId="9" hidden="1"/>
    <cellStyle name="表示済みのハイパーリンク" xfId="1080" builtinId="9" hidden="1"/>
    <cellStyle name="表示済みのハイパーリンク" xfId="1082" builtinId="9" hidden="1"/>
    <cellStyle name="表示済みのハイパーリンク" xfId="1084" builtinId="9" hidden="1"/>
    <cellStyle name="表示済みのハイパーリンク" xfId="1086" builtinId="9" hidden="1"/>
    <cellStyle name="表示済みのハイパーリンク" xfId="1088" builtinId="9" hidden="1"/>
    <cellStyle name="表示済みのハイパーリンク" xfId="1090" builtinId="9" hidden="1"/>
    <cellStyle name="表示済みのハイパーリンク" xfId="1092" builtinId="9" hidden="1"/>
    <cellStyle name="表示済みのハイパーリンク" xfId="1094" builtinId="9" hidden="1"/>
    <cellStyle name="表示済みのハイパーリンク" xfId="1096" builtinId="9" hidden="1"/>
    <cellStyle name="表示済みのハイパーリンク" xfId="1098" builtinId="9" hidden="1"/>
    <cellStyle name="表示済みのハイパーリンク" xfId="1100" builtinId="9" hidden="1"/>
    <cellStyle name="表示済みのハイパーリンク" xfId="1102" builtinId="9" hidden="1"/>
    <cellStyle name="表示済みのハイパーリンク" xfId="1104" builtinId="9" hidden="1"/>
    <cellStyle name="表示済みのハイパーリンク" xfId="1106" builtinId="9" hidden="1"/>
    <cellStyle name="表示済みのハイパーリンク" xfId="1108" builtinId="9" hidden="1"/>
    <cellStyle name="表示済みのハイパーリンク" xfId="1110" builtinId="9" hidden="1"/>
    <cellStyle name="表示済みのハイパーリンク" xfId="1112" builtinId="9" hidden="1"/>
    <cellStyle name="表示済みのハイパーリンク" xfId="1114" builtinId="9" hidden="1"/>
    <cellStyle name="表示済みのハイパーリンク" xfId="1116" builtinId="9" hidden="1"/>
    <cellStyle name="表示済みのハイパーリンク" xfId="1118" builtinId="9" hidden="1"/>
    <cellStyle name="表示済みのハイパーリンク" xfId="1120" builtinId="9" hidden="1"/>
    <cellStyle name="表示済みのハイパーリンク" xfId="1122" builtinId="9" hidden="1"/>
    <cellStyle name="表示済みのハイパーリンク" xfId="1124" builtinId="9" hidden="1"/>
    <cellStyle name="表示済みのハイパーリンク" xfId="1126" builtinId="9" hidden="1"/>
    <cellStyle name="表示済みのハイパーリンク" xfId="1128" builtinId="9" hidden="1"/>
    <cellStyle name="表示済みのハイパーリンク" xfId="1130" builtinId="9" hidden="1"/>
    <cellStyle name="表示済みのハイパーリンク" xfId="1132" builtinId="9" hidden="1"/>
    <cellStyle name="表示済みのハイパーリンク" xfId="1134" builtinId="9" hidden="1"/>
    <cellStyle name="表示済みのハイパーリンク" xfId="1136" builtinId="9" hidden="1"/>
    <cellStyle name="表示済みのハイパーリンク" xfId="1138" builtinId="9" hidden="1"/>
    <cellStyle name="表示済みのハイパーリンク" xfId="1140" builtinId="9" hidden="1"/>
    <cellStyle name="表示済みのハイパーリンク" xfId="1142" builtinId="9" hidden="1"/>
    <cellStyle name="表示済みのハイパーリンク" xfId="1144" builtinId="9" hidden="1"/>
    <cellStyle name="表示済みのハイパーリンク" xfId="1146" builtinId="9" hidden="1"/>
    <cellStyle name="表示済みのハイパーリンク" xfId="1148" builtinId="9" hidden="1"/>
    <cellStyle name="表示済みのハイパーリンク" xfId="1150" builtinId="9" hidden="1"/>
    <cellStyle name="表示済みのハイパーリンク" xfId="1152" builtinId="9" hidden="1"/>
    <cellStyle name="表示済みのハイパーリンク" xfId="1154" builtinId="9" hidden="1"/>
    <cellStyle name="表示済みのハイパーリンク" xfId="1156" builtinId="9" hidden="1"/>
    <cellStyle name="表示済みのハイパーリンク" xfId="1158" builtinId="9" hidden="1"/>
    <cellStyle name="表示済みのハイパーリンク" xfId="1160" builtinId="9" hidden="1"/>
    <cellStyle name="表示済みのハイパーリンク" xfId="1162" builtinId="9" hidden="1"/>
    <cellStyle name="表示済みのハイパーリンク" xfId="1164" builtinId="9" hidden="1"/>
    <cellStyle name="表示済みのハイパーリンク" xfId="1166" builtinId="9" hidden="1"/>
    <cellStyle name="表示済みのハイパーリンク" xfId="1168" builtinId="9" hidden="1"/>
    <cellStyle name="表示済みのハイパーリンク" xfId="1170" builtinId="9" hidden="1"/>
    <cellStyle name="表示済みのハイパーリンク" xfId="1172" builtinId="9" hidden="1"/>
    <cellStyle name="表示済みのハイパーリンク" xfId="1174" builtinId="9" hidden="1"/>
    <cellStyle name="表示済みのハイパーリンク" xfId="1176" builtinId="9" hidden="1"/>
    <cellStyle name="表示済みのハイパーリンク" xfId="1178" builtinId="9" hidden="1"/>
    <cellStyle name="表示済みのハイパーリンク" xfId="1180" builtinId="9" hidden="1"/>
    <cellStyle name="表示済みのハイパーリンク" xfId="1182" builtinId="9" hidden="1"/>
    <cellStyle name="表示済みのハイパーリンク" xfId="1184" builtinId="9" hidden="1"/>
    <cellStyle name="表示済みのハイパーリンク" xfId="1186" builtinId="9" hidden="1"/>
    <cellStyle name="表示済みのハイパーリンク" xfId="1188" builtinId="9" hidden="1"/>
    <cellStyle name="表示済みのハイパーリンク" xfId="1190" builtinId="9" hidden="1"/>
    <cellStyle name="表示済みのハイパーリンク" xfId="1192" builtinId="9" hidden="1"/>
    <cellStyle name="表示済みのハイパーリンク" xfId="1194" builtinId="9" hidden="1"/>
    <cellStyle name="表示済みのハイパーリンク" xfId="1196" builtinId="9" hidden="1"/>
    <cellStyle name="表示済みのハイパーリンク" xfId="1198" builtinId="9" hidden="1"/>
    <cellStyle name="表示済みのハイパーリンク" xfId="1200" builtinId="9" hidden="1"/>
    <cellStyle name="表示済みのハイパーリンク" xfId="1202" builtinId="9" hidden="1"/>
    <cellStyle name="表示済みのハイパーリンク" xfId="1204" builtinId="9" hidden="1"/>
    <cellStyle name="表示済みのハイパーリンク" xfId="1206" builtinId="9" hidden="1"/>
    <cellStyle name="表示済みのハイパーリンク" xfId="1208" builtinId="9" hidden="1"/>
    <cellStyle name="表示済みのハイパーリンク" xfId="1210" builtinId="9" hidden="1"/>
    <cellStyle name="表示済みのハイパーリンク" xfId="1212" builtinId="9" hidden="1"/>
    <cellStyle name="表示済みのハイパーリンク" xfId="1214" builtinId="9" hidden="1"/>
    <cellStyle name="表示済みのハイパーリンク" xfId="1216" builtinId="9" hidden="1"/>
    <cellStyle name="表示済みのハイパーリンク" xfId="1218" builtinId="9" hidden="1"/>
    <cellStyle name="表示済みのハイパーリンク" xfId="1220" builtinId="9" hidden="1"/>
    <cellStyle name="表示済みのハイパーリンク" xfId="1222" builtinId="9" hidden="1"/>
    <cellStyle name="表示済みのハイパーリンク" xfId="1224" builtinId="9" hidden="1"/>
    <cellStyle name="表示済みのハイパーリンク" xfId="1226" builtinId="9" hidden="1"/>
    <cellStyle name="表示済みのハイパーリンク" xfId="1228" builtinId="9" hidden="1"/>
    <cellStyle name="表示済みのハイパーリンク" xfId="1230" builtinId="9" hidden="1"/>
    <cellStyle name="表示済みのハイパーリンク" xfId="1232" builtinId="9" hidden="1"/>
    <cellStyle name="表示済みのハイパーリンク" xfId="1234" builtinId="9" hidden="1"/>
    <cellStyle name="表示済みのハイパーリンク" xfId="1236" builtinId="9" hidden="1"/>
    <cellStyle name="表示済みのハイパーリンク" xfId="1238" builtinId="9" hidden="1"/>
    <cellStyle name="表示済みのハイパーリンク" xfId="1240" builtinId="9" hidden="1"/>
    <cellStyle name="表示済みのハイパーリンク" xfId="1242" builtinId="9" hidden="1"/>
    <cellStyle name="表示済みのハイパーリンク" xfId="1244" builtinId="9" hidden="1"/>
    <cellStyle name="表示済みのハイパーリンク" xfId="1246" builtinId="9" hidden="1"/>
    <cellStyle name="表示済みのハイパーリンク" xfId="1248" builtinId="9" hidden="1"/>
    <cellStyle name="表示済みのハイパーリンク" xfId="1250" builtinId="9" hidden="1"/>
    <cellStyle name="表示済みのハイパーリンク" xfId="1252" builtinId="9" hidden="1"/>
    <cellStyle name="表示済みのハイパーリンク" xfId="1254" builtinId="9" hidden="1"/>
    <cellStyle name="表示済みのハイパーリンク" xfId="1256" builtinId="9" hidden="1"/>
    <cellStyle name="表示済みのハイパーリンク" xfId="1258" builtinId="9" hidden="1"/>
    <cellStyle name="表示済みのハイパーリンク" xfId="1260" builtinId="9" hidden="1"/>
    <cellStyle name="表示済みのハイパーリンク" xfId="1262" builtinId="9" hidden="1"/>
    <cellStyle name="表示済みのハイパーリンク" xfId="1264" builtinId="9" hidden="1"/>
    <cellStyle name="表示済みのハイパーリンク" xfId="1266" builtinId="9" hidden="1"/>
    <cellStyle name="表示済みのハイパーリンク" xfId="1268" builtinId="9" hidden="1"/>
    <cellStyle name="表示済みのハイパーリンク" xfId="1270" builtinId="9" hidden="1"/>
    <cellStyle name="表示済みのハイパーリンク" xfId="1272" builtinId="9" hidden="1"/>
    <cellStyle name="表示済みのハイパーリンク" xfId="1274" builtinId="9" hidden="1"/>
    <cellStyle name="表示済みのハイパーリンク" xfId="1276" builtinId="9" hidden="1"/>
    <cellStyle name="表示済みのハイパーリンク" xfId="1278" builtinId="9" hidden="1"/>
    <cellStyle name="表示済みのハイパーリンク" xfId="1280" builtinId="9" hidden="1"/>
    <cellStyle name="表示済みのハイパーリンク" xfId="1282" builtinId="9" hidden="1"/>
    <cellStyle name="表示済みのハイパーリンク" xfId="1284" builtinId="9" hidden="1"/>
    <cellStyle name="表示済みのハイパーリンク" xfId="1286" builtinId="9" hidden="1"/>
    <cellStyle name="表示済みのハイパーリンク" xfId="1288" builtinId="9" hidden="1"/>
    <cellStyle name="表示済みのハイパーリンク" xfId="1290" builtinId="9" hidden="1"/>
    <cellStyle name="表示済みのハイパーリンク" xfId="1292" builtinId="9" hidden="1"/>
    <cellStyle name="表示済みのハイパーリンク" xfId="1294" builtinId="9" hidden="1"/>
    <cellStyle name="表示済みのハイパーリンク" xfId="1296" builtinId="9" hidden="1"/>
    <cellStyle name="表示済みのハイパーリンク" xfId="1298" builtinId="9" hidden="1"/>
    <cellStyle name="表示済みのハイパーリンク" xfId="1300" builtinId="9" hidden="1"/>
    <cellStyle name="表示済みのハイパーリンク" xfId="1302" builtinId="9" hidden="1"/>
    <cellStyle name="表示済みのハイパーリンク" xfId="1304" builtinId="9" hidden="1"/>
    <cellStyle name="表示済みのハイパーリンク" xfId="1306" builtinId="9" hidden="1"/>
    <cellStyle name="表示済みのハイパーリンク" xfId="1308" builtinId="9" hidden="1"/>
    <cellStyle name="表示済みのハイパーリンク" xfId="1310" builtinId="9" hidden="1"/>
    <cellStyle name="表示済みのハイパーリンク" xfId="1312" builtinId="9" hidden="1"/>
    <cellStyle name="表示済みのハイパーリンク" xfId="1314" builtinId="9" hidden="1"/>
    <cellStyle name="表示済みのハイパーリンク" xfId="1316" builtinId="9" hidden="1"/>
    <cellStyle name="表示済みのハイパーリンク" xfId="1318" builtinId="9" hidden="1"/>
    <cellStyle name="表示済みのハイパーリンク" xfId="1320" builtinId="9" hidden="1"/>
    <cellStyle name="表示済みのハイパーリンク" xfId="1322" builtinId="9" hidden="1"/>
    <cellStyle name="表示済みのハイパーリンク" xfId="1324" builtinId="9" hidden="1"/>
    <cellStyle name="表示済みのハイパーリンク" xfId="1326" builtinId="9" hidden="1"/>
    <cellStyle name="表示済みのハイパーリンク" xfId="1328" builtinId="9" hidden="1"/>
    <cellStyle name="表示済みのハイパーリンク" xfId="1330" builtinId="9" hidden="1"/>
    <cellStyle name="表示済みのハイパーリンク" xfId="1332" builtinId="9" hidden="1"/>
    <cellStyle name="表示済みのハイパーリンク" xfId="1334" builtinId="9" hidden="1"/>
    <cellStyle name="表示済みのハイパーリンク" xfId="1336" builtinId="9" hidden="1"/>
    <cellStyle name="表示済みのハイパーリンク" xfId="1338" builtinId="9" hidden="1"/>
    <cellStyle name="表示済みのハイパーリンク" xfId="1340" builtinId="9" hidden="1"/>
    <cellStyle name="表示済みのハイパーリンク" xfId="1342" builtinId="9" hidden="1"/>
    <cellStyle name="表示済みのハイパーリンク" xfId="1344" builtinId="9" hidden="1"/>
    <cellStyle name="表示済みのハイパーリンク" xfId="1346" builtinId="9" hidden="1"/>
    <cellStyle name="表示済みのハイパーリンク" xfId="1348" builtinId="9" hidden="1"/>
    <cellStyle name="表示済みのハイパーリンク" xfId="1350" builtinId="9" hidden="1"/>
    <cellStyle name="表示済みのハイパーリンク" xfId="1352" builtinId="9" hidden="1"/>
    <cellStyle name="表示済みのハイパーリンク" xfId="1354" builtinId="9" hidden="1"/>
    <cellStyle name="表示済みのハイパーリンク" xfId="1356" builtinId="9" hidden="1"/>
    <cellStyle name="表示済みのハイパーリンク" xfId="1358" builtinId="9" hidden="1"/>
    <cellStyle name="表示済みのハイパーリンク" xfId="1360" builtinId="9" hidden="1"/>
    <cellStyle name="表示済みのハイパーリンク" xfId="1362" builtinId="9" hidden="1"/>
    <cellStyle name="表示済みのハイパーリンク" xfId="1364" builtinId="9" hidden="1"/>
    <cellStyle name="表示済みのハイパーリンク" xfId="1366" builtinId="9" hidden="1"/>
    <cellStyle name="表示済みのハイパーリンク" xfId="1368" builtinId="9" hidden="1"/>
    <cellStyle name="表示済みのハイパーリンク" xfId="1370" builtinId="9" hidden="1"/>
    <cellStyle name="表示済みのハイパーリンク" xfId="1372" builtinId="9" hidden="1"/>
    <cellStyle name="表示済みのハイパーリンク" xfId="1374" builtinId="9" hidden="1"/>
    <cellStyle name="表示済みのハイパーリンク" xfId="1376" builtinId="9" hidden="1"/>
    <cellStyle name="表示済みのハイパーリンク" xfId="1378" builtinId="9" hidden="1"/>
    <cellStyle name="表示済みのハイパーリンク" xfId="1380" builtinId="9" hidden="1"/>
    <cellStyle name="表示済みのハイパーリンク" xfId="1382" builtinId="9" hidden="1"/>
    <cellStyle name="表示済みのハイパーリンク" xfId="1384" builtinId="9" hidden="1"/>
    <cellStyle name="表示済みのハイパーリンク" xfId="1386" builtinId="9" hidden="1"/>
    <cellStyle name="表示済みのハイパーリンク" xfId="1388" builtinId="9" hidden="1"/>
    <cellStyle name="表示済みのハイパーリンク" xfId="1390" builtinId="9" hidden="1"/>
    <cellStyle name="表示済みのハイパーリンク" xfId="1392" builtinId="9" hidden="1"/>
    <cellStyle name="表示済みのハイパーリンク" xfId="1394" builtinId="9" hidden="1"/>
    <cellStyle name="表示済みのハイパーリンク" xfId="1396" builtinId="9" hidden="1"/>
    <cellStyle name="表示済みのハイパーリンク" xfId="1398" builtinId="9" hidden="1"/>
    <cellStyle name="表示済みのハイパーリンク" xfId="1400" builtinId="9" hidden="1"/>
    <cellStyle name="表示済みのハイパーリンク" xfId="1402" builtinId="9" hidden="1"/>
    <cellStyle name="表示済みのハイパーリンク" xfId="1404" builtinId="9" hidden="1"/>
    <cellStyle name="表示済みのハイパーリンク" xfId="1406" builtinId="9" hidden="1"/>
    <cellStyle name="表示済みのハイパーリンク" xfId="1408" builtinId="9" hidden="1"/>
    <cellStyle name="表示済みのハイパーリンク" xfId="1410" builtinId="9" hidden="1"/>
    <cellStyle name="表示済みのハイパーリンク" xfId="1412" builtinId="9" hidden="1"/>
    <cellStyle name="表示済みのハイパーリンク" xfId="1414" builtinId="9" hidden="1"/>
    <cellStyle name="表示済みのハイパーリンク" xfId="1416" builtinId="9" hidden="1"/>
    <cellStyle name="表示済みのハイパーリンク" xfId="1418" builtinId="9" hidden="1"/>
    <cellStyle name="表示済みのハイパーリンク" xfId="1420" builtinId="9" hidden="1"/>
    <cellStyle name="表示済みのハイパーリンク" xfId="1422" builtinId="9" hidden="1"/>
    <cellStyle name="表示済みのハイパーリンク" xfId="1424" builtinId="9" hidden="1"/>
    <cellStyle name="表示済みのハイパーリンク" xfId="1426" builtinId="9" hidden="1"/>
    <cellStyle name="表示済みのハイパーリンク" xfId="1428" builtinId="9" hidden="1"/>
    <cellStyle name="表示済みのハイパーリンク" xfId="1430" builtinId="9" hidden="1"/>
    <cellStyle name="表示済みのハイパーリンク" xfId="1432" builtinId="9" hidden="1"/>
    <cellStyle name="表示済みのハイパーリンク" xfId="1434" builtinId="9" hidden="1"/>
    <cellStyle name="表示済みのハイパーリンク" xfId="1436" builtinId="9" hidden="1"/>
    <cellStyle name="表示済みのハイパーリンク" xfId="1438" builtinId="9" hidden="1"/>
    <cellStyle name="表示済みのハイパーリンク" xfId="1440" builtinId="9" hidden="1"/>
    <cellStyle name="表示済みのハイパーリンク" xfId="1442" builtinId="9" hidden="1"/>
    <cellStyle name="表示済みのハイパーリンク" xfId="1444" builtinId="9" hidden="1"/>
    <cellStyle name="表示済みのハイパーリンク" xfId="1446" builtinId="9" hidden="1"/>
    <cellStyle name="表示済みのハイパーリンク" xfId="1448" builtinId="9" hidden="1"/>
    <cellStyle name="表示済みのハイパーリンク" xfId="1450" builtinId="9" hidden="1"/>
    <cellStyle name="表示済みのハイパーリンク" xfId="1452" builtinId="9" hidden="1"/>
    <cellStyle name="表示済みのハイパーリンク" xfId="1454" builtinId="9" hidden="1"/>
    <cellStyle name="表示済みのハイパーリンク" xfId="1456" builtinId="9" hidden="1"/>
    <cellStyle name="表示済みのハイパーリンク" xfId="1458" builtinId="9" hidden="1"/>
    <cellStyle name="表示済みのハイパーリンク" xfId="1460" builtinId="9" hidden="1"/>
    <cellStyle name="表示済みのハイパーリンク" xfId="1462" builtinId="9" hidden="1"/>
    <cellStyle name="表示済みのハイパーリンク" xfId="1464" builtinId="9" hidden="1"/>
    <cellStyle name="表示済みのハイパーリンク" xfId="1466" builtinId="9" hidden="1"/>
    <cellStyle name="表示済みのハイパーリンク" xfId="1468" builtinId="9" hidden="1"/>
    <cellStyle name="表示済みのハイパーリンク" xfId="1470" builtinId="9" hidden="1"/>
    <cellStyle name="表示済みのハイパーリンク" xfId="1472" builtinId="9" hidden="1"/>
    <cellStyle name="表示済みのハイパーリンク" xfId="1474" builtinId="9" hidden="1"/>
    <cellStyle name="表示済みのハイパーリンク" xfId="1476" builtinId="9" hidden="1"/>
    <cellStyle name="表示済みのハイパーリンク" xfId="1478" builtinId="9" hidden="1"/>
    <cellStyle name="表示済みのハイパーリンク" xfId="1480" builtinId="9" hidden="1"/>
    <cellStyle name="表示済みのハイパーリンク" xfId="1482" builtinId="9" hidden="1"/>
    <cellStyle name="表示済みのハイパーリンク" xfId="1484" builtinId="9" hidden="1"/>
    <cellStyle name="表示済みのハイパーリンク" xfId="1486" builtinId="9" hidden="1"/>
    <cellStyle name="表示済みのハイパーリンク" xfId="1488" builtinId="9" hidden="1"/>
    <cellStyle name="表示済みのハイパーリンク" xfId="1490" builtinId="9" hidden="1"/>
    <cellStyle name="表示済みのハイパーリンク" xfId="1492" builtinId="9" hidden="1"/>
    <cellStyle name="表示済みのハイパーリンク" xfId="1494" builtinId="9" hidden="1"/>
    <cellStyle name="表示済みのハイパーリンク" xfId="1496" builtinId="9" hidden="1"/>
    <cellStyle name="表示済みのハイパーリンク" xfId="1498" builtinId="9" hidden="1"/>
    <cellStyle name="表示済みのハイパーリンク" xfId="1500" builtinId="9" hidden="1"/>
    <cellStyle name="表示済みのハイパーリンク" xfId="1502" builtinId="9" hidden="1"/>
    <cellStyle name="表示済みのハイパーリンク" xfId="1504" builtinId="9" hidden="1"/>
    <cellStyle name="表示済みのハイパーリンク" xfId="1506" builtinId="9" hidden="1"/>
    <cellStyle name="表示済みのハイパーリンク" xfId="1508" builtinId="9" hidden="1"/>
    <cellStyle name="表示済みのハイパーリンク" xfId="1510" builtinId="9" hidden="1"/>
    <cellStyle name="表示済みのハイパーリンク" xfId="1512" builtinId="9" hidden="1"/>
    <cellStyle name="表示済みのハイパーリンク" xfId="1514" builtinId="9" hidden="1"/>
    <cellStyle name="表示済みのハイパーリンク" xfId="1516" builtinId="9" hidden="1"/>
    <cellStyle name="表示済みのハイパーリンク" xfId="1518" builtinId="9" hidden="1"/>
    <cellStyle name="表示済みのハイパーリンク" xfId="1520" builtinId="9" hidden="1"/>
    <cellStyle name="表示済みのハイパーリンク" xfId="1522" builtinId="9" hidden="1"/>
    <cellStyle name="表示済みのハイパーリンク" xfId="1524" builtinId="9" hidden="1"/>
    <cellStyle name="表示済みのハイパーリンク" xfId="1526" builtinId="9" hidden="1"/>
    <cellStyle name="表示済みのハイパーリンク" xfId="1528" builtinId="9" hidden="1"/>
    <cellStyle name="表示済みのハイパーリンク" xfId="1530" builtinId="9" hidden="1"/>
    <cellStyle name="表示済みのハイパーリンク" xfId="1532" builtinId="9" hidden="1"/>
    <cellStyle name="表示済みのハイパーリンク" xfId="1534" builtinId="9" hidden="1"/>
    <cellStyle name="表示済みのハイパーリンク" xfId="1536" builtinId="9" hidden="1"/>
    <cellStyle name="表示済みのハイパーリンク" xfId="1538" builtinId="9" hidden="1"/>
    <cellStyle name="表示済みのハイパーリンク" xfId="1540" builtinId="9" hidden="1"/>
    <cellStyle name="表示済みのハイパーリンク" xfId="1542" builtinId="9" hidden="1"/>
    <cellStyle name="表示済みのハイパーリンク" xfId="1544" builtinId="9" hidden="1"/>
    <cellStyle name="表示済みのハイパーリンク" xfId="1546" builtinId="9" hidden="1"/>
    <cellStyle name="表示済みのハイパーリンク" xfId="1548" builtinId="9" hidden="1"/>
    <cellStyle name="表示済みのハイパーリンク" xfId="1550" builtinId="9" hidden="1"/>
    <cellStyle name="表示済みのハイパーリンク" xfId="1552" builtinId="9" hidden="1"/>
    <cellStyle name="表示済みのハイパーリンク" xfId="1554" builtinId="9" hidden="1"/>
    <cellStyle name="表示済みのハイパーリンク" xfId="1556" builtinId="9" hidden="1"/>
    <cellStyle name="表示済みのハイパーリンク" xfId="1558" builtinId="9" hidden="1"/>
    <cellStyle name="表示済みのハイパーリンク" xfId="1560" builtinId="9" hidden="1"/>
    <cellStyle name="表示済みのハイパーリンク" xfId="1562" builtinId="9" hidden="1"/>
    <cellStyle name="表示済みのハイパーリンク" xfId="1564" builtinId="9" hidden="1"/>
    <cellStyle name="表示済みのハイパーリンク" xfId="1566" builtinId="9" hidden="1"/>
    <cellStyle name="表示済みのハイパーリンク" xfId="1568" builtinId="9" hidden="1"/>
    <cellStyle name="表示済みのハイパーリンク" xfId="1570" builtinId="9" hidden="1"/>
    <cellStyle name="表示済みのハイパーリンク" xfId="1572" builtinId="9" hidden="1"/>
    <cellStyle name="表示済みのハイパーリンク" xfId="1574" builtinId="9" hidden="1"/>
    <cellStyle name="表示済みのハイパーリンク" xfId="1576" builtinId="9" hidden="1"/>
    <cellStyle name="表示済みのハイパーリンク" xfId="1578" builtinId="9" hidden="1"/>
    <cellStyle name="表示済みのハイパーリンク" xfId="1580" builtinId="9" hidden="1"/>
    <cellStyle name="表示済みのハイパーリンク" xfId="1582" builtinId="9" hidden="1"/>
    <cellStyle name="表示済みのハイパーリンク" xfId="1584" builtinId="9" hidden="1"/>
    <cellStyle name="表示済みのハイパーリンク" xfId="1586" builtinId="9" hidden="1"/>
    <cellStyle name="表示済みのハイパーリンク" xfId="1588" builtinId="9" hidden="1"/>
    <cellStyle name="表示済みのハイパーリンク" xfId="1590" builtinId="9" hidden="1"/>
    <cellStyle name="表示済みのハイパーリンク" xfId="1592" builtinId="9" hidden="1"/>
    <cellStyle name="表示済みのハイパーリンク" xfId="1594" builtinId="9" hidden="1"/>
    <cellStyle name="表示済みのハイパーリンク" xfId="1596" builtinId="9" hidden="1"/>
    <cellStyle name="表示済みのハイパーリンク" xfId="1598" builtinId="9" hidden="1"/>
    <cellStyle name="表示済みのハイパーリンク" xfId="1600" builtinId="9" hidden="1"/>
    <cellStyle name="表示済みのハイパーリンク" xfId="1602" builtinId="9" hidden="1"/>
    <cellStyle name="表示済みのハイパーリンク" xfId="1604" builtinId="9" hidden="1"/>
    <cellStyle name="表示済みのハイパーリンク" xfId="1606" builtinId="9" hidden="1"/>
    <cellStyle name="表示済みのハイパーリンク" xfId="1608" builtinId="9" hidden="1"/>
    <cellStyle name="表示済みのハイパーリンク" xfId="1610" builtinId="9" hidden="1"/>
    <cellStyle name="表示済みのハイパーリンク" xfId="1612" builtinId="9" hidden="1"/>
    <cellStyle name="表示済みのハイパーリンク" xfId="1614" builtinId="9" hidden="1"/>
    <cellStyle name="表示済みのハイパーリンク" xfId="1616" builtinId="9" hidden="1"/>
    <cellStyle name="表示済みのハイパーリンク" xfId="1618" builtinId="9" hidden="1"/>
    <cellStyle name="表示済みのハイパーリンク" xfId="1620" builtinId="9" hidden="1"/>
    <cellStyle name="表示済みのハイパーリンク" xfId="1622" builtinId="9" hidden="1"/>
    <cellStyle name="表示済みのハイパーリンク" xfId="1624" builtinId="9" hidden="1"/>
    <cellStyle name="表示済みのハイパーリンク" xfId="1626" builtinId="9" hidden="1"/>
    <cellStyle name="表示済みのハイパーリンク" xfId="1628" builtinId="9" hidden="1"/>
    <cellStyle name="表示済みのハイパーリンク" xfId="1630" builtinId="9" hidden="1"/>
    <cellStyle name="表示済みのハイパーリンク" xfId="1632" builtinId="9" hidden="1"/>
    <cellStyle name="表示済みのハイパーリンク" xfId="1634" builtinId="9" hidden="1"/>
    <cellStyle name="表示済みのハイパーリンク" xfId="1636" builtinId="9" hidden="1"/>
    <cellStyle name="表示済みのハイパーリンク" xfId="1638" builtinId="9" hidden="1"/>
    <cellStyle name="表示済みのハイパーリンク" xfId="1640" builtinId="9" hidden="1"/>
    <cellStyle name="表示済みのハイパーリンク" xfId="1642" builtinId="9" hidden="1"/>
    <cellStyle name="表示済みのハイパーリンク" xfId="1644" builtinId="9" hidden="1"/>
    <cellStyle name="表示済みのハイパーリンク" xfId="1646" builtinId="9" hidden="1"/>
    <cellStyle name="表示済みのハイパーリンク" xfId="1648" builtinId="9" hidden="1"/>
    <cellStyle name="表示済みのハイパーリンク" xfId="1650" builtinId="9" hidden="1"/>
    <cellStyle name="表示済みのハイパーリンク" xfId="1652" builtinId="9" hidden="1"/>
    <cellStyle name="表示済みのハイパーリンク" xfId="1654" builtinId="9" hidden="1"/>
    <cellStyle name="表示済みのハイパーリンク" xfId="1656" builtinId="9" hidden="1"/>
    <cellStyle name="表示済みのハイパーリンク" xfId="1658" builtinId="9" hidden="1"/>
    <cellStyle name="表示済みのハイパーリンク" xfId="1660" builtinId="9" hidden="1"/>
    <cellStyle name="表示済みのハイパーリンク" xfId="1662" builtinId="9" hidden="1"/>
    <cellStyle name="表示済みのハイパーリンク" xfId="1664" builtinId="9" hidden="1"/>
    <cellStyle name="表示済みのハイパーリンク" xfId="1666" builtinId="9" hidden="1"/>
    <cellStyle name="表示済みのハイパーリンク" xfId="1668" builtinId="9" hidden="1"/>
    <cellStyle name="表示済みのハイパーリンク" xfId="1670" builtinId="9" hidden="1"/>
    <cellStyle name="表示済みのハイパーリンク" xfId="1672" builtinId="9" hidden="1"/>
    <cellStyle name="表示済みのハイパーリンク" xfId="1674" builtinId="9" hidden="1"/>
    <cellStyle name="表示済みのハイパーリンク" xfId="1676" builtinId="9" hidden="1"/>
    <cellStyle name="表示済みのハイパーリンク" xfId="1678" builtinId="9" hidden="1"/>
    <cellStyle name="表示済みのハイパーリンク" xfId="1680" builtinId="9" hidden="1"/>
    <cellStyle name="表示済みのハイパーリンク" xfId="1682" builtinId="9" hidden="1"/>
    <cellStyle name="表示済みのハイパーリンク" xfId="1684" builtinId="9" hidden="1"/>
    <cellStyle name="表示済みのハイパーリンク" xfId="1686" builtinId="9" hidden="1"/>
    <cellStyle name="表示済みのハイパーリンク" xfId="1688" builtinId="9" hidden="1"/>
    <cellStyle name="表示済みのハイパーリンク" xfId="1690" builtinId="9" hidden="1"/>
    <cellStyle name="表示済みのハイパーリンク" xfId="1692" builtinId="9" hidden="1"/>
    <cellStyle name="表示済みのハイパーリンク" xfId="1694" builtinId="9" hidden="1"/>
    <cellStyle name="表示済みのハイパーリンク" xfId="1696" builtinId="9" hidden="1"/>
    <cellStyle name="表示済みのハイパーリンク" xfId="1698" builtinId="9" hidden="1"/>
    <cellStyle name="表示済みのハイパーリンク" xfId="1700" builtinId="9" hidden="1"/>
    <cellStyle name="表示済みのハイパーリンク" xfId="1702" builtinId="9" hidden="1"/>
    <cellStyle name="表示済みのハイパーリンク" xfId="1704" builtinId="9" hidden="1"/>
    <cellStyle name="表示済みのハイパーリンク" xfId="1706" builtinId="9" hidden="1"/>
    <cellStyle name="表示済みのハイパーリンク" xfId="1708" builtinId="9" hidden="1"/>
    <cellStyle name="表示済みのハイパーリンク" xfId="1710" builtinId="9" hidden="1"/>
    <cellStyle name="表示済みのハイパーリンク" xfId="1712" builtinId="9" hidden="1"/>
    <cellStyle name="表示済みのハイパーリンク" xfId="1714" builtinId="9" hidden="1"/>
    <cellStyle name="表示済みのハイパーリンク" xfId="1716" builtinId="9" hidden="1"/>
    <cellStyle name="表示済みのハイパーリンク" xfId="1718" builtinId="9" hidden="1"/>
    <cellStyle name="表示済みのハイパーリンク" xfId="1720" builtinId="9" hidden="1"/>
    <cellStyle name="表示済みのハイパーリンク" xfId="1722" builtinId="9" hidden="1"/>
    <cellStyle name="表示済みのハイパーリンク" xfId="1724" builtinId="9" hidden="1"/>
    <cellStyle name="表示済みのハイパーリンク" xfId="1726" builtinId="9" hidden="1"/>
    <cellStyle name="表示済みのハイパーリンク" xfId="1728" builtinId="9" hidden="1"/>
    <cellStyle name="表示済みのハイパーリンク" xfId="1730" builtinId="9" hidden="1"/>
    <cellStyle name="表示済みのハイパーリンク" xfId="1732" builtinId="9" hidden="1"/>
    <cellStyle name="表示済みのハイパーリンク" xfId="1734" builtinId="9" hidden="1"/>
    <cellStyle name="表示済みのハイパーリンク" xfId="1736" builtinId="9" hidden="1"/>
    <cellStyle name="表示済みのハイパーリンク" xfId="1738" builtinId="9" hidden="1"/>
    <cellStyle name="表示済みのハイパーリンク" xfId="1740" builtinId="9" hidden="1"/>
    <cellStyle name="表示済みのハイパーリンク" xfId="1742" builtinId="9" hidden="1"/>
    <cellStyle name="表示済みのハイパーリンク" xfId="1744" builtinId="9" hidden="1"/>
    <cellStyle name="表示済みのハイパーリンク" xfId="1746" builtinId="9" hidden="1"/>
    <cellStyle name="表示済みのハイパーリンク" xfId="1748" builtinId="9" hidden="1"/>
    <cellStyle name="表示済みのハイパーリンク" xfId="1750" builtinId="9" hidden="1"/>
    <cellStyle name="表示済みのハイパーリンク" xfId="1752" builtinId="9" hidden="1"/>
    <cellStyle name="表示済みのハイパーリンク" xfId="1754" builtinId="9" hidden="1"/>
    <cellStyle name="表示済みのハイパーリンク" xfId="1756" builtinId="9" hidden="1"/>
    <cellStyle name="表示済みのハイパーリンク" xfId="1758" builtinId="9" hidden="1"/>
    <cellStyle name="表示済みのハイパーリンク" xfId="1760" builtinId="9" hidden="1"/>
    <cellStyle name="表示済みのハイパーリンク" xfId="1762" builtinId="9" hidden="1"/>
    <cellStyle name="表示済みのハイパーリンク" xfId="1764" builtinId="9" hidden="1"/>
    <cellStyle name="表示済みのハイパーリンク" xfId="1766" builtinId="9" hidden="1"/>
    <cellStyle name="表示済みのハイパーリンク" xfId="1768" builtinId="9" hidden="1"/>
    <cellStyle name="表示済みのハイパーリンク" xfId="1770" builtinId="9" hidden="1"/>
    <cellStyle name="表示済みのハイパーリンク" xfId="1772" builtinId="9" hidden="1"/>
    <cellStyle name="表示済みのハイパーリンク" xfId="1774" builtinId="9" hidden="1"/>
    <cellStyle name="表示済みのハイパーリンク" xfId="1776" builtinId="9" hidden="1"/>
    <cellStyle name="表示済みのハイパーリンク" xfId="1778" builtinId="9" hidden="1"/>
    <cellStyle name="表示済みのハイパーリンク" xfId="1780" builtinId="9" hidden="1"/>
    <cellStyle name="表示済みのハイパーリンク" xfId="1782" builtinId="9" hidden="1"/>
    <cellStyle name="表示済みのハイパーリンク" xfId="1784" builtinId="9" hidden="1"/>
    <cellStyle name="表示済みのハイパーリンク" xfId="1786" builtinId="9" hidden="1"/>
    <cellStyle name="表示済みのハイパーリンク" xfId="1788" builtinId="9" hidden="1"/>
    <cellStyle name="表示済みのハイパーリンク" xfId="1790" builtinId="9" hidden="1"/>
    <cellStyle name="表示済みのハイパーリンク" xfId="1792" builtinId="9" hidden="1"/>
    <cellStyle name="表示済みのハイパーリンク" xfId="1794" builtinId="9" hidden="1"/>
    <cellStyle name="表示済みのハイパーリンク" xfId="1796" builtinId="9" hidden="1"/>
    <cellStyle name="表示済みのハイパーリンク" xfId="1798" builtinId="9" hidden="1"/>
    <cellStyle name="表示済みのハイパーリンク" xfId="1800" builtinId="9" hidden="1"/>
    <cellStyle name="表示済みのハイパーリンク" xfId="1802" builtinId="9" hidden="1"/>
    <cellStyle name="表示済みのハイパーリンク" xfId="1804" builtinId="9" hidden="1"/>
    <cellStyle name="表示済みのハイパーリンク" xfId="1806" builtinId="9" hidden="1"/>
    <cellStyle name="表示済みのハイパーリンク" xfId="1808" builtinId="9" hidden="1"/>
    <cellStyle name="表示済みのハイパーリンク" xfId="1810" builtinId="9" hidden="1"/>
    <cellStyle name="表示済みのハイパーリンク" xfId="1812" builtinId="9" hidden="1"/>
    <cellStyle name="表示済みのハイパーリンク" xfId="1814" builtinId="9" hidden="1"/>
    <cellStyle name="表示済みのハイパーリンク" xfId="1816" builtinId="9" hidden="1"/>
    <cellStyle name="表示済みのハイパーリンク" xfId="1818" builtinId="9" hidden="1"/>
    <cellStyle name="表示済みのハイパーリンク" xfId="1820" builtinId="9" hidden="1"/>
    <cellStyle name="表示済みのハイパーリンク" xfId="1822" builtinId="9" hidden="1"/>
    <cellStyle name="表示済みのハイパーリンク" xfId="1824" builtinId="9" hidden="1"/>
    <cellStyle name="表示済みのハイパーリンク" xfId="1826" builtinId="9" hidden="1"/>
    <cellStyle name="表示済みのハイパーリンク" xfId="1828" builtinId="9" hidden="1"/>
    <cellStyle name="表示済みのハイパーリンク" xfId="1830" builtinId="9" hidden="1"/>
    <cellStyle name="表示済みのハイパーリンク" xfId="1832" builtinId="9" hidden="1"/>
    <cellStyle name="表示済みのハイパーリンク" xfId="1834" builtinId="9" hidden="1"/>
    <cellStyle name="表示済みのハイパーリンク" xfId="1836" builtinId="9" hidden="1"/>
    <cellStyle name="表示済みのハイパーリンク" xfId="1838" builtinId="9" hidden="1"/>
    <cellStyle name="表示済みのハイパーリンク" xfId="1840" builtinId="9" hidden="1"/>
    <cellStyle name="表示済みのハイパーリンク" xfId="1842" builtinId="9" hidden="1"/>
    <cellStyle name="表示済みのハイパーリンク" xfId="1844" builtinId="9" hidden="1"/>
    <cellStyle name="表示済みのハイパーリンク" xfId="1846" builtinId="9" hidden="1"/>
    <cellStyle name="表示済みのハイパーリンク" xfId="1848" builtinId="9" hidden="1"/>
    <cellStyle name="表示済みのハイパーリンク" xfId="1850" builtinId="9" hidden="1"/>
    <cellStyle name="表示済みのハイパーリンク" xfId="1852" builtinId="9" hidden="1"/>
    <cellStyle name="表示済みのハイパーリンク" xfId="1854" builtinId="9" hidden="1"/>
    <cellStyle name="表示済みのハイパーリンク" xfId="1856" builtinId="9" hidden="1"/>
    <cellStyle name="表示済みのハイパーリンク" xfId="1858" builtinId="9" hidden="1"/>
    <cellStyle name="表示済みのハイパーリンク" xfId="1860" builtinId="9" hidden="1"/>
    <cellStyle name="表示済みのハイパーリンク" xfId="1862" builtinId="9" hidden="1"/>
    <cellStyle name="表示済みのハイパーリンク" xfId="1864" builtinId="9" hidden="1"/>
    <cellStyle name="表示済みのハイパーリンク" xfId="1866" builtinId="9" hidden="1"/>
    <cellStyle name="表示済みのハイパーリンク" xfId="1868" builtinId="9" hidden="1"/>
    <cellStyle name="表示済みのハイパーリンク" xfId="1870" builtinId="9" hidden="1"/>
    <cellStyle name="表示済みのハイパーリンク" xfId="1872" builtinId="9" hidden="1"/>
    <cellStyle name="表示済みのハイパーリンク" xfId="1874" builtinId="9" hidden="1"/>
    <cellStyle name="表示済みのハイパーリンク" xfId="1876" builtinId="9" hidden="1"/>
    <cellStyle name="表示済みのハイパーリンク" xfId="1878" builtinId="9" hidden="1"/>
    <cellStyle name="表示済みのハイパーリンク" xfId="1880" builtinId="9" hidden="1"/>
    <cellStyle name="表示済みのハイパーリンク" xfId="1882" builtinId="9" hidden="1"/>
    <cellStyle name="表示済みのハイパーリンク" xfId="1884" builtinId="9" hidden="1"/>
    <cellStyle name="表示済みのハイパーリンク" xfId="1886" builtinId="9" hidden="1"/>
    <cellStyle name="表示済みのハイパーリンク" xfId="1888" builtinId="9" hidden="1"/>
    <cellStyle name="表示済みのハイパーリンク" xfId="1890" builtinId="9" hidden="1"/>
    <cellStyle name="表示済みのハイパーリンク" xfId="1892" builtinId="9" hidden="1"/>
    <cellStyle name="表示済みのハイパーリンク" xfId="1894" builtinId="9" hidden="1"/>
    <cellStyle name="表示済みのハイパーリンク" xfId="1896" builtinId="9" hidden="1"/>
    <cellStyle name="表示済みのハイパーリンク" xfId="1898" builtinId="9" hidden="1"/>
    <cellStyle name="表示済みのハイパーリンク" xfId="1900" builtinId="9" hidden="1"/>
    <cellStyle name="表示済みのハイパーリンク" xfId="1902" builtinId="9" hidden="1"/>
    <cellStyle name="表示済みのハイパーリンク" xfId="1904" builtinId="9" hidden="1"/>
    <cellStyle name="表示済みのハイパーリンク" xfId="1906" builtinId="9" hidden="1"/>
    <cellStyle name="表示済みのハイパーリンク" xfId="1908" builtinId="9" hidden="1"/>
    <cellStyle name="表示済みのハイパーリンク" xfId="1910" builtinId="9" hidden="1"/>
    <cellStyle name="表示済みのハイパーリンク" xfId="1912" builtinId="9" hidden="1"/>
    <cellStyle name="表示済みのハイパーリンク" xfId="1914" builtinId="9" hidden="1"/>
    <cellStyle name="表示済みのハイパーリンク" xfId="1916" builtinId="9" hidden="1"/>
    <cellStyle name="表示済みのハイパーリンク" xfId="1918" builtinId="9" hidden="1"/>
    <cellStyle name="表示済みのハイパーリンク" xfId="1920" builtinId="9" hidden="1"/>
    <cellStyle name="表示済みのハイパーリンク" xfId="1922" builtinId="9" hidden="1"/>
    <cellStyle name="表示済みのハイパーリンク" xfId="1924" builtinId="9" hidden="1"/>
    <cellStyle name="表示済みのハイパーリンク" xfId="1926" builtinId="9" hidden="1"/>
    <cellStyle name="表示済みのハイパーリンク" xfId="1928" builtinId="9" hidden="1"/>
    <cellStyle name="表示済みのハイパーリンク" xfId="1930" builtinId="9" hidden="1"/>
    <cellStyle name="表示済みのハイパーリンク" xfId="1932" builtinId="9" hidden="1"/>
    <cellStyle name="表示済みのハイパーリンク" xfId="1934" builtinId="9" hidden="1"/>
    <cellStyle name="表示済みのハイパーリンク" xfId="1936" builtinId="9" hidden="1"/>
    <cellStyle name="表示済みのハイパーリンク" xfId="1938" builtinId="9" hidden="1"/>
    <cellStyle name="表示済みのハイパーリンク" xfId="1940" builtinId="9" hidden="1"/>
    <cellStyle name="表示済みのハイパーリンク" xfId="1942" builtinId="9" hidden="1"/>
    <cellStyle name="表示済みのハイパーリンク" xfId="1944" builtinId="9" hidden="1"/>
    <cellStyle name="表示済みのハイパーリンク" xfId="1946" builtinId="9" hidden="1"/>
    <cellStyle name="表示済みのハイパーリンク" xfId="1948" builtinId="9" hidden="1"/>
    <cellStyle name="表示済みのハイパーリンク" xfId="1950" builtinId="9" hidden="1"/>
    <cellStyle name="表示済みのハイパーリンク" xfId="1952" builtinId="9" hidden="1"/>
    <cellStyle name="表示済みのハイパーリンク" xfId="1954" builtinId="9" hidden="1"/>
    <cellStyle name="表示済みのハイパーリンク" xfId="1956" builtinId="9" hidden="1"/>
    <cellStyle name="表示済みのハイパーリンク" xfId="1958" builtinId="9" hidden="1"/>
    <cellStyle name="表示済みのハイパーリンク" xfId="1960" builtinId="9" hidden="1"/>
    <cellStyle name="表示済みのハイパーリンク" xfId="1962" builtinId="9" hidden="1"/>
    <cellStyle name="表示済みのハイパーリンク" xfId="1964" builtinId="9" hidden="1"/>
    <cellStyle name="表示済みのハイパーリンク" xfId="1966" builtinId="9" hidden="1"/>
    <cellStyle name="表示済みのハイパーリンク" xfId="1968" builtinId="9" hidden="1"/>
    <cellStyle name="表示済みのハイパーリンク" xfId="1970" builtinId="9" hidden="1"/>
    <cellStyle name="表示済みのハイパーリンク" xfId="1972" builtinId="9" hidden="1"/>
    <cellStyle name="表示済みのハイパーリンク" xfId="1974" builtinId="9" hidden="1"/>
    <cellStyle name="表示済みのハイパーリンク" xfId="1976" builtinId="9" hidden="1"/>
    <cellStyle name="表示済みのハイパーリンク" xfId="1978" builtinId="9" hidden="1"/>
    <cellStyle name="表示済みのハイパーリンク" xfId="1980" builtinId="9" hidden="1"/>
    <cellStyle name="表示済みのハイパーリンク" xfId="1982" builtinId="9" hidden="1"/>
    <cellStyle name="表示済みのハイパーリンク" xfId="1984" builtinId="9" hidden="1"/>
    <cellStyle name="表示済みのハイパーリンク" xfId="1986" builtinId="9" hidden="1"/>
    <cellStyle name="表示済みのハイパーリンク" xfId="1988" builtinId="9" hidden="1"/>
    <cellStyle name="表示済みのハイパーリンク" xfId="1990" builtinId="9" hidden="1"/>
    <cellStyle name="表示済みのハイパーリンク" xfId="1992" builtinId="9" hidden="1"/>
    <cellStyle name="表示済みのハイパーリンク" xfId="1994" builtinId="9" hidden="1"/>
    <cellStyle name="表示済みのハイパーリンク" xfId="1996" builtinId="9" hidden="1"/>
    <cellStyle name="表示済みのハイパーリンク" xfId="1998" builtinId="9" hidden="1"/>
    <cellStyle name="表示済みのハイパーリンク" xfId="2000" builtinId="9" hidden="1"/>
    <cellStyle name="表示済みのハイパーリンク" xfId="2002" builtinId="9" hidden="1"/>
    <cellStyle name="表示済みのハイパーリンク" xfId="2004" builtinId="9" hidden="1"/>
    <cellStyle name="表示済みのハイパーリンク" xfId="2006" builtinId="9" hidden="1"/>
    <cellStyle name="表示済みのハイパーリンク" xfId="2008" builtinId="9" hidden="1"/>
    <cellStyle name="表示済みのハイパーリンク" xfId="2010" builtinId="9" hidden="1"/>
    <cellStyle name="表示済みのハイパーリンク" xfId="2012" builtinId="9" hidden="1"/>
    <cellStyle name="表示済みのハイパーリンク" xfId="2014" builtinId="9" hidden="1"/>
    <cellStyle name="表示済みのハイパーリンク" xfId="2016" builtinId="9" hidden="1"/>
    <cellStyle name="表示済みのハイパーリンク" xfId="2018" builtinId="9" hidden="1"/>
    <cellStyle name="表示済みのハイパーリンク" xfId="2020" builtinId="9" hidden="1"/>
    <cellStyle name="表示済みのハイパーリンク" xfId="2022" builtinId="9" hidden="1"/>
    <cellStyle name="表示済みのハイパーリンク" xfId="2024" builtinId="9" hidden="1"/>
    <cellStyle name="表示済みのハイパーリンク" xfId="2026" builtinId="9" hidden="1"/>
    <cellStyle name="表示済みのハイパーリンク" xfId="2028" builtinId="9" hidden="1"/>
    <cellStyle name="表示済みのハイパーリンク" xfId="2030" builtinId="9" hidden="1"/>
    <cellStyle name="表示済みのハイパーリンク" xfId="2032" builtinId="9" hidden="1"/>
    <cellStyle name="表示済みのハイパーリンク" xfId="2034" builtinId="9" hidden="1"/>
    <cellStyle name="表示済みのハイパーリンク" xfId="2036" builtinId="9" hidden="1"/>
    <cellStyle name="表示済みのハイパーリンク" xfId="2038" builtinId="9" hidden="1"/>
    <cellStyle name="表示済みのハイパーリンク" xfId="2040" builtinId="9" hidden="1"/>
    <cellStyle name="表示済みのハイパーリンク" xfId="2042" builtinId="9" hidden="1"/>
    <cellStyle name="表示済みのハイパーリンク" xfId="2044" builtinId="9" hidden="1"/>
    <cellStyle name="表示済みのハイパーリンク" xfId="2046" builtinId="9" hidden="1"/>
    <cellStyle name="表示済みのハイパーリンク" xfId="2048" builtinId="9" hidden="1"/>
    <cellStyle name="表示済みのハイパーリンク" xfId="2050" builtinId="9" hidden="1"/>
    <cellStyle name="表示済みのハイパーリンク" xfId="2052" builtinId="9" hidden="1"/>
    <cellStyle name="表示済みのハイパーリンク" xfId="2054" builtinId="9" hidden="1"/>
    <cellStyle name="表示済みのハイパーリンク" xfId="2056" builtinId="9" hidden="1"/>
    <cellStyle name="表示済みのハイパーリンク" xfId="2058" builtinId="9" hidden="1"/>
    <cellStyle name="表示済みのハイパーリンク" xfId="2060" builtinId="9" hidden="1"/>
    <cellStyle name="表示済みのハイパーリンク" xfId="2062" builtinId="9" hidden="1"/>
    <cellStyle name="表示済みのハイパーリンク" xfId="2064" builtinId="9" hidden="1"/>
    <cellStyle name="表示済みのハイパーリンク" xfId="2066" builtinId="9" hidden="1"/>
    <cellStyle name="表示済みのハイパーリンク" xfId="2068" builtinId="9" hidden="1"/>
    <cellStyle name="表示済みのハイパーリンク" xfId="2070" builtinId="9" hidden="1"/>
    <cellStyle name="表示済みのハイパーリンク" xfId="2072" builtinId="9" hidden="1"/>
    <cellStyle name="表示済みのハイパーリンク" xfId="2074" builtinId="9" hidden="1"/>
    <cellStyle name="表示済みのハイパーリンク" xfId="2076" builtinId="9" hidden="1"/>
    <cellStyle name="表示済みのハイパーリンク" xfId="2078" builtinId="9" hidden="1"/>
    <cellStyle name="表示済みのハイパーリンク" xfId="2080" builtinId="9" hidden="1"/>
    <cellStyle name="表示済みのハイパーリンク" xfId="2082" builtinId="9" hidden="1"/>
    <cellStyle name="表示済みのハイパーリンク" xfId="2084" builtinId="9" hidden="1"/>
    <cellStyle name="表示済みのハイパーリンク" xfId="2086" builtinId="9" hidden="1"/>
    <cellStyle name="表示済みのハイパーリンク" xfId="2088" builtinId="9" hidden="1"/>
    <cellStyle name="表示済みのハイパーリンク" xfId="2090" builtinId="9" hidden="1"/>
    <cellStyle name="表示済みのハイパーリンク" xfId="2092" builtinId="9" hidden="1"/>
    <cellStyle name="表示済みのハイパーリンク" xfId="2094" builtinId="9" hidden="1"/>
    <cellStyle name="表示済みのハイパーリンク" xfId="2096" builtinId="9" hidden="1"/>
    <cellStyle name="表示済みのハイパーリンク" xfId="2098" builtinId="9" hidden="1"/>
    <cellStyle name="表示済みのハイパーリンク" xfId="2100" builtinId="9" hidden="1"/>
    <cellStyle name="表示済みのハイパーリンク" xfId="2102" builtinId="9" hidden="1"/>
    <cellStyle name="表示済みのハイパーリンク" xfId="2104" builtinId="9" hidden="1"/>
    <cellStyle name="表示済みのハイパーリンク" xfId="2106" builtinId="9" hidden="1"/>
    <cellStyle name="表示済みのハイパーリンク" xfId="2108" builtinId="9" hidden="1"/>
    <cellStyle name="表示済みのハイパーリンク" xfId="2110" builtinId="9" hidden="1"/>
    <cellStyle name="表示済みのハイパーリンク" xfId="2112" builtinId="9" hidden="1"/>
    <cellStyle name="表示済みのハイパーリンク" xfId="2114" builtinId="9" hidden="1"/>
    <cellStyle name="表示済みのハイパーリンク" xfId="2116" builtinId="9" hidden="1"/>
    <cellStyle name="表示済みのハイパーリンク" xfId="2118" builtinId="9" hidden="1"/>
    <cellStyle name="表示済みのハイパーリンク" xfId="2120" builtinId="9" hidden="1"/>
    <cellStyle name="表示済みのハイパーリンク" xfId="2122" builtinId="9" hidden="1"/>
    <cellStyle name="表示済みのハイパーリンク" xfId="2124" builtinId="9" hidden="1"/>
    <cellStyle name="表示済みのハイパーリンク" xfId="2126" builtinId="9" hidden="1"/>
    <cellStyle name="表示済みのハイパーリンク" xfId="2128" builtinId="9" hidden="1"/>
    <cellStyle name="表示済みのハイパーリンク" xfId="2130" builtinId="9" hidden="1"/>
    <cellStyle name="表示済みのハイパーリンク" xfId="2132" builtinId="9" hidden="1"/>
    <cellStyle name="表示済みのハイパーリンク" xfId="2134" builtinId="9" hidden="1"/>
    <cellStyle name="表示済みのハイパーリンク" xfId="2136" builtinId="9" hidden="1"/>
    <cellStyle name="表示済みのハイパーリンク" xfId="2138" builtinId="9" hidden="1"/>
    <cellStyle name="表示済みのハイパーリンク" xfId="2140" builtinId="9" hidden="1"/>
    <cellStyle name="表示済みのハイパーリンク" xfId="2142" builtinId="9" hidden="1"/>
    <cellStyle name="表示済みのハイパーリンク" xfId="2144" builtinId="9" hidden="1"/>
    <cellStyle name="表示済みのハイパーリンク" xfId="2146" builtinId="9" hidden="1"/>
    <cellStyle name="表示済みのハイパーリンク" xfId="2148" builtinId="9" hidden="1"/>
    <cellStyle name="表示済みのハイパーリンク" xfId="2150" builtinId="9" hidden="1"/>
    <cellStyle name="表示済みのハイパーリンク" xfId="2152" builtinId="9" hidden="1"/>
    <cellStyle name="表示済みのハイパーリンク" xfId="2154" builtinId="9" hidden="1"/>
    <cellStyle name="表示済みのハイパーリンク" xfId="2156" builtinId="9" hidden="1"/>
    <cellStyle name="表示済みのハイパーリンク" xfId="2158" builtinId="9" hidden="1"/>
    <cellStyle name="表示済みのハイパーリンク" xfId="2160" builtinId="9" hidden="1"/>
    <cellStyle name="表示済みのハイパーリンク" xfId="2162" builtinId="9" hidden="1"/>
    <cellStyle name="表示済みのハイパーリンク" xfId="2164" builtinId="9" hidden="1"/>
    <cellStyle name="表示済みのハイパーリンク" xfId="2166" builtinId="9" hidden="1"/>
    <cellStyle name="表示済みのハイパーリンク" xfId="2168" builtinId="9" hidden="1"/>
    <cellStyle name="表示済みのハイパーリンク" xfId="2170" builtinId="9" hidden="1"/>
    <cellStyle name="表示済みのハイパーリンク" xfId="2172" builtinId="9" hidden="1"/>
    <cellStyle name="表示済みのハイパーリンク" xfId="2174" builtinId="9" hidden="1"/>
    <cellStyle name="表示済みのハイパーリンク" xfId="2176" builtinId="9" hidden="1"/>
    <cellStyle name="表示済みのハイパーリンク" xfId="2178" builtinId="9" hidden="1"/>
    <cellStyle name="表示済みのハイパーリンク" xfId="2180" builtinId="9" hidden="1"/>
    <cellStyle name="表示済みのハイパーリンク" xfId="2182" builtinId="9" hidden="1"/>
    <cellStyle name="表示済みのハイパーリンク" xfId="2184" builtinId="9" hidden="1"/>
    <cellStyle name="表示済みのハイパーリンク" xfId="2186" builtinId="9" hidden="1"/>
    <cellStyle name="表示済みのハイパーリンク" xfId="2188" builtinId="9" hidden="1"/>
    <cellStyle name="表示済みのハイパーリンク" xfId="2190" builtinId="9" hidden="1"/>
    <cellStyle name="表示済みのハイパーリンク" xfId="2192" builtinId="9" hidden="1"/>
    <cellStyle name="表示済みのハイパーリンク" xfId="2194" builtinId="9" hidden="1"/>
    <cellStyle name="表示済みのハイパーリンク" xfId="2196" builtinId="9" hidden="1"/>
    <cellStyle name="表示済みのハイパーリンク" xfId="2198" builtinId="9" hidden="1"/>
    <cellStyle name="表示済みのハイパーリンク" xfId="2200" builtinId="9" hidden="1"/>
    <cellStyle name="表示済みのハイパーリンク" xfId="2202" builtinId="9" hidden="1"/>
    <cellStyle name="表示済みのハイパーリンク" xfId="2204" builtinId="9" hidden="1"/>
    <cellStyle name="表示済みのハイパーリンク" xfId="2206" builtinId="9" hidden="1"/>
    <cellStyle name="表示済みのハイパーリンク" xfId="2208" builtinId="9" hidden="1"/>
    <cellStyle name="表示済みのハイパーリンク" xfId="2210" builtinId="9" hidden="1"/>
    <cellStyle name="表示済みのハイパーリンク" xfId="2212" builtinId="9" hidden="1"/>
    <cellStyle name="表示済みのハイパーリンク" xfId="2214" builtinId="9" hidden="1"/>
    <cellStyle name="表示済みのハイパーリンク" xfId="2216" builtinId="9" hidden="1"/>
    <cellStyle name="表示済みのハイパーリンク" xfId="2218" builtinId="9" hidden="1"/>
    <cellStyle name="表示済みのハイパーリンク" xfId="2220" builtinId="9" hidden="1"/>
    <cellStyle name="表示済みのハイパーリンク" xfId="2222" builtinId="9" hidden="1"/>
    <cellStyle name="表示済みのハイパーリンク" xfId="2224" builtinId="9" hidden="1"/>
    <cellStyle name="表示済みのハイパーリンク" xfId="2226" builtinId="9" hidden="1"/>
    <cellStyle name="表示済みのハイパーリンク" xfId="2228" builtinId="9" hidden="1"/>
    <cellStyle name="表示済みのハイパーリンク" xfId="2230" builtinId="9" hidden="1"/>
    <cellStyle name="表示済みのハイパーリンク" xfId="2232" builtinId="9" hidden="1"/>
    <cellStyle name="表示済みのハイパーリンク" xfId="2234" builtinId="9" hidden="1"/>
    <cellStyle name="表示済みのハイパーリンク" xfId="2236" builtinId="9" hidden="1"/>
    <cellStyle name="表示済みのハイパーリンク" xfId="2238" builtinId="9" hidden="1"/>
    <cellStyle name="表示済みのハイパーリンク" xfId="2240" builtinId="9" hidden="1"/>
    <cellStyle name="表示済みのハイパーリンク" xfId="2242" builtinId="9" hidden="1"/>
    <cellStyle name="表示済みのハイパーリンク" xfId="2244" builtinId="9" hidden="1"/>
    <cellStyle name="表示済みのハイパーリンク" xfId="2246" builtinId="9" hidden="1"/>
    <cellStyle name="表示済みのハイパーリンク" xfId="2248" builtinId="9" hidden="1"/>
    <cellStyle name="表示済みのハイパーリンク" xfId="2250" builtinId="9" hidden="1"/>
    <cellStyle name="表示済みのハイパーリンク" xfId="2252" builtinId="9" hidden="1"/>
    <cellStyle name="表示済みのハイパーリンク" xfId="2254" builtinId="9" hidden="1"/>
    <cellStyle name="表示済みのハイパーリンク" xfId="2256" builtinId="9" hidden="1"/>
    <cellStyle name="表示済みのハイパーリンク" xfId="2258" builtinId="9" hidden="1"/>
    <cellStyle name="表示済みのハイパーリンク" xfId="2260" builtinId="9" hidden="1"/>
    <cellStyle name="表示済みのハイパーリンク" xfId="2262" builtinId="9" hidden="1"/>
    <cellStyle name="表示済みのハイパーリンク" xfId="2264" builtinId="9" hidden="1"/>
    <cellStyle name="表示済みのハイパーリンク" xfId="2266" builtinId="9" hidden="1"/>
    <cellStyle name="表示済みのハイパーリンク" xfId="2268" builtinId="9" hidden="1"/>
    <cellStyle name="表示済みのハイパーリンク" xfId="2270" builtinId="9" hidden="1"/>
    <cellStyle name="表示済みのハイパーリンク" xfId="2272" builtinId="9" hidden="1"/>
    <cellStyle name="表示済みのハイパーリンク" xfId="2274" builtinId="9" hidden="1"/>
    <cellStyle name="表示済みのハイパーリンク" xfId="2276" builtinId="9" hidden="1"/>
    <cellStyle name="表示済みのハイパーリンク" xfId="2278" builtinId="9" hidden="1"/>
    <cellStyle name="表示済みのハイパーリンク" xfId="2280" builtinId="9" hidden="1"/>
    <cellStyle name="表示済みのハイパーリンク" xfId="2282" builtinId="9" hidden="1"/>
    <cellStyle name="表示済みのハイパーリンク" xfId="2284" builtinId="9" hidden="1"/>
    <cellStyle name="表示済みのハイパーリンク" xfId="2286" builtinId="9" hidden="1"/>
    <cellStyle name="表示済みのハイパーリンク" xfId="2288" builtinId="9" hidden="1"/>
    <cellStyle name="表示済みのハイパーリンク" xfId="2290" builtinId="9" hidden="1"/>
    <cellStyle name="表示済みのハイパーリンク" xfId="2292" builtinId="9" hidden="1"/>
    <cellStyle name="表示済みのハイパーリンク" xfId="2294" builtinId="9" hidden="1"/>
    <cellStyle name="表示済みのハイパーリンク" xfId="2296" builtinId="9" hidden="1"/>
    <cellStyle name="表示済みのハイパーリンク" xfId="2298" builtinId="9" hidden="1"/>
    <cellStyle name="表示済みのハイパーリンク" xfId="2300" builtinId="9" hidden="1"/>
    <cellStyle name="表示済みのハイパーリンク" xfId="2302" builtinId="9" hidden="1"/>
    <cellStyle name="表示済みのハイパーリンク" xfId="2304" builtinId="9" hidden="1"/>
    <cellStyle name="表示済みのハイパーリンク" xfId="2306" builtinId="9" hidden="1"/>
    <cellStyle name="表示済みのハイパーリンク" xfId="2308" builtinId="9" hidden="1"/>
    <cellStyle name="表示済みのハイパーリンク" xfId="2310" builtinId="9" hidden="1"/>
    <cellStyle name="表示済みのハイパーリンク" xfId="2312" builtinId="9" hidden="1"/>
    <cellStyle name="表示済みのハイパーリンク" xfId="2314" builtinId="9" hidden="1"/>
    <cellStyle name="表示済みのハイパーリンク" xfId="2316" builtinId="9" hidden="1"/>
    <cellStyle name="表示済みのハイパーリンク" xfId="2318" builtinId="9" hidden="1"/>
    <cellStyle name="表示済みのハイパーリンク" xfId="2320" builtinId="9" hidden="1"/>
    <cellStyle name="表示済みのハイパーリンク" xfId="2322" builtinId="9" hidden="1"/>
    <cellStyle name="表示済みのハイパーリンク" xfId="2324" builtinId="9" hidden="1"/>
    <cellStyle name="表示済みのハイパーリンク" xfId="2326" builtinId="9" hidden="1"/>
    <cellStyle name="表示済みのハイパーリンク" xfId="2328" builtinId="9" hidden="1"/>
    <cellStyle name="表示済みのハイパーリンク" xfId="2330" builtinId="9" hidden="1"/>
    <cellStyle name="表示済みのハイパーリンク" xfId="2332" builtinId="9" hidden="1"/>
    <cellStyle name="表示済みのハイパーリンク" xfId="2334" builtinId="9" hidden="1"/>
    <cellStyle name="表示済みのハイパーリンク" xfId="2336" builtinId="9" hidden="1"/>
    <cellStyle name="表示済みのハイパーリンク" xfId="2338" builtinId="9" hidden="1"/>
    <cellStyle name="表示済みのハイパーリンク" xfId="2340" builtinId="9" hidden="1"/>
    <cellStyle name="表示済みのハイパーリンク" xfId="2342" builtinId="9" hidden="1"/>
    <cellStyle name="表示済みのハイパーリンク" xfId="2344" builtinId="9" hidden="1"/>
    <cellStyle name="表示済みのハイパーリンク" xfId="2346" builtinId="9" hidden="1"/>
    <cellStyle name="表示済みのハイパーリンク" xfId="2348" builtinId="9" hidden="1"/>
    <cellStyle name="表示済みのハイパーリンク" xfId="2350" builtinId="9" hidden="1"/>
    <cellStyle name="表示済みのハイパーリンク" xfId="2352" builtinId="9" hidden="1"/>
    <cellStyle name="表示済みのハイパーリンク" xfId="2354" builtinId="9" hidden="1"/>
    <cellStyle name="表示済みのハイパーリンク" xfId="2356" builtinId="9" hidden="1"/>
    <cellStyle name="表示済みのハイパーリンク" xfId="2358" builtinId="9" hidden="1"/>
    <cellStyle name="表示済みのハイパーリンク" xfId="2360" builtinId="9" hidden="1"/>
    <cellStyle name="表示済みのハイパーリンク" xfId="2362" builtinId="9" hidden="1"/>
    <cellStyle name="表示済みのハイパーリンク" xfId="2364" builtinId="9" hidden="1"/>
    <cellStyle name="表示済みのハイパーリンク" xfId="2366" builtinId="9" hidden="1"/>
    <cellStyle name="表示済みのハイパーリンク" xfId="2368" builtinId="9" hidden="1"/>
    <cellStyle name="表示済みのハイパーリンク" xfId="2370" builtinId="9" hidden="1"/>
    <cellStyle name="表示済みのハイパーリンク" xfId="2372" builtinId="9" hidden="1"/>
    <cellStyle name="表示済みのハイパーリンク" xfId="2374" builtinId="9" hidden="1"/>
    <cellStyle name="表示済みのハイパーリンク" xfId="2376" builtinId="9" hidden="1"/>
    <cellStyle name="表示済みのハイパーリンク" xfId="2378" builtinId="9" hidden="1"/>
    <cellStyle name="表示済みのハイパーリンク" xfId="2380" builtinId="9" hidden="1"/>
    <cellStyle name="表示済みのハイパーリンク" xfId="2382" builtinId="9" hidden="1"/>
    <cellStyle name="表示済みのハイパーリンク" xfId="2384" builtinId="9" hidden="1"/>
    <cellStyle name="表示済みのハイパーリンク" xfId="2386" builtinId="9" hidden="1"/>
    <cellStyle name="表示済みのハイパーリンク" xfId="2388" builtinId="9" hidden="1"/>
    <cellStyle name="表示済みのハイパーリンク" xfId="2390" builtinId="9" hidden="1"/>
    <cellStyle name="表示済みのハイパーリンク" xfId="2392" builtinId="9" hidden="1"/>
    <cellStyle name="表示済みのハイパーリンク" xfId="2394" builtinId="9" hidden="1"/>
    <cellStyle name="表示済みのハイパーリンク" xfId="2396" builtinId="9" hidden="1"/>
    <cellStyle name="表示済みのハイパーリンク" xfId="2398" builtinId="9" hidden="1"/>
    <cellStyle name="表示済みのハイパーリンク" xfId="2400" builtinId="9" hidden="1"/>
    <cellStyle name="表示済みのハイパーリンク" xfId="2402" builtinId="9" hidden="1"/>
    <cellStyle name="表示済みのハイパーリンク" xfId="2404" builtinId="9" hidden="1"/>
    <cellStyle name="表示済みのハイパーリンク" xfId="2406" builtinId="9" hidden="1"/>
    <cellStyle name="表示済みのハイパーリンク" xfId="2408" builtinId="9" hidden="1"/>
    <cellStyle name="表示済みのハイパーリンク" xfId="2410" builtinId="9" hidden="1"/>
    <cellStyle name="表示済みのハイパーリンク" xfId="2412" builtinId="9" hidden="1"/>
    <cellStyle name="表示済みのハイパーリンク" xfId="2414" builtinId="9" hidden="1"/>
    <cellStyle name="表示済みのハイパーリンク" xfId="2416" builtinId="9" hidden="1"/>
    <cellStyle name="表示済みのハイパーリンク" xfId="2418" builtinId="9" hidden="1"/>
    <cellStyle name="表示済みのハイパーリンク" xfId="2420" builtinId="9" hidden="1"/>
    <cellStyle name="表示済みのハイパーリンク" xfId="2422" builtinId="9" hidden="1"/>
    <cellStyle name="表示済みのハイパーリンク" xfId="2424" builtinId="9" hidden="1"/>
    <cellStyle name="表示済みのハイパーリンク" xfId="2426" builtinId="9" hidden="1"/>
    <cellStyle name="表示済みのハイパーリンク" xfId="2428" builtinId="9" hidden="1"/>
    <cellStyle name="表示済みのハイパーリンク" xfId="2430" builtinId="9" hidden="1"/>
    <cellStyle name="表示済みのハイパーリンク" xfId="2432" builtinId="9" hidden="1"/>
    <cellStyle name="表示済みのハイパーリンク" xfId="2434" builtinId="9" hidden="1"/>
    <cellStyle name="表示済みのハイパーリンク" xfId="2436" builtinId="9" hidden="1"/>
    <cellStyle name="表示済みのハイパーリンク" xfId="2438" builtinId="9" hidden="1"/>
    <cellStyle name="表示済みのハイパーリンク" xfId="2440" builtinId="9" hidden="1"/>
    <cellStyle name="表示済みのハイパーリンク" xfId="2442" builtinId="9" hidden="1"/>
    <cellStyle name="表示済みのハイパーリンク" xfId="2444" builtinId="9" hidden="1"/>
    <cellStyle name="表示済みのハイパーリンク" xfId="2446" builtinId="9" hidden="1"/>
    <cellStyle name="表示済みのハイパーリンク" xfId="2448" builtinId="9" hidden="1"/>
    <cellStyle name="表示済みのハイパーリンク" xfId="2450" builtinId="9" hidden="1"/>
    <cellStyle name="表示済みのハイパーリンク" xfId="2452" builtinId="9" hidden="1"/>
    <cellStyle name="表示済みのハイパーリンク" xfId="2454" builtinId="9" hidden="1"/>
    <cellStyle name="表示済みのハイパーリンク" xfId="2456" builtinId="9" hidden="1"/>
    <cellStyle name="表示済みのハイパーリンク" xfId="2458" builtinId="9" hidden="1"/>
    <cellStyle name="表示済みのハイパーリンク" xfId="2460" builtinId="9" hidden="1"/>
    <cellStyle name="表示済みのハイパーリンク" xfId="2462" builtinId="9" hidden="1"/>
    <cellStyle name="表示済みのハイパーリンク" xfId="2464" builtinId="9" hidden="1"/>
    <cellStyle name="表示済みのハイパーリンク" xfId="2466" builtinId="9" hidden="1"/>
    <cellStyle name="表示済みのハイパーリンク" xfId="2468" builtinId="9" hidden="1"/>
    <cellStyle name="表示済みのハイパーリンク" xfId="2470" builtinId="9" hidden="1"/>
    <cellStyle name="表示済みのハイパーリンク" xfId="2472" builtinId="9" hidden="1"/>
    <cellStyle name="表示済みのハイパーリンク" xfId="2474" builtinId="9" hidden="1"/>
    <cellStyle name="表示済みのハイパーリンク" xfId="2476" builtinId="9" hidden="1"/>
    <cellStyle name="表示済みのハイパーリンク" xfId="2478" builtinId="9" hidden="1"/>
    <cellStyle name="表示済みのハイパーリンク" xfId="2480" builtinId="9" hidden="1"/>
    <cellStyle name="表示済みのハイパーリンク" xfId="2482" builtinId="9" hidden="1"/>
    <cellStyle name="表示済みのハイパーリンク" xfId="2484" builtinId="9" hidden="1"/>
    <cellStyle name="表示済みのハイパーリンク" xfId="2486" builtinId="9" hidden="1"/>
    <cellStyle name="表示済みのハイパーリンク" xfId="2488" builtinId="9" hidden="1"/>
    <cellStyle name="表示済みのハイパーリンク" xfId="2490" builtinId="9" hidden="1"/>
    <cellStyle name="表示済みのハイパーリンク" xfId="2492" builtinId="9" hidden="1"/>
    <cellStyle name="表示済みのハイパーリンク" xfId="2494" builtinId="9" hidden="1"/>
    <cellStyle name="表示済みのハイパーリンク" xfId="2496" builtinId="9" hidden="1"/>
    <cellStyle name="表示済みのハイパーリンク" xfId="2498" builtinId="9" hidden="1"/>
    <cellStyle name="表示済みのハイパーリンク" xfId="2500" builtinId="9" hidden="1"/>
    <cellStyle name="表示済みのハイパーリンク" xfId="2502" builtinId="9" hidden="1"/>
    <cellStyle name="表示済みのハイパーリンク" xfId="2504" builtinId="9" hidden="1"/>
    <cellStyle name="表示済みのハイパーリンク" xfId="2506" builtinId="9" hidden="1"/>
    <cellStyle name="表示済みのハイパーリンク" xfId="2508" builtinId="9" hidden="1"/>
    <cellStyle name="表示済みのハイパーリンク" xfId="2510" builtinId="9" hidden="1"/>
    <cellStyle name="表示済みのハイパーリンク" xfId="2512" builtinId="9" hidden="1"/>
    <cellStyle name="表示済みのハイパーリンク" xfId="2514" builtinId="9" hidden="1"/>
    <cellStyle name="表示済みのハイパーリンク" xfId="2516" builtinId="9" hidden="1"/>
    <cellStyle name="表示済みのハイパーリンク" xfId="2518" builtinId="9" hidden="1"/>
    <cellStyle name="表示済みのハイパーリンク" xfId="2520" builtinId="9" hidden="1"/>
    <cellStyle name="表示済みのハイパーリンク" xfId="2522" builtinId="9" hidden="1"/>
    <cellStyle name="表示済みのハイパーリンク" xfId="2524" builtinId="9" hidden="1"/>
    <cellStyle name="表示済みのハイパーリンク" xfId="2526" builtinId="9" hidden="1"/>
    <cellStyle name="表示済みのハイパーリンク" xfId="2528" builtinId="9" hidden="1"/>
    <cellStyle name="表示済みのハイパーリンク" xfId="2530" builtinId="9" hidden="1"/>
    <cellStyle name="表示済みのハイパーリンク" xfId="2532" builtinId="9" hidden="1"/>
    <cellStyle name="表示済みのハイパーリンク" xfId="2534" builtinId="9" hidden="1"/>
    <cellStyle name="表示済みのハイパーリンク" xfId="2536" builtinId="9" hidden="1"/>
    <cellStyle name="表示済みのハイパーリンク" xfId="2538" builtinId="9" hidden="1"/>
    <cellStyle name="表示済みのハイパーリンク" xfId="2540" builtinId="9" hidden="1"/>
    <cellStyle name="表示済みのハイパーリンク" xfId="2542" builtinId="9" hidden="1"/>
    <cellStyle name="表示済みのハイパーリンク" xfId="2544" builtinId="9" hidden="1"/>
    <cellStyle name="表示済みのハイパーリンク" xfId="2546" builtinId="9" hidden="1"/>
    <cellStyle name="表示済みのハイパーリンク" xfId="2548" builtinId="9" hidden="1"/>
    <cellStyle name="表示済みのハイパーリンク" xfId="2550" builtinId="9" hidden="1"/>
    <cellStyle name="表示済みのハイパーリンク" xfId="2552" builtinId="9" hidden="1"/>
    <cellStyle name="表示済みのハイパーリンク" xfId="2554" builtinId="9" hidden="1"/>
    <cellStyle name="表示済みのハイパーリンク" xfId="2556" builtinId="9" hidden="1"/>
    <cellStyle name="表示済みのハイパーリンク" xfId="2558" builtinId="9" hidden="1"/>
    <cellStyle name="表示済みのハイパーリンク" xfId="2560" builtinId="9" hidden="1"/>
    <cellStyle name="表示済みのハイパーリンク" xfId="2562" builtinId="9" hidden="1"/>
    <cellStyle name="表示済みのハイパーリンク" xfId="2564" builtinId="9" hidden="1"/>
    <cellStyle name="表示済みのハイパーリンク" xfId="2566" builtinId="9" hidden="1"/>
    <cellStyle name="表示済みのハイパーリンク" xfId="2568" builtinId="9" hidden="1"/>
    <cellStyle name="表示済みのハイパーリンク" xfId="2570" builtinId="9" hidden="1"/>
    <cellStyle name="表示済みのハイパーリンク" xfId="2572" builtinId="9" hidden="1"/>
    <cellStyle name="表示済みのハイパーリンク" xfId="2574" builtinId="9" hidden="1"/>
    <cellStyle name="表示済みのハイパーリンク" xfId="2576" builtinId="9" hidden="1"/>
    <cellStyle name="表示済みのハイパーリンク" xfId="2578" builtinId="9" hidden="1"/>
    <cellStyle name="表示済みのハイパーリンク" xfId="2580" builtinId="9" hidden="1"/>
    <cellStyle name="表示済みのハイパーリンク" xfId="2582" builtinId="9" hidden="1"/>
    <cellStyle name="表示済みのハイパーリンク" xfId="2584" builtinId="9" hidden="1"/>
    <cellStyle name="表示済みのハイパーリンク" xfId="2586" builtinId="9" hidden="1"/>
    <cellStyle name="表示済みのハイパーリンク" xfId="2588" builtinId="9" hidden="1"/>
    <cellStyle name="表示済みのハイパーリンク" xfId="2590" builtinId="9" hidden="1"/>
    <cellStyle name="表示済みのハイパーリンク" xfId="2592" builtinId="9" hidden="1"/>
    <cellStyle name="表示済みのハイパーリンク" xfId="2594" builtinId="9" hidden="1"/>
    <cellStyle name="表示済みのハイパーリンク" xfId="2596" builtinId="9" hidden="1"/>
    <cellStyle name="表示済みのハイパーリンク" xfId="2598" builtinId="9" hidden="1"/>
    <cellStyle name="表示済みのハイパーリンク" xfId="2600" builtinId="9" hidden="1"/>
    <cellStyle name="表示済みのハイパーリンク" xfId="2602" builtinId="9" hidden="1"/>
    <cellStyle name="表示済みのハイパーリンク" xfId="2604" builtinId="9" hidden="1"/>
    <cellStyle name="表示済みのハイパーリンク" xfId="2606" builtinId="9" hidden="1"/>
    <cellStyle name="表示済みのハイパーリンク" xfId="2608" builtinId="9" hidden="1"/>
    <cellStyle name="表示済みのハイパーリンク" xfId="2610" builtinId="9" hidden="1"/>
    <cellStyle name="表示済みのハイパーリンク" xfId="2612" builtinId="9" hidden="1"/>
    <cellStyle name="表示済みのハイパーリンク" xfId="2614" builtinId="9" hidden="1"/>
    <cellStyle name="表示済みのハイパーリンク" xfId="2616" builtinId="9" hidden="1"/>
    <cellStyle name="表示済みのハイパーリンク" xfId="2618" builtinId="9" hidden="1"/>
    <cellStyle name="表示済みのハイパーリンク" xfId="2620" builtinId="9" hidden="1"/>
    <cellStyle name="表示済みのハイパーリンク" xfId="2622" builtinId="9" hidden="1"/>
    <cellStyle name="表示済みのハイパーリンク" xfId="2624" builtinId="9" hidden="1"/>
    <cellStyle name="表示済みのハイパーリンク" xfId="2626" builtinId="9" hidden="1"/>
    <cellStyle name="表示済みのハイパーリンク" xfId="2628" builtinId="9" hidden="1"/>
    <cellStyle name="表示済みのハイパーリンク" xfId="2630" builtinId="9" hidden="1"/>
    <cellStyle name="表示済みのハイパーリンク" xfId="2632" builtinId="9" hidden="1"/>
    <cellStyle name="表示済みのハイパーリンク" xfId="2634" builtinId="9" hidden="1"/>
    <cellStyle name="表示済みのハイパーリンク" xfId="2636" builtinId="9" hidden="1"/>
    <cellStyle name="表示済みのハイパーリンク" xfId="2638" builtinId="9" hidden="1"/>
    <cellStyle name="表示済みのハイパーリンク" xfId="2640" builtinId="9" hidden="1"/>
    <cellStyle name="表示済みのハイパーリンク" xfId="2642" builtinId="9" hidden="1"/>
    <cellStyle name="表示済みのハイパーリンク" xfId="2644" builtinId="9" hidden="1"/>
    <cellStyle name="表示済みのハイパーリンク" xfId="2646" builtinId="9" hidden="1"/>
    <cellStyle name="表示済みのハイパーリンク" xfId="2648" builtinId="9" hidden="1"/>
    <cellStyle name="表示済みのハイパーリンク" xfId="2650" builtinId="9" hidden="1"/>
    <cellStyle name="表示済みのハイパーリンク" xfId="2652" builtinId="9" hidden="1"/>
    <cellStyle name="表示済みのハイパーリンク" xfId="2654" builtinId="9" hidden="1"/>
    <cellStyle name="表示済みのハイパーリンク" xfId="2656" builtinId="9" hidden="1"/>
    <cellStyle name="表示済みのハイパーリンク" xfId="2658" builtinId="9" hidden="1"/>
    <cellStyle name="表示済みのハイパーリンク" xfId="2660" builtinId="9" hidden="1"/>
    <cellStyle name="表示済みのハイパーリンク" xfId="2662" builtinId="9" hidden="1"/>
    <cellStyle name="表示済みのハイパーリンク" xfId="2664" builtinId="9" hidden="1"/>
    <cellStyle name="表示済みのハイパーリンク" xfId="2666" builtinId="9" hidden="1"/>
    <cellStyle name="表示済みのハイパーリンク" xfId="2668" builtinId="9" hidden="1"/>
    <cellStyle name="表示済みのハイパーリンク" xfId="2670" builtinId="9" hidden="1"/>
    <cellStyle name="表示済みのハイパーリンク" xfId="2672" builtinId="9" hidden="1"/>
    <cellStyle name="表示済みのハイパーリンク" xfId="2674" builtinId="9" hidden="1"/>
    <cellStyle name="表示済みのハイパーリンク" xfId="2676" builtinId="9" hidden="1"/>
    <cellStyle name="表示済みのハイパーリンク" xfId="2678" builtinId="9" hidden="1"/>
    <cellStyle name="表示済みのハイパーリンク" xfId="2680" builtinId="9" hidden="1"/>
    <cellStyle name="表示済みのハイパーリンク" xfId="2682" builtinId="9" hidden="1"/>
    <cellStyle name="表示済みのハイパーリンク" xfId="2684" builtinId="9" hidden="1"/>
    <cellStyle name="表示済みのハイパーリンク" xfId="2686" builtinId="9" hidden="1"/>
    <cellStyle name="表示済みのハイパーリンク" xfId="2688" builtinId="9" hidden="1"/>
    <cellStyle name="表示済みのハイパーリンク" xfId="2690" builtinId="9" hidden="1"/>
    <cellStyle name="表示済みのハイパーリンク" xfId="2692" builtinId="9" hidden="1"/>
    <cellStyle name="表示済みのハイパーリンク" xfId="2694" builtinId="9" hidden="1"/>
    <cellStyle name="表示済みのハイパーリンク" xfId="2696" builtinId="9" hidden="1"/>
    <cellStyle name="表示済みのハイパーリンク" xfId="2698" builtinId="9" hidden="1"/>
    <cellStyle name="表示済みのハイパーリンク" xfId="2700" builtinId="9" hidden="1"/>
    <cellStyle name="表示済みのハイパーリンク" xfId="2702" builtinId="9" hidden="1"/>
    <cellStyle name="表示済みのハイパーリンク" xfId="2704" builtinId="9" hidden="1"/>
    <cellStyle name="表示済みのハイパーリンク" xfId="2706" builtinId="9" hidden="1"/>
    <cellStyle name="表示済みのハイパーリンク" xfId="2708" builtinId="9" hidden="1"/>
    <cellStyle name="表示済みのハイパーリンク" xfId="2710" builtinId="9" hidden="1"/>
    <cellStyle name="表示済みのハイパーリンク" xfId="2712" builtinId="9" hidden="1"/>
    <cellStyle name="表示済みのハイパーリンク" xfId="2714" builtinId="9" hidden="1"/>
    <cellStyle name="表示済みのハイパーリンク" xfId="2716" builtinId="9" hidden="1"/>
    <cellStyle name="表示済みのハイパーリンク" xfId="2718" builtinId="9" hidden="1"/>
    <cellStyle name="表示済みのハイパーリンク" xfId="2720" builtinId="9" hidden="1"/>
    <cellStyle name="表示済みのハイパーリンク" xfId="2722" builtinId="9" hidden="1"/>
    <cellStyle name="表示済みのハイパーリンク" xfId="2724" builtinId="9" hidden="1"/>
    <cellStyle name="表示済みのハイパーリンク" xfId="2726" builtinId="9" hidden="1"/>
    <cellStyle name="表示済みのハイパーリンク" xfId="2728" builtinId="9" hidden="1"/>
    <cellStyle name="表示済みのハイパーリンク" xfId="2730" builtinId="9" hidden="1"/>
    <cellStyle name="表示済みのハイパーリンク" xfId="2732" builtinId="9" hidden="1"/>
    <cellStyle name="表示済みのハイパーリンク" xfId="2734" builtinId="9" hidden="1"/>
    <cellStyle name="表示済みのハイパーリンク" xfId="2736" builtinId="9" hidden="1"/>
    <cellStyle name="表示済みのハイパーリンク" xfId="2738" builtinId="9" hidden="1"/>
    <cellStyle name="表示済みのハイパーリンク" xfId="2740" builtinId="9" hidden="1"/>
    <cellStyle name="表示済みのハイパーリンク" xfId="2742" builtinId="9" hidden="1"/>
    <cellStyle name="表示済みのハイパーリンク" xfId="2744" builtinId="9" hidden="1"/>
    <cellStyle name="表示済みのハイパーリンク" xfId="2746" builtinId="9" hidden="1"/>
    <cellStyle name="表示済みのハイパーリンク" xfId="2748" builtinId="9" hidden="1"/>
    <cellStyle name="表示済みのハイパーリンク" xfId="2750" builtinId="9" hidden="1"/>
    <cellStyle name="表示済みのハイパーリンク" xfId="2752" builtinId="9" hidden="1"/>
    <cellStyle name="表示済みのハイパーリンク" xfId="2754" builtinId="9" hidden="1"/>
    <cellStyle name="表示済みのハイパーリンク" xfId="2756" builtinId="9" hidden="1"/>
    <cellStyle name="表示済みのハイパーリンク" xfId="2758" builtinId="9" hidden="1"/>
    <cellStyle name="表示済みのハイパーリンク" xfId="2760" builtinId="9" hidden="1"/>
    <cellStyle name="表示済みのハイパーリンク" xfId="2762" builtinId="9" hidden="1"/>
    <cellStyle name="表示済みのハイパーリンク" xfId="2764" builtinId="9" hidden="1"/>
    <cellStyle name="表示済みのハイパーリンク" xfId="2766" builtinId="9" hidden="1"/>
    <cellStyle name="表示済みのハイパーリンク" xfId="2768" builtinId="9" hidden="1"/>
    <cellStyle name="表示済みのハイパーリンク" xfId="2770" builtinId="9" hidden="1"/>
    <cellStyle name="表示済みのハイパーリンク" xfId="2772" builtinId="9" hidden="1"/>
    <cellStyle name="表示済みのハイパーリンク" xfId="2774" builtinId="9" hidden="1"/>
    <cellStyle name="表示済みのハイパーリンク" xfId="2776" builtinId="9" hidden="1"/>
    <cellStyle name="表示済みのハイパーリンク" xfId="2778" builtinId="9" hidden="1"/>
    <cellStyle name="表示済みのハイパーリンク" xfId="2780" builtinId="9" hidden="1"/>
    <cellStyle name="表示済みのハイパーリンク" xfId="2782" builtinId="9" hidden="1"/>
    <cellStyle name="表示済みのハイパーリンク" xfId="2784" builtinId="9" hidden="1"/>
    <cellStyle name="表示済みのハイパーリンク" xfId="2786" builtinId="9" hidden="1"/>
    <cellStyle name="表示済みのハイパーリンク" xfId="2788" builtinId="9" hidden="1"/>
    <cellStyle name="表示済みのハイパーリンク" xfId="2790" builtinId="9" hidden="1"/>
    <cellStyle name="表示済みのハイパーリンク" xfId="2792" builtinId="9" hidden="1"/>
    <cellStyle name="表示済みのハイパーリンク" xfId="2794" builtinId="9" hidden="1"/>
    <cellStyle name="表示済みのハイパーリンク" xfId="2796" builtinId="9" hidden="1"/>
    <cellStyle name="表示済みのハイパーリンク" xfId="2798" builtinId="9" hidden="1"/>
    <cellStyle name="表示済みのハイパーリンク" xfId="2800" builtinId="9" hidden="1"/>
    <cellStyle name="表示済みのハイパーリンク" xfId="2802" builtinId="9" hidden="1"/>
    <cellStyle name="表示済みのハイパーリンク" xfId="2804" builtinId="9" hidden="1"/>
    <cellStyle name="表示済みのハイパーリンク" xfId="2806" builtinId="9" hidden="1"/>
    <cellStyle name="表示済みのハイパーリンク" xfId="2808" builtinId="9" hidden="1"/>
    <cellStyle name="表示済みのハイパーリンク" xfId="2810" builtinId="9" hidden="1"/>
    <cellStyle name="表示済みのハイパーリンク" xfId="2812" builtinId="9" hidden="1"/>
    <cellStyle name="表示済みのハイパーリンク" xfId="2814" builtinId="9" hidden="1"/>
    <cellStyle name="表示済みのハイパーリンク" xfId="2816" builtinId="9" hidden="1"/>
    <cellStyle name="表示済みのハイパーリンク" xfId="2818" builtinId="9" hidden="1"/>
    <cellStyle name="表示済みのハイパーリンク" xfId="2820" builtinId="9" hidden="1"/>
    <cellStyle name="表示済みのハイパーリンク" xfId="2822" builtinId="9" hidden="1"/>
    <cellStyle name="表示済みのハイパーリンク" xfId="2824" builtinId="9" hidden="1"/>
    <cellStyle name="表示済みのハイパーリンク" xfId="2826" builtinId="9" hidden="1"/>
    <cellStyle name="表示済みのハイパーリンク" xfId="2828" builtinId="9" hidden="1"/>
    <cellStyle name="表示済みのハイパーリンク" xfId="2830" builtinId="9" hidden="1"/>
    <cellStyle name="表示済みのハイパーリンク" xfId="2832" builtinId="9" hidden="1"/>
    <cellStyle name="表示済みのハイパーリンク" xfId="2834" builtinId="9" hidden="1"/>
    <cellStyle name="表示済みのハイパーリンク" xfId="2836" builtinId="9" hidden="1"/>
    <cellStyle name="表示済みのハイパーリンク" xfId="2838" builtinId="9" hidden="1"/>
    <cellStyle name="表示済みのハイパーリンク" xfId="2840" builtinId="9" hidden="1"/>
    <cellStyle name="表示済みのハイパーリンク" xfId="2842" builtinId="9" hidden="1"/>
    <cellStyle name="表示済みのハイパーリンク" xfId="2844" builtinId="9" hidden="1"/>
    <cellStyle name="表示済みのハイパーリンク" xfId="2846" builtinId="9" hidden="1"/>
    <cellStyle name="表示済みのハイパーリンク" xfId="2848" builtinId="9" hidden="1"/>
    <cellStyle name="表示済みのハイパーリンク" xfId="2850" builtinId="9" hidden="1"/>
    <cellStyle name="表示済みのハイパーリンク" xfId="2852" builtinId="9" hidden="1"/>
    <cellStyle name="表示済みのハイパーリンク" xfId="2854" builtinId="9" hidden="1"/>
    <cellStyle name="表示済みのハイパーリンク" xfId="2856" builtinId="9" hidden="1"/>
    <cellStyle name="表示済みのハイパーリンク" xfId="2858" builtinId="9" hidden="1"/>
    <cellStyle name="表示済みのハイパーリンク" xfId="2860" builtinId="9" hidden="1"/>
    <cellStyle name="表示済みのハイパーリンク" xfId="2862" builtinId="9" hidden="1"/>
    <cellStyle name="表示済みのハイパーリンク" xfId="2864" builtinId="9" hidden="1"/>
    <cellStyle name="表示済みのハイパーリンク" xfId="2866" builtinId="9" hidden="1"/>
    <cellStyle name="表示済みのハイパーリンク" xfId="2868" builtinId="9" hidden="1"/>
    <cellStyle name="表示済みのハイパーリンク" xfId="2870" builtinId="9" hidden="1"/>
    <cellStyle name="表示済みのハイパーリンク" xfId="2872" builtinId="9" hidden="1"/>
    <cellStyle name="表示済みのハイパーリンク" xfId="2874" builtinId="9" hidden="1"/>
    <cellStyle name="表示済みのハイパーリンク" xfId="2876" builtinId="9" hidden="1"/>
    <cellStyle name="表示済みのハイパーリンク" xfId="2878" builtinId="9" hidden="1"/>
    <cellStyle name="表示済みのハイパーリンク" xfId="2880" builtinId="9" hidden="1"/>
    <cellStyle name="表示済みのハイパーリンク" xfId="2882" builtinId="9" hidden="1"/>
    <cellStyle name="表示済みのハイパーリンク" xfId="2884" builtinId="9" hidden="1"/>
    <cellStyle name="表示済みのハイパーリンク" xfId="2886" builtinId="9" hidden="1"/>
    <cellStyle name="表示済みのハイパーリンク" xfId="2888" builtinId="9" hidden="1"/>
    <cellStyle name="表示済みのハイパーリンク" xfId="2890" builtinId="9" hidden="1"/>
    <cellStyle name="表示済みのハイパーリンク" xfId="2892" builtinId="9" hidden="1"/>
    <cellStyle name="表示済みのハイパーリンク" xfId="2894" builtinId="9" hidden="1"/>
    <cellStyle name="表示済みのハイパーリンク" xfId="2896" builtinId="9" hidden="1"/>
    <cellStyle name="表示済みのハイパーリンク" xfId="2898" builtinId="9" hidden="1"/>
    <cellStyle name="表示済みのハイパーリンク" xfId="2900" builtinId="9" hidden="1"/>
    <cellStyle name="表示済みのハイパーリンク" xfId="2902" builtinId="9" hidden="1"/>
    <cellStyle name="表示済みのハイパーリンク" xfId="2904" builtinId="9" hidden="1"/>
    <cellStyle name="表示済みのハイパーリンク" xfId="2906" builtinId="9" hidden="1"/>
    <cellStyle name="表示済みのハイパーリンク" xfId="2908" builtinId="9" hidden="1"/>
    <cellStyle name="表示済みのハイパーリンク" xfId="2910" builtinId="9" hidden="1"/>
    <cellStyle name="表示済みのハイパーリンク" xfId="2912" builtinId="9" hidden="1"/>
    <cellStyle name="表示済みのハイパーリンク" xfId="2914" builtinId="9" hidden="1"/>
    <cellStyle name="表示済みのハイパーリンク" xfId="2916" builtinId="9" hidden="1"/>
    <cellStyle name="表示済みのハイパーリンク" xfId="2918" builtinId="9" hidden="1"/>
    <cellStyle name="表示済みのハイパーリンク" xfId="2920" builtinId="9" hidden="1"/>
    <cellStyle name="表示済みのハイパーリンク" xfId="2922" builtinId="9" hidden="1"/>
    <cellStyle name="表示済みのハイパーリンク" xfId="2924" builtinId="9" hidden="1"/>
    <cellStyle name="表示済みのハイパーリンク" xfId="2926" builtinId="9" hidden="1"/>
    <cellStyle name="表示済みのハイパーリンク" xfId="2928" builtinId="9" hidden="1"/>
    <cellStyle name="表示済みのハイパーリンク" xfId="2930" builtinId="9" hidden="1"/>
    <cellStyle name="表示済みのハイパーリンク" xfId="2932" builtinId="9" hidden="1"/>
    <cellStyle name="表示済みのハイパーリンク" xfId="2934" builtinId="9" hidden="1"/>
    <cellStyle name="表示済みのハイパーリンク" xfId="2936" builtinId="9" hidden="1"/>
    <cellStyle name="表示済みのハイパーリンク" xfId="2938" builtinId="9" hidden="1"/>
    <cellStyle name="表示済みのハイパーリンク" xfId="2940" builtinId="9" hidden="1"/>
    <cellStyle name="表示済みのハイパーリンク" xfId="2942" builtinId="9" hidden="1"/>
    <cellStyle name="表示済みのハイパーリンク" xfId="2944" builtinId="9" hidden="1"/>
    <cellStyle name="表示済みのハイパーリンク" xfId="2946" builtinId="9" hidden="1"/>
    <cellStyle name="表示済みのハイパーリンク" xfId="2948" builtinId="9" hidden="1"/>
    <cellStyle name="表示済みのハイパーリンク" xfId="2950" builtinId="9" hidden="1"/>
    <cellStyle name="表示済みのハイパーリンク" xfId="2952" builtinId="9" hidden="1"/>
    <cellStyle name="表示済みのハイパーリンク" xfId="2954" builtinId="9" hidden="1"/>
    <cellStyle name="表示済みのハイパーリンク" xfId="2956" builtinId="9" hidden="1"/>
    <cellStyle name="表示済みのハイパーリンク" xfId="2958" builtinId="9" hidden="1"/>
    <cellStyle name="表示済みのハイパーリンク" xfId="2960" builtinId="9" hidden="1"/>
    <cellStyle name="表示済みのハイパーリンク" xfId="2962" builtinId="9" hidden="1"/>
    <cellStyle name="表示済みのハイパーリンク" xfId="2964" builtinId="9" hidden="1"/>
    <cellStyle name="表示済みのハイパーリンク" xfId="2966" builtinId="9" hidden="1"/>
    <cellStyle name="表示済みのハイパーリンク" xfId="2968" builtinId="9" hidden="1"/>
    <cellStyle name="表示済みのハイパーリンク" xfId="2970" builtinId="9" hidden="1"/>
    <cellStyle name="表示済みのハイパーリンク" xfId="2972" builtinId="9" hidden="1"/>
    <cellStyle name="表示済みのハイパーリンク" xfId="2974" builtinId="9" hidden="1"/>
    <cellStyle name="表示済みのハイパーリンク" xfId="2976" builtinId="9" hidden="1"/>
    <cellStyle name="表示済みのハイパーリンク" xfId="2978" builtinId="9" hidden="1"/>
    <cellStyle name="表示済みのハイパーリンク" xfId="2980" builtinId="9" hidden="1"/>
    <cellStyle name="表示済みのハイパーリンク" xfId="2982" builtinId="9" hidden="1"/>
    <cellStyle name="表示済みのハイパーリンク" xfId="2984" builtinId="9" hidden="1"/>
    <cellStyle name="表示済みのハイパーリンク" xfId="2986" builtinId="9" hidden="1"/>
    <cellStyle name="表示済みのハイパーリンク" xfId="2988" builtinId="9" hidden="1"/>
    <cellStyle name="表示済みのハイパーリンク" xfId="2990" builtinId="9" hidden="1"/>
    <cellStyle name="表示済みのハイパーリンク" xfId="2992" builtinId="9" hidden="1"/>
    <cellStyle name="表示済みのハイパーリンク" xfId="2994" builtinId="9" hidden="1"/>
    <cellStyle name="表示済みのハイパーリンク" xfId="2996" builtinId="9" hidden="1"/>
    <cellStyle name="表示済みのハイパーリンク" xfId="2998" builtinId="9" hidden="1"/>
    <cellStyle name="表示済みのハイパーリンク" xfId="3000" builtinId="9" hidden="1"/>
    <cellStyle name="表示済みのハイパーリンク" xfId="3002" builtinId="9" hidden="1"/>
    <cellStyle name="表示済みのハイパーリンク" xfId="3004" builtinId="9" hidden="1"/>
    <cellStyle name="表示済みのハイパーリンク" xfId="3006" builtinId="9" hidden="1"/>
    <cellStyle name="表示済みのハイパーリンク" xfId="3008" builtinId="9" hidden="1"/>
    <cellStyle name="表示済みのハイパーリンク" xfId="3010" builtinId="9" hidden="1"/>
    <cellStyle name="表示済みのハイパーリンク" xfId="3012" builtinId="9" hidden="1"/>
    <cellStyle name="表示済みのハイパーリンク" xfId="3014" builtinId="9" hidden="1"/>
    <cellStyle name="表示済みのハイパーリンク" xfId="3016" builtinId="9" hidden="1"/>
    <cellStyle name="表示済みのハイパーリンク" xfId="3018" builtinId="9" hidden="1"/>
    <cellStyle name="表示済みのハイパーリンク" xfId="3020" builtinId="9" hidden="1"/>
    <cellStyle name="表示済みのハイパーリンク" xfId="3022" builtinId="9" hidden="1"/>
    <cellStyle name="表示済みのハイパーリンク" xfId="3024" builtinId="9" hidden="1"/>
    <cellStyle name="表示済みのハイパーリンク" xfId="3026" builtinId="9" hidden="1"/>
    <cellStyle name="表示済みのハイパーリンク" xfId="3028" builtinId="9" hidden="1"/>
    <cellStyle name="表示済みのハイパーリンク" xfId="3030" builtinId="9" hidden="1"/>
    <cellStyle name="表示済みのハイパーリンク" xfId="3032" builtinId="9" hidden="1"/>
    <cellStyle name="表示済みのハイパーリンク" xfId="3034" builtinId="9" hidden="1"/>
    <cellStyle name="表示済みのハイパーリンク" xfId="3036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6" builtinId="9" hidden="1"/>
    <cellStyle name="表示済みのハイパーリンク" xfId="3578" builtinId="9" hidden="1"/>
    <cellStyle name="表示済みのハイパーリンク" xfId="3580" builtinId="9" hidden="1"/>
    <cellStyle name="表示済みのハイパーリンク" xfId="3582" builtinId="9" hidden="1"/>
    <cellStyle name="表示済みのハイパーリンク" xfId="3584" builtinId="9" hidden="1"/>
    <cellStyle name="表示済みのハイパーリンク" xfId="3586" builtinId="9" hidden="1"/>
    <cellStyle name="表示済みのハイパーリンク" xfId="3588" builtinId="9" hidden="1"/>
    <cellStyle name="表示済みのハイパーリンク" xfId="3590" builtinId="9" hidden="1"/>
    <cellStyle name="表示済みのハイパーリンク" xfId="3592" builtinId="9" hidden="1"/>
    <cellStyle name="表示済みのハイパーリンク" xfId="3594" builtinId="9" hidden="1"/>
    <cellStyle name="表示済みのハイパーリンク" xfId="3596" builtinId="9" hidden="1"/>
    <cellStyle name="表示済みのハイパーリンク" xfId="3598" builtinId="9" hidden="1"/>
    <cellStyle name="表示済みのハイパーリンク" xfId="3600" builtinId="9" hidden="1"/>
    <cellStyle name="表示済みのハイパーリンク" xfId="3602" builtinId="9" hidden="1"/>
    <cellStyle name="表示済みのハイパーリンク" xfId="3604" builtinId="9" hidden="1"/>
    <cellStyle name="表示済みのハイパーリンク" xfId="3606" builtinId="9" hidden="1"/>
    <cellStyle name="表示済みのハイパーリンク" xfId="3608" builtinId="9" hidden="1"/>
    <cellStyle name="表示済みのハイパーリンク" xfId="3610" builtinId="9" hidden="1"/>
    <cellStyle name="表示済みのハイパーリンク" xfId="3612" builtinId="9" hidden="1"/>
    <cellStyle name="表示済みのハイパーリンク" xfId="3614" builtinId="9" hidden="1"/>
    <cellStyle name="表示済みのハイパーリンク" xfId="3616" builtinId="9" hidden="1"/>
    <cellStyle name="表示済みのハイパーリンク" xfId="3618" builtinId="9" hidden="1"/>
    <cellStyle name="表示済みのハイパーリンク" xfId="3620" builtinId="9" hidden="1"/>
    <cellStyle name="表示済みのハイパーリンク" xfId="3622" builtinId="9" hidden="1"/>
    <cellStyle name="表示済みのハイパーリンク" xfId="3624" builtinId="9" hidden="1"/>
    <cellStyle name="表示済みのハイパーリンク" xfId="3626" builtinId="9" hidden="1"/>
    <cellStyle name="表示済みのハイパーリンク" xfId="3628" builtinId="9" hidden="1"/>
    <cellStyle name="表示済みのハイパーリンク" xfId="3630" builtinId="9" hidden="1"/>
    <cellStyle name="表示済みのハイパーリンク" xfId="3632" builtinId="9" hidden="1"/>
    <cellStyle name="表示済みのハイパーリンク" xfId="3634" builtinId="9" hidden="1"/>
    <cellStyle name="表示済みのハイパーリンク" xfId="3636" builtinId="9" hidden="1"/>
    <cellStyle name="表示済みのハイパーリンク" xfId="3638" builtinId="9" hidden="1"/>
    <cellStyle name="表示済みのハイパーリンク" xfId="3640" builtinId="9" hidden="1"/>
    <cellStyle name="表示済みのハイパーリンク" xfId="3642" builtinId="9" hidden="1"/>
    <cellStyle name="表示済みのハイパーリンク" xfId="3644" builtinId="9" hidden="1"/>
    <cellStyle name="表示済みのハイパーリンク" xfId="3646" builtinId="9" hidden="1"/>
    <cellStyle name="表示済みのハイパーリンク" xfId="3648" builtinId="9" hidden="1"/>
    <cellStyle name="表示済みのハイパーリンク" xfId="3650" builtinId="9" hidden="1"/>
    <cellStyle name="表示済みのハイパーリンク" xfId="3652" builtinId="9" hidden="1"/>
    <cellStyle name="表示済みのハイパーリンク" xfId="3654" builtinId="9" hidden="1"/>
    <cellStyle name="表示済みのハイパーリンク" xfId="3656" builtinId="9" hidden="1"/>
    <cellStyle name="表示済みのハイパーリンク" xfId="3658" builtinId="9" hidden="1"/>
    <cellStyle name="表示済みのハイパーリンク" xfId="3660" builtinId="9" hidden="1"/>
    <cellStyle name="表示済みのハイパーリンク" xfId="3662" builtinId="9" hidden="1"/>
    <cellStyle name="表示済みのハイパーリンク" xfId="3664" builtinId="9" hidden="1"/>
    <cellStyle name="表示済みのハイパーリンク" xfId="3666" builtinId="9" hidden="1"/>
    <cellStyle name="表示済みのハイパーリンク" xfId="3668" builtinId="9" hidden="1"/>
    <cellStyle name="表示済みのハイパーリンク" xfId="3670" builtinId="9" hidden="1"/>
    <cellStyle name="表示済みのハイパーリンク" xfId="3672" builtinId="9" hidden="1"/>
    <cellStyle name="表示済みのハイパーリンク" xfId="3674" builtinId="9" hidden="1"/>
    <cellStyle name="表示済みのハイパーリンク" xfId="3676" builtinId="9" hidden="1"/>
    <cellStyle name="表示済みのハイパーリンク" xfId="3678" builtinId="9" hidden="1"/>
    <cellStyle name="表示済みのハイパーリンク" xfId="3680" builtinId="9" hidden="1"/>
    <cellStyle name="表示済みのハイパーリンク" xfId="3682" builtinId="9" hidden="1"/>
    <cellStyle name="表示済みのハイパーリンク" xfId="3684" builtinId="9" hidden="1"/>
    <cellStyle name="表示済みのハイパーリンク" xfId="3686" builtinId="9" hidden="1"/>
    <cellStyle name="表示済みのハイパーリンク" xfId="3688" builtinId="9" hidden="1"/>
    <cellStyle name="表示済みのハイパーリンク" xfId="3690" builtinId="9" hidden="1"/>
    <cellStyle name="表示済みのハイパーリンク" xfId="3692" builtinId="9" hidden="1"/>
    <cellStyle name="表示済みのハイパーリンク" xfId="3694" builtinId="9" hidden="1"/>
    <cellStyle name="表示済みのハイパーリンク" xfId="3696" builtinId="9" hidden="1"/>
    <cellStyle name="表示済みのハイパーリンク" xfId="3698" builtinId="9" hidden="1"/>
    <cellStyle name="表示済みのハイパーリンク" xfId="3700" builtinId="9" hidden="1"/>
    <cellStyle name="表示済みのハイパーリンク" xfId="3702" builtinId="9" hidden="1"/>
    <cellStyle name="表示済みのハイパーリンク" xfId="3704" builtinId="9" hidden="1"/>
    <cellStyle name="表示済みのハイパーリンク" xfId="3706" builtinId="9" hidden="1"/>
    <cellStyle name="表示済みのハイパーリンク" xfId="3708" builtinId="9" hidden="1"/>
    <cellStyle name="表示済みのハイパーリンク" xfId="3710" builtinId="9" hidden="1"/>
    <cellStyle name="表示済みのハイパーリンク" xfId="3712" builtinId="9" hidden="1"/>
    <cellStyle name="表示済みのハイパーリンク" xfId="3714" builtinId="9" hidden="1"/>
    <cellStyle name="表示済みのハイパーリンク" xfId="3716" builtinId="9" hidden="1"/>
    <cellStyle name="表示済みのハイパーリンク" xfId="3718" builtinId="9" hidden="1"/>
    <cellStyle name="表示済みのハイパーリンク" xfId="3720" builtinId="9" hidden="1"/>
    <cellStyle name="表示済みのハイパーリンク" xfId="3722" builtinId="9" hidden="1"/>
    <cellStyle name="表示済みのハイパーリンク" xfId="3724" builtinId="9" hidden="1"/>
    <cellStyle name="表示済みのハイパーリンク" xfId="3726" builtinId="9" hidden="1"/>
    <cellStyle name="表示済みのハイパーリンク" xfId="3728" builtinId="9" hidden="1"/>
    <cellStyle name="表示済みのハイパーリンク" xfId="3730" builtinId="9" hidden="1"/>
    <cellStyle name="表示済みのハイパーリンク" xfId="3732" builtinId="9" hidden="1"/>
    <cellStyle name="表示済みのハイパーリンク" xfId="3734" builtinId="9" hidden="1"/>
    <cellStyle name="表示済みのハイパーリンク" xfId="3736" builtinId="9" hidden="1"/>
    <cellStyle name="表示済みのハイパーリンク" xfId="3738" builtinId="9" hidden="1"/>
    <cellStyle name="表示済みのハイパーリンク" xfId="3740" builtinId="9" hidden="1"/>
    <cellStyle name="表示済みのハイパーリンク" xfId="3742" builtinId="9" hidden="1"/>
    <cellStyle name="表示済みのハイパーリンク" xfId="3744" builtinId="9" hidden="1"/>
    <cellStyle name="表示済みのハイパーリンク" xfId="3746" builtinId="9" hidden="1"/>
    <cellStyle name="表示済みのハイパーリンク" xfId="3748" builtinId="9" hidden="1"/>
    <cellStyle name="表示済みのハイパーリンク" xfId="3750" builtinId="9" hidden="1"/>
    <cellStyle name="表示済みのハイパーリンク" xfId="3752" builtinId="9" hidden="1"/>
    <cellStyle name="表示済みのハイパーリンク" xfId="3754" builtinId="9" hidden="1"/>
    <cellStyle name="表示済みのハイパーリンク" xfId="3756" builtinId="9" hidden="1"/>
    <cellStyle name="表示済みのハイパーリンク" xfId="3758" builtinId="9" hidden="1"/>
    <cellStyle name="表示済みのハイパーリンク" xfId="3760" builtinId="9" hidden="1"/>
    <cellStyle name="表示済みのハイパーリンク" xfId="3762" builtinId="9" hidden="1"/>
    <cellStyle name="表示済みのハイパーリンク" xfId="3764" builtinId="9" hidden="1"/>
    <cellStyle name="表示済みのハイパーリンク" xfId="3766" builtinId="9" hidden="1"/>
    <cellStyle name="表示済みのハイパーリンク" xfId="3768" builtinId="9" hidden="1"/>
    <cellStyle name="表示済みのハイパーリンク" xfId="3770" builtinId="9" hidden="1"/>
    <cellStyle name="表示済みのハイパーリンク" xfId="3772" builtinId="9" hidden="1"/>
    <cellStyle name="表示済みのハイパーリンク" xfId="3774" builtinId="9" hidden="1"/>
    <cellStyle name="表示済みのハイパーリンク" xfId="3776" builtinId="9" hidden="1"/>
    <cellStyle name="表示済みのハイパーリンク" xfId="3778" builtinId="9" hidden="1"/>
    <cellStyle name="表示済みのハイパーリンク" xfId="3780" builtinId="9" hidden="1"/>
    <cellStyle name="表示済みのハイパーリンク" xfId="3782" builtinId="9" hidden="1"/>
    <cellStyle name="表示済みのハイパーリンク" xfId="3784" builtinId="9" hidden="1"/>
    <cellStyle name="表示済みのハイパーリンク" xfId="3786" builtinId="9" hidden="1"/>
    <cellStyle name="表示済みのハイパーリンク" xfId="3788" builtinId="9" hidden="1"/>
    <cellStyle name="表示済みのハイパーリンク" xfId="3790" builtinId="9" hidden="1"/>
    <cellStyle name="表示済みのハイパーリンク" xfId="3792" builtinId="9" hidden="1"/>
    <cellStyle name="表示済みのハイパーリンク" xfId="3794" builtinId="9" hidden="1"/>
    <cellStyle name="表示済みのハイパーリンク" xfId="3796" builtinId="9" hidden="1"/>
    <cellStyle name="表示済みのハイパーリンク" xfId="3798" builtinId="9" hidden="1"/>
    <cellStyle name="表示済みのハイパーリンク" xfId="3800" builtinId="9" hidden="1"/>
    <cellStyle name="表示済みのハイパーリンク" xfId="3802" builtinId="9" hidden="1"/>
    <cellStyle name="表示済みのハイパーリンク" xfId="3804" builtinId="9" hidden="1"/>
    <cellStyle name="表示済みのハイパーリンク" xfId="3806" builtinId="9" hidden="1"/>
    <cellStyle name="表示済みのハイパーリンク" xfId="3808" builtinId="9" hidden="1"/>
    <cellStyle name="表示済みのハイパーリンク" xfId="3810" builtinId="9" hidden="1"/>
    <cellStyle name="表示済みのハイパーリンク" xfId="3812" builtinId="9" hidden="1"/>
    <cellStyle name="表示済みのハイパーリンク" xfId="3814" builtinId="9" hidden="1"/>
    <cellStyle name="表示済みのハイパーリンク" xfId="3816" builtinId="9" hidden="1"/>
    <cellStyle name="表示済みのハイパーリンク" xfId="3818" builtinId="9" hidden="1"/>
    <cellStyle name="表示済みのハイパーリンク" xfId="3820" builtinId="9" hidden="1"/>
    <cellStyle name="表示済みのハイパーリンク" xfId="3822" builtinId="9" hidden="1"/>
    <cellStyle name="表示済みのハイパーリンク" xfId="3824" builtinId="9" hidden="1"/>
    <cellStyle name="表示済みのハイパーリンク" xfId="3826" builtinId="9" hidden="1"/>
    <cellStyle name="表示済みのハイパーリンク" xfId="3828" builtinId="9" hidden="1"/>
    <cellStyle name="表示済みのハイパーリンク" xfId="3830" builtinId="9" hidden="1"/>
    <cellStyle name="表示済みのハイパーリンク" xfId="3832" builtinId="9" hidden="1"/>
    <cellStyle name="表示済みのハイパーリンク" xfId="3834" builtinId="9" hidden="1"/>
    <cellStyle name="表示済みのハイパーリンク" xfId="3836" builtinId="9" hidden="1"/>
    <cellStyle name="表示済みのハイパーリンク" xfId="3838" builtinId="9" hidden="1"/>
    <cellStyle name="表示済みのハイパーリンク" xfId="3840" builtinId="9" hidden="1"/>
    <cellStyle name="表示済みのハイパーリンク" xfId="3842" builtinId="9" hidden="1"/>
    <cellStyle name="表示済みのハイパーリンク" xfId="3844" builtinId="9" hidden="1"/>
    <cellStyle name="表示済みのハイパーリンク" xfId="3846" builtinId="9" hidden="1"/>
    <cellStyle name="表示済みのハイパーリンク" xfId="3848" builtinId="9" hidden="1"/>
    <cellStyle name="表示済みのハイパーリンク" xfId="3850" builtinId="9" hidden="1"/>
    <cellStyle name="表示済みのハイパーリンク" xfId="3852" builtinId="9" hidden="1"/>
    <cellStyle name="表示済みのハイパーリンク" xfId="3854" builtinId="9" hidden="1"/>
    <cellStyle name="表示済みのハイパーリンク" xfId="3856" builtinId="9" hidden="1"/>
    <cellStyle name="表示済みのハイパーリンク" xfId="3858" builtinId="9" hidden="1"/>
    <cellStyle name="表示済みのハイパーリンク" xfId="3860" builtinId="9" hidden="1"/>
    <cellStyle name="表示済みのハイパーリンク" xfId="3862" builtinId="9" hidden="1"/>
    <cellStyle name="表示済みのハイパーリンク" xfId="3864" builtinId="9" hidden="1"/>
    <cellStyle name="表示済みのハイパーリンク" xfId="3866" builtinId="9" hidden="1"/>
    <cellStyle name="表示済みのハイパーリンク" xfId="3868" builtinId="9" hidden="1"/>
    <cellStyle name="表示済みのハイパーリンク" xfId="3870" builtinId="9" hidden="1"/>
    <cellStyle name="表示済みのハイパーリンク" xfId="3872" builtinId="9" hidden="1"/>
    <cellStyle name="表示済みのハイパーリンク" xfId="3874" builtinId="9" hidden="1"/>
    <cellStyle name="表示済みのハイパーリンク" xfId="3876" builtinId="9" hidden="1"/>
    <cellStyle name="表示済みのハイパーリンク" xfId="3878" builtinId="9" hidden="1"/>
    <cellStyle name="表示済みのハイパーリンク" xfId="3880" builtinId="9" hidden="1"/>
    <cellStyle name="表示済みのハイパーリンク" xfId="3882" builtinId="9" hidden="1"/>
    <cellStyle name="表示済みのハイパーリンク" xfId="3884" builtinId="9" hidden="1"/>
    <cellStyle name="表示済みのハイパーリンク" xfId="3886" builtinId="9" hidden="1"/>
    <cellStyle name="表示済みのハイパーリンク" xfId="3888" builtinId="9" hidden="1"/>
    <cellStyle name="表示済みのハイパーリンク" xfId="3890" builtinId="9" hidden="1"/>
    <cellStyle name="表示済みのハイパーリンク" xfId="3892" builtinId="9" hidden="1"/>
    <cellStyle name="表示済みのハイパーリンク" xfId="3894" builtinId="9" hidden="1"/>
    <cellStyle name="表示済みのハイパーリンク" xfId="3896" builtinId="9" hidden="1"/>
    <cellStyle name="表示済みのハイパーリンク" xfId="3898" builtinId="9" hidden="1"/>
    <cellStyle name="表示済みのハイパーリンク" xfId="3900" builtinId="9" hidden="1"/>
    <cellStyle name="表示済みのハイパーリンク" xfId="3902" builtinId="9" hidden="1"/>
    <cellStyle name="表示済みのハイパーリンク" xfId="3904" builtinId="9" hidden="1"/>
    <cellStyle name="表示済みのハイパーリンク" xfId="3906" builtinId="9" hidden="1"/>
    <cellStyle name="表示済みのハイパーリンク" xfId="3908" builtinId="9" hidden="1"/>
    <cellStyle name="表示済みのハイパーリンク" xfId="3910" builtinId="9" hidden="1"/>
    <cellStyle name="表示済みのハイパーリンク" xfId="3912" builtinId="9" hidden="1"/>
    <cellStyle name="表示済みのハイパーリンク" xfId="3914" builtinId="9" hidden="1"/>
    <cellStyle name="表示済みのハイパーリンク" xfId="3916" builtinId="9" hidden="1"/>
    <cellStyle name="表示済みのハイパーリンク" xfId="3918" builtinId="9" hidden="1"/>
    <cellStyle name="表示済みのハイパーリンク" xfId="3920" builtinId="9" hidden="1"/>
    <cellStyle name="表示済みのハイパーリンク" xfId="3922" builtinId="9" hidden="1"/>
    <cellStyle name="表示済みのハイパーリンク" xfId="3924" builtinId="9" hidden="1"/>
    <cellStyle name="表示済みのハイパーリンク" xfId="3926" builtinId="9" hidden="1"/>
    <cellStyle name="表示済みのハイパーリンク" xfId="3928" builtinId="9" hidden="1"/>
    <cellStyle name="表示済みのハイパーリンク" xfId="3930" builtinId="9" hidden="1"/>
    <cellStyle name="表示済みのハイパーリンク" xfId="3932" builtinId="9" hidden="1"/>
    <cellStyle name="表示済みのハイパーリンク" xfId="3934" builtinId="9" hidden="1"/>
    <cellStyle name="表示済みのハイパーリンク" xfId="3936" builtinId="9" hidden="1"/>
    <cellStyle name="表示済みのハイパーリンク" xfId="3938" builtinId="9" hidden="1"/>
    <cellStyle name="表示済みのハイパーリンク" xfId="3940" builtinId="9" hidden="1"/>
    <cellStyle name="表示済みのハイパーリンク" xfId="3942" builtinId="9" hidden="1"/>
    <cellStyle name="表示済みのハイパーリンク" xfId="3944" builtinId="9" hidden="1"/>
    <cellStyle name="表示済みのハイパーリンク" xfId="3946" builtinId="9" hidden="1"/>
    <cellStyle name="表示済みのハイパーリンク" xfId="3948" builtinId="9" hidden="1"/>
    <cellStyle name="表示済みのハイパーリンク" xfId="3950" builtinId="9" hidden="1"/>
    <cellStyle name="表示済みのハイパーリンク" xfId="3952" builtinId="9" hidden="1"/>
    <cellStyle name="表示済みのハイパーリンク" xfId="3954" builtinId="9" hidden="1"/>
    <cellStyle name="表示済みのハイパーリンク" xfId="3956" builtinId="9" hidden="1"/>
    <cellStyle name="表示済みのハイパーリンク" xfId="3958" builtinId="9" hidden="1"/>
    <cellStyle name="表示済みのハイパーリンク" xfId="3960" builtinId="9" hidden="1"/>
    <cellStyle name="表示済みのハイパーリンク" xfId="3962" builtinId="9" hidden="1"/>
    <cellStyle name="表示済みのハイパーリンク" xfId="3964" builtinId="9" hidden="1"/>
    <cellStyle name="表示済みのハイパーリンク" xfId="3966" builtinId="9" hidden="1"/>
    <cellStyle name="表示済みのハイパーリンク" xfId="3968" builtinId="9" hidden="1"/>
    <cellStyle name="表示済みのハイパーリンク" xfId="3970" builtinId="9" hidden="1"/>
    <cellStyle name="表示済みのハイパーリンク" xfId="3972" builtinId="9" hidden="1"/>
    <cellStyle name="表示済みのハイパーリンク" xfId="3974" builtinId="9" hidden="1"/>
    <cellStyle name="表示済みのハイパーリンク" xfId="3976" builtinId="9" hidden="1"/>
    <cellStyle name="表示済みのハイパーリンク" xfId="3978" builtinId="9" hidden="1"/>
    <cellStyle name="表示済みのハイパーリンク" xfId="3980" builtinId="9" hidden="1"/>
    <cellStyle name="表示済みのハイパーリンク" xfId="3982" builtinId="9" hidden="1"/>
    <cellStyle name="表示済みのハイパーリンク" xfId="3984" builtinId="9" hidden="1"/>
    <cellStyle name="表示済みのハイパーリンク" xfId="3986" builtinId="9" hidden="1"/>
    <cellStyle name="表示済みのハイパーリンク" xfId="3988" builtinId="9" hidden="1"/>
    <cellStyle name="表示済みのハイパーリンク" xfId="3990" builtinId="9" hidden="1"/>
    <cellStyle name="表示済みのハイパーリンク" xfId="3992" builtinId="9" hidden="1"/>
    <cellStyle name="表示済みのハイパーリンク" xfId="3994" builtinId="9" hidden="1"/>
    <cellStyle name="表示済みのハイパーリンク" xfId="3996" builtinId="9" hidden="1"/>
    <cellStyle name="表示済みのハイパーリンク" xfId="3998" builtinId="9" hidden="1"/>
    <cellStyle name="表示済みのハイパーリンク" xfId="4000" builtinId="9" hidden="1"/>
    <cellStyle name="表示済みのハイパーリンク" xfId="4002" builtinId="9" hidden="1"/>
    <cellStyle name="表示済みのハイパーリンク" xfId="4004" builtinId="9" hidden="1"/>
    <cellStyle name="表示済みのハイパーリンク" xfId="4006" builtinId="9" hidden="1"/>
    <cellStyle name="表示済みのハイパーリンク" xfId="4008" builtinId="9" hidden="1"/>
    <cellStyle name="表示済みのハイパーリンク" xfId="4010" builtinId="9" hidden="1"/>
    <cellStyle name="表示済みのハイパーリンク" xfId="4012" builtinId="9" hidden="1"/>
    <cellStyle name="表示済みのハイパーリンク" xfId="4014" builtinId="9" hidden="1"/>
    <cellStyle name="表示済みのハイパーリンク" xfId="4016" builtinId="9" hidden="1"/>
    <cellStyle name="表示済みのハイパーリンク" xfId="4018" builtinId="9" hidden="1"/>
    <cellStyle name="表示済みのハイパーリンク" xfId="4020" builtinId="9" hidden="1"/>
    <cellStyle name="表示済みのハイパーリンク" xfId="4022" builtinId="9" hidden="1"/>
    <cellStyle name="表示済みのハイパーリンク" xfId="4024" builtinId="9" hidden="1"/>
    <cellStyle name="表示済みのハイパーリンク" xfId="4026" builtinId="9" hidden="1"/>
    <cellStyle name="表示済みのハイパーリンク" xfId="4028" builtinId="9" hidden="1"/>
    <cellStyle name="表示済みのハイパーリンク" xfId="4030" builtinId="9" hidden="1"/>
    <cellStyle name="表示済みのハイパーリンク" xfId="4032" builtinId="9" hidden="1"/>
    <cellStyle name="表示済みのハイパーリンク" xfId="4034" builtinId="9" hidden="1"/>
    <cellStyle name="表示済みのハイパーリンク" xfId="4036" builtinId="9" hidden="1"/>
    <cellStyle name="表示済みのハイパーリンク" xfId="4038" builtinId="9" hidden="1"/>
    <cellStyle name="表示済みのハイパーリンク" xfId="4040" builtinId="9" hidden="1"/>
    <cellStyle name="表示済みのハイパーリンク" xfId="4042" builtinId="9" hidden="1"/>
    <cellStyle name="表示済みのハイパーリンク" xfId="4044" builtinId="9" hidden="1"/>
    <cellStyle name="表示済みのハイパーリンク" xfId="4046" builtinId="9" hidden="1"/>
    <cellStyle name="表示済みのハイパーリンク" xfId="4048" builtinId="9" hidden="1"/>
    <cellStyle name="表示済みのハイパーリンク" xfId="4050" builtinId="9" hidden="1"/>
    <cellStyle name="表示済みのハイパーリンク" xfId="4052" builtinId="9" hidden="1"/>
    <cellStyle name="表示済みのハイパーリンク" xfId="4054" builtinId="9" hidden="1"/>
    <cellStyle name="表示済みのハイパーリンク" xfId="4056" builtinId="9" hidden="1"/>
    <cellStyle name="表示済みのハイパーリンク" xfId="4058" builtinId="9" hidden="1"/>
    <cellStyle name="表示済みのハイパーリンク" xfId="4060" builtinId="9" hidden="1"/>
    <cellStyle name="表示済みのハイパーリンク" xfId="4062" builtinId="9" hidden="1"/>
    <cellStyle name="表示済みのハイパーリンク" xfId="4064" builtinId="9" hidden="1"/>
    <cellStyle name="表示済みのハイパーリンク" xfId="4066" builtinId="9" hidden="1"/>
    <cellStyle name="表示済みのハイパーリンク" xfId="4068" builtinId="9" hidden="1"/>
    <cellStyle name="表示済みのハイパーリンク" xfId="4070" builtinId="9" hidden="1"/>
    <cellStyle name="表示済みのハイパーリンク" xfId="4072" builtinId="9" hidden="1"/>
    <cellStyle name="表示済みのハイパーリンク" xfId="4074" builtinId="9" hidden="1"/>
    <cellStyle name="表示済みのハイパーリンク" xfId="4076" builtinId="9" hidden="1"/>
    <cellStyle name="表示済みのハイパーリンク" xfId="4078" builtinId="9" hidden="1"/>
    <cellStyle name="表示済みのハイパーリンク" xfId="4080" builtinId="9" hidden="1"/>
    <cellStyle name="表示済みのハイパーリンク" xfId="4082" builtinId="9" hidden="1"/>
    <cellStyle name="表示済みのハイパーリンク" xfId="4084" builtinId="9" hidden="1"/>
    <cellStyle name="表示済みのハイパーリンク" xfId="4086" builtinId="9" hidden="1"/>
    <cellStyle name="表示済みのハイパーリンク" xfId="4088" builtinId="9" hidden="1"/>
    <cellStyle name="表示済みのハイパーリンク" xfId="4090" builtinId="9" hidden="1"/>
    <cellStyle name="表示済みのハイパーリンク" xfId="4092" builtinId="9" hidden="1"/>
    <cellStyle name="表示済みのハイパーリンク" xfId="4094" builtinId="9" hidden="1"/>
    <cellStyle name="表示済みのハイパーリンク" xfId="4096" builtinId="9" hidden="1"/>
    <cellStyle name="表示済みのハイパーリンク" xfId="4098" builtinId="9" hidden="1"/>
    <cellStyle name="表示済みのハイパーリンク" xfId="4100" builtinId="9" hidden="1"/>
    <cellStyle name="表示済みのハイパーリンク" xfId="4102" builtinId="9" hidden="1"/>
    <cellStyle name="表示済みのハイパーリンク" xfId="4104" builtinId="9" hidden="1"/>
    <cellStyle name="表示済みのハイパーリンク" xfId="4106" builtinId="9" hidden="1"/>
    <cellStyle name="表示済みのハイパーリンク" xfId="4108" builtinId="9" hidden="1"/>
    <cellStyle name="表示済みのハイパーリンク" xfId="4110" builtinId="9" hidden="1"/>
    <cellStyle name="表示済みのハイパーリンク" xfId="4112" builtinId="9" hidden="1"/>
    <cellStyle name="表示済みのハイパーリンク" xfId="4114" builtinId="9" hidden="1"/>
    <cellStyle name="表示済みのハイパーリンク" xfId="4116" builtinId="9" hidden="1"/>
    <cellStyle name="表示済みのハイパーリンク" xfId="4118" builtinId="9" hidden="1"/>
    <cellStyle name="表示済みのハイパーリンク" xfId="4120" builtinId="9" hidden="1"/>
    <cellStyle name="表示済みのハイパーリンク" xfId="4122" builtinId="9" hidden="1"/>
    <cellStyle name="表示済みのハイパーリンク" xfId="4124" builtinId="9" hidden="1"/>
    <cellStyle name="表示済みのハイパーリンク" xfId="4126" builtinId="9" hidden="1"/>
    <cellStyle name="表示済みのハイパーリンク" xfId="4128" builtinId="9" hidden="1"/>
    <cellStyle name="表示済みのハイパーリンク" xfId="4130" builtinId="9" hidden="1"/>
    <cellStyle name="表示済みのハイパーリンク" xfId="4132" builtinId="9" hidden="1"/>
    <cellStyle name="表示済みのハイパーリンク" xfId="4134" builtinId="9" hidden="1"/>
    <cellStyle name="表示済みのハイパーリンク" xfId="4136" builtinId="9" hidden="1"/>
    <cellStyle name="表示済みのハイパーリンク" xfId="4138" builtinId="9" hidden="1"/>
    <cellStyle name="表示済みのハイパーリンク" xfId="4140" builtinId="9" hidden="1"/>
    <cellStyle name="表示済みのハイパーリンク" xfId="4142" builtinId="9" hidden="1"/>
    <cellStyle name="表示済みのハイパーリンク" xfId="4144" builtinId="9" hidden="1"/>
    <cellStyle name="表示済みのハイパーリンク" xfId="4146" builtinId="9" hidden="1"/>
    <cellStyle name="表示済みのハイパーリンク" xfId="4148" builtinId="9" hidden="1"/>
    <cellStyle name="表示済みのハイパーリンク" xfId="4150" builtinId="9" hidden="1"/>
    <cellStyle name="表示済みのハイパーリンク" xfId="4152" builtinId="9" hidden="1"/>
    <cellStyle name="表示済みのハイパーリンク" xfId="4154" builtinId="9" hidden="1"/>
    <cellStyle name="表示済みのハイパーリンク" xfId="4156" builtinId="9" hidden="1"/>
    <cellStyle name="表示済みのハイパーリンク" xfId="4158" builtinId="9" hidden="1"/>
    <cellStyle name="表示済みのハイパーリンク" xfId="4160" builtinId="9" hidden="1"/>
    <cellStyle name="表示済みのハイパーリンク" xfId="4162" builtinId="9" hidden="1"/>
    <cellStyle name="表示済みのハイパーリンク" xfId="4164" builtinId="9" hidden="1"/>
    <cellStyle name="表示済みのハイパーリンク" xfId="4166" builtinId="9" hidden="1"/>
    <cellStyle name="表示済みのハイパーリンク" xfId="4168" builtinId="9" hidden="1"/>
    <cellStyle name="表示済みのハイパーリンク" xfId="4170" builtinId="9" hidden="1"/>
    <cellStyle name="表示済みのハイパーリンク" xfId="4172" builtinId="9" hidden="1"/>
    <cellStyle name="表示済みのハイパーリンク" xfId="4174" builtinId="9" hidden="1"/>
    <cellStyle name="表示済みのハイパーリンク" xfId="4176" builtinId="9" hidden="1"/>
    <cellStyle name="表示済みのハイパーリンク" xfId="4178" builtinId="9" hidden="1"/>
    <cellStyle name="表示済みのハイパーリンク" xfId="4180" builtinId="9" hidden="1"/>
    <cellStyle name="表示済みのハイパーリンク" xfId="4182" builtinId="9" hidden="1"/>
    <cellStyle name="表示済みのハイパーリンク" xfId="4184" builtinId="9" hidden="1"/>
    <cellStyle name="表示済みのハイパーリンク" xfId="4186" builtinId="9" hidden="1"/>
    <cellStyle name="表示済みのハイパーリンク" xfId="4188" builtinId="9" hidden="1"/>
    <cellStyle name="表示済みのハイパーリンク" xfId="4190" builtinId="9" hidden="1"/>
    <cellStyle name="表示済みのハイパーリンク" xfId="4192" builtinId="9" hidden="1"/>
    <cellStyle name="表示済みのハイパーリンク" xfId="4194" builtinId="9" hidden="1"/>
    <cellStyle name="表示済みのハイパーリンク" xfId="4196" builtinId="9" hidden="1"/>
    <cellStyle name="表示済みのハイパーリンク" xfId="4198" builtinId="9" hidden="1"/>
    <cellStyle name="表示済みのハイパーリンク" xfId="4200" builtinId="9" hidden="1"/>
    <cellStyle name="表示済みのハイパーリンク" xfId="4202" builtinId="9" hidden="1"/>
    <cellStyle name="表示済みのハイパーリンク" xfId="4204" builtinId="9" hidden="1"/>
    <cellStyle name="表示済みのハイパーリンク" xfId="4206" builtinId="9" hidden="1"/>
    <cellStyle name="表示済みのハイパーリンク" xfId="4208" builtinId="9" hidden="1"/>
    <cellStyle name="表示済みのハイパーリンク" xfId="4210" builtinId="9" hidden="1"/>
    <cellStyle name="表示済みのハイパーリンク" xfId="4212" builtinId="9" hidden="1"/>
    <cellStyle name="表示済みのハイパーリンク" xfId="4214" builtinId="9" hidden="1"/>
    <cellStyle name="表示済みのハイパーリンク" xfId="4216" builtinId="9" hidden="1"/>
    <cellStyle name="表示済みのハイパーリンク" xfId="4218" builtinId="9" hidden="1"/>
    <cellStyle name="表示済みのハイパーリンク" xfId="4220" builtinId="9" hidden="1"/>
    <cellStyle name="表示済みのハイパーリンク" xfId="4222" builtinId="9" hidden="1"/>
    <cellStyle name="表示済みのハイパーリンク" xfId="4224" builtinId="9" hidden="1"/>
    <cellStyle name="表示済みのハイパーリンク" xfId="4226" builtinId="9" hidden="1"/>
    <cellStyle name="表示済みのハイパーリンク" xfId="4228" builtinId="9" hidden="1"/>
    <cellStyle name="表示済みのハイパーリンク" xfId="4230" builtinId="9" hidden="1"/>
    <cellStyle name="表示済みのハイパーリンク" xfId="4232" builtinId="9" hidden="1"/>
    <cellStyle name="表示済みのハイパーリンク" xfId="4234" builtinId="9" hidden="1"/>
    <cellStyle name="表示済みのハイパーリンク" xfId="4236" builtinId="9" hidden="1"/>
    <cellStyle name="表示済みのハイパーリンク" xfId="4238" builtinId="9" hidden="1"/>
    <cellStyle name="表示済みのハイパーリンク" xfId="4240" builtinId="9" hidden="1"/>
    <cellStyle name="表示済みのハイパーリンク" xfId="4242" builtinId="9" hidden="1"/>
    <cellStyle name="表示済みのハイパーリンク" xfId="4244" builtinId="9" hidden="1"/>
    <cellStyle name="表示済みのハイパーリンク" xfId="4246" builtinId="9" hidden="1"/>
    <cellStyle name="表示済みのハイパーリンク" xfId="4248" builtinId="9" hidden="1"/>
    <cellStyle name="表示済みのハイパーリンク" xfId="4250" builtinId="9" hidden="1"/>
    <cellStyle name="表示済みのハイパーリンク" xfId="4252" builtinId="9" hidden="1"/>
    <cellStyle name="表示済みのハイパーリンク" xfId="4254" builtinId="9" hidden="1"/>
    <cellStyle name="表示済みのハイパーリンク" xfId="4256" builtinId="9" hidden="1"/>
    <cellStyle name="表示済みのハイパーリンク" xfId="4258" builtinId="9" hidden="1"/>
    <cellStyle name="表示済みのハイパーリンク" xfId="4260" builtinId="9" hidden="1"/>
    <cellStyle name="表示済みのハイパーリンク" xfId="4262" builtinId="9" hidden="1"/>
    <cellStyle name="表示済みのハイパーリンク" xfId="4264" builtinId="9" hidden="1"/>
    <cellStyle name="表示済みのハイパーリンク" xfId="4266" builtinId="9" hidden="1"/>
    <cellStyle name="表示済みのハイパーリンク" xfId="4268" builtinId="9" hidden="1"/>
    <cellStyle name="表示済みのハイパーリンク" xfId="4270" builtinId="9" hidden="1"/>
    <cellStyle name="表示済みのハイパーリンク" xfId="4272" builtinId="9" hidden="1"/>
    <cellStyle name="表示済みのハイパーリンク" xfId="4274" builtinId="9" hidden="1"/>
    <cellStyle name="表示済みのハイパーリンク" xfId="4276" builtinId="9" hidden="1"/>
    <cellStyle name="表示済みのハイパーリンク" xfId="4278" builtinId="9" hidden="1"/>
    <cellStyle name="表示済みのハイパーリンク" xfId="4280" builtinId="9" hidden="1"/>
    <cellStyle name="表示済みのハイパーリンク" xfId="4282" builtinId="9" hidden="1"/>
    <cellStyle name="表示済みのハイパーリンク" xfId="4284" builtinId="9" hidden="1"/>
    <cellStyle name="表示済みのハイパーリンク" xfId="4286" builtinId="9" hidden="1"/>
    <cellStyle name="表示済みのハイパーリンク" xfId="4288" builtinId="9" hidden="1"/>
    <cellStyle name="表示済みのハイパーリンク" xfId="4290" builtinId="9" hidden="1"/>
    <cellStyle name="表示済みのハイパーリンク" xfId="4292" builtinId="9" hidden="1"/>
    <cellStyle name="表示済みのハイパーリンク" xfId="4294" builtinId="9" hidden="1"/>
    <cellStyle name="表示済みのハイパーリンク" xfId="4296" builtinId="9" hidden="1"/>
    <cellStyle name="表示済みのハイパーリンク" xfId="4298" builtinId="9" hidden="1"/>
    <cellStyle name="表示済みのハイパーリンク" xfId="4300" builtinId="9" hidden="1"/>
    <cellStyle name="表示済みのハイパーリンク" xfId="4302" builtinId="9" hidden="1"/>
    <cellStyle name="表示済みのハイパーリンク" xfId="4304" builtinId="9" hidden="1"/>
    <cellStyle name="表示済みのハイパーリンク" xfId="4306" builtinId="9" hidden="1"/>
    <cellStyle name="表示済みのハイパーリンク" xfId="4308" builtinId="9" hidden="1"/>
    <cellStyle name="表示済みのハイパーリンク" xfId="4310" builtinId="9" hidden="1"/>
    <cellStyle name="表示済みのハイパーリンク" xfId="4312" builtinId="9" hidden="1"/>
    <cellStyle name="表示済みのハイパーリンク" xfId="4314" builtinId="9" hidden="1"/>
    <cellStyle name="表示済みのハイパーリンク" xfId="4316" builtinId="9" hidden="1"/>
    <cellStyle name="表示済みのハイパーリンク" xfId="4318" builtinId="9" hidden="1"/>
    <cellStyle name="表示済みのハイパーリンク" xfId="4320" builtinId="9" hidden="1"/>
    <cellStyle name="表示済みのハイパーリンク" xfId="4322" builtinId="9" hidden="1"/>
    <cellStyle name="表示済みのハイパーリンク" xfId="4324" builtinId="9" hidden="1"/>
    <cellStyle name="表示済みのハイパーリンク" xfId="4326" builtinId="9" hidden="1"/>
    <cellStyle name="表示済みのハイパーリンク" xfId="4328" builtinId="9" hidden="1"/>
    <cellStyle name="表示済みのハイパーリンク" xfId="4330" builtinId="9" hidden="1"/>
    <cellStyle name="表示済みのハイパーリンク" xfId="4332" builtinId="9" hidden="1"/>
    <cellStyle name="表示済みのハイパーリンク" xfId="4334" builtinId="9" hidden="1"/>
    <cellStyle name="表示済みのハイパーリンク" xfId="4336" builtinId="9" hidden="1"/>
    <cellStyle name="表示済みのハイパーリンク" xfId="4338" builtinId="9" hidden="1"/>
    <cellStyle name="表示済みのハイパーリンク" xfId="4340" builtinId="9" hidden="1"/>
    <cellStyle name="表示済みのハイパーリンク" xfId="4342" builtinId="9" hidden="1"/>
    <cellStyle name="表示済みのハイパーリンク" xfId="4344" builtinId="9" hidden="1"/>
    <cellStyle name="表示済みのハイパーリンク" xfId="4346" builtinId="9" hidden="1"/>
    <cellStyle name="表示済みのハイパーリンク" xfId="4348" builtinId="9" hidden="1"/>
    <cellStyle name="表示済みのハイパーリンク" xfId="4350" builtinId="9" hidden="1"/>
    <cellStyle name="表示済みのハイパーリンク" xfId="4352" builtinId="9" hidden="1"/>
    <cellStyle name="表示済みのハイパーリンク" xfId="4354" builtinId="9" hidden="1"/>
    <cellStyle name="表示済みのハイパーリンク" xfId="4356" builtinId="9" hidden="1"/>
    <cellStyle name="表示済みのハイパーリンク" xfId="4358" builtinId="9" hidden="1"/>
    <cellStyle name="表示済みのハイパーリンク" xfId="4360" builtinId="9" hidden="1"/>
    <cellStyle name="表示済みのハイパーリンク" xfId="4362" builtinId="9" hidden="1"/>
    <cellStyle name="表示済みのハイパーリンク" xfId="4364" builtinId="9" hidden="1"/>
    <cellStyle name="表示済みのハイパーリンク" xfId="4366" builtinId="9" hidden="1"/>
    <cellStyle name="表示済みのハイパーリンク" xfId="4368" builtinId="9" hidden="1"/>
    <cellStyle name="表示済みのハイパーリンク" xfId="4370" builtinId="9" hidden="1"/>
    <cellStyle name="表示済みのハイパーリンク" xfId="4372" builtinId="9" hidden="1"/>
    <cellStyle name="表示済みのハイパーリンク" xfId="4375" builtinId="9" hidden="1"/>
    <cellStyle name="表示済みのハイパーリンク" xfId="4377" builtinId="9" hidden="1"/>
    <cellStyle name="表示済みのハイパーリンク" xfId="4379" builtinId="9" hidden="1"/>
    <cellStyle name="表示済みのハイパーリンク" xfId="4381" builtinId="9" hidden="1"/>
    <cellStyle name="表示済みのハイパーリンク" xfId="4383" builtinId="9" hidden="1"/>
    <cellStyle name="表示済みのハイパーリンク" xfId="4385" builtinId="9" hidden="1"/>
    <cellStyle name="表示済みのハイパーリンク" xfId="4387" builtinId="9" hidden="1"/>
    <cellStyle name="表示済みのハイパーリンク" xfId="4389" builtinId="9" hidden="1"/>
    <cellStyle name="表示済みのハイパーリンク" xfId="4391" builtinId="9" hidden="1"/>
    <cellStyle name="表示済みのハイパーリンク" xfId="4393" builtinId="9" hidden="1"/>
    <cellStyle name="表示済みのハイパーリンク" xfId="4395" builtinId="9" hidden="1"/>
    <cellStyle name="表示済みのハイパーリンク" xfId="4397" builtinId="9" hidden="1"/>
    <cellStyle name="表示済みのハイパーリンク" xfId="4399" builtinId="9" hidden="1"/>
    <cellStyle name="表示済みのハイパーリンク" xfId="4401" builtinId="9" hidden="1"/>
    <cellStyle name="表示済みのハイパーリンク" xfId="4403" builtinId="9" hidden="1"/>
    <cellStyle name="表示済みのハイパーリンク" xfId="4405" builtinId="9" hidden="1"/>
    <cellStyle name="表示済みのハイパーリンク" xfId="4407" builtinId="9" hidden="1"/>
    <cellStyle name="表示済みのハイパーリンク" xfId="4409" builtinId="9" hidden="1"/>
    <cellStyle name="表示済みのハイパーリンク" xfId="4411" builtinId="9" hidden="1"/>
    <cellStyle name="表示済みのハイパーリンク" xfId="4413" builtinId="9" hidden="1"/>
    <cellStyle name="表示済みのハイパーリンク" xfId="4415" builtinId="9" hidden="1"/>
    <cellStyle name="表示済みのハイパーリンク" xfId="4417" builtinId="9" hidden="1"/>
    <cellStyle name="表示済みのハイパーリンク" xfId="4419" builtinId="9" hidden="1"/>
    <cellStyle name="表示済みのハイパーリンク" xfId="4421" builtinId="9" hidden="1"/>
    <cellStyle name="表示済みのハイパーリンク" xfId="4423" builtinId="9" hidden="1"/>
    <cellStyle name="表示済みのハイパーリンク" xfId="4425" builtinId="9" hidden="1"/>
    <cellStyle name="表示済みのハイパーリンク" xfId="4427" builtinId="9" hidden="1"/>
    <cellStyle name="表示済みのハイパーリンク" xfId="4429" builtinId="9" hidden="1"/>
    <cellStyle name="表示済みのハイパーリンク" xfId="4431" builtinId="9" hidden="1"/>
    <cellStyle name="表示済みのハイパーリンク" xfId="4433" builtinId="9" hidden="1"/>
    <cellStyle name="表示済みのハイパーリンク" xfId="4435" builtinId="9" hidden="1"/>
    <cellStyle name="表示済みのハイパーリンク" xfId="4437" builtinId="9" hidden="1"/>
    <cellStyle name="表示済みのハイパーリンク" xfId="4439" builtinId="9" hidden="1"/>
    <cellStyle name="表示済みのハイパーリンク" xfId="4441" builtinId="9" hidden="1"/>
    <cellStyle name="表示済みのハイパーリンク" xfId="4443" builtinId="9" hidden="1"/>
    <cellStyle name="表示済みのハイパーリンク" xfId="4445" builtinId="9" hidden="1"/>
    <cellStyle name="表示済みのハイパーリンク" xfId="4447" builtinId="9" hidden="1"/>
    <cellStyle name="表示済みのハイパーリンク" xfId="4449" builtinId="9" hidden="1"/>
    <cellStyle name="表示済みのハイパーリンク" xfId="4451" builtinId="9" hidden="1"/>
    <cellStyle name="表示済みのハイパーリンク" xfId="4453" builtinId="9" hidden="1"/>
    <cellStyle name="表示済みのハイパーリンク" xfId="4455" builtinId="9" hidden="1"/>
    <cellStyle name="表示済みのハイパーリンク" xfId="4457" builtinId="9" hidden="1"/>
    <cellStyle name="表示済みのハイパーリンク" xfId="4459" builtinId="9" hidden="1"/>
    <cellStyle name="表示済みのハイパーリンク" xfId="4461" builtinId="9" hidden="1"/>
    <cellStyle name="表示済みのハイパーリンク" xfId="4463" builtinId="9" hidden="1"/>
    <cellStyle name="表示済みのハイパーリンク" xfId="4465" builtinId="9" hidden="1"/>
    <cellStyle name="表示済みのハイパーリンク" xfId="4467" builtinId="9" hidden="1"/>
    <cellStyle name="表示済みのハイパーリンク" xfId="4469" builtinId="9" hidden="1"/>
    <cellStyle name="表示済みのハイパーリンク" xfId="4471" builtinId="9" hidden="1"/>
    <cellStyle name="表示済みのハイパーリンク" xfId="4473" builtinId="9" hidden="1"/>
    <cellStyle name="表示済みのハイパーリンク" xfId="4475" builtinId="9" hidden="1"/>
    <cellStyle name="表示済みのハイパーリンク" xfId="4477" builtinId="9" hidden="1"/>
    <cellStyle name="表示済みのハイパーリンク" xfId="4479" builtinId="9" hidden="1"/>
    <cellStyle name="表示済みのハイパーリンク" xfId="4481" builtinId="9" hidden="1"/>
    <cellStyle name="表示済みのハイパーリンク" xfId="4483" builtinId="9" hidden="1"/>
    <cellStyle name="表示済みのハイパーリンク" xfId="4485" builtinId="9" hidden="1"/>
    <cellStyle name="表示済みのハイパーリンク" xfId="4487" builtinId="9" hidden="1"/>
    <cellStyle name="表示済みのハイパーリンク" xfId="4489" builtinId="9" hidden="1"/>
    <cellStyle name="表示済みのハイパーリンク" xfId="4491" builtinId="9" hidden="1"/>
    <cellStyle name="表示済みのハイパーリンク" xfId="4493" builtinId="9" hidden="1"/>
    <cellStyle name="表示済みのハイパーリンク" xfId="4495" builtinId="9" hidden="1"/>
    <cellStyle name="表示済みのハイパーリンク" xfId="4497" builtinId="9" hidden="1"/>
    <cellStyle name="表示済みのハイパーリンク" xfId="4499" builtinId="9" hidden="1"/>
    <cellStyle name="表示済みのハイパーリンク" xfId="4501" builtinId="9" hidden="1"/>
    <cellStyle name="表示済みのハイパーリンク" xfId="4503" builtinId="9" hidden="1"/>
    <cellStyle name="表示済みのハイパーリンク" xfId="4505" builtinId="9" hidden="1"/>
    <cellStyle name="表示済みのハイパーリンク" xfId="4507" builtinId="9" hidden="1"/>
    <cellStyle name="表示済みのハイパーリンク" xfId="4509" builtinId="9" hidden="1"/>
    <cellStyle name="表示済みのハイパーリンク" xfId="4511" builtinId="9" hidden="1"/>
    <cellStyle name="表示済みのハイパーリンク" xfId="4513" builtinId="9" hidden="1"/>
    <cellStyle name="表示済みのハイパーリンク" xfId="4515" builtinId="9" hidden="1"/>
    <cellStyle name="表示済みのハイパーリンク" xfId="4517" builtinId="9" hidden="1"/>
    <cellStyle name="表示済みのハイパーリンク" xfId="4519" builtinId="9" hidden="1"/>
    <cellStyle name="表示済みのハイパーリンク" xfId="4521" builtinId="9" hidden="1"/>
    <cellStyle name="表示済みのハイパーリンク" xfId="4523" builtinId="9" hidden="1"/>
    <cellStyle name="表示済みのハイパーリンク" xfId="4525" builtinId="9" hidden="1"/>
    <cellStyle name="表示済みのハイパーリンク" xfId="4527" builtinId="9" hidden="1"/>
    <cellStyle name="表示済みのハイパーリンク" xfId="4529" builtinId="9" hidden="1"/>
    <cellStyle name="表示済みのハイパーリンク" xfId="4531" builtinId="9" hidden="1"/>
    <cellStyle name="表示済みのハイパーリンク" xfId="4533" builtinId="9" hidden="1"/>
    <cellStyle name="表示済みのハイパーリンク" xfId="4535" builtinId="9" hidden="1"/>
    <cellStyle name="表示済みのハイパーリンク" xfId="4537" builtinId="9" hidden="1"/>
    <cellStyle name="表示済みのハイパーリンク" xfId="4539" builtinId="9" hidden="1"/>
    <cellStyle name="表示済みのハイパーリンク" xfId="4541" builtinId="9" hidden="1"/>
    <cellStyle name="表示済みのハイパーリンク" xfId="4543" builtinId="9" hidden="1"/>
    <cellStyle name="表示済みのハイパーリンク" xfId="4545" builtinId="9" hidden="1"/>
    <cellStyle name="表示済みのハイパーリンク" xfId="4547" builtinId="9" hidden="1"/>
    <cellStyle name="表示済みのハイパーリンク" xfId="4549" builtinId="9" hidden="1"/>
    <cellStyle name="表示済みのハイパーリンク" xfId="4551" builtinId="9" hidden="1"/>
    <cellStyle name="表示済みのハイパーリンク" xfId="4553" builtinId="9" hidden="1"/>
    <cellStyle name="表示済みのハイパーリンク" xfId="4555" builtinId="9" hidden="1"/>
    <cellStyle name="表示済みのハイパーリンク" xfId="4557" builtinId="9" hidden="1"/>
    <cellStyle name="表示済みのハイパーリンク" xfId="4559" builtinId="9" hidden="1"/>
    <cellStyle name="表示済みのハイパーリンク" xfId="4561" builtinId="9" hidden="1"/>
    <cellStyle name="表示済みのハイパーリンク" xfId="4563" builtinId="9" hidden="1"/>
    <cellStyle name="表示済みのハイパーリンク" xfId="4565" builtinId="9" hidden="1"/>
    <cellStyle name="表示済みのハイパーリンク" xfId="4567" builtinId="9" hidden="1"/>
    <cellStyle name="表示済みのハイパーリンク" xfId="4569" builtinId="9" hidden="1"/>
    <cellStyle name="表示済みのハイパーリンク" xfId="4571" builtinId="9" hidden="1"/>
    <cellStyle name="表示済みのハイパーリンク" xfId="4573" builtinId="9" hidden="1"/>
    <cellStyle name="表示済みのハイパーリンク" xfId="4575" builtinId="9" hidden="1"/>
    <cellStyle name="表示済みのハイパーリンク" xfId="4577" builtinId="9" hidden="1"/>
    <cellStyle name="表示済みのハイパーリンク" xfId="4579" builtinId="9" hidden="1"/>
    <cellStyle name="表示済みのハイパーリンク" xfId="4581" builtinId="9" hidden="1"/>
    <cellStyle name="表示済みのハイパーリンク" xfId="4583" builtinId="9" hidden="1"/>
    <cellStyle name="表示済みのハイパーリンク" xfId="4585" builtinId="9" hidden="1"/>
    <cellStyle name="表示済みのハイパーリンク" xfId="4587" builtinId="9" hidden="1"/>
    <cellStyle name="表示済みのハイパーリンク" xfId="4589" builtinId="9" hidden="1"/>
    <cellStyle name="表示済みのハイパーリンク" xfId="4591" builtinId="9" hidden="1"/>
    <cellStyle name="表示済みのハイパーリンク" xfId="4593" builtinId="9" hidden="1"/>
    <cellStyle name="表示済みのハイパーリンク" xfId="4595" builtinId="9" hidden="1"/>
    <cellStyle name="表示済みのハイパーリンク" xfId="4597" builtinId="9" hidden="1"/>
    <cellStyle name="表示済みのハイパーリンク" xfId="4599" builtinId="9" hidden="1"/>
    <cellStyle name="表示済みのハイパーリンク" xfId="4601" builtinId="9" hidden="1"/>
    <cellStyle name="表示済みのハイパーリンク" xfId="4603" builtinId="9" hidden="1"/>
    <cellStyle name="表示済みのハイパーリンク" xfId="4605" builtinId="9" hidden="1"/>
    <cellStyle name="表示済みのハイパーリンク" xfId="4607" builtinId="9" hidden="1"/>
    <cellStyle name="表示済みのハイパーリンク" xfId="4609" builtinId="9" hidden="1"/>
    <cellStyle name="表示済みのハイパーリンク" xfId="4611" builtinId="9" hidden="1"/>
    <cellStyle name="表示済みのハイパーリンク" xfId="4613" builtinId="9" hidden="1"/>
    <cellStyle name="表示済みのハイパーリンク" xfId="4615" builtinId="9" hidden="1"/>
    <cellStyle name="表示済みのハイパーリンク" xfId="4617" builtinId="9" hidden="1"/>
    <cellStyle name="表示済みのハイパーリンク" xfId="4619" builtinId="9" hidden="1"/>
    <cellStyle name="表示済みのハイパーリンク" xfId="4621" builtinId="9" hidden="1"/>
    <cellStyle name="表示済みのハイパーリンク" xfId="4623" builtinId="9" hidden="1"/>
    <cellStyle name="表示済みのハイパーリンク" xfId="4625" builtinId="9" hidden="1"/>
    <cellStyle name="表示済みのハイパーリンク" xfId="4627" builtinId="9" hidden="1"/>
    <cellStyle name="表示済みのハイパーリンク" xfId="4629" builtinId="9" hidden="1"/>
    <cellStyle name="表示済みのハイパーリンク" xfId="4631" builtinId="9" hidden="1"/>
    <cellStyle name="表示済みのハイパーリンク" xfId="4633" builtinId="9" hidden="1"/>
    <cellStyle name="表示済みのハイパーリンク" xfId="4635" builtinId="9" hidden="1"/>
    <cellStyle name="表示済みのハイパーリンク" xfId="4637" builtinId="9" hidden="1"/>
    <cellStyle name="表示済みのハイパーリンク" xfId="4639" builtinId="9" hidden="1"/>
    <cellStyle name="表示済みのハイパーリンク" xfId="4641" builtinId="9" hidden="1"/>
    <cellStyle name="表示済みのハイパーリンク" xfId="4643" builtinId="9" hidden="1"/>
    <cellStyle name="表示済みのハイパーリンク" xfId="4645" builtinId="9" hidden="1"/>
    <cellStyle name="表示済みのハイパーリンク" xfId="4647" builtinId="9" hidden="1"/>
    <cellStyle name="表示済みのハイパーリンク" xfId="4649" builtinId="9" hidden="1"/>
    <cellStyle name="表示済みのハイパーリンク" xfId="4651" builtinId="9" hidden="1"/>
    <cellStyle name="表示済みのハイパーリンク" xfId="4653" builtinId="9" hidden="1"/>
    <cellStyle name="表示済みのハイパーリンク" xfId="4655" builtinId="9" hidden="1"/>
    <cellStyle name="表示済みのハイパーリンク" xfId="4657" builtinId="9" hidden="1"/>
    <cellStyle name="表示済みのハイパーリンク" xfId="4659" builtinId="9" hidden="1"/>
    <cellStyle name="表示済みのハイパーリンク" xfId="4661" builtinId="9" hidden="1"/>
    <cellStyle name="表示済みのハイパーリンク" xfId="4663" builtinId="9" hidden="1"/>
    <cellStyle name="表示済みのハイパーリンク" xfId="4665" builtinId="9" hidden="1"/>
    <cellStyle name="表示済みのハイパーリンク" xfId="4667" builtinId="9" hidden="1"/>
    <cellStyle name="表示済みのハイパーリンク" xfId="4669" builtinId="9" hidden="1"/>
    <cellStyle name="表示済みのハイパーリンク" xfId="4671" builtinId="9" hidden="1"/>
    <cellStyle name="表示済みのハイパーリンク" xfId="4673" builtinId="9" hidden="1"/>
    <cellStyle name="表示済みのハイパーリンク" xfId="4675" builtinId="9" hidden="1"/>
    <cellStyle name="表示済みのハイパーリンク" xfId="4677" builtinId="9" hidden="1"/>
    <cellStyle name="表示済みのハイパーリンク" xfId="4679" builtinId="9" hidden="1"/>
    <cellStyle name="表示済みのハイパーリンク" xfId="4681" builtinId="9" hidden="1"/>
    <cellStyle name="表示済みのハイパーリンク" xfId="4683" builtinId="9" hidden="1"/>
    <cellStyle name="表示済みのハイパーリンク" xfId="4685" builtinId="9" hidden="1"/>
    <cellStyle name="表示済みのハイパーリンク" xfId="4687" builtinId="9" hidden="1"/>
    <cellStyle name="表示済みのハイパーリンク" xfId="4689" builtinId="9" hidden="1"/>
    <cellStyle name="表示済みのハイパーリンク" xfId="4691" builtinId="9" hidden="1"/>
    <cellStyle name="表示済みのハイパーリンク" xfId="4693" builtinId="9" hidden="1"/>
    <cellStyle name="表示済みのハイパーリンク" xfId="4695" builtinId="9" hidden="1"/>
    <cellStyle name="表示済みのハイパーリンク" xfId="4697" builtinId="9" hidden="1"/>
    <cellStyle name="表示済みのハイパーリンク" xfId="4699" builtinId="9" hidden="1"/>
    <cellStyle name="表示済みのハイパーリンク" xfId="4701" builtinId="9" hidden="1"/>
    <cellStyle name="表示済みのハイパーリンク" xfId="4703" builtinId="9" hidden="1"/>
    <cellStyle name="表示済みのハイパーリンク" xfId="4705" builtinId="9" hidden="1"/>
    <cellStyle name="表示済みのハイパーリンク" xfId="4707" builtinId="9" hidden="1"/>
    <cellStyle name="赤字強調" xfId="4"/>
    <cellStyle name="青字強調" xfId="3"/>
  </cellStyles>
  <dxfs count="42"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4C19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CF305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950E"/>
      <rgbColor rgb="00666699"/>
      <rgbColor rgb="00B2B2B2"/>
      <rgbColor rgb="00003366"/>
      <rgbColor rgb="00339966"/>
      <rgbColor rgb="00003300"/>
      <rgbColor rgb="00262626"/>
      <rgbColor rgb="00DD0806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theme" Target="theme/theme1.xml"/><Relationship Id="rId21" Type="http://schemas.openxmlformats.org/officeDocument/2006/relationships/styles" Target="styles.xml"/><Relationship Id="rId22" Type="http://schemas.openxmlformats.org/officeDocument/2006/relationships/sharedStrings" Target="sharedStrings.xml"/><Relationship Id="rId23" Type="http://schemas.openxmlformats.org/officeDocument/2006/relationships/calcChain" Target="calcChain.xml"/><Relationship Id="rId24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externalLink" Target="externalLinks/externalLink1.xml"/><Relationship Id="rId19" Type="http://schemas.openxmlformats.org/officeDocument/2006/relationships/externalLink" Target="externalLinks/externalLink2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UnitAbility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  <cell r="D2">
            <v>1</v>
          </cell>
          <cell r="E2">
            <v>0.25</v>
          </cell>
        </row>
      </sheetData>
      <sheetData sheetId="2">
        <row r="1">
          <cell r="A1" t="str">
            <v>属性</v>
          </cell>
          <cell r="B1" t="str">
            <v>HP係数</v>
          </cell>
          <cell r="C1" t="str">
            <v>攻撃係数</v>
          </cell>
          <cell r="D1" t="str">
            <v>防御系数</v>
          </cell>
          <cell r="E1" t="str">
            <v>回復系数</v>
          </cell>
        </row>
        <row r="2">
          <cell r="A2" t="str">
            <v>red</v>
          </cell>
          <cell r="B2">
            <v>1</v>
          </cell>
          <cell r="C2">
            <v>1.02</v>
          </cell>
          <cell r="D2">
            <v>1</v>
          </cell>
          <cell r="E2">
            <v>0.98</v>
          </cell>
        </row>
        <row r="3">
          <cell r="A3" t="str">
            <v>green</v>
          </cell>
          <cell r="B3">
            <v>1.02</v>
          </cell>
          <cell r="C3">
            <v>0.98</v>
          </cell>
          <cell r="D3">
            <v>1</v>
          </cell>
          <cell r="E3">
            <v>1</v>
          </cell>
        </row>
        <row r="4">
          <cell r="A4" t="str">
            <v>blue</v>
          </cell>
          <cell r="B4">
            <v>1</v>
          </cell>
          <cell r="C4">
            <v>0.98</v>
          </cell>
          <cell r="D4">
            <v>1</v>
          </cell>
          <cell r="E4">
            <v>1.02</v>
          </cell>
        </row>
        <row r="5">
          <cell r="A5" t="str">
            <v>yellow</v>
          </cell>
          <cell r="B5">
            <v>0.98</v>
          </cell>
          <cell r="C5">
            <v>1.01</v>
          </cell>
          <cell r="D5">
            <v>1</v>
          </cell>
          <cell r="E5">
            <v>1.01</v>
          </cell>
        </row>
        <row r="6">
          <cell r="A6" t="str">
            <v>colorless</v>
          </cell>
          <cell r="B6">
            <v>1</v>
          </cell>
          <cell r="C6">
            <v>1</v>
          </cell>
          <cell r="D6">
            <v>1</v>
          </cell>
          <cell r="E6">
            <v>1</v>
          </cell>
        </row>
      </sheetData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</row>
        <row r="36">
          <cell r="A36">
            <v>35</v>
          </cell>
          <cell r="B36" t="str">
            <v>ja</v>
          </cell>
          <cell r="C36" t="str">
            <v>F2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</row>
        <row r="331">
          <cell r="A331">
            <v>330</v>
          </cell>
          <cell r="B331" t="str">
            <v>ja</v>
          </cell>
          <cell r="C331" t="str">
            <v>Usagi-chan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</row>
        <row r="449">
          <cell r="A449">
            <v>448</v>
          </cell>
          <cell r="B449" t="str">
            <v>ja</v>
          </cell>
          <cell r="C449" t="str">
            <v>浮上する夢想学士 シャルル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</row>
        <row r="632">
          <cell r="A632">
            <v>631</v>
          </cell>
          <cell r="B632" t="str">
            <v>ja</v>
          </cell>
          <cell r="C632" t="str">
            <v>華恋なる宮護隊 パレ</v>
          </cell>
        </row>
        <row r="633">
          <cell r="A633">
            <v>632</v>
          </cell>
          <cell r="B633" t="str">
            <v>ja</v>
          </cell>
          <cell r="C633" t="str">
            <v>緋壁の城塞 アーグラ</v>
          </cell>
        </row>
        <row r="634">
          <cell r="A634">
            <v>633</v>
          </cell>
          <cell r="B634" t="str">
            <v>ja</v>
          </cell>
          <cell r="C634" t="str">
            <v>麗邸の遊撃守 エリゼ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</row>
        <row r="637">
          <cell r="A637">
            <v>636</v>
          </cell>
          <cell r="B637" t="str">
            <v>ja</v>
          </cell>
          <cell r="C637" t="str">
            <v>ローズR3(旧)</v>
          </cell>
        </row>
        <row r="638">
          <cell r="A638">
            <v>637</v>
          </cell>
          <cell r="B638" t="str">
            <v>ja</v>
          </cell>
          <cell r="C638" t="str">
            <v>ローズR4(旧)</v>
          </cell>
        </row>
        <row r="639">
          <cell r="A639">
            <v>638</v>
          </cell>
          <cell r="B639" t="str">
            <v>ja</v>
          </cell>
          <cell r="C639" t="str">
            <v>神さま</v>
          </cell>
        </row>
        <row r="640">
          <cell r="A640">
            <v>639</v>
          </cell>
          <cell r="B640" t="str">
            <v>ja</v>
          </cell>
          <cell r="C640" t="str">
            <v>看板娘</v>
          </cell>
        </row>
        <row r="641">
          <cell r="A641">
            <v>640</v>
          </cell>
          <cell r="B641" t="str">
            <v>ja</v>
          </cell>
          <cell r="C641" t="str">
            <v>ブラックマ</v>
          </cell>
        </row>
        <row r="642">
          <cell r="A642">
            <v>641</v>
          </cell>
          <cell r="B642" t="str">
            <v>ja</v>
          </cell>
          <cell r="C642" t="str">
            <v>砦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</row>
        <row r="680">
          <cell r="A680">
            <v>679</v>
          </cell>
          <cell r="B680" t="str">
            <v>ja</v>
          </cell>
          <cell r="C680" t="str">
            <v>孤高の王子 レイヴン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</row>
        <row r="693">
          <cell r="A693">
            <v>692</v>
          </cell>
          <cell r="B693" t="str">
            <v>ja</v>
          </cell>
          <cell r="C693" t="str">
            <v>暗躍する偽帝 黒沼青葉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</row>
        <row r="695">
          <cell r="A695">
            <v>694</v>
          </cell>
          <cell r="B695" t="str">
            <v>ja</v>
          </cell>
          <cell r="C695" t="str">
            <v>黄巾賊の将軍 紀田正臣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</row>
        <row r="697">
          <cell r="A697">
            <v>696</v>
          </cell>
          <cell r="B697" t="str">
            <v>ja</v>
          </cell>
          <cell r="C697" t="str">
            <v>生きる都市伝説 セルティ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 セルティ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</row>
        <row r="704">
          <cell r="A704">
            <v>703</v>
          </cell>
          <cell r="B704" t="str">
            <v>ja</v>
          </cell>
          <cell r="C704" t="str">
            <v>豪腕静穏な寿司屋 サイモン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</row>
        <row r="708">
          <cell r="A708">
            <v>707</v>
          </cell>
          <cell r="B708" t="str">
            <v>ja</v>
          </cell>
          <cell r="C708" t="str">
            <v>愛月撤灯の闇医者 岸谷新羅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</row>
        <row r="718">
          <cell r="A718">
            <v>717</v>
          </cell>
          <cell r="B718" t="str">
            <v>ja</v>
          </cell>
          <cell r="C718" t="str">
            <v>池袋最強の暴走 平和島静雄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</row>
        <row r="720">
          <cell r="A720">
            <v>719</v>
          </cell>
          <cell r="B720" t="str">
            <v>ja</v>
          </cell>
          <cell r="C720" t="str">
            <v>聡明な戦狂女 ヴァローナ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</row>
        <row r="896">
          <cell r="A896">
            <v>895</v>
          </cell>
          <cell r="B896" t="str">
            <v>ja</v>
          </cell>
          <cell r="C896" t="str">
            <v>滅焼の大神狼 フェンリル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</row>
        <row r="899">
          <cell r="A899">
            <v>898</v>
          </cell>
          <cell r="B899" t="str">
            <v>ja</v>
          </cell>
          <cell r="C899" t="str">
            <v>傾神の最愛姫 スフィンクス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</row>
        <row r="1036">
          <cell r="A1036">
            <v>1035</v>
          </cell>
          <cell r="B1036" t="str">
            <v>ja</v>
          </cell>
          <cell r="C1036" t="str">
            <v>スカルズ</v>
          </cell>
        </row>
        <row r="1037">
          <cell r="A1037">
            <v>1036</v>
          </cell>
          <cell r="B1037" t="str">
            <v>ja</v>
          </cell>
          <cell r="C1037" t="str">
            <v>復讐の形骸 スカルズ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</row>
        <row r="1079">
          <cell r="A1079">
            <v>1078</v>
          </cell>
          <cell r="B1079" t="str">
            <v>ja</v>
          </cell>
          <cell r="C1079" t="str">
            <v>合奏の飛論理 パレート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</row>
        <row r="1093">
          <cell r="A1093">
            <v>1092</v>
          </cell>
          <cell r="B1093" t="str">
            <v>ja</v>
          </cell>
          <cell r="C1093" t="str">
            <v>究護の戦王子 レイヴン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</row>
        <row r="1179">
          <cell r="A1179">
            <v>1178</v>
          </cell>
          <cell r="B1179" t="str">
            <v>ja</v>
          </cell>
          <cell r="C1179" t="str">
            <v>大蒐集総力戦 グリム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</row>
        <row r="1184">
          <cell r="A1184">
            <v>1183</v>
          </cell>
          <cell r="B1184" t="str">
            <v>ja</v>
          </cell>
          <cell r="C1184" t="str">
            <v>世憚の悪害 Gスター・チルドレン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</row>
        <row r="1269">
          <cell r="A1269">
            <v>1268</v>
          </cell>
          <cell r="B1269" t="str">
            <v>ja</v>
          </cell>
          <cell r="C1269" t="str">
            <v>ローズ</v>
          </cell>
        </row>
        <row r="1270">
          <cell r="A1270">
            <v>1269</v>
          </cell>
          <cell r="B1270" t="str">
            <v>ja</v>
          </cell>
          <cell r="C1270" t="str">
            <v>エルフラムの女王 ローズ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</row>
        <row r="1272">
          <cell r="A1272">
            <v>1271</v>
          </cell>
          <cell r="B1272" t="str">
            <v>ja</v>
          </cell>
          <cell r="C1272" t="str">
            <v>ローズ(旧)</v>
          </cell>
        </row>
        <row r="1273">
          <cell r="A1273">
            <v>1272</v>
          </cell>
          <cell r="B1273" t="str">
            <v>ja</v>
          </cell>
          <cell r="C1273" t="str">
            <v>エルフラムの女王 ローズ(旧)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</row>
        <row r="1343">
          <cell r="A1343">
            <v>1342</v>
          </cell>
          <cell r="B1343" t="str">
            <v>ja</v>
          </cell>
          <cell r="C1343" t="str">
            <v>ヘルレイザー</v>
          </cell>
        </row>
        <row r="1344">
          <cell r="A1344">
            <v>1343</v>
          </cell>
          <cell r="B1344" t="str">
            <v>ja</v>
          </cell>
          <cell r="C1344" t="str">
            <v>処命する凶掌 ヘルレイザー</v>
          </cell>
        </row>
        <row r="1345">
          <cell r="A1345">
            <v>1344</v>
          </cell>
          <cell r="B1345" t="str">
            <v>ja</v>
          </cell>
          <cell r="C1345" t="str">
            <v>空き</v>
          </cell>
        </row>
        <row r="1346">
          <cell r="A1346">
            <v>1345</v>
          </cell>
          <cell r="B1346" t="str">
            <v>ja</v>
          </cell>
          <cell r="C1346" t="str">
            <v>空き</v>
          </cell>
        </row>
        <row r="1347">
          <cell r="A1347">
            <v>1346</v>
          </cell>
          <cell r="B1347" t="str">
            <v>ja</v>
          </cell>
          <cell r="C1347" t="str">
            <v>セルシウス</v>
          </cell>
        </row>
        <row r="1348">
          <cell r="A1348">
            <v>1347</v>
          </cell>
          <cell r="B1348" t="str">
            <v>ja</v>
          </cell>
          <cell r="C1348" t="str">
            <v>帝冷の剣氏 セルシウス</v>
          </cell>
        </row>
        <row r="1349">
          <cell r="A1349">
            <v>1348</v>
          </cell>
          <cell r="B1349" t="str">
            <v>ja</v>
          </cell>
          <cell r="C1349" t="str">
            <v>パウリ</v>
          </cell>
        </row>
        <row r="1350">
          <cell r="A1350">
            <v>1349</v>
          </cell>
          <cell r="B1350" t="str">
            <v>ja</v>
          </cell>
          <cell r="C1350" t="str">
            <v>機壊の輪旋 パウリ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</row>
        <row r="1372">
          <cell r="A1372">
            <v>1373</v>
          </cell>
          <cell r="B1372" t="str">
            <v>ja</v>
          </cell>
          <cell r="C1372" t="str">
            <v>スリー・ピギーズ</v>
          </cell>
        </row>
        <row r="1373">
          <cell r="A1373">
            <v>1374</v>
          </cell>
          <cell r="B1373" t="str">
            <v>ja</v>
          </cell>
          <cell r="C1373" t="str">
            <v>一級建築兄弟 スリー・ピギーズ</v>
          </cell>
        </row>
        <row r="1374">
          <cell r="A1374">
            <v>1375</v>
          </cell>
          <cell r="B1374" t="str">
            <v>ja</v>
          </cell>
          <cell r="C1374" t="str">
            <v>ジキル&amp;ハイド</v>
          </cell>
        </row>
        <row r="1375">
          <cell r="A1375">
            <v>1376</v>
          </cell>
          <cell r="B1375" t="str">
            <v>ja</v>
          </cell>
          <cell r="C1375" t="str">
            <v>剥離性異常衝動 ジキル&amp;ハイド</v>
          </cell>
        </row>
        <row r="1376">
          <cell r="A1376">
            <v>1377</v>
          </cell>
          <cell r="B1376" t="str">
            <v>ja</v>
          </cell>
          <cell r="C1376" t="str">
            <v>ダンテ・クリスト</v>
          </cell>
        </row>
        <row r="1377">
          <cell r="A1377">
            <v>1378</v>
          </cell>
          <cell r="B1377" t="str">
            <v>ja</v>
          </cell>
          <cell r="C1377" t="str">
            <v>巌窟の魔主 ダンテ・クリスト</v>
          </cell>
        </row>
        <row r="1378">
          <cell r="A1378">
            <v>1379</v>
          </cell>
          <cell r="B1378" t="str">
            <v>ja</v>
          </cell>
          <cell r="C1378" t="str">
            <v>アンデルセン</v>
          </cell>
        </row>
        <row r="1379">
          <cell r="A1379">
            <v>1380</v>
          </cell>
          <cell r="B1379" t="str">
            <v>ja</v>
          </cell>
          <cell r="C1379" t="str">
            <v>詩線上の導話 アンデルセン</v>
          </cell>
        </row>
        <row r="1380">
          <cell r="A1380">
            <v>1381</v>
          </cell>
          <cell r="B1380" t="str">
            <v>ja</v>
          </cell>
          <cell r="C1380" t="str">
            <v>ガリバー</v>
          </cell>
        </row>
        <row r="1381">
          <cell r="A1381">
            <v>1382</v>
          </cell>
          <cell r="B1381" t="str">
            <v>ja</v>
          </cell>
          <cell r="C1381" t="str">
            <v>賢巨なる渡来者 ガリバー</v>
          </cell>
        </row>
        <row r="1382">
          <cell r="A1382">
            <v>1383</v>
          </cell>
          <cell r="B1382" t="str">
            <v>ja</v>
          </cell>
          <cell r="C1382" t="str">
            <v>シンドバッド</v>
          </cell>
        </row>
        <row r="1383">
          <cell r="A1383">
            <v>1384</v>
          </cell>
          <cell r="B1383" t="str">
            <v>ja</v>
          </cell>
          <cell r="C1383" t="str">
            <v>獲宝の航界者 シンドバッド</v>
          </cell>
        </row>
        <row r="1384">
          <cell r="A1384">
            <v>1385</v>
          </cell>
          <cell r="B1384" t="str">
            <v>ja</v>
          </cell>
          <cell r="C1384" t="str">
            <v>いばら姫</v>
          </cell>
        </row>
        <row r="1385">
          <cell r="A1385">
            <v>1386</v>
          </cell>
          <cell r="B1385" t="str">
            <v>ja</v>
          </cell>
          <cell r="C1385" t="str">
            <v>荊棘の覚醒姫 いばら姫</v>
          </cell>
        </row>
        <row r="1386">
          <cell r="A1386">
            <v>1387</v>
          </cell>
          <cell r="B1386" t="str">
            <v>ja</v>
          </cell>
          <cell r="C1386" t="str">
            <v>ダルタニャン</v>
          </cell>
        </row>
        <row r="1387">
          <cell r="A1387">
            <v>1388</v>
          </cell>
          <cell r="B1387" t="str">
            <v>ja</v>
          </cell>
          <cell r="C1387" t="str">
            <v>讃勇の銃士長 ダルタニャン</v>
          </cell>
        </row>
        <row r="1388">
          <cell r="A1388">
            <v>1389</v>
          </cell>
          <cell r="B1388" t="str">
            <v>ja</v>
          </cell>
          <cell r="C1388" t="str">
            <v>ユング</v>
          </cell>
        </row>
        <row r="1389">
          <cell r="A1389">
            <v>1390</v>
          </cell>
          <cell r="B1389" t="str">
            <v>ja</v>
          </cell>
          <cell r="C1389" t="str">
            <v>夢誘心解の蒼翼 ユング</v>
          </cell>
        </row>
        <row r="1390">
          <cell r="A1390">
            <v>1393</v>
          </cell>
          <cell r="B1390" t="str">
            <v>ja</v>
          </cell>
          <cell r="C1390" t="str">
            <v>ライプニッツ</v>
          </cell>
        </row>
        <row r="1391">
          <cell r="A1391">
            <v>1394</v>
          </cell>
          <cell r="B1391" t="str">
            <v>ja</v>
          </cell>
          <cell r="C1391" t="str">
            <v>永普の存在論 ライプニッツ</v>
          </cell>
        </row>
        <row r="1392">
          <cell r="A1392">
            <v>1395</v>
          </cell>
          <cell r="B1392" t="str">
            <v>ja</v>
          </cell>
          <cell r="C1392" t="str">
            <v>神和の表象展開 ライプニッツ</v>
          </cell>
        </row>
        <row r="1393">
          <cell r="A1393">
            <v>1399</v>
          </cell>
          <cell r="B1393" t="str">
            <v>ja</v>
          </cell>
          <cell r="C1393" t="str">
            <v>ラヴァーズ</v>
          </cell>
        </row>
        <row r="1394">
          <cell r="A1394">
            <v>1400</v>
          </cell>
          <cell r="B1394" t="str">
            <v>ja</v>
          </cell>
          <cell r="C1394" t="str">
            <v>奏愛する虜籠 ラヴァーズ</v>
          </cell>
        </row>
        <row r="1395">
          <cell r="A1395">
            <v>1401</v>
          </cell>
          <cell r="B1395" t="str">
            <v>ja</v>
          </cell>
          <cell r="C1395" t="str">
            <v>レムリア</v>
          </cell>
        </row>
        <row r="1396">
          <cell r="A1396">
            <v>1402</v>
          </cell>
          <cell r="B1396" t="str">
            <v>ja</v>
          </cell>
          <cell r="C1396" t="str">
            <v>縞彩の豊嬢 レムリア</v>
          </cell>
        </row>
        <row r="1397">
          <cell r="A1397">
            <v>1403</v>
          </cell>
          <cell r="B1397" t="str">
            <v>ja</v>
          </cell>
          <cell r="C1397" t="str">
            <v>炎帝の守護獣神 朱雀</v>
          </cell>
        </row>
        <row r="1398">
          <cell r="A1398">
            <v>1404</v>
          </cell>
          <cell r="B1398" t="str">
            <v>ja</v>
          </cell>
          <cell r="C1398" t="str">
            <v>玄帝の守護獣神 玄武</v>
          </cell>
        </row>
        <row r="1399">
          <cell r="A1399">
            <v>1405</v>
          </cell>
          <cell r="B1399" t="str">
            <v>ja</v>
          </cell>
          <cell r="C1399" t="str">
            <v>蒼帝の守護獣神 青龍</v>
          </cell>
        </row>
        <row r="1400">
          <cell r="A1400">
            <v>1406</v>
          </cell>
          <cell r="B1400" t="str">
            <v>ja</v>
          </cell>
          <cell r="C1400" t="str">
            <v>白帝の守護獣神 白虎</v>
          </cell>
        </row>
        <row r="1401">
          <cell r="A1401">
            <v>1407</v>
          </cell>
          <cell r="B1401" t="str">
            <v>ja</v>
          </cell>
          <cell r="C1401" t="str">
            <v>グリム・ザ・ダンディ</v>
          </cell>
        </row>
        <row r="1402">
          <cell r="A1402">
            <v>1408</v>
          </cell>
          <cell r="B1402" t="str">
            <v>ja</v>
          </cell>
          <cell r="C1402" t="str">
            <v>爽愛の求魂 グリム・ザ・ダンディ</v>
          </cell>
        </row>
        <row r="1403">
          <cell r="A1403">
            <v>1409</v>
          </cell>
          <cell r="B1403" t="str">
            <v>ja</v>
          </cell>
          <cell r="C1403" t="str">
            <v>マシロ</v>
          </cell>
        </row>
        <row r="1404">
          <cell r="A1404">
            <v>1410</v>
          </cell>
          <cell r="B1404" t="str">
            <v>ja</v>
          </cell>
          <cell r="C1404" t="str">
            <v>浮遊する白恋 マシロ</v>
          </cell>
        </row>
        <row r="1405">
          <cell r="A1405">
            <v>1411</v>
          </cell>
          <cell r="B1405" t="str">
            <v>ja</v>
          </cell>
          <cell r="C1405" t="str">
            <v>ピーターパン・イノセンス</v>
          </cell>
        </row>
        <row r="1406">
          <cell r="A1406">
            <v>1412</v>
          </cell>
          <cell r="B1406" t="str">
            <v>ja</v>
          </cell>
          <cell r="C1406" t="str">
            <v>アレス・パッション</v>
          </cell>
        </row>
        <row r="1407">
          <cell r="A1407">
            <v>1413</v>
          </cell>
          <cell r="B1407" t="str">
            <v>ja</v>
          </cell>
          <cell r="C1407" t="str">
            <v>クリムト・ペリューシド</v>
          </cell>
        </row>
        <row r="1408">
          <cell r="A1408">
            <v>1414</v>
          </cell>
          <cell r="B1408" t="str">
            <v>ja</v>
          </cell>
          <cell r="C1408" t="str">
            <v>炎のミリオンダック 7</v>
          </cell>
        </row>
        <row r="1409">
          <cell r="A1409">
            <v>1415</v>
          </cell>
          <cell r="B1409" t="str">
            <v>ja</v>
          </cell>
          <cell r="C1409" t="str">
            <v>森のミリオンダック 7</v>
          </cell>
        </row>
        <row r="1410">
          <cell r="A1410">
            <v>1416</v>
          </cell>
          <cell r="B1410" t="str">
            <v>ja</v>
          </cell>
          <cell r="C1410" t="str">
            <v>水のミリオンダック 7</v>
          </cell>
        </row>
        <row r="1411">
          <cell r="A1411">
            <v>1417</v>
          </cell>
          <cell r="B1411" t="str">
            <v>ja</v>
          </cell>
          <cell r="C1411" t="str">
            <v>雷のミリオンダック 7</v>
          </cell>
        </row>
        <row r="1412">
          <cell r="A1412">
            <v>1418</v>
          </cell>
          <cell r="B1412" t="str">
            <v>ja</v>
          </cell>
          <cell r="C1412" t="str">
            <v>擬潜送侵型メリッサ2.0</v>
          </cell>
        </row>
        <row r="1413">
          <cell r="A1413">
            <v>1419</v>
          </cell>
          <cell r="B1413" t="str">
            <v>ja</v>
          </cell>
          <cell r="C1413" t="str">
            <v>感潜する侵感 メリッサ</v>
          </cell>
        </row>
        <row r="1414">
          <cell r="A1414">
            <v>1420</v>
          </cell>
          <cell r="B1414" t="str">
            <v>ja</v>
          </cell>
          <cell r="C1414" t="str">
            <v>脆侵増殖型G・モリス</v>
          </cell>
        </row>
        <row r="1415">
          <cell r="A1415">
            <v>1421</v>
          </cell>
          <cell r="B1415" t="str">
            <v>ja</v>
          </cell>
          <cell r="C1415" t="str">
            <v>拡勢する偽増 モリス</v>
          </cell>
        </row>
        <row r="1416">
          <cell r="A1416">
            <v>1422</v>
          </cell>
          <cell r="B1416" t="str">
            <v>ja</v>
          </cell>
          <cell r="C1416" t="str">
            <v>解錠放散性ニムダE</v>
          </cell>
        </row>
        <row r="1417">
          <cell r="A1417">
            <v>1423</v>
          </cell>
          <cell r="B1417" t="str">
            <v>ja</v>
          </cell>
          <cell r="C1417" t="str">
            <v>電播する環染 ニムダ</v>
          </cell>
        </row>
        <row r="1418">
          <cell r="A1418">
            <v>1424</v>
          </cell>
          <cell r="B1418" t="str">
            <v>ja</v>
          </cell>
          <cell r="C1418" t="str">
            <v>波打際の宴麗 フロイト</v>
          </cell>
        </row>
        <row r="1419">
          <cell r="A1419">
            <v>1425</v>
          </cell>
          <cell r="B1419" t="str">
            <v>ja</v>
          </cell>
          <cell r="C1419" t="str">
            <v>ヴォルタ</v>
          </cell>
        </row>
        <row r="1420">
          <cell r="A1420">
            <v>1426</v>
          </cell>
          <cell r="B1420" t="str">
            <v>ja</v>
          </cell>
          <cell r="C1420" t="str">
            <v>灼々たる電花 ヴォルタ</v>
          </cell>
        </row>
        <row r="1421">
          <cell r="A1421">
            <v>1427</v>
          </cell>
          <cell r="B1421" t="str">
            <v>ja</v>
          </cell>
          <cell r="C1421" t="str">
            <v>プラトー</v>
          </cell>
        </row>
        <row r="1422">
          <cell r="A1422">
            <v>1428</v>
          </cell>
          <cell r="B1422" t="str">
            <v>ja</v>
          </cell>
          <cell r="C1422" t="str">
            <v>幻影の泡沫 プラトー</v>
          </cell>
        </row>
        <row r="1423">
          <cell r="A1423">
            <v>1431</v>
          </cell>
          <cell r="B1423" t="str">
            <v>ja</v>
          </cell>
          <cell r="C1423" t="str">
            <v>センコ</v>
          </cell>
        </row>
        <row r="1424">
          <cell r="A1424">
            <v>1432</v>
          </cell>
          <cell r="B1424" t="str">
            <v>ja</v>
          </cell>
          <cell r="C1424" t="str">
            <v>華宴の千年狐 センコ</v>
          </cell>
        </row>
        <row r="1425">
          <cell r="A1425">
            <v>1433</v>
          </cell>
          <cell r="B1425" t="str">
            <v>ja</v>
          </cell>
          <cell r="C1425" t="str">
            <v>超越の果実</v>
          </cell>
        </row>
        <row r="1426">
          <cell r="A1426">
            <v>1434</v>
          </cell>
          <cell r="B1426" t="str">
            <v>ja</v>
          </cell>
          <cell r="C1426" t="str">
            <v>メガ超越の果実</v>
          </cell>
        </row>
        <row r="1427">
          <cell r="A1427">
            <v>1435</v>
          </cell>
          <cell r="B1427" t="str">
            <v>ja</v>
          </cell>
          <cell r="C1427" t="str">
            <v>ギガ超越の果実</v>
          </cell>
        </row>
        <row r="1428">
          <cell r="A1428">
            <v>1436</v>
          </cell>
          <cell r="B1428" t="str">
            <v>ja</v>
          </cell>
          <cell r="C1428" t="str">
            <v>スパルタ</v>
          </cell>
        </row>
        <row r="1429">
          <cell r="A1429">
            <v>1437</v>
          </cell>
          <cell r="B1429" t="str">
            <v>ja</v>
          </cell>
          <cell r="C1429" t="str">
            <v>暴厳の練磨師 スパルタ</v>
          </cell>
        </row>
        <row r="1430">
          <cell r="A1430">
            <v>1438</v>
          </cell>
          <cell r="B1430" t="str">
            <v>ja</v>
          </cell>
          <cell r="C1430" t="str">
            <v>ゼノビア</v>
          </cell>
        </row>
        <row r="1431">
          <cell r="A1431">
            <v>1439</v>
          </cell>
          <cell r="B1431" t="str">
            <v>ja</v>
          </cell>
          <cell r="C1431" t="str">
            <v>狡貴なる女傑 ゼノビア</v>
          </cell>
        </row>
        <row r="1432">
          <cell r="A1432">
            <v>1440</v>
          </cell>
          <cell r="B1432" t="str">
            <v>ja</v>
          </cell>
          <cell r="C1432" t="str">
            <v>ブルータス</v>
          </cell>
        </row>
        <row r="1433">
          <cell r="A1433">
            <v>1441</v>
          </cell>
          <cell r="B1433" t="str">
            <v>ja</v>
          </cell>
          <cell r="C1433" t="str">
            <v>背信の謀剣 ブルータス</v>
          </cell>
        </row>
        <row r="1434">
          <cell r="A1434">
            <v>1442</v>
          </cell>
          <cell r="B1434" t="str">
            <v>ja</v>
          </cell>
          <cell r="C1434" t="str">
            <v>アレキサンダー</v>
          </cell>
        </row>
        <row r="1435">
          <cell r="A1435">
            <v>1443</v>
          </cell>
          <cell r="B1435" t="str">
            <v>ja</v>
          </cell>
          <cell r="C1435" t="str">
            <v>征世の大英雄 アレキサンダー</v>
          </cell>
        </row>
        <row r="1436">
          <cell r="A1436">
            <v>1444</v>
          </cell>
          <cell r="B1436" t="str">
            <v>ja</v>
          </cell>
          <cell r="C1436" t="str">
            <v>クレオパトラ</v>
          </cell>
        </row>
        <row r="1437">
          <cell r="A1437">
            <v>1445</v>
          </cell>
          <cell r="B1437" t="str">
            <v>ja</v>
          </cell>
          <cell r="C1437" t="str">
            <v>絶征の魅女 クレオパトラ</v>
          </cell>
        </row>
        <row r="1438">
          <cell r="A1438">
            <v>1446</v>
          </cell>
          <cell r="B1438" t="str">
            <v>ja</v>
          </cell>
          <cell r="C1438" t="str">
            <v>カエサル</v>
          </cell>
        </row>
        <row r="1439">
          <cell r="A1439">
            <v>1447</v>
          </cell>
          <cell r="B1439" t="str">
            <v>ja</v>
          </cell>
          <cell r="C1439" t="str">
            <v>拓越の軍官 カエサル</v>
          </cell>
        </row>
        <row r="1440">
          <cell r="A1440">
            <v>1448</v>
          </cell>
          <cell r="B1440" t="str">
            <v>ja</v>
          </cell>
          <cell r="C1440" t="str">
            <v>ハンニバル</v>
          </cell>
        </row>
        <row r="1441">
          <cell r="A1441">
            <v>1449</v>
          </cell>
          <cell r="B1441" t="str">
            <v>ja</v>
          </cell>
          <cell r="C1441" t="str">
            <v>天賦の閃術家 ハンニバル</v>
          </cell>
        </row>
        <row r="1442">
          <cell r="A1442">
            <v>1450</v>
          </cell>
          <cell r="B1442" t="str">
            <v>ja</v>
          </cell>
          <cell r="C1442" t="str">
            <v>ブーディカ</v>
          </cell>
        </row>
        <row r="1443">
          <cell r="A1443">
            <v>1451</v>
          </cell>
          <cell r="B1443" t="str">
            <v>ja</v>
          </cell>
          <cell r="C1443" t="str">
            <v>沈黙の禁領 ブーディカ</v>
          </cell>
        </row>
        <row r="1444">
          <cell r="A1444">
            <v>1452</v>
          </cell>
          <cell r="B1444" t="str">
            <v>ja</v>
          </cell>
          <cell r="C1444" t="str">
            <v>メルセンヌ</v>
          </cell>
        </row>
        <row r="1445">
          <cell r="A1445">
            <v>1453</v>
          </cell>
          <cell r="B1445" t="str">
            <v>ja</v>
          </cell>
          <cell r="C1445" t="str">
            <v>数解の自鳴琴 メルセンヌ</v>
          </cell>
        </row>
        <row r="1446">
          <cell r="A1446">
            <v>1454</v>
          </cell>
          <cell r="B1446" t="str">
            <v>ja</v>
          </cell>
          <cell r="C1446" t="str">
            <v>ストレングス</v>
          </cell>
        </row>
        <row r="1447">
          <cell r="A1447">
            <v>1455</v>
          </cell>
          <cell r="B1447" t="str">
            <v>ja</v>
          </cell>
          <cell r="C1447" t="str">
            <v>豪毅なる征獣師 ストレングス</v>
          </cell>
        </row>
        <row r="1448">
          <cell r="A1448">
            <v>1456</v>
          </cell>
          <cell r="B1448" t="str">
            <v>ja</v>
          </cell>
          <cell r="C1448" t="str">
            <v>ネセバル</v>
          </cell>
        </row>
        <row r="1449">
          <cell r="A1449">
            <v>1457</v>
          </cell>
          <cell r="B1449" t="str">
            <v>ja</v>
          </cell>
          <cell r="C1449" t="str">
            <v>碧影の聖跡 ネセバル</v>
          </cell>
        </row>
        <row r="1450">
          <cell r="A1450">
            <v>1458</v>
          </cell>
          <cell r="B1450" t="str">
            <v>ja</v>
          </cell>
          <cell r="C1450" t="str">
            <v>ロイ・マスタング</v>
          </cell>
        </row>
        <row r="1451">
          <cell r="A1451">
            <v>1459</v>
          </cell>
          <cell r="B1451" t="str">
            <v>ja</v>
          </cell>
          <cell r="C1451" t="str">
            <v>焔の錬金術師 ロイ・マスタング</v>
          </cell>
        </row>
        <row r="1452">
          <cell r="A1452">
            <v>1460</v>
          </cell>
          <cell r="B1452" t="str">
            <v>ja</v>
          </cell>
          <cell r="C1452" t="str">
            <v>リザ・ホークアイ</v>
          </cell>
        </row>
        <row r="1453">
          <cell r="A1453">
            <v>1461</v>
          </cell>
          <cell r="B1453" t="str">
            <v>ja</v>
          </cell>
          <cell r="C1453" t="str">
            <v>鷹眼の国軍中尉 リザ・ホークアイ</v>
          </cell>
        </row>
        <row r="1454">
          <cell r="A1454">
            <v>1462</v>
          </cell>
          <cell r="B1454" t="str">
            <v>ja</v>
          </cell>
          <cell r="C1454" t="str">
            <v>エドワード・エルリック</v>
          </cell>
        </row>
        <row r="1455">
          <cell r="A1455">
            <v>1463</v>
          </cell>
          <cell r="B1455" t="str">
            <v>ja</v>
          </cell>
          <cell r="C1455" t="str">
            <v>鋼の錬金術師 エドワード</v>
          </cell>
        </row>
        <row r="1456">
          <cell r="A1456">
            <v>1464</v>
          </cell>
          <cell r="B1456" t="str">
            <v>ja</v>
          </cell>
          <cell r="C1456" t="str">
            <v>アルフォンス・エルリック</v>
          </cell>
        </row>
        <row r="1457">
          <cell r="A1457">
            <v>1465</v>
          </cell>
          <cell r="B1457" t="str">
            <v>ja</v>
          </cell>
          <cell r="C1457" t="str">
            <v>鋼腕なる闘鎧 アルフォンス</v>
          </cell>
        </row>
        <row r="1458">
          <cell r="A1458">
            <v>1466</v>
          </cell>
          <cell r="B1458" t="str">
            <v>ja</v>
          </cell>
          <cell r="C1458" t="str">
            <v>スカー</v>
          </cell>
        </row>
        <row r="1459">
          <cell r="A1459">
            <v>1467</v>
          </cell>
          <cell r="B1459" t="str">
            <v>ja</v>
          </cell>
          <cell r="C1459" t="str">
            <v>十字傷の男 スカー</v>
          </cell>
        </row>
        <row r="1460">
          <cell r="A1460">
            <v>1468</v>
          </cell>
          <cell r="B1460" t="str">
            <v>ja</v>
          </cell>
          <cell r="C1460" t="str">
            <v>嫉妬の猛心 エンヴィー</v>
          </cell>
        </row>
        <row r="1461">
          <cell r="A1461">
            <v>1469</v>
          </cell>
          <cell r="B1461" t="str">
            <v>ja</v>
          </cell>
          <cell r="C1461" t="str">
            <v>憤怒の大総統 ブラッドレイ</v>
          </cell>
        </row>
        <row r="1462">
          <cell r="A1462">
            <v>1470</v>
          </cell>
          <cell r="B1462" t="str">
            <v>ja</v>
          </cell>
          <cell r="C1462" t="str">
            <v>傲慢なる悪鬼 プライド</v>
          </cell>
        </row>
        <row r="1463">
          <cell r="A1463">
            <v>1471</v>
          </cell>
          <cell r="B1463" t="str">
            <v>ja</v>
          </cell>
          <cell r="C1463" t="str">
            <v>エイプリルアーサー</v>
          </cell>
        </row>
        <row r="1464">
          <cell r="A1464">
            <v>1488</v>
          </cell>
          <cell r="B1464" t="str">
            <v>ja</v>
          </cell>
          <cell r="C1464" t="str">
            <v>デカルトR5</v>
          </cell>
        </row>
        <row r="1465">
          <cell r="A1465">
            <v>1489</v>
          </cell>
          <cell r="B1465" t="str">
            <v>ja</v>
          </cell>
          <cell r="C1465" t="str">
            <v>デカルトR6</v>
          </cell>
        </row>
        <row r="1466">
          <cell r="A1466">
            <v>1490</v>
          </cell>
          <cell r="B1466" t="str">
            <v>ja</v>
          </cell>
          <cell r="C1466" t="str">
            <v>パラケルスス</v>
          </cell>
        </row>
        <row r="1467">
          <cell r="A1467">
            <v>1491</v>
          </cell>
          <cell r="B1467" t="str">
            <v>ja</v>
          </cell>
          <cell r="C1467" t="str">
            <v>真緋の紅玉 パラケルスス</v>
          </cell>
        </row>
        <row r="1468">
          <cell r="A1468">
            <v>1495</v>
          </cell>
          <cell r="B1468" t="str">
            <v>ja</v>
          </cell>
          <cell r="C1468" t="str">
            <v>桜乱の武奏術 牛若丸</v>
          </cell>
        </row>
        <row r="1469">
          <cell r="A1469">
            <v>1496</v>
          </cell>
          <cell r="B1469" t="str">
            <v>ja</v>
          </cell>
          <cell r="C1469" t="str">
            <v>晴眼桜花一文字 沖田総司</v>
          </cell>
        </row>
        <row r="1470">
          <cell r="A1470">
            <v>1497</v>
          </cell>
          <cell r="B1470" t="str">
            <v>ja</v>
          </cell>
          <cell r="C1470" t="str">
            <v>ヨシノ</v>
          </cell>
        </row>
        <row r="1471">
          <cell r="A1471">
            <v>1498</v>
          </cell>
          <cell r="B1471" t="str">
            <v>ja</v>
          </cell>
          <cell r="C1471" t="str">
            <v>咲誇る夢見草 ヨシノ</v>
          </cell>
        </row>
        <row r="1472">
          <cell r="A1472">
            <v>1499</v>
          </cell>
          <cell r="B1472" t="str">
            <v>ja</v>
          </cell>
          <cell r="C1472" t="str">
            <v>コノハナサクヤ</v>
          </cell>
        </row>
        <row r="1473">
          <cell r="A1473">
            <v>1500</v>
          </cell>
          <cell r="B1473" t="str">
            <v>ja</v>
          </cell>
          <cell r="C1473" t="str">
            <v>櫻歌する開華 コノハナサクヤ</v>
          </cell>
        </row>
        <row r="1474">
          <cell r="A1474">
            <v>1501</v>
          </cell>
          <cell r="B1474" t="str">
            <v>ja</v>
          </cell>
          <cell r="C1474" t="str">
            <v>晴舞台の桜舞 ドガ</v>
          </cell>
        </row>
        <row r="1475">
          <cell r="A1475">
            <v>1502</v>
          </cell>
          <cell r="B1475" t="str">
            <v>ja</v>
          </cell>
          <cell r="C1475" t="str">
            <v>打咲かす桜花灯 トリスタン</v>
          </cell>
        </row>
        <row r="1476">
          <cell r="A1476">
            <v>1503</v>
          </cell>
          <cell r="B1476" t="str">
            <v>ja</v>
          </cell>
          <cell r="C1476" t="str">
            <v>春纏う蛇撫子 ヨルムンガンド</v>
          </cell>
        </row>
        <row r="1477">
          <cell r="A1477">
            <v>1504</v>
          </cell>
          <cell r="B1477" t="str">
            <v>ja</v>
          </cell>
          <cell r="C1477" t="str">
            <v>ネコ</v>
          </cell>
        </row>
        <row r="1478">
          <cell r="A1478">
            <v>1505</v>
          </cell>
          <cell r="B1478" t="str">
            <v>ja</v>
          </cell>
          <cell r="C1478" t="str">
            <v>タンクネコ</v>
          </cell>
        </row>
        <row r="1479">
          <cell r="A1479">
            <v>1506</v>
          </cell>
          <cell r="B1479" t="str">
            <v>ja</v>
          </cell>
          <cell r="C1479" t="str">
            <v>バトルネコ</v>
          </cell>
        </row>
        <row r="1480">
          <cell r="A1480">
            <v>1507</v>
          </cell>
          <cell r="B1480" t="str">
            <v>ja</v>
          </cell>
          <cell r="C1480" t="str">
            <v>キモネコ</v>
          </cell>
        </row>
        <row r="1481">
          <cell r="A1481">
            <v>1508</v>
          </cell>
          <cell r="B1481" t="str">
            <v>ja</v>
          </cell>
          <cell r="C1481" t="str">
            <v>ネコノトリ</v>
          </cell>
        </row>
        <row r="1482">
          <cell r="A1482">
            <v>1509</v>
          </cell>
          <cell r="B1482" t="str">
            <v>ja</v>
          </cell>
          <cell r="C1482" t="str">
            <v>巨神ネコ</v>
          </cell>
        </row>
        <row r="1483">
          <cell r="A1483">
            <v>1510</v>
          </cell>
          <cell r="B1483" t="str">
            <v>ja</v>
          </cell>
          <cell r="C1483" t="str">
            <v>ネコヴァルキリー</v>
          </cell>
        </row>
        <row r="1484">
          <cell r="A1484">
            <v>1511</v>
          </cell>
          <cell r="B1484" t="str">
            <v>ja</v>
          </cell>
          <cell r="C1484" t="str">
            <v>ネコヴァルキリー･真</v>
          </cell>
        </row>
        <row r="1485">
          <cell r="A1485">
            <v>1512</v>
          </cell>
          <cell r="B1485" t="str">
            <v>ja</v>
          </cell>
          <cell r="C1485" t="str">
            <v>ネコヴァルキリー･聖</v>
          </cell>
        </row>
        <row r="1486">
          <cell r="A1486">
            <v>1513</v>
          </cell>
          <cell r="B1486" t="str">
            <v>ja</v>
          </cell>
          <cell r="C1486" t="str">
            <v>金ネコ</v>
          </cell>
        </row>
        <row r="1487">
          <cell r="A1487">
            <v>1514</v>
          </cell>
          <cell r="B1487" t="str">
            <v>ja</v>
          </cell>
          <cell r="C1487" t="str">
            <v>金ネコビルダー</v>
          </cell>
        </row>
        <row r="1488">
          <cell r="A1488">
            <v>1515</v>
          </cell>
          <cell r="B1488" t="str">
            <v>ja</v>
          </cell>
          <cell r="C1488" t="str">
            <v>赤メタルネコ</v>
          </cell>
        </row>
        <row r="1489">
          <cell r="A1489">
            <v>1516</v>
          </cell>
          <cell r="B1489" t="str">
            <v>ja</v>
          </cell>
          <cell r="C1489" t="str">
            <v>赤メタルネコビルダー</v>
          </cell>
        </row>
        <row r="1490">
          <cell r="A1490">
            <v>1517</v>
          </cell>
          <cell r="B1490" t="str">
            <v>ja</v>
          </cell>
          <cell r="C1490" t="str">
            <v>青メタルネコ</v>
          </cell>
        </row>
        <row r="1491">
          <cell r="A1491">
            <v>1518</v>
          </cell>
          <cell r="B1491" t="str">
            <v>ja</v>
          </cell>
          <cell r="C1491" t="str">
            <v>青メタルネコビルダー</v>
          </cell>
        </row>
        <row r="1492">
          <cell r="A1492">
            <v>1519</v>
          </cell>
          <cell r="B1492" t="str">
            <v>ja</v>
          </cell>
          <cell r="C1492" t="str">
            <v>緑メタルネコ</v>
          </cell>
        </row>
        <row r="1493">
          <cell r="A1493">
            <v>1520</v>
          </cell>
          <cell r="B1493" t="str">
            <v>ja</v>
          </cell>
          <cell r="C1493" t="str">
            <v>緑メタルネコビルダー</v>
          </cell>
        </row>
        <row r="1494">
          <cell r="A1494">
            <v>1521</v>
          </cell>
          <cell r="B1494" t="str">
            <v>ja</v>
          </cell>
          <cell r="C1494" t="str">
            <v>黄メタルネコ</v>
          </cell>
        </row>
        <row r="1495">
          <cell r="A1495">
            <v>1522</v>
          </cell>
          <cell r="B1495" t="str">
            <v>ja</v>
          </cell>
          <cell r="C1495" t="str">
            <v>黄メタルネコビルダー</v>
          </cell>
        </row>
        <row r="1496">
          <cell r="A1496">
            <v>1523</v>
          </cell>
          <cell r="B1496" t="str">
            <v>ja</v>
          </cell>
          <cell r="C1496" t="str">
            <v>ネコムート</v>
          </cell>
        </row>
        <row r="1497">
          <cell r="A1497">
            <v>1524</v>
          </cell>
          <cell r="B1497" t="str">
            <v>ja</v>
          </cell>
          <cell r="C1497" t="str">
            <v>狂乱のネコムート</v>
          </cell>
        </row>
        <row r="1498">
          <cell r="A1498">
            <v>1525</v>
          </cell>
          <cell r="B1498" t="str">
            <v>ja</v>
          </cell>
          <cell r="C1498" t="str">
            <v>狂乱のネコ</v>
          </cell>
        </row>
        <row r="1499">
          <cell r="A1499">
            <v>1526</v>
          </cell>
          <cell r="B1499" t="str">
            <v>ja</v>
          </cell>
          <cell r="C1499" t="str">
            <v>狂乱のネコビルダー</v>
          </cell>
        </row>
        <row r="1500">
          <cell r="A1500">
            <v>1527</v>
          </cell>
          <cell r="B1500" t="str">
            <v>ja</v>
          </cell>
          <cell r="C1500" t="str">
            <v>ネコ魔剣士</v>
          </cell>
        </row>
        <row r="1501">
          <cell r="A1501">
            <v>1528</v>
          </cell>
          <cell r="B1501" t="str">
            <v>ja</v>
          </cell>
          <cell r="C1501" t="str">
            <v>双剣ネコ魔剣士</v>
          </cell>
        </row>
        <row r="1502">
          <cell r="A1502">
            <v>1529</v>
          </cell>
          <cell r="B1502" t="str">
            <v>ja</v>
          </cell>
          <cell r="C1502" t="str">
            <v>ねこ海賊</v>
          </cell>
        </row>
        <row r="1503">
          <cell r="A1503">
            <v>1530</v>
          </cell>
          <cell r="B1503" t="str">
            <v>ja</v>
          </cell>
          <cell r="C1503" t="str">
            <v>ニャーコック船長</v>
          </cell>
        </row>
        <row r="1504">
          <cell r="A1504">
            <v>1531</v>
          </cell>
          <cell r="B1504" t="str">
            <v>ja</v>
          </cell>
          <cell r="C1504" t="str">
            <v>ねこジュラ</v>
          </cell>
        </row>
        <row r="1505">
          <cell r="A1505">
            <v>1532</v>
          </cell>
          <cell r="B1505" t="str">
            <v>ja</v>
          </cell>
          <cell r="C1505" t="str">
            <v>ねこジュラシッター</v>
          </cell>
        </row>
        <row r="1506">
          <cell r="A1506">
            <v>1533</v>
          </cell>
          <cell r="B1506" t="str">
            <v>ja</v>
          </cell>
          <cell r="C1506" t="str">
            <v>ネコエステ</v>
          </cell>
        </row>
        <row r="1507">
          <cell r="A1507">
            <v>1534</v>
          </cell>
          <cell r="B1507" t="str">
            <v>ja</v>
          </cell>
          <cell r="C1507" t="str">
            <v>ネコジェンヌ</v>
          </cell>
        </row>
        <row r="1508">
          <cell r="A1508">
            <v>1535</v>
          </cell>
          <cell r="B1508" t="str">
            <v>ja</v>
          </cell>
          <cell r="C1508" t="str">
            <v>ねこナース</v>
          </cell>
        </row>
        <row r="1509">
          <cell r="A1509">
            <v>1536</v>
          </cell>
          <cell r="B1509" t="str">
            <v>ja</v>
          </cell>
          <cell r="C1509" t="str">
            <v>ハートフルねこナース</v>
          </cell>
        </row>
        <row r="1510">
          <cell r="A1510">
            <v>1537</v>
          </cell>
          <cell r="B1510" t="str">
            <v>ja</v>
          </cell>
          <cell r="C1510" t="str">
            <v>キャットマンダディ</v>
          </cell>
        </row>
        <row r="1511">
          <cell r="A1511">
            <v>1538</v>
          </cell>
          <cell r="B1511" t="str">
            <v>ja</v>
          </cell>
          <cell r="C1511" t="str">
            <v>キャットマンダーク</v>
          </cell>
        </row>
        <row r="1512">
          <cell r="A1512">
            <v>1539</v>
          </cell>
          <cell r="B1512" t="str">
            <v>ja</v>
          </cell>
          <cell r="C1512" t="str">
            <v>雷神のサンディア</v>
          </cell>
        </row>
        <row r="1513">
          <cell r="A1513">
            <v>1540</v>
          </cell>
          <cell r="B1513" t="str">
            <v>ja</v>
          </cell>
          <cell r="C1513" t="str">
            <v>雷神のサンディアβ</v>
          </cell>
        </row>
        <row r="1514">
          <cell r="A1514">
            <v>1541</v>
          </cell>
          <cell r="B1514" t="str">
            <v>ja</v>
          </cell>
          <cell r="C1514" t="str">
            <v>美女神アフロディーテ</v>
          </cell>
        </row>
        <row r="1515">
          <cell r="A1515">
            <v>1542</v>
          </cell>
          <cell r="B1515" t="str">
            <v>ja</v>
          </cell>
          <cell r="C1515" t="str">
            <v>メガロディーテ</v>
          </cell>
        </row>
        <row r="1516">
          <cell r="A1516">
            <v>1543</v>
          </cell>
          <cell r="B1516" t="str">
            <v>ja</v>
          </cell>
          <cell r="C1516" t="str">
            <v>ツルの恩返し</v>
          </cell>
        </row>
        <row r="1517">
          <cell r="A1517">
            <v>1544</v>
          </cell>
          <cell r="B1517" t="str">
            <v>ja</v>
          </cell>
          <cell r="C1517" t="str">
            <v>銀河戦士コスモ</v>
          </cell>
        </row>
        <row r="1518">
          <cell r="A1518">
            <v>1545</v>
          </cell>
          <cell r="B1518" t="str">
            <v>ja</v>
          </cell>
          <cell r="C1518" t="str">
            <v>ネコルガ</v>
          </cell>
        </row>
        <row r="1519">
          <cell r="A1519">
            <v>1546</v>
          </cell>
          <cell r="B1519" t="str">
            <v>ja</v>
          </cell>
          <cell r="C1519" t="str">
            <v>ケサランパサラン</v>
          </cell>
        </row>
        <row r="1520">
          <cell r="A1520">
            <v>1547</v>
          </cell>
          <cell r="B1520" t="str">
            <v>ja</v>
          </cell>
          <cell r="C1520" t="str">
            <v>ネコフラワー</v>
          </cell>
        </row>
        <row r="1521">
          <cell r="A1521">
            <v>1548</v>
          </cell>
          <cell r="B1521" t="str">
            <v>ja</v>
          </cell>
          <cell r="C1521" t="str">
            <v>にゃんこ扇風</v>
          </cell>
        </row>
        <row r="1522">
          <cell r="A1522">
            <v>1549</v>
          </cell>
          <cell r="B1522" t="str">
            <v>ja</v>
          </cell>
          <cell r="C1522" t="str">
            <v>ネコリンゴ</v>
          </cell>
        </row>
        <row r="1523">
          <cell r="A1523">
            <v>1550</v>
          </cell>
          <cell r="B1523" t="str">
            <v>ja</v>
          </cell>
          <cell r="C1523" t="str">
            <v>カオルくん</v>
          </cell>
        </row>
        <row r="1524">
          <cell r="A1524">
            <v>1551</v>
          </cell>
          <cell r="B1524" t="str">
            <v>ja</v>
          </cell>
          <cell r="C1524" t="str">
            <v>Leo01</v>
          </cell>
        </row>
        <row r="1525">
          <cell r="A1525">
            <v>1552</v>
          </cell>
          <cell r="B1525" t="str">
            <v>ja</v>
          </cell>
          <cell r="C1525" t="str">
            <v>Leo02</v>
          </cell>
        </row>
        <row r="1526">
          <cell r="A1526">
            <v>1553</v>
          </cell>
          <cell r="B1526" t="str">
            <v>ja</v>
          </cell>
          <cell r="C1526" t="str">
            <v>Andromeda01</v>
          </cell>
        </row>
        <row r="1527">
          <cell r="A1527">
            <v>1554</v>
          </cell>
          <cell r="B1527" t="str">
            <v>ja</v>
          </cell>
          <cell r="C1527" t="str">
            <v>Andromeda02</v>
          </cell>
        </row>
        <row r="1528">
          <cell r="A1528">
            <v>1555</v>
          </cell>
          <cell r="B1528" t="str">
            <v>ja</v>
          </cell>
          <cell r="C1528" t="str">
            <v>Taurus01</v>
          </cell>
        </row>
        <row r="1529">
          <cell r="A1529">
            <v>1556</v>
          </cell>
          <cell r="B1529" t="str">
            <v>ja</v>
          </cell>
          <cell r="C1529" t="str">
            <v>Capricornus01</v>
          </cell>
        </row>
        <row r="1530">
          <cell r="A1530">
            <v>1557</v>
          </cell>
          <cell r="B1530" t="str">
            <v>ja</v>
          </cell>
          <cell r="C1530" t="str">
            <v>Capricornus02</v>
          </cell>
        </row>
        <row r="1531">
          <cell r="A1531">
            <v>1558</v>
          </cell>
          <cell r="B1531" t="str">
            <v>ja</v>
          </cell>
          <cell r="C1531" t="str">
            <v>Aries01</v>
          </cell>
        </row>
        <row r="1532">
          <cell r="A1532">
            <v>1559</v>
          </cell>
          <cell r="B1532" t="str">
            <v>ja</v>
          </cell>
          <cell r="C1532" t="str">
            <v>Aries02</v>
          </cell>
        </row>
        <row r="1533">
          <cell r="A1533">
            <v>1560</v>
          </cell>
          <cell r="B1533" t="str">
            <v>ja</v>
          </cell>
          <cell r="C1533" t="str">
            <v>Pisces01</v>
          </cell>
        </row>
        <row r="1534">
          <cell r="A1534">
            <v>1561</v>
          </cell>
          <cell r="B1534" t="str">
            <v>ja</v>
          </cell>
          <cell r="C1534" t="str">
            <v>Sagittarius01</v>
          </cell>
        </row>
        <row r="1535">
          <cell r="A1535">
            <v>1562</v>
          </cell>
          <cell r="B1535" t="str">
            <v>ja</v>
          </cell>
          <cell r="C1535" t="str">
            <v>Sagittarius02</v>
          </cell>
        </row>
        <row r="1536">
          <cell r="A1536">
            <v>1563</v>
          </cell>
          <cell r="B1536" t="str">
            <v>ja</v>
          </cell>
          <cell r="C1536" t="str">
            <v>Cassiopeia01</v>
          </cell>
        </row>
        <row r="1537">
          <cell r="A1537">
            <v>1564</v>
          </cell>
          <cell r="B1537" t="str">
            <v>ja</v>
          </cell>
          <cell r="C1537" t="str">
            <v>Cassiopeia02</v>
          </cell>
        </row>
        <row r="1538">
          <cell r="A1538">
            <v>1565</v>
          </cell>
          <cell r="B1538" t="str">
            <v>ja</v>
          </cell>
          <cell r="C1538" t="str">
            <v>Aquila01</v>
          </cell>
        </row>
        <row r="1539">
          <cell r="A1539">
            <v>1566</v>
          </cell>
          <cell r="B1539" t="str">
            <v>ja</v>
          </cell>
          <cell r="C1539" t="str">
            <v>Phoenix01</v>
          </cell>
        </row>
        <row r="1540">
          <cell r="A1540">
            <v>1567</v>
          </cell>
          <cell r="B1540" t="str">
            <v>ja</v>
          </cell>
          <cell r="C1540" t="str">
            <v>Phoenix02</v>
          </cell>
        </row>
        <row r="1541">
          <cell r="A1541">
            <v>1568</v>
          </cell>
          <cell r="B1541" t="str">
            <v>ja</v>
          </cell>
          <cell r="C1541" t="str">
            <v>Orion01</v>
          </cell>
        </row>
        <row r="1542">
          <cell r="A1542">
            <v>1569</v>
          </cell>
          <cell r="B1542" t="str">
            <v>ja</v>
          </cell>
          <cell r="C1542" t="str">
            <v>Orion02</v>
          </cell>
        </row>
        <row r="1543">
          <cell r="A1543">
            <v>1570</v>
          </cell>
          <cell r="B1543" t="str">
            <v>ja</v>
          </cell>
          <cell r="C1543" t="str">
            <v>Centaurus01</v>
          </cell>
        </row>
        <row r="1544">
          <cell r="A1544">
            <v>1571</v>
          </cell>
          <cell r="B1544" t="str">
            <v>ja</v>
          </cell>
          <cell r="C1544" t="str">
            <v>Lupus01</v>
          </cell>
        </row>
        <row r="1545">
          <cell r="A1545">
            <v>1572</v>
          </cell>
          <cell r="B1545" t="str">
            <v>ja</v>
          </cell>
          <cell r="C1545" t="str">
            <v>Lupus02</v>
          </cell>
        </row>
        <row r="1546">
          <cell r="A1546">
            <v>1573</v>
          </cell>
          <cell r="B1546" t="str">
            <v>ja</v>
          </cell>
          <cell r="C1546" t="str">
            <v>Scorpius01</v>
          </cell>
        </row>
        <row r="1547">
          <cell r="A1547">
            <v>1574</v>
          </cell>
          <cell r="B1547" t="str">
            <v>ja</v>
          </cell>
          <cell r="C1547" t="str">
            <v>Cancer01</v>
          </cell>
        </row>
        <row r="1548">
          <cell r="A1548">
            <v>1575</v>
          </cell>
          <cell r="B1548" t="str">
            <v>ja</v>
          </cell>
          <cell r="C1548" t="str">
            <v>Aquarius01</v>
          </cell>
        </row>
        <row r="1549">
          <cell r="A1549">
            <v>1576</v>
          </cell>
          <cell r="B1549" t="str">
            <v>ja</v>
          </cell>
          <cell r="C1549" t="str">
            <v>Aquarius02</v>
          </cell>
        </row>
        <row r="1550">
          <cell r="A1550">
            <v>1577</v>
          </cell>
          <cell r="B1550" t="str">
            <v>ja</v>
          </cell>
          <cell r="C1550" t="str">
            <v>Perseus01</v>
          </cell>
        </row>
        <row r="1551">
          <cell r="A1551">
            <v>1578</v>
          </cell>
          <cell r="B1551" t="str">
            <v>ja</v>
          </cell>
          <cell r="C1551" t="str">
            <v>Hydra01</v>
          </cell>
        </row>
        <row r="1552">
          <cell r="A1552">
            <v>1579</v>
          </cell>
          <cell r="B1552" t="str">
            <v>ja</v>
          </cell>
          <cell r="C1552" t="str">
            <v>Lyra01</v>
          </cell>
        </row>
        <row r="1553">
          <cell r="A1553">
            <v>1580</v>
          </cell>
          <cell r="B1553" t="str">
            <v>ja</v>
          </cell>
          <cell r="C1553" t="str">
            <v>Lyra02</v>
          </cell>
        </row>
        <row r="1554">
          <cell r="A1554">
            <v>1581</v>
          </cell>
          <cell r="B1554" t="str">
            <v>ja</v>
          </cell>
          <cell r="C1554" t="str">
            <v>Gemini01</v>
          </cell>
        </row>
        <row r="1555">
          <cell r="A1555">
            <v>1582</v>
          </cell>
          <cell r="B1555" t="str">
            <v>ja</v>
          </cell>
          <cell r="C1555" t="str">
            <v>Gemini02</v>
          </cell>
        </row>
        <row r="1556">
          <cell r="A1556">
            <v>1583</v>
          </cell>
          <cell r="B1556" t="str">
            <v>ja</v>
          </cell>
          <cell r="C1556" t="str">
            <v>Corvus01</v>
          </cell>
        </row>
        <row r="1557">
          <cell r="A1557">
            <v>1584</v>
          </cell>
          <cell r="B1557" t="str">
            <v>ja</v>
          </cell>
          <cell r="C1557" t="str">
            <v>Sirius01</v>
          </cell>
        </row>
        <row r="1558">
          <cell r="A1558">
            <v>1585</v>
          </cell>
          <cell r="B1558" t="str">
            <v>ja</v>
          </cell>
          <cell r="C1558" t="str">
            <v>Sirius02</v>
          </cell>
        </row>
        <row r="1559">
          <cell r="A1559">
            <v>1586</v>
          </cell>
          <cell r="B1559" t="str">
            <v>ja</v>
          </cell>
          <cell r="C1559" t="str">
            <v>Sirius03</v>
          </cell>
        </row>
        <row r="1560">
          <cell r="A1560">
            <v>1587</v>
          </cell>
          <cell r="B1560" t="str">
            <v>ja</v>
          </cell>
          <cell r="C1560" t="str">
            <v>Virgo01</v>
          </cell>
        </row>
        <row r="1561">
          <cell r="A1561">
            <v>1588</v>
          </cell>
          <cell r="B1561" t="str">
            <v>ja</v>
          </cell>
          <cell r="C1561" t="str">
            <v>Virgo02</v>
          </cell>
        </row>
        <row r="1562">
          <cell r="A1562">
            <v>1603</v>
          </cell>
          <cell r="B1562" t="str">
            <v>ja</v>
          </cell>
          <cell r="C1562" t="str">
            <v>麗貴なる洒落魔 エスタブ</v>
          </cell>
        </row>
        <row r="1563">
          <cell r="A1563">
            <v>1604</v>
          </cell>
          <cell r="B1563" t="str">
            <v>ja</v>
          </cell>
          <cell r="C1563" t="str">
            <v>籠絡する魔戦線 ピノキオ</v>
          </cell>
        </row>
        <row r="1564">
          <cell r="A1564">
            <v>1613</v>
          </cell>
          <cell r="B1564" t="str">
            <v>ja</v>
          </cell>
          <cell r="C1564" t="str">
            <v>ボスA</v>
          </cell>
        </row>
        <row r="1565">
          <cell r="A1565">
            <v>1614</v>
          </cell>
          <cell r="B1565" t="str">
            <v>ja</v>
          </cell>
          <cell r="C1565" t="str">
            <v>ボスB</v>
          </cell>
        </row>
        <row r="1566">
          <cell r="A1566">
            <v>1615</v>
          </cell>
          <cell r="B1566" t="str">
            <v>ja</v>
          </cell>
          <cell r="C1566" t="str">
            <v>ボスC</v>
          </cell>
        </row>
        <row r="1567">
          <cell r="A1567">
            <v>1616</v>
          </cell>
          <cell r="B1567" t="str">
            <v>ja</v>
          </cell>
          <cell r="C1567" t="str">
            <v>空欄</v>
          </cell>
        </row>
        <row r="1568">
          <cell r="A1568">
            <v>1617</v>
          </cell>
          <cell r="B1568" t="str">
            <v>ja</v>
          </cell>
          <cell r="C1568" t="str">
            <v>空欄</v>
          </cell>
        </row>
        <row r="1569">
          <cell r="A1569">
            <v>1618</v>
          </cell>
          <cell r="B1569" t="str">
            <v>ja</v>
          </cell>
          <cell r="C1569" t="str">
            <v>空欄</v>
          </cell>
        </row>
        <row r="1570">
          <cell r="A1570">
            <v>1619</v>
          </cell>
          <cell r="B1570" t="str">
            <v>ja</v>
          </cell>
          <cell r="C1570" t="str">
            <v>空欄</v>
          </cell>
        </row>
        <row r="1571">
          <cell r="A1571">
            <v>1620</v>
          </cell>
          <cell r="B1571" t="str">
            <v>ja</v>
          </cell>
          <cell r="C1571" t="str">
            <v>空欄</v>
          </cell>
        </row>
        <row r="1572">
          <cell r="A1572">
            <v>1621</v>
          </cell>
          <cell r="B1572" t="str">
            <v>ja</v>
          </cell>
          <cell r="C1572" t="str">
            <v>空欄</v>
          </cell>
        </row>
        <row r="1573">
          <cell r="A1573">
            <v>1622</v>
          </cell>
          <cell r="B1573" t="str">
            <v>ja</v>
          </cell>
          <cell r="C1573" t="str">
            <v>空欄</v>
          </cell>
        </row>
        <row r="1574">
          <cell r="A1574">
            <v>1623</v>
          </cell>
          <cell r="B1574" t="str">
            <v>ja</v>
          </cell>
          <cell r="C1574" t="str">
            <v>空欄</v>
          </cell>
        </row>
        <row r="1575">
          <cell r="A1575">
            <v>1624</v>
          </cell>
          <cell r="B1575" t="str">
            <v>ja</v>
          </cell>
          <cell r="C1575" t="str">
            <v>空欄</v>
          </cell>
        </row>
        <row r="1576">
          <cell r="A1576">
            <v>1687</v>
          </cell>
          <cell r="B1576" t="str">
            <v>ja</v>
          </cell>
          <cell r="C1576" t="str">
            <v>ファルネーゼ</v>
          </cell>
        </row>
        <row r="1577">
          <cell r="A1577">
            <v>1688</v>
          </cell>
          <cell r="B1577" t="str">
            <v>ja</v>
          </cell>
          <cell r="C1577" t="str">
            <v>ファルネーゼ・ロッソ</v>
          </cell>
        </row>
        <row r="1578">
          <cell r="A1578">
            <v>1689</v>
          </cell>
          <cell r="B1578" t="str">
            <v>ja</v>
          </cell>
          <cell r="C1578" t="str">
            <v>ファルネーゼ・ヴェルデ</v>
          </cell>
        </row>
        <row r="1579">
          <cell r="A1579">
            <v>1690</v>
          </cell>
          <cell r="B1579" t="str">
            <v>ja</v>
          </cell>
          <cell r="C1579" t="str">
            <v>ファルネーゼ・アズロ</v>
          </cell>
        </row>
        <row r="1580">
          <cell r="A1580">
            <v>1691</v>
          </cell>
          <cell r="B1580" t="str">
            <v>ja</v>
          </cell>
          <cell r="C1580" t="str">
            <v>ファルネーゼ・ジャロ</v>
          </cell>
        </row>
        <row r="1581">
          <cell r="A1581">
            <v>1692</v>
          </cell>
          <cell r="B1581" t="str">
            <v>ja</v>
          </cell>
          <cell r="C1581" t="str">
            <v>ロッソ・ハート</v>
          </cell>
        </row>
        <row r="1582">
          <cell r="A1582">
            <v>1693</v>
          </cell>
          <cell r="B1582" t="str">
            <v>ja</v>
          </cell>
          <cell r="C1582" t="str">
            <v>ヴェルデ・ハート</v>
          </cell>
        </row>
        <row r="1583">
          <cell r="A1583">
            <v>1694</v>
          </cell>
          <cell r="B1583" t="str">
            <v>ja</v>
          </cell>
          <cell r="C1583" t="str">
            <v>アズロ・ハート</v>
          </cell>
        </row>
        <row r="1584">
          <cell r="A1584">
            <v>1695</v>
          </cell>
          <cell r="B1584" t="str">
            <v>ja</v>
          </cell>
          <cell r="C1584" t="str">
            <v>ジャロ・ハート</v>
          </cell>
        </row>
        <row r="1585">
          <cell r="A1585">
            <v>1696</v>
          </cell>
          <cell r="B1585" t="str">
            <v>ja</v>
          </cell>
          <cell r="C1585" t="str">
            <v>ファルネーゼ・コア</v>
          </cell>
        </row>
        <row r="1586">
          <cell r="A1586">
            <v>1697</v>
          </cell>
          <cell r="B1586" t="str">
            <v>ja</v>
          </cell>
          <cell r="C1586" t="str">
            <v>駆動する機会 ガーネット</v>
          </cell>
        </row>
        <row r="1587">
          <cell r="A1587">
            <v>1698</v>
          </cell>
          <cell r="B1587" t="str">
            <v>ja</v>
          </cell>
          <cell r="C1587" t="str">
            <v>炎断の華嫁 ガーネット</v>
          </cell>
        </row>
        <row r="1588">
          <cell r="A1588">
            <v>1699</v>
          </cell>
          <cell r="B1588" t="str">
            <v>ja</v>
          </cell>
          <cell r="C1588" t="str">
            <v>崇高祝言 アマテラス</v>
          </cell>
        </row>
        <row r="1589">
          <cell r="A1589">
            <v>1700</v>
          </cell>
          <cell r="B1589" t="str">
            <v>ja</v>
          </cell>
          <cell r="C1589" t="str">
            <v>大慶総氏神 アマテラス</v>
          </cell>
        </row>
        <row r="1590">
          <cell r="A1590">
            <v>1701</v>
          </cell>
          <cell r="B1590" t="str">
            <v>ja</v>
          </cell>
          <cell r="C1590" t="str">
            <v>蒼嵐の婚戦 フォルトゥナ</v>
          </cell>
        </row>
        <row r="1591">
          <cell r="A1591">
            <v>1702</v>
          </cell>
          <cell r="B1591" t="str">
            <v>ja</v>
          </cell>
          <cell r="C1591" t="str">
            <v>求愛の夢想剣 フォルトゥナ</v>
          </cell>
        </row>
        <row r="1592">
          <cell r="A1592">
            <v>1703</v>
          </cell>
          <cell r="B1592" t="str">
            <v>ja</v>
          </cell>
          <cell r="C1592" t="str">
            <v>可恋なる花乙女 リリィ</v>
          </cell>
        </row>
        <row r="1593">
          <cell r="A1593">
            <v>1704</v>
          </cell>
          <cell r="B1593" t="str">
            <v>ja</v>
          </cell>
          <cell r="C1593" t="str">
            <v>恋焦がす夢乙女 リリィ</v>
          </cell>
        </row>
        <row r="1594">
          <cell r="A1594">
            <v>1705</v>
          </cell>
          <cell r="B1594" t="str">
            <v>ja</v>
          </cell>
          <cell r="C1594" t="str">
            <v>純白の新婦軍 白雪姫</v>
          </cell>
        </row>
        <row r="1595">
          <cell r="A1595">
            <v>1706</v>
          </cell>
          <cell r="B1595" t="str">
            <v>ja</v>
          </cell>
          <cell r="C1595" t="str">
            <v>幸福なる大祝砲 白雪姫</v>
          </cell>
        </row>
        <row r="1596">
          <cell r="A1596">
            <v>1707</v>
          </cell>
          <cell r="B1596" t="str">
            <v>ja</v>
          </cell>
          <cell r="C1596" t="str">
            <v>親愛なる猫嫁神 バステト</v>
          </cell>
        </row>
        <row r="1597">
          <cell r="A1597">
            <v>1708</v>
          </cell>
          <cell r="B1597" t="str">
            <v>ja</v>
          </cell>
          <cell r="C1597" t="str">
            <v>御聖婚の幸猫神 バステト</v>
          </cell>
        </row>
        <row r="1598">
          <cell r="A1598">
            <v>1709</v>
          </cell>
          <cell r="B1598" t="str">
            <v>ja</v>
          </cell>
          <cell r="C1598" t="str">
            <v>情花降る神婦 イズン</v>
          </cell>
        </row>
        <row r="1599">
          <cell r="A1599">
            <v>1710</v>
          </cell>
          <cell r="B1599" t="str">
            <v>ja</v>
          </cell>
          <cell r="C1599" t="str">
            <v>慎愛なる女神の契 イズン</v>
          </cell>
        </row>
        <row r="1600">
          <cell r="A1600">
            <v>1711</v>
          </cell>
          <cell r="B1600" t="str">
            <v>ja</v>
          </cell>
          <cell r="C1600" t="str">
            <v>誓愛求婚の新郎 諸葛亮</v>
          </cell>
        </row>
        <row r="1601">
          <cell r="A1601">
            <v>1712</v>
          </cell>
          <cell r="B1601" t="str">
            <v>ja</v>
          </cell>
          <cell r="C1601" t="str">
            <v>一蓮托生の双環 諸葛亮</v>
          </cell>
        </row>
        <row r="1602">
          <cell r="A1602">
            <v>1713</v>
          </cell>
          <cell r="B1602" t="str">
            <v>ja</v>
          </cell>
          <cell r="C1602" t="str">
            <v>誓約の挙剣 ジークフリート</v>
          </cell>
        </row>
        <row r="1603">
          <cell r="A1603">
            <v>1714</v>
          </cell>
          <cell r="B1603" t="str">
            <v>ja</v>
          </cell>
          <cell r="C1603" t="str">
            <v>仁愛の祝賀剣 ジークフリート</v>
          </cell>
        </row>
        <row r="1604">
          <cell r="A1604">
            <v>1715</v>
          </cell>
          <cell r="B1604" t="str">
            <v>ja</v>
          </cell>
          <cell r="C1604" t="str">
            <v>森歓の祝宴 アマラ</v>
          </cell>
        </row>
        <row r="1605">
          <cell r="A1605">
            <v>1716</v>
          </cell>
          <cell r="B1605" t="str">
            <v>ja</v>
          </cell>
          <cell r="C1605" t="str">
            <v>森婚の祝福祭 アマラ</v>
          </cell>
        </row>
        <row r="1606">
          <cell r="A1606">
            <v>1717</v>
          </cell>
          <cell r="B1606" t="str">
            <v>ja</v>
          </cell>
          <cell r="C1606" t="str">
            <v>ラブリーエンジェル</v>
          </cell>
        </row>
        <row r="1607">
          <cell r="A1607">
            <v>1718</v>
          </cell>
          <cell r="B1607" t="str">
            <v>ja</v>
          </cell>
          <cell r="C1607" t="str">
            <v>マリッジリング</v>
          </cell>
        </row>
        <row r="1608">
          <cell r="A1608">
            <v>1719</v>
          </cell>
          <cell r="B1608" t="str">
            <v>ja</v>
          </cell>
          <cell r="C1608" t="str">
            <v>トゥルー・マリッジリング</v>
          </cell>
        </row>
        <row r="1609">
          <cell r="A1609">
            <v>5001</v>
          </cell>
          <cell r="B1609" t="str">
            <v>ja</v>
          </cell>
          <cell r="C1609" t="str">
            <v>ガルーダ</v>
          </cell>
        </row>
        <row r="1610">
          <cell r="A1610">
            <v>5002</v>
          </cell>
          <cell r="B1610" t="str">
            <v>ja</v>
          </cell>
          <cell r="C1610" t="str">
            <v>光輝する美翼聖鳥 ガルーダ</v>
          </cell>
        </row>
        <row r="1611">
          <cell r="A1611">
            <v>5003</v>
          </cell>
          <cell r="B1611" t="str">
            <v>ja</v>
          </cell>
          <cell r="C1611" t="str">
            <v>ナーガ</v>
          </cell>
        </row>
        <row r="1612">
          <cell r="A1612">
            <v>5004</v>
          </cell>
          <cell r="B1612" t="str">
            <v>ja</v>
          </cell>
          <cell r="C1612" t="str">
            <v>深淵翠緑 ナーガ</v>
          </cell>
        </row>
        <row r="1613">
          <cell r="A1613">
            <v>5005</v>
          </cell>
          <cell r="B1613" t="str">
            <v>ja</v>
          </cell>
          <cell r="C1613" t="str">
            <v>カーミラ</v>
          </cell>
        </row>
        <row r="1614">
          <cell r="A1614">
            <v>5006</v>
          </cell>
          <cell r="B1614" t="str">
            <v>ja</v>
          </cell>
          <cell r="C1614" t="str">
            <v>カーミラ★６</v>
          </cell>
        </row>
        <row r="1615">
          <cell r="A1615">
            <v>5007</v>
          </cell>
          <cell r="B1615" t="str">
            <v>ja</v>
          </cell>
          <cell r="C1615" t="str">
            <v>ヘルシング</v>
          </cell>
        </row>
        <row r="1616">
          <cell r="A1616">
            <v>5008</v>
          </cell>
          <cell r="B1616" t="str">
            <v>ja</v>
          </cell>
          <cell r="C1616" t="str">
            <v>ヘルシング★６</v>
          </cell>
        </row>
        <row r="1617">
          <cell r="A1617">
            <v>5009</v>
          </cell>
          <cell r="B1617" t="str">
            <v>ja</v>
          </cell>
          <cell r="C1617" t="str">
            <v>星の王子様</v>
          </cell>
        </row>
        <row r="1618">
          <cell r="A1618">
            <v>5010</v>
          </cell>
          <cell r="B1618" t="str">
            <v>ja</v>
          </cell>
          <cell r="C1618" t="str">
            <v>星の王子様★６</v>
          </cell>
        </row>
        <row r="1619">
          <cell r="A1619">
            <v>5011</v>
          </cell>
          <cell r="B1619" t="str">
            <v>ja</v>
          </cell>
          <cell r="C1619" t="str">
            <v>サン=テグジュペリ</v>
          </cell>
        </row>
        <row r="1620">
          <cell r="A1620">
            <v>5012</v>
          </cell>
          <cell r="B1620" t="str">
            <v>ja</v>
          </cell>
          <cell r="C1620" t="str">
            <v>サン=テグジュペリ★６</v>
          </cell>
        </row>
        <row r="1621">
          <cell r="A1621">
            <v>6001</v>
          </cell>
          <cell r="B1621" t="str">
            <v>ja</v>
          </cell>
          <cell r="C1621" t="str">
            <v>ジェリー</v>
          </cell>
        </row>
        <row r="1622">
          <cell r="A1622">
            <v>6002</v>
          </cell>
          <cell r="B1622" t="str">
            <v>ja</v>
          </cell>
          <cell r="C1622" t="str">
            <v>ヨシタカ</v>
          </cell>
        </row>
        <row r="1623">
          <cell r="A1623">
            <v>6003</v>
          </cell>
          <cell r="B1623" t="str">
            <v>ja</v>
          </cell>
          <cell r="C1623" t="str">
            <v>朱雀</v>
          </cell>
        </row>
        <row r="1624">
          <cell r="A1624">
            <v>6004</v>
          </cell>
          <cell r="B1624" t="str">
            <v>ja</v>
          </cell>
          <cell r="C1624" t="str">
            <v>ブレット</v>
          </cell>
        </row>
        <row r="1625">
          <cell r="A1625">
            <v>6005</v>
          </cell>
          <cell r="B1625" t="str">
            <v>ja</v>
          </cell>
          <cell r="C1625" t="str">
            <v>孤神 テティス</v>
          </cell>
        </row>
        <row r="1626">
          <cell r="A1626">
            <v>6006</v>
          </cell>
          <cell r="B1626" t="str">
            <v>ja</v>
          </cell>
          <cell r="C1626" t="str">
            <v>海底の孤高神 テティス</v>
          </cell>
        </row>
        <row r="1627">
          <cell r="A1627">
            <v>6007</v>
          </cell>
          <cell r="B1627" t="str">
            <v>ja</v>
          </cell>
          <cell r="C1627" t="str">
            <v>番犬 ケルベロス</v>
          </cell>
        </row>
        <row r="1628">
          <cell r="A1628">
            <v>6008</v>
          </cell>
          <cell r="B1628" t="str">
            <v>ja</v>
          </cell>
          <cell r="C1628" t="str">
            <v>焔神 プロメテウス</v>
          </cell>
        </row>
        <row r="1629">
          <cell r="A1629">
            <v>6009</v>
          </cell>
          <cell r="B1629" t="str">
            <v>ja</v>
          </cell>
          <cell r="C1629" t="str">
            <v>超越自我 ラグランジュ</v>
          </cell>
        </row>
        <row r="1630">
          <cell r="A1630">
            <v>6010</v>
          </cell>
          <cell r="B1630" t="str">
            <v>ja</v>
          </cell>
          <cell r="C1630" t="str">
            <v>超越凌駕 ラグランジュ</v>
          </cell>
        </row>
        <row r="1631">
          <cell r="A1631">
            <v>6011</v>
          </cell>
          <cell r="B1631" t="str">
            <v>ja</v>
          </cell>
          <cell r="C1631" t="str">
            <v>パトドッグリーダー ポチ</v>
          </cell>
        </row>
        <row r="1632">
          <cell r="A1632">
            <v>6012</v>
          </cell>
          <cell r="B1632" t="str">
            <v>ja</v>
          </cell>
          <cell r="C1632" t="str">
            <v>ミミ</v>
          </cell>
        </row>
        <row r="1633">
          <cell r="A1633">
            <v>6013</v>
          </cell>
          <cell r="B1633" t="str">
            <v>ja</v>
          </cell>
          <cell r="C1633" t="str">
            <v>護衛機人 スケアクロウ</v>
          </cell>
        </row>
        <row r="1634">
          <cell r="A1634">
            <v>6014</v>
          </cell>
          <cell r="B1634" t="str">
            <v>ja</v>
          </cell>
          <cell r="C1634" t="str">
            <v>月下の人狼 ローレンス</v>
          </cell>
        </row>
        <row r="1635">
          <cell r="A1635">
            <v>6015</v>
          </cell>
          <cell r="B1635" t="str">
            <v>ja</v>
          </cell>
          <cell r="C1635" t="str">
            <v>フレイヤ</v>
          </cell>
        </row>
        <row r="1636">
          <cell r="A1636">
            <v>6016</v>
          </cell>
          <cell r="B1636" t="str">
            <v>ja</v>
          </cell>
          <cell r="C1636" t="str">
            <v>根原論理 ユークリッド</v>
          </cell>
        </row>
        <row r="1637">
          <cell r="A1637">
            <v>6017</v>
          </cell>
          <cell r="B1637" t="str">
            <v>ja</v>
          </cell>
          <cell r="C1637" t="str">
            <v>不朽の極論 ユークリッド</v>
          </cell>
        </row>
        <row r="1638">
          <cell r="A1638">
            <v>6018</v>
          </cell>
          <cell r="B1638" t="str">
            <v>ja</v>
          </cell>
          <cell r="C1638" t="str">
            <v>ハヅル</v>
          </cell>
        </row>
        <row r="1639">
          <cell r="A1639">
            <v>6019</v>
          </cell>
          <cell r="B1639" t="str">
            <v>ja</v>
          </cell>
          <cell r="C1639" t="str">
            <v>天織羽鶴 ハヅル</v>
          </cell>
        </row>
        <row r="1640">
          <cell r="A1640">
            <v>6020</v>
          </cell>
          <cell r="B1640" t="str">
            <v>ja</v>
          </cell>
          <cell r="C1640" t="str">
            <v>ミズチ</v>
          </cell>
        </row>
        <row r="1641">
          <cell r="A1641">
            <v>8001</v>
          </cell>
          <cell r="B1641" t="str">
            <v>ja</v>
          </cell>
          <cell r="C1641" t="str">
            <v>媽祖</v>
          </cell>
        </row>
        <row r="1642">
          <cell r="A1642">
            <v>8002</v>
          </cell>
          <cell r="B1642" t="str">
            <v>ja</v>
          </cell>
          <cell r="C1642" t="str">
            <v>宣導する天海妃 媽祖</v>
          </cell>
        </row>
        <row r="1643">
          <cell r="A1643">
            <v>8003</v>
          </cell>
          <cell r="B1643" t="str">
            <v>ja</v>
          </cell>
          <cell r="C1643" t="str">
            <v>蛟龍</v>
          </cell>
        </row>
        <row r="1644">
          <cell r="A1644">
            <v>8004</v>
          </cell>
          <cell r="B1644" t="str">
            <v>ja</v>
          </cell>
          <cell r="C1644" t="str">
            <v>呼嵐の蒼棲龍 蛟龍</v>
          </cell>
        </row>
        <row r="1645">
          <cell r="A1645">
            <v>8005</v>
          </cell>
          <cell r="B1645" t="str">
            <v>ja</v>
          </cell>
          <cell r="C1645" t="str">
            <v>三蔵法師</v>
          </cell>
        </row>
        <row r="1646">
          <cell r="A1646">
            <v>8006</v>
          </cell>
          <cell r="B1646" t="str">
            <v>ja</v>
          </cell>
          <cell r="C1646" t="str">
            <v>慈戒の呪封使 三蔵法師</v>
          </cell>
        </row>
        <row r="1647">
          <cell r="A1647">
            <v>8007</v>
          </cell>
          <cell r="B1647" t="str">
            <v>ja</v>
          </cell>
          <cell r="C1647" t="str">
            <v>孫悟空</v>
          </cell>
        </row>
        <row r="1648">
          <cell r="A1648">
            <v>8008</v>
          </cell>
          <cell r="B1648" t="str">
            <v>ja</v>
          </cell>
          <cell r="C1648" t="str">
            <v>花果の天猿仙人 孫悟空</v>
          </cell>
        </row>
        <row r="1649">
          <cell r="A1649">
            <v>8009</v>
          </cell>
          <cell r="B1649" t="str">
            <v>ja</v>
          </cell>
          <cell r="C1649" t="str">
            <v>西王娘娘</v>
          </cell>
        </row>
        <row r="1650">
          <cell r="A1650">
            <v>8010</v>
          </cell>
          <cell r="B1650" t="str">
            <v>ja</v>
          </cell>
          <cell r="C1650" t="str">
            <v>極楽瑶池の聖母 西王娘娘</v>
          </cell>
        </row>
        <row r="1651">
          <cell r="A1651">
            <v>8011</v>
          </cell>
          <cell r="B1651" t="str">
            <v>ja</v>
          </cell>
          <cell r="C1651" t="str">
            <v>月下老人</v>
          </cell>
        </row>
        <row r="1652">
          <cell r="A1652">
            <v>8012</v>
          </cell>
          <cell r="B1652" t="str">
            <v>ja</v>
          </cell>
          <cell r="C1652" t="str">
            <v>破戀斬る縁剣 月下老人</v>
          </cell>
        </row>
        <row r="1653">
          <cell r="A1653">
            <v>8013</v>
          </cell>
          <cell r="B1653" t="str">
            <v>ja</v>
          </cell>
          <cell r="C1653" t="str">
            <v>初音ミクV3</v>
          </cell>
        </row>
        <row r="1654">
          <cell r="A1654">
            <v>8014</v>
          </cell>
          <cell r="B1654" t="str">
            <v>ja</v>
          </cell>
          <cell r="C1654" t="str">
            <v>初音ミクV3</v>
          </cell>
        </row>
        <row r="1655">
          <cell r="A1655">
            <v>8015</v>
          </cell>
          <cell r="B1655" t="str">
            <v>ja</v>
          </cell>
          <cell r="C1655" t="str">
            <v>初音ミク・アペンド</v>
          </cell>
        </row>
        <row r="1656">
          <cell r="A1656">
            <v>8016</v>
          </cell>
          <cell r="B1656" t="str">
            <v>ja</v>
          </cell>
          <cell r="C1656" t="str">
            <v>初音ミク・アペンド</v>
          </cell>
        </row>
        <row r="1657">
          <cell r="A1657">
            <v>8017</v>
          </cell>
          <cell r="B1657" t="str">
            <v>ja</v>
          </cell>
          <cell r="C1657" t="str">
            <v>初音ミク</v>
          </cell>
        </row>
        <row r="1658">
          <cell r="A1658">
            <v>8018</v>
          </cell>
          <cell r="B1658" t="str">
            <v>ja</v>
          </cell>
          <cell r="C1658" t="str">
            <v>初音ミク</v>
          </cell>
        </row>
        <row r="1659">
          <cell r="A1659">
            <v>8019</v>
          </cell>
          <cell r="B1659" t="str">
            <v>ja</v>
          </cell>
          <cell r="C1659" t="str">
            <v>鏡音リン</v>
          </cell>
        </row>
        <row r="1660">
          <cell r="A1660">
            <v>8020</v>
          </cell>
          <cell r="B1660" t="str">
            <v>ja</v>
          </cell>
          <cell r="C1660" t="str">
            <v>鏡音リン</v>
          </cell>
        </row>
        <row r="1661">
          <cell r="A1661">
            <v>8021</v>
          </cell>
          <cell r="B1661" t="str">
            <v>ja</v>
          </cell>
          <cell r="C1661" t="str">
            <v>鏡音レン</v>
          </cell>
        </row>
        <row r="1662">
          <cell r="A1662">
            <v>8022</v>
          </cell>
          <cell r="B1662" t="str">
            <v>ja</v>
          </cell>
          <cell r="C1662" t="str">
            <v>鏡音レン</v>
          </cell>
        </row>
        <row r="1663">
          <cell r="A1663">
            <v>8023</v>
          </cell>
          <cell r="B1663" t="str">
            <v>ja</v>
          </cell>
          <cell r="C1663" t="str">
            <v>巡音ルカ</v>
          </cell>
        </row>
        <row r="1664">
          <cell r="A1664">
            <v>8024</v>
          </cell>
          <cell r="B1664" t="str">
            <v>ja</v>
          </cell>
          <cell r="C1664" t="str">
            <v>巡音ルカ</v>
          </cell>
        </row>
        <row r="1665">
          <cell r="A1665">
            <v>8025</v>
          </cell>
          <cell r="B1665" t="str">
            <v>ja</v>
          </cell>
          <cell r="C1665" t="str">
            <v>MEIKO</v>
          </cell>
        </row>
        <row r="1666">
          <cell r="A1666">
            <v>8026</v>
          </cell>
          <cell r="B1666" t="str">
            <v>ja</v>
          </cell>
          <cell r="C1666" t="str">
            <v>MEIKO</v>
          </cell>
        </row>
        <row r="1667">
          <cell r="A1667">
            <v>8027</v>
          </cell>
          <cell r="B1667" t="str">
            <v>ja</v>
          </cell>
          <cell r="C1667" t="str">
            <v>KAITO</v>
          </cell>
        </row>
        <row r="1668">
          <cell r="A1668">
            <v>8028</v>
          </cell>
          <cell r="B1668" t="str">
            <v>ja</v>
          </cell>
          <cell r="C1668" t="str">
            <v>KAITO</v>
          </cell>
        </row>
        <row r="1669">
          <cell r="A1669">
            <v>8029</v>
          </cell>
          <cell r="B1669" t="str">
            <v>ja</v>
          </cell>
          <cell r="C1669" t="str">
            <v>Expoミク</v>
          </cell>
        </row>
        <row r="1670">
          <cell r="A1670">
            <v>8030</v>
          </cell>
          <cell r="B1670" t="str">
            <v>ja</v>
          </cell>
          <cell r="C1670" t="str">
            <v>Expoミク</v>
          </cell>
        </row>
        <row r="1671">
          <cell r="A1671">
            <v>8031</v>
          </cell>
          <cell r="B1671" t="str">
            <v>ja</v>
          </cell>
          <cell r="C1671" t="str">
            <v>閻羅王</v>
          </cell>
        </row>
        <row r="1672">
          <cell r="A1672">
            <v>8032</v>
          </cell>
          <cell r="B1672" t="str">
            <v>ja</v>
          </cell>
          <cell r="C1672" t="str">
            <v>六道輪廻の絶獄 閻羅王</v>
          </cell>
        </row>
        <row r="1673">
          <cell r="A1673">
            <v>8033</v>
          </cell>
          <cell r="B1673" t="str">
            <v>ja</v>
          </cell>
          <cell r="C1673" t="str">
            <v>牛頭馬面</v>
          </cell>
        </row>
        <row r="1674">
          <cell r="A1674">
            <v>8034</v>
          </cell>
          <cell r="B1674" t="str">
            <v>ja</v>
          </cell>
          <cell r="C1674" t="str">
            <v>冥府狩る魂使 牛頭馬面</v>
          </cell>
        </row>
        <row r="1675">
          <cell r="A1675">
            <v>8035</v>
          </cell>
          <cell r="B1675" t="str">
            <v>ja</v>
          </cell>
          <cell r="C1675" t="str">
            <v>飛衛</v>
          </cell>
        </row>
        <row r="1676">
          <cell r="A1676">
            <v>8036</v>
          </cell>
          <cell r="B1676" t="str">
            <v>ja</v>
          </cell>
          <cell r="C1676" t="str">
            <v>レア６飛衛</v>
          </cell>
        </row>
        <row r="1677">
          <cell r="A1677">
            <v>8037</v>
          </cell>
          <cell r="B1677" t="str">
            <v>ja</v>
          </cell>
          <cell r="C1677" t="str">
            <v>紀昌</v>
          </cell>
        </row>
        <row r="1678">
          <cell r="A1678">
            <v>8038</v>
          </cell>
          <cell r="B1678" t="str">
            <v>ja</v>
          </cell>
          <cell r="C1678" t="str">
            <v>レア６紀昌</v>
          </cell>
        </row>
        <row r="1679">
          <cell r="A1679">
            <v>8039</v>
          </cell>
          <cell r="B1679" t="str">
            <v>ja</v>
          </cell>
          <cell r="C1679" t="str">
            <v>何仙姑</v>
          </cell>
        </row>
        <row r="1680">
          <cell r="A1680">
            <v>8040</v>
          </cell>
          <cell r="B1680" t="str">
            <v>ja</v>
          </cell>
          <cell r="C1680" t="str">
            <v>荷咲く九天 何仙姑</v>
          </cell>
        </row>
        <row r="1681">
          <cell r="A1681">
            <v>8041</v>
          </cell>
          <cell r="B1681" t="str">
            <v>ja</v>
          </cell>
          <cell r="C1681" t="str">
            <v>藍采和</v>
          </cell>
        </row>
        <row r="1682">
          <cell r="A1682">
            <v>8042</v>
          </cell>
          <cell r="B1682" t="str">
            <v>ja</v>
          </cell>
          <cell r="C1682" t="str">
            <v>天真浪漫 藍采和</v>
          </cell>
        </row>
        <row r="1683">
          <cell r="A1683">
            <v>8043</v>
          </cell>
          <cell r="B1683" t="str">
            <v>ja</v>
          </cell>
          <cell r="C1683" t="str">
            <v>サンリオキャラ大集合+アザゼル</v>
          </cell>
        </row>
        <row r="1684">
          <cell r="A1684">
            <v>8044</v>
          </cell>
          <cell r="B1684" t="str">
            <v>ja</v>
          </cell>
          <cell r="C1684" t="str">
            <v>サンリオキャラ大集合+アザゼル</v>
          </cell>
        </row>
        <row r="1685">
          <cell r="A1685">
            <v>8045</v>
          </cell>
          <cell r="B1685" t="str">
            <v>ja</v>
          </cell>
          <cell r="C1685" t="str">
            <v>ニムダ_サンリオキャラ混じり</v>
          </cell>
        </row>
        <row r="1686">
          <cell r="A1686">
            <v>8046</v>
          </cell>
          <cell r="B1686" t="str">
            <v>ja</v>
          </cell>
          <cell r="C1686" t="str">
            <v>ニムダ_サンリオキャラ混じり</v>
          </cell>
        </row>
        <row r="1687">
          <cell r="A1687">
            <v>8047</v>
          </cell>
          <cell r="B1687" t="str">
            <v>ja</v>
          </cell>
          <cell r="C1687" t="str">
            <v>ハローキティ</v>
          </cell>
        </row>
        <row r="1688">
          <cell r="A1688">
            <v>8048</v>
          </cell>
          <cell r="B1688" t="str">
            <v>ja</v>
          </cell>
          <cell r="C1688" t="str">
            <v>ハローキティ</v>
          </cell>
        </row>
        <row r="1689">
          <cell r="A1689">
            <v>8049</v>
          </cell>
          <cell r="B1689" t="str">
            <v>ja</v>
          </cell>
          <cell r="C1689" t="str">
            <v>KIRIMIちゃん</v>
          </cell>
        </row>
        <row r="1690">
          <cell r="A1690">
            <v>8050</v>
          </cell>
          <cell r="B1690" t="str">
            <v>ja</v>
          </cell>
          <cell r="C1690" t="str">
            <v>KIRIMIちゃん</v>
          </cell>
        </row>
        <row r="1691">
          <cell r="A1691">
            <v>8051</v>
          </cell>
          <cell r="B1691" t="str">
            <v>ja</v>
          </cell>
          <cell r="C1691" t="str">
            <v>ハローキティのリボン</v>
          </cell>
        </row>
        <row r="1692">
          <cell r="A1692">
            <v>8052</v>
          </cell>
          <cell r="B1692" t="str">
            <v>ja</v>
          </cell>
          <cell r="C1692" t="str">
            <v>ママの作ったアップルパイ</v>
          </cell>
        </row>
        <row r="1693">
          <cell r="A1693">
            <v>8053</v>
          </cell>
          <cell r="B1693" t="str">
            <v>ja</v>
          </cell>
          <cell r="C1693" t="str">
            <v>D.R.T.H__キティコスプレ</v>
          </cell>
        </row>
        <row r="1694">
          <cell r="A1694">
            <v>8054</v>
          </cell>
          <cell r="B1694" t="str">
            <v>ja</v>
          </cell>
          <cell r="C1694" t="str">
            <v>D.R.T.H__キティコスプレ</v>
          </cell>
        </row>
        <row r="1695">
          <cell r="A1695">
            <v>8055</v>
          </cell>
          <cell r="B1695" t="str">
            <v>ja</v>
          </cell>
          <cell r="C1695" t="str">
            <v>マイメロディ</v>
          </cell>
        </row>
        <row r="1696">
          <cell r="A1696">
            <v>8056</v>
          </cell>
          <cell r="B1696" t="str">
            <v>ja</v>
          </cell>
          <cell r="C1696" t="str">
            <v>マイメロディ</v>
          </cell>
        </row>
        <row r="1697">
          <cell r="A1697">
            <v>8057</v>
          </cell>
          <cell r="B1697" t="str">
            <v>ja</v>
          </cell>
          <cell r="C1697" t="str">
            <v>ニーベルゲン_シナモロールコスプレ</v>
          </cell>
        </row>
        <row r="1698">
          <cell r="A1698">
            <v>8058</v>
          </cell>
          <cell r="B1698" t="str">
            <v>ja</v>
          </cell>
          <cell r="C1698" t="str">
            <v>ニーベルゲン_シナモロールコスプレ</v>
          </cell>
        </row>
        <row r="1699">
          <cell r="A1699">
            <v>8059</v>
          </cell>
          <cell r="B1699" t="str">
            <v>ja</v>
          </cell>
          <cell r="C1699" t="str">
            <v>カカシ_マイメロディコスプレ</v>
          </cell>
        </row>
        <row r="1700">
          <cell r="A1700">
            <v>8060</v>
          </cell>
          <cell r="B1700" t="str">
            <v>ja</v>
          </cell>
          <cell r="C1700" t="str">
            <v>カカシ_マイメロディコスプレ</v>
          </cell>
        </row>
        <row r="1701">
          <cell r="A1701">
            <v>8061</v>
          </cell>
          <cell r="B1701" t="str">
            <v>ja</v>
          </cell>
          <cell r="C1701" t="str">
            <v>ケロケロけろっぴ</v>
          </cell>
        </row>
        <row r="1702">
          <cell r="A1702">
            <v>8062</v>
          </cell>
          <cell r="B1702" t="str">
            <v>ja</v>
          </cell>
          <cell r="C1702" t="str">
            <v>ケロケロけろっぴ</v>
          </cell>
        </row>
        <row r="1703">
          <cell r="A1703">
            <v>8063</v>
          </cell>
          <cell r="B1703" t="str">
            <v>ja</v>
          </cell>
          <cell r="C1703" t="str">
            <v>モルドレッド_ポムポムプリンコスプレ</v>
          </cell>
        </row>
        <row r="1704">
          <cell r="A1704">
            <v>8064</v>
          </cell>
          <cell r="B1704" t="str">
            <v>ja</v>
          </cell>
          <cell r="C1704" t="str">
            <v>モルドレッド_ポムポムプリンコスプレ</v>
          </cell>
        </row>
        <row r="1705">
          <cell r="A1705">
            <v>8065</v>
          </cell>
          <cell r="B1705" t="str">
            <v>ja</v>
          </cell>
          <cell r="C1705" t="str">
            <v>クロミ</v>
          </cell>
        </row>
        <row r="1706">
          <cell r="A1706">
            <v>8066</v>
          </cell>
          <cell r="B1706" t="str">
            <v>ja</v>
          </cell>
          <cell r="C1706" t="str">
            <v>クロミ</v>
          </cell>
        </row>
        <row r="1707">
          <cell r="A1707">
            <v>8067</v>
          </cell>
          <cell r="B1707" t="str">
            <v>ja</v>
          </cell>
          <cell r="C1707" t="str">
            <v>バッドばつ丸</v>
          </cell>
        </row>
        <row r="1708">
          <cell r="A1708">
            <v>8068</v>
          </cell>
          <cell r="B1708" t="str">
            <v>ja</v>
          </cell>
          <cell r="C1708" t="str">
            <v>バッドばつ丸</v>
          </cell>
        </row>
        <row r="1709">
          <cell r="A1709">
            <v>8069</v>
          </cell>
          <cell r="B1709" t="str">
            <v>ja</v>
          </cell>
          <cell r="C1709" t="str">
            <v>シナモロール</v>
          </cell>
        </row>
        <row r="1710">
          <cell r="A1710">
            <v>8070</v>
          </cell>
          <cell r="B1710" t="str">
            <v>ja</v>
          </cell>
          <cell r="C1710" t="str">
            <v>シナモロール</v>
          </cell>
        </row>
        <row r="1711">
          <cell r="A1711">
            <v>8071</v>
          </cell>
          <cell r="B1711" t="str">
            <v>ja</v>
          </cell>
          <cell r="C1711" t="str">
            <v>ポムポムプリン</v>
          </cell>
        </row>
        <row r="1712">
          <cell r="A1712">
            <v>8072</v>
          </cell>
          <cell r="B1712" t="str">
            <v>ja</v>
          </cell>
          <cell r="C1712" t="str">
            <v>ポムポムプリン</v>
          </cell>
        </row>
        <row r="1713">
          <cell r="A1713">
            <v>8073</v>
          </cell>
          <cell r="B1713" t="str">
            <v>ja</v>
          </cell>
          <cell r="C1713" t="str">
            <v>星海祈る天光妃 媽祖</v>
          </cell>
        </row>
        <row r="1714">
          <cell r="A1714">
            <v>8074</v>
          </cell>
          <cell r="B1714" t="str">
            <v>ja</v>
          </cell>
          <cell r="C1714" t="str">
            <v>海戀の絶龍姫 蛟龍</v>
          </cell>
        </row>
        <row r="1715">
          <cell r="A1715">
            <v>8075</v>
          </cell>
          <cell r="B1715" t="str">
            <v>ja</v>
          </cell>
          <cell r="C1715" t="str">
            <v>解脱天の知徳 三蔵法師</v>
          </cell>
        </row>
        <row r="1716">
          <cell r="A1716">
            <v>8076</v>
          </cell>
          <cell r="B1716" t="str">
            <v>ja</v>
          </cell>
          <cell r="C1716" t="str">
            <v>天暴の斉天大聖 孫悟空</v>
          </cell>
        </row>
        <row r="1717">
          <cell r="A1717">
            <v>8077</v>
          </cell>
          <cell r="B1717" t="str">
            <v>ja</v>
          </cell>
          <cell r="C1717" t="str">
            <v>鄭成功</v>
          </cell>
        </row>
        <row r="1718">
          <cell r="A1718">
            <v>8078</v>
          </cell>
          <cell r="B1718" t="str">
            <v>ja</v>
          </cell>
          <cell r="C1718" t="str">
            <v>レア６鄭成功</v>
          </cell>
        </row>
        <row r="1719">
          <cell r="A1719">
            <v>8079</v>
          </cell>
          <cell r="B1719" t="str">
            <v>ja</v>
          </cell>
          <cell r="C1719" t="str">
            <v>赤鬼</v>
          </cell>
        </row>
        <row r="1720">
          <cell r="A1720">
            <v>8080</v>
          </cell>
          <cell r="B1720" t="str">
            <v>ja</v>
          </cell>
          <cell r="C1720" t="str">
            <v>レア６赤鬼</v>
          </cell>
        </row>
        <row r="1721">
          <cell r="A1721">
            <v>8081</v>
          </cell>
          <cell r="B1721" t="str">
            <v>ja</v>
          </cell>
          <cell r="C1721" t="str">
            <v>関羽</v>
          </cell>
        </row>
        <row r="1722">
          <cell r="A1722">
            <v>8082</v>
          </cell>
          <cell r="B1722" t="str">
            <v>ja</v>
          </cell>
          <cell r="C1722" t="str">
            <v>千里突撃 関羽</v>
          </cell>
        </row>
        <row r="1723">
          <cell r="A1723">
            <v>8083</v>
          </cell>
          <cell r="B1723" t="str">
            <v>ja</v>
          </cell>
          <cell r="C1723" t="str">
            <v>曹操</v>
          </cell>
        </row>
        <row r="1724">
          <cell r="A1724">
            <v>8084</v>
          </cell>
          <cell r="B1724" t="str">
            <v>ja</v>
          </cell>
          <cell r="C1724" t="str">
            <v>混沌の覇道行者 曹操</v>
          </cell>
        </row>
        <row r="1725">
          <cell r="A1725">
            <v>8085</v>
          </cell>
          <cell r="B1725" t="str">
            <v>ja</v>
          </cell>
          <cell r="C1725" t="str">
            <v>九霊無上の聖母 西王娘娘</v>
          </cell>
        </row>
        <row r="1726">
          <cell r="A1726">
            <v>8086</v>
          </cell>
          <cell r="B1726" t="str">
            <v>ja</v>
          </cell>
          <cell r="C1726" t="str">
            <v>砕縁の情滅剣 月下老人</v>
          </cell>
        </row>
        <row r="1727">
          <cell r="A1727">
            <v>8087</v>
          </cell>
          <cell r="B1727" t="str">
            <v>ja</v>
          </cell>
          <cell r="C1727" t="str">
            <v>財神</v>
          </cell>
        </row>
        <row r="1728">
          <cell r="A1728">
            <v>8088</v>
          </cell>
          <cell r="B1728" t="str">
            <v>ja</v>
          </cell>
          <cell r="C1728" t="str">
            <v>★６財神</v>
          </cell>
        </row>
        <row r="1729">
          <cell r="A1729">
            <v>8089</v>
          </cell>
          <cell r="B1729" t="str">
            <v>ja</v>
          </cell>
          <cell r="C1729" t="str">
            <v>年獣</v>
          </cell>
        </row>
        <row r="1730">
          <cell r="A1730">
            <v>8090</v>
          </cell>
          <cell r="B1730" t="str">
            <v>ja</v>
          </cell>
          <cell r="C1730" t="str">
            <v>★６年獣</v>
          </cell>
        </row>
        <row r="1731">
          <cell r="A1731">
            <v>8095</v>
          </cell>
          <cell r="B1731" t="str">
            <v>ja</v>
          </cell>
          <cell r="C1731" t="str">
            <v>バハムートダック赤</v>
          </cell>
        </row>
        <row r="1732">
          <cell r="A1732">
            <v>8096</v>
          </cell>
          <cell r="B1732" t="str">
            <v>ja</v>
          </cell>
          <cell r="C1732" t="str">
            <v>バハムートダック緑</v>
          </cell>
        </row>
        <row r="1733">
          <cell r="A1733">
            <v>8097</v>
          </cell>
          <cell r="B1733" t="str">
            <v>ja</v>
          </cell>
          <cell r="C1733" t="str">
            <v>バハムートダック青</v>
          </cell>
        </row>
        <row r="1734">
          <cell r="A1734">
            <v>8098</v>
          </cell>
          <cell r="B1734" t="str">
            <v>ja</v>
          </cell>
          <cell r="C1734" t="str">
            <v>バハムートダック黄</v>
          </cell>
        </row>
        <row r="1735">
          <cell r="A1735">
            <v>8099</v>
          </cell>
          <cell r="B1735" t="str">
            <v>ja</v>
          </cell>
          <cell r="C1735" t="str">
            <v>韓湘子</v>
          </cell>
        </row>
        <row r="1736">
          <cell r="A1736">
            <v>8100</v>
          </cell>
          <cell r="B1736" t="str">
            <v>ja</v>
          </cell>
          <cell r="C1736" t="str">
            <v>韓湘子★６</v>
          </cell>
        </row>
        <row r="1737">
          <cell r="A1737">
            <v>8101</v>
          </cell>
          <cell r="B1737" t="str">
            <v>ja</v>
          </cell>
          <cell r="C1737" t="str">
            <v>張果老</v>
          </cell>
        </row>
        <row r="1738">
          <cell r="A1738">
            <v>8102</v>
          </cell>
          <cell r="B1738" t="str">
            <v>ja</v>
          </cell>
          <cell r="C1738" t="str">
            <v>張果老★６</v>
          </cell>
        </row>
        <row r="1739">
          <cell r="A1739">
            <v>8103</v>
          </cell>
          <cell r="B1739" t="str">
            <v>ja</v>
          </cell>
          <cell r="C1739" t="str">
            <v>李鐵拐</v>
          </cell>
        </row>
        <row r="1740">
          <cell r="A1740">
            <v>8104</v>
          </cell>
          <cell r="B1740" t="str">
            <v>ja</v>
          </cell>
          <cell r="C1740" t="str">
            <v>李鐵拐★６</v>
          </cell>
        </row>
        <row r="1741">
          <cell r="A1741">
            <v>8105</v>
          </cell>
          <cell r="B1741" t="str">
            <v>ja</v>
          </cell>
          <cell r="C1741" t="str">
            <v>曹國舅</v>
          </cell>
        </row>
        <row r="1742">
          <cell r="A1742">
            <v>8106</v>
          </cell>
          <cell r="B1742" t="str">
            <v>ja</v>
          </cell>
          <cell r="C1742" t="str">
            <v>曹國舅★６</v>
          </cell>
        </row>
        <row r="1743">
          <cell r="A1743">
            <v>8111</v>
          </cell>
          <cell r="B1743" t="str">
            <v>ja</v>
          </cell>
          <cell r="C1743" t="str">
            <v>福德正神</v>
          </cell>
        </row>
        <row r="1744">
          <cell r="A1744">
            <v>8112</v>
          </cell>
          <cell r="B1744" t="str">
            <v>ja</v>
          </cell>
          <cell r="C1744" t="str">
            <v>福德正神★６</v>
          </cell>
        </row>
        <row r="1745">
          <cell r="A1745">
            <v>8113</v>
          </cell>
          <cell r="B1745" t="str">
            <v>ja</v>
          </cell>
          <cell r="C1745" t="str">
            <v>孔子</v>
          </cell>
        </row>
        <row r="1746">
          <cell r="A1746">
            <v>8114</v>
          </cell>
          <cell r="B1746" t="str">
            <v>ja</v>
          </cell>
          <cell r="C1746" t="str">
            <v>孔子★６</v>
          </cell>
        </row>
        <row r="1747">
          <cell r="A1747">
            <v>8115</v>
          </cell>
          <cell r="B1747" t="str">
            <v>ja</v>
          </cell>
          <cell r="C1747" t="str">
            <v>贏政</v>
          </cell>
        </row>
        <row r="1748">
          <cell r="A1748">
            <v>8116</v>
          </cell>
          <cell r="B1748" t="str">
            <v>ja</v>
          </cell>
          <cell r="C1748" t="str">
            <v>贏政★６</v>
          </cell>
        </row>
        <row r="1749">
          <cell r="A1749">
            <v>8117</v>
          </cell>
          <cell r="B1749" t="str">
            <v>ja</v>
          </cell>
          <cell r="C1749" t="str">
            <v>白娘子</v>
          </cell>
        </row>
        <row r="1750">
          <cell r="A1750">
            <v>8118</v>
          </cell>
          <cell r="B1750" t="str">
            <v>ja</v>
          </cell>
          <cell r="C1750" t="str">
            <v>白娘子★６</v>
          </cell>
        </row>
        <row r="1751">
          <cell r="A1751">
            <v>8119</v>
          </cell>
          <cell r="B1751" t="str">
            <v>ja</v>
          </cell>
          <cell r="C1751" t="str">
            <v>小青</v>
          </cell>
        </row>
        <row r="1752">
          <cell r="A1752">
            <v>8120</v>
          </cell>
          <cell r="B1752" t="str">
            <v>ja</v>
          </cell>
          <cell r="C1752" t="str">
            <v>小青★６</v>
          </cell>
        </row>
        <row r="1753">
          <cell r="A1753">
            <v>8121</v>
          </cell>
          <cell r="B1753" t="str">
            <v>ja</v>
          </cell>
          <cell r="C1753" t="str">
            <v>法海</v>
          </cell>
        </row>
        <row r="1754">
          <cell r="A1754">
            <v>8122</v>
          </cell>
          <cell r="B1754" t="str">
            <v>ja</v>
          </cell>
          <cell r="C1754" t="str">
            <v>法海★６</v>
          </cell>
        </row>
        <row r="1755">
          <cell r="A1755">
            <v>8123</v>
          </cell>
          <cell r="B1755" t="str">
            <v>ja</v>
          </cell>
          <cell r="C1755" t="str">
            <v>哪吒</v>
          </cell>
        </row>
        <row r="1756">
          <cell r="A1756">
            <v>8124</v>
          </cell>
          <cell r="B1756" t="str">
            <v>ja</v>
          </cell>
          <cell r="C1756" t="str">
            <v>★6哪吒</v>
          </cell>
        </row>
        <row r="1757">
          <cell r="A1757">
            <v>8125</v>
          </cell>
          <cell r="B1757" t="str">
            <v>ja</v>
          </cell>
          <cell r="C1757" t="str">
            <v>東海龍王</v>
          </cell>
        </row>
        <row r="1758">
          <cell r="A1758">
            <v>8126</v>
          </cell>
          <cell r="B1758" t="str">
            <v>ja</v>
          </cell>
          <cell r="C1758" t="str">
            <v>★6東海龍王</v>
          </cell>
        </row>
        <row r="1759">
          <cell r="A1759">
            <v>8127</v>
          </cell>
          <cell r="B1759" t="str">
            <v>ja</v>
          </cell>
          <cell r="C1759" t="str">
            <v>鐵扇公主 ‧ 羅剎女</v>
          </cell>
        </row>
        <row r="1760">
          <cell r="A1760">
            <v>8128</v>
          </cell>
          <cell r="B1760" t="str">
            <v>ja</v>
          </cell>
          <cell r="C1760" t="str">
            <v>聖賢哲者 ‧ 唐三藏</v>
          </cell>
        </row>
        <row r="1761">
          <cell r="A1761">
            <v>8129</v>
          </cell>
          <cell r="B1761" t="str">
            <v>ja</v>
          </cell>
          <cell r="C1761" t="str">
            <v>放任孽魔 ‧ 撒旦</v>
          </cell>
        </row>
        <row r="1762">
          <cell r="A1762">
            <v>8130</v>
          </cell>
          <cell r="B1762" t="str">
            <v>ja</v>
          </cell>
          <cell r="C1762" t="str">
            <v>變臉火術 ‧ 切西亞</v>
          </cell>
        </row>
        <row r="1763">
          <cell r="A1763">
            <v>8131</v>
          </cell>
          <cell r="B1763" t="str">
            <v>ja</v>
          </cell>
          <cell r="C1763" t="str">
            <v>預知者之歷劫 ‧ 卡珊德拉</v>
          </cell>
        </row>
        <row r="1764">
          <cell r="A1764">
            <v>8132</v>
          </cell>
          <cell r="B1764" t="str">
            <v>ja</v>
          </cell>
          <cell r="C1764" t="str">
            <v>罪與責之承諾 ‧ 美狄亞</v>
          </cell>
        </row>
        <row r="1765">
          <cell r="A1765">
            <v>8133</v>
          </cell>
          <cell r="B1765" t="str">
            <v>ja</v>
          </cell>
          <cell r="C1765" t="str">
            <v>大魔導士 ‧ 莫莉</v>
          </cell>
        </row>
        <row r="1766">
          <cell r="A1766">
            <v>8134</v>
          </cell>
          <cell r="B1766" t="str">
            <v>ja</v>
          </cell>
          <cell r="C1766" t="str">
            <v>龍焰騎士 ‧ 肖恩</v>
          </cell>
        </row>
        <row r="1767">
          <cell r="A1767">
            <v>8135</v>
          </cell>
          <cell r="B1767" t="str">
            <v>ja</v>
          </cell>
          <cell r="C1767" t="str">
            <v>混沌之翼 ‧ 路西法</v>
          </cell>
        </row>
        <row r="1768">
          <cell r="A1768">
            <v>8136</v>
          </cell>
          <cell r="B1768" t="str">
            <v>ja</v>
          </cell>
          <cell r="C1768" t="str">
            <v>混沌之翼 ‧ 路西法★6</v>
          </cell>
        </row>
        <row r="1769">
          <cell r="A1769">
            <v>8137</v>
          </cell>
          <cell r="B1769" t="str">
            <v>ja</v>
          </cell>
          <cell r="C1769" t="str">
            <v>黑巫術之疚惡 ‧ 喀耳刻</v>
          </cell>
        </row>
        <row r="1770">
          <cell r="A1770">
            <v>8138</v>
          </cell>
          <cell r="B1770" t="str">
            <v>ja</v>
          </cell>
          <cell r="C1770" t="str">
            <v>死靈魔導 ‧ 安多</v>
          </cell>
        </row>
        <row r="1771">
          <cell r="A1771">
            <v>9001</v>
          </cell>
          <cell r="B1771" t="str">
            <v>ja</v>
          </cell>
          <cell r="C1771" t="str">
            <v>春香</v>
          </cell>
        </row>
        <row r="1772">
          <cell r="A1772">
            <v>9002</v>
          </cell>
          <cell r="B1772" t="str">
            <v>ja</v>
          </cell>
          <cell r="C1772" t="str">
            <v>春香★６</v>
          </cell>
        </row>
        <row r="1773">
          <cell r="A1773">
            <v>9003</v>
          </cell>
          <cell r="B1773" t="str">
            <v>ja</v>
          </cell>
          <cell r="C1773" t="str">
            <v>夢龍</v>
          </cell>
        </row>
        <row r="1774">
          <cell r="A1774">
            <v>9004</v>
          </cell>
          <cell r="B1774" t="str">
            <v>ja</v>
          </cell>
          <cell r="C1774" t="str">
            <v>夢龍★６</v>
          </cell>
        </row>
        <row r="1775">
          <cell r="A1775">
            <v>9005</v>
          </cell>
          <cell r="B1775" t="str">
            <v>ja</v>
          </cell>
          <cell r="C1775" t="str">
            <v>降臨</v>
          </cell>
        </row>
        <row r="1776">
          <cell r="A1776">
            <v>9006</v>
          </cell>
          <cell r="B1776" t="str">
            <v>ja</v>
          </cell>
          <cell r="C1776" t="str">
            <v>降臨★６</v>
          </cell>
        </row>
        <row r="1777">
          <cell r="A1777">
            <v>9007</v>
          </cell>
          <cell r="B1777" t="str">
            <v>ja</v>
          </cell>
          <cell r="C1777" t="str">
            <v>田禹治</v>
          </cell>
        </row>
        <row r="1778">
          <cell r="A1778">
            <v>9008</v>
          </cell>
          <cell r="B1778" t="str">
            <v>ja</v>
          </cell>
          <cell r="C1778" t="str">
            <v>田禹治★６</v>
          </cell>
        </row>
        <row r="1779">
          <cell r="A1779">
            <v>9009</v>
          </cell>
          <cell r="B1779" t="str">
            <v>ja</v>
          </cell>
          <cell r="C1779" t="str">
            <v>薔花</v>
          </cell>
        </row>
        <row r="1780">
          <cell r="A1780">
            <v>9010</v>
          </cell>
          <cell r="B1780" t="str">
            <v>ja</v>
          </cell>
          <cell r="C1780" t="str">
            <v>薔花★６</v>
          </cell>
        </row>
        <row r="1781">
          <cell r="A1781">
            <v>9011</v>
          </cell>
          <cell r="B1781" t="str">
            <v>ja</v>
          </cell>
          <cell r="C1781" t="str">
            <v>紅蓮</v>
          </cell>
        </row>
        <row r="1782">
          <cell r="A1782">
            <v>9012</v>
          </cell>
          <cell r="B1782" t="str">
            <v>ja</v>
          </cell>
          <cell r="C1782" t="str">
            <v>紅蓮★６</v>
          </cell>
        </row>
        <row r="1783">
          <cell r="A1783">
            <v>10001</v>
          </cell>
          <cell r="B1783" t="str">
            <v>ja</v>
          </cell>
          <cell r="C1783" t="str">
            <v>テストユニット01</v>
          </cell>
        </row>
        <row r="1784">
          <cell r="A1784">
            <v>10002</v>
          </cell>
          <cell r="B1784" t="str">
            <v>ja</v>
          </cell>
          <cell r="C1784" t="str">
            <v>テストユニット02</v>
          </cell>
        </row>
        <row r="1785">
          <cell r="A1785">
            <v>10003</v>
          </cell>
          <cell r="B1785" t="str">
            <v>ja</v>
          </cell>
          <cell r="C1785" t="str">
            <v>テストユニット03</v>
          </cell>
        </row>
        <row r="1786">
          <cell r="A1786">
            <v>10004</v>
          </cell>
          <cell r="B1786" t="str">
            <v>ja</v>
          </cell>
          <cell r="C1786" t="str">
            <v>テストユニット04</v>
          </cell>
        </row>
        <row r="1787">
          <cell r="A1787">
            <v>10005</v>
          </cell>
          <cell r="B1787" t="str">
            <v>ja</v>
          </cell>
          <cell r="C1787" t="str">
            <v>テストユニット05</v>
          </cell>
        </row>
        <row r="1788">
          <cell r="A1788">
            <v>10006</v>
          </cell>
          <cell r="B1788" t="str">
            <v>ja</v>
          </cell>
          <cell r="C1788" t="str">
            <v>テストユニット06</v>
          </cell>
        </row>
        <row r="1789">
          <cell r="A1789">
            <v>10007</v>
          </cell>
          <cell r="B1789" t="str">
            <v>ja</v>
          </cell>
          <cell r="C1789" t="str">
            <v>テストユニット07</v>
          </cell>
        </row>
        <row r="1790">
          <cell r="A1790">
            <v>10008</v>
          </cell>
          <cell r="B1790" t="str">
            <v>ja</v>
          </cell>
          <cell r="C1790" t="str">
            <v>テストユニット08</v>
          </cell>
        </row>
        <row r="1791">
          <cell r="A1791">
            <v>10009</v>
          </cell>
          <cell r="B1791" t="str">
            <v>ja</v>
          </cell>
          <cell r="C1791" t="str">
            <v>青テスト01</v>
          </cell>
        </row>
        <row r="1792">
          <cell r="A1792">
            <v>10010</v>
          </cell>
          <cell r="B1792" t="str">
            <v>ja</v>
          </cell>
          <cell r="C1792" t="str">
            <v>赤テスト01</v>
          </cell>
        </row>
        <row r="1793">
          <cell r="A1793">
            <v>10011</v>
          </cell>
          <cell r="B1793" t="str">
            <v>ja</v>
          </cell>
          <cell r="C1793" t="str">
            <v>テストユニット11</v>
          </cell>
        </row>
        <row r="1794">
          <cell r="A1794">
            <v>10012</v>
          </cell>
          <cell r="B1794" t="str">
            <v>ja</v>
          </cell>
          <cell r="C1794" t="str">
            <v>レイドテストユニット青</v>
          </cell>
        </row>
        <row r="1795">
          <cell r="A1795">
            <v>10013</v>
          </cell>
          <cell r="B1795" t="str">
            <v>ja</v>
          </cell>
          <cell r="C1795" t="str">
            <v>テストユニット13</v>
          </cell>
        </row>
        <row r="1796">
          <cell r="A1796">
            <v>10014</v>
          </cell>
          <cell r="B1796" t="str">
            <v>ja</v>
          </cell>
          <cell r="C1796" t="str">
            <v>テストユニット14</v>
          </cell>
        </row>
        <row r="1797">
          <cell r="A1797">
            <v>10015</v>
          </cell>
          <cell r="B1797" t="str">
            <v>ja</v>
          </cell>
          <cell r="C1797" t="str">
            <v>テストユニット15</v>
          </cell>
        </row>
        <row r="1798">
          <cell r="A1798">
            <v>10016</v>
          </cell>
          <cell r="B1798" t="str">
            <v>ja</v>
          </cell>
          <cell r="C1798" t="str">
            <v>テストユニット16</v>
          </cell>
        </row>
        <row r="1799">
          <cell r="A1799">
            <v>10017</v>
          </cell>
          <cell r="B1799" t="str">
            <v>ja</v>
          </cell>
          <cell r="C1799" t="str">
            <v>テストユニット17</v>
          </cell>
        </row>
        <row r="1800">
          <cell r="A1800">
            <v>10018</v>
          </cell>
          <cell r="B1800" t="str">
            <v>ja</v>
          </cell>
          <cell r="C1800" t="str">
            <v>テストユニット18</v>
          </cell>
        </row>
        <row r="1801">
          <cell r="A1801">
            <v>10019</v>
          </cell>
          <cell r="B1801" t="str">
            <v>ja</v>
          </cell>
          <cell r="C1801" t="str">
            <v>テストユニット19</v>
          </cell>
        </row>
        <row r="1802">
          <cell r="A1802">
            <v>10020</v>
          </cell>
          <cell r="B1802" t="str">
            <v>ja</v>
          </cell>
          <cell r="C1802" t="str">
            <v>テストユニット20</v>
          </cell>
        </row>
        <row r="1803">
          <cell r="A1803">
            <v>10021</v>
          </cell>
          <cell r="B1803" t="str">
            <v>ja</v>
          </cell>
          <cell r="C1803" t="str">
            <v>テストユニット21</v>
          </cell>
        </row>
        <row r="1804">
          <cell r="A1804">
            <v>10022</v>
          </cell>
          <cell r="B1804" t="str">
            <v>ja</v>
          </cell>
          <cell r="C1804" t="str">
            <v>テストユニット22</v>
          </cell>
        </row>
        <row r="1805">
          <cell r="A1805">
            <v>10023</v>
          </cell>
          <cell r="B1805" t="str">
            <v>ja</v>
          </cell>
          <cell r="C1805" t="str">
            <v>テストユニット23</v>
          </cell>
        </row>
        <row r="1806">
          <cell r="A1806">
            <v>10024</v>
          </cell>
          <cell r="B1806" t="str">
            <v>ja</v>
          </cell>
          <cell r="C1806" t="str">
            <v>テストユニット24</v>
          </cell>
        </row>
        <row r="1807">
          <cell r="A1807">
            <v>10025</v>
          </cell>
          <cell r="B1807" t="str">
            <v>ja</v>
          </cell>
          <cell r="C1807" t="str">
            <v>テストユニット25</v>
          </cell>
        </row>
        <row r="1808">
          <cell r="A1808">
            <v>10026</v>
          </cell>
          <cell r="B1808" t="str">
            <v>ja</v>
          </cell>
          <cell r="C1808" t="str">
            <v>テストユニット26</v>
          </cell>
        </row>
        <row r="1809">
          <cell r="A1809">
            <v>10027</v>
          </cell>
          <cell r="B1809" t="str">
            <v>ja</v>
          </cell>
          <cell r="C1809" t="str">
            <v>テストユニット27</v>
          </cell>
        </row>
        <row r="1810">
          <cell r="A1810">
            <v>10028</v>
          </cell>
          <cell r="B1810" t="str">
            <v>ja</v>
          </cell>
          <cell r="C1810" t="str">
            <v>テストユニット28</v>
          </cell>
        </row>
        <row r="1811">
          <cell r="A1811">
            <v>10029</v>
          </cell>
          <cell r="B1811" t="str">
            <v>ja</v>
          </cell>
          <cell r="C1811" t="str">
            <v>テストユニット29</v>
          </cell>
        </row>
        <row r="1812">
          <cell r="A1812">
            <v>10030</v>
          </cell>
          <cell r="B1812" t="str">
            <v>ja</v>
          </cell>
          <cell r="C1812" t="str">
            <v>テストユニット30</v>
          </cell>
        </row>
        <row r="1813">
          <cell r="A1813">
            <v>10031</v>
          </cell>
          <cell r="B1813" t="str">
            <v>ja</v>
          </cell>
          <cell r="C1813" t="str">
            <v>テストユニット31</v>
          </cell>
        </row>
        <row r="1814">
          <cell r="A1814">
            <v>10032</v>
          </cell>
          <cell r="B1814" t="str">
            <v>ja</v>
          </cell>
          <cell r="C1814" t="str">
            <v>テストユニット32</v>
          </cell>
        </row>
        <row r="1815">
          <cell r="A1815">
            <v>10033</v>
          </cell>
          <cell r="B1815" t="str">
            <v>ja</v>
          </cell>
          <cell r="C1815" t="str">
            <v>テストユニット33</v>
          </cell>
        </row>
        <row r="1816">
          <cell r="A1816">
            <v>10034</v>
          </cell>
          <cell r="B1816" t="str">
            <v>ja</v>
          </cell>
          <cell r="C1816" t="str">
            <v>テストユニット34</v>
          </cell>
        </row>
        <row r="1817">
          <cell r="A1817">
            <v>10035</v>
          </cell>
          <cell r="B1817" t="str">
            <v>ja</v>
          </cell>
          <cell r="C1817" t="str">
            <v>テストユニット35</v>
          </cell>
        </row>
        <row r="1818">
          <cell r="A1818">
            <v>10036</v>
          </cell>
          <cell r="B1818" t="str">
            <v>ja</v>
          </cell>
          <cell r="C1818" t="str">
            <v>テストユニット36</v>
          </cell>
        </row>
        <row r="1819">
          <cell r="A1819">
            <v>10037</v>
          </cell>
          <cell r="B1819" t="str">
            <v>ja</v>
          </cell>
          <cell r="C1819" t="str">
            <v>テストユニット37</v>
          </cell>
        </row>
        <row r="1820">
          <cell r="A1820">
            <v>10038</v>
          </cell>
          <cell r="B1820" t="str">
            <v>ja</v>
          </cell>
          <cell r="C1820" t="str">
            <v>テストユニット38</v>
          </cell>
        </row>
        <row r="1821">
          <cell r="A1821">
            <v>10039</v>
          </cell>
          <cell r="B1821" t="str">
            <v>ja</v>
          </cell>
          <cell r="C1821" t="str">
            <v>テストユニット39</v>
          </cell>
        </row>
        <row r="1822">
          <cell r="A1822">
            <v>10040</v>
          </cell>
          <cell r="B1822" t="str">
            <v>ja</v>
          </cell>
          <cell r="C1822" t="str">
            <v>テストユニット40</v>
          </cell>
        </row>
        <row r="1823">
          <cell r="A1823">
            <v>10041</v>
          </cell>
          <cell r="B1823" t="str">
            <v>ja</v>
          </cell>
          <cell r="C1823" t="str">
            <v>テストユニット41</v>
          </cell>
        </row>
        <row r="1824">
          <cell r="A1824">
            <v>10042</v>
          </cell>
          <cell r="B1824" t="str">
            <v>ja</v>
          </cell>
          <cell r="C1824" t="str">
            <v>テストユニット42</v>
          </cell>
        </row>
        <row r="1825">
          <cell r="A1825">
            <v>10043</v>
          </cell>
          <cell r="B1825" t="str">
            <v>ja</v>
          </cell>
          <cell r="C1825" t="str">
            <v>テストユニット43</v>
          </cell>
        </row>
        <row r="1826">
          <cell r="A1826">
            <v>10044</v>
          </cell>
          <cell r="B1826" t="str">
            <v>ja</v>
          </cell>
          <cell r="C1826" t="str">
            <v>テストユニット44</v>
          </cell>
        </row>
        <row r="1827">
          <cell r="A1827">
            <v>10045</v>
          </cell>
          <cell r="B1827" t="str">
            <v>ja</v>
          </cell>
          <cell r="C1827" t="str">
            <v>テストユニット45</v>
          </cell>
        </row>
        <row r="1828">
          <cell r="A1828">
            <v>10046</v>
          </cell>
          <cell r="B1828" t="str">
            <v>ja</v>
          </cell>
          <cell r="C1828" t="str">
            <v>テストユニット46</v>
          </cell>
        </row>
        <row r="1829">
          <cell r="A1829">
            <v>10047</v>
          </cell>
          <cell r="B1829" t="str">
            <v>ja</v>
          </cell>
          <cell r="C1829" t="str">
            <v>テストユニット47</v>
          </cell>
        </row>
        <row r="1830">
          <cell r="A1830">
            <v>10048</v>
          </cell>
          <cell r="B1830" t="str">
            <v>ja</v>
          </cell>
          <cell r="C1830" t="str">
            <v>テストユニット48</v>
          </cell>
        </row>
        <row r="1831">
          <cell r="A1831">
            <v>10049</v>
          </cell>
          <cell r="B1831" t="str">
            <v>ja</v>
          </cell>
          <cell r="C1831" t="str">
            <v>テストユニット49</v>
          </cell>
        </row>
        <row r="1832">
          <cell r="A1832">
            <v>10050</v>
          </cell>
          <cell r="B1832" t="str">
            <v>ja</v>
          </cell>
          <cell r="C1832" t="str">
            <v>テストユニット50</v>
          </cell>
        </row>
        <row r="1833">
          <cell r="A1833">
            <v>10051</v>
          </cell>
          <cell r="B1833" t="str">
            <v>ja</v>
          </cell>
          <cell r="C1833" t="str">
            <v>テストユニット51</v>
          </cell>
        </row>
        <row r="1834">
          <cell r="A1834">
            <v>10052</v>
          </cell>
          <cell r="B1834" t="str">
            <v>ja</v>
          </cell>
          <cell r="C1834" t="str">
            <v>テストユニット52</v>
          </cell>
        </row>
        <row r="1835">
          <cell r="A1835">
            <v>10053</v>
          </cell>
          <cell r="B1835" t="str">
            <v>ja</v>
          </cell>
          <cell r="C1835" t="str">
            <v>テストユニット53</v>
          </cell>
        </row>
        <row r="1836">
          <cell r="A1836">
            <v>10054</v>
          </cell>
          <cell r="B1836" t="str">
            <v>ja</v>
          </cell>
          <cell r="C1836" t="str">
            <v>テストユニット54</v>
          </cell>
        </row>
        <row r="1837">
          <cell r="A1837">
            <v>10055</v>
          </cell>
          <cell r="B1837" t="str">
            <v>ja</v>
          </cell>
          <cell r="C1837" t="str">
            <v>テストユニット55</v>
          </cell>
        </row>
        <row r="1838">
          <cell r="A1838">
            <v>10056</v>
          </cell>
          <cell r="B1838" t="str">
            <v>ja</v>
          </cell>
          <cell r="C1838" t="str">
            <v>テストユニット56</v>
          </cell>
        </row>
        <row r="1839">
          <cell r="A1839">
            <v>10057</v>
          </cell>
          <cell r="B1839" t="str">
            <v>ja</v>
          </cell>
          <cell r="C1839" t="str">
            <v>テストユニット57</v>
          </cell>
        </row>
        <row r="1840">
          <cell r="A1840">
            <v>10058</v>
          </cell>
          <cell r="B1840" t="str">
            <v>ja</v>
          </cell>
          <cell r="C1840" t="str">
            <v>テストユニット58</v>
          </cell>
        </row>
        <row r="1841">
          <cell r="A1841">
            <v>10059</v>
          </cell>
          <cell r="B1841" t="str">
            <v>ja</v>
          </cell>
          <cell r="C1841" t="str">
            <v>テストユニット59</v>
          </cell>
        </row>
        <row r="1842">
          <cell r="A1842">
            <v>10060</v>
          </cell>
          <cell r="B1842" t="str">
            <v>ja</v>
          </cell>
          <cell r="C1842" t="str">
            <v>テストユニット60</v>
          </cell>
        </row>
        <row r="1843">
          <cell r="A1843">
            <v>10061</v>
          </cell>
          <cell r="B1843" t="str">
            <v>ja</v>
          </cell>
          <cell r="C1843" t="str">
            <v>テストユニット61</v>
          </cell>
        </row>
        <row r="1844">
          <cell r="A1844">
            <v>10062</v>
          </cell>
          <cell r="B1844" t="str">
            <v>ja</v>
          </cell>
          <cell r="C1844" t="str">
            <v>テストユニット62</v>
          </cell>
        </row>
        <row r="1845">
          <cell r="A1845">
            <v>10063</v>
          </cell>
          <cell r="B1845" t="str">
            <v>ja</v>
          </cell>
          <cell r="C1845" t="str">
            <v>テストユニット63</v>
          </cell>
        </row>
        <row r="1846">
          <cell r="A1846">
            <v>10064</v>
          </cell>
          <cell r="B1846" t="str">
            <v>ja</v>
          </cell>
          <cell r="C1846" t="str">
            <v>テストユニット64</v>
          </cell>
        </row>
        <row r="1847">
          <cell r="A1847">
            <v>10065</v>
          </cell>
          <cell r="B1847" t="str">
            <v>ja</v>
          </cell>
          <cell r="C1847" t="str">
            <v>テストユニット65</v>
          </cell>
        </row>
        <row r="1848">
          <cell r="A1848">
            <v>10066</v>
          </cell>
          <cell r="B1848" t="str">
            <v>ja</v>
          </cell>
          <cell r="C1848" t="str">
            <v>テストユニット66</v>
          </cell>
        </row>
        <row r="1849">
          <cell r="A1849">
            <v>10067</v>
          </cell>
          <cell r="B1849" t="str">
            <v>ja</v>
          </cell>
          <cell r="C1849" t="str">
            <v>テストユニット67</v>
          </cell>
        </row>
        <row r="1850">
          <cell r="A1850">
            <v>10068</v>
          </cell>
          <cell r="B1850" t="str">
            <v>ja</v>
          </cell>
          <cell r="C1850" t="str">
            <v>テストユニット68</v>
          </cell>
        </row>
        <row r="1851">
          <cell r="A1851">
            <v>10069</v>
          </cell>
          <cell r="B1851" t="str">
            <v>ja</v>
          </cell>
          <cell r="C1851" t="str">
            <v>テストユニット69</v>
          </cell>
        </row>
        <row r="1852">
          <cell r="A1852">
            <v>10070</v>
          </cell>
          <cell r="B1852" t="str">
            <v>ja</v>
          </cell>
          <cell r="C1852" t="str">
            <v>テストユニット70</v>
          </cell>
        </row>
        <row r="1853">
          <cell r="A1853">
            <v>10071</v>
          </cell>
          <cell r="B1853" t="str">
            <v>ja</v>
          </cell>
          <cell r="C1853" t="str">
            <v>テストユニット71</v>
          </cell>
        </row>
        <row r="1854">
          <cell r="A1854">
            <v>10072</v>
          </cell>
          <cell r="B1854" t="str">
            <v>ja</v>
          </cell>
          <cell r="C1854" t="str">
            <v>テストユニット72</v>
          </cell>
        </row>
        <row r="1855">
          <cell r="A1855">
            <v>10073</v>
          </cell>
          <cell r="B1855" t="str">
            <v>ja</v>
          </cell>
          <cell r="C1855" t="str">
            <v>テストユニット73</v>
          </cell>
        </row>
        <row r="1856">
          <cell r="A1856">
            <v>10074</v>
          </cell>
          <cell r="B1856" t="str">
            <v>ja</v>
          </cell>
          <cell r="C1856" t="str">
            <v>テストユニット74</v>
          </cell>
        </row>
        <row r="1857">
          <cell r="A1857">
            <v>10075</v>
          </cell>
          <cell r="B1857" t="str">
            <v>ja</v>
          </cell>
          <cell r="C1857" t="str">
            <v>テストユニット75</v>
          </cell>
        </row>
        <row r="1858">
          <cell r="A1858">
            <v>10076</v>
          </cell>
          <cell r="B1858" t="str">
            <v>ja</v>
          </cell>
          <cell r="C1858" t="str">
            <v>テストユニット76</v>
          </cell>
        </row>
        <row r="1859">
          <cell r="A1859">
            <v>10077</v>
          </cell>
          <cell r="B1859" t="str">
            <v>ja</v>
          </cell>
          <cell r="C1859" t="str">
            <v>テストユニット77</v>
          </cell>
        </row>
        <row r="1860">
          <cell r="A1860">
            <v>10078</v>
          </cell>
          <cell r="B1860" t="str">
            <v>ja</v>
          </cell>
          <cell r="C1860" t="str">
            <v>テストユニット78</v>
          </cell>
        </row>
        <row r="1861">
          <cell r="A1861">
            <v>10079</v>
          </cell>
          <cell r="B1861" t="str">
            <v>ja</v>
          </cell>
          <cell r="C1861" t="str">
            <v>テストユニット79</v>
          </cell>
        </row>
        <row r="1862">
          <cell r="A1862">
            <v>10080</v>
          </cell>
          <cell r="B1862" t="str">
            <v>ja</v>
          </cell>
          <cell r="C1862" t="str">
            <v>テストユニット80</v>
          </cell>
        </row>
        <row r="1863">
          <cell r="A1863">
            <v>10081</v>
          </cell>
          <cell r="B1863" t="str">
            <v>ja</v>
          </cell>
          <cell r="C1863" t="str">
            <v>テストユニット81</v>
          </cell>
        </row>
        <row r="1864">
          <cell r="A1864">
            <v>10082</v>
          </cell>
          <cell r="B1864" t="str">
            <v>ja</v>
          </cell>
          <cell r="C1864" t="str">
            <v>テストユニット82</v>
          </cell>
        </row>
        <row r="1865">
          <cell r="A1865">
            <v>10083</v>
          </cell>
          <cell r="B1865" t="str">
            <v>ja</v>
          </cell>
          <cell r="C1865" t="str">
            <v>テストユニット83</v>
          </cell>
        </row>
        <row r="1866">
          <cell r="A1866">
            <v>10084</v>
          </cell>
          <cell r="B1866" t="str">
            <v>ja</v>
          </cell>
          <cell r="C1866" t="str">
            <v>テストユニット84</v>
          </cell>
        </row>
        <row r="1867">
          <cell r="A1867">
            <v>10085</v>
          </cell>
          <cell r="B1867" t="str">
            <v>ja</v>
          </cell>
          <cell r="C1867" t="str">
            <v>テストユニット85</v>
          </cell>
        </row>
        <row r="1868">
          <cell r="A1868">
            <v>10086</v>
          </cell>
          <cell r="B1868" t="str">
            <v>ja</v>
          </cell>
          <cell r="C1868" t="str">
            <v>テストユニット86</v>
          </cell>
        </row>
        <row r="1869">
          <cell r="A1869">
            <v>10087</v>
          </cell>
          <cell r="B1869" t="str">
            <v>ja</v>
          </cell>
          <cell r="C1869" t="str">
            <v>テストユニット87</v>
          </cell>
        </row>
        <row r="1870">
          <cell r="A1870">
            <v>10088</v>
          </cell>
          <cell r="B1870" t="str">
            <v>ja</v>
          </cell>
          <cell r="C1870" t="str">
            <v>テストユニット88</v>
          </cell>
        </row>
        <row r="1871">
          <cell r="A1871">
            <v>10089</v>
          </cell>
          <cell r="B1871" t="str">
            <v>ja</v>
          </cell>
          <cell r="C1871" t="str">
            <v>テストユニット89</v>
          </cell>
        </row>
        <row r="1872">
          <cell r="A1872">
            <v>10090</v>
          </cell>
          <cell r="B1872" t="str">
            <v>ja</v>
          </cell>
          <cell r="C1872" t="str">
            <v>テストユニット90</v>
          </cell>
        </row>
        <row r="1873">
          <cell r="A1873">
            <v>10101</v>
          </cell>
          <cell r="B1873" t="str">
            <v>ja</v>
          </cell>
          <cell r="C1873" t="str">
            <v>Usagi-kun</v>
          </cell>
        </row>
        <row r="1874">
          <cell r="A1874">
            <v>10102</v>
          </cell>
          <cell r="B1874" t="str">
            <v>ja</v>
          </cell>
          <cell r="C1874" t="str">
            <v>ローズ</v>
          </cell>
        </row>
        <row r="1875">
          <cell r="A1875">
            <v>10103</v>
          </cell>
          <cell r="B1875" t="str">
            <v>ja</v>
          </cell>
          <cell r="C1875" t="str">
            <v>ローズ</v>
          </cell>
        </row>
      </sheetData>
      <sheetData sheetId="4">
        <row r="1">
          <cell r="A1" t="str">
            <v>character_type_id</v>
          </cell>
          <cell r="B1" t="str">
            <v>language</v>
          </cell>
          <cell r="C1" t="str">
            <v>name</v>
          </cell>
          <cell r="D1" t="str">
            <v>HP係数</v>
          </cell>
          <cell r="E1" t="str">
            <v>攻撃係数</v>
          </cell>
          <cell r="F1" t="str">
            <v>防御係数</v>
          </cell>
          <cell r="G1" t="str">
            <v>回復係数</v>
          </cell>
          <cell r="H1" t="str">
            <v>重み付け評価</v>
          </cell>
        </row>
        <row r="2">
          <cell r="A2" t="str">
            <v>none</v>
          </cell>
          <cell r="B2" t="str">
            <v>ja</v>
          </cell>
          <cell r="C2" t="str">
            <v>タイプなし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</row>
        <row r="3">
          <cell r="A3" t="str">
            <v>attack</v>
          </cell>
          <cell r="B3" t="str">
            <v>ja</v>
          </cell>
          <cell r="C3" t="str">
            <v>攻撃タイプ</v>
          </cell>
          <cell r="D3">
            <v>1</v>
          </cell>
          <cell r="E3">
            <v>1.33</v>
          </cell>
          <cell r="F3">
            <v>1</v>
          </cell>
          <cell r="G3">
            <v>0.67</v>
          </cell>
          <cell r="H3">
            <v>3</v>
          </cell>
        </row>
        <row r="4">
          <cell r="A4" t="str">
            <v>balance</v>
          </cell>
          <cell r="B4" t="str">
            <v>ja</v>
          </cell>
          <cell r="C4" t="str">
            <v>バランスタイプ</v>
          </cell>
          <cell r="D4">
            <v>1</v>
          </cell>
          <cell r="E4">
            <v>1</v>
          </cell>
          <cell r="F4">
            <v>1</v>
          </cell>
          <cell r="G4">
            <v>1</v>
          </cell>
          <cell r="H4">
            <v>3</v>
          </cell>
        </row>
        <row r="5">
          <cell r="A5" t="str">
            <v>hp</v>
          </cell>
          <cell r="B5" t="str">
            <v>ja</v>
          </cell>
          <cell r="C5" t="str">
            <v>体力タイプ</v>
          </cell>
          <cell r="D5">
            <v>1.45</v>
          </cell>
          <cell r="E5">
            <v>0.85</v>
          </cell>
          <cell r="F5">
            <v>1</v>
          </cell>
          <cell r="G5">
            <v>0.7</v>
          </cell>
          <cell r="H5">
            <v>3</v>
          </cell>
        </row>
        <row r="6">
          <cell r="A6" t="str">
            <v>technical</v>
          </cell>
          <cell r="B6" t="str">
            <v>ja</v>
          </cell>
          <cell r="C6" t="str">
            <v>テクニカルタイプ</v>
          </cell>
          <cell r="D6">
            <v>0.9</v>
          </cell>
          <cell r="E6">
            <v>0.9</v>
          </cell>
          <cell r="F6">
            <v>1</v>
          </cell>
          <cell r="G6">
            <v>0.9</v>
          </cell>
          <cell r="H6">
            <v>2.7</v>
          </cell>
        </row>
        <row r="7">
          <cell r="A7" t="str">
            <v>heal</v>
          </cell>
          <cell r="B7" t="str">
            <v>ja</v>
          </cell>
          <cell r="C7" t="str">
            <v>回復タイプ</v>
          </cell>
          <cell r="D7">
            <v>0.8</v>
          </cell>
          <cell r="E7">
            <v>0.78</v>
          </cell>
          <cell r="F7">
            <v>1</v>
          </cell>
          <cell r="G7">
            <v>1.42</v>
          </cell>
          <cell r="H7">
            <v>3</v>
          </cell>
        </row>
        <row r="8">
          <cell r="A8" t="str">
            <v>exp</v>
          </cell>
          <cell r="B8" t="str">
            <v>ja</v>
          </cell>
          <cell r="C8" t="str">
            <v>強化素材タイプ</v>
          </cell>
          <cell r="D8">
            <v>0.1</v>
          </cell>
          <cell r="E8">
            <v>0.05</v>
          </cell>
          <cell r="F8">
            <v>1</v>
          </cell>
          <cell r="G8">
            <v>0.05</v>
          </cell>
          <cell r="H8">
            <v>0.2</v>
          </cell>
        </row>
        <row r="9">
          <cell r="A9" t="str">
            <v>evolution</v>
          </cell>
          <cell r="B9" t="str">
            <v>ja</v>
          </cell>
          <cell r="C9" t="str">
            <v>覚醒素材タイプ</v>
          </cell>
          <cell r="D9">
            <v>0.1</v>
          </cell>
          <cell r="E9">
            <v>0.05</v>
          </cell>
          <cell r="F9">
            <v>1</v>
          </cell>
          <cell r="G9">
            <v>0.05</v>
          </cell>
          <cell r="H9">
            <v>0.2</v>
          </cell>
        </row>
        <row r="10">
          <cell r="A10" t="str">
            <v>coin</v>
          </cell>
          <cell r="B10" t="str">
            <v>ja</v>
          </cell>
          <cell r="C10" t="str">
            <v>コインタイプ</v>
          </cell>
          <cell r="D10">
            <v>0.1</v>
          </cell>
          <cell r="E10">
            <v>0.05</v>
          </cell>
          <cell r="F10">
            <v>1</v>
          </cell>
          <cell r="G10">
            <v>0.05</v>
          </cell>
          <cell r="H10">
            <v>0.2</v>
          </cell>
        </row>
        <row r="11">
          <cell r="A11" t="str">
            <v>limitbreak</v>
          </cell>
          <cell r="B11" t="str">
            <v>ja</v>
          </cell>
          <cell r="C11" t="str">
            <v>限界突破素材</v>
          </cell>
          <cell r="D11">
            <v>0.1</v>
          </cell>
          <cell r="E11">
            <v>0.05</v>
          </cell>
          <cell r="F11">
            <v>1</v>
          </cell>
          <cell r="G11">
            <v>0.05</v>
          </cell>
          <cell r="H11">
            <v>0.2</v>
          </cell>
        </row>
        <row r="12">
          <cell r="A12" t="str">
            <v>skilllevel</v>
          </cell>
          <cell r="B12" t="str">
            <v>ja</v>
          </cell>
          <cell r="C12" t="str">
            <v>スキルレベル素材</v>
          </cell>
          <cell r="D12">
            <v>0.1</v>
          </cell>
          <cell r="E12">
            <v>0.05</v>
          </cell>
          <cell r="F12">
            <v>1</v>
          </cell>
          <cell r="G12">
            <v>0.05</v>
          </cell>
          <cell r="H12">
            <v>0.2</v>
          </cell>
        </row>
        <row r="13">
          <cell r="A13" t="str">
            <v>dr</v>
          </cell>
          <cell r="B13" t="str">
            <v>ja</v>
          </cell>
          <cell r="C13" t="str">
            <v>デュラララ!!</v>
          </cell>
          <cell r="D13">
            <v>1</v>
          </cell>
          <cell r="E13">
            <v>1</v>
          </cell>
          <cell r="F13">
            <v>1</v>
          </cell>
          <cell r="G13">
            <v>1</v>
          </cell>
          <cell r="H13">
            <v>3</v>
          </cell>
        </row>
        <row r="14">
          <cell r="A14" t="str">
            <v>ra</v>
          </cell>
          <cell r="B14" t="str">
            <v>ja</v>
          </cell>
          <cell r="C14" t="str">
            <v>ラグランジュチャレンジ</v>
          </cell>
          <cell r="D14">
            <v>1</v>
          </cell>
          <cell r="E14">
            <v>1</v>
          </cell>
          <cell r="F14">
            <v>1</v>
          </cell>
          <cell r="G14">
            <v>1</v>
          </cell>
          <cell r="H14">
            <v>3</v>
          </cell>
        </row>
        <row r="15">
          <cell r="A15" t="str">
            <v>ra002</v>
          </cell>
          <cell r="B15" t="str">
            <v>ja</v>
          </cell>
          <cell r="C15" t="str">
            <v>ユークリッドチャレンジ</v>
          </cell>
          <cell r="D15">
            <v>1</v>
          </cell>
          <cell r="E15">
            <v>1</v>
          </cell>
          <cell r="F15">
            <v>1</v>
          </cell>
          <cell r="G15">
            <v>1</v>
          </cell>
          <cell r="H15">
            <v>3</v>
          </cell>
        </row>
      </sheetData>
      <sheetData sheetId="5">
        <row r="1">
          <cell r="A1" t="str">
            <v>character_tribe_id</v>
          </cell>
          <cell r="B1" t="str">
            <v>language</v>
          </cell>
          <cell r="C1" t="str">
            <v>name</v>
          </cell>
          <cell r="D1" t="str">
            <v>HP係数</v>
          </cell>
          <cell r="E1" t="str">
            <v>攻撃係数</v>
          </cell>
          <cell r="F1" t="str">
            <v>防御係数</v>
          </cell>
          <cell r="G1" t="str">
            <v>回復係数</v>
          </cell>
          <cell r="H1" t="str">
            <v>重み付け評価</v>
          </cell>
        </row>
        <row r="2">
          <cell r="A2" t="str">
            <v>none</v>
          </cell>
          <cell r="B2" t="str">
            <v>ja</v>
          </cell>
          <cell r="C2" t="str">
            <v>種族なし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</row>
        <row r="3">
          <cell r="A3" t="str">
            <v>human</v>
          </cell>
          <cell r="B3" t="str">
            <v>ja</v>
          </cell>
          <cell r="C3" t="str">
            <v>ヒューマン</v>
          </cell>
          <cell r="D3">
            <v>0.94</v>
          </cell>
          <cell r="E3">
            <v>0.99</v>
          </cell>
          <cell r="F3">
            <v>1</v>
          </cell>
          <cell r="G3">
            <v>1.07</v>
          </cell>
          <cell r="H3">
            <v>3</v>
          </cell>
        </row>
        <row r="4">
          <cell r="A4" t="str">
            <v>animal</v>
          </cell>
          <cell r="B4" t="str">
            <v>ja</v>
          </cell>
          <cell r="C4" t="str">
            <v>アニマル</v>
          </cell>
          <cell r="D4">
            <v>1</v>
          </cell>
          <cell r="E4">
            <v>1.1000000000000001</v>
          </cell>
          <cell r="F4">
            <v>1</v>
          </cell>
          <cell r="G4">
            <v>0.9</v>
          </cell>
          <cell r="H4">
            <v>3</v>
          </cell>
        </row>
        <row r="5">
          <cell r="A5" t="str">
            <v>dragon</v>
          </cell>
          <cell r="B5" t="str">
            <v>ja</v>
          </cell>
          <cell r="C5" t="str">
            <v>ドラゴン</v>
          </cell>
          <cell r="D5">
            <v>1.1499999999999999</v>
          </cell>
          <cell r="E5">
            <v>1.1000000000000001</v>
          </cell>
          <cell r="F5">
            <v>1</v>
          </cell>
          <cell r="G5">
            <v>0.75</v>
          </cell>
          <cell r="H5">
            <v>3</v>
          </cell>
        </row>
        <row r="6">
          <cell r="A6" t="str">
            <v>machine</v>
          </cell>
          <cell r="B6" t="str">
            <v>ja</v>
          </cell>
          <cell r="C6" t="str">
            <v>マシン</v>
          </cell>
          <cell r="D6">
            <v>1</v>
          </cell>
          <cell r="E6">
            <v>1</v>
          </cell>
          <cell r="F6">
            <v>1</v>
          </cell>
          <cell r="G6">
            <v>1</v>
          </cell>
          <cell r="H6">
            <v>3</v>
          </cell>
        </row>
        <row r="7">
          <cell r="A7" t="str">
            <v>god</v>
          </cell>
          <cell r="B7" t="str">
            <v>ja</v>
          </cell>
          <cell r="C7" t="str">
            <v>ゴッド</v>
          </cell>
          <cell r="D7">
            <v>0.96</v>
          </cell>
          <cell r="E7">
            <v>1.02</v>
          </cell>
          <cell r="F7">
            <v>1</v>
          </cell>
          <cell r="G7">
            <v>1.02</v>
          </cell>
          <cell r="H7">
            <v>3</v>
          </cell>
        </row>
        <row r="8">
          <cell r="A8" t="str">
            <v>unknown</v>
          </cell>
          <cell r="B8" t="str">
            <v>ja</v>
          </cell>
          <cell r="C8" t="str">
            <v>Unknown</v>
          </cell>
          <cell r="D8">
            <v>1</v>
          </cell>
          <cell r="E8">
            <v>1</v>
          </cell>
          <cell r="F8">
            <v>1</v>
          </cell>
          <cell r="G8">
            <v>1</v>
          </cell>
          <cell r="H8">
            <v>3</v>
          </cell>
        </row>
        <row r="9">
          <cell r="A9" t="str">
            <v>samurai</v>
          </cell>
          <cell r="B9" t="str">
            <v>ja</v>
          </cell>
          <cell r="C9" t="str">
            <v>サムライ</v>
          </cell>
          <cell r="D9">
            <v>1</v>
          </cell>
          <cell r="E9">
            <v>1</v>
          </cell>
          <cell r="F9">
            <v>1</v>
          </cell>
          <cell r="G9">
            <v>1</v>
          </cell>
          <cell r="H9">
            <v>3</v>
          </cell>
        </row>
        <row r="10">
          <cell r="A10" t="str">
            <v>academia</v>
          </cell>
          <cell r="B10" t="str">
            <v>ja</v>
          </cell>
          <cell r="C10" t="str">
            <v>アカデミア</v>
          </cell>
          <cell r="D10">
            <v>1</v>
          </cell>
          <cell r="E10">
            <v>1</v>
          </cell>
          <cell r="F10">
            <v>1</v>
          </cell>
          <cell r="G10">
            <v>1</v>
          </cell>
          <cell r="H10">
            <v>3</v>
          </cell>
        </row>
        <row r="11">
          <cell r="A11" t="str">
            <v>insect</v>
          </cell>
          <cell r="B11" t="str">
            <v>ja</v>
          </cell>
          <cell r="C11" t="str">
            <v>インセクト</v>
          </cell>
          <cell r="D11">
            <v>1</v>
          </cell>
          <cell r="E11">
            <v>1</v>
          </cell>
          <cell r="F11">
            <v>1</v>
          </cell>
          <cell r="G11">
            <v>1</v>
          </cell>
          <cell r="H11">
            <v>3</v>
          </cell>
        </row>
        <row r="12">
          <cell r="A12" t="str">
            <v>weapon</v>
          </cell>
          <cell r="B12" t="str">
            <v>ja</v>
          </cell>
          <cell r="C12" t="str">
            <v>ウェポン</v>
          </cell>
          <cell r="D12">
            <v>1</v>
          </cell>
          <cell r="E12">
            <v>1</v>
          </cell>
          <cell r="F12">
            <v>1</v>
          </cell>
          <cell r="G12">
            <v>1</v>
          </cell>
          <cell r="H12">
            <v>3</v>
          </cell>
        </row>
        <row r="13">
          <cell r="A13" t="str">
            <v>ti</v>
          </cell>
          <cell r="B13" t="str">
            <v>ja</v>
          </cell>
          <cell r="C13" t="str">
            <v>t</v>
          </cell>
          <cell r="D13">
            <v>1</v>
          </cell>
          <cell r="E13">
            <v>1</v>
          </cell>
          <cell r="F13">
            <v>1</v>
          </cell>
          <cell r="G13">
            <v>1</v>
          </cell>
          <cell r="H13">
            <v>3</v>
          </cell>
        </row>
        <row r="14">
          <cell r="A14" t="str">
            <v>ss</v>
          </cell>
          <cell r="B14" t="str">
            <v>ja</v>
          </cell>
          <cell r="C14" t="str">
            <v>サンリオキャラクターズ</v>
          </cell>
          <cell r="D14">
            <v>1</v>
          </cell>
          <cell r="E14">
            <v>1</v>
          </cell>
          <cell r="F14">
            <v>1</v>
          </cell>
          <cell r="G14">
            <v>1</v>
          </cell>
          <cell r="H14">
            <v>3</v>
          </cell>
        </row>
        <row r="15">
          <cell r="A15" t="str">
            <v>hero</v>
          </cell>
          <cell r="B15" t="str">
            <v>ja</v>
          </cell>
          <cell r="C15" t="str">
            <v>ヒーロー</v>
          </cell>
          <cell r="D15">
            <v>1</v>
          </cell>
          <cell r="E15">
            <v>1</v>
          </cell>
          <cell r="F15">
            <v>1</v>
          </cell>
          <cell r="G15">
            <v>1</v>
          </cell>
          <cell r="H15">
            <v>3</v>
          </cell>
        </row>
        <row r="16">
          <cell r="A16" t="str">
            <v>demon</v>
          </cell>
          <cell r="B16" t="str">
            <v>ja</v>
          </cell>
          <cell r="C16" t="str">
            <v>デーモン</v>
          </cell>
          <cell r="D16">
            <v>1</v>
          </cell>
          <cell r="E16">
            <v>1</v>
          </cell>
          <cell r="F16">
            <v>1</v>
          </cell>
          <cell r="G16">
            <v>1</v>
          </cell>
          <cell r="H16">
            <v>3</v>
          </cell>
        </row>
        <row r="17">
          <cell r="A17" t="str">
            <v>queen</v>
          </cell>
          <cell r="B17" t="str">
            <v>ja</v>
          </cell>
          <cell r="C17" t="str">
            <v>QUEEN</v>
          </cell>
          <cell r="D17">
            <v>1</v>
          </cell>
          <cell r="E17">
            <v>1</v>
          </cell>
          <cell r="F17">
            <v>1</v>
          </cell>
          <cell r="G17">
            <v>1</v>
          </cell>
          <cell r="H17">
            <v>3</v>
          </cell>
        </row>
        <row r="18">
          <cell r="A18" t="str">
            <v>fantasy</v>
          </cell>
          <cell r="B18" t="str">
            <v>ja</v>
          </cell>
          <cell r="C18" t="str">
            <v>ファンタジー</v>
          </cell>
          <cell r="D18">
            <v>1</v>
          </cell>
          <cell r="E18">
            <v>1</v>
          </cell>
          <cell r="F18">
            <v>1</v>
          </cell>
          <cell r="G18">
            <v>1</v>
          </cell>
          <cell r="H18">
            <v>3</v>
          </cell>
        </row>
        <row r="19">
          <cell r="A19" t="str">
            <v>orochi</v>
          </cell>
          <cell r="B19" t="str">
            <v>ja</v>
          </cell>
          <cell r="C19" t="str">
            <v>オロチ一族</v>
          </cell>
          <cell r="D19">
            <v>1</v>
          </cell>
          <cell r="E19">
            <v>1</v>
          </cell>
          <cell r="F19">
            <v>1</v>
          </cell>
          <cell r="G19">
            <v>1</v>
          </cell>
          <cell r="H19">
            <v>3</v>
          </cell>
        </row>
      </sheetData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abilities"/>
      <sheetName val="ability_基礎設計"/>
      <sheetName val="unit_abilities"/>
      <sheetName val="文言管理シート"/>
      <sheetName val="Sheet1"/>
      <sheetName val="アビリティ分類分け"/>
    </sheetNames>
    <sheetDataSet>
      <sheetData sheetId="0" refreshError="1"/>
      <sheetData sheetId="1">
        <row r="1">
          <cell r="A1" t="str">
            <v>ability_id</v>
          </cell>
          <cell r="B1" t="str">
            <v>language</v>
          </cell>
          <cell r="C1" t="str">
            <v>name</v>
          </cell>
          <cell r="D1" t="str">
            <v>comment</v>
          </cell>
        </row>
        <row r="2">
          <cell r="A2">
            <v>100</v>
          </cell>
          <cell r="B2" t="str">
            <v>ja</v>
          </cell>
          <cell r="C2" t="str">
            <v>プロテクトブレイク</v>
          </cell>
          <cell r="D2" t="str">
            <v>自身が先頭の時、プロテクトを無視してパネル破壊できる</v>
          </cell>
        </row>
        <row r="3">
          <cell r="A3">
            <v>101</v>
          </cell>
          <cell r="B3" t="str">
            <v>ja</v>
          </cell>
          <cell r="C3" t="str">
            <v>プロテクトブレイクS(仮)</v>
          </cell>
          <cell r="D3" t="str">
            <v>自身が先頭の時、プロテクトを無視してパネル破壊できる</v>
          </cell>
        </row>
        <row r="4">
          <cell r="A4">
            <v>102</v>
          </cell>
          <cell r="B4" t="str">
            <v>ja</v>
          </cell>
          <cell r="C4" t="str">
            <v>プロテクトブレイク</v>
          </cell>
          <cell r="D4" t="str">
            <v>自身が先頭の時、プロテクトを無視してパネル破壊できる</v>
          </cell>
        </row>
        <row r="5">
          <cell r="A5">
            <v>103</v>
          </cell>
          <cell r="B5" t="str">
            <v>ja</v>
          </cell>
          <cell r="C5" t="str">
            <v>お邪魔ブレイク</v>
          </cell>
          <cell r="D5" t="str">
            <v>自身が先頭の時、お邪魔パネルを破壊できる</v>
          </cell>
        </row>
        <row r="6">
          <cell r="A6">
            <v>104</v>
          </cell>
          <cell r="B6" t="str">
            <v>ja</v>
          </cell>
          <cell r="C6" t="str">
            <v>お邪魔ブレイク</v>
          </cell>
          <cell r="D6" t="str">
            <v>自身が先頭の時、お邪魔パネルを破壊できる</v>
          </cell>
        </row>
        <row r="7">
          <cell r="A7">
            <v>105</v>
          </cell>
          <cell r="B7" t="str">
            <v>ja</v>
          </cell>
          <cell r="C7" t="str">
            <v>お邪魔ブレイク</v>
          </cell>
          <cell r="D7" t="str">
            <v>自身が先頭の時、お邪魔パネルを破壊できる</v>
          </cell>
        </row>
        <row r="8">
          <cell r="A8">
            <v>106</v>
          </cell>
          <cell r="B8" t="str">
            <v>ja</v>
          </cell>
          <cell r="C8" t="str">
            <v>時限式ブレイク</v>
          </cell>
          <cell r="D8" t="str">
            <v>自身が先頭の時、時限式ダメージパネルを直接破壊できる</v>
          </cell>
        </row>
        <row r="9">
          <cell r="A9">
            <v>107</v>
          </cell>
          <cell r="B9" t="str">
            <v>ja</v>
          </cell>
          <cell r="C9" t="str">
            <v>時限式ブレイク</v>
          </cell>
          <cell r="D9" t="str">
            <v>自身が先頭の時、時限式ダメージパネルを直接破壊できる</v>
          </cell>
        </row>
        <row r="10">
          <cell r="A10">
            <v>108</v>
          </cell>
          <cell r="B10" t="str">
            <v>ja</v>
          </cell>
          <cell r="C10" t="str">
            <v>時限式ブレイク</v>
          </cell>
          <cell r="D10" t="str">
            <v>自身が先頭の時、時限式ダメージパネルを直接破壊できる</v>
          </cell>
        </row>
        <row r="11">
          <cell r="A11">
            <v>109</v>
          </cell>
          <cell r="B11" t="str">
            <v>ja</v>
          </cell>
          <cell r="C11" t="str">
            <v>ダメージパネルブレイク</v>
          </cell>
          <cell r="D11" t="str">
            <v>自身が先頭の時、ダメージを受けずにダメージパネルを破壊できる</v>
          </cell>
        </row>
        <row r="12">
          <cell r="A12">
            <v>150</v>
          </cell>
          <cell r="B12" t="str">
            <v>ja</v>
          </cell>
          <cell r="C12" t="str">
            <v>フィーバー90 プロテクトブレイク</v>
          </cell>
          <cell r="D12" t="str">
            <v>自身が先頭でフィーバーゲージが90％以上の時、プロテクトを無視してパネル破壊できる</v>
          </cell>
        </row>
        <row r="13">
          <cell r="A13">
            <v>151</v>
          </cell>
          <cell r="B13" t="str">
            <v>ja</v>
          </cell>
          <cell r="C13" t="str">
            <v>フィーバー20以下 お邪魔ブレイク</v>
          </cell>
          <cell r="D13" t="str">
            <v>自身が先頭でフィーバーゲージが20％以下の時、お邪魔パネルを破壊できる</v>
          </cell>
        </row>
        <row r="14">
          <cell r="A14">
            <v>152</v>
          </cell>
          <cell r="B14" t="str">
            <v>ja</v>
          </cell>
          <cell r="C14" t="str">
            <v>HP50%以上 お邪魔ブレイク</v>
          </cell>
          <cell r="D14" t="str">
            <v>自身が先頭の時、残りHPが50%以上でお邪魔パネルを破壊できる</v>
          </cell>
        </row>
        <row r="15">
          <cell r="A15">
            <v>200</v>
          </cell>
          <cell r="B15" t="str">
            <v>ja</v>
          </cell>
          <cell r="C15" t="str">
            <v>ウィルス無効</v>
          </cell>
          <cell r="D15" t="str">
            <v>自身にかかるウィルスを無効化する</v>
          </cell>
        </row>
        <row r="16">
          <cell r="A16">
            <v>201</v>
          </cell>
          <cell r="B16" t="str">
            <v>ja</v>
          </cell>
          <cell r="C16" t="str">
            <v>スキルバインド無効</v>
          </cell>
          <cell r="D16" t="str">
            <v>自身にかかるスキルバインドを無効化する</v>
          </cell>
        </row>
        <row r="17">
          <cell r="A17">
            <v>202</v>
          </cell>
          <cell r="B17" t="str">
            <v>ja</v>
          </cell>
          <cell r="C17" t="str">
            <v>スリープ無効</v>
          </cell>
          <cell r="D17" t="str">
            <v>自身にかかるスリープを無効化する</v>
          </cell>
        </row>
        <row r="18">
          <cell r="A18">
            <v>203</v>
          </cell>
          <cell r="B18" t="str">
            <v>ja</v>
          </cell>
          <cell r="C18" t="str">
            <v>爆風軽減無効</v>
          </cell>
          <cell r="D18" t="str">
            <v>自身が先頭の時、爆風軽減を無効化する</v>
          </cell>
        </row>
        <row r="19">
          <cell r="A19">
            <v>204</v>
          </cell>
          <cell r="B19" t="str">
            <v>ja</v>
          </cell>
          <cell r="C19" t="str">
            <v>爆風強化</v>
          </cell>
          <cell r="D19" t="str">
            <v>自身が先頭の時、ボムの爆風を強化する</v>
          </cell>
        </row>
        <row r="20">
          <cell r="A20">
            <v>205</v>
          </cell>
          <cell r="B20" t="str">
            <v>ja</v>
          </cell>
          <cell r="C20" t="str">
            <v>ハート無効化耐性</v>
          </cell>
          <cell r="D20" t="str">
            <v>自身が先頭の時、ハート無効化の影響を受けない</v>
          </cell>
        </row>
        <row r="21">
          <cell r="A21">
            <v>206</v>
          </cell>
          <cell r="B21" t="str">
            <v>ja</v>
          </cell>
          <cell r="C21" t="str">
            <v>赤・緑パネル無効化耐性</v>
          </cell>
          <cell r="D21" t="str">
            <v>自身が先頭の時、赤・緑パネル無効化の影響を受けない</v>
          </cell>
        </row>
        <row r="22">
          <cell r="A22">
            <v>207</v>
          </cell>
          <cell r="B22" t="str">
            <v>ja</v>
          </cell>
          <cell r="C22" t="str">
            <v>赤・青パネル無効化耐性</v>
          </cell>
          <cell r="D22" t="str">
            <v>自身が先頭の時、赤・青パネル無効化の影響を受けない</v>
          </cell>
        </row>
        <row r="23">
          <cell r="A23">
            <v>208</v>
          </cell>
          <cell r="B23" t="str">
            <v>ja</v>
          </cell>
          <cell r="C23" t="str">
            <v>黄・緑パネル無効化耐性</v>
          </cell>
          <cell r="D23" t="str">
            <v>自身が先頭の時、黄・緑パネル無効化の影響を受けない</v>
          </cell>
        </row>
        <row r="24">
          <cell r="A24">
            <v>209</v>
          </cell>
          <cell r="B24" t="str">
            <v>ja</v>
          </cell>
          <cell r="C24" t="str">
            <v>黄・ハートパネル無効化耐性</v>
          </cell>
          <cell r="D24" t="str">
            <v>自身が先頭の時、黄・ハートパネル無効化の影響を受けない</v>
          </cell>
        </row>
        <row r="25">
          <cell r="A25">
            <v>210</v>
          </cell>
          <cell r="B25" t="str">
            <v>ja</v>
          </cell>
          <cell r="C25" t="str">
            <v>緑・赤・青・黄パネル無効化耐性</v>
          </cell>
          <cell r="D25" t="str">
            <v>自身が先頭の時、緑・赤・青・黄パネル無効化の影響を受けない</v>
          </cell>
        </row>
        <row r="26">
          <cell r="A26">
            <v>211</v>
          </cell>
          <cell r="B26" t="str">
            <v>ja</v>
          </cell>
          <cell r="C26" t="str">
            <v>全パネル無効化耐性</v>
          </cell>
          <cell r="D26" t="str">
            <v>自身が先頭の時、全てのパネル無効化の影響を受けない</v>
          </cell>
        </row>
        <row r="27">
          <cell r="A27">
            <v>300</v>
          </cell>
          <cell r="B27" t="str">
            <v>ja</v>
          </cell>
          <cell r="C27" t="str">
            <v>対ゴッド ダメージUP</v>
          </cell>
          <cell r="D27" t="str">
            <v>自身の攻撃対象が種族ゴッドの場合全ての攻撃の威力をUP</v>
          </cell>
        </row>
        <row r="28">
          <cell r="A28">
            <v>301</v>
          </cell>
          <cell r="B28" t="str">
            <v>ja</v>
          </cell>
          <cell r="C28" t="str">
            <v>対ゴッド ダメージ大UP</v>
          </cell>
          <cell r="D28" t="str">
            <v>自身の攻撃対象が種族ゴッドの場合全ての攻撃の威力をUP</v>
          </cell>
        </row>
        <row r="29">
          <cell r="A29">
            <v>302</v>
          </cell>
          <cell r="B29" t="str">
            <v>ja</v>
          </cell>
          <cell r="C29" t="str">
            <v>対ゴッド ダメージ特大UP</v>
          </cell>
          <cell r="D29" t="str">
            <v>自身の攻撃対象が種族ゴッドの場合全ての攻撃の威力をUP</v>
          </cell>
        </row>
        <row r="30">
          <cell r="A30">
            <v>303</v>
          </cell>
          <cell r="B30" t="str">
            <v>ja</v>
          </cell>
          <cell r="C30" t="str">
            <v>対ゴッド ダメージ超大UP</v>
          </cell>
          <cell r="D30" t="str">
            <v>自身の攻撃対象が種族ゴッドの場合全ての攻撃の威力をUP</v>
          </cell>
        </row>
        <row r="31">
          <cell r="A31">
            <v>304</v>
          </cell>
          <cell r="B31" t="str">
            <v>ja</v>
          </cell>
          <cell r="C31" t="str">
            <v>対ヒューマン ダメージUP</v>
          </cell>
          <cell r="D31" t="str">
            <v>自身の攻撃対象が種族ヒューマンの場合全ての攻撃の威力をUP</v>
          </cell>
        </row>
        <row r="32">
          <cell r="A32">
            <v>305</v>
          </cell>
          <cell r="B32" t="str">
            <v>ja</v>
          </cell>
          <cell r="C32" t="str">
            <v>対ヒューマン ダメージUP</v>
          </cell>
          <cell r="D32" t="str">
            <v>自身の攻撃対象が種族ヒューマンの場合全ての攻撃の威力をUP</v>
          </cell>
        </row>
        <row r="33">
          <cell r="A33">
            <v>306</v>
          </cell>
          <cell r="B33" t="str">
            <v>ja</v>
          </cell>
          <cell r="C33" t="str">
            <v>対ヒューマン ダメージUP</v>
          </cell>
          <cell r="D33" t="str">
            <v>自身の攻撃対象が種族ヒューマンの場合全ての攻撃の威力をUP</v>
          </cell>
        </row>
        <row r="34">
          <cell r="A34">
            <v>307</v>
          </cell>
          <cell r="B34" t="str">
            <v>ja</v>
          </cell>
          <cell r="C34" t="str">
            <v>対ヒューマン ダメージUP</v>
          </cell>
          <cell r="D34" t="str">
            <v>自身の攻撃対象が種族ヒューマンの場合全ての攻撃の威力をUP</v>
          </cell>
        </row>
        <row r="35">
          <cell r="A35">
            <v>308</v>
          </cell>
          <cell r="B35" t="str">
            <v>ja</v>
          </cell>
          <cell r="C35" t="str">
            <v>対アニマル ダメージUP</v>
          </cell>
          <cell r="D35" t="str">
            <v>自身の攻撃対象が種族アニマルの場合全ての攻撃の威力をUP</v>
          </cell>
        </row>
        <row r="36">
          <cell r="A36">
            <v>309</v>
          </cell>
          <cell r="B36" t="str">
            <v>ja</v>
          </cell>
          <cell r="C36" t="str">
            <v>対アニマル ダメージUP</v>
          </cell>
          <cell r="D36" t="str">
            <v>自身の攻撃対象が種族アニマルの場合全ての攻撃の威力をUP</v>
          </cell>
        </row>
        <row r="37">
          <cell r="A37">
            <v>310</v>
          </cell>
          <cell r="B37" t="str">
            <v>ja</v>
          </cell>
          <cell r="C37" t="str">
            <v>対アニマル ダメージUP</v>
          </cell>
          <cell r="D37" t="str">
            <v>自身の攻撃対象が種族アニマルの場合全ての攻撃の威力をUP</v>
          </cell>
        </row>
        <row r="38">
          <cell r="A38">
            <v>311</v>
          </cell>
          <cell r="B38" t="str">
            <v>ja</v>
          </cell>
          <cell r="C38" t="str">
            <v>対アニマル ダメージUP</v>
          </cell>
          <cell r="D38" t="str">
            <v>自身の攻撃対象が種族アニマルの場合全ての攻撃の威力をUP</v>
          </cell>
        </row>
        <row r="39">
          <cell r="A39">
            <v>312</v>
          </cell>
          <cell r="B39" t="str">
            <v>ja</v>
          </cell>
          <cell r="C39" t="str">
            <v>対ドラゴン ダメージUP</v>
          </cell>
          <cell r="D39" t="str">
            <v>自身の攻撃対象が種族ドラゴンの場合全ての攻撃の威力をUP</v>
          </cell>
        </row>
        <row r="40">
          <cell r="A40">
            <v>313</v>
          </cell>
          <cell r="B40" t="str">
            <v>ja</v>
          </cell>
          <cell r="C40" t="str">
            <v>対ドラゴン ダメージUP</v>
          </cell>
          <cell r="D40" t="str">
            <v>自身の攻撃対象が種族ドラゴンの場合全ての攻撃の威力をUP</v>
          </cell>
        </row>
        <row r="41">
          <cell r="A41">
            <v>314</v>
          </cell>
          <cell r="B41" t="str">
            <v>ja</v>
          </cell>
          <cell r="C41" t="str">
            <v>対ドラゴン ダメージUP</v>
          </cell>
          <cell r="D41" t="str">
            <v>自身の攻撃対象が種族ドラゴンの場合全ての攻撃の威力をUP</v>
          </cell>
        </row>
        <row r="42">
          <cell r="A42">
            <v>315</v>
          </cell>
          <cell r="B42" t="str">
            <v>ja</v>
          </cell>
          <cell r="C42" t="str">
            <v>対ドラゴン ダメージUP</v>
          </cell>
          <cell r="D42" t="str">
            <v>自身の攻撃対象が種族ドラゴンの場合全ての攻撃の威力をUP</v>
          </cell>
        </row>
        <row r="43">
          <cell r="A43">
            <v>316</v>
          </cell>
          <cell r="B43" t="str">
            <v>ja</v>
          </cell>
          <cell r="C43" t="str">
            <v>対Unknown ダメージUP</v>
          </cell>
          <cell r="D43" t="str">
            <v>自身の攻撃対象が種族Unknownの場合全ての攻撃の威力をUP</v>
          </cell>
        </row>
        <row r="44">
          <cell r="A44">
            <v>317</v>
          </cell>
          <cell r="B44" t="str">
            <v>ja</v>
          </cell>
          <cell r="C44" t="str">
            <v>対Unknown ダメージUP</v>
          </cell>
          <cell r="D44" t="str">
            <v>自身の攻撃対象が種族Unknownの場合全ての攻撃の威力をUP</v>
          </cell>
        </row>
        <row r="45">
          <cell r="A45">
            <v>318</v>
          </cell>
          <cell r="B45" t="str">
            <v>ja</v>
          </cell>
          <cell r="C45" t="str">
            <v>対Unknown ダメージUP</v>
          </cell>
          <cell r="D45" t="str">
            <v>自身の攻撃対象が種族Unknownの場合全ての攻撃の威力をUP</v>
          </cell>
        </row>
        <row r="46">
          <cell r="A46">
            <v>319</v>
          </cell>
          <cell r="B46" t="str">
            <v>ja</v>
          </cell>
          <cell r="C46" t="str">
            <v>対Unknown ダメージUP</v>
          </cell>
          <cell r="D46" t="str">
            <v>自身の攻撃対象が種族Unknownの場合全ての攻撃の威力をUP</v>
          </cell>
        </row>
        <row r="47">
          <cell r="A47">
            <v>320</v>
          </cell>
          <cell r="B47" t="str">
            <v>ja</v>
          </cell>
          <cell r="C47" t="str">
            <v>対サムライ ダメージUP</v>
          </cell>
          <cell r="D47" t="str">
            <v>自身の攻撃対象が種族サムライの場合全ての攻撃の威力をUP</v>
          </cell>
        </row>
        <row r="48">
          <cell r="A48">
            <v>321</v>
          </cell>
          <cell r="B48" t="str">
            <v>ja</v>
          </cell>
          <cell r="C48" t="str">
            <v>対サムライ ダメージUP</v>
          </cell>
          <cell r="D48" t="str">
            <v>自身の攻撃対象が種族サムライの場合全ての攻撃の威力をUP</v>
          </cell>
        </row>
        <row r="49">
          <cell r="A49">
            <v>322</v>
          </cell>
          <cell r="B49" t="str">
            <v>ja</v>
          </cell>
          <cell r="C49" t="str">
            <v>対サムライ ダメージUP</v>
          </cell>
          <cell r="D49" t="str">
            <v>自身の攻撃対象が種族サムライの場合全ての攻撃の威力をUP</v>
          </cell>
        </row>
        <row r="50">
          <cell r="A50">
            <v>323</v>
          </cell>
          <cell r="B50" t="str">
            <v>ja</v>
          </cell>
          <cell r="C50" t="str">
            <v>対サムライ ダメージUP</v>
          </cell>
          <cell r="D50" t="str">
            <v>自身の攻撃対象が種族サムライの場合全ての攻撃の威力をUP</v>
          </cell>
        </row>
        <row r="51">
          <cell r="A51">
            <v>324</v>
          </cell>
          <cell r="B51" t="str">
            <v>ja</v>
          </cell>
          <cell r="C51" t="str">
            <v>対ウェポン ダメージUP</v>
          </cell>
          <cell r="D51" t="str">
            <v>自身の攻撃対象が種族ウェポンの場合全ての攻撃の威力をUP</v>
          </cell>
        </row>
        <row r="52">
          <cell r="A52">
            <v>325</v>
          </cell>
          <cell r="B52" t="str">
            <v>ja</v>
          </cell>
          <cell r="C52" t="str">
            <v>対ウェポン ダメージUP</v>
          </cell>
          <cell r="D52" t="str">
            <v>自身の攻撃対象が種族ウェポンの場合全ての攻撃の威力をUP</v>
          </cell>
        </row>
        <row r="53">
          <cell r="A53">
            <v>326</v>
          </cell>
          <cell r="B53" t="str">
            <v>ja</v>
          </cell>
          <cell r="C53" t="str">
            <v>対ウェポン ダメージUP</v>
          </cell>
          <cell r="D53" t="str">
            <v>自身の攻撃対象が種族ウェポンの場合全ての攻撃の威力をUP</v>
          </cell>
        </row>
        <row r="54">
          <cell r="A54">
            <v>327</v>
          </cell>
          <cell r="B54" t="str">
            <v>ja</v>
          </cell>
          <cell r="C54" t="str">
            <v>対ウェポン ダメージUP</v>
          </cell>
          <cell r="D54" t="str">
            <v>自身の攻撃対象が種族ウェポンの場合全ての攻撃の威力をUP</v>
          </cell>
        </row>
        <row r="55">
          <cell r="A55">
            <v>328</v>
          </cell>
          <cell r="B55" t="str">
            <v>ja</v>
          </cell>
          <cell r="C55" t="str">
            <v>対アカデミア ダメージUP</v>
          </cell>
          <cell r="D55" t="str">
            <v>自身の攻撃対象が種族アカデミアの場合全ての攻撃の威力をUP</v>
          </cell>
        </row>
        <row r="56">
          <cell r="A56">
            <v>329</v>
          </cell>
          <cell r="B56" t="str">
            <v>ja</v>
          </cell>
          <cell r="C56" t="str">
            <v>対アカデミア ダメージUP</v>
          </cell>
          <cell r="D56" t="str">
            <v>自身の攻撃対象が種族アカデミアの場合全ての攻撃の威力をUP</v>
          </cell>
        </row>
        <row r="57">
          <cell r="A57">
            <v>330</v>
          </cell>
          <cell r="B57" t="str">
            <v>ja</v>
          </cell>
          <cell r="C57" t="str">
            <v>対アカデミア ダメージUP</v>
          </cell>
          <cell r="D57" t="str">
            <v>自身の攻撃対象が種族アカデミアの場合全ての攻撃の威力をUP</v>
          </cell>
        </row>
        <row r="58">
          <cell r="A58">
            <v>331</v>
          </cell>
          <cell r="B58" t="str">
            <v>ja</v>
          </cell>
          <cell r="C58" t="str">
            <v>対アカデミア ダメージUP</v>
          </cell>
          <cell r="D58" t="str">
            <v>自身の攻撃対象が種族アカデミアの場合全ての攻撃の威力をUP</v>
          </cell>
        </row>
        <row r="59">
          <cell r="A59">
            <v>332</v>
          </cell>
          <cell r="B59" t="str">
            <v>ja</v>
          </cell>
          <cell r="C59" t="str">
            <v>対タイタン ダメージUP</v>
          </cell>
          <cell r="D59" t="str">
            <v>自身の攻撃対象が種族タイタンの場合全ての攻撃の威力をUP</v>
          </cell>
        </row>
        <row r="60">
          <cell r="A60">
            <v>333</v>
          </cell>
          <cell r="B60" t="str">
            <v>ja</v>
          </cell>
          <cell r="C60" t="str">
            <v>対タイタン ダメージUP</v>
          </cell>
          <cell r="D60" t="str">
            <v>自身の攻撃対象が種族タイタンの場合全ての攻撃の威力をUP</v>
          </cell>
        </row>
        <row r="61">
          <cell r="A61">
            <v>334</v>
          </cell>
          <cell r="B61" t="str">
            <v>ja</v>
          </cell>
          <cell r="C61" t="str">
            <v>対タイタン ダメージUP</v>
          </cell>
          <cell r="D61" t="str">
            <v>自身の攻撃対象が種族タイタンの場合全ての攻撃の威力をUP</v>
          </cell>
        </row>
        <row r="62">
          <cell r="A62">
            <v>335</v>
          </cell>
          <cell r="B62" t="str">
            <v>ja</v>
          </cell>
          <cell r="C62" t="str">
            <v>対タイタン ダメージUP</v>
          </cell>
          <cell r="D62" t="str">
            <v>自身の攻撃対象が種族タイタンの場合全ての攻撃の威力をUP</v>
          </cell>
        </row>
        <row r="63">
          <cell r="A63">
            <v>336</v>
          </cell>
          <cell r="B63" t="str">
            <v>ja</v>
          </cell>
          <cell r="C63" t="str">
            <v>対マシン ダメージUP</v>
          </cell>
          <cell r="D63" t="str">
            <v>自身の攻撃対象が種族マシンの場合全ての攻撃の威力をUP</v>
          </cell>
        </row>
        <row r="64">
          <cell r="A64">
            <v>337</v>
          </cell>
          <cell r="B64" t="str">
            <v>ja</v>
          </cell>
          <cell r="C64" t="str">
            <v>対マシン ダメージUP</v>
          </cell>
          <cell r="D64" t="str">
            <v>自身の攻撃対象が種族マシンの場合全ての攻撃の威力をUP</v>
          </cell>
        </row>
        <row r="65">
          <cell r="A65">
            <v>338</v>
          </cell>
          <cell r="B65" t="str">
            <v>ja</v>
          </cell>
          <cell r="C65" t="str">
            <v>対マシン ダメージUP</v>
          </cell>
          <cell r="D65" t="str">
            <v>自身の攻撃対象が種族マシンの場合全ての攻撃の威力をUP</v>
          </cell>
        </row>
        <row r="66">
          <cell r="A66">
            <v>339</v>
          </cell>
          <cell r="B66" t="str">
            <v>ja</v>
          </cell>
          <cell r="C66" t="str">
            <v>対マシン ダメージUP</v>
          </cell>
          <cell r="D66" t="str">
            <v>自身の攻撃対象が種族マシンの場合全ての攻撃の威力をUP</v>
          </cell>
        </row>
        <row r="67">
          <cell r="A67">
            <v>340</v>
          </cell>
          <cell r="B67" t="str">
            <v>ja</v>
          </cell>
          <cell r="C67" t="str">
            <v>対ドラゴン&amp;アニマルダメージUP</v>
          </cell>
          <cell r="D67" t="str">
            <v>自身の攻撃対象が種族ドラゴン、アニマルの場合全ての攻撃の威力をUP</v>
          </cell>
        </row>
        <row r="68">
          <cell r="A68">
            <v>400</v>
          </cell>
          <cell r="B68" t="str">
            <v>ja</v>
          </cell>
          <cell r="C68" t="str">
            <v>攻撃タイプキラー</v>
          </cell>
          <cell r="D68" t="str">
            <v>攻撃対象が攻撃タイプの場合威力UP</v>
          </cell>
        </row>
        <row r="69">
          <cell r="A69">
            <v>401</v>
          </cell>
          <cell r="B69" t="str">
            <v>ja</v>
          </cell>
          <cell r="C69" t="str">
            <v>攻撃タイプキラー</v>
          </cell>
          <cell r="D69" t="str">
            <v>攻撃対象が攻撃タイプの場合威力UP</v>
          </cell>
        </row>
        <row r="70">
          <cell r="A70">
            <v>402</v>
          </cell>
          <cell r="B70" t="str">
            <v>ja</v>
          </cell>
          <cell r="C70" t="str">
            <v>攻撃タイプキラー</v>
          </cell>
          <cell r="D70" t="str">
            <v>攻撃対象が攻撃タイプの場合威力UP</v>
          </cell>
        </row>
        <row r="71">
          <cell r="A71">
            <v>403</v>
          </cell>
          <cell r="B71" t="str">
            <v>ja</v>
          </cell>
          <cell r="C71" t="str">
            <v>攻撃タイプキラー</v>
          </cell>
          <cell r="D71" t="str">
            <v>攻撃対象が攻撃タイプの場合威力UP</v>
          </cell>
        </row>
        <row r="72">
          <cell r="A72">
            <v>404</v>
          </cell>
          <cell r="B72" t="str">
            <v>ja</v>
          </cell>
          <cell r="C72" t="str">
            <v>バランスタイプキラー</v>
          </cell>
          <cell r="D72" t="str">
            <v>攻撃対象が攻撃タイプの場合威力UP</v>
          </cell>
        </row>
        <row r="73">
          <cell r="A73">
            <v>405</v>
          </cell>
          <cell r="B73" t="str">
            <v>ja</v>
          </cell>
          <cell r="C73" t="str">
            <v>バランスタイプキラー</v>
          </cell>
          <cell r="D73" t="str">
            <v>攻撃対象が攻撃タイプの場合威力UP</v>
          </cell>
        </row>
        <row r="74">
          <cell r="A74">
            <v>406</v>
          </cell>
          <cell r="B74" t="str">
            <v>ja</v>
          </cell>
          <cell r="C74" t="str">
            <v>バランスタイプキラー</v>
          </cell>
          <cell r="D74" t="str">
            <v>攻撃対象が攻撃タイプの場合威力UP</v>
          </cell>
        </row>
        <row r="75">
          <cell r="A75">
            <v>407</v>
          </cell>
          <cell r="B75" t="str">
            <v>ja</v>
          </cell>
          <cell r="C75" t="str">
            <v>バランスタイプキラー</v>
          </cell>
          <cell r="D75" t="str">
            <v>攻撃対象が攻撃タイプの場合威力UP</v>
          </cell>
        </row>
        <row r="76">
          <cell r="A76">
            <v>408</v>
          </cell>
          <cell r="B76" t="str">
            <v>ja</v>
          </cell>
          <cell r="C76" t="str">
            <v>体力タイプキラー</v>
          </cell>
          <cell r="D76" t="str">
            <v>攻撃対象が攻撃タイプの場合威力UP</v>
          </cell>
        </row>
        <row r="77">
          <cell r="A77">
            <v>409</v>
          </cell>
          <cell r="B77" t="str">
            <v>ja</v>
          </cell>
          <cell r="C77" t="str">
            <v>体力タイプキラー</v>
          </cell>
          <cell r="D77" t="str">
            <v>攻撃対象が攻撃タイプの場合威力UP</v>
          </cell>
        </row>
        <row r="78">
          <cell r="A78">
            <v>410</v>
          </cell>
          <cell r="B78" t="str">
            <v>ja</v>
          </cell>
          <cell r="C78" t="str">
            <v>体力タイプキラー</v>
          </cell>
          <cell r="D78" t="str">
            <v>攻撃対象が攻撃タイプの場合威力UP</v>
          </cell>
        </row>
        <row r="79">
          <cell r="A79">
            <v>411</v>
          </cell>
          <cell r="B79" t="str">
            <v>ja</v>
          </cell>
          <cell r="C79" t="str">
            <v>体力タイプキラー</v>
          </cell>
          <cell r="D79" t="str">
            <v>攻撃対象が攻撃タイプの場合威力UP</v>
          </cell>
        </row>
        <row r="80">
          <cell r="A80">
            <v>412</v>
          </cell>
          <cell r="B80" t="str">
            <v>ja</v>
          </cell>
          <cell r="C80" t="str">
            <v>テクニカルタイプキラー</v>
          </cell>
          <cell r="D80" t="str">
            <v>攻撃対象が攻撃タイプの場合威力UP</v>
          </cell>
        </row>
        <row r="81">
          <cell r="A81">
            <v>413</v>
          </cell>
          <cell r="B81" t="str">
            <v>ja</v>
          </cell>
          <cell r="C81" t="str">
            <v>テクニカルタイプキラー</v>
          </cell>
          <cell r="D81" t="str">
            <v>攻撃対象が攻撃タイプの場合威力UP</v>
          </cell>
        </row>
        <row r="82">
          <cell r="A82">
            <v>414</v>
          </cell>
          <cell r="B82" t="str">
            <v>ja</v>
          </cell>
          <cell r="C82" t="str">
            <v>テクニカルタイプキラー</v>
          </cell>
          <cell r="D82" t="str">
            <v>攻撃対象が攻撃タイプの場合威力UP</v>
          </cell>
        </row>
        <row r="83">
          <cell r="A83">
            <v>415</v>
          </cell>
          <cell r="B83" t="str">
            <v>ja</v>
          </cell>
          <cell r="C83" t="str">
            <v>テクニカルタイプキラー</v>
          </cell>
          <cell r="D83" t="str">
            <v>攻撃対象が攻撃タイプの場合威力UP</v>
          </cell>
        </row>
        <row r="84">
          <cell r="A84">
            <v>416</v>
          </cell>
          <cell r="B84" t="str">
            <v>ja</v>
          </cell>
          <cell r="C84" t="str">
            <v>回復タイプキラー</v>
          </cell>
          <cell r="D84" t="str">
            <v>攻撃対象が攻撃タイプの場合威力UP</v>
          </cell>
        </row>
        <row r="85">
          <cell r="A85">
            <v>417</v>
          </cell>
          <cell r="B85" t="str">
            <v>ja</v>
          </cell>
          <cell r="C85" t="str">
            <v>回復タイプキラー</v>
          </cell>
          <cell r="D85" t="str">
            <v>攻撃対象が攻撃タイプの場合威力UP</v>
          </cell>
        </row>
        <row r="86">
          <cell r="A86">
            <v>418</v>
          </cell>
          <cell r="B86" t="str">
            <v>ja</v>
          </cell>
          <cell r="C86" t="str">
            <v>回復タイプキラー</v>
          </cell>
          <cell r="D86" t="str">
            <v>攻撃対象が攻撃タイプの場合威力UP</v>
          </cell>
        </row>
        <row r="87">
          <cell r="A87">
            <v>419</v>
          </cell>
          <cell r="B87" t="str">
            <v>ja</v>
          </cell>
          <cell r="C87" t="str">
            <v>回復タイプキラー</v>
          </cell>
          <cell r="D87" t="str">
            <v>攻撃対象が攻撃タイプの場合威力UP</v>
          </cell>
        </row>
        <row r="88">
          <cell r="A88">
            <v>420</v>
          </cell>
          <cell r="B88" t="str">
            <v>ja</v>
          </cell>
          <cell r="C88" t="str">
            <v>強化素材タイプキラー</v>
          </cell>
          <cell r="D88" t="str">
            <v>攻撃対象が攻撃タイプの場合威力UP</v>
          </cell>
        </row>
        <row r="89">
          <cell r="A89">
            <v>421</v>
          </cell>
          <cell r="B89" t="str">
            <v>ja</v>
          </cell>
          <cell r="C89" t="str">
            <v>強化素材タイプキラー</v>
          </cell>
          <cell r="D89" t="str">
            <v>攻撃対象が攻撃タイプの場合威力UP</v>
          </cell>
        </row>
        <row r="90">
          <cell r="A90">
            <v>422</v>
          </cell>
          <cell r="B90" t="str">
            <v>ja</v>
          </cell>
          <cell r="C90" t="str">
            <v>強化素材タイプキラー</v>
          </cell>
          <cell r="D90" t="str">
            <v>攻撃対象が攻撃タイプの場合威力UP</v>
          </cell>
        </row>
        <row r="91">
          <cell r="A91">
            <v>423</v>
          </cell>
          <cell r="B91" t="str">
            <v>ja</v>
          </cell>
          <cell r="C91" t="str">
            <v>強化素材タイプキラー</v>
          </cell>
          <cell r="D91" t="str">
            <v>攻撃対象が攻撃タイプの場合威力UP</v>
          </cell>
        </row>
        <row r="92">
          <cell r="A92">
            <v>424</v>
          </cell>
          <cell r="B92" t="str">
            <v>ja</v>
          </cell>
          <cell r="C92" t="str">
            <v>コインタイプキラー</v>
          </cell>
          <cell r="D92" t="str">
            <v>攻撃対象が攻撃タイプの場合威力UP</v>
          </cell>
        </row>
        <row r="93">
          <cell r="A93">
            <v>425</v>
          </cell>
          <cell r="B93" t="str">
            <v>ja</v>
          </cell>
          <cell r="C93" t="str">
            <v>コインタイプキラー</v>
          </cell>
          <cell r="D93" t="str">
            <v>攻撃対象が攻撃タイプの場合威力UP</v>
          </cell>
        </row>
        <row r="94">
          <cell r="A94">
            <v>426</v>
          </cell>
          <cell r="B94" t="str">
            <v>ja</v>
          </cell>
          <cell r="C94" t="str">
            <v>コインタイプキラー</v>
          </cell>
          <cell r="D94" t="str">
            <v>攻撃対象が攻撃タイプの場合威力UP</v>
          </cell>
        </row>
        <row r="95">
          <cell r="A95">
            <v>427</v>
          </cell>
          <cell r="B95" t="str">
            <v>ja</v>
          </cell>
          <cell r="C95" t="str">
            <v>コインタイプキラー</v>
          </cell>
          <cell r="D95" t="str">
            <v>攻撃対象が攻撃タイプの場合威力UP</v>
          </cell>
        </row>
        <row r="96">
          <cell r="A96">
            <v>428</v>
          </cell>
          <cell r="B96" t="str">
            <v>ja</v>
          </cell>
          <cell r="C96" t="str">
            <v>限界突破素材タイプキラー</v>
          </cell>
          <cell r="D96" t="str">
            <v>攻撃対象が攻撃タイプの場合威力UP</v>
          </cell>
        </row>
        <row r="97">
          <cell r="A97">
            <v>429</v>
          </cell>
          <cell r="B97" t="str">
            <v>ja</v>
          </cell>
          <cell r="C97" t="str">
            <v>限界突破素材タイプキラー</v>
          </cell>
          <cell r="D97" t="str">
            <v>攻撃対象が攻撃タイプの場合威力UP</v>
          </cell>
        </row>
        <row r="98">
          <cell r="A98">
            <v>430</v>
          </cell>
          <cell r="B98" t="str">
            <v>ja</v>
          </cell>
          <cell r="C98" t="str">
            <v>限界突破素材タイプキラー</v>
          </cell>
          <cell r="D98" t="str">
            <v>攻撃対象が攻撃タイプの場合威力UP</v>
          </cell>
        </row>
        <row r="99">
          <cell r="A99">
            <v>431</v>
          </cell>
          <cell r="B99" t="str">
            <v>ja</v>
          </cell>
          <cell r="C99" t="str">
            <v>限界突破素材タイプキラー</v>
          </cell>
          <cell r="D99" t="str">
            <v>攻撃対象が攻撃タイプの場合威力UP</v>
          </cell>
        </row>
        <row r="100">
          <cell r="A100">
            <v>432</v>
          </cell>
          <cell r="B100" t="str">
            <v>ja</v>
          </cell>
          <cell r="C100" t="str">
            <v>スキルレベル素材タイプキラー</v>
          </cell>
          <cell r="D100" t="str">
            <v>攻撃対象が攻撃タイプの場合威力UP</v>
          </cell>
        </row>
        <row r="101">
          <cell r="A101">
            <v>433</v>
          </cell>
          <cell r="B101" t="str">
            <v>ja</v>
          </cell>
          <cell r="C101" t="str">
            <v>スキルレベル素材タイプキラー</v>
          </cell>
          <cell r="D101" t="str">
            <v>攻撃対象が攻撃タイプの場合威力UP</v>
          </cell>
        </row>
        <row r="102">
          <cell r="A102">
            <v>434</v>
          </cell>
          <cell r="B102" t="str">
            <v>ja</v>
          </cell>
          <cell r="C102" t="str">
            <v>スキルレベル素材タイプキラー</v>
          </cell>
          <cell r="D102" t="str">
            <v>攻撃対象が攻撃タイプの場合威力UP</v>
          </cell>
        </row>
        <row r="103">
          <cell r="A103">
            <v>435</v>
          </cell>
          <cell r="B103" t="str">
            <v>ja</v>
          </cell>
          <cell r="C103" t="str">
            <v>スキルレベル素材タイプキラー</v>
          </cell>
          <cell r="D103" t="str">
            <v>攻撃対象が攻撃タイプの場合威力UP</v>
          </cell>
        </row>
        <row r="104">
          <cell r="A104">
            <v>436</v>
          </cell>
          <cell r="B104" t="str">
            <v>ja</v>
          </cell>
          <cell r="C104" t="str">
            <v>対ゴッド&amp;ヒーロー ダメージUP</v>
          </cell>
          <cell r="D104" t="str">
            <v>自身の攻撃対象が種族ゴッド、ヒーローの場合全ての攻撃の威力をUP</v>
          </cell>
        </row>
        <row r="105">
          <cell r="A105">
            <v>437</v>
          </cell>
          <cell r="B105" t="str">
            <v>ja</v>
          </cell>
          <cell r="C105" t="str">
            <v>対サムライ&amp;ドラゴン ダメージUP</v>
          </cell>
          <cell r="D105" t="str">
            <v>自身の攻撃対象が種族サムライ、ドラゴンの場合全ての攻撃の威力をUP</v>
          </cell>
        </row>
        <row r="106">
          <cell r="A106">
            <v>500</v>
          </cell>
          <cell r="B106" t="str">
            <v>ja</v>
          </cell>
          <cell r="C106" t="str">
            <v>青属性キラー</v>
          </cell>
          <cell r="D106" t="str">
            <v>攻撃対象が青属性の場合威力UP</v>
          </cell>
        </row>
        <row r="107">
          <cell r="A107">
            <v>600</v>
          </cell>
          <cell r="B107" t="str">
            <v>ja</v>
          </cell>
          <cell r="C107" t="str">
            <v>赤属性耐性25</v>
          </cell>
          <cell r="D107" t="str">
            <v>自身に対する赤属性の敵からの攻撃を25％軽減</v>
          </cell>
        </row>
        <row r="108">
          <cell r="A108">
            <v>601</v>
          </cell>
          <cell r="B108" t="str">
            <v>ja</v>
          </cell>
          <cell r="C108" t="str">
            <v>赤属性耐性25</v>
          </cell>
          <cell r="D108" t="str">
            <v>自身に対する赤属性の敵からの攻撃を25％軽減</v>
          </cell>
        </row>
        <row r="109">
          <cell r="A109">
            <v>602</v>
          </cell>
          <cell r="B109" t="str">
            <v>ja</v>
          </cell>
          <cell r="C109" t="str">
            <v>赤属性耐性25</v>
          </cell>
          <cell r="D109" t="str">
            <v>自身に対する赤属性の敵からの攻撃を25％軽減</v>
          </cell>
        </row>
        <row r="110">
          <cell r="A110">
            <v>603</v>
          </cell>
          <cell r="B110" t="str">
            <v>ja</v>
          </cell>
          <cell r="C110" t="str">
            <v>青属性耐性25</v>
          </cell>
          <cell r="D110" t="str">
            <v>自身に対する青属性の敵からの攻撃を25％軽減</v>
          </cell>
        </row>
        <row r="111">
          <cell r="A111">
            <v>604</v>
          </cell>
          <cell r="B111" t="str">
            <v>ja</v>
          </cell>
          <cell r="C111" t="str">
            <v>青属性耐性25</v>
          </cell>
          <cell r="D111" t="str">
            <v>自身に対する青属性の敵からの攻撃を25％軽減</v>
          </cell>
        </row>
        <row r="112">
          <cell r="A112">
            <v>605</v>
          </cell>
          <cell r="B112" t="str">
            <v>ja</v>
          </cell>
          <cell r="C112" t="str">
            <v>青属性耐性25</v>
          </cell>
          <cell r="D112" t="str">
            <v>自身に対する青属性の敵からの攻撃を25％軽減</v>
          </cell>
        </row>
        <row r="113">
          <cell r="A113">
            <v>606</v>
          </cell>
          <cell r="B113" t="str">
            <v>ja</v>
          </cell>
          <cell r="C113" t="str">
            <v>緑属性耐性25</v>
          </cell>
          <cell r="D113" t="str">
            <v>自身に対する緑属性の敵からの攻撃を25％軽減</v>
          </cell>
        </row>
        <row r="114">
          <cell r="A114">
            <v>607</v>
          </cell>
          <cell r="B114" t="str">
            <v>ja</v>
          </cell>
          <cell r="C114" t="str">
            <v>緑属性耐性25</v>
          </cell>
          <cell r="D114" t="str">
            <v>自身に対する緑属性の敵からの攻撃を25％軽減</v>
          </cell>
        </row>
        <row r="115">
          <cell r="A115">
            <v>608</v>
          </cell>
          <cell r="B115" t="str">
            <v>ja</v>
          </cell>
          <cell r="C115" t="str">
            <v>緑属性耐性25</v>
          </cell>
          <cell r="D115" t="str">
            <v>自身に対する緑属性の敵からの攻撃を25％軽減</v>
          </cell>
        </row>
        <row r="116">
          <cell r="A116">
            <v>609</v>
          </cell>
          <cell r="B116" t="str">
            <v>ja</v>
          </cell>
          <cell r="C116" t="str">
            <v>黄属性耐性25</v>
          </cell>
          <cell r="D116" t="str">
            <v>自身に対する黄属性の敵からの攻撃を25％軽減</v>
          </cell>
        </row>
        <row r="117">
          <cell r="A117">
            <v>610</v>
          </cell>
          <cell r="B117" t="str">
            <v>ja</v>
          </cell>
          <cell r="C117" t="str">
            <v>黄属性耐性25</v>
          </cell>
          <cell r="D117" t="str">
            <v>自身に対する黄属性の敵からの攻撃を25％軽減</v>
          </cell>
        </row>
        <row r="118">
          <cell r="A118">
            <v>611</v>
          </cell>
          <cell r="B118" t="str">
            <v>ja</v>
          </cell>
          <cell r="C118" t="str">
            <v>黄属性耐性25</v>
          </cell>
          <cell r="D118" t="str">
            <v>自身に対する黄属性の敵からの攻撃を25％軽減</v>
          </cell>
        </row>
        <row r="119">
          <cell r="A119">
            <v>612</v>
          </cell>
          <cell r="B119" t="str">
            <v>ja</v>
          </cell>
          <cell r="C119" t="str">
            <v>全属性耐性10</v>
          </cell>
          <cell r="D119" t="str">
            <v>自身に対する全属性の敵からの攻撃を10％軽減</v>
          </cell>
        </row>
        <row r="120">
          <cell r="A120">
            <v>613</v>
          </cell>
          <cell r="B120" t="str">
            <v>ja</v>
          </cell>
          <cell r="C120" t="str">
            <v>赤属性耐性10</v>
          </cell>
          <cell r="D120" t="str">
            <v>自身に対する赤属性の敵からの攻撃を10％軽減</v>
          </cell>
        </row>
        <row r="121">
          <cell r="A121">
            <v>614</v>
          </cell>
          <cell r="B121" t="str">
            <v>ja</v>
          </cell>
          <cell r="C121" t="str">
            <v>青属性耐性10</v>
          </cell>
          <cell r="D121" t="str">
            <v>自身に対する青属性の敵からの攻撃を10％軽減</v>
          </cell>
        </row>
        <row r="122">
          <cell r="A122">
            <v>615</v>
          </cell>
          <cell r="B122" t="str">
            <v>ja</v>
          </cell>
          <cell r="C122" t="str">
            <v>緑属性耐性10</v>
          </cell>
          <cell r="D122" t="str">
            <v>自身に対する緑属性の敵からの攻撃を10％軽減</v>
          </cell>
        </row>
        <row r="123">
          <cell r="A123">
            <v>616</v>
          </cell>
          <cell r="B123" t="str">
            <v>ja</v>
          </cell>
          <cell r="C123" t="str">
            <v>黄属性耐性10</v>
          </cell>
          <cell r="D123" t="str">
            <v>自身に対する黄属性の敵からの攻撃を10％軽減</v>
          </cell>
        </row>
        <row r="124">
          <cell r="A124">
            <v>617</v>
          </cell>
          <cell r="B124" t="str">
            <v>ja</v>
          </cell>
          <cell r="C124" t="str">
            <v>ゴッド種族耐性10</v>
          </cell>
          <cell r="D124" t="str">
            <v>自身に対するゴッド種族の敵からの攻撃を25％軽減</v>
          </cell>
        </row>
        <row r="125">
          <cell r="A125">
            <v>618</v>
          </cell>
          <cell r="B125" t="str">
            <v>ja</v>
          </cell>
          <cell r="C125" t="str">
            <v>赤属性耐性8</v>
          </cell>
          <cell r="D125" t="str">
            <v>自身に対する赤属性の敵からの攻撃を8%軽減</v>
          </cell>
        </row>
        <row r="126">
          <cell r="A126">
            <v>619</v>
          </cell>
          <cell r="B126" t="str">
            <v>ja</v>
          </cell>
          <cell r="C126" t="str">
            <v>青属性耐性8</v>
          </cell>
          <cell r="D126" t="str">
            <v>自身に対する青属性の敵からの攻撃を8%軽減</v>
          </cell>
        </row>
        <row r="127">
          <cell r="A127">
            <v>620</v>
          </cell>
          <cell r="B127" t="str">
            <v>ja</v>
          </cell>
          <cell r="C127" t="str">
            <v>緑属性耐性8</v>
          </cell>
          <cell r="D127" t="str">
            <v>自身に対する緑属性の敵からの攻撃を8%軽減</v>
          </cell>
        </row>
        <row r="128">
          <cell r="A128">
            <v>621</v>
          </cell>
          <cell r="B128" t="str">
            <v>ja</v>
          </cell>
          <cell r="C128" t="str">
            <v>黄属性耐性8</v>
          </cell>
          <cell r="D128" t="str">
            <v>自身に対する黄属性の敵からの攻撃を8%軽減</v>
          </cell>
        </row>
        <row r="129">
          <cell r="A129">
            <v>622</v>
          </cell>
          <cell r="B129" t="str">
            <v>ja</v>
          </cell>
          <cell r="C129" t="str">
            <v>赤・青属性耐性15</v>
          </cell>
          <cell r="D129" t="str">
            <v>自身に対する赤・青属性の敵からの攻撃を15%軽減</v>
          </cell>
        </row>
        <row r="130">
          <cell r="A130">
            <v>700</v>
          </cell>
          <cell r="B130" t="str">
            <v>ja</v>
          </cell>
          <cell r="C130" t="str">
            <v>フロア 回復</v>
          </cell>
          <cell r="D130" t="str">
            <v>全フロアの1ターン目終了時にパーティの合計HPの20％を回復する</v>
          </cell>
        </row>
        <row r="131">
          <cell r="A131">
            <v>701</v>
          </cell>
          <cell r="B131" t="str">
            <v>ja</v>
          </cell>
          <cell r="C131" t="str">
            <v>フロア 防御力アップ</v>
          </cell>
          <cell r="D131" t="str">
            <v>全フロアの1ターン目終了時に全ユニットの防御力を1ターン400UP</v>
          </cell>
        </row>
        <row r="132">
          <cell r="A132">
            <v>800</v>
          </cell>
          <cell r="B132" t="str">
            <v>ja</v>
          </cell>
          <cell r="C132" t="str">
            <v>パネルブレイク30 攻撃力UP</v>
          </cell>
          <cell r="D132" t="str">
            <v>自身が先頭の時、1ターンの間に合計30個以上パネルを破壊した場合に攻撃力UP</v>
          </cell>
        </row>
        <row r="133">
          <cell r="A133">
            <v>801</v>
          </cell>
          <cell r="B133" t="str">
            <v>ja</v>
          </cell>
          <cell r="C133" t="str">
            <v>パネルブレイク30 回復力UP</v>
          </cell>
          <cell r="D133" t="str">
            <v>自身が先頭の時、1ターンの間に合計30個以上パネルを破壊した場合に回復力UP</v>
          </cell>
        </row>
        <row r="134">
          <cell r="A134">
            <v>802</v>
          </cell>
          <cell r="B134" t="str">
            <v>ja</v>
          </cell>
          <cell r="C134" t="str">
            <v>パネルブレイク30 防御力小UP</v>
          </cell>
          <cell r="D134" t="str">
            <v>自身が先頭の時、1ターンの間に合計30個以上パネルを破壊した場合に防御力小UP</v>
          </cell>
        </row>
        <row r="135">
          <cell r="A135">
            <v>803</v>
          </cell>
          <cell r="B135" t="str">
            <v>ja</v>
          </cell>
          <cell r="C135" t="str">
            <v>パネルブレイク30 防御力UP</v>
          </cell>
          <cell r="D135" t="str">
            <v>自身が先頭の時、1ターンの間に合計30個以上パネルを破壊した場合に防御力UP</v>
          </cell>
        </row>
        <row r="136">
          <cell r="A136">
            <v>804</v>
          </cell>
          <cell r="B136" t="str">
            <v>ja</v>
          </cell>
          <cell r="C136" t="str">
            <v>パネルブレイク30 防御力大UP</v>
          </cell>
          <cell r="D136" t="str">
            <v>自身が先頭の時、1ターンの間に合計30個以上パネルを破壊した場合に防御力大UP</v>
          </cell>
        </row>
        <row r="137">
          <cell r="A137">
            <v>805</v>
          </cell>
          <cell r="B137" t="str">
            <v>ja</v>
          </cell>
          <cell r="C137" t="str">
            <v>パネルブレイク30 防御力特大UP</v>
          </cell>
          <cell r="D137" t="str">
            <v>自身が先頭の時、1ターンの間に合計30個以上パネルを破壊した場合に防御力特大UP</v>
          </cell>
        </row>
        <row r="138">
          <cell r="A138">
            <v>806</v>
          </cell>
          <cell r="B138" t="str">
            <v>ja</v>
          </cell>
          <cell r="C138" t="str">
            <v>ボムブレイク10 防御力UP</v>
          </cell>
          <cell r="D138" t="str">
            <v>自身または味方が1ターンの間に合計10個以上ボムパネルを破壊した場合に防御力UP</v>
          </cell>
        </row>
        <row r="139">
          <cell r="A139">
            <v>807</v>
          </cell>
          <cell r="B139" t="str">
            <v>ja</v>
          </cell>
          <cell r="C139" t="str">
            <v>パネル18 破壊フィーバーゲージ上昇</v>
          </cell>
          <cell r="D139" t="str">
            <v>自身が先頭の時、1ターンの間に合計18個以上パネルを破壊した場合にフィーバーゲージ上昇</v>
          </cell>
        </row>
        <row r="140">
          <cell r="A140">
            <v>808</v>
          </cell>
          <cell r="B140" t="str">
            <v>ja</v>
          </cell>
          <cell r="C140" t="str">
            <v>パネルブレイク40 防御力UP</v>
          </cell>
          <cell r="D140" t="str">
            <v>自身が先頭の時、1ターンの間に合計40個以上パネルを破壊した場合に青属性ユニットの防御力を400UP</v>
          </cell>
        </row>
        <row r="141">
          <cell r="A141">
            <v>809</v>
          </cell>
          <cell r="B141" t="str">
            <v>ja</v>
          </cell>
          <cell r="C141" t="str">
            <v>パネルブレイク40 攻撃力UP</v>
          </cell>
          <cell r="D141" t="str">
            <v>自身が先頭の時、1ターンの間に合計40個以上パネルを破壊した場合に攻撃力UP</v>
          </cell>
        </row>
        <row r="142">
          <cell r="A142">
            <v>810</v>
          </cell>
          <cell r="B142" t="str">
            <v>ja</v>
          </cell>
          <cell r="C142" t="str">
            <v>パネルブレイク40 攻撃力小UP</v>
          </cell>
          <cell r="D142" t="str">
            <v>自身が先頭の時、1ターンの間に合計40個以上パネルを破壊した場合に攻撃力小UP</v>
          </cell>
        </row>
        <row r="143">
          <cell r="A143">
            <v>811</v>
          </cell>
          <cell r="B143" t="str">
            <v>ja</v>
          </cell>
          <cell r="C143" t="str">
            <v>パネルブレイク30 攻撃力小UP</v>
          </cell>
          <cell r="D143" t="str">
            <v>自身が先頭の時、1ターンの間に合計30個以上パネルを破壊した場合に攻撃力小UP</v>
          </cell>
        </row>
        <row r="144">
          <cell r="A144">
            <v>812</v>
          </cell>
          <cell r="B144" t="str">
            <v>ja</v>
          </cell>
          <cell r="C144" t="str">
            <v>パネルブレイク40 HP小回復</v>
          </cell>
          <cell r="D144" t="str">
            <v>自身が先頭の時、1ターンの間に合計40個以上パネルを破壊した場合にターン終了時HP小回復</v>
          </cell>
        </row>
        <row r="145">
          <cell r="A145">
            <v>813</v>
          </cell>
          <cell r="B145" t="str">
            <v>ja</v>
          </cell>
          <cell r="C145" t="str">
            <v>パネルブレイク100 攻撃力UP</v>
          </cell>
          <cell r="D145" t="str">
            <v>自身が先頭の時、1ターンの間に合計100個以上パネルを破壊した場合に攻撃力2140UP</v>
          </cell>
        </row>
        <row r="146">
          <cell r="A146">
            <v>814</v>
          </cell>
          <cell r="B146" t="str">
            <v>ja</v>
          </cell>
          <cell r="C146" t="str">
            <v>パネルブレイク50 タップ回数UP</v>
          </cell>
          <cell r="D146" t="str">
            <v>自身が先頭の時、1ターンの間に合計50個以上パネルを破壊した場合にタップ回数を1回増やす</v>
          </cell>
        </row>
        <row r="147">
          <cell r="A147">
            <v>815</v>
          </cell>
          <cell r="B147" t="str">
            <v>ja</v>
          </cell>
          <cell r="C147" t="str">
            <v>パネルブレイク50 HP回復</v>
          </cell>
          <cell r="D147" t="str">
            <v>自身が先頭の時、1ターンの間に合計50個以上パネルを破壊した場合にターン終了時HP回復</v>
          </cell>
        </row>
        <row r="148">
          <cell r="A148">
            <v>816</v>
          </cell>
          <cell r="B148" t="str">
            <v>ja</v>
          </cell>
          <cell r="C148" t="str">
            <v>ボムブレイク10 黄属性攻撃力UP</v>
          </cell>
          <cell r="D148" t="str">
            <v>自身または味方が1ターンの間に合計10個以上ボムパネルを破壊した場合に黄属性ユニットの攻撃力UP</v>
          </cell>
        </row>
        <row r="149">
          <cell r="A149">
            <v>817</v>
          </cell>
          <cell r="B149" t="str">
            <v>ja</v>
          </cell>
          <cell r="C149" t="str">
            <v>パネルブレイク50 生成短縮激烈</v>
          </cell>
          <cell r="D149" t="str">
            <v>自身が先頭の時、1ターンの間に合計50個以上パネルを破壊した場合にCパネル生成に必要なチェイン数を12短縮する</v>
          </cell>
        </row>
        <row r="150">
          <cell r="A150">
            <v>818</v>
          </cell>
          <cell r="B150" t="str">
            <v>ja</v>
          </cell>
          <cell r="C150" t="str">
            <v>パネルブレイク33 赤･緑属性防御UP</v>
          </cell>
          <cell r="D150" t="str">
            <v>自身が先頭の時、1ターンの間に合計33個以上パネルを破壊した場合に赤・緑属性の防御力を330UP</v>
          </cell>
        </row>
        <row r="151">
          <cell r="A151">
            <v>819</v>
          </cell>
          <cell r="B151" t="str">
            <v>ja</v>
          </cell>
          <cell r="C151" t="str">
            <v>パネルブレイク25 回復力UP</v>
          </cell>
          <cell r="D151" t="str">
            <v>自身が先頭の時、1ターンの間に合計25個以上パネルを破壊した場合に回復力UP</v>
          </cell>
        </row>
        <row r="152">
          <cell r="A152">
            <v>820</v>
          </cell>
          <cell r="B152" t="str">
            <v>ja</v>
          </cell>
          <cell r="C152" t="str">
            <v>パネルブレイク90 タップ回数UP</v>
          </cell>
          <cell r="D152" t="str">
            <v>自身が先頭の時、1ターンの間に合計90個以上パネルを破壊した場合にタップ回数を1回増やす</v>
          </cell>
        </row>
        <row r="153">
          <cell r="A153">
            <v>821</v>
          </cell>
          <cell r="B153" t="str">
            <v>ja</v>
          </cell>
          <cell r="C153" t="str">
            <v>パネルブレイク80 攻撃力特大UP</v>
          </cell>
          <cell r="D153" t="str">
            <v>自身が先頭の時、1ターンの間に合計80個以上パネルを破壊した場合に攻撃力特大UP</v>
          </cell>
        </row>
        <row r="154">
          <cell r="A154">
            <v>822</v>
          </cell>
          <cell r="B154" t="str">
            <v>ja</v>
          </cell>
          <cell r="C154" t="str">
            <v>パネルブレイク35 CP生成短縮(特大)</v>
          </cell>
          <cell r="D154" t="str">
            <v>自身または、味方が1ターンの間に合計35個以上パネルを破壊した場合に先頭ユニットのCパネル生成短縮(効果特大)(1ターンに1度だけ発動)</v>
          </cell>
        </row>
        <row r="155">
          <cell r="A155">
            <v>823</v>
          </cell>
          <cell r="B155" t="str">
            <v>ja</v>
          </cell>
          <cell r="C155" t="str">
            <v>パネルブレイク100 タップ回数UP</v>
          </cell>
          <cell r="D155" t="str">
            <v>自身が先頭の時、1ターンの間に合計100個以上パネルを破壊した場合にタップ回数を1回増やす</v>
          </cell>
        </row>
        <row r="156">
          <cell r="A156">
            <v>824</v>
          </cell>
          <cell r="B156" t="str">
            <v>ja</v>
          </cell>
          <cell r="C156" t="str">
            <v>パネルブレイク40 CP生成短縮(特大)</v>
          </cell>
          <cell r="D156" t="str">
            <v>自身または、味方が1ターンの間に合計40個以上パネル破壊した場合に先頭ユニットのCP生成短縮(特大)(1ターンに1度だけ発動)</v>
          </cell>
        </row>
        <row r="157">
          <cell r="A157">
            <v>830</v>
          </cell>
          <cell r="B157" t="str">
            <v>ja</v>
          </cell>
          <cell r="C157" t="str">
            <v>パネルブレイク40 ウィルス解除</v>
          </cell>
          <cell r="D157" t="str">
            <v>自身または、味方が1ターンの間に合計40個以上パネル破壊した場合に全ユニットウィルス解除(1ターンに1度だけ発動)</v>
          </cell>
        </row>
        <row r="158">
          <cell r="A158">
            <v>900</v>
          </cell>
          <cell r="B158" t="str">
            <v>ja</v>
          </cell>
          <cell r="C158" t="str">
            <v>チェイン12 攻撃力UP</v>
          </cell>
          <cell r="D158" t="str">
            <v>自身が先頭の時、1タップで12個以上パネルを繋げた場合に攻撃力UP(1ターンに1度だけ発動)</v>
          </cell>
        </row>
        <row r="159">
          <cell r="A159">
            <v>901</v>
          </cell>
          <cell r="B159" t="str">
            <v>ja</v>
          </cell>
          <cell r="C159" t="str">
            <v>チェイン12 回復力UP</v>
          </cell>
          <cell r="D159" t="str">
            <v>自身が先頭の時、1タップで12個以上パネルを繋げた場合に回復力UP(1ターンに1度だけ発動)</v>
          </cell>
        </row>
        <row r="160">
          <cell r="A160">
            <v>902</v>
          </cell>
          <cell r="B160" t="str">
            <v>ja</v>
          </cell>
          <cell r="C160" t="str">
            <v>チェイン12 タップ回数UP</v>
          </cell>
          <cell r="D160" t="str">
            <v>自身が先頭の時、1タップで12個以上パネルを繋げた場合にタップ回数を1回増やす(1ターンに1度だけ発動)</v>
          </cell>
        </row>
        <row r="161">
          <cell r="A161">
            <v>903</v>
          </cell>
          <cell r="B161" t="str">
            <v>ja</v>
          </cell>
          <cell r="C161" t="str">
            <v>チェイン18 スキルゲージUP</v>
          </cell>
          <cell r="D161" t="str">
            <v>自身が先頭の時、1タップで18個以上パネルを繋げた場合に自身のスキルゲージを1増やす(1ターンに1度だけ発動)</v>
          </cell>
        </row>
        <row r="162">
          <cell r="A162">
            <v>904</v>
          </cell>
          <cell r="B162" t="str">
            <v>ja</v>
          </cell>
          <cell r="C162" t="str">
            <v>チェイン17 回復力UP</v>
          </cell>
          <cell r="D162" t="str">
            <v>自身が先頭の時、1タップで17個以上パネルを繋げた場合に自身の回復力を2017UP(1ターンに1度だけ発動)</v>
          </cell>
        </row>
        <row r="163">
          <cell r="A163">
            <v>905</v>
          </cell>
          <cell r="B163" t="str">
            <v>ja</v>
          </cell>
          <cell r="C163" t="str">
            <v>チェイン12 攻撃力小UP</v>
          </cell>
          <cell r="D163" t="str">
            <v>自身が先頭の時、1タップで12個以上パネルを繋げた場合に攻撃力小UP(1ターンに1度だけ発動)</v>
          </cell>
        </row>
        <row r="164">
          <cell r="A164">
            <v>906</v>
          </cell>
          <cell r="B164" t="str">
            <v>ja</v>
          </cell>
          <cell r="C164" t="str">
            <v>チェイン14 回復力小UP</v>
          </cell>
          <cell r="D164" t="str">
            <v>自身が先頭の時、1タップで14個以上パネルを繋げた場合に回復力小UP(1ターンに1度だけ発動)</v>
          </cell>
        </row>
        <row r="165">
          <cell r="A165">
            <v>907</v>
          </cell>
          <cell r="B165" t="str">
            <v>ja</v>
          </cell>
          <cell r="C165" t="str">
            <v>チェイン14 攻撃力UP</v>
          </cell>
          <cell r="D165" t="str">
            <v>自身が先頭の時、1タップで14個以上パネルを繋げた場合に攻撃力UP(1ターンに1度だけ発動)</v>
          </cell>
        </row>
        <row r="166">
          <cell r="A166">
            <v>908</v>
          </cell>
          <cell r="B166" t="str">
            <v>ja</v>
          </cell>
          <cell r="C166" t="str">
            <v>チェイン16 黄属性防御力UP</v>
          </cell>
          <cell r="D166" t="str">
            <v>自身が先頭の時、1タップで16個以上パネルを繋げた場合に黄属性ユニットの防御力UP(1ターンに1度だけ発動)</v>
          </cell>
        </row>
        <row r="167">
          <cell r="A167">
            <v>909</v>
          </cell>
          <cell r="B167" t="str">
            <v>ja</v>
          </cell>
          <cell r="C167" t="str">
            <v>チェイン30 Cパネル生成短縮(激烈)</v>
          </cell>
          <cell r="D167" t="str">
            <v>自身が先頭の時、1タップで30個以上パネルを繋げた場合にCパネル生成短縮(効果激烈)(1ターンに1度だけ発動)</v>
          </cell>
        </row>
        <row r="168">
          <cell r="A168">
            <v>910</v>
          </cell>
          <cell r="B168" t="str">
            <v>ja</v>
          </cell>
          <cell r="C168" t="str">
            <v>チェイン18 HP回復</v>
          </cell>
          <cell r="D168" t="str">
            <v>自身が先頭の時、1タップで18個以上パネルを繋げた場合にHPを2500回復(1ターンに1度だけ発動)</v>
          </cell>
        </row>
        <row r="169">
          <cell r="A169">
            <v>911</v>
          </cell>
          <cell r="B169" t="str">
            <v>ja</v>
          </cell>
          <cell r="C169" t="str">
            <v>チェイン24 ダメージ軽減</v>
          </cell>
          <cell r="D169" t="str">
            <v>自身が先頭の時、1タップで24個以上パネルを繋げた場合に敵からのダメージを15％軽減(1ターンに1度だけ発動)</v>
          </cell>
        </row>
        <row r="170">
          <cell r="A170">
            <v>912</v>
          </cell>
          <cell r="B170" t="str">
            <v>ja</v>
          </cell>
          <cell r="C170" t="str">
            <v>チェイン22 スキルゲージUP</v>
          </cell>
          <cell r="D170" t="str">
            <v>自身が先頭の時、1タップで22個以上パネルを繋げた場合に自身のスキルゲージを1増やす(1ターンに1度だけ発動)</v>
          </cell>
        </row>
        <row r="171">
          <cell r="A171">
            <v>913</v>
          </cell>
          <cell r="B171" t="str">
            <v>ja</v>
          </cell>
          <cell r="C171" t="str">
            <v>チェイン26 Cパネル生成短縮(特大)</v>
          </cell>
          <cell r="D171" t="str">
            <v>自身または、味方が1タップで26個以上パネルを繋げた場合に先頭ユニットのCパネル生成短縮(効果特大)(1ターンに1度だけ発動)</v>
          </cell>
        </row>
        <row r="172">
          <cell r="A172">
            <v>914</v>
          </cell>
          <cell r="B172" t="str">
            <v>ja</v>
          </cell>
          <cell r="C172" t="str">
            <v>チェイン14 スキルバインド解除</v>
          </cell>
          <cell r="D172" t="str">
            <v>自身が先頭の時、1タップで14個以上パネルを繋げた場合にスキルバインドを解除する</v>
          </cell>
        </row>
        <row r="173">
          <cell r="A173">
            <v>915</v>
          </cell>
          <cell r="B173" t="str">
            <v>ja</v>
          </cell>
          <cell r="C173" t="str">
            <v>チェイン16 スキルゲージUP</v>
          </cell>
          <cell r="D173" t="str">
            <v>自身が先頭の時、1タップで16個以上パネルを繋げた場合に自身のスキルゲージを1増やす(1ターンに1度だけ発動)</v>
          </cell>
        </row>
        <row r="174">
          <cell r="A174">
            <v>916</v>
          </cell>
          <cell r="B174" t="str">
            <v>ja</v>
          </cell>
          <cell r="C174" t="str">
            <v>チェイン14 黄属性防御力UP</v>
          </cell>
          <cell r="D174" t="str">
            <v>自身が先頭の時、1タップで14個以上パネルを繋げた場合に黄属性ユニットの防御力UP(1ターンに1度だけ発動)</v>
          </cell>
        </row>
        <row r="175">
          <cell r="A175">
            <v>1100</v>
          </cell>
          <cell r="B175" t="str">
            <v>ja</v>
          </cell>
          <cell r="C175" t="str">
            <v>Cパネル生成短縮</v>
          </cell>
          <cell r="D175" t="str">
            <v>自身が先頭の時、Cパネル生成に必要なチェイン数を1短縮する</v>
          </cell>
        </row>
        <row r="176">
          <cell r="A176">
            <v>1101</v>
          </cell>
          <cell r="B176" t="str">
            <v>ja</v>
          </cell>
          <cell r="C176" t="str">
            <v>Cパネル生成短縮(大)</v>
          </cell>
          <cell r="D176" t="str">
            <v>自身が先頭の時、Cパネル生成に必要なチェイン数を2短縮する</v>
          </cell>
        </row>
        <row r="177">
          <cell r="A177">
            <v>1200</v>
          </cell>
          <cell r="B177" t="str">
            <v>ja</v>
          </cell>
          <cell r="C177" t="str">
            <v>フィーバー攻撃UP</v>
          </cell>
          <cell r="D177" t="str">
            <v>自身が先頭の時、フィーバー発動時に緑属性の攻撃力と回復力UP</v>
          </cell>
        </row>
        <row r="178">
          <cell r="A178">
            <v>1300</v>
          </cell>
          <cell r="B178" t="str">
            <v>ja</v>
          </cell>
          <cell r="C178" t="str">
            <v>チェイン12 HP回復</v>
          </cell>
          <cell r="D178" t="str">
            <v>自身が先頭の時、1タップで12個以上パネルを繋げた場合にHPを2000回復(1ターンに1度だけ発動)</v>
          </cell>
        </row>
        <row r="179">
          <cell r="A179">
            <v>1400</v>
          </cell>
          <cell r="B179" t="str">
            <v>ja</v>
          </cell>
          <cell r="C179" t="str">
            <v>カウンター威力UP</v>
          </cell>
          <cell r="D179" t="str">
            <v>4ターン毎に自身のカウンタースキルの威力が1ターンの間UP</v>
          </cell>
        </row>
        <row r="180">
          <cell r="A180">
            <v>1500</v>
          </cell>
          <cell r="B180" t="str">
            <v>ja</v>
          </cell>
          <cell r="C180" t="str">
            <v>バリア15000</v>
          </cell>
          <cell r="D180" t="str">
            <v>戦闘開始時に、自身への直接ダメージを15000まで防ぐバリアを一度だけ展開(バリアは破壊されると復活しない)</v>
          </cell>
        </row>
        <row r="181">
          <cell r="A181">
            <v>1501</v>
          </cell>
          <cell r="B181" t="str">
            <v>ja</v>
          </cell>
          <cell r="C181" t="str">
            <v>バリア</v>
          </cell>
          <cell r="D181" t="str">
            <v>戦闘開始時に、ダメージを25000まで防ぐバリアを一度だけ展開</v>
          </cell>
        </row>
        <row r="182">
          <cell r="A182">
            <v>1502</v>
          </cell>
          <cell r="B182" t="str">
            <v>ja</v>
          </cell>
          <cell r="C182" t="str">
            <v>バリア</v>
          </cell>
          <cell r="D182" t="str">
            <v>戦闘開始時に、ダメージを50000まで防ぐバリアを一度だけ展開</v>
          </cell>
        </row>
        <row r="183">
          <cell r="A183">
            <v>1503</v>
          </cell>
          <cell r="B183" t="str">
            <v>ja</v>
          </cell>
          <cell r="C183" t="str">
            <v>バリア8000</v>
          </cell>
          <cell r="D183" t="str">
            <v>戦闘開始時に、自身への直接ダメージを8000まで防ぐバリアを一度だけ展開(バリアは破壊されると復活しない)</v>
          </cell>
        </row>
        <row r="184">
          <cell r="A184">
            <v>1504</v>
          </cell>
          <cell r="B184" t="str">
            <v>ja</v>
          </cell>
          <cell r="C184" t="str">
            <v>バリア10000</v>
          </cell>
          <cell r="D184" t="str">
            <v>戦闘開始時に、自身への直接ダメージを10000まで防ぐバリアを一度だけ展開(バリアは破壊されると復活しない)</v>
          </cell>
        </row>
        <row r="185">
          <cell r="A185">
            <v>1505</v>
          </cell>
          <cell r="B185" t="str">
            <v>ja</v>
          </cell>
          <cell r="C185" t="str">
            <v>バリア3939</v>
          </cell>
          <cell r="D185" t="str">
            <v>戦闘開始時に、自身への直接ダメージを3939まで防ぐバリアを一度だけ展開(バリアは破壊されると復活しない)</v>
          </cell>
        </row>
        <row r="186">
          <cell r="A186">
            <v>1600</v>
          </cell>
          <cell r="B186" t="str">
            <v>ja</v>
          </cell>
          <cell r="C186" t="str">
            <v>攻撃力・回復力UP</v>
          </cell>
          <cell r="D186" t="str">
            <v>自身の攻撃力と回復力をUP</v>
          </cell>
        </row>
        <row r="187">
          <cell r="A187">
            <v>1700</v>
          </cell>
          <cell r="B187" t="str">
            <v>ja</v>
          </cell>
          <cell r="C187" t="str">
            <v>パネルブレイク30 ターンHP小回復</v>
          </cell>
          <cell r="D187" t="str">
            <v>自身が先頭の時、1ターンの間に合計30個以上パネルを破壊した場合に1ターン HP小回復</v>
          </cell>
        </row>
        <row r="188">
          <cell r="A188">
            <v>1800</v>
          </cell>
          <cell r="B188" t="str">
            <v>ja</v>
          </cell>
          <cell r="C188" t="str">
            <v>フィーバー強化</v>
          </cell>
          <cell r="D188" t="str">
            <v>フィーバー時自身の攻撃力、回復力を特大UP</v>
          </cell>
        </row>
        <row r="189">
          <cell r="A189">
            <v>1900</v>
          </cell>
          <cell r="B189" t="str">
            <v>ja</v>
          </cell>
          <cell r="C189" t="str">
            <v>ハート出現率UP</v>
          </cell>
          <cell r="D189" t="str">
            <v>自身が先頭の時、ハートパネルの出現率UP</v>
          </cell>
        </row>
        <row r="190">
          <cell r="A190">
            <v>2000</v>
          </cell>
          <cell r="B190" t="str">
            <v>ja</v>
          </cell>
          <cell r="C190" t="str">
            <v>赤パネル出現率UP</v>
          </cell>
          <cell r="D190" t="str">
            <v>自身が先頭の時、赤パネルの出現率UP</v>
          </cell>
        </row>
        <row r="191">
          <cell r="A191">
            <v>2100</v>
          </cell>
          <cell r="B191" t="str">
            <v>ja</v>
          </cell>
          <cell r="C191" t="str">
            <v>緑パネル出現率UP</v>
          </cell>
          <cell r="D191" t="str">
            <v>自身が先頭の時、緑パネルの出現率UP</v>
          </cell>
        </row>
        <row r="192">
          <cell r="A192">
            <v>2101</v>
          </cell>
          <cell r="B192" t="str">
            <v>ja</v>
          </cell>
          <cell r="C192" t="str">
            <v>緑パネル出現率UP</v>
          </cell>
          <cell r="D192" t="str">
            <v>自身が先頭の時、緑パネルの出現率UP</v>
          </cell>
        </row>
        <row r="193">
          <cell r="A193">
            <v>2200</v>
          </cell>
          <cell r="B193" t="str">
            <v>ja</v>
          </cell>
          <cell r="C193" t="str">
            <v>青パネル出現率UP</v>
          </cell>
          <cell r="D193" t="str">
            <v>自身が先頭の時、青パネルの出現率UP</v>
          </cell>
        </row>
        <row r="194">
          <cell r="A194">
            <v>2201</v>
          </cell>
          <cell r="B194" t="str">
            <v>ja</v>
          </cell>
          <cell r="C194" t="str">
            <v>青パネル出現率UP</v>
          </cell>
          <cell r="D194" t="str">
            <v>自身が先頭の時、青パネルの出現率UP</v>
          </cell>
        </row>
        <row r="195">
          <cell r="A195">
            <v>2300</v>
          </cell>
          <cell r="B195" t="str">
            <v>ja</v>
          </cell>
          <cell r="C195" t="str">
            <v>黄パネル出現率UP</v>
          </cell>
          <cell r="D195" t="str">
            <v>自身が先頭の時、黄パネルの出現率UP</v>
          </cell>
        </row>
        <row r="196">
          <cell r="A196">
            <v>2400</v>
          </cell>
          <cell r="B196" t="str">
            <v>ja</v>
          </cell>
          <cell r="C196" t="str">
            <v>ハートボムパネルドロップ</v>
          </cell>
          <cell r="D196" t="str">
            <v>自身が先頭の時、ハートパネルを確率でハートボムパネルに変換しドロップ</v>
          </cell>
        </row>
        <row r="197">
          <cell r="A197">
            <v>2401</v>
          </cell>
          <cell r="B197" t="str">
            <v>ja</v>
          </cell>
          <cell r="C197" t="str">
            <v>赤ボムパネルドロップ</v>
          </cell>
          <cell r="D197" t="str">
            <v>自身が先頭の時、赤パネルを低確率で赤ボムパネルに変換しドロップ</v>
          </cell>
        </row>
        <row r="198">
          <cell r="A198">
            <v>2402</v>
          </cell>
          <cell r="B198" t="str">
            <v>ja</v>
          </cell>
          <cell r="C198" t="str">
            <v>緑ボムパネルドロップ</v>
          </cell>
          <cell r="D198" t="str">
            <v>自身が先頭の時、緑パネルを低確率で緑ボムパネルに変換しドロップ</v>
          </cell>
        </row>
        <row r="199">
          <cell r="A199">
            <v>2403</v>
          </cell>
          <cell r="B199" t="str">
            <v>ja</v>
          </cell>
          <cell r="C199" t="str">
            <v>青ボムパネルドロップ</v>
          </cell>
          <cell r="D199" t="str">
            <v>自身が先頭の時、青パネルを確率で青ボムパネルに変換しドロップ</v>
          </cell>
        </row>
        <row r="200">
          <cell r="A200">
            <v>2500</v>
          </cell>
          <cell r="B200" t="str">
            <v>ja</v>
          </cell>
          <cell r="C200" t="str">
            <v>青パネルドロップ</v>
          </cell>
          <cell r="D200" t="str">
            <v>自身が先頭の時、緑パネルを確率で青パネルに変換しドロップ</v>
          </cell>
        </row>
        <row r="201">
          <cell r="A201">
            <v>2501</v>
          </cell>
          <cell r="B201" t="str">
            <v>ja</v>
          </cell>
          <cell r="C201" t="str">
            <v>黄パネルドロップ</v>
          </cell>
          <cell r="D201" t="str">
            <v>自身が先頭の時、青パネルを確率で黄パネルに変換しドロップ</v>
          </cell>
        </row>
        <row r="202">
          <cell r="A202">
            <v>2502</v>
          </cell>
          <cell r="B202" t="str">
            <v>ja</v>
          </cell>
          <cell r="C202" t="str">
            <v>赤パネルドロップ</v>
          </cell>
          <cell r="D202" t="str">
            <v>自身が先頭の時、黄パネルを確率で赤パネルに変換しドロップ</v>
          </cell>
        </row>
        <row r="203">
          <cell r="A203">
            <v>2503</v>
          </cell>
          <cell r="B203" t="str">
            <v>ja</v>
          </cell>
          <cell r="C203" t="str">
            <v>黄パネルドロップ</v>
          </cell>
          <cell r="D203" t="str">
            <v>自身が先頭の時、赤パネルを確率で黄パネルに変換しドロップ</v>
          </cell>
        </row>
        <row r="204">
          <cell r="A204">
            <v>2504</v>
          </cell>
          <cell r="B204" t="str">
            <v>ja</v>
          </cell>
          <cell r="C204" t="str">
            <v>SCパネルドロップ</v>
          </cell>
          <cell r="D204" t="str">
            <v>自身が先頭の時、緑パネルを確率でSCパネルに変換しドロップ</v>
          </cell>
        </row>
        <row r="205">
          <cell r="A205">
            <v>2505</v>
          </cell>
          <cell r="B205" t="str">
            <v>ja</v>
          </cell>
          <cell r="C205" t="str">
            <v>緑ボムパネル(大)ドロップ</v>
          </cell>
          <cell r="D205" t="str">
            <v>自身が先頭の時、低確率で緑ボムパネル(大)をドロップ</v>
          </cell>
        </row>
        <row r="206">
          <cell r="A206">
            <v>2506</v>
          </cell>
          <cell r="B206" t="str">
            <v>ja</v>
          </cell>
          <cell r="C206" t="str">
            <v>ハートボムパネル(大)ドロップ</v>
          </cell>
          <cell r="D206" t="str">
            <v>自身が先頭の時、低確率でハートボムパネル(大)をドロップ</v>
          </cell>
        </row>
        <row r="207">
          <cell r="A207">
            <v>2507</v>
          </cell>
          <cell r="B207" t="str">
            <v>ja</v>
          </cell>
          <cell r="C207" t="str">
            <v>Cパネルドロップ</v>
          </cell>
          <cell r="D207" t="str">
            <v>自身が先頭の時、低確率でCパネルをドロップ</v>
          </cell>
        </row>
        <row r="208">
          <cell r="A208">
            <v>2508</v>
          </cell>
          <cell r="B208" t="str">
            <v>ja</v>
          </cell>
          <cell r="C208" t="str">
            <v>黄パネルドロップ</v>
          </cell>
          <cell r="D208" t="str">
            <v>自身が先頭の時、緑パネルを確率で黄パネルに変換しドロップ</v>
          </cell>
        </row>
        <row r="209">
          <cell r="A209">
            <v>2509</v>
          </cell>
          <cell r="B209" t="str">
            <v>ja</v>
          </cell>
          <cell r="C209" t="str">
            <v>赤ボムパネル(大)ドロップ</v>
          </cell>
          <cell r="D209" t="str">
            <v>自身が先頭の時、低確率で赤ボムパネル(大)をドロップ</v>
          </cell>
        </row>
        <row r="210">
          <cell r="A210">
            <v>2510</v>
          </cell>
          <cell r="B210" t="str">
            <v>ja</v>
          </cell>
          <cell r="C210" t="str">
            <v>青ボムパネル(大)ドロップ</v>
          </cell>
          <cell r="D210" t="str">
            <v>自身が先頭の時、低確率で青ボムパネル(大)をドロップ</v>
          </cell>
        </row>
        <row r="211">
          <cell r="A211">
            <v>2511</v>
          </cell>
          <cell r="B211" t="str">
            <v>ja</v>
          </cell>
          <cell r="C211" t="str">
            <v>緑ボムパネルドロップ</v>
          </cell>
          <cell r="D211" t="str">
            <v>自身が先頭の時、ハートパネルを確率で緑ボムパネルに変換しドロップ</v>
          </cell>
        </row>
        <row r="212">
          <cell r="A212">
            <v>2512</v>
          </cell>
          <cell r="B212" t="str">
            <v>ja</v>
          </cell>
          <cell r="C212" t="str">
            <v>ハートボムパネル(大)ドロップ</v>
          </cell>
          <cell r="D212" t="str">
            <v>自身が先頭の時、低確率でハートボムパネル(大)をドロップ</v>
          </cell>
        </row>
        <row r="213">
          <cell r="A213">
            <v>2513</v>
          </cell>
          <cell r="B213" t="str">
            <v>ja</v>
          </cell>
          <cell r="C213" t="str">
            <v>緑ボムパネル(大)ドロップ</v>
          </cell>
          <cell r="D213" t="str">
            <v>自身が先頭の時、低確率で緑ボムパネル(大)をドロップ</v>
          </cell>
        </row>
        <row r="214">
          <cell r="A214">
            <v>2600</v>
          </cell>
          <cell r="B214" t="str">
            <v>ja</v>
          </cell>
          <cell r="C214" t="str">
            <v>回復力400UP</v>
          </cell>
          <cell r="D214" t="str">
            <v>自身の回復力を400UP</v>
          </cell>
        </row>
        <row r="215">
          <cell r="A215">
            <v>2601</v>
          </cell>
          <cell r="B215" t="str">
            <v>ja</v>
          </cell>
          <cell r="C215" t="str">
            <v>回復力300UP</v>
          </cell>
          <cell r="D215" t="str">
            <v>自身の回復力を300UP</v>
          </cell>
        </row>
        <row r="216">
          <cell r="A216">
            <v>2700</v>
          </cell>
          <cell r="B216" t="str">
            <v>ja</v>
          </cell>
          <cell r="C216" t="str">
            <v>攻撃力UP</v>
          </cell>
          <cell r="D216" t="str">
            <v>自身の攻撃力を300UP</v>
          </cell>
        </row>
        <row r="217">
          <cell r="A217">
            <v>2701</v>
          </cell>
          <cell r="B217" t="str">
            <v>ja</v>
          </cell>
          <cell r="C217" t="str">
            <v>攻撃力UP</v>
          </cell>
          <cell r="D217" t="str">
            <v>自身の攻撃力を500UP</v>
          </cell>
        </row>
        <row r="218">
          <cell r="A218">
            <v>2800</v>
          </cell>
          <cell r="B218" t="str">
            <v>ja</v>
          </cell>
          <cell r="C218" t="str">
            <v>防御力UP</v>
          </cell>
          <cell r="D218" t="str">
            <v>自身の防御力を250UP</v>
          </cell>
        </row>
        <row r="219">
          <cell r="A219">
            <v>2801</v>
          </cell>
          <cell r="B219" t="str">
            <v>ja</v>
          </cell>
          <cell r="C219" t="str">
            <v>防御力UP</v>
          </cell>
          <cell r="D219" t="str">
            <v>自身の防御力を350UP</v>
          </cell>
        </row>
        <row r="220">
          <cell r="A220">
            <v>2802</v>
          </cell>
          <cell r="B220" t="str">
            <v>ja</v>
          </cell>
          <cell r="C220" t="str">
            <v>防御力UP</v>
          </cell>
          <cell r="D220" t="str">
            <v>自身の防御力を300UP</v>
          </cell>
        </row>
        <row r="221">
          <cell r="A221">
            <v>2803</v>
          </cell>
          <cell r="B221" t="str">
            <v>ja</v>
          </cell>
          <cell r="C221" t="str">
            <v>防御力UP</v>
          </cell>
          <cell r="D221" t="str">
            <v>自身の防御力を400UP</v>
          </cell>
        </row>
        <row r="222">
          <cell r="A222">
            <v>2804</v>
          </cell>
          <cell r="B222" t="str">
            <v>ja</v>
          </cell>
          <cell r="C222" t="str">
            <v>防御力UP</v>
          </cell>
          <cell r="D222" t="str">
            <v>自身の防御力を280UP</v>
          </cell>
        </row>
        <row r="223">
          <cell r="A223">
            <v>2900</v>
          </cell>
          <cell r="B223" t="str">
            <v>ja</v>
          </cell>
          <cell r="C223" t="str">
            <v>フィーバー50 攻撃力小UP</v>
          </cell>
          <cell r="D223" t="str">
            <v>フィーバーゲージが50％以上の時、自身の攻撃力小UP</v>
          </cell>
        </row>
        <row r="224">
          <cell r="A224">
            <v>2901</v>
          </cell>
          <cell r="B224" t="str">
            <v>ja</v>
          </cell>
          <cell r="C224" t="str">
            <v>フィーバー40 攻撃力UP</v>
          </cell>
          <cell r="D224" t="str">
            <v>フィーバーゲージが40％以上の時、自身の攻撃力UP</v>
          </cell>
        </row>
        <row r="225">
          <cell r="A225">
            <v>2902</v>
          </cell>
          <cell r="B225" t="str">
            <v>ja</v>
          </cell>
          <cell r="C225" t="str">
            <v>フィーバー80 攻撃力大UP</v>
          </cell>
          <cell r="D225" t="str">
            <v>フィーバーゲージが80％以上の時、自身の攻撃力大UP</v>
          </cell>
        </row>
        <row r="226">
          <cell r="A226">
            <v>2903</v>
          </cell>
          <cell r="B226" t="str">
            <v>ja</v>
          </cell>
          <cell r="C226" t="str">
            <v>フィーバー100 攻撃参加</v>
          </cell>
          <cell r="D226" t="str">
            <v>フィーバーゲージが100％の時、自身が先頭以外でも通常攻撃に参加する</v>
          </cell>
        </row>
        <row r="227">
          <cell r="A227">
            <v>3000</v>
          </cell>
          <cell r="B227" t="str">
            <v>ja</v>
          </cell>
          <cell r="C227" t="str">
            <v>攻撃参加</v>
          </cell>
          <cell r="D227" t="str">
            <v>最初の1ターン目と、その後7ターン毎に自身が先頭以外でも通常攻撃に参加する</v>
          </cell>
        </row>
        <row r="228">
          <cell r="A228">
            <v>3001</v>
          </cell>
          <cell r="B228" t="str">
            <v>ja</v>
          </cell>
          <cell r="C228" t="str">
            <v>攻撃参加</v>
          </cell>
          <cell r="D228" t="str">
            <v>最初の1ターン目と、その後6ターン毎に自身が先頭以外でも通常攻撃に参加する</v>
          </cell>
        </row>
        <row r="229">
          <cell r="A229">
            <v>3002</v>
          </cell>
          <cell r="B229" t="str">
            <v>ja</v>
          </cell>
          <cell r="C229" t="str">
            <v>攻撃参加</v>
          </cell>
          <cell r="D229" t="str">
            <v>最初の1ターン目と、その後9ターン毎に自身が先頭以外でも通常攻撃に参加する</v>
          </cell>
        </row>
        <row r="230">
          <cell r="A230">
            <v>3100</v>
          </cell>
          <cell r="B230" t="str">
            <v>ja</v>
          </cell>
          <cell r="C230" t="str">
            <v>ボスフロア Cパネル生成短縮(特大)</v>
          </cell>
          <cell r="D230" t="str">
            <v>ボスフロア内で自身が先頭の時、Cパネル生成に必要なチェイン数を短縮する</v>
          </cell>
        </row>
        <row r="231">
          <cell r="A231">
            <v>3101</v>
          </cell>
          <cell r="B231" t="str">
            <v>ja</v>
          </cell>
          <cell r="C231" t="str">
            <v>ボスフロア時 バリア3000</v>
          </cell>
          <cell r="D231" t="str">
            <v>ボスフロア到達時に自身への直接ダメージを3000まで防ぐバリアを一度だけ展開(バリアは破壊されると復活しない)</v>
          </cell>
        </row>
        <row r="232">
          <cell r="A232">
            <v>3102</v>
          </cell>
          <cell r="B232" t="str">
            <v>ja</v>
          </cell>
          <cell r="C232" t="str">
            <v>ボスフロア時 Cスキル威力UP</v>
          </cell>
          <cell r="D232" t="str">
            <v>ボスフロアの1ターン目終了時に自身のCスキルの威力をUP</v>
          </cell>
        </row>
        <row r="233">
          <cell r="A233">
            <v>3103</v>
          </cell>
          <cell r="B233" t="str">
            <v>ja</v>
          </cell>
          <cell r="C233" t="str">
            <v>ボスフロア 攻撃力UP</v>
          </cell>
          <cell r="D233" t="str">
            <v>ボスフロア内で自身の攻撃力を700UP</v>
          </cell>
        </row>
        <row r="234">
          <cell r="A234">
            <v>3200</v>
          </cell>
          <cell r="B234" t="str">
            <v>ja</v>
          </cell>
          <cell r="C234" t="str">
            <v>HP33%以下 攻撃力UP</v>
          </cell>
          <cell r="D234" t="str">
            <v>自身が先頭の時、残りHPが33%以下で攻撃力特大UP</v>
          </cell>
        </row>
        <row r="235">
          <cell r="A235">
            <v>3201</v>
          </cell>
          <cell r="B235" t="str">
            <v>ja</v>
          </cell>
          <cell r="C235" t="str">
            <v>HP35%以下 回復力UP</v>
          </cell>
          <cell r="D235" t="str">
            <v>自身が先頭の時、残りHPが35%以下で回復力40%UP</v>
          </cell>
        </row>
        <row r="236">
          <cell r="A236">
            <v>3202</v>
          </cell>
          <cell r="B236" t="str">
            <v>ja</v>
          </cell>
          <cell r="C236" t="str">
            <v>HP90%以上 全属性耐性15</v>
          </cell>
          <cell r="D236" t="str">
            <v>自身が先頭の時、残りHPが90%以上で全ユニットに対する全属性の敵からの攻撃を15％軽減</v>
          </cell>
        </row>
        <row r="237">
          <cell r="A237">
            <v>3203</v>
          </cell>
          <cell r="B237" t="str">
            <v>ja</v>
          </cell>
          <cell r="C237" t="str">
            <v>HP50%以下 防御力UP</v>
          </cell>
          <cell r="D237" t="str">
            <v>自身が先頭の時、残りHPが50%以下で防御力398UP</v>
          </cell>
        </row>
        <row r="238">
          <cell r="A238">
            <v>3204</v>
          </cell>
          <cell r="B238" t="str">
            <v>ja</v>
          </cell>
          <cell r="C238" t="str">
            <v>HP30%以下 攻撃力大UP</v>
          </cell>
          <cell r="D238" t="str">
            <v>自身が先頭の時、残りHPが30%以下で攻撃力大UP</v>
          </cell>
        </row>
        <row r="239">
          <cell r="A239">
            <v>3205</v>
          </cell>
          <cell r="B239" t="str">
            <v>ja</v>
          </cell>
          <cell r="C239" t="str">
            <v>HP90%以上 ダメージ軽減</v>
          </cell>
          <cell r="D239" t="str">
            <v>残りHPが90%以上の時、全ユニットが敵からの攻撃を15％軽減</v>
          </cell>
        </row>
        <row r="240">
          <cell r="A240">
            <v>4000</v>
          </cell>
          <cell r="B240" t="str">
            <v>ja</v>
          </cell>
          <cell r="C240" t="str">
            <v>被ダメージ時 HP回復</v>
          </cell>
          <cell r="D240" t="str">
            <v>自身が攻撃を受けた場合、次のターンの開始時にHP500回復する</v>
          </cell>
        </row>
        <row r="241">
          <cell r="A241">
            <v>8000</v>
          </cell>
          <cell r="B241" t="str">
            <v>ja</v>
          </cell>
          <cell r="C241" t="str">
            <v>ユニットが一番右にいるとき 攻撃力UP</v>
          </cell>
          <cell r="D241" t="str">
            <v>自身が一番右にいる場合、全ユニットの攻撃力UP</v>
          </cell>
        </row>
        <row r="242">
          <cell r="A242">
            <v>8001</v>
          </cell>
          <cell r="B242" t="str">
            <v>ja</v>
          </cell>
          <cell r="C242" t="str">
            <v>敵に青属性がいる場合 小カウンター</v>
          </cell>
          <cell r="D242" t="str">
            <v>敵に青属性がいる場合、小カウンター</v>
          </cell>
        </row>
        <row r="243">
          <cell r="A243">
            <v>8002</v>
          </cell>
          <cell r="B243" t="str">
            <v>ja</v>
          </cell>
          <cell r="C243" t="str">
            <v>テスト</v>
          </cell>
          <cell r="D243" t="str">
            <v>フロアスタート時、1ターン全ユニットの攻撃力UP</v>
          </cell>
        </row>
        <row r="244">
          <cell r="A244">
            <v>8003</v>
          </cell>
          <cell r="B244" t="str">
            <v>ja</v>
          </cell>
          <cell r="C244" t="str">
            <v>HP70%以上 ウィルス無効</v>
          </cell>
          <cell r="D244" t="str">
            <v>残りHPが70%以上で自身にかかるウィルスを無効化する</v>
          </cell>
        </row>
        <row r="245">
          <cell r="A245">
            <v>9000</v>
          </cell>
          <cell r="B245" t="str">
            <v>ja</v>
          </cell>
          <cell r="C245" t="str">
            <v>ハップルチャレンジ ダメージUP</v>
          </cell>
          <cell r="D245" t="str">
            <v>ハップルチャレンジ内で自身の全ての攻撃の威力をUP</v>
          </cell>
        </row>
        <row r="246">
          <cell r="A246">
            <v>9001</v>
          </cell>
          <cell r="B246" t="str">
            <v>ja</v>
          </cell>
          <cell r="C246" t="str">
            <v>クロネッカーチャレンジ ダメージUP</v>
          </cell>
          <cell r="D246" t="str">
            <v>クロネッカーチャレンジ内で自身の全ての攻撃の威力をUP</v>
          </cell>
        </row>
        <row r="247">
          <cell r="A247">
            <v>9002</v>
          </cell>
          <cell r="B247" t="str">
            <v>ja</v>
          </cell>
          <cell r="C247" t="str">
            <v>クロネッカーチャレンジ ダメージUP</v>
          </cell>
          <cell r="D247" t="str">
            <v>クロネッカーチャレンジ内で自身の全ての攻撃+カウンターの威力をUP</v>
          </cell>
        </row>
        <row r="248">
          <cell r="A248">
            <v>119402</v>
          </cell>
          <cell r="B248" t="str">
            <v>ja</v>
          </cell>
          <cell r="C248" t="str">
            <v>ハロウィンナイトパニック！ 威力UP</v>
          </cell>
          <cell r="D248" t="str">
            <v>ハロウィンナイトパニック！内で自身の全ての攻撃の威力を究極UP</v>
          </cell>
        </row>
        <row r="249">
          <cell r="A249">
            <v>500801</v>
          </cell>
          <cell r="B249" t="str">
            <v>ja</v>
          </cell>
          <cell r="C249" t="str">
            <v>パネルブレイク35 攻撃力小UP</v>
          </cell>
          <cell r="D249" t="str">
            <v>自身が先頭の時、1ターンの間に合計35個以上パネルを破壊した場合に攻撃力小UP</v>
          </cell>
        </row>
        <row r="250">
          <cell r="A250">
            <v>808082</v>
          </cell>
          <cell r="B250" t="str">
            <v>ja</v>
          </cell>
          <cell r="C250" t="str">
            <v>Cパネルドロップ</v>
          </cell>
          <cell r="D250" t="str">
            <v>自身が先頭の時、低確率でCパネルをドロップ</v>
          </cell>
        </row>
        <row r="251">
          <cell r="A251">
            <v>900000</v>
          </cell>
          <cell r="B251" t="str">
            <v>ja</v>
          </cell>
          <cell r="C251" t="str">
            <v>フィーバー100 プロテクトブレイク</v>
          </cell>
          <cell r="D251" t="str">
            <v>フィーバーゲージが100％以上の時、1ターンプロテクトブレイク</v>
          </cell>
        </row>
        <row r="252">
          <cell r="A252">
            <v>900001</v>
          </cell>
          <cell r="B252" t="str">
            <v>ja</v>
          </cell>
          <cell r="C252" t="str">
            <v>フィーバー100 お邪魔ブレイク</v>
          </cell>
          <cell r="D252" t="str">
            <v>フィーバーゲージが100％以上の時、1ターンお邪魔ブレイク</v>
          </cell>
        </row>
        <row r="253">
          <cell r="A253">
            <v>900402</v>
          </cell>
          <cell r="B253" t="str">
            <v>ja</v>
          </cell>
          <cell r="C253" t="str">
            <v>バリア3500</v>
          </cell>
          <cell r="D253" t="str">
            <v>戦闘開始時に、自身への直接ダメージを3500まで防ぐバリアを一度だけ展開(バリアは破壊されると復活しない)</v>
          </cell>
        </row>
        <row r="254">
          <cell r="A254">
            <v>2902</v>
          </cell>
          <cell r="B254" t="str">
            <v>ja</v>
          </cell>
          <cell r="C254" t="str">
            <v>フィーバー80 攻撃力大UP</v>
          </cell>
          <cell r="D254" t="str">
            <v>フィーバーゲージが80％以上の時、自身の攻撃力大UP</v>
          </cell>
        </row>
        <row r="255">
          <cell r="A255">
            <v>2903</v>
          </cell>
          <cell r="B255" t="str">
            <v>ja</v>
          </cell>
          <cell r="C255" t="str">
            <v>フィーバー100 攻撃参加</v>
          </cell>
          <cell r="D255" t="str">
            <v>フィーバーゲージが100％の時、自身が先頭以外でも通常攻撃に参加する</v>
          </cell>
        </row>
        <row r="256">
          <cell r="A256">
            <v>2904</v>
          </cell>
          <cell r="B256" t="str">
            <v>ja</v>
          </cell>
          <cell r="C256" t="str">
            <v>フィーバー70 HP回復</v>
          </cell>
          <cell r="D256" t="str">
            <v>フィーバーゲージが70%以上の時、毎ターン終了時、HPを1500回復する</v>
          </cell>
        </row>
        <row r="257">
          <cell r="A257">
            <v>2905</v>
          </cell>
          <cell r="B257" t="str">
            <v>ja</v>
          </cell>
          <cell r="C257" t="str">
            <v>フィーバー100 Cパネル生成短縮</v>
          </cell>
          <cell r="D257" t="str">
            <v>フィーバーゲージが100％の時、全ユニットのCパネル生成に必要なチェイン数を1短縮する</v>
          </cell>
        </row>
        <row r="258">
          <cell r="A258">
            <v>2906</v>
          </cell>
          <cell r="B258" t="str">
            <v>ja</v>
          </cell>
          <cell r="C258" t="str">
            <v>フィーバー100 HP1000回復</v>
          </cell>
          <cell r="D258" t="str">
            <v>フィーバーゲージが100%以上の時、毎ターン終了時、HPを1000回復する</v>
          </cell>
        </row>
        <row r="259">
          <cell r="A259">
            <v>3000</v>
          </cell>
          <cell r="B259" t="str">
            <v>ja</v>
          </cell>
          <cell r="C259" t="str">
            <v>7ターン毎、攻撃参加</v>
          </cell>
          <cell r="D259" t="str">
            <v>最初の1ターン目と、その後7ターン毎に自身が先頭以外でも通常攻撃に参加する</v>
          </cell>
        </row>
        <row r="260">
          <cell r="A260">
            <v>3001</v>
          </cell>
          <cell r="B260" t="str">
            <v>ja</v>
          </cell>
          <cell r="C260" t="str">
            <v>6ターン毎、攻撃参加</v>
          </cell>
          <cell r="D260" t="str">
            <v>最初の1ターン目と、その後6ターン毎に自身が先頭以外でも通常攻撃に参加する</v>
          </cell>
        </row>
        <row r="261">
          <cell r="A261">
            <v>3002</v>
          </cell>
          <cell r="B261" t="str">
            <v>ja</v>
          </cell>
          <cell r="C261" t="str">
            <v>9ターン毎、攻撃参加</v>
          </cell>
          <cell r="D261" t="str">
            <v>最初の1ターン目と、その後9ターン毎に自身が先頭以外でも通常攻撃に参加する</v>
          </cell>
        </row>
        <row r="262">
          <cell r="A262">
            <v>3100</v>
          </cell>
          <cell r="B262" t="str">
            <v>ja</v>
          </cell>
          <cell r="C262" t="str">
            <v>最終フロア Cパネル生成短縮(特大)</v>
          </cell>
          <cell r="D262" t="str">
            <v>最終フロア内で自身が先頭の時、Cパネル生成に必要なチェイン数を4短縮する</v>
          </cell>
        </row>
        <row r="263">
          <cell r="A263">
            <v>3101</v>
          </cell>
          <cell r="B263" t="str">
            <v>ja</v>
          </cell>
          <cell r="C263" t="str">
            <v>最終フロア バリア3000</v>
          </cell>
          <cell r="D263" t="str">
            <v>最終フロア到達時に自身への直接ダメージを3000まで防ぐバリアを一度だけ展開(バリアは破壊されると復活しない)</v>
          </cell>
        </row>
        <row r="264">
          <cell r="A264">
            <v>3102</v>
          </cell>
          <cell r="B264" t="str">
            <v>ja</v>
          </cell>
          <cell r="C264" t="str">
            <v>最終フロア時 Cスキル威力UP</v>
          </cell>
          <cell r="D264" t="str">
            <v>最終フロアの1ターン目終了時に自身のCスキルの威力をUP</v>
          </cell>
        </row>
        <row r="265">
          <cell r="A265">
            <v>3103</v>
          </cell>
          <cell r="B265" t="str">
            <v>ja</v>
          </cell>
          <cell r="C265" t="str">
            <v>最終フロア 攻撃力UP</v>
          </cell>
          <cell r="D265" t="str">
            <v>最終フロア内で自身の攻撃力を700UP</v>
          </cell>
        </row>
        <row r="266">
          <cell r="A266">
            <v>3104</v>
          </cell>
          <cell r="B266" t="str">
            <v>ja</v>
          </cell>
          <cell r="C266" t="str">
            <v>最終フロア時 バリア5000</v>
          </cell>
          <cell r="D266" t="str">
            <v>最終フロア到達時に自身への直接ダメージを5000まで防ぐバリアを一度だけ展開(バリアは破壊されると復活しない)</v>
          </cell>
        </row>
        <row r="267">
          <cell r="A267">
            <v>3105</v>
          </cell>
          <cell r="B267" t="str">
            <v>ja</v>
          </cell>
          <cell r="C267" t="str">
            <v>最終フロア時 バリア7000</v>
          </cell>
          <cell r="D267" t="str">
            <v>最終フロア到達時に自身への直接ダメージを7000まで防ぐバリアを一度だけ展開(バリアは破壊されると復活しない)</v>
          </cell>
        </row>
        <row r="268">
          <cell r="A268">
            <v>3106</v>
          </cell>
          <cell r="B268" t="str">
            <v>ja</v>
          </cell>
          <cell r="C268" t="str">
            <v>最終フロア HP回復</v>
          </cell>
          <cell r="D268" t="str">
            <v>最終フロアの毎ターン終了時、パーティの合計HPの5%を回復</v>
          </cell>
        </row>
        <row r="269">
          <cell r="A269">
            <v>3107</v>
          </cell>
          <cell r="B269" t="str">
            <v>ja</v>
          </cell>
          <cell r="C269" t="str">
            <v>各フロア タップ回数UP</v>
          </cell>
          <cell r="D269" t="str">
            <v>各フロアの開始時、1ターン全ユニットのタップ回数1増加</v>
          </cell>
        </row>
        <row r="270">
          <cell r="A270">
            <v>3108</v>
          </cell>
          <cell r="B270" t="str">
            <v>ja</v>
          </cell>
          <cell r="C270" t="str">
            <v>最終フロア時 バリア8000</v>
          </cell>
          <cell r="D270" t="str">
            <v>最終フロア到達時に自身への直接ダメージを8000まで防ぐバリアを一度だけ展開(バリアは破壊されると復活しない)</v>
          </cell>
        </row>
        <row r="271">
          <cell r="A271">
            <v>3109</v>
          </cell>
          <cell r="B271" t="str">
            <v>ja</v>
          </cell>
          <cell r="C271" t="str">
            <v>最終フロア時 赤ボムドロップ</v>
          </cell>
          <cell r="D271" t="str">
            <v>最終フロア到達時、低確率で青パネルを赤ボムでドロップ</v>
          </cell>
        </row>
        <row r="272">
          <cell r="A272">
            <v>3200</v>
          </cell>
          <cell r="B272" t="str">
            <v>ja</v>
          </cell>
          <cell r="C272" t="str">
            <v>HP33%以下 攻撃力UP</v>
          </cell>
          <cell r="D272" t="str">
            <v>自身が先頭の時、残りHPが33%以下で攻撃力特大UP</v>
          </cell>
        </row>
        <row r="273">
          <cell r="A273">
            <v>3201</v>
          </cell>
          <cell r="B273" t="str">
            <v>ja</v>
          </cell>
          <cell r="C273" t="str">
            <v>HP35%以下 回復力UP</v>
          </cell>
          <cell r="D273" t="str">
            <v>自身が先頭の時、残りHPが35%以下で回復力40%UP</v>
          </cell>
        </row>
        <row r="274">
          <cell r="A274">
            <v>3202</v>
          </cell>
          <cell r="B274" t="str">
            <v>ja</v>
          </cell>
          <cell r="C274" t="str">
            <v>HP90%以上 全属性耐性15</v>
          </cell>
          <cell r="D274" t="str">
            <v>自身が先頭の時、残りHPが90%以上で全ユニットに対する全属性の敵からの攻撃を15％軽減</v>
          </cell>
        </row>
        <row r="275">
          <cell r="A275">
            <v>3203</v>
          </cell>
          <cell r="B275" t="str">
            <v>ja</v>
          </cell>
          <cell r="C275" t="str">
            <v>HP50%以下 防御力UP</v>
          </cell>
          <cell r="D275" t="str">
            <v>自身が先頭の時、残りHPが50%以下で防御力398UP</v>
          </cell>
        </row>
        <row r="276">
          <cell r="A276">
            <v>3204</v>
          </cell>
          <cell r="B276" t="str">
            <v>ja</v>
          </cell>
          <cell r="C276" t="str">
            <v>HP30%以下 攻撃力大UP</v>
          </cell>
          <cell r="D276" t="str">
            <v>自身が先頭の時、残りHPが30%以下で攻撃力大UP</v>
          </cell>
        </row>
        <row r="277">
          <cell r="A277">
            <v>3205</v>
          </cell>
          <cell r="B277" t="str">
            <v>ja</v>
          </cell>
          <cell r="C277" t="str">
            <v>HP90%以上 ダメージ軽減</v>
          </cell>
          <cell r="D277" t="str">
            <v>残りHPが90%以上の時、全ユニットが敵からの攻撃を15％軽減</v>
          </cell>
        </row>
        <row r="278">
          <cell r="A278">
            <v>3206</v>
          </cell>
          <cell r="B278" t="str">
            <v>ja</v>
          </cell>
          <cell r="C278" t="str">
            <v>HP30%以下 回復力UP</v>
          </cell>
          <cell r="D278" t="str">
            <v>残りHPが30%以下の時、全ユニットの回復力20%UP</v>
          </cell>
        </row>
        <row r="279">
          <cell r="A279">
            <v>3207</v>
          </cell>
          <cell r="B279" t="str">
            <v>ja</v>
          </cell>
          <cell r="C279" t="str">
            <v>HP50%以下 回復力UP</v>
          </cell>
          <cell r="D279" t="str">
            <v>残りHPが50%以下の時、全ユニットの回復力365UP</v>
          </cell>
        </row>
        <row r="280">
          <cell r="A280">
            <v>3208</v>
          </cell>
          <cell r="B280" t="str">
            <v>ja</v>
          </cell>
          <cell r="C280" t="str">
            <v>HP35%以下 防御力UP</v>
          </cell>
          <cell r="D280" t="str">
            <v>残りHPが35%以下の時、自身の防御力800UP</v>
          </cell>
        </row>
        <row r="281">
          <cell r="A281">
            <v>4000</v>
          </cell>
          <cell r="B281" t="str">
            <v>ja</v>
          </cell>
          <cell r="C281" t="str">
            <v>被ダメージ時 HP回復</v>
          </cell>
          <cell r="D281" t="str">
            <v>自身が攻撃を受けた場合、次のターンの開始時にHP500回復する</v>
          </cell>
        </row>
        <row r="282">
          <cell r="A282">
            <v>5000</v>
          </cell>
          <cell r="B282" t="str">
            <v>ja</v>
          </cell>
          <cell r="C282" t="str">
            <v>パーティー内ゴッド 攻撃力UP</v>
          </cell>
          <cell r="D282" t="str">
            <v>パーティー内に種族ゴッドがいる時、全ユニットの攻撃力を500UP</v>
          </cell>
        </row>
        <row r="283">
          <cell r="A283">
            <v>5001</v>
          </cell>
          <cell r="B283" t="str">
            <v>ja</v>
          </cell>
          <cell r="C283" t="str">
            <v>パーティー内バランス 回復力UP</v>
          </cell>
          <cell r="D283" t="str">
            <v>パーティー内にバランスタイプがいる時、全ユニットの回復力を500UP</v>
          </cell>
        </row>
        <row r="284">
          <cell r="A284">
            <v>5002</v>
          </cell>
          <cell r="B284" t="str">
            <v>ja</v>
          </cell>
          <cell r="C284" t="str">
            <v>パーティー内青属性 攻撃力UP</v>
          </cell>
          <cell r="D284" t="str">
            <v>パーティー内に青属性ユニットがいる時、全ユニットの攻撃力を700UP</v>
          </cell>
        </row>
        <row r="285">
          <cell r="A285">
            <v>5003</v>
          </cell>
          <cell r="B285" t="str">
            <v>ja</v>
          </cell>
          <cell r="C285" t="str">
            <v>パーティー内赤属性 自身攻撃力UP</v>
          </cell>
          <cell r="D285" t="str">
            <v>パーティー内に赤属性ユニットがいる時、自身の攻撃力を1500UP</v>
          </cell>
        </row>
        <row r="286">
          <cell r="A286">
            <v>8000</v>
          </cell>
          <cell r="B286" t="str">
            <v>ja</v>
          </cell>
          <cell r="C286" t="str">
            <v>ユニットが一番右にいるとき 攻撃力UP</v>
          </cell>
          <cell r="D286" t="str">
            <v>自身が一番右にいる場合、全ユニットの攻撃力UP</v>
          </cell>
        </row>
        <row r="287">
          <cell r="A287">
            <v>8001</v>
          </cell>
          <cell r="B287" t="str">
            <v>ja</v>
          </cell>
          <cell r="C287" t="str">
            <v>敵に青属性がいる場合 小カウンター</v>
          </cell>
          <cell r="D287" t="str">
            <v>敵に青属性がいる場合、小カウンター</v>
          </cell>
        </row>
        <row r="288">
          <cell r="A288">
            <v>8002</v>
          </cell>
          <cell r="B288" t="str">
            <v>ja</v>
          </cell>
          <cell r="C288" t="str">
            <v>テスト</v>
          </cell>
          <cell r="D288" t="str">
            <v>フロアスタート時、1ターン全ユニットの攻撃力UP</v>
          </cell>
        </row>
        <row r="289">
          <cell r="A289">
            <v>8003</v>
          </cell>
          <cell r="B289" t="str">
            <v>ja</v>
          </cell>
          <cell r="C289" t="str">
            <v>HP70%以上 ウィルス無効</v>
          </cell>
          <cell r="D289" t="str">
            <v>残りHPが70%以上で自身にかかるウィルスを無効化する</v>
          </cell>
        </row>
        <row r="290">
          <cell r="A290">
            <v>8004</v>
          </cell>
          <cell r="B290" t="str">
            <v>ja</v>
          </cell>
          <cell r="C290" t="str">
            <v>フロアスタート時 スキルブースト</v>
          </cell>
          <cell r="D290" t="str">
            <v>フロアスタート時、1ターンスキルブースト</v>
          </cell>
        </row>
        <row r="291">
          <cell r="A291">
            <v>8005</v>
          </cell>
          <cell r="B291" t="str">
            <v>ja</v>
          </cell>
          <cell r="C291" t="str">
            <v>ハートがハートボム大</v>
          </cell>
          <cell r="D291" t="str">
            <v>ハートがハートボム大</v>
          </cell>
        </row>
        <row r="292">
          <cell r="A292">
            <v>8006</v>
          </cell>
          <cell r="B292" t="str">
            <v>ja</v>
          </cell>
          <cell r="C292" t="str">
            <v>攻撃、回復、体力のCP短縮1</v>
          </cell>
          <cell r="D292" t="str">
            <v>攻撃、回復、体力のCP短縮1</v>
          </cell>
        </row>
        <row r="293">
          <cell r="A293">
            <v>8007</v>
          </cell>
          <cell r="B293" t="str">
            <v>ja</v>
          </cell>
          <cell r="C293" t="str">
            <v>自身の左ユニットが攻撃参加</v>
          </cell>
          <cell r="D293" t="str">
            <v>自身の左ユニットが攻撃参加</v>
          </cell>
        </row>
        <row r="294">
          <cell r="A294">
            <v>8008</v>
          </cell>
          <cell r="B294" t="str">
            <v>ja</v>
          </cell>
          <cell r="C294" t="str">
            <v>ターン経過回復力UP</v>
          </cell>
          <cell r="D294" t="str">
            <v>最初の1ターン目と、その後4ターン毎に2ターン全ユニットの回復力を1500UP</v>
          </cell>
        </row>
        <row r="295">
          <cell r="A295">
            <v>8009</v>
          </cell>
          <cell r="B295" t="str">
            <v>ja</v>
          </cell>
          <cell r="C295" t="str">
            <v>最終フロア Cパネル生成短縮(特大)</v>
          </cell>
          <cell r="D295" t="str">
            <v>最終フロア内で自身が先頭の時、Cパネル生成に必要なチェイン数を4短縮する</v>
          </cell>
        </row>
        <row r="296">
          <cell r="A296">
            <v>9000</v>
          </cell>
          <cell r="B296" t="str">
            <v>ja</v>
          </cell>
          <cell r="C296" t="str">
            <v>ハップルチャレンジ ダメージUP</v>
          </cell>
          <cell r="D296" t="str">
            <v>ハップルチャレンジ内で自身の全ての攻撃の威力をUP</v>
          </cell>
        </row>
        <row r="297">
          <cell r="A297">
            <v>9001</v>
          </cell>
          <cell r="B297" t="str">
            <v>ja</v>
          </cell>
          <cell r="C297" t="str">
            <v>クロネッカーチャレンジ ダメージUP</v>
          </cell>
          <cell r="D297" t="str">
            <v>クロネッカーチャレンジ内で自身の全ての攻撃の威力をUP</v>
          </cell>
        </row>
        <row r="298">
          <cell r="A298">
            <v>9002</v>
          </cell>
          <cell r="B298" t="str">
            <v>ja</v>
          </cell>
          <cell r="C298" t="str">
            <v>クロネッカーチャレンジ ダメージUP</v>
          </cell>
          <cell r="D298" t="str">
            <v>クロネッカーチャレンジ内で自身の全ての攻撃+カウンターの威力をUP</v>
          </cell>
        </row>
        <row r="299">
          <cell r="A299">
            <v>9003</v>
          </cell>
          <cell r="B299" t="str">
            <v>ja</v>
          </cell>
          <cell r="C299" t="str">
            <v>オイラーチャレンジ ダメージUP</v>
          </cell>
          <cell r="D299" t="str">
            <v>オイラーチャレンジ内で自身の全ての攻撃の威力をUP</v>
          </cell>
        </row>
        <row r="300">
          <cell r="A300">
            <v>9004</v>
          </cell>
          <cell r="B300" t="str">
            <v>ja</v>
          </cell>
          <cell r="C300" t="str">
            <v>オイラーチャレンジ ダメージ究極UP</v>
          </cell>
          <cell r="D300" t="str">
            <v>オイラーチャレンジ内で自身の全ての攻撃の威力を究極UP</v>
          </cell>
        </row>
        <row r="301">
          <cell r="A301">
            <v>9005</v>
          </cell>
          <cell r="B301" t="str">
            <v>ja</v>
          </cell>
          <cell r="C301" t="str">
            <v>ヘンペルチャレンジ ダメージUP</v>
          </cell>
          <cell r="D301" t="str">
            <v>ヘンペルチャレンジ内で自身の全ての攻撃の威力をUP</v>
          </cell>
        </row>
        <row r="302">
          <cell r="A302">
            <v>9006</v>
          </cell>
          <cell r="B302" t="str">
            <v>ja</v>
          </cell>
          <cell r="C302" t="str">
            <v>ヘンペルチャレンジ ダメージUP</v>
          </cell>
          <cell r="D302" t="str">
            <v>ヘンペルチャレンジ内で自身の全ての攻撃+カウンターの威力をUP</v>
          </cell>
        </row>
        <row r="303">
          <cell r="A303">
            <v>9007</v>
          </cell>
          <cell r="B303" t="str">
            <v>ja</v>
          </cell>
          <cell r="C303" t="str">
            <v>フロイトチャレンジ ダメージ究極UP</v>
          </cell>
          <cell r="D303" t="str">
            <v>フロイトチャレンジ内で自身の全ての攻撃の威力を究極UP</v>
          </cell>
        </row>
        <row r="304">
          <cell r="A304">
            <v>9008</v>
          </cell>
          <cell r="B304" t="str">
            <v>ja</v>
          </cell>
          <cell r="C304" t="str">
            <v>フロイトチャレンジ ダメージUP</v>
          </cell>
          <cell r="D304" t="str">
            <v>フロイトチャレンジ内で自身の全ての攻撃の威力をUP</v>
          </cell>
        </row>
        <row r="305">
          <cell r="A305">
            <v>9009</v>
          </cell>
          <cell r="B305" t="str">
            <v>ja</v>
          </cell>
          <cell r="C305" t="str">
            <v>フロイトチャレンジ ダメージUP</v>
          </cell>
          <cell r="D305" t="str">
            <v>フロイトチャレンジ内で自身の全ての攻撃+カウンターの威力をUP</v>
          </cell>
        </row>
        <row r="306">
          <cell r="A306">
            <v>9010</v>
          </cell>
          <cell r="B306" t="str">
            <v>ja</v>
          </cell>
          <cell r="C306" t="str">
            <v>ウエディングクエスト ダメージUP</v>
          </cell>
          <cell r="D306" t="str">
            <v>ウエディングクエスト内で自身の全ての攻撃の威力をUP</v>
          </cell>
        </row>
        <row r="307">
          <cell r="A307">
            <v>9011</v>
          </cell>
          <cell r="B307" t="str">
            <v>ja</v>
          </cell>
          <cell r="C307" t="str">
            <v>クリスマスクエストダメージ究極UP</v>
          </cell>
          <cell r="D307" t="str">
            <v>クリスマスクエスト内で自身の全ての攻撃の威力を究極UP</v>
          </cell>
        </row>
        <row r="308">
          <cell r="A308">
            <v>119402</v>
          </cell>
          <cell r="B308" t="str">
            <v>ja</v>
          </cell>
          <cell r="C308" t="str">
            <v>ハロウィンナイトパニック！ 威力UP</v>
          </cell>
          <cell r="D308" t="str">
            <v>ハロウィンナイトパニック！内で自身の全ての攻撃の威力を究極UP</v>
          </cell>
        </row>
        <row r="309">
          <cell r="A309">
            <v>500801</v>
          </cell>
          <cell r="B309" t="str">
            <v>ja</v>
          </cell>
          <cell r="C309" t="str">
            <v>パネルブレイク35 攻撃力小UP</v>
          </cell>
          <cell r="D309" t="str">
            <v>自身が先頭の時、1ターンの間に合計35個以上パネルを破壊した場合に攻撃力小UP</v>
          </cell>
        </row>
        <row r="310">
          <cell r="A310">
            <v>808082</v>
          </cell>
          <cell r="B310" t="str">
            <v>ja</v>
          </cell>
          <cell r="C310" t="str">
            <v>Cパネルドロップ</v>
          </cell>
          <cell r="D310" t="str">
            <v>自身が先頭の時、低確率でCパネルをドロップ</v>
          </cell>
        </row>
        <row r="311">
          <cell r="A311">
            <v>900000</v>
          </cell>
          <cell r="B311" t="str">
            <v>ja</v>
          </cell>
          <cell r="C311" t="str">
            <v>フィーバー100 プロテクトブレイク</v>
          </cell>
          <cell r="D311" t="str">
            <v>フィーバーゲージが100％以上の時、1ターンプロテクトブレイク</v>
          </cell>
        </row>
        <row r="312">
          <cell r="A312">
            <v>900001</v>
          </cell>
          <cell r="B312" t="str">
            <v>ja</v>
          </cell>
          <cell r="C312" t="str">
            <v>フィーバー100 お邪魔ブレイク</v>
          </cell>
          <cell r="D312" t="str">
            <v>フィーバーゲージが100％以上の時、1ターンお邪魔ブレイク</v>
          </cell>
        </row>
        <row r="313">
          <cell r="A313">
            <v>900402</v>
          </cell>
          <cell r="B313" t="str">
            <v>ja</v>
          </cell>
          <cell r="C313" t="str">
            <v>バリア3500</v>
          </cell>
          <cell r="D313" t="str">
            <v>戦闘開始時に、自身への直接ダメージを3500まで防ぐバリアを一度だけ展開(バリアは破壊されると復活しない)</v>
          </cell>
        </row>
        <row r="314">
          <cell r="A314">
            <v>810202</v>
          </cell>
          <cell r="B314" t="str">
            <v>ja</v>
          </cell>
          <cell r="C314" t="str">
            <v>パネルブレイク50 ダメージ軽減</v>
          </cell>
          <cell r="D314" t="str">
            <v>自身が先頭の時、1ターンの間に合計50個以上パネルを破壊した場合敵からのダメージを15%軽減（1ターンに1度だけ発動）</v>
          </cell>
        </row>
        <row r="315">
          <cell r="A315">
            <v>811802</v>
          </cell>
          <cell r="B315" t="str">
            <v>ja</v>
          </cell>
          <cell r="C315" t="str">
            <v>ターン攻撃力UP</v>
          </cell>
          <cell r="D315" t="str">
            <v>最初の1ターン目と、その後6ターン毎に1ターン種族ドラゴン・ファンタジー・アニマルの攻撃力1000UP</v>
          </cell>
        </row>
        <row r="316">
          <cell r="A316">
            <v>812002</v>
          </cell>
          <cell r="B316" t="str">
            <v>ja</v>
          </cell>
          <cell r="C316" t="str">
            <v>ターンタップ増加</v>
          </cell>
          <cell r="D316" t="str">
            <v>最初の1ターン目と、その後6ターン毎に1ターン種族ドラゴン・ファンタジー・アニマルのタップ数1増加</v>
          </cell>
        </row>
        <row r="317">
          <cell r="A317">
            <v>811803</v>
          </cell>
          <cell r="B317" t="str">
            <v>ja</v>
          </cell>
          <cell r="C317" t="str">
            <v>端午クエスト ダメージUP</v>
          </cell>
          <cell r="D317" t="str">
            <v>端午クエスト内で自身の全ての攻撃の威力をUP</v>
          </cell>
        </row>
        <row r="318">
          <cell r="A318">
            <v>900802</v>
          </cell>
          <cell r="B318" t="str">
            <v>ja</v>
          </cell>
          <cell r="C318" t="str">
            <v>ターン攻撃力UP</v>
          </cell>
          <cell r="D318" t="str">
            <v>最初の1ターン目と、その後7ターン毎に1ターン赤属性の攻撃力777UP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/>
  <dimension ref="A1:AC15"/>
  <sheetViews>
    <sheetView workbookViewId="0">
      <selection activeCell="A14" sqref="A14"/>
    </sheetView>
  </sheetViews>
  <sheetFormatPr baseColWidth="12" defaultRowHeight="15" x14ac:dyDescent="0.15"/>
  <cols>
    <col min="2" max="2" width="14.83203125" bestFit="1" customWidth="1"/>
    <col min="5" max="5" width="30.6640625" bestFit="1" customWidth="1"/>
    <col min="6" max="6" width="22.1640625" bestFit="1" customWidth="1"/>
    <col min="8" max="8" width="17.5" customWidth="1"/>
    <col min="9" max="9" width="16.1640625" customWidth="1"/>
  </cols>
  <sheetData>
    <row r="1" spans="1:29" x14ac:dyDescent="0.15">
      <c r="A1" s="106" t="s">
        <v>125</v>
      </c>
      <c r="B1" s="106" t="s">
        <v>116</v>
      </c>
      <c r="C1" s="106" t="s">
        <v>117</v>
      </c>
      <c r="D1" s="106" t="s">
        <v>118</v>
      </c>
      <c r="E1" s="106" t="s">
        <v>119</v>
      </c>
      <c r="F1" s="106" t="s">
        <v>120</v>
      </c>
      <c r="G1" s="106" t="s">
        <v>121</v>
      </c>
      <c r="H1" s="106"/>
      <c r="I1" s="106"/>
      <c r="J1" s="106"/>
      <c r="K1" s="106"/>
      <c r="L1" s="107"/>
      <c r="M1" s="107"/>
      <c r="N1" s="107"/>
      <c r="O1" s="107"/>
      <c r="P1" s="107"/>
      <c r="Q1" s="107"/>
      <c r="R1" s="107"/>
      <c r="S1" s="107"/>
      <c r="T1" s="107"/>
      <c r="U1" s="107"/>
      <c r="V1" s="107"/>
      <c r="W1" s="107"/>
    </row>
    <row r="2" spans="1:29" x14ac:dyDescent="0.15">
      <c r="A2" s="108" t="s">
        <v>255</v>
      </c>
      <c r="B2" s="108" t="s">
        <v>129</v>
      </c>
      <c r="C2" s="164" t="s">
        <v>254</v>
      </c>
      <c r="D2" s="108" t="s">
        <v>128</v>
      </c>
      <c r="E2" s="107" t="str">
        <f>B2&amp;C2&amp;D2</f>
        <v>units_ranking01.tmp</v>
      </c>
      <c r="F2" s="108" t="s">
        <v>124</v>
      </c>
      <c r="G2" s="185" t="s">
        <v>17</v>
      </c>
      <c r="H2" s="186" t="s">
        <v>96</v>
      </c>
      <c r="I2" s="186" t="s">
        <v>1</v>
      </c>
      <c r="J2" s="186" t="s">
        <v>3</v>
      </c>
      <c r="K2" s="63" t="s">
        <v>2</v>
      </c>
      <c r="L2" s="63" t="s">
        <v>98</v>
      </c>
      <c r="M2" s="63" t="s">
        <v>20</v>
      </c>
      <c r="N2" s="63" t="s">
        <v>103</v>
      </c>
      <c r="O2" s="63" t="s">
        <v>101</v>
      </c>
      <c r="P2" s="63" t="s">
        <v>39</v>
      </c>
      <c r="Q2" s="63" t="s">
        <v>57</v>
      </c>
      <c r="R2" s="108" t="s">
        <v>452</v>
      </c>
      <c r="S2" s="108"/>
      <c r="T2" s="108"/>
      <c r="U2" s="108"/>
      <c r="V2" s="108"/>
      <c r="W2" s="108"/>
    </row>
    <row r="3" spans="1:29" x14ac:dyDescent="0.15">
      <c r="A3" s="108" t="s">
        <v>255</v>
      </c>
      <c r="B3" s="108" t="s">
        <v>323</v>
      </c>
      <c r="C3" s="164" t="str">
        <f>C2</f>
        <v>ranking01</v>
      </c>
      <c r="D3" s="108" t="s">
        <v>128</v>
      </c>
      <c r="E3" s="107" t="str">
        <f>B3&amp;C3&amp;D3</f>
        <v>fork_awake_units_ranking01.tmp</v>
      </c>
      <c r="F3" s="108" t="s">
        <v>322</v>
      </c>
      <c r="G3" s="187" t="s">
        <v>324</v>
      </c>
      <c r="H3" s="188" t="s">
        <v>325</v>
      </c>
      <c r="I3" s="188" t="s">
        <v>326</v>
      </c>
      <c r="J3" s="110" t="s">
        <v>327</v>
      </c>
      <c r="K3" s="184"/>
      <c r="L3" s="109"/>
      <c r="M3" s="109"/>
      <c r="N3" s="109"/>
      <c r="O3" s="109"/>
      <c r="P3" s="109"/>
      <c r="Q3" s="109"/>
      <c r="R3" s="109"/>
      <c r="S3" s="109"/>
      <c r="T3" s="109"/>
      <c r="U3" s="109"/>
      <c r="V3" s="109"/>
      <c r="W3" s="109"/>
    </row>
    <row r="4" spans="1:29" x14ac:dyDescent="0.15">
      <c r="A4" s="108" t="s">
        <v>255</v>
      </c>
      <c r="B4" s="108" t="s">
        <v>130</v>
      </c>
      <c r="C4" s="164" t="str">
        <f>C2</f>
        <v>ranking01</v>
      </c>
      <c r="D4" s="108" t="s">
        <v>128</v>
      </c>
      <c r="E4" s="107" t="str">
        <f>B4&amp;C4&amp;D4</f>
        <v>awake_materials_ranking01.tmp</v>
      </c>
      <c r="F4" s="108" t="s">
        <v>123</v>
      </c>
      <c r="G4" s="187" t="s">
        <v>38</v>
      </c>
      <c r="H4" s="188" t="s">
        <v>36</v>
      </c>
      <c r="I4" s="188" t="s">
        <v>37</v>
      </c>
      <c r="J4" s="110" t="s">
        <v>126</v>
      </c>
      <c r="K4" s="184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</row>
    <row r="5" spans="1:29" x14ac:dyDescent="0.15">
      <c r="A5" s="108" t="s">
        <v>255</v>
      </c>
      <c r="B5" s="108" t="s">
        <v>328</v>
      </c>
      <c r="C5" s="164" t="str">
        <f>C3</f>
        <v>ranking01</v>
      </c>
      <c r="D5" s="108" t="s">
        <v>128</v>
      </c>
      <c r="E5" s="107" t="str">
        <f>B5&amp;C5&amp;D5</f>
        <v>fork_awake_materials_ranking01.tmp</v>
      </c>
      <c r="F5" s="108" t="s">
        <v>123</v>
      </c>
      <c r="G5" s="187" t="s">
        <v>308</v>
      </c>
      <c r="H5" s="188" t="s">
        <v>325</v>
      </c>
      <c r="I5" s="188" t="s">
        <v>329</v>
      </c>
      <c r="J5" s="188" t="s">
        <v>37</v>
      </c>
      <c r="K5" s="110" t="s">
        <v>126</v>
      </c>
      <c r="L5" s="110" t="s">
        <v>330</v>
      </c>
      <c r="M5" s="109"/>
      <c r="N5" s="109"/>
      <c r="O5" s="109"/>
      <c r="P5" s="109"/>
      <c r="Q5" s="109"/>
      <c r="R5" s="109"/>
      <c r="S5" s="109"/>
      <c r="T5" s="109"/>
      <c r="U5" s="109"/>
      <c r="V5" s="109"/>
      <c r="W5" s="109"/>
    </row>
    <row r="6" spans="1:29" x14ac:dyDescent="0.15">
      <c r="A6" s="108" t="s">
        <v>255</v>
      </c>
      <c r="B6" s="108" t="s">
        <v>131</v>
      </c>
      <c r="C6" s="164" t="str">
        <f>C4</f>
        <v>ranking01</v>
      </c>
      <c r="D6" s="108" t="s">
        <v>132</v>
      </c>
      <c r="E6" s="107" t="str">
        <f t="shared" ref="E6" si="0">B6&amp;C6&amp;D6</f>
        <v>unit_levels_calc_ranking01.tmp</v>
      </c>
      <c r="F6" s="108" t="s">
        <v>122</v>
      </c>
      <c r="G6" s="59" t="s">
        <v>17</v>
      </c>
      <c r="H6" s="60" t="s">
        <v>2</v>
      </c>
      <c r="I6" s="61" t="s">
        <v>79</v>
      </c>
      <c r="J6" s="61" t="s">
        <v>80</v>
      </c>
      <c r="K6" s="61" t="s">
        <v>81</v>
      </c>
      <c r="L6" s="61" t="s">
        <v>82</v>
      </c>
      <c r="M6" s="61" t="s">
        <v>87</v>
      </c>
      <c r="N6" s="61" t="s">
        <v>88</v>
      </c>
      <c r="O6" s="61" t="s">
        <v>89</v>
      </c>
      <c r="P6" s="61" t="s">
        <v>90</v>
      </c>
      <c r="Q6" s="61" t="s">
        <v>91</v>
      </c>
      <c r="R6" s="61" t="s">
        <v>94</v>
      </c>
      <c r="S6" s="61" t="s">
        <v>92</v>
      </c>
      <c r="T6" s="61" t="s">
        <v>93</v>
      </c>
      <c r="U6" s="61" t="s">
        <v>83</v>
      </c>
      <c r="V6" s="61" t="s">
        <v>84</v>
      </c>
      <c r="W6" s="61" t="s">
        <v>85</v>
      </c>
    </row>
    <row r="7" spans="1:29" x14ac:dyDescent="0.15">
      <c r="A7" s="108" t="s">
        <v>255</v>
      </c>
      <c r="B7" s="108" t="s">
        <v>143</v>
      </c>
      <c r="C7" s="164" t="str">
        <f t="shared" ref="C7:C15" si="1">C6</f>
        <v>ranking01</v>
      </c>
      <c r="D7" s="108" t="s">
        <v>144</v>
      </c>
      <c r="E7" s="107" t="str">
        <f>B7&amp;C7&amp;D7</f>
        <v>unit_skills_data_ranking01.tmp</v>
      </c>
      <c r="F7" s="108" t="s">
        <v>145</v>
      </c>
      <c r="G7" s="114" t="s">
        <v>20</v>
      </c>
      <c r="H7" s="114" t="s">
        <v>146</v>
      </c>
      <c r="I7" s="114" t="s">
        <v>2</v>
      </c>
      <c r="J7" s="114" t="s">
        <v>147</v>
      </c>
      <c r="K7" s="114" t="s">
        <v>148</v>
      </c>
      <c r="L7" s="114" t="s">
        <v>4</v>
      </c>
      <c r="M7" s="61"/>
      <c r="N7" s="61"/>
      <c r="O7" s="61"/>
      <c r="P7" s="61"/>
      <c r="Q7" s="61"/>
      <c r="R7" s="61"/>
      <c r="S7" s="61"/>
      <c r="T7" s="61"/>
      <c r="U7" s="61"/>
      <c r="V7" s="61"/>
      <c r="W7" s="61"/>
    </row>
    <row r="8" spans="1:29" x14ac:dyDescent="0.15">
      <c r="A8" s="108" t="s">
        <v>255</v>
      </c>
      <c r="B8" s="108" t="s">
        <v>149</v>
      </c>
      <c r="C8" s="164" t="str">
        <f t="shared" si="1"/>
        <v>ranking01</v>
      </c>
      <c r="D8" s="108" t="s">
        <v>128</v>
      </c>
      <c r="E8" s="107" t="str">
        <f>B8&amp;C8&amp;D8</f>
        <v>unit_skills_i18n_ranking01.tmp</v>
      </c>
      <c r="F8" s="108" t="s">
        <v>145</v>
      </c>
      <c r="G8" s="114" t="s">
        <v>150</v>
      </c>
      <c r="H8" s="114" t="s">
        <v>134</v>
      </c>
      <c r="I8" s="114" t="s">
        <v>151</v>
      </c>
      <c r="J8" s="114" t="s">
        <v>152</v>
      </c>
      <c r="K8" s="109"/>
      <c r="L8" s="109"/>
      <c r="M8" s="61"/>
      <c r="N8" s="61"/>
      <c r="O8" s="61"/>
      <c r="P8" s="61"/>
      <c r="Q8" s="61"/>
      <c r="R8" s="61"/>
      <c r="S8" s="61"/>
      <c r="T8" s="61"/>
      <c r="U8" s="61"/>
      <c r="V8" s="61"/>
      <c r="W8" s="61"/>
    </row>
    <row r="9" spans="1:29" x14ac:dyDescent="0.15">
      <c r="A9" s="108" t="s">
        <v>255</v>
      </c>
      <c r="B9" s="108" t="s">
        <v>153</v>
      </c>
      <c r="C9" s="164" t="str">
        <f t="shared" si="1"/>
        <v>ranking01</v>
      </c>
      <c r="D9" s="108" t="s">
        <v>154</v>
      </c>
      <c r="E9" s="107" t="str">
        <f>B9&amp;C9&amp;D9</f>
        <v>crash_skills_data_ranking01.tmp</v>
      </c>
      <c r="F9" s="108" t="s">
        <v>155</v>
      </c>
      <c r="G9" s="114" t="s">
        <v>156</v>
      </c>
      <c r="H9" s="114" t="s">
        <v>148</v>
      </c>
      <c r="I9" s="114" t="s">
        <v>4</v>
      </c>
      <c r="J9" s="109"/>
      <c r="K9" s="109"/>
      <c r="L9" s="109"/>
      <c r="M9" s="61"/>
      <c r="N9" s="61"/>
      <c r="O9" s="61"/>
      <c r="P9" s="61"/>
      <c r="Q9" s="61"/>
      <c r="R9" s="61"/>
      <c r="S9" s="61"/>
      <c r="T9" s="61"/>
      <c r="U9" s="61"/>
      <c r="V9" s="61"/>
      <c r="W9" s="61"/>
    </row>
    <row r="10" spans="1:29" x14ac:dyDescent="0.15">
      <c r="A10" s="108" t="s">
        <v>255</v>
      </c>
      <c r="B10" s="108" t="s">
        <v>157</v>
      </c>
      <c r="C10" s="164" t="str">
        <f t="shared" si="1"/>
        <v>ranking01</v>
      </c>
      <c r="D10" s="108" t="s">
        <v>158</v>
      </c>
      <c r="E10" s="107" t="str">
        <f t="shared" ref="E10" si="2">B10&amp;C10&amp;D10</f>
        <v>crash_skills_i18n_ranking01.tmp</v>
      </c>
      <c r="F10" s="108" t="s">
        <v>155</v>
      </c>
      <c r="G10" s="114" t="s">
        <v>159</v>
      </c>
      <c r="H10" s="114" t="s">
        <v>160</v>
      </c>
      <c r="I10" s="114" t="s">
        <v>161</v>
      </c>
      <c r="J10" s="114" t="s">
        <v>162</v>
      </c>
      <c r="K10" s="115"/>
      <c r="L10" s="115"/>
      <c r="M10" s="61"/>
      <c r="N10" s="61"/>
      <c r="O10" s="61"/>
      <c r="P10" s="61"/>
      <c r="Q10" s="61"/>
      <c r="R10" s="61"/>
      <c r="S10" s="61"/>
      <c r="T10" s="61"/>
      <c r="U10" s="61"/>
      <c r="V10" s="61"/>
      <c r="W10" s="61"/>
    </row>
    <row r="11" spans="1:29" x14ac:dyDescent="0.15">
      <c r="A11" s="108" t="s">
        <v>255</v>
      </c>
      <c r="B11" s="109" t="s">
        <v>135</v>
      </c>
      <c r="C11" s="164" t="str">
        <f t="shared" si="1"/>
        <v>ranking01</v>
      </c>
      <c r="D11" s="108" t="s">
        <v>158</v>
      </c>
      <c r="E11" s="107" t="str">
        <f t="shared" ref="E11:E12" si="3">B11&amp;C11&amp;D11</f>
        <v>unit_serifs_data_ranking01.tmp</v>
      </c>
      <c r="F11" s="109" t="s">
        <v>137</v>
      </c>
      <c r="G11" s="113" t="s">
        <v>138</v>
      </c>
      <c r="H11" s="114" t="s">
        <v>139</v>
      </c>
      <c r="I11" s="114" t="s">
        <v>133</v>
      </c>
      <c r="J11" s="112" t="s">
        <v>191</v>
      </c>
      <c r="K11" s="108"/>
      <c r="L11" s="108"/>
      <c r="M11" s="108"/>
      <c r="N11" s="108"/>
      <c r="O11" s="108"/>
      <c r="P11" s="108"/>
      <c r="Q11" s="108"/>
      <c r="R11" s="108"/>
      <c r="S11" s="108"/>
      <c r="T11" s="108"/>
      <c r="U11" s="108"/>
      <c r="V11" s="108"/>
      <c r="W11" s="108"/>
    </row>
    <row r="12" spans="1:29" x14ac:dyDescent="0.15">
      <c r="A12" s="108" t="s">
        <v>255</v>
      </c>
      <c r="B12" s="109" t="s">
        <v>136</v>
      </c>
      <c r="C12" s="164" t="str">
        <f t="shared" si="1"/>
        <v>ranking01</v>
      </c>
      <c r="D12" s="108" t="s">
        <v>158</v>
      </c>
      <c r="E12" s="107" t="str">
        <f t="shared" si="3"/>
        <v>unit_serifs_i18n_ranking01.tmp</v>
      </c>
      <c r="F12" s="109" t="s">
        <v>137</v>
      </c>
      <c r="G12" s="113" t="s">
        <v>140</v>
      </c>
      <c r="H12" s="114" t="s">
        <v>141</v>
      </c>
      <c r="I12" s="114" t="s">
        <v>142</v>
      </c>
      <c r="J12" s="108"/>
      <c r="K12" s="108"/>
      <c r="L12" s="108"/>
      <c r="M12" s="108"/>
      <c r="N12" s="108"/>
      <c r="O12" s="108"/>
      <c r="P12" s="108"/>
      <c r="Q12" s="108"/>
      <c r="R12" s="108"/>
      <c r="S12" s="108"/>
      <c r="T12" s="108"/>
      <c r="U12" s="108"/>
      <c r="V12" s="108"/>
      <c r="W12" s="108"/>
    </row>
    <row r="13" spans="1:29" x14ac:dyDescent="0.15">
      <c r="A13" s="199" t="s">
        <v>467</v>
      </c>
      <c r="B13" s="108" t="s">
        <v>348</v>
      </c>
      <c r="C13" s="164" t="str">
        <f t="shared" si="1"/>
        <v>ranking01</v>
      </c>
      <c r="D13" s="108" t="s">
        <v>128</v>
      </c>
      <c r="E13" s="107" t="str">
        <f>B13&amp;C13&amp;D13</f>
        <v>abilities_tmp_ranking01.tmp</v>
      </c>
      <c r="F13" s="108" t="s">
        <v>349</v>
      </c>
      <c r="G13" s="200" t="s">
        <v>341</v>
      </c>
      <c r="H13" s="200" t="s">
        <v>342</v>
      </c>
      <c r="I13" s="200" t="s">
        <v>343</v>
      </c>
      <c r="J13" s="108"/>
      <c r="K13" s="108"/>
      <c r="L13" s="108"/>
      <c r="M13" s="108"/>
      <c r="N13" s="108"/>
      <c r="O13" s="108"/>
      <c r="P13" s="108"/>
      <c r="Q13" s="108"/>
      <c r="R13" s="108"/>
      <c r="S13" s="108"/>
      <c r="T13" s="108"/>
      <c r="U13" s="108"/>
      <c r="V13" s="108"/>
      <c r="W13" s="108"/>
      <c r="X13" s="108"/>
      <c r="Y13" s="108"/>
      <c r="Z13" s="108"/>
      <c r="AA13" s="108"/>
      <c r="AB13" s="108"/>
      <c r="AC13" s="108"/>
    </row>
    <row r="14" spans="1:29" x14ac:dyDescent="0.15">
      <c r="A14" s="199" t="s">
        <v>467</v>
      </c>
      <c r="B14" s="108" t="s">
        <v>350</v>
      </c>
      <c r="C14" s="164" t="str">
        <f t="shared" si="1"/>
        <v>ranking01</v>
      </c>
      <c r="D14" s="108" t="s">
        <v>128</v>
      </c>
      <c r="E14" s="107" t="str">
        <f>B14&amp;C14&amp;D14</f>
        <v>abilities_i18n_ranking01.tmp</v>
      </c>
      <c r="F14" s="108" t="s">
        <v>349</v>
      </c>
      <c r="G14" s="200" t="s">
        <v>341</v>
      </c>
      <c r="H14" s="200" t="s">
        <v>134</v>
      </c>
      <c r="I14" s="200" t="s">
        <v>189</v>
      </c>
      <c r="J14" s="200" t="s">
        <v>351</v>
      </c>
      <c r="K14" s="209" t="s">
        <v>462</v>
      </c>
      <c r="L14" s="108"/>
      <c r="M14" s="108"/>
      <c r="N14" s="108"/>
      <c r="O14" s="108"/>
      <c r="P14" s="108"/>
      <c r="Q14" s="108"/>
      <c r="R14" s="108"/>
      <c r="S14" s="108"/>
      <c r="T14" s="108"/>
      <c r="U14" s="108"/>
      <c r="V14" s="108"/>
      <c r="W14" s="108"/>
      <c r="X14" s="108"/>
      <c r="Y14" s="108"/>
      <c r="Z14" s="108"/>
      <c r="AA14" s="108"/>
      <c r="AB14" s="108"/>
      <c r="AC14" s="108"/>
    </row>
    <row r="15" spans="1:29" x14ac:dyDescent="0.15">
      <c r="A15" s="199" t="s">
        <v>347</v>
      </c>
      <c r="B15" s="108" t="s">
        <v>352</v>
      </c>
      <c r="C15" s="164" t="str">
        <f t="shared" si="1"/>
        <v>ranking01</v>
      </c>
      <c r="D15" s="108" t="s">
        <v>128</v>
      </c>
      <c r="E15" s="107" t="str">
        <f>B15&amp;C15&amp;D15</f>
        <v>unit_abilities_ranking01.tmp</v>
      </c>
      <c r="F15" s="108" t="s">
        <v>353</v>
      </c>
      <c r="G15" s="200" t="s">
        <v>324</v>
      </c>
      <c r="H15" s="201" t="s">
        <v>354</v>
      </c>
      <c r="I15" s="201" t="s">
        <v>355</v>
      </c>
      <c r="J15" s="202" t="s">
        <v>356</v>
      </c>
      <c r="K15" s="200" t="s">
        <v>357</v>
      </c>
      <c r="L15" s="108"/>
      <c r="M15" s="108"/>
      <c r="N15" s="108"/>
      <c r="O15" s="108"/>
      <c r="P15" s="108"/>
      <c r="Q15" s="108"/>
      <c r="R15" s="108"/>
      <c r="S15" s="108"/>
      <c r="T15" s="108"/>
      <c r="U15" s="108"/>
      <c r="V15" s="108"/>
      <c r="W15" s="108"/>
      <c r="X15" s="108"/>
      <c r="Y15" s="108"/>
      <c r="Z15" s="108"/>
      <c r="AA15" s="108"/>
      <c r="AB15" s="108"/>
      <c r="AC15" s="108"/>
    </row>
  </sheetData>
  <phoneticPr fontId="22"/>
  <dataValidations count="1">
    <dataValidation type="list" allowBlank="1" showInputMessage="1" showErrorMessage="1" sqref="A2:A15">
      <formula1>"old,new,skip,both"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 enableFormatConditionsCalculation="0">
    <tabColor rgb="FFFF0000"/>
    <outlinePr summaryBelow="0" summaryRight="0"/>
  </sheetPr>
  <dimension ref="A1:BR13"/>
  <sheetViews>
    <sheetView showGridLines="0" zoomScale="90" zoomScaleNormal="90" zoomScalePageLayoutView="90" workbookViewId="0">
      <pane xSplit="9" ySplit="1" topLeftCell="AY2" activePane="bottomRight" state="frozen"/>
      <selection pane="topRight" activeCell="J1" sqref="J1"/>
      <selection pane="bottomLeft" activeCell="A3" sqref="A3"/>
      <selection pane="bottomRight" activeCell="H5" sqref="H5"/>
    </sheetView>
  </sheetViews>
  <sheetFormatPr baseColWidth="12" defaultColWidth="8.83203125" defaultRowHeight="21" customHeight="1" outlineLevelCol="1" x14ac:dyDescent="0.15"/>
  <cols>
    <col min="1" max="1" width="12.83203125" style="12" customWidth="1"/>
    <col min="2" max="2" width="21.5" style="13" bestFit="1" customWidth="1" collapsed="1"/>
    <col min="3" max="3" width="23.6640625" style="13" hidden="1" customWidth="1" outlineLevel="1"/>
    <col min="4" max="4" width="8.6640625" style="13" hidden="1" customWidth="1" outlineLevel="1"/>
    <col min="5" max="5" width="8" style="13" hidden="1" customWidth="1" outlineLevel="1"/>
    <col min="6" max="6" width="7.1640625" style="13" hidden="1" customWidth="1" outlineLevel="1"/>
    <col min="7" max="7" width="9.6640625" style="13" bestFit="1" customWidth="1"/>
    <col min="8" max="8" width="13.6640625" style="13" bestFit="1" customWidth="1"/>
    <col min="9" max="9" width="10.5" style="13" bestFit="1" customWidth="1" collapsed="1"/>
    <col min="10" max="10" width="59.5" style="13" hidden="1" customWidth="1" outlineLevel="1"/>
    <col min="11" max="13" width="13.6640625" style="13" hidden="1" customWidth="1" outlineLevel="1"/>
    <col min="14" max="14" width="10" style="13" bestFit="1" customWidth="1"/>
    <col min="15" max="15" width="13.5" style="13" bestFit="1" customWidth="1"/>
    <col min="16" max="16" width="13.5" style="13" customWidth="1"/>
    <col min="17" max="17" width="18.83203125" style="13" bestFit="1" customWidth="1"/>
    <col min="18" max="18" width="14.1640625" style="13" customWidth="1"/>
    <col min="19" max="19" width="12.33203125" style="13" customWidth="1" outlineLevel="1"/>
    <col min="20" max="22" width="13.6640625" style="13" customWidth="1" outlineLevel="1"/>
    <col min="23" max="23" width="22.83203125" style="12" bestFit="1" customWidth="1"/>
    <col min="24" max="24" width="14.1640625" style="13" customWidth="1" collapsed="1"/>
    <col min="25" max="25" width="22" style="13" hidden="1" customWidth="1" outlineLevel="1"/>
    <col min="26" max="26" width="14.1640625" style="13" hidden="1" customWidth="1" outlineLevel="1"/>
    <col min="27" max="27" width="12.33203125" style="13" hidden="1" customWidth="1" outlineLevel="1"/>
    <col min="28" max="30" width="13.6640625" style="13" hidden="1" customWidth="1" outlineLevel="1"/>
    <col min="31" max="31" width="20.1640625" style="12" bestFit="1" customWidth="1"/>
    <col min="32" max="32" width="18.83203125" style="13" bestFit="1" customWidth="1"/>
    <col min="33" max="34" width="18.83203125" style="13" customWidth="1"/>
    <col min="35" max="35" width="15.1640625" style="13" customWidth="1"/>
    <col min="36" max="36" width="13.1640625" style="12" customWidth="1"/>
    <col min="37" max="37" width="15.33203125" style="13" bestFit="1" customWidth="1"/>
    <col min="38" max="38" width="13.33203125" style="13" bestFit="1" customWidth="1"/>
    <col min="39" max="39" width="15.33203125" style="14" bestFit="1" customWidth="1"/>
    <col min="40" max="40" width="14" style="14" bestFit="1" customWidth="1"/>
    <col min="41" max="41" width="16" style="46" bestFit="1" customWidth="1"/>
    <col min="42" max="42" width="14.33203125" style="15" bestFit="1" customWidth="1"/>
    <col min="43" max="43" width="20.83203125" style="13" customWidth="1"/>
    <col min="44" max="44" width="80.6640625" style="13" customWidth="1" outlineLevel="1"/>
    <col min="45" max="45" width="6.83203125" style="13" customWidth="1"/>
    <col min="46" max="46" width="15.6640625" style="12" bestFit="1" customWidth="1"/>
    <col min="47" max="47" width="43.6640625" style="13" customWidth="1"/>
    <col min="48" max="48" width="43.6640625" style="13" customWidth="1" outlineLevel="1"/>
    <col min="49" max="49" width="6.83203125" style="13" customWidth="1"/>
    <col min="50" max="50" width="11.33203125" style="13" bestFit="1" customWidth="1"/>
    <col min="51" max="54" width="8.33203125" style="12" customWidth="1"/>
    <col min="55" max="56" width="12" style="13" bestFit="1" customWidth="1"/>
    <col min="57" max="57" width="14.33203125" style="13" customWidth="1" outlineLevel="1"/>
    <col min="58" max="58" width="16.1640625" style="13" customWidth="1" outlineLevel="1"/>
    <col min="59" max="62" width="11.83203125" style="13" customWidth="1"/>
    <col min="63" max="66" width="11.83203125" style="12" customWidth="1"/>
    <col min="67" max="67" width="12.83203125" style="12" bestFit="1" customWidth="1"/>
    <col min="68" max="68" width="12.6640625" style="12" bestFit="1" customWidth="1"/>
    <col min="69" max="69" width="13.5" style="12" bestFit="1" customWidth="1"/>
    <col min="70" max="16384" width="8.83203125" style="12"/>
  </cols>
  <sheetData>
    <row r="1" spans="1:70" ht="21" customHeight="1" x14ac:dyDescent="0.15">
      <c r="A1" s="80" t="s">
        <v>108</v>
      </c>
      <c r="B1" s="82" t="s">
        <v>44</v>
      </c>
      <c r="C1" s="85" t="s">
        <v>27</v>
      </c>
      <c r="D1" s="85" t="s">
        <v>30</v>
      </c>
      <c r="E1" s="85" t="s">
        <v>28</v>
      </c>
      <c r="F1" s="85" t="s">
        <v>29</v>
      </c>
      <c r="G1" s="80" t="s">
        <v>1</v>
      </c>
      <c r="H1" s="83" t="s">
        <v>19</v>
      </c>
      <c r="I1" s="84" t="s">
        <v>0</v>
      </c>
      <c r="J1" s="86" t="s">
        <v>49</v>
      </c>
      <c r="K1" s="86" t="s">
        <v>48</v>
      </c>
      <c r="L1" s="86" t="s">
        <v>50</v>
      </c>
      <c r="M1" s="86" t="s">
        <v>51</v>
      </c>
      <c r="N1" s="80" t="s">
        <v>3</v>
      </c>
      <c r="O1" s="87" t="s">
        <v>2</v>
      </c>
      <c r="P1" s="80" t="s">
        <v>97</v>
      </c>
      <c r="Q1" s="88" t="s">
        <v>18</v>
      </c>
      <c r="R1" s="79" t="s">
        <v>52</v>
      </c>
      <c r="S1" s="89" t="s">
        <v>23</v>
      </c>
      <c r="T1" s="89" t="s">
        <v>24</v>
      </c>
      <c r="U1" s="89" t="s">
        <v>26</v>
      </c>
      <c r="V1" s="89" t="s">
        <v>25</v>
      </c>
      <c r="W1" s="84" t="s">
        <v>32</v>
      </c>
      <c r="X1" s="85" t="s">
        <v>53</v>
      </c>
      <c r="Y1" s="84" t="s">
        <v>33</v>
      </c>
      <c r="Z1" s="85" t="s">
        <v>53</v>
      </c>
      <c r="AA1" s="86" t="s">
        <v>23</v>
      </c>
      <c r="AB1" s="86" t="s">
        <v>24</v>
      </c>
      <c r="AC1" s="86" t="s">
        <v>26</v>
      </c>
      <c r="AD1" s="86" t="s">
        <v>25</v>
      </c>
      <c r="AE1" s="90" t="s">
        <v>100</v>
      </c>
      <c r="AF1" s="79" t="s">
        <v>45</v>
      </c>
      <c r="AG1" s="91" t="s">
        <v>58</v>
      </c>
      <c r="AH1" s="79" t="s">
        <v>45</v>
      </c>
      <c r="AI1" s="91" t="s">
        <v>46</v>
      </c>
      <c r="AJ1" s="81" t="s">
        <v>67</v>
      </c>
      <c r="AK1" s="79" t="s">
        <v>21</v>
      </c>
      <c r="AL1" s="92" t="s">
        <v>68</v>
      </c>
      <c r="AM1" s="93" t="s">
        <v>66</v>
      </c>
      <c r="AN1" s="93" t="s">
        <v>69</v>
      </c>
      <c r="AO1" s="94" t="s">
        <v>31</v>
      </c>
      <c r="AP1" s="90" t="s">
        <v>20</v>
      </c>
      <c r="AQ1" s="95" t="s">
        <v>113</v>
      </c>
      <c r="AR1" s="95" t="s">
        <v>107</v>
      </c>
      <c r="AS1" s="79" t="s">
        <v>104</v>
      </c>
      <c r="AT1" s="90" t="s">
        <v>102</v>
      </c>
      <c r="AU1" s="79" t="s">
        <v>110</v>
      </c>
      <c r="AV1" s="95" t="s">
        <v>107</v>
      </c>
      <c r="AW1" s="79" t="s">
        <v>104</v>
      </c>
      <c r="AX1" s="85" t="s">
        <v>4</v>
      </c>
      <c r="AY1" s="96" t="s">
        <v>54</v>
      </c>
      <c r="AZ1" s="96" t="s">
        <v>55</v>
      </c>
      <c r="BA1" s="96" t="s">
        <v>114</v>
      </c>
      <c r="BB1" s="96" t="s">
        <v>56</v>
      </c>
      <c r="BC1" s="5" t="s">
        <v>22</v>
      </c>
      <c r="BD1" s="99" t="s">
        <v>34</v>
      </c>
      <c r="BE1" s="97" t="s">
        <v>5</v>
      </c>
      <c r="BF1" s="98" t="s">
        <v>6</v>
      </c>
      <c r="BG1" s="100" t="s">
        <v>70</v>
      </c>
      <c r="BH1" s="100" t="s">
        <v>71</v>
      </c>
      <c r="BI1" s="100" t="s">
        <v>72</v>
      </c>
      <c r="BJ1" s="100" t="s">
        <v>73</v>
      </c>
      <c r="BK1" s="101" t="s">
        <v>74</v>
      </c>
      <c r="BL1" s="101" t="s">
        <v>95</v>
      </c>
      <c r="BM1" s="101" t="s">
        <v>75</v>
      </c>
      <c r="BN1" s="101" t="s">
        <v>76</v>
      </c>
      <c r="BO1" s="102" t="s">
        <v>77</v>
      </c>
      <c r="BP1" s="103" t="s">
        <v>78</v>
      </c>
      <c r="BQ1" s="81" t="s">
        <v>86</v>
      </c>
      <c r="BR1" s="10" t="s">
        <v>453</v>
      </c>
    </row>
    <row r="2" spans="1:70" ht="26" customHeight="1" x14ac:dyDescent="0.15">
      <c r="A2" s="12">
        <v>752</v>
      </c>
      <c r="B2" s="57" t="str">
        <f ca="1">VLOOKUP($A2,OFFSET([1]characters!$A$1,0,0,COUNTA([1]characters!$A:$A),MATCH(B$1,[1]characters!$1:$1,0)-MATCH($A$1,[1]characters!$1:$1,0)+1),MATCH(B$1,[1]characters!$1:$1,0)-MATCH($A$1,[1]characters!$1:$1,0)+1,FALSE)</f>
        <v>ムラマサ</v>
      </c>
      <c r="C2" s="57" t="str">
        <f ca="1">VLOOKUP($A2,OFFSET([1]characters!$A$1,0,0,COUNTA([1]characters!$A:$A),MATCH(C$1,[1]characters!$1:$1,0)-MATCH($A$1,[1]characters!$1:$1,0)+1),MATCH(C$1,[1]characters!$1:$1,0)-MATCH($A$1,[1]characters!$1:$1,0)+1,FALSE)</f>
        <v>イベント:ランキング01</v>
      </c>
      <c r="D2" s="57" t="str">
        <f ca="1">VLOOKUP($A2,OFFSET([1]characters!$A$1,0,0,COUNTA([1]characters!$A:$A),MATCH(D$1,[1]characters!$1:$1,0)-MATCH($A$1,[1]characters!$1:$1,0)+1),MATCH(D$1,[1]characters!$1:$1,0)-MATCH($A$1,[1]characters!$1:$1,0)+1,FALSE)</f>
        <v>執行者</v>
      </c>
      <c r="E2" s="57" t="str">
        <f ca="1">VLOOKUP($A2,OFFSET([1]characters!$A$1,0,0,COUNTA([1]characters!$A:$A),MATCH(E$1,[1]characters!$1:$1,0)-MATCH($A$1,[1]characters!$1:$1,0)+1),MATCH(E$1,[1]characters!$1:$1,0)-MATCH($A$1,[1]characters!$1:$1,0)+1,FALSE)</f>
        <v>格好いい</v>
      </c>
      <c r="F2" s="57" t="str">
        <f ca="1">VLOOKUP($A2,OFFSET([1]characters!$A$1,0,0,COUNTA([1]characters!$A:$A),MATCH(F$1,[1]characters!$1:$1,0)-MATCH($A$1,[1]characters!$1:$1,0)+1),MATCH(F$1,[1]characters!$1:$1,0)-MATCH($A$1,[1]characters!$1:$1,0)+1,FALSE)</f>
        <v>男性</v>
      </c>
      <c r="G2" s="57">
        <f ca="1">VLOOKUP($A2,OFFSET([1]characters!$A$1,0,0,COUNTA([1]characters!$A:$A),MATCH(G$1,[1]characters!$1:$1,0)-MATCH($A$1,[1]characters!$1:$1,0)+1),MATCH(G$1,[1]characters!$1:$1,0)-MATCH($A$1,[1]characters!$1:$1,0)+1,FALSE)</f>
        <v>5</v>
      </c>
      <c r="H2" s="57" t="str">
        <f ca="1">VLOOKUP($A2,OFFSET([1]characters!$A$1,0,0,COUNTA([1]characters!$A:$A),MATCH(H$1,[1]characters!$1:$1,0)-MATCH($A$1,[1]characters!$1:$1,0)+1),MATCH(H$1,[1]characters!$1:$1,0)-MATCH($A$1,[1]characters!$1:$1,0)+1,FALSE)</f>
        <v>DropWizSSS</v>
      </c>
      <c r="I2" s="57" t="str">
        <f ca="1">VLOOKUP($A2,OFFSET([1]characters!$A$1,0,0,COUNTA([1]characters!$A:$A),MATCH(I$1,[1]characters!$1:$1,0)-MATCH($A$1,[1]characters!$1:$1,0)+1),MATCH(I$1,[1]characters!$1:$1,0)-MATCH($A$1,[1]characters!$1:$1,0)+1,FALSE)</f>
        <v>red</v>
      </c>
      <c r="J2" s="11">
        <f ca="1">VLOOKUP(I2,[1]属性!$A:$E,2,FALSE)</f>
        <v>1</v>
      </c>
      <c r="K2" s="11">
        <f ca="1">VLOOKUP(I2,[1]属性!$A:$E,3,FALSE)</f>
        <v>1.02</v>
      </c>
      <c r="L2" s="11">
        <f ca="1">VLOOKUP(I2,[1]属性!$A:$E,4,FALSE)</f>
        <v>1</v>
      </c>
      <c r="M2" s="11">
        <f ca="1">VLOOKUP(I2,[1]属性!$A:$E,5,FALSE)</f>
        <v>0.98</v>
      </c>
      <c r="N2" s="11">
        <f ca="1">INDEX(コスト!$A$1:$I$20,MATCH(H2,コスト!$A$1:$A$20,FALSE),MATCH(G2,コスト!$A$1:$I$1,FALSE))</f>
        <v>40</v>
      </c>
      <c r="O2" s="11">
        <f ca="1">INDEX(レベル!$A$1:$I$21,MATCH(H2,レベル!$A$1:$A$21,FALSE),MATCH(G2,レベル!$A$1:$I$1,FALSE))</f>
        <v>80</v>
      </c>
      <c r="P2" s="48">
        <f ca="1">IF(G2 &gt;= 6, 99,G2*15)</f>
        <v>75</v>
      </c>
      <c r="Q2" s="57" t="str">
        <f ca="1">VLOOKUP($A2,OFFSET([1]characters!$A$1,0,0,COUNTA([1]characters!$A:$A),MATCH(Q$1,[1]characters!$1:$1,0)-MATCH($A$1,[1]characters!$1:$1,0)+1),MATCH(Q$1,[1]characters!$1:$1,0)-MATCH($A$1,[1]characters!$1:$1,0)+1,FALSE)</f>
        <v>attack</v>
      </c>
      <c r="R2" s="5" t="str">
        <f ca="1">VLOOKUP(Q2,[1]character_type_i18n!$A:$H,3,FALSE)</f>
        <v>攻撃タイプ</v>
      </c>
      <c r="S2" s="11">
        <f ca="1">VLOOKUP(Q2,[1]character_type_i18n!$A:$H,4,FALSE)</f>
        <v>1</v>
      </c>
      <c r="T2" s="11">
        <f ca="1">VLOOKUP(Q2,[1]character_type_i18n!$A:$H,5,FALSE)</f>
        <v>1.33</v>
      </c>
      <c r="U2" s="11">
        <f ca="1">VLOOKUP(Q2,[1]character_type_i18n!$A:$H,6,FALSE)</f>
        <v>1</v>
      </c>
      <c r="V2" s="11">
        <f ca="1">VLOOKUP(Q2,[1]character_type_i18n!$A:$H,7,FALSE)</f>
        <v>0.67</v>
      </c>
      <c r="W2" s="57" t="str">
        <f ca="1">VLOOKUP($A2,OFFSET([1]characters!$A$1,0,0,COUNTA([1]characters!$A:$A),MATCH(W$1,[1]characters!$1:$1,0)-MATCH($A$1,[1]characters!$1:$1,0)+1),MATCH(W$1,[1]characters!$1:$1,0)-MATCH($A$1,[1]characters!$1:$1,0)+1,FALSE)</f>
        <v>weapon</v>
      </c>
      <c r="X2" s="5" t="str">
        <f ca="1">VLOOKUP(W2,[1]character_tribe_i18n!$A:$H,3,FALSE)</f>
        <v>ウェポン</v>
      </c>
      <c r="Y2" s="57" t="str">
        <f ca="1">VLOOKUP($A2,OFFSET([1]characters!$A$1,0,0,COUNTA([1]characters!$A:$A),MATCH(Y$1,[1]characters!$1:$1,0)-MATCH($A$1,[1]characters!$1:$1,0)+1),MATCH(Y$1,[1]characters!$1:$1,0)-MATCH($A$1,[1]characters!$1:$1,0)+1,FALSE)</f>
        <v>none</v>
      </c>
      <c r="Z2" s="5" t="str">
        <f ca="1">VLOOKUP(Y2,[1]character_tribe_i18n!$A:$H,3,FALSE)</f>
        <v>種族なし</v>
      </c>
      <c r="AA2" s="11">
        <f ca="1">VLOOKUP(W2,[1]character_tribe_i18n!$A:$H,4,FALSE)</f>
        <v>1</v>
      </c>
      <c r="AB2" s="11">
        <f ca="1">VLOOKUP(W2,[1]character_tribe_i18n!$A:$H,5,FALSE)</f>
        <v>1</v>
      </c>
      <c r="AC2" s="11">
        <f ca="1">VLOOKUP(W2,[1]character_tribe_i18n!$A:$H,6,FALSE)</f>
        <v>1</v>
      </c>
      <c r="AD2" s="11">
        <f ca="1">VLOOKUP(W2,[1]character_tribe_i18n!$A:$H,7,FALSE)</f>
        <v>1</v>
      </c>
      <c r="AE2" s="9">
        <f>A3</f>
        <v>753</v>
      </c>
      <c r="AF2" s="62" t="str">
        <f ca="1">IF(AE2="NULL","",VLOOKUP($AE2,OFFSET([1]characters!$A$1,0,0,COUNTA([1]characters!$A:$A),MATCH(AF$1,[1]characters!$1:$1,0)-MATCH($A$1,[1]characters!$1:$1,0)+1),MATCH(AF$1,[1]characters!$1:$1,0)-MATCH($A$1,[1]characters!$1:$1,0)+1,FALSE))</f>
        <v>皆斬の虐器 ムラマサ</v>
      </c>
      <c r="AG2" s="5">
        <f t="shared" ref="AG2:AG13" ca="1" si="0">IF(ISNA(MATCH(A2,AE:AE,0)),A2,INDIRECT(ADDRESS(MATCH(A2,AE:AE,0),COLUMN())))</f>
        <v>752</v>
      </c>
      <c r="AH2" s="62" t="str">
        <f ca="1">VLOOKUP($AG2,OFFSET([1]characters!$A$1,0,0,COUNTA([1]characters!$A:$A),MATCH(AH$1,[1]characters!$1:$1,0)-MATCH($A$1,[1]characters!$1:$1,0)+1),MATCH(AH$1,[1]characters!$1:$1,0)-MATCH($A$1,[1]characters!$1:$1,0)+1,FALSE)</f>
        <v>ムラマサ</v>
      </c>
      <c r="AI2" s="11">
        <f ca="1">IF(AE2="NULL","NULL",VLOOKUP(G2,ビット!$A$2:$B$7,2))</f>
        <v>200000</v>
      </c>
      <c r="AJ2" s="6">
        <v>2</v>
      </c>
      <c r="AK2" s="7" t="str">
        <f t="shared" ref="AK2:AK13" si="1">IF(AJ2=1,"早熟",IF(AJ2=2,"普通",IF(AJ2=3,"晩成","")))</f>
        <v>普通</v>
      </c>
      <c r="AL2" s="11" t="str">
        <f ca="1">INDEX(経験値!$A$1:$I$20,MATCH(H2,経験値!$A$1:$A$20,FALSE),MATCH(G2,経験値!$A$1:$I$1,FALSE))</f>
        <v>required_exp_200</v>
      </c>
      <c r="AM2" s="8">
        <f ca="1">VLOOKUP(G2,経験値!$A$27:$B$31,2)</f>
        <v>6400</v>
      </c>
      <c r="AN2" s="17">
        <f ca="1">VLOOKUP(G2,ビット!$G$2:$H$7,2)</f>
        <v>900</v>
      </c>
      <c r="AO2" s="45"/>
      <c r="AP2" s="66">
        <f>A2</f>
        <v>752</v>
      </c>
      <c r="AQ2" s="57" t="str">
        <f ca="1">VLOOKUP($AP2,OFFSET(unit_skills!$A$1,0,0,COUNTA(unit_skills!$A:$A),MATCH(AQ$1,unit_skills!$1:$1,0)-MATCH($AP$1,unit_skills!$1:$1,0)+1),MATCH(AQ$1,unit_skills!$1:$1,0)-MATCH($AP$1,unit_skills!$1:$1,0)+1,FALSE)</f>
        <v>外道の精彩</v>
      </c>
      <c r="AR2" s="57" t="str">
        <f ca="1">VLOOKUP($AP2,OFFSET(unit_skills!$A$1,0,0,COUNTA(unit_skills!$A:$A),MATCH(AR$1,unit_skills!$1:$1,0)-MATCH($AP$1,unit_skills!$1:$1,0)+1),MATCH(AR$1,unit_skills!$1:$1,0)-MATCH($AP$1,unit_skills!$1:$1,0)+1,FALSE)</f>
        <v>1体に特大ダメージを与え、与えたダメージの30%でHP回復</v>
      </c>
      <c r="AS2" s="57">
        <f ca="1">VLOOKUP($AP2,OFFSET(unit_skills!$A$1,0,0,COUNTA(unit_skills!$A:$A),MATCH(AS$1,unit_skills!$1:$1,0)-MATCH($AP$1,unit_skills!$1:$1,0)+1),MATCH(AS$1,unit_skills!$1:$1,0)-MATCH($AP$1,unit_skills!$1:$1,0)+1,FALSE)</f>
        <v>0</v>
      </c>
      <c r="AT2" s="41">
        <f>A2</f>
        <v>752</v>
      </c>
      <c r="AU2" s="57" t="str">
        <f ca="1">VLOOKUP($AT2,OFFSET(crash_skills!$A$1,0,0,COUNTA(crash_skills!$A:$A),MATCH(AU$1,crash_skills!$1:$1,0)-MATCH($AT$1,crash_skills!$1:$1,0)+1),MATCH(AU$1,crash_skills!$1:$1,0)-MATCH($AT$1,crash_skills!$1:$1,0)+1,FALSE)</f>
        <v>サディスティック・トゥース</v>
      </c>
      <c r="AV2" s="57" t="str">
        <f ca="1">VLOOKUP($AT2,OFFSET(crash_skills!$A$1,0,0,COUNTA(crash_skills!$A:$A),MATCH(AV$1,crash_skills!$1:$1,0)-MATCH($AT$1,crash_skills!$1:$1,0)+1),MATCH(AV$1,crash_skills!$1:$1,0)-MATCH($AT$1,crash_skills!$1:$1,0)+1,FALSE)</f>
        <v>1体に大ダメージ</v>
      </c>
      <c r="AW2" s="57">
        <f ca="1">VLOOKUP($AT2,OFFSET(crash_skills!$A$1,0,0,COUNTA(crash_skills!$A:$A),MATCH(AW$1,crash_skills!$1:$1,0)-MATCH($AT$1,crash_skills!$1:$1,0)+1),MATCH(AW$1,crash_skills!$1:$1,0)-MATCH($AT$1,crash_skills!$1:$1,0)+1,FALSE)</f>
        <v>0</v>
      </c>
      <c r="AX2" s="58">
        <f ca="1">VLOOKUP($A2,OFFSET([1]characters!$A$1,0,0,COUNTA([1]characters!$A:$A),MATCH(AX$1,[1]characters!$1:$1,0)-MATCH($A$1,[1]characters!$1:$1,0)+1),MATCH(AX$1,[1]characters!$1:$1,0)-MATCH($A$1,[1]characters!$1:$1,0)+1,FALSE)</f>
        <v>3</v>
      </c>
      <c r="AY2" s="67">
        <v>1.04</v>
      </c>
      <c r="AZ2" s="67">
        <v>1</v>
      </c>
      <c r="BA2" s="67">
        <v>0</v>
      </c>
      <c r="BB2" s="67">
        <v>0.94</v>
      </c>
      <c r="BC2" s="11">
        <f ca="1">INDEX('RC6SV'!$A$1:$G$20,MATCH(H2,'RC6SV'!$A$1:$A$20,FALSE),MATCH(G2,'RC6SV'!$A$1:$G$1,FALSE))</f>
        <v>10000</v>
      </c>
      <c r="BD2" s="48">
        <f t="shared" ref="BD2:BD13" ca="1" si="2">ROUND(BC2*IF(AJ2=1,0.95,IF(AJ2=2,1,IF(AJ2,1.05,0))),0)</f>
        <v>10000</v>
      </c>
      <c r="BE2" s="11">
        <f t="shared" ref="BE2:BE13" ca="1" si="3">ROUND(IFERROR(INDIRECT(ADDRESS(MATCH($A2,$AE:$AE,0),MATCH($BC$1,$1:$1,0))),0),0)</f>
        <v>0</v>
      </c>
      <c r="BF2" s="11">
        <f t="shared" ref="BF2:BF13" ca="1" si="4">ROUND(IFERROR(INDIRECT(ADDRESS(MATCH($A2,$AE:$AE,0),10)),INDIRECT(ADDRESS(MATCH($A2,$A:$A,0),10))),0)</f>
        <v>1</v>
      </c>
      <c r="BG2" s="16">
        <f ca="1">IF($BE2&lt;=0,ROUND(BK2*0.5,0), ROUND($BE2*S2*AA2*J2*AY2*0.8*[1]ステータス!$B$2,0))</f>
        <v>2600</v>
      </c>
      <c r="BH2" s="16">
        <f ca="1">IF($BE2&lt;=0,ROUND(BL2*0.5,0), ROUND($BE2*T2*AB2*K2*AZ2*0.8*[1]ステータス!$C$2,0))</f>
        <v>2035</v>
      </c>
      <c r="BI2" s="16">
        <f ca="1">IF($BE2&lt;=0,ROUND(BM2*0.5,0), ROUND($BE2*U2*AC2*L2*BA2*0.8*[1]ステータス!$D$2,0))</f>
        <v>0</v>
      </c>
      <c r="BJ2" s="16">
        <f ca="1">IF($BE2&lt;=0,ROUND(BN2*0.5,0), ROUND($BE2*V2*AD2*M2*BB2*0.8*[1]ステータス!$E$2,0))</f>
        <v>772</v>
      </c>
      <c r="BK2" s="11">
        <f ca="1">ROUND(BD2*S2*AA2*J2*AY2*[1]ステータス!$B$2,0)</f>
        <v>5200</v>
      </c>
      <c r="BL2" s="11">
        <f ca="1">ROUND(BD2*T2*AB2*K2*AZ2*[1]ステータス!$C$2,0)</f>
        <v>4070</v>
      </c>
      <c r="BM2" s="11">
        <f ca="1">ROUND(BD2*U2*AC2*L2*BA2*[1]ステータス!$D$2,0)</f>
        <v>0</v>
      </c>
      <c r="BN2" s="11">
        <f ca="1">ROUND(BD2*V2*AD2*M2*BB2*[1]ステータス!$E$2,0)</f>
        <v>1543</v>
      </c>
      <c r="BO2" s="10">
        <v>0</v>
      </c>
      <c r="BP2" s="10">
        <v>1</v>
      </c>
      <c r="BQ2" s="10" t="s">
        <v>47</v>
      </c>
      <c r="BR2" s="206">
        <v>1</v>
      </c>
    </row>
    <row r="3" spans="1:70" ht="26" customHeight="1" x14ac:dyDescent="0.15">
      <c r="A3" s="12">
        <v>753</v>
      </c>
      <c r="B3" s="57" t="str">
        <f ca="1">VLOOKUP($A3,OFFSET([1]characters!$A$1,0,0,COUNTA([1]characters!$A:$A),MATCH(B$1,[1]characters!$1:$1,0)-MATCH($A$1,[1]characters!$1:$1,0)+1),MATCH(B$1,[1]characters!$1:$1,0)-MATCH($A$1,[1]characters!$1:$1,0)+1,FALSE)</f>
        <v>皆斬の虐器 ムラマサ</v>
      </c>
      <c r="C3" s="57" t="str">
        <f ca="1">VLOOKUP($A3,OFFSET([1]characters!$A$1,0,0,COUNTA([1]characters!$A:$A),MATCH(C$1,[1]characters!$1:$1,0)-MATCH($A$1,[1]characters!$1:$1,0)+1),MATCH(C$1,[1]characters!$1:$1,0)-MATCH($A$1,[1]characters!$1:$1,0)+1,FALSE)</f>
        <v>イベント:ランキング01</v>
      </c>
      <c r="D3" s="57" t="str">
        <f ca="1">VLOOKUP($A3,OFFSET([1]characters!$A$1,0,0,COUNTA([1]characters!$A:$A),MATCH(D$1,[1]characters!$1:$1,0)-MATCH($A$1,[1]characters!$1:$1,0)+1),MATCH(D$1,[1]characters!$1:$1,0)-MATCH($A$1,[1]characters!$1:$1,0)+1,FALSE)</f>
        <v>執行者</v>
      </c>
      <c r="E3" s="57" t="str">
        <f ca="1">VLOOKUP($A3,OFFSET([1]characters!$A$1,0,0,COUNTA([1]characters!$A:$A),MATCH(E$1,[1]characters!$1:$1,0)-MATCH($A$1,[1]characters!$1:$1,0)+1),MATCH(E$1,[1]characters!$1:$1,0)-MATCH($A$1,[1]characters!$1:$1,0)+1,FALSE)</f>
        <v>格好いい</v>
      </c>
      <c r="F3" s="57" t="str">
        <f ca="1">VLOOKUP($A3,OFFSET([1]characters!$A$1,0,0,COUNTA([1]characters!$A:$A),MATCH(F$1,[1]characters!$1:$1,0)-MATCH($A$1,[1]characters!$1:$1,0)+1),MATCH(F$1,[1]characters!$1:$1,0)-MATCH($A$1,[1]characters!$1:$1,0)+1,FALSE)</f>
        <v>男性</v>
      </c>
      <c r="G3" s="57">
        <f ca="1">VLOOKUP($A3,OFFSET([1]characters!$A$1,0,0,COUNTA([1]characters!$A:$A),MATCH(G$1,[1]characters!$1:$1,0)-MATCH($A$1,[1]characters!$1:$1,0)+1),MATCH(G$1,[1]characters!$1:$1,0)-MATCH($A$1,[1]characters!$1:$1,0)+1,FALSE)</f>
        <v>6</v>
      </c>
      <c r="H3" s="57" t="str">
        <f ca="1">VLOOKUP($A3,OFFSET([1]characters!$A$1,0,0,COUNTA([1]characters!$A:$A),MATCH(H$1,[1]characters!$1:$1,0)-MATCH($A$1,[1]characters!$1:$1,0)+1),MATCH(H$1,[1]characters!$1:$1,0)-MATCH($A$1,[1]characters!$1:$1,0)+1,FALSE)</f>
        <v>DropWizSSS</v>
      </c>
      <c r="I3" s="57" t="str">
        <f ca="1">VLOOKUP($A3,OFFSET([1]characters!$A$1,0,0,COUNTA([1]characters!$A:$A),MATCH(I$1,[1]characters!$1:$1,0)-MATCH($A$1,[1]characters!$1:$1,0)+1),MATCH(I$1,[1]characters!$1:$1,0)-MATCH($A$1,[1]characters!$1:$1,0)+1,FALSE)</f>
        <v>red</v>
      </c>
      <c r="J3" s="11">
        <f ca="1">VLOOKUP(I3,[1]属性!$A:$E,2,FALSE)</f>
        <v>1</v>
      </c>
      <c r="K3" s="11">
        <f ca="1">VLOOKUP(I3,[1]属性!$A:$E,3,FALSE)</f>
        <v>1.02</v>
      </c>
      <c r="L3" s="11">
        <f ca="1">VLOOKUP(I3,[1]属性!$A:$E,4,FALSE)</f>
        <v>1</v>
      </c>
      <c r="M3" s="11">
        <f ca="1">VLOOKUP(I3,[1]属性!$A:$E,5,FALSE)</f>
        <v>0.98</v>
      </c>
      <c r="N3" s="11">
        <f ca="1">INDEX(コスト!$A$1:$I$20,MATCH(H3,コスト!$A$1:$A$20,FALSE),MATCH(G3,コスト!$A$1:$I$1,FALSE))</f>
        <v>55</v>
      </c>
      <c r="O3" s="11">
        <f ca="1">INDEX(レベル!$A$1:$I$21,MATCH(H3,レベル!$A$1:$A$21,FALSE),MATCH(G3,レベル!$A$1:$I$1,FALSE))</f>
        <v>99</v>
      </c>
      <c r="P3" s="48">
        <f t="shared" ref="P3:P13" ca="1" si="5">IF(G3 &gt;= 6, 99,G3*15)</f>
        <v>99</v>
      </c>
      <c r="Q3" s="57" t="str">
        <f ca="1">VLOOKUP($A3,OFFSET([1]characters!$A$1,0,0,COUNTA([1]characters!$A:$A),MATCH(Q$1,[1]characters!$1:$1,0)-MATCH($A$1,[1]characters!$1:$1,0)+1),MATCH(Q$1,[1]characters!$1:$1,0)-MATCH($A$1,[1]characters!$1:$1,0)+1,FALSE)</f>
        <v>attack</v>
      </c>
      <c r="R3" s="5" t="str">
        <f ca="1">VLOOKUP(Q3,[1]character_type_i18n!$A:$H,3,FALSE)</f>
        <v>攻撃タイプ</v>
      </c>
      <c r="S3" s="11">
        <f ca="1">VLOOKUP(Q3,[1]character_type_i18n!$A:$H,4,FALSE)</f>
        <v>1</v>
      </c>
      <c r="T3" s="11">
        <f ca="1">VLOOKUP(Q3,[1]character_type_i18n!$A:$H,5,FALSE)</f>
        <v>1.33</v>
      </c>
      <c r="U3" s="11">
        <f ca="1">VLOOKUP(Q3,[1]character_type_i18n!$A:$H,6,FALSE)</f>
        <v>1</v>
      </c>
      <c r="V3" s="11">
        <f ca="1">VLOOKUP(Q3,[1]character_type_i18n!$A:$H,7,FALSE)</f>
        <v>0.67</v>
      </c>
      <c r="W3" s="57" t="str">
        <f ca="1">VLOOKUP($A3,OFFSET([1]characters!$A$1,0,0,COUNTA([1]characters!$A:$A),MATCH(W$1,[1]characters!$1:$1,0)-MATCH($A$1,[1]characters!$1:$1,0)+1),MATCH(W$1,[1]characters!$1:$1,0)-MATCH($A$1,[1]characters!$1:$1,0)+1,FALSE)</f>
        <v>weapon</v>
      </c>
      <c r="X3" s="5" t="str">
        <f ca="1">VLOOKUP(W3,[1]character_tribe_i18n!$A:$H,3,FALSE)</f>
        <v>ウェポン</v>
      </c>
      <c r="Y3" s="57" t="str">
        <f ca="1">VLOOKUP($A3,OFFSET([1]characters!$A$1,0,0,COUNTA([1]characters!$A:$A),MATCH(Y$1,[1]characters!$1:$1,0)-MATCH($A$1,[1]characters!$1:$1,0)+1),MATCH(Y$1,[1]characters!$1:$1,0)-MATCH($A$1,[1]characters!$1:$1,0)+1,FALSE)</f>
        <v>none</v>
      </c>
      <c r="Z3" s="5" t="str">
        <f ca="1">VLOOKUP(Y3,[1]character_tribe_i18n!$A:$H,3,FALSE)</f>
        <v>種族なし</v>
      </c>
      <c r="AA3" s="11">
        <f ca="1">VLOOKUP(W3,[1]character_tribe_i18n!$A:$H,4,FALSE)</f>
        <v>1</v>
      </c>
      <c r="AB3" s="11">
        <f ca="1">VLOOKUP(W3,[1]character_tribe_i18n!$A:$H,5,FALSE)</f>
        <v>1</v>
      </c>
      <c r="AC3" s="11">
        <f ca="1">VLOOKUP(W3,[1]character_tribe_i18n!$A:$H,6,FALSE)</f>
        <v>1</v>
      </c>
      <c r="AD3" s="11">
        <f ca="1">VLOOKUP(W3,[1]character_tribe_i18n!$A:$H,7,FALSE)</f>
        <v>1</v>
      </c>
      <c r="AE3" s="9" t="s">
        <v>183</v>
      </c>
      <c r="AF3" s="62" t="str">
        <f ca="1">IF(AE3="NULL","",VLOOKUP($AE3,OFFSET([1]characters!$A$1,0,0,COUNTA([1]characters!$A:$A),MATCH(AF$1,[1]characters!$1:$1,0)-MATCH($A$1,[1]characters!$1:$1,0)+1),MATCH(AF$1,[1]characters!$1:$1,0)-MATCH($A$1,[1]characters!$1:$1,0)+1,FALSE))</f>
        <v/>
      </c>
      <c r="AG3" s="5">
        <f t="shared" ca="1" si="0"/>
        <v>752</v>
      </c>
      <c r="AH3" s="62" t="str">
        <f ca="1">VLOOKUP($AG3,OFFSET([1]characters!$A$1,0,0,COUNTA([1]characters!$A:$A),MATCH(AH$1,[1]characters!$1:$1,0)-MATCH($A$1,[1]characters!$1:$1,0)+1),MATCH(AH$1,[1]characters!$1:$1,0)-MATCH($A$1,[1]characters!$1:$1,0)+1,FALSE)</f>
        <v>ムラマサ</v>
      </c>
      <c r="AI3" s="11" t="str">
        <f>IF(AE3="NULL","NULL",VLOOKUP(G3,ビット!$A$2:$B$7,2))</f>
        <v>NULL</v>
      </c>
      <c r="AJ3" s="6">
        <v>2</v>
      </c>
      <c r="AK3" s="7" t="str">
        <f t="shared" si="1"/>
        <v>普通</v>
      </c>
      <c r="AL3" s="11" t="str">
        <f ca="1">INDEX(経験値!$A$1:$I$20,MATCH(H3,経験値!$A$1:$A$20,FALSE),MATCH(G3,経験値!$A$1:$I$1,FALSE))</f>
        <v>required_exp_300</v>
      </c>
      <c r="AM3" s="8">
        <f ca="1">VLOOKUP(G3,経験値!$A$27:$B$31,2)</f>
        <v>6400</v>
      </c>
      <c r="AN3" s="17">
        <f ca="1">VLOOKUP(G3,ビット!$G$2:$H$7,2)</f>
        <v>900</v>
      </c>
      <c r="AO3" s="45"/>
      <c r="AP3" s="66">
        <f t="shared" ref="AP3:AP13" si="6">A3</f>
        <v>753</v>
      </c>
      <c r="AQ3" s="57" t="str">
        <f ca="1">VLOOKUP($AP3,OFFSET(unit_skills!$A$1,0,0,COUNTA(unit_skills!$A:$A),MATCH(AQ$1,unit_skills!$1:$1,0)-MATCH($AP$1,unit_skills!$1:$1,0)+1),MATCH(AQ$1,unit_skills!$1:$1,0)-MATCH($AP$1,unit_skills!$1:$1,0)+1,FALSE)</f>
        <v>外道の極彩</v>
      </c>
      <c r="AR3" s="57" t="str">
        <f ca="1">VLOOKUP($AP3,OFFSET(unit_skills!$A$1,0,0,COUNTA(unit_skills!$A:$A),MATCH(AR$1,unit_skills!$1:$1,0)-MATCH($AP$1,unit_skills!$1:$1,0)+1),MATCH(AR$1,unit_skills!$1:$1,0)-MATCH($AP$1,unit_skills!$1:$1,0)+1,FALSE)</f>
        <v>青・緑パネルを黄パネルに変換+1体に超大ダメージ(与えたダメージの30%でHP回復)+1ターンの間、青パネルが出現しない</v>
      </c>
      <c r="AS3" s="57">
        <f ca="1">VLOOKUP($AP3,OFFSET(unit_skills!$A$1,0,0,COUNTA(unit_skills!$A:$A),MATCH(AS$1,unit_skills!$1:$1,0)-MATCH($AP$1,unit_skills!$1:$1,0)+1),MATCH(AS$1,unit_skills!$1:$1,0)-MATCH($AP$1,unit_skills!$1:$1,0)+1,FALSE)</f>
        <v>0</v>
      </c>
      <c r="AT3" s="41">
        <f t="shared" ref="AT3:AT13" si="7">A3</f>
        <v>753</v>
      </c>
      <c r="AU3" s="57" t="str">
        <f ca="1">VLOOKUP($AT3,OFFSET(crash_skills!$A$1,0,0,COUNTA(crash_skills!$A:$A),MATCH(AU$1,crash_skills!$1:$1,0)-MATCH($AT$1,crash_skills!$1:$1,0)+1),MATCH(AU$1,crash_skills!$1:$1,0)-MATCH($AT$1,crash_skills!$1:$1,0)+1,FALSE)</f>
        <v>バイオレント・トゥース</v>
      </c>
      <c r="AV3" s="57" t="str">
        <f ca="1">VLOOKUP($AT3,OFFSET(crash_skills!$A$1,0,0,COUNTA(crash_skills!$A:$A),MATCH(AV$1,crash_skills!$1:$1,0)-MATCH($AT$1,crash_skills!$1:$1,0)+1),MATCH(AV$1,crash_skills!$1:$1,0)-MATCH($AT$1,crash_skills!$1:$1,0)+1,FALSE)</f>
        <v>1体に特大ダメージ</v>
      </c>
      <c r="AW3" s="57">
        <f ca="1">VLOOKUP($AT3,OFFSET(crash_skills!$A$1,0,0,COUNTA(crash_skills!$A:$A),MATCH(AW$1,crash_skills!$1:$1,0)-MATCH($AT$1,crash_skills!$1:$1,0)+1),MATCH(AW$1,crash_skills!$1:$1,0)-MATCH($AT$1,crash_skills!$1:$1,0)+1,FALSE)</f>
        <v>0</v>
      </c>
      <c r="AX3" s="58">
        <f ca="1">VLOOKUP($A3,OFFSET([1]characters!$A$1,0,0,COUNTA([1]characters!$A:$A),MATCH(AX$1,[1]characters!$1:$1,0)-MATCH($A$1,[1]characters!$1:$1,0)+1),MATCH(AX$1,[1]characters!$1:$1,0)-MATCH($A$1,[1]characters!$1:$1,0)+1,FALSE)</f>
        <v>3</v>
      </c>
      <c r="AY3" s="67">
        <v>1.04</v>
      </c>
      <c r="AZ3" s="67">
        <v>1</v>
      </c>
      <c r="BA3" s="67">
        <v>0</v>
      </c>
      <c r="BB3" s="67">
        <v>0.94</v>
      </c>
      <c r="BC3" s="11">
        <f ca="1">INDEX('RC6SV'!$A$1:$G$20,MATCH(H3,'RC6SV'!$A$1:$A$20,FALSE),MATCH(G3,'RC6SV'!$A$1:$G$1,FALSE))</f>
        <v>14000</v>
      </c>
      <c r="BD3" s="48">
        <f t="shared" ca="1" si="2"/>
        <v>14000</v>
      </c>
      <c r="BE3" s="11">
        <f t="shared" ca="1" si="3"/>
        <v>10000</v>
      </c>
      <c r="BF3" s="11">
        <f t="shared" ca="1" si="4"/>
        <v>1</v>
      </c>
      <c r="BG3" s="16">
        <f ca="1">IF($BE3&lt;=0,ROUND(BK3*0.5,0), ROUND($BE3*S3*AA3*J3*AY3*0.8*[1]ステータス!$B$2,0))</f>
        <v>4160</v>
      </c>
      <c r="BH3" s="16">
        <f ca="1">IF($BE3&lt;=0,ROUND(BL3*0.5,0), ROUND($BE3*T3*AB3*K3*AZ3*0.8*[1]ステータス!$C$2,0))</f>
        <v>3256</v>
      </c>
      <c r="BI3" s="16">
        <f ca="1">IF($BE3&lt;=0,ROUND(BM3*0.5,0), ROUND($BE3*U3*AC3*L3*BA3*0.8*[1]ステータス!$D$2,0))</f>
        <v>0</v>
      </c>
      <c r="BJ3" s="16">
        <f ca="1">IF($BE3&lt;=0,ROUND(BN3*0.5,0), ROUND($BE3*V3*AD3*M3*BB3*0.8*[1]ステータス!$E$2,0))</f>
        <v>1234</v>
      </c>
      <c r="BK3" s="11">
        <f ca="1">ROUND(BD3*S3*AA3*J3*AY3*[1]ステータス!$B$2,0)</f>
        <v>7280</v>
      </c>
      <c r="BL3" s="11">
        <f ca="1">ROUND(BD3*T3*AB3*K3*AZ3*[1]ステータス!$C$2,0)</f>
        <v>5698</v>
      </c>
      <c r="BM3" s="11">
        <f ca="1">ROUND(BD3*U3*AC3*L3*BA3*[1]ステータス!$D$2,0)</f>
        <v>0</v>
      </c>
      <c r="BN3" s="11">
        <f ca="1">ROUND(BD3*V3*AD3*M3*BB3*[1]ステータス!$E$2,0)</f>
        <v>2160</v>
      </c>
      <c r="BO3" s="10">
        <v>0</v>
      </c>
      <c r="BP3" s="10">
        <v>1</v>
      </c>
      <c r="BQ3" s="10" t="s">
        <v>47</v>
      </c>
      <c r="BR3" s="206">
        <v>1</v>
      </c>
    </row>
    <row r="4" spans="1:70" ht="26" customHeight="1" x14ac:dyDescent="0.15">
      <c r="A4" s="12">
        <v>754</v>
      </c>
      <c r="B4" s="57" t="str">
        <f ca="1">VLOOKUP($A4,OFFSET([1]characters!$A$1,0,0,COUNTA([1]characters!$A:$A),MATCH(B$1,[1]characters!$1:$1,0)-MATCH($A$1,[1]characters!$1:$1,0)+1),MATCH(B$1,[1]characters!$1:$1,0)-MATCH($A$1,[1]characters!$1:$1,0)+1,FALSE)</f>
        <v>マサムネ</v>
      </c>
      <c r="C4" s="57" t="str">
        <f ca="1">VLOOKUP($A4,OFFSET([1]characters!$A$1,0,0,COUNTA([1]characters!$A:$A),MATCH(C$1,[1]characters!$1:$1,0)-MATCH($A$1,[1]characters!$1:$1,0)+1),MATCH(C$1,[1]characters!$1:$1,0)-MATCH($A$1,[1]characters!$1:$1,0)+1,FALSE)</f>
        <v>イベント:ランキング01</v>
      </c>
      <c r="D4" s="57" t="str">
        <f ca="1">VLOOKUP($A4,OFFSET([1]characters!$A$1,0,0,COUNTA([1]characters!$A:$A),MATCH(D$1,[1]characters!$1:$1,0)-MATCH($A$1,[1]characters!$1:$1,0)+1),MATCH(D$1,[1]characters!$1:$1,0)-MATCH($A$1,[1]characters!$1:$1,0)+1,FALSE)</f>
        <v>執行者</v>
      </c>
      <c r="E4" s="57" t="str">
        <f ca="1">VLOOKUP($A4,OFFSET([1]characters!$A$1,0,0,COUNTA([1]characters!$A:$A),MATCH(E$1,[1]characters!$1:$1,0)-MATCH($A$1,[1]characters!$1:$1,0)+1),MATCH(E$1,[1]characters!$1:$1,0)-MATCH($A$1,[1]characters!$1:$1,0)+1,FALSE)</f>
        <v>格好いい</v>
      </c>
      <c r="F4" s="57" t="str">
        <f ca="1">VLOOKUP($A4,OFFSET([1]characters!$A$1,0,0,COUNTA([1]characters!$A:$A),MATCH(F$1,[1]characters!$1:$1,0)-MATCH($A$1,[1]characters!$1:$1,0)+1),MATCH(F$1,[1]characters!$1:$1,0)-MATCH($A$1,[1]characters!$1:$1,0)+1,FALSE)</f>
        <v>男性</v>
      </c>
      <c r="G4" s="57">
        <f ca="1">VLOOKUP($A4,OFFSET([1]characters!$A$1,0,0,COUNTA([1]characters!$A:$A),MATCH(G$1,[1]characters!$1:$1,0)-MATCH($A$1,[1]characters!$1:$1,0)+1),MATCH(G$1,[1]characters!$1:$1,0)-MATCH($A$1,[1]characters!$1:$1,0)+1,FALSE)</f>
        <v>5</v>
      </c>
      <c r="H4" s="57" t="str">
        <f ca="1">VLOOKUP($A4,OFFSET([1]characters!$A$1,0,0,COUNTA([1]characters!$A:$A),MATCH(H$1,[1]characters!$1:$1,0)-MATCH($A$1,[1]characters!$1:$1,0)+1),MATCH(H$1,[1]characters!$1:$1,0)-MATCH($A$1,[1]characters!$1:$1,0)+1,FALSE)</f>
        <v>DropWizSSS</v>
      </c>
      <c r="I4" s="57" t="str">
        <f ca="1">VLOOKUP($A4,OFFSET([1]characters!$A$1,0,0,COUNTA([1]characters!$A:$A),MATCH(I$1,[1]characters!$1:$1,0)-MATCH($A$1,[1]characters!$1:$1,0)+1),MATCH(I$1,[1]characters!$1:$1,0)-MATCH($A$1,[1]characters!$1:$1,0)+1,FALSE)</f>
        <v>green</v>
      </c>
      <c r="J4" s="11">
        <f ca="1">VLOOKUP(I4,[1]属性!$A:$E,2,FALSE)</f>
        <v>1.02</v>
      </c>
      <c r="K4" s="11">
        <f ca="1">VLOOKUP(I4,[1]属性!$A:$E,3,FALSE)</f>
        <v>0.98</v>
      </c>
      <c r="L4" s="11">
        <f ca="1">VLOOKUP(I4,[1]属性!$A:$E,4,FALSE)</f>
        <v>1</v>
      </c>
      <c r="M4" s="11">
        <f ca="1">VLOOKUP(I4,[1]属性!$A:$E,5,FALSE)</f>
        <v>1</v>
      </c>
      <c r="N4" s="11">
        <f ca="1">INDEX(コスト!$A$1:$I$20,MATCH(H4,コスト!$A$1:$A$20,FALSE),MATCH(G4,コスト!$A$1:$I$1,FALSE))</f>
        <v>40</v>
      </c>
      <c r="O4" s="11">
        <f ca="1">INDEX(レベル!$A$1:$I$21,MATCH(H4,レベル!$A$1:$A$21,FALSE),MATCH(G4,レベル!$A$1:$I$1,FALSE))</f>
        <v>80</v>
      </c>
      <c r="P4" s="48">
        <f t="shared" ca="1" si="5"/>
        <v>75</v>
      </c>
      <c r="Q4" s="57" t="str">
        <f ca="1">VLOOKUP($A4,OFFSET([1]characters!$A$1,0,0,COUNTA([1]characters!$A:$A),MATCH(Q$1,[1]characters!$1:$1,0)-MATCH($A$1,[1]characters!$1:$1,0)+1),MATCH(Q$1,[1]characters!$1:$1,0)-MATCH($A$1,[1]characters!$1:$1,0)+1,FALSE)</f>
        <v>balance</v>
      </c>
      <c r="R4" s="5" t="str">
        <f ca="1">VLOOKUP(Q4,[1]character_type_i18n!$A:$H,3,FALSE)</f>
        <v>バランスタイプ</v>
      </c>
      <c r="S4" s="11">
        <f ca="1">VLOOKUP(Q4,[1]character_type_i18n!$A:$H,4,FALSE)</f>
        <v>1</v>
      </c>
      <c r="T4" s="11">
        <f ca="1">VLOOKUP(Q4,[1]character_type_i18n!$A:$H,5,FALSE)</f>
        <v>1</v>
      </c>
      <c r="U4" s="11">
        <f ca="1">VLOOKUP(Q4,[1]character_type_i18n!$A:$H,6,FALSE)</f>
        <v>1</v>
      </c>
      <c r="V4" s="11">
        <f ca="1">VLOOKUP(Q4,[1]character_type_i18n!$A:$H,7,FALSE)</f>
        <v>1</v>
      </c>
      <c r="W4" s="57" t="str">
        <f ca="1">VLOOKUP($A4,OFFSET([1]characters!$A$1,0,0,COUNTA([1]characters!$A:$A),MATCH(W$1,[1]characters!$1:$1,0)-MATCH($A$1,[1]characters!$1:$1,0)+1),MATCH(W$1,[1]characters!$1:$1,0)-MATCH($A$1,[1]characters!$1:$1,0)+1,FALSE)</f>
        <v>weapon</v>
      </c>
      <c r="X4" s="5" t="str">
        <f ca="1">VLOOKUP(W4,[1]character_tribe_i18n!$A:$H,3,FALSE)</f>
        <v>ウェポン</v>
      </c>
      <c r="Y4" s="57" t="str">
        <f ca="1">VLOOKUP($A4,OFFSET([1]characters!$A$1,0,0,COUNTA([1]characters!$A:$A),MATCH(Y$1,[1]characters!$1:$1,0)-MATCH($A$1,[1]characters!$1:$1,0)+1),MATCH(Y$1,[1]characters!$1:$1,0)-MATCH($A$1,[1]characters!$1:$1,0)+1,FALSE)</f>
        <v>none</v>
      </c>
      <c r="Z4" s="5" t="str">
        <f ca="1">VLOOKUP(Y4,[1]character_tribe_i18n!$A:$H,3,FALSE)</f>
        <v>種族なし</v>
      </c>
      <c r="AA4" s="11">
        <f ca="1">VLOOKUP(W4,[1]character_tribe_i18n!$A:$H,4,FALSE)</f>
        <v>1</v>
      </c>
      <c r="AB4" s="11">
        <f ca="1">VLOOKUP(W4,[1]character_tribe_i18n!$A:$H,5,FALSE)</f>
        <v>1</v>
      </c>
      <c r="AC4" s="11">
        <f ca="1">VLOOKUP(W4,[1]character_tribe_i18n!$A:$H,6,FALSE)</f>
        <v>1</v>
      </c>
      <c r="AD4" s="11">
        <f ca="1">VLOOKUP(W4,[1]character_tribe_i18n!$A:$H,7,FALSE)</f>
        <v>1</v>
      </c>
      <c r="AE4" s="9">
        <f t="shared" ref="AE4" si="8">A5</f>
        <v>755</v>
      </c>
      <c r="AF4" s="62" t="str">
        <f ca="1">IF(AE4="NULL","",VLOOKUP($AE4,OFFSET([1]characters!$A$1,0,0,COUNTA([1]characters!$A:$A),MATCH(AF$1,[1]characters!$1:$1,0)-MATCH($A$1,[1]characters!$1:$1,0)+1),MATCH(AF$1,[1]characters!$1:$1,0)-MATCH($A$1,[1]characters!$1:$1,0)+1,FALSE))</f>
        <v>究覇の一剣 マサムネ</v>
      </c>
      <c r="AG4" s="5">
        <f t="shared" ca="1" si="0"/>
        <v>754</v>
      </c>
      <c r="AH4" s="62" t="str">
        <f ca="1">VLOOKUP($AG4,OFFSET([1]characters!$A$1,0,0,COUNTA([1]characters!$A:$A),MATCH(AH$1,[1]characters!$1:$1,0)-MATCH($A$1,[1]characters!$1:$1,0)+1),MATCH(AH$1,[1]characters!$1:$1,0)-MATCH($A$1,[1]characters!$1:$1,0)+1,FALSE)</f>
        <v>マサムネ</v>
      </c>
      <c r="AI4" s="11">
        <f ca="1">IF(AE4="NULL","NULL",VLOOKUP(G4,ビット!$A$2:$B$7,2))</f>
        <v>200000</v>
      </c>
      <c r="AJ4" s="6">
        <v>2</v>
      </c>
      <c r="AK4" s="7" t="str">
        <f t="shared" si="1"/>
        <v>普通</v>
      </c>
      <c r="AL4" s="11" t="str">
        <f ca="1">INDEX(経験値!$A$1:$I$20,MATCH(H4,経験値!$A$1:$A$20,FALSE),MATCH(G4,経験値!$A$1:$I$1,FALSE))</f>
        <v>required_exp_200</v>
      </c>
      <c r="AM4" s="8">
        <f ca="1">VLOOKUP(G4,経験値!$A$27:$B$31,2)</f>
        <v>6400</v>
      </c>
      <c r="AN4" s="17">
        <f ca="1">VLOOKUP(G4,ビット!$G$2:$H$7,2)</f>
        <v>900</v>
      </c>
      <c r="AO4" s="45"/>
      <c r="AP4" s="66">
        <f t="shared" si="6"/>
        <v>754</v>
      </c>
      <c r="AQ4" s="57" t="str">
        <f ca="1">VLOOKUP($AP4,OFFSET(unit_skills!$A$1,0,0,COUNTA(unit_skills!$A:$A),MATCH(AQ$1,unit_skills!$1:$1,0)-MATCH($AP$1,unit_skills!$1:$1,0)+1),MATCH(AQ$1,unit_skills!$1:$1,0)-MATCH($AP$1,unit_skills!$1:$1,0)+1,FALSE)</f>
        <v>正道の即断</v>
      </c>
      <c r="AR4" s="57" t="str">
        <f ca="1">VLOOKUP($AP4,OFFSET(unit_skills!$A$1,0,0,COUNTA(unit_skills!$A:$A),MATCH(AR$1,unit_skills!$1:$1,0)-MATCH($AP$1,unit_skills!$1:$1,0)+1),MATCH(AR$1,unit_skills!$1:$1,0)-MATCH($AP$1,unit_skills!$1:$1,0)+1,FALSE)</f>
        <v>SCパネル(特大)を1つ生成+3ターン攻撃力特大UP</v>
      </c>
      <c r="AS4" s="57">
        <f ca="1">VLOOKUP($AP4,OFFSET(unit_skills!$A$1,0,0,COUNTA(unit_skills!$A:$A),MATCH(AS$1,unit_skills!$1:$1,0)-MATCH($AP$1,unit_skills!$1:$1,0)+1),MATCH(AS$1,unit_skills!$1:$1,0)-MATCH($AP$1,unit_skills!$1:$1,0)+1,FALSE)</f>
        <v>0</v>
      </c>
      <c r="AT4" s="41">
        <f t="shared" si="7"/>
        <v>754</v>
      </c>
      <c r="AU4" s="57" t="str">
        <f ca="1">VLOOKUP($AT4,OFFSET(crash_skills!$A$1,0,0,COUNTA(crash_skills!$A:$A),MATCH(AU$1,crash_skills!$1:$1,0)-MATCH($AT$1,crash_skills!$1:$1,0)+1),MATCH(AU$1,crash_skills!$1:$1,0)-MATCH($AT$1,crash_skills!$1:$1,0)+1,FALSE)</f>
        <v>ノーブル・フォース</v>
      </c>
      <c r="AV4" s="57" t="str">
        <f ca="1">VLOOKUP($AT4,OFFSET(crash_skills!$A$1,0,0,COUNTA(crash_skills!$A:$A),MATCH(AV$1,crash_skills!$1:$1,0)-MATCH($AT$1,crash_skills!$1:$1,0)+1),MATCH(AV$1,crash_skills!$1:$1,0)-MATCH($AT$1,crash_skills!$1:$1,0)+1,FALSE)</f>
        <v>1体に特大ダメージ</v>
      </c>
      <c r="AW4" s="57">
        <f ca="1">VLOOKUP($AT4,OFFSET(crash_skills!$A$1,0,0,COUNTA(crash_skills!$A:$A),MATCH(AW$1,crash_skills!$1:$1,0)-MATCH($AT$1,crash_skills!$1:$1,0)+1),MATCH(AW$1,crash_skills!$1:$1,0)-MATCH($AT$1,crash_skills!$1:$1,0)+1,FALSE)</f>
        <v>0</v>
      </c>
      <c r="AX4" s="58">
        <f ca="1">VLOOKUP($A4,OFFSET([1]characters!$A$1,0,0,COUNTA([1]characters!$A:$A),MATCH(AX$1,[1]characters!$1:$1,0)-MATCH($A$1,[1]characters!$1:$1,0)+1),MATCH(AX$1,[1]characters!$1:$1,0)-MATCH($A$1,[1]characters!$1:$1,0)+1,FALSE)</f>
        <v>3</v>
      </c>
      <c r="AY4" s="67">
        <v>1.04</v>
      </c>
      <c r="AZ4" s="67">
        <v>1</v>
      </c>
      <c r="BA4" s="67">
        <v>0</v>
      </c>
      <c r="BB4" s="67">
        <v>0.94</v>
      </c>
      <c r="BC4" s="11">
        <f ca="1">INDEX('RC6SV'!$A$1:$G$20,MATCH(H4,'RC6SV'!$A$1:$A$20,FALSE),MATCH(G4,'RC6SV'!$A$1:$G$1,FALSE))</f>
        <v>10000</v>
      </c>
      <c r="BD4" s="48">
        <f t="shared" ca="1" si="2"/>
        <v>10000</v>
      </c>
      <c r="BE4" s="11">
        <f t="shared" ca="1" si="3"/>
        <v>0</v>
      </c>
      <c r="BF4" s="11">
        <f t="shared" ca="1" si="4"/>
        <v>1</v>
      </c>
      <c r="BG4" s="16">
        <f ca="1">IF($BE4&lt;=0,ROUND(BK4*0.5,0), ROUND($BE4*S4*AA4*J4*AY4*0.8*[1]ステータス!$B$2,0))</f>
        <v>2652</v>
      </c>
      <c r="BH4" s="16">
        <f ca="1">IF($BE4&lt;=0,ROUND(BL4*0.5,0), ROUND($BE4*T4*AB4*K4*AZ4*0.8*[1]ステータス!$C$2,0))</f>
        <v>1470</v>
      </c>
      <c r="BI4" s="16">
        <f ca="1">IF($BE4&lt;=0,ROUND(BM4*0.5,0), ROUND($BE4*U4*AC4*L4*BA4*0.8*[1]ステータス!$D$2,0))</f>
        <v>0</v>
      </c>
      <c r="BJ4" s="16">
        <f ca="1">IF($BE4&lt;=0,ROUND(BN4*0.5,0), ROUND($BE4*V4*AD4*M4*BB4*0.8*[1]ステータス!$E$2,0))</f>
        <v>1175</v>
      </c>
      <c r="BK4" s="11">
        <f ca="1">ROUND(BD4*S4*AA4*J4*AY4*[1]ステータス!$B$2,0)</f>
        <v>5304</v>
      </c>
      <c r="BL4" s="11">
        <f ca="1">ROUND(BD4*T4*AB4*K4*AZ4*[1]ステータス!$C$2,0)</f>
        <v>2940</v>
      </c>
      <c r="BM4" s="11">
        <f ca="1">ROUND(BD4*U4*AC4*L4*BA4*[1]ステータス!$D$2,0)</f>
        <v>0</v>
      </c>
      <c r="BN4" s="11">
        <f ca="1">ROUND(BD4*V4*AD4*M4*BB4*[1]ステータス!$E$2,0)</f>
        <v>2350</v>
      </c>
      <c r="BO4" s="10">
        <v>0</v>
      </c>
      <c r="BP4" s="10">
        <v>1</v>
      </c>
      <c r="BQ4" s="10" t="s">
        <v>47</v>
      </c>
      <c r="BR4" s="206">
        <v>1</v>
      </c>
    </row>
    <row r="5" spans="1:70" ht="26" customHeight="1" x14ac:dyDescent="0.15">
      <c r="A5" s="12">
        <v>755</v>
      </c>
      <c r="B5" s="57" t="str">
        <f ca="1">VLOOKUP($A5,OFFSET([1]characters!$A$1,0,0,COUNTA([1]characters!$A:$A),MATCH(B$1,[1]characters!$1:$1,0)-MATCH($A$1,[1]characters!$1:$1,0)+1),MATCH(B$1,[1]characters!$1:$1,0)-MATCH($A$1,[1]characters!$1:$1,0)+1,FALSE)</f>
        <v>究覇の一剣 マサムネ</v>
      </c>
      <c r="C5" s="57" t="str">
        <f ca="1">VLOOKUP($A5,OFFSET([1]characters!$A$1,0,0,COUNTA([1]characters!$A:$A),MATCH(C$1,[1]characters!$1:$1,0)-MATCH($A$1,[1]characters!$1:$1,0)+1),MATCH(C$1,[1]characters!$1:$1,0)-MATCH($A$1,[1]characters!$1:$1,0)+1,FALSE)</f>
        <v>イベント:ランキング01</v>
      </c>
      <c r="D5" s="57" t="str">
        <f ca="1">VLOOKUP($A5,OFFSET([1]characters!$A$1,0,0,COUNTA([1]characters!$A:$A),MATCH(D$1,[1]characters!$1:$1,0)-MATCH($A$1,[1]characters!$1:$1,0)+1),MATCH(D$1,[1]characters!$1:$1,0)-MATCH($A$1,[1]characters!$1:$1,0)+1,FALSE)</f>
        <v>執行者</v>
      </c>
      <c r="E5" s="57" t="str">
        <f ca="1">VLOOKUP($A5,OFFSET([1]characters!$A$1,0,0,COUNTA([1]characters!$A:$A),MATCH(E$1,[1]characters!$1:$1,0)-MATCH($A$1,[1]characters!$1:$1,0)+1),MATCH(E$1,[1]characters!$1:$1,0)-MATCH($A$1,[1]characters!$1:$1,0)+1,FALSE)</f>
        <v>格好いい</v>
      </c>
      <c r="F5" s="57" t="str">
        <f ca="1">VLOOKUP($A5,OFFSET([1]characters!$A$1,0,0,COUNTA([1]characters!$A:$A),MATCH(F$1,[1]characters!$1:$1,0)-MATCH($A$1,[1]characters!$1:$1,0)+1),MATCH(F$1,[1]characters!$1:$1,0)-MATCH($A$1,[1]characters!$1:$1,0)+1,FALSE)</f>
        <v>男性</v>
      </c>
      <c r="G5" s="57">
        <f ca="1">VLOOKUP($A5,OFFSET([1]characters!$A$1,0,0,COUNTA([1]characters!$A:$A),MATCH(G$1,[1]characters!$1:$1,0)-MATCH($A$1,[1]characters!$1:$1,0)+1),MATCH(G$1,[1]characters!$1:$1,0)-MATCH($A$1,[1]characters!$1:$1,0)+1,FALSE)</f>
        <v>6</v>
      </c>
      <c r="H5" s="57" t="str">
        <f ca="1">VLOOKUP($A5,OFFSET([1]characters!$A$1,0,0,COUNTA([1]characters!$A:$A),MATCH(H$1,[1]characters!$1:$1,0)-MATCH($A$1,[1]characters!$1:$1,0)+1),MATCH(H$1,[1]characters!$1:$1,0)-MATCH($A$1,[1]characters!$1:$1,0)+1,FALSE)</f>
        <v>DropWizSSS</v>
      </c>
      <c r="I5" s="57" t="str">
        <f ca="1">VLOOKUP($A5,OFFSET([1]characters!$A$1,0,0,COUNTA([1]characters!$A:$A),MATCH(I$1,[1]characters!$1:$1,0)-MATCH($A$1,[1]characters!$1:$1,0)+1),MATCH(I$1,[1]characters!$1:$1,0)-MATCH($A$1,[1]characters!$1:$1,0)+1,FALSE)</f>
        <v>green</v>
      </c>
      <c r="J5" s="11">
        <f ca="1">VLOOKUP(I5,[1]属性!$A:$E,2,FALSE)</f>
        <v>1.02</v>
      </c>
      <c r="K5" s="11">
        <f ca="1">VLOOKUP(I5,[1]属性!$A:$E,3,FALSE)</f>
        <v>0.98</v>
      </c>
      <c r="L5" s="11">
        <f ca="1">VLOOKUP(I5,[1]属性!$A:$E,4,FALSE)</f>
        <v>1</v>
      </c>
      <c r="M5" s="11">
        <f ca="1">VLOOKUP(I5,[1]属性!$A:$E,5,FALSE)</f>
        <v>1</v>
      </c>
      <c r="N5" s="11">
        <f ca="1">INDEX(コスト!$A$1:$I$20,MATCH(H5,コスト!$A$1:$A$20,FALSE),MATCH(G5,コスト!$A$1:$I$1,FALSE))</f>
        <v>55</v>
      </c>
      <c r="O5" s="11">
        <f ca="1">INDEX(レベル!$A$1:$I$21,MATCH(H5,レベル!$A$1:$A$21,FALSE),MATCH(G5,レベル!$A$1:$I$1,FALSE))</f>
        <v>99</v>
      </c>
      <c r="P5" s="48">
        <f t="shared" ca="1" si="5"/>
        <v>99</v>
      </c>
      <c r="Q5" s="57" t="str">
        <f ca="1">VLOOKUP($A5,OFFSET([1]characters!$A$1,0,0,COUNTA([1]characters!$A:$A),MATCH(Q$1,[1]characters!$1:$1,0)-MATCH($A$1,[1]characters!$1:$1,0)+1),MATCH(Q$1,[1]characters!$1:$1,0)-MATCH($A$1,[1]characters!$1:$1,0)+1,FALSE)</f>
        <v>balance</v>
      </c>
      <c r="R5" s="5" t="str">
        <f ca="1">VLOOKUP(Q5,[1]character_type_i18n!$A:$H,3,FALSE)</f>
        <v>バランスタイプ</v>
      </c>
      <c r="S5" s="11">
        <f ca="1">VLOOKUP(Q5,[1]character_type_i18n!$A:$H,4,FALSE)</f>
        <v>1</v>
      </c>
      <c r="T5" s="11">
        <f ca="1">VLOOKUP(Q5,[1]character_type_i18n!$A:$H,5,FALSE)</f>
        <v>1</v>
      </c>
      <c r="U5" s="11">
        <f ca="1">VLOOKUP(Q5,[1]character_type_i18n!$A:$H,6,FALSE)</f>
        <v>1</v>
      </c>
      <c r="V5" s="11">
        <f ca="1">VLOOKUP(Q5,[1]character_type_i18n!$A:$H,7,FALSE)</f>
        <v>1</v>
      </c>
      <c r="W5" s="57" t="str">
        <f ca="1">VLOOKUP($A5,OFFSET([1]characters!$A$1,0,0,COUNTA([1]characters!$A:$A),MATCH(W$1,[1]characters!$1:$1,0)-MATCH($A$1,[1]characters!$1:$1,0)+1),MATCH(W$1,[1]characters!$1:$1,0)-MATCH($A$1,[1]characters!$1:$1,0)+1,FALSE)</f>
        <v>weapon</v>
      </c>
      <c r="X5" s="5" t="str">
        <f ca="1">VLOOKUP(W5,[1]character_tribe_i18n!$A:$H,3,FALSE)</f>
        <v>ウェポン</v>
      </c>
      <c r="Y5" s="57" t="str">
        <f ca="1">VLOOKUP($A5,OFFSET([1]characters!$A$1,0,0,COUNTA([1]characters!$A:$A),MATCH(Y$1,[1]characters!$1:$1,0)-MATCH($A$1,[1]characters!$1:$1,0)+1),MATCH(Y$1,[1]characters!$1:$1,0)-MATCH($A$1,[1]characters!$1:$1,0)+1,FALSE)</f>
        <v>none</v>
      </c>
      <c r="Z5" s="5" t="str">
        <f ca="1">VLOOKUP(Y5,[1]character_tribe_i18n!$A:$H,3,FALSE)</f>
        <v>種族なし</v>
      </c>
      <c r="AA5" s="11">
        <f ca="1">VLOOKUP(W5,[1]character_tribe_i18n!$A:$H,4,FALSE)</f>
        <v>1</v>
      </c>
      <c r="AB5" s="11">
        <f ca="1">VLOOKUP(W5,[1]character_tribe_i18n!$A:$H,5,FALSE)</f>
        <v>1</v>
      </c>
      <c r="AC5" s="11">
        <f ca="1">VLOOKUP(W5,[1]character_tribe_i18n!$A:$H,6,FALSE)</f>
        <v>1</v>
      </c>
      <c r="AD5" s="11">
        <f ca="1">VLOOKUP(W5,[1]character_tribe_i18n!$A:$H,7,FALSE)</f>
        <v>1</v>
      </c>
      <c r="AE5" s="9" t="s">
        <v>183</v>
      </c>
      <c r="AF5" s="62" t="str">
        <f ca="1">IF(AE5="NULL","",VLOOKUP($AE5,OFFSET([1]characters!$A$1,0,0,COUNTA([1]characters!$A:$A),MATCH(AF$1,[1]characters!$1:$1,0)-MATCH($A$1,[1]characters!$1:$1,0)+1),MATCH(AF$1,[1]characters!$1:$1,0)-MATCH($A$1,[1]characters!$1:$1,0)+1,FALSE))</f>
        <v/>
      </c>
      <c r="AG5" s="5">
        <f t="shared" ca="1" si="0"/>
        <v>754</v>
      </c>
      <c r="AH5" s="62" t="str">
        <f ca="1">VLOOKUP($AG5,OFFSET([1]characters!$A$1,0,0,COUNTA([1]characters!$A:$A),MATCH(AH$1,[1]characters!$1:$1,0)-MATCH($A$1,[1]characters!$1:$1,0)+1),MATCH(AH$1,[1]characters!$1:$1,0)-MATCH($A$1,[1]characters!$1:$1,0)+1,FALSE)</f>
        <v>マサムネ</v>
      </c>
      <c r="AI5" s="11" t="str">
        <f>IF(AE5="NULL","NULL",VLOOKUP(G5,ビット!$A$2:$B$7,2))</f>
        <v>NULL</v>
      </c>
      <c r="AJ5" s="6">
        <v>2</v>
      </c>
      <c r="AK5" s="7" t="str">
        <f t="shared" si="1"/>
        <v>普通</v>
      </c>
      <c r="AL5" s="11" t="str">
        <f ca="1">INDEX(経験値!$A$1:$I$20,MATCH(H5,経験値!$A$1:$A$20,FALSE),MATCH(G5,経験値!$A$1:$I$1,FALSE))</f>
        <v>required_exp_300</v>
      </c>
      <c r="AM5" s="8">
        <f ca="1">VLOOKUP(G5,経験値!$A$27:$B$31,2)</f>
        <v>6400</v>
      </c>
      <c r="AN5" s="17">
        <f ca="1">VLOOKUP(G5,ビット!$G$2:$H$7,2)</f>
        <v>900</v>
      </c>
      <c r="AO5" s="45"/>
      <c r="AP5" s="66">
        <f t="shared" si="6"/>
        <v>755</v>
      </c>
      <c r="AQ5" s="57" t="str">
        <f ca="1">VLOOKUP($AP5,OFFSET(unit_skills!$A$1,0,0,COUNTA(unit_skills!$A:$A),MATCH(AQ$1,unit_skills!$1:$1,0)-MATCH($AP$1,unit_skills!$1:$1,0)+1),MATCH(AQ$1,unit_skills!$1:$1,0)-MATCH($AP$1,unit_skills!$1:$1,0)+1,FALSE)</f>
        <v>正道の結断</v>
      </c>
      <c r="AR5" s="57" t="str">
        <f ca="1">VLOOKUP($AP5,OFFSET(unit_skills!$A$1,0,0,COUNTA(unit_skills!$A:$A),MATCH(AR$1,unit_skills!$1:$1,0)-MATCH($AP$1,unit_skills!$1:$1,0)+1),MATCH(AR$1,unit_skills!$1:$1,0)-MATCH($AP$1,unit_skills!$1:$1,0)+1,FALSE)</f>
        <v>SCパネル(特大)に1つ変換+3ターンの間全ユニットの攻撃力超大UP+1ターンの間全ユニットCパネル生成短縮(効果超大)</v>
      </c>
      <c r="AS5" s="57">
        <f ca="1">VLOOKUP($AP5,OFFSET(unit_skills!$A$1,0,0,COUNTA(unit_skills!$A:$A),MATCH(AS$1,unit_skills!$1:$1,0)-MATCH($AP$1,unit_skills!$1:$1,0)+1),MATCH(AS$1,unit_skills!$1:$1,0)-MATCH($AP$1,unit_skills!$1:$1,0)+1,FALSE)</f>
        <v>0</v>
      </c>
      <c r="AT5" s="41">
        <f t="shared" si="7"/>
        <v>755</v>
      </c>
      <c r="AU5" s="57" t="str">
        <f ca="1">VLOOKUP($AT5,OFFSET(crash_skills!$A$1,0,0,COUNTA(crash_skills!$A:$A),MATCH(AU$1,crash_skills!$1:$1,0)-MATCH($AT$1,crash_skills!$1:$1,0)+1),MATCH(AU$1,crash_skills!$1:$1,0)-MATCH($AT$1,crash_skills!$1:$1,0)+1,FALSE)</f>
        <v>スプリーム・フォース</v>
      </c>
      <c r="AV5" s="57" t="str">
        <f ca="1">VLOOKUP($AT5,OFFSET(crash_skills!$A$1,0,0,COUNTA(crash_skills!$A:$A),MATCH(AV$1,crash_skills!$1:$1,0)-MATCH($AT$1,crash_skills!$1:$1,0)+1),MATCH(AV$1,crash_skills!$1:$1,0)-MATCH($AT$1,crash_skills!$1:$1,0)+1,FALSE)</f>
        <v>1体に超大ダメージ</v>
      </c>
      <c r="AW5" s="57">
        <f ca="1">VLOOKUP($AT5,OFFSET(crash_skills!$A$1,0,0,COUNTA(crash_skills!$A:$A),MATCH(AW$1,crash_skills!$1:$1,0)-MATCH($AT$1,crash_skills!$1:$1,0)+1),MATCH(AW$1,crash_skills!$1:$1,0)-MATCH($AT$1,crash_skills!$1:$1,0)+1,FALSE)</f>
        <v>0</v>
      </c>
      <c r="AX5" s="58">
        <f ca="1">VLOOKUP($A5,OFFSET([1]characters!$A$1,0,0,COUNTA([1]characters!$A:$A),MATCH(AX$1,[1]characters!$1:$1,0)-MATCH($A$1,[1]characters!$1:$1,0)+1),MATCH(AX$1,[1]characters!$1:$1,0)-MATCH($A$1,[1]characters!$1:$1,0)+1,FALSE)</f>
        <v>3</v>
      </c>
      <c r="AY5" s="67">
        <v>1.04</v>
      </c>
      <c r="AZ5" s="67">
        <v>1</v>
      </c>
      <c r="BA5" s="67">
        <v>0</v>
      </c>
      <c r="BB5" s="67">
        <v>0.94</v>
      </c>
      <c r="BC5" s="11">
        <f ca="1">INDEX('RC6SV'!$A$1:$G$20,MATCH(H5,'RC6SV'!$A$1:$A$20,FALSE),MATCH(G5,'RC6SV'!$A$1:$G$1,FALSE))</f>
        <v>14000</v>
      </c>
      <c r="BD5" s="48">
        <f t="shared" ca="1" si="2"/>
        <v>14000</v>
      </c>
      <c r="BE5" s="11">
        <f t="shared" ca="1" si="3"/>
        <v>10000</v>
      </c>
      <c r="BF5" s="11">
        <f t="shared" ca="1" si="4"/>
        <v>1</v>
      </c>
      <c r="BG5" s="16">
        <f ca="1">IF($BE5&lt;=0,ROUND(BK5*0.5,0), ROUND($BE5*S5*AA5*J5*AY5*0.8*[1]ステータス!$B$2,0))</f>
        <v>4243</v>
      </c>
      <c r="BH5" s="16">
        <f ca="1">IF($BE5&lt;=0,ROUND(BL5*0.5,0), ROUND($BE5*T5*AB5*K5*AZ5*0.8*[1]ステータス!$C$2,0))</f>
        <v>2352</v>
      </c>
      <c r="BI5" s="16">
        <f ca="1">IF($BE5&lt;=0,ROUND(BM5*0.5,0), ROUND($BE5*U5*AC5*L5*BA5*0.8*[1]ステータス!$D$2,0))</f>
        <v>0</v>
      </c>
      <c r="BJ5" s="16">
        <f ca="1">IF($BE5&lt;=0,ROUND(BN5*0.5,0), ROUND($BE5*V5*AD5*M5*BB5*0.8*[1]ステータス!$E$2,0))</f>
        <v>1880</v>
      </c>
      <c r="BK5" s="11">
        <f ca="1">ROUND(BD5*S5*AA5*J5*AY5*[1]ステータス!$B$2,0)</f>
        <v>7426</v>
      </c>
      <c r="BL5" s="11">
        <f ca="1">ROUND(BD5*T5*AB5*K5*AZ5*[1]ステータス!$C$2,0)</f>
        <v>4116</v>
      </c>
      <c r="BM5" s="11">
        <f ca="1">ROUND(BD5*U5*AC5*L5*BA5*[1]ステータス!$D$2,0)</f>
        <v>0</v>
      </c>
      <c r="BN5" s="11">
        <f ca="1">ROUND(BD5*V5*AD5*M5*BB5*[1]ステータス!$E$2,0)</f>
        <v>3290</v>
      </c>
      <c r="BO5" s="10">
        <v>0</v>
      </c>
      <c r="BP5" s="10">
        <v>1</v>
      </c>
      <c r="BQ5" s="10" t="s">
        <v>47</v>
      </c>
      <c r="BR5" s="206">
        <v>1</v>
      </c>
    </row>
    <row r="6" spans="1:70" ht="26" customHeight="1" x14ac:dyDescent="0.15">
      <c r="A6" s="12">
        <v>756</v>
      </c>
      <c r="B6" s="57" t="str">
        <f ca="1">VLOOKUP($A6,OFFSET([1]characters!$A$1,0,0,COUNTA([1]characters!$A:$A),MATCH(B$1,[1]characters!$1:$1,0)-MATCH($A$1,[1]characters!$1:$1,0)+1),MATCH(B$1,[1]characters!$1:$1,0)-MATCH($A$1,[1]characters!$1:$1,0)+1,FALSE)</f>
        <v>アメノムラクモ</v>
      </c>
      <c r="C6" s="57" t="str">
        <f ca="1">VLOOKUP($A6,OFFSET([1]characters!$A$1,0,0,COUNTA([1]characters!$A:$A),MATCH(C$1,[1]characters!$1:$1,0)-MATCH($A$1,[1]characters!$1:$1,0)+1),MATCH(C$1,[1]characters!$1:$1,0)-MATCH($A$1,[1]characters!$1:$1,0)+1,FALSE)</f>
        <v>イベント:ランキング01</v>
      </c>
      <c r="D6" s="57" t="str">
        <f ca="1">VLOOKUP($A6,OFFSET([1]characters!$A$1,0,0,COUNTA([1]characters!$A:$A),MATCH(D$1,[1]characters!$1:$1,0)-MATCH($A$1,[1]characters!$1:$1,0)+1),MATCH(D$1,[1]characters!$1:$1,0)-MATCH($A$1,[1]characters!$1:$1,0)+1,FALSE)</f>
        <v>執行者</v>
      </c>
      <c r="E6" s="57" t="str">
        <f ca="1">VLOOKUP($A6,OFFSET([1]characters!$A$1,0,0,COUNTA([1]characters!$A:$A),MATCH(E$1,[1]characters!$1:$1,0)-MATCH($A$1,[1]characters!$1:$1,0)+1),MATCH(E$1,[1]characters!$1:$1,0)-MATCH($A$1,[1]characters!$1:$1,0)+1,FALSE)</f>
        <v>格好いい</v>
      </c>
      <c r="F6" s="57" t="str">
        <f ca="1">VLOOKUP($A6,OFFSET([1]characters!$A$1,0,0,COUNTA([1]characters!$A:$A),MATCH(F$1,[1]characters!$1:$1,0)-MATCH($A$1,[1]characters!$1:$1,0)+1),MATCH(F$1,[1]characters!$1:$1,0)-MATCH($A$1,[1]characters!$1:$1,0)+1,FALSE)</f>
        <v>男性</v>
      </c>
      <c r="G6" s="57">
        <f ca="1">VLOOKUP($A6,OFFSET([1]characters!$A$1,0,0,COUNTA([1]characters!$A:$A),MATCH(G$1,[1]characters!$1:$1,0)-MATCH($A$1,[1]characters!$1:$1,0)+1),MATCH(G$1,[1]characters!$1:$1,0)-MATCH($A$1,[1]characters!$1:$1,0)+1,FALSE)</f>
        <v>5</v>
      </c>
      <c r="H6" s="57" t="str">
        <f ca="1">VLOOKUP($A6,OFFSET([1]characters!$A$1,0,0,COUNTA([1]characters!$A:$A),MATCH(H$1,[1]characters!$1:$1,0)-MATCH($A$1,[1]characters!$1:$1,0)+1),MATCH(H$1,[1]characters!$1:$1,0)-MATCH($A$1,[1]characters!$1:$1,0)+1,FALSE)</f>
        <v>DropWizSSS</v>
      </c>
      <c r="I6" s="57" t="str">
        <f ca="1">VLOOKUP($A6,OFFSET([1]characters!$A$1,0,0,COUNTA([1]characters!$A:$A),MATCH(I$1,[1]characters!$1:$1,0)-MATCH($A$1,[1]characters!$1:$1,0)+1),MATCH(I$1,[1]characters!$1:$1,0)-MATCH($A$1,[1]characters!$1:$1,0)+1,FALSE)</f>
        <v>blue</v>
      </c>
      <c r="J6" s="11">
        <f ca="1">VLOOKUP(I6,[1]属性!$A:$E,2,FALSE)</f>
        <v>1</v>
      </c>
      <c r="K6" s="11">
        <f ca="1">VLOOKUP(I6,[1]属性!$A:$E,3,FALSE)</f>
        <v>0.98</v>
      </c>
      <c r="L6" s="11">
        <f ca="1">VLOOKUP(I6,[1]属性!$A:$E,4,FALSE)</f>
        <v>1</v>
      </c>
      <c r="M6" s="11">
        <f ca="1">VLOOKUP(I6,[1]属性!$A:$E,5,FALSE)</f>
        <v>1.02</v>
      </c>
      <c r="N6" s="11">
        <f ca="1">INDEX(コスト!$A$1:$I$20,MATCH(H6,コスト!$A$1:$A$20,FALSE),MATCH(G6,コスト!$A$1:$I$1,FALSE))</f>
        <v>40</v>
      </c>
      <c r="O6" s="11">
        <f ca="1">INDEX(レベル!$A$1:$I$21,MATCH(H6,レベル!$A$1:$A$21,FALSE),MATCH(G6,レベル!$A$1:$I$1,FALSE))</f>
        <v>80</v>
      </c>
      <c r="P6" s="48">
        <f t="shared" ca="1" si="5"/>
        <v>75</v>
      </c>
      <c r="Q6" s="57" t="str">
        <f ca="1">VLOOKUP($A6,OFFSET([1]characters!$A$1,0,0,COUNTA([1]characters!$A:$A),MATCH(Q$1,[1]characters!$1:$1,0)-MATCH($A$1,[1]characters!$1:$1,0)+1),MATCH(Q$1,[1]characters!$1:$1,0)-MATCH($A$1,[1]characters!$1:$1,0)+1,FALSE)</f>
        <v>technical</v>
      </c>
      <c r="R6" s="5" t="str">
        <f ca="1">VLOOKUP(Q6,[1]character_type_i18n!$A:$H,3,FALSE)</f>
        <v>テクニカルタイプ</v>
      </c>
      <c r="S6" s="11">
        <f ca="1">VLOOKUP(Q6,[1]character_type_i18n!$A:$H,4,FALSE)</f>
        <v>0.9</v>
      </c>
      <c r="T6" s="11">
        <f ca="1">VLOOKUP(Q6,[1]character_type_i18n!$A:$H,5,FALSE)</f>
        <v>0.9</v>
      </c>
      <c r="U6" s="11">
        <f ca="1">VLOOKUP(Q6,[1]character_type_i18n!$A:$H,6,FALSE)</f>
        <v>1</v>
      </c>
      <c r="V6" s="11">
        <f ca="1">VLOOKUP(Q6,[1]character_type_i18n!$A:$H,7,FALSE)</f>
        <v>0.9</v>
      </c>
      <c r="W6" s="57" t="str">
        <f ca="1">VLOOKUP($A6,OFFSET([1]characters!$A$1,0,0,COUNTA([1]characters!$A:$A),MATCH(W$1,[1]characters!$1:$1,0)-MATCH($A$1,[1]characters!$1:$1,0)+1),MATCH(W$1,[1]characters!$1:$1,0)-MATCH($A$1,[1]characters!$1:$1,0)+1,FALSE)</f>
        <v>weapon</v>
      </c>
      <c r="X6" s="5" t="str">
        <f ca="1">VLOOKUP(W6,[1]character_tribe_i18n!$A:$H,3,FALSE)</f>
        <v>ウェポン</v>
      </c>
      <c r="Y6" s="57" t="str">
        <f ca="1">VLOOKUP($A6,OFFSET([1]characters!$A$1,0,0,COUNTA([1]characters!$A:$A),MATCH(Y$1,[1]characters!$1:$1,0)-MATCH($A$1,[1]characters!$1:$1,0)+1),MATCH(Y$1,[1]characters!$1:$1,0)-MATCH($A$1,[1]characters!$1:$1,0)+1,FALSE)</f>
        <v>none</v>
      </c>
      <c r="Z6" s="5" t="str">
        <f ca="1">VLOOKUP(Y6,[1]character_tribe_i18n!$A:$H,3,FALSE)</f>
        <v>種族なし</v>
      </c>
      <c r="AA6" s="11">
        <f ca="1">VLOOKUP(W6,[1]character_tribe_i18n!$A:$H,4,FALSE)</f>
        <v>1</v>
      </c>
      <c r="AB6" s="11">
        <f ca="1">VLOOKUP(W6,[1]character_tribe_i18n!$A:$H,5,FALSE)</f>
        <v>1</v>
      </c>
      <c r="AC6" s="11">
        <f ca="1">VLOOKUP(W6,[1]character_tribe_i18n!$A:$H,6,FALSE)</f>
        <v>1</v>
      </c>
      <c r="AD6" s="11">
        <f ca="1">VLOOKUP(W6,[1]character_tribe_i18n!$A:$H,7,FALSE)</f>
        <v>1</v>
      </c>
      <c r="AE6" s="9">
        <f t="shared" ref="AE6" si="9">A7</f>
        <v>757</v>
      </c>
      <c r="AF6" s="62" t="str">
        <f ca="1">IF(AE6="NULL","",VLOOKUP($AE6,OFFSET([1]characters!$A$1,0,0,COUNTA([1]characters!$A:$A),MATCH(AF$1,[1]characters!$1:$1,0)-MATCH($A$1,[1]characters!$1:$1,0)+1),MATCH(AF$1,[1]characters!$1:$1,0)-MATCH($A$1,[1]characters!$1:$1,0)+1,FALSE))</f>
        <v>荒龍の復魂 アメノムラクモ</v>
      </c>
      <c r="AG6" s="5">
        <f t="shared" ca="1" si="0"/>
        <v>756</v>
      </c>
      <c r="AH6" s="62" t="str">
        <f ca="1">VLOOKUP($AG6,OFFSET([1]characters!$A$1,0,0,COUNTA([1]characters!$A:$A),MATCH(AH$1,[1]characters!$1:$1,0)-MATCH($A$1,[1]characters!$1:$1,0)+1),MATCH(AH$1,[1]characters!$1:$1,0)-MATCH($A$1,[1]characters!$1:$1,0)+1,FALSE)</f>
        <v>アメノムラクモ</v>
      </c>
      <c r="AI6" s="11">
        <f ca="1">IF(AE6="NULL","NULL",VLOOKUP(G6,ビット!$A$2:$B$7,2))</f>
        <v>200000</v>
      </c>
      <c r="AJ6" s="6">
        <v>2</v>
      </c>
      <c r="AK6" s="7" t="str">
        <f t="shared" si="1"/>
        <v>普通</v>
      </c>
      <c r="AL6" s="11" t="str">
        <f ca="1">INDEX(経験値!$A$1:$I$20,MATCH(H6,経験値!$A$1:$A$20,FALSE),MATCH(G6,経験値!$A$1:$I$1,FALSE))</f>
        <v>required_exp_200</v>
      </c>
      <c r="AM6" s="8">
        <f ca="1">VLOOKUP(G6,経験値!$A$27:$B$31,2)</f>
        <v>6400</v>
      </c>
      <c r="AN6" s="17">
        <f ca="1">VLOOKUP(G6,ビット!$G$2:$H$7,2)</f>
        <v>900</v>
      </c>
      <c r="AO6" s="45"/>
      <c r="AP6" s="66">
        <f t="shared" si="6"/>
        <v>756</v>
      </c>
      <c r="AQ6" s="57" t="str">
        <f ca="1">VLOOKUP($AP6,OFFSET(unit_skills!$A$1,0,0,COUNTA(unit_skills!$A:$A),MATCH(AQ$1,unit_skills!$1:$1,0)-MATCH($AP$1,unit_skills!$1:$1,0)+1),MATCH(AQ$1,unit_skills!$1:$1,0)-MATCH($AP$1,unit_skills!$1:$1,0)+1,FALSE)</f>
        <v>八つの大罪</v>
      </c>
      <c r="AR6" s="57" t="str">
        <f ca="1">VLOOKUP($AP6,OFFSET(unit_skills!$A$1,0,0,COUNTA(unit_skills!$A:$A),MATCH(AR$1,unit_skills!$1:$1,0)-MATCH($AP$1,unit_skills!$1:$1,0)+1),MATCH(AR$1,unit_skills!$1:$1,0)-MATCH($AP$1,unit_skills!$1:$1,0)+1,FALSE)</f>
        <v>緑パネルを青パネルに変換+1ターン確率で先頭のユニットのCパネルをドロップ</v>
      </c>
      <c r="AS6" s="57">
        <f ca="1">VLOOKUP($AP6,OFFSET(unit_skills!$A$1,0,0,COUNTA(unit_skills!$A:$A),MATCH(AS$1,unit_skills!$1:$1,0)-MATCH($AP$1,unit_skills!$1:$1,0)+1),MATCH(AS$1,unit_skills!$1:$1,0)-MATCH($AP$1,unit_skills!$1:$1,0)+1,FALSE)</f>
        <v>0</v>
      </c>
      <c r="AT6" s="41">
        <f t="shared" si="7"/>
        <v>756</v>
      </c>
      <c r="AU6" s="57" t="str">
        <f ca="1">VLOOKUP($AT6,OFFSET(crash_skills!$A$1,0,0,COUNTA(crash_skills!$A:$A),MATCH(AU$1,crash_skills!$1:$1,0)-MATCH($AT$1,crash_skills!$1:$1,0)+1),MATCH(AU$1,crash_skills!$1:$1,0)-MATCH($AT$1,crash_skills!$1:$1,0)+1,FALSE)</f>
        <v>リヴァイヴァル・オブ・オロチ</v>
      </c>
      <c r="AV6" s="57" t="str">
        <f ca="1">VLOOKUP($AT6,OFFSET(crash_skills!$A$1,0,0,COUNTA(crash_skills!$A:$A),MATCH(AV$1,crash_skills!$1:$1,0)-MATCH($AT$1,crash_skills!$1:$1,0)+1),MATCH(AV$1,crash_skills!$1:$1,0)-MATCH($AT$1,crash_skills!$1:$1,0)+1,FALSE)</f>
        <v>単体に大ダメージ+_x000D_全体に大ダメージ</v>
      </c>
      <c r="AW6" s="57">
        <f ca="1">VLOOKUP($AT6,OFFSET(crash_skills!$A$1,0,0,COUNTA(crash_skills!$A:$A),MATCH(AW$1,crash_skills!$1:$1,0)-MATCH($AT$1,crash_skills!$1:$1,0)+1),MATCH(AW$1,crash_skills!$1:$1,0)-MATCH($AT$1,crash_skills!$1:$1,0)+1,FALSE)</f>
        <v>0</v>
      </c>
      <c r="AX6" s="58">
        <f ca="1">VLOOKUP($A6,OFFSET([1]characters!$A$1,0,0,COUNTA([1]characters!$A:$A),MATCH(AX$1,[1]characters!$1:$1,0)-MATCH($A$1,[1]characters!$1:$1,0)+1),MATCH(AX$1,[1]characters!$1:$1,0)-MATCH($A$1,[1]characters!$1:$1,0)+1,FALSE)</f>
        <v>3</v>
      </c>
      <c r="AY6" s="67">
        <v>1</v>
      </c>
      <c r="AZ6" s="67">
        <v>1</v>
      </c>
      <c r="BA6" s="67">
        <v>0</v>
      </c>
      <c r="BB6" s="67">
        <v>0.94</v>
      </c>
      <c r="BC6" s="11">
        <f ca="1">INDEX('RC6SV'!$A$1:$G$20,MATCH(H6,'RC6SV'!$A$1:$A$20,FALSE),MATCH(G6,'RC6SV'!$A$1:$G$1,FALSE))</f>
        <v>10000</v>
      </c>
      <c r="BD6" s="48">
        <f t="shared" ca="1" si="2"/>
        <v>10000</v>
      </c>
      <c r="BE6" s="11">
        <f t="shared" ca="1" si="3"/>
        <v>0</v>
      </c>
      <c r="BF6" s="11">
        <f t="shared" ca="1" si="4"/>
        <v>1</v>
      </c>
      <c r="BG6" s="16">
        <f ca="1">IF($BE6&lt;=0,ROUND(BK6*0.5,0), ROUND($BE6*S6*AA6*J6*AY6*0.8*[1]ステータス!$B$2,0))</f>
        <v>2250</v>
      </c>
      <c r="BH6" s="16">
        <f ca="1">IF($BE6&lt;=0,ROUND(BL6*0.5,0), ROUND($BE6*T6*AB6*K6*AZ6*0.8*[1]ステータス!$C$2,0))</f>
        <v>1323</v>
      </c>
      <c r="BI6" s="16">
        <f ca="1">IF($BE6&lt;=0,ROUND(BM6*0.5,0), ROUND($BE6*U6*AC6*L6*BA6*0.8*[1]ステータス!$D$2,0))</f>
        <v>0</v>
      </c>
      <c r="BJ6" s="16">
        <f ca="1">IF($BE6&lt;=0,ROUND(BN6*0.5,0), ROUND($BE6*V6*AD6*M6*BB6*0.8*[1]ステータス!$E$2,0))</f>
        <v>1079</v>
      </c>
      <c r="BK6" s="11">
        <f ca="1">ROUND(BD6*S6*AA6*J6*AY6*[1]ステータス!$B$2,0)</f>
        <v>4500</v>
      </c>
      <c r="BL6" s="11">
        <f ca="1">ROUND(BD6*T6*AB6*K6*AZ6*[1]ステータス!$C$2,0)</f>
        <v>2646</v>
      </c>
      <c r="BM6" s="11">
        <f ca="1">ROUND(BD6*U6*AC6*L6*BA6*[1]ステータス!$D$2,0)</f>
        <v>0</v>
      </c>
      <c r="BN6" s="11">
        <f ca="1">ROUND(BD6*V6*AD6*M6*BB6*[1]ステータス!$E$2,0)</f>
        <v>2157</v>
      </c>
      <c r="BO6" s="10">
        <v>0</v>
      </c>
      <c r="BP6" s="10">
        <v>1</v>
      </c>
      <c r="BQ6" s="10" t="s">
        <v>47</v>
      </c>
      <c r="BR6" s="206">
        <v>1</v>
      </c>
    </row>
    <row r="7" spans="1:70" ht="26" customHeight="1" x14ac:dyDescent="0.15">
      <c r="A7" s="12">
        <v>757</v>
      </c>
      <c r="B7" s="57" t="str">
        <f ca="1">VLOOKUP($A7,OFFSET([1]characters!$A$1,0,0,COUNTA([1]characters!$A:$A),MATCH(B$1,[1]characters!$1:$1,0)-MATCH($A$1,[1]characters!$1:$1,0)+1),MATCH(B$1,[1]characters!$1:$1,0)-MATCH($A$1,[1]characters!$1:$1,0)+1,FALSE)</f>
        <v>荒龍の復魂 アメノムラクモ</v>
      </c>
      <c r="C7" s="57" t="str">
        <f ca="1">VLOOKUP($A7,OFFSET([1]characters!$A$1,0,0,COUNTA([1]characters!$A:$A),MATCH(C$1,[1]characters!$1:$1,0)-MATCH($A$1,[1]characters!$1:$1,0)+1),MATCH(C$1,[1]characters!$1:$1,0)-MATCH($A$1,[1]characters!$1:$1,0)+1,FALSE)</f>
        <v>イベント:ランキング01</v>
      </c>
      <c r="D7" s="57" t="str">
        <f ca="1">VLOOKUP($A7,OFFSET([1]characters!$A$1,0,0,COUNTA([1]characters!$A:$A),MATCH(D$1,[1]characters!$1:$1,0)-MATCH($A$1,[1]characters!$1:$1,0)+1),MATCH(D$1,[1]characters!$1:$1,0)-MATCH($A$1,[1]characters!$1:$1,0)+1,FALSE)</f>
        <v>執行者</v>
      </c>
      <c r="E7" s="57" t="str">
        <f ca="1">VLOOKUP($A7,OFFSET([1]characters!$A$1,0,0,COUNTA([1]characters!$A:$A),MATCH(E$1,[1]characters!$1:$1,0)-MATCH($A$1,[1]characters!$1:$1,0)+1),MATCH(E$1,[1]characters!$1:$1,0)-MATCH($A$1,[1]characters!$1:$1,0)+1,FALSE)</f>
        <v>格好いい</v>
      </c>
      <c r="F7" s="57" t="str">
        <f ca="1">VLOOKUP($A7,OFFSET([1]characters!$A$1,0,0,COUNTA([1]characters!$A:$A),MATCH(F$1,[1]characters!$1:$1,0)-MATCH($A$1,[1]characters!$1:$1,0)+1),MATCH(F$1,[1]characters!$1:$1,0)-MATCH($A$1,[1]characters!$1:$1,0)+1,FALSE)</f>
        <v>男性</v>
      </c>
      <c r="G7" s="57">
        <f ca="1">VLOOKUP($A7,OFFSET([1]characters!$A$1,0,0,COUNTA([1]characters!$A:$A),MATCH(G$1,[1]characters!$1:$1,0)-MATCH($A$1,[1]characters!$1:$1,0)+1),MATCH(G$1,[1]characters!$1:$1,0)-MATCH($A$1,[1]characters!$1:$1,0)+1,FALSE)</f>
        <v>6</v>
      </c>
      <c r="H7" s="57" t="str">
        <f ca="1">VLOOKUP($A7,OFFSET([1]characters!$A$1,0,0,COUNTA([1]characters!$A:$A),MATCH(H$1,[1]characters!$1:$1,0)-MATCH($A$1,[1]characters!$1:$1,0)+1),MATCH(H$1,[1]characters!$1:$1,0)-MATCH($A$1,[1]characters!$1:$1,0)+1,FALSE)</f>
        <v>DropWizSSS</v>
      </c>
      <c r="I7" s="57" t="str">
        <f ca="1">VLOOKUP($A7,OFFSET([1]characters!$A$1,0,0,COUNTA([1]characters!$A:$A),MATCH(I$1,[1]characters!$1:$1,0)-MATCH($A$1,[1]characters!$1:$1,0)+1),MATCH(I$1,[1]characters!$1:$1,0)-MATCH($A$1,[1]characters!$1:$1,0)+1,FALSE)</f>
        <v>blue</v>
      </c>
      <c r="J7" s="11">
        <f ca="1">VLOOKUP(I7,[1]属性!$A:$E,2,FALSE)</f>
        <v>1</v>
      </c>
      <c r="K7" s="11">
        <f ca="1">VLOOKUP(I7,[1]属性!$A:$E,3,FALSE)</f>
        <v>0.98</v>
      </c>
      <c r="L7" s="11">
        <f ca="1">VLOOKUP(I7,[1]属性!$A:$E,4,FALSE)</f>
        <v>1</v>
      </c>
      <c r="M7" s="11">
        <f ca="1">VLOOKUP(I7,[1]属性!$A:$E,5,FALSE)</f>
        <v>1.02</v>
      </c>
      <c r="N7" s="11">
        <f ca="1">INDEX(コスト!$A$1:$I$20,MATCH(H7,コスト!$A$1:$A$20,FALSE),MATCH(G7,コスト!$A$1:$I$1,FALSE))</f>
        <v>55</v>
      </c>
      <c r="O7" s="11">
        <f ca="1">INDEX(レベル!$A$1:$I$21,MATCH(H7,レベル!$A$1:$A$21,FALSE),MATCH(G7,レベル!$A$1:$I$1,FALSE))</f>
        <v>99</v>
      </c>
      <c r="P7" s="48">
        <f t="shared" ca="1" si="5"/>
        <v>99</v>
      </c>
      <c r="Q7" s="57" t="str">
        <f ca="1">VLOOKUP($A7,OFFSET([1]characters!$A$1,0,0,COUNTA([1]characters!$A:$A),MATCH(Q$1,[1]characters!$1:$1,0)-MATCH($A$1,[1]characters!$1:$1,0)+1),MATCH(Q$1,[1]characters!$1:$1,0)-MATCH($A$1,[1]characters!$1:$1,0)+1,FALSE)</f>
        <v>technical</v>
      </c>
      <c r="R7" s="5" t="str">
        <f ca="1">VLOOKUP(Q7,[1]character_type_i18n!$A:$H,3,FALSE)</f>
        <v>テクニカルタイプ</v>
      </c>
      <c r="S7" s="11">
        <f ca="1">VLOOKUP(Q7,[1]character_type_i18n!$A:$H,4,FALSE)</f>
        <v>0.9</v>
      </c>
      <c r="T7" s="11">
        <f ca="1">VLOOKUP(Q7,[1]character_type_i18n!$A:$H,5,FALSE)</f>
        <v>0.9</v>
      </c>
      <c r="U7" s="11">
        <f ca="1">VLOOKUP(Q7,[1]character_type_i18n!$A:$H,6,FALSE)</f>
        <v>1</v>
      </c>
      <c r="V7" s="11">
        <f ca="1">VLOOKUP(Q7,[1]character_type_i18n!$A:$H,7,FALSE)</f>
        <v>0.9</v>
      </c>
      <c r="W7" s="57" t="str">
        <f ca="1">VLOOKUP($A7,OFFSET([1]characters!$A$1,0,0,COUNTA([1]characters!$A:$A),MATCH(W$1,[1]characters!$1:$1,0)-MATCH($A$1,[1]characters!$1:$1,0)+1),MATCH(W$1,[1]characters!$1:$1,0)-MATCH($A$1,[1]characters!$1:$1,0)+1,FALSE)</f>
        <v>weapon</v>
      </c>
      <c r="X7" s="5" t="str">
        <f ca="1">VLOOKUP(W7,[1]character_tribe_i18n!$A:$H,3,FALSE)</f>
        <v>ウェポン</v>
      </c>
      <c r="Y7" s="57" t="str">
        <f ca="1">VLOOKUP($A7,OFFSET([1]characters!$A$1,0,0,COUNTA([1]characters!$A:$A),MATCH(Y$1,[1]characters!$1:$1,0)-MATCH($A$1,[1]characters!$1:$1,0)+1),MATCH(Y$1,[1]characters!$1:$1,0)-MATCH($A$1,[1]characters!$1:$1,0)+1,FALSE)</f>
        <v>none</v>
      </c>
      <c r="Z7" s="5" t="str">
        <f ca="1">VLOOKUP(Y7,[1]character_tribe_i18n!$A:$H,3,FALSE)</f>
        <v>種族なし</v>
      </c>
      <c r="AA7" s="11">
        <f ca="1">VLOOKUP(W7,[1]character_tribe_i18n!$A:$H,4,FALSE)</f>
        <v>1</v>
      </c>
      <c r="AB7" s="11">
        <f ca="1">VLOOKUP(W7,[1]character_tribe_i18n!$A:$H,5,FALSE)</f>
        <v>1</v>
      </c>
      <c r="AC7" s="11">
        <f ca="1">VLOOKUP(W7,[1]character_tribe_i18n!$A:$H,6,FALSE)</f>
        <v>1</v>
      </c>
      <c r="AD7" s="11">
        <f ca="1">VLOOKUP(W7,[1]character_tribe_i18n!$A:$H,7,FALSE)</f>
        <v>1</v>
      </c>
      <c r="AE7" s="9" t="s">
        <v>183</v>
      </c>
      <c r="AF7" s="62" t="str">
        <f ca="1">IF(AE7="NULL","",VLOOKUP($AE7,OFFSET([1]characters!$A$1,0,0,COUNTA([1]characters!$A:$A),MATCH(AF$1,[1]characters!$1:$1,0)-MATCH($A$1,[1]characters!$1:$1,0)+1),MATCH(AF$1,[1]characters!$1:$1,0)-MATCH($A$1,[1]characters!$1:$1,0)+1,FALSE))</f>
        <v/>
      </c>
      <c r="AG7" s="5">
        <f t="shared" ca="1" si="0"/>
        <v>756</v>
      </c>
      <c r="AH7" s="62" t="str">
        <f ca="1">VLOOKUP($AG7,OFFSET([1]characters!$A$1,0,0,COUNTA([1]characters!$A:$A),MATCH(AH$1,[1]characters!$1:$1,0)-MATCH($A$1,[1]characters!$1:$1,0)+1),MATCH(AH$1,[1]characters!$1:$1,0)-MATCH($A$1,[1]characters!$1:$1,0)+1,FALSE)</f>
        <v>アメノムラクモ</v>
      </c>
      <c r="AI7" s="11" t="str">
        <f>IF(AE7="NULL","NULL",VLOOKUP(G7,ビット!$A$2:$B$7,2))</f>
        <v>NULL</v>
      </c>
      <c r="AJ7" s="6">
        <v>2</v>
      </c>
      <c r="AK7" s="7" t="str">
        <f t="shared" si="1"/>
        <v>普通</v>
      </c>
      <c r="AL7" s="11" t="str">
        <f ca="1">INDEX(経験値!$A$1:$I$20,MATCH(H7,経験値!$A$1:$A$20,FALSE),MATCH(G7,経験値!$A$1:$I$1,FALSE))</f>
        <v>required_exp_300</v>
      </c>
      <c r="AM7" s="8">
        <f ca="1">VLOOKUP(G7,経験値!$A$27:$B$31,2)</f>
        <v>6400</v>
      </c>
      <c r="AN7" s="17">
        <f ca="1">VLOOKUP(G7,ビット!$G$2:$H$7,2)</f>
        <v>900</v>
      </c>
      <c r="AO7" s="45"/>
      <c r="AP7" s="66">
        <f t="shared" si="6"/>
        <v>757</v>
      </c>
      <c r="AQ7" s="57" t="str">
        <f ca="1">VLOOKUP($AP7,OFFSET(unit_skills!$A$1,0,0,COUNTA(unit_skills!$A:$A),MATCH(AQ$1,unit_skills!$1:$1,0)-MATCH($AP$1,unit_skills!$1:$1,0)+1),MATCH(AQ$1,unit_skills!$1:$1,0)-MATCH($AP$1,unit_skills!$1:$1,0)+1,FALSE)</f>
        <v>八つの厄災</v>
      </c>
      <c r="AR7" s="57" t="str">
        <f ca="1">VLOOKUP($AP7,OFFSET(unit_skills!$A$1,0,0,COUNTA(unit_skills!$A:$A),MATCH(AR$1,unit_skills!$1:$1,0)-MATCH($AP$1,unit_skills!$1:$1,0)+1),MATCH(AR$1,unit_skills!$1:$1,0)-MATCH($AP$1,unit_skills!$1:$1,0)+1,FALSE)</f>
        <v>緑・赤パネルを青パネルに変換+1ターン確率で先頭のユニットのCパネルをドロップ</v>
      </c>
      <c r="AS7" s="57">
        <f ca="1">VLOOKUP($AP7,OFFSET(unit_skills!$A$1,0,0,COUNTA(unit_skills!$A:$A),MATCH(AS$1,unit_skills!$1:$1,0)-MATCH($AP$1,unit_skills!$1:$1,0)+1),MATCH(AS$1,unit_skills!$1:$1,0)-MATCH($AP$1,unit_skills!$1:$1,0)+1,FALSE)</f>
        <v>0</v>
      </c>
      <c r="AT7" s="41">
        <f t="shared" si="7"/>
        <v>757</v>
      </c>
      <c r="AU7" s="57" t="str">
        <f ca="1">VLOOKUP($AT7,OFFSET(crash_skills!$A$1,0,0,COUNTA(crash_skills!$A:$A),MATCH(AU$1,crash_skills!$1:$1,0)-MATCH($AT$1,crash_skills!$1:$1,0)+1),MATCH(AU$1,crash_skills!$1:$1,0)-MATCH($AT$1,crash_skills!$1:$1,0)+1,FALSE)</f>
        <v>リヴァイヴァル・オブ・オロチ</v>
      </c>
      <c r="AV7" s="57" t="str">
        <f ca="1">VLOOKUP($AT7,OFFSET(crash_skills!$A$1,0,0,COUNTA(crash_skills!$A:$A),MATCH(AV$1,crash_skills!$1:$1,0)-MATCH($AT$1,crash_skills!$1:$1,0)+1),MATCH(AV$1,crash_skills!$1:$1,0)-MATCH($AT$1,crash_skills!$1:$1,0)+1,FALSE)</f>
        <v>単体に大ダメージ+_x000D_全体に大ダメージ</v>
      </c>
      <c r="AW7" s="57">
        <f ca="1">VLOOKUP($AT7,OFFSET(crash_skills!$A$1,0,0,COUNTA(crash_skills!$A:$A),MATCH(AW$1,crash_skills!$1:$1,0)-MATCH($AT$1,crash_skills!$1:$1,0)+1),MATCH(AW$1,crash_skills!$1:$1,0)-MATCH($AT$1,crash_skills!$1:$1,0)+1,FALSE)</f>
        <v>0</v>
      </c>
      <c r="AX7" s="58">
        <f ca="1">VLOOKUP($A7,OFFSET([1]characters!$A$1,0,0,COUNTA([1]characters!$A:$A),MATCH(AX$1,[1]characters!$1:$1,0)-MATCH($A$1,[1]characters!$1:$1,0)+1),MATCH(AX$1,[1]characters!$1:$1,0)-MATCH($A$1,[1]characters!$1:$1,0)+1,FALSE)</f>
        <v>3</v>
      </c>
      <c r="AY7" s="67">
        <v>1.04</v>
      </c>
      <c r="AZ7" s="67">
        <v>1</v>
      </c>
      <c r="BA7" s="67">
        <v>0</v>
      </c>
      <c r="BB7" s="67">
        <v>0.94</v>
      </c>
      <c r="BC7" s="11">
        <f ca="1">INDEX('RC6SV'!$A$1:$G$20,MATCH(H7,'RC6SV'!$A$1:$A$20,FALSE),MATCH(G7,'RC6SV'!$A$1:$G$1,FALSE))</f>
        <v>14000</v>
      </c>
      <c r="BD7" s="48">
        <f t="shared" ca="1" si="2"/>
        <v>14000</v>
      </c>
      <c r="BE7" s="11">
        <f t="shared" ca="1" si="3"/>
        <v>10000</v>
      </c>
      <c r="BF7" s="11">
        <f t="shared" ca="1" si="4"/>
        <v>1</v>
      </c>
      <c r="BG7" s="16">
        <f ca="1">IF($BE7&lt;=0,ROUND(BK7*0.5,0), ROUND($BE7*S7*AA7*J7*AY7*0.8*[1]ステータス!$B$2,0))</f>
        <v>3744</v>
      </c>
      <c r="BH7" s="16">
        <f ca="1">IF($BE7&lt;=0,ROUND(BL7*0.5,0), ROUND($BE7*T7*AB7*K7*AZ7*0.8*[1]ステータス!$C$2,0))</f>
        <v>2117</v>
      </c>
      <c r="BI7" s="16">
        <f ca="1">IF($BE7&lt;=0,ROUND(BM7*0.5,0), ROUND($BE7*U7*AC7*L7*BA7*0.8*[1]ステータス!$D$2,0))</f>
        <v>0</v>
      </c>
      <c r="BJ7" s="16">
        <f ca="1">IF($BE7&lt;=0,ROUND(BN7*0.5,0), ROUND($BE7*V7*AD7*M7*BB7*0.8*[1]ステータス!$E$2,0))</f>
        <v>1726</v>
      </c>
      <c r="BK7" s="11">
        <f ca="1">ROUND(BD7*S7*AA7*J7*AY7*[1]ステータス!$B$2,0)</f>
        <v>6552</v>
      </c>
      <c r="BL7" s="11">
        <f ca="1">ROUND(BD7*T7*AB7*K7*AZ7*[1]ステータス!$C$2,0)</f>
        <v>3704</v>
      </c>
      <c r="BM7" s="11">
        <f ca="1">ROUND(BD7*U7*AC7*L7*BA7*[1]ステータス!$D$2,0)</f>
        <v>0</v>
      </c>
      <c r="BN7" s="11">
        <f ca="1">ROUND(BD7*V7*AD7*M7*BB7*[1]ステータス!$E$2,0)</f>
        <v>3020</v>
      </c>
      <c r="BO7" s="10">
        <v>0</v>
      </c>
      <c r="BP7" s="10">
        <v>1</v>
      </c>
      <c r="BQ7" s="10" t="s">
        <v>47</v>
      </c>
      <c r="BR7" s="206">
        <v>1</v>
      </c>
    </row>
    <row r="8" spans="1:70" ht="26" customHeight="1" x14ac:dyDescent="0.15">
      <c r="A8" s="12">
        <v>947</v>
      </c>
      <c r="B8" s="57" t="str">
        <f ca="1">VLOOKUP($A8,OFFSET([1]characters!$A$1,0,0,COUNTA([1]characters!$A:$A),MATCH(B$1,[1]characters!$1:$1,0)-MATCH($A$1,[1]characters!$1:$1,0)+1),MATCH(B$1,[1]characters!$1:$1,0)-MATCH($A$1,[1]characters!$1:$1,0)+1,FALSE)</f>
        <v>ゲイボルグ</v>
      </c>
      <c r="C8" s="57" t="str">
        <f ca="1">VLOOKUP($A8,OFFSET([1]characters!$A$1,0,0,COUNTA([1]characters!$A:$A),MATCH(C$1,[1]characters!$1:$1,0)-MATCH($A$1,[1]characters!$1:$1,0)+1),MATCH(C$1,[1]characters!$1:$1,0)-MATCH($A$1,[1]characters!$1:$1,0)+1,FALSE)</f>
        <v>各属性相性良3・黄・R551</v>
      </c>
      <c r="D8" s="57" t="str">
        <f ca="1">VLOOKUP($A8,OFFSET([1]characters!$A$1,0,0,COUNTA([1]characters!$A:$A),MATCH(D$1,[1]characters!$1:$1,0)-MATCH($A$1,[1]characters!$1:$1,0)+1),MATCH(D$1,[1]characters!$1:$1,0)-MATCH($A$1,[1]characters!$1:$1,0)+1,FALSE)</f>
        <v>執行者</v>
      </c>
      <c r="E8" s="57" t="str">
        <f ca="1">VLOOKUP($A8,OFFSET([1]characters!$A$1,0,0,COUNTA([1]characters!$A:$A),MATCH(E$1,[1]characters!$1:$1,0)-MATCH($A$1,[1]characters!$1:$1,0)+1),MATCH(E$1,[1]characters!$1:$1,0)-MATCH($A$1,[1]characters!$1:$1,0)+1,FALSE)</f>
        <v>格好いい</v>
      </c>
      <c r="F8" s="57" t="str">
        <f ca="1">VLOOKUP($A8,OFFSET([1]characters!$A$1,0,0,COUNTA([1]characters!$A:$A),MATCH(F$1,[1]characters!$1:$1,0)-MATCH($A$1,[1]characters!$1:$1,0)+1),MATCH(F$1,[1]characters!$1:$1,0)-MATCH($A$1,[1]characters!$1:$1,0)+1,FALSE)</f>
        <v>男性</v>
      </c>
      <c r="G8" s="57">
        <f ca="1">VLOOKUP($A8,OFFSET([1]characters!$A$1,0,0,COUNTA([1]characters!$A:$A),MATCH(G$1,[1]characters!$1:$1,0)-MATCH($A$1,[1]characters!$1:$1,0)+1),MATCH(G$1,[1]characters!$1:$1,0)-MATCH($A$1,[1]characters!$1:$1,0)+1,FALSE)</f>
        <v>5</v>
      </c>
      <c r="H8" s="57" t="str">
        <f ca="1">VLOOKUP($A8,OFFSET([1]characters!$A$1,0,0,COUNTA([1]characters!$A:$A),MATCH(H$1,[1]characters!$1:$1,0)-MATCH($A$1,[1]characters!$1:$1,0)+1),MATCH(H$1,[1]characters!$1:$1,0)-MATCH($A$1,[1]characters!$1:$1,0)+1,FALSE)</f>
        <v>DropWizSSS</v>
      </c>
      <c r="I8" s="57" t="str">
        <f ca="1">VLOOKUP($A8,OFFSET([1]characters!$A$1,0,0,COUNTA([1]characters!$A:$A),MATCH(I$1,[1]characters!$1:$1,0)-MATCH($A$1,[1]characters!$1:$1,0)+1),MATCH(I$1,[1]characters!$1:$1,0)-MATCH($A$1,[1]characters!$1:$1,0)+1,FALSE)</f>
        <v>green</v>
      </c>
      <c r="J8" s="11">
        <f ca="1">VLOOKUP(I8,[1]属性!$A:$E,2,FALSE)</f>
        <v>1.02</v>
      </c>
      <c r="K8" s="11">
        <f ca="1">VLOOKUP(I8,[1]属性!$A:$E,3,FALSE)</f>
        <v>0.98</v>
      </c>
      <c r="L8" s="11">
        <f ca="1">VLOOKUP(I8,[1]属性!$A:$E,4,FALSE)</f>
        <v>1</v>
      </c>
      <c r="M8" s="11">
        <f ca="1">VLOOKUP(I8,[1]属性!$A:$E,5,FALSE)</f>
        <v>1</v>
      </c>
      <c r="N8" s="11">
        <f ca="1">INDEX(コスト!$A$1:$I$20,MATCH(H8,コスト!$A$1:$A$20,FALSE),MATCH(G8,コスト!$A$1:$I$1,FALSE))</f>
        <v>40</v>
      </c>
      <c r="O8" s="11">
        <f ca="1">INDEX(レベル!$A$1:$I$21,MATCH(H8,レベル!$A$1:$A$21,FALSE),MATCH(G8,レベル!$A$1:$I$1,FALSE))</f>
        <v>80</v>
      </c>
      <c r="P8" s="48">
        <f t="shared" ref="P8:P9" ca="1" si="10">IF(G8 &gt;= 6, 99,G8*15)</f>
        <v>75</v>
      </c>
      <c r="Q8" s="57" t="str">
        <f ca="1">VLOOKUP($A8,OFFSET([1]characters!$A$1,0,0,COUNTA([1]characters!$A:$A),MATCH(Q$1,[1]characters!$1:$1,0)-MATCH($A$1,[1]characters!$1:$1,0)+1),MATCH(Q$1,[1]characters!$1:$1,0)-MATCH($A$1,[1]characters!$1:$1,0)+1,FALSE)</f>
        <v>attack</v>
      </c>
      <c r="R8" s="5" t="str">
        <f ca="1">VLOOKUP(Q8,[1]character_type_i18n!$A:$H,3,FALSE)</f>
        <v>攻撃タイプ</v>
      </c>
      <c r="S8" s="11">
        <f ca="1">VLOOKUP(Q8,[1]character_type_i18n!$A:$H,4,FALSE)</f>
        <v>1</v>
      </c>
      <c r="T8" s="11">
        <f ca="1">VLOOKUP(Q8,[1]character_type_i18n!$A:$H,5,FALSE)</f>
        <v>1.33</v>
      </c>
      <c r="U8" s="11">
        <f ca="1">VLOOKUP(Q8,[1]character_type_i18n!$A:$H,6,FALSE)</f>
        <v>1</v>
      </c>
      <c r="V8" s="11">
        <f ca="1">VLOOKUP(Q8,[1]character_type_i18n!$A:$H,7,FALSE)</f>
        <v>0.67</v>
      </c>
      <c r="W8" s="57" t="str">
        <f ca="1">VLOOKUP($A8,OFFSET([1]characters!$A$1,0,0,COUNTA([1]characters!$A:$A),MATCH(W$1,[1]characters!$1:$1,0)-MATCH($A$1,[1]characters!$1:$1,0)+1),MATCH(W$1,[1]characters!$1:$1,0)-MATCH($A$1,[1]characters!$1:$1,0)+1,FALSE)</f>
        <v>weapon</v>
      </c>
      <c r="X8" s="5" t="str">
        <f ca="1">VLOOKUP(W8,[1]character_tribe_i18n!$A:$H,3,FALSE)</f>
        <v>ウェポン</v>
      </c>
      <c r="Y8" s="57" t="str">
        <f ca="1">VLOOKUP($A8,OFFSET([1]characters!$A$1,0,0,COUNTA([1]characters!$A:$A),MATCH(Y$1,[1]characters!$1:$1,0)-MATCH($A$1,[1]characters!$1:$1,0)+1),MATCH(Y$1,[1]characters!$1:$1,0)-MATCH($A$1,[1]characters!$1:$1,0)+1,FALSE)</f>
        <v>none</v>
      </c>
      <c r="Z8" s="5" t="str">
        <f ca="1">VLOOKUP(Y8,[1]character_tribe_i18n!$A:$H,3,FALSE)</f>
        <v>種族なし</v>
      </c>
      <c r="AA8" s="11">
        <f ca="1">VLOOKUP(W8,[1]character_tribe_i18n!$A:$H,4,FALSE)</f>
        <v>1</v>
      </c>
      <c r="AB8" s="11">
        <f ca="1">VLOOKUP(W8,[1]character_tribe_i18n!$A:$H,5,FALSE)</f>
        <v>1</v>
      </c>
      <c r="AC8" s="11">
        <f ca="1">VLOOKUP(W8,[1]character_tribe_i18n!$A:$H,6,FALSE)</f>
        <v>1</v>
      </c>
      <c r="AD8" s="11">
        <f ca="1">VLOOKUP(W8,[1]character_tribe_i18n!$A:$H,7,FALSE)</f>
        <v>1</v>
      </c>
      <c r="AE8" s="9">
        <f t="shared" ref="AE8" si="11">A9</f>
        <v>948</v>
      </c>
      <c r="AF8" s="62" t="str">
        <f ca="1">IF(AE8="NULL","",VLOOKUP($AE8,OFFSET([1]characters!$A$1,0,0,COUNTA([1]characters!$A:$A),MATCH(AF$1,[1]characters!$1:$1,0)-MATCH($A$1,[1]characters!$1:$1,0)+1),MATCH(AF$1,[1]characters!$1:$1,0)-MATCH($A$1,[1]characters!$1:$1,0)+1,FALSE))</f>
        <v>裂雷の必撃鏃 ゲイボルグ</v>
      </c>
      <c r="AG8" s="5">
        <f t="shared" ca="1" si="0"/>
        <v>947</v>
      </c>
      <c r="AH8" s="62" t="str">
        <f ca="1">VLOOKUP($AG8,OFFSET([1]characters!$A$1,0,0,COUNTA([1]characters!$A:$A),MATCH(AH$1,[1]characters!$1:$1,0)-MATCH($A$1,[1]characters!$1:$1,0)+1),MATCH(AH$1,[1]characters!$1:$1,0)-MATCH($A$1,[1]characters!$1:$1,0)+1,FALSE)</f>
        <v>ゲイボルグ</v>
      </c>
      <c r="AI8" s="11">
        <f ca="1">IF(AE8="NULL","NULL",VLOOKUP(G8,ビット!$A$2:$B$7,2))</f>
        <v>200000</v>
      </c>
      <c r="AJ8" s="6">
        <v>2</v>
      </c>
      <c r="AK8" s="7" t="str">
        <f t="shared" ref="AK8:AK9" si="12">IF(AJ8=1,"早熟",IF(AJ8=2,"普通",IF(AJ8=3,"晩成","")))</f>
        <v>普通</v>
      </c>
      <c r="AL8" s="11" t="str">
        <f ca="1">INDEX(経験値!$A$1:$I$20,MATCH(H8,経験値!$A$1:$A$20,FALSE),MATCH(G8,経験値!$A$1:$I$1,FALSE))</f>
        <v>required_exp_200</v>
      </c>
      <c r="AM8" s="8">
        <f ca="1">VLOOKUP(G8,経験値!$A$27:$B$31,2)</f>
        <v>6400</v>
      </c>
      <c r="AN8" s="17">
        <f ca="1">VLOOKUP(G8,ビット!$G$2:$H$7,2)</f>
        <v>900</v>
      </c>
      <c r="AO8" s="45"/>
      <c r="AP8" s="66">
        <f t="shared" ref="AP8:AP9" si="13">A8</f>
        <v>947</v>
      </c>
      <c r="AQ8" s="57" t="str">
        <f ca="1">VLOOKUP($AP8,OFFSET(unit_skills!$A$1,0,0,COUNTA(unit_skills!$A:$A),MATCH(AQ$1,unit_skills!$1:$1,0)-MATCH($AP$1,unit_skills!$1:$1,0)+1),MATCH(AQ$1,unit_skills!$1:$1,0)-MATCH($AP$1,unit_skills!$1:$1,0)+1,FALSE)</f>
        <v>破撃の雷速突</v>
      </c>
      <c r="AR8" s="57" t="str">
        <f ca="1">VLOOKUP($AP8,OFFSET(unit_skills!$A$1,0,0,COUNTA(unit_skills!$A:$A),MATCH(AR$1,unit_skills!$1:$1,0)-MATCH($AP$1,unit_skills!$1:$1,0)+1),MATCH(AR$1,unit_skills!$1:$1,0)-MATCH($AP$1,unit_skills!$1:$1,0)+1,FALSE)</f>
        <v>ランダムでSCパネル(大)を2つ、ボムパネル(大)を4つ生成+1ターン自身の攻撃力を超大UP</v>
      </c>
      <c r="AS8" s="57">
        <f ca="1">VLOOKUP($AP8,OFFSET(unit_skills!$A$1,0,0,COUNTA(unit_skills!$A:$A),MATCH(AS$1,unit_skills!$1:$1,0)-MATCH($AP$1,unit_skills!$1:$1,0)+1),MATCH(AS$1,unit_skills!$1:$1,0)-MATCH($AP$1,unit_skills!$1:$1,0)+1,FALSE)</f>
        <v>0</v>
      </c>
      <c r="AT8" s="41">
        <f t="shared" ref="AT8:AT9" si="14">A8</f>
        <v>947</v>
      </c>
      <c r="AU8" s="57" t="str">
        <f ca="1">VLOOKUP($AT8,OFFSET(crash_skills!$A$1,0,0,COUNTA(crash_skills!$A:$A),MATCH(AU$1,crash_skills!$1:$1,0)-MATCH($AT$1,crash_skills!$1:$1,0)+1),MATCH(AU$1,crash_skills!$1:$1,0)-MATCH($AT$1,crash_skills!$1:$1,0)+1,FALSE)</f>
        <v>ライトニング･フォール</v>
      </c>
      <c r="AV8" s="57" t="str">
        <f ca="1">VLOOKUP($AT8,OFFSET(crash_skills!$A$1,0,0,COUNTA(crash_skills!$A:$A),MATCH(AV$1,crash_skills!$1:$1,0)-MATCH($AT$1,crash_skills!$1:$1,0)+1),MATCH(AV$1,crash_skills!$1:$1,0)-MATCH($AT$1,crash_skills!$1:$1,0)+1,FALSE)</f>
        <v>1体に大ダメージ</v>
      </c>
      <c r="AW8" s="57">
        <f ca="1">VLOOKUP($AT8,OFFSET(crash_skills!$A$1,0,0,COUNTA(crash_skills!$A:$A),MATCH(AW$1,crash_skills!$1:$1,0)-MATCH($AT$1,crash_skills!$1:$1,0)+1),MATCH(AW$1,crash_skills!$1:$1,0)-MATCH($AT$1,crash_skills!$1:$1,0)+1,FALSE)</f>
        <v>0</v>
      </c>
      <c r="AX8" s="58">
        <f ca="1">VLOOKUP($A8,OFFSET([1]characters!$A$1,0,0,COUNTA([1]characters!$A:$A),MATCH(AX$1,[1]characters!$1:$1,0)-MATCH($A$1,[1]characters!$1:$1,0)+1),MATCH(AX$1,[1]characters!$1:$1,0)-MATCH($A$1,[1]characters!$1:$1,0)+1,FALSE)</f>
        <v>3</v>
      </c>
      <c r="AY8" s="67">
        <v>1</v>
      </c>
      <c r="AZ8" s="67">
        <v>1</v>
      </c>
      <c r="BA8" s="67">
        <v>0</v>
      </c>
      <c r="BB8" s="67">
        <v>0.94</v>
      </c>
      <c r="BC8" s="11">
        <f ca="1">INDEX('RC6SV'!$A$1:$G$20,MATCH(H8,'RC6SV'!$A$1:$A$20,FALSE),MATCH(G8,'RC6SV'!$A$1:$G$1,FALSE))</f>
        <v>10000</v>
      </c>
      <c r="BD8" s="48">
        <f t="shared" ref="BD8:BD9" ca="1" si="15">ROUND(BC8*IF(AJ8=1,0.95,IF(AJ8=2,1,IF(AJ8,1.05,0))),0)</f>
        <v>10000</v>
      </c>
      <c r="BE8" s="11">
        <f t="shared" ca="1" si="3"/>
        <v>0</v>
      </c>
      <c r="BF8" s="11">
        <f t="shared" ca="1" si="4"/>
        <v>1</v>
      </c>
      <c r="BG8" s="16">
        <f ca="1">IF($BE8&lt;=0,ROUND(BK8*0.5,0), ROUND($BE8*S8*AA8*J8*AY8*0.8*[1]ステータス!$B$2,0))</f>
        <v>2550</v>
      </c>
      <c r="BH8" s="16">
        <f ca="1">IF($BE8&lt;=0,ROUND(BL8*0.5,0), ROUND($BE8*T8*AB8*K8*AZ8*0.8*[1]ステータス!$C$2,0))</f>
        <v>1955</v>
      </c>
      <c r="BI8" s="16">
        <f ca="1">IF($BE8&lt;=0,ROUND(BM8*0.5,0), ROUND($BE8*U8*AC8*L8*BA8*0.8*[1]ステータス!$D$2,0))</f>
        <v>0</v>
      </c>
      <c r="BJ8" s="16">
        <f ca="1">IF($BE8&lt;=0,ROUND(BN8*0.5,0), ROUND($BE8*V8*AD8*M8*BB8*0.8*[1]ステータス!$E$2,0))</f>
        <v>788</v>
      </c>
      <c r="BK8" s="11">
        <f ca="1">ROUND(BD8*S8*AA8*J8*AY8*[1]ステータス!$B$2,0)</f>
        <v>5100</v>
      </c>
      <c r="BL8" s="11">
        <f ca="1">ROUND(BD8*T8*AB8*K8*AZ8*[1]ステータス!$C$2,0)</f>
        <v>3910</v>
      </c>
      <c r="BM8" s="11">
        <f ca="1">ROUND(BD8*U8*AC8*L8*BA8*[1]ステータス!$D$2,0)</f>
        <v>0</v>
      </c>
      <c r="BN8" s="11">
        <f ca="1">ROUND(BD8*V8*AD8*M8*BB8*[1]ステータス!$E$2,0)</f>
        <v>1575</v>
      </c>
      <c r="BO8" s="10">
        <v>0</v>
      </c>
      <c r="BP8" s="10">
        <v>1</v>
      </c>
      <c r="BQ8" s="10" t="s">
        <v>47</v>
      </c>
      <c r="BR8" s="206">
        <v>1</v>
      </c>
    </row>
    <row r="9" spans="1:70" ht="26" customHeight="1" x14ac:dyDescent="0.15">
      <c r="A9" s="12">
        <v>948</v>
      </c>
      <c r="B9" s="62" t="str">
        <f ca="1">VLOOKUP($A9,OFFSET([1]characters!$A$1,0,0,COUNTA([1]characters!$A:$A),MATCH(B$1,[1]characters!$1:$1,0)-MATCH($A$1,[1]characters!$1:$1,0)+1),MATCH(B$1,[1]characters!$1:$1,0)-MATCH($A$1,[1]characters!$1:$1,0)+1,FALSE)</f>
        <v>裂雷の必撃鏃 ゲイボルグ</v>
      </c>
      <c r="C9" s="57" t="str">
        <f ca="1">VLOOKUP($A9,OFFSET([1]characters!$A$1,0,0,COUNTA([1]characters!$A:$A),MATCH(C$1,[1]characters!$1:$1,0)-MATCH($A$1,[1]characters!$1:$1,0)+1),MATCH(C$1,[1]characters!$1:$1,0)-MATCH($A$1,[1]characters!$1:$1,0)+1,FALSE)</f>
        <v>各属性相性良3・黄・R552</v>
      </c>
      <c r="D9" s="57" t="str">
        <f ca="1">VLOOKUP($A9,OFFSET([1]characters!$A$1,0,0,COUNTA([1]characters!$A:$A),MATCH(D$1,[1]characters!$1:$1,0)-MATCH($A$1,[1]characters!$1:$1,0)+1),MATCH(D$1,[1]characters!$1:$1,0)-MATCH($A$1,[1]characters!$1:$1,0)+1,FALSE)</f>
        <v>執行者</v>
      </c>
      <c r="E9" s="57" t="str">
        <f ca="1">VLOOKUP($A9,OFFSET([1]characters!$A$1,0,0,COUNTA([1]characters!$A:$A),MATCH(E$1,[1]characters!$1:$1,0)-MATCH($A$1,[1]characters!$1:$1,0)+1),MATCH(E$1,[1]characters!$1:$1,0)-MATCH($A$1,[1]characters!$1:$1,0)+1,FALSE)</f>
        <v>格好いい</v>
      </c>
      <c r="F9" s="57" t="str">
        <f ca="1">VLOOKUP($A9,OFFSET([1]characters!$A$1,0,0,COUNTA([1]characters!$A:$A),MATCH(F$1,[1]characters!$1:$1,0)-MATCH($A$1,[1]characters!$1:$1,0)+1),MATCH(F$1,[1]characters!$1:$1,0)-MATCH($A$1,[1]characters!$1:$1,0)+1,FALSE)</f>
        <v>男性</v>
      </c>
      <c r="G9" s="57">
        <f ca="1">VLOOKUP($A9,OFFSET([1]characters!$A$1,0,0,COUNTA([1]characters!$A:$A),MATCH(G$1,[1]characters!$1:$1,0)-MATCH($A$1,[1]characters!$1:$1,0)+1),MATCH(G$1,[1]characters!$1:$1,0)-MATCH($A$1,[1]characters!$1:$1,0)+1,FALSE)</f>
        <v>6</v>
      </c>
      <c r="H9" s="57" t="str">
        <f ca="1">VLOOKUP($A9,OFFSET([1]characters!$A$1,0,0,COUNTA([1]characters!$A:$A),MATCH(H$1,[1]characters!$1:$1,0)-MATCH($A$1,[1]characters!$1:$1,0)+1),MATCH(H$1,[1]characters!$1:$1,0)-MATCH($A$1,[1]characters!$1:$1,0)+1,FALSE)</f>
        <v>DropWizSSS</v>
      </c>
      <c r="I9" s="57" t="str">
        <f ca="1">VLOOKUP($A9,OFFSET([1]characters!$A$1,0,0,COUNTA([1]characters!$A:$A),MATCH(I$1,[1]characters!$1:$1,0)-MATCH($A$1,[1]characters!$1:$1,0)+1),MATCH(I$1,[1]characters!$1:$1,0)-MATCH($A$1,[1]characters!$1:$1,0)+1,FALSE)</f>
        <v>green</v>
      </c>
      <c r="J9" s="11">
        <f ca="1">VLOOKUP(I9,[1]属性!$A:$E,2,FALSE)</f>
        <v>1.02</v>
      </c>
      <c r="K9" s="11">
        <f ca="1">VLOOKUP(I9,[1]属性!$A:$E,3,FALSE)</f>
        <v>0.98</v>
      </c>
      <c r="L9" s="11">
        <f ca="1">VLOOKUP(I9,[1]属性!$A:$E,4,FALSE)</f>
        <v>1</v>
      </c>
      <c r="M9" s="11">
        <f ca="1">VLOOKUP(I9,[1]属性!$A:$E,5,FALSE)</f>
        <v>1</v>
      </c>
      <c r="N9" s="11">
        <f ca="1">INDEX(コスト!$A$1:$I$20,MATCH(H9,コスト!$A$1:$A$20,FALSE),MATCH(G9,コスト!$A$1:$I$1,FALSE))</f>
        <v>55</v>
      </c>
      <c r="O9" s="11">
        <f ca="1">INDEX(レベル!$A$1:$I$21,MATCH(H9,レベル!$A$1:$A$21,FALSE),MATCH(G9,レベル!$A$1:$I$1,FALSE))</f>
        <v>99</v>
      </c>
      <c r="P9" s="48">
        <f t="shared" ca="1" si="10"/>
        <v>99</v>
      </c>
      <c r="Q9" s="57" t="str">
        <f ca="1">VLOOKUP($A9,OFFSET([1]characters!$A$1,0,0,COUNTA([1]characters!$A:$A),MATCH(Q$1,[1]characters!$1:$1,0)-MATCH($A$1,[1]characters!$1:$1,0)+1),MATCH(Q$1,[1]characters!$1:$1,0)-MATCH($A$1,[1]characters!$1:$1,0)+1,FALSE)</f>
        <v>attack</v>
      </c>
      <c r="R9" s="5" t="str">
        <f ca="1">VLOOKUP(Q9,[1]character_type_i18n!$A:$H,3,FALSE)</f>
        <v>攻撃タイプ</v>
      </c>
      <c r="S9" s="11">
        <f ca="1">VLOOKUP(Q9,[1]character_type_i18n!$A:$H,4,FALSE)</f>
        <v>1</v>
      </c>
      <c r="T9" s="11">
        <f ca="1">VLOOKUP(Q9,[1]character_type_i18n!$A:$H,5,FALSE)</f>
        <v>1.33</v>
      </c>
      <c r="U9" s="11">
        <f ca="1">VLOOKUP(Q9,[1]character_type_i18n!$A:$H,6,FALSE)</f>
        <v>1</v>
      </c>
      <c r="V9" s="11">
        <f ca="1">VLOOKUP(Q9,[1]character_type_i18n!$A:$H,7,FALSE)</f>
        <v>0.67</v>
      </c>
      <c r="W9" s="57" t="str">
        <f ca="1">VLOOKUP($A9,OFFSET([1]characters!$A$1,0,0,COUNTA([1]characters!$A:$A),MATCH(W$1,[1]characters!$1:$1,0)-MATCH($A$1,[1]characters!$1:$1,0)+1),MATCH(W$1,[1]characters!$1:$1,0)-MATCH($A$1,[1]characters!$1:$1,0)+1,FALSE)</f>
        <v>weapon</v>
      </c>
      <c r="X9" s="5" t="str">
        <f ca="1">VLOOKUP(W9,[1]character_tribe_i18n!$A:$H,3,FALSE)</f>
        <v>ウェポン</v>
      </c>
      <c r="Y9" s="57" t="str">
        <f ca="1">VLOOKUP($A9,OFFSET([1]characters!$A$1,0,0,COUNTA([1]characters!$A:$A),MATCH(Y$1,[1]characters!$1:$1,0)-MATCH($A$1,[1]characters!$1:$1,0)+1),MATCH(Y$1,[1]characters!$1:$1,0)-MATCH($A$1,[1]characters!$1:$1,0)+1,FALSE)</f>
        <v>none</v>
      </c>
      <c r="Z9" s="5" t="str">
        <f ca="1">VLOOKUP(Y9,[1]character_tribe_i18n!$A:$H,3,FALSE)</f>
        <v>種族なし</v>
      </c>
      <c r="AA9" s="11">
        <f ca="1">VLOOKUP(W9,[1]character_tribe_i18n!$A:$H,4,FALSE)</f>
        <v>1</v>
      </c>
      <c r="AB9" s="11">
        <f ca="1">VLOOKUP(W9,[1]character_tribe_i18n!$A:$H,5,FALSE)</f>
        <v>1</v>
      </c>
      <c r="AC9" s="11">
        <f ca="1">VLOOKUP(W9,[1]character_tribe_i18n!$A:$H,6,FALSE)</f>
        <v>1</v>
      </c>
      <c r="AD9" s="11">
        <f ca="1">VLOOKUP(W9,[1]character_tribe_i18n!$A:$H,7,FALSE)</f>
        <v>1</v>
      </c>
      <c r="AE9" s="9" t="s">
        <v>183</v>
      </c>
      <c r="AF9" s="62" t="str">
        <f ca="1">IF(AE9="NULL","",VLOOKUP($AE9,OFFSET([1]characters!$A$1,0,0,COUNTA([1]characters!$A:$A),MATCH(AF$1,[1]characters!$1:$1,0)-MATCH($A$1,[1]characters!$1:$1,0)+1),MATCH(AF$1,[1]characters!$1:$1,0)-MATCH($A$1,[1]characters!$1:$1,0)+1,FALSE))</f>
        <v/>
      </c>
      <c r="AG9" s="5">
        <f t="shared" ca="1" si="0"/>
        <v>947</v>
      </c>
      <c r="AH9" s="62" t="str">
        <f ca="1">VLOOKUP($AG9,OFFSET([1]characters!$A$1,0,0,COUNTA([1]characters!$A:$A),MATCH(AH$1,[1]characters!$1:$1,0)-MATCH($A$1,[1]characters!$1:$1,0)+1),MATCH(AH$1,[1]characters!$1:$1,0)-MATCH($A$1,[1]characters!$1:$1,0)+1,FALSE)</f>
        <v>ゲイボルグ</v>
      </c>
      <c r="AI9" s="11" t="str">
        <f>IF(AE9="NULL","NULL",VLOOKUP(G9,ビット!$A$2:$B$7,2))</f>
        <v>NULL</v>
      </c>
      <c r="AJ9" s="6">
        <v>2</v>
      </c>
      <c r="AK9" s="7" t="str">
        <f t="shared" si="12"/>
        <v>普通</v>
      </c>
      <c r="AL9" s="11" t="str">
        <f ca="1">INDEX(経験値!$A$1:$I$20,MATCH(H9,経験値!$A$1:$A$20,FALSE),MATCH(G9,経験値!$A$1:$I$1,FALSE))</f>
        <v>required_exp_300</v>
      </c>
      <c r="AM9" s="8">
        <f ca="1">VLOOKUP(G9,経験値!$A$27:$B$31,2)</f>
        <v>6400</v>
      </c>
      <c r="AN9" s="17">
        <f ca="1">VLOOKUP(G9,ビット!$G$2:$H$7,2)</f>
        <v>900</v>
      </c>
      <c r="AO9" s="45"/>
      <c r="AP9" s="66">
        <f t="shared" si="13"/>
        <v>948</v>
      </c>
      <c r="AQ9" s="57" t="str">
        <f ca="1">VLOOKUP($AP9,OFFSET(unit_skills!$A$1,0,0,COUNTA(unit_skills!$A:$A),MATCH(AQ$1,unit_skills!$1:$1,0)-MATCH($AP$1,unit_skills!$1:$1,0)+1),MATCH(AQ$1,unit_skills!$1:$1,0)-MATCH($AP$1,unit_skills!$1:$1,0)+1,FALSE)</f>
        <v>全壊の命軌撃</v>
      </c>
      <c r="AR9" s="57" t="str">
        <f ca="1">VLOOKUP($AP9,OFFSET(unit_skills!$A$1,0,0,COUNTA(unit_skills!$A:$A),MATCH(AR$1,unit_skills!$1:$1,0)-MATCH($AP$1,unit_skills!$1:$1,0)+1),MATCH(AR$1,unit_skills!$1:$1,0)-MATCH($AP$1,unit_skills!$1:$1,0)+1,FALSE)</f>
        <v>ランダムで最大2個SCP(大)に、4個緑ボムパネル(大)に、ダメージパネルを最大4個SCPに変換+3ターン自身の攻撃力を超大UP</v>
      </c>
      <c r="AS9" s="57">
        <f ca="1">VLOOKUP($AP9,OFFSET(unit_skills!$A$1,0,0,COUNTA(unit_skills!$A:$A),MATCH(AS$1,unit_skills!$1:$1,0)-MATCH($AP$1,unit_skills!$1:$1,0)+1),MATCH(AS$1,unit_skills!$1:$1,0)-MATCH($AP$1,unit_skills!$1:$1,0)+1,FALSE)</f>
        <v>0</v>
      </c>
      <c r="AT9" s="41">
        <f t="shared" si="14"/>
        <v>948</v>
      </c>
      <c r="AU9" s="57" t="str">
        <f ca="1">VLOOKUP($AT9,OFFSET(crash_skills!$A$1,0,0,COUNTA(crash_skills!$A:$A),MATCH(AU$1,crash_skills!$1:$1,0)-MATCH($AT$1,crash_skills!$1:$1,0)+1),MATCH(AU$1,crash_skills!$1:$1,0)-MATCH($AT$1,crash_skills!$1:$1,0)+1,FALSE)</f>
        <v>インフィニティ･フォールダウン</v>
      </c>
      <c r="AV9" s="57" t="str">
        <f ca="1">VLOOKUP($AT9,OFFSET(crash_skills!$A$1,0,0,COUNTA(crash_skills!$A:$A),MATCH(AV$1,crash_skills!$1:$1,0)-MATCH($AT$1,crash_skills!$1:$1,0)+1),MATCH(AV$1,crash_skills!$1:$1,0)-MATCH($AT$1,crash_skills!$1:$1,0)+1,FALSE)</f>
        <v>1体に特大ダメージ</v>
      </c>
      <c r="AW9" s="57">
        <f ca="1">VLOOKUP($AT9,OFFSET(crash_skills!$A$1,0,0,COUNTA(crash_skills!$A:$A),MATCH(AW$1,crash_skills!$1:$1,0)-MATCH($AT$1,crash_skills!$1:$1,0)+1),MATCH(AW$1,crash_skills!$1:$1,0)-MATCH($AT$1,crash_skills!$1:$1,0)+1,FALSE)</f>
        <v>0</v>
      </c>
      <c r="AX9" s="58">
        <f ca="1">VLOOKUP($A9,OFFSET([1]characters!$A$1,0,0,COUNTA([1]characters!$A:$A),MATCH(AX$1,[1]characters!$1:$1,0)-MATCH($A$1,[1]characters!$1:$1,0)+1),MATCH(AX$1,[1]characters!$1:$1,0)-MATCH($A$1,[1]characters!$1:$1,0)+1,FALSE)</f>
        <v>3</v>
      </c>
      <c r="AY9" s="67">
        <v>1</v>
      </c>
      <c r="AZ9" s="67">
        <v>1</v>
      </c>
      <c r="BA9" s="67">
        <v>0</v>
      </c>
      <c r="BB9" s="67">
        <v>0.94</v>
      </c>
      <c r="BC9" s="11">
        <f ca="1">INDEX('RC6SV'!$A$1:$G$20,MATCH(H9,'RC6SV'!$A$1:$A$20,FALSE),MATCH(G9,'RC6SV'!$A$1:$G$1,FALSE))</f>
        <v>14000</v>
      </c>
      <c r="BD9" s="48">
        <f t="shared" ca="1" si="15"/>
        <v>14000</v>
      </c>
      <c r="BE9" s="11">
        <f t="shared" ca="1" si="3"/>
        <v>10000</v>
      </c>
      <c r="BF9" s="11">
        <f t="shared" ca="1" si="4"/>
        <v>1</v>
      </c>
      <c r="BG9" s="16">
        <f ca="1">IF($BE9&lt;=0,ROUND(BK9*0.5,0), ROUND($BE9*S9*AA9*J9*AY9*0.8*[1]ステータス!$B$2,0))</f>
        <v>4080</v>
      </c>
      <c r="BH9" s="16">
        <f ca="1">IF($BE9&lt;=0,ROUND(BL9*0.5,0), ROUND($BE9*T9*AB9*K9*AZ9*0.8*[1]ステータス!$C$2,0))</f>
        <v>3128</v>
      </c>
      <c r="BI9" s="16">
        <f ca="1">IF($BE9&lt;=0,ROUND(BM9*0.5,0), ROUND($BE9*U9*AC9*L9*BA9*0.8*[1]ステータス!$D$2,0))</f>
        <v>0</v>
      </c>
      <c r="BJ9" s="16">
        <f ca="1">IF($BE9&lt;=0,ROUND(BN9*0.5,0), ROUND($BE9*V9*AD9*M9*BB9*0.8*[1]ステータス!$E$2,0))</f>
        <v>1260</v>
      </c>
      <c r="BK9" s="11">
        <f ca="1">ROUND(BD9*S9*AA9*J9*AY9*[1]ステータス!$B$2,0)</f>
        <v>7140</v>
      </c>
      <c r="BL9" s="11">
        <f ca="1">ROUND(BD9*T9*AB9*K9*AZ9*[1]ステータス!$C$2,0)</f>
        <v>5474</v>
      </c>
      <c r="BM9" s="11">
        <f ca="1">ROUND(BD9*U9*AC9*L9*BA9*[1]ステータス!$D$2,0)</f>
        <v>0</v>
      </c>
      <c r="BN9" s="11">
        <f ca="1">ROUND(BD9*V9*AD9*M9*BB9*[1]ステータス!$E$2,0)</f>
        <v>2204</v>
      </c>
      <c r="BO9" s="10">
        <v>0</v>
      </c>
      <c r="BP9" s="10">
        <v>1</v>
      </c>
      <c r="BQ9" s="10" t="s">
        <v>47</v>
      </c>
      <c r="BR9" s="206">
        <v>1</v>
      </c>
    </row>
    <row r="10" spans="1:70" ht="26" customHeight="1" x14ac:dyDescent="0.15">
      <c r="A10" s="12">
        <v>949</v>
      </c>
      <c r="B10" s="57" t="str">
        <f ca="1">VLOOKUP($A10,OFFSET([1]characters!$A$1,0,0,COUNTA([1]characters!$A:$A),MATCH(B$1,[1]characters!$1:$1,0)-MATCH($A$1,[1]characters!$1:$1,0)+1),MATCH(B$1,[1]characters!$1:$1,0)-MATCH($A$1,[1]characters!$1:$1,0)+1,FALSE)</f>
        <v>トライデント</v>
      </c>
      <c r="C10" s="57" t="str">
        <f ca="1">VLOOKUP($A10,OFFSET([1]characters!$A$1,0,0,COUNTA([1]characters!$A:$A),MATCH(C$1,[1]characters!$1:$1,0)-MATCH($A$1,[1]characters!$1:$1,0)+1),MATCH(C$1,[1]characters!$1:$1,0)-MATCH($A$1,[1]characters!$1:$1,0)+1,FALSE)</f>
        <v>各属性相性良3・黄・R553</v>
      </c>
      <c r="D10" s="57" t="str">
        <f ca="1">VLOOKUP($A10,OFFSET([1]characters!$A$1,0,0,COUNTA([1]characters!$A:$A),MATCH(D$1,[1]characters!$1:$1,0)-MATCH($A$1,[1]characters!$1:$1,0)+1),MATCH(D$1,[1]characters!$1:$1,0)-MATCH($A$1,[1]characters!$1:$1,0)+1,FALSE)</f>
        <v>執行者</v>
      </c>
      <c r="E10" s="57" t="str">
        <f ca="1">VLOOKUP($A10,OFFSET([1]characters!$A$1,0,0,COUNTA([1]characters!$A:$A),MATCH(E$1,[1]characters!$1:$1,0)-MATCH($A$1,[1]characters!$1:$1,0)+1),MATCH(E$1,[1]characters!$1:$1,0)-MATCH($A$1,[1]characters!$1:$1,0)+1,FALSE)</f>
        <v>格好いい</v>
      </c>
      <c r="F10" s="57" t="str">
        <f ca="1">VLOOKUP($A10,OFFSET([1]characters!$A$1,0,0,COUNTA([1]characters!$A:$A),MATCH(F$1,[1]characters!$1:$1,0)-MATCH($A$1,[1]characters!$1:$1,0)+1),MATCH(F$1,[1]characters!$1:$1,0)-MATCH($A$1,[1]characters!$1:$1,0)+1,FALSE)</f>
        <v>男性</v>
      </c>
      <c r="G10" s="57">
        <f ca="1">VLOOKUP($A10,OFFSET([1]characters!$A$1,0,0,COUNTA([1]characters!$A:$A),MATCH(G$1,[1]characters!$1:$1,0)-MATCH($A$1,[1]characters!$1:$1,0)+1),MATCH(G$1,[1]characters!$1:$1,0)-MATCH($A$1,[1]characters!$1:$1,0)+1,FALSE)</f>
        <v>5</v>
      </c>
      <c r="H10" s="57" t="str">
        <f ca="1">VLOOKUP($A10,OFFSET([1]characters!$A$1,0,0,COUNTA([1]characters!$A:$A),MATCH(H$1,[1]characters!$1:$1,0)-MATCH($A$1,[1]characters!$1:$1,0)+1),MATCH(H$1,[1]characters!$1:$1,0)-MATCH($A$1,[1]characters!$1:$1,0)+1,FALSE)</f>
        <v>DropWizSSS</v>
      </c>
      <c r="I10" s="57" t="str">
        <f ca="1">VLOOKUP($A10,OFFSET([1]characters!$A$1,0,0,COUNTA([1]characters!$A:$A),MATCH(I$1,[1]characters!$1:$1,0)-MATCH($A$1,[1]characters!$1:$1,0)+1),MATCH(I$1,[1]characters!$1:$1,0)-MATCH($A$1,[1]characters!$1:$1,0)+1,FALSE)</f>
        <v>blue</v>
      </c>
      <c r="J10" s="11">
        <f ca="1">VLOOKUP(I10,[1]属性!$A:$E,2,FALSE)</f>
        <v>1</v>
      </c>
      <c r="K10" s="11">
        <f ca="1">VLOOKUP(I10,[1]属性!$A:$E,3,FALSE)</f>
        <v>0.98</v>
      </c>
      <c r="L10" s="11">
        <f ca="1">VLOOKUP(I10,[1]属性!$A:$E,4,FALSE)</f>
        <v>1</v>
      </c>
      <c r="M10" s="11">
        <f ca="1">VLOOKUP(I10,[1]属性!$A:$E,5,FALSE)</f>
        <v>1.02</v>
      </c>
      <c r="N10" s="11">
        <f ca="1">INDEX(コスト!$A$1:$I$20,MATCH(H10,コスト!$A$1:$A$20,FALSE),MATCH(G10,コスト!$A$1:$I$1,FALSE))</f>
        <v>40</v>
      </c>
      <c r="O10" s="11">
        <f ca="1">INDEX(レベル!$A$1:$I$21,MATCH(H10,レベル!$A$1:$A$21,FALSE),MATCH(G10,レベル!$A$1:$I$1,FALSE))</f>
        <v>80</v>
      </c>
      <c r="P10" s="48">
        <f t="shared" ref="P10:P11" ca="1" si="16">IF(G10 &gt;= 6, 99,G10*15)</f>
        <v>75</v>
      </c>
      <c r="Q10" s="57" t="str">
        <f ca="1">VLOOKUP($A10,OFFSET([1]characters!$A$1,0,0,COUNTA([1]characters!$A:$A),MATCH(Q$1,[1]characters!$1:$1,0)-MATCH($A$1,[1]characters!$1:$1,0)+1),MATCH(Q$1,[1]characters!$1:$1,0)-MATCH($A$1,[1]characters!$1:$1,0)+1,FALSE)</f>
        <v>balance</v>
      </c>
      <c r="R10" s="5" t="str">
        <f ca="1">VLOOKUP(Q10,[1]character_type_i18n!$A:$H,3,FALSE)</f>
        <v>バランスタイプ</v>
      </c>
      <c r="S10" s="11">
        <f ca="1">VLOOKUP(Q10,[1]character_type_i18n!$A:$H,4,FALSE)</f>
        <v>1</v>
      </c>
      <c r="T10" s="11">
        <f ca="1">VLOOKUP(Q10,[1]character_type_i18n!$A:$H,5,FALSE)</f>
        <v>1</v>
      </c>
      <c r="U10" s="11">
        <f ca="1">VLOOKUP(Q10,[1]character_type_i18n!$A:$H,6,FALSE)</f>
        <v>1</v>
      </c>
      <c r="V10" s="11">
        <f ca="1">VLOOKUP(Q10,[1]character_type_i18n!$A:$H,7,FALSE)</f>
        <v>1</v>
      </c>
      <c r="W10" s="57" t="str">
        <f ca="1">VLOOKUP($A10,OFFSET([1]characters!$A$1,0,0,COUNTA([1]characters!$A:$A),MATCH(W$1,[1]characters!$1:$1,0)-MATCH($A$1,[1]characters!$1:$1,0)+1),MATCH(W$1,[1]characters!$1:$1,0)-MATCH($A$1,[1]characters!$1:$1,0)+1,FALSE)</f>
        <v>weapon</v>
      </c>
      <c r="X10" s="5" t="str">
        <f ca="1">VLOOKUP(W10,[1]character_tribe_i18n!$A:$H,3,FALSE)</f>
        <v>ウェポン</v>
      </c>
      <c r="Y10" s="57" t="str">
        <f ca="1">VLOOKUP($A10,OFFSET([1]characters!$A$1,0,0,COUNTA([1]characters!$A:$A),MATCH(Y$1,[1]characters!$1:$1,0)-MATCH($A$1,[1]characters!$1:$1,0)+1),MATCH(Y$1,[1]characters!$1:$1,0)-MATCH($A$1,[1]characters!$1:$1,0)+1,FALSE)</f>
        <v>none</v>
      </c>
      <c r="Z10" s="5" t="str">
        <f ca="1">VLOOKUP(Y10,[1]character_tribe_i18n!$A:$H,3,FALSE)</f>
        <v>種族なし</v>
      </c>
      <c r="AA10" s="11">
        <f ca="1">VLOOKUP(W10,[1]character_tribe_i18n!$A:$H,4,FALSE)</f>
        <v>1</v>
      </c>
      <c r="AB10" s="11">
        <f ca="1">VLOOKUP(W10,[1]character_tribe_i18n!$A:$H,5,FALSE)</f>
        <v>1</v>
      </c>
      <c r="AC10" s="11">
        <f ca="1">VLOOKUP(W10,[1]character_tribe_i18n!$A:$H,6,FALSE)</f>
        <v>1</v>
      </c>
      <c r="AD10" s="11">
        <f ca="1">VLOOKUP(W10,[1]character_tribe_i18n!$A:$H,7,FALSE)</f>
        <v>1</v>
      </c>
      <c r="AE10" s="9">
        <f t="shared" ref="AE10" si="17">A11</f>
        <v>950</v>
      </c>
      <c r="AF10" s="62" t="str">
        <f ca="1">IF(AE10="NULL","",VLOOKUP($AE10,OFFSET([1]characters!$A$1,0,0,COUNTA([1]characters!$A:$A),MATCH(AF$1,[1]characters!$1:$1,0)-MATCH($A$1,[1]characters!$1:$1,0)+1),MATCH(AF$1,[1]characters!$1:$1,0)-MATCH($A$1,[1]characters!$1:$1,0)+1,FALSE))</f>
        <v>海洪操る三叉戟 トライデント</v>
      </c>
      <c r="AG10" s="5">
        <f t="shared" ca="1" si="0"/>
        <v>949</v>
      </c>
      <c r="AH10" s="62" t="str">
        <f ca="1">VLOOKUP($AG10,OFFSET([1]characters!$A$1,0,0,COUNTA([1]characters!$A:$A),MATCH(AH$1,[1]characters!$1:$1,0)-MATCH($A$1,[1]characters!$1:$1,0)+1),MATCH(AH$1,[1]characters!$1:$1,0)-MATCH($A$1,[1]characters!$1:$1,0)+1,FALSE)</f>
        <v>トライデント</v>
      </c>
      <c r="AI10" s="11">
        <f ca="1">IF(AE10="NULL","NULL",VLOOKUP(G10,ビット!$A$2:$B$7,2))</f>
        <v>200000</v>
      </c>
      <c r="AJ10" s="6">
        <v>2</v>
      </c>
      <c r="AK10" s="7" t="str">
        <f t="shared" ref="AK10:AK11" si="18">IF(AJ10=1,"早熟",IF(AJ10=2,"普通",IF(AJ10=3,"晩成","")))</f>
        <v>普通</v>
      </c>
      <c r="AL10" s="11" t="str">
        <f ca="1">INDEX(経験値!$A$1:$I$20,MATCH(H10,経験値!$A$1:$A$20,FALSE),MATCH(G10,経験値!$A$1:$I$1,FALSE))</f>
        <v>required_exp_200</v>
      </c>
      <c r="AM10" s="8">
        <f ca="1">VLOOKUP(G10,経験値!$A$27:$B$31,2)</f>
        <v>6400</v>
      </c>
      <c r="AN10" s="17">
        <f ca="1">VLOOKUP(G10,ビット!$G$2:$H$7,2)</f>
        <v>900</v>
      </c>
      <c r="AO10" s="45"/>
      <c r="AP10" s="66">
        <f t="shared" ref="AP10:AP11" si="19">A10</f>
        <v>949</v>
      </c>
      <c r="AQ10" s="57" t="str">
        <f ca="1">VLOOKUP($AP10,OFFSET(unit_skills!$A$1,0,0,COUNTA(unit_skills!$A:$A),MATCH(AQ$1,unit_skills!$1:$1,0)-MATCH($AP$1,unit_skills!$1:$1,0)+1),MATCH(AQ$1,unit_skills!$1:$1,0)-MATCH($AP$1,unit_skills!$1:$1,0)+1,FALSE)</f>
        <v>嵐召の豪瀑布</v>
      </c>
      <c r="AR10" s="57" t="str">
        <f ca="1">VLOOKUP($AP10,OFFSET(unit_skills!$A$1,0,0,COUNTA(unit_skills!$A:$A),MATCH(AR$1,unit_skills!$1:$1,0)-MATCH($AP$1,unit_skills!$1:$1,0)+1),MATCH(AR$1,unit_skills!$1:$1,0)-MATCH($AP$1,unit_skills!$1:$1,0)+1,FALSE)</f>
        <v>時限式ダメージパネルをCパネルに変換し、C・CB・マグネット・ボムパネル以外を全て青パネルに変換</v>
      </c>
      <c r="AS10" s="57">
        <f ca="1">VLOOKUP($AP10,OFFSET(unit_skills!$A$1,0,0,COUNTA(unit_skills!$A:$A),MATCH(AS$1,unit_skills!$1:$1,0)-MATCH($AP$1,unit_skills!$1:$1,0)+1),MATCH(AS$1,unit_skills!$1:$1,0)-MATCH($AP$1,unit_skills!$1:$1,0)+1,FALSE)</f>
        <v>0</v>
      </c>
      <c r="AT10" s="41">
        <f t="shared" ref="AT10:AT11" si="20">A10</f>
        <v>949</v>
      </c>
      <c r="AU10" s="57" t="str">
        <f ca="1">VLOOKUP($AT10,OFFSET(crash_skills!$A$1,0,0,COUNTA(crash_skills!$A:$A),MATCH(AU$1,crash_skills!$1:$1,0)-MATCH($AT$1,crash_skills!$1:$1,0)+1),MATCH(AU$1,crash_skills!$1:$1,0)-MATCH($AT$1,crash_skills!$1:$1,0)+1,FALSE)</f>
        <v>アクアリング･スピニング</v>
      </c>
      <c r="AV10" s="57" t="str">
        <f ca="1">VLOOKUP($AT10,OFFSET(crash_skills!$A$1,0,0,COUNTA(crash_skills!$A:$A),MATCH(AV$1,crash_skills!$1:$1,0)-MATCH($AT$1,crash_skills!$1:$1,0)+1),MATCH(AV$1,crash_skills!$1:$1,0)-MATCH($AT$1,crash_skills!$1:$1,0)+1,FALSE)</f>
        <v>単体に3回大ダメージ</v>
      </c>
      <c r="AW10" s="57">
        <f ca="1">VLOOKUP($AT10,OFFSET(crash_skills!$A$1,0,0,COUNTA(crash_skills!$A:$A),MATCH(AW$1,crash_skills!$1:$1,0)-MATCH($AT$1,crash_skills!$1:$1,0)+1),MATCH(AW$1,crash_skills!$1:$1,0)-MATCH($AT$1,crash_skills!$1:$1,0)+1,FALSE)</f>
        <v>0</v>
      </c>
      <c r="AX10" s="58">
        <f ca="1">VLOOKUP($A10,OFFSET([1]characters!$A$1,0,0,COUNTA([1]characters!$A:$A),MATCH(AX$1,[1]characters!$1:$1,0)-MATCH($A$1,[1]characters!$1:$1,0)+1),MATCH(AX$1,[1]characters!$1:$1,0)-MATCH($A$1,[1]characters!$1:$1,0)+1,FALSE)</f>
        <v>3</v>
      </c>
      <c r="AY10" s="67">
        <v>1</v>
      </c>
      <c r="AZ10" s="67">
        <v>1</v>
      </c>
      <c r="BA10" s="67">
        <v>0</v>
      </c>
      <c r="BB10" s="67">
        <v>0.94</v>
      </c>
      <c r="BC10" s="11">
        <f ca="1">INDEX('RC6SV'!$A$1:$G$20,MATCH(H10,'RC6SV'!$A$1:$A$20,FALSE),MATCH(G10,'RC6SV'!$A$1:$G$1,FALSE))</f>
        <v>10000</v>
      </c>
      <c r="BD10" s="48">
        <f t="shared" ref="BD10:BD11" ca="1" si="21">ROUND(BC10*IF(AJ10=1,0.95,IF(AJ10=2,1,IF(AJ10,1.05,0))),0)</f>
        <v>10000</v>
      </c>
      <c r="BE10" s="11">
        <f t="shared" ca="1" si="3"/>
        <v>0</v>
      </c>
      <c r="BF10" s="11">
        <f t="shared" ca="1" si="4"/>
        <v>1</v>
      </c>
      <c r="BG10" s="16">
        <f ca="1">IF($BE10&lt;=0,ROUND(BK10*0.5,0), ROUND($BE10*S10*AA10*J10*AY10*0.8*[1]ステータス!$B$2,0))</f>
        <v>2500</v>
      </c>
      <c r="BH10" s="16">
        <f ca="1">IF($BE10&lt;=0,ROUND(BL10*0.5,0), ROUND($BE10*T10*AB10*K10*AZ10*0.8*[1]ステータス!$C$2,0))</f>
        <v>1470</v>
      </c>
      <c r="BI10" s="16">
        <f ca="1">IF($BE10&lt;=0,ROUND(BM10*0.5,0), ROUND($BE10*U10*AC10*L10*BA10*0.8*[1]ステータス!$D$2,0))</f>
        <v>0</v>
      </c>
      <c r="BJ10" s="16">
        <f ca="1">IF($BE10&lt;=0,ROUND(BN10*0.5,0), ROUND($BE10*V10*AD10*M10*BB10*0.8*[1]ステータス!$E$2,0))</f>
        <v>1199</v>
      </c>
      <c r="BK10" s="11">
        <f ca="1">ROUND(BD10*S10*AA10*J10*AY10*[1]ステータス!$B$2,0)</f>
        <v>5000</v>
      </c>
      <c r="BL10" s="11">
        <f ca="1">ROUND(BD10*T10*AB10*K10*AZ10*[1]ステータス!$C$2,0)</f>
        <v>2940</v>
      </c>
      <c r="BM10" s="11">
        <f ca="1">ROUND(BD10*U10*AC10*L10*BA10*[1]ステータス!$D$2,0)</f>
        <v>0</v>
      </c>
      <c r="BN10" s="11">
        <f ca="1">ROUND(BD10*V10*AD10*M10*BB10*[1]ステータス!$E$2,0)</f>
        <v>2397</v>
      </c>
      <c r="BO10" s="10">
        <v>0</v>
      </c>
      <c r="BP10" s="10">
        <v>1</v>
      </c>
      <c r="BQ10" s="10" t="s">
        <v>47</v>
      </c>
      <c r="BR10" s="206">
        <v>1</v>
      </c>
    </row>
    <row r="11" spans="1:70" ht="26" customHeight="1" x14ac:dyDescent="0.15">
      <c r="A11" s="12">
        <v>950</v>
      </c>
      <c r="B11" s="62" t="str">
        <f ca="1">VLOOKUP($A11,OFFSET([1]characters!$A$1,0,0,COUNTA([1]characters!$A:$A),MATCH(B$1,[1]characters!$1:$1,0)-MATCH($A$1,[1]characters!$1:$1,0)+1),MATCH(B$1,[1]characters!$1:$1,0)-MATCH($A$1,[1]characters!$1:$1,0)+1,FALSE)</f>
        <v>海洪操る三叉戟 トライデント</v>
      </c>
      <c r="C11" s="57" t="str">
        <f ca="1">VLOOKUP($A11,OFFSET([1]characters!$A$1,0,0,COUNTA([1]characters!$A:$A),MATCH(C$1,[1]characters!$1:$1,0)-MATCH($A$1,[1]characters!$1:$1,0)+1),MATCH(C$1,[1]characters!$1:$1,0)-MATCH($A$1,[1]characters!$1:$1,0)+1,FALSE)</f>
        <v>各属性相性良3・黄・R554</v>
      </c>
      <c r="D11" s="57" t="str">
        <f ca="1">VLOOKUP($A11,OFFSET([1]characters!$A$1,0,0,COUNTA([1]characters!$A:$A),MATCH(D$1,[1]characters!$1:$1,0)-MATCH($A$1,[1]characters!$1:$1,0)+1),MATCH(D$1,[1]characters!$1:$1,0)-MATCH($A$1,[1]characters!$1:$1,0)+1,FALSE)</f>
        <v>執行者</v>
      </c>
      <c r="E11" s="57" t="str">
        <f ca="1">VLOOKUP($A11,OFFSET([1]characters!$A$1,0,0,COUNTA([1]characters!$A:$A),MATCH(E$1,[1]characters!$1:$1,0)-MATCH($A$1,[1]characters!$1:$1,0)+1),MATCH(E$1,[1]characters!$1:$1,0)-MATCH($A$1,[1]characters!$1:$1,0)+1,FALSE)</f>
        <v>格好いい</v>
      </c>
      <c r="F11" s="57" t="str">
        <f ca="1">VLOOKUP($A11,OFFSET([1]characters!$A$1,0,0,COUNTA([1]characters!$A:$A),MATCH(F$1,[1]characters!$1:$1,0)-MATCH($A$1,[1]characters!$1:$1,0)+1),MATCH(F$1,[1]characters!$1:$1,0)-MATCH($A$1,[1]characters!$1:$1,0)+1,FALSE)</f>
        <v>男性</v>
      </c>
      <c r="G11" s="57">
        <f ca="1">VLOOKUP($A11,OFFSET([1]characters!$A$1,0,0,COUNTA([1]characters!$A:$A),MATCH(G$1,[1]characters!$1:$1,0)-MATCH($A$1,[1]characters!$1:$1,0)+1),MATCH(G$1,[1]characters!$1:$1,0)-MATCH($A$1,[1]characters!$1:$1,0)+1,FALSE)</f>
        <v>6</v>
      </c>
      <c r="H11" s="57" t="str">
        <f ca="1">VLOOKUP($A11,OFFSET([1]characters!$A$1,0,0,COUNTA([1]characters!$A:$A),MATCH(H$1,[1]characters!$1:$1,0)-MATCH($A$1,[1]characters!$1:$1,0)+1),MATCH(H$1,[1]characters!$1:$1,0)-MATCH($A$1,[1]characters!$1:$1,0)+1,FALSE)</f>
        <v>DropWizSSS</v>
      </c>
      <c r="I11" s="57" t="str">
        <f ca="1">VLOOKUP($A11,OFFSET([1]characters!$A$1,0,0,COUNTA([1]characters!$A:$A),MATCH(I$1,[1]characters!$1:$1,0)-MATCH($A$1,[1]characters!$1:$1,0)+1),MATCH(I$1,[1]characters!$1:$1,0)-MATCH($A$1,[1]characters!$1:$1,0)+1,FALSE)</f>
        <v>blue</v>
      </c>
      <c r="J11" s="11">
        <f ca="1">VLOOKUP(I11,[1]属性!$A:$E,2,FALSE)</f>
        <v>1</v>
      </c>
      <c r="K11" s="11">
        <f ca="1">VLOOKUP(I11,[1]属性!$A:$E,3,FALSE)</f>
        <v>0.98</v>
      </c>
      <c r="L11" s="11">
        <f ca="1">VLOOKUP(I11,[1]属性!$A:$E,4,FALSE)</f>
        <v>1</v>
      </c>
      <c r="M11" s="11">
        <f ca="1">VLOOKUP(I11,[1]属性!$A:$E,5,FALSE)</f>
        <v>1.02</v>
      </c>
      <c r="N11" s="11">
        <f ca="1">INDEX(コスト!$A$1:$I$20,MATCH(H11,コスト!$A$1:$A$20,FALSE),MATCH(G11,コスト!$A$1:$I$1,FALSE))</f>
        <v>55</v>
      </c>
      <c r="O11" s="11">
        <f ca="1">INDEX(レベル!$A$1:$I$21,MATCH(H11,レベル!$A$1:$A$21,FALSE),MATCH(G11,レベル!$A$1:$I$1,FALSE))</f>
        <v>99</v>
      </c>
      <c r="P11" s="48">
        <f t="shared" ca="1" si="16"/>
        <v>99</v>
      </c>
      <c r="Q11" s="57" t="str">
        <f ca="1">VLOOKUP($A11,OFFSET([1]characters!$A$1,0,0,COUNTA([1]characters!$A:$A),MATCH(Q$1,[1]characters!$1:$1,0)-MATCH($A$1,[1]characters!$1:$1,0)+1),MATCH(Q$1,[1]characters!$1:$1,0)-MATCH($A$1,[1]characters!$1:$1,0)+1,FALSE)</f>
        <v>balance</v>
      </c>
      <c r="R11" s="5" t="str">
        <f ca="1">VLOOKUP(Q11,[1]character_type_i18n!$A:$H,3,FALSE)</f>
        <v>バランスタイプ</v>
      </c>
      <c r="S11" s="11">
        <f ca="1">VLOOKUP(Q11,[1]character_type_i18n!$A:$H,4,FALSE)</f>
        <v>1</v>
      </c>
      <c r="T11" s="11">
        <f ca="1">VLOOKUP(Q11,[1]character_type_i18n!$A:$H,5,FALSE)</f>
        <v>1</v>
      </c>
      <c r="U11" s="11">
        <f ca="1">VLOOKUP(Q11,[1]character_type_i18n!$A:$H,6,FALSE)</f>
        <v>1</v>
      </c>
      <c r="V11" s="11">
        <f ca="1">VLOOKUP(Q11,[1]character_type_i18n!$A:$H,7,FALSE)</f>
        <v>1</v>
      </c>
      <c r="W11" s="57" t="str">
        <f ca="1">VLOOKUP($A11,OFFSET([1]characters!$A$1,0,0,COUNTA([1]characters!$A:$A),MATCH(W$1,[1]characters!$1:$1,0)-MATCH($A$1,[1]characters!$1:$1,0)+1),MATCH(W$1,[1]characters!$1:$1,0)-MATCH($A$1,[1]characters!$1:$1,0)+1,FALSE)</f>
        <v>weapon</v>
      </c>
      <c r="X11" s="5" t="str">
        <f ca="1">VLOOKUP(W11,[1]character_tribe_i18n!$A:$H,3,FALSE)</f>
        <v>ウェポン</v>
      </c>
      <c r="Y11" s="57" t="str">
        <f ca="1">VLOOKUP($A11,OFFSET([1]characters!$A$1,0,0,COUNTA([1]characters!$A:$A),MATCH(Y$1,[1]characters!$1:$1,0)-MATCH($A$1,[1]characters!$1:$1,0)+1),MATCH(Y$1,[1]characters!$1:$1,0)-MATCH($A$1,[1]characters!$1:$1,0)+1,FALSE)</f>
        <v>none</v>
      </c>
      <c r="Z11" s="5" t="str">
        <f ca="1">VLOOKUP(Y11,[1]character_tribe_i18n!$A:$H,3,FALSE)</f>
        <v>種族なし</v>
      </c>
      <c r="AA11" s="11">
        <f ca="1">VLOOKUP(W11,[1]character_tribe_i18n!$A:$H,4,FALSE)</f>
        <v>1</v>
      </c>
      <c r="AB11" s="11">
        <f ca="1">VLOOKUP(W11,[1]character_tribe_i18n!$A:$H,5,FALSE)</f>
        <v>1</v>
      </c>
      <c r="AC11" s="11">
        <f ca="1">VLOOKUP(W11,[1]character_tribe_i18n!$A:$H,6,FALSE)</f>
        <v>1</v>
      </c>
      <c r="AD11" s="11">
        <f ca="1">VLOOKUP(W11,[1]character_tribe_i18n!$A:$H,7,FALSE)</f>
        <v>1</v>
      </c>
      <c r="AE11" s="9" t="s">
        <v>183</v>
      </c>
      <c r="AF11" s="62" t="str">
        <f ca="1">IF(AE11="NULL","",VLOOKUP($AE11,OFFSET([1]characters!$A$1,0,0,COUNTA([1]characters!$A:$A),MATCH(AF$1,[1]characters!$1:$1,0)-MATCH($A$1,[1]characters!$1:$1,0)+1),MATCH(AF$1,[1]characters!$1:$1,0)-MATCH($A$1,[1]characters!$1:$1,0)+1,FALSE))</f>
        <v/>
      </c>
      <c r="AG11" s="5">
        <f t="shared" ca="1" si="0"/>
        <v>949</v>
      </c>
      <c r="AH11" s="62" t="str">
        <f ca="1">VLOOKUP($AG11,OFFSET([1]characters!$A$1,0,0,COUNTA([1]characters!$A:$A),MATCH(AH$1,[1]characters!$1:$1,0)-MATCH($A$1,[1]characters!$1:$1,0)+1),MATCH(AH$1,[1]characters!$1:$1,0)-MATCH($A$1,[1]characters!$1:$1,0)+1,FALSE)</f>
        <v>トライデント</v>
      </c>
      <c r="AI11" s="11" t="str">
        <f>IF(AE11="NULL","NULL",VLOOKUP(G11,ビット!$A$2:$B$7,2))</f>
        <v>NULL</v>
      </c>
      <c r="AJ11" s="6">
        <v>2</v>
      </c>
      <c r="AK11" s="7" t="str">
        <f t="shared" si="18"/>
        <v>普通</v>
      </c>
      <c r="AL11" s="11" t="str">
        <f ca="1">INDEX(経験値!$A$1:$I$20,MATCH(H11,経験値!$A$1:$A$20,FALSE),MATCH(G11,経験値!$A$1:$I$1,FALSE))</f>
        <v>required_exp_300</v>
      </c>
      <c r="AM11" s="8">
        <f ca="1">VLOOKUP(G11,経験値!$A$27:$B$31,2)</f>
        <v>6400</v>
      </c>
      <c r="AN11" s="17">
        <f ca="1">VLOOKUP(G11,ビット!$G$2:$H$7,2)</f>
        <v>900</v>
      </c>
      <c r="AO11" s="45"/>
      <c r="AP11" s="66">
        <f t="shared" si="19"/>
        <v>950</v>
      </c>
      <c r="AQ11" s="57" t="str">
        <f ca="1">VLOOKUP($AP11,OFFSET(unit_skills!$A$1,0,0,COUNTA(unit_skills!$A:$A),MATCH(AQ$1,unit_skills!$1:$1,0)-MATCH($AP$1,unit_skills!$1:$1,0)+1),MATCH(AQ$1,unit_skills!$1:$1,0)-MATCH($AP$1,unit_skills!$1:$1,0)+1,FALSE)</f>
        <v>嵐召の豪瀑布</v>
      </c>
      <c r="AR11" s="57" t="str">
        <f ca="1">VLOOKUP($AP11,OFFSET(unit_skills!$A$1,0,0,COUNTA(unit_skills!$A:$A),MATCH(AR$1,unit_skills!$1:$1,0)-MATCH($AP$1,unit_skills!$1:$1,0)+1),MATCH(AR$1,unit_skills!$1:$1,0)-MATCH($AP$1,unit_skills!$1:$1,0)+1,FALSE)</f>
        <v>時限式ダメージパネルをCパネルに変換し、C・CB・マグネット・ボムパネル以外を全て青パネルに変換</v>
      </c>
      <c r="AS11" s="57">
        <f ca="1">VLOOKUP($AP11,OFFSET(unit_skills!$A$1,0,0,COUNTA(unit_skills!$A:$A),MATCH(AS$1,unit_skills!$1:$1,0)-MATCH($AP$1,unit_skills!$1:$1,0)+1),MATCH(AS$1,unit_skills!$1:$1,0)-MATCH($AP$1,unit_skills!$1:$1,0)+1,FALSE)</f>
        <v>0</v>
      </c>
      <c r="AT11" s="41">
        <f t="shared" si="20"/>
        <v>950</v>
      </c>
      <c r="AU11" s="57" t="str">
        <f ca="1">VLOOKUP($AT11,OFFSET(crash_skills!$A$1,0,0,COUNTA(crash_skills!$A:$A),MATCH(AU$1,crash_skills!$1:$1,0)-MATCH($AT$1,crash_skills!$1:$1,0)+1),MATCH(AU$1,crash_skills!$1:$1,0)-MATCH($AT$1,crash_skills!$1:$1,0)+1,FALSE)</f>
        <v>アクアリング･スピニング</v>
      </c>
      <c r="AV11" s="57" t="str">
        <f ca="1">VLOOKUP($AT11,OFFSET(crash_skills!$A$1,0,0,COUNTA(crash_skills!$A:$A),MATCH(AV$1,crash_skills!$1:$1,0)-MATCH($AT$1,crash_skills!$1:$1,0)+1),MATCH(AV$1,crash_skills!$1:$1,0)-MATCH($AT$1,crash_skills!$1:$1,0)+1,FALSE)</f>
        <v>単体に3回大ダメージ</v>
      </c>
      <c r="AW11" s="57">
        <f ca="1">VLOOKUP($AT11,OFFSET(crash_skills!$A$1,0,0,COUNTA(crash_skills!$A:$A),MATCH(AW$1,crash_skills!$1:$1,0)-MATCH($AT$1,crash_skills!$1:$1,0)+1),MATCH(AW$1,crash_skills!$1:$1,0)-MATCH($AT$1,crash_skills!$1:$1,0)+1,FALSE)</f>
        <v>0</v>
      </c>
      <c r="AX11" s="58">
        <f ca="1">VLOOKUP($A11,OFFSET([1]characters!$A$1,0,0,COUNTA([1]characters!$A:$A),MATCH(AX$1,[1]characters!$1:$1,0)-MATCH($A$1,[1]characters!$1:$1,0)+1),MATCH(AX$1,[1]characters!$1:$1,0)-MATCH($A$1,[1]characters!$1:$1,0)+1,FALSE)</f>
        <v>3</v>
      </c>
      <c r="AY11" s="67">
        <v>0.99</v>
      </c>
      <c r="AZ11" s="67">
        <v>1</v>
      </c>
      <c r="BA11" s="67">
        <v>0</v>
      </c>
      <c r="BB11" s="67">
        <v>0.94</v>
      </c>
      <c r="BC11" s="11">
        <f ca="1">INDEX('RC6SV'!$A$1:$G$20,MATCH(H11,'RC6SV'!$A$1:$A$20,FALSE),MATCH(G11,'RC6SV'!$A$1:$G$1,FALSE))</f>
        <v>14000</v>
      </c>
      <c r="BD11" s="48">
        <f t="shared" ca="1" si="21"/>
        <v>14000</v>
      </c>
      <c r="BE11" s="11">
        <f t="shared" ca="1" si="3"/>
        <v>10000</v>
      </c>
      <c r="BF11" s="11">
        <f t="shared" ca="1" si="4"/>
        <v>1</v>
      </c>
      <c r="BG11" s="16">
        <f ca="1">IF($BE11&lt;=0,ROUND(BK11*0.5,0), ROUND($BE11*S11*AA11*J11*AY11*0.8*[1]ステータス!$B$2,0))</f>
        <v>3960</v>
      </c>
      <c r="BH11" s="16">
        <f ca="1">IF($BE11&lt;=0,ROUND(BL11*0.5,0), ROUND($BE11*T11*AB11*K11*AZ11*0.8*[1]ステータス!$C$2,0))</f>
        <v>2352</v>
      </c>
      <c r="BI11" s="16">
        <f ca="1">IF($BE11&lt;=0,ROUND(BM11*0.5,0), ROUND($BE11*U11*AC11*L11*BA11*0.8*[1]ステータス!$D$2,0))</f>
        <v>0</v>
      </c>
      <c r="BJ11" s="16">
        <f ca="1">IF($BE11&lt;=0,ROUND(BN11*0.5,0), ROUND($BE11*V11*AD11*M11*BB11*0.8*[1]ステータス!$E$2,0))</f>
        <v>1918</v>
      </c>
      <c r="BK11" s="11">
        <f ca="1">ROUND(BD11*S11*AA11*J11*AY11*[1]ステータス!$B$2,0)</f>
        <v>6930</v>
      </c>
      <c r="BL11" s="11">
        <f ca="1">ROUND(BD11*T11*AB11*K11*AZ11*[1]ステータス!$C$2,0)</f>
        <v>4116</v>
      </c>
      <c r="BM11" s="11">
        <f ca="1">ROUND(BD11*U11*AC11*L11*BA11*[1]ステータス!$D$2,0)</f>
        <v>0</v>
      </c>
      <c r="BN11" s="11">
        <f ca="1">ROUND(BD11*V11*AD11*M11*BB11*[1]ステータス!$E$2,0)</f>
        <v>3356</v>
      </c>
      <c r="BO11" s="10">
        <v>0</v>
      </c>
      <c r="BP11" s="10">
        <v>1</v>
      </c>
      <c r="BQ11" s="10" t="s">
        <v>47</v>
      </c>
      <c r="BR11" s="206">
        <v>1</v>
      </c>
    </row>
    <row r="12" spans="1:70" ht="26" customHeight="1" x14ac:dyDescent="0.15">
      <c r="A12" s="12">
        <v>951</v>
      </c>
      <c r="B12" s="57" t="str">
        <f ca="1">VLOOKUP($A12,OFFSET([1]characters!$A$1,0,0,COUNTA([1]characters!$A:$A),MATCH(B$1,[1]characters!$1:$1,0)-MATCH($A$1,[1]characters!$1:$1,0)+1),MATCH(B$1,[1]characters!$1:$1,0)-MATCH($A$1,[1]characters!$1:$1,0)+1,FALSE)</f>
        <v>グングニル</v>
      </c>
      <c r="C12" s="57" t="str">
        <f ca="1">VLOOKUP($A12,OFFSET([1]characters!$A$1,0,0,COUNTA([1]characters!$A:$A),MATCH(C$1,[1]characters!$1:$1,0)-MATCH($A$1,[1]characters!$1:$1,0)+1),MATCH(C$1,[1]characters!$1:$1,0)-MATCH($A$1,[1]characters!$1:$1,0)+1,FALSE)</f>
        <v>各属性相性良3・黄・R555</v>
      </c>
      <c r="D12" s="57" t="str">
        <f ca="1">VLOOKUP($A12,OFFSET([1]characters!$A$1,0,0,COUNTA([1]characters!$A:$A),MATCH(D$1,[1]characters!$1:$1,0)-MATCH($A$1,[1]characters!$1:$1,0)+1),MATCH(D$1,[1]characters!$1:$1,0)-MATCH($A$1,[1]characters!$1:$1,0)+1,FALSE)</f>
        <v>執行者</v>
      </c>
      <c r="E12" s="57" t="str">
        <f ca="1">VLOOKUP($A12,OFFSET([1]characters!$A$1,0,0,COUNTA([1]characters!$A:$A),MATCH(E$1,[1]characters!$1:$1,0)-MATCH($A$1,[1]characters!$1:$1,0)+1),MATCH(E$1,[1]characters!$1:$1,0)-MATCH($A$1,[1]characters!$1:$1,0)+1,FALSE)</f>
        <v>格好いい</v>
      </c>
      <c r="F12" s="57" t="str">
        <f ca="1">VLOOKUP($A12,OFFSET([1]characters!$A$1,0,0,COUNTA([1]characters!$A:$A),MATCH(F$1,[1]characters!$1:$1,0)-MATCH($A$1,[1]characters!$1:$1,0)+1),MATCH(F$1,[1]characters!$1:$1,0)-MATCH($A$1,[1]characters!$1:$1,0)+1,FALSE)</f>
        <v>男性</v>
      </c>
      <c r="G12" s="57">
        <f ca="1">VLOOKUP($A12,OFFSET([1]characters!$A$1,0,0,COUNTA([1]characters!$A:$A),MATCH(G$1,[1]characters!$1:$1,0)-MATCH($A$1,[1]characters!$1:$1,0)+1),MATCH(G$1,[1]characters!$1:$1,0)-MATCH($A$1,[1]characters!$1:$1,0)+1,FALSE)</f>
        <v>5</v>
      </c>
      <c r="H12" s="57" t="str">
        <f ca="1">VLOOKUP($A12,OFFSET([1]characters!$A$1,0,0,COUNTA([1]characters!$A:$A),MATCH(H$1,[1]characters!$1:$1,0)-MATCH($A$1,[1]characters!$1:$1,0)+1),MATCH(H$1,[1]characters!$1:$1,0)-MATCH($A$1,[1]characters!$1:$1,0)+1,FALSE)</f>
        <v>DropWizSSS</v>
      </c>
      <c r="I12" s="57" t="str">
        <f ca="1">VLOOKUP($A12,OFFSET([1]characters!$A$1,0,0,COUNTA([1]characters!$A:$A),MATCH(I$1,[1]characters!$1:$1,0)-MATCH($A$1,[1]characters!$1:$1,0)+1),MATCH(I$1,[1]characters!$1:$1,0)-MATCH($A$1,[1]characters!$1:$1,0)+1,FALSE)</f>
        <v>yellow</v>
      </c>
      <c r="J12" s="11">
        <f ca="1">VLOOKUP(I12,[1]属性!$A:$E,2,FALSE)</f>
        <v>0.98</v>
      </c>
      <c r="K12" s="11">
        <f ca="1">VLOOKUP(I12,[1]属性!$A:$E,3,FALSE)</f>
        <v>1.01</v>
      </c>
      <c r="L12" s="11">
        <f ca="1">VLOOKUP(I12,[1]属性!$A:$E,4,FALSE)</f>
        <v>1</v>
      </c>
      <c r="M12" s="11">
        <f ca="1">VLOOKUP(I12,[1]属性!$A:$E,5,FALSE)</f>
        <v>1.01</v>
      </c>
      <c r="N12" s="11">
        <f ca="1">INDEX(コスト!$A$1:$I$20,MATCH(H12,コスト!$A$1:$A$20,FALSE),MATCH(G12,コスト!$A$1:$I$1,FALSE))</f>
        <v>40</v>
      </c>
      <c r="O12" s="11">
        <f ca="1">INDEX(レベル!$A$1:$I$21,MATCH(H12,レベル!$A$1:$A$21,FALSE),MATCH(G12,レベル!$A$1:$I$1,FALSE))</f>
        <v>80</v>
      </c>
      <c r="P12" s="48">
        <f t="shared" ca="1" si="5"/>
        <v>75</v>
      </c>
      <c r="Q12" s="57" t="str">
        <f ca="1">VLOOKUP($A12,OFFSET([1]characters!$A$1,0,0,COUNTA([1]characters!$A:$A),MATCH(Q$1,[1]characters!$1:$1,0)-MATCH($A$1,[1]characters!$1:$1,0)+1),MATCH(Q$1,[1]characters!$1:$1,0)-MATCH($A$1,[1]characters!$1:$1,0)+1,FALSE)</f>
        <v>attack</v>
      </c>
      <c r="R12" s="5" t="str">
        <f ca="1">VLOOKUP(Q12,[1]character_type_i18n!$A:$H,3,FALSE)</f>
        <v>攻撃タイプ</v>
      </c>
      <c r="S12" s="11">
        <f ca="1">VLOOKUP(Q12,[1]character_type_i18n!$A:$H,4,FALSE)</f>
        <v>1</v>
      </c>
      <c r="T12" s="11">
        <f ca="1">VLOOKUP(Q12,[1]character_type_i18n!$A:$H,5,FALSE)</f>
        <v>1.33</v>
      </c>
      <c r="U12" s="11">
        <f ca="1">VLOOKUP(Q12,[1]character_type_i18n!$A:$H,6,FALSE)</f>
        <v>1</v>
      </c>
      <c r="V12" s="11">
        <f ca="1">VLOOKUP(Q12,[1]character_type_i18n!$A:$H,7,FALSE)</f>
        <v>0.67</v>
      </c>
      <c r="W12" s="57" t="str">
        <f ca="1">VLOOKUP($A12,OFFSET([1]characters!$A$1,0,0,COUNTA([1]characters!$A:$A),MATCH(W$1,[1]characters!$1:$1,0)-MATCH($A$1,[1]characters!$1:$1,0)+1),MATCH(W$1,[1]characters!$1:$1,0)-MATCH($A$1,[1]characters!$1:$1,0)+1,FALSE)</f>
        <v>weapon</v>
      </c>
      <c r="X12" s="5" t="str">
        <f ca="1">VLOOKUP(W12,[1]character_tribe_i18n!$A:$H,3,FALSE)</f>
        <v>ウェポン</v>
      </c>
      <c r="Y12" s="57" t="str">
        <f ca="1">VLOOKUP($A12,OFFSET([1]characters!$A$1,0,0,COUNTA([1]characters!$A:$A),MATCH(Y$1,[1]characters!$1:$1,0)-MATCH($A$1,[1]characters!$1:$1,0)+1),MATCH(Y$1,[1]characters!$1:$1,0)-MATCH($A$1,[1]characters!$1:$1,0)+1,FALSE)</f>
        <v>none</v>
      </c>
      <c r="Z12" s="5" t="str">
        <f ca="1">VLOOKUP(Y12,[1]character_tribe_i18n!$A:$H,3,FALSE)</f>
        <v>種族なし</v>
      </c>
      <c r="AA12" s="11">
        <f ca="1">VLOOKUP(W12,[1]character_tribe_i18n!$A:$H,4,FALSE)</f>
        <v>1</v>
      </c>
      <c r="AB12" s="11">
        <f ca="1">VLOOKUP(W12,[1]character_tribe_i18n!$A:$H,5,FALSE)</f>
        <v>1</v>
      </c>
      <c r="AC12" s="11">
        <f ca="1">VLOOKUP(W12,[1]character_tribe_i18n!$A:$H,6,FALSE)</f>
        <v>1</v>
      </c>
      <c r="AD12" s="11">
        <f ca="1">VLOOKUP(W12,[1]character_tribe_i18n!$A:$H,7,FALSE)</f>
        <v>1</v>
      </c>
      <c r="AE12" s="9">
        <f t="shared" ref="AE12" si="22">A13</f>
        <v>952</v>
      </c>
      <c r="AF12" s="62" t="str">
        <f ca="1">IF(AE12="NULL","",VLOOKUP($AE12,OFFSET([1]characters!$A$1,0,0,COUNTA([1]characters!$A:$A),MATCH(AF$1,[1]characters!$1:$1,0)-MATCH($A$1,[1]characters!$1:$1,0)+1),MATCH(AF$1,[1]characters!$1:$1,0)-MATCH($A$1,[1]characters!$1:$1,0)+1,FALSE))</f>
        <v>勝臨の機鋭槍 グングニル</v>
      </c>
      <c r="AG12" s="5">
        <f t="shared" ca="1" si="0"/>
        <v>951</v>
      </c>
      <c r="AH12" s="62" t="str">
        <f ca="1">VLOOKUP($AG12,OFFSET([1]characters!$A$1,0,0,COUNTA([1]characters!$A:$A),MATCH(AH$1,[1]characters!$1:$1,0)-MATCH($A$1,[1]characters!$1:$1,0)+1),MATCH(AH$1,[1]characters!$1:$1,0)-MATCH($A$1,[1]characters!$1:$1,0)+1,FALSE)</f>
        <v>グングニル</v>
      </c>
      <c r="AI12" s="11">
        <f ca="1">IF(AE12="NULL","NULL",VLOOKUP(G12,ビット!$A$2:$B$7,2))</f>
        <v>200000</v>
      </c>
      <c r="AJ12" s="6">
        <v>2</v>
      </c>
      <c r="AK12" s="7" t="str">
        <f t="shared" si="1"/>
        <v>普通</v>
      </c>
      <c r="AL12" s="11" t="str">
        <f ca="1">INDEX(経験値!$A$1:$I$20,MATCH(H12,経験値!$A$1:$A$20,FALSE),MATCH(G12,経験値!$A$1:$I$1,FALSE))</f>
        <v>required_exp_200</v>
      </c>
      <c r="AM12" s="8">
        <f ca="1">VLOOKUP(G12,経験値!$A$27:$B$31,2)</f>
        <v>6400</v>
      </c>
      <c r="AN12" s="17">
        <f ca="1">VLOOKUP(G12,ビット!$G$2:$H$7,2)</f>
        <v>900</v>
      </c>
      <c r="AO12" s="45"/>
      <c r="AP12" s="66">
        <f t="shared" si="6"/>
        <v>951</v>
      </c>
      <c r="AQ12" s="57" t="str">
        <f ca="1">VLOOKUP($AP12,OFFSET(unit_skills!$A$1,0,0,COUNTA(unit_skills!$A:$A),MATCH(AQ$1,unit_skills!$1:$1,0)-MATCH($AP$1,unit_skills!$1:$1,0)+1),MATCH(AQ$1,unit_skills!$1:$1,0)-MATCH($AP$1,unit_skills!$1:$1,0)+1,FALSE)</f>
        <v>英勝への豪突</v>
      </c>
      <c r="AR12" s="57" t="str">
        <f ca="1">VLOOKUP($AP12,OFFSET(unit_skills!$A$1,0,0,COUNTA(unit_skills!$A:$A),MATCH(AR$1,unit_skills!$1:$1,0)-MATCH($AP$1,unit_skills!$1:$1,0)+1),MATCH(AR$1,unit_skills!$1:$1,0)-MATCH($AP$1,unit_skills!$1:$1,0)+1,FALSE)</f>
        <v>緑パネルをCパネルに変換+2ターン自身の攻撃力をUP(ハートパネルを吸収して効果UP)+緑パネルが出現しない</v>
      </c>
      <c r="AS12" s="57">
        <f ca="1">VLOOKUP($AP12,OFFSET(unit_skills!$A$1,0,0,COUNTA(unit_skills!$A:$A),MATCH(AS$1,unit_skills!$1:$1,0)-MATCH($AP$1,unit_skills!$1:$1,0)+1),MATCH(AS$1,unit_skills!$1:$1,0)-MATCH($AP$1,unit_skills!$1:$1,0)+1,FALSE)</f>
        <v>0</v>
      </c>
      <c r="AT12" s="41">
        <f t="shared" si="7"/>
        <v>951</v>
      </c>
      <c r="AU12" s="57" t="str">
        <f ca="1">VLOOKUP($AT12,OFFSET(crash_skills!$A$1,0,0,COUNTA(crash_skills!$A:$A),MATCH(AU$1,crash_skills!$1:$1,0)-MATCH($AT$1,crash_skills!$1:$1,0)+1),MATCH(AU$1,crash_skills!$1:$1,0)-MATCH($AT$1,crash_skills!$1:$1,0)+1,FALSE)</f>
        <v>リローディング･トネリコ</v>
      </c>
      <c r="AV12" s="57" t="str">
        <f ca="1">VLOOKUP($AT12,OFFSET(crash_skills!$A$1,0,0,COUNTA(crash_skills!$A:$A),MATCH(AV$1,crash_skills!$1:$1,0)-MATCH($AT$1,crash_skills!$1:$1,0)+1),MATCH(AV$1,crash_skills!$1:$1,0)-MATCH($AT$1,crash_skills!$1:$1,0)+1,FALSE)</f>
        <v>1体に大ダメージ</v>
      </c>
      <c r="AW12" s="57">
        <f ca="1">VLOOKUP($AT12,OFFSET(crash_skills!$A$1,0,0,COUNTA(crash_skills!$A:$A),MATCH(AW$1,crash_skills!$1:$1,0)-MATCH($AT$1,crash_skills!$1:$1,0)+1),MATCH(AW$1,crash_skills!$1:$1,0)-MATCH($AT$1,crash_skills!$1:$1,0)+1,FALSE)</f>
        <v>0</v>
      </c>
      <c r="AX12" s="58">
        <f ca="1">VLOOKUP($A12,OFFSET([1]characters!$A$1,0,0,COUNTA([1]characters!$A:$A),MATCH(AX$1,[1]characters!$1:$1,0)-MATCH($A$1,[1]characters!$1:$1,0)+1),MATCH(AX$1,[1]characters!$1:$1,0)-MATCH($A$1,[1]characters!$1:$1,0)+1,FALSE)</f>
        <v>3</v>
      </c>
      <c r="AY12" s="67">
        <v>1</v>
      </c>
      <c r="AZ12" s="67">
        <v>1</v>
      </c>
      <c r="BA12" s="67">
        <v>0</v>
      </c>
      <c r="BB12" s="67">
        <v>0.95</v>
      </c>
      <c r="BC12" s="11">
        <f ca="1">INDEX('RC6SV'!$A$1:$G$20,MATCH(H12,'RC6SV'!$A$1:$A$20,FALSE),MATCH(G12,'RC6SV'!$A$1:$G$1,FALSE))</f>
        <v>10000</v>
      </c>
      <c r="BD12" s="48">
        <f t="shared" ca="1" si="2"/>
        <v>10000</v>
      </c>
      <c r="BE12" s="11">
        <f t="shared" ca="1" si="3"/>
        <v>0</v>
      </c>
      <c r="BF12" s="11">
        <f t="shared" ca="1" si="4"/>
        <v>1</v>
      </c>
      <c r="BG12" s="16">
        <f ca="1">IF($BE12&lt;=0,ROUND(BK12*0.5,0), ROUND($BE12*S12*AA12*J12*AY12*0.8*[1]ステータス!$B$2,0))</f>
        <v>2450</v>
      </c>
      <c r="BH12" s="16">
        <f ca="1">IF($BE12&lt;=0,ROUND(BL12*0.5,0), ROUND($BE12*T12*AB12*K12*AZ12*0.8*[1]ステータス!$C$2,0))</f>
        <v>2015</v>
      </c>
      <c r="BI12" s="16">
        <f ca="1">IF($BE12&lt;=0,ROUND(BM12*0.5,0), ROUND($BE12*U12*AC12*L12*BA12*0.8*[1]ステータス!$D$2,0))</f>
        <v>0</v>
      </c>
      <c r="BJ12" s="16">
        <f ca="1">IF($BE12&lt;=0,ROUND(BN12*0.5,0), ROUND($BE12*V12*AD12*M12*BB12*0.8*[1]ステータス!$E$2,0))</f>
        <v>804</v>
      </c>
      <c r="BK12" s="11">
        <f ca="1">ROUND(BD12*S12*AA12*J12*AY12*[1]ステータス!$B$2,0)</f>
        <v>4900</v>
      </c>
      <c r="BL12" s="11">
        <f ca="1">ROUND(BD12*T12*AB12*K12*AZ12*[1]ステータス!$C$2,0)</f>
        <v>4030</v>
      </c>
      <c r="BM12" s="11">
        <f ca="1">ROUND(BD12*U12*AC12*L12*BA12*[1]ステータス!$D$2,0)</f>
        <v>0</v>
      </c>
      <c r="BN12" s="11">
        <f ca="1">ROUND(BD12*V12*AD12*M12*BB12*[1]ステータス!$E$2,0)</f>
        <v>1607</v>
      </c>
      <c r="BO12" s="10">
        <v>0</v>
      </c>
      <c r="BP12" s="10">
        <v>1</v>
      </c>
      <c r="BQ12" s="10" t="s">
        <v>47</v>
      </c>
      <c r="BR12" s="206">
        <v>1</v>
      </c>
    </row>
    <row r="13" spans="1:70" ht="26" customHeight="1" x14ac:dyDescent="0.15">
      <c r="A13" s="12">
        <v>952</v>
      </c>
      <c r="B13" s="62" t="str">
        <f ca="1">VLOOKUP($A13,OFFSET([1]characters!$A$1,0,0,COUNTA([1]characters!$A:$A),MATCH(B$1,[1]characters!$1:$1,0)-MATCH($A$1,[1]characters!$1:$1,0)+1),MATCH(B$1,[1]characters!$1:$1,0)-MATCH($A$1,[1]characters!$1:$1,0)+1,FALSE)</f>
        <v>勝臨の機鋭槍 グングニル</v>
      </c>
      <c r="C13" s="57" t="str">
        <f ca="1">VLOOKUP($A13,OFFSET([1]characters!$A$1,0,0,COUNTA([1]characters!$A:$A),MATCH(C$1,[1]characters!$1:$1,0)-MATCH($A$1,[1]characters!$1:$1,0)+1),MATCH(C$1,[1]characters!$1:$1,0)-MATCH($A$1,[1]characters!$1:$1,0)+1,FALSE)</f>
        <v>各属性相性良3・黄・R556</v>
      </c>
      <c r="D13" s="57" t="str">
        <f ca="1">VLOOKUP($A13,OFFSET([1]characters!$A$1,0,0,COUNTA([1]characters!$A:$A),MATCH(D$1,[1]characters!$1:$1,0)-MATCH($A$1,[1]characters!$1:$1,0)+1),MATCH(D$1,[1]characters!$1:$1,0)-MATCH($A$1,[1]characters!$1:$1,0)+1,FALSE)</f>
        <v>執行者</v>
      </c>
      <c r="E13" s="57" t="str">
        <f ca="1">VLOOKUP($A13,OFFSET([1]characters!$A$1,0,0,COUNTA([1]characters!$A:$A),MATCH(E$1,[1]characters!$1:$1,0)-MATCH($A$1,[1]characters!$1:$1,0)+1),MATCH(E$1,[1]characters!$1:$1,0)-MATCH($A$1,[1]characters!$1:$1,0)+1,FALSE)</f>
        <v>格好いい</v>
      </c>
      <c r="F13" s="57" t="str">
        <f ca="1">VLOOKUP($A13,OFFSET([1]characters!$A$1,0,0,COUNTA([1]characters!$A:$A),MATCH(F$1,[1]characters!$1:$1,0)-MATCH($A$1,[1]characters!$1:$1,0)+1),MATCH(F$1,[1]characters!$1:$1,0)-MATCH($A$1,[1]characters!$1:$1,0)+1,FALSE)</f>
        <v>男性</v>
      </c>
      <c r="G13" s="57">
        <f ca="1">VLOOKUP($A13,OFFSET([1]characters!$A$1,0,0,COUNTA([1]characters!$A:$A),MATCH(G$1,[1]characters!$1:$1,0)-MATCH($A$1,[1]characters!$1:$1,0)+1),MATCH(G$1,[1]characters!$1:$1,0)-MATCH($A$1,[1]characters!$1:$1,0)+1,FALSE)</f>
        <v>6</v>
      </c>
      <c r="H13" s="57" t="str">
        <f ca="1">VLOOKUP($A13,OFFSET([1]characters!$A$1,0,0,COUNTA([1]characters!$A:$A),MATCH(H$1,[1]characters!$1:$1,0)-MATCH($A$1,[1]characters!$1:$1,0)+1),MATCH(H$1,[1]characters!$1:$1,0)-MATCH($A$1,[1]characters!$1:$1,0)+1,FALSE)</f>
        <v>DropWizSSS</v>
      </c>
      <c r="I13" s="57" t="str">
        <f ca="1">VLOOKUP($A13,OFFSET([1]characters!$A$1,0,0,COUNTA([1]characters!$A:$A),MATCH(I$1,[1]characters!$1:$1,0)-MATCH($A$1,[1]characters!$1:$1,0)+1),MATCH(I$1,[1]characters!$1:$1,0)-MATCH($A$1,[1]characters!$1:$1,0)+1,FALSE)</f>
        <v>yellow</v>
      </c>
      <c r="J13" s="11">
        <f ca="1">VLOOKUP(I13,[1]属性!$A:$E,2,FALSE)</f>
        <v>0.98</v>
      </c>
      <c r="K13" s="11">
        <f ca="1">VLOOKUP(I13,[1]属性!$A:$E,3,FALSE)</f>
        <v>1.01</v>
      </c>
      <c r="L13" s="11">
        <f ca="1">VLOOKUP(I13,[1]属性!$A:$E,4,FALSE)</f>
        <v>1</v>
      </c>
      <c r="M13" s="11">
        <f ca="1">VLOOKUP(I13,[1]属性!$A:$E,5,FALSE)</f>
        <v>1.01</v>
      </c>
      <c r="N13" s="11">
        <f ca="1">INDEX(コスト!$A$1:$I$20,MATCH(H13,コスト!$A$1:$A$20,FALSE),MATCH(G13,コスト!$A$1:$I$1,FALSE))</f>
        <v>55</v>
      </c>
      <c r="O13" s="11">
        <f ca="1">INDEX(レベル!$A$1:$I$21,MATCH(H13,レベル!$A$1:$A$21,FALSE),MATCH(G13,レベル!$A$1:$I$1,FALSE))</f>
        <v>99</v>
      </c>
      <c r="P13" s="48">
        <f t="shared" ca="1" si="5"/>
        <v>99</v>
      </c>
      <c r="Q13" s="57" t="str">
        <f ca="1">VLOOKUP($A13,OFFSET([1]characters!$A$1,0,0,COUNTA([1]characters!$A:$A),MATCH(Q$1,[1]characters!$1:$1,0)-MATCH($A$1,[1]characters!$1:$1,0)+1),MATCH(Q$1,[1]characters!$1:$1,0)-MATCH($A$1,[1]characters!$1:$1,0)+1,FALSE)</f>
        <v>attack</v>
      </c>
      <c r="R13" s="5" t="str">
        <f ca="1">VLOOKUP(Q13,[1]character_type_i18n!$A:$H,3,FALSE)</f>
        <v>攻撃タイプ</v>
      </c>
      <c r="S13" s="11">
        <f ca="1">VLOOKUP(Q13,[1]character_type_i18n!$A:$H,4,FALSE)</f>
        <v>1</v>
      </c>
      <c r="T13" s="11">
        <f ca="1">VLOOKUP(Q13,[1]character_type_i18n!$A:$H,5,FALSE)</f>
        <v>1.33</v>
      </c>
      <c r="U13" s="11">
        <f ca="1">VLOOKUP(Q13,[1]character_type_i18n!$A:$H,6,FALSE)</f>
        <v>1</v>
      </c>
      <c r="V13" s="11">
        <f ca="1">VLOOKUP(Q13,[1]character_type_i18n!$A:$H,7,FALSE)</f>
        <v>0.67</v>
      </c>
      <c r="W13" s="57" t="str">
        <f ca="1">VLOOKUP($A13,OFFSET([1]characters!$A$1,0,0,COUNTA([1]characters!$A:$A),MATCH(W$1,[1]characters!$1:$1,0)-MATCH($A$1,[1]characters!$1:$1,0)+1),MATCH(W$1,[1]characters!$1:$1,0)-MATCH($A$1,[1]characters!$1:$1,0)+1,FALSE)</f>
        <v>weapon</v>
      </c>
      <c r="X13" s="5" t="str">
        <f ca="1">VLOOKUP(W13,[1]character_tribe_i18n!$A:$H,3,FALSE)</f>
        <v>ウェポン</v>
      </c>
      <c r="Y13" s="57" t="str">
        <f ca="1">VLOOKUP($A13,OFFSET([1]characters!$A$1,0,0,COUNTA([1]characters!$A:$A),MATCH(Y$1,[1]characters!$1:$1,0)-MATCH($A$1,[1]characters!$1:$1,0)+1),MATCH(Y$1,[1]characters!$1:$1,0)-MATCH($A$1,[1]characters!$1:$1,0)+1,FALSE)</f>
        <v>none</v>
      </c>
      <c r="Z13" s="5" t="str">
        <f ca="1">VLOOKUP(Y13,[1]character_tribe_i18n!$A:$H,3,FALSE)</f>
        <v>種族なし</v>
      </c>
      <c r="AA13" s="11">
        <f ca="1">VLOOKUP(W13,[1]character_tribe_i18n!$A:$H,4,FALSE)</f>
        <v>1</v>
      </c>
      <c r="AB13" s="11">
        <f ca="1">VLOOKUP(W13,[1]character_tribe_i18n!$A:$H,5,FALSE)</f>
        <v>1</v>
      </c>
      <c r="AC13" s="11">
        <f ca="1">VLOOKUP(W13,[1]character_tribe_i18n!$A:$H,6,FALSE)</f>
        <v>1</v>
      </c>
      <c r="AD13" s="11">
        <f ca="1">VLOOKUP(W13,[1]character_tribe_i18n!$A:$H,7,FALSE)</f>
        <v>1</v>
      </c>
      <c r="AE13" s="9" t="s">
        <v>183</v>
      </c>
      <c r="AF13" s="62" t="str">
        <f ca="1">IF(AE13="NULL","",VLOOKUP($AE13,OFFSET([1]characters!$A$1,0,0,COUNTA([1]characters!$A:$A),MATCH(AF$1,[1]characters!$1:$1,0)-MATCH($A$1,[1]characters!$1:$1,0)+1),MATCH(AF$1,[1]characters!$1:$1,0)-MATCH($A$1,[1]characters!$1:$1,0)+1,FALSE))</f>
        <v/>
      </c>
      <c r="AG13" s="5">
        <f t="shared" ca="1" si="0"/>
        <v>951</v>
      </c>
      <c r="AH13" s="62" t="str">
        <f ca="1">VLOOKUP($AG13,OFFSET([1]characters!$A$1,0,0,COUNTA([1]characters!$A:$A),MATCH(AH$1,[1]characters!$1:$1,0)-MATCH($A$1,[1]characters!$1:$1,0)+1),MATCH(AH$1,[1]characters!$1:$1,0)-MATCH($A$1,[1]characters!$1:$1,0)+1,FALSE)</f>
        <v>グングニル</v>
      </c>
      <c r="AI13" s="11" t="str">
        <f>IF(AE13="NULL","NULL",VLOOKUP(G13,ビット!$A$2:$B$7,2))</f>
        <v>NULL</v>
      </c>
      <c r="AJ13" s="6">
        <v>2</v>
      </c>
      <c r="AK13" s="7" t="str">
        <f t="shared" si="1"/>
        <v>普通</v>
      </c>
      <c r="AL13" s="11" t="str">
        <f ca="1">INDEX(経験値!$A$1:$I$20,MATCH(H13,経験値!$A$1:$A$20,FALSE),MATCH(G13,経験値!$A$1:$I$1,FALSE))</f>
        <v>required_exp_300</v>
      </c>
      <c r="AM13" s="8">
        <f ca="1">VLOOKUP(G13,経験値!$A$27:$B$31,2)</f>
        <v>6400</v>
      </c>
      <c r="AN13" s="17">
        <f ca="1">VLOOKUP(G13,ビット!$G$2:$H$7,2)</f>
        <v>900</v>
      </c>
      <c r="AO13" s="45"/>
      <c r="AP13" s="66">
        <f t="shared" si="6"/>
        <v>952</v>
      </c>
      <c r="AQ13" s="57" t="str">
        <f ca="1">VLOOKUP($AP13,OFFSET(unit_skills!$A$1,0,0,COUNTA(unit_skills!$A:$A),MATCH(AQ$1,unit_skills!$1:$1,0)-MATCH($AP$1,unit_skills!$1:$1,0)+1),MATCH(AQ$1,unit_skills!$1:$1,0)-MATCH($AP$1,unit_skills!$1:$1,0)+1,FALSE)</f>
        <v>英勝への豪突</v>
      </c>
      <c r="AR13" s="57" t="str">
        <f ca="1">VLOOKUP($AP13,OFFSET(unit_skills!$A$1,0,0,COUNTA(unit_skills!$A:$A),MATCH(AR$1,unit_skills!$1:$1,0)-MATCH($AP$1,unit_skills!$1:$1,0)+1),MATCH(AR$1,unit_skills!$1:$1,0)-MATCH($AP$1,unit_skills!$1:$1,0)+1,FALSE)</f>
        <v>緑パネルをCパネルに変換+2ターン自身の攻撃力をUP(ハートパネルを吸収して効果UP)+緑パネルが出現しない</v>
      </c>
      <c r="AS13" s="57">
        <f ca="1">VLOOKUP($AP13,OFFSET(unit_skills!$A$1,0,0,COUNTA(unit_skills!$A:$A),MATCH(AS$1,unit_skills!$1:$1,0)-MATCH($AP$1,unit_skills!$1:$1,0)+1),MATCH(AS$1,unit_skills!$1:$1,0)-MATCH($AP$1,unit_skills!$1:$1,0)+1,FALSE)</f>
        <v>0</v>
      </c>
      <c r="AT13" s="41">
        <f t="shared" si="7"/>
        <v>952</v>
      </c>
      <c r="AU13" s="57" t="str">
        <f ca="1">VLOOKUP($AT13,OFFSET(crash_skills!$A$1,0,0,COUNTA(crash_skills!$A:$A),MATCH(AU$1,crash_skills!$1:$1,0)-MATCH($AT$1,crash_skills!$1:$1,0)+1),MATCH(AU$1,crash_skills!$1:$1,0)-MATCH($AT$1,crash_skills!$1:$1,0)+1,FALSE)</f>
        <v>ウィニングレイ･トネリコ</v>
      </c>
      <c r="AV13" s="57" t="str">
        <f ca="1">VLOOKUP($AT13,OFFSET(crash_skills!$A$1,0,0,COUNTA(crash_skills!$A:$A),MATCH(AV$1,crash_skills!$1:$1,0)-MATCH($AT$1,crash_skills!$1:$1,0)+1),MATCH(AV$1,crash_skills!$1:$1,0)-MATCH($AT$1,crash_skills!$1:$1,0)+1,FALSE)</f>
        <v>1体に特大ダメージ</v>
      </c>
      <c r="AW13" s="57">
        <f ca="1">VLOOKUP($AT13,OFFSET(crash_skills!$A$1,0,0,COUNTA(crash_skills!$A:$A),MATCH(AW$1,crash_skills!$1:$1,0)-MATCH($AT$1,crash_skills!$1:$1,0)+1),MATCH(AW$1,crash_skills!$1:$1,0)-MATCH($AT$1,crash_skills!$1:$1,0)+1,FALSE)</f>
        <v>0</v>
      </c>
      <c r="AX13" s="58">
        <f ca="1">VLOOKUP($A13,OFFSET([1]characters!$A$1,0,0,COUNTA([1]characters!$A:$A),MATCH(AX$1,[1]characters!$1:$1,0)-MATCH($A$1,[1]characters!$1:$1,0)+1),MATCH(AX$1,[1]characters!$1:$1,0)-MATCH($A$1,[1]characters!$1:$1,0)+1,FALSE)</f>
        <v>3</v>
      </c>
      <c r="AY13" s="67">
        <v>1</v>
      </c>
      <c r="AZ13" s="67">
        <v>1</v>
      </c>
      <c r="BA13" s="67">
        <v>0</v>
      </c>
      <c r="BB13" s="67">
        <v>0.95</v>
      </c>
      <c r="BC13" s="11">
        <f ca="1">INDEX('RC6SV'!$A$1:$G$20,MATCH(H13,'RC6SV'!$A$1:$A$20,FALSE),MATCH(G13,'RC6SV'!$A$1:$G$1,FALSE))</f>
        <v>14000</v>
      </c>
      <c r="BD13" s="48">
        <f t="shared" ca="1" si="2"/>
        <v>14000</v>
      </c>
      <c r="BE13" s="11">
        <f t="shared" ca="1" si="3"/>
        <v>10000</v>
      </c>
      <c r="BF13" s="11">
        <f t="shared" ca="1" si="4"/>
        <v>1</v>
      </c>
      <c r="BG13" s="16">
        <f ca="1">IF($BE13&lt;=0,ROUND(BK13*0.5,0), ROUND($BE13*S13*AA13*J13*AY13*0.8*[1]ステータス!$B$2,0))</f>
        <v>3920</v>
      </c>
      <c r="BH13" s="16">
        <f ca="1">IF($BE13&lt;=0,ROUND(BL13*0.5,0), ROUND($BE13*T13*AB13*K13*AZ13*0.8*[1]ステータス!$C$2,0))</f>
        <v>3224</v>
      </c>
      <c r="BI13" s="16">
        <f ca="1">IF($BE13&lt;=0,ROUND(BM13*0.5,0), ROUND($BE13*U13*AC13*L13*BA13*0.8*[1]ステータス!$D$2,0))</f>
        <v>0</v>
      </c>
      <c r="BJ13" s="16">
        <f ca="1">IF($BE13&lt;=0,ROUND(BN13*0.5,0), ROUND($BE13*V13*AD13*M13*BB13*0.8*[1]ステータス!$E$2,0))</f>
        <v>1286</v>
      </c>
      <c r="BK13" s="11">
        <f ca="1">ROUND(BD13*S13*AA13*J13*AY13*[1]ステータス!$B$2,0)</f>
        <v>6860</v>
      </c>
      <c r="BL13" s="11">
        <f ca="1">ROUND(BD13*T13*AB13*K13*AZ13*[1]ステータス!$C$2,0)</f>
        <v>5642</v>
      </c>
      <c r="BM13" s="11">
        <f ca="1">ROUND(BD13*U13*AC13*L13*BA13*[1]ステータス!$D$2,0)</f>
        <v>0</v>
      </c>
      <c r="BN13" s="11">
        <f ca="1">ROUND(BD13*V13*AD13*M13*BB13*[1]ステータス!$E$2,0)</f>
        <v>2250</v>
      </c>
      <c r="BO13" s="10">
        <v>0</v>
      </c>
      <c r="BP13" s="10">
        <v>1</v>
      </c>
      <c r="BQ13" s="10" t="s">
        <v>47</v>
      </c>
      <c r="BR13" s="206">
        <v>1</v>
      </c>
    </row>
  </sheetData>
  <autoFilter ref="A1:BQ1"/>
  <phoneticPr fontId="10"/>
  <conditionalFormatting sqref="BO1">
    <cfRule type="cellIs" dxfId="41" priority="120" stopIfTrue="1" operator="equal">
      <formula>1</formula>
    </cfRule>
  </conditionalFormatting>
  <conditionalFormatting sqref="BQ1">
    <cfRule type="cellIs" dxfId="40" priority="119" stopIfTrue="1" operator="equal">
      <formula>1</formula>
    </cfRule>
  </conditionalFormatting>
  <pageMargins left="0.75" right="0.75" top="1" bottom="1" header="0.3" footer="0.3"/>
  <pageSetup paperSize="9" orientation="portrait" horizontalDpi="4294967292" verticalDpi="429496729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indexed="12"/>
  </sheetPr>
  <dimension ref="A1:S19"/>
  <sheetViews>
    <sheetView showGridLines="0" workbookViewId="0">
      <pane xSplit="4" ySplit="1" topLeftCell="E4" activePane="bottomRight" state="frozen"/>
      <selection pane="topRight" activeCell="D1" sqref="D1"/>
      <selection pane="bottomLeft" activeCell="A2" sqref="A2"/>
      <selection pane="bottomRight" activeCell="C11" sqref="C11"/>
    </sheetView>
  </sheetViews>
  <sheetFormatPr baseColWidth="12" defaultColWidth="13" defaultRowHeight="21" customHeight="1" outlineLevelCol="1" x14ac:dyDescent="0.15"/>
  <cols>
    <col min="1" max="1" width="16.1640625" style="128" bestFit="1" customWidth="1"/>
    <col min="2" max="2" width="13" style="128" bestFit="1" customWidth="1"/>
    <col min="3" max="3" width="21.83203125" style="128" customWidth="1"/>
    <col min="4" max="4" width="41.83203125" style="128" customWidth="1"/>
    <col min="5" max="5" width="9" style="128" customWidth="1"/>
    <col min="6" max="6" width="7.83203125" style="128" bestFit="1" customWidth="1"/>
    <col min="7" max="7" width="8.1640625" style="128" bestFit="1" customWidth="1"/>
    <col min="8" max="8" width="13.6640625" style="128" bestFit="1" customWidth="1"/>
    <col min="9" max="10" width="51.6640625" style="128" customWidth="1"/>
    <col min="11" max="11" width="10.83203125" style="128" customWidth="1" outlineLevel="1"/>
    <col min="12" max="17" width="9.5" style="127" customWidth="1" outlineLevel="1"/>
    <col min="18" max="18" width="20.33203125" style="128" customWidth="1" outlineLevel="1"/>
    <col min="19" max="19" width="10.33203125" style="128" bestFit="1" customWidth="1"/>
    <col min="20" max="16384" width="13" style="128"/>
  </cols>
  <sheetData>
    <row r="1" spans="1:19" s="127" customFormat="1" ht="21" customHeight="1" x14ac:dyDescent="0.15">
      <c r="A1" s="116" t="s">
        <v>20</v>
      </c>
      <c r="B1" s="117" t="s">
        <v>134</v>
      </c>
      <c r="C1" s="118" t="s">
        <v>40</v>
      </c>
      <c r="D1" s="119" t="s">
        <v>163</v>
      </c>
      <c r="E1" s="119" t="s">
        <v>164</v>
      </c>
      <c r="F1" s="116" t="s">
        <v>146</v>
      </c>
      <c r="G1" s="120" t="s">
        <v>2</v>
      </c>
      <c r="H1" s="120" t="s">
        <v>165</v>
      </c>
      <c r="I1" s="120" t="s">
        <v>166</v>
      </c>
      <c r="J1" s="121" t="s">
        <v>184</v>
      </c>
      <c r="K1" s="120" t="s">
        <v>4</v>
      </c>
      <c r="L1" s="122" t="s">
        <v>167</v>
      </c>
      <c r="M1" s="123" t="s">
        <v>168</v>
      </c>
      <c r="N1" s="123" t="s">
        <v>169</v>
      </c>
      <c r="O1" s="123" t="s">
        <v>170</v>
      </c>
      <c r="P1" s="123" t="s">
        <v>171</v>
      </c>
      <c r="Q1" s="124" t="s">
        <v>172</v>
      </c>
      <c r="R1" s="125" t="s">
        <v>173</v>
      </c>
      <c r="S1" s="126" t="s">
        <v>174</v>
      </c>
    </row>
    <row r="2" spans="1:19" ht="21" customHeight="1" x14ac:dyDescent="0.15">
      <c r="A2" s="12">
        <v>752</v>
      </c>
      <c r="B2" s="131" t="s">
        <v>185</v>
      </c>
      <c r="C2" s="166" t="s">
        <v>272</v>
      </c>
      <c r="D2" s="132" t="s">
        <v>257</v>
      </c>
      <c r="E2" s="133">
        <f t="shared" ref="E2" si="0">LEN(D2)</f>
        <v>29</v>
      </c>
      <c r="F2" s="115">
        <v>23</v>
      </c>
      <c r="G2" s="115">
        <v>16</v>
      </c>
      <c r="H2" s="134">
        <f>2001</f>
        <v>2001</v>
      </c>
      <c r="I2" s="134" t="s">
        <v>258</v>
      </c>
      <c r="J2" s="57" t="str">
        <f ca="1">VLOOKUP($A2,OFFSET([1]characters!$A$1,0,0,COUNTA([1]characters!$A:$A),MATCH("name",[1]characters!$1:$1,0)-MATCH("character_id",[1]characters!$1:$1,0)+1),MATCH("name",[1]characters!$1:$1,0)-MATCH("character_id",[1]characters!$1:$1,0)+1,FALSE)</f>
        <v>ムラマサ</v>
      </c>
      <c r="K2" s="135">
        <v>3</v>
      </c>
      <c r="L2" s="136"/>
      <c r="M2" s="137"/>
      <c r="N2" s="137"/>
      <c r="O2" s="137"/>
      <c r="P2" s="137"/>
      <c r="Q2" s="137"/>
      <c r="R2" s="132"/>
      <c r="S2" s="138"/>
    </row>
    <row r="3" spans="1:19" ht="21" customHeight="1" x14ac:dyDescent="0.15">
      <c r="A3" s="12">
        <v>753</v>
      </c>
      <c r="B3" s="131" t="s">
        <v>185</v>
      </c>
      <c r="C3" s="166" t="s">
        <v>273</v>
      </c>
      <c r="D3" s="132" t="s">
        <v>456</v>
      </c>
      <c r="E3" s="133">
        <f t="shared" ref="E3:E4" si="1">LEN(D3)</f>
        <v>60</v>
      </c>
      <c r="F3" s="115">
        <v>23</v>
      </c>
      <c r="G3" s="115">
        <v>16</v>
      </c>
      <c r="H3" s="134">
        <f>2001</f>
        <v>2001</v>
      </c>
      <c r="I3" s="134" t="s">
        <v>455</v>
      </c>
      <c r="J3" s="57" t="str">
        <f ca="1">VLOOKUP($A3,OFFSET([1]characters!$A$1,0,0,COUNTA([1]characters!$A:$A),MATCH("name",[1]characters!$1:$1,0)-MATCH("character_id",[1]characters!$1:$1,0)+1),MATCH("name",[1]characters!$1:$1,0)-MATCH("character_id",[1]characters!$1:$1,0)+1,FALSE)</f>
        <v>皆斬の虐器 ムラマサ</v>
      </c>
      <c r="K3" s="135">
        <v>3</v>
      </c>
      <c r="L3" s="136"/>
      <c r="M3" s="137"/>
      <c r="N3" s="137"/>
      <c r="O3" s="137"/>
      <c r="P3" s="137"/>
      <c r="Q3" s="137"/>
      <c r="R3" s="132"/>
      <c r="S3" s="138"/>
    </row>
    <row r="4" spans="1:19" ht="21" customHeight="1" x14ac:dyDescent="0.15">
      <c r="A4" s="12">
        <v>754</v>
      </c>
      <c r="B4" s="131" t="s">
        <v>185</v>
      </c>
      <c r="C4" s="166" t="s">
        <v>274</v>
      </c>
      <c r="D4" s="132" t="s">
        <v>256</v>
      </c>
      <c r="E4" s="133">
        <f t="shared" si="1"/>
        <v>26</v>
      </c>
      <c r="F4" s="115">
        <v>21</v>
      </c>
      <c r="G4" s="115">
        <v>16</v>
      </c>
      <c r="H4" s="134">
        <f>2001</f>
        <v>2001</v>
      </c>
      <c r="I4" s="134" t="s">
        <v>306</v>
      </c>
      <c r="J4" s="57" t="str">
        <f ca="1">VLOOKUP($A4,OFFSET([1]characters!$A$1,0,0,COUNTA([1]characters!$A:$A),MATCH("name",[1]characters!$1:$1,0)-MATCH("character_id",[1]characters!$1:$1,0)+1),MATCH("name",[1]characters!$1:$1,0)-MATCH("character_id",[1]characters!$1:$1,0)+1,FALSE)</f>
        <v>マサムネ</v>
      </c>
      <c r="K4" s="135">
        <v>3</v>
      </c>
      <c r="L4" s="136"/>
      <c r="M4" s="137"/>
      <c r="N4" s="137"/>
      <c r="O4" s="137"/>
      <c r="P4" s="137"/>
      <c r="Q4" s="137"/>
      <c r="R4" s="132"/>
      <c r="S4" s="138"/>
    </row>
    <row r="5" spans="1:19" ht="21" customHeight="1" x14ac:dyDescent="0.15">
      <c r="A5" s="12">
        <v>755</v>
      </c>
      <c r="B5" s="131" t="s">
        <v>185</v>
      </c>
      <c r="C5" s="166" t="s">
        <v>275</v>
      </c>
      <c r="D5" s="132" t="s">
        <v>457</v>
      </c>
      <c r="E5" s="133">
        <f t="shared" ref="E5:E9" si="2">LEN(D5)</f>
        <v>60</v>
      </c>
      <c r="F5" s="115">
        <v>22</v>
      </c>
      <c r="G5" s="115">
        <v>16</v>
      </c>
      <c r="H5" s="134">
        <f>2001</f>
        <v>2001</v>
      </c>
      <c r="I5" s="134" t="s">
        <v>454</v>
      </c>
      <c r="J5" s="57" t="str">
        <f ca="1">VLOOKUP($A5,OFFSET([1]characters!$A$1,0,0,COUNTA([1]characters!$A:$A),MATCH("name",[1]characters!$1:$1,0)-MATCH("character_id",[1]characters!$1:$1,0)+1),MATCH("name",[1]characters!$1:$1,0)-MATCH("character_id",[1]characters!$1:$1,0)+1,FALSE)</f>
        <v>究覇の一剣 マサムネ</v>
      </c>
      <c r="K5" s="135">
        <v>3</v>
      </c>
      <c r="L5" s="136"/>
      <c r="M5" s="137"/>
      <c r="N5" s="137"/>
      <c r="O5" s="137"/>
      <c r="P5" s="137"/>
      <c r="Q5" s="137"/>
      <c r="R5" s="132"/>
      <c r="S5" s="138"/>
    </row>
    <row r="6" spans="1:19" ht="21" customHeight="1" x14ac:dyDescent="0.15">
      <c r="A6" s="12">
        <v>756</v>
      </c>
      <c r="B6" s="131" t="s">
        <v>185</v>
      </c>
      <c r="C6" s="167" t="s">
        <v>276</v>
      </c>
      <c r="D6" s="132" t="s">
        <v>270</v>
      </c>
      <c r="E6" s="133">
        <f t="shared" si="2"/>
        <v>37</v>
      </c>
      <c r="F6" s="115">
        <v>22</v>
      </c>
      <c r="G6" s="115">
        <v>16</v>
      </c>
      <c r="H6" s="134">
        <f>2001</f>
        <v>2001</v>
      </c>
      <c r="I6" s="134" t="s">
        <v>269</v>
      </c>
      <c r="J6" s="57" t="str">
        <f ca="1">VLOOKUP($A6,OFFSET([1]characters!$A$1,0,0,COUNTA([1]characters!$A:$A),MATCH("name",[1]characters!$1:$1,0)-MATCH("character_id",[1]characters!$1:$1,0)+1),MATCH("name",[1]characters!$1:$1,0)-MATCH("character_id",[1]characters!$1:$1,0)+1,FALSE)</f>
        <v>アメノムラクモ</v>
      </c>
      <c r="K6" s="135">
        <v>3</v>
      </c>
      <c r="L6" s="136"/>
      <c r="M6" s="137"/>
      <c r="N6" s="137"/>
      <c r="O6" s="137"/>
      <c r="P6" s="137"/>
      <c r="Q6" s="137"/>
      <c r="R6" s="132"/>
      <c r="S6" s="138"/>
    </row>
    <row r="7" spans="1:19" ht="21" customHeight="1" x14ac:dyDescent="0.15">
      <c r="A7" s="12">
        <v>757</v>
      </c>
      <c r="B7" s="131" t="s">
        <v>185</v>
      </c>
      <c r="C7" s="167" t="s">
        <v>277</v>
      </c>
      <c r="D7" s="132" t="s">
        <v>271</v>
      </c>
      <c r="E7" s="133">
        <f t="shared" si="2"/>
        <v>39</v>
      </c>
      <c r="F7" s="115">
        <v>23</v>
      </c>
      <c r="G7" s="115">
        <v>16</v>
      </c>
      <c r="H7" s="134">
        <f>2001</f>
        <v>2001</v>
      </c>
      <c r="I7" s="134" t="s">
        <v>268</v>
      </c>
      <c r="J7" s="57" t="str">
        <f ca="1">VLOOKUP($A7,OFFSET([1]characters!$A$1,0,0,COUNTA([1]characters!$A:$A),MATCH("name",[1]characters!$1:$1,0)-MATCH("character_id",[1]characters!$1:$1,0)+1),MATCH("name",[1]characters!$1:$1,0)-MATCH("character_id",[1]characters!$1:$1,0)+1,FALSE)</f>
        <v>荒龍の復魂 アメノムラクモ</v>
      </c>
      <c r="K7" s="135">
        <v>3</v>
      </c>
      <c r="L7" s="136"/>
      <c r="M7" s="137"/>
      <c r="N7" s="137"/>
      <c r="O7" s="137"/>
      <c r="P7" s="137"/>
      <c r="Q7" s="137"/>
      <c r="R7" s="132"/>
      <c r="S7" s="138"/>
    </row>
    <row r="8" spans="1:19" ht="21" customHeight="1" x14ac:dyDescent="0.15">
      <c r="A8" s="12">
        <v>758</v>
      </c>
      <c r="B8" s="131" t="s">
        <v>185</v>
      </c>
      <c r="C8" s="132" t="str">
        <f t="shared" ref="C8:C9" ca="1" si="3">J8&amp;"の技"</f>
        <v>雷切の技</v>
      </c>
      <c r="D8" s="132" t="s">
        <v>186</v>
      </c>
      <c r="E8" s="133">
        <f t="shared" si="2"/>
        <v>34</v>
      </c>
      <c r="F8" s="115">
        <v>18</v>
      </c>
      <c r="G8" s="115">
        <v>16</v>
      </c>
      <c r="H8" s="134">
        <f>2001</f>
        <v>2001</v>
      </c>
      <c r="I8" s="134" t="s">
        <v>253</v>
      </c>
      <c r="J8" s="57" t="str">
        <f ca="1">VLOOKUP($A8,OFFSET([1]characters!$A$1,0,0,COUNTA([1]characters!$A:$A),MATCH("name",[1]characters!$1:$1,0)-MATCH("character_id",[1]characters!$1:$1,0)+1),MATCH("name",[1]characters!$1:$1,0)-MATCH("character_id",[1]characters!$1:$1,0)+1,FALSE)</f>
        <v>雷切</v>
      </c>
      <c r="K8" s="135">
        <v>1</v>
      </c>
      <c r="L8" s="136"/>
      <c r="M8" s="137"/>
      <c r="N8" s="137"/>
      <c r="O8" s="137"/>
      <c r="P8" s="137"/>
      <c r="Q8" s="137"/>
      <c r="R8" s="132"/>
      <c r="S8" s="138"/>
    </row>
    <row r="9" spans="1:19" ht="21" customHeight="1" x14ac:dyDescent="0.15">
      <c r="A9" s="12">
        <v>759</v>
      </c>
      <c r="B9" s="131" t="s">
        <v>185</v>
      </c>
      <c r="C9" s="132" t="str">
        <f t="shared" ca="1" si="3"/>
        <v>超光の鳴鋒 雷切の技</v>
      </c>
      <c r="D9" s="132" t="s">
        <v>186</v>
      </c>
      <c r="E9" s="133">
        <f t="shared" si="2"/>
        <v>34</v>
      </c>
      <c r="F9" s="115">
        <v>18</v>
      </c>
      <c r="G9" s="115">
        <v>16</v>
      </c>
      <c r="H9" s="134">
        <f>2001</f>
        <v>2001</v>
      </c>
      <c r="I9" s="134" t="s">
        <v>253</v>
      </c>
      <c r="J9" s="57" t="str">
        <f ca="1">VLOOKUP($A9,OFFSET([1]characters!$A$1,0,0,COUNTA([1]characters!$A:$A),MATCH("name",[1]characters!$1:$1,0)-MATCH("character_id",[1]characters!$1:$1,0)+1),MATCH("name",[1]characters!$1:$1,0)-MATCH("character_id",[1]characters!$1:$1,0)+1,FALSE)</f>
        <v>超光の鳴鋒 雷切</v>
      </c>
      <c r="K9" s="135">
        <v>1</v>
      </c>
      <c r="L9" s="136"/>
      <c r="M9" s="137"/>
      <c r="N9" s="137"/>
      <c r="O9" s="137"/>
      <c r="P9" s="137"/>
      <c r="Q9" s="137"/>
      <c r="R9" s="132"/>
      <c r="S9" s="138"/>
    </row>
    <row r="10" spans="1:19" ht="21" customHeight="1" x14ac:dyDescent="0.15">
      <c r="A10" s="12">
        <v>947</v>
      </c>
      <c r="B10" s="131" t="s">
        <v>185</v>
      </c>
      <c r="C10" s="132" t="s">
        <v>391</v>
      </c>
      <c r="D10" s="132" t="s">
        <v>410</v>
      </c>
      <c r="E10" s="133">
        <f>LEN(D10)</f>
        <v>46</v>
      </c>
      <c r="F10" s="115">
        <v>25</v>
      </c>
      <c r="G10" s="115">
        <v>16</v>
      </c>
      <c r="H10" s="134">
        <f>2001</f>
        <v>2001</v>
      </c>
      <c r="I10" s="134" t="s">
        <v>444</v>
      </c>
      <c r="J10" s="57" t="str">
        <f ca="1">VLOOKUP($A10,OFFSET([1]characters!$A$1,0,0,COUNTA([1]characters!$A:$A),MATCH("name",[1]characters!$1:$1,0)-MATCH("character_id",[1]characters!$1:$1,0)+1),MATCH("name",[1]characters!$1:$1,0)-MATCH("character_id",[1]characters!$1:$1,0)+1,FALSE)</f>
        <v>ゲイボルグ</v>
      </c>
      <c r="K10" s="135">
        <v>3</v>
      </c>
      <c r="L10" s="136"/>
      <c r="M10" s="137"/>
      <c r="N10" s="137"/>
      <c r="O10" s="137"/>
      <c r="P10" s="137"/>
      <c r="Q10" s="137"/>
      <c r="R10" s="132"/>
      <c r="S10" s="138"/>
    </row>
    <row r="11" spans="1:19" ht="21" customHeight="1" x14ac:dyDescent="0.15">
      <c r="A11" s="12">
        <v>948</v>
      </c>
      <c r="B11" s="131" t="s">
        <v>185</v>
      </c>
      <c r="C11" s="132" t="s">
        <v>390</v>
      </c>
      <c r="D11" s="132" t="s">
        <v>469</v>
      </c>
      <c r="E11" s="133">
        <f>LEN(D11)</f>
        <v>64</v>
      </c>
      <c r="F11" s="115">
        <v>24</v>
      </c>
      <c r="G11" s="115">
        <v>16</v>
      </c>
      <c r="H11" s="134">
        <f>2001</f>
        <v>2001</v>
      </c>
      <c r="I11" s="134" t="s">
        <v>468</v>
      </c>
      <c r="J11" s="57" t="str">
        <f ca="1">VLOOKUP($A11,OFFSET([1]characters!$A$1,0,0,COUNTA([1]characters!$A:$A),MATCH("name",[1]characters!$1:$1,0)-MATCH("character_id",[1]characters!$1:$1,0)+1),MATCH("name",[1]characters!$1:$1,0)-MATCH("character_id",[1]characters!$1:$1,0)+1,FALSE)</f>
        <v>裂雷の必撃鏃 ゲイボルグ</v>
      </c>
      <c r="K11" s="135">
        <v>3</v>
      </c>
      <c r="L11" s="136"/>
      <c r="M11" s="137"/>
      <c r="N11" s="137"/>
      <c r="O11" s="137"/>
      <c r="P11" s="137"/>
      <c r="Q11" s="137"/>
      <c r="R11" s="132"/>
      <c r="S11" s="138"/>
    </row>
    <row r="12" spans="1:19" ht="21" customHeight="1" x14ac:dyDescent="0.15">
      <c r="A12" s="12">
        <v>949</v>
      </c>
      <c r="B12" s="131" t="s">
        <v>185</v>
      </c>
      <c r="C12" s="132" t="s">
        <v>388</v>
      </c>
      <c r="D12" s="132" t="s">
        <v>459</v>
      </c>
      <c r="E12" s="133">
        <f>LEN(D12)</f>
        <v>48</v>
      </c>
      <c r="F12" s="115">
        <v>22</v>
      </c>
      <c r="G12" s="115">
        <v>16</v>
      </c>
      <c r="H12" s="134">
        <f>2001</f>
        <v>2001</v>
      </c>
      <c r="I12" s="134" t="s">
        <v>460</v>
      </c>
      <c r="J12" s="57" t="str">
        <f ca="1">VLOOKUP($A12,OFFSET([1]characters!$A$1,0,0,COUNTA([1]characters!$A:$A),MATCH("name",[1]characters!$1:$1,0)-MATCH("character_id",[1]characters!$1:$1,0)+1),MATCH("name",[1]characters!$1:$1,0)-MATCH("character_id",[1]characters!$1:$1,0)+1,FALSE)</f>
        <v>トライデント</v>
      </c>
      <c r="K12" s="135">
        <v>3</v>
      </c>
      <c r="L12" s="136"/>
      <c r="M12" s="137"/>
      <c r="N12" s="137"/>
      <c r="O12" s="137"/>
      <c r="P12" s="137"/>
      <c r="Q12" s="137"/>
      <c r="R12" s="132"/>
      <c r="S12" s="138"/>
    </row>
    <row r="13" spans="1:19" ht="21" customHeight="1" x14ac:dyDescent="0.15">
      <c r="A13" s="12">
        <v>950</v>
      </c>
      <c r="B13" s="131" t="s">
        <v>185</v>
      </c>
      <c r="C13" s="132" t="s">
        <v>388</v>
      </c>
      <c r="D13" s="132" t="s">
        <v>459</v>
      </c>
      <c r="E13" s="133">
        <f>LEN(D13)</f>
        <v>48</v>
      </c>
      <c r="F13" s="115">
        <v>22</v>
      </c>
      <c r="G13" s="115">
        <v>16</v>
      </c>
      <c r="H13" s="134">
        <f>2001</f>
        <v>2001</v>
      </c>
      <c r="I13" s="134" t="s">
        <v>460</v>
      </c>
      <c r="J13" s="57" t="str">
        <f ca="1">VLOOKUP($A13,OFFSET([1]characters!$A$1,0,0,COUNTA([1]characters!$A:$A),MATCH("name",[1]characters!$1:$1,0)-MATCH("character_id",[1]characters!$1:$1,0)+1),MATCH("name",[1]characters!$1:$1,0)-MATCH("character_id",[1]characters!$1:$1,0)+1,FALSE)</f>
        <v>海洪操る三叉戟 トライデント</v>
      </c>
      <c r="K13" s="135">
        <v>3</v>
      </c>
      <c r="L13" s="136"/>
      <c r="M13" s="137"/>
      <c r="N13" s="137"/>
      <c r="O13" s="137"/>
      <c r="P13" s="137"/>
      <c r="Q13" s="137"/>
      <c r="R13" s="132"/>
      <c r="S13" s="138"/>
    </row>
    <row r="14" spans="1:19" ht="21" customHeight="1" x14ac:dyDescent="0.15">
      <c r="A14" s="12">
        <v>951</v>
      </c>
      <c r="B14" s="131" t="s">
        <v>185</v>
      </c>
      <c r="C14" s="132" t="s">
        <v>389</v>
      </c>
      <c r="D14" s="132" t="s">
        <v>417</v>
      </c>
      <c r="E14" s="133">
        <f t="shared" ref="E14:E15" si="4">LEN(D14)</f>
        <v>54</v>
      </c>
      <c r="F14" s="115">
        <v>22</v>
      </c>
      <c r="G14" s="115">
        <v>16</v>
      </c>
      <c r="H14" s="134">
        <f>2001</f>
        <v>2001</v>
      </c>
      <c r="I14" s="134" t="s">
        <v>446</v>
      </c>
      <c r="J14" s="57" t="str">
        <f ca="1">VLOOKUP($A14,OFFSET([1]characters!$A$1,0,0,COUNTA([1]characters!$A:$A),MATCH("name",[1]characters!$1:$1,0)-MATCH("character_id",[1]characters!$1:$1,0)+1),MATCH("name",[1]characters!$1:$1,0)-MATCH("character_id",[1]characters!$1:$1,0)+1,FALSE)</f>
        <v>グングニル</v>
      </c>
      <c r="K14" s="135">
        <v>3</v>
      </c>
      <c r="L14" s="136"/>
      <c r="M14" s="137"/>
      <c r="N14" s="137"/>
      <c r="O14" s="137"/>
      <c r="P14" s="137"/>
      <c r="Q14" s="137"/>
      <c r="R14" s="132"/>
      <c r="S14" s="138"/>
    </row>
    <row r="15" spans="1:19" ht="21" customHeight="1" x14ac:dyDescent="0.15">
      <c r="A15" s="12">
        <v>952</v>
      </c>
      <c r="B15" s="131" t="s">
        <v>185</v>
      </c>
      <c r="C15" s="132" t="s">
        <v>389</v>
      </c>
      <c r="D15" s="132" t="s">
        <v>443</v>
      </c>
      <c r="E15" s="133">
        <f t="shared" si="4"/>
        <v>54</v>
      </c>
      <c r="F15" s="115">
        <v>22</v>
      </c>
      <c r="G15" s="115">
        <v>16</v>
      </c>
      <c r="H15" s="134">
        <f>2001</f>
        <v>2001</v>
      </c>
      <c r="I15" s="134" t="s">
        <v>446</v>
      </c>
      <c r="J15" s="57" t="str">
        <f ca="1">VLOOKUP($A15,OFFSET([1]characters!$A$1,0,0,COUNTA([1]characters!$A:$A),MATCH("name",[1]characters!$1:$1,0)-MATCH("character_id",[1]characters!$1:$1,0)+1),MATCH("name",[1]characters!$1:$1,0)-MATCH("character_id",[1]characters!$1:$1,0)+1,FALSE)</f>
        <v>勝臨の機鋭槍 グングニル</v>
      </c>
      <c r="K15" s="135">
        <v>3</v>
      </c>
      <c r="L15" s="136"/>
      <c r="M15" s="137"/>
      <c r="N15" s="137"/>
      <c r="O15" s="137"/>
      <c r="P15" s="137"/>
      <c r="Q15" s="137"/>
      <c r="R15" s="132"/>
      <c r="S15" s="138"/>
    </row>
    <row r="19" spans="3:3" ht="21" customHeight="1" x14ac:dyDescent="0.15">
      <c r="C19" s="128" t="s">
        <v>307</v>
      </c>
    </row>
  </sheetData>
  <sheetProtection selectLockedCells="1" selectUnlockedCells="1"/>
  <autoFilter ref="A1:S1">
    <sortState ref="A2:T432">
      <sortCondition ref="A1:A432"/>
    </sortState>
  </autoFilter>
  <phoneticPr fontId="22"/>
  <conditionalFormatting sqref="E1 E16:E1048576">
    <cfRule type="cellIs" dxfId="39" priority="12" operator="greaterThan">
      <formula>41</formula>
    </cfRule>
  </conditionalFormatting>
  <conditionalFormatting sqref="E2 E4 E6 E8 E12">
    <cfRule type="cellIs" dxfId="38" priority="6" operator="greaterThan">
      <formula>41</formula>
    </cfRule>
  </conditionalFormatting>
  <conditionalFormatting sqref="E3 E5 E7 E9 E13">
    <cfRule type="cellIs" dxfId="37" priority="5" operator="greaterThan">
      <formula>41</formula>
    </cfRule>
  </conditionalFormatting>
  <conditionalFormatting sqref="E14">
    <cfRule type="cellIs" dxfId="36" priority="4" operator="greaterThan">
      <formula>41</formula>
    </cfRule>
  </conditionalFormatting>
  <conditionalFormatting sqref="E15">
    <cfRule type="cellIs" dxfId="35" priority="3" operator="greaterThan">
      <formula>41</formula>
    </cfRule>
  </conditionalFormatting>
  <conditionalFormatting sqref="E10">
    <cfRule type="cellIs" dxfId="34" priority="2" operator="greaterThan">
      <formula>41</formula>
    </cfRule>
  </conditionalFormatting>
  <conditionalFormatting sqref="E11">
    <cfRule type="cellIs" dxfId="33" priority="1" operator="greaterThan">
      <formula>41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>
    <tabColor indexed="12"/>
  </sheetPr>
  <dimension ref="A1:S13"/>
  <sheetViews>
    <sheetView showGridLines="0" workbookViewId="0">
      <pane xSplit="4" ySplit="1" topLeftCell="E2" activePane="bottomRight" state="frozen"/>
      <selection pane="topRight" activeCell="D1" sqref="D1"/>
      <selection pane="bottomLeft" activeCell="A3" sqref="A3"/>
      <selection pane="bottomRight" activeCell="D12" sqref="D12"/>
    </sheetView>
  </sheetViews>
  <sheetFormatPr baseColWidth="12" defaultColWidth="13" defaultRowHeight="21" customHeight="1" x14ac:dyDescent="0.15"/>
  <cols>
    <col min="1" max="2" width="12.1640625" style="128" customWidth="1"/>
    <col min="3" max="3" width="48.83203125" style="129" customWidth="1"/>
    <col min="4" max="4" width="32.5" style="129" customWidth="1"/>
    <col min="5" max="5" width="10.5" style="129" customWidth="1"/>
    <col min="6" max="7" width="59.1640625" style="129" customWidth="1"/>
    <col min="8" max="8" width="6.83203125" style="128" bestFit="1" customWidth="1"/>
    <col min="9" max="9" width="20.33203125" style="128" customWidth="1"/>
    <col min="10" max="10" width="5" style="128" bestFit="1" customWidth="1"/>
    <col min="11" max="16384" width="13" style="128"/>
  </cols>
  <sheetData>
    <row r="1" spans="1:19" ht="21" customHeight="1" x14ac:dyDescent="0.15">
      <c r="A1" s="116" t="s">
        <v>182</v>
      </c>
      <c r="B1" s="117" t="s">
        <v>181</v>
      </c>
      <c r="C1" s="118" t="s">
        <v>180</v>
      </c>
      <c r="D1" s="119" t="s">
        <v>179</v>
      </c>
      <c r="E1" s="119" t="s">
        <v>178</v>
      </c>
      <c r="F1" s="120" t="s">
        <v>177</v>
      </c>
      <c r="G1" s="121" t="s">
        <v>184</v>
      </c>
      <c r="H1" s="120" t="s">
        <v>176</v>
      </c>
      <c r="I1" s="121" t="s">
        <v>175</v>
      </c>
      <c r="J1" s="125" t="s">
        <v>174</v>
      </c>
    </row>
    <row r="2" spans="1:19" ht="21" customHeight="1" x14ac:dyDescent="0.15">
      <c r="A2" s="12">
        <v>752</v>
      </c>
      <c r="B2" s="131" t="s">
        <v>187</v>
      </c>
      <c r="C2" s="166" t="s">
        <v>278</v>
      </c>
      <c r="D2" s="132" t="s">
        <v>362</v>
      </c>
      <c r="E2" s="133">
        <f t="shared" ref="E2" si="0">LEN(D2)</f>
        <v>8</v>
      </c>
      <c r="F2" s="115" t="s">
        <v>262</v>
      </c>
      <c r="G2" s="57" t="str">
        <f ca="1">VLOOKUP($A2,OFFSET([1]characters!$A$1,0,0,COUNTA([1]characters!$A:$A),MATCH("name",[1]characters!$1:$1,0)-MATCH("character_id",[1]characters!$1:$1,0)+1),MATCH("name",[1]characters!$1:$1,0)-MATCH("character_id",[1]characters!$1:$1,0)+1,FALSE)</f>
        <v>ムラマサ</v>
      </c>
      <c r="H2" s="134">
        <v>3</v>
      </c>
      <c r="I2" s="134"/>
      <c r="J2" s="139"/>
      <c r="K2" s="135">
        <v>1</v>
      </c>
      <c r="L2" s="136"/>
      <c r="M2" s="137"/>
      <c r="N2" s="137"/>
      <c r="O2" s="137"/>
      <c r="P2" s="137"/>
      <c r="Q2" s="137"/>
      <c r="R2" s="132"/>
      <c r="S2" s="138"/>
    </row>
    <row r="3" spans="1:19" ht="21" customHeight="1" x14ac:dyDescent="0.15">
      <c r="A3" s="12">
        <v>753</v>
      </c>
      <c r="B3" s="131" t="s">
        <v>187</v>
      </c>
      <c r="C3" s="166" t="s">
        <v>279</v>
      </c>
      <c r="D3" s="132" t="s">
        <v>259</v>
      </c>
      <c r="E3" s="133">
        <f t="shared" ref="E3:E4" si="1">LEN(D3)</f>
        <v>9</v>
      </c>
      <c r="F3" s="115" t="s">
        <v>263</v>
      </c>
      <c r="G3" s="57" t="str">
        <f ca="1">VLOOKUP($A3,OFFSET([1]characters!$A$1,0,0,COUNTA([1]characters!$A:$A),MATCH("name",[1]characters!$1:$1,0)-MATCH("character_id",[1]characters!$1:$1,0)+1),MATCH("name",[1]characters!$1:$1,0)-MATCH("character_id",[1]characters!$1:$1,0)+1,FALSE)</f>
        <v>皆斬の虐器 ムラマサ</v>
      </c>
      <c r="H3" s="134">
        <v>3</v>
      </c>
      <c r="I3" s="134"/>
      <c r="J3" s="139"/>
      <c r="K3" s="135">
        <v>1</v>
      </c>
      <c r="L3" s="136"/>
      <c r="M3" s="137"/>
      <c r="N3" s="137"/>
      <c r="O3" s="137"/>
      <c r="P3" s="137"/>
      <c r="Q3" s="137"/>
      <c r="R3" s="132"/>
      <c r="S3" s="138"/>
    </row>
    <row r="4" spans="1:19" ht="21" customHeight="1" x14ac:dyDescent="0.15">
      <c r="A4" s="12">
        <v>754</v>
      </c>
      <c r="B4" s="131" t="s">
        <v>187</v>
      </c>
      <c r="C4" s="166" t="s">
        <v>280</v>
      </c>
      <c r="D4" s="132" t="s">
        <v>260</v>
      </c>
      <c r="E4" s="133">
        <f t="shared" si="1"/>
        <v>9</v>
      </c>
      <c r="F4" s="115" t="s">
        <v>264</v>
      </c>
      <c r="G4" s="57" t="str">
        <f ca="1">VLOOKUP($A4,OFFSET([1]characters!$A$1,0,0,COUNTA([1]characters!$A:$A),MATCH("name",[1]characters!$1:$1,0)-MATCH("character_id",[1]characters!$1:$1,0)+1),MATCH("name",[1]characters!$1:$1,0)-MATCH("character_id",[1]characters!$1:$1,0)+1,FALSE)</f>
        <v>マサムネ</v>
      </c>
      <c r="H4" s="134">
        <v>3</v>
      </c>
      <c r="I4" s="134"/>
      <c r="J4" s="139"/>
      <c r="K4" s="135">
        <v>1</v>
      </c>
      <c r="L4" s="136"/>
      <c r="M4" s="137"/>
      <c r="N4" s="137"/>
      <c r="O4" s="137"/>
      <c r="P4" s="137"/>
      <c r="Q4" s="137"/>
      <c r="R4" s="132"/>
      <c r="S4" s="138"/>
    </row>
    <row r="5" spans="1:19" ht="21" customHeight="1" x14ac:dyDescent="0.15">
      <c r="A5" s="12">
        <v>755</v>
      </c>
      <c r="B5" s="131" t="s">
        <v>187</v>
      </c>
      <c r="C5" s="166" t="s">
        <v>281</v>
      </c>
      <c r="D5" s="132" t="s">
        <v>261</v>
      </c>
      <c r="E5" s="133">
        <f t="shared" ref="E5:E11" si="2">LEN(D5)</f>
        <v>9</v>
      </c>
      <c r="F5" s="115" t="s">
        <v>265</v>
      </c>
      <c r="G5" s="57" t="str">
        <f ca="1">VLOOKUP($A5,OFFSET([1]characters!$A$1,0,0,COUNTA([1]characters!$A:$A),MATCH("name",[1]characters!$1:$1,0)-MATCH("character_id",[1]characters!$1:$1,0)+1),MATCH("name",[1]characters!$1:$1,0)-MATCH("character_id",[1]characters!$1:$1,0)+1,FALSE)</f>
        <v>究覇の一剣 マサムネ</v>
      </c>
      <c r="H5" s="134">
        <v>3</v>
      </c>
      <c r="I5" s="134"/>
      <c r="J5" s="139"/>
      <c r="K5" s="135">
        <v>1</v>
      </c>
      <c r="L5" s="136"/>
      <c r="M5" s="137"/>
      <c r="N5" s="137"/>
      <c r="O5" s="137"/>
      <c r="P5" s="137"/>
      <c r="Q5" s="137"/>
      <c r="R5" s="132"/>
      <c r="S5" s="138"/>
    </row>
    <row r="6" spans="1:19" ht="21" customHeight="1" x14ac:dyDescent="0.15">
      <c r="A6" s="12">
        <v>756</v>
      </c>
      <c r="B6" s="131" t="s">
        <v>187</v>
      </c>
      <c r="C6" s="166" t="s">
        <v>282</v>
      </c>
      <c r="D6" s="165" t="s">
        <v>267</v>
      </c>
      <c r="E6" s="133">
        <f t="shared" si="2"/>
        <v>18</v>
      </c>
      <c r="F6" s="115" t="s">
        <v>266</v>
      </c>
      <c r="G6" s="57" t="str">
        <f ca="1">VLOOKUP($A6,OFFSET([1]characters!$A$1,0,0,COUNTA([1]characters!$A:$A),MATCH("name",[1]characters!$1:$1,0)-MATCH("character_id",[1]characters!$1:$1,0)+1),MATCH("name",[1]characters!$1:$1,0)-MATCH("character_id",[1]characters!$1:$1,0)+1,FALSE)</f>
        <v>アメノムラクモ</v>
      </c>
      <c r="H6" s="134">
        <v>3</v>
      </c>
      <c r="I6" s="134"/>
      <c r="J6" s="139"/>
      <c r="K6" s="135">
        <v>1</v>
      </c>
      <c r="L6" s="136"/>
      <c r="M6" s="137"/>
      <c r="N6" s="137"/>
      <c r="O6" s="137"/>
      <c r="P6" s="137"/>
      <c r="Q6" s="137"/>
      <c r="R6" s="132"/>
      <c r="S6" s="138"/>
    </row>
    <row r="7" spans="1:19" ht="21" customHeight="1" x14ac:dyDescent="0.15">
      <c r="A7" s="12">
        <v>757</v>
      </c>
      <c r="B7" s="131" t="s">
        <v>187</v>
      </c>
      <c r="C7" s="166" t="s">
        <v>282</v>
      </c>
      <c r="D7" s="165" t="s">
        <v>267</v>
      </c>
      <c r="E7" s="133">
        <f t="shared" si="2"/>
        <v>18</v>
      </c>
      <c r="F7" s="207" t="s">
        <v>458</v>
      </c>
      <c r="G7" s="57" t="str">
        <f ca="1">VLOOKUP($A7,OFFSET([1]characters!$A$1,0,0,COUNTA([1]characters!$A:$A),MATCH("name",[1]characters!$1:$1,0)-MATCH("character_id",[1]characters!$1:$1,0)+1),MATCH("name",[1]characters!$1:$1,0)-MATCH("character_id",[1]characters!$1:$1,0)+1,FALSE)</f>
        <v>荒龍の復魂 アメノムラクモ</v>
      </c>
      <c r="H7" s="134">
        <v>3</v>
      </c>
      <c r="I7" s="134"/>
      <c r="J7" s="139"/>
      <c r="K7" s="135">
        <v>1</v>
      </c>
      <c r="L7" s="136"/>
      <c r="M7" s="137"/>
      <c r="N7" s="137"/>
      <c r="O7" s="137"/>
      <c r="P7" s="137"/>
      <c r="Q7" s="137"/>
      <c r="R7" s="132"/>
      <c r="S7" s="138"/>
    </row>
    <row r="8" spans="1:19" ht="21" customHeight="1" x14ac:dyDescent="0.15">
      <c r="A8" s="12">
        <v>947</v>
      </c>
      <c r="B8" s="131" t="s">
        <v>185</v>
      </c>
      <c r="C8" s="132" t="s">
        <v>396</v>
      </c>
      <c r="D8" s="132" t="s">
        <v>405</v>
      </c>
      <c r="E8" s="133">
        <f t="shared" si="2"/>
        <v>8</v>
      </c>
      <c r="F8" s="115" t="s">
        <v>408</v>
      </c>
      <c r="G8" s="57" t="str">
        <f ca="1">VLOOKUP($A8,OFFSET([1]characters!$A$1,0,0,COUNTA([1]characters!$A:$A),MATCH("name",[1]characters!$1:$1,0)-MATCH("character_id",[1]characters!$1:$1,0)+1),MATCH("name",[1]characters!$1:$1,0)-MATCH("character_id",[1]characters!$1:$1,0)+1,FALSE)</f>
        <v>ゲイボルグ</v>
      </c>
      <c r="H8" s="134">
        <v>3</v>
      </c>
      <c r="I8" s="134"/>
      <c r="J8" s="139"/>
      <c r="K8" s="135">
        <v>1</v>
      </c>
      <c r="L8" s="136"/>
      <c r="M8" s="137"/>
      <c r="N8" s="137"/>
      <c r="O8" s="137"/>
      <c r="P8" s="137"/>
      <c r="Q8" s="137"/>
      <c r="R8" s="132"/>
      <c r="S8" s="138"/>
    </row>
    <row r="9" spans="1:19" ht="21" customHeight="1" x14ac:dyDescent="0.15">
      <c r="A9" s="12">
        <v>948</v>
      </c>
      <c r="B9" s="131" t="s">
        <v>185</v>
      </c>
      <c r="C9" s="132" t="s">
        <v>395</v>
      </c>
      <c r="D9" s="132" t="s">
        <v>397</v>
      </c>
      <c r="E9" s="133">
        <f t="shared" si="2"/>
        <v>9</v>
      </c>
      <c r="F9" s="115" t="s">
        <v>409</v>
      </c>
      <c r="G9" s="57" t="str">
        <f ca="1">VLOOKUP($A9,OFFSET([1]characters!$A$1,0,0,COUNTA([1]characters!$A:$A),MATCH("name",[1]characters!$1:$1,0)-MATCH("character_id",[1]characters!$1:$1,0)+1),MATCH("name",[1]characters!$1:$1,0)-MATCH("character_id",[1]characters!$1:$1,0)+1,FALSE)</f>
        <v>裂雷の必撃鏃 ゲイボルグ</v>
      </c>
      <c r="H9" s="134">
        <v>3</v>
      </c>
      <c r="I9" s="134"/>
      <c r="J9" s="139"/>
      <c r="K9" s="135">
        <v>1</v>
      </c>
      <c r="L9" s="136"/>
      <c r="M9" s="137"/>
      <c r="N9" s="137"/>
      <c r="O9" s="137"/>
      <c r="P9" s="137"/>
      <c r="Q9" s="137"/>
      <c r="R9" s="132"/>
      <c r="S9" s="138"/>
    </row>
    <row r="10" spans="1:19" ht="21" customHeight="1" x14ac:dyDescent="0.15">
      <c r="A10" s="12">
        <v>949</v>
      </c>
      <c r="B10" s="131" t="s">
        <v>185</v>
      </c>
      <c r="C10" s="132" t="s">
        <v>394</v>
      </c>
      <c r="D10" s="132" t="s">
        <v>387</v>
      </c>
      <c r="E10" s="133">
        <f t="shared" si="2"/>
        <v>10</v>
      </c>
      <c r="F10" s="115" t="s">
        <v>398</v>
      </c>
      <c r="G10" s="57" t="str">
        <f ca="1">VLOOKUP($A10,OFFSET([1]characters!$A$1,0,0,COUNTA([1]characters!$A:$A),MATCH("name",[1]characters!$1:$1,0)-MATCH("character_id",[1]characters!$1:$1,0)+1),MATCH("name",[1]characters!$1:$1,0)-MATCH("character_id",[1]characters!$1:$1,0)+1,FALSE)</f>
        <v>トライデント</v>
      </c>
      <c r="H10" s="134">
        <v>3</v>
      </c>
      <c r="I10" s="134"/>
      <c r="J10" s="139"/>
      <c r="K10" s="135">
        <v>1</v>
      </c>
      <c r="L10" s="136"/>
      <c r="M10" s="137"/>
      <c r="N10" s="137"/>
      <c r="O10" s="137"/>
      <c r="P10" s="137"/>
      <c r="Q10" s="137"/>
      <c r="R10" s="132"/>
      <c r="S10" s="138"/>
    </row>
    <row r="11" spans="1:19" ht="21" customHeight="1" x14ac:dyDescent="0.15">
      <c r="A11" s="12">
        <v>950</v>
      </c>
      <c r="B11" s="131" t="s">
        <v>185</v>
      </c>
      <c r="C11" s="132" t="s">
        <v>394</v>
      </c>
      <c r="D11" s="132" t="s">
        <v>387</v>
      </c>
      <c r="E11" s="133">
        <f t="shared" si="2"/>
        <v>10</v>
      </c>
      <c r="F11" s="115" t="s">
        <v>398</v>
      </c>
      <c r="G11" s="57" t="str">
        <f ca="1">VLOOKUP($A11,OFFSET([1]characters!$A$1,0,0,COUNTA([1]characters!$A:$A),MATCH("name",[1]characters!$1:$1,0)-MATCH("character_id",[1]characters!$1:$1,0)+1),MATCH("name",[1]characters!$1:$1,0)-MATCH("character_id",[1]characters!$1:$1,0)+1,FALSE)</f>
        <v>海洪操る三叉戟 トライデント</v>
      </c>
      <c r="H11" s="134">
        <v>3</v>
      </c>
      <c r="I11" s="134"/>
      <c r="J11" s="139"/>
      <c r="K11" s="135">
        <v>1</v>
      </c>
      <c r="L11" s="136"/>
      <c r="M11" s="137"/>
      <c r="N11" s="137"/>
      <c r="O11" s="137"/>
      <c r="P11" s="137"/>
      <c r="Q11" s="137"/>
      <c r="R11" s="132"/>
      <c r="S11" s="138"/>
    </row>
    <row r="12" spans="1:19" ht="21" customHeight="1" x14ac:dyDescent="0.15">
      <c r="A12" s="12">
        <v>951</v>
      </c>
      <c r="B12" s="131" t="s">
        <v>185</v>
      </c>
      <c r="C12" s="132" t="s">
        <v>392</v>
      </c>
      <c r="D12" s="132" t="s">
        <v>405</v>
      </c>
      <c r="E12" s="133">
        <f t="shared" ref="E12:E13" si="3">LEN(D12)</f>
        <v>8</v>
      </c>
      <c r="F12" s="115" t="s">
        <v>407</v>
      </c>
      <c r="G12" s="57" t="str">
        <f ca="1">VLOOKUP($A12,OFFSET([1]characters!$A$1,0,0,COUNTA([1]characters!$A:$A),MATCH("name",[1]characters!$1:$1,0)-MATCH("character_id",[1]characters!$1:$1,0)+1),MATCH("name",[1]characters!$1:$1,0)-MATCH("character_id",[1]characters!$1:$1,0)+1,FALSE)</f>
        <v>グングニル</v>
      </c>
      <c r="H12" s="134">
        <v>3</v>
      </c>
      <c r="I12" s="134"/>
      <c r="J12" s="139"/>
      <c r="K12" s="135">
        <v>1</v>
      </c>
      <c r="L12" s="136"/>
      <c r="M12" s="137"/>
      <c r="N12" s="137"/>
      <c r="O12" s="137"/>
      <c r="P12" s="137"/>
      <c r="Q12" s="137"/>
      <c r="R12" s="132"/>
      <c r="S12" s="138"/>
    </row>
    <row r="13" spans="1:19" ht="21" customHeight="1" x14ac:dyDescent="0.15">
      <c r="A13" s="12">
        <v>952</v>
      </c>
      <c r="B13" s="131" t="s">
        <v>185</v>
      </c>
      <c r="C13" s="132" t="s">
        <v>393</v>
      </c>
      <c r="D13" s="132" t="s">
        <v>397</v>
      </c>
      <c r="E13" s="133">
        <f t="shared" si="3"/>
        <v>9</v>
      </c>
      <c r="F13" s="115" t="s">
        <v>406</v>
      </c>
      <c r="G13" s="57" t="str">
        <f ca="1">VLOOKUP($A13,OFFSET([1]characters!$A$1,0,0,COUNTA([1]characters!$A:$A),MATCH("name",[1]characters!$1:$1,0)-MATCH("character_id",[1]characters!$1:$1,0)+1),MATCH("name",[1]characters!$1:$1,0)-MATCH("character_id",[1]characters!$1:$1,0)+1,FALSE)</f>
        <v>勝臨の機鋭槍 グングニル</v>
      </c>
      <c r="H13" s="134">
        <v>3</v>
      </c>
      <c r="I13" s="134"/>
      <c r="J13" s="139"/>
      <c r="K13" s="135">
        <v>1</v>
      </c>
      <c r="L13" s="136"/>
      <c r="M13" s="137"/>
      <c r="N13" s="137"/>
      <c r="O13" s="137"/>
      <c r="P13" s="137"/>
      <c r="Q13" s="137"/>
      <c r="R13" s="132"/>
      <c r="S13" s="138"/>
    </row>
  </sheetData>
  <sheetProtection selectLockedCells="1" selectUnlockedCells="1"/>
  <autoFilter ref="A1:J1"/>
  <phoneticPr fontId="22"/>
  <conditionalFormatting sqref="E2 E4 E6">
    <cfRule type="cellIs" dxfId="32" priority="10" operator="greaterThan">
      <formula>41</formula>
    </cfRule>
  </conditionalFormatting>
  <conditionalFormatting sqref="E3 E5 E7">
    <cfRule type="cellIs" dxfId="31" priority="9" operator="greaterThan">
      <formula>41</formula>
    </cfRule>
  </conditionalFormatting>
  <conditionalFormatting sqref="E12">
    <cfRule type="cellIs" dxfId="30" priority="8" operator="greaterThan">
      <formula>41</formula>
    </cfRule>
  </conditionalFormatting>
  <conditionalFormatting sqref="E13">
    <cfRule type="cellIs" dxfId="29" priority="7" operator="greaterThan">
      <formula>41</formula>
    </cfRule>
  </conditionalFormatting>
  <conditionalFormatting sqref="E10">
    <cfRule type="cellIs" dxfId="28" priority="6" operator="greaterThan">
      <formula>41</formula>
    </cfRule>
  </conditionalFormatting>
  <conditionalFormatting sqref="E11">
    <cfRule type="cellIs" dxfId="27" priority="5" operator="greaterThan">
      <formula>41</formula>
    </cfRule>
  </conditionalFormatting>
  <conditionalFormatting sqref="E8">
    <cfRule type="cellIs" dxfId="26" priority="2" operator="greaterThan">
      <formula>41</formula>
    </cfRule>
  </conditionalFormatting>
  <conditionalFormatting sqref="E9">
    <cfRule type="cellIs" dxfId="25" priority="1" operator="greaterThan">
      <formula>41</formula>
    </cfRule>
  </conditionalFormatting>
  <printOptions gridLines="1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</sheetPr>
  <dimension ref="A1:H55"/>
  <sheetViews>
    <sheetView topLeftCell="A30" workbookViewId="0">
      <selection activeCell="H57" sqref="H57"/>
    </sheetView>
  </sheetViews>
  <sheetFormatPr baseColWidth="12" defaultRowHeight="15" outlineLevelCol="1" x14ac:dyDescent="0.15"/>
  <cols>
    <col min="2" max="2" width="12.83203125" style="141"/>
    <col min="4" max="4" width="12.83203125" style="141" customWidth="1" outlineLevel="1"/>
    <col min="5" max="5" width="12.83203125" style="141"/>
    <col min="8" max="8" width="21.83203125" customWidth="1"/>
  </cols>
  <sheetData>
    <row r="1" spans="1:8" x14ac:dyDescent="0.15">
      <c r="A1" s="112" t="s">
        <v>188</v>
      </c>
      <c r="B1" s="140" t="s">
        <v>189</v>
      </c>
      <c r="C1" s="112" t="s">
        <v>190</v>
      </c>
      <c r="D1" s="140" t="s">
        <v>192</v>
      </c>
      <c r="E1" s="140" t="s">
        <v>193</v>
      </c>
      <c r="F1" s="110" t="s">
        <v>194</v>
      </c>
      <c r="G1" s="112" t="s">
        <v>191</v>
      </c>
      <c r="H1" s="110" t="s">
        <v>195</v>
      </c>
    </row>
    <row r="2" spans="1:8" x14ac:dyDescent="0.15">
      <c r="A2" s="108">
        <v>752</v>
      </c>
      <c r="B2" s="140" t="str">
        <f>VLOOKUP(A2,[1]characters!$A:$C,3,FALSE)</f>
        <v>ムラマサ</v>
      </c>
      <c r="C2" s="108" t="s">
        <v>196</v>
      </c>
      <c r="D2" s="140"/>
      <c r="E2" s="140" t="str">
        <f>A2&amp;+(COUNTIF(A$2:A2,A2)-1)</f>
        <v>7520</v>
      </c>
      <c r="F2" s="108" t="s">
        <v>197</v>
      </c>
      <c r="G2" s="166" t="s">
        <v>283</v>
      </c>
      <c r="H2" s="168" t="s">
        <v>284</v>
      </c>
    </row>
    <row r="3" spans="1:8" x14ac:dyDescent="0.15">
      <c r="A3" s="108">
        <v>752</v>
      </c>
      <c r="B3" s="140" t="str">
        <f>VLOOKUP(A3,[1]characters!$A:$C,3,FALSE)</f>
        <v>ムラマサ</v>
      </c>
      <c r="C3" s="108" t="s">
        <v>198</v>
      </c>
      <c r="D3" s="140"/>
      <c r="E3" s="140" t="str">
        <f>A3&amp;+(COUNTIF(A$2:A3,A3)-1)</f>
        <v>7521</v>
      </c>
      <c r="F3" s="108" t="s">
        <v>197</v>
      </c>
      <c r="G3" s="168" t="s">
        <v>289</v>
      </c>
      <c r="H3" s="166" t="s">
        <v>296</v>
      </c>
    </row>
    <row r="4" spans="1:8" x14ac:dyDescent="0.15">
      <c r="A4" s="108">
        <v>752</v>
      </c>
      <c r="B4" s="140" t="str">
        <f>VLOOKUP(A4,[1]characters!$A:$C,3,FALSE)</f>
        <v>ムラマサ</v>
      </c>
      <c r="C4" s="108" t="s">
        <v>198</v>
      </c>
      <c r="D4" s="140"/>
      <c r="E4" s="140" t="str">
        <f>A4&amp;+(COUNTIF(A$2:A4,A4)-1)</f>
        <v>7522</v>
      </c>
      <c r="F4" s="108" t="s">
        <v>197</v>
      </c>
      <c r="G4" s="168" t="s">
        <v>289</v>
      </c>
      <c r="H4" s="166" t="s">
        <v>297</v>
      </c>
    </row>
    <row r="5" spans="1:8" x14ac:dyDescent="0.15">
      <c r="A5" s="108">
        <v>752</v>
      </c>
      <c r="B5" s="140" t="str">
        <f>VLOOKUP(A5,[1]characters!$A:$C,3,FALSE)</f>
        <v>ムラマサ</v>
      </c>
      <c r="C5" s="108" t="s">
        <v>198</v>
      </c>
      <c r="D5" s="140"/>
      <c r="E5" s="140" t="str">
        <f>A5&amp;+(COUNTIF(A$2:A5,A5)-1)</f>
        <v>7523</v>
      </c>
      <c r="F5" s="108" t="s">
        <v>197</v>
      </c>
      <c r="G5" s="168" t="s">
        <v>292</v>
      </c>
      <c r="H5" s="166" t="s">
        <v>298</v>
      </c>
    </row>
    <row r="6" spans="1:8" x14ac:dyDescent="0.15">
      <c r="A6" s="108">
        <v>753</v>
      </c>
      <c r="B6" s="140" t="str">
        <f>VLOOKUP(A6,[1]characters!$A:$C,3,FALSE)</f>
        <v>皆斬の虐器 ムラマサ</v>
      </c>
      <c r="C6" s="108" t="s">
        <v>196</v>
      </c>
      <c r="D6" s="140"/>
      <c r="E6" s="140" t="str">
        <f>A6&amp;+(COUNTIF(A$2:A6,A6)-1)</f>
        <v>7530</v>
      </c>
      <c r="F6" s="108" t="s">
        <v>197</v>
      </c>
      <c r="G6" s="166" t="s">
        <v>283</v>
      </c>
      <c r="H6" s="168" t="s">
        <v>285</v>
      </c>
    </row>
    <row r="7" spans="1:8" x14ac:dyDescent="0.15">
      <c r="A7" s="108">
        <v>753</v>
      </c>
      <c r="B7" s="140" t="str">
        <f>VLOOKUP(A7,[1]characters!$A:$C,3,FALSE)</f>
        <v>皆斬の虐器 ムラマサ</v>
      </c>
      <c r="C7" s="108" t="s">
        <v>198</v>
      </c>
      <c r="D7" s="140"/>
      <c r="E7" s="140" t="str">
        <f>A7&amp;+(COUNTIF(A$2:A7,A7)-1)</f>
        <v>7531</v>
      </c>
      <c r="F7" s="108" t="s">
        <v>197</v>
      </c>
      <c r="G7" s="168" t="s">
        <v>289</v>
      </c>
      <c r="H7" s="166" t="s">
        <v>296</v>
      </c>
    </row>
    <row r="8" spans="1:8" x14ac:dyDescent="0.15">
      <c r="A8" s="108">
        <v>753</v>
      </c>
      <c r="B8" s="140" t="str">
        <f>VLOOKUP(A8,[1]characters!$A:$C,3,FALSE)</f>
        <v>皆斬の虐器 ムラマサ</v>
      </c>
      <c r="C8" s="108" t="s">
        <v>198</v>
      </c>
      <c r="D8" s="140"/>
      <c r="E8" s="140" t="str">
        <f>A8&amp;+(COUNTIF(A$2:A8,A8)-1)</f>
        <v>7532</v>
      </c>
      <c r="F8" s="108" t="s">
        <v>197</v>
      </c>
      <c r="G8" s="168" t="s">
        <v>289</v>
      </c>
      <c r="H8" s="166" t="s">
        <v>297</v>
      </c>
    </row>
    <row r="9" spans="1:8" x14ac:dyDescent="0.15">
      <c r="A9" s="108">
        <v>753</v>
      </c>
      <c r="B9" s="140" t="str">
        <f>VLOOKUP(A9,[1]characters!$A:$C,3,FALSE)</f>
        <v>皆斬の虐器 ムラマサ</v>
      </c>
      <c r="C9" s="108" t="s">
        <v>198</v>
      </c>
      <c r="D9" s="140"/>
      <c r="E9" s="140" t="str">
        <f>A9&amp;+(COUNTIF(A$2:A9,A9)-1)</f>
        <v>7533</v>
      </c>
      <c r="F9" s="108" t="s">
        <v>197</v>
      </c>
      <c r="G9" s="168" t="s">
        <v>292</v>
      </c>
      <c r="H9" s="166" t="s">
        <v>298</v>
      </c>
    </row>
    <row r="10" spans="1:8" x14ac:dyDescent="0.15">
      <c r="A10" s="108">
        <v>753</v>
      </c>
      <c r="B10" s="140" t="str">
        <f>VLOOKUP(A10,[1]characters!$A:$C,3,FALSE)</f>
        <v>皆斬の虐器 ムラマサ</v>
      </c>
      <c r="C10" s="108" t="s">
        <v>198</v>
      </c>
      <c r="D10" s="140"/>
      <c r="E10" s="140" t="str">
        <f>A10&amp;+(COUNTIF(A$2:A10,A10)-1)</f>
        <v>7534</v>
      </c>
      <c r="F10" s="108" t="s">
        <v>197</v>
      </c>
      <c r="G10" s="168" t="s">
        <v>283</v>
      </c>
      <c r="H10" s="166" t="s">
        <v>299</v>
      </c>
    </row>
    <row r="11" spans="1:8" x14ac:dyDescent="0.15">
      <c r="A11" s="108">
        <v>754</v>
      </c>
      <c r="B11" s="140" t="str">
        <f>VLOOKUP(A11,[1]characters!$A:$C,3,FALSE)</f>
        <v>マサムネ</v>
      </c>
      <c r="C11" s="108" t="s">
        <v>196</v>
      </c>
      <c r="D11" s="140"/>
      <c r="E11" s="140" t="str">
        <f>A11&amp;+(COUNTIF(A$2:A11,A11)-1)</f>
        <v>7540</v>
      </c>
      <c r="F11" s="108" t="s">
        <v>197</v>
      </c>
      <c r="G11" s="166" t="s">
        <v>286</v>
      </c>
      <c r="H11" s="168" t="s">
        <v>287</v>
      </c>
    </row>
    <row r="12" spans="1:8" x14ac:dyDescent="0.15">
      <c r="A12" s="108">
        <v>754</v>
      </c>
      <c r="B12" s="140" t="str">
        <f>VLOOKUP(A12,[1]characters!$A:$C,3,FALSE)</f>
        <v>マサムネ</v>
      </c>
      <c r="C12" s="108" t="s">
        <v>198</v>
      </c>
      <c r="D12" s="140"/>
      <c r="E12" s="140" t="str">
        <f>A12&amp;+(COUNTIF(A$2:A12,A12)-1)</f>
        <v>7541</v>
      </c>
      <c r="F12" s="108" t="s">
        <v>197</v>
      </c>
      <c r="G12" s="168" t="s">
        <v>300</v>
      </c>
      <c r="H12" s="166" t="s">
        <v>293</v>
      </c>
    </row>
    <row r="13" spans="1:8" x14ac:dyDescent="0.15">
      <c r="A13" s="108">
        <v>754</v>
      </c>
      <c r="B13" s="140" t="str">
        <f>VLOOKUP(A13,[1]characters!$A:$C,3,FALSE)</f>
        <v>マサムネ</v>
      </c>
      <c r="C13" s="108" t="s">
        <v>198</v>
      </c>
      <c r="D13" s="140"/>
      <c r="E13" s="140" t="str">
        <f>A13&amp;+(COUNTIF(A$2:A13,A13)-1)</f>
        <v>7542</v>
      </c>
      <c r="F13" s="108" t="s">
        <v>197</v>
      </c>
      <c r="G13" s="168" t="s">
        <v>289</v>
      </c>
      <c r="H13" s="166" t="s">
        <v>294</v>
      </c>
    </row>
    <row r="14" spans="1:8" x14ac:dyDescent="0.15">
      <c r="A14" s="108">
        <v>754</v>
      </c>
      <c r="B14" s="140" t="str">
        <f>VLOOKUP(A14,[1]characters!$A:$C,3,FALSE)</f>
        <v>マサムネ</v>
      </c>
      <c r="C14" s="108" t="s">
        <v>198</v>
      </c>
      <c r="D14" s="140"/>
      <c r="E14" s="140" t="str">
        <f>A14&amp;+(COUNTIF(A$2:A14,A14)-1)</f>
        <v>7543</v>
      </c>
      <c r="F14" s="108" t="s">
        <v>197</v>
      </c>
      <c r="G14" s="168" t="s">
        <v>283</v>
      </c>
      <c r="H14" s="166" t="s">
        <v>295</v>
      </c>
    </row>
    <row r="15" spans="1:8" x14ac:dyDescent="0.15">
      <c r="A15" s="108">
        <v>755</v>
      </c>
      <c r="B15" s="140" t="str">
        <f>VLOOKUP(A15,[1]characters!$A:$C,3,FALSE)</f>
        <v>究覇の一剣 マサムネ</v>
      </c>
      <c r="C15" s="108" t="s">
        <v>196</v>
      </c>
      <c r="D15" s="140"/>
      <c r="E15" s="140" t="str">
        <f>A15&amp;+(COUNTIF(A$2:A15,A15)-1)</f>
        <v>7550</v>
      </c>
      <c r="F15" s="108" t="s">
        <v>197</v>
      </c>
      <c r="G15" s="166" t="s">
        <v>283</v>
      </c>
      <c r="H15" s="168" t="s">
        <v>288</v>
      </c>
    </row>
    <row r="16" spans="1:8" x14ac:dyDescent="0.15">
      <c r="A16" s="108">
        <v>755</v>
      </c>
      <c r="B16" s="140" t="str">
        <f>VLOOKUP(A16,[1]characters!$A:$C,3,FALSE)</f>
        <v>究覇の一剣 マサムネ</v>
      </c>
      <c r="C16" s="108" t="s">
        <v>198</v>
      </c>
      <c r="D16" s="140"/>
      <c r="E16" s="140" t="str">
        <f>A16&amp;+(COUNTIF(A$2:A16,A16)-1)</f>
        <v>7551</v>
      </c>
      <c r="F16" s="108" t="s">
        <v>197</v>
      </c>
      <c r="G16" s="168" t="s">
        <v>292</v>
      </c>
      <c r="H16" s="166" t="s">
        <v>293</v>
      </c>
    </row>
    <row r="17" spans="1:8" x14ac:dyDescent="0.15">
      <c r="A17" s="108">
        <v>755</v>
      </c>
      <c r="B17" s="140" t="str">
        <f>VLOOKUP(A17,[1]characters!$A:$C,3,FALSE)</f>
        <v>究覇の一剣 マサムネ</v>
      </c>
      <c r="C17" s="108" t="s">
        <v>198</v>
      </c>
      <c r="D17" s="140"/>
      <c r="E17" s="140" t="str">
        <f>A17&amp;+(COUNTIF(A$2:A17,A17)-1)</f>
        <v>7552</v>
      </c>
      <c r="F17" s="108" t="s">
        <v>197</v>
      </c>
      <c r="G17" s="168" t="s">
        <v>289</v>
      </c>
      <c r="H17" s="166" t="s">
        <v>294</v>
      </c>
    </row>
    <row r="18" spans="1:8" x14ac:dyDescent="0.15">
      <c r="A18" s="108">
        <v>755</v>
      </c>
      <c r="B18" s="140" t="str">
        <f>VLOOKUP(A18,[1]characters!$A:$C,3,FALSE)</f>
        <v>究覇の一剣 マサムネ</v>
      </c>
      <c r="C18" s="108" t="s">
        <v>198</v>
      </c>
      <c r="D18" s="140"/>
      <c r="E18" s="140" t="str">
        <f>A18&amp;+(COUNTIF(A$2:A18,A18)-1)</f>
        <v>7553</v>
      </c>
      <c r="F18" s="108" t="s">
        <v>197</v>
      </c>
      <c r="G18" s="168" t="s">
        <v>283</v>
      </c>
      <c r="H18" s="166" t="s">
        <v>295</v>
      </c>
    </row>
    <row r="19" spans="1:8" x14ac:dyDescent="0.15">
      <c r="A19" s="108">
        <v>755</v>
      </c>
      <c r="B19" s="140" t="str">
        <f>VLOOKUP(A19,[1]characters!$A:$C,3,FALSE)</f>
        <v>究覇の一剣 マサムネ</v>
      </c>
      <c r="C19" s="108" t="s">
        <v>198</v>
      </c>
      <c r="D19" s="140"/>
      <c r="E19" s="140" t="str">
        <f>A19&amp;+(COUNTIF(A$2:A19,A19)-1)</f>
        <v>7554</v>
      </c>
      <c r="F19" s="108" t="s">
        <v>197</v>
      </c>
      <c r="G19" s="168" t="s">
        <v>283</v>
      </c>
      <c r="H19" s="166" t="s">
        <v>301</v>
      </c>
    </row>
    <row r="20" spans="1:8" x14ac:dyDescent="0.15">
      <c r="A20" s="108">
        <v>756</v>
      </c>
      <c r="B20" s="140" t="str">
        <f>VLOOKUP(A20,[1]characters!$A:$C,3,FALSE)</f>
        <v>アメノムラクモ</v>
      </c>
      <c r="C20" s="108" t="s">
        <v>196</v>
      </c>
      <c r="D20" s="140"/>
      <c r="E20" s="140" t="str">
        <f>A20&amp;+(COUNTIF(A$2:A20,A20)-1)</f>
        <v>7560</v>
      </c>
      <c r="F20" s="108" t="s">
        <v>197</v>
      </c>
      <c r="G20" s="166" t="s">
        <v>289</v>
      </c>
      <c r="H20" s="168" t="s">
        <v>290</v>
      </c>
    </row>
    <row r="21" spans="1:8" x14ac:dyDescent="0.15">
      <c r="A21" s="108">
        <v>756</v>
      </c>
      <c r="B21" s="140" t="str">
        <f>VLOOKUP(A21,[1]characters!$A:$C,3,FALSE)</f>
        <v>アメノムラクモ</v>
      </c>
      <c r="C21" s="108" t="s">
        <v>198</v>
      </c>
      <c r="D21" s="140"/>
      <c r="E21" s="140" t="str">
        <f>A21&amp;+(COUNTIF(A$2:A21,A21)-1)</f>
        <v>7561</v>
      </c>
      <c r="F21" s="108" t="s">
        <v>197</v>
      </c>
      <c r="G21" s="168" t="s">
        <v>283</v>
      </c>
      <c r="H21" s="166" t="s">
        <v>302</v>
      </c>
    </row>
    <row r="22" spans="1:8" x14ac:dyDescent="0.15">
      <c r="A22" s="108">
        <v>756</v>
      </c>
      <c r="B22" s="140" t="str">
        <f>VLOOKUP(A22,[1]characters!$A:$C,3,FALSE)</f>
        <v>アメノムラクモ</v>
      </c>
      <c r="C22" s="108" t="s">
        <v>198</v>
      </c>
      <c r="D22" s="140"/>
      <c r="E22" s="140" t="str">
        <f>A22&amp;+(COUNTIF(A$2:A22,A22)-1)</f>
        <v>7562</v>
      </c>
      <c r="F22" s="108" t="s">
        <v>197</v>
      </c>
      <c r="G22" s="168" t="s">
        <v>289</v>
      </c>
      <c r="H22" s="166" t="s">
        <v>303</v>
      </c>
    </row>
    <row r="23" spans="1:8" x14ac:dyDescent="0.15">
      <c r="A23" s="108">
        <v>756</v>
      </c>
      <c r="B23" s="140" t="str">
        <f>VLOOKUP(A23,[1]characters!$A:$C,3,FALSE)</f>
        <v>アメノムラクモ</v>
      </c>
      <c r="C23" s="108" t="s">
        <v>198</v>
      </c>
      <c r="D23" s="140"/>
      <c r="E23" s="140" t="str">
        <f>A23&amp;+(COUNTIF(A$2:A23,A23)-1)</f>
        <v>7563</v>
      </c>
      <c r="F23" s="108" t="s">
        <v>197</v>
      </c>
      <c r="G23" s="168" t="s">
        <v>289</v>
      </c>
      <c r="H23" s="166" t="s">
        <v>304</v>
      </c>
    </row>
    <row r="24" spans="1:8" x14ac:dyDescent="0.15">
      <c r="A24" s="108">
        <v>757</v>
      </c>
      <c r="B24" s="140" t="str">
        <f>VLOOKUP(A24,[1]characters!$A:$C,3,FALSE)</f>
        <v>荒龍の復魂 アメノムラクモ</v>
      </c>
      <c r="C24" s="108" t="s">
        <v>196</v>
      </c>
      <c r="D24" s="140"/>
      <c r="E24" s="140" t="str">
        <f>A24&amp;+(COUNTIF(A$2:A24,A24)-1)</f>
        <v>7570</v>
      </c>
      <c r="F24" s="108" t="s">
        <v>197</v>
      </c>
      <c r="G24" s="166" t="s">
        <v>283</v>
      </c>
      <c r="H24" s="168" t="s">
        <v>291</v>
      </c>
    </row>
    <row r="25" spans="1:8" x14ac:dyDescent="0.15">
      <c r="A25" s="108">
        <v>757</v>
      </c>
      <c r="B25" s="140" t="str">
        <f>VLOOKUP(A25,[1]characters!$A:$C,3,FALSE)</f>
        <v>荒龍の復魂 アメノムラクモ</v>
      </c>
      <c r="C25" s="108" t="s">
        <v>198</v>
      </c>
      <c r="D25" s="140"/>
      <c r="E25" s="140" t="str">
        <f>A25&amp;+(COUNTIF(A$2:A25,A25)-1)</f>
        <v>7571</v>
      </c>
      <c r="F25" s="108" t="s">
        <v>197</v>
      </c>
      <c r="G25" s="168" t="s">
        <v>283</v>
      </c>
      <c r="H25" s="166" t="s">
        <v>302</v>
      </c>
    </row>
    <row r="26" spans="1:8" x14ac:dyDescent="0.15">
      <c r="A26" s="108">
        <v>757</v>
      </c>
      <c r="B26" s="140" t="str">
        <f>VLOOKUP(A26,[1]characters!$A:$C,3,FALSE)</f>
        <v>荒龍の復魂 アメノムラクモ</v>
      </c>
      <c r="C26" s="108" t="s">
        <v>198</v>
      </c>
      <c r="D26" s="140"/>
      <c r="E26" s="140" t="str">
        <f>A26&amp;+(COUNTIF(A$2:A26,A26)-1)</f>
        <v>7572</v>
      </c>
      <c r="F26" s="108" t="s">
        <v>197</v>
      </c>
      <c r="G26" s="168" t="s">
        <v>289</v>
      </c>
      <c r="H26" s="166" t="s">
        <v>303</v>
      </c>
    </row>
    <row r="27" spans="1:8" x14ac:dyDescent="0.15">
      <c r="A27" s="108">
        <v>757</v>
      </c>
      <c r="B27" s="140" t="str">
        <f>VLOOKUP(A27,[1]characters!$A:$C,3,FALSE)</f>
        <v>荒龍の復魂 アメノムラクモ</v>
      </c>
      <c r="C27" s="108" t="s">
        <v>198</v>
      </c>
      <c r="D27" s="140"/>
      <c r="E27" s="140" t="str">
        <f>A27&amp;+(COUNTIF(A$2:A27,A27)-1)</f>
        <v>7573</v>
      </c>
      <c r="F27" s="108" t="s">
        <v>197</v>
      </c>
      <c r="G27" s="168" t="s">
        <v>289</v>
      </c>
      <c r="H27" s="166" t="s">
        <v>304</v>
      </c>
    </row>
    <row r="28" spans="1:8" x14ac:dyDescent="0.15">
      <c r="A28" s="108">
        <v>757</v>
      </c>
      <c r="B28" s="140" t="str">
        <f>VLOOKUP(A28,[1]characters!$A:$C,3,FALSE)</f>
        <v>荒龍の復魂 アメノムラクモ</v>
      </c>
      <c r="C28" s="108" t="s">
        <v>198</v>
      </c>
      <c r="D28" s="140"/>
      <c r="E28" s="140" t="str">
        <f>A28&amp;+(COUNTIF(A$2:A28,A28)-1)</f>
        <v>7574</v>
      </c>
      <c r="F28" s="108" t="s">
        <v>197</v>
      </c>
      <c r="G28" s="168" t="s">
        <v>283</v>
      </c>
      <c r="H28" s="166" t="s">
        <v>305</v>
      </c>
    </row>
    <row r="29" spans="1:8" x14ac:dyDescent="0.15">
      <c r="A29" s="108">
        <v>947</v>
      </c>
      <c r="B29" s="140" t="str">
        <f>VLOOKUP(A29,[1]characters!$A:$C,3,FALSE)</f>
        <v>ゲイボルグ</v>
      </c>
      <c r="C29" s="108" t="s">
        <v>196</v>
      </c>
      <c r="D29" s="140"/>
      <c r="E29" s="140" t="str">
        <f>A29&amp;+(COUNTIF(A$2:A29,A29)-1)</f>
        <v>9470</v>
      </c>
      <c r="F29" s="108" t="s">
        <v>197</v>
      </c>
      <c r="G29" s="166" t="s">
        <v>289</v>
      </c>
      <c r="H29" s="168" t="s">
        <v>424</v>
      </c>
    </row>
    <row r="30" spans="1:8" x14ac:dyDescent="0.15">
      <c r="A30" s="108">
        <v>947</v>
      </c>
      <c r="B30" s="140" t="str">
        <f>VLOOKUP(A30,[1]characters!$A:$C,3,FALSE)</f>
        <v>ゲイボルグ</v>
      </c>
      <c r="C30" s="108" t="s">
        <v>198</v>
      </c>
      <c r="D30" s="140"/>
      <c r="E30" s="140" t="str">
        <f>A30&amp;+(COUNTIF(A$2:A30,A30)-1)</f>
        <v>9471</v>
      </c>
      <c r="F30" s="108" t="s">
        <v>197</v>
      </c>
      <c r="G30" s="168" t="s">
        <v>283</v>
      </c>
      <c r="H30" s="166" t="s">
        <v>427</v>
      </c>
    </row>
    <row r="31" spans="1:8" x14ac:dyDescent="0.15">
      <c r="A31" s="108">
        <v>947</v>
      </c>
      <c r="B31" s="140" t="str">
        <f>VLOOKUP(A31,[1]characters!$A:$C,3,FALSE)</f>
        <v>ゲイボルグ</v>
      </c>
      <c r="C31" s="108" t="s">
        <v>198</v>
      </c>
      <c r="D31" s="140"/>
      <c r="E31" s="140" t="str">
        <f>A31&amp;+(COUNTIF(A$2:A31,A31)-1)</f>
        <v>9472</v>
      </c>
      <c r="F31" s="108" t="s">
        <v>197</v>
      </c>
      <c r="G31" s="168" t="s">
        <v>289</v>
      </c>
      <c r="H31" s="166" t="s">
        <v>428</v>
      </c>
    </row>
    <row r="32" spans="1:8" x14ac:dyDescent="0.15">
      <c r="A32" s="108">
        <v>947</v>
      </c>
      <c r="B32" s="140" t="str">
        <f>VLOOKUP(A32,[1]characters!$A:$C,3,FALSE)</f>
        <v>ゲイボルグ</v>
      </c>
      <c r="C32" s="108" t="s">
        <v>198</v>
      </c>
      <c r="D32" s="140"/>
      <c r="E32" s="140" t="str">
        <f>A32&amp;+(COUNTIF(A$2:A32,A32)-1)</f>
        <v>9473</v>
      </c>
      <c r="F32" s="108" t="s">
        <v>197</v>
      </c>
      <c r="G32" s="168" t="s">
        <v>283</v>
      </c>
      <c r="H32" s="166" t="s">
        <v>429</v>
      </c>
    </row>
    <row r="33" spans="1:8" x14ac:dyDescent="0.15">
      <c r="A33" s="108">
        <v>948</v>
      </c>
      <c r="B33" s="140" t="str">
        <f>VLOOKUP(A33,[1]characters!$A:$C,3,FALSE)</f>
        <v>裂雷の必撃鏃 ゲイボルグ</v>
      </c>
      <c r="C33" s="108" t="s">
        <v>196</v>
      </c>
      <c r="D33" s="140"/>
      <c r="E33" s="140" t="str">
        <f>A33&amp;+(COUNTIF(A$2:A33,A33)-1)</f>
        <v>9480</v>
      </c>
      <c r="F33" s="108" t="s">
        <v>197</v>
      </c>
      <c r="G33" s="166" t="s">
        <v>283</v>
      </c>
      <c r="H33" s="168" t="s">
        <v>425</v>
      </c>
    </row>
    <row r="34" spans="1:8" x14ac:dyDescent="0.15">
      <c r="A34" s="108">
        <v>948</v>
      </c>
      <c r="B34" s="140" t="str">
        <f>VLOOKUP(A34,[1]characters!$A:$C,3,FALSE)</f>
        <v>裂雷の必撃鏃 ゲイボルグ</v>
      </c>
      <c r="C34" s="108" t="s">
        <v>198</v>
      </c>
      <c r="D34" s="140"/>
      <c r="E34" s="140" t="str">
        <f>A34&amp;+(COUNTIF(A$2:A34,A34)-1)</f>
        <v>9481</v>
      </c>
      <c r="F34" s="108" t="s">
        <v>197</v>
      </c>
      <c r="G34" s="168" t="s">
        <v>289</v>
      </c>
      <c r="H34" s="166" t="s">
        <v>426</v>
      </c>
    </row>
    <row r="35" spans="1:8" x14ac:dyDescent="0.15">
      <c r="A35" s="108">
        <v>948</v>
      </c>
      <c r="B35" s="140" t="str">
        <f>VLOOKUP(A35,[1]characters!$A:$C,3,FALSE)</f>
        <v>裂雷の必撃鏃 ゲイボルグ</v>
      </c>
      <c r="C35" s="108" t="s">
        <v>198</v>
      </c>
      <c r="D35" s="140"/>
      <c r="E35" s="140" t="str">
        <f>A35&amp;+(COUNTIF(A$2:A35,A35)-1)</f>
        <v>9482</v>
      </c>
      <c r="F35" s="108" t="s">
        <v>197</v>
      </c>
      <c r="G35" s="168" t="s">
        <v>283</v>
      </c>
      <c r="H35" s="166" t="s">
        <v>427</v>
      </c>
    </row>
    <row r="36" spans="1:8" x14ac:dyDescent="0.15">
      <c r="A36" s="108">
        <v>948</v>
      </c>
      <c r="B36" s="140" t="str">
        <f>VLOOKUP(A36,[1]characters!$A:$C,3,FALSE)</f>
        <v>裂雷の必撃鏃 ゲイボルグ</v>
      </c>
      <c r="C36" s="108" t="s">
        <v>198</v>
      </c>
      <c r="D36" s="140"/>
      <c r="E36" s="140" t="str">
        <f>A36&amp;+(COUNTIF(A$2:A36,A36)-1)</f>
        <v>9483</v>
      </c>
      <c r="F36" s="108" t="s">
        <v>197</v>
      </c>
      <c r="G36" s="168" t="s">
        <v>289</v>
      </c>
      <c r="H36" s="166" t="s">
        <v>428</v>
      </c>
    </row>
    <row r="37" spans="1:8" x14ac:dyDescent="0.15">
      <c r="A37" s="108">
        <v>948</v>
      </c>
      <c r="B37" s="140" t="str">
        <f>VLOOKUP(A37,[1]characters!$A:$C,3,FALSE)</f>
        <v>裂雷の必撃鏃 ゲイボルグ</v>
      </c>
      <c r="C37" s="108" t="s">
        <v>198</v>
      </c>
      <c r="D37" s="140"/>
      <c r="E37" s="140" t="str">
        <f>A37&amp;+(COUNTIF(A$2:A37,A37)-1)</f>
        <v>9484</v>
      </c>
      <c r="F37" s="108" t="s">
        <v>197</v>
      </c>
      <c r="G37" s="168" t="s">
        <v>283</v>
      </c>
      <c r="H37" s="166" t="s">
        <v>429</v>
      </c>
    </row>
    <row r="38" spans="1:8" x14ac:dyDescent="0.15">
      <c r="A38" s="108">
        <v>949</v>
      </c>
      <c r="B38" s="140" t="str">
        <f>VLOOKUP(A38,[1]characters!$A:$C,3,FALSE)</f>
        <v>トライデント</v>
      </c>
      <c r="C38" s="108" t="s">
        <v>196</v>
      </c>
      <c r="D38" s="140"/>
      <c r="E38" s="140" t="str">
        <f>A38&amp;+(COUNTIF(A$2:A38,A38)-1)</f>
        <v>9490</v>
      </c>
      <c r="F38" s="108" t="s">
        <v>197</v>
      </c>
      <c r="G38" s="168" t="s">
        <v>283</v>
      </c>
      <c r="H38" s="168" t="s">
        <v>430</v>
      </c>
    </row>
    <row r="39" spans="1:8" x14ac:dyDescent="0.15">
      <c r="A39" s="108">
        <v>949</v>
      </c>
      <c r="B39" s="140" t="str">
        <f>VLOOKUP(A39,[1]characters!$A:$C,3,FALSE)</f>
        <v>トライデント</v>
      </c>
      <c r="C39" s="108" t="s">
        <v>198</v>
      </c>
      <c r="D39" s="140"/>
      <c r="E39" s="140" t="str">
        <f>A39&amp;+(COUNTIF(A$2:A39,A39)-1)</f>
        <v>9491</v>
      </c>
      <c r="F39" s="108" t="s">
        <v>197</v>
      </c>
      <c r="G39" s="168" t="s">
        <v>283</v>
      </c>
      <c r="H39" s="166" t="s">
        <v>432</v>
      </c>
    </row>
    <row r="40" spans="1:8" x14ac:dyDescent="0.15">
      <c r="A40" s="108">
        <v>949</v>
      </c>
      <c r="B40" s="140" t="str">
        <f>VLOOKUP(A40,[1]characters!$A:$C,3,FALSE)</f>
        <v>トライデント</v>
      </c>
      <c r="C40" s="108" t="s">
        <v>198</v>
      </c>
      <c r="D40" s="140"/>
      <c r="E40" s="140" t="str">
        <f>A40&amp;+(COUNTIF(A$2:A40,A40)-1)</f>
        <v>9492</v>
      </c>
      <c r="F40" s="108" t="s">
        <v>197</v>
      </c>
      <c r="G40" s="168" t="s">
        <v>283</v>
      </c>
      <c r="H40" s="166" t="s">
        <v>433</v>
      </c>
    </row>
    <row r="41" spans="1:8" x14ac:dyDescent="0.15">
      <c r="A41" s="108">
        <v>949</v>
      </c>
      <c r="B41" s="140" t="str">
        <f>VLOOKUP(A41,[1]characters!$A:$C,3,FALSE)</f>
        <v>トライデント</v>
      </c>
      <c r="C41" s="108" t="s">
        <v>198</v>
      </c>
      <c r="D41" s="140"/>
      <c r="E41" s="140" t="str">
        <f>A41&amp;+(COUNTIF(A$2:A41,A41)-1)</f>
        <v>9493</v>
      </c>
      <c r="F41" s="108" t="s">
        <v>197</v>
      </c>
      <c r="G41" s="168" t="s">
        <v>289</v>
      </c>
      <c r="H41" s="166" t="s">
        <v>434</v>
      </c>
    </row>
    <row r="42" spans="1:8" x14ac:dyDescent="0.15">
      <c r="A42" s="108">
        <v>950</v>
      </c>
      <c r="B42" s="140" t="str">
        <f>VLOOKUP(A42,[1]characters!$A:$C,3,FALSE)</f>
        <v>海洪操る三叉戟 トライデント</v>
      </c>
      <c r="C42" s="108" t="s">
        <v>196</v>
      </c>
      <c r="D42" s="140"/>
      <c r="E42" s="140" t="str">
        <f>A42&amp;+(COUNTIF(A$2:A42,A42)-1)</f>
        <v>9500</v>
      </c>
      <c r="F42" s="108" t="s">
        <v>197</v>
      </c>
      <c r="G42" s="166" t="s">
        <v>283</v>
      </c>
      <c r="H42" s="168" t="s">
        <v>431</v>
      </c>
    </row>
    <row r="43" spans="1:8" x14ac:dyDescent="0.15">
      <c r="A43" s="108">
        <v>950</v>
      </c>
      <c r="B43" s="140" t="str">
        <f>VLOOKUP(A43,[1]characters!$A:$C,3,FALSE)</f>
        <v>海洪操る三叉戟 トライデント</v>
      </c>
      <c r="C43" s="108" t="s">
        <v>198</v>
      </c>
      <c r="D43" s="140"/>
      <c r="E43" s="140" t="str">
        <f>A43&amp;+(COUNTIF(A$2:A43,A43)-1)</f>
        <v>9501</v>
      </c>
      <c r="F43" s="108" t="s">
        <v>197</v>
      </c>
      <c r="G43" s="168" t="s">
        <v>283</v>
      </c>
      <c r="H43" s="166" t="s">
        <v>432</v>
      </c>
    </row>
    <row r="44" spans="1:8" x14ac:dyDescent="0.15">
      <c r="A44" s="108">
        <v>950</v>
      </c>
      <c r="B44" s="140" t="str">
        <f>VLOOKUP(A44,[1]characters!$A:$C,3,FALSE)</f>
        <v>海洪操る三叉戟 トライデント</v>
      </c>
      <c r="C44" s="108" t="s">
        <v>198</v>
      </c>
      <c r="D44" s="140"/>
      <c r="E44" s="140" t="str">
        <f>A44&amp;+(COUNTIF(A$2:A44,A44)-1)</f>
        <v>9502</v>
      </c>
      <c r="F44" s="108" t="s">
        <v>197</v>
      </c>
      <c r="G44" s="168" t="s">
        <v>283</v>
      </c>
      <c r="H44" s="166" t="s">
        <v>433</v>
      </c>
    </row>
    <row r="45" spans="1:8" x14ac:dyDescent="0.15">
      <c r="A45" s="108">
        <v>950</v>
      </c>
      <c r="B45" s="140" t="str">
        <f>VLOOKUP(A45,[1]characters!$A:$C,3,FALSE)</f>
        <v>海洪操る三叉戟 トライデント</v>
      </c>
      <c r="C45" s="108" t="s">
        <v>198</v>
      </c>
      <c r="D45" s="140"/>
      <c r="E45" s="140" t="str">
        <f>A45&amp;+(COUNTIF(A$2:A45,A45)-1)</f>
        <v>9503</v>
      </c>
      <c r="F45" s="108" t="s">
        <v>197</v>
      </c>
      <c r="G45" s="168" t="s">
        <v>289</v>
      </c>
      <c r="H45" s="166" t="s">
        <v>434</v>
      </c>
    </row>
    <row r="46" spans="1:8" x14ac:dyDescent="0.15">
      <c r="A46" s="108">
        <v>950</v>
      </c>
      <c r="B46" s="140" t="str">
        <f>VLOOKUP(A46,[1]characters!$A:$C,3,FALSE)</f>
        <v>海洪操る三叉戟 トライデント</v>
      </c>
      <c r="C46" s="108" t="s">
        <v>198</v>
      </c>
      <c r="D46" s="140"/>
      <c r="E46" s="140" t="str">
        <f>A46&amp;+(COUNTIF(A$2:A46,A46)-1)</f>
        <v>9504</v>
      </c>
      <c r="F46" s="108" t="s">
        <v>197</v>
      </c>
      <c r="G46" s="168" t="s">
        <v>289</v>
      </c>
      <c r="H46" s="166" t="s">
        <v>435</v>
      </c>
    </row>
    <row r="47" spans="1:8" x14ac:dyDescent="0.15">
      <c r="A47" s="108">
        <v>951</v>
      </c>
      <c r="B47" s="140" t="str">
        <f>VLOOKUP(A47,[1]characters!$A:$C,3,FALSE)</f>
        <v>グングニル</v>
      </c>
      <c r="C47" s="108" t="s">
        <v>196</v>
      </c>
      <c r="D47" s="140"/>
      <c r="E47" s="140" t="str">
        <f>A47&amp;+(COUNTIF(A$2:A47,A47)-1)</f>
        <v>9510</v>
      </c>
      <c r="F47" s="108" t="s">
        <v>197</v>
      </c>
      <c r="G47" s="168" t="s">
        <v>283</v>
      </c>
      <c r="H47" s="168" t="s">
        <v>437</v>
      </c>
    </row>
    <row r="48" spans="1:8" x14ac:dyDescent="0.15">
      <c r="A48" s="108">
        <v>951</v>
      </c>
      <c r="B48" s="140" t="str">
        <f>VLOOKUP(A48,[1]characters!$A:$C,3,FALSE)</f>
        <v>グングニル</v>
      </c>
      <c r="C48" s="108" t="s">
        <v>198</v>
      </c>
      <c r="D48" s="140"/>
      <c r="E48" s="140" t="str">
        <f>A48&amp;+(COUNTIF(A$2:A48,A48)-1)</f>
        <v>9511</v>
      </c>
      <c r="F48" s="108" t="s">
        <v>197</v>
      </c>
      <c r="G48" s="168" t="s">
        <v>283</v>
      </c>
      <c r="H48" s="166" t="s">
        <v>438</v>
      </c>
    </row>
    <row r="49" spans="1:8" x14ac:dyDescent="0.15">
      <c r="A49" s="108">
        <v>951</v>
      </c>
      <c r="B49" s="140" t="str">
        <f>VLOOKUP(A49,[1]characters!$A:$C,3,FALSE)</f>
        <v>グングニル</v>
      </c>
      <c r="C49" s="108" t="s">
        <v>198</v>
      </c>
      <c r="D49" s="140"/>
      <c r="E49" s="140" t="str">
        <f>A49&amp;+(COUNTIF(A$2:A49,A49)-1)</f>
        <v>9512</v>
      </c>
      <c r="F49" s="108" t="s">
        <v>197</v>
      </c>
      <c r="G49" s="168" t="s">
        <v>283</v>
      </c>
      <c r="H49" s="166" t="s">
        <v>439</v>
      </c>
    </row>
    <row r="50" spans="1:8" x14ac:dyDescent="0.15">
      <c r="A50" s="108">
        <v>951</v>
      </c>
      <c r="B50" s="140" t="str">
        <f>VLOOKUP(A50,[1]characters!$A:$C,3,FALSE)</f>
        <v>グングニル</v>
      </c>
      <c r="C50" s="108" t="s">
        <v>198</v>
      </c>
      <c r="D50" s="140"/>
      <c r="E50" s="140" t="str">
        <f>A50&amp;+(COUNTIF(A$2:A50,A50)-1)</f>
        <v>9513</v>
      </c>
      <c r="F50" s="108" t="s">
        <v>197</v>
      </c>
      <c r="G50" s="168" t="s">
        <v>283</v>
      </c>
      <c r="H50" s="166" t="s">
        <v>440</v>
      </c>
    </row>
    <row r="51" spans="1:8" x14ac:dyDescent="0.15">
      <c r="A51" s="108">
        <v>952</v>
      </c>
      <c r="B51" s="140" t="str">
        <f>VLOOKUP(A51,[1]characters!$A:$C,3,FALSE)</f>
        <v>勝臨の機鋭槍 グングニル</v>
      </c>
      <c r="C51" s="108" t="s">
        <v>196</v>
      </c>
      <c r="D51" s="140"/>
      <c r="E51" s="140" t="str">
        <f>A51&amp;+(COUNTIF(A$2:A51,A51)-1)</f>
        <v>9520</v>
      </c>
      <c r="F51" s="108" t="s">
        <v>197</v>
      </c>
      <c r="G51" s="166" t="s">
        <v>283</v>
      </c>
      <c r="H51" s="168" t="s">
        <v>436</v>
      </c>
    </row>
    <row r="52" spans="1:8" x14ac:dyDescent="0.15">
      <c r="A52" s="108">
        <v>952</v>
      </c>
      <c r="B52" s="140" t="str">
        <f>VLOOKUP(A52,[1]characters!$A:$C,3,FALSE)</f>
        <v>勝臨の機鋭槍 グングニル</v>
      </c>
      <c r="C52" s="108" t="s">
        <v>198</v>
      </c>
      <c r="D52" s="140"/>
      <c r="E52" s="140" t="str">
        <f>A52&amp;+(COUNTIF(A$2:A52,A52)-1)</f>
        <v>9521</v>
      </c>
      <c r="F52" s="108" t="s">
        <v>197</v>
      </c>
      <c r="G52" s="168" t="s">
        <v>283</v>
      </c>
      <c r="H52" s="166" t="s">
        <v>438</v>
      </c>
    </row>
    <row r="53" spans="1:8" x14ac:dyDescent="0.15">
      <c r="A53" s="108">
        <v>952</v>
      </c>
      <c r="B53" s="140" t="str">
        <f>VLOOKUP(A53,[1]characters!$A:$C,3,FALSE)</f>
        <v>勝臨の機鋭槍 グングニル</v>
      </c>
      <c r="C53" s="108" t="s">
        <v>198</v>
      </c>
      <c r="D53" s="140"/>
      <c r="E53" s="140" t="str">
        <f>A53&amp;+(COUNTIF(A$2:A53,A53)-1)</f>
        <v>9522</v>
      </c>
      <c r="F53" s="108" t="s">
        <v>197</v>
      </c>
      <c r="G53" s="168" t="s">
        <v>283</v>
      </c>
      <c r="H53" s="166" t="s">
        <v>439</v>
      </c>
    </row>
    <row r="54" spans="1:8" x14ac:dyDescent="0.15">
      <c r="A54" s="108">
        <v>952</v>
      </c>
      <c r="B54" s="140" t="str">
        <f>VLOOKUP(A54,[1]characters!$A:$C,3,FALSE)</f>
        <v>勝臨の機鋭槍 グングニル</v>
      </c>
      <c r="C54" s="108" t="s">
        <v>198</v>
      </c>
      <c r="D54" s="140"/>
      <c r="E54" s="140" t="str">
        <f>A54&amp;+(COUNTIF(A$2:A54,A54)-1)</f>
        <v>9523</v>
      </c>
      <c r="F54" s="108" t="s">
        <v>197</v>
      </c>
      <c r="G54" s="168" t="s">
        <v>283</v>
      </c>
      <c r="H54" s="166" t="s">
        <v>440</v>
      </c>
    </row>
    <row r="55" spans="1:8" x14ac:dyDescent="0.15">
      <c r="A55" s="108">
        <v>952</v>
      </c>
      <c r="B55" s="140" t="str">
        <f>VLOOKUP(A55,[1]characters!$A:$C,3,FALSE)</f>
        <v>勝臨の機鋭槍 グングニル</v>
      </c>
      <c r="C55" s="108" t="s">
        <v>198</v>
      </c>
      <c r="D55" s="140"/>
      <c r="E55" s="140" t="str">
        <f>A55&amp;+(COUNTIF(A$2:A55,A55)-1)</f>
        <v>9524</v>
      </c>
      <c r="F55" s="108" t="s">
        <v>197</v>
      </c>
      <c r="G55" s="168" t="s">
        <v>283</v>
      </c>
      <c r="H55" s="166" t="s">
        <v>441</v>
      </c>
    </row>
  </sheetData>
  <phoneticPr fontId="22"/>
  <dataValidations count="2">
    <dataValidation type="list" allowBlank="1" showInputMessage="1" showErrorMessage="1" sqref="G2:G55">
      <formula1>"maru,giza,kumo"</formula1>
    </dataValidation>
    <dataValidation type="list" allowBlank="1" showInputMessage="1" showErrorMessage="1" sqref="C2:C55">
      <formula1>"skill,cskill"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 enableFormatConditionsCalculation="0">
    <tabColor rgb="FFFF0000"/>
    <outlinePr summaryBelow="0" summaryRight="0"/>
  </sheetPr>
  <dimension ref="A1:W7"/>
  <sheetViews>
    <sheetView showGridLines="0" workbookViewId="0">
      <pane xSplit="9" ySplit="1" topLeftCell="P2" activePane="bottomRight" state="frozen"/>
      <selection pane="topRight" activeCell="J1" sqref="J1"/>
      <selection pane="bottomLeft" activeCell="A3" sqref="A3"/>
      <selection pane="bottomRight" activeCell="Q8" sqref="Q8"/>
    </sheetView>
  </sheetViews>
  <sheetFormatPr baseColWidth="12" defaultColWidth="8.83203125" defaultRowHeight="21" customHeight="1" outlineLevelCol="1" x14ac:dyDescent="0.15"/>
  <cols>
    <col min="1" max="1" width="12.83203125" style="12" customWidth="1"/>
    <col min="2" max="2" width="21.5" style="13" bestFit="1" customWidth="1" collapsed="1"/>
    <col min="3" max="3" width="23.6640625" style="13" hidden="1" customWidth="1" outlineLevel="1"/>
    <col min="4" max="4" width="8.6640625" style="13" hidden="1" customWidth="1" outlineLevel="1"/>
    <col min="5" max="5" width="8" style="13" hidden="1" customWidth="1" outlineLevel="1"/>
    <col min="6" max="6" width="7.1640625" style="13" hidden="1" customWidth="1" outlineLevel="1"/>
    <col min="7" max="7" width="9.6640625" style="13" bestFit="1" customWidth="1"/>
    <col min="8" max="8" width="13.6640625" style="13" bestFit="1" customWidth="1"/>
    <col min="9" max="9" width="10.5" style="13" bestFit="1" customWidth="1" collapsed="1"/>
    <col min="10" max="10" width="22" style="13" hidden="1" customWidth="1" outlineLevel="1"/>
    <col min="11" max="11" width="14.1640625" style="13" hidden="1" customWidth="1" outlineLevel="1"/>
    <col min="12" max="12" width="12.33203125" style="13" hidden="1" customWidth="1" outlineLevel="1"/>
    <col min="13" max="15" width="13.6640625" style="13" hidden="1" customWidth="1" outlineLevel="1"/>
    <col min="16" max="16" width="15.1640625" style="13" customWidth="1"/>
    <col min="17" max="17" width="20.1640625" style="12" bestFit="1" customWidth="1"/>
    <col min="18" max="18" width="18.83203125" style="13" bestFit="1" customWidth="1"/>
    <col min="19" max="20" width="18.83203125" style="13" customWidth="1"/>
    <col min="21" max="21" width="15.1640625" style="13" customWidth="1"/>
    <col min="22" max="16384" width="8.83203125" style="12"/>
  </cols>
  <sheetData>
    <row r="1" spans="1:23" ht="21" customHeight="1" x14ac:dyDescent="0.15">
      <c r="A1" s="171" t="s">
        <v>308</v>
      </c>
      <c r="B1" s="182" t="s">
        <v>40</v>
      </c>
      <c r="C1" s="172" t="s">
        <v>309</v>
      </c>
      <c r="D1" s="172" t="s">
        <v>310</v>
      </c>
      <c r="E1" s="172" t="s">
        <v>311</v>
      </c>
      <c r="F1" s="172" t="s">
        <v>312</v>
      </c>
      <c r="G1" s="172" t="s">
        <v>1</v>
      </c>
      <c r="H1" s="183" t="s">
        <v>19</v>
      </c>
      <c r="I1" s="172" t="s">
        <v>0</v>
      </c>
      <c r="J1" s="173" t="s">
        <v>313</v>
      </c>
      <c r="K1" s="172" t="s">
        <v>40</v>
      </c>
      <c r="L1" s="174" t="s">
        <v>49</v>
      </c>
      <c r="M1" s="174" t="s">
        <v>48</v>
      </c>
      <c r="N1" s="174" t="s">
        <v>314</v>
      </c>
      <c r="O1" s="174" t="s">
        <v>315</v>
      </c>
      <c r="P1" s="175" t="s">
        <v>316</v>
      </c>
      <c r="Q1" s="176" t="s">
        <v>317</v>
      </c>
      <c r="R1" s="177" t="s">
        <v>40</v>
      </c>
      <c r="S1" s="175" t="s">
        <v>38</v>
      </c>
      <c r="T1" s="177" t="s">
        <v>318</v>
      </c>
      <c r="U1" s="175" t="s">
        <v>319</v>
      </c>
    </row>
    <row r="2" spans="1:23" ht="21" customHeight="1" x14ac:dyDescent="0.15">
      <c r="A2" s="109">
        <v>752</v>
      </c>
      <c r="B2" s="5" t="str">
        <f ca="1">VLOOKUP($A2,OFFSET([1]characters!$A$1,0,0,COUNTA([1]characters!$A:$A),MATCH(B$1,[1]characters!$1:$1,0)-MATCH($A$1,[1]characters!$1:$1,0)+1),MATCH(B$1,[1]characters!$1:$1,0)-MATCH($A$1,[1]characters!$1:$1,0)+1,FALSE)</f>
        <v>ムラマサ</v>
      </c>
      <c r="C2" s="5" t="str">
        <f ca="1">VLOOKUP($A2,OFFSET([1]characters!$A$1,0,0,COUNTA([1]characters!$A:$A),MATCH(C$1,[1]characters!$1:$1,0)-MATCH($A$1,[1]characters!$1:$1,0)+1),MATCH(C$1,[1]characters!$1:$1,0)-MATCH($A$1,[1]characters!$1:$1,0)+1,FALSE)</f>
        <v>イベント:ランキング01</v>
      </c>
      <c r="D2" s="5" t="str">
        <f ca="1">VLOOKUP($A2,OFFSET([1]characters!$A$1,0,0,COUNTA([1]characters!$A:$A),MATCH(D$1,[1]characters!$1:$1,0)-MATCH($A$1,[1]characters!$1:$1,0)+1),MATCH(D$1,[1]characters!$1:$1,0)-MATCH($A$1,[1]characters!$1:$1,0)+1,FALSE)</f>
        <v>執行者</v>
      </c>
      <c r="E2" s="5" t="str">
        <f ca="1">VLOOKUP($A2,OFFSET([1]characters!$A$1,0,0,COUNTA([1]characters!$A:$A),MATCH(E$1,[1]characters!$1:$1,0)-MATCH($A$1,[1]characters!$1:$1,0)+1),MATCH(E$1,[1]characters!$1:$1,0)-MATCH($A$1,[1]characters!$1:$1,0)+1,FALSE)</f>
        <v>格好いい</v>
      </c>
      <c r="F2" s="5" t="str">
        <f ca="1">VLOOKUP($A2,OFFSET([1]characters!$A$1,0,0,COUNTA([1]characters!$A:$A),MATCH(F$1,[1]characters!$1:$1,0)-MATCH($A$1,[1]characters!$1:$1,0)+1),MATCH(F$1,[1]characters!$1:$1,0)-MATCH($A$1,[1]characters!$1:$1,0)+1,FALSE)</f>
        <v>男性</v>
      </c>
      <c r="G2" s="5">
        <f ca="1">VLOOKUP($A2,OFFSET([1]characters!$A$1,0,0,COUNTA([1]characters!$A:$A),MATCH(G$1,[1]characters!$1:$1,0)-MATCH($A$1,[1]characters!$1:$1,0)+1),MATCH(G$1,[1]characters!$1:$1,0)-MATCH($A$1,[1]characters!$1:$1,0)+1,FALSE)</f>
        <v>5</v>
      </c>
      <c r="H2" s="5" t="str">
        <f ca="1">VLOOKUP($A2,OFFSET([1]characters!$A$1,0,0,COUNTA([1]characters!$A:$A),MATCH(H$1,[1]characters!$1:$1,0)-MATCH($A$1,[1]characters!$1:$1,0)+1),MATCH(H$1,[1]characters!$1:$1,0)-MATCH($A$1,[1]characters!$1:$1,0)+1,FALSE)</f>
        <v>DropWizSSS</v>
      </c>
      <c r="I2" s="5" t="str">
        <f ca="1">VLOOKUP($A2,OFFSET([1]characters!$A$1,0,0,COUNTA([1]characters!$A:$A),MATCH(I$1,[1]characters!$1:$1,0)-MATCH($A$1,[1]characters!$1:$1,0)+1),MATCH(I$1,[1]characters!$1:$1,0)-MATCH($A$1,[1]characters!$1:$1,0)+1,FALSE)</f>
        <v>red</v>
      </c>
      <c r="J2" s="5" t="str">
        <f ca="1">VLOOKUP($A2,OFFSET([1]characters!$A$1,0,0,COUNTA([1]characters!$A:$A),MATCH(J$1,[1]characters!$1:$1,0)-MATCH($A$1,[1]characters!$1:$1,0)+1),MATCH(J$1,[1]characters!$1:$1,0)-MATCH($A$1,[1]characters!$1:$1,0)+1,FALSE)</f>
        <v>none</v>
      </c>
      <c r="K2" s="5" t="str">
        <f ca="1">VLOOKUP(J2,[1]character_tribe_i18n!$A:$H,3,FALSE)</f>
        <v>種族なし</v>
      </c>
      <c r="L2" s="11" t="e">
        <f>VLOOKUP(#REF!,[1]character_tribe_i18n!$A:$H,4,FALSE)</f>
        <v>#REF!</v>
      </c>
      <c r="M2" s="11" t="e">
        <f>VLOOKUP(#REF!,[1]character_tribe_i18n!$A:$H,5,FALSE)</f>
        <v>#REF!</v>
      </c>
      <c r="N2" s="11" t="e">
        <f>VLOOKUP(#REF!,[1]character_tribe_i18n!$A:$H,6,FALSE)</f>
        <v>#REF!</v>
      </c>
      <c r="O2" s="11" t="e">
        <f>VLOOKUP(#REF!,[1]character_tribe_i18n!$A:$H,7,FALSE)</f>
        <v>#REF!</v>
      </c>
      <c r="P2" s="169" t="s">
        <v>320</v>
      </c>
      <c r="Q2" s="108">
        <v>753</v>
      </c>
      <c r="R2" s="5" t="str">
        <f ca="1">IF(Q2="NULL","",VLOOKUP($Q2,OFFSET([1]characters!$A$1,0,0,COUNTA([1]characters!$A:$A),MATCH(R$1,[1]characters!$1:$1,0)-MATCH($A$1,[1]characters!$1:$1,0)+1),MATCH(R$1,[1]characters!$1:$1,0)-MATCH($A$1,[1]characters!$1:$1,0)+1,FALSE))</f>
        <v>皆斬の虐器 ムラマサ</v>
      </c>
      <c r="S2" s="5">
        <f t="shared" ref="S2:S7" ca="1" si="0">IF(ISNA(MATCH(A2,Q:Q,0)),A2,INDIRECT(ADDRESS(MATCH(A2,Q:Q,0),COLUMN())))</f>
        <v>752</v>
      </c>
      <c r="T2" s="5" t="str">
        <f ca="1">VLOOKUP($S2,OFFSET([1]characters!$A$1,0,0,COUNTA([1]characters!$A:$A),MATCH(T$1,[1]characters!$1:$1,0)-MATCH($A$1,[1]characters!$1:$1,0)+1),MATCH(T$1,[1]characters!$1:$1,0)-MATCH($A$1,[1]characters!$1:$1,0)+1,FALSE)</f>
        <v>ムラマサ</v>
      </c>
      <c r="U2" s="11">
        <f ca="1">IF(Q2="NULL","NULL",VLOOKUP(G2,ビット!$A$2:$B$7,2))</f>
        <v>200000</v>
      </c>
      <c r="V2">
        <v>200000</v>
      </c>
      <c r="W2" s="12" t="str">
        <f t="shared" ref="W2:W4" ca="1" si="1">IF(U2=V2,"TRUE","FALSE")</f>
        <v>TRUE</v>
      </c>
    </row>
    <row r="3" spans="1:23" ht="21" customHeight="1" x14ac:dyDescent="0.15">
      <c r="A3" s="109">
        <v>754</v>
      </c>
      <c r="B3" s="5" t="str">
        <f ca="1">VLOOKUP($A3,OFFSET([1]characters!$A$1,0,0,COUNTA([1]characters!$A:$A),MATCH(B$1,[1]characters!$1:$1,0)-MATCH($A$1,[1]characters!$1:$1,0)+1),MATCH(B$1,[1]characters!$1:$1,0)-MATCH($A$1,[1]characters!$1:$1,0)+1,FALSE)</f>
        <v>マサムネ</v>
      </c>
      <c r="C3" s="5" t="str">
        <f ca="1">VLOOKUP($A3,OFFSET([1]characters!$A$1,0,0,COUNTA([1]characters!$A:$A),MATCH(C$1,[1]characters!$1:$1,0)-MATCH($A$1,[1]characters!$1:$1,0)+1),MATCH(C$1,[1]characters!$1:$1,0)-MATCH($A$1,[1]characters!$1:$1,0)+1,FALSE)</f>
        <v>イベント:ランキング01</v>
      </c>
      <c r="D3" s="5" t="str">
        <f ca="1">VLOOKUP($A3,OFFSET([1]characters!$A$1,0,0,COUNTA([1]characters!$A:$A),MATCH(D$1,[1]characters!$1:$1,0)-MATCH($A$1,[1]characters!$1:$1,0)+1),MATCH(D$1,[1]characters!$1:$1,0)-MATCH($A$1,[1]characters!$1:$1,0)+1,FALSE)</f>
        <v>執行者</v>
      </c>
      <c r="E3" s="5" t="str">
        <f ca="1">VLOOKUP($A3,OFFSET([1]characters!$A$1,0,0,COUNTA([1]characters!$A:$A),MATCH(E$1,[1]characters!$1:$1,0)-MATCH($A$1,[1]characters!$1:$1,0)+1),MATCH(E$1,[1]characters!$1:$1,0)-MATCH($A$1,[1]characters!$1:$1,0)+1,FALSE)</f>
        <v>格好いい</v>
      </c>
      <c r="F3" s="5" t="str">
        <f ca="1">VLOOKUP($A3,OFFSET([1]characters!$A$1,0,0,COUNTA([1]characters!$A:$A),MATCH(F$1,[1]characters!$1:$1,0)-MATCH($A$1,[1]characters!$1:$1,0)+1),MATCH(F$1,[1]characters!$1:$1,0)-MATCH($A$1,[1]characters!$1:$1,0)+1,FALSE)</f>
        <v>男性</v>
      </c>
      <c r="G3" s="5">
        <f ca="1">VLOOKUP($A3,OFFSET([1]characters!$A$1,0,0,COUNTA([1]characters!$A:$A),MATCH(G$1,[1]characters!$1:$1,0)-MATCH($A$1,[1]characters!$1:$1,0)+1),MATCH(G$1,[1]characters!$1:$1,0)-MATCH($A$1,[1]characters!$1:$1,0)+1,FALSE)</f>
        <v>5</v>
      </c>
      <c r="H3" s="5" t="str">
        <f ca="1">VLOOKUP($A3,OFFSET([1]characters!$A$1,0,0,COUNTA([1]characters!$A:$A),MATCH(H$1,[1]characters!$1:$1,0)-MATCH($A$1,[1]characters!$1:$1,0)+1),MATCH(H$1,[1]characters!$1:$1,0)-MATCH($A$1,[1]characters!$1:$1,0)+1,FALSE)</f>
        <v>DropWizSSS</v>
      </c>
      <c r="I3" s="5" t="str">
        <f ca="1">VLOOKUP($A3,OFFSET([1]characters!$A$1,0,0,COUNTA([1]characters!$A:$A),MATCH(I$1,[1]characters!$1:$1,0)-MATCH($A$1,[1]characters!$1:$1,0)+1),MATCH(I$1,[1]characters!$1:$1,0)-MATCH($A$1,[1]characters!$1:$1,0)+1,FALSE)</f>
        <v>green</v>
      </c>
      <c r="J3" s="5" t="str">
        <f ca="1">VLOOKUP($A3,OFFSET([1]characters!$A$1,0,0,COUNTA([1]characters!$A:$A),MATCH(J$1,[1]characters!$1:$1,0)-MATCH($A$1,[1]characters!$1:$1,0)+1),MATCH(J$1,[1]characters!$1:$1,0)-MATCH($A$1,[1]characters!$1:$1,0)+1,FALSE)</f>
        <v>none</v>
      </c>
      <c r="K3" s="5" t="str">
        <f ca="1">VLOOKUP(J3,[1]character_tribe_i18n!$A:$H,3,FALSE)</f>
        <v>種族なし</v>
      </c>
      <c r="L3" s="11" t="e">
        <f>VLOOKUP(#REF!,[1]character_tribe_i18n!$A:$H,4,FALSE)</f>
        <v>#REF!</v>
      </c>
      <c r="M3" s="11" t="e">
        <f>VLOOKUP(#REF!,[1]character_tribe_i18n!$A:$H,5,FALSE)</f>
        <v>#REF!</v>
      </c>
      <c r="N3" s="11" t="e">
        <f>VLOOKUP(#REF!,[1]character_tribe_i18n!$A:$H,6,FALSE)</f>
        <v>#REF!</v>
      </c>
      <c r="O3" s="11" t="e">
        <f>VLOOKUP(#REF!,[1]character_tribe_i18n!$A:$H,7,FALSE)</f>
        <v>#REF!</v>
      </c>
      <c r="P3" s="169" t="s">
        <v>320</v>
      </c>
      <c r="Q3" s="108">
        <v>755</v>
      </c>
      <c r="R3" s="5" t="str">
        <f ca="1">IF(Q3="NULL","",VLOOKUP($Q3,OFFSET([1]characters!$A$1,0,0,COUNTA([1]characters!$A:$A),MATCH(R$1,[1]characters!$1:$1,0)-MATCH($A$1,[1]characters!$1:$1,0)+1),MATCH(R$1,[1]characters!$1:$1,0)-MATCH($A$1,[1]characters!$1:$1,0)+1,FALSE))</f>
        <v>究覇の一剣 マサムネ</v>
      </c>
      <c r="S3" s="5">
        <f t="shared" ca="1" si="0"/>
        <v>754</v>
      </c>
      <c r="T3" s="5" t="str">
        <f ca="1">VLOOKUP($S3,OFFSET([1]characters!$A$1,0,0,COUNTA([1]characters!$A:$A),MATCH(T$1,[1]characters!$1:$1,0)-MATCH($A$1,[1]characters!$1:$1,0)+1),MATCH(T$1,[1]characters!$1:$1,0)-MATCH($A$1,[1]characters!$1:$1,0)+1,FALSE)</f>
        <v>マサムネ</v>
      </c>
      <c r="U3" s="11">
        <f ca="1">IF(Q3="NULL","NULL",VLOOKUP(G3,ビット!$A$2:$B$7,2))</f>
        <v>200000</v>
      </c>
      <c r="V3">
        <v>200000</v>
      </c>
      <c r="W3" s="12" t="str">
        <f t="shared" ca="1" si="1"/>
        <v>TRUE</v>
      </c>
    </row>
    <row r="4" spans="1:23" ht="21" customHeight="1" x14ac:dyDescent="0.15">
      <c r="A4" s="109">
        <v>756</v>
      </c>
      <c r="B4" s="5" t="str">
        <f ca="1">VLOOKUP($A4,OFFSET([1]characters!$A$1,0,0,COUNTA([1]characters!$A:$A),MATCH(B$1,[1]characters!$1:$1,0)-MATCH($A$1,[1]characters!$1:$1,0)+1),MATCH(B$1,[1]characters!$1:$1,0)-MATCH($A$1,[1]characters!$1:$1,0)+1,FALSE)</f>
        <v>アメノムラクモ</v>
      </c>
      <c r="C4" s="5" t="str">
        <f ca="1">VLOOKUP($A4,OFFSET([1]characters!$A$1,0,0,COUNTA([1]characters!$A:$A),MATCH(C$1,[1]characters!$1:$1,0)-MATCH($A$1,[1]characters!$1:$1,0)+1),MATCH(C$1,[1]characters!$1:$1,0)-MATCH($A$1,[1]characters!$1:$1,0)+1,FALSE)</f>
        <v>イベント:ランキング01</v>
      </c>
      <c r="D4" s="5" t="str">
        <f ca="1">VLOOKUP($A4,OFFSET([1]characters!$A$1,0,0,COUNTA([1]characters!$A:$A),MATCH(D$1,[1]characters!$1:$1,0)-MATCH($A$1,[1]characters!$1:$1,0)+1),MATCH(D$1,[1]characters!$1:$1,0)-MATCH($A$1,[1]characters!$1:$1,0)+1,FALSE)</f>
        <v>執行者</v>
      </c>
      <c r="E4" s="5" t="str">
        <f ca="1">VLOOKUP($A4,OFFSET([1]characters!$A$1,0,0,COUNTA([1]characters!$A:$A),MATCH(E$1,[1]characters!$1:$1,0)-MATCH($A$1,[1]characters!$1:$1,0)+1),MATCH(E$1,[1]characters!$1:$1,0)-MATCH($A$1,[1]characters!$1:$1,0)+1,FALSE)</f>
        <v>格好いい</v>
      </c>
      <c r="F4" s="5" t="str">
        <f ca="1">VLOOKUP($A4,OFFSET([1]characters!$A$1,0,0,COUNTA([1]characters!$A:$A),MATCH(F$1,[1]characters!$1:$1,0)-MATCH($A$1,[1]characters!$1:$1,0)+1),MATCH(F$1,[1]characters!$1:$1,0)-MATCH($A$1,[1]characters!$1:$1,0)+1,FALSE)</f>
        <v>男性</v>
      </c>
      <c r="G4" s="5">
        <f ca="1">VLOOKUP($A4,OFFSET([1]characters!$A$1,0,0,COUNTA([1]characters!$A:$A),MATCH(G$1,[1]characters!$1:$1,0)-MATCH($A$1,[1]characters!$1:$1,0)+1),MATCH(G$1,[1]characters!$1:$1,0)-MATCH($A$1,[1]characters!$1:$1,0)+1,FALSE)</f>
        <v>5</v>
      </c>
      <c r="H4" s="5" t="str">
        <f ca="1">VLOOKUP($A4,OFFSET([1]characters!$A$1,0,0,COUNTA([1]characters!$A:$A),MATCH(H$1,[1]characters!$1:$1,0)-MATCH($A$1,[1]characters!$1:$1,0)+1),MATCH(H$1,[1]characters!$1:$1,0)-MATCH($A$1,[1]characters!$1:$1,0)+1,FALSE)</f>
        <v>DropWizSSS</v>
      </c>
      <c r="I4" s="5" t="str">
        <f ca="1">VLOOKUP($A4,OFFSET([1]characters!$A$1,0,0,COUNTA([1]characters!$A:$A),MATCH(I$1,[1]characters!$1:$1,0)-MATCH($A$1,[1]characters!$1:$1,0)+1),MATCH(I$1,[1]characters!$1:$1,0)-MATCH($A$1,[1]characters!$1:$1,0)+1,FALSE)</f>
        <v>blue</v>
      </c>
      <c r="J4" s="5" t="str">
        <f ca="1">VLOOKUP($A4,OFFSET([1]characters!$A$1,0,0,COUNTA([1]characters!$A:$A),MATCH(J$1,[1]characters!$1:$1,0)-MATCH($A$1,[1]characters!$1:$1,0)+1),MATCH(J$1,[1]characters!$1:$1,0)-MATCH($A$1,[1]characters!$1:$1,0)+1,FALSE)</f>
        <v>none</v>
      </c>
      <c r="K4" s="5" t="str">
        <f ca="1">VLOOKUP(J4,[1]character_tribe_i18n!$A:$H,3,FALSE)</f>
        <v>種族なし</v>
      </c>
      <c r="L4" s="11" t="e">
        <f>VLOOKUP(#REF!,[1]character_tribe_i18n!$A:$H,4,FALSE)</f>
        <v>#REF!</v>
      </c>
      <c r="M4" s="11" t="e">
        <f>VLOOKUP(#REF!,[1]character_tribe_i18n!$A:$H,5,FALSE)</f>
        <v>#REF!</v>
      </c>
      <c r="N4" s="11" t="e">
        <f>VLOOKUP(#REF!,[1]character_tribe_i18n!$A:$H,6,FALSE)</f>
        <v>#REF!</v>
      </c>
      <c r="O4" s="11" t="e">
        <f>VLOOKUP(#REF!,[1]character_tribe_i18n!$A:$H,7,FALSE)</f>
        <v>#REF!</v>
      </c>
      <c r="P4" s="169" t="s">
        <v>320</v>
      </c>
      <c r="Q4" s="108">
        <v>757</v>
      </c>
      <c r="R4" s="5" t="str">
        <f ca="1">IF(Q4="NULL","",VLOOKUP($Q4,OFFSET([1]characters!$A$1,0,0,COUNTA([1]characters!$A:$A),MATCH(R$1,[1]characters!$1:$1,0)-MATCH($A$1,[1]characters!$1:$1,0)+1),MATCH(R$1,[1]characters!$1:$1,0)-MATCH($A$1,[1]characters!$1:$1,0)+1,FALSE))</f>
        <v>荒龍の復魂 アメノムラクモ</v>
      </c>
      <c r="S4" s="5">
        <f t="shared" ca="1" si="0"/>
        <v>756</v>
      </c>
      <c r="T4" s="5" t="str">
        <f ca="1">VLOOKUP($S4,OFFSET([1]characters!$A$1,0,0,COUNTA([1]characters!$A:$A),MATCH(T$1,[1]characters!$1:$1,0)-MATCH($A$1,[1]characters!$1:$1,0)+1),MATCH(T$1,[1]characters!$1:$1,0)-MATCH($A$1,[1]characters!$1:$1,0)+1,FALSE)</f>
        <v>アメノムラクモ</v>
      </c>
      <c r="U4" s="11">
        <f ca="1">IF(Q4="NULL","NULL",VLOOKUP(G4,ビット!$A$2:$B$7,2))</f>
        <v>200000</v>
      </c>
      <c r="V4">
        <v>200000</v>
      </c>
      <c r="W4" s="12" t="str">
        <f t="shared" ca="1" si="1"/>
        <v>TRUE</v>
      </c>
    </row>
    <row r="5" spans="1:23" ht="21" customHeight="1" x14ac:dyDescent="0.15">
      <c r="A5" s="109">
        <v>947</v>
      </c>
      <c r="B5" s="5" t="str">
        <f ca="1">VLOOKUP($A5,OFFSET([1]characters!$A$1,0,0,COUNTA([1]characters!$A:$A),MATCH(B$1,[1]characters!$1:$1,0)-MATCH($A$1,[1]characters!$1:$1,0)+1),MATCH(B$1,[1]characters!$1:$1,0)-MATCH($A$1,[1]characters!$1:$1,0)+1,FALSE)</f>
        <v>ゲイボルグ</v>
      </c>
      <c r="C5" s="5" t="str">
        <f ca="1">VLOOKUP($A5,OFFSET([1]characters!$A$1,0,0,COUNTA([1]characters!$A:$A),MATCH(C$1,[1]characters!$1:$1,0)-MATCH($A$1,[1]characters!$1:$1,0)+1),MATCH(C$1,[1]characters!$1:$1,0)-MATCH($A$1,[1]characters!$1:$1,0)+1,FALSE)</f>
        <v>各属性相性良3・黄・R551</v>
      </c>
      <c r="D5" s="5" t="str">
        <f ca="1">VLOOKUP($A5,OFFSET([1]characters!$A$1,0,0,COUNTA([1]characters!$A:$A),MATCH(D$1,[1]characters!$1:$1,0)-MATCH($A$1,[1]characters!$1:$1,0)+1),MATCH(D$1,[1]characters!$1:$1,0)-MATCH($A$1,[1]characters!$1:$1,0)+1,FALSE)</f>
        <v>執行者</v>
      </c>
      <c r="E5" s="5" t="str">
        <f ca="1">VLOOKUP($A5,OFFSET([1]characters!$A$1,0,0,COUNTA([1]characters!$A:$A),MATCH(E$1,[1]characters!$1:$1,0)-MATCH($A$1,[1]characters!$1:$1,0)+1),MATCH(E$1,[1]characters!$1:$1,0)-MATCH($A$1,[1]characters!$1:$1,0)+1,FALSE)</f>
        <v>格好いい</v>
      </c>
      <c r="F5" s="5" t="str">
        <f ca="1">VLOOKUP($A5,OFFSET([1]characters!$A$1,0,0,COUNTA([1]characters!$A:$A),MATCH(F$1,[1]characters!$1:$1,0)-MATCH($A$1,[1]characters!$1:$1,0)+1),MATCH(F$1,[1]characters!$1:$1,0)-MATCH($A$1,[1]characters!$1:$1,0)+1,FALSE)</f>
        <v>男性</v>
      </c>
      <c r="G5" s="5">
        <f ca="1">VLOOKUP($A5,OFFSET([1]characters!$A$1,0,0,COUNTA([1]characters!$A:$A),MATCH(G$1,[1]characters!$1:$1,0)-MATCH($A$1,[1]characters!$1:$1,0)+1),MATCH(G$1,[1]characters!$1:$1,0)-MATCH($A$1,[1]characters!$1:$1,0)+1,FALSE)</f>
        <v>5</v>
      </c>
      <c r="H5" s="5" t="str">
        <f ca="1">VLOOKUP($A5,OFFSET([1]characters!$A$1,0,0,COUNTA([1]characters!$A:$A),MATCH(H$1,[1]characters!$1:$1,0)-MATCH($A$1,[1]characters!$1:$1,0)+1),MATCH(H$1,[1]characters!$1:$1,0)-MATCH($A$1,[1]characters!$1:$1,0)+1,FALSE)</f>
        <v>DropWizSSS</v>
      </c>
      <c r="I5" s="5" t="str">
        <f ca="1">VLOOKUP($A5,OFFSET([1]characters!$A$1,0,0,COUNTA([1]characters!$A:$A),MATCH(I$1,[1]characters!$1:$1,0)-MATCH($A$1,[1]characters!$1:$1,0)+1),MATCH(I$1,[1]characters!$1:$1,0)-MATCH($A$1,[1]characters!$1:$1,0)+1,FALSE)</f>
        <v>green</v>
      </c>
      <c r="J5" s="5" t="str">
        <f ca="1">VLOOKUP($A5,OFFSET([1]characters!$A$1,0,0,COUNTA([1]characters!$A:$A),MATCH(J$1,[1]characters!$1:$1,0)-MATCH($A$1,[1]characters!$1:$1,0)+1),MATCH(J$1,[1]characters!$1:$1,0)-MATCH($A$1,[1]characters!$1:$1,0)+1,FALSE)</f>
        <v>none</v>
      </c>
      <c r="K5" s="5" t="str">
        <f ca="1">VLOOKUP(J5,[1]character_tribe_i18n!$A:$H,3,FALSE)</f>
        <v>種族なし</v>
      </c>
      <c r="L5" s="11" t="e">
        <f>VLOOKUP(#REF!,[1]character_tribe_i18n!$A:$H,4,FALSE)</f>
        <v>#REF!</v>
      </c>
      <c r="M5" s="11" t="e">
        <f>VLOOKUP(#REF!,[1]character_tribe_i18n!$A:$H,5,FALSE)</f>
        <v>#REF!</v>
      </c>
      <c r="N5" s="11" t="e">
        <f>VLOOKUP(#REF!,[1]character_tribe_i18n!$A:$H,6,FALSE)</f>
        <v>#REF!</v>
      </c>
      <c r="O5" s="11" t="e">
        <f>VLOOKUP(#REF!,[1]character_tribe_i18n!$A:$H,7,FALSE)</f>
        <v>#REF!</v>
      </c>
      <c r="P5" s="169" t="s">
        <v>320</v>
      </c>
      <c r="Q5" s="108">
        <v>948</v>
      </c>
      <c r="R5" s="5" t="str">
        <f ca="1">IF(Q5="NULL","",VLOOKUP($Q5,OFFSET([1]characters!$A$1,0,0,COUNTA([1]characters!$A:$A),MATCH(R$1,[1]characters!$1:$1,0)-MATCH($A$1,[1]characters!$1:$1,0)+1),MATCH(R$1,[1]characters!$1:$1,0)-MATCH($A$1,[1]characters!$1:$1,0)+1,FALSE))</f>
        <v>裂雷の必撃鏃 ゲイボルグ</v>
      </c>
      <c r="S5" s="5">
        <f t="shared" ca="1" si="0"/>
        <v>947</v>
      </c>
      <c r="T5" s="5" t="str">
        <f ca="1">VLOOKUP($S5,OFFSET([1]characters!$A$1,0,0,COUNTA([1]characters!$A:$A),MATCH(T$1,[1]characters!$1:$1,0)-MATCH($A$1,[1]characters!$1:$1,0)+1),MATCH(T$1,[1]characters!$1:$1,0)-MATCH($A$1,[1]characters!$1:$1,0)+1,FALSE)</f>
        <v>ゲイボルグ</v>
      </c>
      <c r="U5" s="11">
        <f ca="1">IF(Q5="NULL","NULL",VLOOKUP(G5,ビット!$A$2:$B$7,2))</f>
        <v>200000</v>
      </c>
      <c r="V5">
        <v>200000</v>
      </c>
      <c r="W5" s="12" t="str">
        <f t="shared" ref="W5:W7" ca="1" si="2">IF(U5=V5,"TRUE","FALSE")</f>
        <v>TRUE</v>
      </c>
    </row>
    <row r="6" spans="1:23" ht="21" customHeight="1" x14ac:dyDescent="0.15">
      <c r="A6" s="109">
        <v>949</v>
      </c>
      <c r="B6" s="5" t="str">
        <f ca="1">VLOOKUP($A6,OFFSET([1]characters!$A$1,0,0,COUNTA([1]characters!$A:$A),MATCH(B$1,[1]characters!$1:$1,0)-MATCH($A$1,[1]characters!$1:$1,0)+1),MATCH(B$1,[1]characters!$1:$1,0)-MATCH($A$1,[1]characters!$1:$1,0)+1,FALSE)</f>
        <v>トライデント</v>
      </c>
      <c r="C6" s="5" t="str">
        <f ca="1">VLOOKUP($A6,OFFSET([1]characters!$A$1,0,0,COUNTA([1]characters!$A:$A),MATCH(C$1,[1]characters!$1:$1,0)-MATCH($A$1,[1]characters!$1:$1,0)+1),MATCH(C$1,[1]characters!$1:$1,0)-MATCH($A$1,[1]characters!$1:$1,0)+1,FALSE)</f>
        <v>各属性相性良3・黄・R553</v>
      </c>
      <c r="D6" s="5" t="str">
        <f ca="1">VLOOKUP($A6,OFFSET([1]characters!$A$1,0,0,COUNTA([1]characters!$A:$A),MATCH(D$1,[1]characters!$1:$1,0)-MATCH($A$1,[1]characters!$1:$1,0)+1),MATCH(D$1,[1]characters!$1:$1,0)-MATCH($A$1,[1]characters!$1:$1,0)+1,FALSE)</f>
        <v>執行者</v>
      </c>
      <c r="E6" s="5" t="str">
        <f ca="1">VLOOKUP($A6,OFFSET([1]characters!$A$1,0,0,COUNTA([1]characters!$A:$A),MATCH(E$1,[1]characters!$1:$1,0)-MATCH($A$1,[1]characters!$1:$1,0)+1),MATCH(E$1,[1]characters!$1:$1,0)-MATCH($A$1,[1]characters!$1:$1,0)+1,FALSE)</f>
        <v>格好いい</v>
      </c>
      <c r="F6" s="5" t="str">
        <f ca="1">VLOOKUP($A6,OFFSET([1]characters!$A$1,0,0,COUNTA([1]characters!$A:$A),MATCH(F$1,[1]characters!$1:$1,0)-MATCH($A$1,[1]characters!$1:$1,0)+1),MATCH(F$1,[1]characters!$1:$1,0)-MATCH($A$1,[1]characters!$1:$1,0)+1,FALSE)</f>
        <v>男性</v>
      </c>
      <c r="G6" s="5">
        <f ca="1">VLOOKUP($A6,OFFSET([1]characters!$A$1,0,0,COUNTA([1]characters!$A:$A),MATCH(G$1,[1]characters!$1:$1,0)-MATCH($A$1,[1]characters!$1:$1,0)+1),MATCH(G$1,[1]characters!$1:$1,0)-MATCH($A$1,[1]characters!$1:$1,0)+1,FALSE)</f>
        <v>5</v>
      </c>
      <c r="H6" s="5" t="str">
        <f ca="1">VLOOKUP($A6,OFFSET([1]characters!$A$1,0,0,COUNTA([1]characters!$A:$A),MATCH(H$1,[1]characters!$1:$1,0)-MATCH($A$1,[1]characters!$1:$1,0)+1),MATCH(H$1,[1]characters!$1:$1,0)-MATCH($A$1,[1]characters!$1:$1,0)+1,FALSE)</f>
        <v>DropWizSSS</v>
      </c>
      <c r="I6" s="5" t="str">
        <f ca="1">VLOOKUP($A6,OFFSET([1]characters!$A$1,0,0,COUNTA([1]characters!$A:$A),MATCH(I$1,[1]characters!$1:$1,0)-MATCH($A$1,[1]characters!$1:$1,0)+1),MATCH(I$1,[1]characters!$1:$1,0)-MATCH($A$1,[1]characters!$1:$1,0)+1,FALSE)</f>
        <v>blue</v>
      </c>
      <c r="J6" s="5" t="str">
        <f ca="1">VLOOKUP($A6,OFFSET([1]characters!$A$1,0,0,COUNTA([1]characters!$A:$A),MATCH(J$1,[1]characters!$1:$1,0)-MATCH($A$1,[1]characters!$1:$1,0)+1),MATCH(J$1,[1]characters!$1:$1,0)-MATCH($A$1,[1]characters!$1:$1,0)+1,FALSE)</f>
        <v>none</v>
      </c>
      <c r="K6" s="5" t="str">
        <f ca="1">VLOOKUP(J6,[1]character_tribe_i18n!$A:$H,3,FALSE)</f>
        <v>種族なし</v>
      </c>
      <c r="L6" s="11" t="e">
        <f>VLOOKUP(#REF!,[1]character_tribe_i18n!$A:$H,4,FALSE)</f>
        <v>#REF!</v>
      </c>
      <c r="M6" s="11" t="e">
        <f>VLOOKUP(#REF!,[1]character_tribe_i18n!$A:$H,5,FALSE)</f>
        <v>#REF!</v>
      </c>
      <c r="N6" s="11" t="e">
        <f>VLOOKUP(#REF!,[1]character_tribe_i18n!$A:$H,6,FALSE)</f>
        <v>#REF!</v>
      </c>
      <c r="O6" s="11" t="e">
        <f>VLOOKUP(#REF!,[1]character_tribe_i18n!$A:$H,7,FALSE)</f>
        <v>#REF!</v>
      </c>
      <c r="P6" s="169" t="s">
        <v>320</v>
      </c>
      <c r="Q6" s="108">
        <v>950</v>
      </c>
      <c r="R6" s="5" t="str">
        <f ca="1">IF(Q6="NULL","",VLOOKUP($Q6,OFFSET([1]characters!$A$1,0,0,COUNTA([1]characters!$A:$A),MATCH(R$1,[1]characters!$1:$1,0)-MATCH($A$1,[1]characters!$1:$1,0)+1),MATCH(R$1,[1]characters!$1:$1,0)-MATCH($A$1,[1]characters!$1:$1,0)+1,FALSE))</f>
        <v>海洪操る三叉戟 トライデント</v>
      </c>
      <c r="S6" s="5">
        <f t="shared" ca="1" si="0"/>
        <v>949</v>
      </c>
      <c r="T6" s="5" t="str">
        <f ca="1">VLOOKUP($S6,OFFSET([1]characters!$A$1,0,0,COUNTA([1]characters!$A:$A),MATCH(T$1,[1]characters!$1:$1,0)-MATCH($A$1,[1]characters!$1:$1,0)+1),MATCH(T$1,[1]characters!$1:$1,0)-MATCH($A$1,[1]characters!$1:$1,0)+1,FALSE)</f>
        <v>トライデント</v>
      </c>
      <c r="U6" s="11">
        <f ca="1">IF(Q6="NULL","NULL",VLOOKUP(G6,ビット!$A$2:$B$7,2))</f>
        <v>200000</v>
      </c>
      <c r="V6">
        <v>200000</v>
      </c>
      <c r="W6" s="12" t="str">
        <f t="shared" ca="1" si="2"/>
        <v>TRUE</v>
      </c>
    </row>
    <row r="7" spans="1:23" ht="21" customHeight="1" x14ac:dyDescent="0.15">
      <c r="A7" s="109">
        <v>951</v>
      </c>
      <c r="B7" s="5" t="str">
        <f ca="1">VLOOKUP($A7,OFFSET([1]characters!$A$1,0,0,COUNTA([1]characters!$A:$A),MATCH(B$1,[1]characters!$1:$1,0)-MATCH($A$1,[1]characters!$1:$1,0)+1),MATCH(B$1,[1]characters!$1:$1,0)-MATCH($A$1,[1]characters!$1:$1,0)+1,FALSE)</f>
        <v>グングニル</v>
      </c>
      <c r="C7" s="5" t="str">
        <f ca="1">VLOOKUP($A7,OFFSET([1]characters!$A$1,0,0,COUNTA([1]characters!$A:$A),MATCH(C$1,[1]characters!$1:$1,0)-MATCH($A$1,[1]characters!$1:$1,0)+1),MATCH(C$1,[1]characters!$1:$1,0)-MATCH($A$1,[1]characters!$1:$1,0)+1,FALSE)</f>
        <v>各属性相性良3・黄・R555</v>
      </c>
      <c r="D7" s="5" t="str">
        <f ca="1">VLOOKUP($A7,OFFSET([1]characters!$A$1,0,0,COUNTA([1]characters!$A:$A),MATCH(D$1,[1]characters!$1:$1,0)-MATCH($A$1,[1]characters!$1:$1,0)+1),MATCH(D$1,[1]characters!$1:$1,0)-MATCH($A$1,[1]characters!$1:$1,0)+1,FALSE)</f>
        <v>執行者</v>
      </c>
      <c r="E7" s="5" t="str">
        <f ca="1">VLOOKUP($A7,OFFSET([1]characters!$A$1,0,0,COUNTA([1]characters!$A:$A),MATCH(E$1,[1]characters!$1:$1,0)-MATCH($A$1,[1]characters!$1:$1,0)+1),MATCH(E$1,[1]characters!$1:$1,0)-MATCH($A$1,[1]characters!$1:$1,0)+1,FALSE)</f>
        <v>格好いい</v>
      </c>
      <c r="F7" s="5" t="str">
        <f ca="1">VLOOKUP($A7,OFFSET([1]characters!$A$1,0,0,COUNTA([1]characters!$A:$A),MATCH(F$1,[1]characters!$1:$1,0)-MATCH($A$1,[1]characters!$1:$1,0)+1),MATCH(F$1,[1]characters!$1:$1,0)-MATCH($A$1,[1]characters!$1:$1,0)+1,FALSE)</f>
        <v>男性</v>
      </c>
      <c r="G7" s="5">
        <f ca="1">VLOOKUP($A7,OFFSET([1]characters!$A$1,0,0,COUNTA([1]characters!$A:$A),MATCH(G$1,[1]characters!$1:$1,0)-MATCH($A$1,[1]characters!$1:$1,0)+1),MATCH(G$1,[1]characters!$1:$1,0)-MATCH($A$1,[1]characters!$1:$1,0)+1,FALSE)</f>
        <v>5</v>
      </c>
      <c r="H7" s="5" t="str">
        <f ca="1">VLOOKUP($A7,OFFSET([1]characters!$A$1,0,0,COUNTA([1]characters!$A:$A),MATCH(H$1,[1]characters!$1:$1,0)-MATCH($A$1,[1]characters!$1:$1,0)+1),MATCH(H$1,[1]characters!$1:$1,0)-MATCH($A$1,[1]characters!$1:$1,0)+1,FALSE)</f>
        <v>DropWizSSS</v>
      </c>
      <c r="I7" s="5" t="str">
        <f ca="1">VLOOKUP($A7,OFFSET([1]characters!$A$1,0,0,COUNTA([1]characters!$A:$A),MATCH(I$1,[1]characters!$1:$1,0)-MATCH($A$1,[1]characters!$1:$1,0)+1),MATCH(I$1,[1]characters!$1:$1,0)-MATCH($A$1,[1]characters!$1:$1,0)+1,FALSE)</f>
        <v>yellow</v>
      </c>
      <c r="J7" s="5" t="str">
        <f ca="1">VLOOKUP($A7,OFFSET([1]characters!$A$1,0,0,COUNTA([1]characters!$A:$A),MATCH(J$1,[1]characters!$1:$1,0)-MATCH($A$1,[1]characters!$1:$1,0)+1),MATCH(J$1,[1]characters!$1:$1,0)-MATCH($A$1,[1]characters!$1:$1,0)+1,FALSE)</f>
        <v>none</v>
      </c>
      <c r="K7" s="5" t="str">
        <f ca="1">VLOOKUP(J7,[1]character_tribe_i18n!$A:$H,3,FALSE)</f>
        <v>種族なし</v>
      </c>
      <c r="L7" s="11" t="e">
        <f>VLOOKUP(#REF!,[1]character_tribe_i18n!$A:$H,4,FALSE)</f>
        <v>#REF!</v>
      </c>
      <c r="M7" s="11" t="e">
        <f>VLOOKUP(#REF!,[1]character_tribe_i18n!$A:$H,5,FALSE)</f>
        <v>#REF!</v>
      </c>
      <c r="N7" s="11" t="e">
        <f>VLOOKUP(#REF!,[1]character_tribe_i18n!$A:$H,6,FALSE)</f>
        <v>#REF!</v>
      </c>
      <c r="O7" s="11" t="e">
        <f>VLOOKUP(#REF!,[1]character_tribe_i18n!$A:$H,7,FALSE)</f>
        <v>#REF!</v>
      </c>
      <c r="P7" s="169" t="s">
        <v>320</v>
      </c>
      <c r="Q7" s="108">
        <v>952</v>
      </c>
      <c r="R7" s="5" t="str">
        <f ca="1">IF(Q7="NULL","",VLOOKUP($Q7,OFFSET([1]characters!$A$1,0,0,COUNTA([1]characters!$A:$A),MATCH(R$1,[1]characters!$1:$1,0)-MATCH($A$1,[1]characters!$1:$1,0)+1),MATCH(R$1,[1]characters!$1:$1,0)-MATCH($A$1,[1]characters!$1:$1,0)+1,FALSE))</f>
        <v>勝臨の機鋭槍 グングニル</v>
      </c>
      <c r="S7" s="5">
        <f t="shared" ca="1" si="0"/>
        <v>951</v>
      </c>
      <c r="T7" s="5" t="str">
        <f ca="1">VLOOKUP($S7,OFFSET([1]characters!$A$1,0,0,COUNTA([1]characters!$A:$A),MATCH(T$1,[1]characters!$1:$1,0)-MATCH($A$1,[1]characters!$1:$1,0)+1),MATCH(T$1,[1]characters!$1:$1,0)-MATCH($A$1,[1]characters!$1:$1,0)+1,FALSE)</f>
        <v>グングニル</v>
      </c>
      <c r="U7" s="11">
        <f ca="1">IF(Q7="NULL","NULL",VLOOKUP(G7,ビット!$A$2:$B$7,2))</f>
        <v>200000</v>
      </c>
      <c r="V7">
        <v>200000</v>
      </c>
      <c r="W7" s="12" t="str">
        <f t="shared" ca="1" si="2"/>
        <v>TRUE</v>
      </c>
    </row>
  </sheetData>
  <autoFilter ref="A1:U4"/>
  <phoneticPr fontId="22"/>
  <conditionalFormatting sqref="W1:W4 W8:W1048576">
    <cfRule type="cellIs" dxfId="24" priority="2" operator="equal">
      <formula>"FALSE"</formula>
    </cfRule>
  </conditionalFormatting>
  <conditionalFormatting sqref="W5:W7">
    <cfRule type="cellIs" dxfId="23" priority="1" operator="equal">
      <formula>"FALSE"</formula>
    </cfRule>
  </conditionalFormatting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 enableFormatConditionsCalculation="0">
    <tabColor indexed="12"/>
  </sheetPr>
  <dimension ref="A1:M25"/>
  <sheetViews>
    <sheetView showGridLines="0" topLeftCell="B1" workbookViewId="0">
      <pane ySplit="1" topLeftCell="A2" activePane="bottomLeft" state="frozen"/>
      <selection pane="bottomLeft" activeCell="G21" sqref="G21"/>
    </sheetView>
  </sheetViews>
  <sheetFormatPr baseColWidth="12" defaultColWidth="13" defaultRowHeight="15" x14ac:dyDescent="0.15"/>
  <cols>
    <col min="1" max="1" width="11.5" style="64" bestFit="1" customWidth="1"/>
    <col min="2" max="2" width="19.1640625" style="3" bestFit="1" customWidth="1"/>
    <col min="3" max="3" width="15.1640625" style="3" bestFit="1" customWidth="1"/>
    <col min="4" max="4" width="22.83203125" style="2" bestFit="1" customWidth="1"/>
    <col min="5" max="5" width="9.6640625" style="2" bestFit="1" customWidth="1"/>
    <col min="6" max="6" width="13.6640625" style="2" bestFit="1" customWidth="1"/>
    <col min="7" max="7" width="19.83203125" style="2" bestFit="1" customWidth="1"/>
    <col min="8" max="8" width="22.83203125" style="2" bestFit="1" customWidth="1"/>
    <col min="9" max="9" width="21.33203125" style="2" bestFit="1" customWidth="1"/>
    <col min="10" max="10" width="13.5" style="2" bestFit="1" customWidth="1"/>
    <col min="11" max="11" width="17" style="1" bestFit="1" customWidth="1"/>
    <col min="12" max="16384" width="13" style="2"/>
  </cols>
  <sheetData>
    <row r="1" spans="1:13" ht="21" customHeight="1" x14ac:dyDescent="0.15">
      <c r="A1" s="64" t="s">
        <v>99</v>
      </c>
      <c r="B1" s="42" t="s">
        <v>38</v>
      </c>
      <c r="C1" s="180" t="s">
        <v>308</v>
      </c>
      <c r="D1" s="20" t="s">
        <v>40</v>
      </c>
      <c r="E1" s="20" t="s">
        <v>42</v>
      </c>
      <c r="F1" s="20" t="s">
        <v>43</v>
      </c>
      <c r="G1" s="178" t="s">
        <v>317</v>
      </c>
      <c r="H1" s="20" t="s">
        <v>40</v>
      </c>
      <c r="I1" s="43" t="s">
        <v>36</v>
      </c>
      <c r="J1" s="20" t="s">
        <v>41</v>
      </c>
      <c r="K1" s="19" t="s">
        <v>37</v>
      </c>
      <c r="L1" s="181" t="s">
        <v>127</v>
      </c>
      <c r="M1" s="178" t="s">
        <v>321</v>
      </c>
    </row>
    <row r="2" spans="1:13" ht="21" customHeight="1" x14ac:dyDescent="0.15">
      <c r="A2" s="64" t="str">
        <f t="shared" ref="A2:A13" si="0">B2&amp;"_"&amp;I2</f>
        <v>752_837</v>
      </c>
      <c r="B2" s="44">
        <v>752</v>
      </c>
      <c r="C2" s="170">
        <f>B2</f>
        <v>752</v>
      </c>
      <c r="D2" s="21" t="str">
        <f ca="1">VLOOKUP(B2,units!A:B,2)</f>
        <v>ムラマサ</v>
      </c>
      <c r="E2" s="21">
        <f ca="1">VLOOKUP($B2,OFFSET(units!$A$1,0,0,COUNTA(units!$A:$A),MATCH(E$1,units!$1:$1,0)-COLUMN(INDIRECT("character_id"))+1),MATCH(E$1,units!$1:$1,0)-COLUMN(INDIRECT("character_id"))+1,FALSE)</f>
        <v>5</v>
      </c>
      <c r="F2" s="21" t="str">
        <f ca="1">VLOOKUP($B2,OFFSET(units!$A$1,0,0,COUNTA(units!$A:$A),MATCH(F$1,units!$1:$1,0)-COLUMN(INDIRECT("character_id"))+1),MATCH(F$1,units!$1:$1,0)-COLUMN(INDIRECT("character_id"))+1,FALSE)</f>
        <v>DropWizSSS</v>
      </c>
      <c r="G2" s="179">
        <v>753</v>
      </c>
      <c r="H2" s="21" t="str">
        <f ca="1">VLOOKUP($G2,OFFSET(units!$A$1,0,0,COUNTA(units!$A:$A),MATCH(H$1,units!$1:$1,0)-COLUMN(INDIRECT("character_id"))+1),MATCH(H$1,units!$1:$1,0)-COLUMN(INDIRECT("character_id"))+1,FALSE)</f>
        <v>皆斬の虐器 ムラマサ</v>
      </c>
      <c r="I2" s="44">
        <v>837</v>
      </c>
      <c r="J2" s="21" t="str">
        <f>VLOOKUP(I2,[1]characters!$A:$C,3,FALSE)</f>
        <v>リトルハンプティ</v>
      </c>
      <c r="K2" s="18">
        <v>2</v>
      </c>
      <c r="L2" s="111">
        <v>1</v>
      </c>
      <c r="M2" s="111">
        <v>1000</v>
      </c>
    </row>
    <row r="3" spans="1:13" ht="21" customHeight="1" x14ac:dyDescent="0.15">
      <c r="A3" s="64" t="str">
        <f t="shared" si="0"/>
        <v>752_104</v>
      </c>
      <c r="B3" s="44">
        <v>752</v>
      </c>
      <c r="C3" s="170">
        <f t="shared" ref="C3:C13" si="1">B3</f>
        <v>752</v>
      </c>
      <c r="D3" s="21" t="str">
        <f ca="1">VLOOKUP(B3,units!A:B,2)</f>
        <v>ムラマサ</v>
      </c>
      <c r="E3" s="21">
        <f ca="1">VLOOKUP($B3,OFFSET(units!$A$1,0,0,COUNTA(units!$A:$A),MATCH(E$1,units!$1:$1,0)-COLUMN(INDIRECT("character_id"))+1),MATCH(E$1,units!$1:$1,0)-COLUMN(INDIRECT("character_id"))+1,FALSE)</f>
        <v>5</v>
      </c>
      <c r="F3" s="21" t="str">
        <f ca="1">VLOOKUP($B3,OFFSET(units!$A$1,0,0,COUNTA(units!$A:$A),MATCH(F$1,units!$1:$1,0)-COLUMN(INDIRECT("character_id"))+1),MATCH(F$1,units!$1:$1,0)-COLUMN(INDIRECT("character_id"))+1,FALSE)</f>
        <v>DropWizSSS</v>
      </c>
      <c r="G3" s="179">
        <v>753</v>
      </c>
      <c r="H3" s="21" t="str">
        <f ca="1">VLOOKUP($G3,OFFSET(units!$A$1,0,0,COUNTA(units!$A:$A),MATCH(H$1,units!$1:$1,0)-COLUMN(INDIRECT("character_id"))+1),MATCH(H$1,units!$1:$1,0)-COLUMN(INDIRECT("character_id"))+1,FALSE)</f>
        <v>皆斬の虐器 ムラマサ</v>
      </c>
      <c r="I3" s="44">
        <v>104</v>
      </c>
      <c r="J3" s="21" t="str">
        <f>VLOOKUP(I3,[1]characters!$A:$C,3,FALSE)</f>
        <v>炎のマッドハッター</v>
      </c>
      <c r="K3" s="18">
        <v>1</v>
      </c>
      <c r="L3" s="111">
        <v>1</v>
      </c>
      <c r="M3" s="111">
        <v>10</v>
      </c>
    </row>
    <row r="4" spans="1:13" ht="21" customHeight="1" x14ac:dyDescent="0.15">
      <c r="A4" s="64" t="str">
        <f t="shared" si="0"/>
        <v>752_418</v>
      </c>
      <c r="B4" s="44">
        <v>752</v>
      </c>
      <c r="C4" s="170">
        <f t="shared" si="1"/>
        <v>752</v>
      </c>
      <c r="D4" s="21" t="str">
        <f ca="1">VLOOKUP(B4,units!A:B,2)</f>
        <v>ムラマサ</v>
      </c>
      <c r="E4" s="21">
        <f ca="1">VLOOKUP($B4,OFFSET(units!$A$1,0,0,COUNTA(units!$A:$A),MATCH(E$1,units!$1:$1,0)-COLUMN(INDIRECT("character_id"))+1),MATCH(E$1,units!$1:$1,0)-COLUMN(INDIRECT("character_id"))+1,FALSE)</f>
        <v>5</v>
      </c>
      <c r="F4" s="21" t="str">
        <f ca="1">VLOOKUP($B4,OFFSET(units!$A$1,0,0,COUNTA(units!$A:$A),MATCH(F$1,units!$1:$1,0)-COLUMN(INDIRECT("character_id"))+1),MATCH(F$1,units!$1:$1,0)-COLUMN(INDIRECT("character_id"))+1,FALSE)</f>
        <v>DropWizSSS</v>
      </c>
      <c r="G4" s="179">
        <v>753</v>
      </c>
      <c r="H4" s="21" t="str">
        <f ca="1">VLOOKUP($G4,OFFSET(units!$A$1,0,0,COUNTA(units!$A:$A),MATCH(H$1,units!$1:$1,0)-COLUMN(INDIRECT("character_id"))+1),MATCH(H$1,units!$1:$1,0)-COLUMN(INDIRECT("character_id"))+1,FALSE)</f>
        <v>皆斬の虐器 ムラマサ</v>
      </c>
      <c r="I4" s="44">
        <v>418</v>
      </c>
      <c r="J4" s="21" t="str">
        <f>VLOOKUP(I4,[1]characters!$A:$C,3,FALSE)</f>
        <v>ウラシマ</v>
      </c>
      <c r="K4" s="18">
        <v>1</v>
      </c>
      <c r="L4" s="111">
        <v>2</v>
      </c>
      <c r="M4" s="111">
        <v>100</v>
      </c>
    </row>
    <row r="5" spans="1:13" ht="21" customHeight="1" x14ac:dyDescent="0.15">
      <c r="A5" s="64" t="str">
        <f t="shared" si="0"/>
        <v>752_452</v>
      </c>
      <c r="B5" s="44">
        <v>752</v>
      </c>
      <c r="C5" s="170">
        <f t="shared" si="1"/>
        <v>752</v>
      </c>
      <c r="D5" s="21" t="str">
        <f ca="1">VLOOKUP(B5,units!A:B,2)</f>
        <v>ムラマサ</v>
      </c>
      <c r="E5" s="21">
        <f ca="1">VLOOKUP($B5,OFFSET(units!$A$1,0,0,COUNTA(units!$A:$A),MATCH(E$1,units!$1:$1,0)-COLUMN(INDIRECT("character_id"))+1),MATCH(E$1,units!$1:$1,0)-COLUMN(INDIRECT("character_id"))+1,FALSE)</f>
        <v>5</v>
      </c>
      <c r="F5" s="21" t="str">
        <f ca="1">VLOOKUP($B5,OFFSET(units!$A$1,0,0,COUNTA(units!$A:$A),MATCH(F$1,units!$1:$1,0)-COLUMN(INDIRECT("character_id"))+1),MATCH(F$1,units!$1:$1,0)-COLUMN(INDIRECT("character_id"))+1,FALSE)</f>
        <v>DropWizSSS</v>
      </c>
      <c r="G5" s="179">
        <v>753</v>
      </c>
      <c r="H5" s="21" t="str">
        <f ca="1">VLOOKUP($G5,OFFSET(units!$A$1,0,0,COUNTA(units!$A:$A),MATCH(H$1,units!$1:$1,0)-COLUMN(INDIRECT("character_id"))+1),MATCH(H$1,units!$1:$1,0)-COLUMN(INDIRECT("character_id"))+1,FALSE)</f>
        <v>皆斬の虐器 ムラマサ</v>
      </c>
      <c r="I5" s="44">
        <v>452</v>
      </c>
      <c r="J5" s="21" t="str">
        <f>VLOOKUP(I5,[1]characters!$A:$C,3,FALSE)</f>
        <v>猛狐 エゾ</v>
      </c>
      <c r="K5" s="18">
        <v>1</v>
      </c>
      <c r="L5" s="111">
        <v>2</v>
      </c>
      <c r="M5" s="111">
        <v>100</v>
      </c>
    </row>
    <row r="6" spans="1:13" x14ac:dyDescent="0.15">
      <c r="A6" s="64" t="str">
        <f t="shared" si="0"/>
        <v>754_837</v>
      </c>
      <c r="B6" s="44">
        <v>754</v>
      </c>
      <c r="C6" s="170">
        <f t="shared" si="1"/>
        <v>754</v>
      </c>
      <c r="D6" s="21" t="str">
        <f ca="1">VLOOKUP(B6,units!A:B,2)</f>
        <v>マサムネ</v>
      </c>
      <c r="E6" s="21">
        <f ca="1">VLOOKUP($B6,OFFSET(units!$A$1,0,0,COUNTA(units!$A:$A),MATCH(E$1,units!$1:$1,0)-COLUMN(INDIRECT("character_id"))+1),MATCH(E$1,units!$1:$1,0)-COLUMN(INDIRECT("character_id"))+1,FALSE)</f>
        <v>5</v>
      </c>
      <c r="F6" s="21" t="str">
        <f ca="1">VLOOKUP($B6,OFFSET(units!$A$1,0,0,COUNTA(units!$A:$A),MATCH(F$1,units!$1:$1,0)-COLUMN(INDIRECT("character_id"))+1),MATCH(F$1,units!$1:$1,0)-COLUMN(INDIRECT("character_id"))+1,FALSE)</f>
        <v>DropWizSSS</v>
      </c>
      <c r="G6" s="179">
        <v>755</v>
      </c>
      <c r="H6" s="21" t="str">
        <f ca="1">VLOOKUP($G6,OFFSET(units!$A$1,0,0,COUNTA(units!$A:$A),MATCH(H$1,units!$1:$1,0)-COLUMN(INDIRECT("character_id"))+1),MATCH(H$1,units!$1:$1,0)-COLUMN(INDIRECT("character_id"))+1,FALSE)</f>
        <v>究覇の一剣 マサムネ</v>
      </c>
      <c r="I6" s="44">
        <v>837</v>
      </c>
      <c r="J6" s="21" t="str">
        <f>VLOOKUP(I6,[1]characters!$A:$C,3,FALSE)</f>
        <v>リトルハンプティ</v>
      </c>
      <c r="K6" s="18">
        <v>2</v>
      </c>
      <c r="L6" s="111">
        <v>1</v>
      </c>
      <c r="M6" s="111">
        <v>1000</v>
      </c>
    </row>
    <row r="7" spans="1:13" x14ac:dyDescent="0.15">
      <c r="A7" s="64" t="str">
        <f t="shared" si="0"/>
        <v>754_108</v>
      </c>
      <c r="B7" s="44">
        <v>754</v>
      </c>
      <c r="C7" s="170">
        <f t="shared" si="1"/>
        <v>754</v>
      </c>
      <c r="D7" s="21" t="str">
        <f ca="1">VLOOKUP(B7,units!A:B,2)</f>
        <v>マサムネ</v>
      </c>
      <c r="E7" s="21">
        <f ca="1">VLOOKUP($B7,OFFSET(units!$A$1,0,0,COUNTA(units!$A:$A),MATCH(E$1,units!$1:$1,0)-COLUMN(INDIRECT("character_id"))+1),MATCH(E$1,units!$1:$1,0)-COLUMN(INDIRECT("character_id"))+1,FALSE)</f>
        <v>5</v>
      </c>
      <c r="F7" s="21" t="str">
        <f ca="1">VLOOKUP($B7,OFFSET(units!$A$1,0,0,COUNTA(units!$A:$A),MATCH(F$1,units!$1:$1,0)-COLUMN(INDIRECT("character_id"))+1),MATCH(F$1,units!$1:$1,0)-COLUMN(INDIRECT("character_id"))+1,FALSE)</f>
        <v>DropWizSSS</v>
      </c>
      <c r="G7" s="179">
        <v>755</v>
      </c>
      <c r="H7" s="21" t="str">
        <f ca="1">VLOOKUP($G7,OFFSET(units!$A$1,0,0,COUNTA(units!$A:$A),MATCH(H$1,units!$1:$1,0)-COLUMN(INDIRECT("character_id"))+1),MATCH(H$1,units!$1:$1,0)-COLUMN(INDIRECT("character_id"))+1,FALSE)</f>
        <v>究覇の一剣 マサムネ</v>
      </c>
      <c r="I7" s="44">
        <v>108</v>
      </c>
      <c r="J7" s="21" t="str">
        <f>VLOOKUP(I7,[1]characters!$A:$C,3,FALSE)</f>
        <v>森のマッドハッター</v>
      </c>
      <c r="K7" s="18">
        <v>1</v>
      </c>
      <c r="L7" s="111">
        <v>1</v>
      </c>
      <c r="M7" s="111">
        <v>10</v>
      </c>
    </row>
    <row r="8" spans="1:13" x14ac:dyDescent="0.15">
      <c r="A8" s="64" t="str">
        <f t="shared" si="0"/>
        <v>754_504</v>
      </c>
      <c r="B8" s="44">
        <v>754</v>
      </c>
      <c r="C8" s="170">
        <f t="shared" si="1"/>
        <v>754</v>
      </c>
      <c r="D8" s="21" t="str">
        <f ca="1">VLOOKUP(B8,units!A:B,2)</f>
        <v>マサムネ</v>
      </c>
      <c r="E8" s="21">
        <f ca="1">VLOOKUP($B8,OFFSET(units!$A$1,0,0,COUNTA(units!$A:$A),MATCH(E$1,units!$1:$1,0)-COLUMN(INDIRECT("character_id"))+1),MATCH(E$1,units!$1:$1,0)-COLUMN(INDIRECT("character_id"))+1,FALSE)</f>
        <v>5</v>
      </c>
      <c r="F8" s="21" t="str">
        <f ca="1">VLOOKUP($B8,OFFSET(units!$A$1,0,0,COUNTA(units!$A:$A),MATCH(F$1,units!$1:$1,0)-COLUMN(INDIRECT("character_id"))+1),MATCH(F$1,units!$1:$1,0)-COLUMN(INDIRECT("character_id"))+1,FALSE)</f>
        <v>DropWizSSS</v>
      </c>
      <c r="G8" s="179">
        <v>755</v>
      </c>
      <c r="H8" s="21" t="str">
        <f ca="1">VLOOKUP($G8,OFFSET(units!$A$1,0,0,COUNTA(units!$A:$A),MATCH(H$1,units!$1:$1,0)-COLUMN(INDIRECT("character_id"))+1),MATCH(H$1,units!$1:$1,0)-COLUMN(INDIRECT("character_id"))+1,FALSE)</f>
        <v>究覇の一剣 マサムネ</v>
      </c>
      <c r="I8" s="44">
        <v>504</v>
      </c>
      <c r="J8" s="21" t="str">
        <f>VLOOKUP(I8,[1]characters!$A:$C,3,FALSE)</f>
        <v>ハイディン・オーガ</v>
      </c>
      <c r="K8" s="18">
        <v>1</v>
      </c>
      <c r="L8" s="111">
        <v>2</v>
      </c>
      <c r="M8" s="111">
        <v>100</v>
      </c>
    </row>
    <row r="9" spans="1:13" x14ac:dyDescent="0.15">
      <c r="A9" s="64" t="str">
        <f t="shared" si="0"/>
        <v>754_420</v>
      </c>
      <c r="B9" s="44">
        <v>754</v>
      </c>
      <c r="C9" s="170">
        <f t="shared" si="1"/>
        <v>754</v>
      </c>
      <c r="D9" s="21" t="str">
        <f ca="1">VLOOKUP(B9,units!A:B,2)</f>
        <v>マサムネ</v>
      </c>
      <c r="E9" s="21">
        <f ca="1">VLOOKUP($B9,OFFSET(units!$A$1,0,0,COUNTA(units!$A:$A),MATCH(E$1,units!$1:$1,0)-COLUMN(INDIRECT("character_id"))+1),MATCH(E$1,units!$1:$1,0)-COLUMN(INDIRECT("character_id"))+1,FALSE)</f>
        <v>5</v>
      </c>
      <c r="F9" s="21" t="str">
        <f ca="1">VLOOKUP($B9,OFFSET(units!$A$1,0,0,COUNTA(units!$A:$A),MATCH(F$1,units!$1:$1,0)-COLUMN(INDIRECT("character_id"))+1),MATCH(F$1,units!$1:$1,0)-COLUMN(INDIRECT("character_id"))+1,FALSE)</f>
        <v>DropWizSSS</v>
      </c>
      <c r="G9" s="179">
        <v>755</v>
      </c>
      <c r="H9" s="21" t="str">
        <f ca="1">VLOOKUP($G9,OFFSET(units!$A$1,0,0,COUNTA(units!$A:$A),MATCH(H$1,units!$1:$1,0)-COLUMN(INDIRECT("character_id"))+1),MATCH(H$1,units!$1:$1,0)-COLUMN(INDIRECT("character_id"))+1,FALSE)</f>
        <v>究覇の一剣 マサムネ</v>
      </c>
      <c r="I9" s="44">
        <v>420</v>
      </c>
      <c r="J9" s="21" t="str">
        <f>VLOOKUP(I9,[1]characters!$A:$C,3,FALSE)</f>
        <v>カエデ</v>
      </c>
      <c r="K9" s="18">
        <v>1</v>
      </c>
      <c r="L9" s="111">
        <v>2</v>
      </c>
      <c r="M9" s="111">
        <v>100</v>
      </c>
    </row>
    <row r="10" spans="1:13" x14ac:dyDescent="0.15">
      <c r="A10" s="64" t="str">
        <f t="shared" si="0"/>
        <v>756_837</v>
      </c>
      <c r="B10" s="44">
        <v>756</v>
      </c>
      <c r="C10" s="170">
        <f t="shared" si="1"/>
        <v>756</v>
      </c>
      <c r="D10" s="21" t="str">
        <f ca="1">VLOOKUP(B10,units!A:B,2)</f>
        <v>アメノムラクモ</v>
      </c>
      <c r="E10" s="21">
        <f ca="1">VLOOKUP($B10,OFFSET(units!$A$1,0,0,COUNTA(units!$A:$A),MATCH(E$1,units!$1:$1,0)-COLUMN(INDIRECT("character_id"))+1),MATCH(E$1,units!$1:$1,0)-COLUMN(INDIRECT("character_id"))+1,FALSE)</f>
        <v>5</v>
      </c>
      <c r="F10" s="21" t="str">
        <f ca="1">VLOOKUP($B10,OFFSET(units!$A$1,0,0,COUNTA(units!$A:$A),MATCH(F$1,units!$1:$1,0)-COLUMN(INDIRECT("character_id"))+1),MATCH(F$1,units!$1:$1,0)-COLUMN(INDIRECT("character_id"))+1,FALSE)</f>
        <v>DropWizSSS</v>
      </c>
      <c r="G10" s="179">
        <v>757</v>
      </c>
      <c r="H10" s="21" t="str">
        <f ca="1">VLOOKUP($G10,OFFSET(units!$A$1,0,0,COUNTA(units!$A:$A),MATCH(H$1,units!$1:$1,0)-COLUMN(INDIRECT("character_id"))+1),MATCH(H$1,units!$1:$1,0)-COLUMN(INDIRECT("character_id"))+1,FALSE)</f>
        <v>荒龍の復魂 アメノムラクモ</v>
      </c>
      <c r="I10" s="44">
        <v>837</v>
      </c>
      <c r="J10" s="21" t="str">
        <f>VLOOKUP(I10,[1]characters!$A:$C,3,FALSE)</f>
        <v>リトルハンプティ</v>
      </c>
      <c r="K10" s="18">
        <v>2</v>
      </c>
      <c r="L10" s="111">
        <v>1</v>
      </c>
      <c r="M10" s="111">
        <v>1000</v>
      </c>
    </row>
    <row r="11" spans="1:13" x14ac:dyDescent="0.15">
      <c r="A11" s="64" t="str">
        <f t="shared" si="0"/>
        <v>756_112</v>
      </c>
      <c r="B11" s="44">
        <v>756</v>
      </c>
      <c r="C11" s="170">
        <f t="shared" si="1"/>
        <v>756</v>
      </c>
      <c r="D11" s="21" t="str">
        <f ca="1">VLOOKUP(B11,units!A:B,2)</f>
        <v>アメノムラクモ</v>
      </c>
      <c r="E11" s="21">
        <f ca="1">VLOOKUP($B11,OFFSET(units!$A$1,0,0,COUNTA(units!$A:$A),MATCH(E$1,units!$1:$1,0)-COLUMN(INDIRECT("character_id"))+1),MATCH(E$1,units!$1:$1,0)-COLUMN(INDIRECT("character_id"))+1,FALSE)</f>
        <v>5</v>
      </c>
      <c r="F11" s="21" t="str">
        <f ca="1">VLOOKUP($B11,OFFSET(units!$A$1,0,0,COUNTA(units!$A:$A),MATCH(F$1,units!$1:$1,0)-COLUMN(INDIRECT("character_id"))+1),MATCH(F$1,units!$1:$1,0)-COLUMN(INDIRECT("character_id"))+1,FALSE)</f>
        <v>DropWizSSS</v>
      </c>
      <c r="G11" s="179">
        <v>757</v>
      </c>
      <c r="H11" s="21" t="str">
        <f ca="1">VLOOKUP($G11,OFFSET(units!$A$1,0,0,COUNTA(units!$A:$A),MATCH(H$1,units!$1:$1,0)-COLUMN(INDIRECT("character_id"))+1),MATCH(H$1,units!$1:$1,0)-COLUMN(INDIRECT("character_id"))+1,FALSE)</f>
        <v>荒龍の復魂 アメノムラクモ</v>
      </c>
      <c r="I11" s="44">
        <v>112</v>
      </c>
      <c r="J11" s="21" t="str">
        <f>VLOOKUP(I11,[1]characters!$A:$C,3,FALSE)</f>
        <v>水のマッドハッター</v>
      </c>
      <c r="K11" s="18">
        <v>1</v>
      </c>
      <c r="L11" s="111">
        <v>1</v>
      </c>
      <c r="M11" s="111">
        <v>10</v>
      </c>
    </row>
    <row r="12" spans="1:13" x14ac:dyDescent="0.15">
      <c r="A12" s="64" t="str">
        <f t="shared" si="0"/>
        <v>756_456</v>
      </c>
      <c r="B12" s="44">
        <v>756</v>
      </c>
      <c r="C12" s="170">
        <f t="shared" si="1"/>
        <v>756</v>
      </c>
      <c r="D12" s="21" t="str">
        <f ca="1">VLOOKUP(B12,units!A:B,2)</f>
        <v>アメノムラクモ</v>
      </c>
      <c r="E12" s="21">
        <f ca="1">VLOOKUP($B12,OFFSET(units!$A$1,0,0,COUNTA(units!$A:$A),MATCH(E$1,units!$1:$1,0)-COLUMN(INDIRECT("character_id"))+1),MATCH(E$1,units!$1:$1,0)-COLUMN(INDIRECT("character_id"))+1,FALSE)</f>
        <v>5</v>
      </c>
      <c r="F12" s="21" t="str">
        <f ca="1">VLOOKUP($B12,OFFSET(units!$A$1,0,0,COUNTA(units!$A:$A),MATCH(F$1,units!$1:$1,0)-COLUMN(INDIRECT("character_id"))+1),MATCH(F$1,units!$1:$1,0)-COLUMN(INDIRECT("character_id"))+1,FALSE)</f>
        <v>DropWizSSS</v>
      </c>
      <c r="G12" s="179">
        <v>757</v>
      </c>
      <c r="H12" s="21" t="str">
        <f ca="1">VLOOKUP($G12,OFFSET(units!$A$1,0,0,COUNTA(units!$A:$A),MATCH(H$1,units!$1:$1,0)-COLUMN(INDIRECT("character_id"))+1),MATCH(H$1,units!$1:$1,0)-COLUMN(INDIRECT("character_id"))+1,FALSE)</f>
        <v>荒龍の復魂 アメノムラクモ</v>
      </c>
      <c r="I12" s="44">
        <v>456</v>
      </c>
      <c r="J12" s="21" t="str">
        <f>VLOOKUP(I12,[1]characters!$A:$C,3,FALSE)</f>
        <v>射絶 ユヅル</v>
      </c>
      <c r="K12" s="18">
        <v>1</v>
      </c>
      <c r="L12" s="111">
        <v>2</v>
      </c>
      <c r="M12" s="111">
        <v>100</v>
      </c>
    </row>
    <row r="13" spans="1:13" x14ac:dyDescent="0.15">
      <c r="A13" s="64" t="str">
        <f t="shared" si="0"/>
        <v>756_646</v>
      </c>
      <c r="B13" s="44">
        <v>756</v>
      </c>
      <c r="C13" s="170">
        <f t="shared" si="1"/>
        <v>756</v>
      </c>
      <c r="D13" s="21" t="str">
        <f ca="1">VLOOKUP(B13,units!A:B,2)</f>
        <v>アメノムラクモ</v>
      </c>
      <c r="E13" s="21">
        <f ca="1">VLOOKUP($B13,OFFSET(units!$A$1,0,0,COUNTA(units!$A:$A),MATCH(E$1,units!$1:$1,0)-COLUMN(INDIRECT("character_id"))+1),MATCH(E$1,units!$1:$1,0)-COLUMN(INDIRECT("character_id"))+1,FALSE)</f>
        <v>5</v>
      </c>
      <c r="F13" s="21" t="str">
        <f ca="1">VLOOKUP($B13,OFFSET(units!$A$1,0,0,COUNTA(units!$A:$A),MATCH(F$1,units!$1:$1,0)-COLUMN(INDIRECT("character_id"))+1),MATCH(F$1,units!$1:$1,0)-COLUMN(INDIRECT("character_id"))+1,FALSE)</f>
        <v>DropWizSSS</v>
      </c>
      <c r="G13" s="179">
        <v>757</v>
      </c>
      <c r="H13" s="21" t="str">
        <f ca="1">VLOOKUP($G13,OFFSET(units!$A$1,0,0,COUNTA(units!$A:$A),MATCH(H$1,units!$1:$1,0)-COLUMN(INDIRECT("character_id"))+1),MATCH(H$1,units!$1:$1,0)-COLUMN(INDIRECT("character_id"))+1,FALSE)</f>
        <v>荒龍の復魂 アメノムラクモ</v>
      </c>
      <c r="I13" s="44">
        <v>646</v>
      </c>
      <c r="J13" s="21" t="str">
        <f>VLOOKUP(I13,[1]characters!$A:$C,3,FALSE)</f>
        <v>雪女 ユキ</v>
      </c>
      <c r="K13" s="18">
        <v>1</v>
      </c>
      <c r="L13" s="111">
        <v>2</v>
      </c>
      <c r="M13" s="111">
        <v>100</v>
      </c>
    </row>
    <row r="14" spans="1:13" ht="21" customHeight="1" x14ac:dyDescent="0.15">
      <c r="A14" s="64" t="str">
        <f t="shared" ref="A14:A25" si="2">B14&amp;"_"&amp;I14</f>
        <v>947_837</v>
      </c>
      <c r="B14" s="44">
        <v>947</v>
      </c>
      <c r="C14" s="170">
        <f>B14</f>
        <v>947</v>
      </c>
      <c r="D14" s="21" t="str">
        <f ca="1">VLOOKUP(B14,units!A:B,2)</f>
        <v>ゲイボルグ</v>
      </c>
      <c r="E14" s="21">
        <f ca="1">VLOOKUP($B14,OFFSET(units!$A$1,0,0,COUNTA(units!$A:$A),MATCH(E$1,units!$1:$1,0)-COLUMN(INDIRECT("character_id"))+1),MATCH(E$1,units!$1:$1,0)-COLUMN(INDIRECT("character_id"))+1,FALSE)</f>
        <v>5</v>
      </c>
      <c r="F14" s="21" t="str">
        <f ca="1">VLOOKUP($B14,OFFSET(units!$A$1,0,0,COUNTA(units!$A:$A),MATCH(F$1,units!$1:$1,0)-COLUMN(INDIRECT("character_id"))+1),MATCH(F$1,units!$1:$1,0)-COLUMN(INDIRECT("character_id"))+1,FALSE)</f>
        <v>DropWizSSS</v>
      </c>
      <c r="G14" s="179">
        <v>948</v>
      </c>
      <c r="H14" s="21" t="str">
        <f ca="1">VLOOKUP($G14,OFFSET(units!$A$1,0,0,COUNTA(units!$A:$A),MATCH(H$1,units!$1:$1,0)-COLUMN(INDIRECT("character_id"))+1),MATCH(H$1,units!$1:$1,0)-COLUMN(INDIRECT("character_id"))+1,FALSE)</f>
        <v>裂雷の必撃鏃 ゲイボルグ</v>
      </c>
      <c r="I14" s="44">
        <v>837</v>
      </c>
      <c r="J14" s="21" t="str">
        <f>VLOOKUP(I14,[1]characters!$A:$C,3,FALSE)</f>
        <v>リトルハンプティ</v>
      </c>
      <c r="K14" s="18">
        <v>2</v>
      </c>
      <c r="L14" s="111">
        <v>1</v>
      </c>
      <c r="M14" s="111">
        <v>1000</v>
      </c>
    </row>
    <row r="15" spans="1:13" ht="21" customHeight="1" x14ac:dyDescent="0.15">
      <c r="A15" s="64" t="str">
        <f t="shared" si="2"/>
        <v>947_108</v>
      </c>
      <c r="B15" s="44">
        <v>947</v>
      </c>
      <c r="C15" s="170">
        <f t="shared" ref="C15:C25" si="3">B15</f>
        <v>947</v>
      </c>
      <c r="D15" s="21" t="str">
        <f ca="1">VLOOKUP(B15,units!A:B,2)</f>
        <v>ゲイボルグ</v>
      </c>
      <c r="E15" s="21">
        <f ca="1">VLOOKUP($B15,OFFSET(units!$A$1,0,0,COUNTA(units!$A:$A),MATCH(E$1,units!$1:$1,0)-COLUMN(INDIRECT("character_id"))+1),MATCH(E$1,units!$1:$1,0)-COLUMN(INDIRECT("character_id"))+1,FALSE)</f>
        <v>5</v>
      </c>
      <c r="F15" s="21" t="str">
        <f ca="1">VLOOKUP($B15,OFFSET(units!$A$1,0,0,COUNTA(units!$A:$A),MATCH(F$1,units!$1:$1,0)-COLUMN(INDIRECT("character_id"))+1),MATCH(F$1,units!$1:$1,0)-COLUMN(INDIRECT("character_id"))+1,FALSE)</f>
        <v>DropWizSSS</v>
      </c>
      <c r="G15" s="179">
        <v>948</v>
      </c>
      <c r="H15" s="21" t="str">
        <f ca="1">VLOOKUP($G15,OFFSET(units!$A$1,0,0,COUNTA(units!$A:$A),MATCH(H$1,units!$1:$1,0)-COLUMN(INDIRECT("character_id"))+1),MATCH(H$1,units!$1:$1,0)-COLUMN(INDIRECT("character_id"))+1,FALSE)</f>
        <v>裂雷の必撃鏃 ゲイボルグ</v>
      </c>
      <c r="I15" s="44">
        <v>108</v>
      </c>
      <c r="J15" s="21" t="str">
        <f>VLOOKUP(I15,[1]characters!$A:$C,3,FALSE)</f>
        <v>森のマッドハッター</v>
      </c>
      <c r="K15" s="18">
        <v>1</v>
      </c>
      <c r="L15" s="111">
        <v>1</v>
      </c>
      <c r="M15" s="111">
        <v>10</v>
      </c>
    </row>
    <row r="16" spans="1:13" ht="21" customHeight="1" x14ac:dyDescent="0.15">
      <c r="A16" s="64" t="str">
        <f t="shared" si="2"/>
        <v>947_454</v>
      </c>
      <c r="B16" s="44">
        <v>947</v>
      </c>
      <c r="C16" s="170">
        <f t="shared" si="3"/>
        <v>947</v>
      </c>
      <c r="D16" s="21" t="str">
        <f ca="1">VLOOKUP(B16,units!A:B,2)</f>
        <v>ゲイボルグ</v>
      </c>
      <c r="E16" s="21">
        <f ca="1">VLOOKUP($B16,OFFSET(units!$A$1,0,0,COUNTA(units!$A:$A),MATCH(E$1,units!$1:$1,0)-COLUMN(INDIRECT("character_id"))+1),MATCH(E$1,units!$1:$1,0)-COLUMN(INDIRECT("character_id"))+1,FALSE)</f>
        <v>5</v>
      </c>
      <c r="F16" s="21" t="str">
        <f ca="1">VLOOKUP($B16,OFFSET(units!$A$1,0,0,COUNTA(units!$A:$A),MATCH(F$1,units!$1:$1,0)-COLUMN(INDIRECT("character_id"))+1),MATCH(F$1,units!$1:$1,0)-COLUMN(INDIRECT("character_id"))+1,FALSE)</f>
        <v>DropWizSSS</v>
      </c>
      <c r="G16" s="179">
        <v>948</v>
      </c>
      <c r="H16" s="21" t="str">
        <f ca="1">VLOOKUP($G16,OFFSET(units!$A$1,0,0,COUNTA(units!$A:$A),MATCH(H$1,units!$1:$1,0)-COLUMN(INDIRECT("character_id"))+1),MATCH(H$1,units!$1:$1,0)-COLUMN(INDIRECT("character_id"))+1,FALSE)</f>
        <v>裂雷の必撃鏃 ゲイボルグ</v>
      </c>
      <c r="I16" s="44">
        <v>454</v>
      </c>
      <c r="J16" s="21" t="str">
        <f>VLOOKUP(I16,[1]characters!$A:$C,3,FALSE)</f>
        <v>二闘 レッサとギガン</v>
      </c>
      <c r="K16" s="18">
        <v>1</v>
      </c>
      <c r="L16" s="111">
        <v>2</v>
      </c>
      <c r="M16" s="111">
        <v>100</v>
      </c>
    </row>
    <row r="17" spans="1:13" ht="21" customHeight="1" x14ac:dyDescent="0.15">
      <c r="A17" s="64" t="str">
        <f t="shared" si="2"/>
        <v>947_504</v>
      </c>
      <c r="B17" s="44">
        <v>947</v>
      </c>
      <c r="C17" s="170">
        <f t="shared" si="3"/>
        <v>947</v>
      </c>
      <c r="D17" s="21" t="str">
        <f ca="1">VLOOKUP(B17,units!A:B,2)</f>
        <v>ゲイボルグ</v>
      </c>
      <c r="E17" s="21">
        <f ca="1">VLOOKUP($B17,OFFSET(units!$A$1,0,0,COUNTA(units!$A:$A),MATCH(E$1,units!$1:$1,0)-COLUMN(INDIRECT("character_id"))+1),MATCH(E$1,units!$1:$1,0)-COLUMN(INDIRECT("character_id"))+1,FALSE)</f>
        <v>5</v>
      </c>
      <c r="F17" s="21" t="str">
        <f ca="1">VLOOKUP($B17,OFFSET(units!$A$1,0,0,COUNTA(units!$A:$A),MATCH(F$1,units!$1:$1,0)-COLUMN(INDIRECT("character_id"))+1),MATCH(F$1,units!$1:$1,0)-COLUMN(INDIRECT("character_id"))+1,FALSE)</f>
        <v>DropWizSSS</v>
      </c>
      <c r="G17" s="179">
        <v>948</v>
      </c>
      <c r="H17" s="21" t="str">
        <f ca="1">VLOOKUP($G17,OFFSET(units!$A$1,0,0,COUNTA(units!$A:$A),MATCH(H$1,units!$1:$1,0)-COLUMN(INDIRECT("character_id"))+1),MATCH(H$1,units!$1:$1,0)-COLUMN(INDIRECT("character_id"))+1,FALSE)</f>
        <v>裂雷の必撃鏃 ゲイボルグ</v>
      </c>
      <c r="I17" s="44">
        <v>504</v>
      </c>
      <c r="J17" s="21" t="str">
        <f>VLOOKUP(I17,[1]characters!$A:$C,3,FALSE)</f>
        <v>ハイディン・オーガ</v>
      </c>
      <c r="K17" s="18">
        <v>1</v>
      </c>
      <c r="L17" s="111">
        <v>2</v>
      </c>
      <c r="M17" s="111">
        <v>100</v>
      </c>
    </row>
    <row r="18" spans="1:13" x14ac:dyDescent="0.15">
      <c r="A18" s="64" t="str">
        <f t="shared" si="2"/>
        <v>949_837</v>
      </c>
      <c r="B18" s="44">
        <v>949</v>
      </c>
      <c r="C18" s="170">
        <f t="shared" si="3"/>
        <v>949</v>
      </c>
      <c r="D18" s="21" t="str">
        <f ca="1">VLOOKUP(B18,units!A:B,2)</f>
        <v>トライデント</v>
      </c>
      <c r="E18" s="21">
        <f ca="1">VLOOKUP($B18,OFFSET(units!$A$1,0,0,COUNTA(units!$A:$A),MATCH(E$1,units!$1:$1,0)-COLUMN(INDIRECT("character_id"))+1),MATCH(E$1,units!$1:$1,0)-COLUMN(INDIRECT("character_id"))+1,FALSE)</f>
        <v>5</v>
      </c>
      <c r="F18" s="21" t="str">
        <f ca="1">VLOOKUP($B18,OFFSET(units!$A$1,0,0,COUNTA(units!$A:$A),MATCH(F$1,units!$1:$1,0)-COLUMN(INDIRECT("character_id"))+1),MATCH(F$1,units!$1:$1,0)-COLUMN(INDIRECT("character_id"))+1,FALSE)</f>
        <v>DropWizSSS</v>
      </c>
      <c r="G18" s="179">
        <v>950</v>
      </c>
      <c r="H18" s="21" t="str">
        <f ca="1">VLOOKUP($G18,OFFSET(units!$A$1,0,0,COUNTA(units!$A:$A),MATCH(H$1,units!$1:$1,0)-COLUMN(INDIRECT("character_id"))+1),MATCH(H$1,units!$1:$1,0)-COLUMN(INDIRECT("character_id"))+1,FALSE)</f>
        <v>海洪操る三叉戟 トライデント</v>
      </c>
      <c r="I18" s="44">
        <v>837</v>
      </c>
      <c r="J18" s="21" t="str">
        <f>VLOOKUP(I18,[1]characters!$A:$C,3,FALSE)</f>
        <v>リトルハンプティ</v>
      </c>
      <c r="K18" s="18">
        <v>2</v>
      </c>
      <c r="L18" s="111">
        <v>1</v>
      </c>
      <c r="M18" s="111">
        <v>1000</v>
      </c>
    </row>
    <row r="19" spans="1:13" x14ac:dyDescent="0.15">
      <c r="A19" s="64" t="str">
        <f t="shared" si="2"/>
        <v>949_112</v>
      </c>
      <c r="B19" s="44">
        <v>949</v>
      </c>
      <c r="C19" s="170">
        <f t="shared" si="3"/>
        <v>949</v>
      </c>
      <c r="D19" s="21" t="str">
        <f ca="1">VLOOKUP(B19,units!A:B,2)</f>
        <v>トライデント</v>
      </c>
      <c r="E19" s="21">
        <f ca="1">VLOOKUP($B19,OFFSET(units!$A$1,0,0,COUNTA(units!$A:$A),MATCH(E$1,units!$1:$1,0)-COLUMN(INDIRECT("character_id"))+1),MATCH(E$1,units!$1:$1,0)-COLUMN(INDIRECT("character_id"))+1,FALSE)</f>
        <v>5</v>
      </c>
      <c r="F19" s="21" t="str">
        <f ca="1">VLOOKUP($B19,OFFSET(units!$A$1,0,0,COUNTA(units!$A:$A),MATCH(F$1,units!$1:$1,0)-COLUMN(INDIRECT("character_id"))+1),MATCH(F$1,units!$1:$1,0)-COLUMN(INDIRECT("character_id"))+1,FALSE)</f>
        <v>DropWizSSS</v>
      </c>
      <c r="G19" s="179">
        <v>950</v>
      </c>
      <c r="H19" s="21" t="str">
        <f ca="1">VLOOKUP($G19,OFFSET(units!$A$1,0,0,COUNTA(units!$A:$A),MATCH(H$1,units!$1:$1,0)-COLUMN(INDIRECT("character_id"))+1),MATCH(H$1,units!$1:$1,0)-COLUMN(INDIRECT("character_id"))+1,FALSE)</f>
        <v>海洪操る三叉戟 トライデント</v>
      </c>
      <c r="I19" s="44">
        <v>112</v>
      </c>
      <c r="J19" s="21" t="str">
        <f>VLOOKUP(I19,[1]characters!$A:$C,3,FALSE)</f>
        <v>水のマッドハッター</v>
      </c>
      <c r="K19" s="18">
        <v>1</v>
      </c>
      <c r="L19" s="111">
        <v>1</v>
      </c>
      <c r="M19" s="111">
        <v>10</v>
      </c>
    </row>
    <row r="20" spans="1:13" x14ac:dyDescent="0.15">
      <c r="A20" s="64" t="str">
        <f t="shared" si="2"/>
        <v>949_456</v>
      </c>
      <c r="B20" s="44">
        <v>949</v>
      </c>
      <c r="C20" s="170">
        <f t="shared" si="3"/>
        <v>949</v>
      </c>
      <c r="D20" s="21" t="str">
        <f ca="1">VLOOKUP(B20,units!A:B,2)</f>
        <v>トライデント</v>
      </c>
      <c r="E20" s="21">
        <f ca="1">VLOOKUP($B20,OFFSET(units!$A$1,0,0,COUNTA(units!$A:$A),MATCH(E$1,units!$1:$1,0)-COLUMN(INDIRECT("character_id"))+1),MATCH(E$1,units!$1:$1,0)-COLUMN(INDIRECT("character_id"))+1,FALSE)</f>
        <v>5</v>
      </c>
      <c r="F20" s="21" t="str">
        <f ca="1">VLOOKUP($B20,OFFSET(units!$A$1,0,0,COUNTA(units!$A:$A),MATCH(F$1,units!$1:$1,0)-COLUMN(INDIRECT("character_id"))+1),MATCH(F$1,units!$1:$1,0)-COLUMN(INDIRECT("character_id"))+1,FALSE)</f>
        <v>DropWizSSS</v>
      </c>
      <c r="G20" s="179">
        <v>950</v>
      </c>
      <c r="H20" s="21" t="str">
        <f ca="1">VLOOKUP($G20,OFFSET(units!$A$1,0,0,COUNTA(units!$A:$A),MATCH(H$1,units!$1:$1,0)-COLUMN(INDIRECT("character_id"))+1),MATCH(H$1,units!$1:$1,0)-COLUMN(INDIRECT("character_id"))+1,FALSE)</f>
        <v>海洪操る三叉戟 トライデント</v>
      </c>
      <c r="I20" s="44">
        <v>456</v>
      </c>
      <c r="J20" s="21" t="str">
        <f>VLOOKUP(I20,[1]characters!$A:$C,3,FALSE)</f>
        <v>射絶 ユヅル</v>
      </c>
      <c r="K20" s="18">
        <v>1</v>
      </c>
      <c r="L20" s="111">
        <v>2</v>
      </c>
      <c r="M20" s="111">
        <v>100</v>
      </c>
    </row>
    <row r="21" spans="1:13" x14ac:dyDescent="0.15">
      <c r="A21" s="64" t="str">
        <f t="shared" si="2"/>
        <v>949_310</v>
      </c>
      <c r="B21" s="44">
        <v>949</v>
      </c>
      <c r="C21" s="170">
        <f t="shared" si="3"/>
        <v>949</v>
      </c>
      <c r="D21" s="21" t="str">
        <f ca="1">VLOOKUP(B21,units!A:B,2)</f>
        <v>トライデント</v>
      </c>
      <c r="E21" s="21">
        <f ca="1">VLOOKUP($B21,OFFSET(units!$A$1,0,0,COUNTA(units!$A:$A),MATCH(E$1,units!$1:$1,0)-COLUMN(INDIRECT("character_id"))+1),MATCH(E$1,units!$1:$1,0)-COLUMN(INDIRECT("character_id"))+1,FALSE)</f>
        <v>5</v>
      </c>
      <c r="F21" s="21" t="str">
        <f ca="1">VLOOKUP($B21,OFFSET(units!$A$1,0,0,COUNTA(units!$A:$A),MATCH(F$1,units!$1:$1,0)-COLUMN(INDIRECT("character_id"))+1),MATCH(F$1,units!$1:$1,0)-COLUMN(INDIRECT("character_id"))+1,FALSE)</f>
        <v>DropWizSSS</v>
      </c>
      <c r="G21" s="179">
        <v>950</v>
      </c>
      <c r="H21" s="21" t="str">
        <f ca="1">VLOOKUP($G21,OFFSET(units!$A$1,0,0,COUNTA(units!$A:$A),MATCH(H$1,units!$1:$1,0)-COLUMN(INDIRECT("character_id"))+1),MATCH(H$1,units!$1:$1,0)-COLUMN(INDIRECT("character_id"))+1,FALSE)</f>
        <v>海洪操る三叉戟 トライデント</v>
      </c>
      <c r="I21" s="44">
        <v>310</v>
      </c>
      <c r="J21" s="21" t="str">
        <f>VLOOKUP(I21,[1]characters!$A:$C,3,FALSE)</f>
        <v>リードシクティス</v>
      </c>
      <c r="K21" s="18">
        <v>1</v>
      </c>
      <c r="L21" s="111">
        <v>2</v>
      </c>
      <c r="M21" s="111">
        <v>100</v>
      </c>
    </row>
    <row r="22" spans="1:13" x14ac:dyDescent="0.15">
      <c r="A22" s="64" t="str">
        <f t="shared" si="2"/>
        <v>951_837</v>
      </c>
      <c r="B22" s="44">
        <v>951</v>
      </c>
      <c r="C22" s="170">
        <f t="shared" si="3"/>
        <v>951</v>
      </c>
      <c r="D22" s="21" t="str">
        <f ca="1">VLOOKUP(B22,units!A:B,2)</f>
        <v>グングニル</v>
      </c>
      <c r="E22" s="21">
        <f ca="1">VLOOKUP($B22,OFFSET(units!$A$1,0,0,COUNTA(units!$A:$A),MATCH(E$1,units!$1:$1,0)-COLUMN(INDIRECT("character_id"))+1),MATCH(E$1,units!$1:$1,0)-COLUMN(INDIRECT("character_id"))+1,FALSE)</f>
        <v>5</v>
      </c>
      <c r="F22" s="21" t="str">
        <f ca="1">VLOOKUP($B22,OFFSET(units!$A$1,0,0,COUNTA(units!$A:$A),MATCH(F$1,units!$1:$1,0)-COLUMN(INDIRECT("character_id"))+1),MATCH(F$1,units!$1:$1,0)-COLUMN(INDIRECT("character_id"))+1,FALSE)</f>
        <v>DropWizSSS</v>
      </c>
      <c r="G22" s="179">
        <v>952</v>
      </c>
      <c r="H22" s="21" t="str">
        <f ca="1">VLOOKUP($G22,OFFSET(units!$A$1,0,0,COUNTA(units!$A:$A),MATCH(H$1,units!$1:$1,0)-COLUMN(INDIRECT("character_id"))+1),MATCH(H$1,units!$1:$1,0)-COLUMN(INDIRECT("character_id"))+1,FALSE)</f>
        <v>勝臨の機鋭槍 グングニル</v>
      </c>
      <c r="I22" s="44">
        <v>837</v>
      </c>
      <c r="J22" s="21" t="str">
        <f>VLOOKUP(I22,[1]characters!$A:$C,3,FALSE)</f>
        <v>リトルハンプティ</v>
      </c>
      <c r="K22" s="18">
        <v>2</v>
      </c>
      <c r="L22" s="111">
        <v>1</v>
      </c>
      <c r="M22" s="111">
        <v>1000</v>
      </c>
    </row>
    <row r="23" spans="1:13" x14ac:dyDescent="0.15">
      <c r="A23" s="64" t="str">
        <f t="shared" si="2"/>
        <v>951_116</v>
      </c>
      <c r="B23" s="44">
        <v>951</v>
      </c>
      <c r="C23" s="170">
        <f t="shared" si="3"/>
        <v>951</v>
      </c>
      <c r="D23" s="21" t="str">
        <f ca="1">VLOOKUP(B23,units!A:B,2)</f>
        <v>グングニル</v>
      </c>
      <c r="E23" s="21">
        <f ca="1">VLOOKUP($B23,OFFSET(units!$A$1,0,0,COUNTA(units!$A:$A),MATCH(E$1,units!$1:$1,0)-COLUMN(INDIRECT("character_id"))+1),MATCH(E$1,units!$1:$1,0)-COLUMN(INDIRECT("character_id"))+1,FALSE)</f>
        <v>5</v>
      </c>
      <c r="F23" s="21" t="str">
        <f ca="1">VLOOKUP($B23,OFFSET(units!$A$1,0,0,COUNTA(units!$A:$A),MATCH(F$1,units!$1:$1,0)-COLUMN(INDIRECT("character_id"))+1),MATCH(F$1,units!$1:$1,0)-COLUMN(INDIRECT("character_id"))+1,FALSE)</f>
        <v>DropWizSSS</v>
      </c>
      <c r="G23" s="179">
        <v>952</v>
      </c>
      <c r="H23" s="21" t="str">
        <f ca="1">VLOOKUP($G23,OFFSET(units!$A$1,0,0,COUNTA(units!$A:$A),MATCH(H$1,units!$1:$1,0)-COLUMN(INDIRECT("character_id"))+1),MATCH(H$1,units!$1:$1,0)-COLUMN(INDIRECT("character_id"))+1,FALSE)</f>
        <v>勝臨の機鋭槍 グングニル</v>
      </c>
      <c r="I23" s="44">
        <v>116</v>
      </c>
      <c r="J23" s="21" t="str">
        <f>VLOOKUP(I23,[1]characters!$A:$C,3,FALSE)</f>
        <v>雷のマッドハッター</v>
      </c>
      <c r="K23" s="18">
        <v>1</v>
      </c>
      <c r="L23" s="111">
        <v>1</v>
      </c>
      <c r="M23" s="111">
        <v>10</v>
      </c>
    </row>
    <row r="24" spans="1:13" x14ac:dyDescent="0.15">
      <c r="A24" s="64" t="str">
        <f t="shared" si="2"/>
        <v>951_458</v>
      </c>
      <c r="B24" s="44">
        <v>951</v>
      </c>
      <c r="C24" s="170">
        <f t="shared" si="3"/>
        <v>951</v>
      </c>
      <c r="D24" s="21" t="str">
        <f ca="1">VLOOKUP(B24,units!A:B,2)</f>
        <v>グングニル</v>
      </c>
      <c r="E24" s="21">
        <f ca="1">VLOOKUP($B24,OFFSET(units!$A$1,0,0,COUNTA(units!$A:$A),MATCH(E$1,units!$1:$1,0)-COLUMN(INDIRECT("character_id"))+1),MATCH(E$1,units!$1:$1,0)-COLUMN(INDIRECT("character_id"))+1,FALSE)</f>
        <v>5</v>
      </c>
      <c r="F24" s="21" t="str">
        <f ca="1">VLOOKUP($B24,OFFSET(units!$A$1,0,0,COUNTA(units!$A:$A),MATCH(F$1,units!$1:$1,0)-COLUMN(INDIRECT("character_id"))+1),MATCH(F$1,units!$1:$1,0)-COLUMN(INDIRECT("character_id"))+1,FALSE)</f>
        <v>DropWizSSS</v>
      </c>
      <c r="G24" s="179">
        <v>952</v>
      </c>
      <c r="H24" s="21" t="str">
        <f ca="1">VLOOKUP($G24,OFFSET(units!$A$1,0,0,COUNTA(units!$A:$A),MATCH(H$1,units!$1:$1,0)-COLUMN(INDIRECT("character_id"))+1),MATCH(H$1,units!$1:$1,0)-COLUMN(INDIRECT("character_id"))+1,FALSE)</f>
        <v>勝臨の機鋭槍 グングニル</v>
      </c>
      <c r="I24" s="44">
        <v>458</v>
      </c>
      <c r="J24" s="21" t="str">
        <f>VLOOKUP(I24,[1]characters!$A:$C,3,FALSE)</f>
        <v>嵐龍 スガル</v>
      </c>
      <c r="K24" s="18">
        <v>1</v>
      </c>
      <c r="L24" s="111">
        <v>2</v>
      </c>
      <c r="M24" s="111">
        <v>100</v>
      </c>
    </row>
    <row r="25" spans="1:13" x14ac:dyDescent="0.15">
      <c r="A25" s="64" t="str">
        <f t="shared" si="2"/>
        <v>951_583</v>
      </c>
      <c r="B25" s="44">
        <v>951</v>
      </c>
      <c r="C25" s="170">
        <f t="shared" si="3"/>
        <v>951</v>
      </c>
      <c r="D25" s="21" t="str">
        <f ca="1">VLOOKUP(B25,units!A:B,2)</f>
        <v>グングニル</v>
      </c>
      <c r="E25" s="21">
        <f ca="1">VLOOKUP($B25,OFFSET(units!$A$1,0,0,COUNTA(units!$A:$A),MATCH(E$1,units!$1:$1,0)-COLUMN(INDIRECT("character_id"))+1),MATCH(E$1,units!$1:$1,0)-COLUMN(INDIRECT("character_id"))+1,FALSE)</f>
        <v>5</v>
      </c>
      <c r="F25" s="21" t="str">
        <f ca="1">VLOOKUP($B25,OFFSET(units!$A$1,0,0,COUNTA(units!$A:$A),MATCH(F$1,units!$1:$1,0)-COLUMN(INDIRECT("character_id"))+1),MATCH(F$1,units!$1:$1,0)-COLUMN(INDIRECT("character_id"))+1,FALSE)</f>
        <v>DropWizSSS</v>
      </c>
      <c r="G25" s="179">
        <v>952</v>
      </c>
      <c r="H25" s="21" t="str">
        <f ca="1">VLOOKUP($G25,OFFSET(units!$A$1,0,0,COUNTA(units!$A:$A),MATCH(H$1,units!$1:$1,0)-COLUMN(INDIRECT("character_id"))+1),MATCH(H$1,units!$1:$1,0)-COLUMN(INDIRECT("character_id"))+1,FALSE)</f>
        <v>勝臨の機鋭槍 グングニル</v>
      </c>
      <c r="I25" s="44">
        <v>583</v>
      </c>
      <c r="J25" s="21" t="str">
        <f>VLOOKUP(I25,[1]characters!$A:$C,3,FALSE)</f>
        <v>ミョルニル</v>
      </c>
      <c r="K25" s="18">
        <v>1</v>
      </c>
      <c r="L25" s="111">
        <v>2</v>
      </c>
      <c r="M25" s="111">
        <v>100</v>
      </c>
    </row>
  </sheetData>
  <sheetProtection selectLockedCells="1" selectUnlockedCells="1"/>
  <autoFilter ref="B1:K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H13"/>
  <sheetViews>
    <sheetView workbookViewId="0">
      <selection activeCell="D6" sqref="D6"/>
    </sheetView>
  </sheetViews>
  <sheetFormatPr baseColWidth="12" defaultRowHeight="15" x14ac:dyDescent="0.15"/>
  <cols>
    <col min="2" max="2" width="21.33203125" bestFit="1" customWidth="1"/>
    <col min="5" max="5" width="33.1640625" customWidth="1"/>
    <col min="6" max="6" width="69.83203125" customWidth="1"/>
  </cols>
  <sheetData>
    <row r="1" spans="1:8" s="24" customFormat="1" ht="21" customHeight="1" x14ac:dyDescent="0.15">
      <c r="A1" s="189" t="s">
        <v>331</v>
      </c>
      <c r="B1" s="190" t="s">
        <v>332</v>
      </c>
      <c r="C1" s="117" t="s">
        <v>333</v>
      </c>
      <c r="D1" s="117" t="s">
        <v>334</v>
      </c>
      <c r="E1" s="191" t="s">
        <v>335</v>
      </c>
      <c r="F1" s="191" t="s">
        <v>336</v>
      </c>
      <c r="G1" s="120" t="s">
        <v>337</v>
      </c>
      <c r="H1" s="189" t="s">
        <v>338</v>
      </c>
    </row>
    <row r="2" spans="1:8" s="4" customFormat="1" ht="21" customHeight="1" x14ac:dyDescent="0.15">
      <c r="A2" s="192">
        <v>753</v>
      </c>
      <c r="B2" s="193" t="str">
        <f>VLOOKUP(A2,[1]characters!$A:$C,3)</f>
        <v>皆斬の虐器 ムラマサ</v>
      </c>
      <c r="C2" s="192">
        <v>1</v>
      </c>
      <c r="D2" s="192">
        <v>109</v>
      </c>
      <c r="E2" s="204" t="str">
        <f>IF(ISERROR(VLOOKUP(D2,[2]abilities!A:D,3,FALSE))=FALSE,VLOOKUP(D2,[2]abilities!A:D,3),IF(ISERROR(VLOOKUP(D2,abilities!A:D,3,FALSE))=FALSE,VLOOKUP(D2,abilities!A:D,3),"なし"))</f>
        <v>ダメージパネルブレイク</v>
      </c>
      <c r="F2" s="194" t="str">
        <f>IF(ISERROR(VLOOKUP(D2,[2]abilities!A:D,4,FALSE))=FALSE,VLOOKUP(D2,[2]abilities!A:D,4),IF(ISERROR(VLOOKUP(D2,abilities!A:D,4,FALSE))=FALSE,VLOOKUP(D2,abilities!A:D,4),"なし"))</f>
        <v>自身が先頭の時、ダメージを受けずにダメージパネルを破壊できる</v>
      </c>
      <c r="G2" s="195" t="s">
        <v>339</v>
      </c>
      <c r="H2" s="195" t="s">
        <v>340</v>
      </c>
    </row>
    <row r="3" spans="1:8" s="4" customFormat="1" ht="21" customHeight="1" x14ac:dyDescent="0.15">
      <c r="A3" s="192">
        <v>753</v>
      </c>
      <c r="B3" s="193" t="str">
        <f>VLOOKUP(A3,[1]characters!$A:$C,3)</f>
        <v>皆斬の虐器 ムラマサ</v>
      </c>
      <c r="C3" s="192">
        <v>2</v>
      </c>
      <c r="D3" s="192">
        <v>204</v>
      </c>
      <c r="E3" s="204" t="str">
        <f>IF(ISERROR(VLOOKUP(D3,[2]abilities!A:D,3,FALSE))=FALSE,VLOOKUP(D3,[2]abilities!A:D,3),IF(ISERROR(VLOOKUP(D3,abilities!A:D,3,FALSE))=FALSE,VLOOKUP(D3,abilities!A:D,3),"なし"))</f>
        <v>爆風強化</v>
      </c>
      <c r="F3" s="194" t="str">
        <f>IF(ISERROR(VLOOKUP(D3,[2]abilities!A:D,4,FALSE))=FALSE,VLOOKUP(D3,[2]abilities!A:D,4),IF(ISERROR(VLOOKUP(D3,abilities!A:D,4,FALSE))=FALSE,VLOOKUP(D3,abilities!A:D,4),"なし"))</f>
        <v>自身が先頭の時、ボムの爆風を強化する</v>
      </c>
      <c r="G3" s="195" t="s">
        <v>339</v>
      </c>
      <c r="H3" s="195" t="s">
        <v>402</v>
      </c>
    </row>
    <row r="4" spans="1:8" s="4" customFormat="1" ht="21" customHeight="1" x14ac:dyDescent="0.15">
      <c r="A4" s="192">
        <v>755</v>
      </c>
      <c r="B4" s="193" t="str">
        <f>VLOOKUP(A4,[1]characters!$A:$C,3)</f>
        <v>究覇の一剣 マサムネ</v>
      </c>
      <c r="C4" s="192">
        <v>1</v>
      </c>
      <c r="D4" s="192">
        <v>103</v>
      </c>
      <c r="E4" s="204" t="str">
        <f>IF(ISERROR(VLOOKUP(D4,[2]abilities!A:D,3,FALSE))=FALSE,VLOOKUP(D4,[2]abilities!A:D,3),IF(ISERROR(VLOOKUP(D4,abilities!A:D,3,FALSE))=FALSE,VLOOKUP(D4,abilities!A:D,3),"なし"))</f>
        <v>お邪魔ブレイク</v>
      </c>
      <c r="F4" s="194" t="str">
        <f>IF(ISERROR(VLOOKUP(D4,[2]abilities!A:D,4,FALSE))=FALSE,VLOOKUP(D4,[2]abilities!A:D,4),IF(ISERROR(VLOOKUP(D4,abilities!A:D,4,FALSE))=FALSE,VLOOKUP(D4,abilities!A:D,4),"なし"))</f>
        <v>自身が先頭の時、お邪魔パネルを破壊できる</v>
      </c>
      <c r="G4" s="195" t="s">
        <v>339</v>
      </c>
      <c r="H4" s="195" t="s">
        <v>340</v>
      </c>
    </row>
    <row r="5" spans="1:8" s="4" customFormat="1" ht="21" customHeight="1" x14ac:dyDescent="0.15">
      <c r="A5" s="192">
        <v>755</v>
      </c>
      <c r="B5" s="193" t="str">
        <f>VLOOKUP(A5,[1]characters!$A:$C,3)</f>
        <v>究覇の一剣 マサムネ</v>
      </c>
      <c r="C5" s="192">
        <v>2</v>
      </c>
      <c r="D5" s="192">
        <v>203</v>
      </c>
      <c r="E5" s="204" t="str">
        <f>IF(ISERROR(VLOOKUP(D5,[2]abilities!A:D,3,FALSE))=FALSE,VLOOKUP(D5,[2]abilities!A:D,3),IF(ISERROR(VLOOKUP(D5,abilities!A:D,3,FALSE))=FALSE,VLOOKUP(D5,abilities!A:D,3),"なし"))</f>
        <v>爆風軽減無効</v>
      </c>
      <c r="F5" s="194" t="str">
        <f>IF(ISERROR(VLOOKUP(D5,[2]abilities!A:D,4,FALSE))=FALSE,VLOOKUP(D5,[2]abilities!A:D,4),IF(ISERROR(VLOOKUP(D5,abilities!A:D,4,FALSE))=FALSE,VLOOKUP(D5,abilities!A:D,4),"なし"))</f>
        <v>自身が先頭の時、爆風軽減を無効化する</v>
      </c>
      <c r="G5" s="195" t="s">
        <v>339</v>
      </c>
      <c r="H5" s="195" t="s">
        <v>402</v>
      </c>
    </row>
    <row r="6" spans="1:8" s="4" customFormat="1" ht="21" customHeight="1" x14ac:dyDescent="0.15">
      <c r="A6" s="192">
        <v>757</v>
      </c>
      <c r="B6" s="193" t="str">
        <f>VLOOKUP(A6,[1]characters!$A:$C,3)</f>
        <v>荒龍の復魂 アメノムラクモ</v>
      </c>
      <c r="C6" s="192">
        <v>1</v>
      </c>
      <c r="D6" s="192">
        <v>109</v>
      </c>
      <c r="E6" s="204" t="str">
        <f>IF(ISERROR(VLOOKUP(D6,[2]abilities!A:D,3,FALSE))=FALSE,VLOOKUP(D6,[2]abilities!A:D,3),IF(ISERROR(VLOOKUP(D6,abilities!A:D,3,FALSE))=FALSE,VLOOKUP(D6,abilities!A:D,3),"なし"))</f>
        <v>ダメージパネルブレイク</v>
      </c>
      <c r="F6" s="194" t="str">
        <f>IF(ISERROR(VLOOKUP(D6,[2]abilities!A:D,4,FALSE))=FALSE,VLOOKUP(D6,[2]abilities!A:D,4),IF(ISERROR(VLOOKUP(D6,abilities!A:D,4,FALSE))=FALSE,VLOOKUP(D6,abilities!A:D,4),"なし"))</f>
        <v>自身が先頭の時、ダメージを受けずにダメージパネルを破壊できる</v>
      </c>
      <c r="G6" s="195" t="s">
        <v>339</v>
      </c>
      <c r="H6" s="195" t="s">
        <v>340</v>
      </c>
    </row>
    <row r="7" spans="1:8" s="4" customFormat="1" ht="21" customHeight="1" x14ac:dyDescent="0.15">
      <c r="A7" s="192">
        <v>757</v>
      </c>
      <c r="B7" s="193" t="str">
        <f>VLOOKUP(A7,[1]characters!$A:$C,3)</f>
        <v>荒龍の復魂 アメノムラクモ</v>
      </c>
      <c r="C7" s="192">
        <v>2</v>
      </c>
      <c r="D7" s="192">
        <v>900</v>
      </c>
      <c r="E7" s="204" t="str">
        <f>IF(ISERROR(VLOOKUP(D7,[2]abilities!A:D,3,FALSE))=FALSE,VLOOKUP(D7,[2]abilities!A:D,3),IF(ISERROR(VLOOKUP(D7,abilities!A:D,3,FALSE))=FALSE,VLOOKUP(D7,abilities!A:D,3),"なし"))</f>
        <v>チェイン12 攻撃力UP</v>
      </c>
      <c r="F7" s="194" t="str">
        <f>IF(ISERROR(VLOOKUP(D7,[2]abilities!A:D,4,FALSE))=FALSE,VLOOKUP(D7,[2]abilities!A:D,4),IF(ISERROR(VLOOKUP(D7,abilities!A:D,4,FALSE))=FALSE,VLOOKUP(D7,abilities!A:D,4),"なし"))</f>
        <v>自身が先頭の時、1タップで12個以上パネルを繋げた場合に攻撃力UP(1ターンに1度だけ発動)</v>
      </c>
      <c r="G7" s="195" t="s">
        <v>339</v>
      </c>
      <c r="H7" s="195" t="s">
        <v>402</v>
      </c>
    </row>
    <row r="8" spans="1:8" s="4" customFormat="1" ht="21" customHeight="1" x14ac:dyDescent="0.15">
      <c r="A8" s="192">
        <v>948</v>
      </c>
      <c r="B8" s="193" t="str">
        <f>VLOOKUP(A8,[1]characters!$A:$C,3)</f>
        <v>裂雷の必撃鏃 ゲイボルグ</v>
      </c>
      <c r="C8" s="192">
        <v>1</v>
      </c>
      <c r="D8" s="192">
        <v>94802</v>
      </c>
      <c r="E8" s="204" t="str">
        <f>IF(ISERROR(VLOOKUP(D8,[2]abilities!A:D,3,FALSE))=FALSE,VLOOKUP(D8,[2]abilities!A:D,3),IF(ISERROR(VLOOKUP(D8,abilities!A:D,3,FALSE))=FALSE,VLOOKUP(D8,abilities!A:D,3),"なし"))</f>
        <v>パネルブレイク30 攻撃力UP</v>
      </c>
      <c r="F8" s="194" t="str">
        <f>IF(ISERROR(VLOOKUP(D8,[2]abilities!A:D,4,FALSE))=FALSE,VLOOKUP(D8,[2]abilities!A:D,4),IF(ISERROR(VLOOKUP(D8,abilities!A:D,4,FALSE))=FALSE,VLOOKUP(D8,abilities!A:D,4),"なし"))</f>
        <v>自身が先頭の時、1ターンの間に合計30個以上パネルを破壊した場合に攻撃力UP</v>
      </c>
      <c r="G8" s="195" t="s">
        <v>339</v>
      </c>
      <c r="H8" s="195" t="s">
        <v>340</v>
      </c>
    </row>
    <row r="9" spans="1:8" s="4" customFormat="1" ht="21" customHeight="1" x14ac:dyDescent="0.15">
      <c r="A9" s="192">
        <v>948</v>
      </c>
      <c r="B9" s="193" t="str">
        <f>VLOOKUP(A9,[1]characters!$A:$C,3)</f>
        <v>裂雷の必撃鏃 ゲイボルグ</v>
      </c>
      <c r="C9" s="192">
        <v>2</v>
      </c>
      <c r="D9" s="192">
        <v>94801</v>
      </c>
      <c r="E9" s="204" t="str">
        <f>IF(ISERROR(VLOOKUP(D9,[2]abilities!A:D,3,FALSE))=FALSE,VLOOKUP(D9,[2]abilities!A:D,3),IF(ISERROR(VLOOKUP(D9,abilities!A:D,3,FALSE))=FALSE,VLOOKUP(D9,abilities!A:D,3),"なし"))</f>
        <v>攻撃力小UP</v>
      </c>
      <c r="F9" s="194" t="str">
        <f>IF(ISERROR(VLOOKUP(D9,[2]abilities!A:D,4,FALSE))=FALSE,VLOOKUP(D9,[2]abilities!A:D,4),IF(ISERROR(VLOOKUP(D9,abilities!A:D,4,FALSE))=FALSE,VLOOKUP(D9,abilities!A:D,4),"なし"))</f>
        <v>自身の攻撃力を小UP</v>
      </c>
      <c r="G9" s="195" t="s">
        <v>339</v>
      </c>
      <c r="H9" s="195" t="s">
        <v>402</v>
      </c>
    </row>
    <row r="10" spans="1:8" x14ac:dyDescent="0.15">
      <c r="A10" s="192">
        <v>950</v>
      </c>
      <c r="B10" s="193" t="str">
        <f>VLOOKUP(A10,[1]characters!$A:$C,3)</f>
        <v>海洪操る三叉戟 トライデント</v>
      </c>
      <c r="C10" s="192">
        <v>1</v>
      </c>
      <c r="D10" s="192">
        <v>203</v>
      </c>
      <c r="E10" s="204" t="str">
        <f>IF(ISERROR(VLOOKUP(D10,[2]abilities!A:D,3,FALSE))=FALSE,VLOOKUP(D10,[2]abilities!A:D,3),IF(ISERROR(VLOOKUP(D10,abilities!A:D,3,FALSE))=FALSE,VLOOKUP(D10,abilities!A:D,3),"なし"))</f>
        <v>爆風軽減無効</v>
      </c>
      <c r="F10" s="194" t="str">
        <f>IF(ISERROR(VLOOKUP(D10,[2]abilities!A:D,4,FALSE))=FALSE,VLOOKUP(D10,[2]abilities!A:D,4),IF(ISERROR(VLOOKUP(D10,abilities!A:D,4,FALSE))=FALSE,VLOOKUP(D10,abilities!A:D,4),"なし"))</f>
        <v>自身が先頭の時、爆風軽減を無効化する</v>
      </c>
      <c r="G10" s="195" t="s">
        <v>339</v>
      </c>
      <c r="H10" s="195" t="s">
        <v>340</v>
      </c>
    </row>
    <row r="11" spans="1:8" x14ac:dyDescent="0.15">
      <c r="A11" s="192">
        <v>950</v>
      </c>
      <c r="B11" s="193" t="str">
        <f>VLOOKUP(A11,[1]characters!$A:$C,3)</f>
        <v>海洪操る三叉戟 トライデント</v>
      </c>
      <c r="C11" s="192">
        <v>2</v>
      </c>
      <c r="D11" s="192">
        <v>94803</v>
      </c>
      <c r="E11" s="204" t="str">
        <f>IF(ISERROR(VLOOKUP(D11,[2]abilities!A:D,3,FALSE))=FALSE,VLOOKUP(D11,[2]abilities!A:D,3),IF(ISERROR(VLOOKUP(D11,abilities!A:D,3,FALSE))=FALSE,VLOOKUP(D11,abilities!A:D,3),"なし"))</f>
        <v>Cスキル威力UP</v>
      </c>
      <c r="F11" s="194" t="str">
        <f>IF(ISERROR(VLOOKUP(D11,[2]abilities!A:D,4,FALSE))=FALSE,VLOOKUP(D11,[2]abilities!A:D,4),IF(ISERROR(VLOOKUP(D11,abilities!A:D,4,FALSE))=FALSE,VLOOKUP(D11,abilities!A:D,4),"なし"))</f>
        <v>自身のCスキルの威力をUP</v>
      </c>
      <c r="G11" s="195" t="s">
        <v>339</v>
      </c>
      <c r="H11" s="195" t="s">
        <v>402</v>
      </c>
    </row>
    <row r="12" spans="1:8" x14ac:dyDescent="0.15">
      <c r="A12" s="192">
        <v>952</v>
      </c>
      <c r="B12" s="193" t="str">
        <f>VLOOKUP(A12,[1]characters!$A:$C,3)</f>
        <v>勝臨の機鋭槍 グングニル</v>
      </c>
      <c r="C12" s="192">
        <v>1</v>
      </c>
      <c r="D12" s="192">
        <v>95203</v>
      </c>
      <c r="E12" s="204" t="str">
        <f>IF(ISERROR(VLOOKUP(D12,[2]abilities!A:D,3,FALSE))=FALSE,VLOOKUP(D12,[2]abilities!A:D,3),IF(ISERROR(VLOOKUP(D12,abilities!A:D,3,FALSE))=FALSE,VLOOKUP(D12,abilities!A:D,3),"なし"))</f>
        <v>対種族マシン・ゴッド　ダメージUP</v>
      </c>
      <c r="F12" s="194" t="str">
        <f>IF(ISERROR(VLOOKUP(D12,[2]abilities!A:D,4,FALSE))=FALSE,VLOOKUP(D12,[2]abilities!A:D,4),IF(ISERROR(VLOOKUP(D12,abilities!A:D,4,FALSE))=FALSE,VLOOKUP(D12,abilities!A:D,4),"なし"))</f>
        <v>自身の攻撃対象が種族ゴッドか、マシンの場合全ての攻撃の威力をUP</v>
      </c>
      <c r="G12" s="195" t="s">
        <v>339</v>
      </c>
      <c r="H12" s="195" t="s">
        <v>420</v>
      </c>
    </row>
    <row r="13" spans="1:8" ht="24" customHeight="1" x14ac:dyDescent="0.15">
      <c r="A13" s="192">
        <v>952</v>
      </c>
      <c r="B13" s="193" t="str">
        <f>VLOOKUP(A13,[1]characters!$A:$C,3)</f>
        <v>勝臨の機鋭槍 グングニル</v>
      </c>
      <c r="C13" s="192">
        <v>2</v>
      </c>
      <c r="D13" s="192">
        <v>102</v>
      </c>
      <c r="E13" s="204" t="str">
        <f>IF(ISERROR(VLOOKUP(D13,[2]abilities!A:D,3,FALSE))=FALSE,VLOOKUP(D13,[2]abilities!A:D,3),IF(ISERROR(VLOOKUP(D13,abilities!A:D,3,FALSE))=FALSE,VLOOKUP(D13,abilities!A:D,3),"なし"))</f>
        <v>プロテクトブレイク</v>
      </c>
      <c r="F13" s="194" t="str">
        <f>IF(ISERROR(VLOOKUP(D13,[2]abilities!A:D,4,FALSE))=FALSE,VLOOKUP(D13,[2]abilities!A:D,4),IF(ISERROR(VLOOKUP(D13,abilities!A:D,4,FALSE))=FALSE,VLOOKUP(D13,abilities!A:D,4),"なし"))</f>
        <v>自身が先頭の時、プロテクトを無視してパネル破壊できる</v>
      </c>
      <c r="G13" s="195" t="s">
        <v>339</v>
      </c>
      <c r="H13" s="195" t="s">
        <v>402</v>
      </c>
    </row>
  </sheetData>
  <phoneticPr fontId="22"/>
  <pageMargins left="0.7" right="0.7" top="0.75" bottom="0.75" header="0.3" footer="0.3"/>
  <pageSetup paperSize="9" orientation="portrait" horizontalDpi="0" verticalDpi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/>
  <dimension ref="A1:K10"/>
  <sheetViews>
    <sheetView zoomScale="106" workbookViewId="0">
      <pane xSplit="4" topLeftCell="I1" activePane="topRight" state="frozen"/>
      <selection pane="topRight" activeCell="B11" sqref="B11"/>
    </sheetView>
  </sheetViews>
  <sheetFormatPr baseColWidth="12" defaultRowHeight="15" x14ac:dyDescent="0.15"/>
  <cols>
    <col min="3" max="3" width="25.5" bestFit="1" customWidth="1"/>
    <col min="4" max="4" width="64.83203125" customWidth="1"/>
    <col min="6" max="6" width="51.5" bestFit="1" customWidth="1"/>
    <col min="7" max="7" width="77.1640625" bestFit="1" customWidth="1"/>
    <col min="8" max="8" width="14.5" customWidth="1"/>
    <col min="9" max="9" width="177.1640625" customWidth="1"/>
    <col min="10" max="10" width="7.5" bestFit="1" customWidth="1"/>
  </cols>
  <sheetData>
    <row r="1" spans="1:11" s="24" customFormat="1" ht="21" customHeight="1" x14ac:dyDescent="0.15">
      <c r="A1" s="189" t="s">
        <v>341</v>
      </c>
      <c r="B1" s="117" t="s">
        <v>371</v>
      </c>
      <c r="C1" s="118" t="s">
        <v>40</v>
      </c>
      <c r="D1" s="119" t="s">
        <v>163</v>
      </c>
      <c r="E1" s="119" t="s">
        <v>372</v>
      </c>
      <c r="F1" s="119" t="s">
        <v>373</v>
      </c>
      <c r="G1" s="119" t="s">
        <v>374</v>
      </c>
      <c r="H1" s="119" t="s">
        <v>330</v>
      </c>
      <c r="I1" s="194" t="s">
        <v>461</v>
      </c>
      <c r="J1" s="194" t="s">
        <v>462</v>
      </c>
      <c r="K1" s="196" t="s">
        <v>343</v>
      </c>
    </row>
    <row r="2" spans="1:11" s="24" customFormat="1" ht="21" customHeight="1" x14ac:dyDescent="0.15">
      <c r="A2" s="65">
        <v>94801</v>
      </c>
      <c r="B2" s="192" t="s">
        <v>375</v>
      </c>
      <c r="C2" s="203" t="s">
        <v>421</v>
      </c>
      <c r="D2" s="197" t="s">
        <v>447</v>
      </c>
      <c r="E2" s="197" t="s">
        <v>385</v>
      </c>
      <c r="F2" s="197" t="s">
        <v>413</v>
      </c>
      <c r="G2" s="197" t="s">
        <v>400</v>
      </c>
      <c r="H2" s="197" t="s">
        <v>384</v>
      </c>
      <c r="I2" s="205" t="str">
        <f>"{"&amp;""""&amp;$E$1&amp;""""&amp;":"&amp;""""&amp;E2&amp;""""&amp;","&amp;""""&amp;"type"&amp;""""&amp;":"&amp;""""&amp;"ability"&amp;""""&amp;","&amp;""""&amp;$G$1&amp;""""&amp;":"&amp;""""&amp;G2&amp;""""&amp;","&amp;""""&amp;$F$1&amp;""""&amp;":"&amp;""""&amp;F2&amp;""""&amp;","&amp;""""&amp;$H$1&amp;""""&amp;":"&amp;H2&amp;"}"</f>
        <v>{"ver":"1.7.0","type":"ability","effects":"[effect:enhance_unit, target:myself, turn:1, status:attack, val:0.1, calc:mul, animation:enhance_unit_all_attack03]","conditions":"[condition:always]","priority":0}</v>
      </c>
      <c r="J2" s="208" t="s">
        <v>463</v>
      </c>
      <c r="K2" s="198">
        <v>3</v>
      </c>
    </row>
    <row r="3" spans="1:11" s="24" customFormat="1" ht="21" customHeight="1" x14ac:dyDescent="0.15">
      <c r="A3" s="65">
        <v>94802</v>
      </c>
      <c r="B3" s="192" t="s">
        <v>375</v>
      </c>
      <c r="C3" s="203" t="s">
        <v>422</v>
      </c>
      <c r="D3" s="197" t="s">
        <v>401</v>
      </c>
      <c r="E3" s="197" t="s">
        <v>376</v>
      </c>
      <c r="F3" s="197" t="s">
        <v>445</v>
      </c>
      <c r="G3" s="197" t="s">
        <v>399</v>
      </c>
      <c r="H3" s="197" t="s">
        <v>384</v>
      </c>
      <c r="I3" s="205" t="str">
        <f>"{"&amp;""""&amp;$E$1&amp;""""&amp;":"&amp;""""&amp;E3&amp;""""&amp;","&amp;""""&amp;"type"&amp;""""&amp;":"&amp;""""&amp;"ability"&amp;""""&amp;","&amp;""""&amp;$G$1&amp;""""&amp;":"&amp;""""&amp;G3&amp;""""&amp;","&amp;""""&amp;$F$1&amp;""""&amp;":"&amp;""""&amp;F3&amp;""""&amp;","&amp;""""&amp;$H$1&amp;""""&amp;":"&amp;H3&amp;"}"</f>
        <v>{"ver":"1.7.0","type":"ability","effects":"[effect:enhance_unit, target:myself, turn:1, status:attack, val:0.2, calc:mul, animation:enhance_unit_all_attack03]","conditions":"[condition:enclose,[condition:active_unit],[condition:panel_total,count:30],logic:and]","priority":0}</v>
      </c>
      <c r="J3" s="208" t="s">
        <v>463</v>
      </c>
      <c r="K3" s="198">
        <v>3</v>
      </c>
    </row>
    <row r="4" spans="1:11" s="24" customFormat="1" ht="21" customHeight="1" x14ac:dyDescent="0.15">
      <c r="A4" s="65">
        <v>94803</v>
      </c>
      <c r="B4" s="192" t="s">
        <v>375</v>
      </c>
      <c r="C4" s="203" t="s">
        <v>448</v>
      </c>
      <c r="D4" s="197" t="s">
        <v>442</v>
      </c>
      <c r="E4" s="197" t="s">
        <v>385</v>
      </c>
      <c r="F4" s="197" t="s">
        <v>414</v>
      </c>
      <c r="G4" s="197" t="s">
        <v>450</v>
      </c>
      <c r="H4" s="197" t="s">
        <v>384</v>
      </c>
      <c r="I4" s="205" t="str">
        <f t="shared" ref="I4:I10" si="0">"{"&amp;""""&amp;$E$1&amp;""""&amp;":"&amp;""""&amp;E4&amp;""""&amp;","&amp;""""&amp;"type"&amp;""""&amp;":"&amp;""""&amp;"ability"&amp;""""&amp;","&amp;""""&amp;$G$1&amp;""""&amp;":"&amp;""""&amp;G4&amp;""""&amp;","&amp;""""&amp;$F$1&amp;""""&amp;":"&amp;""""&amp;F4&amp;""""&amp;","&amp;""""&amp;$H$1&amp;""""&amp;":"&amp;H4&amp;"}"</f>
        <v>{"ver":"1.7.0","type":"ability","effects":"[effect:damage_up, target:myself, val:1.3, turn:1, type01:crash_skill,option:killer]","conditions":"[condition:always]    ","priority":0}</v>
      </c>
      <c r="J4" s="205" t="s">
        <v>464</v>
      </c>
      <c r="K4" s="198">
        <v>3</v>
      </c>
    </row>
    <row r="5" spans="1:11" s="24" customFormat="1" ht="21" customHeight="1" x14ac:dyDescent="0.15">
      <c r="A5" s="65">
        <v>95001</v>
      </c>
      <c r="B5" s="192" t="s">
        <v>375</v>
      </c>
      <c r="C5" s="203" t="s">
        <v>360</v>
      </c>
      <c r="D5" s="197"/>
      <c r="E5" s="197" t="s">
        <v>376</v>
      </c>
      <c r="F5" s="197" t="s">
        <v>380</v>
      </c>
      <c r="G5" s="197" t="s">
        <v>378</v>
      </c>
      <c r="H5" s="197" t="s">
        <v>384</v>
      </c>
      <c r="I5" s="205" t="str">
        <f t="shared" si="0"/>
        <v>{"ver":"1.7.0","type":"ability","effects":"[effect:change_bomb_range, turn:-1, val:2, rate:1, animation:bomb_small]","conditions":"[condition:active_unit] ","priority":0}</v>
      </c>
      <c r="J5" s="205" t="s">
        <v>464</v>
      </c>
      <c r="K5" s="198">
        <v>3</v>
      </c>
    </row>
    <row r="6" spans="1:11" s="24" customFormat="1" ht="21" customHeight="1" x14ac:dyDescent="0.15">
      <c r="A6" s="65">
        <v>95002</v>
      </c>
      <c r="B6" s="192" t="s">
        <v>375</v>
      </c>
      <c r="C6" s="203" t="s">
        <v>360</v>
      </c>
      <c r="D6" s="197" t="s">
        <v>381</v>
      </c>
      <c r="E6" s="197" t="s">
        <v>376</v>
      </c>
      <c r="F6" s="197" t="s">
        <v>380</v>
      </c>
      <c r="G6" s="197" t="s">
        <v>377</v>
      </c>
      <c r="H6" s="197" t="s">
        <v>384</v>
      </c>
      <c r="I6" s="205" t="str">
        <f t="shared" si="0"/>
        <v>{"ver":"1.7.0","type":"ability","effects":"[effect:enhance_unit, target:myself, turn:1, status:attack, val:0.2, calc:mul, animation:enhance_unit_all_attack03]","conditions":"[condition:active_unit] ","priority":0}</v>
      </c>
      <c r="J6" s="205" t="s">
        <v>464</v>
      </c>
      <c r="K6" s="198">
        <v>3</v>
      </c>
    </row>
    <row r="7" spans="1:11" s="24" customFormat="1" ht="21" customHeight="1" x14ac:dyDescent="0.15">
      <c r="A7" s="65">
        <v>95003</v>
      </c>
      <c r="B7" s="192" t="s">
        <v>375</v>
      </c>
      <c r="C7" s="203" t="s">
        <v>360</v>
      </c>
      <c r="D7" s="197" t="s">
        <v>381</v>
      </c>
      <c r="E7" s="197" t="s">
        <v>376</v>
      </c>
      <c r="F7" s="197" t="s">
        <v>380</v>
      </c>
      <c r="G7" s="197" t="s">
        <v>377</v>
      </c>
      <c r="H7" s="197" t="s">
        <v>384</v>
      </c>
      <c r="I7" s="205" t="str">
        <f t="shared" si="0"/>
        <v>{"ver":"1.7.0","type":"ability","effects":"[effect:enhance_unit, target:myself, turn:1, status:attack, val:0.2, calc:mul, animation:enhance_unit_all_attack03]","conditions":"[condition:active_unit] ","priority":0}</v>
      </c>
      <c r="J7" s="205" t="s">
        <v>464</v>
      </c>
      <c r="K7" s="198">
        <v>3</v>
      </c>
    </row>
    <row r="8" spans="1:11" s="24" customFormat="1" ht="21" customHeight="1" x14ac:dyDescent="0.15">
      <c r="A8" s="65">
        <v>95201</v>
      </c>
      <c r="B8" s="192" t="s">
        <v>375</v>
      </c>
      <c r="C8" s="203" t="s">
        <v>404</v>
      </c>
      <c r="D8" s="3" t="s">
        <v>418</v>
      </c>
      <c r="E8" s="197" t="s">
        <v>376</v>
      </c>
      <c r="F8" s="197" t="s">
        <v>403</v>
      </c>
      <c r="G8" s="197" t="s">
        <v>419</v>
      </c>
      <c r="H8" s="197" t="s">
        <v>384</v>
      </c>
      <c r="I8" s="205" t="str">
        <f t="shared" si="0"/>
        <v>{"ver":"1.7.0","type":"ability","effects":"[effect:regenerate, turn:1, val:2000, type:fix, animation:heal02]","conditions":"[condition:enclose,[condition:active_unit] ,[condition:panel_chain,count:12],logic:and]","priority":0}</v>
      </c>
      <c r="J8" s="205" t="s">
        <v>465</v>
      </c>
      <c r="K8" s="198">
        <v>3</v>
      </c>
    </row>
    <row r="9" spans="1:11" s="24" customFormat="1" ht="21" customHeight="1" x14ac:dyDescent="0.15">
      <c r="A9" s="65">
        <v>95202</v>
      </c>
      <c r="B9" s="192" t="s">
        <v>375</v>
      </c>
      <c r="C9" s="203" t="s">
        <v>416</v>
      </c>
      <c r="D9" s="197" t="s">
        <v>415</v>
      </c>
      <c r="E9" s="197" t="s">
        <v>376</v>
      </c>
      <c r="F9" s="197" t="s">
        <v>411</v>
      </c>
      <c r="G9" s="197" t="s">
        <v>412</v>
      </c>
      <c r="H9" s="197" t="s">
        <v>384</v>
      </c>
      <c r="I9" s="205" t="str">
        <f t="shared" si="0"/>
        <v>{"ver":"1.7.0","type":"ability","effects":"[effect:enhance_sp_boost, target:myself, count:1]","conditions":"[condition:every_floor]","priority":0}</v>
      </c>
      <c r="J9" s="205" t="s">
        <v>464</v>
      </c>
      <c r="K9" s="198">
        <v>3</v>
      </c>
    </row>
    <row r="10" spans="1:11" s="24" customFormat="1" ht="21" customHeight="1" x14ac:dyDescent="0.15">
      <c r="A10" s="65">
        <v>95203</v>
      </c>
      <c r="B10" s="192" t="s">
        <v>375</v>
      </c>
      <c r="C10" s="203" t="s">
        <v>423</v>
      </c>
      <c r="D10" s="197" t="s">
        <v>451</v>
      </c>
      <c r="E10" s="197" t="s">
        <v>376</v>
      </c>
      <c r="F10" s="197" t="s">
        <v>386</v>
      </c>
      <c r="G10" s="197" t="s">
        <v>449</v>
      </c>
      <c r="H10" s="197" t="s">
        <v>384</v>
      </c>
      <c r="I10" s="205" t="str">
        <f t="shared" si="0"/>
        <v>{"ver":"1.7.0","type":"ability","effects":"[effect:damage_up, target:myself, val:1.3, turn:1, type01:all,option:killer]","conditions":"[condition:enclose,[condition:unit_attack_target,tribe:god],[condition:unit_attack_target,tribe:machine],logic:or]","priority":0}</v>
      </c>
      <c r="J10" s="205" t="s">
        <v>466</v>
      </c>
      <c r="K10" s="198">
        <v>3</v>
      </c>
    </row>
  </sheetData>
  <phoneticPr fontId="22"/>
  <pageMargins left="0.7" right="0.7" top="0.75" bottom="0.75" header="0.3" footer="0.3"/>
  <pageSetup paperSize="9" orientation="portrait" horizontalDpi="0" verticalDpi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F10"/>
  <sheetViews>
    <sheetView workbookViewId="0">
      <selection activeCell="E24" sqref="E24"/>
    </sheetView>
  </sheetViews>
  <sheetFormatPr baseColWidth="12" defaultRowHeight="15" x14ac:dyDescent="0.15"/>
  <cols>
    <col min="3" max="3" width="16.5" customWidth="1"/>
    <col min="4" max="4" width="55.6640625" customWidth="1"/>
    <col min="5" max="5" width="103.1640625" bestFit="1" customWidth="1"/>
  </cols>
  <sheetData>
    <row r="1" spans="1:6" s="24" customFormat="1" ht="21" customHeight="1" x14ac:dyDescent="0.15">
      <c r="A1" s="189" t="s">
        <v>341</v>
      </c>
      <c r="B1" s="117" t="s">
        <v>134</v>
      </c>
      <c r="C1" s="118" t="s">
        <v>40</v>
      </c>
      <c r="D1" s="119" t="s">
        <v>179</v>
      </c>
      <c r="E1" s="196" t="s">
        <v>342</v>
      </c>
      <c r="F1" s="196" t="s">
        <v>344</v>
      </c>
    </row>
    <row r="2" spans="1:6" s="24" customFormat="1" ht="21" customHeight="1" x14ac:dyDescent="0.15">
      <c r="A2" s="65">
        <v>94801</v>
      </c>
      <c r="B2" s="192" t="s">
        <v>185</v>
      </c>
      <c r="C2" s="203" t="s">
        <v>358</v>
      </c>
      <c r="D2" s="197" t="s">
        <v>366</v>
      </c>
      <c r="E2" s="197" t="s">
        <v>379</v>
      </c>
      <c r="F2" s="198">
        <v>1</v>
      </c>
    </row>
    <row r="3" spans="1:6" s="24" customFormat="1" ht="21" customHeight="1" x14ac:dyDescent="0.15">
      <c r="A3" s="65">
        <v>94802</v>
      </c>
      <c r="B3" s="192" t="s">
        <v>185</v>
      </c>
      <c r="C3" s="203" t="s">
        <v>358</v>
      </c>
      <c r="D3" s="197" t="s">
        <v>364</v>
      </c>
      <c r="E3" s="197" t="s">
        <v>363</v>
      </c>
      <c r="F3" s="198">
        <v>1</v>
      </c>
    </row>
    <row r="4" spans="1:6" s="24" customFormat="1" ht="21" customHeight="1" x14ac:dyDescent="0.15">
      <c r="A4" s="65"/>
      <c r="B4" s="192" t="s">
        <v>185</v>
      </c>
      <c r="C4" s="203" t="s">
        <v>358</v>
      </c>
      <c r="D4" s="197" t="s">
        <v>345</v>
      </c>
      <c r="E4" s="197" t="s">
        <v>369</v>
      </c>
      <c r="F4" s="198">
        <v>1</v>
      </c>
    </row>
    <row r="5" spans="1:6" s="24" customFormat="1" ht="21" customHeight="1" x14ac:dyDescent="0.15">
      <c r="A5" s="65">
        <v>95001</v>
      </c>
      <c r="B5" s="192" t="s">
        <v>185</v>
      </c>
      <c r="C5" s="203" t="s">
        <v>360</v>
      </c>
      <c r="D5" s="197"/>
      <c r="E5" s="197"/>
      <c r="F5" s="198">
        <v>1</v>
      </c>
    </row>
    <row r="6" spans="1:6" s="24" customFormat="1" ht="21" customHeight="1" x14ac:dyDescent="0.15">
      <c r="A6" s="65"/>
      <c r="B6" s="192" t="s">
        <v>185</v>
      </c>
      <c r="C6" s="203" t="s">
        <v>360</v>
      </c>
      <c r="D6" s="197" t="s">
        <v>345</v>
      </c>
      <c r="E6" s="197" t="s">
        <v>370</v>
      </c>
      <c r="F6" s="198">
        <v>1</v>
      </c>
    </row>
    <row r="7" spans="1:6" s="24" customFormat="1" ht="21" customHeight="1" x14ac:dyDescent="0.15">
      <c r="A7" s="65"/>
      <c r="B7" s="192" t="s">
        <v>185</v>
      </c>
      <c r="C7" s="203" t="s">
        <v>360</v>
      </c>
      <c r="D7" s="197" t="s">
        <v>345</v>
      </c>
      <c r="E7" s="197" t="s">
        <v>346</v>
      </c>
      <c r="F7" s="198">
        <v>1</v>
      </c>
    </row>
    <row r="8" spans="1:6" s="24" customFormat="1" ht="21" customHeight="1" x14ac:dyDescent="0.15">
      <c r="A8" s="65">
        <v>95201</v>
      </c>
      <c r="B8" s="192" t="s">
        <v>185</v>
      </c>
      <c r="C8" s="203" t="s">
        <v>359</v>
      </c>
      <c r="D8" s="3" t="s">
        <v>365</v>
      </c>
      <c r="E8" s="197" t="s">
        <v>382</v>
      </c>
      <c r="F8" s="198">
        <v>1</v>
      </c>
    </row>
    <row r="9" spans="1:6" s="24" customFormat="1" ht="21" customHeight="1" x14ac:dyDescent="0.15">
      <c r="A9" s="65">
        <v>95202</v>
      </c>
      <c r="B9" s="192" t="s">
        <v>185</v>
      </c>
      <c r="C9" s="203" t="s">
        <v>361</v>
      </c>
      <c r="D9" s="197" t="s">
        <v>366</v>
      </c>
      <c r="E9" s="197" t="s">
        <v>379</v>
      </c>
      <c r="F9" s="198">
        <v>1</v>
      </c>
    </row>
    <row r="10" spans="1:6" s="24" customFormat="1" ht="21" customHeight="1" x14ac:dyDescent="0.15">
      <c r="A10" s="65">
        <v>95203</v>
      </c>
      <c r="B10" s="192" t="s">
        <v>185</v>
      </c>
      <c r="C10" s="203" t="s">
        <v>367</v>
      </c>
      <c r="D10" s="197" t="s">
        <v>368</v>
      </c>
      <c r="E10" s="197" t="s">
        <v>383</v>
      </c>
      <c r="F10" s="198">
        <v>1</v>
      </c>
    </row>
  </sheetData>
  <phoneticPr fontId="22"/>
  <pageMargins left="0.7" right="0.7" top="0.75" bottom="0.75" header="0.3" footer="0.3"/>
  <pageSetup paperSize="9" orientation="portrait" horizontalDpi="0" verticalDpi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"/>
  <sheetViews>
    <sheetView workbookViewId="0">
      <selection activeCell="L40" sqref="L40"/>
    </sheetView>
  </sheetViews>
  <sheetFormatPr baseColWidth="12" defaultRowHeight="15" x14ac:dyDescent="0.15"/>
  <sheetData/>
  <phoneticPr fontId="22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 enableFormatConditionsCalculation="0">
    <tabColor indexed="17"/>
  </sheetPr>
  <dimension ref="A1:I20"/>
  <sheetViews>
    <sheetView showGridLines="0" tabSelected="1" workbookViewId="0">
      <selection activeCell="I20" sqref="I20"/>
    </sheetView>
  </sheetViews>
  <sheetFormatPr baseColWidth="12" defaultColWidth="13" defaultRowHeight="21" customHeight="1" x14ac:dyDescent="0.15"/>
  <cols>
    <col min="1" max="1" width="13" style="4"/>
    <col min="2" max="16384" width="13" style="24"/>
  </cols>
  <sheetData>
    <row r="1" spans="1:9" s="4" customFormat="1" ht="21" customHeight="1" x14ac:dyDescent="0.15">
      <c r="A1" s="31" t="s">
        <v>234</v>
      </c>
      <c r="B1" s="33">
        <v>1</v>
      </c>
      <c r="C1" s="33">
        <v>2</v>
      </c>
      <c r="D1" s="33">
        <v>3</v>
      </c>
      <c r="E1" s="33">
        <v>4</v>
      </c>
      <c r="F1" s="33">
        <v>5</v>
      </c>
      <c r="G1" s="33">
        <v>6</v>
      </c>
      <c r="H1" s="33">
        <v>7</v>
      </c>
      <c r="I1" s="33">
        <v>8</v>
      </c>
    </row>
    <row r="2" spans="1:9" s="4" customFormat="1" ht="21" customHeight="1" x14ac:dyDescent="0.15">
      <c r="A2" s="143" t="s">
        <v>235</v>
      </c>
      <c r="B2" s="144"/>
      <c r="C2" s="145"/>
      <c r="D2" s="146" t="s">
        <v>236</v>
      </c>
      <c r="E2" s="146">
        <v>30</v>
      </c>
      <c r="F2" s="146">
        <v>40</v>
      </c>
      <c r="G2" s="146">
        <f>15+F2</f>
        <v>55</v>
      </c>
      <c r="H2" s="145"/>
      <c r="I2" s="145"/>
    </row>
    <row r="3" spans="1:9" s="4" customFormat="1" ht="21" customHeight="1" x14ac:dyDescent="0.15">
      <c r="A3" s="143" t="s">
        <v>237</v>
      </c>
      <c r="B3" s="147"/>
      <c r="C3" s="148"/>
      <c r="D3" s="149" t="s">
        <v>236</v>
      </c>
      <c r="E3" s="149">
        <v>25</v>
      </c>
      <c r="F3" s="149">
        <v>35</v>
      </c>
      <c r="G3" s="146">
        <f t="shared" ref="G3:G4" si="0">15+F3</f>
        <v>50</v>
      </c>
      <c r="H3" s="148"/>
      <c r="I3" s="148"/>
    </row>
    <row r="4" spans="1:9" s="4" customFormat="1" ht="21" customHeight="1" x14ac:dyDescent="0.15">
      <c r="A4" s="143" t="s">
        <v>238</v>
      </c>
      <c r="B4" s="150"/>
      <c r="C4" s="151"/>
      <c r="D4" s="152">
        <v>10</v>
      </c>
      <c r="E4" s="152">
        <v>20</v>
      </c>
      <c r="F4" s="152">
        <v>30</v>
      </c>
      <c r="G4" s="152">
        <f t="shared" si="0"/>
        <v>45</v>
      </c>
      <c r="H4" s="151"/>
      <c r="I4" s="151"/>
    </row>
    <row r="5" spans="1:9" s="4" customFormat="1" ht="21" customHeight="1" x14ac:dyDescent="0.15">
      <c r="A5" s="162" t="s">
        <v>239</v>
      </c>
      <c r="B5" s="157"/>
      <c r="C5" s="158"/>
      <c r="D5" s="29">
        <v>9</v>
      </c>
      <c r="E5" s="29">
        <v>18</v>
      </c>
      <c r="F5" s="29">
        <v>28</v>
      </c>
      <c r="G5" s="39">
        <v>38</v>
      </c>
      <c r="H5" s="158"/>
      <c r="I5" s="158"/>
    </row>
    <row r="6" spans="1:9" s="4" customFormat="1" ht="21" customHeight="1" x14ac:dyDescent="0.15">
      <c r="A6" s="162" t="s">
        <v>240</v>
      </c>
      <c r="B6" s="157"/>
      <c r="C6" s="158"/>
      <c r="D6" s="29">
        <v>7</v>
      </c>
      <c r="E6" s="29">
        <v>16</v>
      </c>
      <c r="F6" s="68" t="s">
        <v>11</v>
      </c>
      <c r="G6" s="68" t="s">
        <v>11</v>
      </c>
      <c r="H6" s="158"/>
      <c r="I6" s="158"/>
    </row>
    <row r="7" spans="1:9" ht="21" customHeight="1" x14ac:dyDescent="0.15">
      <c r="A7" s="73" t="s">
        <v>241</v>
      </c>
      <c r="B7" s="47" t="s">
        <v>11</v>
      </c>
      <c r="C7" s="47" t="s">
        <v>11</v>
      </c>
      <c r="D7" s="39" t="s">
        <v>236</v>
      </c>
      <c r="E7" s="39" t="s">
        <v>236</v>
      </c>
      <c r="F7" s="39" t="s">
        <v>236</v>
      </c>
      <c r="G7" s="39" t="s">
        <v>236</v>
      </c>
      <c r="H7" s="39" t="s">
        <v>236</v>
      </c>
      <c r="I7" s="39" t="s">
        <v>236</v>
      </c>
    </row>
    <row r="8" spans="1:9" ht="21" customHeight="1" x14ac:dyDescent="0.15">
      <c r="A8" s="74" t="s">
        <v>242</v>
      </c>
      <c r="B8" s="47" t="s">
        <v>11</v>
      </c>
      <c r="C8" s="47" t="s">
        <v>11</v>
      </c>
      <c r="D8" s="39" t="s">
        <v>236</v>
      </c>
      <c r="E8" s="39">
        <v>30</v>
      </c>
      <c r="F8" s="39">
        <v>40</v>
      </c>
      <c r="G8" s="39">
        <f>15+F8</f>
        <v>55</v>
      </c>
      <c r="H8" s="39" t="s">
        <v>236</v>
      </c>
      <c r="I8" s="39" t="s">
        <v>236</v>
      </c>
    </row>
    <row r="9" spans="1:9" s="46" customFormat="1" ht="21" customHeight="1" x14ac:dyDescent="0.15">
      <c r="A9" s="75" t="s">
        <v>243</v>
      </c>
      <c r="B9" s="29" t="s">
        <v>11</v>
      </c>
      <c r="C9" s="29" t="s">
        <v>11</v>
      </c>
      <c r="D9" s="105" t="s">
        <v>236</v>
      </c>
      <c r="E9" s="105">
        <v>25</v>
      </c>
      <c r="F9" s="105">
        <v>35</v>
      </c>
      <c r="G9" s="39">
        <f t="shared" ref="G9:G10" si="1">15+F9</f>
        <v>50</v>
      </c>
      <c r="H9" s="105" t="s">
        <v>236</v>
      </c>
      <c r="I9" s="105" t="s">
        <v>236</v>
      </c>
    </row>
    <row r="10" spans="1:9" ht="21" customHeight="1" x14ac:dyDescent="0.15">
      <c r="A10" s="75" t="s">
        <v>9</v>
      </c>
      <c r="B10" s="68" t="s">
        <v>11</v>
      </c>
      <c r="C10" s="68" t="s">
        <v>11</v>
      </c>
      <c r="D10" s="29">
        <v>10</v>
      </c>
      <c r="E10" s="29">
        <v>20</v>
      </c>
      <c r="F10" s="29">
        <v>30</v>
      </c>
      <c r="G10" s="39">
        <f t="shared" si="1"/>
        <v>45</v>
      </c>
      <c r="H10" s="68" t="s">
        <v>11</v>
      </c>
      <c r="I10" s="68" t="s">
        <v>11</v>
      </c>
    </row>
    <row r="11" spans="1:9" ht="21" customHeight="1" x14ac:dyDescent="0.15">
      <c r="A11" s="75" t="s">
        <v>244</v>
      </c>
      <c r="B11" s="68" t="s">
        <v>11</v>
      </c>
      <c r="C11" s="68" t="s">
        <v>11</v>
      </c>
      <c r="D11" s="29">
        <v>9</v>
      </c>
      <c r="E11" s="29">
        <v>18</v>
      </c>
      <c r="F11" s="29">
        <v>28</v>
      </c>
      <c r="G11" s="39">
        <v>38</v>
      </c>
      <c r="H11" s="68" t="s">
        <v>11</v>
      </c>
      <c r="I11" s="68" t="s">
        <v>11</v>
      </c>
    </row>
    <row r="12" spans="1:9" ht="21" customHeight="1" x14ac:dyDescent="0.15">
      <c r="A12" s="75" t="s">
        <v>245</v>
      </c>
      <c r="B12" s="68" t="s">
        <v>11</v>
      </c>
      <c r="C12" s="68" t="s">
        <v>11</v>
      </c>
      <c r="D12" s="29">
        <v>7</v>
      </c>
      <c r="E12" s="29">
        <v>16</v>
      </c>
      <c r="F12" s="68" t="s">
        <v>11</v>
      </c>
      <c r="G12" s="68" t="s">
        <v>11</v>
      </c>
      <c r="H12" s="68" t="s">
        <v>11</v>
      </c>
      <c r="I12" s="68" t="s">
        <v>11</v>
      </c>
    </row>
    <row r="13" spans="1:9" ht="21" customHeight="1" x14ac:dyDescent="0.15">
      <c r="A13" s="104" t="s">
        <v>246</v>
      </c>
      <c r="B13" s="68" t="s">
        <v>11</v>
      </c>
      <c r="C13" s="68" t="s">
        <v>11</v>
      </c>
      <c r="D13" s="29">
        <v>8</v>
      </c>
      <c r="E13" s="29">
        <v>17</v>
      </c>
      <c r="F13" s="29">
        <v>26</v>
      </c>
      <c r="G13" s="68" t="s">
        <v>11</v>
      </c>
      <c r="H13" s="68" t="s">
        <v>11</v>
      </c>
      <c r="I13" s="68" t="s">
        <v>11</v>
      </c>
    </row>
    <row r="14" spans="1:9" ht="21" customHeight="1" x14ac:dyDescent="0.15">
      <c r="A14" s="75" t="s">
        <v>247</v>
      </c>
      <c r="B14" s="68" t="s">
        <v>11</v>
      </c>
      <c r="C14" s="68" t="s">
        <v>11</v>
      </c>
      <c r="D14" s="29">
        <v>8</v>
      </c>
      <c r="E14" s="29">
        <v>17</v>
      </c>
      <c r="F14" s="29">
        <v>26</v>
      </c>
      <c r="G14" s="68" t="s">
        <v>11</v>
      </c>
      <c r="H14" s="68" t="s">
        <v>11</v>
      </c>
      <c r="I14" s="68" t="s">
        <v>11</v>
      </c>
    </row>
    <row r="15" spans="1:9" ht="21" customHeight="1" x14ac:dyDescent="0.15">
      <c r="A15" s="75" t="s">
        <v>248</v>
      </c>
      <c r="B15" s="68" t="s">
        <v>11</v>
      </c>
      <c r="C15" s="68" t="s">
        <v>11</v>
      </c>
      <c r="D15" s="29">
        <v>6</v>
      </c>
      <c r="E15" s="29">
        <v>14</v>
      </c>
      <c r="F15" s="68" t="s">
        <v>11</v>
      </c>
      <c r="G15" s="68" t="s">
        <v>11</v>
      </c>
      <c r="H15" s="68" t="s">
        <v>11</v>
      </c>
      <c r="I15" s="68" t="s">
        <v>11</v>
      </c>
    </row>
    <row r="16" spans="1:9" ht="21" customHeight="1" x14ac:dyDescent="0.15">
      <c r="A16" s="75" t="s">
        <v>249</v>
      </c>
      <c r="B16" s="68" t="s">
        <v>11</v>
      </c>
      <c r="C16" s="29">
        <v>4</v>
      </c>
      <c r="D16" s="29">
        <v>6</v>
      </c>
      <c r="E16" s="29">
        <v>14</v>
      </c>
      <c r="F16" s="68" t="s">
        <v>11</v>
      </c>
      <c r="G16" s="68" t="s">
        <v>11</v>
      </c>
      <c r="H16" s="68" t="s">
        <v>11</v>
      </c>
      <c r="I16" s="68" t="s">
        <v>11</v>
      </c>
    </row>
    <row r="17" spans="1:9" ht="21" customHeight="1" x14ac:dyDescent="0.15">
      <c r="A17" s="75" t="s">
        <v>8</v>
      </c>
      <c r="B17" s="29">
        <v>2</v>
      </c>
      <c r="C17" s="29">
        <v>4</v>
      </c>
      <c r="D17" s="29">
        <v>6</v>
      </c>
      <c r="E17" s="68" t="s">
        <v>11</v>
      </c>
      <c r="F17" s="68" t="s">
        <v>11</v>
      </c>
      <c r="G17" s="68" t="s">
        <v>11</v>
      </c>
      <c r="H17" s="68" t="s">
        <v>11</v>
      </c>
      <c r="I17" s="68" t="s">
        <v>11</v>
      </c>
    </row>
    <row r="18" spans="1:9" ht="21" customHeight="1" x14ac:dyDescent="0.15">
      <c r="A18" s="76" t="s">
        <v>7</v>
      </c>
      <c r="B18" s="32">
        <v>1</v>
      </c>
      <c r="C18" s="32">
        <v>2</v>
      </c>
      <c r="D18" s="69" t="s">
        <v>11</v>
      </c>
      <c r="E18" s="69" t="s">
        <v>11</v>
      </c>
      <c r="F18" s="69" t="s">
        <v>11</v>
      </c>
      <c r="G18" s="69" t="s">
        <v>11</v>
      </c>
      <c r="H18" s="69" t="s">
        <v>11</v>
      </c>
      <c r="I18" s="69" t="s">
        <v>11</v>
      </c>
    </row>
    <row r="19" spans="1:9" ht="21" customHeight="1" x14ac:dyDescent="0.15">
      <c r="A19" s="77" t="s">
        <v>250</v>
      </c>
      <c r="B19" s="27">
        <v>1</v>
      </c>
      <c r="C19" s="27">
        <v>1</v>
      </c>
      <c r="D19" s="69" t="s">
        <v>11</v>
      </c>
      <c r="E19" s="69" t="s">
        <v>11</v>
      </c>
      <c r="F19" s="69" t="s">
        <v>11</v>
      </c>
      <c r="G19" s="69" t="s">
        <v>11</v>
      </c>
      <c r="H19" s="69" t="s">
        <v>11</v>
      </c>
      <c r="I19" s="69" t="s">
        <v>11</v>
      </c>
    </row>
    <row r="20" spans="1:9" ht="21" customHeight="1" x14ac:dyDescent="0.15">
      <c r="A20" s="38" t="s">
        <v>251</v>
      </c>
      <c r="B20" s="37">
        <v>99</v>
      </c>
      <c r="C20" s="37">
        <v>99</v>
      </c>
      <c r="D20" s="37">
        <v>99</v>
      </c>
      <c r="E20" s="37">
        <v>99</v>
      </c>
      <c r="F20" s="37">
        <v>99</v>
      </c>
      <c r="G20" s="37">
        <v>99</v>
      </c>
      <c r="H20" s="37">
        <v>99</v>
      </c>
      <c r="I20" s="37">
        <v>99</v>
      </c>
    </row>
  </sheetData>
  <sheetProtection selectLockedCells="1" selectUnlockedCells="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 enableFormatConditionsCalculation="0">
    <tabColor indexed="17"/>
  </sheetPr>
  <dimension ref="A1:I20"/>
  <sheetViews>
    <sheetView showGridLines="0" workbookViewId="0">
      <selection activeCell="I24" sqref="I24"/>
    </sheetView>
  </sheetViews>
  <sheetFormatPr baseColWidth="12" defaultColWidth="13" defaultRowHeight="21" customHeight="1" x14ac:dyDescent="0.15"/>
  <cols>
    <col min="1" max="1" width="13" style="4"/>
    <col min="2" max="16384" width="13" style="24"/>
  </cols>
  <sheetData>
    <row r="1" spans="1:9" ht="21" customHeight="1" x14ac:dyDescent="0.15">
      <c r="A1" s="33" t="s">
        <v>10</v>
      </c>
      <c r="B1" s="23">
        <v>1</v>
      </c>
      <c r="C1" s="23">
        <v>2</v>
      </c>
      <c r="D1" s="23">
        <v>3</v>
      </c>
      <c r="E1" s="23">
        <v>4</v>
      </c>
      <c r="F1" s="23">
        <v>5</v>
      </c>
      <c r="G1" s="23">
        <v>6</v>
      </c>
      <c r="H1" s="23">
        <v>7</v>
      </c>
      <c r="I1" s="23">
        <v>8</v>
      </c>
    </row>
    <row r="2" spans="1:9" s="4" customFormat="1" ht="21" customHeight="1" x14ac:dyDescent="0.15">
      <c r="A2" s="143" t="s">
        <v>235</v>
      </c>
      <c r="B2" s="159"/>
      <c r="C2" s="145"/>
      <c r="D2" s="153" t="s">
        <v>109</v>
      </c>
      <c r="E2" s="153">
        <v>60</v>
      </c>
      <c r="F2" s="153">
        <v>80</v>
      </c>
      <c r="G2" s="153">
        <v>99</v>
      </c>
      <c r="H2" s="145"/>
      <c r="I2" s="145"/>
    </row>
    <row r="3" spans="1:9" s="4" customFormat="1" ht="21" customHeight="1" x14ac:dyDescent="0.15">
      <c r="A3" s="143" t="s">
        <v>237</v>
      </c>
      <c r="B3" s="160"/>
      <c r="C3" s="148"/>
      <c r="D3" s="153" t="s">
        <v>109</v>
      </c>
      <c r="E3" s="153">
        <v>60</v>
      </c>
      <c r="F3" s="153">
        <v>80</v>
      </c>
      <c r="G3" s="153">
        <v>99</v>
      </c>
      <c r="H3" s="148"/>
      <c r="I3" s="148"/>
    </row>
    <row r="4" spans="1:9" s="4" customFormat="1" ht="21" customHeight="1" x14ac:dyDescent="0.15">
      <c r="A4" s="143" t="s">
        <v>231</v>
      </c>
      <c r="B4" s="161"/>
      <c r="C4" s="151"/>
      <c r="D4" s="153">
        <v>40</v>
      </c>
      <c r="E4" s="153">
        <v>60</v>
      </c>
      <c r="F4" s="153">
        <v>80</v>
      </c>
      <c r="G4" s="153">
        <v>99</v>
      </c>
      <c r="H4" s="151"/>
      <c r="I4" s="151"/>
    </row>
    <row r="5" spans="1:9" s="4" customFormat="1" ht="21" customHeight="1" x14ac:dyDescent="0.15">
      <c r="A5" s="162" t="s">
        <v>239</v>
      </c>
      <c r="B5" s="157"/>
      <c r="C5" s="158"/>
      <c r="D5" s="153">
        <v>40</v>
      </c>
      <c r="E5" s="153">
        <v>60</v>
      </c>
      <c r="F5" s="153">
        <v>80</v>
      </c>
      <c r="G5" s="153">
        <v>99</v>
      </c>
      <c r="H5" s="158"/>
      <c r="I5" s="158"/>
    </row>
    <row r="6" spans="1:9" s="4" customFormat="1" ht="21" customHeight="1" x14ac:dyDescent="0.15">
      <c r="A6" s="162" t="s">
        <v>240</v>
      </c>
      <c r="B6" s="157"/>
      <c r="C6" s="158"/>
      <c r="D6" s="153">
        <v>40</v>
      </c>
      <c r="E6" s="153">
        <v>60</v>
      </c>
      <c r="F6" s="153" t="s">
        <v>109</v>
      </c>
      <c r="G6" s="153" t="s">
        <v>109</v>
      </c>
      <c r="H6" s="158"/>
      <c r="I6" s="158"/>
    </row>
    <row r="7" spans="1:9" ht="21" customHeight="1" x14ac:dyDescent="0.15">
      <c r="A7" s="73" t="s">
        <v>207</v>
      </c>
      <c r="B7" s="40" t="s">
        <v>109</v>
      </c>
      <c r="C7" s="40" t="s">
        <v>109</v>
      </c>
      <c r="D7" s="40" t="s">
        <v>109</v>
      </c>
      <c r="E7" s="40" t="s">
        <v>109</v>
      </c>
      <c r="F7" s="40" t="s">
        <v>109</v>
      </c>
      <c r="G7" s="40" t="s">
        <v>109</v>
      </c>
      <c r="H7" s="40" t="s">
        <v>109</v>
      </c>
      <c r="I7" s="40" t="s">
        <v>109</v>
      </c>
    </row>
    <row r="8" spans="1:9" ht="21" customHeight="1" x14ac:dyDescent="0.15">
      <c r="A8" s="74" t="s">
        <v>242</v>
      </c>
      <c r="B8" s="40" t="s">
        <v>109</v>
      </c>
      <c r="C8" s="40" t="s">
        <v>109</v>
      </c>
      <c r="D8" s="40" t="s">
        <v>109</v>
      </c>
      <c r="E8" s="40">
        <v>60</v>
      </c>
      <c r="F8" s="40">
        <v>80</v>
      </c>
      <c r="G8" s="40">
        <v>99</v>
      </c>
      <c r="H8" s="40" t="s">
        <v>109</v>
      </c>
      <c r="I8" s="40" t="s">
        <v>109</v>
      </c>
    </row>
    <row r="9" spans="1:9" s="46" customFormat="1" ht="21" customHeight="1" x14ac:dyDescent="0.15">
      <c r="A9" s="75" t="s">
        <v>243</v>
      </c>
      <c r="B9" s="65" t="s">
        <v>109</v>
      </c>
      <c r="C9" s="65" t="s">
        <v>109</v>
      </c>
      <c r="D9" s="65" t="s">
        <v>109</v>
      </c>
      <c r="E9" s="65">
        <v>60</v>
      </c>
      <c r="F9" s="65">
        <v>80</v>
      </c>
      <c r="G9" s="65">
        <v>99</v>
      </c>
      <c r="H9" s="65" t="s">
        <v>109</v>
      </c>
      <c r="I9" s="65" t="s">
        <v>109</v>
      </c>
    </row>
    <row r="10" spans="1:9" ht="21" customHeight="1" x14ac:dyDescent="0.15">
      <c r="A10" s="75" t="s">
        <v>9</v>
      </c>
      <c r="B10" s="70" t="s">
        <v>109</v>
      </c>
      <c r="C10" s="70" t="s">
        <v>109</v>
      </c>
      <c r="D10" s="37">
        <v>40</v>
      </c>
      <c r="E10" s="37">
        <v>60</v>
      </c>
      <c r="F10" s="37">
        <v>80</v>
      </c>
      <c r="G10" s="40">
        <v>99</v>
      </c>
      <c r="H10" s="70" t="s">
        <v>109</v>
      </c>
      <c r="I10" s="70" t="s">
        <v>109</v>
      </c>
    </row>
    <row r="11" spans="1:9" ht="21" customHeight="1" x14ac:dyDescent="0.15">
      <c r="A11" s="75" t="s">
        <v>210</v>
      </c>
      <c r="B11" s="70" t="s">
        <v>109</v>
      </c>
      <c r="C11" s="70" t="s">
        <v>109</v>
      </c>
      <c r="D11" s="37">
        <v>40</v>
      </c>
      <c r="E11" s="37">
        <v>60</v>
      </c>
      <c r="F11" s="37">
        <v>80</v>
      </c>
      <c r="G11" s="65">
        <v>99</v>
      </c>
      <c r="H11" s="70" t="s">
        <v>109</v>
      </c>
      <c r="I11" s="70" t="s">
        <v>109</v>
      </c>
    </row>
    <row r="12" spans="1:9" ht="21" customHeight="1" x14ac:dyDescent="0.15">
      <c r="A12" s="75" t="s">
        <v>206</v>
      </c>
      <c r="B12" s="70" t="s">
        <v>109</v>
      </c>
      <c r="C12" s="70" t="s">
        <v>109</v>
      </c>
      <c r="D12" s="37">
        <v>40</v>
      </c>
      <c r="E12" s="37">
        <v>60</v>
      </c>
      <c r="F12" s="70" t="s">
        <v>109</v>
      </c>
      <c r="G12" s="70" t="s">
        <v>109</v>
      </c>
      <c r="H12" s="70" t="s">
        <v>109</v>
      </c>
      <c r="I12" s="70" t="s">
        <v>109</v>
      </c>
    </row>
    <row r="13" spans="1:9" ht="21" customHeight="1" x14ac:dyDescent="0.15">
      <c r="A13" s="104" t="s">
        <v>246</v>
      </c>
      <c r="B13" s="70" t="s">
        <v>109</v>
      </c>
      <c r="C13" s="70" t="s">
        <v>109</v>
      </c>
      <c r="D13" s="37">
        <v>40</v>
      </c>
      <c r="E13" s="37">
        <v>60</v>
      </c>
      <c r="F13" s="37">
        <v>80</v>
      </c>
      <c r="G13" s="70" t="s">
        <v>109</v>
      </c>
      <c r="H13" s="70" t="s">
        <v>109</v>
      </c>
      <c r="I13" s="70" t="s">
        <v>109</v>
      </c>
    </row>
    <row r="14" spans="1:9" ht="21" customHeight="1" x14ac:dyDescent="0.15">
      <c r="A14" s="75" t="s">
        <v>247</v>
      </c>
      <c r="B14" s="70" t="s">
        <v>109</v>
      </c>
      <c r="C14" s="70" t="s">
        <v>109</v>
      </c>
      <c r="D14" s="37">
        <v>40</v>
      </c>
      <c r="E14" s="37">
        <v>60</v>
      </c>
      <c r="F14" s="37">
        <v>80</v>
      </c>
      <c r="G14" s="70" t="s">
        <v>109</v>
      </c>
      <c r="H14" s="70" t="s">
        <v>109</v>
      </c>
      <c r="I14" s="70" t="s">
        <v>109</v>
      </c>
    </row>
    <row r="15" spans="1:9" ht="21" customHeight="1" x14ac:dyDescent="0.15">
      <c r="A15" s="75" t="s">
        <v>105</v>
      </c>
      <c r="B15" s="70" t="s">
        <v>109</v>
      </c>
      <c r="C15" s="37">
        <v>30</v>
      </c>
      <c r="D15" s="37">
        <v>40</v>
      </c>
      <c r="E15" s="37">
        <v>60</v>
      </c>
      <c r="F15" s="70" t="s">
        <v>109</v>
      </c>
      <c r="G15" s="70" t="s">
        <v>109</v>
      </c>
      <c r="H15" s="70" t="s">
        <v>109</v>
      </c>
      <c r="I15" s="70" t="s">
        <v>109</v>
      </c>
    </row>
    <row r="16" spans="1:9" ht="21" customHeight="1" x14ac:dyDescent="0.15">
      <c r="A16" s="75" t="s">
        <v>249</v>
      </c>
      <c r="B16" s="70" t="s">
        <v>109</v>
      </c>
      <c r="C16" s="37">
        <v>30</v>
      </c>
      <c r="D16" s="37">
        <v>40</v>
      </c>
      <c r="E16" s="37">
        <v>60</v>
      </c>
      <c r="F16" s="70" t="s">
        <v>109</v>
      </c>
      <c r="G16" s="70" t="s">
        <v>109</v>
      </c>
      <c r="H16" s="70" t="s">
        <v>109</v>
      </c>
      <c r="I16" s="70" t="s">
        <v>109</v>
      </c>
    </row>
    <row r="17" spans="1:9" ht="21" customHeight="1" x14ac:dyDescent="0.15">
      <c r="A17" s="75" t="s">
        <v>8</v>
      </c>
      <c r="B17" s="37">
        <v>15</v>
      </c>
      <c r="C17" s="37">
        <v>30</v>
      </c>
      <c r="D17" s="37">
        <v>40</v>
      </c>
      <c r="E17" s="70" t="s">
        <v>109</v>
      </c>
      <c r="F17" s="70" t="s">
        <v>109</v>
      </c>
      <c r="G17" s="70" t="s">
        <v>109</v>
      </c>
      <c r="H17" s="70" t="s">
        <v>109</v>
      </c>
      <c r="I17" s="70" t="s">
        <v>109</v>
      </c>
    </row>
    <row r="18" spans="1:9" ht="21" customHeight="1" x14ac:dyDescent="0.15">
      <c r="A18" s="76" t="s">
        <v>7</v>
      </c>
      <c r="B18" s="37">
        <v>15</v>
      </c>
      <c r="C18" s="37">
        <v>30</v>
      </c>
      <c r="D18" s="37">
        <v>40</v>
      </c>
      <c r="E18" s="70" t="s">
        <v>216</v>
      </c>
      <c r="F18" s="70" t="s">
        <v>216</v>
      </c>
      <c r="G18" s="70" t="s">
        <v>216</v>
      </c>
      <c r="H18" s="70" t="s">
        <v>216</v>
      </c>
      <c r="I18" s="70" t="s">
        <v>216</v>
      </c>
    </row>
    <row r="19" spans="1:9" ht="21" customHeight="1" x14ac:dyDescent="0.15">
      <c r="A19" s="77" t="s">
        <v>250</v>
      </c>
      <c r="B19" s="37">
        <v>10</v>
      </c>
      <c r="C19" s="37">
        <v>20</v>
      </c>
      <c r="D19" s="70" t="s">
        <v>216</v>
      </c>
      <c r="E19" s="70" t="s">
        <v>216</v>
      </c>
      <c r="F19" s="70" t="s">
        <v>216</v>
      </c>
      <c r="G19" s="70" t="s">
        <v>216</v>
      </c>
      <c r="H19" s="70" t="s">
        <v>216</v>
      </c>
      <c r="I19" s="70" t="s">
        <v>216</v>
      </c>
    </row>
    <row r="20" spans="1:9" ht="21" customHeight="1" x14ac:dyDescent="0.15">
      <c r="A20" s="38" t="s">
        <v>251</v>
      </c>
      <c r="B20" s="37">
        <v>1</v>
      </c>
      <c r="C20" s="37">
        <v>1</v>
      </c>
      <c r="D20" s="37">
        <v>1</v>
      </c>
      <c r="E20" s="37">
        <v>1</v>
      </c>
      <c r="F20" s="37">
        <v>1</v>
      </c>
      <c r="G20" s="37">
        <v>1</v>
      </c>
      <c r="H20" s="37">
        <v>1</v>
      </c>
      <c r="I20" s="37">
        <v>1</v>
      </c>
    </row>
  </sheetData>
  <sheetProtection selectLockedCells="1" selectUnlockedCells="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indexed="17"/>
  </sheetPr>
  <dimension ref="A1:K31"/>
  <sheetViews>
    <sheetView showGridLines="0" workbookViewId="0">
      <selection activeCell="H23" sqref="H23"/>
    </sheetView>
  </sheetViews>
  <sheetFormatPr baseColWidth="12" defaultColWidth="13" defaultRowHeight="21" customHeight="1" x14ac:dyDescent="0.15"/>
  <cols>
    <col min="1" max="16384" width="13" style="24"/>
  </cols>
  <sheetData>
    <row r="1" spans="1:11" ht="21" customHeight="1" x14ac:dyDescent="0.15">
      <c r="A1" s="49" t="s">
        <v>10</v>
      </c>
      <c r="B1" s="50">
        <v>1</v>
      </c>
      <c r="C1" s="50">
        <v>2</v>
      </c>
      <c r="D1" s="50">
        <v>3</v>
      </c>
      <c r="E1" s="50">
        <v>4</v>
      </c>
      <c r="F1" s="50">
        <v>5</v>
      </c>
      <c r="G1" s="50">
        <v>6</v>
      </c>
      <c r="H1" s="50">
        <v>7</v>
      </c>
      <c r="I1" s="50">
        <v>8</v>
      </c>
    </row>
    <row r="2" spans="1:11" s="4" customFormat="1" ht="21" customHeight="1" x14ac:dyDescent="0.15">
      <c r="A2" s="143" t="s">
        <v>235</v>
      </c>
      <c r="B2" s="144"/>
      <c r="C2" s="145"/>
      <c r="D2" s="153" t="s">
        <v>109</v>
      </c>
      <c r="E2" s="154" t="s">
        <v>59</v>
      </c>
      <c r="F2" s="154" t="s">
        <v>59</v>
      </c>
      <c r="G2" s="154" t="s">
        <v>252</v>
      </c>
      <c r="H2" s="145"/>
      <c r="I2" s="145"/>
    </row>
    <row r="3" spans="1:11" s="4" customFormat="1" ht="21" customHeight="1" x14ac:dyDescent="0.15">
      <c r="A3" s="143" t="s">
        <v>237</v>
      </c>
      <c r="B3" s="147"/>
      <c r="C3" s="148"/>
      <c r="D3" s="154" t="s">
        <v>59</v>
      </c>
      <c r="E3" s="154" t="s">
        <v>59</v>
      </c>
      <c r="F3" s="154" t="s">
        <v>59</v>
      </c>
      <c r="G3" s="154" t="s">
        <v>230</v>
      </c>
      <c r="H3" s="148"/>
      <c r="I3" s="148"/>
    </row>
    <row r="4" spans="1:11" s="4" customFormat="1" ht="21" customHeight="1" x14ac:dyDescent="0.15">
      <c r="A4" s="143" t="s">
        <v>231</v>
      </c>
      <c r="B4" s="150"/>
      <c r="C4" s="151"/>
      <c r="D4" s="155" t="s">
        <v>59</v>
      </c>
      <c r="E4" s="155" t="s">
        <v>59</v>
      </c>
      <c r="F4" s="155" t="s">
        <v>59</v>
      </c>
      <c r="G4" s="154" t="s">
        <v>230</v>
      </c>
      <c r="H4" s="151"/>
      <c r="I4" s="151"/>
    </row>
    <row r="5" spans="1:11" s="4" customFormat="1" ht="21" customHeight="1" x14ac:dyDescent="0.15">
      <c r="A5" s="162" t="s">
        <v>239</v>
      </c>
      <c r="B5" s="157"/>
      <c r="C5" s="158"/>
      <c r="D5" s="155" t="s">
        <v>59</v>
      </c>
      <c r="E5" s="155" t="s">
        <v>59</v>
      </c>
      <c r="F5" s="155" t="s">
        <v>59</v>
      </c>
      <c r="G5" s="154" t="s">
        <v>220</v>
      </c>
      <c r="H5" s="158"/>
      <c r="I5" s="158"/>
    </row>
    <row r="6" spans="1:11" s="4" customFormat="1" ht="21" customHeight="1" x14ac:dyDescent="0.15">
      <c r="A6" s="162" t="s">
        <v>240</v>
      </c>
      <c r="B6" s="157"/>
      <c r="C6" s="158"/>
      <c r="D6" s="163" t="s">
        <v>60</v>
      </c>
      <c r="E6" s="163" t="s">
        <v>60</v>
      </c>
      <c r="F6" s="153" t="s">
        <v>109</v>
      </c>
      <c r="G6" s="153" t="s">
        <v>109</v>
      </c>
      <c r="H6" s="158"/>
      <c r="I6" s="158"/>
    </row>
    <row r="7" spans="1:11" ht="21" customHeight="1" x14ac:dyDescent="0.15">
      <c r="A7" s="73" t="s">
        <v>207</v>
      </c>
      <c r="B7" s="40" t="s">
        <v>109</v>
      </c>
      <c r="C7" s="40" t="s">
        <v>109</v>
      </c>
      <c r="D7" s="40" t="s">
        <v>109</v>
      </c>
      <c r="E7" s="40" t="s">
        <v>109</v>
      </c>
      <c r="F7" s="40" t="s">
        <v>109</v>
      </c>
      <c r="G7" s="40" t="s">
        <v>109</v>
      </c>
      <c r="H7" s="40" t="s">
        <v>109</v>
      </c>
      <c r="I7" s="40" t="s">
        <v>109</v>
      </c>
    </row>
    <row r="8" spans="1:11" ht="21" customHeight="1" x14ac:dyDescent="0.15">
      <c r="A8" s="74" t="s">
        <v>242</v>
      </c>
      <c r="B8" s="40" t="s">
        <v>109</v>
      </c>
      <c r="C8" s="40" t="s">
        <v>109</v>
      </c>
      <c r="D8" s="40" t="s">
        <v>217</v>
      </c>
      <c r="E8" s="52" t="s">
        <v>115</v>
      </c>
      <c r="F8" s="52" t="s">
        <v>115</v>
      </c>
      <c r="G8" s="52" t="s">
        <v>218</v>
      </c>
      <c r="H8" s="40" t="s">
        <v>217</v>
      </c>
      <c r="I8" s="40" t="s">
        <v>109</v>
      </c>
    </row>
    <row r="9" spans="1:11" s="46" customFormat="1" ht="21" customHeight="1" x14ac:dyDescent="0.15">
      <c r="A9" s="75" t="s">
        <v>243</v>
      </c>
      <c r="B9" s="65" t="s">
        <v>109</v>
      </c>
      <c r="C9" s="65" t="s">
        <v>109</v>
      </c>
      <c r="D9" s="65" t="s">
        <v>109</v>
      </c>
      <c r="E9" s="52" t="s">
        <v>59</v>
      </c>
      <c r="F9" s="52" t="s">
        <v>59</v>
      </c>
      <c r="G9" s="52" t="s">
        <v>115</v>
      </c>
      <c r="H9" s="65" t="s">
        <v>219</v>
      </c>
      <c r="I9" s="65" t="s">
        <v>219</v>
      </c>
    </row>
    <row r="10" spans="1:11" ht="21" customHeight="1" x14ac:dyDescent="0.15">
      <c r="A10" s="75" t="s">
        <v>9</v>
      </c>
      <c r="B10" s="70" t="s">
        <v>109</v>
      </c>
      <c r="C10" s="70" t="s">
        <v>109</v>
      </c>
      <c r="D10" s="52" t="s">
        <v>59</v>
      </c>
      <c r="E10" s="52" t="s">
        <v>59</v>
      </c>
      <c r="F10" s="52" t="s">
        <v>59</v>
      </c>
      <c r="G10" s="52" t="s">
        <v>220</v>
      </c>
      <c r="H10" s="70" t="s">
        <v>219</v>
      </c>
      <c r="I10" s="70" t="s">
        <v>219</v>
      </c>
      <c r="K10" s="28" t="s">
        <v>12</v>
      </c>
    </row>
    <row r="11" spans="1:11" ht="21" customHeight="1" x14ac:dyDescent="0.15">
      <c r="A11" s="75" t="s">
        <v>210</v>
      </c>
      <c r="B11" s="70" t="s">
        <v>109</v>
      </c>
      <c r="C11" s="70" t="s">
        <v>109</v>
      </c>
      <c r="D11" s="53" t="s">
        <v>59</v>
      </c>
      <c r="E11" s="53" t="s">
        <v>59</v>
      </c>
      <c r="F11" s="53" t="s">
        <v>59</v>
      </c>
      <c r="G11" s="52" t="s">
        <v>220</v>
      </c>
      <c r="H11" s="70" t="s">
        <v>219</v>
      </c>
      <c r="I11" s="70" t="s">
        <v>219</v>
      </c>
      <c r="K11" s="30" t="s">
        <v>13</v>
      </c>
    </row>
    <row r="12" spans="1:11" ht="21" customHeight="1" x14ac:dyDescent="0.15">
      <c r="A12" s="75" t="s">
        <v>206</v>
      </c>
      <c r="B12" s="70" t="s">
        <v>109</v>
      </c>
      <c r="C12" s="70" t="s">
        <v>109</v>
      </c>
      <c r="D12" s="54" t="s">
        <v>60</v>
      </c>
      <c r="E12" s="54" t="s">
        <v>60</v>
      </c>
      <c r="F12" s="70" t="s">
        <v>109</v>
      </c>
      <c r="G12" s="70" t="s">
        <v>109</v>
      </c>
      <c r="H12" s="70" t="s">
        <v>109</v>
      </c>
      <c r="I12" s="70" t="s">
        <v>109</v>
      </c>
      <c r="K12" s="71" t="s">
        <v>35</v>
      </c>
    </row>
    <row r="13" spans="1:11" ht="21" customHeight="1" x14ac:dyDescent="0.15">
      <c r="A13" s="104" t="s">
        <v>246</v>
      </c>
      <c r="B13" s="70" t="s">
        <v>109</v>
      </c>
      <c r="C13" s="70" t="s">
        <v>109</v>
      </c>
      <c r="D13" s="55" t="s">
        <v>59</v>
      </c>
      <c r="E13" s="55" t="s">
        <v>59</v>
      </c>
      <c r="F13" s="55" t="s">
        <v>59</v>
      </c>
      <c r="G13" s="70" t="s">
        <v>109</v>
      </c>
      <c r="H13" s="70" t="s">
        <v>109</v>
      </c>
      <c r="I13" s="70" t="s">
        <v>109</v>
      </c>
      <c r="K13" s="72"/>
    </row>
    <row r="14" spans="1:11" ht="21" customHeight="1" x14ac:dyDescent="0.15">
      <c r="A14" s="75" t="s">
        <v>247</v>
      </c>
      <c r="B14" s="70" t="s">
        <v>109</v>
      </c>
      <c r="C14" s="70" t="s">
        <v>109</v>
      </c>
      <c r="D14" s="55" t="s">
        <v>59</v>
      </c>
      <c r="E14" s="55" t="s">
        <v>59</v>
      </c>
      <c r="F14" s="55" t="s">
        <v>59</v>
      </c>
      <c r="G14" s="70" t="s">
        <v>109</v>
      </c>
      <c r="H14" s="70" t="s">
        <v>109</v>
      </c>
      <c r="I14" s="70" t="s">
        <v>109</v>
      </c>
    </row>
    <row r="15" spans="1:11" ht="21" customHeight="1" x14ac:dyDescent="0.15">
      <c r="A15" s="75" t="s">
        <v>105</v>
      </c>
      <c r="B15" s="70" t="s">
        <v>109</v>
      </c>
      <c r="C15" s="70" t="s">
        <v>109</v>
      </c>
      <c r="D15" s="55" t="s">
        <v>60</v>
      </c>
      <c r="E15" s="55" t="s">
        <v>60</v>
      </c>
      <c r="F15" s="70" t="s">
        <v>109</v>
      </c>
      <c r="G15" s="70" t="s">
        <v>109</v>
      </c>
      <c r="H15" s="70" t="s">
        <v>109</v>
      </c>
      <c r="I15" s="70" t="s">
        <v>109</v>
      </c>
    </row>
    <row r="16" spans="1:11" ht="21" customHeight="1" x14ac:dyDescent="0.15">
      <c r="A16" s="75" t="s">
        <v>249</v>
      </c>
      <c r="B16" s="70" t="s">
        <v>109</v>
      </c>
      <c r="C16" s="55" t="s">
        <v>60</v>
      </c>
      <c r="D16" s="55" t="s">
        <v>60</v>
      </c>
      <c r="E16" s="55" t="s">
        <v>60</v>
      </c>
      <c r="F16" s="70" t="s">
        <v>109</v>
      </c>
      <c r="G16" s="70" t="s">
        <v>109</v>
      </c>
      <c r="H16" s="70" t="s">
        <v>109</v>
      </c>
      <c r="I16" s="70" t="s">
        <v>109</v>
      </c>
    </row>
    <row r="17" spans="1:9" ht="21" customHeight="1" x14ac:dyDescent="0.15">
      <c r="A17" s="75" t="s">
        <v>8</v>
      </c>
      <c r="B17" s="56" t="s">
        <v>61</v>
      </c>
      <c r="C17" s="56" t="s">
        <v>61</v>
      </c>
      <c r="D17" s="56" t="s">
        <v>61</v>
      </c>
      <c r="E17" s="70" t="s">
        <v>109</v>
      </c>
      <c r="F17" s="70" t="s">
        <v>109</v>
      </c>
      <c r="G17" s="70" t="s">
        <v>109</v>
      </c>
      <c r="H17" s="70" t="s">
        <v>109</v>
      </c>
      <c r="I17" s="70" t="s">
        <v>109</v>
      </c>
    </row>
    <row r="18" spans="1:9" ht="21" customHeight="1" x14ac:dyDescent="0.15">
      <c r="A18" s="76" t="s">
        <v>7</v>
      </c>
      <c r="B18" s="51" t="s">
        <v>62</v>
      </c>
      <c r="C18" s="51" t="s">
        <v>62</v>
      </c>
      <c r="D18" s="70" t="s">
        <v>109</v>
      </c>
      <c r="E18" s="70" t="s">
        <v>109</v>
      </c>
      <c r="F18" s="70" t="s">
        <v>109</v>
      </c>
      <c r="G18" s="70" t="s">
        <v>109</v>
      </c>
      <c r="H18" s="70" t="s">
        <v>109</v>
      </c>
      <c r="I18" s="70" t="s">
        <v>109</v>
      </c>
    </row>
    <row r="19" spans="1:9" ht="21" customHeight="1" x14ac:dyDescent="0.15">
      <c r="A19" s="77" t="s">
        <v>250</v>
      </c>
      <c r="B19" s="53" t="s">
        <v>63</v>
      </c>
      <c r="C19" s="53" t="s">
        <v>63</v>
      </c>
      <c r="D19" s="70" t="s">
        <v>109</v>
      </c>
      <c r="E19" s="70" t="s">
        <v>109</v>
      </c>
      <c r="F19" s="70" t="s">
        <v>109</v>
      </c>
      <c r="G19" s="70" t="s">
        <v>109</v>
      </c>
      <c r="H19" s="70" t="s">
        <v>109</v>
      </c>
      <c r="I19" s="70" t="s">
        <v>109</v>
      </c>
    </row>
    <row r="20" spans="1:9" ht="21" customHeight="1" x14ac:dyDescent="0.15">
      <c r="A20" s="38" t="s">
        <v>251</v>
      </c>
      <c r="B20" s="78" t="s">
        <v>47</v>
      </c>
      <c r="C20" s="78" t="s">
        <v>47</v>
      </c>
      <c r="D20" s="78" t="s">
        <v>47</v>
      </c>
      <c r="E20" s="78" t="s">
        <v>47</v>
      </c>
      <c r="F20" s="78" t="s">
        <v>47</v>
      </c>
      <c r="G20" s="78" t="s">
        <v>47</v>
      </c>
      <c r="H20" s="78" t="s">
        <v>47</v>
      </c>
      <c r="I20" s="78" t="s">
        <v>47</v>
      </c>
    </row>
    <row r="25" spans="1:9" ht="21" customHeight="1" x14ac:dyDescent="0.15">
      <c r="A25" s="24" t="s">
        <v>14</v>
      </c>
    </row>
    <row r="26" spans="1:9" ht="21" customHeight="1" x14ac:dyDescent="0.15">
      <c r="A26" s="22" t="s">
        <v>64</v>
      </c>
      <c r="B26" s="22" t="s">
        <v>65</v>
      </c>
    </row>
    <row r="27" spans="1:9" ht="21" customHeight="1" x14ac:dyDescent="0.15">
      <c r="A27" s="25">
        <v>1</v>
      </c>
      <c r="B27" s="25">
        <v>200</v>
      </c>
    </row>
    <row r="28" spans="1:9" ht="21" customHeight="1" x14ac:dyDescent="0.15">
      <c r="A28" s="25">
        <v>2</v>
      </c>
      <c r="B28" s="25">
        <v>600</v>
      </c>
    </row>
    <row r="29" spans="1:9" ht="21" customHeight="1" x14ac:dyDescent="0.15">
      <c r="A29" s="25">
        <v>3</v>
      </c>
      <c r="B29" s="25">
        <v>1500</v>
      </c>
    </row>
    <row r="30" spans="1:9" ht="21" customHeight="1" x14ac:dyDescent="0.15">
      <c r="A30" s="25">
        <v>4</v>
      </c>
      <c r="B30" s="25">
        <v>3400</v>
      </c>
    </row>
    <row r="31" spans="1:9" ht="21" customHeight="1" x14ac:dyDescent="0.15">
      <c r="A31" s="25">
        <v>5</v>
      </c>
      <c r="B31" s="25">
        <v>6400</v>
      </c>
    </row>
  </sheetData>
  <sheetProtection selectLockedCells="1" selectUnlockedCells="1"/>
  <phoneticPr fontId="9"/>
  <conditionalFormatting sqref="A34:I65540 J1:IV1 J10:J13 L10:IV13 J14:IV65540 J7:IV7">
    <cfRule type="cellIs" dxfId="22" priority="27" stopIfTrue="1" operator="equal">
      <formula>1</formula>
    </cfRule>
  </conditionalFormatting>
  <conditionalFormatting sqref="A24:B25 A32:B33 C24:I33">
    <cfRule type="cellIs" dxfId="21" priority="26" stopIfTrue="1" operator="equal">
      <formula>1</formula>
    </cfRule>
  </conditionalFormatting>
  <conditionalFormatting sqref="K10:K13">
    <cfRule type="cellIs" dxfId="20" priority="22" stopIfTrue="1" operator="equal">
      <formula>1</formula>
    </cfRule>
  </conditionalFormatting>
  <conditionalFormatting sqref="J8:IV8">
    <cfRule type="cellIs" dxfId="19" priority="21" stopIfTrue="1" operator="equal">
      <formula>1</formula>
    </cfRule>
  </conditionalFormatting>
  <conditionalFormatting sqref="J9:IV9">
    <cfRule type="cellIs" dxfId="18" priority="20" stopIfTrue="1" operator="equal">
      <formula>1</formula>
    </cfRule>
  </conditionalFormatting>
  <conditionalFormatting sqref="G19:I19">
    <cfRule type="cellIs" dxfId="17" priority="12" stopIfTrue="1" operator="equal">
      <formula>1</formula>
    </cfRule>
  </conditionalFormatting>
  <conditionalFormatting sqref="D18:G18 F15:G17 H15:I18">
    <cfRule type="cellIs" dxfId="16" priority="11" stopIfTrue="1" operator="equal">
      <formula>1</formula>
    </cfRule>
  </conditionalFormatting>
  <conditionalFormatting sqref="F17:G17">
    <cfRule type="cellIs" dxfId="15" priority="10" stopIfTrue="1" operator="equal">
      <formula>1</formula>
    </cfRule>
  </conditionalFormatting>
  <conditionalFormatting sqref="A20">
    <cfRule type="cellIs" dxfId="14" priority="9" stopIfTrue="1" operator="equal">
      <formula>1</formula>
    </cfRule>
  </conditionalFormatting>
  <conditionalFormatting sqref="G12:I14 H10:I11">
    <cfRule type="cellIs" dxfId="13" priority="8" stopIfTrue="1" operator="equal">
      <formula>1</formula>
    </cfRule>
  </conditionalFormatting>
  <conditionalFormatting sqref="B10:C15">
    <cfRule type="cellIs" dxfId="12" priority="7" stopIfTrue="1" operator="equal">
      <formula>1</formula>
    </cfRule>
  </conditionalFormatting>
  <conditionalFormatting sqref="B16">
    <cfRule type="cellIs" dxfId="11" priority="6" stopIfTrue="1" operator="equal">
      <formula>1</formula>
    </cfRule>
  </conditionalFormatting>
  <conditionalFormatting sqref="E17">
    <cfRule type="cellIs" dxfId="10" priority="5" stopIfTrue="1" operator="equal">
      <formula>1</formula>
    </cfRule>
  </conditionalFormatting>
  <conditionalFormatting sqref="F12">
    <cfRule type="cellIs" dxfId="9" priority="4" stopIfTrue="1" operator="equal">
      <formula>1</formula>
    </cfRule>
  </conditionalFormatting>
  <conditionalFormatting sqref="J2:IV6">
    <cfRule type="cellIs" dxfId="8" priority="3" stopIfTrue="1" operator="equal">
      <formula>1</formula>
    </cfRule>
  </conditionalFormatting>
  <conditionalFormatting sqref="G6">
    <cfRule type="cellIs" dxfId="7" priority="2" stopIfTrue="1" operator="equal">
      <formula>1</formula>
    </cfRule>
  </conditionalFormatting>
  <conditionalFormatting sqref="F6">
    <cfRule type="cellIs" dxfId="6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indexed="17"/>
  </sheetPr>
  <dimension ref="A1:I20"/>
  <sheetViews>
    <sheetView showGridLines="0" workbookViewId="0">
      <selection activeCell="D20" sqref="D20"/>
    </sheetView>
  </sheetViews>
  <sheetFormatPr baseColWidth="12" defaultColWidth="13" defaultRowHeight="21" customHeight="1" x14ac:dyDescent="0.15"/>
  <cols>
    <col min="1" max="1" width="13" style="4"/>
    <col min="2" max="16384" width="13" style="24"/>
  </cols>
  <sheetData>
    <row r="1" spans="1:9" s="4" customFormat="1" ht="21" customHeight="1" x14ac:dyDescent="0.15">
      <c r="A1" s="33" t="s">
        <v>10</v>
      </c>
      <c r="B1" s="33">
        <v>1</v>
      </c>
      <c r="C1" s="33">
        <v>2</v>
      </c>
      <c r="D1" s="33">
        <v>3</v>
      </c>
      <c r="E1" s="33">
        <v>4</v>
      </c>
      <c r="F1" s="33">
        <v>5</v>
      </c>
      <c r="G1" s="33">
        <v>6</v>
      </c>
      <c r="H1" s="33">
        <v>7</v>
      </c>
      <c r="I1" s="33">
        <v>8</v>
      </c>
    </row>
    <row r="2" spans="1:9" s="4" customFormat="1" ht="21" customHeight="1" x14ac:dyDescent="0.15">
      <c r="A2" s="143" t="s">
        <v>228</v>
      </c>
      <c r="B2" s="144"/>
      <c r="C2" s="145"/>
      <c r="D2" s="156" t="s">
        <v>11</v>
      </c>
      <c r="E2" s="156">
        <v>8000</v>
      </c>
      <c r="F2" s="156">
        <v>10000</v>
      </c>
      <c r="G2" s="156">
        <v>14000</v>
      </c>
      <c r="H2" s="145"/>
      <c r="I2" s="145"/>
    </row>
    <row r="3" spans="1:9" s="4" customFormat="1" ht="21" customHeight="1" x14ac:dyDescent="0.15">
      <c r="A3" s="143" t="s">
        <v>229</v>
      </c>
      <c r="B3" s="147"/>
      <c r="C3" s="148"/>
      <c r="D3" s="156" t="s">
        <v>11</v>
      </c>
      <c r="E3" s="156">
        <v>7500</v>
      </c>
      <c r="F3" s="156">
        <v>9500</v>
      </c>
      <c r="G3" s="156">
        <v>13000</v>
      </c>
      <c r="H3" s="148"/>
      <c r="I3" s="148"/>
    </row>
    <row r="4" spans="1:9" s="4" customFormat="1" ht="21" customHeight="1" x14ac:dyDescent="0.15">
      <c r="A4" s="143" t="s">
        <v>231</v>
      </c>
      <c r="B4" s="150"/>
      <c r="C4" s="151"/>
      <c r="D4" s="156">
        <v>5000</v>
      </c>
      <c r="E4" s="156">
        <v>7000</v>
      </c>
      <c r="F4" s="156">
        <v>9000</v>
      </c>
      <c r="G4" s="156">
        <v>12000</v>
      </c>
      <c r="H4" s="151"/>
      <c r="I4" s="151"/>
    </row>
    <row r="5" spans="1:9" s="4" customFormat="1" ht="21" customHeight="1" x14ac:dyDescent="0.15">
      <c r="A5" s="162" t="s">
        <v>232</v>
      </c>
      <c r="B5" s="157"/>
      <c r="C5" s="158"/>
      <c r="D5" s="156">
        <v>4900</v>
      </c>
      <c r="E5" s="156">
        <v>6700</v>
      </c>
      <c r="F5" s="156">
        <v>8500</v>
      </c>
      <c r="G5" s="156">
        <v>11000</v>
      </c>
      <c r="H5" s="158"/>
      <c r="I5" s="158"/>
    </row>
    <row r="6" spans="1:9" s="4" customFormat="1" ht="21" customHeight="1" x14ac:dyDescent="0.15">
      <c r="A6" s="162" t="s">
        <v>233</v>
      </c>
      <c r="B6" s="157"/>
      <c r="C6" s="158"/>
      <c r="D6" s="156">
        <v>4800</v>
      </c>
      <c r="E6" s="156">
        <v>6600</v>
      </c>
      <c r="F6" s="156" t="s">
        <v>11</v>
      </c>
      <c r="G6" s="156" t="s">
        <v>11</v>
      </c>
      <c r="H6" s="158"/>
      <c r="I6" s="158"/>
    </row>
    <row r="7" spans="1:9" ht="21" customHeight="1" x14ac:dyDescent="0.15">
      <c r="A7" s="73" t="s">
        <v>207</v>
      </c>
      <c r="B7" s="47" t="s">
        <v>11</v>
      </c>
      <c r="C7" s="47" t="s">
        <v>11</v>
      </c>
      <c r="D7" s="47" t="s">
        <v>11</v>
      </c>
      <c r="E7" s="47" t="s">
        <v>11</v>
      </c>
      <c r="F7" s="47" t="s">
        <v>11</v>
      </c>
      <c r="G7" s="47" t="s">
        <v>11</v>
      </c>
      <c r="H7" s="47" t="s">
        <v>11</v>
      </c>
      <c r="I7" s="47" t="s">
        <v>11</v>
      </c>
    </row>
    <row r="8" spans="1:9" ht="21" customHeight="1" x14ac:dyDescent="0.15">
      <c r="A8" s="74" t="s">
        <v>208</v>
      </c>
      <c r="B8" s="47" t="s">
        <v>11</v>
      </c>
      <c r="C8" s="47" t="s">
        <v>11</v>
      </c>
      <c r="D8" s="47" t="s">
        <v>11</v>
      </c>
      <c r="E8" s="47">
        <v>8000</v>
      </c>
      <c r="F8" s="29">
        <v>10000</v>
      </c>
      <c r="G8" s="47">
        <v>14000</v>
      </c>
      <c r="H8" s="47" t="s">
        <v>11</v>
      </c>
      <c r="I8" s="47" t="s">
        <v>11</v>
      </c>
    </row>
    <row r="9" spans="1:9" s="46" customFormat="1" ht="21" customHeight="1" x14ac:dyDescent="0.15">
      <c r="A9" s="75" t="s">
        <v>209</v>
      </c>
      <c r="B9" s="29" t="s">
        <v>11</v>
      </c>
      <c r="C9" s="29" t="s">
        <v>11</v>
      </c>
      <c r="D9" s="29" t="s">
        <v>11</v>
      </c>
      <c r="E9" s="29">
        <v>7500</v>
      </c>
      <c r="F9" s="29">
        <v>9500</v>
      </c>
      <c r="G9" s="47">
        <v>13000</v>
      </c>
      <c r="H9" s="29" t="s">
        <v>11</v>
      </c>
      <c r="I9" s="29" t="s">
        <v>11</v>
      </c>
    </row>
    <row r="10" spans="1:9" ht="21" customHeight="1" x14ac:dyDescent="0.15">
      <c r="A10" s="75" t="s">
        <v>9</v>
      </c>
      <c r="B10" s="68" t="s">
        <v>11</v>
      </c>
      <c r="C10" s="68" t="s">
        <v>11</v>
      </c>
      <c r="D10" s="29">
        <v>5000</v>
      </c>
      <c r="E10" s="29">
        <v>7000</v>
      </c>
      <c r="F10" s="29">
        <v>9000</v>
      </c>
      <c r="G10" s="47">
        <v>12000</v>
      </c>
      <c r="H10" s="68" t="s">
        <v>11</v>
      </c>
      <c r="I10" s="68" t="s">
        <v>11</v>
      </c>
    </row>
    <row r="11" spans="1:9" ht="21" customHeight="1" x14ac:dyDescent="0.15">
      <c r="A11" s="75" t="s">
        <v>210</v>
      </c>
      <c r="B11" s="68" t="s">
        <v>11</v>
      </c>
      <c r="C11" s="68" t="s">
        <v>11</v>
      </c>
      <c r="D11" s="29">
        <v>4900</v>
      </c>
      <c r="E11" s="29">
        <v>6700</v>
      </c>
      <c r="F11" s="29">
        <v>8500</v>
      </c>
      <c r="G11" s="47">
        <v>11000</v>
      </c>
      <c r="H11" s="68" t="s">
        <v>11</v>
      </c>
      <c r="I11" s="68" t="s">
        <v>11</v>
      </c>
    </row>
    <row r="12" spans="1:9" ht="21" customHeight="1" x14ac:dyDescent="0.15">
      <c r="A12" s="75" t="s">
        <v>106</v>
      </c>
      <c r="B12" s="68" t="s">
        <v>11</v>
      </c>
      <c r="C12" s="68" t="s">
        <v>11</v>
      </c>
      <c r="D12" s="29">
        <v>4800</v>
      </c>
      <c r="E12" s="29">
        <v>6600</v>
      </c>
      <c r="F12" s="68" t="s">
        <v>11</v>
      </c>
      <c r="G12" s="68" t="s">
        <v>11</v>
      </c>
      <c r="H12" s="68" t="s">
        <v>11</v>
      </c>
      <c r="I12" s="68" t="s">
        <v>11</v>
      </c>
    </row>
    <row r="13" spans="1:9" ht="21" customHeight="1" x14ac:dyDescent="0.15">
      <c r="A13" s="75" t="s">
        <v>211</v>
      </c>
      <c r="B13" s="68" t="s">
        <v>11</v>
      </c>
      <c r="C13" s="68" t="s">
        <v>11</v>
      </c>
      <c r="D13" s="68" t="s">
        <v>11</v>
      </c>
      <c r="E13" s="29">
        <v>6300</v>
      </c>
      <c r="F13" s="68" t="s">
        <v>11</v>
      </c>
      <c r="G13" s="68" t="s">
        <v>11</v>
      </c>
      <c r="H13" s="68" t="s">
        <v>11</v>
      </c>
      <c r="I13" s="68" t="s">
        <v>11</v>
      </c>
    </row>
    <row r="14" spans="1:9" ht="21" customHeight="1" x14ac:dyDescent="0.15">
      <c r="A14" s="75" t="s">
        <v>212</v>
      </c>
      <c r="B14" s="68" t="s">
        <v>11</v>
      </c>
      <c r="C14" s="68" t="s">
        <v>11</v>
      </c>
      <c r="D14" s="29">
        <v>4600</v>
      </c>
      <c r="E14" s="29">
        <v>5800</v>
      </c>
      <c r="F14" s="29">
        <v>7600</v>
      </c>
      <c r="G14" s="68" t="s">
        <v>11</v>
      </c>
      <c r="H14" s="68" t="s">
        <v>11</v>
      </c>
      <c r="I14" s="68" t="s">
        <v>11</v>
      </c>
    </row>
    <row r="15" spans="1:9" ht="21" customHeight="1" x14ac:dyDescent="0.15">
      <c r="A15" s="75" t="s">
        <v>105</v>
      </c>
      <c r="B15" s="68" t="s">
        <v>11</v>
      </c>
      <c r="C15" s="68" t="s">
        <v>11</v>
      </c>
      <c r="D15" s="29">
        <v>4400</v>
      </c>
      <c r="E15" s="29">
        <v>5600</v>
      </c>
      <c r="F15" s="68" t="s">
        <v>11</v>
      </c>
      <c r="G15" s="68" t="s">
        <v>11</v>
      </c>
      <c r="H15" s="68" t="s">
        <v>11</v>
      </c>
      <c r="I15" s="68" t="s">
        <v>11</v>
      </c>
    </row>
    <row r="16" spans="1:9" ht="21" customHeight="1" x14ac:dyDescent="0.15">
      <c r="A16" s="75" t="s">
        <v>213</v>
      </c>
      <c r="B16" s="68" t="s">
        <v>11</v>
      </c>
      <c r="C16" s="29">
        <v>3000</v>
      </c>
      <c r="D16" s="29">
        <v>4200</v>
      </c>
      <c r="E16" s="29">
        <v>5400</v>
      </c>
      <c r="F16" s="68" t="s">
        <v>11</v>
      </c>
      <c r="G16" s="68" t="s">
        <v>11</v>
      </c>
      <c r="H16" s="68" t="s">
        <v>11</v>
      </c>
      <c r="I16" s="68" t="s">
        <v>11</v>
      </c>
    </row>
    <row r="17" spans="1:9" ht="21" customHeight="1" x14ac:dyDescent="0.15">
      <c r="A17" s="75" t="s">
        <v>8</v>
      </c>
      <c r="B17" s="29">
        <v>2000</v>
      </c>
      <c r="C17" s="29">
        <v>2800</v>
      </c>
      <c r="D17" s="29">
        <v>4000</v>
      </c>
      <c r="E17" s="68" t="s">
        <v>11</v>
      </c>
      <c r="F17" s="68" t="s">
        <v>11</v>
      </c>
      <c r="G17" s="68" t="s">
        <v>11</v>
      </c>
      <c r="H17" s="68" t="s">
        <v>11</v>
      </c>
      <c r="I17" s="68" t="s">
        <v>11</v>
      </c>
    </row>
    <row r="18" spans="1:9" ht="21" customHeight="1" x14ac:dyDescent="0.15">
      <c r="A18" s="76" t="s">
        <v>7</v>
      </c>
      <c r="B18" s="29">
        <v>1750</v>
      </c>
      <c r="C18" s="29">
        <v>2550</v>
      </c>
      <c r="D18" s="68" t="s">
        <v>11</v>
      </c>
      <c r="E18" s="68" t="s">
        <v>11</v>
      </c>
      <c r="F18" s="68" t="s">
        <v>11</v>
      </c>
      <c r="G18" s="68" t="s">
        <v>11</v>
      </c>
      <c r="H18" s="68" t="s">
        <v>11</v>
      </c>
      <c r="I18" s="68" t="s">
        <v>11</v>
      </c>
    </row>
    <row r="19" spans="1:9" ht="21" customHeight="1" x14ac:dyDescent="0.15">
      <c r="A19" s="76" t="s">
        <v>214</v>
      </c>
      <c r="B19" s="29">
        <v>1500</v>
      </c>
      <c r="C19" s="29">
        <v>2300</v>
      </c>
      <c r="D19" s="68" t="s">
        <v>11</v>
      </c>
      <c r="E19" s="68" t="s">
        <v>11</v>
      </c>
      <c r="F19" s="68" t="s">
        <v>11</v>
      </c>
      <c r="G19" s="68" t="s">
        <v>11</v>
      </c>
      <c r="H19" s="68" t="s">
        <v>11</v>
      </c>
      <c r="I19" s="68" t="s">
        <v>11</v>
      </c>
    </row>
    <row r="20" spans="1:9" ht="21" customHeight="1" x14ac:dyDescent="0.15">
      <c r="A20" s="38" t="s">
        <v>215</v>
      </c>
      <c r="B20" s="37">
        <v>1000</v>
      </c>
      <c r="C20" s="37">
        <v>1000</v>
      </c>
      <c r="D20" s="37">
        <v>1000</v>
      </c>
      <c r="E20" s="37">
        <v>1000</v>
      </c>
      <c r="F20" s="37">
        <v>1000</v>
      </c>
      <c r="G20" s="37">
        <v>1000</v>
      </c>
      <c r="H20" s="37">
        <v>1000</v>
      </c>
      <c r="I20" s="37">
        <v>1000</v>
      </c>
    </row>
  </sheetData>
  <sheetProtection selectLockedCells="1" selectUnlockedCells="1"/>
  <phoneticPr fontId="9"/>
  <conditionalFormatting sqref="L22:R65541 J1:IU1 L7:R19 S7:IU1048576 J7:K1048576">
    <cfRule type="cellIs" dxfId="5" priority="7" stopIfTrue="1" operator="equal">
      <formula>1</formula>
    </cfRule>
  </conditionalFormatting>
  <conditionalFormatting sqref="A21:I65541">
    <cfRule type="cellIs" dxfId="4" priority="8" stopIfTrue="1" operator="equal">
      <formula>1</formula>
    </cfRule>
  </conditionalFormatting>
  <conditionalFormatting sqref="A20:I20">
    <cfRule type="cellIs" dxfId="3" priority="5" stopIfTrue="1" operator="equal">
      <formula>1</formula>
    </cfRule>
  </conditionalFormatting>
  <conditionalFormatting sqref="J2:IV4">
    <cfRule type="cellIs" dxfId="2" priority="4" stopIfTrue="1" operator="equal">
      <formula>1</formula>
    </cfRule>
  </conditionalFormatting>
  <conditionalFormatting sqref="J5:IV6">
    <cfRule type="cellIs" dxfId="1" priority="3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>
    <tabColor indexed="17"/>
  </sheetPr>
  <dimension ref="A1:H10"/>
  <sheetViews>
    <sheetView showGridLines="0" zoomScale="115" zoomScaleNormal="115" zoomScalePageLayoutView="115" workbookViewId="0">
      <selection activeCell="I14" sqref="I14"/>
    </sheetView>
  </sheetViews>
  <sheetFormatPr baseColWidth="12" defaultColWidth="13" defaultRowHeight="21" customHeight="1" x14ac:dyDescent="0.15"/>
  <cols>
    <col min="1" max="16384" width="13" style="24"/>
  </cols>
  <sheetData>
    <row r="1" spans="1:8" ht="21" customHeight="1" x14ac:dyDescent="0.15">
      <c r="A1" s="24" t="s">
        <v>111</v>
      </c>
      <c r="G1" s="24" t="s">
        <v>112</v>
      </c>
    </row>
    <row r="2" spans="1:8" ht="21" customHeight="1" x14ac:dyDescent="0.15">
      <c r="A2" s="22" t="s">
        <v>15</v>
      </c>
      <c r="B2" s="22" t="s">
        <v>16</v>
      </c>
      <c r="G2" s="22" t="s">
        <v>15</v>
      </c>
      <c r="H2" s="22" t="s">
        <v>16</v>
      </c>
    </row>
    <row r="3" spans="1:8" ht="21" customHeight="1" x14ac:dyDescent="0.15">
      <c r="A3" s="25">
        <v>1</v>
      </c>
      <c r="B3" s="34">
        <v>5000</v>
      </c>
      <c r="G3" s="25">
        <v>1</v>
      </c>
      <c r="H3" s="25">
        <v>75</v>
      </c>
    </row>
    <row r="4" spans="1:8" ht="21" customHeight="1" x14ac:dyDescent="0.15">
      <c r="A4" s="25">
        <v>2</v>
      </c>
      <c r="B4" s="26">
        <v>10000</v>
      </c>
      <c r="G4" s="25">
        <v>2</v>
      </c>
      <c r="H4" s="25">
        <v>150</v>
      </c>
    </row>
    <row r="5" spans="1:8" ht="21" customHeight="1" x14ac:dyDescent="0.15">
      <c r="A5" s="25">
        <v>3</v>
      </c>
      <c r="B5" s="26">
        <v>20000</v>
      </c>
      <c r="G5" s="25">
        <v>3</v>
      </c>
      <c r="H5" s="25">
        <v>300</v>
      </c>
    </row>
    <row r="6" spans="1:8" ht="21" customHeight="1" x14ac:dyDescent="0.15">
      <c r="A6" s="25">
        <v>4</v>
      </c>
      <c r="B6" s="26">
        <v>50000</v>
      </c>
      <c r="G6" s="25">
        <v>4</v>
      </c>
      <c r="H6" s="25">
        <v>600</v>
      </c>
    </row>
    <row r="7" spans="1:8" ht="21" customHeight="1" x14ac:dyDescent="0.15">
      <c r="A7" s="25">
        <v>5</v>
      </c>
      <c r="B7" s="26">
        <v>200000</v>
      </c>
      <c r="G7" s="25">
        <v>5</v>
      </c>
      <c r="H7" s="25">
        <v>900</v>
      </c>
    </row>
    <row r="8" spans="1:8" ht="21" customHeight="1" x14ac:dyDescent="0.15">
      <c r="A8" s="25">
        <v>6</v>
      </c>
      <c r="B8" s="35">
        <v>0</v>
      </c>
      <c r="G8" s="25">
        <v>6</v>
      </c>
      <c r="H8" s="36">
        <v>1200</v>
      </c>
    </row>
    <row r="9" spans="1:8" ht="21" customHeight="1" x14ac:dyDescent="0.15">
      <c r="A9" s="25">
        <v>7</v>
      </c>
      <c r="B9" s="35"/>
      <c r="G9" s="25">
        <v>7</v>
      </c>
      <c r="H9" s="35"/>
    </row>
    <row r="10" spans="1:8" ht="21" customHeight="1" x14ac:dyDescent="0.15">
      <c r="A10" s="25">
        <v>8</v>
      </c>
      <c r="B10" s="35"/>
      <c r="G10" s="25">
        <v>8</v>
      </c>
      <c r="H10" s="35"/>
    </row>
  </sheetData>
  <sheetProtection selectLockedCells="1" selectUnlockedCells="1"/>
  <phoneticPr fontId="9"/>
  <conditionalFormatting sqref="A1:B1 A11:B65536 C1:F1048576 G1:H1 G11:H65536 I1:IV1048576 B8:B10 H8:H10">
    <cfRule type="cellIs" dxfId="0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2:D55"/>
  <sheetViews>
    <sheetView topLeftCell="A5" workbookViewId="0">
      <selection activeCell="H21" sqref="H21"/>
    </sheetView>
  </sheetViews>
  <sheetFormatPr baseColWidth="12" defaultRowHeight="15" x14ac:dyDescent="0.15"/>
  <sheetData>
    <row r="2" spans="1:4" x14ac:dyDescent="0.15">
      <c r="A2" t="s">
        <v>199</v>
      </c>
      <c r="B2" s="12">
        <v>591</v>
      </c>
    </row>
    <row r="3" spans="1:4" x14ac:dyDescent="0.15">
      <c r="A3" t="s">
        <v>200</v>
      </c>
      <c r="B3" s="130">
        <v>592</v>
      </c>
    </row>
    <row r="4" spans="1:4" x14ac:dyDescent="0.15">
      <c r="A4" t="s">
        <v>201</v>
      </c>
      <c r="B4" s="130">
        <v>593</v>
      </c>
    </row>
    <row r="7" spans="1:4" x14ac:dyDescent="0.15">
      <c r="A7" t="s">
        <v>202</v>
      </c>
    </row>
    <row r="8" spans="1:4" x14ac:dyDescent="0.15">
      <c r="A8" t="str">
        <f>A2 &amp;" "&amp;IF(B2="","",B2)&amp;" "&amp; IFERROR(VLOOKUP(B2,units!A:B,2),"なし")</f>
        <v>R3 591 なし</v>
      </c>
    </row>
    <row r="9" spans="1:4" x14ac:dyDescent="0.15">
      <c r="A9" t="str">
        <f>A3 &amp;" "&amp;IF(B3="","",B3)&amp;" "&amp; IFERROR(VLOOKUP(B3,units!A:B,2),"なし")</f>
        <v>R4 592 なし</v>
      </c>
    </row>
    <row r="10" spans="1:4" x14ac:dyDescent="0.15">
      <c r="A10" t="str">
        <f>A4 &amp;" "&amp;IF(B4="","",B4)&amp;" "&amp; IFERROR(VLOOKUP(B4,units!A:B,2),"なし")</f>
        <v>R5 593 なし</v>
      </c>
    </row>
    <row r="12" spans="1:4" x14ac:dyDescent="0.15">
      <c r="A12" t="s">
        <v>221</v>
      </c>
    </row>
    <row r="13" spans="1:4" x14ac:dyDescent="0.15">
      <c r="B13" t="s">
        <v>225</v>
      </c>
      <c r="C13" t="s">
        <v>226</v>
      </c>
      <c r="D13" t="s">
        <v>227</v>
      </c>
    </row>
    <row r="14" spans="1:4" x14ac:dyDescent="0.15">
      <c r="A14" t="s">
        <v>223</v>
      </c>
      <c r="B14" t="e">
        <f>VLOOKUP($B2,units!$A:$BN,63)</f>
        <v>#N/A</v>
      </c>
      <c r="C14" t="e">
        <f>VLOOKUP($B2,units!$A:$BN,64)</f>
        <v>#N/A</v>
      </c>
      <c r="D14" t="e">
        <f>VLOOKUP($B2,units!$A:$BN,66)</f>
        <v>#N/A</v>
      </c>
    </row>
    <row r="15" spans="1:4" x14ac:dyDescent="0.15">
      <c r="A15" t="s">
        <v>224</v>
      </c>
      <c r="B15" t="e">
        <f>VLOOKUP($B3,units!$A:$BN,63)</f>
        <v>#N/A</v>
      </c>
      <c r="C15" t="e">
        <f>VLOOKUP($B3,units!$A:$BN,64)</f>
        <v>#N/A</v>
      </c>
      <c r="D15" t="e">
        <f>VLOOKUP($B3,units!$A:$BN,66)</f>
        <v>#N/A</v>
      </c>
    </row>
    <row r="16" spans="1:4" x14ac:dyDescent="0.15">
      <c r="A16" t="s">
        <v>222</v>
      </c>
      <c r="B16" t="e">
        <f>VLOOKUP($B4,units!$A:$BN,63)</f>
        <v>#N/A</v>
      </c>
      <c r="C16" t="e">
        <f>VLOOKUP($B4,units!$A:$BN,64)</f>
        <v>#N/A</v>
      </c>
      <c r="D16" t="e">
        <f>VLOOKUP($B4,units!$A:$BN,66)</f>
        <v>#N/A</v>
      </c>
    </row>
    <row r="19" spans="1:1" ht="19" customHeight="1" x14ac:dyDescent="0.15">
      <c r="A19" t="s">
        <v>203</v>
      </c>
    </row>
    <row r="20" spans="1:1" x14ac:dyDescent="0.15">
      <c r="A20" t="str">
        <f>IFERROR(VLOOKUP($B$2,unit_skills!A:I,3),"なし")</f>
        <v>なし</v>
      </c>
    </row>
    <row r="21" spans="1:1" x14ac:dyDescent="0.15">
      <c r="A21" t="str">
        <f>IFERROR(VLOOKUP($B$2,unit_skills!A:I,4),"なし")</f>
        <v>なし</v>
      </c>
    </row>
    <row r="22" spans="1:1" x14ac:dyDescent="0.15">
      <c r="A22" t="str">
        <f>"cost:"&amp;IFERROR(VLOOKUP($B$2,unit_skills!A:I,6),"なし")</f>
        <v>cost:なし</v>
      </c>
    </row>
    <row r="23" spans="1:1" x14ac:dyDescent="0.15">
      <c r="A23" t="str">
        <f>IFERROR(VLOOKUP($B$2,unit_skills!A:I,9),"なし")</f>
        <v>なし</v>
      </c>
    </row>
    <row r="25" spans="1:1" x14ac:dyDescent="0.15">
      <c r="A25" t="str">
        <f>IFERROR(VLOOKUP($B$3,unit_skills!A:I,3),"なし")</f>
        <v>なし</v>
      </c>
    </row>
    <row r="26" spans="1:1" x14ac:dyDescent="0.15">
      <c r="A26" t="str">
        <f>IFERROR(VLOOKUP($B$3,unit_skills!A:I,4),"なし")</f>
        <v>なし</v>
      </c>
    </row>
    <row r="27" spans="1:1" x14ac:dyDescent="0.15">
      <c r="A27" t="str">
        <f>"cost:"&amp;IFERROR(VLOOKUP($B$3,unit_skills!A:I,6),"なし")</f>
        <v>cost:なし</v>
      </c>
    </row>
    <row r="28" spans="1:1" x14ac:dyDescent="0.15">
      <c r="A28" t="str">
        <f>IFERROR(VLOOKUP($B$3,unit_skills!A:I,9),"なし")</f>
        <v>なし</v>
      </c>
    </row>
    <row r="30" spans="1:1" x14ac:dyDescent="0.15">
      <c r="A30" t="str">
        <f>IFERROR(VLOOKUP($B$4,unit_skills!A:I,3),"なし")</f>
        <v>なし</v>
      </c>
    </row>
    <row r="31" spans="1:1" x14ac:dyDescent="0.15">
      <c r="A31" t="str">
        <f>IFERROR(VLOOKUP($B$4,unit_skills!A:I,4),"なし")</f>
        <v>なし</v>
      </c>
    </row>
    <row r="32" spans="1:1" x14ac:dyDescent="0.15">
      <c r="A32" t="str">
        <f>"cost:"&amp;IFERROR(VLOOKUP($B$4,unit_skills!A:I,6),"なし")</f>
        <v>cost:なし</v>
      </c>
    </row>
    <row r="33" spans="1:1" x14ac:dyDescent="0.15">
      <c r="A33" t="str">
        <f>IFERROR(VLOOKUP($B$4,unit_skills!A:I,9),"なし")</f>
        <v>なし</v>
      </c>
    </row>
    <row r="35" spans="1:1" x14ac:dyDescent="0.15">
      <c r="A35" t="s">
        <v>204</v>
      </c>
    </row>
    <row r="36" spans="1:1" x14ac:dyDescent="0.15">
      <c r="A36" t="str">
        <f>IFERROR(VLOOKUP($B$2,crash_skills!A:I,3),"なし")</f>
        <v>なし</v>
      </c>
    </row>
    <row r="37" spans="1:1" x14ac:dyDescent="0.15">
      <c r="A37" t="str">
        <f>IFERROR(VLOOKUP($B$2,crash_skills!A:I,4),"なし")</f>
        <v>なし</v>
      </c>
    </row>
    <row r="38" spans="1:1" x14ac:dyDescent="0.15">
      <c r="A38" t="str">
        <f>IFERROR(VLOOKUP($B$2,crash_skills!A:I,6),"なし")</f>
        <v>なし</v>
      </c>
    </row>
    <row r="40" spans="1:1" x14ac:dyDescent="0.15">
      <c r="A40" t="str">
        <f>IFERROR(VLOOKUP($B$3,crash_skills!A:I,3),"なし")</f>
        <v>なし</v>
      </c>
    </row>
    <row r="41" spans="1:1" x14ac:dyDescent="0.15">
      <c r="A41" t="str">
        <f>IFERROR(VLOOKUP($B$3,crash_skills!A:I,4),"なし")</f>
        <v>なし</v>
      </c>
    </row>
    <row r="42" spans="1:1" x14ac:dyDescent="0.15">
      <c r="A42" t="str">
        <f>IFERROR(VLOOKUP($B$3,crash_skills!A:I,6),"なし")</f>
        <v>なし</v>
      </c>
    </row>
    <row r="44" spans="1:1" x14ac:dyDescent="0.15">
      <c r="A44" t="str">
        <f>IFERROR(VLOOKUP($B$4,crash_skills!A:I,3),"なし")</f>
        <v>なし</v>
      </c>
    </row>
    <row r="45" spans="1:1" x14ac:dyDescent="0.15">
      <c r="A45" t="str">
        <f>IFERROR(VLOOKUP($B$4,crash_skills!A:I,4),"なし")</f>
        <v>なし</v>
      </c>
    </row>
    <row r="46" spans="1:1" x14ac:dyDescent="0.15">
      <c r="A46" t="str">
        <f>IFERROR(VLOOKUP($B$4,crash_skills!A:I,6),"なし")</f>
        <v>なし</v>
      </c>
    </row>
    <row r="48" spans="1:1" x14ac:dyDescent="0.15">
      <c r="A48" t="s">
        <v>205</v>
      </c>
    </row>
    <row r="49" spans="1:1" x14ac:dyDescent="0.15">
      <c r="A49" t="str">
        <f>IFERROR(VLOOKUP($B$3,awake_materials!A:L,2),"なし")</f>
        <v>なし</v>
      </c>
    </row>
    <row r="50" spans="1:1" x14ac:dyDescent="0.15">
      <c r="A50" t="str">
        <f>IFERROR(VLOOKUP($B$3,awake_materials!A:L,2),"なし")</f>
        <v>なし</v>
      </c>
    </row>
    <row r="51" spans="1:1" x14ac:dyDescent="0.15">
      <c r="A51" t="str">
        <f>IFERROR(VLOOKUP($B$3,awake_materials!A:L,2),"なし")</f>
        <v>なし</v>
      </c>
    </row>
    <row r="52" spans="1:1" x14ac:dyDescent="0.15">
      <c r="A52" t="str">
        <f>IFERROR(VLOOKUP($B$3,awake_materials!A:L,2),"なし")</f>
        <v>なし</v>
      </c>
    </row>
    <row r="53" spans="1:1" x14ac:dyDescent="0.15">
      <c r="A53" t="str">
        <f>IFERROR(VLOOKUP($B$3,awake_materials!A:L,2),"なし")</f>
        <v>なし</v>
      </c>
    </row>
    <row r="55" spans="1:1" x14ac:dyDescent="0.15">
      <c r="A55" s="142"/>
    </row>
  </sheetData>
  <phoneticPr fontId="2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17</vt:i4>
      </vt:variant>
    </vt:vector>
  </HeadingPairs>
  <TitlesOfParts>
    <vt:vector size="17" baseType="lpstr">
      <vt:lpstr>output</vt:lpstr>
      <vt:lpstr>units</vt:lpstr>
      <vt:lpstr>unit_skills</vt:lpstr>
      <vt:lpstr>crash_skills</vt:lpstr>
      <vt:lpstr>unit_serifs</vt:lpstr>
      <vt:lpstr>fork_awake_units</vt:lpstr>
      <vt:lpstr>awake_materials</vt:lpstr>
      <vt:lpstr>unit_abilities</vt:lpstr>
      <vt:lpstr>abilities</vt:lpstr>
      <vt:lpstr>abilities_old</vt:lpstr>
      <vt:lpstr>→base値</vt:lpstr>
      <vt:lpstr>コスト</vt:lpstr>
      <vt:lpstr>レベル</vt:lpstr>
      <vt:lpstr>経験値</vt:lpstr>
      <vt:lpstr>RC6SV</vt:lpstr>
      <vt:lpstr>ビット</vt:lpstr>
      <vt:lpstr>チェックシート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OmataY</dc:creator>
  <cp:lastModifiedBy>Microsoft Office ユーザー</cp:lastModifiedBy>
  <dcterms:created xsi:type="dcterms:W3CDTF">2014-07-07T06:45:59Z</dcterms:created>
  <dcterms:modified xsi:type="dcterms:W3CDTF">2017-06-06T09:49:28Z</dcterms:modified>
</cp:coreProperties>
</file>