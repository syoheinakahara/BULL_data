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780" yWindow="920" windowWidth="24700" windowHeight="14640" tabRatio="943" activeTab="1"/>
  </bookViews>
  <sheets>
    <sheet name="Sheet1" sheetId="107" r:id="rId1"/>
    <sheet name="output" sheetId="103" r:id="rId2"/>
    <sheet name="tables_7302" sheetId="114" r:id="rId3"/>
    <sheet name="R6追加前" sheetId="111" r:id="rId4"/>
    <sheet name="R6開放" sheetId="112" r:id="rId5"/>
  </sheets>
  <externalReferences>
    <externalReference r:id="rId6"/>
  </externalReferences>
  <definedNames>
    <definedName name="_xlnm._FilterDatabase" localSheetId="2" hidden="1">tables_7302!$A$1:$V$4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" i="114" l="1"/>
  <c r="D5" i="114"/>
  <c r="J5" i="114"/>
  <c r="E5" i="114"/>
  <c r="F5" i="114"/>
  <c r="C5" i="114"/>
  <c r="H5" i="114"/>
  <c r="K5" i="114"/>
  <c r="L5" i="114"/>
  <c r="M5" i="114"/>
  <c r="N5" i="114"/>
  <c r="P5" i="114"/>
  <c r="I6" i="114"/>
  <c r="D6" i="114"/>
  <c r="J6" i="114"/>
  <c r="E6" i="114"/>
  <c r="F6" i="114"/>
  <c r="C6" i="114"/>
  <c r="H6" i="114"/>
  <c r="K6" i="114"/>
  <c r="L6" i="114"/>
  <c r="M6" i="114"/>
  <c r="N6" i="114"/>
  <c r="P6" i="114"/>
  <c r="I7" i="114"/>
  <c r="D7" i="114"/>
  <c r="J7" i="114"/>
  <c r="E7" i="114"/>
  <c r="F7" i="114"/>
  <c r="C7" i="114"/>
  <c r="H7" i="114"/>
  <c r="K7" i="114"/>
  <c r="L7" i="114"/>
  <c r="M7" i="114"/>
  <c r="N7" i="114"/>
  <c r="P7" i="114"/>
  <c r="E4" i="103"/>
  <c r="E3" i="103"/>
  <c r="J4" i="114"/>
  <c r="I2" i="114"/>
  <c r="D2" i="114"/>
  <c r="J2" i="114"/>
  <c r="E2" i="114"/>
  <c r="F2" i="114"/>
  <c r="C2" i="114"/>
  <c r="I3" i="114"/>
  <c r="D3" i="114"/>
  <c r="J3" i="114"/>
  <c r="E3" i="114"/>
  <c r="F3" i="114"/>
  <c r="C3" i="114"/>
  <c r="I4" i="114"/>
  <c r="D4" i="114"/>
  <c r="E4" i="114"/>
  <c r="F4" i="114"/>
  <c r="C4" i="114"/>
  <c r="P4" i="114"/>
  <c r="N4" i="114"/>
  <c r="M4" i="114"/>
  <c r="L4" i="114"/>
  <c r="K4" i="114"/>
  <c r="H4" i="114"/>
  <c r="P3" i="114"/>
  <c r="N3" i="114"/>
  <c r="M3" i="114"/>
  <c r="L3" i="114"/>
  <c r="K3" i="114"/>
  <c r="H3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<sst xmlns="http://schemas.openxmlformats.org/spreadsheetml/2006/main" count="115" uniqueCount="70">
  <si>
    <t>character_id</t>
  </si>
  <si>
    <t>character_id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</si>
  <si>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</si>
  <si>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</si>
  <si>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</si>
  <si>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</si>
  <si>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</si>
  <si>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</si>
  <si>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</si>
  <si>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</si>
  <si>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</si>
  <si>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</si>
  <si>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</si>
  <si>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</si>
  <si>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</si>
  <si>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</si>
  <si>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</si>
  <si>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</si>
  <si>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</si>
  <si>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</si>
  <si>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</si>
  <si>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</si>
  <si>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</si>
  <si>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</si>
  <si>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</si>
  <si>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</si>
  <si>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</si>
  <si>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</si>
  <si>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</si>
  <si>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</si>
  <si>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</si>
  <si>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</si>
  <si>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</si>
  <si>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</si>
  <si>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</si>
  <si>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</si>
  <si>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</si>
  <si>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</si>
  <si>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</si>
  <si>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</si>
  <si>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</si>
  <si>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</si>
  <si>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</si>
  <si>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</si>
  <si>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</si>
  <si>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</si>
  <si>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hogehoge</t>
    <phoneticPr fontId="18"/>
  </si>
  <si>
    <t>性別</t>
    <rPh sb="0" eb="2">
      <t>セイベツ</t>
    </rPh>
    <phoneticPr fontId="18"/>
  </si>
  <si>
    <t>ピックアップ確率</t>
    <rPh sb="6" eb="8">
      <t>カクリツ</t>
    </rPh>
    <phoneticPr fontId="18"/>
  </si>
  <si>
    <t>確率</t>
    <rPh sb="0" eb="2">
      <t>カクリツ</t>
    </rPh>
    <phoneticPr fontId="18"/>
  </si>
  <si>
    <t>名前</t>
    <rPh sb="0" eb="2">
      <t>ナマエ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</si>
  <si>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</si>
  <si>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</si>
  <si>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</si>
  <si>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</si>
  <si>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table_no</t>
    <phoneticPr fontId="18"/>
  </si>
  <si>
    <t>table_no</t>
    <phoneticPr fontId="18"/>
  </si>
  <si>
    <t>skill_level</t>
  </si>
  <si>
    <t>level</t>
  </si>
  <si>
    <t>drop_label2</t>
    <phoneticPr fontId="18"/>
  </si>
  <si>
    <t>color2</t>
    <phoneticPr fontId="18"/>
  </si>
  <si>
    <t>gacha_select_tables_</t>
    <phoneticPr fontId="18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</si>
  <si>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</si>
  <si>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</si>
  <si>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old</t>
    <phoneticPr fontId="18"/>
  </si>
  <si>
    <t>gacha_settle_tables_</t>
    <phoneticPr fontId="18"/>
  </si>
  <si>
    <t>tables_settle_7301</t>
    <phoneticPr fontId="18"/>
  </si>
  <si>
    <t>tables_7301</t>
    <phoneticPr fontId="18"/>
  </si>
  <si>
    <t>tables_7302</t>
    <phoneticPr fontId="18"/>
  </si>
  <si>
    <t>skip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</si>
</sst>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4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22" fillId="23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4" fillId="0" borderId="1" xfId="3036" applyFont="1" applyBorder="1"/>
    <xf numFmtId="0" fontId="3" fillId="4" borderId="1" xfId="2978" applyFont="1" applyFill="1" applyBorder="1"/>
    <xf numFmtId="0" fontId="3" fillId="0" borderId="1" xfId="2978" applyFont="1" applyBorder="1"/>
    <xf numFmtId="0" fontId="2" fillId="4" borderId="1" xfId="2978" applyFont="1" applyFill="1" applyBorder="1"/>
    <xf numFmtId="0" fontId="2" fillId="0" borderId="1" xfId="3036" applyFont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51</v>
      </c>
    </row>
    <row r="2" spans="1:1" x14ac:dyDescent="0.15">
      <c r="A2" t="s">
        <v>52</v>
      </c>
    </row>
    <row r="3" spans="1:1" x14ac:dyDescent="0.15">
      <c r="A3" t="s">
        <v>53</v>
      </c>
    </row>
    <row r="4" spans="1:1" x14ac:dyDescent="0.15">
      <c r="A4" t="s">
        <v>54</v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D21" sqref="D21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43</v>
      </c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0" t="s">
        <v>64</v>
      </c>
      <c r="B2" s="39" t="s">
        <v>61</v>
      </c>
      <c r="C2" s="36">
        <v>7302</v>
      </c>
      <c r="D2" s="16" t="s">
        <v>37</v>
      </c>
      <c r="E2" s="14" t="str">
        <f t="shared" ref="E2:E7" si="0">B2&amp;C2&amp;D2</f>
        <v>gacha_select_tables_7302.tmp</v>
      </c>
      <c r="F2" s="43" t="s">
        <v>68</v>
      </c>
      <c r="G2" s="35" t="s">
        <v>56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44" t="s">
        <v>69</v>
      </c>
      <c r="B3" s="39" t="s">
        <v>61</v>
      </c>
      <c r="C3" s="36">
        <v>7301</v>
      </c>
      <c r="D3" s="16" t="s">
        <v>37</v>
      </c>
      <c r="E3" s="14" t="str">
        <f t="shared" ref="E3" si="1">B3&amp;C3&amp;D3</f>
        <v>gacha_select_tables_7301.tmp</v>
      </c>
      <c r="F3" s="41" t="s">
        <v>67</v>
      </c>
      <c r="G3" s="35" t="s">
        <v>56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44" t="s">
        <v>69</v>
      </c>
      <c r="B4" s="42" t="s">
        <v>65</v>
      </c>
      <c r="C4" s="36">
        <v>7301</v>
      </c>
      <c r="D4" s="16" t="s">
        <v>37</v>
      </c>
      <c r="E4" s="14" t="str">
        <f>B4&amp;C4&amp;D4</f>
        <v>gacha_settle_tables_7301.tmp</v>
      </c>
      <c r="F4" s="41" t="s">
        <v>66</v>
      </c>
      <c r="G4" s="35" t="s">
        <v>56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28" t="s">
        <v>45</v>
      </c>
      <c r="B5" s="24" t="s">
        <v>42</v>
      </c>
      <c r="C5" s="29" t="s">
        <v>46</v>
      </c>
      <c r="D5" s="16" t="s">
        <v>38</v>
      </c>
      <c r="E5" s="14" t="str">
        <f t="shared" si="0"/>
        <v>gacha_bonus_tables_hogehoge.tmp</v>
      </c>
      <c r="F5" s="16" t="s">
        <v>39</v>
      </c>
      <c r="G5" s="18" t="s">
        <v>9</v>
      </c>
      <c r="H5" s="20" t="s">
        <v>12</v>
      </c>
      <c r="I5" s="18" t="s">
        <v>10</v>
      </c>
      <c r="J5" s="17"/>
      <c r="K5" s="17"/>
      <c r="L5" s="17"/>
      <c r="M5" s="17"/>
      <c r="N5" s="17"/>
      <c r="O5" s="17"/>
    </row>
    <row r="6" spans="1:21" x14ac:dyDescent="0.15">
      <c r="A6" s="28" t="s">
        <v>45</v>
      </c>
      <c r="B6" s="16" t="s">
        <v>40</v>
      </c>
      <c r="C6" s="29" t="s">
        <v>46</v>
      </c>
      <c r="D6" s="16" t="s">
        <v>38</v>
      </c>
      <c r="E6" s="14" t="str">
        <f t="shared" si="0"/>
        <v>gifts_tmp_hogehoge.tmp</v>
      </c>
      <c r="F6" s="16" t="s">
        <v>39</v>
      </c>
      <c r="G6" s="20" t="s">
        <v>13</v>
      </c>
      <c r="H6" s="21" t="s">
        <v>21</v>
      </c>
      <c r="I6" s="20" t="s">
        <v>14</v>
      </c>
      <c r="J6" s="20" t="s">
        <v>15</v>
      </c>
      <c r="K6" s="20" t="s">
        <v>15</v>
      </c>
      <c r="L6" s="20" t="s">
        <v>16</v>
      </c>
      <c r="M6" s="20" t="s">
        <v>16</v>
      </c>
      <c r="N6" s="20" t="s">
        <v>16</v>
      </c>
      <c r="O6" s="37" t="s">
        <v>6</v>
      </c>
      <c r="P6" s="37" t="s">
        <v>8</v>
      </c>
      <c r="Q6" s="37" t="s">
        <v>5</v>
      </c>
      <c r="R6" s="37" t="s">
        <v>57</v>
      </c>
      <c r="S6" s="37" t="s">
        <v>7</v>
      </c>
      <c r="T6" s="37" t="s">
        <v>58</v>
      </c>
      <c r="U6" s="37" t="s">
        <v>4</v>
      </c>
    </row>
    <row r="7" spans="1:21" x14ac:dyDescent="0.15">
      <c r="A7" s="28" t="s">
        <v>45</v>
      </c>
      <c r="B7" s="16" t="s">
        <v>41</v>
      </c>
      <c r="C7" s="29" t="s">
        <v>46</v>
      </c>
      <c r="D7" s="16" t="s">
        <v>38</v>
      </c>
      <c r="E7" s="14" t="str">
        <f t="shared" si="0"/>
        <v>gifts_i18n_hogehoge.tmp</v>
      </c>
      <c r="F7" s="16" t="s">
        <v>39</v>
      </c>
      <c r="G7" s="20" t="s">
        <v>11</v>
      </c>
      <c r="H7" s="22" t="s">
        <v>17</v>
      </c>
      <c r="I7" s="22" t="s">
        <v>18</v>
      </c>
      <c r="J7" s="22" t="s">
        <v>19</v>
      </c>
      <c r="K7" s="22" t="s">
        <v>20</v>
      </c>
      <c r="L7" s="23"/>
      <c r="M7" s="20"/>
      <c r="N7" s="20"/>
      <c r="O7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7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F14" sqref="F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55</v>
      </c>
      <c r="B1" s="12" t="s">
        <v>23</v>
      </c>
      <c r="C1" s="3" t="s">
        <v>22</v>
      </c>
      <c r="D1" s="3" t="s">
        <v>59</v>
      </c>
      <c r="E1" s="3" t="s">
        <v>62</v>
      </c>
      <c r="F1" s="3" t="s">
        <v>63</v>
      </c>
      <c r="G1" s="3" t="s">
        <v>60</v>
      </c>
      <c r="H1" s="3" t="s">
        <v>24</v>
      </c>
      <c r="I1" s="3" t="s">
        <v>25</v>
      </c>
      <c r="J1" s="3" t="s">
        <v>26</v>
      </c>
      <c r="K1" s="3" t="s">
        <v>44</v>
      </c>
      <c r="L1" s="3" t="s">
        <v>27</v>
      </c>
      <c r="M1" s="3" t="s">
        <v>28</v>
      </c>
      <c r="N1" s="3" t="s">
        <v>47</v>
      </c>
      <c r="O1" s="12" t="s">
        <v>30</v>
      </c>
      <c r="P1" s="3" t="s">
        <v>49</v>
      </c>
      <c r="Q1" s="12" t="s">
        <v>29</v>
      </c>
      <c r="R1" s="26" t="s">
        <v>4</v>
      </c>
      <c r="S1" s="26" t="s">
        <v>5</v>
      </c>
      <c r="T1" s="26" t="s">
        <v>6</v>
      </c>
      <c r="U1" s="26" t="s">
        <v>7</v>
      </c>
      <c r="V1" s="26" t="s">
        <v>8</v>
      </c>
    </row>
    <row r="2" spans="1:22" ht="21" customHeight="1" x14ac:dyDescent="0.15">
      <c r="A2" s="2">
        <v>7302010</v>
      </c>
      <c r="B2" s="6">
        <v>466</v>
      </c>
      <c r="C2" s="7" t="str">
        <f t="shared" ref="C2:C4" si="0">D2&amp;J2&amp;E2&amp;F2&amp;G2</f>
        <v>PremiumSS5</v>
      </c>
      <c r="D2" s="7" t="str">
        <f t="shared" ref="D2:D4" si="1">IF(I2="PremiumSS",I2,IF(I2="PremiumSSS",I2,IF(I2="PremiumW",I2,"Premium")))</f>
        <v>PremiumSS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真断の勇覇 ランスロット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男性</v>
      </c>
      <c r="O2" s="33">
        <v>100</v>
      </c>
      <c r="P2" s="34">
        <f t="shared" ref="P2:P7" si="2">O2/SUM(O:O)</f>
        <v>0.16666666666666666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7302010</v>
      </c>
      <c r="B3" s="6">
        <v>734</v>
      </c>
      <c r="C3" s="7" t="str">
        <f t="shared" si="0"/>
        <v>PremiumSS5R5only</v>
      </c>
      <c r="D3" s="7" t="str">
        <f t="shared" si="1"/>
        <v>PremiumSS</v>
      </c>
      <c r="E3" s="7" t="str">
        <f>IF(COUNTIF('R6追加前'!A:A,B3)=0,IF(I3="PremiumSS","R5only","R3less"),"")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伊達政宗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男性</v>
      </c>
      <c r="O3" s="33">
        <v>100</v>
      </c>
      <c r="P3" s="34">
        <f t="shared" si="2"/>
        <v>0.16666666666666666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7302010</v>
      </c>
      <c r="B4" s="6">
        <v>742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IF(COUNTIF('R6追加前'!A:A,B4)=0,IF(I4="PremiumSS","R5only","R3less"),"")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アポロン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男性</v>
      </c>
      <c r="O4" s="33">
        <v>100</v>
      </c>
      <c r="P4" s="34">
        <f t="shared" si="2"/>
        <v>0.16666666666666666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7302010</v>
      </c>
      <c r="B5" s="6">
        <v>943</v>
      </c>
      <c r="C5" s="7" t="str">
        <f t="shared" ref="C5:C7" si="3">D5&amp;J5&amp;E5&amp;F5&amp;G5</f>
        <v>PremiumSS5R5only</v>
      </c>
      <c r="D5" s="7" t="str">
        <f t="shared" ref="D5:D7" si="4">IF(I5="PremiumSS",I5,IF(I5="PremiumSSS",I5,IF(I5="PremiumW",I5,"Premium")))</f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サンソン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男性</v>
      </c>
      <c r="O5" s="33">
        <v>100</v>
      </c>
      <c r="P5" s="34">
        <f t="shared" si="2"/>
        <v>0.16666666666666666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7302010</v>
      </c>
      <c r="B6" s="6">
        <v>941</v>
      </c>
      <c r="C6" s="7" t="str">
        <f t="shared" si="3"/>
        <v>PremiumSS5R5only</v>
      </c>
      <c r="D6" s="7" t="str">
        <f t="shared" si="4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アントワネット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technical</v>
      </c>
      <c r="M6" s="7" t="str">
        <f>VLOOKUP(B6,[1]characters!$A:$M,13,FALSE)</f>
        <v>human</v>
      </c>
      <c r="N6" s="7" t="str">
        <f>VLOOKUP(B6,[1]characters!$A:$G,7,FALSE)</f>
        <v>男性</v>
      </c>
      <c r="O6" s="33">
        <v>100</v>
      </c>
      <c r="P6" s="34">
        <f t="shared" si="2"/>
        <v>0.16666666666666666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7302010</v>
      </c>
      <c r="B7" s="6">
        <v>1031</v>
      </c>
      <c r="C7" s="7" t="str">
        <f t="shared" si="3"/>
        <v>PremiumSS5R5only</v>
      </c>
      <c r="D7" s="7" t="str">
        <f t="shared" si="4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紫式部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男性</v>
      </c>
      <c r="O7" s="33">
        <v>100</v>
      </c>
      <c r="P7" s="34">
        <f t="shared" si="2"/>
        <v>0.16666666666666666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</sheetData>
  <autoFilter ref="A1:V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23</v>
      </c>
      <c r="B1" s="3" t="s">
        <v>24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8">
        <v>668</v>
      </c>
      <c r="B246" s="7" t="str">
        <f>VLOOKUP(A246,[1]characters!$A:$C,3,FALSE)</f>
        <v>アグニ</v>
      </c>
    </row>
    <row r="247" spans="1:2" x14ac:dyDescent="0.15">
      <c r="A247" s="38">
        <v>669</v>
      </c>
      <c r="B247" s="7" t="str">
        <f>VLOOKUP(A247,[1]characters!$A:$C,3,FALSE)</f>
        <v>天地の仲界 アグニ</v>
      </c>
    </row>
    <row r="248" spans="1:2" x14ac:dyDescent="0.15">
      <c r="A248" s="38">
        <v>670</v>
      </c>
      <c r="B248" s="7" t="str">
        <f>VLOOKUP(A248,[1]characters!$A:$C,3,FALSE)</f>
        <v>陽天の噴煙 アグニ</v>
      </c>
    </row>
    <row r="249" spans="1:2" x14ac:dyDescent="0.15">
      <c r="A249" s="38">
        <v>671</v>
      </c>
      <c r="B249" s="7" t="str">
        <f>VLOOKUP(A249,[1]characters!$A:$C,3,FALSE)</f>
        <v>ハヌマーン</v>
      </c>
    </row>
    <row r="250" spans="1:2" x14ac:dyDescent="0.15">
      <c r="A250" s="38">
        <v>672</v>
      </c>
      <c r="B250" s="7" t="str">
        <f>VLOOKUP(A250,[1]characters!$A:$C,3,FALSE)</f>
        <v>西遊韋駄天 ハヌマーン</v>
      </c>
    </row>
    <row r="251" spans="1:2" x14ac:dyDescent="0.15">
      <c r="A251" s="38">
        <v>673</v>
      </c>
      <c r="B251" s="7" t="str">
        <f>VLOOKUP(A251,[1]characters!$A:$C,3,FALSE)</f>
        <v>変幻自在の猿王 ハヌマーン</v>
      </c>
    </row>
    <row r="252" spans="1:2" x14ac:dyDescent="0.15">
      <c r="A252" s="38">
        <v>674</v>
      </c>
      <c r="B252" s="7" t="str">
        <f>VLOOKUP(A252,[1]characters!$A:$C,3,FALSE)</f>
        <v>サラスヴァティ</v>
      </c>
    </row>
    <row r="253" spans="1:2" x14ac:dyDescent="0.15">
      <c r="A253" s="38">
        <v>675</v>
      </c>
      <c r="B253" s="7" t="str">
        <f>VLOOKUP(A253,[1]characters!$A:$C,3,FALSE)</f>
        <v>芸楽の奔流 サラスヴァティ</v>
      </c>
    </row>
    <row r="254" spans="1:2" x14ac:dyDescent="0.15">
      <c r="A254" s="38">
        <v>676</v>
      </c>
      <c r="B254" s="7" t="str">
        <f>VLOOKUP(A254,[1]characters!$A:$C,3,FALSE)</f>
        <v>ヴィシュヌ</v>
      </c>
    </row>
    <row r="255" spans="1:2" x14ac:dyDescent="0.15">
      <c r="A255" s="38">
        <v>677</v>
      </c>
      <c r="B255" s="7" t="str">
        <f>VLOOKUP(A255,[1]characters!$A:$C,3,FALSE)</f>
        <v>武遊闊歩 ヴィシュヌ</v>
      </c>
    </row>
    <row r="256" spans="1:2" x14ac:dyDescent="0.15">
      <c r="A256" s="38">
        <v>770</v>
      </c>
      <c r="B256" s="7" t="str">
        <f>VLOOKUP(A256,[1]characters!$A:$C,3,FALSE)</f>
        <v>ハヅル</v>
      </c>
    </row>
    <row r="257" spans="1:2" x14ac:dyDescent="0.15">
      <c r="A257" s="38">
        <v>771</v>
      </c>
      <c r="B257" s="7" t="str">
        <f>VLOOKUP(A257,[1]characters!$A:$C,3,FALSE)</f>
        <v>天織羽鶴 ハヅル</v>
      </c>
    </row>
    <row r="258" spans="1:2" x14ac:dyDescent="0.15">
      <c r="A258" s="38">
        <v>772</v>
      </c>
      <c r="B258" s="7" t="str">
        <f>VLOOKUP(A258,[1]characters!$A:$C,3,FALSE)</f>
        <v>イナバ</v>
      </c>
    </row>
    <row r="259" spans="1:2" x14ac:dyDescent="0.15">
      <c r="A259" s="38">
        <v>773</v>
      </c>
      <c r="B259" s="7" t="str">
        <f>VLOOKUP(A259,[1]characters!$A:$C,3,FALSE)</f>
        <v>浮跳天兎 イナバ</v>
      </c>
    </row>
    <row r="260" spans="1:2" x14ac:dyDescent="0.15">
      <c r="A260" s="38">
        <v>774</v>
      </c>
      <c r="B260" s="7" t="str">
        <f>VLOOKUP(A260,[1]characters!$A:$C,3,FALSE)</f>
        <v>ミズチ</v>
      </c>
    </row>
    <row r="261" spans="1:2" x14ac:dyDescent="0.15">
      <c r="A261" s="38">
        <v>775</v>
      </c>
      <c r="B261" s="7" t="str">
        <f>VLOOKUP(A261,[1]characters!$A:$C,3,FALSE)</f>
        <v>水底霊竜 ミズチ</v>
      </c>
    </row>
    <row r="262" spans="1:2" x14ac:dyDescent="0.15">
      <c r="A262" s="38">
        <v>776</v>
      </c>
      <c r="B262" s="7" t="str">
        <f>VLOOKUP(A262,[1]characters!$A:$C,3,FALSE)</f>
        <v>水竜底主 ミズチ</v>
      </c>
    </row>
    <row r="263" spans="1:2" x14ac:dyDescent="0.15">
      <c r="A263" s="38">
        <v>777</v>
      </c>
      <c r="B263" s="7" t="str">
        <f>VLOOKUP(A263,[1]characters!$A:$C,3,FALSE)</f>
        <v>ガメック</v>
      </c>
    </row>
    <row r="264" spans="1:2" x14ac:dyDescent="0.15">
      <c r="A264" s="38">
        <v>778</v>
      </c>
      <c r="B264" s="7" t="str">
        <f>VLOOKUP(A264,[1]characters!$A:$C,3,FALSE)</f>
        <v>一亀懸明 ガメック</v>
      </c>
    </row>
    <row r="265" spans="1:2" x14ac:dyDescent="0.15">
      <c r="A265" s="38">
        <v>779</v>
      </c>
      <c r="B265" s="7" t="str">
        <f>VLOOKUP(A265,[1]characters!$A:$C,3,FALSE)</f>
        <v>頑堅咬亀 ガメック</v>
      </c>
    </row>
    <row r="266" spans="1:2" x14ac:dyDescent="0.15">
      <c r="A266" s="38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2" t="s">
        <v>48</v>
      </c>
      <c r="B1" s="32"/>
    </row>
    <row r="2" spans="1:2" x14ac:dyDescent="0.15">
      <c r="A2" s="30" t="s">
        <v>1</v>
      </c>
      <c r="B2" s="31" t="s">
        <v>50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30">
        <v>169</v>
      </c>
      <c r="B6" s="31" t="str">
        <f>VLOOKUP(A6,[1]characters!$A:$C,3,FALSE)</f>
        <v>オセ</v>
      </c>
    </row>
    <row r="7" spans="1:2" x14ac:dyDescent="0.15">
      <c r="A7" s="30">
        <v>170</v>
      </c>
      <c r="B7" s="31" t="str">
        <f>VLOOKUP(A7,[1]characters!$A:$C,3,FALSE)</f>
        <v>識徒 オセ</v>
      </c>
    </row>
    <row r="8" spans="1:2" x14ac:dyDescent="0.15">
      <c r="A8" s="30">
        <v>171</v>
      </c>
      <c r="B8" s="31" t="str">
        <f>VLOOKUP(A8,[1]characters!$A:$C,3,FALSE)</f>
        <v>精解の預知者 オセ</v>
      </c>
    </row>
    <row r="9" spans="1:2" x14ac:dyDescent="0.15">
      <c r="A9" s="30">
        <v>172</v>
      </c>
      <c r="B9" s="31" t="str">
        <f>VLOOKUP(A9,[1]characters!$A:$C,3,FALSE)</f>
        <v>フォルネウス</v>
      </c>
    </row>
    <row r="10" spans="1:2" x14ac:dyDescent="0.15">
      <c r="A10" s="30">
        <v>173</v>
      </c>
      <c r="B10" s="31" t="str">
        <f>VLOOKUP(A10,[1]characters!$A:$C,3,FALSE)</f>
        <v>公爵 フォルネウス</v>
      </c>
    </row>
    <row r="11" spans="1:2" x14ac:dyDescent="0.15">
      <c r="A11" s="30">
        <v>174</v>
      </c>
      <c r="B11" s="31" t="str">
        <f>VLOOKUP(A11,[1]characters!$A:$C,3,FALSE)</f>
        <v>偽愛の大公爵 フォルネウス</v>
      </c>
    </row>
    <row r="12" spans="1:2" x14ac:dyDescent="0.15">
      <c r="A12" s="30">
        <v>235</v>
      </c>
      <c r="B12" s="31" t="str">
        <f>VLOOKUP(A12,[1]characters!$A:$C,3,FALSE)</f>
        <v>イザナミ</v>
      </c>
    </row>
    <row r="13" spans="1:2" x14ac:dyDescent="0.15">
      <c r="A13" s="30">
        <v>236</v>
      </c>
      <c r="B13" s="31" t="str">
        <f>VLOOKUP(A13,[1]characters!$A:$C,3,FALSE)</f>
        <v>神産 イザナミ</v>
      </c>
    </row>
    <row r="14" spans="1:2" x14ac:dyDescent="0.15">
      <c r="A14" s="30">
        <v>237</v>
      </c>
      <c r="B14" s="31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output</vt:lpstr>
      <vt:lpstr>tables_7302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2016-09-22T21:04:22Z</dcterms:modified>
</cp:coreProperties>
</file>