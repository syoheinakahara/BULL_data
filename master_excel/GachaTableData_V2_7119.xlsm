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4"/>
  </bookViews>
  <sheets>
    <sheet name="確率の考え方" sheetId="110" r:id="rId1"/>
    <sheet name="Sheet1" sheetId="107" r:id="rId2"/>
    <sheet name="output" sheetId="103" r:id="rId3"/>
    <sheet name="input_settle_7119100" sheetId="130" r:id="rId4"/>
    <sheet name="tables_settle_7119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tables_settle_7119100!$A$1:$V$272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2" i="131" l="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A2" i="130"/>
  <c r="A52" i="131"/>
  <c r="A53" i="131"/>
  <c r="A54" i="131"/>
  <c r="A49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A50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A51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A46" i="131"/>
  <c r="A47" i="131"/>
  <c r="A48" i="131"/>
  <c r="A45" i="131"/>
  <c r="I45" i="131"/>
  <c r="D45" i="131"/>
  <c r="J45" i="131"/>
  <c r="E45" i="131"/>
  <c r="F45" i="131"/>
  <c r="C45" i="131"/>
  <c r="H45" i="131"/>
  <c r="K45" i="131"/>
  <c r="L45" i="131"/>
  <c r="M45" i="131"/>
  <c r="N45" i="131"/>
  <c r="P45" i="131"/>
  <c r="I44" i="131"/>
  <c r="D44" i="131"/>
  <c r="J44" i="131"/>
  <c r="E44" i="131"/>
  <c r="F44" i="131"/>
  <c r="C44" i="131"/>
  <c r="H44" i="131"/>
  <c r="K44" i="131"/>
  <c r="L44" i="131"/>
  <c r="M44" i="131"/>
  <c r="N44" i="131"/>
  <c r="P44" i="131"/>
  <c r="A44" i="131"/>
  <c r="B23" i="130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E29" i="131"/>
  <c r="E30" i="131"/>
  <c r="I31" i="131"/>
  <c r="E31" i="131"/>
  <c r="I32" i="131"/>
  <c r="E32" i="131"/>
  <c r="I33" i="131"/>
  <c r="E33" i="131"/>
  <c r="E34" i="131"/>
  <c r="E35" i="131"/>
  <c r="E36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I29" i="131"/>
  <c r="D29" i="131"/>
  <c r="I30" i="131"/>
  <c r="D30" i="131"/>
  <c r="D31" i="131"/>
  <c r="D32" i="131"/>
  <c r="D33" i="131"/>
  <c r="I34" i="131"/>
  <c r="D34" i="131"/>
  <c r="I35" i="131"/>
  <c r="D35" i="131"/>
  <c r="I36" i="131"/>
  <c r="D36" i="131"/>
  <c r="I37" i="131"/>
  <c r="D37" i="131"/>
  <c r="D38" i="131"/>
  <c r="D39" i="131"/>
  <c r="D40" i="131"/>
  <c r="D41" i="131"/>
  <c r="D42" i="131"/>
  <c r="D43" i="131"/>
  <c r="I2" i="131"/>
  <c r="D2" i="131"/>
  <c r="A41" i="131"/>
  <c r="J41" i="131"/>
  <c r="F41" i="131"/>
  <c r="C41" i="131"/>
  <c r="H41" i="131"/>
  <c r="K41" i="131"/>
  <c r="L41" i="131"/>
  <c r="M41" i="131"/>
  <c r="N41" i="131"/>
  <c r="P41" i="131"/>
  <c r="A42" i="131"/>
  <c r="J42" i="131"/>
  <c r="F42" i="131"/>
  <c r="C42" i="131"/>
  <c r="H42" i="131"/>
  <c r="K42" i="131"/>
  <c r="L42" i="131"/>
  <c r="M42" i="131"/>
  <c r="N42" i="131"/>
  <c r="P42" i="131"/>
  <c r="A43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A38" i="131"/>
  <c r="A39" i="131"/>
  <c r="A40" i="131"/>
  <c r="A36" i="131"/>
  <c r="J36" i="131"/>
  <c r="F36" i="131"/>
  <c r="C36" i="131"/>
  <c r="H36" i="131"/>
  <c r="K36" i="131"/>
  <c r="L36" i="131"/>
  <c r="M36" i="131"/>
  <c r="N36" i="131"/>
  <c r="P36" i="131"/>
  <c r="A37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A35" i="131"/>
  <c r="P34" i="131"/>
  <c r="N34" i="131"/>
  <c r="M34" i="131"/>
  <c r="L34" i="131"/>
  <c r="K34" i="131"/>
  <c r="J34" i="131"/>
  <c r="H34" i="131"/>
  <c r="F34" i="131"/>
  <c r="C34" i="131"/>
  <c r="A34" i="131"/>
  <c r="A31" i="131"/>
  <c r="J31" i="131"/>
  <c r="F31" i="131"/>
  <c r="C31" i="131"/>
  <c r="H31" i="131"/>
  <c r="K31" i="131"/>
  <c r="L31" i="131"/>
  <c r="M31" i="131"/>
  <c r="N31" i="131"/>
  <c r="P31" i="131"/>
  <c r="A32" i="131"/>
  <c r="J32" i="131"/>
  <c r="F32" i="131"/>
  <c r="C32" i="131"/>
  <c r="H32" i="131"/>
  <c r="K32" i="131"/>
  <c r="L32" i="131"/>
  <c r="M32" i="131"/>
  <c r="N32" i="131"/>
  <c r="P32" i="131"/>
  <c r="A33" i="131"/>
  <c r="J33" i="131"/>
  <c r="F33" i="131"/>
  <c r="C33" i="131"/>
  <c r="H33" i="131"/>
  <c r="K33" i="131"/>
  <c r="L33" i="131"/>
  <c r="M33" i="131"/>
  <c r="N33" i="131"/>
  <c r="P33" i="131"/>
  <c r="A29" i="131"/>
  <c r="J29" i="131"/>
  <c r="F29" i="131"/>
  <c r="C29" i="131"/>
  <c r="H29" i="131"/>
  <c r="K29" i="131"/>
  <c r="L29" i="131"/>
  <c r="M29" i="131"/>
  <c r="N29" i="131"/>
  <c r="P29" i="131"/>
  <c r="A30" i="131"/>
  <c r="J30" i="131"/>
  <c r="F30" i="131"/>
  <c r="C30" i="131"/>
  <c r="H30" i="131"/>
  <c r="K30" i="131"/>
  <c r="L30" i="131"/>
  <c r="M30" i="131"/>
  <c r="N30" i="131"/>
  <c r="P30" i="131"/>
  <c r="A2" i="131"/>
  <c r="A20" i="131"/>
  <c r="J20" i="131"/>
  <c r="F20" i="131"/>
  <c r="C20" i="131"/>
  <c r="H20" i="131"/>
  <c r="K20" i="131"/>
  <c r="L20" i="131"/>
  <c r="M20" i="131"/>
  <c r="N20" i="131"/>
  <c r="P20" i="131"/>
  <c r="A21" i="131"/>
  <c r="J21" i="131"/>
  <c r="F21" i="131"/>
  <c r="C21" i="131"/>
  <c r="H21" i="131"/>
  <c r="K21" i="131"/>
  <c r="L21" i="131"/>
  <c r="M21" i="131"/>
  <c r="N21" i="131"/>
  <c r="P21" i="131"/>
  <c r="A22" i="131"/>
  <c r="J22" i="131"/>
  <c r="F22" i="131"/>
  <c r="C22" i="131"/>
  <c r="H22" i="131"/>
  <c r="K22" i="131"/>
  <c r="L22" i="131"/>
  <c r="M22" i="131"/>
  <c r="N22" i="131"/>
  <c r="P22" i="131"/>
  <c r="A23" i="131"/>
  <c r="J23" i="131"/>
  <c r="F23" i="131"/>
  <c r="C23" i="131"/>
  <c r="H23" i="131"/>
  <c r="K23" i="131"/>
  <c r="L23" i="131"/>
  <c r="M23" i="131"/>
  <c r="N23" i="131"/>
  <c r="P23" i="131"/>
  <c r="B10" i="130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<sst xmlns="http://schemas.openxmlformats.org/spreadsheetml/2006/main" count="304" uniqueCount="211">
  <si>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</si>
  <si>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</si>
  <si>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</si>
  <si>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</si>
  <si>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</si>
  <si>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</si>
  <si>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</si>
  <si>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</si>
  <si>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</si>
  <si>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</si>
  <si>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</si>
  <si>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</si>
  <si>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</si>
  <si>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</si>
  <si>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</si>
  <si>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</si>
  <si>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</si>
  <si>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</si>
  <si>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</si>
  <si>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</si>
  <si>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</si>
  <si>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</si>
  <si>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</si>
  <si>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</si>
  <si>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</si>
  <si>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</si>
  <si>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</si>
  <si>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</si>
  <si>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</si>
  <si>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</si>
  <si>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</si>
  <si>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</si>
  <si>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</si>
  <si>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</si>
  <si>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</si>
  <si>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</si>
  <si>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</si>
  <si>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</si>
  <si>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</si>
  <si>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</si>
  <si>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</si>
  <si>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</si>
  <si>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</si>
  <si>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</si>
  <si>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</si>
  <si>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</si>
  <si>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</si>
  <si>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</si>
  <si>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</si>
  <si>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</si>
  <si>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</si>
  <si>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</si>
  <si>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</si>
  <si>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</si>
  <si>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</si>
  <si>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</si>
  <si>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</si>
  <si>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</si>
  <si>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</si>
  <si>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</si>
  <si>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</si>
  <si>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</si>
  <si>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</si>
  <si>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</si>
  <si>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</si>
  <si>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</si>
  <si>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</si>
  <si>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</si>
  <si>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</si>
  <si>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</si>
  <si>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</si>
  <si>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</si>
  <si>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</si>
  <si>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</si>
  <si>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</si>
  <si>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</si>
  <si>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</si>
  <si>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</si>
  <si>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</si>
  <si>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</si>
  <si>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</si>
  <si>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</si>
  <si>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</si>
  <si>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</si>
  <si>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</si>
  <si>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</si>
  <si>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</si>
  <si>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</si>
  <si>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</si>
  <si>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</si>
  <si>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</si>
  <si>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</si>
  <si>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</si>
  <si>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</si>
  <si>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</si>
  <si>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</si>
  <si>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</si>
  <si>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</si>
  <si>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</si>
  <si>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</si>
  <si>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</si>
  <si>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</si>
  <si>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</si>
  <si>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</si>
  <si>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</si>
  <si>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</si>
  <si>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</si>
  <si>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</si>
  <si>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</si>
  <si>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</si>
  <si>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</si>
  <si>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</si>
  <si>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</si>
  <si>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</si>
  <si>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</si>
  <si>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</si>
  <si>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</si>
  <si>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</si>
  <si>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</si>
  <si>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</si>
  <si>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</si>
  <si>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</si>
  <si>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</si>
  <si>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</si>
  <si>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</si>
  <si>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</si>
  <si>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</si>
  <si>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</si>
  <si>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</si>
  <si>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</si>
  <si>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</si>
  <si>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</si>
  <si>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</si>
  <si>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</si>
  <si>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</si>
  <si>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</si>
  <si>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</si>
  <si>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</si>
  <si>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</si>
  <si>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</si>
  <si>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</si>
  <si>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</si>
  <si>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</si>
  <si>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</si>
  <si>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</si>
  <si>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</si>
  <si>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</si>
  <si>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</si>
  <si>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</si>
  <si>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</si>
  <si>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</si>
  <si>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</si>
  <si>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</si>
  <si>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</si>
  <si>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</si>
  <si>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</si>
  <si>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</si>
  <si>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</si>
  <si>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</si>
  <si>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</si>
  <si>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</si>
  <si>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</si>
  <si>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</si>
  <si>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</si>
  <si>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</si>
  <si>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</si>
  <si>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</si>
  <si>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</si>
  <si>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</si>
  <si>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</si>
  <si>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</si>
  <si>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</si>
  <si>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</si>
  <si>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</si>
  <si>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</si>
  <si>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</si>
  <si>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</si>
  <si>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</si>
  <si>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</si>
  <si>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</si>
  <si>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</si>
  <si>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</si>
  <si>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</si>
  <si>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</si>
  <si>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</si>
  <si>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</si>
  <si>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</si>
  <si>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</si>
  <si>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</si>
  <si>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</si>
  <si>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</si>
  <si>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</si>
  <si>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</si>
  <si>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</si>
  <si>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</si>
  <si>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</si>
  <si>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</si>
  <si>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</si>
  <si>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</si>
  <si>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</si>
  <si>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</si>
  <si>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</si>
  <si>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</si>
  <si>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</si>
  <si>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</si>
  <si>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</si>
  <si>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</si>
  <si>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</si>
  <si>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</si>
  <si>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</si>
  <si>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tables_settle_7119100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</si>
</sst>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0" fillId="0" borderId="1" xfId="0" applyNumberFormat="1" applyFont="1" applyFill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ポチ_ハロウィン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ジョー_ハロウィン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ジェリー_ハロウィン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エレキポッド_ハロウィン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オリジナル_ウィザード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オリジナル_ウィザード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ランスロット_ハロウィン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balance</v>
          </cell>
          <cell r="L1194" t="str">
            <v>バランスタイプ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オリジナル_ガチャあたり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attack</v>
          </cell>
          <cell r="L1195" t="str">
            <v>攻撃タイプ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オリジナル_ガチャあたり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attack</v>
          </cell>
          <cell r="L1196" t="str">
            <v>攻撃タイプ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ラプンツェル_ハロウィン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attack</v>
          </cell>
          <cell r="L1197" t="str">
            <v>攻撃タイプ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バフォメット_ハロウィン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ピノキオ_ハロウィン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ケルベロス_ハロウィン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attack</v>
          </cell>
          <cell r="M1201" t="str">
            <v>god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attack</v>
          </cell>
          <cell r="M1202" t="str">
            <v>god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attack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attack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attack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attack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attack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attack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attack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attack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PremiumSS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2" t="s">
        <v>209</v>
      </c>
      <c r="B3" s="78" t="s">
        <v>197</v>
      </c>
      <c r="C3" s="47" t="str">
        <f>RIGHT(F3,7)</f>
        <v>7119100</v>
      </c>
      <c r="D3" s="16" t="s">
        <v>32</v>
      </c>
      <c r="E3" s="14" t="str">
        <f t="shared" ref="E3" si="1">B3&amp;C3&amp;D3</f>
        <v>gacha_settle_tables_7119100.tmp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29" sqref="B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7119100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VLOOKUP(L3,tables_settle_7119100!B:C,2,FALSE)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VLOOKUP(L4,tables_settle_7119100!B:C,2,FALSE)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5.6603773584905663E-4</v>
      </c>
      <c r="F5">
        <f>(COUNTIF(tables_settle_7119100!C:C,input_settle_7119100!A26)+COUNTIF(tables_settle_7119100!C:C,input_settle_7119100!A28)+COUNTIF(tables_settle_7119100!C:C,input_settle_7119100!A29))</f>
        <v>53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VLOOKUP(L5,tables_settle_7119100!B:C,2,FALSE)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(COUNTIF(tables_settle_7119100!C:C,input_settle_7119100!A18)+COUNTIF(tables_settle_7119100!C:C,input_settle_7119100!A20)+COUNTIF(tables_settle_7119100!C:C,input_settle_7119100!A22))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VLOOKUP(L6,tables_settle_7119100!B:C,2,FALSE)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VLOOKUP(L7,tables_settle_7119100!B:C,2,FALSE)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VLOOKUP(L8,tables_settle_7119100!B:C,2,FALSE)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VLOOKUP(L9,tables_settle_7119100!B:C,2,FALSE)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VLOOKUP(L10,tables_settle_7119100!B:C,2,FALSE)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VLOOKUP(L11,tables_settle_7119100!B:C,2,FALSE)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VLOOKUP(L12,tables_settle_7119100!B:C,2,FALSE)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VLOOKUP(L13,tables_settle_7119100!B:C,2,FALSE)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VLOOKUP(L14,tables_settle_7119100!B:C,2,FALSE)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VLOOKUP(L15,tables_settle_7119100!B:C,2,FALSE)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VLOOKUP(L16,tables_settle_7119100!B:C,2,FALSE)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COUNTIF(tables_settle_7119100!C:C,input_settle_7119100!A17)-COUNTIF(Q:Q,A17)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VLOOKUP(L17,tables_settle_7119100!B:C,2,FALSE)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COUNTIF(tables_settle_7119100!C:C,input_settle_7119100!A18)-COUNTIF(Q:Q,A18)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VLOOKUP(L18,tables_settle_7119100!B:C,2,FALSE)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COUNTIF(tables_settle_7119100!C:C,input_settle_7119100!A19)-COUNTIF(Q:Q,A19)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VLOOKUP(L19,tables_settle_7119100!B:C,2,FALSE)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COUNTIF(tables_settle_7119100!C:C,input_settle_7119100!A20)-COUNTIF(Q:Q,A20)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VLOOKUP(L20,tables_settle_7119100!B:C,2,FALSE)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COUNTIF(tables_settle_7119100!C:C,input_settle_7119100!A21)-COUNTIF(Q:Q,A21)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COUNTIF(tables_settle_7119100!C:C,input_settle_7119100!A22)-COUNTIF(Q:Q,A22)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3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COUNTIF(tables_settle_7119100!C:C,input_settle_7119100!A23)-COUNTIF(Q:Q,A23)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COUNTIF(tables_settle_7119100!C:C,input_settle_7119100!A24)-COUNTIF(Q:Q,A24)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COUNTIF(tables_settle_7119100!C:C,input_settle_7119100!A25)-COUNTIF(Q:Q,A25)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COUNTIF(tables_settle_7119100!C:C,input_settle_7119100!A26)-COUNTIF(Q:Q,A26)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COUNTIF(tables_settle_7119100!C:C,input_settle_7119100!A27)-COUNTIF(Q:Q,A27)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COUNTIF(tables_settle_7119100!C:C,input_settle_7119100!A28)-COUNTIF(Q:Q,A28)</f>
        <v>20</v>
      </c>
      <c r="F28" s="40">
        <f t="shared" si="7"/>
        <v>2.6249999999999997E-3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COUNTIF(tables_settle_7119100!C:C,input_settle_7119100!A29)-COUNTIF(Q:Q,A29)</f>
        <v>29</v>
      </c>
      <c r="F29" s="40">
        <f>IFERROR(B29/E29,0)</f>
        <v>1.2931034482758621E-4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COUNTIF(tables_settle_7119100!C:C,input_settle_7119100!A30)-COUNTIF(Q:Q,A30)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COUNTIF(tables_settle_7119100!C:C,input_settle_7119100!A31)-COUNTIF(Q:Q,A31)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SUMIF(tables_settle_7119100!C:C,input_settle_7119100!A40,tables_settle_7119100!O:O)</f>
        <v>0</v>
      </c>
      <c r="C40" s="49">
        <f t="shared" ref="C40:C46" si="9">B40/B$47</f>
        <v>0</v>
      </c>
      <c r="E40">
        <v>3</v>
      </c>
      <c r="F40">
        <f>SUMIF(tables_settle_7119100!J:J,input_settle_7119100!E40,tables_settle_7119100!O:O)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SUMIF(tables_settle_7119100!C:C,input_settle_7119100!A41,tables_settle_7119100!O:O)</f>
        <v>0</v>
      </c>
      <c r="C41" s="49">
        <f t="shared" si="9"/>
        <v>0</v>
      </c>
      <c r="E41">
        <v>4</v>
      </c>
      <c r="F41">
        <f>SUMIF(tables_settle_7119100!J:J,input_settle_7119100!E41,tables_settle_7119100!O:O)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SUMIF(tables_settle_7119100!C:C,input_settle_7119100!A42,tables_settle_7119100!O:O)</f>
        <v>0</v>
      </c>
      <c r="C42" s="49">
        <f t="shared" si="9"/>
        <v>0</v>
      </c>
      <c r="E42">
        <v>5</v>
      </c>
      <c r="F42">
        <f>SUMIF(tables_settle_7119100!J:J,input_settle_7119100!E42,tables_settle_7119100!O:O)</f>
        <v>530</v>
      </c>
      <c r="G42" t="e">
        <f>F42/A36</f>
        <v>#DIV/0!</v>
      </c>
    </row>
    <row r="43" spans="1:7" x14ac:dyDescent="0.15">
      <c r="A43" s="29" t="s">
        <v>86</v>
      </c>
      <c r="B43">
        <f>SUMIF(tables_settle_7119100!C:C,input_settle_7119100!A43,tables_settle_7119100!O:O)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SUMIF(tables_settle_7119100!C:C,input_settle_7119100!A44,tables_settle_7119100!O:O)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SUMIF(tables_settle_7119100!C:C,input_settle_7119100!A45,tables_settle_7119100!O:O)</f>
        <v>200</v>
      </c>
      <c r="C45" s="49">
        <f t="shared" si="9"/>
        <v>1</v>
      </c>
      <c r="E45" t="s">
        <v>183</v>
      </c>
      <c r="F45" s="50">
        <f>SUMIF(tables_settle_7119100!I:I,input_settle_7119100!E45,tables_settle_7119100!P:P)</f>
        <v>0</v>
      </c>
    </row>
    <row r="46" spans="1:7" x14ac:dyDescent="0.15">
      <c r="A46" s="29" t="s">
        <v>88</v>
      </c>
      <c r="B46">
        <f>SUMIF(tables_settle_7119100!C:C,input_settle_7119100!A46,tables_settle_7119100!O:O)</f>
        <v>0</v>
      </c>
      <c r="C46" s="49">
        <f t="shared" si="9"/>
        <v>0</v>
      </c>
      <c r="E46" t="s">
        <v>184</v>
      </c>
      <c r="F46" s="50">
        <f>SUMIF(tables_settle_7119100!I:I,input_settle_7119100!E46,tables_settle_7119100!P:P)</f>
        <v>5.6603773584905662E-2</v>
      </c>
    </row>
    <row r="47" spans="1:7" x14ac:dyDescent="0.15">
      <c r="A47" s="36" t="s">
        <v>45</v>
      </c>
      <c r="B47">
        <f>SUM(B40:B46)</f>
        <v>200</v>
      </c>
      <c r="C47" s="50">
        <f>SUM(C40:C46)</f>
        <v>1</v>
      </c>
      <c r="E47" t="s">
        <v>185</v>
      </c>
      <c r="F47" s="50">
        <f>SUMIF(tables_settle_7119100!I:I,input_settle_7119100!E47,tables_settle_7119100!P:P)</f>
        <v>1.8867924528301886E-2</v>
      </c>
    </row>
    <row r="48" spans="1:7" x14ac:dyDescent="0.15">
      <c r="E48" t="s">
        <v>186</v>
      </c>
      <c r="F48" s="50">
        <f>SUMIF(tables_settle_7119100!I:I,input_settle_7119100!E48,tables_settle_7119100!P:P)</f>
        <v>0.84905660377358483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8"/>
  <sheetViews>
    <sheetView showGridLines="0" tabSelected="1" zoomScale="75" zoomScaleNormal="75" zoomScalePageLayoutView="75" workbookViewId="0">
      <pane ySplit="1" topLeftCell="A35" activePane="bottomLeft" state="frozen"/>
      <selection activeCell="E6" sqref="E6"/>
      <selection pane="bottomLeft" activeCell="G61" sqref="G61:G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input_settle_7119100!A$2</f>
        <v>7119100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>O2/SUM(O:O)</f>
        <v>1.8867924528301886E-2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input_settle_7119100!A$2</f>
        <v>7119100</v>
      </c>
      <c r="B3" s="6">
        <v>171</v>
      </c>
      <c r="C3" s="7" t="str">
        <f t="shared" si="0"/>
        <v>Premium5R6release</v>
      </c>
      <c r="D3" s="7" t="str">
        <f t="shared" ref="D3:D43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>O3/SUM(O:O)</f>
        <v>1.8867924528301886E-2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input_settle_7119100!A$2</f>
        <v>7119100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>O4/SUM(O:O)</f>
        <v>1.8867924528301886E-2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input_settle_7119100!A$2</f>
        <v>7119100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>O5/SUM(O:O)</f>
        <v>1.8867924528301886E-2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input_settle_7119100!A$2</f>
        <v>7119100</v>
      </c>
      <c r="B6" s="55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>O6/SUM(O:O)</f>
        <v>1.8867924528301886E-2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input_settle_7119100!A$2</f>
        <v>7119100</v>
      </c>
      <c r="B7" s="55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>O7/SUM(O:O)</f>
        <v>1.8867924528301886E-2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input_settle_7119100!A$2</f>
        <v>7119100</v>
      </c>
      <c r="B8" s="55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>O8/SUM(O:O)</f>
        <v>1.8867924528301886E-2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input_settle_7119100!A$2</f>
        <v>7119100</v>
      </c>
      <c r="B9" s="55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>O9/SUM(O:O)</f>
        <v>1.8867924528301886E-2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input_settle_7119100!A$2</f>
        <v>7119100</v>
      </c>
      <c r="B10" s="55">
        <v>848</v>
      </c>
      <c r="C10" s="7" t="str">
        <f t="shared" ref="C10:C11" si="2">D10&amp;J10&amp;E10&amp;F10&amp;G10</f>
        <v>PremiumSS5R5only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>O10/SUM(O:O)</f>
        <v>1.8867924528301886E-2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input_settle_7119100!A$2</f>
        <v>7119100</v>
      </c>
      <c r="B11" s="55">
        <v>850</v>
      </c>
      <c r="C11" s="7" t="str">
        <f t="shared" si="2"/>
        <v>PremiumSS5R5only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>O11/SUM(O:O)</f>
        <v>1.8867924528301886E-2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input_settle_7119100!A$2</f>
        <v>7119100</v>
      </c>
      <c r="B12" s="55">
        <v>404</v>
      </c>
      <c r="C12" s="7" t="str">
        <f t="shared" ref="C12:C13" si="3">D12&amp;J12&amp;E12&amp;F12&amp;G12</f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>O12/SUM(O:O)</f>
        <v>1.8867924528301886E-2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input_settle_7119100!A$2</f>
        <v>7119100</v>
      </c>
      <c r="B13" s="55">
        <v>399</v>
      </c>
      <c r="C13" s="7" t="str">
        <f t="shared" si="3"/>
        <v>PremiumSS5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>O13/SUM(O:O)</f>
        <v>1.8867924528301886E-2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input_settle_7119100!A$2</f>
        <v>7119100</v>
      </c>
      <c r="B14" s="55">
        <v>866</v>
      </c>
      <c r="C14" s="7" t="str">
        <f t="shared" ref="C14:C15" si="4">D14&amp;J14&amp;E14&amp;F14&amp;G14</f>
        <v>PremiumSS5R5only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>O14/SUM(O:O)</f>
        <v>1.8867924528301886E-2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input_settle_7119100!A$2</f>
        <v>7119100</v>
      </c>
      <c r="B15" s="55">
        <v>868</v>
      </c>
      <c r="C15" s="7" t="str">
        <f t="shared" si="4"/>
        <v>PremiumSS5R5only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>O15/SUM(O:O)</f>
        <v>1.8867924528301886E-2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input_settle_7119100!A$2</f>
        <v>7119100</v>
      </c>
      <c r="B16" s="81">
        <v>435</v>
      </c>
      <c r="C16" s="7" t="str">
        <f t="shared" ref="C16:C17" si="5">D16&amp;J16&amp;E16&amp;F16&amp;G16</f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>O16/SUM(O:O)</f>
        <v>1.8867924528301886E-2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input_settle_7119100!A$2</f>
        <v>7119100</v>
      </c>
      <c r="B17" s="81">
        <v>468</v>
      </c>
      <c r="C17" s="7" t="str">
        <f t="shared" si="5"/>
        <v>PremiumSS5</v>
      </c>
      <c r="D17" s="7" t="str">
        <f t="shared" si="1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>O17/SUM(O:O)</f>
        <v>1.8867924528301886E-2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input_settle_7119100!A$2</f>
        <v>7119100</v>
      </c>
      <c r="B18" s="81">
        <v>493</v>
      </c>
      <c r="C18" s="7" t="str">
        <f t="shared" ref="C18:C19" si="6">D18&amp;J18&amp;E18&amp;F18&amp;G18</f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>O18/SUM(O:O)</f>
        <v>1.8867924528301886E-2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input_settle_7119100!A$2</f>
        <v>7119100</v>
      </c>
      <c r="B19" s="81">
        <v>495</v>
      </c>
      <c r="C19" s="7" t="str">
        <f t="shared" si="6"/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>O19/SUM(O:O)</f>
        <v>1.8867924528301886E-2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input_settle_7119100!A$2</f>
        <v>7119100</v>
      </c>
      <c r="B20" s="81">
        <v>659</v>
      </c>
      <c r="C20" s="7" t="str">
        <f t="shared" ref="C20:C23" si="7">D20&amp;J20&amp;E20&amp;F20&amp;G20</f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>O20/SUM(O:O)</f>
        <v>1.8867924528301886E-2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input_settle_7119100!A$2</f>
        <v>7119100</v>
      </c>
      <c r="B21" s="81">
        <v>661</v>
      </c>
      <c r="C21" s="7" t="str">
        <f t="shared" si="7"/>
        <v>PremiumSS5</v>
      </c>
      <c r="D21" s="7" t="str">
        <f t="shared" si="1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>O21/SUM(O:O)</f>
        <v>1.8867924528301886E-2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input_settle_7119100!A$2</f>
        <v>7119100</v>
      </c>
      <c r="B22" s="81">
        <v>500</v>
      </c>
      <c r="C22" s="7" t="str">
        <f t="shared" si="7"/>
        <v>PremiumSS5</v>
      </c>
      <c r="D22" s="7" t="str">
        <f t="shared" si="1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>O22/SUM(O:O)</f>
        <v>1.8867924528301886E-2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input_settle_7119100!A$2</f>
        <v>7119100</v>
      </c>
      <c r="B23" s="81">
        <v>603</v>
      </c>
      <c r="C23" s="7" t="str">
        <f t="shared" si="7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>O23/SUM(O:O)</f>
        <v>1.8867924528301886E-2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input_settle_7119100!A$2</f>
        <v>7119100</v>
      </c>
      <c r="B24" s="81">
        <v>742</v>
      </c>
      <c r="C24" s="7" t="str">
        <f t="shared" ref="C24:C25" si="8">D24&amp;J24&amp;E24&amp;F24&amp;G24</f>
        <v>PremiumSS5R5only</v>
      </c>
      <c r="D24" s="7" t="str">
        <f t="shared" si="1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>O24/SUM(O:O)</f>
        <v>1.8867924528301886E-2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input_settle_7119100!A$2</f>
        <v>7119100</v>
      </c>
      <c r="B25" s="81">
        <v>744</v>
      </c>
      <c r="C25" s="7" t="str">
        <f t="shared" si="8"/>
        <v>PremiumSS5R5only</v>
      </c>
      <c r="D25" s="7" t="str">
        <f t="shared" si="1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>O25/SUM(O:O)</f>
        <v>1.8867924528301886E-2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input_settle_7119100!A$2</f>
        <v>7119100</v>
      </c>
      <c r="B26" s="81">
        <v>937</v>
      </c>
      <c r="C26" s="7" t="str">
        <f t="shared" ref="C26:C27" si="9">D26&amp;J26&amp;E26&amp;F26&amp;G26</f>
        <v>PremiumSS5R5only</v>
      </c>
      <c r="D26" s="7" t="str">
        <f t="shared" si="1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>O26/SUM(O:O)</f>
        <v>1.8867924528301886E-2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input_settle_7119100!A$2</f>
        <v>7119100</v>
      </c>
      <c r="B27" s="81">
        <v>941</v>
      </c>
      <c r="C27" s="7" t="str">
        <f t="shared" si="9"/>
        <v>PremiumSS5R5only</v>
      </c>
      <c r="D27" s="7" t="str">
        <f t="shared" si="1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>O27/SUM(O:O)</f>
        <v>1.8867924528301886E-2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input_settle_7119100!A$2</f>
        <v>7119100</v>
      </c>
      <c r="B28" s="81">
        <v>943</v>
      </c>
      <c r="C28" s="7" t="str">
        <f t="shared" ref="C28" si="10">D28&amp;J28&amp;E28&amp;F28&amp;G28</f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>O28/SUM(O:O)</f>
        <v>1.8867924528301886E-2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input_settle_7119100!A$2</f>
        <v>7119100</v>
      </c>
      <c r="B29" s="81">
        <v>321</v>
      </c>
      <c r="C29" s="7" t="str">
        <f t="shared" ref="C29:C30" si="11">D29&amp;J29&amp;E29&amp;F29&amp;G29</f>
        <v>PremiumSS5</v>
      </c>
      <c r="D29" s="7" t="str">
        <f t="shared" si="1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>O29/SUM(O:O)</f>
        <v>1.8867924528301886E-2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input_settle_7119100!A$2</f>
        <v>7119100</v>
      </c>
      <c r="B30" s="81">
        <v>466</v>
      </c>
      <c r="C30" s="7" t="str">
        <f t="shared" si="11"/>
        <v>PremiumSS5</v>
      </c>
      <c r="D30" s="7" t="str">
        <f t="shared" si="1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>O30/SUM(O:O)</f>
        <v>1.8867924528301886E-2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input_settle_7119100!A$2</f>
        <v>7119100</v>
      </c>
      <c r="B31" s="81">
        <v>1012</v>
      </c>
      <c r="C31" s="7" t="str">
        <f t="shared" ref="C31:C33" si="12">D31&amp;J31&amp;E31&amp;F31&amp;G31</f>
        <v>PremiumSS5R5only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>O31/SUM(O:O)</f>
        <v>1.8867924528301886E-2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input_settle_7119100!A$2</f>
        <v>7119100</v>
      </c>
      <c r="B32" s="81">
        <v>1014</v>
      </c>
      <c r="C32" s="7" t="str">
        <f t="shared" si="12"/>
        <v>PremiumSS5R5only</v>
      </c>
      <c r="D32" s="7" t="str">
        <f t="shared" si="1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>O32/SUM(O:O)</f>
        <v>1.8867924528301886E-2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input_settle_7119100!A$2</f>
        <v>7119100</v>
      </c>
      <c r="B33" s="81">
        <v>1018</v>
      </c>
      <c r="C33" s="7" t="str">
        <f t="shared" si="12"/>
        <v>PremiumSS5R5only</v>
      </c>
      <c r="D33" s="7" t="str">
        <f t="shared" si="1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>O33/SUM(O:O)</f>
        <v>1.8867924528301886E-2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input_settle_7119100!A$2</f>
        <v>7119100</v>
      </c>
      <c r="B34" s="81">
        <v>677</v>
      </c>
      <c r="C34" s="7" t="str">
        <f t="shared" ref="C34:C35" si="13">D34&amp;J34&amp;E34&amp;F34&amp;G34</f>
        <v>PremiumSS5</v>
      </c>
      <c r="D34" s="7" t="str">
        <f t="shared" si="1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>O34/SUM(O:O)</f>
        <v>1.8867924528301886E-2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input_settle_7119100!A$2</f>
        <v>7119100</v>
      </c>
      <c r="B35" s="81">
        <v>675</v>
      </c>
      <c r="C35" s="7" t="str">
        <f t="shared" si="13"/>
        <v>PremiumSS5</v>
      </c>
      <c r="D35" s="7" t="str">
        <f t="shared" si="1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>O35/SUM(O:O)</f>
        <v>1.8867924528301886E-2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input_settle_7119100!A$2</f>
        <v>7119100</v>
      </c>
      <c r="B36" s="81">
        <v>771</v>
      </c>
      <c r="C36" s="7" t="str">
        <f t="shared" ref="C36:C37" si="14">D36&amp;J36&amp;E36&amp;F36&amp;G36</f>
        <v>PremiumSS5</v>
      </c>
      <c r="D36" s="7" t="str">
        <f t="shared" si="1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>O36/SUM(O:O)</f>
        <v>1.8867924528301886E-2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input_settle_7119100!A$2</f>
        <v>7119100</v>
      </c>
      <c r="B37" s="81">
        <v>773</v>
      </c>
      <c r="C37" s="7" t="str">
        <f t="shared" si="14"/>
        <v>PremiumSS5</v>
      </c>
      <c r="D37" s="7" t="str">
        <f t="shared" si="1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>O37/SUM(O:O)</f>
        <v>1.8867924528301886E-2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 t="str">
        <f ca="1">input_settle_7119100!A$2</f>
        <v>7119100</v>
      </c>
      <c r="B38" s="5">
        <v>1028</v>
      </c>
      <c r="C38" s="7" t="str">
        <f t="shared" ref="C38:C40" si="15">D38&amp;J38&amp;E38&amp;F38&amp;G38</f>
        <v>PremiumSS5R5only</v>
      </c>
      <c r="D38" s="7" t="str">
        <f t="shared" si="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牛若丸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2">
        <v>10</v>
      </c>
      <c r="P38" s="43">
        <f>O38/SUM(O:O)</f>
        <v>1.8867924528301886E-2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 t="str">
        <f ca="1">input_settle_7119100!A$2</f>
        <v>7119100</v>
      </c>
      <c r="B39" s="5">
        <v>1031</v>
      </c>
      <c r="C39" s="7" t="str">
        <f t="shared" si="15"/>
        <v>PremiumSS5R5only</v>
      </c>
      <c r="D39" s="7" t="str">
        <f t="shared" si="1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紫式部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</v>
      </c>
      <c r="P39" s="43">
        <f>O39/SUM(O:O)</f>
        <v>1.8867924528301886E-2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 t="str">
        <f ca="1">input_settle_7119100!A$2</f>
        <v>7119100</v>
      </c>
      <c r="B40" s="5">
        <v>1033</v>
      </c>
      <c r="C40" s="7" t="str">
        <f t="shared" si="15"/>
        <v>PremiumSS5R5only</v>
      </c>
      <c r="D40" s="7" t="str">
        <f t="shared" si="1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清少納言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42">
        <v>10</v>
      </c>
      <c r="P40" s="43">
        <f>O40/SUM(O:O)</f>
        <v>1.8867924528301886E-2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 t="str">
        <f ca="1">input_settle_7119100!A$2</f>
        <v>7119100</v>
      </c>
      <c r="B41" s="5">
        <v>1069</v>
      </c>
      <c r="C41" s="7" t="str">
        <f t="shared" ref="C41:C43" si="16">D41&amp;J41&amp;E41&amp;F41&amp;G41</f>
        <v>PremiumSS5R5only</v>
      </c>
      <c r="D41" s="7" t="str">
        <f t="shared" si="1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イシュタル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42">
        <v>10</v>
      </c>
      <c r="P41" s="43">
        <f>O41/SUM(O:O)</f>
        <v>1.8867924528301886E-2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 t="str">
        <f ca="1">input_settle_7119100!A$2</f>
        <v>7119100</v>
      </c>
      <c r="B42" s="5">
        <v>1072</v>
      </c>
      <c r="C42" s="7" t="str">
        <f t="shared" si="16"/>
        <v>PremiumSS5R5only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エンキドゥ</v>
      </c>
      <c r="I42" s="7" t="str">
        <f>VLOOKUP(B42,[1]characters!$A:$J,10,FALSE)</f>
        <v>PremiumSSw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2">
        <v>10</v>
      </c>
      <c r="P42" s="43">
        <f>O42/SUM(O:O)</f>
        <v>1.8867924528301886E-2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 t="str">
        <f ca="1">input_settle_7119100!A$2</f>
        <v>7119100</v>
      </c>
      <c r="B43" s="5">
        <v>1074</v>
      </c>
      <c r="C43" s="7" t="str">
        <f t="shared" si="16"/>
        <v>PremiumSS5R5only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マルドゥク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technical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v>10</v>
      </c>
      <c r="P43" s="43">
        <f>O43/SUM(O:O)</f>
        <v>1.8867924528301886E-2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 t="str">
        <f ca="1">input_settle_7119100!A$2</f>
        <v>7119100</v>
      </c>
      <c r="B44" s="2">
        <v>595</v>
      </c>
      <c r="C44" s="7" t="str">
        <f t="shared" ref="C44" si="17">D44&amp;J44&amp;E44&amp;F44&amp;G44</f>
        <v>PremiumSS5</v>
      </c>
      <c r="D44" s="7" t="str">
        <f t="shared" ref="D44" si="18">IF(OR(I44="PremiumSS",I44="PremiumSSw"),"PremiumSS",IF(I44="PremiumSSS",I44,IF(I44="PremiumW",I44,"Premium")))</f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光華なる神域 アルフヘイム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dragon</v>
      </c>
      <c r="N44" s="7" t="str">
        <f>VLOOKUP(B44,[1]characters!$A:$G,7,FALSE)</f>
        <v>不明</v>
      </c>
      <c r="O44" s="42">
        <v>10</v>
      </c>
      <c r="P44" s="43">
        <f>O44/SUM(O:O)</f>
        <v>1.8867924528301886E-2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 t="str">
        <f ca="1">input_settle_7119100!A$2</f>
        <v>7119100</v>
      </c>
      <c r="B45" s="2">
        <v>475</v>
      </c>
      <c r="C45" s="7" t="str">
        <f t="shared" ref="C45" si="19">D45&amp;J45&amp;E45&amp;F45&amp;G45</f>
        <v>PremiumSS5</v>
      </c>
      <c r="D45" s="7" t="str">
        <f t="shared" ref="D45" si="20">IF(OR(I45="PremiumSS",I45="PremiumSSw"),"PremiumSS",IF(I45="PremiumSSS",I45,IF(I45="PremiumW",I45,"Premium")))</f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緋王 キング・ドライグ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attack</v>
      </c>
      <c r="M45" s="7" t="str">
        <f>VLOOKUP(B45,[1]characters!$A:$M,13,FALSE)</f>
        <v>dragon</v>
      </c>
      <c r="N45" s="7" t="str">
        <f>VLOOKUP(B45,[1]characters!$A:$G,7,FALSE)</f>
        <v>不明</v>
      </c>
      <c r="O45" s="42">
        <v>10</v>
      </c>
      <c r="P45" s="43">
        <f>O45/SUM(O:O)</f>
        <v>1.8867924528301886E-2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 t="str">
        <f ca="1">input_settle_7119100!A$2</f>
        <v>7119100</v>
      </c>
      <c r="B46" s="2">
        <v>1106</v>
      </c>
      <c r="C46" s="7" t="str">
        <f t="shared" ref="C46:C48" si="21">D46&amp;J46&amp;E46&amp;F46&amp;G46</f>
        <v>PremiumSS5R5only</v>
      </c>
      <c r="D46" s="7" t="str">
        <f t="shared" ref="D46:D48" si="22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ラファエロ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不明</v>
      </c>
      <c r="O46" s="42">
        <v>10</v>
      </c>
      <c r="P46" s="43">
        <f>O46/SUM(O:O)</f>
        <v>1.8867924528301886E-2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 t="str">
        <f ca="1">input_settle_7119100!A$2</f>
        <v>7119100</v>
      </c>
      <c r="B47" s="2">
        <v>1102</v>
      </c>
      <c r="C47" s="7" t="str">
        <f t="shared" si="21"/>
        <v>PremiumSS5R5only</v>
      </c>
      <c r="D47" s="7" t="str">
        <f t="shared" si="22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ドガ</v>
      </c>
      <c r="I47" s="7" t="str">
        <f>VLOOKUP(B47,[1]characters!$A:$J,10,FALSE)</f>
        <v>PremiumSSW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不明</v>
      </c>
      <c r="O47" s="42">
        <v>10</v>
      </c>
      <c r="P47" s="43">
        <f>O47/SUM(O:O)</f>
        <v>1.8867924528301886E-2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 t="str">
        <f ca="1">input_settle_7119100!A$2</f>
        <v>7119100</v>
      </c>
      <c r="B48" s="2">
        <v>1100</v>
      </c>
      <c r="C48" s="7" t="str">
        <f t="shared" si="21"/>
        <v>PremiumSS5R5only</v>
      </c>
      <c r="D48" s="7" t="str">
        <f t="shared" si="22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北斎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不明</v>
      </c>
      <c r="O48" s="42">
        <v>10</v>
      </c>
      <c r="P48" s="43">
        <f>O48/SUM(O:O)</f>
        <v>1.8867924528301886E-2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 t="str">
        <f ca="1">input_settle_7119100!A$2</f>
        <v>7119100</v>
      </c>
      <c r="B49" s="2">
        <v>1137</v>
      </c>
      <c r="C49" s="7" t="str">
        <f t="shared" ref="C49:C51" si="23">D49&amp;J49&amp;E49&amp;F49&amp;G49</f>
        <v>PremiumSS5R5only</v>
      </c>
      <c r="D49" s="7" t="str">
        <f t="shared" ref="D49:D51" si="24">IF(OR(I49="PremiumSS",I49="PremiumSSw"),"PremiumSS",IF(I49="PremiumSSS",I49,IF(I49="PremiumW",I49,"Premium")))</f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諸葛亮</v>
      </c>
      <c r="I49" s="7" t="str">
        <f>VLOOKUP(B49,[1]characters!$A:$J,10,FALSE)</f>
        <v>PremiumSSW</v>
      </c>
      <c r="J49" s="7">
        <f>VLOOKUP(B49,[1]characters!$A:$I,9,FALSE)</f>
        <v>5</v>
      </c>
      <c r="K49" s="7" t="str">
        <f>VLOOKUP(B49,[1]characters!$A:$H,8,FALSE)</f>
        <v>red</v>
      </c>
      <c r="L49" s="7" t="str">
        <f>VLOOKUP(B49,[1]characters!$A:$K,11,FALSE)</f>
        <v>technical</v>
      </c>
      <c r="M49" s="7" t="str">
        <f>VLOOKUP(B49,[1]characters!$A:$M,13,FALSE)</f>
        <v>samurai</v>
      </c>
      <c r="N49" s="7" t="str">
        <f>VLOOKUP(B49,[1]characters!$A:$G,7,FALSE)</f>
        <v>不明</v>
      </c>
      <c r="O49" s="42">
        <v>10</v>
      </c>
      <c r="P49" s="43">
        <f>O49/SUM(O:O)</f>
        <v>1.8867924528301886E-2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 t="str">
        <f ca="1">input_settle_7119100!A$2</f>
        <v>7119100</v>
      </c>
      <c r="B50" s="2">
        <v>1139</v>
      </c>
      <c r="C50" s="7" t="str">
        <f t="shared" si="23"/>
        <v>PremiumSS5R5only</v>
      </c>
      <c r="D50" s="7" t="str">
        <f t="shared" si="2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趙雲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green</v>
      </c>
      <c r="L50" s="7" t="str">
        <f>VLOOKUP(B50,[1]characters!$A:$K,11,FALSE)</f>
        <v>balance</v>
      </c>
      <c r="M50" s="7" t="str">
        <f>VLOOKUP(B50,[1]characters!$A:$M,13,FALSE)</f>
        <v>samurai</v>
      </c>
      <c r="N50" s="7" t="str">
        <f>VLOOKUP(B50,[1]characters!$A:$G,7,FALSE)</f>
        <v>不明</v>
      </c>
      <c r="O50" s="42">
        <v>10</v>
      </c>
      <c r="P50" s="43">
        <f>O50/SUM(O:O)</f>
        <v>1.8867924528301886E-2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 t="str">
        <f ca="1">input_settle_7119100!A$2</f>
        <v>7119100</v>
      </c>
      <c r="B51" s="2">
        <v>1141</v>
      </c>
      <c r="C51" s="7" t="str">
        <f t="shared" si="23"/>
        <v>PremiumSS5R5only</v>
      </c>
      <c r="D51" s="7" t="str">
        <f t="shared" si="2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月英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blue</v>
      </c>
      <c r="L51" s="7" t="str">
        <f>VLOOKUP(B51,[1]characters!$A:$K,11,FALSE)</f>
        <v>balance</v>
      </c>
      <c r="M51" s="7" t="str">
        <f>VLOOKUP(B51,[1]characters!$A:$M,13,FALSE)</f>
        <v>human</v>
      </c>
      <c r="N51" s="7" t="str">
        <f>VLOOKUP(B51,[1]characters!$A:$G,7,FALSE)</f>
        <v>不明</v>
      </c>
      <c r="O51" s="42">
        <v>10</v>
      </c>
      <c r="P51" s="43">
        <f>O51/SUM(O:O)</f>
        <v>1.8867924528301886E-2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 t="str">
        <f ca="1">input_settle_7119100!A$2</f>
        <v>7119100</v>
      </c>
      <c r="B52" s="2">
        <v>1153</v>
      </c>
      <c r="C52" s="7" t="str">
        <f t="shared" ref="C52:C54" si="25">D52&amp;J52&amp;E52&amp;F52&amp;G52</f>
        <v>PremiumSS5R5only</v>
      </c>
      <c r="D52" s="7" t="str">
        <f t="shared" ref="D52:D54" si="26">IF(OR(I52="PremiumSS",I52="PremiumSSw"),"PremiumSS",IF(I52="PremiumSSS",I52,IF(I52="PremiumW",I52,"Premium")))</f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ラクシュミ</v>
      </c>
      <c r="I52" s="7" t="str">
        <f>VLOOKUP(B52,[1]characters!$A:$J,10,FALSE)</f>
        <v>PremiumSSW</v>
      </c>
      <c r="J52" s="7">
        <f>VLOOKUP(B52,[1]characters!$A:$I,9,FALSE)</f>
        <v>5</v>
      </c>
      <c r="K52" s="7" t="str">
        <f>VLOOKUP(B52,[1]characters!$A:$H,8,FALSE)</f>
        <v>green</v>
      </c>
      <c r="L52" s="7" t="str">
        <f>VLOOKUP(B52,[1]characters!$A:$K,11,FALSE)</f>
        <v>hp</v>
      </c>
      <c r="M52" s="7" t="str">
        <f>VLOOKUP(B52,[1]characters!$A:$M,13,FALSE)</f>
        <v>god</v>
      </c>
      <c r="N52" s="7" t="str">
        <f>VLOOKUP(B52,[1]characters!$A:$G,7,FALSE)</f>
        <v>不明</v>
      </c>
      <c r="O52" s="42">
        <v>10</v>
      </c>
      <c r="P52" s="43">
        <f>O52/SUM(O:O)</f>
        <v>1.8867924528301886E-2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 t="str">
        <f ca="1">input_settle_7119100!A$2</f>
        <v>7119100</v>
      </c>
      <c r="B53" s="2">
        <v>1155</v>
      </c>
      <c r="C53" s="7" t="str">
        <f t="shared" si="25"/>
        <v>PremiumSS5R5only</v>
      </c>
      <c r="D53" s="7" t="str">
        <f t="shared" si="26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ドゥルガー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blue</v>
      </c>
      <c r="L53" s="7" t="str">
        <f>VLOOKUP(B53,[1]characters!$A:$K,11,FALSE)</f>
        <v>balance</v>
      </c>
      <c r="M53" s="7" t="str">
        <f>VLOOKUP(B53,[1]characters!$A:$M,13,FALSE)</f>
        <v>god</v>
      </c>
      <c r="N53" s="7" t="str">
        <f>VLOOKUP(B53,[1]characters!$A:$G,7,FALSE)</f>
        <v>不明</v>
      </c>
      <c r="O53" s="42">
        <v>10</v>
      </c>
      <c r="P53" s="43">
        <f>O53/SUM(O:O)</f>
        <v>1.8867924528301886E-2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 t="str">
        <f ca="1">input_settle_7119100!A$2</f>
        <v>7119100</v>
      </c>
      <c r="B54" s="2">
        <v>1157</v>
      </c>
      <c r="C54" s="7" t="str">
        <f t="shared" si="25"/>
        <v>PremiumSS5R5only</v>
      </c>
      <c r="D54" s="7" t="str">
        <f t="shared" si="26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インドラ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yellow</v>
      </c>
      <c r="L54" s="7" t="str">
        <f>VLOOKUP(B54,[1]characters!$A:$K,11,FALSE)</f>
        <v>attack</v>
      </c>
      <c r="M54" s="7" t="str">
        <f>VLOOKUP(B54,[1]characters!$A:$M,13,FALSE)</f>
        <v>god</v>
      </c>
      <c r="N54" s="7" t="str">
        <f>VLOOKUP(B54,[1]characters!$A:$G,7,FALSE)</f>
        <v>不明</v>
      </c>
      <c r="O54" s="42">
        <v>10</v>
      </c>
      <c r="P54" s="43">
        <f>O54/SUM(O:O)</f>
        <v>1.8867924528301886E-2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K55" s="1"/>
    </row>
    <row r="56" spans="1:22" ht="21" customHeight="1" x14ac:dyDescent="0.15">
      <c r="K56" s="1"/>
    </row>
    <row r="57" spans="1:22" ht="21" customHeight="1" x14ac:dyDescent="0.15">
      <c r="K57" s="1"/>
    </row>
    <row r="58" spans="1:22" ht="21" customHeight="1" x14ac:dyDescent="0.15">
      <c r="K58" s="1"/>
    </row>
    <row r="59" spans="1:22" ht="21" customHeight="1" x14ac:dyDescent="0.15">
      <c r="K59" s="1"/>
    </row>
    <row r="60" spans="1:22" ht="21" customHeight="1" x14ac:dyDescent="0.15">
      <c r="K60" s="1"/>
    </row>
    <row r="61" spans="1:22" ht="21" customHeight="1" x14ac:dyDescent="0.15">
      <c r="K61" s="1"/>
    </row>
    <row r="62" spans="1:22" ht="21" customHeight="1" x14ac:dyDescent="0.15">
      <c r="K62" s="1"/>
    </row>
    <row r="63" spans="1:22" ht="21" customHeight="1" x14ac:dyDescent="0.15">
      <c r="K63" s="1"/>
    </row>
    <row r="64" spans="1:22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input_settle_7119100</vt:lpstr>
      <vt:lpstr>tables_settle_7119100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2016-10-12T08:25:09Z</dcterms:modified>
</cp:coreProperties>
</file>