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780" windowWidth="277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57" l="1"/>
  <c r="F3" i="57"/>
  <c r="E4" i="57"/>
  <c r="F4" i="57"/>
  <c r="E5" i="57"/>
  <c r="F5" i="57"/>
  <c r="E6" i="57"/>
  <c r="F6" i="57"/>
  <c r="E7" i="57"/>
  <c r="F7" i="57"/>
  <c r="E8" i="57"/>
  <c r="F8" i="57"/>
  <c r="E9" i="57"/>
  <c r="F9" i="57"/>
  <c r="B3" i="57"/>
  <c r="B4" i="57"/>
  <c r="B5" i="57"/>
  <c r="B6" i="57"/>
  <c r="B7" i="57"/>
  <c r="B8" i="57"/>
  <c r="B9" i="57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E10" i="54"/>
  <c r="D10" i="54"/>
  <c r="B10" i="54"/>
  <c r="E9" i="54"/>
  <c r="D9" i="54"/>
  <c r="B9" i="54"/>
  <c r="E8" i="54"/>
  <c r="D8" i="54"/>
  <c r="B8" i="54"/>
  <c r="E7" i="54"/>
  <c r="D7" i="54"/>
  <c r="B7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I2" i="23"/>
  <c r="J2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4" i="13"/>
  <c r="N5" i="23"/>
  <c r="F5" i="23"/>
  <c r="E5" i="23"/>
  <c r="D5" i="23"/>
  <c r="C5" i="23"/>
  <c r="B5" i="23"/>
  <c r="H4" i="23"/>
  <c r="BR4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H3" i="23"/>
  <c r="BR3" i="23"/>
  <c r="H2" i="23"/>
  <c r="BR2" i="23"/>
  <c r="E6" i="54"/>
  <c r="E5" i="54"/>
  <c r="E4" i="54"/>
  <c r="E3" i="54"/>
  <c r="E2" i="54"/>
  <c r="D6" i="54"/>
  <c r="B6" i="54"/>
  <c r="D5" i="54"/>
  <c r="B5" i="54"/>
  <c r="D4" i="54"/>
  <c r="B4" i="54"/>
  <c r="D3" i="54"/>
  <c r="B3" i="54"/>
  <c r="D2" i="54"/>
  <c r="B2" i="54"/>
  <c r="G2" i="58"/>
  <c r="U2" i="58"/>
  <c r="G2" i="23"/>
  <c r="BC2" i="23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G2" i="53"/>
  <c r="AH3" i="23"/>
  <c r="AH2" i="23"/>
  <c r="G10" i="13"/>
  <c r="G11" i="13"/>
  <c r="G9" i="13"/>
  <c r="B2" i="23"/>
  <c r="B3" i="23"/>
  <c r="G3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<sst xmlns="http://schemas.openxmlformats.org/spreadsheetml/2006/main" count="971" uniqueCount="389">
  <si>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</si>
  <si>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</si>
  <si>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</si>
  <si>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</si>
  <si>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</si>
  <si>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</si>
  <si>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</si>
  <si>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</si>
  <si>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</si>
  <si>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</si>
  <si>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</si>
  <si>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</si>
  <si>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</si>
  <si>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</si>
  <si>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</si>
  <si>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</si>
  <si>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</si>
  <si>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</si>
  <si>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</si>
  <si>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</si>
  <si>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</si>
  <si>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</si>
  <si>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</si>
  <si>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</si>
  <si>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</si>
  <si>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</si>
  <si>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</si>
  <si>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</si>
  <si>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</si>
  <si>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</si>
  <si>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</si>
  <si>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</si>
  <si>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</si>
  <si>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</si>
  <si>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</si>
  <si>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</si>
  <si>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</si>
  <si>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</si>
  <si>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</si>
  <si>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</si>
  <si>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</si>
  <si>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</si>
  <si>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</si>
  <si>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</si>
  <si>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</si>
  <si>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</si>
  <si>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</si>
  <si>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</si>
  <si>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</si>
  <si>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</si>
  <si>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</si>
  <si>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</si>
  <si>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</si>
  <si>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</si>
  <si>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</si>
  <si>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</si>
  <si>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</si>
  <si>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</si>
  <si>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</si>
  <si>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</si>
  <si>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</si>
  <si>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</si>
  <si>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</si>
  <si>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</si>
  <si>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</si>
  <si>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</si>
  <si>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</si>
  <si>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</si>
  <si>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</si>
  <si>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</si>
  <si>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</si>
  <si>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</si>
  <si>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</si>
  <si>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</si>
  <si>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</si>
  <si>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</si>
  <si>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</si>
  <si>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</si>
  <si>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</si>
  <si>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</si>
  <si>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</si>
  <si>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</si>
  <si>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</si>
  <si>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</si>
  <si>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</si>
  <si>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</si>
  <si>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</si>
  <si>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</si>
  <si>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</si>
  <si>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</si>
  <si>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</si>
  <si>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</si>
  <si>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</si>
  <si>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</si>
  <si>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</si>
  <si>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</si>
  <si>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</si>
  <si>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</si>
  <si>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</si>
  <si>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</si>
  <si>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</si>
  <si>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</si>
  <si>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</si>
  <si>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</si>
  <si>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</si>
  <si>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</si>
  <si>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</si>
  <si>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</si>
  <si>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</si>
  <si>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</si>
  <si>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</si>
  <si>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</si>
  <si>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</si>
  <si>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</si>
  <si>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</si>
  <si>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</si>
  <si>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</si>
  <si>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</si>
  <si>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</si>
  <si>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</si>
  <si>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</si>
  <si>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</si>
  <si>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</si>
  <si>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</si>
  <si>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</si>
  <si>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</si>
  <si>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</si>
  <si>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</si>
  <si>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</si>
  <si>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</si>
  <si>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</si>
  <si>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</si>
  <si>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</si>
  <si>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</si>
  <si>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</si>
  <si>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</si>
  <si>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</si>
  <si>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</si>
  <si>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</si>
  <si>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</si>
  <si>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</si>
  <si>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</si>
  <si>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</si>
  <si>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</si>
  <si>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</si>
  <si>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</si>
  <si>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</si>
  <si>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</si>
  <si>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</si>
  <si>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</si>
  <si>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</si>
  <si>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</si>
  <si>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</si>
  <si>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</si>
  <si>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</si>
  <si>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</si>
  <si>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</si>
  <si>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</si>
  <si>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</si>
  <si>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</si>
  <si>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</si>
  <si>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</si>
  <si>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</si>
  <si>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</si>
  <si>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</si>
  <si>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</si>
  <si>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</si>
  <si>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</si>
  <si>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</si>
  <si>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</si>
  <si>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</si>
  <si>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</si>
  <si>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</si>
  <si>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</si>
  <si>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</si>
  <si>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</si>
  <si>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</si>
  <si>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</si>
  <si>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</si>
  <si>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</si>
  <si>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</si>
  <si>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</si>
  <si>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</si>
  <si>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</si>
  <si>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</si>
  <si>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</si>
  <si>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</si>
  <si>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</si>
  <si>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</si>
  <si>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</si>
  <si>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</si>
  <si>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</si>
  <si>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</si>
  <si>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</si>
  <si>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</si>
  <si>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</si>
  <si>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</si>
  <si>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</si>
  <si>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</si>
  <si>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</si>
  <si>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</si>
  <si>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</si>
  <si>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</si>
  <si>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</si>
  <si>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</si>
  <si>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</si>
  <si>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</si>
  <si>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</si>
  <si>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</si>
  <si>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</si>
  <si>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</si>
  <si>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</si>
  <si>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</si>
  <si>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</si>
  <si>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</si>
  <si>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</si>
  <si>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</si>
  <si>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</si>
  <si>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</si>
  <si>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</si>
  <si>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</si>
  <si>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</si>
  <si>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</si>
  <si>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</si>
  <si>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</si>
  <si>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</si>
  <si>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</si>
  <si>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</si>
  <si>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</si>
  <si>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</si>
  <si>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</si>
  <si>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</si>
  <si>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</si>
  <si>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</si>
  <si>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</si>
  <si>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</si>
  <si>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</si>
  <si>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</si>
  <si>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</si>
  <si>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</si>
  <si>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</si>
  <si>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</si>
  <si>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</si>
  <si>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</si>
  <si>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</si>
  <si>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</si>
  <si>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</si>
  <si>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</si>
  <si>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</si>
  <si>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</si>
  <si>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</si>
  <si>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</si>
  <si>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</si>
  <si>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</si>
  <si>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</si>
  <si>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</si>
  <si>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</si>
  <si>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</si>
  <si>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</si>
  <si>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</si>
  <si>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</si>
  <si>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</si>
  <si>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</si>
  <si>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</si>
  <si>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</si>
  <si>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</si>
  <si>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</si>
  <si>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</si>
  <si>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</si>
  <si>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</si>
  <si>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</si>
  <si>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</si>
  <si>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</si>
  <si>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</si>
  <si>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</si>
  <si>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</si>
  <si>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</si>
  <si>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</si>
  <si>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</si>
  <si>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</si>
  <si>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</si>
  <si>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</si>
  <si>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</si>
  <si>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</si>
  <si>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</si>
  <si>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</si>
  <si>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</si>
  <si>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</si>
  <si>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</si>
  <si>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</si>
  <si>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</si>
  <si>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</si>
  <si>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</si>
  <si>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</si>
  <si>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</si>
  <si>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</si>
  <si>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</si>
  <si>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</si>
  <si>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</si>
  <si>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</si>
  <si>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</si>
  <si>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</si>
  <si>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</si>
  <si>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</si>
  <si>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</si>
  <si>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</si>
  <si>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</si>
  <si>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</si>
  <si>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</si>
  <si>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</si>
  <si>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</si>
  <si>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</si>
  <si>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</si>
  <si>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</si>
  <si>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</si>
  <si>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</si>
  <si>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</si>
  <si>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</si>
  <si>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</si>
  <si>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</si>
  <si>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</si>
  <si>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</si>
  <si>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</si>
  <si>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</si>
  <si>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</si>
  <si>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</si>
  <si>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</si>
  <si>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</si>
  <si>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</si>
  <si>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</si>
  <si>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</si>
  <si>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</si>
  <si>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</si>
  <si>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</si>
  <si>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</si>
  <si>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</si>
  <si>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</si>
  <si>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</si>
  <si>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FourGods</t>
    <phoneticPr fontId="22"/>
  </si>
  <si>
    <t>1</t>
    <phoneticPr fontId="22"/>
  </si>
  <si>
    <t>old</t>
  </si>
  <si>
    <t>30</t>
    <phoneticPr fontId="22"/>
  </si>
  <si>
    <t>1体に特大ダメージ+
HP回復</t>
    <phoneticPr fontId="22"/>
  </si>
  <si>
    <t>[effect:force_change_block, new_block:crash, target:block_all, ignore01:crash, ignore02:crack_bomb, ignore03:color_break, ignore04:magnet, count:1, val:24, animation:change_block],[effect:force_change_block, new_block:block_heart, target:block_blue, count:0, val:0, animation:change_block],[effect:force_change_block, new_block:block_yellow, target:block_green, count:0, val:0, animation:change_block],[effect:guard_break, target:enemy_all, turn:2, val:1.0, calc:mul, animation:guard_break04]</t>
    <phoneticPr fontId="22"/>
  </si>
  <si>
    <t>[effect:force_change_block, new_block:crash, target:block_all, ignore01:crash, ignore02:crack_bomb, ignore03:color_break, ignore04:magnet, count:1, val:24, animation:change_block],[effect:force_change_block, new_block:block_yellow, target:block_heart, count:0, val:0, animation:change_block],[effect:force_change_block, new_block:block_green, target:block_red, count:0, val:0, animation:change_block],[effect:cure, bad_status:virus, animation:cure01],[effect:enhance_unit, target:unit_all, turn:1, status:attack, val:0.175, calc:mul, animation:enhance_unit_all_attack03]</t>
    <phoneticPr fontId="22"/>
  </si>
  <si>
    <t>[effect:force_change_block, new_block:crash, target:block_all, ignore01:crash, ignore02:crack_bomb, ignore03:color_break, ignore04:magnet, count:1, val:24, animation:change_block],[effect:force_change_block, new_block:block_blue, target:block_green, count:0, val:0, animation:change_block],[effect:enhance_unit, target:unit_all, turn:1, status:defense, val:1440, calc:add, animation:enhance_unit_all_defense04]</t>
    <phoneticPr fontId="22"/>
  </si>
  <si>
    <t>[effect:damage_heal, target:enemy_one, color:red, val:1.5, animation:damage_one_red04],[effect:heal_ratio, val:0.18, animation:heal02_unit01]</t>
    <phoneticPr fontId="22"/>
  </si>
  <si>
    <t>[effect:damage_hp, target:enemy_one, color:green, val:0.85, animation:damage_one_green04],[effect:heal_ratio, val:0.18, animation:heal02_unit01]</t>
    <phoneticPr fontId="22"/>
  </si>
  <si>
    <t>[effect:damage, target:enemy_one, color:blue, val:1.5, animation:damage_one_blue04],[effect:heal_ratio, val:0.18, animation:heal02_unit01]</t>
    <phoneticPr fontId="22"/>
  </si>
  <si>
    <t>[effect:damage, target:enemy_one, color:yellow, val:1.5, animation:damage_one_yellow04],[effect:heal_ratio, val:0.18, animation:heal02_unit01]</t>
    <phoneticPr fontId="22"/>
  </si>
  <si>
    <t>ランダムでパネルを最大1個SCパネル(大)に、緑パネルを青パネルに変換+1ターン全ユニットの防御力を特大UP</t>
    <phoneticPr fontId="22"/>
  </si>
  <si>
    <t>ランダムでSCP(大)最大1個,ハートパネルを黄パネル,赤パネルを緑パネル変換+ウィルス解除+1ターン全ユニット攻撃力大UP</t>
    <phoneticPr fontId="22"/>
  </si>
  <si>
    <t>朱雀最終奥義「祝融」</t>
  </si>
  <si>
    <t>玄武最終奥義「玄冥」</t>
  </si>
  <si>
    <t>白虎最終奥義「蓐収」</t>
  </si>
  <si>
    <t>青龍最終奥義「句芒」</t>
  </si>
  <si>
    <t>雷豪電転</t>
  </si>
  <si>
    <t>烽火連天</t>
  </si>
  <si>
    <t>大地の激昂に慄くがよい</t>
  </si>
  <si>
    <t>giza</t>
  </si>
  <si>
    <t>小賢しい…一掃してやる！</t>
  </si>
  <si>
    <t>業火よ、我が怒りを示せ…</t>
  </si>
  <si>
    <t>天災を呼び起こそうか…</t>
  </si>
  <si>
    <t>大地は儂の手中にあるぞ！</t>
  </si>
  <si>
    <t>喉元に注意しな！</t>
  </si>
  <si>
    <t>塵一つ残さん…</t>
  </si>
  <si>
    <t>限界まで冷やしてやる</t>
  </si>
  <si>
    <t>giza</t>
    <phoneticPr fontId="22"/>
  </si>
  <si>
    <t>maru</t>
    <phoneticPr fontId="22"/>
  </si>
  <si>
    <t>参るぞ、灰と化せ…！</t>
  </si>
  <si>
    <t>我が熱風を受けろ！</t>
  </si>
  <si>
    <t>焼きつくす！</t>
  </si>
  <si>
    <t>悪戯が過ぎたのう…！</t>
  </si>
  <si>
    <t>地よ、轟け</t>
  </si>
  <si>
    <t>地よ、震えろ</t>
  </si>
  <si>
    <t>kumo</t>
    <phoneticPr fontId="22"/>
  </si>
  <si>
    <t>水難の相が出てるぞ！</t>
  </si>
  <si>
    <t>頭を冷やせ…！</t>
  </si>
  <si>
    <t>ほんの挨拶だ</t>
  </si>
  <si>
    <t>ケガじゃすまさんぜ！</t>
  </si>
  <si>
    <t>大人しくしていろ！！</t>
  </si>
  <si>
    <t>痺れさせてやるぜ？</t>
  </si>
  <si>
    <t>[effect:force_change_block, new_block:crash, target:block_all, ignore01:crash, ignore02:crack_bomb, ignore03:color_break, ignore04:magnet, count:1, val:24, animation:change_block],[effect:force_change_block, new_block:block_yellow, target:block_heart, count:0, val:0, animation:change_block],[effect:force_change_block, new_block:block_yellow, target:block_red, count:0, val:0, animation:change_block],[effect:damage_barrier, target:myself, turn:-1, val:5000]</t>
    <phoneticPr fontId="22"/>
  </si>
  <si>
    <t>ランダムでSCP(大)最大1個に、ハート・赤パネルを黄パネルに変換+自身への直接ダメージを5000まで防ぐバリアを展開</t>
    <phoneticPr fontId="22"/>
  </si>
  <si>
    <t>竜驤麟振</t>
    <phoneticPr fontId="22"/>
  </si>
  <si>
    <t>天覆地裁</t>
    <phoneticPr fontId="22"/>
  </si>
  <si>
    <t>ランダムでパネルを最大1個SCP(大)、青パネルをハートパネル、緑パネルを黄パネルに変換+2ターン敵の防御力を0にする</t>
    <phoneticPr fontId="22"/>
  </si>
  <si>
    <t>自身のHPの最大値に比例して1体に特大ダメージ+HP回復</t>
    <phoneticPr fontId="22"/>
  </si>
  <si>
    <t>自身の回復力に比例して1体に特大ダメージ+HP回復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</si>
</sst>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vertical="center"/>
    </xf>
    <xf numFmtId="0" fontId="16" fillId="19" borderId="4" xfId="0" applyFont="1" applyFill="1" applyBorder="1" applyAlignment="1">
      <alignment vertical="center"/>
    </xf>
    <xf numFmtId="0" fontId="14" fillId="29" borderId="4" xfId="0" applyFont="1" applyFill="1" applyBorder="1" applyAlignment="1">
      <alignment horizontal="left"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9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400</v>
          </cell>
          <cell r="B64" t="str">
            <v>ja</v>
          </cell>
          <cell r="C64" t="str">
            <v>攻撃タイプキラー</v>
          </cell>
          <cell r="D64" t="str">
            <v>攻撃対象が攻撃タイプの場合威力UP</v>
          </cell>
        </row>
        <row r="65">
          <cell r="A65">
            <v>401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402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403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404</v>
          </cell>
          <cell r="B68" t="str">
            <v>ja</v>
          </cell>
          <cell r="C68" t="str">
            <v>バランスタイプキラー</v>
          </cell>
          <cell r="D68" t="str">
            <v>攻撃対象が攻撃タイプの場合威力UP</v>
          </cell>
        </row>
        <row r="69">
          <cell r="A69">
            <v>405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406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407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408</v>
          </cell>
          <cell r="B72" t="str">
            <v>ja</v>
          </cell>
          <cell r="C72" t="str">
            <v>体力タイプキラー</v>
          </cell>
          <cell r="D72" t="str">
            <v>攻撃対象が攻撃タイプの場合威力UP</v>
          </cell>
        </row>
        <row r="73">
          <cell r="A73">
            <v>409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410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411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412</v>
          </cell>
          <cell r="B76" t="str">
            <v>ja</v>
          </cell>
          <cell r="C76" t="str">
            <v>テクニカルタイプキラー</v>
          </cell>
          <cell r="D76" t="str">
            <v>攻撃対象が攻撃タイプの場合威力UP</v>
          </cell>
        </row>
        <row r="77">
          <cell r="A77">
            <v>413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414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415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416</v>
          </cell>
          <cell r="B80" t="str">
            <v>ja</v>
          </cell>
          <cell r="C80" t="str">
            <v>回復タイプキラー</v>
          </cell>
          <cell r="D80" t="str">
            <v>攻撃対象が攻撃タイプの場合威力UP</v>
          </cell>
        </row>
        <row r="81">
          <cell r="A81">
            <v>417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418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419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420</v>
          </cell>
          <cell r="B84" t="str">
            <v>ja</v>
          </cell>
          <cell r="C84" t="str">
            <v>強化素材タイプキラー</v>
          </cell>
          <cell r="D84" t="str">
            <v>攻撃対象が攻撃タイプの場合威力UP</v>
          </cell>
        </row>
        <row r="85">
          <cell r="A85">
            <v>421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422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423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424</v>
          </cell>
          <cell r="B88" t="str">
            <v>ja</v>
          </cell>
          <cell r="C88" t="str">
            <v>コインタイプキラー</v>
          </cell>
          <cell r="D88" t="str">
            <v>攻撃対象が攻撃タイプの場合威力UP</v>
          </cell>
        </row>
        <row r="89">
          <cell r="A89">
            <v>425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426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427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428</v>
          </cell>
          <cell r="B92" t="str">
            <v>ja</v>
          </cell>
          <cell r="C92" t="str">
            <v>限界突破素材タイプキラー</v>
          </cell>
          <cell r="D92" t="str">
            <v>攻撃対象が攻撃タイプの場合威力UP</v>
          </cell>
        </row>
        <row r="93">
          <cell r="A93">
            <v>429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430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431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432</v>
          </cell>
          <cell r="B96" t="str">
            <v>ja</v>
          </cell>
          <cell r="C96" t="str">
            <v>スキルレベル素材タイプキラー</v>
          </cell>
          <cell r="D96" t="str">
            <v>攻撃対象が攻撃タイプの場合威力UP</v>
          </cell>
        </row>
        <row r="97">
          <cell r="A97">
            <v>433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434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435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600</v>
          </cell>
          <cell r="B100" t="str">
            <v>ja</v>
          </cell>
          <cell r="C100" t="str">
            <v>赤属性耐性25</v>
          </cell>
          <cell r="D100" t="str">
            <v>自身に対する赤属性の敵からの攻撃を25％軽減</v>
          </cell>
        </row>
        <row r="101">
          <cell r="A101">
            <v>601</v>
          </cell>
          <cell r="B101" t="str">
            <v>ja</v>
          </cell>
          <cell r="C101" t="str">
            <v>赤属性耐性25</v>
          </cell>
          <cell r="D101" t="str">
            <v>自身に対する赤属性の敵からの攻撃を25％軽減</v>
          </cell>
        </row>
        <row r="102">
          <cell r="A102">
            <v>602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603</v>
          </cell>
          <cell r="B103" t="str">
            <v>ja</v>
          </cell>
          <cell r="C103" t="str">
            <v>青属性耐性25</v>
          </cell>
          <cell r="D103" t="str">
            <v>自身に対する青属性の敵からの攻撃を25％軽減</v>
          </cell>
        </row>
        <row r="104">
          <cell r="A104">
            <v>604</v>
          </cell>
          <cell r="B104" t="str">
            <v>ja</v>
          </cell>
          <cell r="C104" t="str">
            <v>青属性耐性25</v>
          </cell>
          <cell r="D104" t="str">
            <v>自身に対する青属性の敵からの攻撃を25％軽減</v>
          </cell>
        </row>
        <row r="105">
          <cell r="A105">
            <v>605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606</v>
          </cell>
          <cell r="B106" t="str">
            <v>ja</v>
          </cell>
          <cell r="C106" t="str">
            <v>緑属性耐性25</v>
          </cell>
          <cell r="D106" t="str">
            <v>自身に対する緑属性の敵からの攻撃を25％軽減</v>
          </cell>
        </row>
        <row r="107">
          <cell r="A107">
            <v>607</v>
          </cell>
          <cell r="B107" t="str">
            <v>ja</v>
          </cell>
          <cell r="C107" t="str">
            <v>緑属性耐性25</v>
          </cell>
          <cell r="D107" t="str">
            <v>自身に対する緑属性の敵からの攻撃を25％軽減</v>
          </cell>
        </row>
        <row r="108">
          <cell r="A108">
            <v>608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609</v>
          </cell>
          <cell r="B109" t="str">
            <v>ja</v>
          </cell>
          <cell r="C109" t="str">
            <v>黄属性耐性25</v>
          </cell>
          <cell r="D109" t="str">
            <v>自身に対する黄属性の敵からの攻撃を25％軽減</v>
          </cell>
        </row>
        <row r="110">
          <cell r="A110">
            <v>610</v>
          </cell>
          <cell r="B110" t="str">
            <v>ja</v>
          </cell>
          <cell r="C110" t="str">
            <v>黄属性耐性25</v>
          </cell>
          <cell r="D110" t="str">
            <v>自身に対する黄属性の敵からの攻撃を25％軽減</v>
          </cell>
        </row>
        <row r="111">
          <cell r="A111">
            <v>611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612</v>
          </cell>
          <cell r="B112" t="str">
            <v>ja</v>
          </cell>
          <cell r="C112" t="str">
            <v>全属性耐性10</v>
          </cell>
          <cell r="D112" t="str">
            <v>自身に対する全属性の敵からの攻撃を10％軽減</v>
          </cell>
        </row>
        <row r="113">
          <cell r="A113">
            <v>613</v>
          </cell>
          <cell r="B113" t="str">
            <v>ja</v>
          </cell>
          <cell r="C113" t="str">
            <v>赤属性耐性10</v>
          </cell>
          <cell r="D113" t="str">
            <v>自身に対する赤属性の敵からの攻撃を10％軽減</v>
          </cell>
        </row>
        <row r="114">
          <cell r="A114">
            <v>614</v>
          </cell>
          <cell r="B114" t="str">
            <v>ja</v>
          </cell>
          <cell r="C114" t="str">
            <v>青属性耐性10</v>
          </cell>
          <cell r="D114" t="str">
            <v>自身に対する青属性の敵からの攻撃を10％軽減</v>
          </cell>
        </row>
        <row r="115">
          <cell r="A115">
            <v>615</v>
          </cell>
          <cell r="B115" t="str">
            <v>ja</v>
          </cell>
          <cell r="C115" t="str">
            <v>緑属性耐性10</v>
          </cell>
          <cell r="D115" t="str">
            <v>自身に対する緑属性の敵からの攻撃を10％軽減</v>
          </cell>
        </row>
        <row r="116">
          <cell r="A116">
            <v>616</v>
          </cell>
          <cell r="B116" t="str">
            <v>ja</v>
          </cell>
          <cell r="C116" t="str">
            <v>黄属性耐性10</v>
          </cell>
          <cell r="D116" t="str">
            <v>自身に対する黄属性の敵からの攻撃を10％軽減</v>
          </cell>
        </row>
        <row r="117">
          <cell r="A117">
            <v>617</v>
          </cell>
          <cell r="B117" t="str">
            <v>ja</v>
          </cell>
          <cell r="C117" t="str">
            <v>ゴッド種族耐性10</v>
          </cell>
          <cell r="D117" t="str">
            <v>自身に対するゴッド種族の敵からの攻撃を25％軽減</v>
          </cell>
        </row>
        <row r="118">
          <cell r="A118">
            <v>618</v>
          </cell>
          <cell r="B118" t="str">
            <v>ja</v>
          </cell>
          <cell r="C118" t="str">
            <v>赤属性耐性8</v>
          </cell>
          <cell r="D118" t="str">
            <v>自身に対する赤属性の敵からの攻撃を8%軽減</v>
          </cell>
        </row>
        <row r="119">
          <cell r="A119">
            <v>619</v>
          </cell>
          <cell r="B119" t="str">
            <v>ja</v>
          </cell>
          <cell r="C119" t="str">
            <v>青属性耐性8</v>
          </cell>
          <cell r="D119" t="str">
            <v>自身に対する青属性の敵からの攻撃を8%軽減</v>
          </cell>
        </row>
        <row r="120">
          <cell r="A120">
            <v>620</v>
          </cell>
          <cell r="B120" t="str">
            <v>ja</v>
          </cell>
          <cell r="C120" t="str">
            <v>緑属性耐性8</v>
          </cell>
          <cell r="D120" t="str">
            <v>自身に対する緑属性の敵からの攻撃を8%軽減</v>
          </cell>
        </row>
        <row r="121">
          <cell r="A121">
            <v>621</v>
          </cell>
          <cell r="B121" t="str">
            <v>ja</v>
          </cell>
          <cell r="C121" t="str">
            <v>黄属性耐性8</v>
          </cell>
          <cell r="D121" t="str">
            <v>自身に対する黄属性の敵からの攻撃を8%軽減</v>
          </cell>
        </row>
        <row r="122">
          <cell r="A122">
            <v>700</v>
          </cell>
          <cell r="B122" t="str">
            <v>ja</v>
          </cell>
          <cell r="C122" t="str">
            <v>フロア 回復</v>
          </cell>
          <cell r="D122" t="str">
            <v>全フロアの1ターン目終了時にパーティの合計HPの20％を回復する</v>
          </cell>
        </row>
        <row r="123">
          <cell r="A123">
            <v>800</v>
          </cell>
          <cell r="B123" t="str">
            <v>ja</v>
          </cell>
          <cell r="C123" t="str">
            <v>パネルブレイク30 攻撃力UP</v>
          </cell>
          <cell r="D123" t="str">
            <v>自身が先頭の時、1ターンの間に合計30個以上パネルを破壊した場合に攻撃力UP</v>
          </cell>
        </row>
        <row r="124">
          <cell r="A124">
            <v>801</v>
          </cell>
          <cell r="B124" t="str">
            <v>ja</v>
          </cell>
          <cell r="C124" t="str">
            <v>パネルブレイク30 回復力UP</v>
          </cell>
          <cell r="D124" t="str">
            <v>自身が先頭の時、1ターンの間に合計30個以上パネルを破壊した場合に回復力UP</v>
          </cell>
        </row>
        <row r="125">
          <cell r="A125">
            <v>802</v>
          </cell>
          <cell r="B125" t="str">
            <v>ja</v>
          </cell>
          <cell r="C125" t="str">
            <v>パネルブレイク30 防御力小UP</v>
          </cell>
          <cell r="D125" t="str">
            <v>自身が先頭の時、1ターンの間に合計30個以上パネルを破壊した場合に防御力小UP</v>
          </cell>
        </row>
        <row r="126">
          <cell r="A126">
            <v>803</v>
          </cell>
          <cell r="B126" t="str">
            <v>ja</v>
          </cell>
          <cell r="C126" t="str">
            <v>パネルブレイク30 防御力UP</v>
          </cell>
          <cell r="D126" t="str">
            <v>自身が先頭の時、1ターンの間に合計30個以上パネルを破壊した場合に防御力UP</v>
          </cell>
        </row>
        <row r="127">
          <cell r="A127">
            <v>804</v>
          </cell>
          <cell r="B127" t="str">
            <v>ja</v>
          </cell>
          <cell r="C127" t="str">
            <v>パネルブレイク30 防御力大UP</v>
          </cell>
          <cell r="D127" t="str">
            <v>自身が先頭の時、1ターンの間に合計30個以上パネルを破壊した場合に防御力大UP</v>
          </cell>
        </row>
        <row r="128">
          <cell r="A128">
            <v>805</v>
          </cell>
          <cell r="B128" t="str">
            <v>ja</v>
          </cell>
          <cell r="C128" t="str">
            <v>パネルブレイク30 防御力特大UP</v>
          </cell>
          <cell r="D128" t="str">
            <v>自身が先頭の時、1ターンの間に合計30個以上パネルを破壊した場合に防御力特大UP</v>
          </cell>
        </row>
        <row r="129">
          <cell r="A129">
            <v>806</v>
          </cell>
          <cell r="B129" t="str">
            <v>ja</v>
          </cell>
          <cell r="C129" t="str">
            <v>ボムブレイク10 防御力UP</v>
          </cell>
          <cell r="D129" t="str">
            <v>自身または味方が1ターンの間に合計10個以上ボムパネルを破壊した場合に防御力UP</v>
          </cell>
        </row>
        <row r="130">
          <cell r="A130">
            <v>807</v>
          </cell>
          <cell r="B130" t="str">
            <v>ja</v>
          </cell>
          <cell r="C130" t="str">
            <v>パネル18 破壊フィーバーゲージ上昇</v>
          </cell>
          <cell r="D130" t="str">
            <v>自身が先頭の時、1ターンの間に合計18個以上パネルを破壊した場合にフィーバーゲージ上昇</v>
          </cell>
        </row>
        <row r="131">
          <cell r="A131">
            <v>808</v>
          </cell>
          <cell r="B131" t="str">
            <v>ja</v>
          </cell>
          <cell r="C131" t="str">
            <v>パネルブレイク40 防御力UP</v>
          </cell>
          <cell r="D131" t="str">
            <v>自身が先頭の時、1ターンの間に合計40個以上パネルを破壊した場合に青属性ユニットの防御力を400UP</v>
          </cell>
        </row>
        <row r="132">
          <cell r="A132">
            <v>809</v>
          </cell>
          <cell r="B132" t="str">
            <v>ja</v>
          </cell>
          <cell r="C132" t="str">
            <v>パネルブレイク40 攻撃力UP</v>
          </cell>
          <cell r="D132" t="str">
            <v>自身が先頭の時、1ターンの間に合計40個以上パネルを破壊した場合に攻撃力UP</v>
          </cell>
        </row>
        <row r="133">
          <cell r="A133">
            <v>810</v>
          </cell>
          <cell r="B133" t="str">
            <v>ja</v>
          </cell>
          <cell r="C133" t="str">
            <v>パネルブレイク40 攻撃力小UP</v>
          </cell>
          <cell r="D133" t="str">
            <v>自身が先頭の時、1ターンの間に合計40個以上パネルを破壊した場合に攻撃力小UP</v>
          </cell>
        </row>
        <row r="134">
          <cell r="A134">
            <v>811</v>
          </cell>
          <cell r="B134" t="str">
            <v>ja</v>
          </cell>
          <cell r="C134" t="str">
            <v>パネルブレイク30 攻撃力小UP</v>
          </cell>
          <cell r="D134" t="str">
            <v>自身が先頭の時、1ターンの間に合計30個以上パネルを破壊した場合に攻撃力小UP</v>
          </cell>
        </row>
        <row r="135">
          <cell r="A135">
            <v>812</v>
          </cell>
          <cell r="B135" t="str">
            <v>ja</v>
          </cell>
          <cell r="C135" t="str">
            <v>パネルブレイク40 HP小回復</v>
          </cell>
          <cell r="D135" t="str">
            <v>自身が先頭の時、1ターンの間に合計40個以上パネルを破壊した場合にターン終了時HP小回復</v>
          </cell>
        </row>
        <row r="136">
          <cell r="A136">
            <v>900</v>
          </cell>
          <cell r="B136" t="str">
            <v>ja</v>
          </cell>
          <cell r="C136" t="str">
            <v>チェイン12 攻撃力UP</v>
          </cell>
          <cell r="D136" t="str">
            <v>自身が先頭の時、1タップで12個以上パネルを繋げた場合に攻撃力UP</v>
          </cell>
        </row>
        <row r="137">
          <cell r="A137">
            <v>901</v>
          </cell>
          <cell r="B137" t="str">
            <v>ja</v>
          </cell>
          <cell r="C137" t="str">
            <v>チェイン12 回復力UP</v>
          </cell>
          <cell r="D137" t="str">
            <v>自身が先頭の時、1タップで12個以上パネルを繋げた場合に回復力UP</v>
          </cell>
        </row>
        <row r="138">
          <cell r="A138">
            <v>902</v>
          </cell>
          <cell r="B138" t="str">
            <v>ja</v>
          </cell>
          <cell r="C138" t="str">
            <v>チェイン12 タップ回数UP</v>
          </cell>
          <cell r="D138" t="str">
            <v>自身が先頭の時、1タップで12個以上パネルを繋げた場合にタップ回数を1回増やす</v>
          </cell>
        </row>
        <row r="139">
          <cell r="A139">
            <v>903</v>
          </cell>
          <cell r="B139" t="str">
            <v>ja</v>
          </cell>
          <cell r="C139" t="str">
            <v>チェイン18 スキルゲージUP</v>
          </cell>
          <cell r="D139" t="str">
            <v>自身が先頭の時、1タップで18個以上パネルを繋げた場合に自身のスキルゲージを1増やす(1ターンに1度だけ発動)</v>
          </cell>
        </row>
        <row r="140">
          <cell r="A140">
            <v>904</v>
          </cell>
          <cell r="B140" t="str">
            <v>ja</v>
          </cell>
          <cell r="C140" t="str">
            <v>チェイン17 回復力UP</v>
          </cell>
          <cell r="D140" t="str">
            <v>自身が先頭の時、1タップで17個以上パネルを繋げた場合に自身の回復力を2017UP</v>
          </cell>
        </row>
        <row r="141">
          <cell r="A141">
            <v>905</v>
          </cell>
          <cell r="B141" t="str">
            <v>ja</v>
          </cell>
          <cell r="C141" t="str">
            <v>チェイン12 攻撃力小UP</v>
          </cell>
          <cell r="D141" t="str">
            <v>自身が先頭の時、1タップで12個以上パネルを繋げた場合に攻撃力小UP</v>
          </cell>
        </row>
        <row r="142">
          <cell r="A142">
            <v>906</v>
          </cell>
          <cell r="B142" t="str">
            <v>ja</v>
          </cell>
          <cell r="C142" t="str">
            <v>チェイン14 回復力小UP</v>
          </cell>
          <cell r="D142" t="str">
            <v>自身が先頭の時、1タップで14個以上パネルを繋げた場合に回復力小UP</v>
          </cell>
        </row>
        <row r="143">
          <cell r="A143">
            <v>907</v>
          </cell>
          <cell r="B143" t="str">
            <v>ja</v>
          </cell>
          <cell r="C143" t="str">
            <v>チェイン14 攻撃力UP</v>
          </cell>
          <cell r="D143" t="str">
            <v>自身が先頭の時、1タップで14個以上パネルを繋げた場合に攻撃力UP</v>
          </cell>
        </row>
        <row r="144">
          <cell r="A144">
            <v>1100</v>
          </cell>
          <cell r="B144" t="str">
            <v>ja</v>
          </cell>
          <cell r="C144" t="str">
            <v>Cパネル生成短縮</v>
          </cell>
          <cell r="D144" t="str">
            <v>自身が先頭の時、Cパネル生成に必要なチェイン数を1短縮する</v>
          </cell>
        </row>
        <row r="145">
          <cell r="A145">
            <v>1101</v>
          </cell>
          <cell r="B145" t="str">
            <v>ja</v>
          </cell>
          <cell r="C145" t="str">
            <v>Cパネル生成短縮(大)</v>
          </cell>
          <cell r="D145" t="str">
            <v>自身が先頭の時、Cパネル生成に必要なチェイン数を2短縮する</v>
          </cell>
        </row>
        <row r="146">
          <cell r="A146">
            <v>1200</v>
          </cell>
          <cell r="B146" t="str">
            <v>ja</v>
          </cell>
          <cell r="C146" t="str">
            <v>フィーバー攻撃UP</v>
          </cell>
          <cell r="D146" t="str">
            <v>自身が先頭の時、フィーバー発動時に緑属性の攻撃力と回復力UP</v>
          </cell>
        </row>
        <row r="147">
          <cell r="A147">
            <v>1300</v>
          </cell>
          <cell r="B147" t="str">
            <v>ja</v>
          </cell>
          <cell r="C147" t="str">
            <v>チェイン12 HP回復</v>
          </cell>
          <cell r="D147" t="str">
            <v>自身が先頭の時、1タップで12個以上パネルを繋げた場合にHPを2000回復(1ターンに1度だけ発動)</v>
          </cell>
        </row>
        <row r="148">
          <cell r="A148">
            <v>1400</v>
          </cell>
          <cell r="B148" t="str">
            <v>ja</v>
          </cell>
          <cell r="C148" t="str">
            <v>カウンター威力UP</v>
          </cell>
          <cell r="D148" t="str">
            <v>4ターン毎に自身のカウンタースキルの威力が1ターンの間UP</v>
          </cell>
        </row>
        <row r="149">
          <cell r="A149">
            <v>1500</v>
          </cell>
          <cell r="B149" t="str">
            <v>ja</v>
          </cell>
          <cell r="C149" t="str">
            <v>バリア15000</v>
          </cell>
          <cell r="D149" t="str">
            <v>戦闘開始時に、自身への直接ダメージを15000まで防ぐバリアを一度だけ展開(バリアは破壊されると復活しない)</v>
          </cell>
        </row>
        <row r="150">
          <cell r="A150">
            <v>1501</v>
          </cell>
          <cell r="B150" t="str">
            <v>ja</v>
          </cell>
          <cell r="C150" t="str">
            <v>バリア</v>
          </cell>
          <cell r="D150" t="str">
            <v>戦闘開始時に、ダメージを25000まで防ぐバリアを一度だけ展開</v>
          </cell>
        </row>
        <row r="151">
          <cell r="A151">
            <v>1502</v>
          </cell>
          <cell r="B151" t="str">
            <v>ja</v>
          </cell>
          <cell r="C151" t="str">
            <v>バリア</v>
          </cell>
          <cell r="D151" t="str">
            <v>戦闘開始時に、ダメージを50000まで防ぐバリアを一度だけ展開</v>
          </cell>
        </row>
        <row r="152">
          <cell r="A152">
            <v>1503</v>
          </cell>
          <cell r="B152" t="str">
            <v>ja</v>
          </cell>
          <cell r="C152" t="str">
            <v>バリア8000</v>
          </cell>
          <cell r="D152" t="str">
            <v>戦闘開始時に、自身への直接ダメージを8000まで防ぐバリアを一度だけ展開(バリアは破壊されると復活しない)</v>
          </cell>
        </row>
        <row r="153">
          <cell r="A153">
            <v>1504</v>
          </cell>
          <cell r="B153" t="str">
            <v>ja</v>
          </cell>
          <cell r="C153" t="str">
            <v>バリア10000</v>
          </cell>
          <cell r="D153" t="str">
            <v>戦闘開始時に、自身への直接ダメージを10000まで防ぐバリアを一度だけ展開(バリアは破壊されると復活しない)</v>
          </cell>
        </row>
        <row r="154">
          <cell r="A154">
            <v>1505</v>
          </cell>
          <cell r="B154" t="str">
            <v>ja</v>
          </cell>
          <cell r="C154" t="str">
            <v>バリア3939</v>
          </cell>
          <cell r="D154" t="str">
            <v>戦闘開始時に、自身への直接ダメージを3939まで防ぐバリアを一度だけ展開(バリアは破壊されると復活しない)</v>
          </cell>
        </row>
        <row r="155">
          <cell r="A155">
            <v>1600</v>
          </cell>
          <cell r="B155" t="str">
            <v>ja</v>
          </cell>
          <cell r="C155" t="str">
            <v>攻撃力・回復力UP</v>
          </cell>
          <cell r="D155" t="str">
            <v>自身の攻撃力と回復力をUP</v>
          </cell>
        </row>
        <row r="156">
          <cell r="A156">
            <v>1700</v>
          </cell>
          <cell r="B156" t="str">
            <v>ja</v>
          </cell>
          <cell r="C156" t="str">
            <v>パネルブレイク30 ターンHP小回復</v>
          </cell>
          <cell r="D156" t="str">
            <v>自身が先頭の時、1ターンの間に合計30個以上パネルを破壊した場合に1ターン HP小回復</v>
          </cell>
        </row>
        <row r="157">
          <cell r="A157">
            <v>1800</v>
          </cell>
          <cell r="B157" t="str">
            <v>ja</v>
          </cell>
          <cell r="C157" t="str">
            <v>フィーバー強化</v>
          </cell>
          <cell r="D157" t="str">
            <v>フィーバー時自身の攻撃力、回復力を特大UP</v>
          </cell>
        </row>
        <row r="158">
          <cell r="A158">
            <v>1900</v>
          </cell>
          <cell r="B158" t="str">
            <v>ja</v>
          </cell>
          <cell r="C158" t="str">
            <v>ハート出現率UP</v>
          </cell>
          <cell r="D158" t="str">
            <v>自身が先頭の時、ハートパネルの出現率UP</v>
          </cell>
        </row>
        <row r="159">
          <cell r="A159">
            <v>2000</v>
          </cell>
          <cell r="B159" t="str">
            <v>ja</v>
          </cell>
          <cell r="C159" t="str">
            <v>赤パネル出現率UP</v>
          </cell>
          <cell r="D159" t="str">
            <v>自身が先頭の時、赤パネルの出現率UP</v>
          </cell>
        </row>
        <row r="160">
          <cell r="A160">
            <v>2100</v>
          </cell>
          <cell r="B160" t="str">
            <v>ja</v>
          </cell>
          <cell r="C160" t="str">
            <v>緑パネル出現率UP</v>
          </cell>
          <cell r="D160" t="str">
            <v>自身が先頭の時、緑パネルの出現率UP</v>
          </cell>
        </row>
        <row r="161">
          <cell r="A161">
            <v>2200</v>
          </cell>
          <cell r="B161" t="str">
            <v>ja</v>
          </cell>
          <cell r="C161" t="str">
            <v>青パネル出現率UP</v>
          </cell>
          <cell r="D161" t="str">
            <v>自身が先頭の時、青パネルの出現率UP</v>
          </cell>
        </row>
        <row r="162">
          <cell r="A162">
            <v>2300</v>
          </cell>
          <cell r="B162" t="str">
            <v>ja</v>
          </cell>
          <cell r="C162" t="str">
            <v>黄パネル出現率UP</v>
          </cell>
          <cell r="D162" t="str">
            <v>自身が先頭の時、黄パネルの出現率UP</v>
          </cell>
        </row>
        <row r="163">
          <cell r="A163">
            <v>2400</v>
          </cell>
          <cell r="B163" t="str">
            <v>ja</v>
          </cell>
          <cell r="C163" t="str">
            <v>ハートボムパネルドロップ</v>
          </cell>
          <cell r="D163" t="str">
            <v>自身が先頭の時、ハートパネルを確率でハートボムパネルに変換しドロップ</v>
          </cell>
        </row>
        <row r="164">
          <cell r="A164">
            <v>2500</v>
          </cell>
          <cell r="B164" t="str">
            <v>ja</v>
          </cell>
          <cell r="C164" t="str">
            <v>青パネルドロップ</v>
          </cell>
          <cell r="D164" t="str">
            <v>自身が先頭の時、緑パネルを確率で青パネルに変換しドロップ</v>
          </cell>
        </row>
        <row r="165">
          <cell r="A165">
            <v>2501</v>
          </cell>
          <cell r="B165" t="str">
            <v>ja</v>
          </cell>
          <cell r="C165" t="str">
            <v>黄パネルドロップ</v>
          </cell>
          <cell r="D165" t="str">
            <v>自身が先頭の時、青パネルを確率で黄パネルに変換しドロップ</v>
          </cell>
        </row>
        <row r="166">
          <cell r="A166">
            <v>2502</v>
          </cell>
          <cell r="B166" t="str">
            <v>ja</v>
          </cell>
          <cell r="C166" t="str">
            <v>赤パネルドロップ</v>
          </cell>
          <cell r="D166" t="str">
            <v>自身が先頭の時、黄パネルを確率で赤パネルに変換しドロップ</v>
          </cell>
        </row>
        <row r="167">
          <cell r="A167">
            <v>2503</v>
          </cell>
          <cell r="B167" t="str">
            <v>ja</v>
          </cell>
          <cell r="C167" t="str">
            <v>黄パネルドロップ</v>
          </cell>
          <cell r="D167" t="str">
            <v>自身が先頭の時、赤パネルを確率で黄パネルに変換しドロップ</v>
          </cell>
        </row>
        <row r="168">
          <cell r="A168">
            <v>2504</v>
          </cell>
          <cell r="B168" t="str">
            <v>ja</v>
          </cell>
          <cell r="C168" t="str">
            <v>SCパネルドロップ</v>
          </cell>
          <cell r="D168" t="str">
            <v>自身が先頭の時、緑パネルを確率でSCパネルに変換しドロップ</v>
          </cell>
        </row>
        <row r="169">
          <cell r="A169">
            <v>2505</v>
          </cell>
          <cell r="B169" t="str">
            <v>ja</v>
          </cell>
          <cell r="C169" t="str">
            <v>緑ボムパネル(大)ドロップ</v>
          </cell>
          <cell r="D169" t="str">
            <v>自身が先頭の時、低確率で緑ボムパネル(大)をドロップ</v>
          </cell>
        </row>
        <row r="170">
          <cell r="A170">
            <v>2600</v>
          </cell>
          <cell r="B170" t="str">
            <v>ja</v>
          </cell>
          <cell r="C170" t="str">
            <v>回復力400UP</v>
          </cell>
          <cell r="D170" t="str">
            <v>自身の回復力を400UP</v>
          </cell>
        </row>
        <row r="171">
          <cell r="A171">
            <v>2601</v>
          </cell>
          <cell r="B171" t="str">
            <v>ja</v>
          </cell>
          <cell r="C171" t="str">
            <v>回復力300UP</v>
          </cell>
          <cell r="D171" t="str">
            <v>自身の回復力を300UP</v>
          </cell>
        </row>
        <row r="172">
          <cell r="A172">
            <v>2700</v>
          </cell>
          <cell r="B172" t="str">
            <v>ja</v>
          </cell>
          <cell r="C172" t="str">
            <v>攻撃力UP</v>
          </cell>
          <cell r="D172" t="str">
            <v>自身の攻撃力を300UP</v>
          </cell>
        </row>
        <row r="173">
          <cell r="A173">
            <v>2701</v>
          </cell>
          <cell r="B173" t="str">
            <v>ja</v>
          </cell>
          <cell r="C173" t="str">
            <v>攻撃力UP</v>
          </cell>
          <cell r="D173" t="str">
            <v>自身の攻撃力を500UP</v>
          </cell>
        </row>
        <row r="174">
          <cell r="A174">
            <v>2800</v>
          </cell>
          <cell r="B174" t="str">
            <v>ja</v>
          </cell>
          <cell r="C174" t="str">
            <v>防御力UP</v>
          </cell>
          <cell r="D174" t="str">
            <v>自身の防御力を250UP</v>
          </cell>
        </row>
        <row r="175">
          <cell r="A175">
            <v>2801</v>
          </cell>
          <cell r="B175" t="str">
            <v>ja</v>
          </cell>
          <cell r="C175" t="str">
            <v>防御力UP</v>
          </cell>
          <cell r="D175" t="str">
            <v>自身の防御力を350UP</v>
          </cell>
        </row>
        <row r="176">
          <cell r="A176">
            <v>2900</v>
          </cell>
          <cell r="B176" t="str">
            <v>ja</v>
          </cell>
          <cell r="C176" t="str">
            <v>フィーバー50 攻撃力小UP</v>
          </cell>
          <cell r="D176" t="str">
            <v>フィーバーゲージが50％以上の時、自身の攻撃力小UP</v>
          </cell>
        </row>
        <row r="177">
          <cell r="A177">
            <v>2901</v>
          </cell>
          <cell r="B177" t="str">
            <v>ja</v>
          </cell>
          <cell r="C177" t="str">
            <v>フィーバー40 攻撃力UP</v>
          </cell>
          <cell r="D177" t="str">
            <v>フィーバーゲージが40％以上の時、自身の攻撃力UP</v>
          </cell>
        </row>
        <row r="178">
          <cell r="A178">
            <v>9000</v>
          </cell>
          <cell r="B178" t="str">
            <v>ja</v>
          </cell>
          <cell r="C178" t="str">
            <v>ハップルチャレンジ ダメージUP</v>
          </cell>
          <cell r="D178" t="str">
            <v>ハップルチャレンジ内で自身の全ての攻撃の威力をUP</v>
          </cell>
        </row>
        <row r="179">
          <cell r="A179">
            <v>119402</v>
          </cell>
          <cell r="B179" t="str">
            <v>ja</v>
          </cell>
          <cell r="C179" t="str">
            <v>ハロウィンナイトパニック！ 威力UP</v>
          </cell>
          <cell r="D179" t="str">
            <v>ハロウィンナイトパニック！内で自身の全ての攻撃の威力を究極UP</v>
          </cell>
        </row>
        <row r="180">
          <cell r="A180">
            <v>1101</v>
          </cell>
          <cell r="B180" t="str">
            <v>ja</v>
          </cell>
          <cell r="C180" t="str">
            <v>Cパネル生成短縮(大)</v>
          </cell>
          <cell r="D180" t="str">
            <v>自身が先頭の時、Cパネル生成に必要なチェイン数を2短縮する</v>
          </cell>
        </row>
        <row r="181">
          <cell r="A181">
            <v>1200</v>
          </cell>
          <cell r="B181" t="str">
            <v>ja</v>
          </cell>
          <cell r="C181" t="str">
            <v>フィーバー攻撃UP</v>
          </cell>
          <cell r="D181" t="str">
            <v>自身が先頭の時、フィーバー発動時に緑属性の攻撃力と回復力UP</v>
          </cell>
        </row>
        <row r="182">
          <cell r="A182">
            <v>1300</v>
          </cell>
          <cell r="B182" t="str">
            <v>ja</v>
          </cell>
          <cell r="C182" t="str">
            <v>チェイン12 HP回復</v>
          </cell>
          <cell r="D182" t="str">
            <v>自身が先頭の時、1タップで12個以上パネルを繋げた場合にHPを2000回復(1ターンに1度だけ発動)</v>
          </cell>
        </row>
        <row r="183">
          <cell r="A183">
            <v>1400</v>
          </cell>
          <cell r="B183" t="str">
            <v>ja</v>
          </cell>
          <cell r="C183" t="str">
            <v>カウンター威力UP</v>
          </cell>
          <cell r="D183" t="str">
            <v>4ターン毎に自身のカウンタースキルの威力が1ターンの間UP</v>
          </cell>
        </row>
        <row r="184">
          <cell r="A184">
            <v>1500</v>
          </cell>
          <cell r="B184" t="str">
            <v>ja</v>
          </cell>
          <cell r="C184" t="str">
            <v>バリア15000</v>
          </cell>
          <cell r="D184" t="str">
            <v>戦闘開始時に、自身への直接ダメージを15000まで防ぐバリアを一度だけ展開(バリアは破壊されると復活しない)</v>
          </cell>
        </row>
        <row r="185">
          <cell r="A185">
            <v>1501</v>
          </cell>
          <cell r="B185" t="str">
            <v>ja</v>
          </cell>
          <cell r="C185" t="str">
            <v>バリア</v>
          </cell>
          <cell r="D185" t="str">
            <v>戦闘開始時に、ダメージを25000まで防ぐバリアを一度だけ展開</v>
          </cell>
        </row>
        <row r="186">
          <cell r="A186">
            <v>1502</v>
          </cell>
          <cell r="B186" t="str">
            <v>ja</v>
          </cell>
          <cell r="C186" t="str">
            <v>バリア</v>
          </cell>
          <cell r="D186" t="str">
            <v>戦闘開始時に、ダメージを50000まで防ぐバリアを一度だけ展開</v>
          </cell>
        </row>
        <row r="187">
          <cell r="A187">
            <v>1503</v>
          </cell>
          <cell r="B187" t="str">
            <v>ja</v>
          </cell>
          <cell r="C187" t="str">
            <v>バリア8000</v>
          </cell>
          <cell r="D187" t="str">
            <v>戦闘開始時に、自身への直接ダメージを8000まで防ぐバリアを一度だけ展開(バリアは破壊されると復活しない)</v>
          </cell>
        </row>
        <row r="188">
          <cell r="A188">
            <v>1504</v>
          </cell>
          <cell r="B188" t="str">
            <v>ja</v>
          </cell>
          <cell r="C188" t="str">
            <v>バリア10000</v>
          </cell>
          <cell r="D188" t="str">
            <v>戦闘開始時に、自身への直接ダメージを10000まで防ぐバリアを一度だけ展開(バリアは破壊されると復活しない)</v>
          </cell>
        </row>
        <row r="189">
          <cell r="A189">
            <v>1505</v>
          </cell>
          <cell r="B189" t="str">
            <v>ja</v>
          </cell>
          <cell r="C189" t="str">
            <v>バリア3939</v>
          </cell>
          <cell r="D189" t="str">
            <v>戦闘開始時に、自身への直接ダメージを3939まで防ぐバリアを一度だけ展開(バリアは破壊されると復活しない)</v>
          </cell>
        </row>
        <row r="190">
          <cell r="A190">
            <v>1506</v>
          </cell>
          <cell r="B190" t="str">
            <v>ja</v>
          </cell>
          <cell r="C190" t="str">
            <v>バリア5000</v>
          </cell>
          <cell r="D190" t="str">
            <v>戦闘開始時に、自身への直接ダメージを5000まで防ぐバリアを一度だけ展開(バリアは破壊されると復活しない)</v>
          </cell>
        </row>
        <row r="191">
          <cell r="A191">
            <v>1600</v>
          </cell>
          <cell r="B191" t="str">
            <v>ja</v>
          </cell>
          <cell r="C191" t="str">
            <v>攻撃力・回復力UP</v>
          </cell>
          <cell r="D191" t="str">
            <v>自身の攻撃力と回復力をUP</v>
          </cell>
        </row>
        <row r="192">
          <cell r="A192">
            <v>1700</v>
          </cell>
          <cell r="B192" t="str">
            <v>ja</v>
          </cell>
          <cell r="C192" t="str">
            <v>パネルブレイク30 ターンHP小回復</v>
          </cell>
          <cell r="D192" t="str">
            <v>自身が先頭の時、1ターンの間に合計30個以上パネルを破壊した場合に1ターン HP小回復</v>
          </cell>
        </row>
        <row r="193">
          <cell r="A193">
            <v>1701</v>
          </cell>
          <cell r="B193" t="str">
            <v>ja</v>
          </cell>
          <cell r="C193" t="str">
            <v>ターン終了時HP回復</v>
          </cell>
          <cell r="D193" t="str">
            <v>最初の1ターン目と、その後3ターン毎のターン終了時、HPを1200回復する</v>
          </cell>
        </row>
        <row r="194">
          <cell r="A194">
            <v>1800</v>
          </cell>
          <cell r="B194" t="str">
            <v>ja</v>
          </cell>
          <cell r="C194" t="str">
            <v>フィーバー強化</v>
          </cell>
          <cell r="D194" t="str">
            <v>フィーバー時自身の攻撃力、回復力を特大UP</v>
          </cell>
        </row>
        <row r="195">
          <cell r="A195">
            <v>1900</v>
          </cell>
          <cell r="B195" t="str">
            <v>ja</v>
          </cell>
          <cell r="C195" t="str">
            <v>ハート出現率UP</v>
          </cell>
          <cell r="D195" t="str">
            <v>自身が先頭の時、ハートパネルの出現率UP</v>
          </cell>
        </row>
        <row r="196">
          <cell r="A196">
            <v>2000</v>
          </cell>
          <cell r="B196" t="str">
            <v>ja</v>
          </cell>
          <cell r="C196" t="str">
            <v>赤パネル出現率UP</v>
          </cell>
          <cell r="D196" t="str">
            <v>自身が先頭の時、赤パネルの出現率UP</v>
          </cell>
        </row>
        <row r="197">
          <cell r="A197">
            <v>2100</v>
          </cell>
          <cell r="B197" t="str">
            <v>ja</v>
          </cell>
          <cell r="C197" t="str">
            <v>緑パネル出現率UP</v>
          </cell>
          <cell r="D197" t="str">
            <v>自身が先頭の時、緑パネルの出現率UP</v>
          </cell>
        </row>
        <row r="198">
          <cell r="A198">
            <v>2101</v>
          </cell>
          <cell r="B198" t="str">
            <v>ja</v>
          </cell>
          <cell r="C198" t="str">
            <v>緑パネル出現率UP</v>
          </cell>
          <cell r="D198" t="str">
            <v>自身が先頭の時、緑パネルの出現率UP</v>
          </cell>
        </row>
        <row r="199">
          <cell r="A199">
            <v>2200</v>
          </cell>
          <cell r="B199" t="str">
            <v>ja</v>
          </cell>
          <cell r="C199" t="str">
            <v>青パネル出現率UP</v>
          </cell>
          <cell r="D199" t="str">
            <v>自身が先頭の時、青パネルの出現率UP</v>
          </cell>
        </row>
        <row r="200">
          <cell r="A200">
            <v>2201</v>
          </cell>
          <cell r="B200" t="str">
            <v>ja</v>
          </cell>
          <cell r="C200" t="str">
            <v>青パネル出現率UP</v>
          </cell>
          <cell r="D200" t="str">
            <v>自身が先頭の時、青パネルの出現率UP</v>
          </cell>
        </row>
        <row r="201">
          <cell r="A201">
            <v>2300</v>
          </cell>
          <cell r="B201" t="str">
            <v>ja</v>
          </cell>
          <cell r="C201" t="str">
            <v>黄パネル出現率UP</v>
          </cell>
          <cell r="D201" t="str">
            <v>自身が先頭の時、黄パネルの出現率UP</v>
          </cell>
        </row>
        <row r="202">
          <cell r="A202">
            <v>2400</v>
          </cell>
          <cell r="B202" t="str">
            <v>ja</v>
          </cell>
          <cell r="C202" t="str">
            <v>ハートボムパネルドロップ</v>
          </cell>
          <cell r="D202" t="str">
            <v>自身が先頭の時、ハートパネルを確率でハートボムパネルに変換しドロップ</v>
          </cell>
        </row>
        <row r="203">
          <cell r="A203">
            <v>2401</v>
          </cell>
          <cell r="B203" t="str">
            <v>ja</v>
          </cell>
          <cell r="C203" t="str">
            <v>赤ボムパネルドロップ</v>
          </cell>
          <cell r="D203" t="str">
            <v>自身が先頭の時、赤パネルを低確率で赤ボムパネルに変換しドロップ</v>
          </cell>
        </row>
        <row r="204">
          <cell r="A204">
            <v>2402</v>
          </cell>
          <cell r="B204" t="str">
            <v>ja</v>
          </cell>
          <cell r="C204" t="str">
            <v>緑ボムパネルドロップ</v>
          </cell>
          <cell r="D204" t="str">
            <v>自身が先頭の時、緑パネルを低確率で緑ボムパネルに変換しドロップ</v>
          </cell>
        </row>
        <row r="205">
          <cell r="A205">
            <v>2403</v>
          </cell>
          <cell r="B205" t="str">
            <v>ja</v>
          </cell>
          <cell r="C205" t="str">
            <v>青ボムパネルドロップ</v>
          </cell>
          <cell r="D205" t="str">
            <v>自身が先頭の時、青パネルを確率で青ボムパネルに変換しドロップ</v>
          </cell>
        </row>
        <row r="206">
          <cell r="A206">
            <v>2500</v>
          </cell>
          <cell r="B206" t="str">
            <v>ja</v>
          </cell>
          <cell r="C206" t="str">
            <v>青パネルドロップ</v>
          </cell>
          <cell r="D206" t="str">
            <v>自身が先頭の時、緑パネルを確率で青パネルに変換しドロップ</v>
          </cell>
        </row>
        <row r="207">
          <cell r="A207">
            <v>2501</v>
          </cell>
          <cell r="B207" t="str">
            <v>ja</v>
          </cell>
          <cell r="C207" t="str">
            <v>黄パネルドロップ</v>
          </cell>
          <cell r="D207" t="str">
            <v>自身が先頭の時、青パネルを確率で黄パネルに変換しドロップ</v>
          </cell>
        </row>
        <row r="208">
          <cell r="A208">
            <v>2502</v>
          </cell>
          <cell r="B208" t="str">
            <v>ja</v>
          </cell>
          <cell r="C208" t="str">
            <v>赤パネルドロップ</v>
          </cell>
          <cell r="D208" t="str">
            <v>自身が先頭の時、黄パネルを確率で赤パネルに変換しドロップ</v>
          </cell>
        </row>
        <row r="209">
          <cell r="A209">
            <v>2503</v>
          </cell>
          <cell r="B209" t="str">
            <v>ja</v>
          </cell>
          <cell r="C209" t="str">
            <v>黄パネルドロップ</v>
          </cell>
          <cell r="D209" t="str">
            <v>自身が先頭の時、赤パネルを確率で黄パネルに変換しドロップ</v>
          </cell>
        </row>
        <row r="210">
          <cell r="A210">
            <v>2504</v>
          </cell>
          <cell r="B210" t="str">
            <v>ja</v>
          </cell>
          <cell r="C210" t="str">
            <v>SCパネルドロップ</v>
          </cell>
          <cell r="D210" t="str">
            <v>自身が先頭の時、緑パネルを確率でSCパネルに変換しドロップ</v>
          </cell>
        </row>
        <row r="211">
          <cell r="A211">
            <v>2505</v>
          </cell>
          <cell r="B211" t="str">
            <v>ja</v>
          </cell>
          <cell r="C211" t="str">
            <v>緑ボムパネル(大)ドロップ</v>
          </cell>
          <cell r="D211" t="str">
            <v>自身が先頭の時、低確率で緑ボムパネル(大)をドロップ</v>
          </cell>
        </row>
        <row r="212">
          <cell r="A212">
            <v>2506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2507</v>
          </cell>
          <cell r="B213" t="str">
            <v>ja</v>
          </cell>
          <cell r="C213" t="str">
            <v>Cパネルドロップ</v>
          </cell>
          <cell r="D213" t="str">
            <v>自身が先頭の時、低確率でCパネルをドロップ</v>
          </cell>
        </row>
        <row r="214">
          <cell r="A214">
            <v>2508</v>
          </cell>
          <cell r="B214" t="str">
            <v>ja</v>
          </cell>
          <cell r="C214" t="str">
            <v>黄パネルドロップ</v>
          </cell>
          <cell r="D214" t="str">
            <v>自身が先頭の時、緑パネルを確率で黄パネルに変換しドロップ</v>
          </cell>
        </row>
        <row r="215">
          <cell r="A215">
            <v>2509</v>
          </cell>
          <cell r="B215" t="str">
            <v>ja</v>
          </cell>
          <cell r="C215" t="str">
            <v>赤ボムパネル(大)ドロップ</v>
          </cell>
          <cell r="D215" t="str">
            <v>自身が先頭の時、低確率で赤ボムパネル(大)をドロップ</v>
          </cell>
        </row>
        <row r="216">
          <cell r="A216">
            <v>2510</v>
          </cell>
          <cell r="B216" t="str">
            <v>ja</v>
          </cell>
          <cell r="C216" t="str">
            <v>青ボムパネル(大)ドロップ</v>
          </cell>
          <cell r="D216" t="str">
            <v>自身が先頭の時、低確率で青ボムパネル(大)をドロップ</v>
          </cell>
        </row>
        <row r="217">
          <cell r="A217">
            <v>2511</v>
          </cell>
          <cell r="B217" t="str">
            <v>ja</v>
          </cell>
          <cell r="C217" t="str">
            <v>緑ボムパネルドロップ</v>
          </cell>
          <cell r="D217" t="str">
            <v>自身が先頭の時、ハートパネルを確率で緑ボムパネルに変換しドロップ</v>
          </cell>
        </row>
        <row r="218">
          <cell r="A218">
            <v>2512</v>
          </cell>
          <cell r="B218" t="str">
            <v>ja</v>
          </cell>
          <cell r="C218" t="str">
            <v>ハートボムパネル(大)ドロップ</v>
          </cell>
          <cell r="D218" t="str">
            <v>自身が先頭の時、低確率でハートボムパネル(大)をドロップ</v>
          </cell>
        </row>
        <row r="219">
          <cell r="A219">
            <v>2513</v>
          </cell>
          <cell r="B219" t="str">
            <v>ja</v>
          </cell>
          <cell r="C219" t="str">
            <v>緑ボムパネル(大)ドロップ</v>
          </cell>
          <cell r="D219" t="str">
            <v>自身が先頭の時、低確率で緑ボムパネル(大)をドロップ</v>
          </cell>
        </row>
        <row r="220">
          <cell r="A220">
            <v>2600</v>
          </cell>
          <cell r="B220" t="str">
            <v>ja</v>
          </cell>
          <cell r="C220" t="str">
            <v>回復力400UP</v>
          </cell>
          <cell r="D220" t="str">
            <v>自身の回復力を400UP</v>
          </cell>
        </row>
        <row r="221">
          <cell r="A221">
            <v>2601</v>
          </cell>
          <cell r="B221" t="str">
            <v>ja</v>
          </cell>
          <cell r="C221" t="str">
            <v>回復力300UP</v>
          </cell>
          <cell r="D221" t="str">
            <v>自身の回復力を300UP</v>
          </cell>
        </row>
        <row r="222">
          <cell r="A222">
            <v>2700</v>
          </cell>
          <cell r="B222" t="str">
            <v>ja</v>
          </cell>
          <cell r="C222" t="str">
            <v>攻撃力UP</v>
          </cell>
          <cell r="D222" t="str">
            <v>自身の攻撃力を300UP</v>
          </cell>
        </row>
        <row r="223">
          <cell r="A223">
            <v>2701</v>
          </cell>
          <cell r="B223" t="str">
            <v>ja</v>
          </cell>
          <cell r="C223" t="str">
            <v>攻撃力UP</v>
          </cell>
          <cell r="D223" t="str">
            <v>自身の攻撃力を500UP</v>
          </cell>
        </row>
        <row r="224">
          <cell r="A224">
            <v>2800</v>
          </cell>
          <cell r="B224" t="str">
            <v>ja</v>
          </cell>
          <cell r="C224" t="str">
            <v>防御力UP</v>
          </cell>
          <cell r="D224" t="str">
            <v>自身の防御力を250UP</v>
          </cell>
        </row>
        <row r="225">
          <cell r="A225">
            <v>2801</v>
          </cell>
          <cell r="B225" t="str">
            <v>ja</v>
          </cell>
          <cell r="C225" t="str">
            <v>防御力UP</v>
          </cell>
          <cell r="D225" t="str">
            <v>自身の防御力を350UP</v>
          </cell>
        </row>
        <row r="226">
          <cell r="A226">
            <v>2802</v>
          </cell>
          <cell r="B226" t="str">
            <v>ja</v>
          </cell>
          <cell r="C226" t="str">
            <v>防御力UP</v>
          </cell>
          <cell r="D226" t="str">
            <v>自身の防御力を300UP</v>
          </cell>
        </row>
        <row r="227">
          <cell r="A227">
            <v>2803</v>
          </cell>
          <cell r="B227" t="str">
            <v>ja</v>
          </cell>
          <cell r="C227" t="str">
            <v>防御力UP</v>
          </cell>
          <cell r="D227" t="str">
            <v>自身の防御力を400UP</v>
          </cell>
        </row>
        <row r="228">
          <cell r="A228">
            <v>2804</v>
          </cell>
          <cell r="B228" t="str">
            <v>ja</v>
          </cell>
          <cell r="C228" t="str">
            <v>防御力UP</v>
          </cell>
          <cell r="D228" t="str">
            <v>自身の防御力を280UP</v>
          </cell>
        </row>
        <row r="229">
          <cell r="A229">
            <v>2805</v>
          </cell>
          <cell r="B229" t="str">
            <v>ja</v>
          </cell>
          <cell r="C229" t="str">
            <v>ターン経過防御力UP</v>
          </cell>
          <cell r="D229" t="str">
            <v>最初の1ターン目と、その後3ターン毎に1ターン緑属性ユニットの防御力を500UP</v>
          </cell>
        </row>
        <row r="230">
          <cell r="A230">
            <v>2900</v>
          </cell>
          <cell r="B230" t="str">
            <v>ja</v>
          </cell>
          <cell r="C230" t="str">
            <v>フィーバー50 攻撃力小UP</v>
          </cell>
          <cell r="D230" t="str">
            <v>フィーバーゲージが50％以上の時、自身の攻撃力小UP</v>
          </cell>
        </row>
        <row r="231">
          <cell r="A231">
            <v>2901</v>
          </cell>
          <cell r="B231" t="str">
            <v>ja</v>
          </cell>
          <cell r="C231" t="str">
            <v>フィーバー40 攻撃力UP</v>
          </cell>
          <cell r="D231" t="str">
            <v>フィーバーゲージが40％以上の時、自身の攻撃力UP</v>
          </cell>
        </row>
        <row r="232">
          <cell r="A232">
            <v>2902</v>
          </cell>
          <cell r="B232" t="str">
            <v>ja</v>
          </cell>
          <cell r="C232" t="str">
            <v>フィーバー80 攻撃力大UP</v>
          </cell>
          <cell r="D232" t="str">
            <v>フィーバーゲージが80％以上の時、自身の攻撃力大UP</v>
          </cell>
        </row>
        <row r="233">
          <cell r="A233">
            <v>2903</v>
          </cell>
          <cell r="B233" t="str">
            <v>ja</v>
          </cell>
          <cell r="C233" t="str">
            <v>フィーバー100 攻撃参加</v>
          </cell>
          <cell r="D233" t="str">
            <v>フィーバーゲージが100％の時、自身が先頭以外でも通常攻撃に参加する</v>
          </cell>
        </row>
        <row r="234">
          <cell r="A234">
            <v>3000</v>
          </cell>
          <cell r="B234" t="str">
            <v>ja</v>
          </cell>
          <cell r="C234" t="str">
            <v>攻撃参加</v>
          </cell>
          <cell r="D234" t="str">
            <v>最初の1ターン目と、その後7ターン毎に自身が先頭以外でも通常攻撃に参加する</v>
          </cell>
        </row>
        <row r="235">
          <cell r="A235">
            <v>3001</v>
          </cell>
          <cell r="B235" t="str">
            <v>ja</v>
          </cell>
          <cell r="C235" t="str">
            <v>攻撃参加</v>
          </cell>
          <cell r="D235" t="str">
            <v>最初の1ターン目と、その後6ターン毎に自身が先頭以外でも通常攻撃に参加する</v>
          </cell>
        </row>
        <row r="236">
          <cell r="A236">
            <v>3002</v>
          </cell>
          <cell r="B236" t="str">
            <v>ja</v>
          </cell>
          <cell r="C236" t="str">
            <v>攻撃参加</v>
          </cell>
          <cell r="D236" t="str">
            <v>最初の1ターン目と、その後9ターン毎に自身が先頭以外でも通常攻撃に参加する</v>
          </cell>
        </row>
        <row r="237">
          <cell r="A237">
            <v>3100</v>
          </cell>
          <cell r="B237" t="str">
            <v>ja</v>
          </cell>
          <cell r="C237" t="str">
            <v>ボスフロア Cパネル生成短縮(特大)</v>
          </cell>
          <cell r="D237" t="str">
            <v>ボスフロア内で自身が先頭の時、Cパネル生成に必要なチェイン数を短縮する</v>
          </cell>
        </row>
        <row r="238">
          <cell r="A238">
            <v>3101</v>
          </cell>
          <cell r="B238" t="str">
            <v>ja</v>
          </cell>
          <cell r="C238" t="str">
            <v>ボスフロア時 バリア3000</v>
          </cell>
          <cell r="D238" t="str">
            <v>ボスフロア到達時に自身への直接ダメージを3000まで防ぐバリアを一度だけ展開(バリアは破壊されると復活しない)</v>
          </cell>
        </row>
        <row r="239">
          <cell r="A239">
            <v>3102</v>
          </cell>
          <cell r="B239" t="str">
            <v>ja</v>
          </cell>
          <cell r="C239" t="str">
            <v>ボスフロア時 Cスキル威力UP</v>
          </cell>
          <cell r="D239" t="str">
            <v>ボスフロアの1ターン目終了時に自身のCスキルの威力をUP</v>
          </cell>
        </row>
        <row r="240">
          <cell r="A240">
            <v>3103</v>
          </cell>
          <cell r="B240" t="str">
            <v>ja</v>
          </cell>
          <cell r="C240" t="str">
            <v>ボスフロア 攻撃力UP</v>
          </cell>
          <cell r="D240" t="str">
            <v>ボスフロア内で自身の攻撃力を700UP</v>
          </cell>
        </row>
        <row r="241">
          <cell r="A241">
            <v>3104</v>
          </cell>
          <cell r="B241" t="str">
            <v>ja</v>
          </cell>
          <cell r="C241" t="str">
            <v>ボスフロア時 バリア5000</v>
          </cell>
          <cell r="D241" t="str">
            <v>ボスフロア到達時に自身への直接ダメージを5000まで防ぐバリアを一度だけ展開(バリアは破壊されると復活しない)</v>
          </cell>
        </row>
        <row r="242">
          <cell r="A242">
            <v>3200</v>
          </cell>
          <cell r="B242" t="str">
            <v>ja</v>
          </cell>
          <cell r="C242" t="str">
            <v>HP33%以下 攻撃力UP</v>
          </cell>
          <cell r="D242" t="str">
            <v>自身が先頭の時、残りHPが33%以下で攻撃力特大UP</v>
          </cell>
        </row>
        <row r="243">
          <cell r="A243">
            <v>3201</v>
          </cell>
          <cell r="B243" t="str">
            <v>ja</v>
          </cell>
          <cell r="C243" t="str">
            <v>HP35%以下 回復力UP</v>
          </cell>
          <cell r="D243" t="str">
            <v>自身が先頭の時、残りHPが35%以下で回復力40%UP</v>
          </cell>
        </row>
        <row r="244">
          <cell r="A244">
            <v>3202</v>
          </cell>
          <cell r="B244" t="str">
            <v>ja</v>
          </cell>
          <cell r="C244" t="str">
            <v>HP90%以上 全属性耐性15</v>
          </cell>
          <cell r="D244" t="str">
            <v>自身が先頭の時、残りHPが90%以上で全ユニットに対する全属性の敵からの攻撃を15％軽減</v>
          </cell>
        </row>
        <row r="245">
          <cell r="A245">
            <v>3203</v>
          </cell>
          <cell r="B245" t="str">
            <v>ja</v>
          </cell>
          <cell r="C245" t="str">
            <v>HP50%以下 防御力UP</v>
          </cell>
          <cell r="D245" t="str">
            <v>自身が先頭の時、残りHPが50%以下で防御力398UP</v>
          </cell>
        </row>
        <row r="246">
          <cell r="A246">
            <v>3204</v>
          </cell>
          <cell r="B246" t="str">
            <v>ja</v>
          </cell>
          <cell r="C246" t="str">
            <v>HP30%以下 攻撃力大UP</v>
          </cell>
          <cell r="D246" t="str">
            <v>自身が先頭の時、残りHPが30%以下で攻撃力大UP</v>
          </cell>
        </row>
        <row r="247">
          <cell r="A247">
            <v>3205</v>
          </cell>
          <cell r="B247" t="str">
            <v>ja</v>
          </cell>
          <cell r="C247" t="str">
            <v>HP90%以上 ダメージ軽減</v>
          </cell>
          <cell r="D247" t="str">
            <v>残りHPが90%以上の時、全ユニットが敵からの攻撃を15％軽減</v>
          </cell>
        </row>
        <row r="248">
          <cell r="A248">
            <v>4000</v>
          </cell>
          <cell r="B248" t="str">
            <v>ja</v>
          </cell>
          <cell r="C248" t="str">
            <v>被ダメージ時 HP回復</v>
          </cell>
          <cell r="D248" t="str">
            <v>自身が攻撃を受けた場合、次のターンの開始時にHP500回復する</v>
          </cell>
        </row>
        <row r="249">
          <cell r="A249">
            <v>8000</v>
          </cell>
          <cell r="B249" t="str">
            <v>ja</v>
          </cell>
          <cell r="C249" t="str">
            <v>ユニットが一番右にいるとき 攻撃力UP</v>
          </cell>
          <cell r="D249" t="str">
            <v>自身が一番右にいる場合、全ユニットの攻撃力UP</v>
          </cell>
        </row>
        <row r="250">
          <cell r="A250">
            <v>8001</v>
          </cell>
          <cell r="B250" t="str">
            <v>ja</v>
          </cell>
          <cell r="C250" t="str">
            <v>敵に青属性がいる場合 小カウンター</v>
          </cell>
          <cell r="D250" t="str">
            <v>敵に青属性がいる場合、小カウンター</v>
          </cell>
        </row>
        <row r="251">
          <cell r="A251">
            <v>8002</v>
          </cell>
          <cell r="B251" t="str">
            <v>ja</v>
          </cell>
          <cell r="C251" t="str">
            <v>テスト</v>
          </cell>
          <cell r="D251" t="str">
            <v>フロアスタート時、1ターン全ユニットの攻撃力UP</v>
          </cell>
        </row>
        <row r="252">
          <cell r="A252">
            <v>8003</v>
          </cell>
          <cell r="B252" t="str">
            <v>ja</v>
          </cell>
          <cell r="C252" t="str">
            <v>HP70%以上 ウィルス無効</v>
          </cell>
          <cell r="D252" t="str">
            <v>残りHPが70%以上で自身にかかるウィルスを無効化する</v>
          </cell>
        </row>
        <row r="253">
          <cell r="A253">
            <v>8004</v>
          </cell>
          <cell r="B253" t="str">
            <v>ja</v>
          </cell>
          <cell r="C253" t="str">
            <v>フロアスタート時 スキルブースト</v>
          </cell>
          <cell r="D253" t="str">
            <v>フロアスタート時、1ターンスキルブースト</v>
          </cell>
        </row>
        <row r="254">
          <cell r="A254">
            <v>9000</v>
          </cell>
          <cell r="B254" t="str">
            <v>ja</v>
          </cell>
          <cell r="C254" t="str">
            <v>ハップルチャレンジ ダメージUP</v>
          </cell>
          <cell r="D254" t="str">
            <v>ハップルチャレンジ内で自身の全ての攻撃の威力をUP</v>
          </cell>
        </row>
        <row r="255">
          <cell r="A255">
            <v>9001</v>
          </cell>
          <cell r="B255" t="str">
            <v>ja</v>
          </cell>
          <cell r="C255" t="str">
            <v>クロネッカーチャレンジ ダメージUP</v>
          </cell>
          <cell r="D255" t="str">
            <v>クロネッカーチャレンジ内で自身の全ての攻撃の威力をUP</v>
          </cell>
        </row>
        <row r="256">
          <cell r="A256">
            <v>9002</v>
          </cell>
          <cell r="B256" t="str">
            <v>ja</v>
          </cell>
          <cell r="C256" t="str">
            <v>クロネッカーチャレンジ ダメージUP</v>
          </cell>
          <cell r="D256" t="str">
            <v>クロネッカーチャレンジ内で自身の全ての攻撃+カウンターの威力をUP</v>
          </cell>
        </row>
        <row r="257">
          <cell r="A257">
            <v>9003</v>
          </cell>
          <cell r="B257" t="str">
            <v>ja</v>
          </cell>
          <cell r="C257" t="str">
            <v>オイラーチャレンジ ダメージUP</v>
          </cell>
          <cell r="D257" t="str">
            <v>オイラーチャレンジ内で自身の全ての攻撃の威力をUP</v>
          </cell>
        </row>
        <row r="258">
          <cell r="A258">
            <v>9004</v>
          </cell>
          <cell r="B258" t="str">
            <v>ja</v>
          </cell>
          <cell r="C258" t="str">
            <v>オイラーチャレンジ ダメージ究極UP</v>
          </cell>
          <cell r="D258" t="str">
            <v>オイラーチャレンジ内で自身の全ての攻撃の威力を究極UP</v>
          </cell>
        </row>
        <row r="259">
          <cell r="A259">
            <v>119402</v>
          </cell>
          <cell r="B259" t="str">
            <v>ja</v>
          </cell>
          <cell r="C259" t="str">
            <v>ハロウィンナイトパニック！ 威力UP</v>
          </cell>
          <cell r="D259" t="str">
            <v>ハロウィンナイトパニック！内で自身の全ての攻撃の威力を究極UP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B20" sqref="B20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340</v>
      </c>
      <c r="B2" s="105" t="s">
        <v>129</v>
      </c>
      <c r="C2" s="162" t="s">
        <v>338</v>
      </c>
      <c r="D2" s="105" t="s">
        <v>128</v>
      </c>
      <c r="E2" s="104" t="str">
        <f>B2&amp;C2&amp;D2</f>
        <v>units_FourGods.tmp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316</v>
      </c>
      <c r="S2" s="105"/>
      <c r="T2" s="105"/>
      <c r="U2" s="105"/>
      <c r="V2" s="105"/>
      <c r="W2" s="105"/>
    </row>
    <row r="3" spans="1:29" x14ac:dyDescent="0.15">
      <c r="A3" s="105" t="s">
        <v>340</v>
      </c>
      <c r="B3" s="105" t="s">
        <v>293</v>
      </c>
      <c r="C3" s="162" t="s">
        <v>338</v>
      </c>
      <c r="D3" s="105" t="s">
        <v>128</v>
      </c>
      <c r="E3" s="104" t="str">
        <f>B3&amp;C3&amp;D3</f>
        <v>fork_awake_units_FourGods.tmp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340</v>
      </c>
      <c r="B4" s="105" t="s">
        <v>130</v>
      </c>
      <c r="C4" s="162" t="s">
        <v>338</v>
      </c>
      <c r="D4" s="105" t="s">
        <v>128</v>
      </c>
      <c r="E4" s="104" t="str">
        <f>B4&amp;C4&amp;D4</f>
        <v>awake_materials_FourGods.tmp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340</v>
      </c>
      <c r="B5" s="105" t="s">
        <v>292</v>
      </c>
      <c r="C5" s="162" t="s">
        <v>338</v>
      </c>
      <c r="D5" s="105" t="s">
        <v>128</v>
      </c>
      <c r="E5" s="104" t="str">
        <f>B5&amp;C5&amp;D5</f>
        <v>fork_awake_materials_FourGods.tmp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340</v>
      </c>
      <c r="B6" s="105" t="s">
        <v>131</v>
      </c>
      <c r="C6" s="162" t="s">
        <v>338</v>
      </c>
      <c r="D6" s="105" t="s">
        <v>132</v>
      </c>
      <c r="E6" s="104" t="str">
        <f t="shared" ref="E6" si="0">B6&amp;C6&amp;D6</f>
        <v>unit_levels_calc_FourGods.tmp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340</v>
      </c>
      <c r="B7" s="105" t="s">
        <v>143</v>
      </c>
      <c r="C7" s="162" t="s">
        <v>338</v>
      </c>
      <c r="D7" s="105" t="s">
        <v>144</v>
      </c>
      <c r="E7" s="104" t="str">
        <f>B7&amp;C7&amp;D7</f>
        <v>unit_skills_data_FourGods.tmp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340</v>
      </c>
      <c r="B8" s="105" t="s">
        <v>149</v>
      </c>
      <c r="C8" s="162" t="s">
        <v>338</v>
      </c>
      <c r="D8" s="105" t="s">
        <v>128</v>
      </c>
      <c r="E8" s="104" t="str">
        <f>B8&amp;C8&amp;D8</f>
        <v>unit_skills_i18n_FourGods.tmp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340</v>
      </c>
      <c r="B9" s="105" t="s">
        <v>153</v>
      </c>
      <c r="C9" s="162" t="s">
        <v>338</v>
      </c>
      <c r="D9" s="105" t="s">
        <v>154</v>
      </c>
      <c r="E9" s="104" t="str">
        <f>B9&amp;C9&amp;D9</f>
        <v>crash_skills_data_FourGods.tmp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340</v>
      </c>
      <c r="B10" s="105" t="s">
        <v>157</v>
      </c>
      <c r="C10" s="162" t="s">
        <v>338</v>
      </c>
      <c r="D10" s="105" t="s">
        <v>158</v>
      </c>
      <c r="E10" s="104" t="str">
        <f t="shared" ref="E10" si="1">B10&amp;C10&amp;D10</f>
        <v>crash_skills_i18n_FourGods.tmp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340</v>
      </c>
      <c r="B11" s="108" t="s">
        <v>135</v>
      </c>
      <c r="C11" s="162" t="s">
        <v>338</v>
      </c>
      <c r="D11" s="105" t="s">
        <v>158</v>
      </c>
      <c r="E11" s="104" t="str">
        <f t="shared" ref="E11:E12" si="2">B11&amp;C11&amp;D11</f>
        <v>unit_serifs_data_FourGods.tmp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340</v>
      </c>
      <c r="B12" s="108" t="s">
        <v>136</v>
      </c>
      <c r="C12" s="162" t="s">
        <v>338</v>
      </c>
      <c r="D12" s="105" t="s">
        <v>158</v>
      </c>
      <c r="E12" s="104" t="str">
        <f t="shared" si="2"/>
        <v>unit_serifs_i18n_FourGods.tmp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315</v>
      </c>
      <c r="C13" s="162" t="s">
        <v>338</v>
      </c>
      <c r="D13" s="105" t="s">
        <v>253</v>
      </c>
      <c r="E13" s="104" t="str">
        <f>B13&amp;C13&amp;D13</f>
        <v>abilities_tmp_FourGods.tmp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258</v>
      </c>
      <c r="C14" s="162" t="s">
        <v>338</v>
      </c>
      <c r="D14" s="105" t="s">
        <v>128</v>
      </c>
      <c r="E14" s="104" t="str">
        <f>B14&amp;C14&amp;D14</f>
        <v>abilities_i18n_FourGods.tmp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340</v>
      </c>
      <c r="B15" s="105" t="s">
        <v>261</v>
      </c>
      <c r="C15" s="162" t="s">
        <v>338</v>
      </c>
      <c r="D15" s="105" t="s">
        <v>128</v>
      </c>
      <c r="E15" s="104" t="str">
        <f>B15&amp;C15&amp;D15</f>
        <v>unit_abilities_FourGods.tmp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AR2" activePane="bottomRight" state="frozen"/>
      <selection pane="topRight" activeCell="J1" sqref="J1"/>
      <selection pane="bottomLeft" activeCell="A3" sqref="A3"/>
      <selection pane="bottomRight" activeCell="BB6" sqref="BB6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317</v>
      </c>
    </row>
    <row r="2" spans="1:70" ht="26" customHeight="1" x14ac:dyDescent="0.15">
      <c r="A2" s="186">
        <v>1403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炎帝の守護獣神 朱雀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35</v>
      </c>
      <c r="O2" s="10">
        <f ca="1">INDEX(レベル!$A$1:$I$22,MATCH(H2,レベル!$A$1:$A$22,FALSE),MATCH(G2,レベル!$A$1:$I$1,FALSE))</f>
        <v>99</v>
      </c>
      <c r="P2" s="44">
        <f t="shared" ref="P2:P3" ca="1" si="0">IF(G2 &gt;= 6, 99,G2*15)</f>
        <v>99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heal</v>
      </c>
      <c r="R2" s="5" t="str">
        <f ca="1">VLOOKUP(Q2,[1]character_type_i18n!$A:$H,3,FALSE)</f>
        <v>回復タイプ</v>
      </c>
      <c r="S2" s="10">
        <f ca="1">VLOOKUP(Q2,[1]character_type_i18n!$A:$H,4,FALSE)</f>
        <v>0.8</v>
      </c>
      <c r="T2" s="10">
        <f ca="1">VLOOKUP(Q2,[1]character_type_i18n!$A:$H,5,FALSE)</f>
        <v>0.78</v>
      </c>
      <c r="U2" s="10">
        <f ca="1">VLOOKUP(Q2,[1]character_type_i18n!$A:$H,6,FALSE)</f>
        <v>1</v>
      </c>
      <c r="V2" s="10">
        <f ca="1">VLOOKUP(Q2,[1]character_type_i18n!$A:$H,7,FALSE)</f>
        <v>1.42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god</v>
      </c>
      <c r="Z2" s="5" t="str">
        <f ca="1">VLOOKUP(Y2,[1]character_tribe_i18n!$A:$H,3,FALSE)</f>
        <v>ゴッド</v>
      </c>
      <c r="AA2" s="10">
        <f ca="1">VLOOKUP(W2,[1]character_tribe_i18n!$A:$H,4,FALSE)</f>
        <v>1</v>
      </c>
      <c r="AB2" s="10">
        <f ca="1">VLOOKUP(W2,[1]character_tribe_i18n!$A:$H,5,FALSE)</f>
        <v>1.1000000000000001</v>
      </c>
      <c r="AC2" s="10">
        <f ca="1">VLOOKUP(W2,[1]character_tribe_i18n!$A:$H,6,FALSE)</f>
        <v>1</v>
      </c>
      <c r="AD2" s="10">
        <f ca="1">VLOOKUP(W2,[1]character_tribe_i18n!$A:$H,7,FALSE)</f>
        <v>0.9</v>
      </c>
      <c r="AE2" s="187" t="s">
        <v>183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7">
        <v>85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朱雀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1403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朱雀最終奥義「祝融」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ランダムでパネルを最大1個SCP(大)、青パネルをハートパネル、緑パネルを黄パネルに変換+2ターン敵の防御力を0にする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1403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烽火連天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自身の回復力に比例して1体に特大ダメージ+HP回復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1.3620000000000001</v>
      </c>
      <c r="AZ2" s="64">
        <v>1.0860000000000001</v>
      </c>
      <c r="BA2" s="64">
        <v>0</v>
      </c>
      <c r="BB2" s="64">
        <v>1.1910000000000001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2724</v>
      </c>
      <c r="BH2" s="15">
        <f ca="1">IF($BE2&lt;=0,ROUND(BL2*0.5,0), ROUND($BE2*T2*AB2*K2*AZ2*0.8*[1]ステータス!$C$2,0))</f>
        <v>1426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1865</v>
      </c>
      <c r="BK2" s="10">
        <f ca="1">ROUND(BD2*S2*AA2*J2*AY2*[1]ステータス!$B$2,0)</f>
        <v>5448</v>
      </c>
      <c r="BL2" s="10">
        <f ca="1">ROUND(BD2*T2*AB2*K2*AZ2*[1]ステータス!$C$2,0)</f>
        <v>2851</v>
      </c>
      <c r="BM2" s="10">
        <f ca="1">ROUND(BD2*U2*AC2*L2*BA2*[1]ステータス!$D$2,0)</f>
        <v>0</v>
      </c>
      <c r="BN2" s="10">
        <f ca="1">ROUND(BD2*V2*AD2*M2*BB2*[1]ステータス!$E$2,0)</f>
        <v>3729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1</v>
      </c>
    </row>
    <row r="3" spans="1:70" ht="26" customHeight="1" x14ac:dyDescent="0.15">
      <c r="A3" s="186">
        <v>1404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玄帝の守護獣神 玄武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35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0">
        <f ca="1">VLOOKUP(Q3,[1]character_type_i18n!$A:$H,4,FALSE)</f>
        <v>1.45</v>
      </c>
      <c r="T3" s="10">
        <f ca="1">VLOOKUP(Q3,[1]character_type_i18n!$A:$H,5,FALSE)</f>
        <v>0.85</v>
      </c>
      <c r="U3" s="10">
        <f ca="1">VLOOKUP(Q3,[1]character_type_i18n!$A:$H,6,FALSE)</f>
        <v>1</v>
      </c>
      <c r="V3" s="10">
        <f ca="1">VLOOKUP(Q3,[1]character_type_i18n!$A:$H,7,FALSE)</f>
        <v>0.7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dragon</v>
      </c>
      <c r="X3" s="5" t="str">
        <f ca="1">VLOOKUP(W3,[1]character_tribe_i18n!$A:$H,3,FALSE)</f>
        <v>ドラゴン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god</v>
      </c>
      <c r="Z3" s="5" t="str">
        <f ca="1">VLOOKUP(Y3,[1]character_tribe_i18n!$A:$H,3,FALSE)</f>
        <v>ゴッド</v>
      </c>
      <c r="AA3" s="10">
        <f ca="1">VLOOKUP(W3,[1]character_tribe_i18n!$A:$H,4,FALSE)</f>
        <v>1.1499999999999999</v>
      </c>
      <c r="AB3" s="10">
        <f ca="1">VLOOKUP(W3,[1]character_tribe_i18n!$A:$H,5,FALSE)</f>
        <v>1.1000000000000001</v>
      </c>
      <c r="AC3" s="10">
        <f ca="1">VLOOKUP(W3,[1]character_tribe_i18n!$A:$H,6,FALSE)</f>
        <v>1</v>
      </c>
      <c r="AD3" s="10">
        <f ca="1">VLOOKUP(W3,[1]character_tribe_i18n!$A:$H,7,FALSE)</f>
        <v>0.75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88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玄武</v>
      </c>
      <c r="AI3" s="10" t="str">
        <f>IF(AE3="NULL","NULL",VLOOKUP(G3,ビット!$A$2:$B$7,2))</f>
        <v>NULL</v>
      </c>
      <c r="AJ3" s="6">
        <v>2</v>
      </c>
      <c r="AK3" s="7" t="str">
        <f t="shared" ref="AK3:AK4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1404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玄武最終奥義「玄冥」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ランダムでSCP(大)最大1個に、ハート・赤パネルを黄パネルに変換+自身への直接ダメージを5000まで防ぐバリアを展開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1404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天覆地裁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自身のHPの最大値に比例して1体に特大ダメージ+HP回復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0.89600000000000002</v>
      </c>
      <c r="AZ3" s="64">
        <v>1.1279999999999999</v>
      </c>
      <c r="BA3" s="64">
        <v>0</v>
      </c>
      <c r="BB3" s="64">
        <v>2.17</v>
      </c>
      <c r="BC3" s="10">
        <f ca="1">INDEX('RC6SV'!$A$1:$G$21,MATCH(H3,'RC6SV'!$A$1:$A$21,FALSE),MATCH(G3,'RC6SV'!$A$1:$G$1,FALSE))</f>
        <v>10000</v>
      </c>
      <c r="BD3" s="44">
        <f t="shared" ref="BD3:BD4" ca="1" si="4">ROUND(BC3*IF(AJ3=1,0.95,IF(AJ3=2,1,IF(AJ3,1.05,0))),0)</f>
        <v>10000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3810</v>
      </c>
      <c r="BH3" s="15">
        <f ca="1">IF($BE3&lt;=0,ROUND(BL3*0.5,0), ROUND($BE3*T3*AB3*K3*AZ3*0.8*[1]ステータス!$C$2,0))</f>
        <v>1551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1424</v>
      </c>
      <c r="BK3" s="10">
        <f ca="1">ROUND(BD3*S3*AA3*J3*AY3*[1]ステータス!$B$2,0)</f>
        <v>7620</v>
      </c>
      <c r="BL3" s="10">
        <f ca="1">ROUND(BD3*T3*AB3*K3*AZ3*[1]ステータス!$C$2,0)</f>
        <v>3101</v>
      </c>
      <c r="BM3" s="10">
        <f ca="1">ROUND(BD3*U3*AC3*L3*BA3*[1]ステータス!$D$2,0)</f>
        <v>0</v>
      </c>
      <c r="BN3" s="10">
        <f ca="1">ROUND(BD3*V3*AD3*M3*BB3*[1]ステータス!$E$2,0)</f>
        <v>2848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1</v>
      </c>
    </row>
    <row r="4" spans="1:70" ht="26" customHeight="1" x14ac:dyDescent="0.15">
      <c r="A4" s="186">
        <v>1405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蒼帝の守護獣神 青龍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0">
        <f ca="1">VLOOKUP(I4,[1]属性!$A:$E,2,FALSE)</f>
        <v>1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1.02</v>
      </c>
      <c r="N4" s="10">
        <f ca="1">INDEX(コスト!$A$1:$I$21,MATCH(H4,コスト!$A$1:$A$21,FALSE),MATCH(G4,コスト!$A$1:$I$1,FALSE))</f>
        <v>35</v>
      </c>
      <c r="O4" s="10">
        <f ca="1">INDEX(レベル!$A$1:$I$22,MATCH(H4,レベル!$A$1:$A$22,FALSE),MATCH(G4,レベル!$A$1:$I$1,FALSE))</f>
        <v>99</v>
      </c>
      <c r="P4" s="44">
        <f t="shared" ref="P4:P5" ca="1" si="5">IF(G4 &gt;= 6, 99,G4*15)</f>
        <v>99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0">
        <f ca="1">VLOOKUP(Q4,[1]character_type_i18n!$A:$H,4,FALSE)</f>
        <v>1</v>
      </c>
      <c r="T4" s="10">
        <f ca="1">VLOOKUP(Q4,[1]character_type_i18n!$A:$H,5,FALSE)</f>
        <v>1</v>
      </c>
      <c r="U4" s="10">
        <f ca="1">VLOOKUP(Q4,[1]character_type_i18n!$A:$H,6,FALSE)</f>
        <v>1</v>
      </c>
      <c r="V4" s="10">
        <f ca="1">VLOOKUP(Q4,[1]character_type_i18n!$A:$H,7,FALSE)</f>
        <v>1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dragon</v>
      </c>
      <c r="X4" s="5" t="str">
        <f ca="1">VLOOKUP(W4,[1]character_tribe_i18n!$A:$H,3,FALSE)</f>
        <v>ドラゴン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god</v>
      </c>
      <c r="Z4" s="5" t="str">
        <f ca="1">VLOOKUP(Y4,[1]character_tribe_i18n!$A:$H,3,FALSE)</f>
        <v>ゴッド</v>
      </c>
      <c r="AA4" s="10">
        <f ca="1">VLOOKUP(W4,[1]character_tribe_i18n!$A:$H,4,FALSE)</f>
        <v>1.1499999999999999</v>
      </c>
      <c r="AB4" s="10">
        <f ca="1">VLOOKUP(W4,[1]character_tribe_i18n!$A:$H,5,FALSE)</f>
        <v>1.1000000000000001</v>
      </c>
      <c r="AC4" s="10">
        <f ca="1">VLOOKUP(W4,[1]character_tribe_i18n!$A:$H,6,FALSE)</f>
        <v>1</v>
      </c>
      <c r="AD4" s="10">
        <f ca="1">VLOOKUP(W4,[1]character_tribe_i18n!$A:$H,7,FALSE)</f>
        <v>0.75</v>
      </c>
      <c r="AE4" s="187" t="s">
        <v>183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7">
        <v>91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青龍</v>
      </c>
      <c r="AI4" s="10" t="str">
        <f>IF(AE4="NULL","NULL",VLOOKUP(G4,ビット!$A$2:$B$7,2))</f>
        <v>NULL</v>
      </c>
      <c r="AJ4" s="6">
        <v>2</v>
      </c>
      <c r="AK4" s="7" t="str">
        <f t="shared" si="3"/>
        <v>普通</v>
      </c>
      <c r="AL4" s="10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1405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青龍最終奥義「句芒」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ランダムでSCP(大)最大1個,ハートパネルを黄パネル,赤パネルを緑パネル変換+ウィルス解除+1ターン全ユニット攻撃力大UP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1405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竜驤麟振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1体に特大ダメージ+_x000D_HP回復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1.0469999999999999</v>
      </c>
      <c r="AZ4" s="64">
        <v>1.0609999999999999</v>
      </c>
      <c r="BA4" s="64">
        <v>0</v>
      </c>
      <c r="BB4" s="64">
        <v>1.7509999999999999</v>
      </c>
      <c r="BC4" s="10">
        <f ca="1">INDEX('RC6SV'!$A$1:$G$21,MATCH(H4,'RC6SV'!$A$1:$A$21,FALSE),MATCH(G4,'RC6SV'!$A$1:$G$1,FALSE))</f>
        <v>10000</v>
      </c>
      <c r="BD4" s="44">
        <f t="shared" ca="1" si="4"/>
        <v>10000</v>
      </c>
      <c r="BE4" s="10">
        <f ca="1">ROUND(IFERROR(INDIRECT(ADDRESS(MATCH($A4,$AE:$AE,0),MATCH($BC$1,$1:$1,0))),0),0)</f>
        <v>0</v>
      </c>
      <c r="BF4" s="10">
        <f ca="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3010</v>
      </c>
      <c r="BH4" s="15">
        <f ca="1">IF($BE4&lt;=0,ROUND(BL4*0.5,0), ROUND($BE4*T4*AB4*K4*AZ4*0.8*[1]ステータス!$C$2,0))</f>
        <v>1716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1675</v>
      </c>
      <c r="BK4" s="10">
        <f ca="1">ROUND(BD4*S4*AA4*J4*AY4*[1]ステータス!$B$2,0)</f>
        <v>6020</v>
      </c>
      <c r="BL4" s="10">
        <f ca="1">ROUND(BD4*T4*AB4*K4*AZ4*[1]ステータス!$C$2,0)</f>
        <v>3431</v>
      </c>
      <c r="BM4" s="10">
        <f ca="1">ROUND(BD4*U4*AC4*L4*BA4*[1]ステータス!$D$2,0)</f>
        <v>0</v>
      </c>
      <c r="BN4" s="10">
        <f ca="1">ROUND(BD4*V4*AD4*M4*BB4*[1]ステータス!$E$2,0)</f>
        <v>3349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1</v>
      </c>
    </row>
    <row r="5" spans="1:70" ht="26" customHeight="1" x14ac:dyDescent="0.15">
      <c r="A5" s="186">
        <v>1406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白帝の守護獣神 白虎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0">
        <f ca="1">VLOOKUP(I5,[1]属性!$A:$E,2,FALSE)</f>
        <v>0.98</v>
      </c>
      <c r="K5" s="10">
        <f ca="1">VLOOKUP(I5,[1]属性!$A:$E,3,FALSE)</f>
        <v>1.01</v>
      </c>
      <c r="L5" s="10">
        <f ca="1">VLOOKUP(I5,[1]属性!$A:$E,4,FALSE)</f>
        <v>1</v>
      </c>
      <c r="M5" s="10">
        <f ca="1">VLOOKUP(I5,[1]属性!$A:$E,5,FALSE)</f>
        <v>1.01</v>
      </c>
      <c r="N5" s="10">
        <f ca="1">INDEX(コスト!$A$1:$I$21,MATCH(H5,コスト!$A$1:$A$21,FALSE),MATCH(G5,コスト!$A$1:$I$1,FALSE))</f>
        <v>35</v>
      </c>
      <c r="O5" s="10">
        <f ca="1">INDEX(レベル!$A$1:$I$22,MATCH(H5,レベル!$A$1:$A$22,FALSE),MATCH(G5,レベル!$A$1:$I$1,FALSE))</f>
        <v>99</v>
      </c>
      <c r="P5" s="44">
        <f t="shared" ca="1" si="5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0">
        <f ca="1">VLOOKUP(Q5,[1]character_type_i18n!$A:$H,4,FALSE)</f>
        <v>1</v>
      </c>
      <c r="T5" s="10">
        <f ca="1">VLOOKUP(Q5,[1]character_type_i18n!$A:$H,5,FALSE)</f>
        <v>1.33</v>
      </c>
      <c r="U5" s="10">
        <f ca="1">VLOOKUP(Q5,[1]character_type_i18n!$A:$H,6,FALSE)</f>
        <v>1</v>
      </c>
      <c r="V5" s="10">
        <f ca="1">VLOOKUP(Q5,[1]character_type_i18n!$A:$H,7,FALSE)</f>
        <v>0.67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animal</v>
      </c>
      <c r="X5" s="5" t="str">
        <f ca="1">VLOOKUP(W5,[1]character_tribe_i18n!$A:$H,3,FALSE)</f>
        <v>アニマル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god</v>
      </c>
      <c r="Z5" s="5" t="str">
        <f ca="1">VLOOKUP(Y5,[1]character_tribe_i18n!$A:$H,3,FALSE)</f>
        <v>ゴッド</v>
      </c>
      <c r="AA5" s="10">
        <f ca="1">VLOOKUP(W5,[1]character_tribe_i18n!$A:$H,4,FALSE)</f>
        <v>1</v>
      </c>
      <c r="AB5" s="10">
        <f ca="1">VLOOKUP(W5,[1]character_tribe_i18n!$A:$H,5,FALSE)</f>
        <v>1.1000000000000001</v>
      </c>
      <c r="AC5" s="10">
        <f ca="1">VLOOKUP(W5,[1]character_tribe_i18n!$A:$H,6,FALSE)</f>
        <v>1</v>
      </c>
      <c r="AD5" s="10">
        <f ca="1">VLOOKUP(W5,[1]character_tribe_i18n!$A:$H,7,FALSE)</f>
        <v>0.9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94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白虎</v>
      </c>
      <c r="AI5" s="10" t="str">
        <f>IF(AE5="NULL","NULL",VLOOKUP(G5,ビット!$A$2:$B$7,2))</f>
        <v>NULL</v>
      </c>
      <c r="AJ5" s="6">
        <v>2</v>
      </c>
      <c r="AK5" s="7" t="str">
        <f t="shared" ref="AK5" si="6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1406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白虎最終奥義「蓐収」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ランダムでパネルを最大1個SCパネル(大)に、緑パネルを青パネルに変換+1ターン全ユニットの防御力を特大UP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1406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雷豪電転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1体に特大ダメージ+_x000D_HP回復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1.2</v>
      </c>
      <c r="AZ5" s="64">
        <v>0.84599999999999997</v>
      </c>
      <c r="BA5" s="64">
        <v>0</v>
      </c>
      <c r="BB5" s="64">
        <v>1.958</v>
      </c>
      <c r="BC5" s="10">
        <f ca="1">INDEX('RC6SV'!$A$1:$G$21,MATCH(H5,'RC6SV'!$A$1:$A$21,FALSE),MATCH(G5,'RC6SV'!$A$1:$G$1,FALSE))</f>
        <v>10000</v>
      </c>
      <c r="BD5" s="44">
        <f t="shared" ref="BD5" ca="1" si="7">ROUND(BC5*IF(AJ5=1,0.95,IF(AJ5=2,1,IF(AJ5,1.05,0))),0)</f>
        <v>10000</v>
      </c>
      <c r="BE5" s="10">
        <f ca="1">ROUND(IFERROR(INDIRECT(ADDRESS(MATCH($A5,$AE:$AE,0),MATCH($BC$1,$1:$1,0))),0),0)</f>
        <v>0</v>
      </c>
      <c r="BF5" s="10">
        <f ca="1">ROUND(IFERROR(INDIRECT(ADDRESS(MATCH($A5,$AE:$AE,0),10)),INDIRECT(ADDRESS(MATCH($A5,$A:$A,0),10))),0)</f>
        <v>1</v>
      </c>
      <c r="BG5" s="15">
        <f ca="1">IF($BE5&lt;=0,ROUND(BK5*0.5,0), ROUND($BE5*S5*AA5*J5*AY5*0.8*[1]ステータス!$B$2,0))</f>
        <v>2940</v>
      </c>
      <c r="BH5" s="15">
        <f ca="1">IF($BE5&lt;=0,ROUND(BL5*0.5,0), ROUND($BE5*T5*AB5*K5*AZ5*0.8*[1]ステータス!$C$2,0))</f>
        <v>1875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1491</v>
      </c>
      <c r="BK5" s="10">
        <f ca="1">ROUND(BD5*S5*AA5*J5*AY5*[1]ステータス!$B$2,0)</f>
        <v>5880</v>
      </c>
      <c r="BL5" s="10">
        <f ca="1">ROUND(BD5*T5*AB5*K5*AZ5*[1]ステータス!$C$2,0)</f>
        <v>3750</v>
      </c>
      <c r="BM5" s="10">
        <f ca="1">ROUND(BD5*U5*AC5*L5*BA5*[1]ステータス!$D$2,0)</f>
        <v>0</v>
      </c>
      <c r="BN5" s="10">
        <f ca="1">ROUND(BD5*V5*AD5*M5*BB5*[1]ステータス!$E$2,0)</f>
        <v>2981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1</v>
      </c>
    </row>
  </sheetData>
  <autoFilter ref="A1:BQ1"/>
  <phoneticPr fontId="10"/>
  <conditionalFormatting sqref="BO1">
    <cfRule type="cellIs" dxfId="38" priority="120" stopIfTrue="1" operator="equal">
      <formula>1</formula>
    </cfRule>
  </conditionalFormatting>
  <conditionalFormatting sqref="BQ1">
    <cfRule type="cellIs" dxfId="37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zoomScale="115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B7" sqref="B7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1403</v>
      </c>
      <c r="B2" s="129" t="s">
        <v>186</v>
      </c>
      <c r="C2" s="188" t="s">
        <v>352</v>
      </c>
      <c r="D2" s="188" t="s">
        <v>386</v>
      </c>
      <c r="E2" s="131">
        <f t="shared" ref="E2" si="0">LEN(D2)</f>
        <v>59</v>
      </c>
      <c r="F2" s="63">
        <v>12</v>
      </c>
      <c r="G2" s="113">
        <v>5</v>
      </c>
      <c r="H2" s="132">
        <f>2001</f>
        <v>2001</v>
      </c>
      <c r="I2" s="189" t="s">
        <v>343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炎帝の守護獣神 朱雀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1404</v>
      </c>
      <c r="B3" s="129" t="s">
        <v>186</v>
      </c>
      <c r="C3" s="188" t="s">
        <v>353</v>
      </c>
      <c r="D3" s="188" t="s">
        <v>383</v>
      </c>
      <c r="E3" s="131">
        <f t="shared" ref="E3:E4" si="1">LEN(D3)</f>
        <v>59</v>
      </c>
      <c r="F3" s="63">
        <v>12</v>
      </c>
      <c r="G3" s="113">
        <v>5</v>
      </c>
      <c r="H3" s="132">
        <f>2001</f>
        <v>2001</v>
      </c>
      <c r="I3" s="189" t="s">
        <v>382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玄帝の守護獣神 玄武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1405</v>
      </c>
      <c r="B4" s="129" t="s">
        <v>186</v>
      </c>
      <c r="C4" s="188" t="s">
        <v>355</v>
      </c>
      <c r="D4" s="188" t="s">
        <v>351</v>
      </c>
      <c r="E4" s="131">
        <f t="shared" si="1"/>
        <v>62</v>
      </c>
      <c r="F4" s="63">
        <v>12</v>
      </c>
      <c r="G4" s="113">
        <v>5</v>
      </c>
      <c r="H4" s="132">
        <f>2001</f>
        <v>2001</v>
      </c>
      <c r="I4" s="189" t="s">
        <v>344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蒼帝の守護獣神 青龍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1406</v>
      </c>
      <c r="B5" s="129" t="s">
        <v>186</v>
      </c>
      <c r="C5" s="188" t="s">
        <v>354</v>
      </c>
      <c r="D5" s="188" t="s">
        <v>350</v>
      </c>
      <c r="E5" s="131">
        <f t="shared" ref="E5" si="2">LEN(D5)</f>
        <v>54</v>
      </c>
      <c r="F5" s="63">
        <v>11</v>
      </c>
      <c r="G5" s="113">
        <v>5</v>
      </c>
      <c r="H5" s="132">
        <f>2001</f>
        <v>2001</v>
      </c>
      <c r="I5" s="189" t="s">
        <v>345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白帝の守護獣神 白虎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36" priority="26" operator="greaterThan">
      <formula>41</formula>
    </cfRule>
  </conditionalFormatting>
  <conditionalFormatting sqref="E2">
    <cfRule type="cellIs" dxfId="35" priority="20" operator="greaterThan">
      <formula>57</formula>
    </cfRule>
  </conditionalFormatting>
  <conditionalFormatting sqref="E3">
    <cfRule type="cellIs" dxfId="34" priority="19" operator="greaterThan">
      <formula>57</formula>
    </cfRule>
  </conditionalFormatting>
  <conditionalFormatting sqref="E4">
    <cfRule type="cellIs" dxfId="33" priority="2" operator="greaterThan">
      <formula>57</formula>
    </cfRule>
  </conditionalFormatting>
  <conditionalFormatting sqref="E5">
    <cfRule type="cellIs" dxfId="32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5" sqref="C15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1403</v>
      </c>
      <c r="B2" s="129" t="s">
        <v>187</v>
      </c>
      <c r="C2" s="188" t="s">
        <v>357</v>
      </c>
      <c r="D2" s="200" t="s">
        <v>388</v>
      </c>
      <c r="E2" s="131">
        <f t="shared" ref="E2" si="0">LEN(D2)</f>
        <v>25</v>
      </c>
      <c r="F2" s="190" t="s">
        <v>346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炎帝の守護獣神 朱雀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1404</v>
      </c>
      <c r="B3" s="129" t="s">
        <v>187</v>
      </c>
      <c r="C3" s="188" t="s">
        <v>385</v>
      </c>
      <c r="D3" s="200" t="s">
        <v>387</v>
      </c>
      <c r="E3" s="131">
        <f t="shared" ref="E3:E4" si="1">LEN(D3)</f>
        <v>28</v>
      </c>
      <c r="F3" s="190" t="s">
        <v>347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玄帝の守護獣神 玄武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1405</v>
      </c>
      <c r="B4" s="129" t="s">
        <v>187</v>
      </c>
      <c r="C4" s="188" t="s">
        <v>384</v>
      </c>
      <c r="D4" s="188" t="s">
        <v>342</v>
      </c>
      <c r="E4" s="131">
        <f t="shared" si="1"/>
        <v>15</v>
      </c>
      <c r="F4" s="190" t="s">
        <v>348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蒼帝の守護獣神 青龍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1406</v>
      </c>
      <c r="B5" s="129" t="s">
        <v>187</v>
      </c>
      <c r="C5" s="188" t="s">
        <v>356</v>
      </c>
      <c r="D5" s="188" t="s">
        <v>342</v>
      </c>
      <c r="E5" s="131">
        <f t="shared" ref="E5" si="2">LEN(D5)</f>
        <v>15</v>
      </c>
      <c r="F5" s="190" t="s">
        <v>349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白帝の守護獣神 白虎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J1"/>
  <phoneticPr fontId="22"/>
  <conditionalFormatting sqref="E2">
    <cfRule type="cellIs" dxfId="31" priority="20" operator="greaterThan">
      <formula>57</formula>
    </cfRule>
  </conditionalFormatting>
  <conditionalFormatting sqref="E3">
    <cfRule type="cellIs" dxfId="30" priority="19" operator="greaterThan">
      <formula>57</formula>
    </cfRule>
  </conditionalFormatting>
  <conditionalFormatting sqref="E4">
    <cfRule type="cellIs" dxfId="29" priority="2" operator="greaterThan">
      <formula>57</formula>
    </cfRule>
  </conditionalFormatting>
  <conditionalFormatting sqref="E5">
    <cfRule type="cellIs" dxfId="28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1"/>
  <sheetViews>
    <sheetView zoomScale="110" workbookViewId="0">
      <selection activeCell="G25" sqref="G25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1403</v>
      </c>
      <c r="B2" s="138" t="str">
        <f>VLOOKUP(A2,[1]characters!$A:$C,3,FALSE)</f>
        <v>炎帝の守護獣神 朱雀</v>
      </c>
      <c r="C2" s="105" t="s">
        <v>196</v>
      </c>
      <c r="D2" s="138" t="str">
        <f t="shared" ref="D2" si="0">A2&amp;C2</f>
        <v>1403skill</v>
      </c>
      <c r="E2" s="138" t="str">
        <f>A2&amp;+(COUNTIF(A2:A$96,A2)-1)</f>
        <v>14034</v>
      </c>
      <c r="F2" s="105" t="s">
        <v>187</v>
      </c>
      <c r="G2" s="162" t="s">
        <v>197</v>
      </c>
      <c r="H2" s="162" t="s">
        <v>361</v>
      </c>
    </row>
    <row r="3" spans="1:8" x14ac:dyDescent="0.15">
      <c r="A3" s="105">
        <v>1403</v>
      </c>
      <c r="B3" s="138" t="str">
        <f>VLOOKUP(A3,[1]characters!$A:$C,3,FALSE)</f>
        <v>炎帝の守護獣神 朱雀</v>
      </c>
      <c r="C3" s="105" t="s">
        <v>198</v>
      </c>
      <c r="D3" s="138" t="str">
        <f>A3&amp;C3</f>
        <v>1403cskill</v>
      </c>
      <c r="E3" s="138" t="str">
        <f>A3&amp;+(COUNTIF(A3:A$96,A3)-1)</f>
        <v>14033</v>
      </c>
      <c r="F3" s="105" t="s">
        <v>187</v>
      </c>
      <c r="G3" s="162" t="s">
        <v>368</v>
      </c>
      <c r="H3" s="162" t="s">
        <v>369</v>
      </c>
    </row>
    <row r="4" spans="1:8" x14ac:dyDescent="0.15">
      <c r="A4" s="105">
        <v>1403</v>
      </c>
      <c r="B4" s="138" t="str">
        <f>VLOOKUP(A4,[1]characters!$A:$C,3,FALSE)</f>
        <v>炎帝の守護獣神 朱雀</v>
      </c>
      <c r="C4" s="105" t="s">
        <v>198</v>
      </c>
      <c r="D4" s="138" t="str">
        <f>A4&amp;C4</f>
        <v>1403cskill</v>
      </c>
      <c r="E4" s="138" t="str">
        <f>A4&amp;+(COUNTIF(A4:A$96,A4)-1)</f>
        <v>14032</v>
      </c>
      <c r="F4" s="105" t="s">
        <v>187</v>
      </c>
      <c r="G4" s="162" t="s">
        <v>367</v>
      </c>
      <c r="H4" s="162" t="s">
        <v>370</v>
      </c>
    </row>
    <row r="5" spans="1:8" x14ac:dyDescent="0.15">
      <c r="A5" s="105">
        <v>1403</v>
      </c>
      <c r="B5" s="138" t="str">
        <f>VLOOKUP(A5,[1]characters!$A:$C,3,FALSE)</f>
        <v>炎帝の守護獣神 朱雀</v>
      </c>
      <c r="C5" s="105" t="s">
        <v>198</v>
      </c>
      <c r="D5" s="138" t="str">
        <f>A5&amp;C5</f>
        <v>1403cskill</v>
      </c>
      <c r="E5" s="138" t="str">
        <f>A5&amp;+(COUNTIF(A5:A$96,A5)-1)</f>
        <v>14031</v>
      </c>
      <c r="F5" s="105" t="s">
        <v>187</v>
      </c>
      <c r="G5" s="162" t="s">
        <v>367</v>
      </c>
      <c r="H5" s="162" t="s">
        <v>371</v>
      </c>
    </row>
    <row r="6" spans="1:8" x14ac:dyDescent="0.15">
      <c r="A6" s="105">
        <v>1403</v>
      </c>
      <c r="B6" s="138" t="str">
        <f>VLOOKUP(A6,[1]characters!$A:$C,3,FALSE)</f>
        <v>炎帝の守護獣神 朱雀</v>
      </c>
      <c r="C6" s="105" t="s">
        <v>198</v>
      </c>
      <c r="D6" s="138" t="str">
        <f>A6&amp;C6</f>
        <v>1403cskill</v>
      </c>
      <c r="E6" s="138" t="str">
        <f>A6&amp;+(COUNTIF(A6:A$96,A6)-1)</f>
        <v>14030</v>
      </c>
      <c r="F6" s="105" t="s">
        <v>187</v>
      </c>
      <c r="G6" s="162" t="s">
        <v>197</v>
      </c>
      <c r="H6" s="162" t="s">
        <v>365</v>
      </c>
    </row>
    <row r="7" spans="1:8" x14ac:dyDescent="0.15">
      <c r="A7" s="105">
        <v>1404</v>
      </c>
      <c r="B7" s="138" t="str">
        <f>VLOOKUP(A7,[1]characters!$A:$C,3,FALSE)</f>
        <v>玄帝の守護獣神 玄武</v>
      </c>
      <c r="C7" s="105" t="s">
        <v>196</v>
      </c>
      <c r="D7" s="138" t="str">
        <f t="shared" ref="D7" si="1">A7&amp;C7</f>
        <v>1404skill</v>
      </c>
      <c r="E7" s="138" t="str">
        <f>A7&amp;+(COUNTIF(A7:A$96,A7)-1)</f>
        <v>14044</v>
      </c>
      <c r="F7" s="105" t="s">
        <v>187</v>
      </c>
      <c r="G7" s="162" t="s">
        <v>197</v>
      </c>
      <c r="H7" s="162" t="s">
        <v>358</v>
      </c>
    </row>
    <row r="8" spans="1:8" x14ac:dyDescent="0.15">
      <c r="A8" s="105">
        <v>1404</v>
      </c>
      <c r="B8" s="138" t="str">
        <f>VLOOKUP(A8,[1]characters!$A:$C,3,FALSE)</f>
        <v>玄帝の守護獣神 玄武</v>
      </c>
      <c r="C8" s="105" t="s">
        <v>198</v>
      </c>
      <c r="D8" s="138" t="str">
        <f>A8&amp;C8</f>
        <v>1404cskill</v>
      </c>
      <c r="E8" s="138" t="str">
        <f>A8&amp;+(COUNTIF(A8:A$96,A8)-1)</f>
        <v>14043</v>
      </c>
      <c r="F8" s="105" t="s">
        <v>187</v>
      </c>
      <c r="G8" s="162" t="s">
        <v>367</v>
      </c>
      <c r="H8" s="162" t="s">
        <v>372</v>
      </c>
    </row>
    <row r="9" spans="1:8" x14ac:dyDescent="0.15">
      <c r="A9" s="105">
        <v>1404</v>
      </c>
      <c r="B9" s="138" t="str">
        <f>VLOOKUP(A9,[1]characters!$A:$C,3,FALSE)</f>
        <v>玄帝の守護獣神 玄武</v>
      </c>
      <c r="C9" s="105" t="s">
        <v>198</v>
      </c>
      <c r="D9" s="138" t="str">
        <f>A9&amp;C9</f>
        <v>1404cskill</v>
      </c>
      <c r="E9" s="138" t="str">
        <f>A9&amp;+(COUNTIF(A9:A$96,A9)-1)</f>
        <v>14042</v>
      </c>
      <c r="F9" s="105" t="s">
        <v>187</v>
      </c>
      <c r="G9" s="162" t="s">
        <v>368</v>
      </c>
      <c r="H9" s="162" t="s">
        <v>373</v>
      </c>
    </row>
    <row r="10" spans="1:8" x14ac:dyDescent="0.15">
      <c r="A10" s="105">
        <v>1404</v>
      </c>
      <c r="B10" s="138" t="str">
        <f>VLOOKUP(A10,[1]characters!$A:$C,3,FALSE)</f>
        <v>玄帝の守護獣神 玄武</v>
      </c>
      <c r="C10" s="105" t="s">
        <v>198</v>
      </c>
      <c r="D10" s="138" t="str">
        <f>A10&amp;C10</f>
        <v>1404cskill</v>
      </c>
      <c r="E10" s="138" t="str">
        <f>A10&amp;+(COUNTIF(A10:A$96,A10)-1)</f>
        <v>14041</v>
      </c>
      <c r="F10" s="105" t="s">
        <v>187</v>
      </c>
      <c r="G10" s="162" t="s">
        <v>368</v>
      </c>
      <c r="H10" s="162" t="s">
        <v>374</v>
      </c>
    </row>
    <row r="11" spans="1:8" x14ac:dyDescent="0.15">
      <c r="A11" s="105">
        <v>1404</v>
      </c>
      <c r="B11" s="138" t="str">
        <f>VLOOKUP(A11,[1]characters!$A:$C,3,FALSE)</f>
        <v>玄帝の守護獣神 玄武</v>
      </c>
      <c r="C11" s="105" t="s">
        <v>198</v>
      </c>
      <c r="D11" s="138" t="str">
        <f>A11&amp;C11</f>
        <v>1404cskill</v>
      </c>
      <c r="E11" s="138" t="str">
        <f>A11&amp;+(COUNTIF(A11:A$96,A11)-1)</f>
        <v>14040</v>
      </c>
      <c r="F11" s="105" t="s">
        <v>187</v>
      </c>
      <c r="G11" s="162" t="s">
        <v>359</v>
      </c>
      <c r="H11" s="162" t="s">
        <v>363</v>
      </c>
    </row>
    <row r="12" spans="1:8" x14ac:dyDescent="0.15">
      <c r="A12" s="105">
        <v>1405</v>
      </c>
      <c r="B12" s="138" t="str">
        <f>VLOOKUP(A12,[1]characters!$A:$C,3,FALSE)</f>
        <v>蒼帝の守護獣神 青龍</v>
      </c>
      <c r="C12" s="105" t="s">
        <v>196</v>
      </c>
      <c r="D12" s="138" t="str">
        <f t="shared" ref="D12" si="2">A12&amp;C12</f>
        <v>1405skill</v>
      </c>
      <c r="E12" s="138" t="str">
        <f>A12&amp;+(COUNTIF(A12:A$96,A12)-1)</f>
        <v>14054</v>
      </c>
      <c r="F12" s="105" t="s">
        <v>187</v>
      </c>
      <c r="G12" s="162" t="s">
        <v>197</v>
      </c>
      <c r="H12" s="162" t="s">
        <v>362</v>
      </c>
    </row>
    <row r="13" spans="1:8" x14ac:dyDescent="0.15">
      <c r="A13" s="105">
        <v>1405</v>
      </c>
      <c r="B13" s="138" t="str">
        <f>VLOOKUP(A13,[1]characters!$A:$C,3,FALSE)</f>
        <v>蒼帝の守護獣神 青龍</v>
      </c>
      <c r="C13" s="105" t="s">
        <v>198</v>
      </c>
      <c r="D13" s="138" t="str">
        <f>A13&amp;C13</f>
        <v>1405cskill</v>
      </c>
      <c r="E13" s="138" t="str">
        <f>A13&amp;+(COUNTIF(A13:A$96,A13)-1)</f>
        <v>14053</v>
      </c>
      <c r="F13" s="105" t="s">
        <v>187</v>
      </c>
      <c r="G13" s="162" t="s">
        <v>367</v>
      </c>
      <c r="H13" s="162" t="s">
        <v>376</v>
      </c>
    </row>
    <row r="14" spans="1:8" x14ac:dyDescent="0.15">
      <c r="A14" s="105">
        <v>1405</v>
      </c>
      <c r="B14" s="138" t="str">
        <f>VLOOKUP(A14,[1]characters!$A:$C,3,FALSE)</f>
        <v>蒼帝の守護獣神 青龍</v>
      </c>
      <c r="C14" s="105" t="s">
        <v>198</v>
      </c>
      <c r="D14" s="138" t="str">
        <f>A14&amp;C14</f>
        <v>1405cskill</v>
      </c>
      <c r="E14" s="138" t="str">
        <f>A14&amp;+(COUNTIF(A14:A$96,A14)-1)</f>
        <v>14052</v>
      </c>
      <c r="F14" s="105" t="s">
        <v>187</v>
      </c>
      <c r="G14" s="162" t="s">
        <v>375</v>
      </c>
      <c r="H14" s="162" t="s">
        <v>377</v>
      </c>
    </row>
    <row r="15" spans="1:8" x14ac:dyDescent="0.15">
      <c r="A15" s="105">
        <v>1405</v>
      </c>
      <c r="B15" s="138" t="str">
        <f>VLOOKUP(A15,[1]characters!$A:$C,3,FALSE)</f>
        <v>蒼帝の守護獣神 青龍</v>
      </c>
      <c r="C15" s="105" t="s">
        <v>198</v>
      </c>
      <c r="D15" s="138" t="str">
        <f>A15&amp;C15</f>
        <v>1405cskill</v>
      </c>
      <c r="E15" s="138" t="str">
        <f>A15&amp;+(COUNTIF(A15:A$96,A15)-1)</f>
        <v>14051</v>
      </c>
      <c r="F15" s="105" t="s">
        <v>187</v>
      </c>
      <c r="G15" s="162" t="s">
        <v>368</v>
      </c>
      <c r="H15" s="162" t="s">
        <v>378</v>
      </c>
    </row>
    <row r="16" spans="1:8" x14ac:dyDescent="0.15">
      <c r="A16" s="105">
        <v>1405</v>
      </c>
      <c r="B16" s="138" t="str">
        <f>VLOOKUP(A16,[1]characters!$A:$C,3,FALSE)</f>
        <v>蒼帝の守護獣神 青龍</v>
      </c>
      <c r="C16" s="105" t="s">
        <v>198</v>
      </c>
      <c r="D16" s="138" t="str">
        <f>A16&amp;C16</f>
        <v>1405cskill</v>
      </c>
      <c r="E16" s="138" t="str">
        <f>A16&amp;+(COUNTIF(A16:A$96,A16)-1)</f>
        <v>14050</v>
      </c>
      <c r="F16" s="105" t="s">
        <v>187</v>
      </c>
      <c r="G16" s="162" t="s">
        <v>197</v>
      </c>
      <c r="H16" s="162" t="s">
        <v>366</v>
      </c>
    </row>
    <row r="17" spans="1:8" x14ac:dyDescent="0.15">
      <c r="A17" s="105">
        <v>1406</v>
      </c>
      <c r="B17" s="138" t="str">
        <f>VLOOKUP(A17,[1]characters!$A:$C,3,FALSE)</f>
        <v>白帝の守護獣神 白虎</v>
      </c>
      <c r="C17" s="105" t="s">
        <v>196</v>
      </c>
      <c r="D17" s="138" t="str">
        <f t="shared" ref="D17" si="3">A17&amp;C17</f>
        <v>1406skill</v>
      </c>
      <c r="E17" s="138" t="str">
        <f>A17&amp;+(COUNTIF(A17:A$96,A17)-1)</f>
        <v>14064</v>
      </c>
      <c r="F17" s="105" t="s">
        <v>187</v>
      </c>
      <c r="G17" s="162" t="s">
        <v>359</v>
      </c>
      <c r="H17" s="162" t="s">
        <v>360</v>
      </c>
    </row>
    <row r="18" spans="1:8" x14ac:dyDescent="0.15">
      <c r="A18" s="105">
        <v>1406</v>
      </c>
      <c r="B18" s="138" t="str">
        <f>VLOOKUP(A18,[1]characters!$A:$C,3,FALSE)</f>
        <v>白帝の守護獣神 白虎</v>
      </c>
      <c r="C18" s="105" t="s">
        <v>198</v>
      </c>
      <c r="D18" s="138" t="str">
        <f>A18&amp;C18</f>
        <v>1406cskill</v>
      </c>
      <c r="E18" s="138" t="str">
        <f>A18&amp;+(COUNTIF(A18:A$96,A18)-1)</f>
        <v>14063</v>
      </c>
      <c r="F18" s="105" t="s">
        <v>187</v>
      </c>
      <c r="G18" s="162" t="s">
        <v>367</v>
      </c>
      <c r="H18" s="162" t="s">
        <v>379</v>
      </c>
    </row>
    <row r="19" spans="1:8" x14ac:dyDescent="0.15">
      <c r="A19" s="105">
        <v>1406</v>
      </c>
      <c r="B19" s="138" t="str">
        <f>VLOOKUP(A19,[1]characters!$A:$C,3,FALSE)</f>
        <v>白帝の守護獣神 白虎</v>
      </c>
      <c r="C19" s="105" t="s">
        <v>198</v>
      </c>
      <c r="D19" s="138" t="str">
        <f>A19&amp;C19</f>
        <v>1406cskill</v>
      </c>
      <c r="E19" s="138" t="str">
        <f>A19&amp;+(COUNTIF(A19:A$96,A19)-1)</f>
        <v>14062</v>
      </c>
      <c r="F19" s="105" t="s">
        <v>187</v>
      </c>
      <c r="G19" s="162" t="s">
        <v>367</v>
      </c>
      <c r="H19" s="162" t="s">
        <v>380</v>
      </c>
    </row>
    <row r="20" spans="1:8" x14ac:dyDescent="0.15">
      <c r="A20" s="105">
        <v>1406</v>
      </c>
      <c r="B20" s="138" t="str">
        <f>VLOOKUP(A20,[1]characters!$A:$C,3,FALSE)</f>
        <v>白帝の守護獣神 白虎</v>
      </c>
      <c r="C20" s="105" t="s">
        <v>198</v>
      </c>
      <c r="D20" s="138" t="str">
        <f>A20&amp;C20</f>
        <v>1406cskill</v>
      </c>
      <c r="E20" s="138" t="str">
        <f>A20&amp;+(COUNTIF(A20:A$96,A20)-1)</f>
        <v>14061</v>
      </c>
      <c r="F20" s="105" t="s">
        <v>187</v>
      </c>
      <c r="G20" s="162" t="s">
        <v>368</v>
      </c>
      <c r="H20" s="162" t="s">
        <v>381</v>
      </c>
    </row>
    <row r="21" spans="1:8" x14ac:dyDescent="0.15">
      <c r="A21" s="105">
        <v>1406</v>
      </c>
      <c r="B21" s="138" t="str">
        <f>VLOOKUP(A21,[1]characters!$A:$C,3,FALSE)</f>
        <v>白帝の守護獣神 白虎</v>
      </c>
      <c r="C21" s="105" t="s">
        <v>198</v>
      </c>
      <c r="D21" s="138" t="str">
        <f>A21&amp;C21</f>
        <v>1406cskill</v>
      </c>
      <c r="E21" s="138" t="str">
        <f>A21&amp;+(COUNTIF(A21:A$96,A21)-1)</f>
        <v>14060</v>
      </c>
      <c r="F21" s="105" t="s">
        <v>187</v>
      </c>
      <c r="G21" s="162" t="s">
        <v>359</v>
      </c>
      <c r="H21" s="162" t="s">
        <v>364</v>
      </c>
    </row>
  </sheetData>
  <phoneticPr fontId="22"/>
  <dataValidations count="2">
    <dataValidation type="list" allowBlank="1" showInputMessage="1" showErrorMessage="1" sqref="G2:G21">
      <formula1>"maru,giza,kumo"</formula1>
    </dataValidation>
    <dataValidation type="list" allowBlank="1" showInputMessage="1" showErrorMessage="1" sqref="C2:C2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5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5" sqref="A5:XFD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1">
        <v>87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朱南の守護神 朱雀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リンクガチャ:4神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守護神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god</v>
      </c>
      <c r="K2" s="5" t="str">
        <f ca="1">VLOOKUP(J2,[1]character_tribe_i18n!$A:$H,3,FALSE)</f>
        <v>ゴッド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1403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炎帝の守護獣神 朱雀</v>
      </c>
      <c r="S2" s="5">
        <f ca="1">IF(ISNA(MATCH(A2,Q:Q,0)),A2,INDIRECT(ADDRESS(MATCH(A2,Q:Q,0),COLUMN())))</f>
        <v>87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朱南の守護神 朱雀</v>
      </c>
      <c r="U2" s="10">
        <f ca="1">IF(Q2="NULL","NULL",VLOOKUP(G2,[3]ビット!$A$2:$B$7,2))</f>
        <v>200000</v>
      </c>
    </row>
    <row r="3" spans="1:21" ht="21" customHeight="1" x14ac:dyDescent="0.15">
      <c r="A3" s="191">
        <v>90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翠北の守護神 玄武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リンクガチャ:4神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守護神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god</v>
      </c>
      <c r="K3" s="5" t="str">
        <f ca="1">VLOOKUP(J3,[1]character_tribe_i18n!$A:$H,3,FALSE)</f>
        <v>ゴッド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1404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玄帝の守護獣神 玄武</v>
      </c>
      <c r="S3" s="5">
        <f ca="1">IF(ISNA(MATCH(A3,Q:Q,0)),A3,INDIRECT(ADDRESS(MATCH(A3,Q:Q,0),COLUMN())))</f>
        <v>90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翠北の守護神 玄武</v>
      </c>
      <c r="U3" s="10">
        <f ca="1">IF(Q3="NULL","NULL",VLOOKUP(G3,[3]ビット!$A$2:$B$7,2))</f>
        <v>200000</v>
      </c>
    </row>
    <row r="4" spans="1:21" ht="21" customHeight="1" x14ac:dyDescent="0.15">
      <c r="A4" s="191">
        <v>93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碧東の守護神 青龍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リンクガチャ:4神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守護神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god</v>
      </c>
      <c r="K4" s="5" t="str">
        <f ca="1">VLOOKUP(J4,[1]character_tribe_i18n!$A:$H,3,FALSE)</f>
        <v>ゴッド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1405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蒼帝の守護獣神 青龍</v>
      </c>
      <c r="S4" s="5">
        <f ca="1">IF(ISNA(MATCH(A4,Q:Q,0)),A4,INDIRECT(ADDRESS(MATCH(A4,Q:Q,0),COLUMN())))</f>
        <v>93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碧東の守護神 青龍</v>
      </c>
      <c r="U4" s="10">
        <f ca="1">IF(Q4="NULL","NULL",VLOOKUP(G4,[3]ビット!$A$2:$B$7,2))</f>
        <v>200000</v>
      </c>
    </row>
    <row r="5" spans="1:21" ht="21" customHeight="1" x14ac:dyDescent="0.15">
      <c r="A5" s="191">
        <v>96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金西の守護神 白虎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リンクガチャ:4神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守護神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god</v>
      </c>
      <c r="K5" s="5" t="str">
        <f ca="1">VLOOKUP(J5,[1]character_tribe_i18n!$A:$H,3,FALSE)</f>
        <v>ゴッド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normal</v>
      </c>
      <c r="Q5" s="187">
        <v>1406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白帝の守護獣神 白虎</v>
      </c>
      <c r="S5" s="5">
        <f ca="1">IF(ISNA(MATCH(A5,Q:Q,0)),A5,INDIRECT(ADDRESS(MATCH(A5,Q:Q,0),COLUMN())))</f>
        <v>96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金西の守護神 白虎</v>
      </c>
      <c r="U5" s="10">
        <f ca="1">IF(Q5="NULL","NULL",VLOOKUP(G5,[3]ビット!$A$2:$B$7,2))</f>
        <v>200000</v>
      </c>
    </row>
  </sheetData>
  <autoFilter ref="A1:U2"/>
  <phoneticPr fontId="22"/>
  <conditionalFormatting sqref="W1:W2 W6:W1048576">
    <cfRule type="cellIs" dxfId="27" priority="9" operator="equal">
      <formula>"FALSE"</formula>
    </cfRule>
  </conditionalFormatting>
  <conditionalFormatting sqref="W3">
    <cfRule type="cellIs" dxfId="26" priority="3" operator="equal">
      <formula>"FALSE"</formula>
    </cfRule>
  </conditionalFormatting>
  <conditionalFormatting sqref="W4">
    <cfRule type="cellIs" dxfId="25" priority="2" operator="equal">
      <formula>"FALSE"</formula>
    </cfRule>
  </conditionalFormatting>
  <conditionalFormatting sqref="W5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7"/>
  <sheetViews>
    <sheetView showGridLines="0" topLeftCell="C1" workbookViewId="0">
      <pane ySplit="1" topLeftCell="A2" activePane="bottomLeft" state="frozen"/>
      <selection pane="bottomLeft" activeCell="K21" sqref="K21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 t="shared" ref="A2:A17" si="0">B2&amp;"_"&amp;I2</f>
        <v>87_103</v>
      </c>
      <c r="B2" s="195">
        <v>87</v>
      </c>
      <c r="C2" s="178">
        <f t="shared" ref="C2:C17" si="1">B2</f>
        <v>87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朱南の守護神 朱雀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Drop2N</v>
      </c>
      <c r="G2" s="195">
        <v>1403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炎帝の守護獣神 朱雀</v>
      </c>
      <c r="I2" s="194">
        <v>103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レッドキャタップ</v>
      </c>
      <c r="K2" s="192">
        <v>1</v>
      </c>
      <c r="L2" s="193">
        <v>1</v>
      </c>
      <c r="M2" s="193">
        <v>10</v>
      </c>
      <c r="N2" s="2" t="s">
        <v>290</v>
      </c>
    </row>
    <row r="3" spans="1:14" ht="21" customHeight="1" x14ac:dyDescent="0.15">
      <c r="A3" s="61" t="str">
        <f t="shared" si="0"/>
        <v>87_104</v>
      </c>
      <c r="B3" s="195">
        <v>87</v>
      </c>
      <c r="C3" s="178">
        <f t="shared" si="1"/>
        <v>87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朱南の守護神 朱雀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Drop2N</v>
      </c>
      <c r="G3" s="195">
        <v>1403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炎帝の守護獣神 朱雀</v>
      </c>
      <c r="I3" s="194">
        <v>104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炎のマッドハッター</v>
      </c>
      <c r="K3" s="192">
        <v>1</v>
      </c>
      <c r="L3" s="193">
        <v>1</v>
      </c>
      <c r="M3" s="193">
        <v>10</v>
      </c>
      <c r="N3" s="2" t="s">
        <v>290</v>
      </c>
    </row>
    <row r="4" spans="1:14" ht="21" customHeight="1" x14ac:dyDescent="0.15">
      <c r="A4" s="61" t="str">
        <f t="shared" si="0"/>
        <v>87_356</v>
      </c>
      <c r="B4" s="195">
        <v>87</v>
      </c>
      <c r="C4" s="178">
        <f t="shared" si="1"/>
        <v>87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朱南の守護神 朱雀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Drop2N</v>
      </c>
      <c r="G4" s="195">
        <v>1403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炎帝の守護獣神 朱雀</v>
      </c>
      <c r="I4" s="194">
        <v>356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炎上のドードー</v>
      </c>
      <c r="K4" s="192">
        <v>1</v>
      </c>
      <c r="L4" s="193">
        <v>1</v>
      </c>
      <c r="M4" s="193">
        <v>10</v>
      </c>
      <c r="N4" s="2" t="s">
        <v>290</v>
      </c>
    </row>
    <row r="5" spans="1:14" ht="21" customHeight="1" x14ac:dyDescent="0.15">
      <c r="A5" s="61" t="str">
        <f t="shared" si="0"/>
        <v>87_837</v>
      </c>
      <c r="B5" s="195">
        <v>87</v>
      </c>
      <c r="C5" s="178">
        <f t="shared" si="1"/>
        <v>87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朱南の守護神 朱雀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Drop2N</v>
      </c>
      <c r="G5" s="195">
        <v>1403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炎帝の守護獣神 朱雀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290</v>
      </c>
    </row>
    <row r="6" spans="1:14" ht="21" customHeight="1" x14ac:dyDescent="0.15">
      <c r="A6" s="61" t="str">
        <f t="shared" si="0"/>
        <v>90_107</v>
      </c>
      <c r="B6" s="195">
        <v>90</v>
      </c>
      <c r="C6" s="178">
        <f t="shared" si="1"/>
        <v>90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翠北の守護神 玄武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Drop2N</v>
      </c>
      <c r="G6" s="195">
        <v>1404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玄帝の守護獣神 玄武</v>
      </c>
      <c r="I6" s="194">
        <v>107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グリーンキャタップ</v>
      </c>
      <c r="K6" s="192">
        <v>1</v>
      </c>
      <c r="L6" s="193">
        <v>1</v>
      </c>
      <c r="M6" s="193">
        <v>10</v>
      </c>
      <c r="N6" s="2" t="s">
        <v>290</v>
      </c>
    </row>
    <row r="7" spans="1:14" ht="21" customHeight="1" x14ac:dyDescent="0.15">
      <c r="A7" s="61" t="str">
        <f t="shared" si="0"/>
        <v>90_108</v>
      </c>
      <c r="B7" s="195">
        <v>90</v>
      </c>
      <c r="C7" s="178">
        <f t="shared" si="1"/>
        <v>90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翠北の守護神 玄武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Drop2N</v>
      </c>
      <c r="G7" s="195">
        <v>1404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玄帝の守護獣神 玄武</v>
      </c>
      <c r="I7" s="194">
        <v>108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森のマッドハッター</v>
      </c>
      <c r="K7" s="192">
        <v>1</v>
      </c>
      <c r="L7" s="193">
        <v>1</v>
      </c>
      <c r="M7" s="193">
        <v>10</v>
      </c>
      <c r="N7" s="2" t="s">
        <v>290</v>
      </c>
    </row>
    <row r="8" spans="1:14" ht="21" customHeight="1" x14ac:dyDescent="0.15">
      <c r="A8" s="61" t="str">
        <f t="shared" si="0"/>
        <v>90_357</v>
      </c>
      <c r="B8" s="195">
        <v>90</v>
      </c>
      <c r="C8" s="178">
        <f t="shared" si="1"/>
        <v>90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翠北の守護神 玄武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Drop2N</v>
      </c>
      <c r="G8" s="195">
        <v>1404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玄帝の守護獣神 玄武</v>
      </c>
      <c r="I8" s="194">
        <v>357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千風のグリフォン</v>
      </c>
      <c r="K8" s="192">
        <v>1</v>
      </c>
      <c r="L8" s="193">
        <v>1</v>
      </c>
      <c r="M8" s="193">
        <v>10</v>
      </c>
      <c r="N8" s="2" t="s">
        <v>290</v>
      </c>
    </row>
    <row r="9" spans="1:14" ht="21" customHeight="1" x14ac:dyDescent="0.15">
      <c r="A9" s="61" t="str">
        <f t="shared" si="0"/>
        <v>90_837</v>
      </c>
      <c r="B9" s="195">
        <v>90</v>
      </c>
      <c r="C9" s="178">
        <f t="shared" si="1"/>
        <v>90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翠北の守護神 玄武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Drop2N</v>
      </c>
      <c r="G9" s="195">
        <v>1404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玄帝の守護獣神 玄武</v>
      </c>
      <c r="I9" s="194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2">
        <v>1</v>
      </c>
      <c r="L9" s="193">
        <v>1</v>
      </c>
      <c r="M9" s="193">
        <v>1000</v>
      </c>
      <c r="N9" s="2" t="s">
        <v>290</v>
      </c>
    </row>
    <row r="10" spans="1:14" ht="21" customHeight="1" x14ac:dyDescent="0.15">
      <c r="A10" s="61" t="str">
        <f t="shared" si="0"/>
        <v>93_111</v>
      </c>
      <c r="B10" s="195">
        <v>93</v>
      </c>
      <c r="C10" s="178">
        <f t="shared" si="1"/>
        <v>93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碧東の守護神 青龍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Drop2N</v>
      </c>
      <c r="G10" s="195">
        <v>1405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蒼帝の守護獣神 青龍</v>
      </c>
      <c r="I10" s="194">
        <v>111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ブルーキャタップ</v>
      </c>
      <c r="K10" s="192">
        <v>1</v>
      </c>
      <c r="L10" s="193">
        <v>1</v>
      </c>
      <c r="M10" s="193">
        <v>10</v>
      </c>
      <c r="N10" s="2" t="s">
        <v>290</v>
      </c>
    </row>
    <row r="11" spans="1:14" ht="21" customHeight="1" x14ac:dyDescent="0.15">
      <c r="A11" s="61" t="str">
        <f t="shared" si="0"/>
        <v>93_112</v>
      </c>
      <c r="B11" s="195">
        <v>93</v>
      </c>
      <c r="C11" s="178">
        <f t="shared" si="1"/>
        <v>93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碧東の守護神 青龍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Drop2N</v>
      </c>
      <c r="G11" s="195">
        <v>1405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蒼帝の守護獣神 青龍</v>
      </c>
      <c r="I11" s="194">
        <v>112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水のマッドハッター</v>
      </c>
      <c r="K11" s="192">
        <v>1</v>
      </c>
      <c r="L11" s="193">
        <v>1</v>
      </c>
      <c r="M11" s="193">
        <v>10</v>
      </c>
      <c r="N11" s="2" t="s">
        <v>290</v>
      </c>
    </row>
    <row r="12" spans="1:14" ht="21" customHeight="1" x14ac:dyDescent="0.15">
      <c r="A12" s="61" t="str">
        <f t="shared" si="0"/>
        <v>93_358</v>
      </c>
      <c r="B12" s="195">
        <v>93</v>
      </c>
      <c r="C12" s="178">
        <f t="shared" si="1"/>
        <v>93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碧東の守護神 青龍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Drop2N</v>
      </c>
      <c r="G12" s="195">
        <v>1405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蒼帝の守護獣神 青龍</v>
      </c>
      <c r="I12" s="194">
        <v>358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深淵の代用ウミガメ</v>
      </c>
      <c r="K12" s="192">
        <v>1</v>
      </c>
      <c r="L12" s="193">
        <v>1</v>
      </c>
      <c r="M12" s="193">
        <v>10</v>
      </c>
      <c r="N12" s="2" t="s">
        <v>290</v>
      </c>
    </row>
    <row r="13" spans="1:14" ht="21" customHeight="1" x14ac:dyDescent="0.15">
      <c r="A13" s="61" t="str">
        <f t="shared" si="0"/>
        <v>93_837</v>
      </c>
      <c r="B13" s="195">
        <v>93</v>
      </c>
      <c r="C13" s="178">
        <f t="shared" si="1"/>
        <v>93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碧東の守護神 青龍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Drop2N</v>
      </c>
      <c r="G13" s="195">
        <v>1405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蒼帝の守護獣神 青龍</v>
      </c>
      <c r="I13" s="194">
        <v>837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リトルハンプティ</v>
      </c>
      <c r="K13" s="192">
        <v>1</v>
      </c>
      <c r="L13" s="193">
        <v>1</v>
      </c>
      <c r="M13" s="193">
        <v>1000</v>
      </c>
      <c r="N13" s="2" t="s">
        <v>290</v>
      </c>
    </row>
    <row r="14" spans="1:14" ht="21" customHeight="1" x14ac:dyDescent="0.15">
      <c r="A14" s="61" t="str">
        <f t="shared" si="0"/>
        <v>96_115</v>
      </c>
      <c r="B14" s="195">
        <v>96</v>
      </c>
      <c r="C14" s="178">
        <f t="shared" si="1"/>
        <v>96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金西の守護神 白虎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Drop2N</v>
      </c>
      <c r="G14" s="195">
        <v>1406</v>
      </c>
      <c r="H14" s="53" t="str">
        <f ca="1">VLOOKUP($G14,OFFSET([1]characters!$A$1,0,0,COUNTA([1]characters!$A:$A),MATCH(H$1,[1]characters!$1:$1,0)-MATCH($C$1,[1]characters!$1:$1,0)+1),MATCH(H$1,[1]characters!$1:$1,0)-MATCH($C$1,[1]characters!$1:$1,0)+1,FALSE)</f>
        <v>白帝の守護獣神 白虎</v>
      </c>
      <c r="I14" s="194">
        <v>115</v>
      </c>
      <c r="J14" s="53" t="str">
        <f ca="1">VLOOKUP($I14,OFFSET([1]characters!$A$1,0,0,COUNTA([1]characters!$A:$A),MATCH(J$1,[1]characters!$1:$1,0)-MATCH($C$1,[1]characters!$1:$1,0)+1),MATCH(J$1,[1]characters!$1:$1,0)-MATCH($C$1,[1]characters!$1:$1,0)+1,FALSE)</f>
        <v>イエローキャタップ</v>
      </c>
      <c r="K14" s="192">
        <v>1</v>
      </c>
      <c r="L14" s="193">
        <v>1</v>
      </c>
      <c r="M14" s="193">
        <v>10</v>
      </c>
      <c r="N14" s="2" t="s">
        <v>290</v>
      </c>
    </row>
    <row r="15" spans="1:14" ht="21" customHeight="1" x14ac:dyDescent="0.15">
      <c r="A15" s="61" t="str">
        <f t="shared" si="0"/>
        <v>96_116</v>
      </c>
      <c r="B15" s="195">
        <v>96</v>
      </c>
      <c r="C15" s="178">
        <f t="shared" si="1"/>
        <v>96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金西の守護神 白虎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Drop2N</v>
      </c>
      <c r="G15" s="195">
        <v>1406</v>
      </c>
      <c r="H15" s="53" t="str">
        <f ca="1">VLOOKUP($G15,OFFSET([1]characters!$A$1,0,0,COUNTA([1]characters!$A:$A),MATCH(H$1,[1]characters!$1:$1,0)-MATCH($C$1,[1]characters!$1:$1,0)+1),MATCH(H$1,[1]characters!$1:$1,0)-MATCH($C$1,[1]characters!$1:$1,0)+1,FALSE)</f>
        <v>白帝の守護獣神 白虎</v>
      </c>
      <c r="I15" s="194">
        <v>116</v>
      </c>
      <c r="J15" s="53" t="str">
        <f ca="1">VLOOKUP($I15,OFFSET([1]characters!$A$1,0,0,COUNTA([1]characters!$A:$A),MATCH(J$1,[1]characters!$1:$1,0)-MATCH($C$1,[1]characters!$1:$1,0)+1),MATCH(J$1,[1]characters!$1:$1,0)-MATCH($C$1,[1]characters!$1:$1,0)+1,FALSE)</f>
        <v>雷のマッドハッター</v>
      </c>
      <c r="K15" s="192">
        <v>1</v>
      </c>
      <c r="L15" s="193">
        <v>1</v>
      </c>
      <c r="M15" s="193">
        <v>10</v>
      </c>
      <c r="N15" s="2" t="s">
        <v>290</v>
      </c>
    </row>
    <row r="16" spans="1:14" ht="21" customHeight="1" x14ac:dyDescent="0.15">
      <c r="A16" s="61" t="str">
        <f t="shared" si="0"/>
        <v>96_359</v>
      </c>
      <c r="B16" s="195">
        <v>96</v>
      </c>
      <c r="C16" s="178">
        <f t="shared" si="1"/>
        <v>96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金西の守護神 白虎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Drop2N</v>
      </c>
      <c r="G16" s="195">
        <v>1406</v>
      </c>
      <c r="H16" s="53" t="str">
        <f ca="1">VLOOKUP($G16,OFFSET([1]characters!$A$1,0,0,COUNTA([1]characters!$A:$A),MATCH(H$1,[1]characters!$1:$1,0)-MATCH($C$1,[1]characters!$1:$1,0)+1),MATCH(H$1,[1]characters!$1:$1,0)-MATCH($C$1,[1]characters!$1:$1,0)+1,FALSE)</f>
        <v>白帝の守護獣神 白虎</v>
      </c>
      <c r="I16" s="194">
        <v>359</v>
      </c>
      <c r="J16" s="53" t="str">
        <f ca="1">VLOOKUP($I16,OFFSET([1]characters!$A$1,0,0,COUNTA([1]characters!$A:$A),MATCH(J$1,[1]characters!$1:$1,0)-MATCH($C$1,[1]characters!$1:$1,0)+1),MATCH(J$1,[1]characters!$1:$1,0)-MATCH($C$1,[1]characters!$1:$1,0)+1,FALSE)</f>
        <v>醒電の眠りネズミ</v>
      </c>
      <c r="K16" s="192">
        <v>1</v>
      </c>
      <c r="L16" s="193">
        <v>1</v>
      </c>
      <c r="M16" s="193">
        <v>10</v>
      </c>
      <c r="N16" s="2" t="s">
        <v>290</v>
      </c>
    </row>
    <row r="17" spans="1:14" ht="21" customHeight="1" x14ac:dyDescent="0.15">
      <c r="A17" s="61" t="str">
        <f t="shared" si="0"/>
        <v>96_837</v>
      </c>
      <c r="B17" s="195">
        <v>96</v>
      </c>
      <c r="C17" s="178">
        <f t="shared" si="1"/>
        <v>96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金西の守護神 白虎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Drop2N</v>
      </c>
      <c r="G17" s="195">
        <v>1406</v>
      </c>
      <c r="H17" s="53" t="str">
        <f ca="1">VLOOKUP($G17,OFFSET([1]characters!$A$1,0,0,COUNTA([1]characters!$A:$A),MATCH(H$1,[1]characters!$1:$1,0)-MATCH($C$1,[1]characters!$1:$1,0)+1),MATCH(H$1,[1]characters!$1:$1,0)-MATCH($C$1,[1]characters!$1:$1,0)+1,FALSE)</f>
        <v>白帝の守護獣神 白虎</v>
      </c>
      <c r="I17" s="194">
        <v>837</v>
      </c>
      <c r="J17" s="53" t="str">
        <f ca="1">VLOOKUP($I17,OFFSET([1]characters!$A$1,0,0,COUNTA([1]characters!$A:$A),MATCH(J$1,[1]characters!$1:$1,0)-MATCH($C$1,[1]characters!$1:$1,0)+1),MATCH(J$1,[1]characters!$1:$1,0)-MATCH($C$1,[1]characters!$1:$1,0)+1,FALSE)</f>
        <v>リトルハンプティ</v>
      </c>
      <c r="K17" s="192">
        <v>1</v>
      </c>
      <c r="L17" s="193">
        <v>1</v>
      </c>
      <c r="M17" s="193">
        <v>1000</v>
      </c>
      <c r="N17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5" sqref="D15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3" t="s">
        <v>310</v>
      </c>
      <c r="J1" s="168" t="s">
        <v>311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9"/>
  <sheetViews>
    <sheetView workbookViewId="0">
      <selection activeCell="D9" sqref="D9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1403</v>
      </c>
      <c r="B2" s="172" t="str">
        <f>VLOOKUP(A2,[1]characters!$A:$C,3)</f>
        <v>炎帝の守護獣神 朱雀</v>
      </c>
      <c r="C2" s="196">
        <v>1</v>
      </c>
      <c r="D2" s="196">
        <v>109</v>
      </c>
      <c r="E2" s="173" t="str">
        <f>IF(ISERROR(VLOOKUP(D2,[4]abilities!A:D,3,FALSE))=FALSE,VLOOKUP(D2,[4]abilities!A:D,3),IF(ISERROR(VLOOKUP(D2,abilities!A:D,3,FALSE))=FALSE,VLOOKUP(D2,abilities!A:D,3),"なし"))</f>
        <v>ダメージパネルブレイク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自身が先頭の時、ダメージを受けずにダメージパネルを破壊できる</v>
      </c>
      <c r="G2" s="174" t="s">
        <v>274</v>
      </c>
      <c r="H2" s="197" t="s">
        <v>339</v>
      </c>
    </row>
    <row r="3" spans="1:8" s="4" customFormat="1" ht="21" customHeight="1" x14ac:dyDescent="0.15">
      <c r="A3" s="169">
        <v>1403</v>
      </c>
      <c r="B3" s="172" t="str">
        <f>VLOOKUP(A3,[1]characters!$A:$C,3)</f>
        <v>炎帝の守護獣神 朱雀</v>
      </c>
      <c r="C3" s="196">
        <v>2</v>
      </c>
      <c r="D3" s="196">
        <v>620</v>
      </c>
      <c r="E3" s="173" t="str">
        <f>IF(ISERROR(VLOOKUP(D3,[4]abilities!A:D,3,FALSE))=FALSE,VLOOKUP(D3,[4]abilities!A:D,3),IF(ISERROR(VLOOKUP(D3,abilities!A:D,3,FALSE))=FALSE,VLOOKUP(D3,abilities!A:D,3),"なし"))</f>
        <v>緑属性耐性8</v>
      </c>
      <c r="F3" s="173" t="str">
        <f>IF(ISERROR(VLOOKUP(D3,[4]abilities!A:D,4,FALSE))=FALSE,VLOOKUP(D3,[4]abilities!A:D,4),IF(ISERROR(VLOOKUP(D3,abilities!A:D,4,FALSE))=FALSE,VLOOKUP(D3,abilities!A:D,4),"なし"))</f>
        <v>自身に対する緑属性の敵からの攻撃を8%軽減</v>
      </c>
      <c r="G3" s="174" t="s">
        <v>274</v>
      </c>
      <c r="H3" s="197" t="s">
        <v>341</v>
      </c>
    </row>
    <row r="4" spans="1:8" s="4" customFormat="1" ht="21" customHeight="1" x14ac:dyDescent="0.15">
      <c r="A4" s="169">
        <v>1404</v>
      </c>
      <c r="B4" s="172" t="str">
        <f>VLOOKUP(A4,[1]characters!$A:$C,3)</f>
        <v>玄帝の守護獣神 玄武</v>
      </c>
      <c r="C4" s="196">
        <v>1</v>
      </c>
      <c r="D4" s="196">
        <v>103</v>
      </c>
      <c r="E4" s="173" t="str">
        <f>IF(ISERROR(VLOOKUP(D4,[4]abilities!A:D,3,FALSE))=FALSE,VLOOKUP(D4,[4]abilities!A:D,3),IF(ISERROR(VLOOKUP(D4,abilities!A:D,3,FALSE))=FALSE,VLOOKUP(D4,abilities!A:D,3),"なし"))</f>
        <v>お邪魔ブレイク</v>
      </c>
      <c r="F4" s="173" t="str">
        <f>IF(ISERROR(VLOOKUP(D4,[4]abilities!A:D,4,FALSE))=FALSE,VLOOKUP(D4,[4]abilities!A:D,4),IF(ISERROR(VLOOKUP(D4,abilities!A:D,4,FALSE))=FALSE,VLOOKUP(D4,abilities!A:D,4),"なし"))</f>
        <v>自身が先頭の時、お邪魔パネルを破壊できる</v>
      </c>
      <c r="G4" s="174" t="s">
        <v>274</v>
      </c>
      <c r="H4" s="197" t="s">
        <v>339</v>
      </c>
    </row>
    <row r="5" spans="1:8" s="4" customFormat="1" ht="21" customHeight="1" x14ac:dyDescent="0.15">
      <c r="A5" s="169">
        <v>1404</v>
      </c>
      <c r="B5" s="172" t="str">
        <f>VLOOKUP(A5,[1]characters!$A:$C,3)</f>
        <v>玄帝の守護獣神 玄武</v>
      </c>
      <c r="C5" s="196">
        <v>2</v>
      </c>
      <c r="D5" s="196">
        <v>621</v>
      </c>
      <c r="E5" s="173" t="str">
        <f>IF(ISERROR(VLOOKUP(D5,[4]abilities!A:D,3,FALSE))=FALSE,VLOOKUP(D5,[4]abilities!A:D,3),IF(ISERROR(VLOOKUP(D5,abilities!A:D,3,FALSE))=FALSE,VLOOKUP(D5,abilities!A:D,3),"なし"))</f>
        <v>黄属性耐性8</v>
      </c>
      <c r="F5" s="173" t="str">
        <f>IF(ISERROR(VLOOKUP(D5,[4]abilities!A:D,4,FALSE))=FALSE,VLOOKUP(D5,[4]abilities!A:D,4),IF(ISERROR(VLOOKUP(D5,abilities!A:D,4,FALSE))=FALSE,VLOOKUP(D5,abilities!A:D,4),"なし"))</f>
        <v>自身に対する黄属性の敵からの攻撃を8%軽減</v>
      </c>
      <c r="G5" s="174" t="s">
        <v>274</v>
      </c>
      <c r="H5" s="197" t="s">
        <v>341</v>
      </c>
    </row>
    <row r="6" spans="1:8" s="4" customFormat="1" ht="21" customHeight="1" x14ac:dyDescent="0.15">
      <c r="A6" s="169">
        <v>1405</v>
      </c>
      <c r="B6" s="172" t="str">
        <f>VLOOKUP(A6,[1]characters!$A:$C,3)</f>
        <v>蒼帝の守護獣神 青龍</v>
      </c>
      <c r="C6" s="196">
        <v>1</v>
      </c>
      <c r="D6" s="196">
        <v>103</v>
      </c>
      <c r="E6" s="173" t="str">
        <f>IF(ISERROR(VLOOKUP(D6,[4]abilities!A:D,3,FALSE))=FALSE,VLOOKUP(D6,[4]abilities!A:D,3),IF(ISERROR(VLOOKUP(D6,abilities!A:D,3,FALSE))=FALSE,VLOOKUP(D6,abilities!A:D,3),"なし"))</f>
        <v>お邪魔ブレイク</v>
      </c>
      <c r="F6" s="173" t="str">
        <f>IF(ISERROR(VLOOKUP(D6,[4]abilities!A:D,4,FALSE))=FALSE,VLOOKUP(D6,[4]abilities!A:D,4),IF(ISERROR(VLOOKUP(D6,abilities!A:D,4,FALSE))=FALSE,VLOOKUP(D6,abilities!A:D,4),"なし"))</f>
        <v>自身が先頭の時、お邪魔パネルを破壊できる</v>
      </c>
      <c r="G6" s="174" t="s">
        <v>274</v>
      </c>
      <c r="H6" s="197" t="s">
        <v>339</v>
      </c>
    </row>
    <row r="7" spans="1:8" s="4" customFormat="1" ht="21" customHeight="1" x14ac:dyDescent="0.15">
      <c r="A7" s="169">
        <v>1405</v>
      </c>
      <c r="B7" s="172" t="str">
        <f>VLOOKUP(A7,[1]characters!$A:$C,3)</f>
        <v>蒼帝の守護獣神 青龍</v>
      </c>
      <c r="C7" s="196">
        <v>2</v>
      </c>
      <c r="D7" s="196">
        <v>618</v>
      </c>
      <c r="E7" s="173" t="str">
        <f>IF(ISERROR(VLOOKUP(D7,[4]abilities!A:D,3,FALSE))=FALSE,VLOOKUP(D7,[4]abilities!A:D,3),IF(ISERROR(VLOOKUP(D7,abilities!A:D,3,FALSE))=FALSE,VLOOKUP(D7,abilities!A:D,3),"なし"))</f>
        <v>赤属性耐性8</v>
      </c>
      <c r="F7" s="173" t="str">
        <f>IF(ISERROR(VLOOKUP(D7,[4]abilities!A:D,4,FALSE))=FALSE,VLOOKUP(D7,[4]abilities!A:D,4),IF(ISERROR(VLOOKUP(D7,abilities!A:D,4,FALSE))=FALSE,VLOOKUP(D7,abilities!A:D,4),"なし"))</f>
        <v>自身に対する赤属性の敵からの攻撃を8%軽減</v>
      </c>
      <c r="G7" s="174" t="s">
        <v>274</v>
      </c>
      <c r="H7" s="197" t="s">
        <v>341</v>
      </c>
    </row>
    <row r="8" spans="1:8" s="4" customFormat="1" ht="21" customHeight="1" x14ac:dyDescent="0.15">
      <c r="A8" s="169">
        <v>1406</v>
      </c>
      <c r="B8" s="172" t="str">
        <f>VLOOKUP(A8,[1]characters!$A:$C,3)</f>
        <v>白帝の守護獣神 白虎</v>
      </c>
      <c r="C8" s="196">
        <v>1</v>
      </c>
      <c r="D8" s="196">
        <v>200</v>
      </c>
      <c r="E8" s="173" t="str">
        <f>IF(ISERROR(VLOOKUP(D8,[4]abilities!A:D,3,FALSE))=FALSE,VLOOKUP(D8,[4]abilities!A:D,3),IF(ISERROR(VLOOKUP(D8,abilities!A:D,3,FALSE))=FALSE,VLOOKUP(D8,abilities!A:D,3),"なし"))</f>
        <v>ウィルス無効</v>
      </c>
      <c r="F8" s="173" t="str">
        <f>IF(ISERROR(VLOOKUP(D8,[4]abilities!A:D,4,FALSE))=FALSE,VLOOKUP(D8,[4]abilities!A:D,4),IF(ISERROR(VLOOKUP(D8,abilities!A:D,4,FALSE))=FALSE,VLOOKUP(D8,abilities!A:D,4),"なし"))</f>
        <v>自身にかかるウィルスを無効化する</v>
      </c>
      <c r="G8" s="174" t="s">
        <v>274</v>
      </c>
      <c r="H8" s="197" t="s">
        <v>339</v>
      </c>
    </row>
    <row r="9" spans="1:8" s="4" customFormat="1" ht="21" customHeight="1" x14ac:dyDescent="0.15">
      <c r="A9" s="169">
        <v>1406</v>
      </c>
      <c r="B9" s="172" t="str">
        <f>VLOOKUP(A9,[1]characters!$A:$C,3)</f>
        <v>白帝の守護獣神 白虎</v>
      </c>
      <c r="C9" s="196">
        <v>2</v>
      </c>
      <c r="D9" s="196">
        <v>619</v>
      </c>
      <c r="E9" s="173" t="str">
        <f>IF(ISERROR(VLOOKUP(D9,[4]abilities!A:D,3,FALSE))=FALSE,VLOOKUP(D9,[4]abilities!A:D,3),IF(ISERROR(VLOOKUP(D9,abilities!A:D,3,FALSE))=FALSE,VLOOKUP(D9,abilities!A:D,3),"なし"))</f>
        <v>青属性耐性8</v>
      </c>
      <c r="F9" s="173" t="str">
        <f>IF(ISERROR(VLOOKUP(D9,[4]abilities!A:D,4,FALSE))=FALSE,VLOOKUP(D9,[4]abilities!A:D,4),IF(ISERROR(VLOOKUP(D9,abilities!A:D,4,FALSE))=FALSE,VLOOKUP(D9,abilities!A:D,4),"なし"))</f>
        <v>自身に対する青属性の敵からの攻撃を8%軽減</v>
      </c>
      <c r="G9" s="174" t="s">
        <v>274</v>
      </c>
      <c r="H9" s="197" t="s">
        <v>341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198">
        <v>35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199">
        <v>99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51" t="s">
        <v>220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4 H11:I12 H15:I15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J15" sqref="J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26">
        <v>10000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318</v>
      </c>
      <c r="B1" t="s">
        <v>319</v>
      </c>
    </row>
    <row r="2" spans="1:2" x14ac:dyDescent="0.15">
      <c r="A2" t="s">
        <v>320</v>
      </c>
      <c r="B2">
        <v>1</v>
      </c>
    </row>
    <row r="3" spans="1:2" x14ac:dyDescent="0.15">
      <c r="A3" t="s">
        <v>321</v>
      </c>
      <c r="B3">
        <v>1</v>
      </c>
    </row>
    <row r="4" spans="1:2" x14ac:dyDescent="0.15">
      <c r="A4" t="s">
        <v>322</v>
      </c>
      <c r="B4">
        <v>1</v>
      </c>
    </row>
    <row r="5" spans="1:2" x14ac:dyDescent="0.15">
      <c r="A5" t="s">
        <v>323</v>
      </c>
      <c r="B5">
        <v>1</v>
      </c>
    </row>
    <row r="6" spans="1:2" x14ac:dyDescent="0.15">
      <c r="A6" t="s">
        <v>324</v>
      </c>
      <c r="B6">
        <v>1</v>
      </c>
    </row>
    <row r="7" spans="1:2" x14ac:dyDescent="0.15">
      <c r="A7" t="s">
        <v>325</v>
      </c>
      <c r="B7">
        <v>1</v>
      </c>
    </row>
    <row r="8" spans="1:2" x14ac:dyDescent="0.15">
      <c r="A8" t="s">
        <v>326</v>
      </c>
      <c r="B8">
        <v>1</v>
      </c>
    </row>
    <row r="9" spans="1:2" x14ac:dyDescent="0.15">
      <c r="A9" t="s">
        <v>327</v>
      </c>
      <c r="B9">
        <v>1</v>
      </c>
    </row>
    <row r="10" spans="1:2" x14ac:dyDescent="0.15">
      <c r="A10" t="s">
        <v>328</v>
      </c>
      <c r="B10">
        <v>1</v>
      </c>
    </row>
    <row r="11" spans="1:2" x14ac:dyDescent="0.15">
      <c r="A11" t="s">
        <v>329</v>
      </c>
      <c r="B11">
        <v>1</v>
      </c>
    </row>
    <row r="12" spans="1:2" x14ac:dyDescent="0.15">
      <c r="A12" t="s">
        <v>330</v>
      </c>
      <c r="B12">
        <v>1</v>
      </c>
    </row>
    <row r="13" spans="1:2" x14ac:dyDescent="0.15">
      <c r="A13" t="s">
        <v>331</v>
      </c>
      <c r="B13">
        <v>0</v>
      </c>
    </row>
    <row r="14" spans="1:2" x14ac:dyDescent="0.15">
      <c r="A14" t="s">
        <v>332</v>
      </c>
      <c r="B14">
        <v>500</v>
      </c>
    </row>
    <row r="15" spans="1:2" x14ac:dyDescent="0.15">
      <c r="A15" t="s">
        <v>333</v>
      </c>
      <c r="B15">
        <v>600</v>
      </c>
    </row>
    <row r="16" spans="1:2" x14ac:dyDescent="0.15">
      <c r="A16" t="s">
        <v>334</v>
      </c>
      <c r="B16">
        <v>700</v>
      </c>
    </row>
    <row r="17" spans="1:2" x14ac:dyDescent="0.15">
      <c r="A17" t="s">
        <v>335</v>
      </c>
      <c r="B17">
        <v>5500</v>
      </c>
    </row>
    <row r="18" spans="1:2" x14ac:dyDescent="0.15">
      <c r="A18" t="s">
        <v>336</v>
      </c>
      <c r="B18">
        <v>6000</v>
      </c>
    </row>
    <row r="19" spans="1:2" x14ac:dyDescent="0.15">
      <c r="A19" t="s">
        <v>337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2017-06-06T08:17:24Z</dcterms:modified>
</cp:coreProperties>
</file>