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2060" yWindow="2700" windowWidth="28800" windowHeight="16280" tabRatio="834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20" r:id="rId9"/>
    <sheet name="stage_hints_failure" sheetId="19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stage_hints_complete!$B$1:$L$2</definedName>
    <definedName name="_xlnm._FilterDatabase" localSheetId="9" hidden="1">stage_hints_failure!$B$1:$M$3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87" i="1" l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C2" i="18"/>
  <c r="I29" i="9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AD86" i="1"/>
  <c r="AD110" i="1"/>
  <c r="AC110" i="1"/>
  <c r="AC86" i="1"/>
  <c r="J40" i="11"/>
  <c r="O80" i="9"/>
  <c r="N80" i="9"/>
  <c r="M80" i="9"/>
  <c r="L80" i="9"/>
  <c r="K80" i="9"/>
  <c r="J80" i="9"/>
  <c r="I80" i="9"/>
  <c r="H80" i="9"/>
  <c r="G80" i="9"/>
  <c r="E80" i="9"/>
  <c r="D80" i="9"/>
  <c r="A80" i="9"/>
  <c r="J39" i="11"/>
  <c r="O79" i="9"/>
  <c r="N79" i="9"/>
  <c r="M79" i="9"/>
  <c r="L79" i="9"/>
  <c r="K79" i="9"/>
  <c r="J79" i="9"/>
  <c r="I79" i="9"/>
  <c r="H79" i="9"/>
  <c r="G79" i="9"/>
  <c r="E79" i="9"/>
  <c r="D79" i="9"/>
  <c r="A79" i="9"/>
  <c r="J47" i="11"/>
  <c r="O88" i="9"/>
  <c r="N88" i="9"/>
  <c r="M88" i="9"/>
  <c r="L88" i="9"/>
  <c r="K88" i="9"/>
  <c r="J88" i="9"/>
  <c r="I88" i="9"/>
  <c r="H88" i="9"/>
  <c r="G88" i="9"/>
  <c r="E88" i="9"/>
  <c r="D88" i="9"/>
  <c r="A88" i="9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O87" i="9"/>
  <c r="N87" i="9"/>
  <c r="M87" i="9"/>
  <c r="L87" i="9"/>
  <c r="K87" i="9"/>
  <c r="J87" i="9"/>
  <c r="I87" i="9"/>
  <c r="H87" i="9"/>
  <c r="G87" i="9"/>
  <c r="E87" i="9"/>
  <c r="D87" i="9"/>
  <c r="A87" i="9"/>
  <c r="E12" i="16"/>
  <c r="O19" i="19"/>
  <c r="O18" i="19"/>
  <c r="O17" i="19"/>
  <c r="O16" i="19"/>
  <c r="O15" i="19"/>
  <c r="O14" i="19"/>
  <c r="O13" i="19"/>
  <c r="O12" i="19"/>
  <c r="O11" i="19"/>
  <c r="O10" i="19"/>
  <c r="O9" i="19"/>
  <c r="O8" i="19"/>
  <c r="O6" i="19"/>
  <c r="O5" i="19"/>
  <c r="O4" i="19"/>
  <c r="O3" i="19"/>
  <c r="O2" i="19"/>
  <c r="O7" i="19"/>
  <c r="E11" i="16"/>
  <c r="E10" i="16"/>
  <c r="E9" i="16"/>
  <c r="L121" i="20"/>
  <c r="K121" i="20"/>
  <c r="G121" i="20"/>
  <c r="F121" i="20"/>
  <c r="D121" i="20"/>
  <c r="C121" i="20"/>
  <c r="L120" i="20"/>
  <c r="K120" i="20"/>
  <c r="G120" i="20"/>
  <c r="F120" i="20"/>
  <c r="D120" i="20"/>
  <c r="C120" i="20"/>
  <c r="L119" i="20"/>
  <c r="K119" i="20"/>
  <c r="G119" i="20"/>
  <c r="F119" i="20"/>
  <c r="D119" i="20"/>
  <c r="C119" i="20"/>
  <c r="L118" i="20"/>
  <c r="K118" i="20"/>
  <c r="G118" i="20"/>
  <c r="F118" i="20"/>
  <c r="D118" i="20"/>
  <c r="C118" i="20"/>
  <c r="L117" i="20"/>
  <c r="K117" i="20"/>
  <c r="G117" i="20"/>
  <c r="F117" i="20"/>
  <c r="D117" i="20"/>
  <c r="C117" i="20"/>
  <c r="L116" i="20"/>
  <c r="K116" i="20"/>
  <c r="G116" i="20"/>
  <c r="F116" i="20"/>
  <c r="D116" i="20"/>
  <c r="C116" i="20"/>
  <c r="L115" i="20"/>
  <c r="K115" i="20"/>
  <c r="G115" i="20"/>
  <c r="F115" i="20"/>
  <c r="D115" i="20"/>
  <c r="C115" i="20"/>
  <c r="L114" i="20"/>
  <c r="K114" i="20"/>
  <c r="G114" i="20"/>
  <c r="F114" i="20"/>
  <c r="D114" i="20"/>
  <c r="C114" i="20"/>
  <c r="L113" i="20"/>
  <c r="K113" i="20"/>
  <c r="G113" i="20"/>
  <c r="F113" i="20"/>
  <c r="D113" i="20"/>
  <c r="C113" i="20"/>
  <c r="L112" i="20"/>
  <c r="K112" i="20"/>
  <c r="G112" i="20"/>
  <c r="F112" i="20"/>
  <c r="D112" i="20"/>
  <c r="C112" i="20"/>
  <c r="L111" i="20"/>
  <c r="K111" i="20"/>
  <c r="G111" i="20"/>
  <c r="F111" i="20"/>
  <c r="D111" i="20"/>
  <c r="C111" i="20"/>
  <c r="L110" i="20"/>
  <c r="K110" i="20"/>
  <c r="G110" i="20"/>
  <c r="F110" i="20"/>
  <c r="D110" i="20"/>
  <c r="C110" i="20"/>
  <c r="L109" i="20"/>
  <c r="K109" i="20"/>
  <c r="G109" i="20"/>
  <c r="F109" i="20"/>
  <c r="D109" i="20"/>
  <c r="C109" i="20"/>
  <c r="L108" i="20"/>
  <c r="K108" i="20"/>
  <c r="G108" i="20"/>
  <c r="F108" i="20"/>
  <c r="D108" i="20"/>
  <c r="C108" i="20"/>
  <c r="L107" i="20"/>
  <c r="K107" i="20"/>
  <c r="G107" i="20"/>
  <c r="F107" i="20"/>
  <c r="D107" i="20"/>
  <c r="C107" i="20"/>
  <c r="L106" i="20"/>
  <c r="K106" i="20"/>
  <c r="G106" i="20"/>
  <c r="F106" i="20"/>
  <c r="D106" i="20"/>
  <c r="C106" i="20"/>
  <c r="L105" i="20"/>
  <c r="K105" i="20"/>
  <c r="G105" i="20"/>
  <c r="F105" i="20"/>
  <c r="D105" i="20"/>
  <c r="C105" i="20"/>
  <c r="L104" i="20"/>
  <c r="K104" i="20"/>
  <c r="G104" i="20"/>
  <c r="F104" i="20"/>
  <c r="D104" i="20"/>
  <c r="C104" i="20"/>
  <c r="L103" i="20"/>
  <c r="K103" i="20"/>
  <c r="G103" i="20"/>
  <c r="F103" i="20"/>
  <c r="D103" i="20"/>
  <c r="C103" i="20"/>
  <c r="L102" i="20"/>
  <c r="K102" i="20"/>
  <c r="G102" i="20"/>
  <c r="F102" i="20"/>
  <c r="D102" i="20"/>
  <c r="C102" i="20"/>
  <c r="L101" i="20"/>
  <c r="K101" i="20"/>
  <c r="G101" i="20"/>
  <c r="F101" i="20"/>
  <c r="D101" i="20"/>
  <c r="C101" i="20"/>
  <c r="L100" i="20"/>
  <c r="K100" i="20"/>
  <c r="G100" i="20"/>
  <c r="F100" i="20"/>
  <c r="D100" i="20"/>
  <c r="C100" i="20"/>
  <c r="L99" i="20"/>
  <c r="K99" i="20"/>
  <c r="G99" i="20"/>
  <c r="F99" i="20"/>
  <c r="D99" i="20"/>
  <c r="C99" i="20"/>
  <c r="L98" i="20"/>
  <c r="K98" i="20"/>
  <c r="G98" i="20"/>
  <c r="F98" i="20"/>
  <c r="D98" i="20"/>
  <c r="C98" i="20"/>
  <c r="L97" i="20"/>
  <c r="K97" i="20"/>
  <c r="G97" i="20"/>
  <c r="F97" i="20"/>
  <c r="D97" i="20"/>
  <c r="C97" i="20"/>
  <c r="L96" i="20"/>
  <c r="K96" i="20"/>
  <c r="G96" i="20"/>
  <c r="F96" i="20"/>
  <c r="D96" i="20"/>
  <c r="C96" i="20"/>
  <c r="L95" i="20"/>
  <c r="K95" i="20"/>
  <c r="G95" i="20"/>
  <c r="F95" i="20"/>
  <c r="D95" i="20"/>
  <c r="C95" i="20"/>
  <c r="L94" i="20"/>
  <c r="K94" i="20"/>
  <c r="G94" i="20"/>
  <c r="F94" i="20"/>
  <c r="D94" i="20"/>
  <c r="C94" i="20"/>
  <c r="L93" i="20"/>
  <c r="K93" i="20"/>
  <c r="G93" i="20"/>
  <c r="F93" i="20"/>
  <c r="D93" i="20"/>
  <c r="C93" i="20"/>
  <c r="L92" i="20"/>
  <c r="K92" i="20"/>
  <c r="G92" i="20"/>
  <c r="F92" i="20"/>
  <c r="D92" i="20"/>
  <c r="C92" i="20"/>
  <c r="L91" i="20"/>
  <c r="K91" i="20"/>
  <c r="G91" i="20"/>
  <c r="F91" i="20"/>
  <c r="D91" i="20"/>
  <c r="C91" i="20"/>
  <c r="L90" i="20"/>
  <c r="K90" i="20"/>
  <c r="G90" i="20"/>
  <c r="F90" i="20"/>
  <c r="D90" i="20"/>
  <c r="C90" i="20"/>
  <c r="L89" i="20"/>
  <c r="K89" i="20"/>
  <c r="G89" i="20"/>
  <c r="F89" i="20"/>
  <c r="D89" i="20"/>
  <c r="C89" i="20"/>
  <c r="L88" i="20"/>
  <c r="K88" i="20"/>
  <c r="G88" i="20"/>
  <c r="F88" i="20"/>
  <c r="D88" i="20"/>
  <c r="C88" i="20"/>
  <c r="L87" i="20"/>
  <c r="K87" i="20"/>
  <c r="G87" i="20"/>
  <c r="F87" i="20"/>
  <c r="D87" i="20"/>
  <c r="C87" i="20"/>
  <c r="L86" i="20"/>
  <c r="K86" i="20"/>
  <c r="G86" i="20"/>
  <c r="F86" i="20"/>
  <c r="D86" i="20"/>
  <c r="C86" i="20"/>
  <c r="L85" i="20"/>
  <c r="K85" i="20"/>
  <c r="G85" i="20"/>
  <c r="F85" i="20"/>
  <c r="D85" i="20"/>
  <c r="C85" i="20"/>
  <c r="L84" i="20"/>
  <c r="K84" i="20"/>
  <c r="G84" i="20"/>
  <c r="F84" i="20"/>
  <c r="D84" i="20"/>
  <c r="C84" i="20"/>
  <c r="L83" i="20"/>
  <c r="K83" i="20"/>
  <c r="G83" i="20"/>
  <c r="F83" i="20"/>
  <c r="D83" i="20"/>
  <c r="C83" i="20"/>
  <c r="L82" i="20"/>
  <c r="K82" i="20"/>
  <c r="G82" i="20"/>
  <c r="F82" i="20"/>
  <c r="D82" i="20"/>
  <c r="C82" i="20"/>
  <c r="L81" i="20"/>
  <c r="K81" i="20"/>
  <c r="G81" i="20"/>
  <c r="F81" i="20"/>
  <c r="D81" i="20"/>
  <c r="C81" i="20"/>
  <c r="L80" i="20"/>
  <c r="K80" i="20"/>
  <c r="G80" i="20"/>
  <c r="F80" i="20"/>
  <c r="D80" i="20"/>
  <c r="C80" i="20"/>
  <c r="L79" i="20"/>
  <c r="K79" i="20"/>
  <c r="G79" i="20"/>
  <c r="F79" i="20"/>
  <c r="D79" i="20"/>
  <c r="C79" i="20"/>
  <c r="L78" i="20"/>
  <c r="K78" i="20"/>
  <c r="G78" i="20"/>
  <c r="F78" i="20"/>
  <c r="D78" i="20"/>
  <c r="C78" i="20"/>
  <c r="L77" i="20"/>
  <c r="K77" i="20"/>
  <c r="G77" i="20"/>
  <c r="F77" i="20"/>
  <c r="D77" i="20"/>
  <c r="C77" i="20"/>
  <c r="L76" i="20"/>
  <c r="K76" i="20"/>
  <c r="G76" i="20"/>
  <c r="F76" i="20"/>
  <c r="D76" i="20"/>
  <c r="C76" i="20"/>
  <c r="L75" i="20"/>
  <c r="K75" i="20"/>
  <c r="G75" i="20"/>
  <c r="F75" i="20"/>
  <c r="D75" i="20"/>
  <c r="C75" i="20"/>
  <c r="L74" i="20"/>
  <c r="K74" i="20"/>
  <c r="G74" i="20"/>
  <c r="F74" i="20"/>
  <c r="D74" i="20"/>
  <c r="C74" i="20"/>
  <c r="L73" i="20"/>
  <c r="K73" i="20"/>
  <c r="G73" i="20"/>
  <c r="F73" i="20"/>
  <c r="D73" i="20"/>
  <c r="C73" i="20"/>
  <c r="L72" i="20"/>
  <c r="K72" i="20"/>
  <c r="G72" i="20"/>
  <c r="F72" i="20"/>
  <c r="D72" i="20"/>
  <c r="C72" i="20"/>
  <c r="L71" i="20"/>
  <c r="K71" i="20"/>
  <c r="G71" i="20"/>
  <c r="F71" i="20"/>
  <c r="D71" i="20"/>
  <c r="C71" i="20"/>
  <c r="L70" i="20"/>
  <c r="K70" i="20"/>
  <c r="G70" i="20"/>
  <c r="F70" i="20"/>
  <c r="D70" i="20"/>
  <c r="C70" i="20"/>
  <c r="L69" i="20"/>
  <c r="K69" i="20"/>
  <c r="G69" i="20"/>
  <c r="F69" i="20"/>
  <c r="D69" i="20"/>
  <c r="C69" i="20"/>
  <c r="L68" i="20"/>
  <c r="K68" i="20"/>
  <c r="G68" i="20"/>
  <c r="F68" i="20"/>
  <c r="D68" i="20"/>
  <c r="C68" i="20"/>
  <c r="L67" i="20"/>
  <c r="K67" i="20"/>
  <c r="G67" i="20"/>
  <c r="F67" i="20"/>
  <c r="D67" i="20"/>
  <c r="C67" i="20"/>
  <c r="L66" i="20"/>
  <c r="K66" i="20"/>
  <c r="G66" i="20"/>
  <c r="F66" i="20"/>
  <c r="D66" i="20"/>
  <c r="C66" i="20"/>
  <c r="L65" i="20"/>
  <c r="K65" i="20"/>
  <c r="G65" i="20"/>
  <c r="F65" i="20"/>
  <c r="D65" i="20"/>
  <c r="C65" i="20"/>
  <c r="L64" i="20"/>
  <c r="K64" i="20"/>
  <c r="G64" i="20"/>
  <c r="F64" i="20"/>
  <c r="D64" i="20"/>
  <c r="C64" i="20"/>
  <c r="L63" i="20"/>
  <c r="K63" i="20"/>
  <c r="G63" i="20"/>
  <c r="F63" i="20"/>
  <c r="D63" i="20"/>
  <c r="C63" i="20"/>
  <c r="L62" i="20"/>
  <c r="K62" i="20"/>
  <c r="G62" i="20"/>
  <c r="F62" i="20"/>
  <c r="D62" i="20"/>
  <c r="C62" i="20"/>
  <c r="L61" i="20"/>
  <c r="K61" i="20"/>
  <c r="G61" i="20"/>
  <c r="F61" i="20"/>
  <c r="D61" i="20"/>
  <c r="C61" i="20"/>
  <c r="L60" i="20"/>
  <c r="K60" i="20"/>
  <c r="G60" i="20"/>
  <c r="F60" i="20"/>
  <c r="D60" i="20"/>
  <c r="C60" i="20"/>
  <c r="L59" i="20"/>
  <c r="K59" i="20"/>
  <c r="G59" i="20"/>
  <c r="F59" i="20"/>
  <c r="D59" i="20"/>
  <c r="C59" i="20"/>
  <c r="L58" i="20"/>
  <c r="K58" i="20"/>
  <c r="G58" i="20"/>
  <c r="F58" i="20"/>
  <c r="D58" i="20"/>
  <c r="C58" i="20"/>
  <c r="L57" i="20"/>
  <c r="K57" i="20"/>
  <c r="G57" i="20"/>
  <c r="F57" i="20"/>
  <c r="D57" i="20"/>
  <c r="C57" i="20"/>
  <c r="L56" i="20"/>
  <c r="K56" i="20"/>
  <c r="G56" i="20"/>
  <c r="F56" i="20"/>
  <c r="D56" i="20"/>
  <c r="C56" i="20"/>
  <c r="L55" i="20"/>
  <c r="K55" i="20"/>
  <c r="G55" i="20"/>
  <c r="F55" i="20"/>
  <c r="D55" i="20"/>
  <c r="C55" i="20"/>
  <c r="L54" i="20"/>
  <c r="K54" i="20"/>
  <c r="G54" i="20"/>
  <c r="F54" i="20"/>
  <c r="D54" i="20"/>
  <c r="C54" i="20"/>
  <c r="L53" i="20"/>
  <c r="K53" i="20"/>
  <c r="G53" i="20"/>
  <c r="F53" i="20"/>
  <c r="D53" i="20"/>
  <c r="C53" i="20"/>
  <c r="L52" i="20"/>
  <c r="K52" i="20"/>
  <c r="G52" i="20"/>
  <c r="F52" i="20"/>
  <c r="D52" i="20"/>
  <c r="C52" i="20"/>
  <c r="L51" i="20"/>
  <c r="K51" i="20"/>
  <c r="G51" i="20"/>
  <c r="F51" i="20"/>
  <c r="D51" i="20"/>
  <c r="C51" i="20"/>
  <c r="L50" i="20"/>
  <c r="K50" i="20"/>
  <c r="G50" i="20"/>
  <c r="F50" i="20"/>
  <c r="D50" i="20"/>
  <c r="C50" i="20"/>
  <c r="L49" i="20"/>
  <c r="K49" i="20"/>
  <c r="G49" i="20"/>
  <c r="F49" i="20"/>
  <c r="D49" i="20"/>
  <c r="C49" i="20"/>
  <c r="L48" i="20"/>
  <c r="K48" i="20"/>
  <c r="G48" i="20"/>
  <c r="F48" i="20"/>
  <c r="D48" i="20"/>
  <c r="C48" i="20"/>
  <c r="L47" i="20"/>
  <c r="K47" i="20"/>
  <c r="G47" i="20"/>
  <c r="F47" i="20"/>
  <c r="D47" i="20"/>
  <c r="C47" i="20"/>
  <c r="L46" i="20"/>
  <c r="K46" i="20"/>
  <c r="G46" i="20"/>
  <c r="F46" i="20"/>
  <c r="D46" i="20"/>
  <c r="C46" i="20"/>
  <c r="L45" i="20"/>
  <c r="K45" i="20"/>
  <c r="G45" i="20"/>
  <c r="F45" i="20"/>
  <c r="D45" i="20"/>
  <c r="C45" i="20"/>
  <c r="L44" i="20"/>
  <c r="K44" i="20"/>
  <c r="G44" i="20"/>
  <c r="F44" i="20"/>
  <c r="D44" i="20"/>
  <c r="C44" i="20"/>
  <c r="L43" i="20"/>
  <c r="K43" i="20"/>
  <c r="G43" i="20"/>
  <c r="F43" i="20"/>
  <c r="D43" i="20"/>
  <c r="C43" i="20"/>
  <c r="L42" i="20"/>
  <c r="K42" i="20"/>
  <c r="G42" i="20"/>
  <c r="F42" i="20"/>
  <c r="D42" i="20"/>
  <c r="C42" i="20"/>
  <c r="L41" i="20"/>
  <c r="K41" i="20"/>
  <c r="G41" i="20"/>
  <c r="F41" i="20"/>
  <c r="D41" i="20"/>
  <c r="C41" i="20"/>
  <c r="L40" i="20"/>
  <c r="K40" i="20"/>
  <c r="G40" i="20"/>
  <c r="F40" i="20"/>
  <c r="D40" i="20"/>
  <c r="C40" i="20"/>
  <c r="L39" i="20"/>
  <c r="K39" i="20"/>
  <c r="G39" i="20"/>
  <c r="F39" i="20"/>
  <c r="D39" i="20"/>
  <c r="C39" i="20"/>
  <c r="L38" i="20"/>
  <c r="K38" i="20"/>
  <c r="G38" i="20"/>
  <c r="F38" i="20"/>
  <c r="D38" i="20"/>
  <c r="C38" i="20"/>
  <c r="L37" i="20"/>
  <c r="K37" i="20"/>
  <c r="G37" i="20"/>
  <c r="F37" i="20"/>
  <c r="D37" i="20"/>
  <c r="C37" i="20"/>
  <c r="L36" i="20"/>
  <c r="K36" i="20"/>
  <c r="G36" i="20"/>
  <c r="F36" i="20"/>
  <c r="D36" i="20"/>
  <c r="C36" i="20"/>
  <c r="L35" i="20"/>
  <c r="K35" i="20"/>
  <c r="G35" i="20"/>
  <c r="F35" i="20"/>
  <c r="D35" i="20"/>
  <c r="C35" i="20"/>
  <c r="L34" i="20"/>
  <c r="K34" i="20"/>
  <c r="G34" i="20"/>
  <c r="F34" i="20"/>
  <c r="D34" i="20"/>
  <c r="C34" i="20"/>
  <c r="L33" i="20"/>
  <c r="K33" i="20"/>
  <c r="G33" i="20"/>
  <c r="F33" i="20"/>
  <c r="D33" i="20"/>
  <c r="C33" i="20"/>
  <c r="L32" i="20"/>
  <c r="K32" i="20"/>
  <c r="G32" i="20"/>
  <c r="F32" i="20"/>
  <c r="D32" i="20"/>
  <c r="C32" i="20"/>
  <c r="L31" i="20"/>
  <c r="K31" i="20"/>
  <c r="G31" i="20"/>
  <c r="F31" i="20"/>
  <c r="D31" i="20"/>
  <c r="C31" i="20"/>
  <c r="L30" i="20"/>
  <c r="K30" i="20"/>
  <c r="G30" i="20"/>
  <c r="F30" i="20"/>
  <c r="D30" i="20"/>
  <c r="C30" i="20"/>
  <c r="L29" i="20"/>
  <c r="K29" i="20"/>
  <c r="G29" i="20"/>
  <c r="F29" i="20"/>
  <c r="D29" i="20"/>
  <c r="C29" i="20"/>
  <c r="L28" i="20"/>
  <c r="K28" i="20"/>
  <c r="G28" i="20"/>
  <c r="F28" i="20"/>
  <c r="D28" i="20"/>
  <c r="C28" i="20"/>
  <c r="L27" i="20"/>
  <c r="K27" i="20"/>
  <c r="G27" i="20"/>
  <c r="F27" i="20"/>
  <c r="D27" i="20"/>
  <c r="C27" i="20"/>
  <c r="L26" i="20"/>
  <c r="K26" i="20"/>
  <c r="G26" i="20"/>
  <c r="F26" i="20"/>
  <c r="D26" i="20"/>
  <c r="C26" i="20"/>
  <c r="L25" i="20"/>
  <c r="K25" i="20"/>
  <c r="G25" i="20"/>
  <c r="F25" i="20"/>
  <c r="D25" i="20"/>
  <c r="C25" i="20"/>
  <c r="L24" i="20"/>
  <c r="K24" i="20"/>
  <c r="G24" i="20"/>
  <c r="F24" i="20"/>
  <c r="D24" i="20"/>
  <c r="C24" i="20"/>
  <c r="L23" i="20"/>
  <c r="K23" i="20"/>
  <c r="G23" i="20"/>
  <c r="F23" i="20"/>
  <c r="D23" i="20"/>
  <c r="C23" i="20"/>
  <c r="L22" i="20"/>
  <c r="K22" i="20"/>
  <c r="G22" i="20"/>
  <c r="F22" i="20"/>
  <c r="D22" i="20"/>
  <c r="C22" i="20"/>
  <c r="L21" i="20"/>
  <c r="K21" i="20"/>
  <c r="G21" i="20"/>
  <c r="F21" i="20"/>
  <c r="D21" i="20"/>
  <c r="C21" i="20"/>
  <c r="L20" i="20"/>
  <c r="K20" i="20"/>
  <c r="G20" i="20"/>
  <c r="F20" i="20"/>
  <c r="D20" i="20"/>
  <c r="C20" i="20"/>
  <c r="L19" i="20"/>
  <c r="K19" i="20"/>
  <c r="G19" i="20"/>
  <c r="F19" i="20"/>
  <c r="D19" i="20"/>
  <c r="C19" i="20"/>
  <c r="L18" i="20"/>
  <c r="K18" i="20"/>
  <c r="G18" i="20"/>
  <c r="F18" i="20"/>
  <c r="D18" i="20"/>
  <c r="C18" i="20"/>
  <c r="L17" i="20"/>
  <c r="K17" i="20"/>
  <c r="G17" i="20"/>
  <c r="F17" i="20"/>
  <c r="D17" i="20"/>
  <c r="C17" i="20"/>
  <c r="L16" i="20"/>
  <c r="K16" i="20"/>
  <c r="G16" i="20"/>
  <c r="F16" i="20"/>
  <c r="D16" i="20"/>
  <c r="C16" i="20"/>
  <c r="L15" i="20"/>
  <c r="K15" i="20"/>
  <c r="G15" i="20"/>
  <c r="F15" i="20"/>
  <c r="D15" i="20"/>
  <c r="C15" i="20"/>
  <c r="L14" i="20"/>
  <c r="K14" i="20"/>
  <c r="G14" i="20"/>
  <c r="F14" i="20"/>
  <c r="D14" i="20"/>
  <c r="C14" i="20"/>
  <c r="L13" i="20"/>
  <c r="K13" i="20"/>
  <c r="G13" i="20"/>
  <c r="F13" i="20"/>
  <c r="D13" i="20"/>
  <c r="C13" i="20"/>
  <c r="L12" i="20"/>
  <c r="K12" i="20"/>
  <c r="G12" i="20"/>
  <c r="F12" i="20"/>
  <c r="D12" i="20"/>
  <c r="C12" i="20"/>
  <c r="L11" i="20"/>
  <c r="K11" i="20"/>
  <c r="G11" i="20"/>
  <c r="F11" i="20"/>
  <c r="D11" i="20"/>
  <c r="C11" i="20"/>
  <c r="L10" i="20"/>
  <c r="K10" i="20"/>
  <c r="G10" i="20"/>
  <c r="F10" i="20"/>
  <c r="D10" i="20"/>
  <c r="C10" i="20"/>
  <c r="L9" i="20"/>
  <c r="K9" i="20"/>
  <c r="G9" i="20"/>
  <c r="F9" i="20"/>
  <c r="D9" i="20"/>
  <c r="C9" i="20"/>
  <c r="L8" i="20"/>
  <c r="K8" i="20"/>
  <c r="G8" i="20"/>
  <c r="F8" i="20"/>
  <c r="D8" i="20"/>
  <c r="C8" i="20"/>
  <c r="L7" i="20"/>
  <c r="K7" i="20"/>
  <c r="G7" i="20"/>
  <c r="F7" i="20"/>
  <c r="D7" i="20"/>
  <c r="C7" i="20"/>
  <c r="L6" i="20"/>
  <c r="K6" i="20"/>
  <c r="G6" i="20"/>
  <c r="F6" i="20"/>
  <c r="D6" i="20"/>
  <c r="C6" i="20"/>
  <c r="L5" i="20"/>
  <c r="K5" i="20"/>
  <c r="G5" i="20"/>
  <c r="F5" i="20"/>
  <c r="D5" i="20"/>
  <c r="C5" i="20"/>
  <c r="L4" i="20"/>
  <c r="K4" i="20"/>
  <c r="G4" i="20"/>
  <c r="F4" i="20"/>
  <c r="D4" i="20"/>
  <c r="C4" i="20"/>
  <c r="L3" i="20"/>
  <c r="K3" i="20"/>
  <c r="G3" i="20"/>
  <c r="F3" i="20"/>
  <c r="D3" i="20"/>
  <c r="C3" i="20"/>
  <c r="L2" i="20"/>
  <c r="K2" i="20"/>
  <c r="G2" i="20"/>
  <c r="F2" i="20"/>
  <c r="D2" i="20"/>
  <c r="C2" i="20"/>
  <c r="D2" i="18"/>
  <c r="B19" i="19"/>
  <c r="I19" i="19"/>
  <c r="J19" i="19"/>
  <c r="I4" i="19"/>
  <c r="B4" i="19"/>
  <c r="J4" i="19"/>
  <c r="I5" i="19"/>
  <c r="B5" i="19"/>
  <c r="J5" i="19"/>
  <c r="I6" i="19"/>
  <c r="B6" i="19"/>
  <c r="J6" i="19"/>
  <c r="I7" i="19"/>
  <c r="B7" i="19"/>
  <c r="J7" i="19"/>
  <c r="I8" i="19"/>
  <c r="B8" i="19"/>
  <c r="J8" i="19"/>
  <c r="I9" i="19"/>
  <c r="B9" i="19"/>
  <c r="J9" i="19"/>
  <c r="I10" i="19"/>
  <c r="B10" i="19"/>
  <c r="J10" i="19"/>
  <c r="I11" i="19"/>
  <c r="B11" i="19"/>
  <c r="J11" i="19"/>
  <c r="I12" i="19"/>
  <c r="B12" i="19"/>
  <c r="J12" i="19"/>
  <c r="I13" i="19"/>
  <c r="B13" i="19"/>
  <c r="J13" i="19"/>
  <c r="I14" i="19"/>
  <c r="B14" i="19"/>
  <c r="J14" i="19"/>
  <c r="I15" i="19"/>
  <c r="B15" i="19"/>
  <c r="J15" i="19"/>
  <c r="I16" i="19"/>
  <c r="B16" i="19"/>
  <c r="J16" i="19"/>
  <c r="I17" i="19"/>
  <c r="B17" i="19"/>
  <c r="J17" i="19"/>
  <c r="I18" i="19"/>
  <c r="B18" i="19"/>
  <c r="J18" i="19"/>
  <c r="C33" i="18"/>
  <c r="D33" i="18"/>
  <c r="C34" i="18"/>
  <c r="D34" i="18"/>
  <c r="C35" i="18"/>
  <c r="D35" i="18"/>
  <c r="C36" i="18"/>
  <c r="D36" i="18"/>
  <c r="C37" i="18"/>
  <c r="D37" i="18"/>
  <c r="C38" i="18"/>
  <c r="D38" i="18"/>
  <c r="C39" i="18"/>
  <c r="D39" i="18"/>
  <c r="C40" i="18"/>
  <c r="D40" i="18"/>
  <c r="C41" i="18"/>
  <c r="D41" i="18"/>
  <c r="C42" i="18"/>
  <c r="D42" i="18"/>
  <c r="C43" i="18"/>
  <c r="D43" i="18"/>
  <c r="C44" i="18"/>
  <c r="D44" i="18"/>
  <c r="C45" i="18"/>
  <c r="D45" i="18"/>
  <c r="C46" i="18"/>
  <c r="D46" i="18"/>
  <c r="C47" i="18"/>
  <c r="D47" i="18"/>
  <c r="C48" i="18"/>
  <c r="D48" i="18"/>
  <c r="C49" i="18"/>
  <c r="D49" i="18"/>
  <c r="C50" i="18"/>
  <c r="D50" i="18"/>
  <c r="C51" i="18"/>
  <c r="D51" i="18"/>
  <c r="C52" i="18"/>
  <c r="D52" i="18"/>
  <c r="C53" i="18"/>
  <c r="D53" i="18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C19" i="18"/>
  <c r="D19" i="18"/>
  <c r="C20" i="18"/>
  <c r="D20" i="18"/>
  <c r="C21" i="18"/>
  <c r="D21" i="18"/>
  <c r="C22" i="18"/>
  <c r="D22" i="18"/>
  <c r="C23" i="18"/>
  <c r="D23" i="18"/>
  <c r="C24" i="18"/>
  <c r="D24" i="18"/>
  <c r="C25" i="18"/>
  <c r="D25" i="18"/>
  <c r="C26" i="18"/>
  <c r="D26" i="18"/>
  <c r="C27" i="18"/>
  <c r="D27" i="18"/>
  <c r="C28" i="18"/>
  <c r="D28" i="18"/>
  <c r="C29" i="18"/>
  <c r="D29" i="18"/>
  <c r="C30" i="18"/>
  <c r="D30" i="18"/>
  <c r="C31" i="18"/>
  <c r="D31" i="18"/>
  <c r="C32" i="18"/>
  <c r="D32" i="18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J3" i="11"/>
  <c r="O86" i="9"/>
  <c r="N86" i="9"/>
  <c r="M86" i="9"/>
  <c r="L86" i="9"/>
  <c r="K86" i="9"/>
  <c r="J86" i="9"/>
  <c r="I86" i="9"/>
  <c r="H86" i="9"/>
  <c r="G86" i="9"/>
  <c r="E86" i="9"/>
  <c r="D86" i="9"/>
  <c r="A86" i="9"/>
  <c r="J2" i="11"/>
  <c r="O85" i="9"/>
  <c r="N85" i="9"/>
  <c r="M85" i="9"/>
  <c r="L85" i="9"/>
  <c r="K85" i="9"/>
  <c r="J85" i="9"/>
  <c r="I85" i="9"/>
  <c r="H85" i="9"/>
  <c r="G85" i="9"/>
  <c r="E85" i="9"/>
  <c r="D85" i="9"/>
  <c r="A85" i="9"/>
  <c r="J5" i="11"/>
  <c r="O84" i="9"/>
  <c r="N84" i="9"/>
  <c r="M84" i="9"/>
  <c r="L84" i="9"/>
  <c r="K84" i="9"/>
  <c r="J84" i="9"/>
  <c r="I84" i="9"/>
  <c r="H84" i="9"/>
  <c r="G84" i="9"/>
  <c r="E84" i="9"/>
  <c r="D84" i="9"/>
  <c r="A84" i="9"/>
  <c r="J4" i="11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AB60" i="1"/>
  <c r="AD60" i="1"/>
  <c r="AG60" i="1"/>
  <c r="AE60" i="1"/>
  <c r="AC60" i="1"/>
  <c r="W60" i="1"/>
  <c r="V60" i="1"/>
  <c r="Q60" i="1"/>
  <c r="P60" i="1"/>
  <c r="O60" i="1"/>
  <c r="N60" i="1"/>
  <c r="M60" i="1"/>
  <c r="H60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J60" i="1"/>
  <c r="I60" i="1"/>
  <c r="D60" i="1"/>
  <c r="F60" i="1"/>
  <c r="E60" i="1"/>
  <c r="A60" i="1"/>
  <c r="AB59" i="1"/>
  <c r="AD59" i="1"/>
  <c r="AG59" i="1"/>
  <c r="AE59" i="1"/>
  <c r="AC59" i="1"/>
  <c r="W59" i="1"/>
  <c r="V59" i="1"/>
  <c r="Q59" i="1"/>
  <c r="P59" i="1"/>
  <c r="O59" i="1"/>
  <c r="N59" i="1"/>
  <c r="M59" i="1"/>
  <c r="H59" i="1"/>
  <c r="J59" i="1"/>
  <c r="I59" i="1"/>
  <c r="D59" i="1"/>
  <c r="F59" i="1"/>
  <c r="E59" i="1"/>
  <c r="A59" i="1"/>
  <c r="AB62" i="1"/>
  <c r="AD62" i="1"/>
  <c r="AG62" i="1"/>
  <c r="AE62" i="1"/>
  <c r="AC62" i="1"/>
  <c r="W62" i="1"/>
  <c r="V62" i="1"/>
  <c r="Q62" i="1"/>
  <c r="P62" i="1"/>
  <c r="O62" i="1"/>
  <c r="N62" i="1"/>
  <c r="M62" i="1"/>
  <c r="H62" i="1"/>
  <c r="J62" i="1"/>
  <c r="I62" i="1"/>
  <c r="D62" i="1"/>
  <c r="F62" i="1"/>
  <c r="E62" i="1"/>
  <c r="A62" i="1"/>
  <c r="AB61" i="1"/>
  <c r="AD61" i="1"/>
  <c r="AG61" i="1"/>
  <c r="AE61" i="1"/>
  <c r="AC61" i="1"/>
  <c r="W61" i="1"/>
  <c r="V61" i="1"/>
  <c r="Q61" i="1"/>
  <c r="P61" i="1"/>
  <c r="O61" i="1"/>
  <c r="N61" i="1"/>
  <c r="M61" i="1"/>
  <c r="H61" i="1"/>
  <c r="J61" i="1"/>
  <c r="I61" i="1"/>
  <c r="D61" i="1"/>
  <c r="F61" i="1"/>
  <c r="E61" i="1"/>
  <c r="A61" i="1"/>
  <c r="W40" i="1"/>
  <c r="W41" i="1"/>
  <c r="W42" i="1"/>
  <c r="W43" i="1"/>
  <c r="W44" i="1"/>
  <c r="W45" i="1"/>
  <c r="W46" i="1"/>
  <c r="W47" i="1"/>
  <c r="AB47" i="1"/>
  <c r="AD47" i="1"/>
  <c r="AG47" i="1"/>
  <c r="AE47" i="1"/>
  <c r="AC47" i="1"/>
  <c r="V47" i="1"/>
  <c r="Q47" i="1"/>
  <c r="P47" i="1"/>
  <c r="O47" i="1"/>
  <c r="N47" i="1"/>
  <c r="M47" i="1"/>
  <c r="H47" i="1"/>
  <c r="J47" i="1"/>
  <c r="I47" i="1"/>
  <c r="D47" i="1"/>
  <c r="F47" i="1"/>
  <c r="E47" i="1"/>
  <c r="A47" i="1"/>
  <c r="AB46" i="1"/>
  <c r="AD46" i="1"/>
  <c r="AG46" i="1"/>
  <c r="AE46" i="1"/>
  <c r="AC46" i="1"/>
  <c r="V46" i="1"/>
  <c r="Q46" i="1"/>
  <c r="P46" i="1"/>
  <c r="O46" i="1"/>
  <c r="N46" i="1"/>
  <c r="M46" i="1"/>
  <c r="H46" i="1"/>
  <c r="J46" i="1"/>
  <c r="I46" i="1"/>
  <c r="D46" i="1"/>
  <c r="F46" i="1"/>
  <c r="E46" i="1"/>
  <c r="A46" i="1"/>
  <c r="AB45" i="1"/>
  <c r="AD45" i="1"/>
  <c r="AG45" i="1"/>
  <c r="AE45" i="1"/>
  <c r="AC45" i="1"/>
  <c r="V45" i="1"/>
  <c r="Q45" i="1"/>
  <c r="P45" i="1"/>
  <c r="O45" i="1"/>
  <c r="N45" i="1"/>
  <c r="M45" i="1"/>
  <c r="H45" i="1"/>
  <c r="J45" i="1"/>
  <c r="I45" i="1"/>
  <c r="D45" i="1"/>
  <c r="F45" i="1"/>
  <c r="E45" i="1"/>
  <c r="A45" i="1"/>
  <c r="AB44" i="1"/>
  <c r="AD44" i="1"/>
  <c r="AG44" i="1"/>
  <c r="AE44" i="1"/>
  <c r="AC44" i="1"/>
  <c r="V44" i="1"/>
  <c r="Q44" i="1"/>
  <c r="P44" i="1"/>
  <c r="O44" i="1"/>
  <c r="N44" i="1"/>
  <c r="M44" i="1"/>
  <c r="H44" i="1"/>
  <c r="J44" i="1"/>
  <c r="I44" i="1"/>
  <c r="D44" i="1"/>
  <c r="F44" i="1"/>
  <c r="E44" i="1"/>
  <c r="A44" i="1"/>
  <c r="AB43" i="1"/>
  <c r="AD43" i="1"/>
  <c r="AG43" i="1"/>
  <c r="AE43" i="1"/>
  <c r="AC43" i="1"/>
  <c r="V43" i="1"/>
  <c r="Q43" i="1"/>
  <c r="P43" i="1"/>
  <c r="O43" i="1"/>
  <c r="N43" i="1"/>
  <c r="M43" i="1"/>
  <c r="H43" i="1"/>
  <c r="J43" i="1"/>
  <c r="I43" i="1"/>
  <c r="D43" i="1"/>
  <c r="F43" i="1"/>
  <c r="E43" i="1"/>
  <c r="A43" i="1"/>
  <c r="AB42" i="1"/>
  <c r="AD42" i="1"/>
  <c r="AG42" i="1"/>
  <c r="AE42" i="1"/>
  <c r="AC42" i="1"/>
  <c r="V42" i="1"/>
  <c r="Q42" i="1"/>
  <c r="P42" i="1"/>
  <c r="O42" i="1"/>
  <c r="N42" i="1"/>
  <c r="M42" i="1"/>
  <c r="H42" i="1"/>
  <c r="J42" i="1"/>
  <c r="I42" i="1"/>
  <c r="D42" i="1"/>
  <c r="F42" i="1"/>
  <c r="E42" i="1"/>
  <c r="A42" i="1"/>
  <c r="AB41" i="1"/>
  <c r="AD41" i="1"/>
  <c r="AG41" i="1"/>
  <c r="AE41" i="1"/>
  <c r="AC41" i="1"/>
  <c r="V41" i="1"/>
  <c r="Q41" i="1"/>
  <c r="P41" i="1"/>
  <c r="O41" i="1"/>
  <c r="N41" i="1"/>
  <c r="M41" i="1"/>
  <c r="H41" i="1"/>
  <c r="J41" i="1"/>
  <c r="I41" i="1"/>
  <c r="D41" i="1"/>
  <c r="F41" i="1"/>
  <c r="E41" i="1"/>
  <c r="A41" i="1"/>
  <c r="W85" i="1"/>
  <c r="W84" i="1"/>
  <c r="W83" i="1"/>
  <c r="W82" i="1"/>
  <c r="W81" i="1"/>
  <c r="W80" i="1"/>
  <c r="W79" i="1"/>
  <c r="W78" i="1"/>
  <c r="W77" i="1"/>
  <c r="W76" i="1"/>
  <c r="W75" i="1"/>
  <c r="W73" i="1"/>
  <c r="W72" i="1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J22" i="11"/>
  <c r="J21" i="11"/>
  <c r="J46" i="11"/>
  <c r="J45" i="11"/>
  <c r="AB85" i="1"/>
  <c r="AD85" i="1"/>
  <c r="AG85" i="1"/>
  <c r="AE85" i="1"/>
  <c r="AC85" i="1"/>
  <c r="V85" i="1"/>
  <c r="Q85" i="1"/>
  <c r="P85" i="1"/>
  <c r="O85" i="1"/>
  <c r="N85" i="1"/>
  <c r="M85" i="1"/>
  <c r="H85" i="1"/>
  <c r="J85" i="1"/>
  <c r="I85" i="1"/>
  <c r="D85" i="1"/>
  <c r="F85" i="1"/>
  <c r="E85" i="1"/>
  <c r="A85" i="1"/>
  <c r="AB76" i="1"/>
  <c r="AD76" i="1"/>
  <c r="AG76" i="1"/>
  <c r="AE76" i="1"/>
  <c r="AC76" i="1"/>
  <c r="V76" i="1"/>
  <c r="Q76" i="1"/>
  <c r="P76" i="1"/>
  <c r="O76" i="1"/>
  <c r="N76" i="1"/>
  <c r="M76" i="1"/>
  <c r="H76" i="1"/>
  <c r="J76" i="1"/>
  <c r="I76" i="1"/>
  <c r="D76" i="1"/>
  <c r="F76" i="1"/>
  <c r="E76" i="1"/>
  <c r="A76" i="1"/>
  <c r="AB75" i="1"/>
  <c r="AD75" i="1"/>
  <c r="AG75" i="1"/>
  <c r="AE75" i="1"/>
  <c r="AC75" i="1"/>
  <c r="V75" i="1"/>
  <c r="Q75" i="1"/>
  <c r="P75" i="1"/>
  <c r="O75" i="1"/>
  <c r="N75" i="1"/>
  <c r="M75" i="1"/>
  <c r="H75" i="1"/>
  <c r="J75" i="1"/>
  <c r="I75" i="1"/>
  <c r="D75" i="1"/>
  <c r="F75" i="1"/>
  <c r="E75" i="1"/>
  <c r="A75" i="1"/>
  <c r="AB74" i="1"/>
  <c r="AD74" i="1"/>
  <c r="AG74" i="1"/>
  <c r="AE74" i="1"/>
  <c r="AC74" i="1"/>
  <c r="V74" i="1"/>
  <c r="Q74" i="1"/>
  <c r="P74" i="1"/>
  <c r="O74" i="1"/>
  <c r="N74" i="1"/>
  <c r="M74" i="1"/>
  <c r="H74" i="1"/>
  <c r="J74" i="1"/>
  <c r="I74" i="1"/>
  <c r="D74" i="1"/>
  <c r="F74" i="1"/>
  <c r="E74" i="1"/>
  <c r="A74" i="1"/>
  <c r="AB73" i="1"/>
  <c r="AD73" i="1"/>
  <c r="AG73" i="1"/>
  <c r="AE73" i="1"/>
  <c r="AC73" i="1"/>
  <c r="V73" i="1"/>
  <c r="Q73" i="1"/>
  <c r="P73" i="1"/>
  <c r="O73" i="1"/>
  <c r="N73" i="1"/>
  <c r="M73" i="1"/>
  <c r="H73" i="1"/>
  <c r="J73" i="1"/>
  <c r="I73" i="1"/>
  <c r="D73" i="1"/>
  <c r="F73" i="1"/>
  <c r="E73" i="1"/>
  <c r="A73" i="1"/>
  <c r="AB70" i="1"/>
  <c r="AD70" i="1"/>
  <c r="AG70" i="1"/>
  <c r="AE70" i="1"/>
  <c r="AC70" i="1"/>
  <c r="W70" i="1"/>
  <c r="V70" i="1"/>
  <c r="Q70" i="1"/>
  <c r="P70" i="1"/>
  <c r="O70" i="1"/>
  <c r="N70" i="1"/>
  <c r="M70" i="1"/>
  <c r="H70" i="1"/>
  <c r="J70" i="1"/>
  <c r="I70" i="1"/>
  <c r="D70" i="1"/>
  <c r="F70" i="1"/>
  <c r="E70" i="1"/>
  <c r="A70" i="1"/>
  <c r="AB69" i="1"/>
  <c r="AD69" i="1"/>
  <c r="AG69" i="1"/>
  <c r="AE69" i="1"/>
  <c r="AC69" i="1"/>
  <c r="W69" i="1"/>
  <c r="V69" i="1"/>
  <c r="Q69" i="1"/>
  <c r="P69" i="1"/>
  <c r="O69" i="1"/>
  <c r="N69" i="1"/>
  <c r="M69" i="1"/>
  <c r="H69" i="1"/>
  <c r="J69" i="1"/>
  <c r="I69" i="1"/>
  <c r="D69" i="1"/>
  <c r="F69" i="1"/>
  <c r="E69" i="1"/>
  <c r="A69" i="1"/>
  <c r="AB68" i="1"/>
  <c r="AD68" i="1"/>
  <c r="AG68" i="1"/>
  <c r="AE68" i="1"/>
  <c r="AC68" i="1"/>
  <c r="W68" i="1"/>
  <c r="V68" i="1"/>
  <c r="Q68" i="1"/>
  <c r="P68" i="1"/>
  <c r="O68" i="1"/>
  <c r="N68" i="1"/>
  <c r="M68" i="1"/>
  <c r="H68" i="1"/>
  <c r="J68" i="1"/>
  <c r="I68" i="1"/>
  <c r="D68" i="1"/>
  <c r="F68" i="1"/>
  <c r="E68" i="1"/>
  <c r="A68" i="1"/>
  <c r="AB67" i="1"/>
  <c r="AD67" i="1"/>
  <c r="AG67" i="1"/>
  <c r="AE67" i="1"/>
  <c r="AC67" i="1"/>
  <c r="W67" i="1"/>
  <c r="V67" i="1"/>
  <c r="Q67" i="1"/>
  <c r="P67" i="1"/>
  <c r="O67" i="1"/>
  <c r="N67" i="1"/>
  <c r="M67" i="1"/>
  <c r="H67" i="1"/>
  <c r="J67" i="1"/>
  <c r="I67" i="1"/>
  <c r="D67" i="1"/>
  <c r="F67" i="1"/>
  <c r="E67" i="1"/>
  <c r="A67" i="1"/>
  <c r="AB66" i="1"/>
  <c r="AD66" i="1"/>
  <c r="AG66" i="1"/>
  <c r="AE66" i="1"/>
  <c r="AC66" i="1"/>
  <c r="W66" i="1"/>
  <c r="V66" i="1"/>
  <c r="Q66" i="1"/>
  <c r="P66" i="1"/>
  <c r="O66" i="1"/>
  <c r="N66" i="1"/>
  <c r="M66" i="1"/>
  <c r="H66" i="1"/>
  <c r="J66" i="1"/>
  <c r="I66" i="1"/>
  <c r="D66" i="1"/>
  <c r="F66" i="1"/>
  <c r="E66" i="1"/>
  <c r="A66" i="1"/>
  <c r="AB65" i="1"/>
  <c r="AD65" i="1"/>
  <c r="AG65" i="1"/>
  <c r="AE65" i="1"/>
  <c r="AC65" i="1"/>
  <c r="W65" i="1"/>
  <c r="V65" i="1"/>
  <c r="Q65" i="1"/>
  <c r="P65" i="1"/>
  <c r="O65" i="1"/>
  <c r="N65" i="1"/>
  <c r="M65" i="1"/>
  <c r="H65" i="1"/>
  <c r="J65" i="1"/>
  <c r="I65" i="1"/>
  <c r="D65" i="1"/>
  <c r="F65" i="1"/>
  <c r="E65" i="1"/>
  <c r="A65" i="1"/>
  <c r="J42" i="11"/>
  <c r="J43" i="11"/>
  <c r="J44" i="11"/>
  <c r="J41" i="11"/>
  <c r="W63" i="1"/>
  <c r="W64" i="1"/>
  <c r="L6" i="10"/>
  <c r="M6" i="10"/>
  <c r="M20" i="10"/>
  <c r="N20" i="10"/>
  <c r="Q20" i="10"/>
  <c r="P20" i="10"/>
  <c r="R20" i="10"/>
  <c r="O20" i="10"/>
  <c r="S20" i="10"/>
  <c r="N6" i="10"/>
  <c r="O6" i="10"/>
  <c r="P6" i="10"/>
  <c r="Q6" i="10"/>
  <c r="R6" i="10"/>
  <c r="S6" i="10"/>
  <c r="T6" i="10"/>
  <c r="U6" i="10"/>
  <c r="V6" i="10"/>
  <c r="W6" i="10"/>
  <c r="X6" i="10"/>
  <c r="Y6" i="10"/>
  <c r="L7" i="10"/>
  <c r="M7" i="10"/>
  <c r="M21" i="10"/>
  <c r="N21" i="10"/>
  <c r="Q21" i="10"/>
  <c r="P21" i="10"/>
  <c r="R21" i="10"/>
  <c r="O21" i="10"/>
  <c r="S21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J8" i="10"/>
  <c r="I8" i="10"/>
  <c r="K8" i="10"/>
  <c r="H8" i="10"/>
  <c r="L8" i="10"/>
  <c r="M8" i="10"/>
  <c r="M22" i="10"/>
  <c r="N22" i="10"/>
  <c r="Q22" i="10"/>
  <c r="P22" i="10"/>
  <c r="R22" i="10"/>
  <c r="O22" i="10"/>
  <c r="S22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J9" i="10"/>
  <c r="I9" i="10"/>
  <c r="K9" i="10"/>
  <c r="H9" i="10"/>
  <c r="L9" i="10"/>
  <c r="M9" i="10"/>
  <c r="M23" i="10"/>
  <c r="N23" i="10"/>
  <c r="Q23" i="10"/>
  <c r="P23" i="10"/>
  <c r="R23" i="10"/>
  <c r="O23" i="10"/>
  <c r="S23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J10" i="10"/>
  <c r="I10" i="10"/>
  <c r="K10" i="10"/>
  <c r="H10" i="10"/>
  <c r="L10" i="10"/>
  <c r="M10" i="10"/>
  <c r="M24" i="10"/>
  <c r="N24" i="10"/>
  <c r="Q24" i="10"/>
  <c r="P24" i="10"/>
  <c r="R24" i="10"/>
  <c r="O24" i="10"/>
  <c r="S24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J11" i="10"/>
  <c r="I11" i="10"/>
  <c r="K11" i="10"/>
  <c r="H11" i="10"/>
  <c r="L11" i="10"/>
  <c r="M11" i="10"/>
  <c r="M25" i="10"/>
  <c r="N25" i="10"/>
  <c r="Q25" i="10"/>
  <c r="P25" i="10"/>
  <c r="R25" i="10"/>
  <c r="O25" i="10"/>
  <c r="S25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L12" i="10"/>
  <c r="M12" i="10"/>
  <c r="M26" i="10"/>
  <c r="N26" i="10"/>
  <c r="Q26" i="10"/>
  <c r="P26" i="10"/>
  <c r="R26" i="10"/>
  <c r="O26" i="10"/>
  <c r="S26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L13" i="10"/>
  <c r="M13" i="10"/>
  <c r="M27" i="10"/>
  <c r="N27" i="10"/>
  <c r="Q27" i="10"/>
  <c r="P27" i="10"/>
  <c r="R27" i="10"/>
  <c r="O27" i="10"/>
  <c r="S27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J14" i="10"/>
  <c r="I14" i="10"/>
  <c r="K14" i="10"/>
  <c r="H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W99" i="1"/>
  <c r="W97" i="1"/>
  <c r="W96" i="1"/>
  <c r="AD99" i="1"/>
  <c r="AG99" i="1"/>
  <c r="AE99" i="1"/>
  <c r="AC99" i="1"/>
  <c r="E2" i="9"/>
  <c r="V99" i="1"/>
  <c r="Q99" i="1"/>
  <c r="P99" i="1"/>
  <c r="O99" i="1"/>
  <c r="N99" i="1"/>
  <c r="M99" i="1"/>
  <c r="H99" i="1"/>
  <c r="J99" i="1"/>
  <c r="I99" i="1"/>
  <c r="D99" i="1"/>
  <c r="F99" i="1"/>
  <c r="E99" i="1"/>
  <c r="A99" i="1"/>
  <c r="AD98" i="1"/>
  <c r="AG98" i="1"/>
  <c r="AE98" i="1"/>
  <c r="AC98" i="1"/>
  <c r="V98" i="1"/>
  <c r="Q98" i="1"/>
  <c r="P98" i="1"/>
  <c r="O98" i="1"/>
  <c r="N98" i="1"/>
  <c r="M98" i="1"/>
  <c r="H98" i="1"/>
  <c r="J98" i="1"/>
  <c r="I98" i="1"/>
  <c r="D98" i="1"/>
  <c r="F98" i="1"/>
  <c r="E98" i="1"/>
  <c r="A98" i="1"/>
  <c r="AD97" i="1"/>
  <c r="AG97" i="1"/>
  <c r="AE97" i="1"/>
  <c r="AC97" i="1"/>
  <c r="V97" i="1"/>
  <c r="Q97" i="1"/>
  <c r="P97" i="1"/>
  <c r="O97" i="1"/>
  <c r="N97" i="1"/>
  <c r="M97" i="1"/>
  <c r="H97" i="1"/>
  <c r="J97" i="1"/>
  <c r="I97" i="1"/>
  <c r="D97" i="1"/>
  <c r="F97" i="1"/>
  <c r="E97" i="1"/>
  <c r="A97" i="1"/>
  <c r="O27" i="9"/>
  <c r="N27" i="9"/>
  <c r="M27" i="9"/>
  <c r="L27" i="9"/>
  <c r="K27" i="9"/>
  <c r="J27" i="9"/>
  <c r="I27" i="9"/>
  <c r="H27" i="9"/>
  <c r="G27" i="9"/>
  <c r="E27" i="9"/>
  <c r="D27" i="9"/>
  <c r="A27" i="9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J38" i="11"/>
  <c r="O78" i="9"/>
  <c r="N78" i="9"/>
  <c r="M78" i="9"/>
  <c r="L78" i="9"/>
  <c r="K78" i="9"/>
  <c r="J78" i="9"/>
  <c r="I78" i="9"/>
  <c r="H78" i="9"/>
  <c r="G78" i="9"/>
  <c r="E78" i="9"/>
  <c r="D78" i="9"/>
  <c r="A78" i="9"/>
  <c r="J37" i="11"/>
  <c r="O77" i="9"/>
  <c r="N77" i="9"/>
  <c r="M77" i="9"/>
  <c r="L77" i="9"/>
  <c r="K77" i="9"/>
  <c r="J77" i="9"/>
  <c r="I77" i="9"/>
  <c r="H77" i="9"/>
  <c r="G77" i="9"/>
  <c r="E77" i="9"/>
  <c r="D77" i="9"/>
  <c r="A77" i="9"/>
  <c r="J36" i="11"/>
  <c r="O76" i="9"/>
  <c r="N76" i="9"/>
  <c r="M76" i="9"/>
  <c r="L76" i="9"/>
  <c r="K76" i="9"/>
  <c r="J76" i="9"/>
  <c r="I76" i="9"/>
  <c r="H76" i="9"/>
  <c r="G76" i="9"/>
  <c r="E76" i="9"/>
  <c r="D76" i="9"/>
  <c r="A76" i="9"/>
  <c r="J35" i="11"/>
  <c r="O75" i="9"/>
  <c r="N75" i="9"/>
  <c r="M75" i="9"/>
  <c r="L75" i="9"/>
  <c r="K75" i="9"/>
  <c r="J75" i="9"/>
  <c r="I75" i="9"/>
  <c r="H75" i="9"/>
  <c r="G75" i="9"/>
  <c r="E75" i="9"/>
  <c r="D75" i="9"/>
  <c r="A75" i="9"/>
  <c r="J34" i="11"/>
  <c r="O74" i="9"/>
  <c r="N74" i="9"/>
  <c r="M74" i="9"/>
  <c r="L74" i="9"/>
  <c r="K74" i="9"/>
  <c r="J74" i="9"/>
  <c r="I74" i="9"/>
  <c r="H74" i="9"/>
  <c r="G74" i="9"/>
  <c r="E74" i="9"/>
  <c r="D74" i="9"/>
  <c r="A74" i="9"/>
  <c r="J33" i="11"/>
  <c r="O73" i="9"/>
  <c r="N73" i="9"/>
  <c r="M73" i="9"/>
  <c r="L73" i="9"/>
  <c r="K73" i="9"/>
  <c r="J73" i="9"/>
  <c r="I73" i="9"/>
  <c r="H73" i="9"/>
  <c r="G73" i="9"/>
  <c r="E73" i="9"/>
  <c r="D73" i="9"/>
  <c r="A73" i="9"/>
  <c r="J32" i="11"/>
  <c r="O72" i="9"/>
  <c r="N72" i="9"/>
  <c r="M72" i="9"/>
  <c r="L72" i="9"/>
  <c r="K72" i="9"/>
  <c r="J72" i="9"/>
  <c r="I72" i="9"/>
  <c r="H72" i="9"/>
  <c r="G72" i="9"/>
  <c r="E72" i="9"/>
  <c r="D72" i="9"/>
  <c r="A72" i="9"/>
  <c r="J31" i="11"/>
  <c r="O71" i="9"/>
  <c r="N71" i="9"/>
  <c r="M71" i="9"/>
  <c r="L71" i="9"/>
  <c r="K71" i="9"/>
  <c r="J71" i="9"/>
  <c r="I71" i="9"/>
  <c r="H71" i="9"/>
  <c r="G71" i="9"/>
  <c r="E71" i="9"/>
  <c r="D71" i="9"/>
  <c r="A71" i="9"/>
  <c r="J30" i="11"/>
  <c r="O70" i="9"/>
  <c r="N70" i="9"/>
  <c r="M70" i="9"/>
  <c r="L70" i="9"/>
  <c r="K70" i="9"/>
  <c r="J70" i="9"/>
  <c r="I70" i="9"/>
  <c r="H70" i="9"/>
  <c r="G70" i="9"/>
  <c r="E70" i="9"/>
  <c r="D70" i="9"/>
  <c r="A70" i="9"/>
  <c r="J29" i="11"/>
  <c r="O69" i="9"/>
  <c r="N69" i="9"/>
  <c r="M69" i="9"/>
  <c r="L69" i="9"/>
  <c r="K69" i="9"/>
  <c r="J69" i="9"/>
  <c r="I69" i="9"/>
  <c r="H69" i="9"/>
  <c r="G69" i="9"/>
  <c r="E69" i="9"/>
  <c r="D69" i="9"/>
  <c r="A69" i="9"/>
  <c r="J28" i="11"/>
  <c r="O68" i="9"/>
  <c r="N68" i="9"/>
  <c r="M68" i="9"/>
  <c r="L68" i="9"/>
  <c r="K68" i="9"/>
  <c r="J68" i="9"/>
  <c r="I68" i="9"/>
  <c r="H68" i="9"/>
  <c r="G68" i="9"/>
  <c r="E68" i="9"/>
  <c r="D68" i="9"/>
  <c r="A68" i="9"/>
  <c r="J27" i="11"/>
  <c r="O67" i="9"/>
  <c r="N67" i="9"/>
  <c r="M67" i="9"/>
  <c r="L67" i="9"/>
  <c r="K67" i="9"/>
  <c r="J67" i="9"/>
  <c r="I67" i="9"/>
  <c r="H67" i="9"/>
  <c r="G67" i="9"/>
  <c r="E67" i="9"/>
  <c r="D67" i="9"/>
  <c r="A67" i="9"/>
  <c r="J26" i="11"/>
  <c r="O66" i="9"/>
  <c r="N66" i="9"/>
  <c r="M66" i="9"/>
  <c r="L66" i="9"/>
  <c r="K66" i="9"/>
  <c r="J66" i="9"/>
  <c r="I66" i="9"/>
  <c r="H66" i="9"/>
  <c r="G66" i="9"/>
  <c r="E66" i="9"/>
  <c r="D66" i="9"/>
  <c r="A66" i="9"/>
  <c r="J25" i="11"/>
  <c r="O65" i="9"/>
  <c r="N65" i="9"/>
  <c r="M65" i="9"/>
  <c r="L65" i="9"/>
  <c r="K65" i="9"/>
  <c r="J65" i="9"/>
  <c r="I65" i="9"/>
  <c r="H65" i="9"/>
  <c r="G65" i="9"/>
  <c r="E65" i="9"/>
  <c r="D65" i="9"/>
  <c r="A65" i="9"/>
  <c r="J24" i="11"/>
  <c r="O64" i="9"/>
  <c r="N64" i="9"/>
  <c r="M64" i="9"/>
  <c r="L64" i="9"/>
  <c r="K64" i="9"/>
  <c r="J64" i="9"/>
  <c r="I64" i="9"/>
  <c r="H64" i="9"/>
  <c r="G64" i="9"/>
  <c r="E64" i="9"/>
  <c r="D64" i="9"/>
  <c r="A64" i="9"/>
  <c r="J23" i="11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J20" i="11"/>
  <c r="O60" i="9"/>
  <c r="N60" i="9"/>
  <c r="M60" i="9"/>
  <c r="L60" i="9"/>
  <c r="K60" i="9"/>
  <c r="J60" i="9"/>
  <c r="I60" i="9"/>
  <c r="H60" i="9"/>
  <c r="G60" i="9"/>
  <c r="E60" i="9"/>
  <c r="D60" i="9"/>
  <c r="A60" i="9"/>
  <c r="J19" i="11"/>
  <c r="O59" i="9"/>
  <c r="N59" i="9"/>
  <c r="M59" i="9"/>
  <c r="L59" i="9"/>
  <c r="K59" i="9"/>
  <c r="J59" i="9"/>
  <c r="I59" i="9"/>
  <c r="H59" i="9"/>
  <c r="G59" i="9"/>
  <c r="E59" i="9"/>
  <c r="D59" i="9"/>
  <c r="A59" i="9"/>
  <c r="J18" i="11"/>
  <c r="O58" i="9"/>
  <c r="N58" i="9"/>
  <c r="M58" i="9"/>
  <c r="L58" i="9"/>
  <c r="K58" i="9"/>
  <c r="J58" i="9"/>
  <c r="I58" i="9"/>
  <c r="H58" i="9"/>
  <c r="G58" i="9"/>
  <c r="E58" i="9"/>
  <c r="D58" i="9"/>
  <c r="A58" i="9"/>
  <c r="J17" i="11"/>
  <c r="O57" i="9"/>
  <c r="N57" i="9"/>
  <c r="M57" i="9"/>
  <c r="L57" i="9"/>
  <c r="K57" i="9"/>
  <c r="J57" i="9"/>
  <c r="I57" i="9"/>
  <c r="H57" i="9"/>
  <c r="G57" i="9"/>
  <c r="E57" i="9"/>
  <c r="D57" i="9"/>
  <c r="A57" i="9"/>
  <c r="M38" i="10"/>
  <c r="M48" i="10"/>
  <c r="N48" i="10"/>
  <c r="Q48" i="10"/>
  <c r="P48" i="10"/>
  <c r="R48" i="10"/>
  <c r="O48" i="10"/>
  <c r="S48" i="10"/>
  <c r="N38" i="10"/>
  <c r="Q38" i="10"/>
  <c r="P38" i="10"/>
  <c r="R38" i="10"/>
  <c r="O38" i="10"/>
  <c r="S38" i="10"/>
  <c r="M29" i="10"/>
  <c r="M39" i="10"/>
  <c r="M49" i="10"/>
  <c r="N49" i="10"/>
  <c r="Q49" i="10"/>
  <c r="P49" i="10"/>
  <c r="R49" i="10"/>
  <c r="O49" i="10"/>
  <c r="S49" i="10"/>
  <c r="N39" i="10"/>
  <c r="Q39" i="10"/>
  <c r="P39" i="10"/>
  <c r="R39" i="10"/>
  <c r="O39" i="10"/>
  <c r="S39" i="10"/>
  <c r="N29" i="10"/>
  <c r="Q29" i="10"/>
  <c r="P29" i="10"/>
  <c r="R29" i="10"/>
  <c r="O29" i="10"/>
  <c r="S29" i="10"/>
  <c r="M30" i="10"/>
  <c r="M40" i="10"/>
  <c r="M50" i="10"/>
  <c r="N50" i="10"/>
  <c r="Q50" i="10"/>
  <c r="P50" i="10"/>
  <c r="R50" i="10"/>
  <c r="O50" i="10"/>
  <c r="S50" i="10"/>
  <c r="N40" i="10"/>
  <c r="Q40" i="10"/>
  <c r="P40" i="10"/>
  <c r="R40" i="10"/>
  <c r="O40" i="10"/>
  <c r="S40" i="10"/>
  <c r="N30" i="10"/>
  <c r="Q30" i="10"/>
  <c r="P30" i="10"/>
  <c r="R30" i="10"/>
  <c r="O30" i="10"/>
  <c r="S30" i="10"/>
  <c r="M31" i="10"/>
  <c r="M41" i="10"/>
  <c r="N41" i="10"/>
  <c r="Q41" i="10"/>
  <c r="P41" i="10"/>
  <c r="R41" i="10"/>
  <c r="O41" i="10"/>
  <c r="S41" i="10"/>
  <c r="N31" i="10"/>
  <c r="Q31" i="10"/>
  <c r="P31" i="10"/>
  <c r="R31" i="10"/>
  <c r="O31" i="10"/>
  <c r="S31" i="10"/>
  <c r="M32" i="10"/>
  <c r="M42" i="10"/>
  <c r="M53" i="10"/>
  <c r="N53" i="10"/>
  <c r="Q53" i="10"/>
  <c r="P53" i="10"/>
  <c r="R53" i="10"/>
  <c r="O53" i="10"/>
  <c r="S53" i="10"/>
  <c r="N42" i="10"/>
  <c r="Q42" i="10"/>
  <c r="P42" i="10"/>
  <c r="R42" i="10"/>
  <c r="O42" i="10"/>
  <c r="S42" i="10"/>
  <c r="N32" i="10"/>
  <c r="Q32" i="10"/>
  <c r="P32" i="10"/>
  <c r="R32" i="10"/>
  <c r="O32" i="10"/>
  <c r="S32" i="10"/>
  <c r="M33" i="10"/>
  <c r="M43" i="10"/>
  <c r="M54" i="10"/>
  <c r="N54" i="10"/>
  <c r="Q54" i="10"/>
  <c r="P54" i="10"/>
  <c r="R54" i="10"/>
  <c r="O54" i="10"/>
  <c r="S54" i="10"/>
  <c r="N43" i="10"/>
  <c r="Q43" i="10"/>
  <c r="P43" i="10"/>
  <c r="R43" i="10"/>
  <c r="O43" i="10"/>
  <c r="S43" i="10"/>
  <c r="N33" i="10"/>
  <c r="Q33" i="10"/>
  <c r="P33" i="10"/>
  <c r="R33" i="10"/>
  <c r="O33" i="10"/>
  <c r="S33" i="10"/>
  <c r="M34" i="10"/>
  <c r="M44" i="10"/>
  <c r="N44" i="10"/>
  <c r="Q44" i="10"/>
  <c r="P44" i="10"/>
  <c r="R44" i="10"/>
  <c r="O44" i="10"/>
  <c r="S44" i="10"/>
  <c r="N34" i="10"/>
  <c r="Q34" i="10"/>
  <c r="P34" i="10"/>
  <c r="R34" i="10"/>
  <c r="O34" i="10"/>
  <c r="S34" i="10"/>
  <c r="M35" i="10"/>
  <c r="M45" i="10"/>
  <c r="N45" i="10"/>
  <c r="Q45" i="10"/>
  <c r="P45" i="10"/>
  <c r="R45" i="10"/>
  <c r="O45" i="10"/>
  <c r="S45" i="10"/>
  <c r="N35" i="10"/>
  <c r="Q35" i="10"/>
  <c r="P35" i="10"/>
  <c r="R35" i="10"/>
  <c r="O35" i="10"/>
  <c r="S35" i="10"/>
  <c r="M36" i="10"/>
  <c r="M46" i="10"/>
  <c r="N46" i="10"/>
  <c r="Q46" i="10"/>
  <c r="P46" i="10"/>
  <c r="R46" i="10"/>
  <c r="O46" i="10"/>
  <c r="S46" i="10"/>
  <c r="N36" i="10"/>
  <c r="Q36" i="10"/>
  <c r="P36" i="10"/>
  <c r="R36" i="10"/>
  <c r="O36" i="10"/>
  <c r="S36" i="10"/>
  <c r="M37" i="10"/>
  <c r="M47" i="10"/>
  <c r="N47" i="10"/>
  <c r="Q47" i="10"/>
  <c r="P47" i="10"/>
  <c r="R47" i="10"/>
  <c r="O47" i="10"/>
  <c r="S47" i="10"/>
  <c r="N37" i="10"/>
  <c r="Q37" i="10"/>
  <c r="P37" i="10"/>
  <c r="R37" i="10"/>
  <c r="O37" i="10"/>
  <c r="S37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G53" i="10"/>
  <c r="H53" i="10"/>
  <c r="I53" i="10"/>
  <c r="J53" i="10"/>
  <c r="K53" i="10"/>
  <c r="L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T54" i="10"/>
  <c r="U54" i="10"/>
  <c r="V54" i="10"/>
  <c r="W54" i="10"/>
  <c r="X54" i="10"/>
  <c r="Y54" i="10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E35" i="9"/>
  <c r="G35" i="9"/>
  <c r="H35" i="9"/>
  <c r="I35" i="9"/>
  <c r="J35" i="9"/>
  <c r="K35" i="9"/>
  <c r="L35" i="9"/>
  <c r="M35" i="9"/>
  <c r="N35" i="9"/>
  <c r="O35" i="9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A38" i="9"/>
  <c r="D38" i="9"/>
  <c r="E38" i="9"/>
  <c r="G38" i="9"/>
  <c r="H38" i="9"/>
  <c r="I38" i="9"/>
  <c r="J38" i="9"/>
  <c r="K38" i="9"/>
  <c r="L38" i="9"/>
  <c r="M38" i="9"/>
  <c r="N38" i="9"/>
  <c r="O38" i="9"/>
  <c r="A39" i="9"/>
  <c r="D39" i="9"/>
  <c r="E39" i="9"/>
  <c r="G39" i="9"/>
  <c r="H39" i="9"/>
  <c r="I39" i="9"/>
  <c r="J39" i="9"/>
  <c r="K39" i="9"/>
  <c r="L39" i="9"/>
  <c r="M39" i="9"/>
  <c r="N39" i="9"/>
  <c r="O39" i="9"/>
  <c r="A40" i="9"/>
  <c r="D40" i="9"/>
  <c r="E40" i="9"/>
  <c r="G40" i="9"/>
  <c r="H40" i="9"/>
  <c r="I40" i="9"/>
  <c r="J40" i="9"/>
  <c r="K40" i="9"/>
  <c r="L40" i="9"/>
  <c r="M40" i="9"/>
  <c r="N40" i="9"/>
  <c r="O40" i="9"/>
  <c r="A41" i="9"/>
  <c r="D41" i="9"/>
  <c r="E41" i="9"/>
  <c r="G41" i="9"/>
  <c r="H41" i="9"/>
  <c r="I41" i="9"/>
  <c r="J41" i="9"/>
  <c r="K41" i="9"/>
  <c r="L41" i="9"/>
  <c r="M41" i="9"/>
  <c r="N41" i="9"/>
  <c r="O41" i="9"/>
  <c r="A42" i="9"/>
  <c r="D42" i="9"/>
  <c r="E42" i="9"/>
  <c r="G42" i="9"/>
  <c r="H42" i="9"/>
  <c r="I42" i="9"/>
  <c r="J42" i="9"/>
  <c r="K42" i="9"/>
  <c r="L42" i="9"/>
  <c r="M42" i="9"/>
  <c r="N42" i="9"/>
  <c r="O42" i="9"/>
  <c r="A43" i="9"/>
  <c r="D43" i="9"/>
  <c r="E43" i="9"/>
  <c r="G43" i="9"/>
  <c r="H43" i="9"/>
  <c r="I43" i="9"/>
  <c r="J43" i="9"/>
  <c r="K43" i="9"/>
  <c r="L43" i="9"/>
  <c r="M43" i="9"/>
  <c r="N43" i="9"/>
  <c r="O43" i="9"/>
  <c r="A44" i="9"/>
  <c r="D44" i="9"/>
  <c r="E44" i="9"/>
  <c r="G44" i="9"/>
  <c r="H44" i="9"/>
  <c r="I44" i="9"/>
  <c r="J44" i="9"/>
  <c r="K44" i="9"/>
  <c r="L44" i="9"/>
  <c r="M44" i="9"/>
  <c r="N44" i="9"/>
  <c r="O44" i="9"/>
  <c r="A45" i="9"/>
  <c r="D45" i="9"/>
  <c r="E45" i="9"/>
  <c r="G45" i="9"/>
  <c r="H45" i="9"/>
  <c r="I45" i="9"/>
  <c r="J45" i="9"/>
  <c r="K45" i="9"/>
  <c r="L45" i="9"/>
  <c r="M45" i="9"/>
  <c r="N45" i="9"/>
  <c r="O45" i="9"/>
  <c r="A46" i="9"/>
  <c r="D46" i="9"/>
  <c r="E46" i="9"/>
  <c r="G46" i="9"/>
  <c r="H46" i="9"/>
  <c r="I46" i="9"/>
  <c r="J46" i="9"/>
  <c r="K46" i="9"/>
  <c r="L46" i="9"/>
  <c r="M46" i="9"/>
  <c r="N46" i="9"/>
  <c r="O46" i="9"/>
  <c r="A47" i="9"/>
  <c r="D47" i="9"/>
  <c r="E47" i="9"/>
  <c r="G47" i="9"/>
  <c r="H47" i="9"/>
  <c r="I47" i="9"/>
  <c r="J47" i="9"/>
  <c r="K47" i="9"/>
  <c r="L47" i="9"/>
  <c r="M47" i="9"/>
  <c r="N47" i="9"/>
  <c r="O47" i="9"/>
  <c r="A48" i="9"/>
  <c r="D48" i="9"/>
  <c r="E48" i="9"/>
  <c r="G48" i="9"/>
  <c r="H48" i="9"/>
  <c r="I48" i="9"/>
  <c r="J48" i="9"/>
  <c r="K48" i="9"/>
  <c r="L48" i="9"/>
  <c r="M48" i="9"/>
  <c r="N48" i="9"/>
  <c r="O48" i="9"/>
  <c r="A49" i="9"/>
  <c r="D49" i="9"/>
  <c r="E49" i="9"/>
  <c r="G49" i="9"/>
  <c r="H49" i="9"/>
  <c r="I49" i="9"/>
  <c r="J49" i="9"/>
  <c r="K49" i="9"/>
  <c r="L49" i="9"/>
  <c r="M49" i="9"/>
  <c r="N49" i="9"/>
  <c r="O49" i="9"/>
  <c r="A50" i="9"/>
  <c r="D50" i="9"/>
  <c r="E50" i="9"/>
  <c r="G50" i="9"/>
  <c r="H50" i="9"/>
  <c r="I50" i="9"/>
  <c r="J50" i="9"/>
  <c r="K50" i="9"/>
  <c r="L50" i="9"/>
  <c r="M50" i="9"/>
  <c r="N50" i="9"/>
  <c r="O50" i="9"/>
  <c r="A51" i="9"/>
  <c r="D51" i="9"/>
  <c r="E51" i="9"/>
  <c r="G51" i="9"/>
  <c r="H51" i="9"/>
  <c r="I51" i="9"/>
  <c r="J51" i="9"/>
  <c r="K51" i="9"/>
  <c r="L51" i="9"/>
  <c r="M51" i="9"/>
  <c r="N51" i="9"/>
  <c r="O51" i="9"/>
  <c r="A52" i="9"/>
  <c r="D52" i="9"/>
  <c r="E52" i="9"/>
  <c r="G52" i="9"/>
  <c r="H52" i="9"/>
  <c r="I52" i="9"/>
  <c r="J52" i="9"/>
  <c r="K52" i="9"/>
  <c r="L52" i="9"/>
  <c r="M52" i="9"/>
  <c r="N52" i="9"/>
  <c r="O52" i="9"/>
  <c r="A53" i="9"/>
  <c r="D53" i="9"/>
  <c r="E53" i="9"/>
  <c r="G53" i="9"/>
  <c r="H53" i="9"/>
  <c r="I53" i="9"/>
  <c r="J53" i="9"/>
  <c r="K53" i="9"/>
  <c r="L53" i="9"/>
  <c r="M53" i="9"/>
  <c r="N53" i="9"/>
  <c r="O53" i="9"/>
  <c r="A54" i="9"/>
  <c r="D54" i="9"/>
  <c r="E54" i="9"/>
  <c r="G54" i="9"/>
  <c r="H54" i="9"/>
  <c r="I54" i="9"/>
  <c r="J54" i="9"/>
  <c r="K54" i="9"/>
  <c r="L54" i="9"/>
  <c r="M54" i="9"/>
  <c r="N54" i="9"/>
  <c r="O54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J16" i="11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J11" i="11"/>
  <c r="J12" i="11"/>
  <c r="J13" i="11"/>
  <c r="J14" i="11"/>
  <c r="J15" i="11"/>
  <c r="J10" i="11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J9" i="11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W4" i="7"/>
  <c r="R4" i="7"/>
  <c r="Q4" i="7"/>
  <c r="P4" i="7"/>
  <c r="O4" i="7"/>
  <c r="N4" i="7"/>
  <c r="H4" i="7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J7" i="11"/>
  <c r="O15" i="9"/>
  <c r="N15" i="9"/>
  <c r="M15" i="9"/>
  <c r="L15" i="9"/>
  <c r="K15" i="9"/>
  <c r="J15" i="9"/>
  <c r="I15" i="9"/>
  <c r="H15" i="9"/>
  <c r="G15" i="9"/>
  <c r="E15" i="9"/>
  <c r="D15" i="9"/>
  <c r="A15" i="9"/>
  <c r="J6" i="11"/>
  <c r="O14" i="9"/>
  <c r="N14" i="9"/>
  <c r="M14" i="9"/>
  <c r="L14" i="9"/>
  <c r="K14" i="9"/>
  <c r="J14" i="9"/>
  <c r="I14" i="9"/>
  <c r="H14" i="9"/>
  <c r="G14" i="9"/>
  <c r="E14" i="9"/>
  <c r="D14" i="9"/>
  <c r="A14" i="9"/>
  <c r="J8" i="11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O3" i="9"/>
  <c r="N3" i="9"/>
  <c r="M3" i="9"/>
  <c r="L3" i="9"/>
  <c r="K3" i="9"/>
  <c r="J3" i="9"/>
  <c r="I3" i="9"/>
  <c r="H3" i="9"/>
  <c r="G3" i="9"/>
  <c r="E3" i="9"/>
  <c r="D3" i="9"/>
  <c r="A3" i="9"/>
  <c r="AG110" i="1"/>
  <c r="AE110" i="1"/>
  <c r="V110" i="1"/>
  <c r="Q110" i="1"/>
  <c r="P110" i="1"/>
  <c r="O110" i="1"/>
  <c r="N110" i="1"/>
  <c r="M110" i="1"/>
  <c r="H110" i="1"/>
  <c r="J110" i="1"/>
  <c r="I110" i="1"/>
  <c r="D110" i="1"/>
  <c r="F110" i="1"/>
  <c r="E110" i="1"/>
  <c r="A110" i="1"/>
  <c r="AD109" i="1"/>
  <c r="AG109" i="1"/>
  <c r="AE109" i="1"/>
  <c r="AC109" i="1"/>
  <c r="W109" i="1"/>
  <c r="V109" i="1"/>
  <c r="Q109" i="1"/>
  <c r="P109" i="1"/>
  <c r="O109" i="1"/>
  <c r="N109" i="1"/>
  <c r="M109" i="1"/>
  <c r="H109" i="1"/>
  <c r="J109" i="1"/>
  <c r="I109" i="1"/>
  <c r="D109" i="1"/>
  <c r="F109" i="1"/>
  <c r="E109" i="1"/>
  <c r="A109" i="1"/>
  <c r="AD108" i="1"/>
  <c r="AG108" i="1"/>
  <c r="AE108" i="1"/>
  <c r="AC108" i="1"/>
  <c r="W108" i="1"/>
  <c r="V108" i="1"/>
  <c r="Q108" i="1"/>
  <c r="P108" i="1"/>
  <c r="O108" i="1"/>
  <c r="N108" i="1"/>
  <c r="M108" i="1"/>
  <c r="H108" i="1"/>
  <c r="J108" i="1"/>
  <c r="I108" i="1"/>
  <c r="D108" i="1"/>
  <c r="F108" i="1"/>
  <c r="E108" i="1"/>
  <c r="A108" i="1"/>
  <c r="AD107" i="1"/>
  <c r="AG107" i="1"/>
  <c r="AE107" i="1"/>
  <c r="AC107" i="1"/>
  <c r="W107" i="1"/>
  <c r="V107" i="1"/>
  <c r="Q107" i="1"/>
  <c r="P107" i="1"/>
  <c r="O107" i="1"/>
  <c r="N107" i="1"/>
  <c r="M107" i="1"/>
  <c r="H107" i="1"/>
  <c r="J107" i="1"/>
  <c r="I107" i="1"/>
  <c r="D107" i="1"/>
  <c r="F107" i="1"/>
  <c r="E107" i="1"/>
  <c r="A107" i="1"/>
  <c r="AD106" i="1"/>
  <c r="AG106" i="1"/>
  <c r="AE106" i="1"/>
  <c r="AC106" i="1"/>
  <c r="W106" i="1"/>
  <c r="V106" i="1"/>
  <c r="Q106" i="1"/>
  <c r="P106" i="1"/>
  <c r="O106" i="1"/>
  <c r="N106" i="1"/>
  <c r="M106" i="1"/>
  <c r="H106" i="1"/>
  <c r="J106" i="1"/>
  <c r="I106" i="1"/>
  <c r="D106" i="1"/>
  <c r="F106" i="1"/>
  <c r="E106" i="1"/>
  <c r="A106" i="1"/>
  <c r="AD105" i="1"/>
  <c r="AG105" i="1"/>
  <c r="AE105" i="1"/>
  <c r="AC105" i="1"/>
  <c r="W105" i="1"/>
  <c r="V105" i="1"/>
  <c r="Q105" i="1"/>
  <c r="P105" i="1"/>
  <c r="O105" i="1"/>
  <c r="N105" i="1"/>
  <c r="M105" i="1"/>
  <c r="H105" i="1"/>
  <c r="J105" i="1"/>
  <c r="I105" i="1"/>
  <c r="D105" i="1"/>
  <c r="F105" i="1"/>
  <c r="E105" i="1"/>
  <c r="A105" i="1"/>
  <c r="AD104" i="1"/>
  <c r="AG104" i="1"/>
  <c r="AE104" i="1"/>
  <c r="AC104" i="1"/>
  <c r="W104" i="1"/>
  <c r="V104" i="1"/>
  <c r="Q104" i="1"/>
  <c r="P104" i="1"/>
  <c r="O104" i="1"/>
  <c r="N104" i="1"/>
  <c r="M104" i="1"/>
  <c r="H104" i="1"/>
  <c r="J104" i="1"/>
  <c r="I104" i="1"/>
  <c r="D104" i="1"/>
  <c r="F104" i="1"/>
  <c r="E104" i="1"/>
  <c r="A104" i="1"/>
  <c r="AD103" i="1"/>
  <c r="AG103" i="1"/>
  <c r="AE103" i="1"/>
  <c r="AC103" i="1"/>
  <c r="W103" i="1"/>
  <c r="V103" i="1"/>
  <c r="Q103" i="1"/>
  <c r="P103" i="1"/>
  <c r="O103" i="1"/>
  <c r="N103" i="1"/>
  <c r="M103" i="1"/>
  <c r="H103" i="1"/>
  <c r="J103" i="1"/>
  <c r="I103" i="1"/>
  <c r="D103" i="1"/>
  <c r="F103" i="1"/>
  <c r="E103" i="1"/>
  <c r="A103" i="1"/>
  <c r="AD102" i="1"/>
  <c r="AG102" i="1"/>
  <c r="AE102" i="1"/>
  <c r="AC102" i="1"/>
  <c r="W102" i="1"/>
  <c r="V102" i="1"/>
  <c r="Q102" i="1"/>
  <c r="P102" i="1"/>
  <c r="O102" i="1"/>
  <c r="N102" i="1"/>
  <c r="M102" i="1"/>
  <c r="H102" i="1"/>
  <c r="J102" i="1"/>
  <c r="I102" i="1"/>
  <c r="D102" i="1"/>
  <c r="F102" i="1"/>
  <c r="E102" i="1"/>
  <c r="A102" i="1"/>
  <c r="AD101" i="1"/>
  <c r="AG101" i="1"/>
  <c r="AE101" i="1"/>
  <c r="AC101" i="1"/>
  <c r="W101" i="1"/>
  <c r="V101" i="1"/>
  <c r="Q101" i="1"/>
  <c r="P101" i="1"/>
  <c r="O101" i="1"/>
  <c r="N101" i="1"/>
  <c r="M101" i="1"/>
  <c r="H101" i="1"/>
  <c r="J101" i="1"/>
  <c r="I101" i="1"/>
  <c r="D101" i="1"/>
  <c r="F101" i="1"/>
  <c r="E101" i="1"/>
  <c r="A101" i="1"/>
  <c r="AD100" i="1"/>
  <c r="AG100" i="1"/>
  <c r="AE100" i="1"/>
  <c r="AC100" i="1"/>
  <c r="W100" i="1"/>
  <c r="V100" i="1"/>
  <c r="Q100" i="1"/>
  <c r="P100" i="1"/>
  <c r="O100" i="1"/>
  <c r="N100" i="1"/>
  <c r="M100" i="1"/>
  <c r="H100" i="1"/>
  <c r="J100" i="1"/>
  <c r="I100" i="1"/>
  <c r="D100" i="1"/>
  <c r="F100" i="1"/>
  <c r="E100" i="1"/>
  <c r="A100" i="1"/>
  <c r="AD96" i="1"/>
  <c r="AG96" i="1"/>
  <c r="AE96" i="1"/>
  <c r="AC96" i="1"/>
  <c r="V96" i="1"/>
  <c r="Q96" i="1"/>
  <c r="P96" i="1"/>
  <c r="O96" i="1"/>
  <c r="N96" i="1"/>
  <c r="M96" i="1"/>
  <c r="H96" i="1"/>
  <c r="J96" i="1"/>
  <c r="I96" i="1"/>
  <c r="D96" i="1"/>
  <c r="F96" i="1"/>
  <c r="E96" i="1"/>
  <c r="A96" i="1"/>
  <c r="AD95" i="1"/>
  <c r="AG95" i="1"/>
  <c r="AE95" i="1"/>
  <c r="AC95" i="1"/>
  <c r="V95" i="1"/>
  <c r="Q95" i="1"/>
  <c r="P95" i="1"/>
  <c r="O95" i="1"/>
  <c r="N95" i="1"/>
  <c r="M95" i="1"/>
  <c r="H95" i="1"/>
  <c r="J95" i="1"/>
  <c r="I95" i="1"/>
  <c r="D95" i="1"/>
  <c r="F95" i="1"/>
  <c r="E95" i="1"/>
  <c r="A95" i="1"/>
  <c r="AD94" i="1"/>
  <c r="AG94" i="1"/>
  <c r="AE94" i="1"/>
  <c r="AC94" i="1"/>
  <c r="W94" i="1"/>
  <c r="V94" i="1"/>
  <c r="Q94" i="1"/>
  <c r="P94" i="1"/>
  <c r="O94" i="1"/>
  <c r="N94" i="1"/>
  <c r="M94" i="1"/>
  <c r="H94" i="1"/>
  <c r="J94" i="1"/>
  <c r="I94" i="1"/>
  <c r="D94" i="1"/>
  <c r="F94" i="1"/>
  <c r="E94" i="1"/>
  <c r="A94" i="1"/>
  <c r="AD93" i="1"/>
  <c r="AG93" i="1"/>
  <c r="AE93" i="1"/>
  <c r="AC93" i="1"/>
  <c r="W93" i="1"/>
  <c r="V93" i="1"/>
  <c r="Q93" i="1"/>
  <c r="P93" i="1"/>
  <c r="O93" i="1"/>
  <c r="N93" i="1"/>
  <c r="M93" i="1"/>
  <c r="H93" i="1"/>
  <c r="J93" i="1"/>
  <c r="I93" i="1"/>
  <c r="D93" i="1"/>
  <c r="F93" i="1"/>
  <c r="E93" i="1"/>
  <c r="A93" i="1"/>
  <c r="AD92" i="1"/>
  <c r="AG92" i="1"/>
  <c r="AE92" i="1"/>
  <c r="AC92" i="1"/>
  <c r="V92" i="1"/>
  <c r="Q92" i="1"/>
  <c r="P92" i="1"/>
  <c r="O92" i="1"/>
  <c r="N92" i="1"/>
  <c r="M92" i="1"/>
  <c r="H92" i="1"/>
  <c r="J92" i="1"/>
  <c r="I92" i="1"/>
  <c r="D92" i="1"/>
  <c r="F92" i="1"/>
  <c r="E92" i="1"/>
  <c r="A92" i="1"/>
  <c r="AD91" i="1"/>
  <c r="AG91" i="1"/>
  <c r="AE91" i="1"/>
  <c r="AC91" i="1"/>
  <c r="W91" i="1"/>
  <c r="V91" i="1"/>
  <c r="Q91" i="1"/>
  <c r="P91" i="1"/>
  <c r="O91" i="1"/>
  <c r="N91" i="1"/>
  <c r="M91" i="1"/>
  <c r="H91" i="1"/>
  <c r="J91" i="1"/>
  <c r="I91" i="1"/>
  <c r="D91" i="1"/>
  <c r="F91" i="1"/>
  <c r="E91" i="1"/>
  <c r="A91" i="1"/>
  <c r="AD90" i="1"/>
  <c r="AG90" i="1"/>
  <c r="AE90" i="1"/>
  <c r="AC90" i="1"/>
  <c r="W90" i="1"/>
  <c r="V90" i="1"/>
  <c r="Q90" i="1"/>
  <c r="P90" i="1"/>
  <c r="O90" i="1"/>
  <c r="N90" i="1"/>
  <c r="M90" i="1"/>
  <c r="H90" i="1"/>
  <c r="J90" i="1"/>
  <c r="I90" i="1"/>
  <c r="D90" i="1"/>
  <c r="F90" i="1"/>
  <c r="E90" i="1"/>
  <c r="A90" i="1"/>
  <c r="AD89" i="1"/>
  <c r="AG89" i="1"/>
  <c r="AE89" i="1"/>
  <c r="AC89" i="1"/>
  <c r="W89" i="1"/>
  <c r="V89" i="1"/>
  <c r="Q89" i="1"/>
  <c r="P89" i="1"/>
  <c r="O89" i="1"/>
  <c r="N89" i="1"/>
  <c r="M89" i="1"/>
  <c r="H89" i="1"/>
  <c r="J89" i="1"/>
  <c r="I89" i="1"/>
  <c r="D89" i="1"/>
  <c r="F89" i="1"/>
  <c r="E89" i="1"/>
  <c r="A89" i="1"/>
  <c r="AD88" i="1"/>
  <c r="AG88" i="1"/>
  <c r="AE88" i="1"/>
  <c r="AC88" i="1"/>
  <c r="W88" i="1"/>
  <c r="V88" i="1"/>
  <c r="Q88" i="1"/>
  <c r="P88" i="1"/>
  <c r="O88" i="1"/>
  <c r="N88" i="1"/>
  <c r="M88" i="1"/>
  <c r="H88" i="1"/>
  <c r="J88" i="1"/>
  <c r="I88" i="1"/>
  <c r="D88" i="1"/>
  <c r="F88" i="1"/>
  <c r="E88" i="1"/>
  <c r="A88" i="1"/>
  <c r="AD87" i="1"/>
  <c r="AG87" i="1"/>
  <c r="AE87" i="1"/>
  <c r="AC87" i="1"/>
  <c r="W87" i="1"/>
  <c r="V87" i="1"/>
  <c r="Q87" i="1"/>
  <c r="P87" i="1"/>
  <c r="O87" i="1"/>
  <c r="N87" i="1"/>
  <c r="M87" i="1"/>
  <c r="H87" i="1"/>
  <c r="J87" i="1"/>
  <c r="I87" i="1"/>
  <c r="D87" i="1"/>
  <c r="F87" i="1"/>
  <c r="E87" i="1"/>
  <c r="A87" i="1"/>
  <c r="AG86" i="1"/>
  <c r="AE86" i="1"/>
  <c r="V86" i="1"/>
  <c r="Q86" i="1"/>
  <c r="P86" i="1"/>
  <c r="O86" i="1"/>
  <c r="N86" i="1"/>
  <c r="M86" i="1"/>
  <c r="H86" i="1"/>
  <c r="J86" i="1"/>
  <c r="I86" i="1"/>
  <c r="D86" i="1"/>
  <c r="F86" i="1"/>
  <c r="E86" i="1"/>
  <c r="A86" i="1"/>
  <c r="AB84" i="1"/>
  <c r="AD84" i="1"/>
  <c r="AG84" i="1"/>
  <c r="AE84" i="1"/>
  <c r="AC84" i="1"/>
  <c r="V84" i="1"/>
  <c r="Q84" i="1"/>
  <c r="P84" i="1"/>
  <c r="O84" i="1"/>
  <c r="N84" i="1"/>
  <c r="M84" i="1"/>
  <c r="H84" i="1"/>
  <c r="J84" i="1"/>
  <c r="I84" i="1"/>
  <c r="D84" i="1"/>
  <c r="F84" i="1"/>
  <c r="E84" i="1"/>
  <c r="A84" i="1"/>
  <c r="AB83" i="1"/>
  <c r="AD83" i="1"/>
  <c r="AG83" i="1"/>
  <c r="AE83" i="1"/>
  <c r="AC83" i="1"/>
  <c r="V83" i="1"/>
  <c r="Q83" i="1"/>
  <c r="P83" i="1"/>
  <c r="O83" i="1"/>
  <c r="N83" i="1"/>
  <c r="M83" i="1"/>
  <c r="H83" i="1"/>
  <c r="J83" i="1"/>
  <c r="I83" i="1"/>
  <c r="D83" i="1"/>
  <c r="F83" i="1"/>
  <c r="E83" i="1"/>
  <c r="A83" i="1"/>
  <c r="AB82" i="1"/>
  <c r="AD82" i="1"/>
  <c r="AG82" i="1"/>
  <c r="AE82" i="1"/>
  <c r="AC82" i="1"/>
  <c r="V82" i="1"/>
  <c r="Q82" i="1"/>
  <c r="P82" i="1"/>
  <c r="O82" i="1"/>
  <c r="N82" i="1"/>
  <c r="M82" i="1"/>
  <c r="H82" i="1"/>
  <c r="J82" i="1"/>
  <c r="I82" i="1"/>
  <c r="D82" i="1"/>
  <c r="F82" i="1"/>
  <c r="E82" i="1"/>
  <c r="A82" i="1"/>
  <c r="AB81" i="1"/>
  <c r="AD81" i="1"/>
  <c r="AG81" i="1"/>
  <c r="AE81" i="1"/>
  <c r="AC81" i="1"/>
  <c r="V81" i="1"/>
  <c r="Q81" i="1"/>
  <c r="P81" i="1"/>
  <c r="O81" i="1"/>
  <c r="N81" i="1"/>
  <c r="M81" i="1"/>
  <c r="H81" i="1"/>
  <c r="J81" i="1"/>
  <c r="I81" i="1"/>
  <c r="D81" i="1"/>
  <c r="F81" i="1"/>
  <c r="E81" i="1"/>
  <c r="A81" i="1"/>
  <c r="AB80" i="1"/>
  <c r="AD80" i="1"/>
  <c r="AG80" i="1"/>
  <c r="AE80" i="1"/>
  <c r="AC80" i="1"/>
  <c r="V80" i="1"/>
  <c r="Q80" i="1"/>
  <c r="P80" i="1"/>
  <c r="O80" i="1"/>
  <c r="N80" i="1"/>
  <c r="M80" i="1"/>
  <c r="H80" i="1"/>
  <c r="J80" i="1"/>
  <c r="I80" i="1"/>
  <c r="D80" i="1"/>
  <c r="F80" i="1"/>
  <c r="E80" i="1"/>
  <c r="A80" i="1"/>
  <c r="AB79" i="1"/>
  <c r="AD79" i="1"/>
  <c r="AG79" i="1"/>
  <c r="AE79" i="1"/>
  <c r="AC79" i="1"/>
  <c r="V79" i="1"/>
  <c r="Q79" i="1"/>
  <c r="P79" i="1"/>
  <c r="O79" i="1"/>
  <c r="N79" i="1"/>
  <c r="M79" i="1"/>
  <c r="H79" i="1"/>
  <c r="J79" i="1"/>
  <c r="I79" i="1"/>
  <c r="D79" i="1"/>
  <c r="F79" i="1"/>
  <c r="E79" i="1"/>
  <c r="A79" i="1"/>
  <c r="AB78" i="1"/>
  <c r="AD78" i="1"/>
  <c r="AG78" i="1"/>
  <c r="AE78" i="1"/>
  <c r="AC78" i="1"/>
  <c r="V78" i="1"/>
  <c r="Q78" i="1"/>
  <c r="P78" i="1"/>
  <c r="O78" i="1"/>
  <c r="N78" i="1"/>
  <c r="M78" i="1"/>
  <c r="H78" i="1"/>
  <c r="J78" i="1"/>
  <c r="I78" i="1"/>
  <c r="D78" i="1"/>
  <c r="F78" i="1"/>
  <c r="E78" i="1"/>
  <c r="A78" i="1"/>
  <c r="AB77" i="1"/>
  <c r="AD77" i="1"/>
  <c r="AG77" i="1"/>
  <c r="AE77" i="1"/>
  <c r="AC77" i="1"/>
  <c r="V77" i="1"/>
  <c r="Q77" i="1"/>
  <c r="P77" i="1"/>
  <c r="O77" i="1"/>
  <c r="N77" i="1"/>
  <c r="M77" i="1"/>
  <c r="H77" i="1"/>
  <c r="J77" i="1"/>
  <c r="I77" i="1"/>
  <c r="D77" i="1"/>
  <c r="F77" i="1"/>
  <c r="E77" i="1"/>
  <c r="A77" i="1"/>
  <c r="AB72" i="1"/>
  <c r="AD72" i="1"/>
  <c r="AG72" i="1"/>
  <c r="AE72" i="1"/>
  <c r="AC72" i="1"/>
  <c r="V72" i="1"/>
  <c r="Q72" i="1"/>
  <c r="P72" i="1"/>
  <c r="O72" i="1"/>
  <c r="N72" i="1"/>
  <c r="M72" i="1"/>
  <c r="H72" i="1"/>
  <c r="J72" i="1"/>
  <c r="I72" i="1"/>
  <c r="D72" i="1"/>
  <c r="F72" i="1"/>
  <c r="E72" i="1"/>
  <c r="A72" i="1"/>
  <c r="AB71" i="1"/>
  <c r="AD71" i="1"/>
  <c r="AG71" i="1"/>
  <c r="AE71" i="1"/>
  <c r="AC71" i="1"/>
  <c r="V71" i="1"/>
  <c r="Q71" i="1"/>
  <c r="P71" i="1"/>
  <c r="O71" i="1"/>
  <c r="N71" i="1"/>
  <c r="M71" i="1"/>
  <c r="H71" i="1"/>
  <c r="J71" i="1"/>
  <c r="I71" i="1"/>
  <c r="D71" i="1"/>
  <c r="F71" i="1"/>
  <c r="E71" i="1"/>
  <c r="A71" i="1"/>
  <c r="AB64" i="1"/>
  <c r="AD64" i="1"/>
  <c r="AG64" i="1"/>
  <c r="AE64" i="1"/>
  <c r="AC64" i="1"/>
  <c r="V64" i="1"/>
  <c r="Q64" i="1"/>
  <c r="P64" i="1"/>
  <c r="O64" i="1"/>
  <c r="N64" i="1"/>
  <c r="M64" i="1"/>
  <c r="H64" i="1"/>
  <c r="J64" i="1"/>
  <c r="I64" i="1"/>
  <c r="D64" i="1"/>
  <c r="F64" i="1"/>
  <c r="E64" i="1"/>
  <c r="A64" i="1"/>
  <c r="AB63" i="1"/>
  <c r="AD63" i="1"/>
  <c r="AG63" i="1"/>
  <c r="AE63" i="1"/>
  <c r="AC63" i="1"/>
  <c r="V63" i="1"/>
  <c r="Q63" i="1"/>
  <c r="P63" i="1"/>
  <c r="O63" i="1"/>
  <c r="N63" i="1"/>
  <c r="M63" i="1"/>
  <c r="H63" i="1"/>
  <c r="J63" i="1"/>
  <c r="I63" i="1"/>
  <c r="D63" i="1"/>
  <c r="F63" i="1"/>
  <c r="E63" i="1"/>
  <c r="A63" i="1"/>
  <c r="AB58" i="1"/>
  <c r="AD58" i="1"/>
  <c r="AG58" i="1"/>
  <c r="AE58" i="1"/>
  <c r="AC58" i="1"/>
  <c r="V58" i="1"/>
  <c r="Q58" i="1"/>
  <c r="P58" i="1"/>
  <c r="O58" i="1"/>
  <c r="N58" i="1"/>
  <c r="M58" i="1"/>
  <c r="H58" i="1"/>
  <c r="J58" i="1"/>
  <c r="I58" i="1"/>
  <c r="D58" i="1"/>
  <c r="F58" i="1"/>
  <c r="E58" i="1"/>
  <c r="A58" i="1"/>
  <c r="AB57" i="1"/>
  <c r="AD57" i="1"/>
  <c r="AG57" i="1"/>
  <c r="AE57" i="1"/>
  <c r="AC57" i="1"/>
  <c r="W57" i="1"/>
  <c r="V57" i="1"/>
  <c r="Q57" i="1"/>
  <c r="P57" i="1"/>
  <c r="O57" i="1"/>
  <c r="N57" i="1"/>
  <c r="M57" i="1"/>
  <c r="H57" i="1"/>
  <c r="J57" i="1"/>
  <c r="I57" i="1"/>
  <c r="D57" i="1"/>
  <c r="F57" i="1"/>
  <c r="E57" i="1"/>
  <c r="A57" i="1"/>
  <c r="AB56" i="1"/>
  <c r="AD56" i="1"/>
  <c r="AG56" i="1"/>
  <c r="AE56" i="1"/>
  <c r="AC56" i="1"/>
  <c r="W56" i="1"/>
  <c r="V56" i="1"/>
  <c r="Q56" i="1"/>
  <c r="P56" i="1"/>
  <c r="O56" i="1"/>
  <c r="N56" i="1"/>
  <c r="M56" i="1"/>
  <c r="H56" i="1"/>
  <c r="J56" i="1"/>
  <c r="I56" i="1"/>
  <c r="D56" i="1"/>
  <c r="F56" i="1"/>
  <c r="E56" i="1"/>
  <c r="A56" i="1"/>
  <c r="AB55" i="1"/>
  <c r="AD55" i="1"/>
  <c r="AG55" i="1"/>
  <c r="AE55" i="1"/>
  <c r="AC55" i="1"/>
  <c r="W55" i="1"/>
  <c r="V55" i="1"/>
  <c r="Q55" i="1"/>
  <c r="P55" i="1"/>
  <c r="O55" i="1"/>
  <c r="N55" i="1"/>
  <c r="M55" i="1"/>
  <c r="H55" i="1"/>
  <c r="J55" i="1"/>
  <c r="I55" i="1"/>
  <c r="D55" i="1"/>
  <c r="F55" i="1"/>
  <c r="E55" i="1"/>
  <c r="A55" i="1"/>
  <c r="AB54" i="1"/>
  <c r="AD54" i="1"/>
  <c r="AG54" i="1"/>
  <c r="AE54" i="1"/>
  <c r="AC54" i="1"/>
  <c r="W54" i="1"/>
  <c r="V54" i="1"/>
  <c r="Q54" i="1"/>
  <c r="P54" i="1"/>
  <c r="O54" i="1"/>
  <c r="N54" i="1"/>
  <c r="M54" i="1"/>
  <c r="H54" i="1"/>
  <c r="J54" i="1"/>
  <c r="I54" i="1"/>
  <c r="D54" i="1"/>
  <c r="F54" i="1"/>
  <c r="E54" i="1"/>
  <c r="A54" i="1"/>
  <c r="AB53" i="1"/>
  <c r="AD53" i="1"/>
  <c r="AG53" i="1"/>
  <c r="AE53" i="1"/>
  <c r="AC53" i="1"/>
  <c r="W53" i="1"/>
  <c r="V53" i="1"/>
  <c r="Q53" i="1"/>
  <c r="P53" i="1"/>
  <c r="O53" i="1"/>
  <c r="N53" i="1"/>
  <c r="M53" i="1"/>
  <c r="H53" i="1"/>
  <c r="J53" i="1"/>
  <c r="I53" i="1"/>
  <c r="D53" i="1"/>
  <c r="F53" i="1"/>
  <c r="E53" i="1"/>
  <c r="A53" i="1"/>
  <c r="AB52" i="1"/>
  <c r="AD52" i="1"/>
  <c r="AG52" i="1"/>
  <c r="AE52" i="1"/>
  <c r="AC52" i="1"/>
  <c r="W52" i="1"/>
  <c r="V52" i="1"/>
  <c r="Q52" i="1"/>
  <c r="P52" i="1"/>
  <c r="O52" i="1"/>
  <c r="N52" i="1"/>
  <c r="M52" i="1"/>
  <c r="H52" i="1"/>
  <c r="J52" i="1"/>
  <c r="I52" i="1"/>
  <c r="D52" i="1"/>
  <c r="F52" i="1"/>
  <c r="E52" i="1"/>
  <c r="A52" i="1"/>
  <c r="AB51" i="1"/>
  <c r="AD51" i="1"/>
  <c r="AG51" i="1"/>
  <c r="AE51" i="1"/>
  <c r="AC51" i="1"/>
  <c r="W51" i="1"/>
  <c r="V51" i="1"/>
  <c r="Q51" i="1"/>
  <c r="P51" i="1"/>
  <c r="O51" i="1"/>
  <c r="N51" i="1"/>
  <c r="M51" i="1"/>
  <c r="H51" i="1"/>
  <c r="J51" i="1"/>
  <c r="I51" i="1"/>
  <c r="D51" i="1"/>
  <c r="F51" i="1"/>
  <c r="E51" i="1"/>
  <c r="A51" i="1"/>
  <c r="AB50" i="1"/>
  <c r="AD50" i="1"/>
  <c r="AG50" i="1"/>
  <c r="AE50" i="1"/>
  <c r="AC50" i="1"/>
  <c r="W50" i="1"/>
  <c r="V50" i="1"/>
  <c r="Q50" i="1"/>
  <c r="P50" i="1"/>
  <c r="O50" i="1"/>
  <c r="N50" i="1"/>
  <c r="M50" i="1"/>
  <c r="H50" i="1"/>
  <c r="J50" i="1"/>
  <c r="I50" i="1"/>
  <c r="D50" i="1"/>
  <c r="F50" i="1"/>
  <c r="E50" i="1"/>
  <c r="A50" i="1"/>
  <c r="AB49" i="1"/>
  <c r="AD49" i="1"/>
  <c r="AG49" i="1"/>
  <c r="AE49" i="1"/>
  <c r="AC49" i="1"/>
  <c r="W49" i="1"/>
  <c r="V49" i="1"/>
  <c r="Q49" i="1"/>
  <c r="P49" i="1"/>
  <c r="O49" i="1"/>
  <c r="N49" i="1"/>
  <c r="M49" i="1"/>
  <c r="H49" i="1"/>
  <c r="J49" i="1"/>
  <c r="I49" i="1"/>
  <c r="D49" i="1"/>
  <c r="F49" i="1"/>
  <c r="E49" i="1"/>
  <c r="A49" i="1"/>
  <c r="AB48" i="1"/>
  <c r="AD48" i="1"/>
  <c r="AG48" i="1"/>
  <c r="AE48" i="1"/>
  <c r="AC48" i="1"/>
  <c r="W48" i="1"/>
  <c r="V48" i="1"/>
  <c r="Q48" i="1"/>
  <c r="P48" i="1"/>
  <c r="O48" i="1"/>
  <c r="N48" i="1"/>
  <c r="M48" i="1"/>
  <c r="H48" i="1"/>
  <c r="J48" i="1"/>
  <c r="I48" i="1"/>
  <c r="D48" i="1"/>
  <c r="F48" i="1"/>
  <c r="E48" i="1"/>
  <c r="A48" i="1"/>
  <c r="AB40" i="1"/>
  <c r="AD40" i="1"/>
  <c r="AG40" i="1"/>
  <c r="AE40" i="1"/>
  <c r="AC40" i="1"/>
  <c r="V40" i="1"/>
  <c r="Q40" i="1"/>
  <c r="P40" i="1"/>
  <c r="O40" i="1"/>
  <c r="N40" i="1"/>
  <c r="M40" i="1"/>
  <c r="H40" i="1"/>
  <c r="J40" i="1"/>
  <c r="I40" i="1"/>
  <c r="D40" i="1"/>
  <c r="F40" i="1"/>
  <c r="E40" i="1"/>
  <c r="A40" i="1"/>
  <c r="AB39" i="1"/>
  <c r="AD39" i="1"/>
  <c r="AG39" i="1"/>
  <c r="AE39" i="1"/>
  <c r="AC39" i="1"/>
  <c r="V39" i="1"/>
  <c r="Q39" i="1"/>
  <c r="P39" i="1"/>
  <c r="O39" i="1"/>
  <c r="N39" i="1"/>
  <c r="M39" i="1"/>
  <c r="H39" i="1"/>
  <c r="J39" i="1"/>
  <c r="I39" i="1"/>
  <c r="D39" i="1"/>
  <c r="F39" i="1"/>
  <c r="E39" i="1"/>
  <c r="A39" i="1"/>
  <c r="AB38" i="1"/>
  <c r="AD38" i="1"/>
  <c r="AG38" i="1"/>
  <c r="AE38" i="1"/>
  <c r="AC38" i="1"/>
  <c r="W38" i="1"/>
  <c r="V38" i="1"/>
  <c r="Q38" i="1"/>
  <c r="P38" i="1"/>
  <c r="O38" i="1"/>
  <c r="N38" i="1"/>
  <c r="M38" i="1"/>
  <c r="H38" i="1"/>
  <c r="J38" i="1"/>
  <c r="I38" i="1"/>
  <c r="D38" i="1"/>
  <c r="F38" i="1"/>
  <c r="E38" i="1"/>
  <c r="A38" i="1"/>
  <c r="AB37" i="1"/>
  <c r="AD37" i="1"/>
  <c r="AG37" i="1"/>
  <c r="AE37" i="1"/>
  <c r="AC37" i="1"/>
  <c r="W37" i="1"/>
  <c r="V37" i="1"/>
  <c r="Q37" i="1"/>
  <c r="P37" i="1"/>
  <c r="O37" i="1"/>
  <c r="N37" i="1"/>
  <c r="M37" i="1"/>
  <c r="H37" i="1"/>
  <c r="J37" i="1"/>
  <c r="I37" i="1"/>
  <c r="D37" i="1"/>
  <c r="F37" i="1"/>
  <c r="E37" i="1"/>
  <c r="A37" i="1"/>
  <c r="AB36" i="1"/>
  <c r="AD36" i="1"/>
  <c r="AG36" i="1"/>
  <c r="AE36" i="1"/>
  <c r="AC36" i="1"/>
  <c r="W36" i="1"/>
  <c r="V36" i="1"/>
  <c r="Q36" i="1"/>
  <c r="P36" i="1"/>
  <c r="O36" i="1"/>
  <c r="N36" i="1"/>
  <c r="M36" i="1"/>
  <c r="H36" i="1"/>
  <c r="J36" i="1"/>
  <c r="I36" i="1"/>
  <c r="D36" i="1"/>
  <c r="F36" i="1"/>
  <c r="E36" i="1"/>
  <c r="A36" i="1"/>
  <c r="AB35" i="1"/>
  <c r="AD35" i="1"/>
  <c r="AG35" i="1"/>
  <c r="AE35" i="1"/>
  <c r="AC35" i="1"/>
  <c r="W35" i="1"/>
  <c r="V35" i="1"/>
  <c r="Q35" i="1"/>
  <c r="P35" i="1"/>
  <c r="O35" i="1"/>
  <c r="N35" i="1"/>
  <c r="M35" i="1"/>
  <c r="H35" i="1"/>
  <c r="J35" i="1"/>
  <c r="I35" i="1"/>
  <c r="D35" i="1"/>
  <c r="F35" i="1"/>
  <c r="E35" i="1"/>
  <c r="A35" i="1"/>
  <c r="AB34" i="1"/>
  <c r="AD34" i="1"/>
  <c r="AG34" i="1"/>
  <c r="AE34" i="1"/>
  <c r="AC34" i="1"/>
  <c r="W34" i="1"/>
  <c r="V34" i="1"/>
  <c r="Q34" i="1"/>
  <c r="P34" i="1"/>
  <c r="O34" i="1"/>
  <c r="N34" i="1"/>
  <c r="M34" i="1"/>
  <c r="H34" i="1"/>
  <c r="J34" i="1"/>
  <c r="I34" i="1"/>
  <c r="D34" i="1"/>
  <c r="F34" i="1"/>
  <c r="E34" i="1"/>
  <c r="A34" i="1"/>
  <c r="AB33" i="1"/>
  <c r="AD33" i="1"/>
  <c r="AG33" i="1"/>
  <c r="AE33" i="1"/>
  <c r="AC33" i="1"/>
  <c r="W33" i="1"/>
  <c r="V33" i="1"/>
  <c r="Q33" i="1"/>
  <c r="P33" i="1"/>
  <c r="O33" i="1"/>
  <c r="N33" i="1"/>
  <c r="M33" i="1"/>
  <c r="H33" i="1"/>
  <c r="J33" i="1"/>
  <c r="I33" i="1"/>
  <c r="D33" i="1"/>
  <c r="F33" i="1"/>
  <c r="E33" i="1"/>
  <c r="A33" i="1"/>
  <c r="AB32" i="1"/>
  <c r="AD32" i="1"/>
  <c r="AG32" i="1"/>
  <c r="AE32" i="1"/>
  <c r="AC32" i="1"/>
  <c r="W32" i="1"/>
  <c r="V32" i="1"/>
  <c r="Q32" i="1"/>
  <c r="P32" i="1"/>
  <c r="O32" i="1"/>
  <c r="N32" i="1"/>
  <c r="M32" i="1"/>
  <c r="H32" i="1"/>
  <c r="J32" i="1"/>
  <c r="I32" i="1"/>
  <c r="D32" i="1"/>
  <c r="F32" i="1"/>
  <c r="E32" i="1"/>
  <c r="A32" i="1"/>
  <c r="AB31" i="1"/>
  <c r="AD31" i="1"/>
  <c r="AG31" i="1"/>
  <c r="AE31" i="1"/>
  <c r="AC31" i="1"/>
  <c r="W31" i="1"/>
  <c r="V31" i="1"/>
  <c r="Q31" i="1"/>
  <c r="P31" i="1"/>
  <c r="O31" i="1"/>
  <c r="N31" i="1"/>
  <c r="M31" i="1"/>
  <c r="H31" i="1"/>
  <c r="J31" i="1"/>
  <c r="I31" i="1"/>
  <c r="D31" i="1"/>
  <c r="F31" i="1"/>
  <c r="E31" i="1"/>
  <c r="A31" i="1"/>
  <c r="AB30" i="1"/>
  <c r="AD30" i="1"/>
  <c r="AG30" i="1"/>
  <c r="AE30" i="1"/>
  <c r="AC30" i="1"/>
  <c r="W30" i="1"/>
  <c r="V30" i="1"/>
  <c r="Q30" i="1"/>
  <c r="P30" i="1"/>
  <c r="O30" i="1"/>
  <c r="N30" i="1"/>
  <c r="M30" i="1"/>
  <c r="H30" i="1"/>
  <c r="J30" i="1"/>
  <c r="I30" i="1"/>
  <c r="D30" i="1"/>
  <c r="F30" i="1"/>
  <c r="E30" i="1"/>
  <c r="A30" i="1"/>
  <c r="AB29" i="1"/>
  <c r="AD29" i="1"/>
  <c r="AG29" i="1"/>
  <c r="AE29" i="1"/>
  <c r="AC29" i="1"/>
  <c r="W29" i="1"/>
  <c r="V29" i="1"/>
  <c r="Q29" i="1"/>
  <c r="P29" i="1"/>
  <c r="O29" i="1"/>
  <c r="N29" i="1"/>
  <c r="M29" i="1"/>
  <c r="H29" i="1"/>
  <c r="J29" i="1"/>
  <c r="I29" i="1"/>
  <c r="D29" i="1"/>
  <c r="F29" i="1"/>
  <c r="E29" i="1"/>
  <c r="A29" i="1"/>
  <c r="AB28" i="1"/>
  <c r="AD28" i="1"/>
  <c r="AG28" i="1"/>
  <c r="AE28" i="1"/>
  <c r="AC28" i="1"/>
  <c r="W28" i="1"/>
  <c r="V28" i="1"/>
  <c r="Q28" i="1"/>
  <c r="P28" i="1"/>
  <c r="O28" i="1"/>
  <c r="N28" i="1"/>
  <c r="M28" i="1"/>
  <c r="H28" i="1"/>
  <c r="J28" i="1"/>
  <c r="I28" i="1"/>
  <c r="D28" i="1"/>
  <c r="F28" i="1"/>
  <c r="E28" i="1"/>
  <c r="A28" i="1"/>
  <c r="AB27" i="1"/>
  <c r="AD27" i="1"/>
  <c r="AG27" i="1"/>
  <c r="AE27" i="1"/>
  <c r="AC27" i="1"/>
  <c r="W27" i="1"/>
  <c r="V27" i="1"/>
  <c r="Q27" i="1"/>
  <c r="P27" i="1"/>
  <c r="O27" i="1"/>
  <c r="N27" i="1"/>
  <c r="M27" i="1"/>
  <c r="H27" i="1"/>
  <c r="J27" i="1"/>
  <c r="I27" i="1"/>
  <c r="D27" i="1"/>
  <c r="F27" i="1"/>
  <c r="E27" i="1"/>
  <c r="A27" i="1"/>
  <c r="AB26" i="1"/>
  <c r="AD26" i="1"/>
  <c r="AG26" i="1"/>
  <c r="AE26" i="1"/>
  <c r="AC26" i="1"/>
  <c r="W26" i="1"/>
  <c r="V26" i="1"/>
  <c r="Q26" i="1"/>
  <c r="P26" i="1"/>
  <c r="O26" i="1"/>
  <c r="N26" i="1"/>
  <c r="M26" i="1"/>
  <c r="H26" i="1"/>
  <c r="J26" i="1"/>
  <c r="I26" i="1"/>
  <c r="D26" i="1"/>
  <c r="F26" i="1"/>
  <c r="E26" i="1"/>
  <c r="A26" i="1"/>
  <c r="AB25" i="1"/>
  <c r="AD25" i="1"/>
  <c r="AG25" i="1"/>
  <c r="AE25" i="1"/>
  <c r="AC25" i="1"/>
  <c r="W25" i="1"/>
  <c r="V25" i="1"/>
  <c r="Q25" i="1"/>
  <c r="P25" i="1"/>
  <c r="O25" i="1"/>
  <c r="N25" i="1"/>
  <c r="M25" i="1"/>
  <c r="H25" i="1"/>
  <c r="J25" i="1"/>
  <c r="I25" i="1"/>
  <c r="D25" i="1"/>
  <c r="F25" i="1"/>
  <c r="E25" i="1"/>
  <c r="A25" i="1"/>
  <c r="AB24" i="1"/>
  <c r="AD24" i="1"/>
  <c r="AG24" i="1"/>
  <c r="AE24" i="1"/>
  <c r="AC24" i="1"/>
  <c r="W24" i="1"/>
  <c r="V24" i="1"/>
  <c r="Q24" i="1"/>
  <c r="P24" i="1"/>
  <c r="O24" i="1"/>
  <c r="N24" i="1"/>
  <c r="M24" i="1"/>
  <c r="H24" i="1"/>
  <c r="J24" i="1"/>
  <c r="I24" i="1"/>
  <c r="D24" i="1"/>
  <c r="F24" i="1"/>
  <c r="E24" i="1"/>
  <c r="A24" i="1"/>
  <c r="AB23" i="1"/>
  <c r="AD23" i="1"/>
  <c r="AG23" i="1"/>
  <c r="AE23" i="1"/>
  <c r="AC23" i="1"/>
  <c r="W23" i="1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AB22" i="1"/>
  <c r="AD22" i="1"/>
  <c r="AG22" i="1"/>
  <c r="AE22" i="1"/>
  <c r="AC22" i="1"/>
  <c r="W22" i="1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W21" i="1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H18" i="2"/>
  <c r="E18" i="2"/>
  <c r="D18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B18" i="2"/>
  <c r="H17" i="2"/>
  <c r="E17" i="2"/>
  <c r="D17" i="2"/>
  <c r="B17" i="2"/>
  <c r="H16" i="2"/>
  <c r="E16" i="2"/>
  <c r="D16" i="2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T27" i="10"/>
  <c r="W27" i="10"/>
  <c r="V27" i="10"/>
  <c r="X27" i="10"/>
  <c r="U27" i="10"/>
  <c r="Y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B20" i="1"/>
  <c r="AD20" i="1"/>
  <c r="AG20" i="1"/>
  <c r="AE20" i="1"/>
  <c r="AC20" i="1"/>
  <c r="V20" i="1"/>
  <c r="Q20" i="1"/>
  <c r="P20" i="1"/>
  <c r="O20" i="1"/>
  <c r="N20" i="1"/>
  <c r="M20" i="1"/>
  <c r="J20" i="1"/>
  <c r="I20" i="1"/>
  <c r="D20" i="1"/>
  <c r="F20" i="1"/>
  <c r="E20" i="1"/>
  <c r="A20" i="1"/>
  <c r="A18" i="1"/>
  <c r="D18" i="1"/>
  <c r="E18" i="1"/>
  <c r="F18" i="1"/>
  <c r="I18" i="1"/>
  <c r="J18" i="1"/>
  <c r="M18" i="1"/>
  <c r="N18" i="1"/>
  <c r="O18" i="1"/>
  <c r="P18" i="1"/>
  <c r="Q18" i="1"/>
  <c r="W18" i="1"/>
  <c r="V18" i="1"/>
  <c r="AB18" i="1"/>
  <c r="AC18" i="1"/>
  <c r="AD18" i="1"/>
  <c r="AE18" i="1"/>
  <c r="AG18" i="1"/>
  <c r="A19" i="1"/>
  <c r="D19" i="1"/>
  <c r="E19" i="1"/>
  <c r="F19" i="1"/>
  <c r="I19" i="1"/>
  <c r="J19" i="1"/>
  <c r="M19" i="1"/>
  <c r="N19" i="1"/>
  <c r="O19" i="1"/>
  <c r="P19" i="1"/>
  <c r="Q19" i="1"/>
  <c r="W19" i="1"/>
  <c r="V19" i="1"/>
  <c r="AB19" i="1"/>
  <c r="AC19" i="1"/>
  <c r="AD19" i="1"/>
  <c r="AE19" i="1"/>
  <c r="AG19" i="1"/>
  <c r="AB17" i="1"/>
  <c r="AD17" i="1"/>
  <c r="AG17" i="1"/>
  <c r="AE17" i="1"/>
  <c r="AC17" i="1"/>
  <c r="W17" i="1"/>
  <c r="V17" i="1"/>
  <c r="Q17" i="1"/>
  <c r="P17" i="1"/>
  <c r="O17" i="1"/>
  <c r="N17" i="1"/>
  <c r="M17" i="1"/>
  <c r="J17" i="1"/>
  <c r="I17" i="1"/>
  <c r="D17" i="1"/>
  <c r="F17" i="1"/>
  <c r="E17" i="1"/>
  <c r="A17" i="1"/>
  <c r="AB16" i="1"/>
  <c r="AD16" i="1"/>
  <c r="AG16" i="1"/>
  <c r="AE16" i="1"/>
  <c r="AC16" i="1"/>
  <c r="W16" i="1"/>
  <c r="V16" i="1"/>
  <c r="Q16" i="1"/>
  <c r="P16" i="1"/>
  <c r="O16" i="1"/>
  <c r="N16" i="1"/>
  <c r="M16" i="1"/>
  <c r="J16" i="1"/>
  <c r="I16" i="1"/>
  <c r="D16" i="1"/>
  <c r="F16" i="1"/>
  <c r="E16" i="1"/>
  <c r="A16" i="1"/>
  <c r="AB15" i="1"/>
  <c r="AD15" i="1"/>
  <c r="AG15" i="1"/>
  <c r="AE15" i="1"/>
  <c r="AC15" i="1"/>
  <c r="W15" i="1"/>
  <c r="V15" i="1"/>
  <c r="Q15" i="1"/>
  <c r="P15" i="1"/>
  <c r="O15" i="1"/>
  <c r="N15" i="1"/>
  <c r="M15" i="1"/>
  <c r="J15" i="1"/>
  <c r="I15" i="1"/>
  <c r="D15" i="1"/>
  <c r="F15" i="1"/>
  <c r="E15" i="1"/>
  <c r="A15" i="1"/>
  <c r="AB14" i="1"/>
  <c r="AD14" i="1"/>
  <c r="AG14" i="1"/>
  <c r="AE14" i="1"/>
  <c r="AC14" i="1"/>
  <c r="W14" i="1"/>
  <c r="V14" i="1"/>
  <c r="Q14" i="1"/>
  <c r="P14" i="1"/>
  <c r="O14" i="1"/>
  <c r="N14" i="1"/>
  <c r="M14" i="1"/>
  <c r="J14" i="1"/>
  <c r="I14" i="1"/>
  <c r="D14" i="1"/>
  <c r="F14" i="1"/>
  <c r="E14" i="1"/>
  <c r="A14" i="1"/>
  <c r="AB13" i="1"/>
  <c r="AD13" i="1"/>
  <c r="AG13" i="1"/>
  <c r="AE13" i="1"/>
  <c r="AC13" i="1"/>
  <c r="W13" i="1"/>
  <c r="V13" i="1"/>
  <c r="Q13" i="1"/>
  <c r="P13" i="1"/>
  <c r="O13" i="1"/>
  <c r="N13" i="1"/>
  <c r="M13" i="1"/>
  <c r="J13" i="1"/>
  <c r="I13" i="1"/>
  <c r="D13" i="1"/>
  <c r="F13" i="1"/>
  <c r="E13" i="1"/>
  <c r="A13" i="1"/>
  <c r="AB12" i="1"/>
  <c r="AD12" i="1"/>
  <c r="AG12" i="1"/>
  <c r="AE12" i="1"/>
  <c r="AC12" i="1"/>
  <c r="W12" i="1"/>
  <c r="V12" i="1"/>
  <c r="Q12" i="1"/>
  <c r="P12" i="1"/>
  <c r="O12" i="1"/>
  <c r="N12" i="1"/>
  <c r="M12" i="1"/>
  <c r="J12" i="1"/>
  <c r="I12" i="1"/>
  <c r="D12" i="1"/>
  <c r="F12" i="1"/>
  <c r="E12" i="1"/>
  <c r="A12" i="1"/>
  <c r="AB11" i="1"/>
  <c r="AD11" i="1"/>
  <c r="AG11" i="1"/>
  <c r="AE11" i="1"/>
  <c r="AC11" i="1"/>
  <c r="W11" i="1"/>
  <c r="V11" i="1"/>
  <c r="Q11" i="1"/>
  <c r="P11" i="1"/>
  <c r="O11" i="1"/>
  <c r="N11" i="1"/>
  <c r="M11" i="1"/>
  <c r="J11" i="1"/>
  <c r="I11" i="1"/>
  <c r="D11" i="1"/>
  <c r="F11" i="1"/>
  <c r="E11" i="1"/>
  <c r="A11" i="1"/>
  <c r="AB10" i="1"/>
  <c r="AD10" i="1"/>
  <c r="AG10" i="1"/>
  <c r="AE10" i="1"/>
  <c r="AC10" i="1"/>
  <c r="W10" i="1"/>
  <c r="V10" i="1"/>
  <c r="Q10" i="1"/>
  <c r="P10" i="1"/>
  <c r="O10" i="1"/>
  <c r="N10" i="1"/>
  <c r="M10" i="1"/>
  <c r="J10" i="1"/>
  <c r="I10" i="1"/>
  <c r="D10" i="1"/>
  <c r="F10" i="1"/>
  <c r="E10" i="1"/>
  <c r="A10" i="1"/>
  <c r="B3" i="2"/>
  <c r="D3" i="2"/>
  <c r="E3" i="2"/>
  <c r="H3" i="2"/>
  <c r="B4" i="2"/>
  <c r="D4" i="2"/>
  <c r="E4" i="2"/>
  <c r="H4" i="2"/>
  <c r="W3" i="1"/>
  <c r="W4" i="1"/>
  <c r="W5" i="1"/>
  <c r="W6" i="1"/>
  <c r="W7" i="1"/>
  <c r="W8" i="1"/>
  <c r="W9" i="1"/>
  <c r="AB9" i="1"/>
  <c r="AD9" i="1"/>
  <c r="AG9" i="1"/>
  <c r="AE9" i="1"/>
  <c r="AC9" i="1"/>
  <c r="V9" i="1"/>
  <c r="Q9" i="1"/>
  <c r="P9" i="1"/>
  <c r="O9" i="1"/>
  <c r="N9" i="1"/>
  <c r="M9" i="1"/>
  <c r="J9" i="1"/>
  <c r="I9" i="1"/>
  <c r="D9" i="1"/>
  <c r="F9" i="1"/>
  <c r="E9" i="1"/>
  <c r="A9" i="1"/>
  <c r="AB8" i="1"/>
  <c r="AD8" i="1"/>
  <c r="AG8" i="1"/>
  <c r="AE8" i="1"/>
  <c r="AC8" i="1"/>
  <c r="V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J4" i="1"/>
  <c r="I4" i="1"/>
  <c r="D4" i="1"/>
  <c r="F4" i="1"/>
  <c r="E4" i="1"/>
  <c r="A4" i="1"/>
  <c r="B3" i="19"/>
  <c r="I3" i="19"/>
  <c r="J3" i="19"/>
  <c r="B2" i="19"/>
  <c r="I2" i="19"/>
  <c r="J2" i="19"/>
  <c r="G2" i="19"/>
  <c r="F2" i="19"/>
  <c r="D2" i="19"/>
  <c r="C2" i="19"/>
  <c r="G3" i="19"/>
  <c r="F3" i="19"/>
  <c r="D3" i="19"/>
  <c r="C3" i="19"/>
  <c r="O2" i="9"/>
  <c r="N2" i="9"/>
  <c r="M2" i="9"/>
  <c r="L2" i="9"/>
  <c r="K2" i="9"/>
  <c r="J2" i="9"/>
  <c r="I2" i="9"/>
  <c r="H2" i="9"/>
  <c r="G2" i="9"/>
  <c r="D2" i="9"/>
  <c r="W2" i="7"/>
  <c r="W2" i="1"/>
  <c r="V2" i="1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<sst xmlns="http://schemas.openxmlformats.org/spreadsheetml/2006/main" count="1487" uniqueCount="353">
  <si>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</si>
  <si>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</si>
  <si>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</si>
  <si>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</si>
  <si>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</si>
  <si>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</si>
  <si>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</si>
  <si>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</si>
  <si>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</si>
  <si>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</si>
  <si>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</si>
  <si>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</si>
  <si>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</si>
  <si>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</si>
  <si>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</si>
  <si>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</si>
  <si>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</si>
  <si>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</si>
  <si>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</si>
  <si>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</si>
  <si>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</si>
  <si>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</si>
  <si>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</si>
  <si>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</si>
  <si>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</si>
  <si>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</si>
  <si>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</si>
  <si>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</si>
  <si>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</si>
  <si>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</si>
  <si>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</si>
  <si>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</si>
  <si>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</si>
  <si>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</si>
  <si>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</si>
  <si>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</si>
  <si>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</si>
  <si>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</si>
  <si>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</si>
  <si>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</si>
  <si>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</si>
  <si>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</si>
  <si>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</si>
  <si>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</si>
  <si>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</si>
  <si>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</si>
  <si>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</si>
  <si>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</si>
  <si>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</si>
  <si>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</si>
  <si>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</si>
  <si>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</si>
  <si>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</si>
  <si>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null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</si>
  <si>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</si>
  <si>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</si>
  <si>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</si>
  <si>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</si>
  <si>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</si>
  <si>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</si>
  <si>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</si>
  <si>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</si>
  <si>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</si>
  <si>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</si>
  <si>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</si>
  <si>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</si>
  <si>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</si>
  <si>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</si>
  <si>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</si>
  <si>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</si>
  <si>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</si>
  <si>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</si>
  <si>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</si>
  <si>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</si>
  <si>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</si>
  <si>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</si>
  <si>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</si>
  <si>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</si>
  <si>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</si>
  <si>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</si>
  <si>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</si>
  <si>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</si>
  <si>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</si>
  <si>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</si>
  <si>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</si>
  <si>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</si>
  <si>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</si>
  <si>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</si>
  <si>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重複チェック</t>
    <rPh sb="0" eb="2">
      <t>チョウフク</t>
    </rPh>
    <phoneticPr fontId="6"/>
  </si>
  <si>
    <t>null</t>
    <phoneticPr fontId="6"/>
  </si>
  <si>
    <t>null</t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</si>
  <si>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</si>
  <si>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</si>
  <si>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</si>
  <si>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</si>
  <si>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</si>
  <si>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</si>
  <si>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</si>
  <si>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</si>
  <si>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</si>
  <si>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</si>
  <si>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</si>
  <si>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</si>
  <si>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</si>
  <si>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</si>
  <si>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</si>
  <si>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</si>
  <si>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</si>
  <si>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</si>
  <si>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</si>
  <si>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</si>
  <si>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</si>
  <si>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</si>
  <si>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</si>
  <si>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</si>
  <si>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</si>
  <si>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</si>
  <si>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</si>
  <si>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</si>
  <si>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</si>
  <si>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</si>
  <si>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</si>
  <si>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</si>
  <si>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</si>
  <si>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</si>
  <si>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</si>
  <si>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</si>
  <si>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</si>
  <si>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</si>
  <si>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</si>
  <si>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</si>
  <si>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</si>
  <si>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</si>
  <si>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</si>
  <si>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</si>
  <si>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</si>
  <si>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</si>
  <si>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</si>
  <si>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</si>
  <si>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</si>
  <si>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</si>
  <si>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</si>
  <si>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</si>
  <si>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</si>
  <si>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</si>
  <si>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</si>
  <si>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</si>
  <si>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</si>
  <si>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</si>
  <si>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</si>
  <si>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</si>
  <si>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</si>
  <si>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</si>
  <si>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</si>
  <si>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</si>
  <si>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</si>
  <si>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</si>
  <si>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</si>
  <si>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</si>
  <si>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</si>
  <si>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</si>
  <si>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</si>
  <si>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</si>
  <si>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</si>
  <si>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</si>
  <si>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</si>
  <si>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</si>
  <si>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</si>
  <si>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</si>
  <si>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bit</t>
  </si>
  <si>
    <t>2015-03-27 00:00:00</t>
  </si>
  <si>
    <t>2970-01-01 09:00:00</t>
  </si>
  <si>
    <t>skill_level</t>
    <phoneticPr fontId="6"/>
  </si>
  <si>
    <t>skill_level</t>
    <phoneticPr fontId="6"/>
  </si>
  <si>
    <t>hint_type</t>
    <phoneticPr fontId="6"/>
  </si>
  <si>
    <t>hint</t>
    <phoneticPr fontId="6"/>
  </si>
  <si>
    <t>title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</si>
  <si>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</si>
  <si>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</si>
  <si>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</si>
  <si>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</si>
  <si>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</si>
  <si>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</si>
  <si>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</si>
  <si>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</si>
  <si>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</si>
  <si>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</si>
  <si>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ja</t>
    <phoneticPr fontId="6"/>
  </si>
  <si>
    <t>攻略のヒント</t>
    <rPh sb="0" eb="2">
      <t>コウリャク</t>
    </rPh>
    <phoneticPr fontId="6"/>
  </si>
  <si>
    <t>NULL</t>
    <phoneticPr fontId="6"/>
  </si>
  <si>
    <t>[effect:critical, val:0.6, animation:enemy_critical]</t>
    <phoneticPr fontId="6"/>
  </si>
  <si>
    <t>ja</t>
    <phoneticPr fontId="6"/>
  </si>
  <si>
    <t>HPが低いほど強力な攻撃</t>
  </si>
  <si>
    <t>[effect:critical, val:1.0, animation:enemy_critical]</t>
    <phoneticPr fontId="6"/>
  </si>
  <si>
    <t>[effect:enhance_enemy, target:enemy_all, turn:3, status:defense, val:3000, calc:add, animation:enemy_enhance_enemy]</t>
    <phoneticPr fontId="6"/>
  </si>
  <si>
    <t>old</t>
    <phoneticPr fontId="6"/>
  </si>
  <si>
    <t>[effect:dis_heart, turn:8, rate:1.0, animation:enemy_dis_heart]</t>
    <phoneticPr fontId="6"/>
  </si>
  <si>
    <t>null</t>
    <phoneticPr fontId="6"/>
  </si>
  <si>
    <t>[effect:freq_turn, target:myself, turn:-1, val:1, animation:enemy_freq_turn]</t>
    <phoneticPr fontId="6"/>
  </si>
  <si>
    <t>[effect:heal, target:enemy_all, val:0.5, animation:enemy_heal]</t>
    <phoneticPr fontId="6"/>
  </si>
  <si>
    <t>[effect:freq_turn, target:enemy_all, turn:3, val:1, animation:enemy_freq_turn]</t>
    <phoneticPr fontId="6"/>
  </si>
  <si>
    <t>[effect:enhance_enemy, target:enemy_all, turn:3, status:defense, val:3000, calc:add, animation:enemy_enhance_enemy]</t>
  </si>
  <si>
    <t>[effect:rush, count:3, val:0.45]</t>
    <phoneticPr fontId="6"/>
  </si>
  <si>
    <t>[effect:heal, target:enemy_all, val:0.1, animation:enemy_heal],[effect:rush, count:1, val:0.8]</t>
    <phoneticPr fontId="6"/>
  </si>
  <si>
    <t>[effect:degrade_unit, target:unit_all, turn:3, status:heal, val:1, calc:mul, animation:degrade_unit_all_heal],[effect:rush, count:1, val:0.8]</t>
    <phoneticPr fontId="6"/>
  </si>
  <si>
    <t>[effect:rush, count:3, val:0.45]</t>
    <phoneticPr fontId="6"/>
  </si>
  <si>
    <t>[effect:dis_heart, turn:7, rate:1.0, animation:enemy_dis_heart]</t>
    <phoneticPr fontId="6"/>
  </si>
  <si>
    <t>[effect:heal, target:enemy_all, val:0.1, animation:enemy_heal],[effect:rush, count:2, val:0.7]</t>
    <phoneticPr fontId="6"/>
  </si>
  <si>
    <t>[effect:enhance_enemy, target:enemy_all, turn:3, status:attack, val:0.4, animation:enemy_enhance_enemy]</t>
    <phoneticPr fontId="6"/>
  </si>
  <si>
    <t>[effect:enhance_enemy, target:enemy_all, turn:3, status:attack, val:0.3, animation:enemy_enhance_enemy],[effect:rush, count:2, val:0.6]</t>
    <phoneticPr fontId="6"/>
  </si>
  <si>
    <t>[effect:spread, val:0.35, animation:enemy_spread]</t>
    <phoneticPr fontId="6"/>
  </si>
  <si>
    <t>[effect:critical, val:1.3, animation:enemy_critical]</t>
    <phoneticPr fontId="6"/>
  </si>
  <si>
    <t>[effect:critical, val:1.6, animation:enemy_critical]</t>
    <phoneticPr fontId="6"/>
  </si>
  <si>
    <t>[effect:critical, val:1.7.0, animation:enemy_critical]</t>
    <phoneticPr fontId="6"/>
  </si>
  <si>
    <t>[effect:guard_break, target:unit_one, turn:1, val:1.0, calc:mul, animation:guard_break01],[effect:rush, count:2, val:0.6]</t>
    <phoneticPr fontId="6"/>
  </si>
  <si>
    <t>HPが低いほど強力な攻撃</t>
    <phoneticPr fontId="6"/>
  </si>
  <si>
    <t>クリティカル攻撃</t>
    <rPh sb="6" eb="8">
      <t>コウゲキ</t>
    </rPh>
    <phoneticPr fontId="6"/>
  </si>
  <si>
    <t>[effect:fix_speed, target:myself, turn:1],[effect:enhance_enemy, target:enemy_all, turn:3, status:attack, val:0.2, animation:enemy_enhance_enemy]</t>
    <phoneticPr fontId="6"/>
  </si>
  <si>
    <t>3ターン防御力UP</t>
    <rPh sb="4" eb="6">
      <t>ボウギョリョウ</t>
    </rPh>
    <rPh sb="6" eb="7">
      <t>リョク</t>
    </rPh>
    <phoneticPr fontId="6"/>
  </si>
  <si>
    <t>3回連続攻撃</t>
    <rPh sb="1" eb="2">
      <t>カイ</t>
    </rPh>
    <rPh sb="2" eb="6">
      <t>レンゾクコウゲキ</t>
    </rPh>
    <phoneticPr fontId="6"/>
  </si>
  <si>
    <t>種族unknown以外に大ダメージ</t>
    <rPh sb="0" eb="2">
      <t>シュゾク</t>
    </rPh>
    <rPh sb="9" eb="11">
      <t>イガイ</t>
    </rPh>
    <rPh sb="12" eb="13">
      <t>ダイ</t>
    </rPh>
    <phoneticPr fontId="6"/>
  </si>
  <si>
    <t>回復</t>
    <rPh sb="0" eb="2">
      <t>カイフク</t>
    </rPh>
    <phoneticPr fontId="6"/>
  </si>
  <si>
    <t>3ターン攻撃力UP</t>
    <phoneticPr fontId="6"/>
  </si>
  <si>
    <t>7ターンの間ハートパネルで回復できない</t>
    <rPh sb="5" eb="6">
      <t>アイダ</t>
    </rPh>
    <rPh sb="13" eb="15">
      <t>カイフク</t>
    </rPh>
    <phoneticPr fontId="6"/>
  </si>
  <si>
    <t>8ターンの間ハートパネルで回復できない</t>
    <rPh sb="5" eb="6">
      <t>アイダ</t>
    </rPh>
    <rPh sb="13" eb="15">
      <t>カイフク</t>
    </rPh>
    <phoneticPr fontId="6"/>
  </si>
  <si>
    <t>3ターン回復力が100%DOWN</t>
    <phoneticPr fontId="6"/>
  </si>
  <si>
    <t>全体攻撃</t>
    <phoneticPr fontId="6"/>
  </si>
  <si>
    <t>[effect:change_panel_ratio, turn:3, block_type:heal, val:0],[effect:degrade_unit, target:unit_all, turn:3, status:heal, val:1.0, calc:mul, animation:degrade_unit_all_heal]</t>
    <phoneticPr fontId="6"/>
  </si>
  <si>
    <t>3ターン行動頻度が1ターンにUP</t>
    <rPh sb="4" eb="6">
      <t>コウドウ</t>
    </rPh>
    <phoneticPr fontId="6"/>
  </si>
  <si>
    <t>解除するまで行動頻度が1ターンにUP</t>
    <rPh sb="0" eb="2">
      <t>カイジョ</t>
    </rPh>
    <rPh sb="6" eb="8">
      <t>コウドウ</t>
    </rPh>
    <rPh sb="8" eb="10">
      <t>ヒンド</t>
    </rPh>
    <phoneticPr fontId="6"/>
  </si>
  <si>
    <t>[effect:enhance_enemy, target:enemy_all, turn:5, status:defense, val:6000, calc:add, animation:enemy_enhance_enemy],[effect:rush, count:4, val:0.35]</t>
    <phoneticPr fontId="6"/>
  </si>
  <si>
    <t>5ターン防御力UP</t>
    <rPh sb="4" eb="6">
      <t>ボウギョリョウ</t>
    </rPh>
    <rPh sb="6" eb="7">
      <t>リョク</t>
    </rPh>
    <phoneticPr fontId="6"/>
  </si>
  <si>
    <t>防御力DOWN攻撃</t>
    <rPh sb="0" eb="2">
      <t>ボウギョ</t>
    </rPh>
    <rPh sb="2" eb="3">
      <t>リョク</t>
    </rPh>
    <rPh sb="7" eb="9">
      <t>コウゲキ</t>
    </rPh>
    <phoneticPr fontId="6"/>
  </si>
  <si>
    <t>状態異常無効＋フィーバーゲージを0にする</t>
    <rPh sb="0" eb="4">
      <t>ジョウタイイジョウ</t>
    </rPh>
    <rPh sb="4" eb="6">
      <t>ムコウ</t>
    </rPh>
    <phoneticPr fontId="6"/>
  </si>
  <si>
    <t>状態異常無効</t>
    <rPh sb="0" eb="2">
      <t>ジョウタイ</t>
    </rPh>
    <rPh sb="2" eb="4">
      <t>イジョウ</t>
    </rPh>
    <rPh sb="4" eb="6">
      <t>ムコウ</t>
    </rPh>
    <phoneticPr fontId="6"/>
  </si>
  <si>
    <t>もうすぐクライマックスだよ！</t>
    <phoneticPr fontId="6"/>
  </si>
  <si>
    <t>もうすぐクライマックスだよ！</t>
    <phoneticPr fontId="6"/>
  </si>
  <si>
    <t>ラストスパートだよ！</t>
    <phoneticPr fontId="6"/>
  </si>
  <si>
    <t>3ターンの間ハートパネルが出現しない＋回復力が100%DOWN</t>
    <rPh sb="5" eb="6">
      <t>アイダ</t>
    </rPh>
    <rPh sb="13" eb="15">
      <t>シュツゲン</t>
    </rPh>
    <rPh sb="19" eb="21">
      <t>カイフク</t>
    </rPh>
    <rPh sb="21" eb="22">
      <t>リョク</t>
    </rPh>
    <phoneticPr fontId="6"/>
  </si>
  <si>
    <t>[effect:change_block, new_block:block_heart, target:block_all, count:5, val:0, animation:change_block]</t>
  </si>
  <si>
    <t>[effect:change_block, new_block:block_heart, target:block_all, count:5, val:0, animation:change_block]</t>
    <phoneticPr fontId="6"/>
  </si>
  <si>
    <t>[effect:enhance_enemy, target:enemy_all, turn:1, status:defense, val:500, calc:add, animation:enemy_enhance_enemy]</t>
    <phoneticPr fontId="6"/>
  </si>
  <si>
    <t>1ターン防御力UP</t>
    <rPh sb="4" eb="6">
      <t>ボウギョリョウ</t>
    </rPh>
    <rPh sb="6" eb="7">
      <t>リョク</t>
    </rPh>
    <phoneticPr fontId="6"/>
  </si>
  <si>
    <t>link</t>
    <phoneticPr fontId="6"/>
  </si>
  <si>
    <t>unit</t>
    <phoneticPr fontId="6"/>
  </si>
  <si>
    <t>link</t>
    <phoneticPr fontId="6"/>
  </si>
  <si>
    <t>null</t>
    <phoneticPr fontId="6"/>
  </si>
  <si>
    <t>2970-01-01 09:00:00</t>
    <phoneticPr fontId="6"/>
  </si>
  <si>
    <t>2970-01-01 09:00:00</t>
    <phoneticPr fontId="6"/>
  </si>
  <si>
    <t>failure</t>
    <phoneticPr fontId="6"/>
  </si>
  <si>
    <t>行動頻度が速いユニットから
先に倒しましょう</t>
    <rPh sb="0" eb="2">
      <t>コウドウ</t>
    </rPh>
    <rPh sb="2" eb="4">
      <t>ヒンド</t>
    </rPh>
    <rPh sb="5" eb="6">
      <t>ハヤ</t>
    </rPh>
    <rPh sb="11" eb="13">
      <t>ゾクセ</t>
    </rPh>
    <rPh sb="14" eb="16">
      <t>サk</t>
    </rPh>
    <rPh sb="16" eb="17">
      <t>タオソ</t>
    </rPh>
    <phoneticPr fontId="6"/>
  </si>
  <si>
    <t>勝てない時はゲリラに参加して
ユニットのレベルを上げましょう</t>
    <rPh sb="0" eb="1">
      <t>カ</t>
    </rPh>
    <rPh sb="4" eb="5">
      <t>トキ</t>
    </rPh>
    <rPh sb="10" eb="12">
      <t>サンカ</t>
    </rPh>
    <rPh sb="24" eb="25">
      <t>ア</t>
    </rPh>
    <phoneticPr fontId="6"/>
  </si>
  <si>
    <t>hint_type</t>
    <phoneticPr fontId="6"/>
  </si>
  <si>
    <t>quest_id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</si>
  <si>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</si>
  <si>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</si>
  <si>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</si>
  <si>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</si>
  <si>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</si>
  <si>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hint_id</t>
    <phoneticPr fontId="6"/>
  </si>
  <si>
    <t>language</t>
    <phoneticPr fontId="6"/>
  </si>
  <si>
    <t>title</t>
    <phoneticPr fontId="6"/>
  </si>
  <si>
    <t>title</t>
    <phoneticPr fontId="6"/>
  </si>
  <si>
    <t>hint</t>
    <phoneticPr fontId="6"/>
  </si>
  <si>
    <t>filename</t>
    <phoneticPr fontId="6"/>
  </si>
  <si>
    <t>complete</t>
  </si>
  <si>
    <t>ja</t>
    <phoneticPr fontId="6"/>
  </si>
  <si>
    <t>NULL</t>
    <phoneticPr fontId="6"/>
  </si>
  <si>
    <t>ja</t>
    <phoneticPr fontId="6"/>
  </si>
  <si>
    <t>NULL</t>
    <phoneticPr fontId="6"/>
  </si>
  <si>
    <t>NULL</t>
    <phoneticPr fontId="6"/>
  </si>
  <si>
    <t>NULL</t>
    <phoneticPr fontId="6"/>
  </si>
  <si>
    <t>ja</t>
    <phoneticPr fontId="6"/>
  </si>
  <si>
    <t>NULL</t>
    <phoneticPr fontId="6"/>
  </si>
  <si>
    <t>ja</t>
    <phoneticPr fontId="6"/>
  </si>
  <si>
    <t>ja</t>
    <phoneticPr fontId="6"/>
  </si>
  <si>
    <t>NULL</t>
    <phoneticPr fontId="6"/>
  </si>
  <si>
    <t>ja</t>
    <phoneticPr fontId="6"/>
  </si>
  <si>
    <t>NULL</t>
    <phoneticPr fontId="6"/>
  </si>
  <si>
    <t>ja</t>
    <phoneticPr fontId="6"/>
  </si>
  <si>
    <t>NULL</t>
    <phoneticPr fontId="6"/>
  </si>
  <si>
    <t>ja</t>
    <phoneticPr fontId="6"/>
  </si>
  <si>
    <t>NULL</t>
    <phoneticPr fontId="6"/>
  </si>
  <si>
    <t>ja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</si>
  <si>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</si>
  <si>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</si>
  <si>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</si>
  <si>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</si>
  <si>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</si>
  <si>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</si>
  <si>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</si>
  <si>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</si>
  <si>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</si>
  <si>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</si>
  <si>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NULL</t>
    <phoneticPr fontId="6"/>
  </si>
  <si>
    <t>stage_hints_data_c_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</si>
  <si>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</si>
  <si>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</si>
  <si>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hint_id</t>
    <phoneticPr fontId="6"/>
  </si>
  <si>
    <t>stage_hints_data_f_</t>
    <phoneticPr fontId="6"/>
  </si>
  <si>
    <t>stage_hints_failure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</si>
  <si>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</si>
  <si>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filename</t>
  </si>
  <si>
    <t>文字数</t>
    <rPh sb="0" eb="3">
      <t>モジスウ</t>
    </rPh>
    <phoneticPr fontId="6"/>
  </si>
  <si>
    <t>stage_bug_bonuses_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</si>
  <si>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</si>
  <si>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</si>
  <si>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quest_id</t>
    <phoneticPr fontId="6"/>
  </si>
  <si>
    <t>stage_id</t>
    <phoneticPr fontId="6"/>
  </si>
  <si>
    <t>stage_target</t>
    <phoneticPr fontId="6"/>
  </si>
  <si>
    <t>bonus_id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</si>
  <si>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</si>
  <si>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</si>
  <si>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</si>
  <si>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</si>
  <si>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defense_plus</t>
    <phoneticPr fontId="6"/>
  </si>
  <si>
    <t>weight</t>
    <phoneticPr fontId="6"/>
  </si>
  <si>
    <t>definite_start_date</t>
    <phoneticPr fontId="6"/>
  </si>
  <si>
    <t>definite_end_date</t>
    <phoneticPr fontId="6"/>
  </si>
  <si>
    <t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t>
    <phoneticPr fontId="6"/>
  </si>
  <si>
    <t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animation:enemy_tolerance],[effect:degrade_fever, val:1000, animation:fevergauge_down]</t>
    <phoneticPr fontId="6"/>
  </si>
  <si>
    <t>[effect:damage_anti_tribe, target:unit_all, tribe:unknown, val1:0.01, val2:0.38]</t>
    <phoneticPr fontId="6"/>
  </si>
  <si>
    <t>[effect:damage_anti_tribe, target:unit_all, tribe:unknown, val1:0.01, val2:0.42]</t>
    <phoneticPr fontId="6"/>
  </si>
  <si>
    <t>みんなー！お待たせー！</t>
    <phoneticPr fontId="6"/>
  </si>
  <si>
    <t>レーザーライト</t>
  </si>
  <si>
    <t>レーザーライト</t>
    <phoneticPr fontId="6"/>
  </si>
  <si>
    <t>ノイジーサウンド</t>
    <phoneticPr fontId="6"/>
  </si>
  <si>
    <t>ヒーリングボイス</t>
  </si>
  <si>
    <t>テンションアップ</t>
  </si>
  <si>
    <t>キュートステップ</t>
  </si>
  <si>
    <t>よーし！あったまってきたね！</t>
  </si>
  <si>
    <t>ヒーリングサウンド</t>
  </si>
  <si>
    <t>テクニカルステップ</t>
  </si>
  <si>
    <t>本番はこれからだよ！</t>
  </si>
  <si>
    <t>スモーク噴射！</t>
  </si>
  <si>
    <t>ユニゾンコーラス</t>
  </si>
  <si>
    <t>クールステップ</t>
  </si>
  <si>
    <t>MIKUEXPO-オーヴァーチュア-</t>
  </si>
  <si>
    <t>MIKUEXPO-スケルツォ-</t>
  </si>
  <si>
    <t>MIKUEXPO-フィナーレ-</t>
  </si>
  <si>
    <t>ノンストップメドレー</t>
    <phoneticPr fontId="6"/>
  </si>
  <si>
    <t>超高音シャウト</t>
  </si>
  <si>
    <t>ついてこれるかな？</t>
  </si>
  <si>
    <t>ハウリングアタック</t>
  </si>
  <si>
    <t>ノイズストーム</t>
  </si>
  <si>
    <t>チューニング</t>
  </si>
  <si>
    <t>メロメロボイス</t>
  </si>
  <si>
    <t>みんなの歌声を響かせよう！</t>
  </si>
  <si>
    <t>もっと響かせよう！
　　私達の歌で！</t>
  </si>
  <si>
    <t>みんなー！お待たせー！</t>
  </si>
  <si>
    <t>old</t>
  </si>
  <si>
    <t>MIKU EXPOはUnknown種族以外の
ユニットに大ダメージを与えてきます
Unknown種族で編成を固めましょう</t>
    <rPh sb="19" eb="21">
      <t>イガイ</t>
    </rPh>
    <rPh sb="28" eb="29">
      <t>ダイ</t>
    </rPh>
    <rPh sb="34" eb="35">
      <t>アタ</t>
    </rPh>
    <phoneticPr fontId="6"/>
  </si>
  <si>
    <t>MIKU EXPOはハートパネル無効スキルを
使ってきます
解除スキルを持つユニットを
連れて行きましょう</t>
    <rPh sb="16" eb="18">
      <t>ムコウ</t>
    </rPh>
    <rPh sb="23" eb="24">
      <t>ツカ</t>
    </rPh>
    <rPh sb="31" eb="33">
      <t>カイジョ</t>
    </rPh>
    <rPh sb="37" eb="38">
      <t>モ</t>
    </rPh>
    <rPh sb="45" eb="46">
      <t>ツ</t>
    </rPh>
    <rPh sb="48" eb="49">
      <t>イ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</si>
</sst>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name val="ＭＳ Ｐゴシック"/>
      <family val="3"/>
      <charset val="128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rgb="FF63AAFE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089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34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9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horizontal="left" vertical="center" wrapText="1"/>
    </xf>
    <xf numFmtId="14" fontId="17" fillId="0" borderId="7" xfId="0" applyNumberFormat="1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4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7" fillId="12" borderId="7" xfId="0" applyFont="1" applyFill="1" applyBorder="1"/>
    <xf numFmtId="0" fontId="14" fillId="11" borderId="7" xfId="434" applyFont="1" applyFill="1" applyBorder="1" applyAlignment="1"/>
    <xf numFmtId="0" fontId="25" fillId="0" borderId="7" xfId="434" applyBorder="1" applyAlignment="1"/>
    <xf numFmtId="0" fontId="0" fillId="13" borderId="7" xfId="0" applyFill="1" applyBorder="1"/>
    <xf numFmtId="0" fontId="17" fillId="3" borderId="7" xfId="0" applyFont="1" applyFill="1" applyBorder="1" applyAlignment="1">
      <alignment horizontal="left" vertical="center" wrapText="1"/>
    </xf>
    <xf numFmtId="0" fontId="17" fillId="6" borderId="7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3" fillId="11" borderId="7" xfId="615" applyFill="1" applyBorder="1"/>
    <xf numFmtId="0" fontId="5" fillId="0" borderId="7" xfId="0" applyFont="1" applyBorder="1" applyAlignment="1">
      <alignment vertical="center"/>
    </xf>
    <xf numFmtId="0" fontId="7" fillId="5" borderId="11" xfId="0" applyFont="1" applyFill="1" applyBorder="1" applyAlignment="1">
      <alignment vertical="center"/>
    </xf>
    <xf numFmtId="0" fontId="0" fillId="3" borderId="7" xfId="0" applyFill="1" applyBorder="1"/>
    <xf numFmtId="0" fontId="17" fillId="3" borderId="7" xfId="614" applyFont="1" applyFill="1" applyBorder="1" applyAlignment="1">
      <alignment horizontal="left"/>
    </xf>
    <xf numFmtId="0" fontId="17" fillId="6" borderId="7" xfId="0" applyFont="1" applyFill="1" applyBorder="1" applyAlignment="1">
      <alignment horizontal="center"/>
    </xf>
    <xf numFmtId="56" fontId="17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3" fillId="0" borderId="0" xfId="615"/>
    <xf numFmtId="0" fontId="28" fillId="6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17" fillId="15" borderId="7" xfId="0" applyFont="1" applyFill="1" applyBorder="1" applyAlignment="1">
      <alignment horizontal="center"/>
    </xf>
    <xf numFmtId="0" fontId="0" fillId="15" borderId="7" xfId="0" applyFill="1" applyBorder="1"/>
    <xf numFmtId="0" fontId="28" fillId="0" borderId="7" xfId="0" applyFont="1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4" borderId="7" xfId="0" applyFont="1" applyFill="1" applyBorder="1"/>
    <xf numFmtId="0" fontId="32" fillId="0" borderId="7" xfId="0" applyFont="1" applyFill="1" applyBorder="1"/>
    <xf numFmtId="0" fontId="28" fillId="0" borderId="0" xfId="0" applyFont="1" applyFill="1"/>
    <xf numFmtId="0" fontId="17" fillId="30" borderId="7" xfId="0" applyFont="1" applyFill="1" applyBorder="1" applyAlignment="1">
      <alignment horizontal="center"/>
    </xf>
    <xf numFmtId="0" fontId="31" fillId="30" borderId="7" xfId="0" applyFont="1" applyFill="1" applyBorder="1"/>
    <xf numFmtId="0" fontId="17" fillId="13" borderId="7" xfId="0" applyFont="1" applyFill="1" applyBorder="1" applyAlignment="1">
      <alignment horizontal="center"/>
    </xf>
    <xf numFmtId="56" fontId="17" fillId="14" borderId="7" xfId="0" applyNumberFormat="1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 vertical="center"/>
    </xf>
    <xf numFmtId="0" fontId="5" fillId="31" borderId="1" xfId="0" applyFont="1" applyFill="1" applyBorder="1" applyAlignment="1">
      <alignment horizontal="center" vertical="center"/>
    </xf>
    <xf numFmtId="0" fontId="5" fillId="32" borderId="1" xfId="0" applyFont="1" applyFill="1" applyBorder="1" applyAlignment="1">
      <alignment horizontal="center" vertical="center"/>
    </xf>
    <xf numFmtId="0" fontId="5" fillId="33" borderId="1" xfId="0" applyFont="1" applyFill="1" applyBorder="1" applyAlignment="1">
      <alignment horizontal="center" vertical="center"/>
    </xf>
    <xf numFmtId="0" fontId="17" fillId="13" borderId="7" xfId="0" applyFont="1" applyFill="1" applyBorder="1" applyAlignment="1">
      <alignment vertical="center"/>
    </xf>
    <xf numFmtId="0" fontId="17" fillId="6" borderId="7" xfId="0" applyFont="1" applyFill="1" applyBorder="1" applyAlignmen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10" xfId="0" applyFont="1" applyBorder="1" applyAlignment="1">
      <alignment vertical="center"/>
    </xf>
    <xf numFmtId="0" fontId="12" fillId="0" borderId="12" xfId="0" applyFont="1" applyBorder="1" applyAlignment="1">
      <alignment horizontal="left" vertical="center" wrapText="1"/>
    </xf>
    <xf numFmtId="0" fontId="12" fillId="0" borderId="23" xfId="0" applyFont="1" applyBorder="1" applyAlignment="1">
      <alignment vertical="center"/>
    </xf>
    <xf numFmtId="0" fontId="17" fillId="34" borderId="7" xfId="0" applyFont="1" applyFill="1" applyBorder="1" applyAlignment="1">
      <alignment vertical="center"/>
    </xf>
    <xf numFmtId="0" fontId="17" fillId="35" borderId="7" xfId="0" applyFont="1" applyFill="1" applyBorder="1" applyAlignment="1">
      <alignment vertical="center"/>
    </xf>
    <xf numFmtId="0" fontId="12" fillId="0" borderId="7" xfId="0" applyFont="1" applyBorder="1" applyAlignment="1">
      <alignment vertical="center"/>
    </xf>
    <xf numFmtId="0" fontId="17" fillId="36" borderId="7" xfId="0" applyFont="1" applyFill="1" applyBorder="1" applyAlignment="1">
      <alignment vertical="center"/>
    </xf>
    <xf numFmtId="0" fontId="17" fillId="37" borderId="7" xfId="0" applyFont="1" applyFill="1" applyBorder="1" applyAlignment="1">
      <alignment vertical="center"/>
    </xf>
    <xf numFmtId="0" fontId="12" fillId="38" borderId="7" xfId="0" applyFont="1" applyFill="1" applyBorder="1" applyAlignment="1">
      <alignment vertical="center"/>
    </xf>
    <xf numFmtId="0" fontId="52" fillId="39" borderId="24" xfId="0" applyFont="1" applyFill="1" applyBorder="1" applyAlignment="1">
      <alignment vertical="center"/>
    </xf>
    <xf numFmtId="0" fontId="17" fillId="40" borderId="7" xfId="0" applyFont="1" applyFill="1" applyBorder="1" applyAlignment="1">
      <alignment vertical="center"/>
    </xf>
    <xf numFmtId="0" fontId="17" fillId="42" borderId="7" xfId="0" applyFont="1" applyFill="1" applyBorder="1" applyAlignment="1">
      <alignment vertical="center"/>
    </xf>
    <xf numFmtId="0" fontId="17" fillId="43" borderId="7" xfId="0" applyFont="1" applyFill="1" applyBorder="1" applyAlignment="1">
      <alignment vertical="center"/>
    </xf>
    <xf numFmtId="0" fontId="17" fillId="41" borderId="7" xfId="0" applyFont="1" applyFill="1" applyBorder="1" applyAlignment="1">
      <alignment vertical="center"/>
    </xf>
    <xf numFmtId="0" fontId="17" fillId="31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17" fillId="13" borderId="7" xfId="0" applyFont="1" applyFill="1" applyBorder="1" applyAlignment="1">
      <alignment horizontal="left" vertical="center" wrapText="1"/>
    </xf>
    <xf numFmtId="0" fontId="52" fillId="32" borderId="7" xfId="0" applyFont="1" applyFill="1" applyBorder="1" applyAlignment="1">
      <alignment vertical="center"/>
    </xf>
    <xf numFmtId="0" fontId="17" fillId="44" borderId="7" xfId="0" applyFont="1" applyFill="1" applyBorder="1" applyAlignment="1">
      <alignment vertical="center"/>
    </xf>
    <xf numFmtId="0" fontId="17" fillId="0" borderId="12" xfId="0" applyFont="1" applyBorder="1" applyAlignment="1">
      <alignment horizontal="left" vertical="center" wrapText="1"/>
    </xf>
    <xf numFmtId="0" fontId="17" fillId="32" borderId="7" xfId="0" applyFont="1" applyFill="1" applyBorder="1" applyAlignment="1">
      <alignment vertical="center"/>
    </xf>
    <xf numFmtId="49" fontId="0" fillId="0" borderId="7" xfId="0" applyNumberFormat="1" applyFill="1" applyBorder="1"/>
    <xf numFmtId="38" fontId="17" fillId="0" borderId="7" xfId="628" applyFont="1" applyFill="1" applyBorder="1" applyAlignment="1">
      <alignment wrapText="1"/>
    </xf>
    <xf numFmtId="0" fontId="17" fillId="0" borderId="7" xfId="0" applyFont="1" applyFill="1" applyBorder="1" applyAlignment="1">
      <alignment vertical="center" wrapText="1"/>
    </xf>
    <xf numFmtId="0" fontId="32" fillId="14" borderId="7" xfId="0" applyFont="1" applyFill="1" applyBorder="1"/>
    <xf numFmtId="38" fontId="17" fillId="14" borderId="7" xfId="1056" applyFont="1" applyFill="1" applyBorder="1" applyAlignment="1"/>
    <xf numFmtId="0" fontId="27" fillId="0" borderId="0" xfId="0" applyFont="1"/>
    <xf numFmtId="0" fontId="17" fillId="6" borderId="7" xfId="11" applyFont="1" applyFill="1" applyBorder="1" applyAlignment="1">
      <alignment horizontal="left"/>
    </xf>
    <xf numFmtId="0" fontId="3" fillId="6" borderId="0" xfId="615" applyFill="1"/>
    <xf numFmtId="0" fontId="5" fillId="45" borderId="6" xfId="0" applyFont="1" applyFill="1" applyBorder="1" applyAlignment="1">
      <alignment vertical="center"/>
    </xf>
    <xf numFmtId="0" fontId="5" fillId="45" borderId="1" xfId="0" applyFont="1" applyFill="1" applyBorder="1" applyAlignment="1">
      <alignment vertical="center"/>
    </xf>
    <xf numFmtId="0" fontId="28" fillId="45" borderId="7" xfId="0" applyFont="1" applyFill="1" applyBorder="1"/>
  </cellXfs>
  <cellStyles count="1089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桁区切り 2" xfId="429"/>
    <cellStyle name="桁区切り 2 2" xfId="628"/>
    <cellStyle name="桁区切り 2 2 2" xfId="105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赤字強調" xfId="431"/>
    <cellStyle name="青字強調" xfId="43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12001</v>
          </cell>
        </row>
        <row r="80">
          <cell r="A80">
            <v>12002</v>
          </cell>
        </row>
        <row r="81">
          <cell r="A81">
            <v>12003</v>
          </cell>
        </row>
        <row r="82">
          <cell r="A82">
            <v>12004</v>
          </cell>
        </row>
        <row r="83">
          <cell r="A83">
            <v>13001</v>
          </cell>
        </row>
        <row r="84">
          <cell r="A84">
            <v>14001</v>
          </cell>
        </row>
        <row r="85">
          <cell r="A85">
            <v>14002</v>
          </cell>
        </row>
        <row r="86">
          <cell r="A86">
            <v>14003</v>
          </cell>
        </row>
        <row r="87">
          <cell r="A87">
            <v>14004</v>
          </cell>
        </row>
        <row r="88">
          <cell r="A88">
            <v>14005</v>
          </cell>
        </row>
        <row r="89">
          <cell r="A89">
            <v>14006</v>
          </cell>
        </row>
        <row r="90">
          <cell r="A90">
            <v>15027</v>
          </cell>
        </row>
        <row r="91">
          <cell r="A91">
            <v>15028</v>
          </cell>
        </row>
        <row r="92">
          <cell r="A92">
            <v>15029</v>
          </cell>
        </row>
        <row r="93">
          <cell r="A93">
            <v>15030</v>
          </cell>
        </row>
        <row r="94">
          <cell r="A94">
            <v>15031</v>
          </cell>
        </row>
        <row r="95">
          <cell r="A95">
            <v>20001</v>
          </cell>
        </row>
        <row r="96">
          <cell r="A96">
            <v>20002</v>
          </cell>
        </row>
        <row r="97">
          <cell r="A97">
            <v>20003</v>
          </cell>
        </row>
        <row r="98">
          <cell r="A98">
            <v>20004</v>
          </cell>
        </row>
        <row r="99">
          <cell r="A99">
            <v>20005</v>
          </cell>
        </row>
        <row r="100">
          <cell r="A100">
            <v>20006</v>
          </cell>
        </row>
        <row r="101">
          <cell r="A101">
            <v>20007</v>
          </cell>
        </row>
        <row r="102">
          <cell r="A102">
            <v>20008</v>
          </cell>
        </row>
        <row r="103">
          <cell r="A103">
            <v>20009</v>
          </cell>
        </row>
        <row r="104">
          <cell r="A104">
            <v>20010</v>
          </cell>
        </row>
        <row r="105">
          <cell r="A105">
            <v>20011</v>
          </cell>
        </row>
        <row r="106">
          <cell r="A106">
            <v>20012</v>
          </cell>
        </row>
        <row r="107">
          <cell r="A107">
            <v>20013</v>
          </cell>
        </row>
        <row r="108">
          <cell r="A108">
            <v>20014</v>
          </cell>
        </row>
        <row r="109">
          <cell r="A109">
            <v>20015</v>
          </cell>
        </row>
        <row r="110">
          <cell r="A110">
            <v>20016</v>
          </cell>
        </row>
        <row r="111">
          <cell r="A111">
            <v>30001</v>
          </cell>
        </row>
        <row r="112">
          <cell r="A112">
            <v>30002</v>
          </cell>
        </row>
        <row r="113">
          <cell r="A113">
            <v>30003</v>
          </cell>
        </row>
        <row r="114">
          <cell r="A114">
            <v>30004</v>
          </cell>
        </row>
        <row r="115">
          <cell r="A115">
            <v>30005</v>
          </cell>
        </row>
        <row r="116">
          <cell r="A116">
            <v>30006</v>
          </cell>
        </row>
        <row r="117">
          <cell r="A117">
            <v>30007</v>
          </cell>
        </row>
        <row r="118">
          <cell r="A118">
            <v>30008</v>
          </cell>
        </row>
        <row r="119">
          <cell r="A119">
            <v>30009</v>
          </cell>
        </row>
        <row r="120">
          <cell r="A120">
            <v>30010</v>
          </cell>
        </row>
        <row r="121">
          <cell r="A121">
            <v>30011</v>
          </cell>
        </row>
        <row r="122">
          <cell r="A122">
            <v>30012</v>
          </cell>
        </row>
        <row r="123">
          <cell r="A123">
            <v>30013</v>
          </cell>
        </row>
        <row r="124">
          <cell r="A124">
            <v>30014</v>
          </cell>
        </row>
        <row r="125">
          <cell r="A125">
            <v>30015</v>
          </cell>
        </row>
        <row r="126">
          <cell r="A126">
            <v>30016</v>
          </cell>
        </row>
        <row r="127">
          <cell r="A127">
            <v>30017</v>
          </cell>
        </row>
        <row r="128">
          <cell r="A128">
            <v>30018</v>
          </cell>
        </row>
        <row r="129">
          <cell r="A129">
            <v>30019</v>
          </cell>
        </row>
        <row r="130">
          <cell r="A130">
            <v>30020</v>
          </cell>
        </row>
        <row r="131">
          <cell r="A131">
            <v>30021</v>
          </cell>
        </row>
        <row r="132">
          <cell r="A132">
            <v>30022</v>
          </cell>
        </row>
        <row r="133">
          <cell r="A133">
            <v>30023</v>
          </cell>
        </row>
        <row r="134">
          <cell r="A134">
            <v>30024</v>
          </cell>
        </row>
        <row r="135">
          <cell r="A135">
            <v>30025</v>
          </cell>
        </row>
        <row r="136">
          <cell r="A136">
            <v>30026</v>
          </cell>
        </row>
        <row r="137">
          <cell r="A137">
            <v>30027</v>
          </cell>
        </row>
        <row r="138">
          <cell r="A138">
            <v>30028</v>
          </cell>
        </row>
        <row r="139">
          <cell r="A139">
            <v>30029</v>
          </cell>
        </row>
        <row r="140">
          <cell r="A140">
            <v>30030</v>
          </cell>
        </row>
        <row r="141">
          <cell r="A141">
            <v>30031</v>
          </cell>
        </row>
        <row r="142">
          <cell r="A142">
            <v>30032</v>
          </cell>
        </row>
        <row r="143">
          <cell r="A143">
            <v>30033</v>
          </cell>
        </row>
        <row r="144">
          <cell r="A144">
            <v>30034</v>
          </cell>
        </row>
        <row r="145">
          <cell r="A145">
            <v>30035</v>
          </cell>
        </row>
        <row r="146">
          <cell r="A146">
            <v>30036</v>
          </cell>
        </row>
        <row r="147">
          <cell r="A147">
            <v>39001</v>
          </cell>
        </row>
        <row r="148">
          <cell r="A148">
            <v>39002</v>
          </cell>
        </row>
        <row r="149">
          <cell r="A149">
            <v>39003</v>
          </cell>
        </row>
        <row r="150">
          <cell r="A150">
            <v>39004</v>
          </cell>
        </row>
        <row r="151">
          <cell r="A151">
            <v>39005</v>
          </cell>
        </row>
        <row r="152">
          <cell r="A152">
            <v>40001</v>
          </cell>
        </row>
        <row r="153">
          <cell r="A153">
            <v>40002</v>
          </cell>
        </row>
        <row r="154">
          <cell r="A154">
            <v>40003</v>
          </cell>
        </row>
        <row r="155">
          <cell r="A155">
            <v>40004</v>
          </cell>
        </row>
        <row r="156">
          <cell r="A156">
            <v>40005</v>
          </cell>
        </row>
        <row r="157">
          <cell r="A157">
            <v>40006</v>
          </cell>
        </row>
        <row r="158">
          <cell r="A158">
            <v>40007</v>
          </cell>
        </row>
        <row r="159">
          <cell r="A159">
            <v>40008</v>
          </cell>
        </row>
        <row r="160">
          <cell r="A160">
            <v>40009</v>
          </cell>
        </row>
        <row r="161">
          <cell r="A161">
            <v>40010</v>
          </cell>
        </row>
        <row r="162">
          <cell r="A162">
            <v>40011</v>
          </cell>
        </row>
        <row r="163">
          <cell r="A163">
            <v>40012</v>
          </cell>
        </row>
        <row r="164">
          <cell r="A164">
            <v>40013</v>
          </cell>
        </row>
        <row r="165">
          <cell r="A165">
            <v>40014</v>
          </cell>
        </row>
        <row r="166">
          <cell r="A166">
            <v>40015</v>
          </cell>
        </row>
        <row r="167">
          <cell r="A167">
            <v>40016</v>
          </cell>
        </row>
        <row r="168">
          <cell r="A168">
            <v>40017</v>
          </cell>
        </row>
        <row r="169">
          <cell r="A169">
            <v>40018</v>
          </cell>
        </row>
        <row r="170">
          <cell r="A170">
            <v>48001</v>
          </cell>
        </row>
        <row r="171">
          <cell r="A171">
            <v>41001</v>
          </cell>
        </row>
        <row r="172">
          <cell r="A172">
            <v>41002</v>
          </cell>
        </row>
        <row r="173">
          <cell r="A173">
            <v>41003</v>
          </cell>
        </row>
        <row r="174">
          <cell r="A174">
            <v>41004</v>
          </cell>
        </row>
        <row r="175">
          <cell r="A175">
            <v>41005</v>
          </cell>
        </row>
        <row r="176">
          <cell r="A176">
            <v>41006</v>
          </cell>
        </row>
        <row r="177">
          <cell r="A177">
            <v>49001</v>
          </cell>
        </row>
        <row r="178">
          <cell r="A178">
            <v>49002</v>
          </cell>
        </row>
        <row r="179">
          <cell r="A179">
            <v>49003</v>
          </cell>
        </row>
        <row r="180">
          <cell r="A180">
            <v>49004</v>
          </cell>
        </row>
        <row r="181">
          <cell r="A181">
            <v>49005</v>
          </cell>
        </row>
        <row r="182">
          <cell r="A182">
            <v>50001</v>
          </cell>
        </row>
        <row r="183">
          <cell r="A183">
            <v>50002</v>
          </cell>
        </row>
        <row r="184">
          <cell r="A184">
            <v>50003</v>
          </cell>
        </row>
        <row r="185">
          <cell r="A185">
            <v>50004</v>
          </cell>
        </row>
        <row r="186">
          <cell r="A186">
            <v>51001</v>
          </cell>
        </row>
        <row r="187">
          <cell r="A187">
            <v>51002</v>
          </cell>
        </row>
        <row r="188">
          <cell r="A188">
            <v>60001</v>
          </cell>
        </row>
        <row r="189">
          <cell r="A189">
            <v>60002</v>
          </cell>
        </row>
        <row r="190">
          <cell r="A190">
            <v>60003</v>
          </cell>
        </row>
        <row r="191">
          <cell r="A191">
            <v>60004</v>
          </cell>
        </row>
        <row r="192">
          <cell r="A192">
            <v>60005</v>
          </cell>
        </row>
        <row r="193">
          <cell r="A193">
            <v>60006</v>
          </cell>
        </row>
        <row r="194">
          <cell r="A194">
            <v>60007</v>
          </cell>
        </row>
        <row r="195">
          <cell r="A195">
            <v>60010</v>
          </cell>
        </row>
        <row r="196">
          <cell r="A196">
            <v>65535</v>
          </cell>
        </row>
        <row r="197">
          <cell r="A197">
            <v>60021</v>
          </cell>
        </row>
        <row r="198">
          <cell r="A198">
            <v>60022</v>
          </cell>
        </row>
        <row r="199">
          <cell r="A199">
            <v>60023</v>
          </cell>
        </row>
        <row r="200">
          <cell r="A20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12001_1</v>
          </cell>
        </row>
        <row r="274">
          <cell r="A274" t="str">
            <v>12001_2</v>
          </cell>
        </row>
        <row r="275">
          <cell r="A275" t="str">
            <v>12001_3</v>
          </cell>
        </row>
        <row r="276">
          <cell r="A276" t="str">
            <v>12002_1</v>
          </cell>
        </row>
        <row r="277">
          <cell r="A277" t="str">
            <v>12002_2</v>
          </cell>
        </row>
        <row r="278">
          <cell r="A278" t="str">
            <v>12003_1</v>
          </cell>
        </row>
        <row r="279">
          <cell r="A279" t="str">
            <v>12003_2</v>
          </cell>
        </row>
        <row r="280">
          <cell r="A280" t="str">
            <v>12003_3</v>
          </cell>
        </row>
        <row r="281">
          <cell r="A281" t="str">
            <v>12003_4</v>
          </cell>
        </row>
        <row r="282">
          <cell r="A282" t="str">
            <v>12004_1</v>
          </cell>
        </row>
        <row r="283">
          <cell r="A283" t="str">
            <v>13001_1</v>
          </cell>
        </row>
        <row r="284">
          <cell r="A284" t="str">
            <v>13001_2</v>
          </cell>
        </row>
        <row r="285">
          <cell r="A285" t="str">
            <v>13001_3</v>
          </cell>
        </row>
        <row r="286">
          <cell r="A286" t="str">
            <v>13001_4</v>
          </cell>
        </row>
        <row r="287">
          <cell r="A287" t="str">
            <v>13001_5</v>
          </cell>
        </row>
        <row r="288">
          <cell r="A288" t="str">
            <v>13001_6</v>
          </cell>
        </row>
        <row r="289">
          <cell r="A289" t="str">
            <v>13001_7</v>
          </cell>
        </row>
        <row r="290">
          <cell r="A290" t="str">
            <v>13001_8</v>
          </cell>
        </row>
        <row r="291">
          <cell r="A291" t="str">
            <v>13001_9</v>
          </cell>
        </row>
        <row r="292">
          <cell r="A292" t="str">
            <v>13001_10</v>
          </cell>
        </row>
        <row r="293">
          <cell r="A293" t="str">
            <v>13001_11</v>
          </cell>
        </row>
        <row r="294">
          <cell r="A294" t="str">
            <v>13001_12</v>
          </cell>
        </row>
        <row r="295">
          <cell r="A295" t="str">
            <v>13001_13</v>
          </cell>
        </row>
        <row r="296">
          <cell r="A296" t="str">
            <v>13001_14</v>
          </cell>
        </row>
        <row r="297">
          <cell r="A297" t="str">
            <v>13001_15</v>
          </cell>
        </row>
        <row r="298">
          <cell r="A298" t="str">
            <v>13001_16</v>
          </cell>
        </row>
        <row r="299">
          <cell r="A299" t="str">
            <v>13001_17</v>
          </cell>
        </row>
        <row r="300">
          <cell r="A300" t="str">
            <v>13001_18</v>
          </cell>
        </row>
        <row r="301">
          <cell r="A301" t="str">
            <v>13001_19</v>
          </cell>
        </row>
        <row r="302">
          <cell r="A302" t="str">
            <v>13001_20</v>
          </cell>
        </row>
        <row r="303">
          <cell r="A303" t="str">
            <v>13001_21</v>
          </cell>
        </row>
        <row r="304">
          <cell r="A304" t="str">
            <v>13001_22</v>
          </cell>
        </row>
        <row r="305">
          <cell r="A305" t="str">
            <v>13001_23</v>
          </cell>
        </row>
        <row r="306">
          <cell r="A306" t="str">
            <v>13001_24</v>
          </cell>
        </row>
        <row r="307">
          <cell r="A307" t="str">
            <v>13001_25</v>
          </cell>
        </row>
        <row r="308">
          <cell r="A308" t="str">
            <v>14001_1</v>
          </cell>
        </row>
        <row r="309">
          <cell r="A309" t="str">
            <v>14001_2</v>
          </cell>
        </row>
        <row r="310">
          <cell r="A310" t="str">
            <v>14001_3</v>
          </cell>
        </row>
        <row r="311">
          <cell r="A311" t="str">
            <v>14001_4</v>
          </cell>
        </row>
        <row r="312">
          <cell r="A312" t="str">
            <v>14001_5</v>
          </cell>
        </row>
        <row r="313">
          <cell r="A313" t="str">
            <v>14001_6</v>
          </cell>
        </row>
        <row r="314">
          <cell r="A314" t="str">
            <v>14001_7</v>
          </cell>
        </row>
        <row r="315">
          <cell r="A315" t="str">
            <v>14001_8</v>
          </cell>
        </row>
        <row r="316">
          <cell r="A316" t="str">
            <v>14002_1</v>
          </cell>
        </row>
        <row r="317">
          <cell r="A317" t="str">
            <v>14002_2</v>
          </cell>
        </row>
        <row r="318">
          <cell r="A318" t="str">
            <v>14003_1</v>
          </cell>
        </row>
        <row r="319">
          <cell r="A319" t="str">
            <v>14003_2</v>
          </cell>
        </row>
        <row r="320">
          <cell r="A320" t="str">
            <v>14003_3</v>
          </cell>
        </row>
        <row r="321">
          <cell r="A321" t="str">
            <v>14003_4</v>
          </cell>
        </row>
        <row r="322">
          <cell r="A322" t="str">
            <v>14004_1</v>
          </cell>
        </row>
        <row r="323">
          <cell r="A323" t="str">
            <v>14004_2</v>
          </cell>
        </row>
        <row r="324">
          <cell r="A324" t="str">
            <v>14004_3</v>
          </cell>
        </row>
        <row r="325">
          <cell r="A325" t="str">
            <v>14004_4</v>
          </cell>
        </row>
        <row r="326">
          <cell r="A326" t="str">
            <v>14005_1</v>
          </cell>
        </row>
        <row r="327">
          <cell r="A327" t="str">
            <v>14006_1</v>
          </cell>
        </row>
        <row r="328">
          <cell r="A328" t="str">
            <v>15027_1</v>
          </cell>
        </row>
        <row r="329">
          <cell r="A329" t="str">
            <v>15027_2</v>
          </cell>
        </row>
        <row r="330">
          <cell r="A330" t="str">
            <v>15027_3</v>
          </cell>
        </row>
        <row r="331">
          <cell r="A331" t="str">
            <v>15027_4</v>
          </cell>
        </row>
        <row r="332">
          <cell r="A332" t="str">
            <v>15028_1</v>
          </cell>
        </row>
        <row r="333">
          <cell r="A333" t="str">
            <v>15028_2</v>
          </cell>
        </row>
        <row r="334">
          <cell r="A334" t="str">
            <v>15028_3</v>
          </cell>
        </row>
        <row r="335">
          <cell r="A335" t="str">
            <v>15028_4</v>
          </cell>
        </row>
        <row r="336">
          <cell r="A336" t="str">
            <v>15029_1</v>
          </cell>
        </row>
        <row r="337">
          <cell r="A337" t="str">
            <v>15029_2</v>
          </cell>
        </row>
        <row r="338">
          <cell r="A338" t="str">
            <v>15029_3</v>
          </cell>
        </row>
        <row r="339">
          <cell r="A339" t="str">
            <v>15029_4</v>
          </cell>
        </row>
        <row r="340">
          <cell r="A340" t="str">
            <v>15030_1</v>
          </cell>
        </row>
        <row r="341">
          <cell r="A341" t="str">
            <v>15030_2</v>
          </cell>
        </row>
        <row r="342">
          <cell r="A342" t="str">
            <v>15030_3</v>
          </cell>
        </row>
        <row r="343">
          <cell r="A343" t="str">
            <v>15030_4</v>
          </cell>
        </row>
        <row r="344">
          <cell r="A344" t="str">
            <v>15031_1</v>
          </cell>
        </row>
        <row r="345">
          <cell r="A345" t="str">
            <v>15031_2</v>
          </cell>
        </row>
        <row r="346">
          <cell r="A346" t="str">
            <v>15031_3</v>
          </cell>
        </row>
        <row r="347">
          <cell r="A347" t="str">
            <v>15031_4</v>
          </cell>
        </row>
        <row r="348">
          <cell r="A348" t="str">
            <v>20001_1</v>
          </cell>
        </row>
        <row r="349">
          <cell r="A349" t="str">
            <v>20001_2</v>
          </cell>
        </row>
        <row r="350">
          <cell r="A350" t="str">
            <v>20001_3</v>
          </cell>
        </row>
        <row r="351">
          <cell r="A351" t="str">
            <v>20002_1</v>
          </cell>
        </row>
        <row r="352">
          <cell r="A352" t="str">
            <v>20002_2</v>
          </cell>
        </row>
        <row r="353">
          <cell r="A353" t="str">
            <v>20002_3</v>
          </cell>
        </row>
        <row r="354">
          <cell r="A354" t="str">
            <v>20003_1</v>
          </cell>
        </row>
        <row r="355">
          <cell r="A355" t="str">
            <v>20003_2</v>
          </cell>
        </row>
        <row r="356">
          <cell r="A356" t="str">
            <v>20003_3</v>
          </cell>
        </row>
        <row r="357">
          <cell r="A357" t="str">
            <v>20004_1</v>
          </cell>
        </row>
        <row r="358">
          <cell r="A358" t="str">
            <v>20004_2</v>
          </cell>
        </row>
        <row r="359">
          <cell r="A359" t="str">
            <v>20004_3</v>
          </cell>
        </row>
        <row r="360">
          <cell r="A360" t="str">
            <v>20005_1</v>
          </cell>
        </row>
        <row r="361">
          <cell r="A361" t="str">
            <v>20005_2</v>
          </cell>
        </row>
        <row r="362">
          <cell r="A362" t="str">
            <v>20005_3</v>
          </cell>
        </row>
        <row r="363">
          <cell r="A363" t="str">
            <v>20006_1</v>
          </cell>
        </row>
        <row r="364">
          <cell r="A364" t="str">
            <v>20006_2</v>
          </cell>
        </row>
        <row r="365">
          <cell r="A365" t="str">
            <v>20006_3</v>
          </cell>
        </row>
        <row r="366">
          <cell r="A366" t="str">
            <v>20007_1</v>
          </cell>
        </row>
        <row r="367">
          <cell r="A367" t="str">
            <v>20007_2</v>
          </cell>
        </row>
        <row r="368">
          <cell r="A368" t="str">
            <v>20007_3</v>
          </cell>
        </row>
        <row r="369">
          <cell r="A369" t="str">
            <v>20008_1</v>
          </cell>
        </row>
        <row r="370">
          <cell r="A370" t="str">
            <v>20008_2</v>
          </cell>
        </row>
        <row r="371">
          <cell r="A371" t="str">
            <v>20008_3</v>
          </cell>
        </row>
        <row r="372">
          <cell r="A372" t="str">
            <v>20009_1</v>
          </cell>
        </row>
        <row r="373">
          <cell r="A373" t="str">
            <v>20009_2</v>
          </cell>
        </row>
        <row r="374">
          <cell r="A374" t="str">
            <v>20009_3</v>
          </cell>
        </row>
        <row r="375">
          <cell r="A375" t="str">
            <v>20010_1</v>
          </cell>
        </row>
        <row r="376">
          <cell r="A376" t="str">
            <v>20010_2</v>
          </cell>
        </row>
        <row r="377">
          <cell r="A377" t="str">
            <v>20010_3</v>
          </cell>
        </row>
        <row r="378">
          <cell r="A378" t="str">
            <v>20011_1</v>
          </cell>
        </row>
        <row r="379">
          <cell r="A379" t="str">
            <v>20011_2</v>
          </cell>
        </row>
        <row r="380">
          <cell r="A380" t="str">
            <v>20011_3</v>
          </cell>
        </row>
        <row r="381">
          <cell r="A381" t="str">
            <v>20012_1</v>
          </cell>
        </row>
        <row r="382">
          <cell r="A382" t="str">
            <v>20012_2</v>
          </cell>
        </row>
        <row r="383">
          <cell r="A383" t="str">
            <v>20012_3</v>
          </cell>
        </row>
        <row r="384">
          <cell r="A384" t="str">
            <v>20013_1</v>
          </cell>
        </row>
        <row r="385">
          <cell r="A385" t="str">
            <v>20013_2</v>
          </cell>
        </row>
        <row r="386">
          <cell r="A386" t="str">
            <v>20013_3</v>
          </cell>
        </row>
        <row r="387">
          <cell r="A387" t="str">
            <v>20014_1</v>
          </cell>
        </row>
        <row r="388">
          <cell r="A388" t="str">
            <v>20014_2</v>
          </cell>
        </row>
        <row r="389">
          <cell r="A389" t="str">
            <v>20014_3</v>
          </cell>
        </row>
        <row r="390">
          <cell r="A390" t="str">
            <v>20015_1</v>
          </cell>
        </row>
        <row r="391">
          <cell r="A391" t="str">
            <v>20015_2</v>
          </cell>
        </row>
        <row r="392">
          <cell r="A392" t="str">
            <v>20015_3</v>
          </cell>
        </row>
        <row r="393">
          <cell r="A393" t="str">
            <v>20016_1</v>
          </cell>
        </row>
        <row r="394">
          <cell r="A394" t="str">
            <v>20016_2</v>
          </cell>
        </row>
        <row r="395">
          <cell r="A395" t="str">
            <v>20016_3</v>
          </cell>
        </row>
        <row r="396">
          <cell r="A396" t="str">
            <v>30001_1</v>
          </cell>
        </row>
        <row r="397">
          <cell r="A397" t="str">
            <v>30001_2</v>
          </cell>
        </row>
        <row r="398">
          <cell r="A398" t="str">
            <v>30001_3</v>
          </cell>
        </row>
        <row r="399">
          <cell r="A399" t="str">
            <v>30002_1</v>
          </cell>
        </row>
        <row r="400">
          <cell r="A400" t="str">
            <v>30002_2</v>
          </cell>
        </row>
        <row r="401">
          <cell r="A401" t="str">
            <v>30002_3</v>
          </cell>
        </row>
        <row r="402">
          <cell r="A402" t="str">
            <v>30003_1</v>
          </cell>
        </row>
        <row r="403">
          <cell r="A403" t="str">
            <v>30003_2</v>
          </cell>
        </row>
        <row r="404">
          <cell r="A404" t="str">
            <v>30003_3</v>
          </cell>
        </row>
        <row r="405">
          <cell r="A405" t="str">
            <v>30004_1</v>
          </cell>
        </row>
        <row r="406">
          <cell r="A406" t="str">
            <v>30004_2</v>
          </cell>
        </row>
        <row r="407">
          <cell r="A407" t="str">
            <v>30004_3</v>
          </cell>
        </row>
        <row r="408">
          <cell r="A408" t="str">
            <v>30005_1</v>
          </cell>
        </row>
        <row r="409">
          <cell r="A409" t="str">
            <v>30005_2</v>
          </cell>
        </row>
        <row r="410">
          <cell r="A410" t="str">
            <v>30005_3</v>
          </cell>
        </row>
        <row r="411">
          <cell r="A411" t="str">
            <v>30006_1</v>
          </cell>
        </row>
        <row r="412">
          <cell r="A412" t="str">
            <v>30006_2</v>
          </cell>
        </row>
        <row r="413">
          <cell r="A413" t="str">
            <v>30006_3</v>
          </cell>
        </row>
        <row r="414">
          <cell r="A414" t="str">
            <v>30007_1</v>
          </cell>
        </row>
        <row r="415">
          <cell r="A415" t="str">
            <v>30007_2</v>
          </cell>
        </row>
        <row r="416">
          <cell r="A416" t="str">
            <v>30007_3</v>
          </cell>
        </row>
        <row r="417">
          <cell r="A417" t="str">
            <v>30008_1</v>
          </cell>
        </row>
        <row r="418">
          <cell r="A418" t="str">
            <v>30008_2</v>
          </cell>
        </row>
        <row r="419">
          <cell r="A419" t="str">
            <v>30008_3</v>
          </cell>
        </row>
        <row r="420">
          <cell r="A420" t="str">
            <v>30009_3</v>
          </cell>
        </row>
        <row r="421">
          <cell r="A421" t="str">
            <v>30009_1</v>
          </cell>
        </row>
        <row r="422">
          <cell r="A422" t="str">
            <v>30009_2</v>
          </cell>
        </row>
        <row r="423">
          <cell r="A423" t="str">
            <v>30010_1</v>
          </cell>
        </row>
        <row r="424">
          <cell r="A424" t="str">
            <v>30010_2</v>
          </cell>
        </row>
        <row r="425">
          <cell r="A425" t="str">
            <v>30010_3</v>
          </cell>
        </row>
        <row r="426">
          <cell r="A426" t="str">
            <v>30011_1</v>
          </cell>
        </row>
        <row r="427">
          <cell r="A427" t="str">
            <v>30011_2</v>
          </cell>
        </row>
        <row r="428">
          <cell r="A428" t="str">
            <v>30011_3</v>
          </cell>
        </row>
        <row r="429">
          <cell r="A429" t="str">
            <v>30012_1</v>
          </cell>
        </row>
        <row r="430">
          <cell r="A430" t="str">
            <v>30012_2</v>
          </cell>
        </row>
        <row r="431">
          <cell r="A431" t="str">
            <v>30012_3</v>
          </cell>
        </row>
        <row r="432">
          <cell r="A432" t="str">
            <v>30013_1</v>
          </cell>
        </row>
        <row r="433">
          <cell r="A433" t="str">
            <v>30013_2</v>
          </cell>
        </row>
        <row r="434">
          <cell r="A434" t="str">
            <v>30014_1</v>
          </cell>
        </row>
        <row r="435">
          <cell r="A435" t="str">
            <v>30014_2</v>
          </cell>
        </row>
        <row r="436">
          <cell r="A436" t="str">
            <v>30015_1</v>
          </cell>
        </row>
        <row r="437">
          <cell r="A437" t="str">
            <v>30015_2</v>
          </cell>
        </row>
        <row r="438">
          <cell r="A438" t="str">
            <v>30016_1</v>
          </cell>
        </row>
        <row r="439">
          <cell r="A439" t="str">
            <v>30016_2</v>
          </cell>
        </row>
        <row r="440">
          <cell r="A440" t="str">
            <v>30017_1</v>
          </cell>
        </row>
        <row r="441">
          <cell r="A441" t="str">
            <v>30017_2</v>
          </cell>
        </row>
        <row r="442">
          <cell r="A442" t="str">
            <v>30018_1</v>
          </cell>
        </row>
        <row r="443">
          <cell r="A443" t="str">
            <v>30018_2</v>
          </cell>
        </row>
        <row r="444">
          <cell r="A444" t="str">
            <v>30019_1</v>
          </cell>
        </row>
        <row r="445">
          <cell r="A445" t="str">
            <v>30019_2</v>
          </cell>
        </row>
        <row r="446">
          <cell r="A446" t="str">
            <v>30020_1</v>
          </cell>
        </row>
        <row r="447">
          <cell r="A447" t="str">
            <v>30020_2</v>
          </cell>
        </row>
        <row r="448">
          <cell r="A448" t="str">
            <v>30021_1</v>
          </cell>
        </row>
        <row r="449">
          <cell r="A449" t="str">
            <v>30021_2</v>
          </cell>
        </row>
        <row r="450">
          <cell r="A450" t="str">
            <v>30021_3</v>
          </cell>
        </row>
        <row r="451">
          <cell r="A451" t="str">
            <v>30022_1</v>
          </cell>
        </row>
        <row r="452">
          <cell r="A452" t="str">
            <v>30022_2</v>
          </cell>
        </row>
        <row r="453">
          <cell r="A453" t="str">
            <v>30023_1</v>
          </cell>
        </row>
        <row r="454">
          <cell r="A454" t="str">
            <v>30023_2</v>
          </cell>
        </row>
        <row r="455">
          <cell r="A455" t="str">
            <v>30023_3</v>
          </cell>
        </row>
        <row r="456">
          <cell r="A456" t="str">
            <v>30024_1</v>
          </cell>
        </row>
        <row r="457">
          <cell r="A457" t="str">
            <v>30024_2</v>
          </cell>
        </row>
        <row r="458">
          <cell r="A458" t="str">
            <v>30024_3</v>
          </cell>
        </row>
        <row r="459">
          <cell r="A459" t="str">
            <v>30025_1</v>
          </cell>
        </row>
        <row r="460">
          <cell r="A460" t="str">
            <v>30025_2</v>
          </cell>
        </row>
        <row r="461">
          <cell r="A461" t="str">
            <v>30025_3</v>
          </cell>
        </row>
        <row r="462">
          <cell r="A462" t="str">
            <v>30026_1</v>
          </cell>
        </row>
        <row r="463">
          <cell r="A463" t="str">
            <v>30026_2</v>
          </cell>
        </row>
        <row r="464">
          <cell r="A464" t="str">
            <v>30026_3</v>
          </cell>
        </row>
        <row r="465">
          <cell r="A465" t="str">
            <v>30027_1</v>
          </cell>
        </row>
        <row r="466">
          <cell r="A466" t="str">
            <v>30027_2</v>
          </cell>
        </row>
        <row r="467">
          <cell r="A467" t="str">
            <v>30027_3</v>
          </cell>
        </row>
        <row r="468">
          <cell r="A468" t="str">
            <v>30028_1</v>
          </cell>
        </row>
        <row r="469">
          <cell r="A469" t="str">
            <v>30028_2</v>
          </cell>
        </row>
        <row r="470">
          <cell r="A470" t="str">
            <v>30028_3</v>
          </cell>
        </row>
        <row r="471">
          <cell r="A471" t="str">
            <v>30029_1</v>
          </cell>
        </row>
        <row r="472">
          <cell r="A472" t="str">
            <v>30029_2</v>
          </cell>
        </row>
        <row r="473">
          <cell r="A473" t="str">
            <v>30029_3</v>
          </cell>
        </row>
        <row r="474">
          <cell r="A474" t="str">
            <v>30030_1</v>
          </cell>
        </row>
        <row r="475">
          <cell r="A475" t="str">
            <v>30030_2</v>
          </cell>
        </row>
        <row r="476">
          <cell r="A476" t="str">
            <v>30030_3</v>
          </cell>
        </row>
        <row r="477">
          <cell r="A477" t="str">
            <v>30031_1</v>
          </cell>
        </row>
        <row r="478">
          <cell r="A478" t="str">
            <v>30031_2</v>
          </cell>
        </row>
        <row r="479">
          <cell r="A479" t="str">
            <v>30031_3</v>
          </cell>
        </row>
        <row r="480">
          <cell r="A480" t="str">
            <v>30032_1</v>
          </cell>
        </row>
        <row r="481">
          <cell r="A481" t="str">
            <v>30032_2</v>
          </cell>
        </row>
        <row r="482">
          <cell r="A482" t="str">
            <v>30032_3</v>
          </cell>
        </row>
        <row r="483">
          <cell r="A483" t="str">
            <v>30033_1</v>
          </cell>
        </row>
        <row r="484">
          <cell r="A484" t="str">
            <v>30033_2</v>
          </cell>
        </row>
        <row r="485">
          <cell r="A485" t="str">
            <v>30033_3</v>
          </cell>
        </row>
        <row r="486">
          <cell r="A486" t="str">
            <v>30034_1</v>
          </cell>
        </row>
        <row r="487">
          <cell r="A487" t="str">
            <v>30034_2</v>
          </cell>
        </row>
        <row r="488">
          <cell r="A488" t="str">
            <v>30034_3</v>
          </cell>
        </row>
        <row r="489">
          <cell r="A489" t="str">
            <v>30035_1</v>
          </cell>
        </row>
        <row r="490">
          <cell r="A490" t="str">
            <v>30035_2</v>
          </cell>
        </row>
        <row r="491">
          <cell r="A491" t="str">
            <v>30035_3</v>
          </cell>
        </row>
        <row r="492">
          <cell r="A492" t="str">
            <v>30036_1</v>
          </cell>
        </row>
        <row r="493">
          <cell r="A493" t="str">
            <v>30036_2</v>
          </cell>
        </row>
        <row r="494">
          <cell r="A494" t="str">
            <v>30036_3</v>
          </cell>
        </row>
        <row r="495">
          <cell r="A495" t="str">
            <v>39001_1</v>
          </cell>
        </row>
        <row r="496">
          <cell r="A496" t="str">
            <v>39001_2</v>
          </cell>
        </row>
        <row r="497">
          <cell r="A497" t="str">
            <v>39001_3</v>
          </cell>
        </row>
        <row r="498">
          <cell r="A498" t="str">
            <v>39001_4</v>
          </cell>
        </row>
        <row r="499">
          <cell r="A499" t="str">
            <v>39001_5</v>
          </cell>
        </row>
        <row r="500">
          <cell r="A500" t="str">
            <v>39002_1</v>
          </cell>
        </row>
        <row r="501">
          <cell r="A501" t="str">
            <v>39002_2</v>
          </cell>
        </row>
        <row r="502">
          <cell r="A502" t="str">
            <v>39002_3</v>
          </cell>
        </row>
        <row r="503">
          <cell r="A503" t="str">
            <v>39002_4</v>
          </cell>
        </row>
        <row r="504">
          <cell r="A504" t="str">
            <v>39003_1</v>
          </cell>
        </row>
        <row r="505">
          <cell r="A505" t="str">
            <v>39003_2</v>
          </cell>
        </row>
        <row r="506">
          <cell r="A506" t="str">
            <v>39003_3</v>
          </cell>
        </row>
        <row r="507">
          <cell r="A507" t="str">
            <v>39003_4</v>
          </cell>
        </row>
        <row r="508">
          <cell r="A508" t="str">
            <v>39004_1</v>
          </cell>
        </row>
        <row r="509">
          <cell r="A509" t="str">
            <v>39004_2</v>
          </cell>
        </row>
        <row r="510">
          <cell r="A510" t="str">
            <v>39004_3</v>
          </cell>
        </row>
        <row r="511">
          <cell r="A511" t="str">
            <v>39004_4</v>
          </cell>
        </row>
        <row r="512">
          <cell r="A512" t="str">
            <v>39005_1</v>
          </cell>
        </row>
        <row r="513">
          <cell r="A513" t="str">
            <v>39005_2</v>
          </cell>
        </row>
        <row r="514">
          <cell r="A514" t="str">
            <v>39005_3</v>
          </cell>
        </row>
        <row r="515">
          <cell r="A515" t="str">
            <v>39005_4</v>
          </cell>
        </row>
        <row r="516">
          <cell r="A516" t="str">
            <v>39005_5</v>
          </cell>
        </row>
        <row r="517">
          <cell r="A517" t="str">
            <v>40001_1</v>
          </cell>
        </row>
        <row r="518">
          <cell r="A518" t="str">
            <v>40002_1</v>
          </cell>
        </row>
        <row r="519">
          <cell r="A519" t="str">
            <v>40002_2</v>
          </cell>
        </row>
        <row r="520">
          <cell r="A520" t="str">
            <v>40002_3</v>
          </cell>
        </row>
        <row r="521">
          <cell r="A521" t="str">
            <v>40003_1</v>
          </cell>
        </row>
        <row r="522">
          <cell r="A522" t="str">
            <v>40004_1</v>
          </cell>
        </row>
        <row r="523">
          <cell r="A523" t="str">
            <v>40005_1</v>
          </cell>
        </row>
        <row r="524">
          <cell r="A524" t="str">
            <v>40006_1</v>
          </cell>
        </row>
        <row r="525">
          <cell r="A525" t="str">
            <v>40007_1</v>
          </cell>
        </row>
        <row r="526">
          <cell r="A526" t="str">
            <v>40008_1</v>
          </cell>
        </row>
        <row r="527">
          <cell r="A527" t="str">
            <v>40009_1</v>
          </cell>
        </row>
        <row r="528">
          <cell r="A528" t="str">
            <v>40010_1</v>
          </cell>
        </row>
        <row r="529">
          <cell r="A529" t="str">
            <v>40011_1</v>
          </cell>
        </row>
        <row r="530">
          <cell r="A530" t="str">
            <v>40012_1</v>
          </cell>
        </row>
        <row r="531">
          <cell r="A531" t="str">
            <v>40013_1</v>
          </cell>
        </row>
        <row r="532">
          <cell r="A532" t="str">
            <v>40014_1</v>
          </cell>
        </row>
        <row r="533">
          <cell r="A533" t="str">
            <v>40015_1</v>
          </cell>
        </row>
        <row r="534">
          <cell r="A534" t="str">
            <v>40016_1</v>
          </cell>
        </row>
        <row r="535">
          <cell r="A535" t="str">
            <v>40016_2</v>
          </cell>
        </row>
        <row r="536">
          <cell r="A536" t="str">
            <v>40017_1</v>
          </cell>
        </row>
        <row r="537">
          <cell r="A537" t="str">
            <v>40017_2</v>
          </cell>
        </row>
        <row r="538">
          <cell r="A538" t="str">
            <v>40017_3</v>
          </cell>
        </row>
        <row r="539">
          <cell r="A539" t="str">
            <v>40018_1</v>
          </cell>
        </row>
        <row r="540">
          <cell r="A540" t="str">
            <v>40018_2</v>
          </cell>
        </row>
        <row r="541">
          <cell r="A541" t="str">
            <v>40018_3</v>
          </cell>
        </row>
        <row r="542">
          <cell r="A542" t="str">
            <v>48001_1</v>
          </cell>
        </row>
        <row r="543">
          <cell r="A543" t="str">
            <v>41001_1</v>
          </cell>
        </row>
        <row r="544">
          <cell r="A544" t="str">
            <v>41001_2</v>
          </cell>
        </row>
        <row r="545">
          <cell r="A545" t="str">
            <v>41001_3</v>
          </cell>
        </row>
        <row r="546">
          <cell r="A546" t="str">
            <v>41002_1</v>
          </cell>
        </row>
        <row r="547">
          <cell r="A547" t="str">
            <v>41002_2</v>
          </cell>
        </row>
        <row r="548">
          <cell r="A548" t="str">
            <v>41002_3</v>
          </cell>
        </row>
        <row r="549">
          <cell r="A549" t="str">
            <v>41003_1</v>
          </cell>
        </row>
        <row r="550">
          <cell r="A550" t="str">
            <v>41003_2</v>
          </cell>
        </row>
        <row r="551">
          <cell r="A551" t="str">
            <v>41003_3</v>
          </cell>
        </row>
        <row r="552">
          <cell r="A552" t="str">
            <v>41004_1</v>
          </cell>
        </row>
        <row r="553">
          <cell r="A553" t="str">
            <v>41004_2</v>
          </cell>
        </row>
        <row r="554">
          <cell r="A554" t="str">
            <v>41004_3</v>
          </cell>
        </row>
        <row r="555">
          <cell r="A555" t="str">
            <v>41005_1</v>
          </cell>
        </row>
        <row r="556">
          <cell r="A556" t="str">
            <v>41005_2</v>
          </cell>
        </row>
        <row r="557">
          <cell r="A557" t="str">
            <v>41005_3</v>
          </cell>
        </row>
        <row r="558">
          <cell r="A558" t="str">
            <v>41006_1</v>
          </cell>
        </row>
        <row r="559">
          <cell r="A559" t="str">
            <v>41006_2</v>
          </cell>
        </row>
        <row r="560">
          <cell r="A560" t="str">
            <v>41006_3</v>
          </cell>
        </row>
        <row r="561">
          <cell r="A561" t="str">
            <v>49001_1</v>
          </cell>
        </row>
        <row r="562">
          <cell r="A562" t="str">
            <v>49002_1</v>
          </cell>
        </row>
        <row r="563">
          <cell r="A563" t="str">
            <v>49002_2</v>
          </cell>
        </row>
        <row r="564">
          <cell r="A564" t="str">
            <v>49003_1</v>
          </cell>
        </row>
        <row r="565">
          <cell r="A565" t="str">
            <v>49003_2</v>
          </cell>
        </row>
        <row r="566">
          <cell r="A566" t="str">
            <v>49004_1</v>
          </cell>
        </row>
        <row r="567">
          <cell r="A567" t="str">
            <v>49004_2</v>
          </cell>
        </row>
        <row r="568">
          <cell r="A568" t="str">
            <v>49004_3</v>
          </cell>
        </row>
        <row r="569">
          <cell r="A569" t="str">
            <v>49005_1</v>
          </cell>
        </row>
        <row r="570">
          <cell r="A570" t="str">
            <v>49005_2</v>
          </cell>
        </row>
        <row r="571">
          <cell r="A571" t="str">
            <v>49005_3</v>
          </cell>
        </row>
        <row r="572">
          <cell r="A572" t="str">
            <v>50001_1</v>
          </cell>
        </row>
        <row r="573">
          <cell r="A573" t="str">
            <v>50002_1</v>
          </cell>
        </row>
        <row r="574">
          <cell r="A574" t="str">
            <v>50003_1</v>
          </cell>
        </row>
        <row r="575">
          <cell r="A575" t="str">
            <v>50004_1</v>
          </cell>
        </row>
        <row r="576">
          <cell r="A576" t="str">
            <v>51001_1</v>
          </cell>
        </row>
        <row r="577">
          <cell r="A577" t="str">
            <v>51002_1</v>
          </cell>
        </row>
        <row r="578">
          <cell r="A578" t="str">
            <v>60001_1</v>
          </cell>
        </row>
        <row r="579">
          <cell r="A579" t="str">
            <v>60002_1</v>
          </cell>
        </row>
        <row r="580">
          <cell r="A580" t="str">
            <v>60002_2</v>
          </cell>
        </row>
        <row r="581">
          <cell r="A581" t="str">
            <v>60003_1</v>
          </cell>
        </row>
        <row r="582">
          <cell r="A582" t="str">
            <v>60003_2</v>
          </cell>
        </row>
        <row r="583">
          <cell r="A583" t="str">
            <v>60003_3</v>
          </cell>
        </row>
        <row r="584">
          <cell r="A584" t="str">
            <v>60004_1</v>
          </cell>
        </row>
        <row r="585">
          <cell r="A585" t="str">
            <v>60005_1</v>
          </cell>
        </row>
        <row r="586">
          <cell r="A586" t="str">
            <v>60006_1</v>
          </cell>
        </row>
        <row r="587">
          <cell r="A587" t="str">
            <v>60006_2</v>
          </cell>
        </row>
        <row r="588">
          <cell r="A588" t="str">
            <v>60006_3</v>
          </cell>
        </row>
        <row r="589">
          <cell r="A589" t="str">
            <v>60007_1</v>
          </cell>
        </row>
        <row r="590">
          <cell r="A590" t="str">
            <v>60007_2</v>
          </cell>
        </row>
        <row r="591">
          <cell r="A591" t="str">
            <v>60007_3</v>
          </cell>
        </row>
        <row r="592">
          <cell r="A592" t="str">
            <v>60010_1</v>
          </cell>
        </row>
        <row r="593">
          <cell r="A593" t="str">
            <v>65535_1</v>
          </cell>
        </row>
        <row r="594">
          <cell r="A594" t="str">
            <v>65535_2</v>
          </cell>
        </row>
        <row r="595">
          <cell r="A595" t="str">
            <v>65535_3</v>
          </cell>
        </row>
        <row r="596">
          <cell r="A596" t="str">
            <v>65535_4</v>
          </cell>
        </row>
        <row r="597">
          <cell r="A597" t="str">
            <v>60021_3</v>
          </cell>
        </row>
        <row r="598">
          <cell r="A598" t="str">
            <v>60022_3</v>
          </cell>
        </row>
        <row r="599">
          <cell r="A599" t="str">
            <v>60023_3</v>
          </cell>
        </row>
        <row r="600">
          <cell r="A600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6001</v>
          </cell>
        </row>
        <row r="978">
          <cell r="A978">
            <v>6002</v>
          </cell>
        </row>
        <row r="979">
          <cell r="A979">
            <v>6003</v>
          </cell>
        </row>
        <row r="980">
          <cell r="A980">
            <v>6004</v>
          </cell>
        </row>
        <row r="981">
          <cell r="A981">
            <v>6005</v>
          </cell>
        </row>
        <row r="982">
          <cell r="A982">
            <v>6006</v>
          </cell>
        </row>
        <row r="983">
          <cell r="A983">
            <v>6007</v>
          </cell>
        </row>
        <row r="984">
          <cell r="A984">
            <v>6008</v>
          </cell>
        </row>
        <row r="985">
          <cell r="A985">
            <v>6009</v>
          </cell>
        </row>
        <row r="986">
          <cell r="A986">
            <v>6010</v>
          </cell>
        </row>
        <row r="987">
          <cell r="A987">
            <v>976</v>
          </cell>
        </row>
        <row r="988">
          <cell r="A988">
            <v>8001</v>
          </cell>
        </row>
        <row r="989">
          <cell r="A989">
            <v>8002</v>
          </cell>
        </row>
        <row r="990">
          <cell r="A990">
            <v>8003</v>
          </cell>
        </row>
        <row r="991">
          <cell r="A991">
            <v>8004</v>
          </cell>
        </row>
        <row r="992">
          <cell r="A992">
            <v>8005</v>
          </cell>
        </row>
        <row r="993">
          <cell r="A993">
            <v>8006</v>
          </cell>
        </row>
        <row r="994">
          <cell r="A994">
            <v>8007</v>
          </cell>
        </row>
        <row r="995">
          <cell r="A995">
            <v>8008</v>
          </cell>
        </row>
        <row r="996">
          <cell r="A996">
            <v>8009</v>
          </cell>
        </row>
        <row r="997">
          <cell r="A997">
            <v>8010</v>
          </cell>
        </row>
        <row r="998">
          <cell r="A998">
            <v>8011</v>
          </cell>
        </row>
        <row r="999">
          <cell r="A999">
            <v>8012</v>
          </cell>
        </row>
        <row r="1000">
          <cell r="A1000">
            <v>8013</v>
          </cell>
        </row>
        <row r="1001">
          <cell r="A1001">
            <v>8014</v>
          </cell>
        </row>
        <row r="1002">
          <cell r="A1002">
            <v>8015</v>
          </cell>
        </row>
        <row r="1003">
          <cell r="A1003">
            <v>8016</v>
          </cell>
        </row>
        <row r="1004">
          <cell r="A1004">
            <v>8017</v>
          </cell>
        </row>
        <row r="1005">
          <cell r="A1005">
            <v>8018</v>
          </cell>
        </row>
        <row r="1006">
          <cell r="A1006">
            <v>8019</v>
          </cell>
        </row>
        <row r="1007">
          <cell r="A1007">
            <v>8020</v>
          </cell>
        </row>
        <row r="1008">
          <cell r="A1008">
            <v>8021</v>
          </cell>
        </row>
        <row r="1009">
          <cell r="A1009">
            <v>8022</v>
          </cell>
        </row>
        <row r="1010">
          <cell r="A1010">
            <v>8023</v>
          </cell>
        </row>
        <row r="1011">
          <cell r="A1011">
            <v>8024</v>
          </cell>
        </row>
        <row r="1012">
          <cell r="A1012">
            <v>8025</v>
          </cell>
        </row>
        <row r="1013">
          <cell r="A1013">
            <v>8026</v>
          </cell>
        </row>
        <row r="1014">
          <cell r="A1014">
            <v>8027</v>
          </cell>
        </row>
        <row r="1015">
          <cell r="A1015">
            <v>8028</v>
          </cell>
        </row>
        <row r="1016">
          <cell r="A1016">
            <v>8029</v>
          </cell>
        </row>
        <row r="1017">
          <cell r="A1017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8001</v>
          </cell>
        </row>
        <row r="1071">
          <cell r="A1071">
            <v>8002</v>
          </cell>
        </row>
        <row r="1072">
          <cell r="A1072">
            <v>8003</v>
          </cell>
        </row>
        <row r="1073">
          <cell r="A1073">
            <v>8004</v>
          </cell>
        </row>
        <row r="1074">
          <cell r="A1074">
            <v>8005</v>
          </cell>
        </row>
        <row r="1075">
          <cell r="A1075">
            <v>8006</v>
          </cell>
        </row>
        <row r="1076">
          <cell r="A1076">
            <v>8007</v>
          </cell>
        </row>
        <row r="1077">
          <cell r="A1077">
            <v>8008</v>
          </cell>
        </row>
        <row r="1078">
          <cell r="A1078">
            <v>8009</v>
          </cell>
        </row>
        <row r="1079">
          <cell r="A1079">
            <v>8010</v>
          </cell>
        </row>
        <row r="1080">
          <cell r="A1080">
            <v>8011</v>
          </cell>
        </row>
        <row r="1081">
          <cell r="A1081">
            <v>8012</v>
          </cell>
        </row>
        <row r="1082">
          <cell r="A1082">
            <v>8013</v>
          </cell>
        </row>
        <row r="1083">
          <cell r="A1083">
            <v>8014</v>
          </cell>
        </row>
        <row r="1084">
          <cell r="A1084">
            <v>8015</v>
          </cell>
        </row>
        <row r="1085">
          <cell r="A1085">
            <v>8016</v>
          </cell>
        </row>
        <row r="1086">
          <cell r="A1086">
            <v>8017</v>
          </cell>
        </row>
        <row r="1087">
          <cell r="A1087">
            <v>8018</v>
          </cell>
        </row>
        <row r="1088">
          <cell r="A1088">
            <v>8019</v>
          </cell>
        </row>
        <row r="1089">
          <cell r="A1089">
            <v>8020</v>
          </cell>
        </row>
        <row r="1090">
          <cell r="A1090">
            <v>8021</v>
          </cell>
        </row>
        <row r="1091">
          <cell r="A1091">
            <v>8022</v>
          </cell>
        </row>
        <row r="1092">
          <cell r="A1092">
            <v>8023</v>
          </cell>
        </row>
        <row r="1093">
          <cell r="A1093">
            <v>8024</v>
          </cell>
        </row>
        <row r="1094">
          <cell r="A1094">
            <v>8025</v>
          </cell>
        </row>
        <row r="1095">
          <cell r="A1095">
            <v>8026</v>
          </cell>
        </row>
        <row r="1096">
          <cell r="A1096">
            <v>8027</v>
          </cell>
        </row>
        <row r="1097">
          <cell r="A1097">
            <v>8028</v>
          </cell>
        </row>
        <row r="1098">
          <cell r="A1098">
            <v>8029</v>
          </cell>
        </row>
        <row r="1099">
          <cell r="A109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12" sqref="A1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195</v>
      </c>
      <c r="B2" s="57" t="s">
        <v>107</v>
      </c>
      <c r="C2" s="62">
        <v>39005</v>
      </c>
      <c r="D2" s="57" t="s">
        <v>108</v>
      </c>
      <c r="E2" s="56" t="str">
        <f>B2&amp;C2&amp;D2</f>
        <v>floors_39005.tmp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195</v>
      </c>
      <c r="B3" s="57" t="s">
        <v>110</v>
      </c>
      <c r="C3" s="62">
        <v>39005</v>
      </c>
      <c r="D3" s="57" t="s">
        <v>108</v>
      </c>
      <c r="E3" s="56" t="str">
        <f>B3&amp;C3&amp;D3</f>
        <v>enemy_habitats_39005.tmp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172</v>
      </c>
    </row>
    <row r="4" spans="1:30" x14ac:dyDescent="0.15">
      <c r="A4" s="61" t="s">
        <v>195</v>
      </c>
      <c r="B4" s="57" t="s">
        <v>112</v>
      </c>
      <c r="C4" s="62">
        <v>39005</v>
      </c>
      <c r="D4" s="57" t="s">
        <v>108</v>
      </c>
      <c r="E4" s="56" t="str">
        <f>B4&amp;C4&amp;D4</f>
        <v>enemy_habitat_S_39005.tmp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195</v>
      </c>
      <c r="B5" s="57" t="s">
        <v>114</v>
      </c>
      <c r="C5" s="62">
        <v>39005</v>
      </c>
      <c r="D5" s="57" t="s">
        <v>108</v>
      </c>
      <c r="E5" s="56" t="str">
        <f>B5&amp;C5&amp;D5</f>
        <v>enemy_skill_sets_39005.tmp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195</v>
      </c>
      <c r="B6" s="57" t="s">
        <v>116</v>
      </c>
      <c r="C6" s="62">
        <v>39005</v>
      </c>
      <c r="D6" s="57" t="s">
        <v>117</v>
      </c>
      <c r="E6" s="56" t="str">
        <f t="shared" ref="E6:E12" si="0">B6&amp;C6&amp;D6</f>
        <v>enemy_skills_tmp_39005.tmp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195</v>
      </c>
      <c r="B7" s="57" t="s">
        <v>118</v>
      </c>
      <c r="C7" s="62">
        <v>39005</v>
      </c>
      <c r="D7" s="57" t="s">
        <v>108</v>
      </c>
      <c r="E7" s="56" t="str">
        <f>B7&amp;C7&amp;D7</f>
        <v>enemy_skills_i18n_39005.tmp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195</v>
      </c>
      <c r="B8" s="57" t="s">
        <v>120</v>
      </c>
      <c r="C8" s="62">
        <v>39005</v>
      </c>
      <c r="D8" s="57" t="s">
        <v>121</v>
      </c>
      <c r="E8" s="56" t="str">
        <f t="shared" si="0"/>
        <v>enemy_skill_triggers_39005.tmp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s="76" customFormat="1" x14ac:dyDescent="0.15">
      <c r="A9" s="61" t="s">
        <v>195</v>
      </c>
      <c r="B9" s="67" t="s">
        <v>295</v>
      </c>
      <c r="C9" s="62">
        <v>39005</v>
      </c>
      <c r="D9" s="67" t="s">
        <v>296</v>
      </c>
      <c r="E9" s="68" t="str">
        <f t="shared" si="0"/>
        <v>stage_hints_data_c_39005.tmp</v>
      </c>
      <c r="F9" s="67" t="s">
        <v>297</v>
      </c>
      <c r="G9" s="73" t="s">
        <v>253</v>
      </c>
      <c r="H9" s="73" t="s">
        <v>152</v>
      </c>
      <c r="I9" s="74" t="s">
        <v>298</v>
      </c>
      <c r="J9" s="66" t="s">
        <v>19</v>
      </c>
      <c r="K9" s="75" t="s">
        <v>174</v>
      </c>
    </row>
    <row r="10" spans="1:30" s="76" customFormat="1" x14ac:dyDescent="0.15">
      <c r="A10" s="61" t="s">
        <v>350</v>
      </c>
      <c r="B10" s="67" t="s">
        <v>299</v>
      </c>
      <c r="C10" s="62">
        <v>39005</v>
      </c>
      <c r="D10" s="67" t="s">
        <v>296</v>
      </c>
      <c r="E10" s="68" t="str">
        <f t="shared" si="0"/>
        <v>stage_hints_data_f_39005.tmp</v>
      </c>
      <c r="F10" s="67" t="s">
        <v>300</v>
      </c>
      <c r="G10" s="73" t="s">
        <v>253</v>
      </c>
      <c r="H10" s="73" t="s">
        <v>152</v>
      </c>
      <c r="I10" s="74" t="s">
        <v>298</v>
      </c>
      <c r="J10" s="66" t="s">
        <v>19</v>
      </c>
      <c r="K10" s="75" t="s">
        <v>174</v>
      </c>
    </row>
    <row r="11" spans="1:30" s="76" customFormat="1" x14ac:dyDescent="0.15">
      <c r="A11" s="61" t="s">
        <v>195</v>
      </c>
      <c r="B11" s="67" t="s">
        <v>301</v>
      </c>
      <c r="C11" s="62">
        <v>39005</v>
      </c>
      <c r="D11" s="67" t="s">
        <v>296</v>
      </c>
      <c r="E11" s="68" t="str">
        <f t="shared" si="0"/>
        <v>stage_hints_i18n_39005.tmp</v>
      </c>
      <c r="F11" s="67" t="s">
        <v>300</v>
      </c>
      <c r="G11" s="74" t="s">
        <v>298</v>
      </c>
      <c r="H11" s="129" t="s">
        <v>127</v>
      </c>
      <c r="I11" s="73" t="s">
        <v>175</v>
      </c>
      <c r="J11" s="130" t="s">
        <v>302</v>
      </c>
      <c r="K11" s="75" t="s">
        <v>261</v>
      </c>
    </row>
    <row r="12" spans="1:30" x14ac:dyDescent="0.15">
      <c r="A12" s="61" t="s">
        <v>350</v>
      </c>
      <c r="B12" s="67" t="s">
        <v>304</v>
      </c>
      <c r="C12" s="62">
        <v>39005</v>
      </c>
      <c r="D12" s="67" t="s">
        <v>305</v>
      </c>
      <c r="E12" s="68" t="str">
        <f t="shared" si="0"/>
        <v>stage_bug_bonuses_39005.tmp</v>
      </c>
      <c r="F12" s="67" t="s">
        <v>306</v>
      </c>
      <c r="G12" s="64" t="s">
        <v>307</v>
      </c>
      <c r="H12" s="64" t="s">
        <v>308</v>
      </c>
      <c r="I12" s="64" t="s">
        <v>309</v>
      </c>
      <c r="J12" s="66" t="s">
        <v>310</v>
      </c>
      <c r="K12" s="64" t="s">
        <v>156</v>
      </c>
      <c r="L12" s="64" t="s">
        <v>311</v>
      </c>
      <c r="M12" s="64" t="s">
        <v>312</v>
      </c>
      <c r="N12" s="64" t="s">
        <v>313</v>
      </c>
      <c r="O12" s="64" t="s">
        <v>314</v>
      </c>
      <c r="P12" s="64" t="s">
        <v>38</v>
      </c>
      <c r="Q12" s="64" t="s">
        <v>40</v>
      </c>
      <c r="R12" s="64" t="s">
        <v>315</v>
      </c>
      <c r="S12" s="64" t="s">
        <v>44</v>
      </c>
      <c r="T12" s="64" t="s">
        <v>46</v>
      </c>
      <c r="U12" s="64" t="s">
        <v>316</v>
      </c>
      <c r="V12" s="64" t="s">
        <v>317</v>
      </c>
      <c r="W12" s="64" t="s">
        <v>318</v>
      </c>
    </row>
  </sheetData>
  <phoneticPr fontId="6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8"/>
  <sheetViews>
    <sheetView showGridLines="0" workbookViewId="0">
      <pane ySplit="1" topLeftCell="A2" activePane="bottomLeft" state="frozen"/>
      <selection activeCell="V2" sqref="V2:X34"/>
      <selection pane="bottomLeft" activeCell="F19" sqref="F1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39005_1-1</v>
      </c>
      <c r="B2" s="16" t="str">
        <f>IF(COUNTIF(enemy_habitats!$H:$H,A2),"OK","NG")</f>
        <v>OK</v>
      </c>
      <c r="C2" s="7">
        <v>39005</v>
      </c>
      <c r="D2" s="11" t="str">
        <f ca="1">VLOOKUP($C2,OFFSET([2]quests!$A$1,0,0,COUNTA([2]quests!$A:$A),MATCH(D$1,[2]quests!$1:$1,0)-MATCH($C$1,[2]quests!$1:$1,0)+1),MATCH(D$1,[2]quests!$1:$1,0)-MATCH($C$1,[2]quests!$1:$1,0)+1,FALSE)</f>
        <v xml:space="preserve">ミクエキスポ 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コラボクエスト</v>
      </c>
      <c r="F2" s="21">
        <v>1</v>
      </c>
      <c r="G2" s="23" t="str">
        <f>C2&amp;"_"&amp;F2</f>
        <v>39005_1</v>
      </c>
      <c r="H2" s="15" t="str">
        <f ca="1">VLOOKUP($G2,OFFSET([2]stages!$A$1,0,0,COUNTA([2]stages!$A:$A),MATCH(H$1,[2]stages!$2:$2,0)-MATCH($G$1,[2]stages!$2:$2,0)+1),MATCH(H$1,[2]stages!$2:$2,0)-MATCH($G$1,[2]stages!$2:$2,0)+1,FALSE)</f>
        <v>【初級】ミクエキスポ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ref="A3:A4" si="0">G3&amp;"-"&amp;I3</f>
        <v>39005_1-2</v>
      </c>
      <c r="B3" s="16" t="str">
        <f>IF(COUNTIF(enemy_habitats!$H:$H,A3),"OK","NG")</f>
        <v>OK</v>
      </c>
      <c r="C3" s="7">
        <v>39005</v>
      </c>
      <c r="D3" s="11" t="str">
        <f ca="1">VLOOKUP($C3,OFFSET([2]quests!$A$1,0,0,COUNTA([2]quests!$A:$A),MATCH(D$1,[2]quests!$1:$1,0)-MATCH($C$1,[2]quests!$1:$1,0)+1),MATCH(D$1,[2]quests!$1:$1,0)-MATCH($C$1,[2]quests!$1:$1,0)+1,FALSE)</f>
        <v xml:space="preserve">ミクエキスポ 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コラボクエスト</v>
      </c>
      <c r="F3" s="21">
        <v>1</v>
      </c>
      <c r="G3" s="23" t="str">
        <f t="shared" ref="G3:G4" si="1">C3&amp;"_"&amp;F3</f>
        <v>39005_1</v>
      </c>
      <c r="H3" s="15" t="str">
        <f ca="1">VLOOKUP($G3,OFFSET([2]stages!$A$1,0,0,COUNTA([2]stages!$A:$A),MATCH(H$1,[2]stages!$2:$2,0)-MATCH($G$1,[2]stages!$2:$2,0)+1),MATCH(H$1,[2]stages!$2:$2,0)-MATCH($G$1,[2]stages!$2:$2,0)+1,FALSE)</f>
        <v>【初級】ミクエキスポ</v>
      </c>
      <c r="I3" s="21">
        <v>2</v>
      </c>
      <c r="J3" s="12">
        <v>45</v>
      </c>
      <c r="K3" s="12">
        <v>45</v>
      </c>
    </row>
    <row r="4" spans="1:11" ht="21" customHeight="1" x14ac:dyDescent="0.15">
      <c r="A4" s="16" t="str">
        <f t="shared" si="0"/>
        <v>39005_1-3</v>
      </c>
      <c r="B4" s="16" t="str">
        <f>IF(COUNTIF(enemy_habitats!$H:$H,A4),"OK","NG")</f>
        <v>OK</v>
      </c>
      <c r="C4" s="7">
        <v>39005</v>
      </c>
      <c r="D4" s="11" t="str">
        <f ca="1">VLOOKUP($C4,OFFSET([2]quests!$A$1,0,0,COUNTA([2]quests!$A:$A),MATCH(D$1,[2]quests!$1:$1,0)-MATCH($C$1,[2]quests!$1:$1,0)+1),MATCH(D$1,[2]quests!$1:$1,0)-MATCH($C$1,[2]quests!$1:$1,0)+1,FALSE)</f>
        <v xml:space="preserve">ミクエキスポ 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コラボクエスト</v>
      </c>
      <c r="F4" s="21">
        <v>1</v>
      </c>
      <c r="G4" s="23" t="str">
        <f t="shared" si="1"/>
        <v>39005_1</v>
      </c>
      <c r="H4" s="15" t="str">
        <f ca="1">VLOOKUP($G4,OFFSET([2]stages!$A$1,0,0,COUNTA([2]stages!$A:$A),MATCH(H$1,[2]stages!$2:$2,0)-MATCH($G$1,[2]stages!$2:$2,0)+1),MATCH(H$1,[2]stages!$2:$2,0)-MATCH($G$1,[2]stages!$2:$2,0)+1,FALSE)</f>
        <v>【初級】ミクエキスポ</v>
      </c>
      <c r="I4" s="21">
        <v>3</v>
      </c>
      <c r="J4" s="12">
        <v>30</v>
      </c>
      <c r="K4" s="12">
        <v>30</v>
      </c>
    </row>
    <row r="5" spans="1:11" ht="21" customHeight="1" x14ac:dyDescent="0.15">
      <c r="A5" s="16" t="str">
        <f>G5&amp;"-"&amp;I5</f>
        <v>39005_2-1</v>
      </c>
      <c r="B5" s="16" t="str">
        <f>IF(COUNTIF(enemy_habitats!$H:$H,A5),"OK","NG")</f>
        <v>OK</v>
      </c>
      <c r="C5" s="7">
        <v>39005</v>
      </c>
      <c r="D5" s="11" t="str">
        <f ca="1">VLOOKUP($C5,OFFSET([2]quests!$A$1,0,0,COUNTA([2]quests!$A:$A),MATCH(D$1,[2]quests!$1:$1,0)-MATCH($C$1,[2]quests!$1:$1,0)+1),MATCH(D$1,[2]quests!$1:$1,0)-MATCH($C$1,[2]quests!$1:$1,0)+1,FALSE)</f>
        <v xml:space="preserve">ミクエキスポ 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コラボクエスト</v>
      </c>
      <c r="F5" s="21">
        <v>2</v>
      </c>
      <c r="G5" s="23" t="str">
        <f>C5&amp;"_"&amp;F5</f>
        <v>39005_2</v>
      </c>
      <c r="H5" s="15" t="str">
        <f ca="1">VLOOKUP($G5,OFFSET([2]stages!$A$1,0,0,COUNTA([2]stages!$A:$A),MATCH(H$1,[2]stages!$2:$2,0)-MATCH($G$1,[2]stages!$2:$2,0)+1),MATCH(H$1,[2]stages!$2:$2,0)-MATCH($G$1,[2]stages!$2:$2,0)+1,FALSE)</f>
        <v>【中級】ミクエキスポ</v>
      </c>
      <c r="I5" s="21">
        <v>1</v>
      </c>
      <c r="J5" s="12">
        <v>30</v>
      </c>
      <c r="K5" s="12">
        <v>30</v>
      </c>
    </row>
    <row r="6" spans="1:11" ht="21" customHeight="1" x14ac:dyDescent="0.15">
      <c r="A6" s="16" t="str">
        <f t="shared" ref="A6:A7" si="2">G6&amp;"-"&amp;I6</f>
        <v>39005_2-2</v>
      </c>
      <c r="B6" s="16" t="str">
        <f>IF(COUNTIF(enemy_habitats!$H:$H,A6),"OK","NG")</f>
        <v>OK</v>
      </c>
      <c r="C6" s="7">
        <v>39005</v>
      </c>
      <c r="D6" s="11" t="str">
        <f ca="1">VLOOKUP($C6,OFFSET([2]quests!$A$1,0,0,COUNTA([2]quests!$A:$A),MATCH(D$1,[2]quests!$1:$1,0)-MATCH($C$1,[2]quests!$1:$1,0)+1),MATCH(D$1,[2]quests!$1:$1,0)-MATCH($C$1,[2]quests!$1:$1,0)+1,FALSE)</f>
        <v xml:space="preserve">ミクエキスポ 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コラボクエスト</v>
      </c>
      <c r="F6" s="21">
        <v>2</v>
      </c>
      <c r="G6" s="23" t="str">
        <f t="shared" ref="G6:G7" si="3">C6&amp;"_"&amp;F6</f>
        <v>39005_2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【中級】ミクエキスポ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2"/>
        <v>39005_2-3</v>
      </c>
      <c r="B7" s="16" t="str">
        <f>IF(COUNTIF(enemy_habitats!$H:$H,A7),"OK","NG")</f>
        <v>OK</v>
      </c>
      <c r="C7" s="7">
        <v>39005</v>
      </c>
      <c r="D7" s="11" t="str">
        <f ca="1">VLOOKUP($C7,OFFSET([2]quests!$A$1,0,0,COUNTA([2]quests!$A:$A),MATCH(D$1,[2]quests!$1:$1,0)-MATCH($C$1,[2]quests!$1:$1,0)+1),MATCH(D$1,[2]quests!$1:$1,0)-MATCH($C$1,[2]quests!$1:$1,0)+1,FALSE)</f>
        <v xml:space="preserve">ミクエキスポ </v>
      </c>
      <c r="E7" s="18" t="str">
        <f ca="1">VLOOKUP($C7,OFFSET([2]quests!$A$1,0,0,COUNTA([2]quests!$A:$A),MATCH(E$1,[2]quests!$1:$1,0)-MATCH($C$1,[2]quests!$1:$1,0)+1),MATCH(E$1,[2]quests!$1:$1,0)-MATCH($C$1,[2]quests!$1:$1,0)+1,FALSE)</f>
        <v>コラボクエスト</v>
      </c>
      <c r="F7" s="21">
        <v>2</v>
      </c>
      <c r="G7" s="23" t="str">
        <f t="shared" si="3"/>
        <v>39005_2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【中級】ミクエキスポ</v>
      </c>
      <c r="I7" s="21">
        <v>3</v>
      </c>
      <c r="J7" s="12">
        <v>30</v>
      </c>
      <c r="K7" s="12">
        <v>30</v>
      </c>
    </row>
    <row r="8" spans="1:11" ht="21" customHeight="1" x14ac:dyDescent="0.15">
      <c r="A8" s="16" t="str">
        <f>G8&amp;"-"&amp;I8</f>
        <v>39005_3-1</v>
      </c>
      <c r="B8" s="16" t="str">
        <f>IF(COUNTIF(enemy_habitats!$H:$H,A8),"OK","NG")</f>
        <v>OK</v>
      </c>
      <c r="C8" s="7">
        <v>39005</v>
      </c>
      <c r="D8" s="11" t="str">
        <f ca="1">VLOOKUP($C8,OFFSET([2]quests!$A$1,0,0,COUNTA([2]quests!$A:$A),MATCH(D$1,[2]quests!$1:$1,0)-MATCH($C$1,[2]quests!$1:$1,0)+1),MATCH(D$1,[2]quests!$1:$1,0)-MATCH($C$1,[2]quests!$1:$1,0)+1,FALSE)</f>
        <v xml:space="preserve">ミクエキスポ </v>
      </c>
      <c r="E8" s="18" t="str">
        <f ca="1">VLOOKUP($C8,OFFSET([2]quests!$A$1,0,0,COUNTA([2]quests!$A:$A),MATCH(E$1,[2]quests!$1:$1,0)-MATCH($C$1,[2]quests!$1:$1,0)+1),MATCH(E$1,[2]quests!$1:$1,0)-MATCH($C$1,[2]quests!$1:$1,0)+1,FALSE)</f>
        <v>コラボクエスト</v>
      </c>
      <c r="F8" s="21">
        <v>3</v>
      </c>
      <c r="G8" s="23" t="str">
        <f>C8&amp;"_"&amp;F8</f>
        <v>39005_3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【上級】ミクエキスポ</v>
      </c>
      <c r="I8" s="21">
        <v>1</v>
      </c>
      <c r="J8" s="12">
        <v>45</v>
      </c>
      <c r="K8" s="12">
        <v>45</v>
      </c>
    </row>
    <row r="9" spans="1:11" ht="21" customHeight="1" x14ac:dyDescent="0.15">
      <c r="A9" s="16" t="str">
        <f t="shared" ref="A9:A10" si="4">G9&amp;"-"&amp;I9</f>
        <v>39005_3-2</v>
      </c>
      <c r="B9" s="16" t="str">
        <f>IF(COUNTIF(enemy_habitats!$H:$H,A9),"OK","NG")</f>
        <v>OK</v>
      </c>
      <c r="C9" s="7">
        <v>39005</v>
      </c>
      <c r="D9" s="11" t="str">
        <f ca="1">VLOOKUP($C9,OFFSET([2]quests!$A$1,0,0,COUNTA([2]quests!$A:$A),MATCH(D$1,[2]quests!$1:$1,0)-MATCH($C$1,[2]quests!$1:$1,0)+1),MATCH(D$1,[2]quests!$1:$1,0)-MATCH($C$1,[2]quests!$1:$1,0)+1,FALSE)</f>
        <v xml:space="preserve">ミクエキスポ </v>
      </c>
      <c r="E9" s="18" t="str">
        <f ca="1">VLOOKUP($C9,OFFSET([2]quests!$A$1,0,0,COUNTA([2]quests!$A:$A),MATCH(E$1,[2]quests!$1:$1,0)-MATCH($C$1,[2]quests!$1:$1,0)+1),MATCH(E$1,[2]quests!$1:$1,0)-MATCH($C$1,[2]quests!$1:$1,0)+1,FALSE)</f>
        <v>コラボクエスト</v>
      </c>
      <c r="F9" s="21">
        <v>3</v>
      </c>
      <c r="G9" s="23" t="str">
        <f t="shared" ref="G9:G10" si="5">C9&amp;"_"&amp;F9</f>
        <v>39005_3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【上級】ミクエキスポ</v>
      </c>
      <c r="I9" s="21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4"/>
        <v>39005_3-3</v>
      </c>
      <c r="B10" s="16" t="str">
        <f>IF(COUNTIF(enemy_habitats!$H:$H,A10),"OK","NG")</f>
        <v>OK</v>
      </c>
      <c r="C10" s="7">
        <v>39005</v>
      </c>
      <c r="D10" s="11" t="str">
        <f ca="1">VLOOKUP($C10,OFFSET([2]quests!$A$1,0,0,COUNTA([2]quests!$A:$A),MATCH(D$1,[2]quests!$1:$1,0)-MATCH($C$1,[2]quests!$1:$1,0)+1),MATCH(D$1,[2]quests!$1:$1,0)-MATCH($C$1,[2]quests!$1:$1,0)+1,FALSE)</f>
        <v xml:space="preserve">ミクエキスポ </v>
      </c>
      <c r="E10" s="18" t="str">
        <f ca="1">VLOOKUP($C10,OFFSET([2]quests!$A$1,0,0,COUNTA([2]quests!$A:$A),MATCH(E$1,[2]quests!$1:$1,0)-MATCH($C$1,[2]quests!$1:$1,0)+1),MATCH(E$1,[2]quests!$1:$1,0)-MATCH($C$1,[2]quests!$1:$1,0)+1,FALSE)</f>
        <v>コラボクエスト</v>
      </c>
      <c r="F10" s="21">
        <v>3</v>
      </c>
      <c r="G10" s="23" t="str">
        <f t="shared" si="5"/>
        <v>39005_3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【上級】ミクエキスポ</v>
      </c>
      <c r="I10" s="21">
        <v>3</v>
      </c>
      <c r="J10" s="12">
        <v>60</v>
      </c>
      <c r="K10" s="12">
        <v>60</v>
      </c>
    </row>
    <row r="11" spans="1:11" ht="21" customHeight="1" x14ac:dyDescent="0.15">
      <c r="A11" s="16" t="str">
        <f>G11&amp;"-"&amp;I11</f>
        <v>39005_4-1</v>
      </c>
      <c r="B11" s="16" t="str">
        <f>IF(COUNTIF(enemy_habitats!$H:$H,A11),"OK","NG")</f>
        <v>OK</v>
      </c>
      <c r="C11" s="7">
        <v>39005</v>
      </c>
      <c r="D11" s="11" t="str">
        <f ca="1">VLOOKUP($C11,OFFSET([2]quests!$A$1,0,0,COUNTA([2]quests!$A:$A),MATCH(D$1,[2]quests!$1:$1,0)-MATCH($C$1,[2]quests!$1:$1,0)+1),MATCH(D$1,[2]quests!$1:$1,0)-MATCH($C$1,[2]quests!$1:$1,0)+1,FALSE)</f>
        <v xml:space="preserve">ミクエキスポ </v>
      </c>
      <c r="E11" s="18" t="str">
        <f ca="1">VLOOKUP($C11,OFFSET([2]quests!$A$1,0,0,COUNTA([2]quests!$A:$A),MATCH(E$1,[2]quests!$1:$1,0)-MATCH($C$1,[2]quests!$1:$1,0)+1),MATCH(E$1,[2]quests!$1:$1,0)-MATCH($C$1,[2]quests!$1:$1,0)+1,FALSE)</f>
        <v>コラボクエスト</v>
      </c>
      <c r="F11" s="21">
        <v>4</v>
      </c>
      <c r="G11" s="23" t="str">
        <f>C11&amp;"_"&amp;F11</f>
        <v>39005_4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【超級】ミクエキスポ</v>
      </c>
      <c r="I11" s="21">
        <v>1</v>
      </c>
      <c r="J11" s="12">
        <v>60</v>
      </c>
      <c r="K11" s="12">
        <v>60</v>
      </c>
    </row>
    <row r="12" spans="1:11" ht="21" customHeight="1" x14ac:dyDescent="0.15">
      <c r="A12" s="16" t="str">
        <f t="shared" ref="A12:A14" si="6">G12&amp;"-"&amp;I12</f>
        <v>39005_4-2</v>
      </c>
      <c r="B12" s="16" t="str">
        <f>IF(COUNTIF(enemy_habitats!$H:$H,A12),"OK","NG")</f>
        <v>OK</v>
      </c>
      <c r="C12" s="7">
        <v>39005</v>
      </c>
      <c r="D12" s="11" t="str">
        <f ca="1">VLOOKUP($C12,OFFSET([2]quests!$A$1,0,0,COUNTA([2]quests!$A:$A),MATCH(D$1,[2]quests!$1:$1,0)-MATCH($C$1,[2]quests!$1:$1,0)+1),MATCH(D$1,[2]quests!$1:$1,0)-MATCH($C$1,[2]quests!$1:$1,0)+1,FALSE)</f>
        <v xml:space="preserve">ミクエキスポ </v>
      </c>
      <c r="E12" s="18" t="str">
        <f ca="1">VLOOKUP($C12,OFFSET([2]quests!$A$1,0,0,COUNTA([2]quests!$A:$A),MATCH(E$1,[2]quests!$1:$1,0)-MATCH($C$1,[2]quests!$1:$1,0)+1),MATCH(E$1,[2]quests!$1:$1,0)-MATCH($C$1,[2]quests!$1:$1,0)+1,FALSE)</f>
        <v>コラボクエスト</v>
      </c>
      <c r="F12" s="21">
        <v>4</v>
      </c>
      <c r="G12" s="23" t="str">
        <f t="shared" ref="G12:G14" si="7">C12&amp;"_"&amp;F12</f>
        <v>39005_4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【超級】ミクエキスポ</v>
      </c>
      <c r="I12" s="21">
        <v>2</v>
      </c>
      <c r="J12" s="12">
        <v>60</v>
      </c>
      <c r="K12" s="12">
        <v>60</v>
      </c>
    </row>
    <row r="13" spans="1:11" ht="21" customHeight="1" x14ac:dyDescent="0.15">
      <c r="A13" s="16" t="str">
        <f t="shared" si="6"/>
        <v>39005_4-3</v>
      </c>
      <c r="B13" s="16" t="str">
        <f>IF(COUNTIF(enemy_habitats!$H:$H,A13),"OK","NG")</f>
        <v>OK</v>
      </c>
      <c r="C13" s="7">
        <v>39005</v>
      </c>
      <c r="D13" s="11" t="str">
        <f ca="1">VLOOKUP($C13,OFFSET([2]quests!$A$1,0,0,COUNTA([2]quests!$A:$A),MATCH(D$1,[2]quests!$1:$1,0)-MATCH($C$1,[2]quests!$1:$1,0)+1),MATCH(D$1,[2]quests!$1:$1,0)-MATCH($C$1,[2]quests!$1:$1,0)+1,FALSE)</f>
        <v xml:space="preserve">ミクエキスポ </v>
      </c>
      <c r="E13" s="18" t="str">
        <f ca="1">VLOOKUP($C13,OFFSET([2]quests!$A$1,0,0,COUNTA([2]quests!$A:$A),MATCH(E$1,[2]quests!$1:$1,0)-MATCH($C$1,[2]quests!$1:$1,0)+1),MATCH(E$1,[2]quests!$1:$1,0)-MATCH($C$1,[2]quests!$1:$1,0)+1,FALSE)</f>
        <v>コラボクエスト</v>
      </c>
      <c r="F13" s="21">
        <v>4</v>
      </c>
      <c r="G13" s="23" t="str">
        <f t="shared" si="7"/>
        <v>39005_4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【超級】ミクエキスポ</v>
      </c>
      <c r="I13" s="21">
        <v>3</v>
      </c>
      <c r="J13" s="12">
        <v>60</v>
      </c>
      <c r="K13" s="12">
        <v>60</v>
      </c>
    </row>
    <row r="14" spans="1:11" ht="21" customHeight="1" x14ac:dyDescent="0.15">
      <c r="A14" s="16" t="str">
        <f t="shared" si="6"/>
        <v>39005_4-4</v>
      </c>
      <c r="B14" s="16" t="str">
        <f>IF(COUNTIF(enemy_habitats!$H:$H,A14),"OK","NG")</f>
        <v>OK</v>
      </c>
      <c r="C14" s="7">
        <v>39005</v>
      </c>
      <c r="D14" s="11" t="str">
        <f ca="1">VLOOKUP($C14,OFFSET([2]quests!$A$1,0,0,COUNTA([2]quests!$A:$A),MATCH(D$1,[2]quests!$1:$1,0)-MATCH($C$1,[2]quests!$1:$1,0)+1),MATCH(D$1,[2]quests!$1:$1,0)-MATCH($C$1,[2]quests!$1:$1,0)+1,FALSE)</f>
        <v xml:space="preserve">ミクエキスポ </v>
      </c>
      <c r="E14" s="18" t="str">
        <f ca="1">VLOOKUP($C14,OFFSET([2]quests!$A$1,0,0,COUNTA([2]quests!$A:$A),MATCH(E$1,[2]quests!$1:$1,0)-MATCH($C$1,[2]quests!$1:$1,0)+1),MATCH(E$1,[2]quests!$1:$1,0)-MATCH($C$1,[2]quests!$1:$1,0)+1,FALSE)</f>
        <v>コラボクエスト</v>
      </c>
      <c r="F14" s="21">
        <v>4</v>
      </c>
      <c r="G14" s="23" t="str">
        <f t="shared" si="7"/>
        <v>39005_4</v>
      </c>
      <c r="H14" s="15" t="str">
        <f ca="1">VLOOKUP($G14,OFFSET([2]stages!$A$1,0,0,COUNTA([2]stages!$A:$A),MATCH(H$1,[2]stages!$2:$2,0)-MATCH($G$1,[2]stages!$2:$2,0)+1),MATCH(H$1,[2]stages!$2:$2,0)-MATCH($G$1,[2]stages!$2:$2,0)+1,FALSE)</f>
        <v>【超級】ミクエキスポ</v>
      </c>
      <c r="I14" s="21">
        <v>4</v>
      </c>
      <c r="J14" s="12">
        <v>60</v>
      </c>
      <c r="K14" s="12">
        <v>60</v>
      </c>
    </row>
    <row r="15" spans="1:11" ht="21" customHeight="1" x14ac:dyDescent="0.15">
      <c r="A15" s="16" t="str">
        <f>G15&amp;"-"&amp;I15</f>
        <v>39005_5-1</v>
      </c>
      <c r="B15" s="16" t="str">
        <f>IF(COUNTIF(enemy_habitats!$H:$H,A15),"OK","NG")</f>
        <v>OK</v>
      </c>
      <c r="C15" s="7">
        <v>39005</v>
      </c>
      <c r="D15" s="11" t="str">
        <f ca="1">VLOOKUP($C15,OFFSET([2]quests!$A$1,0,0,COUNTA([2]quests!$A:$A),MATCH(D$1,[2]quests!$1:$1,0)-MATCH($C$1,[2]quests!$1:$1,0)+1),MATCH(D$1,[2]quests!$1:$1,0)-MATCH($C$1,[2]quests!$1:$1,0)+1,FALSE)</f>
        <v xml:space="preserve">ミクエキスポ </v>
      </c>
      <c r="E15" s="18" t="str">
        <f ca="1">VLOOKUP($C15,OFFSET([2]quests!$A$1,0,0,COUNTA([2]quests!$A:$A),MATCH(E$1,[2]quests!$1:$1,0)-MATCH($C$1,[2]quests!$1:$1,0)+1),MATCH(E$1,[2]quests!$1:$1,0)-MATCH($C$1,[2]quests!$1:$1,0)+1,FALSE)</f>
        <v>コラボクエスト</v>
      </c>
      <c r="F15" s="21">
        <v>5</v>
      </c>
      <c r="G15" s="23" t="str">
        <f>C15&amp;"_"&amp;F15</f>
        <v>39005_5</v>
      </c>
      <c r="H15" s="15" t="str">
        <f ca="1">VLOOKUP($G15,OFFSET([2]stages!$A$1,0,0,COUNTA([2]stages!$A:$A),MATCH(H$1,[2]stages!$2:$2,0)-MATCH($G$1,[2]stages!$2:$2,0)+1),MATCH(H$1,[2]stages!$2:$2,0)-MATCH($G$1,[2]stages!$2:$2,0)+1,FALSE)</f>
        <v>【超絶級】ミクエキスポ</v>
      </c>
      <c r="I15" s="21">
        <v>1</v>
      </c>
      <c r="J15" s="12">
        <v>60</v>
      </c>
      <c r="K15" s="12">
        <v>60</v>
      </c>
    </row>
    <row r="16" spans="1:11" ht="21" customHeight="1" x14ac:dyDescent="0.15">
      <c r="A16" s="16" t="str">
        <f t="shared" ref="A16:A18" si="8">G16&amp;"-"&amp;I16</f>
        <v>39005_5-2</v>
      </c>
      <c r="B16" s="16" t="str">
        <f>IF(COUNTIF(enemy_habitats!$H:$H,A16),"OK","NG")</f>
        <v>OK</v>
      </c>
      <c r="C16" s="7">
        <v>39005</v>
      </c>
      <c r="D16" s="11" t="str">
        <f ca="1">VLOOKUP($C16,OFFSET([2]quests!$A$1,0,0,COUNTA([2]quests!$A:$A),MATCH(D$1,[2]quests!$1:$1,0)-MATCH($C$1,[2]quests!$1:$1,0)+1),MATCH(D$1,[2]quests!$1:$1,0)-MATCH($C$1,[2]quests!$1:$1,0)+1,FALSE)</f>
        <v xml:space="preserve">ミクエキスポ </v>
      </c>
      <c r="E16" s="18" t="str">
        <f ca="1">VLOOKUP($C16,OFFSET([2]quests!$A$1,0,0,COUNTA([2]quests!$A:$A),MATCH(E$1,[2]quests!$1:$1,0)-MATCH($C$1,[2]quests!$1:$1,0)+1),MATCH(E$1,[2]quests!$1:$1,0)-MATCH($C$1,[2]quests!$1:$1,0)+1,FALSE)</f>
        <v>コラボクエスト</v>
      </c>
      <c r="F16" s="21">
        <v>5</v>
      </c>
      <c r="G16" s="23" t="str">
        <f t="shared" ref="G16:G18" si="9">C16&amp;"_"&amp;F16</f>
        <v>39005_5</v>
      </c>
      <c r="H16" s="15" t="str">
        <f ca="1">VLOOKUP($G16,OFFSET([2]stages!$A$1,0,0,COUNTA([2]stages!$A:$A),MATCH(H$1,[2]stages!$2:$2,0)-MATCH($G$1,[2]stages!$2:$2,0)+1),MATCH(H$1,[2]stages!$2:$2,0)-MATCH($G$1,[2]stages!$2:$2,0)+1,FALSE)</f>
        <v>【超絶級】ミクエキスポ</v>
      </c>
      <c r="I16" s="21">
        <v>2</v>
      </c>
      <c r="J16" s="12">
        <v>60</v>
      </c>
      <c r="K16" s="12">
        <v>60</v>
      </c>
    </row>
    <row r="17" spans="1:11" ht="21" customHeight="1" x14ac:dyDescent="0.15">
      <c r="A17" s="16" t="str">
        <f t="shared" si="8"/>
        <v>39005_5-3</v>
      </c>
      <c r="B17" s="16" t="str">
        <f>IF(COUNTIF(enemy_habitats!$H:$H,A17),"OK","NG")</f>
        <v>OK</v>
      </c>
      <c r="C17" s="7">
        <v>39005</v>
      </c>
      <c r="D17" s="11" t="str">
        <f ca="1">VLOOKUP($C17,OFFSET([2]quests!$A$1,0,0,COUNTA([2]quests!$A:$A),MATCH(D$1,[2]quests!$1:$1,0)-MATCH($C$1,[2]quests!$1:$1,0)+1),MATCH(D$1,[2]quests!$1:$1,0)-MATCH($C$1,[2]quests!$1:$1,0)+1,FALSE)</f>
        <v xml:space="preserve">ミクエキスポ </v>
      </c>
      <c r="E17" s="18" t="str">
        <f ca="1">VLOOKUP($C17,OFFSET([2]quests!$A$1,0,0,COUNTA([2]quests!$A:$A),MATCH(E$1,[2]quests!$1:$1,0)-MATCH($C$1,[2]quests!$1:$1,0)+1),MATCH(E$1,[2]quests!$1:$1,0)-MATCH($C$1,[2]quests!$1:$1,0)+1,FALSE)</f>
        <v>コラボクエスト</v>
      </c>
      <c r="F17" s="21">
        <v>5</v>
      </c>
      <c r="G17" s="23" t="str">
        <f t="shared" si="9"/>
        <v>39005_5</v>
      </c>
      <c r="H17" s="15" t="str">
        <f ca="1">VLOOKUP($G17,OFFSET([2]stages!$A$1,0,0,COUNTA([2]stages!$A:$A),MATCH(H$1,[2]stages!$2:$2,0)-MATCH($G$1,[2]stages!$2:$2,0)+1),MATCH(H$1,[2]stages!$2:$2,0)-MATCH($G$1,[2]stages!$2:$2,0)+1,FALSE)</f>
        <v>【超絶級】ミクエキスポ</v>
      </c>
      <c r="I17" s="21">
        <v>3</v>
      </c>
      <c r="J17" s="12">
        <v>60</v>
      </c>
      <c r="K17" s="12">
        <v>60</v>
      </c>
    </row>
    <row r="18" spans="1:11" ht="21" customHeight="1" x14ac:dyDescent="0.15">
      <c r="A18" s="16" t="str">
        <f t="shared" si="8"/>
        <v>39005_5-4</v>
      </c>
      <c r="B18" s="16" t="str">
        <f>IF(COUNTIF(enemy_habitats!$H:$H,A18),"OK","NG")</f>
        <v>OK</v>
      </c>
      <c r="C18" s="7">
        <v>39005</v>
      </c>
      <c r="D18" s="11" t="str">
        <f ca="1">VLOOKUP($C18,OFFSET([2]quests!$A$1,0,0,COUNTA([2]quests!$A:$A),MATCH(D$1,[2]quests!$1:$1,0)-MATCH($C$1,[2]quests!$1:$1,0)+1),MATCH(D$1,[2]quests!$1:$1,0)-MATCH($C$1,[2]quests!$1:$1,0)+1,FALSE)</f>
        <v xml:space="preserve">ミクエキスポ </v>
      </c>
      <c r="E18" s="18" t="str">
        <f ca="1">VLOOKUP($C18,OFFSET([2]quests!$A$1,0,0,COUNTA([2]quests!$A:$A),MATCH(E$1,[2]quests!$1:$1,0)-MATCH($C$1,[2]quests!$1:$1,0)+1),MATCH(E$1,[2]quests!$1:$1,0)-MATCH($C$1,[2]quests!$1:$1,0)+1,FALSE)</f>
        <v>コラボクエスト</v>
      </c>
      <c r="F18" s="21">
        <v>5</v>
      </c>
      <c r="G18" s="23" t="str">
        <f t="shared" si="9"/>
        <v>39005_5</v>
      </c>
      <c r="H18" s="15" t="str">
        <f ca="1">VLOOKUP($G18,OFFSET([2]stages!$A$1,0,0,COUNTA([2]stages!$A:$A),MATCH(H$1,[2]stages!$2:$2,0)-MATCH($G$1,[2]stages!$2:$2,0)+1),MATCH(H$1,[2]stages!$2:$2,0)-MATCH($G$1,[2]stages!$2:$2,0)+1,FALSE)</f>
        <v>【超絶級】ミクエキスポ</v>
      </c>
      <c r="I18" s="21">
        <v>4</v>
      </c>
      <c r="J18" s="12">
        <v>60</v>
      </c>
      <c r="K18" s="12">
        <v>60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10"/>
  <sheetViews>
    <sheetView showGridLines="0" zoomScale="75" zoomScaleNormal="75" zoomScalePageLayoutView="75" workbookViewId="0">
      <pane xSplit="17" ySplit="1" topLeftCell="W2" activePane="bottomRight" state="frozen"/>
      <selection pane="topRight" activeCell="N1" sqref="N1"/>
      <selection pane="bottomLeft" activeCell="A2" sqref="A2"/>
      <selection pane="bottomRight" activeCell="Y11" sqref="Y1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15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customWidth="1" outlineLevel="1"/>
    <col min="30" max="30" width="8" style="14" customWidth="1" outlineLevel="1"/>
    <col min="31" max="31" width="12" style="14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173</v>
      </c>
    </row>
    <row r="2" spans="1:40" ht="21" customHeight="1" x14ac:dyDescent="0.15">
      <c r="A2" s="16" t="str">
        <f t="shared" ref="A2:A20" si="0">B2&amp;"_"&amp;C2&amp;"-"&amp;G2&amp;"/"&amp;L2&amp;"&lt;lv"&amp;R2&amp;"&gt;s"&amp;AA2</f>
        <v>39005_1-1/1&lt;lv10&gt;s1</v>
      </c>
      <c r="B2" s="22">
        <v>39005</v>
      </c>
      <c r="C2" s="21">
        <v>1</v>
      </c>
      <c r="D2" s="2" t="str">
        <f t="shared" ref="D2:D20" si="1">B2&amp;"_"&amp;C2</f>
        <v>39005_1</v>
      </c>
      <c r="E2" s="4" t="str">
        <f ca="1">VLOOKUP($B2,OFFSET([2]quests!$A$1,0,0,COUNTA([2]quests!$A:$A),MATCH(E$1,[2]quests!$1:$1,0)-MATCH($B$1,[2]quests!$1:$1,0)+1),MATCH(E$1,[2]quests!$1:$1,0)-MATCH($B$1,[2]quests!$1:$1,0)+1,FALSE)</f>
        <v xml:space="preserve">ミクエキスポ 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【初級】ミクエキスポ</v>
      </c>
      <c r="G2" s="94">
        <v>1</v>
      </c>
      <c r="H2" s="15" t="str">
        <f t="shared" ref="H2:H20" si="2">B2&amp;"_"&amp;C2&amp;"-"&amp;G2</f>
        <v>39005_1-1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10</v>
      </c>
      <c r="S2" s="25">
        <v>1.1000000000000001</v>
      </c>
      <c r="T2" s="25">
        <v>0.4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4">
        <f ca="1">VLOOKUP($L2,OFFSET([3]enemies!$A$1,0,0,COUNTA([3]enemies!$A:$A),MATCH(W$1,[3]enemies!$1:$1,0)-MATCH($L$1,[3]enemies!$1:$1,0)+1),MATCH(W$1,[3]enemies!$1:$1,0)-MATCH($L$1,[3]enemies!$1:$1,0)+1,FALSE)</f>
        <v>0</v>
      </c>
      <c r="X2" s="6">
        <v>0</v>
      </c>
      <c r="Y2" s="6">
        <v>100</v>
      </c>
      <c r="Z2" s="6">
        <v>0</v>
      </c>
      <c r="AA2" s="17">
        <v>1</v>
      </c>
      <c r="AB2" s="24">
        <f t="shared" ref="AB2:AB20" si="3">L2</f>
        <v>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4">
        <f t="shared" ref="AG2:AG20" ca="1" si="4">AD2</f>
        <v>1</v>
      </c>
      <c r="AH2" s="8">
        <v>20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si="0"/>
        <v>39005_1-1/3&lt;lv10&gt;s2</v>
      </c>
      <c r="B3" s="22">
        <v>39005</v>
      </c>
      <c r="C3" s="21">
        <v>1</v>
      </c>
      <c r="D3" s="2" t="str">
        <f t="shared" si="1"/>
        <v>39005_1</v>
      </c>
      <c r="E3" s="4" t="str">
        <f ca="1">VLOOKUP($B3,OFFSET([2]quests!$A$1,0,0,COUNTA([2]quests!$A:$A),MATCH(E$1,[2]quests!$1:$1,0)-MATCH($B$1,[2]quests!$1:$1,0)+1),MATCH(E$1,[2]quests!$1:$1,0)-MATCH($B$1,[2]quests!$1:$1,0)+1,FALSE)</f>
        <v xml:space="preserve">ミクエキスポ 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【初級】ミクエキスポ</v>
      </c>
      <c r="G3" s="94">
        <v>1</v>
      </c>
      <c r="H3" s="15" t="str">
        <f t="shared" si="2"/>
        <v>39005_1-1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 t="s">
        <v>53</v>
      </c>
      <c r="L3" s="20">
        <v>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エージェント ジョー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Drop1T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10</v>
      </c>
      <c r="S3" s="25">
        <v>1.2</v>
      </c>
      <c r="T3" s="25">
        <v>0.5</v>
      </c>
      <c r="U3" s="5">
        <v>0</v>
      </c>
      <c r="V3" s="4" t="e">
        <f ca="1">VLOOKUP($W3,OFFSET(enemy_skill_sets!$B$1,0,0,COUNTA(enemy_skill_sets!$B:$B),MATCH(M$1,enemy_skill_sets!$1:$1,0)-MATCH($W$1,enemy_skill_sets!$1:$1,0)+2),MATCH(M$1,enemy_skill_sets!$1:$1,0)-MATCH($W$1,enemy_skill_sets!$1:$1,0)+2,FALSE)</f>
        <v>#N/A</v>
      </c>
      <c r="W3" s="4">
        <f ca="1">VLOOKUP($L3,OFFSET([3]enemies!$A$1,0,0,COUNTA([3]enemies!$A:$A),MATCH(W$1,[3]enemies!$1:$1,0)-MATCH($L$1,[3]enemies!$1:$1,0)+1),MATCH(W$1,[3]enemies!$1:$1,0)-MATCH($L$1,[3]enemies!$1:$1,0)+1,FALSE)</f>
        <v>0</v>
      </c>
      <c r="X3" s="6">
        <v>0</v>
      </c>
      <c r="Y3" s="6">
        <v>100</v>
      </c>
      <c r="Z3" s="6">
        <v>0</v>
      </c>
      <c r="AA3" s="17">
        <v>2</v>
      </c>
      <c r="AB3" s="24">
        <f t="shared" si="3"/>
        <v>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Drop1T</v>
      </c>
      <c r="AF3" s="7">
        <v>1</v>
      </c>
      <c r="AG3" s="24">
        <f t="shared" ca="1" si="4"/>
        <v>1</v>
      </c>
      <c r="AH3" s="8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si="0"/>
        <v>39005_1-1/5&lt;lv10&gt;s3</v>
      </c>
      <c r="B4" s="22">
        <v>39005</v>
      </c>
      <c r="C4" s="21">
        <v>1</v>
      </c>
      <c r="D4" s="2" t="str">
        <f t="shared" si="1"/>
        <v>39005_1</v>
      </c>
      <c r="E4" s="4" t="str">
        <f ca="1">VLOOKUP($B4,OFFSET([2]quests!$A$1,0,0,COUNTA([2]quests!$A:$A),MATCH(E$1,[2]quests!$1:$1,0)-MATCH($B$1,[2]quests!$1:$1,0)+1),MATCH(E$1,[2]quests!$1:$1,0)-MATCH($B$1,[2]quests!$1:$1,0)+1,FALSE)</f>
        <v xml:space="preserve">ミクエキスポ 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【初級】ミクエキスポ</v>
      </c>
      <c r="G4" s="94">
        <v>1</v>
      </c>
      <c r="H4" s="15" t="str">
        <f t="shared" si="2"/>
        <v>39005_1-1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8" t="s">
        <v>53</v>
      </c>
      <c r="L4" s="20">
        <v>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パトドッグ ポチ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10</v>
      </c>
      <c r="S4" s="25">
        <v>1</v>
      </c>
      <c r="T4" s="25">
        <v>0.8</v>
      </c>
      <c r="U4" s="5">
        <v>0</v>
      </c>
      <c r="V4" s="4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4">
        <f ca="1">VLOOKUP($L4,OFFSET([3]enemies!$A$1,0,0,COUNTA([3]enemies!$A:$A),MATCH(W$1,[3]enemies!$1:$1,0)-MATCH($L$1,[3]enemies!$1:$1,0)+1),MATCH(W$1,[3]enemies!$1:$1,0)-MATCH($L$1,[3]enemies!$1:$1,0)+1,FALSE)</f>
        <v>0</v>
      </c>
      <c r="X4" s="6">
        <v>0</v>
      </c>
      <c r="Y4" s="6">
        <v>100</v>
      </c>
      <c r="Z4" s="6">
        <v>0</v>
      </c>
      <c r="AA4" s="17">
        <v>3</v>
      </c>
      <c r="AB4" s="24">
        <f t="shared" si="3"/>
        <v>5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Drop1T</v>
      </c>
      <c r="AF4" s="7">
        <v>1</v>
      </c>
      <c r="AG4" s="24">
        <f t="shared" ca="1" si="4"/>
        <v>1</v>
      </c>
      <c r="AH4" s="8">
        <v>20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si="0"/>
        <v>39005_1-1/7&lt;lv10&gt;s2</v>
      </c>
      <c r="B5" s="22">
        <v>39005</v>
      </c>
      <c r="C5" s="21">
        <v>1</v>
      </c>
      <c r="D5" s="2" t="str">
        <f t="shared" si="1"/>
        <v>39005_1</v>
      </c>
      <c r="E5" s="4" t="str">
        <f ca="1">VLOOKUP($B5,OFFSET([2]quests!$A$1,0,0,COUNTA([2]quests!$A:$A),MATCH(E$1,[2]quests!$1:$1,0)-MATCH($B$1,[2]quests!$1:$1,0)+1),MATCH(E$1,[2]quests!$1:$1,0)-MATCH($B$1,[2]quests!$1:$1,0)+1,FALSE)</f>
        <v xml:space="preserve">ミクエキスポ 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【初級】ミクエキスポ</v>
      </c>
      <c r="G5" s="94">
        <v>1</v>
      </c>
      <c r="H5" s="15" t="str">
        <f t="shared" si="2"/>
        <v>39005_1-1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 t="s">
        <v>53</v>
      </c>
      <c r="L5" s="20">
        <v>7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エレキポット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Drop1T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10</v>
      </c>
      <c r="S5" s="25">
        <v>1.1000000000000001</v>
      </c>
      <c r="T5" s="25">
        <v>0.4</v>
      </c>
      <c r="U5" s="5">
        <v>0</v>
      </c>
      <c r="V5" s="4" t="e">
        <f ca="1">VLOOKUP($W5,OFFSET(enemy_skill_sets!$B$1,0,0,COUNTA(enemy_skill_sets!$B:$B),MATCH(M$1,enemy_skill_sets!$1:$1,0)-MATCH($W$1,enemy_skill_sets!$1:$1,0)+2),MATCH(M$1,enemy_skill_sets!$1:$1,0)-MATCH($W$1,enemy_skill_sets!$1:$1,0)+2,FALSE)</f>
        <v>#N/A</v>
      </c>
      <c r="W5" s="4">
        <f ca="1">VLOOKUP($L5,OFFSET([3]enemies!$A$1,0,0,COUNTA([3]enemies!$A:$A),MATCH(W$1,[3]enemies!$1:$1,0)-MATCH($L$1,[3]enemies!$1:$1,0)+1),MATCH(W$1,[3]enemies!$1:$1,0)-MATCH($L$1,[3]enemies!$1:$1,0)+1,FALSE)</f>
        <v>0</v>
      </c>
      <c r="X5" s="6">
        <v>0</v>
      </c>
      <c r="Y5" s="6">
        <v>100</v>
      </c>
      <c r="Z5" s="6">
        <v>0</v>
      </c>
      <c r="AA5" s="17">
        <v>2</v>
      </c>
      <c r="AB5" s="24">
        <f t="shared" si="3"/>
        <v>7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Drop1T</v>
      </c>
      <c r="AF5" s="7">
        <v>1</v>
      </c>
      <c r="AG5" s="24">
        <f t="shared" ca="1" si="4"/>
        <v>1</v>
      </c>
      <c r="AH5" s="8">
        <v>20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39005_1-1/15&lt;lv10&gt;s3</v>
      </c>
      <c r="B6" s="22">
        <v>39005</v>
      </c>
      <c r="C6" s="21">
        <v>1</v>
      </c>
      <c r="D6" s="2" t="str">
        <f t="shared" si="1"/>
        <v>39005_1</v>
      </c>
      <c r="E6" s="4" t="str">
        <f ca="1">VLOOKUP($B6,OFFSET([2]quests!$A$1,0,0,COUNTA([2]quests!$A:$A),MATCH(E$1,[2]quests!$1:$1,0)-MATCH($B$1,[2]quests!$1:$1,0)+1),MATCH(E$1,[2]quests!$1:$1,0)-MATCH($B$1,[2]quests!$1:$1,0)+1,FALSE)</f>
        <v xml:space="preserve">ミクエキスポ 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【初級】ミクエキスポ</v>
      </c>
      <c r="G6" s="94">
        <v>1</v>
      </c>
      <c r="H6" s="15" t="str">
        <f t="shared" si="2"/>
        <v>39005_1-1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8" t="s">
        <v>53</v>
      </c>
      <c r="L6" s="20">
        <v>15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アカネ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10</v>
      </c>
      <c r="S6" s="25">
        <v>1.1000000000000001</v>
      </c>
      <c r="T6" s="25">
        <v>0.6</v>
      </c>
      <c r="U6" s="5">
        <v>0</v>
      </c>
      <c r="V6" s="4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4">
        <f ca="1">VLOOKUP($L6,OFFSET([3]enemies!$A$1,0,0,COUNTA([3]enemies!$A:$A),MATCH(W$1,[3]enemies!$1:$1,0)-MATCH($L$1,[3]enemies!$1:$1,0)+1),MATCH(W$1,[3]enemies!$1:$1,0)-MATCH($L$1,[3]enemies!$1:$1,0)+1,FALSE)</f>
        <v>0</v>
      </c>
      <c r="X6" s="6">
        <v>0</v>
      </c>
      <c r="Y6" s="6">
        <v>100</v>
      </c>
      <c r="Z6" s="6">
        <v>0</v>
      </c>
      <c r="AA6" s="17">
        <v>3</v>
      </c>
      <c r="AB6" s="24">
        <f t="shared" si="3"/>
        <v>15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1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Drop1W</v>
      </c>
      <c r="AF6" s="7">
        <v>1</v>
      </c>
      <c r="AG6" s="24">
        <f t="shared" ca="1" si="4"/>
        <v>1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si="0"/>
        <v>39005_1-1/27&lt;lv10&gt;s1</v>
      </c>
      <c r="B7" s="22">
        <v>39005</v>
      </c>
      <c r="C7" s="21">
        <v>1</v>
      </c>
      <c r="D7" s="2" t="str">
        <f t="shared" si="1"/>
        <v>39005_1</v>
      </c>
      <c r="E7" s="4" t="str">
        <f ca="1">VLOOKUP($B7,OFFSET([2]quests!$A$1,0,0,COUNTA([2]quests!$A:$A),MATCH(E$1,[2]quests!$1:$1,0)-MATCH($B$1,[2]quests!$1:$1,0)+1),MATCH(E$1,[2]quests!$1:$1,0)-MATCH($B$1,[2]quests!$1:$1,0)+1,FALSE)</f>
        <v xml:space="preserve">ミクエキスポ </v>
      </c>
      <c r="F7" s="4" t="str">
        <f ca="1">VLOOKUP($D7,OFFSET([2]stages!$A$1,0,0,COUNTA([2]stages!$A:$A),MATCH(F$1,[2]stages!$2:$2,0)-MATCH($D$1,[2]stages!$2:$2,0)+1),MATCH(F$1,[2]stages!$2:$2,0)-MATCH($D$1,[2]stages!$2:$2,0)+1,FALSE)</f>
        <v>【初級】ミクエキスポ</v>
      </c>
      <c r="G7" s="94">
        <v>1</v>
      </c>
      <c r="H7" s="15" t="str">
        <f t="shared" si="2"/>
        <v>39005_1-1</v>
      </c>
      <c r="I7" s="4">
        <f ca="1">VLOOKUP($H7,OFFSET(floors!$A$1,0,0,COUNTA(floors!$A:$A),MATCH(I$1,floors!$1:$1,0)-MATCH($H$1,floors!$1:$1,0)+1),MATCH(I$1,floors!$1:$1,0)-MATCH($H$1,floors!$1:$1,0)+1,FALSE)</f>
        <v>30</v>
      </c>
      <c r="J7" s="4">
        <f ca="1">VLOOKUP($H7,OFFSET(floors!$A$1,0,0,COUNTA(floors!$A:$A),MATCH(J$1,floors!$1:$1,0)-MATCH($H$1,floors!$1:$1,0)+1),MATCH(J$1,floors!$1:$1,0)-MATCH($H$1,floors!$1:$1,0)+1,FALSE)</f>
        <v>30</v>
      </c>
      <c r="K7" s="38" t="s">
        <v>53</v>
      </c>
      <c r="L7" s="20">
        <v>27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パトライン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machine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10</v>
      </c>
      <c r="S7" s="25">
        <v>1.2</v>
      </c>
      <c r="T7" s="25">
        <v>0.6</v>
      </c>
      <c r="U7" s="5">
        <v>0</v>
      </c>
      <c r="V7" s="4" t="e">
        <f ca="1">VLOOKUP($W7,OFFSET(enemy_skill_sets!$B$1,0,0,COUNTA(enemy_skill_sets!$B:$B),MATCH(M$1,enemy_skill_sets!$1:$1,0)-MATCH($W$1,enemy_skill_sets!$1:$1,0)+2),MATCH(M$1,enemy_skill_sets!$1:$1,0)-MATCH($W$1,enemy_skill_sets!$1:$1,0)+2,FALSE)</f>
        <v>#N/A</v>
      </c>
      <c r="W7" s="4">
        <f ca="1">VLOOKUP($L7,OFFSET([3]enemies!$A$1,0,0,COUNTA([3]enemies!$A:$A),MATCH(W$1,[3]enemies!$1:$1,0)-MATCH($L$1,[3]enemies!$1:$1,0)+1),MATCH(W$1,[3]enemies!$1:$1,0)-MATCH($L$1,[3]enemies!$1:$1,0)+1,FALSE)</f>
        <v>0</v>
      </c>
      <c r="X7" s="6">
        <v>0</v>
      </c>
      <c r="Y7" s="6">
        <v>100</v>
      </c>
      <c r="Z7" s="6">
        <v>0</v>
      </c>
      <c r="AA7" s="17">
        <v>1</v>
      </c>
      <c r="AB7" s="24">
        <f t="shared" si="3"/>
        <v>27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1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7">
        <v>1</v>
      </c>
      <c r="AG7" s="24">
        <f t="shared" ca="1" si="4"/>
        <v>1</v>
      </c>
      <c r="AH7" s="8">
        <v>20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0"/>
        <v>39005_1-1/17&lt;lv10&gt;s2</v>
      </c>
      <c r="B8" s="22">
        <v>39005</v>
      </c>
      <c r="C8" s="21">
        <v>1</v>
      </c>
      <c r="D8" s="2" t="str">
        <f t="shared" si="1"/>
        <v>39005_1</v>
      </c>
      <c r="E8" s="4" t="str">
        <f ca="1">VLOOKUP($B8,OFFSET([2]quests!$A$1,0,0,COUNTA([2]quests!$A:$A),MATCH(E$1,[2]quests!$1:$1,0)-MATCH($B$1,[2]quests!$1:$1,0)+1),MATCH(E$1,[2]quests!$1:$1,0)-MATCH($B$1,[2]quests!$1:$1,0)+1,FALSE)</f>
        <v xml:space="preserve">ミクエキスポ </v>
      </c>
      <c r="F8" s="4" t="str">
        <f ca="1">VLOOKUP($D8,OFFSET([2]stages!$A$1,0,0,COUNTA([2]stages!$A:$A),MATCH(F$1,[2]stages!$2:$2,0)-MATCH($D$1,[2]stages!$2:$2,0)+1),MATCH(F$1,[2]stages!$2:$2,0)-MATCH($D$1,[2]stages!$2:$2,0)+1,FALSE)</f>
        <v>【初級】ミクエキスポ</v>
      </c>
      <c r="G8" s="94">
        <v>1</v>
      </c>
      <c r="H8" s="15" t="str">
        <f t="shared" si="2"/>
        <v>39005_1-1</v>
      </c>
      <c r="I8" s="4">
        <f ca="1">VLOOKUP($H8,OFFSET(floors!$A$1,0,0,COUNTA(floors!$A:$A),MATCH(I$1,floors!$1:$1,0)-MATCH($H$1,floors!$1:$1,0)+1),MATCH(I$1,floors!$1:$1,0)-MATCH($H$1,floors!$1:$1,0)+1,FALSE)</f>
        <v>30</v>
      </c>
      <c r="J8" s="4">
        <f ca="1">VLOOKUP($H8,OFFSET(floors!$A$1,0,0,COUNTA(floors!$A:$A),MATCH(J$1,floors!$1:$1,0)-MATCH($H$1,floors!$1:$1,0)+1),MATCH(J$1,floors!$1:$1,0)-MATCH($H$1,floors!$1:$1,0)+1,FALSE)</f>
        <v>30</v>
      </c>
      <c r="K8" s="38" t="s">
        <v>53</v>
      </c>
      <c r="L8" s="20">
        <v>17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リム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10</v>
      </c>
      <c r="S8" s="25">
        <v>1</v>
      </c>
      <c r="T8" s="25">
        <v>0.6</v>
      </c>
      <c r="U8" s="5">
        <v>0</v>
      </c>
      <c r="V8" s="4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" s="4">
        <f ca="1">VLOOKUP($L8,OFFSET([3]enemies!$A$1,0,0,COUNTA([3]enemies!$A:$A),MATCH(W$1,[3]enemies!$1:$1,0)-MATCH($L$1,[3]enemies!$1:$1,0)+1),MATCH(W$1,[3]enemies!$1:$1,0)-MATCH($L$1,[3]enemies!$1:$1,0)+1,FALSE)</f>
        <v>0</v>
      </c>
      <c r="X8" s="6">
        <v>0</v>
      </c>
      <c r="Y8" s="6">
        <v>100</v>
      </c>
      <c r="Z8" s="6">
        <v>0</v>
      </c>
      <c r="AA8" s="17">
        <v>2</v>
      </c>
      <c r="AB8" s="24">
        <f t="shared" si="3"/>
        <v>17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リム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1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Drop1W</v>
      </c>
      <c r="AF8" s="7">
        <v>1</v>
      </c>
      <c r="AG8" s="24">
        <f t="shared" ca="1" si="4"/>
        <v>1</v>
      </c>
      <c r="AH8" s="8">
        <v>20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si="0"/>
        <v>39005_1-1/13&lt;lv10&gt;s2</v>
      </c>
      <c r="B9" s="22">
        <v>39005</v>
      </c>
      <c r="C9" s="21">
        <v>1</v>
      </c>
      <c r="D9" s="2" t="str">
        <f t="shared" si="1"/>
        <v>39005_1</v>
      </c>
      <c r="E9" s="4" t="str">
        <f ca="1">VLOOKUP($B9,OFFSET([2]quests!$A$1,0,0,COUNTA([2]quests!$A:$A),MATCH(E$1,[2]quests!$1:$1,0)-MATCH($B$1,[2]quests!$1:$1,0)+1),MATCH(E$1,[2]quests!$1:$1,0)-MATCH($B$1,[2]quests!$1:$1,0)+1,FALSE)</f>
        <v xml:space="preserve">ミクエキスポ </v>
      </c>
      <c r="F9" s="4" t="str">
        <f ca="1">VLOOKUP($D9,OFFSET([2]stages!$A$1,0,0,COUNTA([2]stages!$A:$A),MATCH(F$1,[2]stages!$2:$2,0)-MATCH($D$1,[2]stages!$2:$2,0)+1),MATCH(F$1,[2]stages!$2:$2,0)-MATCH($D$1,[2]stages!$2:$2,0)+1,FALSE)</f>
        <v>【初級】ミクエキスポ</v>
      </c>
      <c r="G9" s="94">
        <v>1</v>
      </c>
      <c r="H9" s="15" t="str">
        <f t="shared" si="2"/>
        <v>39005_1-1</v>
      </c>
      <c r="I9" s="4">
        <f ca="1">VLOOKUP($H9,OFFSET(floors!$A$1,0,0,COUNTA(floors!$A:$A),MATCH(I$1,floors!$1:$1,0)-MATCH($H$1,floors!$1:$1,0)+1),MATCH(I$1,floors!$1:$1,0)-MATCH($H$1,floors!$1:$1,0)+1,FALSE)</f>
        <v>30</v>
      </c>
      <c r="J9" s="4">
        <f ca="1">VLOOKUP($H9,OFFSET(floors!$A$1,0,0,COUNTA(floors!$A:$A),MATCH(J$1,floors!$1:$1,0)-MATCH($H$1,floors!$1:$1,0)+1),MATCH(J$1,floors!$1:$1,0)-MATCH($H$1,floors!$1:$1,0)+1,FALSE)</f>
        <v>30</v>
      </c>
      <c r="K9" s="38" t="s">
        <v>53</v>
      </c>
      <c r="L9" s="20">
        <v>13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ミミ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10</v>
      </c>
      <c r="S9" s="25">
        <v>1.1000000000000001</v>
      </c>
      <c r="T9" s="25">
        <v>0.4</v>
      </c>
      <c r="U9" s="5">
        <v>0</v>
      </c>
      <c r="V9" s="4" t="e">
        <f ca="1">VLOOKUP($W9,OFFSET(enemy_skill_sets!$B$1,0,0,COUNTA(enemy_skill_sets!$B:$B),MATCH(M$1,enemy_skill_sets!$1:$1,0)-MATCH($W$1,enemy_skill_sets!$1:$1,0)+2),MATCH(M$1,enemy_skill_sets!$1:$1,0)-MATCH($W$1,enemy_skill_sets!$1:$1,0)+2,FALSE)</f>
        <v>#N/A</v>
      </c>
      <c r="W9" s="4">
        <f ca="1">VLOOKUP($L9,OFFSET([3]enemies!$A$1,0,0,COUNTA([3]enemies!$A:$A),MATCH(W$1,[3]enemies!$1:$1,0)-MATCH($L$1,[3]enemies!$1:$1,0)+1),MATCH(W$1,[3]enemies!$1:$1,0)-MATCH($L$1,[3]enemies!$1:$1,0)+1,FALSE)</f>
        <v>0</v>
      </c>
      <c r="X9" s="6">
        <v>0</v>
      </c>
      <c r="Y9" s="6">
        <v>100</v>
      </c>
      <c r="Z9" s="6">
        <v>0</v>
      </c>
      <c r="AA9" s="17">
        <v>2</v>
      </c>
      <c r="AB9" s="24">
        <f t="shared" si="3"/>
        <v>13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ミミ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1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Drop1W</v>
      </c>
      <c r="AF9" s="7">
        <v>1</v>
      </c>
      <c r="AG9" s="24">
        <f t="shared" ca="1" si="4"/>
        <v>1</v>
      </c>
      <c r="AH9" s="8">
        <v>20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6" t="str">
        <f t="shared" si="0"/>
        <v>39005_1-2/1&lt;lv13&gt;s1</v>
      </c>
      <c r="B10" s="22">
        <v>39005</v>
      </c>
      <c r="C10" s="21">
        <v>1</v>
      </c>
      <c r="D10" s="2" t="str">
        <f t="shared" si="1"/>
        <v>39005_1</v>
      </c>
      <c r="E10" s="4" t="str">
        <f ca="1">VLOOKUP($B10,OFFSET([2]quests!$A$1,0,0,COUNTA([2]quests!$A:$A),MATCH(E$1,[2]quests!$1:$1,0)-MATCH($B$1,[2]quests!$1:$1,0)+1),MATCH(E$1,[2]quests!$1:$1,0)-MATCH($B$1,[2]quests!$1:$1,0)+1,FALSE)</f>
        <v xml:space="preserve">ミクエキスポ </v>
      </c>
      <c r="F10" s="4" t="str">
        <f ca="1">VLOOKUP($D10,OFFSET([2]stages!$A$1,0,0,COUNTA([2]stages!$A:$A),MATCH(F$1,[2]stages!$2:$2,0)-MATCH($D$1,[2]stages!$2:$2,0)+1),MATCH(F$1,[2]stages!$2:$2,0)-MATCH($D$1,[2]stages!$2:$2,0)+1,FALSE)</f>
        <v>【初級】ミクエキスポ</v>
      </c>
      <c r="G10" s="96">
        <v>2</v>
      </c>
      <c r="H10" s="15" t="str">
        <f t="shared" si="2"/>
        <v>39005_1-2</v>
      </c>
      <c r="I10" s="4">
        <f ca="1">VLOOKUP($H10,OFFSET(floors!$A$1,0,0,COUNTA(floors!$A:$A),MATCH(I$1,floors!$1:$1,0)-MATCH($H$1,floors!$1:$1,0)+1),MATCH(I$1,floors!$1:$1,0)-MATCH($H$1,floors!$1:$1,0)+1,FALSE)</f>
        <v>45</v>
      </c>
      <c r="J10" s="4">
        <f ca="1">VLOOKUP($H10,OFFSET(floors!$A$1,0,0,COUNTA(floors!$A:$A),MATCH(J$1,floors!$1:$1,0)-MATCH($H$1,floors!$1:$1,0)+1),MATCH(J$1,floors!$1:$1,0)-MATCH($H$1,floors!$1:$1,0)+1,FALSE)</f>
        <v>45</v>
      </c>
      <c r="K10" s="38" t="s">
        <v>53</v>
      </c>
      <c r="L10" s="20">
        <v>1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ジェリー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Drop1T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13</v>
      </c>
      <c r="S10" s="25">
        <v>1</v>
      </c>
      <c r="T10" s="25">
        <v>0.4</v>
      </c>
      <c r="U10" s="5">
        <v>0</v>
      </c>
      <c r="V10" s="4" t="str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" s="4">
        <f ca="1">VLOOKUP($L10,OFFSET([3]enemies!$A$1,0,0,COUNTA([3]enemies!$A:$A),MATCH(W$1,[3]enemies!$1:$1,0)-MATCH($L$1,[3]enemies!$1:$1,0)+1),MATCH(W$1,[3]enemies!$1:$1,0)-MATCH($L$1,[3]enemies!$1:$1,0)+1,FALSE)</f>
        <v>0</v>
      </c>
      <c r="X10" s="6">
        <v>0</v>
      </c>
      <c r="Y10" s="6">
        <v>100</v>
      </c>
      <c r="Z10" s="6">
        <v>0</v>
      </c>
      <c r="AA10" s="110">
        <v>1</v>
      </c>
      <c r="AB10" s="24">
        <f t="shared" si="3"/>
        <v>1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1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Drop1T</v>
      </c>
      <c r="AF10" s="7">
        <v>1</v>
      </c>
      <c r="AG10" s="24">
        <f t="shared" ca="1" si="4"/>
        <v>1</v>
      </c>
      <c r="AH10" s="8">
        <v>20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16" t="str">
        <f t="shared" si="0"/>
        <v>39005_1-2/3&lt;lv13&gt;s2</v>
      </c>
      <c r="B11" s="22">
        <v>39005</v>
      </c>
      <c r="C11" s="21">
        <v>1</v>
      </c>
      <c r="D11" s="2" t="str">
        <f t="shared" si="1"/>
        <v>39005_1</v>
      </c>
      <c r="E11" s="4" t="str">
        <f ca="1">VLOOKUP($B11,OFFSET([2]quests!$A$1,0,0,COUNTA([2]quests!$A:$A),MATCH(E$1,[2]quests!$1:$1,0)-MATCH($B$1,[2]quests!$1:$1,0)+1),MATCH(E$1,[2]quests!$1:$1,0)-MATCH($B$1,[2]quests!$1:$1,0)+1,FALSE)</f>
        <v xml:space="preserve">ミクエキスポ </v>
      </c>
      <c r="F11" s="4" t="str">
        <f ca="1">VLOOKUP($D11,OFFSET([2]stages!$A$1,0,0,COUNTA([2]stages!$A:$A),MATCH(F$1,[2]stages!$2:$2,0)-MATCH($D$1,[2]stages!$2:$2,0)+1),MATCH(F$1,[2]stages!$2:$2,0)-MATCH($D$1,[2]stages!$2:$2,0)+1,FALSE)</f>
        <v>【初級】ミクエキスポ</v>
      </c>
      <c r="G11" s="96">
        <v>2</v>
      </c>
      <c r="H11" s="15" t="str">
        <f t="shared" si="2"/>
        <v>39005_1-2</v>
      </c>
      <c r="I11" s="4">
        <f ca="1">VLOOKUP($H11,OFFSET(floors!$A$1,0,0,COUNTA(floors!$A:$A),MATCH(I$1,floors!$1:$1,0)-MATCH($H$1,floors!$1:$1,0)+1),MATCH(I$1,floors!$1:$1,0)-MATCH($H$1,floors!$1:$1,0)+1,FALSE)</f>
        <v>45</v>
      </c>
      <c r="J11" s="4">
        <f ca="1">VLOOKUP($H11,OFFSET(floors!$A$1,0,0,COUNTA(floors!$A:$A),MATCH(J$1,floors!$1:$1,0)-MATCH($H$1,floors!$1:$1,0)+1),MATCH(J$1,floors!$1:$1,0)-MATCH($H$1,floors!$1:$1,0)+1,FALSE)</f>
        <v>45</v>
      </c>
      <c r="K11" s="38" t="s">
        <v>53</v>
      </c>
      <c r="L11" s="20">
        <v>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エージェント ジョー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Drop1T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13</v>
      </c>
      <c r="S11" s="25">
        <v>1</v>
      </c>
      <c r="T11" s="25">
        <v>0.5</v>
      </c>
      <c r="U11" s="5">
        <v>0</v>
      </c>
      <c r="V11" s="4" t="e">
        <f ca="1">VLOOKUP($W11,OFFSET(enemy_skill_sets!$B$1,0,0,COUNTA(enemy_skill_sets!$B:$B),MATCH(M$1,enemy_skill_sets!$1:$1,0)-MATCH($W$1,enemy_skill_sets!$1:$1,0)+2),MATCH(M$1,enemy_skill_sets!$1:$1,0)-MATCH($W$1,enemy_skill_sets!$1:$1,0)+2,FALSE)</f>
        <v>#N/A</v>
      </c>
      <c r="W11" s="4">
        <f ca="1">VLOOKUP($L11,OFFSET([3]enemies!$A$1,0,0,COUNTA([3]enemies!$A:$A),MATCH(W$1,[3]enemies!$1:$1,0)-MATCH($L$1,[3]enemies!$1:$1,0)+1),MATCH(W$1,[3]enemies!$1:$1,0)-MATCH($L$1,[3]enemies!$1:$1,0)+1,FALSE)</f>
        <v>0</v>
      </c>
      <c r="X11" s="6">
        <v>0</v>
      </c>
      <c r="Y11" s="6">
        <v>100</v>
      </c>
      <c r="Z11" s="6">
        <v>0</v>
      </c>
      <c r="AA11" s="110">
        <v>2</v>
      </c>
      <c r="AB11" s="24">
        <f t="shared" si="3"/>
        <v>3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1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Drop1T</v>
      </c>
      <c r="AF11" s="7">
        <v>1</v>
      </c>
      <c r="AG11" s="24">
        <f t="shared" ca="1" si="4"/>
        <v>1</v>
      </c>
      <c r="AH11" s="8">
        <v>20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 x14ac:dyDescent="0.15">
      <c r="A12" s="16" t="str">
        <f t="shared" si="0"/>
        <v>39005_1-2/5&lt;lv13&gt;s3</v>
      </c>
      <c r="B12" s="22">
        <v>39005</v>
      </c>
      <c r="C12" s="21">
        <v>1</v>
      </c>
      <c r="D12" s="2" t="str">
        <f t="shared" si="1"/>
        <v>39005_1</v>
      </c>
      <c r="E12" s="4" t="str">
        <f ca="1">VLOOKUP($B12,OFFSET([2]quests!$A$1,0,0,COUNTA([2]quests!$A:$A),MATCH(E$1,[2]quests!$1:$1,0)-MATCH($B$1,[2]quests!$1:$1,0)+1),MATCH(E$1,[2]quests!$1:$1,0)-MATCH($B$1,[2]quests!$1:$1,0)+1,FALSE)</f>
        <v xml:space="preserve">ミクエキスポ </v>
      </c>
      <c r="F12" s="4" t="str">
        <f ca="1">VLOOKUP($D12,OFFSET([2]stages!$A$1,0,0,COUNTA([2]stages!$A:$A),MATCH(F$1,[2]stages!$2:$2,0)-MATCH($D$1,[2]stages!$2:$2,0)+1),MATCH(F$1,[2]stages!$2:$2,0)-MATCH($D$1,[2]stages!$2:$2,0)+1,FALSE)</f>
        <v>【初級】ミクエキスポ</v>
      </c>
      <c r="G12" s="96">
        <v>2</v>
      </c>
      <c r="H12" s="15" t="str">
        <f t="shared" si="2"/>
        <v>39005_1-2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45</v>
      </c>
      <c r="K12" s="38" t="s">
        <v>53</v>
      </c>
      <c r="L12" s="20">
        <v>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パトドッグ ポチ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Drop1T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13</v>
      </c>
      <c r="S12" s="25">
        <v>1</v>
      </c>
      <c r="T12" s="25">
        <v>0.8</v>
      </c>
      <c r="U12" s="5">
        <v>0</v>
      </c>
      <c r="V12" s="4" t="str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" s="4">
        <f ca="1">VLOOKUP($L12,OFFSET([3]enemies!$A$1,0,0,COUNTA([3]enemies!$A:$A),MATCH(W$1,[3]enemies!$1:$1,0)-MATCH($L$1,[3]enemies!$1:$1,0)+1),MATCH(W$1,[3]enemies!$1:$1,0)-MATCH($L$1,[3]enemies!$1:$1,0)+1,FALSE)</f>
        <v>0</v>
      </c>
      <c r="X12" s="6">
        <v>0</v>
      </c>
      <c r="Y12" s="6">
        <v>100</v>
      </c>
      <c r="Z12" s="6">
        <v>0</v>
      </c>
      <c r="AA12" s="110">
        <v>3</v>
      </c>
      <c r="AB12" s="24">
        <f t="shared" si="3"/>
        <v>5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1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Drop1T</v>
      </c>
      <c r="AF12" s="7">
        <v>1</v>
      </c>
      <c r="AG12" s="24">
        <f t="shared" ca="1" si="4"/>
        <v>1</v>
      </c>
      <c r="AH12" s="8">
        <v>20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 x14ac:dyDescent="0.15">
      <c r="A13" s="16" t="str">
        <f t="shared" si="0"/>
        <v>39005_1-2/7&lt;lv13&gt;s2</v>
      </c>
      <c r="B13" s="22">
        <v>39005</v>
      </c>
      <c r="C13" s="21">
        <v>1</v>
      </c>
      <c r="D13" s="2" t="str">
        <f t="shared" si="1"/>
        <v>39005_1</v>
      </c>
      <c r="E13" s="4" t="str">
        <f ca="1">VLOOKUP($B13,OFFSET([2]quests!$A$1,0,0,COUNTA([2]quests!$A:$A),MATCH(E$1,[2]quests!$1:$1,0)-MATCH($B$1,[2]quests!$1:$1,0)+1),MATCH(E$1,[2]quests!$1:$1,0)-MATCH($B$1,[2]quests!$1:$1,0)+1,FALSE)</f>
        <v xml:space="preserve">ミクエキスポ </v>
      </c>
      <c r="F13" s="4" t="str">
        <f ca="1">VLOOKUP($D13,OFFSET([2]stages!$A$1,0,0,COUNTA([2]stages!$A:$A),MATCH(F$1,[2]stages!$2:$2,0)-MATCH($D$1,[2]stages!$2:$2,0)+1),MATCH(F$1,[2]stages!$2:$2,0)-MATCH($D$1,[2]stages!$2:$2,0)+1,FALSE)</f>
        <v>【初級】ミクエキスポ</v>
      </c>
      <c r="G13" s="96">
        <v>2</v>
      </c>
      <c r="H13" s="15" t="str">
        <f t="shared" si="2"/>
        <v>39005_1-2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45</v>
      </c>
      <c r="K13" s="38" t="s">
        <v>53</v>
      </c>
      <c r="L13" s="20">
        <v>7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エレキポット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Drop1T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13</v>
      </c>
      <c r="S13" s="25">
        <v>1</v>
      </c>
      <c r="T13" s="25">
        <v>0.4</v>
      </c>
      <c r="U13" s="5">
        <v>0</v>
      </c>
      <c r="V13" s="4" t="e">
        <f ca="1">VLOOKUP($W13,OFFSET(enemy_skill_sets!$B$1,0,0,COUNTA(enemy_skill_sets!$B:$B),MATCH(M$1,enemy_skill_sets!$1:$1,0)-MATCH($W$1,enemy_skill_sets!$1:$1,0)+2),MATCH(M$1,enemy_skill_sets!$1:$1,0)-MATCH($W$1,enemy_skill_sets!$1:$1,0)+2,FALSE)</f>
        <v>#N/A</v>
      </c>
      <c r="W13" s="4">
        <f ca="1">VLOOKUP($L13,OFFSET([3]enemies!$A$1,0,0,COUNTA([3]enemies!$A:$A),MATCH(W$1,[3]enemies!$1:$1,0)-MATCH($L$1,[3]enemies!$1:$1,0)+1),MATCH(W$1,[3]enemies!$1:$1,0)-MATCH($L$1,[3]enemies!$1:$1,0)+1,FALSE)</f>
        <v>0</v>
      </c>
      <c r="X13" s="6">
        <v>0</v>
      </c>
      <c r="Y13" s="6">
        <v>100</v>
      </c>
      <c r="Z13" s="6">
        <v>0</v>
      </c>
      <c r="AA13" s="110">
        <v>2</v>
      </c>
      <c r="AB13" s="24">
        <f t="shared" si="3"/>
        <v>7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1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Drop1T</v>
      </c>
      <c r="AF13" s="7">
        <v>1</v>
      </c>
      <c r="AG13" s="24">
        <f t="shared" ca="1" si="4"/>
        <v>1</v>
      </c>
      <c r="AH13" s="8">
        <v>20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 x14ac:dyDescent="0.15">
      <c r="A14" s="16" t="str">
        <f t="shared" si="0"/>
        <v>39005_1-2/15&lt;lv13&gt;s3</v>
      </c>
      <c r="B14" s="22">
        <v>39005</v>
      </c>
      <c r="C14" s="21">
        <v>1</v>
      </c>
      <c r="D14" s="2" t="str">
        <f t="shared" si="1"/>
        <v>39005_1</v>
      </c>
      <c r="E14" s="4" t="str">
        <f ca="1">VLOOKUP($B14,OFFSET([2]quests!$A$1,0,0,COUNTA([2]quests!$A:$A),MATCH(E$1,[2]quests!$1:$1,0)-MATCH($B$1,[2]quests!$1:$1,0)+1),MATCH(E$1,[2]quests!$1:$1,0)-MATCH($B$1,[2]quests!$1:$1,0)+1,FALSE)</f>
        <v xml:space="preserve">ミクエキスポ </v>
      </c>
      <c r="F14" s="4" t="str">
        <f ca="1">VLOOKUP($D14,OFFSET([2]stages!$A$1,0,0,COUNTA([2]stages!$A:$A),MATCH(F$1,[2]stages!$2:$2,0)-MATCH($D$1,[2]stages!$2:$2,0)+1),MATCH(F$1,[2]stages!$2:$2,0)-MATCH($D$1,[2]stages!$2:$2,0)+1,FALSE)</f>
        <v>【初級】ミクエキスポ</v>
      </c>
      <c r="G14" s="96">
        <v>2</v>
      </c>
      <c r="H14" s="15" t="str">
        <f t="shared" si="2"/>
        <v>39005_1-2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45</v>
      </c>
      <c r="K14" s="38" t="s">
        <v>53</v>
      </c>
      <c r="L14" s="20">
        <v>15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アカネ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Drop1W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13</v>
      </c>
      <c r="S14" s="25">
        <v>1</v>
      </c>
      <c r="T14" s="25">
        <v>0.6</v>
      </c>
      <c r="U14" s="5">
        <v>0</v>
      </c>
      <c r="V14" s="4" t="str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" s="4">
        <f ca="1">VLOOKUP($L14,OFFSET([3]enemies!$A$1,0,0,COUNTA([3]enemies!$A:$A),MATCH(W$1,[3]enemies!$1:$1,0)-MATCH($L$1,[3]enemies!$1:$1,0)+1),MATCH(W$1,[3]enemies!$1:$1,0)-MATCH($L$1,[3]enemies!$1:$1,0)+1,FALSE)</f>
        <v>0</v>
      </c>
      <c r="X14" s="6">
        <v>0</v>
      </c>
      <c r="Y14" s="6">
        <v>100</v>
      </c>
      <c r="Z14" s="6">
        <v>0</v>
      </c>
      <c r="AA14" s="110">
        <v>3</v>
      </c>
      <c r="AB14" s="24">
        <f t="shared" si="3"/>
        <v>15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1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Drop1W</v>
      </c>
      <c r="AF14" s="7">
        <v>1</v>
      </c>
      <c r="AG14" s="24">
        <f t="shared" ca="1" si="4"/>
        <v>1</v>
      </c>
      <c r="AH14" s="8">
        <v>20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 x14ac:dyDescent="0.15">
      <c r="A15" s="16" t="str">
        <f t="shared" si="0"/>
        <v>39005_1-2/27&lt;lv13&gt;s1</v>
      </c>
      <c r="B15" s="22">
        <v>39005</v>
      </c>
      <c r="C15" s="21">
        <v>1</v>
      </c>
      <c r="D15" s="2" t="str">
        <f t="shared" si="1"/>
        <v>39005_1</v>
      </c>
      <c r="E15" s="4" t="str">
        <f ca="1">VLOOKUP($B15,OFFSET([2]quests!$A$1,0,0,COUNTA([2]quests!$A:$A),MATCH(E$1,[2]quests!$1:$1,0)-MATCH($B$1,[2]quests!$1:$1,0)+1),MATCH(E$1,[2]quests!$1:$1,0)-MATCH($B$1,[2]quests!$1:$1,0)+1,FALSE)</f>
        <v xml:space="preserve">ミクエキスポ </v>
      </c>
      <c r="F15" s="4" t="str">
        <f ca="1">VLOOKUP($D15,OFFSET([2]stages!$A$1,0,0,COUNTA([2]stages!$A:$A),MATCH(F$1,[2]stages!$2:$2,0)-MATCH($D$1,[2]stages!$2:$2,0)+1),MATCH(F$1,[2]stages!$2:$2,0)-MATCH($D$1,[2]stages!$2:$2,0)+1,FALSE)</f>
        <v>【初級】ミクエキスポ</v>
      </c>
      <c r="G15" s="96">
        <v>2</v>
      </c>
      <c r="H15" s="15" t="str">
        <f t="shared" si="2"/>
        <v>39005_1-2</v>
      </c>
      <c r="I15" s="4">
        <f ca="1">VLOOKUP($H15,OFFSET(floors!$A$1,0,0,COUNTA(floors!$A:$A),MATCH(I$1,floors!$1:$1,0)-MATCH($H$1,floors!$1:$1,0)+1),MATCH(I$1,floors!$1:$1,0)-MATCH($H$1,floors!$1:$1,0)+1,FALSE)</f>
        <v>45</v>
      </c>
      <c r="J15" s="4">
        <f ca="1">VLOOKUP($H15,OFFSET(floors!$A$1,0,0,COUNTA(floors!$A:$A),MATCH(J$1,floors!$1:$1,0)-MATCH($H$1,floors!$1:$1,0)+1),MATCH(J$1,floors!$1:$1,0)-MATCH($H$1,floors!$1:$1,0)+1,FALSE)</f>
        <v>45</v>
      </c>
      <c r="K15" s="38" t="s">
        <v>53</v>
      </c>
      <c r="L15" s="20">
        <v>27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パトライン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machine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13</v>
      </c>
      <c r="S15" s="25">
        <v>1</v>
      </c>
      <c r="T15" s="25">
        <v>0.6</v>
      </c>
      <c r="U15" s="5">
        <v>0</v>
      </c>
      <c r="V15" s="4" t="e">
        <f ca="1">VLOOKUP($W15,OFFSET(enemy_skill_sets!$B$1,0,0,COUNTA(enemy_skill_sets!$B:$B),MATCH(M$1,enemy_skill_sets!$1:$1,0)-MATCH($W$1,enemy_skill_sets!$1:$1,0)+2),MATCH(M$1,enemy_skill_sets!$1:$1,0)-MATCH($W$1,enemy_skill_sets!$1:$1,0)+2,FALSE)</f>
        <v>#N/A</v>
      </c>
      <c r="W15" s="4">
        <f ca="1">VLOOKUP($L15,OFFSET([3]enemies!$A$1,0,0,COUNTA([3]enemies!$A:$A),MATCH(W$1,[3]enemies!$1:$1,0)-MATCH($L$1,[3]enemies!$1:$1,0)+1),MATCH(W$1,[3]enemies!$1:$1,0)-MATCH($L$1,[3]enemies!$1:$1,0)+1,FALSE)</f>
        <v>0</v>
      </c>
      <c r="X15" s="6">
        <v>0</v>
      </c>
      <c r="Y15" s="6">
        <v>100</v>
      </c>
      <c r="Z15" s="6">
        <v>0</v>
      </c>
      <c r="AA15" s="110">
        <v>1</v>
      </c>
      <c r="AB15" s="24">
        <f t="shared" si="3"/>
        <v>27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1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Drop1N</v>
      </c>
      <c r="AF15" s="7">
        <v>1</v>
      </c>
      <c r="AG15" s="24">
        <f t="shared" ca="1" si="4"/>
        <v>1</v>
      </c>
      <c r="AH15" s="8">
        <v>20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 x14ac:dyDescent="0.15">
      <c r="A16" s="16" t="str">
        <f t="shared" si="0"/>
        <v>39005_1-2/17&lt;lv13&gt;s2</v>
      </c>
      <c r="B16" s="22">
        <v>39005</v>
      </c>
      <c r="C16" s="21">
        <v>1</v>
      </c>
      <c r="D16" s="2" t="str">
        <f t="shared" si="1"/>
        <v>39005_1</v>
      </c>
      <c r="E16" s="4" t="str">
        <f ca="1">VLOOKUP($B16,OFFSET([2]quests!$A$1,0,0,COUNTA([2]quests!$A:$A),MATCH(E$1,[2]quests!$1:$1,0)-MATCH($B$1,[2]quests!$1:$1,0)+1),MATCH(E$1,[2]quests!$1:$1,0)-MATCH($B$1,[2]quests!$1:$1,0)+1,FALSE)</f>
        <v xml:space="preserve">ミクエキスポ </v>
      </c>
      <c r="F16" s="4" t="str">
        <f ca="1">VLOOKUP($D16,OFFSET([2]stages!$A$1,0,0,COUNTA([2]stages!$A:$A),MATCH(F$1,[2]stages!$2:$2,0)-MATCH($D$1,[2]stages!$2:$2,0)+1),MATCH(F$1,[2]stages!$2:$2,0)-MATCH($D$1,[2]stages!$2:$2,0)+1,FALSE)</f>
        <v>【初級】ミクエキスポ</v>
      </c>
      <c r="G16" s="96">
        <v>2</v>
      </c>
      <c r="H16" s="15" t="str">
        <f t="shared" si="2"/>
        <v>39005_1-2</v>
      </c>
      <c r="I16" s="4">
        <f ca="1">VLOOKUP($H16,OFFSET(floors!$A$1,0,0,COUNTA(floors!$A:$A),MATCH(I$1,floors!$1:$1,0)-MATCH($H$1,floors!$1:$1,0)+1),MATCH(I$1,floors!$1:$1,0)-MATCH($H$1,floors!$1:$1,0)+1,FALSE)</f>
        <v>45</v>
      </c>
      <c r="J16" s="4">
        <f ca="1">VLOOKUP($H16,OFFSET(floors!$A$1,0,0,COUNTA(floors!$A:$A),MATCH(J$1,floors!$1:$1,0)-MATCH($H$1,floors!$1:$1,0)+1),MATCH(J$1,floors!$1:$1,0)-MATCH($H$1,floors!$1:$1,0)+1,FALSE)</f>
        <v>45</v>
      </c>
      <c r="K16" s="38" t="s">
        <v>53</v>
      </c>
      <c r="L16" s="20">
        <v>17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リム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Drop1W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13</v>
      </c>
      <c r="S16" s="25">
        <v>1</v>
      </c>
      <c r="T16" s="25">
        <v>0.6</v>
      </c>
      <c r="U16" s="5">
        <v>0</v>
      </c>
      <c r="V16" s="4" t="str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" s="4">
        <f ca="1">VLOOKUP($L16,OFFSET([3]enemies!$A$1,0,0,COUNTA([3]enemies!$A:$A),MATCH(W$1,[3]enemies!$1:$1,0)-MATCH($L$1,[3]enemies!$1:$1,0)+1),MATCH(W$1,[3]enemies!$1:$1,0)-MATCH($L$1,[3]enemies!$1:$1,0)+1,FALSE)</f>
        <v>0</v>
      </c>
      <c r="X16" s="6">
        <v>0</v>
      </c>
      <c r="Y16" s="6">
        <v>100</v>
      </c>
      <c r="Z16" s="6">
        <v>0</v>
      </c>
      <c r="AA16" s="110">
        <v>2</v>
      </c>
      <c r="AB16" s="24">
        <f t="shared" si="3"/>
        <v>17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リム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1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Drop1W</v>
      </c>
      <c r="AF16" s="7">
        <v>1</v>
      </c>
      <c r="AG16" s="24">
        <f t="shared" ca="1" si="4"/>
        <v>1</v>
      </c>
      <c r="AH16" s="8">
        <v>20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 x14ac:dyDescent="0.15">
      <c r="A17" s="16" t="str">
        <f t="shared" si="0"/>
        <v>39005_1-2/13&lt;lv13&gt;s2</v>
      </c>
      <c r="B17" s="22">
        <v>39005</v>
      </c>
      <c r="C17" s="21">
        <v>1</v>
      </c>
      <c r="D17" s="2" t="str">
        <f t="shared" si="1"/>
        <v>39005_1</v>
      </c>
      <c r="E17" s="4" t="str">
        <f ca="1">VLOOKUP($B17,OFFSET([2]quests!$A$1,0,0,COUNTA([2]quests!$A:$A),MATCH(E$1,[2]quests!$1:$1,0)-MATCH($B$1,[2]quests!$1:$1,0)+1),MATCH(E$1,[2]quests!$1:$1,0)-MATCH($B$1,[2]quests!$1:$1,0)+1,FALSE)</f>
        <v xml:space="preserve">ミクエキスポ </v>
      </c>
      <c r="F17" s="4" t="str">
        <f ca="1">VLOOKUP($D17,OFFSET([2]stages!$A$1,0,0,COUNTA([2]stages!$A:$A),MATCH(F$1,[2]stages!$2:$2,0)-MATCH($D$1,[2]stages!$2:$2,0)+1),MATCH(F$1,[2]stages!$2:$2,0)-MATCH($D$1,[2]stages!$2:$2,0)+1,FALSE)</f>
        <v>【初級】ミクエキスポ</v>
      </c>
      <c r="G17" s="96">
        <v>2</v>
      </c>
      <c r="H17" s="15" t="str">
        <f t="shared" si="2"/>
        <v>39005_1-2</v>
      </c>
      <c r="I17" s="4">
        <f ca="1">VLOOKUP($H17,OFFSET(floors!$A$1,0,0,COUNTA(floors!$A:$A),MATCH(I$1,floors!$1:$1,0)-MATCH($H$1,floors!$1:$1,0)+1),MATCH(I$1,floors!$1:$1,0)-MATCH($H$1,floors!$1:$1,0)+1,FALSE)</f>
        <v>45</v>
      </c>
      <c r="J17" s="4">
        <f ca="1">VLOOKUP($H17,OFFSET(floors!$A$1,0,0,COUNTA(floors!$A:$A),MATCH(J$1,floors!$1:$1,0)-MATCH($H$1,floors!$1:$1,0)+1),MATCH(J$1,floors!$1:$1,0)-MATCH($H$1,floors!$1:$1,0)+1,FALSE)</f>
        <v>45</v>
      </c>
      <c r="K17" s="38" t="s">
        <v>53</v>
      </c>
      <c r="L17" s="20">
        <v>13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ミミ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13</v>
      </c>
      <c r="S17" s="25">
        <v>1</v>
      </c>
      <c r="T17" s="25">
        <v>0.4</v>
      </c>
      <c r="U17" s="5">
        <v>0</v>
      </c>
      <c r="V17" s="4" t="e">
        <f ca="1">VLOOKUP($W17,OFFSET(enemy_skill_sets!$B$1,0,0,COUNTA(enemy_skill_sets!$B:$B),MATCH(M$1,enemy_skill_sets!$1:$1,0)-MATCH($W$1,enemy_skill_sets!$1:$1,0)+2),MATCH(M$1,enemy_skill_sets!$1:$1,0)-MATCH($W$1,enemy_skill_sets!$1:$1,0)+2,FALSE)</f>
        <v>#N/A</v>
      </c>
      <c r="W17" s="4">
        <f ca="1">VLOOKUP($L17,OFFSET([3]enemies!$A$1,0,0,COUNTA([3]enemies!$A:$A),MATCH(W$1,[3]enemies!$1:$1,0)-MATCH($L$1,[3]enemies!$1:$1,0)+1),MATCH(W$1,[3]enemies!$1:$1,0)-MATCH($L$1,[3]enemies!$1:$1,0)+1,FALSE)</f>
        <v>0</v>
      </c>
      <c r="X17" s="6">
        <v>0</v>
      </c>
      <c r="Y17" s="6">
        <v>100</v>
      </c>
      <c r="Z17" s="6">
        <v>0</v>
      </c>
      <c r="AA17" s="110">
        <v>2</v>
      </c>
      <c r="AB17" s="24">
        <f t="shared" si="3"/>
        <v>13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ミミ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1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Drop1W</v>
      </c>
      <c r="AF17" s="7">
        <v>1</v>
      </c>
      <c r="AG17" s="24">
        <f t="shared" ca="1" si="4"/>
        <v>1</v>
      </c>
      <c r="AH17" s="8">
        <v>20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  <row r="18" spans="1:40" ht="21" customHeight="1" x14ac:dyDescent="0.15">
      <c r="A18" s="16" t="str">
        <f t="shared" si="0"/>
        <v>39005_1-2/79&lt;lv13&gt;s2</v>
      </c>
      <c r="B18" s="22">
        <v>39005</v>
      </c>
      <c r="C18" s="21">
        <v>1</v>
      </c>
      <c r="D18" s="2" t="str">
        <f t="shared" si="1"/>
        <v>39005_1</v>
      </c>
      <c r="E18" s="4" t="str">
        <f ca="1">VLOOKUP($B18,OFFSET([2]quests!$A$1,0,0,COUNTA([2]quests!$A:$A),MATCH(E$1,[2]quests!$1:$1,0)-MATCH($B$1,[2]quests!$1:$1,0)+1),MATCH(E$1,[2]quests!$1:$1,0)-MATCH($B$1,[2]quests!$1:$1,0)+1,FALSE)</f>
        <v xml:space="preserve">ミクエキスポ </v>
      </c>
      <c r="F18" s="4" t="str">
        <f ca="1">VLOOKUP($D18,OFFSET([2]stages!$A$1,0,0,COUNTA([2]stages!$A:$A),MATCH(F$1,[2]stages!$2:$2,0)-MATCH($D$1,[2]stages!$2:$2,0)+1),MATCH(F$1,[2]stages!$2:$2,0)-MATCH($D$1,[2]stages!$2:$2,0)+1,FALSE)</f>
        <v>【初級】ミクエキスポ</v>
      </c>
      <c r="G18" s="96">
        <v>2</v>
      </c>
      <c r="H18" s="15" t="str">
        <f t="shared" si="2"/>
        <v>39005_1-2</v>
      </c>
      <c r="I18" s="4">
        <f ca="1">VLOOKUP($H18,OFFSET(floors!$A$1,0,0,COUNTA(floors!$A:$A),MATCH(I$1,floors!$1:$1,0)-MATCH($H$1,floors!$1:$1,0)+1),MATCH(I$1,floors!$1:$1,0)-MATCH($H$1,floors!$1:$1,0)+1,FALSE)</f>
        <v>45</v>
      </c>
      <c r="J18" s="4">
        <f ca="1">VLOOKUP($H18,OFFSET(floors!$A$1,0,0,COUNTA(floors!$A:$A),MATCH(J$1,floors!$1:$1,0)-MATCH($H$1,floors!$1:$1,0)+1),MATCH(J$1,floors!$1:$1,0)-MATCH($H$1,floors!$1:$1,0)+1,FALSE)</f>
        <v>45</v>
      </c>
      <c r="K18" s="38" t="s">
        <v>53</v>
      </c>
      <c r="L18" s="20">
        <v>79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ハッピー100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DropWizW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17">
        <f ca="1">VLOOKUP($L18,OFFSET([3]enemies!$A$1,0,0,COUNTA([3]enemies!$A:$A),MATCH(Q$1,[3]enemies!$1:$1,0)-MATCH($L$1,[3]enemies!$1:$1,0)+1),MATCH(Q$1,[3]enemies!$1:$1,0)-MATCH($L$1,[3]enemies!$1:$1,0)+1,FALSE)</f>
        <v>20</v>
      </c>
      <c r="R18" s="5">
        <v>13</v>
      </c>
      <c r="S18" s="25">
        <v>2</v>
      </c>
      <c r="T18" s="25">
        <v>1</v>
      </c>
      <c r="U18" s="5">
        <v>0</v>
      </c>
      <c r="V18" s="4" t="str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とても幸せそうだ</v>
      </c>
      <c r="W18" s="4">
        <f ca="1">VLOOKUP($L18,OFFSET([3]enemies!$A$1,0,0,COUNTA([3]enemies!$A:$A),MATCH(W$1,[3]enemies!$1:$1,0)-MATCH($L$1,[3]enemies!$1:$1,0)+1),MATCH(W$1,[3]enemies!$1:$1,0)-MATCH($L$1,[3]enemies!$1:$1,0)+1,FALSE)</f>
        <v>79</v>
      </c>
      <c r="X18" s="6">
        <v>0</v>
      </c>
      <c r="Y18" s="6">
        <v>30</v>
      </c>
      <c r="Z18" s="6">
        <v>1</v>
      </c>
      <c r="AA18" s="17">
        <v>2</v>
      </c>
      <c r="AB18" s="24">
        <f t="shared" si="3"/>
        <v>79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ハッピー100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3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8" s="7">
        <v>1</v>
      </c>
      <c r="AG18" s="24">
        <f t="shared" ca="1" si="4"/>
        <v>3</v>
      </c>
      <c r="AH18" s="8">
        <v>20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21" customHeight="1" x14ac:dyDescent="0.15">
      <c r="A19" s="16" t="str">
        <f t="shared" si="0"/>
        <v>39005_1-2/83&lt;lv13&gt;s2</v>
      </c>
      <c r="B19" s="22">
        <v>39005</v>
      </c>
      <c r="C19" s="21">
        <v>1</v>
      </c>
      <c r="D19" s="2" t="str">
        <f t="shared" si="1"/>
        <v>39005_1</v>
      </c>
      <c r="E19" s="4" t="str">
        <f ca="1">VLOOKUP($B19,OFFSET([2]quests!$A$1,0,0,COUNTA([2]quests!$A:$A),MATCH(E$1,[2]quests!$1:$1,0)-MATCH($B$1,[2]quests!$1:$1,0)+1),MATCH(E$1,[2]quests!$1:$1,0)-MATCH($B$1,[2]quests!$1:$1,0)+1,FALSE)</f>
        <v xml:space="preserve">ミクエキスポ </v>
      </c>
      <c r="F19" s="4" t="str">
        <f ca="1">VLOOKUP($D19,OFFSET([2]stages!$A$1,0,0,COUNTA([2]stages!$A:$A),MATCH(F$1,[2]stages!$2:$2,0)-MATCH($D$1,[2]stages!$2:$2,0)+1),MATCH(F$1,[2]stages!$2:$2,0)-MATCH($D$1,[2]stages!$2:$2,0)+1,FALSE)</f>
        <v>【初級】ミクエキスポ</v>
      </c>
      <c r="G19" s="96">
        <v>2</v>
      </c>
      <c r="H19" s="15" t="str">
        <f t="shared" si="2"/>
        <v>39005_1-2</v>
      </c>
      <c r="I19" s="4">
        <f ca="1">VLOOKUP($H19,OFFSET(floors!$A$1,0,0,COUNTA(floors!$A:$A),MATCH(I$1,floors!$1:$1,0)-MATCH($H$1,floors!$1:$1,0)+1),MATCH(I$1,floors!$1:$1,0)-MATCH($H$1,floors!$1:$1,0)+1,FALSE)</f>
        <v>45</v>
      </c>
      <c r="J19" s="4">
        <f ca="1">VLOOKUP($H19,OFFSET(floors!$A$1,0,0,COUNTA(floors!$A:$A),MATCH(J$1,floors!$1:$1,0)-MATCH($H$1,floors!$1:$1,0)+1),MATCH(J$1,floors!$1:$1,0)-MATCH($H$1,floors!$1:$1,0)+1,FALSE)</f>
        <v>45</v>
      </c>
      <c r="K19" s="38" t="s">
        <v>53</v>
      </c>
      <c r="L19" s="20">
        <v>83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拡散性ニムダ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DropWizW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7">
        <f ca="1">VLOOKUP($L19,OFFSET([3]enemies!$A$1,0,0,COUNTA([3]enemies!$A:$A),MATCH(Q$1,[3]enemies!$1:$1,0)-MATCH($L$1,[3]enemies!$1:$1,0)+1),MATCH(Q$1,[3]enemies!$1:$1,0)-MATCH($L$1,[3]enemies!$1:$1,0)+1,FALSE)</f>
        <v>20</v>
      </c>
      <c r="R19" s="5">
        <v>13</v>
      </c>
      <c r="S19" s="25">
        <v>2</v>
      </c>
      <c r="T19" s="25">
        <v>1</v>
      </c>
      <c r="U19" s="5">
        <v>0</v>
      </c>
      <c r="V19" s="4" t="e">
        <f ca="1">VLOOKUP($W19,OFFSET(enemy_skill_sets!$B$1,0,0,COUNTA(enemy_skill_sets!$B:$B),MATCH(M$1,enemy_skill_sets!$1:$1,0)-MATCH($W$1,enemy_skill_sets!$1:$1,0)+2),MATCH(M$1,enemy_skill_sets!$1:$1,0)-MATCH($W$1,enemy_skill_sets!$1:$1,0)+2,FALSE)</f>
        <v>#N/A</v>
      </c>
      <c r="W19" s="4">
        <f ca="1">VLOOKUP($L19,OFFSET([3]enemies!$A$1,0,0,COUNTA([3]enemies!$A:$A),MATCH(W$1,[3]enemies!$1:$1,0)-MATCH($L$1,[3]enemies!$1:$1,0)+1),MATCH(W$1,[3]enemies!$1:$1,0)-MATCH($L$1,[3]enemies!$1:$1,0)+1,FALSE)</f>
        <v>83</v>
      </c>
      <c r="X19" s="6">
        <v>0</v>
      </c>
      <c r="Y19" s="6">
        <v>30</v>
      </c>
      <c r="Z19" s="6">
        <v>1</v>
      </c>
      <c r="AA19" s="17">
        <v>2</v>
      </c>
      <c r="AB19" s="24">
        <f t="shared" si="3"/>
        <v>83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拡散性ニムダ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3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9" s="7">
        <v>1</v>
      </c>
      <c r="AG19" s="24">
        <f t="shared" ca="1" si="4"/>
        <v>3</v>
      </c>
      <c r="AH19" s="8">
        <v>20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  <row r="20" spans="1:40" ht="21" customHeight="1" x14ac:dyDescent="0.15">
      <c r="A20" s="16" t="str">
        <f t="shared" si="0"/>
        <v>39005_1-3/8029&lt;lv15&gt;s2</v>
      </c>
      <c r="B20" s="22">
        <v>39005</v>
      </c>
      <c r="C20" s="21">
        <v>1</v>
      </c>
      <c r="D20" s="2" t="str">
        <f t="shared" si="1"/>
        <v>39005_1</v>
      </c>
      <c r="E20" s="4" t="str">
        <f ca="1">VLOOKUP($B20,OFFSET([2]quests!$A$1,0,0,COUNTA([2]quests!$A:$A),MATCH(E$1,[2]quests!$1:$1,0)-MATCH($B$1,[2]quests!$1:$1,0)+1),MATCH(E$1,[2]quests!$1:$1,0)-MATCH($B$1,[2]quests!$1:$1,0)+1,FALSE)</f>
        <v xml:space="preserve">ミクエキスポ </v>
      </c>
      <c r="F20" s="4" t="str">
        <f ca="1">VLOOKUP($D20,OFFSET([2]stages!$A$1,0,0,COUNTA([2]stages!$A:$A),MATCH(F$1,[2]stages!$2:$2,0)-MATCH($D$1,[2]stages!$2:$2,0)+1),MATCH(F$1,[2]stages!$2:$2,0)-MATCH($D$1,[2]stages!$2:$2,0)+1,FALSE)</f>
        <v>【初級】ミクエキスポ</v>
      </c>
      <c r="G20" s="97">
        <v>3</v>
      </c>
      <c r="H20" s="15" t="str">
        <f t="shared" si="2"/>
        <v>39005_1-3</v>
      </c>
      <c r="I20" s="4">
        <f ca="1">VLOOKUP($H20,OFFSET(floors!$A$1,0,0,COUNTA(floors!$A:$A),MATCH(I$1,floors!$1:$1,0)-MATCH($H$1,floors!$1:$1,0)+1),MATCH(I$1,floors!$1:$1,0)-MATCH($H$1,floors!$1:$1,0)+1,FALSE)</f>
        <v>30</v>
      </c>
      <c r="J20" s="4">
        <f ca="1">VLOOKUP($H20,OFFSET(floors!$A$1,0,0,COUNTA(floors!$A:$A),MATCH(J$1,floors!$1:$1,0)-MATCH($H$1,floors!$1:$1,0)+1),MATCH(J$1,floors!$1:$1,0)-MATCH($H$1,floors!$1:$1,0)+1,FALSE)</f>
        <v>30</v>
      </c>
      <c r="K20" s="38" t="s">
        <v>53</v>
      </c>
      <c r="L20" s="20">
        <v>8029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CO04_ EV01_R4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Drop2N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7">
        <f ca="1">VLOOKUP($L20,OFFSET([3]enemies!$A$1,0,0,COUNTA([3]enemies!$A:$A),MATCH(Q$1,[3]enemies!$1:$1,0)-MATCH($L$1,[3]enemies!$1:$1,0)+1),MATCH(Q$1,[3]enemies!$1:$1,0)-MATCH($L$1,[3]enemies!$1:$1,0)+1,FALSE)</f>
        <v>20</v>
      </c>
      <c r="R20" s="5">
        <v>15</v>
      </c>
      <c r="S20" s="25">
        <v>1.9</v>
      </c>
      <c r="T20" s="25">
        <v>1</v>
      </c>
      <c r="U20" s="5">
        <v>0</v>
      </c>
      <c r="V20" s="4" t="str">
        <f ca="1">VLOOKUP($W20,OFFSET(enemy_skill_sets!$B$1,0,0,COUNTA(enemy_skill_sets!$B:$B),MATCH(M$1,enemy_skill_sets!$1:$1,0)-MATCH($W$1,enemy_skill_sets!$1:$1,0)+2),MATCH(M$1,enemy_skill_sets!$1:$1,0)-MATCH($W$1,enemy_skill_sets!$1:$1,0)+2,FALSE)</f>
        <v>1ターン防御力UP</v>
      </c>
      <c r="W20" s="98">
        <v>39005007</v>
      </c>
      <c r="X20" s="6">
        <v>1</v>
      </c>
      <c r="Y20" s="6">
        <v>100</v>
      </c>
      <c r="Z20" s="6">
        <v>1</v>
      </c>
      <c r="AA20" s="17">
        <v>2</v>
      </c>
      <c r="AB20" s="24">
        <f t="shared" si="3"/>
        <v>8029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CO04_ EV01_R4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4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Drop2N</v>
      </c>
      <c r="AF20" s="7">
        <v>1</v>
      </c>
      <c r="AG20" s="24">
        <f t="shared" ca="1" si="4"/>
        <v>4</v>
      </c>
      <c r="AH20" s="131">
        <v>10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9">
        <v>1</v>
      </c>
    </row>
    <row r="21" spans="1:40" ht="21" customHeight="1" x14ac:dyDescent="0.15">
      <c r="A21" s="16" t="str">
        <f t="shared" ref="A21:A87" si="5">B21&amp;"_"&amp;C21&amp;"-"&amp;G21&amp;"/"&amp;L21&amp;"&lt;lv"&amp;R21&amp;"&gt;s"&amp;AA21</f>
        <v>39005_2-1/1&lt;lv20&gt;s1</v>
      </c>
      <c r="B21" s="22">
        <v>39005</v>
      </c>
      <c r="C21" s="21">
        <v>2</v>
      </c>
      <c r="D21" s="2" t="str">
        <f t="shared" ref="D21:D87" si="6">B21&amp;"_"&amp;C21</f>
        <v>39005_2</v>
      </c>
      <c r="E21" s="4" t="str">
        <f ca="1">VLOOKUP($B21,OFFSET([2]quests!$A$1,0,0,COUNTA([2]quests!$A:$A),MATCH(E$1,[2]quests!$1:$1,0)-MATCH($B$1,[2]quests!$1:$1,0)+1),MATCH(E$1,[2]quests!$1:$1,0)-MATCH($B$1,[2]quests!$1:$1,0)+1,FALSE)</f>
        <v xml:space="preserve">ミクエキスポ </v>
      </c>
      <c r="F21" s="4" t="str">
        <f ca="1">VLOOKUP($D21,OFFSET([2]stages!$A$1,0,0,COUNTA([2]stages!$A:$A),MATCH(F$1,[2]stages!$2:$2,0)-MATCH($D$1,[2]stages!$2:$2,0)+1),MATCH(F$1,[2]stages!$2:$2,0)-MATCH($D$1,[2]stages!$2:$2,0)+1,FALSE)</f>
        <v>【中級】ミクエキスポ</v>
      </c>
      <c r="G21" s="94">
        <v>1</v>
      </c>
      <c r="H21" s="15" t="str">
        <f t="shared" ref="H21:H87" si="7">B21&amp;"_"&amp;C21&amp;"-"&amp;G21</f>
        <v>39005_2-1</v>
      </c>
      <c r="I21" s="4">
        <f ca="1">VLOOKUP($H21,OFFSET(floors!$A$1,0,0,COUNTA(floors!$A:$A),MATCH(I$1,floors!$1:$1,0)-MATCH($H$1,floors!$1:$1,0)+1),MATCH(I$1,floors!$1:$1,0)-MATCH($H$1,floors!$1:$1,0)+1,FALSE)</f>
        <v>30</v>
      </c>
      <c r="J21" s="4">
        <f ca="1">VLOOKUP($H21,OFFSET(floors!$A$1,0,0,COUNTA(floors!$A:$A),MATCH(J$1,floors!$1:$1,0)-MATCH($H$1,floors!$1:$1,0)+1),MATCH(J$1,floors!$1:$1,0)-MATCH($H$1,floors!$1:$1,0)+1,FALSE)</f>
        <v>30</v>
      </c>
      <c r="K21" s="38" t="s">
        <v>53</v>
      </c>
      <c r="L21" s="20">
        <v>1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ジェリー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red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Drop1T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20</v>
      </c>
      <c r="S21" s="25">
        <v>1.1000000000000001</v>
      </c>
      <c r="T21" s="25">
        <v>0.4</v>
      </c>
      <c r="U21" s="5">
        <v>0</v>
      </c>
      <c r="V21" s="4" t="str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" s="4">
        <f ca="1">VLOOKUP($L21,OFFSET([3]enemies!$A$1,0,0,COUNTA([3]enemies!$A:$A),MATCH(W$1,[3]enemies!$1:$1,0)-MATCH($L$1,[3]enemies!$1:$1,0)+1),MATCH(W$1,[3]enemies!$1:$1,0)-MATCH($L$1,[3]enemies!$1:$1,0)+1,FALSE)</f>
        <v>0</v>
      </c>
      <c r="X21" s="6">
        <v>0</v>
      </c>
      <c r="Y21" s="6">
        <v>100</v>
      </c>
      <c r="Z21" s="6">
        <v>0</v>
      </c>
      <c r="AA21" s="17">
        <v>1</v>
      </c>
      <c r="AB21" s="24">
        <f t="shared" ref="AB21:AB87" si="8">L21</f>
        <v>1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1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Drop1T</v>
      </c>
      <c r="AF21" s="7">
        <v>1</v>
      </c>
      <c r="AG21" s="24">
        <f t="shared" ref="AG21:AG87" ca="1" si="9">AD21</f>
        <v>1</v>
      </c>
      <c r="AH21" s="8">
        <v>20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9">
        <v>1</v>
      </c>
    </row>
    <row r="22" spans="1:40" ht="21" customHeight="1" x14ac:dyDescent="0.15">
      <c r="A22" s="16" t="str">
        <f t="shared" si="5"/>
        <v>39005_2-1/3&lt;lv20&gt;s2</v>
      </c>
      <c r="B22" s="22">
        <v>39005</v>
      </c>
      <c r="C22" s="21">
        <v>2</v>
      </c>
      <c r="D22" s="2" t="str">
        <f t="shared" si="6"/>
        <v>39005_2</v>
      </c>
      <c r="E22" s="4" t="str">
        <f ca="1">VLOOKUP($B22,OFFSET([2]quests!$A$1,0,0,COUNTA([2]quests!$A:$A),MATCH(E$1,[2]quests!$1:$1,0)-MATCH($B$1,[2]quests!$1:$1,0)+1),MATCH(E$1,[2]quests!$1:$1,0)-MATCH($B$1,[2]quests!$1:$1,0)+1,FALSE)</f>
        <v xml:space="preserve">ミクエキスポ </v>
      </c>
      <c r="F22" s="4" t="str">
        <f ca="1">VLOOKUP($D22,OFFSET([2]stages!$A$1,0,0,COUNTA([2]stages!$A:$A),MATCH(F$1,[2]stages!$2:$2,0)-MATCH($D$1,[2]stages!$2:$2,0)+1),MATCH(F$1,[2]stages!$2:$2,0)-MATCH($D$1,[2]stages!$2:$2,0)+1,FALSE)</f>
        <v>【中級】ミクエキスポ</v>
      </c>
      <c r="G22" s="94">
        <v>1</v>
      </c>
      <c r="H22" s="15" t="str">
        <f t="shared" si="7"/>
        <v>39005_2-1</v>
      </c>
      <c r="I22" s="4">
        <f ca="1">VLOOKUP($H22,OFFSET(floors!$A$1,0,0,COUNTA(floors!$A:$A),MATCH(I$1,floors!$1:$1,0)-MATCH($H$1,floors!$1:$1,0)+1),MATCH(I$1,floors!$1:$1,0)-MATCH($H$1,floors!$1:$1,0)+1,FALSE)</f>
        <v>30</v>
      </c>
      <c r="J22" s="4">
        <f ca="1">VLOOKUP($H22,OFFSET(floors!$A$1,0,0,COUNTA(floors!$A:$A),MATCH(J$1,floors!$1:$1,0)-MATCH($H$1,floors!$1:$1,0)+1),MATCH(J$1,floors!$1:$1,0)-MATCH($H$1,floors!$1:$1,0)+1,FALSE)</f>
        <v>30</v>
      </c>
      <c r="K22" s="38" t="s">
        <v>53</v>
      </c>
      <c r="L22" s="20">
        <v>3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エージェント ジョー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green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Drop1T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20</v>
      </c>
      <c r="S22" s="25">
        <v>1.2</v>
      </c>
      <c r="T22" s="25">
        <v>0.5</v>
      </c>
      <c r="U22" s="5">
        <v>0</v>
      </c>
      <c r="V22" s="4" t="e">
        <f ca="1">VLOOKUP($W22,OFFSET(enemy_skill_sets!$B$1,0,0,COUNTA(enemy_skill_sets!$B:$B),MATCH(M$1,enemy_skill_sets!$1:$1,0)-MATCH($W$1,enemy_skill_sets!$1:$1,0)+2),MATCH(M$1,enemy_skill_sets!$1:$1,0)-MATCH($W$1,enemy_skill_sets!$1:$1,0)+2,FALSE)</f>
        <v>#N/A</v>
      </c>
      <c r="W22" s="4">
        <f ca="1">VLOOKUP($L22,OFFSET([3]enemies!$A$1,0,0,COUNTA([3]enemies!$A:$A),MATCH(W$1,[3]enemies!$1:$1,0)-MATCH($L$1,[3]enemies!$1:$1,0)+1),MATCH(W$1,[3]enemies!$1:$1,0)-MATCH($L$1,[3]enemies!$1:$1,0)+1,FALSE)</f>
        <v>0</v>
      </c>
      <c r="X22" s="6">
        <v>0</v>
      </c>
      <c r="Y22" s="6">
        <v>100</v>
      </c>
      <c r="Z22" s="6">
        <v>0</v>
      </c>
      <c r="AA22" s="17">
        <v>2</v>
      </c>
      <c r="AB22" s="24">
        <f t="shared" si="8"/>
        <v>3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1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2" s="7">
        <v>1</v>
      </c>
      <c r="AG22" s="24">
        <f t="shared" ca="1" si="9"/>
        <v>1</v>
      </c>
      <c r="AH22" s="8">
        <v>20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9">
        <v>1</v>
      </c>
    </row>
    <row r="23" spans="1:40" ht="21" customHeight="1" x14ac:dyDescent="0.15">
      <c r="A23" s="16" t="str">
        <f t="shared" si="5"/>
        <v>39005_2-1/5&lt;lv20&gt;s3</v>
      </c>
      <c r="B23" s="22">
        <v>39005</v>
      </c>
      <c r="C23" s="21">
        <v>2</v>
      </c>
      <c r="D23" s="2" t="str">
        <f t="shared" si="6"/>
        <v>39005_2</v>
      </c>
      <c r="E23" s="4" t="str">
        <f ca="1">VLOOKUP($B23,OFFSET([2]quests!$A$1,0,0,COUNTA([2]quests!$A:$A),MATCH(E$1,[2]quests!$1:$1,0)-MATCH($B$1,[2]quests!$1:$1,0)+1),MATCH(E$1,[2]quests!$1:$1,0)-MATCH($B$1,[2]quests!$1:$1,0)+1,FALSE)</f>
        <v xml:space="preserve">ミクエキスポ </v>
      </c>
      <c r="F23" s="4" t="str">
        <f ca="1">VLOOKUP($D23,OFFSET([2]stages!$A$1,0,0,COUNTA([2]stages!$A:$A),MATCH(F$1,[2]stages!$2:$2,0)-MATCH($D$1,[2]stages!$2:$2,0)+1),MATCH(F$1,[2]stages!$2:$2,0)-MATCH($D$1,[2]stages!$2:$2,0)+1,FALSE)</f>
        <v>【中級】ミクエキスポ</v>
      </c>
      <c r="G23" s="94">
        <v>1</v>
      </c>
      <c r="H23" s="15" t="str">
        <f t="shared" si="7"/>
        <v>39005_2-1</v>
      </c>
      <c r="I23" s="4">
        <f ca="1">VLOOKUP($H23,OFFSET(floors!$A$1,0,0,COUNTA(floors!$A:$A),MATCH(I$1,floors!$1:$1,0)-MATCH($H$1,floors!$1:$1,0)+1),MATCH(I$1,floors!$1:$1,0)-MATCH($H$1,floors!$1:$1,0)+1,FALSE)</f>
        <v>30</v>
      </c>
      <c r="J23" s="4">
        <f ca="1">VLOOKUP($H23,OFFSET(floors!$A$1,0,0,COUNTA(floors!$A:$A),MATCH(J$1,floors!$1:$1,0)-MATCH($H$1,floors!$1:$1,0)+1),MATCH(J$1,floors!$1:$1,0)-MATCH($H$1,floors!$1:$1,0)+1,FALSE)</f>
        <v>30</v>
      </c>
      <c r="K23" s="38" t="s">
        <v>53</v>
      </c>
      <c r="L23" s="20">
        <v>5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パトドッグ ポチ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blue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Drop1T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20</v>
      </c>
      <c r="S23" s="25">
        <v>1</v>
      </c>
      <c r="T23" s="25">
        <v>0.8</v>
      </c>
      <c r="U23" s="5">
        <v>0</v>
      </c>
      <c r="V23" s="4" t="str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" s="4">
        <f ca="1">VLOOKUP($L23,OFFSET([3]enemies!$A$1,0,0,COUNTA([3]enemies!$A:$A),MATCH(W$1,[3]enemies!$1:$1,0)-MATCH($L$1,[3]enemies!$1:$1,0)+1),MATCH(W$1,[3]enemies!$1:$1,0)-MATCH($L$1,[3]enemies!$1:$1,0)+1,FALSE)</f>
        <v>0</v>
      </c>
      <c r="X23" s="6">
        <v>0</v>
      </c>
      <c r="Y23" s="6">
        <v>100</v>
      </c>
      <c r="Z23" s="6">
        <v>0</v>
      </c>
      <c r="AA23" s="17">
        <v>3</v>
      </c>
      <c r="AB23" s="24">
        <f t="shared" si="8"/>
        <v>5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1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Drop1T</v>
      </c>
      <c r="AF23" s="7">
        <v>1</v>
      </c>
      <c r="AG23" s="24">
        <f t="shared" ca="1" si="9"/>
        <v>1</v>
      </c>
      <c r="AH23" s="8">
        <v>20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9">
        <v>1</v>
      </c>
    </row>
    <row r="24" spans="1:40" ht="21" customHeight="1" x14ac:dyDescent="0.15">
      <c r="A24" s="16" t="str">
        <f t="shared" si="5"/>
        <v>39005_2-1/7&lt;lv20&gt;s2</v>
      </c>
      <c r="B24" s="22">
        <v>39005</v>
      </c>
      <c r="C24" s="21">
        <v>2</v>
      </c>
      <c r="D24" s="2" t="str">
        <f t="shared" si="6"/>
        <v>39005_2</v>
      </c>
      <c r="E24" s="4" t="str">
        <f ca="1">VLOOKUP($B24,OFFSET([2]quests!$A$1,0,0,COUNTA([2]quests!$A:$A),MATCH(E$1,[2]quests!$1:$1,0)-MATCH($B$1,[2]quests!$1:$1,0)+1),MATCH(E$1,[2]quests!$1:$1,0)-MATCH($B$1,[2]quests!$1:$1,0)+1,FALSE)</f>
        <v xml:space="preserve">ミクエキスポ </v>
      </c>
      <c r="F24" s="4" t="str">
        <f ca="1">VLOOKUP($D24,OFFSET([2]stages!$A$1,0,0,COUNTA([2]stages!$A:$A),MATCH(F$1,[2]stages!$2:$2,0)-MATCH($D$1,[2]stages!$2:$2,0)+1),MATCH(F$1,[2]stages!$2:$2,0)-MATCH($D$1,[2]stages!$2:$2,0)+1,FALSE)</f>
        <v>【中級】ミクエキスポ</v>
      </c>
      <c r="G24" s="94">
        <v>1</v>
      </c>
      <c r="H24" s="15" t="str">
        <f t="shared" si="7"/>
        <v>39005_2-1</v>
      </c>
      <c r="I24" s="4">
        <f ca="1">VLOOKUP($H24,OFFSET(floors!$A$1,0,0,COUNTA(floors!$A:$A),MATCH(I$1,floors!$1:$1,0)-MATCH($H$1,floors!$1:$1,0)+1),MATCH(I$1,floors!$1:$1,0)-MATCH($H$1,floors!$1:$1,0)+1,FALSE)</f>
        <v>30</v>
      </c>
      <c r="J24" s="4">
        <f ca="1">VLOOKUP($H24,OFFSET(floors!$A$1,0,0,COUNTA(floors!$A:$A),MATCH(J$1,floors!$1:$1,0)-MATCH($H$1,floors!$1:$1,0)+1),MATCH(J$1,floors!$1:$1,0)-MATCH($H$1,floors!$1:$1,0)+1,FALSE)</f>
        <v>30</v>
      </c>
      <c r="K24" s="38" t="s">
        <v>53</v>
      </c>
      <c r="L24" s="20">
        <v>7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エレキポット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Drop1T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17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20</v>
      </c>
      <c r="S24" s="25">
        <v>1.1000000000000001</v>
      </c>
      <c r="T24" s="25">
        <v>0.4</v>
      </c>
      <c r="U24" s="5">
        <v>0</v>
      </c>
      <c r="V24" s="4" t="e">
        <f ca="1">VLOOKUP($W24,OFFSET(enemy_skill_sets!$B$1,0,0,COUNTA(enemy_skill_sets!$B:$B),MATCH(M$1,enemy_skill_sets!$1:$1,0)-MATCH($W$1,enemy_skill_sets!$1:$1,0)+2),MATCH(M$1,enemy_skill_sets!$1:$1,0)-MATCH($W$1,enemy_skill_sets!$1:$1,0)+2,FALSE)</f>
        <v>#N/A</v>
      </c>
      <c r="W24" s="4">
        <f ca="1">VLOOKUP($L24,OFFSET([3]enemies!$A$1,0,0,COUNTA([3]enemies!$A:$A),MATCH(W$1,[3]enemies!$1:$1,0)-MATCH($L$1,[3]enemies!$1:$1,0)+1),MATCH(W$1,[3]enemies!$1:$1,0)-MATCH($L$1,[3]enemies!$1:$1,0)+1,FALSE)</f>
        <v>0</v>
      </c>
      <c r="X24" s="6">
        <v>0</v>
      </c>
      <c r="Y24" s="6">
        <v>100</v>
      </c>
      <c r="Z24" s="6">
        <v>0</v>
      </c>
      <c r="AA24" s="17">
        <v>2</v>
      </c>
      <c r="AB24" s="24">
        <f t="shared" si="8"/>
        <v>7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1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Drop1T</v>
      </c>
      <c r="AF24" s="7">
        <v>1</v>
      </c>
      <c r="AG24" s="24">
        <f t="shared" ca="1" si="9"/>
        <v>1</v>
      </c>
      <c r="AH24" s="8">
        <v>20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9">
        <v>1</v>
      </c>
    </row>
    <row r="25" spans="1:40" ht="21" customHeight="1" x14ac:dyDescent="0.15">
      <c r="A25" s="16" t="str">
        <f t="shared" si="5"/>
        <v>39005_2-1/15&lt;lv20&gt;s3</v>
      </c>
      <c r="B25" s="22">
        <v>39005</v>
      </c>
      <c r="C25" s="21">
        <v>2</v>
      </c>
      <c r="D25" s="2" t="str">
        <f t="shared" si="6"/>
        <v>39005_2</v>
      </c>
      <c r="E25" s="4" t="str">
        <f ca="1">VLOOKUP($B25,OFFSET([2]quests!$A$1,0,0,COUNTA([2]quests!$A:$A),MATCH(E$1,[2]quests!$1:$1,0)-MATCH($B$1,[2]quests!$1:$1,0)+1),MATCH(E$1,[2]quests!$1:$1,0)-MATCH($B$1,[2]quests!$1:$1,0)+1,FALSE)</f>
        <v xml:space="preserve">ミクエキスポ </v>
      </c>
      <c r="F25" s="4" t="str">
        <f ca="1">VLOOKUP($D25,OFFSET([2]stages!$A$1,0,0,COUNTA([2]stages!$A:$A),MATCH(F$1,[2]stages!$2:$2,0)-MATCH($D$1,[2]stages!$2:$2,0)+1),MATCH(F$1,[2]stages!$2:$2,0)-MATCH($D$1,[2]stages!$2:$2,0)+1,FALSE)</f>
        <v>【中級】ミクエキスポ</v>
      </c>
      <c r="G25" s="94">
        <v>1</v>
      </c>
      <c r="H25" s="15" t="str">
        <f t="shared" si="7"/>
        <v>39005_2-1</v>
      </c>
      <c r="I25" s="4">
        <f ca="1">VLOOKUP($H25,OFFSET(floors!$A$1,0,0,COUNTA(floors!$A:$A),MATCH(I$1,floors!$1:$1,0)-MATCH($H$1,floors!$1:$1,0)+1),MATCH(I$1,floors!$1:$1,0)-MATCH($H$1,floors!$1:$1,0)+1,FALSE)</f>
        <v>30</v>
      </c>
      <c r="J25" s="4">
        <f ca="1">VLOOKUP($H25,OFFSET(floors!$A$1,0,0,COUNTA(floors!$A:$A),MATCH(J$1,floors!$1:$1,0)-MATCH($H$1,floors!$1:$1,0)+1),MATCH(J$1,floors!$1:$1,0)-MATCH($H$1,floors!$1:$1,0)+1,FALSE)</f>
        <v>30</v>
      </c>
      <c r="K25" s="38" t="s">
        <v>53</v>
      </c>
      <c r="L25" s="20">
        <v>15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アカネ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red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Drop1W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human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20</v>
      </c>
      <c r="S25" s="25">
        <v>1.1000000000000001</v>
      </c>
      <c r="T25" s="25">
        <v>0.6</v>
      </c>
      <c r="U25" s="5">
        <v>0</v>
      </c>
      <c r="V25" s="4" t="str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" s="4">
        <f ca="1">VLOOKUP($L25,OFFSET([3]enemies!$A$1,0,0,COUNTA([3]enemies!$A:$A),MATCH(W$1,[3]enemies!$1:$1,0)-MATCH($L$1,[3]enemies!$1:$1,0)+1),MATCH(W$1,[3]enemies!$1:$1,0)-MATCH($L$1,[3]enemies!$1:$1,0)+1,FALSE)</f>
        <v>0</v>
      </c>
      <c r="X25" s="6">
        <v>0</v>
      </c>
      <c r="Y25" s="6">
        <v>100</v>
      </c>
      <c r="Z25" s="6">
        <v>0</v>
      </c>
      <c r="AA25" s="17">
        <v>3</v>
      </c>
      <c r="AB25" s="24">
        <f t="shared" si="8"/>
        <v>15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1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Drop1W</v>
      </c>
      <c r="AF25" s="7">
        <v>1</v>
      </c>
      <c r="AG25" s="24">
        <f t="shared" ca="1" si="9"/>
        <v>1</v>
      </c>
      <c r="AH25" s="8">
        <v>20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69">
        <v>1</v>
      </c>
    </row>
    <row r="26" spans="1:40" ht="21" customHeight="1" x14ac:dyDescent="0.15">
      <c r="A26" s="16" t="str">
        <f t="shared" si="5"/>
        <v>39005_2-1/27&lt;lv20&gt;s1</v>
      </c>
      <c r="B26" s="22">
        <v>39005</v>
      </c>
      <c r="C26" s="21">
        <v>2</v>
      </c>
      <c r="D26" s="2" t="str">
        <f t="shared" si="6"/>
        <v>39005_2</v>
      </c>
      <c r="E26" s="4" t="str">
        <f ca="1">VLOOKUP($B26,OFFSET([2]quests!$A$1,0,0,COUNTA([2]quests!$A:$A),MATCH(E$1,[2]quests!$1:$1,0)-MATCH($B$1,[2]quests!$1:$1,0)+1),MATCH(E$1,[2]quests!$1:$1,0)-MATCH($B$1,[2]quests!$1:$1,0)+1,FALSE)</f>
        <v xml:space="preserve">ミクエキスポ </v>
      </c>
      <c r="F26" s="4" t="str">
        <f ca="1">VLOOKUP($D26,OFFSET([2]stages!$A$1,0,0,COUNTA([2]stages!$A:$A),MATCH(F$1,[2]stages!$2:$2,0)-MATCH($D$1,[2]stages!$2:$2,0)+1),MATCH(F$1,[2]stages!$2:$2,0)-MATCH($D$1,[2]stages!$2:$2,0)+1,FALSE)</f>
        <v>【中級】ミクエキスポ</v>
      </c>
      <c r="G26" s="94">
        <v>1</v>
      </c>
      <c r="H26" s="15" t="str">
        <f t="shared" si="7"/>
        <v>39005_2-1</v>
      </c>
      <c r="I26" s="4">
        <f ca="1">VLOOKUP($H26,OFFSET(floors!$A$1,0,0,COUNTA(floors!$A:$A),MATCH(I$1,floors!$1:$1,0)-MATCH($H$1,floors!$1:$1,0)+1),MATCH(I$1,floors!$1:$1,0)-MATCH($H$1,floors!$1:$1,0)+1,FALSE)</f>
        <v>30</v>
      </c>
      <c r="J26" s="4">
        <f ca="1">VLOOKUP($H26,OFFSET(floors!$A$1,0,0,COUNTA(floors!$A:$A),MATCH(J$1,floors!$1:$1,0)-MATCH($H$1,floors!$1:$1,0)+1),MATCH(J$1,floors!$1:$1,0)-MATCH($H$1,floors!$1:$1,0)+1,FALSE)</f>
        <v>30</v>
      </c>
      <c r="K26" s="38" t="s">
        <v>53</v>
      </c>
      <c r="L26" s="20">
        <v>27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パトライン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green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Drop1N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machine</v>
      </c>
      <c r="Q26" s="17">
        <f ca="1">VLOOKUP($L26,OFFSET([3]enemies!$A$1,0,0,COUNTA([3]enemies!$A:$A),MATCH(Q$1,[3]enemies!$1:$1,0)-MATCH($L$1,[3]enemies!$1:$1,0)+1),MATCH(Q$1,[3]enemies!$1:$1,0)-MATCH($L$1,[3]enemies!$1:$1,0)+1,FALSE)</f>
        <v>15</v>
      </c>
      <c r="R26" s="5">
        <v>20</v>
      </c>
      <c r="S26" s="25">
        <v>1.2</v>
      </c>
      <c r="T26" s="25">
        <v>0.6</v>
      </c>
      <c r="U26" s="5">
        <v>0</v>
      </c>
      <c r="V26" s="4" t="e">
        <f ca="1">VLOOKUP($W26,OFFSET(enemy_skill_sets!$B$1,0,0,COUNTA(enemy_skill_sets!$B:$B),MATCH(M$1,enemy_skill_sets!$1:$1,0)-MATCH($W$1,enemy_skill_sets!$1:$1,0)+2),MATCH(M$1,enemy_skill_sets!$1:$1,0)-MATCH($W$1,enemy_skill_sets!$1:$1,0)+2,FALSE)</f>
        <v>#N/A</v>
      </c>
      <c r="W26" s="4">
        <f ca="1">VLOOKUP($L26,OFFSET([3]enemies!$A$1,0,0,COUNTA([3]enemies!$A:$A),MATCH(W$1,[3]enemies!$1:$1,0)-MATCH($L$1,[3]enemies!$1:$1,0)+1),MATCH(W$1,[3]enemies!$1:$1,0)-MATCH($L$1,[3]enemies!$1:$1,0)+1,FALSE)</f>
        <v>0</v>
      </c>
      <c r="X26" s="6">
        <v>0</v>
      </c>
      <c r="Y26" s="6">
        <v>100</v>
      </c>
      <c r="Z26" s="6">
        <v>0</v>
      </c>
      <c r="AA26" s="17">
        <v>1</v>
      </c>
      <c r="AB26" s="24">
        <f t="shared" si="8"/>
        <v>27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1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Drop1N</v>
      </c>
      <c r="AF26" s="7">
        <v>1</v>
      </c>
      <c r="AG26" s="24">
        <f t="shared" ca="1" si="9"/>
        <v>1</v>
      </c>
      <c r="AH26" s="8">
        <v>20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  <c r="AN26" s="69">
        <v>1</v>
      </c>
    </row>
    <row r="27" spans="1:40" ht="21" customHeight="1" x14ac:dyDescent="0.15">
      <c r="A27" s="16" t="str">
        <f t="shared" si="5"/>
        <v>39005_2-1/17&lt;lv20&gt;s2</v>
      </c>
      <c r="B27" s="22">
        <v>39005</v>
      </c>
      <c r="C27" s="21">
        <v>2</v>
      </c>
      <c r="D27" s="2" t="str">
        <f t="shared" si="6"/>
        <v>39005_2</v>
      </c>
      <c r="E27" s="4" t="str">
        <f ca="1">VLOOKUP($B27,OFFSET([2]quests!$A$1,0,0,COUNTA([2]quests!$A:$A),MATCH(E$1,[2]quests!$1:$1,0)-MATCH($B$1,[2]quests!$1:$1,0)+1),MATCH(E$1,[2]quests!$1:$1,0)-MATCH($B$1,[2]quests!$1:$1,0)+1,FALSE)</f>
        <v xml:space="preserve">ミクエキスポ </v>
      </c>
      <c r="F27" s="4" t="str">
        <f ca="1">VLOOKUP($D27,OFFSET([2]stages!$A$1,0,0,COUNTA([2]stages!$A:$A),MATCH(F$1,[2]stages!$2:$2,0)-MATCH($D$1,[2]stages!$2:$2,0)+1),MATCH(F$1,[2]stages!$2:$2,0)-MATCH($D$1,[2]stages!$2:$2,0)+1,FALSE)</f>
        <v>【中級】ミクエキスポ</v>
      </c>
      <c r="G27" s="94">
        <v>1</v>
      </c>
      <c r="H27" s="15" t="str">
        <f t="shared" si="7"/>
        <v>39005_2-1</v>
      </c>
      <c r="I27" s="4">
        <f ca="1">VLOOKUP($H27,OFFSET(floors!$A$1,0,0,COUNTA(floors!$A:$A),MATCH(I$1,floors!$1:$1,0)-MATCH($H$1,floors!$1:$1,0)+1),MATCH(I$1,floors!$1:$1,0)-MATCH($H$1,floors!$1:$1,0)+1,FALSE)</f>
        <v>30</v>
      </c>
      <c r="J27" s="4">
        <f ca="1">VLOOKUP($H27,OFFSET(floors!$A$1,0,0,COUNTA(floors!$A:$A),MATCH(J$1,floors!$1:$1,0)-MATCH($H$1,floors!$1:$1,0)+1),MATCH(J$1,floors!$1:$1,0)-MATCH($H$1,floors!$1:$1,0)+1,FALSE)</f>
        <v>30</v>
      </c>
      <c r="K27" s="38" t="s">
        <v>53</v>
      </c>
      <c r="L27" s="20">
        <v>17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リム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blue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Drop1W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human</v>
      </c>
      <c r="Q27" s="17">
        <f ca="1">VLOOKUP($L27,OFFSET([3]enemies!$A$1,0,0,COUNTA([3]enemies!$A:$A),MATCH(Q$1,[3]enemies!$1:$1,0)-MATCH($L$1,[3]enemies!$1:$1,0)+1),MATCH(Q$1,[3]enemies!$1:$1,0)-MATCH($L$1,[3]enemies!$1:$1,0)+1,FALSE)</f>
        <v>15</v>
      </c>
      <c r="R27" s="5">
        <v>20</v>
      </c>
      <c r="S27" s="25">
        <v>1</v>
      </c>
      <c r="T27" s="25">
        <v>0.6</v>
      </c>
      <c r="U27" s="5">
        <v>0</v>
      </c>
      <c r="V27" s="4" t="str">
        <f ca="1">VLOOKUP($W27,OFFSET([5]enemy_skill_sets!$B$1,0,0,COUNTA([5]enemy_skill_sets!$B:$B),MATCH(M$1,[5]enemy_skill_sets!$1:$1,0)-MATCH($W$1,[5]enemy_skill_sets!$1:$1,0)+2),MATCH(M$1,[5]enemy_skill_sets!$1:$1,0)-MATCH($W$1,[5]enemy_skill_sets!$1:$1,0)+2,FALSE)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" s="4">
        <f ca="1">VLOOKUP($L27,OFFSET([3]enemies!$A$1,0,0,COUNTA([3]enemies!$A:$A),MATCH(W$1,[3]enemies!$1:$1,0)-MATCH($L$1,[3]enemies!$1:$1,0)+1),MATCH(W$1,[3]enemies!$1:$1,0)-MATCH($L$1,[3]enemies!$1:$1,0)+1,FALSE)</f>
        <v>0</v>
      </c>
      <c r="X27" s="6">
        <v>0</v>
      </c>
      <c r="Y27" s="6">
        <v>100</v>
      </c>
      <c r="Z27" s="6">
        <v>0</v>
      </c>
      <c r="AA27" s="17">
        <v>2</v>
      </c>
      <c r="AB27" s="24">
        <f t="shared" si="8"/>
        <v>17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リム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1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Drop1W</v>
      </c>
      <c r="AF27" s="7">
        <v>1</v>
      </c>
      <c r="AG27" s="24">
        <f t="shared" ca="1" si="9"/>
        <v>1</v>
      </c>
      <c r="AH27" s="8">
        <v>20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  <c r="AN27" s="69">
        <v>1</v>
      </c>
    </row>
    <row r="28" spans="1:40" ht="21" customHeight="1" x14ac:dyDescent="0.15">
      <c r="A28" s="16" t="str">
        <f t="shared" si="5"/>
        <v>39005_2-1/13&lt;lv20&gt;s2</v>
      </c>
      <c r="B28" s="22">
        <v>39005</v>
      </c>
      <c r="C28" s="21">
        <v>2</v>
      </c>
      <c r="D28" s="2" t="str">
        <f t="shared" si="6"/>
        <v>39005_2</v>
      </c>
      <c r="E28" s="4" t="str">
        <f ca="1">VLOOKUP($B28,OFFSET([2]quests!$A$1,0,0,COUNTA([2]quests!$A:$A),MATCH(E$1,[2]quests!$1:$1,0)-MATCH($B$1,[2]quests!$1:$1,0)+1),MATCH(E$1,[2]quests!$1:$1,0)-MATCH($B$1,[2]quests!$1:$1,0)+1,FALSE)</f>
        <v xml:space="preserve">ミクエキスポ </v>
      </c>
      <c r="F28" s="4" t="str">
        <f ca="1">VLOOKUP($D28,OFFSET([2]stages!$A$1,0,0,COUNTA([2]stages!$A:$A),MATCH(F$1,[2]stages!$2:$2,0)-MATCH($D$1,[2]stages!$2:$2,0)+1),MATCH(F$1,[2]stages!$2:$2,0)-MATCH($D$1,[2]stages!$2:$2,0)+1,FALSE)</f>
        <v>【中級】ミクエキスポ</v>
      </c>
      <c r="G28" s="94">
        <v>1</v>
      </c>
      <c r="H28" s="15" t="str">
        <f t="shared" si="7"/>
        <v>39005_2-1</v>
      </c>
      <c r="I28" s="4">
        <f ca="1">VLOOKUP($H28,OFFSET(floors!$A$1,0,0,COUNTA(floors!$A:$A),MATCH(I$1,floors!$1:$1,0)-MATCH($H$1,floors!$1:$1,0)+1),MATCH(I$1,floors!$1:$1,0)-MATCH($H$1,floors!$1:$1,0)+1,FALSE)</f>
        <v>30</v>
      </c>
      <c r="J28" s="4">
        <f ca="1">VLOOKUP($H28,OFFSET(floors!$A$1,0,0,COUNTA(floors!$A:$A),MATCH(J$1,floors!$1:$1,0)-MATCH($H$1,floors!$1:$1,0)+1),MATCH(J$1,floors!$1:$1,0)-MATCH($H$1,floors!$1:$1,0)+1,FALSE)</f>
        <v>30</v>
      </c>
      <c r="K28" s="38" t="s">
        <v>53</v>
      </c>
      <c r="L28" s="20">
        <v>13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ミミ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yellow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Drop1W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animal</v>
      </c>
      <c r="Q28" s="17">
        <f ca="1">VLOOKUP($L28,OFFSET([3]enemies!$A$1,0,0,COUNTA([3]enemies!$A:$A),MATCH(Q$1,[3]enemies!$1:$1,0)-MATCH($L$1,[3]enemies!$1:$1,0)+1),MATCH(Q$1,[3]enemies!$1:$1,0)-MATCH($L$1,[3]enemies!$1:$1,0)+1,FALSE)</f>
        <v>15</v>
      </c>
      <c r="R28" s="5">
        <v>20</v>
      </c>
      <c r="S28" s="25">
        <v>1.1000000000000001</v>
      </c>
      <c r="T28" s="25">
        <v>0.4</v>
      </c>
      <c r="U28" s="5">
        <v>0</v>
      </c>
      <c r="V28" s="4" t="e">
        <f ca="1">VLOOKUP($W28,OFFSET(enemy_skill_sets!$B$1,0,0,COUNTA(enemy_skill_sets!$B:$B),MATCH(M$1,enemy_skill_sets!$1:$1,0)-MATCH($W$1,enemy_skill_sets!$1:$1,0)+2),MATCH(M$1,enemy_skill_sets!$1:$1,0)-MATCH($W$1,enemy_skill_sets!$1:$1,0)+2,FALSE)</f>
        <v>#N/A</v>
      </c>
      <c r="W28" s="4">
        <f ca="1">VLOOKUP($L28,OFFSET([3]enemies!$A$1,0,0,COUNTA([3]enemies!$A:$A),MATCH(W$1,[3]enemies!$1:$1,0)-MATCH($L$1,[3]enemies!$1:$1,0)+1),MATCH(W$1,[3]enemies!$1:$1,0)-MATCH($L$1,[3]enemies!$1:$1,0)+1,FALSE)</f>
        <v>0</v>
      </c>
      <c r="X28" s="6">
        <v>0</v>
      </c>
      <c r="Y28" s="6">
        <v>100</v>
      </c>
      <c r="Z28" s="6">
        <v>0</v>
      </c>
      <c r="AA28" s="17">
        <v>2</v>
      </c>
      <c r="AB28" s="24">
        <f t="shared" si="8"/>
        <v>13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ミミ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1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Drop1W</v>
      </c>
      <c r="AF28" s="7">
        <v>1</v>
      </c>
      <c r="AG28" s="24">
        <f t="shared" ca="1" si="9"/>
        <v>1</v>
      </c>
      <c r="AH28" s="8">
        <v>20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  <c r="AN28" s="69">
        <v>1</v>
      </c>
    </row>
    <row r="29" spans="1:40" ht="21" customHeight="1" x14ac:dyDescent="0.15">
      <c r="A29" s="16" t="str">
        <f t="shared" si="5"/>
        <v>39005_2-2/1&lt;lv25&gt;s1</v>
      </c>
      <c r="B29" s="22">
        <v>39005</v>
      </c>
      <c r="C29" s="21">
        <v>2</v>
      </c>
      <c r="D29" s="2" t="str">
        <f t="shared" si="6"/>
        <v>39005_2</v>
      </c>
      <c r="E29" s="4" t="str">
        <f ca="1">VLOOKUP($B29,OFFSET([2]quests!$A$1,0,0,COUNTA([2]quests!$A:$A),MATCH(E$1,[2]quests!$1:$1,0)-MATCH($B$1,[2]quests!$1:$1,0)+1),MATCH(E$1,[2]quests!$1:$1,0)-MATCH($B$1,[2]quests!$1:$1,0)+1,FALSE)</f>
        <v xml:space="preserve">ミクエキスポ </v>
      </c>
      <c r="F29" s="4" t="str">
        <f ca="1">VLOOKUP($D29,OFFSET([2]stages!$A$1,0,0,COUNTA([2]stages!$A:$A),MATCH(F$1,[2]stages!$2:$2,0)-MATCH($D$1,[2]stages!$2:$2,0)+1),MATCH(F$1,[2]stages!$2:$2,0)-MATCH($D$1,[2]stages!$2:$2,0)+1,FALSE)</f>
        <v>【中級】ミクエキスポ</v>
      </c>
      <c r="G29" s="96">
        <v>2</v>
      </c>
      <c r="H29" s="15" t="str">
        <f t="shared" si="7"/>
        <v>39005_2-2</v>
      </c>
      <c r="I29" s="4">
        <f ca="1">VLOOKUP($H29,OFFSET(floors!$A$1,0,0,COUNTA(floors!$A:$A),MATCH(I$1,floors!$1:$1,0)-MATCH($H$1,floors!$1:$1,0)+1),MATCH(I$1,floors!$1:$1,0)-MATCH($H$1,floors!$1:$1,0)+1,FALSE)</f>
        <v>60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38" t="s">
        <v>53</v>
      </c>
      <c r="L29" s="20">
        <v>1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ジェリー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red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Drop1T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17">
        <f ca="1">VLOOKUP($L29,OFFSET([3]enemies!$A$1,0,0,COUNTA([3]enemies!$A:$A),MATCH(Q$1,[3]enemies!$1:$1,0)-MATCH($L$1,[3]enemies!$1:$1,0)+1),MATCH(Q$1,[3]enemies!$1:$1,0)-MATCH($L$1,[3]enemies!$1:$1,0)+1,FALSE)</f>
        <v>15</v>
      </c>
      <c r="R29" s="5">
        <v>25</v>
      </c>
      <c r="S29" s="25">
        <v>1</v>
      </c>
      <c r="T29" s="25">
        <v>0.4</v>
      </c>
      <c r="U29" s="5">
        <v>0</v>
      </c>
      <c r="V29" s="4" t="str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" s="4">
        <f ca="1">VLOOKUP($L29,OFFSET([3]enemies!$A$1,0,0,COUNTA([3]enemies!$A:$A),MATCH(W$1,[3]enemies!$1:$1,0)-MATCH($L$1,[3]enemies!$1:$1,0)+1),MATCH(W$1,[3]enemies!$1:$1,0)-MATCH($L$1,[3]enemies!$1:$1,0)+1,FALSE)</f>
        <v>0</v>
      </c>
      <c r="X29" s="6">
        <v>0</v>
      </c>
      <c r="Y29" s="6">
        <v>100</v>
      </c>
      <c r="Z29" s="6">
        <v>0</v>
      </c>
      <c r="AA29" s="17">
        <v>1</v>
      </c>
      <c r="AB29" s="24">
        <f t="shared" si="8"/>
        <v>1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1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Drop1T</v>
      </c>
      <c r="AF29" s="7">
        <v>1</v>
      </c>
      <c r="AG29" s="24">
        <f t="shared" ca="1" si="9"/>
        <v>1</v>
      </c>
      <c r="AH29" s="8">
        <v>20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  <c r="AN29" s="69">
        <v>1</v>
      </c>
    </row>
    <row r="30" spans="1:40" ht="21" customHeight="1" x14ac:dyDescent="0.15">
      <c r="A30" s="16" t="str">
        <f t="shared" si="5"/>
        <v>39005_2-2/3&lt;lv25&gt;s2</v>
      </c>
      <c r="B30" s="22">
        <v>39005</v>
      </c>
      <c r="C30" s="21">
        <v>2</v>
      </c>
      <c r="D30" s="2" t="str">
        <f t="shared" si="6"/>
        <v>39005_2</v>
      </c>
      <c r="E30" s="4" t="str">
        <f ca="1">VLOOKUP($B30,OFFSET([2]quests!$A$1,0,0,COUNTA([2]quests!$A:$A),MATCH(E$1,[2]quests!$1:$1,0)-MATCH($B$1,[2]quests!$1:$1,0)+1),MATCH(E$1,[2]quests!$1:$1,0)-MATCH($B$1,[2]quests!$1:$1,0)+1,FALSE)</f>
        <v xml:space="preserve">ミクエキスポ </v>
      </c>
      <c r="F30" s="4" t="str">
        <f ca="1">VLOOKUP($D30,OFFSET([2]stages!$A$1,0,0,COUNTA([2]stages!$A:$A),MATCH(F$1,[2]stages!$2:$2,0)-MATCH($D$1,[2]stages!$2:$2,0)+1),MATCH(F$1,[2]stages!$2:$2,0)-MATCH($D$1,[2]stages!$2:$2,0)+1,FALSE)</f>
        <v>【中級】ミクエキスポ</v>
      </c>
      <c r="G30" s="96">
        <v>2</v>
      </c>
      <c r="H30" s="15" t="str">
        <f t="shared" si="7"/>
        <v>39005_2-2</v>
      </c>
      <c r="I30" s="4">
        <f ca="1">VLOOKUP($H30,OFFSET(floors!$A$1,0,0,COUNTA(floors!$A:$A),MATCH(I$1,floors!$1:$1,0)-MATCH($H$1,floors!$1:$1,0)+1),MATCH(I$1,floors!$1:$1,0)-MATCH($H$1,floors!$1:$1,0)+1,FALSE)</f>
        <v>60</v>
      </c>
      <c r="J30" s="4">
        <f ca="1">VLOOKUP($H30,OFFSET(floors!$A$1,0,0,COUNTA(floors!$A:$A),MATCH(J$1,floors!$1:$1,0)-MATCH($H$1,floors!$1:$1,0)+1),MATCH(J$1,floors!$1:$1,0)-MATCH($H$1,floors!$1:$1,0)+1,FALSE)</f>
        <v>60</v>
      </c>
      <c r="K30" s="38" t="s">
        <v>53</v>
      </c>
      <c r="L30" s="20">
        <v>3</v>
      </c>
      <c r="M30" s="17" t="str">
        <f ca="1">VLOOKUP($L30,OFFSET([3]enemies!$A$1,0,0,COUNTA([3]enemies!$A:$A),MATCH(M$1,[3]enemies!$1:$1,0)-MATCH($L$1,[3]enemies!$1:$1,0)+1),MATCH(M$1,[3]enemies!$1:$1,0)-MATCH($L$1,[3]enemies!$1:$1,0)+1,FALSE)</f>
        <v>エージェント ジョー</v>
      </c>
      <c r="N30" s="17" t="str">
        <f ca="1">VLOOKUP($L30,OFFSET([3]enemies!$A$1,0,0,COUNTA([3]enemies!$A:$A),MATCH(N$1,[3]enemies!$1:$1,0)-MATCH($L$1,[3]enemies!$1:$1,0)+1),MATCH(N$1,[3]enemies!$1:$1,0)-MATCH($L$1,[3]enemies!$1:$1,0)+1,FALSE)</f>
        <v>green</v>
      </c>
      <c r="O30" s="17" t="str">
        <f ca="1">VLOOKUP($L30,OFFSET([4]characters!$A$1,0,0,COUNTA([4]characters!$A:$A),MATCH(O$1,[4]characters!$1:$1,0)-MATCH($L$1,[4]characters!$1:$1,0)+1),MATCH(O$1,[4]characters!$1:$1,0)-MATCH($L$1,[4]characters!$1:$1,0)+1,FALSE)</f>
        <v>Drop1T</v>
      </c>
      <c r="P30" s="17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17">
        <f ca="1">VLOOKUP($L30,OFFSET([3]enemies!$A$1,0,0,COUNTA([3]enemies!$A:$A),MATCH(Q$1,[3]enemies!$1:$1,0)-MATCH($L$1,[3]enemies!$1:$1,0)+1),MATCH(Q$1,[3]enemies!$1:$1,0)-MATCH($L$1,[3]enemies!$1:$1,0)+1,FALSE)</f>
        <v>15</v>
      </c>
      <c r="R30" s="5">
        <v>25</v>
      </c>
      <c r="S30" s="25">
        <v>1</v>
      </c>
      <c r="T30" s="25">
        <v>0.5</v>
      </c>
      <c r="U30" s="5">
        <v>0</v>
      </c>
      <c r="V30" s="4" t="e">
        <f ca="1">VLOOKUP($W30,OFFSET(enemy_skill_sets!$B$1,0,0,COUNTA(enemy_skill_sets!$B:$B),MATCH(M$1,enemy_skill_sets!$1:$1,0)-MATCH($W$1,enemy_skill_sets!$1:$1,0)+2),MATCH(M$1,enemy_skill_sets!$1:$1,0)-MATCH($W$1,enemy_skill_sets!$1:$1,0)+2,FALSE)</f>
        <v>#N/A</v>
      </c>
      <c r="W30" s="4">
        <f ca="1">VLOOKUP($L30,OFFSET([3]enemies!$A$1,0,0,COUNTA([3]enemies!$A:$A),MATCH(W$1,[3]enemies!$1:$1,0)-MATCH($L$1,[3]enemies!$1:$1,0)+1),MATCH(W$1,[3]enemies!$1:$1,0)-MATCH($L$1,[3]enemies!$1:$1,0)+1,FALSE)</f>
        <v>0</v>
      </c>
      <c r="X30" s="6">
        <v>0</v>
      </c>
      <c r="Y30" s="6">
        <v>100</v>
      </c>
      <c r="Z30" s="6">
        <v>0</v>
      </c>
      <c r="AA30" s="17">
        <v>2</v>
      </c>
      <c r="AB30" s="24">
        <f t="shared" si="8"/>
        <v>3</v>
      </c>
      <c r="AC30" s="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30" s="4">
        <f ca="1">VLOOKUP($AB30,OFFSET([4]characters!$A$1,0,0,COUNTA([4]characters!$A:$A),MATCH(AD$1,[4]characters!$1:$1,0)-MATCH("character_id",[4]characters!$1:$1,0)+1),MATCH(AD$1,[4]characters!$1:$1,0)-MATCH("character_id",[4]characters!$1:$1,0)+1,FALSE)</f>
        <v>1</v>
      </c>
      <c r="AE30" s="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Drop1T</v>
      </c>
      <c r="AF30" s="7">
        <v>1</v>
      </c>
      <c r="AG30" s="24">
        <f t="shared" ca="1" si="9"/>
        <v>1</v>
      </c>
      <c r="AH30" s="8">
        <v>20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  <c r="AN30" s="69">
        <v>1</v>
      </c>
    </row>
    <row r="31" spans="1:40" ht="21" customHeight="1" x14ac:dyDescent="0.15">
      <c r="A31" s="16" t="str">
        <f t="shared" si="5"/>
        <v>39005_2-2/5&lt;lv25&gt;s3</v>
      </c>
      <c r="B31" s="22">
        <v>39005</v>
      </c>
      <c r="C31" s="21">
        <v>2</v>
      </c>
      <c r="D31" s="2" t="str">
        <f t="shared" si="6"/>
        <v>39005_2</v>
      </c>
      <c r="E31" s="4" t="str">
        <f ca="1">VLOOKUP($B31,OFFSET([2]quests!$A$1,0,0,COUNTA([2]quests!$A:$A),MATCH(E$1,[2]quests!$1:$1,0)-MATCH($B$1,[2]quests!$1:$1,0)+1),MATCH(E$1,[2]quests!$1:$1,0)-MATCH($B$1,[2]quests!$1:$1,0)+1,FALSE)</f>
        <v xml:space="preserve">ミクエキスポ </v>
      </c>
      <c r="F31" s="4" t="str">
        <f ca="1">VLOOKUP($D31,OFFSET([2]stages!$A$1,0,0,COUNTA([2]stages!$A:$A),MATCH(F$1,[2]stages!$2:$2,0)-MATCH($D$1,[2]stages!$2:$2,0)+1),MATCH(F$1,[2]stages!$2:$2,0)-MATCH($D$1,[2]stages!$2:$2,0)+1,FALSE)</f>
        <v>【中級】ミクエキスポ</v>
      </c>
      <c r="G31" s="96">
        <v>2</v>
      </c>
      <c r="H31" s="15" t="str">
        <f t="shared" si="7"/>
        <v>39005_2-2</v>
      </c>
      <c r="I31" s="4">
        <f ca="1">VLOOKUP($H31,OFFSET(floors!$A$1,0,0,COUNTA(floors!$A:$A),MATCH(I$1,floors!$1:$1,0)-MATCH($H$1,floors!$1:$1,0)+1),MATCH(I$1,floors!$1:$1,0)-MATCH($H$1,floors!$1:$1,0)+1,FALSE)</f>
        <v>60</v>
      </c>
      <c r="J31" s="4">
        <f ca="1">VLOOKUP($H31,OFFSET(floors!$A$1,0,0,COUNTA(floors!$A:$A),MATCH(J$1,floors!$1:$1,0)-MATCH($H$1,floors!$1:$1,0)+1),MATCH(J$1,floors!$1:$1,0)-MATCH($H$1,floors!$1:$1,0)+1,FALSE)</f>
        <v>60</v>
      </c>
      <c r="K31" s="38" t="s">
        <v>53</v>
      </c>
      <c r="L31" s="20">
        <v>5</v>
      </c>
      <c r="M31" s="17" t="str">
        <f ca="1">VLOOKUP($L31,OFFSET([3]enemies!$A$1,0,0,COUNTA([3]enemies!$A:$A),MATCH(M$1,[3]enemies!$1:$1,0)-MATCH($L$1,[3]enemies!$1:$1,0)+1),MATCH(M$1,[3]enemies!$1:$1,0)-MATCH($L$1,[3]enemies!$1:$1,0)+1,FALSE)</f>
        <v>パトドッグ ポチ</v>
      </c>
      <c r="N31" s="17" t="str">
        <f ca="1">VLOOKUP($L31,OFFSET([3]enemies!$A$1,0,0,COUNTA([3]enemies!$A:$A),MATCH(N$1,[3]enemies!$1:$1,0)-MATCH($L$1,[3]enemies!$1:$1,0)+1),MATCH(N$1,[3]enemies!$1:$1,0)-MATCH($L$1,[3]enemies!$1:$1,0)+1,FALSE)</f>
        <v>blue</v>
      </c>
      <c r="O31" s="17" t="str">
        <f ca="1">VLOOKUP($L31,OFFSET([4]characters!$A$1,0,0,COUNTA([4]characters!$A:$A),MATCH(O$1,[4]characters!$1:$1,0)-MATCH($L$1,[4]characters!$1:$1,0)+1),MATCH(O$1,[4]characters!$1:$1,0)-MATCH($L$1,[4]characters!$1:$1,0)+1,FALSE)</f>
        <v>Drop1T</v>
      </c>
      <c r="P31" s="17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17">
        <f ca="1">VLOOKUP($L31,OFFSET([3]enemies!$A$1,0,0,COUNTA([3]enemies!$A:$A),MATCH(Q$1,[3]enemies!$1:$1,0)-MATCH($L$1,[3]enemies!$1:$1,0)+1),MATCH(Q$1,[3]enemies!$1:$1,0)-MATCH($L$1,[3]enemies!$1:$1,0)+1,FALSE)</f>
        <v>15</v>
      </c>
      <c r="R31" s="5">
        <v>25</v>
      </c>
      <c r="S31" s="25">
        <v>1</v>
      </c>
      <c r="T31" s="25">
        <v>0.8</v>
      </c>
      <c r="U31" s="5">
        <v>0</v>
      </c>
      <c r="V31" s="4" t="str">
        <f ca="1">VLOOKUP($W31,OFFSET([5]enemy_skill_sets!$B$1,0,0,COUNTA([5]enemy_skill_sets!$B:$B),MATCH(M$1,[5]enemy_skill_sets!$1:$1,0)-MATCH($W$1,[5]enemy_skill_sets!$1:$1,0)+2),MATCH(M$1,[5]enemy_skill_sets!$1:$1,0)-MATCH($W$1,[5]enemy_skill_sets!$1:$1,0)+2,FALSE)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1" s="4">
        <f ca="1">VLOOKUP($L31,OFFSET([3]enemies!$A$1,0,0,COUNTA([3]enemies!$A:$A),MATCH(W$1,[3]enemies!$1:$1,0)-MATCH($L$1,[3]enemies!$1:$1,0)+1),MATCH(W$1,[3]enemies!$1:$1,0)-MATCH($L$1,[3]enemies!$1:$1,0)+1,FALSE)</f>
        <v>0</v>
      </c>
      <c r="X31" s="6">
        <v>0</v>
      </c>
      <c r="Y31" s="6">
        <v>100</v>
      </c>
      <c r="Z31" s="6">
        <v>0</v>
      </c>
      <c r="AA31" s="17">
        <v>3</v>
      </c>
      <c r="AB31" s="24">
        <f t="shared" si="8"/>
        <v>5</v>
      </c>
      <c r="AC31" s="4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31" s="4">
        <f ca="1">VLOOKUP($AB31,OFFSET([4]characters!$A$1,0,0,COUNTA([4]characters!$A:$A),MATCH(AD$1,[4]characters!$1:$1,0)-MATCH("character_id",[4]characters!$1:$1,0)+1),MATCH(AD$1,[4]characters!$1:$1,0)-MATCH("character_id",[4]characters!$1:$1,0)+1,FALSE)</f>
        <v>1</v>
      </c>
      <c r="AE31" s="4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Drop1T</v>
      </c>
      <c r="AF31" s="7">
        <v>1</v>
      </c>
      <c r="AG31" s="24">
        <f t="shared" ca="1" si="9"/>
        <v>1</v>
      </c>
      <c r="AH31" s="8">
        <v>20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  <c r="AN31" s="69">
        <v>1</v>
      </c>
    </row>
    <row r="32" spans="1:40" ht="21" customHeight="1" x14ac:dyDescent="0.15">
      <c r="A32" s="16" t="str">
        <f t="shared" si="5"/>
        <v>39005_2-2/7&lt;lv25&gt;s2</v>
      </c>
      <c r="B32" s="22">
        <v>39005</v>
      </c>
      <c r="C32" s="21">
        <v>2</v>
      </c>
      <c r="D32" s="2" t="str">
        <f t="shared" si="6"/>
        <v>39005_2</v>
      </c>
      <c r="E32" s="4" t="str">
        <f ca="1">VLOOKUP($B32,OFFSET([2]quests!$A$1,0,0,COUNTA([2]quests!$A:$A),MATCH(E$1,[2]quests!$1:$1,0)-MATCH($B$1,[2]quests!$1:$1,0)+1),MATCH(E$1,[2]quests!$1:$1,0)-MATCH($B$1,[2]quests!$1:$1,0)+1,FALSE)</f>
        <v xml:space="preserve">ミクエキスポ </v>
      </c>
      <c r="F32" s="4" t="str">
        <f ca="1">VLOOKUP($D32,OFFSET([2]stages!$A$1,0,0,COUNTA([2]stages!$A:$A),MATCH(F$1,[2]stages!$2:$2,0)-MATCH($D$1,[2]stages!$2:$2,0)+1),MATCH(F$1,[2]stages!$2:$2,0)-MATCH($D$1,[2]stages!$2:$2,0)+1,FALSE)</f>
        <v>【中級】ミクエキスポ</v>
      </c>
      <c r="G32" s="96">
        <v>2</v>
      </c>
      <c r="H32" s="15" t="str">
        <f t="shared" si="7"/>
        <v>39005_2-2</v>
      </c>
      <c r="I32" s="4">
        <f ca="1">VLOOKUP($H32,OFFSET(floors!$A$1,0,0,COUNTA(floors!$A:$A),MATCH(I$1,floors!$1:$1,0)-MATCH($H$1,floors!$1:$1,0)+1),MATCH(I$1,floors!$1:$1,0)-MATCH($H$1,floors!$1:$1,0)+1,FALSE)</f>
        <v>60</v>
      </c>
      <c r="J32" s="4">
        <f ca="1">VLOOKUP($H32,OFFSET(floors!$A$1,0,0,COUNTA(floors!$A:$A),MATCH(J$1,floors!$1:$1,0)-MATCH($H$1,floors!$1:$1,0)+1),MATCH(J$1,floors!$1:$1,0)-MATCH($H$1,floors!$1:$1,0)+1,FALSE)</f>
        <v>60</v>
      </c>
      <c r="K32" s="38" t="s">
        <v>53</v>
      </c>
      <c r="L32" s="20">
        <v>7</v>
      </c>
      <c r="M32" s="17" t="str">
        <f ca="1">VLOOKUP($L32,OFFSET([3]enemies!$A$1,0,0,COUNTA([3]enemies!$A:$A),MATCH(M$1,[3]enemies!$1:$1,0)-MATCH($L$1,[3]enemies!$1:$1,0)+1),MATCH(M$1,[3]enemies!$1:$1,0)-MATCH($L$1,[3]enemies!$1:$1,0)+1,FALSE)</f>
        <v>エレキポット</v>
      </c>
      <c r="N32" s="17" t="str">
        <f ca="1">VLOOKUP($L32,OFFSET([3]enemies!$A$1,0,0,COUNTA([3]enemies!$A:$A),MATCH(N$1,[3]enemies!$1:$1,0)-MATCH($L$1,[3]enemies!$1:$1,0)+1),MATCH(N$1,[3]enemies!$1:$1,0)-MATCH($L$1,[3]enemies!$1:$1,0)+1,FALSE)</f>
        <v>yellow</v>
      </c>
      <c r="O32" s="17" t="str">
        <f ca="1">VLOOKUP($L32,OFFSET([4]characters!$A$1,0,0,COUNTA([4]characters!$A:$A),MATCH(O$1,[4]characters!$1:$1,0)-MATCH($L$1,[4]characters!$1:$1,0)+1),MATCH(O$1,[4]characters!$1:$1,0)-MATCH($L$1,[4]characters!$1:$1,0)+1,FALSE)</f>
        <v>Drop1T</v>
      </c>
      <c r="P32" s="17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17">
        <f ca="1">VLOOKUP($L32,OFFSET([3]enemies!$A$1,0,0,COUNTA([3]enemies!$A:$A),MATCH(Q$1,[3]enemies!$1:$1,0)-MATCH($L$1,[3]enemies!$1:$1,0)+1),MATCH(Q$1,[3]enemies!$1:$1,0)-MATCH($L$1,[3]enemies!$1:$1,0)+1,FALSE)</f>
        <v>15</v>
      </c>
      <c r="R32" s="5">
        <v>25</v>
      </c>
      <c r="S32" s="25">
        <v>1</v>
      </c>
      <c r="T32" s="25">
        <v>0.4</v>
      </c>
      <c r="U32" s="5">
        <v>0</v>
      </c>
      <c r="V32" s="4" t="e">
        <f ca="1">VLOOKUP($W32,OFFSET(enemy_skill_sets!$B$1,0,0,COUNTA(enemy_skill_sets!$B:$B),MATCH(M$1,enemy_skill_sets!$1:$1,0)-MATCH($W$1,enemy_skill_sets!$1:$1,0)+2),MATCH(M$1,enemy_skill_sets!$1:$1,0)-MATCH($W$1,enemy_skill_sets!$1:$1,0)+2,FALSE)</f>
        <v>#N/A</v>
      </c>
      <c r="W32" s="4">
        <f ca="1">VLOOKUP($L32,OFFSET([3]enemies!$A$1,0,0,COUNTA([3]enemies!$A:$A),MATCH(W$1,[3]enemies!$1:$1,0)-MATCH($L$1,[3]enemies!$1:$1,0)+1),MATCH(W$1,[3]enemies!$1:$1,0)-MATCH($L$1,[3]enemies!$1:$1,0)+1,FALSE)</f>
        <v>0</v>
      </c>
      <c r="X32" s="6">
        <v>0</v>
      </c>
      <c r="Y32" s="6">
        <v>100</v>
      </c>
      <c r="Z32" s="6">
        <v>0</v>
      </c>
      <c r="AA32" s="17">
        <v>2</v>
      </c>
      <c r="AB32" s="24">
        <f t="shared" si="8"/>
        <v>7</v>
      </c>
      <c r="AC32" s="4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32" s="4">
        <f ca="1">VLOOKUP($AB32,OFFSET([4]characters!$A$1,0,0,COUNTA([4]characters!$A:$A),MATCH(AD$1,[4]characters!$1:$1,0)-MATCH("character_id",[4]characters!$1:$1,0)+1),MATCH(AD$1,[4]characters!$1:$1,0)-MATCH("character_id",[4]characters!$1:$1,0)+1,FALSE)</f>
        <v>1</v>
      </c>
      <c r="AE32" s="4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Drop1T</v>
      </c>
      <c r="AF32" s="7">
        <v>1</v>
      </c>
      <c r="AG32" s="24">
        <f t="shared" ca="1" si="9"/>
        <v>1</v>
      </c>
      <c r="AH32" s="8">
        <v>20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  <c r="AN32" s="69">
        <v>1</v>
      </c>
    </row>
    <row r="33" spans="1:40" ht="21" customHeight="1" x14ac:dyDescent="0.15">
      <c r="A33" s="16" t="str">
        <f t="shared" si="5"/>
        <v>39005_2-2/15&lt;lv25&gt;s3</v>
      </c>
      <c r="B33" s="22">
        <v>39005</v>
      </c>
      <c r="C33" s="21">
        <v>2</v>
      </c>
      <c r="D33" s="2" t="str">
        <f t="shared" si="6"/>
        <v>39005_2</v>
      </c>
      <c r="E33" s="4" t="str">
        <f ca="1">VLOOKUP($B33,OFFSET([2]quests!$A$1,0,0,COUNTA([2]quests!$A:$A),MATCH(E$1,[2]quests!$1:$1,0)-MATCH($B$1,[2]quests!$1:$1,0)+1),MATCH(E$1,[2]quests!$1:$1,0)-MATCH($B$1,[2]quests!$1:$1,0)+1,FALSE)</f>
        <v xml:space="preserve">ミクエキスポ </v>
      </c>
      <c r="F33" s="4" t="str">
        <f ca="1">VLOOKUP($D33,OFFSET([2]stages!$A$1,0,0,COUNTA([2]stages!$A:$A),MATCH(F$1,[2]stages!$2:$2,0)-MATCH($D$1,[2]stages!$2:$2,0)+1),MATCH(F$1,[2]stages!$2:$2,0)-MATCH($D$1,[2]stages!$2:$2,0)+1,FALSE)</f>
        <v>【中級】ミクエキスポ</v>
      </c>
      <c r="G33" s="96">
        <v>2</v>
      </c>
      <c r="H33" s="15" t="str">
        <f t="shared" si="7"/>
        <v>39005_2-2</v>
      </c>
      <c r="I33" s="4">
        <f ca="1">VLOOKUP($H33,OFFSET(floors!$A$1,0,0,COUNTA(floors!$A:$A),MATCH(I$1,floors!$1:$1,0)-MATCH($H$1,floors!$1:$1,0)+1),MATCH(I$1,floors!$1:$1,0)-MATCH($H$1,floors!$1:$1,0)+1,FALSE)</f>
        <v>60</v>
      </c>
      <c r="J33" s="4">
        <f ca="1">VLOOKUP($H33,OFFSET(floors!$A$1,0,0,COUNTA(floors!$A:$A),MATCH(J$1,floors!$1:$1,0)-MATCH($H$1,floors!$1:$1,0)+1),MATCH(J$1,floors!$1:$1,0)-MATCH($H$1,floors!$1:$1,0)+1,FALSE)</f>
        <v>60</v>
      </c>
      <c r="K33" s="38" t="s">
        <v>53</v>
      </c>
      <c r="L33" s="20">
        <v>15</v>
      </c>
      <c r="M33" s="17" t="str">
        <f ca="1">VLOOKUP($L33,OFFSET([3]enemies!$A$1,0,0,COUNTA([3]enemies!$A:$A),MATCH(M$1,[3]enemies!$1:$1,0)-MATCH($L$1,[3]enemies!$1:$1,0)+1),MATCH(M$1,[3]enemies!$1:$1,0)-MATCH($L$1,[3]enemies!$1:$1,0)+1,FALSE)</f>
        <v>アカネ</v>
      </c>
      <c r="N33" s="17" t="str">
        <f ca="1">VLOOKUP($L33,OFFSET([3]enemies!$A$1,0,0,COUNTA([3]enemies!$A:$A),MATCH(N$1,[3]enemies!$1:$1,0)-MATCH($L$1,[3]enemies!$1:$1,0)+1),MATCH(N$1,[3]enemies!$1:$1,0)-MATCH($L$1,[3]enemies!$1:$1,0)+1,FALSE)</f>
        <v>red</v>
      </c>
      <c r="O33" s="17" t="str">
        <f ca="1">VLOOKUP($L33,OFFSET([4]characters!$A$1,0,0,COUNTA([4]characters!$A:$A),MATCH(O$1,[4]characters!$1:$1,0)-MATCH($L$1,[4]characters!$1:$1,0)+1),MATCH(O$1,[4]characters!$1:$1,0)-MATCH($L$1,[4]characters!$1:$1,0)+1,FALSE)</f>
        <v>Drop1W</v>
      </c>
      <c r="P33" s="17" t="str">
        <f ca="1">VLOOKUP($L33,OFFSET([3]enemies!$A$1,0,0,COUNTA([3]enemies!$A:$A),MATCH(P$1,[3]enemies!$1:$1,0)-MATCH($L$1,[3]enemies!$1:$1,0)+1),MATCH(P$1,[3]enemies!$1:$1,0)-MATCH($L$1,[3]enemies!$1:$1,0)+1,FALSE)</f>
        <v>human</v>
      </c>
      <c r="Q33" s="17">
        <f ca="1">VLOOKUP($L33,OFFSET([3]enemies!$A$1,0,0,COUNTA([3]enemies!$A:$A),MATCH(Q$1,[3]enemies!$1:$1,0)-MATCH($L$1,[3]enemies!$1:$1,0)+1),MATCH(Q$1,[3]enemies!$1:$1,0)-MATCH($L$1,[3]enemies!$1:$1,0)+1,FALSE)</f>
        <v>15</v>
      </c>
      <c r="R33" s="5">
        <v>25</v>
      </c>
      <c r="S33" s="25">
        <v>1</v>
      </c>
      <c r="T33" s="25">
        <v>0.6</v>
      </c>
      <c r="U33" s="5">
        <v>0</v>
      </c>
      <c r="V33" s="4" t="str">
        <f ca="1">VLOOKUP($W33,OFFSET([5]enemy_skill_sets!$B$1,0,0,COUNTA([5]enemy_skill_sets!$B:$B),MATCH(M$1,[5]enemy_skill_sets!$1:$1,0)-MATCH($W$1,[5]enemy_skill_sets!$1:$1,0)+2),MATCH(M$1,[5]enemy_skill_sets!$1:$1,0)-MATCH($W$1,[5]enemy_skill_sets!$1:$1,0)+2,FALSE)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3" s="4">
        <f ca="1">VLOOKUP($L33,OFFSET([3]enemies!$A$1,0,0,COUNTA([3]enemies!$A:$A),MATCH(W$1,[3]enemies!$1:$1,0)-MATCH($L$1,[3]enemies!$1:$1,0)+1),MATCH(W$1,[3]enemies!$1:$1,0)-MATCH($L$1,[3]enemies!$1:$1,0)+1,FALSE)</f>
        <v>0</v>
      </c>
      <c r="X33" s="6">
        <v>0</v>
      </c>
      <c r="Y33" s="6">
        <v>100</v>
      </c>
      <c r="Z33" s="6">
        <v>0</v>
      </c>
      <c r="AA33" s="17">
        <v>3</v>
      </c>
      <c r="AB33" s="24">
        <f t="shared" si="8"/>
        <v>15</v>
      </c>
      <c r="AC33" s="4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33" s="4">
        <f ca="1">VLOOKUP($AB33,OFFSET([4]characters!$A$1,0,0,COUNTA([4]characters!$A:$A),MATCH(AD$1,[4]characters!$1:$1,0)-MATCH("character_id",[4]characters!$1:$1,0)+1),MATCH(AD$1,[4]characters!$1:$1,0)-MATCH("character_id",[4]characters!$1:$1,0)+1,FALSE)</f>
        <v>1</v>
      </c>
      <c r="AE33" s="4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Drop1W</v>
      </c>
      <c r="AF33" s="7">
        <v>1</v>
      </c>
      <c r="AG33" s="24">
        <f t="shared" ca="1" si="9"/>
        <v>1</v>
      </c>
      <c r="AH33" s="8">
        <v>20</v>
      </c>
      <c r="AI33" s="7">
        <v>0</v>
      </c>
      <c r="AJ33" s="7">
        <v>0</v>
      </c>
      <c r="AK33" s="7">
        <v>0</v>
      </c>
      <c r="AL33" s="7">
        <v>0</v>
      </c>
      <c r="AM33" s="7">
        <v>1</v>
      </c>
      <c r="AN33" s="69">
        <v>1</v>
      </c>
    </row>
    <row r="34" spans="1:40" ht="21" customHeight="1" x14ac:dyDescent="0.15">
      <c r="A34" s="16" t="str">
        <f t="shared" si="5"/>
        <v>39005_2-2/27&lt;lv25&gt;s1</v>
      </c>
      <c r="B34" s="22">
        <v>39005</v>
      </c>
      <c r="C34" s="21">
        <v>2</v>
      </c>
      <c r="D34" s="2" t="str">
        <f t="shared" si="6"/>
        <v>39005_2</v>
      </c>
      <c r="E34" s="4" t="str">
        <f ca="1">VLOOKUP($B34,OFFSET([2]quests!$A$1,0,0,COUNTA([2]quests!$A:$A),MATCH(E$1,[2]quests!$1:$1,0)-MATCH($B$1,[2]quests!$1:$1,0)+1),MATCH(E$1,[2]quests!$1:$1,0)-MATCH($B$1,[2]quests!$1:$1,0)+1,FALSE)</f>
        <v xml:space="preserve">ミクエキスポ </v>
      </c>
      <c r="F34" s="4" t="str">
        <f ca="1">VLOOKUP($D34,OFFSET([2]stages!$A$1,0,0,COUNTA([2]stages!$A:$A),MATCH(F$1,[2]stages!$2:$2,0)-MATCH($D$1,[2]stages!$2:$2,0)+1),MATCH(F$1,[2]stages!$2:$2,0)-MATCH($D$1,[2]stages!$2:$2,0)+1,FALSE)</f>
        <v>【中級】ミクエキスポ</v>
      </c>
      <c r="G34" s="96">
        <v>2</v>
      </c>
      <c r="H34" s="15" t="str">
        <f t="shared" si="7"/>
        <v>39005_2-2</v>
      </c>
      <c r="I34" s="4">
        <f ca="1">VLOOKUP($H34,OFFSET(floors!$A$1,0,0,COUNTA(floors!$A:$A),MATCH(I$1,floors!$1:$1,0)-MATCH($H$1,floors!$1:$1,0)+1),MATCH(I$1,floors!$1:$1,0)-MATCH($H$1,floors!$1:$1,0)+1,FALSE)</f>
        <v>60</v>
      </c>
      <c r="J34" s="4">
        <f ca="1">VLOOKUP($H34,OFFSET(floors!$A$1,0,0,COUNTA(floors!$A:$A),MATCH(J$1,floors!$1:$1,0)-MATCH($H$1,floors!$1:$1,0)+1),MATCH(J$1,floors!$1:$1,0)-MATCH($H$1,floors!$1:$1,0)+1,FALSE)</f>
        <v>60</v>
      </c>
      <c r="K34" s="38" t="s">
        <v>53</v>
      </c>
      <c r="L34" s="20">
        <v>27</v>
      </c>
      <c r="M34" s="17" t="str">
        <f ca="1">VLOOKUP($L34,OFFSET([3]enemies!$A$1,0,0,COUNTA([3]enemies!$A:$A),MATCH(M$1,[3]enemies!$1:$1,0)-MATCH($L$1,[3]enemies!$1:$1,0)+1),MATCH(M$1,[3]enemies!$1:$1,0)-MATCH($L$1,[3]enemies!$1:$1,0)+1,FALSE)</f>
        <v>パトライン</v>
      </c>
      <c r="N34" s="17" t="str">
        <f ca="1">VLOOKUP($L34,OFFSET([3]enemies!$A$1,0,0,COUNTA([3]enemies!$A:$A),MATCH(N$1,[3]enemies!$1:$1,0)-MATCH($L$1,[3]enemies!$1:$1,0)+1),MATCH(N$1,[3]enemies!$1:$1,0)-MATCH($L$1,[3]enemies!$1:$1,0)+1,FALSE)</f>
        <v>green</v>
      </c>
      <c r="O34" s="17" t="str">
        <f ca="1">VLOOKUP($L34,OFFSET([4]characters!$A$1,0,0,COUNTA([4]characters!$A:$A),MATCH(O$1,[4]characters!$1:$1,0)-MATCH($L$1,[4]characters!$1:$1,0)+1),MATCH(O$1,[4]characters!$1:$1,0)-MATCH($L$1,[4]characters!$1:$1,0)+1,FALSE)</f>
        <v>Drop1N</v>
      </c>
      <c r="P34" s="17" t="str">
        <f ca="1">VLOOKUP($L34,OFFSET([3]enemies!$A$1,0,0,COUNTA([3]enemies!$A:$A),MATCH(P$1,[3]enemies!$1:$1,0)-MATCH($L$1,[3]enemies!$1:$1,0)+1),MATCH(P$1,[3]enemies!$1:$1,0)-MATCH($L$1,[3]enemies!$1:$1,0)+1,FALSE)</f>
        <v>machine</v>
      </c>
      <c r="Q34" s="17">
        <f ca="1">VLOOKUP($L34,OFFSET([3]enemies!$A$1,0,0,COUNTA([3]enemies!$A:$A),MATCH(Q$1,[3]enemies!$1:$1,0)-MATCH($L$1,[3]enemies!$1:$1,0)+1),MATCH(Q$1,[3]enemies!$1:$1,0)-MATCH($L$1,[3]enemies!$1:$1,0)+1,FALSE)</f>
        <v>15</v>
      </c>
      <c r="R34" s="5">
        <v>25</v>
      </c>
      <c r="S34" s="25">
        <v>1</v>
      </c>
      <c r="T34" s="25">
        <v>0.6</v>
      </c>
      <c r="U34" s="5">
        <v>0</v>
      </c>
      <c r="V34" s="4" t="e">
        <f ca="1">VLOOKUP($W34,OFFSET(enemy_skill_sets!$B$1,0,0,COUNTA(enemy_skill_sets!$B:$B),MATCH(M$1,enemy_skill_sets!$1:$1,0)-MATCH($W$1,enemy_skill_sets!$1:$1,0)+2),MATCH(M$1,enemy_skill_sets!$1:$1,0)-MATCH($W$1,enemy_skill_sets!$1:$1,0)+2,FALSE)</f>
        <v>#N/A</v>
      </c>
      <c r="W34" s="4">
        <f ca="1">VLOOKUP($L34,OFFSET([3]enemies!$A$1,0,0,COUNTA([3]enemies!$A:$A),MATCH(W$1,[3]enemies!$1:$1,0)-MATCH($L$1,[3]enemies!$1:$1,0)+1),MATCH(W$1,[3]enemies!$1:$1,0)-MATCH($L$1,[3]enemies!$1:$1,0)+1,FALSE)</f>
        <v>0</v>
      </c>
      <c r="X34" s="6">
        <v>0</v>
      </c>
      <c r="Y34" s="6">
        <v>100</v>
      </c>
      <c r="Z34" s="6">
        <v>0</v>
      </c>
      <c r="AA34" s="17">
        <v>1</v>
      </c>
      <c r="AB34" s="24">
        <f t="shared" si="8"/>
        <v>27</v>
      </c>
      <c r="AC34" s="4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34" s="4">
        <f ca="1">VLOOKUP($AB34,OFFSET([4]characters!$A$1,0,0,COUNTA([4]characters!$A:$A),MATCH(AD$1,[4]characters!$1:$1,0)-MATCH("character_id",[4]characters!$1:$1,0)+1),MATCH(AD$1,[4]characters!$1:$1,0)-MATCH("character_id",[4]characters!$1:$1,0)+1,FALSE)</f>
        <v>1</v>
      </c>
      <c r="AE34" s="4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Drop1N</v>
      </c>
      <c r="AF34" s="7">
        <v>1</v>
      </c>
      <c r="AG34" s="24">
        <f t="shared" ca="1" si="9"/>
        <v>1</v>
      </c>
      <c r="AH34" s="8">
        <v>20</v>
      </c>
      <c r="AI34" s="7">
        <v>0</v>
      </c>
      <c r="AJ34" s="7">
        <v>0</v>
      </c>
      <c r="AK34" s="7">
        <v>0</v>
      </c>
      <c r="AL34" s="7">
        <v>0</v>
      </c>
      <c r="AM34" s="7">
        <v>1</v>
      </c>
      <c r="AN34" s="69">
        <v>1</v>
      </c>
    </row>
    <row r="35" spans="1:40" ht="21" customHeight="1" x14ac:dyDescent="0.15">
      <c r="A35" s="16" t="str">
        <f t="shared" si="5"/>
        <v>39005_2-2/17&lt;lv25&gt;s2</v>
      </c>
      <c r="B35" s="22">
        <v>39005</v>
      </c>
      <c r="C35" s="21">
        <v>2</v>
      </c>
      <c r="D35" s="2" t="str">
        <f t="shared" si="6"/>
        <v>39005_2</v>
      </c>
      <c r="E35" s="4" t="str">
        <f ca="1">VLOOKUP($B35,OFFSET([2]quests!$A$1,0,0,COUNTA([2]quests!$A:$A),MATCH(E$1,[2]quests!$1:$1,0)-MATCH($B$1,[2]quests!$1:$1,0)+1),MATCH(E$1,[2]quests!$1:$1,0)-MATCH($B$1,[2]quests!$1:$1,0)+1,FALSE)</f>
        <v xml:space="preserve">ミクエキスポ </v>
      </c>
      <c r="F35" s="4" t="str">
        <f ca="1">VLOOKUP($D35,OFFSET([2]stages!$A$1,0,0,COUNTA([2]stages!$A:$A),MATCH(F$1,[2]stages!$2:$2,0)-MATCH($D$1,[2]stages!$2:$2,0)+1),MATCH(F$1,[2]stages!$2:$2,0)-MATCH($D$1,[2]stages!$2:$2,0)+1,FALSE)</f>
        <v>【中級】ミクエキスポ</v>
      </c>
      <c r="G35" s="96">
        <v>2</v>
      </c>
      <c r="H35" s="15" t="str">
        <f t="shared" si="7"/>
        <v>39005_2-2</v>
      </c>
      <c r="I35" s="4">
        <f ca="1">VLOOKUP($H35,OFFSET(floors!$A$1,0,0,COUNTA(floors!$A:$A),MATCH(I$1,floors!$1:$1,0)-MATCH($H$1,floors!$1:$1,0)+1),MATCH(I$1,floors!$1:$1,0)-MATCH($H$1,floors!$1:$1,0)+1,FALSE)</f>
        <v>60</v>
      </c>
      <c r="J35" s="4">
        <f ca="1">VLOOKUP($H35,OFFSET(floors!$A$1,0,0,COUNTA(floors!$A:$A),MATCH(J$1,floors!$1:$1,0)-MATCH($H$1,floors!$1:$1,0)+1),MATCH(J$1,floors!$1:$1,0)-MATCH($H$1,floors!$1:$1,0)+1,FALSE)</f>
        <v>60</v>
      </c>
      <c r="K35" s="38" t="s">
        <v>53</v>
      </c>
      <c r="L35" s="20">
        <v>17</v>
      </c>
      <c r="M35" s="17" t="str">
        <f ca="1">VLOOKUP($L35,OFFSET([3]enemies!$A$1,0,0,COUNTA([3]enemies!$A:$A),MATCH(M$1,[3]enemies!$1:$1,0)-MATCH($L$1,[3]enemies!$1:$1,0)+1),MATCH(M$1,[3]enemies!$1:$1,0)-MATCH($L$1,[3]enemies!$1:$1,0)+1,FALSE)</f>
        <v>リム</v>
      </c>
      <c r="N35" s="17" t="str">
        <f ca="1">VLOOKUP($L35,OFFSET([3]enemies!$A$1,0,0,COUNTA([3]enemies!$A:$A),MATCH(N$1,[3]enemies!$1:$1,0)-MATCH($L$1,[3]enemies!$1:$1,0)+1),MATCH(N$1,[3]enemies!$1:$1,0)-MATCH($L$1,[3]enemies!$1:$1,0)+1,FALSE)</f>
        <v>blue</v>
      </c>
      <c r="O35" s="17" t="str">
        <f ca="1">VLOOKUP($L35,OFFSET([4]characters!$A$1,0,0,COUNTA([4]characters!$A:$A),MATCH(O$1,[4]characters!$1:$1,0)-MATCH($L$1,[4]characters!$1:$1,0)+1),MATCH(O$1,[4]characters!$1:$1,0)-MATCH($L$1,[4]characters!$1:$1,0)+1,FALSE)</f>
        <v>Drop1W</v>
      </c>
      <c r="P35" s="17" t="str">
        <f ca="1">VLOOKUP($L35,OFFSET([3]enemies!$A$1,0,0,COUNTA([3]enemies!$A:$A),MATCH(P$1,[3]enemies!$1:$1,0)-MATCH($L$1,[3]enemies!$1:$1,0)+1),MATCH(P$1,[3]enemies!$1:$1,0)-MATCH($L$1,[3]enemies!$1:$1,0)+1,FALSE)</f>
        <v>human</v>
      </c>
      <c r="Q35" s="17">
        <f ca="1">VLOOKUP($L35,OFFSET([3]enemies!$A$1,0,0,COUNTA([3]enemies!$A:$A),MATCH(Q$1,[3]enemies!$1:$1,0)-MATCH($L$1,[3]enemies!$1:$1,0)+1),MATCH(Q$1,[3]enemies!$1:$1,0)-MATCH($L$1,[3]enemies!$1:$1,0)+1,FALSE)</f>
        <v>15</v>
      </c>
      <c r="R35" s="5">
        <v>25</v>
      </c>
      <c r="S35" s="25">
        <v>1</v>
      </c>
      <c r="T35" s="25">
        <v>0.6</v>
      </c>
      <c r="U35" s="5">
        <v>0</v>
      </c>
      <c r="V35" s="4" t="str">
        <f ca="1">VLOOKUP($W35,OFFSET([5]enemy_skill_sets!$B$1,0,0,COUNTA([5]enemy_skill_sets!$B:$B),MATCH(M$1,[5]enemy_skill_sets!$1:$1,0)-MATCH($W$1,[5]enemy_skill_sets!$1:$1,0)+2),MATCH(M$1,[5]enemy_skill_sets!$1:$1,0)-MATCH($W$1,[5]enemy_skill_sets!$1:$1,0)+2,FALSE)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5" s="4">
        <f ca="1">VLOOKUP($L35,OFFSET([3]enemies!$A$1,0,0,COUNTA([3]enemies!$A:$A),MATCH(W$1,[3]enemies!$1:$1,0)-MATCH($L$1,[3]enemies!$1:$1,0)+1),MATCH(W$1,[3]enemies!$1:$1,0)-MATCH($L$1,[3]enemies!$1:$1,0)+1,FALSE)</f>
        <v>0</v>
      </c>
      <c r="X35" s="6">
        <v>0</v>
      </c>
      <c r="Y35" s="6">
        <v>100</v>
      </c>
      <c r="Z35" s="6">
        <v>0</v>
      </c>
      <c r="AA35" s="17">
        <v>2</v>
      </c>
      <c r="AB35" s="24">
        <f t="shared" si="8"/>
        <v>17</v>
      </c>
      <c r="AC35" s="4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リム</v>
      </c>
      <c r="AD35" s="4">
        <f ca="1">VLOOKUP($AB35,OFFSET([4]characters!$A$1,0,0,COUNTA([4]characters!$A:$A),MATCH(AD$1,[4]characters!$1:$1,0)-MATCH("character_id",[4]characters!$1:$1,0)+1),MATCH(AD$1,[4]characters!$1:$1,0)-MATCH("character_id",[4]characters!$1:$1,0)+1,FALSE)</f>
        <v>1</v>
      </c>
      <c r="AE35" s="4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Drop1W</v>
      </c>
      <c r="AF35" s="7">
        <v>1</v>
      </c>
      <c r="AG35" s="24">
        <f t="shared" ca="1" si="9"/>
        <v>1</v>
      </c>
      <c r="AH35" s="8">
        <v>20</v>
      </c>
      <c r="AI35" s="7">
        <v>0</v>
      </c>
      <c r="AJ35" s="7">
        <v>0</v>
      </c>
      <c r="AK35" s="7">
        <v>0</v>
      </c>
      <c r="AL35" s="7">
        <v>0</v>
      </c>
      <c r="AM35" s="7">
        <v>1</v>
      </c>
      <c r="AN35" s="69">
        <v>1</v>
      </c>
    </row>
    <row r="36" spans="1:40" ht="21" customHeight="1" x14ac:dyDescent="0.15">
      <c r="A36" s="16" t="str">
        <f t="shared" si="5"/>
        <v>39005_2-2/13&lt;lv25&gt;s2</v>
      </c>
      <c r="B36" s="22">
        <v>39005</v>
      </c>
      <c r="C36" s="21">
        <v>2</v>
      </c>
      <c r="D36" s="2" t="str">
        <f t="shared" si="6"/>
        <v>39005_2</v>
      </c>
      <c r="E36" s="4" t="str">
        <f ca="1">VLOOKUP($B36,OFFSET([2]quests!$A$1,0,0,COUNTA([2]quests!$A:$A),MATCH(E$1,[2]quests!$1:$1,0)-MATCH($B$1,[2]quests!$1:$1,0)+1),MATCH(E$1,[2]quests!$1:$1,0)-MATCH($B$1,[2]quests!$1:$1,0)+1,FALSE)</f>
        <v xml:space="preserve">ミクエキスポ </v>
      </c>
      <c r="F36" s="4" t="str">
        <f ca="1">VLOOKUP($D36,OFFSET([2]stages!$A$1,0,0,COUNTA([2]stages!$A:$A),MATCH(F$1,[2]stages!$2:$2,0)-MATCH($D$1,[2]stages!$2:$2,0)+1),MATCH(F$1,[2]stages!$2:$2,0)-MATCH($D$1,[2]stages!$2:$2,0)+1,FALSE)</f>
        <v>【中級】ミクエキスポ</v>
      </c>
      <c r="G36" s="96">
        <v>2</v>
      </c>
      <c r="H36" s="15" t="str">
        <f t="shared" si="7"/>
        <v>39005_2-2</v>
      </c>
      <c r="I36" s="4">
        <f ca="1">VLOOKUP($H36,OFFSET(floors!$A$1,0,0,COUNTA(floors!$A:$A),MATCH(I$1,floors!$1:$1,0)-MATCH($H$1,floors!$1:$1,0)+1),MATCH(I$1,floors!$1:$1,0)-MATCH($H$1,floors!$1:$1,0)+1,FALSE)</f>
        <v>60</v>
      </c>
      <c r="J36" s="4">
        <f ca="1">VLOOKUP($H36,OFFSET(floors!$A$1,0,0,COUNTA(floors!$A:$A),MATCH(J$1,floors!$1:$1,0)-MATCH($H$1,floors!$1:$1,0)+1),MATCH(J$1,floors!$1:$1,0)-MATCH($H$1,floors!$1:$1,0)+1,FALSE)</f>
        <v>60</v>
      </c>
      <c r="K36" s="38" t="s">
        <v>53</v>
      </c>
      <c r="L36" s="20">
        <v>13</v>
      </c>
      <c r="M36" s="17" t="str">
        <f ca="1">VLOOKUP($L36,OFFSET([3]enemies!$A$1,0,0,COUNTA([3]enemies!$A:$A),MATCH(M$1,[3]enemies!$1:$1,0)-MATCH($L$1,[3]enemies!$1:$1,0)+1),MATCH(M$1,[3]enemies!$1:$1,0)-MATCH($L$1,[3]enemies!$1:$1,0)+1,FALSE)</f>
        <v>ミミ</v>
      </c>
      <c r="N36" s="17" t="str">
        <f ca="1">VLOOKUP($L36,OFFSET([3]enemies!$A$1,0,0,COUNTA([3]enemies!$A:$A),MATCH(N$1,[3]enemies!$1:$1,0)-MATCH($L$1,[3]enemies!$1:$1,0)+1),MATCH(N$1,[3]enemies!$1:$1,0)-MATCH($L$1,[3]enemies!$1:$1,0)+1,FALSE)</f>
        <v>yellow</v>
      </c>
      <c r="O36" s="17" t="str">
        <f ca="1">VLOOKUP($L36,OFFSET([4]characters!$A$1,0,0,COUNTA([4]characters!$A:$A),MATCH(O$1,[4]characters!$1:$1,0)-MATCH($L$1,[4]characters!$1:$1,0)+1),MATCH(O$1,[4]characters!$1:$1,0)-MATCH($L$1,[4]characters!$1:$1,0)+1,FALSE)</f>
        <v>Drop1W</v>
      </c>
      <c r="P36" s="17" t="str">
        <f ca="1">VLOOKUP($L36,OFFSET([3]enemies!$A$1,0,0,COUNTA([3]enemies!$A:$A),MATCH(P$1,[3]enemies!$1:$1,0)-MATCH($L$1,[3]enemies!$1:$1,0)+1),MATCH(P$1,[3]enemies!$1:$1,0)-MATCH($L$1,[3]enemies!$1:$1,0)+1,FALSE)</f>
        <v>animal</v>
      </c>
      <c r="Q36" s="17">
        <f ca="1">VLOOKUP($L36,OFFSET([3]enemies!$A$1,0,0,COUNTA([3]enemies!$A:$A),MATCH(Q$1,[3]enemies!$1:$1,0)-MATCH($L$1,[3]enemies!$1:$1,0)+1),MATCH(Q$1,[3]enemies!$1:$1,0)-MATCH($L$1,[3]enemies!$1:$1,0)+1,FALSE)</f>
        <v>15</v>
      </c>
      <c r="R36" s="5">
        <v>25</v>
      </c>
      <c r="S36" s="25">
        <v>1</v>
      </c>
      <c r="T36" s="25">
        <v>0.4</v>
      </c>
      <c r="U36" s="5">
        <v>0</v>
      </c>
      <c r="V36" s="4" t="e">
        <f ca="1">VLOOKUP($W36,OFFSET(enemy_skill_sets!$B$1,0,0,COUNTA(enemy_skill_sets!$B:$B),MATCH(M$1,enemy_skill_sets!$1:$1,0)-MATCH($W$1,enemy_skill_sets!$1:$1,0)+2),MATCH(M$1,enemy_skill_sets!$1:$1,0)-MATCH($W$1,enemy_skill_sets!$1:$1,0)+2,FALSE)</f>
        <v>#N/A</v>
      </c>
      <c r="W36" s="4">
        <f ca="1">VLOOKUP($L36,OFFSET([3]enemies!$A$1,0,0,COUNTA([3]enemies!$A:$A),MATCH(W$1,[3]enemies!$1:$1,0)-MATCH($L$1,[3]enemies!$1:$1,0)+1),MATCH(W$1,[3]enemies!$1:$1,0)-MATCH($L$1,[3]enemies!$1:$1,0)+1,FALSE)</f>
        <v>0</v>
      </c>
      <c r="X36" s="6">
        <v>0</v>
      </c>
      <c r="Y36" s="6">
        <v>100</v>
      </c>
      <c r="Z36" s="6">
        <v>0</v>
      </c>
      <c r="AA36" s="17">
        <v>2</v>
      </c>
      <c r="AB36" s="24">
        <f t="shared" si="8"/>
        <v>13</v>
      </c>
      <c r="AC36" s="4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ミミ</v>
      </c>
      <c r="AD36" s="4">
        <f ca="1">VLOOKUP($AB36,OFFSET([4]characters!$A$1,0,0,COUNTA([4]characters!$A:$A),MATCH(AD$1,[4]characters!$1:$1,0)-MATCH("character_id",[4]characters!$1:$1,0)+1),MATCH(AD$1,[4]characters!$1:$1,0)-MATCH("character_id",[4]characters!$1:$1,0)+1,FALSE)</f>
        <v>1</v>
      </c>
      <c r="AE36" s="4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Drop1W</v>
      </c>
      <c r="AF36" s="7">
        <v>1</v>
      </c>
      <c r="AG36" s="24">
        <f t="shared" ca="1" si="9"/>
        <v>1</v>
      </c>
      <c r="AH36" s="8">
        <v>20</v>
      </c>
      <c r="AI36" s="7">
        <v>0</v>
      </c>
      <c r="AJ36" s="7">
        <v>0</v>
      </c>
      <c r="AK36" s="7">
        <v>0</v>
      </c>
      <c r="AL36" s="7">
        <v>0</v>
      </c>
      <c r="AM36" s="7">
        <v>1</v>
      </c>
      <c r="AN36" s="69">
        <v>1</v>
      </c>
    </row>
    <row r="37" spans="1:40" ht="21" customHeight="1" x14ac:dyDescent="0.15">
      <c r="A37" s="16" t="str">
        <f t="shared" si="5"/>
        <v>39005_2-2/79&lt;lv25&gt;s2</v>
      </c>
      <c r="B37" s="22">
        <v>39005</v>
      </c>
      <c r="C37" s="21">
        <v>2</v>
      </c>
      <c r="D37" s="2" t="str">
        <f t="shared" si="6"/>
        <v>39005_2</v>
      </c>
      <c r="E37" s="4" t="str">
        <f ca="1">VLOOKUP($B37,OFFSET([2]quests!$A$1,0,0,COUNTA([2]quests!$A:$A),MATCH(E$1,[2]quests!$1:$1,0)-MATCH($B$1,[2]quests!$1:$1,0)+1),MATCH(E$1,[2]quests!$1:$1,0)-MATCH($B$1,[2]quests!$1:$1,0)+1,FALSE)</f>
        <v xml:space="preserve">ミクエキスポ </v>
      </c>
      <c r="F37" s="4" t="str">
        <f ca="1">VLOOKUP($D37,OFFSET([2]stages!$A$1,0,0,COUNTA([2]stages!$A:$A),MATCH(F$1,[2]stages!$2:$2,0)-MATCH($D$1,[2]stages!$2:$2,0)+1),MATCH(F$1,[2]stages!$2:$2,0)-MATCH($D$1,[2]stages!$2:$2,0)+1,FALSE)</f>
        <v>【中級】ミクエキスポ</v>
      </c>
      <c r="G37" s="96">
        <v>2</v>
      </c>
      <c r="H37" s="15" t="str">
        <f t="shared" si="7"/>
        <v>39005_2-2</v>
      </c>
      <c r="I37" s="4">
        <f ca="1">VLOOKUP($H37,OFFSET(floors!$A$1,0,0,COUNTA(floors!$A:$A),MATCH(I$1,floors!$1:$1,0)-MATCH($H$1,floors!$1:$1,0)+1),MATCH(I$1,floors!$1:$1,0)-MATCH($H$1,floors!$1:$1,0)+1,FALSE)</f>
        <v>60</v>
      </c>
      <c r="J37" s="4">
        <f ca="1">VLOOKUP($H37,OFFSET(floors!$A$1,0,0,COUNTA(floors!$A:$A),MATCH(J$1,floors!$1:$1,0)-MATCH($H$1,floors!$1:$1,0)+1),MATCH(J$1,floors!$1:$1,0)-MATCH($H$1,floors!$1:$1,0)+1,FALSE)</f>
        <v>60</v>
      </c>
      <c r="K37" s="38" t="s">
        <v>53</v>
      </c>
      <c r="L37" s="20">
        <v>79</v>
      </c>
      <c r="M37" s="17" t="str">
        <f ca="1">VLOOKUP($L37,OFFSET([3]enemies!$A$1,0,0,COUNTA([3]enemies!$A:$A),MATCH(M$1,[3]enemies!$1:$1,0)-MATCH($L$1,[3]enemies!$1:$1,0)+1),MATCH(M$1,[3]enemies!$1:$1,0)-MATCH($L$1,[3]enemies!$1:$1,0)+1,FALSE)</f>
        <v>ハッピー100</v>
      </c>
      <c r="N37" s="17" t="str">
        <f ca="1">VLOOKUP($L37,OFFSET([3]enemies!$A$1,0,0,COUNTA([3]enemies!$A:$A),MATCH(N$1,[3]enemies!$1:$1,0)-MATCH($L$1,[3]enemies!$1:$1,0)+1),MATCH(N$1,[3]enemies!$1:$1,0)-MATCH($L$1,[3]enemies!$1:$1,0)+1,FALSE)</f>
        <v>green</v>
      </c>
      <c r="O37" s="17" t="str">
        <f ca="1">VLOOKUP($L37,OFFSET([4]characters!$A$1,0,0,COUNTA([4]characters!$A:$A),MATCH(O$1,[4]characters!$1:$1,0)-MATCH($L$1,[4]characters!$1:$1,0)+1),MATCH(O$1,[4]characters!$1:$1,0)-MATCH($L$1,[4]characters!$1:$1,0)+1,FALSE)</f>
        <v>DropWizW</v>
      </c>
      <c r="P37" s="17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17">
        <f ca="1">VLOOKUP($L37,OFFSET([3]enemies!$A$1,0,0,COUNTA([3]enemies!$A:$A),MATCH(Q$1,[3]enemies!$1:$1,0)-MATCH($L$1,[3]enemies!$1:$1,0)+1),MATCH(Q$1,[3]enemies!$1:$1,0)-MATCH($L$1,[3]enemies!$1:$1,0)+1,FALSE)</f>
        <v>20</v>
      </c>
      <c r="R37" s="5">
        <v>25</v>
      </c>
      <c r="S37" s="25">
        <v>2</v>
      </c>
      <c r="T37" s="25">
        <v>1</v>
      </c>
      <c r="U37" s="5">
        <v>0</v>
      </c>
      <c r="V37" s="4" t="str">
        <f ca="1">VLOOKUP($W37,OFFSET([5]enemy_skill_sets!$B$1,0,0,COUNTA([5]enemy_skill_sets!$B:$B),MATCH(M$1,[5]enemy_skill_sets!$1:$1,0)-MATCH($W$1,[5]enemy_skill_sets!$1:$1,0)+2),MATCH(M$1,[5]enemy_skill_sets!$1:$1,0)-MATCH($W$1,[5]enemy_skill_sets!$1:$1,0)+2,FALSE)</f>
        <v>とても幸せそうだ</v>
      </c>
      <c r="W37" s="4">
        <f ca="1">VLOOKUP($L37,OFFSET([3]enemies!$A$1,0,0,COUNTA([3]enemies!$A:$A),MATCH(W$1,[3]enemies!$1:$1,0)-MATCH($L$1,[3]enemies!$1:$1,0)+1),MATCH(W$1,[3]enemies!$1:$1,0)-MATCH($L$1,[3]enemies!$1:$1,0)+1,FALSE)</f>
        <v>79</v>
      </c>
      <c r="X37" s="6">
        <v>0</v>
      </c>
      <c r="Y37" s="6">
        <v>30</v>
      </c>
      <c r="Z37" s="6">
        <v>1</v>
      </c>
      <c r="AA37" s="17">
        <v>2</v>
      </c>
      <c r="AB37" s="24">
        <f t="shared" si="8"/>
        <v>79</v>
      </c>
      <c r="AC37" s="4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ハッピー100</v>
      </c>
      <c r="AD37" s="4">
        <f ca="1">VLOOKUP($AB37,OFFSET([4]characters!$A$1,0,0,COUNTA([4]characters!$A:$A),MATCH(AD$1,[4]characters!$1:$1,0)-MATCH("character_id",[4]characters!$1:$1,0)+1),MATCH(AD$1,[4]characters!$1:$1,0)-MATCH("character_id",[4]characters!$1:$1,0)+1,FALSE)</f>
        <v>3</v>
      </c>
      <c r="AE37" s="4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37" s="7">
        <v>1</v>
      </c>
      <c r="AG37" s="24">
        <f t="shared" ca="1" si="9"/>
        <v>3</v>
      </c>
      <c r="AH37" s="8">
        <v>20</v>
      </c>
      <c r="AI37" s="7">
        <v>0</v>
      </c>
      <c r="AJ37" s="7">
        <v>0</v>
      </c>
      <c r="AK37" s="7">
        <v>0</v>
      </c>
      <c r="AL37" s="7">
        <v>0</v>
      </c>
      <c r="AM37" s="7">
        <v>1</v>
      </c>
      <c r="AN37" s="69">
        <v>1</v>
      </c>
    </row>
    <row r="38" spans="1:40" ht="21" customHeight="1" x14ac:dyDescent="0.15">
      <c r="A38" s="16" t="str">
        <f t="shared" si="5"/>
        <v>39005_2-2/83&lt;lv25&gt;s2</v>
      </c>
      <c r="B38" s="22">
        <v>39005</v>
      </c>
      <c r="C38" s="21">
        <v>2</v>
      </c>
      <c r="D38" s="2" t="str">
        <f t="shared" si="6"/>
        <v>39005_2</v>
      </c>
      <c r="E38" s="4" t="str">
        <f ca="1">VLOOKUP($B38,OFFSET([2]quests!$A$1,0,0,COUNTA([2]quests!$A:$A),MATCH(E$1,[2]quests!$1:$1,0)-MATCH($B$1,[2]quests!$1:$1,0)+1),MATCH(E$1,[2]quests!$1:$1,0)-MATCH($B$1,[2]quests!$1:$1,0)+1,FALSE)</f>
        <v xml:space="preserve">ミクエキスポ </v>
      </c>
      <c r="F38" s="4" t="str">
        <f ca="1">VLOOKUP($D38,OFFSET([2]stages!$A$1,0,0,COUNTA([2]stages!$A:$A),MATCH(F$1,[2]stages!$2:$2,0)-MATCH($D$1,[2]stages!$2:$2,0)+1),MATCH(F$1,[2]stages!$2:$2,0)-MATCH($D$1,[2]stages!$2:$2,0)+1,FALSE)</f>
        <v>【中級】ミクエキスポ</v>
      </c>
      <c r="G38" s="96">
        <v>2</v>
      </c>
      <c r="H38" s="15" t="str">
        <f t="shared" si="7"/>
        <v>39005_2-2</v>
      </c>
      <c r="I38" s="4">
        <f ca="1">VLOOKUP($H38,OFFSET(floors!$A$1,0,0,COUNTA(floors!$A:$A),MATCH(I$1,floors!$1:$1,0)-MATCH($H$1,floors!$1:$1,0)+1),MATCH(I$1,floors!$1:$1,0)-MATCH($H$1,floors!$1:$1,0)+1,FALSE)</f>
        <v>60</v>
      </c>
      <c r="J38" s="4">
        <f ca="1">VLOOKUP($H38,OFFSET(floors!$A$1,0,0,COUNTA(floors!$A:$A),MATCH(J$1,floors!$1:$1,0)-MATCH($H$1,floors!$1:$1,0)+1),MATCH(J$1,floors!$1:$1,0)-MATCH($H$1,floors!$1:$1,0)+1,FALSE)</f>
        <v>60</v>
      </c>
      <c r="K38" s="38" t="s">
        <v>53</v>
      </c>
      <c r="L38" s="20">
        <v>83</v>
      </c>
      <c r="M38" s="17" t="str">
        <f ca="1">VLOOKUP($L38,OFFSET([3]enemies!$A$1,0,0,COUNTA([3]enemies!$A:$A),MATCH(M$1,[3]enemies!$1:$1,0)-MATCH($L$1,[3]enemies!$1:$1,0)+1),MATCH(M$1,[3]enemies!$1:$1,0)-MATCH($L$1,[3]enemies!$1:$1,0)+1,FALSE)</f>
        <v>拡散性ニムダ</v>
      </c>
      <c r="N38" s="17" t="str">
        <f ca="1">VLOOKUP($L38,OFFSET([3]enemies!$A$1,0,0,COUNTA([3]enemies!$A:$A),MATCH(N$1,[3]enemies!$1:$1,0)-MATCH($L$1,[3]enemies!$1:$1,0)+1),MATCH(N$1,[3]enemies!$1:$1,0)-MATCH($L$1,[3]enemies!$1:$1,0)+1,FALSE)</f>
        <v>yellow</v>
      </c>
      <c r="O38" s="17" t="str">
        <f ca="1">VLOOKUP($L38,OFFSET([4]characters!$A$1,0,0,COUNTA([4]characters!$A:$A),MATCH(O$1,[4]characters!$1:$1,0)-MATCH($L$1,[4]characters!$1:$1,0)+1),MATCH(O$1,[4]characters!$1:$1,0)-MATCH($L$1,[4]characters!$1:$1,0)+1,FALSE)</f>
        <v>DropWizW</v>
      </c>
      <c r="P38" s="17" t="str">
        <f ca="1">VLOOKUP($L38,OFFSET([3]enemies!$A$1,0,0,COUNTA([3]enemies!$A:$A),MATCH(P$1,[3]enemies!$1:$1,0)-MATCH($L$1,[3]enemies!$1:$1,0)+1),MATCH(P$1,[3]enemies!$1:$1,0)-MATCH($L$1,[3]enemies!$1:$1,0)+1,FALSE)</f>
        <v>unknown</v>
      </c>
      <c r="Q38" s="17">
        <f ca="1">VLOOKUP($L38,OFFSET([3]enemies!$A$1,0,0,COUNTA([3]enemies!$A:$A),MATCH(Q$1,[3]enemies!$1:$1,0)-MATCH($L$1,[3]enemies!$1:$1,0)+1),MATCH(Q$1,[3]enemies!$1:$1,0)-MATCH($L$1,[3]enemies!$1:$1,0)+1,FALSE)</f>
        <v>20</v>
      </c>
      <c r="R38" s="5">
        <v>25</v>
      </c>
      <c r="S38" s="25">
        <v>2</v>
      </c>
      <c r="T38" s="25">
        <v>1</v>
      </c>
      <c r="U38" s="5">
        <v>0</v>
      </c>
      <c r="V38" s="4" t="e">
        <f ca="1">VLOOKUP($W38,OFFSET(enemy_skill_sets!$B$1,0,0,COUNTA(enemy_skill_sets!$B:$B),MATCH(M$1,enemy_skill_sets!$1:$1,0)-MATCH($W$1,enemy_skill_sets!$1:$1,0)+2),MATCH(M$1,enemy_skill_sets!$1:$1,0)-MATCH($W$1,enemy_skill_sets!$1:$1,0)+2,FALSE)</f>
        <v>#N/A</v>
      </c>
      <c r="W38" s="4">
        <f ca="1">VLOOKUP($L38,OFFSET([3]enemies!$A$1,0,0,COUNTA([3]enemies!$A:$A),MATCH(W$1,[3]enemies!$1:$1,0)-MATCH($L$1,[3]enemies!$1:$1,0)+1),MATCH(W$1,[3]enemies!$1:$1,0)-MATCH($L$1,[3]enemies!$1:$1,0)+1,FALSE)</f>
        <v>83</v>
      </c>
      <c r="X38" s="6">
        <v>0</v>
      </c>
      <c r="Y38" s="6">
        <v>30</v>
      </c>
      <c r="Z38" s="6">
        <v>1</v>
      </c>
      <c r="AA38" s="17">
        <v>2</v>
      </c>
      <c r="AB38" s="24">
        <f t="shared" si="8"/>
        <v>83</v>
      </c>
      <c r="AC38" s="4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拡散性ニムダ</v>
      </c>
      <c r="AD38" s="4">
        <f ca="1">VLOOKUP($AB38,OFFSET([4]characters!$A$1,0,0,COUNTA([4]characters!$A:$A),MATCH(AD$1,[4]characters!$1:$1,0)-MATCH("character_id",[4]characters!$1:$1,0)+1),MATCH(AD$1,[4]characters!$1:$1,0)-MATCH("character_id",[4]characters!$1:$1,0)+1,FALSE)</f>
        <v>3</v>
      </c>
      <c r="AE38" s="4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38" s="7">
        <v>1</v>
      </c>
      <c r="AG38" s="24">
        <f t="shared" ca="1" si="9"/>
        <v>3</v>
      </c>
      <c r="AH38" s="8">
        <v>20</v>
      </c>
      <c r="AI38" s="7">
        <v>0</v>
      </c>
      <c r="AJ38" s="7">
        <v>0</v>
      </c>
      <c r="AK38" s="7">
        <v>0</v>
      </c>
      <c r="AL38" s="7">
        <v>0</v>
      </c>
      <c r="AM38" s="7">
        <v>1</v>
      </c>
      <c r="AN38" s="69">
        <v>1</v>
      </c>
    </row>
    <row r="39" spans="1:40" ht="21" customHeight="1" x14ac:dyDescent="0.15">
      <c r="A39" s="16" t="str">
        <f t="shared" si="5"/>
        <v>39005_2-3/8029&lt;lv35&gt;s2</v>
      </c>
      <c r="B39" s="22">
        <v>39005</v>
      </c>
      <c r="C39" s="21">
        <v>2</v>
      </c>
      <c r="D39" s="2" t="str">
        <f t="shared" si="6"/>
        <v>39005_2</v>
      </c>
      <c r="E39" s="4" t="str">
        <f ca="1">VLOOKUP($B39,OFFSET([2]quests!$A$1,0,0,COUNTA([2]quests!$A:$A),MATCH(E$1,[2]quests!$1:$1,0)-MATCH($B$1,[2]quests!$1:$1,0)+1),MATCH(E$1,[2]quests!$1:$1,0)-MATCH($B$1,[2]quests!$1:$1,0)+1,FALSE)</f>
        <v xml:space="preserve">ミクエキスポ </v>
      </c>
      <c r="F39" s="4" t="str">
        <f ca="1">VLOOKUP($D39,OFFSET([2]stages!$A$1,0,0,COUNTA([2]stages!$A:$A),MATCH(F$1,[2]stages!$2:$2,0)-MATCH($D$1,[2]stages!$2:$2,0)+1),MATCH(F$1,[2]stages!$2:$2,0)-MATCH($D$1,[2]stages!$2:$2,0)+1,FALSE)</f>
        <v>【中級】ミクエキスポ</v>
      </c>
      <c r="G39" s="97">
        <v>3</v>
      </c>
      <c r="H39" s="15" t="str">
        <f t="shared" si="7"/>
        <v>39005_2-3</v>
      </c>
      <c r="I39" s="4">
        <f ca="1">VLOOKUP($H39,OFFSET(floors!$A$1,0,0,COUNTA(floors!$A:$A),MATCH(I$1,floors!$1:$1,0)-MATCH($H$1,floors!$1:$1,0)+1),MATCH(I$1,floors!$1:$1,0)-MATCH($H$1,floors!$1:$1,0)+1,FALSE)</f>
        <v>30</v>
      </c>
      <c r="J39" s="4">
        <f ca="1">VLOOKUP($H39,OFFSET(floors!$A$1,0,0,COUNTA(floors!$A:$A),MATCH(J$1,floors!$1:$1,0)-MATCH($H$1,floors!$1:$1,0)+1),MATCH(J$1,floors!$1:$1,0)-MATCH($H$1,floors!$1:$1,0)+1,FALSE)</f>
        <v>30</v>
      </c>
      <c r="K39" s="38" t="s">
        <v>53</v>
      </c>
      <c r="L39" s="20">
        <v>8029</v>
      </c>
      <c r="M39" s="17" t="str">
        <f ca="1">VLOOKUP($L39,OFFSET([3]enemies!$A$1,0,0,COUNTA([3]enemies!$A:$A),MATCH(M$1,[3]enemies!$1:$1,0)-MATCH($L$1,[3]enemies!$1:$1,0)+1),MATCH(M$1,[3]enemies!$1:$1,0)-MATCH($L$1,[3]enemies!$1:$1,0)+1,FALSE)</f>
        <v>CO04_ EV01_R4</v>
      </c>
      <c r="N39" s="17" t="str">
        <f ca="1">VLOOKUP($L39,OFFSET([3]enemies!$A$1,0,0,COUNTA([3]enemies!$A:$A),MATCH(N$1,[3]enemies!$1:$1,0)-MATCH($L$1,[3]enemies!$1:$1,0)+1),MATCH(N$1,[3]enemies!$1:$1,0)-MATCH($L$1,[3]enemies!$1:$1,0)+1,FALSE)</f>
        <v>blue</v>
      </c>
      <c r="O39" s="17" t="str">
        <f ca="1">VLOOKUP($L39,OFFSET([4]characters!$A$1,0,0,COUNTA([4]characters!$A:$A),MATCH(O$1,[4]characters!$1:$1,0)-MATCH($L$1,[4]characters!$1:$1,0)+1),MATCH(O$1,[4]characters!$1:$1,0)-MATCH($L$1,[4]characters!$1:$1,0)+1,FALSE)</f>
        <v>Drop2N</v>
      </c>
      <c r="P39" s="17" t="str">
        <f ca="1">VLOOKUP($L39,OFFSET([3]enemies!$A$1,0,0,COUNTA([3]enemies!$A:$A),MATCH(P$1,[3]enemies!$1:$1,0)-MATCH($L$1,[3]enemies!$1:$1,0)+1),MATCH(P$1,[3]enemies!$1:$1,0)-MATCH($L$1,[3]enemies!$1:$1,0)+1,FALSE)</f>
        <v>unknown</v>
      </c>
      <c r="Q39" s="17">
        <f ca="1">VLOOKUP($L39,OFFSET([3]enemies!$A$1,0,0,COUNTA([3]enemies!$A:$A),MATCH(Q$1,[3]enemies!$1:$1,0)-MATCH($L$1,[3]enemies!$1:$1,0)+1),MATCH(Q$1,[3]enemies!$1:$1,0)-MATCH($L$1,[3]enemies!$1:$1,0)+1,FALSE)</f>
        <v>20</v>
      </c>
      <c r="R39" s="5">
        <v>35</v>
      </c>
      <c r="S39" s="25">
        <v>1.9</v>
      </c>
      <c r="T39" s="25">
        <v>1</v>
      </c>
      <c r="U39" s="5">
        <v>0</v>
      </c>
      <c r="V39" s="4" t="str">
        <f ca="1">VLOOKUP($W39,OFFSET(enemy_skill_sets!$B$1,0,0,COUNTA(enemy_skill_sets!$B:$B),MATCH(M$1,enemy_skill_sets!$1:$1,0)-MATCH($W$1,enemy_skill_sets!$1:$1,0)+2),MATCH(M$1,enemy_skill_sets!$1:$1,0)-MATCH($W$1,enemy_skill_sets!$1:$1,0)+2,FALSE)</f>
        <v>3ターン防御力UP</v>
      </c>
      <c r="W39" s="98">
        <v>39005006</v>
      </c>
      <c r="X39" s="6">
        <v>1</v>
      </c>
      <c r="Y39" s="6">
        <v>100</v>
      </c>
      <c r="Z39" s="6">
        <v>1</v>
      </c>
      <c r="AA39" s="17">
        <v>2</v>
      </c>
      <c r="AB39" s="24">
        <f t="shared" si="8"/>
        <v>8029</v>
      </c>
      <c r="AC39" s="4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CO04_ EV01_R4</v>
      </c>
      <c r="AD39" s="4">
        <f ca="1">VLOOKUP($AB39,OFFSET([4]characters!$A$1,0,0,COUNTA([4]characters!$A:$A),MATCH(AD$1,[4]characters!$1:$1,0)-MATCH("character_id",[4]characters!$1:$1,0)+1),MATCH(AD$1,[4]characters!$1:$1,0)-MATCH("character_id",[4]characters!$1:$1,0)+1,FALSE)</f>
        <v>4</v>
      </c>
      <c r="AE39" s="4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Drop2N</v>
      </c>
      <c r="AF39" s="7">
        <v>1</v>
      </c>
      <c r="AG39" s="24">
        <f t="shared" ca="1" si="9"/>
        <v>4</v>
      </c>
      <c r="AH39" s="131">
        <v>20</v>
      </c>
      <c r="AI39" s="7">
        <v>0</v>
      </c>
      <c r="AJ39" s="7">
        <v>0</v>
      </c>
      <c r="AK39" s="7">
        <v>0</v>
      </c>
      <c r="AL39" s="7">
        <v>0</v>
      </c>
      <c r="AM39" s="7">
        <v>1</v>
      </c>
      <c r="AN39" s="69">
        <v>1</v>
      </c>
    </row>
    <row r="40" spans="1:40" ht="21" customHeight="1" x14ac:dyDescent="0.15">
      <c r="A40" s="16" t="str">
        <f t="shared" si="5"/>
        <v>39005_3-1/1&lt;lv35&gt;s1</v>
      </c>
      <c r="B40" s="22">
        <v>39005</v>
      </c>
      <c r="C40" s="21">
        <v>3</v>
      </c>
      <c r="D40" s="2" t="str">
        <f t="shared" si="6"/>
        <v>39005_3</v>
      </c>
      <c r="E40" s="4" t="str">
        <f ca="1">VLOOKUP($B40,OFFSET([2]quests!$A$1,0,0,COUNTA([2]quests!$A:$A),MATCH(E$1,[2]quests!$1:$1,0)-MATCH($B$1,[2]quests!$1:$1,0)+1),MATCH(E$1,[2]quests!$1:$1,0)-MATCH($B$1,[2]quests!$1:$1,0)+1,FALSE)</f>
        <v xml:space="preserve">ミクエキスポ </v>
      </c>
      <c r="F40" s="4" t="str">
        <f ca="1">VLOOKUP($D40,OFFSET([2]stages!$A$1,0,0,COUNTA([2]stages!$A:$A),MATCH(F$1,[2]stages!$2:$2,0)-MATCH($D$1,[2]stages!$2:$2,0)+1),MATCH(F$1,[2]stages!$2:$2,0)-MATCH($D$1,[2]stages!$2:$2,0)+1,FALSE)</f>
        <v>【上級】ミクエキスポ</v>
      </c>
      <c r="G40" s="94">
        <v>1</v>
      </c>
      <c r="H40" s="15" t="str">
        <f t="shared" si="7"/>
        <v>39005_3-1</v>
      </c>
      <c r="I40" s="4">
        <f ca="1">VLOOKUP($H40,OFFSET(floors!$A$1,0,0,COUNTA(floors!$A:$A),MATCH(I$1,floors!$1:$1,0)-MATCH($H$1,floors!$1:$1,0)+1),MATCH(I$1,floors!$1:$1,0)-MATCH($H$1,floors!$1:$1,0)+1,FALSE)</f>
        <v>45</v>
      </c>
      <c r="J40" s="4">
        <f ca="1">VLOOKUP($H40,OFFSET(floors!$A$1,0,0,COUNTA(floors!$A:$A),MATCH(J$1,floors!$1:$1,0)-MATCH($H$1,floors!$1:$1,0)+1),MATCH(J$1,floors!$1:$1,0)-MATCH($H$1,floors!$1:$1,0)+1,FALSE)</f>
        <v>45</v>
      </c>
      <c r="K40" s="38" t="s">
        <v>53</v>
      </c>
      <c r="L40" s="20">
        <v>1</v>
      </c>
      <c r="M40" s="17" t="str">
        <f ca="1">VLOOKUP($L40,OFFSET([3]enemies!$A$1,0,0,COUNTA([3]enemies!$A:$A),MATCH(M$1,[3]enemies!$1:$1,0)-MATCH($L$1,[3]enemies!$1:$1,0)+1),MATCH(M$1,[3]enemies!$1:$1,0)-MATCH($L$1,[3]enemies!$1:$1,0)+1,FALSE)</f>
        <v>ジェリー</v>
      </c>
      <c r="N40" s="17" t="str">
        <f ca="1">VLOOKUP($L40,OFFSET([3]enemies!$A$1,0,0,COUNTA([3]enemies!$A:$A),MATCH(N$1,[3]enemies!$1:$1,0)-MATCH($L$1,[3]enemies!$1:$1,0)+1),MATCH(N$1,[3]enemies!$1:$1,0)-MATCH($L$1,[3]enemies!$1:$1,0)+1,FALSE)</f>
        <v>red</v>
      </c>
      <c r="O40" s="17" t="str">
        <f ca="1">VLOOKUP($L40,OFFSET([4]characters!$A$1,0,0,COUNTA([4]characters!$A:$A),MATCH(O$1,[4]characters!$1:$1,0)-MATCH($L$1,[4]characters!$1:$1,0)+1),MATCH(O$1,[4]characters!$1:$1,0)-MATCH($L$1,[4]characters!$1:$1,0)+1,FALSE)</f>
        <v>Drop1T</v>
      </c>
      <c r="P40" s="17" t="str">
        <f ca="1">VLOOKUP($L40,OFFSET([3]enemies!$A$1,0,0,COUNTA([3]enemies!$A:$A),MATCH(P$1,[3]enemies!$1:$1,0)-MATCH($L$1,[3]enemies!$1:$1,0)+1),MATCH(P$1,[3]enemies!$1:$1,0)-MATCH($L$1,[3]enemies!$1:$1,0)+1,FALSE)</f>
        <v>unknown</v>
      </c>
      <c r="Q40" s="17">
        <f ca="1">VLOOKUP($L40,OFFSET([3]enemies!$A$1,0,0,COUNTA([3]enemies!$A:$A),MATCH(Q$1,[3]enemies!$1:$1,0)-MATCH($L$1,[3]enemies!$1:$1,0)+1),MATCH(Q$1,[3]enemies!$1:$1,0)-MATCH($L$1,[3]enemies!$1:$1,0)+1,FALSE)</f>
        <v>15</v>
      </c>
      <c r="R40" s="5">
        <v>35</v>
      </c>
      <c r="S40" s="25">
        <v>1.1000000000000001</v>
      </c>
      <c r="T40" s="25">
        <v>0.4</v>
      </c>
      <c r="U40" s="5">
        <v>0</v>
      </c>
      <c r="V40" s="4" t="str">
        <f ca="1">VLOOKUP($W40,OFFSET([5]enemy_skill_sets!$B$1,0,0,COUNTA([5]enemy_skill_sets!$B:$B),MATCH(M$1,[5]enemy_skill_sets!$1:$1,0)-MATCH($W$1,[5]enemy_skill_sets!$1:$1,0)+2),MATCH(M$1,[5]enemy_skill_sets!$1:$1,0)-MATCH($W$1,[5]enemy_skill_sets!$1:$1,0)+2,FALSE)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0" s="4">
        <f ca="1">VLOOKUP($L40,OFFSET([3]enemies!$A$1,0,0,COUNTA([3]enemies!$A:$A),MATCH(W$1,[3]enemies!$1:$1,0)-MATCH($L$1,[3]enemies!$1:$1,0)+1),MATCH(W$1,[3]enemies!$1:$1,0)-MATCH($L$1,[3]enemies!$1:$1,0)+1,FALSE)</f>
        <v>0</v>
      </c>
      <c r="X40" s="6">
        <v>0</v>
      </c>
      <c r="Y40" s="6">
        <v>100</v>
      </c>
      <c r="Z40" s="6">
        <v>0</v>
      </c>
      <c r="AA40" s="17">
        <v>1</v>
      </c>
      <c r="AB40" s="24">
        <f t="shared" si="8"/>
        <v>1</v>
      </c>
      <c r="AC40" s="4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40" s="4">
        <f ca="1">VLOOKUP($AB40,OFFSET([4]characters!$A$1,0,0,COUNTA([4]characters!$A:$A),MATCH(AD$1,[4]characters!$1:$1,0)-MATCH("character_id",[4]characters!$1:$1,0)+1),MATCH(AD$1,[4]characters!$1:$1,0)-MATCH("character_id",[4]characters!$1:$1,0)+1,FALSE)</f>
        <v>1</v>
      </c>
      <c r="AE40" s="4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Drop1T</v>
      </c>
      <c r="AF40" s="7">
        <v>1</v>
      </c>
      <c r="AG40" s="24">
        <f t="shared" ca="1" si="9"/>
        <v>1</v>
      </c>
      <c r="AH40" s="8">
        <v>20</v>
      </c>
      <c r="AI40" s="7">
        <v>0</v>
      </c>
      <c r="AJ40" s="7">
        <v>0</v>
      </c>
      <c r="AK40" s="7">
        <v>0</v>
      </c>
      <c r="AL40" s="7">
        <v>0</v>
      </c>
      <c r="AM40" s="7">
        <v>1</v>
      </c>
      <c r="AN40" s="69">
        <v>1</v>
      </c>
    </row>
    <row r="41" spans="1:40" ht="21" customHeight="1" x14ac:dyDescent="0.15">
      <c r="A41" s="16" t="str">
        <f t="shared" ref="A41:A42" si="10">B41&amp;"_"&amp;C41&amp;"-"&amp;G41&amp;"/"&amp;L41&amp;"&lt;lv"&amp;R41&amp;"&gt;s"&amp;AA41</f>
        <v>39005_3-1/3&lt;lv35&gt;s2</v>
      </c>
      <c r="B41" s="22">
        <v>39005</v>
      </c>
      <c r="C41" s="21">
        <v>3</v>
      </c>
      <c r="D41" s="2" t="str">
        <f t="shared" ref="D41:D42" si="11">B41&amp;"_"&amp;C41</f>
        <v>39005_3</v>
      </c>
      <c r="E41" s="4" t="str">
        <f ca="1">VLOOKUP($B41,OFFSET([2]quests!$A$1,0,0,COUNTA([2]quests!$A:$A),MATCH(E$1,[2]quests!$1:$1,0)-MATCH($B$1,[2]quests!$1:$1,0)+1),MATCH(E$1,[2]quests!$1:$1,0)-MATCH($B$1,[2]quests!$1:$1,0)+1,FALSE)</f>
        <v xml:space="preserve">ミクエキスポ </v>
      </c>
      <c r="F41" s="4" t="str">
        <f ca="1">VLOOKUP($D41,OFFSET([2]stages!$A$1,0,0,COUNTA([2]stages!$A:$A),MATCH(F$1,[2]stages!$2:$2,0)-MATCH($D$1,[2]stages!$2:$2,0)+1),MATCH(F$1,[2]stages!$2:$2,0)-MATCH($D$1,[2]stages!$2:$2,0)+1,FALSE)</f>
        <v>【上級】ミクエキスポ</v>
      </c>
      <c r="G41" s="94">
        <v>1</v>
      </c>
      <c r="H41" s="15" t="str">
        <f t="shared" ref="H41:H42" si="12">B41&amp;"_"&amp;C41&amp;"-"&amp;G41</f>
        <v>39005_3-1</v>
      </c>
      <c r="I41" s="4">
        <f ca="1">VLOOKUP($H41,OFFSET(floors!$A$1,0,0,COUNTA(floors!$A:$A),MATCH(I$1,floors!$1:$1,0)-MATCH($H$1,floors!$1:$1,0)+1),MATCH(I$1,floors!$1:$1,0)-MATCH($H$1,floors!$1:$1,0)+1,FALSE)</f>
        <v>45</v>
      </c>
      <c r="J41" s="4">
        <f ca="1">VLOOKUP($H41,OFFSET(floors!$A$1,0,0,COUNTA(floors!$A:$A),MATCH(J$1,floors!$1:$1,0)-MATCH($H$1,floors!$1:$1,0)+1),MATCH(J$1,floors!$1:$1,0)-MATCH($H$1,floors!$1:$1,0)+1,FALSE)</f>
        <v>45</v>
      </c>
      <c r="K41" s="38" t="s">
        <v>53</v>
      </c>
      <c r="L41" s="20">
        <v>3</v>
      </c>
      <c r="M41" s="17" t="str">
        <f ca="1">VLOOKUP($L41,OFFSET([3]enemies!$A$1,0,0,COUNTA([3]enemies!$A:$A),MATCH(M$1,[3]enemies!$1:$1,0)-MATCH($L$1,[3]enemies!$1:$1,0)+1),MATCH(M$1,[3]enemies!$1:$1,0)-MATCH($L$1,[3]enemies!$1:$1,0)+1,FALSE)</f>
        <v>エージェント ジョー</v>
      </c>
      <c r="N41" s="17" t="str">
        <f ca="1">VLOOKUP($L41,OFFSET([3]enemies!$A$1,0,0,COUNTA([3]enemies!$A:$A),MATCH(N$1,[3]enemies!$1:$1,0)-MATCH($L$1,[3]enemies!$1:$1,0)+1),MATCH(N$1,[3]enemies!$1:$1,0)-MATCH($L$1,[3]enemies!$1:$1,0)+1,FALSE)</f>
        <v>green</v>
      </c>
      <c r="O41" s="17" t="str">
        <f ca="1">VLOOKUP($L41,OFFSET([4]characters!$A$1,0,0,COUNTA([4]characters!$A:$A),MATCH(O$1,[4]characters!$1:$1,0)-MATCH($L$1,[4]characters!$1:$1,0)+1),MATCH(O$1,[4]characters!$1:$1,0)-MATCH($L$1,[4]characters!$1:$1,0)+1,FALSE)</f>
        <v>Drop1T</v>
      </c>
      <c r="P41" s="17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17">
        <f ca="1">VLOOKUP($L41,OFFSET([3]enemies!$A$1,0,0,COUNTA([3]enemies!$A:$A),MATCH(Q$1,[3]enemies!$1:$1,0)-MATCH($L$1,[3]enemies!$1:$1,0)+1),MATCH(Q$1,[3]enemies!$1:$1,0)-MATCH($L$1,[3]enemies!$1:$1,0)+1,FALSE)</f>
        <v>15</v>
      </c>
      <c r="R41" s="5">
        <v>35</v>
      </c>
      <c r="S41" s="25">
        <v>1.2</v>
      </c>
      <c r="T41" s="25">
        <v>0.5</v>
      </c>
      <c r="U41" s="5">
        <v>0</v>
      </c>
      <c r="V41" s="4" t="str">
        <f ca="1">VLOOKUP($W41,OFFSET([5]enemy_skill_sets!$B$1,0,0,COUNTA([5]enemy_skill_sets!$B:$B),MATCH(M$1,[5]enemy_skill_sets!$1:$1,0)-MATCH($W$1,[5]enemy_skill_sets!$1:$1,0)+2),MATCH(M$1,[5]enemy_skill_sets!$1:$1,0)-MATCH($W$1,[5]enemy_skill_sets!$1:$1,0)+2,FALSE)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1" s="4">
        <f ca="1">VLOOKUP($L41,OFFSET([3]enemies!$A$1,0,0,COUNTA([3]enemies!$A:$A),MATCH(W$1,[3]enemies!$1:$1,0)-MATCH($L$1,[3]enemies!$1:$1,0)+1),MATCH(W$1,[3]enemies!$1:$1,0)-MATCH($L$1,[3]enemies!$1:$1,0)+1,FALSE)</f>
        <v>0</v>
      </c>
      <c r="X41" s="6">
        <v>0</v>
      </c>
      <c r="Y41" s="6">
        <v>100</v>
      </c>
      <c r="Z41" s="6">
        <v>0</v>
      </c>
      <c r="AA41" s="17">
        <v>2</v>
      </c>
      <c r="AB41" s="24">
        <f t="shared" ref="AB41:AB42" si="13">L41</f>
        <v>3</v>
      </c>
      <c r="AC41" s="4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41" s="4">
        <f ca="1">VLOOKUP($AB41,OFFSET([4]characters!$A$1,0,0,COUNTA([4]characters!$A:$A),MATCH(AD$1,[4]characters!$1:$1,0)-MATCH("character_id",[4]characters!$1:$1,0)+1),MATCH(AD$1,[4]characters!$1:$1,0)-MATCH("character_id",[4]characters!$1:$1,0)+1,FALSE)</f>
        <v>1</v>
      </c>
      <c r="AE41" s="4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Drop1T</v>
      </c>
      <c r="AF41" s="7">
        <v>1</v>
      </c>
      <c r="AG41" s="24">
        <f t="shared" ref="AG41:AG42" ca="1" si="14">AD41</f>
        <v>1</v>
      </c>
      <c r="AH41" s="8">
        <v>20</v>
      </c>
      <c r="AI41" s="7">
        <v>0</v>
      </c>
      <c r="AJ41" s="7">
        <v>0</v>
      </c>
      <c r="AK41" s="7">
        <v>0</v>
      </c>
      <c r="AL41" s="7">
        <v>0</v>
      </c>
      <c r="AM41" s="7">
        <v>1</v>
      </c>
      <c r="AN41" s="69">
        <v>1</v>
      </c>
    </row>
    <row r="42" spans="1:40" ht="21" customHeight="1" x14ac:dyDescent="0.15">
      <c r="A42" s="16" t="str">
        <f t="shared" si="10"/>
        <v>39005_3-1/5&lt;lv35&gt;s3</v>
      </c>
      <c r="B42" s="22">
        <v>39005</v>
      </c>
      <c r="C42" s="21">
        <v>3</v>
      </c>
      <c r="D42" s="2" t="str">
        <f t="shared" si="11"/>
        <v>39005_3</v>
      </c>
      <c r="E42" s="4" t="str">
        <f ca="1">VLOOKUP($B42,OFFSET([2]quests!$A$1,0,0,COUNTA([2]quests!$A:$A),MATCH(E$1,[2]quests!$1:$1,0)-MATCH($B$1,[2]quests!$1:$1,0)+1),MATCH(E$1,[2]quests!$1:$1,0)-MATCH($B$1,[2]quests!$1:$1,0)+1,FALSE)</f>
        <v xml:space="preserve">ミクエキスポ </v>
      </c>
      <c r="F42" s="4" t="str">
        <f ca="1">VLOOKUP($D42,OFFSET([2]stages!$A$1,0,0,COUNTA([2]stages!$A:$A),MATCH(F$1,[2]stages!$2:$2,0)-MATCH($D$1,[2]stages!$2:$2,0)+1),MATCH(F$1,[2]stages!$2:$2,0)-MATCH($D$1,[2]stages!$2:$2,0)+1,FALSE)</f>
        <v>【上級】ミクエキスポ</v>
      </c>
      <c r="G42" s="94">
        <v>1</v>
      </c>
      <c r="H42" s="15" t="str">
        <f t="shared" si="12"/>
        <v>39005_3-1</v>
      </c>
      <c r="I42" s="4">
        <f ca="1">VLOOKUP($H42,OFFSET(floors!$A$1,0,0,COUNTA(floors!$A:$A),MATCH(I$1,floors!$1:$1,0)-MATCH($H$1,floors!$1:$1,0)+1),MATCH(I$1,floors!$1:$1,0)-MATCH($H$1,floors!$1:$1,0)+1,FALSE)</f>
        <v>45</v>
      </c>
      <c r="J42" s="4">
        <f ca="1">VLOOKUP($H42,OFFSET(floors!$A$1,0,0,COUNTA(floors!$A:$A),MATCH(J$1,floors!$1:$1,0)-MATCH($H$1,floors!$1:$1,0)+1),MATCH(J$1,floors!$1:$1,0)-MATCH($H$1,floors!$1:$1,0)+1,FALSE)</f>
        <v>45</v>
      </c>
      <c r="K42" s="38" t="s">
        <v>53</v>
      </c>
      <c r="L42" s="20">
        <v>5</v>
      </c>
      <c r="M42" s="17" t="str">
        <f ca="1">VLOOKUP($L42,OFFSET([3]enemies!$A$1,0,0,COUNTA([3]enemies!$A:$A),MATCH(M$1,[3]enemies!$1:$1,0)-MATCH($L$1,[3]enemies!$1:$1,0)+1),MATCH(M$1,[3]enemies!$1:$1,0)-MATCH($L$1,[3]enemies!$1:$1,0)+1,FALSE)</f>
        <v>パトドッグ ポチ</v>
      </c>
      <c r="N42" s="17" t="str">
        <f ca="1">VLOOKUP($L42,OFFSET([3]enemies!$A$1,0,0,COUNTA([3]enemies!$A:$A),MATCH(N$1,[3]enemies!$1:$1,0)-MATCH($L$1,[3]enemies!$1:$1,0)+1),MATCH(N$1,[3]enemies!$1:$1,0)-MATCH($L$1,[3]enemies!$1:$1,0)+1,FALSE)</f>
        <v>blue</v>
      </c>
      <c r="O42" s="17" t="str">
        <f ca="1">VLOOKUP($L42,OFFSET([4]characters!$A$1,0,0,COUNTA([4]characters!$A:$A),MATCH(O$1,[4]characters!$1:$1,0)-MATCH($L$1,[4]characters!$1:$1,0)+1),MATCH(O$1,[4]characters!$1:$1,0)-MATCH($L$1,[4]characters!$1:$1,0)+1,FALSE)</f>
        <v>Drop1T</v>
      </c>
      <c r="P42" s="17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17">
        <f ca="1">VLOOKUP($L42,OFFSET([3]enemies!$A$1,0,0,COUNTA([3]enemies!$A:$A),MATCH(Q$1,[3]enemies!$1:$1,0)-MATCH($L$1,[3]enemies!$1:$1,0)+1),MATCH(Q$1,[3]enemies!$1:$1,0)-MATCH($L$1,[3]enemies!$1:$1,0)+1,FALSE)</f>
        <v>15</v>
      </c>
      <c r="R42" s="5">
        <v>35</v>
      </c>
      <c r="S42" s="25">
        <v>1</v>
      </c>
      <c r="T42" s="25">
        <v>0.8</v>
      </c>
      <c r="U42" s="5">
        <v>0</v>
      </c>
      <c r="V42" s="4" t="str">
        <f ca="1">VLOOKUP($W42,OFFSET([5]enemy_skill_sets!$B$1,0,0,COUNTA([5]enemy_skill_sets!$B:$B),MATCH(M$1,[5]enemy_skill_sets!$1:$1,0)-MATCH($W$1,[5]enemy_skill_sets!$1:$1,0)+2),MATCH(M$1,[5]enemy_skill_sets!$1:$1,0)-MATCH($W$1,[5]enemy_skill_sets!$1:$1,0)+2,FALSE)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2" s="4">
        <f ca="1">VLOOKUP($L42,OFFSET([3]enemies!$A$1,0,0,COUNTA([3]enemies!$A:$A),MATCH(W$1,[3]enemies!$1:$1,0)-MATCH($L$1,[3]enemies!$1:$1,0)+1),MATCH(W$1,[3]enemies!$1:$1,0)-MATCH($L$1,[3]enemies!$1:$1,0)+1,FALSE)</f>
        <v>0</v>
      </c>
      <c r="X42" s="6">
        <v>0</v>
      </c>
      <c r="Y42" s="6">
        <v>100</v>
      </c>
      <c r="Z42" s="6">
        <v>0</v>
      </c>
      <c r="AA42" s="17">
        <v>3</v>
      </c>
      <c r="AB42" s="24">
        <f t="shared" si="13"/>
        <v>5</v>
      </c>
      <c r="AC42" s="4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42" s="4">
        <f ca="1">VLOOKUP($AB42,OFFSET([4]characters!$A$1,0,0,COUNTA([4]characters!$A:$A),MATCH(AD$1,[4]characters!$1:$1,0)-MATCH("character_id",[4]characters!$1:$1,0)+1),MATCH(AD$1,[4]characters!$1:$1,0)-MATCH("character_id",[4]characters!$1:$1,0)+1,FALSE)</f>
        <v>1</v>
      </c>
      <c r="AE42" s="4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Drop1T</v>
      </c>
      <c r="AF42" s="7">
        <v>1</v>
      </c>
      <c r="AG42" s="24">
        <f t="shared" ca="1" si="14"/>
        <v>1</v>
      </c>
      <c r="AH42" s="8">
        <v>20</v>
      </c>
      <c r="AI42" s="7">
        <v>0</v>
      </c>
      <c r="AJ42" s="7">
        <v>0</v>
      </c>
      <c r="AK42" s="7">
        <v>0</v>
      </c>
      <c r="AL42" s="7">
        <v>0</v>
      </c>
      <c r="AM42" s="7">
        <v>1</v>
      </c>
      <c r="AN42" s="69">
        <v>1</v>
      </c>
    </row>
    <row r="43" spans="1:40" ht="21" customHeight="1" x14ac:dyDescent="0.15">
      <c r="A43" s="16" t="str">
        <f t="shared" ref="A43:A46" si="15">B43&amp;"_"&amp;C43&amp;"-"&amp;G43&amp;"/"&amp;L43&amp;"&lt;lv"&amp;R43&amp;"&gt;s"&amp;AA43</f>
        <v>39005_3-1/7&lt;lv35&gt;s2</v>
      </c>
      <c r="B43" s="22">
        <v>39005</v>
      </c>
      <c r="C43" s="21">
        <v>3</v>
      </c>
      <c r="D43" s="2" t="str">
        <f t="shared" ref="D43:D46" si="16">B43&amp;"_"&amp;C43</f>
        <v>39005_3</v>
      </c>
      <c r="E43" s="4" t="str">
        <f ca="1">VLOOKUP($B43,OFFSET([2]quests!$A$1,0,0,COUNTA([2]quests!$A:$A),MATCH(E$1,[2]quests!$1:$1,0)-MATCH($B$1,[2]quests!$1:$1,0)+1),MATCH(E$1,[2]quests!$1:$1,0)-MATCH($B$1,[2]quests!$1:$1,0)+1,FALSE)</f>
        <v xml:space="preserve">ミクエキスポ </v>
      </c>
      <c r="F43" s="4" t="str">
        <f ca="1">VLOOKUP($D43,OFFSET([2]stages!$A$1,0,0,COUNTA([2]stages!$A:$A),MATCH(F$1,[2]stages!$2:$2,0)-MATCH($D$1,[2]stages!$2:$2,0)+1),MATCH(F$1,[2]stages!$2:$2,0)-MATCH($D$1,[2]stages!$2:$2,0)+1,FALSE)</f>
        <v>【上級】ミクエキスポ</v>
      </c>
      <c r="G43" s="94">
        <v>1</v>
      </c>
      <c r="H43" s="15" t="str">
        <f t="shared" ref="H43:H46" si="17">B43&amp;"_"&amp;C43&amp;"-"&amp;G43</f>
        <v>39005_3-1</v>
      </c>
      <c r="I43" s="4">
        <f ca="1">VLOOKUP($H43,OFFSET(floors!$A$1,0,0,COUNTA(floors!$A:$A),MATCH(I$1,floors!$1:$1,0)-MATCH($H$1,floors!$1:$1,0)+1),MATCH(I$1,floors!$1:$1,0)-MATCH($H$1,floors!$1:$1,0)+1,FALSE)</f>
        <v>45</v>
      </c>
      <c r="J43" s="4">
        <f ca="1">VLOOKUP($H43,OFFSET(floors!$A$1,0,0,COUNTA(floors!$A:$A),MATCH(J$1,floors!$1:$1,0)-MATCH($H$1,floors!$1:$1,0)+1),MATCH(J$1,floors!$1:$1,0)-MATCH($H$1,floors!$1:$1,0)+1,FALSE)</f>
        <v>45</v>
      </c>
      <c r="K43" s="38" t="s">
        <v>53</v>
      </c>
      <c r="L43" s="20">
        <v>7</v>
      </c>
      <c r="M43" s="17" t="str">
        <f ca="1">VLOOKUP($L43,OFFSET([3]enemies!$A$1,0,0,COUNTA([3]enemies!$A:$A),MATCH(M$1,[3]enemies!$1:$1,0)-MATCH($L$1,[3]enemies!$1:$1,0)+1),MATCH(M$1,[3]enemies!$1:$1,0)-MATCH($L$1,[3]enemies!$1:$1,0)+1,FALSE)</f>
        <v>エレキポット</v>
      </c>
      <c r="N43" s="17" t="str">
        <f ca="1">VLOOKUP($L43,OFFSET([3]enemies!$A$1,0,0,COUNTA([3]enemies!$A:$A),MATCH(N$1,[3]enemies!$1:$1,0)-MATCH($L$1,[3]enemies!$1:$1,0)+1),MATCH(N$1,[3]enemies!$1:$1,0)-MATCH($L$1,[3]enemies!$1:$1,0)+1,FALSE)</f>
        <v>yellow</v>
      </c>
      <c r="O43" s="17" t="str">
        <f ca="1">VLOOKUP($L43,OFFSET([4]characters!$A$1,0,0,COUNTA([4]characters!$A:$A),MATCH(O$1,[4]characters!$1:$1,0)-MATCH($L$1,[4]characters!$1:$1,0)+1),MATCH(O$1,[4]characters!$1:$1,0)-MATCH($L$1,[4]characters!$1:$1,0)+1,FALSE)</f>
        <v>Drop1T</v>
      </c>
      <c r="P43" s="17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17">
        <f ca="1">VLOOKUP($L43,OFFSET([3]enemies!$A$1,0,0,COUNTA([3]enemies!$A:$A),MATCH(Q$1,[3]enemies!$1:$1,0)-MATCH($L$1,[3]enemies!$1:$1,0)+1),MATCH(Q$1,[3]enemies!$1:$1,0)-MATCH($L$1,[3]enemies!$1:$1,0)+1,FALSE)</f>
        <v>15</v>
      </c>
      <c r="R43" s="5">
        <v>35</v>
      </c>
      <c r="S43" s="25">
        <v>1.1000000000000001</v>
      </c>
      <c r="T43" s="25">
        <v>0.4</v>
      </c>
      <c r="U43" s="5">
        <v>0</v>
      </c>
      <c r="V43" s="4" t="str">
        <f ca="1">VLOOKUP($W43,OFFSET([5]enemy_skill_sets!$B$1,0,0,COUNTA([5]enemy_skill_sets!$B:$B),MATCH(M$1,[5]enemy_skill_sets!$1:$1,0)-MATCH($W$1,[5]enemy_skill_sets!$1:$1,0)+2),MATCH(M$1,[5]enemy_skill_sets!$1:$1,0)-MATCH($W$1,[5]enemy_skill_sets!$1:$1,0)+2,FALSE)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3" s="4">
        <f ca="1">VLOOKUP($L43,OFFSET([3]enemies!$A$1,0,0,COUNTA([3]enemies!$A:$A),MATCH(W$1,[3]enemies!$1:$1,0)-MATCH($L$1,[3]enemies!$1:$1,0)+1),MATCH(W$1,[3]enemies!$1:$1,0)-MATCH($L$1,[3]enemies!$1:$1,0)+1,FALSE)</f>
        <v>0</v>
      </c>
      <c r="X43" s="6">
        <v>0</v>
      </c>
      <c r="Y43" s="6">
        <v>100</v>
      </c>
      <c r="Z43" s="6">
        <v>0</v>
      </c>
      <c r="AA43" s="17">
        <v>2</v>
      </c>
      <c r="AB43" s="24">
        <f t="shared" ref="AB43:AB46" si="18">L43</f>
        <v>7</v>
      </c>
      <c r="AC43" s="4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43" s="4">
        <f ca="1">VLOOKUP($AB43,OFFSET([4]characters!$A$1,0,0,COUNTA([4]characters!$A:$A),MATCH(AD$1,[4]characters!$1:$1,0)-MATCH("character_id",[4]characters!$1:$1,0)+1),MATCH(AD$1,[4]characters!$1:$1,0)-MATCH("character_id",[4]characters!$1:$1,0)+1,FALSE)</f>
        <v>1</v>
      </c>
      <c r="AE43" s="4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Drop1T</v>
      </c>
      <c r="AF43" s="7">
        <v>1</v>
      </c>
      <c r="AG43" s="24">
        <f t="shared" ref="AG43:AG46" ca="1" si="19">AD43</f>
        <v>1</v>
      </c>
      <c r="AH43" s="8">
        <v>20</v>
      </c>
      <c r="AI43" s="7">
        <v>0</v>
      </c>
      <c r="AJ43" s="7">
        <v>0</v>
      </c>
      <c r="AK43" s="7">
        <v>0</v>
      </c>
      <c r="AL43" s="7">
        <v>0</v>
      </c>
      <c r="AM43" s="7">
        <v>1</v>
      </c>
      <c r="AN43" s="69">
        <v>1</v>
      </c>
    </row>
    <row r="44" spans="1:40" ht="21" customHeight="1" x14ac:dyDescent="0.15">
      <c r="A44" s="16" t="str">
        <f t="shared" si="15"/>
        <v>39005_3-1/15&lt;lv35&gt;s3</v>
      </c>
      <c r="B44" s="22">
        <v>39005</v>
      </c>
      <c r="C44" s="21">
        <v>3</v>
      </c>
      <c r="D44" s="2" t="str">
        <f t="shared" si="16"/>
        <v>39005_3</v>
      </c>
      <c r="E44" s="4" t="str">
        <f ca="1">VLOOKUP($B44,OFFSET([2]quests!$A$1,0,0,COUNTA([2]quests!$A:$A),MATCH(E$1,[2]quests!$1:$1,0)-MATCH($B$1,[2]quests!$1:$1,0)+1),MATCH(E$1,[2]quests!$1:$1,0)-MATCH($B$1,[2]quests!$1:$1,0)+1,FALSE)</f>
        <v xml:space="preserve">ミクエキスポ </v>
      </c>
      <c r="F44" s="4" t="str">
        <f ca="1">VLOOKUP($D44,OFFSET([2]stages!$A$1,0,0,COUNTA([2]stages!$A:$A),MATCH(F$1,[2]stages!$2:$2,0)-MATCH($D$1,[2]stages!$2:$2,0)+1),MATCH(F$1,[2]stages!$2:$2,0)-MATCH($D$1,[2]stages!$2:$2,0)+1,FALSE)</f>
        <v>【上級】ミクエキスポ</v>
      </c>
      <c r="G44" s="94">
        <v>1</v>
      </c>
      <c r="H44" s="15" t="str">
        <f t="shared" si="17"/>
        <v>39005_3-1</v>
      </c>
      <c r="I44" s="4">
        <f ca="1">VLOOKUP($H44,OFFSET(floors!$A$1,0,0,COUNTA(floors!$A:$A),MATCH(I$1,floors!$1:$1,0)-MATCH($H$1,floors!$1:$1,0)+1),MATCH(I$1,floors!$1:$1,0)-MATCH($H$1,floors!$1:$1,0)+1,FALSE)</f>
        <v>45</v>
      </c>
      <c r="J44" s="4">
        <f ca="1">VLOOKUP($H44,OFFSET(floors!$A$1,0,0,COUNTA(floors!$A:$A),MATCH(J$1,floors!$1:$1,0)-MATCH($H$1,floors!$1:$1,0)+1),MATCH(J$1,floors!$1:$1,0)-MATCH($H$1,floors!$1:$1,0)+1,FALSE)</f>
        <v>45</v>
      </c>
      <c r="K44" s="38" t="s">
        <v>53</v>
      </c>
      <c r="L44" s="20">
        <v>15</v>
      </c>
      <c r="M44" s="17" t="str">
        <f ca="1">VLOOKUP($L44,OFFSET([3]enemies!$A$1,0,0,COUNTA([3]enemies!$A:$A),MATCH(M$1,[3]enemies!$1:$1,0)-MATCH($L$1,[3]enemies!$1:$1,0)+1),MATCH(M$1,[3]enemies!$1:$1,0)-MATCH($L$1,[3]enemies!$1:$1,0)+1,FALSE)</f>
        <v>アカネ</v>
      </c>
      <c r="N44" s="17" t="str">
        <f ca="1">VLOOKUP($L44,OFFSET([3]enemies!$A$1,0,0,COUNTA([3]enemies!$A:$A),MATCH(N$1,[3]enemies!$1:$1,0)-MATCH($L$1,[3]enemies!$1:$1,0)+1),MATCH(N$1,[3]enemies!$1:$1,0)-MATCH($L$1,[3]enemies!$1:$1,0)+1,FALSE)</f>
        <v>red</v>
      </c>
      <c r="O44" s="17" t="str">
        <f ca="1">VLOOKUP($L44,OFFSET([4]characters!$A$1,0,0,COUNTA([4]characters!$A:$A),MATCH(O$1,[4]characters!$1:$1,0)-MATCH($L$1,[4]characters!$1:$1,0)+1),MATCH(O$1,[4]characters!$1:$1,0)-MATCH($L$1,[4]characters!$1:$1,0)+1,FALSE)</f>
        <v>Drop1W</v>
      </c>
      <c r="P44" s="17" t="str">
        <f ca="1">VLOOKUP($L44,OFFSET([3]enemies!$A$1,0,0,COUNTA([3]enemies!$A:$A),MATCH(P$1,[3]enemies!$1:$1,0)-MATCH($L$1,[3]enemies!$1:$1,0)+1),MATCH(P$1,[3]enemies!$1:$1,0)-MATCH($L$1,[3]enemies!$1:$1,0)+1,FALSE)</f>
        <v>human</v>
      </c>
      <c r="Q44" s="17">
        <f ca="1">VLOOKUP($L44,OFFSET([3]enemies!$A$1,0,0,COUNTA([3]enemies!$A:$A),MATCH(Q$1,[3]enemies!$1:$1,0)-MATCH($L$1,[3]enemies!$1:$1,0)+1),MATCH(Q$1,[3]enemies!$1:$1,0)-MATCH($L$1,[3]enemies!$1:$1,0)+1,FALSE)</f>
        <v>15</v>
      </c>
      <c r="R44" s="5">
        <v>35</v>
      </c>
      <c r="S44" s="25">
        <v>1.1000000000000001</v>
      </c>
      <c r="T44" s="25">
        <v>0.6</v>
      </c>
      <c r="U44" s="5">
        <v>0</v>
      </c>
      <c r="V44" s="4" t="str">
        <f ca="1">VLOOKUP($W44,OFFSET([5]enemy_skill_sets!$B$1,0,0,COUNTA([5]enemy_skill_sets!$B:$B),MATCH(M$1,[5]enemy_skill_sets!$1:$1,0)-MATCH($W$1,[5]enemy_skill_sets!$1:$1,0)+2),MATCH(M$1,[5]enemy_skill_sets!$1:$1,0)-MATCH($W$1,[5]enemy_skill_sets!$1:$1,0)+2,FALSE)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4" s="4">
        <f ca="1">VLOOKUP($L44,OFFSET([3]enemies!$A$1,0,0,COUNTA([3]enemies!$A:$A),MATCH(W$1,[3]enemies!$1:$1,0)-MATCH($L$1,[3]enemies!$1:$1,0)+1),MATCH(W$1,[3]enemies!$1:$1,0)-MATCH($L$1,[3]enemies!$1:$1,0)+1,FALSE)</f>
        <v>0</v>
      </c>
      <c r="X44" s="6">
        <v>0</v>
      </c>
      <c r="Y44" s="6">
        <v>100</v>
      </c>
      <c r="Z44" s="6">
        <v>0</v>
      </c>
      <c r="AA44" s="17">
        <v>3</v>
      </c>
      <c r="AB44" s="24">
        <f t="shared" si="18"/>
        <v>15</v>
      </c>
      <c r="AC44" s="4" t="str">
        <f ca="1">VLOOKUP($AB44,OFFSET([4]characters!$A$1,0,0,COUNTA([4]characters!$A:$A),MATCH(AC$1,[4]characters!$1:$1,0)-MATCH("character_id",[4]characters!$1:$1,0)+1),MATCH(AC$1,[4]characters!$1:$1,0)-MATCH("character_id",[4]characters!$1:$1,0)+1,FALSE)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44" s="4">
        <f ca="1">VLOOKUP($AB44,OFFSET([4]characters!$A$1,0,0,COUNTA([4]characters!$A:$A),MATCH(AD$1,[4]characters!$1:$1,0)-MATCH("character_id",[4]characters!$1:$1,0)+1),MATCH(AD$1,[4]characters!$1:$1,0)-MATCH("character_id",[4]characters!$1:$1,0)+1,FALSE)</f>
        <v>1</v>
      </c>
      <c r="AE44" s="4" t="str">
        <f ca="1">VLOOKUP($AB44,OFFSET([4]characters!$A$1,0,0,COUNTA([4]characters!$A:$A),MATCH(AE$1,[4]characters!$1:$1,0)-MATCH("character_id",[4]characters!$1:$1,0)+1),MATCH(AE$1,[4]characters!$1:$1,0)-MATCH("character_id",[4]characters!$1:$1,0)+1,FALSE)</f>
        <v>Drop1W</v>
      </c>
      <c r="AF44" s="7">
        <v>1</v>
      </c>
      <c r="AG44" s="24">
        <f t="shared" ca="1" si="19"/>
        <v>1</v>
      </c>
      <c r="AH44" s="8">
        <v>20</v>
      </c>
      <c r="AI44" s="7">
        <v>0</v>
      </c>
      <c r="AJ44" s="7">
        <v>0</v>
      </c>
      <c r="AK44" s="7">
        <v>0</v>
      </c>
      <c r="AL44" s="7">
        <v>0</v>
      </c>
      <c r="AM44" s="7">
        <v>1</v>
      </c>
      <c r="AN44" s="69">
        <v>1</v>
      </c>
    </row>
    <row r="45" spans="1:40" ht="21" customHeight="1" x14ac:dyDescent="0.15">
      <c r="A45" s="16" t="str">
        <f t="shared" si="15"/>
        <v>39005_3-1/27&lt;lv35&gt;s1</v>
      </c>
      <c r="B45" s="22">
        <v>39005</v>
      </c>
      <c r="C45" s="21">
        <v>3</v>
      </c>
      <c r="D45" s="2" t="str">
        <f t="shared" si="16"/>
        <v>39005_3</v>
      </c>
      <c r="E45" s="4" t="str">
        <f ca="1">VLOOKUP($B45,OFFSET([2]quests!$A$1,0,0,COUNTA([2]quests!$A:$A),MATCH(E$1,[2]quests!$1:$1,0)-MATCH($B$1,[2]quests!$1:$1,0)+1),MATCH(E$1,[2]quests!$1:$1,0)-MATCH($B$1,[2]quests!$1:$1,0)+1,FALSE)</f>
        <v xml:space="preserve">ミクエキスポ </v>
      </c>
      <c r="F45" s="4" t="str">
        <f ca="1">VLOOKUP($D45,OFFSET([2]stages!$A$1,0,0,COUNTA([2]stages!$A:$A),MATCH(F$1,[2]stages!$2:$2,0)-MATCH($D$1,[2]stages!$2:$2,0)+1),MATCH(F$1,[2]stages!$2:$2,0)-MATCH($D$1,[2]stages!$2:$2,0)+1,FALSE)</f>
        <v>【上級】ミクエキスポ</v>
      </c>
      <c r="G45" s="94">
        <v>1</v>
      </c>
      <c r="H45" s="15" t="str">
        <f t="shared" si="17"/>
        <v>39005_3-1</v>
      </c>
      <c r="I45" s="4">
        <f ca="1">VLOOKUP($H45,OFFSET(floors!$A$1,0,0,COUNTA(floors!$A:$A),MATCH(I$1,floors!$1:$1,0)-MATCH($H$1,floors!$1:$1,0)+1),MATCH(I$1,floors!$1:$1,0)-MATCH($H$1,floors!$1:$1,0)+1,FALSE)</f>
        <v>45</v>
      </c>
      <c r="J45" s="4">
        <f ca="1">VLOOKUP($H45,OFFSET(floors!$A$1,0,0,COUNTA(floors!$A:$A),MATCH(J$1,floors!$1:$1,0)-MATCH($H$1,floors!$1:$1,0)+1),MATCH(J$1,floors!$1:$1,0)-MATCH($H$1,floors!$1:$1,0)+1,FALSE)</f>
        <v>45</v>
      </c>
      <c r="K45" s="38" t="s">
        <v>53</v>
      </c>
      <c r="L45" s="20">
        <v>27</v>
      </c>
      <c r="M45" s="17" t="str">
        <f ca="1">VLOOKUP($L45,OFFSET([3]enemies!$A$1,0,0,COUNTA([3]enemies!$A:$A),MATCH(M$1,[3]enemies!$1:$1,0)-MATCH($L$1,[3]enemies!$1:$1,0)+1),MATCH(M$1,[3]enemies!$1:$1,0)-MATCH($L$1,[3]enemies!$1:$1,0)+1,FALSE)</f>
        <v>パトライン</v>
      </c>
      <c r="N45" s="17" t="str">
        <f ca="1">VLOOKUP($L45,OFFSET([3]enemies!$A$1,0,0,COUNTA([3]enemies!$A:$A),MATCH(N$1,[3]enemies!$1:$1,0)-MATCH($L$1,[3]enemies!$1:$1,0)+1),MATCH(N$1,[3]enemies!$1:$1,0)-MATCH($L$1,[3]enemies!$1:$1,0)+1,FALSE)</f>
        <v>green</v>
      </c>
      <c r="O45" s="17" t="str">
        <f ca="1">VLOOKUP($L45,OFFSET([4]characters!$A$1,0,0,COUNTA([4]characters!$A:$A),MATCH(O$1,[4]characters!$1:$1,0)-MATCH($L$1,[4]characters!$1:$1,0)+1),MATCH(O$1,[4]characters!$1:$1,0)-MATCH($L$1,[4]characters!$1:$1,0)+1,FALSE)</f>
        <v>Drop1N</v>
      </c>
      <c r="P45" s="17" t="str">
        <f ca="1">VLOOKUP($L45,OFFSET([3]enemies!$A$1,0,0,COUNTA([3]enemies!$A:$A),MATCH(P$1,[3]enemies!$1:$1,0)-MATCH($L$1,[3]enemies!$1:$1,0)+1),MATCH(P$1,[3]enemies!$1:$1,0)-MATCH($L$1,[3]enemies!$1:$1,0)+1,FALSE)</f>
        <v>machine</v>
      </c>
      <c r="Q45" s="17">
        <f ca="1">VLOOKUP($L45,OFFSET([3]enemies!$A$1,0,0,COUNTA([3]enemies!$A:$A),MATCH(Q$1,[3]enemies!$1:$1,0)-MATCH($L$1,[3]enemies!$1:$1,0)+1),MATCH(Q$1,[3]enemies!$1:$1,0)-MATCH($L$1,[3]enemies!$1:$1,0)+1,FALSE)</f>
        <v>15</v>
      </c>
      <c r="R45" s="5">
        <v>35</v>
      </c>
      <c r="S45" s="25">
        <v>1.2</v>
      </c>
      <c r="T45" s="25">
        <v>0.6</v>
      </c>
      <c r="U45" s="5">
        <v>0</v>
      </c>
      <c r="V45" s="4" t="str">
        <f ca="1">VLOOKUP($W45,OFFSET([5]enemy_skill_sets!$B$1,0,0,COUNTA([5]enemy_skill_sets!$B:$B),MATCH(M$1,[5]enemy_skill_sets!$1:$1,0)-MATCH($W$1,[5]enemy_skill_sets!$1:$1,0)+2),MATCH(M$1,[5]enemy_skill_sets!$1:$1,0)-MATCH($W$1,[5]enemy_skill_sets!$1:$1,0)+2,FALSE)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5" s="4">
        <f ca="1">VLOOKUP($L45,OFFSET([3]enemies!$A$1,0,0,COUNTA([3]enemies!$A:$A),MATCH(W$1,[3]enemies!$1:$1,0)-MATCH($L$1,[3]enemies!$1:$1,0)+1),MATCH(W$1,[3]enemies!$1:$1,0)-MATCH($L$1,[3]enemies!$1:$1,0)+1,FALSE)</f>
        <v>0</v>
      </c>
      <c r="X45" s="6">
        <v>0</v>
      </c>
      <c r="Y45" s="6">
        <v>100</v>
      </c>
      <c r="Z45" s="6">
        <v>0</v>
      </c>
      <c r="AA45" s="17">
        <v>1</v>
      </c>
      <c r="AB45" s="24">
        <f t="shared" si="18"/>
        <v>27</v>
      </c>
      <c r="AC45" s="4" t="str">
        <f ca="1">VLOOKUP($AB45,OFFSET([4]characters!$A$1,0,0,COUNTA([4]characters!$A:$A),MATCH(AC$1,[4]characters!$1:$1,0)-MATCH("character_id",[4]characters!$1:$1,0)+1),MATCH(AC$1,[4]characters!$1:$1,0)-MATCH("character_id",[4]characters!$1:$1,0)+1,FALSE)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45" s="4">
        <f ca="1">VLOOKUP($AB45,OFFSET([4]characters!$A$1,0,0,COUNTA([4]characters!$A:$A),MATCH(AD$1,[4]characters!$1:$1,0)-MATCH("character_id",[4]characters!$1:$1,0)+1),MATCH(AD$1,[4]characters!$1:$1,0)-MATCH("character_id",[4]characters!$1:$1,0)+1,FALSE)</f>
        <v>1</v>
      </c>
      <c r="AE45" s="4" t="str">
        <f ca="1">VLOOKUP($AB45,OFFSET([4]characters!$A$1,0,0,COUNTA([4]characters!$A:$A),MATCH(AE$1,[4]characters!$1:$1,0)-MATCH("character_id",[4]characters!$1:$1,0)+1),MATCH(AE$1,[4]characters!$1:$1,0)-MATCH("character_id",[4]characters!$1:$1,0)+1,FALSE)</f>
        <v>Drop1N</v>
      </c>
      <c r="AF45" s="7">
        <v>1</v>
      </c>
      <c r="AG45" s="24">
        <f t="shared" ca="1" si="19"/>
        <v>1</v>
      </c>
      <c r="AH45" s="8">
        <v>20</v>
      </c>
      <c r="AI45" s="7">
        <v>0</v>
      </c>
      <c r="AJ45" s="7">
        <v>0</v>
      </c>
      <c r="AK45" s="7">
        <v>0</v>
      </c>
      <c r="AL45" s="7">
        <v>0</v>
      </c>
      <c r="AM45" s="7">
        <v>1</v>
      </c>
      <c r="AN45" s="69">
        <v>1</v>
      </c>
    </row>
    <row r="46" spans="1:40" ht="21" customHeight="1" x14ac:dyDescent="0.15">
      <c r="A46" s="16" t="str">
        <f t="shared" si="15"/>
        <v>39005_3-1/17&lt;lv35&gt;s2</v>
      </c>
      <c r="B46" s="22">
        <v>39005</v>
      </c>
      <c r="C46" s="21">
        <v>3</v>
      </c>
      <c r="D46" s="2" t="str">
        <f t="shared" si="16"/>
        <v>39005_3</v>
      </c>
      <c r="E46" s="4" t="str">
        <f ca="1">VLOOKUP($B46,OFFSET([2]quests!$A$1,0,0,COUNTA([2]quests!$A:$A),MATCH(E$1,[2]quests!$1:$1,0)-MATCH($B$1,[2]quests!$1:$1,0)+1),MATCH(E$1,[2]quests!$1:$1,0)-MATCH($B$1,[2]quests!$1:$1,0)+1,FALSE)</f>
        <v xml:space="preserve">ミクエキスポ </v>
      </c>
      <c r="F46" s="4" t="str">
        <f ca="1">VLOOKUP($D46,OFFSET([2]stages!$A$1,0,0,COUNTA([2]stages!$A:$A),MATCH(F$1,[2]stages!$2:$2,0)-MATCH($D$1,[2]stages!$2:$2,0)+1),MATCH(F$1,[2]stages!$2:$2,0)-MATCH($D$1,[2]stages!$2:$2,0)+1,FALSE)</f>
        <v>【上級】ミクエキスポ</v>
      </c>
      <c r="G46" s="94">
        <v>1</v>
      </c>
      <c r="H46" s="15" t="str">
        <f t="shared" si="17"/>
        <v>39005_3-1</v>
      </c>
      <c r="I46" s="4">
        <f ca="1">VLOOKUP($H46,OFFSET(floors!$A$1,0,0,COUNTA(floors!$A:$A),MATCH(I$1,floors!$1:$1,0)-MATCH($H$1,floors!$1:$1,0)+1),MATCH(I$1,floors!$1:$1,0)-MATCH($H$1,floors!$1:$1,0)+1,FALSE)</f>
        <v>45</v>
      </c>
      <c r="J46" s="4">
        <f ca="1">VLOOKUP($H46,OFFSET(floors!$A$1,0,0,COUNTA(floors!$A:$A),MATCH(J$1,floors!$1:$1,0)-MATCH($H$1,floors!$1:$1,0)+1),MATCH(J$1,floors!$1:$1,0)-MATCH($H$1,floors!$1:$1,0)+1,FALSE)</f>
        <v>45</v>
      </c>
      <c r="K46" s="38" t="s">
        <v>53</v>
      </c>
      <c r="L46" s="20">
        <v>17</v>
      </c>
      <c r="M46" s="17" t="str">
        <f ca="1">VLOOKUP($L46,OFFSET([3]enemies!$A$1,0,0,COUNTA([3]enemies!$A:$A),MATCH(M$1,[3]enemies!$1:$1,0)-MATCH($L$1,[3]enemies!$1:$1,0)+1),MATCH(M$1,[3]enemies!$1:$1,0)-MATCH($L$1,[3]enemies!$1:$1,0)+1,FALSE)</f>
        <v>リム</v>
      </c>
      <c r="N46" s="17" t="str">
        <f ca="1">VLOOKUP($L46,OFFSET([3]enemies!$A$1,0,0,COUNTA([3]enemies!$A:$A),MATCH(N$1,[3]enemies!$1:$1,0)-MATCH($L$1,[3]enemies!$1:$1,0)+1),MATCH(N$1,[3]enemies!$1:$1,0)-MATCH($L$1,[3]enemies!$1:$1,0)+1,FALSE)</f>
        <v>blue</v>
      </c>
      <c r="O46" s="17" t="str">
        <f ca="1">VLOOKUP($L46,OFFSET([4]characters!$A$1,0,0,COUNTA([4]characters!$A:$A),MATCH(O$1,[4]characters!$1:$1,0)-MATCH($L$1,[4]characters!$1:$1,0)+1),MATCH(O$1,[4]characters!$1:$1,0)-MATCH($L$1,[4]characters!$1:$1,0)+1,FALSE)</f>
        <v>Drop1W</v>
      </c>
      <c r="P46" s="17" t="str">
        <f ca="1">VLOOKUP($L46,OFFSET([3]enemies!$A$1,0,0,COUNTA([3]enemies!$A:$A),MATCH(P$1,[3]enemies!$1:$1,0)-MATCH($L$1,[3]enemies!$1:$1,0)+1),MATCH(P$1,[3]enemies!$1:$1,0)-MATCH($L$1,[3]enemies!$1:$1,0)+1,FALSE)</f>
        <v>human</v>
      </c>
      <c r="Q46" s="17">
        <f ca="1">VLOOKUP($L46,OFFSET([3]enemies!$A$1,0,0,COUNTA([3]enemies!$A:$A),MATCH(Q$1,[3]enemies!$1:$1,0)-MATCH($L$1,[3]enemies!$1:$1,0)+1),MATCH(Q$1,[3]enemies!$1:$1,0)-MATCH($L$1,[3]enemies!$1:$1,0)+1,FALSE)</f>
        <v>15</v>
      </c>
      <c r="R46" s="5">
        <v>35</v>
      </c>
      <c r="S46" s="25">
        <v>1</v>
      </c>
      <c r="T46" s="25">
        <v>0.6</v>
      </c>
      <c r="U46" s="5">
        <v>0</v>
      </c>
      <c r="V46" s="4" t="str">
        <f ca="1">VLOOKUP($W46,OFFSET([5]enemy_skill_sets!$B$1,0,0,COUNTA([5]enemy_skill_sets!$B:$B),MATCH(M$1,[5]enemy_skill_sets!$1:$1,0)-MATCH($W$1,[5]enemy_skill_sets!$1:$1,0)+2),MATCH(M$1,[5]enemy_skill_sets!$1:$1,0)-MATCH($W$1,[5]enemy_skill_sets!$1:$1,0)+2,FALSE)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6" s="4">
        <f ca="1">VLOOKUP($L46,OFFSET([3]enemies!$A$1,0,0,COUNTA([3]enemies!$A:$A),MATCH(W$1,[3]enemies!$1:$1,0)-MATCH($L$1,[3]enemies!$1:$1,0)+1),MATCH(W$1,[3]enemies!$1:$1,0)-MATCH($L$1,[3]enemies!$1:$1,0)+1,FALSE)</f>
        <v>0</v>
      </c>
      <c r="X46" s="6">
        <v>0</v>
      </c>
      <c r="Y46" s="6">
        <v>100</v>
      </c>
      <c r="Z46" s="6">
        <v>0</v>
      </c>
      <c r="AA46" s="17">
        <v>2</v>
      </c>
      <c r="AB46" s="24">
        <f t="shared" si="18"/>
        <v>17</v>
      </c>
      <c r="AC46" s="4" t="str">
        <f ca="1">VLOOKUP($AB46,OFFSET([4]characters!$A$1,0,0,COUNTA([4]characters!$A:$A),MATCH(AC$1,[4]characters!$1:$1,0)-MATCH("character_id",[4]characters!$1:$1,0)+1),MATCH(AC$1,[4]characters!$1:$1,0)-MATCH("character_id",[4]characters!$1:$1,0)+1,FALSE)</f>
        <v>リム</v>
      </c>
      <c r="AD46" s="4">
        <f ca="1">VLOOKUP($AB46,OFFSET([4]characters!$A$1,0,0,COUNTA([4]characters!$A:$A),MATCH(AD$1,[4]characters!$1:$1,0)-MATCH("character_id",[4]characters!$1:$1,0)+1),MATCH(AD$1,[4]characters!$1:$1,0)-MATCH("character_id",[4]characters!$1:$1,0)+1,FALSE)</f>
        <v>1</v>
      </c>
      <c r="AE46" s="4" t="str">
        <f ca="1">VLOOKUP($AB46,OFFSET([4]characters!$A$1,0,0,COUNTA([4]characters!$A:$A),MATCH(AE$1,[4]characters!$1:$1,0)-MATCH("character_id",[4]characters!$1:$1,0)+1),MATCH(AE$1,[4]characters!$1:$1,0)-MATCH("character_id",[4]characters!$1:$1,0)+1,FALSE)</f>
        <v>Drop1W</v>
      </c>
      <c r="AF46" s="7">
        <v>1</v>
      </c>
      <c r="AG46" s="24">
        <f t="shared" ca="1" si="19"/>
        <v>1</v>
      </c>
      <c r="AH46" s="8">
        <v>20</v>
      </c>
      <c r="AI46" s="7">
        <v>0</v>
      </c>
      <c r="AJ46" s="7">
        <v>0</v>
      </c>
      <c r="AK46" s="7">
        <v>0</v>
      </c>
      <c r="AL46" s="7">
        <v>0</v>
      </c>
      <c r="AM46" s="7">
        <v>1</v>
      </c>
      <c r="AN46" s="69">
        <v>1</v>
      </c>
    </row>
    <row r="47" spans="1:40" ht="21" customHeight="1" x14ac:dyDescent="0.15">
      <c r="A47" s="16" t="str">
        <f t="shared" ref="A47" si="20">B47&amp;"_"&amp;C47&amp;"-"&amp;G47&amp;"/"&amp;L47&amp;"&lt;lv"&amp;R47&amp;"&gt;s"&amp;AA47</f>
        <v>39005_3-1/13&lt;lv35&gt;s2</v>
      </c>
      <c r="B47" s="22">
        <v>39005</v>
      </c>
      <c r="C47" s="21">
        <v>3</v>
      </c>
      <c r="D47" s="2" t="str">
        <f t="shared" ref="D47" si="21">B47&amp;"_"&amp;C47</f>
        <v>39005_3</v>
      </c>
      <c r="E47" s="4" t="str">
        <f ca="1">VLOOKUP($B47,OFFSET([2]quests!$A$1,0,0,COUNTA([2]quests!$A:$A),MATCH(E$1,[2]quests!$1:$1,0)-MATCH($B$1,[2]quests!$1:$1,0)+1),MATCH(E$1,[2]quests!$1:$1,0)-MATCH($B$1,[2]quests!$1:$1,0)+1,FALSE)</f>
        <v xml:space="preserve">ミクエキスポ </v>
      </c>
      <c r="F47" s="4" t="str">
        <f ca="1">VLOOKUP($D47,OFFSET([2]stages!$A$1,0,0,COUNTA([2]stages!$A:$A),MATCH(F$1,[2]stages!$2:$2,0)-MATCH($D$1,[2]stages!$2:$2,0)+1),MATCH(F$1,[2]stages!$2:$2,0)-MATCH($D$1,[2]stages!$2:$2,0)+1,FALSE)</f>
        <v>【上級】ミクエキスポ</v>
      </c>
      <c r="G47" s="94">
        <v>1</v>
      </c>
      <c r="H47" s="15" t="str">
        <f t="shared" ref="H47" si="22">B47&amp;"_"&amp;C47&amp;"-"&amp;G47</f>
        <v>39005_3-1</v>
      </c>
      <c r="I47" s="4">
        <f ca="1">VLOOKUP($H47,OFFSET(floors!$A$1,0,0,COUNTA(floors!$A:$A),MATCH(I$1,floors!$1:$1,0)-MATCH($H$1,floors!$1:$1,0)+1),MATCH(I$1,floors!$1:$1,0)-MATCH($H$1,floors!$1:$1,0)+1,FALSE)</f>
        <v>45</v>
      </c>
      <c r="J47" s="4">
        <f ca="1">VLOOKUP($H47,OFFSET(floors!$A$1,0,0,COUNTA(floors!$A:$A),MATCH(J$1,floors!$1:$1,0)-MATCH($H$1,floors!$1:$1,0)+1),MATCH(J$1,floors!$1:$1,0)-MATCH($H$1,floors!$1:$1,0)+1,FALSE)</f>
        <v>45</v>
      </c>
      <c r="K47" s="38" t="s">
        <v>53</v>
      </c>
      <c r="L47" s="20">
        <v>13</v>
      </c>
      <c r="M47" s="17" t="str">
        <f ca="1">VLOOKUP($L47,OFFSET([3]enemies!$A$1,0,0,COUNTA([3]enemies!$A:$A),MATCH(M$1,[3]enemies!$1:$1,0)-MATCH($L$1,[3]enemies!$1:$1,0)+1),MATCH(M$1,[3]enemies!$1:$1,0)-MATCH($L$1,[3]enemies!$1:$1,0)+1,FALSE)</f>
        <v>ミミ</v>
      </c>
      <c r="N47" s="17" t="str">
        <f ca="1">VLOOKUP($L47,OFFSET([3]enemies!$A$1,0,0,COUNTA([3]enemies!$A:$A),MATCH(N$1,[3]enemies!$1:$1,0)-MATCH($L$1,[3]enemies!$1:$1,0)+1),MATCH(N$1,[3]enemies!$1:$1,0)-MATCH($L$1,[3]enemies!$1:$1,0)+1,FALSE)</f>
        <v>yellow</v>
      </c>
      <c r="O47" s="17" t="str">
        <f ca="1">VLOOKUP($L47,OFFSET([4]characters!$A$1,0,0,COUNTA([4]characters!$A:$A),MATCH(O$1,[4]characters!$1:$1,0)-MATCH($L$1,[4]characters!$1:$1,0)+1),MATCH(O$1,[4]characters!$1:$1,0)-MATCH($L$1,[4]characters!$1:$1,0)+1,FALSE)</f>
        <v>Drop1W</v>
      </c>
      <c r="P47" s="17" t="str">
        <f ca="1">VLOOKUP($L47,OFFSET([3]enemies!$A$1,0,0,COUNTA([3]enemies!$A:$A),MATCH(P$1,[3]enemies!$1:$1,0)-MATCH($L$1,[3]enemies!$1:$1,0)+1),MATCH(P$1,[3]enemies!$1:$1,0)-MATCH($L$1,[3]enemies!$1:$1,0)+1,FALSE)</f>
        <v>animal</v>
      </c>
      <c r="Q47" s="17">
        <f ca="1">VLOOKUP($L47,OFFSET([3]enemies!$A$1,0,0,COUNTA([3]enemies!$A:$A),MATCH(Q$1,[3]enemies!$1:$1,0)-MATCH($L$1,[3]enemies!$1:$1,0)+1),MATCH(Q$1,[3]enemies!$1:$1,0)-MATCH($L$1,[3]enemies!$1:$1,0)+1,FALSE)</f>
        <v>15</v>
      </c>
      <c r="R47" s="5">
        <v>35</v>
      </c>
      <c r="S47" s="25">
        <v>1.1000000000000001</v>
      </c>
      <c r="T47" s="25">
        <v>0.4</v>
      </c>
      <c r="U47" s="5">
        <v>0</v>
      </c>
      <c r="V47" s="4" t="str">
        <f ca="1">VLOOKUP($W47,OFFSET([5]enemy_skill_sets!$B$1,0,0,COUNTA([5]enemy_skill_sets!$B:$B),MATCH(M$1,[5]enemy_skill_sets!$1:$1,0)-MATCH($W$1,[5]enemy_skill_sets!$1:$1,0)+2),MATCH(M$1,[5]enemy_skill_sets!$1:$1,0)-MATCH($W$1,[5]enemy_skill_sets!$1:$1,0)+2,FALSE)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7" s="4">
        <f ca="1">VLOOKUP($L47,OFFSET([3]enemies!$A$1,0,0,COUNTA([3]enemies!$A:$A),MATCH(W$1,[3]enemies!$1:$1,0)-MATCH($L$1,[3]enemies!$1:$1,0)+1),MATCH(W$1,[3]enemies!$1:$1,0)-MATCH($L$1,[3]enemies!$1:$1,0)+1,FALSE)</f>
        <v>0</v>
      </c>
      <c r="X47" s="6">
        <v>0</v>
      </c>
      <c r="Y47" s="6">
        <v>100</v>
      </c>
      <c r="Z47" s="6">
        <v>0</v>
      </c>
      <c r="AA47" s="17">
        <v>2</v>
      </c>
      <c r="AB47" s="24">
        <f t="shared" ref="AB47" si="23">L47</f>
        <v>13</v>
      </c>
      <c r="AC47" s="4" t="str">
        <f ca="1">VLOOKUP($AB47,OFFSET([4]characters!$A$1,0,0,COUNTA([4]characters!$A:$A),MATCH(AC$1,[4]characters!$1:$1,0)-MATCH("character_id",[4]characters!$1:$1,0)+1),MATCH(AC$1,[4]characters!$1:$1,0)-MATCH("character_id",[4]characters!$1:$1,0)+1,FALSE)</f>
        <v>ミミ</v>
      </c>
      <c r="AD47" s="4">
        <f ca="1">VLOOKUP($AB47,OFFSET([4]characters!$A$1,0,0,COUNTA([4]characters!$A:$A),MATCH(AD$1,[4]characters!$1:$1,0)-MATCH("character_id",[4]characters!$1:$1,0)+1),MATCH(AD$1,[4]characters!$1:$1,0)-MATCH("character_id",[4]characters!$1:$1,0)+1,FALSE)</f>
        <v>1</v>
      </c>
      <c r="AE47" s="4" t="str">
        <f ca="1">VLOOKUP($AB47,OFFSET([4]characters!$A$1,0,0,COUNTA([4]characters!$A:$A),MATCH(AE$1,[4]characters!$1:$1,0)-MATCH("character_id",[4]characters!$1:$1,0)+1),MATCH(AE$1,[4]characters!$1:$1,0)-MATCH("character_id",[4]characters!$1:$1,0)+1,FALSE)</f>
        <v>Drop1W</v>
      </c>
      <c r="AF47" s="7">
        <v>1</v>
      </c>
      <c r="AG47" s="24">
        <f t="shared" ref="AG47" ca="1" si="24">AD47</f>
        <v>1</v>
      </c>
      <c r="AH47" s="8">
        <v>20</v>
      </c>
      <c r="AI47" s="7">
        <v>0</v>
      </c>
      <c r="AJ47" s="7">
        <v>0</v>
      </c>
      <c r="AK47" s="7">
        <v>0</v>
      </c>
      <c r="AL47" s="7">
        <v>0</v>
      </c>
      <c r="AM47" s="7">
        <v>1</v>
      </c>
      <c r="AN47" s="69">
        <v>1</v>
      </c>
    </row>
    <row r="48" spans="1:40" ht="21" customHeight="1" x14ac:dyDescent="0.15">
      <c r="A48" s="16" t="str">
        <f t="shared" si="5"/>
        <v>39005_3-2/1&lt;lv40&gt;s1</v>
      </c>
      <c r="B48" s="22">
        <v>39005</v>
      </c>
      <c r="C48" s="21">
        <v>3</v>
      </c>
      <c r="D48" s="2" t="str">
        <f t="shared" si="6"/>
        <v>39005_3</v>
      </c>
      <c r="E48" s="4" t="str">
        <f ca="1">VLOOKUP($B48,OFFSET([2]quests!$A$1,0,0,COUNTA([2]quests!$A:$A),MATCH(E$1,[2]quests!$1:$1,0)-MATCH($B$1,[2]quests!$1:$1,0)+1),MATCH(E$1,[2]quests!$1:$1,0)-MATCH($B$1,[2]quests!$1:$1,0)+1,FALSE)</f>
        <v xml:space="preserve">ミクエキスポ </v>
      </c>
      <c r="F48" s="4" t="str">
        <f ca="1">VLOOKUP($D48,OFFSET([2]stages!$A$1,0,0,COUNTA([2]stages!$A:$A),MATCH(F$1,[2]stages!$2:$2,0)-MATCH($D$1,[2]stages!$2:$2,0)+1),MATCH(F$1,[2]stages!$2:$2,0)-MATCH($D$1,[2]stages!$2:$2,0)+1,FALSE)</f>
        <v>【上級】ミクエキスポ</v>
      </c>
      <c r="G48" s="96">
        <v>2</v>
      </c>
      <c r="H48" s="15" t="str">
        <f t="shared" si="7"/>
        <v>39005_3-2</v>
      </c>
      <c r="I48" s="4">
        <f ca="1">VLOOKUP($H48,OFFSET(floors!$A$1,0,0,COUNTA(floors!$A:$A),MATCH(I$1,floors!$1:$1,0)-MATCH($H$1,floors!$1:$1,0)+1),MATCH(I$1,floors!$1:$1,0)-MATCH($H$1,floors!$1:$1,0)+1,FALSE)</f>
        <v>60</v>
      </c>
      <c r="J48" s="4">
        <f ca="1">VLOOKUP($H48,OFFSET(floors!$A$1,0,0,COUNTA(floors!$A:$A),MATCH(J$1,floors!$1:$1,0)-MATCH($H$1,floors!$1:$1,0)+1),MATCH(J$1,floors!$1:$1,0)-MATCH($H$1,floors!$1:$1,0)+1,FALSE)</f>
        <v>60</v>
      </c>
      <c r="K48" s="38" t="s">
        <v>53</v>
      </c>
      <c r="L48" s="20">
        <v>1</v>
      </c>
      <c r="M48" s="17" t="str">
        <f ca="1">VLOOKUP($L48,OFFSET([3]enemies!$A$1,0,0,COUNTA([3]enemies!$A:$A),MATCH(M$1,[3]enemies!$1:$1,0)-MATCH($L$1,[3]enemies!$1:$1,0)+1),MATCH(M$1,[3]enemies!$1:$1,0)-MATCH($L$1,[3]enemies!$1:$1,0)+1,FALSE)</f>
        <v>ジェリー</v>
      </c>
      <c r="N48" s="17" t="str">
        <f ca="1">VLOOKUP($L48,OFFSET([3]enemies!$A$1,0,0,COUNTA([3]enemies!$A:$A),MATCH(N$1,[3]enemies!$1:$1,0)-MATCH($L$1,[3]enemies!$1:$1,0)+1),MATCH(N$1,[3]enemies!$1:$1,0)-MATCH($L$1,[3]enemies!$1:$1,0)+1,FALSE)</f>
        <v>red</v>
      </c>
      <c r="O48" s="17" t="str">
        <f ca="1">VLOOKUP($L48,OFFSET([4]characters!$A$1,0,0,COUNTA([4]characters!$A:$A),MATCH(O$1,[4]characters!$1:$1,0)-MATCH($L$1,[4]characters!$1:$1,0)+1),MATCH(O$1,[4]characters!$1:$1,0)-MATCH($L$1,[4]characters!$1:$1,0)+1,FALSE)</f>
        <v>Drop1T</v>
      </c>
      <c r="P48" s="17" t="str">
        <f ca="1">VLOOKUP($L48,OFFSET([3]enemies!$A$1,0,0,COUNTA([3]enemies!$A:$A),MATCH(P$1,[3]enemies!$1:$1,0)-MATCH($L$1,[3]enemies!$1:$1,0)+1),MATCH(P$1,[3]enemies!$1:$1,0)-MATCH($L$1,[3]enemies!$1:$1,0)+1,FALSE)</f>
        <v>unknown</v>
      </c>
      <c r="Q48" s="17">
        <f ca="1">VLOOKUP($L48,OFFSET([3]enemies!$A$1,0,0,COUNTA([3]enemies!$A:$A),MATCH(Q$1,[3]enemies!$1:$1,0)-MATCH($L$1,[3]enemies!$1:$1,0)+1),MATCH(Q$1,[3]enemies!$1:$1,0)-MATCH($L$1,[3]enemies!$1:$1,0)+1,FALSE)</f>
        <v>15</v>
      </c>
      <c r="R48" s="5">
        <v>40</v>
      </c>
      <c r="S48" s="25">
        <v>1</v>
      </c>
      <c r="T48" s="25">
        <v>0.4</v>
      </c>
      <c r="U48" s="5">
        <v>0</v>
      </c>
      <c r="V48" s="4" t="str">
        <f ca="1">VLOOKUP($W48,OFFSET([5]enemy_skill_sets!$B$1,0,0,COUNTA([5]enemy_skill_sets!$B:$B),MATCH(M$1,[5]enemy_skill_sets!$1:$1,0)-MATCH($W$1,[5]enemy_skill_sets!$1:$1,0)+2),MATCH(M$1,[5]enemy_skill_sets!$1:$1,0)-MATCH($W$1,[5]enemy_skill_sets!$1:$1,0)+2,FALSE)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8" s="4">
        <f ca="1">VLOOKUP($L48,OFFSET([3]enemies!$A$1,0,0,COUNTA([3]enemies!$A:$A),MATCH(W$1,[3]enemies!$1:$1,0)-MATCH($L$1,[3]enemies!$1:$1,0)+1),MATCH(W$1,[3]enemies!$1:$1,0)-MATCH($L$1,[3]enemies!$1:$1,0)+1,FALSE)</f>
        <v>0</v>
      </c>
      <c r="X48" s="6">
        <v>0</v>
      </c>
      <c r="Y48" s="6">
        <v>100</v>
      </c>
      <c r="Z48" s="6">
        <v>0</v>
      </c>
      <c r="AA48" s="17">
        <v>1</v>
      </c>
      <c r="AB48" s="24">
        <f t="shared" si="8"/>
        <v>1</v>
      </c>
      <c r="AC48" s="4" t="str">
        <f ca="1">VLOOKUP($AB48,OFFSET([4]characters!$A$1,0,0,COUNTA([4]characters!$A:$A),MATCH(AC$1,[4]characters!$1:$1,0)-MATCH("character_id",[4]characters!$1:$1,0)+1),MATCH(AC$1,[4]characters!$1:$1,0)-MATCH("character_id",[4]characters!$1:$1,0)+1,FALSE)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48" s="4">
        <f ca="1">VLOOKUP($AB48,OFFSET([4]characters!$A$1,0,0,COUNTA([4]characters!$A:$A),MATCH(AD$1,[4]characters!$1:$1,0)-MATCH("character_id",[4]characters!$1:$1,0)+1),MATCH(AD$1,[4]characters!$1:$1,0)-MATCH("character_id",[4]characters!$1:$1,0)+1,FALSE)</f>
        <v>1</v>
      </c>
      <c r="AE48" s="4" t="str">
        <f ca="1">VLOOKUP($AB48,OFFSET([4]characters!$A$1,0,0,COUNTA([4]characters!$A:$A),MATCH(AE$1,[4]characters!$1:$1,0)-MATCH("character_id",[4]characters!$1:$1,0)+1),MATCH(AE$1,[4]characters!$1:$1,0)-MATCH("character_id",[4]characters!$1:$1,0)+1,FALSE)</f>
        <v>Drop1T</v>
      </c>
      <c r="AF48" s="7">
        <v>1</v>
      </c>
      <c r="AG48" s="24">
        <f t="shared" ca="1" si="9"/>
        <v>1</v>
      </c>
      <c r="AH48" s="8">
        <v>20</v>
      </c>
      <c r="AI48" s="7">
        <v>0</v>
      </c>
      <c r="AJ48" s="7">
        <v>0</v>
      </c>
      <c r="AK48" s="7">
        <v>0</v>
      </c>
      <c r="AL48" s="7">
        <v>0</v>
      </c>
      <c r="AM48" s="7">
        <v>1</v>
      </c>
      <c r="AN48" s="69">
        <v>1</v>
      </c>
    </row>
    <row r="49" spans="1:40" ht="21" customHeight="1" x14ac:dyDescent="0.15">
      <c r="A49" s="16" t="str">
        <f t="shared" si="5"/>
        <v>39005_3-2/3&lt;lv40&gt;s2</v>
      </c>
      <c r="B49" s="22">
        <v>39005</v>
      </c>
      <c r="C49" s="21">
        <v>3</v>
      </c>
      <c r="D49" s="2" t="str">
        <f t="shared" si="6"/>
        <v>39005_3</v>
      </c>
      <c r="E49" s="4" t="str">
        <f ca="1">VLOOKUP($B49,OFFSET([2]quests!$A$1,0,0,COUNTA([2]quests!$A:$A),MATCH(E$1,[2]quests!$1:$1,0)-MATCH($B$1,[2]quests!$1:$1,0)+1),MATCH(E$1,[2]quests!$1:$1,0)-MATCH($B$1,[2]quests!$1:$1,0)+1,FALSE)</f>
        <v xml:space="preserve">ミクエキスポ </v>
      </c>
      <c r="F49" s="4" t="str">
        <f ca="1">VLOOKUP($D49,OFFSET([2]stages!$A$1,0,0,COUNTA([2]stages!$A:$A),MATCH(F$1,[2]stages!$2:$2,0)-MATCH($D$1,[2]stages!$2:$2,0)+1),MATCH(F$1,[2]stages!$2:$2,0)-MATCH($D$1,[2]stages!$2:$2,0)+1,FALSE)</f>
        <v>【上級】ミクエキスポ</v>
      </c>
      <c r="G49" s="96">
        <v>2</v>
      </c>
      <c r="H49" s="15" t="str">
        <f t="shared" si="7"/>
        <v>39005_3-2</v>
      </c>
      <c r="I49" s="4">
        <f ca="1">VLOOKUP($H49,OFFSET(floors!$A$1,0,0,COUNTA(floors!$A:$A),MATCH(I$1,floors!$1:$1,0)-MATCH($H$1,floors!$1:$1,0)+1),MATCH(I$1,floors!$1:$1,0)-MATCH($H$1,floors!$1:$1,0)+1,FALSE)</f>
        <v>60</v>
      </c>
      <c r="J49" s="4">
        <f ca="1">VLOOKUP($H49,OFFSET(floors!$A$1,0,0,COUNTA(floors!$A:$A),MATCH(J$1,floors!$1:$1,0)-MATCH($H$1,floors!$1:$1,0)+1),MATCH(J$1,floors!$1:$1,0)-MATCH($H$1,floors!$1:$1,0)+1,FALSE)</f>
        <v>60</v>
      </c>
      <c r="K49" s="38" t="s">
        <v>53</v>
      </c>
      <c r="L49" s="20">
        <v>3</v>
      </c>
      <c r="M49" s="17" t="str">
        <f ca="1">VLOOKUP($L49,OFFSET([3]enemies!$A$1,0,0,COUNTA([3]enemies!$A:$A),MATCH(M$1,[3]enemies!$1:$1,0)-MATCH($L$1,[3]enemies!$1:$1,0)+1),MATCH(M$1,[3]enemies!$1:$1,0)-MATCH($L$1,[3]enemies!$1:$1,0)+1,FALSE)</f>
        <v>エージェント ジョー</v>
      </c>
      <c r="N49" s="17" t="str">
        <f ca="1">VLOOKUP($L49,OFFSET([3]enemies!$A$1,0,0,COUNTA([3]enemies!$A:$A),MATCH(N$1,[3]enemies!$1:$1,0)-MATCH($L$1,[3]enemies!$1:$1,0)+1),MATCH(N$1,[3]enemies!$1:$1,0)-MATCH($L$1,[3]enemies!$1:$1,0)+1,FALSE)</f>
        <v>green</v>
      </c>
      <c r="O49" s="17" t="str">
        <f ca="1">VLOOKUP($L49,OFFSET([4]characters!$A$1,0,0,COUNTA([4]characters!$A:$A),MATCH(O$1,[4]characters!$1:$1,0)-MATCH($L$1,[4]characters!$1:$1,0)+1),MATCH(O$1,[4]characters!$1:$1,0)-MATCH($L$1,[4]characters!$1:$1,0)+1,FALSE)</f>
        <v>Drop1T</v>
      </c>
      <c r="P49" s="17" t="str">
        <f ca="1">VLOOKUP($L49,OFFSET([3]enemies!$A$1,0,0,COUNTA([3]enemies!$A:$A),MATCH(P$1,[3]enemies!$1:$1,0)-MATCH($L$1,[3]enemies!$1:$1,0)+1),MATCH(P$1,[3]enemies!$1:$1,0)-MATCH($L$1,[3]enemies!$1:$1,0)+1,FALSE)</f>
        <v>unknown</v>
      </c>
      <c r="Q49" s="17">
        <f ca="1">VLOOKUP($L49,OFFSET([3]enemies!$A$1,0,0,COUNTA([3]enemies!$A:$A),MATCH(Q$1,[3]enemies!$1:$1,0)-MATCH($L$1,[3]enemies!$1:$1,0)+1),MATCH(Q$1,[3]enemies!$1:$1,0)-MATCH($L$1,[3]enemies!$1:$1,0)+1,FALSE)</f>
        <v>15</v>
      </c>
      <c r="R49" s="5">
        <v>40</v>
      </c>
      <c r="S49" s="25">
        <v>1</v>
      </c>
      <c r="T49" s="25">
        <v>0.5</v>
      </c>
      <c r="U49" s="5">
        <v>0</v>
      </c>
      <c r="V49" s="4" t="e">
        <f ca="1">VLOOKUP($W49,OFFSET(enemy_skill_sets!$B$1,0,0,COUNTA(enemy_skill_sets!$B:$B),MATCH(M$1,enemy_skill_sets!$1:$1,0)-MATCH($W$1,enemy_skill_sets!$1:$1,0)+2),MATCH(M$1,enemy_skill_sets!$1:$1,0)-MATCH($W$1,enemy_skill_sets!$1:$1,0)+2,FALSE)</f>
        <v>#N/A</v>
      </c>
      <c r="W49" s="4">
        <f ca="1">VLOOKUP($L49,OFFSET([3]enemies!$A$1,0,0,COUNTA([3]enemies!$A:$A),MATCH(W$1,[3]enemies!$1:$1,0)-MATCH($L$1,[3]enemies!$1:$1,0)+1),MATCH(W$1,[3]enemies!$1:$1,0)-MATCH($L$1,[3]enemies!$1:$1,0)+1,FALSE)</f>
        <v>0</v>
      </c>
      <c r="X49" s="6">
        <v>0</v>
      </c>
      <c r="Y49" s="6">
        <v>100</v>
      </c>
      <c r="Z49" s="6">
        <v>0</v>
      </c>
      <c r="AA49" s="17">
        <v>2</v>
      </c>
      <c r="AB49" s="24">
        <f t="shared" si="8"/>
        <v>3</v>
      </c>
      <c r="AC49" s="4" t="str">
        <f ca="1">VLOOKUP($AB49,OFFSET([4]characters!$A$1,0,0,COUNTA([4]characters!$A:$A),MATCH(AC$1,[4]characters!$1:$1,0)-MATCH("character_id",[4]characters!$1:$1,0)+1),MATCH(AC$1,[4]characters!$1:$1,0)-MATCH("character_id",[4]characters!$1:$1,0)+1,FALSE)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49" s="4">
        <f ca="1">VLOOKUP($AB49,OFFSET([4]characters!$A$1,0,0,COUNTA([4]characters!$A:$A),MATCH(AD$1,[4]characters!$1:$1,0)-MATCH("character_id",[4]characters!$1:$1,0)+1),MATCH(AD$1,[4]characters!$1:$1,0)-MATCH("character_id",[4]characters!$1:$1,0)+1,FALSE)</f>
        <v>1</v>
      </c>
      <c r="AE49" s="4" t="str">
        <f ca="1">VLOOKUP($AB49,OFFSET([4]characters!$A$1,0,0,COUNTA([4]characters!$A:$A),MATCH(AE$1,[4]characters!$1:$1,0)-MATCH("character_id",[4]characters!$1:$1,0)+1),MATCH(AE$1,[4]characters!$1:$1,0)-MATCH("character_id",[4]characters!$1:$1,0)+1,FALSE)</f>
        <v>Drop1T</v>
      </c>
      <c r="AF49" s="7">
        <v>1</v>
      </c>
      <c r="AG49" s="24">
        <f t="shared" ca="1" si="9"/>
        <v>1</v>
      </c>
      <c r="AH49" s="8">
        <v>20</v>
      </c>
      <c r="AI49" s="7">
        <v>0</v>
      </c>
      <c r="AJ49" s="7">
        <v>0</v>
      </c>
      <c r="AK49" s="7">
        <v>0</v>
      </c>
      <c r="AL49" s="7">
        <v>0</v>
      </c>
      <c r="AM49" s="7">
        <v>1</v>
      </c>
      <c r="AN49" s="69">
        <v>1</v>
      </c>
    </row>
    <row r="50" spans="1:40" ht="21" customHeight="1" x14ac:dyDescent="0.15">
      <c r="A50" s="16" t="str">
        <f t="shared" si="5"/>
        <v>39005_3-2/5&lt;lv40&gt;s3</v>
      </c>
      <c r="B50" s="22">
        <v>39005</v>
      </c>
      <c r="C50" s="21">
        <v>3</v>
      </c>
      <c r="D50" s="2" t="str">
        <f t="shared" si="6"/>
        <v>39005_3</v>
      </c>
      <c r="E50" s="4" t="str">
        <f ca="1">VLOOKUP($B50,OFFSET([2]quests!$A$1,0,0,COUNTA([2]quests!$A:$A),MATCH(E$1,[2]quests!$1:$1,0)-MATCH($B$1,[2]quests!$1:$1,0)+1),MATCH(E$1,[2]quests!$1:$1,0)-MATCH($B$1,[2]quests!$1:$1,0)+1,FALSE)</f>
        <v xml:space="preserve">ミクエキスポ </v>
      </c>
      <c r="F50" s="4" t="str">
        <f ca="1">VLOOKUP($D50,OFFSET([2]stages!$A$1,0,0,COUNTA([2]stages!$A:$A),MATCH(F$1,[2]stages!$2:$2,0)-MATCH($D$1,[2]stages!$2:$2,0)+1),MATCH(F$1,[2]stages!$2:$2,0)-MATCH($D$1,[2]stages!$2:$2,0)+1,FALSE)</f>
        <v>【上級】ミクエキスポ</v>
      </c>
      <c r="G50" s="96">
        <v>2</v>
      </c>
      <c r="H50" s="15" t="str">
        <f t="shared" si="7"/>
        <v>39005_3-2</v>
      </c>
      <c r="I50" s="4">
        <f ca="1">VLOOKUP($H50,OFFSET(floors!$A$1,0,0,COUNTA(floors!$A:$A),MATCH(I$1,floors!$1:$1,0)-MATCH($H$1,floors!$1:$1,0)+1),MATCH(I$1,floors!$1:$1,0)-MATCH($H$1,floors!$1:$1,0)+1,FALSE)</f>
        <v>60</v>
      </c>
      <c r="J50" s="4">
        <f ca="1">VLOOKUP($H50,OFFSET(floors!$A$1,0,0,COUNTA(floors!$A:$A),MATCH(J$1,floors!$1:$1,0)-MATCH($H$1,floors!$1:$1,0)+1),MATCH(J$1,floors!$1:$1,0)-MATCH($H$1,floors!$1:$1,0)+1,FALSE)</f>
        <v>60</v>
      </c>
      <c r="K50" s="38" t="s">
        <v>53</v>
      </c>
      <c r="L50" s="20">
        <v>5</v>
      </c>
      <c r="M50" s="17" t="str">
        <f ca="1">VLOOKUP($L50,OFFSET([3]enemies!$A$1,0,0,COUNTA([3]enemies!$A:$A),MATCH(M$1,[3]enemies!$1:$1,0)-MATCH($L$1,[3]enemies!$1:$1,0)+1),MATCH(M$1,[3]enemies!$1:$1,0)-MATCH($L$1,[3]enemies!$1:$1,0)+1,FALSE)</f>
        <v>パトドッグ ポチ</v>
      </c>
      <c r="N50" s="17" t="str">
        <f ca="1">VLOOKUP($L50,OFFSET([3]enemies!$A$1,0,0,COUNTA([3]enemies!$A:$A),MATCH(N$1,[3]enemies!$1:$1,0)-MATCH($L$1,[3]enemies!$1:$1,0)+1),MATCH(N$1,[3]enemies!$1:$1,0)-MATCH($L$1,[3]enemies!$1:$1,0)+1,FALSE)</f>
        <v>blue</v>
      </c>
      <c r="O50" s="17" t="str">
        <f ca="1">VLOOKUP($L50,OFFSET([4]characters!$A$1,0,0,COUNTA([4]characters!$A:$A),MATCH(O$1,[4]characters!$1:$1,0)-MATCH($L$1,[4]characters!$1:$1,0)+1),MATCH(O$1,[4]characters!$1:$1,0)-MATCH($L$1,[4]characters!$1:$1,0)+1,FALSE)</f>
        <v>Drop1T</v>
      </c>
      <c r="P50" s="17" t="str">
        <f ca="1">VLOOKUP($L50,OFFSET([3]enemies!$A$1,0,0,COUNTA([3]enemies!$A:$A),MATCH(P$1,[3]enemies!$1:$1,0)-MATCH($L$1,[3]enemies!$1:$1,0)+1),MATCH(P$1,[3]enemies!$1:$1,0)-MATCH($L$1,[3]enemies!$1:$1,0)+1,FALSE)</f>
        <v>unknown</v>
      </c>
      <c r="Q50" s="17">
        <f ca="1">VLOOKUP($L50,OFFSET([3]enemies!$A$1,0,0,COUNTA([3]enemies!$A:$A),MATCH(Q$1,[3]enemies!$1:$1,0)-MATCH($L$1,[3]enemies!$1:$1,0)+1),MATCH(Q$1,[3]enemies!$1:$1,0)-MATCH($L$1,[3]enemies!$1:$1,0)+1,FALSE)</f>
        <v>15</v>
      </c>
      <c r="R50" s="5">
        <v>40</v>
      </c>
      <c r="S50" s="25">
        <v>1</v>
      </c>
      <c r="T50" s="25">
        <v>0.8</v>
      </c>
      <c r="U50" s="5">
        <v>0</v>
      </c>
      <c r="V50" s="4" t="str">
        <f ca="1">VLOOKUP($W50,OFFSET([5]enemy_skill_sets!$B$1,0,0,COUNTA([5]enemy_skill_sets!$B:$B),MATCH(M$1,[5]enemy_skill_sets!$1:$1,0)-MATCH($W$1,[5]enemy_skill_sets!$1:$1,0)+2),MATCH(M$1,[5]enemy_skill_sets!$1:$1,0)-MATCH($W$1,[5]enemy_skill_sets!$1:$1,0)+2,FALSE)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0" s="4">
        <f ca="1">VLOOKUP($L50,OFFSET([3]enemies!$A$1,0,0,COUNTA([3]enemies!$A:$A),MATCH(W$1,[3]enemies!$1:$1,0)-MATCH($L$1,[3]enemies!$1:$1,0)+1),MATCH(W$1,[3]enemies!$1:$1,0)-MATCH($L$1,[3]enemies!$1:$1,0)+1,FALSE)</f>
        <v>0</v>
      </c>
      <c r="X50" s="6">
        <v>0</v>
      </c>
      <c r="Y50" s="6">
        <v>100</v>
      </c>
      <c r="Z50" s="6">
        <v>0</v>
      </c>
      <c r="AA50" s="17">
        <v>3</v>
      </c>
      <c r="AB50" s="24">
        <f t="shared" si="8"/>
        <v>5</v>
      </c>
      <c r="AC50" s="4" t="str">
        <f ca="1">VLOOKUP($AB50,OFFSET([4]characters!$A$1,0,0,COUNTA([4]characters!$A:$A),MATCH(AC$1,[4]characters!$1:$1,0)-MATCH("character_id",[4]characters!$1:$1,0)+1),MATCH(AC$1,[4]characters!$1:$1,0)-MATCH("character_id",[4]characters!$1:$1,0)+1,FALSE)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50" s="4">
        <f ca="1">VLOOKUP($AB50,OFFSET([4]characters!$A$1,0,0,COUNTA([4]characters!$A:$A),MATCH(AD$1,[4]characters!$1:$1,0)-MATCH("character_id",[4]characters!$1:$1,0)+1),MATCH(AD$1,[4]characters!$1:$1,0)-MATCH("character_id",[4]characters!$1:$1,0)+1,FALSE)</f>
        <v>1</v>
      </c>
      <c r="AE50" s="4" t="str">
        <f ca="1">VLOOKUP($AB50,OFFSET([4]characters!$A$1,0,0,COUNTA([4]characters!$A:$A),MATCH(AE$1,[4]characters!$1:$1,0)-MATCH("character_id",[4]characters!$1:$1,0)+1),MATCH(AE$1,[4]characters!$1:$1,0)-MATCH("character_id",[4]characters!$1:$1,0)+1,FALSE)</f>
        <v>Drop1T</v>
      </c>
      <c r="AF50" s="7">
        <v>1</v>
      </c>
      <c r="AG50" s="24">
        <f t="shared" ca="1" si="9"/>
        <v>1</v>
      </c>
      <c r="AH50" s="8">
        <v>20</v>
      </c>
      <c r="AI50" s="7">
        <v>0</v>
      </c>
      <c r="AJ50" s="7">
        <v>0</v>
      </c>
      <c r="AK50" s="7">
        <v>0</v>
      </c>
      <c r="AL50" s="7">
        <v>0</v>
      </c>
      <c r="AM50" s="7">
        <v>1</v>
      </c>
      <c r="AN50" s="69">
        <v>1</v>
      </c>
    </row>
    <row r="51" spans="1:40" ht="21" customHeight="1" x14ac:dyDescent="0.15">
      <c r="A51" s="16" t="str">
        <f t="shared" si="5"/>
        <v>39005_3-2/7&lt;lv40&gt;s2</v>
      </c>
      <c r="B51" s="22">
        <v>39005</v>
      </c>
      <c r="C51" s="21">
        <v>3</v>
      </c>
      <c r="D51" s="2" t="str">
        <f t="shared" si="6"/>
        <v>39005_3</v>
      </c>
      <c r="E51" s="4" t="str">
        <f ca="1">VLOOKUP($B51,OFFSET([2]quests!$A$1,0,0,COUNTA([2]quests!$A:$A),MATCH(E$1,[2]quests!$1:$1,0)-MATCH($B$1,[2]quests!$1:$1,0)+1),MATCH(E$1,[2]quests!$1:$1,0)-MATCH($B$1,[2]quests!$1:$1,0)+1,FALSE)</f>
        <v xml:space="preserve">ミクエキスポ </v>
      </c>
      <c r="F51" s="4" t="str">
        <f ca="1">VLOOKUP($D51,OFFSET([2]stages!$A$1,0,0,COUNTA([2]stages!$A:$A),MATCH(F$1,[2]stages!$2:$2,0)-MATCH($D$1,[2]stages!$2:$2,0)+1),MATCH(F$1,[2]stages!$2:$2,0)-MATCH($D$1,[2]stages!$2:$2,0)+1,FALSE)</f>
        <v>【上級】ミクエキスポ</v>
      </c>
      <c r="G51" s="96">
        <v>2</v>
      </c>
      <c r="H51" s="15" t="str">
        <f t="shared" si="7"/>
        <v>39005_3-2</v>
      </c>
      <c r="I51" s="4">
        <f ca="1">VLOOKUP($H51,OFFSET(floors!$A$1,0,0,COUNTA(floors!$A:$A),MATCH(I$1,floors!$1:$1,0)-MATCH($H$1,floors!$1:$1,0)+1),MATCH(I$1,floors!$1:$1,0)-MATCH($H$1,floors!$1:$1,0)+1,FALSE)</f>
        <v>60</v>
      </c>
      <c r="J51" s="4">
        <f ca="1">VLOOKUP($H51,OFFSET(floors!$A$1,0,0,COUNTA(floors!$A:$A),MATCH(J$1,floors!$1:$1,0)-MATCH($H$1,floors!$1:$1,0)+1),MATCH(J$1,floors!$1:$1,0)-MATCH($H$1,floors!$1:$1,0)+1,FALSE)</f>
        <v>60</v>
      </c>
      <c r="K51" s="38" t="s">
        <v>53</v>
      </c>
      <c r="L51" s="20">
        <v>7</v>
      </c>
      <c r="M51" s="17" t="str">
        <f ca="1">VLOOKUP($L51,OFFSET([3]enemies!$A$1,0,0,COUNTA([3]enemies!$A:$A),MATCH(M$1,[3]enemies!$1:$1,0)-MATCH($L$1,[3]enemies!$1:$1,0)+1),MATCH(M$1,[3]enemies!$1:$1,0)-MATCH($L$1,[3]enemies!$1:$1,0)+1,FALSE)</f>
        <v>エレキポット</v>
      </c>
      <c r="N51" s="17" t="str">
        <f ca="1">VLOOKUP($L51,OFFSET([3]enemies!$A$1,0,0,COUNTA([3]enemies!$A:$A),MATCH(N$1,[3]enemies!$1:$1,0)-MATCH($L$1,[3]enemies!$1:$1,0)+1),MATCH(N$1,[3]enemies!$1:$1,0)-MATCH($L$1,[3]enemies!$1:$1,0)+1,FALSE)</f>
        <v>yellow</v>
      </c>
      <c r="O51" s="17" t="str">
        <f ca="1">VLOOKUP($L51,OFFSET([4]characters!$A$1,0,0,COUNTA([4]characters!$A:$A),MATCH(O$1,[4]characters!$1:$1,0)-MATCH($L$1,[4]characters!$1:$1,0)+1),MATCH(O$1,[4]characters!$1:$1,0)-MATCH($L$1,[4]characters!$1:$1,0)+1,FALSE)</f>
        <v>Drop1T</v>
      </c>
      <c r="P51" s="17" t="str">
        <f ca="1">VLOOKUP($L51,OFFSET([3]enemies!$A$1,0,0,COUNTA([3]enemies!$A:$A),MATCH(P$1,[3]enemies!$1:$1,0)-MATCH($L$1,[3]enemies!$1:$1,0)+1),MATCH(P$1,[3]enemies!$1:$1,0)-MATCH($L$1,[3]enemies!$1:$1,0)+1,FALSE)</f>
        <v>unknown</v>
      </c>
      <c r="Q51" s="17">
        <f ca="1">VLOOKUP($L51,OFFSET([3]enemies!$A$1,0,0,COUNTA([3]enemies!$A:$A),MATCH(Q$1,[3]enemies!$1:$1,0)-MATCH($L$1,[3]enemies!$1:$1,0)+1),MATCH(Q$1,[3]enemies!$1:$1,0)-MATCH($L$1,[3]enemies!$1:$1,0)+1,FALSE)</f>
        <v>15</v>
      </c>
      <c r="R51" s="5">
        <v>40</v>
      </c>
      <c r="S51" s="25">
        <v>1</v>
      </c>
      <c r="T51" s="25">
        <v>0.4</v>
      </c>
      <c r="U51" s="5">
        <v>0</v>
      </c>
      <c r="V51" s="4" t="e">
        <f ca="1">VLOOKUP($W51,OFFSET(enemy_skill_sets!$B$1,0,0,COUNTA(enemy_skill_sets!$B:$B),MATCH(M$1,enemy_skill_sets!$1:$1,0)-MATCH($W$1,enemy_skill_sets!$1:$1,0)+2),MATCH(M$1,enemy_skill_sets!$1:$1,0)-MATCH($W$1,enemy_skill_sets!$1:$1,0)+2,FALSE)</f>
        <v>#N/A</v>
      </c>
      <c r="W51" s="4">
        <f ca="1">VLOOKUP($L51,OFFSET([3]enemies!$A$1,0,0,COUNTA([3]enemies!$A:$A),MATCH(W$1,[3]enemies!$1:$1,0)-MATCH($L$1,[3]enemies!$1:$1,0)+1),MATCH(W$1,[3]enemies!$1:$1,0)-MATCH($L$1,[3]enemies!$1:$1,0)+1,FALSE)</f>
        <v>0</v>
      </c>
      <c r="X51" s="6">
        <v>0</v>
      </c>
      <c r="Y51" s="6">
        <v>100</v>
      </c>
      <c r="Z51" s="6">
        <v>0</v>
      </c>
      <c r="AA51" s="17">
        <v>2</v>
      </c>
      <c r="AB51" s="24">
        <f t="shared" si="8"/>
        <v>7</v>
      </c>
      <c r="AC51" s="4" t="str">
        <f ca="1">VLOOKUP($AB51,OFFSET([4]characters!$A$1,0,0,COUNTA([4]characters!$A:$A),MATCH(AC$1,[4]characters!$1:$1,0)-MATCH("character_id",[4]characters!$1:$1,0)+1),MATCH(AC$1,[4]characters!$1:$1,0)-MATCH("character_id",[4]characters!$1:$1,0)+1,FALSE)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51" s="4">
        <f ca="1">VLOOKUP($AB51,OFFSET([4]characters!$A$1,0,0,COUNTA([4]characters!$A:$A),MATCH(AD$1,[4]characters!$1:$1,0)-MATCH("character_id",[4]characters!$1:$1,0)+1),MATCH(AD$1,[4]characters!$1:$1,0)-MATCH("character_id",[4]characters!$1:$1,0)+1,FALSE)</f>
        <v>1</v>
      </c>
      <c r="AE51" s="4" t="str">
        <f ca="1">VLOOKUP($AB51,OFFSET([4]characters!$A$1,0,0,COUNTA([4]characters!$A:$A),MATCH(AE$1,[4]characters!$1:$1,0)-MATCH("character_id",[4]characters!$1:$1,0)+1),MATCH(AE$1,[4]characters!$1:$1,0)-MATCH("character_id",[4]characters!$1:$1,0)+1,FALSE)</f>
        <v>Drop1T</v>
      </c>
      <c r="AF51" s="7">
        <v>1</v>
      </c>
      <c r="AG51" s="24">
        <f t="shared" ca="1" si="9"/>
        <v>1</v>
      </c>
      <c r="AH51" s="8">
        <v>20</v>
      </c>
      <c r="AI51" s="7">
        <v>0</v>
      </c>
      <c r="AJ51" s="7">
        <v>0</v>
      </c>
      <c r="AK51" s="7">
        <v>0</v>
      </c>
      <c r="AL51" s="7">
        <v>0</v>
      </c>
      <c r="AM51" s="7">
        <v>1</v>
      </c>
      <c r="AN51" s="69">
        <v>1</v>
      </c>
    </row>
    <row r="52" spans="1:40" ht="21" customHeight="1" x14ac:dyDescent="0.15">
      <c r="A52" s="16" t="str">
        <f t="shared" si="5"/>
        <v>39005_3-2/15&lt;lv40&gt;s3</v>
      </c>
      <c r="B52" s="22">
        <v>39005</v>
      </c>
      <c r="C52" s="21">
        <v>3</v>
      </c>
      <c r="D52" s="2" t="str">
        <f t="shared" si="6"/>
        <v>39005_3</v>
      </c>
      <c r="E52" s="4" t="str">
        <f ca="1">VLOOKUP($B52,OFFSET([2]quests!$A$1,0,0,COUNTA([2]quests!$A:$A),MATCH(E$1,[2]quests!$1:$1,0)-MATCH($B$1,[2]quests!$1:$1,0)+1),MATCH(E$1,[2]quests!$1:$1,0)-MATCH($B$1,[2]quests!$1:$1,0)+1,FALSE)</f>
        <v xml:space="preserve">ミクエキスポ </v>
      </c>
      <c r="F52" s="4" t="str">
        <f ca="1">VLOOKUP($D52,OFFSET([2]stages!$A$1,0,0,COUNTA([2]stages!$A:$A),MATCH(F$1,[2]stages!$2:$2,0)-MATCH($D$1,[2]stages!$2:$2,0)+1),MATCH(F$1,[2]stages!$2:$2,0)-MATCH($D$1,[2]stages!$2:$2,0)+1,FALSE)</f>
        <v>【上級】ミクエキスポ</v>
      </c>
      <c r="G52" s="96">
        <v>2</v>
      </c>
      <c r="H52" s="15" t="str">
        <f t="shared" si="7"/>
        <v>39005_3-2</v>
      </c>
      <c r="I52" s="4">
        <f ca="1">VLOOKUP($H52,OFFSET(floors!$A$1,0,0,COUNTA(floors!$A:$A),MATCH(I$1,floors!$1:$1,0)-MATCH($H$1,floors!$1:$1,0)+1),MATCH(I$1,floors!$1:$1,0)-MATCH($H$1,floors!$1:$1,0)+1,FALSE)</f>
        <v>60</v>
      </c>
      <c r="J52" s="4">
        <f ca="1">VLOOKUP($H52,OFFSET(floors!$A$1,0,0,COUNTA(floors!$A:$A),MATCH(J$1,floors!$1:$1,0)-MATCH($H$1,floors!$1:$1,0)+1),MATCH(J$1,floors!$1:$1,0)-MATCH($H$1,floors!$1:$1,0)+1,FALSE)</f>
        <v>60</v>
      </c>
      <c r="K52" s="38" t="s">
        <v>53</v>
      </c>
      <c r="L52" s="20">
        <v>15</v>
      </c>
      <c r="M52" s="17" t="str">
        <f ca="1">VLOOKUP($L52,OFFSET([3]enemies!$A$1,0,0,COUNTA([3]enemies!$A:$A),MATCH(M$1,[3]enemies!$1:$1,0)-MATCH($L$1,[3]enemies!$1:$1,0)+1),MATCH(M$1,[3]enemies!$1:$1,0)-MATCH($L$1,[3]enemies!$1:$1,0)+1,FALSE)</f>
        <v>アカネ</v>
      </c>
      <c r="N52" s="17" t="str">
        <f ca="1">VLOOKUP($L52,OFFSET([3]enemies!$A$1,0,0,COUNTA([3]enemies!$A:$A),MATCH(N$1,[3]enemies!$1:$1,0)-MATCH($L$1,[3]enemies!$1:$1,0)+1),MATCH(N$1,[3]enemies!$1:$1,0)-MATCH($L$1,[3]enemies!$1:$1,0)+1,FALSE)</f>
        <v>red</v>
      </c>
      <c r="O52" s="17" t="str">
        <f ca="1">VLOOKUP($L52,OFFSET([4]characters!$A$1,0,0,COUNTA([4]characters!$A:$A),MATCH(O$1,[4]characters!$1:$1,0)-MATCH($L$1,[4]characters!$1:$1,0)+1),MATCH(O$1,[4]characters!$1:$1,0)-MATCH($L$1,[4]characters!$1:$1,0)+1,FALSE)</f>
        <v>Drop1W</v>
      </c>
      <c r="P52" s="17" t="str">
        <f ca="1">VLOOKUP($L52,OFFSET([3]enemies!$A$1,0,0,COUNTA([3]enemies!$A:$A),MATCH(P$1,[3]enemies!$1:$1,0)-MATCH($L$1,[3]enemies!$1:$1,0)+1),MATCH(P$1,[3]enemies!$1:$1,0)-MATCH($L$1,[3]enemies!$1:$1,0)+1,FALSE)</f>
        <v>human</v>
      </c>
      <c r="Q52" s="17">
        <f ca="1">VLOOKUP($L52,OFFSET([3]enemies!$A$1,0,0,COUNTA([3]enemies!$A:$A),MATCH(Q$1,[3]enemies!$1:$1,0)-MATCH($L$1,[3]enemies!$1:$1,0)+1),MATCH(Q$1,[3]enemies!$1:$1,0)-MATCH($L$1,[3]enemies!$1:$1,0)+1,FALSE)</f>
        <v>15</v>
      </c>
      <c r="R52" s="5">
        <v>40</v>
      </c>
      <c r="S52" s="25">
        <v>1</v>
      </c>
      <c r="T52" s="25">
        <v>0.6</v>
      </c>
      <c r="U52" s="5">
        <v>0</v>
      </c>
      <c r="V52" s="4" t="str">
        <f ca="1">VLOOKUP($W52,OFFSET([5]enemy_skill_sets!$B$1,0,0,COUNTA([5]enemy_skill_sets!$B:$B),MATCH(M$1,[5]enemy_skill_sets!$1:$1,0)-MATCH($W$1,[5]enemy_skill_sets!$1:$1,0)+2),MATCH(M$1,[5]enemy_skill_sets!$1:$1,0)-MATCH($W$1,[5]enemy_skill_sets!$1:$1,0)+2,FALSE)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2" s="4">
        <f ca="1">VLOOKUP($L52,OFFSET([3]enemies!$A$1,0,0,COUNTA([3]enemies!$A:$A),MATCH(W$1,[3]enemies!$1:$1,0)-MATCH($L$1,[3]enemies!$1:$1,0)+1),MATCH(W$1,[3]enemies!$1:$1,0)-MATCH($L$1,[3]enemies!$1:$1,0)+1,FALSE)</f>
        <v>0</v>
      </c>
      <c r="X52" s="6">
        <v>0</v>
      </c>
      <c r="Y52" s="6">
        <v>100</v>
      </c>
      <c r="Z52" s="6">
        <v>0</v>
      </c>
      <c r="AA52" s="17">
        <v>3</v>
      </c>
      <c r="AB52" s="24">
        <f t="shared" si="8"/>
        <v>15</v>
      </c>
      <c r="AC52" s="4" t="str">
        <f ca="1">VLOOKUP($AB52,OFFSET([4]characters!$A$1,0,0,COUNTA([4]characters!$A:$A),MATCH(AC$1,[4]characters!$1:$1,0)-MATCH("character_id",[4]characters!$1:$1,0)+1),MATCH(AC$1,[4]characters!$1:$1,0)-MATCH("character_id",[4]characters!$1:$1,0)+1,FALSE)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52" s="4">
        <f ca="1">VLOOKUP($AB52,OFFSET([4]characters!$A$1,0,0,COUNTA([4]characters!$A:$A),MATCH(AD$1,[4]characters!$1:$1,0)-MATCH("character_id",[4]characters!$1:$1,0)+1),MATCH(AD$1,[4]characters!$1:$1,0)-MATCH("character_id",[4]characters!$1:$1,0)+1,FALSE)</f>
        <v>1</v>
      </c>
      <c r="AE52" s="4" t="str">
        <f ca="1">VLOOKUP($AB52,OFFSET([4]characters!$A$1,0,0,COUNTA([4]characters!$A:$A),MATCH(AE$1,[4]characters!$1:$1,0)-MATCH("character_id",[4]characters!$1:$1,0)+1),MATCH(AE$1,[4]characters!$1:$1,0)-MATCH("character_id",[4]characters!$1:$1,0)+1,FALSE)</f>
        <v>Drop1W</v>
      </c>
      <c r="AF52" s="7">
        <v>1</v>
      </c>
      <c r="AG52" s="24">
        <f t="shared" ca="1" si="9"/>
        <v>1</v>
      </c>
      <c r="AH52" s="8">
        <v>20</v>
      </c>
      <c r="AI52" s="7">
        <v>0</v>
      </c>
      <c r="AJ52" s="7">
        <v>0</v>
      </c>
      <c r="AK52" s="7">
        <v>0</v>
      </c>
      <c r="AL52" s="7">
        <v>0</v>
      </c>
      <c r="AM52" s="7">
        <v>1</v>
      </c>
      <c r="AN52" s="69">
        <v>1</v>
      </c>
    </row>
    <row r="53" spans="1:40" ht="21" customHeight="1" x14ac:dyDescent="0.15">
      <c r="A53" s="16" t="str">
        <f t="shared" si="5"/>
        <v>39005_3-2/27&lt;lv40&gt;s1</v>
      </c>
      <c r="B53" s="22">
        <v>39005</v>
      </c>
      <c r="C53" s="21">
        <v>3</v>
      </c>
      <c r="D53" s="2" t="str">
        <f t="shared" si="6"/>
        <v>39005_3</v>
      </c>
      <c r="E53" s="4" t="str">
        <f ca="1">VLOOKUP($B53,OFFSET([2]quests!$A$1,0,0,COUNTA([2]quests!$A:$A),MATCH(E$1,[2]quests!$1:$1,0)-MATCH($B$1,[2]quests!$1:$1,0)+1),MATCH(E$1,[2]quests!$1:$1,0)-MATCH($B$1,[2]quests!$1:$1,0)+1,FALSE)</f>
        <v xml:space="preserve">ミクエキスポ </v>
      </c>
      <c r="F53" s="4" t="str">
        <f ca="1">VLOOKUP($D53,OFFSET([2]stages!$A$1,0,0,COUNTA([2]stages!$A:$A),MATCH(F$1,[2]stages!$2:$2,0)-MATCH($D$1,[2]stages!$2:$2,0)+1),MATCH(F$1,[2]stages!$2:$2,0)-MATCH($D$1,[2]stages!$2:$2,0)+1,FALSE)</f>
        <v>【上級】ミクエキスポ</v>
      </c>
      <c r="G53" s="96">
        <v>2</v>
      </c>
      <c r="H53" s="15" t="str">
        <f t="shared" si="7"/>
        <v>39005_3-2</v>
      </c>
      <c r="I53" s="4">
        <f ca="1">VLOOKUP($H53,OFFSET(floors!$A$1,0,0,COUNTA(floors!$A:$A),MATCH(I$1,floors!$1:$1,0)-MATCH($H$1,floors!$1:$1,0)+1),MATCH(I$1,floors!$1:$1,0)-MATCH($H$1,floors!$1:$1,0)+1,FALSE)</f>
        <v>60</v>
      </c>
      <c r="J53" s="4">
        <f ca="1">VLOOKUP($H53,OFFSET(floors!$A$1,0,0,COUNTA(floors!$A:$A),MATCH(J$1,floors!$1:$1,0)-MATCH($H$1,floors!$1:$1,0)+1),MATCH(J$1,floors!$1:$1,0)-MATCH($H$1,floors!$1:$1,0)+1,FALSE)</f>
        <v>60</v>
      </c>
      <c r="K53" s="38" t="s">
        <v>53</v>
      </c>
      <c r="L53" s="20">
        <v>27</v>
      </c>
      <c r="M53" s="17" t="str">
        <f ca="1">VLOOKUP($L53,OFFSET([3]enemies!$A$1,0,0,COUNTA([3]enemies!$A:$A),MATCH(M$1,[3]enemies!$1:$1,0)-MATCH($L$1,[3]enemies!$1:$1,0)+1),MATCH(M$1,[3]enemies!$1:$1,0)-MATCH($L$1,[3]enemies!$1:$1,0)+1,FALSE)</f>
        <v>パトライン</v>
      </c>
      <c r="N53" s="17" t="str">
        <f ca="1">VLOOKUP($L53,OFFSET([3]enemies!$A$1,0,0,COUNTA([3]enemies!$A:$A),MATCH(N$1,[3]enemies!$1:$1,0)-MATCH($L$1,[3]enemies!$1:$1,0)+1),MATCH(N$1,[3]enemies!$1:$1,0)-MATCH($L$1,[3]enemies!$1:$1,0)+1,FALSE)</f>
        <v>green</v>
      </c>
      <c r="O53" s="17" t="str">
        <f ca="1">VLOOKUP($L53,OFFSET([4]characters!$A$1,0,0,COUNTA([4]characters!$A:$A),MATCH(O$1,[4]characters!$1:$1,0)-MATCH($L$1,[4]characters!$1:$1,0)+1),MATCH(O$1,[4]characters!$1:$1,0)-MATCH($L$1,[4]characters!$1:$1,0)+1,FALSE)</f>
        <v>Drop1N</v>
      </c>
      <c r="P53" s="17" t="str">
        <f ca="1">VLOOKUP($L53,OFFSET([3]enemies!$A$1,0,0,COUNTA([3]enemies!$A:$A),MATCH(P$1,[3]enemies!$1:$1,0)-MATCH($L$1,[3]enemies!$1:$1,0)+1),MATCH(P$1,[3]enemies!$1:$1,0)-MATCH($L$1,[3]enemies!$1:$1,0)+1,FALSE)</f>
        <v>machine</v>
      </c>
      <c r="Q53" s="17">
        <f ca="1">VLOOKUP($L53,OFFSET([3]enemies!$A$1,0,0,COUNTA([3]enemies!$A:$A),MATCH(Q$1,[3]enemies!$1:$1,0)-MATCH($L$1,[3]enemies!$1:$1,0)+1),MATCH(Q$1,[3]enemies!$1:$1,0)-MATCH($L$1,[3]enemies!$1:$1,0)+1,FALSE)</f>
        <v>15</v>
      </c>
      <c r="R53" s="5">
        <v>40</v>
      </c>
      <c r="S53" s="25">
        <v>1</v>
      </c>
      <c r="T53" s="25">
        <v>0.6</v>
      </c>
      <c r="U53" s="5">
        <v>0</v>
      </c>
      <c r="V53" s="4" t="e">
        <f ca="1">VLOOKUP($W53,OFFSET(enemy_skill_sets!$B$1,0,0,COUNTA(enemy_skill_sets!$B:$B),MATCH(M$1,enemy_skill_sets!$1:$1,0)-MATCH($W$1,enemy_skill_sets!$1:$1,0)+2),MATCH(M$1,enemy_skill_sets!$1:$1,0)-MATCH($W$1,enemy_skill_sets!$1:$1,0)+2,FALSE)</f>
        <v>#N/A</v>
      </c>
      <c r="W53" s="4">
        <f ca="1">VLOOKUP($L53,OFFSET([3]enemies!$A$1,0,0,COUNTA([3]enemies!$A:$A),MATCH(W$1,[3]enemies!$1:$1,0)-MATCH($L$1,[3]enemies!$1:$1,0)+1),MATCH(W$1,[3]enemies!$1:$1,0)-MATCH($L$1,[3]enemies!$1:$1,0)+1,FALSE)</f>
        <v>0</v>
      </c>
      <c r="X53" s="6">
        <v>0</v>
      </c>
      <c r="Y53" s="6">
        <v>100</v>
      </c>
      <c r="Z53" s="6">
        <v>0</v>
      </c>
      <c r="AA53" s="17">
        <v>1</v>
      </c>
      <c r="AB53" s="24">
        <f t="shared" si="8"/>
        <v>27</v>
      </c>
      <c r="AC53" s="4" t="str">
        <f ca="1">VLOOKUP($AB53,OFFSET([4]characters!$A$1,0,0,COUNTA([4]characters!$A:$A),MATCH(AC$1,[4]characters!$1:$1,0)-MATCH("character_id",[4]characters!$1:$1,0)+1),MATCH(AC$1,[4]characters!$1:$1,0)-MATCH("character_id",[4]characters!$1:$1,0)+1,FALSE)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53" s="4">
        <f ca="1">VLOOKUP($AB53,OFFSET([4]characters!$A$1,0,0,COUNTA([4]characters!$A:$A),MATCH(AD$1,[4]characters!$1:$1,0)-MATCH("character_id",[4]characters!$1:$1,0)+1),MATCH(AD$1,[4]characters!$1:$1,0)-MATCH("character_id",[4]characters!$1:$1,0)+1,FALSE)</f>
        <v>1</v>
      </c>
      <c r="AE53" s="4" t="str">
        <f ca="1">VLOOKUP($AB53,OFFSET([4]characters!$A$1,0,0,COUNTA([4]characters!$A:$A),MATCH(AE$1,[4]characters!$1:$1,0)-MATCH("character_id",[4]characters!$1:$1,0)+1),MATCH(AE$1,[4]characters!$1:$1,0)-MATCH("character_id",[4]characters!$1:$1,0)+1,FALSE)</f>
        <v>Drop1N</v>
      </c>
      <c r="AF53" s="7">
        <v>1</v>
      </c>
      <c r="AG53" s="24">
        <f t="shared" ca="1" si="9"/>
        <v>1</v>
      </c>
      <c r="AH53" s="8">
        <v>20</v>
      </c>
      <c r="AI53" s="7">
        <v>0</v>
      </c>
      <c r="AJ53" s="7">
        <v>0</v>
      </c>
      <c r="AK53" s="7">
        <v>0</v>
      </c>
      <c r="AL53" s="7">
        <v>0</v>
      </c>
      <c r="AM53" s="7">
        <v>1</v>
      </c>
      <c r="AN53" s="69">
        <v>1</v>
      </c>
    </row>
    <row r="54" spans="1:40" ht="21" customHeight="1" x14ac:dyDescent="0.15">
      <c r="A54" s="16" t="str">
        <f t="shared" si="5"/>
        <v>39005_3-2/17&lt;lv40&gt;s2</v>
      </c>
      <c r="B54" s="22">
        <v>39005</v>
      </c>
      <c r="C54" s="21">
        <v>3</v>
      </c>
      <c r="D54" s="2" t="str">
        <f t="shared" si="6"/>
        <v>39005_3</v>
      </c>
      <c r="E54" s="4" t="str">
        <f ca="1">VLOOKUP($B54,OFFSET([2]quests!$A$1,0,0,COUNTA([2]quests!$A:$A),MATCH(E$1,[2]quests!$1:$1,0)-MATCH($B$1,[2]quests!$1:$1,0)+1),MATCH(E$1,[2]quests!$1:$1,0)-MATCH($B$1,[2]quests!$1:$1,0)+1,FALSE)</f>
        <v xml:space="preserve">ミクエキスポ </v>
      </c>
      <c r="F54" s="4" t="str">
        <f ca="1">VLOOKUP($D54,OFFSET([2]stages!$A$1,0,0,COUNTA([2]stages!$A:$A),MATCH(F$1,[2]stages!$2:$2,0)-MATCH($D$1,[2]stages!$2:$2,0)+1),MATCH(F$1,[2]stages!$2:$2,0)-MATCH($D$1,[2]stages!$2:$2,0)+1,FALSE)</f>
        <v>【上級】ミクエキスポ</v>
      </c>
      <c r="G54" s="96">
        <v>2</v>
      </c>
      <c r="H54" s="15" t="str">
        <f t="shared" si="7"/>
        <v>39005_3-2</v>
      </c>
      <c r="I54" s="4">
        <f ca="1">VLOOKUP($H54,OFFSET(floors!$A$1,0,0,COUNTA(floors!$A:$A),MATCH(I$1,floors!$1:$1,0)-MATCH($H$1,floors!$1:$1,0)+1),MATCH(I$1,floors!$1:$1,0)-MATCH($H$1,floors!$1:$1,0)+1,FALSE)</f>
        <v>60</v>
      </c>
      <c r="J54" s="4">
        <f ca="1">VLOOKUP($H54,OFFSET(floors!$A$1,0,0,COUNTA(floors!$A:$A),MATCH(J$1,floors!$1:$1,0)-MATCH($H$1,floors!$1:$1,0)+1),MATCH(J$1,floors!$1:$1,0)-MATCH($H$1,floors!$1:$1,0)+1,FALSE)</f>
        <v>60</v>
      </c>
      <c r="K54" s="38" t="s">
        <v>53</v>
      </c>
      <c r="L54" s="20">
        <v>17</v>
      </c>
      <c r="M54" s="17" t="str">
        <f ca="1">VLOOKUP($L54,OFFSET([3]enemies!$A$1,0,0,COUNTA([3]enemies!$A:$A),MATCH(M$1,[3]enemies!$1:$1,0)-MATCH($L$1,[3]enemies!$1:$1,0)+1),MATCH(M$1,[3]enemies!$1:$1,0)-MATCH($L$1,[3]enemies!$1:$1,0)+1,FALSE)</f>
        <v>リム</v>
      </c>
      <c r="N54" s="17" t="str">
        <f ca="1">VLOOKUP($L54,OFFSET([3]enemies!$A$1,0,0,COUNTA([3]enemies!$A:$A),MATCH(N$1,[3]enemies!$1:$1,0)-MATCH($L$1,[3]enemies!$1:$1,0)+1),MATCH(N$1,[3]enemies!$1:$1,0)-MATCH($L$1,[3]enemies!$1:$1,0)+1,FALSE)</f>
        <v>blue</v>
      </c>
      <c r="O54" s="17" t="str">
        <f ca="1">VLOOKUP($L54,OFFSET([4]characters!$A$1,0,0,COUNTA([4]characters!$A:$A),MATCH(O$1,[4]characters!$1:$1,0)-MATCH($L$1,[4]characters!$1:$1,0)+1),MATCH(O$1,[4]characters!$1:$1,0)-MATCH($L$1,[4]characters!$1:$1,0)+1,FALSE)</f>
        <v>Drop1W</v>
      </c>
      <c r="P54" s="17" t="str">
        <f ca="1">VLOOKUP($L54,OFFSET([3]enemies!$A$1,0,0,COUNTA([3]enemies!$A:$A),MATCH(P$1,[3]enemies!$1:$1,0)-MATCH($L$1,[3]enemies!$1:$1,0)+1),MATCH(P$1,[3]enemies!$1:$1,0)-MATCH($L$1,[3]enemies!$1:$1,0)+1,FALSE)</f>
        <v>human</v>
      </c>
      <c r="Q54" s="17">
        <f ca="1">VLOOKUP($L54,OFFSET([3]enemies!$A$1,0,0,COUNTA([3]enemies!$A:$A),MATCH(Q$1,[3]enemies!$1:$1,0)-MATCH($L$1,[3]enemies!$1:$1,0)+1),MATCH(Q$1,[3]enemies!$1:$1,0)-MATCH($L$1,[3]enemies!$1:$1,0)+1,FALSE)</f>
        <v>15</v>
      </c>
      <c r="R54" s="5">
        <v>40</v>
      </c>
      <c r="S54" s="25">
        <v>1</v>
      </c>
      <c r="T54" s="25">
        <v>0.6</v>
      </c>
      <c r="U54" s="5">
        <v>0</v>
      </c>
      <c r="V54" s="4" t="str">
        <f ca="1">VLOOKUP($W54,OFFSET([5]enemy_skill_sets!$B$1,0,0,COUNTA([5]enemy_skill_sets!$B:$B),MATCH(M$1,[5]enemy_skill_sets!$1:$1,0)-MATCH($W$1,[5]enemy_skill_sets!$1:$1,0)+2),MATCH(M$1,[5]enemy_skill_sets!$1:$1,0)-MATCH($W$1,[5]enemy_skill_sets!$1:$1,0)+2,FALSE)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4" s="4">
        <f ca="1">VLOOKUP($L54,OFFSET([3]enemies!$A$1,0,0,COUNTA([3]enemies!$A:$A),MATCH(W$1,[3]enemies!$1:$1,0)-MATCH($L$1,[3]enemies!$1:$1,0)+1),MATCH(W$1,[3]enemies!$1:$1,0)-MATCH($L$1,[3]enemies!$1:$1,0)+1,FALSE)</f>
        <v>0</v>
      </c>
      <c r="X54" s="6">
        <v>0</v>
      </c>
      <c r="Y54" s="6">
        <v>100</v>
      </c>
      <c r="Z54" s="6">
        <v>0</v>
      </c>
      <c r="AA54" s="17">
        <v>2</v>
      </c>
      <c r="AB54" s="24">
        <f t="shared" si="8"/>
        <v>17</v>
      </c>
      <c r="AC54" s="4" t="str">
        <f ca="1">VLOOKUP($AB54,OFFSET([4]characters!$A$1,0,0,COUNTA([4]characters!$A:$A),MATCH(AC$1,[4]characters!$1:$1,0)-MATCH("character_id",[4]characters!$1:$1,0)+1),MATCH(AC$1,[4]characters!$1:$1,0)-MATCH("character_id",[4]characters!$1:$1,0)+1,FALSE)</f>
        <v>リム</v>
      </c>
      <c r="AD54" s="4">
        <f ca="1">VLOOKUP($AB54,OFFSET([4]characters!$A$1,0,0,COUNTA([4]characters!$A:$A),MATCH(AD$1,[4]characters!$1:$1,0)-MATCH("character_id",[4]characters!$1:$1,0)+1),MATCH(AD$1,[4]characters!$1:$1,0)-MATCH("character_id",[4]characters!$1:$1,0)+1,FALSE)</f>
        <v>1</v>
      </c>
      <c r="AE54" s="4" t="str">
        <f ca="1">VLOOKUP($AB54,OFFSET([4]characters!$A$1,0,0,COUNTA([4]characters!$A:$A),MATCH(AE$1,[4]characters!$1:$1,0)-MATCH("character_id",[4]characters!$1:$1,0)+1),MATCH(AE$1,[4]characters!$1:$1,0)-MATCH("character_id",[4]characters!$1:$1,0)+1,FALSE)</f>
        <v>Drop1W</v>
      </c>
      <c r="AF54" s="7">
        <v>1</v>
      </c>
      <c r="AG54" s="24">
        <f t="shared" ca="1" si="9"/>
        <v>1</v>
      </c>
      <c r="AH54" s="8">
        <v>20</v>
      </c>
      <c r="AI54" s="7">
        <v>0</v>
      </c>
      <c r="AJ54" s="7">
        <v>0</v>
      </c>
      <c r="AK54" s="7">
        <v>0</v>
      </c>
      <c r="AL54" s="7">
        <v>0</v>
      </c>
      <c r="AM54" s="7">
        <v>1</v>
      </c>
      <c r="AN54" s="69">
        <v>1</v>
      </c>
    </row>
    <row r="55" spans="1:40" ht="21" customHeight="1" x14ac:dyDescent="0.15">
      <c r="A55" s="16" t="str">
        <f t="shared" si="5"/>
        <v>39005_3-2/13&lt;lv40&gt;s2</v>
      </c>
      <c r="B55" s="22">
        <v>39005</v>
      </c>
      <c r="C55" s="21">
        <v>3</v>
      </c>
      <c r="D55" s="2" t="str">
        <f t="shared" si="6"/>
        <v>39005_3</v>
      </c>
      <c r="E55" s="4" t="str">
        <f ca="1">VLOOKUP($B55,OFFSET([2]quests!$A$1,0,0,COUNTA([2]quests!$A:$A),MATCH(E$1,[2]quests!$1:$1,0)-MATCH($B$1,[2]quests!$1:$1,0)+1),MATCH(E$1,[2]quests!$1:$1,0)-MATCH($B$1,[2]quests!$1:$1,0)+1,FALSE)</f>
        <v xml:space="preserve">ミクエキスポ </v>
      </c>
      <c r="F55" s="4" t="str">
        <f ca="1">VLOOKUP($D55,OFFSET([2]stages!$A$1,0,0,COUNTA([2]stages!$A:$A),MATCH(F$1,[2]stages!$2:$2,0)-MATCH($D$1,[2]stages!$2:$2,0)+1),MATCH(F$1,[2]stages!$2:$2,0)-MATCH($D$1,[2]stages!$2:$2,0)+1,FALSE)</f>
        <v>【上級】ミクエキスポ</v>
      </c>
      <c r="G55" s="96">
        <v>2</v>
      </c>
      <c r="H55" s="15" t="str">
        <f t="shared" si="7"/>
        <v>39005_3-2</v>
      </c>
      <c r="I55" s="4">
        <f ca="1">VLOOKUP($H55,OFFSET(floors!$A$1,0,0,COUNTA(floors!$A:$A),MATCH(I$1,floors!$1:$1,0)-MATCH($H$1,floors!$1:$1,0)+1),MATCH(I$1,floors!$1:$1,0)-MATCH($H$1,floors!$1:$1,0)+1,FALSE)</f>
        <v>60</v>
      </c>
      <c r="J55" s="4">
        <f ca="1">VLOOKUP($H55,OFFSET(floors!$A$1,0,0,COUNTA(floors!$A:$A),MATCH(J$1,floors!$1:$1,0)-MATCH($H$1,floors!$1:$1,0)+1),MATCH(J$1,floors!$1:$1,0)-MATCH($H$1,floors!$1:$1,0)+1,FALSE)</f>
        <v>60</v>
      </c>
      <c r="K55" s="38" t="s">
        <v>53</v>
      </c>
      <c r="L55" s="20">
        <v>13</v>
      </c>
      <c r="M55" s="17" t="str">
        <f ca="1">VLOOKUP($L55,OFFSET([3]enemies!$A$1,0,0,COUNTA([3]enemies!$A:$A),MATCH(M$1,[3]enemies!$1:$1,0)-MATCH($L$1,[3]enemies!$1:$1,0)+1),MATCH(M$1,[3]enemies!$1:$1,0)-MATCH($L$1,[3]enemies!$1:$1,0)+1,FALSE)</f>
        <v>ミミ</v>
      </c>
      <c r="N55" s="17" t="str">
        <f ca="1">VLOOKUP($L55,OFFSET([3]enemies!$A$1,0,0,COUNTA([3]enemies!$A:$A),MATCH(N$1,[3]enemies!$1:$1,0)-MATCH($L$1,[3]enemies!$1:$1,0)+1),MATCH(N$1,[3]enemies!$1:$1,0)-MATCH($L$1,[3]enemies!$1:$1,0)+1,FALSE)</f>
        <v>yellow</v>
      </c>
      <c r="O55" s="17" t="str">
        <f ca="1">VLOOKUP($L55,OFFSET([4]characters!$A$1,0,0,COUNTA([4]characters!$A:$A),MATCH(O$1,[4]characters!$1:$1,0)-MATCH($L$1,[4]characters!$1:$1,0)+1),MATCH(O$1,[4]characters!$1:$1,0)-MATCH($L$1,[4]characters!$1:$1,0)+1,FALSE)</f>
        <v>Drop1W</v>
      </c>
      <c r="P55" s="17" t="str">
        <f ca="1">VLOOKUP($L55,OFFSET([3]enemies!$A$1,0,0,COUNTA([3]enemies!$A:$A),MATCH(P$1,[3]enemies!$1:$1,0)-MATCH($L$1,[3]enemies!$1:$1,0)+1),MATCH(P$1,[3]enemies!$1:$1,0)-MATCH($L$1,[3]enemies!$1:$1,0)+1,FALSE)</f>
        <v>animal</v>
      </c>
      <c r="Q55" s="17">
        <f ca="1">VLOOKUP($L55,OFFSET([3]enemies!$A$1,0,0,COUNTA([3]enemies!$A:$A),MATCH(Q$1,[3]enemies!$1:$1,0)-MATCH($L$1,[3]enemies!$1:$1,0)+1),MATCH(Q$1,[3]enemies!$1:$1,0)-MATCH($L$1,[3]enemies!$1:$1,0)+1,FALSE)</f>
        <v>15</v>
      </c>
      <c r="R55" s="5">
        <v>40</v>
      </c>
      <c r="S55" s="25">
        <v>1</v>
      </c>
      <c r="T55" s="25">
        <v>0.4</v>
      </c>
      <c r="U55" s="5">
        <v>0</v>
      </c>
      <c r="V55" s="4" t="e">
        <f ca="1">VLOOKUP($W55,OFFSET(enemy_skill_sets!$B$1,0,0,COUNTA(enemy_skill_sets!$B:$B),MATCH(M$1,enemy_skill_sets!$1:$1,0)-MATCH($W$1,enemy_skill_sets!$1:$1,0)+2),MATCH(M$1,enemy_skill_sets!$1:$1,0)-MATCH($W$1,enemy_skill_sets!$1:$1,0)+2,FALSE)</f>
        <v>#N/A</v>
      </c>
      <c r="W55" s="4">
        <f ca="1">VLOOKUP($L55,OFFSET([3]enemies!$A$1,0,0,COUNTA([3]enemies!$A:$A),MATCH(W$1,[3]enemies!$1:$1,0)-MATCH($L$1,[3]enemies!$1:$1,0)+1),MATCH(W$1,[3]enemies!$1:$1,0)-MATCH($L$1,[3]enemies!$1:$1,0)+1,FALSE)</f>
        <v>0</v>
      </c>
      <c r="X55" s="6">
        <v>0</v>
      </c>
      <c r="Y55" s="6">
        <v>100</v>
      </c>
      <c r="Z55" s="6">
        <v>0</v>
      </c>
      <c r="AA55" s="17">
        <v>2</v>
      </c>
      <c r="AB55" s="24">
        <f t="shared" si="8"/>
        <v>13</v>
      </c>
      <c r="AC55" s="4" t="str">
        <f ca="1">VLOOKUP($AB55,OFFSET([4]characters!$A$1,0,0,COUNTA([4]characters!$A:$A),MATCH(AC$1,[4]characters!$1:$1,0)-MATCH("character_id",[4]characters!$1:$1,0)+1),MATCH(AC$1,[4]characters!$1:$1,0)-MATCH("character_id",[4]characters!$1:$1,0)+1,FALSE)</f>
        <v>ミミ</v>
      </c>
      <c r="AD55" s="4">
        <f ca="1">VLOOKUP($AB55,OFFSET([4]characters!$A$1,0,0,COUNTA([4]characters!$A:$A),MATCH(AD$1,[4]characters!$1:$1,0)-MATCH("character_id",[4]characters!$1:$1,0)+1),MATCH(AD$1,[4]characters!$1:$1,0)-MATCH("character_id",[4]characters!$1:$1,0)+1,FALSE)</f>
        <v>1</v>
      </c>
      <c r="AE55" s="4" t="str">
        <f ca="1">VLOOKUP($AB55,OFFSET([4]characters!$A$1,0,0,COUNTA([4]characters!$A:$A),MATCH(AE$1,[4]characters!$1:$1,0)-MATCH("character_id",[4]characters!$1:$1,0)+1),MATCH(AE$1,[4]characters!$1:$1,0)-MATCH("character_id",[4]characters!$1:$1,0)+1,FALSE)</f>
        <v>Drop1W</v>
      </c>
      <c r="AF55" s="7">
        <v>1</v>
      </c>
      <c r="AG55" s="24">
        <f t="shared" ca="1" si="9"/>
        <v>1</v>
      </c>
      <c r="AH55" s="8">
        <v>20</v>
      </c>
      <c r="AI55" s="7">
        <v>0</v>
      </c>
      <c r="AJ55" s="7">
        <v>0</v>
      </c>
      <c r="AK55" s="7">
        <v>0</v>
      </c>
      <c r="AL55" s="7">
        <v>0</v>
      </c>
      <c r="AM55" s="7">
        <v>1</v>
      </c>
      <c r="AN55" s="69">
        <v>1</v>
      </c>
    </row>
    <row r="56" spans="1:40" ht="21" customHeight="1" x14ac:dyDescent="0.15">
      <c r="A56" s="16" t="str">
        <f t="shared" si="5"/>
        <v>39005_3-2/79&lt;lv40&gt;s2</v>
      </c>
      <c r="B56" s="22">
        <v>39005</v>
      </c>
      <c r="C56" s="21">
        <v>3</v>
      </c>
      <c r="D56" s="2" t="str">
        <f t="shared" si="6"/>
        <v>39005_3</v>
      </c>
      <c r="E56" s="4" t="str">
        <f ca="1">VLOOKUP($B56,OFFSET([2]quests!$A$1,0,0,COUNTA([2]quests!$A:$A),MATCH(E$1,[2]quests!$1:$1,0)-MATCH($B$1,[2]quests!$1:$1,0)+1),MATCH(E$1,[2]quests!$1:$1,0)-MATCH($B$1,[2]quests!$1:$1,0)+1,FALSE)</f>
        <v xml:space="preserve">ミクエキスポ </v>
      </c>
      <c r="F56" s="4" t="str">
        <f ca="1">VLOOKUP($D56,OFFSET([2]stages!$A$1,0,0,COUNTA([2]stages!$A:$A),MATCH(F$1,[2]stages!$2:$2,0)-MATCH($D$1,[2]stages!$2:$2,0)+1),MATCH(F$1,[2]stages!$2:$2,0)-MATCH($D$1,[2]stages!$2:$2,0)+1,FALSE)</f>
        <v>【上級】ミクエキスポ</v>
      </c>
      <c r="G56" s="96">
        <v>2</v>
      </c>
      <c r="H56" s="15" t="str">
        <f t="shared" si="7"/>
        <v>39005_3-2</v>
      </c>
      <c r="I56" s="4">
        <f ca="1">VLOOKUP($H56,OFFSET(floors!$A$1,0,0,COUNTA(floors!$A:$A),MATCH(I$1,floors!$1:$1,0)-MATCH($H$1,floors!$1:$1,0)+1),MATCH(I$1,floors!$1:$1,0)-MATCH($H$1,floors!$1:$1,0)+1,FALSE)</f>
        <v>60</v>
      </c>
      <c r="J56" s="4">
        <f ca="1">VLOOKUP($H56,OFFSET(floors!$A$1,0,0,COUNTA(floors!$A:$A),MATCH(J$1,floors!$1:$1,0)-MATCH($H$1,floors!$1:$1,0)+1),MATCH(J$1,floors!$1:$1,0)-MATCH($H$1,floors!$1:$1,0)+1,FALSE)</f>
        <v>60</v>
      </c>
      <c r="K56" s="38" t="s">
        <v>53</v>
      </c>
      <c r="L56" s="20">
        <v>79</v>
      </c>
      <c r="M56" s="17" t="str">
        <f ca="1">VLOOKUP($L56,OFFSET([3]enemies!$A$1,0,0,COUNTA([3]enemies!$A:$A),MATCH(M$1,[3]enemies!$1:$1,0)-MATCH($L$1,[3]enemies!$1:$1,0)+1),MATCH(M$1,[3]enemies!$1:$1,0)-MATCH($L$1,[3]enemies!$1:$1,0)+1,FALSE)</f>
        <v>ハッピー100</v>
      </c>
      <c r="N56" s="17" t="str">
        <f ca="1">VLOOKUP($L56,OFFSET([3]enemies!$A$1,0,0,COUNTA([3]enemies!$A:$A),MATCH(N$1,[3]enemies!$1:$1,0)-MATCH($L$1,[3]enemies!$1:$1,0)+1),MATCH(N$1,[3]enemies!$1:$1,0)-MATCH($L$1,[3]enemies!$1:$1,0)+1,FALSE)</f>
        <v>green</v>
      </c>
      <c r="O56" s="17" t="str">
        <f ca="1">VLOOKUP($L56,OFFSET([4]characters!$A$1,0,0,COUNTA([4]characters!$A:$A),MATCH(O$1,[4]characters!$1:$1,0)-MATCH($L$1,[4]characters!$1:$1,0)+1),MATCH(O$1,[4]characters!$1:$1,0)-MATCH($L$1,[4]characters!$1:$1,0)+1,FALSE)</f>
        <v>DropWizW</v>
      </c>
      <c r="P56" s="17" t="str">
        <f ca="1">VLOOKUP($L56,OFFSET([3]enemies!$A$1,0,0,COUNTA([3]enemies!$A:$A),MATCH(P$1,[3]enemies!$1:$1,0)-MATCH($L$1,[3]enemies!$1:$1,0)+1),MATCH(P$1,[3]enemies!$1:$1,0)-MATCH($L$1,[3]enemies!$1:$1,0)+1,FALSE)</f>
        <v>unknown</v>
      </c>
      <c r="Q56" s="17">
        <f ca="1">VLOOKUP($L56,OFFSET([3]enemies!$A$1,0,0,COUNTA([3]enemies!$A:$A),MATCH(Q$1,[3]enemies!$1:$1,0)-MATCH($L$1,[3]enemies!$1:$1,0)+1),MATCH(Q$1,[3]enemies!$1:$1,0)-MATCH($L$1,[3]enemies!$1:$1,0)+1,FALSE)</f>
        <v>20</v>
      </c>
      <c r="R56" s="5">
        <v>40</v>
      </c>
      <c r="S56" s="25">
        <v>2</v>
      </c>
      <c r="T56" s="25">
        <v>1</v>
      </c>
      <c r="U56" s="5">
        <v>0</v>
      </c>
      <c r="V56" s="4" t="str">
        <f ca="1">VLOOKUP($W56,OFFSET([5]enemy_skill_sets!$B$1,0,0,COUNTA([5]enemy_skill_sets!$B:$B),MATCH(M$1,[5]enemy_skill_sets!$1:$1,0)-MATCH($W$1,[5]enemy_skill_sets!$1:$1,0)+2),MATCH(M$1,[5]enemy_skill_sets!$1:$1,0)-MATCH($W$1,[5]enemy_skill_sets!$1:$1,0)+2,FALSE)</f>
        <v>とても幸せそうだ</v>
      </c>
      <c r="W56" s="4">
        <f ca="1">VLOOKUP($L56,OFFSET([3]enemies!$A$1,0,0,COUNTA([3]enemies!$A:$A),MATCH(W$1,[3]enemies!$1:$1,0)-MATCH($L$1,[3]enemies!$1:$1,0)+1),MATCH(W$1,[3]enemies!$1:$1,0)-MATCH($L$1,[3]enemies!$1:$1,0)+1,FALSE)</f>
        <v>79</v>
      </c>
      <c r="X56" s="6">
        <v>0</v>
      </c>
      <c r="Y56" s="6">
        <v>30</v>
      </c>
      <c r="Z56" s="6">
        <v>1</v>
      </c>
      <c r="AA56" s="17">
        <v>2</v>
      </c>
      <c r="AB56" s="24">
        <f t="shared" si="8"/>
        <v>79</v>
      </c>
      <c r="AC56" s="4" t="str">
        <f ca="1">VLOOKUP($AB56,OFFSET([4]characters!$A$1,0,0,COUNTA([4]characters!$A:$A),MATCH(AC$1,[4]characters!$1:$1,0)-MATCH("character_id",[4]characters!$1:$1,0)+1),MATCH(AC$1,[4]characters!$1:$1,0)-MATCH("character_id",[4]characters!$1:$1,0)+1,FALSE)</f>
        <v>ハッピー100</v>
      </c>
      <c r="AD56" s="4">
        <f ca="1">VLOOKUP($AB56,OFFSET([4]characters!$A$1,0,0,COUNTA([4]characters!$A:$A),MATCH(AD$1,[4]characters!$1:$1,0)-MATCH("character_id",[4]characters!$1:$1,0)+1),MATCH(AD$1,[4]characters!$1:$1,0)-MATCH("character_id",[4]characters!$1:$1,0)+1,FALSE)</f>
        <v>3</v>
      </c>
      <c r="AE56" s="4" t="str">
        <f ca="1">VLOOKUP($AB56,OFFSET([4]characters!$A$1,0,0,COUNTA([4]characters!$A:$A),MATCH(AE$1,[4]characters!$1:$1,0)-MATCH("character_id",[4]characters!$1:$1,0)+1),MATCH(AE$1,[4]characters!$1:$1,0)-MATCH("character_id",[4]characters!$1:$1,0)+1,FALSE)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56" s="7">
        <v>1</v>
      </c>
      <c r="AG56" s="24">
        <f t="shared" ca="1" si="9"/>
        <v>3</v>
      </c>
      <c r="AH56" s="8">
        <v>20</v>
      </c>
      <c r="AI56" s="7">
        <v>0</v>
      </c>
      <c r="AJ56" s="7">
        <v>0</v>
      </c>
      <c r="AK56" s="7">
        <v>0</v>
      </c>
      <c r="AL56" s="7">
        <v>0</v>
      </c>
      <c r="AM56" s="7">
        <v>1</v>
      </c>
      <c r="AN56" s="69">
        <v>1</v>
      </c>
    </row>
    <row r="57" spans="1:40" ht="21" customHeight="1" x14ac:dyDescent="0.15">
      <c r="A57" s="16" t="str">
        <f t="shared" si="5"/>
        <v>39005_3-2/83&lt;lv40&gt;s2</v>
      </c>
      <c r="B57" s="22">
        <v>39005</v>
      </c>
      <c r="C57" s="21">
        <v>3</v>
      </c>
      <c r="D57" s="2" t="str">
        <f t="shared" si="6"/>
        <v>39005_3</v>
      </c>
      <c r="E57" s="4" t="str">
        <f ca="1">VLOOKUP($B57,OFFSET([2]quests!$A$1,0,0,COUNTA([2]quests!$A:$A),MATCH(E$1,[2]quests!$1:$1,0)-MATCH($B$1,[2]quests!$1:$1,0)+1),MATCH(E$1,[2]quests!$1:$1,0)-MATCH($B$1,[2]quests!$1:$1,0)+1,FALSE)</f>
        <v xml:space="preserve">ミクエキスポ </v>
      </c>
      <c r="F57" s="4" t="str">
        <f ca="1">VLOOKUP($D57,OFFSET([2]stages!$A$1,0,0,COUNTA([2]stages!$A:$A),MATCH(F$1,[2]stages!$2:$2,0)-MATCH($D$1,[2]stages!$2:$2,0)+1),MATCH(F$1,[2]stages!$2:$2,0)-MATCH($D$1,[2]stages!$2:$2,0)+1,FALSE)</f>
        <v>【上級】ミクエキスポ</v>
      </c>
      <c r="G57" s="96">
        <v>2</v>
      </c>
      <c r="H57" s="15" t="str">
        <f t="shared" si="7"/>
        <v>39005_3-2</v>
      </c>
      <c r="I57" s="4">
        <f ca="1">VLOOKUP($H57,OFFSET(floors!$A$1,0,0,COUNTA(floors!$A:$A),MATCH(I$1,floors!$1:$1,0)-MATCH($H$1,floors!$1:$1,0)+1),MATCH(I$1,floors!$1:$1,0)-MATCH($H$1,floors!$1:$1,0)+1,FALSE)</f>
        <v>60</v>
      </c>
      <c r="J57" s="4">
        <f ca="1">VLOOKUP($H57,OFFSET(floors!$A$1,0,0,COUNTA(floors!$A:$A),MATCH(J$1,floors!$1:$1,0)-MATCH($H$1,floors!$1:$1,0)+1),MATCH(J$1,floors!$1:$1,0)-MATCH($H$1,floors!$1:$1,0)+1,FALSE)</f>
        <v>60</v>
      </c>
      <c r="K57" s="38" t="s">
        <v>53</v>
      </c>
      <c r="L57" s="20">
        <v>83</v>
      </c>
      <c r="M57" s="17" t="str">
        <f ca="1">VLOOKUP($L57,OFFSET([3]enemies!$A$1,0,0,COUNTA([3]enemies!$A:$A),MATCH(M$1,[3]enemies!$1:$1,0)-MATCH($L$1,[3]enemies!$1:$1,0)+1),MATCH(M$1,[3]enemies!$1:$1,0)-MATCH($L$1,[3]enemies!$1:$1,0)+1,FALSE)</f>
        <v>拡散性ニムダ</v>
      </c>
      <c r="N57" s="17" t="str">
        <f ca="1">VLOOKUP($L57,OFFSET([3]enemies!$A$1,0,0,COUNTA([3]enemies!$A:$A),MATCH(N$1,[3]enemies!$1:$1,0)-MATCH($L$1,[3]enemies!$1:$1,0)+1),MATCH(N$1,[3]enemies!$1:$1,0)-MATCH($L$1,[3]enemies!$1:$1,0)+1,FALSE)</f>
        <v>yellow</v>
      </c>
      <c r="O57" s="17" t="str">
        <f ca="1">VLOOKUP($L57,OFFSET([4]characters!$A$1,0,0,COUNTA([4]characters!$A:$A),MATCH(O$1,[4]characters!$1:$1,0)-MATCH($L$1,[4]characters!$1:$1,0)+1),MATCH(O$1,[4]characters!$1:$1,0)-MATCH($L$1,[4]characters!$1:$1,0)+1,FALSE)</f>
        <v>DropWizW</v>
      </c>
      <c r="P57" s="17" t="str">
        <f ca="1">VLOOKUP($L57,OFFSET([3]enemies!$A$1,0,0,COUNTA([3]enemies!$A:$A),MATCH(P$1,[3]enemies!$1:$1,0)-MATCH($L$1,[3]enemies!$1:$1,0)+1),MATCH(P$1,[3]enemies!$1:$1,0)-MATCH($L$1,[3]enemies!$1:$1,0)+1,FALSE)</f>
        <v>unknown</v>
      </c>
      <c r="Q57" s="17">
        <f ca="1">VLOOKUP($L57,OFFSET([3]enemies!$A$1,0,0,COUNTA([3]enemies!$A:$A),MATCH(Q$1,[3]enemies!$1:$1,0)-MATCH($L$1,[3]enemies!$1:$1,0)+1),MATCH(Q$1,[3]enemies!$1:$1,0)-MATCH($L$1,[3]enemies!$1:$1,0)+1,FALSE)</f>
        <v>20</v>
      </c>
      <c r="R57" s="5">
        <v>40</v>
      </c>
      <c r="S57" s="25">
        <v>2</v>
      </c>
      <c r="T57" s="25">
        <v>1</v>
      </c>
      <c r="U57" s="5">
        <v>0</v>
      </c>
      <c r="V57" s="4" t="e">
        <f ca="1">VLOOKUP($W57,OFFSET(enemy_skill_sets!$B$1,0,0,COUNTA(enemy_skill_sets!$B:$B),MATCH(M$1,enemy_skill_sets!$1:$1,0)-MATCH($W$1,enemy_skill_sets!$1:$1,0)+2),MATCH(M$1,enemy_skill_sets!$1:$1,0)-MATCH($W$1,enemy_skill_sets!$1:$1,0)+2,FALSE)</f>
        <v>#N/A</v>
      </c>
      <c r="W57" s="4">
        <f ca="1">VLOOKUP($L57,OFFSET([3]enemies!$A$1,0,0,COUNTA([3]enemies!$A:$A),MATCH(W$1,[3]enemies!$1:$1,0)-MATCH($L$1,[3]enemies!$1:$1,0)+1),MATCH(W$1,[3]enemies!$1:$1,0)-MATCH($L$1,[3]enemies!$1:$1,0)+1,FALSE)</f>
        <v>83</v>
      </c>
      <c r="X57" s="6">
        <v>0</v>
      </c>
      <c r="Y57" s="6">
        <v>30</v>
      </c>
      <c r="Z57" s="6">
        <v>1</v>
      </c>
      <c r="AA57" s="17">
        <v>2</v>
      </c>
      <c r="AB57" s="24">
        <f t="shared" si="8"/>
        <v>83</v>
      </c>
      <c r="AC57" s="4" t="str">
        <f ca="1">VLOOKUP($AB57,OFFSET([4]characters!$A$1,0,0,COUNTA([4]characters!$A:$A),MATCH(AC$1,[4]characters!$1:$1,0)-MATCH("character_id",[4]characters!$1:$1,0)+1),MATCH(AC$1,[4]characters!$1:$1,0)-MATCH("character_id",[4]characters!$1:$1,0)+1,FALSE)</f>
        <v>拡散性ニムダ</v>
      </c>
      <c r="AD57" s="4">
        <f ca="1">VLOOKUP($AB57,OFFSET([4]characters!$A$1,0,0,COUNTA([4]characters!$A:$A),MATCH(AD$1,[4]characters!$1:$1,0)-MATCH("character_id",[4]characters!$1:$1,0)+1),MATCH(AD$1,[4]characters!$1:$1,0)-MATCH("character_id",[4]characters!$1:$1,0)+1,FALSE)</f>
        <v>3</v>
      </c>
      <c r="AE57" s="4" t="str">
        <f ca="1">VLOOKUP($AB57,OFFSET([4]characters!$A$1,0,0,COUNTA([4]characters!$A:$A),MATCH(AE$1,[4]characters!$1:$1,0)-MATCH("character_id",[4]characters!$1:$1,0)+1),MATCH(AE$1,[4]characters!$1:$1,0)-MATCH("character_id",[4]characters!$1:$1,0)+1,FALSE)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57" s="7">
        <v>1</v>
      </c>
      <c r="AG57" s="24">
        <f t="shared" ca="1" si="9"/>
        <v>3</v>
      </c>
      <c r="AH57" s="8">
        <v>20</v>
      </c>
      <c r="AI57" s="7">
        <v>0</v>
      </c>
      <c r="AJ57" s="7">
        <v>0</v>
      </c>
      <c r="AK57" s="7">
        <v>0</v>
      </c>
      <c r="AL57" s="7">
        <v>0</v>
      </c>
      <c r="AM57" s="7">
        <v>1</v>
      </c>
      <c r="AN57" s="69">
        <v>1</v>
      </c>
    </row>
    <row r="58" spans="1:40" ht="21" customHeight="1" x14ac:dyDescent="0.15">
      <c r="A58" s="16" t="str">
        <f t="shared" si="5"/>
        <v>39005_3-3/8029&lt;lv45&gt;s2</v>
      </c>
      <c r="B58" s="22">
        <v>39005</v>
      </c>
      <c r="C58" s="21">
        <v>3</v>
      </c>
      <c r="D58" s="2" t="str">
        <f t="shared" si="6"/>
        <v>39005_3</v>
      </c>
      <c r="E58" s="4" t="str">
        <f ca="1">VLOOKUP($B58,OFFSET([2]quests!$A$1,0,0,COUNTA([2]quests!$A:$A),MATCH(E$1,[2]quests!$1:$1,0)-MATCH($B$1,[2]quests!$1:$1,0)+1),MATCH(E$1,[2]quests!$1:$1,0)-MATCH($B$1,[2]quests!$1:$1,0)+1,FALSE)</f>
        <v xml:space="preserve">ミクエキスポ </v>
      </c>
      <c r="F58" s="4" t="str">
        <f ca="1">VLOOKUP($D58,OFFSET([2]stages!$A$1,0,0,COUNTA([2]stages!$A:$A),MATCH(F$1,[2]stages!$2:$2,0)-MATCH($D$1,[2]stages!$2:$2,0)+1),MATCH(F$1,[2]stages!$2:$2,0)-MATCH($D$1,[2]stages!$2:$2,0)+1,FALSE)</f>
        <v>【上級】ミクエキスポ</v>
      </c>
      <c r="G58" s="97">
        <v>3</v>
      </c>
      <c r="H58" s="15" t="str">
        <f t="shared" si="7"/>
        <v>39005_3-3</v>
      </c>
      <c r="I58" s="4">
        <f ca="1">VLOOKUP($H58,OFFSET(floors!$A$1,0,0,COUNTA(floors!$A:$A),MATCH(I$1,floors!$1:$1,0)-MATCH($H$1,floors!$1:$1,0)+1),MATCH(I$1,floors!$1:$1,0)-MATCH($H$1,floors!$1:$1,0)+1,FALSE)</f>
        <v>60</v>
      </c>
      <c r="J58" s="4">
        <f ca="1">VLOOKUP($H58,OFFSET(floors!$A$1,0,0,COUNTA(floors!$A:$A),MATCH(J$1,floors!$1:$1,0)-MATCH($H$1,floors!$1:$1,0)+1),MATCH(J$1,floors!$1:$1,0)-MATCH($H$1,floors!$1:$1,0)+1,FALSE)</f>
        <v>60</v>
      </c>
      <c r="K58" s="38" t="s">
        <v>53</v>
      </c>
      <c r="L58" s="20">
        <v>8029</v>
      </c>
      <c r="M58" s="17" t="str">
        <f ca="1">VLOOKUP($L58,OFFSET([3]enemies!$A$1,0,0,COUNTA([3]enemies!$A:$A),MATCH(M$1,[3]enemies!$1:$1,0)-MATCH($L$1,[3]enemies!$1:$1,0)+1),MATCH(M$1,[3]enemies!$1:$1,0)-MATCH($L$1,[3]enemies!$1:$1,0)+1,FALSE)</f>
        <v>CO04_ EV01_R4</v>
      </c>
      <c r="N58" s="17" t="str">
        <f ca="1">VLOOKUP($L58,OFFSET([3]enemies!$A$1,0,0,COUNTA([3]enemies!$A:$A),MATCH(N$1,[3]enemies!$1:$1,0)-MATCH($L$1,[3]enemies!$1:$1,0)+1),MATCH(N$1,[3]enemies!$1:$1,0)-MATCH($L$1,[3]enemies!$1:$1,0)+1,FALSE)</f>
        <v>blue</v>
      </c>
      <c r="O58" s="17" t="str">
        <f ca="1">VLOOKUP($L58,OFFSET([4]characters!$A$1,0,0,COUNTA([4]characters!$A:$A),MATCH(O$1,[4]characters!$1:$1,0)-MATCH($L$1,[4]characters!$1:$1,0)+1),MATCH(O$1,[4]characters!$1:$1,0)-MATCH($L$1,[4]characters!$1:$1,0)+1,FALSE)</f>
        <v>Drop2N</v>
      </c>
      <c r="P58" s="17" t="str">
        <f ca="1">VLOOKUP($L58,OFFSET([3]enemies!$A$1,0,0,COUNTA([3]enemies!$A:$A),MATCH(P$1,[3]enemies!$1:$1,0)-MATCH($L$1,[3]enemies!$1:$1,0)+1),MATCH(P$1,[3]enemies!$1:$1,0)-MATCH($L$1,[3]enemies!$1:$1,0)+1,FALSE)</f>
        <v>unknown</v>
      </c>
      <c r="Q58" s="17">
        <f ca="1">VLOOKUP($L58,OFFSET([3]enemies!$A$1,0,0,COUNTA([3]enemies!$A:$A),MATCH(Q$1,[3]enemies!$1:$1,0)-MATCH($L$1,[3]enemies!$1:$1,0)+1),MATCH(Q$1,[3]enemies!$1:$1,0)-MATCH($L$1,[3]enemies!$1:$1,0)+1,FALSE)</f>
        <v>20</v>
      </c>
      <c r="R58" s="5">
        <v>45</v>
      </c>
      <c r="S58" s="25">
        <v>3</v>
      </c>
      <c r="T58" s="25">
        <v>1</v>
      </c>
      <c r="U58" s="5">
        <v>0</v>
      </c>
      <c r="V58" s="4" t="str">
        <f ca="1">VLOOKUP($W58,OFFSET(enemy_skill_sets!$B$1,0,0,COUNTA(enemy_skill_sets!$B:$B),MATCH(M$1,enemy_skill_sets!$1:$1,0)-MATCH($W$1,enemy_skill_sets!$1:$1,0)+2),MATCH(M$1,enemy_skill_sets!$1:$1,0)-MATCH($W$1,enemy_skill_sets!$1:$1,0)+2,FALSE)</f>
        <v>3ターン防御力UP</v>
      </c>
      <c r="W58" s="98">
        <v>39005001</v>
      </c>
      <c r="X58" s="6">
        <v>1</v>
      </c>
      <c r="Y58" s="6">
        <v>100</v>
      </c>
      <c r="Z58" s="6">
        <v>1</v>
      </c>
      <c r="AA58" s="17">
        <v>2</v>
      </c>
      <c r="AB58" s="24">
        <f t="shared" si="8"/>
        <v>8029</v>
      </c>
      <c r="AC58" s="4" t="str">
        <f ca="1">VLOOKUP($AB58,OFFSET([4]characters!$A$1,0,0,COUNTA([4]characters!$A:$A),MATCH(AC$1,[4]characters!$1:$1,0)-MATCH("character_id",[4]characters!$1:$1,0)+1),MATCH(AC$1,[4]characters!$1:$1,0)-MATCH("character_id",[4]characters!$1:$1,0)+1,FALSE)</f>
        <v>CO04_ EV01_R4</v>
      </c>
      <c r="AD58" s="4">
        <f ca="1">VLOOKUP($AB58,OFFSET([4]characters!$A$1,0,0,COUNTA([4]characters!$A:$A),MATCH(AD$1,[4]characters!$1:$1,0)-MATCH("character_id",[4]characters!$1:$1,0)+1),MATCH(AD$1,[4]characters!$1:$1,0)-MATCH("character_id",[4]characters!$1:$1,0)+1,FALSE)</f>
        <v>4</v>
      </c>
      <c r="AE58" s="4" t="str">
        <f ca="1">VLOOKUP($AB58,OFFSET([4]characters!$A$1,0,0,COUNTA([4]characters!$A:$A),MATCH(AE$1,[4]characters!$1:$1,0)-MATCH("character_id",[4]characters!$1:$1,0)+1),MATCH(AE$1,[4]characters!$1:$1,0)-MATCH("character_id",[4]characters!$1:$1,0)+1,FALSE)</f>
        <v>Drop2N</v>
      </c>
      <c r="AF58" s="7">
        <v>1</v>
      </c>
      <c r="AG58" s="24">
        <f t="shared" ca="1" si="9"/>
        <v>4</v>
      </c>
      <c r="AH58" s="131">
        <v>50</v>
      </c>
      <c r="AI58" s="7">
        <v>0</v>
      </c>
      <c r="AJ58" s="7">
        <v>0</v>
      </c>
      <c r="AK58" s="7">
        <v>0</v>
      </c>
      <c r="AL58" s="7">
        <v>0</v>
      </c>
      <c r="AM58" s="7">
        <v>1</v>
      </c>
      <c r="AN58" s="69">
        <v>1</v>
      </c>
    </row>
    <row r="59" spans="1:40" ht="21" customHeight="1" x14ac:dyDescent="0.15">
      <c r="A59" s="16" t="str">
        <f t="shared" si="5"/>
        <v>39005_3-3/1&lt;lv45&gt;s2</v>
      </c>
      <c r="B59" s="22">
        <v>39005</v>
      </c>
      <c r="C59" s="21">
        <v>3</v>
      </c>
      <c r="D59" s="2" t="str">
        <f t="shared" si="6"/>
        <v>39005_3</v>
      </c>
      <c r="E59" s="4" t="str">
        <f ca="1">VLOOKUP($B59,OFFSET([2]quests!$A$1,0,0,COUNTA([2]quests!$A:$A),MATCH(E$1,[2]quests!$1:$1,0)-MATCH($B$1,[2]quests!$1:$1,0)+1),MATCH(E$1,[2]quests!$1:$1,0)-MATCH($B$1,[2]quests!$1:$1,0)+1,FALSE)</f>
        <v xml:space="preserve">ミクエキスポ </v>
      </c>
      <c r="F59" s="4" t="str">
        <f ca="1">VLOOKUP($D59,OFFSET([2]stages!$A$1,0,0,COUNTA([2]stages!$A:$A),MATCH(F$1,[2]stages!$2:$2,0)-MATCH($D$1,[2]stages!$2:$2,0)+1),MATCH(F$1,[2]stages!$2:$2,0)-MATCH($D$1,[2]stages!$2:$2,0)+1,FALSE)</f>
        <v>【上級】ミクエキスポ</v>
      </c>
      <c r="G59" s="97">
        <v>3</v>
      </c>
      <c r="H59" s="15" t="str">
        <f t="shared" si="7"/>
        <v>39005_3-3</v>
      </c>
      <c r="I59" s="4">
        <f ca="1">VLOOKUP($H59,OFFSET(floors!$A$1,0,0,COUNTA(floors!$A:$A),MATCH(I$1,floors!$1:$1,0)-MATCH($H$1,floors!$1:$1,0)+1),MATCH(I$1,floors!$1:$1,0)-MATCH($H$1,floors!$1:$1,0)+1,FALSE)</f>
        <v>60</v>
      </c>
      <c r="J59" s="4">
        <f ca="1">VLOOKUP($H59,OFFSET(floors!$A$1,0,0,COUNTA(floors!$A:$A),MATCH(J$1,floors!$1:$1,0)-MATCH($H$1,floors!$1:$1,0)+1),MATCH(J$1,floors!$1:$1,0)-MATCH($H$1,floors!$1:$1,0)+1,FALSE)</f>
        <v>60</v>
      </c>
      <c r="K59" s="38" t="s">
        <v>53</v>
      </c>
      <c r="L59" s="20">
        <v>1</v>
      </c>
      <c r="M59" s="17" t="str">
        <f ca="1">VLOOKUP($L59,OFFSET([3]enemies!$A$1,0,0,COUNTA([3]enemies!$A:$A),MATCH(M$1,[3]enemies!$1:$1,0)-MATCH($L$1,[3]enemies!$1:$1,0)+1),MATCH(M$1,[3]enemies!$1:$1,0)-MATCH($L$1,[3]enemies!$1:$1,0)+1,FALSE)</f>
        <v>ジェリー</v>
      </c>
      <c r="N59" s="17" t="str">
        <f ca="1">VLOOKUP($L59,OFFSET([3]enemies!$A$1,0,0,COUNTA([3]enemies!$A:$A),MATCH(N$1,[3]enemies!$1:$1,0)-MATCH($L$1,[3]enemies!$1:$1,0)+1),MATCH(N$1,[3]enemies!$1:$1,0)-MATCH($L$1,[3]enemies!$1:$1,0)+1,FALSE)</f>
        <v>red</v>
      </c>
      <c r="O59" s="17" t="str">
        <f ca="1">VLOOKUP($L59,OFFSET([4]characters!$A$1,0,0,COUNTA([4]characters!$A:$A),MATCH(O$1,[4]characters!$1:$1,0)-MATCH($L$1,[4]characters!$1:$1,0)+1),MATCH(O$1,[4]characters!$1:$1,0)-MATCH($L$1,[4]characters!$1:$1,0)+1,FALSE)</f>
        <v>Drop1T</v>
      </c>
      <c r="P59" s="17" t="str">
        <f ca="1">VLOOKUP($L59,OFFSET([3]enemies!$A$1,0,0,COUNTA([3]enemies!$A:$A),MATCH(P$1,[3]enemies!$1:$1,0)-MATCH($L$1,[3]enemies!$1:$1,0)+1),MATCH(P$1,[3]enemies!$1:$1,0)-MATCH($L$1,[3]enemies!$1:$1,0)+1,FALSE)</f>
        <v>unknown</v>
      </c>
      <c r="Q59" s="17">
        <f ca="1">VLOOKUP($L59,OFFSET([3]enemies!$A$1,0,0,COUNTA([3]enemies!$A:$A),MATCH(Q$1,[3]enemies!$1:$1,0)-MATCH($L$1,[3]enemies!$1:$1,0)+1),MATCH(Q$1,[3]enemies!$1:$1,0)-MATCH($L$1,[3]enemies!$1:$1,0)+1,FALSE)</f>
        <v>15</v>
      </c>
      <c r="R59" s="5">
        <v>45</v>
      </c>
      <c r="S59" s="25">
        <v>1.5</v>
      </c>
      <c r="T59" s="25">
        <v>0.4</v>
      </c>
      <c r="U59" s="5">
        <v>0</v>
      </c>
      <c r="V59" s="4" t="e">
        <f ca="1">VLOOKUP($W59,OFFSET(enemy_skill_sets!$B$1,0,0,COUNTA(enemy_skill_sets!$B:$B),MATCH(M$1,enemy_skill_sets!$1:$1,0)-MATCH($W$1,enemy_skill_sets!$1:$1,0)+2),MATCH(M$1,enemy_skill_sets!$1:$1,0)-MATCH($W$1,enemy_skill_sets!$1:$1,0)+2,FALSE)</f>
        <v>#N/A</v>
      </c>
      <c r="W59" s="4">
        <f ca="1">VLOOKUP($L59,OFFSET([3]enemies!$A$1,0,0,COUNTA([3]enemies!$A:$A),MATCH(W$1,[3]enemies!$1:$1,0)-MATCH($L$1,[3]enemies!$1:$1,0)+1),MATCH(W$1,[3]enemies!$1:$1,0)-MATCH($L$1,[3]enemies!$1:$1,0)+1,FALSE)</f>
        <v>0</v>
      </c>
      <c r="X59" s="6">
        <v>0</v>
      </c>
      <c r="Y59" s="6">
        <v>100</v>
      </c>
      <c r="Z59" s="6">
        <v>2</v>
      </c>
      <c r="AA59" s="17">
        <v>2</v>
      </c>
      <c r="AB59" s="24">
        <f t="shared" si="8"/>
        <v>1</v>
      </c>
      <c r="AC59" s="4" t="str">
        <f ca="1">VLOOKUP($AB59,OFFSET([4]characters!$A$1,0,0,COUNTA([4]characters!$A:$A),MATCH(AC$1,[4]characters!$1:$1,0)-MATCH("character_id",[4]characters!$1:$1,0)+1),MATCH(AC$1,[4]characters!$1:$1,0)-MATCH("character_id",[4]characters!$1:$1,0)+1,FALSE)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59" s="4">
        <f ca="1">VLOOKUP($AB59,OFFSET([4]characters!$A$1,0,0,COUNTA([4]characters!$A:$A),MATCH(AD$1,[4]characters!$1:$1,0)-MATCH("character_id",[4]characters!$1:$1,0)+1),MATCH(AD$1,[4]characters!$1:$1,0)-MATCH("character_id",[4]characters!$1:$1,0)+1,FALSE)</f>
        <v>1</v>
      </c>
      <c r="AE59" s="4" t="str">
        <f ca="1">VLOOKUP($AB59,OFFSET([4]characters!$A$1,0,0,COUNTA([4]characters!$A:$A),MATCH(AE$1,[4]characters!$1:$1,0)-MATCH("character_id",[4]characters!$1:$1,0)+1),MATCH(AE$1,[4]characters!$1:$1,0)-MATCH("character_id",[4]characters!$1:$1,0)+1,FALSE)</f>
        <v>Drop1T</v>
      </c>
      <c r="AF59" s="7">
        <v>1</v>
      </c>
      <c r="AG59" s="24">
        <f t="shared" ca="1" si="9"/>
        <v>1</v>
      </c>
      <c r="AH59" s="8">
        <v>0</v>
      </c>
      <c r="AI59" s="7">
        <v>0</v>
      </c>
      <c r="AJ59" s="7">
        <v>0</v>
      </c>
      <c r="AK59" s="7">
        <v>0</v>
      </c>
      <c r="AL59" s="7">
        <v>0</v>
      </c>
      <c r="AM59" s="7">
        <v>1</v>
      </c>
      <c r="AN59" s="69">
        <v>1</v>
      </c>
    </row>
    <row r="60" spans="1:40" ht="21" customHeight="1" x14ac:dyDescent="0.15">
      <c r="A60" s="16" t="str">
        <f t="shared" si="5"/>
        <v>39005_3-3/5&lt;lv45&gt;s2</v>
      </c>
      <c r="B60" s="22">
        <v>39005</v>
      </c>
      <c r="C60" s="21">
        <v>3</v>
      </c>
      <c r="D60" s="2" t="str">
        <f t="shared" si="6"/>
        <v>39005_3</v>
      </c>
      <c r="E60" s="4" t="str">
        <f ca="1">VLOOKUP($B60,OFFSET([2]quests!$A$1,0,0,COUNTA([2]quests!$A:$A),MATCH(E$1,[2]quests!$1:$1,0)-MATCH($B$1,[2]quests!$1:$1,0)+1),MATCH(E$1,[2]quests!$1:$1,0)-MATCH($B$1,[2]quests!$1:$1,0)+1,FALSE)</f>
        <v xml:space="preserve">ミクエキスポ </v>
      </c>
      <c r="F60" s="4" t="str">
        <f ca="1">VLOOKUP($D60,OFFSET([2]stages!$A$1,0,0,COUNTA([2]stages!$A:$A),MATCH(F$1,[2]stages!$2:$2,0)-MATCH($D$1,[2]stages!$2:$2,0)+1),MATCH(F$1,[2]stages!$2:$2,0)-MATCH($D$1,[2]stages!$2:$2,0)+1,FALSE)</f>
        <v>【上級】ミクエキスポ</v>
      </c>
      <c r="G60" s="97">
        <v>3</v>
      </c>
      <c r="H60" s="15" t="str">
        <f t="shared" si="7"/>
        <v>39005_3-3</v>
      </c>
      <c r="I60" s="4">
        <f ca="1">VLOOKUP($H60,OFFSET(floors!$A$1,0,0,COUNTA(floors!$A:$A),MATCH(I$1,floors!$1:$1,0)-MATCH($H$1,floors!$1:$1,0)+1),MATCH(I$1,floors!$1:$1,0)-MATCH($H$1,floors!$1:$1,0)+1,FALSE)</f>
        <v>60</v>
      </c>
      <c r="J60" s="4">
        <f ca="1">VLOOKUP($H60,OFFSET(floors!$A$1,0,0,COUNTA(floors!$A:$A),MATCH(J$1,floors!$1:$1,0)-MATCH($H$1,floors!$1:$1,0)+1),MATCH(J$1,floors!$1:$1,0)-MATCH($H$1,floors!$1:$1,0)+1,FALSE)</f>
        <v>60</v>
      </c>
      <c r="K60" s="38" t="s">
        <v>53</v>
      </c>
      <c r="L60" s="20">
        <v>5</v>
      </c>
      <c r="M60" s="17" t="str">
        <f ca="1">VLOOKUP($L60,OFFSET([3]enemies!$A$1,0,0,COUNTA([3]enemies!$A:$A),MATCH(M$1,[3]enemies!$1:$1,0)-MATCH($L$1,[3]enemies!$1:$1,0)+1),MATCH(M$1,[3]enemies!$1:$1,0)-MATCH($L$1,[3]enemies!$1:$1,0)+1,FALSE)</f>
        <v>パトドッグ ポチ</v>
      </c>
      <c r="N60" s="17" t="str">
        <f ca="1">VLOOKUP($L60,OFFSET([3]enemies!$A$1,0,0,COUNTA([3]enemies!$A:$A),MATCH(N$1,[3]enemies!$1:$1,0)-MATCH($L$1,[3]enemies!$1:$1,0)+1),MATCH(N$1,[3]enemies!$1:$1,0)-MATCH($L$1,[3]enemies!$1:$1,0)+1,FALSE)</f>
        <v>blue</v>
      </c>
      <c r="O60" s="17" t="str">
        <f ca="1">VLOOKUP($L60,OFFSET([4]characters!$A$1,0,0,COUNTA([4]characters!$A:$A),MATCH(O$1,[4]characters!$1:$1,0)-MATCH($L$1,[4]characters!$1:$1,0)+1),MATCH(O$1,[4]characters!$1:$1,0)-MATCH($L$1,[4]characters!$1:$1,0)+1,FALSE)</f>
        <v>Drop1T</v>
      </c>
      <c r="P60" s="17" t="str">
        <f ca="1">VLOOKUP($L60,OFFSET([3]enemies!$A$1,0,0,COUNTA([3]enemies!$A:$A),MATCH(P$1,[3]enemies!$1:$1,0)-MATCH($L$1,[3]enemies!$1:$1,0)+1),MATCH(P$1,[3]enemies!$1:$1,0)-MATCH($L$1,[3]enemies!$1:$1,0)+1,FALSE)</f>
        <v>unknown</v>
      </c>
      <c r="Q60" s="17">
        <f ca="1">VLOOKUP($L60,OFFSET([3]enemies!$A$1,0,0,COUNTA([3]enemies!$A:$A),MATCH(Q$1,[3]enemies!$1:$1,0)-MATCH($L$1,[3]enemies!$1:$1,0)+1),MATCH(Q$1,[3]enemies!$1:$1,0)-MATCH($L$1,[3]enemies!$1:$1,0)+1,FALSE)</f>
        <v>15</v>
      </c>
      <c r="R60" s="5">
        <v>45</v>
      </c>
      <c r="S60" s="25">
        <v>1.5</v>
      </c>
      <c r="T60" s="25">
        <v>0.8</v>
      </c>
      <c r="U60" s="5">
        <v>0</v>
      </c>
      <c r="V60" s="4" t="e">
        <f ca="1">VLOOKUP($W60,OFFSET(enemy_skill_sets!$B$1,0,0,COUNTA(enemy_skill_sets!$B:$B),MATCH(M$1,enemy_skill_sets!$1:$1,0)-MATCH($W$1,enemy_skill_sets!$1:$1,0)+2),MATCH(M$1,enemy_skill_sets!$1:$1,0)-MATCH($W$1,enemy_skill_sets!$1:$1,0)+2,FALSE)</f>
        <v>#N/A</v>
      </c>
      <c r="W60" s="4">
        <f ca="1">VLOOKUP($L60,OFFSET([3]enemies!$A$1,0,0,COUNTA([3]enemies!$A:$A),MATCH(W$1,[3]enemies!$1:$1,0)-MATCH($L$1,[3]enemies!$1:$1,0)+1),MATCH(W$1,[3]enemies!$1:$1,0)-MATCH($L$1,[3]enemies!$1:$1,0)+1,FALSE)</f>
        <v>0</v>
      </c>
      <c r="X60" s="6">
        <v>0</v>
      </c>
      <c r="Y60" s="6">
        <v>100</v>
      </c>
      <c r="Z60" s="6">
        <v>2</v>
      </c>
      <c r="AA60" s="17">
        <v>2</v>
      </c>
      <c r="AB60" s="24">
        <f t="shared" si="8"/>
        <v>5</v>
      </c>
      <c r="AC60" s="4" t="str">
        <f ca="1">VLOOKUP($AB60,OFFSET([4]characters!$A$1,0,0,COUNTA([4]characters!$A:$A),MATCH(AC$1,[4]characters!$1:$1,0)-MATCH("character_id",[4]characters!$1:$1,0)+1),MATCH(AC$1,[4]characters!$1:$1,0)-MATCH("character_id",[4]characters!$1:$1,0)+1,FALSE)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60" s="4">
        <f ca="1">VLOOKUP($AB60,OFFSET([4]characters!$A$1,0,0,COUNTA([4]characters!$A:$A),MATCH(AD$1,[4]characters!$1:$1,0)-MATCH("character_id",[4]characters!$1:$1,0)+1),MATCH(AD$1,[4]characters!$1:$1,0)-MATCH("character_id",[4]characters!$1:$1,0)+1,FALSE)</f>
        <v>1</v>
      </c>
      <c r="AE60" s="4" t="str">
        <f ca="1">VLOOKUP($AB60,OFFSET([4]characters!$A$1,0,0,COUNTA([4]characters!$A:$A),MATCH(AE$1,[4]characters!$1:$1,0)-MATCH("character_id",[4]characters!$1:$1,0)+1),MATCH(AE$1,[4]characters!$1:$1,0)-MATCH("character_id",[4]characters!$1:$1,0)+1,FALSE)</f>
        <v>Drop1T</v>
      </c>
      <c r="AF60" s="7">
        <v>1</v>
      </c>
      <c r="AG60" s="24">
        <f t="shared" ca="1" si="9"/>
        <v>1</v>
      </c>
      <c r="AH60" s="8">
        <v>0</v>
      </c>
      <c r="AI60" s="7">
        <v>0</v>
      </c>
      <c r="AJ60" s="7">
        <v>0</v>
      </c>
      <c r="AK60" s="7">
        <v>0</v>
      </c>
      <c r="AL60" s="7">
        <v>0</v>
      </c>
      <c r="AM60" s="7">
        <v>1</v>
      </c>
      <c r="AN60" s="69">
        <v>1</v>
      </c>
    </row>
    <row r="61" spans="1:40" ht="21" customHeight="1" x14ac:dyDescent="0.15">
      <c r="A61" s="16" t="str">
        <f t="shared" ref="A61:A62" si="25">B61&amp;"_"&amp;C61&amp;"-"&amp;G61&amp;"/"&amp;L61&amp;"&lt;lv"&amp;R61&amp;"&gt;s"&amp;AA61</f>
        <v>39005_3-3/27&lt;lv45&gt;s2</v>
      </c>
      <c r="B61" s="22">
        <v>39005</v>
      </c>
      <c r="C61" s="21">
        <v>3</v>
      </c>
      <c r="D61" s="2" t="str">
        <f t="shared" ref="D61:D62" si="26">B61&amp;"_"&amp;C61</f>
        <v>39005_3</v>
      </c>
      <c r="E61" s="4" t="str">
        <f ca="1">VLOOKUP($B61,OFFSET([2]quests!$A$1,0,0,COUNTA([2]quests!$A:$A),MATCH(E$1,[2]quests!$1:$1,0)-MATCH($B$1,[2]quests!$1:$1,0)+1),MATCH(E$1,[2]quests!$1:$1,0)-MATCH($B$1,[2]quests!$1:$1,0)+1,FALSE)</f>
        <v xml:space="preserve">ミクエキスポ </v>
      </c>
      <c r="F61" s="4" t="str">
        <f ca="1">VLOOKUP($D61,OFFSET([2]stages!$A$1,0,0,COUNTA([2]stages!$A:$A),MATCH(F$1,[2]stages!$2:$2,0)-MATCH($D$1,[2]stages!$2:$2,0)+1),MATCH(F$1,[2]stages!$2:$2,0)-MATCH($D$1,[2]stages!$2:$2,0)+1,FALSE)</f>
        <v>【上級】ミクエキスポ</v>
      </c>
      <c r="G61" s="97">
        <v>3</v>
      </c>
      <c r="H61" s="15" t="str">
        <f t="shared" ref="H61:H62" si="27">B61&amp;"_"&amp;C61&amp;"-"&amp;G61</f>
        <v>39005_3-3</v>
      </c>
      <c r="I61" s="4">
        <f ca="1">VLOOKUP($H61,OFFSET(floors!$A$1,0,0,COUNTA(floors!$A:$A),MATCH(I$1,floors!$1:$1,0)-MATCH($H$1,floors!$1:$1,0)+1),MATCH(I$1,floors!$1:$1,0)-MATCH($H$1,floors!$1:$1,0)+1,FALSE)</f>
        <v>60</v>
      </c>
      <c r="J61" s="4">
        <f ca="1">VLOOKUP($H61,OFFSET(floors!$A$1,0,0,COUNTA(floors!$A:$A),MATCH(J$1,floors!$1:$1,0)-MATCH($H$1,floors!$1:$1,0)+1),MATCH(J$1,floors!$1:$1,0)-MATCH($H$1,floors!$1:$1,0)+1,FALSE)</f>
        <v>60</v>
      </c>
      <c r="K61" s="38" t="s">
        <v>53</v>
      </c>
      <c r="L61" s="20">
        <v>27</v>
      </c>
      <c r="M61" s="17" t="str">
        <f ca="1">VLOOKUP($L61,OFFSET([3]enemies!$A$1,0,0,COUNTA([3]enemies!$A:$A),MATCH(M$1,[3]enemies!$1:$1,0)-MATCH($L$1,[3]enemies!$1:$1,0)+1),MATCH(M$1,[3]enemies!$1:$1,0)-MATCH($L$1,[3]enemies!$1:$1,0)+1,FALSE)</f>
        <v>パトライン</v>
      </c>
      <c r="N61" s="17" t="str">
        <f ca="1">VLOOKUP($L61,OFFSET([3]enemies!$A$1,0,0,COUNTA([3]enemies!$A:$A),MATCH(N$1,[3]enemies!$1:$1,0)-MATCH($L$1,[3]enemies!$1:$1,0)+1),MATCH(N$1,[3]enemies!$1:$1,0)-MATCH($L$1,[3]enemies!$1:$1,0)+1,FALSE)</f>
        <v>green</v>
      </c>
      <c r="O61" s="17" t="str">
        <f ca="1">VLOOKUP($L61,OFFSET([4]characters!$A$1,0,0,COUNTA([4]characters!$A:$A),MATCH(O$1,[4]characters!$1:$1,0)-MATCH($L$1,[4]characters!$1:$1,0)+1),MATCH(O$1,[4]characters!$1:$1,0)-MATCH($L$1,[4]characters!$1:$1,0)+1,FALSE)</f>
        <v>Drop1N</v>
      </c>
      <c r="P61" s="17" t="str">
        <f ca="1">VLOOKUP($L61,OFFSET([3]enemies!$A$1,0,0,COUNTA([3]enemies!$A:$A),MATCH(P$1,[3]enemies!$1:$1,0)-MATCH($L$1,[3]enemies!$1:$1,0)+1),MATCH(P$1,[3]enemies!$1:$1,0)-MATCH($L$1,[3]enemies!$1:$1,0)+1,FALSE)</f>
        <v>machine</v>
      </c>
      <c r="Q61" s="17">
        <f ca="1">VLOOKUP($L61,OFFSET([3]enemies!$A$1,0,0,COUNTA([3]enemies!$A:$A),MATCH(Q$1,[3]enemies!$1:$1,0)-MATCH($L$1,[3]enemies!$1:$1,0)+1),MATCH(Q$1,[3]enemies!$1:$1,0)-MATCH($L$1,[3]enemies!$1:$1,0)+1,FALSE)</f>
        <v>15</v>
      </c>
      <c r="R61" s="5">
        <v>45</v>
      </c>
      <c r="S61" s="25">
        <v>1.5</v>
      </c>
      <c r="T61" s="25">
        <v>0.6</v>
      </c>
      <c r="U61" s="5">
        <v>0</v>
      </c>
      <c r="V61" s="4" t="e">
        <f ca="1">VLOOKUP($W61,OFFSET(enemy_skill_sets!$B$1,0,0,COUNTA(enemy_skill_sets!$B:$B),MATCH(M$1,enemy_skill_sets!$1:$1,0)-MATCH($W$1,enemy_skill_sets!$1:$1,0)+2),MATCH(M$1,enemy_skill_sets!$1:$1,0)-MATCH($W$1,enemy_skill_sets!$1:$1,0)+2,FALSE)</f>
        <v>#N/A</v>
      </c>
      <c r="W61" s="4">
        <f ca="1">VLOOKUP($L61,OFFSET([3]enemies!$A$1,0,0,COUNTA([3]enemies!$A:$A),MATCH(W$1,[3]enemies!$1:$1,0)-MATCH($L$1,[3]enemies!$1:$1,0)+1),MATCH(W$1,[3]enemies!$1:$1,0)-MATCH($L$1,[3]enemies!$1:$1,0)+1,FALSE)</f>
        <v>0</v>
      </c>
      <c r="X61" s="6">
        <v>0</v>
      </c>
      <c r="Y61" s="6">
        <v>100</v>
      </c>
      <c r="Z61" s="6">
        <v>0</v>
      </c>
      <c r="AA61" s="17">
        <v>2</v>
      </c>
      <c r="AB61" s="24">
        <f t="shared" ref="AB61:AB62" si="28">L61</f>
        <v>27</v>
      </c>
      <c r="AC61" s="4" t="str">
        <f ca="1">VLOOKUP($AB61,OFFSET([4]characters!$A$1,0,0,COUNTA([4]characters!$A:$A),MATCH(AC$1,[4]characters!$1:$1,0)-MATCH("character_id",[4]characters!$1:$1,0)+1),MATCH(AC$1,[4]characters!$1:$1,0)-MATCH("character_id",[4]characters!$1:$1,0)+1,FALSE)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61" s="4">
        <f ca="1">VLOOKUP($AB61,OFFSET([4]characters!$A$1,0,0,COUNTA([4]characters!$A:$A),MATCH(AD$1,[4]characters!$1:$1,0)-MATCH("character_id",[4]characters!$1:$1,0)+1),MATCH(AD$1,[4]characters!$1:$1,0)-MATCH("character_id",[4]characters!$1:$1,0)+1,FALSE)</f>
        <v>1</v>
      </c>
      <c r="AE61" s="4" t="str">
        <f ca="1">VLOOKUP($AB61,OFFSET([4]characters!$A$1,0,0,COUNTA([4]characters!$A:$A),MATCH(AE$1,[4]characters!$1:$1,0)-MATCH("character_id",[4]characters!$1:$1,0)+1),MATCH(AE$1,[4]characters!$1:$1,0)-MATCH("character_id",[4]characters!$1:$1,0)+1,FALSE)</f>
        <v>Drop1N</v>
      </c>
      <c r="AF61" s="7">
        <v>1</v>
      </c>
      <c r="AG61" s="24">
        <f t="shared" ref="AG61:AG62" ca="1" si="29">AD61</f>
        <v>1</v>
      </c>
      <c r="AH61" s="8">
        <v>0</v>
      </c>
      <c r="AI61" s="7">
        <v>0</v>
      </c>
      <c r="AJ61" s="7">
        <v>0</v>
      </c>
      <c r="AK61" s="7">
        <v>0</v>
      </c>
      <c r="AL61" s="7">
        <v>0</v>
      </c>
      <c r="AM61" s="7">
        <v>1</v>
      </c>
      <c r="AN61" s="69">
        <v>1</v>
      </c>
    </row>
    <row r="62" spans="1:40" ht="21" customHeight="1" x14ac:dyDescent="0.15">
      <c r="A62" s="16" t="str">
        <f t="shared" si="25"/>
        <v>39005_3-3/13&lt;lv45&gt;s2</v>
      </c>
      <c r="B62" s="22">
        <v>39005</v>
      </c>
      <c r="C62" s="21">
        <v>3</v>
      </c>
      <c r="D62" s="2" t="str">
        <f t="shared" si="26"/>
        <v>39005_3</v>
      </c>
      <c r="E62" s="4" t="str">
        <f ca="1">VLOOKUP($B62,OFFSET([2]quests!$A$1,0,0,COUNTA([2]quests!$A:$A),MATCH(E$1,[2]quests!$1:$1,0)-MATCH($B$1,[2]quests!$1:$1,0)+1),MATCH(E$1,[2]quests!$1:$1,0)-MATCH($B$1,[2]quests!$1:$1,0)+1,FALSE)</f>
        <v xml:space="preserve">ミクエキスポ </v>
      </c>
      <c r="F62" s="4" t="str">
        <f ca="1">VLOOKUP($D62,OFFSET([2]stages!$A$1,0,0,COUNTA([2]stages!$A:$A),MATCH(F$1,[2]stages!$2:$2,0)-MATCH($D$1,[2]stages!$2:$2,0)+1),MATCH(F$1,[2]stages!$2:$2,0)-MATCH($D$1,[2]stages!$2:$2,0)+1,FALSE)</f>
        <v>【上級】ミクエキスポ</v>
      </c>
      <c r="G62" s="97">
        <v>3</v>
      </c>
      <c r="H62" s="15" t="str">
        <f t="shared" si="27"/>
        <v>39005_3-3</v>
      </c>
      <c r="I62" s="4">
        <f ca="1">VLOOKUP($H62,OFFSET(floors!$A$1,0,0,COUNTA(floors!$A:$A),MATCH(I$1,floors!$1:$1,0)-MATCH($H$1,floors!$1:$1,0)+1),MATCH(I$1,floors!$1:$1,0)-MATCH($H$1,floors!$1:$1,0)+1,FALSE)</f>
        <v>60</v>
      </c>
      <c r="J62" s="4">
        <f ca="1">VLOOKUP($H62,OFFSET(floors!$A$1,0,0,COUNTA(floors!$A:$A),MATCH(J$1,floors!$1:$1,0)-MATCH($H$1,floors!$1:$1,0)+1),MATCH(J$1,floors!$1:$1,0)-MATCH($H$1,floors!$1:$1,0)+1,FALSE)</f>
        <v>60</v>
      </c>
      <c r="K62" s="38" t="s">
        <v>53</v>
      </c>
      <c r="L62" s="20">
        <v>13</v>
      </c>
      <c r="M62" s="17" t="str">
        <f ca="1">VLOOKUP($L62,OFFSET([3]enemies!$A$1,0,0,COUNTA([3]enemies!$A:$A),MATCH(M$1,[3]enemies!$1:$1,0)-MATCH($L$1,[3]enemies!$1:$1,0)+1),MATCH(M$1,[3]enemies!$1:$1,0)-MATCH($L$1,[3]enemies!$1:$1,0)+1,FALSE)</f>
        <v>ミミ</v>
      </c>
      <c r="N62" s="17" t="str">
        <f ca="1">VLOOKUP($L62,OFFSET([3]enemies!$A$1,0,0,COUNTA([3]enemies!$A:$A),MATCH(N$1,[3]enemies!$1:$1,0)-MATCH($L$1,[3]enemies!$1:$1,0)+1),MATCH(N$1,[3]enemies!$1:$1,0)-MATCH($L$1,[3]enemies!$1:$1,0)+1,FALSE)</f>
        <v>yellow</v>
      </c>
      <c r="O62" s="17" t="str">
        <f ca="1">VLOOKUP($L62,OFFSET([4]characters!$A$1,0,0,COUNTA([4]characters!$A:$A),MATCH(O$1,[4]characters!$1:$1,0)-MATCH($L$1,[4]characters!$1:$1,0)+1),MATCH(O$1,[4]characters!$1:$1,0)-MATCH($L$1,[4]characters!$1:$1,0)+1,FALSE)</f>
        <v>Drop1W</v>
      </c>
      <c r="P62" s="17" t="str">
        <f ca="1">VLOOKUP($L62,OFFSET([3]enemies!$A$1,0,0,COUNTA([3]enemies!$A:$A),MATCH(P$1,[3]enemies!$1:$1,0)-MATCH($L$1,[3]enemies!$1:$1,0)+1),MATCH(P$1,[3]enemies!$1:$1,0)-MATCH($L$1,[3]enemies!$1:$1,0)+1,FALSE)</f>
        <v>animal</v>
      </c>
      <c r="Q62" s="17">
        <f ca="1">VLOOKUP($L62,OFFSET([3]enemies!$A$1,0,0,COUNTA([3]enemies!$A:$A),MATCH(Q$1,[3]enemies!$1:$1,0)-MATCH($L$1,[3]enemies!$1:$1,0)+1),MATCH(Q$1,[3]enemies!$1:$1,0)-MATCH($L$1,[3]enemies!$1:$1,0)+1,FALSE)</f>
        <v>15</v>
      </c>
      <c r="R62" s="5">
        <v>45</v>
      </c>
      <c r="S62" s="25">
        <v>1.5</v>
      </c>
      <c r="T62" s="25">
        <v>0.4</v>
      </c>
      <c r="U62" s="5">
        <v>0</v>
      </c>
      <c r="V62" s="4" t="e">
        <f ca="1">VLOOKUP($W62,OFFSET(enemy_skill_sets!$B$1,0,0,COUNTA(enemy_skill_sets!$B:$B),MATCH(M$1,enemy_skill_sets!$1:$1,0)-MATCH($W$1,enemy_skill_sets!$1:$1,0)+2),MATCH(M$1,enemy_skill_sets!$1:$1,0)-MATCH($W$1,enemy_skill_sets!$1:$1,0)+2,FALSE)</f>
        <v>#N/A</v>
      </c>
      <c r="W62" s="4">
        <f ca="1">VLOOKUP($L62,OFFSET([3]enemies!$A$1,0,0,COUNTA([3]enemies!$A:$A),MATCH(W$1,[3]enemies!$1:$1,0)-MATCH($L$1,[3]enemies!$1:$1,0)+1),MATCH(W$1,[3]enemies!$1:$1,0)-MATCH($L$1,[3]enemies!$1:$1,0)+1,FALSE)</f>
        <v>0</v>
      </c>
      <c r="X62" s="6">
        <v>0</v>
      </c>
      <c r="Y62" s="6">
        <v>100</v>
      </c>
      <c r="Z62" s="6">
        <v>0</v>
      </c>
      <c r="AA62" s="17">
        <v>2</v>
      </c>
      <c r="AB62" s="24">
        <f t="shared" si="28"/>
        <v>13</v>
      </c>
      <c r="AC62" s="4" t="str">
        <f ca="1">VLOOKUP($AB62,OFFSET([4]characters!$A$1,0,0,COUNTA([4]characters!$A:$A),MATCH(AC$1,[4]characters!$1:$1,0)-MATCH("character_id",[4]characters!$1:$1,0)+1),MATCH(AC$1,[4]characters!$1:$1,0)-MATCH("character_id",[4]characters!$1:$1,0)+1,FALSE)</f>
        <v>ミミ</v>
      </c>
      <c r="AD62" s="4">
        <f ca="1">VLOOKUP($AB62,OFFSET([4]characters!$A$1,0,0,COUNTA([4]characters!$A:$A),MATCH(AD$1,[4]characters!$1:$1,0)-MATCH("character_id",[4]characters!$1:$1,0)+1),MATCH(AD$1,[4]characters!$1:$1,0)-MATCH("character_id",[4]characters!$1:$1,0)+1,FALSE)</f>
        <v>1</v>
      </c>
      <c r="AE62" s="4" t="str">
        <f ca="1">VLOOKUP($AB62,OFFSET([4]characters!$A$1,0,0,COUNTA([4]characters!$A:$A),MATCH(AE$1,[4]characters!$1:$1,0)-MATCH("character_id",[4]characters!$1:$1,0)+1),MATCH(AE$1,[4]characters!$1:$1,0)-MATCH("character_id",[4]characters!$1:$1,0)+1,FALSE)</f>
        <v>Drop1W</v>
      </c>
      <c r="AF62" s="7">
        <v>1</v>
      </c>
      <c r="AG62" s="24">
        <f t="shared" ca="1" si="29"/>
        <v>1</v>
      </c>
      <c r="AH62" s="8">
        <v>0</v>
      </c>
      <c r="AI62" s="7">
        <v>0</v>
      </c>
      <c r="AJ62" s="7">
        <v>0</v>
      </c>
      <c r="AK62" s="7">
        <v>0</v>
      </c>
      <c r="AL62" s="7">
        <v>0</v>
      </c>
      <c r="AM62" s="7">
        <v>1</v>
      </c>
      <c r="AN62" s="69">
        <v>1</v>
      </c>
    </row>
    <row r="63" spans="1:40" ht="21" customHeight="1" x14ac:dyDescent="0.15">
      <c r="A63" s="16" t="str">
        <f t="shared" si="5"/>
        <v>39005_4-1/1&lt;lv50&gt;s1</v>
      </c>
      <c r="B63" s="22">
        <v>39005</v>
      </c>
      <c r="C63" s="21">
        <v>4</v>
      </c>
      <c r="D63" s="2" t="str">
        <f t="shared" si="6"/>
        <v>39005_4</v>
      </c>
      <c r="E63" s="4" t="str">
        <f ca="1">VLOOKUP($B63,OFFSET([2]quests!$A$1,0,0,COUNTA([2]quests!$A:$A),MATCH(E$1,[2]quests!$1:$1,0)-MATCH($B$1,[2]quests!$1:$1,0)+1),MATCH(E$1,[2]quests!$1:$1,0)-MATCH($B$1,[2]quests!$1:$1,0)+1,FALSE)</f>
        <v xml:space="preserve">ミクエキスポ </v>
      </c>
      <c r="F63" s="4" t="str">
        <f ca="1">VLOOKUP($D63,OFFSET([2]stages!$A$1,0,0,COUNTA([2]stages!$A:$A),MATCH(F$1,[2]stages!$2:$2,0)-MATCH($D$1,[2]stages!$2:$2,0)+1),MATCH(F$1,[2]stages!$2:$2,0)-MATCH($D$1,[2]stages!$2:$2,0)+1,FALSE)</f>
        <v>【超級】ミクエキスポ</v>
      </c>
      <c r="G63" s="94">
        <v>1</v>
      </c>
      <c r="H63" s="15" t="str">
        <f t="shared" si="7"/>
        <v>39005_4-1</v>
      </c>
      <c r="I63" s="4">
        <f ca="1">VLOOKUP($H63,OFFSET(floors!$A$1,0,0,COUNTA(floors!$A:$A),MATCH(I$1,floors!$1:$1,0)-MATCH($H$1,floors!$1:$1,0)+1),MATCH(I$1,floors!$1:$1,0)-MATCH($H$1,floors!$1:$1,0)+1,FALSE)</f>
        <v>60</v>
      </c>
      <c r="J63" s="4">
        <f ca="1">VLOOKUP($H63,OFFSET(floors!$A$1,0,0,COUNTA(floors!$A:$A),MATCH(J$1,floors!$1:$1,0)-MATCH($H$1,floors!$1:$1,0)+1),MATCH(J$1,floors!$1:$1,0)-MATCH($H$1,floors!$1:$1,0)+1,FALSE)</f>
        <v>60</v>
      </c>
      <c r="K63" s="38" t="s">
        <v>53</v>
      </c>
      <c r="L63" s="20">
        <v>1</v>
      </c>
      <c r="M63" s="17" t="str">
        <f ca="1">VLOOKUP($L63,OFFSET([3]enemies!$A$1,0,0,COUNTA([3]enemies!$A:$A),MATCH(M$1,[3]enemies!$1:$1,0)-MATCH($L$1,[3]enemies!$1:$1,0)+1),MATCH(M$1,[3]enemies!$1:$1,0)-MATCH($L$1,[3]enemies!$1:$1,0)+1,FALSE)</f>
        <v>ジェリー</v>
      </c>
      <c r="N63" s="17" t="str">
        <f ca="1">VLOOKUP($L63,OFFSET([3]enemies!$A$1,0,0,COUNTA([3]enemies!$A:$A),MATCH(N$1,[3]enemies!$1:$1,0)-MATCH($L$1,[3]enemies!$1:$1,0)+1),MATCH(N$1,[3]enemies!$1:$1,0)-MATCH($L$1,[3]enemies!$1:$1,0)+1,FALSE)</f>
        <v>red</v>
      </c>
      <c r="O63" s="17" t="str">
        <f ca="1">VLOOKUP($L63,OFFSET([4]characters!$A$1,0,0,COUNTA([4]characters!$A:$A),MATCH(O$1,[4]characters!$1:$1,0)-MATCH($L$1,[4]characters!$1:$1,0)+1),MATCH(O$1,[4]characters!$1:$1,0)-MATCH($L$1,[4]characters!$1:$1,0)+1,FALSE)</f>
        <v>Drop1T</v>
      </c>
      <c r="P63" s="17" t="str">
        <f ca="1">VLOOKUP($L63,OFFSET([3]enemies!$A$1,0,0,COUNTA([3]enemies!$A:$A),MATCH(P$1,[3]enemies!$1:$1,0)-MATCH($L$1,[3]enemies!$1:$1,0)+1),MATCH(P$1,[3]enemies!$1:$1,0)-MATCH($L$1,[3]enemies!$1:$1,0)+1,FALSE)</f>
        <v>unknown</v>
      </c>
      <c r="Q63" s="17">
        <f ca="1">VLOOKUP($L63,OFFSET([3]enemies!$A$1,0,0,COUNTA([3]enemies!$A:$A),MATCH(Q$1,[3]enemies!$1:$1,0)-MATCH($L$1,[3]enemies!$1:$1,0)+1),MATCH(Q$1,[3]enemies!$1:$1,0)-MATCH($L$1,[3]enemies!$1:$1,0)+1,FALSE)</f>
        <v>15</v>
      </c>
      <c r="R63" s="5">
        <v>50</v>
      </c>
      <c r="S63" s="25">
        <v>1.1000000000000001</v>
      </c>
      <c r="T63" s="25">
        <v>0.4</v>
      </c>
      <c r="U63" s="5">
        <v>0</v>
      </c>
      <c r="V63" s="4" t="str">
        <f ca="1">VLOOKUP($W63,OFFSET([5]enemy_skill_sets!$B$1,0,0,COUNTA([5]enemy_skill_sets!$B:$B),MATCH(M$1,[5]enemy_skill_sets!$1:$1,0)-MATCH($W$1,[5]enemy_skill_sets!$1:$1,0)+2),MATCH(M$1,[5]enemy_skill_sets!$1:$1,0)-MATCH($W$1,[5]enemy_skill_sets!$1:$1,0)+2,FALSE)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3" s="4">
        <f ca="1">VLOOKUP($L63,OFFSET([3]enemies!$A$1,0,0,COUNTA([3]enemies!$A:$A),MATCH(W$1,[3]enemies!$1:$1,0)-MATCH($L$1,[3]enemies!$1:$1,0)+1),MATCH(W$1,[3]enemies!$1:$1,0)-MATCH($L$1,[3]enemies!$1:$1,0)+1,FALSE)</f>
        <v>0</v>
      </c>
      <c r="X63" s="6">
        <v>0</v>
      </c>
      <c r="Y63" s="6">
        <v>100</v>
      </c>
      <c r="Z63" s="6">
        <v>0</v>
      </c>
      <c r="AA63" s="17">
        <v>1</v>
      </c>
      <c r="AB63" s="24">
        <f t="shared" si="8"/>
        <v>1</v>
      </c>
      <c r="AC63" s="4" t="str">
        <f ca="1">VLOOKUP($AB63,OFFSET([4]characters!$A$1,0,0,COUNTA([4]characters!$A:$A),MATCH(AC$1,[4]characters!$1:$1,0)-MATCH("character_id",[4]characters!$1:$1,0)+1),MATCH(AC$1,[4]characters!$1:$1,0)-MATCH("character_id",[4]characters!$1:$1,0)+1,FALSE)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63" s="4">
        <f ca="1">VLOOKUP($AB63,OFFSET([4]characters!$A$1,0,0,COUNTA([4]characters!$A:$A),MATCH(AD$1,[4]characters!$1:$1,0)-MATCH("character_id",[4]characters!$1:$1,0)+1),MATCH(AD$1,[4]characters!$1:$1,0)-MATCH("character_id",[4]characters!$1:$1,0)+1,FALSE)</f>
        <v>1</v>
      </c>
      <c r="AE63" s="4" t="str">
        <f ca="1">VLOOKUP($AB63,OFFSET([4]characters!$A$1,0,0,COUNTA([4]characters!$A:$A),MATCH(AE$1,[4]characters!$1:$1,0)-MATCH("character_id",[4]characters!$1:$1,0)+1),MATCH(AE$1,[4]characters!$1:$1,0)-MATCH("character_id",[4]characters!$1:$1,0)+1,FALSE)</f>
        <v>Drop1T</v>
      </c>
      <c r="AF63" s="7">
        <v>1</v>
      </c>
      <c r="AG63" s="24">
        <f t="shared" ca="1" si="9"/>
        <v>1</v>
      </c>
      <c r="AH63" s="8">
        <v>20</v>
      </c>
      <c r="AI63" s="7">
        <v>0</v>
      </c>
      <c r="AJ63" s="7">
        <v>0</v>
      </c>
      <c r="AK63" s="7">
        <v>0</v>
      </c>
      <c r="AL63" s="7">
        <v>0</v>
      </c>
      <c r="AM63" s="7">
        <v>1</v>
      </c>
      <c r="AN63" s="69">
        <v>1</v>
      </c>
    </row>
    <row r="64" spans="1:40" ht="21" customHeight="1" x14ac:dyDescent="0.15">
      <c r="A64" s="16" t="str">
        <f t="shared" si="5"/>
        <v>39005_4-1/3&lt;lv50&gt;s2</v>
      </c>
      <c r="B64" s="22">
        <v>39005</v>
      </c>
      <c r="C64" s="21">
        <v>4</v>
      </c>
      <c r="D64" s="2" t="str">
        <f t="shared" si="6"/>
        <v>39005_4</v>
      </c>
      <c r="E64" s="4" t="str">
        <f ca="1">VLOOKUP($B64,OFFSET([2]quests!$A$1,0,0,COUNTA([2]quests!$A:$A),MATCH(E$1,[2]quests!$1:$1,0)-MATCH($B$1,[2]quests!$1:$1,0)+1),MATCH(E$1,[2]quests!$1:$1,0)-MATCH($B$1,[2]quests!$1:$1,0)+1,FALSE)</f>
        <v xml:space="preserve">ミクエキスポ </v>
      </c>
      <c r="F64" s="4" t="str">
        <f ca="1">VLOOKUP($D64,OFFSET([2]stages!$A$1,0,0,COUNTA([2]stages!$A:$A),MATCH(F$1,[2]stages!$2:$2,0)-MATCH($D$1,[2]stages!$2:$2,0)+1),MATCH(F$1,[2]stages!$2:$2,0)-MATCH($D$1,[2]stages!$2:$2,0)+1,FALSE)</f>
        <v>【超級】ミクエキスポ</v>
      </c>
      <c r="G64" s="94">
        <v>1</v>
      </c>
      <c r="H64" s="15" t="str">
        <f t="shared" si="7"/>
        <v>39005_4-1</v>
      </c>
      <c r="I64" s="4">
        <f ca="1">VLOOKUP($H64,OFFSET(floors!$A$1,0,0,COUNTA(floors!$A:$A),MATCH(I$1,floors!$1:$1,0)-MATCH($H$1,floors!$1:$1,0)+1),MATCH(I$1,floors!$1:$1,0)-MATCH($H$1,floors!$1:$1,0)+1,FALSE)</f>
        <v>60</v>
      </c>
      <c r="J64" s="4">
        <f ca="1">VLOOKUP($H64,OFFSET(floors!$A$1,0,0,COUNTA(floors!$A:$A),MATCH(J$1,floors!$1:$1,0)-MATCH($H$1,floors!$1:$1,0)+1),MATCH(J$1,floors!$1:$1,0)-MATCH($H$1,floors!$1:$1,0)+1,FALSE)</f>
        <v>60</v>
      </c>
      <c r="K64" s="38" t="s">
        <v>53</v>
      </c>
      <c r="L64" s="20">
        <v>3</v>
      </c>
      <c r="M64" s="17" t="str">
        <f ca="1">VLOOKUP($L64,OFFSET([3]enemies!$A$1,0,0,COUNTA([3]enemies!$A:$A),MATCH(M$1,[3]enemies!$1:$1,0)-MATCH($L$1,[3]enemies!$1:$1,0)+1),MATCH(M$1,[3]enemies!$1:$1,0)-MATCH($L$1,[3]enemies!$1:$1,0)+1,FALSE)</f>
        <v>エージェント ジョー</v>
      </c>
      <c r="N64" s="17" t="str">
        <f ca="1">VLOOKUP($L64,OFFSET([3]enemies!$A$1,0,0,COUNTA([3]enemies!$A:$A),MATCH(N$1,[3]enemies!$1:$1,0)-MATCH($L$1,[3]enemies!$1:$1,0)+1),MATCH(N$1,[3]enemies!$1:$1,0)-MATCH($L$1,[3]enemies!$1:$1,0)+1,FALSE)</f>
        <v>green</v>
      </c>
      <c r="O64" s="17" t="str">
        <f ca="1">VLOOKUP($L64,OFFSET([4]characters!$A$1,0,0,COUNTA([4]characters!$A:$A),MATCH(O$1,[4]characters!$1:$1,0)-MATCH($L$1,[4]characters!$1:$1,0)+1),MATCH(O$1,[4]characters!$1:$1,0)-MATCH($L$1,[4]characters!$1:$1,0)+1,FALSE)</f>
        <v>Drop1T</v>
      </c>
      <c r="P64" s="17" t="str">
        <f ca="1">VLOOKUP($L64,OFFSET([3]enemies!$A$1,0,0,COUNTA([3]enemies!$A:$A),MATCH(P$1,[3]enemies!$1:$1,0)-MATCH($L$1,[3]enemies!$1:$1,0)+1),MATCH(P$1,[3]enemies!$1:$1,0)-MATCH($L$1,[3]enemies!$1:$1,0)+1,FALSE)</f>
        <v>unknown</v>
      </c>
      <c r="Q64" s="17">
        <f ca="1">VLOOKUP($L64,OFFSET([3]enemies!$A$1,0,0,COUNTA([3]enemies!$A:$A),MATCH(Q$1,[3]enemies!$1:$1,0)-MATCH($L$1,[3]enemies!$1:$1,0)+1),MATCH(Q$1,[3]enemies!$1:$1,0)-MATCH($L$1,[3]enemies!$1:$1,0)+1,FALSE)</f>
        <v>15</v>
      </c>
      <c r="R64" s="5">
        <v>50</v>
      </c>
      <c r="S64" s="25">
        <v>1.2</v>
      </c>
      <c r="T64" s="25">
        <v>0.5</v>
      </c>
      <c r="U64" s="5">
        <v>0</v>
      </c>
      <c r="V64" s="4" t="e">
        <f ca="1">VLOOKUP($W64,OFFSET(enemy_skill_sets!$B$1,0,0,COUNTA(enemy_skill_sets!$B:$B),MATCH(M$1,enemy_skill_sets!$1:$1,0)-MATCH($W$1,enemy_skill_sets!$1:$1,0)+2),MATCH(M$1,enemy_skill_sets!$1:$1,0)-MATCH($W$1,enemy_skill_sets!$1:$1,0)+2,FALSE)</f>
        <v>#N/A</v>
      </c>
      <c r="W64" s="4">
        <f ca="1">VLOOKUP($L64,OFFSET([3]enemies!$A$1,0,0,COUNTA([3]enemies!$A:$A),MATCH(W$1,[3]enemies!$1:$1,0)-MATCH($L$1,[3]enemies!$1:$1,0)+1),MATCH(W$1,[3]enemies!$1:$1,0)-MATCH($L$1,[3]enemies!$1:$1,0)+1,FALSE)</f>
        <v>0</v>
      </c>
      <c r="X64" s="6">
        <v>0</v>
      </c>
      <c r="Y64" s="6">
        <v>100</v>
      </c>
      <c r="Z64" s="6">
        <v>0</v>
      </c>
      <c r="AA64" s="17">
        <v>2</v>
      </c>
      <c r="AB64" s="24">
        <f t="shared" si="8"/>
        <v>3</v>
      </c>
      <c r="AC64" s="4" t="str">
        <f ca="1">VLOOKUP($AB64,OFFSET([4]characters!$A$1,0,0,COUNTA([4]characters!$A:$A),MATCH(AC$1,[4]characters!$1:$1,0)-MATCH("character_id",[4]characters!$1:$1,0)+1),MATCH(AC$1,[4]characters!$1:$1,0)-MATCH("character_id",[4]characters!$1:$1,0)+1,FALSE)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64" s="4">
        <f ca="1">VLOOKUP($AB64,OFFSET([4]characters!$A$1,0,0,COUNTA([4]characters!$A:$A),MATCH(AD$1,[4]characters!$1:$1,0)-MATCH("character_id",[4]characters!$1:$1,0)+1),MATCH(AD$1,[4]characters!$1:$1,0)-MATCH("character_id",[4]characters!$1:$1,0)+1,FALSE)</f>
        <v>1</v>
      </c>
      <c r="AE64" s="4" t="str">
        <f ca="1">VLOOKUP($AB64,OFFSET([4]characters!$A$1,0,0,COUNTA([4]characters!$A:$A),MATCH(AE$1,[4]characters!$1:$1,0)-MATCH("character_id",[4]characters!$1:$1,0)+1),MATCH(AE$1,[4]characters!$1:$1,0)-MATCH("character_id",[4]characters!$1:$1,0)+1,FALSE)</f>
        <v>Drop1T</v>
      </c>
      <c r="AF64" s="7">
        <v>1</v>
      </c>
      <c r="AG64" s="24">
        <f t="shared" ca="1" si="9"/>
        <v>1</v>
      </c>
      <c r="AH64" s="8">
        <v>20</v>
      </c>
      <c r="AI64" s="7">
        <v>0</v>
      </c>
      <c r="AJ64" s="7">
        <v>0</v>
      </c>
      <c r="AK64" s="7">
        <v>0</v>
      </c>
      <c r="AL64" s="7">
        <v>0</v>
      </c>
      <c r="AM64" s="7">
        <v>1</v>
      </c>
      <c r="AN64" s="69">
        <v>1</v>
      </c>
    </row>
    <row r="65" spans="1:40" ht="21" customHeight="1" x14ac:dyDescent="0.15">
      <c r="A65" s="16" t="str">
        <f t="shared" ref="A65:A70" si="30">B65&amp;"_"&amp;C65&amp;"-"&amp;G65&amp;"/"&amp;L65&amp;"&lt;lv"&amp;R65&amp;"&gt;s"&amp;AA65</f>
        <v>39005_4-1/5&lt;lv50&gt;s3</v>
      </c>
      <c r="B65" s="22">
        <v>39005</v>
      </c>
      <c r="C65" s="21">
        <v>4</v>
      </c>
      <c r="D65" s="2" t="str">
        <f t="shared" ref="D65:D70" si="31">B65&amp;"_"&amp;C65</f>
        <v>39005_4</v>
      </c>
      <c r="E65" s="4" t="str">
        <f ca="1">VLOOKUP($B65,OFFSET([2]quests!$A$1,0,0,COUNTA([2]quests!$A:$A),MATCH(E$1,[2]quests!$1:$1,0)-MATCH($B$1,[2]quests!$1:$1,0)+1),MATCH(E$1,[2]quests!$1:$1,0)-MATCH($B$1,[2]quests!$1:$1,0)+1,FALSE)</f>
        <v xml:space="preserve">ミクエキスポ </v>
      </c>
      <c r="F65" s="4" t="str">
        <f ca="1">VLOOKUP($D65,OFFSET([2]stages!$A$1,0,0,COUNTA([2]stages!$A:$A),MATCH(F$1,[2]stages!$2:$2,0)-MATCH($D$1,[2]stages!$2:$2,0)+1),MATCH(F$1,[2]stages!$2:$2,0)-MATCH($D$1,[2]stages!$2:$2,0)+1,FALSE)</f>
        <v>【超級】ミクエキスポ</v>
      </c>
      <c r="G65" s="94">
        <v>1</v>
      </c>
      <c r="H65" s="15" t="str">
        <f t="shared" ref="H65:H70" si="32">B65&amp;"_"&amp;C65&amp;"-"&amp;G65</f>
        <v>39005_4-1</v>
      </c>
      <c r="I65" s="4">
        <f ca="1">VLOOKUP($H65,OFFSET(floors!$A$1,0,0,COUNTA(floors!$A:$A),MATCH(I$1,floors!$1:$1,0)-MATCH($H$1,floors!$1:$1,0)+1),MATCH(I$1,floors!$1:$1,0)-MATCH($H$1,floors!$1:$1,0)+1,FALSE)</f>
        <v>60</v>
      </c>
      <c r="J65" s="4">
        <f ca="1">VLOOKUP($H65,OFFSET(floors!$A$1,0,0,COUNTA(floors!$A:$A),MATCH(J$1,floors!$1:$1,0)-MATCH($H$1,floors!$1:$1,0)+1),MATCH(J$1,floors!$1:$1,0)-MATCH($H$1,floors!$1:$1,0)+1,FALSE)</f>
        <v>60</v>
      </c>
      <c r="K65" s="38" t="s">
        <v>53</v>
      </c>
      <c r="L65" s="20">
        <v>5</v>
      </c>
      <c r="M65" s="17" t="str">
        <f ca="1">VLOOKUP($L65,OFFSET([3]enemies!$A$1,0,0,COUNTA([3]enemies!$A:$A),MATCH(M$1,[3]enemies!$1:$1,0)-MATCH($L$1,[3]enemies!$1:$1,0)+1),MATCH(M$1,[3]enemies!$1:$1,0)-MATCH($L$1,[3]enemies!$1:$1,0)+1,FALSE)</f>
        <v>パトドッグ ポチ</v>
      </c>
      <c r="N65" s="17" t="str">
        <f ca="1">VLOOKUP($L65,OFFSET([3]enemies!$A$1,0,0,COUNTA([3]enemies!$A:$A),MATCH(N$1,[3]enemies!$1:$1,0)-MATCH($L$1,[3]enemies!$1:$1,0)+1),MATCH(N$1,[3]enemies!$1:$1,0)-MATCH($L$1,[3]enemies!$1:$1,0)+1,FALSE)</f>
        <v>blue</v>
      </c>
      <c r="O65" s="17" t="str">
        <f ca="1">VLOOKUP($L65,OFFSET([4]characters!$A$1,0,0,COUNTA([4]characters!$A:$A),MATCH(O$1,[4]characters!$1:$1,0)-MATCH($L$1,[4]characters!$1:$1,0)+1),MATCH(O$1,[4]characters!$1:$1,0)-MATCH($L$1,[4]characters!$1:$1,0)+1,FALSE)</f>
        <v>Drop1T</v>
      </c>
      <c r="P65" s="17" t="str">
        <f ca="1">VLOOKUP($L65,OFFSET([3]enemies!$A$1,0,0,COUNTA([3]enemies!$A:$A),MATCH(P$1,[3]enemies!$1:$1,0)-MATCH($L$1,[3]enemies!$1:$1,0)+1),MATCH(P$1,[3]enemies!$1:$1,0)-MATCH($L$1,[3]enemies!$1:$1,0)+1,FALSE)</f>
        <v>unknown</v>
      </c>
      <c r="Q65" s="17">
        <f ca="1">VLOOKUP($L65,OFFSET([3]enemies!$A$1,0,0,COUNTA([3]enemies!$A:$A),MATCH(Q$1,[3]enemies!$1:$1,0)-MATCH($L$1,[3]enemies!$1:$1,0)+1),MATCH(Q$1,[3]enemies!$1:$1,0)-MATCH($L$1,[3]enemies!$1:$1,0)+1,FALSE)</f>
        <v>15</v>
      </c>
      <c r="R65" s="5">
        <v>50</v>
      </c>
      <c r="S65" s="25">
        <v>1</v>
      </c>
      <c r="T65" s="25">
        <v>0.8</v>
      </c>
      <c r="U65" s="5">
        <v>0</v>
      </c>
      <c r="V65" s="4" t="str">
        <f ca="1">VLOOKUP($W65,OFFSET([5]enemy_skill_sets!$B$1,0,0,COUNTA([5]enemy_skill_sets!$B:$B),MATCH(M$1,[5]enemy_skill_sets!$1:$1,0)-MATCH($W$1,[5]enemy_skill_sets!$1:$1,0)+2),MATCH(M$1,[5]enemy_skill_sets!$1:$1,0)-MATCH($W$1,[5]enemy_skill_sets!$1:$1,0)+2,FALSE)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5" s="4">
        <f ca="1">VLOOKUP($L65,OFFSET([3]enemies!$A$1,0,0,COUNTA([3]enemies!$A:$A),MATCH(W$1,[3]enemies!$1:$1,0)-MATCH($L$1,[3]enemies!$1:$1,0)+1),MATCH(W$1,[3]enemies!$1:$1,0)-MATCH($L$1,[3]enemies!$1:$1,0)+1,FALSE)</f>
        <v>0</v>
      </c>
      <c r="X65" s="6">
        <v>0</v>
      </c>
      <c r="Y65" s="6">
        <v>100</v>
      </c>
      <c r="Z65" s="6">
        <v>0</v>
      </c>
      <c r="AA65" s="17">
        <v>3</v>
      </c>
      <c r="AB65" s="24">
        <f t="shared" ref="AB65:AB70" si="33">L65</f>
        <v>5</v>
      </c>
      <c r="AC65" s="4" t="str">
        <f ca="1">VLOOKUP($AB65,OFFSET([4]characters!$A$1,0,0,COUNTA([4]characters!$A:$A),MATCH(AC$1,[4]characters!$1:$1,0)-MATCH("character_id",[4]characters!$1:$1,0)+1),MATCH(AC$1,[4]characters!$1:$1,0)-MATCH("character_id",[4]characters!$1:$1,0)+1,FALSE)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65" s="4">
        <f ca="1">VLOOKUP($AB65,OFFSET([4]characters!$A$1,0,0,COUNTA([4]characters!$A:$A),MATCH(AD$1,[4]characters!$1:$1,0)-MATCH("character_id",[4]characters!$1:$1,0)+1),MATCH(AD$1,[4]characters!$1:$1,0)-MATCH("character_id",[4]characters!$1:$1,0)+1,FALSE)</f>
        <v>1</v>
      </c>
      <c r="AE65" s="4" t="str">
        <f ca="1">VLOOKUP($AB65,OFFSET([4]characters!$A$1,0,0,COUNTA([4]characters!$A:$A),MATCH(AE$1,[4]characters!$1:$1,0)-MATCH("character_id",[4]characters!$1:$1,0)+1),MATCH(AE$1,[4]characters!$1:$1,0)-MATCH("character_id",[4]characters!$1:$1,0)+1,FALSE)</f>
        <v>Drop1T</v>
      </c>
      <c r="AF65" s="7">
        <v>1</v>
      </c>
      <c r="AG65" s="24">
        <f t="shared" ref="AG65:AG70" ca="1" si="34">AD65</f>
        <v>1</v>
      </c>
      <c r="AH65" s="8">
        <v>20</v>
      </c>
      <c r="AI65" s="7">
        <v>0</v>
      </c>
      <c r="AJ65" s="7">
        <v>0</v>
      </c>
      <c r="AK65" s="7">
        <v>0</v>
      </c>
      <c r="AL65" s="7">
        <v>0</v>
      </c>
      <c r="AM65" s="7">
        <v>1</v>
      </c>
      <c r="AN65" s="69">
        <v>1</v>
      </c>
    </row>
    <row r="66" spans="1:40" ht="21" customHeight="1" x14ac:dyDescent="0.15">
      <c r="A66" s="16" t="str">
        <f t="shared" si="30"/>
        <v>39005_4-1/7&lt;lv50&gt;s2</v>
      </c>
      <c r="B66" s="22">
        <v>39005</v>
      </c>
      <c r="C66" s="21">
        <v>4</v>
      </c>
      <c r="D66" s="2" t="str">
        <f t="shared" si="31"/>
        <v>39005_4</v>
      </c>
      <c r="E66" s="4" t="str">
        <f ca="1">VLOOKUP($B66,OFFSET([2]quests!$A$1,0,0,COUNTA([2]quests!$A:$A),MATCH(E$1,[2]quests!$1:$1,0)-MATCH($B$1,[2]quests!$1:$1,0)+1),MATCH(E$1,[2]quests!$1:$1,0)-MATCH($B$1,[2]quests!$1:$1,0)+1,FALSE)</f>
        <v xml:space="preserve">ミクエキスポ </v>
      </c>
      <c r="F66" s="4" t="str">
        <f ca="1">VLOOKUP($D66,OFFSET([2]stages!$A$1,0,0,COUNTA([2]stages!$A:$A),MATCH(F$1,[2]stages!$2:$2,0)-MATCH($D$1,[2]stages!$2:$2,0)+1),MATCH(F$1,[2]stages!$2:$2,0)-MATCH($D$1,[2]stages!$2:$2,0)+1,FALSE)</f>
        <v>【超級】ミクエキスポ</v>
      </c>
      <c r="G66" s="94">
        <v>1</v>
      </c>
      <c r="H66" s="15" t="str">
        <f t="shared" si="32"/>
        <v>39005_4-1</v>
      </c>
      <c r="I66" s="4">
        <f ca="1">VLOOKUP($H66,OFFSET(floors!$A$1,0,0,COUNTA(floors!$A:$A),MATCH(I$1,floors!$1:$1,0)-MATCH($H$1,floors!$1:$1,0)+1),MATCH(I$1,floors!$1:$1,0)-MATCH($H$1,floors!$1:$1,0)+1,FALSE)</f>
        <v>60</v>
      </c>
      <c r="J66" s="4">
        <f ca="1">VLOOKUP($H66,OFFSET(floors!$A$1,0,0,COUNTA(floors!$A:$A),MATCH(J$1,floors!$1:$1,0)-MATCH($H$1,floors!$1:$1,0)+1),MATCH(J$1,floors!$1:$1,0)-MATCH($H$1,floors!$1:$1,0)+1,FALSE)</f>
        <v>60</v>
      </c>
      <c r="K66" s="38" t="s">
        <v>53</v>
      </c>
      <c r="L66" s="20">
        <v>7</v>
      </c>
      <c r="M66" s="17" t="str">
        <f ca="1">VLOOKUP($L66,OFFSET([3]enemies!$A$1,0,0,COUNTA([3]enemies!$A:$A),MATCH(M$1,[3]enemies!$1:$1,0)-MATCH($L$1,[3]enemies!$1:$1,0)+1),MATCH(M$1,[3]enemies!$1:$1,0)-MATCH($L$1,[3]enemies!$1:$1,0)+1,FALSE)</f>
        <v>エレキポット</v>
      </c>
      <c r="N66" s="17" t="str">
        <f ca="1">VLOOKUP($L66,OFFSET([3]enemies!$A$1,0,0,COUNTA([3]enemies!$A:$A),MATCH(N$1,[3]enemies!$1:$1,0)-MATCH($L$1,[3]enemies!$1:$1,0)+1),MATCH(N$1,[3]enemies!$1:$1,0)-MATCH($L$1,[3]enemies!$1:$1,0)+1,FALSE)</f>
        <v>yellow</v>
      </c>
      <c r="O66" s="17" t="str">
        <f ca="1">VLOOKUP($L66,OFFSET([4]characters!$A$1,0,0,COUNTA([4]characters!$A:$A),MATCH(O$1,[4]characters!$1:$1,0)-MATCH($L$1,[4]characters!$1:$1,0)+1),MATCH(O$1,[4]characters!$1:$1,0)-MATCH($L$1,[4]characters!$1:$1,0)+1,FALSE)</f>
        <v>Drop1T</v>
      </c>
      <c r="P66" s="17" t="str">
        <f ca="1">VLOOKUP($L66,OFFSET([3]enemies!$A$1,0,0,COUNTA([3]enemies!$A:$A),MATCH(P$1,[3]enemies!$1:$1,0)-MATCH($L$1,[3]enemies!$1:$1,0)+1),MATCH(P$1,[3]enemies!$1:$1,0)-MATCH($L$1,[3]enemies!$1:$1,0)+1,FALSE)</f>
        <v>unknown</v>
      </c>
      <c r="Q66" s="17">
        <f ca="1">VLOOKUP($L66,OFFSET([3]enemies!$A$1,0,0,COUNTA([3]enemies!$A:$A),MATCH(Q$1,[3]enemies!$1:$1,0)-MATCH($L$1,[3]enemies!$1:$1,0)+1),MATCH(Q$1,[3]enemies!$1:$1,0)-MATCH($L$1,[3]enemies!$1:$1,0)+1,FALSE)</f>
        <v>15</v>
      </c>
      <c r="R66" s="5">
        <v>50</v>
      </c>
      <c r="S66" s="25">
        <v>1.1000000000000001</v>
      </c>
      <c r="T66" s="25">
        <v>0.4</v>
      </c>
      <c r="U66" s="5">
        <v>0</v>
      </c>
      <c r="V66" s="4" t="e">
        <f ca="1">VLOOKUP($W66,OFFSET(enemy_skill_sets!$B$1,0,0,COUNTA(enemy_skill_sets!$B:$B),MATCH(M$1,enemy_skill_sets!$1:$1,0)-MATCH($W$1,enemy_skill_sets!$1:$1,0)+2),MATCH(M$1,enemy_skill_sets!$1:$1,0)-MATCH($W$1,enemy_skill_sets!$1:$1,0)+2,FALSE)</f>
        <v>#N/A</v>
      </c>
      <c r="W66" s="4">
        <f ca="1">VLOOKUP($L66,OFFSET([3]enemies!$A$1,0,0,COUNTA([3]enemies!$A:$A),MATCH(W$1,[3]enemies!$1:$1,0)-MATCH($L$1,[3]enemies!$1:$1,0)+1),MATCH(W$1,[3]enemies!$1:$1,0)-MATCH($L$1,[3]enemies!$1:$1,0)+1,FALSE)</f>
        <v>0</v>
      </c>
      <c r="X66" s="6">
        <v>0</v>
      </c>
      <c r="Y66" s="6">
        <v>100</v>
      </c>
      <c r="Z66" s="6">
        <v>0</v>
      </c>
      <c r="AA66" s="17">
        <v>2</v>
      </c>
      <c r="AB66" s="24">
        <f t="shared" si="33"/>
        <v>7</v>
      </c>
      <c r="AC66" s="4" t="str">
        <f ca="1">VLOOKUP($AB66,OFFSET([4]characters!$A$1,0,0,COUNTA([4]characters!$A:$A),MATCH(AC$1,[4]characters!$1:$1,0)-MATCH("character_id",[4]characters!$1:$1,0)+1),MATCH(AC$1,[4]characters!$1:$1,0)-MATCH("character_id",[4]characters!$1:$1,0)+1,FALSE)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66" s="4">
        <f ca="1">VLOOKUP($AB66,OFFSET([4]characters!$A$1,0,0,COUNTA([4]characters!$A:$A),MATCH(AD$1,[4]characters!$1:$1,0)-MATCH("character_id",[4]characters!$1:$1,0)+1),MATCH(AD$1,[4]characters!$1:$1,0)-MATCH("character_id",[4]characters!$1:$1,0)+1,FALSE)</f>
        <v>1</v>
      </c>
      <c r="AE66" s="4" t="str">
        <f ca="1">VLOOKUP($AB66,OFFSET([4]characters!$A$1,0,0,COUNTA([4]characters!$A:$A),MATCH(AE$1,[4]characters!$1:$1,0)-MATCH("character_id",[4]characters!$1:$1,0)+1),MATCH(AE$1,[4]characters!$1:$1,0)-MATCH("character_id",[4]characters!$1:$1,0)+1,FALSE)</f>
        <v>Drop1T</v>
      </c>
      <c r="AF66" s="7">
        <v>1</v>
      </c>
      <c r="AG66" s="24">
        <f t="shared" ca="1" si="34"/>
        <v>1</v>
      </c>
      <c r="AH66" s="8">
        <v>20</v>
      </c>
      <c r="AI66" s="7">
        <v>0</v>
      </c>
      <c r="AJ66" s="7">
        <v>0</v>
      </c>
      <c r="AK66" s="7">
        <v>0</v>
      </c>
      <c r="AL66" s="7">
        <v>0</v>
      </c>
      <c r="AM66" s="7">
        <v>1</v>
      </c>
      <c r="AN66" s="69">
        <v>1</v>
      </c>
    </row>
    <row r="67" spans="1:40" ht="21" customHeight="1" x14ac:dyDescent="0.15">
      <c r="A67" s="16" t="str">
        <f t="shared" si="30"/>
        <v>39005_4-1/15&lt;lv50&gt;s3</v>
      </c>
      <c r="B67" s="22">
        <v>39005</v>
      </c>
      <c r="C67" s="21">
        <v>4</v>
      </c>
      <c r="D67" s="2" t="str">
        <f t="shared" si="31"/>
        <v>39005_4</v>
      </c>
      <c r="E67" s="4" t="str">
        <f ca="1">VLOOKUP($B67,OFFSET([2]quests!$A$1,0,0,COUNTA([2]quests!$A:$A),MATCH(E$1,[2]quests!$1:$1,0)-MATCH($B$1,[2]quests!$1:$1,0)+1),MATCH(E$1,[2]quests!$1:$1,0)-MATCH($B$1,[2]quests!$1:$1,0)+1,FALSE)</f>
        <v xml:space="preserve">ミクエキスポ </v>
      </c>
      <c r="F67" s="4" t="str">
        <f ca="1">VLOOKUP($D67,OFFSET([2]stages!$A$1,0,0,COUNTA([2]stages!$A:$A),MATCH(F$1,[2]stages!$2:$2,0)-MATCH($D$1,[2]stages!$2:$2,0)+1),MATCH(F$1,[2]stages!$2:$2,0)-MATCH($D$1,[2]stages!$2:$2,0)+1,FALSE)</f>
        <v>【超級】ミクエキスポ</v>
      </c>
      <c r="G67" s="94">
        <v>1</v>
      </c>
      <c r="H67" s="15" t="str">
        <f t="shared" si="32"/>
        <v>39005_4-1</v>
      </c>
      <c r="I67" s="4">
        <f ca="1">VLOOKUP($H67,OFFSET(floors!$A$1,0,0,COUNTA(floors!$A:$A),MATCH(I$1,floors!$1:$1,0)-MATCH($H$1,floors!$1:$1,0)+1),MATCH(I$1,floors!$1:$1,0)-MATCH($H$1,floors!$1:$1,0)+1,FALSE)</f>
        <v>60</v>
      </c>
      <c r="J67" s="4">
        <f ca="1">VLOOKUP($H67,OFFSET(floors!$A$1,0,0,COUNTA(floors!$A:$A),MATCH(J$1,floors!$1:$1,0)-MATCH($H$1,floors!$1:$1,0)+1),MATCH(J$1,floors!$1:$1,0)-MATCH($H$1,floors!$1:$1,0)+1,FALSE)</f>
        <v>60</v>
      </c>
      <c r="K67" s="38" t="s">
        <v>53</v>
      </c>
      <c r="L67" s="20">
        <v>15</v>
      </c>
      <c r="M67" s="17" t="str">
        <f ca="1">VLOOKUP($L67,OFFSET([3]enemies!$A$1,0,0,COUNTA([3]enemies!$A:$A),MATCH(M$1,[3]enemies!$1:$1,0)-MATCH($L$1,[3]enemies!$1:$1,0)+1),MATCH(M$1,[3]enemies!$1:$1,0)-MATCH($L$1,[3]enemies!$1:$1,0)+1,FALSE)</f>
        <v>アカネ</v>
      </c>
      <c r="N67" s="17" t="str">
        <f ca="1">VLOOKUP($L67,OFFSET([3]enemies!$A$1,0,0,COUNTA([3]enemies!$A:$A),MATCH(N$1,[3]enemies!$1:$1,0)-MATCH($L$1,[3]enemies!$1:$1,0)+1),MATCH(N$1,[3]enemies!$1:$1,0)-MATCH($L$1,[3]enemies!$1:$1,0)+1,FALSE)</f>
        <v>red</v>
      </c>
      <c r="O67" s="17" t="str">
        <f ca="1">VLOOKUP($L67,OFFSET([4]characters!$A$1,0,0,COUNTA([4]characters!$A:$A),MATCH(O$1,[4]characters!$1:$1,0)-MATCH($L$1,[4]characters!$1:$1,0)+1),MATCH(O$1,[4]characters!$1:$1,0)-MATCH($L$1,[4]characters!$1:$1,0)+1,FALSE)</f>
        <v>Drop1W</v>
      </c>
      <c r="P67" s="17" t="str">
        <f ca="1">VLOOKUP($L67,OFFSET([3]enemies!$A$1,0,0,COUNTA([3]enemies!$A:$A),MATCH(P$1,[3]enemies!$1:$1,0)-MATCH($L$1,[3]enemies!$1:$1,0)+1),MATCH(P$1,[3]enemies!$1:$1,0)-MATCH($L$1,[3]enemies!$1:$1,0)+1,FALSE)</f>
        <v>human</v>
      </c>
      <c r="Q67" s="17">
        <f ca="1">VLOOKUP($L67,OFFSET([3]enemies!$A$1,0,0,COUNTA([3]enemies!$A:$A),MATCH(Q$1,[3]enemies!$1:$1,0)-MATCH($L$1,[3]enemies!$1:$1,0)+1),MATCH(Q$1,[3]enemies!$1:$1,0)-MATCH($L$1,[3]enemies!$1:$1,0)+1,FALSE)</f>
        <v>15</v>
      </c>
      <c r="R67" s="5">
        <v>50</v>
      </c>
      <c r="S67" s="25">
        <v>1.1000000000000001</v>
      </c>
      <c r="T67" s="25">
        <v>0.6</v>
      </c>
      <c r="U67" s="5">
        <v>0</v>
      </c>
      <c r="V67" s="4" t="str">
        <f ca="1">VLOOKUP($W67,OFFSET([5]enemy_skill_sets!$B$1,0,0,COUNTA([5]enemy_skill_sets!$B:$B),MATCH(M$1,[5]enemy_skill_sets!$1:$1,0)-MATCH($W$1,[5]enemy_skill_sets!$1:$1,0)+2),MATCH(M$1,[5]enemy_skill_sets!$1:$1,0)-MATCH($W$1,[5]enemy_skill_sets!$1:$1,0)+2,FALSE)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7" s="4">
        <f ca="1">VLOOKUP($L67,OFFSET([3]enemies!$A$1,0,0,COUNTA([3]enemies!$A:$A),MATCH(W$1,[3]enemies!$1:$1,0)-MATCH($L$1,[3]enemies!$1:$1,0)+1),MATCH(W$1,[3]enemies!$1:$1,0)-MATCH($L$1,[3]enemies!$1:$1,0)+1,FALSE)</f>
        <v>0</v>
      </c>
      <c r="X67" s="6">
        <v>0</v>
      </c>
      <c r="Y67" s="6">
        <v>100</v>
      </c>
      <c r="Z67" s="6">
        <v>0</v>
      </c>
      <c r="AA67" s="17">
        <v>3</v>
      </c>
      <c r="AB67" s="24">
        <f t="shared" si="33"/>
        <v>15</v>
      </c>
      <c r="AC67" s="4" t="str">
        <f ca="1">VLOOKUP($AB67,OFFSET([4]characters!$A$1,0,0,COUNTA([4]characters!$A:$A),MATCH(AC$1,[4]characters!$1:$1,0)-MATCH("character_id",[4]characters!$1:$1,0)+1),MATCH(AC$1,[4]characters!$1:$1,0)-MATCH("character_id",[4]characters!$1:$1,0)+1,FALSE)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67" s="4">
        <f ca="1">VLOOKUP($AB67,OFFSET([4]characters!$A$1,0,0,COUNTA([4]characters!$A:$A),MATCH(AD$1,[4]characters!$1:$1,0)-MATCH("character_id",[4]characters!$1:$1,0)+1),MATCH(AD$1,[4]characters!$1:$1,0)-MATCH("character_id",[4]characters!$1:$1,0)+1,FALSE)</f>
        <v>1</v>
      </c>
      <c r="AE67" s="4" t="str">
        <f ca="1">VLOOKUP($AB67,OFFSET([4]characters!$A$1,0,0,COUNTA([4]characters!$A:$A),MATCH(AE$1,[4]characters!$1:$1,0)-MATCH("character_id",[4]characters!$1:$1,0)+1),MATCH(AE$1,[4]characters!$1:$1,0)-MATCH("character_id",[4]characters!$1:$1,0)+1,FALSE)</f>
        <v>Drop1W</v>
      </c>
      <c r="AF67" s="7">
        <v>1</v>
      </c>
      <c r="AG67" s="24">
        <f t="shared" ca="1" si="34"/>
        <v>1</v>
      </c>
      <c r="AH67" s="8">
        <v>20</v>
      </c>
      <c r="AI67" s="7">
        <v>0</v>
      </c>
      <c r="AJ67" s="7">
        <v>0</v>
      </c>
      <c r="AK67" s="7">
        <v>0</v>
      </c>
      <c r="AL67" s="7">
        <v>0</v>
      </c>
      <c r="AM67" s="7">
        <v>1</v>
      </c>
      <c r="AN67" s="69">
        <v>1</v>
      </c>
    </row>
    <row r="68" spans="1:40" ht="21" customHeight="1" x14ac:dyDescent="0.15">
      <c r="A68" s="16" t="str">
        <f t="shared" si="30"/>
        <v>39005_4-1/27&lt;lv50&gt;s1</v>
      </c>
      <c r="B68" s="22">
        <v>39005</v>
      </c>
      <c r="C68" s="21">
        <v>4</v>
      </c>
      <c r="D68" s="2" t="str">
        <f t="shared" si="31"/>
        <v>39005_4</v>
      </c>
      <c r="E68" s="4" t="str">
        <f ca="1">VLOOKUP($B68,OFFSET([2]quests!$A$1,0,0,COUNTA([2]quests!$A:$A),MATCH(E$1,[2]quests!$1:$1,0)-MATCH($B$1,[2]quests!$1:$1,0)+1),MATCH(E$1,[2]quests!$1:$1,0)-MATCH($B$1,[2]quests!$1:$1,0)+1,FALSE)</f>
        <v xml:space="preserve">ミクエキスポ </v>
      </c>
      <c r="F68" s="4" t="str">
        <f ca="1">VLOOKUP($D68,OFFSET([2]stages!$A$1,0,0,COUNTA([2]stages!$A:$A),MATCH(F$1,[2]stages!$2:$2,0)-MATCH($D$1,[2]stages!$2:$2,0)+1),MATCH(F$1,[2]stages!$2:$2,0)-MATCH($D$1,[2]stages!$2:$2,0)+1,FALSE)</f>
        <v>【超級】ミクエキスポ</v>
      </c>
      <c r="G68" s="94">
        <v>1</v>
      </c>
      <c r="H68" s="15" t="str">
        <f t="shared" si="32"/>
        <v>39005_4-1</v>
      </c>
      <c r="I68" s="4">
        <f ca="1">VLOOKUP($H68,OFFSET(floors!$A$1,0,0,COUNTA(floors!$A:$A),MATCH(I$1,floors!$1:$1,0)-MATCH($H$1,floors!$1:$1,0)+1),MATCH(I$1,floors!$1:$1,0)-MATCH($H$1,floors!$1:$1,0)+1,FALSE)</f>
        <v>60</v>
      </c>
      <c r="J68" s="4">
        <f ca="1">VLOOKUP($H68,OFFSET(floors!$A$1,0,0,COUNTA(floors!$A:$A),MATCH(J$1,floors!$1:$1,0)-MATCH($H$1,floors!$1:$1,0)+1),MATCH(J$1,floors!$1:$1,0)-MATCH($H$1,floors!$1:$1,0)+1,FALSE)</f>
        <v>60</v>
      </c>
      <c r="K68" s="38" t="s">
        <v>53</v>
      </c>
      <c r="L68" s="20">
        <v>27</v>
      </c>
      <c r="M68" s="17" t="str">
        <f ca="1">VLOOKUP($L68,OFFSET([3]enemies!$A$1,0,0,COUNTA([3]enemies!$A:$A),MATCH(M$1,[3]enemies!$1:$1,0)-MATCH($L$1,[3]enemies!$1:$1,0)+1),MATCH(M$1,[3]enemies!$1:$1,0)-MATCH($L$1,[3]enemies!$1:$1,0)+1,FALSE)</f>
        <v>パトライン</v>
      </c>
      <c r="N68" s="17" t="str">
        <f ca="1">VLOOKUP($L68,OFFSET([3]enemies!$A$1,0,0,COUNTA([3]enemies!$A:$A),MATCH(N$1,[3]enemies!$1:$1,0)-MATCH($L$1,[3]enemies!$1:$1,0)+1),MATCH(N$1,[3]enemies!$1:$1,0)-MATCH($L$1,[3]enemies!$1:$1,0)+1,FALSE)</f>
        <v>green</v>
      </c>
      <c r="O68" s="17" t="str">
        <f ca="1">VLOOKUP($L68,OFFSET([4]characters!$A$1,0,0,COUNTA([4]characters!$A:$A),MATCH(O$1,[4]characters!$1:$1,0)-MATCH($L$1,[4]characters!$1:$1,0)+1),MATCH(O$1,[4]characters!$1:$1,0)-MATCH($L$1,[4]characters!$1:$1,0)+1,FALSE)</f>
        <v>Drop1N</v>
      </c>
      <c r="P68" s="17" t="str">
        <f ca="1">VLOOKUP($L68,OFFSET([3]enemies!$A$1,0,0,COUNTA([3]enemies!$A:$A),MATCH(P$1,[3]enemies!$1:$1,0)-MATCH($L$1,[3]enemies!$1:$1,0)+1),MATCH(P$1,[3]enemies!$1:$1,0)-MATCH($L$1,[3]enemies!$1:$1,0)+1,FALSE)</f>
        <v>machine</v>
      </c>
      <c r="Q68" s="17">
        <f ca="1">VLOOKUP($L68,OFFSET([3]enemies!$A$1,0,0,COUNTA([3]enemies!$A:$A),MATCH(Q$1,[3]enemies!$1:$1,0)-MATCH($L$1,[3]enemies!$1:$1,0)+1),MATCH(Q$1,[3]enemies!$1:$1,0)-MATCH($L$1,[3]enemies!$1:$1,0)+1,FALSE)</f>
        <v>15</v>
      </c>
      <c r="R68" s="5">
        <v>50</v>
      </c>
      <c r="S68" s="25">
        <v>1.2</v>
      </c>
      <c r="T68" s="25">
        <v>0.6</v>
      </c>
      <c r="U68" s="5">
        <v>0</v>
      </c>
      <c r="V68" s="4" t="e">
        <f ca="1">VLOOKUP($W68,OFFSET(enemy_skill_sets!$B$1,0,0,COUNTA(enemy_skill_sets!$B:$B),MATCH(M$1,enemy_skill_sets!$1:$1,0)-MATCH($W$1,enemy_skill_sets!$1:$1,0)+2),MATCH(M$1,enemy_skill_sets!$1:$1,0)-MATCH($W$1,enemy_skill_sets!$1:$1,0)+2,FALSE)</f>
        <v>#N/A</v>
      </c>
      <c r="W68" s="4">
        <f ca="1">VLOOKUP($L68,OFFSET([3]enemies!$A$1,0,0,COUNTA([3]enemies!$A:$A),MATCH(W$1,[3]enemies!$1:$1,0)-MATCH($L$1,[3]enemies!$1:$1,0)+1),MATCH(W$1,[3]enemies!$1:$1,0)-MATCH($L$1,[3]enemies!$1:$1,0)+1,FALSE)</f>
        <v>0</v>
      </c>
      <c r="X68" s="6">
        <v>0</v>
      </c>
      <c r="Y68" s="6">
        <v>100</v>
      </c>
      <c r="Z68" s="6">
        <v>0</v>
      </c>
      <c r="AA68" s="17">
        <v>1</v>
      </c>
      <c r="AB68" s="24">
        <f t="shared" si="33"/>
        <v>27</v>
      </c>
      <c r="AC68" s="4" t="str">
        <f ca="1">VLOOKUP($AB68,OFFSET([4]characters!$A$1,0,0,COUNTA([4]characters!$A:$A),MATCH(AC$1,[4]characters!$1:$1,0)-MATCH("character_id",[4]characters!$1:$1,0)+1),MATCH(AC$1,[4]characters!$1:$1,0)-MATCH("character_id",[4]characters!$1:$1,0)+1,FALSE)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68" s="4">
        <f ca="1">VLOOKUP($AB68,OFFSET([4]characters!$A$1,0,0,COUNTA([4]characters!$A:$A),MATCH(AD$1,[4]characters!$1:$1,0)-MATCH("character_id",[4]characters!$1:$1,0)+1),MATCH(AD$1,[4]characters!$1:$1,0)-MATCH("character_id",[4]characters!$1:$1,0)+1,FALSE)</f>
        <v>1</v>
      </c>
      <c r="AE68" s="4" t="str">
        <f ca="1">VLOOKUP($AB68,OFFSET([4]characters!$A$1,0,0,COUNTA([4]characters!$A:$A),MATCH(AE$1,[4]characters!$1:$1,0)-MATCH("character_id",[4]characters!$1:$1,0)+1),MATCH(AE$1,[4]characters!$1:$1,0)-MATCH("character_id",[4]characters!$1:$1,0)+1,FALSE)</f>
        <v>Drop1N</v>
      </c>
      <c r="AF68" s="7">
        <v>1</v>
      </c>
      <c r="AG68" s="24">
        <f t="shared" ca="1" si="34"/>
        <v>1</v>
      </c>
      <c r="AH68" s="8">
        <v>20</v>
      </c>
      <c r="AI68" s="7">
        <v>0</v>
      </c>
      <c r="AJ68" s="7">
        <v>0</v>
      </c>
      <c r="AK68" s="7">
        <v>0</v>
      </c>
      <c r="AL68" s="7">
        <v>0</v>
      </c>
      <c r="AM68" s="7">
        <v>1</v>
      </c>
      <c r="AN68" s="69">
        <v>1</v>
      </c>
    </row>
    <row r="69" spans="1:40" ht="21" customHeight="1" x14ac:dyDescent="0.15">
      <c r="A69" s="16" t="str">
        <f t="shared" si="30"/>
        <v>39005_4-1/17&lt;lv50&gt;s2</v>
      </c>
      <c r="B69" s="22">
        <v>39005</v>
      </c>
      <c r="C69" s="21">
        <v>4</v>
      </c>
      <c r="D69" s="2" t="str">
        <f t="shared" si="31"/>
        <v>39005_4</v>
      </c>
      <c r="E69" s="4" t="str">
        <f ca="1">VLOOKUP($B69,OFFSET([2]quests!$A$1,0,0,COUNTA([2]quests!$A:$A),MATCH(E$1,[2]quests!$1:$1,0)-MATCH($B$1,[2]quests!$1:$1,0)+1),MATCH(E$1,[2]quests!$1:$1,0)-MATCH($B$1,[2]quests!$1:$1,0)+1,FALSE)</f>
        <v xml:space="preserve">ミクエキスポ </v>
      </c>
      <c r="F69" s="4" t="str">
        <f ca="1">VLOOKUP($D69,OFFSET([2]stages!$A$1,0,0,COUNTA([2]stages!$A:$A),MATCH(F$1,[2]stages!$2:$2,0)-MATCH($D$1,[2]stages!$2:$2,0)+1),MATCH(F$1,[2]stages!$2:$2,0)-MATCH($D$1,[2]stages!$2:$2,0)+1,FALSE)</f>
        <v>【超級】ミクエキスポ</v>
      </c>
      <c r="G69" s="94">
        <v>1</v>
      </c>
      <c r="H69" s="15" t="str">
        <f t="shared" si="32"/>
        <v>39005_4-1</v>
      </c>
      <c r="I69" s="4">
        <f ca="1">VLOOKUP($H69,OFFSET(floors!$A$1,0,0,COUNTA(floors!$A:$A),MATCH(I$1,floors!$1:$1,0)-MATCH($H$1,floors!$1:$1,0)+1),MATCH(I$1,floors!$1:$1,0)-MATCH($H$1,floors!$1:$1,0)+1,FALSE)</f>
        <v>60</v>
      </c>
      <c r="J69" s="4">
        <f ca="1">VLOOKUP($H69,OFFSET(floors!$A$1,0,0,COUNTA(floors!$A:$A),MATCH(J$1,floors!$1:$1,0)-MATCH($H$1,floors!$1:$1,0)+1),MATCH(J$1,floors!$1:$1,0)-MATCH($H$1,floors!$1:$1,0)+1,FALSE)</f>
        <v>60</v>
      </c>
      <c r="K69" s="38" t="s">
        <v>53</v>
      </c>
      <c r="L69" s="20">
        <v>17</v>
      </c>
      <c r="M69" s="17" t="str">
        <f ca="1">VLOOKUP($L69,OFFSET([3]enemies!$A$1,0,0,COUNTA([3]enemies!$A:$A),MATCH(M$1,[3]enemies!$1:$1,0)-MATCH($L$1,[3]enemies!$1:$1,0)+1),MATCH(M$1,[3]enemies!$1:$1,0)-MATCH($L$1,[3]enemies!$1:$1,0)+1,FALSE)</f>
        <v>リム</v>
      </c>
      <c r="N69" s="17" t="str">
        <f ca="1">VLOOKUP($L69,OFFSET([3]enemies!$A$1,0,0,COUNTA([3]enemies!$A:$A),MATCH(N$1,[3]enemies!$1:$1,0)-MATCH($L$1,[3]enemies!$1:$1,0)+1),MATCH(N$1,[3]enemies!$1:$1,0)-MATCH($L$1,[3]enemies!$1:$1,0)+1,FALSE)</f>
        <v>blue</v>
      </c>
      <c r="O69" s="17" t="str">
        <f ca="1">VLOOKUP($L69,OFFSET([4]characters!$A$1,0,0,COUNTA([4]characters!$A:$A),MATCH(O$1,[4]characters!$1:$1,0)-MATCH($L$1,[4]characters!$1:$1,0)+1),MATCH(O$1,[4]characters!$1:$1,0)-MATCH($L$1,[4]characters!$1:$1,0)+1,FALSE)</f>
        <v>Drop1W</v>
      </c>
      <c r="P69" s="17" t="str">
        <f ca="1">VLOOKUP($L69,OFFSET([3]enemies!$A$1,0,0,COUNTA([3]enemies!$A:$A),MATCH(P$1,[3]enemies!$1:$1,0)-MATCH($L$1,[3]enemies!$1:$1,0)+1),MATCH(P$1,[3]enemies!$1:$1,0)-MATCH($L$1,[3]enemies!$1:$1,0)+1,FALSE)</f>
        <v>human</v>
      </c>
      <c r="Q69" s="17">
        <f ca="1">VLOOKUP($L69,OFFSET([3]enemies!$A$1,0,0,COUNTA([3]enemies!$A:$A),MATCH(Q$1,[3]enemies!$1:$1,0)-MATCH($L$1,[3]enemies!$1:$1,0)+1),MATCH(Q$1,[3]enemies!$1:$1,0)-MATCH($L$1,[3]enemies!$1:$1,0)+1,FALSE)</f>
        <v>15</v>
      </c>
      <c r="R69" s="5">
        <v>50</v>
      </c>
      <c r="S69" s="25">
        <v>1</v>
      </c>
      <c r="T69" s="25">
        <v>0.6</v>
      </c>
      <c r="U69" s="5">
        <v>0</v>
      </c>
      <c r="V69" s="4" t="str">
        <f ca="1">VLOOKUP($W69,OFFSET([5]enemy_skill_sets!$B$1,0,0,COUNTA([5]enemy_skill_sets!$B:$B),MATCH(M$1,[5]enemy_skill_sets!$1:$1,0)-MATCH($W$1,[5]enemy_skill_sets!$1:$1,0)+2),MATCH(M$1,[5]enemy_skill_sets!$1:$1,0)-MATCH($W$1,[5]enemy_skill_sets!$1:$1,0)+2,FALSE)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9" s="4">
        <f ca="1">VLOOKUP($L69,OFFSET([3]enemies!$A$1,0,0,COUNTA([3]enemies!$A:$A),MATCH(W$1,[3]enemies!$1:$1,0)-MATCH($L$1,[3]enemies!$1:$1,0)+1),MATCH(W$1,[3]enemies!$1:$1,0)-MATCH($L$1,[3]enemies!$1:$1,0)+1,FALSE)</f>
        <v>0</v>
      </c>
      <c r="X69" s="6">
        <v>0</v>
      </c>
      <c r="Y69" s="6">
        <v>100</v>
      </c>
      <c r="Z69" s="6">
        <v>0</v>
      </c>
      <c r="AA69" s="17">
        <v>2</v>
      </c>
      <c r="AB69" s="24">
        <f t="shared" si="33"/>
        <v>17</v>
      </c>
      <c r="AC69" s="4" t="str">
        <f ca="1">VLOOKUP($AB69,OFFSET([4]characters!$A$1,0,0,COUNTA([4]characters!$A:$A),MATCH(AC$1,[4]characters!$1:$1,0)-MATCH("character_id",[4]characters!$1:$1,0)+1),MATCH(AC$1,[4]characters!$1:$1,0)-MATCH("character_id",[4]characters!$1:$1,0)+1,FALSE)</f>
        <v>リム</v>
      </c>
      <c r="AD69" s="4">
        <f ca="1">VLOOKUP($AB69,OFFSET([4]characters!$A$1,0,0,COUNTA([4]characters!$A:$A),MATCH(AD$1,[4]characters!$1:$1,0)-MATCH("character_id",[4]characters!$1:$1,0)+1),MATCH(AD$1,[4]characters!$1:$1,0)-MATCH("character_id",[4]characters!$1:$1,0)+1,FALSE)</f>
        <v>1</v>
      </c>
      <c r="AE69" s="4" t="str">
        <f ca="1">VLOOKUP($AB69,OFFSET([4]characters!$A$1,0,0,COUNTA([4]characters!$A:$A),MATCH(AE$1,[4]characters!$1:$1,0)-MATCH("character_id",[4]characters!$1:$1,0)+1),MATCH(AE$1,[4]characters!$1:$1,0)-MATCH("character_id",[4]characters!$1:$1,0)+1,FALSE)</f>
        <v>Drop1W</v>
      </c>
      <c r="AF69" s="7">
        <v>1</v>
      </c>
      <c r="AG69" s="24">
        <f t="shared" ca="1" si="34"/>
        <v>1</v>
      </c>
      <c r="AH69" s="8">
        <v>20</v>
      </c>
      <c r="AI69" s="7">
        <v>0</v>
      </c>
      <c r="AJ69" s="7">
        <v>0</v>
      </c>
      <c r="AK69" s="7">
        <v>0</v>
      </c>
      <c r="AL69" s="7">
        <v>0</v>
      </c>
      <c r="AM69" s="7">
        <v>1</v>
      </c>
      <c r="AN69" s="69">
        <v>1</v>
      </c>
    </row>
    <row r="70" spans="1:40" ht="21" customHeight="1" x14ac:dyDescent="0.15">
      <c r="A70" s="16" t="str">
        <f t="shared" si="30"/>
        <v>39005_4-1/13&lt;lv50&gt;s2</v>
      </c>
      <c r="B70" s="22">
        <v>39005</v>
      </c>
      <c r="C70" s="21">
        <v>4</v>
      </c>
      <c r="D70" s="2" t="str">
        <f t="shared" si="31"/>
        <v>39005_4</v>
      </c>
      <c r="E70" s="4" t="str">
        <f ca="1">VLOOKUP($B70,OFFSET([2]quests!$A$1,0,0,COUNTA([2]quests!$A:$A),MATCH(E$1,[2]quests!$1:$1,0)-MATCH($B$1,[2]quests!$1:$1,0)+1),MATCH(E$1,[2]quests!$1:$1,0)-MATCH($B$1,[2]quests!$1:$1,0)+1,FALSE)</f>
        <v xml:space="preserve">ミクエキスポ </v>
      </c>
      <c r="F70" s="4" t="str">
        <f ca="1">VLOOKUP($D70,OFFSET([2]stages!$A$1,0,0,COUNTA([2]stages!$A:$A),MATCH(F$1,[2]stages!$2:$2,0)-MATCH($D$1,[2]stages!$2:$2,0)+1),MATCH(F$1,[2]stages!$2:$2,0)-MATCH($D$1,[2]stages!$2:$2,0)+1,FALSE)</f>
        <v>【超級】ミクエキスポ</v>
      </c>
      <c r="G70" s="94">
        <v>1</v>
      </c>
      <c r="H70" s="15" t="str">
        <f t="shared" si="32"/>
        <v>39005_4-1</v>
      </c>
      <c r="I70" s="4">
        <f ca="1">VLOOKUP($H70,OFFSET(floors!$A$1,0,0,COUNTA(floors!$A:$A),MATCH(I$1,floors!$1:$1,0)-MATCH($H$1,floors!$1:$1,0)+1),MATCH(I$1,floors!$1:$1,0)-MATCH($H$1,floors!$1:$1,0)+1,FALSE)</f>
        <v>60</v>
      </c>
      <c r="J70" s="4">
        <f ca="1">VLOOKUP($H70,OFFSET(floors!$A$1,0,0,COUNTA(floors!$A:$A),MATCH(J$1,floors!$1:$1,0)-MATCH($H$1,floors!$1:$1,0)+1),MATCH(J$1,floors!$1:$1,0)-MATCH($H$1,floors!$1:$1,0)+1,FALSE)</f>
        <v>60</v>
      </c>
      <c r="K70" s="38" t="s">
        <v>53</v>
      </c>
      <c r="L70" s="20">
        <v>13</v>
      </c>
      <c r="M70" s="17" t="str">
        <f ca="1">VLOOKUP($L70,OFFSET([3]enemies!$A$1,0,0,COUNTA([3]enemies!$A:$A),MATCH(M$1,[3]enemies!$1:$1,0)-MATCH($L$1,[3]enemies!$1:$1,0)+1),MATCH(M$1,[3]enemies!$1:$1,0)-MATCH($L$1,[3]enemies!$1:$1,0)+1,FALSE)</f>
        <v>ミミ</v>
      </c>
      <c r="N70" s="17" t="str">
        <f ca="1">VLOOKUP($L70,OFFSET([3]enemies!$A$1,0,0,COUNTA([3]enemies!$A:$A),MATCH(N$1,[3]enemies!$1:$1,0)-MATCH($L$1,[3]enemies!$1:$1,0)+1),MATCH(N$1,[3]enemies!$1:$1,0)-MATCH($L$1,[3]enemies!$1:$1,0)+1,FALSE)</f>
        <v>yellow</v>
      </c>
      <c r="O70" s="17" t="str">
        <f ca="1">VLOOKUP($L70,OFFSET([4]characters!$A$1,0,0,COUNTA([4]characters!$A:$A),MATCH(O$1,[4]characters!$1:$1,0)-MATCH($L$1,[4]characters!$1:$1,0)+1),MATCH(O$1,[4]characters!$1:$1,0)-MATCH($L$1,[4]characters!$1:$1,0)+1,FALSE)</f>
        <v>Drop1W</v>
      </c>
      <c r="P70" s="17" t="str">
        <f ca="1">VLOOKUP($L70,OFFSET([3]enemies!$A$1,0,0,COUNTA([3]enemies!$A:$A),MATCH(P$1,[3]enemies!$1:$1,0)-MATCH($L$1,[3]enemies!$1:$1,0)+1),MATCH(P$1,[3]enemies!$1:$1,0)-MATCH($L$1,[3]enemies!$1:$1,0)+1,FALSE)</f>
        <v>animal</v>
      </c>
      <c r="Q70" s="17">
        <f ca="1">VLOOKUP($L70,OFFSET([3]enemies!$A$1,0,0,COUNTA([3]enemies!$A:$A),MATCH(Q$1,[3]enemies!$1:$1,0)-MATCH($L$1,[3]enemies!$1:$1,0)+1),MATCH(Q$1,[3]enemies!$1:$1,0)-MATCH($L$1,[3]enemies!$1:$1,0)+1,FALSE)</f>
        <v>15</v>
      </c>
      <c r="R70" s="5">
        <v>50</v>
      </c>
      <c r="S70" s="25">
        <v>1.1000000000000001</v>
      </c>
      <c r="T70" s="25">
        <v>0.4</v>
      </c>
      <c r="U70" s="5">
        <v>0</v>
      </c>
      <c r="V70" s="4" t="e">
        <f ca="1">VLOOKUP($W70,OFFSET(enemy_skill_sets!$B$1,0,0,COUNTA(enemy_skill_sets!$B:$B),MATCH(M$1,enemy_skill_sets!$1:$1,0)-MATCH($W$1,enemy_skill_sets!$1:$1,0)+2),MATCH(M$1,enemy_skill_sets!$1:$1,0)-MATCH($W$1,enemy_skill_sets!$1:$1,0)+2,FALSE)</f>
        <v>#N/A</v>
      </c>
      <c r="W70" s="4">
        <f ca="1">VLOOKUP($L70,OFFSET([3]enemies!$A$1,0,0,COUNTA([3]enemies!$A:$A),MATCH(W$1,[3]enemies!$1:$1,0)-MATCH($L$1,[3]enemies!$1:$1,0)+1),MATCH(W$1,[3]enemies!$1:$1,0)-MATCH($L$1,[3]enemies!$1:$1,0)+1,FALSE)</f>
        <v>0</v>
      </c>
      <c r="X70" s="6">
        <v>0</v>
      </c>
      <c r="Y70" s="6">
        <v>100</v>
      </c>
      <c r="Z70" s="6">
        <v>0</v>
      </c>
      <c r="AA70" s="17">
        <v>2</v>
      </c>
      <c r="AB70" s="24">
        <f t="shared" si="33"/>
        <v>13</v>
      </c>
      <c r="AC70" s="4" t="str">
        <f ca="1">VLOOKUP($AB70,OFFSET([4]characters!$A$1,0,0,COUNTA([4]characters!$A:$A),MATCH(AC$1,[4]characters!$1:$1,0)-MATCH("character_id",[4]characters!$1:$1,0)+1),MATCH(AC$1,[4]characters!$1:$1,0)-MATCH("character_id",[4]characters!$1:$1,0)+1,FALSE)</f>
        <v>ミミ</v>
      </c>
      <c r="AD70" s="4">
        <f ca="1">VLOOKUP($AB70,OFFSET([4]characters!$A$1,0,0,COUNTA([4]characters!$A:$A),MATCH(AD$1,[4]characters!$1:$1,0)-MATCH("character_id",[4]characters!$1:$1,0)+1),MATCH(AD$1,[4]characters!$1:$1,0)-MATCH("character_id",[4]characters!$1:$1,0)+1,FALSE)</f>
        <v>1</v>
      </c>
      <c r="AE70" s="4" t="str">
        <f ca="1">VLOOKUP($AB70,OFFSET([4]characters!$A$1,0,0,COUNTA([4]characters!$A:$A),MATCH(AE$1,[4]characters!$1:$1,0)-MATCH("character_id",[4]characters!$1:$1,0)+1),MATCH(AE$1,[4]characters!$1:$1,0)-MATCH("character_id",[4]characters!$1:$1,0)+1,FALSE)</f>
        <v>Drop1W</v>
      </c>
      <c r="AF70" s="7">
        <v>1</v>
      </c>
      <c r="AG70" s="24">
        <f t="shared" ca="1" si="34"/>
        <v>1</v>
      </c>
      <c r="AH70" s="8">
        <v>20</v>
      </c>
      <c r="AI70" s="7">
        <v>0</v>
      </c>
      <c r="AJ70" s="7">
        <v>0</v>
      </c>
      <c r="AK70" s="7">
        <v>0</v>
      </c>
      <c r="AL70" s="7">
        <v>0</v>
      </c>
      <c r="AM70" s="7">
        <v>1</v>
      </c>
      <c r="AN70" s="69">
        <v>1</v>
      </c>
    </row>
    <row r="71" spans="1:40" ht="21" customHeight="1" x14ac:dyDescent="0.15">
      <c r="A71" s="16" t="str">
        <f t="shared" si="5"/>
        <v>39005_4-2/8029&lt;lv55&gt;s2</v>
      </c>
      <c r="B71" s="22">
        <v>39005</v>
      </c>
      <c r="C71" s="21">
        <v>4</v>
      </c>
      <c r="D71" s="2" t="str">
        <f t="shared" si="6"/>
        <v>39005_4</v>
      </c>
      <c r="E71" s="4" t="str">
        <f ca="1">VLOOKUP($B71,OFFSET([2]quests!$A$1,0,0,COUNTA([2]quests!$A:$A),MATCH(E$1,[2]quests!$1:$1,0)-MATCH($B$1,[2]quests!$1:$1,0)+1),MATCH(E$1,[2]quests!$1:$1,0)-MATCH($B$1,[2]quests!$1:$1,0)+1,FALSE)</f>
        <v xml:space="preserve">ミクエキスポ </v>
      </c>
      <c r="F71" s="4" t="str">
        <f ca="1">VLOOKUP($D71,OFFSET([2]stages!$A$1,0,0,COUNTA([2]stages!$A:$A),MATCH(F$1,[2]stages!$2:$2,0)-MATCH($D$1,[2]stages!$2:$2,0)+1),MATCH(F$1,[2]stages!$2:$2,0)-MATCH($D$1,[2]stages!$2:$2,0)+1,FALSE)</f>
        <v>【超級】ミクエキスポ</v>
      </c>
      <c r="G71" s="95">
        <v>2</v>
      </c>
      <c r="H71" s="15" t="str">
        <f t="shared" si="7"/>
        <v>39005_4-2</v>
      </c>
      <c r="I71" s="4">
        <f ca="1">VLOOKUP($H71,OFFSET(floors!$A$1,0,0,COUNTA(floors!$A:$A),MATCH(I$1,floors!$1:$1,0)-MATCH($H$1,floors!$1:$1,0)+1),MATCH(I$1,floors!$1:$1,0)-MATCH($H$1,floors!$1:$1,0)+1,FALSE)</f>
        <v>60</v>
      </c>
      <c r="J71" s="4">
        <f ca="1">VLOOKUP($H71,OFFSET(floors!$A$1,0,0,COUNTA(floors!$A:$A),MATCH(J$1,floors!$1:$1,0)-MATCH($H$1,floors!$1:$1,0)+1),MATCH(J$1,floors!$1:$1,0)-MATCH($H$1,floors!$1:$1,0)+1,FALSE)</f>
        <v>60</v>
      </c>
      <c r="K71" s="38" t="s">
        <v>53</v>
      </c>
      <c r="L71" s="20">
        <v>8029</v>
      </c>
      <c r="M71" s="17" t="str">
        <f ca="1">VLOOKUP($L71,OFFSET([3]enemies!$A$1,0,0,COUNTA([3]enemies!$A:$A),MATCH(M$1,[3]enemies!$1:$1,0)-MATCH($L$1,[3]enemies!$1:$1,0)+1),MATCH(M$1,[3]enemies!$1:$1,0)-MATCH($L$1,[3]enemies!$1:$1,0)+1,FALSE)</f>
        <v>CO04_ EV01_R4</v>
      </c>
      <c r="N71" s="17" t="str">
        <f ca="1">VLOOKUP($L71,OFFSET([3]enemies!$A$1,0,0,COUNTA([3]enemies!$A:$A),MATCH(N$1,[3]enemies!$1:$1,0)-MATCH($L$1,[3]enemies!$1:$1,0)+1),MATCH(N$1,[3]enemies!$1:$1,0)-MATCH($L$1,[3]enemies!$1:$1,0)+1,FALSE)</f>
        <v>blue</v>
      </c>
      <c r="O71" s="17" t="str">
        <f ca="1">VLOOKUP($L71,OFFSET([4]characters!$A$1,0,0,COUNTA([4]characters!$A:$A),MATCH(O$1,[4]characters!$1:$1,0)-MATCH($L$1,[4]characters!$1:$1,0)+1),MATCH(O$1,[4]characters!$1:$1,0)-MATCH($L$1,[4]characters!$1:$1,0)+1,FALSE)</f>
        <v>Drop2N</v>
      </c>
      <c r="P71" s="17" t="str">
        <f ca="1">VLOOKUP($L71,OFFSET([3]enemies!$A$1,0,0,COUNTA([3]enemies!$A:$A),MATCH(P$1,[3]enemies!$1:$1,0)-MATCH($L$1,[3]enemies!$1:$1,0)+1),MATCH(P$1,[3]enemies!$1:$1,0)-MATCH($L$1,[3]enemies!$1:$1,0)+1,FALSE)</f>
        <v>unknown</v>
      </c>
      <c r="Q71" s="17">
        <f ca="1">VLOOKUP($L71,OFFSET([3]enemies!$A$1,0,0,COUNTA([3]enemies!$A:$A),MATCH(Q$1,[3]enemies!$1:$1,0)-MATCH($L$1,[3]enemies!$1:$1,0)+1),MATCH(Q$1,[3]enemies!$1:$1,0)-MATCH($L$1,[3]enemies!$1:$1,0)+1,FALSE)</f>
        <v>20</v>
      </c>
      <c r="R71" s="5">
        <v>55</v>
      </c>
      <c r="S71" s="25">
        <v>2.6</v>
      </c>
      <c r="T71" s="25">
        <v>1</v>
      </c>
      <c r="U71" s="5">
        <v>0</v>
      </c>
      <c r="V71" s="4" t="str">
        <f ca="1">VLOOKUP($W71,OFFSET(enemy_skill_sets!$B$1,0,0,COUNTA(enemy_skill_sets!$B:$B),MATCH(M$1,enemy_skill_sets!$1:$1,0)-MATCH($W$1,enemy_skill_sets!$1:$1,0)+2),MATCH(M$1,enemy_skill_sets!$1:$1,0)-MATCH($W$1,enemy_skill_sets!$1:$1,0)+2,FALSE)</f>
        <v>3ターン防御力UP</v>
      </c>
      <c r="W71" s="98">
        <v>39005001</v>
      </c>
      <c r="X71" s="6">
        <v>1</v>
      </c>
      <c r="Y71" s="6">
        <v>100</v>
      </c>
      <c r="Z71" s="6">
        <v>1</v>
      </c>
      <c r="AA71" s="17">
        <v>2</v>
      </c>
      <c r="AB71" s="24">
        <f t="shared" si="8"/>
        <v>8029</v>
      </c>
      <c r="AC71" s="4" t="str">
        <f ca="1">VLOOKUP($AB71,OFFSET([4]characters!$A$1,0,0,COUNTA([4]characters!$A:$A),MATCH(AC$1,[4]characters!$1:$1,0)-MATCH("character_id",[4]characters!$1:$1,0)+1),MATCH(AC$1,[4]characters!$1:$1,0)-MATCH("character_id",[4]characters!$1:$1,0)+1,FALSE)</f>
        <v>CO04_ EV01_R4</v>
      </c>
      <c r="AD71" s="4">
        <f ca="1">VLOOKUP($AB71,OFFSET([4]characters!$A$1,0,0,COUNTA([4]characters!$A:$A),MATCH(AD$1,[4]characters!$1:$1,0)-MATCH("character_id",[4]characters!$1:$1,0)+1),MATCH(AD$1,[4]characters!$1:$1,0)-MATCH("character_id",[4]characters!$1:$1,0)+1,FALSE)</f>
        <v>4</v>
      </c>
      <c r="AE71" s="4" t="str">
        <f ca="1">VLOOKUP($AB71,OFFSET([4]characters!$A$1,0,0,COUNTA([4]characters!$A:$A),MATCH(AE$1,[4]characters!$1:$1,0)-MATCH("character_id",[4]characters!$1:$1,0)+1),MATCH(AE$1,[4]characters!$1:$1,0)-MATCH("character_id",[4]characters!$1:$1,0)+1,FALSE)</f>
        <v>Drop2N</v>
      </c>
      <c r="AF71" s="7">
        <v>1</v>
      </c>
      <c r="AG71" s="24">
        <f t="shared" ca="1" si="9"/>
        <v>4</v>
      </c>
      <c r="AH71" s="8">
        <v>0</v>
      </c>
      <c r="AI71" s="7">
        <v>0</v>
      </c>
      <c r="AJ71" s="7">
        <v>0</v>
      </c>
      <c r="AK71" s="7">
        <v>0</v>
      </c>
      <c r="AL71" s="7">
        <v>0</v>
      </c>
      <c r="AM71" s="7">
        <v>1</v>
      </c>
      <c r="AN71" s="69">
        <v>1</v>
      </c>
    </row>
    <row r="72" spans="1:40" ht="21" customHeight="1" x14ac:dyDescent="0.15">
      <c r="A72" s="16" t="str">
        <f t="shared" si="5"/>
        <v>39005_4-2/1&lt;lv50&gt;s1</v>
      </c>
      <c r="B72" s="22">
        <v>39005</v>
      </c>
      <c r="C72" s="21">
        <v>4</v>
      </c>
      <c r="D72" s="2" t="str">
        <f t="shared" si="6"/>
        <v>39005_4</v>
      </c>
      <c r="E72" s="4" t="str">
        <f ca="1">VLOOKUP($B72,OFFSET([2]quests!$A$1,0,0,COUNTA([2]quests!$A:$A),MATCH(E$1,[2]quests!$1:$1,0)-MATCH($B$1,[2]quests!$1:$1,0)+1),MATCH(E$1,[2]quests!$1:$1,0)-MATCH($B$1,[2]quests!$1:$1,0)+1,FALSE)</f>
        <v xml:space="preserve">ミクエキスポ </v>
      </c>
      <c r="F72" s="4" t="str">
        <f ca="1">VLOOKUP($D72,OFFSET([2]stages!$A$1,0,0,COUNTA([2]stages!$A:$A),MATCH(F$1,[2]stages!$2:$2,0)-MATCH($D$1,[2]stages!$2:$2,0)+1),MATCH(F$1,[2]stages!$2:$2,0)-MATCH($D$1,[2]stages!$2:$2,0)+1,FALSE)</f>
        <v>【超級】ミクエキスポ</v>
      </c>
      <c r="G72" s="95">
        <v>2</v>
      </c>
      <c r="H72" s="15" t="str">
        <f t="shared" si="7"/>
        <v>39005_4-2</v>
      </c>
      <c r="I72" s="4">
        <f ca="1">VLOOKUP($H72,OFFSET(floors!$A$1,0,0,COUNTA(floors!$A:$A),MATCH(I$1,floors!$1:$1,0)-MATCH($H$1,floors!$1:$1,0)+1),MATCH(I$1,floors!$1:$1,0)-MATCH($H$1,floors!$1:$1,0)+1,FALSE)</f>
        <v>60</v>
      </c>
      <c r="J72" s="4">
        <f ca="1">VLOOKUP($H72,OFFSET(floors!$A$1,0,0,COUNTA(floors!$A:$A),MATCH(J$1,floors!$1:$1,0)-MATCH($H$1,floors!$1:$1,0)+1),MATCH(J$1,floors!$1:$1,0)-MATCH($H$1,floors!$1:$1,0)+1,FALSE)</f>
        <v>60</v>
      </c>
      <c r="K72" s="38" t="s">
        <v>53</v>
      </c>
      <c r="L72" s="20">
        <v>1</v>
      </c>
      <c r="M72" s="17" t="str">
        <f ca="1">VLOOKUP($L72,OFFSET([3]enemies!$A$1,0,0,COUNTA([3]enemies!$A:$A),MATCH(M$1,[3]enemies!$1:$1,0)-MATCH($L$1,[3]enemies!$1:$1,0)+1),MATCH(M$1,[3]enemies!$1:$1,0)-MATCH($L$1,[3]enemies!$1:$1,0)+1,FALSE)</f>
        <v>ジェリー</v>
      </c>
      <c r="N72" s="17" t="str">
        <f ca="1">VLOOKUP($L72,OFFSET([3]enemies!$A$1,0,0,COUNTA([3]enemies!$A:$A),MATCH(N$1,[3]enemies!$1:$1,0)-MATCH($L$1,[3]enemies!$1:$1,0)+1),MATCH(N$1,[3]enemies!$1:$1,0)-MATCH($L$1,[3]enemies!$1:$1,0)+1,FALSE)</f>
        <v>red</v>
      </c>
      <c r="O72" s="17" t="str">
        <f ca="1">VLOOKUP($L72,OFFSET([4]characters!$A$1,0,0,COUNTA([4]characters!$A:$A),MATCH(O$1,[4]characters!$1:$1,0)-MATCH($L$1,[4]characters!$1:$1,0)+1),MATCH(O$1,[4]characters!$1:$1,0)-MATCH($L$1,[4]characters!$1:$1,0)+1,FALSE)</f>
        <v>Drop1T</v>
      </c>
      <c r="P72" s="17" t="str">
        <f ca="1">VLOOKUP($L72,OFFSET([3]enemies!$A$1,0,0,COUNTA([3]enemies!$A:$A),MATCH(P$1,[3]enemies!$1:$1,0)-MATCH($L$1,[3]enemies!$1:$1,0)+1),MATCH(P$1,[3]enemies!$1:$1,0)-MATCH($L$1,[3]enemies!$1:$1,0)+1,FALSE)</f>
        <v>unknown</v>
      </c>
      <c r="Q72" s="17">
        <f ca="1">VLOOKUP($L72,OFFSET([3]enemies!$A$1,0,0,COUNTA([3]enemies!$A:$A),MATCH(Q$1,[3]enemies!$1:$1,0)-MATCH($L$1,[3]enemies!$1:$1,0)+1),MATCH(Q$1,[3]enemies!$1:$1,0)-MATCH($L$1,[3]enemies!$1:$1,0)+1,FALSE)</f>
        <v>15</v>
      </c>
      <c r="R72" s="117">
        <v>50</v>
      </c>
      <c r="S72" s="25">
        <v>1.5</v>
      </c>
      <c r="T72" s="25">
        <v>0.4</v>
      </c>
      <c r="U72" s="5">
        <v>0</v>
      </c>
      <c r="V72" s="4" t="str">
        <f ca="1">VLOOKUP($W72,OFFSET([5]enemy_skill_sets!$B$1,0,0,COUNTA([5]enemy_skill_sets!$B:$B),MATCH(M$1,[5]enemy_skill_sets!$1:$1,0)-MATCH($W$1,[5]enemy_skill_sets!$1:$1,0)+2),MATCH(M$1,[5]enemy_skill_sets!$1:$1,0)-MATCH($W$1,[5]enemy_skill_sets!$1:$1,0)+2,FALSE)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2" s="4">
        <f ca="1">VLOOKUP($L72,OFFSET([3]enemies!$A$1,0,0,COUNTA([3]enemies!$A:$A),MATCH(W$1,[3]enemies!$1:$1,0)-MATCH($L$1,[3]enemies!$1:$1,0)+1),MATCH(W$1,[3]enemies!$1:$1,0)-MATCH($L$1,[3]enemies!$1:$1,0)+1,FALSE)</f>
        <v>0</v>
      </c>
      <c r="X72" s="6">
        <v>0</v>
      </c>
      <c r="Y72" s="6">
        <v>100</v>
      </c>
      <c r="Z72" s="6">
        <v>2</v>
      </c>
      <c r="AA72" s="17">
        <v>1</v>
      </c>
      <c r="AB72" s="24">
        <f t="shared" si="8"/>
        <v>1</v>
      </c>
      <c r="AC72" s="4" t="str">
        <f ca="1">VLOOKUP($AB72,OFFSET([4]characters!$A$1,0,0,COUNTA([4]characters!$A:$A),MATCH(AC$1,[4]characters!$1:$1,0)-MATCH("character_id",[4]characters!$1:$1,0)+1),MATCH(AC$1,[4]characters!$1:$1,0)-MATCH("character_id",[4]characters!$1:$1,0)+1,FALSE)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72" s="4">
        <f ca="1">VLOOKUP($AB72,OFFSET([4]characters!$A$1,0,0,COUNTA([4]characters!$A:$A),MATCH(AD$1,[4]characters!$1:$1,0)-MATCH("character_id",[4]characters!$1:$1,0)+1),MATCH(AD$1,[4]characters!$1:$1,0)-MATCH("character_id",[4]characters!$1:$1,0)+1,FALSE)</f>
        <v>1</v>
      </c>
      <c r="AE72" s="4" t="str">
        <f ca="1">VLOOKUP($AB72,OFFSET([4]characters!$A$1,0,0,COUNTA([4]characters!$A:$A),MATCH(AE$1,[4]characters!$1:$1,0)-MATCH("character_id",[4]characters!$1:$1,0)+1),MATCH(AE$1,[4]characters!$1:$1,0)-MATCH("character_id",[4]characters!$1:$1,0)+1,FALSE)</f>
        <v>Drop1T</v>
      </c>
      <c r="AF72" s="7">
        <v>1</v>
      </c>
      <c r="AG72" s="24">
        <f t="shared" ca="1" si="9"/>
        <v>1</v>
      </c>
      <c r="AH72" s="8">
        <v>0</v>
      </c>
      <c r="AI72" s="7">
        <v>0</v>
      </c>
      <c r="AJ72" s="7">
        <v>0</v>
      </c>
      <c r="AK72" s="7">
        <v>0</v>
      </c>
      <c r="AL72" s="7">
        <v>0</v>
      </c>
      <c r="AM72" s="7">
        <v>1</v>
      </c>
      <c r="AN72" s="69">
        <v>1</v>
      </c>
    </row>
    <row r="73" spans="1:40" ht="21" customHeight="1" x14ac:dyDescent="0.15">
      <c r="A73" s="16" t="str">
        <f t="shared" ref="A73:A76" si="35">B73&amp;"_"&amp;C73&amp;"-"&amp;G73&amp;"/"&amp;L73&amp;"&lt;lv"&amp;R73&amp;"&gt;s"&amp;AA73</f>
        <v>39005_4-2/5&lt;lv50&gt;s3</v>
      </c>
      <c r="B73" s="22">
        <v>39005</v>
      </c>
      <c r="C73" s="21">
        <v>4</v>
      </c>
      <c r="D73" s="2" t="str">
        <f t="shared" ref="D73:D76" si="36">B73&amp;"_"&amp;C73</f>
        <v>39005_4</v>
      </c>
      <c r="E73" s="4" t="str">
        <f ca="1">VLOOKUP($B73,OFFSET([2]quests!$A$1,0,0,COUNTA([2]quests!$A:$A),MATCH(E$1,[2]quests!$1:$1,0)-MATCH($B$1,[2]quests!$1:$1,0)+1),MATCH(E$1,[2]quests!$1:$1,0)-MATCH($B$1,[2]quests!$1:$1,0)+1,FALSE)</f>
        <v xml:space="preserve">ミクエキスポ </v>
      </c>
      <c r="F73" s="4" t="str">
        <f ca="1">VLOOKUP($D73,OFFSET([2]stages!$A$1,0,0,COUNTA([2]stages!$A:$A),MATCH(F$1,[2]stages!$2:$2,0)-MATCH($D$1,[2]stages!$2:$2,0)+1),MATCH(F$1,[2]stages!$2:$2,0)-MATCH($D$1,[2]stages!$2:$2,0)+1,FALSE)</f>
        <v>【超級】ミクエキスポ</v>
      </c>
      <c r="G73" s="95">
        <v>2</v>
      </c>
      <c r="H73" s="15" t="str">
        <f t="shared" ref="H73:H76" si="37">B73&amp;"_"&amp;C73&amp;"-"&amp;G73</f>
        <v>39005_4-2</v>
      </c>
      <c r="I73" s="4">
        <f ca="1">VLOOKUP($H73,OFFSET(floors!$A$1,0,0,COUNTA(floors!$A:$A),MATCH(I$1,floors!$1:$1,0)-MATCH($H$1,floors!$1:$1,0)+1),MATCH(I$1,floors!$1:$1,0)-MATCH($H$1,floors!$1:$1,0)+1,FALSE)</f>
        <v>60</v>
      </c>
      <c r="J73" s="4">
        <f ca="1">VLOOKUP($H73,OFFSET(floors!$A$1,0,0,COUNTA(floors!$A:$A),MATCH(J$1,floors!$1:$1,0)-MATCH($H$1,floors!$1:$1,0)+1),MATCH(J$1,floors!$1:$1,0)-MATCH($H$1,floors!$1:$1,0)+1,FALSE)</f>
        <v>60</v>
      </c>
      <c r="K73" s="38" t="s">
        <v>53</v>
      </c>
      <c r="L73" s="20">
        <v>5</v>
      </c>
      <c r="M73" s="17" t="str">
        <f ca="1">VLOOKUP($L73,OFFSET([3]enemies!$A$1,0,0,COUNTA([3]enemies!$A:$A),MATCH(M$1,[3]enemies!$1:$1,0)-MATCH($L$1,[3]enemies!$1:$1,0)+1),MATCH(M$1,[3]enemies!$1:$1,0)-MATCH($L$1,[3]enemies!$1:$1,0)+1,FALSE)</f>
        <v>パトドッグ ポチ</v>
      </c>
      <c r="N73" s="17" t="str">
        <f ca="1">VLOOKUP($L73,OFFSET([3]enemies!$A$1,0,0,COUNTA([3]enemies!$A:$A),MATCH(N$1,[3]enemies!$1:$1,0)-MATCH($L$1,[3]enemies!$1:$1,0)+1),MATCH(N$1,[3]enemies!$1:$1,0)-MATCH($L$1,[3]enemies!$1:$1,0)+1,FALSE)</f>
        <v>blue</v>
      </c>
      <c r="O73" s="17" t="str">
        <f ca="1">VLOOKUP($L73,OFFSET([4]characters!$A$1,0,0,COUNTA([4]characters!$A:$A),MATCH(O$1,[4]characters!$1:$1,0)-MATCH($L$1,[4]characters!$1:$1,0)+1),MATCH(O$1,[4]characters!$1:$1,0)-MATCH($L$1,[4]characters!$1:$1,0)+1,FALSE)</f>
        <v>Drop1T</v>
      </c>
      <c r="P73" s="17" t="str">
        <f ca="1">VLOOKUP($L73,OFFSET([3]enemies!$A$1,0,0,COUNTA([3]enemies!$A:$A),MATCH(P$1,[3]enemies!$1:$1,0)-MATCH($L$1,[3]enemies!$1:$1,0)+1),MATCH(P$1,[3]enemies!$1:$1,0)-MATCH($L$1,[3]enemies!$1:$1,0)+1,FALSE)</f>
        <v>unknown</v>
      </c>
      <c r="Q73" s="17">
        <f ca="1">VLOOKUP($L73,OFFSET([3]enemies!$A$1,0,0,COUNTA([3]enemies!$A:$A),MATCH(Q$1,[3]enemies!$1:$1,0)-MATCH($L$1,[3]enemies!$1:$1,0)+1),MATCH(Q$1,[3]enemies!$1:$1,0)-MATCH($L$1,[3]enemies!$1:$1,0)+1,FALSE)</f>
        <v>15</v>
      </c>
      <c r="R73" s="5">
        <v>50</v>
      </c>
      <c r="S73" s="25">
        <v>1.5</v>
      </c>
      <c r="T73" s="25">
        <v>0.8</v>
      </c>
      <c r="U73" s="5">
        <v>0</v>
      </c>
      <c r="V73" s="4" t="e">
        <f ca="1">VLOOKUP($W73,OFFSET(enemy_skill_sets!$B$1,0,0,COUNTA(enemy_skill_sets!$B:$B),MATCH(M$1,enemy_skill_sets!$1:$1,0)-MATCH($W$1,enemy_skill_sets!$1:$1,0)+2),MATCH(M$1,enemy_skill_sets!$1:$1,0)-MATCH($W$1,enemy_skill_sets!$1:$1,0)+2,FALSE)</f>
        <v>#N/A</v>
      </c>
      <c r="W73" s="4">
        <f ca="1">VLOOKUP($L73,OFFSET([3]enemies!$A$1,0,0,COUNTA([3]enemies!$A:$A),MATCH(W$1,[3]enemies!$1:$1,0)-MATCH($L$1,[3]enemies!$1:$1,0)+1),MATCH(W$1,[3]enemies!$1:$1,0)-MATCH($L$1,[3]enemies!$1:$1,0)+1,FALSE)</f>
        <v>0</v>
      </c>
      <c r="X73" s="6">
        <v>0</v>
      </c>
      <c r="Y73" s="6">
        <v>100</v>
      </c>
      <c r="Z73" s="6">
        <v>2</v>
      </c>
      <c r="AA73" s="17">
        <v>3</v>
      </c>
      <c r="AB73" s="24">
        <f t="shared" ref="AB73:AB76" si="38">L73</f>
        <v>5</v>
      </c>
      <c r="AC73" s="4" t="str">
        <f ca="1">VLOOKUP($AB73,OFFSET([4]characters!$A$1,0,0,COUNTA([4]characters!$A:$A),MATCH(AC$1,[4]characters!$1:$1,0)-MATCH("character_id",[4]characters!$1:$1,0)+1),MATCH(AC$1,[4]characters!$1:$1,0)-MATCH("character_id",[4]characters!$1:$1,0)+1,FALSE)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73" s="4">
        <f ca="1">VLOOKUP($AB73,OFFSET([4]characters!$A$1,0,0,COUNTA([4]characters!$A:$A),MATCH(AD$1,[4]characters!$1:$1,0)-MATCH("character_id",[4]characters!$1:$1,0)+1),MATCH(AD$1,[4]characters!$1:$1,0)-MATCH("character_id",[4]characters!$1:$1,0)+1,FALSE)</f>
        <v>1</v>
      </c>
      <c r="AE73" s="4" t="str">
        <f ca="1">VLOOKUP($AB73,OFFSET([4]characters!$A$1,0,0,COUNTA([4]characters!$A:$A),MATCH(AE$1,[4]characters!$1:$1,0)-MATCH("character_id",[4]characters!$1:$1,0)+1),MATCH(AE$1,[4]characters!$1:$1,0)-MATCH("character_id",[4]characters!$1:$1,0)+1,FALSE)</f>
        <v>Drop1T</v>
      </c>
      <c r="AF73" s="7">
        <v>1</v>
      </c>
      <c r="AG73" s="24">
        <f t="shared" ref="AG73:AG76" ca="1" si="39">AD73</f>
        <v>1</v>
      </c>
      <c r="AH73" s="8">
        <v>0</v>
      </c>
      <c r="AI73" s="7">
        <v>0</v>
      </c>
      <c r="AJ73" s="7">
        <v>0</v>
      </c>
      <c r="AK73" s="7">
        <v>0</v>
      </c>
      <c r="AL73" s="7">
        <v>0</v>
      </c>
      <c r="AM73" s="7">
        <v>1</v>
      </c>
      <c r="AN73" s="69">
        <v>1</v>
      </c>
    </row>
    <row r="74" spans="1:40" ht="21" customHeight="1" x14ac:dyDescent="0.15">
      <c r="A74" s="16" t="str">
        <f t="shared" si="35"/>
        <v>39005_4-2/27&lt;lv50&gt;s1</v>
      </c>
      <c r="B74" s="22">
        <v>39005</v>
      </c>
      <c r="C74" s="21">
        <v>4</v>
      </c>
      <c r="D74" s="2" t="str">
        <f t="shared" si="36"/>
        <v>39005_4</v>
      </c>
      <c r="E74" s="4" t="str">
        <f ca="1">VLOOKUP($B74,OFFSET([2]quests!$A$1,0,0,COUNTA([2]quests!$A:$A),MATCH(E$1,[2]quests!$1:$1,0)-MATCH($B$1,[2]quests!$1:$1,0)+1),MATCH(E$1,[2]quests!$1:$1,0)-MATCH($B$1,[2]quests!$1:$1,0)+1,FALSE)</f>
        <v xml:space="preserve">ミクエキスポ </v>
      </c>
      <c r="F74" s="4" t="str">
        <f ca="1">VLOOKUP($D74,OFFSET([2]stages!$A$1,0,0,COUNTA([2]stages!$A:$A),MATCH(F$1,[2]stages!$2:$2,0)-MATCH($D$1,[2]stages!$2:$2,0)+1),MATCH(F$1,[2]stages!$2:$2,0)-MATCH($D$1,[2]stages!$2:$2,0)+1,FALSE)</f>
        <v>【超級】ミクエキスポ</v>
      </c>
      <c r="G74" s="95">
        <v>2</v>
      </c>
      <c r="H74" s="15" t="str">
        <f t="shared" si="37"/>
        <v>39005_4-2</v>
      </c>
      <c r="I74" s="4">
        <f ca="1">VLOOKUP($H74,OFFSET(floors!$A$1,0,0,COUNTA(floors!$A:$A),MATCH(I$1,floors!$1:$1,0)-MATCH($H$1,floors!$1:$1,0)+1),MATCH(I$1,floors!$1:$1,0)-MATCH($H$1,floors!$1:$1,0)+1,FALSE)</f>
        <v>60</v>
      </c>
      <c r="J74" s="4">
        <f ca="1">VLOOKUP($H74,OFFSET(floors!$A$1,0,0,COUNTA(floors!$A:$A),MATCH(J$1,floors!$1:$1,0)-MATCH($H$1,floors!$1:$1,0)+1),MATCH(J$1,floors!$1:$1,0)-MATCH($H$1,floors!$1:$1,0)+1,FALSE)</f>
        <v>60</v>
      </c>
      <c r="K74" s="38" t="s">
        <v>53</v>
      </c>
      <c r="L74" s="20">
        <v>27</v>
      </c>
      <c r="M74" s="17" t="str">
        <f ca="1">VLOOKUP($L74,OFFSET([3]enemies!$A$1,0,0,COUNTA([3]enemies!$A:$A),MATCH(M$1,[3]enemies!$1:$1,0)-MATCH($L$1,[3]enemies!$1:$1,0)+1),MATCH(M$1,[3]enemies!$1:$1,0)-MATCH($L$1,[3]enemies!$1:$1,0)+1,FALSE)</f>
        <v>パトライン</v>
      </c>
      <c r="N74" s="17" t="str">
        <f ca="1">VLOOKUP($L74,OFFSET([3]enemies!$A$1,0,0,COUNTA([3]enemies!$A:$A),MATCH(N$1,[3]enemies!$1:$1,0)-MATCH($L$1,[3]enemies!$1:$1,0)+1),MATCH(N$1,[3]enemies!$1:$1,0)-MATCH($L$1,[3]enemies!$1:$1,0)+1,FALSE)</f>
        <v>green</v>
      </c>
      <c r="O74" s="17" t="str">
        <f ca="1">VLOOKUP($L74,OFFSET([4]characters!$A$1,0,0,COUNTA([4]characters!$A:$A),MATCH(O$1,[4]characters!$1:$1,0)-MATCH($L$1,[4]characters!$1:$1,0)+1),MATCH(O$1,[4]characters!$1:$1,0)-MATCH($L$1,[4]characters!$1:$1,0)+1,FALSE)</f>
        <v>Drop1N</v>
      </c>
      <c r="P74" s="17" t="str">
        <f ca="1">VLOOKUP($L74,OFFSET([3]enemies!$A$1,0,0,COUNTA([3]enemies!$A:$A),MATCH(P$1,[3]enemies!$1:$1,0)-MATCH($L$1,[3]enemies!$1:$1,0)+1),MATCH(P$1,[3]enemies!$1:$1,0)-MATCH($L$1,[3]enemies!$1:$1,0)+1,FALSE)</f>
        <v>machine</v>
      </c>
      <c r="Q74" s="17">
        <f ca="1">VLOOKUP($L74,OFFSET([3]enemies!$A$1,0,0,COUNTA([3]enemies!$A:$A),MATCH(Q$1,[3]enemies!$1:$1,0)-MATCH($L$1,[3]enemies!$1:$1,0)+1),MATCH(Q$1,[3]enemies!$1:$1,0)-MATCH($L$1,[3]enemies!$1:$1,0)+1,FALSE)</f>
        <v>15</v>
      </c>
      <c r="R74" s="5">
        <v>50</v>
      </c>
      <c r="S74" s="25">
        <v>1.5</v>
      </c>
      <c r="T74" s="25">
        <v>0.6</v>
      </c>
      <c r="U74" s="5">
        <v>0</v>
      </c>
      <c r="V74" s="4" t="str">
        <f ca="1">VLOOKUP($W74,OFFSET([5]enemy_skill_sets!$B$1,0,0,COUNTA([5]enemy_skill_sets!$B:$B),MATCH(M$1,[5]enemy_skill_sets!$1:$1,0)-MATCH($W$1,[5]enemy_skill_sets!$1:$1,0)+2),MATCH(M$1,[5]enemy_skill_sets!$1:$1,0)-MATCH($W$1,[5]enemy_skill_sets!$1:$1,0)+2,FALSE)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4" s="4">
        <v>0</v>
      </c>
      <c r="X74" s="6">
        <v>0</v>
      </c>
      <c r="Y74" s="6">
        <v>100</v>
      </c>
      <c r="Z74" s="6">
        <v>0</v>
      </c>
      <c r="AA74" s="17">
        <v>1</v>
      </c>
      <c r="AB74" s="24">
        <f t="shared" si="38"/>
        <v>27</v>
      </c>
      <c r="AC74" s="4" t="str">
        <f ca="1">VLOOKUP($AB74,OFFSET([4]characters!$A$1,0,0,COUNTA([4]characters!$A:$A),MATCH(AC$1,[4]characters!$1:$1,0)-MATCH("character_id",[4]characters!$1:$1,0)+1),MATCH(AC$1,[4]characters!$1:$1,0)-MATCH("character_id",[4]characters!$1:$1,0)+1,FALSE)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74" s="4">
        <f ca="1">VLOOKUP($AB74,OFFSET([4]characters!$A$1,0,0,COUNTA([4]characters!$A:$A),MATCH(AD$1,[4]characters!$1:$1,0)-MATCH("character_id",[4]characters!$1:$1,0)+1),MATCH(AD$1,[4]characters!$1:$1,0)-MATCH("character_id",[4]characters!$1:$1,0)+1,FALSE)</f>
        <v>1</v>
      </c>
      <c r="AE74" s="4" t="str">
        <f ca="1">VLOOKUP($AB74,OFFSET([4]characters!$A$1,0,0,COUNTA([4]characters!$A:$A),MATCH(AE$1,[4]characters!$1:$1,0)-MATCH("character_id",[4]characters!$1:$1,0)+1),MATCH(AE$1,[4]characters!$1:$1,0)-MATCH("character_id",[4]characters!$1:$1,0)+1,FALSE)</f>
        <v>Drop1N</v>
      </c>
      <c r="AF74" s="7">
        <v>1</v>
      </c>
      <c r="AG74" s="24">
        <f t="shared" ca="1" si="39"/>
        <v>1</v>
      </c>
      <c r="AH74" s="8">
        <v>0</v>
      </c>
      <c r="AI74" s="7">
        <v>0</v>
      </c>
      <c r="AJ74" s="7">
        <v>0</v>
      </c>
      <c r="AK74" s="7">
        <v>0</v>
      </c>
      <c r="AL74" s="7">
        <v>0</v>
      </c>
      <c r="AM74" s="7">
        <v>1</v>
      </c>
      <c r="AN74" s="69">
        <v>1</v>
      </c>
    </row>
    <row r="75" spans="1:40" ht="21" customHeight="1" x14ac:dyDescent="0.15">
      <c r="A75" s="16" t="str">
        <f t="shared" si="35"/>
        <v>39005_4-2/13&lt;lv50&gt;s1</v>
      </c>
      <c r="B75" s="22">
        <v>39005</v>
      </c>
      <c r="C75" s="21">
        <v>4</v>
      </c>
      <c r="D75" s="2" t="str">
        <f t="shared" si="36"/>
        <v>39005_4</v>
      </c>
      <c r="E75" s="4" t="str">
        <f ca="1">VLOOKUP($B75,OFFSET([2]quests!$A$1,0,0,COUNTA([2]quests!$A:$A),MATCH(E$1,[2]quests!$1:$1,0)-MATCH($B$1,[2]quests!$1:$1,0)+1),MATCH(E$1,[2]quests!$1:$1,0)-MATCH($B$1,[2]quests!$1:$1,0)+1,FALSE)</f>
        <v xml:space="preserve">ミクエキスポ </v>
      </c>
      <c r="F75" s="4" t="str">
        <f ca="1">VLOOKUP($D75,OFFSET([2]stages!$A$1,0,0,COUNTA([2]stages!$A:$A),MATCH(F$1,[2]stages!$2:$2,0)-MATCH($D$1,[2]stages!$2:$2,0)+1),MATCH(F$1,[2]stages!$2:$2,0)-MATCH($D$1,[2]stages!$2:$2,0)+1,FALSE)</f>
        <v>【超級】ミクエキスポ</v>
      </c>
      <c r="G75" s="95">
        <v>2</v>
      </c>
      <c r="H75" s="15" t="str">
        <f t="shared" si="37"/>
        <v>39005_4-2</v>
      </c>
      <c r="I75" s="4">
        <f ca="1">VLOOKUP($H75,OFFSET(floors!$A$1,0,0,COUNTA(floors!$A:$A),MATCH(I$1,floors!$1:$1,0)-MATCH($H$1,floors!$1:$1,0)+1),MATCH(I$1,floors!$1:$1,0)-MATCH($H$1,floors!$1:$1,0)+1,FALSE)</f>
        <v>60</v>
      </c>
      <c r="J75" s="4">
        <f ca="1">VLOOKUP($H75,OFFSET(floors!$A$1,0,0,COUNTA(floors!$A:$A),MATCH(J$1,floors!$1:$1,0)-MATCH($H$1,floors!$1:$1,0)+1),MATCH(J$1,floors!$1:$1,0)-MATCH($H$1,floors!$1:$1,0)+1,FALSE)</f>
        <v>60</v>
      </c>
      <c r="K75" s="38" t="s">
        <v>53</v>
      </c>
      <c r="L75" s="20">
        <v>13</v>
      </c>
      <c r="M75" s="17" t="str">
        <f ca="1">VLOOKUP($L75,OFFSET([3]enemies!$A$1,0,0,COUNTA([3]enemies!$A:$A),MATCH(M$1,[3]enemies!$1:$1,0)-MATCH($L$1,[3]enemies!$1:$1,0)+1),MATCH(M$1,[3]enemies!$1:$1,0)-MATCH($L$1,[3]enemies!$1:$1,0)+1,FALSE)</f>
        <v>ミミ</v>
      </c>
      <c r="N75" s="17" t="str">
        <f ca="1">VLOOKUP($L75,OFFSET([3]enemies!$A$1,0,0,COUNTA([3]enemies!$A:$A),MATCH(N$1,[3]enemies!$1:$1,0)-MATCH($L$1,[3]enemies!$1:$1,0)+1),MATCH(N$1,[3]enemies!$1:$1,0)-MATCH($L$1,[3]enemies!$1:$1,0)+1,FALSE)</f>
        <v>yellow</v>
      </c>
      <c r="O75" s="17" t="str">
        <f ca="1">VLOOKUP($L75,OFFSET([4]characters!$A$1,0,0,COUNTA([4]characters!$A:$A),MATCH(O$1,[4]characters!$1:$1,0)-MATCH($L$1,[4]characters!$1:$1,0)+1),MATCH(O$1,[4]characters!$1:$1,0)-MATCH($L$1,[4]characters!$1:$1,0)+1,FALSE)</f>
        <v>Drop1W</v>
      </c>
      <c r="P75" s="17" t="str">
        <f ca="1">VLOOKUP($L75,OFFSET([3]enemies!$A$1,0,0,COUNTA([3]enemies!$A:$A),MATCH(P$1,[3]enemies!$1:$1,0)-MATCH($L$1,[3]enemies!$1:$1,0)+1),MATCH(P$1,[3]enemies!$1:$1,0)-MATCH($L$1,[3]enemies!$1:$1,0)+1,FALSE)</f>
        <v>animal</v>
      </c>
      <c r="Q75" s="17">
        <f ca="1">VLOOKUP($L75,OFFSET([3]enemies!$A$1,0,0,COUNTA([3]enemies!$A:$A),MATCH(Q$1,[3]enemies!$1:$1,0)-MATCH($L$1,[3]enemies!$1:$1,0)+1),MATCH(Q$1,[3]enemies!$1:$1,0)-MATCH($L$1,[3]enemies!$1:$1,0)+1,FALSE)</f>
        <v>15</v>
      </c>
      <c r="R75" s="5">
        <v>50</v>
      </c>
      <c r="S75" s="25">
        <v>1.5</v>
      </c>
      <c r="T75" s="25">
        <v>0.4</v>
      </c>
      <c r="U75" s="5">
        <v>0</v>
      </c>
      <c r="V75" s="4" t="e">
        <f ca="1">VLOOKUP($W75,OFFSET(enemy_skill_sets!$B$1,0,0,COUNTA(enemy_skill_sets!$B:$B),MATCH(M$1,enemy_skill_sets!$1:$1,0)-MATCH($W$1,enemy_skill_sets!$1:$1,0)+2),MATCH(M$1,enemy_skill_sets!$1:$1,0)-MATCH($W$1,enemy_skill_sets!$1:$1,0)+2,FALSE)</f>
        <v>#N/A</v>
      </c>
      <c r="W75" s="4">
        <f ca="1">VLOOKUP($L75,OFFSET([3]enemies!$A$1,0,0,COUNTA([3]enemies!$A:$A),MATCH(W$1,[3]enemies!$1:$1,0)-MATCH($L$1,[3]enemies!$1:$1,0)+1),MATCH(W$1,[3]enemies!$1:$1,0)-MATCH($L$1,[3]enemies!$1:$1,0)+1,FALSE)</f>
        <v>0</v>
      </c>
      <c r="X75" s="6">
        <v>0</v>
      </c>
      <c r="Y75" s="6">
        <v>100</v>
      </c>
      <c r="Z75" s="6">
        <v>0</v>
      </c>
      <c r="AA75" s="17">
        <v>1</v>
      </c>
      <c r="AB75" s="24">
        <f t="shared" si="38"/>
        <v>13</v>
      </c>
      <c r="AC75" s="4" t="str">
        <f ca="1">VLOOKUP($AB75,OFFSET([4]characters!$A$1,0,0,COUNTA([4]characters!$A:$A),MATCH(AC$1,[4]characters!$1:$1,0)-MATCH("character_id",[4]characters!$1:$1,0)+1),MATCH(AC$1,[4]characters!$1:$1,0)-MATCH("character_id",[4]characters!$1:$1,0)+1,FALSE)</f>
        <v>ミミ</v>
      </c>
      <c r="AD75" s="4">
        <f ca="1">VLOOKUP($AB75,OFFSET([4]characters!$A$1,0,0,COUNTA([4]characters!$A:$A),MATCH(AD$1,[4]characters!$1:$1,0)-MATCH("character_id",[4]characters!$1:$1,0)+1),MATCH(AD$1,[4]characters!$1:$1,0)-MATCH("character_id",[4]characters!$1:$1,0)+1,FALSE)</f>
        <v>1</v>
      </c>
      <c r="AE75" s="4" t="str">
        <f ca="1">VLOOKUP($AB75,OFFSET([4]characters!$A$1,0,0,COUNTA([4]characters!$A:$A),MATCH(AE$1,[4]characters!$1:$1,0)-MATCH("character_id",[4]characters!$1:$1,0)+1),MATCH(AE$1,[4]characters!$1:$1,0)-MATCH("character_id",[4]characters!$1:$1,0)+1,FALSE)</f>
        <v>Drop1W</v>
      </c>
      <c r="AF75" s="7">
        <v>1</v>
      </c>
      <c r="AG75" s="24">
        <f t="shared" ca="1" si="39"/>
        <v>1</v>
      </c>
      <c r="AH75" s="8">
        <v>0</v>
      </c>
      <c r="AI75" s="7">
        <v>0</v>
      </c>
      <c r="AJ75" s="7">
        <v>0</v>
      </c>
      <c r="AK75" s="7">
        <v>0</v>
      </c>
      <c r="AL75" s="7">
        <v>0</v>
      </c>
      <c r="AM75" s="7">
        <v>1</v>
      </c>
      <c r="AN75" s="69">
        <v>1</v>
      </c>
    </row>
    <row r="76" spans="1:40" ht="21" customHeight="1" x14ac:dyDescent="0.15">
      <c r="A76" s="16" t="str">
        <f t="shared" si="35"/>
        <v>39005_4-3/1&lt;lv50&gt;s1</v>
      </c>
      <c r="B76" s="22">
        <v>39005</v>
      </c>
      <c r="C76" s="21">
        <v>4</v>
      </c>
      <c r="D76" s="2" t="str">
        <f t="shared" si="36"/>
        <v>39005_4</v>
      </c>
      <c r="E76" s="4" t="str">
        <f ca="1">VLOOKUP($B76,OFFSET([2]quests!$A$1,0,0,COUNTA([2]quests!$A:$A),MATCH(E$1,[2]quests!$1:$1,0)-MATCH($B$1,[2]quests!$1:$1,0)+1),MATCH(E$1,[2]quests!$1:$1,0)-MATCH($B$1,[2]quests!$1:$1,0)+1,FALSE)</f>
        <v xml:space="preserve">ミクエキスポ </v>
      </c>
      <c r="F76" s="4" t="str">
        <f ca="1">VLOOKUP($D76,OFFSET([2]stages!$A$1,0,0,COUNTA([2]stages!$A:$A),MATCH(F$1,[2]stages!$2:$2,0)-MATCH($D$1,[2]stages!$2:$2,0)+1),MATCH(F$1,[2]stages!$2:$2,0)-MATCH($D$1,[2]stages!$2:$2,0)+1,FALSE)</f>
        <v>【超級】ミクエキスポ</v>
      </c>
      <c r="G76" s="96">
        <v>3</v>
      </c>
      <c r="H76" s="15" t="str">
        <f t="shared" si="37"/>
        <v>39005_4-3</v>
      </c>
      <c r="I76" s="4">
        <f ca="1">VLOOKUP($H76,OFFSET(floors!$A$1,0,0,COUNTA(floors!$A:$A),MATCH(I$1,floors!$1:$1,0)-MATCH($H$1,floors!$1:$1,0)+1),MATCH(I$1,floors!$1:$1,0)-MATCH($H$1,floors!$1:$1,0)+1,FALSE)</f>
        <v>60</v>
      </c>
      <c r="J76" s="4">
        <f ca="1">VLOOKUP($H76,OFFSET(floors!$A$1,0,0,COUNTA(floors!$A:$A),MATCH(J$1,floors!$1:$1,0)-MATCH($H$1,floors!$1:$1,0)+1),MATCH(J$1,floors!$1:$1,0)-MATCH($H$1,floors!$1:$1,0)+1,FALSE)</f>
        <v>60</v>
      </c>
      <c r="K76" s="38" t="s">
        <v>53</v>
      </c>
      <c r="L76" s="20">
        <v>1</v>
      </c>
      <c r="M76" s="17" t="str">
        <f ca="1">VLOOKUP($L76,OFFSET([3]enemies!$A$1,0,0,COUNTA([3]enemies!$A:$A),MATCH(M$1,[3]enemies!$1:$1,0)-MATCH($L$1,[3]enemies!$1:$1,0)+1),MATCH(M$1,[3]enemies!$1:$1,0)-MATCH($L$1,[3]enemies!$1:$1,0)+1,FALSE)</f>
        <v>ジェリー</v>
      </c>
      <c r="N76" s="17" t="str">
        <f ca="1">VLOOKUP($L76,OFFSET([3]enemies!$A$1,0,0,COUNTA([3]enemies!$A:$A),MATCH(N$1,[3]enemies!$1:$1,0)-MATCH($L$1,[3]enemies!$1:$1,0)+1),MATCH(N$1,[3]enemies!$1:$1,0)-MATCH($L$1,[3]enemies!$1:$1,0)+1,FALSE)</f>
        <v>red</v>
      </c>
      <c r="O76" s="17" t="str">
        <f ca="1">VLOOKUP($L76,OFFSET([4]characters!$A$1,0,0,COUNTA([4]characters!$A:$A),MATCH(O$1,[4]characters!$1:$1,0)-MATCH($L$1,[4]characters!$1:$1,0)+1),MATCH(O$1,[4]characters!$1:$1,0)-MATCH($L$1,[4]characters!$1:$1,0)+1,FALSE)</f>
        <v>Drop1T</v>
      </c>
      <c r="P76" s="17" t="str">
        <f ca="1">VLOOKUP($L76,OFFSET([3]enemies!$A$1,0,0,COUNTA([3]enemies!$A:$A),MATCH(P$1,[3]enemies!$1:$1,0)-MATCH($L$1,[3]enemies!$1:$1,0)+1),MATCH(P$1,[3]enemies!$1:$1,0)-MATCH($L$1,[3]enemies!$1:$1,0)+1,FALSE)</f>
        <v>unknown</v>
      </c>
      <c r="Q76" s="17">
        <f ca="1">VLOOKUP($L76,OFFSET([3]enemies!$A$1,0,0,COUNTA([3]enemies!$A:$A),MATCH(Q$1,[3]enemies!$1:$1,0)-MATCH($L$1,[3]enemies!$1:$1,0)+1),MATCH(Q$1,[3]enemies!$1:$1,0)-MATCH($L$1,[3]enemies!$1:$1,0)+1,FALSE)</f>
        <v>15</v>
      </c>
      <c r="R76" s="5">
        <v>50</v>
      </c>
      <c r="S76" s="25">
        <v>1</v>
      </c>
      <c r="T76" s="25">
        <v>0.4</v>
      </c>
      <c r="U76" s="5">
        <v>0</v>
      </c>
      <c r="V76" s="4" t="str">
        <f ca="1">VLOOKUP($W76,OFFSET([5]enemy_skill_sets!$B$1,0,0,COUNTA([5]enemy_skill_sets!$B:$B),MATCH(M$1,[5]enemy_skill_sets!$1:$1,0)-MATCH($W$1,[5]enemy_skill_sets!$1:$1,0)+2),MATCH(M$1,[5]enemy_skill_sets!$1:$1,0)-MATCH($W$1,[5]enemy_skill_sets!$1:$1,0)+2,FALSE)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6" s="4">
        <f ca="1">VLOOKUP($L76,OFFSET([3]enemies!$A$1,0,0,COUNTA([3]enemies!$A:$A),MATCH(W$1,[3]enemies!$1:$1,0)-MATCH($L$1,[3]enemies!$1:$1,0)+1),MATCH(W$1,[3]enemies!$1:$1,0)-MATCH($L$1,[3]enemies!$1:$1,0)+1,FALSE)</f>
        <v>0</v>
      </c>
      <c r="X76" s="6">
        <v>0</v>
      </c>
      <c r="Y76" s="6">
        <v>100</v>
      </c>
      <c r="Z76" s="6">
        <v>0</v>
      </c>
      <c r="AA76" s="17">
        <v>1</v>
      </c>
      <c r="AB76" s="24">
        <f t="shared" si="38"/>
        <v>1</v>
      </c>
      <c r="AC76" s="4" t="str">
        <f ca="1">VLOOKUP($AB76,OFFSET([4]characters!$A$1,0,0,COUNTA([4]characters!$A:$A),MATCH(AC$1,[4]characters!$1:$1,0)-MATCH("character_id",[4]characters!$1:$1,0)+1),MATCH(AC$1,[4]characters!$1:$1,0)-MATCH("character_id",[4]characters!$1:$1,0)+1,FALSE)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76" s="4">
        <f ca="1">VLOOKUP($AB76,OFFSET([4]characters!$A$1,0,0,COUNTA([4]characters!$A:$A),MATCH(AD$1,[4]characters!$1:$1,0)-MATCH("character_id",[4]characters!$1:$1,0)+1),MATCH(AD$1,[4]characters!$1:$1,0)-MATCH("character_id",[4]characters!$1:$1,0)+1,FALSE)</f>
        <v>1</v>
      </c>
      <c r="AE76" s="4" t="str">
        <f ca="1">VLOOKUP($AB76,OFFSET([4]characters!$A$1,0,0,COUNTA([4]characters!$A:$A),MATCH(AE$1,[4]characters!$1:$1,0)-MATCH("character_id",[4]characters!$1:$1,0)+1),MATCH(AE$1,[4]characters!$1:$1,0)-MATCH("character_id",[4]characters!$1:$1,0)+1,FALSE)</f>
        <v>Drop1T</v>
      </c>
      <c r="AF76" s="7">
        <v>1</v>
      </c>
      <c r="AG76" s="24">
        <f t="shared" ca="1" si="39"/>
        <v>1</v>
      </c>
      <c r="AH76" s="8">
        <v>20</v>
      </c>
      <c r="AI76" s="7">
        <v>0</v>
      </c>
      <c r="AJ76" s="7">
        <v>0</v>
      </c>
      <c r="AK76" s="7">
        <v>0</v>
      </c>
      <c r="AL76" s="7">
        <v>0</v>
      </c>
      <c r="AM76" s="7">
        <v>1</v>
      </c>
      <c r="AN76" s="69">
        <v>1</v>
      </c>
    </row>
    <row r="77" spans="1:40" ht="21" customHeight="1" x14ac:dyDescent="0.15">
      <c r="A77" s="16" t="str">
        <f t="shared" si="5"/>
        <v>39005_4-3/3&lt;lv53&gt;s2</v>
      </c>
      <c r="B77" s="22">
        <v>39005</v>
      </c>
      <c r="C77" s="21">
        <v>4</v>
      </c>
      <c r="D77" s="2" t="str">
        <f t="shared" si="6"/>
        <v>39005_4</v>
      </c>
      <c r="E77" s="4" t="str">
        <f ca="1">VLOOKUP($B77,OFFSET([2]quests!$A$1,0,0,COUNTA([2]quests!$A:$A),MATCH(E$1,[2]quests!$1:$1,0)-MATCH($B$1,[2]quests!$1:$1,0)+1),MATCH(E$1,[2]quests!$1:$1,0)-MATCH($B$1,[2]quests!$1:$1,0)+1,FALSE)</f>
        <v xml:space="preserve">ミクエキスポ </v>
      </c>
      <c r="F77" s="4" t="str">
        <f ca="1">VLOOKUP($D77,OFFSET([2]stages!$A$1,0,0,COUNTA([2]stages!$A:$A),MATCH(F$1,[2]stages!$2:$2,0)-MATCH($D$1,[2]stages!$2:$2,0)+1),MATCH(F$1,[2]stages!$2:$2,0)-MATCH($D$1,[2]stages!$2:$2,0)+1,FALSE)</f>
        <v>【超級】ミクエキスポ</v>
      </c>
      <c r="G77" s="96">
        <v>3</v>
      </c>
      <c r="H77" s="15" t="str">
        <f t="shared" si="7"/>
        <v>39005_4-3</v>
      </c>
      <c r="I77" s="4">
        <f ca="1">VLOOKUP($H77,OFFSET(floors!$A$1,0,0,COUNTA(floors!$A:$A),MATCH(I$1,floors!$1:$1,0)-MATCH($H$1,floors!$1:$1,0)+1),MATCH(I$1,floors!$1:$1,0)-MATCH($H$1,floors!$1:$1,0)+1,FALSE)</f>
        <v>60</v>
      </c>
      <c r="J77" s="4">
        <f ca="1">VLOOKUP($H77,OFFSET(floors!$A$1,0,0,COUNTA(floors!$A:$A),MATCH(J$1,floors!$1:$1,0)-MATCH($H$1,floors!$1:$1,0)+1),MATCH(J$1,floors!$1:$1,0)-MATCH($H$1,floors!$1:$1,0)+1,FALSE)</f>
        <v>60</v>
      </c>
      <c r="K77" s="38" t="s">
        <v>53</v>
      </c>
      <c r="L77" s="20">
        <v>3</v>
      </c>
      <c r="M77" s="17" t="str">
        <f ca="1">VLOOKUP($L77,OFFSET([3]enemies!$A$1,0,0,COUNTA([3]enemies!$A:$A),MATCH(M$1,[3]enemies!$1:$1,0)-MATCH($L$1,[3]enemies!$1:$1,0)+1),MATCH(M$1,[3]enemies!$1:$1,0)-MATCH($L$1,[3]enemies!$1:$1,0)+1,FALSE)</f>
        <v>エージェント ジョー</v>
      </c>
      <c r="N77" s="17" t="str">
        <f ca="1">VLOOKUP($L77,OFFSET([3]enemies!$A$1,0,0,COUNTA([3]enemies!$A:$A),MATCH(N$1,[3]enemies!$1:$1,0)-MATCH($L$1,[3]enemies!$1:$1,0)+1),MATCH(N$1,[3]enemies!$1:$1,0)-MATCH($L$1,[3]enemies!$1:$1,0)+1,FALSE)</f>
        <v>green</v>
      </c>
      <c r="O77" s="17" t="str">
        <f ca="1">VLOOKUP($L77,OFFSET([4]characters!$A$1,0,0,COUNTA([4]characters!$A:$A),MATCH(O$1,[4]characters!$1:$1,0)-MATCH($L$1,[4]characters!$1:$1,0)+1),MATCH(O$1,[4]characters!$1:$1,0)-MATCH($L$1,[4]characters!$1:$1,0)+1,FALSE)</f>
        <v>Drop1T</v>
      </c>
      <c r="P77" s="17" t="str">
        <f ca="1">VLOOKUP($L77,OFFSET([3]enemies!$A$1,0,0,COUNTA([3]enemies!$A:$A),MATCH(P$1,[3]enemies!$1:$1,0)-MATCH($L$1,[3]enemies!$1:$1,0)+1),MATCH(P$1,[3]enemies!$1:$1,0)-MATCH($L$1,[3]enemies!$1:$1,0)+1,FALSE)</f>
        <v>unknown</v>
      </c>
      <c r="Q77" s="17">
        <f ca="1">VLOOKUP($L77,OFFSET([3]enemies!$A$1,0,0,COUNTA([3]enemies!$A:$A),MATCH(Q$1,[3]enemies!$1:$1,0)-MATCH($L$1,[3]enemies!$1:$1,0)+1),MATCH(Q$1,[3]enemies!$1:$1,0)-MATCH($L$1,[3]enemies!$1:$1,0)+1,FALSE)</f>
        <v>15</v>
      </c>
      <c r="R77" s="5">
        <v>53</v>
      </c>
      <c r="S77" s="25">
        <v>1</v>
      </c>
      <c r="T77" s="25">
        <v>0.5</v>
      </c>
      <c r="U77" s="5">
        <v>0</v>
      </c>
      <c r="V77" s="4" t="e">
        <f ca="1">VLOOKUP($W77,OFFSET(enemy_skill_sets!$B$1,0,0,COUNTA(enemy_skill_sets!$B:$B),MATCH(M$1,enemy_skill_sets!$1:$1,0)-MATCH($W$1,enemy_skill_sets!$1:$1,0)+2),MATCH(M$1,enemy_skill_sets!$1:$1,0)-MATCH($W$1,enemy_skill_sets!$1:$1,0)+2,FALSE)</f>
        <v>#N/A</v>
      </c>
      <c r="W77" s="4">
        <f ca="1">VLOOKUP($L77,OFFSET([3]enemies!$A$1,0,0,COUNTA([3]enemies!$A:$A),MATCH(W$1,[3]enemies!$1:$1,0)-MATCH($L$1,[3]enemies!$1:$1,0)+1),MATCH(W$1,[3]enemies!$1:$1,0)-MATCH($L$1,[3]enemies!$1:$1,0)+1,FALSE)</f>
        <v>0</v>
      </c>
      <c r="X77" s="6">
        <v>0</v>
      </c>
      <c r="Y77" s="6">
        <v>100</v>
      </c>
      <c r="Z77" s="6">
        <v>0</v>
      </c>
      <c r="AA77" s="17">
        <v>2</v>
      </c>
      <c r="AB77" s="24">
        <f t="shared" si="8"/>
        <v>3</v>
      </c>
      <c r="AC77" s="4" t="str">
        <f ca="1">VLOOKUP($AB77,OFFSET([4]characters!$A$1,0,0,COUNTA([4]characters!$A:$A),MATCH(AC$1,[4]characters!$1:$1,0)-MATCH("character_id",[4]characters!$1:$1,0)+1),MATCH(AC$1,[4]characters!$1:$1,0)-MATCH("character_id",[4]characters!$1:$1,0)+1,FALSE)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77" s="4">
        <f ca="1">VLOOKUP($AB77,OFFSET([4]characters!$A$1,0,0,COUNTA([4]characters!$A:$A),MATCH(AD$1,[4]characters!$1:$1,0)-MATCH("character_id",[4]characters!$1:$1,0)+1),MATCH(AD$1,[4]characters!$1:$1,0)-MATCH("character_id",[4]characters!$1:$1,0)+1,FALSE)</f>
        <v>1</v>
      </c>
      <c r="AE77" s="4" t="str">
        <f ca="1">VLOOKUP($AB77,OFFSET([4]characters!$A$1,0,0,COUNTA([4]characters!$A:$A),MATCH(AE$1,[4]characters!$1:$1,0)-MATCH("character_id",[4]characters!$1:$1,0)+1),MATCH(AE$1,[4]characters!$1:$1,0)-MATCH("character_id",[4]characters!$1:$1,0)+1,FALSE)</f>
        <v>Drop1T</v>
      </c>
      <c r="AF77" s="7">
        <v>1</v>
      </c>
      <c r="AG77" s="24">
        <f t="shared" ca="1" si="9"/>
        <v>1</v>
      </c>
      <c r="AH77" s="8">
        <v>20</v>
      </c>
      <c r="AI77" s="7">
        <v>0</v>
      </c>
      <c r="AJ77" s="7">
        <v>0</v>
      </c>
      <c r="AK77" s="7">
        <v>0</v>
      </c>
      <c r="AL77" s="7">
        <v>0</v>
      </c>
      <c r="AM77" s="7">
        <v>1</v>
      </c>
      <c r="AN77" s="69">
        <v>1</v>
      </c>
    </row>
    <row r="78" spans="1:40" ht="21" customHeight="1" x14ac:dyDescent="0.15">
      <c r="A78" s="16" t="str">
        <f t="shared" si="5"/>
        <v>39005_4-3/5&lt;lv53&gt;s3</v>
      </c>
      <c r="B78" s="22">
        <v>39005</v>
      </c>
      <c r="C78" s="21">
        <v>4</v>
      </c>
      <c r="D78" s="2" t="str">
        <f t="shared" si="6"/>
        <v>39005_4</v>
      </c>
      <c r="E78" s="4" t="str">
        <f ca="1">VLOOKUP($B78,OFFSET([2]quests!$A$1,0,0,COUNTA([2]quests!$A:$A),MATCH(E$1,[2]quests!$1:$1,0)-MATCH($B$1,[2]quests!$1:$1,0)+1),MATCH(E$1,[2]quests!$1:$1,0)-MATCH($B$1,[2]quests!$1:$1,0)+1,FALSE)</f>
        <v xml:space="preserve">ミクエキスポ </v>
      </c>
      <c r="F78" s="4" t="str">
        <f ca="1">VLOOKUP($D78,OFFSET([2]stages!$A$1,0,0,COUNTA([2]stages!$A:$A),MATCH(F$1,[2]stages!$2:$2,0)-MATCH($D$1,[2]stages!$2:$2,0)+1),MATCH(F$1,[2]stages!$2:$2,0)-MATCH($D$1,[2]stages!$2:$2,0)+1,FALSE)</f>
        <v>【超級】ミクエキスポ</v>
      </c>
      <c r="G78" s="96">
        <v>3</v>
      </c>
      <c r="H78" s="15" t="str">
        <f t="shared" si="7"/>
        <v>39005_4-3</v>
      </c>
      <c r="I78" s="4">
        <f ca="1">VLOOKUP($H78,OFFSET(floors!$A$1,0,0,COUNTA(floors!$A:$A),MATCH(I$1,floors!$1:$1,0)-MATCH($H$1,floors!$1:$1,0)+1),MATCH(I$1,floors!$1:$1,0)-MATCH($H$1,floors!$1:$1,0)+1,FALSE)</f>
        <v>60</v>
      </c>
      <c r="J78" s="4">
        <f ca="1">VLOOKUP($H78,OFFSET(floors!$A$1,0,0,COUNTA(floors!$A:$A),MATCH(J$1,floors!$1:$1,0)-MATCH($H$1,floors!$1:$1,0)+1),MATCH(J$1,floors!$1:$1,0)-MATCH($H$1,floors!$1:$1,0)+1,FALSE)</f>
        <v>60</v>
      </c>
      <c r="K78" s="38" t="s">
        <v>53</v>
      </c>
      <c r="L78" s="20">
        <v>5</v>
      </c>
      <c r="M78" s="17" t="str">
        <f ca="1">VLOOKUP($L78,OFFSET([3]enemies!$A$1,0,0,COUNTA([3]enemies!$A:$A),MATCH(M$1,[3]enemies!$1:$1,0)-MATCH($L$1,[3]enemies!$1:$1,0)+1),MATCH(M$1,[3]enemies!$1:$1,0)-MATCH($L$1,[3]enemies!$1:$1,0)+1,FALSE)</f>
        <v>パトドッグ ポチ</v>
      </c>
      <c r="N78" s="17" t="str">
        <f ca="1">VLOOKUP($L78,OFFSET([3]enemies!$A$1,0,0,COUNTA([3]enemies!$A:$A),MATCH(N$1,[3]enemies!$1:$1,0)-MATCH($L$1,[3]enemies!$1:$1,0)+1),MATCH(N$1,[3]enemies!$1:$1,0)-MATCH($L$1,[3]enemies!$1:$1,0)+1,FALSE)</f>
        <v>blue</v>
      </c>
      <c r="O78" s="17" t="str">
        <f ca="1">VLOOKUP($L78,OFFSET([4]characters!$A$1,0,0,COUNTA([4]characters!$A:$A),MATCH(O$1,[4]characters!$1:$1,0)-MATCH($L$1,[4]characters!$1:$1,0)+1),MATCH(O$1,[4]characters!$1:$1,0)-MATCH($L$1,[4]characters!$1:$1,0)+1,FALSE)</f>
        <v>Drop1T</v>
      </c>
      <c r="P78" s="17" t="str">
        <f ca="1">VLOOKUP($L78,OFFSET([3]enemies!$A$1,0,0,COUNTA([3]enemies!$A:$A),MATCH(P$1,[3]enemies!$1:$1,0)-MATCH($L$1,[3]enemies!$1:$1,0)+1),MATCH(P$1,[3]enemies!$1:$1,0)-MATCH($L$1,[3]enemies!$1:$1,0)+1,FALSE)</f>
        <v>unknown</v>
      </c>
      <c r="Q78" s="17">
        <f ca="1">VLOOKUP($L78,OFFSET([3]enemies!$A$1,0,0,COUNTA([3]enemies!$A:$A),MATCH(Q$1,[3]enemies!$1:$1,0)-MATCH($L$1,[3]enemies!$1:$1,0)+1),MATCH(Q$1,[3]enemies!$1:$1,0)-MATCH($L$1,[3]enemies!$1:$1,0)+1,FALSE)</f>
        <v>15</v>
      </c>
      <c r="R78" s="5">
        <v>53</v>
      </c>
      <c r="S78" s="25">
        <v>1</v>
      </c>
      <c r="T78" s="25">
        <v>0.8</v>
      </c>
      <c r="U78" s="5">
        <v>0</v>
      </c>
      <c r="V78" s="4" t="str">
        <f ca="1">VLOOKUP($W78,OFFSET([5]enemy_skill_sets!$B$1,0,0,COUNTA([5]enemy_skill_sets!$B:$B),MATCH(M$1,[5]enemy_skill_sets!$1:$1,0)-MATCH($W$1,[5]enemy_skill_sets!$1:$1,0)+2),MATCH(M$1,[5]enemy_skill_sets!$1:$1,0)-MATCH($W$1,[5]enemy_skill_sets!$1:$1,0)+2,FALSE)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8" s="4">
        <f ca="1">VLOOKUP($L78,OFFSET([3]enemies!$A$1,0,0,COUNTA([3]enemies!$A:$A),MATCH(W$1,[3]enemies!$1:$1,0)-MATCH($L$1,[3]enemies!$1:$1,0)+1),MATCH(W$1,[3]enemies!$1:$1,0)-MATCH($L$1,[3]enemies!$1:$1,0)+1,FALSE)</f>
        <v>0</v>
      </c>
      <c r="X78" s="6">
        <v>0</v>
      </c>
      <c r="Y78" s="6">
        <v>100</v>
      </c>
      <c r="Z78" s="6">
        <v>0</v>
      </c>
      <c r="AA78" s="17">
        <v>3</v>
      </c>
      <c r="AB78" s="24">
        <f t="shared" si="8"/>
        <v>5</v>
      </c>
      <c r="AC78" s="4" t="str">
        <f ca="1">VLOOKUP($AB78,OFFSET([4]characters!$A$1,0,0,COUNTA([4]characters!$A:$A),MATCH(AC$1,[4]characters!$1:$1,0)-MATCH("character_id",[4]characters!$1:$1,0)+1),MATCH(AC$1,[4]characters!$1:$1,0)-MATCH("character_id",[4]characters!$1:$1,0)+1,FALSE)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78" s="4">
        <f ca="1">VLOOKUP($AB78,OFFSET([4]characters!$A$1,0,0,COUNTA([4]characters!$A:$A),MATCH(AD$1,[4]characters!$1:$1,0)-MATCH("character_id",[4]characters!$1:$1,0)+1),MATCH(AD$1,[4]characters!$1:$1,0)-MATCH("character_id",[4]characters!$1:$1,0)+1,FALSE)</f>
        <v>1</v>
      </c>
      <c r="AE78" s="4" t="str">
        <f ca="1">VLOOKUP($AB78,OFFSET([4]characters!$A$1,0,0,COUNTA([4]characters!$A:$A),MATCH(AE$1,[4]characters!$1:$1,0)-MATCH("character_id",[4]characters!$1:$1,0)+1),MATCH(AE$1,[4]characters!$1:$1,0)-MATCH("character_id",[4]characters!$1:$1,0)+1,FALSE)</f>
        <v>Drop1T</v>
      </c>
      <c r="AF78" s="7">
        <v>1</v>
      </c>
      <c r="AG78" s="24">
        <f t="shared" ca="1" si="9"/>
        <v>1</v>
      </c>
      <c r="AH78" s="8">
        <v>20</v>
      </c>
      <c r="AI78" s="7">
        <v>0</v>
      </c>
      <c r="AJ78" s="7">
        <v>0</v>
      </c>
      <c r="AK78" s="7">
        <v>0</v>
      </c>
      <c r="AL78" s="7">
        <v>0</v>
      </c>
      <c r="AM78" s="7">
        <v>1</v>
      </c>
      <c r="AN78" s="69">
        <v>1</v>
      </c>
    </row>
    <row r="79" spans="1:40" ht="21" customHeight="1" x14ac:dyDescent="0.15">
      <c r="A79" s="16" t="str">
        <f t="shared" si="5"/>
        <v>39005_4-3/7&lt;lv53&gt;s2</v>
      </c>
      <c r="B79" s="22">
        <v>39005</v>
      </c>
      <c r="C79" s="21">
        <v>4</v>
      </c>
      <c r="D79" s="2" t="str">
        <f t="shared" si="6"/>
        <v>39005_4</v>
      </c>
      <c r="E79" s="4" t="str">
        <f ca="1">VLOOKUP($B79,OFFSET([2]quests!$A$1,0,0,COUNTA([2]quests!$A:$A),MATCH(E$1,[2]quests!$1:$1,0)-MATCH($B$1,[2]quests!$1:$1,0)+1),MATCH(E$1,[2]quests!$1:$1,0)-MATCH($B$1,[2]quests!$1:$1,0)+1,FALSE)</f>
        <v xml:space="preserve">ミクエキスポ </v>
      </c>
      <c r="F79" s="4" t="str">
        <f ca="1">VLOOKUP($D79,OFFSET([2]stages!$A$1,0,0,COUNTA([2]stages!$A:$A),MATCH(F$1,[2]stages!$2:$2,0)-MATCH($D$1,[2]stages!$2:$2,0)+1),MATCH(F$1,[2]stages!$2:$2,0)-MATCH($D$1,[2]stages!$2:$2,0)+1,FALSE)</f>
        <v>【超級】ミクエキスポ</v>
      </c>
      <c r="G79" s="96">
        <v>3</v>
      </c>
      <c r="H79" s="15" t="str">
        <f t="shared" si="7"/>
        <v>39005_4-3</v>
      </c>
      <c r="I79" s="4">
        <f ca="1">VLOOKUP($H79,OFFSET(floors!$A$1,0,0,COUNTA(floors!$A:$A),MATCH(I$1,floors!$1:$1,0)-MATCH($H$1,floors!$1:$1,0)+1),MATCH(I$1,floors!$1:$1,0)-MATCH($H$1,floors!$1:$1,0)+1,FALSE)</f>
        <v>60</v>
      </c>
      <c r="J79" s="4">
        <f ca="1">VLOOKUP($H79,OFFSET(floors!$A$1,0,0,COUNTA(floors!$A:$A),MATCH(J$1,floors!$1:$1,0)-MATCH($H$1,floors!$1:$1,0)+1),MATCH(J$1,floors!$1:$1,0)-MATCH($H$1,floors!$1:$1,0)+1,FALSE)</f>
        <v>60</v>
      </c>
      <c r="K79" s="38" t="s">
        <v>53</v>
      </c>
      <c r="L79" s="20">
        <v>7</v>
      </c>
      <c r="M79" s="17" t="str">
        <f ca="1">VLOOKUP($L79,OFFSET([3]enemies!$A$1,0,0,COUNTA([3]enemies!$A:$A),MATCH(M$1,[3]enemies!$1:$1,0)-MATCH($L$1,[3]enemies!$1:$1,0)+1),MATCH(M$1,[3]enemies!$1:$1,0)-MATCH($L$1,[3]enemies!$1:$1,0)+1,FALSE)</f>
        <v>エレキポット</v>
      </c>
      <c r="N79" s="17" t="str">
        <f ca="1">VLOOKUP($L79,OFFSET([3]enemies!$A$1,0,0,COUNTA([3]enemies!$A:$A),MATCH(N$1,[3]enemies!$1:$1,0)-MATCH($L$1,[3]enemies!$1:$1,0)+1),MATCH(N$1,[3]enemies!$1:$1,0)-MATCH($L$1,[3]enemies!$1:$1,0)+1,FALSE)</f>
        <v>yellow</v>
      </c>
      <c r="O79" s="17" t="str">
        <f ca="1">VLOOKUP($L79,OFFSET([4]characters!$A$1,0,0,COUNTA([4]characters!$A:$A),MATCH(O$1,[4]characters!$1:$1,0)-MATCH($L$1,[4]characters!$1:$1,0)+1),MATCH(O$1,[4]characters!$1:$1,0)-MATCH($L$1,[4]characters!$1:$1,0)+1,FALSE)</f>
        <v>Drop1T</v>
      </c>
      <c r="P79" s="17" t="str">
        <f ca="1">VLOOKUP($L79,OFFSET([3]enemies!$A$1,0,0,COUNTA([3]enemies!$A:$A),MATCH(P$1,[3]enemies!$1:$1,0)-MATCH($L$1,[3]enemies!$1:$1,0)+1),MATCH(P$1,[3]enemies!$1:$1,0)-MATCH($L$1,[3]enemies!$1:$1,0)+1,FALSE)</f>
        <v>unknown</v>
      </c>
      <c r="Q79" s="17">
        <f ca="1">VLOOKUP($L79,OFFSET([3]enemies!$A$1,0,0,COUNTA([3]enemies!$A:$A),MATCH(Q$1,[3]enemies!$1:$1,0)-MATCH($L$1,[3]enemies!$1:$1,0)+1),MATCH(Q$1,[3]enemies!$1:$1,0)-MATCH($L$1,[3]enemies!$1:$1,0)+1,FALSE)</f>
        <v>15</v>
      </c>
      <c r="R79" s="5">
        <v>53</v>
      </c>
      <c r="S79" s="25">
        <v>1</v>
      </c>
      <c r="T79" s="25">
        <v>0.4</v>
      </c>
      <c r="U79" s="5">
        <v>0</v>
      </c>
      <c r="V79" s="4" t="e">
        <f ca="1">VLOOKUP($W79,OFFSET(enemy_skill_sets!$B$1,0,0,COUNTA(enemy_skill_sets!$B:$B),MATCH(M$1,enemy_skill_sets!$1:$1,0)-MATCH($W$1,enemy_skill_sets!$1:$1,0)+2),MATCH(M$1,enemy_skill_sets!$1:$1,0)-MATCH($W$1,enemy_skill_sets!$1:$1,0)+2,FALSE)</f>
        <v>#N/A</v>
      </c>
      <c r="W79" s="4">
        <f ca="1">VLOOKUP($L79,OFFSET([3]enemies!$A$1,0,0,COUNTA([3]enemies!$A:$A),MATCH(W$1,[3]enemies!$1:$1,0)-MATCH($L$1,[3]enemies!$1:$1,0)+1),MATCH(W$1,[3]enemies!$1:$1,0)-MATCH($L$1,[3]enemies!$1:$1,0)+1,FALSE)</f>
        <v>0</v>
      </c>
      <c r="X79" s="6">
        <v>0</v>
      </c>
      <c r="Y79" s="6">
        <v>100</v>
      </c>
      <c r="Z79" s="6">
        <v>0</v>
      </c>
      <c r="AA79" s="17">
        <v>2</v>
      </c>
      <c r="AB79" s="24">
        <f t="shared" si="8"/>
        <v>7</v>
      </c>
      <c r="AC79" s="4" t="str">
        <f ca="1">VLOOKUP($AB79,OFFSET([4]characters!$A$1,0,0,COUNTA([4]characters!$A:$A),MATCH(AC$1,[4]characters!$1:$1,0)-MATCH("character_id",[4]characters!$1:$1,0)+1),MATCH(AC$1,[4]characters!$1:$1,0)-MATCH("character_id",[4]characters!$1:$1,0)+1,FALSE)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79" s="4">
        <f ca="1">VLOOKUP($AB79,OFFSET([4]characters!$A$1,0,0,COUNTA([4]characters!$A:$A),MATCH(AD$1,[4]characters!$1:$1,0)-MATCH("character_id",[4]characters!$1:$1,0)+1),MATCH(AD$1,[4]characters!$1:$1,0)-MATCH("character_id",[4]characters!$1:$1,0)+1,FALSE)</f>
        <v>1</v>
      </c>
      <c r="AE79" s="4" t="str">
        <f ca="1">VLOOKUP($AB79,OFFSET([4]characters!$A$1,0,0,COUNTA([4]characters!$A:$A),MATCH(AE$1,[4]characters!$1:$1,0)-MATCH("character_id",[4]characters!$1:$1,0)+1),MATCH(AE$1,[4]characters!$1:$1,0)-MATCH("character_id",[4]characters!$1:$1,0)+1,FALSE)</f>
        <v>Drop1T</v>
      </c>
      <c r="AF79" s="7">
        <v>1</v>
      </c>
      <c r="AG79" s="24">
        <f t="shared" ca="1" si="9"/>
        <v>1</v>
      </c>
      <c r="AH79" s="8">
        <v>20</v>
      </c>
      <c r="AI79" s="7">
        <v>0</v>
      </c>
      <c r="AJ79" s="7">
        <v>0</v>
      </c>
      <c r="AK79" s="7">
        <v>0</v>
      </c>
      <c r="AL79" s="7">
        <v>0</v>
      </c>
      <c r="AM79" s="7">
        <v>1</v>
      </c>
      <c r="AN79" s="69">
        <v>1</v>
      </c>
    </row>
    <row r="80" spans="1:40" ht="21" customHeight="1" x14ac:dyDescent="0.15">
      <c r="A80" s="16" t="str">
        <f t="shared" si="5"/>
        <v>39005_4-3/15&lt;lv53&gt;s3</v>
      </c>
      <c r="B80" s="22">
        <v>39005</v>
      </c>
      <c r="C80" s="21">
        <v>4</v>
      </c>
      <c r="D80" s="2" t="str">
        <f t="shared" si="6"/>
        <v>39005_4</v>
      </c>
      <c r="E80" s="4" t="str">
        <f ca="1">VLOOKUP($B80,OFFSET([2]quests!$A$1,0,0,COUNTA([2]quests!$A:$A),MATCH(E$1,[2]quests!$1:$1,0)-MATCH($B$1,[2]quests!$1:$1,0)+1),MATCH(E$1,[2]quests!$1:$1,0)-MATCH($B$1,[2]quests!$1:$1,0)+1,FALSE)</f>
        <v xml:space="preserve">ミクエキスポ </v>
      </c>
      <c r="F80" s="4" t="str">
        <f ca="1">VLOOKUP($D80,OFFSET([2]stages!$A$1,0,0,COUNTA([2]stages!$A:$A),MATCH(F$1,[2]stages!$2:$2,0)-MATCH($D$1,[2]stages!$2:$2,0)+1),MATCH(F$1,[2]stages!$2:$2,0)-MATCH($D$1,[2]stages!$2:$2,0)+1,FALSE)</f>
        <v>【超級】ミクエキスポ</v>
      </c>
      <c r="G80" s="96">
        <v>3</v>
      </c>
      <c r="H80" s="15" t="str">
        <f t="shared" si="7"/>
        <v>39005_4-3</v>
      </c>
      <c r="I80" s="4">
        <f ca="1">VLOOKUP($H80,OFFSET(floors!$A$1,0,0,COUNTA(floors!$A:$A),MATCH(I$1,floors!$1:$1,0)-MATCH($H$1,floors!$1:$1,0)+1),MATCH(I$1,floors!$1:$1,0)-MATCH($H$1,floors!$1:$1,0)+1,FALSE)</f>
        <v>60</v>
      </c>
      <c r="J80" s="4">
        <f ca="1">VLOOKUP($H80,OFFSET(floors!$A$1,0,0,COUNTA(floors!$A:$A),MATCH(J$1,floors!$1:$1,0)-MATCH($H$1,floors!$1:$1,0)+1),MATCH(J$1,floors!$1:$1,0)-MATCH($H$1,floors!$1:$1,0)+1,FALSE)</f>
        <v>60</v>
      </c>
      <c r="K80" s="38" t="s">
        <v>53</v>
      </c>
      <c r="L80" s="20">
        <v>15</v>
      </c>
      <c r="M80" s="17" t="str">
        <f ca="1">VLOOKUP($L80,OFFSET([3]enemies!$A$1,0,0,COUNTA([3]enemies!$A:$A),MATCH(M$1,[3]enemies!$1:$1,0)-MATCH($L$1,[3]enemies!$1:$1,0)+1),MATCH(M$1,[3]enemies!$1:$1,0)-MATCH($L$1,[3]enemies!$1:$1,0)+1,FALSE)</f>
        <v>アカネ</v>
      </c>
      <c r="N80" s="17" t="str">
        <f ca="1">VLOOKUP($L80,OFFSET([3]enemies!$A$1,0,0,COUNTA([3]enemies!$A:$A),MATCH(N$1,[3]enemies!$1:$1,0)-MATCH($L$1,[3]enemies!$1:$1,0)+1),MATCH(N$1,[3]enemies!$1:$1,0)-MATCH($L$1,[3]enemies!$1:$1,0)+1,FALSE)</f>
        <v>red</v>
      </c>
      <c r="O80" s="17" t="str">
        <f ca="1">VLOOKUP($L80,OFFSET([4]characters!$A$1,0,0,COUNTA([4]characters!$A:$A),MATCH(O$1,[4]characters!$1:$1,0)-MATCH($L$1,[4]characters!$1:$1,0)+1),MATCH(O$1,[4]characters!$1:$1,0)-MATCH($L$1,[4]characters!$1:$1,0)+1,FALSE)</f>
        <v>Drop1W</v>
      </c>
      <c r="P80" s="17" t="str">
        <f ca="1">VLOOKUP($L80,OFFSET([3]enemies!$A$1,0,0,COUNTA([3]enemies!$A:$A),MATCH(P$1,[3]enemies!$1:$1,0)-MATCH($L$1,[3]enemies!$1:$1,0)+1),MATCH(P$1,[3]enemies!$1:$1,0)-MATCH($L$1,[3]enemies!$1:$1,0)+1,FALSE)</f>
        <v>human</v>
      </c>
      <c r="Q80" s="17">
        <f ca="1">VLOOKUP($L80,OFFSET([3]enemies!$A$1,0,0,COUNTA([3]enemies!$A:$A),MATCH(Q$1,[3]enemies!$1:$1,0)-MATCH($L$1,[3]enemies!$1:$1,0)+1),MATCH(Q$1,[3]enemies!$1:$1,0)-MATCH($L$1,[3]enemies!$1:$1,0)+1,FALSE)</f>
        <v>15</v>
      </c>
      <c r="R80" s="5">
        <v>53</v>
      </c>
      <c r="S80" s="25">
        <v>1</v>
      </c>
      <c r="T80" s="25">
        <v>0.6</v>
      </c>
      <c r="U80" s="5">
        <v>0</v>
      </c>
      <c r="V80" s="4" t="str">
        <f ca="1">VLOOKUP($W80,OFFSET([5]enemy_skill_sets!$B$1,0,0,COUNTA([5]enemy_skill_sets!$B:$B),MATCH(M$1,[5]enemy_skill_sets!$1:$1,0)-MATCH($W$1,[5]enemy_skill_sets!$1:$1,0)+2),MATCH(M$1,[5]enemy_skill_sets!$1:$1,0)-MATCH($W$1,[5]enemy_skill_sets!$1:$1,0)+2,FALSE)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0" s="4">
        <f ca="1">VLOOKUP($L80,OFFSET([3]enemies!$A$1,0,0,COUNTA([3]enemies!$A:$A),MATCH(W$1,[3]enemies!$1:$1,0)-MATCH($L$1,[3]enemies!$1:$1,0)+1),MATCH(W$1,[3]enemies!$1:$1,0)-MATCH($L$1,[3]enemies!$1:$1,0)+1,FALSE)</f>
        <v>0</v>
      </c>
      <c r="X80" s="6">
        <v>0</v>
      </c>
      <c r="Y80" s="6">
        <v>100</v>
      </c>
      <c r="Z80" s="6">
        <v>0</v>
      </c>
      <c r="AA80" s="17">
        <v>3</v>
      </c>
      <c r="AB80" s="24">
        <f t="shared" si="8"/>
        <v>15</v>
      </c>
      <c r="AC80" s="4" t="str">
        <f ca="1">VLOOKUP($AB80,OFFSET([4]characters!$A$1,0,0,COUNTA([4]characters!$A:$A),MATCH(AC$1,[4]characters!$1:$1,0)-MATCH("character_id",[4]characters!$1:$1,0)+1),MATCH(AC$1,[4]characters!$1:$1,0)-MATCH("character_id",[4]characters!$1:$1,0)+1,FALSE)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80" s="4">
        <f ca="1">VLOOKUP($AB80,OFFSET([4]characters!$A$1,0,0,COUNTA([4]characters!$A:$A),MATCH(AD$1,[4]characters!$1:$1,0)-MATCH("character_id",[4]characters!$1:$1,0)+1),MATCH(AD$1,[4]characters!$1:$1,0)-MATCH("character_id",[4]characters!$1:$1,0)+1,FALSE)</f>
        <v>1</v>
      </c>
      <c r="AE80" s="4" t="str">
        <f ca="1">VLOOKUP($AB80,OFFSET([4]characters!$A$1,0,0,COUNTA([4]characters!$A:$A),MATCH(AE$1,[4]characters!$1:$1,0)-MATCH("character_id",[4]characters!$1:$1,0)+1),MATCH(AE$1,[4]characters!$1:$1,0)-MATCH("character_id",[4]characters!$1:$1,0)+1,FALSE)</f>
        <v>Drop1W</v>
      </c>
      <c r="AF80" s="7">
        <v>1</v>
      </c>
      <c r="AG80" s="24">
        <f t="shared" ca="1" si="9"/>
        <v>1</v>
      </c>
      <c r="AH80" s="8">
        <v>20</v>
      </c>
      <c r="AI80" s="7">
        <v>0</v>
      </c>
      <c r="AJ80" s="7">
        <v>0</v>
      </c>
      <c r="AK80" s="7">
        <v>0</v>
      </c>
      <c r="AL80" s="7">
        <v>0</v>
      </c>
      <c r="AM80" s="7">
        <v>1</v>
      </c>
      <c r="AN80" s="69">
        <v>1</v>
      </c>
    </row>
    <row r="81" spans="1:40" ht="21" customHeight="1" x14ac:dyDescent="0.15">
      <c r="A81" s="16" t="str">
        <f t="shared" si="5"/>
        <v>39005_4-3/27&lt;lv53&gt;s1</v>
      </c>
      <c r="B81" s="22">
        <v>39005</v>
      </c>
      <c r="C81" s="21">
        <v>4</v>
      </c>
      <c r="D81" s="2" t="str">
        <f t="shared" si="6"/>
        <v>39005_4</v>
      </c>
      <c r="E81" s="4" t="str">
        <f ca="1">VLOOKUP($B81,OFFSET([2]quests!$A$1,0,0,COUNTA([2]quests!$A:$A),MATCH(E$1,[2]quests!$1:$1,0)-MATCH($B$1,[2]quests!$1:$1,0)+1),MATCH(E$1,[2]quests!$1:$1,0)-MATCH($B$1,[2]quests!$1:$1,0)+1,FALSE)</f>
        <v xml:space="preserve">ミクエキスポ </v>
      </c>
      <c r="F81" s="4" t="str">
        <f ca="1">VLOOKUP($D81,OFFSET([2]stages!$A$1,0,0,COUNTA([2]stages!$A:$A),MATCH(F$1,[2]stages!$2:$2,0)-MATCH($D$1,[2]stages!$2:$2,0)+1),MATCH(F$1,[2]stages!$2:$2,0)-MATCH($D$1,[2]stages!$2:$2,0)+1,FALSE)</f>
        <v>【超級】ミクエキスポ</v>
      </c>
      <c r="G81" s="96">
        <v>3</v>
      </c>
      <c r="H81" s="15" t="str">
        <f t="shared" si="7"/>
        <v>39005_4-3</v>
      </c>
      <c r="I81" s="4">
        <f ca="1">VLOOKUP($H81,OFFSET(floors!$A$1,0,0,COUNTA(floors!$A:$A),MATCH(I$1,floors!$1:$1,0)-MATCH($H$1,floors!$1:$1,0)+1),MATCH(I$1,floors!$1:$1,0)-MATCH($H$1,floors!$1:$1,0)+1,FALSE)</f>
        <v>60</v>
      </c>
      <c r="J81" s="4">
        <f ca="1">VLOOKUP($H81,OFFSET(floors!$A$1,0,0,COUNTA(floors!$A:$A),MATCH(J$1,floors!$1:$1,0)-MATCH($H$1,floors!$1:$1,0)+1),MATCH(J$1,floors!$1:$1,0)-MATCH($H$1,floors!$1:$1,0)+1,FALSE)</f>
        <v>60</v>
      </c>
      <c r="K81" s="38" t="s">
        <v>53</v>
      </c>
      <c r="L81" s="20">
        <v>27</v>
      </c>
      <c r="M81" s="17" t="str">
        <f ca="1">VLOOKUP($L81,OFFSET([3]enemies!$A$1,0,0,COUNTA([3]enemies!$A:$A),MATCH(M$1,[3]enemies!$1:$1,0)-MATCH($L$1,[3]enemies!$1:$1,0)+1),MATCH(M$1,[3]enemies!$1:$1,0)-MATCH($L$1,[3]enemies!$1:$1,0)+1,FALSE)</f>
        <v>パトライン</v>
      </c>
      <c r="N81" s="17" t="str">
        <f ca="1">VLOOKUP($L81,OFFSET([3]enemies!$A$1,0,0,COUNTA([3]enemies!$A:$A),MATCH(N$1,[3]enemies!$1:$1,0)-MATCH($L$1,[3]enemies!$1:$1,0)+1),MATCH(N$1,[3]enemies!$1:$1,0)-MATCH($L$1,[3]enemies!$1:$1,0)+1,FALSE)</f>
        <v>green</v>
      </c>
      <c r="O81" s="17" t="str">
        <f ca="1">VLOOKUP($L81,OFFSET([4]characters!$A$1,0,0,COUNTA([4]characters!$A:$A),MATCH(O$1,[4]characters!$1:$1,0)-MATCH($L$1,[4]characters!$1:$1,0)+1),MATCH(O$1,[4]characters!$1:$1,0)-MATCH($L$1,[4]characters!$1:$1,0)+1,FALSE)</f>
        <v>Drop1N</v>
      </c>
      <c r="P81" s="17" t="str">
        <f ca="1">VLOOKUP($L81,OFFSET([3]enemies!$A$1,0,0,COUNTA([3]enemies!$A:$A),MATCH(P$1,[3]enemies!$1:$1,0)-MATCH($L$1,[3]enemies!$1:$1,0)+1),MATCH(P$1,[3]enemies!$1:$1,0)-MATCH($L$1,[3]enemies!$1:$1,0)+1,FALSE)</f>
        <v>machine</v>
      </c>
      <c r="Q81" s="17">
        <f ca="1">VLOOKUP($L81,OFFSET([3]enemies!$A$1,0,0,COUNTA([3]enemies!$A:$A),MATCH(Q$1,[3]enemies!$1:$1,0)-MATCH($L$1,[3]enemies!$1:$1,0)+1),MATCH(Q$1,[3]enemies!$1:$1,0)-MATCH($L$1,[3]enemies!$1:$1,0)+1,FALSE)</f>
        <v>15</v>
      </c>
      <c r="R81" s="5">
        <v>53</v>
      </c>
      <c r="S81" s="25">
        <v>1</v>
      </c>
      <c r="T81" s="25">
        <v>0.6</v>
      </c>
      <c r="U81" s="5">
        <v>0</v>
      </c>
      <c r="V81" s="4" t="e">
        <f ca="1">VLOOKUP($W81,OFFSET(enemy_skill_sets!$B$1,0,0,COUNTA(enemy_skill_sets!$B:$B),MATCH(M$1,enemy_skill_sets!$1:$1,0)-MATCH($W$1,enemy_skill_sets!$1:$1,0)+2),MATCH(M$1,enemy_skill_sets!$1:$1,0)-MATCH($W$1,enemy_skill_sets!$1:$1,0)+2,FALSE)</f>
        <v>#N/A</v>
      </c>
      <c r="W81" s="4">
        <f ca="1">VLOOKUP($L81,OFFSET([3]enemies!$A$1,0,0,COUNTA([3]enemies!$A:$A),MATCH(W$1,[3]enemies!$1:$1,0)-MATCH($L$1,[3]enemies!$1:$1,0)+1),MATCH(W$1,[3]enemies!$1:$1,0)-MATCH($L$1,[3]enemies!$1:$1,0)+1,FALSE)</f>
        <v>0</v>
      </c>
      <c r="X81" s="6">
        <v>0</v>
      </c>
      <c r="Y81" s="6">
        <v>100</v>
      </c>
      <c r="Z81" s="6">
        <v>0</v>
      </c>
      <c r="AA81" s="17">
        <v>1</v>
      </c>
      <c r="AB81" s="24">
        <f t="shared" si="8"/>
        <v>27</v>
      </c>
      <c r="AC81" s="4" t="str">
        <f ca="1">VLOOKUP($AB81,OFFSET([4]characters!$A$1,0,0,COUNTA([4]characters!$A:$A),MATCH(AC$1,[4]characters!$1:$1,0)-MATCH("character_id",[4]characters!$1:$1,0)+1),MATCH(AC$1,[4]characters!$1:$1,0)-MATCH("character_id",[4]characters!$1:$1,0)+1,FALSE)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81" s="4">
        <f ca="1">VLOOKUP($AB81,OFFSET([4]characters!$A$1,0,0,COUNTA([4]characters!$A:$A),MATCH(AD$1,[4]characters!$1:$1,0)-MATCH("character_id",[4]characters!$1:$1,0)+1),MATCH(AD$1,[4]characters!$1:$1,0)-MATCH("character_id",[4]characters!$1:$1,0)+1,FALSE)</f>
        <v>1</v>
      </c>
      <c r="AE81" s="4" t="str">
        <f ca="1">VLOOKUP($AB81,OFFSET([4]characters!$A$1,0,0,COUNTA([4]characters!$A:$A),MATCH(AE$1,[4]characters!$1:$1,0)-MATCH("character_id",[4]characters!$1:$1,0)+1),MATCH(AE$1,[4]characters!$1:$1,0)-MATCH("character_id",[4]characters!$1:$1,0)+1,FALSE)</f>
        <v>Drop1N</v>
      </c>
      <c r="AF81" s="7">
        <v>1</v>
      </c>
      <c r="AG81" s="24">
        <f t="shared" ca="1" si="9"/>
        <v>1</v>
      </c>
      <c r="AH81" s="8">
        <v>20</v>
      </c>
      <c r="AI81" s="7">
        <v>0</v>
      </c>
      <c r="AJ81" s="7">
        <v>0</v>
      </c>
      <c r="AK81" s="7">
        <v>0</v>
      </c>
      <c r="AL81" s="7">
        <v>0</v>
      </c>
      <c r="AM81" s="7">
        <v>1</v>
      </c>
      <c r="AN81" s="69">
        <v>1</v>
      </c>
    </row>
    <row r="82" spans="1:40" ht="21" customHeight="1" x14ac:dyDescent="0.15">
      <c r="A82" s="16" t="str">
        <f t="shared" si="5"/>
        <v>39005_4-3/17&lt;lv53&gt;s2</v>
      </c>
      <c r="B82" s="22">
        <v>39005</v>
      </c>
      <c r="C82" s="21">
        <v>4</v>
      </c>
      <c r="D82" s="2" t="str">
        <f t="shared" si="6"/>
        <v>39005_4</v>
      </c>
      <c r="E82" s="4" t="str">
        <f ca="1">VLOOKUP($B82,OFFSET([2]quests!$A$1,0,0,COUNTA([2]quests!$A:$A),MATCH(E$1,[2]quests!$1:$1,0)-MATCH($B$1,[2]quests!$1:$1,0)+1),MATCH(E$1,[2]quests!$1:$1,0)-MATCH($B$1,[2]quests!$1:$1,0)+1,FALSE)</f>
        <v xml:space="preserve">ミクエキスポ </v>
      </c>
      <c r="F82" s="4" t="str">
        <f ca="1">VLOOKUP($D82,OFFSET([2]stages!$A$1,0,0,COUNTA([2]stages!$A:$A),MATCH(F$1,[2]stages!$2:$2,0)-MATCH($D$1,[2]stages!$2:$2,0)+1),MATCH(F$1,[2]stages!$2:$2,0)-MATCH($D$1,[2]stages!$2:$2,0)+1,FALSE)</f>
        <v>【超級】ミクエキスポ</v>
      </c>
      <c r="G82" s="96">
        <v>3</v>
      </c>
      <c r="H82" s="15" t="str">
        <f t="shared" si="7"/>
        <v>39005_4-3</v>
      </c>
      <c r="I82" s="4">
        <f ca="1">VLOOKUP($H82,OFFSET(floors!$A$1,0,0,COUNTA(floors!$A:$A),MATCH(I$1,floors!$1:$1,0)-MATCH($H$1,floors!$1:$1,0)+1),MATCH(I$1,floors!$1:$1,0)-MATCH($H$1,floors!$1:$1,0)+1,FALSE)</f>
        <v>60</v>
      </c>
      <c r="J82" s="4">
        <f ca="1">VLOOKUP($H82,OFFSET(floors!$A$1,0,0,COUNTA(floors!$A:$A),MATCH(J$1,floors!$1:$1,0)-MATCH($H$1,floors!$1:$1,0)+1),MATCH(J$1,floors!$1:$1,0)-MATCH($H$1,floors!$1:$1,0)+1,FALSE)</f>
        <v>60</v>
      </c>
      <c r="K82" s="38" t="s">
        <v>53</v>
      </c>
      <c r="L82" s="20">
        <v>17</v>
      </c>
      <c r="M82" s="17" t="str">
        <f ca="1">VLOOKUP($L82,OFFSET([3]enemies!$A$1,0,0,COUNTA([3]enemies!$A:$A),MATCH(M$1,[3]enemies!$1:$1,0)-MATCH($L$1,[3]enemies!$1:$1,0)+1),MATCH(M$1,[3]enemies!$1:$1,0)-MATCH($L$1,[3]enemies!$1:$1,0)+1,FALSE)</f>
        <v>リム</v>
      </c>
      <c r="N82" s="17" t="str">
        <f ca="1">VLOOKUP($L82,OFFSET([3]enemies!$A$1,0,0,COUNTA([3]enemies!$A:$A),MATCH(N$1,[3]enemies!$1:$1,0)-MATCH($L$1,[3]enemies!$1:$1,0)+1),MATCH(N$1,[3]enemies!$1:$1,0)-MATCH($L$1,[3]enemies!$1:$1,0)+1,FALSE)</f>
        <v>blue</v>
      </c>
      <c r="O82" s="17" t="str">
        <f ca="1">VLOOKUP($L82,OFFSET([4]characters!$A$1,0,0,COUNTA([4]characters!$A:$A),MATCH(O$1,[4]characters!$1:$1,0)-MATCH($L$1,[4]characters!$1:$1,0)+1),MATCH(O$1,[4]characters!$1:$1,0)-MATCH($L$1,[4]characters!$1:$1,0)+1,FALSE)</f>
        <v>Drop1W</v>
      </c>
      <c r="P82" s="17" t="str">
        <f ca="1">VLOOKUP($L82,OFFSET([3]enemies!$A$1,0,0,COUNTA([3]enemies!$A:$A),MATCH(P$1,[3]enemies!$1:$1,0)-MATCH($L$1,[3]enemies!$1:$1,0)+1),MATCH(P$1,[3]enemies!$1:$1,0)-MATCH($L$1,[3]enemies!$1:$1,0)+1,FALSE)</f>
        <v>human</v>
      </c>
      <c r="Q82" s="17">
        <f ca="1">VLOOKUP($L82,OFFSET([3]enemies!$A$1,0,0,COUNTA([3]enemies!$A:$A),MATCH(Q$1,[3]enemies!$1:$1,0)-MATCH($L$1,[3]enemies!$1:$1,0)+1),MATCH(Q$1,[3]enemies!$1:$1,0)-MATCH($L$1,[3]enemies!$1:$1,0)+1,FALSE)</f>
        <v>15</v>
      </c>
      <c r="R82" s="5">
        <v>53</v>
      </c>
      <c r="S82" s="25">
        <v>1</v>
      </c>
      <c r="T82" s="25">
        <v>0.6</v>
      </c>
      <c r="U82" s="5">
        <v>0</v>
      </c>
      <c r="V82" s="4" t="str">
        <f ca="1">VLOOKUP($W82,OFFSET([5]enemy_skill_sets!$B$1,0,0,COUNTA([5]enemy_skill_sets!$B:$B),MATCH(M$1,[5]enemy_skill_sets!$1:$1,0)-MATCH($W$1,[5]enemy_skill_sets!$1:$1,0)+2),MATCH(M$1,[5]enemy_skill_sets!$1:$1,0)-MATCH($W$1,[5]enemy_skill_sets!$1:$1,0)+2,FALSE)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2" s="4">
        <f ca="1">VLOOKUP($L82,OFFSET([3]enemies!$A$1,0,0,COUNTA([3]enemies!$A:$A),MATCH(W$1,[3]enemies!$1:$1,0)-MATCH($L$1,[3]enemies!$1:$1,0)+1),MATCH(W$1,[3]enemies!$1:$1,0)-MATCH($L$1,[3]enemies!$1:$1,0)+1,FALSE)</f>
        <v>0</v>
      </c>
      <c r="X82" s="6">
        <v>0</v>
      </c>
      <c r="Y82" s="6">
        <v>100</v>
      </c>
      <c r="Z82" s="6">
        <v>0</v>
      </c>
      <c r="AA82" s="17">
        <v>2</v>
      </c>
      <c r="AB82" s="24">
        <f t="shared" si="8"/>
        <v>17</v>
      </c>
      <c r="AC82" s="4" t="str">
        <f ca="1">VLOOKUP($AB82,OFFSET([4]characters!$A$1,0,0,COUNTA([4]characters!$A:$A),MATCH(AC$1,[4]characters!$1:$1,0)-MATCH("character_id",[4]characters!$1:$1,0)+1),MATCH(AC$1,[4]characters!$1:$1,0)-MATCH("character_id",[4]characters!$1:$1,0)+1,FALSE)</f>
        <v>リム</v>
      </c>
      <c r="AD82" s="4">
        <f ca="1">VLOOKUP($AB82,OFFSET([4]characters!$A$1,0,0,COUNTA([4]characters!$A:$A),MATCH(AD$1,[4]characters!$1:$1,0)-MATCH("character_id",[4]characters!$1:$1,0)+1),MATCH(AD$1,[4]characters!$1:$1,0)-MATCH("character_id",[4]characters!$1:$1,0)+1,FALSE)</f>
        <v>1</v>
      </c>
      <c r="AE82" s="4" t="str">
        <f ca="1">VLOOKUP($AB82,OFFSET([4]characters!$A$1,0,0,COUNTA([4]characters!$A:$A),MATCH(AE$1,[4]characters!$1:$1,0)-MATCH("character_id",[4]characters!$1:$1,0)+1),MATCH(AE$1,[4]characters!$1:$1,0)-MATCH("character_id",[4]characters!$1:$1,0)+1,FALSE)</f>
        <v>Drop1W</v>
      </c>
      <c r="AF82" s="7">
        <v>1</v>
      </c>
      <c r="AG82" s="24">
        <f t="shared" ca="1" si="9"/>
        <v>1</v>
      </c>
      <c r="AH82" s="8">
        <v>20</v>
      </c>
      <c r="AI82" s="7">
        <v>0</v>
      </c>
      <c r="AJ82" s="7">
        <v>0</v>
      </c>
      <c r="AK82" s="7">
        <v>0</v>
      </c>
      <c r="AL82" s="7">
        <v>0</v>
      </c>
      <c r="AM82" s="7">
        <v>1</v>
      </c>
      <c r="AN82" s="69">
        <v>1</v>
      </c>
    </row>
    <row r="83" spans="1:40" ht="21" customHeight="1" x14ac:dyDescent="0.15">
      <c r="A83" s="16" t="str">
        <f t="shared" si="5"/>
        <v>39005_4-3/13&lt;lv53&gt;s2</v>
      </c>
      <c r="B83" s="22">
        <v>39005</v>
      </c>
      <c r="C83" s="21">
        <v>4</v>
      </c>
      <c r="D83" s="2" t="str">
        <f t="shared" si="6"/>
        <v>39005_4</v>
      </c>
      <c r="E83" s="4" t="str">
        <f ca="1">VLOOKUP($B83,OFFSET([2]quests!$A$1,0,0,COUNTA([2]quests!$A:$A),MATCH(E$1,[2]quests!$1:$1,0)-MATCH($B$1,[2]quests!$1:$1,0)+1),MATCH(E$1,[2]quests!$1:$1,0)-MATCH($B$1,[2]quests!$1:$1,0)+1,FALSE)</f>
        <v xml:space="preserve">ミクエキスポ </v>
      </c>
      <c r="F83" s="4" t="str">
        <f ca="1">VLOOKUP($D83,OFFSET([2]stages!$A$1,0,0,COUNTA([2]stages!$A:$A),MATCH(F$1,[2]stages!$2:$2,0)-MATCH($D$1,[2]stages!$2:$2,0)+1),MATCH(F$1,[2]stages!$2:$2,0)-MATCH($D$1,[2]stages!$2:$2,0)+1,FALSE)</f>
        <v>【超級】ミクエキスポ</v>
      </c>
      <c r="G83" s="96">
        <v>3</v>
      </c>
      <c r="H83" s="15" t="str">
        <f t="shared" si="7"/>
        <v>39005_4-3</v>
      </c>
      <c r="I83" s="4">
        <f ca="1">VLOOKUP($H83,OFFSET(floors!$A$1,0,0,COUNTA(floors!$A:$A),MATCH(I$1,floors!$1:$1,0)-MATCH($H$1,floors!$1:$1,0)+1),MATCH(I$1,floors!$1:$1,0)-MATCH($H$1,floors!$1:$1,0)+1,FALSE)</f>
        <v>60</v>
      </c>
      <c r="J83" s="4">
        <f ca="1">VLOOKUP($H83,OFFSET(floors!$A$1,0,0,COUNTA(floors!$A:$A),MATCH(J$1,floors!$1:$1,0)-MATCH($H$1,floors!$1:$1,0)+1),MATCH(J$1,floors!$1:$1,0)-MATCH($H$1,floors!$1:$1,0)+1,FALSE)</f>
        <v>60</v>
      </c>
      <c r="K83" s="38" t="s">
        <v>53</v>
      </c>
      <c r="L83" s="20">
        <v>13</v>
      </c>
      <c r="M83" s="17" t="str">
        <f ca="1">VLOOKUP($L83,OFFSET([3]enemies!$A$1,0,0,COUNTA([3]enemies!$A:$A),MATCH(M$1,[3]enemies!$1:$1,0)-MATCH($L$1,[3]enemies!$1:$1,0)+1),MATCH(M$1,[3]enemies!$1:$1,0)-MATCH($L$1,[3]enemies!$1:$1,0)+1,FALSE)</f>
        <v>ミミ</v>
      </c>
      <c r="N83" s="17" t="str">
        <f ca="1">VLOOKUP($L83,OFFSET([3]enemies!$A$1,0,0,COUNTA([3]enemies!$A:$A),MATCH(N$1,[3]enemies!$1:$1,0)-MATCH($L$1,[3]enemies!$1:$1,0)+1),MATCH(N$1,[3]enemies!$1:$1,0)-MATCH($L$1,[3]enemies!$1:$1,0)+1,FALSE)</f>
        <v>yellow</v>
      </c>
      <c r="O83" s="17" t="str">
        <f ca="1">VLOOKUP($L83,OFFSET([4]characters!$A$1,0,0,COUNTA([4]characters!$A:$A),MATCH(O$1,[4]characters!$1:$1,0)-MATCH($L$1,[4]characters!$1:$1,0)+1),MATCH(O$1,[4]characters!$1:$1,0)-MATCH($L$1,[4]characters!$1:$1,0)+1,FALSE)</f>
        <v>Drop1W</v>
      </c>
      <c r="P83" s="17" t="str">
        <f ca="1">VLOOKUP($L83,OFFSET([3]enemies!$A$1,0,0,COUNTA([3]enemies!$A:$A),MATCH(P$1,[3]enemies!$1:$1,0)-MATCH($L$1,[3]enemies!$1:$1,0)+1),MATCH(P$1,[3]enemies!$1:$1,0)-MATCH($L$1,[3]enemies!$1:$1,0)+1,FALSE)</f>
        <v>animal</v>
      </c>
      <c r="Q83" s="17">
        <f ca="1">VLOOKUP($L83,OFFSET([3]enemies!$A$1,0,0,COUNTA([3]enemies!$A:$A),MATCH(Q$1,[3]enemies!$1:$1,0)-MATCH($L$1,[3]enemies!$1:$1,0)+1),MATCH(Q$1,[3]enemies!$1:$1,0)-MATCH($L$1,[3]enemies!$1:$1,0)+1,FALSE)</f>
        <v>15</v>
      </c>
      <c r="R83" s="5">
        <v>53</v>
      </c>
      <c r="S83" s="25">
        <v>1</v>
      </c>
      <c r="T83" s="25">
        <v>0.4</v>
      </c>
      <c r="U83" s="5">
        <v>0</v>
      </c>
      <c r="V83" s="4" t="e">
        <f ca="1">VLOOKUP($W83,OFFSET(enemy_skill_sets!$B$1,0,0,COUNTA(enemy_skill_sets!$B:$B),MATCH(M$1,enemy_skill_sets!$1:$1,0)-MATCH($W$1,enemy_skill_sets!$1:$1,0)+2),MATCH(M$1,enemy_skill_sets!$1:$1,0)-MATCH($W$1,enemy_skill_sets!$1:$1,0)+2,FALSE)</f>
        <v>#N/A</v>
      </c>
      <c r="W83" s="4">
        <f ca="1">VLOOKUP($L83,OFFSET([3]enemies!$A$1,0,0,COUNTA([3]enemies!$A:$A),MATCH(W$1,[3]enemies!$1:$1,0)-MATCH($L$1,[3]enemies!$1:$1,0)+1),MATCH(W$1,[3]enemies!$1:$1,0)-MATCH($L$1,[3]enemies!$1:$1,0)+1,FALSE)</f>
        <v>0</v>
      </c>
      <c r="X83" s="6">
        <v>0</v>
      </c>
      <c r="Y83" s="6">
        <v>100</v>
      </c>
      <c r="Z83" s="6">
        <v>0</v>
      </c>
      <c r="AA83" s="17">
        <v>2</v>
      </c>
      <c r="AB83" s="24">
        <f t="shared" si="8"/>
        <v>13</v>
      </c>
      <c r="AC83" s="4" t="str">
        <f ca="1">VLOOKUP($AB83,OFFSET([4]characters!$A$1,0,0,COUNTA([4]characters!$A:$A),MATCH(AC$1,[4]characters!$1:$1,0)-MATCH("character_id",[4]characters!$1:$1,0)+1),MATCH(AC$1,[4]characters!$1:$1,0)-MATCH("character_id",[4]characters!$1:$1,0)+1,FALSE)</f>
        <v>ミミ</v>
      </c>
      <c r="AD83" s="4">
        <f ca="1">VLOOKUP($AB83,OFFSET([4]characters!$A$1,0,0,COUNTA([4]characters!$A:$A),MATCH(AD$1,[4]characters!$1:$1,0)-MATCH("character_id",[4]characters!$1:$1,0)+1),MATCH(AD$1,[4]characters!$1:$1,0)-MATCH("character_id",[4]characters!$1:$1,0)+1,FALSE)</f>
        <v>1</v>
      </c>
      <c r="AE83" s="4" t="str">
        <f ca="1">VLOOKUP($AB83,OFFSET([4]characters!$A$1,0,0,COUNTA([4]characters!$A:$A),MATCH(AE$1,[4]characters!$1:$1,0)-MATCH("character_id",[4]characters!$1:$1,0)+1),MATCH(AE$1,[4]characters!$1:$1,0)-MATCH("character_id",[4]characters!$1:$1,0)+1,FALSE)</f>
        <v>Drop1W</v>
      </c>
      <c r="AF83" s="7">
        <v>1</v>
      </c>
      <c r="AG83" s="24">
        <f t="shared" ca="1" si="9"/>
        <v>1</v>
      </c>
      <c r="AH83" s="8">
        <v>20</v>
      </c>
      <c r="AI83" s="7">
        <v>0</v>
      </c>
      <c r="AJ83" s="7">
        <v>0</v>
      </c>
      <c r="AK83" s="7">
        <v>0</v>
      </c>
      <c r="AL83" s="7">
        <v>0</v>
      </c>
      <c r="AM83" s="7">
        <v>1</v>
      </c>
      <c r="AN83" s="69">
        <v>1</v>
      </c>
    </row>
    <row r="84" spans="1:40" ht="21" customHeight="1" x14ac:dyDescent="0.15">
      <c r="A84" s="16" t="str">
        <f t="shared" si="5"/>
        <v>39005_4-3/79&lt;lv53&gt;s2</v>
      </c>
      <c r="B84" s="22">
        <v>39005</v>
      </c>
      <c r="C84" s="21">
        <v>4</v>
      </c>
      <c r="D84" s="2" t="str">
        <f t="shared" si="6"/>
        <v>39005_4</v>
      </c>
      <c r="E84" s="4" t="str">
        <f ca="1">VLOOKUP($B84,OFFSET([2]quests!$A$1,0,0,COUNTA([2]quests!$A:$A),MATCH(E$1,[2]quests!$1:$1,0)-MATCH($B$1,[2]quests!$1:$1,0)+1),MATCH(E$1,[2]quests!$1:$1,0)-MATCH($B$1,[2]quests!$1:$1,0)+1,FALSE)</f>
        <v xml:space="preserve">ミクエキスポ </v>
      </c>
      <c r="F84" s="4" t="str">
        <f ca="1">VLOOKUP($D84,OFFSET([2]stages!$A$1,0,0,COUNTA([2]stages!$A:$A),MATCH(F$1,[2]stages!$2:$2,0)-MATCH($D$1,[2]stages!$2:$2,0)+1),MATCH(F$1,[2]stages!$2:$2,0)-MATCH($D$1,[2]stages!$2:$2,0)+1,FALSE)</f>
        <v>【超級】ミクエキスポ</v>
      </c>
      <c r="G84" s="96">
        <v>3</v>
      </c>
      <c r="H84" s="15" t="str">
        <f t="shared" si="7"/>
        <v>39005_4-3</v>
      </c>
      <c r="I84" s="4">
        <f ca="1">VLOOKUP($H84,OFFSET(floors!$A$1,0,0,COUNTA(floors!$A:$A),MATCH(I$1,floors!$1:$1,0)-MATCH($H$1,floors!$1:$1,0)+1),MATCH(I$1,floors!$1:$1,0)-MATCH($H$1,floors!$1:$1,0)+1,FALSE)</f>
        <v>60</v>
      </c>
      <c r="J84" s="4">
        <f ca="1">VLOOKUP($H84,OFFSET(floors!$A$1,0,0,COUNTA(floors!$A:$A),MATCH(J$1,floors!$1:$1,0)-MATCH($H$1,floors!$1:$1,0)+1),MATCH(J$1,floors!$1:$1,0)-MATCH($H$1,floors!$1:$1,0)+1,FALSE)</f>
        <v>60</v>
      </c>
      <c r="K84" s="38" t="s">
        <v>53</v>
      </c>
      <c r="L84" s="20">
        <v>79</v>
      </c>
      <c r="M84" s="17" t="str">
        <f ca="1">VLOOKUP($L84,OFFSET([3]enemies!$A$1,0,0,COUNTA([3]enemies!$A:$A),MATCH(M$1,[3]enemies!$1:$1,0)-MATCH($L$1,[3]enemies!$1:$1,0)+1),MATCH(M$1,[3]enemies!$1:$1,0)-MATCH($L$1,[3]enemies!$1:$1,0)+1,FALSE)</f>
        <v>ハッピー100</v>
      </c>
      <c r="N84" s="17" t="str">
        <f ca="1">VLOOKUP($L84,OFFSET([3]enemies!$A$1,0,0,COUNTA([3]enemies!$A:$A),MATCH(N$1,[3]enemies!$1:$1,0)-MATCH($L$1,[3]enemies!$1:$1,0)+1),MATCH(N$1,[3]enemies!$1:$1,0)-MATCH($L$1,[3]enemies!$1:$1,0)+1,FALSE)</f>
        <v>green</v>
      </c>
      <c r="O84" s="17" t="str">
        <f ca="1">VLOOKUP($L84,OFFSET([4]characters!$A$1,0,0,COUNTA([4]characters!$A:$A),MATCH(O$1,[4]characters!$1:$1,0)-MATCH($L$1,[4]characters!$1:$1,0)+1),MATCH(O$1,[4]characters!$1:$1,0)-MATCH($L$1,[4]characters!$1:$1,0)+1,FALSE)</f>
        <v>DropWizW</v>
      </c>
      <c r="P84" s="17" t="str">
        <f ca="1">VLOOKUP($L84,OFFSET([3]enemies!$A$1,0,0,COUNTA([3]enemies!$A:$A),MATCH(P$1,[3]enemies!$1:$1,0)-MATCH($L$1,[3]enemies!$1:$1,0)+1),MATCH(P$1,[3]enemies!$1:$1,0)-MATCH($L$1,[3]enemies!$1:$1,0)+1,FALSE)</f>
        <v>unknown</v>
      </c>
      <c r="Q84" s="17">
        <f ca="1">VLOOKUP($L84,OFFSET([3]enemies!$A$1,0,0,COUNTA([3]enemies!$A:$A),MATCH(Q$1,[3]enemies!$1:$1,0)-MATCH($L$1,[3]enemies!$1:$1,0)+1),MATCH(Q$1,[3]enemies!$1:$1,0)-MATCH($L$1,[3]enemies!$1:$1,0)+1,FALSE)</f>
        <v>20</v>
      </c>
      <c r="R84" s="5">
        <v>53</v>
      </c>
      <c r="S84" s="25">
        <v>2</v>
      </c>
      <c r="T84" s="25">
        <v>1</v>
      </c>
      <c r="U84" s="5">
        <v>0</v>
      </c>
      <c r="V84" s="4" t="str">
        <f ca="1">VLOOKUP($W84,OFFSET([5]enemy_skill_sets!$B$1,0,0,COUNTA([5]enemy_skill_sets!$B:$B),MATCH(M$1,[5]enemy_skill_sets!$1:$1,0)-MATCH($W$1,[5]enemy_skill_sets!$1:$1,0)+2),MATCH(M$1,[5]enemy_skill_sets!$1:$1,0)-MATCH($W$1,[5]enemy_skill_sets!$1:$1,0)+2,FALSE)</f>
        <v>とても幸せそうだ</v>
      </c>
      <c r="W84" s="4">
        <f ca="1">VLOOKUP($L84,OFFSET([3]enemies!$A$1,0,0,COUNTA([3]enemies!$A:$A),MATCH(W$1,[3]enemies!$1:$1,0)-MATCH($L$1,[3]enemies!$1:$1,0)+1),MATCH(W$1,[3]enemies!$1:$1,0)-MATCH($L$1,[3]enemies!$1:$1,0)+1,FALSE)</f>
        <v>79</v>
      </c>
      <c r="X84" s="6">
        <v>0</v>
      </c>
      <c r="Y84" s="6">
        <v>30</v>
      </c>
      <c r="Z84" s="6">
        <v>1</v>
      </c>
      <c r="AA84" s="17">
        <v>2</v>
      </c>
      <c r="AB84" s="24">
        <f t="shared" si="8"/>
        <v>79</v>
      </c>
      <c r="AC84" s="4" t="str">
        <f ca="1">VLOOKUP($AB84,OFFSET([4]characters!$A$1,0,0,COUNTA([4]characters!$A:$A),MATCH(AC$1,[4]characters!$1:$1,0)-MATCH("character_id",[4]characters!$1:$1,0)+1),MATCH(AC$1,[4]characters!$1:$1,0)-MATCH("character_id",[4]characters!$1:$1,0)+1,FALSE)</f>
        <v>ハッピー100</v>
      </c>
      <c r="AD84" s="4">
        <f ca="1">VLOOKUP($AB84,OFFSET([4]characters!$A$1,0,0,COUNTA([4]characters!$A:$A),MATCH(AD$1,[4]characters!$1:$1,0)-MATCH("character_id",[4]characters!$1:$1,0)+1),MATCH(AD$1,[4]characters!$1:$1,0)-MATCH("character_id",[4]characters!$1:$1,0)+1,FALSE)</f>
        <v>3</v>
      </c>
      <c r="AE84" s="4" t="str">
        <f ca="1">VLOOKUP($AB84,OFFSET([4]characters!$A$1,0,0,COUNTA([4]characters!$A:$A),MATCH(AE$1,[4]characters!$1:$1,0)-MATCH("character_id",[4]characters!$1:$1,0)+1),MATCH(AE$1,[4]characters!$1:$1,0)-MATCH("character_id",[4]characters!$1:$1,0)+1,FALSE)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84" s="7">
        <v>1</v>
      </c>
      <c r="AG84" s="24">
        <f t="shared" ca="1" si="9"/>
        <v>3</v>
      </c>
      <c r="AH84" s="8">
        <v>20</v>
      </c>
      <c r="AI84" s="7">
        <v>0</v>
      </c>
      <c r="AJ84" s="7">
        <v>0</v>
      </c>
      <c r="AK84" s="7">
        <v>0</v>
      </c>
      <c r="AL84" s="7">
        <v>0</v>
      </c>
      <c r="AM84" s="7">
        <v>1</v>
      </c>
      <c r="AN84" s="69">
        <v>1</v>
      </c>
    </row>
    <row r="85" spans="1:40" ht="21" customHeight="1" x14ac:dyDescent="0.15">
      <c r="A85" s="16" t="str">
        <f t="shared" ref="A85" si="40">B85&amp;"_"&amp;C85&amp;"-"&amp;G85&amp;"/"&amp;L85&amp;"&lt;lv"&amp;R85&amp;"&gt;s"&amp;AA85</f>
        <v>39005_4-3/83&lt;lv53&gt;s2</v>
      </c>
      <c r="B85" s="22">
        <v>39005</v>
      </c>
      <c r="C85" s="21">
        <v>4</v>
      </c>
      <c r="D85" s="2" t="str">
        <f t="shared" ref="D85" si="41">B85&amp;"_"&amp;C85</f>
        <v>39005_4</v>
      </c>
      <c r="E85" s="4" t="str">
        <f ca="1">VLOOKUP($B85,OFFSET([2]quests!$A$1,0,0,COUNTA([2]quests!$A:$A),MATCH(E$1,[2]quests!$1:$1,0)-MATCH($B$1,[2]quests!$1:$1,0)+1),MATCH(E$1,[2]quests!$1:$1,0)-MATCH($B$1,[2]quests!$1:$1,0)+1,FALSE)</f>
        <v xml:space="preserve">ミクエキスポ </v>
      </c>
      <c r="F85" s="4" t="str">
        <f ca="1">VLOOKUP($D85,OFFSET([2]stages!$A$1,0,0,COUNTA([2]stages!$A:$A),MATCH(F$1,[2]stages!$2:$2,0)-MATCH($D$1,[2]stages!$2:$2,0)+1),MATCH(F$1,[2]stages!$2:$2,0)-MATCH($D$1,[2]stages!$2:$2,0)+1,FALSE)</f>
        <v>【超級】ミクエキスポ</v>
      </c>
      <c r="G85" s="96">
        <v>3</v>
      </c>
      <c r="H85" s="15" t="str">
        <f t="shared" ref="H85" si="42">B85&amp;"_"&amp;C85&amp;"-"&amp;G85</f>
        <v>39005_4-3</v>
      </c>
      <c r="I85" s="4">
        <f ca="1">VLOOKUP($H85,OFFSET(floors!$A$1,0,0,COUNTA(floors!$A:$A),MATCH(I$1,floors!$1:$1,0)-MATCH($H$1,floors!$1:$1,0)+1),MATCH(I$1,floors!$1:$1,0)-MATCH($H$1,floors!$1:$1,0)+1,FALSE)</f>
        <v>60</v>
      </c>
      <c r="J85" s="4">
        <f ca="1">VLOOKUP($H85,OFFSET(floors!$A$1,0,0,COUNTA(floors!$A:$A),MATCH(J$1,floors!$1:$1,0)-MATCH($H$1,floors!$1:$1,0)+1),MATCH(J$1,floors!$1:$1,0)-MATCH($H$1,floors!$1:$1,0)+1,FALSE)</f>
        <v>60</v>
      </c>
      <c r="K85" s="38" t="s">
        <v>53</v>
      </c>
      <c r="L85" s="20">
        <v>83</v>
      </c>
      <c r="M85" s="17" t="str">
        <f ca="1">VLOOKUP($L85,OFFSET([3]enemies!$A$1,0,0,COUNTA([3]enemies!$A:$A),MATCH(M$1,[3]enemies!$1:$1,0)-MATCH($L$1,[3]enemies!$1:$1,0)+1),MATCH(M$1,[3]enemies!$1:$1,0)-MATCH($L$1,[3]enemies!$1:$1,0)+1,FALSE)</f>
        <v>拡散性ニムダ</v>
      </c>
      <c r="N85" s="17" t="str">
        <f ca="1">VLOOKUP($L85,OFFSET([3]enemies!$A$1,0,0,COUNTA([3]enemies!$A:$A),MATCH(N$1,[3]enemies!$1:$1,0)-MATCH($L$1,[3]enemies!$1:$1,0)+1),MATCH(N$1,[3]enemies!$1:$1,0)-MATCH($L$1,[3]enemies!$1:$1,0)+1,FALSE)</f>
        <v>yellow</v>
      </c>
      <c r="O85" s="17" t="str">
        <f ca="1">VLOOKUP($L85,OFFSET([4]characters!$A$1,0,0,COUNTA([4]characters!$A:$A),MATCH(O$1,[4]characters!$1:$1,0)-MATCH($L$1,[4]characters!$1:$1,0)+1),MATCH(O$1,[4]characters!$1:$1,0)-MATCH($L$1,[4]characters!$1:$1,0)+1,FALSE)</f>
        <v>DropWizW</v>
      </c>
      <c r="P85" s="17" t="str">
        <f ca="1">VLOOKUP($L85,OFFSET([3]enemies!$A$1,0,0,COUNTA([3]enemies!$A:$A),MATCH(P$1,[3]enemies!$1:$1,0)-MATCH($L$1,[3]enemies!$1:$1,0)+1),MATCH(P$1,[3]enemies!$1:$1,0)-MATCH($L$1,[3]enemies!$1:$1,0)+1,FALSE)</f>
        <v>unknown</v>
      </c>
      <c r="Q85" s="17">
        <f ca="1">VLOOKUP($L85,OFFSET([3]enemies!$A$1,0,0,COUNTA([3]enemies!$A:$A),MATCH(Q$1,[3]enemies!$1:$1,0)-MATCH($L$1,[3]enemies!$1:$1,0)+1),MATCH(Q$1,[3]enemies!$1:$1,0)-MATCH($L$1,[3]enemies!$1:$1,0)+1,FALSE)</f>
        <v>20</v>
      </c>
      <c r="R85" s="5">
        <v>53</v>
      </c>
      <c r="S85" s="25">
        <v>2</v>
      </c>
      <c r="T85" s="25">
        <v>1</v>
      </c>
      <c r="U85" s="5">
        <v>0</v>
      </c>
      <c r="V85" s="4" t="str">
        <f ca="1">VLOOKUP($W85,OFFSET([5]enemy_skill_sets!$B$1,0,0,COUNTA([5]enemy_skill_sets!$B:$B),MATCH(M$1,[5]enemy_skill_sets!$1:$1,0)-MATCH($W$1,[5]enemy_skill_sets!$1:$1,0)+2),MATCH(M$1,[5]enemy_skill_sets!$1:$1,0)-MATCH($W$1,[5]enemy_skill_sets!$1:$1,0)+2,FALSE)</f>
        <v>3回連続攻撃</v>
      </c>
      <c r="W85" s="4">
        <f ca="1">VLOOKUP($L85,OFFSET([3]enemies!$A$1,0,0,COUNTA([3]enemies!$A:$A),MATCH(W$1,[3]enemies!$1:$1,0)-MATCH($L$1,[3]enemies!$1:$1,0)+1),MATCH(W$1,[3]enemies!$1:$1,0)-MATCH($L$1,[3]enemies!$1:$1,0)+1,FALSE)</f>
        <v>83</v>
      </c>
      <c r="X85" s="6">
        <v>0</v>
      </c>
      <c r="Y85" s="6">
        <v>30</v>
      </c>
      <c r="Z85" s="6">
        <v>1</v>
      </c>
      <c r="AA85" s="17">
        <v>2</v>
      </c>
      <c r="AB85" s="24">
        <f t="shared" ref="AB85" si="43">L85</f>
        <v>83</v>
      </c>
      <c r="AC85" s="4" t="str">
        <f ca="1">VLOOKUP($AB85,OFFSET([4]characters!$A$1,0,0,COUNTA([4]characters!$A:$A),MATCH(AC$1,[4]characters!$1:$1,0)-MATCH("character_id",[4]characters!$1:$1,0)+1),MATCH(AC$1,[4]characters!$1:$1,0)-MATCH("character_id",[4]characters!$1:$1,0)+1,FALSE)</f>
        <v>拡散性ニムダ</v>
      </c>
      <c r="AD85" s="4">
        <f ca="1">VLOOKUP($AB85,OFFSET([4]characters!$A$1,0,0,COUNTA([4]characters!$A:$A),MATCH(AD$1,[4]characters!$1:$1,0)-MATCH("character_id",[4]characters!$1:$1,0)+1),MATCH(AD$1,[4]characters!$1:$1,0)-MATCH("character_id",[4]characters!$1:$1,0)+1,FALSE)</f>
        <v>3</v>
      </c>
      <c r="AE85" s="4" t="str">
        <f ca="1">VLOOKUP($AB85,OFFSET([4]characters!$A$1,0,0,COUNTA([4]characters!$A:$A),MATCH(AE$1,[4]characters!$1:$1,0)-MATCH("character_id",[4]characters!$1:$1,0)+1),MATCH(AE$1,[4]characters!$1:$1,0)-MATCH("character_id",[4]characters!$1:$1,0)+1,FALSE)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85" s="7">
        <v>1</v>
      </c>
      <c r="AG85" s="24">
        <f t="shared" ref="AG85" ca="1" si="44">AD85</f>
        <v>3</v>
      </c>
      <c r="AH85" s="8">
        <v>20</v>
      </c>
      <c r="AI85" s="7">
        <v>0</v>
      </c>
      <c r="AJ85" s="7">
        <v>0</v>
      </c>
      <c r="AK85" s="7">
        <v>0</v>
      </c>
      <c r="AL85" s="7">
        <v>0</v>
      </c>
      <c r="AM85" s="7">
        <v>1</v>
      </c>
      <c r="AN85" s="69">
        <v>1</v>
      </c>
    </row>
    <row r="86" spans="1:40" ht="21" customHeight="1" x14ac:dyDescent="0.15">
      <c r="A86" s="16" t="str">
        <f t="shared" si="5"/>
        <v>39005_4-4/8030&lt;lv60&gt;s2</v>
      </c>
      <c r="B86" s="22">
        <v>39005</v>
      </c>
      <c r="C86" s="21">
        <v>4</v>
      </c>
      <c r="D86" s="2" t="str">
        <f t="shared" si="6"/>
        <v>39005_4</v>
      </c>
      <c r="E86" s="4" t="str">
        <f ca="1">VLOOKUP($B86,OFFSET([2]quests!$A$1,0,0,COUNTA([2]quests!$A:$A),MATCH(E$1,[2]quests!$1:$1,0)-MATCH($B$1,[2]quests!$1:$1,0)+1),MATCH(E$1,[2]quests!$1:$1,0)-MATCH($B$1,[2]quests!$1:$1,0)+1,FALSE)</f>
        <v xml:space="preserve">ミクエキスポ </v>
      </c>
      <c r="F86" s="4" t="str">
        <f ca="1">VLOOKUP($D86,OFFSET([2]stages!$A$1,0,0,COUNTA([2]stages!$A:$A),MATCH(F$1,[2]stages!$2:$2,0)-MATCH($D$1,[2]stages!$2:$2,0)+1),MATCH(F$1,[2]stages!$2:$2,0)-MATCH($D$1,[2]stages!$2:$2,0)+1,FALSE)</f>
        <v>【超級】ミクエキスポ</v>
      </c>
      <c r="G86" s="97">
        <v>4</v>
      </c>
      <c r="H86" s="15" t="str">
        <f t="shared" si="7"/>
        <v>39005_4-4</v>
      </c>
      <c r="I86" s="4">
        <f ca="1">VLOOKUP($H86,OFFSET(floors!$A$1,0,0,COUNTA(floors!$A:$A),MATCH(I$1,floors!$1:$1,0)-MATCH($H$1,floors!$1:$1,0)+1),MATCH(I$1,floors!$1:$1,0)-MATCH($H$1,floors!$1:$1,0)+1,FALSE)</f>
        <v>60</v>
      </c>
      <c r="J86" s="4">
        <f ca="1">VLOOKUP($H86,OFFSET(floors!$A$1,0,0,COUNTA(floors!$A:$A),MATCH(J$1,floors!$1:$1,0)-MATCH($H$1,floors!$1:$1,0)+1),MATCH(J$1,floors!$1:$1,0)-MATCH($H$1,floors!$1:$1,0)+1,FALSE)</f>
        <v>60</v>
      </c>
      <c r="K86" s="38" t="s">
        <v>53</v>
      </c>
      <c r="L86" s="20">
        <v>8030</v>
      </c>
      <c r="M86" s="17" t="str">
        <f ca="1">VLOOKUP($L86,OFFSET([3]enemies!$A$1,0,0,COUNTA([3]enemies!$A:$A),MATCH(M$1,[3]enemies!$1:$1,0)-MATCH($L$1,[3]enemies!$1:$1,0)+1),MATCH(M$1,[3]enemies!$1:$1,0)-MATCH($L$1,[3]enemies!$1:$1,0)+1,FALSE)</f>
        <v>CO04_ EV02_R5</v>
      </c>
      <c r="N86" s="17" t="str">
        <f ca="1">VLOOKUP($L86,OFFSET([3]enemies!$A$1,0,0,COUNTA([3]enemies!$A:$A),MATCH(N$1,[3]enemies!$1:$1,0)-MATCH($L$1,[3]enemies!$1:$1,0)+1),MATCH(N$1,[3]enemies!$1:$1,0)-MATCH($L$1,[3]enemies!$1:$1,0)+1,FALSE)</f>
        <v>blue</v>
      </c>
      <c r="O86" s="17" t="str">
        <f ca="1">VLOOKUP($L86,OFFSET([4]characters!$A$1,0,0,COUNTA([4]characters!$A:$A),MATCH(O$1,[4]characters!$1:$1,0)-MATCH($L$1,[4]characters!$1:$1,0)+1),MATCH(O$1,[4]characters!$1:$1,0)-MATCH($L$1,[4]characters!$1:$1,0)+1,FALSE)</f>
        <v>Drop2N</v>
      </c>
      <c r="P86" s="17" t="str">
        <f ca="1">VLOOKUP($L86,OFFSET([3]enemies!$A$1,0,0,COUNTA([3]enemies!$A:$A),MATCH(P$1,[3]enemies!$1:$1,0)-MATCH($L$1,[3]enemies!$1:$1,0)+1),MATCH(P$1,[3]enemies!$1:$1,0)-MATCH($L$1,[3]enemies!$1:$1,0)+1,FALSE)</f>
        <v>unknown</v>
      </c>
      <c r="Q86" s="17">
        <f ca="1">VLOOKUP($L86,OFFSET([3]enemies!$A$1,0,0,COUNTA([3]enemies!$A:$A),MATCH(Q$1,[3]enemies!$1:$1,0)-MATCH($L$1,[3]enemies!$1:$1,0)+1),MATCH(Q$1,[3]enemies!$1:$1,0)-MATCH($L$1,[3]enemies!$1:$1,0)+1,FALSE)</f>
        <v>20</v>
      </c>
      <c r="R86" s="5">
        <v>60</v>
      </c>
      <c r="S86" s="25">
        <v>3</v>
      </c>
      <c r="T86" s="25">
        <v>1.1000000000000001</v>
      </c>
      <c r="U86" s="5">
        <v>0</v>
      </c>
      <c r="V86" s="4" t="str">
        <f ca="1">VLOOKUP($W86,OFFSET(enemy_skill_sets!$B$1,0,0,COUNTA(enemy_skill_sets!$B:$B),MATCH(M$1,enemy_skill_sets!$1:$1,0)-MATCH($W$1,enemy_skill_sets!$1:$1,0)+2),MATCH(M$1,enemy_skill_sets!$1:$1,0)-MATCH($W$1,enemy_skill_sets!$1:$1,0)+2,FALSE)</f>
        <v>8ターンの間ハートパネルで回復できない</v>
      </c>
      <c r="W86" s="98">
        <v>39005003</v>
      </c>
      <c r="X86" s="6">
        <v>1</v>
      </c>
      <c r="Y86" s="6">
        <v>100</v>
      </c>
      <c r="Z86" s="6">
        <v>1</v>
      </c>
      <c r="AA86" s="17">
        <v>2</v>
      </c>
      <c r="AB86" s="132">
        <v>8030</v>
      </c>
      <c r="AC86" s="4" t="str">
        <f ca="1">VLOOKUP($AB86,OFFSET([4]characters!$A$1,0,0,COUNTA([4]characters!$A:$A),MATCH(AC$1,[4]characters!$1:$1,0)-MATCH("character_id",[4]characters!$1:$1,0)+1),MATCH(AC$1,[4]characters!$1:$1,0)-MATCH("character_id",[4]characters!$1:$1,0)+1,FALSE)</f>
        <v>CO04_ EV02_R5</v>
      </c>
      <c r="AD86" s="4">
        <f ca="1">VLOOKUP($AB86,OFFSET([4]characters!$A$1,0,0,COUNTA([4]characters!$A:$A),MATCH(AD$1,[4]characters!$1:$1,0)-MATCH("character_id",[4]characters!$1:$1,0)+1),MATCH(AD$1,[4]characters!$1:$1,0)-MATCH("character_id",[4]characters!$1:$1,0)+1,FALSE)</f>
        <v>5</v>
      </c>
      <c r="AE86" s="4" t="str">
        <f ca="1">VLOOKUP($AB86,OFFSET([4]characters!$A$1,0,0,COUNTA([4]characters!$A:$A),MATCH(AE$1,[4]characters!$1:$1,0)-MATCH("character_id",[4]characters!$1:$1,0)+1),MATCH(AE$1,[4]characters!$1:$1,0)-MATCH("character_id",[4]characters!$1:$1,0)+1,FALSE)</f>
        <v>Drop2N</v>
      </c>
      <c r="AF86" s="7">
        <v>1</v>
      </c>
      <c r="AG86" s="24">
        <f t="shared" ca="1" si="9"/>
        <v>5</v>
      </c>
      <c r="AH86" s="131">
        <v>25</v>
      </c>
      <c r="AI86" s="7">
        <v>0</v>
      </c>
      <c r="AJ86" s="7">
        <v>0</v>
      </c>
      <c r="AK86" s="7">
        <v>0</v>
      </c>
      <c r="AL86" s="7">
        <v>0</v>
      </c>
      <c r="AM86" s="7">
        <v>1</v>
      </c>
      <c r="AN86" s="69">
        <v>1</v>
      </c>
    </row>
    <row r="87" spans="1:40" ht="21" customHeight="1" x14ac:dyDescent="0.15">
      <c r="A87" s="16" t="str">
        <f t="shared" si="5"/>
        <v>39005_5-1/1&lt;lv60&gt;s1</v>
      </c>
      <c r="B87" s="22">
        <v>39005</v>
      </c>
      <c r="C87" s="21">
        <v>5</v>
      </c>
      <c r="D87" s="2" t="str">
        <f t="shared" si="6"/>
        <v>39005_5</v>
      </c>
      <c r="E87" s="4" t="str">
        <f ca="1">VLOOKUP($B87,OFFSET([2]quests!$A$1,0,0,COUNTA([2]quests!$A:$A),MATCH(E$1,[2]quests!$1:$1,0)-MATCH($B$1,[2]quests!$1:$1,0)+1),MATCH(E$1,[2]quests!$1:$1,0)-MATCH($B$1,[2]quests!$1:$1,0)+1,FALSE)</f>
        <v xml:space="preserve">ミクエキスポ </v>
      </c>
      <c r="F87" s="4" t="str">
        <f ca="1">VLOOKUP($D87,OFFSET([2]stages!$A$1,0,0,COUNTA([2]stages!$A:$A),MATCH(F$1,[2]stages!$2:$2,0)-MATCH($D$1,[2]stages!$2:$2,0)+1),MATCH(F$1,[2]stages!$2:$2,0)-MATCH($D$1,[2]stages!$2:$2,0)+1,FALSE)</f>
        <v>【超絶級】ミクエキスポ</v>
      </c>
      <c r="G87" s="94">
        <v>1</v>
      </c>
      <c r="H87" s="15" t="str">
        <f t="shared" si="7"/>
        <v>39005_5-1</v>
      </c>
      <c r="I87" s="4">
        <f ca="1">VLOOKUP($H87,OFFSET(floors!$A$1,0,0,COUNTA(floors!$A:$A),MATCH(I$1,floors!$1:$1,0)-MATCH($H$1,floors!$1:$1,0)+1),MATCH(I$1,floors!$1:$1,0)-MATCH($H$1,floors!$1:$1,0)+1,FALSE)</f>
        <v>60</v>
      </c>
      <c r="J87" s="4">
        <f ca="1">VLOOKUP($H87,OFFSET(floors!$A$1,0,0,COUNTA(floors!$A:$A),MATCH(J$1,floors!$1:$1,0)-MATCH($H$1,floors!$1:$1,0)+1),MATCH(J$1,floors!$1:$1,0)-MATCH($H$1,floors!$1:$1,0)+1,FALSE)</f>
        <v>60</v>
      </c>
      <c r="K87" s="38" t="s">
        <v>53</v>
      </c>
      <c r="L87" s="20">
        <v>1</v>
      </c>
      <c r="M87" s="17" t="str">
        <f ca="1">VLOOKUP($L87,OFFSET([3]enemies!$A$1,0,0,COUNTA([3]enemies!$A:$A),MATCH(M$1,[3]enemies!$1:$1,0)-MATCH($L$1,[3]enemies!$1:$1,0)+1),MATCH(M$1,[3]enemies!$1:$1,0)-MATCH($L$1,[3]enemies!$1:$1,0)+1,FALSE)</f>
        <v>ジェリー</v>
      </c>
      <c r="N87" s="17" t="str">
        <f ca="1">VLOOKUP($L87,OFFSET([3]enemies!$A$1,0,0,COUNTA([3]enemies!$A:$A),MATCH(N$1,[3]enemies!$1:$1,0)-MATCH($L$1,[3]enemies!$1:$1,0)+1),MATCH(N$1,[3]enemies!$1:$1,0)-MATCH($L$1,[3]enemies!$1:$1,0)+1,FALSE)</f>
        <v>red</v>
      </c>
      <c r="O87" s="17" t="str">
        <f ca="1">VLOOKUP($L87,OFFSET([4]characters!$A$1,0,0,COUNTA([4]characters!$A:$A),MATCH(O$1,[4]characters!$1:$1,0)-MATCH($L$1,[4]characters!$1:$1,0)+1),MATCH(O$1,[4]characters!$1:$1,0)-MATCH($L$1,[4]characters!$1:$1,0)+1,FALSE)</f>
        <v>Drop1T</v>
      </c>
      <c r="P87" s="17" t="str">
        <f ca="1">VLOOKUP($L87,OFFSET([3]enemies!$A$1,0,0,COUNTA([3]enemies!$A:$A),MATCH(P$1,[3]enemies!$1:$1,0)-MATCH($L$1,[3]enemies!$1:$1,0)+1),MATCH(P$1,[3]enemies!$1:$1,0)-MATCH($L$1,[3]enemies!$1:$1,0)+1,FALSE)</f>
        <v>unknown</v>
      </c>
      <c r="Q87" s="17">
        <f ca="1">VLOOKUP($L87,OFFSET([3]enemies!$A$1,0,0,COUNTA([3]enemies!$A:$A),MATCH(Q$1,[3]enemies!$1:$1,0)-MATCH($L$1,[3]enemies!$1:$1,0)+1),MATCH(Q$1,[3]enemies!$1:$1,0)-MATCH($L$1,[3]enemies!$1:$1,0)+1,FALSE)</f>
        <v>15</v>
      </c>
      <c r="R87" s="5">
        <v>60</v>
      </c>
      <c r="S87" s="25">
        <v>1.1000000000000001</v>
      </c>
      <c r="T87" s="25">
        <v>0.4</v>
      </c>
      <c r="U87" s="5">
        <v>0</v>
      </c>
      <c r="V87" s="4" t="str">
        <f ca="1">VLOOKUP($W87,OFFSET([5]enemy_skill_sets!$B$1,0,0,COUNTA([5]enemy_skill_sets!$B:$B),MATCH(M$1,[5]enemy_skill_sets!$1:$1,0)-MATCH($W$1,[5]enemy_skill_sets!$1:$1,0)+2),MATCH(M$1,[5]enemy_skill_sets!$1:$1,0)-MATCH($W$1,[5]enemy_skill_sets!$1:$1,0)+2,FALSE)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7" s="4">
        <f ca="1">VLOOKUP($L87,OFFSET([3]enemies!$A$1,0,0,COUNTA([3]enemies!$A:$A),MATCH(W$1,[3]enemies!$1:$1,0)-MATCH($L$1,[3]enemies!$1:$1,0)+1),MATCH(W$1,[3]enemies!$1:$1,0)-MATCH($L$1,[3]enemies!$1:$1,0)+1,FALSE)</f>
        <v>0</v>
      </c>
      <c r="X87" s="6">
        <v>0</v>
      </c>
      <c r="Y87" s="6">
        <v>100</v>
      </c>
      <c r="Z87" s="6">
        <v>0</v>
      </c>
      <c r="AA87" s="17">
        <v>1</v>
      </c>
      <c r="AB87" s="24">
        <f t="shared" si="8"/>
        <v>1</v>
      </c>
      <c r="AC87" s="4" t="str">
        <f ca="1">VLOOKUP($AB87,OFFSET([4]characters!$A$1,0,0,COUNTA([4]characters!$A:$A),MATCH(AC$1,[4]characters!$1:$1,0)-MATCH("character_id",[4]characters!$1:$1,0)+1),MATCH(AC$1,[4]characters!$1:$1,0)-MATCH("character_id",[4]characters!$1:$1,0)+1,FALSE)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87" s="4">
        <f ca="1">VLOOKUP($AB87,OFFSET([4]characters!$A$1,0,0,COUNTA([4]characters!$A:$A),MATCH(AD$1,[4]characters!$1:$1,0)-MATCH("character_id",[4]characters!$1:$1,0)+1),MATCH(AD$1,[4]characters!$1:$1,0)-MATCH("character_id",[4]characters!$1:$1,0)+1,FALSE)</f>
        <v>1</v>
      </c>
      <c r="AE87" s="4" t="str">
        <f ca="1">VLOOKUP($AB87,OFFSET([4]characters!$A$1,0,0,COUNTA([4]characters!$A:$A),MATCH(AE$1,[4]characters!$1:$1,0)-MATCH("character_id",[4]characters!$1:$1,0)+1),MATCH(AE$1,[4]characters!$1:$1,0)-MATCH("character_id",[4]characters!$1:$1,0)+1,FALSE)</f>
        <v>Drop1T</v>
      </c>
      <c r="AF87" s="7">
        <v>1</v>
      </c>
      <c r="AG87" s="24">
        <f t="shared" ca="1" si="9"/>
        <v>1</v>
      </c>
      <c r="AH87" s="8">
        <v>20</v>
      </c>
      <c r="AI87" s="7">
        <v>0</v>
      </c>
      <c r="AJ87" s="7">
        <v>0</v>
      </c>
      <c r="AK87" s="7">
        <v>0</v>
      </c>
      <c r="AL87" s="7">
        <v>0</v>
      </c>
      <c r="AM87" s="7">
        <v>1</v>
      </c>
      <c r="AN87" s="69">
        <v>1</v>
      </c>
    </row>
    <row r="88" spans="1:40" ht="21" customHeight="1" x14ac:dyDescent="0.15">
      <c r="A88" s="16" t="str">
        <f t="shared" ref="A88:A110" si="45">B88&amp;"_"&amp;C88&amp;"-"&amp;G88&amp;"/"&amp;L88&amp;"&lt;lv"&amp;R88&amp;"&gt;s"&amp;AA88</f>
        <v>39005_5-1/3&lt;lv60&gt;s2</v>
      </c>
      <c r="B88" s="22">
        <v>39005</v>
      </c>
      <c r="C88" s="21">
        <v>5</v>
      </c>
      <c r="D88" s="2" t="str">
        <f t="shared" ref="D88:D110" si="46">B88&amp;"_"&amp;C88</f>
        <v>39005_5</v>
      </c>
      <c r="E88" s="4" t="str">
        <f ca="1">VLOOKUP($B88,OFFSET([2]quests!$A$1,0,0,COUNTA([2]quests!$A:$A),MATCH(E$1,[2]quests!$1:$1,0)-MATCH($B$1,[2]quests!$1:$1,0)+1),MATCH(E$1,[2]quests!$1:$1,0)-MATCH($B$1,[2]quests!$1:$1,0)+1,FALSE)</f>
        <v xml:space="preserve">ミクエキスポ </v>
      </c>
      <c r="F88" s="4" t="str">
        <f ca="1">VLOOKUP($D88,OFFSET([2]stages!$A$1,0,0,COUNTA([2]stages!$A:$A),MATCH(F$1,[2]stages!$2:$2,0)-MATCH($D$1,[2]stages!$2:$2,0)+1),MATCH(F$1,[2]stages!$2:$2,0)-MATCH($D$1,[2]stages!$2:$2,0)+1,FALSE)</f>
        <v>【超絶級】ミクエキスポ</v>
      </c>
      <c r="G88" s="94">
        <v>1</v>
      </c>
      <c r="H88" s="15" t="str">
        <f t="shared" ref="H88:H110" si="47">B88&amp;"_"&amp;C88&amp;"-"&amp;G88</f>
        <v>39005_5-1</v>
      </c>
      <c r="I88" s="4">
        <f ca="1">VLOOKUP($H88,OFFSET(floors!$A$1,0,0,COUNTA(floors!$A:$A),MATCH(I$1,floors!$1:$1,0)-MATCH($H$1,floors!$1:$1,0)+1),MATCH(I$1,floors!$1:$1,0)-MATCH($H$1,floors!$1:$1,0)+1,FALSE)</f>
        <v>60</v>
      </c>
      <c r="J88" s="4">
        <f ca="1">VLOOKUP($H88,OFFSET(floors!$A$1,0,0,COUNTA(floors!$A:$A),MATCH(J$1,floors!$1:$1,0)-MATCH($H$1,floors!$1:$1,0)+1),MATCH(J$1,floors!$1:$1,0)-MATCH($H$1,floors!$1:$1,0)+1,FALSE)</f>
        <v>60</v>
      </c>
      <c r="K88" s="38" t="s">
        <v>53</v>
      </c>
      <c r="L88" s="20">
        <v>3</v>
      </c>
      <c r="M88" s="17" t="str">
        <f ca="1">VLOOKUP($L88,OFFSET([3]enemies!$A$1,0,0,COUNTA([3]enemies!$A:$A),MATCH(M$1,[3]enemies!$1:$1,0)-MATCH($L$1,[3]enemies!$1:$1,0)+1),MATCH(M$1,[3]enemies!$1:$1,0)-MATCH($L$1,[3]enemies!$1:$1,0)+1,FALSE)</f>
        <v>エージェント ジョー</v>
      </c>
      <c r="N88" s="17" t="str">
        <f ca="1">VLOOKUP($L88,OFFSET([3]enemies!$A$1,0,0,COUNTA([3]enemies!$A:$A),MATCH(N$1,[3]enemies!$1:$1,0)-MATCH($L$1,[3]enemies!$1:$1,0)+1),MATCH(N$1,[3]enemies!$1:$1,0)-MATCH($L$1,[3]enemies!$1:$1,0)+1,FALSE)</f>
        <v>green</v>
      </c>
      <c r="O88" s="17" t="str">
        <f ca="1">VLOOKUP($L88,OFFSET([4]characters!$A$1,0,0,COUNTA([4]characters!$A:$A),MATCH(O$1,[4]characters!$1:$1,0)-MATCH($L$1,[4]characters!$1:$1,0)+1),MATCH(O$1,[4]characters!$1:$1,0)-MATCH($L$1,[4]characters!$1:$1,0)+1,FALSE)</f>
        <v>Drop1T</v>
      </c>
      <c r="P88" s="17" t="str">
        <f ca="1">VLOOKUP($L88,OFFSET([3]enemies!$A$1,0,0,COUNTA([3]enemies!$A:$A),MATCH(P$1,[3]enemies!$1:$1,0)-MATCH($L$1,[3]enemies!$1:$1,0)+1),MATCH(P$1,[3]enemies!$1:$1,0)-MATCH($L$1,[3]enemies!$1:$1,0)+1,FALSE)</f>
        <v>unknown</v>
      </c>
      <c r="Q88" s="17">
        <f ca="1">VLOOKUP($L88,OFFSET([3]enemies!$A$1,0,0,COUNTA([3]enemies!$A:$A),MATCH(Q$1,[3]enemies!$1:$1,0)-MATCH($L$1,[3]enemies!$1:$1,0)+1),MATCH(Q$1,[3]enemies!$1:$1,0)-MATCH($L$1,[3]enemies!$1:$1,0)+1,FALSE)</f>
        <v>15</v>
      </c>
      <c r="R88" s="5">
        <v>60</v>
      </c>
      <c r="S88" s="25">
        <v>1.2</v>
      </c>
      <c r="T88" s="25">
        <v>0.5</v>
      </c>
      <c r="U88" s="5">
        <v>0</v>
      </c>
      <c r="V88" s="4" t="e">
        <f ca="1">VLOOKUP($W88,OFFSET(enemy_skill_sets!$B$1,0,0,COUNTA(enemy_skill_sets!$B:$B),MATCH(M$1,enemy_skill_sets!$1:$1,0)-MATCH($W$1,enemy_skill_sets!$1:$1,0)+2),MATCH(M$1,enemy_skill_sets!$1:$1,0)-MATCH($W$1,enemy_skill_sets!$1:$1,0)+2,FALSE)</f>
        <v>#N/A</v>
      </c>
      <c r="W88" s="4">
        <f ca="1">VLOOKUP($L88,OFFSET([3]enemies!$A$1,0,0,COUNTA([3]enemies!$A:$A),MATCH(W$1,[3]enemies!$1:$1,0)-MATCH($L$1,[3]enemies!$1:$1,0)+1),MATCH(W$1,[3]enemies!$1:$1,0)-MATCH($L$1,[3]enemies!$1:$1,0)+1,FALSE)</f>
        <v>0</v>
      </c>
      <c r="X88" s="6">
        <v>0</v>
      </c>
      <c r="Y88" s="6">
        <v>100</v>
      </c>
      <c r="Z88" s="6">
        <v>0</v>
      </c>
      <c r="AA88" s="17">
        <v>2</v>
      </c>
      <c r="AB88" s="24">
        <f t="shared" ref="AB88:AB109" si="48">L88</f>
        <v>3</v>
      </c>
      <c r="AC88" s="4" t="str">
        <f ca="1">VLOOKUP($AB88,OFFSET([4]characters!$A$1,0,0,COUNTA([4]characters!$A:$A),MATCH(AC$1,[4]characters!$1:$1,0)-MATCH("character_id",[4]characters!$1:$1,0)+1),MATCH(AC$1,[4]characters!$1:$1,0)-MATCH("character_id",[4]characters!$1:$1,0)+1,FALSE)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88" s="4">
        <f ca="1">VLOOKUP($AB88,OFFSET([4]characters!$A$1,0,0,COUNTA([4]characters!$A:$A),MATCH(AD$1,[4]characters!$1:$1,0)-MATCH("character_id",[4]characters!$1:$1,0)+1),MATCH(AD$1,[4]characters!$1:$1,0)-MATCH("character_id",[4]characters!$1:$1,0)+1,FALSE)</f>
        <v>1</v>
      </c>
      <c r="AE88" s="4" t="str">
        <f ca="1">VLOOKUP($AB88,OFFSET([4]characters!$A$1,0,0,COUNTA([4]characters!$A:$A),MATCH(AE$1,[4]characters!$1:$1,0)-MATCH("character_id",[4]characters!$1:$1,0)+1),MATCH(AE$1,[4]characters!$1:$1,0)-MATCH("character_id",[4]characters!$1:$1,0)+1,FALSE)</f>
        <v>Drop1T</v>
      </c>
      <c r="AF88" s="7">
        <v>1</v>
      </c>
      <c r="AG88" s="24">
        <f t="shared" ref="AG88:AG110" ca="1" si="49">AD88</f>
        <v>1</v>
      </c>
      <c r="AH88" s="8">
        <v>20</v>
      </c>
      <c r="AI88" s="7">
        <v>0</v>
      </c>
      <c r="AJ88" s="7">
        <v>0</v>
      </c>
      <c r="AK88" s="7">
        <v>0</v>
      </c>
      <c r="AL88" s="7">
        <v>0</v>
      </c>
      <c r="AM88" s="7">
        <v>1</v>
      </c>
      <c r="AN88" s="69">
        <v>1</v>
      </c>
    </row>
    <row r="89" spans="1:40" ht="21" customHeight="1" x14ac:dyDescent="0.15">
      <c r="A89" s="16" t="str">
        <f t="shared" si="45"/>
        <v>39005_5-1/5&lt;lv60&gt;s3</v>
      </c>
      <c r="B89" s="22">
        <v>39005</v>
      </c>
      <c r="C89" s="21">
        <v>5</v>
      </c>
      <c r="D89" s="2" t="str">
        <f t="shared" si="46"/>
        <v>39005_5</v>
      </c>
      <c r="E89" s="4" t="str">
        <f ca="1">VLOOKUP($B89,OFFSET([2]quests!$A$1,0,0,COUNTA([2]quests!$A:$A),MATCH(E$1,[2]quests!$1:$1,0)-MATCH($B$1,[2]quests!$1:$1,0)+1),MATCH(E$1,[2]quests!$1:$1,0)-MATCH($B$1,[2]quests!$1:$1,0)+1,FALSE)</f>
        <v xml:space="preserve">ミクエキスポ </v>
      </c>
      <c r="F89" s="4" t="str">
        <f ca="1">VLOOKUP($D89,OFFSET([2]stages!$A$1,0,0,COUNTA([2]stages!$A:$A),MATCH(F$1,[2]stages!$2:$2,0)-MATCH($D$1,[2]stages!$2:$2,0)+1),MATCH(F$1,[2]stages!$2:$2,0)-MATCH($D$1,[2]stages!$2:$2,0)+1,FALSE)</f>
        <v>【超絶級】ミクエキスポ</v>
      </c>
      <c r="G89" s="94">
        <v>1</v>
      </c>
      <c r="H89" s="15" t="str">
        <f t="shared" si="47"/>
        <v>39005_5-1</v>
      </c>
      <c r="I89" s="4">
        <f ca="1">VLOOKUP($H89,OFFSET(floors!$A$1,0,0,COUNTA(floors!$A:$A),MATCH(I$1,floors!$1:$1,0)-MATCH($H$1,floors!$1:$1,0)+1),MATCH(I$1,floors!$1:$1,0)-MATCH($H$1,floors!$1:$1,0)+1,FALSE)</f>
        <v>60</v>
      </c>
      <c r="J89" s="4">
        <f ca="1">VLOOKUP($H89,OFFSET(floors!$A$1,0,0,COUNTA(floors!$A:$A),MATCH(J$1,floors!$1:$1,0)-MATCH($H$1,floors!$1:$1,0)+1),MATCH(J$1,floors!$1:$1,0)-MATCH($H$1,floors!$1:$1,0)+1,FALSE)</f>
        <v>60</v>
      </c>
      <c r="K89" s="38" t="s">
        <v>53</v>
      </c>
      <c r="L89" s="20">
        <v>5</v>
      </c>
      <c r="M89" s="17" t="str">
        <f ca="1">VLOOKUP($L89,OFFSET([3]enemies!$A$1,0,0,COUNTA([3]enemies!$A:$A),MATCH(M$1,[3]enemies!$1:$1,0)-MATCH($L$1,[3]enemies!$1:$1,0)+1),MATCH(M$1,[3]enemies!$1:$1,0)-MATCH($L$1,[3]enemies!$1:$1,0)+1,FALSE)</f>
        <v>パトドッグ ポチ</v>
      </c>
      <c r="N89" s="17" t="str">
        <f ca="1">VLOOKUP($L89,OFFSET([3]enemies!$A$1,0,0,COUNTA([3]enemies!$A:$A),MATCH(N$1,[3]enemies!$1:$1,0)-MATCH($L$1,[3]enemies!$1:$1,0)+1),MATCH(N$1,[3]enemies!$1:$1,0)-MATCH($L$1,[3]enemies!$1:$1,0)+1,FALSE)</f>
        <v>blue</v>
      </c>
      <c r="O89" s="17" t="str">
        <f ca="1">VLOOKUP($L89,OFFSET([4]characters!$A$1,0,0,COUNTA([4]characters!$A:$A),MATCH(O$1,[4]characters!$1:$1,0)-MATCH($L$1,[4]characters!$1:$1,0)+1),MATCH(O$1,[4]characters!$1:$1,0)-MATCH($L$1,[4]characters!$1:$1,0)+1,FALSE)</f>
        <v>Drop1T</v>
      </c>
      <c r="P89" s="17" t="str">
        <f ca="1">VLOOKUP($L89,OFFSET([3]enemies!$A$1,0,0,COUNTA([3]enemies!$A:$A),MATCH(P$1,[3]enemies!$1:$1,0)-MATCH($L$1,[3]enemies!$1:$1,0)+1),MATCH(P$1,[3]enemies!$1:$1,0)-MATCH($L$1,[3]enemies!$1:$1,0)+1,FALSE)</f>
        <v>unknown</v>
      </c>
      <c r="Q89" s="17">
        <f ca="1">VLOOKUP($L89,OFFSET([3]enemies!$A$1,0,0,COUNTA([3]enemies!$A:$A),MATCH(Q$1,[3]enemies!$1:$1,0)-MATCH($L$1,[3]enemies!$1:$1,0)+1),MATCH(Q$1,[3]enemies!$1:$1,0)-MATCH($L$1,[3]enemies!$1:$1,0)+1,FALSE)</f>
        <v>15</v>
      </c>
      <c r="R89" s="5">
        <v>60</v>
      </c>
      <c r="S89" s="25">
        <v>1</v>
      </c>
      <c r="T89" s="25">
        <v>0.8</v>
      </c>
      <c r="U89" s="5">
        <v>0</v>
      </c>
      <c r="V89" s="4" t="str">
        <f ca="1">VLOOKUP($W89,OFFSET([5]enemy_skill_sets!$B$1,0,0,COUNTA([5]enemy_skill_sets!$B:$B),MATCH(M$1,[5]enemy_skill_sets!$1:$1,0)-MATCH($W$1,[5]enemy_skill_sets!$1:$1,0)+2),MATCH(M$1,[5]enemy_skill_sets!$1:$1,0)-MATCH($W$1,[5]enemy_skill_sets!$1:$1,0)+2,FALSE)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9" s="4">
        <f ca="1">VLOOKUP($L89,OFFSET([3]enemies!$A$1,0,0,COUNTA([3]enemies!$A:$A),MATCH(W$1,[3]enemies!$1:$1,0)-MATCH($L$1,[3]enemies!$1:$1,0)+1),MATCH(W$1,[3]enemies!$1:$1,0)-MATCH($L$1,[3]enemies!$1:$1,0)+1,FALSE)</f>
        <v>0</v>
      </c>
      <c r="X89" s="6">
        <v>0</v>
      </c>
      <c r="Y89" s="6">
        <v>100</v>
      </c>
      <c r="Z89" s="6">
        <v>0</v>
      </c>
      <c r="AA89" s="17">
        <v>3</v>
      </c>
      <c r="AB89" s="24">
        <f t="shared" si="48"/>
        <v>5</v>
      </c>
      <c r="AC89" s="4" t="str">
        <f ca="1">VLOOKUP($AB89,OFFSET([4]characters!$A$1,0,0,COUNTA([4]characters!$A:$A),MATCH(AC$1,[4]characters!$1:$1,0)-MATCH("character_id",[4]characters!$1:$1,0)+1),MATCH(AC$1,[4]characters!$1:$1,0)-MATCH("character_id",[4]characters!$1:$1,0)+1,FALSE)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89" s="4">
        <f ca="1">VLOOKUP($AB89,OFFSET([4]characters!$A$1,0,0,COUNTA([4]characters!$A:$A),MATCH(AD$1,[4]characters!$1:$1,0)-MATCH("character_id",[4]characters!$1:$1,0)+1),MATCH(AD$1,[4]characters!$1:$1,0)-MATCH("character_id",[4]characters!$1:$1,0)+1,FALSE)</f>
        <v>1</v>
      </c>
      <c r="AE89" s="4" t="str">
        <f ca="1">VLOOKUP($AB89,OFFSET([4]characters!$A$1,0,0,COUNTA([4]characters!$A:$A),MATCH(AE$1,[4]characters!$1:$1,0)-MATCH("character_id",[4]characters!$1:$1,0)+1),MATCH(AE$1,[4]characters!$1:$1,0)-MATCH("character_id",[4]characters!$1:$1,0)+1,FALSE)</f>
        <v>Drop1T</v>
      </c>
      <c r="AF89" s="7">
        <v>1</v>
      </c>
      <c r="AG89" s="24">
        <f t="shared" ca="1" si="49"/>
        <v>1</v>
      </c>
      <c r="AH89" s="8">
        <v>20</v>
      </c>
      <c r="AI89" s="7">
        <v>0</v>
      </c>
      <c r="AJ89" s="7">
        <v>0</v>
      </c>
      <c r="AK89" s="7">
        <v>0</v>
      </c>
      <c r="AL89" s="7">
        <v>0</v>
      </c>
      <c r="AM89" s="7">
        <v>1</v>
      </c>
      <c r="AN89" s="69">
        <v>1</v>
      </c>
    </row>
    <row r="90" spans="1:40" ht="21" customHeight="1" x14ac:dyDescent="0.15">
      <c r="A90" s="16" t="str">
        <f t="shared" si="45"/>
        <v>39005_5-1/7&lt;lv60&gt;s2</v>
      </c>
      <c r="B90" s="22">
        <v>39005</v>
      </c>
      <c r="C90" s="21">
        <v>5</v>
      </c>
      <c r="D90" s="2" t="str">
        <f t="shared" si="46"/>
        <v>39005_5</v>
      </c>
      <c r="E90" s="4" t="str">
        <f ca="1">VLOOKUP($B90,OFFSET([2]quests!$A$1,0,0,COUNTA([2]quests!$A:$A),MATCH(E$1,[2]quests!$1:$1,0)-MATCH($B$1,[2]quests!$1:$1,0)+1),MATCH(E$1,[2]quests!$1:$1,0)-MATCH($B$1,[2]quests!$1:$1,0)+1,FALSE)</f>
        <v xml:space="preserve">ミクエキスポ </v>
      </c>
      <c r="F90" s="4" t="str">
        <f ca="1">VLOOKUP($D90,OFFSET([2]stages!$A$1,0,0,COUNTA([2]stages!$A:$A),MATCH(F$1,[2]stages!$2:$2,0)-MATCH($D$1,[2]stages!$2:$2,0)+1),MATCH(F$1,[2]stages!$2:$2,0)-MATCH($D$1,[2]stages!$2:$2,0)+1,FALSE)</f>
        <v>【超絶級】ミクエキスポ</v>
      </c>
      <c r="G90" s="94">
        <v>1</v>
      </c>
      <c r="H90" s="15" t="str">
        <f t="shared" si="47"/>
        <v>39005_5-1</v>
      </c>
      <c r="I90" s="4">
        <f ca="1">VLOOKUP($H90,OFFSET(floors!$A$1,0,0,COUNTA(floors!$A:$A),MATCH(I$1,floors!$1:$1,0)-MATCH($H$1,floors!$1:$1,0)+1),MATCH(I$1,floors!$1:$1,0)-MATCH($H$1,floors!$1:$1,0)+1,FALSE)</f>
        <v>60</v>
      </c>
      <c r="J90" s="4">
        <f ca="1">VLOOKUP($H90,OFFSET(floors!$A$1,0,0,COUNTA(floors!$A:$A),MATCH(J$1,floors!$1:$1,0)-MATCH($H$1,floors!$1:$1,0)+1),MATCH(J$1,floors!$1:$1,0)-MATCH($H$1,floors!$1:$1,0)+1,FALSE)</f>
        <v>60</v>
      </c>
      <c r="K90" s="38" t="s">
        <v>53</v>
      </c>
      <c r="L90" s="20">
        <v>7</v>
      </c>
      <c r="M90" s="17" t="str">
        <f ca="1">VLOOKUP($L90,OFFSET([3]enemies!$A$1,0,0,COUNTA([3]enemies!$A:$A),MATCH(M$1,[3]enemies!$1:$1,0)-MATCH($L$1,[3]enemies!$1:$1,0)+1),MATCH(M$1,[3]enemies!$1:$1,0)-MATCH($L$1,[3]enemies!$1:$1,0)+1,FALSE)</f>
        <v>エレキポット</v>
      </c>
      <c r="N90" s="17" t="str">
        <f ca="1">VLOOKUP($L90,OFFSET([3]enemies!$A$1,0,0,COUNTA([3]enemies!$A:$A),MATCH(N$1,[3]enemies!$1:$1,0)-MATCH($L$1,[3]enemies!$1:$1,0)+1),MATCH(N$1,[3]enemies!$1:$1,0)-MATCH($L$1,[3]enemies!$1:$1,0)+1,FALSE)</f>
        <v>yellow</v>
      </c>
      <c r="O90" s="17" t="str">
        <f ca="1">VLOOKUP($L90,OFFSET([4]characters!$A$1,0,0,COUNTA([4]characters!$A:$A),MATCH(O$1,[4]characters!$1:$1,0)-MATCH($L$1,[4]characters!$1:$1,0)+1),MATCH(O$1,[4]characters!$1:$1,0)-MATCH($L$1,[4]characters!$1:$1,0)+1,FALSE)</f>
        <v>Drop1T</v>
      </c>
      <c r="P90" s="17" t="str">
        <f ca="1">VLOOKUP($L90,OFFSET([3]enemies!$A$1,0,0,COUNTA([3]enemies!$A:$A),MATCH(P$1,[3]enemies!$1:$1,0)-MATCH($L$1,[3]enemies!$1:$1,0)+1),MATCH(P$1,[3]enemies!$1:$1,0)-MATCH($L$1,[3]enemies!$1:$1,0)+1,FALSE)</f>
        <v>unknown</v>
      </c>
      <c r="Q90" s="17">
        <f ca="1">VLOOKUP($L90,OFFSET([3]enemies!$A$1,0,0,COUNTA([3]enemies!$A:$A),MATCH(Q$1,[3]enemies!$1:$1,0)-MATCH($L$1,[3]enemies!$1:$1,0)+1),MATCH(Q$1,[3]enemies!$1:$1,0)-MATCH($L$1,[3]enemies!$1:$1,0)+1,FALSE)</f>
        <v>15</v>
      </c>
      <c r="R90" s="5">
        <v>60</v>
      </c>
      <c r="S90" s="25">
        <v>1.1000000000000001</v>
      </c>
      <c r="T90" s="25">
        <v>0.4</v>
      </c>
      <c r="U90" s="5">
        <v>0</v>
      </c>
      <c r="V90" s="4" t="e">
        <f ca="1">VLOOKUP($W90,OFFSET(enemy_skill_sets!$B$1,0,0,COUNTA(enemy_skill_sets!$B:$B),MATCH(M$1,enemy_skill_sets!$1:$1,0)-MATCH($W$1,enemy_skill_sets!$1:$1,0)+2),MATCH(M$1,enemy_skill_sets!$1:$1,0)-MATCH($W$1,enemy_skill_sets!$1:$1,0)+2,FALSE)</f>
        <v>#N/A</v>
      </c>
      <c r="W90" s="4">
        <f ca="1">VLOOKUP($L90,OFFSET([3]enemies!$A$1,0,0,COUNTA([3]enemies!$A:$A),MATCH(W$1,[3]enemies!$1:$1,0)-MATCH($L$1,[3]enemies!$1:$1,0)+1),MATCH(W$1,[3]enemies!$1:$1,0)-MATCH($L$1,[3]enemies!$1:$1,0)+1,FALSE)</f>
        <v>0</v>
      </c>
      <c r="X90" s="6">
        <v>0</v>
      </c>
      <c r="Y90" s="6">
        <v>100</v>
      </c>
      <c r="Z90" s="6">
        <v>0</v>
      </c>
      <c r="AA90" s="17">
        <v>2</v>
      </c>
      <c r="AB90" s="24">
        <f t="shared" si="48"/>
        <v>7</v>
      </c>
      <c r="AC90" s="4" t="str">
        <f ca="1">VLOOKUP($AB90,OFFSET([4]characters!$A$1,0,0,COUNTA([4]characters!$A:$A),MATCH(AC$1,[4]characters!$1:$1,0)-MATCH("character_id",[4]characters!$1:$1,0)+1),MATCH(AC$1,[4]characters!$1:$1,0)-MATCH("character_id",[4]characters!$1:$1,0)+1,FALSE)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90" s="4">
        <f ca="1">VLOOKUP($AB90,OFFSET([4]characters!$A$1,0,0,COUNTA([4]characters!$A:$A),MATCH(AD$1,[4]characters!$1:$1,0)-MATCH("character_id",[4]characters!$1:$1,0)+1),MATCH(AD$1,[4]characters!$1:$1,0)-MATCH("character_id",[4]characters!$1:$1,0)+1,FALSE)</f>
        <v>1</v>
      </c>
      <c r="AE90" s="4" t="str">
        <f ca="1">VLOOKUP($AB90,OFFSET([4]characters!$A$1,0,0,COUNTA([4]characters!$A:$A),MATCH(AE$1,[4]characters!$1:$1,0)-MATCH("character_id",[4]characters!$1:$1,0)+1),MATCH(AE$1,[4]characters!$1:$1,0)-MATCH("character_id",[4]characters!$1:$1,0)+1,FALSE)</f>
        <v>Drop1T</v>
      </c>
      <c r="AF90" s="7">
        <v>1</v>
      </c>
      <c r="AG90" s="24">
        <f t="shared" ca="1" si="49"/>
        <v>1</v>
      </c>
      <c r="AH90" s="8">
        <v>20</v>
      </c>
      <c r="AI90" s="7">
        <v>0</v>
      </c>
      <c r="AJ90" s="7">
        <v>0</v>
      </c>
      <c r="AK90" s="7">
        <v>0</v>
      </c>
      <c r="AL90" s="7">
        <v>0</v>
      </c>
      <c r="AM90" s="7">
        <v>1</v>
      </c>
      <c r="AN90" s="69">
        <v>1</v>
      </c>
    </row>
    <row r="91" spans="1:40" ht="21" customHeight="1" x14ac:dyDescent="0.15">
      <c r="A91" s="16" t="str">
        <f t="shared" si="45"/>
        <v>39005_5-1/15&lt;lv60&gt;s3</v>
      </c>
      <c r="B91" s="22">
        <v>39005</v>
      </c>
      <c r="C91" s="21">
        <v>5</v>
      </c>
      <c r="D91" s="2" t="str">
        <f t="shared" si="46"/>
        <v>39005_5</v>
      </c>
      <c r="E91" s="4" t="str">
        <f ca="1">VLOOKUP($B91,OFFSET([2]quests!$A$1,0,0,COUNTA([2]quests!$A:$A),MATCH(E$1,[2]quests!$1:$1,0)-MATCH($B$1,[2]quests!$1:$1,0)+1),MATCH(E$1,[2]quests!$1:$1,0)-MATCH($B$1,[2]quests!$1:$1,0)+1,FALSE)</f>
        <v xml:space="preserve">ミクエキスポ </v>
      </c>
      <c r="F91" s="4" t="str">
        <f ca="1">VLOOKUP($D91,OFFSET([2]stages!$A$1,0,0,COUNTA([2]stages!$A:$A),MATCH(F$1,[2]stages!$2:$2,0)-MATCH($D$1,[2]stages!$2:$2,0)+1),MATCH(F$1,[2]stages!$2:$2,0)-MATCH($D$1,[2]stages!$2:$2,0)+1,FALSE)</f>
        <v>【超絶級】ミクエキスポ</v>
      </c>
      <c r="G91" s="94">
        <v>1</v>
      </c>
      <c r="H91" s="15" t="str">
        <f t="shared" si="47"/>
        <v>39005_5-1</v>
      </c>
      <c r="I91" s="4">
        <f ca="1">VLOOKUP($H91,OFFSET(floors!$A$1,0,0,COUNTA(floors!$A:$A),MATCH(I$1,floors!$1:$1,0)-MATCH($H$1,floors!$1:$1,0)+1),MATCH(I$1,floors!$1:$1,0)-MATCH($H$1,floors!$1:$1,0)+1,FALSE)</f>
        <v>60</v>
      </c>
      <c r="J91" s="4">
        <f ca="1">VLOOKUP($H91,OFFSET(floors!$A$1,0,0,COUNTA(floors!$A:$A),MATCH(J$1,floors!$1:$1,0)-MATCH($H$1,floors!$1:$1,0)+1),MATCH(J$1,floors!$1:$1,0)-MATCH($H$1,floors!$1:$1,0)+1,FALSE)</f>
        <v>60</v>
      </c>
      <c r="K91" s="38" t="s">
        <v>53</v>
      </c>
      <c r="L91" s="20">
        <v>15</v>
      </c>
      <c r="M91" s="17" t="str">
        <f ca="1">VLOOKUP($L91,OFFSET([3]enemies!$A$1,0,0,COUNTA([3]enemies!$A:$A),MATCH(M$1,[3]enemies!$1:$1,0)-MATCH($L$1,[3]enemies!$1:$1,0)+1),MATCH(M$1,[3]enemies!$1:$1,0)-MATCH($L$1,[3]enemies!$1:$1,0)+1,FALSE)</f>
        <v>アカネ</v>
      </c>
      <c r="N91" s="17" t="str">
        <f ca="1">VLOOKUP($L91,OFFSET([3]enemies!$A$1,0,0,COUNTA([3]enemies!$A:$A),MATCH(N$1,[3]enemies!$1:$1,0)-MATCH($L$1,[3]enemies!$1:$1,0)+1),MATCH(N$1,[3]enemies!$1:$1,0)-MATCH($L$1,[3]enemies!$1:$1,0)+1,FALSE)</f>
        <v>red</v>
      </c>
      <c r="O91" s="17" t="str">
        <f ca="1">VLOOKUP($L91,OFFSET([4]characters!$A$1,0,0,COUNTA([4]characters!$A:$A),MATCH(O$1,[4]characters!$1:$1,0)-MATCH($L$1,[4]characters!$1:$1,0)+1),MATCH(O$1,[4]characters!$1:$1,0)-MATCH($L$1,[4]characters!$1:$1,0)+1,FALSE)</f>
        <v>Drop1W</v>
      </c>
      <c r="P91" s="17" t="str">
        <f ca="1">VLOOKUP($L91,OFFSET([3]enemies!$A$1,0,0,COUNTA([3]enemies!$A:$A),MATCH(P$1,[3]enemies!$1:$1,0)-MATCH($L$1,[3]enemies!$1:$1,0)+1),MATCH(P$1,[3]enemies!$1:$1,0)-MATCH($L$1,[3]enemies!$1:$1,0)+1,FALSE)</f>
        <v>human</v>
      </c>
      <c r="Q91" s="17">
        <f ca="1">VLOOKUP($L91,OFFSET([3]enemies!$A$1,0,0,COUNTA([3]enemies!$A:$A),MATCH(Q$1,[3]enemies!$1:$1,0)-MATCH($L$1,[3]enemies!$1:$1,0)+1),MATCH(Q$1,[3]enemies!$1:$1,0)-MATCH($L$1,[3]enemies!$1:$1,0)+1,FALSE)</f>
        <v>15</v>
      </c>
      <c r="R91" s="5">
        <v>60</v>
      </c>
      <c r="S91" s="25">
        <v>1.1000000000000001</v>
      </c>
      <c r="T91" s="25">
        <v>0.6</v>
      </c>
      <c r="U91" s="5">
        <v>0</v>
      </c>
      <c r="V91" s="4" t="str">
        <f ca="1">VLOOKUP($W91,OFFSET([5]enemy_skill_sets!$B$1,0,0,COUNTA([5]enemy_skill_sets!$B:$B),MATCH(M$1,[5]enemy_skill_sets!$1:$1,0)-MATCH($W$1,[5]enemy_skill_sets!$1:$1,0)+2),MATCH(M$1,[5]enemy_skill_sets!$1:$1,0)-MATCH($W$1,[5]enemy_skill_sets!$1:$1,0)+2,FALSE)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1" s="4">
        <f ca="1">VLOOKUP($L91,OFFSET([3]enemies!$A$1,0,0,COUNTA([3]enemies!$A:$A),MATCH(W$1,[3]enemies!$1:$1,0)-MATCH($L$1,[3]enemies!$1:$1,0)+1),MATCH(W$1,[3]enemies!$1:$1,0)-MATCH($L$1,[3]enemies!$1:$1,0)+1,FALSE)</f>
        <v>0</v>
      </c>
      <c r="X91" s="6">
        <v>0</v>
      </c>
      <c r="Y91" s="6">
        <v>100</v>
      </c>
      <c r="Z91" s="6">
        <v>0</v>
      </c>
      <c r="AA91" s="17">
        <v>3</v>
      </c>
      <c r="AB91" s="24">
        <f t="shared" si="48"/>
        <v>15</v>
      </c>
      <c r="AC91" s="4" t="str">
        <f ca="1">VLOOKUP($AB91,OFFSET([4]characters!$A$1,0,0,COUNTA([4]characters!$A:$A),MATCH(AC$1,[4]characters!$1:$1,0)-MATCH("character_id",[4]characters!$1:$1,0)+1),MATCH(AC$1,[4]characters!$1:$1,0)-MATCH("character_id",[4]characters!$1:$1,0)+1,FALSE)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91" s="4">
        <f ca="1">VLOOKUP($AB91,OFFSET([4]characters!$A$1,0,0,COUNTA([4]characters!$A:$A),MATCH(AD$1,[4]characters!$1:$1,0)-MATCH("character_id",[4]characters!$1:$1,0)+1),MATCH(AD$1,[4]characters!$1:$1,0)-MATCH("character_id",[4]characters!$1:$1,0)+1,FALSE)</f>
        <v>1</v>
      </c>
      <c r="AE91" s="4" t="str">
        <f ca="1">VLOOKUP($AB91,OFFSET([4]characters!$A$1,0,0,COUNTA([4]characters!$A:$A),MATCH(AE$1,[4]characters!$1:$1,0)-MATCH("character_id",[4]characters!$1:$1,0)+1),MATCH(AE$1,[4]characters!$1:$1,0)-MATCH("character_id",[4]characters!$1:$1,0)+1,FALSE)</f>
        <v>Drop1W</v>
      </c>
      <c r="AF91" s="7">
        <v>1</v>
      </c>
      <c r="AG91" s="24">
        <f t="shared" ca="1" si="49"/>
        <v>1</v>
      </c>
      <c r="AH91" s="8">
        <v>20</v>
      </c>
      <c r="AI91" s="7">
        <v>0</v>
      </c>
      <c r="AJ91" s="7">
        <v>0</v>
      </c>
      <c r="AK91" s="7">
        <v>0</v>
      </c>
      <c r="AL91" s="7">
        <v>0</v>
      </c>
      <c r="AM91" s="7">
        <v>1</v>
      </c>
      <c r="AN91" s="69">
        <v>1</v>
      </c>
    </row>
    <row r="92" spans="1:40" ht="21" customHeight="1" x14ac:dyDescent="0.15">
      <c r="A92" s="16" t="str">
        <f t="shared" si="45"/>
        <v>39005_5-1/27&lt;lv60&gt;s1</v>
      </c>
      <c r="B92" s="22">
        <v>39005</v>
      </c>
      <c r="C92" s="21">
        <v>5</v>
      </c>
      <c r="D92" s="2" t="str">
        <f t="shared" si="46"/>
        <v>39005_5</v>
      </c>
      <c r="E92" s="4" t="str">
        <f ca="1">VLOOKUP($B92,OFFSET([2]quests!$A$1,0,0,COUNTA([2]quests!$A:$A),MATCH(E$1,[2]quests!$1:$1,0)-MATCH($B$1,[2]quests!$1:$1,0)+1),MATCH(E$1,[2]quests!$1:$1,0)-MATCH($B$1,[2]quests!$1:$1,0)+1,FALSE)</f>
        <v xml:space="preserve">ミクエキスポ </v>
      </c>
      <c r="F92" s="4" t="str">
        <f ca="1">VLOOKUP($D92,OFFSET([2]stages!$A$1,0,0,COUNTA([2]stages!$A:$A),MATCH(F$1,[2]stages!$2:$2,0)-MATCH($D$1,[2]stages!$2:$2,0)+1),MATCH(F$1,[2]stages!$2:$2,0)-MATCH($D$1,[2]stages!$2:$2,0)+1,FALSE)</f>
        <v>【超絶級】ミクエキスポ</v>
      </c>
      <c r="G92" s="94">
        <v>1</v>
      </c>
      <c r="H92" s="15" t="str">
        <f t="shared" si="47"/>
        <v>39005_5-1</v>
      </c>
      <c r="I92" s="4">
        <f ca="1">VLOOKUP($H92,OFFSET(floors!$A$1,0,0,COUNTA(floors!$A:$A),MATCH(I$1,floors!$1:$1,0)-MATCH($H$1,floors!$1:$1,0)+1),MATCH(I$1,floors!$1:$1,0)-MATCH($H$1,floors!$1:$1,0)+1,FALSE)</f>
        <v>60</v>
      </c>
      <c r="J92" s="4">
        <f ca="1">VLOOKUP($H92,OFFSET(floors!$A$1,0,0,COUNTA(floors!$A:$A),MATCH(J$1,floors!$1:$1,0)-MATCH($H$1,floors!$1:$1,0)+1),MATCH(J$1,floors!$1:$1,0)-MATCH($H$1,floors!$1:$1,0)+1,FALSE)</f>
        <v>60</v>
      </c>
      <c r="K92" s="38" t="s">
        <v>53</v>
      </c>
      <c r="L92" s="20">
        <v>27</v>
      </c>
      <c r="M92" s="17" t="str">
        <f ca="1">VLOOKUP($L92,OFFSET([3]enemies!$A$1,0,0,COUNTA([3]enemies!$A:$A),MATCH(M$1,[3]enemies!$1:$1,0)-MATCH($L$1,[3]enemies!$1:$1,0)+1),MATCH(M$1,[3]enemies!$1:$1,0)-MATCH($L$1,[3]enemies!$1:$1,0)+1,FALSE)</f>
        <v>パトライン</v>
      </c>
      <c r="N92" s="17" t="str">
        <f ca="1">VLOOKUP($L92,OFFSET([3]enemies!$A$1,0,0,COUNTA([3]enemies!$A:$A),MATCH(N$1,[3]enemies!$1:$1,0)-MATCH($L$1,[3]enemies!$1:$1,0)+1),MATCH(N$1,[3]enemies!$1:$1,0)-MATCH($L$1,[3]enemies!$1:$1,0)+1,FALSE)</f>
        <v>green</v>
      </c>
      <c r="O92" s="17" t="str">
        <f ca="1">VLOOKUP($L92,OFFSET([4]characters!$A$1,0,0,COUNTA([4]characters!$A:$A),MATCH(O$1,[4]characters!$1:$1,0)-MATCH($L$1,[4]characters!$1:$1,0)+1),MATCH(O$1,[4]characters!$1:$1,0)-MATCH($L$1,[4]characters!$1:$1,0)+1,FALSE)</f>
        <v>Drop1N</v>
      </c>
      <c r="P92" s="17" t="str">
        <f ca="1">VLOOKUP($L92,OFFSET([3]enemies!$A$1,0,0,COUNTA([3]enemies!$A:$A),MATCH(P$1,[3]enemies!$1:$1,0)-MATCH($L$1,[3]enemies!$1:$1,0)+1),MATCH(P$1,[3]enemies!$1:$1,0)-MATCH($L$1,[3]enemies!$1:$1,0)+1,FALSE)</f>
        <v>machine</v>
      </c>
      <c r="Q92" s="17">
        <f ca="1">VLOOKUP($L92,OFFSET([3]enemies!$A$1,0,0,COUNTA([3]enemies!$A:$A),MATCH(Q$1,[3]enemies!$1:$1,0)-MATCH($L$1,[3]enemies!$1:$1,0)+1),MATCH(Q$1,[3]enemies!$1:$1,0)-MATCH($L$1,[3]enemies!$1:$1,0)+1,FALSE)</f>
        <v>15</v>
      </c>
      <c r="R92" s="5">
        <v>60</v>
      </c>
      <c r="S92" s="25">
        <v>1.2</v>
      </c>
      <c r="T92" s="25">
        <v>0.6</v>
      </c>
      <c r="U92" s="5">
        <v>0</v>
      </c>
      <c r="V92" s="4" t="e">
        <f ca="1">VLOOKUP($W92,OFFSET(enemy_skill_sets!$B$1,0,0,COUNTA(enemy_skill_sets!$B:$B),MATCH(M$1,enemy_skill_sets!$1:$1,0)-MATCH($W$1,enemy_skill_sets!$1:$1,0)+2),MATCH(M$1,enemy_skill_sets!$1:$1,0)-MATCH($W$1,enemy_skill_sets!$1:$1,0)+2,FALSE)</f>
        <v>#N/A</v>
      </c>
      <c r="W92" s="4">
        <v>28</v>
      </c>
      <c r="X92" s="6">
        <v>0</v>
      </c>
      <c r="Y92" s="6">
        <v>100</v>
      </c>
      <c r="Z92" s="6">
        <v>0</v>
      </c>
      <c r="AA92" s="17">
        <v>1</v>
      </c>
      <c r="AB92" s="24">
        <f t="shared" si="48"/>
        <v>27</v>
      </c>
      <c r="AC92" s="4" t="str">
        <f ca="1">VLOOKUP($AB92,OFFSET([4]characters!$A$1,0,0,COUNTA([4]characters!$A:$A),MATCH(AC$1,[4]characters!$1:$1,0)-MATCH("character_id",[4]characters!$1:$1,0)+1),MATCH(AC$1,[4]characters!$1:$1,0)-MATCH("character_id",[4]characters!$1:$1,0)+1,FALSE)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92" s="4">
        <f ca="1">VLOOKUP($AB92,OFFSET([4]characters!$A$1,0,0,COUNTA([4]characters!$A:$A),MATCH(AD$1,[4]characters!$1:$1,0)-MATCH("character_id",[4]characters!$1:$1,0)+1),MATCH(AD$1,[4]characters!$1:$1,0)-MATCH("character_id",[4]characters!$1:$1,0)+1,FALSE)</f>
        <v>1</v>
      </c>
      <c r="AE92" s="4" t="str">
        <f ca="1">VLOOKUP($AB92,OFFSET([4]characters!$A$1,0,0,COUNTA([4]characters!$A:$A),MATCH(AE$1,[4]characters!$1:$1,0)-MATCH("character_id",[4]characters!$1:$1,0)+1),MATCH(AE$1,[4]characters!$1:$1,0)-MATCH("character_id",[4]characters!$1:$1,0)+1,FALSE)</f>
        <v>Drop1N</v>
      </c>
      <c r="AF92" s="7">
        <v>1</v>
      </c>
      <c r="AG92" s="24">
        <f t="shared" ca="1" si="49"/>
        <v>1</v>
      </c>
      <c r="AH92" s="8">
        <v>20</v>
      </c>
      <c r="AI92" s="7">
        <v>0</v>
      </c>
      <c r="AJ92" s="7">
        <v>0</v>
      </c>
      <c r="AK92" s="7">
        <v>0</v>
      </c>
      <c r="AL92" s="7">
        <v>0</v>
      </c>
      <c r="AM92" s="7">
        <v>1</v>
      </c>
      <c r="AN92" s="69">
        <v>1</v>
      </c>
    </row>
    <row r="93" spans="1:40" ht="21" customHeight="1" x14ac:dyDescent="0.15">
      <c r="A93" s="16" t="str">
        <f t="shared" si="45"/>
        <v>39005_5-1/17&lt;lv60&gt;s2</v>
      </c>
      <c r="B93" s="22">
        <v>39005</v>
      </c>
      <c r="C93" s="21">
        <v>5</v>
      </c>
      <c r="D93" s="2" t="str">
        <f t="shared" si="46"/>
        <v>39005_5</v>
      </c>
      <c r="E93" s="4" t="str">
        <f ca="1">VLOOKUP($B93,OFFSET([2]quests!$A$1,0,0,COUNTA([2]quests!$A:$A),MATCH(E$1,[2]quests!$1:$1,0)-MATCH($B$1,[2]quests!$1:$1,0)+1),MATCH(E$1,[2]quests!$1:$1,0)-MATCH($B$1,[2]quests!$1:$1,0)+1,FALSE)</f>
        <v xml:space="preserve">ミクエキスポ </v>
      </c>
      <c r="F93" s="4" t="str">
        <f ca="1">VLOOKUP($D93,OFFSET([2]stages!$A$1,0,0,COUNTA([2]stages!$A:$A),MATCH(F$1,[2]stages!$2:$2,0)-MATCH($D$1,[2]stages!$2:$2,0)+1),MATCH(F$1,[2]stages!$2:$2,0)-MATCH($D$1,[2]stages!$2:$2,0)+1,FALSE)</f>
        <v>【超絶級】ミクエキスポ</v>
      </c>
      <c r="G93" s="94">
        <v>1</v>
      </c>
      <c r="H93" s="15" t="str">
        <f t="shared" si="47"/>
        <v>39005_5-1</v>
      </c>
      <c r="I93" s="4">
        <f ca="1">VLOOKUP($H93,OFFSET(floors!$A$1,0,0,COUNTA(floors!$A:$A),MATCH(I$1,floors!$1:$1,0)-MATCH($H$1,floors!$1:$1,0)+1),MATCH(I$1,floors!$1:$1,0)-MATCH($H$1,floors!$1:$1,0)+1,FALSE)</f>
        <v>60</v>
      </c>
      <c r="J93" s="4">
        <f ca="1">VLOOKUP($H93,OFFSET(floors!$A$1,0,0,COUNTA(floors!$A:$A),MATCH(J$1,floors!$1:$1,0)-MATCH($H$1,floors!$1:$1,0)+1),MATCH(J$1,floors!$1:$1,0)-MATCH($H$1,floors!$1:$1,0)+1,FALSE)</f>
        <v>60</v>
      </c>
      <c r="K93" s="38" t="s">
        <v>53</v>
      </c>
      <c r="L93" s="20">
        <v>17</v>
      </c>
      <c r="M93" s="17" t="str">
        <f ca="1">VLOOKUP($L93,OFFSET([3]enemies!$A$1,0,0,COUNTA([3]enemies!$A:$A),MATCH(M$1,[3]enemies!$1:$1,0)-MATCH($L$1,[3]enemies!$1:$1,0)+1),MATCH(M$1,[3]enemies!$1:$1,0)-MATCH($L$1,[3]enemies!$1:$1,0)+1,FALSE)</f>
        <v>リム</v>
      </c>
      <c r="N93" s="17" t="str">
        <f ca="1">VLOOKUP($L93,OFFSET([3]enemies!$A$1,0,0,COUNTA([3]enemies!$A:$A),MATCH(N$1,[3]enemies!$1:$1,0)-MATCH($L$1,[3]enemies!$1:$1,0)+1),MATCH(N$1,[3]enemies!$1:$1,0)-MATCH($L$1,[3]enemies!$1:$1,0)+1,FALSE)</f>
        <v>blue</v>
      </c>
      <c r="O93" s="17" t="str">
        <f ca="1">VLOOKUP($L93,OFFSET([4]characters!$A$1,0,0,COUNTA([4]characters!$A:$A),MATCH(O$1,[4]characters!$1:$1,0)-MATCH($L$1,[4]characters!$1:$1,0)+1),MATCH(O$1,[4]characters!$1:$1,0)-MATCH($L$1,[4]characters!$1:$1,0)+1,FALSE)</f>
        <v>Drop1W</v>
      </c>
      <c r="P93" s="17" t="str">
        <f ca="1">VLOOKUP($L93,OFFSET([3]enemies!$A$1,0,0,COUNTA([3]enemies!$A:$A),MATCH(P$1,[3]enemies!$1:$1,0)-MATCH($L$1,[3]enemies!$1:$1,0)+1),MATCH(P$1,[3]enemies!$1:$1,0)-MATCH($L$1,[3]enemies!$1:$1,0)+1,FALSE)</f>
        <v>human</v>
      </c>
      <c r="Q93" s="17">
        <f ca="1">VLOOKUP($L93,OFFSET([3]enemies!$A$1,0,0,COUNTA([3]enemies!$A:$A),MATCH(Q$1,[3]enemies!$1:$1,0)-MATCH($L$1,[3]enemies!$1:$1,0)+1),MATCH(Q$1,[3]enemies!$1:$1,0)-MATCH($L$1,[3]enemies!$1:$1,0)+1,FALSE)</f>
        <v>15</v>
      </c>
      <c r="R93" s="5">
        <v>60</v>
      </c>
      <c r="S93" s="25">
        <v>1</v>
      </c>
      <c r="T93" s="25">
        <v>0.6</v>
      </c>
      <c r="U93" s="5">
        <v>0</v>
      </c>
      <c r="V93" s="4" t="str">
        <f ca="1">VLOOKUP($W93,OFFSET([5]enemy_skill_sets!$B$1,0,0,COUNTA([5]enemy_skill_sets!$B:$B),MATCH(M$1,[5]enemy_skill_sets!$1:$1,0)-MATCH($W$1,[5]enemy_skill_sets!$1:$1,0)+2),MATCH(M$1,[5]enemy_skill_sets!$1:$1,0)-MATCH($W$1,[5]enemy_skill_sets!$1:$1,0)+2,FALSE)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3" s="4">
        <f ca="1">VLOOKUP($L93,OFFSET([3]enemies!$A$1,0,0,COUNTA([3]enemies!$A:$A),MATCH(W$1,[3]enemies!$1:$1,0)-MATCH($L$1,[3]enemies!$1:$1,0)+1),MATCH(W$1,[3]enemies!$1:$1,0)-MATCH($L$1,[3]enemies!$1:$1,0)+1,FALSE)</f>
        <v>0</v>
      </c>
      <c r="X93" s="6">
        <v>0</v>
      </c>
      <c r="Y93" s="6">
        <v>100</v>
      </c>
      <c r="Z93" s="6">
        <v>0</v>
      </c>
      <c r="AA93" s="17">
        <v>2</v>
      </c>
      <c r="AB93" s="24">
        <f t="shared" si="48"/>
        <v>17</v>
      </c>
      <c r="AC93" s="4" t="str">
        <f ca="1">VLOOKUP($AB93,OFFSET([4]characters!$A$1,0,0,COUNTA([4]characters!$A:$A),MATCH(AC$1,[4]characters!$1:$1,0)-MATCH("character_id",[4]characters!$1:$1,0)+1),MATCH(AC$1,[4]characters!$1:$1,0)-MATCH("character_id",[4]characters!$1:$1,0)+1,FALSE)</f>
        <v>リム</v>
      </c>
      <c r="AD93" s="4">
        <f ca="1">VLOOKUP($AB93,OFFSET([4]characters!$A$1,0,0,COUNTA([4]characters!$A:$A),MATCH(AD$1,[4]characters!$1:$1,0)-MATCH("character_id",[4]characters!$1:$1,0)+1),MATCH(AD$1,[4]characters!$1:$1,0)-MATCH("character_id",[4]characters!$1:$1,0)+1,FALSE)</f>
        <v>1</v>
      </c>
      <c r="AE93" s="4" t="str">
        <f ca="1">VLOOKUP($AB93,OFFSET([4]characters!$A$1,0,0,COUNTA([4]characters!$A:$A),MATCH(AE$1,[4]characters!$1:$1,0)-MATCH("character_id",[4]characters!$1:$1,0)+1),MATCH(AE$1,[4]characters!$1:$1,0)-MATCH("character_id",[4]characters!$1:$1,0)+1,FALSE)</f>
        <v>Drop1W</v>
      </c>
      <c r="AF93" s="7">
        <v>1</v>
      </c>
      <c r="AG93" s="24">
        <f t="shared" ca="1" si="49"/>
        <v>1</v>
      </c>
      <c r="AH93" s="8">
        <v>20</v>
      </c>
      <c r="AI93" s="7">
        <v>0</v>
      </c>
      <c r="AJ93" s="7">
        <v>0</v>
      </c>
      <c r="AK93" s="7">
        <v>0</v>
      </c>
      <c r="AL93" s="7">
        <v>0</v>
      </c>
      <c r="AM93" s="7">
        <v>1</v>
      </c>
      <c r="AN93" s="69">
        <v>1</v>
      </c>
    </row>
    <row r="94" spans="1:40" ht="21" customHeight="1" x14ac:dyDescent="0.15">
      <c r="A94" s="16" t="str">
        <f t="shared" si="45"/>
        <v>39005_5-1/13&lt;lv60&gt;s2</v>
      </c>
      <c r="B94" s="22">
        <v>39005</v>
      </c>
      <c r="C94" s="21">
        <v>5</v>
      </c>
      <c r="D94" s="2" t="str">
        <f t="shared" si="46"/>
        <v>39005_5</v>
      </c>
      <c r="E94" s="4" t="str">
        <f ca="1">VLOOKUP($B94,OFFSET([2]quests!$A$1,0,0,COUNTA([2]quests!$A:$A),MATCH(E$1,[2]quests!$1:$1,0)-MATCH($B$1,[2]quests!$1:$1,0)+1),MATCH(E$1,[2]quests!$1:$1,0)-MATCH($B$1,[2]quests!$1:$1,0)+1,FALSE)</f>
        <v xml:space="preserve">ミクエキスポ </v>
      </c>
      <c r="F94" s="4" t="str">
        <f ca="1">VLOOKUP($D94,OFFSET([2]stages!$A$1,0,0,COUNTA([2]stages!$A:$A),MATCH(F$1,[2]stages!$2:$2,0)-MATCH($D$1,[2]stages!$2:$2,0)+1),MATCH(F$1,[2]stages!$2:$2,0)-MATCH($D$1,[2]stages!$2:$2,0)+1,FALSE)</f>
        <v>【超絶級】ミクエキスポ</v>
      </c>
      <c r="G94" s="94">
        <v>1</v>
      </c>
      <c r="H94" s="15" t="str">
        <f t="shared" si="47"/>
        <v>39005_5-1</v>
      </c>
      <c r="I94" s="4">
        <f ca="1">VLOOKUP($H94,OFFSET(floors!$A$1,0,0,COUNTA(floors!$A:$A),MATCH(I$1,floors!$1:$1,0)-MATCH($H$1,floors!$1:$1,0)+1),MATCH(I$1,floors!$1:$1,0)-MATCH($H$1,floors!$1:$1,0)+1,FALSE)</f>
        <v>60</v>
      </c>
      <c r="J94" s="4">
        <f ca="1">VLOOKUP($H94,OFFSET(floors!$A$1,0,0,COUNTA(floors!$A:$A),MATCH(J$1,floors!$1:$1,0)-MATCH($H$1,floors!$1:$1,0)+1),MATCH(J$1,floors!$1:$1,0)-MATCH($H$1,floors!$1:$1,0)+1,FALSE)</f>
        <v>60</v>
      </c>
      <c r="K94" s="38" t="s">
        <v>53</v>
      </c>
      <c r="L94" s="20">
        <v>13</v>
      </c>
      <c r="M94" s="17" t="str">
        <f ca="1">VLOOKUP($L94,OFFSET([3]enemies!$A$1,0,0,COUNTA([3]enemies!$A:$A),MATCH(M$1,[3]enemies!$1:$1,0)-MATCH($L$1,[3]enemies!$1:$1,0)+1),MATCH(M$1,[3]enemies!$1:$1,0)-MATCH($L$1,[3]enemies!$1:$1,0)+1,FALSE)</f>
        <v>ミミ</v>
      </c>
      <c r="N94" s="17" t="str">
        <f ca="1">VLOOKUP($L94,OFFSET([3]enemies!$A$1,0,0,COUNTA([3]enemies!$A:$A),MATCH(N$1,[3]enemies!$1:$1,0)-MATCH($L$1,[3]enemies!$1:$1,0)+1),MATCH(N$1,[3]enemies!$1:$1,0)-MATCH($L$1,[3]enemies!$1:$1,0)+1,FALSE)</f>
        <v>yellow</v>
      </c>
      <c r="O94" s="17" t="str">
        <f ca="1">VLOOKUP($L94,OFFSET([4]characters!$A$1,0,0,COUNTA([4]characters!$A:$A),MATCH(O$1,[4]characters!$1:$1,0)-MATCH($L$1,[4]characters!$1:$1,0)+1),MATCH(O$1,[4]characters!$1:$1,0)-MATCH($L$1,[4]characters!$1:$1,0)+1,FALSE)</f>
        <v>Drop1W</v>
      </c>
      <c r="P94" s="17" t="str">
        <f ca="1">VLOOKUP($L94,OFFSET([3]enemies!$A$1,0,0,COUNTA([3]enemies!$A:$A),MATCH(P$1,[3]enemies!$1:$1,0)-MATCH($L$1,[3]enemies!$1:$1,0)+1),MATCH(P$1,[3]enemies!$1:$1,0)-MATCH($L$1,[3]enemies!$1:$1,0)+1,FALSE)</f>
        <v>animal</v>
      </c>
      <c r="Q94" s="17">
        <f ca="1">VLOOKUP($L94,OFFSET([3]enemies!$A$1,0,0,COUNTA([3]enemies!$A:$A),MATCH(Q$1,[3]enemies!$1:$1,0)-MATCH($L$1,[3]enemies!$1:$1,0)+1),MATCH(Q$1,[3]enemies!$1:$1,0)-MATCH($L$1,[3]enemies!$1:$1,0)+1,FALSE)</f>
        <v>15</v>
      </c>
      <c r="R94" s="5">
        <v>60</v>
      </c>
      <c r="S94" s="25">
        <v>1.1000000000000001</v>
      </c>
      <c r="T94" s="25">
        <v>0.4</v>
      </c>
      <c r="U94" s="5">
        <v>0</v>
      </c>
      <c r="V94" s="4" t="e">
        <f ca="1">VLOOKUP($W94,OFFSET(enemy_skill_sets!$B$1,0,0,COUNTA(enemy_skill_sets!$B:$B),MATCH(M$1,enemy_skill_sets!$1:$1,0)-MATCH($W$1,enemy_skill_sets!$1:$1,0)+2),MATCH(M$1,enemy_skill_sets!$1:$1,0)-MATCH($W$1,enemy_skill_sets!$1:$1,0)+2,FALSE)</f>
        <v>#N/A</v>
      </c>
      <c r="W94" s="4">
        <f ca="1">VLOOKUP($L94,OFFSET([3]enemies!$A$1,0,0,COUNTA([3]enemies!$A:$A),MATCH(W$1,[3]enemies!$1:$1,0)-MATCH($L$1,[3]enemies!$1:$1,0)+1),MATCH(W$1,[3]enemies!$1:$1,0)-MATCH($L$1,[3]enemies!$1:$1,0)+1,FALSE)</f>
        <v>0</v>
      </c>
      <c r="X94" s="6">
        <v>0</v>
      </c>
      <c r="Y94" s="6">
        <v>100</v>
      </c>
      <c r="Z94" s="6">
        <v>0</v>
      </c>
      <c r="AA94" s="17">
        <v>2</v>
      </c>
      <c r="AB94" s="24">
        <f t="shared" si="48"/>
        <v>13</v>
      </c>
      <c r="AC94" s="4" t="str">
        <f ca="1">VLOOKUP($AB94,OFFSET([4]characters!$A$1,0,0,COUNTA([4]characters!$A:$A),MATCH(AC$1,[4]characters!$1:$1,0)-MATCH("character_id",[4]characters!$1:$1,0)+1),MATCH(AC$1,[4]characters!$1:$1,0)-MATCH("character_id",[4]characters!$1:$1,0)+1,FALSE)</f>
        <v>ミミ</v>
      </c>
      <c r="AD94" s="4">
        <f ca="1">VLOOKUP($AB94,OFFSET([4]characters!$A$1,0,0,COUNTA([4]characters!$A:$A),MATCH(AD$1,[4]characters!$1:$1,0)-MATCH("character_id",[4]characters!$1:$1,0)+1),MATCH(AD$1,[4]characters!$1:$1,0)-MATCH("character_id",[4]characters!$1:$1,0)+1,FALSE)</f>
        <v>1</v>
      </c>
      <c r="AE94" s="4" t="str">
        <f ca="1">VLOOKUP($AB94,OFFSET([4]characters!$A$1,0,0,COUNTA([4]characters!$A:$A),MATCH(AE$1,[4]characters!$1:$1,0)-MATCH("character_id",[4]characters!$1:$1,0)+1),MATCH(AE$1,[4]characters!$1:$1,0)-MATCH("character_id",[4]characters!$1:$1,0)+1,FALSE)</f>
        <v>Drop1W</v>
      </c>
      <c r="AF94" s="7">
        <v>1</v>
      </c>
      <c r="AG94" s="24">
        <f t="shared" ca="1" si="49"/>
        <v>1</v>
      </c>
      <c r="AH94" s="8">
        <v>20</v>
      </c>
      <c r="AI94" s="7">
        <v>0</v>
      </c>
      <c r="AJ94" s="7">
        <v>0</v>
      </c>
      <c r="AK94" s="7">
        <v>0</v>
      </c>
      <c r="AL94" s="7">
        <v>0</v>
      </c>
      <c r="AM94" s="7">
        <v>1</v>
      </c>
      <c r="AN94" s="69">
        <v>1</v>
      </c>
    </row>
    <row r="95" spans="1:40" ht="21" customHeight="1" x14ac:dyDescent="0.15">
      <c r="A95" s="16" t="str">
        <f t="shared" si="45"/>
        <v>39005_5-2/8029&lt;lv65&gt;s2</v>
      </c>
      <c r="B95" s="22">
        <v>39005</v>
      </c>
      <c r="C95" s="21">
        <v>5</v>
      </c>
      <c r="D95" s="2" t="str">
        <f t="shared" si="46"/>
        <v>39005_5</v>
      </c>
      <c r="E95" s="4" t="str">
        <f ca="1">VLOOKUP($B95,OFFSET([2]quests!$A$1,0,0,COUNTA([2]quests!$A:$A),MATCH(E$1,[2]quests!$1:$1,0)-MATCH($B$1,[2]quests!$1:$1,0)+1),MATCH(E$1,[2]quests!$1:$1,0)-MATCH($B$1,[2]quests!$1:$1,0)+1,FALSE)</f>
        <v xml:space="preserve">ミクエキスポ </v>
      </c>
      <c r="F95" s="4" t="str">
        <f ca="1">VLOOKUP($D95,OFFSET([2]stages!$A$1,0,0,COUNTA([2]stages!$A:$A),MATCH(F$1,[2]stages!$2:$2,0)-MATCH($D$1,[2]stages!$2:$2,0)+1),MATCH(F$1,[2]stages!$2:$2,0)-MATCH($D$1,[2]stages!$2:$2,0)+1,FALSE)</f>
        <v>【超絶級】ミクエキスポ</v>
      </c>
      <c r="G95" s="95">
        <v>2</v>
      </c>
      <c r="H95" s="15" t="str">
        <f t="shared" si="47"/>
        <v>39005_5-2</v>
      </c>
      <c r="I95" s="4">
        <f ca="1">VLOOKUP($H95,OFFSET(floors!$A$1,0,0,COUNTA(floors!$A:$A),MATCH(I$1,floors!$1:$1,0)-MATCH($H$1,floors!$1:$1,0)+1),MATCH(I$1,floors!$1:$1,0)-MATCH($H$1,floors!$1:$1,0)+1,FALSE)</f>
        <v>60</v>
      </c>
      <c r="J95" s="4">
        <f ca="1">VLOOKUP($H95,OFFSET(floors!$A$1,0,0,COUNTA(floors!$A:$A),MATCH(J$1,floors!$1:$1,0)-MATCH($H$1,floors!$1:$1,0)+1),MATCH(J$1,floors!$1:$1,0)-MATCH($H$1,floors!$1:$1,0)+1,FALSE)</f>
        <v>60</v>
      </c>
      <c r="K95" s="38">
        <v>3</v>
      </c>
      <c r="L95" s="20">
        <v>8029</v>
      </c>
      <c r="M95" s="17" t="str">
        <f ca="1">VLOOKUP($L95,OFFSET([3]enemies!$A$1,0,0,COUNTA([3]enemies!$A:$A),MATCH(M$1,[3]enemies!$1:$1,0)-MATCH($L$1,[3]enemies!$1:$1,0)+1),MATCH(M$1,[3]enemies!$1:$1,0)-MATCH($L$1,[3]enemies!$1:$1,0)+1,FALSE)</f>
        <v>CO04_ EV01_R4</v>
      </c>
      <c r="N95" s="17" t="str">
        <f ca="1">VLOOKUP($L95,OFFSET([3]enemies!$A$1,0,0,COUNTA([3]enemies!$A:$A),MATCH(N$1,[3]enemies!$1:$1,0)-MATCH($L$1,[3]enemies!$1:$1,0)+1),MATCH(N$1,[3]enemies!$1:$1,0)-MATCH($L$1,[3]enemies!$1:$1,0)+1,FALSE)</f>
        <v>blue</v>
      </c>
      <c r="O95" s="17" t="str">
        <f ca="1">VLOOKUP($L95,OFFSET([4]characters!$A$1,0,0,COUNTA([4]characters!$A:$A),MATCH(O$1,[4]characters!$1:$1,0)-MATCH($L$1,[4]characters!$1:$1,0)+1),MATCH(O$1,[4]characters!$1:$1,0)-MATCH($L$1,[4]characters!$1:$1,0)+1,FALSE)</f>
        <v>Drop2N</v>
      </c>
      <c r="P95" s="17" t="str">
        <f ca="1">VLOOKUP($L95,OFFSET([3]enemies!$A$1,0,0,COUNTA([3]enemies!$A:$A),MATCH(P$1,[3]enemies!$1:$1,0)-MATCH($L$1,[3]enemies!$1:$1,0)+1),MATCH(P$1,[3]enemies!$1:$1,0)-MATCH($L$1,[3]enemies!$1:$1,0)+1,FALSE)</f>
        <v>unknown</v>
      </c>
      <c r="Q95" s="17">
        <f ca="1">VLOOKUP($L95,OFFSET([3]enemies!$A$1,0,0,COUNTA([3]enemies!$A:$A),MATCH(Q$1,[3]enemies!$1:$1,0)-MATCH($L$1,[3]enemies!$1:$1,0)+1),MATCH(Q$1,[3]enemies!$1:$1,0)-MATCH($L$1,[3]enemies!$1:$1,0)+1,FALSE)</f>
        <v>20</v>
      </c>
      <c r="R95" s="5">
        <v>65</v>
      </c>
      <c r="S95" s="25">
        <v>1.6</v>
      </c>
      <c r="T95" s="25">
        <v>1.2</v>
      </c>
      <c r="U95" s="5">
        <v>0</v>
      </c>
      <c r="V95" s="4" t="str">
        <f ca="1">VLOOKUP($W95,OFFSET(enemy_skill_sets!$B$1,0,0,COUNTA(enemy_skill_sets!$B:$B),MATCH(M$1,enemy_skill_sets!$1:$1,0)-MATCH($W$1,enemy_skill_sets!$1:$1,0)+2),MATCH(M$1,enemy_skill_sets!$1:$1,0)-MATCH($W$1,enemy_skill_sets!$1:$1,0)+2,FALSE)</f>
        <v>3ターン防御力UP</v>
      </c>
      <c r="W95" s="98">
        <v>39005001</v>
      </c>
      <c r="X95" s="6">
        <v>1</v>
      </c>
      <c r="Y95" s="6">
        <v>100</v>
      </c>
      <c r="Z95" s="6">
        <v>1</v>
      </c>
      <c r="AA95" s="17">
        <v>2</v>
      </c>
      <c r="AB95" s="24">
        <f t="shared" si="48"/>
        <v>8029</v>
      </c>
      <c r="AC95" s="4" t="str">
        <f ca="1">VLOOKUP($AB95,OFFSET([4]characters!$A$1,0,0,COUNTA([4]characters!$A:$A),MATCH(AC$1,[4]characters!$1:$1,0)-MATCH("character_id",[4]characters!$1:$1,0)+1),MATCH(AC$1,[4]characters!$1:$1,0)-MATCH("character_id",[4]characters!$1:$1,0)+1,FALSE)</f>
        <v>CO04_ EV01_R4</v>
      </c>
      <c r="AD95" s="4">
        <f ca="1">VLOOKUP($AB95,OFFSET([4]characters!$A$1,0,0,COUNTA([4]characters!$A:$A),MATCH(AD$1,[4]characters!$1:$1,0)-MATCH("character_id",[4]characters!$1:$1,0)+1),MATCH(AD$1,[4]characters!$1:$1,0)-MATCH("character_id",[4]characters!$1:$1,0)+1,FALSE)</f>
        <v>4</v>
      </c>
      <c r="AE95" s="4" t="str">
        <f ca="1">VLOOKUP($AB95,OFFSET([4]characters!$A$1,0,0,COUNTA([4]characters!$A:$A),MATCH(AE$1,[4]characters!$1:$1,0)-MATCH("character_id",[4]characters!$1:$1,0)+1),MATCH(AE$1,[4]characters!$1:$1,0)-MATCH("character_id",[4]characters!$1:$1,0)+1,FALSE)</f>
        <v>Drop2N</v>
      </c>
      <c r="AF95" s="7">
        <v>1</v>
      </c>
      <c r="AG95" s="24">
        <f t="shared" ca="1" si="49"/>
        <v>4</v>
      </c>
      <c r="AH95" s="8">
        <v>0</v>
      </c>
      <c r="AI95" s="7">
        <v>0</v>
      </c>
      <c r="AJ95" s="7">
        <v>0</v>
      </c>
      <c r="AK95" s="7">
        <v>0</v>
      </c>
      <c r="AL95" s="7">
        <v>0</v>
      </c>
      <c r="AM95" s="7">
        <v>1</v>
      </c>
      <c r="AN95" s="69">
        <v>1</v>
      </c>
    </row>
    <row r="96" spans="1:40" ht="21" customHeight="1" x14ac:dyDescent="0.15">
      <c r="A96" s="16" t="str">
        <f t="shared" si="45"/>
        <v>39005_5-2/1&lt;lv60&gt;s1</v>
      </c>
      <c r="B96" s="22">
        <v>39005</v>
      </c>
      <c r="C96" s="21">
        <v>5</v>
      </c>
      <c r="D96" s="2" t="str">
        <f t="shared" si="46"/>
        <v>39005_5</v>
      </c>
      <c r="E96" s="4" t="str">
        <f ca="1">VLOOKUP($B96,OFFSET([2]quests!$A$1,0,0,COUNTA([2]quests!$A:$A),MATCH(E$1,[2]quests!$1:$1,0)-MATCH($B$1,[2]quests!$1:$1,0)+1),MATCH(E$1,[2]quests!$1:$1,0)-MATCH($B$1,[2]quests!$1:$1,0)+1,FALSE)</f>
        <v xml:space="preserve">ミクエキスポ </v>
      </c>
      <c r="F96" s="4" t="str">
        <f ca="1">VLOOKUP($D96,OFFSET([2]stages!$A$1,0,0,COUNTA([2]stages!$A:$A),MATCH(F$1,[2]stages!$2:$2,0)-MATCH($D$1,[2]stages!$2:$2,0)+1),MATCH(F$1,[2]stages!$2:$2,0)-MATCH($D$1,[2]stages!$2:$2,0)+1,FALSE)</f>
        <v>【超絶級】ミクエキスポ</v>
      </c>
      <c r="G96" s="95">
        <v>2</v>
      </c>
      <c r="H96" s="15" t="str">
        <f t="shared" si="47"/>
        <v>39005_5-2</v>
      </c>
      <c r="I96" s="4">
        <f ca="1">VLOOKUP($H96,OFFSET(floors!$A$1,0,0,COUNTA(floors!$A:$A),MATCH(I$1,floors!$1:$1,0)-MATCH($H$1,floors!$1:$1,0)+1),MATCH(I$1,floors!$1:$1,0)-MATCH($H$1,floors!$1:$1,0)+1,FALSE)</f>
        <v>60</v>
      </c>
      <c r="J96" s="4">
        <f ca="1">VLOOKUP($H96,OFFSET(floors!$A$1,0,0,COUNTA(floors!$A:$A),MATCH(J$1,floors!$1:$1,0)-MATCH($H$1,floors!$1:$1,0)+1),MATCH(J$1,floors!$1:$1,0)-MATCH($H$1,floors!$1:$1,0)+1,FALSE)</f>
        <v>60</v>
      </c>
      <c r="K96" s="38" t="s">
        <v>53</v>
      </c>
      <c r="L96" s="20">
        <v>1</v>
      </c>
      <c r="M96" s="17" t="str">
        <f ca="1">VLOOKUP($L96,OFFSET([3]enemies!$A$1,0,0,COUNTA([3]enemies!$A:$A),MATCH(M$1,[3]enemies!$1:$1,0)-MATCH($L$1,[3]enemies!$1:$1,0)+1),MATCH(M$1,[3]enemies!$1:$1,0)-MATCH($L$1,[3]enemies!$1:$1,0)+1,FALSE)</f>
        <v>ジェリー</v>
      </c>
      <c r="N96" s="17" t="str">
        <f ca="1">VLOOKUP($L96,OFFSET([3]enemies!$A$1,0,0,COUNTA([3]enemies!$A:$A),MATCH(N$1,[3]enemies!$1:$1,0)-MATCH($L$1,[3]enemies!$1:$1,0)+1),MATCH(N$1,[3]enemies!$1:$1,0)-MATCH($L$1,[3]enemies!$1:$1,0)+1,FALSE)</f>
        <v>red</v>
      </c>
      <c r="O96" s="17" t="str">
        <f ca="1">VLOOKUP($L96,OFFSET([4]characters!$A$1,0,0,COUNTA([4]characters!$A:$A),MATCH(O$1,[4]characters!$1:$1,0)-MATCH($L$1,[4]characters!$1:$1,0)+1),MATCH(O$1,[4]characters!$1:$1,0)-MATCH($L$1,[4]characters!$1:$1,0)+1,FALSE)</f>
        <v>Drop1T</v>
      </c>
      <c r="P96" s="17" t="str">
        <f ca="1">VLOOKUP($L96,OFFSET([3]enemies!$A$1,0,0,COUNTA([3]enemies!$A:$A),MATCH(P$1,[3]enemies!$1:$1,0)-MATCH($L$1,[3]enemies!$1:$1,0)+1),MATCH(P$1,[3]enemies!$1:$1,0)-MATCH($L$1,[3]enemies!$1:$1,0)+1,FALSE)</f>
        <v>unknown</v>
      </c>
      <c r="Q96" s="17">
        <f ca="1">VLOOKUP($L96,OFFSET([3]enemies!$A$1,0,0,COUNTA([3]enemies!$A:$A),MATCH(Q$1,[3]enemies!$1:$1,0)-MATCH($L$1,[3]enemies!$1:$1,0)+1),MATCH(Q$1,[3]enemies!$1:$1,0)-MATCH($L$1,[3]enemies!$1:$1,0)+1,FALSE)</f>
        <v>15</v>
      </c>
      <c r="R96" s="5">
        <v>60</v>
      </c>
      <c r="S96" s="25">
        <v>1.5</v>
      </c>
      <c r="T96" s="25">
        <v>0.4</v>
      </c>
      <c r="U96" s="5">
        <v>0</v>
      </c>
      <c r="V96" s="4" t="e">
        <f ca="1">VLOOKUP($W96,OFFSET(enemy_skill_sets!$B$1,0,0,COUNTA(enemy_skill_sets!$B:$B),MATCH(M$1,enemy_skill_sets!$1:$1,0)-MATCH($W$1,enemy_skill_sets!$1:$1,0)+2),MATCH(M$1,enemy_skill_sets!$1:$1,0)-MATCH($W$1,enemy_skill_sets!$1:$1,0)+2,FALSE)</f>
        <v>#N/A</v>
      </c>
      <c r="W96" s="4">
        <f ca="1">VLOOKUP($L96,OFFSET([3]enemies!$A$1,0,0,COUNTA([3]enemies!$A:$A),MATCH(W$1,[3]enemies!$1:$1,0)-MATCH($L$1,[3]enemies!$1:$1,0)+1),MATCH(W$1,[3]enemies!$1:$1,0)-MATCH($L$1,[3]enemies!$1:$1,0)+1,FALSE)</f>
        <v>0</v>
      </c>
      <c r="X96" s="6">
        <v>0</v>
      </c>
      <c r="Y96" s="6">
        <v>100</v>
      </c>
      <c r="Z96" s="6">
        <v>2</v>
      </c>
      <c r="AA96" s="17">
        <v>1</v>
      </c>
      <c r="AB96" s="24">
        <f t="shared" si="48"/>
        <v>1</v>
      </c>
      <c r="AC96" s="4" t="str">
        <f ca="1">VLOOKUP($AB96,OFFSET([4]characters!$A$1,0,0,COUNTA([4]characters!$A:$A),MATCH(AC$1,[4]characters!$1:$1,0)-MATCH("character_id",[4]characters!$1:$1,0)+1),MATCH(AC$1,[4]characters!$1:$1,0)-MATCH("character_id",[4]characters!$1:$1,0)+1,FALSE)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96" s="4">
        <f ca="1">VLOOKUP($AB96,OFFSET([4]characters!$A$1,0,0,COUNTA([4]characters!$A:$A),MATCH(AD$1,[4]characters!$1:$1,0)-MATCH("character_id",[4]characters!$1:$1,0)+1),MATCH(AD$1,[4]characters!$1:$1,0)-MATCH("character_id",[4]characters!$1:$1,0)+1,FALSE)</f>
        <v>1</v>
      </c>
      <c r="AE96" s="4" t="str">
        <f ca="1">VLOOKUP($AB96,OFFSET([4]characters!$A$1,0,0,COUNTA([4]characters!$A:$A),MATCH(AE$1,[4]characters!$1:$1,0)-MATCH("character_id",[4]characters!$1:$1,0)+1),MATCH(AE$1,[4]characters!$1:$1,0)-MATCH("character_id",[4]characters!$1:$1,0)+1,FALSE)</f>
        <v>Drop1T</v>
      </c>
      <c r="AF96" s="7">
        <v>1</v>
      </c>
      <c r="AG96" s="24">
        <f t="shared" ca="1" si="49"/>
        <v>1</v>
      </c>
      <c r="AH96" s="8">
        <v>0</v>
      </c>
      <c r="AI96" s="7">
        <v>0</v>
      </c>
      <c r="AJ96" s="7">
        <v>0</v>
      </c>
      <c r="AK96" s="7">
        <v>0</v>
      </c>
      <c r="AL96" s="7">
        <v>0</v>
      </c>
      <c r="AM96" s="7">
        <v>1</v>
      </c>
      <c r="AN96" s="69">
        <v>1</v>
      </c>
    </row>
    <row r="97" spans="1:40" ht="21" customHeight="1" x14ac:dyDescent="0.15">
      <c r="A97" s="16" t="str">
        <f t="shared" ref="A97:A98" si="50">B97&amp;"_"&amp;C97&amp;"-"&amp;G97&amp;"/"&amp;L97&amp;"&lt;lv"&amp;R97&amp;"&gt;s"&amp;AA97</f>
        <v>39005_5-2/5&lt;lv60&gt;s3</v>
      </c>
      <c r="B97" s="22">
        <v>39005</v>
      </c>
      <c r="C97" s="21">
        <v>5</v>
      </c>
      <c r="D97" s="2" t="str">
        <f t="shared" ref="D97:D98" si="51">B97&amp;"_"&amp;C97</f>
        <v>39005_5</v>
      </c>
      <c r="E97" s="4" t="str">
        <f ca="1">VLOOKUP($B97,OFFSET([2]quests!$A$1,0,0,COUNTA([2]quests!$A:$A),MATCH(E$1,[2]quests!$1:$1,0)-MATCH($B$1,[2]quests!$1:$1,0)+1),MATCH(E$1,[2]quests!$1:$1,0)-MATCH($B$1,[2]quests!$1:$1,0)+1,FALSE)</f>
        <v xml:space="preserve">ミクエキスポ </v>
      </c>
      <c r="F97" s="4" t="str">
        <f ca="1">VLOOKUP($D97,OFFSET([2]stages!$A$1,0,0,COUNTA([2]stages!$A:$A),MATCH(F$1,[2]stages!$2:$2,0)-MATCH($D$1,[2]stages!$2:$2,0)+1),MATCH(F$1,[2]stages!$2:$2,0)-MATCH($D$1,[2]stages!$2:$2,0)+1,FALSE)</f>
        <v>【超絶級】ミクエキスポ</v>
      </c>
      <c r="G97" s="95">
        <v>2</v>
      </c>
      <c r="H97" s="15" t="str">
        <f t="shared" ref="H97:H98" si="52">B97&amp;"_"&amp;C97&amp;"-"&amp;G97</f>
        <v>39005_5-2</v>
      </c>
      <c r="I97" s="4">
        <f ca="1">VLOOKUP($H97,OFFSET(floors!$A$1,0,0,COUNTA(floors!$A:$A),MATCH(I$1,floors!$1:$1,0)-MATCH($H$1,floors!$1:$1,0)+1),MATCH(I$1,floors!$1:$1,0)-MATCH($H$1,floors!$1:$1,0)+1,FALSE)</f>
        <v>60</v>
      </c>
      <c r="J97" s="4">
        <f ca="1">VLOOKUP($H97,OFFSET(floors!$A$1,0,0,COUNTA(floors!$A:$A),MATCH(J$1,floors!$1:$1,0)-MATCH($H$1,floors!$1:$1,0)+1),MATCH(J$1,floors!$1:$1,0)-MATCH($H$1,floors!$1:$1,0)+1,FALSE)</f>
        <v>60</v>
      </c>
      <c r="K97" s="38" t="s">
        <v>53</v>
      </c>
      <c r="L97" s="20">
        <v>5</v>
      </c>
      <c r="M97" s="17" t="str">
        <f ca="1">VLOOKUP($L97,OFFSET([3]enemies!$A$1,0,0,COUNTA([3]enemies!$A:$A),MATCH(M$1,[3]enemies!$1:$1,0)-MATCH($L$1,[3]enemies!$1:$1,0)+1),MATCH(M$1,[3]enemies!$1:$1,0)-MATCH($L$1,[3]enemies!$1:$1,0)+1,FALSE)</f>
        <v>パトドッグ ポチ</v>
      </c>
      <c r="N97" s="17" t="str">
        <f ca="1">VLOOKUP($L97,OFFSET([3]enemies!$A$1,0,0,COUNTA([3]enemies!$A:$A),MATCH(N$1,[3]enemies!$1:$1,0)-MATCH($L$1,[3]enemies!$1:$1,0)+1),MATCH(N$1,[3]enemies!$1:$1,0)-MATCH($L$1,[3]enemies!$1:$1,0)+1,FALSE)</f>
        <v>blue</v>
      </c>
      <c r="O97" s="17" t="str">
        <f ca="1">VLOOKUP($L97,OFFSET([4]characters!$A$1,0,0,COUNTA([4]characters!$A:$A),MATCH(O$1,[4]characters!$1:$1,0)-MATCH($L$1,[4]characters!$1:$1,0)+1),MATCH(O$1,[4]characters!$1:$1,0)-MATCH($L$1,[4]characters!$1:$1,0)+1,FALSE)</f>
        <v>Drop1T</v>
      </c>
      <c r="P97" s="17" t="str">
        <f ca="1">VLOOKUP($L97,OFFSET([3]enemies!$A$1,0,0,COUNTA([3]enemies!$A:$A),MATCH(P$1,[3]enemies!$1:$1,0)-MATCH($L$1,[3]enemies!$1:$1,0)+1),MATCH(P$1,[3]enemies!$1:$1,0)-MATCH($L$1,[3]enemies!$1:$1,0)+1,FALSE)</f>
        <v>unknown</v>
      </c>
      <c r="Q97" s="17">
        <f ca="1">VLOOKUP($L97,OFFSET([3]enemies!$A$1,0,0,COUNTA([3]enemies!$A:$A),MATCH(Q$1,[3]enemies!$1:$1,0)-MATCH($L$1,[3]enemies!$1:$1,0)+1),MATCH(Q$1,[3]enemies!$1:$1,0)-MATCH($L$1,[3]enemies!$1:$1,0)+1,FALSE)</f>
        <v>15</v>
      </c>
      <c r="R97" s="5">
        <v>60</v>
      </c>
      <c r="S97" s="25">
        <v>1.5</v>
      </c>
      <c r="T97" s="25">
        <v>0.8</v>
      </c>
      <c r="U97" s="5">
        <v>0</v>
      </c>
      <c r="V97" s="4" t="e">
        <f ca="1">VLOOKUP($W97,OFFSET(enemy_skill_sets!$B$1,0,0,COUNTA(enemy_skill_sets!$B:$B),MATCH(M$1,enemy_skill_sets!$1:$1,0)-MATCH($W$1,enemy_skill_sets!$1:$1,0)+2),MATCH(M$1,enemy_skill_sets!$1:$1,0)-MATCH($W$1,enemy_skill_sets!$1:$1,0)+2,FALSE)</f>
        <v>#N/A</v>
      </c>
      <c r="W97" s="4">
        <f ca="1">VLOOKUP($L97,OFFSET([3]enemies!$A$1,0,0,COUNTA([3]enemies!$A:$A),MATCH(W$1,[3]enemies!$1:$1,0)-MATCH($L$1,[3]enemies!$1:$1,0)+1),MATCH(W$1,[3]enemies!$1:$1,0)-MATCH($L$1,[3]enemies!$1:$1,0)+1,FALSE)</f>
        <v>0</v>
      </c>
      <c r="X97" s="6">
        <v>0</v>
      </c>
      <c r="Y97" s="6">
        <v>100</v>
      </c>
      <c r="Z97" s="6">
        <v>2</v>
      </c>
      <c r="AA97" s="17">
        <v>3</v>
      </c>
      <c r="AB97" s="24">
        <f t="shared" ref="AB97:AB98" si="53">L97</f>
        <v>5</v>
      </c>
      <c r="AC97" s="4" t="str">
        <f ca="1">VLOOKUP($AB97,OFFSET([4]characters!$A$1,0,0,COUNTA([4]characters!$A:$A),MATCH(AC$1,[4]characters!$1:$1,0)-MATCH("character_id",[4]characters!$1:$1,0)+1),MATCH(AC$1,[4]characters!$1:$1,0)-MATCH("character_id",[4]characters!$1:$1,0)+1,FALSE)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97" s="4">
        <f ca="1">VLOOKUP($AB97,OFFSET([4]characters!$A$1,0,0,COUNTA([4]characters!$A:$A),MATCH(AD$1,[4]characters!$1:$1,0)-MATCH("character_id",[4]characters!$1:$1,0)+1),MATCH(AD$1,[4]characters!$1:$1,0)-MATCH("character_id",[4]characters!$1:$1,0)+1,FALSE)</f>
        <v>1</v>
      </c>
      <c r="AE97" s="4" t="str">
        <f ca="1">VLOOKUP($AB97,OFFSET([4]characters!$A$1,0,0,COUNTA([4]characters!$A:$A),MATCH(AE$1,[4]characters!$1:$1,0)-MATCH("character_id",[4]characters!$1:$1,0)+1),MATCH(AE$1,[4]characters!$1:$1,0)-MATCH("character_id",[4]characters!$1:$1,0)+1,FALSE)</f>
        <v>Drop1T</v>
      </c>
      <c r="AF97" s="7">
        <v>1</v>
      </c>
      <c r="AG97" s="24">
        <f t="shared" ref="AG97:AG98" ca="1" si="54">AD97</f>
        <v>1</v>
      </c>
      <c r="AH97" s="8">
        <v>0</v>
      </c>
      <c r="AI97" s="7">
        <v>0</v>
      </c>
      <c r="AJ97" s="7">
        <v>0</v>
      </c>
      <c r="AK97" s="7">
        <v>0</v>
      </c>
      <c r="AL97" s="7">
        <v>0</v>
      </c>
      <c r="AM97" s="7">
        <v>1</v>
      </c>
      <c r="AN97" s="69">
        <v>1</v>
      </c>
    </row>
    <row r="98" spans="1:40" ht="21" customHeight="1" x14ac:dyDescent="0.15">
      <c r="A98" s="16" t="str">
        <f t="shared" si="50"/>
        <v>39005_5-2/27&lt;lv60&gt;s1</v>
      </c>
      <c r="B98" s="22">
        <v>39005</v>
      </c>
      <c r="C98" s="21">
        <v>5</v>
      </c>
      <c r="D98" s="2" t="str">
        <f t="shared" si="51"/>
        <v>39005_5</v>
      </c>
      <c r="E98" s="4" t="str">
        <f ca="1">VLOOKUP($B98,OFFSET([2]quests!$A$1,0,0,COUNTA([2]quests!$A:$A),MATCH(E$1,[2]quests!$1:$1,0)-MATCH($B$1,[2]quests!$1:$1,0)+1),MATCH(E$1,[2]quests!$1:$1,0)-MATCH($B$1,[2]quests!$1:$1,0)+1,FALSE)</f>
        <v xml:space="preserve">ミクエキスポ </v>
      </c>
      <c r="F98" s="4" t="str">
        <f ca="1">VLOOKUP($D98,OFFSET([2]stages!$A$1,0,0,COUNTA([2]stages!$A:$A),MATCH(F$1,[2]stages!$2:$2,0)-MATCH($D$1,[2]stages!$2:$2,0)+1),MATCH(F$1,[2]stages!$2:$2,0)-MATCH($D$1,[2]stages!$2:$2,0)+1,FALSE)</f>
        <v>【超絶級】ミクエキスポ</v>
      </c>
      <c r="G98" s="95">
        <v>2</v>
      </c>
      <c r="H98" s="15" t="str">
        <f t="shared" si="52"/>
        <v>39005_5-2</v>
      </c>
      <c r="I98" s="4">
        <f ca="1">VLOOKUP($H98,OFFSET(floors!$A$1,0,0,COUNTA(floors!$A:$A),MATCH(I$1,floors!$1:$1,0)-MATCH($H$1,floors!$1:$1,0)+1),MATCH(I$1,floors!$1:$1,0)-MATCH($H$1,floors!$1:$1,0)+1,FALSE)</f>
        <v>60</v>
      </c>
      <c r="J98" s="4">
        <f ca="1">VLOOKUP($H98,OFFSET(floors!$A$1,0,0,COUNTA(floors!$A:$A),MATCH(J$1,floors!$1:$1,0)-MATCH($H$1,floors!$1:$1,0)+1),MATCH(J$1,floors!$1:$1,0)-MATCH($H$1,floors!$1:$1,0)+1,FALSE)</f>
        <v>60</v>
      </c>
      <c r="K98" s="38" t="s">
        <v>53</v>
      </c>
      <c r="L98" s="20">
        <v>27</v>
      </c>
      <c r="M98" s="17" t="str">
        <f ca="1">VLOOKUP($L98,OFFSET([3]enemies!$A$1,0,0,COUNTA([3]enemies!$A:$A),MATCH(M$1,[3]enemies!$1:$1,0)-MATCH($L$1,[3]enemies!$1:$1,0)+1),MATCH(M$1,[3]enemies!$1:$1,0)-MATCH($L$1,[3]enemies!$1:$1,0)+1,FALSE)</f>
        <v>パトライン</v>
      </c>
      <c r="N98" s="17" t="str">
        <f ca="1">VLOOKUP($L98,OFFSET([3]enemies!$A$1,0,0,COUNTA([3]enemies!$A:$A),MATCH(N$1,[3]enemies!$1:$1,0)-MATCH($L$1,[3]enemies!$1:$1,0)+1),MATCH(N$1,[3]enemies!$1:$1,0)-MATCH($L$1,[3]enemies!$1:$1,0)+1,FALSE)</f>
        <v>green</v>
      </c>
      <c r="O98" s="17" t="str">
        <f ca="1">VLOOKUP($L98,OFFSET([4]characters!$A$1,0,0,COUNTA([4]characters!$A:$A),MATCH(O$1,[4]characters!$1:$1,0)-MATCH($L$1,[4]characters!$1:$1,0)+1),MATCH(O$1,[4]characters!$1:$1,0)-MATCH($L$1,[4]characters!$1:$1,0)+1,FALSE)</f>
        <v>Drop1N</v>
      </c>
      <c r="P98" s="17" t="str">
        <f ca="1">VLOOKUP($L98,OFFSET([3]enemies!$A$1,0,0,COUNTA([3]enemies!$A:$A),MATCH(P$1,[3]enemies!$1:$1,0)-MATCH($L$1,[3]enemies!$1:$1,0)+1),MATCH(P$1,[3]enemies!$1:$1,0)-MATCH($L$1,[3]enemies!$1:$1,0)+1,FALSE)</f>
        <v>machine</v>
      </c>
      <c r="Q98" s="17">
        <f ca="1">VLOOKUP($L98,OFFSET([3]enemies!$A$1,0,0,COUNTA([3]enemies!$A:$A),MATCH(Q$1,[3]enemies!$1:$1,0)-MATCH($L$1,[3]enemies!$1:$1,0)+1),MATCH(Q$1,[3]enemies!$1:$1,0)-MATCH($L$1,[3]enemies!$1:$1,0)+1,FALSE)</f>
        <v>15</v>
      </c>
      <c r="R98" s="5">
        <v>60</v>
      </c>
      <c r="S98" s="25">
        <v>1.5</v>
      </c>
      <c r="T98" s="25">
        <v>0.6</v>
      </c>
      <c r="U98" s="5">
        <v>0</v>
      </c>
      <c r="V98" s="4" t="e">
        <f ca="1">VLOOKUP($W98,OFFSET(enemy_skill_sets!$B$1,0,0,COUNTA(enemy_skill_sets!$B:$B),MATCH(M$1,enemy_skill_sets!$1:$1,0)-MATCH($W$1,enemy_skill_sets!$1:$1,0)+2),MATCH(M$1,enemy_skill_sets!$1:$1,0)-MATCH($W$1,enemy_skill_sets!$1:$1,0)+2,FALSE)</f>
        <v>#N/A</v>
      </c>
      <c r="W98" s="4">
        <v>28</v>
      </c>
      <c r="X98" s="6">
        <v>0</v>
      </c>
      <c r="Y98" s="6">
        <v>100</v>
      </c>
      <c r="Z98" s="6">
        <v>0</v>
      </c>
      <c r="AA98" s="17">
        <v>1</v>
      </c>
      <c r="AB98" s="24">
        <f t="shared" si="53"/>
        <v>27</v>
      </c>
      <c r="AC98" s="4" t="str">
        <f ca="1">VLOOKUP($AB98,OFFSET([4]characters!$A$1,0,0,COUNTA([4]characters!$A:$A),MATCH(AC$1,[4]characters!$1:$1,0)-MATCH("character_id",[4]characters!$1:$1,0)+1),MATCH(AC$1,[4]characters!$1:$1,0)-MATCH("character_id",[4]characters!$1:$1,0)+1,FALSE)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98" s="4">
        <f ca="1">VLOOKUP($AB98,OFFSET([4]characters!$A$1,0,0,COUNTA([4]characters!$A:$A),MATCH(AD$1,[4]characters!$1:$1,0)-MATCH("character_id",[4]characters!$1:$1,0)+1),MATCH(AD$1,[4]characters!$1:$1,0)-MATCH("character_id",[4]characters!$1:$1,0)+1,FALSE)</f>
        <v>1</v>
      </c>
      <c r="AE98" s="4" t="str">
        <f ca="1">VLOOKUP($AB98,OFFSET([4]characters!$A$1,0,0,COUNTA([4]characters!$A:$A),MATCH(AE$1,[4]characters!$1:$1,0)-MATCH("character_id",[4]characters!$1:$1,0)+1),MATCH(AE$1,[4]characters!$1:$1,0)-MATCH("character_id",[4]characters!$1:$1,0)+1,FALSE)</f>
        <v>Drop1N</v>
      </c>
      <c r="AF98" s="7">
        <v>1</v>
      </c>
      <c r="AG98" s="24">
        <f t="shared" ca="1" si="54"/>
        <v>1</v>
      </c>
      <c r="AH98" s="8">
        <v>0</v>
      </c>
      <c r="AI98" s="7">
        <v>0</v>
      </c>
      <c r="AJ98" s="7">
        <v>0</v>
      </c>
      <c r="AK98" s="7">
        <v>0</v>
      </c>
      <c r="AL98" s="7">
        <v>0</v>
      </c>
      <c r="AM98" s="7">
        <v>1</v>
      </c>
      <c r="AN98" s="69">
        <v>1</v>
      </c>
    </row>
    <row r="99" spans="1:40" ht="21" customHeight="1" x14ac:dyDescent="0.15">
      <c r="A99" s="16" t="str">
        <f t="shared" ref="A99" si="55">B99&amp;"_"&amp;C99&amp;"-"&amp;G99&amp;"/"&amp;L99&amp;"&lt;lv"&amp;R99&amp;"&gt;s"&amp;AA99</f>
        <v>39005_5-2/13&lt;lv60&gt;s1</v>
      </c>
      <c r="B99" s="22">
        <v>39005</v>
      </c>
      <c r="C99" s="21">
        <v>5</v>
      </c>
      <c r="D99" s="2" t="str">
        <f t="shared" ref="D99" si="56">B99&amp;"_"&amp;C99</f>
        <v>39005_5</v>
      </c>
      <c r="E99" s="4" t="str">
        <f ca="1">VLOOKUP($B99,OFFSET([2]quests!$A$1,0,0,COUNTA([2]quests!$A:$A),MATCH(E$1,[2]quests!$1:$1,0)-MATCH($B$1,[2]quests!$1:$1,0)+1),MATCH(E$1,[2]quests!$1:$1,0)-MATCH($B$1,[2]quests!$1:$1,0)+1,FALSE)</f>
        <v xml:space="preserve">ミクエキスポ </v>
      </c>
      <c r="F99" s="4" t="str">
        <f ca="1">VLOOKUP($D99,OFFSET([2]stages!$A$1,0,0,COUNTA([2]stages!$A:$A),MATCH(F$1,[2]stages!$2:$2,0)-MATCH($D$1,[2]stages!$2:$2,0)+1),MATCH(F$1,[2]stages!$2:$2,0)-MATCH($D$1,[2]stages!$2:$2,0)+1,FALSE)</f>
        <v>【超絶級】ミクエキスポ</v>
      </c>
      <c r="G99" s="95">
        <v>2</v>
      </c>
      <c r="H99" s="15" t="str">
        <f t="shared" ref="H99" si="57">B99&amp;"_"&amp;C99&amp;"-"&amp;G99</f>
        <v>39005_5-2</v>
      </c>
      <c r="I99" s="4">
        <f ca="1">VLOOKUP($H99,OFFSET(floors!$A$1,0,0,COUNTA(floors!$A:$A),MATCH(I$1,floors!$1:$1,0)-MATCH($H$1,floors!$1:$1,0)+1),MATCH(I$1,floors!$1:$1,0)-MATCH($H$1,floors!$1:$1,0)+1,FALSE)</f>
        <v>60</v>
      </c>
      <c r="J99" s="4">
        <f ca="1">VLOOKUP($H99,OFFSET(floors!$A$1,0,0,COUNTA(floors!$A:$A),MATCH(J$1,floors!$1:$1,0)-MATCH($H$1,floors!$1:$1,0)+1),MATCH(J$1,floors!$1:$1,0)-MATCH($H$1,floors!$1:$1,0)+1,FALSE)</f>
        <v>60</v>
      </c>
      <c r="K99" s="38" t="s">
        <v>53</v>
      </c>
      <c r="L99" s="20">
        <v>13</v>
      </c>
      <c r="M99" s="17" t="str">
        <f ca="1">VLOOKUP($L99,OFFSET([3]enemies!$A$1,0,0,COUNTA([3]enemies!$A:$A),MATCH(M$1,[3]enemies!$1:$1,0)-MATCH($L$1,[3]enemies!$1:$1,0)+1),MATCH(M$1,[3]enemies!$1:$1,0)-MATCH($L$1,[3]enemies!$1:$1,0)+1,FALSE)</f>
        <v>ミミ</v>
      </c>
      <c r="N99" s="17" t="str">
        <f ca="1">VLOOKUP($L99,OFFSET([3]enemies!$A$1,0,0,COUNTA([3]enemies!$A:$A),MATCH(N$1,[3]enemies!$1:$1,0)-MATCH($L$1,[3]enemies!$1:$1,0)+1),MATCH(N$1,[3]enemies!$1:$1,0)-MATCH($L$1,[3]enemies!$1:$1,0)+1,FALSE)</f>
        <v>yellow</v>
      </c>
      <c r="O99" s="17" t="str">
        <f ca="1">VLOOKUP($L99,OFFSET([4]characters!$A$1,0,0,COUNTA([4]characters!$A:$A),MATCH(O$1,[4]characters!$1:$1,0)-MATCH($L$1,[4]characters!$1:$1,0)+1),MATCH(O$1,[4]characters!$1:$1,0)-MATCH($L$1,[4]characters!$1:$1,0)+1,FALSE)</f>
        <v>Drop1W</v>
      </c>
      <c r="P99" s="17" t="str">
        <f ca="1">VLOOKUP($L99,OFFSET([3]enemies!$A$1,0,0,COUNTA([3]enemies!$A:$A),MATCH(P$1,[3]enemies!$1:$1,0)-MATCH($L$1,[3]enemies!$1:$1,0)+1),MATCH(P$1,[3]enemies!$1:$1,0)-MATCH($L$1,[3]enemies!$1:$1,0)+1,FALSE)</f>
        <v>animal</v>
      </c>
      <c r="Q99" s="17">
        <f ca="1">VLOOKUP($L99,OFFSET([3]enemies!$A$1,0,0,COUNTA([3]enemies!$A:$A),MATCH(Q$1,[3]enemies!$1:$1,0)-MATCH($L$1,[3]enemies!$1:$1,0)+1),MATCH(Q$1,[3]enemies!$1:$1,0)-MATCH($L$1,[3]enemies!$1:$1,0)+1,FALSE)</f>
        <v>15</v>
      </c>
      <c r="R99" s="5">
        <v>60</v>
      </c>
      <c r="S99" s="25">
        <v>1.5</v>
      </c>
      <c r="T99" s="25">
        <v>0.4</v>
      </c>
      <c r="U99" s="5">
        <v>0</v>
      </c>
      <c r="V99" s="4" t="e">
        <f ca="1">VLOOKUP($W99,OFFSET(enemy_skill_sets!$B$1,0,0,COUNTA(enemy_skill_sets!$B:$B),MATCH(M$1,enemy_skill_sets!$1:$1,0)-MATCH($W$1,enemy_skill_sets!$1:$1,0)+2),MATCH(M$1,enemy_skill_sets!$1:$1,0)-MATCH($W$1,enemy_skill_sets!$1:$1,0)+2,FALSE)</f>
        <v>#N/A</v>
      </c>
      <c r="W99" s="4">
        <f ca="1">VLOOKUP($L99,OFFSET([3]enemies!$A$1,0,0,COUNTA([3]enemies!$A:$A),MATCH(W$1,[3]enemies!$1:$1,0)-MATCH($L$1,[3]enemies!$1:$1,0)+1),MATCH(W$1,[3]enemies!$1:$1,0)-MATCH($L$1,[3]enemies!$1:$1,0)+1,FALSE)</f>
        <v>0</v>
      </c>
      <c r="X99" s="6">
        <v>0</v>
      </c>
      <c r="Y99" s="6">
        <v>100</v>
      </c>
      <c r="Z99" s="6">
        <v>0</v>
      </c>
      <c r="AA99" s="17">
        <v>1</v>
      </c>
      <c r="AB99" s="24">
        <f t="shared" ref="AB99" si="58">L99</f>
        <v>13</v>
      </c>
      <c r="AC99" s="4" t="str">
        <f ca="1">VLOOKUP($AB99,OFFSET([4]characters!$A$1,0,0,COUNTA([4]characters!$A:$A),MATCH(AC$1,[4]characters!$1:$1,0)-MATCH("character_id",[4]characters!$1:$1,0)+1),MATCH(AC$1,[4]characters!$1:$1,0)-MATCH("character_id",[4]characters!$1:$1,0)+1,FALSE)</f>
        <v>ミミ</v>
      </c>
      <c r="AD99" s="4">
        <f ca="1">VLOOKUP($AB99,OFFSET([4]characters!$A$1,0,0,COUNTA([4]characters!$A:$A),MATCH(AD$1,[4]characters!$1:$1,0)-MATCH("character_id",[4]characters!$1:$1,0)+1),MATCH(AD$1,[4]characters!$1:$1,0)-MATCH("character_id",[4]characters!$1:$1,0)+1,FALSE)</f>
        <v>1</v>
      </c>
      <c r="AE99" s="4" t="str">
        <f ca="1">VLOOKUP($AB99,OFFSET([4]characters!$A$1,0,0,COUNTA([4]characters!$A:$A),MATCH(AE$1,[4]characters!$1:$1,0)-MATCH("character_id",[4]characters!$1:$1,0)+1),MATCH(AE$1,[4]characters!$1:$1,0)-MATCH("character_id",[4]characters!$1:$1,0)+1,FALSE)</f>
        <v>Drop1W</v>
      </c>
      <c r="AF99" s="7">
        <v>1</v>
      </c>
      <c r="AG99" s="24">
        <f t="shared" ref="AG99" ca="1" si="59">AD99</f>
        <v>1</v>
      </c>
      <c r="AH99" s="8">
        <v>0</v>
      </c>
      <c r="AI99" s="7">
        <v>0</v>
      </c>
      <c r="AJ99" s="7">
        <v>0</v>
      </c>
      <c r="AK99" s="7">
        <v>0</v>
      </c>
      <c r="AL99" s="7">
        <v>0</v>
      </c>
      <c r="AM99" s="7">
        <v>1</v>
      </c>
      <c r="AN99" s="69">
        <v>1</v>
      </c>
    </row>
    <row r="100" spans="1:40" ht="21" customHeight="1" x14ac:dyDescent="0.15">
      <c r="A100" s="16" t="str">
        <f t="shared" si="45"/>
        <v>39005_5-3/1&lt;lv63&gt;s1</v>
      </c>
      <c r="B100" s="22">
        <v>39005</v>
      </c>
      <c r="C100" s="21">
        <v>5</v>
      </c>
      <c r="D100" s="2" t="str">
        <f t="shared" si="46"/>
        <v>39005_5</v>
      </c>
      <c r="E100" s="4" t="str">
        <f ca="1">VLOOKUP($B100,OFFSET([2]quests!$A$1,0,0,COUNTA([2]quests!$A:$A),MATCH(E$1,[2]quests!$1:$1,0)-MATCH($B$1,[2]quests!$1:$1,0)+1),MATCH(E$1,[2]quests!$1:$1,0)-MATCH($B$1,[2]quests!$1:$1,0)+1,FALSE)</f>
        <v xml:space="preserve">ミクエキスポ </v>
      </c>
      <c r="F100" s="4" t="str">
        <f ca="1">VLOOKUP($D100,OFFSET([2]stages!$A$1,0,0,COUNTA([2]stages!$A:$A),MATCH(F$1,[2]stages!$2:$2,0)-MATCH($D$1,[2]stages!$2:$2,0)+1),MATCH(F$1,[2]stages!$2:$2,0)-MATCH($D$1,[2]stages!$2:$2,0)+1,FALSE)</f>
        <v>【超絶級】ミクエキスポ</v>
      </c>
      <c r="G100" s="96">
        <v>3</v>
      </c>
      <c r="H100" s="15" t="str">
        <f t="shared" si="47"/>
        <v>39005_5-3</v>
      </c>
      <c r="I100" s="4">
        <f ca="1">VLOOKUP($H100,OFFSET(floors!$A$1,0,0,COUNTA(floors!$A:$A),MATCH(I$1,floors!$1:$1,0)-MATCH($H$1,floors!$1:$1,0)+1),MATCH(I$1,floors!$1:$1,0)-MATCH($H$1,floors!$1:$1,0)+1,FALSE)</f>
        <v>60</v>
      </c>
      <c r="J100" s="4">
        <f ca="1">VLOOKUP($H100,OFFSET(floors!$A$1,0,0,COUNTA(floors!$A:$A),MATCH(J$1,floors!$1:$1,0)-MATCH($H$1,floors!$1:$1,0)+1),MATCH(J$1,floors!$1:$1,0)-MATCH($H$1,floors!$1:$1,0)+1,FALSE)</f>
        <v>60</v>
      </c>
      <c r="K100" s="38" t="s">
        <v>53</v>
      </c>
      <c r="L100" s="20">
        <v>1</v>
      </c>
      <c r="M100" s="17" t="str">
        <f ca="1">VLOOKUP($L100,OFFSET([3]enemies!$A$1,0,0,COUNTA([3]enemies!$A:$A),MATCH(M$1,[3]enemies!$1:$1,0)-MATCH($L$1,[3]enemies!$1:$1,0)+1),MATCH(M$1,[3]enemies!$1:$1,0)-MATCH($L$1,[3]enemies!$1:$1,0)+1,FALSE)</f>
        <v>ジェリー</v>
      </c>
      <c r="N100" s="17" t="str">
        <f ca="1">VLOOKUP($L100,OFFSET([3]enemies!$A$1,0,0,COUNTA([3]enemies!$A:$A),MATCH(N$1,[3]enemies!$1:$1,0)-MATCH($L$1,[3]enemies!$1:$1,0)+1),MATCH(N$1,[3]enemies!$1:$1,0)-MATCH($L$1,[3]enemies!$1:$1,0)+1,FALSE)</f>
        <v>red</v>
      </c>
      <c r="O100" s="17" t="str">
        <f ca="1">VLOOKUP($L100,OFFSET([4]characters!$A$1,0,0,COUNTA([4]characters!$A:$A),MATCH(O$1,[4]characters!$1:$1,0)-MATCH($L$1,[4]characters!$1:$1,0)+1),MATCH(O$1,[4]characters!$1:$1,0)-MATCH($L$1,[4]characters!$1:$1,0)+1,FALSE)</f>
        <v>Drop1T</v>
      </c>
      <c r="P100" s="17" t="str">
        <f ca="1">VLOOKUP($L100,OFFSET([3]enemies!$A$1,0,0,COUNTA([3]enemies!$A:$A),MATCH(P$1,[3]enemies!$1:$1,0)-MATCH($L$1,[3]enemies!$1:$1,0)+1),MATCH(P$1,[3]enemies!$1:$1,0)-MATCH($L$1,[3]enemies!$1:$1,0)+1,FALSE)</f>
        <v>unknown</v>
      </c>
      <c r="Q100" s="17">
        <f ca="1">VLOOKUP($L100,OFFSET([3]enemies!$A$1,0,0,COUNTA([3]enemies!$A:$A),MATCH(Q$1,[3]enemies!$1:$1,0)-MATCH($L$1,[3]enemies!$1:$1,0)+1),MATCH(Q$1,[3]enemies!$1:$1,0)-MATCH($L$1,[3]enemies!$1:$1,0)+1,FALSE)</f>
        <v>15</v>
      </c>
      <c r="R100" s="5">
        <v>63</v>
      </c>
      <c r="S100" s="25">
        <v>1</v>
      </c>
      <c r="T100" s="25">
        <v>0.4</v>
      </c>
      <c r="U100" s="5">
        <v>0</v>
      </c>
      <c r="V100" s="4" t="str">
        <f ca="1">VLOOKUP($W100,OFFSET([5]enemy_skill_sets!$B$1,0,0,COUNTA([5]enemy_skill_sets!$B:$B),MATCH(M$1,[5]enemy_skill_sets!$1:$1,0)-MATCH($W$1,[5]enemy_skill_sets!$1:$1,0)+2),MATCH(M$1,[5]enemy_skill_sets!$1:$1,0)-MATCH($W$1,[5]enemy_skill_sets!$1:$1,0)+2,FALSE)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0" s="4">
        <f ca="1">VLOOKUP($L100,OFFSET([3]enemies!$A$1,0,0,COUNTA([3]enemies!$A:$A),MATCH(W$1,[3]enemies!$1:$1,0)-MATCH($L$1,[3]enemies!$1:$1,0)+1),MATCH(W$1,[3]enemies!$1:$1,0)-MATCH($L$1,[3]enemies!$1:$1,0)+1,FALSE)</f>
        <v>0</v>
      </c>
      <c r="X100" s="6">
        <v>0</v>
      </c>
      <c r="Y100" s="6">
        <v>100</v>
      </c>
      <c r="Z100" s="6">
        <v>0</v>
      </c>
      <c r="AA100" s="17">
        <v>1</v>
      </c>
      <c r="AB100" s="24">
        <f t="shared" si="48"/>
        <v>1</v>
      </c>
      <c r="AC100" s="4" t="str">
        <f ca="1">VLOOKUP($AB100,OFFSET([4]characters!$A$1,0,0,COUNTA([4]characters!$A:$A),MATCH(AC$1,[4]characters!$1:$1,0)-MATCH("character_id",[4]characters!$1:$1,0)+1),MATCH(AC$1,[4]characters!$1:$1,0)-MATCH("character_id",[4]characters!$1:$1,0)+1,FALSE)</f>
        <v>ジェリー</v>
      </c>
      <c r="AD100" s="4">
        <f ca="1">VLOOKUP($AB100,OFFSET([4]characters!$A$1,0,0,COUNTA([4]characters!$A:$A),MATCH(AD$1,[4]characters!$1:$1,0)-MATCH("character_id",[4]characters!$1:$1,0)+1),MATCH(AD$1,[4]characters!$1:$1,0)-MATCH("character_id",[4]characters!$1:$1,0)+1,FALSE)</f>
        <v>1</v>
      </c>
      <c r="AE100" s="4" t="str">
        <f ca="1">VLOOKUP($AB100,OFFSET([4]characters!$A$1,0,0,COUNTA([4]characters!$A:$A),MATCH(AE$1,[4]characters!$1:$1,0)-MATCH("character_id",[4]characters!$1:$1,0)+1),MATCH(AE$1,[4]characters!$1:$1,0)-MATCH("character_id",[4]characters!$1:$1,0)+1,FALSE)</f>
        <v>Drop1T</v>
      </c>
      <c r="AF100" s="7">
        <v>1</v>
      </c>
      <c r="AG100" s="24">
        <f t="shared" ca="1" si="49"/>
        <v>1</v>
      </c>
      <c r="AH100" s="8">
        <v>20</v>
      </c>
      <c r="AI100" s="7">
        <v>0</v>
      </c>
      <c r="AJ100" s="7">
        <v>0</v>
      </c>
      <c r="AK100" s="7">
        <v>0</v>
      </c>
      <c r="AL100" s="7">
        <v>0</v>
      </c>
      <c r="AM100" s="7">
        <v>1</v>
      </c>
      <c r="AN100" s="69">
        <v>1</v>
      </c>
    </row>
    <row r="101" spans="1:40" ht="21" customHeight="1" x14ac:dyDescent="0.15">
      <c r="A101" s="16" t="str">
        <f t="shared" si="45"/>
        <v>39005_5-3/3&lt;lv63&gt;s2</v>
      </c>
      <c r="B101" s="22">
        <v>39005</v>
      </c>
      <c r="C101" s="21">
        <v>5</v>
      </c>
      <c r="D101" s="2" t="str">
        <f t="shared" si="46"/>
        <v>39005_5</v>
      </c>
      <c r="E101" s="4" t="str">
        <f ca="1">VLOOKUP($B101,OFFSET([2]quests!$A$1,0,0,COUNTA([2]quests!$A:$A),MATCH(E$1,[2]quests!$1:$1,0)-MATCH($B$1,[2]quests!$1:$1,0)+1),MATCH(E$1,[2]quests!$1:$1,0)-MATCH($B$1,[2]quests!$1:$1,0)+1,FALSE)</f>
        <v xml:space="preserve">ミクエキスポ </v>
      </c>
      <c r="F101" s="4" t="str">
        <f ca="1">VLOOKUP($D101,OFFSET([2]stages!$A$1,0,0,COUNTA([2]stages!$A:$A),MATCH(F$1,[2]stages!$2:$2,0)-MATCH($D$1,[2]stages!$2:$2,0)+1),MATCH(F$1,[2]stages!$2:$2,0)-MATCH($D$1,[2]stages!$2:$2,0)+1,FALSE)</f>
        <v>【超絶級】ミクエキスポ</v>
      </c>
      <c r="G101" s="96">
        <v>3</v>
      </c>
      <c r="H101" s="15" t="str">
        <f t="shared" si="47"/>
        <v>39005_5-3</v>
      </c>
      <c r="I101" s="4">
        <f ca="1">VLOOKUP($H101,OFFSET(floors!$A$1,0,0,COUNTA(floors!$A:$A),MATCH(I$1,floors!$1:$1,0)-MATCH($H$1,floors!$1:$1,0)+1),MATCH(I$1,floors!$1:$1,0)-MATCH($H$1,floors!$1:$1,0)+1,FALSE)</f>
        <v>60</v>
      </c>
      <c r="J101" s="4">
        <f ca="1">VLOOKUP($H101,OFFSET(floors!$A$1,0,0,COUNTA(floors!$A:$A),MATCH(J$1,floors!$1:$1,0)-MATCH($H$1,floors!$1:$1,0)+1),MATCH(J$1,floors!$1:$1,0)-MATCH($H$1,floors!$1:$1,0)+1,FALSE)</f>
        <v>60</v>
      </c>
      <c r="K101" s="38" t="s">
        <v>53</v>
      </c>
      <c r="L101" s="20">
        <v>3</v>
      </c>
      <c r="M101" s="17" t="str">
        <f ca="1">VLOOKUP($L101,OFFSET([3]enemies!$A$1,0,0,COUNTA([3]enemies!$A:$A),MATCH(M$1,[3]enemies!$1:$1,0)-MATCH($L$1,[3]enemies!$1:$1,0)+1),MATCH(M$1,[3]enemies!$1:$1,0)-MATCH($L$1,[3]enemies!$1:$1,0)+1,FALSE)</f>
        <v>エージェント ジョー</v>
      </c>
      <c r="N101" s="17" t="str">
        <f ca="1">VLOOKUP($L101,OFFSET([3]enemies!$A$1,0,0,COUNTA([3]enemies!$A:$A),MATCH(N$1,[3]enemies!$1:$1,0)-MATCH($L$1,[3]enemies!$1:$1,0)+1),MATCH(N$1,[3]enemies!$1:$1,0)-MATCH($L$1,[3]enemies!$1:$1,0)+1,FALSE)</f>
        <v>green</v>
      </c>
      <c r="O101" s="17" t="str">
        <f ca="1">VLOOKUP($L101,OFFSET([4]characters!$A$1,0,0,COUNTA([4]characters!$A:$A),MATCH(O$1,[4]characters!$1:$1,0)-MATCH($L$1,[4]characters!$1:$1,0)+1),MATCH(O$1,[4]characters!$1:$1,0)-MATCH($L$1,[4]characters!$1:$1,0)+1,FALSE)</f>
        <v>Drop1T</v>
      </c>
      <c r="P101" s="17" t="str">
        <f ca="1">VLOOKUP($L101,OFFSET([3]enemies!$A$1,0,0,COUNTA([3]enemies!$A:$A),MATCH(P$1,[3]enemies!$1:$1,0)-MATCH($L$1,[3]enemies!$1:$1,0)+1),MATCH(P$1,[3]enemies!$1:$1,0)-MATCH($L$1,[3]enemies!$1:$1,0)+1,FALSE)</f>
        <v>unknown</v>
      </c>
      <c r="Q101" s="17">
        <f ca="1">VLOOKUP($L101,OFFSET([3]enemies!$A$1,0,0,COUNTA([3]enemies!$A:$A),MATCH(Q$1,[3]enemies!$1:$1,0)-MATCH($L$1,[3]enemies!$1:$1,0)+1),MATCH(Q$1,[3]enemies!$1:$1,0)-MATCH($L$1,[3]enemies!$1:$1,0)+1,FALSE)</f>
        <v>15</v>
      </c>
      <c r="R101" s="5">
        <v>63</v>
      </c>
      <c r="S101" s="25">
        <v>1</v>
      </c>
      <c r="T101" s="25">
        <v>0.5</v>
      </c>
      <c r="U101" s="5">
        <v>0</v>
      </c>
      <c r="V101" s="4" t="e">
        <f ca="1">VLOOKUP($W101,OFFSET(enemy_skill_sets!$B$1,0,0,COUNTA(enemy_skill_sets!$B:$B),MATCH(M$1,enemy_skill_sets!$1:$1,0)-MATCH($W$1,enemy_skill_sets!$1:$1,0)+2),MATCH(M$1,enemy_skill_sets!$1:$1,0)-MATCH($W$1,enemy_skill_sets!$1:$1,0)+2,FALSE)</f>
        <v>#N/A</v>
      </c>
      <c r="W101" s="4">
        <f ca="1">VLOOKUP($L101,OFFSET([3]enemies!$A$1,0,0,COUNTA([3]enemies!$A:$A),MATCH(W$1,[3]enemies!$1:$1,0)-MATCH($L$1,[3]enemies!$1:$1,0)+1),MATCH(W$1,[3]enemies!$1:$1,0)-MATCH($L$1,[3]enemies!$1:$1,0)+1,FALSE)</f>
        <v>0</v>
      </c>
      <c r="X101" s="6">
        <v>0</v>
      </c>
      <c r="Y101" s="6">
        <v>100</v>
      </c>
      <c r="Z101" s="6">
        <v>0</v>
      </c>
      <c r="AA101" s="17">
        <v>2</v>
      </c>
      <c r="AB101" s="24">
        <f t="shared" si="48"/>
        <v>3</v>
      </c>
      <c r="AC101" s="4" t="str">
        <f ca="1">VLOOKUP($AB101,OFFSET([4]characters!$A$1,0,0,COUNTA([4]characters!$A:$A),MATCH(AC$1,[4]characters!$1:$1,0)-MATCH("character_id",[4]characters!$1:$1,0)+1),MATCH(AC$1,[4]characters!$1:$1,0)-MATCH("character_id",[4]characters!$1:$1,0)+1,FALSE)</f>
        <v>エージェント ジョー</v>
      </c>
      <c r="AD101" s="4">
        <f ca="1">VLOOKUP($AB101,OFFSET([4]characters!$A$1,0,0,COUNTA([4]characters!$A:$A),MATCH(AD$1,[4]characters!$1:$1,0)-MATCH("character_id",[4]characters!$1:$1,0)+1),MATCH(AD$1,[4]characters!$1:$1,0)-MATCH("character_id",[4]characters!$1:$1,0)+1,FALSE)</f>
        <v>1</v>
      </c>
      <c r="AE101" s="4" t="str">
        <f ca="1">VLOOKUP($AB101,OFFSET([4]characters!$A$1,0,0,COUNTA([4]characters!$A:$A),MATCH(AE$1,[4]characters!$1:$1,0)-MATCH("character_id",[4]characters!$1:$1,0)+1),MATCH(AE$1,[4]characters!$1:$1,0)-MATCH("character_id",[4]characters!$1:$1,0)+1,FALSE)</f>
        <v>Drop1T</v>
      </c>
      <c r="AF101" s="7">
        <v>1</v>
      </c>
      <c r="AG101" s="24">
        <f t="shared" ca="1" si="49"/>
        <v>1</v>
      </c>
      <c r="AH101" s="8">
        <v>20</v>
      </c>
      <c r="AI101" s="7">
        <v>0</v>
      </c>
      <c r="AJ101" s="7">
        <v>0</v>
      </c>
      <c r="AK101" s="7">
        <v>0</v>
      </c>
      <c r="AL101" s="7">
        <v>0</v>
      </c>
      <c r="AM101" s="7">
        <v>1</v>
      </c>
      <c r="AN101" s="69">
        <v>1</v>
      </c>
    </row>
    <row r="102" spans="1:40" ht="21" customHeight="1" x14ac:dyDescent="0.15">
      <c r="A102" s="16" t="str">
        <f t="shared" si="45"/>
        <v>39005_5-3/5&lt;lv63&gt;s3</v>
      </c>
      <c r="B102" s="22">
        <v>39005</v>
      </c>
      <c r="C102" s="21">
        <v>5</v>
      </c>
      <c r="D102" s="2" t="str">
        <f t="shared" si="46"/>
        <v>39005_5</v>
      </c>
      <c r="E102" s="4" t="str">
        <f ca="1">VLOOKUP($B102,OFFSET([2]quests!$A$1,0,0,COUNTA([2]quests!$A:$A),MATCH(E$1,[2]quests!$1:$1,0)-MATCH($B$1,[2]quests!$1:$1,0)+1),MATCH(E$1,[2]quests!$1:$1,0)-MATCH($B$1,[2]quests!$1:$1,0)+1,FALSE)</f>
        <v xml:space="preserve">ミクエキスポ </v>
      </c>
      <c r="F102" s="4" t="str">
        <f ca="1">VLOOKUP($D102,OFFSET([2]stages!$A$1,0,0,COUNTA([2]stages!$A:$A),MATCH(F$1,[2]stages!$2:$2,0)-MATCH($D$1,[2]stages!$2:$2,0)+1),MATCH(F$1,[2]stages!$2:$2,0)-MATCH($D$1,[2]stages!$2:$2,0)+1,FALSE)</f>
        <v>【超絶級】ミクエキスポ</v>
      </c>
      <c r="G102" s="96">
        <v>3</v>
      </c>
      <c r="H102" s="15" t="str">
        <f t="shared" si="47"/>
        <v>39005_5-3</v>
      </c>
      <c r="I102" s="4">
        <f ca="1">VLOOKUP($H102,OFFSET(floors!$A$1,0,0,COUNTA(floors!$A:$A),MATCH(I$1,floors!$1:$1,0)-MATCH($H$1,floors!$1:$1,0)+1),MATCH(I$1,floors!$1:$1,0)-MATCH($H$1,floors!$1:$1,0)+1,FALSE)</f>
        <v>60</v>
      </c>
      <c r="J102" s="4">
        <f ca="1">VLOOKUP($H102,OFFSET(floors!$A$1,0,0,COUNTA(floors!$A:$A),MATCH(J$1,floors!$1:$1,0)-MATCH($H$1,floors!$1:$1,0)+1),MATCH(J$1,floors!$1:$1,0)-MATCH($H$1,floors!$1:$1,0)+1,FALSE)</f>
        <v>60</v>
      </c>
      <c r="K102" s="38" t="s">
        <v>53</v>
      </c>
      <c r="L102" s="20">
        <v>5</v>
      </c>
      <c r="M102" s="17" t="str">
        <f ca="1">VLOOKUP($L102,OFFSET([3]enemies!$A$1,0,0,COUNTA([3]enemies!$A:$A),MATCH(M$1,[3]enemies!$1:$1,0)-MATCH($L$1,[3]enemies!$1:$1,0)+1),MATCH(M$1,[3]enemies!$1:$1,0)-MATCH($L$1,[3]enemies!$1:$1,0)+1,FALSE)</f>
        <v>パトドッグ ポチ</v>
      </c>
      <c r="N102" s="17" t="str">
        <f ca="1">VLOOKUP($L102,OFFSET([3]enemies!$A$1,0,0,COUNTA([3]enemies!$A:$A),MATCH(N$1,[3]enemies!$1:$1,0)-MATCH($L$1,[3]enemies!$1:$1,0)+1),MATCH(N$1,[3]enemies!$1:$1,0)-MATCH($L$1,[3]enemies!$1:$1,0)+1,FALSE)</f>
        <v>blue</v>
      </c>
      <c r="O102" s="17" t="str">
        <f ca="1">VLOOKUP($L102,OFFSET([4]characters!$A$1,0,0,COUNTA([4]characters!$A:$A),MATCH(O$1,[4]characters!$1:$1,0)-MATCH($L$1,[4]characters!$1:$1,0)+1),MATCH(O$1,[4]characters!$1:$1,0)-MATCH($L$1,[4]characters!$1:$1,0)+1,FALSE)</f>
        <v>Drop1T</v>
      </c>
      <c r="P102" s="17" t="str">
        <f ca="1">VLOOKUP($L102,OFFSET([3]enemies!$A$1,0,0,COUNTA([3]enemies!$A:$A),MATCH(P$1,[3]enemies!$1:$1,0)-MATCH($L$1,[3]enemies!$1:$1,0)+1),MATCH(P$1,[3]enemies!$1:$1,0)-MATCH($L$1,[3]enemies!$1:$1,0)+1,FALSE)</f>
        <v>unknown</v>
      </c>
      <c r="Q102" s="17">
        <f ca="1">VLOOKUP($L102,OFFSET([3]enemies!$A$1,0,0,COUNTA([3]enemies!$A:$A),MATCH(Q$1,[3]enemies!$1:$1,0)-MATCH($L$1,[3]enemies!$1:$1,0)+1),MATCH(Q$1,[3]enemies!$1:$1,0)-MATCH($L$1,[3]enemies!$1:$1,0)+1,FALSE)</f>
        <v>15</v>
      </c>
      <c r="R102" s="5">
        <v>63</v>
      </c>
      <c r="S102" s="25">
        <v>1</v>
      </c>
      <c r="T102" s="25">
        <v>0.8</v>
      </c>
      <c r="U102" s="5">
        <v>0</v>
      </c>
      <c r="V102" s="4" t="str">
        <f ca="1">VLOOKUP($W102,OFFSET([5]enemy_skill_sets!$B$1,0,0,COUNTA([5]enemy_skill_sets!$B:$B),MATCH(M$1,[5]enemy_skill_sets!$1:$1,0)-MATCH($W$1,[5]enemy_skill_sets!$1:$1,0)+2),MATCH(M$1,[5]enemy_skill_sets!$1:$1,0)-MATCH($W$1,[5]enemy_skill_sets!$1:$1,0)+2,FALSE)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2" s="4">
        <f ca="1">VLOOKUP($L102,OFFSET([3]enemies!$A$1,0,0,COUNTA([3]enemies!$A:$A),MATCH(W$1,[3]enemies!$1:$1,0)-MATCH($L$1,[3]enemies!$1:$1,0)+1),MATCH(W$1,[3]enemies!$1:$1,0)-MATCH($L$1,[3]enemies!$1:$1,0)+1,FALSE)</f>
        <v>0</v>
      </c>
      <c r="X102" s="6">
        <v>0</v>
      </c>
      <c r="Y102" s="6">
        <v>100</v>
      </c>
      <c r="Z102" s="6">
        <v>0</v>
      </c>
      <c r="AA102" s="17">
        <v>3</v>
      </c>
      <c r="AB102" s="24">
        <f t="shared" si="48"/>
        <v>5</v>
      </c>
      <c r="AC102" s="4" t="str">
        <f ca="1">VLOOKUP($AB102,OFFSET([4]characters!$A$1,0,0,COUNTA([4]characters!$A:$A),MATCH(AC$1,[4]characters!$1:$1,0)-MATCH("character_id",[4]characters!$1:$1,0)+1),MATCH(AC$1,[4]characters!$1:$1,0)-MATCH("character_id",[4]characters!$1:$1,0)+1,FALSE)</f>
        <v>パトドッグ ポチ</v>
      </c>
      <c r="AD102" s="4">
        <f ca="1">VLOOKUP($AB102,OFFSET([4]characters!$A$1,0,0,COUNTA([4]characters!$A:$A),MATCH(AD$1,[4]characters!$1:$1,0)-MATCH("character_id",[4]characters!$1:$1,0)+1),MATCH(AD$1,[4]characters!$1:$1,0)-MATCH("character_id",[4]characters!$1:$1,0)+1,FALSE)</f>
        <v>1</v>
      </c>
      <c r="AE102" s="4" t="str">
        <f ca="1">VLOOKUP($AB102,OFFSET([4]characters!$A$1,0,0,COUNTA([4]characters!$A:$A),MATCH(AE$1,[4]characters!$1:$1,0)-MATCH("character_id",[4]characters!$1:$1,0)+1),MATCH(AE$1,[4]characters!$1:$1,0)-MATCH("character_id",[4]characters!$1:$1,0)+1,FALSE)</f>
        <v>Drop1T</v>
      </c>
      <c r="AF102" s="7">
        <v>1</v>
      </c>
      <c r="AG102" s="24">
        <f t="shared" ca="1" si="49"/>
        <v>1</v>
      </c>
      <c r="AH102" s="8">
        <v>20</v>
      </c>
      <c r="AI102" s="7">
        <v>0</v>
      </c>
      <c r="AJ102" s="7">
        <v>0</v>
      </c>
      <c r="AK102" s="7">
        <v>0</v>
      </c>
      <c r="AL102" s="7">
        <v>0</v>
      </c>
      <c r="AM102" s="7">
        <v>1</v>
      </c>
      <c r="AN102" s="69">
        <v>1</v>
      </c>
    </row>
    <row r="103" spans="1:40" ht="21" customHeight="1" x14ac:dyDescent="0.15">
      <c r="A103" s="16" t="str">
        <f t="shared" si="45"/>
        <v>39005_5-3/7&lt;lv63&gt;s2</v>
      </c>
      <c r="B103" s="22">
        <v>39005</v>
      </c>
      <c r="C103" s="21">
        <v>5</v>
      </c>
      <c r="D103" s="2" t="str">
        <f t="shared" si="46"/>
        <v>39005_5</v>
      </c>
      <c r="E103" s="4" t="str">
        <f ca="1">VLOOKUP($B103,OFFSET([2]quests!$A$1,0,0,COUNTA([2]quests!$A:$A),MATCH(E$1,[2]quests!$1:$1,0)-MATCH($B$1,[2]quests!$1:$1,0)+1),MATCH(E$1,[2]quests!$1:$1,0)-MATCH($B$1,[2]quests!$1:$1,0)+1,FALSE)</f>
        <v xml:space="preserve">ミクエキスポ </v>
      </c>
      <c r="F103" s="4" t="str">
        <f ca="1">VLOOKUP($D103,OFFSET([2]stages!$A$1,0,0,COUNTA([2]stages!$A:$A),MATCH(F$1,[2]stages!$2:$2,0)-MATCH($D$1,[2]stages!$2:$2,0)+1),MATCH(F$1,[2]stages!$2:$2,0)-MATCH($D$1,[2]stages!$2:$2,0)+1,FALSE)</f>
        <v>【超絶級】ミクエキスポ</v>
      </c>
      <c r="G103" s="96">
        <v>3</v>
      </c>
      <c r="H103" s="15" t="str">
        <f t="shared" si="47"/>
        <v>39005_5-3</v>
      </c>
      <c r="I103" s="4">
        <f ca="1">VLOOKUP($H103,OFFSET(floors!$A$1,0,0,COUNTA(floors!$A:$A),MATCH(I$1,floors!$1:$1,0)-MATCH($H$1,floors!$1:$1,0)+1),MATCH(I$1,floors!$1:$1,0)-MATCH($H$1,floors!$1:$1,0)+1,FALSE)</f>
        <v>60</v>
      </c>
      <c r="J103" s="4">
        <f ca="1">VLOOKUP($H103,OFFSET(floors!$A$1,0,0,COUNTA(floors!$A:$A),MATCH(J$1,floors!$1:$1,0)-MATCH($H$1,floors!$1:$1,0)+1),MATCH(J$1,floors!$1:$1,0)-MATCH($H$1,floors!$1:$1,0)+1,FALSE)</f>
        <v>60</v>
      </c>
      <c r="K103" s="38" t="s">
        <v>53</v>
      </c>
      <c r="L103" s="20">
        <v>7</v>
      </c>
      <c r="M103" s="17" t="str">
        <f ca="1">VLOOKUP($L103,OFFSET([3]enemies!$A$1,0,0,COUNTA([3]enemies!$A:$A),MATCH(M$1,[3]enemies!$1:$1,0)-MATCH($L$1,[3]enemies!$1:$1,0)+1),MATCH(M$1,[3]enemies!$1:$1,0)-MATCH($L$1,[3]enemies!$1:$1,0)+1,FALSE)</f>
        <v>エレキポット</v>
      </c>
      <c r="N103" s="17" t="str">
        <f ca="1">VLOOKUP($L103,OFFSET([3]enemies!$A$1,0,0,COUNTA([3]enemies!$A:$A),MATCH(N$1,[3]enemies!$1:$1,0)-MATCH($L$1,[3]enemies!$1:$1,0)+1),MATCH(N$1,[3]enemies!$1:$1,0)-MATCH($L$1,[3]enemies!$1:$1,0)+1,FALSE)</f>
        <v>yellow</v>
      </c>
      <c r="O103" s="17" t="str">
        <f ca="1">VLOOKUP($L103,OFFSET([4]characters!$A$1,0,0,COUNTA([4]characters!$A:$A),MATCH(O$1,[4]characters!$1:$1,0)-MATCH($L$1,[4]characters!$1:$1,0)+1),MATCH(O$1,[4]characters!$1:$1,0)-MATCH($L$1,[4]characters!$1:$1,0)+1,FALSE)</f>
        <v>Drop1T</v>
      </c>
      <c r="P103" s="17" t="str">
        <f ca="1">VLOOKUP($L103,OFFSET([3]enemies!$A$1,0,0,COUNTA([3]enemies!$A:$A),MATCH(P$1,[3]enemies!$1:$1,0)-MATCH($L$1,[3]enemies!$1:$1,0)+1),MATCH(P$1,[3]enemies!$1:$1,0)-MATCH($L$1,[3]enemies!$1:$1,0)+1,FALSE)</f>
        <v>unknown</v>
      </c>
      <c r="Q103" s="17">
        <f ca="1">VLOOKUP($L103,OFFSET([3]enemies!$A$1,0,0,COUNTA([3]enemies!$A:$A),MATCH(Q$1,[3]enemies!$1:$1,0)-MATCH($L$1,[3]enemies!$1:$1,0)+1),MATCH(Q$1,[3]enemies!$1:$1,0)-MATCH($L$1,[3]enemies!$1:$1,0)+1,FALSE)</f>
        <v>15</v>
      </c>
      <c r="R103" s="5">
        <v>63</v>
      </c>
      <c r="S103" s="25">
        <v>1</v>
      </c>
      <c r="T103" s="25">
        <v>0.4</v>
      </c>
      <c r="U103" s="5">
        <v>0</v>
      </c>
      <c r="V103" s="4" t="e">
        <f ca="1">VLOOKUP($W103,OFFSET(enemy_skill_sets!$B$1,0,0,COUNTA(enemy_skill_sets!$B:$B),MATCH(M$1,enemy_skill_sets!$1:$1,0)-MATCH($W$1,enemy_skill_sets!$1:$1,0)+2),MATCH(M$1,enemy_skill_sets!$1:$1,0)-MATCH($W$1,enemy_skill_sets!$1:$1,0)+2,FALSE)</f>
        <v>#N/A</v>
      </c>
      <c r="W103" s="4">
        <f ca="1">VLOOKUP($L103,OFFSET([3]enemies!$A$1,0,0,COUNTA([3]enemies!$A:$A),MATCH(W$1,[3]enemies!$1:$1,0)-MATCH($L$1,[3]enemies!$1:$1,0)+1),MATCH(W$1,[3]enemies!$1:$1,0)-MATCH($L$1,[3]enemies!$1:$1,0)+1,FALSE)</f>
        <v>0</v>
      </c>
      <c r="X103" s="6">
        <v>0</v>
      </c>
      <c r="Y103" s="6">
        <v>100</v>
      </c>
      <c r="Z103" s="6">
        <v>0</v>
      </c>
      <c r="AA103" s="17">
        <v>2</v>
      </c>
      <c r="AB103" s="24">
        <f t="shared" si="48"/>
        <v>7</v>
      </c>
      <c r="AC103" s="4" t="str">
        <f ca="1">VLOOKUP($AB103,OFFSET([4]characters!$A$1,0,0,COUNTA([4]characters!$A:$A),MATCH(AC$1,[4]characters!$1:$1,0)-MATCH("character_id",[4]characters!$1:$1,0)+1),MATCH(AC$1,[4]characters!$1:$1,0)-MATCH("character_id",[4]characters!$1:$1,0)+1,FALSE)</f>
        <v>エレキポット</v>
      </c>
      <c r="AD103" s="4">
        <f ca="1">VLOOKUP($AB103,OFFSET([4]characters!$A$1,0,0,COUNTA([4]characters!$A:$A),MATCH(AD$1,[4]characters!$1:$1,0)-MATCH("character_id",[4]characters!$1:$1,0)+1),MATCH(AD$1,[4]characters!$1:$1,0)-MATCH("character_id",[4]characters!$1:$1,0)+1,FALSE)</f>
        <v>1</v>
      </c>
      <c r="AE103" s="4" t="str">
        <f ca="1">VLOOKUP($AB103,OFFSET([4]characters!$A$1,0,0,COUNTA([4]characters!$A:$A),MATCH(AE$1,[4]characters!$1:$1,0)-MATCH("character_id",[4]characters!$1:$1,0)+1),MATCH(AE$1,[4]characters!$1:$1,0)-MATCH("character_id",[4]characters!$1:$1,0)+1,FALSE)</f>
        <v>Drop1T</v>
      </c>
      <c r="AF103" s="7">
        <v>1</v>
      </c>
      <c r="AG103" s="24">
        <f t="shared" ca="1" si="49"/>
        <v>1</v>
      </c>
      <c r="AH103" s="8">
        <v>20</v>
      </c>
      <c r="AI103" s="7">
        <v>0</v>
      </c>
      <c r="AJ103" s="7">
        <v>0</v>
      </c>
      <c r="AK103" s="7">
        <v>0</v>
      </c>
      <c r="AL103" s="7">
        <v>0</v>
      </c>
      <c r="AM103" s="7">
        <v>1</v>
      </c>
      <c r="AN103" s="69">
        <v>1</v>
      </c>
    </row>
    <row r="104" spans="1:40" ht="21" customHeight="1" x14ac:dyDescent="0.15">
      <c r="A104" s="16" t="str">
        <f t="shared" si="45"/>
        <v>39005_5-3/15&lt;lv63&gt;s3</v>
      </c>
      <c r="B104" s="22">
        <v>39005</v>
      </c>
      <c r="C104" s="21">
        <v>5</v>
      </c>
      <c r="D104" s="2" t="str">
        <f t="shared" si="46"/>
        <v>39005_5</v>
      </c>
      <c r="E104" s="4" t="str">
        <f ca="1">VLOOKUP($B104,OFFSET([2]quests!$A$1,0,0,COUNTA([2]quests!$A:$A),MATCH(E$1,[2]quests!$1:$1,0)-MATCH($B$1,[2]quests!$1:$1,0)+1),MATCH(E$1,[2]quests!$1:$1,0)-MATCH($B$1,[2]quests!$1:$1,0)+1,FALSE)</f>
        <v xml:space="preserve">ミクエキスポ </v>
      </c>
      <c r="F104" s="4" t="str">
        <f ca="1">VLOOKUP($D104,OFFSET([2]stages!$A$1,0,0,COUNTA([2]stages!$A:$A),MATCH(F$1,[2]stages!$2:$2,0)-MATCH($D$1,[2]stages!$2:$2,0)+1),MATCH(F$1,[2]stages!$2:$2,0)-MATCH($D$1,[2]stages!$2:$2,0)+1,FALSE)</f>
        <v>【超絶級】ミクエキスポ</v>
      </c>
      <c r="G104" s="96">
        <v>3</v>
      </c>
      <c r="H104" s="15" t="str">
        <f t="shared" si="47"/>
        <v>39005_5-3</v>
      </c>
      <c r="I104" s="4">
        <f ca="1">VLOOKUP($H104,OFFSET(floors!$A$1,0,0,COUNTA(floors!$A:$A),MATCH(I$1,floors!$1:$1,0)-MATCH($H$1,floors!$1:$1,0)+1),MATCH(I$1,floors!$1:$1,0)-MATCH($H$1,floors!$1:$1,0)+1,FALSE)</f>
        <v>60</v>
      </c>
      <c r="J104" s="4">
        <f ca="1">VLOOKUP($H104,OFFSET(floors!$A$1,0,0,COUNTA(floors!$A:$A),MATCH(J$1,floors!$1:$1,0)-MATCH($H$1,floors!$1:$1,0)+1),MATCH(J$1,floors!$1:$1,0)-MATCH($H$1,floors!$1:$1,0)+1,FALSE)</f>
        <v>60</v>
      </c>
      <c r="K104" s="38" t="s">
        <v>53</v>
      </c>
      <c r="L104" s="20">
        <v>15</v>
      </c>
      <c r="M104" s="17" t="str">
        <f ca="1">VLOOKUP($L104,OFFSET([3]enemies!$A$1,0,0,COUNTA([3]enemies!$A:$A),MATCH(M$1,[3]enemies!$1:$1,0)-MATCH($L$1,[3]enemies!$1:$1,0)+1),MATCH(M$1,[3]enemies!$1:$1,0)-MATCH($L$1,[3]enemies!$1:$1,0)+1,FALSE)</f>
        <v>アカネ</v>
      </c>
      <c r="N104" s="17" t="str">
        <f ca="1">VLOOKUP($L104,OFFSET([3]enemies!$A$1,0,0,COUNTA([3]enemies!$A:$A),MATCH(N$1,[3]enemies!$1:$1,0)-MATCH($L$1,[3]enemies!$1:$1,0)+1),MATCH(N$1,[3]enemies!$1:$1,0)-MATCH($L$1,[3]enemies!$1:$1,0)+1,FALSE)</f>
        <v>red</v>
      </c>
      <c r="O104" s="17" t="str">
        <f ca="1">VLOOKUP($L104,OFFSET([4]characters!$A$1,0,0,COUNTA([4]characters!$A:$A),MATCH(O$1,[4]characters!$1:$1,0)-MATCH($L$1,[4]characters!$1:$1,0)+1),MATCH(O$1,[4]characters!$1:$1,0)-MATCH($L$1,[4]characters!$1:$1,0)+1,FALSE)</f>
        <v>Drop1W</v>
      </c>
      <c r="P104" s="17" t="str">
        <f ca="1">VLOOKUP($L104,OFFSET([3]enemies!$A$1,0,0,COUNTA([3]enemies!$A:$A),MATCH(P$1,[3]enemies!$1:$1,0)-MATCH($L$1,[3]enemies!$1:$1,0)+1),MATCH(P$1,[3]enemies!$1:$1,0)-MATCH($L$1,[3]enemies!$1:$1,0)+1,FALSE)</f>
        <v>human</v>
      </c>
      <c r="Q104" s="17">
        <f ca="1">VLOOKUP($L104,OFFSET([3]enemies!$A$1,0,0,COUNTA([3]enemies!$A:$A),MATCH(Q$1,[3]enemies!$1:$1,0)-MATCH($L$1,[3]enemies!$1:$1,0)+1),MATCH(Q$1,[3]enemies!$1:$1,0)-MATCH($L$1,[3]enemies!$1:$1,0)+1,FALSE)</f>
        <v>15</v>
      </c>
      <c r="R104" s="5">
        <v>63</v>
      </c>
      <c r="S104" s="25">
        <v>1</v>
      </c>
      <c r="T104" s="25">
        <v>0.6</v>
      </c>
      <c r="U104" s="5">
        <v>0</v>
      </c>
      <c r="V104" s="4" t="str">
        <f ca="1">VLOOKUP($W104,OFFSET([5]enemy_skill_sets!$B$1,0,0,COUNTA([5]enemy_skill_sets!$B:$B),MATCH(M$1,[5]enemy_skill_sets!$1:$1,0)-MATCH($W$1,[5]enemy_skill_sets!$1:$1,0)+2),MATCH(M$1,[5]enemy_skill_sets!$1:$1,0)-MATCH($W$1,[5]enemy_skill_sets!$1:$1,0)+2,FALSE)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4" s="4">
        <f ca="1">VLOOKUP($L104,OFFSET([3]enemies!$A$1,0,0,COUNTA([3]enemies!$A:$A),MATCH(W$1,[3]enemies!$1:$1,0)-MATCH($L$1,[3]enemies!$1:$1,0)+1),MATCH(W$1,[3]enemies!$1:$1,0)-MATCH($L$1,[3]enemies!$1:$1,0)+1,FALSE)</f>
        <v>0</v>
      </c>
      <c r="X104" s="6">
        <v>0</v>
      </c>
      <c r="Y104" s="6">
        <v>100</v>
      </c>
      <c r="Z104" s="6">
        <v>0</v>
      </c>
      <c r="AA104" s="17">
        <v>3</v>
      </c>
      <c r="AB104" s="24">
        <f t="shared" si="48"/>
        <v>15</v>
      </c>
      <c r="AC104" s="4" t="str">
        <f ca="1">VLOOKUP($AB104,OFFSET([4]characters!$A$1,0,0,COUNTA([4]characters!$A:$A),MATCH(AC$1,[4]characters!$1:$1,0)-MATCH("character_id",[4]characters!$1:$1,0)+1),MATCH(AC$1,[4]characters!$1:$1,0)-MATCH("character_id",[4]characters!$1:$1,0)+1,FALSE)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104" s="4">
        <f ca="1">VLOOKUP($AB104,OFFSET([4]characters!$A$1,0,0,COUNTA([4]characters!$A:$A),MATCH(AD$1,[4]characters!$1:$1,0)-MATCH("character_id",[4]characters!$1:$1,0)+1),MATCH(AD$1,[4]characters!$1:$1,0)-MATCH("character_id",[4]characters!$1:$1,0)+1,FALSE)</f>
        <v>1</v>
      </c>
      <c r="AE104" s="4" t="str">
        <f ca="1">VLOOKUP($AB104,OFFSET([4]characters!$A$1,0,0,COUNTA([4]characters!$A:$A),MATCH(AE$1,[4]characters!$1:$1,0)-MATCH("character_id",[4]characters!$1:$1,0)+1),MATCH(AE$1,[4]characters!$1:$1,0)-MATCH("character_id",[4]characters!$1:$1,0)+1,FALSE)</f>
        <v>Drop1W</v>
      </c>
      <c r="AF104" s="7">
        <v>1</v>
      </c>
      <c r="AG104" s="24">
        <f t="shared" ca="1" si="49"/>
        <v>1</v>
      </c>
      <c r="AH104" s="8">
        <v>20</v>
      </c>
      <c r="AI104" s="7">
        <v>0</v>
      </c>
      <c r="AJ104" s="7">
        <v>0</v>
      </c>
      <c r="AK104" s="7">
        <v>0</v>
      </c>
      <c r="AL104" s="7">
        <v>0</v>
      </c>
      <c r="AM104" s="7">
        <v>1</v>
      </c>
      <c r="AN104" s="69">
        <v>1</v>
      </c>
    </row>
    <row r="105" spans="1:40" ht="21" customHeight="1" x14ac:dyDescent="0.15">
      <c r="A105" s="16" t="str">
        <f t="shared" si="45"/>
        <v>39005_5-3/27&lt;lv63&gt;s1</v>
      </c>
      <c r="B105" s="22">
        <v>39005</v>
      </c>
      <c r="C105" s="21">
        <v>5</v>
      </c>
      <c r="D105" s="2" t="str">
        <f t="shared" si="46"/>
        <v>39005_5</v>
      </c>
      <c r="E105" s="4" t="str">
        <f ca="1">VLOOKUP($B105,OFFSET([2]quests!$A$1,0,0,COUNTA([2]quests!$A:$A),MATCH(E$1,[2]quests!$1:$1,0)-MATCH($B$1,[2]quests!$1:$1,0)+1),MATCH(E$1,[2]quests!$1:$1,0)-MATCH($B$1,[2]quests!$1:$1,0)+1,FALSE)</f>
        <v xml:space="preserve">ミクエキスポ </v>
      </c>
      <c r="F105" s="4" t="str">
        <f ca="1">VLOOKUP($D105,OFFSET([2]stages!$A$1,0,0,COUNTA([2]stages!$A:$A),MATCH(F$1,[2]stages!$2:$2,0)-MATCH($D$1,[2]stages!$2:$2,0)+1),MATCH(F$1,[2]stages!$2:$2,0)-MATCH($D$1,[2]stages!$2:$2,0)+1,FALSE)</f>
        <v>【超絶級】ミクエキスポ</v>
      </c>
      <c r="G105" s="96">
        <v>3</v>
      </c>
      <c r="H105" s="15" t="str">
        <f t="shared" si="47"/>
        <v>39005_5-3</v>
      </c>
      <c r="I105" s="4">
        <f ca="1">VLOOKUP($H105,OFFSET(floors!$A$1,0,0,COUNTA(floors!$A:$A),MATCH(I$1,floors!$1:$1,0)-MATCH($H$1,floors!$1:$1,0)+1),MATCH(I$1,floors!$1:$1,0)-MATCH($H$1,floors!$1:$1,0)+1,FALSE)</f>
        <v>60</v>
      </c>
      <c r="J105" s="4">
        <f ca="1">VLOOKUP($H105,OFFSET(floors!$A$1,0,0,COUNTA(floors!$A:$A),MATCH(J$1,floors!$1:$1,0)-MATCH($H$1,floors!$1:$1,0)+1),MATCH(J$1,floors!$1:$1,0)-MATCH($H$1,floors!$1:$1,0)+1,FALSE)</f>
        <v>60</v>
      </c>
      <c r="K105" s="38" t="s">
        <v>53</v>
      </c>
      <c r="L105" s="20">
        <v>27</v>
      </c>
      <c r="M105" s="17" t="str">
        <f ca="1">VLOOKUP($L105,OFFSET([3]enemies!$A$1,0,0,COUNTA([3]enemies!$A:$A),MATCH(M$1,[3]enemies!$1:$1,0)-MATCH($L$1,[3]enemies!$1:$1,0)+1),MATCH(M$1,[3]enemies!$1:$1,0)-MATCH($L$1,[3]enemies!$1:$1,0)+1,FALSE)</f>
        <v>パトライン</v>
      </c>
      <c r="N105" s="17" t="str">
        <f ca="1">VLOOKUP($L105,OFFSET([3]enemies!$A$1,0,0,COUNTA([3]enemies!$A:$A),MATCH(N$1,[3]enemies!$1:$1,0)-MATCH($L$1,[3]enemies!$1:$1,0)+1),MATCH(N$1,[3]enemies!$1:$1,0)-MATCH($L$1,[3]enemies!$1:$1,0)+1,FALSE)</f>
        <v>green</v>
      </c>
      <c r="O105" s="17" t="str">
        <f ca="1">VLOOKUP($L105,OFFSET([4]characters!$A$1,0,0,COUNTA([4]characters!$A:$A),MATCH(O$1,[4]characters!$1:$1,0)-MATCH($L$1,[4]characters!$1:$1,0)+1),MATCH(O$1,[4]characters!$1:$1,0)-MATCH($L$1,[4]characters!$1:$1,0)+1,FALSE)</f>
        <v>Drop1N</v>
      </c>
      <c r="P105" s="17" t="str">
        <f ca="1">VLOOKUP($L105,OFFSET([3]enemies!$A$1,0,0,COUNTA([3]enemies!$A:$A),MATCH(P$1,[3]enemies!$1:$1,0)-MATCH($L$1,[3]enemies!$1:$1,0)+1),MATCH(P$1,[3]enemies!$1:$1,0)-MATCH($L$1,[3]enemies!$1:$1,0)+1,FALSE)</f>
        <v>machine</v>
      </c>
      <c r="Q105" s="17">
        <f ca="1">VLOOKUP($L105,OFFSET([3]enemies!$A$1,0,0,COUNTA([3]enemies!$A:$A),MATCH(Q$1,[3]enemies!$1:$1,0)-MATCH($L$1,[3]enemies!$1:$1,0)+1),MATCH(Q$1,[3]enemies!$1:$1,0)-MATCH($L$1,[3]enemies!$1:$1,0)+1,FALSE)</f>
        <v>15</v>
      </c>
      <c r="R105" s="5">
        <v>63</v>
      </c>
      <c r="S105" s="25">
        <v>1</v>
      </c>
      <c r="T105" s="25">
        <v>0.6</v>
      </c>
      <c r="U105" s="5">
        <v>0</v>
      </c>
      <c r="V105" s="4" t="e">
        <f ca="1">VLOOKUP($W105,OFFSET(enemy_skill_sets!$B$1,0,0,COUNTA(enemy_skill_sets!$B:$B),MATCH(M$1,enemy_skill_sets!$1:$1,0)-MATCH($W$1,enemy_skill_sets!$1:$1,0)+2),MATCH(M$1,enemy_skill_sets!$1:$1,0)-MATCH($W$1,enemy_skill_sets!$1:$1,0)+2,FALSE)</f>
        <v>#N/A</v>
      </c>
      <c r="W105" s="4">
        <f ca="1">VLOOKUP($L105,OFFSET([3]enemies!$A$1,0,0,COUNTA([3]enemies!$A:$A),MATCH(W$1,[3]enemies!$1:$1,0)-MATCH($L$1,[3]enemies!$1:$1,0)+1),MATCH(W$1,[3]enemies!$1:$1,0)-MATCH($L$1,[3]enemies!$1:$1,0)+1,FALSE)</f>
        <v>0</v>
      </c>
      <c r="X105" s="6">
        <v>0</v>
      </c>
      <c r="Y105" s="6">
        <v>100</v>
      </c>
      <c r="Z105" s="6">
        <v>0</v>
      </c>
      <c r="AA105" s="17">
        <v>1</v>
      </c>
      <c r="AB105" s="24">
        <f t="shared" si="48"/>
        <v>27</v>
      </c>
      <c r="AC105" s="4" t="str">
        <f ca="1">VLOOKUP($AB105,OFFSET([4]characters!$A$1,0,0,COUNTA([4]characters!$A:$A),MATCH(AC$1,[4]characters!$1:$1,0)-MATCH("character_id",[4]characters!$1:$1,0)+1),MATCH(AC$1,[4]characters!$1:$1,0)-MATCH("character_id",[4]characters!$1:$1,0)+1,FALSE)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105" s="4">
        <f ca="1">VLOOKUP($AB105,OFFSET([4]characters!$A$1,0,0,COUNTA([4]characters!$A:$A),MATCH(AD$1,[4]characters!$1:$1,0)-MATCH("character_id",[4]characters!$1:$1,0)+1),MATCH(AD$1,[4]characters!$1:$1,0)-MATCH("character_id",[4]characters!$1:$1,0)+1,FALSE)</f>
        <v>1</v>
      </c>
      <c r="AE105" s="4" t="str">
        <f ca="1">VLOOKUP($AB105,OFFSET([4]characters!$A$1,0,0,COUNTA([4]characters!$A:$A),MATCH(AE$1,[4]characters!$1:$1,0)-MATCH("character_id",[4]characters!$1:$1,0)+1),MATCH(AE$1,[4]characters!$1:$1,0)-MATCH("character_id",[4]characters!$1:$1,0)+1,FALSE)</f>
        <v>Drop1N</v>
      </c>
      <c r="AF105" s="7">
        <v>1</v>
      </c>
      <c r="AG105" s="24">
        <f t="shared" ca="1" si="49"/>
        <v>1</v>
      </c>
      <c r="AH105" s="8">
        <v>20</v>
      </c>
      <c r="AI105" s="7">
        <v>0</v>
      </c>
      <c r="AJ105" s="7">
        <v>0</v>
      </c>
      <c r="AK105" s="7">
        <v>0</v>
      </c>
      <c r="AL105" s="7">
        <v>0</v>
      </c>
      <c r="AM105" s="7">
        <v>1</v>
      </c>
      <c r="AN105" s="69">
        <v>1</v>
      </c>
    </row>
    <row r="106" spans="1:40" ht="21" customHeight="1" x14ac:dyDescent="0.15">
      <c r="A106" s="16" t="str">
        <f t="shared" si="45"/>
        <v>39005_5-3/17&lt;lv63&gt;s2</v>
      </c>
      <c r="B106" s="22">
        <v>39005</v>
      </c>
      <c r="C106" s="21">
        <v>5</v>
      </c>
      <c r="D106" s="2" t="str">
        <f t="shared" si="46"/>
        <v>39005_5</v>
      </c>
      <c r="E106" s="4" t="str">
        <f ca="1">VLOOKUP($B106,OFFSET([2]quests!$A$1,0,0,COUNTA([2]quests!$A:$A),MATCH(E$1,[2]quests!$1:$1,0)-MATCH($B$1,[2]quests!$1:$1,0)+1),MATCH(E$1,[2]quests!$1:$1,0)-MATCH($B$1,[2]quests!$1:$1,0)+1,FALSE)</f>
        <v xml:space="preserve">ミクエキスポ </v>
      </c>
      <c r="F106" s="4" t="str">
        <f ca="1">VLOOKUP($D106,OFFSET([2]stages!$A$1,0,0,COUNTA([2]stages!$A:$A),MATCH(F$1,[2]stages!$2:$2,0)-MATCH($D$1,[2]stages!$2:$2,0)+1),MATCH(F$1,[2]stages!$2:$2,0)-MATCH($D$1,[2]stages!$2:$2,0)+1,FALSE)</f>
        <v>【超絶級】ミクエキスポ</v>
      </c>
      <c r="G106" s="96">
        <v>3</v>
      </c>
      <c r="H106" s="15" t="str">
        <f t="shared" si="47"/>
        <v>39005_5-3</v>
      </c>
      <c r="I106" s="4">
        <f ca="1">VLOOKUP($H106,OFFSET(floors!$A$1,0,0,COUNTA(floors!$A:$A),MATCH(I$1,floors!$1:$1,0)-MATCH($H$1,floors!$1:$1,0)+1),MATCH(I$1,floors!$1:$1,0)-MATCH($H$1,floors!$1:$1,0)+1,FALSE)</f>
        <v>60</v>
      </c>
      <c r="J106" s="4">
        <f ca="1">VLOOKUP($H106,OFFSET(floors!$A$1,0,0,COUNTA(floors!$A:$A),MATCH(J$1,floors!$1:$1,0)-MATCH($H$1,floors!$1:$1,0)+1),MATCH(J$1,floors!$1:$1,0)-MATCH($H$1,floors!$1:$1,0)+1,FALSE)</f>
        <v>60</v>
      </c>
      <c r="K106" s="38" t="s">
        <v>53</v>
      </c>
      <c r="L106" s="20">
        <v>17</v>
      </c>
      <c r="M106" s="17" t="str">
        <f ca="1">VLOOKUP($L106,OFFSET([3]enemies!$A$1,0,0,COUNTA([3]enemies!$A:$A),MATCH(M$1,[3]enemies!$1:$1,0)-MATCH($L$1,[3]enemies!$1:$1,0)+1),MATCH(M$1,[3]enemies!$1:$1,0)-MATCH($L$1,[3]enemies!$1:$1,0)+1,FALSE)</f>
        <v>リム</v>
      </c>
      <c r="N106" s="17" t="str">
        <f ca="1">VLOOKUP($L106,OFFSET([3]enemies!$A$1,0,0,COUNTA([3]enemies!$A:$A),MATCH(N$1,[3]enemies!$1:$1,0)-MATCH($L$1,[3]enemies!$1:$1,0)+1),MATCH(N$1,[3]enemies!$1:$1,0)-MATCH($L$1,[3]enemies!$1:$1,0)+1,FALSE)</f>
        <v>blue</v>
      </c>
      <c r="O106" s="17" t="str">
        <f ca="1">VLOOKUP($L106,OFFSET([4]characters!$A$1,0,0,COUNTA([4]characters!$A:$A),MATCH(O$1,[4]characters!$1:$1,0)-MATCH($L$1,[4]characters!$1:$1,0)+1),MATCH(O$1,[4]characters!$1:$1,0)-MATCH($L$1,[4]characters!$1:$1,0)+1,FALSE)</f>
        <v>Drop1W</v>
      </c>
      <c r="P106" s="17" t="str">
        <f ca="1">VLOOKUP($L106,OFFSET([3]enemies!$A$1,0,0,COUNTA([3]enemies!$A:$A),MATCH(P$1,[3]enemies!$1:$1,0)-MATCH($L$1,[3]enemies!$1:$1,0)+1),MATCH(P$1,[3]enemies!$1:$1,0)-MATCH($L$1,[3]enemies!$1:$1,0)+1,FALSE)</f>
        <v>human</v>
      </c>
      <c r="Q106" s="17">
        <f ca="1">VLOOKUP($L106,OFFSET([3]enemies!$A$1,0,0,COUNTA([3]enemies!$A:$A),MATCH(Q$1,[3]enemies!$1:$1,0)-MATCH($L$1,[3]enemies!$1:$1,0)+1),MATCH(Q$1,[3]enemies!$1:$1,0)-MATCH($L$1,[3]enemies!$1:$1,0)+1,FALSE)</f>
        <v>15</v>
      </c>
      <c r="R106" s="5">
        <v>63</v>
      </c>
      <c r="S106" s="25">
        <v>1</v>
      </c>
      <c r="T106" s="25">
        <v>0.6</v>
      </c>
      <c r="U106" s="5">
        <v>0</v>
      </c>
      <c r="V106" s="4" t="str">
        <f ca="1">VLOOKUP($W106,OFFSET([5]enemy_skill_sets!$B$1,0,0,COUNTA([5]enemy_skill_sets!$B:$B),MATCH(M$1,[5]enemy_skill_sets!$1:$1,0)-MATCH($W$1,[5]enemy_skill_sets!$1:$1,0)+2),MATCH(M$1,[5]enemy_skill_sets!$1:$1,0)-MATCH($W$1,[5]enemy_skill_sets!$1:$1,0)+2,FALSE)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6" s="4">
        <f ca="1">VLOOKUP($L106,OFFSET([3]enemies!$A$1,0,0,COUNTA([3]enemies!$A:$A),MATCH(W$1,[3]enemies!$1:$1,0)-MATCH($L$1,[3]enemies!$1:$1,0)+1),MATCH(W$1,[3]enemies!$1:$1,0)-MATCH($L$1,[3]enemies!$1:$1,0)+1,FALSE)</f>
        <v>0</v>
      </c>
      <c r="X106" s="6">
        <v>0</v>
      </c>
      <c r="Y106" s="6">
        <v>100</v>
      </c>
      <c r="Z106" s="6">
        <v>0</v>
      </c>
      <c r="AA106" s="17">
        <v>2</v>
      </c>
      <c r="AB106" s="24">
        <f t="shared" si="48"/>
        <v>17</v>
      </c>
      <c r="AC106" s="4" t="str">
        <f ca="1">VLOOKUP($AB106,OFFSET([4]characters!$A$1,0,0,COUNTA([4]characters!$A:$A),MATCH(AC$1,[4]characters!$1:$1,0)-MATCH("character_id",[4]characters!$1:$1,0)+1),MATCH(AC$1,[4]characters!$1:$1,0)-MATCH("character_id",[4]characters!$1:$1,0)+1,FALSE)</f>
        <v>リム</v>
      </c>
      <c r="AD106" s="4">
        <f ca="1">VLOOKUP($AB106,OFFSET([4]characters!$A$1,0,0,COUNTA([4]characters!$A:$A),MATCH(AD$1,[4]characters!$1:$1,0)-MATCH("character_id",[4]characters!$1:$1,0)+1),MATCH(AD$1,[4]characters!$1:$1,0)-MATCH("character_id",[4]characters!$1:$1,0)+1,FALSE)</f>
        <v>1</v>
      </c>
      <c r="AE106" s="4" t="str">
        <f ca="1">VLOOKUP($AB106,OFFSET([4]characters!$A$1,0,0,COUNTA([4]characters!$A:$A),MATCH(AE$1,[4]characters!$1:$1,0)-MATCH("character_id",[4]characters!$1:$1,0)+1),MATCH(AE$1,[4]characters!$1:$1,0)-MATCH("character_id",[4]characters!$1:$1,0)+1,FALSE)</f>
        <v>Drop1W</v>
      </c>
      <c r="AF106" s="7">
        <v>1</v>
      </c>
      <c r="AG106" s="24">
        <f t="shared" ca="1" si="49"/>
        <v>1</v>
      </c>
      <c r="AH106" s="8">
        <v>20</v>
      </c>
      <c r="AI106" s="7">
        <v>0</v>
      </c>
      <c r="AJ106" s="7">
        <v>0</v>
      </c>
      <c r="AK106" s="7">
        <v>0</v>
      </c>
      <c r="AL106" s="7">
        <v>0</v>
      </c>
      <c r="AM106" s="7">
        <v>1</v>
      </c>
      <c r="AN106" s="69">
        <v>1</v>
      </c>
    </row>
    <row r="107" spans="1:40" ht="21" customHeight="1" x14ac:dyDescent="0.15">
      <c r="A107" s="16" t="str">
        <f t="shared" si="45"/>
        <v>39005_5-3/13&lt;lv63&gt;s2</v>
      </c>
      <c r="B107" s="22">
        <v>39005</v>
      </c>
      <c r="C107" s="21">
        <v>5</v>
      </c>
      <c r="D107" s="2" t="str">
        <f t="shared" si="46"/>
        <v>39005_5</v>
      </c>
      <c r="E107" s="4" t="str">
        <f ca="1">VLOOKUP($B107,OFFSET([2]quests!$A$1,0,0,COUNTA([2]quests!$A:$A),MATCH(E$1,[2]quests!$1:$1,0)-MATCH($B$1,[2]quests!$1:$1,0)+1),MATCH(E$1,[2]quests!$1:$1,0)-MATCH($B$1,[2]quests!$1:$1,0)+1,FALSE)</f>
        <v xml:space="preserve">ミクエキスポ </v>
      </c>
      <c r="F107" s="4" t="str">
        <f ca="1">VLOOKUP($D107,OFFSET([2]stages!$A$1,0,0,COUNTA([2]stages!$A:$A),MATCH(F$1,[2]stages!$2:$2,0)-MATCH($D$1,[2]stages!$2:$2,0)+1),MATCH(F$1,[2]stages!$2:$2,0)-MATCH($D$1,[2]stages!$2:$2,0)+1,FALSE)</f>
        <v>【超絶級】ミクエキスポ</v>
      </c>
      <c r="G107" s="96">
        <v>3</v>
      </c>
      <c r="H107" s="15" t="str">
        <f t="shared" si="47"/>
        <v>39005_5-3</v>
      </c>
      <c r="I107" s="4">
        <f ca="1">VLOOKUP($H107,OFFSET(floors!$A$1,0,0,COUNTA(floors!$A:$A),MATCH(I$1,floors!$1:$1,0)-MATCH($H$1,floors!$1:$1,0)+1),MATCH(I$1,floors!$1:$1,0)-MATCH($H$1,floors!$1:$1,0)+1,FALSE)</f>
        <v>60</v>
      </c>
      <c r="J107" s="4">
        <f ca="1">VLOOKUP($H107,OFFSET(floors!$A$1,0,0,COUNTA(floors!$A:$A),MATCH(J$1,floors!$1:$1,0)-MATCH($H$1,floors!$1:$1,0)+1),MATCH(J$1,floors!$1:$1,0)-MATCH($H$1,floors!$1:$1,0)+1,FALSE)</f>
        <v>60</v>
      </c>
      <c r="K107" s="38" t="s">
        <v>53</v>
      </c>
      <c r="L107" s="20">
        <v>13</v>
      </c>
      <c r="M107" s="17" t="str">
        <f ca="1">VLOOKUP($L107,OFFSET([3]enemies!$A$1,0,0,COUNTA([3]enemies!$A:$A),MATCH(M$1,[3]enemies!$1:$1,0)-MATCH($L$1,[3]enemies!$1:$1,0)+1),MATCH(M$1,[3]enemies!$1:$1,0)-MATCH($L$1,[3]enemies!$1:$1,0)+1,FALSE)</f>
        <v>ミミ</v>
      </c>
      <c r="N107" s="17" t="str">
        <f ca="1">VLOOKUP($L107,OFFSET([3]enemies!$A$1,0,0,COUNTA([3]enemies!$A:$A),MATCH(N$1,[3]enemies!$1:$1,0)-MATCH($L$1,[3]enemies!$1:$1,0)+1),MATCH(N$1,[3]enemies!$1:$1,0)-MATCH($L$1,[3]enemies!$1:$1,0)+1,FALSE)</f>
        <v>yellow</v>
      </c>
      <c r="O107" s="17" t="str">
        <f ca="1">VLOOKUP($L107,OFFSET([4]characters!$A$1,0,0,COUNTA([4]characters!$A:$A),MATCH(O$1,[4]characters!$1:$1,0)-MATCH($L$1,[4]characters!$1:$1,0)+1),MATCH(O$1,[4]characters!$1:$1,0)-MATCH($L$1,[4]characters!$1:$1,0)+1,FALSE)</f>
        <v>Drop1W</v>
      </c>
      <c r="P107" s="17" t="str">
        <f ca="1">VLOOKUP($L107,OFFSET([3]enemies!$A$1,0,0,COUNTA([3]enemies!$A:$A),MATCH(P$1,[3]enemies!$1:$1,0)-MATCH($L$1,[3]enemies!$1:$1,0)+1),MATCH(P$1,[3]enemies!$1:$1,0)-MATCH($L$1,[3]enemies!$1:$1,0)+1,FALSE)</f>
        <v>animal</v>
      </c>
      <c r="Q107" s="17">
        <f ca="1">VLOOKUP($L107,OFFSET([3]enemies!$A$1,0,0,COUNTA([3]enemies!$A:$A),MATCH(Q$1,[3]enemies!$1:$1,0)-MATCH($L$1,[3]enemies!$1:$1,0)+1),MATCH(Q$1,[3]enemies!$1:$1,0)-MATCH($L$1,[3]enemies!$1:$1,0)+1,FALSE)</f>
        <v>15</v>
      </c>
      <c r="R107" s="5">
        <v>63</v>
      </c>
      <c r="S107" s="25">
        <v>1</v>
      </c>
      <c r="T107" s="25">
        <v>0.4</v>
      </c>
      <c r="U107" s="5">
        <v>0</v>
      </c>
      <c r="V107" s="4" t="e">
        <f ca="1">VLOOKUP($W107,OFFSET(enemy_skill_sets!$B$1,0,0,COUNTA(enemy_skill_sets!$B:$B),MATCH(M$1,enemy_skill_sets!$1:$1,0)-MATCH($W$1,enemy_skill_sets!$1:$1,0)+2),MATCH(M$1,enemy_skill_sets!$1:$1,0)-MATCH($W$1,enemy_skill_sets!$1:$1,0)+2,FALSE)</f>
        <v>#N/A</v>
      </c>
      <c r="W107" s="4">
        <f ca="1">VLOOKUP($L107,OFFSET([3]enemies!$A$1,0,0,COUNTA([3]enemies!$A:$A),MATCH(W$1,[3]enemies!$1:$1,0)-MATCH($L$1,[3]enemies!$1:$1,0)+1),MATCH(W$1,[3]enemies!$1:$1,0)-MATCH($L$1,[3]enemies!$1:$1,0)+1,FALSE)</f>
        <v>0</v>
      </c>
      <c r="X107" s="6">
        <v>0</v>
      </c>
      <c r="Y107" s="6">
        <v>100</v>
      </c>
      <c r="Z107" s="6">
        <v>0</v>
      </c>
      <c r="AA107" s="17">
        <v>2</v>
      </c>
      <c r="AB107" s="24">
        <f t="shared" si="48"/>
        <v>13</v>
      </c>
      <c r="AC107" s="4" t="str">
        <f ca="1">VLOOKUP($AB107,OFFSET([4]characters!$A$1,0,0,COUNTA([4]characters!$A:$A),MATCH(AC$1,[4]characters!$1:$1,0)-MATCH("character_id",[4]characters!$1:$1,0)+1),MATCH(AC$1,[4]characters!$1:$1,0)-MATCH("character_id",[4]characters!$1:$1,0)+1,FALSE)</f>
        <v>ミミ</v>
      </c>
      <c r="AD107" s="4">
        <f ca="1">VLOOKUP($AB107,OFFSET([4]characters!$A$1,0,0,COUNTA([4]characters!$A:$A),MATCH(AD$1,[4]characters!$1:$1,0)-MATCH("character_id",[4]characters!$1:$1,0)+1),MATCH(AD$1,[4]characters!$1:$1,0)-MATCH("character_id",[4]characters!$1:$1,0)+1,FALSE)</f>
        <v>1</v>
      </c>
      <c r="AE107" s="4" t="str">
        <f ca="1">VLOOKUP($AB107,OFFSET([4]characters!$A$1,0,0,COUNTA([4]characters!$A:$A),MATCH(AE$1,[4]characters!$1:$1,0)-MATCH("character_id",[4]characters!$1:$1,0)+1),MATCH(AE$1,[4]characters!$1:$1,0)-MATCH("character_id",[4]characters!$1:$1,0)+1,FALSE)</f>
        <v>Drop1W</v>
      </c>
      <c r="AF107" s="7">
        <v>1</v>
      </c>
      <c r="AG107" s="24">
        <f t="shared" ca="1" si="49"/>
        <v>1</v>
      </c>
      <c r="AH107" s="8">
        <v>20</v>
      </c>
      <c r="AI107" s="7">
        <v>0</v>
      </c>
      <c r="AJ107" s="7">
        <v>0</v>
      </c>
      <c r="AK107" s="7">
        <v>0</v>
      </c>
      <c r="AL107" s="7">
        <v>0</v>
      </c>
      <c r="AM107" s="7">
        <v>1</v>
      </c>
      <c r="AN107" s="69">
        <v>1</v>
      </c>
    </row>
    <row r="108" spans="1:40" ht="21" customHeight="1" x14ac:dyDescent="0.15">
      <c r="A108" s="16" t="str">
        <f t="shared" si="45"/>
        <v>39005_5-3/79&lt;lv63&gt;s2</v>
      </c>
      <c r="B108" s="22">
        <v>39005</v>
      </c>
      <c r="C108" s="21">
        <v>5</v>
      </c>
      <c r="D108" s="2" t="str">
        <f t="shared" si="46"/>
        <v>39005_5</v>
      </c>
      <c r="E108" s="4" t="str">
        <f ca="1">VLOOKUP($B108,OFFSET([2]quests!$A$1,0,0,COUNTA([2]quests!$A:$A),MATCH(E$1,[2]quests!$1:$1,0)-MATCH($B$1,[2]quests!$1:$1,0)+1),MATCH(E$1,[2]quests!$1:$1,0)-MATCH($B$1,[2]quests!$1:$1,0)+1,FALSE)</f>
        <v xml:space="preserve">ミクエキスポ </v>
      </c>
      <c r="F108" s="4" t="str">
        <f ca="1">VLOOKUP($D108,OFFSET([2]stages!$A$1,0,0,COUNTA([2]stages!$A:$A),MATCH(F$1,[2]stages!$2:$2,0)-MATCH($D$1,[2]stages!$2:$2,0)+1),MATCH(F$1,[2]stages!$2:$2,0)-MATCH($D$1,[2]stages!$2:$2,0)+1,FALSE)</f>
        <v>【超絶級】ミクエキスポ</v>
      </c>
      <c r="G108" s="96">
        <v>3</v>
      </c>
      <c r="H108" s="15" t="str">
        <f t="shared" si="47"/>
        <v>39005_5-3</v>
      </c>
      <c r="I108" s="4">
        <f ca="1">VLOOKUP($H108,OFFSET(floors!$A$1,0,0,COUNTA(floors!$A:$A),MATCH(I$1,floors!$1:$1,0)-MATCH($H$1,floors!$1:$1,0)+1),MATCH(I$1,floors!$1:$1,0)-MATCH($H$1,floors!$1:$1,0)+1,FALSE)</f>
        <v>60</v>
      </c>
      <c r="J108" s="4">
        <f ca="1">VLOOKUP($H108,OFFSET(floors!$A$1,0,0,COUNTA(floors!$A:$A),MATCH(J$1,floors!$1:$1,0)-MATCH($H$1,floors!$1:$1,0)+1),MATCH(J$1,floors!$1:$1,0)-MATCH($H$1,floors!$1:$1,0)+1,FALSE)</f>
        <v>60</v>
      </c>
      <c r="K108" s="38" t="s">
        <v>53</v>
      </c>
      <c r="L108" s="20">
        <v>79</v>
      </c>
      <c r="M108" s="17" t="str">
        <f ca="1">VLOOKUP($L108,OFFSET([3]enemies!$A$1,0,0,COUNTA([3]enemies!$A:$A),MATCH(M$1,[3]enemies!$1:$1,0)-MATCH($L$1,[3]enemies!$1:$1,0)+1),MATCH(M$1,[3]enemies!$1:$1,0)-MATCH($L$1,[3]enemies!$1:$1,0)+1,FALSE)</f>
        <v>ハッピー100</v>
      </c>
      <c r="N108" s="17" t="str">
        <f ca="1">VLOOKUP($L108,OFFSET([3]enemies!$A$1,0,0,COUNTA([3]enemies!$A:$A),MATCH(N$1,[3]enemies!$1:$1,0)-MATCH($L$1,[3]enemies!$1:$1,0)+1),MATCH(N$1,[3]enemies!$1:$1,0)-MATCH($L$1,[3]enemies!$1:$1,0)+1,FALSE)</f>
        <v>green</v>
      </c>
      <c r="O108" s="17" t="str">
        <f ca="1">VLOOKUP($L108,OFFSET([4]characters!$A$1,0,0,COUNTA([4]characters!$A:$A),MATCH(O$1,[4]characters!$1:$1,0)-MATCH($L$1,[4]characters!$1:$1,0)+1),MATCH(O$1,[4]characters!$1:$1,0)-MATCH($L$1,[4]characters!$1:$1,0)+1,FALSE)</f>
        <v>DropWizW</v>
      </c>
      <c r="P108" s="17" t="str">
        <f ca="1">VLOOKUP($L108,OFFSET([3]enemies!$A$1,0,0,COUNTA([3]enemies!$A:$A),MATCH(P$1,[3]enemies!$1:$1,0)-MATCH($L$1,[3]enemies!$1:$1,0)+1),MATCH(P$1,[3]enemies!$1:$1,0)-MATCH($L$1,[3]enemies!$1:$1,0)+1,FALSE)</f>
        <v>unknown</v>
      </c>
      <c r="Q108" s="17">
        <f ca="1">VLOOKUP($L108,OFFSET([3]enemies!$A$1,0,0,COUNTA([3]enemies!$A:$A),MATCH(Q$1,[3]enemies!$1:$1,0)-MATCH($L$1,[3]enemies!$1:$1,0)+1),MATCH(Q$1,[3]enemies!$1:$1,0)-MATCH($L$1,[3]enemies!$1:$1,0)+1,FALSE)</f>
        <v>20</v>
      </c>
      <c r="R108" s="5">
        <v>63</v>
      </c>
      <c r="S108" s="25">
        <v>2</v>
      </c>
      <c r="T108" s="25">
        <v>1</v>
      </c>
      <c r="U108" s="5">
        <v>0</v>
      </c>
      <c r="V108" s="4" t="str">
        <f ca="1">VLOOKUP($W108,OFFSET([5]enemy_skill_sets!$B$1,0,0,COUNTA([5]enemy_skill_sets!$B:$B),MATCH(M$1,[5]enemy_skill_sets!$1:$1,0)-MATCH($W$1,[5]enemy_skill_sets!$1:$1,0)+2),MATCH(M$1,[5]enemy_skill_sets!$1:$1,0)-MATCH($W$1,[5]enemy_skill_sets!$1:$1,0)+2,FALSE)</f>
        <v>とても幸せそうだ</v>
      </c>
      <c r="W108" s="4">
        <f ca="1">VLOOKUP($L108,OFFSET([3]enemies!$A$1,0,0,COUNTA([3]enemies!$A:$A),MATCH(W$1,[3]enemies!$1:$1,0)-MATCH($L$1,[3]enemies!$1:$1,0)+1),MATCH(W$1,[3]enemies!$1:$1,0)-MATCH($L$1,[3]enemies!$1:$1,0)+1,FALSE)</f>
        <v>79</v>
      </c>
      <c r="X108" s="6">
        <v>0</v>
      </c>
      <c r="Y108" s="6">
        <v>30</v>
      </c>
      <c r="Z108" s="6">
        <v>1</v>
      </c>
      <c r="AA108" s="17">
        <v>2</v>
      </c>
      <c r="AB108" s="24">
        <f t="shared" si="48"/>
        <v>79</v>
      </c>
      <c r="AC108" s="4" t="str">
        <f ca="1">VLOOKUP($AB108,OFFSET([4]characters!$A$1,0,0,COUNTA([4]characters!$A:$A),MATCH(AC$1,[4]characters!$1:$1,0)-MATCH("character_id",[4]characters!$1:$1,0)+1),MATCH(AC$1,[4]characters!$1:$1,0)-MATCH("character_id",[4]characters!$1:$1,0)+1,FALSE)</f>
        <v>ハッピー100</v>
      </c>
      <c r="AD108" s="4">
        <f ca="1">VLOOKUP($AB108,OFFSET([4]characters!$A$1,0,0,COUNTA([4]characters!$A:$A),MATCH(AD$1,[4]characters!$1:$1,0)-MATCH("character_id",[4]characters!$1:$1,0)+1),MATCH(AD$1,[4]characters!$1:$1,0)-MATCH("character_id",[4]characters!$1:$1,0)+1,FALSE)</f>
        <v>3</v>
      </c>
      <c r="AE108" s="4" t="str">
        <f ca="1">VLOOKUP($AB108,OFFSET([4]characters!$A$1,0,0,COUNTA([4]characters!$A:$A),MATCH(AE$1,[4]characters!$1:$1,0)-MATCH("character_id",[4]characters!$1:$1,0)+1),MATCH(AE$1,[4]characters!$1:$1,0)-MATCH("character_id",[4]characters!$1:$1,0)+1,FALSE)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08" s="7">
        <v>1</v>
      </c>
      <c r="AG108" s="24">
        <f t="shared" ca="1" si="49"/>
        <v>3</v>
      </c>
      <c r="AH108" s="8">
        <v>20</v>
      </c>
      <c r="AI108" s="7">
        <v>0</v>
      </c>
      <c r="AJ108" s="7">
        <v>0</v>
      </c>
      <c r="AK108" s="7">
        <v>0</v>
      </c>
      <c r="AL108" s="7">
        <v>0</v>
      </c>
      <c r="AM108" s="7">
        <v>1</v>
      </c>
      <c r="AN108" s="69">
        <v>1</v>
      </c>
    </row>
    <row r="109" spans="1:40" ht="21" customHeight="1" x14ac:dyDescent="0.15">
      <c r="A109" s="16" t="str">
        <f t="shared" si="45"/>
        <v>39005_5-3/83&lt;lv63&gt;s2</v>
      </c>
      <c r="B109" s="22">
        <v>39005</v>
      </c>
      <c r="C109" s="21">
        <v>5</v>
      </c>
      <c r="D109" s="2" t="str">
        <f t="shared" si="46"/>
        <v>39005_5</v>
      </c>
      <c r="E109" s="4" t="str">
        <f ca="1">VLOOKUP($B109,OFFSET([2]quests!$A$1,0,0,COUNTA([2]quests!$A:$A),MATCH(E$1,[2]quests!$1:$1,0)-MATCH($B$1,[2]quests!$1:$1,0)+1),MATCH(E$1,[2]quests!$1:$1,0)-MATCH($B$1,[2]quests!$1:$1,0)+1,FALSE)</f>
        <v xml:space="preserve">ミクエキスポ </v>
      </c>
      <c r="F109" s="4" t="str">
        <f ca="1">VLOOKUP($D109,OFFSET([2]stages!$A$1,0,0,COUNTA([2]stages!$A:$A),MATCH(F$1,[2]stages!$2:$2,0)-MATCH($D$1,[2]stages!$2:$2,0)+1),MATCH(F$1,[2]stages!$2:$2,0)-MATCH($D$1,[2]stages!$2:$2,0)+1,FALSE)</f>
        <v>【超絶級】ミクエキスポ</v>
      </c>
      <c r="G109" s="96">
        <v>3</v>
      </c>
      <c r="H109" s="15" t="str">
        <f t="shared" si="47"/>
        <v>39005_5-3</v>
      </c>
      <c r="I109" s="4">
        <f ca="1">VLOOKUP($H109,OFFSET(floors!$A$1,0,0,COUNTA(floors!$A:$A),MATCH(I$1,floors!$1:$1,0)-MATCH($H$1,floors!$1:$1,0)+1),MATCH(I$1,floors!$1:$1,0)-MATCH($H$1,floors!$1:$1,0)+1,FALSE)</f>
        <v>60</v>
      </c>
      <c r="J109" s="4">
        <f ca="1">VLOOKUP($H109,OFFSET(floors!$A$1,0,0,COUNTA(floors!$A:$A),MATCH(J$1,floors!$1:$1,0)-MATCH($H$1,floors!$1:$1,0)+1),MATCH(J$1,floors!$1:$1,0)-MATCH($H$1,floors!$1:$1,0)+1,FALSE)</f>
        <v>60</v>
      </c>
      <c r="K109" s="38" t="s">
        <v>53</v>
      </c>
      <c r="L109" s="20">
        <v>83</v>
      </c>
      <c r="M109" s="17" t="str">
        <f ca="1">VLOOKUP($L109,OFFSET([3]enemies!$A$1,0,0,COUNTA([3]enemies!$A:$A),MATCH(M$1,[3]enemies!$1:$1,0)-MATCH($L$1,[3]enemies!$1:$1,0)+1),MATCH(M$1,[3]enemies!$1:$1,0)-MATCH($L$1,[3]enemies!$1:$1,0)+1,FALSE)</f>
        <v>拡散性ニムダ</v>
      </c>
      <c r="N109" s="17" t="str">
        <f ca="1">VLOOKUP($L109,OFFSET([3]enemies!$A$1,0,0,COUNTA([3]enemies!$A:$A),MATCH(N$1,[3]enemies!$1:$1,0)-MATCH($L$1,[3]enemies!$1:$1,0)+1),MATCH(N$1,[3]enemies!$1:$1,0)-MATCH($L$1,[3]enemies!$1:$1,0)+1,FALSE)</f>
        <v>yellow</v>
      </c>
      <c r="O109" s="17" t="str">
        <f ca="1">VLOOKUP($L109,OFFSET([4]characters!$A$1,0,0,COUNTA([4]characters!$A:$A),MATCH(O$1,[4]characters!$1:$1,0)-MATCH($L$1,[4]characters!$1:$1,0)+1),MATCH(O$1,[4]characters!$1:$1,0)-MATCH($L$1,[4]characters!$1:$1,0)+1,FALSE)</f>
        <v>DropWizW</v>
      </c>
      <c r="P109" s="17" t="str">
        <f ca="1">VLOOKUP($L109,OFFSET([3]enemies!$A$1,0,0,COUNTA([3]enemies!$A:$A),MATCH(P$1,[3]enemies!$1:$1,0)-MATCH($L$1,[3]enemies!$1:$1,0)+1),MATCH(P$1,[3]enemies!$1:$1,0)-MATCH($L$1,[3]enemies!$1:$1,0)+1,FALSE)</f>
        <v>unknown</v>
      </c>
      <c r="Q109" s="17">
        <f ca="1">VLOOKUP($L109,OFFSET([3]enemies!$A$1,0,0,COUNTA([3]enemies!$A:$A),MATCH(Q$1,[3]enemies!$1:$1,0)-MATCH($L$1,[3]enemies!$1:$1,0)+1),MATCH(Q$1,[3]enemies!$1:$1,0)-MATCH($L$1,[3]enemies!$1:$1,0)+1,FALSE)</f>
        <v>20</v>
      </c>
      <c r="R109" s="5">
        <v>63</v>
      </c>
      <c r="S109" s="25">
        <v>2</v>
      </c>
      <c r="T109" s="25">
        <v>1</v>
      </c>
      <c r="U109" s="5">
        <v>0</v>
      </c>
      <c r="V109" s="4" t="e">
        <f ca="1">VLOOKUP($W109,OFFSET(enemy_skill_sets!$B$1,0,0,COUNTA(enemy_skill_sets!$B:$B),MATCH(M$1,enemy_skill_sets!$1:$1,0)-MATCH($W$1,enemy_skill_sets!$1:$1,0)+2),MATCH(M$1,enemy_skill_sets!$1:$1,0)-MATCH($W$1,enemy_skill_sets!$1:$1,0)+2,FALSE)</f>
        <v>#N/A</v>
      </c>
      <c r="W109" s="4">
        <f ca="1">VLOOKUP($L109,OFFSET([3]enemies!$A$1,0,0,COUNTA([3]enemies!$A:$A),MATCH(W$1,[3]enemies!$1:$1,0)-MATCH($L$1,[3]enemies!$1:$1,0)+1),MATCH(W$1,[3]enemies!$1:$1,0)-MATCH($L$1,[3]enemies!$1:$1,0)+1,FALSE)</f>
        <v>83</v>
      </c>
      <c r="X109" s="6">
        <v>0</v>
      </c>
      <c r="Y109" s="6">
        <v>30</v>
      </c>
      <c r="Z109" s="6">
        <v>1</v>
      </c>
      <c r="AA109" s="17">
        <v>2</v>
      </c>
      <c r="AB109" s="24">
        <f t="shared" si="48"/>
        <v>83</v>
      </c>
      <c r="AC109" s="4" t="str">
        <f ca="1">VLOOKUP($AB109,OFFSET([4]characters!$A$1,0,0,COUNTA([4]characters!$A:$A),MATCH(AC$1,[4]characters!$1:$1,0)-MATCH("character_id",[4]characters!$1:$1,0)+1),MATCH(AC$1,[4]characters!$1:$1,0)-MATCH("character_id",[4]characters!$1:$1,0)+1,FALSE)</f>
        <v>拡散性ニムダ</v>
      </c>
      <c r="AD109" s="4">
        <f ca="1">VLOOKUP($AB109,OFFSET([4]characters!$A$1,0,0,COUNTA([4]characters!$A:$A),MATCH(AD$1,[4]characters!$1:$1,0)-MATCH("character_id",[4]characters!$1:$1,0)+1),MATCH(AD$1,[4]characters!$1:$1,0)-MATCH("character_id",[4]characters!$1:$1,0)+1,FALSE)</f>
        <v>3</v>
      </c>
      <c r="AE109" s="4" t="str">
        <f ca="1">VLOOKUP($AB109,OFFSET([4]characters!$A$1,0,0,COUNTA([4]characters!$A:$A),MATCH(AE$1,[4]characters!$1:$1,0)-MATCH("character_id",[4]characters!$1:$1,0)+1),MATCH(AE$1,[4]characters!$1:$1,0)-MATCH("character_id",[4]characters!$1:$1,0)+1,FALSE)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09" s="7">
        <v>1</v>
      </c>
      <c r="AG109" s="24">
        <f t="shared" ca="1" si="49"/>
        <v>3</v>
      </c>
      <c r="AH109" s="8">
        <v>20</v>
      </c>
      <c r="AI109" s="7">
        <v>0</v>
      </c>
      <c r="AJ109" s="7">
        <v>0</v>
      </c>
      <c r="AK109" s="7">
        <v>0</v>
      </c>
      <c r="AL109" s="7">
        <v>0</v>
      </c>
      <c r="AM109" s="7">
        <v>1</v>
      </c>
      <c r="AN109" s="69">
        <v>1</v>
      </c>
    </row>
    <row r="110" spans="1:40" ht="21" customHeight="1" x14ac:dyDescent="0.15">
      <c r="A110" s="16" t="str">
        <f t="shared" si="45"/>
        <v>39005_5-4/8030&lt;lv70&gt;s2</v>
      </c>
      <c r="B110" s="22">
        <v>39005</v>
      </c>
      <c r="C110" s="21">
        <v>5</v>
      </c>
      <c r="D110" s="2" t="str">
        <f t="shared" si="46"/>
        <v>39005_5</v>
      </c>
      <c r="E110" s="4" t="str">
        <f ca="1">VLOOKUP($B110,OFFSET([2]quests!$A$1,0,0,COUNTA([2]quests!$A:$A),MATCH(E$1,[2]quests!$1:$1,0)-MATCH($B$1,[2]quests!$1:$1,0)+1),MATCH(E$1,[2]quests!$1:$1,0)-MATCH($B$1,[2]quests!$1:$1,0)+1,FALSE)</f>
        <v xml:space="preserve">ミクエキスポ </v>
      </c>
      <c r="F110" s="4" t="str">
        <f ca="1">VLOOKUP($D110,OFFSET([2]stages!$A$1,0,0,COUNTA([2]stages!$A:$A),MATCH(F$1,[2]stages!$2:$2,0)-MATCH($D$1,[2]stages!$2:$2,0)+1),MATCH(F$1,[2]stages!$2:$2,0)-MATCH($D$1,[2]stages!$2:$2,0)+1,FALSE)</f>
        <v>【超絶級】ミクエキスポ</v>
      </c>
      <c r="G110" s="97">
        <v>4</v>
      </c>
      <c r="H110" s="15" t="str">
        <f t="shared" si="47"/>
        <v>39005_5-4</v>
      </c>
      <c r="I110" s="4">
        <f ca="1">VLOOKUP($H110,OFFSET(floors!$A$1,0,0,COUNTA(floors!$A:$A),MATCH(I$1,floors!$1:$1,0)-MATCH($H$1,floors!$1:$1,0)+1),MATCH(I$1,floors!$1:$1,0)-MATCH($H$1,floors!$1:$1,0)+1,FALSE)</f>
        <v>60</v>
      </c>
      <c r="J110" s="4">
        <f ca="1">VLOOKUP($H110,OFFSET(floors!$A$1,0,0,COUNTA(floors!$A:$A),MATCH(J$1,floors!$1:$1,0)-MATCH($H$1,floors!$1:$1,0)+1),MATCH(J$1,floors!$1:$1,0)-MATCH($H$1,floors!$1:$1,0)+1,FALSE)</f>
        <v>60</v>
      </c>
      <c r="K110" s="38">
        <v>4</v>
      </c>
      <c r="L110" s="20">
        <v>8030</v>
      </c>
      <c r="M110" s="17" t="str">
        <f ca="1">VLOOKUP($L110,OFFSET([3]enemies!$A$1,0,0,COUNTA([3]enemies!$A:$A),MATCH(M$1,[3]enemies!$1:$1,0)-MATCH($L$1,[3]enemies!$1:$1,0)+1),MATCH(M$1,[3]enemies!$1:$1,0)-MATCH($L$1,[3]enemies!$1:$1,0)+1,FALSE)</f>
        <v>CO04_ EV02_R5</v>
      </c>
      <c r="N110" s="17" t="str">
        <f ca="1">VLOOKUP($L110,OFFSET([3]enemies!$A$1,0,0,COUNTA([3]enemies!$A:$A),MATCH(N$1,[3]enemies!$1:$1,0)-MATCH($L$1,[3]enemies!$1:$1,0)+1),MATCH(N$1,[3]enemies!$1:$1,0)-MATCH($L$1,[3]enemies!$1:$1,0)+1,FALSE)</f>
        <v>blue</v>
      </c>
      <c r="O110" s="17" t="str">
        <f ca="1">VLOOKUP($L110,OFFSET([4]characters!$A$1,0,0,COUNTA([4]characters!$A:$A),MATCH(O$1,[4]characters!$1:$1,0)-MATCH($L$1,[4]characters!$1:$1,0)+1),MATCH(O$1,[4]characters!$1:$1,0)-MATCH($L$1,[4]characters!$1:$1,0)+1,FALSE)</f>
        <v>Drop2N</v>
      </c>
      <c r="P110" s="17" t="str">
        <f ca="1">VLOOKUP($L110,OFFSET([3]enemies!$A$1,0,0,COUNTA([3]enemies!$A:$A),MATCH(P$1,[3]enemies!$1:$1,0)-MATCH($L$1,[3]enemies!$1:$1,0)+1),MATCH(P$1,[3]enemies!$1:$1,0)-MATCH($L$1,[3]enemies!$1:$1,0)+1,FALSE)</f>
        <v>unknown</v>
      </c>
      <c r="Q110" s="17">
        <f ca="1">VLOOKUP($L110,OFFSET([3]enemies!$A$1,0,0,COUNTA([3]enemies!$A:$A),MATCH(Q$1,[3]enemies!$1:$1,0)-MATCH($L$1,[3]enemies!$1:$1,0)+1),MATCH(Q$1,[3]enemies!$1:$1,0)-MATCH($L$1,[3]enemies!$1:$1,0)+1,FALSE)</f>
        <v>20</v>
      </c>
      <c r="R110" s="5">
        <v>70</v>
      </c>
      <c r="S110" s="25">
        <v>1.8</v>
      </c>
      <c r="T110" s="25">
        <v>1.1000000000000001</v>
      </c>
      <c r="U110" s="5">
        <v>0</v>
      </c>
      <c r="V110" s="4" t="str">
        <f ca="1">VLOOKUP($W110,OFFSET(enemy_skill_sets!$B$1,0,0,COUNTA(enemy_skill_sets!$B:$B),MATCH(M$1,enemy_skill_sets!$1:$1,0)-MATCH($W$1,enemy_skill_sets!$1:$1,0)+2),MATCH(M$1,enemy_skill_sets!$1:$1,0)-MATCH($W$1,enemy_skill_sets!$1:$1,0)+2,FALSE)</f>
        <v>8ターンの間ハートパネルで回復できない</v>
      </c>
      <c r="W110" s="98">
        <v>39005003</v>
      </c>
      <c r="X110" s="6">
        <v>1</v>
      </c>
      <c r="Y110" s="6">
        <v>100</v>
      </c>
      <c r="Z110" s="6">
        <v>1</v>
      </c>
      <c r="AA110" s="17">
        <v>2</v>
      </c>
      <c r="AB110" s="132">
        <v>8030</v>
      </c>
      <c r="AC110" s="4" t="str">
        <f ca="1">VLOOKUP($AB110,OFFSET([4]characters!$A$1,0,0,COUNTA([4]characters!$A:$A),MATCH(AC$1,[4]characters!$1:$1,0)-MATCH("character_id",[4]characters!$1:$1,0)+1),MATCH(AC$1,[4]characters!$1:$1,0)-MATCH("character_id",[4]characters!$1:$1,0)+1,FALSE)</f>
        <v>CO04_ EV02_R5</v>
      </c>
      <c r="AD110" s="4">
        <f ca="1">VLOOKUP($AB110,OFFSET([4]characters!$A$1,0,0,COUNTA([4]characters!$A:$A),MATCH(AD$1,[4]characters!$1:$1,0)-MATCH("character_id",[4]characters!$1:$1,0)+1),MATCH(AD$1,[4]characters!$1:$1,0)-MATCH("character_id",[4]characters!$1:$1,0)+1,FALSE)</f>
        <v>5</v>
      </c>
      <c r="AE110" s="4" t="str">
        <f ca="1">VLOOKUP($AB110,OFFSET([4]characters!$A$1,0,0,COUNTA([4]characters!$A:$A),MATCH(AE$1,[4]characters!$1:$1,0)-MATCH("character_id",[4]characters!$1:$1,0)+1),MATCH(AE$1,[4]characters!$1:$1,0)-MATCH("character_id",[4]characters!$1:$1,0)+1,FALSE)</f>
        <v>Drop2N</v>
      </c>
      <c r="AF110" s="7">
        <v>1</v>
      </c>
      <c r="AG110" s="24">
        <f t="shared" ca="1" si="49"/>
        <v>5</v>
      </c>
      <c r="AH110" s="131">
        <v>50</v>
      </c>
      <c r="AI110" s="7">
        <v>0</v>
      </c>
      <c r="AJ110" s="7">
        <v>0</v>
      </c>
      <c r="AK110" s="7">
        <v>0</v>
      </c>
      <c r="AL110" s="7">
        <v>0</v>
      </c>
      <c r="AM110" s="7">
        <v>1</v>
      </c>
      <c r="AN110" s="69">
        <v>1</v>
      </c>
    </row>
  </sheetData>
  <sheetProtection selectLockedCells="1" selectUnlockedCells="1"/>
  <autoFilter ref="B1:AH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M5" sqref="M5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39005_5-2/8029&lt;lv65&gt;sq3st2</v>
      </c>
      <c r="B2" s="22">
        <v>39005</v>
      </c>
      <c r="C2" s="21">
        <v>5</v>
      </c>
      <c r="D2" s="2" t="str">
        <f>B2&amp;"_"&amp;C2</f>
        <v>39005_5</v>
      </c>
      <c r="E2" s="4" t="str">
        <f ca="1">VLOOKUP($B2,OFFSET([2]quests!$A$1,0,0,COUNTA([2]quests!$A:$A),MATCH(E$1,[2]quests!$1:$1,0)-MATCH($B$1,[2]quests!$1:$1,0)+1),MATCH(E$1,[2]quests!$1:$1,0)-MATCH($B$1,[2]quests!$1:$1,0)+1,FALSE)</f>
        <v xml:space="preserve">ミクエキスポ 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【超絶級】ミクエキスポ</v>
      </c>
      <c r="G2" s="21">
        <v>2</v>
      </c>
      <c r="H2" s="15" t="str">
        <f>B2&amp;"_"&amp;C2&amp;"-"&amp;G2</f>
        <v>39005_5-2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3</v>
      </c>
      <c r="L2" s="38">
        <v>2</v>
      </c>
      <c r="M2" s="20">
        <v>8029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CO04_ EV01_R4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20</v>
      </c>
      <c r="S2" s="5">
        <v>65</v>
      </c>
      <c r="T2" s="25">
        <v>1.7</v>
      </c>
      <c r="U2" s="25">
        <v>1.2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109">
        <v>39005002</v>
      </c>
      <c r="Y2" s="70">
        <v>1</v>
      </c>
    </row>
    <row r="3" spans="1:25" ht="21" customHeight="1" x14ac:dyDescent="0.15">
      <c r="A3" s="16" t="str">
        <f>B3&amp;"_"&amp;C3&amp;"-"&amp;G3&amp;"/"&amp;M3&amp;"&lt;lv"&amp;S3&amp;"&gt;sq"&amp;K3&amp;"st"&amp;L3</f>
        <v>39005_5-4/8030&lt;lv70&gt;sq4st2</v>
      </c>
      <c r="B3" s="22">
        <v>39005</v>
      </c>
      <c r="C3" s="21">
        <v>5</v>
      </c>
      <c r="D3" s="2" t="str">
        <f>B3&amp;"_"&amp;C3</f>
        <v>39005_5</v>
      </c>
      <c r="E3" s="4" t="str">
        <f ca="1">VLOOKUP($B3,OFFSET([2]quests!$A$1,0,0,COUNTA([2]quests!$A:$A),MATCH(E$1,[2]quests!$1:$1,0)-MATCH($B$1,[2]quests!$1:$1,0)+1),MATCH(E$1,[2]quests!$1:$1,0)-MATCH($B$1,[2]quests!$1:$1,0)+1,FALSE)</f>
        <v xml:space="preserve">ミクエキスポ 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【超絶級】ミクエキスポ</v>
      </c>
      <c r="G3" s="21">
        <v>4</v>
      </c>
      <c r="H3" s="15" t="str">
        <f>B3&amp;"_"&amp;C3&amp;"-"&amp;G3</f>
        <v>39005_5-4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4</v>
      </c>
      <c r="L3" s="38">
        <v>2</v>
      </c>
      <c r="M3" s="20">
        <v>8030</v>
      </c>
      <c r="N3" s="17" t="str">
        <f ca="1">VLOOKUP($M3,OFFSET([3]enemies!$A$1,0,0,COUNTA([3]enemies!$A:$A),MATCH(N$1,[3]enemies!$1:$1,0)-MATCH($M$1,[3]enemies!$1:$1,0)+1),MATCH(N$1,[3]enemies!$1:$1,0)-MATCH($M$1,[3]enemies!$1:$1,0)+1,FALSE)</f>
        <v>CO04_ EV02_R5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20</v>
      </c>
      <c r="S3" s="5">
        <v>70</v>
      </c>
      <c r="T3" s="25">
        <v>1.6</v>
      </c>
      <c r="U3" s="25">
        <v>1.4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109">
        <v>39005004</v>
      </c>
      <c r="Y3" s="70">
        <v>2</v>
      </c>
    </row>
    <row r="4" spans="1:25" ht="21" customHeight="1" x14ac:dyDescent="0.15">
      <c r="A4" s="16" t="str">
        <f>B4&amp;"_"&amp;C4&amp;"-"&amp;G4&amp;"/"&amp;M4&amp;"&lt;lv"&amp;S4&amp;"&gt;sq"&amp;K4&amp;"st"&amp;L4</f>
        <v>39005_5-4/8030&lt;lv70&gt;sq4st3</v>
      </c>
      <c r="B4" s="22">
        <v>39005</v>
      </c>
      <c r="C4" s="21">
        <v>5</v>
      </c>
      <c r="D4" s="2" t="str">
        <f>B4&amp;"_"&amp;C4</f>
        <v>39005_5</v>
      </c>
      <c r="E4" s="4" t="str">
        <f ca="1">VLOOKUP($B4,OFFSET([2]quests!$A$1,0,0,COUNTA([2]quests!$A:$A),MATCH(E$1,[2]quests!$1:$1,0)-MATCH($B$1,[2]quests!$1:$1,0)+1),MATCH(E$1,[2]quests!$1:$1,0)-MATCH($B$1,[2]quests!$1:$1,0)+1,FALSE)</f>
        <v xml:space="preserve">ミクエキスポ 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【超絶級】ミクエキスポ</v>
      </c>
      <c r="G4" s="21">
        <v>4</v>
      </c>
      <c r="H4" s="15" t="str">
        <f>B4&amp;"_"&amp;C4&amp;"-"&amp;G4</f>
        <v>39005_5-4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4</v>
      </c>
      <c r="L4" s="38">
        <v>3</v>
      </c>
      <c r="M4" s="20">
        <v>8030</v>
      </c>
      <c r="N4" s="17" t="str">
        <f ca="1">VLOOKUP($M4,OFFSET([3]enemies!$A$1,0,0,COUNTA([3]enemies!$A:$A),MATCH(N$1,[3]enemies!$1:$1,0)-MATCH($M$1,[3]enemies!$1:$1,0)+1),MATCH(N$1,[3]enemies!$1:$1,0)-MATCH($M$1,[3]enemies!$1:$1,0)+1,FALSE)</f>
        <v>CO04_ EV02_R5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20</v>
      </c>
      <c r="S4" s="5">
        <v>70</v>
      </c>
      <c r="T4" s="25">
        <v>2</v>
      </c>
      <c r="U4" s="25">
        <v>1.3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109">
        <v>39005005</v>
      </c>
      <c r="Y4" s="70">
        <v>1</v>
      </c>
    </row>
  </sheetData>
  <sheetProtection selectLockedCells="1" selectUnlockedCells="1"/>
  <autoFilter ref="B1:Y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79"/>
  <sheetViews>
    <sheetView showGridLines="0" workbookViewId="0">
      <pane ySplit="1" topLeftCell="A44" activePane="bottomLeft" state="frozenSplit"/>
      <selection pane="bottomLeft" activeCell="A25" sqref="A25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98">
        <v>39005001</v>
      </c>
      <c r="B2" s="47" t="s">
        <v>194</v>
      </c>
      <c r="C2" s="50">
        <v>3</v>
      </c>
      <c r="D2" s="50" t="s">
        <v>128</v>
      </c>
      <c r="E2" s="118" t="s">
        <v>323</v>
      </c>
      <c r="F2" s="116" t="s">
        <v>218</v>
      </c>
      <c r="G2" s="63" t="str">
        <f>IFERROR(LEFT(B2,FIND("],",B2)),B2)</f>
        <v>[effect:enhance_enemy, target:enemy_all, turn:3, status:defense, val:3000, calc:add, animation:enemy_enhance_enemy]</v>
      </c>
      <c r="H2" s="63">
        <f>FIND("effect:",G2)+7</f>
        <v>9</v>
      </c>
      <c r="I2" s="63">
        <f>IFERROR(FIND(",",G2),LEN(G2))</f>
        <v>22</v>
      </c>
      <c r="J2" s="63">
        <f>FIND("target:",G2)+7</f>
        <v>31</v>
      </c>
      <c r="K2" s="63">
        <f>FIND(",",G2,I2+1)</f>
        <v>40</v>
      </c>
      <c r="L2" s="63" t="str">
        <f>IFERROR(VLOOKUP(MID(G2,J2,K2-J2),[6]skilldef!$C:$D,2,FALSE),"-") &amp; " / " &amp; IFERROR(VLOOKUP(MID(G2,H2,I2-H2),[6]skilldef!$A:$B,2,FALSE),"-")</f>
        <v>敵全体に / ステータス強化</v>
      </c>
      <c r="M2" s="63" t="str">
        <f>IFERROR(RIGHT(B2,LEN(B2)-FIND("],",B2)-1),"none")</f>
        <v>none</v>
      </c>
      <c r="N2" s="48" t="str">
        <f>IFERROR(LEFT(M2,FIND("],",M2)+S16),M2)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98">
        <v>39005002</v>
      </c>
      <c r="B3" s="47" t="s">
        <v>205</v>
      </c>
      <c r="C3" s="50">
        <v>3</v>
      </c>
      <c r="D3" s="50" t="s">
        <v>128</v>
      </c>
      <c r="E3" s="51" t="s">
        <v>325</v>
      </c>
      <c r="F3" s="51" t="s">
        <v>219</v>
      </c>
      <c r="G3" s="63" t="str">
        <f>IFERROR(LEFT(B3,FIND("],",B3)),B3)</f>
        <v>[effect:rush, count:3, val:0.45]</v>
      </c>
      <c r="H3" s="63">
        <f>FIND("effect:",G3)+7</f>
        <v>9</v>
      </c>
      <c r="I3" s="63">
        <f>IFERROR(FIND(",",G3),LEN(G3))</f>
        <v>13</v>
      </c>
      <c r="J3" s="63" t="e">
        <f>FIND("target:",G3)+7</f>
        <v>#VALUE!</v>
      </c>
      <c r="K3" s="63">
        <f>FIND(",",G3,I3+1)</f>
        <v>22</v>
      </c>
      <c r="L3" s="63" t="str">
        <f>IFERROR(VLOOKUP(MID(G3,J3,K3-J3),[6]skilldef!$C:$D,2,FALSE),"-") &amp; " / " &amp; IFERROR(VLOOKUP(MID(G3,H3,I3-H3),[6]skilldef!$A:$B,2,FALSE),"-")</f>
        <v>- / 連続攻撃</v>
      </c>
      <c r="M3" s="63" t="str">
        <f>IFERROR(RIGHT(B3,LEN(B3)-FIND("],",B3)-1),"none")</f>
        <v>none</v>
      </c>
      <c r="N3" s="48" t="str">
        <f>IFERROR(LEFT(M3,FIND("],",M3)+S17),M3)</f>
        <v>none</v>
      </c>
      <c r="O3" s="63" t="e">
        <f>FIND("effect:",N3)+7</f>
        <v>#VALUE!</v>
      </c>
      <c r="P3" s="63">
        <f>IFERROR(FIND(",",N3),LEN(N3))</f>
        <v>4</v>
      </c>
      <c r="Q3" s="63" t="e">
        <f>FIND("target:",N3)+7</f>
        <v>#VALUE!</v>
      </c>
      <c r="R3" s="63" t="e">
        <f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>IFERROR(RIGHT(M3,LEN(M3)-FIND("],",M3)-1),"none")</f>
        <v>none</v>
      </c>
      <c r="U3" s="63" t="e">
        <f>FIND("effect:",T3)+7</f>
        <v>#VALUE!</v>
      </c>
      <c r="V3" s="63">
        <f>IFERROR(FIND(",",T3),LEN(T3))</f>
        <v>4</v>
      </c>
      <c r="W3" s="63" t="e">
        <f>FIND("target:",T3)+7</f>
        <v>#VALUE!</v>
      </c>
      <c r="X3" s="63" t="e">
        <f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98">
        <v>39005003</v>
      </c>
      <c r="B4" s="47" t="s">
        <v>321</v>
      </c>
      <c r="C4" s="50">
        <v>3</v>
      </c>
      <c r="D4" s="50" t="s">
        <v>128</v>
      </c>
      <c r="E4" s="51" t="s">
        <v>326</v>
      </c>
      <c r="F4" s="51" t="s">
        <v>220</v>
      </c>
      <c r="G4" s="63" t="str">
        <f t="shared" ref="G4:G16" si="0">IFERROR(LEFT(B4,FIND("],",B4)),B4)</f>
        <v>[effect:damage_anti_tribe, target:unit_all, tribe:unknown, val1:0.01, val2:0.38]</v>
      </c>
      <c r="H4" s="63">
        <f t="shared" ref="H4:H27" si="1">FIND("effect:",G4)+7</f>
        <v>9</v>
      </c>
      <c r="I4" s="63">
        <f t="shared" ref="I4:I16" si="2">IFERROR(FIND(",",G4),LEN(G4))</f>
        <v>26</v>
      </c>
      <c r="J4" s="63">
        <f t="shared" ref="J4:J16" si="3">FIND("target:",G4)+7</f>
        <v>35</v>
      </c>
      <c r="K4" s="63">
        <f t="shared" ref="K4:K16" si="4">FIND(",",G4,I4+1)</f>
        <v>43</v>
      </c>
      <c r="L4" s="63" t="str">
        <f>IFERROR(VLOOKUP(MID(G4,J4,K4-J4),[6]skilldef!$C:$D,2,FALSE),"-") &amp; " / " &amp; IFERROR(VLOOKUP(MID(G4,H4,I4-H4),[6]skilldef!$A:$B,2,FALSE),"-")</f>
        <v>味方全体に / 種族キラー</v>
      </c>
      <c r="M4" s="63" t="str">
        <f t="shared" ref="M4:M16" si="5">IFERROR(RIGHT(B4,LEN(B4)-FIND("],",B4)-1),"none")</f>
        <v>none</v>
      </c>
      <c r="N4" s="48" t="str">
        <f>IFERROR(LEFT(M4,FIND("],",M4)+S18),M4)</f>
        <v>none</v>
      </c>
      <c r="O4" s="63" t="e">
        <f t="shared" ref="O4:O27" si="6">FIND("effect:",N4)+7</f>
        <v>#VALUE!</v>
      </c>
      <c r="P4" s="63">
        <f t="shared" ref="P4:P16" si="7">IFERROR(FIND(",",N4),LEN(N4))</f>
        <v>4</v>
      </c>
      <c r="Q4" s="63" t="e">
        <f t="shared" ref="Q4:Q16" si="8">FIND("target:",N4)+7</f>
        <v>#VALUE!</v>
      </c>
      <c r="R4" s="63" t="e">
        <f t="shared" ref="R4:R16" si="9">FIND(",",N4,P4+1)</f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ref="T4:T16" si="10">IFERROR(RIGHT(M4,LEN(M4)-FIND("],",M4)-1),"none")</f>
        <v>none</v>
      </c>
      <c r="U4" s="63" t="e">
        <f t="shared" ref="U4:U27" si="11">FIND("effect:",T4)+7</f>
        <v>#VALUE!</v>
      </c>
      <c r="V4" s="63">
        <f t="shared" ref="V4:V16" si="12">IFERROR(FIND(",",T4),LEN(T4))</f>
        <v>4</v>
      </c>
      <c r="W4" s="63" t="e">
        <f t="shared" ref="W4:W16" si="13">FIND("target:",T4)+7</f>
        <v>#VALUE!</v>
      </c>
      <c r="X4" s="63" t="e">
        <f t="shared" ref="X4:X16" si="14">FIND(",",T4,V4+1)</f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98">
        <v>39005004</v>
      </c>
      <c r="B5" s="47" t="s">
        <v>203</v>
      </c>
      <c r="C5" s="50">
        <v>3</v>
      </c>
      <c r="D5" s="50" t="s">
        <v>128</v>
      </c>
      <c r="E5" s="51" t="s">
        <v>327</v>
      </c>
      <c r="F5" s="51" t="s">
        <v>221</v>
      </c>
      <c r="G5" s="63" t="str">
        <f t="shared" si="0"/>
        <v>[effect:heal, target:enemy_all, val:0.1, animation:enemy_heal]</v>
      </c>
      <c r="H5" s="63">
        <f t="shared" si="1"/>
        <v>9</v>
      </c>
      <c r="I5" s="63">
        <f t="shared" si="2"/>
        <v>13</v>
      </c>
      <c r="J5" s="63">
        <f t="shared" si="3"/>
        <v>22</v>
      </c>
      <c r="K5" s="63">
        <f t="shared" si="4"/>
        <v>31</v>
      </c>
      <c r="L5" s="63" t="str">
        <f>IFERROR(VLOOKUP(MID(G5,J5,K5-J5),[6]skilldef!$C:$D,2,FALSE),"-") &amp; " / " &amp; IFERROR(VLOOKUP(MID(G5,H5,I5-H5),[6]skilldef!$A:$B,2,FALSE),"-")</f>
        <v>敵全体に / 回復</v>
      </c>
      <c r="M5" s="63" t="str">
        <f t="shared" si="5"/>
        <v>[effect:rush, count:1, val:0.8]</v>
      </c>
      <c r="N5" s="48" t="str">
        <f>IFERROR(LEFT(M5,FIND("],",M5)+S19),M5)</f>
        <v>[effect:rush, count:1, val:0.8]</v>
      </c>
      <c r="O5" s="63">
        <f t="shared" si="6"/>
        <v>9</v>
      </c>
      <c r="P5" s="63">
        <f t="shared" si="7"/>
        <v>13</v>
      </c>
      <c r="Q5" s="63" t="e">
        <f t="shared" si="8"/>
        <v>#VALUE!</v>
      </c>
      <c r="R5" s="63">
        <f t="shared" si="9"/>
        <v>22</v>
      </c>
      <c r="S5" s="63" t="str">
        <f>IFERROR(VLOOKUP(MID(N5,Q5,R5-Q5),[6]skilldef!$C:$D,2,FALSE),"-") &amp; " / " &amp; IFERROR(VLOOKUP(MID(N5,O5,P5-O5),[6]skilldef!$A:$B,2,FALSE),"-")</f>
        <v>- / 連続攻撃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107">
        <v>39005005</v>
      </c>
      <c r="B6" s="47" t="s">
        <v>208</v>
      </c>
      <c r="C6" s="50">
        <v>3</v>
      </c>
      <c r="D6" s="50" t="s">
        <v>128</v>
      </c>
      <c r="E6" s="51" t="s">
        <v>328</v>
      </c>
      <c r="F6" s="47" t="s">
        <v>222</v>
      </c>
      <c r="G6" s="63"/>
      <c r="H6" s="63"/>
      <c r="I6" s="63"/>
      <c r="J6" s="63"/>
      <c r="K6" s="63"/>
      <c r="L6" s="63" t="str">
        <f>IFERROR(VLOOKUP(MID(G6,J6,K6-J6),[6]skilldef!$C:$D,2,FALSE),"-") &amp; " / " &amp; IFERROR(VLOOKUP(MID(G6,H6,I6-H6),[6]skilldef!$A:$B,2,FALSE),"-")</f>
        <v>- / -</v>
      </c>
      <c r="M6" s="63" t="str">
        <f t="shared" ref="M6:M14" si="15">IFERROR(RIGHT(B6,LEN(B6)-FIND("],",B6)-1),"none")</f>
        <v>none</v>
      </c>
      <c r="N6" s="48" t="str">
        <f t="shared" ref="N6:N13" si="16">IFERROR(LEFT(M6,FIND("],",M6)+S20),M6)</f>
        <v>none</v>
      </c>
      <c r="O6" s="63" t="e">
        <f t="shared" ref="O6:O14" si="17">FIND("effect:",N6)+7</f>
        <v>#VALUE!</v>
      </c>
      <c r="P6" s="63">
        <f t="shared" ref="P6:P14" si="18">IFERROR(FIND(",",N6),LEN(N6))</f>
        <v>4</v>
      </c>
      <c r="Q6" s="63" t="e">
        <f t="shared" ref="Q6:Q14" si="19">FIND("target:",N6)+7</f>
        <v>#VALUE!</v>
      </c>
      <c r="R6" s="63" t="e">
        <f t="shared" ref="R6:R14" si="20">FIND(",",N6,P6+1)</f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ref="T6:T14" si="21">IFERROR(RIGHT(M6,LEN(M6)-FIND("],",M6)-1),"none")</f>
        <v>none</v>
      </c>
      <c r="U6" s="63" t="e">
        <f t="shared" ref="U6:U14" si="22">FIND("effect:",T6)+7</f>
        <v>#VALUE!</v>
      </c>
      <c r="V6" s="63">
        <f t="shared" ref="V6:V14" si="23">IFERROR(FIND(",",T6),LEN(T6))</f>
        <v>4</v>
      </c>
      <c r="W6" s="63" t="e">
        <f t="shared" ref="W6:W14" si="24">FIND("target:",T6)+7</f>
        <v>#VALUE!</v>
      </c>
      <c r="X6" s="63" t="e">
        <f t="shared" ref="X6:X14" si="25">FIND(",",T6,V6+1)</f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107">
        <v>39005006</v>
      </c>
      <c r="B7" s="47" t="s">
        <v>201</v>
      </c>
      <c r="C7" s="50">
        <v>3</v>
      </c>
      <c r="D7" s="50" t="s">
        <v>128</v>
      </c>
      <c r="E7" s="51" t="s">
        <v>329</v>
      </c>
      <c r="F7" s="116" t="s">
        <v>218</v>
      </c>
      <c r="G7" s="63"/>
      <c r="H7" s="63"/>
      <c r="I7" s="63"/>
      <c r="J7" s="63"/>
      <c r="K7" s="63"/>
      <c r="L7" s="63" t="str">
        <f>IFERROR(VLOOKUP(MID(G7,J7,K7-J7),[6]skilldef!$C:$D,2,FALSE),"-") &amp; " / " &amp; IFERROR(VLOOKUP(MID(G7,H7,I7-H7),[6]skilldef!$A:$B,2,FALSE),"-")</f>
        <v>- / -</v>
      </c>
      <c r="M7" s="63" t="str">
        <f t="shared" si="15"/>
        <v>none</v>
      </c>
      <c r="N7" s="48" t="str">
        <f t="shared" si="16"/>
        <v>none</v>
      </c>
      <c r="O7" s="63" t="e">
        <f t="shared" si="17"/>
        <v>#VALUE!</v>
      </c>
      <c r="P7" s="63">
        <f t="shared" si="18"/>
        <v>4</v>
      </c>
      <c r="Q7" s="63" t="e">
        <f t="shared" si="19"/>
        <v>#VALUE!</v>
      </c>
      <c r="R7" s="63" t="e">
        <f t="shared" si="2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21"/>
        <v>none</v>
      </c>
      <c r="U7" s="63" t="e">
        <f t="shared" si="22"/>
        <v>#VALUE!</v>
      </c>
      <c r="V7" s="63">
        <f t="shared" si="23"/>
        <v>4</v>
      </c>
      <c r="W7" s="63" t="e">
        <f t="shared" si="24"/>
        <v>#VALUE!</v>
      </c>
      <c r="X7" s="63" t="e">
        <f t="shared" si="2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98">
        <v>39005007</v>
      </c>
      <c r="B8" s="47" t="s">
        <v>217</v>
      </c>
      <c r="C8" s="50">
        <v>3</v>
      </c>
      <c r="D8" s="50" t="s">
        <v>128</v>
      </c>
      <c r="E8" s="118" t="s">
        <v>330</v>
      </c>
      <c r="F8" s="47" t="s">
        <v>222</v>
      </c>
      <c r="G8" s="63" t="str">
        <f t="shared" si="0"/>
        <v>[effect:fix_speed, target:myself, turn:1]</v>
      </c>
      <c r="H8" s="63">
        <f t="shared" si="1"/>
        <v>9</v>
      </c>
      <c r="I8" s="63">
        <f t="shared" si="2"/>
        <v>18</v>
      </c>
      <c r="J8" s="63">
        <f t="shared" si="3"/>
        <v>27</v>
      </c>
      <c r="K8" s="63">
        <f t="shared" si="4"/>
        <v>33</v>
      </c>
      <c r="L8" s="63" t="str">
        <f>IFERROR(VLOOKUP(MID(G8,J8,K8-J8),[6]skilldef!$C:$D,2,FALSE),"-") &amp; " / " &amp; IFERROR(VLOOKUP(MID(G8,H8,I8-H8),[6]skilldef!$A:$B,2,FALSE),"-")</f>
        <v>自分自身に / 行動値設定</v>
      </c>
      <c r="M8" s="63" t="str">
        <f t="shared" si="15"/>
        <v>[effect:enhance_enemy, target:enemy_all, turn:3, status:attack, val:0.2, animation:enemy_enhance_enemy]</v>
      </c>
      <c r="N8" s="48" t="str">
        <f t="shared" si="16"/>
        <v>[effect:enhance_enemy, target:enemy_all, turn:3, status:attack, val:0.2, animation:enemy_enhance_enemy]</v>
      </c>
      <c r="O8" s="63">
        <f t="shared" si="17"/>
        <v>9</v>
      </c>
      <c r="P8" s="63">
        <f t="shared" si="18"/>
        <v>22</v>
      </c>
      <c r="Q8" s="63">
        <f t="shared" si="19"/>
        <v>31</v>
      </c>
      <c r="R8" s="63">
        <f t="shared" si="20"/>
        <v>40</v>
      </c>
      <c r="S8" s="63" t="str">
        <f>IFERROR(VLOOKUP(MID(N8,Q8,R8-Q8),[6]skilldef!$C:$D,2,FALSE),"-") &amp; " / " &amp; IFERROR(VLOOKUP(MID(N8,O8,P8-O8),[6]skilldef!$A:$B,2,FALSE),"-")</f>
        <v>敵全体に / ステータス強化</v>
      </c>
      <c r="T8" s="48" t="str">
        <f t="shared" si="21"/>
        <v>none</v>
      </c>
      <c r="U8" s="63" t="e">
        <f t="shared" si="22"/>
        <v>#VALUE!</v>
      </c>
      <c r="V8" s="63">
        <f t="shared" si="23"/>
        <v>4</v>
      </c>
      <c r="W8" s="63" t="e">
        <f t="shared" si="24"/>
        <v>#VALUE!</v>
      </c>
      <c r="X8" s="63" t="e">
        <f t="shared" si="2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98">
        <v>39005008</v>
      </c>
      <c r="B9" s="47" t="s">
        <v>202</v>
      </c>
      <c r="C9" s="50">
        <v>3</v>
      </c>
      <c r="D9" s="50" t="s">
        <v>128</v>
      </c>
      <c r="E9" s="51" t="s">
        <v>324</v>
      </c>
      <c r="F9" s="51" t="s">
        <v>219</v>
      </c>
      <c r="G9" s="63" t="str">
        <f t="shared" si="0"/>
        <v>[effect:rush, count:3, val:0.45]</v>
      </c>
      <c r="H9" s="63">
        <f t="shared" si="1"/>
        <v>9</v>
      </c>
      <c r="I9" s="63">
        <f t="shared" si="2"/>
        <v>13</v>
      </c>
      <c r="J9" s="63" t="e">
        <f t="shared" si="3"/>
        <v>#VALUE!</v>
      </c>
      <c r="K9" s="63">
        <f t="shared" si="4"/>
        <v>22</v>
      </c>
      <c r="L9" s="63" t="str">
        <f>IFERROR(VLOOKUP(MID(G9,J9,K9-J9),[6]skilldef!$C:$D,2,FALSE),"-") &amp; " / " &amp; IFERROR(VLOOKUP(MID(G9,H9,I9-H9),[6]skilldef!$A:$B,2,FALSE),"-")</f>
        <v>- / 連続攻撃</v>
      </c>
      <c r="M9" s="63" t="str">
        <f t="shared" si="15"/>
        <v>none</v>
      </c>
      <c r="N9" s="48" t="str">
        <f t="shared" si="16"/>
        <v>none</v>
      </c>
      <c r="O9" s="63" t="e">
        <f t="shared" si="17"/>
        <v>#VALUE!</v>
      </c>
      <c r="P9" s="63">
        <f t="shared" si="18"/>
        <v>4</v>
      </c>
      <c r="Q9" s="63" t="e">
        <f t="shared" si="19"/>
        <v>#VALUE!</v>
      </c>
      <c r="R9" s="63" t="e">
        <f t="shared" si="2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21"/>
        <v>none</v>
      </c>
      <c r="U9" s="63" t="e">
        <f t="shared" si="22"/>
        <v>#VALUE!</v>
      </c>
      <c r="V9" s="63">
        <f t="shared" si="23"/>
        <v>4</v>
      </c>
      <c r="W9" s="63" t="e">
        <f t="shared" si="24"/>
        <v>#VALUE!</v>
      </c>
      <c r="X9" s="63" t="e">
        <f t="shared" si="2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98">
        <v>39005009</v>
      </c>
      <c r="B10" s="47" t="s">
        <v>207</v>
      </c>
      <c r="C10" s="50">
        <v>3</v>
      </c>
      <c r="D10" s="50" t="s">
        <v>128</v>
      </c>
      <c r="E10" s="51" t="s">
        <v>327</v>
      </c>
      <c r="F10" s="51" t="s">
        <v>221</v>
      </c>
      <c r="G10" s="63" t="str">
        <f t="shared" si="0"/>
        <v>[effect:heal, target:enemy_all, val:0.1, animation:enemy_heal]</v>
      </c>
      <c r="H10" s="63">
        <f t="shared" si="1"/>
        <v>9</v>
      </c>
      <c r="I10" s="63">
        <f t="shared" si="2"/>
        <v>13</v>
      </c>
      <c r="J10" s="63">
        <f t="shared" si="3"/>
        <v>22</v>
      </c>
      <c r="K10" s="63">
        <f t="shared" si="4"/>
        <v>31</v>
      </c>
      <c r="L10" s="63" t="str">
        <f>IFERROR(VLOOKUP(MID(G10,J10,K10-J10),[6]skilldef!$C:$D,2,FALSE),"-") &amp; " / " &amp; IFERROR(VLOOKUP(MID(G10,H10,I10-H10),[6]skilldef!$A:$B,2,FALSE),"-")</f>
        <v>敵全体に / 回復</v>
      </c>
      <c r="M10" s="63" t="str">
        <f t="shared" si="15"/>
        <v>[effect:rush, count:2, val:0.7]</v>
      </c>
      <c r="N10" s="48" t="str">
        <f t="shared" si="16"/>
        <v>[effect:rush, count:2, val:0.7]</v>
      </c>
      <c r="O10" s="63">
        <f t="shared" si="17"/>
        <v>9</v>
      </c>
      <c r="P10" s="63">
        <f t="shared" si="18"/>
        <v>13</v>
      </c>
      <c r="Q10" s="63" t="e">
        <f t="shared" si="19"/>
        <v>#VALUE!</v>
      </c>
      <c r="R10" s="63">
        <f t="shared" si="20"/>
        <v>22</v>
      </c>
      <c r="S10" s="63" t="str">
        <f>IFERROR(VLOOKUP(MID(N10,Q10,R10-Q10),[6]skilldef!$C:$D,2,FALSE),"-") &amp; " / " &amp; IFERROR(VLOOKUP(MID(N10,O10,P10-O10),[6]skilldef!$A:$B,2,FALSE),"-")</f>
        <v>- / 連続攻撃</v>
      </c>
      <c r="T10" s="48" t="str">
        <f t="shared" si="21"/>
        <v>none</v>
      </c>
      <c r="U10" s="63" t="e">
        <f t="shared" si="22"/>
        <v>#VALUE!</v>
      </c>
      <c r="V10" s="63">
        <f t="shared" si="23"/>
        <v>4</v>
      </c>
      <c r="W10" s="63" t="e">
        <f t="shared" si="24"/>
        <v>#VALUE!</v>
      </c>
      <c r="X10" s="63" t="e">
        <f t="shared" si="2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98">
        <v>39005010</v>
      </c>
      <c r="B11" s="47" t="s">
        <v>206</v>
      </c>
      <c r="C11" s="50">
        <v>3</v>
      </c>
      <c r="D11" s="50" t="s">
        <v>128</v>
      </c>
      <c r="E11" s="51" t="s">
        <v>340</v>
      </c>
      <c r="F11" s="47" t="s">
        <v>223</v>
      </c>
      <c r="G11" s="63" t="str">
        <f t="shared" si="0"/>
        <v>[effect:dis_heart, turn:7, rate:1.0, animation:enemy_dis_heart]</v>
      </c>
      <c r="H11" s="63">
        <f t="shared" si="1"/>
        <v>9</v>
      </c>
      <c r="I11" s="63">
        <f t="shared" si="2"/>
        <v>18</v>
      </c>
      <c r="J11" s="63" t="e">
        <f t="shared" si="3"/>
        <v>#VALUE!</v>
      </c>
      <c r="K11" s="63">
        <f t="shared" si="4"/>
        <v>26</v>
      </c>
      <c r="L11" s="63" t="str">
        <f>IFERROR(VLOOKUP(MID(G11,J11,K11-J11),[6]skilldef!$C:$D,2,FALSE),"-") &amp; " / " &amp; IFERROR(VLOOKUP(MID(G11,H11,I11-H11),[6]skilldef!$A:$B,2,FALSE),"-")</f>
        <v>- / ディスハート</v>
      </c>
      <c r="M11" s="63" t="str">
        <f t="shared" si="15"/>
        <v>none</v>
      </c>
      <c r="N11" s="48" t="str">
        <f t="shared" si="16"/>
        <v>none</v>
      </c>
      <c r="O11" s="63" t="e">
        <f t="shared" si="17"/>
        <v>#VALUE!</v>
      </c>
      <c r="P11" s="63">
        <f t="shared" si="18"/>
        <v>4</v>
      </c>
      <c r="Q11" s="63" t="e">
        <f t="shared" si="19"/>
        <v>#VALUE!</v>
      </c>
      <c r="R11" s="63" t="e">
        <f t="shared" si="2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21"/>
        <v>none</v>
      </c>
      <c r="U11" s="63" t="e">
        <f t="shared" si="22"/>
        <v>#VALUE!</v>
      </c>
      <c r="V11" s="63">
        <f t="shared" si="23"/>
        <v>4</v>
      </c>
      <c r="W11" s="63" t="e">
        <f t="shared" si="24"/>
        <v>#VALUE!</v>
      </c>
      <c r="X11" s="63" t="e">
        <f t="shared" si="2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107">
        <v>39005011</v>
      </c>
      <c r="B12" s="47" t="s">
        <v>199</v>
      </c>
      <c r="C12" s="50">
        <v>3</v>
      </c>
      <c r="D12" s="50" t="s">
        <v>128</v>
      </c>
      <c r="E12" s="51" t="s">
        <v>331</v>
      </c>
      <c r="F12" s="51" t="s">
        <v>221</v>
      </c>
      <c r="G12" s="63"/>
      <c r="H12" s="63"/>
      <c r="I12" s="63"/>
      <c r="J12" s="63"/>
      <c r="K12" s="63"/>
      <c r="L12" s="63" t="str">
        <f>IFERROR(VLOOKUP(MID(G12,J12,K12-J12),[6]skilldef!$C:$D,2,FALSE),"-") &amp; " / " &amp; IFERROR(VLOOKUP(MID(G12,H12,I12-H12),[6]skilldef!$A:$B,2,FALSE),"-")</f>
        <v>- / -</v>
      </c>
      <c r="M12" s="63" t="str">
        <f t="shared" si="15"/>
        <v>none</v>
      </c>
      <c r="N12" s="48" t="str">
        <f t="shared" si="16"/>
        <v>none</v>
      </c>
      <c r="O12" s="63" t="e">
        <f t="shared" si="17"/>
        <v>#VALUE!</v>
      </c>
      <c r="P12" s="63">
        <f t="shared" si="18"/>
        <v>4</v>
      </c>
      <c r="Q12" s="63" t="e">
        <f t="shared" si="19"/>
        <v>#VALUE!</v>
      </c>
      <c r="R12" s="63" t="e">
        <f t="shared" si="20"/>
        <v>#VALUE!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21"/>
        <v>none</v>
      </c>
      <c r="U12" s="63" t="e">
        <f t="shared" si="22"/>
        <v>#VALUE!</v>
      </c>
      <c r="V12" s="63">
        <f t="shared" si="23"/>
        <v>4</v>
      </c>
      <c r="W12" s="63" t="e">
        <f t="shared" si="24"/>
        <v>#VALUE!</v>
      </c>
      <c r="X12" s="63" t="e">
        <f t="shared" si="25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107">
        <v>39005012</v>
      </c>
      <c r="B13" s="47" t="s">
        <v>200</v>
      </c>
      <c r="C13" s="50">
        <v>3</v>
      </c>
      <c r="D13" s="50" t="s">
        <v>128</v>
      </c>
      <c r="E13" s="51" t="s">
        <v>332</v>
      </c>
      <c r="F13" s="51" t="s">
        <v>228</v>
      </c>
      <c r="G13" s="63"/>
      <c r="H13" s="63"/>
      <c r="I13" s="63"/>
      <c r="J13" s="63"/>
      <c r="K13" s="63"/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si="15"/>
        <v>none</v>
      </c>
      <c r="N13" s="48" t="str">
        <f t="shared" si="16"/>
        <v>none</v>
      </c>
      <c r="O13" s="63" t="e">
        <f t="shared" si="17"/>
        <v>#VALUE!</v>
      </c>
      <c r="P13" s="63">
        <f t="shared" si="18"/>
        <v>4</v>
      </c>
      <c r="Q13" s="63" t="e">
        <f t="shared" si="19"/>
        <v>#VALUE!</v>
      </c>
      <c r="R13" s="63" t="e">
        <f t="shared" si="20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21"/>
        <v>none</v>
      </c>
      <c r="U13" s="63" t="e">
        <f t="shared" si="22"/>
        <v>#VALUE!</v>
      </c>
      <c r="V13" s="63">
        <f t="shared" si="23"/>
        <v>4</v>
      </c>
      <c r="W13" s="63" t="e">
        <f t="shared" si="24"/>
        <v>#VALUE!</v>
      </c>
      <c r="X13" s="63" t="e">
        <f t="shared" si="2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99">
        <v>39005013</v>
      </c>
      <c r="B14" s="47" t="s">
        <v>196</v>
      </c>
      <c r="C14" s="50">
        <v>3</v>
      </c>
      <c r="D14" s="50" t="s">
        <v>128</v>
      </c>
      <c r="E14" s="118" t="s">
        <v>333</v>
      </c>
      <c r="F14" s="47" t="s">
        <v>224</v>
      </c>
      <c r="G14" s="63" t="str">
        <f t="shared" si="0"/>
        <v>[effect:dis_heart, turn:8, rate:1.0, animation:enemy_dis_heart]</v>
      </c>
      <c r="H14" s="63">
        <f t="shared" si="1"/>
        <v>9</v>
      </c>
      <c r="I14" s="63">
        <f t="shared" si="2"/>
        <v>18</v>
      </c>
      <c r="J14" s="63" t="e">
        <f t="shared" si="3"/>
        <v>#VALUE!</v>
      </c>
      <c r="K14" s="63">
        <f t="shared" si="4"/>
        <v>26</v>
      </c>
      <c r="L14" s="63" t="str">
        <f>IFERROR(VLOOKUP(MID(G14,J14,K14-J14),[6]skilldef!$C:$D,2,FALSE),"-") &amp; " / " &amp; IFERROR(VLOOKUP(MID(G14,H14,I14-H14),[6]skilldef!$A:$B,2,FALSE),"-")</f>
        <v>- / ディスハート</v>
      </c>
      <c r="M14" s="63" t="str">
        <f t="shared" si="15"/>
        <v>none</v>
      </c>
      <c r="N14" s="48" t="str">
        <f>IFERROR(LEFT(M14,FIND("],",M14)+#REF!),M14)</f>
        <v>none</v>
      </c>
      <c r="O14" s="63" t="e">
        <f t="shared" si="17"/>
        <v>#VALUE!</v>
      </c>
      <c r="P14" s="63">
        <f t="shared" si="18"/>
        <v>4</v>
      </c>
      <c r="Q14" s="63" t="e">
        <f t="shared" si="19"/>
        <v>#VALUE!</v>
      </c>
      <c r="R14" s="63" t="e">
        <f t="shared" si="2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21"/>
        <v>none</v>
      </c>
      <c r="U14" s="63" t="e">
        <f t="shared" si="22"/>
        <v>#VALUE!</v>
      </c>
      <c r="V14" s="63">
        <f t="shared" si="23"/>
        <v>4</v>
      </c>
      <c r="W14" s="63" t="e">
        <f t="shared" si="24"/>
        <v>#VALUE!</v>
      </c>
      <c r="X14" s="63" t="e">
        <f t="shared" si="2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99">
        <v>39005014</v>
      </c>
      <c r="B15" s="47" t="s">
        <v>204</v>
      </c>
      <c r="C15" s="50">
        <v>3</v>
      </c>
      <c r="D15" s="50" t="s">
        <v>128</v>
      </c>
      <c r="E15" s="51" t="s">
        <v>334</v>
      </c>
      <c r="F15" s="51" t="s">
        <v>225</v>
      </c>
      <c r="G15" s="63" t="str">
        <f t="shared" si="0"/>
        <v>[effect:degrade_unit, target:unit_all, turn:3, status:heal, val:1, calc:mul, animation:degrade_unit_all_heal]</v>
      </c>
      <c r="H15" s="63">
        <f t="shared" si="1"/>
        <v>9</v>
      </c>
      <c r="I15" s="63">
        <f t="shared" si="2"/>
        <v>21</v>
      </c>
      <c r="J15" s="63">
        <f t="shared" si="3"/>
        <v>30</v>
      </c>
      <c r="K15" s="63">
        <f t="shared" si="4"/>
        <v>38</v>
      </c>
      <c r="L15" s="63" t="str">
        <f>IFERROR(VLOOKUP(MID(G15,J15,K15-J15),[6]skilldef!$C:$D,2,FALSE),"-") &amp; " / " &amp; IFERROR(VLOOKUP(MID(G15,H15,I15-H15),[6]skilldef!$A:$B,2,FALSE),"-")</f>
        <v>味方全体に / ステータスDOWN</v>
      </c>
      <c r="M15" s="63" t="str">
        <f t="shared" si="5"/>
        <v>[effect:rush, count:1, val:0.8]</v>
      </c>
      <c r="N15" s="48" t="str">
        <f t="shared" ref="N15:N16" si="26">IFERROR(LEFT(M15,FIND("],",M15)+S25),M15)</f>
        <v>[effect:rush, count:1, val:0.8]</v>
      </c>
      <c r="O15" s="63">
        <f t="shared" si="6"/>
        <v>9</v>
      </c>
      <c r="P15" s="63">
        <f t="shared" si="7"/>
        <v>13</v>
      </c>
      <c r="Q15" s="63" t="e">
        <f t="shared" si="8"/>
        <v>#VALUE!</v>
      </c>
      <c r="R15" s="63">
        <f t="shared" si="9"/>
        <v>22</v>
      </c>
      <c r="S15" s="63" t="str">
        <f>IFERROR(VLOOKUP(MID(N15,Q15,R15-Q15),[6]skilldef!$C:$D,2,FALSE),"-") &amp; " / " &amp; IFERROR(VLOOKUP(MID(N15,O15,P15-O15),[6]skilldef!$A:$B,2,FALSE),"-")</f>
        <v>- / 連続攻撃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99">
        <v>39005015</v>
      </c>
      <c r="B16" s="47" t="s">
        <v>210</v>
      </c>
      <c r="C16" s="50">
        <v>3</v>
      </c>
      <c r="D16" s="50" t="s">
        <v>128</v>
      </c>
      <c r="E16" s="51" t="s">
        <v>335</v>
      </c>
      <c r="F16" s="47" t="s">
        <v>226</v>
      </c>
      <c r="G16" s="63" t="str">
        <f t="shared" si="0"/>
        <v>[effect:spread, val:0.35, animation:enemy_spread]</v>
      </c>
      <c r="H16" s="63">
        <f t="shared" si="1"/>
        <v>9</v>
      </c>
      <c r="I16" s="63">
        <f t="shared" si="2"/>
        <v>15</v>
      </c>
      <c r="J16" s="63" t="e">
        <f t="shared" si="3"/>
        <v>#VALUE!</v>
      </c>
      <c r="K16" s="63">
        <f t="shared" si="4"/>
        <v>25</v>
      </c>
      <c r="L16" s="63" t="str">
        <f>IFERROR(VLOOKUP(MID(G16,J16,K16-J16),[6]skilldef!$C:$D,2,FALSE),"-") &amp; " / " &amp; IFERROR(VLOOKUP(MID(G16,H16,I16-H16),[6]skilldef!$A:$B,2,FALSE),"-")</f>
        <v>- / 全体攻撃</v>
      </c>
      <c r="M16" s="63" t="str">
        <f t="shared" si="5"/>
        <v>none</v>
      </c>
      <c r="N16" s="48" t="str">
        <f t="shared" si="26"/>
        <v>none</v>
      </c>
      <c r="O16" s="63" t="e">
        <f t="shared" si="6"/>
        <v>#VALUE!</v>
      </c>
      <c r="P16" s="63">
        <f t="shared" si="7"/>
        <v>4</v>
      </c>
      <c r="Q16" s="63" t="e">
        <f t="shared" si="8"/>
        <v>#VALUE!</v>
      </c>
      <c r="R16" s="63" t="e">
        <f t="shared" si="9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99">
        <v>39005016</v>
      </c>
      <c r="B17" s="47" t="s">
        <v>209</v>
      </c>
      <c r="C17" s="50">
        <v>3</v>
      </c>
      <c r="D17" s="50" t="s">
        <v>128</v>
      </c>
      <c r="E17" s="51" t="s">
        <v>336</v>
      </c>
      <c r="F17" s="47" t="s">
        <v>222</v>
      </c>
      <c r="G17" s="63" t="str">
        <f t="shared" ref="G17:G24" si="27">IFERROR(LEFT(B17,FIND("],",B17)),B17)</f>
        <v>[effect:enhance_enemy, target:enemy_all, turn:3, status:attack, val:0.3, animation:enemy_enhance_enemy]</v>
      </c>
      <c r="H17" s="63">
        <f t="shared" si="1"/>
        <v>9</v>
      </c>
      <c r="I17" s="63">
        <f t="shared" ref="I17:I24" si="28">IFERROR(FIND(",",G17),LEN(G17))</f>
        <v>22</v>
      </c>
      <c r="J17" s="63">
        <f t="shared" ref="J17:J24" si="29">FIND("target:",G17)+7</f>
        <v>31</v>
      </c>
      <c r="K17" s="63">
        <f t="shared" ref="K17:K24" si="30">FIND(",",G17,I17+1)</f>
        <v>40</v>
      </c>
      <c r="L17" s="63" t="str">
        <f>IFERROR(VLOOKUP(MID(G17,J17,K17-J17),[6]skilldef!$C:$D,2,FALSE),"-") &amp; " / " &amp; IFERROR(VLOOKUP(MID(G17,H17,I17-H17),[6]skilldef!$A:$B,2,FALSE),"-")</f>
        <v>敵全体に / ステータス強化</v>
      </c>
      <c r="M17" s="63" t="str">
        <f t="shared" ref="M17:M24" si="31">IFERROR(RIGHT(B17,LEN(B17)-FIND("],",B17)-1),"none")</f>
        <v>[effect:rush, count:2, val:0.6]</v>
      </c>
      <c r="N17" s="48" t="str">
        <f t="shared" ref="N17" si="32">IFERROR(LEFT(M17,FIND("],",M17)+S27),M17)</f>
        <v>[effect:rush, count:2, val:0.6]</v>
      </c>
      <c r="O17" s="63">
        <f t="shared" si="6"/>
        <v>9</v>
      </c>
      <c r="P17" s="63">
        <f t="shared" ref="P17:P24" si="33">IFERROR(FIND(",",N17),LEN(N17))</f>
        <v>13</v>
      </c>
      <c r="Q17" s="63" t="e">
        <f t="shared" ref="Q17:Q24" si="34">FIND("target:",N17)+7</f>
        <v>#VALUE!</v>
      </c>
      <c r="R17" s="63">
        <f t="shared" ref="R17:R24" si="35">FIND(",",N17,P17+1)</f>
        <v>22</v>
      </c>
      <c r="S17" s="63" t="str">
        <f>IFERROR(VLOOKUP(MID(N17,Q17,R17-Q17),[6]skilldef!$C:$D,2,FALSE),"-") &amp; " / " &amp; IFERROR(VLOOKUP(MID(N17,O17,P17-O17),[6]skilldef!$A:$B,2,FALSE),"-")</f>
        <v>- / 連続攻撃</v>
      </c>
      <c r="T17" s="48" t="str">
        <f t="shared" ref="T17:T24" si="36">IFERROR(RIGHT(M17,LEN(M17)-FIND("],",M17)-1),"none")</f>
        <v>none</v>
      </c>
      <c r="U17" s="63" t="e">
        <f t="shared" si="11"/>
        <v>#VALUE!</v>
      </c>
      <c r="V17" s="63">
        <f t="shared" ref="V17:V24" si="37">IFERROR(FIND(",",T17),LEN(T17))</f>
        <v>4</v>
      </c>
      <c r="W17" s="63" t="e">
        <f t="shared" ref="W17:W24" si="38">FIND("target:",T17)+7</f>
        <v>#VALUE!</v>
      </c>
      <c r="X17" s="63" t="e">
        <f t="shared" ref="X17:X24" si="39">FIND(",",T17,V17+1)</f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104">
        <v>39005017</v>
      </c>
      <c r="B18" s="47" t="s">
        <v>190</v>
      </c>
      <c r="C18" s="50">
        <v>3</v>
      </c>
      <c r="D18" s="50" t="s">
        <v>191</v>
      </c>
      <c r="E18" s="100" t="s">
        <v>337</v>
      </c>
      <c r="F18" s="101" t="s">
        <v>215</v>
      </c>
      <c r="G18" s="63" t="str">
        <f t="shared" si="27"/>
        <v>[effect:critical, val:0.6, animation:enemy_critical]</v>
      </c>
      <c r="H18" s="63">
        <f t="shared" si="1"/>
        <v>9</v>
      </c>
      <c r="I18" s="63">
        <f t="shared" si="28"/>
        <v>17</v>
      </c>
      <c r="J18" s="63" t="e">
        <f t="shared" si="29"/>
        <v>#VALUE!</v>
      </c>
      <c r="K18" s="63">
        <f t="shared" si="30"/>
        <v>26</v>
      </c>
      <c r="L18" s="63" t="str">
        <f>IFERROR(VLOOKUP(MID(G18,J18,K18-J18),[6]skilldef!$C:$D,2,FALSE),"-") &amp; " / " &amp; IFERROR(VLOOKUP(MID(G18,H18,I18-H18),[6]skilldef!$A:$B,2,FALSE),"-")</f>
        <v>- / 大攻撃</v>
      </c>
      <c r="M18" s="63" t="str">
        <f t="shared" si="31"/>
        <v>none</v>
      </c>
      <c r="N18" s="48" t="str">
        <f>IFERROR(LEFT(M18,FIND("],",M18)+#REF!),M18)</f>
        <v>none</v>
      </c>
      <c r="O18" s="63" t="e">
        <f t="shared" si="6"/>
        <v>#VALUE!</v>
      </c>
      <c r="P18" s="63">
        <f t="shared" si="33"/>
        <v>4</v>
      </c>
      <c r="Q18" s="63" t="e">
        <f t="shared" si="34"/>
        <v>#VALUE!</v>
      </c>
      <c r="R18" s="63" t="e">
        <f t="shared" si="35"/>
        <v>#VALUE!</v>
      </c>
      <c r="S18" s="63" t="str">
        <f>IFERROR(VLOOKUP(MID(N18,Q18,R18-Q18),[6]skilldef!$C:$D,2,FALSE),"-") &amp; " / " &amp; IFERROR(VLOOKUP(MID(N18,O18,P18-O18),[6]skilldef!$A:$B,2,FALSE),"-")</f>
        <v>- / -</v>
      </c>
      <c r="T18" s="48" t="str">
        <f t="shared" si="36"/>
        <v>none</v>
      </c>
      <c r="U18" s="63" t="e">
        <f t="shared" si="11"/>
        <v>#VALUE!</v>
      </c>
      <c r="V18" s="63">
        <f t="shared" si="37"/>
        <v>4</v>
      </c>
      <c r="W18" s="63" t="e">
        <f t="shared" si="38"/>
        <v>#VALUE!</v>
      </c>
      <c r="X18" s="63" t="e">
        <f t="shared" si="39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104">
        <v>39005018</v>
      </c>
      <c r="B19" s="47" t="s">
        <v>193</v>
      </c>
      <c r="C19" s="50">
        <v>3</v>
      </c>
      <c r="D19" s="50" t="s">
        <v>191</v>
      </c>
      <c r="E19" s="100" t="s">
        <v>338</v>
      </c>
      <c r="F19" s="103" t="s">
        <v>192</v>
      </c>
      <c r="G19" s="63" t="str">
        <f t="shared" si="27"/>
        <v>[effect:critical, val:1.0, animation:enemy_critical]</v>
      </c>
      <c r="H19" s="63">
        <f t="shared" si="1"/>
        <v>9</v>
      </c>
      <c r="I19" s="63">
        <f t="shared" si="28"/>
        <v>17</v>
      </c>
      <c r="J19" s="63" t="e">
        <f t="shared" si="29"/>
        <v>#VALUE!</v>
      </c>
      <c r="K19" s="63">
        <f t="shared" si="30"/>
        <v>26</v>
      </c>
      <c r="L19" s="63" t="str">
        <f>IFERROR(VLOOKUP(MID(G19,J19,K19-J19),[6]skilldef!$C:$D,2,FALSE),"-") &amp; " / " &amp; IFERROR(VLOOKUP(MID(G19,H19,I19-H19),[6]skilldef!$A:$B,2,FALSE),"-")</f>
        <v>- / 大攻撃</v>
      </c>
      <c r="M19" s="63" t="str">
        <f t="shared" si="31"/>
        <v>none</v>
      </c>
      <c r="N19" s="48" t="str">
        <f>IFERROR(LEFT(M19,FIND("],",M19)+S28),M19)</f>
        <v>none</v>
      </c>
      <c r="O19" s="63" t="e">
        <f t="shared" si="6"/>
        <v>#VALUE!</v>
      </c>
      <c r="P19" s="63">
        <f t="shared" si="33"/>
        <v>4</v>
      </c>
      <c r="Q19" s="63" t="e">
        <f t="shared" si="34"/>
        <v>#VALUE!</v>
      </c>
      <c r="R19" s="63" t="e">
        <f t="shared" si="35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36"/>
        <v>none</v>
      </c>
      <c r="U19" s="63" t="e">
        <f t="shared" si="11"/>
        <v>#VALUE!</v>
      </c>
      <c r="V19" s="63">
        <f t="shared" si="37"/>
        <v>4</v>
      </c>
      <c r="W19" s="63" t="e">
        <f t="shared" si="38"/>
        <v>#VALUE!</v>
      </c>
      <c r="X19" s="63" t="e">
        <f t="shared" si="39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104">
        <v>39005019</v>
      </c>
      <c r="B20" s="47" t="s">
        <v>211</v>
      </c>
      <c r="C20" s="50">
        <v>3</v>
      </c>
      <c r="D20" s="50" t="s">
        <v>191</v>
      </c>
      <c r="E20" s="100" t="s">
        <v>338</v>
      </c>
      <c r="F20" s="103" t="s">
        <v>192</v>
      </c>
      <c r="G20" s="63" t="str">
        <f t="shared" si="27"/>
        <v>[effect:critical, val:1.3, animation:enemy_critical]</v>
      </c>
      <c r="H20" s="63">
        <f t="shared" si="1"/>
        <v>9</v>
      </c>
      <c r="I20" s="63">
        <f t="shared" si="28"/>
        <v>17</v>
      </c>
      <c r="J20" s="63" t="e">
        <f t="shared" si="29"/>
        <v>#VALUE!</v>
      </c>
      <c r="K20" s="63">
        <f t="shared" si="30"/>
        <v>26</v>
      </c>
      <c r="L20" s="63" t="str">
        <f>IFERROR(VLOOKUP(MID(G20,J20,K20-J20),[6]skilldef!$C:$D,2,FALSE),"-") &amp; " / " &amp; IFERROR(VLOOKUP(MID(G20,H20,I20-H20),[6]skilldef!$A:$B,2,FALSE),"-")</f>
        <v>- / 大攻撃</v>
      </c>
      <c r="M20" s="63" t="str">
        <f t="shared" si="31"/>
        <v>none</v>
      </c>
      <c r="N20" s="48" t="str">
        <f>IFERROR(LEFT(M20,FIND("],",M20)+#REF!),M20)</f>
        <v>none</v>
      </c>
      <c r="O20" s="63" t="e">
        <f t="shared" si="6"/>
        <v>#VALUE!</v>
      </c>
      <c r="P20" s="63">
        <f t="shared" si="33"/>
        <v>4</v>
      </c>
      <c r="Q20" s="63" t="e">
        <f t="shared" si="34"/>
        <v>#VALUE!</v>
      </c>
      <c r="R20" s="63" t="e">
        <f t="shared" si="35"/>
        <v>#VALUE!</v>
      </c>
      <c r="S20" s="63" t="str">
        <f>IFERROR(VLOOKUP(MID(N20,Q20,R20-Q20),[6]skilldef!$C:$D,2,FALSE),"-") &amp; " / " &amp; IFERROR(VLOOKUP(MID(N20,O20,P20-O20),[6]skilldef!$A:$B,2,FALSE),"-")</f>
        <v>- / -</v>
      </c>
      <c r="T20" s="48" t="str">
        <f t="shared" si="36"/>
        <v>none</v>
      </c>
      <c r="U20" s="63" t="e">
        <f t="shared" si="11"/>
        <v>#VALUE!</v>
      </c>
      <c r="V20" s="63">
        <f t="shared" si="37"/>
        <v>4</v>
      </c>
      <c r="W20" s="63" t="e">
        <f t="shared" si="38"/>
        <v>#VALUE!</v>
      </c>
      <c r="X20" s="63" t="e">
        <f t="shared" si="39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104">
        <v>39005020</v>
      </c>
      <c r="B21" s="47" t="s">
        <v>212</v>
      </c>
      <c r="C21" s="50">
        <v>3</v>
      </c>
      <c r="D21" s="50" t="s">
        <v>191</v>
      </c>
      <c r="E21" s="100" t="s">
        <v>339</v>
      </c>
      <c r="F21" s="103" t="s">
        <v>192</v>
      </c>
      <c r="G21" s="63" t="str">
        <f t="shared" si="27"/>
        <v>[effect:critical, val:1.6, animation:enemy_critical]</v>
      </c>
      <c r="H21" s="63">
        <f t="shared" si="1"/>
        <v>9</v>
      </c>
      <c r="I21" s="63">
        <f t="shared" si="28"/>
        <v>17</v>
      </c>
      <c r="J21" s="63" t="e">
        <f t="shared" si="29"/>
        <v>#VALUE!</v>
      </c>
      <c r="K21" s="63">
        <f t="shared" si="30"/>
        <v>26</v>
      </c>
      <c r="L21" s="63" t="str">
        <f>IFERROR(VLOOKUP(MID(G21,J21,K21-J21),[6]skilldef!$C:$D,2,FALSE),"-") &amp; " / " &amp; IFERROR(VLOOKUP(MID(G21,H21,I21-H21),[6]skilldef!$A:$B,2,FALSE),"-")</f>
        <v>- / 大攻撃</v>
      </c>
      <c r="M21" s="63" t="str">
        <f t="shared" si="31"/>
        <v>none</v>
      </c>
      <c r="N21" s="48" t="str">
        <f>IFERROR(LEFT(M21,FIND("],",M21)+#REF!),M21)</f>
        <v>none</v>
      </c>
      <c r="O21" s="63" t="e">
        <f t="shared" si="6"/>
        <v>#VALUE!</v>
      </c>
      <c r="P21" s="63">
        <f t="shared" si="33"/>
        <v>4</v>
      </c>
      <c r="Q21" s="63" t="e">
        <f t="shared" si="34"/>
        <v>#VALUE!</v>
      </c>
      <c r="R21" s="63" t="e">
        <f t="shared" si="35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36"/>
        <v>none</v>
      </c>
      <c r="U21" s="63" t="e">
        <f t="shared" si="11"/>
        <v>#VALUE!</v>
      </c>
      <c r="V21" s="63">
        <f t="shared" si="37"/>
        <v>4</v>
      </c>
      <c r="W21" s="63" t="e">
        <f t="shared" si="38"/>
        <v>#VALUE!</v>
      </c>
      <c r="X21" s="63" t="e">
        <f t="shared" si="39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104">
        <v>39005021</v>
      </c>
      <c r="B22" s="47" t="s">
        <v>227</v>
      </c>
      <c r="C22" s="50">
        <v>3</v>
      </c>
      <c r="D22" s="50" t="s">
        <v>128</v>
      </c>
      <c r="E22" s="51" t="s">
        <v>341</v>
      </c>
      <c r="F22" s="51" t="s">
        <v>238</v>
      </c>
      <c r="G22" s="63" t="str">
        <f t="shared" si="27"/>
        <v>[effect:change_panel_ratio, turn:3, block_type:heal, val:0]</v>
      </c>
      <c r="H22" s="63">
        <f t="shared" si="1"/>
        <v>9</v>
      </c>
      <c r="I22" s="63">
        <f t="shared" si="28"/>
        <v>27</v>
      </c>
      <c r="J22" s="63" t="e">
        <f t="shared" si="29"/>
        <v>#VALUE!</v>
      </c>
      <c r="K22" s="63">
        <f t="shared" si="30"/>
        <v>35</v>
      </c>
      <c r="L22" s="63" t="str">
        <f>IFERROR(VLOOKUP(MID(G22,J22,K22-J22),[6]skilldef!$C:$D,2,FALSE),"-") &amp; " / " &amp; IFERROR(VLOOKUP(MID(G22,H22,I22-H22),[6]skilldef!$A:$B,2,FALSE),"-")</f>
        <v>- / -</v>
      </c>
      <c r="M22" s="63" t="str">
        <f t="shared" si="31"/>
        <v>[effect:degrade_unit, target:unit_all, turn:3, status:heal, val:1.0, calc:mul, animation:degrade_unit_all_heal]</v>
      </c>
      <c r="N22" s="48" t="str">
        <f>IFERROR(LEFT(M22,FIND("],",M22)+#REF!),M22)</f>
        <v>[effect:degrade_unit, target:unit_all, turn:3, status:heal, val:1.0, calc:mul, animation:degrade_unit_all_heal]</v>
      </c>
      <c r="O22" s="63">
        <f t="shared" si="6"/>
        <v>9</v>
      </c>
      <c r="P22" s="63">
        <f t="shared" si="33"/>
        <v>21</v>
      </c>
      <c r="Q22" s="63">
        <f t="shared" si="34"/>
        <v>30</v>
      </c>
      <c r="R22" s="63">
        <f t="shared" si="35"/>
        <v>38</v>
      </c>
      <c r="S22" s="63" t="str">
        <f>IFERROR(VLOOKUP(MID(N22,Q22,R22-Q22),[6]skilldef!$C:$D,2,FALSE),"-") &amp; " / " &amp; IFERROR(VLOOKUP(MID(N22,O22,P22-O22),[6]skilldef!$A:$B,2,FALSE),"-")</f>
        <v>味方全体に / ステータスDOWN</v>
      </c>
      <c r="T22" s="48" t="str">
        <f t="shared" si="36"/>
        <v>none</v>
      </c>
      <c r="U22" s="63" t="e">
        <f t="shared" si="11"/>
        <v>#VALUE!</v>
      </c>
      <c r="V22" s="63">
        <f t="shared" si="37"/>
        <v>4</v>
      </c>
      <c r="W22" s="63" t="e">
        <f t="shared" si="38"/>
        <v>#VALUE!</v>
      </c>
      <c r="X22" s="63" t="e">
        <f t="shared" si="39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21" customHeight="1" x14ac:dyDescent="0.15">
      <c r="A23" s="104">
        <v>39005022</v>
      </c>
      <c r="B23" s="47" t="s">
        <v>198</v>
      </c>
      <c r="C23" s="50">
        <v>3</v>
      </c>
      <c r="D23" s="50" t="s">
        <v>128</v>
      </c>
      <c r="E23" s="118" t="s">
        <v>342</v>
      </c>
      <c r="F23" s="51" t="s">
        <v>229</v>
      </c>
      <c r="G23" s="63" t="str">
        <f t="shared" si="27"/>
        <v>[effect:freq_turn, target:myself, turn:-1, val:1, animation:enemy_freq_turn]</v>
      </c>
      <c r="H23" s="63">
        <f t="shared" si="1"/>
        <v>9</v>
      </c>
      <c r="I23" s="63">
        <f t="shared" si="28"/>
        <v>18</v>
      </c>
      <c r="J23" s="63">
        <f t="shared" si="29"/>
        <v>27</v>
      </c>
      <c r="K23" s="63">
        <f t="shared" si="30"/>
        <v>33</v>
      </c>
      <c r="L23" s="63" t="str">
        <f>IFERROR(VLOOKUP(MID(G23,J23,K23-J23),[6]skilldef!$C:$D,2,FALSE),"-") &amp; " / " &amp; IFERROR(VLOOKUP(MID(G23,H23,I23-H23),[6]skilldef!$A:$B,2,FALSE),"-")</f>
        <v>自分自身に / 攻撃頻度がUP</v>
      </c>
      <c r="M23" s="63" t="str">
        <f t="shared" si="31"/>
        <v>none</v>
      </c>
      <c r="N23" s="48" t="str">
        <f>IFERROR(LEFT(M23,FIND("],",M23)+#REF!),M23)</f>
        <v>none</v>
      </c>
      <c r="O23" s="63" t="e">
        <f t="shared" si="6"/>
        <v>#VALUE!</v>
      </c>
      <c r="P23" s="63">
        <f t="shared" si="33"/>
        <v>4</v>
      </c>
      <c r="Q23" s="63" t="e">
        <f t="shared" si="34"/>
        <v>#VALUE!</v>
      </c>
      <c r="R23" s="63" t="e">
        <f t="shared" si="35"/>
        <v>#VALUE!</v>
      </c>
      <c r="S23" s="63" t="str">
        <f>IFERROR(VLOOKUP(MID(N23,Q23,R23-Q23),[6]skilldef!$C:$D,2,FALSE),"-") &amp; " / " &amp; IFERROR(VLOOKUP(MID(N23,O23,P23-O23),[6]skilldef!$A:$B,2,FALSE),"-")</f>
        <v>- / -</v>
      </c>
      <c r="T23" s="48" t="str">
        <f t="shared" si="36"/>
        <v>none</v>
      </c>
      <c r="U23" s="63" t="e">
        <f t="shared" si="11"/>
        <v>#VALUE!</v>
      </c>
      <c r="V23" s="63">
        <f t="shared" si="37"/>
        <v>4</v>
      </c>
      <c r="W23" s="63" t="e">
        <f t="shared" si="38"/>
        <v>#VALUE!</v>
      </c>
      <c r="X23" s="63" t="e">
        <f t="shared" si="39"/>
        <v>#VALUE!</v>
      </c>
      <c r="Y23" s="63" t="str">
        <f>IFERROR(VLOOKUP(MID(T23,W23,X23-W23),[6]skilldef!$C:$D,2,FALSE),"-") &amp; " / " &amp; IFERROR(VLOOKUP(MID(T23,U23,V23-U23),[6]skilldef!$A:$B,2,FALSE),"-")</f>
        <v>- / -</v>
      </c>
      <c r="Z23" s="50"/>
      <c r="AA23" s="52"/>
      <c r="AB23" s="50"/>
    </row>
    <row r="24" spans="1:28" ht="21" customHeight="1" x14ac:dyDescent="0.15">
      <c r="A24" s="105">
        <v>39005023</v>
      </c>
      <c r="B24" s="47" t="s">
        <v>213</v>
      </c>
      <c r="C24" s="50">
        <v>3</v>
      </c>
      <c r="D24" s="50" t="s">
        <v>128</v>
      </c>
      <c r="E24" s="51" t="s">
        <v>343</v>
      </c>
      <c r="F24" s="51" t="s">
        <v>216</v>
      </c>
      <c r="G24" s="63" t="str">
        <f t="shared" si="27"/>
        <v>[effect:critical, val:1.7.0, animation:enemy_critical]</v>
      </c>
      <c r="H24" s="63">
        <f t="shared" si="1"/>
        <v>9</v>
      </c>
      <c r="I24" s="63">
        <f t="shared" si="28"/>
        <v>17</v>
      </c>
      <c r="J24" s="63" t="e">
        <f t="shared" si="29"/>
        <v>#VALUE!</v>
      </c>
      <c r="K24" s="63">
        <f t="shared" si="30"/>
        <v>28</v>
      </c>
      <c r="L24" s="63" t="str">
        <f>IFERROR(VLOOKUP(MID(G24,J24,K24-J24),[6]skilldef!$C:$D,2,FALSE),"-") &amp; " / " &amp; IFERROR(VLOOKUP(MID(G24,H24,I24-H24),[6]skilldef!$A:$B,2,FALSE),"-")</f>
        <v>- / 大攻撃</v>
      </c>
      <c r="M24" s="63" t="str">
        <f t="shared" si="31"/>
        <v>none</v>
      </c>
      <c r="N24" s="48" t="str">
        <f>IFERROR(LEFT(M24,FIND("],",M24)+#REF!),M24)</f>
        <v>none</v>
      </c>
      <c r="O24" s="63" t="e">
        <f t="shared" si="6"/>
        <v>#VALUE!</v>
      </c>
      <c r="P24" s="63">
        <f t="shared" si="33"/>
        <v>4</v>
      </c>
      <c r="Q24" s="63" t="e">
        <f t="shared" si="34"/>
        <v>#VALUE!</v>
      </c>
      <c r="R24" s="63" t="e">
        <f t="shared" si="35"/>
        <v>#VALUE!</v>
      </c>
      <c r="S24" s="63" t="str">
        <f>IFERROR(VLOOKUP(MID(N24,Q24,R24-Q24),[6]skilldef!$C:$D,2,FALSE),"-") &amp; " / " &amp; IFERROR(VLOOKUP(MID(N24,O24,P24-O24),[6]skilldef!$A:$B,2,FALSE),"-")</f>
        <v>- / -</v>
      </c>
      <c r="T24" s="48" t="str">
        <f t="shared" si="36"/>
        <v>none</v>
      </c>
      <c r="U24" s="63" t="e">
        <f t="shared" si="11"/>
        <v>#VALUE!</v>
      </c>
      <c r="V24" s="63">
        <f t="shared" si="37"/>
        <v>4</v>
      </c>
      <c r="W24" s="63" t="e">
        <f t="shared" si="38"/>
        <v>#VALUE!</v>
      </c>
      <c r="X24" s="63" t="e">
        <f t="shared" si="39"/>
        <v>#VALUE!</v>
      </c>
      <c r="Y24" s="63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105">
        <v>39005024</v>
      </c>
      <c r="B25" s="47" t="s">
        <v>322</v>
      </c>
      <c r="C25" s="50">
        <v>3</v>
      </c>
      <c r="D25" s="50" t="s">
        <v>191</v>
      </c>
      <c r="E25" s="121" t="s">
        <v>344</v>
      </c>
      <c r="F25" s="51" t="s">
        <v>220</v>
      </c>
      <c r="G25" s="63" t="str">
        <f t="shared" ref="G25:G27" si="40">IFERROR(LEFT(B25,FIND("],",B25)),B25)</f>
        <v>[effect:damage_anti_tribe, target:unit_all, tribe:unknown, val1:0.01, val2:0.42]</v>
      </c>
      <c r="H25" s="63">
        <f t="shared" si="1"/>
        <v>9</v>
      </c>
      <c r="I25" s="63">
        <f t="shared" ref="I25:I27" si="41">IFERROR(FIND(",",G25),LEN(G25))</f>
        <v>26</v>
      </c>
      <c r="J25" s="63">
        <f t="shared" ref="J25:J27" si="42">FIND("target:",G25)+7</f>
        <v>35</v>
      </c>
      <c r="K25" s="63">
        <f t="shared" ref="K25:K27" si="43">FIND(",",G25,I25+1)</f>
        <v>43</v>
      </c>
      <c r="L25" s="63" t="str">
        <f>IFERROR(VLOOKUP(MID(G25,J25,K25-J25),[6]skilldef!$C:$D,2,FALSE),"-") &amp; " / " &amp; IFERROR(VLOOKUP(MID(G25,H25,I25-H25),[6]skilldef!$A:$B,2,FALSE),"-")</f>
        <v>味方全体に / 種族キラー</v>
      </c>
      <c r="M25" s="63" t="str">
        <f t="shared" ref="M25:M27" si="44">IFERROR(RIGHT(B25,LEN(B25)-FIND("],",B25)-1),"none")</f>
        <v>none</v>
      </c>
      <c r="N25" s="48" t="str">
        <f>IFERROR(LEFT(M25,FIND("],",M25)+#REF!),M25)</f>
        <v>none</v>
      </c>
      <c r="O25" s="63" t="e">
        <f t="shared" si="6"/>
        <v>#VALUE!</v>
      </c>
      <c r="P25" s="63">
        <f t="shared" ref="P25:P27" si="45">IFERROR(FIND(",",N25),LEN(N25))</f>
        <v>4</v>
      </c>
      <c r="Q25" s="63" t="e">
        <f t="shared" ref="Q25:Q27" si="46">FIND("target:",N25)+7</f>
        <v>#VALUE!</v>
      </c>
      <c r="R25" s="63" t="e">
        <f t="shared" ref="R25:R27" si="47">FIND(",",N25,P25+1)</f>
        <v>#VALUE!</v>
      </c>
      <c r="S25" s="63" t="str">
        <f>IFERROR(VLOOKUP(MID(N25,Q25,R25-Q25),[6]skilldef!$C:$D,2,FALSE),"-") &amp; " / " &amp; IFERROR(VLOOKUP(MID(N25,O25,P25-O25),[6]skilldef!$A:$B,2,FALSE),"-")</f>
        <v>- / -</v>
      </c>
      <c r="T25" s="48" t="str">
        <f t="shared" ref="T25:T27" si="48">IFERROR(RIGHT(M25,LEN(M25)-FIND("],",M25)-1),"none")</f>
        <v>none</v>
      </c>
      <c r="U25" s="63" t="e">
        <f t="shared" si="11"/>
        <v>#VALUE!</v>
      </c>
      <c r="V25" s="63">
        <f t="shared" ref="V25:V27" si="49">IFERROR(FIND(",",T25),LEN(T25))</f>
        <v>4</v>
      </c>
      <c r="W25" s="63" t="e">
        <f t="shared" ref="W25:W27" si="50">FIND("target:",T25)+7</f>
        <v>#VALUE!</v>
      </c>
      <c r="X25" s="63" t="e">
        <f t="shared" ref="X25:X27" si="51">FIND(",",T25,V25+1)</f>
        <v>#VALUE!</v>
      </c>
      <c r="Y25" s="63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105">
        <v>39005025</v>
      </c>
      <c r="B26" s="47" t="s">
        <v>230</v>
      </c>
      <c r="C26" s="50">
        <v>3</v>
      </c>
      <c r="D26" s="50" t="s">
        <v>191</v>
      </c>
      <c r="E26" s="102" t="s">
        <v>345</v>
      </c>
      <c r="F26" s="116" t="s">
        <v>231</v>
      </c>
      <c r="G26" s="63" t="str">
        <f t="shared" si="40"/>
        <v>[effect:enhance_enemy, target:enemy_all, turn:5, status:defense, val:6000, calc:add, animation:enemy_enhance_enemy]</v>
      </c>
      <c r="H26" s="63">
        <f t="shared" si="1"/>
        <v>9</v>
      </c>
      <c r="I26" s="63">
        <f t="shared" si="41"/>
        <v>22</v>
      </c>
      <c r="J26" s="63">
        <f t="shared" si="42"/>
        <v>31</v>
      </c>
      <c r="K26" s="63">
        <f t="shared" si="43"/>
        <v>40</v>
      </c>
      <c r="L26" s="63" t="str">
        <f>IFERROR(VLOOKUP(MID(G26,J26,K26-J26),[6]skilldef!$C:$D,2,FALSE),"-") &amp; " / " &amp; IFERROR(VLOOKUP(MID(G26,H26,I26-H26),[6]skilldef!$A:$B,2,FALSE),"-")</f>
        <v>敵全体に / ステータス強化</v>
      </c>
      <c r="M26" s="63" t="str">
        <f t="shared" si="44"/>
        <v>[effect:rush, count:4, val:0.35]</v>
      </c>
      <c r="N26" s="48" t="str">
        <f>IFERROR(LEFT(M26,FIND("],",M26)+#REF!),M26)</f>
        <v>[effect:rush, count:4, val:0.35]</v>
      </c>
      <c r="O26" s="63">
        <f t="shared" si="6"/>
        <v>9</v>
      </c>
      <c r="P26" s="63">
        <f t="shared" si="45"/>
        <v>13</v>
      </c>
      <c r="Q26" s="63" t="e">
        <f t="shared" si="46"/>
        <v>#VALUE!</v>
      </c>
      <c r="R26" s="63">
        <f t="shared" si="47"/>
        <v>22</v>
      </c>
      <c r="S26" s="63" t="str">
        <f>IFERROR(VLOOKUP(MID(N26,Q26,R26-Q26),[6]skilldef!$C:$D,2,FALSE),"-") &amp; " / " &amp; IFERROR(VLOOKUP(MID(N26,O26,P26-O26),[6]skilldef!$A:$B,2,FALSE),"-")</f>
        <v>- / 連続攻撃</v>
      </c>
      <c r="T26" s="48" t="str">
        <f t="shared" si="48"/>
        <v>none</v>
      </c>
      <c r="U26" s="63" t="e">
        <f t="shared" si="11"/>
        <v>#VALUE!</v>
      </c>
      <c r="V26" s="63">
        <f t="shared" si="49"/>
        <v>4</v>
      </c>
      <c r="W26" s="63" t="e">
        <f t="shared" si="50"/>
        <v>#VALUE!</v>
      </c>
      <c r="X26" s="63" t="e">
        <f t="shared" si="51"/>
        <v>#VALUE!</v>
      </c>
      <c r="Y26" s="63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105">
        <v>39005026</v>
      </c>
      <c r="B27" s="47" t="s">
        <v>214</v>
      </c>
      <c r="C27" s="50">
        <v>3</v>
      </c>
      <c r="D27" s="50" t="s">
        <v>128</v>
      </c>
      <c r="E27" s="51" t="s">
        <v>346</v>
      </c>
      <c r="F27" s="51" t="s">
        <v>232</v>
      </c>
      <c r="G27" s="63" t="str">
        <f t="shared" si="40"/>
        <v>[effect:guard_break, target:unit_one, turn:1, val:1.0, calc:mul, animation:guard_break01]</v>
      </c>
      <c r="H27" s="63">
        <f t="shared" si="1"/>
        <v>9</v>
      </c>
      <c r="I27" s="63">
        <f t="shared" si="41"/>
        <v>20</v>
      </c>
      <c r="J27" s="63">
        <f t="shared" si="42"/>
        <v>29</v>
      </c>
      <c r="K27" s="63">
        <f t="shared" si="43"/>
        <v>37</v>
      </c>
      <c r="L27" s="63" t="str">
        <f>IFERROR(VLOOKUP(MID(G27,J27,K27-J27),[6]skilldef!$C:$D,2,FALSE),"-") &amp; " / " &amp; IFERROR(VLOOKUP(MID(G27,H27,I27-H27),[6]skilldef!$A:$B,2,FALSE),"-")</f>
        <v>味方単体に / -</v>
      </c>
      <c r="M27" s="63" t="str">
        <f t="shared" si="44"/>
        <v>[effect:rush, count:2, val:0.6]</v>
      </c>
      <c r="N27" s="48" t="str">
        <f>IFERROR(LEFT(M27,FIND("],",M27)+#REF!),M27)</f>
        <v>[effect:rush, count:2, val:0.6]</v>
      </c>
      <c r="O27" s="63">
        <f t="shared" si="6"/>
        <v>9</v>
      </c>
      <c r="P27" s="63">
        <f t="shared" si="45"/>
        <v>13</v>
      </c>
      <c r="Q27" s="63" t="e">
        <f t="shared" si="46"/>
        <v>#VALUE!</v>
      </c>
      <c r="R27" s="63">
        <f t="shared" si="47"/>
        <v>22</v>
      </c>
      <c r="S27" s="63" t="str">
        <f>IFERROR(VLOOKUP(MID(N27,Q27,R27-Q27),[6]skilldef!$C:$D,2,FALSE),"-") &amp; " / " &amp; IFERROR(VLOOKUP(MID(N27,O27,P27-O27),[6]skilldef!$A:$B,2,FALSE),"-")</f>
        <v>- / 連続攻撃</v>
      </c>
      <c r="T27" s="48" t="str">
        <f t="shared" si="48"/>
        <v>none</v>
      </c>
      <c r="U27" s="63" t="e">
        <f t="shared" si="11"/>
        <v>#VALUE!</v>
      </c>
      <c r="V27" s="63">
        <f t="shared" si="49"/>
        <v>4</v>
      </c>
      <c r="W27" s="63" t="e">
        <f t="shared" si="50"/>
        <v>#VALUE!</v>
      </c>
      <c r="X27" s="63" t="e">
        <f t="shared" si="51"/>
        <v>#VALUE!</v>
      </c>
      <c r="Y27" s="63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105">
        <v>39005027</v>
      </c>
      <c r="B28" s="47" t="s">
        <v>320</v>
      </c>
      <c r="C28" s="50">
        <v>3</v>
      </c>
      <c r="D28" s="50" t="s">
        <v>128</v>
      </c>
      <c r="E28" s="118" t="s">
        <v>237</v>
      </c>
      <c r="F28" s="51" t="s">
        <v>233</v>
      </c>
      <c r="G28" s="63" t="str">
        <f t="shared" ref="G28" si="52">IFERROR(LEFT(B28,FIND("],",B28)),B28)</f>
        <v>[effect:fix_speed, target:myself, turn:1]</v>
      </c>
      <c r="H28" s="63">
        <f t="shared" ref="H28" si="53">FIND("effect:",G28)+7</f>
        <v>9</v>
      </c>
      <c r="I28" s="63">
        <f t="shared" ref="I28" si="54">IFERROR(FIND(",",G28),LEN(G28))</f>
        <v>18</v>
      </c>
      <c r="J28" s="63">
        <f t="shared" ref="J28" si="55">FIND("target:",G28)+7</f>
        <v>27</v>
      </c>
      <c r="K28" s="63">
        <f t="shared" ref="K28" si="56">FIND(",",G28,I28+1)</f>
        <v>33</v>
      </c>
      <c r="L28" s="63" t="str">
        <f>IFERROR(VLOOKUP(MID(G28,J28,K28-J28),[6]skilldef!$C:$D,2,FALSE),"-") &amp; " / " &amp; IFERROR(VLOOKUP(MID(G28,H28,I28-H28),[6]skilldef!$A:$B,2,FALSE),"-")</f>
        <v>自分自身に / 行動値設定</v>
      </c>
      <c r="M28" s="63" t="str">
        <f t="shared" ref="M28" si="57">IFERROR(RIGHT(B28,LEN(B28)-FIND("],",B28)-1),"none")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animation:enemy_tolerance],[effect:degrade_fever, val:1000, animation:fevergauge_down]</v>
      </c>
      <c r="N28" s="48" t="str">
        <f>IFERROR(LEFT(M28,FIND("],",M28)+#REF!),M28)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animation:enemy_tolerance],[effect:degrade_fever, val:1000, animation:fevergauge_down]</v>
      </c>
      <c r="O28" s="63">
        <f t="shared" ref="O28" si="58">FIND("effect:",N28)+7</f>
        <v>9</v>
      </c>
      <c r="P28" s="63">
        <f t="shared" ref="P28" si="59">IFERROR(FIND(",",N28),LEN(N28))</f>
        <v>18</v>
      </c>
      <c r="Q28" s="63">
        <f t="shared" ref="Q28" si="60">FIND("target:",N28)+7</f>
        <v>27</v>
      </c>
      <c r="R28" s="63">
        <f t="shared" ref="R28" si="61">FIND(",",N28,P28+1)</f>
        <v>33</v>
      </c>
      <c r="S28" s="63" t="str">
        <f>IFERROR(VLOOKUP(MID(N28,Q28,R28-Q28),[6]skilldef!$C:$D,2,FALSE),"-") &amp; " / " &amp; IFERROR(VLOOKUP(MID(N28,O28,P28-O28),[6]skilldef!$A:$B,2,FALSE),"-")</f>
        <v>自分自身に / 状態異常耐性</v>
      </c>
      <c r="T28" s="48" t="str">
        <f t="shared" ref="T28" si="62">IFERROR(RIGHT(M28,LEN(M28)-FIND("],",M28)-1),"none")</f>
        <v>[effect:tolerance, target:myself, turn:-1, tolerance_effect:virus, count:-1],[effect:tolerance, target:myself, turn:-1, tolerance_effect:sleep, count:-1, animation:enemy_tolerance],[effect:degrade_fever, val:1000, animation:fevergauge_down]</v>
      </c>
      <c r="U28" s="63">
        <f t="shared" ref="U28" si="63">FIND("effect:",T28)+7</f>
        <v>9</v>
      </c>
      <c r="V28" s="63">
        <f t="shared" ref="V28" si="64">IFERROR(FIND(",",T28),LEN(T28))</f>
        <v>18</v>
      </c>
      <c r="W28" s="63">
        <f t="shared" ref="W28" si="65">FIND("target:",T28)+7</f>
        <v>27</v>
      </c>
      <c r="X28" s="63">
        <f t="shared" ref="X28" si="66">FIND(",",T28,V28+1)</f>
        <v>33</v>
      </c>
      <c r="Y28" s="63" t="str">
        <f>IFERROR(VLOOKUP(MID(T28,W28,X28-W28),[6]skilldef!$C:$D,2,FALSE),"-") &amp; " / " &amp; IFERROR(VLOOKUP(MID(T28,U28,V28-U28),[6]skilldef!$A:$B,2,FALSE),"-")</f>
        <v>自分自身に / 状態異常耐性</v>
      </c>
      <c r="Z28" s="50"/>
      <c r="AA28" s="52"/>
      <c r="AB28" s="50"/>
    </row>
    <row r="29" spans="1:28" ht="21" customHeight="1" x14ac:dyDescent="0.15">
      <c r="A29" s="113">
        <v>39005028</v>
      </c>
      <c r="B29" s="47" t="s">
        <v>239</v>
      </c>
      <c r="C29" s="50">
        <v>3</v>
      </c>
      <c r="D29" s="50" t="s">
        <v>128</v>
      </c>
      <c r="E29" s="51" t="s">
        <v>235</v>
      </c>
      <c r="F29" s="51" t="s">
        <v>347</v>
      </c>
      <c r="G29" s="63" t="str">
        <f t="shared" ref="G29:G54" si="67">IFERROR(LEFT(B29,FIND("],",B29)),B29)</f>
        <v>[effect:change_block, new_block:block_heart, target:block_all, count:5, val:0, animation:change_block]</v>
      </c>
      <c r="H29" s="63">
        <f t="shared" ref="H29:H54" si="68">FIND("effect:",G29)+7</f>
        <v>9</v>
      </c>
      <c r="I29" s="63">
        <f t="shared" ref="I29:I54" si="69">IFERROR(FIND(",",G29),LEN(G29))</f>
        <v>21</v>
      </c>
      <c r="J29" s="63">
        <f t="shared" ref="J29:J54" si="70">FIND("target:",G29)+7</f>
        <v>53</v>
      </c>
      <c r="K29" s="63">
        <f t="shared" ref="K29:K54" si="71">FIND(",",G29,I29+1)</f>
        <v>44</v>
      </c>
      <c r="L29" s="63" t="str">
        <f>IFERROR(VLOOKUP(MID(G29,J29,K29-J29),[6]skilldef!$C:$D,2,FALSE),"-") &amp; " / " &amp; IFERROR(VLOOKUP(MID(G29,H29,I29-H29),[6]skilldef!$A:$B,2,FALSE),"-")</f>
        <v>- / ブロック変換</v>
      </c>
      <c r="M29" s="63" t="str">
        <f t="shared" ref="M29:M54" si="72">IFERROR(RIGHT(B29,LEN(B29)-FIND("],",B29)-1),"none")</f>
        <v>none</v>
      </c>
      <c r="N29" s="48" t="str">
        <f>IFERROR(LEFT(M29,FIND("],",M29)+#REF!),M29)</f>
        <v>none</v>
      </c>
      <c r="O29" s="63" t="e">
        <f t="shared" ref="O29:O54" si="73">FIND("effect:",N29)+7</f>
        <v>#VALUE!</v>
      </c>
      <c r="P29" s="63">
        <f t="shared" ref="P29:P54" si="74">IFERROR(FIND(",",N29),LEN(N29))</f>
        <v>4</v>
      </c>
      <c r="Q29" s="63" t="e">
        <f t="shared" ref="Q29:Q54" si="75">FIND("target:",N29)+7</f>
        <v>#VALUE!</v>
      </c>
      <c r="R29" s="63" t="e">
        <f t="shared" ref="R29:R54" si="76">FIND(",",N29,P29+1)</f>
        <v>#VALUE!</v>
      </c>
      <c r="S29" s="63" t="str">
        <f>IFERROR(VLOOKUP(MID(N29,Q29,R29-Q29),[6]skilldef!$C:$D,2,FALSE),"-") &amp; " / " &amp; IFERROR(VLOOKUP(MID(N29,O29,P29-O29),[6]skilldef!$A:$B,2,FALSE),"-")</f>
        <v>- / -</v>
      </c>
      <c r="T29" s="48" t="str">
        <f t="shared" ref="T29:T54" si="77">IFERROR(RIGHT(M29,LEN(M29)-FIND("],",M29)-1),"none")</f>
        <v>none</v>
      </c>
      <c r="U29" s="63" t="e">
        <f t="shared" ref="U29:U54" si="78">FIND("effect:",T29)+7</f>
        <v>#VALUE!</v>
      </c>
      <c r="V29" s="63">
        <f t="shared" ref="V29:V54" si="79">IFERROR(FIND(",",T29),LEN(T29))</f>
        <v>4</v>
      </c>
      <c r="W29" s="63" t="e">
        <f t="shared" ref="W29:W54" si="80">FIND("target:",T29)+7</f>
        <v>#VALUE!</v>
      </c>
      <c r="X29" s="63" t="e">
        <f t="shared" ref="X29:X54" si="81">FIND(",",T29,V29+1)</f>
        <v>#VALUE!</v>
      </c>
      <c r="Y29" s="63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21" customHeight="1" x14ac:dyDescent="0.15">
      <c r="A30" s="113">
        <v>39005029</v>
      </c>
      <c r="B30" s="47" t="s">
        <v>239</v>
      </c>
      <c r="C30" s="50">
        <v>3</v>
      </c>
      <c r="D30" s="50" t="s">
        <v>128</v>
      </c>
      <c r="E30" s="51" t="s">
        <v>235</v>
      </c>
      <c r="F30" s="51" t="s">
        <v>347</v>
      </c>
      <c r="G30" s="63" t="str">
        <f t="shared" si="67"/>
        <v>[effect:change_block, new_block:block_heart, target:block_all, count:5, val:0, animation:change_block]</v>
      </c>
      <c r="H30" s="63">
        <f t="shared" si="68"/>
        <v>9</v>
      </c>
      <c r="I30" s="63">
        <f t="shared" si="69"/>
        <v>21</v>
      </c>
      <c r="J30" s="63">
        <f t="shared" si="70"/>
        <v>53</v>
      </c>
      <c r="K30" s="63">
        <f t="shared" si="71"/>
        <v>44</v>
      </c>
      <c r="L30" s="63" t="str">
        <f>IFERROR(VLOOKUP(MID(G30,J30,K30-J30),[6]skilldef!$C:$D,2,FALSE),"-") &amp; " / " &amp; IFERROR(VLOOKUP(MID(G30,H30,I30-H30),[6]skilldef!$A:$B,2,FALSE),"-")</f>
        <v>- / ブロック変換</v>
      </c>
      <c r="M30" s="63" t="str">
        <f t="shared" si="72"/>
        <v>none</v>
      </c>
      <c r="N30" s="48" t="str">
        <f>IFERROR(LEFT(M30,FIND("],",M30)+#REF!),M30)</f>
        <v>none</v>
      </c>
      <c r="O30" s="63" t="e">
        <f t="shared" si="73"/>
        <v>#VALUE!</v>
      </c>
      <c r="P30" s="63">
        <f t="shared" si="74"/>
        <v>4</v>
      </c>
      <c r="Q30" s="63" t="e">
        <f t="shared" si="75"/>
        <v>#VALUE!</v>
      </c>
      <c r="R30" s="63" t="e">
        <f t="shared" si="76"/>
        <v>#VALUE!</v>
      </c>
      <c r="S30" s="63" t="str">
        <f>IFERROR(VLOOKUP(MID(N30,Q30,R30-Q30),[6]skilldef!$C:$D,2,FALSE),"-") &amp; " / " &amp; IFERROR(VLOOKUP(MID(N30,O30,P30-O30),[6]skilldef!$A:$B,2,FALSE),"-")</f>
        <v>- / -</v>
      </c>
      <c r="T30" s="48" t="str">
        <f t="shared" si="77"/>
        <v>none</v>
      </c>
      <c r="U30" s="63" t="e">
        <f t="shared" si="78"/>
        <v>#VALUE!</v>
      </c>
      <c r="V30" s="63">
        <f t="shared" si="79"/>
        <v>4</v>
      </c>
      <c r="W30" s="63" t="e">
        <f t="shared" si="80"/>
        <v>#VALUE!</v>
      </c>
      <c r="X30" s="63" t="e">
        <f t="shared" si="81"/>
        <v>#VALUE!</v>
      </c>
      <c r="Y30" s="63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21" customHeight="1" x14ac:dyDescent="0.15">
      <c r="A31" s="113">
        <v>39005030</v>
      </c>
      <c r="B31" s="47" t="s">
        <v>239</v>
      </c>
      <c r="C31" s="50">
        <v>3</v>
      </c>
      <c r="D31" s="50" t="s">
        <v>128</v>
      </c>
      <c r="E31" s="51" t="s">
        <v>235</v>
      </c>
      <c r="F31" s="51" t="s">
        <v>347</v>
      </c>
      <c r="G31" s="63" t="str">
        <f t="shared" si="67"/>
        <v>[effect:change_block, new_block:block_heart, target:block_all, count:5, val:0, animation:change_block]</v>
      </c>
      <c r="H31" s="63">
        <f t="shared" si="68"/>
        <v>9</v>
      </c>
      <c r="I31" s="63">
        <f t="shared" si="69"/>
        <v>21</v>
      </c>
      <c r="J31" s="63">
        <f t="shared" si="70"/>
        <v>53</v>
      </c>
      <c r="K31" s="63">
        <f t="shared" si="71"/>
        <v>44</v>
      </c>
      <c r="L31" s="63" t="str">
        <f>IFERROR(VLOOKUP(MID(G31,J31,K31-J31),[6]skilldef!$C:$D,2,FALSE),"-") &amp; " / " &amp; IFERROR(VLOOKUP(MID(G31,H31,I31-H31),[6]skilldef!$A:$B,2,FALSE),"-")</f>
        <v>- / ブロック変換</v>
      </c>
      <c r="M31" s="63" t="str">
        <f t="shared" si="72"/>
        <v>none</v>
      </c>
      <c r="N31" s="48" t="str">
        <f>IFERROR(LEFT(M31,FIND("],",M31)+#REF!),M31)</f>
        <v>none</v>
      </c>
      <c r="O31" s="63" t="e">
        <f t="shared" si="73"/>
        <v>#VALUE!</v>
      </c>
      <c r="P31" s="63">
        <f t="shared" si="74"/>
        <v>4</v>
      </c>
      <c r="Q31" s="63" t="e">
        <f t="shared" si="75"/>
        <v>#VALUE!</v>
      </c>
      <c r="R31" s="63" t="e">
        <f t="shared" si="76"/>
        <v>#VALUE!</v>
      </c>
      <c r="S31" s="63" t="str">
        <f>IFERROR(VLOOKUP(MID(N31,Q31,R31-Q31),[6]skilldef!$C:$D,2,FALSE),"-") &amp; " / " &amp; IFERROR(VLOOKUP(MID(N31,O31,P31-O31),[6]skilldef!$A:$B,2,FALSE),"-")</f>
        <v>- / -</v>
      </c>
      <c r="T31" s="48" t="str">
        <f t="shared" si="77"/>
        <v>none</v>
      </c>
      <c r="U31" s="63" t="e">
        <f t="shared" si="78"/>
        <v>#VALUE!</v>
      </c>
      <c r="V31" s="63">
        <f t="shared" si="79"/>
        <v>4</v>
      </c>
      <c r="W31" s="63" t="e">
        <f t="shared" si="80"/>
        <v>#VALUE!</v>
      </c>
      <c r="X31" s="63" t="e">
        <f t="shared" si="81"/>
        <v>#VALUE!</v>
      </c>
      <c r="Y31" s="63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113">
        <v>39005031</v>
      </c>
      <c r="B32" s="47" t="s">
        <v>239</v>
      </c>
      <c r="C32" s="50">
        <v>3</v>
      </c>
      <c r="D32" s="50" t="s">
        <v>128</v>
      </c>
      <c r="E32" s="51" t="s">
        <v>235</v>
      </c>
      <c r="F32" s="51" t="s">
        <v>347</v>
      </c>
      <c r="G32" s="63" t="str">
        <f t="shared" si="67"/>
        <v>[effect:change_block, new_block:block_heart, target:block_all, count:5, val:0, animation:change_block]</v>
      </c>
      <c r="H32" s="63">
        <f t="shared" si="68"/>
        <v>9</v>
      </c>
      <c r="I32" s="63">
        <f t="shared" si="69"/>
        <v>21</v>
      </c>
      <c r="J32" s="63">
        <f t="shared" si="70"/>
        <v>53</v>
      </c>
      <c r="K32" s="63">
        <f t="shared" si="71"/>
        <v>44</v>
      </c>
      <c r="L32" s="63" t="str">
        <f>IFERROR(VLOOKUP(MID(G32,J32,K32-J32),[6]skilldef!$C:$D,2,FALSE),"-") &amp; " / " &amp; IFERROR(VLOOKUP(MID(G32,H32,I32-H32),[6]skilldef!$A:$B,2,FALSE),"-")</f>
        <v>- / ブロック変換</v>
      </c>
      <c r="M32" s="63" t="str">
        <f t="shared" si="72"/>
        <v>none</v>
      </c>
      <c r="N32" s="48" t="str">
        <f>IFERROR(LEFT(M32,FIND("],",M32)+#REF!),M32)</f>
        <v>none</v>
      </c>
      <c r="O32" s="63" t="e">
        <f t="shared" si="73"/>
        <v>#VALUE!</v>
      </c>
      <c r="P32" s="63">
        <f t="shared" si="74"/>
        <v>4</v>
      </c>
      <c r="Q32" s="63" t="e">
        <f t="shared" si="75"/>
        <v>#VALUE!</v>
      </c>
      <c r="R32" s="63" t="e">
        <f t="shared" si="76"/>
        <v>#VALUE!</v>
      </c>
      <c r="S32" s="63" t="str">
        <f>IFERROR(VLOOKUP(MID(N32,Q32,R32-Q32),[6]skilldef!$C:$D,2,FALSE),"-") &amp; " / " &amp; IFERROR(VLOOKUP(MID(N32,O32,P32-O32),[6]skilldef!$A:$B,2,FALSE),"-")</f>
        <v>- / -</v>
      </c>
      <c r="T32" s="48" t="str">
        <f t="shared" si="77"/>
        <v>none</v>
      </c>
      <c r="U32" s="63" t="e">
        <f t="shared" si="78"/>
        <v>#VALUE!</v>
      </c>
      <c r="V32" s="63">
        <f t="shared" si="79"/>
        <v>4</v>
      </c>
      <c r="W32" s="63" t="e">
        <f t="shared" si="80"/>
        <v>#VALUE!</v>
      </c>
      <c r="X32" s="63" t="e">
        <f t="shared" si="81"/>
        <v>#VALUE!</v>
      </c>
      <c r="Y32" s="63" t="str">
        <f>IFERROR(VLOOKUP(MID(T32,W32,X32-W32),[6]skilldef!$C:$D,2,FALSE),"-") &amp; " / " &amp; IFERROR(VLOOKUP(MID(T32,U32,V32-U32),[6]skilldef!$A:$B,2,FALSE),"-")</f>
        <v>- / -</v>
      </c>
      <c r="Z32" s="50"/>
      <c r="AA32" s="52"/>
      <c r="AB32" s="50"/>
    </row>
    <row r="33" spans="1:28" ht="21" customHeight="1" x14ac:dyDescent="0.15">
      <c r="A33" s="113">
        <v>39005032</v>
      </c>
      <c r="B33" s="47" t="s">
        <v>239</v>
      </c>
      <c r="C33" s="50">
        <v>3</v>
      </c>
      <c r="D33" s="50" t="s">
        <v>128</v>
      </c>
      <c r="E33" s="51" t="s">
        <v>235</v>
      </c>
      <c r="F33" s="51" t="s">
        <v>347</v>
      </c>
      <c r="G33" s="63" t="str">
        <f t="shared" si="67"/>
        <v>[effect:change_block, new_block:block_heart, target:block_all, count:5, val:0, animation:change_block]</v>
      </c>
      <c r="H33" s="63">
        <f t="shared" si="68"/>
        <v>9</v>
      </c>
      <c r="I33" s="63">
        <f t="shared" si="69"/>
        <v>21</v>
      </c>
      <c r="J33" s="63">
        <f t="shared" si="70"/>
        <v>53</v>
      </c>
      <c r="K33" s="63">
        <f t="shared" si="71"/>
        <v>44</v>
      </c>
      <c r="L33" s="63" t="str">
        <f>IFERROR(VLOOKUP(MID(G33,J33,K33-J33),[6]skilldef!$C:$D,2,FALSE),"-") &amp; " / " &amp; IFERROR(VLOOKUP(MID(G33,H33,I33-H33),[6]skilldef!$A:$B,2,FALSE),"-")</f>
        <v>- / ブロック変換</v>
      </c>
      <c r="M33" s="63" t="str">
        <f t="shared" si="72"/>
        <v>none</v>
      </c>
      <c r="N33" s="48" t="str">
        <f t="shared" ref="N33:N40" si="82">IFERROR(LEFT(M33,FIND("],",M33)+S43),M33)</f>
        <v>none</v>
      </c>
      <c r="O33" s="63" t="e">
        <f t="shared" si="73"/>
        <v>#VALUE!</v>
      </c>
      <c r="P33" s="63">
        <f t="shared" si="74"/>
        <v>4</v>
      </c>
      <c r="Q33" s="63" t="e">
        <f t="shared" si="75"/>
        <v>#VALUE!</v>
      </c>
      <c r="R33" s="63" t="e">
        <f t="shared" si="76"/>
        <v>#VALUE!</v>
      </c>
      <c r="S33" s="63" t="str">
        <f>IFERROR(VLOOKUP(MID(N33,Q33,R33-Q33),[6]skilldef!$C:$D,2,FALSE),"-") &amp; " / " &amp; IFERROR(VLOOKUP(MID(N33,O33,P33-O33),[6]skilldef!$A:$B,2,FALSE),"-")</f>
        <v>- / -</v>
      </c>
      <c r="T33" s="48" t="str">
        <f t="shared" si="77"/>
        <v>none</v>
      </c>
      <c r="U33" s="63" t="e">
        <f t="shared" si="78"/>
        <v>#VALUE!</v>
      </c>
      <c r="V33" s="63">
        <f t="shared" si="79"/>
        <v>4</v>
      </c>
      <c r="W33" s="63" t="e">
        <f t="shared" si="80"/>
        <v>#VALUE!</v>
      </c>
      <c r="X33" s="63" t="e">
        <f t="shared" si="81"/>
        <v>#VALUE!</v>
      </c>
      <c r="Y33" s="63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113">
        <v>39005033</v>
      </c>
      <c r="B34" s="47" t="s">
        <v>239</v>
      </c>
      <c r="C34" s="50">
        <v>3</v>
      </c>
      <c r="D34" s="50" t="s">
        <v>128</v>
      </c>
      <c r="E34" s="51" t="s">
        <v>235</v>
      </c>
      <c r="F34" s="51" t="s">
        <v>347</v>
      </c>
      <c r="G34" s="63" t="str">
        <f t="shared" si="67"/>
        <v>[effect:change_block, new_block:block_heart, target:block_all, count:5, val:0, animation:change_block]</v>
      </c>
      <c r="H34" s="63">
        <f t="shared" si="68"/>
        <v>9</v>
      </c>
      <c r="I34" s="63">
        <f t="shared" si="69"/>
        <v>21</v>
      </c>
      <c r="J34" s="63">
        <f t="shared" si="70"/>
        <v>53</v>
      </c>
      <c r="K34" s="63">
        <f t="shared" si="71"/>
        <v>44</v>
      </c>
      <c r="L34" s="63" t="str">
        <f>IFERROR(VLOOKUP(MID(G34,J34,K34-J34),[6]skilldef!$C:$D,2,FALSE),"-") &amp; " / " &amp; IFERROR(VLOOKUP(MID(G34,H34,I34-H34),[6]skilldef!$A:$B,2,FALSE),"-")</f>
        <v>- / ブロック変換</v>
      </c>
      <c r="M34" s="63" t="str">
        <f t="shared" si="72"/>
        <v>none</v>
      </c>
      <c r="N34" s="48" t="str">
        <f t="shared" si="82"/>
        <v>none</v>
      </c>
      <c r="O34" s="63" t="e">
        <f t="shared" si="73"/>
        <v>#VALUE!</v>
      </c>
      <c r="P34" s="63">
        <f t="shared" si="74"/>
        <v>4</v>
      </c>
      <c r="Q34" s="63" t="e">
        <f t="shared" si="75"/>
        <v>#VALUE!</v>
      </c>
      <c r="R34" s="63" t="e">
        <f t="shared" si="76"/>
        <v>#VALUE!</v>
      </c>
      <c r="S34" s="63" t="str">
        <f>IFERROR(VLOOKUP(MID(N34,Q34,R34-Q34),[6]skilldef!$C:$D,2,FALSE),"-") &amp; " / " &amp; IFERROR(VLOOKUP(MID(N34,O34,P34-O34),[6]skilldef!$A:$B,2,FALSE),"-")</f>
        <v>- / -</v>
      </c>
      <c r="T34" s="48" t="str">
        <f t="shared" si="77"/>
        <v>none</v>
      </c>
      <c r="U34" s="63" t="e">
        <f t="shared" si="78"/>
        <v>#VALUE!</v>
      </c>
      <c r="V34" s="63">
        <f t="shared" si="79"/>
        <v>4</v>
      </c>
      <c r="W34" s="63" t="e">
        <f t="shared" si="80"/>
        <v>#VALUE!</v>
      </c>
      <c r="X34" s="63" t="e">
        <f t="shared" si="81"/>
        <v>#VALUE!</v>
      </c>
      <c r="Y34" s="63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ht="21" customHeight="1" x14ac:dyDescent="0.15">
      <c r="A35" s="113">
        <v>39005034</v>
      </c>
      <c r="B35" s="47" t="s">
        <v>239</v>
      </c>
      <c r="C35" s="50">
        <v>3</v>
      </c>
      <c r="D35" s="50" t="s">
        <v>128</v>
      </c>
      <c r="E35" s="51" t="s">
        <v>235</v>
      </c>
      <c r="F35" s="51" t="s">
        <v>347</v>
      </c>
      <c r="G35" s="63" t="str">
        <f t="shared" si="67"/>
        <v>[effect:change_block, new_block:block_heart, target:block_all, count:5, val:0, animation:change_block]</v>
      </c>
      <c r="H35" s="63">
        <f t="shared" si="68"/>
        <v>9</v>
      </c>
      <c r="I35" s="63">
        <f t="shared" si="69"/>
        <v>21</v>
      </c>
      <c r="J35" s="63">
        <f t="shared" si="70"/>
        <v>53</v>
      </c>
      <c r="K35" s="63">
        <f t="shared" si="71"/>
        <v>44</v>
      </c>
      <c r="L35" s="63" t="str">
        <f>IFERROR(VLOOKUP(MID(G35,J35,K35-J35),[6]skilldef!$C:$D,2,FALSE),"-") &amp; " / " &amp; IFERROR(VLOOKUP(MID(G35,H35,I35-H35),[6]skilldef!$A:$B,2,FALSE),"-")</f>
        <v>- / ブロック変換</v>
      </c>
      <c r="M35" s="63" t="str">
        <f t="shared" si="72"/>
        <v>none</v>
      </c>
      <c r="N35" s="48" t="str">
        <f t="shared" si="82"/>
        <v>none</v>
      </c>
      <c r="O35" s="63" t="e">
        <f t="shared" si="73"/>
        <v>#VALUE!</v>
      </c>
      <c r="P35" s="63">
        <f t="shared" si="74"/>
        <v>4</v>
      </c>
      <c r="Q35" s="63" t="e">
        <f t="shared" si="75"/>
        <v>#VALUE!</v>
      </c>
      <c r="R35" s="63" t="e">
        <f t="shared" si="76"/>
        <v>#VALUE!</v>
      </c>
      <c r="S35" s="63" t="str">
        <f>IFERROR(VLOOKUP(MID(N35,Q35,R35-Q35),[6]skilldef!$C:$D,2,FALSE),"-") &amp; " / " &amp; IFERROR(VLOOKUP(MID(N35,O35,P35-O35),[6]skilldef!$A:$B,2,FALSE),"-")</f>
        <v>- / -</v>
      </c>
      <c r="T35" s="48" t="str">
        <f t="shared" si="77"/>
        <v>none</v>
      </c>
      <c r="U35" s="63" t="e">
        <f t="shared" si="78"/>
        <v>#VALUE!</v>
      </c>
      <c r="V35" s="63">
        <f t="shared" si="79"/>
        <v>4</v>
      </c>
      <c r="W35" s="63" t="e">
        <f t="shared" si="80"/>
        <v>#VALUE!</v>
      </c>
      <c r="X35" s="63" t="e">
        <f t="shared" si="81"/>
        <v>#VALUE!</v>
      </c>
      <c r="Y35" s="63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113">
        <v>39005035</v>
      </c>
      <c r="B36" s="47" t="s">
        <v>239</v>
      </c>
      <c r="C36" s="50">
        <v>3</v>
      </c>
      <c r="D36" s="50" t="s">
        <v>128</v>
      </c>
      <c r="E36" s="51" t="s">
        <v>235</v>
      </c>
      <c r="F36" s="51" t="s">
        <v>347</v>
      </c>
      <c r="G36" s="63" t="str">
        <f t="shared" si="67"/>
        <v>[effect:change_block, new_block:block_heart, target:block_all, count:5, val:0, animation:change_block]</v>
      </c>
      <c r="H36" s="63">
        <f t="shared" si="68"/>
        <v>9</v>
      </c>
      <c r="I36" s="63">
        <f t="shared" si="69"/>
        <v>21</v>
      </c>
      <c r="J36" s="63">
        <f t="shared" si="70"/>
        <v>53</v>
      </c>
      <c r="K36" s="63">
        <f t="shared" si="71"/>
        <v>44</v>
      </c>
      <c r="L36" s="63" t="str">
        <f>IFERROR(VLOOKUP(MID(G36,J36,K36-J36),[6]skilldef!$C:$D,2,FALSE),"-") &amp; " / " &amp; IFERROR(VLOOKUP(MID(G36,H36,I36-H36),[6]skilldef!$A:$B,2,FALSE),"-")</f>
        <v>- / ブロック変換</v>
      </c>
      <c r="M36" s="63" t="str">
        <f t="shared" si="72"/>
        <v>none</v>
      </c>
      <c r="N36" s="48" t="str">
        <f t="shared" si="82"/>
        <v>none</v>
      </c>
      <c r="O36" s="63" t="e">
        <f t="shared" si="73"/>
        <v>#VALUE!</v>
      </c>
      <c r="P36" s="63">
        <f t="shared" si="74"/>
        <v>4</v>
      </c>
      <c r="Q36" s="63" t="e">
        <f t="shared" si="75"/>
        <v>#VALUE!</v>
      </c>
      <c r="R36" s="63" t="e">
        <f t="shared" si="76"/>
        <v>#VALUE!</v>
      </c>
      <c r="S36" s="63" t="str">
        <f>IFERROR(VLOOKUP(MID(N36,Q36,R36-Q36),[6]skilldef!$C:$D,2,FALSE),"-") &amp; " / " &amp; IFERROR(VLOOKUP(MID(N36,O36,P36-O36),[6]skilldef!$A:$B,2,FALSE),"-")</f>
        <v>- / -</v>
      </c>
      <c r="T36" s="48" t="str">
        <f t="shared" si="77"/>
        <v>none</v>
      </c>
      <c r="U36" s="63" t="e">
        <f t="shared" si="78"/>
        <v>#VALUE!</v>
      </c>
      <c r="V36" s="63">
        <f t="shared" si="79"/>
        <v>4</v>
      </c>
      <c r="W36" s="63" t="e">
        <f t="shared" si="80"/>
        <v>#VALUE!</v>
      </c>
      <c r="X36" s="63" t="e">
        <f t="shared" si="81"/>
        <v>#VALUE!</v>
      </c>
      <c r="Y36" s="63" t="str">
        <f>IFERROR(VLOOKUP(MID(T36,W36,X36-W36),[6]skilldef!$C:$D,2,FALSE),"-") &amp; " / " &amp; IFERROR(VLOOKUP(MID(T36,U36,V36-U36),[6]skilldef!$A:$B,2,FALSE),"-")</f>
        <v>- / -</v>
      </c>
      <c r="Z36" s="50"/>
      <c r="AA36" s="52"/>
      <c r="AB36" s="50"/>
    </row>
    <row r="37" spans="1:28" ht="21" customHeight="1" x14ac:dyDescent="0.15">
      <c r="A37" s="113">
        <v>39005036</v>
      </c>
      <c r="B37" s="47" t="s">
        <v>239</v>
      </c>
      <c r="C37" s="50">
        <v>3</v>
      </c>
      <c r="D37" s="50" t="s">
        <v>128</v>
      </c>
      <c r="E37" s="51" t="s">
        <v>235</v>
      </c>
      <c r="F37" s="51" t="s">
        <v>347</v>
      </c>
      <c r="G37" s="63" t="str">
        <f t="shared" si="67"/>
        <v>[effect:change_block, new_block:block_heart, target:block_all, count:5, val:0, animation:change_block]</v>
      </c>
      <c r="H37" s="63">
        <f t="shared" si="68"/>
        <v>9</v>
      </c>
      <c r="I37" s="63">
        <f t="shared" si="69"/>
        <v>21</v>
      </c>
      <c r="J37" s="63">
        <f t="shared" si="70"/>
        <v>53</v>
      </c>
      <c r="K37" s="63">
        <f t="shared" si="71"/>
        <v>44</v>
      </c>
      <c r="L37" s="63" t="str">
        <f>IFERROR(VLOOKUP(MID(G37,J37,K37-J37),[6]skilldef!$C:$D,2,FALSE),"-") &amp; " / " &amp; IFERROR(VLOOKUP(MID(G37,H37,I37-H37),[6]skilldef!$A:$B,2,FALSE),"-")</f>
        <v>- / ブロック変換</v>
      </c>
      <c r="M37" s="63" t="str">
        <f t="shared" si="72"/>
        <v>none</v>
      </c>
      <c r="N37" s="48" t="str">
        <f t="shared" si="82"/>
        <v>none</v>
      </c>
      <c r="O37" s="63" t="e">
        <f t="shared" si="73"/>
        <v>#VALUE!</v>
      </c>
      <c r="P37" s="63">
        <f t="shared" si="74"/>
        <v>4</v>
      </c>
      <c r="Q37" s="63" t="e">
        <f t="shared" si="75"/>
        <v>#VALUE!</v>
      </c>
      <c r="R37" s="63" t="e">
        <f t="shared" si="76"/>
        <v>#VALUE!</v>
      </c>
      <c r="S37" s="63" t="str">
        <f>IFERROR(VLOOKUP(MID(N37,Q37,R37-Q37),[6]skilldef!$C:$D,2,FALSE),"-") &amp; " / " &amp; IFERROR(VLOOKUP(MID(N37,O37,P37-O37),[6]skilldef!$A:$B,2,FALSE),"-")</f>
        <v>- / -</v>
      </c>
      <c r="T37" s="48" t="str">
        <f t="shared" si="77"/>
        <v>none</v>
      </c>
      <c r="U37" s="63" t="e">
        <f t="shared" si="78"/>
        <v>#VALUE!</v>
      </c>
      <c r="V37" s="63">
        <f t="shared" si="79"/>
        <v>4</v>
      </c>
      <c r="W37" s="63" t="e">
        <f t="shared" si="80"/>
        <v>#VALUE!</v>
      </c>
      <c r="X37" s="63" t="e">
        <f t="shared" si="81"/>
        <v>#VALUE!</v>
      </c>
      <c r="Y37" s="63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21" customHeight="1" x14ac:dyDescent="0.15">
      <c r="A38" s="113">
        <v>39005037</v>
      </c>
      <c r="B38" s="47" t="s">
        <v>239</v>
      </c>
      <c r="C38" s="50">
        <v>3</v>
      </c>
      <c r="D38" s="50" t="s">
        <v>128</v>
      </c>
      <c r="E38" s="51" t="s">
        <v>235</v>
      </c>
      <c r="F38" s="51" t="s">
        <v>347</v>
      </c>
      <c r="G38" s="63" t="str">
        <f t="shared" si="67"/>
        <v>[effect:change_block, new_block:block_heart, target:block_all, count:5, val:0, animation:change_block]</v>
      </c>
      <c r="H38" s="63">
        <f t="shared" si="68"/>
        <v>9</v>
      </c>
      <c r="I38" s="63">
        <f t="shared" si="69"/>
        <v>21</v>
      </c>
      <c r="J38" s="63">
        <f t="shared" si="70"/>
        <v>53</v>
      </c>
      <c r="K38" s="63">
        <f t="shared" si="71"/>
        <v>44</v>
      </c>
      <c r="L38" s="63" t="str">
        <f>IFERROR(VLOOKUP(MID(G38,J38,K38-J38),[6]skilldef!$C:$D,2,FALSE),"-") &amp; " / " &amp; IFERROR(VLOOKUP(MID(G38,H38,I38-H38),[6]skilldef!$A:$B,2,FALSE),"-")</f>
        <v>- / ブロック変換</v>
      </c>
      <c r="M38" s="63" t="str">
        <f t="shared" si="72"/>
        <v>none</v>
      </c>
      <c r="N38" s="48" t="str">
        <f t="shared" si="82"/>
        <v>none</v>
      </c>
      <c r="O38" s="63" t="e">
        <f t="shared" si="73"/>
        <v>#VALUE!</v>
      </c>
      <c r="P38" s="63">
        <f t="shared" si="74"/>
        <v>4</v>
      </c>
      <c r="Q38" s="63" t="e">
        <f t="shared" si="75"/>
        <v>#VALUE!</v>
      </c>
      <c r="R38" s="63" t="e">
        <f t="shared" si="76"/>
        <v>#VALUE!</v>
      </c>
      <c r="S38" s="63" t="str">
        <f>IFERROR(VLOOKUP(MID(N38,Q38,R38-Q38),[6]skilldef!$C:$D,2,FALSE),"-") &amp; " / " &amp; IFERROR(VLOOKUP(MID(N38,O38,P38-O38),[6]skilldef!$A:$B,2,FALSE),"-")</f>
        <v>- / -</v>
      </c>
      <c r="T38" s="48" t="str">
        <f t="shared" si="77"/>
        <v>none</v>
      </c>
      <c r="U38" s="63" t="e">
        <f t="shared" si="78"/>
        <v>#VALUE!</v>
      </c>
      <c r="V38" s="63">
        <f t="shared" si="79"/>
        <v>4</v>
      </c>
      <c r="W38" s="63" t="e">
        <f t="shared" si="80"/>
        <v>#VALUE!</v>
      </c>
      <c r="X38" s="63" t="e">
        <f t="shared" si="81"/>
        <v>#VALUE!</v>
      </c>
      <c r="Y38" s="63" t="str">
        <f>IFERROR(VLOOKUP(MID(T38,W38,X38-W38),[6]skilldef!$C:$D,2,FALSE),"-") &amp; " / " &amp; IFERROR(VLOOKUP(MID(T38,U38,V38-U38),[6]skilldef!$A:$B,2,FALSE),"-")</f>
        <v>- / -</v>
      </c>
      <c r="Z38" s="50"/>
      <c r="AA38" s="52"/>
      <c r="AB38" s="50"/>
    </row>
    <row r="39" spans="1:28" ht="21" customHeight="1" x14ac:dyDescent="0.15">
      <c r="A39" s="113">
        <v>39005038</v>
      </c>
      <c r="B39" s="47" t="s">
        <v>239</v>
      </c>
      <c r="C39" s="50">
        <v>3</v>
      </c>
      <c r="D39" s="50" t="s">
        <v>128</v>
      </c>
      <c r="E39" s="51" t="s">
        <v>235</v>
      </c>
      <c r="F39" s="51" t="s">
        <v>347</v>
      </c>
      <c r="G39" s="63" t="str">
        <f t="shared" si="67"/>
        <v>[effect:change_block, new_block:block_heart, target:block_all, count:5, val:0, animation:change_block]</v>
      </c>
      <c r="H39" s="63">
        <f t="shared" si="68"/>
        <v>9</v>
      </c>
      <c r="I39" s="63">
        <f t="shared" si="69"/>
        <v>21</v>
      </c>
      <c r="J39" s="63">
        <f t="shared" si="70"/>
        <v>53</v>
      </c>
      <c r="K39" s="63">
        <f t="shared" si="71"/>
        <v>44</v>
      </c>
      <c r="L39" s="63" t="str">
        <f>IFERROR(VLOOKUP(MID(G39,J39,K39-J39),[6]skilldef!$C:$D,2,FALSE),"-") &amp; " / " &amp; IFERROR(VLOOKUP(MID(G39,H39,I39-H39),[6]skilldef!$A:$B,2,FALSE),"-")</f>
        <v>- / ブロック変換</v>
      </c>
      <c r="M39" s="63" t="str">
        <f t="shared" si="72"/>
        <v>none</v>
      </c>
      <c r="N39" s="48" t="str">
        <f t="shared" si="82"/>
        <v>none</v>
      </c>
      <c r="O39" s="63" t="e">
        <f t="shared" si="73"/>
        <v>#VALUE!</v>
      </c>
      <c r="P39" s="63">
        <f t="shared" si="74"/>
        <v>4</v>
      </c>
      <c r="Q39" s="63" t="e">
        <f t="shared" si="75"/>
        <v>#VALUE!</v>
      </c>
      <c r="R39" s="63" t="e">
        <f t="shared" si="76"/>
        <v>#VALUE!</v>
      </c>
      <c r="S39" s="63" t="str">
        <f>IFERROR(VLOOKUP(MID(N39,Q39,R39-Q39),[6]skilldef!$C:$D,2,FALSE),"-") &amp; " / " &amp; IFERROR(VLOOKUP(MID(N39,O39,P39-O39),[6]skilldef!$A:$B,2,FALSE),"-")</f>
        <v>- / -</v>
      </c>
      <c r="T39" s="48" t="str">
        <f t="shared" si="77"/>
        <v>none</v>
      </c>
      <c r="U39" s="63" t="e">
        <f t="shared" si="78"/>
        <v>#VALUE!</v>
      </c>
      <c r="V39" s="63">
        <f t="shared" si="79"/>
        <v>4</v>
      </c>
      <c r="W39" s="63" t="e">
        <f t="shared" si="80"/>
        <v>#VALUE!</v>
      </c>
      <c r="X39" s="63" t="e">
        <f t="shared" si="81"/>
        <v>#VALUE!</v>
      </c>
      <c r="Y39" s="63" t="str">
        <f>IFERROR(VLOOKUP(MID(T39,W39,X39-W39),[6]skilldef!$C:$D,2,FALSE),"-") &amp; " / " &amp; IFERROR(VLOOKUP(MID(T39,U39,V39-U39),[6]skilldef!$A:$B,2,FALSE),"-")</f>
        <v>- / -</v>
      </c>
      <c r="Z39" s="50"/>
      <c r="AA39" s="52"/>
      <c r="AB39" s="50"/>
    </row>
    <row r="40" spans="1:28" ht="21" customHeight="1" x14ac:dyDescent="0.15">
      <c r="A40" s="113">
        <v>39005039</v>
      </c>
      <c r="B40" s="47" t="s">
        <v>239</v>
      </c>
      <c r="C40" s="50">
        <v>3</v>
      </c>
      <c r="D40" s="50" t="s">
        <v>128</v>
      </c>
      <c r="E40" s="51" t="s">
        <v>235</v>
      </c>
      <c r="F40" s="51" t="s">
        <v>347</v>
      </c>
      <c r="G40" s="63" t="str">
        <f t="shared" si="67"/>
        <v>[effect:change_block, new_block:block_heart, target:block_all, count:5, val:0, animation:change_block]</v>
      </c>
      <c r="H40" s="63">
        <f t="shared" si="68"/>
        <v>9</v>
      </c>
      <c r="I40" s="63">
        <f t="shared" si="69"/>
        <v>21</v>
      </c>
      <c r="J40" s="63">
        <f t="shared" si="70"/>
        <v>53</v>
      </c>
      <c r="K40" s="63">
        <f t="shared" si="71"/>
        <v>44</v>
      </c>
      <c r="L40" s="63" t="str">
        <f>IFERROR(VLOOKUP(MID(G40,J40,K40-J40),[6]skilldef!$C:$D,2,FALSE),"-") &amp; " / " &amp; IFERROR(VLOOKUP(MID(G40,H40,I40-H40),[6]skilldef!$A:$B,2,FALSE),"-")</f>
        <v>- / ブロック変換</v>
      </c>
      <c r="M40" s="63" t="str">
        <f t="shared" si="72"/>
        <v>none</v>
      </c>
      <c r="N40" s="48" t="str">
        <f t="shared" si="82"/>
        <v>none</v>
      </c>
      <c r="O40" s="63" t="e">
        <f t="shared" si="73"/>
        <v>#VALUE!</v>
      </c>
      <c r="P40" s="63">
        <f t="shared" si="74"/>
        <v>4</v>
      </c>
      <c r="Q40" s="63" t="e">
        <f t="shared" si="75"/>
        <v>#VALUE!</v>
      </c>
      <c r="R40" s="63" t="e">
        <f t="shared" si="76"/>
        <v>#VALUE!</v>
      </c>
      <c r="S40" s="63" t="str">
        <f>IFERROR(VLOOKUP(MID(N40,Q40,R40-Q40),[6]skilldef!$C:$D,2,FALSE),"-") &amp; " / " &amp; IFERROR(VLOOKUP(MID(N40,O40,P40-O40),[6]skilldef!$A:$B,2,FALSE),"-")</f>
        <v>- / -</v>
      </c>
      <c r="T40" s="48" t="str">
        <f t="shared" si="77"/>
        <v>none</v>
      </c>
      <c r="U40" s="63" t="e">
        <f t="shared" si="78"/>
        <v>#VALUE!</v>
      </c>
      <c r="V40" s="63">
        <f t="shared" si="79"/>
        <v>4</v>
      </c>
      <c r="W40" s="63" t="e">
        <f t="shared" si="80"/>
        <v>#VALUE!</v>
      </c>
      <c r="X40" s="63" t="e">
        <f t="shared" si="81"/>
        <v>#VALUE!</v>
      </c>
      <c r="Y40" s="63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21" customHeight="1" x14ac:dyDescent="0.15">
      <c r="A41" s="113">
        <v>39005040</v>
      </c>
      <c r="B41" s="47" t="s">
        <v>239</v>
      </c>
      <c r="C41" s="50">
        <v>3</v>
      </c>
      <c r="D41" s="50" t="s">
        <v>128</v>
      </c>
      <c r="E41" s="51" t="s">
        <v>235</v>
      </c>
      <c r="F41" s="51" t="s">
        <v>347</v>
      </c>
      <c r="G41" s="63" t="str">
        <f t="shared" si="67"/>
        <v>[effect:change_block, new_block:block_heart, target:block_all, count:5, val:0, animation:change_block]</v>
      </c>
      <c r="H41" s="63">
        <f t="shared" si="68"/>
        <v>9</v>
      </c>
      <c r="I41" s="63">
        <f t="shared" si="69"/>
        <v>21</v>
      </c>
      <c r="J41" s="63">
        <f t="shared" si="70"/>
        <v>53</v>
      </c>
      <c r="K41" s="63">
        <f t="shared" si="71"/>
        <v>44</v>
      </c>
      <c r="L41" s="63" t="str">
        <f>IFERROR(VLOOKUP(MID(G41,J41,K41-J41),[6]skilldef!$C:$D,2,FALSE),"-") &amp; " / " &amp; IFERROR(VLOOKUP(MID(G41,H41,I41-H41),[6]skilldef!$A:$B,2,FALSE),"-")</f>
        <v>- / ブロック変換</v>
      </c>
      <c r="M41" s="63" t="str">
        <f t="shared" si="72"/>
        <v>none</v>
      </c>
      <c r="N41" s="48" t="str">
        <f>IFERROR(LEFT(M41,FIND("],",M41)+#REF!),M41)</f>
        <v>none</v>
      </c>
      <c r="O41" s="63" t="e">
        <f t="shared" si="73"/>
        <v>#VALUE!</v>
      </c>
      <c r="P41" s="63">
        <f t="shared" si="74"/>
        <v>4</v>
      </c>
      <c r="Q41" s="63" t="e">
        <f t="shared" si="75"/>
        <v>#VALUE!</v>
      </c>
      <c r="R41" s="63" t="e">
        <f t="shared" si="76"/>
        <v>#VALUE!</v>
      </c>
      <c r="S41" s="63" t="str">
        <f>IFERROR(VLOOKUP(MID(N41,Q41,R41-Q41),[6]skilldef!$C:$D,2,FALSE),"-") &amp; " / " &amp; IFERROR(VLOOKUP(MID(N41,O41,P41-O41),[6]skilldef!$A:$B,2,FALSE),"-")</f>
        <v>- / -</v>
      </c>
      <c r="T41" s="48" t="str">
        <f t="shared" si="77"/>
        <v>none</v>
      </c>
      <c r="U41" s="63" t="e">
        <f t="shared" si="78"/>
        <v>#VALUE!</v>
      </c>
      <c r="V41" s="63">
        <f t="shared" si="79"/>
        <v>4</v>
      </c>
      <c r="W41" s="63" t="e">
        <f t="shared" si="80"/>
        <v>#VALUE!</v>
      </c>
      <c r="X41" s="63" t="e">
        <f t="shared" si="81"/>
        <v>#VALUE!</v>
      </c>
      <c r="Y41" s="63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113">
        <v>39005041</v>
      </c>
      <c r="B42" s="47" t="s">
        <v>239</v>
      </c>
      <c r="C42" s="50">
        <v>3</v>
      </c>
      <c r="D42" s="50" t="s">
        <v>128</v>
      </c>
      <c r="E42" s="51" t="s">
        <v>235</v>
      </c>
      <c r="F42" s="51" t="s">
        <v>347</v>
      </c>
      <c r="G42" s="63" t="str">
        <f t="shared" si="67"/>
        <v>[effect:change_block, new_block:block_heart, target:block_all, count:5, val:0, animation:change_block]</v>
      </c>
      <c r="H42" s="63">
        <f t="shared" si="68"/>
        <v>9</v>
      </c>
      <c r="I42" s="63">
        <f t="shared" si="69"/>
        <v>21</v>
      </c>
      <c r="J42" s="63">
        <f t="shared" si="70"/>
        <v>53</v>
      </c>
      <c r="K42" s="63">
        <f t="shared" si="71"/>
        <v>44</v>
      </c>
      <c r="L42" s="63" t="str">
        <f>IFERROR(VLOOKUP(MID(G42,J42,K42-J42),[6]skilldef!$C:$D,2,FALSE),"-") &amp; " / " &amp; IFERROR(VLOOKUP(MID(G42,H42,I42-H42),[6]skilldef!$A:$B,2,FALSE),"-")</f>
        <v>- / ブロック変換</v>
      </c>
      <c r="M42" s="63" t="str">
        <f t="shared" si="72"/>
        <v>none</v>
      </c>
      <c r="N42" s="48" t="str">
        <f>IFERROR(LEFT(M42,FIND("],",M42)+S53),M42)</f>
        <v>none</v>
      </c>
      <c r="O42" s="63" t="e">
        <f t="shared" si="73"/>
        <v>#VALUE!</v>
      </c>
      <c r="P42" s="63">
        <f t="shared" si="74"/>
        <v>4</v>
      </c>
      <c r="Q42" s="63" t="e">
        <f t="shared" si="75"/>
        <v>#VALUE!</v>
      </c>
      <c r="R42" s="63" t="e">
        <f t="shared" si="76"/>
        <v>#VALUE!</v>
      </c>
      <c r="S42" s="63" t="str">
        <f>IFERROR(VLOOKUP(MID(N42,Q42,R42-Q42),[6]skilldef!$C:$D,2,FALSE),"-") &amp; " / " &amp; IFERROR(VLOOKUP(MID(N42,O42,P42-O42),[6]skilldef!$A:$B,2,FALSE),"-")</f>
        <v>- / -</v>
      </c>
      <c r="T42" s="48" t="str">
        <f t="shared" si="77"/>
        <v>none</v>
      </c>
      <c r="U42" s="63" t="e">
        <f t="shared" si="78"/>
        <v>#VALUE!</v>
      </c>
      <c r="V42" s="63">
        <f t="shared" si="79"/>
        <v>4</v>
      </c>
      <c r="W42" s="63" t="e">
        <f t="shared" si="80"/>
        <v>#VALUE!</v>
      </c>
      <c r="X42" s="63" t="e">
        <f t="shared" si="81"/>
        <v>#VALUE!</v>
      </c>
      <c r="Y42" s="63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21" customHeight="1" x14ac:dyDescent="0.15">
      <c r="A43" s="113">
        <v>39005042</v>
      </c>
      <c r="B43" s="47" t="s">
        <v>239</v>
      </c>
      <c r="C43" s="50">
        <v>3</v>
      </c>
      <c r="D43" s="50" t="s">
        <v>128</v>
      </c>
      <c r="E43" s="51" t="s">
        <v>235</v>
      </c>
      <c r="F43" s="51" t="s">
        <v>347</v>
      </c>
      <c r="G43" s="63" t="str">
        <f t="shared" si="67"/>
        <v>[effect:change_block, new_block:block_heart, target:block_all, count:5, val:0, animation:change_block]</v>
      </c>
      <c r="H43" s="63">
        <f t="shared" si="68"/>
        <v>9</v>
      </c>
      <c r="I43" s="63">
        <f t="shared" si="69"/>
        <v>21</v>
      </c>
      <c r="J43" s="63">
        <f t="shared" si="70"/>
        <v>53</v>
      </c>
      <c r="K43" s="63">
        <f t="shared" si="71"/>
        <v>44</v>
      </c>
      <c r="L43" s="63" t="str">
        <f>IFERROR(VLOOKUP(MID(G43,J43,K43-J43),[6]skilldef!$C:$D,2,FALSE),"-") &amp; " / " &amp; IFERROR(VLOOKUP(MID(G43,H43,I43-H43),[6]skilldef!$A:$B,2,FALSE),"-")</f>
        <v>- / ブロック変換</v>
      </c>
      <c r="M43" s="63" t="str">
        <f t="shared" si="72"/>
        <v>none</v>
      </c>
      <c r="N43" s="48" t="str">
        <f>IFERROR(LEFT(M43,FIND("],",M43)+S54),M43)</f>
        <v>none</v>
      </c>
      <c r="O43" s="63" t="e">
        <f t="shared" si="73"/>
        <v>#VALUE!</v>
      </c>
      <c r="P43" s="63">
        <f t="shared" si="74"/>
        <v>4</v>
      </c>
      <c r="Q43" s="63" t="e">
        <f t="shared" si="75"/>
        <v>#VALUE!</v>
      </c>
      <c r="R43" s="63" t="e">
        <f t="shared" si="76"/>
        <v>#VALUE!</v>
      </c>
      <c r="S43" s="63" t="str">
        <f>IFERROR(VLOOKUP(MID(N43,Q43,R43-Q43),[6]skilldef!$C:$D,2,FALSE),"-") &amp; " / " &amp; IFERROR(VLOOKUP(MID(N43,O43,P43-O43),[6]skilldef!$A:$B,2,FALSE),"-")</f>
        <v>- / -</v>
      </c>
      <c r="T43" s="48" t="str">
        <f t="shared" si="77"/>
        <v>none</v>
      </c>
      <c r="U43" s="63" t="e">
        <f t="shared" si="78"/>
        <v>#VALUE!</v>
      </c>
      <c r="V43" s="63">
        <f t="shared" si="79"/>
        <v>4</v>
      </c>
      <c r="W43" s="63" t="e">
        <f t="shared" si="80"/>
        <v>#VALUE!</v>
      </c>
      <c r="X43" s="63" t="e">
        <f t="shared" si="81"/>
        <v>#VALUE!</v>
      </c>
      <c r="Y43" s="63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21" customHeight="1" x14ac:dyDescent="0.15">
      <c r="A44" s="113">
        <v>39005043</v>
      </c>
      <c r="B44" s="47" t="s">
        <v>239</v>
      </c>
      <c r="C44" s="50">
        <v>3</v>
      </c>
      <c r="D44" s="50" t="s">
        <v>128</v>
      </c>
      <c r="E44" s="51" t="s">
        <v>235</v>
      </c>
      <c r="F44" s="51" t="s">
        <v>347</v>
      </c>
      <c r="G44" s="63" t="str">
        <f t="shared" si="67"/>
        <v>[effect:change_block, new_block:block_heart, target:block_all, count:5, val:0, animation:change_block]</v>
      </c>
      <c r="H44" s="63">
        <f t="shared" si="68"/>
        <v>9</v>
      </c>
      <c r="I44" s="63">
        <f t="shared" si="69"/>
        <v>21</v>
      </c>
      <c r="J44" s="63">
        <f t="shared" si="70"/>
        <v>53</v>
      </c>
      <c r="K44" s="63">
        <f t="shared" si="71"/>
        <v>44</v>
      </c>
      <c r="L44" s="63" t="str">
        <f>IFERROR(VLOOKUP(MID(G44,J44,K44-J44),[6]skilldef!$C:$D,2,FALSE),"-") &amp; " / " &amp; IFERROR(VLOOKUP(MID(G44,H44,I44-H44),[6]skilldef!$A:$B,2,FALSE),"-")</f>
        <v>- / ブロック変換</v>
      </c>
      <c r="M44" s="63" t="str">
        <f t="shared" si="72"/>
        <v>none</v>
      </c>
      <c r="N44" s="48" t="str">
        <f>IFERROR(LEFT(M44,FIND("],",M44)+#REF!),M44)</f>
        <v>none</v>
      </c>
      <c r="O44" s="63" t="e">
        <f t="shared" si="73"/>
        <v>#VALUE!</v>
      </c>
      <c r="P44" s="63">
        <f t="shared" si="74"/>
        <v>4</v>
      </c>
      <c r="Q44" s="63" t="e">
        <f t="shared" si="75"/>
        <v>#VALUE!</v>
      </c>
      <c r="R44" s="63" t="e">
        <f t="shared" si="76"/>
        <v>#VALUE!</v>
      </c>
      <c r="S44" s="63" t="str">
        <f>IFERROR(VLOOKUP(MID(N44,Q44,R44-Q44),[6]skilldef!$C:$D,2,FALSE),"-") &amp; " / " &amp; IFERROR(VLOOKUP(MID(N44,O44,P44-O44),[6]skilldef!$A:$B,2,FALSE),"-")</f>
        <v>- / -</v>
      </c>
      <c r="T44" s="48" t="str">
        <f t="shared" si="77"/>
        <v>none</v>
      </c>
      <c r="U44" s="63" t="e">
        <f t="shared" si="78"/>
        <v>#VALUE!</v>
      </c>
      <c r="V44" s="63">
        <f t="shared" si="79"/>
        <v>4</v>
      </c>
      <c r="W44" s="63" t="e">
        <f t="shared" si="80"/>
        <v>#VALUE!</v>
      </c>
      <c r="X44" s="63" t="e">
        <f t="shared" si="81"/>
        <v>#VALUE!</v>
      </c>
      <c r="Y44" s="63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113">
        <v>39005044</v>
      </c>
      <c r="B45" s="47" t="s">
        <v>239</v>
      </c>
      <c r="C45" s="50">
        <v>3</v>
      </c>
      <c r="D45" s="50" t="s">
        <v>128</v>
      </c>
      <c r="E45" s="51" t="s">
        <v>235</v>
      </c>
      <c r="F45" s="51" t="s">
        <v>347</v>
      </c>
      <c r="G45" s="63" t="str">
        <f t="shared" si="67"/>
        <v>[effect:change_block, new_block:block_heart, target:block_all, count:5, val:0, animation:change_block]</v>
      </c>
      <c r="H45" s="63">
        <f t="shared" si="68"/>
        <v>9</v>
      </c>
      <c r="I45" s="63">
        <f t="shared" si="69"/>
        <v>21</v>
      </c>
      <c r="J45" s="63">
        <f t="shared" si="70"/>
        <v>53</v>
      </c>
      <c r="K45" s="63">
        <f t="shared" si="71"/>
        <v>44</v>
      </c>
      <c r="L45" s="63" t="str">
        <f>IFERROR(VLOOKUP(MID(G45,J45,K45-J45),[6]skilldef!$C:$D,2,FALSE),"-") &amp; " / " &amp; IFERROR(VLOOKUP(MID(G45,H45,I45-H45),[6]skilldef!$A:$B,2,FALSE),"-")</f>
        <v>- / ブロック変換</v>
      </c>
      <c r="M45" s="63" t="str">
        <f t="shared" si="72"/>
        <v>none</v>
      </c>
      <c r="N45" s="48" t="str">
        <f>IFERROR(LEFT(M45,FIND("],",M45)+#REF!),M45)</f>
        <v>none</v>
      </c>
      <c r="O45" s="63" t="e">
        <f t="shared" si="73"/>
        <v>#VALUE!</v>
      </c>
      <c r="P45" s="63">
        <f t="shared" si="74"/>
        <v>4</v>
      </c>
      <c r="Q45" s="63" t="e">
        <f t="shared" si="75"/>
        <v>#VALUE!</v>
      </c>
      <c r="R45" s="63" t="e">
        <f t="shared" si="76"/>
        <v>#VALUE!</v>
      </c>
      <c r="S45" s="63" t="str">
        <f>IFERROR(VLOOKUP(MID(N45,Q45,R45-Q45),[6]skilldef!$C:$D,2,FALSE),"-") &amp; " / " &amp; IFERROR(VLOOKUP(MID(N45,O45,P45-O45),[6]skilldef!$A:$B,2,FALSE),"-")</f>
        <v>- / -</v>
      </c>
      <c r="T45" s="48" t="str">
        <f t="shared" si="77"/>
        <v>none</v>
      </c>
      <c r="U45" s="63" t="e">
        <f t="shared" si="78"/>
        <v>#VALUE!</v>
      </c>
      <c r="V45" s="63">
        <f t="shared" si="79"/>
        <v>4</v>
      </c>
      <c r="W45" s="63" t="e">
        <f t="shared" si="80"/>
        <v>#VALUE!</v>
      </c>
      <c r="X45" s="63" t="e">
        <f t="shared" si="81"/>
        <v>#VALUE!</v>
      </c>
      <c r="Y45" s="63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21" customHeight="1" x14ac:dyDescent="0.15">
      <c r="A46" s="113">
        <v>39005045</v>
      </c>
      <c r="B46" s="47" t="s">
        <v>239</v>
      </c>
      <c r="C46" s="50">
        <v>3</v>
      </c>
      <c r="D46" s="50" t="s">
        <v>128</v>
      </c>
      <c r="E46" s="51" t="s">
        <v>235</v>
      </c>
      <c r="F46" s="51" t="s">
        <v>347</v>
      </c>
      <c r="G46" s="63" t="str">
        <f t="shared" si="67"/>
        <v>[effect:change_block, new_block:block_heart, target:block_all, count:5, val:0, animation:change_block]</v>
      </c>
      <c r="H46" s="63">
        <f t="shared" si="68"/>
        <v>9</v>
      </c>
      <c r="I46" s="63">
        <f t="shared" si="69"/>
        <v>21</v>
      </c>
      <c r="J46" s="63">
        <f t="shared" si="70"/>
        <v>53</v>
      </c>
      <c r="K46" s="63">
        <f t="shared" si="71"/>
        <v>44</v>
      </c>
      <c r="L46" s="63" t="str">
        <f>IFERROR(VLOOKUP(MID(G46,J46,K46-J46),[6]skilldef!$C:$D,2,FALSE),"-") &amp; " / " &amp; IFERROR(VLOOKUP(MID(G46,H46,I46-H46),[6]skilldef!$A:$B,2,FALSE),"-")</f>
        <v>- / ブロック変換</v>
      </c>
      <c r="M46" s="63" t="str">
        <f t="shared" si="72"/>
        <v>none</v>
      </c>
      <c r="N46" s="48" t="str">
        <f>IFERROR(LEFT(M46,FIND("],",M46)+#REF!),M46)</f>
        <v>none</v>
      </c>
      <c r="O46" s="63" t="e">
        <f t="shared" si="73"/>
        <v>#VALUE!</v>
      </c>
      <c r="P46" s="63">
        <f t="shared" si="74"/>
        <v>4</v>
      </c>
      <c r="Q46" s="63" t="e">
        <f t="shared" si="75"/>
        <v>#VALUE!</v>
      </c>
      <c r="R46" s="63" t="e">
        <f t="shared" si="76"/>
        <v>#VALUE!</v>
      </c>
      <c r="S46" s="63" t="str">
        <f>IFERROR(VLOOKUP(MID(N46,Q46,R46-Q46),[6]skilldef!$C:$D,2,FALSE),"-") &amp; " / " &amp; IFERROR(VLOOKUP(MID(N46,O46,P46-O46),[6]skilldef!$A:$B,2,FALSE),"-")</f>
        <v>- / -</v>
      </c>
      <c r="T46" s="48" t="str">
        <f t="shared" si="77"/>
        <v>none</v>
      </c>
      <c r="U46" s="63" t="e">
        <f t="shared" si="78"/>
        <v>#VALUE!</v>
      </c>
      <c r="V46" s="63">
        <f t="shared" si="79"/>
        <v>4</v>
      </c>
      <c r="W46" s="63" t="e">
        <f t="shared" si="80"/>
        <v>#VALUE!</v>
      </c>
      <c r="X46" s="63" t="e">
        <f t="shared" si="81"/>
        <v>#VALUE!</v>
      </c>
      <c r="Y46" s="63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21" customHeight="1" x14ac:dyDescent="0.15">
      <c r="A47" s="113">
        <v>39005046</v>
      </c>
      <c r="B47" s="47" t="s">
        <v>239</v>
      </c>
      <c r="C47" s="50">
        <v>3</v>
      </c>
      <c r="D47" s="50" t="s">
        <v>128</v>
      </c>
      <c r="E47" s="51" t="s">
        <v>235</v>
      </c>
      <c r="F47" s="51" t="s">
        <v>347</v>
      </c>
      <c r="G47" s="63" t="str">
        <f t="shared" si="67"/>
        <v>[effect:change_block, new_block:block_heart, target:block_all, count:5, val:0, animation:change_block]</v>
      </c>
      <c r="H47" s="63">
        <f t="shared" si="68"/>
        <v>9</v>
      </c>
      <c r="I47" s="63">
        <f t="shared" si="69"/>
        <v>21</v>
      </c>
      <c r="J47" s="63">
        <f t="shared" si="70"/>
        <v>53</v>
      </c>
      <c r="K47" s="63">
        <f t="shared" si="71"/>
        <v>44</v>
      </c>
      <c r="L47" s="63" t="str">
        <f>IFERROR(VLOOKUP(MID(G47,J47,K47-J47),[6]skilldef!$C:$D,2,FALSE),"-") &amp; " / " &amp; IFERROR(VLOOKUP(MID(G47,H47,I47-H47),[6]skilldef!$A:$B,2,FALSE),"-")</f>
        <v>- / ブロック変換</v>
      </c>
      <c r="M47" s="63" t="str">
        <f t="shared" si="72"/>
        <v>none</v>
      </c>
      <c r="N47" s="48" t="str">
        <f>IFERROR(LEFT(M47,FIND("],",M47)+#REF!),M47)</f>
        <v>none</v>
      </c>
      <c r="O47" s="63" t="e">
        <f t="shared" si="73"/>
        <v>#VALUE!</v>
      </c>
      <c r="P47" s="63">
        <f t="shared" si="74"/>
        <v>4</v>
      </c>
      <c r="Q47" s="63" t="e">
        <f t="shared" si="75"/>
        <v>#VALUE!</v>
      </c>
      <c r="R47" s="63" t="e">
        <f t="shared" si="76"/>
        <v>#VALUE!</v>
      </c>
      <c r="S47" s="63" t="str">
        <f>IFERROR(VLOOKUP(MID(N47,Q47,R47-Q47),[6]skilldef!$C:$D,2,FALSE),"-") &amp; " / " &amp; IFERROR(VLOOKUP(MID(N47,O47,P47-O47),[6]skilldef!$A:$B,2,FALSE),"-")</f>
        <v>- / -</v>
      </c>
      <c r="T47" s="48" t="str">
        <f t="shared" si="77"/>
        <v>none</v>
      </c>
      <c r="U47" s="63" t="e">
        <f t="shared" si="78"/>
        <v>#VALUE!</v>
      </c>
      <c r="V47" s="63">
        <f t="shared" si="79"/>
        <v>4</v>
      </c>
      <c r="W47" s="63" t="e">
        <f t="shared" si="80"/>
        <v>#VALUE!</v>
      </c>
      <c r="X47" s="63" t="e">
        <f t="shared" si="81"/>
        <v>#VALUE!</v>
      </c>
      <c r="Y47" s="63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21" customHeight="1" x14ac:dyDescent="0.15">
      <c r="A48" s="113">
        <v>39005047</v>
      </c>
      <c r="B48" s="47" t="s">
        <v>239</v>
      </c>
      <c r="C48" s="50">
        <v>3</v>
      </c>
      <c r="D48" s="50" t="s">
        <v>128</v>
      </c>
      <c r="E48" s="51" t="s">
        <v>235</v>
      </c>
      <c r="F48" s="51" t="s">
        <v>347</v>
      </c>
      <c r="G48" s="63" t="str">
        <f t="shared" si="67"/>
        <v>[effect:change_block, new_block:block_heart, target:block_all, count:5, val:0, animation:change_block]</v>
      </c>
      <c r="H48" s="63">
        <f t="shared" si="68"/>
        <v>9</v>
      </c>
      <c r="I48" s="63">
        <f t="shared" si="69"/>
        <v>21</v>
      </c>
      <c r="J48" s="63">
        <f t="shared" si="70"/>
        <v>53</v>
      </c>
      <c r="K48" s="63">
        <f t="shared" si="71"/>
        <v>44</v>
      </c>
      <c r="L48" s="63" t="str">
        <f>IFERROR(VLOOKUP(MID(G48,J48,K48-J48),[6]skilldef!$C:$D,2,FALSE),"-") &amp; " / " &amp; IFERROR(VLOOKUP(MID(G48,H48,I48-H48),[6]skilldef!$A:$B,2,FALSE),"-")</f>
        <v>- / ブロック変換</v>
      </c>
      <c r="M48" s="63" t="str">
        <f t="shared" si="72"/>
        <v>none</v>
      </c>
      <c r="N48" s="48" t="str">
        <f>IFERROR(LEFT(M48,FIND("],",M48)+#REF!),M48)</f>
        <v>none</v>
      </c>
      <c r="O48" s="63" t="e">
        <f t="shared" si="73"/>
        <v>#VALUE!</v>
      </c>
      <c r="P48" s="63">
        <f t="shared" si="74"/>
        <v>4</v>
      </c>
      <c r="Q48" s="63" t="e">
        <f t="shared" si="75"/>
        <v>#VALUE!</v>
      </c>
      <c r="R48" s="63" t="e">
        <f t="shared" si="76"/>
        <v>#VALUE!</v>
      </c>
      <c r="S48" s="63" t="str">
        <f>IFERROR(VLOOKUP(MID(N48,Q48,R48-Q48),[6]skilldef!$C:$D,2,FALSE),"-") &amp; " / " &amp; IFERROR(VLOOKUP(MID(N48,O48,P48-O48),[6]skilldef!$A:$B,2,FALSE),"-")</f>
        <v>- / -</v>
      </c>
      <c r="T48" s="48" t="str">
        <f t="shared" si="77"/>
        <v>none</v>
      </c>
      <c r="U48" s="63" t="e">
        <f t="shared" si="78"/>
        <v>#VALUE!</v>
      </c>
      <c r="V48" s="63">
        <f t="shared" si="79"/>
        <v>4</v>
      </c>
      <c r="W48" s="63" t="e">
        <f t="shared" si="80"/>
        <v>#VALUE!</v>
      </c>
      <c r="X48" s="63" t="e">
        <f t="shared" si="81"/>
        <v>#VALUE!</v>
      </c>
      <c r="Y48" s="63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21" customHeight="1" x14ac:dyDescent="0.15">
      <c r="A49" s="113">
        <v>39005048</v>
      </c>
      <c r="B49" s="47" t="s">
        <v>239</v>
      </c>
      <c r="C49" s="50">
        <v>3</v>
      </c>
      <c r="D49" s="50" t="s">
        <v>128</v>
      </c>
      <c r="E49" s="51" t="s">
        <v>235</v>
      </c>
      <c r="F49" s="51" t="s">
        <v>347</v>
      </c>
      <c r="G49" s="63" t="str">
        <f t="shared" si="67"/>
        <v>[effect:change_block, new_block:block_heart, target:block_all, count:5, val:0, animation:change_block]</v>
      </c>
      <c r="H49" s="63">
        <f t="shared" si="68"/>
        <v>9</v>
      </c>
      <c r="I49" s="63">
        <f t="shared" si="69"/>
        <v>21</v>
      </c>
      <c r="J49" s="63">
        <f t="shared" si="70"/>
        <v>53</v>
      </c>
      <c r="K49" s="63">
        <f t="shared" si="71"/>
        <v>44</v>
      </c>
      <c r="L49" s="63" t="str">
        <f>IFERROR(VLOOKUP(MID(G49,J49,K49-J49),[6]skilldef!$C:$D,2,FALSE),"-") &amp; " / " &amp; IFERROR(VLOOKUP(MID(G49,H49,I49-H49),[6]skilldef!$A:$B,2,FALSE),"-")</f>
        <v>- / ブロック変換</v>
      </c>
      <c r="M49" s="63" t="str">
        <f t="shared" si="72"/>
        <v>none</v>
      </c>
      <c r="N49" s="48" t="str">
        <f>IFERROR(LEFT(M49,FIND("],",M49)+#REF!),M49)</f>
        <v>none</v>
      </c>
      <c r="O49" s="63" t="e">
        <f t="shared" si="73"/>
        <v>#VALUE!</v>
      </c>
      <c r="P49" s="63">
        <f t="shared" si="74"/>
        <v>4</v>
      </c>
      <c r="Q49" s="63" t="e">
        <f t="shared" si="75"/>
        <v>#VALUE!</v>
      </c>
      <c r="R49" s="63" t="e">
        <f t="shared" si="76"/>
        <v>#VALUE!</v>
      </c>
      <c r="S49" s="63" t="str">
        <f>IFERROR(VLOOKUP(MID(N49,Q49,R49-Q49),[6]skilldef!$C:$D,2,FALSE),"-") &amp; " / " &amp; IFERROR(VLOOKUP(MID(N49,O49,P49-O49),[6]skilldef!$A:$B,2,FALSE),"-")</f>
        <v>- / -</v>
      </c>
      <c r="T49" s="48" t="str">
        <f t="shared" si="77"/>
        <v>none</v>
      </c>
      <c r="U49" s="63" t="e">
        <f t="shared" si="78"/>
        <v>#VALUE!</v>
      </c>
      <c r="V49" s="63">
        <f t="shared" si="79"/>
        <v>4</v>
      </c>
      <c r="W49" s="63" t="e">
        <f t="shared" si="80"/>
        <v>#VALUE!</v>
      </c>
      <c r="X49" s="63" t="e">
        <f t="shared" si="81"/>
        <v>#VALUE!</v>
      </c>
      <c r="Y49" s="63" t="str">
        <f>IFERROR(VLOOKUP(MID(T49,W49,X49-W49),[6]skilldef!$C:$D,2,FALSE),"-") &amp; " / " &amp; IFERROR(VLOOKUP(MID(T49,U49,V49-U49),[6]skilldef!$A:$B,2,FALSE),"-")</f>
        <v>- / -</v>
      </c>
      <c r="Z49" s="50"/>
      <c r="AA49" s="52"/>
      <c r="AB49" s="50"/>
    </row>
    <row r="50" spans="1:28" ht="21" customHeight="1" x14ac:dyDescent="0.15">
      <c r="A50" s="113">
        <v>39005049</v>
      </c>
      <c r="B50" s="47" t="s">
        <v>239</v>
      </c>
      <c r="C50" s="50">
        <v>3</v>
      </c>
      <c r="D50" s="50" t="s">
        <v>128</v>
      </c>
      <c r="E50" s="51" t="s">
        <v>236</v>
      </c>
      <c r="F50" s="51" t="s">
        <v>347</v>
      </c>
      <c r="G50" s="63" t="str">
        <f t="shared" si="67"/>
        <v>[effect:change_block, new_block:block_heart, target:block_all, count:5, val:0, animation:change_block]</v>
      </c>
      <c r="H50" s="63">
        <f t="shared" si="68"/>
        <v>9</v>
      </c>
      <c r="I50" s="63">
        <f t="shared" si="69"/>
        <v>21</v>
      </c>
      <c r="J50" s="63">
        <f t="shared" si="70"/>
        <v>53</v>
      </c>
      <c r="K50" s="63">
        <f t="shared" si="71"/>
        <v>44</v>
      </c>
      <c r="L50" s="63" t="str">
        <f>IFERROR(VLOOKUP(MID(G50,J50,K50-J50),[6]skilldef!$C:$D,2,FALSE),"-") &amp; " / " &amp; IFERROR(VLOOKUP(MID(G50,H50,I50-H50),[6]skilldef!$A:$B,2,FALSE),"-")</f>
        <v>- / ブロック変換</v>
      </c>
      <c r="M50" s="63" t="str">
        <f t="shared" si="72"/>
        <v>none</v>
      </c>
      <c r="N50" s="48" t="str">
        <f>IFERROR(LEFT(M50,FIND("],",M50)+#REF!),M50)</f>
        <v>none</v>
      </c>
      <c r="O50" s="63" t="e">
        <f t="shared" si="73"/>
        <v>#VALUE!</v>
      </c>
      <c r="P50" s="63">
        <f t="shared" si="74"/>
        <v>4</v>
      </c>
      <c r="Q50" s="63" t="e">
        <f t="shared" si="75"/>
        <v>#VALUE!</v>
      </c>
      <c r="R50" s="63" t="e">
        <f t="shared" si="76"/>
        <v>#VALUE!</v>
      </c>
      <c r="S50" s="63" t="str">
        <f>IFERROR(VLOOKUP(MID(N50,Q50,R50-Q50),[6]skilldef!$C:$D,2,FALSE),"-") &amp; " / " &amp; IFERROR(VLOOKUP(MID(N50,O50,P50-O50),[6]skilldef!$A:$B,2,FALSE),"-")</f>
        <v>- / -</v>
      </c>
      <c r="T50" s="48" t="str">
        <f t="shared" si="77"/>
        <v>none</v>
      </c>
      <c r="U50" s="63" t="e">
        <f t="shared" si="78"/>
        <v>#VALUE!</v>
      </c>
      <c r="V50" s="63">
        <f t="shared" si="79"/>
        <v>4</v>
      </c>
      <c r="W50" s="63" t="e">
        <f t="shared" si="80"/>
        <v>#VALUE!</v>
      </c>
      <c r="X50" s="63" t="e">
        <f t="shared" si="81"/>
        <v>#VALUE!</v>
      </c>
      <c r="Y50" s="63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ht="21" customHeight="1" x14ac:dyDescent="0.15">
      <c r="A51" s="113">
        <v>39005050</v>
      </c>
      <c r="B51" s="47" t="s">
        <v>239</v>
      </c>
      <c r="C51" s="50">
        <v>3</v>
      </c>
      <c r="D51" s="50" t="s">
        <v>128</v>
      </c>
      <c r="E51" s="51" t="s">
        <v>235</v>
      </c>
      <c r="F51" s="51" t="s">
        <v>347</v>
      </c>
      <c r="G51" s="63" t="str">
        <f t="shared" ref="G51:G52" si="83">IFERROR(LEFT(B51,FIND("],",B51)),B51)</f>
        <v>[effect:change_block, new_block:block_heart, target:block_all, count:5, val:0, animation:change_block]</v>
      </c>
      <c r="H51" s="63">
        <f t="shared" ref="H51:H52" si="84">FIND("effect:",G51)+7</f>
        <v>9</v>
      </c>
      <c r="I51" s="63">
        <f t="shared" ref="I51:I52" si="85">IFERROR(FIND(",",G51),LEN(G51))</f>
        <v>21</v>
      </c>
      <c r="J51" s="63">
        <f t="shared" ref="J51:J52" si="86">FIND("target:",G51)+7</f>
        <v>53</v>
      </c>
      <c r="K51" s="63">
        <f t="shared" ref="K51:K52" si="87">FIND(",",G51,I51+1)</f>
        <v>44</v>
      </c>
      <c r="L51" s="63" t="str">
        <f>IFERROR(VLOOKUP(MID(G51,J51,K51-J51),[6]skilldef!$C:$D,2,FALSE),"-") &amp; " / " &amp; IFERROR(VLOOKUP(MID(G51,H51,I51-H51),[6]skilldef!$A:$B,2,FALSE),"-")</f>
        <v>- / ブロック変換</v>
      </c>
      <c r="M51" s="63" t="str">
        <f t="shared" ref="M51:M52" si="88">IFERROR(RIGHT(B51,LEN(B51)-FIND("],",B51)-1),"none")</f>
        <v>none</v>
      </c>
      <c r="N51" s="48" t="str">
        <f>IFERROR(LEFT(M51,FIND("],",M51)+#REF!),M51)</f>
        <v>none</v>
      </c>
      <c r="O51" s="63" t="e">
        <f t="shared" ref="O51:O52" si="89">FIND("effect:",N51)+7</f>
        <v>#VALUE!</v>
      </c>
      <c r="P51" s="63">
        <f t="shared" ref="P51:P52" si="90">IFERROR(FIND(",",N51),LEN(N51))</f>
        <v>4</v>
      </c>
      <c r="Q51" s="63" t="e">
        <f t="shared" ref="Q51:Q52" si="91">FIND("target:",N51)+7</f>
        <v>#VALUE!</v>
      </c>
      <c r="R51" s="63" t="e">
        <f t="shared" ref="R51:R52" si="92">FIND(",",N51,P51+1)</f>
        <v>#VALUE!</v>
      </c>
      <c r="S51" s="63" t="str">
        <f>IFERROR(VLOOKUP(MID(N51,Q51,R51-Q51),[6]skilldef!$C:$D,2,FALSE),"-") &amp; " / " &amp; IFERROR(VLOOKUP(MID(N51,O51,P51-O51),[6]skilldef!$A:$B,2,FALSE),"-")</f>
        <v>- / -</v>
      </c>
      <c r="T51" s="48" t="str">
        <f t="shared" ref="T51:T52" si="93">IFERROR(RIGHT(M51,LEN(M51)-FIND("],",M51)-1),"none")</f>
        <v>none</v>
      </c>
      <c r="U51" s="63" t="e">
        <f t="shared" ref="U51:U52" si="94">FIND("effect:",T51)+7</f>
        <v>#VALUE!</v>
      </c>
      <c r="V51" s="63">
        <f t="shared" ref="V51:V52" si="95">IFERROR(FIND(",",T51),LEN(T51))</f>
        <v>4</v>
      </c>
      <c r="W51" s="63" t="e">
        <f t="shared" ref="W51:W52" si="96">FIND("target:",T51)+7</f>
        <v>#VALUE!</v>
      </c>
      <c r="X51" s="63" t="e">
        <f t="shared" ref="X51:X52" si="97">FIND(",",T51,V51+1)</f>
        <v>#VALUE!</v>
      </c>
      <c r="Y51" s="63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113">
        <v>39005051</v>
      </c>
      <c r="B52" s="47" t="s">
        <v>240</v>
      </c>
      <c r="C52" s="50">
        <v>3</v>
      </c>
      <c r="D52" s="50" t="s">
        <v>128</v>
      </c>
      <c r="E52" s="51" t="s">
        <v>235</v>
      </c>
      <c r="F52" s="51" t="s">
        <v>347</v>
      </c>
      <c r="G52" s="63" t="str">
        <f t="shared" si="83"/>
        <v>[effect:change_block, new_block:block_heart, target:block_all, count:5, val:0, animation:change_block]</v>
      </c>
      <c r="H52" s="63">
        <f t="shared" si="84"/>
        <v>9</v>
      </c>
      <c r="I52" s="63">
        <f t="shared" si="85"/>
        <v>21</v>
      </c>
      <c r="J52" s="63">
        <f t="shared" si="86"/>
        <v>53</v>
      </c>
      <c r="K52" s="63">
        <f t="shared" si="87"/>
        <v>44</v>
      </c>
      <c r="L52" s="63" t="str">
        <f>IFERROR(VLOOKUP(MID(G52,J52,K52-J52),[6]skilldef!$C:$D,2,FALSE),"-") &amp; " / " &amp; IFERROR(VLOOKUP(MID(G52,H52,I52-H52),[6]skilldef!$A:$B,2,FALSE),"-")</f>
        <v>- / ブロック変換</v>
      </c>
      <c r="M52" s="63" t="str">
        <f t="shared" si="88"/>
        <v>none</v>
      </c>
      <c r="N52" s="48" t="str">
        <f>IFERROR(LEFT(M52,FIND("],",M52)+#REF!),M52)</f>
        <v>none</v>
      </c>
      <c r="O52" s="63" t="e">
        <f t="shared" si="89"/>
        <v>#VALUE!</v>
      </c>
      <c r="P52" s="63">
        <f t="shared" si="90"/>
        <v>4</v>
      </c>
      <c r="Q52" s="63" t="e">
        <f t="shared" si="91"/>
        <v>#VALUE!</v>
      </c>
      <c r="R52" s="63" t="e">
        <f t="shared" si="92"/>
        <v>#VALUE!</v>
      </c>
      <c r="S52" s="63" t="str">
        <f>IFERROR(VLOOKUP(MID(N52,Q52,R52-Q52),[6]skilldef!$C:$D,2,FALSE),"-") &amp; " / " &amp; IFERROR(VLOOKUP(MID(N52,O52,P52-O52),[6]skilldef!$A:$B,2,FALSE),"-")</f>
        <v>- / -</v>
      </c>
      <c r="T52" s="48" t="str">
        <f t="shared" si="93"/>
        <v>none</v>
      </c>
      <c r="U52" s="63" t="e">
        <f t="shared" si="94"/>
        <v>#VALUE!</v>
      </c>
      <c r="V52" s="63">
        <f t="shared" si="95"/>
        <v>4</v>
      </c>
      <c r="W52" s="63" t="e">
        <f t="shared" si="96"/>
        <v>#VALUE!</v>
      </c>
      <c r="X52" s="63" t="e">
        <f t="shared" si="97"/>
        <v>#VALUE!</v>
      </c>
      <c r="Y52" s="63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21" customHeight="1" x14ac:dyDescent="0.15">
      <c r="A53" s="119">
        <v>39005052</v>
      </c>
      <c r="B53" s="47" t="s">
        <v>319</v>
      </c>
      <c r="C53" s="50">
        <v>3</v>
      </c>
      <c r="D53" s="50" t="s">
        <v>128</v>
      </c>
      <c r="E53" s="125" t="s">
        <v>348</v>
      </c>
      <c r="F53" s="51" t="s">
        <v>234</v>
      </c>
      <c r="G53" s="63" t="str">
        <f t="shared" si="67"/>
        <v>[effect:fix_speed, target:myself, turn:1]</v>
      </c>
      <c r="H53" s="63">
        <f t="shared" si="68"/>
        <v>9</v>
      </c>
      <c r="I53" s="63">
        <f t="shared" si="69"/>
        <v>18</v>
      </c>
      <c r="J53" s="63">
        <f t="shared" si="70"/>
        <v>27</v>
      </c>
      <c r="K53" s="63">
        <f t="shared" si="71"/>
        <v>33</v>
      </c>
      <c r="L53" s="63" t="str">
        <f>IFERROR(VLOOKUP(MID(G53,J53,K53-J53),[6]skilldef!$C:$D,2,FALSE),"-") &amp; " / " &amp; IFERROR(VLOOKUP(MID(G53,H53,I53-H53),[6]skilldef!$A:$B,2,FALSE),"-")</f>
        <v>自分自身に / 行動値設定</v>
      </c>
      <c r="M53" s="63" t="str">
        <f t="shared" si="72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53" s="48" t="str">
        <f>IFERROR(LEFT(M53,FIND("],",M53)+#REF!),M53)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53" s="63">
        <f t="shared" si="73"/>
        <v>9</v>
      </c>
      <c r="P53" s="63">
        <f t="shared" si="74"/>
        <v>18</v>
      </c>
      <c r="Q53" s="63">
        <f t="shared" si="75"/>
        <v>27</v>
      </c>
      <c r="R53" s="63">
        <f t="shared" si="76"/>
        <v>33</v>
      </c>
      <c r="S53" s="63" t="str">
        <f>IFERROR(VLOOKUP(MID(N53,Q53,R53-Q53),[6]skilldef!$C:$D,2,FALSE),"-") &amp; " / " &amp; IFERROR(VLOOKUP(MID(N53,O53,P53-O53),[6]skilldef!$A:$B,2,FALSE),"-")</f>
        <v>自分自身に / 状態異常耐性</v>
      </c>
      <c r="T53" s="48" t="str">
        <f t="shared" si="77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53" s="63">
        <f t="shared" si="78"/>
        <v>9</v>
      </c>
      <c r="V53" s="63">
        <f t="shared" si="79"/>
        <v>18</v>
      </c>
      <c r="W53" s="63">
        <f t="shared" si="80"/>
        <v>27</v>
      </c>
      <c r="X53" s="63">
        <f t="shared" si="81"/>
        <v>33</v>
      </c>
      <c r="Y53" s="63" t="str">
        <f>IFERROR(VLOOKUP(MID(T53,W53,X53-W53),[6]skilldef!$C:$D,2,FALSE),"-") &amp; " / " &amp; IFERROR(VLOOKUP(MID(T53,U53,V53-U53),[6]skilldef!$A:$B,2,FALSE),"-")</f>
        <v>自分自身に / 状態異常耐性</v>
      </c>
      <c r="Z53" s="50"/>
      <c r="AA53" s="52"/>
      <c r="AB53" s="50"/>
    </row>
    <row r="54" spans="1:28" ht="21" customHeight="1" x14ac:dyDescent="0.15">
      <c r="A54" s="119">
        <v>39005053</v>
      </c>
      <c r="B54" s="47" t="str">
        <f>B53</f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54" s="50">
        <v>3</v>
      </c>
      <c r="D54" s="50" t="s">
        <v>128</v>
      </c>
      <c r="E54" s="125" t="s">
        <v>348</v>
      </c>
      <c r="F54" s="51" t="s">
        <v>234</v>
      </c>
      <c r="G54" s="63" t="str">
        <f t="shared" si="67"/>
        <v>[effect:fix_speed, target:myself, turn:1]</v>
      </c>
      <c r="H54" s="63">
        <f t="shared" si="68"/>
        <v>9</v>
      </c>
      <c r="I54" s="63">
        <f t="shared" si="69"/>
        <v>18</v>
      </c>
      <c r="J54" s="63">
        <f t="shared" si="70"/>
        <v>27</v>
      </c>
      <c r="K54" s="63">
        <f t="shared" si="71"/>
        <v>33</v>
      </c>
      <c r="L54" s="63" t="str">
        <f>IFERROR(VLOOKUP(MID(G54,J54,K54-J54),[6]skilldef!$C:$D,2,FALSE),"-") &amp; " / " &amp; IFERROR(VLOOKUP(MID(G54,H54,I54-H54),[6]skilldef!$A:$B,2,FALSE),"-")</f>
        <v>自分自身に / 行動値設定</v>
      </c>
      <c r="M54" s="63" t="str">
        <f t="shared" si="72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54" s="48" t="str">
        <f>IFERROR(LEFT(M54,FIND("],",M54)+#REF!),M54)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54" s="63">
        <f t="shared" si="73"/>
        <v>9</v>
      </c>
      <c r="P54" s="63">
        <f t="shared" si="74"/>
        <v>18</v>
      </c>
      <c r="Q54" s="63">
        <f t="shared" si="75"/>
        <v>27</v>
      </c>
      <c r="R54" s="63">
        <f t="shared" si="76"/>
        <v>33</v>
      </c>
      <c r="S54" s="63" t="str">
        <f>IFERROR(VLOOKUP(MID(N54,Q54,R54-Q54),[6]skilldef!$C:$D,2,FALSE),"-") &amp; " / " &amp; IFERROR(VLOOKUP(MID(N54,O54,P54-O54),[6]skilldef!$A:$B,2,FALSE),"-")</f>
        <v>自分自身に / 状態異常耐性</v>
      </c>
      <c r="T54" s="48" t="str">
        <f t="shared" si="77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54" s="63">
        <f t="shared" si="78"/>
        <v>9</v>
      </c>
      <c r="V54" s="63">
        <f t="shared" si="79"/>
        <v>18</v>
      </c>
      <c r="W54" s="63">
        <f t="shared" si="80"/>
        <v>27</v>
      </c>
      <c r="X54" s="63">
        <f t="shared" si="81"/>
        <v>33</v>
      </c>
      <c r="Y54" s="63" t="str">
        <f>IFERROR(VLOOKUP(MID(T54,W54,X54-W54),[6]skilldef!$C:$D,2,FALSE),"-") &amp; " / " &amp; IFERROR(VLOOKUP(MID(T54,U54,V54-U54),[6]skilldef!$A:$B,2,FALSE),"-")</f>
        <v>自分自身に / 状態異常耐性</v>
      </c>
      <c r="Z54" s="50"/>
      <c r="AA54" s="52"/>
      <c r="AB54" s="50"/>
    </row>
    <row r="55" spans="1:28" ht="21" customHeight="1" x14ac:dyDescent="0.15">
      <c r="A55" s="119">
        <v>39005054</v>
      </c>
      <c r="B55" s="47" t="str">
        <f t="shared" ref="B55:B76" si="98">B54</f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55" s="50">
        <v>3</v>
      </c>
      <c r="D55" s="50" t="s">
        <v>128</v>
      </c>
      <c r="E55" s="125" t="s">
        <v>348</v>
      </c>
      <c r="F55" s="51" t="s">
        <v>234</v>
      </c>
      <c r="G55" s="63" t="str">
        <f t="shared" ref="G55:G74" si="99">IFERROR(LEFT(B55,FIND("],",B55)),B55)</f>
        <v>[effect:fix_speed, target:myself, turn:1]</v>
      </c>
      <c r="H55" s="63">
        <f t="shared" ref="H55:H74" si="100">FIND("effect:",G55)+7</f>
        <v>9</v>
      </c>
      <c r="I55" s="63">
        <f t="shared" ref="I55:I74" si="101">IFERROR(FIND(",",G55),LEN(G55))</f>
        <v>18</v>
      </c>
      <c r="J55" s="63">
        <f t="shared" ref="J55:J74" si="102">FIND("target:",G55)+7</f>
        <v>27</v>
      </c>
      <c r="K55" s="63">
        <f t="shared" ref="K55:K74" si="103">FIND(",",G55,I55+1)</f>
        <v>33</v>
      </c>
      <c r="L55" s="63" t="str">
        <f>IFERROR(VLOOKUP(MID(G55,J55,K55-J55),[6]skilldef!$C:$D,2,FALSE),"-") &amp; " / " &amp; IFERROR(VLOOKUP(MID(G55,H55,I55-H55),[6]skilldef!$A:$B,2,FALSE),"-")</f>
        <v>自分自身に / 行動値設定</v>
      </c>
      <c r="M55" s="63" t="str">
        <f t="shared" ref="M55:M74" si="104">IFERROR(RIGHT(B55,LEN(B55)-FIND("],",B55)-1),"none")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55" s="48" t="str">
        <f>IFERROR(LEFT(M55,FIND("],",M55)+#REF!),M55)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55" s="63">
        <f t="shared" ref="O55:O74" si="105">FIND("effect:",N55)+7</f>
        <v>9</v>
      </c>
      <c r="P55" s="63">
        <f t="shared" ref="P55:P74" si="106">IFERROR(FIND(",",N55),LEN(N55))</f>
        <v>18</v>
      </c>
      <c r="Q55" s="63">
        <f t="shared" ref="Q55:Q74" si="107">FIND("target:",N55)+7</f>
        <v>27</v>
      </c>
      <c r="R55" s="63">
        <f t="shared" ref="R55:R74" si="108">FIND(",",N55,P55+1)</f>
        <v>33</v>
      </c>
      <c r="S55" s="63" t="str">
        <f>IFERROR(VLOOKUP(MID(N55,Q55,R55-Q55),[6]skilldef!$C:$D,2,FALSE),"-") &amp; " / " &amp; IFERROR(VLOOKUP(MID(N55,O55,P55-O55),[6]skilldef!$A:$B,2,FALSE),"-")</f>
        <v>自分自身に / 状態異常耐性</v>
      </c>
      <c r="T55" s="48" t="str">
        <f t="shared" ref="T55:T74" si="109">IFERROR(RIGHT(M55,LEN(M55)-FIND("],",M55)-1),"none")</f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55" s="63">
        <f t="shared" ref="U55:U74" si="110">FIND("effect:",T55)+7</f>
        <v>9</v>
      </c>
      <c r="V55" s="63">
        <f t="shared" ref="V55:V74" si="111">IFERROR(FIND(",",T55),LEN(T55))</f>
        <v>18</v>
      </c>
      <c r="W55" s="63">
        <f t="shared" ref="W55:W74" si="112">FIND("target:",T55)+7</f>
        <v>27</v>
      </c>
      <c r="X55" s="63">
        <f t="shared" ref="X55:X74" si="113">FIND(",",T55,V55+1)</f>
        <v>33</v>
      </c>
      <c r="Y55" s="63" t="str">
        <f>IFERROR(VLOOKUP(MID(T55,W55,X55-W55),[6]skilldef!$C:$D,2,FALSE),"-") &amp; " / " &amp; IFERROR(VLOOKUP(MID(T55,U55,V55-U55),[6]skilldef!$A:$B,2,FALSE),"-")</f>
        <v>自分自身に / 状態異常耐性</v>
      </c>
      <c r="Z55" s="50"/>
      <c r="AA55" s="52"/>
      <c r="AB55" s="50"/>
    </row>
    <row r="56" spans="1:28" ht="21" customHeight="1" x14ac:dyDescent="0.15">
      <c r="A56" s="119">
        <v>39005055</v>
      </c>
      <c r="B56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56" s="50">
        <v>3</v>
      </c>
      <c r="D56" s="50" t="s">
        <v>128</v>
      </c>
      <c r="E56" s="125" t="s">
        <v>348</v>
      </c>
      <c r="F56" s="51" t="s">
        <v>234</v>
      </c>
      <c r="G56" s="63" t="str">
        <f t="shared" si="99"/>
        <v>[effect:fix_speed, target:myself, turn:1]</v>
      </c>
      <c r="H56" s="63">
        <f t="shared" si="100"/>
        <v>9</v>
      </c>
      <c r="I56" s="63">
        <f t="shared" si="101"/>
        <v>18</v>
      </c>
      <c r="J56" s="63">
        <f t="shared" si="102"/>
        <v>27</v>
      </c>
      <c r="K56" s="63">
        <f t="shared" si="103"/>
        <v>33</v>
      </c>
      <c r="L56" s="63" t="str">
        <f>IFERROR(VLOOKUP(MID(G56,J56,K56-J56),[6]skilldef!$C:$D,2,FALSE),"-") &amp; " / " &amp; IFERROR(VLOOKUP(MID(G56,H56,I56-H56),[6]skilldef!$A:$B,2,FALSE),"-")</f>
        <v>自分自身に / 行動値設定</v>
      </c>
      <c r="M56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56" s="48" t="str">
        <f>IFERROR(LEFT(M56,FIND("],",M56)+#REF!),M56)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56" s="63">
        <f t="shared" si="105"/>
        <v>9</v>
      </c>
      <c r="P56" s="63">
        <f t="shared" si="106"/>
        <v>18</v>
      </c>
      <c r="Q56" s="63">
        <f t="shared" si="107"/>
        <v>27</v>
      </c>
      <c r="R56" s="63">
        <f t="shared" si="108"/>
        <v>33</v>
      </c>
      <c r="S56" s="63" t="str">
        <f>IFERROR(VLOOKUP(MID(N56,Q56,R56-Q56),[6]skilldef!$C:$D,2,FALSE),"-") &amp; " / " &amp; IFERROR(VLOOKUP(MID(N56,O56,P56-O56),[6]skilldef!$A:$B,2,FALSE),"-")</f>
        <v>自分自身に / 状態異常耐性</v>
      </c>
      <c r="T56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56" s="63">
        <f t="shared" si="110"/>
        <v>9</v>
      </c>
      <c r="V56" s="63">
        <f t="shared" si="111"/>
        <v>18</v>
      </c>
      <c r="W56" s="63">
        <f t="shared" si="112"/>
        <v>27</v>
      </c>
      <c r="X56" s="63">
        <f t="shared" si="113"/>
        <v>33</v>
      </c>
      <c r="Y56" s="63" t="str">
        <f>IFERROR(VLOOKUP(MID(T56,W56,X56-W56),[6]skilldef!$C:$D,2,FALSE),"-") &amp; " / " &amp; IFERROR(VLOOKUP(MID(T56,U56,V56-U56),[6]skilldef!$A:$B,2,FALSE),"-")</f>
        <v>自分自身に / 状態異常耐性</v>
      </c>
      <c r="Z56" s="50"/>
      <c r="AA56" s="52"/>
      <c r="AB56" s="50"/>
    </row>
    <row r="57" spans="1:28" ht="21" customHeight="1" x14ac:dyDescent="0.15">
      <c r="A57" s="119">
        <v>39005056</v>
      </c>
      <c r="B57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57" s="50">
        <v>3</v>
      </c>
      <c r="D57" s="50" t="s">
        <v>128</v>
      </c>
      <c r="E57" s="125" t="s">
        <v>348</v>
      </c>
      <c r="F57" s="51" t="s">
        <v>234</v>
      </c>
      <c r="G57" s="63" t="str">
        <f t="shared" si="99"/>
        <v>[effect:fix_speed, target:myself, turn:1]</v>
      </c>
      <c r="H57" s="63">
        <f t="shared" si="100"/>
        <v>9</v>
      </c>
      <c r="I57" s="63">
        <f t="shared" si="101"/>
        <v>18</v>
      </c>
      <c r="J57" s="63">
        <f t="shared" si="102"/>
        <v>27</v>
      </c>
      <c r="K57" s="63">
        <f t="shared" si="103"/>
        <v>33</v>
      </c>
      <c r="L57" s="63" t="str">
        <f>IFERROR(VLOOKUP(MID(G57,J57,K57-J57),[6]skilldef!$C:$D,2,FALSE),"-") &amp; " / " &amp; IFERROR(VLOOKUP(MID(G57,H57,I57-H57),[6]skilldef!$A:$B,2,FALSE),"-")</f>
        <v>自分自身に / 行動値設定</v>
      </c>
      <c r="M57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57" s="48" t="str">
        <f>IFERROR(LEFT(M57,FIND("],",M57)+#REF!),M57)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57" s="63">
        <f t="shared" si="105"/>
        <v>9</v>
      </c>
      <c r="P57" s="63">
        <f t="shared" si="106"/>
        <v>18</v>
      </c>
      <c r="Q57" s="63">
        <f t="shared" si="107"/>
        <v>27</v>
      </c>
      <c r="R57" s="63">
        <f t="shared" si="108"/>
        <v>33</v>
      </c>
      <c r="S57" s="63" t="str">
        <f>IFERROR(VLOOKUP(MID(N57,Q57,R57-Q57),[6]skilldef!$C:$D,2,FALSE),"-") &amp; " / " &amp; IFERROR(VLOOKUP(MID(N57,O57,P57-O57),[6]skilldef!$A:$B,2,FALSE),"-")</f>
        <v>自分自身に / 状態異常耐性</v>
      </c>
      <c r="T57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57" s="63">
        <f t="shared" si="110"/>
        <v>9</v>
      </c>
      <c r="V57" s="63">
        <f t="shared" si="111"/>
        <v>18</v>
      </c>
      <c r="W57" s="63">
        <f t="shared" si="112"/>
        <v>27</v>
      </c>
      <c r="X57" s="63">
        <f t="shared" si="113"/>
        <v>33</v>
      </c>
      <c r="Y57" s="63" t="str">
        <f>IFERROR(VLOOKUP(MID(T57,W57,X57-W57),[6]skilldef!$C:$D,2,FALSE),"-") &amp; " / " &amp; IFERROR(VLOOKUP(MID(T57,U57,V57-U57),[6]skilldef!$A:$B,2,FALSE),"-")</f>
        <v>自分自身に / 状態異常耐性</v>
      </c>
      <c r="Z57" s="50"/>
      <c r="AA57" s="52"/>
      <c r="AB57" s="50"/>
    </row>
    <row r="58" spans="1:28" ht="21" customHeight="1" x14ac:dyDescent="0.15">
      <c r="A58" s="119">
        <v>39005057</v>
      </c>
      <c r="B58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58" s="50">
        <v>3</v>
      </c>
      <c r="D58" s="50" t="s">
        <v>128</v>
      </c>
      <c r="E58" s="125" t="s">
        <v>348</v>
      </c>
      <c r="F58" s="51" t="s">
        <v>234</v>
      </c>
      <c r="G58" s="63" t="str">
        <f t="shared" si="99"/>
        <v>[effect:fix_speed, target:myself, turn:1]</v>
      </c>
      <c r="H58" s="63">
        <f t="shared" si="100"/>
        <v>9</v>
      </c>
      <c r="I58" s="63">
        <f t="shared" si="101"/>
        <v>18</v>
      </c>
      <c r="J58" s="63">
        <f t="shared" si="102"/>
        <v>27</v>
      </c>
      <c r="K58" s="63">
        <f t="shared" si="103"/>
        <v>33</v>
      </c>
      <c r="L58" s="63" t="str">
        <f>IFERROR(VLOOKUP(MID(G58,J58,K58-J58),[6]skilldef!$C:$D,2,FALSE),"-") &amp; " / " &amp; IFERROR(VLOOKUP(MID(G58,H58,I58-H58),[6]skilldef!$A:$B,2,FALSE),"-")</f>
        <v>自分自身に / 行動値設定</v>
      </c>
      <c r="M58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58" s="48" t="str">
        <f>IFERROR(LEFT(M58,FIND("],",M58)+#REF!),M58)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58" s="63">
        <f t="shared" si="105"/>
        <v>9</v>
      </c>
      <c r="P58" s="63">
        <f t="shared" si="106"/>
        <v>18</v>
      </c>
      <c r="Q58" s="63">
        <f t="shared" si="107"/>
        <v>27</v>
      </c>
      <c r="R58" s="63">
        <f t="shared" si="108"/>
        <v>33</v>
      </c>
      <c r="S58" s="63" t="str">
        <f>IFERROR(VLOOKUP(MID(N58,Q58,R58-Q58),[6]skilldef!$C:$D,2,FALSE),"-") &amp; " / " &amp; IFERROR(VLOOKUP(MID(N58,O58,P58-O58),[6]skilldef!$A:$B,2,FALSE),"-")</f>
        <v>自分自身に / 状態異常耐性</v>
      </c>
      <c r="T58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58" s="63">
        <f t="shared" si="110"/>
        <v>9</v>
      </c>
      <c r="V58" s="63">
        <f t="shared" si="111"/>
        <v>18</v>
      </c>
      <c r="W58" s="63">
        <f t="shared" si="112"/>
        <v>27</v>
      </c>
      <c r="X58" s="63">
        <f t="shared" si="113"/>
        <v>33</v>
      </c>
      <c r="Y58" s="63" t="str">
        <f>IFERROR(VLOOKUP(MID(T58,W58,X58-W58),[6]skilldef!$C:$D,2,FALSE),"-") &amp; " / " &amp; IFERROR(VLOOKUP(MID(T58,U58,V58-U58),[6]skilldef!$A:$B,2,FALSE),"-")</f>
        <v>自分自身に / 状態異常耐性</v>
      </c>
      <c r="Z58" s="50"/>
      <c r="AA58" s="52"/>
      <c r="AB58" s="50"/>
    </row>
    <row r="59" spans="1:28" ht="21" customHeight="1" x14ac:dyDescent="0.15">
      <c r="A59" s="119">
        <v>39005058</v>
      </c>
      <c r="B59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59" s="50">
        <v>3</v>
      </c>
      <c r="D59" s="50" t="s">
        <v>128</v>
      </c>
      <c r="E59" s="125" t="s">
        <v>348</v>
      </c>
      <c r="F59" s="51" t="s">
        <v>234</v>
      </c>
      <c r="G59" s="63" t="str">
        <f t="shared" si="99"/>
        <v>[effect:fix_speed, target:myself, turn:1]</v>
      </c>
      <c r="H59" s="63">
        <f t="shared" si="100"/>
        <v>9</v>
      </c>
      <c r="I59" s="63">
        <f t="shared" si="101"/>
        <v>18</v>
      </c>
      <c r="J59" s="63">
        <f t="shared" si="102"/>
        <v>27</v>
      </c>
      <c r="K59" s="63">
        <f t="shared" si="103"/>
        <v>33</v>
      </c>
      <c r="L59" s="63" t="str">
        <f>IFERROR(VLOOKUP(MID(G59,J59,K59-J59),[6]skilldef!$C:$D,2,FALSE),"-") &amp; " / " &amp; IFERROR(VLOOKUP(MID(G59,H59,I59-H59),[6]skilldef!$A:$B,2,FALSE),"-")</f>
        <v>自分自身に / 行動値設定</v>
      </c>
      <c r="M59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59" s="48" t="str">
        <f t="shared" ref="N59:N64" si="114">IFERROR(LEFT(M59,FIND("],",M59)+S69),M59)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59" s="63">
        <f t="shared" si="105"/>
        <v>9</v>
      </c>
      <c r="P59" s="63">
        <f t="shared" si="106"/>
        <v>18</v>
      </c>
      <c r="Q59" s="63">
        <f t="shared" si="107"/>
        <v>27</v>
      </c>
      <c r="R59" s="63">
        <f t="shared" si="108"/>
        <v>33</v>
      </c>
      <c r="S59" s="63" t="str">
        <f>IFERROR(VLOOKUP(MID(N59,Q59,R59-Q59),[6]skilldef!$C:$D,2,FALSE),"-") &amp; " / " &amp; IFERROR(VLOOKUP(MID(N59,O59,P59-O59),[6]skilldef!$A:$B,2,FALSE),"-")</f>
        <v>自分自身に / 状態異常耐性</v>
      </c>
      <c r="T59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59" s="63">
        <f t="shared" si="110"/>
        <v>9</v>
      </c>
      <c r="V59" s="63">
        <f t="shared" si="111"/>
        <v>18</v>
      </c>
      <c r="W59" s="63">
        <f t="shared" si="112"/>
        <v>27</v>
      </c>
      <c r="X59" s="63">
        <f t="shared" si="113"/>
        <v>33</v>
      </c>
      <c r="Y59" s="63" t="str">
        <f>IFERROR(VLOOKUP(MID(T59,W59,X59-W59),[6]skilldef!$C:$D,2,FALSE),"-") &amp; " / " &amp; IFERROR(VLOOKUP(MID(T59,U59,V59-U59),[6]skilldef!$A:$B,2,FALSE),"-")</f>
        <v>自分自身に / 状態異常耐性</v>
      </c>
      <c r="Z59" s="50"/>
      <c r="AA59" s="52"/>
      <c r="AB59" s="50"/>
    </row>
    <row r="60" spans="1:28" ht="21" customHeight="1" x14ac:dyDescent="0.15">
      <c r="A60" s="119">
        <v>39005059</v>
      </c>
      <c r="B60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0" s="50">
        <v>3</v>
      </c>
      <c r="D60" s="50" t="s">
        <v>128</v>
      </c>
      <c r="E60" s="125" t="s">
        <v>348</v>
      </c>
      <c r="F60" s="51" t="s">
        <v>234</v>
      </c>
      <c r="G60" s="63" t="str">
        <f t="shared" si="99"/>
        <v>[effect:fix_speed, target:myself, turn:1]</v>
      </c>
      <c r="H60" s="63">
        <f t="shared" si="100"/>
        <v>9</v>
      </c>
      <c r="I60" s="63">
        <f t="shared" si="101"/>
        <v>18</v>
      </c>
      <c r="J60" s="63">
        <f t="shared" si="102"/>
        <v>27</v>
      </c>
      <c r="K60" s="63">
        <f t="shared" si="103"/>
        <v>33</v>
      </c>
      <c r="L60" s="63" t="str">
        <f>IFERROR(VLOOKUP(MID(G60,J60,K60-J60),[6]skilldef!$C:$D,2,FALSE),"-") &amp; " / " &amp; IFERROR(VLOOKUP(MID(G60,H60,I60-H60),[6]skilldef!$A:$B,2,FALSE),"-")</f>
        <v>自分自身に / 行動値設定</v>
      </c>
      <c r="M60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0" s="48" t="str">
        <f t="shared" si="11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0" s="63">
        <f t="shared" si="105"/>
        <v>9</v>
      </c>
      <c r="P60" s="63">
        <f t="shared" si="106"/>
        <v>18</v>
      </c>
      <c r="Q60" s="63">
        <f t="shared" si="107"/>
        <v>27</v>
      </c>
      <c r="R60" s="63">
        <f t="shared" si="108"/>
        <v>33</v>
      </c>
      <c r="S60" s="63" t="str">
        <f>IFERROR(VLOOKUP(MID(N60,Q60,R60-Q60),[6]skilldef!$C:$D,2,FALSE),"-") &amp; " / " &amp; IFERROR(VLOOKUP(MID(N60,O60,P60-O60),[6]skilldef!$A:$B,2,FALSE),"-")</f>
        <v>自分自身に / 状態異常耐性</v>
      </c>
      <c r="T60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0" s="63">
        <f t="shared" si="110"/>
        <v>9</v>
      </c>
      <c r="V60" s="63">
        <f t="shared" si="111"/>
        <v>18</v>
      </c>
      <c r="W60" s="63">
        <f t="shared" si="112"/>
        <v>27</v>
      </c>
      <c r="X60" s="63">
        <f t="shared" si="113"/>
        <v>33</v>
      </c>
      <c r="Y60" s="63" t="str">
        <f>IFERROR(VLOOKUP(MID(T60,W60,X60-W60),[6]skilldef!$C:$D,2,FALSE),"-") &amp; " / " &amp; IFERROR(VLOOKUP(MID(T60,U60,V60-U60),[6]skilldef!$A:$B,2,FALSE),"-")</f>
        <v>自分自身に / 状態異常耐性</v>
      </c>
      <c r="Z60" s="50"/>
      <c r="AA60" s="52"/>
      <c r="AB60" s="50"/>
    </row>
    <row r="61" spans="1:28" ht="21" customHeight="1" x14ac:dyDescent="0.15">
      <c r="A61" s="119">
        <v>39005060</v>
      </c>
      <c r="B61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1" s="50">
        <v>3</v>
      </c>
      <c r="D61" s="50" t="s">
        <v>128</v>
      </c>
      <c r="E61" s="125" t="s">
        <v>348</v>
      </c>
      <c r="F61" s="51" t="s">
        <v>234</v>
      </c>
      <c r="G61" s="63" t="str">
        <f t="shared" si="99"/>
        <v>[effect:fix_speed, target:myself, turn:1]</v>
      </c>
      <c r="H61" s="63">
        <f t="shared" si="100"/>
        <v>9</v>
      </c>
      <c r="I61" s="63">
        <f t="shared" si="101"/>
        <v>18</v>
      </c>
      <c r="J61" s="63">
        <f t="shared" si="102"/>
        <v>27</v>
      </c>
      <c r="K61" s="63">
        <f t="shared" si="103"/>
        <v>33</v>
      </c>
      <c r="L61" s="63" t="str">
        <f>IFERROR(VLOOKUP(MID(G61,J61,K61-J61),[6]skilldef!$C:$D,2,FALSE),"-") &amp; " / " &amp; IFERROR(VLOOKUP(MID(G61,H61,I61-H61),[6]skilldef!$A:$B,2,FALSE),"-")</f>
        <v>自分自身に / 行動値設定</v>
      </c>
      <c r="M61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1" s="48" t="str">
        <f t="shared" si="11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1" s="63">
        <f t="shared" si="105"/>
        <v>9</v>
      </c>
      <c r="P61" s="63">
        <f t="shared" si="106"/>
        <v>18</v>
      </c>
      <c r="Q61" s="63">
        <f t="shared" si="107"/>
        <v>27</v>
      </c>
      <c r="R61" s="63">
        <f t="shared" si="108"/>
        <v>33</v>
      </c>
      <c r="S61" s="63" t="str">
        <f>IFERROR(VLOOKUP(MID(N61,Q61,R61-Q61),[6]skilldef!$C:$D,2,FALSE),"-") &amp; " / " &amp; IFERROR(VLOOKUP(MID(N61,O61,P61-O61),[6]skilldef!$A:$B,2,FALSE),"-")</f>
        <v>自分自身に / 状態異常耐性</v>
      </c>
      <c r="T61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1" s="63">
        <f t="shared" si="110"/>
        <v>9</v>
      </c>
      <c r="V61" s="63">
        <f t="shared" si="111"/>
        <v>18</v>
      </c>
      <c r="W61" s="63">
        <f t="shared" si="112"/>
        <v>27</v>
      </c>
      <c r="X61" s="63">
        <f t="shared" si="113"/>
        <v>33</v>
      </c>
      <c r="Y61" s="63" t="str">
        <f>IFERROR(VLOOKUP(MID(T61,W61,X61-W61),[6]skilldef!$C:$D,2,FALSE),"-") &amp; " / " &amp; IFERROR(VLOOKUP(MID(T61,U61,V61-U61),[6]skilldef!$A:$B,2,FALSE),"-")</f>
        <v>自分自身に / 状態異常耐性</v>
      </c>
      <c r="Z61" s="50"/>
      <c r="AA61" s="52"/>
      <c r="AB61" s="50"/>
    </row>
    <row r="62" spans="1:28" ht="21" customHeight="1" x14ac:dyDescent="0.15">
      <c r="A62" s="119">
        <v>39005061</v>
      </c>
      <c r="B62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2" s="50">
        <v>3</v>
      </c>
      <c r="D62" s="50" t="s">
        <v>128</v>
      </c>
      <c r="E62" s="125" t="s">
        <v>348</v>
      </c>
      <c r="F62" s="51" t="s">
        <v>234</v>
      </c>
      <c r="G62" s="63" t="str">
        <f t="shared" si="99"/>
        <v>[effect:fix_speed, target:myself, turn:1]</v>
      </c>
      <c r="H62" s="63">
        <f t="shared" si="100"/>
        <v>9</v>
      </c>
      <c r="I62" s="63">
        <f t="shared" si="101"/>
        <v>18</v>
      </c>
      <c r="J62" s="63">
        <f t="shared" si="102"/>
        <v>27</v>
      </c>
      <c r="K62" s="63">
        <f t="shared" si="103"/>
        <v>33</v>
      </c>
      <c r="L62" s="63" t="str">
        <f>IFERROR(VLOOKUP(MID(G62,J62,K62-J62),[6]skilldef!$C:$D,2,FALSE),"-") &amp; " / " &amp; IFERROR(VLOOKUP(MID(G62,H62,I62-H62),[6]skilldef!$A:$B,2,FALSE),"-")</f>
        <v>自分自身に / 行動値設定</v>
      </c>
      <c r="M62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2" s="48" t="str">
        <f t="shared" si="11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2" s="63">
        <f t="shared" si="105"/>
        <v>9</v>
      </c>
      <c r="P62" s="63">
        <f t="shared" si="106"/>
        <v>18</v>
      </c>
      <c r="Q62" s="63">
        <f t="shared" si="107"/>
        <v>27</v>
      </c>
      <c r="R62" s="63">
        <f t="shared" si="108"/>
        <v>33</v>
      </c>
      <c r="S62" s="63" t="str">
        <f>IFERROR(VLOOKUP(MID(N62,Q62,R62-Q62),[6]skilldef!$C:$D,2,FALSE),"-") &amp; " / " &amp; IFERROR(VLOOKUP(MID(N62,O62,P62-O62),[6]skilldef!$A:$B,2,FALSE),"-")</f>
        <v>自分自身に / 状態異常耐性</v>
      </c>
      <c r="T62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2" s="63">
        <f t="shared" si="110"/>
        <v>9</v>
      </c>
      <c r="V62" s="63">
        <f t="shared" si="111"/>
        <v>18</v>
      </c>
      <c r="W62" s="63">
        <f t="shared" si="112"/>
        <v>27</v>
      </c>
      <c r="X62" s="63">
        <f t="shared" si="113"/>
        <v>33</v>
      </c>
      <c r="Y62" s="63" t="str">
        <f>IFERROR(VLOOKUP(MID(T62,W62,X62-W62),[6]skilldef!$C:$D,2,FALSE),"-") &amp; " / " &amp; IFERROR(VLOOKUP(MID(T62,U62,V62-U62),[6]skilldef!$A:$B,2,FALSE),"-")</f>
        <v>自分自身に / 状態異常耐性</v>
      </c>
      <c r="Z62" s="50"/>
      <c r="AA62" s="52"/>
      <c r="AB62" s="50"/>
    </row>
    <row r="63" spans="1:28" ht="21" customHeight="1" x14ac:dyDescent="0.15">
      <c r="A63" s="119">
        <v>39005062</v>
      </c>
      <c r="B63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3" s="50">
        <v>3</v>
      </c>
      <c r="D63" s="50" t="s">
        <v>128</v>
      </c>
      <c r="E63" s="125" t="s">
        <v>348</v>
      </c>
      <c r="F63" s="51" t="s">
        <v>234</v>
      </c>
      <c r="G63" s="63" t="str">
        <f t="shared" si="99"/>
        <v>[effect:fix_speed, target:myself, turn:1]</v>
      </c>
      <c r="H63" s="63">
        <f t="shared" si="100"/>
        <v>9</v>
      </c>
      <c r="I63" s="63">
        <f t="shared" si="101"/>
        <v>18</v>
      </c>
      <c r="J63" s="63">
        <f t="shared" si="102"/>
        <v>27</v>
      </c>
      <c r="K63" s="63">
        <f t="shared" si="103"/>
        <v>33</v>
      </c>
      <c r="L63" s="63" t="str">
        <f>IFERROR(VLOOKUP(MID(G63,J63,K63-J63),[6]skilldef!$C:$D,2,FALSE),"-") &amp; " / " &amp; IFERROR(VLOOKUP(MID(G63,H63,I63-H63),[6]skilldef!$A:$B,2,FALSE),"-")</f>
        <v>自分自身に / 行動値設定</v>
      </c>
      <c r="M63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3" s="48" t="str">
        <f t="shared" si="11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3" s="63">
        <f t="shared" si="105"/>
        <v>9</v>
      </c>
      <c r="P63" s="63">
        <f t="shared" si="106"/>
        <v>18</v>
      </c>
      <c r="Q63" s="63">
        <f t="shared" si="107"/>
        <v>27</v>
      </c>
      <c r="R63" s="63">
        <f t="shared" si="108"/>
        <v>33</v>
      </c>
      <c r="S63" s="63" t="str">
        <f>IFERROR(VLOOKUP(MID(N63,Q63,R63-Q63),[6]skilldef!$C:$D,2,FALSE),"-") &amp; " / " &amp; IFERROR(VLOOKUP(MID(N63,O63,P63-O63),[6]skilldef!$A:$B,2,FALSE),"-")</f>
        <v>自分自身に / 状態異常耐性</v>
      </c>
      <c r="T63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3" s="63">
        <f t="shared" si="110"/>
        <v>9</v>
      </c>
      <c r="V63" s="63">
        <f t="shared" si="111"/>
        <v>18</v>
      </c>
      <c r="W63" s="63">
        <f t="shared" si="112"/>
        <v>27</v>
      </c>
      <c r="X63" s="63">
        <f t="shared" si="113"/>
        <v>33</v>
      </c>
      <c r="Y63" s="63" t="str">
        <f>IFERROR(VLOOKUP(MID(T63,W63,X63-W63),[6]skilldef!$C:$D,2,FALSE),"-") &amp; " / " &amp; IFERROR(VLOOKUP(MID(T63,U63,V63-U63),[6]skilldef!$A:$B,2,FALSE),"-")</f>
        <v>自分自身に / 状態異常耐性</v>
      </c>
      <c r="Z63" s="50"/>
      <c r="AA63" s="52"/>
      <c r="AB63" s="50"/>
    </row>
    <row r="64" spans="1:28" ht="21" customHeight="1" x14ac:dyDescent="0.15">
      <c r="A64" s="119">
        <v>39005063</v>
      </c>
      <c r="B64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4" s="50">
        <v>3</v>
      </c>
      <c r="D64" s="50" t="s">
        <v>128</v>
      </c>
      <c r="E64" s="125" t="s">
        <v>348</v>
      </c>
      <c r="F64" s="51" t="s">
        <v>234</v>
      </c>
      <c r="G64" s="63" t="str">
        <f t="shared" si="99"/>
        <v>[effect:fix_speed, target:myself, turn:1]</v>
      </c>
      <c r="H64" s="63">
        <f t="shared" si="100"/>
        <v>9</v>
      </c>
      <c r="I64" s="63">
        <f t="shared" si="101"/>
        <v>18</v>
      </c>
      <c r="J64" s="63">
        <f t="shared" si="102"/>
        <v>27</v>
      </c>
      <c r="K64" s="63">
        <f t="shared" si="103"/>
        <v>33</v>
      </c>
      <c r="L64" s="63" t="str">
        <f>IFERROR(VLOOKUP(MID(G64,J64,K64-J64),[6]skilldef!$C:$D,2,FALSE),"-") &amp; " / " &amp; IFERROR(VLOOKUP(MID(G64,H64,I64-H64),[6]skilldef!$A:$B,2,FALSE),"-")</f>
        <v>自分自身に / 行動値設定</v>
      </c>
      <c r="M64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4" s="48" t="str">
        <f t="shared" si="11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4" s="63">
        <f t="shared" si="105"/>
        <v>9</v>
      </c>
      <c r="P64" s="63">
        <f t="shared" si="106"/>
        <v>18</v>
      </c>
      <c r="Q64" s="63">
        <f t="shared" si="107"/>
        <v>27</v>
      </c>
      <c r="R64" s="63">
        <f t="shared" si="108"/>
        <v>33</v>
      </c>
      <c r="S64" s="63" t="str">
        <f>IFERROR(VLOOKUP(MID(N64,Q64,R64-Q64),[6]skilldef!$C:$D,2,FALSE),"-") &amp; " / " &amp; IFERROR(VLOOKUP(MID(N64,O64,P64-O64),[6]skilldef!$A:$B,2,FALSE),"-")</f>
        <v>自分自身に / 状態異常耐性</v>
      </c>
      <c r="T64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4" s="63">
        <f t="shared" si="110"/>
        <v>9</v>
      </c>
      <c r="V64" s="63">
        <f t="shared" si="111"/>
        <v>18</v>
      </c>
      <c r="W64" s="63">
        <f t="shared" si="112"/>
        <v>27</v>
      </c>
      <c r="X64" s="63">
        <f t="shared" si="113"/>
        <v>33</v>
      </c>
      <c r="Y64" s="63" t="str">
        <f>IFERROR(VLOOKUP(MID(T64,W64,X64-W64),[6]skilldef!$C:$D,2,FALSE),"-") &amp; " / " &amp; IFERROR(VLOOKUP(MID(T64,U64,V64-U64),[6]skilldef!$A:$B,2,FALSE),"-")</f>
        <v>自分自身に / 状態異常耐性</v>
      </c>
      <c r="Z64" s="50"/>
      <c r="AA64" s="52"/>
      <c r="AB64" s="50"/>
    </row>
    <row r="65" spans="1:28" ht="21" customHeight="1" x14ac:dyDescent="0.15">
      <c r="A65" s="119">
        <v>39005064</v>
      </c>
      <c r="B65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5" s="50">
        <v>3</v>
      </c>
      <c r="D65" s="50" t="s">
        <v>128</v>
      </c>
      <c r="E65" s="125" t="s">
        <v>348</v>
      </c>
      <c r="F65" s="51" t="s">
        <v>234</v>
      </c>
      <c r="G65" s="63" t="str">
        <f t="shared" si="99"/>
        <v>[effect:fix_speed, target:myself, turn:1]</v>
      </c>
      <c r="H65" s="63">
        <f t="shared" si="100"/>
        <v>9</v>
      </c>
      <c r="I65" s="63">
        <f t="shared" si="101"/>
        <v>18</v>
      </c>
      <c r="J65" s="63">
        <f t="shared" si="102"/>
        <v>27</v>
      </c>
      <c r="K65" s="63">
        <f t="shared" si="103"/>
        <v>33</v>
      </c>
      <c r="L65" s="63" t="str">
        <f>IFERROR(VLOOKUP(MID(G65,J65,K65-J65),[6]skilldef!$C:$D,2,FALSE),"-") &amp; " / " &amp; IFERROR(VLOOKUP(MID(G65,H65,I65-H65),[6]skilldef!$A:$B,2,FALSE),"-")</f>
        <v>自分自身に / 行動値設定</v>
      </c>
      <c r="M65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5" s="48" t="str">
        <f>IFERROR(LEFT(M65,FIND("],",M65)+#REF!),M65)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5" s="63">
        <f t="shared" si="105"/>
        <v>9</v>
      </c>
      <c r="P65" s="63">
        <f t="shared" si="106"/>
        <v>18</v>
      </c>
      <c r="Q65" s="63">
        <f t="shared" si="107"/>
        <v>27</v>
      </c>
      <c r="R65" s="63">
        <f t="shared" si="108"/>
        <v>33</v>
      </c>
      <c r="S65" s="63" t="str">
        <f>IFERROR(VLOOKUP(MID(N65,Q65,R65-Q65),[6]skilldef!$C:$D,2,FALSE),"-") &amp; " / " &amp; IFERROR(VLOOKUP(MID(N65,O65,P65-O65),[6]skilldef!$A:$B,2,FALSE),"-")</f>
        <v>自分自身に / 状態異常耐性</v>
      </c>
      <c r="T65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5" s="63">
        <f t="shared" si="110"/>
        <v>9</v>
      </c>
      <c r="V65" s="63">
        <f t="shared" si="111"/>
        <v>18</v>
      </c>
      <c r="W65" s="63">
        <f t="shared" si="112"/>
        <v>27</v>
      </c>
      <c r="X65" s="63">
        <f t="shared" si="113"/>
        <v>33</v>
      </c>
      <c r="Y65" s="63" t="str">
        <f>IFERROR(VLOOKUP(MID(T65,W65,X65-W65),[6]skilldef!$C:$D,2,FALSE),"-") &amp; " / " &amp; IFERROR(VLOOKUP(MID(T65,U65,V65-U65),[6]skilldef!$A:$B,2,FALSE),"-")</f>
        <v>自分自身に / 状態異常耐性</v>
      </c>
      <c r="Z65" s="50"/>
      <c r="AA65" s="52"/>
      <c r="AB65" s="50"/>
    </row>
    <row r="66" spans="1:28" ht="21" customHeight="1" x14ac:dyDescent="0.15">
      <c r="A66" s="119">
        <v>39005065</v>
      </c>
      <c r="B66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6" s="50">
        <v>3</v>
      </c>
      <c r="D66" s="50" t="s">
        <v>128</v>
      </c>
      <c r="E66" s="125" t="s">
        <v>348</v>
      </c>
      <c r="F66" s="51" t="s">
        <v>234</v>
      </c>
      <c r="G66" s="63" t="str">
        <f t="shared" si="99"/>
        <v>[effect:fix_speed, target:myself, turn:1]</v>
      </c>
      <c r="H66" s="63">
        <f t="shared" si="100"/>
        <v>9</v>
      </c>
      <c r="I66" s="63">
        <f t="shared" si="101"/>
        <v>18</v>
      </c>
      <c r="J66" s="63">
        <f t="shared" si="102"/>
        <v>27</v>
      </c>
      <c r="K66" s="63">
        <f t="shared" si="103"/>
        <v>33</v>
      </c>
      <c r="L66" s="63" t="str">
        <f>IFERROR(VLOOKUP(MID(G66,J66,K66-J66),[6]skilldef!$C:$D,2,FALSE),"-") &amp; " / " &amp; IFERROR(VLOOKUP(MID(G66,H66,I66-H66),[6]skilldef!$A:$B,2,FALSE),"-")</f>
        <v>自分自身に / 行動値設定</v>
      </c>
      <c r="M66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6" s="48" t="str">
        <f>IFERROR(LEFT(M66,FIND("],",M66)+#REF!),M66)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6" s="63">
        <f t="shared" si="105"/>
        <v>9</v>
      </c>
      <c r="P66" s="63">
        <f t="shared" si="106"/>
        <v>18</v>
      </c>
      <c r="Q66" s="63">
        <f t="shared" si="107"/>
        <v>27</v>
      </c>
      <c r="R66" s="63">
        <f t="shared" si="108"/>
        <v>33</v>
      </c>
      <c r="S66" s="63" t="str">
        <f>IFERROR(VLOOKUP(MID(N66,Q66,R66-Q66),[6]skilldef!$C:$D,2,FALSE),"-") &amp; " / " &amp; IFERROR(VLOOKUP(MID(N66,O66,P66-O66),[6]skilldef!$A:$B,2,FALSE),"-")</f>
        <v>自分自身に / 状態異常耐性</v>
      </c>
      <c r="T66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6" s="63">
        <f t="shared" si="110"/>
        <v>9</v>
      </c>
      <c r="V66" s="63">
        <f t="shared" si="111"/>
        <v>18</v>
      </c>
      <c r="W66" s="63">
        <f t="shared" si="112"/>
        <v>27</v>
      </c>
      <c r="X66" s="63">
        <f t="shared" si="113"/>
        <v>33</v>
      </c>
      <c r="Y66" s="63" t="str">
        <f>IFERROR(VLOOKUP(MID(T66,W66,X66-W66),[6]skilldef!$C:$D,2,FALSE),"-") &amp; " / " &amp; IFERROR(VLOOKUP(MID(T66,U66,V66-U66),[6]skilldef!$A:$B,2,FALSE),"-")</f>
        <v>自分自身に / 状態異常耐性</v>
      </c>
      <c r="Z66" s="50"/>
      <c r="AA66" s="52"/>
      <c r="AB66" s="50"/>
    </row>
    <row r="67" spans="1:28" ht="21" customHeight="1" x14ac:dyDescent="0.15">
      <c r="A67" s="119">
        <v>39005066</v>
      </c>
      <c r="B67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7" s="50">
        <v>3</v>
      </c>
      <c r="D67" s="50" t="s">
        <v>128</v>
      </c>
      <c r="E67" s="125" t="s">
        <v>348</v>
      </c>
      <c r="F67" s="51" t="s">
        <v>234</v>
      </c>
      <c r="G67" s="63" t="str">
        <f t="shared" si="99"/>
        <v>[effect:fix_speed, target:myself, turn:1]</v>
      </c>
      <c r="H67" s="63">
        <f t="shared" si="100"/>
        <v>9</v>
      </c>
      <c r="I67" s="63">
        <f t="shared" si="101"/>
        <v>18</v>
      </c>
      <c r="J67" s="63">
        <f t="shared" si="102"/>
        <v>27</v>
      </c>
      <c r="K67" s="63">
        <f t="shared" si="103"/>
        <v>33</v>
      </c>
      <c r="L67" s="63" t="str">
        <f>IFERROR(VLOOKUP(MID(G67,J67,K67-J67),[6]skilldef!$C:$D,2,FALSE),"-") &amp; " / " &amp; IFERROR(VLOOKUP(MID(G67,H67,I67-H67),[6]skilldef!$A:$B,2,FALSE),"-")</f>
        <v>自分自身に / 行動値設定</v>
      </c>
      <c r="M67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7" s="48" t="str">
        <f>IFERROR(LEFT(M67,FIND("],",M67)+#REF!),M67)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7" s="63">
        <f t="shared" si="105"/>
        <v>9</v>
      </c>
      <c r="P67" s="63">
        <f t="shared" si="106"/>
        <v>18</v>
      </c>
      <c r="Q67" s="63">
        <f t="shared" si="107"/>
        <v>27</v>
      </c>
      <c r="R67" s="63">
        <f t="shared" si="108"/>
        <v>33</v>
      </c>
      <c r="S67" s="63" t="str">
        <f>IFERROR(VLOOKUP(MID(N67,Q67,R67-Q67),[6]skilldef!$C:$D,2,FALSE),"-") &amp; " / " &amp; IFERROR(VLOOKUP(MID(N67,O67,P67-O67),[6]skilldef!$A:$B,2,FALSE),"-")</f>
        <v>自分自身に / 状態異常耐性</v>
      </c>
      <c r="T67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7" s="63">
        <f t="shared" si="110"/>
        <v>9</v>
      </c>
      <c r="V67" s="63">
        <f t="shared" si="111"/>
        <v>18</v>
      </c>
      <c r="W67" s="63">
        <f t="shared" si="112"/>
        <v>27</v>
      </c>
      <c r="X67" s="63">
        <f t="shared" si="113"/>
        <v>33</v>
      </c>
      <c r="Y67" s="63" t="str">
        <f>IFERROR(VLOOKUP(MID(T67,W67,X67-W67),[6]skilldef!$C:$D,2,FALSE),"-") &amp; " / " &amp; IFERROR(VLOOKUP(MID(T67,U67,V67-U67),[6]skilldef!$A:$B,2,FALSE),"-")</f>
        <v>自分自身に / 状態異常耐性</v>
      </c>
      <c r="Z67" s="50"/>
      <c r="AA67" s="52"/>
      <c r="AB67" s="50"/>
    </row>
    <row r="68" spans="1:28" ht="21" customHeight="1" x14ac:dyDescent="0.15">
      <c r="A68" s="119">
        <v>39005067</v>
      </c>
      <c r="B68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8" s="50">
        <v>3</v>
      </c>
      <c r="D68" s="50" t="s">
        <v>128</v>
      </c>
      <c r="E68" s="125" t="s">
        <v>348</v>
      </c>
      <c r="F68" s="51" t="s">
        <v>234</v>
      </c>
      <c r="G68" s="63" t="str">
        <f t="shared" si="99"/>
        <v>[effect:fix_speed, target:myself, turn:1]</v>
      </c>
      <c r="H68" s="63">
        <f t="shared" si="100"/>
        <v>9</v>
      </c>
      <c r="I68" s="63">
        <f t="shared" si="101"/>
        <v>18</v>
      </c>
      <c r="J68" s="63">
        <f t="shared" si="102"/>
        <v>27</v>
      </c>
      <c r="K68" s="63">
        <f t="shared" si="103"/>
        <v>33</v>
      </c>
      <c r="L68" s="63" t="str">
        <f>IFERROR(VLOOKUP(MID(G68,J68,K68-J68),[6]skilldef!$C:$D,2,FALSE),"-") &amp; " / " &amp; IFERROR(VLOOKUP(MID(G68,H68,I68-H68),[6]skilldef!$A:$B,2,FALSE),"-")</f>
        <v>自分自身に / 行動値設定</v>
      </c>
      <c r="M68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8" s="48" t="str">
        <f>IFERROR(LEFT(M68,FIND("],",M68)+#REF!),M68)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8" s="63">
        <f t="shared" si="105"/>
        <v>9</v>
      </c>
      <c r="P68" s="63">
        <f t="shared" si="106"/>
        <v>18</v>
      </c>
      <c r="Q68" s="63">
        <f t="shared" si="107"/>
        <v>27</v>
      </c>
      <c r="R68" s="63">
        <f t="shared" si="108"/>
        <v>33</v>
      </c>
      <c r="S68" s="63" t="str">
        <f>IFERROR(VLOOKUP(MID(N68,Q68,R68-Q68),[6]skilldef!$C:$D,2,FALSE),"-") &amp; " / " &amp; IFERROR(VLOOKUP(MID(N68,O68,P68-O68),[6]skilldef!$A:$B,2,FALSE),"-")</f>
        <v>自分自身に / 状態異常耐性</v>
      </c>
      <c r="T68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8" s="63">
        <f t="shared" si="110"/>
        <v>9</v>
      </c>
      <c r="V68" s="63">
        <f t="shared" si="111"/>
        <v>18</v>
      </c>
      <c r="W68" s="63">
        <f t="shared" si="112"/>
        <v>27</v>
      </c>
      <c r="X68" s="63">
        <f t="shared" si="113"/>
        <v>33</v>
      </c>
      <c r="Y68" s="63" t="str">
        <f>IFERROR(VLOOKUP(MID(T68,W68,X68-W68),[6]skilldef!$C:$D,2,FALSE),"-") &amp; " / " &amp; IFERROR(VLOOKUP(MID(T68,U68,V68-U68),[6]skilldef!$A:$B,2,FALSE),"-")</f>
        <v>自分自身に / 状態異常耐性</v>
      </c>
      <c r="Z68" s="50"/>
      <c r="AA68" s="52"/>
      <c r="AB68" s="50"/>
    </row>
    <row r="69" spans="1:28" ht="21" customHeight="1" x14ac:dyDescent="0.15">
      <c r="A69" s="119">
        <v>39005068</v>
      </c>
      <c r="B69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69" s="50">
        <v>3</v>
      </c>
      <c r="D69" s="50" t="s">
        <v>128</v>
      </c>
      <c r="E69" s="125" t="s">
        <v>348</v>
      </c>
      <c r="F69" s="51" t="s">
        <v>234</v>
      </c>
      <c r="G69" s="63" t="str">
        <f t="shared" si="99"/>
        <v>[effect:fix_speed, target:myself, turn:1]</v>
      </c>
      <c r="H69" s="63">
        <f t="shared" si="100"/>
        <v>9</v>
      </c>
      <c r="I69" s="63">
        <f t="shared" si="101"/>
        <v>18</v>
      </c>
      <c r="J69" s="63">
        <f t="shared" si="102"/>
        <v>27</v>
      </c>
      <c r="K69" s="63">
        <f t="shared" si="103"/>
        <v>33</v>
      </c>
      <c r="L69" s="63" t="str">
        <f>IFERROR(VLOOKUP(MID(G69,J69,K69-J69),[6]skilldef!$C:$D,2,FALSE),"-") &amp; " / " &amp; IFERROR(VLOOKUP(MID(G69,H69,I69-H69),[6]skilldef!$A:$B,2,FALSE),"-")</f>
        <v>自分自身に / 行動値設定</v>
      </c>
      <c r="M69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69" s="48" t="str">
        <f>IFERROR(LEFT(M69,FIND("],",M69)+#REF!),M69)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69" s="63">
        <f t="shared" si="105"/>
        <v>9</v>
      </c>
      <c r="P69" s="63">
        <f t="shared" si="106"/>
        <v>18</v>
      </c>
      <c r="Q69" s="63">
        <f t="shared" si="107"/>
        <v>27</v>
      </c>
      <c r="R69" s="63">
        <f t="shared" si="108"/>
        <v>33</v>
      </c>
      <c r="S69" s="63" t="str">
        <f>IFERROR(VLOOKUP(MID(N69,Q69,R69-Q69),[6]skilldef!$C:$D,2,FALSE),"-") &amp; " / " &amp; IFERROR(VLOOKUP(MID(N69,O69,P69-O69),[6]skilldef!$A:$B,2,FALSE),"-")</f>
        <v>自分自身に / 状態異常耐性</v>
      </c>
      <c r="T69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69" s="63">
        <f t="shared" si="110"/>
        <v>9</v>
      </c>
      <c r="V69" s="63">
        <f t="shared" si="111"/>
        <v>18</v>
      </c>
      <c r="W69" s="63">
        <f t="shared" si="112"/>
        <v>27</v>
      </c>
      <c r="X69" s="63">
        <f t="shared" si="113"/>
        <v>33</v>
      </c>
      <c r="Y69" s="63" t="str">
        <f>IFERROR(VLOOKUP(MID(T69,W69,X69-W69),[6]skilldef!$C:$D,2,FALSE),"-") &amp; " / " &amp; IFERROR(VLOOKUP(MID(T69,U69,V69-U69),[6]skilldef!$A:$B,2,FALSE),"-")</f>
        <v>自分自身に / 状態異常耐性</v>
      </c>
      <c r="Z69" s="50"/>
      <c r="AA69" s="52"/>
      <c r="AB69" s="50"/>
    </row>
    <row r="70" spans="1:28" ht="21" customHeight="1" x14ac:dyDescent="0.15">
      <c r="A70" s="119">
        <v>39005069</v>
      </c>
      <c r="B70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70" s="50">
        <v>3</v>
      </c>
      <c r="D70" s="50" t="s">
        <v>128</v>
      </c>
      <c r="E70" s="125" t="s">
        <v>348</v>
      </c>
      <c r="F70" s="51" t="s">
        <v>234</v>
      </c>
      <c r="G70" s="63" t="str">
        <f t="shared" si="99"/>
        <v>[effect:fix_speed, target:myself, turn:1]</v>
      </c>
      <c r="H70" s="63">
        <f t="shared" si="100"/>
        <v>9</v>
      </c>
      <c r="I70" s="63">
        <f t="shared" si="101"/>
        <v>18</v>
      </c>
      <c r="J70" s="63">
        <f t="shared" si="102"/>
        <v>27</v>
      </c>
      <c r="K70" s="63">
        <f t="shared" si="103"/>
        <v>33</v>
      </c>
      <c r="L70" s="63" t="str">
        <f>IFERROR(VLOOKUP(MID(G70,J70,K70-J70),[6]skilldef!$C:$D,2,FALSE),"-") &amp; " / " &amp; IFERROR(VLOOKUP(MID(G70,H70,I70-H70),[6]skilldef!$A:$B,2,FALSE),"-")</f>
        <v>自分自身に / 行動値設定</v>
      </c>
      <c r="M70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0" s="48" t="str">
        <f>IFERROR(LEFT(M70,FIND("],",M70)+#REF!),M70)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0" s="63">
        <f t="shared" si="105"/>
        <v>9</v>
      </c>
      <c r="P70" s="63">
        <f t="shared" si="106"/>
        <v>18</v>
      </c>
      <c r="Q70" s="63">
        <f t="shared" si="107"/>
        <v>27</v>
      </c>
      <c r="R70" s="63">
        <f t="shared" si="108"/>
        <v>33</v>
      </c>
      <c r="S70" s="63" t="str">
        <f>IFERROR(VLOOKUP(MID(N70,Q70,R70-Q70),[6]skilldef!$C:$D,2,FALSE),"-") &amp; " / " &amp; IFERROR(VLOOKUP(MID(N70,O70,P70-O70),[6]skilldef!$A:$B,2,FALSE),"-")</f>
        <v>自分自身に / 状態異常耐性</v>
      </c>
      <c r="T70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0" s="63">
        <f t="shared" si="110"/>
        <v>9</v>
      </c>
      <c r="V70" s="63">
        <f t="shared" si="111"/>
        <v>18</v>
      </c>
      <c r="W70" s="63">
        <f t="shared" si="112"/>
        <v>27</v>
      </c>
      <c r="X70" s="63">
        <f t="shared" si="113"/>
        <v>33</v>
      </c>
      <c r="Y70" s="63" t="str">
        <f>IFERROR(VLOOKUP(MID(T70,W70,X70-W70),[6]skilldef!$C:$D,2,FALSE),"-") &amp; " / " &amp; IFERROR(VLOOKUP(MID(T70,U70,V70-U70),[6]skilldef!$A:$B,2,FALSE),"-")</f>
        <v>自分自身に / 状態異常耐性</v>
      </c>
      <c r="Z70" s="50"/>
      <c r="AA70" s="52"/>
      <c r="AB70" s="50"/>
    </row>
    <row r="71" spans="1:28" ht="21" customHeight="1" x14ac:dyDescent="0.15">
      <c r="A71" s="119">
        <v>39005070</v>
      </c>
      <c r="B71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71" s="50">
        <v>3</v>
      </c>
      <c r="D71" s="50" t="s">
        <v>128</v>
      </c>
      <c r="E71" s="125" t="s">
        <v>348</v>
      </c>
      <c r="F71" s="51" t="s">
        <v>234</v>
      </c>
      <c r="G71" s="63" t="str">
        <f t="shared" si="99"/>
        <v>[effect:fix_speed, target:myself, turn:1]</v>
      </c>
      <c r="H71" s="63">
        <f t="shared" si="100"/>
        <v>9</v>
      </c>
      <c r="I71" s="63">
        <f t="shared" si="101"/>
        <v>18</v>
      </c>
      <c r="J71" s="63">
        <f t="shared" si="102"/>
        <v>27</v>
      </c>
      <c r="K71" s="63">
        <f t="shared" si="103"/>
        <v>33</v>
      </c>
      <c r="L71" s="63" t="str">
        <f>IFERROR(VLOOKUP(MID(G71,J71,K71-J71),[6]skilldef!$C:$D,2,FALSE),"-") &amp; " / " &amp; IFERROR(VLOOKUP(MID(G71,H71,I71-H71),[6]skilldef!$A:$B,2,FALSE),"-")</f>
        <v>自分自身に / 行動値設定</v>
      </c>
      <c r="M71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1" s="48" t="str">
        <f>IFERROR(LEFT(M71,FIND("],",M71)+#REF!),M71)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1" s="63">
        <f t="shared" si="105"/>
        <v>9</v>
      </c>
      <c r="P71" s="63">
        <f t="shared" si="106"/>
        <v>18</v>
      </c>
      <c r="Q71" s="63">
        <f t="shared" si="107"/>
        <v>27</v>
      </c>
      <c r="R71" s="63">
        <f t="shared" si="108"/>
        <v>33</v>
      </c>
      <c r="S71" s="63" t="str">
        <f>IFERROR(VLOOKUP(MID(N71,Q71,R71-Q71),[6]skilldef!$C:$D,2,FALSE),"-") &amp; " / " &amp; IFERROR(VLOOKUP(MID(N71,O71,P71-O71),[6]skilldef!$A:$B,2,FALSE),"-")</f>
        <v>自分自身に / 状態異常耐性</v>
      </c>
      <c r="T71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1" s="63">
        <f t="shared" si="110"/>
        <v>9</v>
      </c>
      <c r="V71" s="63">
        <f t="shared" si="111"/>
        <v>18</v>
      </c>
      <c r="W71" s="63">
        <f t="shared" si="112"/>
        <v>27</v>
      </c>
      <c r="X71" s="63">
        <f t="shared" si="113"/>
        <v>33</v>
      </c>
      <c r="Y71" s="63" t="str">
        <f>IFERROR(VLOOKUP(MID(T71,W71,X71-W71),[6]skilldef!$C:$D,2,FALSE),"-") &amp; " / " &amp; IFERROR(VLOOKUP(MID(T71,U71,V71-U71),[6]skilldef!$A:$B,2,FALSE),"-")</f>
        <v>自分自身に / 状態異常耐性</v>
      </c>
      <c r="Z71" s="50"/>
      <c r="AA71" s="52"/>
      <c r="AB71" s="50"/>
    </row>
    <row r="72" spans="1:28" ht="21" customHeight="1" x14ac:dyDescent="0.15">
      <c r="A72" s="119">
        <v>39005071</v>
      </c>
      <c r="B72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72" s="50">
        <v>3</v>
      </c>
      <c r="D72" s="50" t="s">
        <v>128</v>
      </c>
      <c r="E72" s="125" t="s">
        <v>348</v>
      </c>
      <c r="F72" s="51" t="s">
        <v>234</v>
      </c>
      <c r="G72" s="63" t="str">
        <f t="shared" si="99"/>
        <v>[effect:fix_speed, target:myself, turn:1]</v>
      </c>
      <c r="H72" s="63">
        <f t="shared" si="100"/>
        <v>9</v>
      </c>
      <c r="I72" s="63">
        <f t="shared" si="101"/>
        <v>18</v>
      </c>
      <c r="J72" s="63">
        <f t="shared" si="102"/>
        <v>27</v>
      </c>
      <c r="K72" s="63">
        <f t="shared" si="103"/>
        <v>33</v>
      </c>
      <c r="L72" s="63" t="str">
        <f>IFERROR(VLOOKUP(MID(G72,J72,K72-J72),[6]skilldef!$C:$D,2,FALSE),"-") &amp; " / " &amp; IFERROR(VLOOKUP(MID(G72,H72,I72-H72),[6]skilldef!$A:$B,2,FALSE),"-")</f>
        <v>自分自身に / 行動値設定</v>
      </c>
      <c r="M72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2" s="48" t="str">
        <f>IFERROR(LEFT(M72,FIND("],",M72)+#REF!),M72)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2" s="63">
        <f t="shared" si="105"/>
        <v>9</v>
      </c>
      <c r="P72" s="63">
        <f t="shared" si="106"/>
        <v>18</v>
      </c>
      <c r="Q72" s="63">
        <f t="shared" si="107"/>
        <v>27</v>
      </c>
      <c r="R72" s="63">
        <f t="shared" si="108"/>
        <v>33</v>
      </c>
      <c r="S72" s="63" t="str">
        <f>IFERROR(VLOOKUP(MID(N72,Q72,R72-Q72),[6]skilldef!$C:$D,2,FALSE),"-") &amp; " / " &amp; IFERROR(VLOOKUP(MID(N72,O72,P72-O72),[6]skilldef!$A:$B,2,FALSE),"-")</f>
        <v>自分自身に / 状態異常耐性</v>
      </c>
      <c r="T72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2" s="63">
        <f t="shared" si="110"/>
        <v>9</v>
      </c>
      <c r="V72" s="63">
        <f t="shared" si="111"/>
        <v>18</v>
      </c>
      <c r="W72" s="63">
        <f t="shared" si="112"/>
        <v>27</v>
      </c>
      <c r="X72" s="63">
        <f t="shared" si="113"/>
        <v>33</v>
      </c>
      <c r="Y72" s="63" t="str">
        <f>IFERROR(VLOOKUP(MID(T72,W72,X72-W72),[6]skilldef!$C:$D,2,FALSE),"-") &amp; " / " &amp; IFERROR(VLOOKUP(MID(T72,U72,V72-U72),[6]skilldef!$A:$B,2,FALSE),"-")</f>
        <v>自分自身に / 状態異常耐性</v>
      </c>
      <c r="Z72" s="50"/>
      <c r="AA72" s="52"/>
      <c r="AB72" s="50"/>
    </row>
    <row r="73" spans="1:28" ht="21" customHeight="1" x14ac:dyDescent="0.15">
      <c r="A73" s="119">
        <v>39005072</v>
      </c>
      <c r="B73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73" s="50">
        <v>3</v>
      </c>
      <c r="D73" s="50" t="s">
        <v>128</v>
      </c>
      <c r="E73" s="125" t="s">
        <v>348</v>
      </c>
      <c r="F73" s="51" t="s">
        <v>234</v>
      </c>
      <c r="G73" s="63" t="str">
        <f t="shared" si="99"/>
        <v>[effect:fix_speed, target:myself, turn:1]</v>
      </c>
      <c r="H73" s="63">
        <f t="shared" si="100"/>
        <v>9</v>
      </c>
      <c r="I73" s="63">
        <f t="shared" si="101"/>
        <v>18</v>
      </c>
      <c r="J73" s="63">
        <f t="shared" si="102"/>
        <v>27</v>
      </c>
      <c r="K73" s="63">
        <f t="shared" si="103"/>
        <v>33</v>
      </c>
      <c r="L73" s="63" t="str">
        <f>IFERROR(VLOOKUP(MID(G73,J73,K73-J73),[6]skilldef!$C:$D,2,FALSE),"-") &amp; " / " &amp; IFERROR(VLOOKUP(MID(G73,H73,I73-H73),[6]skilldef!$A:$B,2,FALSE),"-")</f>
        <v>自分自身に / 行動値設定</v>
      </c>
      <c r="M73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3" s="48" t="str">
        <f>IFERROR(LEFT(M73,FIND("],",M73)+#REF!),M73)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3" s="63">
        <f t="shared" si="105"/>
        <v>9</v>
      </c>
      <c r="P73" s="63">
        <f t="shared" si="106"/>
        <v>18</v>
      </c>
      <c r="Q73" s="63">
        <f t="shared" si="107"/>
        <v>27</v>
      </c>
      <c r="R73" s="63">
        <f t="shared" si="108"/>
        <v>33</v>
      </c>
      <c r="S73" s="63" t="str">
        <f>IFERROR(VLOOKUP(MID(N73,Q73,R73-Q73),[6]skilldef!$C:$D,2,FALSE),"-") &amp; " / " &amp; IFERROR(VLOOKUP(MID(N73,O73,P73-O73),[6]skilldef!$A:$B,2,FALSE),"-")</f>
        <v>自分自身に / 状態異常耐性</v>
      </c>
      <c r="T73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3" s="63">
        <f t="shared" si="110"/>
        <v>9</v>
      </c>
      <c r="V73" s="63">
        <f t="shared" si="111"/>
        <v>18</v>
      </c>
      <c r="W73" s="63">
        <f t="shared" si="112"/>
        <v>27</v>
      </c>
      <c r="X73" s="63">
        <f t="shared" si="113"/>
        <v>33</v>
      </c>
      <c r="Y73" s="63" t="str">
        <f>IFERROR(VLOOKUP(MID(T73,W73,X73-W73),[6]skilldef!$C:$D,2,FALSE),"-") &amp; " / " &amp; IFERROR(VLOOKUP(MID(T73,U73,V73-U73),[6]skilldef!$A:$B,2,FALSE),"-")</f>
        <v>自分自身に / 状態異常耐性</v>
      </c>
      <c r="Z73" s="50"/>
      <c r="AA73" s="52"/>
      <c r="AB73" s="50"/>
    </row>
    <row r="74" spans="1:28" ht="21" customHeight="1" x14ac:dyDescent="0.15">
      <c r="A74" s="119">
        <v>39005073</v>
      </c>
      <c r="B74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74" s="50">
        <v>3</v>
      </c>
      <c r="D74" s="50" t="s">
        <v>128</v>
      </c>
      <c r="E74" s="125" t="s">
        <v>348</v>
      </c>
      <c r="F74" s="51" t="s">
        <v>234</v>
      </c>
      <c r="G74" s="63" t="str">
        <f t="shared" si="99"/>
        <v>[effect:fix_speed, target:myself, turn:1]</v>
      </c>
      <c r="H74" s="63">
        <f t="shared" si="100"/>
        <v>9</v>
      </c>
      <c r="I74" s="63">
        <f t="shared" si="101"/>
        <v>18</v>
      </c>
      <c r="J74" s="63">
        <f t="shared" si="102"/>
        <v>27</v>
      </c>
      <c r="K74" s="63">
        <f t="shared" si="103"/>
        <v>33</v>
      </c>
      <c r="L74" s="63" t="str">
        <f>IFERROR(VLOOKUP(MID(G74,J74,K74-J74),[6]skilldef!$C:$D,2,FALSE),"-") &amp; " / " &amp; IFERROR(VLOOKUP(MID(G74,H74,I74-H74),[6]skilldef!$A:$B,2,FALSE),"-")</f>
        <v>自分自身に / 行動値設定</v>
      </c>
      <c r="M74" s="63" t="str">
        <f t="shared" si="104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4" s="48" t="str">
        <f>IFERROR(LEFT(M74,FIND("],",M74)+#REF!),M74)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4" s="63">
        <f t="shared" si="105"/>
        <v>9</v>
      </c>
      <c r="P74" s="63">
        <f t="shared" si="106"/>
        <v>18</v>
      </c>
      <c r="Q74" s="63">
        <f t="shared" si="107"/>
        <v>27</v>
      </c>
      <c r="R74" s="63">
        <f t="shared" si="108"/>
        <v>33</v>
      </c>
      <c r="S74" s="63" t="str">
        <f>IFERROR(VLOOKUP(MID(N74,Q74,R74-Q74),[6]skilldef!$C:$D,2,FALSE),"-") &amp; " / " &amp; IFERROR(VLOOKUP(MID(N74,O74,P74-O74),[6]skilldef!$A:$B,2,FALSE),"-")</f>
        <v>自分自身に / 状態異常耐性</v>
      </c>
      <c r="T74" s="48" t="str">
        <f t="shared" si="109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4" s="63">
        <f t="shared" si="110"/>
        <v>9</v>
      </c>
      <c r="V74" s="63">
        <f t="shared" si="111"/>
        <v>18</v>
      </c>
      <c r="W74" s="63">
        <f t="shared" si="112"/>
        <v>27</v>
      </c>
      <c r="X74" s="63">
        <f t="shared" si="113"/>
        <v>33</v>
      </c>
      <c r="Y74" s="63" t="str">
        <f>IFERROR(VLOOKUP(MID(T74,W74,X74-W74),[6]skilldef!$C:$D,2,FALSE),"-") &amp; " / " &amp; IFERROR(VLOOKUP(MID(T74,U74,V74-U74),[6]skilldef!$A:$B,2,FALSE),"-")</f>
        <v>自分自身に / 状態異常耐性</v>
      </c>
      <c r="Z74" s="50"/>
      <c r="AA74" s="52"/>
      <c r="AB74" s="50"/>
    </row>
    <row r="75" spans="1:28" ht="21" customHeight="1" x14ac:dyDescent="0.15">
      <c r="A75" s="119">
        <v>39005074</v>
      </c>
      <c r="B75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75" s="50">
        <v>3</v>
      </c>
      <c r="D75" s="50" t="s">
        <v>128</v>
      </c>
      <c r="E75" s="125" t="s">
        <v>348</v>
      </c>
      <c r="F75" s="51" t="s">
        <v>234</v>
      </c>
      <c r="G75" s="63" t="str">
        <f t="shared" ref="G75:G76" si="115">IFERROR(LEFT(B75,FIND("],",B75)),B75)</f>
        <v>[effect:fix_speed, target:myself, turn:1]</v>
      </c>
      <c r="H75" s="63">
        <f t="shared" ref="H75:H76" si="116">FIND("effect:",G75)+7</f>
        <v>9</v>
      </c>
      <c r="I75" s="63">
        <f t="shared" ref="I75:I76" si="117">IFERROR(FIND(",",G75),LEN(G75))</f>
        <v>18</v>
      </c>
      <c r="J75" s="63">
        <f t="shared" ref="J75:J76" si="118">FIND("target:",G75)+7</f>
        <v>27</v>
      </c>
      <c r="K75" s="63">
        <f t="shared" ref="K75:K76" si="119">FIND(",",G75,I75+1)</f>
        <v>33</v>
      </c>
      <c r="L75" s="63" t="str">
        <f>IFERROR(VLOOKUP(MID(G75,J75,K75-J75),[6]skilldef!$C:$D,2,FALSE),"-") &amp; " / " &amp; IFERROR(VLOOKUP(MID(G75,H75,I75-H75),[6]skilldef!$A:$B,2,FALSE),"-")</f>
        <v>自分自身に / 行動値設定</v>
      </c>
      <c r="M75" s="63" t="str">
        <f t="shared" ref="M75:M76" si="120">IFERROR(RIGHT(B75,LEN(B75)-FIND("],",B75)-1),"none")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5" s="48" t="str">
        <f>IFERROR(LEFT(M75,FIND("],",M75)+#REF!),M75)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5" s="63">
        <f t="shared" ref="O75:O76" si="121">FIND("effect:",N75)+7</f>
        <v>9</v>
      </c>
      <c r="P75" s="63">
        <f t="shared" ref="P75:P76" si="122">IFERROR(FIND(",",N75),LEN(N75))</f>
        <v>18</v>
      </c>
      <c r="Q75" s="63">
        <f t="shared" ref="Q75:Q76" si="123">FIND("target:",N75)+7</f>
        <v>27</v>
      </c>
      <c r="R75" s="63">
        <f t="shared" ref="R75:R76" si="124">FIND(",",N75,P75+1)</f>
        <v>33</v>
      </c>
      <c r="S75" s="63" t="str">
        <f>IFERROR(VLOOKUP(MID(N75,Q75,R75-Q75),[6]skilldef!$C:$D,2,FALSE),"-") &amp; " / " &amp; IFERROR(VLOOKUP(MID(N75,O75,P75-O75),[6]skilldef!$A:$B,2,FALSE),"-")</f>
        <v>自分自身に / 状態異常耐性</v>
      </c>
      <c r="T75" s="48" t="str">
        <f t="shared" ref="T75:T76" si="125">IFERROR(RIGHT(M75,LEN(M75)-FIND("],",M75)-1),"none")</f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5" s="63">
        <f t="shared" ref="U75:U76" si="126">FIND("effect:",T75)+7</f>
        <v>9</v>
      </c>
      <c r="V75" s="63">
        <f t="shared" ref="V75:V76" si="127">IFERROR(FIND(",",T75),LEN(T75))</f>
        <v>18</v>
      </c>
      <c r="W75" s="63">
        <f t="shared" ref="W75:W76" si="128">FIND("target:",T75)+7</f>
        <v>27</v>
      </c>
      <c r="X75" s="63">
        <f t="shared" ref="X75:X76" si="129">FIND(",",T75,V75+1)</f>
        <v>33</v>
      </c>
      <c r="Y75" s="63" t="str">
        <f>IFERROR(VLOOKUP(MID(T75,W75,X75-W75),[6]skilldef!$C:$D,2,FALSE),"-") &amp; " / " &amp; IFERROR(VLOOKUP(MID(T75,U75,V75-U75),[6]skilldef!$A:$B,2,FALSE),"-")</f>
        <v>自分自身に / 状態異常耐性</v>
      </c>
      <c r="Z75" s="50"/>
      <c r="AA75" s="52"/>
      <c r="AB75" s="50"/>
    </row>
    <row r="76" spans="1:28" ht="21" customHeight="1" x14ac:dyDescent="0.15">
      <c r="A76" s="119">
        <v>39005075</v>
      </c>
      <c r="B76" s="47" t="str">
        <f t="shared" si="98"/>
        <v>[effect:fix_speed, target:myself, turn:1],[effect:tolerance,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C76" s="50">
        <v>3</v>
      </c>
      <c r="D76" s="50" t="s">
        <v>128</v>
      </c>
      <c r="E76" s="125" t="s">
        <v>348</v>
      </c>
      <c r="F76" s="51" t="s">
        <v>234</v>
      </c>
      <c r="G76" s="63" t="str">
        <f t="shared" si="115"/>
        <v>[effect:fix_speed, target:myself, turn:1]</v>
      </c>
      <c r="H76" s="63">
        <f t="shared" si="116"/>
        <v>9</v>
      </c>
      <c r="I76" s="63">
        <f t="shared" si="117"/>
        <v>18</v>
      </c>
      <c r="J76" s="63">
        <f t="shared" si="118"/>
        <v>27</v>
      </c>
      <c r="K76" s="63">
        <f t="shared" si="119"/>
        <v>33</v>
      </c>
      <c r="L76" s="63" t="str">
        <f>IFERROR(VLOOKUP(MID(G76,J76,K76-J76),[6]skilldef!$C:$D,2,FALSE),"-") &amp; " / " &amp; IFERROR(VLOOKUP(MID(G76,H76,I76-H76),[6]skilldef!$A:$B,2,FALSE),"-")</f>
        <v>自分自身に / 行動値設定</v>
      </c>
      <c r="M76" s="63" t="str">
        <f t="shared" si="12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6" s="48" t="str">
        <f>IFERROR(LEFT(M76,FIND("],",M76)+#REF!),M76)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6" s="63">
        <f t="shared" si="121"/>
        <v>9</v>
      </c>
      <c r="P76" s="63">
        <f t="shared" si="122"/>
        <v>18</v>
      </c>
      <c r="Q76" s="63">
        <f t="shared" si="123"/>
        <v>27</v>
      </c>
      <c r="R76" s="63">
        <f t="shared" si="124"/>
        <v>33</v>
      </c>
      <c r="S76" s="63" t="str">
        <f>IFERROR(VLOOKUP(MID(N76,Q76,R76-Q76),[6]skilldef!$C:$D,2,FALSE),"-") &amp; " / " &amp; IFERROR(VLOOKUP(MID(N76,O76,P76-O76),[6]skilldef!$A:$B,2,FALSE),"-")</f>
        <v>自分自身に / 状態異常耐性</v>
      </c>
      <c r="T76" s="48" t="str">
        <f t="shared" si="125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6" s="63">
        <f t="shared" si="126"/>
        <v>9</v>
      </c>
      <c r="V76" s="63">
        <f t="shared" si="127"/>
        <v>18</v>
      </c>
      <c r="W76" s="63">
        <f t="shared" si="128"/>
        <v>27</v>
      </c>
      <c r="X76" s="63">
        <f t="shared" si="129"/>
        <v>33</v>
      </c>
      <c r="Y76" s="63" t="str">
        <f>IFERROR(VLOOKUP(MID(T76,W76,X76-W76),[6]skilldef!$C:$D,2,FALSE),"-") &amp; " / " &amp; IFERROR(VLOOKUP(MID(T76,U76,V76-U76),[6]skilldef!$A:$B,2,FALSE),"-")</f>
        <v>自分自身に / 状態異常耐性</v>
      </c>
      <c r="Z76" s="50"/>
      <c r="AA76" s="52"/>
      <c r="AB76" s="50"/>
    </row>
    <row r="77" spans="1:28" ht="21" customHeight="1" x14ac:dyDescent="0.15">
      <c r="A77" s="98">
        <v>39005076</v>
      </c>
      <c r="B77" s="47" t="s">
        <v>241</v>
      </c>
      <c r="C77" s="50">
        <v>3</v>
      </c>
      <c r="D77" s="50" t="s">
        <v>128</v>
      </c>
      <c r="E77" s="118" t="s">
        <v>349</v>
      </c>
      <c r="F77" s="116" t="s">
        <v>242</v>
      </c>
      <c r="G77" s="63" t="str">
        <f>IFERROR(LEFT(B77,FIND("],",B77)),B77)</f>
        <v>[effect:enhance_enemy, target:enemy_all, turn:1, status:defense, val:500, calc:add, animation:enemy_enhance_enemy]</v>
      </c>
      <c r="H77" s="63">
        <f>FIND("effect:",G77)+7</f>
        <v>9</v>
      </c>
      <c r="I77" s="63">
        <f>IFERROR(FIND(",",G77),LEN(G77))</f>
        <v>22</v>
      </c>
      <c r="J77" s="63">
        <f>FIND("target:",G77)+7</f>
        <v>31</v>
      </c>
      <c r="K77" s="63">
        <f>FIND(",",G77,I77+1)</f>
        <v>40</v>
      </c>
      <c r="L77" s="63" t="str">
        <f>IFERROR(VLOOKUP(MID(G77,J77,K77-J77),[6]skilldef!$C:$D,2,FALSE),"-") &amp; " / " &amp; IFERROR(VLOOKUP(MID(G77,H77,I77-H77),[6]skilldef!$A:$B,2,FALSE),"-")</f>
        <v>敵全体に / ステータス強化</v>
      </c>
      <c r="M77" s="63" t="str">
        <f>IFERROR(RIGHT(B77,LEN(B77)-FIND("],",B77)-1),"none")</f>
        <v>none</v>
      </c>
      <c r="N77" s="48" t="str">
        <f>IFERROR(LEFT(M77,FIND("],",M77)+S91),M77)</f>
        <v>none</v>
      </c>
      <c r="O77" s="63" t="e">
        <f>FIND("effect:",N77)+7</f>
        <v>#VALUE!</v>
      </c>
      <c r="P77" s="63">
        <f>IFERROR(FIND(",",N77),LEN(N77))</f>
        <v>4</v>
      </c>
      <c r="Q77" s="63" t="e">
        <f>FIND("target:",N77)+7</f>
        <v>#VALUE!</v>
      </c>
      <c r="R77" s="63" t="e">
        <f>FIND(",",N77,P77+1)</f>
        <v>#VALUE!</v>
      </c>
      <c r="S77" s="63" t="str">
        <f>IFERROR(VLOOKUP(MID(N77,Q77,R77-Q77),[6]skilldef!$C:$D,2,FALSE),"-") &amp; " / " &amp; IFERROR(VLOOKUP(MID(N77,O77,P77-O77),[6]skilldef!$A:$B,2,FALSE),"-")</f>
        <v>- / -</v>
      </c>
      <c r="T77" s="48" t="str">
        <f>IFERROR(RIGHT(M77,LEN(M77)-FIND("],",M77)-1),"none")</f>
        <v>none</v>
      </c>
      <c r="U77" s="63" t="e">
        <f>FIND("effect:",T77)+7</f>
        <v>#VALUE!</v>
      </c>
      <c r="V77" s="63">
        <f>IFERROR(FIND(",",T77),LEN(T77))</f>
        <v>4</v>
      </c>
      <c r="W77" s="63" t="e">
        <f>FIND("target:",T77)+7</f>
        <v>#VALUE!</v>
      </c>
      <c r="X77" s="63" t="e">
        <f>FIND(",",T77,V77+1)</f>
        <v>#VALUE!</v>
      </c>
      <c r="Y77" s="63" t="str">
        <f>IFERROR(VLOOKUP(MID(T77,W77,X77-W77),[6]skilldef!$C:$D,2,FALSE),"-") &amp; " / " &amp; IFERROR(VLOOKUP(MID(T77,U77,V77-U77),[6]skilldef!$A:$B,2,FALSE),"-")</f>
        <v>- / -</v>
      </c>
      <c r="Z77" s="50"/>
      <c r="AA77" s="52"/>
      <c r="AB77" s="50"/>
    </row>
    <row r="78" spans="1:28" ht="21" customHeight="1" x14ac:dyDescent="0.15">
      <c r="A78" s="113">
        <v>39005077</v>
      </c>
      <c r="B78" s="47" t="s">
        <v>240</v>
      </c>
      <c r="C78" s="50">
        <v>3</v>
      </c>
      <c r="D78" s="50" t="s">
        <v>128</v>
      </c>
      <c r="E78" s="51" t="s">
        <v>235</v>
      </c>
      <c r="F78" s="51" t="s">
        <v>347</v>
      </c>
      <c r="G78" s="63" t="str">
        <f t="shared" ref="G78:G79" si="130">IFERROR(LEFT(B78,FIND("],",B78)),B78)</f>
        <v>[effect:change_block, new_block:block_heart, target:block_all, count:5, val:0, animation:change_block]</v>
      </c>
      <c r="H78" s="63">
        <f t="shared" ref="H78:H79" si="131">FIND("effect:",G78)+7</f>
        <v>9</v>
      </c>
      <c r="I78" s="63">
        <f t="shared" ref="I78:I79" si="132">IFERROR(FIND(",",G78),LEN(G78))</f>
        <v>21</v>
      </c>
      <c r="J78" s="63">
        <f t="shared" ref="J78:J79" si="133">FIND("target:",G78)+7</f>
        <v>53</v>
      </c>
      <c r="K78" s="63">
        <f t="shared" ref="K78:K79" si="134">FIND(",",G78,I78+1)</f>
        <v>44</v>
      </c>
      <c r="L78" s="63" t="str">
        <f>IFERROR(VLOOKUP(MID(G78,J78,K78-J78),[6]skilldef!$C:$D,2,FALSE),"-") &amp; " / " &amp; IFERROR(VLOOKUP(MID(G78,H78,I78-H78),[6]skilldef!$A:$B,2,FALSE),"-")</f>
        <v>- / ブロック変換</v>
      </c>
      <c r="M78" s="63" t="str">
        <f t="shared" ref="M78:M79" si="135">IFERROR(RIGHT(B78,LEN(B78)-FIND("],",B78)-1),"none")</f>
        <v>none</v>
      </c>
      <c r="N78" s="48" t="str">
        <f>IFERROR(LEFT(M78,FIND("],",M78)+#REF!),M78)</f>
        <v>none</v>
      </c>
      <c r="O78" s="63" t="e">
        <f t="shared" ref="O78:O79" si="136">FIND("effect:",N78)+7</f>
        <v>#VALUE!</v>
      </c>
      <c r="P78" s="63">
        <f t="shared" ref="P78:P79" si="137">IFERROR(FIND(",",N78),LEN(N78))</f>
        <v>4</v>
      </c>
      <c r="Q78" s="63" t="e">
        <f t="shared" ref="Q78:Q79" si="138">FIND("target:",N78)+7</f>
        <v>#VALUE!</v>
      </c>
      <c r="R78" s="63" t="e">
        <f t="shared" ref="R78:R79" si="139">FIND(",",N78,P78+1)</f>
        <v>#VALUE!</v>
      </c>
      <c r="S78" s="63" t="str">
        <f>IFERROR(VLOOKUP(MID(N78,Q78,R78-Q78),[6]skilldef!$C:$D,2,FALSE),"-") &amp; " / " &amp; IFERROR(VLOOKUP(MID(N78,O78,P78-O78),[6]skilldef!$A:$B,2,FALSE),"-")</f>
        <v>- / -</v>
      </c>
      <c r="T78" s="48" t="str">
        <f t="shared" ref="T78:T79" si="140">IFERROR(RIGHT(M78,LEN(M78)-FIND("],",M78)-1),"none")</f>
        <v>none</v>
      </c>
      <c r="U78" s="63" t="e">
        <f t="shared" ref="U78:U79" si="141">FIND("effect:",T78)+7</f>
        <v>#VALUE!</v>
      </c>
      <c r="V78" s="63">
        <f t="shared" ref="V78:V79" si="142">IFERROR(FIND(",",T78),LEN(T78))</f>
        <v>4</v>
      </c>
      <c r="W78" s="63" t="e">
        <f t="shared" ref="W78:W79" si="143">FIND("target:",T78)+7</f>
        <v>#VALUE!</v>
      </c>
      <c r="X78" s="63" t="e">
        <f t="shared" ref="X78:X79" si="144">FIND(",",T78,V78+1)</f>
        <v>#VALUE!</v>
      </c>
      <c r="Y78" s="63" t="str">
        <f>IFERROR(VLOOKUP(MID(T78,W78,X78-W78),[6]skilldef!$C:$D,2,FALSE),"-") &amp; " / " &amp; IFERROR(VLOOKUP(MID(T78,U78,V78-U78),[6]skilldef!$A:$B,2,FALSE),"-")</f>
        <v>- / -</v>
      </c>
      <c r="Z78" s="50"/>
      <c r="AA78" s="52"/>
      <c r="AB78" s="50"/>
    </row>
    <row r="79" spans="1:28" ht="21" customHeight="1" x14ac:dyDescent="0.15">
      <c r="A79" s="119">
        <v>39005078</v>
      </c>
      <c r="B79" s="47" t="s">
        <v>319</v>
      </c>
      <c r="C79" s="50">
        <v>3</v>
      </c>
      <c r="D79" s="50" t="s">
        <v>128</v>
      </c>
      <c r="E79" s="125" t="s">
        <v>348</v>
      </c>
      <c r="F79" s="51" t="s">
        <v>234</v>
      </c>
      <c r="G79" s="63" t="str">
        <f t="shared" si="130"/>
        <v>[effect:fix_speed, target:myself, turn:1]</v>
      </c>
      <c r="H79" s="63">
        <f t="shared" si="131"/>
        <v>9</v>
      </c>
      <c r="I79" s="63">
        <f t="shared" si="132"/>
        <v>18</v>
      </c>
      <c r="J79" s="63">
        <f t="shared" si="133"/>
        <v>27</v>
      </c>
      <c r="K79" s="63">
        <f t="shared" si="134"/>
        <v>33</v>
      </c>
      <c r="L79" s="63" t="str">
        <f>IFERROR(VLOOKUP(MID(G79,J79,K79-J79),[6]skilldef!$C:$D,2,FALSE),"-") &amp; " / " &amp; IFERROR(VLOOKUP(MID(G79,H79,I79-H79),[6]skilldef!$A:$B,2,FALSE),"-")</f>
        <v>自分自身に / 行動値設定</v>
      </c>
      <c r="M79" s="63" t="str">
        <f t="shared" si="135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N79" s="48" t="str">
        <f>IFERROR(LEFT(M79,FIND("],",M79)+#REF!),M79)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O79" s="63">
        <f t="shared" si="136"/>
        <v>9</v>
      </c>
      <c r="P79" s="63">
        <f t="shared" si="137"/>
        <v>18</v>
      </c>
      <c r="Q79" s="63">
        <f t="shared" si="138"/>
        <v>27</v>
      </c>
      <c r="R79" s="63">
        <f t="shared" si="139"/>
        <v>33</v>
      </c>
      <c r="S79" s="63" t="str">
        <f>IFERROR(VLOOKUP(MID(N79,Q79,R79-Q79),[6]skilldef!$C:$D,2,FALSE),"-") &amp; " / " &amp; IFERROR(VLOOKUP(MID(N79,O79,P79-O79),[6]skilldef!$A:$B,2,FALSE),"-")</f>
        <v>自分自身に / 状態異常耐性</v>
      </c>
      <c r="T79" s="48" t="str">
        <f t="shared" si="140"/>
        <v>[effect:tolerance, target:myself, turn:-1, tolerance_effect:virus, count:-1],[effect:tolerance, target:myself, turn:-1, tolerance_effect:sleep, count:-1, animation:enemy_tolerance],[effect:change_block, new_block:block_heart, target:block_all, count:5, val:0, animation:change_block]</v>
      </c>
      <c r="U79" s="63">
        <f t="shared" si="141"/>
        <v>9</v>
      </c>
      <c r="V79" s="63">
        <f t="shared" si="142"/>
        <v>18</v>
      </c>
      <c r="W79" s="63">
        <f t="shared" si="143"/>
        <v>27</v>
      </c>
      <c r="X79" s="63">
        <f t="shared" si="144"/>
        <v>33</v>
      </c>
      <c r="Y79" s="63" t="str">
        <f>IFERROR(VLOOKUP(MID(T79,W79,X79-W79),[6]skilldef!$C:$D,2,FALSE),"-") &amp; " / " &amp; IFERROR(VLOOKUP(MID(T79,U79,V79-U79),[6]skilldef!$A:$B,2,FALSE),"-")</f>
        <v>自分自身に / 状態異常耐性</v>
      </c>
      <c r="Z79" s="50"/>
      <c r="AA79" s="52"/>
      <c r="AB79" s="50"/>
    </row>
  </sheetData>
  <autoFilter ref="A1:AB1"/>
  <phoneticPr fontId="6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7"/>
  <sheetViews>
    <sheetView showGridLines="0" zoomScale="75" zoomScaleNormal="75" zoomScalePageLayoutView="75" workbookViewId="0">
      <pane ySplit="1" topLeftCell="A22" activePane="bottomLeft" state="frozenSplit"/>
      <selection pane="bottomLeft" activeCell="A48" sqref="A48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39005001</v>
      </c>
      <c r="B2" s="47">
        <v>1</v>
      </c>
      <c r="C2" s="47" t="s">
        <v>89</v>
      </c>
      <c r="D2" s="47">
        <v>100</v>
      </c>
      <c r="E2" s="47" t="s">
        <v>53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39005002</v>
      </c>
      <c r="B3" s="47">
        <v>0</v>
      </c>
      <c r="C3" s="47">
        <v>1</v>
      </c>
      <c r="D3" s="47">
        <v>40</v>
      </c>
      <c r="E3" s="47" t="s">
        <v>53</v>
      </c>
      <c r="F3" s="47" t="s">
        <v>53</v>
      </c>
      <c r="G3" s="47" t="s">
        <v>53</v>
      </c>
      <c r="H3" s="47" t="s">
        <v>53</v>
      </c>
      <c r="I3" s="47" t="s">
        <v>53</v>
      </c>
      <c r="J3" s="48">
        <f t="shared" ref="J3:J4" si="1">D3</f>
        <v>40</v>
      </c>
    </row>
    <row r="4" spans="1:11" ht="21" customHeight="1" x14ac:dyDescent="0.15">
      <c r="A4" s="47">
        <v>39005003</v>
      </c>
      <c r="B4" s="47">
        <v>0</v>
      </c>
      <c r="C4" s="47">
        <v>1</v>
      </c>
      <c r="D4" s="47">
        <v>40</v>
      </c>
      <c r="E4" s="47" t="s">
        <v>53</v>
      </c>
      <c r="F4" s="47" t="s">
        <v>53</v>
      </c>
      <c r="G4" s="47">
        <v>2</v>
      </c>
      <c r="H4" s="47" t="s">
        <v>53</v>
      </c>
      <c r="I4" s="47" t="s">
        <v>53</v>
      </c>
      <c r="J4" s="48">
        <f t="shared" si="1"/>
        <v>40</v>
      </c>
    </row>
    <row r="5" spans="1:11" ht="21" customHeight="1" x14ac:dyDescent="0.15">
      <c r="A5" s="47">
        <v>39005004</v>
      </c>
      <c r="B5" s="47">
        <v>0</v>
      </c>
      <c r="C5" s="47">
        <v>2</v>
      </c>
      <c r="D5" s="47">
        <v>30</v>
      </c>
      <c r="E5" s="47" t="s">
        <v>53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ref="J5:J10" si="2">D5</f>
        <v>30</v>
      </c>
    </row>
    <row r="6" spans="1:11" ht="21" customHeight="1" x14ac:dyDescent="0.15">
      <c r="A6" s="108">
        <v>39005005</v>
      </c>
      <c r="B6" s="47">
        <v>0</v>
      </c>
      <c r="C6" s="47">
        <v>3</v>
      </c>
      <c r="D6" s="47">
        <v>100</v>
      </c>
      <c r="E6" s="47" t="s">
        <v>53</v>
      </c>
      <c r="F6" s="47" t="s">
        <v>53</v>
      </c>
      <c r="G6" s="47">
        <v>1</v>
      </c>
      <c r="H6" s="47" t="s">
        <v>53</v>
      </c>
      <c r="I6" s="47">
        <v>1</v>
      </c>
      <c r="J6" s="48">
        <f t="shared" si="2"/>
        <v>100</v>
      </c>
    </row>
    <row r="7" spans="1:11" ht="21" customHeight="1" x14ac:dyDescent="0.15">
      <c r="A7" s="108">
        <v>39005006</v>
      </c>
      <c r="B7" s="47">
        <v>0</v>
      </c>
      <c r="C7" s="47">
        <v>3</v>
      </c>
      <c r="D7" s="47">
        <v>100</v>
      </c>
      <c r="E7" s="47" t="s">
        <v>53</v>
      </c>
      <c r="F7" s="47" t="s">
        <v>53</v>
      </c>
      <c r="G7" s="47">
        <v>1</v>
      </c>
      <c r="H7" s="47" t="s">
        <v>53</v>
      </c>
      <c r="I7" s="47">
        <v>2</v>
      </c>
      <c r="J7" s="48">
        <f t="shared" si="2"/>
        <v>100</v>
      </c>
    </row>
    <row r="8" spans="1:11" ht="21" customHeight="1" x14ac:dyDescent="0.15">
      <c r="A8" s="47">
        <v>39005007</v>
      </c>
      <c r="B8" s="47">
        <v>0</v>
      </c>
      <c r="C8" s="47">
        <v>2</v>
      </c>
      <c r="D8" s="47">
        <v>70</v>
      </c>
      <c r="E8" s="47" t="s">
        <v>53</v>
      </c>
      <c r="F8" s="47" t="s">
        <v>53</v>
      </c>
      <c r="G8" s="47">
        <v>1</v>
      </c>
      <c r="H8" s="47" t="s">
        <v>53</v>
      </c>
      <c r="I8" s="47" t="s">
        <v>53</v>
      </c>
      <c r="J8" s="48">
        <f t="shared" si="2"/>
        <v>70</v>
      </c>
    </row>
    <row r="9" spans="1:11" ht="21" customHeight="1" x14ac:dyDescent="0.15">
      <c r="A9" s="47">
        <v>39005008</v>
      </c>
      <c r="B9" s="47">
        <v>0</v>
      </c>
      <c r="C9" s="47">
        <v>1</v>
      </c>
      <c r="D9" s="47">
        <v>40</v>
      </c>
      <c r="E9" s="47" t="s">
        <v>53</v>
      </c>
      <c r="F9" s="47" t="s">
        <v>53</v>
      </c>
      <c r="G9" s="47">
        <v>1</v>
      </c>
      <c r="H9" s="47" t="s">
        <v>53</v>
      </c>
      <c r="I9" s="47" t="s">
        <v>53</v>
      </c>
      <c r="J9" s="48">
        <f t="shared" si="2"/>
        <v>40</v>
      </c>
    </row>
    <row r="10" spans="1:11" ht="21" customHeight="1" x14ac:dyDescent="0.15">
      <c r="A10" s="47">
        <v>39005009</v>
      </c>
      <c r="B10" s="47">
        <v>0</v>
      </c>
      <c r="C10" s="47">
        <v>2</v>
      </c>
      <c r="D10" s="47">
        <v>100</v>
      </c>
      <c r="E10" s="47">
        <v>50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si="2"/>
        <v>100</v>
      </c>
    </row>
    <row r="11" spans="1:11" ht="21" customHeight="1" x14ac:dyDescent="0.15">
      <c r="A11" s="47">
        <v>39005010</v>
      </c>
      <c r="B11" s="47">
        <v>0</v>
      </c>
      <c r="C11" s="47">
        <v>1</v>
      </c>
      <c r="D11" s="47">
        <v>100</v>
      </c>
      <c r="E11" s="47">
        <v>100</v>
      </c>
      <c r="F11" s="47">
        <v>76</v>
      </c>
      <c r="G11" s="47" t="s">
        <v>197</v>
      </c>
      <c r="H11" s="47" t="s">
        <v>197</v>
      </c>
      <c r="I11" s="47" t="s">
        <v>197</v>
      </c>
      <c r="J11" s="48">
        <f t="shared" ref="J11:J16" si="3">D11</f>
        <v>100</v>
      </c>
    </row>
    <row r="12" spans="1:11" ht="21" customHeight="1" x14ac:dyDescent="0.15">
      <c r="A12" s="47">
        <v>39005011</v>
      </c>
      <c r="B12" s="47">
        <v>0</v>
      </c>
      <c r="C12" s="47">
        <v>1</v>
      </c>
      <c r="D12" s="47">
        <v>100</v>
      </c>
      <c r="E12" s="47">
        <v>75</v>
      </c>
      <c r="F12" s="47">
        <v>51</v>
      </c>
      <c r="G12" s="47" t="s">
        <v>197</v>
      </c>
      <c r="H12" s="47" t="s">
        <v>197</v>
      </c>
      <c r="I12" s="47" t="s">
        <v>197</v>
      </c>
      <c r="J12" s="48">
        <f t="shared" si="3"/>
        <v>100</v>
      </c>
    </row>
    <row r="13" spans="1:11" ht="21" customHeight="1" x14ac:dyDescent="0.15">
      <c r="A13" s="47">
        <v>39005012</v>
      </c>
      <c r="B13" s="47">
        <v>0</v>
      </c>
      <c r="C13" s="47">
        <v>1</v>
      </c>
      <c r="D13" s="47">
        <v>100</v>
      </c>
      <c r="E13" s="47">
        <v>50</v>
      </c>
      <c r="F13" s="47">
        <v>26</v>
      </c>
      <c r="G13" s="47" t="s">
        <v>197</v>
      </c>
      <c r="H13" s="47" t="s">
        <v>197</v>
      </c>
      <c r="I13" s="47" t="s">
        <v>197</v>
      </c>
      <c r="J13" s="48">
        <f t="shared" si="3"/>
        <v>100</v>
      </c>
    </row>
    <row r="14" spans="1:11" ht="21" customHeight="1" x14ac:dyDescent="0.15">
      <c r="A14" s="47">
        <v>39005013</v>
      </c>
      <c r="B14" s="47">
        <v>0</v>
      </c>
      <c r="C14" s="47">
        <v>1</v>
      </c>
      <c r="D14" s="47">
        <v>100</v>
      </c>
      <c r="E14" s="47">
        <v>25</v>
      </c>
      <c r="F14" s="47" t="s">
        <v>197</v>
      </c>
      <c r="G14" s="47" t="s">
        <v>197</v>
      </c>
      <c r="H14" s="47" t="s">
        <v>197</v>
      </c>
      <c r="I14" s="47" t="s">
        <v>197</v>
      </c>
      <c r="J14" s="48">
        <f t="shared" si="3"/>
        <v>100</v>
      </c>
    </row>
    <row r="15" spans="1:11" ht="21" customHeight="1" x14ac:dyDescent="0.15">
      <c r="A15" s="111">
        <v>39005014</v>
      </c>
      <c r="B15" s="47">
        <v>0</v>
      </c>
      <c r="C15" s="47">
        <v>2</v>
      </c>
      <c r="D15" s="47">
        <v>100</v>
      </c>
      <c r="E15" s="47">
        <v>50</v>
      </c>
      <c r="F15" s="47" t="s">
        <v>53</v>
      </c>
      <c r="G15" s="47">
        <v>1</v>
      </c>
      <c r="H15" s="47" t="s">
        <v>53</v>
      </c>
      <c r="I15" s="47">
        <v>39</v>
      </c>
      <c r="J15" s="48">
        <f t="shared" si="3"/>
        <v>100</v>
      </c>
    </row>
    <row r="16" spans="1:11" ht="21" customHeight="1" x14ac:dyDescent="0.15">
      <c r="A16" s="47">
        <v>39005015</v>
      </c>
      <c r="B16" s="47">
        <v>0</v>
      </c>
      <c r="C16" s="47">
        <v>2</v>
      </c>
      <c r="D16" s="47">
        <v>100</v>
      </c>
      <c r="E16" s="47">
        <v>40</v>
      </c>
      <c r="F16" s="47" t="s">
        <v>53</v>
      </c>
      <c r="G16" s="47">
        <v>1</v>
      </c>
      <c r="H16" s="47" t="s">
        <v>53</v>
      </c>
      <c r="I16" s="47" t="s">
        <v>53</v>
      </c>
      <c r="J16" s="48">
        <f t="shared" si="3"/>
        <v>100</v>
      </c>
    </row>
    <row r="17" spans="1:10" ht="21" customHeight="1" x14ac:dyDescent="0.15">
      <c r="A17" s="114">
        <v>39005016</v>
      </c>
      <c r="B17" s="47">
        <v>1</v>
      </c>
      <c r="C17" s="47">
        <v>2</v>
      </c>
      <c r="D17" s="47">
        <v>100</v>
      </c>
      <c r="E17" s="47" t="s">
        <v>53</v>
      </c>
      <c r="F17" s="47" t="s">
        <v>53</v>
      </c>
      <c r="G17" s="47">
        <v>1</v>
      </c>
      <c r="H17" s="47" t="s">
        <v>53</v>
      </c>
      <c r="I17" s="47">
        <v>525</v>
      </c>
      <c r="J17" s="48">
        <f t="shared" ref="J17:J41" si="4">D17</f>
        <v>100</v>
      </c>
    </row>
    <row r="18" spans="1:10" ht="21" customHeight="1" x14ac:dyDescent="0.15">
      <c r="A18" s="114">
        <v>39005017</v>
      </c>
      <c r="B18" s="47">
        <v>1</v>
      </c>
      <c r="C18" s="47">
        <v>2</v>
      </c>
      <c r="D18" s="47">
        <v>100</v>
      </c>
      <c r="E18" s="47" t="s">
        <v>53</v>
      </c>
      <c r="F18" s="47" t="s">
        <v>53</v>
      </c>
      <c r="G18" s="47">
        <v>1</v>
      </c>
      <c r="H18" s="47" t="s">
        <v>53</v>
      </c>
      <c r="I18" s="47">
        <v>526</v>
      </c>
      <c r="J18" s="48">
        <f t="shared" si="4"/>
        <v>100</v>
      </c>
    </row>
    <row r="19" spans="1:10" ht="21" customHeight="1" x14ac:dyDescent="0.15">
      <c r="A19" s="114">
        <v>39005018</v>
      </c>
      <c r="B19" s="47">
        <v>1</v>
      </c>
      <c r="C19" s="47">
        <v>2</v>
      </c>
      <c r="D19" s="47">
        <v>100</v>
      </c>
      <c r="E19" s="47" t="s">
        <v>53</v>
      </c>
      <c r="F19" s="47" t="s">
        <v>53</v>
      </c>
      <c r="G19" s="47">
        <v>1</v>
      </c>
      <c r="H19" s="47" t="s">
        <v>53</v>
      </c>
      <c r="I19" s="47">
        <v>527</v>
      </c>
      <c r="J19" s="48">
        <f t="shared" si="4"/>
        <v>100</v>
      </c>
    </row>
    <row r="20" spans="1:10" ht="21" customHeight="1" x14ac:dyDescent="0.15">
      <c r="A20" s="114">
        <v>39005019</v>
      </c>
      <c r="B20" s="47">
        <v>1</v>
      </c>
      <c r="C20" s="47">
        <v>2</v>
      </c>
      <c r="D20" s="47">
        <v>100</v>
      </c>
      <c r="E20" s="47" t="s">
        <v>53</v>
      </c>
      <c r="F20" s="47" t="s">
        <v>53</v>
      </c>
      <c r="G20" s="47">
        <v>1</v>
      </c>
      <c r="H20" s="47" t="s">
        <v>53</v>
      </c>
      <c r="I20" s="47">
        <v>528</v>
      </c>
      <c r="J20" s="48">
        <f t="shared" si="4"/>
        <v>100</v>
      </c>
    </row>
    <row r="21" spans="1:10" ht="21" customHeight="1" x14ac:dyDescent="0.15">
      <c r="A21" s="114">
        <v>39005020</v>
      </c>
      <c r="B21" s="47">
        <v>1</v>
      </c>
      <c r="C21" s="47">
        <v>2</v>
      </c>
      <c r="D21" s="47">
        <v>100</v>
      </c>
      <c r="E21" s="47" t="s">
        <v>53</v>
      </c>
      <c r="F21" s="47" t="s">
        <v>53</v>
      </c>
      <c r="G21" s="47">
        <v>1</v>
      </c>
      <c r="H21" s="47" t="s">
        <v>53</v>
      </c>
      <c r="I21" s="47">
        <v>539</v>
      </c>
      <c r="J21" s="48">
        <f t="shared" ref="J21:J22" si="5">D21</f>
        <v>100</v>
      </c>
    </row>
    <row r="22" spans="1:10" ht="21" customHeight="1" x14ac:dyDescent="0.15">
      <c r="A22" s="114">
        <v>39005021</v>
      </c>
      <c r="B22" s="47">
        <v>1</v>
      </c>
      <c r="C22" s="47">
        <v>2</v>
      </c>
      <c r="D22" s="47">
        <v>100</v>
      </c>
      <c r="E22" s="47" t="s">
        <v>53</v>
      </c>
      <c r="F22" s="47" t="s">
        <v>53</v>
      </c>
      <c r="G22" s="47">
        <v>1</v>
      </c>
      <c r="H22" s="47" t="s">
        <v>53</v>
      </c>
      <c r="I22" s="47">
        <v>540</v>
      </c>
      <c r="J22" s="48">
        <f t="shared" si="5"/>
        <v>100</v>
      </c>
    </row>
    <row r="23" spans="1:10" ht="21" customHeight="1" x14ac:dyDescent="0.15">
      <c r="A23" s="114">
        <v>39005022</v>
      </c>
      <c r="B23" s="47">
        <v>1</v>
      </c>
      <c r="C23" s="47">
        <v>2</v>
      </c>
      <c r="D23" s="47">
        <v>100</v>
      </c>
      <c r="E23" s="47" t="s">
        <v>53</v>
      </c>
      <c r="F23" s="47" t="s">
        <v>53</v>
      </c>
      <c r="G23" s="47">
        <v>1</v>
      </c>
      <c r="H23" s="47" t="s">
        <v>53</v>
      </c>
      <c r="I23" s="47">
        <v>541</v>
      </c>
      <c r="J23" s="48">
        <f t="shared" si="4"/>
        <v>100</v>
      </c>
    </row>
    <row r="24" spans="1:10" ht="21" customHeight="1" x14ac:dyDescent="0.15">
      <c r="A24" s="114">
        <v>39005023</v>
      </c>
      <c r="B24" s="47">
        <v>1</v>
      </c>
      <c r="C24" s="47">
        <v>2</v>
      </c>
      <c r="D24" s="47">
        <v>100</v>
      </c>
      <c r="E24" s="47" t="s">
        <v>53</v>
      </c>
      <c r="F24" s="47" t="s">
        <v>53</v>
      </c>
      <c r="G24" s="47">
        <v>1</v>
      </c>
      <c r="H24" s="47" t="s">
        <v>53</v>
      </c>
      <c r="I24" s="47">
        <v>542</v>
      </c>
      <c r="J24" s="48">
        <f t="shared" si="4"/>
        <v>100</v>
      </c>
    </row>
    <row r="25" spans="1:10" ht="21" customHeight="1" x14ac:dyDescent="0.15">
      <c r="A25" s="114">
        <v>39005024</v>
      </c>
      <c r="B25" s="47">
        <v>1</v>
      </c>
      <c r="C25" s="47">
        <v>2</v>
      </c>
      <c r="D25" s="47">
        <v>100</v>
      </c>
      <c r="E25" s="47" t="s">
        <v>53</v>
      </c>
      <c r="F25" s="47" t="s">
        <v>53</v>
      </c>
      <c r="G25" s="47">
        <v>1</v>
      </c>
      <c r="H25" s="47" t="s">
        <v>53</v>
      </c>
      <c r="I25" s="47">
        <v>543</v>
      </c>
      <c r="J25" s="48">
        <f t="shared" si="4"/>
        <v>100</v>
      </c>
    </row>
    <row r="26" spans="1:10" ht="21" customHeight="1" x14ac:dyDescent="0.15">
      <c r="A26" s="114">
        <v>39005025</v>
      </c>
      <c r="B26" s="47">
        <v>1</v>
      </c>
      <c r="C26" s="47">
        <v>2</v>
      </c>
      <c r="D26" s="47">
        <v>100</v>
      </c>
      <c r="E26" s="47" t="s">
        <v>53</v>
      </c>
      <c r="F26" s="47" t="s">
        <v>53</v>
      </c>
      <c r="G26" s="47">
        <v>1</v>
      </c>
      <c r="H26" s="47" t="s">
        <v>53</v>
      </c>
      <c r="I26" s="47">
        <v>544</v>
      </c>
      <c r="J26" s="48">
        <f t="shared" si="4"/>
        <v>100</v>
      </c>
    </row>
    <row r="27" spans="1:10" ht="21" customHeight="1" x14ac:dyDescent="0.15">
      <c r="A27" s="114">
        <v>39005026</v>
      </c>
      <c r="B27" s="47">
        <v>1</v>
      </c>
      <c r="C27" s="47">
        <v>2</v>
      </c>
      <c r="D27" s="47">
        <v>100</v>
      </c>
      <c r="E27" s="47" t="s">
        <v>53</v>
      </c>
      <c r="F27" s="47" t="s">
        <v>53</v>
      </c>
      <c r="G27" s="47">
        <v>1</v>
      </c>
      <c r="H27" s="47" t="s">
        <v>53</v>
      </c>
      <c r="I27" s="47">
        <v>545</v>
      </c>
      <c r="J27" s="48">
        <f t="shared" si="4"/>
        <v>100</v>
      </c>
    </row>
    <row r="28" spans="1:10" ht="21" customHeight="1" x14ac:dyDescent="0.15">
      <c r="A28" s="114">
        <v>39005027</v>
      </c>
      <c r="B28" s="47">
        <v>1</v>
      </c>
      <c r="C28" s="47">
        <v>2</v>
      </c>
      <c r="D28" s="47">
        <v>100</v>
      </c>
      <c r="E28" s="47" t="s">
        <v>53</v>
      </c>
      <c r="F28" s="47" t="s">
        <v>53</v>
      </c>
      <c r="G28" s="47">
        <v>1</v>
      </c>
      <c r="H28" s="47" t="s">
        <v>53</v>
      </c>
      <c r="I28" s="47">
        <v>546</v>
      </c>
      <c r="J28" s="48">
        <f t="shared" si="4"/>
        <v>100</v>
      </c>
    </row>
    <row r="29" spans="1:10" ht="21" customHeight="1" x14ac:dyDescent="0.15">
      <c r="A29" s="114">
        <v>39005028</v>
      </c>
      <c r="B29" s="47">
        <v>1</v>
      </c>
      <c r="C29" s="47">
        <v>2</v>
      </c>
      <c r="D29" s="47">
        <v>100</v>
      </c>
      <c r="E29" s="47" t="s">
        <v>53</v>
      </c>
      <c r="F29" s="47" t="s">
        <v>53</v>
      </c>
      <c r="G29" s="47">
        <v>1</v>
      </c>
      <c r="H29" s="47" t="s">
        <v>53</v>
      </c>
      <c r="I29" s="47">
        <v>547</v>
      </c>
      <c r="J29" s="48">
        <f t="shared" si="4"/>
        <v>100</v>
      </c>
    </row>
    <row r="30" spans="1:10" ht="21" customHeight="1" x14ac:dyDescent="0.15">
      <c r="A30" s="114">
        <v>39005029</v>
      </c>
      <c r="B30" s="47">
        <v>1</v>
      </c>
      <c r="C30" s="47">
        <v>2</v>
      </c>
      <c r="D30" s="47">
        <v>100</v>
      </c>
      <c r="E30" s="47" t="s">
        <v>53</v>
      </c>
      <c r="F30" s="47" t="s">
        <v>53</v>
      </c>
      <c r="G30" s="47">
        <v>1</v>
      </c>
      <c r="H30" s="47" t="s">
        <v>53</v>
      </c>
      <c r="I30" s="47">
        <v>548</v>
      </c>
      <c r="J30" s="48">
        <f t="shared" si="4"/>
        <v>100</v>
      </c>
    </row>
    <row r="31" spans="1:10" ht="21" customHeight="1" x14ac:dyDescent="0.15">
      <c r="A31" s="114">
        <v>39005030</v>
      </c>
      <c r="B31" s="47">
        <v>1</v>
      </c>
      <c r="C31" s="47">
        <v>2</v>
      </c>
      <c r="D31" s="47">
        <v>100</v>
      </c>
      <c r="E31" s="47" t="s">
        <v>53</v>
      </c>
      <c r="F31" s="47" t="s">
        <v>53</v>
      </c>
      <c r="G31" s="47">
        <v>1</v>
      </c>
      <c r="H31" s="47" t="s">
        <v>53</v>
      </c>
      <c r="I31" s="47">
        <v>549</v>
      </c>
      <c r="J31" s="48">
        <f t="shared" si="4"/>
        <v>100</v>
      </c>
    </row>
    <row r="32" spans="1:10" ht="21" customHeight="1" x14ac:dyDescent="0.15">
      <c r="A32" s="114">
        <v>39005031</v>
      </c>
      <c r="B32" s="47">
        <v>1</v>
      </c>
      <c r="C32" s="47">
        <v>2</v>
      </c>
      <c r="D32" s="47">
        <v>100</v>
      </c>
      <c r="E32" s="47" t="s">
        <v>53</v>
      </c>
      <c r="F32" s="47" t="s">
        <v>53</v>
      </c>
      <c r="G32" s="47">
        <v>1</v>
      </c>
      <c r="H32" s="47" t="s">
        <v>53</v>
      </c>
      <c r="I32" s="47">
        <v>550</v>
      </c>
      <c r="J32" s="48">
        <f t="shared" si="4"/>
        <v>100</v>
      </c>
    </row>
    <row r="33" spans="1:10" ht="21" customHeight="1" x14ac:dyDescent="0.15">
      <c r="A33" s="114">
        <v>39005032</v>
      </c>
      <c r="B33" s="47">
        <v>1</v>
      </c>
      <c r="C33" s="47">
        <v>2</v>
      </c>
      <c r="D33" s="47">
        <v>100</v>
      </c>
      <c r="E33" s="47" t="s">
        <v>53</v>
      </c>
      <c r="F33" s="47" t="s">
        <v>53</v>
      </c>
      <c r="G33" s="47">
        <v>1</v>
      </c>
      <c r="H33" s="47" t="s">
        <v>53</v>
      </c>
      <c r="I33" s="47">
        <v>551</v>
      </c>
      <c r="J33" s="48">
        <f t="shared" si="4"/>
        <v>100</v>
      </c>
    </row>
    <row r="34" spans="1:10" ht="21" customHeight="1" x14ac:dyDescent="0.15">
      <c r="A34" s="114">
        <v>39005033</v>
      </c>
      <c r="B34" s="47">
        <v>1</v>
      </c>
      <c r="C34" s="47">
        <v>2</v>
      </c>
      <c r="D34" s="47">
        <v>100</v>
      </c>
      <c r="E34" s="47" t="s">
        <v>53</v>
      </c>
      <c r="F34" s="47" t="s">
        <v>53</v>
      </c>
      <c r="G34" s="47">
        <v>1</v>
      </c>
      <c r="H34" s="47" t="s">
        <v>53</v>
      </c>
      <c r="I34" s="47">
        <v>552</v>
      </c>
      <c r="J34" s="48">
        <f t="shared" si="4"/>
        <v>100</v>
      </c>
    </row>
    <row r="35" spans="1:10" ht="21" customHeight="1" x14ac:dyDescent="0.15">
      <c r="A35" s="114">
        <v>39005034</v>
      </c>
      <c r="B35" s="47">
        <v>1</v>
      </c>
      <c r="C35" s="47">
        <v>2</v>
      </c>
      <c r="D35" s="47">
        <v>100</v>
      </c>
      <c r="E35" s="47" t="s">
        <v>53</v>
      </c>
      <c r="F35" s="47" t="s">
        <v>53</v>
      </c>
      <c r="G35" s="47">
        <v>1</v>
      </c>
      <c r="H35" s="47" t="s">
        <v>53</v>
      </c>
      <c r="I35" s="47">
        <v>553</v>
      </c>
      <c r="J35" s="48">
        <f t="shared" si="4"/>
        <v>100</v>
      </c>
    </row>
    <row r="36" spans="1:10" ht="21" customHeight="1" x14ac:dyDescent="0.15">
      <c r="A36" s="114">
        <v>39005035</v>
      </c>
      <c r="B36" s="47">
        <v>1</v>
      </c>
      <c r="C36" s="47">
        <v>2</v>
      </c>
      <c r="D36" s="47">
        <v>100</v>
      </c>
      <c r="E36" s="47" t="s">
        <v>53</v>
      </c>
      <c r="F36" s="47" t="s">
        <v>53</v>
      </c>
      <c r="G36" s="47">
        <v>1</v>
      </c>
      <c r="H36" s="47" t="s">
        <v>53</v>
      </c>
      <c r="I36" s="47">
        <v>554</v>
      </c>
      <c r="J36" s="48">
        <f t="shared" si="4"/>
        <v>100</v>
      </c>
    </row>
    <row r="37" spans="1:10" ht="21" customHeight="1" x14ac:dyDescent="0.15">
      <c r="A37" s="114">
        <v>39005036</v>
      </c>
      <c r="B37" s="47">
        <v>1</v>
      </c>
      <c r="C37" s="47">
        <v>2</v>
      </c>
      <c r="D37" s="47">
        <v>100</v>
      </c>
      <c r="E37" s="47" t="s">
        <v>53</v>
      </c>
      <c r="F37" s="47" t="s">
        <v>53</v>
      </c>
      <c r="G37" s="47">
        <v>1</v>
      </c>
      <c r="H37" s="47" t="s">
        <v>53</v>
      </c>
      <c r="I37" s="47">
        <v>555</v>
      </c>
      <c r="J37" s="48">
        <f t="shared" si="4"/>
        <v>100</v>
      </c>
    </row>
    <row r="38" spans="1:10" ht="21" customHeight="1" x14ac:dyDescent="0.15">
      <c r="A38" s="114">
        <v>39005037</v>
      </c>
      <c r="B38" s="47">
        <v>1</v>
      </c>
      <c r="C38" s="47">
        <v>2</v>
      </c>
      <c r="D38" s="47">
        <v>100</v>
      </c>
      <c r="E38" s="47" t="s">
        <v>53</v>
      </c>
      <c r="F38" s="47" t="s">
        <v>53</v>
      </c>
      <c r="G38" s="47">
        <v>1</v>
      </c>
      <c r="H38" s="47" t="s">
        <v>53</v>
      </c>
      <c r="I38" s="47">
        <v>556</v>
      </c>
      <c r="J38" s="48">
        <f t="shared" si="4"/>
        <v>100</v>
      </c>
    </row>
    <row r="39" spans="1:10" ht="21" customHeight="1" x14ac:dyDescent="0.15">
      <c r="A39" s="114">
        <v>39005038</v>
      </c>
      <c r="B39" s="47">
        <v>1</v>
      </c>
      <c r="C39" s="47">
        <v>2</v>
      </c>
      <c r="D39" s="47">
        <v>100</v>
      </c>
      <c r="E39" s="47" t="s">
        <v>53</v>
      </c>
      <c r="F39" s="47" t="s">
        <v>53</v>
      </c>
      <c r="G39" s="47">
        <v>1</v>
      </c>
      <c r="H39" s="47" t="s">
        <v>53</v>
      </c>
      <c r="I39" s="47">
        <v>557</v>
      </c>
      <c r="J39" s="48">
        <f t="shared" si="4"/>
        <v>100</v>
      </c>
    </row>
    <row r="40" spans="1:10" ht="21" customHeight="1" x14ac:dyDescent="0.15">
      <c r="A40" s="114">
        <v>39005039</v>
      </c>
      <c r="B40" s="47">
        <v>1</v>
      </c>
      <c r="C40" s="47">
        <v>2</v>
      </c>
      <c r="D40" s="47">
        <v>100</v>
      </c>
      <c r="E40" s="47" t="s">
        <v>53</v>
      </c>
      <c r="F40" s="47" t="s">
        <v>53</v>
      </c>
      <c r="G40" s="47">
        <v>1</v>
      </c>
      <c r="H40" s="47" t="s">
        <v>53</v>
      </c>
      <c r="I40" s="47">
        <v>558</v>
      </c>
      <c r="J40" s="48">
        <f t="shared" si="4"/>
        <v>100</v>
      </c>
    </row>
    <row r="41" spans="1:10" ht="21" customHeight="1" x14ac:dyDescent="0.15">
      <c r="A41" s="47">
        <v>39005040</v>
      </c>
      <c r="B41" s="47">
        <v>0</v>
      </c>
      <c r="C41" s="47">
        <v>2</v>
      </c>
      <c r="D41" s="47">
        <v>30</v>
      </c>
      <c r="E41" s="47" t="s">
        <v>53</v>
      </c>
      <c r="F41" s="47" t="s">
        <v>53</v>
      </c>
      <c r="G41" s="47">
        <v>3</v>
      </c>
      <c r="H41" s="47" t="s">
        <v>53</v>
      </c>
      <c r="I41" s="47" t="s">
        <v>53</v>
      </c>
      <c r="J41" s="48">
        <f t="shared" si="4"/>
        <v>30</v>
      </c>
    </row>
    <row r="42" spans="1:10" ht="21" customHeight="1" x14ac:dyDescent="0.15">
      <c r="A42" s="115">
        <v>39005041</v>
      </c>
      <c r="B42" s="47">
        <v>0</v>
      </c>
      <c r="C42" s="47" t="s">
        <v>53</v>
      </c>
      <c r="D42" s="47">
        <v>100</v>
      </c>
      <c r="E42" s="47" t="s">
        <v>53</v>
      </c>
      <c r="F42" s="47" t="s">
        <v>53</v>
      </c>
      <c r="G42" s="47">
        <v>1</v>
      </c>
      <c r="H42" s="47" t="s">
        <v>53</v>
      </c>
      <c r="I42" s="47">
        <v>529</v>
      </c>
      <c r="J42" s="48">
        <f t="shared" ref="J42:J45" si="6">D42</f>
        <v>100</v>
      </c>
    </row>
    <row r="43" spans="1:10" ht="21" customHeight="1" x14ac:dyDescent="0.15">
      <c r="A43" s="115">
        <v>39005042</v>
      </c>
      <c r="B43" s="47">
        <v>0</v>
      </c>
      <c r="C43" s="47" t="s">
        <v>53</v>
      </c>
      <c r="D43" s="47">
        <v>100</v>
      </c>
      <c r="E43" s="47" t="s">
        <v>53</v>
      </c>
      <c r="F43" s="47" t="s">
        <v>53</v>
      </c>
      <c r="G43" s="47">
        <v>1</v>
      </c>
      <c r="H43" s="47" t="s">
        <v>53</v>
      </c>
      <c r="I43" s="47">
        <v>531</v>
      </c>
      <c r="J43" s="48">
        <f t="shared" si="6"/>
        <v>100</v>
      </c>
    </row>
    <row r="44" spans="1:10" ht="21" customHeight="1" x14ac:dyDescent="0.15">
      <c r="A44" s="115">
        <v>39005043</v>
      </c>
      <c r="B44" s="47">
        <v>0</v>
      </c>
      <c r="C44" s="47" t="s">
        <v>53</v>
      </c>
      <c r="D44" s="47">
        <v>100</v>
      </c>
      <c r="E44" s="47" t="s">
        <v>53</v>
      </c>
      <c r="F44" s="47" t="s">
        <v>53</v>
      </c>
      <c r="G44" s="47">
        <v>1</v>
      </c>
      <c r="H44" s="47" t="s">
        <v>53</v>
      </c>
      <c r="I44" s="47">
        <v>534</v>
      </c>
      <c r="J44" s="48">
        <f t="shared" si="6"/>
        <v>100</v>
      </c>
    </row>
    <row r="45" spans="1:10" ht="21" customHeight="1" x14ac:dyDescent="0.15">
      <c r="A45" s="115">
        <v>39005044</v>
      </c>
      <c r="B45" s="47">
        <v>0</v>
      </c>
      <c r="C45" s="47" t="s">
        <v>53</v>
      </c>
      <c r="D45" s="47">
        <v>100</v>
      </c>
      <c r="E45" s="47" t="s">
        <v>53</v>
      </c>
      <c r="F45" s="47" t="s">
        <v>53</v>
      </c>
      <c r="G45" s="47">
        <v>1</v>
      </c>
      <c r="H45" s="47" t="s">
        <v>53</v>
      </c>
      <c r="I45" s="47">
        <v>536</v>
      </c>
      <c r="J45" s="48">
        <f t="shared" si="6"/>
        <v>100</v>
      </c>
    </row>
    <row r="46" spans="1:10" ht="21" customHeight="1" x14ac:dyDescent="0.15">
      <c r="A46" s="47">
        <v>39005045</v>
      </c>
      <c r="B46" s="47">
        <v>1</v>
      </c>
      <c r="C46" s="47">
        <v>1</v>
      </c>
      <c r="D46" s="47">
        <v>100</v>
      </c>
      <c r="E46" s="47" t="s">
        <v>53</v>
      </c>
      <c r="F46" s="47" t="s">
        <v>53</v>
      </c>
      <c r="G46" s="47">
        <v>1</v>
      </c>
      <c r="H46" s="47" t="s">
        <v>53</v>
      </c>
      <c r="I46" s="47" t="s">
        <v>53</v>
      </c>
      <c r="J46" s="48">
        <f t="shared" ref="J46:J47" si="7">D46</f>
        <v>100</v>
      </c>
    </row>
    <row r="47" spans="1:10" ht="21" customHeight="1" x14ac:dyDescent="0.15">
      <c r="A47" s="114">
        <v>39005046</v>
      </c>
      <c r="B47" s="47">
        <v>1</v>
      </c>
      <c r="C47" s="47">
        <v>2</v>
      </c>
      <c r="D47" s="47">
        <v>100</v>
      </c>
      <c r="E47" s="47" t="s">
        <v>53</v>
      </c>
      <c r="F47" s="47" t="s">
        <v>53</v>
      </c>
      <c r="G47" s="47">
        <v>1</v>
      </c>
      <c r="H47" s="47" t="s">
        <v>53</v>
      </c>
      <c r="I47" s="47">
        <v>559</v>
      </c>
      <c r="J47" s="48">
        <f t="shared" si="7"/>
        <v>100</v>
      </c>
    </row>
  </sheetData>
  <autoFilter ref="A1:G1"/>
  <phoneticPr fontId="6"/>
  <conditionalFormatting sqref="K48:K1048576 K1:K2 K4 K6 K8 K17 K20 K25 K28 K31 K34 K37 K40">
    <cfRule type="duplicateValues" dxfId="13" priority="15"/>
  </conditionalFormatting>
  <conditionalFormatting sqref="K3 K5 K7">
    <cfRule type="duplicateValues" dxfId="12" priority="20"/>
  </conditionalFormatting>
  <conditionalFormatting sqref="K24 K19 K9 K11 K13 K15 K27 K30 K33 K36 K39">
    <cfRule type="duplicateValues" dxfId="11" priority="407"/>
  </conditionalFormatting>
  <conditionalFormatting sqref="K24 K19 K27 K30 K33 K36 K39">
    <cfRule type="duplicateValues" dxfId="10" priority="598"/>
  </conditionalFormatting>
  <conditionalFormatting sqref="K45:K46">
    <cfRule type="duplicateValues" dxfId="9" priority="848"/>
  </conditionalFormatting>
  <conditionalFormatting sqref="K41:K44">
    <cfRule type="duplicateValues" dxfId="8" priority="861"/>
  </conditionalFormatting>
  <conditionalFormatting sqref="K22">
    <cfRule type="duplicateValues" dxfId="7" priority="3"/>
  </conditionalFormatting>
  <conditionalFormatting sqref="K21">
    <cfRule type="duplicateValues" dxfId="6" priority="4"/>
  </conditionalFormatting>
  <conditionalFormatting sqref="K21">
    <cfRule type="duplicateValues" dxfId="5" priority="5"/>
  </conditionalFormatting>
  <conditionalFormatting sqref="K22">
    <cfRule type="duplicateValues" dxfId="4" priority="6"/>
  </conditionalFormatting>
  <conditionalFormatting sqref="K23 K18 K10 K12 K14 K16 K26 K29 K32 K35 K38">
    <cfRule type="duplicateValues" dxfId="3" priority="874"/>
  </conditionalFormatting>
  <conditionalFormatting sqref="K25:K26 K17:K18 K20 K28:K29 K31:K32 K34:K35 K37:K38 K40 K23">
    <cfRule type="duplicateValues" dxfId="2" priority="885"/>
  </conditionalFormatting>
  <conditionalFormatting sqref="K47">
    <cfRule type="duplicateValues" dxfId="1" priority="1"/>
  </conditionalFormatting>
  <conditionalFormatting sqref="K47">
    <cfRule type="duplicateValues" dxfId="0" priority="2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88"/>
  <sheetViews>
    <sheetView showGridLines="0" workbookViewId="0">
      <pane xSplit="5" ySplit="1" topLeftCell="J76" activePane="bottomRight" state="frozen"/>
      <selection pane="topRight"/>
      <selection pane="bottomLeft"/>
      <selection pane="bottomRight" activeCell="C3" sqref="C3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11.332031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3" width="12.83203125" style="49" outlineLevel="1"/>
    <col min="14" max="14" width="15.33203125" style="49" customWidth="1" outlineLevel="1"/>
    <col min="15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39005001_39005001</v>
      </c>
      <c r="B2" s="98">
        <v>39005001</v>
      </c>
      <c r="C2" s="106">
        <v>39005001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みんなー！お待たせー！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2" s="106">
        <v>39005001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39005001_39005002</v>
      </c>
      <c r="B3" s="98">
        <v>39005001</v>
      </c>
      <c r="C3" s="47">
        <v>39005002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レーザーライト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" s="47">
        <v>39005002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" s="47"/>
      <c r="Q3" s="47"/>
      <c r="R3" s="47"/>
    </row>
    <row r="4" spans="1:18" ht="21" customHeight="1" x14ac:dyDescent="0.15">
      <c r="A4" s="39" t="str">
        <f t="shared" si="1"/>
        <v>39005001_39005003</v>
      </c>
      <c r="B4" s="98">
        <v>39005001</v>
      </c>
      <c r="C4" s="106">
        <v>39005003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ノイジーサウンド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種族unknown以外に大ダメージ</v>
      </c>
      <c r="F4" s="106">
        <v>39005003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" s="47"/>
      <c r="Q4" s="47"/>
      <c r="R4" s="47"/>
    </row>
    <row r="5" spans="1:18" ht="21" customHeight="1" x14ac:dyDescent="0.15">
      <c r="A5" s="39" t="str">
        <f t="shared" ref="A5:A12" si="2">B5&amp;"_"&amp;C5</f>
        <v>39005001_39005004</v>
      </c>
      <c r="B5" s="98">
        <v>39005001</v>
      </c>
      <c r="C5" s="47">
        <v>39005004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ヒーリングボイス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回復</v>
      </c>
      <c r="F5" s="47">
        <v>39005004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" s="47"/>
      <c r="Q5" s="47"/>
      <c r="R5" s="47"/>
    </row>
    <row r="6" spans="1:18" ht="21" customHeight="1" x14ac:dyDescent="0.15">
      <c r="A6" s="39" t="str">
        <f t="shared" si="2"/>
        <v>39005001_39005005</v>
      </c>
      <c r="B6" s="98">
        <v>39005001</v>
      </c>
      <c r="C6" s="106">
        <v>39005005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テンションアップ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6" s="47">
        <v>39005041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529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39005001_39005006</v>
      </c>
      <c r="B7" s="98">
        <v>39005001</v>
      </c>
      <c r="C7" s="47">
        <v>39005006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キュートステップ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7" s="47">
        <v>39005042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531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:A9" si="3">B8&amp;"_"&amp;C8</f>
        <v>39005001_39005011</v>
      </c>
      <c r="B8" s="98">
        <v>39005001</v>
      </c>
      <c r="C8" s="47">
        <v>39005011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ヒーリングサウンド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回復</v>
      </c>
      <c r="F8" s="47">
        <v>39005043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534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3"/>
        <v>39005001_39005012</v>
      </c>
      <c r="B9" s="98">
        <v>39005001</v>
      </c>
      <c r="C9" s="47">
        <v>39005012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テクニカルステップ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3ターン行動頻度が1ターンにUP</v>
      </c>
      <c r="F9" s="47">
        <v>39005044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536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2"/>
        <v>39005002_39005007</v>
      </c>
      <c r="B10" s="108">
        <v>39005002</v>
      </c>
      <c r="C10" s="47">
        <v>39005007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よーし！あったまってきたね！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10" s="106">
        <v>39005001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2"/>
        <v>39005002_39005008</v>
      </c>
      <c r="B11" s="108">
        <v>39005002</v>
      </c>
      <c r="C11" s="47">
        <v>39005008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レーザーライト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1" s="47">
        <v>39005002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" s="47"/>
      <c r="Q11" s="47"/>
      <c r="R11" s="47"/>
    </row>
    <row r="12" spans="1:18" ht="21" customHeight="1" x14ac:dyDescent="0.15">
      <c r="A12" s="39" t="str">
        <f t="shared" si="2"/>
        <v>39005002_39005009</v>
      </c>
      <c r="B12" s="108">
        <v>39005002</v>
      </c>
      <c r="C12" s="47">
        <v>39005009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ヒーリングボイス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回復</v>
      </c>
      <c r="F12" s="47">
        <v>39005003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2" s="47"/>
      <c r="Q12" s="47"/>
      <c r="R12" s="47"/>
    </row>
    <row r="13" spans="1:18" ht="21" customHeight="1" x14ac:dyDescent="0.15">
      <c r="A13" s="39" t="str">
        <f t="shared" ref="A13:A20" si="4">B13&amp;"_"&amp;C13</f>
        <v>39005002_39005010</v>
      </c>
      <c r="B13" s="108">
        <v>39005002</v>
      </c>
      <c r="C13" s="47">
        <v>39005010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ノンストップメドレー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7ターンの間ハートパネルで回復できない</v>
      </c>
      <c r="F13" s="47">
        <v>39005007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3" s="47"/>
      <c r="Q13" s="47"/>
      <c r="R13" s="47"/>
    </row>
    <row r="14" spans="1:18" ht="21" customHeight="1" x14ac:dyDescent="0.15">
      <c r="A14" s="39" t="str">
        <f t="shared" si="4"/>
        <v>39005002_39005005</v>
      </c>
      <c r="B14" s="108">
        <v>39005002</v>
      </c>
      <c r="C14" s="47">
        <v>39005005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テンションアップ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14" s="47">
        <v>39005041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529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4"/>
        <v>39005002_39005006</v>
      </c>
      <c r="B15" s="108">
        <v>39005002</v>
      </c>
      <c r="C15" s="47">
        <v>39005006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キュートステップ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15" s="47">
        <v>39005042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531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ref="A16:A17" si="5">B16&amp;"_"&amp;C16</f>
        <v>39005002_39005011</v>
      </c>
      <c r="B16" s="108">
        <v>39005002</v>
      </c>
      <c r="C16" s="47">
        <v>39005011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ヒーリングサウンド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回復</v>
      </c>
      <c r="F16" s="47">
        <v>39005043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534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5"/>
        <v>39005002_39005012</v>
      </c>
      <c r="B17" s="108">
        <v>39005002</v>
      </c>
      <c r="C17" s="47">
        <v>39005012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テクニカルステップ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3ターン行動頻度が1ターンにUP</v>
      </c>
      <c r="F17" s="47">
        <v>39005044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536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4"/>
        <v>39005003_39005013</v>
      </c>
      <c r="B18" s="99">
        <v>39005003</v>
      </c>
      <c r="C18" s="47">
        <v>39005013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本番はこれからだよ！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8ターンの間ハートパネルで回復できない</v>
      </c>
      <c r="F18" s="106">
        <v>39005001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4"/>
        <v>39005003_39005014</v>
      </c>
      <c r="B19" s="99">
        <v>39005003</v>
      </c>
      <c r="C19" s="47">
        <v>39005014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スモーク噴射！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3ターン回復力が100%DOWN</v>
      </c>
      <c r="F19" s="47">
        <v>39005008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9" s="47"/>
      <c r="Q19" s="47"/>
      <c r="R19" s="47"/>
    </row>
    <row r="20" spans="1:18" ht="21" customHeight="1" x14ac:dyDescent="0.15">
      <c r="A20" s="39" t="str">
        <f t="shared" si="4"/>
        <v>39005003_39005015</v>
      </c>
      <c r="B20" s="99">
        <v>39005003</v>
      </c>
      <c r="C20" s="47">
        <v>39005015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ユニゾンコーラス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0" s="47">
        <v>39005002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0" s="47"/>
      <c r="Q20" s="47"/>
      <c r="R20" s="47"/>
    </row>
    <row r="21" spans="1:18" ht="21" customHeight="1" x14ac:dyDescent="0.15">
      <c r="A21" s="39" t="str">
        <f t="shared" ref="A21:A26" si="6">B21&amp;"_"&amp;C21</f>
        <v>39005003_39005016</v>
      </c>
      <c r="B21" s="99">
        <v>39005003</v>
      </c>
      <c r="C21" s="47">
        <v>39005016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クールステップ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21" s="47">
        <v>39005009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6"/>
        <v>39005004_39005017</v>
      </c>
      <c r="B22" s="104">
        <v>39005004</v>
      </c>
      <c r="C22" s="47">
        <v>39005017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MIKUEXPO-オーヴァーチュア-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22" s="47">
        <v>39005010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2" s="48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76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6"/>
        <v>39005004_39005018</v>
      </c>
      <c r="B23" s="104">
        <v>39005004</v>
      </c>
      <c r="C23" s="47">
        <v>39005018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MIKUEXPO-スケルツォ-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23" s="47">
        <v>39005011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23" s="48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51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6"/>
        <v>39005004_39005019</v>
      </c>
      <c r="B24" s="104">
        <v>39005004</v>
      </c>
      <c r="C24" s="47">
        <v>39005019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MIKUEXPO-スケルツォ-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24" s="47">
        <v>39005012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48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26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6"/>
        <v>39005004_39005020</v>
      </c>
      <c r="B25" s="104">
        <v>39005004</v>
      </c>
      <c r="C25" s="47">
        <v>39005020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MIKUEXPO-フィナーレ-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HPが低いほど強力な攻撃</v>
      </c>
      <c r="F25" s="47">
        <v>39005013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6"/>
        <v>39005004_39005021</v>
      </c>
      <c r="B26" s="104">
        <v>39005004</v>
      </c>
      <c r="C26" s="47">
        <v>39005021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超高音シャウト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3ターンの間ハートパネルが出現しない＋回復力が100%DOWN</v>
      </c>
      <c r="F26" s="47">
        <v>39005009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ref="A27" si="7">B27&amp;"_"&amp;C27</f>
        <v>39005004_39005022</v>
      </c>
      <c r="B27" s="104">
        <v>39005004</v>
      </c>
      <c r="C27" s="47">
        <v>39005022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ついてこれるかな？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解除するまで行動頻度が1ターンにUP</v>
      </c>
      <c r="F27" s="47">
        <v>39005045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:A31" si="8">B28&amp;"_"&amp;C28</f>
        <v>39005005_39005023</v>
      </c>
      <c r="B28" s="105">
        <v>39005005</v>
      </c>
      <c r="C28" s="47">
        <v>39005023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ハウリングアタック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28" s="47">
        <v>39005002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8" s="47"/>
      <c r="Q28" s="47"/>
      <c r="R28" s="47"/>
    </row>
    <row r="29" spans="1:18" ht="21" customHeight="1" x14ac:dyDescent="0.15">
      <c r="A29" s="39" t="str">
        <f t="shared" si="8"/>
        <v>39005005_39005024</v>
      </c>
      <c r="B29" s="105">
        <v>39005005</v>
      </c>
      <c r="C29" s="47">
        <v>39005024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ノイズストーム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種族unknown以外に大ダメージ</v>
      </c>
      <c r="F29" s="47">
        <v>39005003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9" s="47"/>
      <c r="Q29" s="47"/>
      <c r="R29" s="47"/>
    </row>
    <row r="30" spans="1:18" ht="21" customHeight="1" x14ac:dyDescent="0.15">
      <c r="A30" s="39" t="str">
        <f t="shared" si="8"/>
        <v>39005005_39005025</v>
      </c>
      <c r="B30" s="105">
        <v>39005005</v>
      </c>
      <c r="C30" s="47">
        <v>39005025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チューニング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5ターン防御力UP</v>
      </c>
      <c r="F30" s="47">
        <v>39005015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8"/>
        <v>39005005_39005026</v>
      </c>
      <c r="B31" s="105">
        <v>39005005</v>
      </c>
      <c r="C31" s="47">
        <v>39005026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メロメロボイス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防御力DOWN攻撃</v>
      </c>
      <c r="F31" s="47">
        <v>39005040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1" s="47"/>
      <c r="Q31" s="47"/>
      <c r="R31" s="47"/>
    </row>
    <row r="32" spans="1:18" ht="21" customHeight="1" x14ac:dyDescent="0.15">
      <c r="A32" s="39" t="str">
        <f t="shared" ref="A32" si="9">B32&amp;"_"&amp;C32</f>
        <v>39005005_39005027</v>
      </c>
      <c r="B32" s="105">
        <v>39005005</v>
      </c>
      <c r="C32" s="47">
        <v>39005027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ラストスパートだよ！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状態異常無効＋フィーバーゲージを0にする</v>
      </c>
      <c r="F32" s="47">
        <v>39005045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ref="A33:A54" si="10">B33&amp;"_"&amp;C33</f>
        <v>39005004_39005028</v>
      </c>
      <c r="B33" s="112">
        <v>39005004</v>
      </c>
      <c r="C33" s="47">
        <v>39005028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33" s="47">
        <v>39005016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0"/>
        <v>39005004_39005029</v>
      </c>
      <c r="B34" s="112">
        <v>39005004</v>
      </c>
      <c r="C34" s="47">
        <v>39005029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34" s="47">
        <v>39005017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10"/>
        <v>39005004_39005030</v>
      </c>
      <c r="B35" s="112">
        <v>39005004</v>
      </c>
      <c r="C35" s="47">
        <v>39005030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35" s="47">
        <v>39005018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10"/>
        <v>39005004_39005031</v>
      </c>
      <c r="B36" s="112">
        <v>39005004</v>
      </c>
      <c r="C36" s="47">
        <v>39005031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36" s="47">
        <v>39005019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10"/>
        <v>39005004_39005032</v>
      </c>
      <c r="B37" s="112">
        <v>39005004</v>
      </c>
      <c r="C37" s="47">
        <v>39005032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37" s="47">
        <v>39005020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10"/>
        <v>39005004_39005033</v>
      </c>
      <c r="B38" s="112">
        <v>39005004</v>
      </c>
      <c r="C38" s="47">
        <v>39005033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38" s="47">
        <v>39005021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10"/>
        <v>39005004_39005034</v>
      </c>
      <c r="B39" s="112">
        <v>39005004</v>
      </c>
      <c r="C39" s="47">
        <v>39005034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39" s="47">
        <v>39005022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10"/>
        <v>39005004_39005035</v>
      </c>
      <c r="B40" s="112">
        <v>39005004</v>
      </c>
      <c r="C40" s="47">
        <v>39005035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40" s="47">
        <v>39005023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10"/>
        <v>39005004_39005036</v>
      </c>
      <c r="B41" s="112">
        <v>39005004</v>
      </c>
      <c r="C41" s="47">
        <v>39005036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41" s="47">
        <v>39005024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10"/>
        <v>39005004_39005037</v>
      </c>
      <c r="B42" s="112">
        <v>39005004</v>
      </c>
      <c r="C42" s="47">
        <v>39005037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42" s="47">
        <v>39005025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10"/>
        <v>39005004_39005038</v>
      </c>
      <c r="B43" s="112">
        <v>39005004</v>
      </c>
      <c r="C43" s="47">
        <v>39005038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43" s="47">
        <v>39005026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10"/>
        <v>39005004_39005039</v>
      </c>
      <c r="B44" s="112">
        <v>39005004</v>
      </c>
      <c r="C44" s="47">
        <v>39005039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44" s="47">
        <v>39005027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10"/>
        <v>39005004_39005040</v>
      </c>
      <c r="B45" s="112">
        <v>39005004</v>
      </c>
      <c r="C45" s="47">
        <v>39005040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45" s="47">
        <v>39005028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10"/>
        <v>39005004_39005041</v>
      </c>
      <c r="B46" s="112">
        <v>39005004</v>
      </c>
      <c r="C46" s="47">
        <v>39005041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46" s="47">
        <v>39005029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0"/>
        <v>39005004_39005042</v>
      </c>
      <c r="B47" s="112">
        <v>39005004</v>
      </c>
      <c r="C47" s="47">
        <v>39005042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47" s="47">
        <v>39005030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0"/>
        <v>39005004_39005043</v>
      </c>
      <c r="B48" s="112">
        <v>39005004</v>
      </c>
      <c r="C48" s="47">
        <v>39005043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48" s="47">
        <v>39005031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10"/>
        <v>39005004_39005044</v>
      </c>
      <c r="B49" s="112">
        <v>39005004</v>
      </c>
      <c r="C49" s="47">
        <v>39005044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49" s="47">
        <v>39005032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10"/>
        <v>39005004_39005045</v>
      </c>
      <c r="B50" s="112">
        <v>39005004</v>
      </c>
      <c r="C50" s="47">
        <v>39005045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50" s="47">
        <v>39005033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0"/>
        <v>39005004_39005046</v>
      </c>
      <c r="B51" s="112">
        <v>39005004</v>
      </c>
      <c r="C51" s="47">
        <v>39005046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51" s="47">
        <v>39005034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0"/>
        <v>39005004_39005047</v>
      </c>
      <c r="B52" s="112">
        <v>39005004</v>
      </c>
      <c r="C52" s="47">
        <v>39005047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52" s="47">
        <v>39005035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0"/>
        <v>39005004_39005048</v>
      </c>
      <c r="B53" s="112">
        <v>39005004</v>
      </c>
      <c r="C53" s="47">
        <v>39005048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53" s="47">
        <v>39005036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0"/>
        <v>39005004_39005049</v>
      </c>
      <c r="B54" s="112">
        <v>39005004</v>
      </c>
      <c r="C54" s="47">
        <v>39005049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54" s="47">
        <v>39005037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ref="A55:A56" si="11">B55&amp;"_"&amp;C55</f>
        <v>39005004_39005050</v>
      </c>
      <c r="B55" s="112">
        <v>39005004</v>
      </c>
      <c r="C55" s="47">
        <v>39005050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55" s="47">
        <v>39005038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11"/>
        <v>39005004_39005051</v>
      </c>
      <c r="B56" s="112">
        <v>39005004</v>
      </c>
      <c r="C56" s="47">
        <v>39005051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56" s="47">
        <v>39005039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ref="A57:A84" si="12">B57&amp;"_"&amp;C57</f>
        <v>39005005_39005052</v>
      </c>
      <c r="B57" s="120">
        <v>39005005</v>
      </c>
      <c r="C57" s="47">
        <v>39005052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57" s="47">
        <v>39005016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12"/>
        <v>39005005_39005053</v>
      </c>
      <c r="B58" s="120">
        <v>39005005</v>
      </c>
      <c r="C58" s="47">
        <v>39005053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58" s="47">
        <v>39005017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12"/>
        <v>39005005_39005054</v>
      </c>
      <c r="B59" s="120">
        <v>39005005</v>
      </c>
      <c r="C59" s="47">
        <v>39005054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59" s="47">
        <v>39005018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12"/>
        <v>39005005_39005055</v>
      </c>
      <c r="B60" s="120">
        <v>39005005</v>
      </c>
      <c r="C60" s="47">
        <v>39005055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0" s="47">
        <v>39005019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2"/>
        <v>39005005_39005056</v>
      </c>
      <c r="B61" s="120">
        <v>39005005</v>
      </c>
      <c r="C61" s="47">
        <v>39005056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1" s="47">
        <v>39005020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12"/>
        <v>39005005_39005057</v>
      </c>
      <c r="B62" s="120">
        <v>39005005</v>
      </c>
      <c r="C62" s="47">
        <v>39005057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2" s="47">
        <v>39005021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2"/>
        <v>39005005_39005058</v>
      </c>
      <c r="B63" s="120">
        <v>39005005</v>
      </c>
      <c r="C63" s="47">
        <v>39005058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3" s="47">
        <v>39005022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2"/>
        <v>39005005_39005059</v>
      </c>
      <c r="B64" s="120">
        <v>39005005</v>
      </c>
      <c r="C64" s="47">
        <v>39005059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4" s="47">
        <v>39005023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2"/>
        <v>39005005_39005060</v>
      </c>
      <c r="B65" s="120">
        <v>39005005</v>
      </c>
      <c r="C65" s="47">
        <v>39005060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5" s="47">
        <v>39005024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12"/>
        <v>39005005_39005061</v>
      </c>
      <c r="B66" s="120">
        <v>39005005</v>
      </c>
      <c r="C66" s="47">
        <v>39005061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6" s="47">
        <v>39005025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2"/>
        <v>39005005_39005062</v>
      </c>
      <c r="B67" s="120">
        <v>39005005</v>
      </c>
      <c r="C67" s="47">
        <v>39005062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7" s="47">
        <v>39005026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2"/>
        <v>39005005_39005063</v>
      </c>
      <c r="B68" s="120">
        <v>39005005</v>
      </c>
      <c r="C68" s="47">
        <v>39005063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8" s="47">
        <v>39005027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2"/>
        <v>39005005_39005064</v>
      </c>
      <c r="B69" s="120">
        <v>39005005</v>
      </c>
      <c r="C69" s="47">
        <v>39005064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69" s="47">
        <v>39005028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12"/>
        <v>39005005_39005065</v>
      </c>
      <c r="B70" s="120">
        <v>39005005</v>
      </c>
      <c r="C70" s="47">
        <v>39005065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0" s="47">
        <v>39005029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2"/>
        <v>39005005_39005066</v>
      </c>
      <c r="B71" s="120">
        <v>39005005</v>
      </c>
      <c r="C71" s="47">
        <v>39005066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1" s="47">
        <v>39005030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2"/>
        <v>39005005_39005067</v>
      </c>
      <c r="B72" s="120">
        <v>39005005</v>
      </c>
      <c r="C72" s="47">
        <v>39005067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2" s="47">
        <v>39005031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si="12"/>
        <v>39005005_39005068</v>
      </c>
      <c r="B73" s="120">
        <v>39005005</v>
      </c>
      <c r="C73" s="47">
        <v>39005068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3" s="47">
        <v>39005032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12"/>
        <v>39005005_39005069</v>
      </c>
      <c r="B74" s="120">
        <v>39005005</v>
      </c>
      <c r="C74" s="47">
        <v>39005069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4" s="47">
        <v>39005033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12"/>
        <v>39005005_39005070</v>
      </c>
      <c r="B75" s="120">
        <v>39005005</v>
      </c>
      <c r="C75" s="47">
        <v>39005070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5" s="47">
        <v>39005034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12"/>
        <v>39005005_39005071</v>
      </c>
      <c r="B76" s="120">
        <v>39005005</v>
      </c>
      <c r="C76" s="47">
        <v>39005071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6" s="47">
        <v>39005035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12"/>
        <v>39005005_39005072</v>
      </c>
      <c r="B77" s="120">
        <v>39005005</v>
      </c>
      <c r="C77" s="47">
        <v>39005072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7" s="47">
        <v>39005036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2"/>
        <v>39005005_39005073</v>
      </c>
      <c r="B78" s="120">
        <v>39005005</v>
      </c>
      <c r="C78" s="47">
        <v>39005073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8" s="47">
        <v>39005037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ref="A79:A80" si="13">B79&amp;"_"&amp;C79</f>
        <v>39005005_39005074</v>
      </c>
      <c r="B79" s="120">
        <v>39005005</v>
      </c>
      <c r="C79" s="47">
        <v>39005074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9" s="47">
        <v>39005038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21" customHeight="1" x14ac:dyDescent="0.15">
      <c r="A80" s="39" t="str">
        <f t="shared" si="13"/>
        <v>39005005_39005075</v>
      </c>
      <c r="B80" s="120">
        <v>39005005</v>
      </c>
      <c r="C80" s="47">
        <v>39005075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80" s="47">
        <v>39005039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21" customHeight="1" x14ac:dyDescent="0.15">
      <c r="A81" s="39" t="str">
        <f t="shared" si="12"/>
        <v>39005006_39005001</v>
      </c>
      <c r="B81" s="98">
        <v>39005006</v>
      </c>
      <c r="C81" s="106">
        <v>39005001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みんなー！お待たせー！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3ターン防御力UP</v>
      </c>
      <c r="F81" s="106">
        <v>39005001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 t="str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si="12"/>
        <v>39005006_39005002</v>
      </c>
      <c r="B82" s="98">
        <v>39005006</v>
      </c>
      <c r="C82" s="47">
        <v>39005002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レーザーライト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82" s="47">
        <v>39005002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 t="str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2" s="47"/>
      <c r="Q82" s="47"/>
      <c r="R82" s="47"/>
    </row>
    <row r="83" spans="1:18" ht="21" customHeight="1" x14ac:dyDescent="0.15">
      <c r="A83" s="39" t="str">
        <f t="shared" si="12"/>
        <v>39005006_39005003</v>
      </c>
      <c r="B83" s="98">
        <v>39005006</v>
      </c>
      <c r="C83" s="106">
        <v>39005003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ノイジーサウンド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種族unknown以外に大ダメージ</v>
      </c>
      <c r="F83" s="106">
        <v>39005003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3" s="47"/>
      <c r="Q83" s="47"/>
      <c r="R83" s="47"/>
    </row>
    <row r="84" spans="1:18" ht="21" customHeight="1" x14ac:dyDescent="0.15">
      <c r="A84" s="39" t="str">
        <f t="shared" si="12"/>
        <v>39005006_39005004</v>
      </c>
      <c r="B84" s="98">
        <v>39005006</v>
      </c>
      <c r="C84" s="47">
        <v>39005004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ヒーリングボイス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回復</v>
      </c>
      <c r="F84" s="47">
        <v>39005004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4" s="47"/>
      <c r="Q84" s="47"/>
      <c r="R84" s="47"/>
    </row>
    <row r="85" spans="1:18" ht="21" customHeight="1" x14ac:dyDescent="0.15">
      <c r="A85" s="39" t="str">
        <f t="shared" ref="A85:A88" si="14">B85&amp;"_"&amp;C85</f>
        <v>39005007_39005076</v>
      </c>
      <c r="B85" s="122">
        <v>39005007</v>
      </c>
      <c r="C85" s="106">
        <v>39005076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みんなー！お待たせー！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1ターン防御力UP</v>
      </c>
      <c r="F85" s="106">
        <v>39005001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8" t="str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21" customHeight="1" x14ac:dyDescent="0.15">
      <c r="A86" s="39" t="str">
        <f t="shared" si="14"/>
        <v>39005007_39005002</v>
      </c>
      <c r="B86" s="122">
        <v>39005007</v>
      </c>
      <c r="C86" s="47">
        <v>39005002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レーザーライト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86" s="47">
        <v>39005002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6" s="47"/>
      <c r="Q86" s="47"/>
      <c r="R86" s="47"/>
    </row>
    <row r="87" spans="1:18" ht="21" customHeight="1" x14ac:dyDescent="0.15">
      <c r="A87" s="39" t="str">
        <f t="shared" si="14"/>
        <v>39005004_39005077</v>
      </c>
      <c r="B87" s="112">
        <v>39005004</v>
      </c>
      <c r="C87" s="47">
        <v>39005077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もうすぐクライマックスだよ！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みんなの歌声を響かせよう！</v>
      </c>
      <c r="F87" s="47">
        <v>39005046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14"/>
        <v>39005005_39005078</v>
      </c>
      <c r="B88" s="120">
        <v>39005005</v>
      </c>
      <c r="C88" s="47">
        <v>39005078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もっと響かせよう！_x000D_　　私達の歌で！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88" s="47">
        <v>39005046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</sheetData>
  <autoFilter ref="A1:R1"/>
  <phoneticPr fontId="6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3"/>
  <sheetViews>
    <sheetView topLeftCell="A20" workbookViewId="0">
      <selection activeCell="G52" sqref="G5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106">
        <v>39005</v>
      </c>
      <c r="B2" s="82">
        <v>1</v>
      </c>
      <c r="C2" s="71" t="str">
        <f>A2&amp; "_"&amp;B2</f>
        <v>39005_1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2">
        <v>1</v>
      </c>
      <c r="F2" s="82" t="s">
        <v>169</v>
      </c>
      <c r="G2" s="82">
        <v>1700</v>
      </c>
      <c r="H2" s="82" t="s">
        <v>246</v>
      </c>
      <c r="I2" s="82">
        <v>1</v>
      </c>
      <c r="J2" s="82">
        <v>1</v>
      </c>
      <c r="K2" s="82">
        <v>0</v>
      </c>
      <c r="L2" s="82">
        <v>0</v>
      </c>
      <c r="M2" s="82">
        <v>0</v>
      </c>
      <c r="N2" s="82">
        <v>0</v>
      </c>
      <c r="O2" s="82">
        <v>1</v>
      </c>
      <c r="P2" s="82">
        <v>250</v>
      </c>
      <c r="Q2" s="82" t="s">
        <v>170</v>
      </c>
      <c r="R2" s="82" t="s">
        <v>171</v>
      </c>
    </row>
    <row r="3" spans="1:18" x14ac:dyDescent="0.15">
      <c r="A3" s="106">
        <v>39005</v>
      </c>
      <c r="B3" s="82">
        <v>1</v>
      </c>
      <c r="C3" s="71" t="str">
        <f t="shared" ref="C3:C32" si="0">A3&amp; "_"&amp;B3</f>
        <v>39005_1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2">
        <v>2</v>
      </c>
      <c r="F3" s="82" t="s">
        <v>243</v>
      </c>
      <c r="G3" s="82">
        <v>20</v>
      </c>
      <c r="H3" s="82" t="s">
        <v>246</v>
      </c>
      <c r="I3" s="82">
        <v>1</v>
      </c>
      <c r="J3" s="82">
        <v>1</v>
      </c>
      <c r="K3" s="82">
        <v>0</v>
      </c>
      <c r="L3" s="82">
        <v>0</v>
      </c>
      <c r="M3" s="82">
        <v>0</v>
      </c>
      <c r="N3" s="82">
        <v>0</v>
      </c>
      <c r="O3" s="82">
        <v>1</v>
      </c>
      <c r="P3" s="82">
        <v>250</v>
      </c>
      <c r="Q3" s="82" t="s">
        <v>170</v>
      </c>
      <c r="R3" s="82" t="s">
        <v>171</v>
      </c>
    </row>
    <row r="4" spans="1:18" x14ac:dyDescent="0.15">
      <c r="A4" s="106">
        <v>39005</v>
      </c>
      <c r="B4" s="82">
        <v>1</v>
      </c>
      <c r="C4" s="71" t="str">
        <f t="shared" si="0"/>
        <v>39005_1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2">
        <v>3</v>
      </c>
      <c r="F4" s="82" t="s">
        <v>244</v>
      </c>
      <c r="G4" s="82">
        <v>340</v>
      </c>
      <c r="H4" s="82">
        <v>1</v>
      </c>
      <c r="I4" s="82">
        <v>1</v>
      </c>
      <c r="J4" s="82">
        <v>1</v>
      </c>
      <c r="K4" s="82">
        <v>0</v>
      </c>
      <c r="L4" s="82">
        <v>0</v>
      </c>
      <c r="M4" s="82">
        <v>0</v>
      </c>
      <c r="N4" s="82">
        <v>0</v>
      </c>
      <c r="O4" s="82">
        <v>1</v>
      </c>
      <c r="P4" s="82">
        <v>98</v>
      </c>
      <c r="Q4" s="82" t="s">
        <v>170</v>
      </c>
      <c r="R4" s="82" t="s">
        <v>171</v>
      </c>
    </row>
    <row r="5" spans="1:18" x14ac:dyDescent="0.15">
      <c r="A5" s="106">
        <v>39005</v>
      </c>
      <c r="B5" s="82">
        <v>1</v>
      </c>
      <c r="C5" s="71" t="str">
        <f t="shared" si="0"/>
        <v>39005_1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2">
        <v>4</v>
      </c>
      <c r="F5" s="82" t="s">
        <v>244</v>
      </c>
      <c r="G5" s="82">
        <v>341</v>
      </c>
      <c r="H5" s="82">
        <v>1</v>
      </c>
      <c r="I5" s="82">
        <v>1</v>
      </c>
      <c r="J5" s="82">
        <v>1</v>
      </c>
      <c r="K5" s="82">
        <v>0</v>
      </c>
      <c r="L5" s="82">
        <v>0</v>
      </c>
      <c r="M5" s="82">
        <v>0</v>
      </c>
      <c r="N5" s="82">
        <v>0</v>
      </c>
      <c r="O5" s="82">
        <v>1</v>
      </c>
      <c r="P5" s="82">
        <v>42</v>
      </c>
      <c r="Q5" s="82" t="s">
        <v>170</v>
      </c>
      <c r="R5" s="82" t="s">
        <v>171</v>
      </c>
    </row>
    <row r="6" spans="1:18" x14ac:dyDescent="0.15">
      <c r="A6" s="106">
        <v>39005</v>
      </c>
      <c r="B6" s="82">
        <v>1</v>
      </c>
      <c r="C6" s="71" t="str">
        <f t="shared" si="0"/>
        <v>39005_1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2">
        <v>5</v>
      </c>
      <c r="F6" s="82" t="s">
        <v>244</v>
      </c>
      <c r="G6" s="82">
        <v>121</v>
      </c>
      <c r="H6" s="82">
        <v>1</v>
      </c>
      <c r="I6" s="82">
        <v>1</v>
      </c>
      <c r="J6" s="82">
        <v>1</v>
      </c>
      <c r="K6" s="82">
        <v>0</v>
      </c>
      <c r="L6" s="82">
        <v>0</v>
      </c>
      <c r="M6" s="82">
        <v>0</v>
      </c>
      <c r="N6" s="82">
        <v>0</v>
      </c>
      <c r="O6" s="82">
        <v>1</v>
      </c>
      <c r="P6" s="82">
        <v>50</v>
      </c>
      <c r="Q6" s="82" t="s">
        <v>170</v>
      </c>
      <c r="R6" s="82" t="s">
        <v>171</v>
      </c>
    </row>
    <row r="7" spans="1:18" x14ac:dyDescent="0.15">
      <c r="A7" s="106">
        <v>39005</v>
      </c>
      <c r="B7" s="82">
        <v>1</v>
      </c>
      <c r="C7" s="71" t="str">
        <f t="shared" si="0"/>
        <v>39005_1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2">
        <v>6</v>
      </c>
      <c r="F7" s="82" t="s">
        <v>244</v>
      </c>
      <c r="G7" s="82">
        <v>122</v>
      </c>
      <c r="H7" s="82">
        <v>1</v>
      </c>
      <c r="I7" s="82">
        <v>1</v>
      </c>
      <c r="J7" s="82">
        <v>1</v>
      </c>
      <c r="K7" s="82">
        <v>0</v>
      </c>
      <c r="L7" s="82">
        <v>0</v>
      </c>
      <c r="M7" s="82">
        <v>0</v>
      </c>
      <c r="N7" s="82">
        <v>0</v>
      </c>
      <c r="O7" s="82">
        <v>1</v>
      </c>
      <c r="P7" s="82">
        <v>50</v>
      </c>
      <c r="Q7" s="82" t="s">
        <v>170</v>
      </c>
      <c r="R7" s="82" t="s">
        <v>171</v>
      </c>
    </row>
    <row r="8" spans="1:18" x14ac:dyDescent="0.15">
      <c r="A8" s="106">
        <v>39005</v>
      </c>
      <c r="B8" s="82">
        <v>1</v>
      </c>
      <c r="C8" s="71" t="str">
        <f t="shared" si="0"/>
        <v>39005_1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2">
        <v>7</v>
      </c>
      <c r="F8" s="82" t="s">
        <v>244</v>
      </c>
      <c r="G8" s="82">
        <v>123</v>
      </c>
      <c r="H8" s="82">
        <v>1</v>
      </c>
      <c r="I8" s="82">
        <v>1</v>
      </c>
      <c r="J8" s="82">
        <v>1</v>
      </c>
      <c r="K8" s="82">
        <v>0</v>
      </c>
      <c r="L8" s="82">
        <v>0</v>
      </c>
      <c r="M8" s="82">
        <v>0</v>
      </c>
      <c r="N8" s="82">
        <v>0</v>
      </c>
      <c r="O8" s="82">
        <v>1</v>
      </c>
      <c r="P8" s="82">
        <v>50</v>
      </c>
      <c r="Q8" s="82" t="s">
        <v>170</v>
      </c>
      <c r="R8" s="82" t="s">
        <v>171</v>
      </c>
    </row>
    <row r="9" spans="1:18" x14ac:dyDescent="0.15">
      <c r="A9" s="106">
        <v>39005</v>
      </c>
      <c r="B9" s="82">
        <v>1</v>
      </c>
      <c r="C9" s="71" t="str">
        <f t="shared" si="0"/>
        <v>39005_1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2">
        <v>8</v>
      </c>
      <c r="F9" s="82" t="s">
        <v>244</v>
      </c>
      <c r="G9" s="82">
        <v>125</v>
      </c>
      <c r="H9" s="82">
        <v>1</v>
      </c>
      <c r="I9" s="82">
        <v>1</v>
      </c>
      <c r="J9" s="82">
        <v>1</v>
      </c>
      <c r="K9" s="82">
        <v>0</v>
      </c>
      <c r="L9" s="82">
        <v>0</v>
      </c>
      <c r="M9" s="82">
        <v>0</v>
      </c>
      <c r="N9" s="82">
        <v>0</v>
      </c>
      <c r="O9" s="82">
        <v>1</v>
      </c>
      <c r="P9" s="82">
        <v>10</v>
      </c>
      <c r="Q9" s="82" t="s">
        <v>170</v>
      </c>
      <c r="R9" s="82" t="s">
        <v>171</v>
      </c>
    </row>
    <row r="10" spans="1:18" x14ac:dyDescent="0.15">
      <c r="A10" s="106">
        <v>39005</v>
      </c>
      <c r="B10" s="82">
        <v>1</v>
      </c>
      <c r="C10" s="71" t="str">
        <f t="shared" si="0"/>
        <v>39005_1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2">
        <v>9</v>
      </c>
      <c r="F10" s="82" t="s">
        <v>244</v>
      </c>
      <c r="G10" s="133">
        <v>8029</v>
      </c>
      <c r="H10" s="82">
        <v>1</v>
      </c>
      <c r="I10" s="82">
        <v>1</v>
      </c>
      <c r="J10" s="82">
        <v>1</v>
      </c>
      <c r="K10" s="82">
        <v>0</v>
      </c>
      <c r="L10" s="82">
        <v>0</v>
      </c>
      <c r="M10" s="82">
        <v>0</v>
      </c>
      <c r="N10" s="82">
        <v>0</v>
      </c>
      <c r="O10" s="82">
        <v>1</v>
      </c>
      <c r="P10" s="82">
        <v>50</v>
      </c>
      <c r="Q10" s="82" t="s">
        <v>170</v>
      </c>
      <c r="R10" s="82" t="s">
        <v>171</v>
      </c>
    </row>
    <row r="11" spans="1:18" x14ac:dyDescent="0.15">
      <c r="A11" s="106">
        <v>39005</v>
      </c>
      <c r="B11" s="82">
        <v>1</v>
      </c>
      <c r="C11" s="71" t="str">
        <f t="shared" si="0"/>
        <v>39005_1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82">
        <v>10</v>
      </c>
      <c r="F11" s="82" t="s">
        <v>244</v>
      </c>
      <c r="G11" s="82">
        <v>352</v>
      </c>
      <c r="H11" s="82">
        <v>1</v>
      </c>
      <c r="I11" s="82">
        <v>1</v>
      </c>
      <c r="J11" s="82">
        <v>1</v>
      </c>
      <c r="K11" s="82">
        <v>0</v>
      </c>
      <c r="L11" s="82">
        <v>0</v>
      </c>
      <c r="M11" s="82">
        <v>0</v>
      </c>
      <c r="N11" s="82">
        <v>0</v>
      </c>
      <c r="O11" s="82">
        <v>1</v>
      </c>
      <c r="P11" s="82">
        <v>150</v>
      </c>
      <c r="Q11" s="82" t="s">
        <v>170</v>
      </c>
      <c r="R11" s="82" t="s">
        <v>171</v>
      </c>
    </row>
    <row r="12" spans="1:18" x14ac:dyDescent="0.15">
      <c r="A12" s="106">
        <v>39005</v>
      </c>
      <c r="B12" s="82">
        <v>2</v>
      </c>
      <c r="C12" s="71" t="str">
        <f t="shared" si="0"/>
        <v>39005_2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82">
        <v>11</v>
      </c>
      <c r="F12" s="82" t="s">
        <v>169</v>
      </c>
      <c r="G12" s="82">
        <v>3200</v>
      </c>
      <c r="H12" s="82" t="s">
        <v>246</v>
      </c>
      <c r="I12" s="82">
        <v>1</v>
      </c>
      <c r="J12" s="82">
        <v>1</v>
      </c>
      <c r="K12" s="82">
        <v>0</v>
      </c>
      <c r="L12" s="82">
        <v>0</v>
      </c>
      <c r="M12" s="82">
        <v>0</v>
      </c>
      <c r="N12" s="82">
        <v>0</v>
      </c>
      <c r="O12" s="82">
        <v>1</v>
      </c>
      <c r="P12" s="82">
        <v>250</v>
      </c>
      <c r="Q12" s="82" t="s">
        <v>170</v>
      </c>
      <c r="R12" s="82" t="s">
        <v>171</v>
      </c>
    </row>
    <row r="13" spans="1:18" x14ac:dyDescent="0.15">
      <c r="A13" s="106">
        <v>39005</v>
      </c>
      <c r="B13" s="82">
        <v>2</v>
      </c>
      <c r="C13" s="71" t="str">
        <f t="shared" si="0"/>
        <v>39005_2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2">
        <v>12</v>
      </c>
      <c r="F13" s="82" t="s">
        <v>245</v>
      </c>
      <c r="G13" s="82">
        <v>20</v>
      </c>
      <c r="H13" s="82" t="s">
        <v>246</v>
      </c>
      <c r="I13" s="82">
        <v>1</v>
      </c>
      <c r="J13" s="82">
        <v>1</v>
      </c>
      <c r="K13" s="82">
        <v>0</v>
      </c>
      <c r="L13" s="82">
        <v>0</v>
      </c>
      <c r="M13" s="82">
        <v>0</v>
      </c>
      <c r="N13" s="82">
        <v>0</v>
      </c>
      <c r="O13" s="82">
        <v>1</v>
      </c>
      <c r="P13" s="82">
        <v>200</v>
      </c>
      <c r="Q13" s="82" t="s">
        <v>170</v>
      </c>
      <c r="R13" s="82" t="s">
        <v>171</v>
      </c>
    </row>
    <row r="14" spans="1:18" x14ac:dyDescent="0.15">
      <c r="A14" s="106">
        <v>39005</v>
      </c>
      <c r="B14" s="82">
        <v>2</v>
      </c>
      <c r="C14" s="71" t="str">
        <f t="shared" si="0"/>
        <v>39005_2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2">
        <v>13</v>
      </c>
      <c r="F14" s="82" t="s">
        <v>244</v>
      </c>
      <c r="G14" s="82">
        <v>340</v>
      </c>
      <c r="H14" s="82">
        <v>1</v>
      </c>
      <c r="I14" s="82">
        <v>1</v>
      </c>
      <c r="J14" s="82">
        <v>1</v>
      </c>
      <c r="K14" s="82">
        <v>0</v>
      </c>
      <c r="L14" s="82">
        <v>0</v>
      </c>
      <c r="M14" s="82">
        <v>0</v>
      </c>
      <c r="N14" s="82">
        <v>0</v>
      </c>
      <c r="O14" s="82">
        <v>1</v>
      </c>
      <c r="P14" s="82">
        <v>70</v>
      </c>
      <c r="Q14" s="82" t="s">
        <v>170</v>
      </c>
      <c r="R14" s="82" t="s">
        <v>171</v>
      </c>
    </row>
    <row r="15" spans="1:18" x14ac:dyDescent="0.15">
      <c r="A15" s="106">
        <v>39005</v>
      </c>
      <c r="B15" s="82">
        <v>2</v>
      </c>
      <c r="C15" s="71" t="str">
        <f t="shared" si="0"/>
        <v>39005_2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2">
        <v>14</v>
      </c>
      <c r="F15" s="82" t="s">
        <v>244</v>
      </c>
      <c r="G15" s="82">
        <v>341</v>
      </c>
      <c r="H15" s="82">
        <v>1</v>
      </c>
      <c r="I15" s="82">
        <v>1</v>
      </c>
      <c r="J15" s="82">
        <v>1</v>
      </c>
      <c r="K15" s="82">
        <v>0</v>
      </c>
      <c r="L15" s="82">
        <v>0</v>
      </c>
      <c r="M15" s="82">
        <v>0</v>
      </c>
      <c r="N15" s="82">
        <v>0</v>
      </c>
      <c r="O15" s="82">
        <v>1</v>
      </c>
      <c r="P15" s="82">
        <v>70</v>
      </c>
      <c r="Q15" s="82" t="s">
        <v>170</v>
      </c>
      <c r="R15" s="82" t="s">
        <v>171</v>
      </c>
    </row>
    <row r="16" spans="1:18" x14ac:dyDescent="0.15">
      <c r="A16" s="106">
        <v>39005</v>
      </c>
      <c r="B16" s="82">
        <v>2</v>
      </c>
      <c r="C16" s="71" t="str">
        <f t="shared" si="0"/>
        <v>39005_2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2">
        <v>15</v>
      </c>
      <c r="F16" s="82" t="s">
        <v>244</v>
      </c>
      <c r="G16" s="82">
        <v>121</v>
      </c>
      <c r="H16" s="82">
        <v>1</v>
      </c>
      <c r="I16" s="82">
        <v>1</v>
      </c>
      <c r="J16" s="82">
        <v>1</v>
      </c>
      <c r="K16" s="82">
        <v>0</v>
      </c>
      <c r="L16" s="82">
        <v>0</v>
      </c>
      <c r="M16" s="82">
        <v>0</v>
      </c>
      <c r="N16" s="82">
        <v>0</v>
      </c>
      <c r="O16" s="82">
        <v>1</v>
      </c>
      <c r="P16" s="82">
        <v>50</v>
      </c>
      <c r="Q16" s="82" t="s">
        <v>170</v>
      </c>
      <c r="R16" s="82" t="s">
        <v>171</v>
      </c>
    </row>
    <row r="17" spans="1:18" x14ac:dyDescent="0.15">
      <c r="A17" s="106">
        <v>39005</v>
      </c>
      <c r="B17" s="82">
        <v>2</v>
      </c>
      <c r="C17" s="71" t="str">
        <f t="shared" si="0"/>
        <v>39005_2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2">
        <v>16</v>
      </c>
      <c r="F17" s="82" t="s">
        <v>244</v>
      </c>
      <c r="G17" s="82">
        <v>122</v>
      </c>
      <c r="H17" s="82">
        <v>1</v>
      </c>
      <c r="I17" s="82">
        <v>1</v>
      </c>
      <c r="J17" s="82">
        <v>1</v>
      </c>
      <c r="K17" s="82">
        <v>0</v>
      </c>
      <c r="L17" s="82">
        <v>0</v>
      </c>
      <c r="M17" s="82">
        <v>0</v>
      </c>
      <c r="N17" s="82">
        <v>0</v>
      </c>
      <c r="O17" s="82">
        <v>1</v>
      </c>
      <c r="P17" s="82">
        <v>50</v>
      </c>
      <c r="Q17" s="82" t="s">
        <v>170</v>
      </c>
      <c r="R17" s="82" t="s">
        <v>171</v>
      </c>
    </row>
    <row r="18" spans="1:18" x14ac:dyDescent="0.15">
      <c r="A18" s="106">
        <v>39005</v>
      </c>
      <c r="B18" s="82">
        <v>2</v>
      </c>
      <c r="C18" s="71" t="str">
        <f t="shared" si="0"/>
        <v>39005_2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2">
        <v>17</v>
      </c>
      <c r="F18" s="82" t="s">
        <v>244</v>
      </c>
      <c r="G18" s="82">
        <v>123</v>
      </c>
      <c r="H18" s="82">
        <v>1</v>
      </c>
      <c r="I18" s="82">
        <v>1</v>
      </c>
      <c r="J18" s="82">
        <v>1</v>
      </c>
      <c r="K18" s="82">
        <v>0</v>
      </c>
      <c r="L18" s="82">
        <v>0</v>
      </c>
      <c r="M18" s="82">
        <v>0</v>
      </c>
      <c r="N18" s="82">
        <v>0</v>
      </c>
      <c r="O18" s="82">
        <v>1</v>
      </c>
      <c r="P18" s="82">
        <v>50</v>
      </c>
      <c r="Q18" s="82" t="s">
        <v>170</v>
      </c>
      <c r="R18" s="82" t="s">
        <v>171</v>
      </c>
    </row>
    <row r="19" spans="1:18" x14ac:dyDescent="0.15">
      <c r="A19" s="106">
        <v>39005</v>
      </c>
      <c r="B19" s="82">
        <v>2</v>
      </c>
      <c r="C19" s="71" t="str">
        <f t="shared" si="0"/>
        <v>39005_2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82">
        <v>18</v>
      </c>
      <c r="F19" s="82" t="s">
        <v>244</v>
      </c>
      <c r="G19" s="82">
        <v>125</v>
      </c>
      <c r="H19" s="82">
        <v>1</v>
      </c>
      <c r="I19" s="82">
        <v>1</v>
      </c>
      <c r="J19" s="82">
        <v>1</v>
      </c>
      <c r="K19" s="82">
        <v>0</v>
      </c>
      <c r="L19" s="82">
        <v>0</v>
      </c>
      <c r="M19" s="82">
        <v>0</v>
      </c>
      <c r="N19" s="82">
        <v>0</v>
      </c>
      <c r="O19" s="82">
        <v>1</v>
      </c>
      <c r="P19" s="82">
        <v>10</v>
      </c>
      <c r="Q19" s="82" t="s">
        <v>170</v>
      </c>
      <c r="R19" s="82" t="s">
        <v>171</v>
      </c>
    </row>
    <row r="20" spans="1:18" x14ac:dyDescent="0.15">
      <c r="A20" s="106">
        <v>39005</v>
      </c>
      <c r="B20" s="82">
        <v>2</v>
      </c>
      <c r="C20" s="71" t="str">
        <f t="shared" si="0"/>
        <v>39005_2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2">
        <v>19</v>
      </c>
      <c r="F20" s="82" t="s">
        <v>244</v>
      </c>
      <c r="G20" s="133">
        <v>8029</v>
      </c>
      <c r="H20" s="82">
        <v>1</v>
      </c>
      <c r="I20" s="82">
        <v>1</v>
      </c>
      <c r="J20" s="82">
        <v>1</v>
      </c>
      <c r="K20" s="82">
        <v>0</v>
      </c>
      <c r="L20" s="82">
        <v>0</v>
      </c>
      <c r="M20" s="82">
        <v>0</v>
      </c>
      <c r="N20" s="82">
        <v>0</v>
      </c>
      <c r="O20" s="82">
        <v>1</v>
      </c>
      <c r="P20" s="82">
        <v>100</v>
      </c>
      <c r="Q20" s="82" t="s">
        <v>170</v>
      </c>
      <c r="R20" s="82" t="s">
        <v>171</v>
      </c>
    </row>
    <row r="21" spans="1:18" x14ac:dyDescent="0.15">
      <c r="A21" s="106">
        <v>39005</v>
      </c>
      <c r="B21" s="82">
        <v>2</v>
      </c>
      <c r="C21" s="71" t="str">
        <f t="shared" si="0"/>
        <v>39005_2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2">
        <v>20</v>
      </c>
      <c r="F21" s="82" t="s">
        <v>244</v>
      </c>
      <c r="G21" s="82">
        <v>352</v>
      </c>
      <c r="H21" s="82">
        <v>1</v>
      </c>
      <c r="I21" s="82">
        <v>1</v>
      </c>
      <c r="J21" s="82">
        <v>1</v>
      </c>
      <c r="K21" s="82">
        <v>0</v>
      </c>
      <c r="L21" s="82">
        <v>0</v>
      </c>
      <c r="M21" s="82">
        <v>0</v>
      </c>
      <c r="N21" s="82">
        <v>0</v>
      </c>
      <c r="O21" s="82">
        <v>1</v>
      </c>
      <c r="P21" s="82">
        <v>150</v>
      </c>
      <c r="Q21" s="82" t="s">
        <v>170</v>
      </c>
      <c r="R21" s="82" t="s">
        <v>171</v>
      </c>
    </row>
    <row r="22" spans="1:18" x14ac:dyDescent="0.15">
      <c r="A22" s="106">
        <v>39005</v>
      </c>
      <c r="B22" s="82">
        <v>3</v>
      </c>
      <c r="C22" s="71" t="str">
        <f t="shared" si="0"/>
        <v>39005_3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82">
        <v>21</v>
      </c>
      <c r="F22" s="82" t="s">
        <v>169</v>
      </c>
      <c r="G22" s="82">
        <v>5000</v>
      </c>
      <c r="H22" s="82" t="s">
        <v>246</v>
      </c>
      <c r="I22" s="82">
        <v>1</v>
      </c>
      <c r="J22" s="82">
        <v>1</v>
      </c>
      <c r="K22" s="82">
        <v>0</v>
      </c>
      <c r="L22" s="82">
        <v>0</v>
      </c>
      <c r="M22" s="82">
        <v>0</v>
      </c>
      <c r="N22" s="82">
        <v>0</v>
      </c>
      <c r="O22" s="82">
        <v>1</v>
      </c>
      <c r="P22" s="82">
        <v>150</v>
      </c>
      <c r="Q22" s="82" t="s">
        <v>170</v>
      </c>
      <c r="R22" s="82" t="s">
        <v>171</v>
      </c>
    </row>
    <row r="23" spans="1:18" x14ac:dyDescent="0.15">
      <c r="A23" s="106">
        <v>39005</v>
      </c>
      <c r="B23" s="82">
        <v>3</v>
      </c>
      <c r="C23" s="71" t="str">
        <f t="shared" si="0"/>
        <v>39005_3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82">
        <v>22</v>
      </c>
      <c r="F23" s="82" t="s">
        <v>245</v>
      </c>
      <c r="G23" s="82">
        <v>25</v>
      </c>
      <c r="H23" s="82" t="s">
        <v>246</v>
      </c>
      <c r="I23" s="82">
        <v>1</v>
      </c>
      <c r="J23" s="82">
        <v>1</v>
      </c>
      <c r="K23" s="82">
        <v>0</v>
      </c>
      <c r="L23" s="82">
        <v>0</v>
      </c>
      <c r="M23" s="82">
        <v>0</v>
      </c>
      <c r="N23" s="82">
        <v>0</v>
      </c>
      <c r="O23" s="82">
        <v>1</v>
      </c>
      <c r="P23" s="82">
        <v>150</v>
      </c>
      <c r="Q23" s="82" t="s">
        <v>170</v>
      </c>
      <c r="R23" s="82" t="s">
        <v>171</v>
      </c>
    </row>
    <row r="24" spans="1:18" x14ac:dyDescent="0.15">
      <c r="A24" s="106">
        <v>39005</v>
      </c>
      <c r="B24" s="82">
        <v>3</v>
      </c>
      <c r="C24" s="71" t="str">
        <f t="shared" si="0"/>
        <v>39005_3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2">
        <v>23</v>
      </c>
      <c r="F24" s="82" t="s">
        <v>244</v>
      </c>
      <c r="G24" s="82">
        <v>340</v>
      </c>
      <c r="H24" s="82">
        <v>1</v>
      </c>
      <c r="I24" s="82">
        <v>1</v>
      </c>
      <c r="J24" s="82">
        <v>1</v>
      </c>
      <c r="K24" s="82">
        <v>0</v>
      </c>
      <c r="L24" s="82">
        <v>0</v>
      </c>
      <c r="M24" s="82">
        <v>0</v>
      </c>
      <c r="N24" s="82">
        <v>0</v>
      </c>
      <c r="O24" s="82">
        <v>1</v>
      </c>
      <c r="P24" s="82">
        <v>56</v>
      </c>
      <c r="Q24" s="82" t="s">
        <v>170</v>
      </c>
      <c r="R24" s="82" t="s">
        <v>171</v>
      </c>
    </row>
    <row r="25" spans="1:18" x14ac:dyDescent="0.15">
      <c r="A25" s="106">
        <v>39005</v>
      </c>
      <c r="B25" s="82">
        <v>3</v>
      </c>
      <c r="C25" s="71" t="str">
        <f t="shared" si="0"/>
        <v>39005_3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82">
        <v>24</v>
      </c>
      <c r="F25" s="82" t="s">
        <v>244</v>
      </c>
      <c r="G25" s="82">
        <v>341</v>
      </c>
      <c r="H25" s="82">
        <v>1</v>
      </c>
      <c r="I25" s="82">
        <v>1</v>
      </c>
      <c r="J25" s="82">
        <v>1</v>
      </c>
      <c r="K25" s="82">
        <v>0</v>
      </c>
      <c r="L25" s="82">
        <v>0</v>
      </c>
      <c r="M25" s="82">
        <v>0</v>
      </c>
      <c r="N25" s="82">
        <v>0</v>
      </c>
      <c r="O25" s="82">
        <v>1</v>
      </c>
      <c r="P25" s="82">
        <v>56</v>
      </c>
      <c r="Q25" s="82" t="s">
        <v>170</v>
      </c>
      <c r="R25" s="82" t="s">
        <v>171</v>
      </c>
    </row>
    <row r="26" spans="1:18" x14ac:dyDescent="0.15">
      <c r="A26" s="106">
        <v>39005</v>
      </c>
      <c r="B26" s="82">
        <v>3</v>
      </c>
      <c r="C26" s="71" t="str">
        <f t="shared" si="0"/>
        <v>39005_3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82">
        <v>25</v>
      </c>
      <c r="F26" s="82" t="s">
        <v>244</v>
      </c>
      <c r="G26" s="82">
        <v>342</v>
      </c>
      <c r="H26" s="82">
        <v>1</v>
      </c>
      <c r="I26" s="82">
        <v>1</v>
      </c>
      <c r="J26" s="82">
        <v>1</v>
      </c>
      <c r="K26" s="82">
        <v>0</v>
      </c>
      <c r="L26" s="82">
        <v>0</v>
      </c>
      <c r="M26" s="82">
        <v>0</v>
      </c>
      <c r="N26" s="82">
        <v>0</v>
      </c>
      <c r="O26" s="82">
        <v>1</v>
      </c>
      <c r="P26" s="82">
        <v>28</v>
      </c>
      <c r="Q26" s="82" t="s">
        <v>170</v>
      </c>
      <c r="R26" s="82" t="s">
        <v>171</v>
      </c>
    </row>
    <row r="27" spans="1:18" x14ac:dyDescent="0.15">
      <c r="A27" s="106">
        <v>39005</v>
      </c>
      <c r="B27" s="82">
        <v>3</v>
      </c>
      <c r="C27" s="71" t="str">
        <f t="shared" si="0"/>
        <v>39005_3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82">
        <v>26</v>
      </c>
      <c r="F27" s="82" t="s">
        <v>244</v>
      </c>
      <c r="G27" s="82">
        <v>121</v>
      </c>
      <c r="H27" s="82">
        <v>1</v>
      </c>
      <c r="I27" s="82">
        <v>1</v>
      </c>
      <c r="J27" s="82">
        <v>1</v>
      </c>
      <c r="K27" s="82">
        <v>0</v>
      </c>
      <c r="L27" s="82">
        <v>0</v>
      </c>
      <c r="M27" s="82">
        <v>0</v>
      </c>
      <c r="N27" s="82">
        <v>0</v>
      </c>
      <c r="O27" s="82">
        <v>1</v>
      </c>
      <c r="P27" s="82">
        <v>50</v>
      </c>
      <c r="Q27" s="82" t="s">
        <v>170</v>
      </c>
      <c r="R27" s="82" t="s">
        <v>171</v>
      </c>
    </row>
    <row r="28" spans="1:18" x14ac:dyDescent="0.15">
      <c r="A28" s="106">
        <v>39005</v>
      </c>
      <c r="B28" s="82">
        <v>3</v>
      </c>
      <c r="C28" s="71" t="str">
        <f t="shared" si="0"/>
        <v>39005_3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82">
        <v>27</v>
      </c>
      <c r="F28" s="82" t="s">
        <v>244</v>
      </c>
      <c r="G28" s="82">
        <v>122</v>
      </c>
      <c r="H28" s="82">
        <v>1</v>
      </c>
      <c r="I28" s="82">
        <v>1</v>
      </c>
      <c r="J28" s="82">
        <v>1</v>
      </c>
      <c r="K28" s="82">
        <v>0</v>
      </c>
      <c r="L28" s="82">
        <v>0</v>
      </c>
      <c r="M28" s="82">
        <v>0</v>
      </c>
      <c r="N28" s="82">
        <v>0</v>
      </c>
      <c r="O28" s="82">
        <v>1</v>
      </c>
      <c r="P28" s="82">
        <v>50</v>
      </c>
      <c r="Q28" s="82" t="s">
        <v>170</v>
      </c>
      <c r="R28" s="82" t="s">
        <v>171</v>
      </c>
    </row>
    <row r="29" spans="1:18" x14ac:dyDescent="0.15">
      <c r="A29" s="106">
        <v>39005</v>
      </c>
      <c r="B29" s="82">
        <v>3</v>
      </c>
      <c r="C29" s="71" t="str">
        <f t="shared" si="0"/>
        <v>39005_3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82">
        <v>28</v>
      </c>
      <c r="F29" s="82" t="s">
        <v>244</v>
      </c>
      <c r="G29" s="82">
        <v>123</v>
      </c>
      <c r="H29" s="82">
        <v>1</v>
      </c>
      <c r="I29" s="82">
        <v>1</v>
      </c>
      <c r="J29" s="82">
        <v>1</v>
      </c>
      <c r="K29" s="82">
        <v>0</v>
      </c>
      <c r="L29" s="82">
        <v>0</v>
      </c>
      <c r="M29" s="82">
        <v>0</v>
      </c>
      <c r="N29" s="82">
        <v>0</v>
      </c>
      <c r="O29" s="82">
        <v>1</v>
      </c>
      <c r="P29" s="82">
        <v>50</v>
      </c>
      <c r="Q29" s="82" t="s">
        <v>170</v>
      </c>
      <c r="R29" s="82" t="s">
        <v>171</v>
      </c>
    </row>
    <row r="30" spans="1:18" x14ac:dyDescent="0.15">
      <c r="A30" s="106">
        <v>39005</v>
      </c>
      <c r="B30" s="82">
        <v>3</v>
      </c>
      <c r="C30" s="71" t="str">
        <f t="shared" si="0"/>
        <v>39005_3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82">
        <v>29</v>
      </c>
      <c r="F30" s="82" t="s">
        <v>244</v>
      </c>
      <c r="G30" s="82">
        <v>125</v>
      </c>
      <c r="H30" s="82">
        <v>1</v>
      </c>
      <c r="I30" s="82">
        <v>1</v>
      </c>
      <c r="J30" s="82">
        <v>1</v>
      </c>
      <c r="K30" s="82">
        <v>0</v>
      </c>
      <c r="L30" s="82">
        <v>0</v>
      </c>
      <c r="M30" s="82">
        <v>0</v>
      </c>
      <c r="N30" s="82">
        <v>0</v>
      </c>
      <c r="O30" s="82">
        <v>1</v>
      </c>
      <c r="P30" s="82">
        <v>10</v>
      </c>
      <c r="Q30" s="82" t="s">
        <v>170</v>
      </c>
      <c r="R30" s="82" t="s">
        <v>171</v>
      </c>
    </row>
    <row r="31" spans="1:18" x14ac:dyDescent="0.15">
      <c r="A31" s="106">
        <v>39005</v>
      </c>
      <c r="B31" s="82">
        <v>3</v>
      </c>
      <c r="C31" s="71" t="str">
        <f t="shared" si="0"/>
        <v>39005_3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82">
        <v>30</v>
      </c>
      <c r="F31" s="82" t="s">
        <v>244</v>
      </c>
      <c r="G31" s="133">
        <v>8029</v>
      </c>
      <c r="H31" s="82">
        <v>1</v>
      </c>
      <c r="I31" s="82">
        <v>1</v>
      </c>
      <c r="J31" s="82">
        <v>1</v>
      </c>
      <c r="K31" s="82">
        <v>0</v>
      </c>
      <c r="L31" s="82">
        <v>0</v>
      </c>
      <c r="M31" s="82">
        <v>0</v>
      </c>
      <c r="N31" s="82">
        <v>0</v>
      </c>
      <c r="O31" s="82">
        <v>1</v>
      </c>
      <c r="P31" s="82">
        <v>250</v>
      </c>
      <c r="Q31" s="82" t="s">
        <v>170</v>
      </c>
      <c r="R31" s="82" t="s">
        <v>171</v>
      </c>
    </row>
    <row r="32" spans="1:18" x14ac:dyDescent="0.15">
      <c r="A32" s="106">
        <v>39005</v>
      </c>
      <c r="B32" s="82">
        <v>3</v>
      </c>
      <c r="C32" s="71" t="str">
        <f t="shared" si="0"/>
        <v>39005_3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82">
        <v>31</v>
      </c>
      <c r="F32" s="82" t="s">
        <v>244</v>
      </c>
      <c r="G32" s="82">
        <v>352</v>
      </c>
      <c r="H32" s="82">
        <v>1</v>
      </c>
      <c r="I32" s="82">
        <v>1</v>
      </c>
      <c r="J32" s="82">
        <v>1</v>
      </c>
      <c r="K32" s="82">
        <v>0</v>
      </c>
      <c r="L32" s="82">
        <v>0</v>
      </c>
      <c r="M32" s="82">
        <v>0</v>
      </c>
      <c r="N32" s="82">
        <v>0</v>
      </c>
      <c r="O32" s="82">
        <v>1</v>
      </c>
      <c r="P32" s="82">
        <v>150</v>
      </c>
      <c r="Q32" s="82" t="s">
        <v>170</v>
      </c>
      <c r="R32" s="82" t="s">
        <v>171</v>
      </c>
    </row>
    <row r="33" spans="1:18" x14ac:dyDescent="0.15">
      <c r="A33" s="106">
        <v>39005</v>
      </c>
      <c r="B33" s="82">
        <v>4</v>
      </c>
      <c r="C33" s="71" t="str">
        <f t="shared" ref="C33:C53" si="1">A33&amp; "_"&amp;B33</f>
        <v>39005_4</v>
      </c>
      <c r="D33" s="1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82">
        <v>32</v>
      </c>
      <c r="F33" s="82" t="s">
        <v>169</v>
      </c>
      <c r="G33" s="82">
        <v>6500</v>
      </c>
      <c r="H33" s="82" t="s">
        <v>246</v>
      </c>
      <c r="I33" s="82">
        <v>1</v>
      </c>
      <c r="J33" s="82">
        <v>1</v>
      </c>
      <c r="K33" s="82">
        <v>0</v>
      </c>
      <c r="L33" s="82">
        <v>0</v>
      </c>
      <c r="M33" s="82">
        <v>0</v>
      </c>
      <c r="N33" s="82">
        <v>0</v>
      </c>
      <c r="O33" s="82">
        <v>1</v>
      </c>
      <c r="P33" s="82">
        <v>200</v>
      </c>
      <c r="Q33" s="82" t="s">
        <v>170</v>
      </c>
      <c r="R33" s="123" t="s">
        <v>247</v>
      </c>
    </row>
    <row r="34" spans="1:18" x14ac:dyDescent="0.15">
      <c r="A34" s="106">
        <v>39005</v>
      </c>
      <c r="B34" s="82">
        <v>4</v>
      </c>
      <c r="C34" s="71" t="str">
        <f t="shared" si="1"/>
        <v>39005_4</v>
      </c>
      <c r="D34" s="11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82">
        <v>33</v>
      </c>
      <c r="F34" s="82" t="s">
        <v>245</v>
      </c>
      <c r="G34" s="82">
        <v>25</v>
      </c>
      <c r="H34" s="82" t="s">
        <v>246</v>
      </c>
      <c r="I34" s="82">
        <v>1</v>
      </c>
      <c r="J34" s="82">
        <v>1</v>
      </c>
      <c r="K34" s="82">
        <v>0</v>
      </c>
      <c r="L34" s="82">
        <v>0</v>
      </c>
      <c r="M34" s="82">
        <v>0</v>
      </c>
      <c r="N34" s="82">
        <v>0</v>
      </c>
      <c r="O34" s="82">
        <v>1</v>
      </c>
      <c r="P34" s="82">
        <v>250</v>
      </c>
      <c r="Q34" s="82" t="s">
        <v>170</v>
      </c>
      <c r="R34" s="123" t="s">
        <v>248</v>
      </c>
    </row>
    <row r="35" spans="1:18" x14ac:dyDescent="0.15">
      <c r="A35" s="106">
        <v>39005</v>
      </c>
      <c r="B35" s="82">
        <v>4</v>
      </c>
      <c r="C35" s="71" t="str">
        <f t="shared" si="1"/>
        <v>39005_4</v>
      </c>
      <c r="D35" s="11" t="str">
        <f ca="1">VLOOKUP($C35,OFFSET([2]stages!$A$1,0,0,COUNTA([2]stages!$A:$A),MATCH(D$1,[2]stages!$2:$2,0)-MATCH($C$1,[2]stages!$2:$2,0)+1),MATCH(D$1,[2]stages!$2:$2,0)-MATCH($C$1,[2]stages!$2:$2,0)+1,FALSE)</f>
        <v>everyone</v>
      </c>
      <c r="E35" s="82">
        <v>34</v>
      </c>
      <c r="F35" s="82" t="s">
        <v>244</v>
      </c>
      <c r="G35" s="82">
        <v>340</v>
      </c>
      <c r="H35" s="82">
        <v>1</v>
      </c>
      <c r="I35" s="82">
        <v>1</v>
      </c>
      <c r="J35" s="82">
        <v>1</v>
      </c>
      <c r="K35" s="82">
        <v>0</v>
      </c>
      <c r="L35" s="82">
        <v>0</v>
      </c>
      <c r="M35" s="82">
        <v>0</v>
      </c>
      <c r="N35" s="82">
        <v>0</v>
      </c>
      <c r="O35" s="82">
        <v>1</v>
      </c>
      <c r="P35" s="82">
        <v>28</v>
      </c>
      <c r="Q35" s="82" t="s">
        <v>170</v>
      </c>
      <c r="R35" s="123" t="s">
        <v>171</v>
      </c>
    </row>
    <row r="36" spans="1:18" x14ac:dyDescent="0.15">
      <c r="A36" s="106">
        <v>39005</v>
      </c>
      <c r="B36" s="82">
        <v>4</v>
      </c>
      <c r="C36" s="71" t="str">
        <f t="shared" si="1"/>
        <v>39005_4</v>
      </c>
      <c r="D36" s="11" t="str">
        <f ca="1">VLOOKUP($C36,OFFSET([2]stages!$A$1,0,0,COUNTA([2]stages!$A:$A),MATCH(D$1,[2]stages!$2:$2,0)-MATCH($C$1,[2]stages!$2:$2,0)+1),MATCH(D$1,[2]stages!$2:$2,0)-MATCH($C$1,[2]stages!$2:$2,0)+1,FALSE)</f>
        <v>everyone</v>
      </c>
      <c r="E36" s="82">
        <v>35</v>
      </c>
      <c r="F36" s="82" t="s">
        <v>244</v>
      </c>
      <c r="G36" s="82">
        <v>341</v>
      </c>
      <c r="H36" s="82">
        <v>1</v>
      </c>
      <c r="I36" s="82">
        <v>1</v>
      </c>
      <c r="J36" s="82">
        <v>1</v>
      </c>
      <c r="K36" s="82">
        <v>0</v>
      </c>
      <c r="L36" s="82">
        <v>0</v>
      </c>
      <c r="M36" s="82">
        <v>0</v>
      </c>
      <c r="N36" s="82">
        <v>0</v>
      </c>
      <c r="O36" s="82">
        <v>1</v>
      </c>
      <c r="P36" s="82">
        <v>56</v>
      </c>
      <c r="Q36" s="82" t="s">
        <v>170</v>
      </c>
      <c r="R36" s="123" t="s">
        <v>171</v>
      </c>
    </row>
    <row r="37" spans="1:18" x14ac:dyDescent="0.15">
      <c r="A37" s="106">
        <v>39005</v>
      </c>
      <c r="B37" s="82">
        <v>4</v>
      </c>
      <c r="C37" s="71" t="str">
        <f t="shared" si="1"/>
        <v>39005_4</v>
      </c>
      <c r="D37" s="11" t="str">
        <f ca="1">VLOOKUP($C37,OFFSET([2]stages!$A$1,0,0,COUNTA([2]stages!$A:$A),MATCH(D$1,[2]stages!$2:$2,0)-MATCH($C$1,[2]stages!$2:$2,0)+1),MATCH(D$1,[2]stages!$2:$2,0)-MATCH($C$1,[2]stages!$2:$2,0)+1,FALSE)</f>
        <v>everyone</v>
      </c>
      <c r="E37" s="82">
        <v>36</v>
      </c>
      <c r="F37" s="82" t="s">
        <v>244</v>
      </c>
      <c r="G37" s="82">
        <v>342</v>
      </c>
      <c r="H37" s="82">
        <v>1</v>
      </c>
      <c r="I37" s="82">
        <v>1</v>
      </c>
      <c r="J37" s="82">
        <v>1</v>
      </c>
      <c r="K37" s="82">
        <v>0</v>
      </c>
      <c r="L37" s="82">
        <v>0</v>
      </c>
      <c r="M37" s="82">
        <v>0</v>
      </c>
      <c r="N37" s="82">
        <v>0</v>
      </c>
      <c r="O37" s="82">
        <v>1</v>
      </c>
      <c r="P37" s="82">
        <v>56</v>
      </c>
      <c r="Q37" s="82" t="s">
        <v>170</v>
      </c>
      <c r="R37" s="123" t="s">
        <v>171</v>
      </c>
    </row>
    <row r="38" spans="1:18" x14ac:dyDescent="0.15">
      <c r="A38" s="106">
        <v>39005</v>
      </c>
      <c r="B38" s="82">
        <v>4</v>
      </c>
      <c r="C38" s="71" t="str">
        <f t="shared" si="1"/>
        <v>39005_4</v>
      </c>
      <c r="D38" s="11" t="str">
        <f ca="1">VLOOKUP($C38,OFFSET([2]stages!$A$1,0,0,COUNTA([2]stages!$A:$A),MATCH(D$1,[2]stages!$2:$2,0)-MATCH($C$1,[2]stages!$2:$2,0)+1),MATCH(D$1,[2]stages!$2:$2,0)-MATCH($C$1,[2]stages!$2:$2,0)+1,FALSE)</f>
        <v>everyone</v>
      </c>
      <c r="E38" s="82">
        <v>37</v>
      </c>
      <c r="F38" s="82" t="s">
        <v>244</v>
      </c>
      <c r="G38" s="82">
        <v>121</v>
      </c>
      <c r="H38" s="82">
        <v>1</v>
      </c>
      <c r="I38" s="82">
        <v>1</v>
      </c>
      <c r="J38" s="82">
        <v>1</v>
      </c>
      <c r="K38" s="82">
        <v>0</v>
      </c>
      <c r="L38" s="82">
        <v>0</v>
      </c>
      <c r="M38" s="82">
        <v>0</v>
      </c>
      <c r="N38" s="82">
        <v>0</v>
      </c>
      <c r="O38" s="82">
        <v>1</v>
      </c>
      <c r="P38" s="82">
        <v>50</v>
      </c>
      <c r="Q38" s="82" t="s">
        <v>170</v>
      </c>
      <c r="R38" s="123" t="s">
        <v>171</v>
      </c>
    </row>
    <row r="39" spans="1:18" x14ac:dyDescent="0.15">
      <c r="A39" s="106">
        <v>39005</v>
      </c>
      <c r="B39" s="82">
        <v>4</v>
      </c>
      <c r="C39" s="71" t="str">
        <f t="shared" si="1"/>
        <v>39005_4</v>
      </c>
      <c r="D39" s="11" t="str">
        <f ca="1">VLOOKUP($C39,OFFSET([2]stages!$A$1,0,0,COUNTA([2]stages!$A:$A),MATCH(D$1,[2]stages!$2:$2,0)-MATCH($C$1,[2]stages!$2:$2,0)+1),MATCH(D$1,[2]stages!$2:$2,0)-MATCH($C$1,[2]stages!$2:$2,0)+1,FALSE)</f>
        <v>everyone</v>
      </c>
      <c r="E39" s="82">
        <v>38</v>
      </c>
      <c r="F39" s="82" t="s">
        <v>244</v>
      </c>
      <c r="G39" s="82">
        <v>122</v>
      </c>
      <c r="H39" s="82">
        <v>1</v>
      </c>
      <c r="I39" s="82">
        <v>1</v>
      </c>
      <c r="J39" s="82">
        <v>1</v>
      </c>
      <c r="K39" s="82">
        <v>0</v>
      </c>
      <c r="L39" s="82">
        <v>0</v>
      </c>
      <c r="M39" s="82">
        <v>0</v>
      </c>
      <c r="N39" s="82">
        <v>0</v>
      </c>
      <c r="O39" s="82">
        <v>1</v>
      </c>
      <c r="P39" s="82">
        <v>50</v>
      </c>
      <c r="Q39" s="82" t="s">
        <v>170</v>
      </c>
      <c r="R39" s="123" t="s">
        <v>171</v>
      </c>
    </row>
    <row r="40" spans="1:18" x14ac:dyDescent="0.15">
      <c r="A40" s="106">
        <v>39005</v>
      </c>
      <c r="B40" s="82">
        <v>4</v>
      </c>
      <c r="C40" s="71" t="str">
        <f t="shared" si="1"/>
        <v>39005_4</v>
      </c>
      <c r="D40" s="11" t="str">
        <f ca="1">VLOOKUP($C40,OFFSET([2]stages!$A$1,0,0,COUNTA([2]stages!$A:$A),MATCH(D$1,[2]stages!$2:$2,0)-MATCH($C$1,[2]stages!$2:$2,0)+1),MATCH(D$1,[2]stages!$2:$2,0)-MATCH($C$1,[2]stages!$2:$2,0)+1,FALSE)</f>
        <v>everyone</v>
      </c>
      <c r="E40" s="82">
        <v>39</v>
      </c>
      <c r="F40" s="82" t="s">
        <v>244</v>
      </c>
      <c r="G40" s="82">
        <v>123</v>
      </c>
      <c r="H40" s="82">
        <v>1</v>
      </c>
      <c r="I40" s="82">
        <v>1</v>
      </c>
      <c r="J40" s="82">
        <v>1</v>
      </c>
      <c r="K40" s="82">
        <v>0</v>
      </c>
      <c r="L40" s="82">
        <v>0</v>
      </c>
      <c r="M40" s="82">
        <v>0</v>
      </c>
      <c r="N40" s="82">
        <v>0</v>
      </c>
      <c r="O40" s="82">
        <v>1</v>
      </c>
      <c r="P40" s="82">
        <v>50</v>
      </c>
      <c r="Q40" s="82" t="s">
        <v>170</v>
      </c>
      <c r="R40" s="123" t="s">
        <v>171</v>
      </c>
    </row>
    <row r="41" spans="1:18" x14ac:dyDescent="0.15">
      <c r="A41" s="106">
        <v>39005</v>
      </c>
      <c r="B41" s="82">
        <v>4</v>
      </c>
      <c r="C41" s="71" t="str">
        <f t="shared" si="1"/>
        <v>39005_4</v>
      </c>
      <c r="D41" s="11" t="str">
        <f ca="1">VLOOKUP($C41,OFFSET([2]stages!$A$1,0,0,COUNTA([2]stages!$A:$A),MATCH(D$1,[2]stages!$2:$2,0)-MATCH($C$1,[2]stages!$2:$2,0)+1),MATCH(D$1,[2]stages!$2:$2,0)-MATCH($C$1,[2]stages!$2:$2,0)+1,FALSE)</f>
        <v>everyone</v>
      </c>
      <c r="E41" s="82">
        <v>40</v>
      </c>
      <c r="F41" s="82" t="s">
        <v>244</v>
      </c>
      <c r="G41" s="82">
        <v>125</v>
      </c>
      <c r="H41" s="82">
        <v>1</v>
      </c>
      <c r="I41" s="82">
        <v>1</v>
      </c>
      <c r="J41" s="82">
        <v>1</v>
      </c>
      <c r="K41" s="82">
        <v>0</v>
      </c>
      <c r="L41" s="82">
        <v>0</v>
      </c>
      <c r="M41" s="82">
        <v>0</v>
      </c>
      <c r="N41" s="82">
        <v>0</v>
      </c>
      <c r="O41" s="82">
        <v>1</v>
      </c>
      <c r="P41" s="82">
        <v>10</v>
      </c>
      <c r="Q41" s="82" t="s">
        <v>170</v>
      </c>
      <c r="R41" s="123" t="s">
        <v>171</v>
      </c>
    </row>
    <row r="42" spans="1:18" x14ac:dyDescent="0.15">
      <c r="A42" s="106">
        <v>39005</v>
      </c>
      <c r="B42" s="82">
        <v>4</v>
      </c>
      <c r="C42" s="71" t="str">
        <f t="shared" si="1"/>
        <v>39005_4</v>
      </c>
      <c r="D42" s="11" t="str">
        <f ca="1">VLOOKUP($C42,OFFSET([2]stages!$A$1,0,0,COUNTA([2]stages!$A:$A),MATCH(D$1,[2]stages!$2:$2,0)-MATCH($C$1,[2]stages!$2:$2,0)+1),MATCH(D$1,[2]stages!$2:$2,0)-MATCH($C$1,[2]stages!$2:$2,0)+1,FALSE)</f>
        <v>everyone</v>
      </c>
      <c r="E42" s="82">
        <v>41</v>
      </c>
      <c r="F42" s="82" t="s">
        <v>244</v>
      </c>
      <c r="G42" s="133">
        <v>8030</v>
      </c>
      <c r="H42" s="82">
        <v>1</v>
      </c>
      <c r="I42" s="82">
        <v>1</v>
      </c>
      <c r="J42" s="82">
        <v>1</v>
      </c>
      <c r="K42" s="82">
        <v>0</v>
      </c>
      <c r="L42" s="82">
        <v>0</v>
      </c>
      <c r="M42" s="82">
        <v>0</v>
      </c>
      <c r="N42" s="82">
        <v>0</v>
      </c>
      <c r="O42" s="82">
        <v>1</v>
      </c>
      <c r="P42" s="82">
        <v>100</v>
      </c>
      <c r="Q42" s="82" t="s">
        <v>170</v>
      </c>
      <c r="R42" s="123" t="s">
        <v>171</v>
      </c>
    </row>
    <row r="43" spans="1:18" x14ac:dyDescent="0.15">
      <c r="A43" s="106">
        <v>39005</v>
      </c>
      <c r="B43" s="82">
        <v>4</v>
      </c>
      <c r="C43" s="71" t="str">
        <f t="shared" si="1"/>
        <v>39005_4</v>
      </c>
      <c r="D43" s="11" t="str">
        <f ca="1">VLOOKUP($C43,OFFSET([2]stages!$A$1,0,0,COUNTA([2]stages!$A:$A),MATCH(D$1,[2]stages!$2:$2,0)-MATCH($C$1,[2]stages!$2:$2,0)+1),MATCH(D$1,[2]stages!$2:$2,0)-MATCH($C$1,[2]stages!$2:$2,0)+1,FALSE)</f>
        <v>everyone</v>
      </c>
      <c r="E43" s="82">
        <v>42</v>
      </c>
      <c r="F43" s="82" t="s">
        <v>244</v>
      </c>
      <c r="G43" s="82">
        <v>352</v>
      </c>
      <c r="H43" s="82">
        <v>1</v>
      </c>
      <c r="I43" s="82">
        <v>1</v>
      </c>
      <c r="J43" s="82">
        <v>1</v>
      </c>
      <c r="K43" s="82">
        <v>0</v>
      </c>
      <c r="L43" s="82">
        <v>0</v>
      </c>
      <c r="M43" s="82">
        <v>0</v>
      </c>
      <c r="N43" s="82">
        <v>0</v>
      </c>
      <c r="O43" s="82">
        <v>1</v>
      </c>
      <c r="P43" s="82">
        <v>150</v>
      </c>
      <c r="Q43" s="82" t="s">
        <v>170</v>
      </c>
      <c r="R43" s="123" t="s">
        <v>171</v>
      </c>
    </row>
    <row r="44" spans="1:18" x14ac:dyDescent="0.15">
      <c r="A44" s="106">
        <v>39005</v>
      </c>
      <c r="B44" s="82">
        <v>5</v>
      </c>
      <c r="C44" s="71" t="str">
        <f t="shared" si="1"/>
        <v>39005_5</v>
      </c>
      <c r="D44" s="11" t="str">
        <f ca="1">VLOOKUP($C44,OFFSET([2]stages!$A$1,0,0,COUNTA([2]stages!$A:$A),MATCH(D$1,[2]stages!$2:$2,0)-MATCH($C$1,[2]stages!$2:$2,0)+1),MATCH(D$1,[2]stages!$2:$2,0)-MATCH($C$1,[2]stages!$2:$2,0)+1,FALSE)</f>
        <v>everyone</v>
      </c>
      <c r="E44" s="82">
        <v>43</v>
      </c>
      <c r="F44" s="82" t="s">
        <v>169</v>
      </c>
      <c r="G44" s="82">
        <v>7500</v>
      </c>
      <c r="H44" s="82" t="s">
        <v>246</v>
      </c>
      <c r="I44" s="82">
        <v>1</v>
      </c>
      <c r="J44" s="82">
        <v>1</v>
      </c>
      <c r="K44" s="82">
        <v>0</v>
      </c>
      <c r="L44" s="82">
        <v>0</v>
      </c>
      <c r="M44" s="82">
        <v>0</v>
      </c>
      <c r="N44" s="82">
        <v>0</v>
      </c>
      <c r="O44" s="82">
        <v>1</v>
      </c>
      <c r="P44" s="82">
        <v>150</v>
      </c>
      <c r="Q44" s="82" t="s">
        <v>170</v>
      </c>
      <c r="R44" s="123" t="s">
        <v>171</v>
      </c>
    </row>
    <row r="45" spans="1:18" x14ac:dyDescent="0.15">
      <c r="A45" s="106">
        <v>39005</v>
      </c>
      <c r="B45" s="82">
        <v>5</v>
      </c>
      <c r="C45" s="71" t="str">
        <f t="shared" si="1"/>
        <v>39005_5</v>
      </c>
      <c r="D45" s="11" t="str">
        <f ca="1">VLOOKUP($C45,OFFSET([2]stages!$A$1,0,0,COUNTA([2]stages!$A:$A),MATCH(D$1,[2]stages!$2:$2,0)-MATCH($C$1,[2]stages!$2:$2,0)+1),MATCH(D$1,[2]stages!$2:$2,0)-MATCH($C$1,[2]stages!$2:$2,0)+1,FALSE)</f>
        <v>everyone</v>
      </c>
      <c r="E45" s="82">
        <v>44</v>
      </c>
      <c r="F45" s="82" t="s">
        <v>245</v>
      </c>
      <c r="G45" s="82">
        <v>25</v>
      </c>
      <c r="H45" s="82" t="s">
        <v>246</v>
      </c>
      <c r="I45" s="82">
        <v>1</v>
      </c>
      <c r="J45" s="82">
        <v>1</v>
      </c>
      <c r="K45" s="82">
        <v>0</v>
      </c>
      <c r="L45" s="82">
        <v>0</v>
      </c>
      <c r="M45" s="82">
        <v>0</v>
      </c>
      <c r="N45" s="82">
        <v>0</v>
      </c>
      <c r="O45" s="82">
        <v>1</v>
      </c>
      <c r="P45" s="82">
        <v>150</v>
      </c>
      <c r="Q45" s="82" t="s">
        <v>170</v>
      </c>
      <c r="R45" s="123" t="s">
        <v>171</v>
      </c>
    </row>
    <row r="46" spans="1:18" x14ac:dyDescent="0.15">
      <c r="A46" s="106">
        <v>39005</v>
      </c>
      <c r="B46" s="82">
        <v>5</v>
      </c>
      <c r="C46" s="71" t="str">
        <f t="shared" si="1"/>
        <v>39005_5</v>
      </c>
      <c r="D46" s="11" t="str">
        <f ca="1">VLOOKUP($C46,OFFSET([2]stages!$A$1,0,0,COUNTA([2]stages!$A:$A),MATCH(D$1,[2]stages!$2:$2,0)-MATCH($C$1,[2]stages!$2:$2,0)+1),MATCH(D$1,[2]stages!$2:$2,0)-MATCH($C$1,[2]stages!$2:$2,0)+1,FALSE)</f>
        <v>everyone</v>
      </c>
      <c r="E46" s="82">
        <v>45</v>
      </c>
      <c r="F46" s="82" t="s">
        <v>244</v>
      </c>
      <c r="G46" s="82">
        <v>341</v>
      </c>
      <c r="H46" s="82">
        <v>1</v>
      </c>
      <c r="I46" s="82">
        <v>1</v>
      </c>
      <c r="J46" s="82">
        <v>1</v>
      </c>
      <c r="K46" s="82">
        <v>0</v>
      </c>
      <c r="L46" s="82">
        <v>0</v>
      </c>
      <c r="M46" s="82">
        <v>0</v>
      </c>
      <c r="N46" s="82">
        <v>0</v>
      </c>
      <c r="O46" s="82">
        <v>1</v>
      </c>
      <c r="P46" s="82">
        <v>56</v>
      </c>
      <c r="Q46" s="82" t="s">
        <v>170</v>
      </c>
      <c r="R46" s="123" t="s">
        <v>171</v>
      </c>
    </row>
    <row r="47" spans="1:18" x14ac:dyDescent="0.15">
      <c r="A47" s="106">
        <v>39005</v>
      </c>
      <c r="B47" s="82">
        <v>5</v>
      </c>
      <c r="C47" s="71" t="str">
        <f t="shared" si="1"/>
        <v>39005_5</v>
      </c>
      <c r="D47" s="11" t="str">
        <f ca="1">VLOOKUP($C47,OFFSET([2]stages!$A$1,0,0,COUNTA([2]stages!$A:$A),MATCH(D$1,[2]stages!$2:$2,0)-MATCH($C$1,[2]stages!$2:$2,0)+1),MATCH(D$1,[2]stages!$2:$2,0)-MATCH($C$1,[2]stages!$2:$2,0)+1,FALSE)</f>
        <v>everyone</v>
      </c>
      <c r="E47" s="82">
        <v>46</v>
      </c>
      <c r="F47" s="82" t="s">
        <v>244</v>
      </c>
      <c r="G47" s="82">
        <v>342</v>
      </c>
      <c r="H47" s="82">
        <v>1</v>
      </c>
      <c r="I47" s="82">
        <v>1</v>
      </c>
      <c r="J47" s="82">
        <v>1</v>
      </c>
      <c r="K47" s="82">
        <v>0</v>
      </c>
      <c r="L47" s="82">
        <v>0</v>
      </c>
      <c r="M47" s="82">
        <v>0</v>
      </c>
      <c r="N47" s="82">
        <v>0</v>
      </c>
      <c r="O47" s="82">
        <v>1</v>
      </c>
      <c r="P47" s="82">
        <v>84</v>
      </c>
      <c r="Q47" s="82" t="s">
        <v>170</v>
      </c>
      <c r="R47" s="123" t="s">
        <v>171</v>
      </c>
    </row>
    <row r="48" spans="1:18" x14ac:dyDescent="0.15">
      <c r="A48" s="106">
        <v>39005</v>
      </c>
      <c r="B48" s="82">
        <v>5</v>
      </c>
      <c r="C48" s="71" t="str">
        <f t="shared" si="1"/>
        <v>39005_5</v>
      </c>
      <c r="D48" s="11" t="str">
        <f ca="1">VLOOKUP($C48,OFFSET([2]stages!$A$1,0,0,COUNTA([2]stages!$A:$A),MATCH(D$1,[2]stages!$2:$2,0)-MATCH($C$1,[2]stages!$2:$2,0)+1),MATCH(D$1,[2]stages!$2:$2,0)-MATCH($C$1,[2]stages!$2:$2,0)+1,FALSE)</f>
        <v>everyone</v>
      </c>
      <c r="E48" s="82">
        <v>47</v>
      </c>
      <c r="F48" s="82" t="s">
        <v>244</v>
      </c>
      <c r="G48" s="82">
        <v>121</v>
      </c>
      <c r="H48" s="82">
        <v>1</v>
      </c>
      <c r="I48" s="82">
        <v>1</v>
      </c>
      <c r="J48" s="82">
        <v>1</v>
      </c>
      <c r="K48" s="82">
        <v>0</v>
      </c>
      <c r="L48" s="82">
        <v>0</v>
      </c>
      <c r="M48" s="82">
        <v>0</v>
      </c>
      <c r="N48" s="82">
        <v>0</v>
      </c>
      <c r="O48" s="82">
        <v>1</v>
      </c>
      <c r="P48" s="82">
        <v>50</v>
      </c>
      <c r="Q48" s="82" t="s">
        <v>170</v>
      </c>
      <c r="R48" s="123" t="s">
        <v>171</v>
      </c>
    </row>
    <row r="49" spans="1:18" x14ac:dyDescent="0.15">
      <c r="A49" s="106">
        <v>39005</v>
      </c>
      <c r="B49" s="82">
        <v>5</v>
      </c>
      <c r="C49" s="71" t="str">
        <f t="shared" si="1"/>
        <v>39005_5</v>
      </c>
      <c r="D49" s="11" t="str">
        <f ca="1">VLOOKUP($C49,OFFSET([2]stages!$A$1,0,0,COUNTA([2]stages!$A:$A),MATCH(D$1,[2]stages!$2:$2,0)-MATCH($C$1,[2]stages!$2:$2,0)+1),MATCH(D$1,[2]stages!$2:$2,0)-MATCH($C$1,[2]stages!$2:$2,0)+1,FALSE)</f>
        <v>everyone</v>
      </c>
      <c r="E49" s="82">
        <v>48</v>
      </c>
      <c r="F49" s="82" t="s">
        <v>244</v>
      </c>
      <c r="G49" s="82">
        <v>122</v>
      </c>
      <c r="H49" s="82">
        <v>1</v>
      </c>
      <c r="I49" s="82">
        <v>1</v>
      </c>
      <c r="J49" s="82">
        <v>1</v>
      </c>
      <c r="K49" s="82">
        <v>0</v>
      </c>
      <c r="L49" s="82">
        <v>0</v>
      </c>
      <c r="M49" s="82">
        <v>0</v>
      </c>
      <c r="N49" s="82">
        <v>0</v>
      </c>
      <c r="O49" s="82">
        <v>1</v>
      </c>
      <c r="P49" s="82">
        <v>50</v>
      </c>
      <c r="Q49" s="82" t="s">
        <v>170</v>
      </c>
      <c r="R49" s="123" t="s">
        <v>171</v>
      </c>
    </row>
    <row r="50" spans="1:18" x14ac:dyDescent="0.15">
      <c r="A50" s="106">
        <v>39005</v>
      </c>
      <c r="B50" s="82">
        <v>5</v>
      </c>
      <c r="C50" s="71" t="str">
        <f t="shared" si="1"/>
        <v>39005_5</v>
      </c>
      <c r="D50" s="11" t="str">
        <f ca="1">VLOOKUP($C50,OFFSET([2]stages!$A$1,0,0,COUNTA([2]stages!$A:$A),MATCH(D$1,[2]stages!$2:$2,0)-MATCH($C$1,[2]stages!$2:$2,0)+1),MATCH(D$1,[2]stages!$2:$2,0)-MATCH($C$1,[2]stages!$2:$2,0)+1,FALSE)</f>
        <v>everyone</v>
      </c>
      <c r="E50" s="82">
        <v>49</v>
      </c>
      <c r="F50" s="82" t="s">
        <v>244</v>
      </c>
      <c r="G50" s="82">
        <v>123</v>
      </c>
      <c r="H50" s="82">
        <v>1</v>
      </c>
      <c r="I50" s="82">
        <v>1</v>
      </c>
      <c r="J50" s="82">
        <v>1</v>
      </c>
      <c r="K50" s="82">
        <v>0</v>
      </c>
      <c r="L50" s="82">
        <v>0</v>
      </c>
      <c r="M50" s="82">
        <v>0</v>
      </c>
      <c r="N50" s="82">
        <v>0</v>
      </c>
      <c r="O50" s="82">
        <v>1</v>
      </c>
      <c r="P50" s="82">
        <v>50</v>
      </c>
      <c r="Q50" s="82" t="s">
        <v>170</v>
      </c>
      <c r="R50" s="123" t="s">
        <v>171</v>
      </c>
    </row>
    <row r="51" spans="1:18" x14ac:dyDescent="0.15">
      <c r="A51" s="106">
        <v>39005</v>
      </c>
      <c r="B51" s="82">
        <v>5</v>
      </c>
      <c r="C51" s="71" t="str">
        <f t="shared" si="1"/>
        <v>39005_5</v>
      </c>
      <c r="D51" s="11" t="str">
        <f ca="1">VLOOKUP($C51,OFFSET([2]stages!$A$1,0,0,COUNTA([2]stages!$A:$A),MATCH(D$1,[2]stages!$2:$2,0)-MATCH($C$1,[2]stages!$2:$2,0)+1),MATCH(D$1,[2]stages!$2:$2,0)-MATCH($C$1,[2]stages!$2:$2,0)+1,FALSE)</f>
        <v>everyone</v>
      </c>
      <c r="E51" s="82">
        <v>50</v>
      </c>
      <c r="F51" s="82" t="s">
        <v>244</v>
      </c>
      <c r="G51" s="82">
        <v>125</v>
      </c>
      <c r="H51" s="82">
        <v>1</v>
      </c>
      <c r="I51" s="82">
        <v>1</v>
      </c>
      <c r="J51" s="82">
        <v>1</v>
      </c>
      <c r="K51" s="82">
        <v>0</v>
      </c>
      <c r="L51" s="82">
        <v>0</v>
      </c>
      <c r="M51" s="82">
        <v>0</v>
      </c>
      <c r="N51" s="82">
        <v>0</v>
      </c>
      <c r="O51" s="82">
        <v>1</v>
      </c>
      <c r="P51" s="82">
        <v>10</v>
      </c>
      <c r="Q51" s="82" t="s">
        <v>170</v>
      </c>
      <c r="R51" s="123" t="s">
        <v>171</v>
      </c>
    </row>
    <row r="52" spans="1:18" x14ac:dyDescent="0.15">
      <c r="A52" s="106">
        <v>39005</v>
      </c>
      <c r="B52" s="82">
        <v>5</v>
      </c>
      <c r="C52" s="71" t="str">
        <f t="shared" si="1"/>
        <v>39005_5</v>
      </c>
      <c r="D52" s="11" t="str">
        <f ca="1">VLOOKUP($C52,OFFSET([2]stages!$A$1,0,0,COUNTA([2]stages!$A:$A),MATCH(D$1,[2]stages!$2:$2,0)-MATCH($C$1,[2]stages!$2:$2,0)+1),MATCH(D$1,[2]stages!$2:$2,0)-MATCH($C$1,[2]stages!$2:$2,0)+1,FALSE)</f>
        <v>everyone</v>
      </c>
      <c r="E52" s="82">
        <v>51</v>
      </c>
      <c r="F52" s="82" t="s">
        <v>244</v>
      </c>
      <c r="G52" s="133">
        <v>8030</v>
      </c>
      <c r="H52" s="82">
        <v>1</v>
      </c>
      <c r="I52" s="82">
        <v>1</v>
      </c>
      <c r="J52" s="82">
        <v>1</v>
      </c>
      <c r="K52" s="82">
        <v>0</v>
      </c>
      <c r="L52" s="82">
        <v>0</v>
      </c>
      <c r="M52" s="82">
        <v>0</v>
      </c>
      <c r="N52" s="82">
        <v>0</v>
      </c>
      <c r="O52" s="82">
        <v>1</v>
      </c>
      <c r="P52" s="82">
        <v>250</v>
      </c>
      <c r="Q52" s="82" t="s">
        <v>170</v>
      </c>
      <c r="R52" s="123" t="s">
        <v>171</v>
      </c>
    </row>
    <row r="53" spans="1:18" x14ac:dyDescent="0.15">
      <c r="A53" s="106">
        <v>39005</v>
      </c>
      <c r="B53" s="82">
        <v>5</v>
      </c>
      <c r="C53" s="71" t="str">
        <f t="shared" si="1"/>
        <v>39005_5</v>
      </c>
      <c r="D53" s="11" t="str">
        <f ca="1">VLOOKUP($C53,OFFSET([2]stages!$A$1,0,0,COUNTA([2]stages!$A:$A),MATCH(D$1,[2]stages!$2:$2,0)-MATCH($C$1,[2]stages!$2:$2,0)+1),MATCH(D$1,[2]stages!$2:$2,0)-MATCH($C$1,[2]stages!$2:$2,0)+1,FALSE)</f>
        <v>everyone</v>
      </c>
      <c r="E53" s="82">
        <v>52</v>
      </c>
      <c r="F53" s="82" t="s">
        <v>244</v>
      </c>
      <c r="G53" s="82">
        <v>352</v>
      </c>
      <c r="H53" s="82">
        <v>1</v>
      </c>
      <c r="I53" s="82">
        <v>1</v>
      </c>
      <c r="J53" s="82">
        <v>1</v>
      </c>
      <c r="K53" s="82">
        <v>0</v>
      </c>
      <c r="L53" s="82">
        <v>0</v>
      </c>
      <c r="M53" s="82">
        <v>0</v>
      </c>
      <c r="N53" s="82">
        <v>0</v>
      </c>
      <c r="O53" s="82">
        <v>1</v>
      </c>
      <c r="P53" s="82">
        <v>150</v>
      </c>
      <c r="Q53" s="82" t="s">
        <v>170</v>
      </c>
      <c r="R53" s="123" t="s">
        <v>171</v>
      </c>
    </row>
  </sheetData>
  <phoneticPr fontId="6"/>
  <dataValidations count="1">
    <dataValidation type="list" allowBlank="1" showInputMessage="1" showErrorMessage="1" sqref="F2:F53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M121"/>
  <sheetViews>
    <sheetView showGridLines="0" workbookViewId="0">
      <pane ySplit="1" topLeftCell="A50" activePane="bottomLeft" state="frozen"/>
      <selection pane="bottomLeft" activeCell="E128" sqref="E128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252</v>
      </c>
      <c r="B1" s="73" t="s">
        <v>254</v>
      </c>
      <c r="C1" s="78" t="s">
        <v>255</v>
      </c>
      <c r="D1" s="78" t="s">
        <v>33</v>
      </c>
      <c r="E1" s="73" t="s">
        <v>256</v>
      </c>
      <c r="F1" s="78" t="s">
        <v>257</v>
      </c>
      <c r="G1" s="78" t="s">
        <v>33</v>
      </c>
      <c r="H1" s="73" t="s">
        <v>258</v>
      </c>
      <c r="I1" s="92" t="s">
        <v>259</v>
      </c>
      <c r="J1" s="80" t="s">
        <v>260</v>
      </c>
      <c r="K1" s="79" t="s">
        <v>262</v>
      </c>
      <c r="L1" s="93" t="s">
        <v>263</v>
      </c>
      <c r="M1" s="81" t="s">
        <v>264</v>
      </c>
    </row>
    <row r="2" spans="1:13" x14ac:dyDescent="0.15">
      <c r="A2" s="82" t="s">
        <v>265</v>
      </c>
      <c r="B2" s="83">
        <v>39005</v>
      </c>
      <c r="C2" s="84" t="str">
        <f ca="1">VLOOKUP($B2,OFFSET([2]quests!$A$1,0,0,COUNTA([2]quests!$A:$A),MATCH(C$1,[2]quests!$1:$1,0)-MATCH($B$1,[2]quests!$1:$1,0)+1),MATCH(C$1,[2]quests!$1:$1,0)-MATCH($B$1,[2]quests!$1:$1,0)+1,FALSE)</f>
        <v xml:space="preserve">ミクエキスポ </v>
      </c>
      <c r="D2" s="84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【初級】ミクエキスポ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6">
        <v>0</v>
      </c>
      <c r="I2">
        <v>1</v>
      </c>
      <c r="J2" s="85" t="s">
        <v>266</v>
      </c>
      <c r="K2" s="126" t="str">
        <f>VLOOKUP(I2,[7]stage_hints!$A:$C,3,FALSE)</f>
        <v>長くつなげて大ダメージ</v>
      </c>
      <c r="L2" s="127" t="str">
        <f>VLOOKUP(I2,[7]stage_hints!$A:$D,4,FALSE)</f>
        <v>パネルを長くつなげるほど_x000D_大ダメージを与えることができます</v>
      </c>
      <c r="M2" s="57" t="s">
        <v>189</v>
      </c>
    </row>
    <row r="3" spans="1:13" x14ac:dyDescent="0.15">
      <c r="A3" s="82" t="s">
        <v>265</v>
      </c>
      <c r="B3" s="83">
        <v>39005</v>
      </c>
      <c r="C3" s="84" t="str">
        <f ca="1">VLOOKUP($B3,OFFSET([2]quests!$A$1,0,0,COUNTA([2]quests!$A:$A),MATCH(C$1,[2]quests!$1:$1,0)-MATCH($B$1,[2]quests!$1:$1,0)+1),MATCH(C$1,[2]quests!$1:$1,0)-MATCH($B$1,[2]quests!$1:$1,0)+1,FALSE)</f>
        <v xml:space="preserve">ミクエキスポ </v>
      </c>
      <c r="D3" s="84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【初級】ミクエキスポ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6">
        <v>0</v>
      </c>
      <c r="I3">
        <v>2</v>
      </c>
      <c r="J3" s="85" t="s">
        <v>266</v>
      </c>
      <c r="K3" s="126" t="str">
        <f>VLOOKUP(I3,[7]stage_hints!$A:$C,3,FALSE)</f>
        <v>属性の相性</v>
      </c>
      <c r="L3" s="127" t="str">
        <f>VLOOKUP(I3,[7]stage_hints!$A:$D,4,FALSE)</f>
        <v>赤＞青　青＞黄　黄＞緑　緑＞赤_x000D_敵属性に最適なパーティがオススメです</v>
      </c>
      <c r="M3" s="57" t="s">
        <v>189</v>
      </c>
    </row>
    <row r="4" spans="1:13" x14ac:dyDescent="0.15">
      <c r="A4" s="82" t="s">
        <v>265</v>
      </c>
      <c r="B4" s="83">
        <v>39005</v>
      </c>
      <c r="C4" s="84" t="str">
        <f ca="1">VLOOKUP($B4,OFFSET([2]quests!$A$1,0,0,COUNTA([2]quests!$A:$A),MATCH(C$1,[2]quests!$1:$1,0)-MATCH($B$1,[2]quests!$1:$1,0)+1),MATCH(C$1,[2]quests!$1:$1,0)-MATCH($B$1,[2]quests!$1:$1,0)+1,FALSE)</f>
        <v xml:space="preserve">ミクエキスポ </v>
      </c>
      <c r="D4" s="84" t="str">
        <f ca="1">VLOOKUP($B4,OFFSET([2]quests!$A$1,0,0,COUNTA([2]quests!$A:$A),MATCH(D$1,[2]quests!$1:$1,0)-MATCH($B$1,[2]quests!$1:$1,0)+1),MATCH(D$1,[2]quests!$1:$1,0)-MATCH($B$1,[2]quests!$1:$1,0)+1,FALSE)</f>
        <v>コラボクエスト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【初級】ミクエキスポ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コラボクエスト</v>
      </c>
      <c r="H4" s="86">
        <v>0</v>
      </c>
      <c r="I4">
        <v>3</v>
      </c>
      <c r="J4" s="85" t="s">
        <v>187</v>
      </c>
      <c r="K4" s="126" t="str">
        <f>VLOOKUP(I4,[7]stage_hints!$A:$C,3,FALSE)</f>
        <v>ターゲット</v>
      </c>
      <c r="L4" s="127" t="str">
        <f>VLOOKUP(I4,[7]stage_hints!$A:$D,4,FALSE)</f>
        <v>敵ユニットをタップすると_x000D_その敵を狙い撃ちできます</v>
      </c>
      <c r="M4" s="57" t="s">
        <v>267</v>
      </c>
    </row>
    <row r="5" spans="1:13" x14ac:dyDescent="0.15">
      <c r="A5" s="82" t="s">
        <v>265</v>
      </c>
      <c r="B5" s="83">
        <v>39005</v>
      </c>
      <c r="C5" s="84" t="str">
        <f ca="1">VLOOKUP($B5,OFFSET([2]quests!$A$1,0,0,COUNTA([2]quests!$A:$A),MATCH(C$1,[2]quests!$1:$1,0)-MATCH($B$1,[2]quests!$1:$1,0)+1),MATCH(C$1,[2]quests!$1:$1,0)-MATCH($B$1,[2]quests!$1:$1,0)+1,FALSE)</f>
        <v xml:space="preserve">ミクエキスポ </v>
      </c>
      <c r="D5" s="84" t="str">
        <f ca="1">VLOOKUP($B5,OFFSET([2]quests!$A$1,0,0,COUNTA([2]quests!$A:$A),MATCH(D$1,[2]quests!$1:$1,0)-MATCH($B$1,[2]quests!$1:$1,0)+1),MATCH(D$1,[2]quests!$1:$1,0)-MATCH($B$1,[2]quests!$1:$1,0)+1,FALSE)</f>
        <v>コラボクエスト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【初級】ミクエキスポ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コラボクエスト</v>
      </c>
      <c r="H5" s="86">
        <v>0</v>
      </c>
      <c r="I5">
        <v>5</v>
      </c>
      <c r="J5" s="85" t="s">
        <v>268</v>
      </c>
      <c r="K5" s="126" t="str">
        <f>VLOOKUP(I5,[7]stage_hints!$A:$C,3,FALSE)</f>
        <v>ユニット強化でレベルアップ</v>
      </c>
      <c r="L5" s="127" t="str">
        <f>VLOOKUP(I5,[7]stage_hints!$A:$D,4,FALSE)</f>
        <v>「ユニット強化」でレベルアップすると_x000D_勝てない敵にも勝てるようになります</v>
      </c>
      <c r="M5" s="57" t="s">
        <v>189</v>
      </c>
    </row>
    <row r="6" spans="1:13" x14ac:dyDescent="0.15">
      <c r="A6" s="82" t="s">
        <v>265</v>
      </c>
      <c r="B6" s="83">
        <v>39005</v>
      </c>
      <c r="C6" s="84" t="str">
        <f ca="1">VLOOKUP($B6,OFFSET([2]quests!$A$1,0,0,COUNTA([2]quests!$A:$A),MATCH(C$1,[2]quests!$1:$1,0)-MATCH($B$1,[2]quests!$1:$1,0)+1),MATCH(C$1,[2]quests!$1:$1,0)-MATCH($B$1,[2]quests!$1:$1,0)+1,FALSE)</f>
        <v xml:space="preserve">ミクエキスポ </v>
      </c>
      <c r="D6" s="84" t="str">
        <f ca="1">VLOOKUP($B6,OFFSET([2]quests!$A$1,0,0,COUNTA([2]quests!$A:$A),MATCH(D$1,[2]quests!$1:$1,0)-MATCH($B$1,[2]quests!$1:$1,0)+1),MATCH(D$1,[2]quests!$1:$1,0)-MATCH($B$1,[2]quests!$1:$1,0)+1,FALSE)</f>
        <v>コラボクエスト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【初級】ミクエキスポ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コラボクエスト</v>
      </c>
      <c r="H6" s="86">
        <v>0</v>
      </c>
      <c r="I6">
        <v>6</v>
      </c>
      <c r="J6" s="85" t="s">
        <v>187</v>
      </c>
      <c r="K6" s="126" t="str">
        <f>VLOOKUP(I6,[7]stage_hints!$A:$C,3,FALSE)</f>
        <v>ユニット強化の属性ボーナス</v>
      </c>
      <c r="L6" s="127" t="str">
        <f>VLOOKUP(I6,[7]stage_hints!$A:$D,4,FALSE)</f>
        <v>同属性ユニットを強化素材にすると_x000D_経験値が多くもらえます</v>
      </c>
      <c r="M6" s="57" t="s">
        <v>189</v>
      </c>
    </row>
    <row r="7" spans="1:13" x14ac:dyDescent="0.15">
      <c r="A7" s="82" t="s">
        <v>265</v>
      </c>
      <c r="B7" s="83">
        <v>39005</v>
      </c>
      <c r="C7" s="84" t="str">
        <f ca="1">VLOOKUP($B7,OFFSET([2]quests!$A$1,0,0,COUNTA([2]quests!$A:$A),MATCH(C$1,[2]quests!$1:$1,0)-MATCH($B$1,[2]quests!$1:$1,0)+1),MATCH(C$1,[2]quests!$1:$1,0)-MATCH($B$1,[2]quests!$1:$1,0)+1,FALSE)</f>
        <v xml:space="preserve">ミクエキスポ </v>
      </c>
      <c r="D7" s="84" t="str">
        <f ca="1">VLOOKUP($B7,OFFSET([2]quests!$A$1,0,0,COUNTA([2]quests!$A:$A),MATCH(D$1,[2]quests!$1:$1,0)-MATCH($B$1,[2]quests!$1:$1,0)+1),MATCH(D$1,[2]quests!$1:$1,0)-MATCH($B$1,[2]quests!$1:$1,0)+1,FALSE)</f>
        <v>コラボクエスト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【初級】ミクエキスポ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コラボクエスト</v>
      </c>
      <c r="H7" s="86">
        <v>0</v>
      </c>
      <c r="I7">
        <v>7</v>
      </c>
      <c r="J7" s="85" t="s">
        <v>187</v>
      </c>
      <c r="K7" s="126" t="str">
        <f>VLOOKUP(I7,[7]stage_hints!$A:$C,3,FALSE)</f>
        <v>メタルダックで経験値を獲得</v>
      </c>
      <c r="L7" s="127" t="str">
        <f>VLOOKUP(I7,[7]stage_hints!$A:$D,4,FALSE)</f>
        <v>「メタルなアヒル」を強化素材にすると_x000D_大量の経験値がもらえます</v>
      </c>
      <c r="M7" s="57" t="s">
        <v>269</v>
      </c>
    </row>
    <row r="8" spans="1:13" x14ac:dyDescent="0.15">
      <c r="A8" s="82" t="s">
        <v>265</v>
      </c>
      <c r="B8" s="83">
        <v>39005</v>
      </c>
      <c r="C8" s="84" t="str">
        <f ca="1">VLOOKUP($B8,OFFSET([2]quests!$A$1,0,0,COUNTA([2]quests!$A:$A),MATCH(C$1,[2]quests!$1:$1,0)-MATCH($B$1,[2]quests!$1:$1,0)+1),MATCH(C$1,[2]quests!$1:$1,0)-MATCH($B$1,[2]quests!$1:$1,0)+1,FALSE)</f>
        <v xml:space="preserve">ミクエキスポ </v>
      </c>
      <c r="D8" s="84" t="str">
        <f ca="1">VLOOKUP($B8,OFFSET([2]quests!$A$1,0,0,COUNTA([2]quests!$A:$A),MATCH(D$1,[2]quests!$1:$1,0)-MATCH($B$1,[2]quests!$1:$1,0)+1),MATCH(D$1,[2]quests!$1:$1,0)-MATCH($B$1,[2]quests!$1:$1,0)+1,FALSE)</f>
        <v>コラボクエスト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【初級】ミクエキスポ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コラボクエスト</v>
      </c>
      <c r="H8" s="86">
        <v>0</v>
      </c>
      <c r="I8">
        <v>8</v>
      </c>
      <c r="J8" s="85" t="s">
        <v>266</v>
      </c>
      <c r="K8" s="126" t="str">
        <f>VLOOKUP(I8,[7]stage_hints!$A:$C,3,FALSE)</f>
        <v>ゲリラクエストは要チェック</v>
      </c>
      <c r="L8" s="127" t="str">
        <f>VLOOKUP(I8,[7]stage_hints!$A:$D,4,FALSE)</f>
        <v>時間限定の「アヒル捕獲作戦」では_x000D_経験値素材ユニットが多く手に入ります</v>
      </c>
      <c r="M8" s="57" t="s">
        <v>270</v>
      </c>
    </row>
    <row r="9" spans="1:13" x14ac:dyDescent="0.15">
      <c r="A9" s="82" t="s">
        <v>265</v>
      </c>
      <c r="B9" s="83">
        <v>39005</v>
      </c>
      <c r="C9" s="84" t="str">
        <f ca="1">VLOOKUP($B9,OFFSET([2]quests!$A$1,0,0,COUNTA([2]quests!$A:$A),MATCH(C$1,[2]quests!$1:$1,0)-MATCH($B$1,[2]quests!$1:$1,0)+1),MATCH(C$1,[2]quests!$1:$1,0)-MATCH($B$1,[2]quests!$1:$1,0)+1,FALSE)</f>
        <v xml:space="preserve">ミクエキスポ </v>
      </c>
      <c r="D9" s="84" t="str">
        <f ca="1">VLOOKUP($B9,OFFSET([2]quests!$A$1,0,0,COUNTA([2]quests!$A:$A),MATCH(D$1,[2]quests!$1:$1,0)-MATCH($B$1,[2]quests!$1:$1,0)+1),MATCH(D$1,[2]quests!$1:$1,0)-MATCH($B$1,[2]quests!$1:$1,0)+1,FALSE)</f>
        <v>コラボクエスト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【初級】ミクエキスポ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コラボクエスト</v>
      </c>
      <c r="H9" s="86">
        <v>0</v>
      </c>
      <c r="I9">
        <v>9</v>
      </c>
      <c r="J9" s="85" t="s">
        <v>266</v>
      </c>
      <c r="K9" s="126" t="str">
        <f>VLOOKUP(I9,[7]stage_hints!$A:$C,3,FALSE)</f>
        <v>ゴールドダックでビットを獲得</v>
      </c>
      <c r="L9" s="127" t="str">
        <f>VLOOKUP(I9,[7]stage_hints!$A:$D,4,FALSE)</f>
        <v>「ゴールドなアヒル」を売却すると_x000D_大量のビットがもらえます</v>
      </c>
      <c r="M9" s="57" t="s">
        <v>270</v>
      </c>
    </row>
    <row r="10" spans="1:13" x14ac:dyDescent="0.15">
      <c r="A10" s="82" t="s">
        <v>265</v>
      </c>
      <c r="B10" s="83">
        <v>39005</v>
      </c>
      <c r="C10" s="84" t="str">
        <f ca="1">VLOOKUP($B10,OFFSET([2]quests!$A$1,0,0,COUNTA([2]quests!$A:$A),MATCH(C$1,[2]quests!$1:$1,0)-MATCH($B$1,[2]quests!$1:$1,0)+1),MATCH(C$1,[2]quests!$1:$1,0)-MATCH($B$1,[2]quests!$1:$1,0)+1,FALSE)</f>
        <v xml:space="preserve">ミクエキスポ </v>
      </c>
      <c r="D10" s="84" t="str">
        <f ca="1">VLOOKUP($B10,OFFSET([2]quests!$A$1,0,0,COUNTA([2]quests!$A:$A),MATCH(D$1,[2]quests!$1:$1,0)-MATCH($B$1,[2]quests!$1:$1,0)+1),MATCH(D$1,[2]quests!$1:$1,0)-MATCH($B$1,[2]quests!$1:$1,0)+1,FALSE)</f>
        <v>コラボクエスト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【初級】ミクエキスポ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コラボクエスト</v>
      </c>
      <c r="H10" s="86">
        <v>0</v>
      </c>
      <c r="I10">
        <v>10</v>
      </c>
      <c r="J10" s="85" t="s">
        <v>266</v>
      </c>
      <c r="K10" s="126" t="str">
        <f>VLOOKUP(I10,[7]stage_hints!$A:$C,3,FALSE)</f>
        <v>土日に大量のビットを獲得</v>
      </c>
      <c r="L10" s="127" t="str">
        <f>VLOOKUP(I10,[7]stage_hints!$A:$D,4,FALSE)</f>
        <v>土日限定の「ゴールドカジノ」では_x000D_売却素材ユニットが多く手に入ります</v>
      </c>
      <c r="M10" s="57" t="s">
        <v>270</v>
      </c>
    </row>
    <row r="11" spans="1:13" x14ac:dyDescent="0.15">
      <c r="A11" s="82" t="s">
        <v>265</v>
      </c>
      <c r="B11" s="83">
        <v>39005</v>
      </c>
      <c r="C11" s="84" t="str">
        <f ca="1">VLOOKUP($B11,OFFSET([2]quests!$A$1,0,0,COUNTA([2]quests!$A:$A),MATCH(C$1,[2]quests!$1:$1,0)-MATCH($B$1,[2]quests!$1:$1,0)+1),MATCH(C$1,[2]quests!$1:$1,0)-MATCH($B$1,[2]quests!$1:$1,0)+1,FALSE)</f>
        <v xml:space="preserve">ミクエキスポ </v>
      </c>
      <c r="D11" s="84" t="str">
        <f ca="1">VLOOKUP($B11,OFFSET([2]quests!$A$1,0,0,COUNTA([2]quests!$A:$A),MATCH(D$1,[2]quests!$1:$1,0)-MATCH($B$1,[2]quests!$1:$1,0)+1),MATCH(D$1,[2]quests!$1:$1,0)-MATCH($B$1,[2]quests!$1:$1,0)+1,FALSE)</f>
        <v>コラボクエスト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【初級】ミクエキスポ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コラボクエスト</v>
      </c>
      <c r="H11" s="86">
        <v>0</v>
      </c>
      <c r="I11">
        <v>11</v>
      </c>
      <c r="J11" s="85" t="s">
        <v>266</v>
      </c>
      <c r="K11" s="126" t="str">
        <f>VLOOKUP(I11,[7]stage_hints!$A:$C,3,FALSE)</f>
        <v>ランク解放クエスト</v>
      </c>
      <c r="L11" s="127" t="str">
        <f>VLOOKUP(I11,[7]stage_hints!$A:$D,4,FALSE)</f>
        <v>一定ランクに到達すると_x000D_報酬付きのランク開放クエストが現れます</v>
      </c>
      <c r="M11" s="57" t="s">
        <v>270</v>
      </c>
    </row>
    <row r="12" spans="1:13" x14ac:dyDescent="0.15">
      <c r="A12" s="82" t="s">
        <v>265</v>
      </c>
      <c r="B12" s="83">
        <v>39005</v>
      </c>
      <c r="C12" s="84" t="str">
        <f ca="1">VLOOKUP($B12,OFFSET([2]quests!$A$1,0,0,COUNTA([2]quests!$A:$A),MATCH(C$1,[2]quests!$1:$1,0)-MATCH($B$1,[2]quests!$1:$1,0)+1),MATCH(C$1,[2]quests!$1:$1,0)-MATCH($B$1,[2]quests!$1:$1,0)+1,FALSE)</f>
        <v xml:space="preserve">ミクエキスポ </v>
      </c>
      <c r="D12" s="84" t="str">
        <f ca="1">VLOOKUP($B12,OFFSET([2]quests!$A$1,0,0,COUNTA([2]quests!$A:$A),MATCH(D$1,[2]quests!$1:$1,0)-MATCH($B$1,[2]quests!$1:$1,0)+1),MATCH(D$1,[2]quests!$1:$1,0)-MATCH($B$1,[2]quests!$1:$1,0)+1,FALSE)</f>
        <v>コラボクエスト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【初級】ミクエキスポ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コラボクエスト</v>
      </c>
      <c r="H12" s="86">
        <v>0</v>
      </c>
      <c r="I12">
        <v>12</v>
      </c>
      <c r="J12" s="85" t="s">
        <v>187</v>
      </c>
      <c r="K12" s="126" t="str">
        <f>VLOOKUP(I12,[7]stage_hints!$A:$C,3,FALSE)</f>
        <v>ユニットのお気に入り登録</v>
      </c>
      <c r="L12" s="127" t="str">
        <f>VLOOKUP(I12,[7]stage_hints!$A:$D,4,FALSE)</f>
        <v>大事なユニットを誤って消さないように_x000D_フォルダから「お気に入り登録」しましょう</v>
      </c>
      <c r="M12" s="57" t="s">
        <v>271</v>
      </c>
    </row>
    <row r="13" spans="1:13" x14ac:dyDescent="0.15">
      <c r="A13" s="82" t="s">
        <v>265</v>
      </c>
      <c r="B13" s="83">
        <v>39005</v>
      </c>
      <c r="C13" s="84" t="str">
        <f ca="1">VLOOKUP($B13,OFFSET([2]quests!$A$1,0,0,COUNTA([2]quests!$A:$A),MATCH(C$1,[2]quests!$1:$1,0)-MATCH($B$1,[2]quests!$1:$1,0)+1),MATCH(C$1,[2]quests!$1:$1,0)-MATCH($B$1,[2]quests!$1:$1,0)+1,FALSE)</f>
        <v xml:space="preserve">ミクエキスポ </v>
      </c>
      <c r="D13" s="84" t="str">
        <f ca="1">VLOOKUP($B13,OFFSET([2]quests!$A$1,0,0,COUNTA([2]quests!$A:$A),MATCH(D$1,[2]quests!$1:$1,0)-MATCH($B$1,[2]quests!$1:$1,0)+1),MATCH(D$1,[2]quests!$1:$1,0)-MATCH($B$1,[2]quests!$1:$1,0)+1,FALSE)</f>
        <v>コラボクエスト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【初級】ミクエキスポ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コラボクエスト</v>
      </c>
      <c r="H13" s="86">
        <v>0</v>
      </c>
      <c r="I13">
        <v>13</v>
      </c>
      <c r="J13" s="85" t="s">
        <v>272</v>
      </c>
      <c r="K13" s="126" t="str">
        <f>VLOOKUP(I13,[7]stage_hints!$A:$C,3,FALSE)</f>
        <v>ユニットの覚醒</v>
      </c>
      <c r="L13" s="127" t="str">
        <f>VLOOKUP(I13,[7]stage_hints!$A:$D,4,FALSE)</f>
        <v>ユニットを覚醒させると_x000D_比べものにならない強さが手に入ります</v>
      </c>
      <c r="M13" s="57" t="s">
        <v>273</v>
      </c>
    </row>
    <row r="14" spans="1:13" x14ac:dyDescent="0.15">
      <c r="A14" s="82" t="s">
        <v>265</v>
      </c>
      <c r="B14" s="83">
        <v>39005</v>
      </c>
      <c r="C14" s="84" t="str">
        <f ca="1">VLOOKUP($B14,OFFSET([2]quests!$A$1,0,0,COUNTA([2]quests!$A:$A),MATCH(C$1,[2]quests!$1:$1,0)-MATCH($B$1,[2]quests!$1:$1,0)+1),MATCH(C$1,[2]quests!$1:$1,0)-MATCH($B$1,[2]quests!$1:$1,0)+1,FALSE)</f>
        <v xml:space="preserve">ミクエキスポ </v>
      </c>
      <c r="D14" s="84" t="str">
        <f ca="1">VLOOKUP($B14,OFFSET([2]quests!$A$1,0,0,COUNTA([2]quests!$A:$A),MATCH(D$1,[2]quests!$1:$1,0)-MATCH($B$1,[2]quests!$1:$1,0)+1),MATCH(D$1,[2]quests!$1:$1,0)-MATCH($B$1,[2]quests!$1:$1,0)+1,FALSE)</f>
        <v>コラボクエスト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【初級】ミクエキスポ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コラボクエスト</v>
      </c>
      <c r="H14" s="86">
        <v>0</v>
      </c>
      <c r="I14">
        <v>14</v>
      </c>
      <c r="J14" s="85" t="s">
        <v>266</v>
      </c>
      <c r="K14" s="126" t="str">
        <f>VLOOKUP(I14,[7]stage_hints!$A:$C,3,FALSE)</f>
        <v>覚醒するにはレベルを最大に</v>
      </c>
      <c r="L14" s="127" t="str">
        <f>VLOOKUP(I14,[7]stage_hints!$A:$D,4,FALSE)</f>
        <v>覚醒するにはユニットのレベルを_x000D_最大まで上げる必要があります</v>
      </c>
      <c r="M14" s="57" t="s">
        <v>273</v>
      </c>
    </row>
    <row r="15" spans="1:13" x14ac:dyDescent="0.15">
      <c r="A15" s="82" t="s">
        <v>265</v>
      </c>
      <c r="B15" s="83">
        <v>39005</v>
      </c>
      <c r="C15" s="84" t="str">
        <f ca="1">VLOOKUP($B15,OFFSET([2]quests!$A$1,0,0,COUNTA([2]quests!$A:$A),MATCH(C$1,[2]quests!$1:$1,0)-MATCH($B$1,[2]quests!$1:$1,0)+1),MATCH(C$1,[2]quests!$1:$1,0)-MATCH($B$1,[2]quests!$1:$1,0)+1,FALSE)</f>
        <v xml:space="preserve">ミクエキスポ </v>
      </c>
      <c r="D15" s="84" t="str">
        <f ca="1">VLOOKUP($B15,OFFSET([2]quests!$A$1,0,0,COUNTA([2]quests!$A:$A),MATCH(D$1,[2]quests!$1:$1,0)-MATCH($B$1,[2]quests!$1:$1,0)+1),MATCH(D$1,[2]quests!$1:$1,0)-MATCH($B$1,[2]quests!$1:$1,0)+1,FALSE)</f>
        <v>コラボクエスト</v>
      </c>
      <c r="E15" s="88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【初級】ミクエキスポ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コラボクエスト</v>
      </c>
      <c r="H15" s="86">
        <v>0</v>
      </c>
      <c r="I15">
        <v>15</v>
      </c>
      <c r="J15" s="85" t="s">
        <v>187</v>
      </c>
      <c r="K15" s="126" t="str">
        <f>VLOOKUP(I15,[7]stage_hints!$A:$C,3,FALSE)</f>
        <v>覚醒素材を獲得</v>
      </c>
      <c r="L15" s="127" t="str">
        <f>VLOOKUP(I15,[7]stage_hints!$A:$D,4,FALSE)</f>
        <v>「曜日クエスト」では_x000D_ユニットの覚醒に必要な素材が手に入ります</v>
      </c>
      <c r="M15" s="57" t="s">
        <v>270</v>
      </c>
    </row>
    <row r="16" spans="1:13" x14ac:dyDescent="0.15">
      <c r="A16" s="82" t="s">
        <v>265</v>
      </c>
      <c r="B16" s="83">
        <v>39005</v>
      </c>
      <c r="C16" s="84" t="str">
        <f ca="1">VLOOKUP($B16,OFFSET([2]quests!$A$1,0,0,COUNTA([2]quests!$A:$A),MATCH(C$1,[2]quests!$1:$1,0)-MATCH($B$1,[2]quests!$1:$1,0)+1),MATCH(C$1,[2]quests!$1:$1,0)-MATCH($B$1,[2]quests!$1:$1,0)+1,FALSE)</f>
        <v xml:space="preserve">ミクエキスポ </v>
      </c>
      <c r="D16" s="84" t="str">
        <f ca="1">VLOOKUP($B16,OFFSET([2]quests!$A$1,0,0,COUNTA([2]quests!$A:$A),MATCH(D$1,[2]quests!$1:$1,0)-MATCH($B$1,[2]quests!$1:$1,0)+1),MATCH(D$1,[2]quests!$1:$1,0)-MATCH($B$1,[2]quests!$1:$1,0)+1,FALSE)</f>
        <v>コラボクエスト</v>
      </c>
      <c r="E16" s="88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【初級】ミクエキスポ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コラボクエスト</v>
      </c>
      <c r="H16" s="86">
        <v>0</v>
      </c>
      <c r="I16">
        <v>16</v>
      </c>
      <c r="J16" s="85" t="s">
        <v>187</v>
      </c>
      <c r="K16" s="126" t="str">
        <f>VLOOKUP(I16,[7]stage_hints!$A:$C,3,FALSE)</f>
        <v>マルチプレイのメリット（その1）</v>
      </c>
      <c r="L16" s="127" t="str">
        <f>VLOOKUP(I16,[7]stage_hints!$A:$D,4,FALSE)</f>
        <v>他のプレイヤーとマルチプレイで遊ぶと_x000D_ポリゴンがもらえます（100人まで）</v>
      </c>
      <c r="M16" s="57" t="s">
        <v>189</v>
      </c>
    </row>
    <row r="17" spans="1:13" x14ac:dyDescent="0.15">
      <c r="A17" s="82" t="s">
        <v>265</v>
      </c>
      <c r="B17" s="83">
        <v>39005</v>
      </c>
      <c r="C17" s="84" t="str">
        <f ca="1">VLOOKUP($B17,OFFSET([2]quests!$A$1,0,0,COUNTA([2]quests!$A:$A),MATCH(C$1,[2]quests!$1:$1,0)-MATCH($B$1,[2]quests!$1:$1,0)+1),MATCH(C$1,[2]quests!$1:$1,0)-MATCH($B$1,[2]quests!$1:$1,0)+1,FALSE)</f>
        <v xml:space="preserve">ミクエキスポ </v>
      </c>
      <c r="D17" s="84" t="str">
        <f ca="1">VLOOKUP($B17,OFFSET([2]quests!$A$1,0,0,COUNTA([2]quests!$A:$A),MATCH(D$1,[2]quests!$1:$1,0)-MATCH($B$1,[2]quests!$1:$1,0)+1),MATCH(D$1,[2]quests!$1:$1,0)-MATCH($B$1,[2]quests!$1:$1,0)+1,FALSE)</f>
        <v>コラボクエスト</v>
      </c>
      <c r="E17" s="88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【初級】ミクエキスポ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コラボクエスト</v>
      </c>
      <c r="H17" s="86">
        <v>0</v>
      </c>
      <c r="I17">
        <v>17</v>
      </c>
      <c r="J17" s="85" t="s">
        <v>274</v>
      </c>
      <c r="K17" s="126" t="str">
        <f>VLOOKUP(I17,[7]stage_hints!$A:$C,3,FALSE)</f>
        <v>リンクガチャ</v>
      </c>
      <c r="L17" s="127" t="str">
        <f>VLOOKUP(I17,[7]stage_hints!$A:$D,4,FALSE)</f>
        <v>無料のリンクガチャを回して_x000D_経験値素材や売却素材を獲得しましょう</v>
      </c>
      <c r="M17" s="57" t="s">
        <v>270</v>
      </c>
    </row>
    <row r="18" spans="1:13" x14ac:dyDescent="0.15">
      <c r="A18" s="82" t="s">
        <v>265</v>
      </c>
      <c r="B18" s="83">
        <v>39005</v>
      </c>
      <c r="C18" s="84" t="str">
        <f ca="1">VLOOKUP($B18,OFFSET([2]quests!$A$1,0,0,COUNTA([2]quests!$A:$A),MATCH(C$1,[2]quests!$1:$1,0)-MATCH($B$1,[2]quests!$1:$1,0)+1),MATCH(C$1,[2]quests!$1:$1,0)-MATCH($B$1,[2]quests!$1:$1,0)+1,FALSE)</f>
        <v xml:space="preserve">ミクエキスポ </v>
      </c>
      <c r="D18" s="84" t="str">
        <f ca="1">VLOOKUP($B18,OFFSET([2]quests!$A$1,0,0,COUNTA([2]quests!$A:$A),MATCH(D$1,[2]quests!$1:$1,0)-MATCH($B$1,[2]quests!$1:$1,0)+1),MATCH(D$1,[2]quests!$1:$1,0)-MATCH($B$1,[2]quests!$1:$1,0)+1,FALSE)</f>
        <v>コラボクエスト</v>
      </c>
      <c r="E18" s="88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【初級】ミクエキスポ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コラボクエスト</v>
      </c>
      <c r="H18" s="86">
        <v>0</v>
      </c>
      <c r="I18">
        <v>18</v>
      </c>
      <c r="J18" s="85" t="s">
        <v>275</v>
      </c>
      <c r="K18" s="126" t="str">
        <f>VLOOKUP(I18,[7]stage_hints!$A:$C,3,FALSE)</f>
        <v>マルチプレイのメリット（その2）</v>
      </c>
      <c r="L18" s="127" t="str">
        <f>VLOOKUP(I18,[7]stage_hints!$A:$D,4,FALSE)</f>
        <v>マルチプレイならリンクが2倍もらえます_x000D_リンクガチャをたくさん回しましょう</v>
      </c>
      <c r="M18" s="57" t="s">
        <v>276</v>
      </c>
    </row>
    <row r="19" spans="1:13" x14ac:dyDescent="0.15">
      <c r="A19" s="82" t="s">
        <v>265</v>
      </c>
      <c r="B19" s="83">
        <v>39005</v>
      </c>
      <c r="C19" s="84" t="str">
        <f ca="1">VLOOKUP($B19,OFFSET([2]quests!$A$1,0,0,COUNTA([2]quests!$A:$A),MATCH(C$1,[2]quests!$1:$1,0)-MATCH($B$1,[2]quests!$1:$1,0)+1),MATCH(C$1,[2]quests!$1:$1,0)-MATCH($B$1,[2]quests!$1:$1,0)+1,FALSE)</f>
        <v xml:space="preserve">ミクエキスポ </v>
      </c>
      <c r="D19" s="84" t="str">
        <f ca="1">VLOOKUP($B19,OFFSET([2]quests!$A$1,0,0,COUNTA([2]quests!$A:$A),MATCH(D$1,[2]quests!$1:$1,0)-MATCH($B$1,[2]quests!$1:$1,0)+1),MATCH(D$1,[2]quests!$1:$1,0)-MATCH($B$1,[2]quests!$1:$1,0)+1,FALSE)</f>
        <v>コラボクエスト</v>
      </c>
      <c r="E19" s="88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【初級】ミクエキスポ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コラボクエスト</v>
      </c>
      <c r="H19" s="86">
        <v>0</v>
      </c>
      <c r="I19">
        <v>19</v>
      </c>
      <c r="J19" s="85" t="s">
        <v>266</v>
      </c>
      <c r="K19" s="126" t="str">
        <f>VLOOKUP(I19,[7]stage_hints!$A:$C,3,FALSE)</f>
        <v>ソロ専用チャレンジタワー</v>
      </c>
      <c r="L19" s="127" t="str">
        <f>VLOOKUP(I19,[7]stage_hints!$A:$D,4,FALSE)</f>
        <v>ソロ専用の「チャレンジタワー」では_x000D_各フロアごとにクリア報酬がもらえます</v>
      </c>
      <c r="M19" s="57" t="s">
        <v>189</v>
      </c>
    </row>
    <row r="20" spans="1:13" x14ac:dyDescent="0.15">
      <c r="A20" s="82" t="s">
        <v>265</v>
      </c>
      <c r="B20" s="83">
        <v>39005</v>
      </c>
      <c r="C20" s="84" t="str">
        <f ca="1">VLOOKUP($B20,OFFSET([2]quests!$A$1,0,0,COUNTA([2]quests!$A:$A),MATCH(C$1,[2]quests!$1:$1,0)-MATCH($B$1,[2]quests!$1:$1,0)+1),MATCH(C$1,[2]quests!$1:$1,0)-MATCH($B$1,[2]quests!$1:$1,0)+1,FALSE)</f>
        <v xml:space="preserve">ミクエキスポ </v>
      </c>
      <c r="D20" s="84" t="str">
        <f ca="1">VLOOKUP($B20,OFFSET([2]quests!$A$1,0,0,COUNTA([2]quests!$A:$A),MATCH(D$1,[2]quests!$1:$1,0)-MATCH($B$1,[2]quests!$1:$1,0)+1),MATCH(D$1,[2]quests!$1:$1,0)-MATCH($B$1,[2]quests!$1:$1,0)+1,FALSE)</f>
        <v>コラボクエスト</v>
      </c>
      <c r="E20" s="88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【初級】ミクエキスポ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コラボクエスト</v>
      </c>
      <c r="H20" s="86">
        <v>0</v>
      </c>
      <c r="I20">
        <v>20</v>
      </c>
      <c r="J20" s="85" t="s">
        <v>277</v>
      </c>
      <c r="K20" s="126" t="str">
        <f>VLOOKUP(I20,[7]stage_hints!$A:$C,3,FALSE)</f>
        <v>マルチプレイのメリット（その3）</v>
      </c>
      <c r="L20" s="127" t="str">
        <f>VLOOKUP(I20,[7]stage_hints!$A:$D,4,FALSE)</f>
        <v>マルチプレイへの参加はエナジー消費ゼロ_x000D_いつでも好きなだけ遊ぶことができます</v>
      </c>
      <c r="M20" s="57" t="s">
        <v>270</v>
      </c>
    </row>
    <row r="21" spans="1:13" x14ac:dyDescent="0.15">
      <c r="A21" s="82" t="s">
        <v>265</v>
      </c>
      <c r="B21" s="83">
        <v>39005</v>
      </c>
      <c r="C21" s="84" t="str">
        <f ca="1">VLOOKUP($B21,OFFSET([2]quests!$A$1,0,0,COUNTA([2]quests!$A:$A),MATCH(C$1,[2]quests!$1:$1,0)-MATCH($B$1,[2]quests!$1:$1,0)+1),MATCH(C$1,[2]quests!$1:$1,0)-MATCH($B$1,[2]quests!$1:$1,0)+1,FALSE)</f>
        <v xml:space="preserve">ミクエキスポ </v>
      </c>
      <c r="D21" s="84" t="str">
        <f ca="1">VLOOKUP($B21,OFFSET([2]quests!$A$1,0,0,COUNTA([2]quests!$A:$A),MATCH(D$1,[2]quests!$1:$1,0)-MATCH($B$1,[2]quests!$1:$1,0)+1),MATCH(D$1,[2]quests!$1:$1,0)-MATCH($B$1,[2]quests!$1:$1,0)+1,FALSE)</f>
        <v>コラボクエスト</v>
      </c>
      <c r="E21" s="88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【初級】ミクエキスポ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コラボクエスト</v>
      </c>
      <c r="H21" s="86">
        <v>0</v>
      </c>
      <c r="I21">
        <v>21</v>
      </c>
      <c r="J21" s="85" t="s">
        <v>266</v>
      </c>
      <c r="K21" s="126" t="str">
        <f>VLOOKUP(I21,[7]stage_hints!$A:$C,3,FALSE)</f>
        <v>スキルを有効に</v>
      </c>
      <c r="L21" s="127" t="str">
        <f>VLOOKUP(I21,[7]stage_hints!$A:$D,4,FALSE)</f>
        <v>ターン経過でユニットのスキルが使えます_x000D_強力スキルでバトルを有利に進めましょう</v>
      </c>
      <c r="M21" s="57" t="s">
        <v>278</v>
      </c>
    </row>
    <row r="22" spans="1:13" x14ac:dyDescent="0.15">
      <c r="A22" s="82" t="s">
        <v>265</v>
      </c>
      <c r="B22" s="83">
        <v>39005</v>
      </c>
      <c r="C22" s="84" t="str">
        <f ca="1">VLOOKUP($B22,OFFSET([2]quests!$A$1,0,0,COUNTA([2]quests!$A:$A),MATCH(C$1,[2]quests!$1:$1,0)-MATCH($B$1,[2]quests!$1:$1,0)+1),MATCH(C$1,[2]quests!$1:$1,0)-MATCH($B$1,[2]quests!$1:$1,0)+1,FALSE)</f>
        <v xml:space="preserve">ミクエキスポ </v>
      </c>
      <c r="D22" s="84" t="str">
        <f ca="1">VLOOKUP($B22,OFFSET([2]quests!$A$1,0,0,COUNTA([2]quests!$A:$A),MATCH(D$1,[2]quests!$1:$1,0)-MATCH($B$1,[2]quests!$1:$1,0)+1),MATCH(D$1,[2]quests!$1:$1,0)-MATCH($B$1,[2]quests!$1:$1,0)+1,FALSE)</f>
        <v>コラボクエスト</v>
      </c>
      <c r="E22" s="88">
        <v>1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【初級】ミクエキスポ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コラボクエスト</v>
      </c>
      <c r="H22" s="86">
        <v>0</v>
      </c>
      <c r="I22">
        <v>22</v>
      </c>
      <c r="J22" s="85" t="s">
        <v>266</v>
      </c>
      <c r="K22" s="126" t="str">
        <f>VLOOKUP(I22,[7]stage_hints!$A:$C,3,FALSE)</f>
        <v>フィーバーで一発逆転（その1）</v>
      </c>
      <c r="L22" s="127" t="str">
        <f>VLOOKUP(I22,[7]stage_hints!$A:$D,4,FALSE)</f>
        <v>フィーバーは攻撃と回復を兼ね備えます_x000D_ピンチからの一発逆転を狙いましょう</v>
      </c>
      <c r="M22" s="57" t="s">
        <v>270</v>
      </c>
    </row>
    <row r="23" spans="1:13" x14ac:dyDescent="0.15">
      <c r="A23" s="82" t="s">
        <v>265</v>
      </c>
      <c r="B23" s="83">
        <v>39005</v>
      </c>
      <c r="C23" s="84" t="str">
        <f ca="1">VLOOKUP($B23,OFFSET([2]quests!$A$1,0,0,COUNTA([2]quests!$A:$A),MATCH(C$1,[2]quests!$1:$1,0)-MATCH($B$1,[2]quests!$1:$1,0)+1),MATCH(C$1,[2]quests!$1:$1,0)-MATCH($B$1,[2]quests!$1:$1,0)+1,FALSE)</f>
        <v xml:space="preserve">ミクエキスポ </v>
      </c>
      <c r="D23" s="84" t="str">
        <f ca="1">VLOOKUP($B23,OFFSET([2]quests!$A$1,0,0,COUNTA([2]quests!$A:$A),MATCH(D$1,[2]quests!$1:$1,0)-MATCH($B$1,[2]quests!$1:$1,0)+1),MATCH(D$1,[2]quests!$1:$1,0)-MATCH($B$1,[2]quests!$1:$1,0)+1,FALSE)</f>
        <v>コラボクエスト</v>
      </c>
      <c r="E23" s="88">
        <v>1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【初級】ミクエキスポ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コラボクエスト</v>
      </c>
      <c r="H23" s="86">
        <v>0</v>
      </c>
      <c r="I23">
        <v>23</v>
      </c>
      <c r="J23" s="85" t="s">
        <v>266</v>
      </c>
      <c r="K23" s="126" t="str">
        <f>VLOOKUP(I23,[7]stage_hints!$A:$C,3,FALSE)</f>
        <v>フィーバーで一発逆転（その2）</v>
      </c>
      <c r="L23" s="127" t="str">
        <f>VLOOKUP(I23,[7]stage_hints!$A:$D,4,FALSE)</f>
        <v>フィーバー中は虹色のボムパネルを狙って_x000D_画面上のパネルを一気に破壊しましょう</v>
      </c>
      <c r="M23" s="57" t="s">
        <v>270</v>
      </c>
    </row>
    <row r="24" spans="1:13" x14ac:dyDescent="0.15">
      <c r="A24" s="82" t="s">
        <v>265</v>
      </c>
      <c r="B24" s="83">
        <v>39005</v>
      </c>
      <c r="C24" s="84" t="str">
        <f ca="1">VLOOKUP($B24,OFFSET([2]quests!$A$1,0,0,COUNTA([2]quests!$A:$A),MATCH(C$1,[2]quests!$1:$1,0)-MATCH($B$1,[2]quests!$1:$1,0)+1),MATCH(C$1,[2]quests!$1:$1,0)-MATCH($B$1,[2]quests!$1:$1,0)+1,FALSE)</f>
        <v xml:space="preserve">ミクエキスポ </v>
      </c>
      <c r="D24" s="84" t="str">
        <f ca="1">VLOOKUP($B24,OFFSET([2]quests!$A$1,0,0,COUNTA([2]quests!$A:$A),MATCH(D$1,[2]quests!$1:$1,0)-MATCH($B$1,[2]quests!$1:$1,0)+1),MATCH(D$1,[2]quests!$1:$1,0)-MATCH($B$1,[2]quests!$1:$1,0)+1,FALSE)</f>
        <v>コラボクエスト</v>
      </c>
      <c r="E24" s="88">
        <v>1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【初級】ミクエキスポ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コラボクエスト</v>
      </c>
      <c r="H24" s="86">
        <v>0</v>
      </c>
      <c r="I24">
        <v>24</v>
      </c>
      <c r="J24" s="85" t="s">
        <v>266</v>
      </c>
      <c r="K24" s="126" t="str">
        <f>VLOOKUP(I24,[7]stage_hints!$A:$C,3,FALSE)</f>
        <v>りんごを使って限界突破</v>
      </c>
      <c r="L24" s="127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7" t="s">
        <v>273</v>
      </c>
    </row>
    <row r="25" spans="1:13" x14ac:dyDescent="0.15">
      <c r="A25" s="82" t="s">
        <v>265</v>
      </c>
      <c r="B25" s="83">
        <v>39005</v>
      </c>
      <c r="C25" s="84" t="str">
        <f ca="1">VLOOKUP($B25,OFFSET([2]quests!$A$1,0,0,COUNTA([2]quests!$A:$A),MATCH(C$1,[2]quests!$1:$1,0)-MATCH($B$1,[2]quests!$1:$1,0)+1),MATCH(C$1,[2]quests!$1:$1,0)-MATCH($B$1,[2]quests!$1:$1,0)+1,FALSE)</f>
        <v xml:space="preserve">ミクエキスポ </v>
      </c>
      <c r="D25" s="84" t="str">
        <f ca="1">VLOOKUP($B25,OFFSET([2]quests!$A$1,0,0,COUNTA([2]quests!$A:$A),MATCH(D$1,[2]quests!$1:$1,0)-MATCH($B$1,[2]quests!$1:$1,0)+1),MATCH(D$1,[2]quests!$1:$1,0)-MATCH($B$1,[2]quests!$1:$1,0)+1,FALSE)</f>
        <v>コラボクエスト</v>
      </c>
      <c r="E25" s="88">
        <v>1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【初級】ミクエキスポ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コラボクエスト</v>
      </c>
      <c r="H25" s="86">
        <v>0</v>
      </c>
      <c r="I25">
        <v>25</v>
      </c>
      <c r="J25" s="85" t="s">
        <v>266</v>
      </c>
      <c r="K25" s="126" t="str">
        <f>VLOOKUP(I25,[7]stage_hints!$A:$C,3,FALSE)</f>
        <v>スキルレベルアップ</v>
      </c>
      <c r="L25" s="127" t="str">
        <f>VLOOKUP(I25,[7]stage_hints!$A:$D,4,FALSE)</f>
        <v>「クリスタルのりんご」を強化に使うと_x000D_スキルレベルを上げることができます</v>
      </c>
      <c r="M25" s="57" t="s">
        <v>273</v>
      </c>
    </row>
    <row r="26" spans="1:13" x14ac:dyDescent="0.15">
      <c r="A26" s="82" t="s">
        <v>265</v>
      </c>
      <c r="B26" s="83">
        <v>39005</v>
      </c>
      <c r="C26" s="84" t="str">
        <f ca="1">VLOOKUP($B26,OFFSET([2]quests!$A$1,0,0,COUNTA([2]quests!$A:$A),MATCH(C$1,[2]quests!$1:$1,0)-MATCH($B$1,[2]quests!$1:$1,0)+1),MATCH(C$1,[2]quests!$1:$1,0)-MATCH($B$1,[2]quests!$1:$1,0)+1,FALSE)</f>
        <v xml:space="preserve">ミクエキスポ </v>
      </c>
      <c r="D26" s="84" t="str">
        <f ca="1">VLOOKUP($B26,OFFSET([2]quests!$A$1,0,0,COUNTA([2]quests!$A:$A),MATCH(D$1,[2]quests!$1:$1,0)-MATCH($B$1,[2]quests!$1:$1,0)+1),MATCH(D$1,[2]quests!$1:$1,0)-MATCH($B$1,[2]quests!$1:$1,0)+1,FALSE)</f>
        <v>コラボクエスト</v>
      </c>
      <c r="E26" s="88">
        <v>1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【初級】ミクエキスポ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コラボクエスト</v>
      </c>
      <c r="H26" s="86">
        <v>0</v>
      </c>
      <c r="I26">
        <v>26</v>
      </c>
      <c r="J26" s="85" t="s">
        <v>266</v>
      </c>
      <c r="K26" s="126" t="str">
        <f>VLOOKUP(I26,[7]stage_hints!$A:$C,3,FALSE)</f>
        <v>スキルレベルの効果</v>
      </c>
      <c r="L26" s="127" t="str">
        <f>VLOOKUP(I26,[7]stage_hints!$A:$D,4,FALSE)</f>
        <v>スキルレベルが上がると_x000D_短いターンでスキルを使うことができます</v>
      </c>
      <c r="M26" s="57" t="s">
        <v>273</v>
      </c>
    </row>
    <row r="27" spans="1:13" x14ac:dyDescent="0.15">
      <c r="A27" s="82" t="s">
        <v>265</v>
      </c>
      <c r="B27" s="83">
        <v>39005</v>
      </c>
      <c r="C27" s="84" t="str">
        <f ca="1">VLOOKUP($B27,OFFSET([2]quests!$A$1,0,0,COUNTA([2]quests!$A:$A),MATCH(C$1,[2]quests!$1:$1,0)-MATCH($B$1,[2]quests!$1:$1,0)+1),MATCH(C$1,[2]quests!$1:$1,0)-MATCH($B$1,[2]quests!$1:$1,0)+1,FALSE)</f>
        <v xml:space="preserve">ミクエキスポ </v>
      </c>
      <c r="D27" s="84" t="str">
        <f ca="1">VLOOKUP($B27,OFFSET([2]quests!$A$1,0,0,COUNTA([2]quests!$A:$A),MATCH(D$1,[2]quests!$1:$1,0)-MATCH($B$1,[2]quests!$1:$1,0)+1),MATCH(D$1,[2]quests!$1:$1,0)-MATCH($B$1,[2]quests!$1:$1,0)+1,FALSE)</f>
        <v>コラボクエスト</v>
      </c>
      <c r="E27" s="88">
        <v>1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【初級】ミクエキスポ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コラボクエスト</v>
      </c>
      <c r="H27" s="86">
        <v>0</v>
      </c>
      <c r="I27">
        <v>39</v>
      </c>
      <c r="J27" s="85" t="s">
        <v>266</v>
      </c>
      <c r="K27" s="126" t="str">
        <f>VLOOKUP(I27,[7]stage_hints!$A:$C,3,FALSE)</f>
        <v>システム適合者を確認</v>
      </c>
      <c r="L27" s="127" t="str">
        <f>VLOOKUP(I27,[7]stage_hints!$A:$D,4,FALSE)</f>
        <v>ALICEが「アナタ」を呼んでいます</v>
      </c>
      <c r="M27" s="57" t="s">
        <v>270</v>
      </c>
    </row>
    <row r="28" spans="1:13" x14ac:dyDescent="0.15">
      <c r="A28" s="82" t="s">
        <v>265</v>
      </c>
      <c r="B28" s="83">
        <v>39005</v>
      </c>
      <c r="C28" s="84" t="str">
        <f ca="1">VLOOKUP($B28,OFFSET([2]quests!$A$1,0,0,COUNTA([2]quests!$A:$A),MATCH(C$1,[2]quests!$1:$1,0)-MATCH($B$1,[2]quests!$1:$1,0)+1),MATCH(C$1,[2]quests!$1:$1,0)-MATCH($B$1,[2]quests!$1:$1,0)+1,FALSE)</f>
        <v xml:space="preserve">ミクエキスポ </v>
      </c>
      <c r="D28" s="84" t="str">
        <f ca="1">VLOOKUP($B28,OFFSET([2]quests!$A$1,0,0,COUNTA([2]quests!$A:$A),MATCH(D$1,[2]quests!$1:$1,0)-MATCH($B$1,[2]quests!$1:$1,0)+1),MATCH(D$1,[2]quests!$1:$1,0)-MATCH($B$1,[2]quests!$1:$1,0)+1,FALSE)</f>
        <v>コラボクエスト</v>
      </c>
      <c r="E28" s="88">
        <v>2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【中級】ミクエキスポ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コラボクエスト</v>
      </c>
      <c r="H28" s="86">
        <v>0</v>
      </c>
      <c r="I28">
        <v>3</v>
      </c>
      <c r="J28" s="85" t="s">
        <v>279</v>
      </c>
      <c r="K28" s="126" t="str">
        <f>VLOOKUP(I28,[7]stage_hints!$A:$C,3,FALSE)</f>
        <v>ターゲット</v>
      </c>
      <c r="L28" s="127" t="str">
        <f>VLOOKUP(I28,[7]stage_hints!$A:$D,4,FALSE)</f>
        <v>敵ユニットをタップすると_x000D_その敵を狙い撃ちできます</v>
      </c>
      <c r="M28" s="57" t="s">
        <v>273</v>
      </c>
    </row>
    <row r="29" spans="1:13" x14ac:dyDescent="0.15">
      <c r="A29" s="82" t="s">
        <v>265</v>
      </c>
      <c r="B29" s="83">
        <v>39005</v>
      </c>
      <c r="C29" s="84" t="str">
        <f ca="1">VLOOKUP($B29,OFFSET([2]quests!$A$1,0,0,COUNTA([2]quests!$A:$A),MATCH(C$1,[2]quests!$1:$1,0)-MATCH($B$1,[2]quests!$1:$1,0)+1),MATCH(C$1,[2]quests!$1:$1,0)-MATCH($B$1,[2]quests!$1:$1,0)+1,FALSE)</f>
        <v xml:space="preserve">ミクエキスポ </v>
      </c>
      <c r="D29" s="84" t="str">
        <f ca="1">VLOOKUP($B29,OFFSET([2]quests!$A$1,0,0,COUNTA([2]quests!$A:$A),MATCH(D$1,[2]quests!$1:$1,0)-MATCH($B$1,[2]quests!$1:$1,0)+1),MATCH(D$1,[2]quests!$1:$1,0)-MATCH($B$1,[2]quests!$1:$1,0)+1,FALSE)</f>
        <v>コラボクエスト</v>
      </c>
      <c r="E29" s="88">
        <v>2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【中級】ミクエキスポ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コラボクエスト</v>
      </c>
      <c r="H29" s="86">
        <v>0</v>
      </c>
      <c r="I29">
        <v>6</v>
      </c>
      <c r="J29" s="85" t="s">
        <v>279</v>
      </c>
      <c r="K29" s="126" t="str">
        <f>VLOOKUP(I29,[7]stage_hints!$A:$C,3,FALSE)</f>
        <v>ユニット強化の属性ボーナス</v>
      </c>
      <c r="L29" s="127" t="str">
        <f>VLOOKUP(I29,[7]stage_hints!$A:$D,4,FALSE)</f>
        <v>同属性ユニットを強化素材にすると_x000D_経験値が多くもらえます</v>
      </c>
      <c r="M29" s="57" t="s">
        <v>280</v>
      </c>
    </row>
    <row r="30" spans="1:13" x14ac:dyDescent="0.15">
      <c r="A30" s="82" t="s">
        <v>265</v>
      </c>
      <c r="B30" s="83">
        <v>39005</v>
      </c>
      <c r="C30" s="84" t="str">
        <f ca="1">VLOOKUP($B30,OFFSET([2]quests!$A$1,0,0,COUNTA([2]quests!$A:$A),MATCH(C$1,[2]quests!$1:$1,0)-MATCH($B$1,[2]quests!$1:$1,0)+1),MATCH(C$1,[2]quests!$1:$1,0)-MATCH($B$1,[2]quests!$1:$1,0)+1,FALSE)</f>
        <v xml:space="preserve">ミクエキスポ </v>
      </c>
      <c r="D30" s="84" t="str">
        <f ca="1">VLOOKUP($B30,OFFSET([2]quests!$A$1,0,0,COUNTA([2]quests!$A:$A),MATCH(D$1,[2]quests!$1:$1,0)-MATCH($B$1,[2]quests!$1:$1,0)+1),MATCH(D$1,[2]quests!$1:$1,0)-MATCH($B$1,[2]quests!$1:$1,0)+1,FALSE)</f>
        <v>コラボクエスト</v>
      </c>
      <c r="E30" s="88">
        <v>2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【中級】ミクエキスポ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コラボクエスト</v>
      </c>
      <c r="H30" s="86">
        <v>0</v>
      </c>
      <c r="I30">
        <v>7</v>
      </c>
      <c r="J30" s="85" t="s">
        <v>187</v>
      </c>
      <c r="K30" s="126" t="str">
        <f>VLOOKUP(I30,[7]stage_hints!$A:$C,3,FALSE)</f>
        <v>メタルダックで経験値を獲得</v>
      </c>
      <c r="L30" s="127" t="str">
        <f>VLOOKUP(I30,[7]stage_hints!$A:$D,4,FALSE)</f>
        <v>「メタルなアヒル」を強化素材にすると_x000D_大量の経験値がもらえます</v>
      </c>
      <c r="M30" s="57" t="s">
        <v>189</v>
      </c>
    </row>
    <row r="31" spans="1:13" x14ac:dyDescent="0.15">
      <c r="A31" s="82" t="s">
        <v>265</v>
      </c>
      <c r="B31" s="83">
        <v>39005</v>
      </c>
      <c r="C31" s="84" t="str">
        <f ca="1">VLOOKUP($B31,OFFSET([2]quests!$A$1,0,0,COUNTA([2]quests!$A:$A),MATCH(C$1,[2]quests!$1:$1,0)-MATCH($B$1,[2]quests!$1:$1,0)+1),MATCH(C$1,[2]quests!$1:$1,0)-MATCH($B$1,[2]quests!$1:$1,0)+1,FALSE)</f>
        <v xml:space="preserve">ミクエキスポ </v>
      </c>
      <c r="D31" s="84" t="str">
        <f ca="1">VLOOKUP($B31,OFFSET([2]quests!$A$1,0,0,COUNTA([2]quests!$A:$A),MATCH(D$1,[2]quests!$1:$1,0)-MATCH($B$1,[2]quests!$1:$1,0)+1),MATCH(D$1,[2]quests!$1:$1,0)-MATCH($B$1,[2]quests!$1:$1,0)+1,FALSE)</f>
        <v>コラボクエスト</v>
      </c>
      <c r="E31" s="88">
        <v>2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【中級】ミクエキスポ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コラボクエスト</v>
      </c>
      <c r="H31" s="86">
        <v>0</v>
      </c>
      <c r="I31">
        <v>8</v>
      </c>
      <c r="J31" s="85" t="s">
        <v>279</v>
      </c>
      <c r="K31" s="126" t="str">
        <f>VLOOKUP(I31,[7]stage_hints!$A:$C,3,FALSE)</f>
        <v>ゲリラクエストは要チェック</v>
      </c>
      <c r="L31" s="127" t="str">
        <f>VLOOKUP(I31,[7]stage_hints!$A:$D,4,FALSE)</f>
        <v>時間限定の「アヒル捕獲作戦」では_x000D_経験値素材ユニットが多く手に入ります</v>
      </c>
      <c r="M31" s="57" t="s">
        <v>280</v>
      </c>
    </row>
    <row r="32" spans="1:13" x14ac:dyDescent="0.15">
      <c r="A32" s="82" t="s">
        <v>265</v>
      </c>
      <c r="B32" s="83">
        <v>39005</v>
      </c>
      <c r="C32" s="84" t="str">
        <f ca="1">VLOOKUP($B32,OFFSET([2]quests!$A$1,0,0,COUNTA([2]quests!$A:$A),MATCH(C$1,[2]quests!$1:$1,0)-MATCH($B$1,[2]quests!$1:$1,0)+1),MATCH(C$1,[2]quests!$1:$1,0)-MATCH($B$1,[2]quests!$1:$1,0)+1,FALSE)</f>
        <v xml:space="preserve">ミクエキスポ </v>
      </c>
      <c r="D32" s="84" t="str">
        <f ca="1">VLOOKUP($B32,OFFSET([2]quests!$A$1,0,0,COUNTA([2]quests!$A:$A),MATCH(D$1,[2]quests!$1:$1,0)-MATCH($B$1,[2]quests!$1:$1,0)+1),MATCH(D$1,[2]quests!$1:$1,0)-MATCH($B$1,[2]quests!$1:$1,0)+1,FALSE)</f>
        <v>コラボクエスト</v>
      </c>
      <c r="E32" s="88">
        <v>2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【中級】ミクエキスポ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コラボクエスト</v>
      </c>
      <c r="H32" s="86">
        <v>0</v>
      </c>
      <c r="I32">
        <v>9</v>
      </c>
      <c r="J32" s="85" t="s">
        <v>279</v>
      </c>
      <c r="K32" s="126" t="str">
        <f>VLOOKUP(I32,[7]stage_hints!$A:$C,3,FALSE)</f>
        <v>ゴールドダックでビットを獲得</v>
      </c>
      <c r="L32" s="127" t="str">
        <f>VLOOKUP(I32,[7]stage_hints!$A:$D,4,FALSE)</f>
        <v>「ゴールドなアヒル」を売却すると_x000D_大量のビットがもらえます</v>
      </c>
      <c r="M32" s="57" t="s">
        <v>280</v>
      </c>
    </row>
    <row r="33" spans="1:13" x14ac:dyDescent="0.15">
      <c r="A33" s="82" t="s">
        <v>265</v>
      </c>
      <c r="B33" s="83">
        <v>39005</v>
      </c>
      <c r="C33" s="84" t="str">
        <f ca="1">VLOOKUP($B33,OFFSET([2]quests!$A$1,0,0,COUNTA([2]quests!$A:$A),MATCH(C$1,[2]quests!$1:$1,0)-MATCH($B$1,[2]quests!$1:$1,0)+1),MATCH(C$1,[2]quests!$1:$1,0)-MATCH($B$1,[2]quests!$1:$1,0)+1,FALSE)</f>
        <v xml:space="preserve">ミクエキスポ </v>
      </c>
      <c r="D33" s="84" t="str">
        <f ca="1">VLOOKUP($B33,OFFSET([2]quests!$A$1,0,0,COUNTA([2]quests!$A:$A),MATCH(D$1,[2]quests!$1:$1,0)-MATCH($B$1,[2]quests!$1:$1,0)+1),MATCH(D$1,[2]quests!$1:$1,0)-MATCH($B$1,[2]quests!$1:$1,0)+1,FALSE)</f>
        <v>コラボクエスト</v>
      </c>
      <c r="E33" s="88">
        <v>2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【中級】ミクエキスポ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コラボクエスト</v>
      </c>
      <c r="H33" s="86">
        <v>0</v>
      </c>
      <c r="I33">
        <v>10</v>
      </c>
      <c r="J33" s="85" t="s">
        <v>279</v>
      </c>
      <c r="K33" s="126" t="str">
        <f>VLOOKUP(I33,[7]stage_hints!$A:$C,3,FALSE)</f>
        <v>土日に大量のビットを獲得</v>
      </c>
      <c r="L33" s="127" t="str">
        <f>VLOOKUP(I33,[7]stage_hints!$A:$D,4,FALSE)</f>
        <v>土日限定の「ゴールドカジノ」では_x000D_売却素材ユニットが多く手に入ります</v>
      </c>
      <c r="M33" s="57" t="s">
        <v>280</v>
      </c>
    </row>
    <row r="34" spans="1:13" x14ac:dyDescent="0.15">
      <c r="A34" s="82" t="s">
        <v>265</v>
      </c>
      <c r="B34" s="83">
        <v>39005</v>
      </c>
      <c r="C34" s="84" t="str">
        <f ca="1">VLOOKUP($B34,OFFSET([2]quests!$A$1,0,0,COUNTA([2]quests!$A:$A),MATCH(C$1,[2]quests!$1:$1,0)-MATCH($B$1,[2]quests!$1:$1,0)+1),MATCH(C$1,[2]quests!$1:$1,0)-MATCH($B$1,[2]quests!$1:$1,0)+1,FALSE)</f>
        <v xml:space="preserve">ミクエキスポ </v>
      </c>
      <c r="D34" s="84" t="str">
        <f ca="1">VLOOKUP($B34,OFFSET([2]quests!$A$1,0,0,COUNTA([2]quests!$A:$A),MATCH(D$1,[2]quests!$1:$1,0)-MATCH($B$1,[2]quests!$1:$1,0)+1),MATCH(D$1,[2]quests!$1:$1,0)-MATCH($B$1,[2]quests!$1:$1,0)+1,FALSE)</f>
        <v>コラボクエスト</v>
      </c>
      <c r="E34" s="88">
        <v>2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【中級】ミクエキスポ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コラボクエスト</v>
      </c>
      <c r="H34" s="86">
        <v>0</v>
      </c>
      <c r="I34">
        <v>11</v>
      </c>
      <c r="J34" s="85" t="s">
        <v>279</v>
      </c>
      <c r="K34" s="126" t="str">
        <f>VLOOKUP(I34,[7]stage_hints!$A:$C,3,FALSE)</f>
        <v>ランク解放クエスト</v>
      </c>
      <c r="L34" s="127" t="str">
        <f>VLOOKUP(I34,[7]stage_hints!$A:$D,4,FALSE)</f>
        <v>一定ランクに到達すると_x000D_報酬付きのランク開放クエストが現れます</v>
      </c>
      <c r="M34" s="57" t="s">
        <v>280</v>
      </c>
    </row>
    <row r="35" spans="1:13" x14ac:dyDescent="0.15">
      <c r="A35" s="82" t="s">
        <v>265</v>
      </c>
      <c r="B35" s="83">
        <v>39005</v>
      </c>
      <c r="C35" s="84" t="str">
        <f ca="1">VLOOKUP($B35,OFFSET([2]quests!$A$1,0,0,COUNTA([2]quests!$A:$A),MATCH(C$1,[2]quests!$1:$1,0)-MATCH($B$1,[2]quests!$1:$1,0)+1),MATCH(C$1,[2]quests!$1:$1,0)-MATCH($B$1,[2]quests!$1:$1,0)+1,FALSE)</f>
        <v xml:space="preserve">ミクエキスポ </v>
      </c>
      <c r="D35" s="84" t="str">
        <f ca="1">VLOOKUP($B35,OFFSET([2]quests!$A$1,0,0,COUNTA([2]quests!$A:$A),MATCH(D$1,[2]quests!$1:$1,0)-MATCH($B$1,[2]quests!$1:$1,0)+1),MATCH(D$1,[2]quests!$1:$1,0)-MATCH($B$1,[2]quests!$1:$1,0)+1,FALSE)</f>
        <v>コラボクエスト</v>
      </c>
      <c r="E35" s="88">
        <v>2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【中級】ミクエキスポ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コラボクエスト</v>
      </c>
      <c r="H35" s="86">
        <v>0</v>
      </c>
      <c r="I35">
        <v>12</v>
      </c>
      <c r="J35" s="85" t="s">
        <v>279</v>
      </c>
      <c r="K35" s="126" t="str">
        <f>VLOOKUP(I35,[7]stage_hints!$A:$C,3,FALSE)</f>
        <v>ユニットのお気に入り登録</v>
      </c>
      <c r="L35" s="127" t="str">
        <f>VLOOKUP(I35,[7]stage_hints!$A:$D,4,FALSE)</f>
        <v>大事なユニットを誤って消さないように_x000D_フォルダから「お気に入り登録」しましょう</v>
      </c>
      <c r="M35" s="57" t="s">
        <v>280</v>
      </c>
    </row>
    <row r="36" spans="1:13" x14ac:dyDescent="0.15">
      <c r="A36" s="82" t="s">
        <v>265</v>
      </c>
      <c r="B36" s="83">
        <v>39005</v>
      </c>
      <c r="C36" s="84" t="str">
        <f ca="1">VLOOKUP($B36,OFFSET([2]quests!$A$1,0,0,COUNTA([2]quests!$A:$A),MATCH(C$1,[2]quests!$1:$1,0)-MATCH($B$1,[2]quests!$1:$1,0)+1),MATCH(C$1,[2]quests!$1:$1,0)-MATCH($B$1,[2]quests!$1:$1,0)+1,FALSE)</f>
        <v xml:space="preserve">ミクエキスポ </v>
      </c>
      <c r="D36" s="84" t="str">
        <f ca="1">VLOOKUP($B36,OFFSET([2]quests!$A$1,0,0,COUNTA([2]quests!$A:$A),MATCH(D$1,[2]quests!$1:$1,0)-MATCH($B$1,[2]quests!$1:$1,0)+1),MATCH(D$1,[2]quests!$1:$1,0)-MATCH($B$1,[2]quests!$1:$1,0)+1,FALSE)</f>
        <v>コラボクエスト</v>
      </c>
      <c r="E36" s="88">
        <v>2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【中級】ミクエキスポ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コラボクエスト</v>
      </c>
      <c r="H36" s="86">
        <v>0</v>
      </c>
      <c r="I36">
        <v>13</v>
      </c>
      <c r="J36" s="85" t="s">
        <v>279</v>
      </c>
      <c r="K36" s="126" t="str">
        <f>VLOOKUP(I36,[7]stage_hints!$A:$C,3,FALSE)</f>
        <v>ユニットの覚醒</v>
      </c>
      <c r="L36" s="127" t="str">
        <f>VLOOKUP(I36,[7]stage_hints!$A:$D,4,FALSE)</f>
        <v>ユニットを覚醒させると_x000D_比べものにならない強さが手に入ります</v>
      </c>
      <c r="M36" s="57" t="s">
        <v>280</v>
      </c>
    </row>
    <row r="37" spans="1:13" x14ac:dyDescent="0.15">
      <c r="A37" s="82" t="s">
        <v>265</v>
      </c>
      <c r="B37" s="83">
        <v>39005</v>
      </c>
      <c r="C37" s="84" t="str">
        <f ca="1">VLOOKUP($B37,OFFSET([2]quests!$A$1,0,0,COUNTA([2]quests!$A:$A),MATCH(C$1,[2]quests!$1:$1,0)-MATCH($B$1,[2]quests!$1:$1,0)+1),MATCH(C$1,[2]quests!$1:$1,0)-MATCH($B$1,[2]quests!$1:$1,0)+1,FALSE)</f>
        <v xml:space="preserve">ミクエキスポ </v>
      </c>
      <c r="D37" s="84" t="str">
        <f ca="1">VLOOKUP($B37,OFFSET([2]quests!$A$1,0,0,COUNTA([2]quests!$A:$A),MATCH(D$1,[2]quests!$1:$1,0)-MATCH($B$1,[2]quests!$1:$1,0)+1),MATCH(D$1,[2]quests!$1:$1,0)-MATCH($B$1,[2]quests!$1:$1,0)+1,FALSE)</f>
        <v>コラボクエスト</v>
      </c>
      <c r="E37" s="88">
        <v>2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【中級】ミクエキスポ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コラボクエスト</v>
      </c>
      <c r="H37" s="86">
        <v>0</v>
      </c>
      <c r="I37">
        <v>14</v>
      </c>
      <c r="J37" s="85" t="s">
        <v>279</v>
      </c>
      <c r="K37" s="126" t="str">
        <f>VLOOKUP(I37,[7]stage_hints!$A:$C,3,FALSE)</f>
        <v>覚醒するにはレベルを最大に</v>
      </c>
      <c r="L37" s="127" t="str">
        <f>VLOOKUP(I37,[7]stage_hints!$A:$D,4,FALSE)</f>
        <v>覚醒するにはユニットのレベルを_x000D_最大まで上げる必要があります</v>
      </c>
      <c r="M37" s="57" t="s">
        <v>280</v>
      </c>
    </row>
    <row r="38" spans="1:13" x14ac:dyDescent="0.15">
      <c r="A38" s="82" t="s">
        <v>265</v>
      </c>
      <c r="B38" s="83">
        <v>39005</v>
      </c>
      <c r="C38" s="84" t="str">
        <f ca="1">VLOOKUP($B38,OFFSET([2]quests!$A$1,0,0,COUNTA([2]quests!$A:$A),MATCH(C$1,[2]quests!$1:$1,0)-MATCH($B$1,[2]quests!$1:$1,0)+1),MATCH(C$1,[2]quests!$1:$1,0)-MATCH($B$1,[2]quests!$1:$1,0)+1,FALSE)</f>
        <v xml:space="preserve">ミクエキスポ </v>
      </c>
      <c r="D38" s="84" t="str">
        <f ca="1">VLOOKUP($B38,OFFSET([2]quests!$A$1,0,0,COUNTA([2]quests!$A:$A),MATCH(D$1,[2]quests!$1:$1,0)-MATCH($B$1,[2]quests!$1:$1,0)+1),MATCH(D$1,[2]quests!$1:$1,0)-MATCH($B$1,[2]quests!$1:$1,0)+1,FALSE)</f>
        <v>コラボクエスト</v>
      </c>
      <c r="E38" s="88">
        <v>2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【中級】ミクエキスポ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コラボクエスト</v>
      </c>
      <c r="H38" s="86">
        <v>0</v>
      </c>
      <c r="I38">
        <v>15</v>
      </c>
      <c r="J38" s="85" t="s">
        <v>279</v>
      </c>
      <c r="K38" s="126" t="str">
        <f>VLOOKUP(I38,[7]stage_hints!$A:$C,3,FALSE)</f>
        <v>覚醒素材を獲得</v>
      </c>
      <c r="L38" s="127" t="str">
        <f>VLOOKUP(I38,[7]stage_hints!$A:$D,4,FALSE)</f>
        <v>「曜日クエスト」では_x000D_ユニットの覚醒に必要な素材が手に入ります</v>
      </c>
      <c r="M38" s="57" t="s">
        <v>280</v>
      </c>
    </row>
    <row r="39" spans="1:13" x14ac:dyDescent="0.15">
      <c r="A39" s="82" t="s">
        <v>265</v>
      </c>
      <c r="B39" s="83">
        <v>39005</v>
      </c>
      <c r="C39" s="84" t="str">
        <f ca="1">VLOOKUP($B39,OFFSET([2]quests!$A$1,0,0,COUNTA([2]quests!$A:$A),MATCH(C$1,[2]quests!$1:$1,0)-MATCH($B$1,[2]quests!$1:$1,0)+1),MATCH(C$1,[2]quests!$1:$1,0)-MATCH($B$1,[2]quests!$1:$1,0)+1,FALSE)</f>
        <v xml:space="preserve">ミクエキスポ </v>
      </c>
      <c r="D39" s="84" t="str">
        <f ca="1">VLOOKUP($B39,OFFSET([2]quests!$A$1,0,0,COUNTA([2]quests!$A:$A),MATCH(D$1,[2]quests!$1:$1,0)-MATCH($B$1,[2]quests!$1:$1,0)+1),MATCH(D$1,[2]quests!$1:$1,0)-MATCH($B$1,[2]quests!$1:$1,0)+1,FALSE)</f>
        <v>コラボクエスト</v>
      </c>
      <c r="E39" s="88">
        <v>2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【中級】ミクエキスポ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コラボクエスト</v>
      </c>
      <c r="H39" s="86">
        <v>0</v>
      </c>
      <c r="I39">
        <v>16</v>
      </c>
      <c r="J39" s="85" t="s">
        <v>281</v>
      </c>
      <c r="K39" s="126" t="str">
        <f>VLOOKUP(I39,[7]stage_hints!$A:$C,3,FALSE)</f>
        <v>マルチプレイのメリット（その1）</v>
      </c>
      <c r="L39" s="127" t="str">
        <f>VLOOKUP(I39,[7]stage_hints!$A:$D,4,FALSE)</f>
        <v>他のプレイヤーとマルチプレイで遊ぶと_x000D_ポリゴンがもらえます（100人まで）</v>
      </c>
      <c r="M39" s="57" t="s">
        <v>189</v>
      </c>
    </row>
    <row r="40" spans="1:13" x14ac:dyDescent="0.15">
      <c r="A40" s="82" t="s">
        <v>265</v>
      </c>
      <c r="B40" s="83">
        <v>39005</v>
      </c>
      <c r="C40" s="84" t="str">
        <f ca="1">VLOOKUP($B40,OFFSET([2]quests!$A$1,0,0,COUNTA([2]quests!$A:$A),MATCH(C$1,[2]quests!$1:$1,0)-MATCH($B$1,[2]quests!$1:$1,0)+1),MATCH(C$1,[2]quests!$1:$1,0)-MATCH($B$1,[2]quests!$1:$1,0)+1,FALSE)</f>
        <v xml:space="preserve">ミクエキスポ </v>
      </c>
      <c r="D40" s="84" t="str">
        <f ca="1">VLOOKUP($B40,OFFSET([2]quests!$A$1,0,0,COUNTA([2]quests!$A:$A),MATCH(D$1,[2]quests!$1:$1,0)-MATCH($B$1,[2]quests!$1:$1,0)+1),MATCH(D$1,[2]quests!$1:$1,0)-MATCH($B$1,[2]quests!$1:$1,0)+1,FALSE)</f>
        <v>コラボクエスト</v>
      </c>
      <c r="E40" s="88">
        <v>2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【中級】ミクエキスポ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コラボクエスト</v>
      </c>
      <c r="H40" s="86">
        <v>0</v>
      </c>
      <c r="I40">
        <v>17</v>
      </c>
      <c r="J40" s="85" t="s">
        <v>281</v>
      </c>
      <c r="K40" s="126" t="str">
        <f>VLOOKUP(I40,[7]stage_hints!$A:$C,3,FALSE)</f>
        <v>リンクガチャ</v>
      </c>
      <c r="L40" s="127" t="str">
        <f>VLOOKUP(I40,[7]stage_hints!$A:$D,4,FALSE)</f>
        <v>無料のリンクガチャを回して_x000D_経験値素材や売却素材を獲得しましょう</v>
      </c>
      <c r="M40" s="57" t="s">
        <v>189</v>
      </c>
    </row>
    <row r="41" spans="1:13" x14ac:dyDescent="0.15">
      <c r="A41" s="82" t="s">
        <v>265</v>
      </c>
      <c r="B41" s="83">
        <v>39005</v>
      </c>
      <c r="C41" s="84" t="str">
        <f ca="1">VLOOKUP($B41,OFFSET([2]quests!$A$1,0,0,COUNTA([2]quests!$A:$A),MATCH(C$1,[2]quests!$1:$1,0)-MATCH($B$1,[2]quests!$1:$1,0)+1),MATCH(C$1,[2]quests!$1:$1,0)-MATCH($B$1,[2]quests!$1:$1,0)+1,FALSE)</f>
        <v xml:space="preserve">ミクエキスポ </v>
      </c>
      <c r="D41" s="84" t="str">
        <f ca="1">VLOOKUP($B41,OFFSET([2]quests!$A$1,0,0,COUNTA([2]quests!$A:$A),MATCH(D$1,[2]quests!$1:$1,0)-MATCH($B$1,[2]quests!$1:$1,0)+1),MATCH(D$1,[2]quests!$1:$1,0)-MATCH($B$1,[2]quests!$1:$1,0)+1,FALSE)</f>
        <v>コラボクエスト</v>
      </c>
      <c r="E41" s="88">
        <v>2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【中級】ミクエキスポ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コラボクエスト</v>
      </c>
      <c r="H41" s="86">
        <v>0</v>
      </c>
      <c r="I41">
        <v>18</v>
      </c>
      <c r="J41" s="85" t="s">
        <v>281</v>
      </c>
      <c r="K41" s="126" t="str">
        <f>VLOOKUP(I41,[7]stage_hints!$A:$C,3,FALSE)</f>
        <v>マルチプレイのメリット（その2）</v>
      </c>
      <c r="L41" s="127" t="str">
        <f>VLOOKUP(I41,[7]stage_hints!$A:$D,4,FALSE)</f>
        <v>マルチプレイならリンクが2倍もらえます_x000D_リンクガチャをたくさん回しましょう</v>
      </c>
      <c r="M41" s="57" t="s">
        <v>189</v>
      </c>
    </row>
    <row r="42" spans="1:13" x14ac:dyDescent="0.15">
      <c r="A42" s="82" t="s">
        <v>265</v>
      </c>
      <c r="B42" s="83">
        <v>39005</v>
      </c>
      <c r="C42" s="84" t="str">
        <f ca="1">VLOOKUP($B42,OFFSET([2]quests!$A$1,0,0,COUNTA([2]quests!$A:$A),MATCH(C$1,[2]quests!$1:$1,0)-MATCH($B$1,[2]quests!$1:$1,0)+1),MATCH(C$1,[2]quests!$1:$1,0)-MATCH($B$1,[2]quests!$1:$1,0)+1,FALSE)</f>
        <v xml:space="preserve">ミクエキスポ </v>
      </c>
      <c r="D42" s="84" t="str">
        <f ca="1">VLOOKUP($B42,OFFSET([2]quests!$A$1,0,0,COUNTA([2]quests!$A:$A),MATCH(D$1,[2]quests!$1:$1,0)-MATCH($B$1,[2]quests!$1:$1,0)+1),MATCH(D$1,[2]quests!$1:$1,0)-MATCH($B$1,[2]quests!$1:$1,0)+1,FALSE)</f>
        <v>コラボクエスト</v>
      </c>
      <c r="E42" s="88">
        <v>2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【中級】ミクエキスポ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コラボクエスト</v>
      </c>
      <c r="H42" s="86">
        <v>0</v>
      </c>
      <c r="I42">
        <v>19</v>
      </c>
      <c r="J42" s="85" t="s">
        <v>281</v>
      </c>
      <c r="K42" s="126" t="str">
        <f>VLOOKUP(I42,[7]stage_hints!$A:$C,3,FALSE)</f>
        <v>ソロ専用チャレンジタワー</v>
      </c>
      <c r="L42" s="127" t="str">
        <f>VLOOKUP(I42,[7]stage_hints!$A:$D,4,FALSE)</f>
        <v>ソロ専用の「チャレンジタワー」では_x000D_各フロアごとにクリア報酬がもらえます</v>
      </c>
      <c r="M42" s="57" t="s">
        <v>189</v>
      </c>
    </row>
    <row r="43" spans="1:13" x14ac:dyDescent="0.15">
      <c r="A43" s="82" t="s">
        <v>265</v>
      </c>
      <c r="B43" s="83">
        <v>39005</v>
      </c>
      <c r="C43" s="84" t="str">
        <f ca="1">VLOOKUP($B43,OFFSET([2]quests!$A$1,0,0,COUNTA([2]quests!$A:$A),MATCH(C$1,[2]quests!$1:$1,0)-MATCH($B$1,[2]quests!$1:$1,0)+1),MATCH(C$1,[2]quests!$1:$1,0)-MATCH($B$1,[2]quests!$1:$1,0)+1,FALSE)</f>
        <v xml:space="preserve">ミクエキスポ </v>
      </c>
      <c r="D43" s="84" t="str">
        <f ca="1">VLOOKUP($B43,OFFSET([2]quests!$A$1,0,0,COUNTA([2]quests!$A:$A),MATCH(D$1,[2]quests!$1:$1,0)-MATCH($B$1,[2]quests!$1:$1,0)+1),MATCH(D$1,[2]quests!$1:$1,0)-MATCH($B$1,[2]quests!$1:$1,0)+1,FALSE)</f>
        <v>コラボクエスト</v>
      </c>
      <c r="E43" s="88">
        <v>2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【中級】ミクエキスポ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コラボクエスト</v>
      </c>
      <c r="H43" s="86">
        <v>0</v>
      </c>
      <c r="I43">
        <v>20</v>
      </c>
      <c r="J43" s="85" t="s">
        <v>281</v>
      </c>
      <c r="K43" s="126" t="str">
        <f>VLOOKUP(I43,[7]stage_hints!$A:$C,3,FALSE)</f>
        <v>マルチプレイのメリット（その3）</v>
      </c>
      <c r="L43" s="127" t="str">
        <f>VLOOKUP(I43,[7]stage_hints!$A:$D,4,FALSE)</f>
        <v>マルチプレイへの参加はエナジー消費ゼロ_x000D_いつでも好きなだけ遊ぶことができます</v>
      </c>
      <c r="M43" s="57" t="s">
        <v>189</v>
      </c>
    </row>
    <row r="44" spans="1:13" x14ac:dyDescent="0.15">
      <c r="A44" s="82" t="s">
        <v>265</v>
      </c>
      <c r="B44" s="83">
        <v>39005</v>
      </c>
      <c r="C44" s="84" t="str">
        <f ca="1">VLOOKUP($B44,OFFSET([2]quests!$A$1,0,0,COUNTA([2]quests!$A:$A),MATCH(C$1,[2]quests!$1:$1,0)-MATCH($B$1,[2]quests!$1:$1,0)+1),MATCH(C$1,[2]quests!$1:$1,0)-MATCH($B$1,[2]quests!$1:$1,0)+1,FALSE)</f>
        <v xml:space="preserve">ミクエキスポ </v>
      </c>
      <c r="D44" s="84" t="str">
        <f ca="1">VLOOKUP($B44,OFFSET([2]quests!$A$1,0,0,COUNTA([2]quests!$A:$A),MATCH(D$1,[2]quests!$1:$1,0)-MATCH($B$1,[2]quests!$1:$1,0)+1),MATCH(D$1,[2]quests!$1:$1,0)-MATCH($B$1,[2]quests!$1:$1,0)+1,FALSE)</f>
        <v>コラボクエスト</v>
      </c>
      <c r="E44" s="88">
        <v>2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【中級】ミクエキスポ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コラボクエスト</v>
      </c>
      <c r="H44" s="86">
        <v>0</v>
      </c>
      <c r="I44">
        <v>21</v>
      </c>
      <c r="J44" s="85" t="s">
        <v>281</v>
      </c>
      <c r="K44" s="126" t="str">
        <f>VLOOKUP(I44,[7]stage_hints!$A:$C,3,FALSE)</f>
        <v>スキルを有効に</v>
      </c>
      <c r="L44" s="127" t="str">
        <f>VLOOKUP(I44,[7]stage_hints!$A:$D,4,FALSE)</f>
        <v>ターン経過でユニットのスキルが使えます_x000D_強力スキルでバトルを有利に進めましょう</v>
      </c>
      <c r="M44" s="57" t="s">
        <v>189</v>
      </c>
    </row>
    <row r="45" spans="1:13" x14ac:dyDescent="0.15">
      <c r="A45" s="82" t="s">
        <v>265</v>
      </c>
      <c r="B45" s="83">
        <v>39005</v>
      </c>
      <c r="C45" s="84" t="str">
        <f ca="1">VLOOKUP($B45,OFFSET([2]quests!$A$1,0,0,COUNTA([2]quests!$A:$A),MATCH(C$1,[2]quests!$1:$1,0)-MATCH($B$1,[2]quests!$1:$1,0)+1),MATCH(C$1,[2]quests!$1:$1,0)-MATCH($B$1,[2]quests!$1:$1,0)+1,FALSE)</f>
        <v xml:space="preserve">ミクエキスポ </v>
      </c>
      <c r="D45" s="84" t="str">
        <f ca="1">VLOOKUP($B45,OFFSET([2]quests!$A$1,0,0,COUNTA([2]quests!$A:$A),MATCH(D$1,[2]quests!$1:$1,0)-MATCH($B$1,[2]quests!$1:$1,0)+1),MATCH(D$1,[2]quests!$1:$1,0)-MATCH($B$1,[2]quests!$1:$1,0)+1,FALSE)</f>
        <v>コラボクエスト</v>
      </c>
      <c r="E45" s="88">
        <v>2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【中級】ミクエキスポ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コラボクエスト</v>
      </c>
      <c r="H45" s="86">
        <v>0</v>
      </c>
      <c r="I45">
        <v>22</v>
      </c>
      <c r="J45" s="85" t="s">
        <v>281</v>
      </c>
      <c r="K45" s="126" t="str">
        <f>VLOOKUP(I45,[7]stage_hints!$A:$C,3,FALSE)</f>
        <v>フィーバーで一発逆転（その1）</v>
      </c>
      <c r="L45" s="127" t="str">
        <f>VLOOKUP(I45,[7]stage_hints!$A:$D,4,FALSE)</f>
        <v>フィーバーは攻撃と回復を兼ね備えます_x000D_ピンチからの一発逆転を狙いましょう</v>
      </c>
      <c r="M45" s="57" t="s">
        <v>189</v>
      </c>
    </row>
    <row r="46" spans="1:13" x14ac:dyDescent="0.15">
      <c r="A46" s="82" t="s">
        <v>265</v>
      </c>
      <c r="B46" s="83">
        <v>39005</v>
      </c>
      <c r="C46" s="84" t="str">
        <f ca="1">VLOOKUP($B46,OFFSET([2]quests!$A$1,0,0,COUNTA([2]quests!$A:$A),MATCH(C$1,[2]quests!$1:$1,0)-MATCH($B$1,[2]quests!$1:$1,0)+1),MATCH(C$1,[2]quests!$1:$1,0)-MATCH($B$1,[2]quests!$1:$1,0)+1,FALSE)</f>
        <v xml:space="preserve">ミクエキスポ </v>
      </c>
      <c r="D46" s="84" t="str">
        <f ca="1">VLOOKUP($B46,OFFSET([2]quests!$A$1,0,0,COUNTA([2]quests!$A:$A),MATCH(D$1,[2]quests!$1:$1,0)-MATCH($B$1,[2]quests!$1:$1,0)+1),MATCH(D$1,[2]quests!$1:$1,0)-MATCH($B$1,[2]quests!$1:$1,0)+1,FALSE)</f>
        <v>コラボクエスト</v>
      </c>
      <c r="E46" s="88">
        <v>2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【中級】ミクエキスポ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コラボクエスト</v>
      </c>
      <c r="H46" s="86">
        <v>0</v>
      </c>
      <c r="I46">
        <v>23</v>
      </c>
      <c r="J46" s="85" t="s">
        <v>281</v>
      </c>
      <c r="K46" s="126" t="str">
        <f>VLOOKUP(I46,[7]stage_hints!$A:$C,3,FALSE)</f>
        <v>フィーバーで一発逆転（その2）</v>
      </c>
      <c r="L46" s="127" t="str">
        <f>VLOOKUP(I46,[7]stage_hints!$A:$D,4,FALSE)</f>
        <v>フィーバー中は虹色のボムパネルを狙って_x000D_画面上のパネルを一気に破壊しましょう</v>
      </c>
      <c r="M46" s="57" t="s">
        <v>189</v>
      </c>
    </row>
    <row r="47" spans="1:13" x14ac:dyDescent="0.15">
      <c r="A47" s="82" t="s">
        <v>265</v>
      </c>
      <c r="B47" s="83">
        <v>39005</v>
      </c>
      <c r="C47" s="84" t="str">
        <f ca="1">VLOOKUP($B47,OFFSET([2]quests!$A$1,0,0,COUNTA([2]quests!$A:$A),MATCH(C$1,[2]quests!$1:$1,0)-MATCH($B$1,[2]quests!$1:$1,0)+1),MATCH(C$1,[2]quests!$1:$1,0)-MATCH($B$1,[2]quests!$1:$1,0)+1,FALSE)</f>
        <v xml:space="preserve">ミクエキスポ </v>
      </c>
      <c r="D47" s="84" t="str">
        <f ca="1">VLOOKUP($B47,OFFSET([2]quests!$A$1,0,0,COUNTA([2]quests!$A:$A),MATCH(D$1,[2]quests!$1:$1,0)-MATCH($B$1,[2]quests!$1:$1,0)+1),MATCH(D$1,[2]quests!$1:$1,0)-MATCH($B$1,[2]quests!$1:$1,0)+1,FALSE)</f>
        <v>コラボクエスト</v>
      </c>
      <c r="E47" s="88">
        <v>2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【中級】ミクエキスポ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コラボクエスト</v>
      </c>
      <c r="H47" s="86">
        <v>0</v>
      </c>
      <c r="I47">
        <v>24</v>
      </c>
      <c r="J47" s="85" t="s">
        <v>281</v>
      </c>
      <c r="K47" s="126" t="str">
        <f>VLOOKUP(I47,[7]stage_hints!$A:$C,3,FALSE)</f>
        <v>りんごを使って限界突破</v>
      </c>
      <c r="L47" s="127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7" t="s">
        <v>189</v>
      </c>
    </row>
    <row r="48" spans="1:13" x14ac:dyDescent="0.15">
      <c r="A48" s="82" t="s">
        <v>265</v>
      </c>
      <c r="B48" s="83">
        <v>39005</v>
      </c>
      <c r="C48" s="84" t="str">
        <f ca="1">VLOOKUP($B48,OFFSET([2]quests!$A$1,0,0,COUNTA([2]quests!$A:$A),MATCH(C$1,[2]quests!$1:$1,0)-MATCH($B$1,[2]quests!$1:$1,0)+1),MATCH(C$1,[2]quests!$1:$1,0)-MATCH($B$1,[2]quests!$1:$1,0)+1,FALSE)</f>
        <v xml:space="preserve">ミクエキスポ </v>
      </c>
      <c r="D48" s="84" t="str">
        <f ca="1">VLOOKUP($B48,OFFSET([2]quests!$A$1,0,0,COUNTA([2]quests!$A:$A),MATCH(D$1,[2]quests!$1:$1,0)-MATCH($B$1,[2]quests!$1:$1,0)+1),MATCH(D$1,[2]quests!$1:$1,0)-MATCH($B$1,[2]quests!$1:$1,0)+1,FALSE)</f>
        <v>コラボクエスト</v>
      </c>
      <c r="E48" s="88">
        <v>2</v>
      </c>
      <c r="F48" s="84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【中級】ミクエキスポ</v>
      </c>
      <c r="G48" s="84" t="str">
        <f ca="1">VLOOKUP($B48&amp;"_"&amp;$E48,OFFSET([2]stages!$A$1,0,0,COUNTA([2]stages!$A:$A),MATCH(G$1,[2]stages!$2:$2,0)-MATCH("temp_stage",[2]stages!$2:$2,0)+1),MATCH(G$1,[2]stages!$2:$2,0)-MATCH("temp_stage",[2]stages!$2:$2,0)+1,FALSE)</f>
        <v>コラボクエスト</v>
      </c>
      <c r="H48" s="86">
        <v>0</v>
      </c>
      <c r="I48">
        <v>25</v>
      </c>
      <c r="J48" s="85" t="s">
        <v>281</v>
      </c>
      <c r="K48" s="126" t="str">
        <f>VLOOKUP(I48,[7]stage_hints!$A:$C,3,FALSE)</f>
        <v>スキルレベルアップ</v>
      </c>
      <c r="L48" s="127" t="str">
        <f>VLOOKUP(I48,[7]stage_hints!$A:$D,4,FALSE)</f>
        <v>「クリスタルのりんご」を強化に使うと_x000D_スキルレベルを上げることができます</v>
      </c>
      <c r="M48" s="57" t="s">
        <v>189</v>
      </c>
    </row>
    <row r="49" spans="1:13" x14ac:dyDescent="0.15">
      <c r="A49" s="82" t="s">
        <v>265</v>
      </c>
      <c r="B49" s="83">
        <v>39005</v>
      </c>
      <c r="C49" s="84" t="str">
        <f ca="1">VLOOKUP($B49,OFFSET([2]quests!$A$1,0,0,COUNTA([2]quests!$A:$A),MATCH(C$1,[2]quests!$1:$1,0)-MATCH($B$1,[2]quests!$1:$1,0)+1),MATCH(C$1,[2]quests!$1:$1,0)-MATCH($B$1,[2]quests!$1:$1,0)+1,FALSE)</f>
        <v xml:space="preserve">ミクエキスポ </v>
      </c>
      <c r="D49" s="84" t="str">
        <f ca="1">VLOOKUP($B49,OFFSET([2]quests!$A$1,0,0,COUNTA([2]quests!$A:$A),MATCH(D$1,[2]quests!$1:$1,0)-MATCH($B$1,[2]quests!$1:$1,0)+1),MATCH(D$1,[2]quests!$1:$1,0)-MATCH($B$1,[2]quests!$1:$1,0)+1,FALSE)</f>
        <v>コラボクエスト</v>
      </c>
      <c r="E49" s="88">
        <v>2</v>
      </c>
      <c r="F49" s="84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【中級】ミクエキスポ</v>
      </c>
      <c r="G49" s="84" t="str">
        <f ca="1">VLOOKUP($B49&amp;"_"&amp;$E49,OFFSET([2]stages!$A$1,0,0,COUNTA([2]stages!$A:$A),MATCH(G$1,[2]stages!$2:$2,0)-MATCH("temp_stage",[2]stages!$2:$2,0)+1),MATCH(G$1,[2]stages!$2:$2,0)-MATCH("temp_stage",[2]stages!$2:$2,0)+1,FALSE)</f>
        <v>コラボクエスト</v>
      </c>
      <c r="H49" s="86">
        <v>0</v>
      </c>
      <c r="I49">
        <v>26</v>
      </c>
      <c r="J49" s="85" t="s">
        <v>281</v>
      </c>
      <c r="K49" s="126" t="str">
        <f>VLOOKUP(I49,[7]stage_hints!$A:$C,3,FALSE)</f>
        <v>スキルレベルの効果</v>
      </c>
      <c r="L49" s="127" t="str">
        <f>VLOOKUP(I49,[7]stage_hints!$A:$D,4,FALSE)</f>
        <v>スキルレベルが上がると_x000D_短いターンでスキルを使うことができます</v>
      </c>
      <c r="M49" s="57" t="s">
        <v>189</v>
      </c>
    </row>
    <row r="50" spans="1:13" x14ac:dyDescent="0.15">
      <c r="A50" s="82" t="s">
        <v>265</v>
      </c>
      <c r="B50" s="83">
        <v>39005</v>
      </c>
      <c r="C50" s="84" t="str">
        <f ca="1">VLOOKUP($B50,OFFSET([2]quests!$A$1,0,0,COUNTA([2]quests!$A:$A),MATCH(C$1,[2]quests!$1:$1,0)-MATCH($B$1,[2]quests!$1:$1,0)+1),MATCH(C$1,[2]quests!$1:$1,0)-MATCH($B$1,[2]quests!$1:$1,0)+1,FALSE)</f>
        <v xml:space="preserve">ミクエキスポ </v>
      </c>
      <c r="D50" s="84" t="str">
        <f ca="1">VLOOKUP($B50,OFFSET([2]quests!$A$1,0,0,COUNTA([2]quests!$A:$A),MATCH(D$1,[2]quests!$1:$1,0)-MATCH($B$1,[2]quests!$1:$1,0)+1),MATCH(D$1,[2]quests!$1:$1,0)-MATCH($B$1,[2]quests!$1:$1,0)+1,FALSE)</f>
        <v>コラボクエスト</v>
      </c>
      <c r="E50" s="88">
        <v>2</v>
      </c>
      <c r="F50" s="84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【中級】ミクエキスポ</v>
      </c>
      <c r="G50" s="84" t="str">
        <f ca="1">VLOOKUP($B50&amp;"_"&amp;$E50,OFFSET([2]stages!$A$1,0,0,COUNTA([2]stages!$A:$A),MATCH(G$1,[2]stages!$2:$2,0)-MATCH("temp_stage",[2]stages!$2:$2,0)+1),MATCH(G$1,[2]stages!$2:$2,0)-MATCH("temp_stage",[2]stages!$2:$2,0)+1,FALSE)</f>
        <v>コラボクエスト</v>
      </c>
      <c r="H50" s="86">
        <v>0</v>
      </c>
      <c r="I50">
        <v>27</v>
      </c>
      <c r="J50" s="85" t="s">
        <v>281</v>
      </c>
      <c r="K50" s="126" t="str">
        <f>VLOOKUP(I50,[7]stage_hints!$A:$C,3,FALSE)</f>
        <v>ホーム画面からデッキを編成</v>
      </c>
      <c r="L50" s="127" t="str">
        <f>VLOOKUP(I50,[7]stage_hints!$A:$D,4,FALSE)</f>
        <v>ホーム画面でユニットを長押しすると_x000D_すぐにパーティ編成に移動できます</v>
      </c>
      <c r="M50" s="57" t="s">
        <v>189</v>
      </c>
    </row>
    <row r="51" spans="1:13" x14ac:dyDescent="0.15">
      <c r="A51" s="82" t="s">
        <v>265</v>
      </c>
      <c r="B51" s="83">
        <v>39005</v>
      </c>
      <c r="C51" s="84" t="str">
        <f ca="1">VLOOKUP($B51,OFFSET([2]quests!$A$1,0,0,COUNTA([2]quests!$A:$A),MATCH(C$1,[2]quests!$1:$1,0)-MATCH($B$1,[2]quests!$1:$1,0)+1),MATCH(C$1,[2]quests!$1:$1,0)-MATCH($B$1,[2]quests!$1:$1,0)+1,FALSE)</f>
        <v xml:space="preserve">ミクエキスポ </v>
      </c>
      <c r="D51" s="84" t="str">
        <f ca="1">VLOOKUP($B51,OFFSET([2]quests!$A$1,0,0,COUNTA([2]quests!$A:$A),MATCH(D$1,[2]quests!$1:$1,0)-MATCH($B$1,[2]quests!$1:$1,0)+1),MATCH(D$1,[2]quests!$1:$1,0)-MATCH($B$1,[2]quests!$1:$1,0)+1,FALSE)</f>
        <v>コラボクエスト</v>
      </c>
      <c r="E51" s="88">
        <v>2</v>
      </c>
      <c r="F51" s="84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【中級】ミクエキスポ</v>
      </c>
      <c r="G51" s="84" t="str">
        <f ca="1">VLOOKUP($B51&amp;"_"&amp;$E51,OFFSET([2]stages!$A$1,0,0,COUNTA([2]stages!$A:$A),MATCH(G$1,[2]stages!$2:$2,0)-MATCH("temp_stage",[2]stages!$2:$2,0)+1),MATCH(G$1,[2]stages!$2:$2,0)-MATCH("temp_stage",[2]stages!$2:$2,0)+1,FALSE)</f>
        <v>コラボクエスト</v>
      </c>
      <c r="H51" s="86">
        <v>0</v>
      </c>
      <c r="I51">
        <v>28</v>
      </c>
      <c r="J51" s="85" t="s">
        <v>281</v>
      </c>
      <c r="K51" s="126" t="str">
        <f>VLOOKUP(I51,[7]stage_hints!$A:$C,3,FALSE)</f>
        <v>ステータス情報は長押しで</v>
      </c>
      <c r="L51" s="127" t="str">
        <f>VLOOKUP(I51,[7]stage_hints!$A:$D,4,FALSE)</f>
        <v>ユニットのアイコンを長押しすると_x000D_ステータス情報を確認することができます</v>
      </c>
      <c r="M51" s="57" t="s">
        <v>189</v>
      </c>
    </row>
    <row r="52" spans="1:13" x14ac:dyDescent="0.15">
      <c r="A52" s="82" t="s">
        <v>265</v>
      </c>
      <c r="B52" s="83">
        <v>39005</v>
      </c>
      <c r="C52" s="84" t="str">
        <f ca="1">VLOOKUP($B52,OFFSET([2]quests!$A$1,0,0,COUNTA([2]quests!$A:$A),MATCH(C$1,[2]quests!$1:$1,0)-MATCH($B$1,[2]quests!$1:$1,0)+1),MATCH(C$1,[2]quests!$1:$1,0)-MATCH($B$1,[2]quests!$1:$1,0)+1,FALSE)</f>
        <v xml:space="preserve">ミクエキスポ </v>
      </c>
      <c r="D52" s="84" t="str">
        <f ca="1">VLOOKUP($B52,OFFSET([2]quests!$A$1,0,0,COUNTA([2]quests!$A:$A),MATCH(D$1,[2]quests!$1:$1,0)-MATCH($B$1,[2]quests!$1:$1,0)+1),MATCH(D$1,[2]quests!$1:$1,0)-MATCH($B$1,[2]quests!$1:$1,0)+1,FALSE)</f>
        <v>コラボクエスト</v>
      </c>
      <c r="E52" s="88">
        <v>2</v>
      </c>
      <c r="F52" s="84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【中級】ミクエキスポ</v>
      </c>
      <c r="G52" s="84" t="str">
        <f ca="1">VLOOKUP($B52&amp;"_"&amp;$E52,OFFSET([2]stages!$A$1,0,0,COUNTA([2]stages!$A:$A),MATCH(G$1,[2]stages!$2:$2,0)-MATCH("temp_stage",[2]stages!$2:$2,0)+1),MATCH(G$1,[2]stages!$2:$2,0)-MATCH("temp_stage",[2]stages!$2:$2,0)+1,FALSE)</f>
        <v>コラボクエスト</v>
      </c>
      <c r="H52" s="86">
        <v>0</v>
      </c>
      <c r="I52">
        <v>29</v>
      </c>
      <c r="J52" s="85" t="s">
        <v>281</v>
      </c>
      <c r="K52" s="126" t="str">
        <f>VLOOKUP(I52,[7]stage_hints!$A:$C,3,FALSE)</f>
        <v>「バグ」のメリット</v>
      </c>
      <c r="L52" s="127" t="str">
        <f>VLOOKUP(I52,[7]stage_hints!$A:$D,4,FALSE)</f>
        <v>ユニットの「バグ」を増やすと_x000D_報酬をもらえる確率がアップします</v>
      </c>
      <c r="M52" s="57" t="s">
        <v>189</v>
      </c>
    </row>
    <row r="53" spans="1:13" x14ac:dyDescent="0.15">
      <c r="A53" s="82" t="s">
        <v>265</v>
      </c>
      <c r="B53" s="83">
        <v>39005</v>
      </c>
      <c r="C53" s="84" t="str">
        <f ca="1">VLOOKUP($B53,OFFSET([2]quests!$A$1,0,0,COUNTA([2]quests!$A:$A),MATCH(C$1,[2]quests!$1:$1,0)-MATCH($B$1,[2]quests!$1:$1,0)+1),MATCH(C$1,[2]quests!$1:$1,0)-MATCH($B$1,[2]quests!$1:$1,0)+1,FALSE)</f>
        <v xml:space="preserve">ミクエキスポ </v>
      </c>
      <c r="D53" s="84" t="str">
        <f ca="1">VLOOKUP($B53,OFFSET([2]quests!$A$1,0,0,COUNTA([2]quests!$A:$A),MATCH(D$1,[2]quests!$1:$1,0)-MATCH($B$1,[2]quests!$1:$1,0)+1),MATCH(D$1,[2]quests!$1:$1,0)-MATCH($B$1,[2]quests!$1:$1,0)+1,FALSE)</f>
        <v>コラボクエスト</v>
      </c>
      <c r="E53" s="88">
        <v>2</v>
      </c>
      <c r="F53" s="84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【中級】ミクエキスポ</v>
      </c>
      <c r="G53" s="84" t="str">
        <f ca="1">VLOOKUP($B53&amp;"_"&amp;$E53,OFFSET([2]stages!$A$1,0,0,COUNTA([2]stages!$A:$A),MATCH(G$1,[2]stages!$2:$2,0)-MATCH("temp_stage",[2]stages!$2:$2,0)+1),MATCH(G$1,[2]stages!$2:$2,0)-MATCH("temp_stage",[2]stages!$2:$2,0)+1,FALSE)</f>
        <v>コラボクエスト</v>
      </c>
      <c r="H53" s="86">
        <v>0</v>
      </c>
      <c r="I53">
        <v>30</v>
      </c>
      <c r="J53" s="85" t="s">
        <v>281</v>
      </c>
      <c r="K53" s="126" t="str">
        <f>VLOOKUP(I53,[7]stage_hints!$A:$C,3,FALSE)</f>
        <v>「バグ」の増やし方</v>
      </c>
      <c r="L53" s="127" t="str">
        <f>VLOOKUP(I53,[7]stage_hints!$A:$D,4,FALSE)</f>
        <v>同じユニット同士を強化で合成すると_x000D_「バグ」を増やすことができます</v>
      </c>
      <c r="M53" s="57" t="s">
        <v>189</v>
      </c>
    </row>
    <row r="54" spans="1:13" x14ac:dyDescent="0.15">
      <c r="A54" s="82" t="s">
        <v>265</v>
      </c>
      <c r="B54" s="83">
        <v>39005</v>
      </c>
      <c r="C54" s="84" t="str">
        <f ca="1">VLOOKUP($B54,OFFSET([2]quests!$A$1,0,0,COUNTA([2]quests!$A:$A),MATCH(C$1,[2]quests!$1:$1,0)-MATCH($B$1,[2]quests!$1:$1,0)+1),MATCH(C$1,[2]quests!$1:$1,0)-MATCH($B$1,[2]quests!$1:$1,0)+1,FALSE)</f>
        <v xml:space="preserve">ミクエキスポ </v>
      </c>
      <c r="D54" s="84" t="str">
        <f ca="1">VLOOKUP($B54,OFFSET([2]quests!$A$1,0,0,COUNTA([2]quests!$A:$A),MATCH(D$1,[2]quests!$1:$1,0)-MATCH($B$1,[2]quests!$1:$1,0)+1),MATCH(D$1,[2]quests!$1:$1,0)-MATCH($B$1,[2]quests!$1:$1,0)+1,FALSE)</f>
        <v>コラボクエスト</v>
      </c>
      <c r="E54" s="88">
        <v>2</v>
      </c>
      <c r="F54" s="84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【中級】ミクエキスポ</v>
      </c>
      <c r="G54" s="84" t="str">
        <f ca="1">VLOOKUP($B54&amp;"_"&amp;$E54,OFFSET([2]stages!$A$1,0,0,COUNTA([2]stages!$A:$A),MATCH(G$1,[2]stages!$2:$2,0)-MATCH("temp_stage",[2]stages!$2:$2,0)+1),MATCH(G$1,[2]stages!$2:$2,0)-MATCH("temp_stage",[2]stages!$2:$2,0)+1,FALSE)</f>
        <v>コラボクエスト</v>
      </c>
      <c r="H54" s="86">
        <v>0</v>
      </c>
      <c r="I54">
        <v>31</v>
      </c>
      <c r="J54" s="85" t="s">
        <v>281</v>
      </c>
      <c r="K54" s="126" t="str">
        <f>VLOOKUP(I54,[7]stage_hints!$A:$C,3,FALSE)</f>
        <v>イベントはお知らせでチェック</v>
      </c>
      <c r="L54" s="127" t="str">
        <f>VLOOKUP(I54,[7]stage_hints!$A:$D,4,FALSE)</f>
        <v>イベント限定ユニットを取り忘れないように_x000D_お知らせをこまめにチェックしましょう</v>
      </c>
      <c r="M54" s="57" t="s">
        <v>189</v>
      </c>
    </row>
    <row r="55" spans="1:13" x14ac:dyDescent="0.15">
      <c r="A55" s="82" t="s">
        <v>265</v>
      </c>
      <c r="B55" s="83">
        <v>39005</v>
      </c>
      <c r="C55" s="84" t="str">
        <f ca="1">VLOOKUP($B55,OFFSET([2]quests!$A$1,0,0,COUNTA([2]quests!$A:$A),MATCH(C$1,[2]quests!$1:$1,0)-MATCH($B$1,[2]quests!$1:$1,0)+1),MATCH(C$1,[2]quests!$1:$1,0)-MATCH($B$1,[2]quests!$1:$1,0)+1,FALSE)</f>
        <v xml:space="preserve">ミクエキスポ </v>
      </c>
      <c r="D55" s="84" t="str">
        <f ca="1">VLOOKUP($B55,OFFSET([2]quests!$A$1,0,0,COUNTA([2]quests!$A:$A),MATCH(D$1,[2]quests!$1:$1,0)-MATCH($B$1,[2]quests!$1:$1,0)+1),MATCH(D$1,[2]quests!$1:$1,0)-MATCH($B$1,[2]quests!$1:$1,0)+1,FALSE)</f>
        <v>コラボクエスト</v>
      </c>
      <c r="E55" s="88">
        <v>2</v>
      </c>
      <c r="F55" s="84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【中級】ミクエキスポ</v>
      </c>
      <c r="G55" s="84" t="str">
        <f ca="1">VLOOKUP($B55&amp;"_"&amp;$E55,OFFSET([2]stages!$A$1,0,0,COUNTA([2]stages!$A:$A),MATCH(G$1,[2]stages!$2:$2,0)-MATCH("temp_stage",[2]stages!$2:$2,0)+1),MATCH(G$1,[2]stages!$2:$2,0)-MATCH("temp_stage",[2]stages!$2:$2,0)+1,FALSE)</f>
        <v>コラボクエスト</v>
      </c>
      <c r="H55" s="86">
        <v>0</v>
      </c>
      <c r="I55">
        <v>32</v>
      </c>
      <c r="J55" s="85" t="s">
        <v>281</v>
      </c>
      <c r="K55" s="126" t="str">
        <f>VLOOKUP(I55,[7]stage_hints!$A:$C,3,FALSE)</f>
        <v>敵の連続攻撃には</v>
      </c>
      <c r="L55" s="127" t="str">
        <f>VLOOKUP(I55,[7]stage_hints!$A:$D,4,FALSE)</f>
        <v>カウンタースキルを持つユニットがいれば_x000D_ダメージ回数分の反撃ができます</v>
      </c>
      <c r="M55" s="57" t="s">
        <v>189</v>
      </c>
    </row>
    <row r="56" spans="1:13" x14ac:dyDescent="0.15">
      <c r="A56" s="82" t="s">
        <v>265</v>
      </c>
      <c r="B56" s="83">
        <v>39005</v>
      </c>
      <c r="C56" s="84" t="str">
        <f ca="1">VLOOKUP($B56,OFFSET([2]quests!$A$1,0,0,COUNTA([2]quests!$A:$A),MATCH(C$1,[2]quests!$1:$1,0)-MATCH($B$1,[2]quests!$1:$1,0)+1),MATCH(C$1,[2]quests!$1:$1,0)-MATCH($B$1,[2]quests!$1:$1,0)+1,FALSE)</f>
        <v xml:space="preserve">ミクエキスポ </v>
      </c>
      <c r="D56" s="84" t="str">
        <f ca="1">VLOOKUP($B56,OFFSET([2]quests!$A$1,0,0,COUNTA([2]quests!$A:$A),MATCH(D$1,[2]quests!$1:$1,0)-MATCH($B$1,[2]quests!$1:$1,0)+1),MATCH(D$1,[2]quests!$1:$1,0)-MATCH($B$1,[2]quests!$1:$1,0)+1,FALSE)</f>
        <v>コラボクエスト</v>
      </c>
      <c r="E56" s="88">
        <v>2</v>
      </c>
      <c r="F56" s="84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【中級】ミクエキスポ</v>
      </c>
      <c r="G56" s="84" t="str">
        <f ca="1">VLOOKUP($B56&amp;"_"&amp;$E56,OFFSET([2]stages!$A$1,0,0,COUNTA([2]stages!$A:$A),MATCH(G$1,[2]stages!$2:$2,0)-MATCH("temp_stage",[2]stages!$2:$2,0)+1),MATCH(G$1,[2]stages!$2:$2,0)-MATCH("temp_stage",[2]stages!$2:$2,0)+1,FALSE)</f>
        <v>コラボクエスト</v>
      </c>
      <c r="H56" s="86">
        <v>0</v>
      </c>
      <c r="I56">
        <v>33</v>
      </c>
      <c r="J56" s="85" t="s">
        <v>281</v>
      </c>
      <c r="K56" s="126" t="str">
        <f>VLOOKUP(I56,[7]stage_hints!$A:$C,3,FALSE)</f>
        <v>敵のカウンター攻撃には</v>
      </c>
      <c r="L56" s="127" t="str">
        <f>VLOOKUP(I56,[7]stage_hints!$A:$D,4,FALSE)</f>
        <v>カウンターブレイクスキルを持っていれば_x000D_敵のカウンターを解除して攻撃ができます</v>
      </c>
      <c r="M56" s="57" t="s">
        <v>189</v>
      </c>
    </row>
    <row r="57" spans="1:13" x14ac:dyDescent="0.15">
      <c r="A57" s="82" t="s">
        <v>265</v>
      </c>
      <c r="B57" s="83">
        <v>39005</v>
      </c>
      <c r="C57" s="84" t="str">
        <f ca="1">VLOOKUP($B57,OFFSET([2]quests!$A$1,0,0,COUNTA([2]quests!$A:$A),MATCH(C$1,[2]quests!$1:$1,0)-MATCH($B$1,[2]quests!$1:$1,0)+1),MATCH(C$1,[2]quests!$1:$1,0)-MATCH($B$1,[2]quests!$1:$1,0)+1,FALSE)</f>
        <v xml:space="preserve">ミクエキスポ </v>
      </c>
      <c r="D57" s="84" t="str">
        <f ca="1">VLOOKUP($B57,OFFSET([2]quests!$A$1,0,0,COUNTA([2]quests!$A:$A),MATCH(D$1,[2]quests!$1:$1,0)-MATCH($B$1,[2]quests!$1:$1,0)+1),MATCH(D$1,[2]quests!$1:$1,0)-MATCH($B$1,[2]quests!$1:$1,0)+1,FALSE)</f>
        <v>コラボクエスト</v>
      </c>
      <c r="E57" s="88">
        <v>2</v>
      </c>
      <c r="F57" s="84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【中級】ミクエキスポ</v>
      </c>
      <c r="G57" s="84" t="str">
        <f ca="1">VLOOKUP($B57&amp;"_"&amp;$E57,OFFSET([2]stages!$A$1,0,0,COUNTA([2]stages!$A:$A),MATCH(G$1,[2]stages!$2:$2,0)-MATCH("temp_stage",[2]stages!$2:$2,0)+1),MATCH(G$1,[2]stages!$2:$2,0)-MATCH("temp_stage",[2]stages!$2:$2,0)+1,FALSE)</f>
        <v>コラボクエスト</v>
      </c>
      <c r="H57" s="86">
        <v>0</v>
      </c>
      <c r="I57">
        <v>34</v>
      </c>
      <c r="J57" s="85" t="s">
        <v>281</v>
      </c>
      <c r="K57" s="126" t="str">
        <f>VLOOKUP(I57,[7]stage_hints!$A:$C,3,FALSE)</f>
        <v>ステータスをスキルで下げられたら</v>
      </c>
      <c r="L57" s="127" t="str">
        <f>VLOOKUP(I57,[7]stage_hints!$A:$D,4,FALSE)</f>
        <v>ステータスダウンのスキルを受けたら_x000D_ステータスアップスキルで上書きしましょう</v>
      </c>
      <c r="M57" s="57" t="s">
        <v>189</v>
      </c>
    </row>
    <row r="58" spans="1:13" x14ac:dyDescent="0.15">
      <c r="A58" s="82" t="s">
        <v>265</v>
      </c>
      <c r="B58" s="83">
        <v>39005</v>
      </c>
      <c r="C58" s="84" t="str">
        <f ca="1">VLOOKUP($B58,OFFSET([2]quests!$A$1,0,0,COUNTA([2]quests!$A:$A),MATCH(C$1,[2]quests!$1:$1,0)-MATCH($B$1,[2]quests!$1:$1,0)+1),MATCH(C$1,[2]quests!$1:$1,0)-MATCH($B$1,[2]quests!$1:$1,0)+1,FALSE)</f>
        <v xml:space="preserve">ミクエキスポ </v>
      </c>
      <c r="D58" s="84" t="str">
        <f ca="1">VLOOKUP($B58,OFFSET([2]quests!$A$1,0,0,COUNTA([2]quests!$A:$A),MATCH(D$1,[2]quests!$1:$1,0)-MATCH($B$1,[2]quests!$1:$1,0)+1),MATCH(D$1,[2]quests!$1:$1,0)-MATCH($B$1,[2]quests!$1:$1,0)+1,FALSE)</f>
        <v>コラボクエスト</v>
      </c>
      <c r="E58" s="88">
        <v>2</v>
      </c>
      <c r="F58" s="84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【中級】ミクエキスポ</v>
      </c>
      <c r="G58" s="84" t="str">
        <f ca="1">VLOOKUP($B58&amp;"_"&amp;$E58,OFFSET([2]stages!$A$1,0,0,COUNTA([2]stages!$A:$A),MATCH(G$1,[2]stages!$2:$2,0)-MATCH("temp_stage",[2]stages!$2:$2,0)+1),MATCH(G$1,[2]stages!$2:$2,0)-MATCH("temp_stage",[2]stages!$2:$2,0)+1,FALSE)</f>
        <v>コラボクエスト</v>
      </c>
      <c r="H58" s="86">
        <v>0</v>
      </c>
      <c r="I58">
        <v>35</v>
      </c>
      <c r="J58" s="85" t="s">
        <v>281</v>
      </c>
      <c r="K58" s="126" t="str">
        <f>VLOOKUP(I58,[7]stage_hints!$A:$C,3,FALSE)</f>
        <v>敵のステータスがスキルで上がったら</v>
      </c>
      <c r="L58" s="127" t="str">
        <f>VLOOKUP(I58,[7]stage_hints!$A:$D,4,FALSE)</f>
        <v>敵のステータスがスキルでアップしたときは_x000D_ステータスダウンスキルで上書きしましょう</v>
      </c>
      <c r="M58" s="57" t="s">
        <v>189</v>
      </c>
    </row>
    <row r="59" spans="1:13" x14ac:dyDescent="0.15">
      <c r="A59" s="82" t="s">
        <v>265</v>
      </c>
      <c r="B59" s="83">
        <v>39005</v>
      </c>
      <c r="C59" s="84" t="str">
        <f ca="1">VLOOKUP($B59,OFFSET([2]quests!$A$1,0,0,COUNTA([2]quests!$A:$A),MATCH(C$1,[2]quests!$1:$1,0)-MATCH($B$1,[2]quests!$1:$1,0)+1),MATCH(C$1,[2]quests!$1:$1,0)-MATCH($B$1,[2]quests!$1:$1,0)+1,FALSE)</f>
        <v xml:space="preserve">ミクエキスポ </v>
      </c>
      <c r="D59" s="84" t="str">
        <f ca="1">VLOOKUP($B59,OFFSET([2]quests!$A$1,0,0,COUNTA([2]quests!$A:$A),MATCH(D$1,[2]quests!$1:$1,0)-MATCH($B$1,[2]quests!$1:$1,0)+1),MATCH(D$1,[2]quests!$1:$1,0)-MATCH($B$1,[2]quests!$1:$1,0)+1,FALSE)</f>
        <v>コラボクエスト</v>
      </c>
      <c r="E59" s="88">
        <v>2</v>
      </c>
      <c r="F59" s="84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【中級】ミクエキスポ</v>
      </c>
      <c r="G59" s="84" t="str">
        <f ca="1">VLOOKUP($B59&amp;"_"&amp;$E59,OFFSET([2]stages!$A$1,0,0,COUNTA([2]stages!$A:$A),MATCH(G$1,[2]stages!$2:$2,0)-MATCH("temp_stage",[2]stages!$2:$2,0)+1),MATCH(G$1,[2]stages!$2:$2,0)-MATCH("temp_stage",[2]stages!$2:$2,0)+1,FALSE)</f>
        <v>コラボクエスト</v>
      </c>
      <c r="H59" s="86">
        <v>0</v>
      </c>
      <c r="I59">
        <v>39</v>
      </c>
      <c r="J59" s="85" t="s">
        <v>281</v>
      </c>
      <c r="K59" s="126" t="str">
        <f>VLOOKUP(I59,[7]stage_hints!$A:$C,3,FALSE)</f>
        <v>システム適合者を確認</v>
      </c>
      <c r="L59" s="127" t="str">
        <f>VLOOKUP(I59,[7]stage_hints!$A:$D,4,FALSE)</f>
        <v>ALICEが「アナタ」を呼んでいます</v>
      </c>
      <c r="M59" s="57" t="s">
        <v>189</v>
      </c>
    </row>
    <row r="60" spans="1:13" x14ac:dyDescent="0.15">
      <c r="A60" s="82" t="s">
        <v>265</v>
      </c>
      <c r="B60" s="83">
        <v>39005</v>
      </c>
      <c r="C60" s="84" t="str">
        <f ca="1">VLOOKUP($B60,OFFSET([2]quests!$A$1,0,0,COUNTA([2]quests!$A:$A),MATCH(C$1,[2]quests!$1:$1,0)-MATCH($B$1,[2]quests!$1:$1,0)+1),MATCH(C$1,[2]quests!$1:$1,0)-MATCH($B$1,[2]quests!$1:$1,0)+1,FALSE)</f>
        <v xml:space="preserve">ミクエキスポ </v>
      </c>
      <c r="D60" s="84" t="str">
        <f ca="1">VLOOKUP($B60,OFFSET([2]quests!$A$1,0,0,COUNTA([2]quests!$A:$A),MATCH(D$1,[2]quests!$1:$1,0)-MATCH($B$1,[2]quests!$1:$1,0)+1),MATCH(D$1,[2]quests!$1:$1,0)-MATCH($B$1,[2]quests!$1:$1,0)+1,FALSE)</f>
        <v>コラボクエスト</v>
      </c>
      <c r="E60" s="88">
        <v>3</v>
      </c>
      <c r="F60" s="84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【上級】ミクエキスポ</v>
      </c>
      <c r="G60" s="84" t="str">
        <f ca="1">VLOOKUP($B60&amp;"_"&amp;$E60,OFFSET([2]stages!$A$1,0,0,COUNTA([2]stages!$A:$A),MATCH(G$1,[2]stages!$2:$2,0)-MATCH("temp_stage",[2]stages!$2:$2,0)+1),MATCH(G$1,[2]stages!$2:$2,0)-MATCH("temp_stage",[2]stages!$2:$2,0)+1,FALSE)</f>
        <v>コラボクエスト</v>
      </c>
      <c r="H60" s="86">
        <v>0</v>
      </c>
      <c r="I60" s="128">
        <v>3</v>
      </c>
      <c r="J60" s="85" t="s">
        <v>281</v>
      </c>
      <c r="K60" s="126" t="str">
        <f>VLOOKUP(I60,[7]stage_hints!$A:$C,3,FALSE)</f>
        <v>ターゲット</v>
      </c>
      <c r="L60" s="127" t="str">
        <f>VLOOKUP(I60,[7]stage_hints!$A:$D,4,FALSE)</f>
        <v>敵ユニットをタップすると_x000D_その敵を狙い撃ちできます</v>
      </c>
      <c r="M60" s="57" t="s">
        <v>282</v>
      </c>
    </row>
    <row r="61" spans="1:13" x14ac:dyDescent="0.15">
      <c r="A61" s="82" t="s">
        <v>265</v>
      </c>
      <c r="B61" s="83">
        <v>39005</v>
      </c>
      <c r="C61" s="84" t="str">
        <f ca="1">VLOOKUP($B61,OFFSET([2]quests!$A$1,0,0,COUNTA([2]quests!$A:$A),MATCH(C$1,[2]quests!$1:$1,0)-MATCH($B$1,[2]quests!$1:$1,0)+1),MATCH(C$1,[2]quests!$1:$1,0)-MATCH($B$1,[2]quests!$1:$1,0)+1,FALSE)</f>
        <v xml:space="preserve">ミクエキスポ </v>
      </c>
      <c r="D61" s="84" t="str">
        <f ca="1">VLOOKUP($B61,OFFSET([2]quests!$A$1,0,0,COUNTA([2]quests!$A:$A),MATCH(D$1,[2]quests!$1:$1,0)-MATCH($B$1,[2]quests!$1:$1,0)+1),MATCH(D$1,[2]quests!$1:$1,0)-MATCH($B$1,[2]quests!$1:$1,0)+1,FALSE)</f>
        <v>コラボクエスト</v>
      </c>
      <c r="E61" s="88">
        <v>3</v>
      </c>
      <c r="F61" s="84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【上級】ミクエキスポ</v>
      </c>
      <c r="G61" s="84" t="str">
        <f ca="1">VLOOKUP($B61&amp;"_"&amp;$E61,OFFSET([2]stages!$A$1,0,0,COUNTA([2]stages!$A:$A),MATCH(G$1,[2]stages!$2:$2,0)-MATCH("temp_stage",[2]stages!$2:$2,0)+1),MATCH(G$1,[2]stages!$2:$2,0)-MATCH("temp_stage",[2]stages!$2:$2,0)+1,FALSE)</f>
        <v>コラボクエスト</v>
      </c>
      <c r="H61" s="86">
        <v>0</v>
      </c>
      <c r="I61" s="128">
        <v>6</v>
      </c>
      <c r="J61" s="85" t="s">
        <v>283</v>
      </c>
      <c r="K61" s="126" t="str">
        <f>VLOOKUP(I61,[7]stage_hints!$A:$C,3,FALSE)</f>
        <v>ユニット強化の属性ボーナス</v>
      </c>
      <c r="L61" s="127" t="str">
        <f>VLOOKUP(I61,[7]stage_hints!$A:$D,4,FALSE)</f>
        <v>同属性ユニットを強化素材にすると_x000D_経験値が多くもらえます</v>
      </c>
      <c r="M61" s="57" t="s">
        <v>189</v>
      </c>
    </row>
    <row r="62" spans="1:13" x14ac:dyDescent="0.15">
      <c r="A62" s="82" t="s">
        <v>265</v>
      </c>
      <c r="B62" s="83">
        <v>39005</v>
      </c>
      <c r="C62" s="84" t="str">
        <f ca="1">VLOOKUP($B62,OFFSET([2]quests!$A$1,0,0,COUNTA([2]quests!$A:$A),MATCH(C$1,[2]quests!$1:$1,0)-MATCH($B$1,[2]quests!$1:$1,0)+1),MATCH(C$1,[2]quests!$1:$1,0)-MATCH($B$1,[2]quests!$1:$1,0)+1,FALSE)</f>
        <v xml:space="preserve">ミクエキスポ </v>
      </c>
      <c r="D62" s="84" t="str">
        <f ca="1">VLOOKUP($B62,OFFSET([2]quests!$A$1,0,0,COUNTA([2]quests!$A:$A),MATCH(D$1,[2]quests!$1:$1,0)-MATCH($B$1,[2]quests!$1:$1,0)+1),MATCH(D$1,[2]quests!$1:$1,0)-MATCH($B$1,[2]quests!$1:$1,0)+1,FALSE)</f>
        <v>コラボクエスト</v>
      </c>
      <c r="E62" s="88">
        <v>3</v>
      </c>
      <c r="F62" s="84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【上級】ミクエキスポ</v>
      </c>
      <c r="G62" s="84" t="str">
        <f ca="1">VLOOKUP($B62&amp;"_"&amp;$E62,OFFSET([2]stages!$A$1,0,0,COUNTA([2]stages!$A:$A),MATCH(G$1,[2]stages!$2:$2,0)-MATCH("temp_stage",[2]stages!$2:$2,0)+1),MATCH(G$1,[2]stages!$2:$2,0)-MATCH("temp_stage",[2]stages!$2:$2,0)+1,FALSE)</f>
        <v>コラボクエスト</v>
      </c>
      <c r="H62" s="86">
        <v>0</v>
      </c>
      <c r="I62" s="128">
        <v>7</v>
      </c>
      <c r="J62" s="85" t="s">
        <v>283</v>
      </c>
      <c r="K62" s="126" t="str">
        <f>VLOOKUP(I62,[7]stage_hints!$A:$C,3,FALSE)</f>
        <v>メタルダックで経験値を獲得</v>
      </c>
      <c r="L62" s="127" t="str">
        <f>VLOOKUP(I62,[7]stage_hints!$A:$D,4,FALSE)</f>
        <v>「メタルなアヒル」を強化素材にすると_x000D_大量の経験値がもらえます</v>
      </c>
      <c r="M62" s="57" t="s">
        <v>189</v>
      </c>
    </row>
    <row r="63" spans="1:13" x14ac:dyDescent="0.15">
      <c r="A63" s="82" t="s">
        <v>265</v>
      </c>
      <c r="B63" s="83">
        <v>39005</v>
      </c>
      <c r="C63" s="84" t="str">
        <f ca="1">VLOOKUP($B63,OFFSET([2]quests!$A$1,0,0,COUNTA([2]quests!$A:$A),MATCH(C$1,[2]quests!$1:$1,0)-MATCH($B$1,[2]quests!$1:$1,0)+1),MATCH(C$1,[2]quests!$1:$1,0)-MATCH($B$1,[2]quests!$1:$1,0)+1,FALSE)</f>
        <v xml:space="preserve">ミクエキスポ </v>
      </c>
      <c r="D63" s="84" t="str">
        <f ca="1">VLOOKUP($B63,OFFSET([2]quests!$A$1,0,0,COUNTA([2]quests!$A:$A),MATCH(D$1,[2]quests!$1:$1,0)-MATCH($B$1,[2]quests!$1:$1,0)+1),MATCH(D$1,[2]quests!$1:$1,0)-MATCH($B$1,[2]quests!$1:$1,0)+1,FALSE)</f>
        <v>コラボクエスト</v>
      </c>
      <c r="E63" s="88">
        <v>3</v>
      </c>
      <c r="F63" s="84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【上級】ミクエキスポ</v>
      </c>
      <c r="G63" s="84" t="str">
        <f ca="1">VLOOKUP($B63&amp;"_"&amp;$E63,OFFSET([2]stages!$A$1,0,0,COUNTA([2]stages!$A:$A),MATCH(G$1,[2]stages!$2:$2,0)-MATCH("temp_stage",[2]stages!$2:$2,0)+1),MATCH(G$1,[2]stages!$2:$2,0)-MATCH("temp_stage",[2]stages!$2:$2,0)+1,FALSE)</f>
        <v>コラボクエスト</v>
      </c>
      <c r="H63" s="86">
        <v>0</v>
      </c>
      <c r="I63" s="128">
        <v>8</v>
      </c>
      <c r="J63" s="85" t="s">
        <v>281</v>
      </c>
      <c r="K63" s="126" t="str">
        <f>VLOOKUP(I63,[7]stage_hints!$A:$C,3,FALSE)</f>
        <v>ゲリラクエストは要チェック</v>
      </c>
      <c r="L63" s="127" t="str">
        <f>VLOOKUP(I63,[7]stage_hints!$A:$D,4,FALSE)</f>
        <v>時間限定の「アヒル捕獲作戦」では_x000D_経験値素材ユニットが多く手に入ります</v>
      </c>
      <c r="M63" s="57" t="s">
        <v>189</v>
      </c>
    </row>
    <row r="64" spans="1:13" x14ac:dyDescent="0.15">
      <c r="A64" s="82" t="s">
        <v>265</v>
      </c>
      <c r="B64" s="83">
        <v>39005</v>
      </c>
      <c r="C64" s="84" t="str">
        <f ca="1">VLOOKUP($B64,OFFSET([2]quests!$A$1,0,0,COUNTA([2]quests!$A:$A),MATCH(C$1,[2]quests!$1:$1,0)-MATCH($B$1,[2]quests!$1:$1,0)+1),MATCH(C$1,[2]quests!$1:$1,0)-MATCH($B$1,[2]quests!$1:$1,0)+1,FALSE)</f>
        <v xml:space="preserve">ミクエキスポ </v>
      </c>
      <c r="D64" s="84" t="str">
        <f ca="1">VLOOKUP($B64,OFFSET([2]quests!$A$1,0,0,COUNTA([2]quests!$A:$A),MATCH(D$1,[2]quests!$1:$1,0)-MATCH($B$1,[2]quests!$1:$1,0)+1),MATCH(D$1,[2]quests!$1:$1,0)-MATCH($B$1,[2]quests!$1:$1,0)+1,FALSE)</f>
        <v>コラボクエスト</v>
      </c>
      <c r="E64" s="88">
        <v>3</v>
      </c>
      <c r="F64" s="84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【上級】ミクエキスポ</v>
      </c>
      <c r="G64" s="84" t="str">
        <f ca="1">VLOOKUP($B64&amp;"_"&amp;$E64,OFFSET([2]stages!$A$1,0,0,COUNTA([2]stages!$A:$A),MATCH(G$1,[2]stages!$2:$2,0)-MATCH("temp_stage",[2]stages!$2:$2,0)+1),MATCH(G$1,[2]stages!$2:$2,0)-MATCH("temp_stage",[2]stages!$2:$2,0)+1,FALSE)</f>
        <v>コラボクエスト</v>
      </c>
      <c r="H64" s="86">
        <v>0</v>
      </c>
      <c r="I64" s="128">
        <v>9</v>
      </c>
      <c r="J64" s="85" t="s">
        <v>283</v>
      </c>
      <c r="K64" s="126" t="str">
        <f>VLOOKUP(I64,[7]stage_hints!$A:$C,3,FALSE)</f>
        <v>ゴールドダックでビットを獲得</v>
      </c>
      <c r="L64" s="127" t="str">
        <f>VLOOKUP(I64,[7]stage_hints!$A:$D,4,FALSE)</f>
        <v>「ゴールドなアヒル」を売却すると_x000D_大量のビットがもらえます</v>
      </c>
      <c r="M64" s="57" t="s">
        <v>189</v>
      </c>
    </row>
    <row r="65" spans="1:13" x14ac:dyDescent="0.15">
      <c r="A65" s="82" t="s">
        <v>265</v>
      </c>
      <c r="B65" s="83">
        <v>39005</v>
      </c>
      <c r="C65" s="84" t="str">
        <f ca="1">VLOOKUP($B65,OFFSET([2]quests!$A$1,0,0,COUNTA([2]quests!$A:$A),MATCH(C$1,[2]quests!$1:$1,0)-MATCH($B$1,[2]quests!$1:$1,0)+1),MATCH(C$1,[2]quests!$1:$1,0)-MATCH($B$1,[2]quests!$1:$1,0)+1,FALSE)</f>
        <v xml:space="preserve">ミクエキスポ </v>
      </c>
      <c r="D65" s="84" t="str">
        <f ca="1">VLOOKUP($B65,OFFSET([2]quests!$A$1,0,0,COUNTA([2]quests!$A:$A),MATCH(D$1,[2]quests!$1:$1,0)-MATCH($B$1,[2]quests!$1:$1,0)+1),MATCH(D$1,[2]quests!$1:$1,0)-MATCH($B$1,[2]quests!$1:$1,0)+1,FALSE)</f>
        <v>コラボクエスト</v>
      </c>
      <c r="E65" s="88">
        <v>3</v>
      </c>
      <c r="F65" s="84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【上級】ミクエキスポ</v>
      </c>
      <c r="G65" s="84" t="str">
        <f ca="1">VLOOKUP($B65&amp;"_"&amp;$E65,OFFSET([2]stages!$A$1,0,0,COUNTA([2]stages!$A:$A),MATCH(G$1,[2]stages!$2:$2,0)-MATCH("temp_stage",[2]stages!$2:$2,0)+1),MATCH(G$1,[2]stages!$2:$2,0)-MATCH("temp_stage",[2]stages!$2:$2,0)+1,FALSE)</f>
        <v>コラボクエスト</v>
      </c>
      <c r="H65" s="86">
        <v>0</v>
      </c>
      <c r="I65" s="128">
        <v>10</v>
      </c>
      <c r="J65" s="85" t="s">
        <v>281</v>
      </c>
      <c r="K65" s="126" t="str">
        <f>VLOOKUP(I65,[7]stage_hints!$A:$C,3,FALSE)</f>
        <v>土日に大量のビットを獲得</v>
      </c>
      <c r="L65" s="127" t="str">
        <f>VLOOKUP(I65,[7]stage_hints!$A:$D,4,FALSE)</f>
        <v>土日限定の「ゴールドカジノ」では_x000D_売却素材ユニットが多く手に入ります</v>
      </c>
      <c r="M65" s="57" t="s">
        <v>189</v>
      </c>
    </row>
    <row r="66" spans="1:13" x14ac:dyDescent="0.15">
      <c r="A66" s="82" t="s">
        <v>265</v>
      </c>
      <c r="B66" s="83">
        <v>39005</v>
      </c>
      <c r="C66" s="84" t="str">
        <f ca="1">VLOOKUP($B66,OFFSET([2]quests!$A$1,0,0,COUNTA([2]quests!$A:$A),MATCH(C$1,[2]quests!$1:$1,0)-MATCH($B$1,[2]quests!$1:$1,0)+1),MATCH(C$1,[2]quests!$1:$1,0)-MATCH($B$1,[2]quests!$1:$1,0)+1,FALSE)</f>
        <v xml:space="preserve">ミクエキスポ </v>
      </c>
      <c r="D66" s="84" t="str">
        <f ca="1">VLOOKUP($B66,OFFSET([2]quests!$A$1,0,0,COUNTA([2]quests!$A:$A),MATCH(D$1,[2]quests!$1:$1,0)-MATCH($B$1,[2]quests!$1:$1,0)+1),MATCH(D$1,[2]quests!$1:$1,0)-MATCH($B$1,[2]quests!$1:$1,0)+1,FALSE)</f>
        <v>コラボクエスト</v>
      </c>
      <c r="E66" s="88">
        <v>3</v>
      </c>
      <c r="F66" s="84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【上級】ミクエキスポ</v>
      </c>
      <c r="G66" s="84" t="str">
        <f ca="1">VLOOKUP($B66&amp;"_"&amp;$E66,OFFSET([2]stages!$A$1,0,0,COUNTA([2]stages!$A:$A),MATCH(G$1,[2]stages!$2:$2,0)-MATCH("temp_stage",[2]stages!$2:$2,0)+1),MATCH(G$1,[2]stages!$2:$2,0)-MATCH("temp_stage",[2]stages!$2:$2,0)+1,FALSE)</f>
        <v>コラボクエスト</v>
      </c>
      <c r="H66" s="86">
        <v>0</v>
      </c>
      <c r="I66" s="128">
        <v>11</v>
      </c>
      <c r="J66" s="85" t="s">
        <v>281</v>
      </c>
      <c r="K66" s="126" t="str">
        <f>VLOOKUP(I66,[7]stage_hints!$A:$C,3,FALSE)</f>
        <v>ランク解放クエスト</v>
      </c>
      <c r="L66" s="127" t="str">
        <f>VLOOKUP(I66,[7]stage_hints!$A:$D,4,FALSE)</f>
        <v>一定ランクに到達すると_x000D_報酬付きのランク開放クエストが現れます</v>
      </c>
      <c r="M66" s="57" t="s">
        <v>189</v>
      </c>
    </row>
    <row r="67" spans="1:13" x14ac:dyDescent="0.15">
      <c r="A67" s="82" t="s">
        <v>265</v>
      </c>
      <c r="B67" s="83">
        <v>39005</v>
      </c>
      <c r="C67" s="84" t="str">
        <f ca="1">VLOOKUP($B67,OFFSET([2]quests!$A$1,0,0,COUNTA([2]quests!$A:$A),MATCH(C$1,[2]quests!$1:$1,0)-MATCH($B$1,[2]quests!$1:$1,0)+1),MATCH(C$1,[2]quests!$1:$1,0)-MATCH($B$1,[2]quests!$1:$1,0)+1,FALSE)</f>
        <v xml:space="preserve">ミクエキスポ </v>
      </c>
      <c r="D67" s="84" t="str">
        <f ca="1">VLOOKUP($B67,OFFSET([2]quests!$A$1,0,0,COUNTA([2]quests!$A:$A),MATCH(D$1,[2]quests!$1:$1,0)-MATCH($B$1,[2]quests!$1:$1,0)+1),MATCH(D$1,[2]quests!$1:$1,0)-MATCH($B$1,[2]quests!$1:$1,0)+1,FALSE)</f>
        <v>コラボクエスト</v>
      </c>
      <c r="E67" s="88">
        <v>3</v>
      </c>
      <c r="F67" s="84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【上級】ミクエキスポ</v>
      </c>
      <c r="G67" s="84" t="str">
        <f ca="1">VLOOKUP($B67&amp;"_"&amp;$E67,OFFSET([2]stages!$A$1,0,0,COUNTA([2]stages!$A:$A),MATCH(G$1,[2]stages!$2:$2,0)-MATCH("temp_stage",[2]stages!$2:$2,0)+1),MATCH(G$1,[2]stages!$2:$2,0)-MATCH("temp_stage",[2]stages!$2:$2,0)+1,FALSE)</f>
        <v>コラボクエスト</v>
      </c>
      <c r="H67" s="86">
        <v>0</v>
      </c>
      <c r="I67" s="128">
        <v>12</v>
      </c>
      <c r="J67" s="85" t="s">
        <v>281</v>
      </c>
      <c r="K67" s="126" t="str">
        <f>VLOOKUP(I67,[7]stage_hints!$A:$C,3,FALSE)</f>
        <v>ユニットのお気に入り登録</v>
      </c>
      <c r="L67" s="127" t="str">
        <f>VLOOKUP(I67,[7]stage_hints!$A:$D,4,FALSE)</f>
        <v>大事なユニットを誤って消さないように_x000D_フォルダから「お気に入り登録」しましょう</v>
      </c>
      <c r="M67" s="57" t="s">
        <v>189</v>
      </c>
    </row>
    <row r="68" spans="1:13" x14ac:dyDescent="0.15">
      <c r="A68" s="82" t="s">
        <v>265</v>
      </c>
      <c r="B68" s="83">
        <v>39005</v>
      </c>
      <c r="C68" s="84" t="str">
        <f ca="1">VLOOKUP($B68,OFFSET([2]quests!$A$1,0,0,COUNTA([2]quests!$A:$A),MATCH(C$1,[2]quests!$1:$1,0)-MATCH($B$1,[2]quests!$1:$1,0)+1),MATCH(C$1,[2]quests!$1:$1,0)-MATCH($B$1,[2]quests!$1:$1,0)+1,FALSE)</f>
        <v xml:space="preserve">ミクエキスポ </v>
      </c>
      <c r="D68" s="84" t="str">
        <f ca="1">VLOOKUP($B68,OFFSET([2]quests!$A$1,0,0,COUNTA([2]quests!$A:$A),MATCH(D$1,[2]quests!$1:$1,0)-MATCH($B$1,[2]quests!$1:$1,0)+1),MATCH(D$1,[2]quests!$1:$1,0)-MATCH($B$1,[2]quests!$1:$1,0)+1,FALSE)</f>
        <v>コラボクエスト</v>
      </c>
      <c r="E68" s="88">
        <v>3</v>
      </c>
      <c r="F68" s="84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【上級】ミクエキスポ</v>
      </c>
      <c r="G68" s="84" t="str">
        <f ca="1">VLOOKUP($B68&amp;"_"&amp;$E68,OFFSET([2]stages!$A$1,0,0,COUNTA([2]stages!$A:$A),MATCH(G$1,[2]stages!$2:$2,0)-MATCH("temp_stage",[2]stages!$2:$2,0)+1),MATCH(G$1,[2]stages!$2:$2,0)-MATCH("temp_stage",[2]stages!$2:$2,0)+1,FALSE)</f>
        <v>コラボクエスト</v>
      </c>
      <c r="H68" s="86">
        <v>0</v>
      </c>
      <c r="I68" s="128">
        <v>13</v>
      </c>
      <c r="J68" s="85" t="s">
        <v>281</v>
      </c>
      <c r="K68" s="126" t="str">
        <f>VLOOKUP(I68,[7]stage_hints!$A:$C,3,FALSE)</f>
        <v>ユニットの覚醒</v>
      </c>
      <c r="L68" s="127" t="str">
        <f>VLOOKUP(I68,[7]stage_hints!$A:$D,4,FALSE)</f>
        <v>ユニットを覚醒させると_x000D_比べものにならない強さが手に入ります</v>
      </c>
      <c r="M68" s="57" t="s">
        <v>189</v>
      </c>
    </row>
    <row r="69" spans="1:13" x14ac:dyDescent="0.15">
      <c r="A69" s="82" t="s">
        <v>265</v>
      </c>
      <c r="B69" s="83">
        <v>39005</v>
      </c>
      <c r="C69" s="84" t="str">
        <f ca="1">VLOOKUP($B69,OFFSET([2]quests!$A$1,0,0,COUNTA([2]quests!$A:$A),MATCH(C$1,[2]quests!$1:$1,0)-MATCH($B$1,[2]quests!$1:$1,0)+1),MATCH(C$1,[2]quests!$1:$1,0)-MATCH($B$1,[2]quests!$1:$1,0)+1,FALSE)</f>
        <v xml:space="preserve">ミクエキスポ </v>
      </c>
      <c r="D69" s="84" t="str">
        <f ca="1">VLOOKUP($B69,OFFSET([2]quests!$A$1,0,0,COUNTA([2]quests!$A:$A),MATCH(D$1,[2]quests!$1:$1,0)-MATCH($B$1,[2]quests!$1:$1,0)+1),MATCH(D$1,[2]quests!$1:$1,0)-MATCH($B$1,[2]quests!$1:$1,0)+1,FALSE)</f>
        <v>コラボクエスト</v>
      </c>
      <c r="E69" s="88">
        <v>3</v>
      </c>
      <c r="F69" s="84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【上級】ミクエキスポ</v>
      </c>
      <c r="G69" s="84" t="str">
        <f ca="1">VLOOKUP($B69&amp;"_"&amp;$E69,OFFSET([2]stages!$A$1,0,0,COUNTA([2]stages!$A:$A),MATCH(G$1,[2]stages!$2:$2,0)-MATCH("temp_stage",[2]stages!$2:$2,0)+1),MATCH(G$1,[2]stages!$2:$2,0)-MATCH("temp_stage",[2]stages!$2:$2,0)+1,FALSE)</f>
        <v>コラボクエスト</v>
      </c>
      <c r="H69" s="86">
        <v>0</v>
      </c>
      <c r="I69" s="128">
        <v>14</v>
      </c>
      <c r="J69" s="85" t="s">
        <v>281</v>
      </c>
      <c r="K69" s="126" t="str">
        <f>VLOOKUP(I69,[7]stage_hints!$A:$C,3,FALSE)</f>
        <v>覚醒するにはレベルを最大に</v>
      </c>
      <c r="L69" s="127" t="str">
        <f>VLOOKUP(I69,[7]stage_hints!$A:$D,4,FALSE)</f>
        <v>覚醒するにはユニットのレベルを_x000D_最大まで上げる必要があります</v>
      </c>
      <c r="M69" s="57" t="s">
        <v>189</v>
      </c>
    </row>
    <row r="70" spans="1:13" x14ac:dyDescent="0.15">
      <c r="A70" s="82" t="s">
        <v>265</v>
      </c>
      <c r="B70" s="83">
        <v>39005</v>
      </c>
      <c r="C70" s="84" t="str">
        <f ca="1">VLOOKUP($B70,OFFSET([2]quests!$A$1,0,0,COUNTA([2]quests!$A:$A),MATCH(C$1,[2]quests!$1:$1,0)-MATCH($B$1,[2]quests!$1:$1,0)+1),MATCH(C$1,[2]quests!$1:$1,0)-MATCH($B$1,[2]quests!$1:$1,0)+1,FALSE)</f>
        <v xml:space="preserve">ミクエキスポ </v>
      </c>
      <c r="D70" s="84" t="str">
        <f ca="1">VLOOKUP($B70,OFFSET([2]quests!$A$1,0,0,COUNTA([2]quests!$A:$A),MATCH(D$1,[2]quests!$1:$1,0)-MATCH($B$1,[2]quests!$1:$1,0)+1),MATCH(D$1,[2]quests!$1:$1,0)-MATCH($B$1,[2]quests!$1:$1,0)+1,FALSE)</f>
        <v>コラボクエスト</v>
      </c>
      <c r="E70" s="88">
        <v>3</v>
      </c>
      <c r="F70" s="84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【上級】ミクエキスポ</v>
      </c>
      <c r="G70" s="84" t="str">
        <f ca="1">VLOOKUP($B70&amp;"_"&amp;$E70,OFFSET([2]stages!$A$1,0,0,COUNTA([2]stages!$A:$A),MATCH(G$1,[2]stages!$2:$2,0)-MATCH("temp_stage",[2]stages!$2:$2,0)+1),MATCH(G$1,[2]stages!$2:$2,0)-MATCH("temp_stage",[2]stages!$2:$2,0)+1,FALSE)</f>
        <v>コラボクエスト</v>
      </c>
      <c r="H70" s="86">
        <v>0</v>
      </c>
      <c r="I70" s="128">
        <v>15</v>
      </c>
      <c r="J70" s="85" t="s">
        <v>281</v>
      </c>
      <c r="K70" s="126" t="str">
        <f>VLOOKUP(I70,[7]stage_hints!$A:$C,3,FALSE)</f>
        <v>覚醒素材を獲得</v>
      </c>
      <c r="L70" s="127" t="str">
        <f>VLOOKUP(I70,[7]stage_hints!$A:$D,4,FALSE)</f>
        <v>「曜日クエスト」では_x000D_ユニットの覚醒に必要な素材が手に入ります</v>
      </c>
      <c r="M70" s="57" t="s">
        <v>189</v>
      </c>
    </row>
    <row r="71" spans="1:13" x14ac:dyDescent="0.15">
      <c r="A71" s="82" t="s">
        <v>265</v>
      </c>
      <c r="B71" s="83">
        <v>39005</v>
      </c>
      <c r="C71" s="84" t="str">
        <f ca="1">VLOOKUP($B71,OFFSET([2]quests!$A$1,0,0,COUNTA([2]quests!$A:$A),MATCH(C$1,[2]quests!$1:$1,0)-MATCH($B$1,[2]quests!$1:$1,0)+1),MATCH(C$1,[2]quests!$1:$1,0)-MATCH($B$1,[2]quests!$1:$1,0)+1,FALSE)</f>
        <v xml:space="preserve">ミクエキスポ </v>
      </c>
      <c r="D71" s="84" t="str">
        <f ca="1">VLOOKUP($B71,OFFSET([2]quests!$A$1,0,0,COUNTA([2]quests!$A:$A),MATCH(D$1,[2]quests!$1:$1,0)-MATCH($B$1,[2]quests!$1:$1,0)+1),MATCH(D$1,[2]quests!$1:$1,0)-MATCH($B$1,[2]quests!$1:$1,0)+1,FALSE)</f>
        <v>コラボクエスト</v>
      </c>
      <c r="E71" s="88">
        <v>3</v>
      </c>
      <c r="F71" s="84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【上級】ミクエキスポ</v>
      </c>
      <c r="G71" s="84" t="str">
        <f ca="1">VLOOKUP($B71&amp;"_"&amp;$E71,OFFSET([2]stages!$A$1,0,0,COUNTA([2]stages!$A:$A),MATCH(G$1,[2]stages!$2:$2,0)-MATCH("temp_stage",[2]stages!$2:$2,0)+1),MATCH(G$1,[2]stages!$2:$2,0)-MATCH("temp_stage",[2]stages!$2:$2,0)+1,FALSE)</f>
        <v>コラボクエスト</v>
      </c>
      <c r="H71" s="86">
        <v>0</v>
      </c>
      <c r="I71" s="128">
        <v>16</v>
      </c>
      <c r="J71" s="85" t="s">
        <v>281</v>
      </c>
      <c r="K71" s="126" t="str">
        <f>VLOOKUP(I71,[7]stage_hints!$A:$C,3,FALSE)</f>
        <v>マルチプレイのメリット（その1）</v>
      </c>
      <c r="L71" s="127" t="str">
        <f>VLOOKUP(I71,[7]stage_hints!$A:$D,4,FALSE)</f>
        <v>他のプレイヤーとマルチプレイで遊ぶと_x000D_ポリゴンがもらえます（100人まで）</v>
      </c>
      <c r="M71" s="57" t="s">
        <v>189</v>
      </c>
    </row>
    <row r="72" spans="1:13" x14ac:dyDescent="0.15">
      <c r="A72" s="82" t="s">
        <v>265</v>
      </c>
      <c r="B72" s="83">
        <v>39005</v>
      </c>
      <c r="C72" s="84" t="str">
        <f ca="1">VLOOKUP($B72,OFFSET([2]quests!$A$1,0,0,COUNTA([2]quests!$A:$A),MATCH(C$1,[2]quests!$1:$1,0)-MATCH($B$1,[2]quests!$1:$1,0)+1),MATCH(C$1,[2]quests!$1:$1,0)-MATCH($B$1,[2]quests!$1:$1,0)+1,FALSE)</f>
        <v xml:space="preserve">ミクエキスポ </v>
      </c>
      <c r="D72" s="84" t="str">
        <f ca="1">VLOOKUP($B72,OFFSET([2]quests!$A$1,0,0,COUNTA([2]quests!$A:$A),MATCH(D$1,[2]quests!$1:$1,0)-MATCH($B$1,[2]quests!$1:$1,0)+1),MATCH(D$1,[2]quests!$1:$1,0)-MATCH($B$1,[2]quests!$1:$1,0)+1,FALSE)</f>
        <v>コラボクエスト</v>
      </c>
      <c r="E72" s="88">
        <v>3</v>
      </c>
      <c r="F72" s="84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【上級】ミクエキスポ</v>
      </c>
      <c r="G72" s="84" t="str">
        <f ca="1">VLOOKUP($B72&amp;"_"&amp;$E72,OFFSET([2]stages!$A$1,0,0,COUNTA([2]stages!$A:$A),MATCH(G$1,[2]stages!$2:$2,0)-MATCH("temp_stage",[2]stages!$2:$2,0)+1),MATCH(G$1,[2]stages!$2:$2,0)-MATCH("temp_stage",[2]stages!$2:$2,0)+1,FALSE)</f>
        <v>コラボクエスト</v>
      </c>
      <c r="H72" s="86">
        <v>0</v>
      </c>
      <c r="I72" s="128">
        <v>17</v>
      </c>
      <c r="J72" s="85" t="s">
        <v>281</v>
      </c>
      <c r="K72" s="126" t="str">
        <f>VLOOKUP(I72,[7]stage_hints!$A:$C,3,FALSE)</f>
        <v>リンクガチャ</v>
      </c>
      <c r="L72" s="127" t="str">
        <f>VLOOKUP(I72,[7]stage_hints!$A:$D,4,FALSE)</f>
        <v>無料のリンクガチャを回して_x000D_経験値素材や売却素材を獲得しましょう</v>
      </c>
      <c r="M72" s="57" t="s">
        <v>189</v>
      </c>
    </row>
    <row r="73" spans="1:13" x14ac:dyDescent="0.15">
      <c r="A73" s="82" t="s">
        <v>265</v>
      </c>
      <c r="B73" s="83">
        <v>39005</v>
      </c>
      <c r="C73" s="84" t="str">
        <f ca="1">VLOOKUP($B73,OFFSET([2]quests!$A$1,0,0,COUNTA([2]quests!$A:$A),MATCH(C$1,[2]quests!$1:$1,0)-MATCH($B$1,[2]quests!$1:$1,0)+1),MATCH(C$1,[2]quests!$1:$1,0)-MATCH($B$1,[2]quests!$1:$1,0)+1,FALSE)</f>
        <v xml:space="preserve">ミクエキスポ </v>
      </c>
      <c r="D73" s="84" t="str">
        <f ca="1">VLOOKUP($B73,OFFSET([2]quests!$A$1,0,0,COUNTA([2]quests!$A:$A),MATCH(D$1,[2]quests!$1:$1,0)-MATCH($B$1,[2]quests!$1:$1,0)+1),MATCH(D$1,[2]quests!$1:$1,0)-MATCH($B$1,[2]quests!$1:$1,0)+1,FALSE)</f>
        <v>コラボクエスト</v>
      </c>
      <c r="E73" s="88">
        <v>3</v>
      </c>
      <c r="F73" s="84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【上級】ミクエキスポ</v>
      </c>
      <c r="G73" s="84" t="str">
        <f ca="1">VLOOKUP($B73&amp;"_"&amp;$E73,OFFSET([2]stages!$A$1,0,0,COUNTA([2]stages!$A:$A),MATCH(G$1,[2]stages!$2:$2,0)-MATCH("temp_stage",[2]stages!$2:$2,0)+1),MATCH(G$1,[2]stages!$2:$2,0)-MATCH("temp_stage",[2]stages!$2:$2,0)+1,FALSE)</f>
        <v>コラボクエスト</v>
      </c>
      <c r="H73" s="86">
        <v>0</v>
      </c>
      <c r="I73" s="128">
        <v>18</v>
      </c>
      <c r="J73" s="85" t="s">
        <v>281</v>
      </c>
      <c r="K73" s="126" t="str">
        <f>VLOOKUP(I73,[7]stage_hints!$A:$C,3,FALSE)</f>
        <v>マルチプレイのメリット（その2）</v>
      </c>
      <c r="L73" s="127" t="str">
        <f>VLOOKUP(I73,[7]stage_hints!$A:$D,4,FALSE)</f>
        <v>マルチプレイならリンクが2倍もらえます_x000D_リンクガチャをたくさん回しましょう</v>
      </c>
      <c r="M73" s="57" t="s">
        <v>189</v>
      </c>
    </row>
    <row r="74" spans="1:13" x14ac:dyDescent="0.15">
      <c r="A74" s="82" t="s">
        <v>265</v>
      </c>
      <c r="B74" s="83">
        <v>39005</v>
      </c>
      <c r="C74" s="84" t="str">
        <f ca="1">VLOOKUP($B74,OFFSET([2]quests!$A$1,0,0,COUNTA([2]quests!$A:$A),MATCH(C$1,[2]quests!$1:$1,0)-MATCH($B$1,[2]quests!$1:$1,0)+1),MATCH(C$1,[2]quests!$1:$1,0)-MATCH($B$1,[2]quests!$1:$1,0)+1,FALSE)</f>
        <v xml:space="preserve">ミクエキスポ </v>
      </c>
      <c r="D74" s="84" t="str">
        <f ca="1">VLOOKUP($B74,OFFSET([2]quests!$A$1,0,0,COUNTA([2]quests!$A:$A),MATCH(D$1,[2]quests!$1:$1,0)-MATCH($B$1,[2]quests!$1:$1,0)+1),MATCH(D$1,[2]quests!$1:$1,0)-MATCH($B$1,[2]quests!$1:$1,0)+1,FALSE)</f>
        <v>コラボクエスト</v>
      </c>
      <c r="E74" s="88">
        <v>3</v>
      </c>
      <c r="F74" s="84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【上級】ミクエキスポ</v>
      </c>
      <c r="G74" s="84" t="str">
        <f ca="1">VLOOKUP($B74&amp;"_"&amp;$E74,OFFSET([2]stages!$A$1,0,0,COUNTA([2]stages!$A:$A),MATCH(G$1,[2]stages!$2:$2,0)-MATCH("temp_stage",[2]stages!$2:$2,0)+1),MATCH(G$1,[2]stages!$2:$2,0)-MATCH("temp_stage",[2]stages!$2:$2,0)+1,FALSE)</f>
        <v>コラボクエスト</v>
      </c>
      <c r="H74" s="86">
        <v>0</v>
      </c>
      <c r="I74" s="128">
        <v>19</v>
      </c>
      <c r="J74" s="85" t="s">
        <v>281</v>
      </c>
      <c r="K74" s="126" t="str">
        <f>VLOOKUP(I74,[7]stage_hints!$A:$C,3,FALSE)</f>
        <v>ソロ専用チャレンジタワー</v>
      </c>
      <c r="L74" s="127" t="str">
        <f>VLOOKUP(I74,[7]stage_hints!$A:$D,4,FALSE)</f>
        <v>ソロ専用の「チャレンジタワー」では_x000D_各フロアごとにクリア報酬がもらえます</v>
      </c>
      <c r="M74" s="57" t="s">
        <v>189</v>
      </c>
    </row>
    <row r="75" spans="1:13" x14ac:dyDescent="0.15">
      <c r="A75" s="82" t="s">
        <v>265</v>
      </c>
      <c r="B75" s="83">
        <v>39005</v>
      </c>
      <c r="C75" s="84" t="str">
        <f ca="1">VLOOKUP($B75,OFFSET([2]quests!$A$1,0,0,COUNTA([2]quests!$A:$A),MATCH(C$1,[2]quests!$1:$1,0)-MATCH($B$1,[2]quests!$1:$1,0)+1),MATCH(C$1,[2]quests!$1:$1,0)-MATCH($B$1,[2]quests!$1:$1,0)+1,FALSE)</f>
        <v xml:space="preserve">ミクエキスポ </v>
      </c>
      <c r="D75" s="84" t="str">
        <f ca="1">VLOOKUP($B75,OFFSET([2]quests!$A$1,0,0,COUNTA([2]quests!$A:$A),MATCH(D$1,[2]quests!$1:$1,0)-MATCH($B$1,[2]quests!$1:$1,0)+1),MATCH(D$1,[2]quests!$1:$1,0)-MATCH($B$1,[2]quests!$1:$1,0)+1,FALSE)</f>
        <v>コラボクエスト</v>
      </c>
      <c r="E75" s="88">
        <v>3</v>
      </c>
      <c r="F75" s="84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【上級】ミクエキスポ</v>
      </c>
      <c r="G75" s="84" t="str">
        <f ca="1">VLOOKUP($B75&amp;"_"&amp;$E75,OFFSET([2]stages!$A$1,0,0,COUNTA([2]stages!$A:$A),MATCH(G$1,[2]stages!$2:$2,0)-MATCH("temp_stage",[2]stages!$2:$2,0)+1),MATCH(G$1,[2]stages!$2:$2,0)-MATCH("temp_stage",[2]stages!$2:$2,0)+1,FALSE)</f>
        <v>コラボクエスト</v>
      </c>
      <c r="H75" s="86">
        <v>0</v>
      </c>
      <c r="I75" s="128">
        <v>20</v>
      </c>
      <c r="J75" s="85" t="s">
        <v>281</v>
      </c>
      <c r="K75" s="126" t="str">
        <f>VLOOKUP(I75,[7]stage_hints!$A:$C,3,FALSE)</f>
        <v>マルチプレイのメリット（その3）</v>
      </c>
      <c r="L75" s="127" t="str">
        <f>VLOOKUP(I75,[7]stage_hints!$A:$D,4,FALSE)</f>
        <v>マルチプレイへの参加はエナジー消費ゼロ_x000D_いつでも好きなだけ遊ぶことができます</v>
      </c>
      <c r="M75" s="57" t="s">
        <v>189</v>
      </c>
    </row>
    <row r="76" spans="1:13" x14ac:dyDescent="0.15">
      <c r="A76" s="82" t="s">
        <v>265</v>
      </c>
      <c r="B76" s="83">
        <v>39005</v>
      </c>
      <c r="C76" s="84" t="str">
        <f ca="1">VLOOKUP($B76,OFFSET([2]quests!$A$1,0,0,COUNTA([2]quests!$A:$A),MATCH(C$1,[2]quests!$1:$1,0)-MATCH($B$1,[2]quests!$1:$1,0)+1),MATCH(C$1,[2]quests!$1:$1,0)-MATCH($B$1,[2]quests!$1:$1,0)+1,FALSE)</f>
        <v xml:space="preserve">ミクエキスポ </v>
      </c>
      <c r="D76" s="84" t="str">
        <f ca="1">VLOOKUP($B76,OFFSET([2]quests!$A$1,0,0,COUNTA([2]quests!$A:$A),MATCH(D$1,[2]quests!$1:$1,0)-MATCH($B$1,[2]quests!$1:$1,0)+1),MATCH(D$1,[2]quests!$1:$1,0)-MATCH($B$1,[2]quests!$1:$1,0)+1,FALSE)</f>
        <v>コラボクエスト</v>
      </c>
      <c r="E76" s="88">
        <v>3</v>
      </c>
      <c r="F76" s="84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【上級】ミクエキスポ</v>
      </c>
      <c r="G76" s="84" t="str">
        <f ca="1">VLOOKUP($B76&amp;"_"&amp;$E76,OFFSET([2]stages!$A$1,0,0,COUNTA([2]stages!$A:$A),MATCH(G$1,[2]stages!$2:$2,0)-MATCH("temp_stage",[2]stages!$2:$2,0)+1),MATCH(G$1,[2]stages!$2:$2,0)-MATCH("temp_stage",[2]stages!$2:$2,0)+1,FALSE)</f>
        <v>コラボクエスト</v>
      </c>
      <c r="H76" s="86">
        <v>0</v>
      </c>
      <c r="I76" s="128">
        <v>21</v>
      </c>
      <c r="J76" s="85" t="s">
        <v>281</v>
      </c>
      <c r="K76" s="126" t="str">
        <f>VLOOKUP(I76,[7]stage_hints!$A:$C,3,FALSE)</f>
        <v>スキルを有効に</v>
      </c>
      <c r="L76" s="127" t="str">
        <f>VLOOKUP(I76,[7]stage_hints!$A:$D,4,FALSE)</f>
        <v>ターン経過でユニットのスキルが使えます_x000D_強力スキルでバトルを有利に進めましょう</v>
      </c>
      <c r="M76" s="57" t="s">
        <v>189</v>
      </c>
    </row>
    <row r="77" spans="1:13" x14ac:dyDescent="0.15">
      <c r="A77" s="82" t="s">
        <v>265</v>
      </c>
      <c r="B77" s="83">
        <v>39005</v>
      </c>
      <c r="C77" s="84" t="str">
        <f ca="1">VLOOKUP($B77,OFFSET([2]quests!$A$1,0,0,COUNTA([2]quests!$A:$A),MATCH(C$1,[2]quests!$1:$1,0)-MATCH($B$1,[2]quests!$1:$1,0)+1),MATCH(C$1,[2]quests!$1:$1,0)-MATCH($B$1,[2]quests!$1:$1,0)+1,FALSE)</f>
        <v xml:space="preserve">ミクエキスポ </v>
      </c>
      <c r="D77" s="84" t="str">
        <f ca="1">VLOOKUP($B77,OFFSET([2]quests!$A$1,0,0,COUNTA([2]quests!$A:$A),MATCH(D$1,[2]quests!$1:$1,0)-MATCH($B$1,[2]quests!$1:$1,0)+1),MATCH(D$1,[2]quests!$1:$1,0)-MATCH($B$1,[2]quests!$1:$1,0)+1,FALSE)</f>
        <v>コラボクエスト</v>
      </c>
      <c r="E77" s="88">
        <v>3</v>
      </c>
      <c r="F77" s="84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【上級】ミクエキスポ</v>
      </c>
      <c r="G77" s="84" t="str">
        <f ca="1">VLOOKUP($B77&amp;"_"&amp;$E77,OFFSET([2]stages!$A$1,0,0,COUNTA([2]stages!$A:$A),MATCH(G$1,[2]stages!$2:$2,0)-MATCH("temp_stage",[2]stages!$2:$2,0)+1),MATCH(G$1,[2]stages!$2:$2,0)-MATCH("temp_stage",[2]stages!$2:$2,0)+1,FALSE)</f>
        <v>コラボクエスト</v>
      </c>
      <c r="H77" s="86">
        <v>0</v>
      </c>
      <c r="I77" s="128">
        <v>22</v>
      </c>
      <c r="J77" s="85" t="s">
        <v>281</v>
      </c>
      <c r="K77" s="126" t="str">
        <f>VLOOKUP(I77,[7]stage_hints!$A:$C,3,FALSE)</f>
        <v>フィーバーで一発逆転（その1）</v>
      </c>
      <c r="L77" s="127" t="str">
        <f>VLOOKUP(I77,[7]stage_hints!$A:$D,4,FALSE)</f>
        <v>フィーバーは攻撃と回復を兼ね備えます_x000D_ピンチからの一発逆転を狙いましょう</v>
      </c>
      <c r="M77" s="57" t="s">
        <v>189</v>
      </c>
    </row>
    <row r="78" spans="1:13" x14ac:dyDescent="0.15">
      <c r="A78" s="82" t="s">
        <v>265</v>
      </c>
      <c r="B78" s="83">
        <v>39005</v>
      </c>
      <c r="C78" s="84" t="str">
        <f ca="1">VLOOKUP($B78,OFFSET([2]quests!$A$1,0,0,COUNTA([2]quests!$A:$A),MATCH(C$1,[2]quests!$1:$1,0)-MATCH($B$1,[2]quests!$1:$1,0)+1),MATCH(C$1,[2]quests!$1:$1,0)-MATCH($B$1,[2]quests!$1:$1,0)+1,FALSE)</f>
        <v xml:space="preserve">ミクエキスポ </v>
      </c>
      <c r="D78" s="84" t="str">
        <f ca="1">VLOOKUP($B78,OFFSET([2]quests!$A$1,0,0,COUNTA([2]quests!$A:$A),MATCH(D$1,[2]quests!$1:$1,0)-MATCH($B$1,[2]quests!$1:$1,0)+1),MATCH(D$1,[2]quests!$1:$1,0)-MATCH($B$1,[2]quests!$1:$1,0)+1,FALSE)</f>
        <v>コラボクエスト</v>
      </c>
      <c r="E78" s="88">
        <v>3</v>
      </c>
      <c r="F78" s="84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【上級】ミクエキスポ</v>
      </c>
      <c r="G78" s="84" t="str">
        <f ca="1">VLOOKUP($B78&amp;"_"&amp;$E78,OFFSET([2]stages!$A$1,0,0,COUNTA([2]stages!$A:$A),MATCH(G$1,[2]stages!$2:$2,0)-MATCH("temp_stage",[2]stages!$2:$2,0)+1),MATCH(G$1,[2]stages!$2:$2,0)-MATCH("temp_stage",[2]stages!$2:$2,0)+1,FALSE)</f>
        <v>コラボクエスト</v>
      </c>
      <c r="H78" s="86">
        <v>0</v>
      </c>
      <c r="I78" s="128">
        <v>23</v>
      </c>
      <c r="J78" s="85" t="s">
        <v>281</v>
      </c>
      <c r="K78" s="126" t="str">
        <f>VLOOKUP(I78,[7]stage_hints!$A:$C,3,FALSE)</f>
        <v>フィーバーで一発逆転（その2）</v>
      </c>
      <c r="L78" s="127" t="str">
        <f>VLOOKUP(I78,[7]stage_hints!$A:$D,4,FALSE)</f>
        <v>フィーバー中は虹色のボムパネルを狙って_x000D_画面上のパネルを一気に破壊しましょう</v>
      </c>
      <c r="M78" s="57" t="s">
        <v>189</v>
      </c>
    </row>
    <row r="79" spans="1:13" x14ac:dyDescent="0.15">
      <c r="A79" s="82" t="s">
        <v>265</v>
      </c>
      <c r="B79" s="83">
        <v>39005</v>
      </c>
      <c r="C79" s="84" t="str">
        <f ca="1">VLOOKUP($B79,OFFSET([2]quests!$A$1,0,0,COUNTA([2]quests!$A:$A),MATCH(C$1,[2]quests!$1:$1,0)-MATCH($B$1,[2]quests!$1:$1,0)+1),MATCH(C$1,[2]quests!$1:$1,0)-MATCH($B$1,[2]quests!$1:$1,0)+1,FALSE)</f>
        <v xml:space="preserve">ミクエキスポ </v>
      </c>
      <c r="D79" s="84" t="str">
        <f ca="1">VLOOKUP($B79,OFFSET([2]quests!$A$1,0,0,COUNTA([2]quests!$A:$A),MATCH(D$1,[2]quests!$1:$1,0)-MATCH($B$1,[2]quests!$1:$1,0)+1),MATCH(D$1,[2]quests!$1:$1,0)-MATCH($B$1,[2]quests!$1:$1,0)+1,FALSE)</f>
        <v>コラボクエスト</v>
      </c>
      <c r="E79" s="88">
        <v>3</v>
      </c>
      <c r="F79" s="84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【上級】ミクエキスポ</v>
      </c>
      <c r="G79" s="84" t="str">
        <f ca="1">VLOOKUP($B79&amp;"_"&amp;$E79,OFFSET([2]stages!$A$1,0,0,COUNTA([2]stages!$A:$A),MATCH(G$1,[2]stages!$2:$2,0)-MATCH("temp_stage",[2]stages!$2:$2,0)+1),MATCH(G$1,[2]stages!$2:$2,0)-MATCH("temp_stage",[2]stages!$2:$2,0)+1,FALSE)</f>
        <v>コラボクエスト</v>
      </c>
      <c r="H79" s="86">
        <v>0</v>
      </c>
      <c r="I79" s="128">
        <v>24</v>
      </c>
      <c r="J79" s="85" t="s">
        <v>281</v>
      </c>
      <c r="K79" s="126" t="str">
        <f>VLOOKUP(I79,[7]stage_hints!$A:$C,3,FALSE)</f>
        <v>りんごを使って限界突破</v>
      </c>
      <c r="L79" s="127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7" t="s">
        <v>189</v>
      </c>
    </row>
    <row r="80" spans="1:13" x14ac:dyDescent="0.15">
      <c r="A80" s="82" t="s">
        <v>265</v>
      </c>
      <c r="B80" s="83">
        <v>39005</v>
      </c>
      <c r="C80" s="84" t="str">
        <f ca="1">VLOOKUP($B80,OFFSET([2]quests!$A$1,0,0,COUNTA([2]quests!$A:$A),MATCH(C$1,[2]quests!$1:$1,0)-MATCH($B$1,[2]quests!$1:$1,0)+1),MATCH(C$1,[2]quests!$1:$1,0)-MATCH($B$1,[2]quests!$1:$1,0)+1,FALSE)</f>
        <v xml:space="preserve">ミクエキスポ </v>
      </c>
      <c r="D80" s="84" t="str">
        <f ca="1">VLOOKUP($B80,OFFSET([2]quests!$A$1,0,0,COUNTA([2]quests!$A:$A),MATCH(D$1,[2]quests!$1:$1,0)-MATCH($B$1,[2]quests!$1:$1,0)+1),MATCH(D$1,[2]quests!$1:$1,0)-MATCH($B$1,[2]quests!$1:$1,0)+1,FALSE)</f>
        <v>コラボクエスト</v>
      </c>
      <c r="E80" s="88">
        <v>3</v>
      </c>
      <c r="F80" s="84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【上級】ミクエキスポ</v>
      </c>
      <c r="G80" s="84" t="str">
        <f ca="1">VLOOKUP($B80&amp;"_"&amp;$E80,OFFSET([2]stages!$A$1,0,0,COUNTA([2]stages!$A:$A),MATCH(G$1,[2]stages!$2:$2,0)-MATCH("temp_stage",[2]stages!$2:$2,0)+1),MATCH(G$1,[2]stages!$2:$2,0)-MATCH("temp_stage",[2]stages!$2:$2,0)+1,FALSE)</f>
        <v>コラボクエスト</v>
      </c>
      <c r="H80" s="86">
        <v>0</v>
      </c>
      <c r="I80" s="128">
        <v>25</v>
      </c>
      <c r="J80" s="85" t="s">
        <v>281</v>
      </c>
      <c r="K80" s="126" t="str">
        <f>VLOOKUP(I80,[7]stage_hints!$A:$C,3,FALSE)</f>
        <v>スキルレベルアップ</v>
      </c>
      <c r="L80" s="127" t="str">
        <f>VLOOKUP(I80,[7]stage_hints!$A:$D,4,FALSE)</f>
        <v>「クリスタルのりんご」を強化に使うと_x000D_スキルレベルを上げることができます</v>
      </c>
      <c r="M80" s="57" t="s">
        <v>189</v>
      </c>
    </row>
    <row r="81" spans="1:13" x14ac:dyDescent="0.15">
      <c r="A81" s="82" t="s">
        <v>265</v>
      </c>
      <c r="B81" s="83">
        <v>39005</v>
      </c>
      <c r="C81" s="84" t="str">
        <f ca="1">VLOOKUP($B81,OFFSET([2]quests!$A$1,0,0,COUNTA([2]quests!$A:$A),MATCH(C$1,[2]quests!$1:$1,0)-MATCH($B$1,[2]quests!$1:$1,0)+1),MATCH(C$1,[2]quests!$1:$1,0)-MATCH($B$1,[2]quests!$1:$1,0)+1,FALSE)</f>
        <v xml:space="preserve">ミクエキスポ </v>
      </c>
      <c r="D81" s="84" t="str">
        <f ca="1">VLOOKUP($B81,OFFSET([2]quests!$A$1,0,0,COUNTA([2]quests!$A:$A),MATCH(D$1,[2]quests!$1:$1,0)-MATCH($B$1,[2]quests!$1:$1,0)+1),MATCH(D$1,[2]quests!$1:$1,0)-MATCH($B$1,[2]quests!$1:$1,0)+1,FALSE)</f>
        <v>コラボクエスト</v>
      </c>
      <c r="E81" s="88">
        <v>3</v>
      </c>
      <c r="F81" s="84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【上級】ミクエキスポ</v>
      </c>
      <c r="G81" s="84" t="str">
        <f ca="1">VLOOKUP($B81&amp;"_"&amp;$E81,OFFSET([2]stages!$A$1,0,0,COUNTA([2]stages!$A:$A),MATCH(G$1,[2]stages!$2:$2,0)-MATCH("temp_stage",[2]stages!$2:$2,0)+1),MATCH(G$1,[2]stages!$2:$2,0)-MATCH("temp_stage",[2]stages!$2:$2,0)+1,FALSE)</f>
        <v>コラボクエスト</v>
      </c>
      <c r="H81" s="86">
        <v>0</v>
      </c>
      <c r="I81" s="128">
        <v>26</v>
      </c>
      <c r="J81" s="85" t="s">
        <v>283</v>
      </c>
      <c r="K81" s="126" t="str">
        <f>VLOOKUP(I81,[7]stage_hints!$A:$C,3,FALSE)</f>
        <v>スキルレベルの効果</v>
      </c>
      <c r="L81" s="127" t="str">
        <f>VLOOKUP(I81,[7]stage_hints!$A:$D,4,FALSE)</f>
        <v>スキルレベルが上がると_x000D_短いターンでスキルを使うことができます</v>
      </c>
      <c r="M81" s="57" t="s">
        <v>284</v>
      </c>
    </row>
    <row r="82" spans="1:13" x14ac:dyDescent="0.15">
      <c r="A82" s="82" t="s">
        <v>265</v>
      </c>
      <c r="B82" s="83">
        <v>39005</v>
      </c>
      <c r="C82" s="84" t="str">
        <f ca="1">VLOOKUP($B82,OFFSET([2]quests!$A$1,0,0,COUNTA([2]quests!$A:$A),MATCH(C$1,[2]quests!$1:$1,0)-MATCH($B$1,[2]quests!$1:$1,0)+1),MATCH(C$1,[2]quests!$1:$1,0)-MATCH($B$1,[2]quests!$1:$1,0)+1,FALSE)</f>
        <v xml:space="preserve">ミクエキスポ </v>
      </c>
      <c r="D82" s="84" t="str">
        <f ca="1">VLOOKUP($B82,OFFSET([2]quests!$A$1,0,0,COUNTA([2]quests!$A:$A),MATCH(D$1,[2]quests!$1:$1,0)-MATCH($B$1,[2]quests!$1:$1,0)+1),MATCH(D$1,[2]quests!$1:$1,0)-MATCH($B$1,[2]quests!$1:$1,0)+1,FALSE)</f>
        <v>コラボクエスト</v>
      </c>
      <c r="E82" s="88">
        <v>3</v>
      </c>
      <c r="F82" s="84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【上級】ミクエキスポ</v>
      </c>
      <c r="G82" s="84" t="str">
        <f ca="1">VLOOKUP($B82&amp;"_"&amp;$E82,OFFSET([2]stages!$A$1,0,0,COUNTA([2]stages!$A:$A),MATCH(G$1,[2]stages!$2:$2,0)-MATCH("temp_stage",[2]stages!$2:$2,0)+1),MATCH(G$1,[2]stages!$2:$2,0)-MATCH("temp_stage",[2]stages!$2:$2,0)+1,FALSE)</f>
        <v>コラボクエスト</v>
      </c>
      <c r="H82" s="86">
        <v>0</v>
      </c>
      <c r="I82" s="128">
        <v>27</v>
      </c>
      <c r="J82" s="85" t="s">
        <v>283</v>
      </c>
      <c r="K82" s="126" t="str">
        <f>VLOOKUP(I82,[7]stage_hints!$A:$C,3,FALSE)</f>
        <v>ホーム画面からデッキを編成</v>
      </c>
      <c r="L82" s="127" t="str">
        <f>VLOOKUP(I82,[7]stage_hints!$A:$D,4,FALSE)</f>
        <v>ホーム画面でユニットを長押しすると_x000D_すぐにパーティ編成に移動できます</v>
      </c>
      <c r="M82" s="57" t="s">
        <v>285</v>
      </c>
    </row>
    <row r="83" spans="1:13" x14ac:dyDescent="0.15">
      <c r="A83" s="82" t="s">
        <v>265</v>
      </c>
      <c r="B83" s="83">
        <v>39005</v>
      </c>
      <c r="C83" s="84" t="str">
        <f ca="1">VLOOKUP($B83,OFFSET([2]quests!$A$1,0,0,COUNTA([2]quests!$A:$A),MATCH(C$1,[2]quests!$1:$1,0)-MATCH($B$1,[2]quests!$1:$1,0)+1),MATCH(C$1,[2]quests!$1:$1,0)-MATCH($B$1,[2]quests!$1:$1,0)+1,FALSE)</f>
        <v xml:space="preserve">ミクエキスポ </v>
      </c>
      <c r="D83" s="84" t="str">
        <f ca="1">VLOOKUP($B83,OFFSET([2]quests!$A$1,0,0,COUNTA([2]quests!$A:$A),MATCH(D$1,[2]quests!$1:$1,0)-MATCH($B$1,[2]quests!$1:$1,0)+1),MATCH(D$1,[2]quests!$1:$1,0)-MATCH($B$1,[2]quests!$1:$1,0)+1,FALSE)</f>
        <v>コラボクエスト</v>
      </c>
      <c r="E83" s="88">
        <v>3</v>
      </c>
      <c r="F83" s="84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【上級】ミクエキスポ</v>
      </c>
      <c r="G83" s="84" t="str">
        <f ca="1">VLOOKUP($B83&amp;"_"&amp;$E83,OFFSET([2]stages!$A$1,0,0,COUNTA([2]stages!$A:$A),MATCH(G$1,[2]stages!$2:$2,0)-MATCH("temp_stage",[2]stages!$2:$2,0)+1),MATCH(G$1,[2]stages!$2:$2,0)-MATCH("temp_stage",[2]stages!$2:$2,0)+1,FALSE)</f>
        <v>コラボクエスト</v>
      </c>
      <c r="H83" s="86">
        <v>0</v>
      </c>
      <c r="I83" s="128">
        <v>28</v>
      </c>
      <c r="J83" s="85" t="s">
        <v>283</v>
      </c>
      <c r="K83" s="126" t="str">
        <f>VLOOKUP(I83,[7]stage_hints!$A:$C,3,FALSE)</f>
        <v>ステータス情報は長押しで</v>
      </c>
      <c r="L83" s="127" t="str">
        <f>VLOOKUP(I83,[7]stage_hints!$A:$D,4,FALSE)</f>
        <v>ユニットのアイコンを長押しすると_x000D_ステータス情報を確認することができます</v>
      </c>
      <c r="M83" s="57" t="s">
        <v>285</v>
      </c>
    </row>
    <row r="84" spans="1:13" x14ac:dyDescent="0.15">
      <c r="A84" s="82" t="s">
        <v>265</v>
      </c>
      <c r="B84" s="83">
        <v>39005</v>
      </c>
      <c r="C84" s="84" t="str">
        <f ca="1">VLOOKUP($B84,OFFSET([2]quests!$A$1,0,0,COUNTA([2]quests!$A:$A),MATCH(C$1,[2]quests!$1:$1,0)-MATCH($B$1,[2]quests!$1:$1,0)+1),MATCH(C$1,[2]quests!$1:$1,0)-MATCH($B$1,[2]quests!$1:$1,0)+1,FALSE)</f>
        <v xml:space="preserve">ミクエキスポ </v>
      </c>
      <c r="D84" s="84" t="str">
        <f ca="1">VLOOKUP($B84,OFFSET([2]quests!$A$1,0,0,COUNTA([2]quests!$A:$A),MATCH(D$1,[2]quests!$1:$1,0)-MATCH($B$1,[2]quests!$1:$1,0)+1),MATCH(D$1,[2]quests!$1:$1,0)-MATCH($B$1,[2]quests!$1:$1,0)+1,FALSE)</f>
        <v>コラボクエスト</v>
      </c>
      <c r="E84" s="88">
        <v>3</v>
      </c>
      <c r="F84" s="84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【上級】ミクエキスポ</v>
      </c>
      <c r="G84" s="84" t="str">
        <f ca="1">VLOOKUP($B84&amp;"_"&amp;$E84,OFFSET([2]stages!$A$1,0,0,COUNTA([2]stages!$A:$A),MATCH(G$1,[2]stages!$2:$2,0)-MATCH("temp_stage",[2]stages!$2:$2,0)+1),MATCH(G$1,[2]stages!$2:$2,0)-MATCH("temp_stage",[2]stages!$2:$2,0)+1,FALSE)</f>
        <v>コラボクエスト</v>
      </c>
      <c r="H84" s="86">
        <v>0</v>
      </c>
      <c r="I84" s="128">
        <v>29</v>
      </c>
      <c r="J84" s="85" t="s">
        <v>283</v>
      </c>
      <c r="K84" s="126" t="str">
        <f>VLOOKUP(I84,[7]stage_hints!$A:$C,3,FALSE)</f>
        <v>「バグ」のメリット</v>
      </c>
      <c r="L84" s="127" t="str">
        <f>VLOOKUP(I84,[7]stage_hints!$A:$D,4,FALSE)</f>
        <v>ユニットの「バグ」を増やすと_x000D_報酬をもらえる確率がアップします</v>
      </c>
      <c r="M84" s="57" t="s">
        <v>286</v>
      </c>
    </row>
    <row r="85" spans="1:13" x14ac:dyDescent="0.15">
      <c r="A85" s="82" t="s">
        <v>265</v>
      </c>
      <c r="B85" s="83">
        <v>39005</v>
      </c>
      <c r="C85" s="84" t="str">
        <f ca="1">VLOOKUP($B85,OFFSET([2]quests!$A$1,0,0,COUNTA([2]quests!$A:$A),MATCH(C$1,[2]quests!$1:$1,0)-MATCH($B$1,[2]quests!$1:$1,0)+1),MATCH(C$1,[2]quests!$1:$1,0)-MATCH($B$1,[2]quests!$1:$1,0)+1,FALSE)</f>
        <v xml:space="preserve">ミクエキスポ </v>
      </c>
      <c r="D85" s="84" t="str">
        <f ca="1">VLOOKUP($B85,OFFSET([2]quests!$A$1,0,0,COUNTA([2]quests!$A:$A),MATCH(D$1,[2]quests!$1:$1,0)-MATCH($B$1,[2]quests!$1:$1,0)+1),MATCH(D$1,[2]quests!$1:$1,0)-MATCH($B$1,[2]quests!$1:$1,0)+1,FALSE)</f>
        <v>コラボクエスト</v>
      </c>
      <c r="E85" s="88">
        <v>3</v>
      </c>
      <c r="F85" s="84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【上級】ミクエキスポ</v>
      </c>
      <c r="G85" s="84" t="str">
        <f ca="1">VLOOKUP($B85&amp;"_"&amp;$E85,OFFSET([2]stages!$A$1,0,0,COUNTA([2]stages!$A:$A),MATCH(G$1,[2]stages!$2:$2,0)-MATCH("temp_stage",[2]stages!$2:$2,0)+1),MATCH(G$1,[2]stages!$2:$2,0)-MATCH("temp_stage",[2]stages!$2:$2,0)+1,FALSE)</f>
        <v>コラボクエスト</v>
      </c>
      <c r="H85" s="86">
        <v>0</v>
      </c>
      <c r="I85" s="128">
        <v>30</v>
      </c>
      <c r="J85" s="85" t="s">
        <v>283</v>
      </c>
      <c r="K85" s="126" t="str">
        <f>VLOOKUP(I85,[7]stage_hints!$A:$C,3,FALSE)</f>
        <v>「バグ」の増やし方</v>
      </c>
      <c r="L85" s="127" t="str">
        <f>VLOOKUP(I85,[7]stage_hints!$A:$D,4,FALSE)</f>
        <v>同じユニット同士を強化で合成すると_x000D_「バグ」を増やすことができます</v>
      </c>
      <c r="M85" s="57" t="s">
        <v>189</v>
      </c>
    </row>
    <row r="86" spans="1:13" x14ac:dyDescent="0.15">
      <c r="A86" s="82" t="s">
        <v>265</v>
      </c>
      <c r="B86" s="83">
        <v>39005</v>
      </c>
      <c r="C86" s="84" t="str">
        <f ca="1">VLOOKUP($B86,OFFSET([2]quests!$A$1,0,0,COUNTA([2]quests!$A:$A),MATCH(C$1,[2]quests!$1:$1,0)-MATCH($B$1,[2]quests!$1:$1,0)+1),MATCH(C$1,[2]quests!$1:$1,0)-MATCH($B$1,[2]quests!$1:$1,0)+1,FALSE)</f>
        <v xml:space="preserve">ミクエキスポ </v>
      </c>
      <c r="D86" s="84" t="str">
        <f ca="1">VLOOKUP($B86,OFFSET([2]quests!$A$1,0,0,COUNTA([2]quests!$A:$A),MATCH(D$1,[2]quests!$1:$1,0)-MATCH($B$1,[2]quests!$1:$1,0)+1),MATCH(D$1,[2]quests!$1:$1,0)-MATCH($B$1,[2]quests!$1:$1,0)+1,FALSE)</f>
        <v>コラボクエスト</v>
      </c>
      <c r="E86" s="88">
        <v>3</v>
      </c>
      <c r="F86" s="84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【上級】ミクエキスポ</v>
      </c>
      <c r="G86" s="84" t="str">
        <f ca="1">VLOOKUP($B86&amp;"_"&amp;$E86,OFFSET([2]stages!$A$1,0,0,COUNTA([2]stages!$A:$A),MATCH(G$1,[2]stages!$2:$2,0)-MATCH("temp_stage",[2]stages!$2:$2,0)+1),MATCH(G$1,[2]stages!$2:$2,0)-MATCH("temp_stage",[2]stages!$2:$2,0)+1,FALSE)</f>
        <v>コラボクエスト</v>
      </c>
      <c r="H86" s="86">
        <v>0</v>
      </c>
      <c r="I86" s="128">
        <v>31</v>
      </c>
      <c r="J86" s="85" t="s">
        <v>283</v>
      </c>
      <c r="K86" s="126" t="str">
        <f>VLOOKUP(I86,[7]stage_hints!$A:$C,3,FALSE)</f>
        <v>イベントはお知らせでチェック</v>
      </c>
      <c r="L86" s="127" t="str">
        <f>VLOOKUP(I86,[7]stage_hints!$A:$D,4,FALSE)</f>
        <v>イベント限定ユニットを取り忘れないように_x000D_お知らせをこまめにチェックしましょう</v>
      </c>
      <c r="M86" s="57" t="s">
        <v>285</v>
      </c>
    </row>
    <row r="87" spans="1:13" x14ac:dyDescent="0.15">
      <c r="A87" s="82" t="s">
        <v>265</v>
      </c>
      <c r="B87" s="83">
        <v>39005</v>
      </c>
      <c r="C87" s="84" t="str">
        <f ca="1">VLOOKUP($B87,OFFSET([2]quests!$A$1,0,0,COUNTA([2]quests!$A:$A),MATCH(C$1,[2]quests!$1:$1,0)-MATCH($B$1,[2]quests!$1:$1,0)+1),MATCH(C$1,[2]quests!$1:$1,0)-MATCH($B$1,[2]quests!$1:$1,0)+1,FALSE)</f>
        <v xml:space="preserve">ミクエキスポ </v>
      </c>
      <c r="D87" s="84" t="str">
        <f ca="1">VLOOKUP($B87,OFFSET([2]quests!$A$1,0,0,COUNTA([2]quests!$A:$A),MATCH(D$1,[2]quests!$1:$1,0)-MATCH($B$1,[2]quests!$1:$1,0)+1),MATCH(D$1,[2]quests!$1:$1,0)-MATCH($B$1,[2]quests!$1:$1,0)+1,FALSE)</f>
        <v>コラボクエスト</v>
      </c>
      <c r="E87" s="88">
        <v>3</v>
      </c>
      <c r="F87" s="84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【上級】ミクエキスポ</v>
      </c>
      <c r="G87" s="84" t="str">
        <f ca="1">VLOOKUP($B87&amp;"_"&amp;$E87,OFFSET([2]stages!$A$1,0,0,COUNTA([2]stages!$A:$A),MATCH(G$1,[2]stages!$2:$2,0)-MATCH("temp_stage",[2]stages!$2:$2,0)+1),MATCH(G$1,[2]stages!$2:$2,0)-MATCH("temp_stage",[2]stages!$2:$2,0)+1,FALSE)</f>
        <v>コラボクエスト</v>
      </c>
      <c r="H87" s="86">
        <v>0</v>
      </c>
      <c r="I87" s="128">
        <v>32</v>
      </c>
      <c r="J87" s="85" t="s">
        <v>283</v>
      </c>
      <c r="K87" s="126" t="str">
        <f>VLOOKUP(I87,[7]stage_hints!$A:$C,3,FALSE)</f>
        <v>敵の連続攻撃には</v>
      </c>
      <c r="L87" s="127" t="str">
        <f>VLOOKUP(I87,[7]stage_hints!$A:$D,4,FALSE)</f>
        <v>カウンタースキルを持つユニットがいれば_x000D_ダメージ回数分の反撃ができます</v>
      </c>
      <c r="M87" s="57" t="s">
        <v>189</v>
      </c>
    </row>
    <row r="88" spans="1:13" x14ac:dyDescent="0.15">
      <c r="A88" s="82" t="s">
        <v>265</v>
      </c>
      <c r="B88" s="83">
        <v>39005</v>
      </c>
      <c r="C88" s="84" t="str">
        <f ca="1">VLOOKUP($B88,OFFSET([2]quests!$A$1,0,0,COUNTA([2]quests!$A:$A),MATCH(C$1,[2]quests!$1:$1,0)-MATCH($B$1,[2]quests!$1:$1,0)+1),MATCH(C$1,[2]quests!$1:$1,0)-MATCH($B$1,[2]quests!$1:$1,0)+1,FALSE)</f>
        <v xml:space="preserve">ミクエキスポ </v>
      </c>
      <c r="D88" s="84" t="str">
        <f ca="1">VLOOKUP($B88,OFFSET([2]quests!$A$1,0,0,COUNTA([2]quests!$A:$A),MATCH(D$1,[2]quests!$1:$1,0)-MATCH($B$1,[2]quests!$1:$1,0)+1),MATCH(D$1,[2]quests!$1:$1,0)-MATCH($B$1,[2]quests!$1:$1,0)+1,FALSE)</f>
        <v>コラボクエスト</v>
      </c>
      <c r="E88" s="88">
        <v>3</v>
      </c>
      <c r="F88" s="84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【上級】ミクエキスポ</v>
      </c>
      <c r="G88" s="84" t="str">
        <f ca="1">VLOOKUP($B88&amp;"_"&amp;$E88,OFFSET([2]stages!$A$1,0,0,COUNTA([2]stages!$A:$A),MATCH(G$1,[2]stages!$2:$2,0)-MATCH("temp_stage",[2]stages!$2:$2,0)+1),MATCH(G$1,[2]stages!$2:$2,0)-MATCH("temp_stage",[2]stages!$2:$2,0)+1,FALSE)</f>
        <v>コラボクエスト</v>
      </c>
      <c r="H88" s="86">
        <v>0</v>
      </c>
      <c r="I88" s="128">
        <v>33</v>
      </c>
      <c r="J88" s="85" t="s">
        <v>283</v>
      </c>
      <c r="K88" s="126" t="str">
        <f>VLOOKUP(I88,[7]stage_hints!$A:$C,3,FALSE)</f>
        <v>敵のカウンター攻撃には</v>
      </c>
      <c r="L88" s="127" t="str">
        <f>VLOOKUP(I88,[7]stage_hints!$A:$D,4,FALSE)</f>
        <v>カウンターブレイクスキルを持っていれば_x000D_敵のカウンターを解除して攻撃ができます</v>
      </c>
      <c r="M88" s="57" t="s">
        <v>189</v>
      </c>
    </row>
    <row r="89" spans="1:13" x14ac:dyDescent="0.15">
      <c r="A89" s="82" t="s">
        <v>265</v>
      </c>
      <c r="B89" s="83">
        <v>39005</v>
      </c>
      <c r="C89" s="84" t="str">
        <f ca="1">VLOOKUP($B89,OFFSET([2]quests!$A$1,0,0,COUNTA([2]quests!$A:$A),MATCH(C$1,[2]quests!$1:$1,0)-MATCH($B$1,[2]quests!$1:$1,0)+1),MATCH(C$1,[2]quests!$1:$1,0)-MATCH($B$1,[2]quests!$1:$1,0)+1,FALSE)</f>
        <v xml:space="preserve">ミクエキスポ </v>
      </c>
      <c r="D89" s="84" t="str">
        <f ca="1">VLOOKUP($B89,OFFSET([2]quests!$A$1,0,0,COUNTA([2]quests!$A:$A),MATCH(D$1,[2]quests!$1:$1,0)-MATCH($B$1,[2]quests!$1:$1,0)+1),MATCH(D$1,[2]quests!$1:$1,0)-MATCH($B$1,[2]quests!$1:$1,0)+1,FALSE)</f>
        <v>コラボクエスト</v>
      </c>
      <c r="E89" s="88">
        <v>3</v>
      </c>
      <c r="F89" s="84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【上級】ミクエキスポ</v>
      </c>
      <c r="G89" s="84" t="str">
        <f ca="1">VLOOKUP($B89&amp;"_"&amp;$E89,OFFSET([2]stages!$A$1,0,0,COUNTA([2]stages!$A:$A),MATCH(G$1,[2]stages!$2:$2,0)-MATCH("temp_stage",[2]stages!$2:$2,0)+1),MATCH(G$1,[2]stages!$2:$2,0)-MATCH("temp_stage",[2]stages!$2:$2,0)+1,FALSE)</f>
        <v>コラボクエスト</v>
      </c>
      <c r="H89" s="86">
        <v>0</v>
      </c>
      <c r="I89" s="128">
        <v>34</v>
      </c>
      <c r="J89" s="85" t="s">
        <v>283</v>
      </c>
      <c r="K89" s="126" t="str">
        <f>VLOOKUP(I89,[7]stage_hints!$A:$C,3,FALSE)</f>
        <v>ステータスをスキルで下げられたら</v>
      </c>
      <c r="L89" s="127" t="str">
        <f>VLOOKUP(I89,[7]stage_hints!$A:$D,4,FALSE)</f>
        <v>ステータスダウンのスキルを受けたら_x000D_ステータスアップスキルで上書きしましょう</v>
      </c>
      <c r="M89" s="57" t="s">
        <v>285</v>
      </c>
    </row>
    <row r="90" spans="1:13" x14ac:dyDescent="0.15">
      <c r="A90" s="82" t="s">
        <v>265</v>
      </c>
      <c r="B90" s="83">
        <v>39005</v>
      </c>
      <c r="C90" s="84" t="str">
        <f ca="1">VLOOKUP($B90,OFFSET([2]quests!$A$1,0,0,COUNTA([2]quests!$A:$A),MATCH(C$1,[2]quests!$1:$1,0)-MATCH($B$1,[2]quests!$1:$1,0)+1),MATCH(C$1,[2]quests!$1:$1,0)-MATCH($B$1,[2]quests!$1:$1,0)+1,FALSE)</f>
        <v xml:space="preserve">ミクエキスポ </v>
      </c>
      <c r="D90" s="84" t="str">
        <f ca="1">VLOOKUP($B90,OFFSET([2]quests!$A$1,0,0,COUNTA([2]quests!$A:$A),MATCH(D$1,[2]quests!$1:$1,0)-MATCH($B$1,[2]quests!$1:$1,0)+1),MATCH(D$1,[2]quests!$1:$1,0)-MATCH($B$1,[2]quests!$1:$1,0)+1,FALSE)</f>
        <v>コラボクエスト</v>
      </c>
      <c r="E90" s="88">
        <v>3</v>
      </c>
      <c r="F90" s="84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【上級】ミクエキスポ</v>
      </c>
      <c r="G90" s="84" t="str">
        <f ca="1">VLOOKUP($B90&amp;"_"&amp;$E90,OFFSET([2]stages!$A$1,0,0,COUNTA([2]stages!$A:$A),MATCH(G$1,[2]stages!$2:$2,0)-MATCH("temp_stage",[2]stages!$2:$2,0)+1),MATCH(G$1,[2]stages!$2:$2,0)-MATCH("temp_stage",[2]stages!$2:$2,0)+1,FALSE)</f>
        <v>コラボクエスト</v>
      </c>
      <c r="H90" s="86">
        <v>0</v>
      </c>
      <c r="I90" s="128">
        <v>35</v>
      </c>
      <c r="J90" s="85" t="s">
        <v>283</v>
      </c>
      <c r="K90" s="126" t="str">
        <f>VLOOKUP(I90,[7]stage_hints!$A:$C,3,FALSE)</f>
        <v>敵のステータスがスキルで上がったら</v>
      </c>
      <c r="L90" s="127" t="str">
        <f>VLOOKUP(I90,[7]stage_hints!$A:$D,4,FALSE)</f>
        <v>敵のステータスがスキルでアップしたときは_x000D_ステータスダウンスキルで上書きしましょう</v>
      </c>
      <c r="M90" s="57" t="s">
        <v>285</v>
      </c>
    </row>
    <row r="91" spans="1:13" x14ac:dyDescent="0.15">
      <c r="A91" s="82" t="s">
        <v>265</v>
      </c>
      <c r="B91" s="83">
        <v>39005</v>
      </c>
      <c r="C91" s="84" t="str">
        <f ca="1">VLOOKUP($B91,OFFSET([2]quests!$A$1,0,0,COUNTA([2]quests!$A:$A),MATCH(C$1,[2]quests!$1:$1,0)-MATCH($B$1,[2]quests!$1:$1,0)+1),MATCH(C$1,[2]quests!$1:$1,0)-MATCH($B$1,[2]quests!$1:$1,0)+1,FALSE)</f>
        <v xml:space="preserve">ミクエキスポ </v>
      </c>
      <c r="D91" s="84" t="str">
        <f ca="1">VLOOKUP($B91,OFFSET([2]quests!$A$1,0,0,COUNTA([2]quests!$A:$A),MATCH(D$1,[2]quests!$1:$1,0)-MATCH($B$1,[2]quests!$1:$1,0)+1),MATCH(D$1,[2]quests!$1:$1,0)-MATCH($B$1,[2]quests!$1:$1,0)+1,FALSE)</f>
        <v>コラボクエスト</v>
      </c>
      <c r="E91" s="88">
        <v>3</v>
      </c>
      <c r="F91" s="84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【上級】ミクエキスポ</v>
      </c>
      <c r="G91" s="84" t="str">
        <f ca="1">VLOOKUP($B91&amp;"_"&amp;$E91,OFFSET([2]stages!$A$1,0,0,COUNTA([2]stages!$A:$A),MATCH(G$1,[2]stages!$2:$2,0)-MATCH("temp_stage",[2]stages!$2:$2,0)+1),MATCH(G$1,[2]stages!$2:$2,0)-MATCH("temp_stage",[2]stages!$2:$2,0)+1,FALSE)</f>
        <v>コラボクエスト</v>
      </c>
      <c r="H91" s="86">
        <v>0</v>
      </c>
      <c r="I91" s="128">
        <v>36</v>
      </c>
      <c r="J91" s="85" t="s">
        <v>283</v>
      </c>
      <c r="K91" s="126" t="str">
        <f>VLOOKUP(I91,[7]stage_hints!$A:$C,3,FALSE)</f>
        <v>チャレンジタワーのボス</v>
      </c>
      <c r="L91" s="127" t="str">
        <f>VLOOKUP(I91,[7]stage_hints!$A:$D,4,FALSE)</f>
        <v>チャレンジタワーでのみ登場するボスは_x000D_一定確率で獲得することができます</v>
      </c>
      <c r="M91" s="57" t="s">
        <v>287</v>
      </c>
    </row>
    <row r="92" spans="1:13" x14ac:dyDescent="0.15">
      <c r="A92" s="82" t="s">
        <v>265</v>
      </c>
      <c r="B92" s="83">
        <v>39005</v>
      </c>
      <c r="C92" s="84" t="str">
        <f ca="1">VLOOKUP($B92,OFFSET([2]quests!$A$1,0,0,COUNTA([2]quests!$A:$A),MATCH(C$1,[2]quests!$1:$1,0)-MATCH($B$1,[2]quests!$1:$1,0)+1),MATCH(C$1,[2]quests!$1:$1,0)-MATCH($B$1,[2]quests!$1:$1,0)+1,FALSE)</f>
        <v xml:space="preserve">ミクエキスポ </v>
      </c>
      <c r="D92" s="84" t="str">
        <f ca="1">VLOOKUP($B92,OFFSET([2]quests!$A$1,0,0,COUNTA([2]quests!$A:$A),MATCH(D$1,[2]quests!$1:$1,0)-MATCH($B$1,[2]quests!$1:$1,0)+1),MATCH(D$1,[2]quests!$1:$1,0)-MATCH($B$1,[2]quests!$1:$1,0)+1,FALSE)</f>
        <v>コラボクエスト</v>
      </c>
      <c r="E92" s="88">
        <v>3</v>
      </c>
      <c r="F92" s="84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【上級】ミクエキスポ</v>
      </c>
      <c r="G92" s="84" t="str">
        <f ca="1">VLOOKUP($B92&amp;"_"&amp;$E92,OFFSET([2]stages!$A$1,0,0,COUNTA([2]stages!$A:$A),MATCH(G$1,[2]stages!$2:$2,0)-MATCH("temp_stage",[2]stages!$2:$2,0)+1),MATCH(G$1,[2]stages!$2:$2,0)-MATCH("temp_stage",[2]stages!$2:$2,0)+1,FALSE)</f>
        <v>コラボクエスト</v>
      </c>
      <c r="H92" s="86">
        <v>0</v>
      </c>
      <c r="I92" s="128">
        <v>37</v>
      </c>
      <c r="J92" s="85" t="s">
        <v>283</v>
      </c>
      <c r="K92" s="126" t="str">
        <f>VLOOKUP(I92,[7]stage_hints!$A:$C,3,FALSE)</f>
        <v>限界突破値の引き継ぎ</v>
      </c>
      <c r="L92" s="127" t="str">
        <f>VLOOKUP(I92,[7]stage_hints!$A:$D,4,FALSE)</f>
        <v>同じユニットを強化で合成すると_x000D_限界突破値を引き継げます（覚醒前後も可）</v>
      </c>
      <c r="M92" s="57" t="s">
        <v>287</v>
      </c>
    </row>
    <row r="93" spans="1:13" x14ac:dyDescent="0.15">
      <c r="A93" s="82" t="s">
        <v>265</v>
      </c>
      <c r="B93" s="83">
        <v>39005</v>
      </c>
      <c r="C93" s="84" t="str">
        <f ca="1">VLOOKUP($B93,OFFSET([2]quests!$A$1,0,0,COUNTA([2]quests!$A:$A),MATCH(C$1,[2]quests!$1:$1,0)-MATCH($B$1,[2]quests!$1:$1,0)+1),MATCH(C$1,[2]quests!$1:$1,0)-MATCH($B$1,[2]quests!$1:$1,0)+1,FALSE)</f>
        <v xml:space="preserve">ミクエキスポ </v>
      </c>
      <c r="D93" s="84" t="str">
        <f ca="1">VLOOKUP($B93,OFFSET([2]quests!$A$1,0,0,COUNTA([2]quests!$A:$A),MATCH(D$1,[2]quests!$1:$1,0)-MATCH($B$1,[2]quests!$1:$1,0)+1),MATCH(D$1,[2]quests!$1:$1,0)-MATCH($B$1,[2]quests!$1:$1,0)+1,FALSE)</f>
        <v>コラボクエスト</v>
      </c>
      <c r="E93" s="88">
        <v>3</v>
      </c>
      <c r="F93" s="84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【上級】ミクエキスポ</v>
      </c>
      <c r="G93" s="84" t="str">
        <f ca="1">VLOOKUP($B93&amp;"_"&amp;$E93,OFFSET([2]stages!$A$1,0,0,COUNTA([2]stages!$A:$A),MATCH(G$1,[2]stages!$2:$2,0)-MATCH("temp_stage",[2]stages!$2:$2,0)+1),MATCH(G$1,[2]stages!$2:$2,0)-MATCH("temp_stage",[2]stages!$2:$2,0)+1,FALSE)</f>
        <v>コラボクエスト</v>
      </c>
      <c r="H93" s="86">
        <v>0</v>
      </c>
      <c r="I93" s="128">
        <v>39</v>
      </c>
      <c r="J93" s="85" t="s">
        <v>283</v>
      </c>
      <c r="K93" s="126" t="str">
        <f>VLOOKUP(I93,[7]stage_hints!$A:$C,3,FALSE)</f>
        <v>システム適合者を確認</v>
      </c>
      <c r="L93" s="127" t="str">
        <f>VLOOKUP(I93,[7]stage_hints!$A:$D,4,FALSE)</f>
        <v>ALICEが「アナタ」を呼んでいます</v>
      </c>
      <c r="M93" s="57" t="s">
        <v>189</v>
      </c>
    </row>
    <row r="94" spans="1:13" x14ac:dyDescent="0.15">
      <c r="A94" s="82" t="s">
        <v>265</v>
      </c>
      <c r="B94" s="83">
        <v>39005</v>
      </c>
      <c r="C94" s="84" t="str">
        <f ca="1">VLOOKUP($B94,OFFSET([2]quests!$A$1,0,0,COUNTA([2]quests!$A:$A),MATCH(C$1,[2]quests!$1:$1,0)-MATCH($B$1,[2]quests!$1:$1,0)+1),MATCH(C$1,[2]quests!$1:$1,0)-MATCH($B$1,[2]quests!$1:$1,0)+1,FALSE)</f>
        <v xml:space="preserve">ミクエキスポ </v>
      </c>
      <c r="D94" s="84" t="str">
        <f ca="1">VLOOKUP($B94,OFFSET([2]quests!$A$1,0,0,COUNTA([2]quests!$A:$A),MATCH(D$1,[2]quests!$1:$1,0)-MATCH($B$1,[2]quests!$1:$1,0)+1),MATCH(D$1,[2]quests!$1:$1,0)-MATCH($B$1,[2]quests!$1:$1,0)+1,FALSE)</f>
        <v>コラボクエスト</v>
      </c>
      <c r="E94" s="88">
        <v>4</v>
      </c>
      <c r="F94" s="84" t="str">
        <f ca="1">VLOOKUP($B94&amp;"_"&amp;$E94,OFFSET([2]stages!$A$1,0,0,COUNTA([2]stages!$A:$A),MATCH(F$1,[2]stages!$2:$2,0)-MATCH("temp_stage",[2]stages!$2:$2,0)+1),MATCH(F$1,[2]stages!$2:$2,0)-MATCH("temp_stage",[2]stages!$2:$2,0)+1,FALSE)</f>
        <v>【超級】ミクエキスポ</v>
      </c>
      <c r="G94" s="84" t="str">
        <f ca="1">VLOOKUP($B94&amp;"_"&amp;$E94,OFFSET([2]stages!$A$1,0,0,COUNTA([2]stages!$A:$A),MATCH(G$1,[2]stages!$2:$2,0)-MATCH("temp_stage",[2]stages!$2:$2,0)+1),MATCH(G$1,[2]stages!$2:$2,0)-MATCH("temp_stage",[2]stages!$2:$2,0)+1,FALSE)</f>
        <v>コラボクエスト</v>
      </c>
      <c r="H94" s="86">
        <v>0</v>
      </c>
      <c r="I94">
        <v>12</v>
      </c>
      <c r="J94" s="85" t="s">
        <v>279</v>
      </c>
      <c r="K94" s="126" t="str">
        <f>VLOOKUP(I94,[7]stage_hints!$A:$C,3,FALSE)</f>
        <v>ユニットのお気に入り登録</v>
      </c>
      <c r="L94" s="127" t="str">
        <f>VLOOKUP(I94,[7]stage_hints!$A:$D,4,FALSE)</f>
        <v>大事なユニットを誤って消さないように_x000D_フォルダから「お気に入り登録」しましょう</v>
      </c>
      <c r="M94" s="57" t="s">
        <v>280</v>
      </c>
    </row>
    <row r="95" spans="1:13" x14ac:dyDescent="0.15">
      <c r="A95" s="82" t="s">
        <v>265</v>
      </c>
      <c r="B95" s="83">
        <v>39005</v>
      </c>
      <c r="C95" s="84" t="str">
        <f ca="1">VLOOKUP($B95,OFFSET([2]quests!$A$1,0,0,COUNTA([2]quests!$A:$A),MATCH(C$1,[2]quests!$1:$1,0)-MATCH($B$1,[2]quests!$1:$1,0)+1),MATCH(C$1,[2]quests!$1:$1,0)-MATCH($B$1,[2]quests!$1:$1,0)+1,FALSE)</f>
        <v xml:space="preserve">ミクエキスポ </v>
      </c>
      <c r="D95" s="84" t="str">
        <f ca="1">VLOOKUP($B95,OFFSET([2]quests!$A$1,0,0,COUNTA([2]quests!$A:$A),MATCH(D$1,[2]quests!$1:$1,0)-MATCH($B$1,[2]quests!$1:$1,0)+1),MATCH(D$1,[2]quests!$1:$1,0)-MATCH($B$1,[2]quests!$1:$1,0)+1,FALSE)</f>
        <v>コラボクエスト</v>
      </c>
      <c r="E95" s="88">
        <v>4</v>
      </c>
      <c r="F95" s="84" t="str">
        <f ca="1">VLOOKUP($B95&amp;"_"&amp;$E95,OFFSET([2]stages!$A$1,0,0,COUNTA([2]stages!$A:$A),MATCH(F$1,[2]stages!$2:$2,0)-MATCH("temp_stage",[2]stages!$2:$2,0)+1),MATCH(F$1,[2]stages!$2:$2,0)-MATCH("temp_stage",[2]stages!$2:$2,0)+1,FALSE)</f>
        <v>【超級】ミクエキスポ</v>
      </c>
      <c r="G95" s="84" t="str">
        <f ca="1">VLOOKUP($B95&amp;"_"&amp;$E95,OFFSET([2]stages!$A$1,0,0,COUNTA([2]stages!$A:$A),MATCH(G$1,[2]stages!$2:$2,0)-MATCH("temp_stage",[2]stages!$2:$2,0)+1),MATCH(G$1,[2]stages!$2:$2,0)-MATCH("temp_stage",[2]stages!$2:$2,0)+1,FALSE)</f>
        <v>コラボクエスト</v>
      </c>
      <c r="H95" s="86">
        <v>0</v>
      </c>
      <c r="I95">
        <v>17</v>
      </c>
      <c r="J95" s="85" t="s">
        <v>279</v>
      </c>
      <c r="K95" s="126" t="str">
        <f>VLOOKUP(I95,[7]stage_hints!$A:$C,3,FALSE)</f>
        <v>リンクガチャ</v>
      </c>
      <c r="L95" s="127" t="str">
        <f>VLOOKUP(I95,[7]stage_hints!$A:$D,4,FALSE)</f>
        <v>無料のリンクガチャを回して_x000D_経験値素材や売却素材を獲得しましょう</v>
      </c>
      <c r="M95" s="57" t="s">
        <v>189</v>
      </c>
    </row>
    <row r="96" spans="1:13" x14ac:dyDescent="0.15">
      <c r="A96" s="82" t="s">
        <v>265</v>
      </c>
      <c r="B96" s="83">
        <v>39005</v>
      </c>
      <c r="C96" s="84" t="str">
        <f ca="1">VLOOKUP($B96,OFFSET([2]quests!$A$1,0,0,COUNTA([2]quests!$A:$A),MATCH(C$1,[2]quests!$1:$1,0)-MATCH($B$1,[2]quests!$1:$1,0)+1),MATCH(C$1,[2]quests!$1:$1,0)-MATCH($B$1,[2]quests!$1:$1,0)+1,FALSE)</f>
        <v xml:space="preserve">ミクエキスポ </v>
      </c>
      <c r="D96" s="84" t="str">
        <f ca="1">VLOOKUP($B96,OFFSET([2]quests!$A$1,0,0,COUNTA([2]quests!$A:$A),MATCH(D$1,[2]quests!$1:$1,0)-MATCH($B$1,[2]quests!$1:$1,0)+1),MATCH(D$1,[2]quests!$1:$1,0)-MATCH($B$1,[2]quests!$1:$1,0)+1,FALSE)</f>
        <v>コラボクエスト</v>
      </c>
      <c r="E96" s="88">
        <v>4</v>
      </c>
      <c r="F96" s="84" t="str">
        <f ca="1">VLOOKUP($B96&amp;"_"&amp;$E96,OFFSET([2]stages!$A$1,0,0,COUNTA([2]stages!$A:$A),MATCH(F$1,[2]stages!$2:$2,0)-MATCH("temp_stage",[2]stages!$2:$2,0)+1),MATCH(F$1,[2]stages!$2:$2,0)-MATCH("temp_stage",[2]stages!$2:$2,0)+1,FALSE)</f>
        <v>【超級】ミクエキスポ</v>
      </c>
      <c r="G96" s="84" t="str">
        <f ca="1">VLOOKUP($B96&amp;"_"&amp;$E96,OFFSET([2]stages!$A$1,0,0,COUNTA([2]stages!$A:$A),MATCH(G$1,[2]stages!$2:$2,0)-MATCH("temp_stage",[2]stages!$2:$2,0)+1),MATCH(G$1,[2]stages!$2:$2,0)-MATCH("temp_stage",[2]stages!$2:$2,0)+1,FALSE)</f>
        <v>コラボクエスト</v>
      </c>
      <c r="H96" s="86">
        <v>0</v>
      </c>
      <c r="I96">
        <v>19</v>
      </c>
      <c r="J96" s="85" t="s">
        <v>279</v>
      </c>
      <c r="K96" s="126" t="str">
        <f>VLOOKUP(I96,[7]stage_hints!$A:$C,3,FALSE)</f>
        <v>ソロ専用チャレンジタワー</v>
      </c>
      <c r="L96" s="127" t="str">
        <f>VLOOKUP(I96,[7]stage_hints!$A:$D,4,FALSE)</f>
        <v>ソロ専用の「チャレンジタワー」では_x000D_各フロアごとにクリア報酬がもらえます</v>
      </c>
      <c r="M96" s="57" t="s">
        <v>280</v>
      </c>
    </row>
    <row r="97" spans="1:13" x14ac:dyDescent="0.15">
      <c r="A97" s="82" t="s">
        <v>265</v>
      </c>
      <c r="B97" s="83">
        <v>39005</v>
      </c>
      <c r="C97" s="84" t="str">
        <f ca="1">VLOOKUP($B97,OFFSET([2]quests!$A$1,0,0,COUNTA([2]quests!$A:$A),MATCH(C$1,[2]quests!$1:$1,0)-MATCH($B$1,[2]quests!$1:$1,0)+1),MATCH(C$1,[2]quests!$1:$1,0)-MATCH($B$1,[2]quests!$1:$1,0)+1,FALSE)</f>
        <v xml:space="preserve">ミクエキスポ </v>
      </c>
      <c r="D97" s="84" t="str">
        <f ca="1">VLOOKUP($B97,OFFSET([2]quests!$A$1,0,0,COUNTA([2]quests!$A:$A),MATCH(D$1,[2]quests!$1:$1,0)-MATCH($B$1,[2]quests!$1:$1,0)+1),MATCH(D$1,[2]quests!$1:$1,0)-MATCH($B$1,[2]quests!$1:$1,0)+1,FALSE)</f>
        <v>コラボクエスト</v>
      </c>
      <c r="E97" s="88">
        <v>4</v>
      </c>
      <c r="F97" s="84" t="str">
        <f ca="1">VLOOKUP($B97&amp;"_"&amp;$E97,OFFSET([2]stages!$A$1,0,0,COUNTA([2]stages!$A:$A),MATCH(F$1,[2]stages!$2:$2,0)-MATCH("temp_stage",[2]stages!$2:$2,0)+1),MATCH(F$1,[2]stages!$2:$2,0)-MATCH("temp_stage",[2]stages!$2:$2,0)+1,FALSE)</f>
        <v>【超級】ミクエキスポ</v>
      </c>
      <c r="G97" s="84" t="str">
        <f ca="1">VLOOKUP($B97&amp;"_"&amp;$E97,OFFSET([2]stages!$A$1,0,0,COUNTA([2]stages!$A:$A),MATCH(G$1,[2]stages!$2:$2,0)-MATCH("temp_stage",[2]stages!$2:$2,0)+1),MATCH(G$1,[2]stages!$2:$2,0)-MATCH("temp_stage",[2]stages!$2:$2,0)+1,FALSE)</f>
        <v>コラボクエスト</v>
      </c>
      <c r="H97" s="86">
        <v>0</v>
      </c>
      <c r="I97">
        <v>21</v>
      </c>
      <c r="J97" s="85" t="s">
        <v>279</v>
      </c>
      <c r="K97" s="126" t="str">
        <f>VLOOKUP(I97,[7]stage_hints!$A:$C,3,FALSE)</f>
        <v>スキルを有効に</v>
      </c>
      <c r="L97" s="127" t="str">
        <f>VLOOKUP(I97,[7]stage_hints!$A:$D,4,FALSE)</f>
        <v>ターン経過でユニットのスキルが使えます_x000D_強力スキルでバトルを有利に進めましょう</v>
      </c>
      <c r="M97" s="57" t="s">
        <v>189</v>
      </c>
    </row>
    <row r="98" spans="1:13" x14ac:dyDescent="0.15">
      <c r="A98" s="82" t="s">
        <v>265</v>
      </c>
      <c r="B98" s="83">
        <v>39005</v>
      </c>
      <c r="C98" s="84" t="str">
        <f ca="1">VLOOKUP($B98,OFFSET([2]quests!$A$1,0,0,COUNTA([2]quests!$A:$A),MATCH(C$1,[2]quests!$1:$1,0)-MATCH($B$1,[2]quests!$1:$1,0)+1),MATCH(C$1,[2]quests!$1:$1,0)-MATCH($B$1,[2]quests!$1:$1,0)+1,FALSE)</f>
        <v xml:space="preserve">ミクエキスポ </v>
      </c>
      <c r="D98" s="84" t="str">
        <f ca="1">VLOOKUP($B98,OFFSET([2]quests!$A$1,0,0,COUNTA([2]quests!$A:$A),MATCH(D$1,[2]quests!$1:$1,0)-MATCH($B$1,[2]quests!$1:$1,0)+1),MATCH(D$1,[2]quests!$1:$1,0)-MATCH($B$1,[2]quests!$1:$1,0)+1,FALSE)</f>
        <v>コラボクエスト</v>
      </c>
      <c r="E98" s="88">
        <v>4</v>
      </c>
      <c r="F98" s="84" t="str">
        <f ca="1">VLOOKUP($B98&amp;"_"&amp;$E98,OFFSET([2]stages!$A$1,0,0,COUNTA([2]stages!$A:$A),MATCH(F$1,[2]stages!$2:$2,0)-MATCH("temp_stage",[2]stages!$2:$2,0)+1),MATCH(F$1,[2]stages!$2:$2,0)-MATCH("temp_stage",[2]stages!$2:$2,0)+1,FALSE)</f>
        <v>【超級】ミクエキスポ</v>
      </c>
      <c r="G98" s="84" t="str">
        <f ca="1">VLOOKUP($B98&amp;"_"&amp;$E98,OFFSET([2]stages!$A$1,0,0,COUNTA([2]stages!$A:$A),MATCH(G$1,[2]stages!$2:$2,0)-MATCH("temp_stage",[2]stages!$2:$2,0)+1),MATCH(G$1,[2]stages!$2:$2,0)-MATCH("temp_stage",[2]stages!$2:$2,0)+1,FALSE)</f>
        <v>コラボクエスト</v>
      </c>
      <c r="H98" s="86">
        <v>0</v>
      </c>
      <c r="I98">
        <v>27</v>
      </c>
      <c r="J98" s="85" t="s">
        <v>279</v>
      </c>
      <c r="K98" s="126" t="str">
        <f>VLOOKUP(I98,[7]stage_hints!$A:$C,3,FALSE)</f>
        <v>ホーム画面からデッキを編成</v>
      </c>
      <c r="L98" s="127" t="str">
        <f>VLOOKUP(I98,[7]stage_hints!$A:$D,4,FALSE)</f>
        <v>ホーム画面でユニットを長押しすると_x000D_すぐにパーティ編成に移動できます</v>
      </c>
      <c r="M98" s="57" t="s">
        <v>280</v>
      </c>
    </row>
    <row r="99" spans="1:13" x14ac:dyDescent="0.15">
      <c r="A99" s="82" t="s">
        <v>265</v>
      </c>
      <c r="B99" s="83">
        <v>39005</v>
      </c>
      <c r="C99" s="84" t="str">
        <f ca="1">VLOOKUP($B99,OFFSET([2]quests!$A$1,0,0,COUNTA([2]quests!$A:$A),MATCH(C$1,[2]quests!$1:$1,0)-MATCH($B$1,[2]quests!$1:$1,0)+1),MATCH(C$1,[2]quests!$1:$1,0)-MATCH($B$1,[2]quests!$1:$1,0)+1,FALSE)</f>
        <v xml:space="preserve">ミクエキスポ </v>
      </c>
      <c r="D99" s="84" t="str">
        <f ca="1">VLOOKUP($B99,OFFSET([2]quests!$A$1,0,0,COUNTA([2]quests!$A:$A),MATCH(D$1,[2]quests!$1:$1,0)-MATCH($B$1,[2]quests!$1:$1,0)+1),MATCH(D$1,[2]quests!$1:$1,0)-MATCH($B$1,[2]quests!$1:$1,0)+1,FALSE)</f>
        <v>コラボクエスト</v>
      </c>
      <c r="E99" s="88">
        <v>4</v>
      </c>
      <c r="F99" s="84" t="str">
        <f ca="1">VLOOKUP($B99&amp;"_"&amp;$E99,OFFSET([2]stages!$A$1,0,0,COUNTA([2]stages!$A:$A),MATCH(F$1,[2]stages!$2:$2,0)-MATCH("temp_stage",[2]stages!$2:$2,0)+1),MATCH(F$1,[2]stages!$2:$2,0)-MATCH("temp_stage",[2]stages!$2:$2,0)+1,FALSE)</f>
        <v>【超級】ミクエキスポ</v>
      </c>
      <c r="G99" s="84" t="str">
        <f ca="1">VLOOKUP($B99&amp;"_"&amp;$E99,OFFSET([2]stages!$A$1,0,0,COUNTA([2]stages!$A:$A),MATCH(G$1,[2]stages!$2:$2,0)-MATCH("temp_stage",[2]stages!$2:$2,0)+1),MATCH(G$1,[2]stages!$2:$2,0)-MATCH("temp_stage",[2]stages!$2:$2,0)+1,FALSE)</f>
        <v>コラボクエスト</v>
      </c>
      <c r="H99" s="86">
        <v>0</v>
      </c>
      <c r="I99">
        <v>28</v>
      </c>
      <c r="J99" s="85" t="s">
        <v>279</v>
      </c>
      <c r="K99" s="126" t="str">
        <f>VLOOKUP(I99,[7]stage_hints!$A:$C,3,FALSE)</f>
        <v>ステータス情報は長押しで</v>
      </c>
      <c r="L99" s="127" t="str">
        <f>VLOOKUP(I99,[7]stage_hints!$A:$D,4,FALSE)</f>
        <v>ユニットのアイコンを長押しすると_x000D_ステータス情報を確認することができます</v>
      </c>
      <c r="M99" s="57" t="s">
        <v>280</v>
      </c>
    </row>
    <row r="100" spans="1:13" x14ac:dyDescent="0.15">
      <c r="A100" s="82" t="s">
        <v>265</v>
      </c>
      <c r="B100" s="83">
        <v>39005</v>
      </c>
      <c r="C100" s="84" t="str">
        <f ca="1">VLOOKUP($B100,OFFSET([2]quests!$A$1,0,0,COUNTA([2]quests!$A:$A),MATCH(C$1,[2]quests!$1:$1,0)-MATCH($B$1,[2]quests!$1:$1,0)+1),MATCH(C$1,[2]quests!$1:$1,0)-MATCH($B$1,[2]quests!$1:$1,0)+1,FALSE)</f>
        <v xml:space="preserve">ミクエキスポ </v>
      </c>
      <c r="D100" s="84" t="str">
        <f ca="1">VLOOKUP($B100,OFFSET([2]quests!$A$1,0,0,COUNTA([2]quests!$A:$A),MATCH(D$1,[2]quests!$1:$1,0)-MATCH($B$1,[2]quests!$1:$1,0)+1),MATCH(D$1,[2]quests!$1:$1,0)-MATCH($B$1,[2]quests!$1:$1,0)+1,FALSE)</f>
        <v>コラボクエスト</v>
      </c>
      <c r="E100" s="88">
        <v>4</v>
      </c>
      <c r="F100" s="84" t="str">
        <f ca="1">VLOOKUP($B100&amp;"_"&amp;$E100,OFFSET([2]stages!$A$1,0,0,COUNTA([2]stages!$A:$A),MATCH(F$1,[2]stages!$2:$2,0)-MATCH("temp_stage",[2]stages!$2:$2,0)+1),MATCH(F$1,[2]stages!$2:$2,0)-MATCH("temp_stage",[2]stages!$2:$2,0)+1,FALSE)</f>
        <v>【超級】ミクエキスポ</v>
      </c>
      <c r="G100" s="84" t="str">
        <f ca="1">VLOOKUP($B100&amp;"_"&amp;$E100,OFFSET([2]stages!$A$1,0,0,COUNTA([2]stages!$A:$A),MATCH(G$1,[2]stages!$2:$2,0)-MATCH("temp_stage",[2]stages!$2:$2,0)+1),MATCH(G$1,[2]stages!$2:$2,0)-MATCH("temp_stage",[2]stages!$2:$2,0)+1,FALSE)</f>
        <v>コラボクエスト</v>
      </c>
      <c r="H100" s="86">
        <v>0</v>
      </c>
      <c r="I100">
        <v>29</v>
      </c>
      <c r="J100" s="85" t="s">
        <v>279</v>
      </c>
      <c r="K100" s="126" t="str">
        <f>VLOOKUP(I100,[7]stage_hints!$A:$C,3,FALSE)</f>
        <v>「バグ」のメリット</v>
      </c>
      <c r="L100" s="127" t="str">
        <f>VLOOKUP(I100,[7]stage_hints!$A:$D,4,FALSE)</f>
        <v>ユニットの「バグ」を増やすと_x000D_報酬をもらえる確率がアップします</v>
      </c>
      <c r="M100" s="57" t="s">
        <v>189</v>
      </c>
    </row>
    <row r="101" spans="1:13" x14ac:dyDescent="0.15">
      <c r="A101" s="82" t="s">
        <v>265</v>
      </c>
      <c r="B101" s="83">
        <v>39005</v>
      </c>
      <c r="C101" s="84" t="str">
        <f ca="1">VLOOKUP($B101,OFFSET([2]quests!$A$1,0,0,COUNTA([2]quests!$A:$A),MATCH(C$1,[2]quests!$1:$1,0)-MATCH($B$1,[2]quests!$1:$1,0)+1),MATCH(C$1,[2]quests!$1:$1,0)-MATCH($B$1,[2]quests!$1:$1,0)+1,FALSE)</f>
        <v xml:space="preserve">ミクエキスポ </v>
      </c>
      <c r="D101" s="84" t="str">
        <f ca="1">VLOOKUP($B101,OFFSET([2]quests!$A$1,0,0,COUNTA([2]quests!$A:$A),MATCH(D$1,[2]quests!$1:$1,0)-MATCH($B$1,[2]quests!$1:$1,0)+1),MATCH(D$1,[2]quests!$1:$1,0)-MATCH($B$1,[2]quests!$1:$1,0)+1,FALSE)</f>
        <v>コラボクエスト</v>
      </c>
      <c r="E101" s="88">
        <v>4</v>
      </c>
      <c r="F101" s="84" t="str">
        <f ca="1">VLOOKUP($B101&amp;"_"&amp;$E101,OFFSET([2]stages!$A$1,0,0,COUNTA([2]stages!$A:$A),MATCH(F$1,[2]stages!$2:$2,0)-MATCH("temp_stage",[2]stages!$2:$2,0)+1),MATCH(F$1,[2]stages!$2:$2,0)-MATCH("temp_stage",[2]stages!$2:$2,0)+1,FALSE)</f>
        <v>【超級】ミクエキスポ</v>
      </c>
      <c r="G101" s="84" t="str">
        <f ca="1">VLOOKUP($B101&amp;"_"&amp;$E101,OFFSET([2]stages!$A$1,0,0,COUNTA([2]stages!$A:$A),MATCH(G$1,[2]stages!$2:$2,0)-MATCH("temp_stage",[2]stages!$2:$2,0)+1),MATCH(G$1,[2]stages!$2:$2,0)-MATCH("temp_stage",[2]stages!$2:$2,0)+1,FALSE)</f>
        <v>コラボクエスト</v>
      </c>
      <c r="H101" s="86">
        <v>0</v>
      </c>
      <c r="I101">
        <v>30</v>
      </c>
      <c r="J101" s="85" t="s">
        <v>279</v>
      </c>
      <c r="K101" s="126" t="str">
        <f>VLOOKUP(I101,[7]stage_hints!$A:$C,3,FALSE)</f>
        <v>「バグ」の増やし方</v>
      </c>
      <c r="L101" s="127" t="str">
        <f>VLOOKUP(I101,[7]stage_hints!$A:$D,4,FALSE)</f>
        <v>同じユニット同士を強化で合成すると_x000D_「バグ」を増やすことができます</v>
      </c>
      <c r="M101" s="57" t="s">
        <v>189</v>
      </c>
    </row>
    <row r="102" spans="1:13" x14ac:dyDescent="0.15">
      <c r="A102" s="82" t="s">
        <v>265</v>
      </c>
      <c r="B102" s="83">
        <v>39005</v>
      </c>
      <c r="C102" s="84" t="str">
        <f ca="1">VLOOKUP($B102,OFFSET([2]quests!$A$1,0,0,COUNTA([2]quests!$A:$A),MATCH(C$1,[2]quests!$1:$1,0)-MATCH($B$1,[2]quests!$1:$1,0)+1),MATCH(C$1,[2]quests!$1:$1,0)-MATCH($B$1,[2]quests!$1:$1,0)+1,FALSE)</f>
        <v xml:space="preserve">ミクエキスポ </v>
      </c>
      <c r="D102" s="84" t="str">
        <f ca="1">VLOOKUP($B102,OFFSET([2]quests!$A$1,0,0,COUNTA([2]quests!$A:$A),MATCH(D$1,[2]quests!$1:$1,0)-MATCH($B$1,[2]quests!$1:$1,0)+1),MATCH(D$1,[2]quests!$1:$1,0)-MATCH($B$1,[2]quests!$1:$1,0)+1,FALSE)</f>
        <v>コラボクエスト</v>
      </c>
      <c r="E102" s="88">
        <v>4</v>
      </c>
      <c r="F102" s="84" t="str">
        <f ca="1">VLOOKUP($B102&amp;"_"&amp;$E102,OFFSET([2]stages!$A$1,0,0,COUNTA([2]stages!$A:$A),MATCH(F$1,[2]stages!$2:$2,0)-MATCH("temp_stage",[2]stages!$2:$2,0)+1),MATCH(F$1,[2]stages!$2:$2,0)-MATCH("temp_stage",[2]stages!$2:$2,0)+1,FALSE)</f>
        <v>【超級】ミクエキスポ</v>
      </c>
      <c r="G102" s="84" t="str">
        <f ca="1">VLOOKUP($B102&amp;"_"&amp;$E102,OFFSET([2]stages!$A$1,0,0,COUNTA([2]stages!$A:$A),MATCH(G$1,[2]stages!$2:$2,0)-MATCH("temp_stage",[2]stages!$2:$2,0)+1),MATCH(G$1,[2]stages!$2:$2,0)-MATCH("temp_stage",[2]stages!$2:$2,0)+1,FALSE)</f>
        <v>コラボクエスト</v>
      </c>
      <c r="H102" s="86">
        <v>0</v>
      </c>
      <c r="I102">
        <v>32</v>
      </c>
      <c r="J102" s="85" t="s">
        <v>279</v>
      </c>
      <c r="K102" s="126" t="str">
        <f>VLOOKUP(I102,[7]stage_hints!$A:$C,3,FALSE)</f>
        <v>敵の連続攻撃には</v>
      </c>
      <c r="L102" s="127" t="str">
        <f>VLOOKUP(I102,[7]stage_hints!$A:$D,4,FALSE)</f>
        <v>カウンタースキルを持つユニットがいれば_x000D_ダメージ回数分の反撃ができます</v>
      </c>
      <c r="M102" s="57" t="s">
        <v>288</v>
      </c>
    </row>
    <row r="103" spans="1:13" x14ac:dyDescent="0.15">
      <c r="A103" s="82" t="s">
        <v>265</v>
      </c>
      <c r="B103" s="83">
        <v>39005</v>
      </c>
      <c r="C103" s="84" t="str">
        <f ca="1">VLOOKUP($B103,OFFSET([2]quests!$A$1,0,0,COUNTA([2]quests!$A:$A),MATCH(C$1,[2]quests!$1:$1,0)-MATCH($B$1,[2]quests!$1:$1,0)+1),MATCH(C$1,[2]quests!$1:$1,0)-MATCH($B$1,[2]quests!$1:$1,0)+1,FALSE)</f>
        <v xml:space="preserve">ミクエキスポ </v>
      </c>
      <c r="D103" s="84" t="str">
        <f ca="1">VLOOKUP($B103,OFFSET([2]quests!$A$1,0,0,COUNTA([2]quests!$A:$A),MATCH(D$1,[2]quests!$1:$1,0)-MATCH($B$1,[2]quests!$1:$1,0)+1),MATCH(D$1,[2]quests!$1:$1,0)-MATCH($B$1,[2]quests!$1:$1,0)+1,FALSE)</f>
        <v>コラボクエスト</v>
      </c>
      <c r="E103" s="88">
        <v>4</v>
      </c>
      <c r="F103" s="84" t="str">
        <f ca="1">VLOOKUP($B103&amp;"_"&amp;$E103,OFFSET([2]stages!$A$1,0,0,COUNTA([2]stages!$A:$A),MATCH(F$1,[2]stages!$2:$2,0)-MATCH("temp_stage",[2]stages!$2:$2,0)+1),MATCH(F$1,[2]stages!$2:$2,0)-MATCH("temp_stage",[2]stages!$2:$2,0)+1,FALSE)</f>
        <v>【超級】ミクエキスポ</v>
      </c>
      <c r="G103" s="84" t="str">
        <f ca="1">VLOOKUP($B103&amp;"_"&amp;$E103,OFFSET([2]stages!$A$1,0,0,COUNTA([2]stages!$A:$A),MATCH(G$1,[2]stages!$2:$2,0)-MATCH("temp_stage",[2]stages!$2:$2,0)+1),MATCH(G$1,[2]stages!$2:$2,0)-MATCH("temp_stage",[2]stages!$2:$2,0)+1,FALSE)</f>
        <v>コラボクエスト</v>
      </c>
      <c r="H103" s="86">
        <v>0</v>
      </c>
      <c r="I103">
        <v>33</v>
      </c>
      <c r="J103" s="85" t="s">
        <v>279</v>
      </c>
      <c r="K103" s="126" t="str">
        <f>VLOOKUP(I103,[7]stage_hints!$A:$C,3,FALSE)</f>
        <v>敵のカウンター攻撃には</v>
      </c>
      <c r="L103" s="127" t="str">
        <f>VLOOKUP(I103,[7]stage_hints!$A:$D,4,FALSE)</f>
        <v>カウンターブレイクスキルを持っていれば_x000D_敵のカウンターを解除して攻撃ができます</v>
      </c>
      <c r="M103" s="57" t="s">
        <v>289</v>
      </c>
    </row>
    <row r="104" spans="1:13" x14ac:dyDescent="0.15">
      <c r="A104" s="82" t="s">
        <v>265</v>
      </c>
      <c r="B104" s="83">
        <v>39005</v>
      </c>
      <c r="C104" s="84" t="str">
        <f ca="1">VLOOKUP($B104,OFFSET([2]quests!$A$1,0,0,COUNTA([2]quests!$A:$A),MATCH(C$1,[2]quests!$1:$1,0)-MATCH($B$1,[2]quests!$1:$1,0)+1),MATCH(C$1,[2]quests!$1:$1,0)-MATCH($B$1,[2]quests!$1:$1,0)+1,FALSE)</f>
        <v xml:space="preserve">ミクエキスポ </v>
      </c>
      <c r="D104" s="84" t="str">
        <f ca="1">VLOOKUP($B104,OFFSET([2]quests!$A$1,0,0,COUNTA([2]quests!$A:$A),MATCH(D$1,[2]quests!$1:$1,0)-MATCH($B$1,[2]quests!$1:$1,0)+1),MATCH(D$1,[2]quests!$1:$1,0)-MATCH($B$1,[2]quests!$1:$1,0)+1,FALSE)</f>
        <v>コラボクエスト</v>
      </c>
      <c r="E104" s="88">
        <v>4</v>
      </c>
      <c r="F104" s="84" t="str">
        <f ca="1">VLOOKUP($B104&amp;"_"&amp;$E104,OFFSET([2]stages!$A$1,0,0,COUNTA([2]stages!$A:$A),MATCH(F$1,[2]stages!$2:$2,0)-MATCH("temp_stage",[2]stages!$2:$2,0)+1),MATCH(F$1,[2]stages!$2:$2,0)-MATCH("temp_stage",[2]stages!$2:$2,0)+1,FALSE)</f>
        <v>【超級】ミクエキスポ</v>
      </c>
      <c r="G104" s="84" t="str">
        <f ca="1">VLOOKUP($B104&amp;"_"&amp;$E104,OFFSET([2]stages!$A$1,0,0,COUNTA([2]stages!$A:$A),MATCH(G$1,[2]stages!$2:$2,0)-MATCH("temp_stage",[2]stages!$2:$2,0)+1),MATCH(G$1,[2]stages!$2:$2,0)-MATCH("temp_stage",[2]stages!$2:$2,0)+1,FALSE)</f>
        <v>コラボクエスト</v>
      </c>
      <c r="H104" s="86">
        <v>0</v>
      </c>
      <c r="I104">
        <v>34</v>
      </c>
      <c r="J104" s="85" t="s">
        <v>279</v>
      </c>
      <c r="K104" s="126" t="str">
        <f>VLOOKUP(I104,[7]stage_hints!$A:$C,3,FALSE)</f>
        <v>ステータスをスキルで下げられたら</v>
      </c>
      <c r="L104" s="127" t="str">
        <f>VLOOKUP(I104,[7]stage_hints!$A:$D,4,FALSE)</f>
        <v>ステータスダウンのスキルを受けたら_x000D_ステータスアップスキルで上書きしましょう</v>
      </c>
      <c r="M104" s="57" t="s">
        <v>280</v>
      </c>
    </row>
    <row r="105" spans="1:13" x14ac:dyDescent="0.15">
      <c r="A105" s="82" t="s">
        <v>265</v>
      </c>
      <c r="B105" s="83">
        <v>39005</v>
      </c>
      <c r="C105" s="84" t="str">
        <f ca="1">VLOOKUP($B105,OFFSET([2]quests!$A$1,0,0,COUNTA([2]quests!$A:$A),MATCH(C$1,[2]quests!$1:$1,0)-MATCH($B$1,[2]quests!$1:$1,0)+1),MATCH(C$1,[2]quests!$1:$1,0)-MATCH($B$1,[2]quests!$1:$1,0)+1,FALSE)</f>
        <v xml:space="preserve">ミクエキスポ </v>
      </c>
      <c r="D105" s="84" t="str">
        <f ca="1">VLOOKUP($B105,OFFSET([2]quests!$A$1,0,0,COUNTA([2]quests!$A:$A),MATCH(D$1,[2]quests!$1:$1,0)-MATCH($B$1,[2]quests!$1:$1,0)+1),MATCH(D$1,[2]quests!$1:$1,0)-MATCH($B$1,[2]quests!$1:$1,0)+1,FALSE)</f>
        <v>コラボクエスト</v>
      </c>
      <c r="E105" s="88">
        <v>4</v>
      </c>
      <c r="F105" s="84" t="str">
        <f ca="1">VLOOKUP($B105&amp;"_"&amp;$E105,OFFSET([2]stages!$A$1,0,0,COUNTA([2]stages!$A:$A),MATCH(F$1,[2]stages!$2:$2,0)-MATCH("temp_stage",[2]stages!$2:$2,0)+1),MATCH(F$1,[2]stages!$2:$2,0)-MATCH("temp_stage",[2]stages!$2:$2,0)+1,FALSE)</f>
        <v>【超級】ミクエキスポ</v>
      </c>
      <c r="G105" s="84" t="str">
        <f ca="1">VLOOKUP($B105&amp;"_"&amp;$E105,OFFSET([2]stages!$A$1,0,0,COUNTA([2]stages!$A:$A),MATCH(G$1,[2]stages!$2:$2,0)-MATCH("temp_stage",[2]stages!$2:$2,0)+1),MATCH(G$1,[2]stages!$2:$2,0)-MATCH("temp_stage",[2]stages!$2:$2,0)+1,FALSE)</f>
        <v>コラボクエスト</v>
      </c>
      <c r="H105" s="86">
        <v>0</v>
      </c>
      <c r="I105">
        <v>35</v>
      </c>
      <c r="J105" s="85" t="s">
        <v>279</v>
      </c>
      <c r="K105" s="126" t="str">
        <f>VLOOKUP(I105,[7]stage_hints!$A:$C,3,FALSE)</f>
        <v>敵のステータスがスキルで上がったら</v>
      </c>
      <c r="L105" s="127" t="str">
        <f>VLOOKUP(I105,[7]stage_hints!$A:$D,4,FALSE)</f>
        <v>敵のステータスがスキルでアップしたときは_x000D_ステータスダウンスキルで上書きしましょう</v>
      </c>
      <c r="M105" s="57" t="s">
        <v>280</v>
      </c>
    </row>
    <row r="106" spans="1:13" x14ac:dyDescent="0.15">
      <c r="A106" s="82" t="s">
        <v>265</v>
      </c>
      <c r="B106" s="83">
        <v>39005</v>
      </c>
      <c r="C106" s="84" t="str">
        <f ca="1">VLOOKUP($B106,OFFSET([2]quests!$A$1,0,0,COUNTA([2]quests!$A:$A),MATCH(C$1,[2]quests!$1:$1,0)-MATCH($B$1,[2]quests!$1:$1,0)+1),MATCH(C$1,[2]quests!$1:$1,0)-MATCH($B$1,[2]quests!$1:$1,0)+1,FALSE)</f>
        <v xml:space="preserve">ミクエキスポ </v>
      </c>
      <c r="D106" s="84" t="str">
        <f ca="1">VLOOKUP($B106,OFFSET([2]quests!$A$1,0,0,COUNTA([2]quests!$A:$A),MATCH(D$1,[2]quests!$1:$1,0)-MATCH($B$1,[2]quests!$1:$1,0)+1),MATCH(D$1,[2]quests!$1:$1,0)-MATCH($B$1,[2]quests!$1:$1,0)+1,FALSE)</f>
        <v>コラボクエスト</v>
      </c>
      <c r="E106" s="88">
        <v>4</v>
      </c>
      <c r="F106" s="84" t="str">
        <f ca="1">VLOOKUP($B106&amp;"_"&amp;$E106,OFFSET([2]stages!$A$1,0,0,COUNTA([2]stages!$A:$A),MATCH(F$1,[2]stages!$2:$2,0)-MATCH("temp_stage",[2]stages!$2:$2,0)+1),MATCH(F$1,[2]stages!$2:$2,0)-MATCH("temp_stage",[2]stages!$2:$2,0)+1,FALSE)</f>
        <v>【超級】ミクエキスポ</v>
      </c>
      <c r="G106" s="84" t="str">
        <f ca="1">VLOOKUP($B106&amp;"_"&amp;$E106,OFFSET([2]stages!$A$1,0,0,COUNTA([2]stages!$A:$A),MATCH(G$1,[2]stages!$2:$2,0)-MATCH("temp_stage",[2]stages!$2:$2,0)+1),MATCH(G$1,[2]stages!$2:$2,0)-MATCH("temp_stage",[2]stages!$2:$2,0)+1,FALSE)</f>
        <v>コラボクエスト</v>
      </c>
      <c r="H106" s="86">
        <v>0</v>
      </c>
      <c r="I106">
        <v>36</v>
      </c>
      <c r="J106" s="85" t="s">
        <v>279</v>
      </c>
      <c r="K106" s="126" t="str">
        <f>VLOOKUP(I106,[7]stage_hints!$A:$C,3,FALSE)</f>
        <v>チャレンジタワーのボス</v>
      </c>
      <c r="L106" s="127" t="str">
        <f>VLOOKUP(I106,[7]stage_hints!$A:$D,4,FALSE)</f>
        <v>チャレンジタワーでのみ登場するボスは_x000D_一定確率で獲得することができます</v>
      </c>
      <c r="M106" s="57" t="s">
        <v>290</v>
      </c>
    </row>
    <row r="107" spans="1:13" x14ac:dyDescent="0.15">
      <c r="A107" s="82" t="s">
        <v>265</v>
      </c>
      <c r="B107" s="83">
        <v>39005</v>
      </c>
      <c r="C107" s="84" t="str">
        <f ca="1">VLOOKUP($B107,OFFSET([2]quests!$A$1,0,0,COUNTA([2]quests!$A:$A),MATCH(C$1,[2]quests!$1:$1,0)-MATCH($B$1,[2]quests!$1:$1,0)+1),MATCH(C$1,[2]quests!$1:$1,0)-MATCH($B$1,[2]quests!$1:$1,0)+1,FALSE)</f>
        <v xml:space="preserve">ミクエキスポ </v>
      </c>
      <c r="D107" s="84" t="str">
        <f ca="1">VLOOKUP($B107,OFFSET([2]quests!$A$1,0,0,COUNTA([2]quests!$A:$A),MATCH(D$1,[2]quests!$1:$1,0)-MATCH($B$1,[2]quests!$1:$1,0)+1),MATCH(D$1,[2]quests!$1:$1,0)-MATCH($B$1,[2]quests!$1:$1,0)+1,FALSE)</f>
        <v>コラボクエスト</v>
      </c>
      <c r="E107" s="88">
        <v>4</v>
      </c>
      <c r="F107" s="84" t="str">
        <f ca="1">VLOOKUP($B107&amp;"_"&amp;$E107,OFFSET([2]stages!$A$1,0,0,COUNTA([2]stages!$A:$A),MATCH(F$1,[2]stages!$2:$2,0)-MATCH("temp_stage",[2]stages!$2:$2,0)+1),MATCH(F$1,[2]stages!$2:$2,0)-MATCH("temp_stage",[2]stages!$2:$2,0)+1,FALSE)</f>
        <v>【超級】ミクエキスポ</v>
      </c>
      <c r="G107" s="84" t="str">
        <f ca="1">VLOOKUP($B107&amp;"_"&amp;$E107,OFFSET([2]stages!$A$1,0,0,COUNTA([2]stages!$A:$A),MATCH(G$1,[2]stages!$2:$2,0)-MATCH("temp_stage",[2]stages!$2:$2,0)+1),MATCH(G$1,[2]stages!$2:$2,0)-MATCH("temp_stage",[2]stages!$2:$2,0)+1,FALSE)</f>
        <v>コラボクエスト</v>
      </c>
      <c r="H107" s="86">
        <v>0</v>
      </c>
      <c r="I107">
        <v>37</v>
      </c>
      <c r="J107" s="85" t="s">
        <v>279</v>
      </c>
      <c r="K107" s="126" t="str">
        <f>VLOOKUP(I107,[7]stage_hints!$A:$C,3,FALSE)</f>
        <v>限界突破値の引き継ぎ</v>
      </c>
      <c r="L107" s="127" t="str">
        <f>VLOOKUP(I107,[7]stage_hints!$A:$D,4,FALSE)</f>
        <v>同じユニットを強化で合成すると_x000D_限界突破値を引き継げます（覚醒前後も可）</v>
      </c>
      <c r="M107" s="57" t="s">
        <v>291</v>
      </c>
    </row>
    <row r="108" spans="1:13" x14ac:dyDescent="0.15">
      <c r="A108" s="82" t="s">
        <v>265</v>
      </c>
      <c r="B108" s="83">
        <v>39005</v>
      </c>
      <c r="C108" s="84" t="str">
        <f ca="1">VLOOKUP($B108,OFFSET([2]quests!$A$1,0,0,COUNTA([2]quests!$A:$A),MATCH(C$1,[2]quests!$1:$1,0)-MATCH($B$1,[2]quests!$1:$1,0)+1),MATCH(C$1,[2]quests!$1:$1,0)-MATCH($B$1,[2]quests!$1:$1,0)+1,FALSE)</f>
        <v xml:space="preserve">ミクエキスポ </v>
      </c>
      <c r="D108" s="84" t="str">
        <f ca="1">VLOOKUP($B108,OFFSET([2]quests!$A$1,0,0,COUNTA([2]quests!$A:$A),MATCH(D$1,[2]quests!$1:$1,0)-MATCH($B$1,[2]quests!$1:$1,0)+1),MATCH(D$1,[2]quests!$1:$1,0)-MATCH($B$1,[2]quests!$1:$1,0)+1,FALSE)</f>
        <v>コラボクエスト</v>
      </c>
      <c r="E108" s="88">
        <v>4</v>
      </c>
      <c r="F108" s="84" t="str">
        <f ca="1">VLOOKUP($B108&amp;"_"&amp;$E108,OFFSET([2]stages!$A$1,0,0,COUNTA([2]stages!$A:$A),MATCH(F$1,[2]stages!$2:$2,0)-MATCH("temp_stage",[2]stages!$2:$2,0)+1),MATCH(F$1,[2]stages!$2:$2,0)-MATCH("temp_stage",[2]stages!$2:$2,0)+1,FALSE)</f>
        <v>【超級】ミクエキスポ</v>
      </c>
      <c r="G108" s="84" t="str">
        <f ca="1">VLOOKUP($B108&amp;"_"&amp;$E108,OFFSET([2]stages!$A$1,0,0,COUNTA([2]stages!$A:$A),MATCH(G$1,[2]stages!$2:$2,0)-MATCH("temp_stage",[2]stages!$2:$2,0)+1),MATCH(G$1,[2]stages!$2:$2,0)-MATCH("temp_stage",[2]stages!$2:$2,0)+1,FALSE)</f>
        <v>コラボクエスト</v>
      </c>
      <c r="H108" s="86">
        <v>0</v>
      </c>
      <c r="I108">
        <v>39</v>
      </c>
      <c r="J108" s="85" t="s">
        <v>279</v>
      </c>
      <c r="K108" s="126" t="str">
        <f>VLOOKUP(I108,[7]stage_hints!$A:$C,3,FALSE)</f>
        <v>システム適合者を確認</v>
      </c>
      <c r="L108" s="127" t="str">
        <f>VLOOKUP(I108,[7]stage_hints!$A:$D,4,FALSE)</f>
        <v>ALICEが「アナタ」を呼んでいます</v>
      </c>
      <c r="M108" s="57" t="s">
        <v>189</v>
      </c>
    </row>
    <row r="109" spans="1:13" x14ac:dyDescent="0.15">
      <c r="A109" s="82" t="s">
        <v>265</v>
      </c>
      <c r="B109" s="83">
        <v>39005</v>
      </c>
      <c r="C109" s="84" t="str">
        <f ca="1">VLOOKUP($B109,OFFSET([2]quests!$A$1,0,0,COUNTA([2]quests!$A:$A),MATCH(C$1,[2]quests!$1:$1,0)-MATCH($B$1,[2]quests!$1:$1,0)+1),MATCH(C$1,[2]quests!$1:$1,0)-MATCH($B$1,[2]quests!$1:$1,0)+1,FALSE)</f>
        <v xml:space="preserve">ミクエキスポ </v>
      </c>
      <c r="D109" s="84" t="str">
        <f ca="1">VLOOKUP($B109,OFFSET([2]quests!$A$1,0,0,COUNTA([2]quests!$A:$A),MATCH(D$1,[2]quests!$1:$1,0)-MATCH($B$1,[2]quests!$1:$1,0)+1),MATCH(D$1,[2]quests!$1:$1,0)-MATCH($B$1,[2]quests!$1:$1,0)+1,FALSE)</f>
        <v>コラボクエスト</v>
      </c>
      <c r="E109" s="88">
        <v>5</v>
      </c>
      <c r="F109" s="84" t="str">
        <f ca="1">VLOOKUP($B109&amp;"_"&amp;$E109,OFFSET([2]stages!$A$1,0,0,COUNTA([2]stages!$A:$A),MATCH(F$1,[2]stages!$2:$2,0)-MATCH("temp_stage",[2]stages!$2:$2,0)+1),MATCH(F$1,[2]stages!$2:$2,0)-MATCH("temp_stage",[2]stages!$2:$2,0)+1,FALSE)</f>
        <v>【超絶級】ミクエキスポ</v>
      </c>
      <c r="G109" s="84" t="str">
        <f ca="1">VLOOKUP($B109&amp;"_"&amp;$E109,OFFSET([2]stages!$A$1,0,0,COUNTA([2]stages!$A:$A),MATCH(G$1,[2]stages!$2:$2,0)-MATCH("temp_stage",[2]stages!$2:$2,0)+1),MATCH(G$1,[2]stages!$2:$2,0)-MATCH("temp_stage",[2]stages!$2:$2,0)+1,FALSE)</f>
        <v>コラボクエスト</v>
      </c>
      <c r="H109" s="86">
        <v>0</v>
      </c>
      <c r="I109">
        <v>12</v>
      </c>
      <c r="J109" s="85" t="s">
        <v>277</v>
      </c>
      <c r="K109" s="126" t="str">
        <f>VLOOKUP(I109,[7]stage_hints!$A:$C,3,FALSE)</f>
        <v>ユニットのお気に入り登録</v>
      </c>
      <c r="L109" s="127" t="str">
        <f>VLOOKUP(I109,[7]stage_hints!$A:$D,4,FALSE)</f>
        <v>大事なユニットを誤って消さないように_x000D_フォルダから「お気に入り登録」しましょう</v>
      </c>
      <c r="M109" s="57" t="s">
        <v>292</v>
      </c>
    </row>
    <row r="110" spans="1:13" x14ac:dyDescent="0.15">
      <c r="A110" s="82" t="s">
        <v>265</v>
      </c>
      <c r="B110" s="83">
        <v>39005</v>
      </c>
      <c r="C110" s="84" t="str">
        <f ca="1">VLOOKUP($B110,OFFSET([2]quests!$A$1,0,0,COUNTA([2]quests!$A:$A),MATCH(C$1,[2]quests!$1:$1,0)-MATCH($B$1,[2]quests!$1:$1,0)+1),MATCH(C$1,[2]quests!$1:$1,0)-MATCH($B$1,[2]quests!$1:$1,0)+1,FALSE)</f>
        <v xml:space="preserve">ミクエキスポ </v>
      </c>
      <c r="D110" s="84" t="str">
        <f ca="1">VLOOKUP($B110,OFFSET([2]quests!$A$1,0,0,COUNTA([2]quests!$A:$A),MATCH(D$1,[2]quests!$1:$1,0)-MATCH($B$1,[2]quests!$1:$1,0)+1),MATCH(D$1,[2]quests!$1:$1,0)-MATCH($B$1,[2]quests!$1:$1,0)+1,FALSE)</f>
        <v>コラボクエスト</v>
      </c>
      <c r="E110" s="88">
        <v>5</v>
      </c>
      <c r="F110" s="84" t="str">
        <f ca="1">VLOOKUP($B110&amp;"_"&amp;$E110,OFFSET([2]stages!$A$1,0,0,COUNTA([2]stages!$A:$A),MATCH(F$1,[2]stages!$2:$2,0)-MATCH("temp_stage",[2]stages!$2:$2,0)+1),MATCH(F$1,[2]stages!$2:$2,0)-MATCH("temp_stage",[2]stages!$2:$2,0)+1,FALSE)</f>
        <v>【超絶級】ミクエキスポ</v>
      </c>
      <c r="G110" s="84" t="str">
        <f ca="1">VLOOKUP($B110&amp;"_"&amp;$E110,OFFSET([2]stages!$A$1,0,0,COUNTA([2]stages!$A:$A),MATCH(G$1,[2]stages!$2:$2,0)-MATCH("temp_stage",[2]stages!$2:$2,0)+1),MATCH(G$1,[2]stages!$2:$2,0)-MATCH("temp_stage",[2]stages!$2:$2,0)+1,FALSE)</f>
        <v>コラボクエスト</v>
      </c>
      <c r="H110" s="86">
        <v>0</v>
      </c>
      <c r="I110">
        <v>17</v>
      </c>
      <c r="J110" s="85" t="s">
        <v>277</v>
      </c>
      <c r="K110" s="126" t="str">
        <f>VLOOKUP(I110,[7]stage_hints!$A:$C,3,FALSE)</f>
        <v>リンクガチャ</v>
      </c>
      <c r="L110" s="127" t="str">
        <f>VLOOKUP(I110,[7]stage_hints!$A:$D,4,FALSE)</f>
        <v>無料のリンクガチャを回して_x000D_経験値素材や売却素材を獲得しましょう</v>
      </c>
      <c r="M110" s="57" t="s">
        <v>273</v>
      </c>
    </row>
    <row r="111" spans="1:13" x14ac:dyDescent="0.15">
      <c r="A111" s="82" t="s">
        <v>265</v>
      </c>
      <c r="B111" s="83">
        <v>39005</v>
      </c>
      <c r="C111" s="84" t="str">
        <f ca="1">VLOOKUP($B111,OFFSET([2]quests!$A$1,0,0,COUNTA([2]quests!$A:$A),MATCH(C$1,[2]quests!$1:$1,0)-MATCH($B$1,[2]quests!$1:$1,0)+1),MATCH(C$1,[2]quests!$1:$1,0)-MATCH($B$1,[2]quests!$1:$1,0)+1,FALSE)</f>
        <v xml:space="preserve">ミクエキスポ </v>
      </c>
      <c r="D111" s="84" t="str">
        <f ca="1">VLOOKUP($B111,OFFSET([2]quests!$A$1,0,0,COUNTA([2]quests!$A:$A),MATCH(D$1,[2]quests!$1:$1,0)-MATCH($B$1,[2]quests!$1:$1,0)+1),MATCH(D$1,[2]quests!$1:$1,0)-MATCH($B$1,[2]quests!$1:$1,0)+1,FALSE)</f>
        <v>コラボクエスト</v>
      </c>
      <c r="E111" s="88">
        <v>5</v>
      </c>
      <c r="F111" s="84" t="str">
        <f ca="1">VLOOKUP($B111&amp;"_"&amp;$E111,OFFSET([2]stages!$A$1,0,0,COUNTA([2]stages!$A:$A),MATCH(F$1,[2]stages!$2:$2,0)-MATCH("temp_stage",[2]stages!$2:$2,0)+1),MATCH(F$1,[2]stages!$2:$2,0)-MATCH("temp_stage",[2]stages!$2:$2,0)+1,FALSE)</f>
        <v>【超絶級】ミクエキスポ</v>
      </c>
      <c r="G111" s="84" t="str">
        <f ca="1">VLOOKUP($B111&amp;"_"&amp;$E111,OFFSET([2]stages!$A$1,0,0,COUNTA([2]stages!$A:$A),MATCH(G$1,[2]stages!$2:$2,0)-MATCH("temp_stage",[2]stages!$2:$2,0)+1),MATCH(G$1,[2]stages!$2:$2,0)-MATCH("temp_stage",[2]stages!$2:$2,0)+1,FALSE)</f>
        <v>コラボクエスト</v>
      </c>
      <c r="H111" s="86">
        <v>0</v>
      </c>
      <c r="I111">
        <v>19</v>
      </c>
      <c r="J111" s="85" t="s">
        <v>277</v>
      </c>
      <c r="K111" s="126" t="str">
        <f>VLOOKUP(I111,[7]stage_hints!$A:$C,3,FALSE)</f>
        <v>ソロ専用チャレンジタワー</v>
      </c>
      <c r="L111" s="127" t="str">
        <f>VLOOKUP(I111,[7]stage_hints!$A:$D,4,FALSE)</f>
        <v>ソロ専用の「チャレンジタワー」では_x000D_各フロアごとにクリア報酬がもらえます</v>
      </c>
      <c r="M111" s="57" t="s">
        <v>287</v>
      </c>
    </row>
    <row r="112" spans="1:13" x14ac:dyDescent="0.15">
      <c r="A112" s="82" t="s">
        <v>265</v>
      </c>
      <c r="B112" s="83">
        <v>39005</v>
      </c>
      <c r="C112" s="84" t="str">
        <f ca="1">VLOOKUP($B112,OFFSET([2]quests!$A$1,0,0,COUNTA([2]quests!$A:$A),MATCH(C$1,[2]quests!$1:$1,0)-MATCH($B$1,[2]quests!$1:$1,0)+1),MATCH(C$1,[2]quests!$1:$1,0)-MATCH($B$1,[2]quests!$1:$1,0)+1,FALSE)</f>
        <v xml:space="preserve">ミクエキスポ </v>
      </c>
      <c r="D112" s="84" t="str">
        <f ca="1">VLOOKUP($B112,OFFSET([2]quests!$A$1,0,0,COUNTA([2]quests!$A:$A),MATCH(D$1,[2]quests!$1:$1,0)-MATCH($B$1,[2]quests!$1:$1,0)+1),MATCH(D$1,[2]quests!$1:$1,0)-MATCH($B$1,[2]quests!$1:$1,0)+1,FALSE)</f>
        <v>コラボクエスト</v>
      </c>
      <c r="E112" s="88">
        <v>5</v>
      </c>
      <c r="F112" s="84" t="str">
        <f ca="1">VLOOKUP($B112&amp;"_"&amp;$E112,OFFSET([2]stages!$A$1,0,0,COUNTA([2]stages!$A:$A),MATCH(F$1,[2]stages!$2:$2,0)-MATCH("temp_stage",[2]stages!$2:$2,0)+1),MATCH(F$1,[2]stages!$2:$2,0)-MATCH("temp_stage",[2]stages!$2:$2,0)+1,FALSE)</f>
        <v>【超絶級】ミクエキスポ</v>
      </c>
      <c r="G112" s="84" t="str">
        <f ca="1">VLOOKUP($B112&amp;"_"&amp;$E112,OFFSET([2]stages!$A$1,0,0,COUNTA([2]stages!$A:$A),MATCH(G$1,[2]stages!$2:$2,0)-MATCH("temp_stage",[2]stages!$2:$2,0)+1),MATCH(G$1,[2]stages!$2:$2,0)-MATCH("temp_stage",[2]stages!$2:$2,0)+1,FALSE)</f>
        <v>コラボクエスト</v>
      </c>
      <c r="H112" s="86">
        <v>0</v>
      </c>
      <c r="I112">
        <v>21</v>
      </c>
      <c r="J112" s="85" t="s">
        <v>277</v>
      </c>
      <c r="K112" s="126" t="str">
        <f>VLOOKUP(I112,[7]stage_hints!$A:$C,3,FALSE)</f>
        <v>スキルを有効に</v>
      </c>
      <c r="L112" s="127" t="str">
        <f>VLOOKUP(I112,[7]stage_hints!$A:$D,4,FALSE)</f>
        <v>ターン経過でユニットのスキルが使えます_x000D_強力スキルでバトルを有利に進めましょう</v>
      </c>
      <c r="M112" s="57" t="s">
        <v>189</v>
      </c>
    </row>
    <row r="113" spans="1:13" x14ac:dyDescent="0.15">
      <c r="A113" s="82" t="s">
        <v>265</v>
      </c>
      <c r="B113" s="83">
        <v>39005</v>
      </c>
      <c r="C113" s="84" t="str">
        <f ca="1">VLOOKUP($B113,OFFSET([2]quests!$A$1,0,0,COUNTA([2]quests!$A:$A),MATCH(C$1,[2]quests!$1:$1,0)-MATCH($B$1,[2]quests!$1:$1,0)+1),MATCH(C$1,[2]quests!$1:$1,0)-MATCH($B$1,[2]quests!$1:$1,0)+1,FALSE)</f>
        <v xml:space="preserve">ミクエキスポ </v>
      </c>
      <c r="D113" s="84" t="str">
        <f ca="1">VLOOKUP($B113,OFFSET([2]quests!$A$1,0,0,COUNTA([2]quests!$A:$A),MATCH(D$1,[2]quests!$1:$1,0)-MATCH($B$1,[2]quests!$1:$1,0)+1),MATCH(D$1,[2]quests!$1:$1,0)-MATCH($B$1,[2]quests!$1:$1,0)+1,FALSE)</f>
        <v>コラボクエスト</v>
      </c>
      <c r="E113" s="88">
        <v>5</v>
      </c>
      <c r="F113" s="84" t="str">
        <f ca="1">VLOOKUP($B113&amp;"_"&amp;$E113,OFFSET([2]stages!$A$1,0,0,COUNTA([2]stages!$A:$A),MATCH(F$1,[2]stages!$2:$2,0)-MATCH("temp_stage",[2]stages!$2:$2,0)+1),MATCH(F$1,[2]stages!$2:$2,0)-MATCH("temp_stage",[2]stages!$2:$2,0)+1,FALSE)</f>
        <v>【超絶級】ミクエキスポ</v>
      </c>
      <c r="G113" s="84" t="str">
        <f ca="1">VLOOKUP($B113&amp;"_"&amp;$E113,OFFSET([2]stages!$A$1,0,0,COUNTA([2]stages!$A:$A),MATCH(G$1,[2]stages!$2:$2,0)-MATCH("temp_stage",[2]stages!$2:$2,0)+1),MATCH(G$1,[2]stages!$2:$2,0)-MATCH("temp_stage",[2]stages!$2:$2,0)+1,FALSE)</f>
        <v>コラボクエスト</v>
      </c>
      <c r="H113" s="86">
        <v>0</v>
      </c>
      <c r="I113">
        <v>29</v>
      </c>
      <c r="J113" s="85" t="s">
        <v>277</v>
      </c>
      <c r="K113" s="126" t="str">
        <f>VLOOKUP(I113,[7]stage_hints!$A:$C,3,FALSE)</f>
        <v>「バグ」のメリット</v>
      </c>
      <c r="L113" s="127" t="str">
        <f>VLOOKUP(I113,[7]stage_hints!$A:$D,4,FALSE)</f>
        <v>ユニットの「バグ」を増やすと_x000D_報酬をもらえる確率がアップします</v>
      </c>
      <c r="M113" s="57" t="s">
        <v>293</v>
      </c>
    </row>
    <row r="114" spans="1:13" x14ac:dyDescent="0.15">
      <c r="A114" s="82" t="s">
        <v>265</v>
      </c>
      <c r="B114" s="83">
        <v>39005</v>
      </c>
      <c r="C114" s="84" t="str">
        <f ca="1">VLOOKUP($B114,OFFSET([2]quests!$A$1,0,0,COUNTA([2]quests!$A:$A),MATCH(C$1,[2]quests!$1:$1,0)-MATCH($B$1,[2]quests!$1:$1,0)+1),MATCH(C$1,[2]quests!$1:$1,0)-MATCH($B$1,[2]quests!$1:$1,0)+1,FALSE)</f>
        <v xml:space="preserve">ミクエキスポ </v>
      </c>
      <c r="D114" s="84" t="str">
        <f ca="1">VLOOKUP($B114,OFFSET([2]quests!$A$1,0,0,COUNTA([2]quests!$A:$A),MATCH(D$1,[2]quests!$1:$1,0)-MATCH($B$1,[2]quests!$1:$1,0)+1),MATCH(D$1,[2]quests!$1:$1,0)-MATCH($B$1,[2]quests!$1:$1,0)+1,FALSE)</f>
        <v>コラボクエスト</v>
      </c>
      <c r="E114" s="88">
        <v>5</v>
      </c>
      <c r="F114" s="84" t="str">
        <f ca="1">VLOOKUP($B114&amp;"_"&amp;$E114,OFFSET([2]stages!$A$1,0,0,COUNTA([2]stages!$A:$A),MATCH(F$1,[2]stages!$2:$2,0)-MATCH("temp_stage",[2]stages!$2:$2,0)+1),MATCH(F$1,[2]stages!$2:$2,0)-MATCH("temp_stage",[2]stages!$2:$2,0)+1,FALSE)</f>
        <v>【超絶級】ミクエキスポ</v>
      </c>
      <c r="G114" s="84" t="str">
        <f ca="1">VLOOKUP($B114&amp;"_"&amp;$E114,OFFSET([2]stages!$A$1,0,0,COUNTA([2]stages!$A:$A),MATCH(G$1,[2]stages!$2:$2,0)-MATCH("temp_stage",[2]stages!$2:$2,0)+1),MATCH(G$1,[2]stages!$2:$2,0)-MATCH("temp_stage",[2]stages!$2:$2,0)+1,FALSE)</f>
        <v>コラボクエスト</v>
      </c>
      <c r="H114" s="86">
        <v>0</v>
      </c>
      <c r="I114">
        <v>30</v>
      </c>
      <c r="J114" s="85" t="s">
        <v>277</v>
      </c>
      <c r="K114" s="126" t="str">
        <f>VLOOKUP(I114,[7]stage_hints!$A:$C,3,FALSE)</f>
        <v>「バグ」の増やし方</v>
      </c>
      <c r="L114" s="127" t="str">
        <f>VLOOKUP(I114,[7]stage_hints!$A:$D,4,FALSE)</f>
        <v>同じユニット同士を強化で合成すると_x000D_「バグ」を増やすことができます</v>
      </c>
      <c r="M114" s="57" t="s">
        <v>189</v>
      </c>
    </row>
    <row r="115" spans="1:13" x14ac:dyDescent="0.15">
      <c r="A115" s="82" t="s">
        <v>265</v>
      </c>
      <c r="B115" s="83">
        <v>39005</v>
      </c>
      <c r="C115" s="84" t="str">
        <f ca="1">VLOOKUP($B115,OFFSET([2]quests!$A$1,0,0,COUNTA([2]quests!$A:$A),MATCH(C$1,[2]quests!$1:$1,0)-MATCH($B$1,[2]quests!$1:$1,0)+1),MATCH(C$1,[2]quests!$1:$1,0)-MATCH($B$1,[2]quests!$1:$1,0)+1,FALSE)</f>
        <v xml:space="preserve">ミクエキスポ </v>
      </c>
      <c r="D115" s="84" t="str">
        <f ca="1">VLOOKUP($B115,OFFSET([2]quests!$A$1,0,0,COUNTA([2]quests!$A:$A),MATCH(D$1,[2]quests!$1:$1,0)-MATCH($B$1,[2]quests!$1:$1,0)+1),MATCH(D$1,[2]quests!$1:$1,0)-MATCH($B$1,[2]quests!$1:$1,0)+1,FALSE)</f>
        <v>コラボクエスト</v>
      </c>
      <c r="E115" s="88">
        <v>5</v>
      </c>
      <c r="F115" s="84" t="str">
        <f ca="1">VLOOKUP($B115&amp;"_"&amp;$E115,OFFSET([2]stages!$A$1,0,0,COUNTA([2]stages!$A:$A),MATCH(F$1,[2]stages!$2:$2,0)-MATCH("temp_stage",[2]stages!$2:$2,0)+1),MATCH(F$1,[2]stages!$2:$2,0)-MATCH("temp_stage",[2]stages!$2:$2,0)+1,FALSE)</f>
        <v>【超絶級】ミクエキスポ</v>
      </c>
      <c r="G115" s="84" t="str">
        <f ca="1">VLOOKUP($B115&amp;"_"&amp;$E115,OFFSET([2]stages!$A$1,0,0,COUNTA([2]stages!$A:$A),MATCH(G$1,[2]stages!$2:$2,0)-MATCH("temp_stage",[2]stages!$2:$2,0)+1),MATCH(G$1,[2]stages!$2:$2,0)-MATCH("temp_stage",[2]stages!$2:$2,0)+1,FALSE)</f>
        <v>コラボクエスト</v>
      </c>
      <c r="H115" s="86">
        <v>0</v>
      </c>
      <c r="I115">
        <v>32</v>
      </c>
      <c r="J115" s="85" t="s">
        <v>277</v>
      </c>
      <c r="K115" s="126" t="str">
        <f>VLOOKUP(I115,[7]stage_hints!$A:$C,3,FALSE)</f>
        <v>敵の連続攻撃には</v>
      </c>
      <c r="L115" s="127" t="str">
        <f>VLOOKUP(I115,[7]stage_hints!$A:$D,4,FALSE)</f>
        <v>カウンタースキルを持つユニットがいれば_x000D_ダメージ回数分の反撃ができます</v>
      </c>
      <c r="M115" s="57" t="s">
        <v>189</v>
      </c>
    </row>
    <row r="116" spans="1:13" x14ac:dyDescent="0.15">
      <c r="A116" s="82" t="s">
        <v>265</v>
      </c>
      <c r="B116" s="83">
        <v>39005</v>
      </c>
      <c r="C116" s="84" t="str">
        <f ca="1">VLOOKUP($B116,OFFSET([2]quests!$A$1,0,0,COUNTA([2]quests!$A:$A),MATCH(C$1,[2]quests!$1:$1,0)-MATCH($B$1,[2]quests!$1:$1,0)+1),MATCH(C$1,[2]quests!$1:$1,0)-MATCH($B$1,[2]quests!$1:$1,0)+1,FALSE)</f>
        <v xml:space="preserve">ミクエキスポ </v>
      </c>
      <c r="D116" s="84" t="str">
        <f ca="1">VLOOKUP($B116,OFFSET([2]quests!$A$1,0,0,COUNTA([2]quests!$A:$A),MATCH(D$1,[2]quests!$1:$1,0)-MATCH($B$1,[2]quests!$1:$1,0)+1),MATCH(D$1,[2]quests!$1:$1,0)-MATCH($B$1,[2]quests!$1:$1,0)+1,FALSE)</f>
        <v>コラボクエスト</v>
      </c>
      <c r="E116" s="88">
        <v>5</v>
      </c>
      <c r="F116" s="84" t="str">
        <f ca="1">VLOOKUP($B116&amp;"_"&amp;$E116,OFFSET([2]stages!$A$1,0,0,COUNTA([2]stages!$A:$A),MATCH(F$1,[2]stages!$2:$2,0)-MATCH("temp_stage",[2]stages!$2:$2,0)+1),MATCH(F$1,[2]stages!$2:$2,0)-MATCH("temp_stage",[2]stages!$2:$2,0)+1,FALSE)</f>
        <v>【超絶級】ミクエキスポ</v>
      </c>
      <c r="G116" s="84" t="str">
        <f ca="1">VLOOKUP($B116&amp;"_"&amp;$E116,OFFSET([2]stages!$A$1,0,0,COUNTA([2]stages!$A:$A),MATCH(G$1,[2]stages!$2:$2,0)-MATCH("temp_stage",[2]stages!$2:$2,0)+1),MATCH(G$1,[2]stages!$2:$2,0)-MATCH("temp_stage",[2]stages!$2:$2,0)+1,FALSE)</f>
        <v>コラボクエスト</v>
      </c>
      <c r="H116" s="86">
        <v>0</v>
      </c>
      <c r="I116">
        <v>33</v>
      </c>
      <c r="J116" s="85" t="s">
        <v>277</v>
      </c>
      <c r="K116" s="126" t="str">
        <f>VLOOKUP(I116,[7]stage_hints!$A:$C,3,FALSE)</f>
        <v>敵のカウンター攻撃には</v>
      </c>
      <c r="L116" s="127" t="str">
        <f>VLOOKUP(I116,[7]stage_hints!$A:$D,4,FALSE)</f>
        <v>カウンターブレイクスキルを持っていれば_x000D_敵のカウンターを解除して攻撃ができます</v>
      </c>
      <c r="M116" s="57" t="s">
        <v>294</v>
      </c>
    </row>
    <row r="117" spans="1:13" x14ac:dyDescent="0.15">
      <c r="A117" s="82" t="s">
        <v>265</v>
      </c>
      <c r="B117" s="83">
        <v>39005</v>
      </c>
      <c r="C117" s="84" t="str">
        <f ca="1">VLOOKUP($B117,OFFSET([2]quests!$A$1,0,0,COUNTA([2]quests!$A:$A),MATCH(C$1,[2]quests!$1:$1,0)-MATCH($B$1,[2]quests!$1:$1,0)+1),MATCH(C$1,[2]quests!$1:$1,0)-MATCH($B$1,[2]quests!$1:$1,0)+1,FALSE)</f>
        <v xml:space="preserve">ミクエキスポ </v>
      </c>
      <c r="D117" s="84" t="str">
        <f ca="1">VLOOKUP($B117,OFFSET([2]quests!$A$1,0,0,COUNTA([2]quests!$A:$A),MATCH(D$1,[2]quests!$1:$1,0)-MATCH($B$1,[2]quests!$1:$1,0)+1),MATCH(D$1,[2]quests!$1:$1,0)-MATCH($B$1,[2]quests!$1:$1,0)+1,FALSE)</f>
        <v>コラボクエスト</v>
      </c>
      <c r="E117" s="88">
        <v>5</v>
      </c>
      <c r="F117" s="84" t="str">
        <f ca="1">VLOOKUP($B117&amp;"_"&amp;$E117,OFFSET([2]stages!$A$1,0,0,COUNTA([2]stages!$A:$A),MATCH(F$1,[2]stages!$2:$2,0)-MATCH("temp_stage",[2]stages!$2:$2,0)+1),MATCH(F$1,[2]stages!$2:$2,0)-MATCH("temp_stage",[2]stages!$2:$2,0)+1,FALSE)</f>
        <v>【超絶級】ミクエキスポ</v>
      </c>
      <c r="G117" s="84" t="str">
        <f ca="1">VLOOKUP($B117&amp;"_"&amp;$E117,OFFSET([2]stages!$A$1,0,0,COUNTA([2]stages!$A:$A),MATCH(G$1,[2]stages!$2:$2,0)-MATCH("temp_stage",[2]stages!$2:$2,0)+1),MATCH(G$1,[2]stages!$2:$2,0)-MATCH("temp_stage",[2]stages!$2:$2,0)+1,FALSE)</f>
        <v>コラボクエスト</v>
      </c>
      <c r="H117" s="86">
        <v>0</v>
      </c>
      <c r="I117">
        <v>34</v>
      </c>
      <c r="J117" s="85" t="s">
        <v>277</v>
      </c>
      <c r="K117" s="126" t="str">
        <f>VLOOKUP(I117,[7]stage_hints!$A:$C,3,FALSE)</f>
        <v>ステータスをスキルで下げられたら</v>
      </c>
      <c r="L117" s="127" t="str">
        <f>VLOOKUP(I117,[7]stage_hints!$A:$D,4,FALSE)</f>
        <v>ステータスダウンのスキルを受けたら_x000D_ステータスアップスキルで上書きしましょう</v>
      </c>
      <c r="M117" s="57" t="s">
        <v>287</v>
      </c>
    </row>
    <row r="118" spans="1:13" x14ac:dyDescent="0.15">
      <c r="A118" s="82" t="s">
        <v>265</v>
      </c>
      <c r="B118" s="83">
        <v>39005</v>
      </c>
      <c r="C118" s="84" t="str">
        <f ca="1">VLOOKUP($B118,OFFSET([2]quests!$A$1,0,0,COUNTA([2]quests!$A:$A),MATCH(C$1,[2]quests!$1:$1,0)-MATCH($B$1,[2]quests!$1:$1,0)+1),MATCH(C$1,[2]quests!$1:$1,0)-MATCH($B$1,[2]quests!$1:$1,0)+1,FALSE)</f>
        <v xml:space="preserve">ミクエキスポ </v>
      </c>
      <c r="D118" s="84" t="str">
        <f ca="1">VLOOKUP($B118,OFFSET([2]quests!$A$1,0,0,COUNTA([2]quests!$A:$A),MATCH(D$1,[2]quests!$1:$1,0)-MATCH($B$1,[2]quests!$1:$1,0)+1),MATCH(D$1,[2]quests!$1:$1,0)-MATCH($B$1,[2]quests!$1:$1,0)+1,FALSE)</f>
        <v>コラボクエスト</v>
      </c>
      <c r="E118" s="88">
        <v>5</v>
      </c>
      <c r="F118" s="84" t="str">
        <f ca="1">VLOOKUP($B118&amp;"_"&amp;$E118,OFFSET([2]stages!$A$1,0,0,COUNTA([2]stages!$A:$A),MATCH(F$1,[2]stages!$2:$2,0)-MATCH("temp_stage",[2]stages!$2:$2,0)+1),MATCH(F$1,[2]stages!$2:$2,0)-MATCH("temp_stage",[2]stages!$2:$2,0)+1,FALSE)</f>
        <v>【超絶級】ミクエキスポ</v>
      </c>
      <c r="G118" s="84" t="str">
        <f ca="1">VLOOKUP($B118&amp;"_"&amp;$E118,OFFSET([2]stages!$A$1,0,0,COUNTA([2]stages!$A:$A),MATCH(G$1,[2]stages!$2:$2,0)-MATCH("temp_stage",[2]stages!$2:$2,0)+1),MATCH(G$1,[2]stages!$2:$2,0)-MATCH("temp_stage",[2]stages!$2:$2,0)+1,FALSE)</f>
        <v>コラボクエスト</v>
      </c>
      <c r="H118" s="86">
        <v>0</v>
      </c>
      <c r="I118">
        <v>35</v>
      </c>
      <c r="J118" s="85" t="s">
        <v>277</v>
      </c>
      <c r="K118" s="126" t="str">
        <f>VLOOKUP(I118,[7]stage_hints!$A:$C,3,FALSE)</f>
        <v>敵のステータスがスキルで上がったら</v>
      </c>
      <c r="L118" s="127" t="str">
        <f>VLOOKUP(I118,[7]stage_hints!$A:$D,4,FALSE)</f>
        <v>敵のステータスがスキルでアップしたときは_x000D_ステータスダウンスキルで上書きしましょう</v>
      </c>
      <c r="M118" s="57" t="s">
        <v>287</v>
      </c>
    </row>
    <row r="119" spans="1:13" x14ac:dyDescent="0.15">
      <c r="A119" s="82" t="s">
        <v>265</v>
      </c>
      <c r="B119" s="83">
        <v>39005</v>
      </c>
      <c r="C119" s="84" t="str">
        <f ca="1">VLOOKUP($B119,OFFSET([2]quests!$A$1,0,0,COUNTA([2]quests!$A:$A),MATCH(C$1,[2]quests!$1:$1,0)-MATCH($B$1,[2]quests!$1:$1,0)+1),MATCH(C$1,[2]quests!$1:$1,0)-MATCH($B$1,[2]quests!$1:$1,0)+1,FALSE)</f>
        <v xml:space="preserve">ミクエキスポ </v>
      </c>
      <c r="D119" s="84" t="str">
        <f ca="1">VLOOKUP($B119,OFFSET([2]quests!$A$1,0,0,COUNTA([2]quests!$A:$A),MATCH(D$1,[2]quests!$1:$1,0)-MATCH($B$1,[2]quests!$1:$1,0)+1),MATCH(D$1,[2]quests!$1:$1,0)-MATCH($B$1,[2]quests!$1:$1,0)+1,FALSE)</f>
        <v>コラボクエスト</v>
      </c>
      <c r="E119" s="88">
        <v>5</v>
      </c>
      <c r="F119" s="84" t="str">
        <f ca="1">VLOOKUP($B119&amp;"_"&amp;$E119,OFFSET([2]stages!$A$1,0,0,COUNTA([2]stages!$A:$A),MATCH(F$1,[2]stages!$2:$2,0)-MATCH("temp_stage",[2]stages!$2:$2,0)+1),MATCH(F$1,[2]stages!$2:$2,0)-MATCH("temp_stage",[2]stages!$2:$2,0)+1,FALSE)</f>
        <v>【超絶級】ミクエキスポ</v>
      </c>
      <c r="G119" s="84" t="str">
        <f ca="1">VLOOKUP($B119&amp;"_"&amp;$E119,OFFSET([2]stages!$A$1,0,0,COUNTA([2]stages!$A:$A),MATCH(G$1,[2]stages!$2:$2,0)-MATCH("temp_stage",[2]stages!$2:$2,0)+1),MATCH(G$1,[2]stages!$2:$2,0)-MATCH("temp_stage",[2]stages!$2:$2,0)+1,FALSE)</f>
        <v>コラボクエスト</v>
      </c>
      <c r="H119" s="86">
        <v>0</v>
      </c>
      <c r="I119">
        <v>36</v>
      </c>
      <c r="J119" s="85" t="s">
        <v>277</v>
      </c>
      <c r="K119" s="126" t="str">
        <f>VLOOKUP(I119,[7]stage_hints!$A:$C,3,FALSE)</f>
        <v>チャレンジタワーのボス</v>
      </c>
      <c r="L119" s="127" t="str">
        <f>VLOOKUP(I119,[7]stage_hints!$A:$D,4,FALSE)</f>
        <v>チャレンジタワーでのみ登場するボスは_x000D_一定確率で獲得することができます</v>
      </c>
      <c r="M119" s="57" t="s">
        <v>189</v>
      </c>
    </row>
    <row r="120" spans="1:13" x14ac:dyDescent="0.15">
      <c r="A120" s="82" t="s">
        <v>265</v>
      </c>
      <c r="B120" s="83">
        <v>39005</v>
      </c>
      <c r="C120" s="84" t="str">
        <f ca="1">VLOOKUP($B120,OFFSET([2]quests!$A$1,0,0,COUNTA([2]quests!$A:$A),MATCH(C$1,[2]quests!$1:$1,0)-MATCH($B$1,[2]quests!$1:$1,0)+1),MATCH(C$1,[2]quests!$1:$1,0)-MATCH($B$1,[2]quests!$1:$1,0)+1,FALSE)</f>
        <v xml:space="preserve">ミクエキスポ </v>
      </c>
      <c r="D120" s="84" t="str">
        <f ca="1">VLOOKUP($B120,OFFSET([2]quests!$A$1,0,0,COUNTA([2]quests!$A:$A),MATCH(D$1,[2]quests!$1:$1,0)-MATCH($B$1,[2]quests!$1:$1,0)+1),MATCH(D$1,[2]quests!$1:$1,0)-MATCH($B$1,[2]quests!$1:$1,0)+1,FALSE)</f>
        <v>コラボクエスト</v>
      </c>
      <c r="E120" s="88">
        <v>5</v>
      </c>
      <c r="F120" s="84" t="str">
        <f ca="1">VLOOKUP($B120&amp;"_"&amp;$E120,OFFSET([2]stages!$A$1,0,0,COUNTA([2]stages!$A:$A),MATCH(F$1,[2]stages!$2:$2,0)-MATCH("temp_stage",[2]stages!$2:$2,0)+1),MATCH(F$1,[2]stages!$2:$2,0)-MATCH("temp_stage",[2]stages!$2:$2,0)+1,FALSE)</f>
        <v>【超絶級】ミクエキスポ</v>
      </c>
      <c r="G120" s="84" t="str">
        <f ca="1">VLOOKUP($B120&amp;"_"&amp;$E120,OFFSET([2]stages!$A$1,0,0,COUNTA([2]stages!$A:$A),MATCH(G$1,[2]stages!$2:$2,0)-MATCH("temp_stage",[2]stages!$2:$2,0)+1),MATCH(G$1,[2]stages!$2:$2,0)-MATCH("temp_stage",[2]stages!$2:$2,0)+1,FALSE)</f>
        <v>コラボクエスト</v>
      </c>
      <c r="H120" s="86">
        <v>0</v>
      </c>
      <c r="I120">
        <v>37</v>
      </c>
      <c r="J120" s="85" t="s">
        <v>277</v>
      </c>
      <c r="K120" s="126" t="str">
        <f>VLOOKUP(I120,[7]stage_hints!$A:$C,3,FALSE)</f>
        <v>限界突破値の引き継ぎ</v>
      </c>
      <c r="L120" s="127" t="str">
        <f>VLOOKUP(I120,[7]stage_hints!$A:$D,4,FALSE)</f>
        <v>同じユニットを強化で合成すると_x000D_限界突破値を引き継げます（覚醒前後も可）</v>
      </c>
      <c r="M120" s="57" t="s">
        <v>189</v>
      </c>
    </row>
    <row r="121" spans="1:13" x14ac:dyDescent="0.15">
      <c r="A121" s="82" t="s">
        <v>265</v>
      </c>
      <c r="B121" s="83">
        <v>39005</v>
      </c>
      <c r="C121" s="84" t="str">
        <f ca="1">VLOOKUP($B121,OFFSET([2]quests!$A$1,0,0,COUNTA([2]quests!$A:$A),MATCH(C$1,[2]quests!$1:$1,0)-MATCH($B$1,[2]quests!$1:$1,0)+1),MATCH(C$1,[2]quests!$1:$1,0)-MATCH($B$1,[2]quests!$1:$1,0)+1,FALSE)</f>
        <v xml:space="preserve">ミクエキスポ </v>
      </c>
      <c r="D121" s="84" t="str">
        <f ca="1">VLOOKUP($B121,OFFSET([2]quests!$A$1,0,0,COUNTA([2]quests!$A:$A),MATCH(D$1,[2]quests!$1:$1,0)-MATCH($B$1,[2]quests!$1:$1,0)+1),MATCH(D$1,[2]quests!$1:$1,0)-MATCH($B$1,[2]quests!$1:$1,0)+1,FALSE)</f>
        <v>コラボクエスト</v>
      </c>
      <c r="E121" s="88">
        <v>5</v>
      </c>
      <c r="F121" s="84" t="str">
        <f ca="1">VLOOKUP($B121&amp;"_"&amp;$E121,OFFSET([2]stages!$A$1,0,0,COUNTA([2]stages!$A:$A),MATCH(F$1,[2]stages!$2:$2,0)-MATCH("temp_stage",[2]stages!$2:$2,0)+1),MATCH(F$1,[2]stages!$2:$2,0)-MATCH("temp_stage",[2]stages!$2:$2,0)+1,FALSE)</f>
        <v>【超絶級】ミクエキスポ</v>
      </c>
      <c r="G121" s="84" t="str">
        <f ca="1">VLOOKUP($B121&amp;"_"&amp;$E121,OFFSET([2]stages!$A$1,0,0,COUNTA([2]stages!$A:$A),MATCH(G$1,[2]stages!$2:$2,0)-MATCH("temp_stage",[2]stages!$2:$2,0)+1),MATCH(G$1,[2]stages!$2:$2,0)-MATCH("temp_stage",[2]stages!$2:$2,0)+1,FALSE)</f>
        <v>コラボクエスト</v>
      </c>
      <c r="H121" s="86">
        <v>0</v>
      </c>
      <c r="I121">
        <v>39</v>
      </c>
      <c r="J121" s="85" t="s">
        <v>277</v>
      </c>
      <c r="K121" s="126" t="str">
        <f>VLOOKUP(I121,[7]stage_hints!$A:$C,3,FALSE)</f>
        <v>システム適合者を確認</v>
      </c>
      <c r="L121" s="127" t="str">
        <f>VLOOKUP(I121,[7]stage_hints!$A:$D,4,FALSE)</f>
        <v>ALICEが「アナタ」を呼んでいます</v>
      </c>
      <c r="M121" s="57" t="s">
        <v>189</v>
      </c>
    </row>
  </sheetData>
  <phoneticPr fontId="6"/>
  <dataValidations count="1">
    <dataValidation type="list" allowBlank="1" showInputMessage="1" showErrorMessage="1" sqref="A2:A12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O19"/>
  <sheetViews>
    <sheetView showGridLines="0" tabSelected="1" workbookViewId="0">
      <pane ySplit="1" topLeftCell="A2" activePane="bottomLeft" state="frozen"/>
      <selection pane="bottomLeft" activeCell="M20" sqref="M20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7" t="s">
        <v>177</v>
      </c>
      <c r="B1" s="73" t="s">
        <v>178</v>
      </c>
      <c r="C1" s="78" t="s">
        <v>179</v>
      </c>
      <c r="D1" s="78" t="s">
        <v>33</v>
      </c>
      <c r="E1" s="73" t="s">
        <v>180</v>
      </c>
      <c r="F1" s="78" t="s">
        <v>181</v>
      </c>
      <c r="G1" s="78" t="s">
        <v>33</v>
      </c>
      <c r="H1" s="73" t="s">
        <v>182</v>
      </c>
      <c r="I1" s="90" t="s">
        <v>183</v>
      </c>
      <c r="J1" s="92" t="s">
        <v>184</v>
      </c>
      <c r="K1" s="80" t="s">
        <v>127</v>
      </c>
      <c r="L1" s="79" t="s">
        <v>176</v>
      </c>
      <c r="M1" s="93" t="s">
        <v>175</v>
      </c>
      <c r="N1" s="81" t="s">
        <v>185</v>
      </c>
      <c r="O1" t="s">
        <v>303</v>
      </c>
    </row>
    <row r="2" spans="1:15" ht="28" x14ac:dyDescent="0.15">
      <c r="A2" s="82" t="s">
        <v>186</v>
      </c>
      <c r="B2" s="83">
        <f>floors!$C$2</f>
        <v>39005</v>
      </c>
      <c r="C2" s="84" t="str">
        <f ca="1">VLOOKUP($B2,OFFSET([2]quests!$A$1,0,0,COUNTA([2]quests!$A:$A),MATCH(C$1,[2]quests!$1:$1,0)-MATCH($B$1,[2]quests!$1:$1,0)+1),MATCH(C$1,[2]quests!$1:$1,0)-MATCH($B$1,[2]quests!$1:$1,0)+1,FALSE)</f>
        <v xml:space="preserve">ミクエキスポ </v>
      </c>
      <c r="D2" s="84" t="str">
        <f ca="1">VLOOKUP($B2,OFFSET([2]quests!$A$1,0,0,COUNTA([2]quests!$A:$A),MATCH(D$1,[2]quests!$1:$1,0)-MATCH($B$1,[2]quests!$1:$1,0)+1),MATCH(D$1,[2]quests!$1:$1,0)-MATCH($B$1,[2]quests!$1:$1,0)+1,FALSE)</f>
        <v>コラボクエスト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【初級】ミクエキスポ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コラボクエスト</v>
      </c>
      <c r="H2" s="86">
        <v>1</v>
      </c>
      <c r="I2" s="91">
        <f>ROW()-1</f>
        <v>1</v>
      </c>
      <c r="J2" s="87" t="str">
        <f>B2&amp;TEXT(I2,"00")</f>
        <v>3900501</v>
      </c>
      <c r="K2" s="85" t="s">
        <v>187</v>
      </c>
      <c r="L2" s="88" t="s">
        <v>188</v>
      </c>
      <c r="M2" s="124" t="s">
        <v>250</v>
      </c>
      <c r="N2" s="57" t="s">
        <v>189</v>
      </c>
      <c r="O2">
        <f t="shared" ref="O2:O6" si="0">LEN(M2)</f>
        <v>22</v>
      </c>
    </row>
    <row r="3" spans="1:15" ht="28" x14ac:dyDescent="0.15">
      <c r="A3" s="82" t="s">
        <v>186</v>
      </c>
      <c r="B3" s="83">
        <f>floors!$C$2</f>
        <v>39005</v>
      </c>
      <c r="C3" s="84" t="str">
        <f ca="1">VLOOKUP($B3,OFFSET([2]quests!$A$1,0,0,COUNTA([2]quests!$A:$A),MATCH(C$1,[2]quests!$1:$1,0)-MATCH($B$1,[2]quests!$1:$1,0)+1),MATCH(C$1,[2]quests!$1:$1,0)-MATCH($B$1,[2]quests!$1:$1,0)+1,FALSE)</f>
        <v xml:space="preserve">ミクエキスポ </v>
      </c>
      <c r="D3" s="84" t="str">
        <f ca="1">VLOOKUP($B3,OFFSET([2]quests!$A$1,0,0,COUNTA([2]quests!$A:$A),MATCH(D$1,[2]quests!$1:$1,0)-MATCH($B$1,[2]quests!$1:$1,0)+1),MATCH(D$1,[2]quests!$1:$1,0)-MATCH($B$1,[2]quests!$1:$1,0)+1,FALSE)</f>
        <v>コラボクエスト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【初級】ミクエキスポ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コラボクエスト</v>
      </c>
      <c r="H3" s="86">
        <v>2</v>
      </c>
      <c r="I3" s="91">
        <f t="shared" ref="I3:I19" si="1">ROW()-1</f>
        <v>2</v>
      </c>
      <c r="J3" s="87" t="str">
        <f>B3&amp;TEXT(I3,"00")</f>
        <v>3900502</v>
      </c>
      <c r="K3" s="85" t="s">
        <v>187</v>
      </c>
      <c r="L3" s="88" t="s">
        <v>188</v>
      </c>
      <c r="M3" s="124" t="s">
        <v>250</v>
      </c>
      <c r="N3" s="57" t="s">
        <v>189</v>
      </c>
      <c r="O3">
        <f t="shared" si="0"/>
        <v>22</v>
      </c>
    </row>
    <row r="4" spans="1:15" ht="28" x14ac:dyDescent="0.15">
      <c r="A4" s="82" t="s">
        <v>186</v>
      </c>
      <c r="B4" s="83">
        <f>floors!$C$2</f>
        <v>39005</v>
      </c>
      <c r="E4" s="85">
        <v>1</v>
      </c>
      <c r="H4" s="86">
        <v>3</v>
      </c>
      <c r="I4" s="91">
        <f t="shared" si="1"/>
        <v>3</v>
      </c>
      <c r="J4" s="87" t="str">
        <f t="shared" ref="J4:J18" si="2">B4&amp;TEXT(I4,"00")</f>
        <v>3900503</v>
      </c>
      <c r="K4" s="85" t="s">
        <v>128</v>
      </c>
      <c r="L4" s="88" t="s">
        <v>188</v>
      </c>
      <c r="M4" s="124" t="s">
        <v>251</v>
      </c>
      <c r="N4" s="57" t="s">
        <v>189</v>
      </c>
      <c r="O4">
        <f t="shared" si="0"/>
        <v>30</v>
      </c>
    </row>
    <row r="5" spans="1:15" ht="28" x14ac:dyDescent="0.15">
      <c r="A5" s="82" t="s">
        <v>186</v>
      </c>
      <c r="B5" s="83">
        <f>floors!$C$2</f>
        <v>39005</v>
      </c>
      <c r="E5" s="85">
        <v>2</v>
      </c>
      <c r="H5" s="86">
        <v>1</v>
      </c>
      <c r="I5" s="91">
        <f t="shared" si="1"/>
        <v>4</v>
      </c>
      <c r="J5" s="87" t="str">
        <f t="shared" si="2"/>
        <v>3900504</v>
      </c>
      <c r="K5" s="85" t="s">
        <v>128</v>
      </c>
      <c r="L5" s="88" t="s">
        <v>188</v>
      </c>
      <c r="M5" s="124" t="s">
        <v>250</v>
      </c>
      <c r="N5" s="57" t="s">
        <v>189</v>
      </c>
      <c r="O5">
        <f t="shared" si="0"/>
        <v>22</v>
      </c>
    </row>
    <row r="6" spans="1:15" ht="28" x14ac:dyDescent="0.15">
      <c r="A6" s="82" t="s">
        <v>186</v>
      </c>
      <c r="B6" s="83">
        <f>floors!$C$2</f>
        <v>39005</v>
      </c>
      <c r="E6" s="85">
        <v>2</v>
      </c>
      <c r="H6" s="86">
        <v>2</v>
      </c>
      <c r="I6" s="91">
        <f t="shared" si="1"/>
        <v>5</v>
      </c>
      <c r="J6" s="87" t="str">
        <f t="shared" si="2"/>
        <v>3900505</v>
      </c>
      <c r="K6" s="85" t="s">
        <v>128</v>
      </c>
      <c r="L6" s="88" t="s">
        <v>188</v>
      </c>
      <c r="M6" s="124" t="s">
        <v>250</v>
      </c>
      <c r="N6" s="57" t="s">
        <v>189</v>
      </c>
      <c r="O6">
        <f t="shared" si="0"/>
        <v>22</v>
      </c>
    </row>
    <row r="7" spans="1:15" ht="56" x14ac:dyDescent="0.15">
      <c r="A7" s="82" t="s">
        <v>186</v>
      </c>
      <c r="B7" s="83">
        <f>floors!$C$2</f>
        <v>39005</v>
      </c>
      <c r="E7" s="85">
        <v>2</v>
      </c>
      <c r="H7" s="86">
        <v>3</v>
      </c>
      <c r="I7" s="91">
        <f t="shared" si="1"/>
        <v>6</v>
      </c>
      <c r="J7" s="87" t="str">
        <f t="shared" si="2"/>
        <v>3900506</v>
      </c>
      <c r="K7" s="85" t="s">
        <v>128</v>
      </c>
      <c r="L7" s="88" t="s">
        <v>188</v>
      </c>
      <c r="M7" s="124" t="s">
        <v>351</v>
      </c>
      <c r="N7" s="57" t="s">
        <v>189</v>
      </c>
      <c r="O7">
        <f>LEN(M7)</f>
        <v>61</v>
      </c>
    </row>
    <row r="8" spans="1:15" ht="28" x14ac:dyDescent="0.15">
      <c r="A8" s="82" t="s">
        <v>186</v>
      </c>
      <c r="B8" s="83">
        <f>floors!$C$2</f>
        <v>39005</v>
      </c>
      <c r="E8" s="85">
        <v>3</v>
      </c>
      <c r="H8" s="86">
        <v>1</v>
      </c>
      <c r="I8" s="91">
        <f t="shared" si="1"/>
        <v>7</v>
      </c>
      <c r="J8" s="87" t="str">
        <f t="shared" si="2"/>
        <v>3900507</v>
      </c>
      <c r="K8" s="85" t="s">
        <v>128</v>
      </c>
      <c r="L8" s="88" t="s">
        <v>188</v>
      </c>
      <c r="M8" s="124" t="s">
        <v>250</v>
      </c>
      <c r="N8" s="57" t="s">
        <v>189</v>
      </c>
      <c r="O8">
        <f t="shared" ref="O8:O19" si="3">LEN(M8)</f>
        <v>22</v>
      </c>
    </row>
    <row r="9" spans="1:15" ht="28" x14ac:dyDescent="0.15">
      <c r="A9" s="82" t="s">
        <v>186</v>
      </c>
      <c r="B9" s="83">
        <f>floors!$C$2</f>
        <v>39005</v>
      </c>
      <c r="E9" s="85">
        <v>3</v>
      </c>
      <c r="H9" s="86">
        <v>2</v>
      </c>
      <c r="I9" s="91">
        <f t="shared" si="1"/>
        <v>8</v>
      </c>
      <c r="J9" s="87" t="str">
        <f t="shared" si="2"/>
        <v>3900508</v>
      </c>
      <c r="K9" s="85" t="s">
        <v>128</v>
      </c>
      <c r="L9" s="88" t="s">
        <v>188</v>
      </c>
      <c r="M9" s="124" t="s">
        <v>250</v>
      </c>
      <c r="N9" s="57" t="s">
        <v>189</v>
      </c>
      <c r="O9">
        <f t="shared" si="3"/>
        <v>22</v>
      </c>
    </row>
    <row r="10" spans="1:15" ht="56" x14ac:dyDescent="0.15">
      <c r="A10" s="82" t="s">
        <v>186</v>
      </c>
      <c r="B10" s="83">
        <f>floors!$C$2</f>
        <v>39005</v>
      </c>
      <c r="E10" s="85">
        <v>3</v>
      </c>
      <c r="H10" s="86">
        <v>3</v>
      </c>
      <c r="I10" s="91">
        <f t="shared" si="1"/>
        <v>9</v>
      </c>
      <c r="J10" s="87" t="str">
        <f t="shared" si="2"/>
        <v>3900509</v>
      </c>
      <c r="K10" s="85" t="s">
        <v>128</v>
      </c>
      <c r="L10" s="88" t="s">
        <v>188</v>
      </c>
      <c r="M10" s="124" t="s">
        <v>351</v>
      </c>
      <c r="N10" s="57" t="s">
        <v>189</v>
      </c>
      <c r="O10">
        <f t="shared" si="3"/>
        <v>61</v>
      </c>
    </row>
    <row r="11" spans="1:15" ht="28" x14ac:dyDescent="0.15">
      <c r="A11" s="82" t="s">
        <v>186</v>
      </c>
      <c r="B11" s="83">
        <f>floors!$C$2</f>
        <v>39005</v>
      </c>
      <c r="E11" s="85">
        <v>4</v>
      </c>
      <c r="H11" s="86">
        <v>1</v>
      </c>
      <c r="I11" s="91">
        <f t="shared" si="1"/>
        <v>10</v>
      </c>
      <c r="J11" s="87" t="str">
        <f t="shared" si="2"/>
        <v>3900510</v>
      </c>
      <c r="K11" s="85" t="s">
        <v>128</v>
      </c>
      <c r="L11" s="88" t="s">
        <v>188</v>
      </c>
      <c r="M11" s="124" t="s">
        <v>250</v>
      </c>
      <c r="N11" s="57" t="s">
        <v>189</v>
      </c>
      <c r="O11">
        <f t="shared" si="3"/>
        <v>22</v>
      </c>
    </row>
    <row r="12" spans="1:15" ht="56" x14ac:dyDescent="0.15">
      <c r="A12" s="82" t="s">
        <v>186</v>
      </c>
      <c r="B12" s="83">
        <f>floors!$C$2</f>
        <v>39005</v>
      </c>
      <c r="E12" s="85">
        <v>4</v>
      </c>
      <c r="H12" s="86">
        <v>2</v>
      </c>
      <c r="I12" s="91">
        <f t="shared" si="1"/>
        <v>11</v>
      </c>
      <c r="J12" s="87" t="str">
        <f t="shared" si="2"/>
        <v>3900511</v>
      </c>
      <c r="K12" s="85" t="s">
        <v>128</v>
      </c>
      <c r="L12" s="88" t="s">
        <v>188</v>
      </c>
      <c r="M12" s="124" t="s">
        <v>351</v>
      </c>
      <c r="N12" s="57" t="s">
        <v>189</v>
      </c>
      <c r="O12">
        <f t="shared" si="3"/>
        <v>61</v>
      </c>
    </row>
    <row r="13" spans="1:15" ht="28" x14ac:dyDescent="0.15">
      <c r="A13" s="82" t="s">
        <v>186</v>
      </c>
      <c r="B13" s="83">
        <f>floors!$C$2</f>
        <v>39005</v>
      </c>
      <c r="E13" s="85">
        <v>4</v>
      </c>
      <c r="H13" s="86">
        <v>3</v>
      </c>
      <c r="I13" s="91">
        <f t="shared" si="1"/>
        <v>12</v>
      </c>
      <c r="J13" s="87" t="str">
        <f t="shared" si="2"/>
        <v>3900512</v>
      </c>
      <c r="K13" s="85" t="s">
        <v>128</v>
      </c>
      <c r="L13" s="88" t="s">
        <v>188</v>
      </c>
      <c r="M13" s="124" t="s">
        <v>250</v>
      </c>
      <c r="N13" s="57" t="s">
        <v>189</v>
      </c>
      <c r="O13">
        <f t="shared" si="3"/>
        <v>22</v>
      </c>
    </row>
    <row r="14" spans="1:15" ht="70" x14ac:dyDescent="0.15">
      <c r="A14" s="82" t="s">
        <v>249</v>
      </c>
      <c r="B14" s="83">
        <f>floors!$C$2</f>
        <v>39005</v>
      </c>
      <c r="E14" s="85">
        <v>4</v>
      </c>
      <c r="H14" s="86">
        <v>4</v>
      </c>
      <c r="I14" s="91">
        <f t="shared" si="1"/>
        <v>13</v>
      </c>
      <c r="J14" s="87" t="str">
        <f t="shared" si="2"/>
        <v>3900513</v>
      </c>
      <c r="K14" s="85" t="s">
        <v>128</v>
      </c>
      <c r="L14" s="88" t="s">
        <v>188</v>
      </c>
      <c r="M14" s="124" t="s">
        <v>352</v>
      </c>
      <c r="N14" s="57" t="s">
        <v>189</v>
      </c>
      <c r="O14">
        <f t="shared" si="3"/>
        <v>54</v>
      </c>
    </row>
    <row r="15" spans="1:15" ht="28" x14ac:dyDescent="0.15">
      <c r="A15" s="82" t="s">
        <v>186</v>
      </c>
      <c r="B15" s="83">
        <f>floors!$C$2</f>
        <v>39005</v>
      </c>
      <c r="E15" s="85">
        <v>5</v>
      </c>
      <c r="H15" s="86">
        <v>1</v>
      </c>
      <c r="I15" s="91">
        <f t="shared" si="1"/>
        <v>14</v>
      </c>
      <c r="J15" s="87" t="str">
        <f t="shared" si="2"/>
        <v>3900514</v>
      </c>
      <c r="K15" s="85" t="s">
        <v>128</v>
      </c>
      <c r="L15" s="88" t="s">
        <v>188</v>
      </c>
      <c r="M15" s="124" t="s">
        <v>250</v>
      </c>
      <c r="N15" s="57" t="s">
        <v>189</v>
      </c>
      <c r="O15">
        <f t="shared" si="3"/>
        <v>22</v>
      </c>
    </row>
    <row r="16" spans="1:15" ht="56" x14ac:dyDescent="0.15">
      <c r="A16" s="89" t="s">
        <v>186</v>
      </c>
      <c r="B16" s="83">
        <f>floors!$C$2</f>
        <v>39005</v>
      </c>
      <c r="E16" s="85">
        <v>5</v>
      </c>
      <c r="H16" s="86">
        <v>2</v>
      </c>
      <c r="I16" s="91">
        <f t="shared" si="1"/>
        <v>15</v>
      </c>
      <c r="J16" s="87" t="str">
        <f t="shared" si="2"/>
        <v>3900515</v>
      </c>
      <c r="K16" s="85" t="s">
        <v>128</v>
      </c>
      <c r="L16" s="88" t="s">
        <v>188</v>
      </c>
      <c r="M16" s="124" t="s">
        <v>351</v>
      </c>
      <c r="N16" s="57" t="s">
        <v>189</v>
      </c>
      <c r="O16">
        <f t="shared" si="3"/>
        <v>61</v>
      </c>
    </row>
    <row r="17" spans="1:15" ht="28" x14ac:dyDescent="0.15">
      <c r="A17" s="82" t="s">
        <v>186</v>
      </c>
      <c r="B17" s="83">
        <f>floors!$C$2</f>
        <v>39005</v>
      </c>
      <c r="E17" s="85">
        <v>5</v>
      </c>
      <c r="H17" s="86">
        <v>3</v>
      </c>
      <c r="I17" s="91">
        <f t="shared" si="1"/>
        <v>16</v>
      </c>
      <c r="J17" s="87" t="str">
        <f t="shared" si="2"/>
        <v>3900516</v>
      </c>
      <c r="K17" s="85" t="s">
        <v>128</v>
      </c>
      <c r="L17" s="88" t="s">
        <v>188</v>
      </c>
      <c r="M17" s="124" t="s">
        <v>250</v>
      </c>
      <c r="N17" s="57" t="s">
        <v>189</v>
      </c>
      <c r="O17">
        <f t="shared" si="3"/>
        <v>22</v>
      </c>
    </row>
    <row r="18" spans="1:15" ht="70" x14ac:dyDescent="0.15">
      <c r="A18" s="82" t="s">
        <v>186</v>
      </c>
      <c r="B18" s="83">
        <f>floors!$C$2</f>
        <v>39005</v>
      </c>
      <c r="E18" s="85">
        <v>5</v>
      </c>
      <c r="H18" s="86">
        <v>4</v>
      </c>
      <c r="I18" s="91">
        <f t="shared" si="1"/>
        <v>17</v>
      </c>
      <c r="J18" s="87" t="str">
        <f t="shared" si="2"/>
        <v>3900517</v>
      </c>
      <c r="K18" s="85" t="s">
        <v>128</v>
      </c>
      <c r="L18" s="88" t="s">
        <v>188</v>
      </c>
      <c r="M18" s="124" t="s">
        <v>352</v>
      </c>
      <c r="N18" s="57" t="s">
        <v>189</v>
      </c>
      <c r="O18">
        <f t="shared" si="3"/>
        <v>54</v>
      </c>
    </row>
    <row r="19" spans="1:15" ht="56" x14ac:dyDescent="0.15">
      <c r="A19" s="89" t="s">
        <v>186</v>
      </c>
      <c r="B19" s="83">
        <f>floors!$C$2</f>
        <v>39005</v>
      </c>
      <c r="E19" s="85">
        <v>5</v>
      </c>
      <c r="H19" s="86">
        <v>4</v>
      </c>
      <c r="I19" s="91">
        <f t="shared" si="1"/>
        <v>18</v>
      </c>
      <c r="J19" s="87" t="str">
        <f t="shared" ref="J19" si="4">B19&amp;TEXT(I19,"00")</f>
        <v>3900518</v>
      </c>
      <c r="K19" s="85" t="s">
        <v>128</v>
      </c>
      <c r="L19" s="88" t="s">
        <v>188</v>
      </c>
      <c r="M19" s="124" t="s">
        <v>351</v>
      </c>
      <c r="N19" s="57" t="s">
        <v>189</v>
      </c>
      <c r="O19">
        <f t="shared" si="3"/>
        <v>61</v>
      </c>
    </row>
  </sheetData>
  <phoneticPr fontId="6"/>
  <dataValidations count="1">
    <dataValidation type="list" allowBlank="1" showInputMessage="1" showErrorMessage="1" sqref="A2:A15 A17:A1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2016-05-26T10:09:27Z</dcterms:modified>
</cp:coreProperties>
</file>