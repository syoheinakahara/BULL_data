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800" tabRatio="943" activeTab="5"/>
  </bookViews>
  <sheets>
    <sheet name="確率の考え方" sheetId="110" r:id="rId1"/>
    <sheet name="Sheet1" sheetId="107" r:id="rId2"/>
    <sheet name="output" sheetId="103" r:id="rId3"/>
    <sheet name="input_392010" sheetId="157" r:id="rId4"/>
    <sheet name="tables_392010" sheetId="158" r:id="rId5"/>
    <sheet name="input_392100" sheetId="153" r:id="rId6"/>
    <sheet name="tables_392100" sheetId="154" r:id="rId7"/>
    <sheet name="tables_settle_392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tables_392010!$A$1:$V$294</definedName>
    <definedName name="_xlnm._FilterDatabase" localSheetId="6" hidden="1">tables_392100!$A$1:$V$294</definedName>
    <definedName name="_xlnm._FilterDatabase" localSheetId="7" hidden="1">tables_settle_392100!$A$1:$V$1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153" l="1"/>
  <c r="B22" i="153"/>
  <c r="B21" i="153"/>
  <c r="B27" i="153"/>
  <c r="E5" i="153"/>
  <c r="G5" i="153"/>
  <c r="G7" i="153"/>
  <c r="G6" i="153"/>
  <c r="B28" i="153"/>
  <c r="B29" i="153"/>
  <c r="F6" i="153"/>
  <c r="E6" i="153"/>
  <c r="F5" i="153"/>
  <c r="B26" i="153"/>
  <c r="B25" i="153"/>
  <c r="B20" i="153"/>
  <c r="B19" i="153"/>
  <c r="B24" i="153"/>
  <c r="B17" i="153"/>
  <c r="B18" i="153"/>
  <c r="B30" i="157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F5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E28" i="157"/>
  <c r="B28" i="157"/>
  <c r="E27" i="157"/>
  <c r="B27" i="157"/>
  <c r="F6" i="157"/>
  <c r="E6" i="157"/>
  <c r="E26" i="157"/>
  <c r="B26" i="157"/>
  <c r="E25" i="157"/>
  <c r="B25" i="157"/>
  <c r="E24" i="157"/>
  <c r="B24" i="157"/>
  <c r="E23" i="157"/>
  <c r="B23" i="157"/>
  <c r="E22" i="157"/>
  <c r="B22" i="157"/>
  <c r="B21" i="157"/>
  <c r="E20" i="157"/>
  <c r="B20" i="157"/>
  <c r="E19" i="157"/>
  <c r="B19" i="157"/>
  <c r="B17" i="157"/>
  <c r="E18" i="157"/>
  <c r="B18" i="157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E26" i="153"/>
  <c r="E28" i="153"/>
  <c r="E29" i="153"/>
  <c r="A2" i="153"/>
  <c r="A36" i="153"/>
  <c r="E19" i="153"/>
  <c r="E24" i="153"/>
  <c r="G17" i="153"/>
  <c r="E17" i="153"/>
  <c r="H17" i="153"/>
  <c r="O2" i="154"/>
  <c r="O4" i="154"/>
  <c r="O6" i="154"/>
  <c r="O8" i="154"/>
  <c r="E18" i="153"/>
  <c r="G18" i="153"/>
  <c r="H18" i="153"/>
  <c r="O3" i="154"/>
  <c r="O5" i="154"/>
  <c r="O7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R3" i="153"/>
  <c r="O187" i="154"/>
  <c r="R4" i="153"/>
  <c r="O188" i="154"/>
  <c r="R5" i="153"/>
  <c r="O189" i="154"/>
  <c r="R6" i="153"/>
  <c r="O190" i="154"/>
  <c r="R7" i="153"/>
  <c r="O191" i="154"/>
  <c r="R8" i="153"/>
  <c r="O192" i="154"/>
  <c r="O193" i="154"/>
  <c r="R9" i="153"/>
  <c r="O194" i="154"/>
  <c r="R10" i="153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G22" i="153"/>
  <c r="H22" i="153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F40" i="153"/>
  <c r="G40" i="153"/>
  <c r="F42" i="153"/>
  <c r="G42" i="153"/>
  <c r="F41" i="153"/>
  <c r="G41" i="153"/>
  <c r="B30" i="153"/>
  <c r="A36" i="157"/>
  <c r="R3" i="157"/>
  <c r="A2" i="157"/>
  <c r="G27" i="157"/>
  <c r="H27" i="157"/>
  <c r="O138" i="158"/>
  <c r="G17" i="157"/>
  <c r="E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R4" i="157"/>
  <c r="O188" i="158"/>
  <c r="R5" i="157"/>
  <c r="O189" i="158"/>
  <c r="R6" i="157"/>
  <c r="O190" i="158"/>
  <c r="R7" i="157"/>
  <c r="O191" i="158"/>
  <c r="R8" i="157"/>
  <c r="O192" i="158"/>
  <c r="O193" i="158"/>
  <c r="R9" i="157"/>
  <c r="O194" i="158"/>
  <c r="R10" i="157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G22" i="157"/>
  <c r="H22" i="157"/>
  <c r="O256" i="158"/>
  <c r="G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F48" i="157"/>
  <c r="F40" i="157"/>
  <c r="G5" i="157"/>
  <c r="G6" i="157"/>
  <c r="I7" i="159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I9" i="159"/>
  <c r="D9" i="159"/>
  <c r="J9" i="159"/>
  <c r="E9" i="159"/>
  <c r="F9" i="159"/>
  <c r="C9" i="159"/>
  <c r="H9" i="159"/>
  <c r="K9" i="159"/>
  <c r="L9" i="159"/>
  <c r="M9" i="159"/>
  <c r="N9" i="159"/>
  <c r="P9" i="159"/>
  <c r="F41" i="157"/>
  <c r="G41" i="157"/>
  <c r="C4" i="103"/>
  <c r="E4" i="103"/>
  <c r="O2" i="159"/>
  <c r="O3" i="159"/>
  <c r="P6" i="159"/>
  <c r="N6" i="159"/>
  <c r="M6" i="159"/>
  <c r="L6" i="159"/>
  <c r="K6" i="159"/>
  <c r="J6" i="159"/>
  <c r="I6" i="159"/>
  <c r="H6" i="159"/>
  <c r="F6" i="159"/>
  <c r="E6" i="159"/>
  <c r="D6" i="159"/>
  <c r="C6" i="159"/>
  <c r="P5" i="159"/>
  <c r="N5" i="159"/>
  <c r="M5" i="159"/>
  <c r="L5" i="159"/>
  <c r="K5" i="159"/>
  <c r="J5" i="159"/>
  <c r="I5" i="159"/>
  <c r="H5" i="159"/>
  <c r="F5" i="159"/>
  <c r="E5" i="159"/>
  <c r="D5" i="159"/>
  <c r="C5" i="159"/>
  <c r="P4" i="159"/>
  <c r="N4" i="159"/>
  <c r="M4" i="159"/>
  <c r="L4" i="159"/>
  <c r="K4" i="159"/>
  <c r="J4" i="159"/>
  <c r="I4" i="159"/>
  <c r="H4" i="159"/>
  <c r="F4" i="159"/>
  <c r="E4" i="159"/>
  <c r="D4" i="159"/>
  <c r="C4" i="159"/>
  <c r="P3" i="159"/>
  <c r="N3" i="159"/>
  <c r="M3" i="159"/>
  <c r="L3" i="159"/>
  <c r="K3" i="159"/>
  <c r="J3" i="159"/>
  <c r="I3" i="159"/>
  <c r="H3" i="159"/>
  <c r="F3" i="159"/>
  <c r="E3" i="159"/>
  <c r="D3" i="159"/>
  <c r="C3" i="159"/>
  <c r="P2" i="159"/>
  <c r="N2" i="159"/>
  <c r="M2" i="159"/>
  <c r="L2" i="159"/>
  <c r="K2" i="159"/>
  <c r="J2" i="159"/>
  <c r="I2" i="159"/>
  <c r="H2" i="159"/>
  <c r="F2" i="159"/>
  <c r="E2" i="159"/>
  <c r="D2" i="159"/>
  <c r="C2" i="159"/>
  <c r="A300" i="154"/>
  <c r="F300" i="154"/>
  <c r="H300" i="154"/>
  <c r="K300" i="154"/>
  <c r="L300" i="154"/>
  <c r="M300" i="154"/>
  <c r="N300" i="154"/>
  <c r="F301" i="154"/>
  <c r="F302" i="154"/>
  <c r="F303" i="154"/>
  <c r="F304" i="154"/>
  <c r="P300" i="154"/>
  <c r="A301" i="154"/>
  <c r="H301" i="154"/>
  <c r="K301" i="154"/>
  <c r="L301" i="154"/>
  <c r="M301" i="154"/>
  <c r="N301" i="154"/>
  <c r="P301" i="154"/>
  <c r="A302" i="154"/>
  <c r="H302" i="154"/>
  <c r="K302" i="154"/>
  <c r="L302" i="154"/>
  <c r="M302" i="154"/>
  <c r="N302" i="154"/>
  <c r="P302" i="154"/>
  <c r="A303" i="154"/>
  <c r="H303" i="154"/>
  <c r="K303" i="154"/>
  <c r="L303" i="154"/>
  <c r="M303" i="154"/>
  <c r="N303" i="154"/>
  <c r="P303" i="154"/>
  <c r="A304" i="154"/>
  <c r="H304" i="154"/>
  <c r="K304" i="154"/>
  <c r="L304" i="154"/>
  <c r="M304" i="154"/>
  <c r="N304" i="154"/>
  <c r="P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P295" i="154"/>
  <c r="A296" i="154"/>
  <c r="H296" i="154"/>
  <c r="K296" i="154"/>
  <c r="L296" i="154"/>
  <c r="M296" i="154"/>
  <c r="N296" i="154"/>
  <c r="P296" i="154"/>
  <c r="A297" i="154"/>
  <c r="H297" i="154"/>
  <c r="K297" i="154"/>
  <c r="L297" i="154"/>
  <c r="M297" i="154"/>
  <c r="N297" i="154"/>
  <c r="P297" i="154"/>
  <c r="A298" i="154"/>
  <c r="H298" i="154"/>
  <c r="K298" i="154"/>
  <c r="L298" i="154"/>
  <c r="M298" i="154"/>
  <c r="N298" i="154"/>
  <c r="P298" i="154"/>
  <c r="A299" i="154"/>
  <c r="H299" i="154"/>
  <c r="K299" i="154"/>
  <c r="L299" i="154"/>
  <c r="M299" i="154"/>
  <c r="N299" i="154"/>
  <c r="P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" i="154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2" i="157"/>
  <c r="B43" i="157"/>
  <c r="B44" i="157"/>
  <c r="B45" i="157"/>
  <c r="B46" i="157"/>
  <c r="F42" i="157"/>
  <c r="G42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7"/>
  <c r="F20" i="157"/>
  <c r="I20" i="157"/>
  <c r="J20" i="157"/>
  <c r="B32" i="157"/>
  <c r="D32" i="157"/>
  <c r="F45" i="157"/>
  <c r="F46" i="157"/>
  <c r="B41" i="157"/>
  <c r="B47" i="157"/>
  <c r="C40" i="157"/>
  <c r="C41" i="157"/>
  <c r="C42" i="157"/>
  <c r="C43" i="157"/>
  <c r="C44" i="157"/>
  <c r="C45" i="157"/>
  <c r="C46" i="157"/>
  <c r="C47" i="157"/>
  <c r="F47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<sst xmlns="http://schemas.openxmlformats.org/spreadsheetml/2006/main" count="542" uniqueCount="255">
  <si>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</si>
  <si>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</si>
  <si>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</si>
  <si>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</si>
  <si>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</si>
  <si>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</si>
  <si>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</si>
  <si>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</si>
  <si>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</si>
  <si>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</si>
  <si>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</si>
  <si>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</si>
  <si>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</si>
  <si>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</si>
  <si>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</si>
  <si>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</si>
  <si>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</si>
  <si>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</si>
  <si>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</si>
  <si>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</si>
  <si>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</si>
  <si>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</si>
  <si>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</si>
  <si>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</si>
  <si>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</si>
  <si>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</si>
  <si>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</si>
  <si>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</si>
  <si>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</si>
  <si>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</si>
  <si>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</si>
  <si>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</si>
  <si>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</si>
  <si>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</si>
  <si>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</si>
  <si>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</si>
  <si>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</si>
  <si>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</si>
  <si>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</si>
  <si>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</si>
  <si>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</si>
  <si>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</si>
  <si>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</si>
  <si>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</si>
  <si>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</si>
  <si>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</si>
  <si>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</si>
  <si>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</si>
  <si>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</si>
  <si>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</si>
  <si>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</si>
  <si>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</si>
  <si>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</si>
  <si>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</si>
  <si>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</si>
  <si>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</si>
  <si>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</si>
  <si>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</si>
  <si>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</si>
  <si>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</si>
  <si>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</si>
  <si>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</si>
  <si>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</si>
  <si>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</si>
  <si>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</si>
  <si>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</si>
  <si>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</si>
  <si>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</si>
  <si>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</si>
  <si>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</si>
  <si>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</si>
  <si>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</si>
  <si>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</si>
  <si>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</si>
  <si>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</si>
  <si>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</si>
  <si>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</si>
  <si>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</si>
  <si>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</si>
  <si>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</si>
  <si>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</si>
  <si>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</si>
  <si>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</si>
  <si>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</si>
  <si>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</si>
  <si>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</si>
  <si>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</si>
  <si>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</si>
  <si>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</si>
  <si>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</si>
  <si>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</si>
  <si>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</si>
  <si>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</si>
  <si>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</si>
  <si>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</si>
  <si>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</si>
  <si>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</si>
  <si>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</si>
  <si>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</si>
  <si>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</si>
  <si>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</si>
  <si>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</si>
  <si>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</si>
  <si>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</si>
  <si>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</si>
  <si>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</si>
  <si>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</si>
  <si>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</si>
  <si>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</si>
  <si>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</si>
  <si>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</si>
  <si>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</si>
  <si>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</si>
  <si>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</si>
  <si>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</si>
  <si>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</si>
  <si>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</si>
  <si>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</si>
  <si>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</si>
  <si>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</si>
  <si>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</si>
  <si>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</si>
  <si>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</si>
  <si>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</si>
  <si>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</si>
  <si>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</si>
  <si>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</si>
  <si>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</si>
  <si>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</si>
  <si>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</si>
  <si>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</si>
  <si>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</si>
  <si>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</si>
  <si>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</si>
  <si>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</si>
  <si>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</si>
  <si>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</si>
  <si>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</si>
  <si>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</si>
  <si>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</si>
  <si>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</si>
  <si>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</si>
  <si>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</si>
  <si>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</si>
  <si>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</si>
  <si>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</si>
  <si>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</si>
  <si>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</si>
  <si>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</si>
  <si>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</si>
  <si>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</si>
  <si>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</si>
  <si>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</si>
  <si>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</si>
  <si>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</si>
  <si>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</si>
  <si>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</si>
  <si>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</si>
  <si>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</si>
  <si>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</si>
  <si>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</si>
  <si>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</si>
  <si>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</si>
  <si>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</si>
  <si>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</si>
  <si>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</si>
  <si>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</si>
  <si>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</si>
  <si>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</si>
  <si>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</si>
  <si>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</si>
  <si>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</si>
  <si>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</si>
  <si>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</si>
  <si>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</si>
  <si>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</si>
  <si>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</si>
  <si>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</si>
  <si>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</si>
  <si>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</si>
  <si>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</si>
  <si>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</si>
  <si>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</si>
  <si>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</si>
  <si>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</si>
  <si>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</si>
  <si>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</si>
  <si>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</si>
  <si>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</si>
  <si>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</si>
  <si>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</si>
  <si>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</si>
  <si>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</si>
  <si>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</si>
  <si>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</si>
  <si>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</si>
  <si>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</si>
  <si>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</si>
  <si>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</si>
  <si>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</si>
  <si>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</si>
  <si>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</si>
  <si>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</si>
  <si>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</si>
  <si>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</si>
  <si>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</si>
  <si>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</si>
  <si>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</si>
  <si>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</si>
  <si>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</si>
  <si>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</si>
  <si>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</si>
  <si>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</si>
  <si>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</si>
  <si>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</si>
  <si>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</si>
  <si>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</si>
  <si>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</si>
  <si>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</si>
  <si>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</si>
  <si>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</si>
  <si>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</si>
  <si>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</si>
  <si>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</si>
  <si>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</si>
  <si>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</si>
  <si>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</si>
  <si>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</si>
  <si>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</si>
  <si>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</si>
  <si>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</si>
  <si>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</si>
  <si>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</si>
  <si>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</si>
  <si>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</si>
  <si>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</si>
  <si>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</si>
  <si>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</si>
  <si>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</si>
  <si>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</si>
  <si>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</si>
  <si>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</si>
  <si>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</si>
  <si>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</si>
  <si>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</si>
  <si>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</si>
  <si>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</si>
  <si>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</si>
  <si>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old</t>
    <phoneticPr fontId="22"/>
  </si>
  <si>
    <t>tables_392100</t>
    <phoneticPr fontId="22"/>
  </si>
  <si>
    <t>tables_392010</t>
    <phoneticPr fontId="22"/>
  </si>
  <si>
    <t>gacha_settle_tables_</t>
    <phoneticPr fontId="22"/>
  </si>
  <si>
    <t>tables_settle_392100</t>
    <phoneticPr fontId="22"/>
  </si>
  <si>
    <t>392100</t>
    <phoneticPr fontId="22"/>
  </si>
  <si>
    <t>↑高い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</si>
</sst>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7" fillId="33" borderId="1" xfId="2" applyFont="1" applyFill="1" applyBorder="1" applyAlignment="1">
      <alignment vertical="center"/>
    </xf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3036" applyFont="1" applyBorder="1"/>
    <xf numFmtId="0" fontId="3" fillId="4" borderId="1" xfId="2978" applyFont="1" applyFill="1" applyBorder="1"/>
    <xf numFmtId="0" fontId="3" fillId="0" borderId="1" xfId="2978" applyFont="1" applyBorder="1"/>
    <xf numFmtId="176" fontId="0" fillId="0" borderId="0" xfId="0" applyNumberFormat="1"/>
    <xf numFmtId="0" fontId="2" fillId="4" borderId="1" xfId="2978" applyFont="1" applyFill="1" applyBorder="1"/>
    <xf numFmtId="0" fontId="27" fillId="0" borderId="1" xfId="2" quotePrefix="1" applyFont="1" applyBorder="1" applyAlignment="1">
      <alignment vertical="center"/>
    </xf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1185</v>
          </cell>
          <cell r="B1146" t="str">
            <v>ja</v>
          </cell>
          <cell r="C1146" t="str">
            <v>超覚醒ハーシェル</v>
          </cell>
          <cell r="D1146" t="str">
            <v>超覚醒ハーシェル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6</v>
          </cell>
          <cell r="J1146" t="str">
            <v>PremiumSSS</v>
          </cell>
          <cell r="K1146" t="str">
            <v>heal</v>
          </cell>
          <cell r="L1146" t="str">
            <v>回復タイプ</v>
          </cell>
          <cell r="M1146" t="str">
            <v>academia</v>
          </cell>
        </row>
        <row r="1147">
          <cell r="A1147">
            <v>6001</v>
          </cell>
          <cell r="B1147" t="str">
            <v>ja</v>
          </cell>
          <cell r="C1147" t="str">
            <v>ジェリー</v>
          </cell>
          <cell r="D1147" t="str">
            <v>ノーマルクエスト</v>
          </cell>
          <cell r="E1147" t="str">
            <v>QoH</v>
          </cell>
          <cell r="F1147" t="str">
            <v>世界観</v>
          </cell>
          <cell r="G1147" t="str">
            <v>不明</v>
          </cell>
          <cell r="H1147" t="str">
            <v>red</v>
          </cell>
          <cell r="I1147">
            <v>1</v>
          </cell>
          <cell r="J1147" t="str">
            <v>Drop1T</v>
          </cell>
          <cell r="K1147" t="str">
            <v>ra</v>
          </cell>
          <cell r="L1147" t="str">
            <v>ラグランジュチャレンジ</v>
          </cell>
          <cell r="M1147" t="str">
            <v>unknown</v>
          </cell>
        </row>
        <row r="1148">
          <cell r="A1148">
            <v>6002</v>
          </cell>
          <cell r="B1148" t="str">
            <v>ja</v>
          </cell>
          <cell r="C1148" t="str">
            <v>ヨシタカ</v>
          </cell>
          <cell r="D1148" t="str">
            <v>ノーマルクエスト</v>
          </cell>
          <cell r="E1148" t="str">
            <v>アバター</v>
          </cell>
          <cell r="F1148" t="str">
            <v>世界観</v>
          </cell>
          <cell r="G1148" t="str">
            <v>男性</v>
          </cell>
          <cell r="H1148" t="str">
            <v>red</v>
          </cell>
          <cell r="I1148">
            <v>2</v>
          </cell>
          <cell r="J1148" t="str">
            <v>Drop1N</v>
          </cell>
          <cell r="K1148" t="str">
            <v>ra</v>
          </cell>
          <cell r="L1148" t="str">
            <v>ラグランジュチャレンジ</v>
          </cell>
          <cell r="M1148" t="str">
            <v>human</v>
          </cell>
        </row>
        <row r="1149">
          <cell r="A1149">
            <v>6003</v>
          </cell>
          <cell r="B1149" t="str">
            <v>ja</v>
          </cell>
          <cell r="C1149" t="str">
            <v>朱雀</v>
          </cell>
          <cell r="D1149" t="str">
            <v>リンクガチャ:4神</v>
          </cell>
          <cell r="E1149" t="str">
            <v>守護神</v>
          </cell>
          <cell r="F1149" t="str">
            <v>格好いい</v>
          </cell>
          <cell r="G1149" t="str">
            <v>不明</v>
          </cell>
          <cell r="H1149" t="str">
            <v>red</v>
          </cell>
          <cell r="I1149">
            <v>3</v>
          </cell>
          <cell r="J1149" t="str">
            <v>Drop2N</v>
          </cell>
          <cell r="K1149" t="str">
            <v>ra</v>
          </cell>
          <cell r="L1149" t="str">
            <v>ラグランジュチャレンジ</v>
          </cell>
          <cell r="M1149" t="str">
            <v>animal</v>
          </cell>
        </row>
        <row r="1150">
          <cell r="A1150">
            <v>6004</v>
          </cell>
          <cell r="B1150" t="str">
            <v>ja</v>
          </cell>
          <cell r="C1150" t="str">
            <v>ブレット</v>
          </cell>
          <cell r="D1150" t="str">
            <v>ノーマルクエスト</v>
          </cell>
          <cell r="E1150" t="str">
            <v>アバター</v>
          </cell>
          <cell r="F1150" t="str">
            <v>世界観</v>
          </cell>
          <cell r="G1150" t="str">
            <v>不明</v>
          </cell>
          <cell r="H1150" t="str">
            <v>red</v>
          </cell>
          <cell r="I1150">
            <v>1</v>
          </cell>
          <cell r="J1150" t="str">
            <v>Drop1W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6005</v>
          </cell>
          <cell r="B1151" t="str">
            <v>ja</v>
          </cell>
          <cell r="C1151" t="str">
            <v>孤神 テティス</v>
          </cell>
          <cell r="D1151" t="str">
            <v>初期ガチャ</v>
          </cell>
          <cell r="E1151" t="str">
            <v>管理者</v>
          </cell>
          <cell r="F1151" t="str">
            <v>美しい</v>
          </cell>
          <cell r="G1151" t="str">
            <v>女性</v>
          </cell>
          <cell r="H1151" t="str">
            <v>blue</v>
          </cell>
          <cell r="I1151">
            <v>4</v>
          </cell>
          <cell r="J1151" t="str">
            <v>PremiumN</v>
          </cell>
          <cell r="K1151" t="str">
            <v>ra</v>
          </cell>
          <cell r="L1151" t="str">
            <v>ラグランジュチャレンジ</v>
          </cell>
          <cell r="M1151" t="str">
            <v>god</v>
          </cell>
        </row>
        <row r="1152">
          <cell r="A1152">
            <v>6006</v>
          </cell>
          <cell r="B1152" t="str">
            <v>ja</v>
          </cell>
          <cell r="C1152" t="str">
            <v>海底の孤高神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5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6007</v>
          </cell>
          <cell r="B1153" t="str">
            <v>ja</v>
          </cell>
          <cell r="C1153" t="str">
            <v>番犬 ケルベロス</v>
          </cell>
          <cell r="D1153" t="str">
            <v>初期ガチャ</v>
          </cell>
          <cell r="E1153" t="str">
            <v>破界者</v>
          </cell>
          <cell r="F1153" t="str">
            <v>可愛い</v>
          </cell>
          <cell r="G1153" t="str">
            <v>女性</v>
          </cell>
          <cell r="H1153" t="str">
            <v>red</v>
          </cell>
          <cell r="I1153">
            <v>4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animal</v>
          </cell>
        </row>
        <row r="1154">
          <cell r="A1154">
            <v>6008</v>
          </cell>
          <cell r="B1154" t="str">
            <v>ja</v>
          </cell>
          <cell r="C1154" t="str">
            <v>焔神 プロメテウス</v>
          </cell>
          <cell r="D1154" t="str">
            <v>初期ガチャ</v>
          </cell>
          <cell r="E1154" t="str">
            <v>管理者</v>
          </cell>
          <cell r="F1154" t="str">
            <v>格好いい</v>
          </cell>
          <cell r="G1154" t="str">
            <v>男性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god</v>
          </cell>
        </row>
        <row r="1155">
          <cell r="A1155">
            <v>6009</v>
          </cell>
          <cell r="B1155" t="str">
            <v>ja</v>
          </cell>
          <cell r="C1155" t="str">
            <v>超越自我 ラグランジュ</v>
          </cell>
          <cell r="D1155" t="str">
            <v>ガチャ:フィーバーフェス02</v>
          </cell>
          <cell r="E1155" t="str">
            <v>執行者</v>
          </cell>
          <cell r="F1155" t="str">
            <v>格好いい</v>
          </cell>
          <cell r="G1155" t="str">
            <v>女性</v>
          </cell>
          <cell r="H1155" t="str">
            <v>red</v>
          </cell>
          <cell r="I1155">
            <v>5</v>
          </cell>
          <cell r="J1155" t="str">
            <v>PremiumSSS</v>
          </cell>
          <cell r="K1155" t="str">
            <v>ra</v>
          </cell>
          <cell r="L1155" t="str">
            <v>ラグランジュチャレンジ</v>
          </cell>
          <cell r="M1155" t="str">
            <v>human</v>
          </cell>
        </row>
        <row r="1156">
          <cell r="A1156">
            <v>6010</v>
          </cell>
          <cell r="B1156" t="str">
            <v>ja</v>
          </cell>
          <cell r="C1156" t="str">
            <v>超越凌駕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6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6011</v>
          </cell>
          <cell r="B1157" t="str">
            <v>ja</v>
          </cell>
          <cell r="C1157" t="str">
            <v>パトドッグリーダー ポチ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男性</v>
          </cell>
          <cell r="H1157" t="str">
            <v>blue</v>
          </cell>
          <cell r="I1157">
            <v>2</v>
          </cell>
          <cell r="J1157" t="str">
            <v>Drop1T</v>
          </cell>
          <cell r="K1157" t="str">
            <v>ra002</v>
          </cell>
          <cell r="L1157" t="str">
            <v>ユークリッドチャレンジ</v>
          </cell>
          <cell r="M1157" t="str">
            <v>unknown</v>
          </cell>
        </row>
        <row r="1158">
          <cell r="A1158">
            <v>6012</v>
          </cell>
          <cell r="B1158" t="str">
            <v>ja</v>
          </cell>
          <cell r="C1158" t="str">
            <v>ミミ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yellow</v>
          </cell>
          <cell r="I1158">
            <v>1</v>
          </cell>
          <cell r="J1158" t="str">
            <v>Drop1W</v>
          </cell>
          <cell r="K1158" t="str">
            <v>ra002</v>
          </cell>
          <cell r="L1158" t="str">
            <v>ユークリッドチャレンジ</v>
          </cell>
          <cell r="M1158" t="str">
            <v>animal</v>
          </cell>
        </row>
        <row r="1159">
          <cell r="A1159">
            <v>6013</v>
          </cell>
          <cell r="B1159" t="str">
            <v>ja</v>
          </cell>
          <cell r="C1159" t="str">
            <v>護衛機人 スケアクロウ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blue</v>
          </cell>
          <cell r="I1159">
            <v>2</v>
          </cell>
          <cell r="J1159" t="str">
            <v>Drop1N</v>
          </cell>
          <cell r="K1159" t="str">
            <v>ra002</v>
          </cell>
          <cell r="L1159" t="str">
            <v>ユークリッドチャレンジ</v>
          </cell>
          <cell r="M1159" t="str">
            <v>machine</v>
          </cell>
        </row>
        <row r="1160">
          <cell r="A1160">
            <v>6014</v>
          </cell>
          <cell r="B1160" t="str">
            <v>ja</v>
          </cell>
          <cell r="C1160" t="str">
            <v>月下の人狼 ローレンス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4</v>
          </cell>
          <cell r="J1160" t="str">
            <v>PremiumW</v>
          </cell>
          <cell r="K1160" t="str">
            <v>ra002</v>
          </cell>
          <cell r="L1160" t="str">
            <v>ユークリッドチャレンジ</v>
          </cell>
          <cell r="M1160" t="str">
            <v>animal</v>
          </cell>
        </row>
        <row r="1161">
          <cell r="A1161">
            <v>6015</v>
          </cell>
          <cell r="B1161" t="str">
            <v>ja</v>
          </cell>
          <cell r="C1161" t="str">
            <v>フレイヤ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PremiumSS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6016</v>
          </cell>
          <cell r="B1162" t="str">
            <v>ja</v>
          </cell>
          <cell r="C1162" t="str">
            <v>根原論理 ユークリッド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5</v>
          </cell>
          <cell r="J1162" t="str">
            <v>PremiumSSS</v>
          </cell>
          <cell r="K1162" t="str">
            <v>ra002</v>
          </cell>
          <cell r="L1162" t="str">
            <v>ユークリッドチャレンジ</v>
          </cell>
          <cell r="M1162" t="str">
            <v>human</v>
          </cell>
        </row>
        <row r="1163">
          <cell r="A1163">
            <v>6017</v>
          </cell>
          <cell r="B1163" t="str">
            <v>ja</v>
          </cell>
          <cell r="C1163" t="str">
            <v>不朽の極論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6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6018</v>
          </cell>
          <cell r="B1164" t="str">
            <v>ja</v>
          </cell>
          <cell r="C1164" t="str">
            <v>ハヅル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red</v>
          </cell>
          <cell r="I1164">
            <v>4</v>
          </cell>
          <cell r="J1164" t="str">
            <v>PremiumSS</v>
          </cell>
          <cell r="K1164" t="str">
            <v>ra002</v>
          </cell>
          <cell r="L1164" t="str">
            <v>ユークリッドチャレンジ</v>
          </cell>
          <cell r="M1164" t="str">
            <v>animal</v>
          </cell>
        </row>
        <row r="1165">
          <cell r="A1165">
            <v>6019</v>
          </cell>
          <cell r="B1165" t="str">
            <v>ja</v>
          </cell>
          <cell r="C1165" t="str">
            <v>天織羽鶴 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6020</v>
          </cell>
          <cell r="B1166" t="str">
            <v>ja</v>
          </cell>
          <cell r="C1166" t="str">
            <v>ミズチ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blue</v>
          </cell>
          <cell r="I1166">
            <v>4</v>
          </cell>
          <cell r="J1166" t="str">
            <v>PremiumS</v>
          </cell>
          <cell r="K1166" t="str">
            <v>ra002</v>
          </cell>
          <cell r="L1166" t="str">
            <v>ユークリッドチャレンジ</v>
          </cell>
          <cell r="M1166" t="str">
            <v>dragon</v>
          </cell>
        </row>
        <row r="1167">
          <cell r="A1167">
            <v>8001</v>
          </cell>
          <cell r="B1167" t="str">
            <v>ja</v>
          </cell>
          <cell r="C1167" t="str">
            <v>媽祖</v>
          </cell>
          <cell r="D1167" t="str">
            <v>イベント:ミクコラボ01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yellow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8002</v>
          </cell>
          <cell r="B1168" t="str">
            <v>ja</v>
          </cell>
          <cell r="C1168" t="str">
            <v>天后 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8003</v>
          </cell>
          <cell r="B1169" t="str">
            <v>ja</v>
          </cell>
          <cell r="C1169" t="str">
            <v>蛟龍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不明</v>
          </cell>
          <cell r="H1169" t="str">
            <v>blue</v>
          </cell>
          <cell r="I1169">
            <v>5</v>
          </cell>
          <cell r="J1169" t="str">
            <v>DropWizS</v>
          </cell>
          <cell r="K1169" t="str">
            <v>hp</v>
          </cell>
          <cell r="L1169" t="str">
            <v>体力タイプ</v>
          </cell>
          <cell r="M1169" t="str">
            <v>dragon</v>
          </cell>
        </row>
        <row r="1170">
          <cell r="A1170">
            <v>8004</v>
          </cell>
          <cell r="B1170" t="str">
            <v>ja</v>
          </cell>
          <cell r="C1170" t="str">
            <v>深海蛟龍怪‧晏公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6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8005</v>
          </cell>
          <cell r="B1171" t="str">
            <v>ja</v>
          </cell>
          <cell r="C1171" t="str">
            <v>三蔵法師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5</v>
          </cell>
          <cell r="J1171" t="str">
            <v>PremiumSS</v>
          </cell>
          <cell r="K1171" t="str">
            <v>balance</v>
          </cell>
          <cell r="L1171" t="str">
            <v>バランスタイプ</v>
          </cell>
          <cell r="M1171" t="str">
            <v>human</v>
          </cell>
        </row>
        <row r="1172">
          <cell r="A1172">
            <v>8006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6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8007</v>
          </cell>
          <cell r="B1173" t="str">
            <v>ja</v>
          </cell>
          <cell r="C1173" t="str">
            <v>孫悟空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red</v>
          </cell>
          <cell r="I1173">
            <v>5</v>
          </cell>
          <cell r="J1173" t="str">
            <v>DropWizS</v>
          </cell>
          <cell r="K1173" t="str">
            <v>attack</v>
          </cell>
          <cell r="L1173" t="str">
            <v>攻撃タイプ</v>
          </cell>
          <cell r="M1173" t="str">
            <v>animal</v>
          </cell>
        </row>
        <row r="1174">
          <cell r="A1174">
            <v>8008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6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8009</v>
          </cell>
          <cell r="B1175" t="str">
            <v>ja</v>
          </cell>
          <cell r="C1175" t="str">
            <v>西王娘娘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green</v>
          </cell>
          <cell r="I1175">
            <v>5</v>
          </cell>
          <cell r="J1175" t="str">
            <v>PremiumSS</v>
          </cell>
          <cell r="K1175" t="str">
            <v>attack</v>
          </cell>
          <cell r="L1175" t="str">
            <v>攻撃タイプ</v>
          </cell>
          <cell r="M1175" t="str">
            <v>god</v>
          </cell>
        </row>
        <row r="1176">
          <cell r="A1176">
            <v>8010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8011</v>
          </cell>
          <cell r="B1177" t="str">
            <v>ja</v>
          </cell>
          <cell r="C1177" t="str">
            <v>月下老人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yellow</v>
          </cell>
          <cell r="I1177">
            <v>5</v>
          </cell>
          <cell r="J1177" t="str">
            <v>DropWizS</v>
          </cell>
          <cell r="K1177" t="str">
            <v>balance</v>
          </cell>
          <cell r="L1177" t="str">
            <v>バランスタイプ</v>
          </cell>
          <cell r="M1177" t="str">
            <v>god</v>
          </cell>
        </row>
        <row r="1178">
          <cell r="A1178">
            <v>8012</v>
          </cell>
          <cell r="B1178" t="str">
            <v>ja</v>
          </cell>
          <cell r="C1178" t="str">
            <v>良緣祈福 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8013</v>
          </cell>
          <cell r="B1179" t="str">
            <v>ja</v>
          </cell>
          <cell r="C1179" t="str">
            <v>初音ミクV3</v>
          </cell>
          <cell r="D1179" t="str">
            <v>初音ミクV3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4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unknown</v>
          </cell>
        </row>
        <row r="1180">
          <cell r="A1180">
            <v>8014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5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8015</v>
          </cell>
          <cell r="B1181" t="str">
            <v>ja</v>
          </cell>
          <cell r="C1181" t="str">
            <v>初音ミク・アペンド</v>
          </cell>
          <cell r="D1181" t="str">
            <v>初音ミク・アペンド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green</v>
          </cell>
          <cell r="I1181">
            <v>4</v>
          </cell>
          <cell r="J1181" t="str">
            <v>PremiumSSS</v>
          </cell>
          <cell r="K1181" t="str">
            <v>technical</v>
          </cell>
          <cell r="L1181" t="str">
            <v>テクニカルタイプ</v>
          </cell>
          <cell r="M1181" t="str">
            <v>unknown</v>
          </cell>
        </row>
        <row r="1182">
          <cell r="A1182">
            <v>8016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5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8017</v>
          </cell>
          <cell r="B1183" t="str">
            <v>ja</v>
          </cell>
          <cell r="C1183" t="str">
            <v>初音ミク</v>
          </cell>
          <cell r="D1183" t="str">
            <v>初音ミク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4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unknown</v>
          </cell>
        </row>
        <row r="1184">
          <cell r="A1184">
            <v>8018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5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8019</v>
          </cell>
          <cell r="B1185" t="str">
            <v>ja</v>
          </cell>
          <cell r="C1185" t="str">
            <v>鏡音リン</v>
          </cell>
          <cell r="D1185" t="str">
            <v>鏡音リン</v>
          </cell>
          <cell r="E1185" t="str">
            <v>執行者</v>
          </cell>
          <cell r="F1185" t="str">
            <v>格好いい</v>
          </cell>
          <cell r="G1185" t="str">
            <v>男性</v>
          </cell>
          <cell r="H1185" t="str">
            <v>yellow</v>
          </cell>
          <cell r="I1185">
            <v>4</v>
          </cell>
          <cell r="J1185" t="str">
            <v>PremiumSS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8020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5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8021</v>
          </cell>
          <cell r="B1187" t="str">
            <v>ja</v>
          </cell>
          <cell r="C1187" t="str">
            <v>鏡音レン</v>
          </cell>
          <cell r="D1187" t="str">
            <v>鏡音レン</v>
          </cell>
          <cell r="E1187" t="str">
            <v>執行者</v>
          </cell>
          <cell r="F1187" t="str">
            <v>格好いい</v>
          </cell>
          <cell r="G1187" t="str">
            <v>女性</v>
          </cell>
          <cell r="H1187" t="str">
            <v>yellow</v>
          </cell>
          <cell r="I1187">
            <v>4</v>
          </cell>
          <cell r="J1187" t="str">
            <v>PremiumSS</v>
          </cell>
          <cell r="K1187" t="str">
            <v>heal</v>
          </cell>
          <cell r="L1187" t="str">
            <v>回復タイプ</v>
          </cell>
          <cell r="M1187" t="str">
            <v>unknown</v>
          </cell>
        </row>
        <row r="1188">
          <cell r="A1188">
            <v>8022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5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8023</v>
          </cell>
          <cell r="B1189" t="str">
            <v>ja</v>
          </cell>
          <cell r="C1189" t="str">
            <v>巡音ルカ</v>
          </cell>
          <cell r="D1189" t="str">
            <v>巡音ルカ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red</v>
          </cell>
          <cell r="I1189">
            <v>3</v>
          </cell>
          <cell r="J1189" t="str">
            <v>PremiumS</v>
          </cell>
          <cell r="K1189" t="str">
            <v>attack</v>
          </cell>
          <cell r="L1189" t="str">
            <v>攻撃タイプ</v>
          </cell>
          <cell r="M1189" t="str">
            <v>unknown</v>
          </cell>
        </row>
        <row r="1190">
          <cell r="A1190">
            <v>8024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4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8025</v>
          </cell>
          <cell r="B1191" t="str">
            <v>ja</v>
          </cell>
          <cell r="C1191" t="str">
            <v>MEIKO</v>
          </cell>
          <cell r="D1191" t="str">
            <v>MEIKO</v>
          </cell>
          <cell r="E1191" t="str">
            <v>執行者</v>
          </cell>
          <cell r="F1191" t="str">
            <v>格好いい</v>
          </cell>
          <cell r="G1191" t="str">
            <v>男性</v>
          </cell>
          <cell r="H1191" t="str">
            <v>red</v>
          </cell>
          <cell r="I1191">
            <v>3</v>
          </cell>
          <cell r="J1191" t="str">
            <v>PremiumS</v>
          </cell>
          <cell r="K1191" t="str">
            <v>hp</v>
          </cell>
          <cell r="L1191" t="str">
            <v>体力タイプ</v>
          </cell>
          <cell r="M1191" t="str">
            <v>unknown</v>
          </cell>
        </row>
        <row r="1192">
          <cell r="A1192">
            <v>8026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4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8027</v>
          </cell>
          <cell r="B1193" t="str">
            <v>ja</v>
          </cell>
          <cell r="C1193" t="str">
            <v>KAITO</v>
          </cell>
          <cell r="D1193" t="str">
            <v>KAITO</v>
          </cell>
          <cell r="E1193" t="str">
            <v>執行者</v>
          </cell>
          <cell r="F1193" t="str">
            <v>格好いい</v>
          </cell>
          <cell r="G1193" t="str">
            <v>女性</v>
          </cell>
          <cell r="H1193" t="str">
            <v>blue</v>
          </cell>
          <cell r="I1193">
            <v>3</v>
          </cell>
          <cell r="J1193" t="str">
            <v>PremiumS</v>
          </cell>
          <cell r="K1193" t="str">
            <v>technical</v>
          </cell>
          <cell r="L1193" t="str">
            <v>テクニカルタイプ</v>
          </cell>
          <cell r="M1193" t="str">
            <v>unknown</v>
          </cell>
        </row>
        <row r="1194">
          <cell r="A1194">
            <v>8028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4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8029</v>
          </cell>
          <cell r="B1195" t="str">
            <v>ja</v>
          </cell>
          <cell r="C1195" t="str">
            <v>Expoミク</v>
          </cell>
          <cell r="D1195" t="str">
            <v>Expoミク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Drop2N</v>
          </cell>
          <cell r="K1195" t="str">
            <v>heal</v>
          </cell>
          <cell r="L1195" t="str">
            <v>回復タイプ</v>
          </cell>
          <cell r="M1195" t="str">
            <v>unknown</v>
          </cell>
        </row>
        <row r="1196">
          <cell r="A1196">
            <v>8030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8031</v>
          </cell>
          <cell r="B1197" t="str">
            <v>ja</v>
          </cell>
          <cell r="C1197" t="str">
            <v>閻羅王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red</v>
          </cell>
          <cell r="I1197">
            <v>5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god</v>
          </cell>
        </row>
        <row r="1198">
          <cell r="A1198">
            <v>8032</v>
          </cell>
          <cell r="B1198" t="str">
            <v>ja</v>
          </cell>
          <cell r="C1198" t="str">
            <v>十殿閻羅王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6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8033</v>
          </cell>
          <cell r="B1199" t="str">
            <v>ja</v>
          </cell>
          <cell r="C1199" t="str">
            <v>牛頭馬面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green</v>
          </cell>
          <cell r="I1199">
            <v>5</v>
          </cell>
          <cell r="J1199" t="str">
            <v>DropWizS</v>
          </cell>
          <cell r="K1199" t="str">
            <v>attack</v>
          </cell>
          <cell r="L1199" t="str">
            <v>攻撃タイプ</v>
          </cell>
          <cell r="M1199" t="str">
            <v>god</v>
          </cell>
        </row>
        <row r="1200">
          <cell r="A1200">
            <v>8034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6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8035</v>
          </cell>
          <cell r="B1201" t="str">
            <v>ja</v>
          </cell>
          <cell r="C1201" t="str">
            <v>嫦娥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heal</v>
          </cell>
          <cell r="L1201" t="str">
            <v>回復タイプ</v>
          </cell>
          <cell r="M1201" t="str">
            <v>unknown</v>
          </cell>
        </row>
        <row r="1202">
          <cell r="A1202">
            <v>8036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8037</v>
          </cell>
          <cell r="B1203" t="str">
            <v>ja</v>
          </cell>
          <cell r="C1203" t="str">
            <v>后羿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8038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8039</v>
          </cell>
          <cell r="B1205" t="str">
            <v>ja</v>
          </cell>
          <cell r="C1205" t="str">
            <v>何仙姑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8040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8041</v>
          </cell>
          <cell r="B1207" t="str">
            <v>ja</v>
          </cell>
          <cell r="C1207" t="str">
            <v>藍采和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8042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8043</v>
          </cell>
          <cell r="B1209" t="str">
            <v>ja</v>
          </cell>
          <cell r="C1209" t="str">
            <v>サンリオキャラ大集合+アザゼル</v>
          </cell>
          <cell r="D1209" t="str">
            <v>サンリオキャラ大集合+アザゼル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green</v>
          </cell>
          <cell r="I1209">
            <v>5</v>
          </cell>
          <cell r="J1209" t="str">
            <v>DropWizS</v>
          </cell>
          <cell r="K1209" t="str">
            <v>technical</v>
          </cell>
          <cell r="L1209" t="str">
            <v>テクニカルタイプ</v>
          </cell>
          <cell r="M1209" t="str">
            <v>ss</v>
          </cell>
        </row>
        <row r="1210">
          <cell r="A1210">
            <v>8044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6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8045</v>
          </cell>
          <cell r="B1211" t="str">
            <v>ja</v>
          </cell>
          <cell r="C1211" t="str">
            <v>ニムダ_サンリオキャラ混じり</v>
          </cell>
          <cell r="D1211" t="str">
            <v>ニムダ_サンリオキャラ混じり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yellow</v>
          </cell>
          <cell r="I1211">
            <v>4</v>
          </cell>
          <cell r="J1211" t="str">
            <v>Drop2N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8046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5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8047</v>
          </cell>
          <cell r="B1213" t="str">
            <v>ja</v>
          </cell>
          <cell r="C1213" t="str">
            <v>ハローキティ</v>
          </cell>
          <cell r="D1213" t="str">
            <v>ハローキティ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red</v>
          </cell>
          <cell r="I1213">
            <v>4</v>
          </cell>
          <cell r="J1213" t="str">
            <v>Drop2N</v>
          </cell>
          <cell r="K1213" t="str">
            <v>balance</v>
          </cell>
          <cell r="L1213" t="str">
            <v>バランスタイプ</v>
          </cell>
          <cell r="M1213" t="str">
            <v>ss</v>
          </cell>
        </row>
        <row r="1214">
          <cell r="A1214">
            <v>8048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5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8049</v>
          </cell>
          <cell r="B1215" t="str">
            <v>ja</v>
          </cell>
          <cell r="C1215" t="str">
            <v>KIRIMIちゃん</v>
          </cell>
          <cell r="D1215" t="str">
            <v>KIRIMIちゃん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4</v>
          </cell>
          <cell r="J1215" t="str">
            <v>Drop2N</v>
          </cell>
          <cell r="K1215" t="str">
            <v>hp</v>
          </cell>
          <cell r="L1215" t="str">
            <v>体力タイプ</v>
          </cell>
          <cell r="M1215" t="str">
            <v>ss</v>
          </cell>
        </row>
        <row r="1216">
          <cell r="A1216">
            <v>8050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5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8051</v>
          </cell>
          <cell r="B1217" t="str">
            <v>ja</v>
          </cell>
          <cell r="C1217" t="str">
            <v>ハローキティのリボン</v>
          </cell>
          <cell r="D1217" t="str">
            <v>ハローキティのリボン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evolution</v>
          </cell>
          <cell r="L1217" t="str">
            <v>覚醒素材タイプ</v>
          </cell>
          <cell r="M1217" t="str">
            <v>ss</v>
          </cell>
        </row>
        <row r="1218">
          <cell r="A1218">
            <v>8052</v>
          </cell>
          <cell r="B1218" t="str">
            <v>ja</v>
          </cell>
          <cell r="C1218" t="str">
            <v>ママの作ったアップルパイ</v>
          </cell>
          <cell r="D1218" t="str">
            <v>ママの作ったアップルパイ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4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8053</v>
          </cell>
          <cell r="B1219" t="str">
            <v>ja</v>
          </cell>
          <cell r="C1219" t="str">
            <v>D.R.T.H__キティコスプレ</v>
          </cell>
          <cell r="D1219" t="str">
            <v>D.R.T.H__キティコスプレ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5</v>
          </cell>
          <cell r="J1219" t="str">
            <v>PremiumSS</v>
          </cell>
          <cell r="K1219" t="str">
            <v>balance</v>
          </cell>
          <cell r="L1219" t="str">
            <v>バランスタイプ</v>
          </cell>
          <cell r="M1219" t="str">
            <v>ss</v>
          </cell>
        </row>
        <row r="1220">
          <cell r="A1220">
            <v>8054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6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8055</v>
          </cell>
          <cell r="B1221" t="str">
            <v>ja</v>
          </cell>
          <cell r="C1221" t="str">
            <v>マイメロディ</v>
          </cell>
          <cell r="D1221" t="str">
            <v>マイメロディ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4</v>
          </cell>
          <cell r="J1221" t="str">
            <v>PremiumS</v>
          </cell>
          <cell r="K1221" t="str">
            <v>attack</v>
          </cell>
          <cell r="L1221" t="str">
            <v>攻撃タイプ</v>
          </cell>
          <cell r="M1221" t="str">
            <v>ss</v>
          </cell>
        </row>
        <row r="1222">
          <cell r="A1222">
            <v>8056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5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8057</v>
          </cell>
          <cell r="B1223" t="str">
            <v>ja</v>
          </cell>
          <cell r="C1223" t="str">
            <v>ニーベルゲン_シナモロールコスプレ</v>
          </cell>
          <cell r="D1223" t="str">
            <v>ニーベルゲン_シナモロールコスプレ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green</v>
          </cell>
          <cell r="I1223">
            <v>4</v>
          </cell>
          <cell r="J1223" t="str">
            <v>PremiumS</v>
          </cell>
          <cell r="K1223" t="str">
            <v>balance</v>
          </cell>
          <cell r="L1223" t="str">
            <v>バランスタイプ</v>
          </cell>
          <cell r="M1223" t="str">
            <v>ss</v>
          </cell>
        </row>
        <row r="1224">
          <cell r="A1224">
            <v>8058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5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8059</v>
          </cell>
          <cell r="B1225" t="str">
            <v>ja</v>
          </cell>
          <cell r="C1225" t="str">
            <v>カカシ_マイメロディコスプレ</v>
          </cell>
          <cell r="D1225" t="str">
            <v>カカシ_マイメロディコスプレ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4</v>
          </cell>
          <cell r="J1225" t="str">
            <v>PremiumS</v>
          </cell>
          <cell r="K1225" t="str">
            <v>technical</v>
          </cell>
          <cell r="L1225" t="str">
            <v>テクニカルタイプ</v>
          </cell>
          <cell r="M1225" t="str">
            <v>ss</v>
          </cell>
        </row>
        <row r="1226">
          <cell r="A1226">
            <v>8060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5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8061</v>
          </cell>
          <cell r="B1227" t="str">
            <v>ja</v>
          </cell>
          <cell r="C1227" t="str">
            <v>ケロケロけろっぴ</v>
          </cell>
          <cell r="D1227" t="str">
            <v>ケロケロけろっぴ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3</v>
          </cell>
          <cell r="J1227" t="str">
            <v>PremiumS</v>
          </cell>
          <cell r="K1227" t="str">
            <v>balance</v>
          </cell>
          <cell r="L1227" t="str">
            <v>バランスタイプ</v>
          </cell>
          <cell r="M1227" t="str">
            <v>ss</v>
          </cell>
        </row>
        <row r="1228">
          <cell r="A1228">
            <v>8062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4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8063</v>
          </cell>
          <cell r="B1229" t="str">
            <v>ja</v>
          </cell>
          <cell r="C1229" t="str">
            <v>モルドレッド_ポムポムプリンコスプレ</v>
          </cell>
          <cell r="D1229" t="str">
            <v>モルドレッド_ポムポムプリンコスプレ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blue</v>
          </cell>
          <cell r="I1229">
            <v>5</v>
          </cell>
          <cell r="J1229" t="str">
            <v>PremiumSS</v>
          </cell>
          <cell r="K1229" t="str">
            <v>heal</v>
          </cell>
          <cell r="L1229" t="str">
            <v>回復タイプ</v>
          </cell>
          <cell r="M1229" t="str">
            <v>ss</v>
          </cell>
        </row>
        <row r="1230">
          <cell r="A1230">
            <v>8064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6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8065</v>
          </cell>
          <cell r="B1231" t="str">
            <v>ja</v>
          </cell>
          <cell r="C1231" t="str">
            <v>クロミ</v>
          </cell>
          <cell r="D1231" t="str">
            <v>クロミ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3</v>
          </cell>
          <cell r="J1231" t="str">
            <v>PremiumS</v>
          </cell>
          <cell r="K1231" t="str">
            <v>technical</v>
          </cell>
          <cell r="L1231" t="str">
            <v>テクニカルタイプ</v>
          </cell>
          <cell r="M1231" t="str">
            <v>ss</v>
          </cell>
        </row>
        <row r="1232">
          <cell r="A1232">
            <v>8066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4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8067</v>
          </cell>
          <cell r="B1233" t="str">
            <v>ja</v>
          </cell>
          <cell r="C1233" t="str">
            <v>バッドばつ丸</v>
          </cell>
          <cell r="D1233" t="str">
            <v>バッドばつ丸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3</v>
          </cell>
          <cell r="J1233" t="str">
            <v>PremiumS</v>
          </cell>
          <cell r="K1233" t="str">
            <v>attack</v>
          </cell>
          <cell r="L1233" t="str">
            <v>攻撃タイプ</v>
          </cell>
          <cell r="M1233" t="str">
            <v>ss</v>
          </cell>
        </row>
        <row r="1234">
          <cell r="A1234">
            <v>8068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4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8069</v>
          </cell>
          <cell r="B1235" t="str">
            <v>ja</v>
          </cell>
          <cell r="C1235" t="str">
            <v>シナモロール</v>
          </cell>
          <cell r="D1235" t="str">
            <v>シナモロール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yellow</v>
          </cell>
          <cell r="I1235">
            <v>4</v>
          </cell>
          <cell r="J1235" t="str">
            <v>PremiumS</v>
          </cell>
          <cell r="K1235" t="str">
            <v>heal</v>
          </cell>
          <cell r="L1235" t="str">
            <v>回復タイプ</v>
          </cell>
          <cell r="M1235" t="str">
            <v>ss</v>
          </cell>
        </row>
        <row r="1236">
          <cell r="A1236">
            <v>8070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5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8071</v>
          </cell>
          <cell r="B1237" t="str">
            <v>ja</v>
          </cell>
          <cell r="C1237" t="str">
            <v>ポムポムプリン</v>
          </cell>
          <cell r="D1237" t="str">
            <v>ポムポムプリン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3</v>
          </cell>
          <cell r="J1237" t="str">
            <v>PremiumS</v>
          </cell>
          <cell r="K1237" t="str">
            <v>hp</v>
          </cell>
          <cell r="L1237" t="str">
            <v>体力タイプ</v>
          </cell>
          <cell r="M1237" t="str">
            <v>ss</v>
          </cell>
        </row>
        <row r="1238">
          <cell r="A1238">
            <v>8072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4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G25" sqref="G2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392100</v>
      </c>
      <c r="D2" s="19" t="s">
        <v>45</v>
      </c>
      <c r="E2" s="17" t="str">
        <f t="shared" ref="E2" si="1">B2&amp;C2&amp;D2</f>
        <v>gacha_select_tables_392100.tmp</v>
      </c>
      <c r="F2" s="97" t="s">
        <v>249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247</v>
      </c>
      <c r="B3" s="61" t="s">
        <v>110</v>
      </c>
      <c r="C3" s="50" t="str">
        <f t="shared" ref="C3:C7" si="2">RIGHT(F3,6)</f>
        <v>392010</v>
      </c>
      <c r="D3" s="19" t="s">
        <v>45</v>
      </c>
      <c r="E3" s="17" t="str">
        <f t="shared" ref="E3:E10" si="3">B3&amp;C3&amp;D3</f>
        <v>gacha_select_tables_392010.tmp</v>
      </c>
      <c r="F3" s="97" t="s">
        <v>250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248</v>
      </c>
      <c r="B4" s="98" t="s">
        <v>251</v>
      </c>
      <c r="C4" s="50" t="str">
        <f>RIGHT(F4,6)</f>
        <v>392100</v>
      </c>
      <c r="D4" s="19" t="s">
        <v>45</v>
      </c>
      <c r="E4" s="17" t="str">
        <f>B4&amp;C4&amp;D4</f>
        <v>gacha_settle_tables_392100.tmp</v>
      </c>
      <c r="F4" s="100" t="s">
        <v>252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opLeftCell="A4" workbookViewId="0">
      <selection activeCell="B30" sqref="B3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463</v>
      </c>
      <c r="M3" s="37" t="str">
        <f>VLOOKUP(L3,[1]characters!$A:$C,3,FALSE)</f>
        <v>燻銀 ガウェイン</v>
      </c>
      <c r="N3" s="63">
        <v>1.9E-2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VLOOKUP(L3,tables_392010!B:C,2,FALSE)</f>
        <v>Premium4</v>
      </c>
      <c r="R3" s="62">
        <f>N3*A$36</f>
        <v>1388900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464</v>
      </c>
      <c r="M4" s="37" t="str">
        <f>VLOOKUP(L4,[1]characters!$A:$C,3,FALSE)</f>
        <v>円熟の弾導 ガウェイン</v>
      </c>
      <c r="N4" s="63">
        <v>1E-3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VLOOKUP(L4,tables_392010!B:C,2,FALSE)</f>
        <v>Premium5</v>
      </c>
      <c r="R4" s="62">
        <f t="shared" ref="R4:R20" si="1">N4*A$36</f>
        <v>73100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6.5116279069767449E-4</v>
      </c>
      <c r="F5">
        <f>(COUNTIF(tables_392010!C:C,input_392010!A28)+COUNTIF(tables_392010!C:C,input_392010!A29))</f>
        <v>45</v>
      </c>
      <c r="G5">
        <f>E5*F5</f>
        <v>2.9302325581395353E-2</v>
      </c>
      <c r="H5" s="84">
        <v>2.1999999999999999E-2</v>
      </c>
      <c r="I5" s="31">
        <v>2</v>
      </c>
      <c r="L5" s="60">
        <v>465</v>
      </c>
      <c r="M5" s="37" t="str">
        <f>VLOOKUP(L5,[1]characters!$A:$C,3,FALSE)</f>
        <v>真撃 ランスロット</v>
      </c>
      <c r="N5" s="63">
        <v>9.4999999999999998E-3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VLOOKUP(L5,tables_392010!B:C,2,FALSE)</f>
        <v>PremiumSS4</v>
      </c>
      <c r="R5" s="62">
        <f t="shared" si="1"/>
        <v>694450</v>
      </c>
      <c r="S5">
        <v>192</v>
      </c>
      <c r="U5" s="33" t="s">
        <v>98</v>
      </c>
      <c r="V5" s="54">
        <f t="shared" si="0"/>
        <v>3.7999999999999999E-2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1.0705882352941176E-2</v>
      </c>
      <c r="F6">
        <f>(COUNTIF(tables_392010!C:C,input_392010!A25)+COUNTIF(tables_392010!C:C,input_392010!A18)+COUNTIF(tables_392010!C:C,input_392010!A20)+COUNTIF(tables_392010!C:C,input_392010!A22))</f>
        <v>87</v>
      </c>
      <c r="G6" s="99">
        <f>G5+N5+N6+N7+N8</f>
        <v>5.1302325581395358E-2</v>
      </c>
      <c r="H6" s="89">
        <v>0.04</v>
      </c>
      <c r="I6" s="31">
        <v>2</v>
      </c>
      <c r="L6" s="94">
        <v>466</v>
      </c>
      <c r="M6" s="37" t="str">
        <f>VLOOKUP(L6,[1]characters!$A:$C,3,FALSE)</f>
        <v>真断の勇覇 ランスロット</v>
      </c>
      <c r="N6" s="63">
        <v>5.0000000000000001E-4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VLOOKUP(L6,tables_392010!B:C,2,FALSE)</f>
        <v>PremiumSS5</v>
      </c>
      <c r="R6" s="62">
        <f t="shared" si="1"/>
        <v>36550</v>
      </c>
      <c r="S6">
        <v>596</v>
      </c>
      <c r="U6" s="33" t="s">
        <v>99</v>
      </c>
      <c r="V6" s="54">
        <f t="shared" si="0"/>
        <v>2E-3</v>
      </c>
    </row>
    <row r="7" spans="1:22" x14ac:dyDescent="0.15">
      <c r="A7" s="33" t="s">
        <v>70</v>
      </c>
      <c r="B7" s="72">
        <v>0.05</v>
      </c>
      <c r="L7" s="60">
        <v>467</v>
      </c>
      <c r="M7" s="37" t="str">
        <f>VLOOKUP(L7,[1]characters!$A:$C,3,FALSE)</f>
        <v>報復 モルドレッド</v>
      </c>
      <c r="N7" s="63">
        <v>1.14E-2</v>
      </c>
      <c r="O7" s="37">
        <f>VLOOKUP(L7,[1]characters!$A:$I,9,FALSE)</f>
        <v>4</v>
      </c>
      <c r="P7" s="37" t="str">
        <f>VLOOKUP(L7,[1]characters!$A:$J,10,FALSE)</f>
        <v>PremiumSS</v>
      </c>
      <c r="Q7" s="37" t="str">
        <f>VLOOKUP(L7,tables_392010!B:C,2,FALSE)</f>
        <v>PremiumSS4</v>
      </c>
      <c r="R7" s="62">
        <f t="shared" si="1"/>
        <v>833340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468</v>
      </c>
      <c r="M8" s="37" t="str">
        <f>VLOOKUP(L8,[1]characters!$A:$C,3,FALSE)</f>
        <v>憎愛の尖鋒 モルドレッド</v>
      </c>
      <c r="N8" s="63">
        <v>5.9999999999999995E-4</v>
      </c>
      <c r="O8" s="37">
        <f>VLOOKUP(L8,[1]characters!$A:$I,9,FALSE)</f>
        <v>5</v>
      </c>
      <c r="P8" s="37" t="str">
        <f>VLOOKUP(L8,[1]characters!$A:$J,10,FALSE)</f>
        <v>PremiumSS</v>
      </c>
      <c r="Q8" s="37" t="str">
        <f>VLOOKUP(L8,tables_392010!B:C,2,FALSE)</f>
        <v>PremiumSS5</v>
      </c>
      <c r="R8" s="62">
        <f t="shared" si="1"/>
        <v>43859.999999999993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>
        <v>470</v>
      </c>
      <c r="M9" s="37" t="str">
        <f>VLOOKUP(L9,[1]characters!$A:$C,3,FALSE)</f>
        <v>純心 トリスタン</v>
      </c>
      <c r="N9" s="63">
        <v>1.9E-2</v>
      </c>
      <c r="O9" s="37">
        <f>VLOOKUP(L9,[1]characters!$A:$I,9,FALSE)</f>
        <v>4</v>
      </c>
      <c r="P9" s="37" t="str">
        <f>VLOOKUP(L9,[1]characters!$A:$J,10,FALSE)</f>
        <v>PremiumS</v>
      </c>
      <c r="Q9" s="37" t="str">
        <f>VLOOKUP(L9,tables_392010!B:C,2,FALSE)</f>
        <v>Premium4</v>
      </c>
      <c r="R9" s="62">
        <f t="shared" si="1"/>
        <v>1388900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>
        <v>471</v>
      </c>
      <c r="M10" s="37" t="str">
        <f>VLOOKUP(L10,[1]characters!$A:$C,3,FALSE)</f>
        <v>不可避の爆激 トリスタン</v>
      </c>
      <c r="N10" s="63">
        <v>1E-3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VLOOKUP(L10,tables_392010!B:C,2,FALSE)</f>
        <v>Premium5</v>
      </c>
      <c r="R10" s="62">
        <f t="shared" si="1"/>
        <v>73100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VLOOKUP(L11,tables_392010!B:C,2,FALSE)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VLOOKUP(L12,tables_392010!B:C,2,FALSE)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2.0900000000000002E-2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VLOOKUP(L13,tables_392010!B:C,2,FALSE)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1.0999999999999998E-3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VLOOKUP(L14,tables_392010!B:C,2,FALSE)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VLOOKUP(L15,tables_392010!B:C,2,FALSE)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B$5-B19-B24+E34</f>
        <v>0.20023529411764707</v>
      </c>
      <c r="C17" s="85">
        <f t="shared" ref="C17:C31" si="2">SUMIF(Q:Q,A17,N:N)</f>
        <v>0</v>
      </c>
      <c r="D17" s="74">
        <f t="shared" ref="D17:D32" si="3">B17-C17</f>
        <v>0.20023529411764707</v>
      </c>
      <c r="E17">
        <f>COUNTIF(tables_392010!C:C,input_392010!A17)-COUNTIF(Q:Q,A17)</f>
        <v>20</v>
      </c>
      <c r="F17" s="43">
        <f>IFERROR(B17/E17,0)</f>
        <v>1.0011764705882354E-2</v>
      </c>
      <c r="G17">
        <f t="shared" ref="G17:G31" si="4">A$36*B17</f>
        <v>14637200</v>
      </c>
      <c r="H17">
        <f t="shared" ref="H17:H31" si="5">IFERROR(ROUND(G17/E17,5),0)</f>
        <v>731860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1.3882352941176457E-2</v>
      </c>
      <c r="C18" s="85">
        <f t="shared" si="2"/>
        <v>0</v>
      </c>
      <c r="D18" s="74">
        <f t="shared" si="3"/>
        <v>1.3882352941176457E-2</v>
      </c>
      <c r="E18">
        <f>COUNTIF(tables_392010!C:C,input_392010!A18)-COUNTIF(Q:Q,A18)</f>
        <v>20</v>
      </c>
      <c r="F18" s="43">
        <f>IFERROR(B18/E18,0)</f>
        <v>6.9411764705882282E-4</v>
      </c>
      <c r="G18">
        <f t="shared" si="4"/>
        <v>1014799.999999999</v>
      </c>
      <c r="H18">
        <f t="shared" si="5"/>
        <v>50740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82">
        <f>E$6*E19*B$5</f>
        <v>0.27835294117647058</v>
      </c>
      <c r="C19" s="85">
        <f t="shared" si="2"/>
        <v>0</v>
      </c>
      <c r="D19" s="74">
        <f t="shared" si="3"/>
        <v>0.27835294117647058</v>
      </c>
      <c r="E19">
        <f>COUNTIF(tables_392010!C:C,input_392010!A19)-COUNTIF(Q:Q,A19)</f>
        <v>52</v>
      </c>
      <c r="F19" s="43">
        <f t="shared" ref="F19:F31" si="8">IFERROR(B19/E19,0)</f>
        <v>5.3529411764705881E-3</v>
      </c>
      <c r="G19">
        <f t="shared" si="4"/>
        <v>20347600</v>
      </c>
      <c r="H19">
        <f t="shared" si="5"/>
        <v>391300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E$6*E20*B$6-E35+F35</f>
        <v>0.22998686730506177</v>
      </c>
      <c r="C20" s="85">
        <f t="shared" si="2"/>
        <v>3.7999999999999999E-2</v>
      </c>
      <c r="D20" s="74">
        <f t="shared" si="3"/>
        <v>0.19198686730506176</v>
      </c>
      <c r="E20">
        <f>COUNTIF(tables_392010!C:C,input_392010!A20)-COUNTIF(Q:Q,A20)</f>
        <v>50</v>
      </c>
      <c r="F20" s="43">
        <f t="shared" si="8"/>
        <v>4.5997373461012349E-3</v>
      </c>
      <c r="G20">
        <f t="shared" si="4"/>
        <v>16812040.000000015</v>
      </c>
      <c r="H20">
        <f t="shared" si="5"/>
        <v>336240.8</v>
      </c>
      <c r="I20">
        <f t="shared" si="6"/>
        <v>0.79999999998835847</v>
      </c>
      <c r="J20">
        <f t="shared" si="7"/>
        <v>1.2500000000181899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B7-B23-B26-B28-B29-E36-F36</f>
        <v>2.6954309165526658E-2</v>
      </c>
      <c r="C21" s="85">
        <f t="shared" si="2"/>
        <v>2E-3</v>
      </c>
      <c r="D21" s="74">
        <f t="shared" si="3"/>
        <v>2.4954309165526656E-2</v>
      </c>
      <c r="E21">
        <f>COUNTIF(tables_392010!C:C,input_392010!A21)-COUNTIF(Q:Q,A21)</f>
        <v>50</v>
      </c>
      <c r="F21" s="43">
        <f t="shared" si="8"/>
        <v>5.3908618331053313E-4</v>
      </c>
      <c r="G21">
        <f t="shared" si="4"/>
        <v>1970359.9999999986</v>
      </c>
      <c r="H21">
        <f t="shared" si="5"/>
        <v>39407.199999999997</v>
      </c>
      <c r="I21">
        <f t="shared" si="6"/>
        <v>0.19999999999708962</v>
      </c>
      <c r="J21">
        <f t="shared" si="7"/>
        <v>5.0000000000727596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0.11187647058823529</v>
      </c>
      <c r="C22" s="85">
        <f t="shared" si="2"/>
        <v>0</v>
      </c>
      <c r="D22" s="74">
        <f t="shared" si="3"/>
        <v>0.11187647058823529</v>
      </c>
      <c r="E22">
        <f>COUNTIF(tables_392010!C:C,input_392010!A22)-COUNTIF(Q:Q,A22)</f>
        <v>11</v>
      </c>
      <c r="F22" s="43">
        <f t="shared" si="8"/>
        <v>1.0170588235294117E-2</v>
      </c>
      <c r="G22">
        <f t="shared" si="4"/>
        <v>8178169.9999999991</v>
      </c>
      <c r="H22">
        <f t="shared" si="5"/>
        <v>743470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5.8882352941176472E-3</v>
      </c>
      <c r="C23" s="85">
        <f t="shared" si="2"/>
        <v>0</v>
      </c>
      <c r="D23" s="74">
        <f t="shared" si="3"/>
        <v>5.8882352941176472E-3</v>
      </c>
      <c r="E23">
        <f>COUNTIF(tables_392010!C:C,input_392010!A23)-COUNTIF(Q:Q,A23)</f>
        <v>11</v>
      </c>
      <c r="F23" s="43">
        <f t="shared" si="8"/>
        <v>5.3529411764705883E-4</v>
      </c>
      <c r="G23">
        <f t="shared" si="4"/>
        <v>430430</v>
      </c>
      <c r="H23">
        <f t="shared" si="5"/>
        <v>39130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2.1411764705882352E-2</v>
      </c>
      <c r="C24" s="85">
        <f t="shared" si="2"/>
        <v>0</v>
      </c>
      <c r="D24" s="74">
        <f t="shared" si="3"/>
        <v>2.1411764705882352E-2</v>
      </c>
      <c r="E24">
        <f>COUNTIF(tables_392010!C:C,input_392010!A24)-COUNTIF(Q:Q,A24)</f>
        <v>4</v>
      </c>
      <c r="F24" s="43">
        <f t="shared" si="8"/>
        <v>5.3529411764705881E-3</v>
      </c>
      <c r="G24">
        <f t="shared" si="4"/>
        <v>1565200</v>
      </c>
      <c r="H24">
        <f t="shared" si="5"/>
        <v>391300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1.9270588235294119E-2</v>
      </c>
      <c r="C25" s="85">
        <f t="shared" si="2"/>
        <v>0</v>
      </c>
      <c r="D25" s="74">
        <f t="shared" si="3"/>
        <v>1.9270588235294119E-2</v>
      </c>
      <c r="E25">
        <f>COUNTIF(tables_392010!C:C,input_392010!A25)-COUNTIF(Q:Q,A25)</f>
        <v>4</v>
      </c>
      <c r="F25" s="43">
        <f t="shared" si="8"/>
        <v>4.8176470588235298E-3</v>
      </c>
      <c r="G25">
        <f t="shared" si="4"/>
        <v>1408680</v>
      </c>
      <c r="H25">
        <f t="shared" si="5"/>
        <v>352170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2.1411764705882353E-3</v>
      </c>
      <c r="C26" s="85">
        <f t="shared" si="2"/>
        <v>0</v>
      </c>
      <c r="D26" s="74">
        <f t="shared" si="3"/>
        <v>2.1411764705882353E-3</v>
      </c>
      <c r="E26">
        <f>COUNTIF(tables_392010!C:C,input_392010!A26)-COUNTIF(Q:Q,A26)</f>
        <v>4</v>
      </c>
      <c r="F26" s="43">
        <f t="shared" si="8"/>
        <v>5.3529411764705883E-4</v>
      </c>
      <c r="G26">
        <f t="shared" si="4"/>
        <v>156520</v>
      </c>
      <c r="H26">
        <f t="shared" si="5"/>
        <v>39130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1.608372093023256E-2</v>
      </c>
      <c r="C27" s="85">
        <f t="shared" si="2"/>
        <v>2.0900000000000002E-2</v>
      </c>
      <c r="D27" s="74">
        <f t="shared" si="3"/>
        <v>-4.8162790697674415E-3</v>
      </c>
      <c r="E27">
        <f>COUNTIF(tables_392010!C:C,input_392010!A27)-COUNTIF(Q:Q,A27)</f>
        <v>26</v>
      </c>
      <c r="F27" s="43">
        <f>IFERROR(B27/E27,0)</f>
        <v>6.1860465116279082E-4</v>
      </c>
      <c r="G27">
        <f t="shared" si="4"/>
        <v>1175720.0000000002</v>
      </c>
      <c r="H27">
        <f t="shared" si="5"/>
        <v>45220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8.4651162790697694E-4</v>
      </c>
      <c r="C28" s="85">
        <f t="shared" si="2"/>
        <v>1.0999999999999998E-3</v>
      </c>
      <c r="D28" s="74">
        <f t="shared" si="3"/>
        <v>-2.5348837209302291E-4</v>
      </c>
      <c r="E28">
        <f>COUNTIF(tables_392010!C:C,input_392010!A28)-COUNTIF(Q:Q,A28)</f>
        <v>26</v>
      </c>
      <c r="F28" s="43">
        <f t="shared" si="8"/>
        <v>3.2558139534883731E-5</v>
      </c>
      <c r="G28">
        <f t="shared" si="4"/>
        <v>61880.000000000015</v>
      </c>
      <c r="H28">
        <f t="shared" si="5"/>
        <v>2380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1.1069767441860466E-2</v>
      </c>
      <c r="C29" s="85">
        <f t="shared" si="2"/>
        <v>0</v>
      </c>
      <c r="D29" s="74">
        <f t="shared" si="3"/>
        <v>1.1069767441860466E-2</v>
      </c>
      <c r="E29">
        <f>COUNTIF(tables_392010!C:C,input_392010!A29)-COUNTIF(Q:Q,A29)</f>
        <v>17</v>
      </c>
      <c r="F29" s="43">
        <f t="shared" si="8"/>
        <v>6.5116279069767449E-4</v>
      </c>
      <c r="G29">
        <f t="shared" si="4"/>
        <v>809200.00000000012</v>
      </c>
      <c r="H29">
        <f t="shared" si="5"/>
        <v>47600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COUNTIF(tables_392010!C:C,input_392010!A30)-COUNTIF(Q:Q,A30)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COUNTIF(tables_392010!C:C,input_392010!A31)-COUNTIF(Q:Q,A31)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0.93800000000000017</v>
      </c>
      <c r="C32" s="41">
        <f>SUM(C19:C31)</f>
        <v>6.2E-2</v>
      </c>
      <c r="D32" s="42">
        <f t="shared" si="3"/>
        <v>0.87600000000000011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</row>
    <row r="35" spans="1:7" x14ac:dyDescent="0.15">
      <c r="A35" t="s">
        <v>73</v>
      </c>
      <c r="E35" s="55">
        <v>1.137E-2</v>
      </c>
      <c r="F35">
        <v>4.7451436388529222E-4</v>
      </c>
    </row>
    <row r="36" spans="1:7" x14ac:dyDescent="0.15">
      <c r="A36" s="31">
        <f>LCM(F5-I5,F6-I6)*1000*2*2*5</f>
        <v>73100000</v>
      </c>
      <c r="E36" s="55">
        <v>2.3999999999999998E-3</v>
      </c>
      <c r="F36">
        <v>7.0000000000002005E-4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SUMIF(tables_392010!C:C,input_392010!A40,tables_392010!O:O)</f>
        <v>20347600</v>
      </c>
      <c r="C40" s="54">
        <f t="shared" ref="C40:C46" ca="1" si="9">B40/B$47</f>
        <v>0.45317796515797382</v>
      </c>
      <c r="E40">
        <v>3</v>
      </c>
      <c r="F40">
        <f ca="1">SUMIF(tables_392010!J:J,input_392010!E40,tables_392010!O:O)</f>
        <v>36550000</v>
      </c>
      <c r="G40">
        <f ca="1">F40/A36</f>
        <v>0.5</v>
      </c>
    </row>
    <row r="41" spans="1:7" x14ac:dyDescent="0.15">
      <c r="A41" s="33" t="s">
        <v>104</v>
      </c>
      <c r="B41">
        <f ca="1">SUMIF(tables_392010!C:C,input_392010!A41,tables_392010!O:O)</f>
        <v>19589840.000000015</v>
      </c>
      <c r="C41" s="54">
        <f t="shared" ca="1" si="9"/>
        <v>0.43630127528407719</v>
      </c>
      <c r="E41">
        <v>4</v>
      </c>
      <c r="F41">
        <f ca="1">SUMIF(tables_392010!J:J,input_392010!E41,tables_392010!O:O)</f>
        <v>32895000.000000022</v>
      </c>
      <c r="G41">
        <f ca="1">F41/A36</f>
        <v>0.45000000000000029</v>
      </c>
    </row>
    <row r="42" spans="1:7" x14ac:dyDescent="0.15">
      <c r="A42" s="33" t="s">
        <v>106</v>
      </c>
      <c r="B42">
        <f ca="1">SUMIF(tables_392010!C:C,input_392010!A42,tables_392010!O:O)</f>
        <v>2703510</v>
      </c>
      <c r="C42" s="54">
        <f t="shared" ca="1" si="9"/>
        <v>6.0212072214130108E-2</v>
      </c>
      <c r="E42">
        <v>5</v>
      </c>
      <c r="F42">
        <f ca="1">SUMIF(tables_392010!J:J,input_392010!E42,tables_392010!O:O)</f>
        <v>3655000</v>
      </c>
      <c r="G42">
        <f ca="1">F42/A36</f>
        <v>0.05</v>
      </c>
    </row>
    <row r="43" spans="1:7" x14ac:dyDescent="0.15">
      <c r="A43" s="33" t="s">
        <v>109</v>
      </c>
      <c r="B43">
        <f>SUMIF(tables_392010!C:C,input_392010!A43,tables_392010!O:O)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SUMIF(tables_392010!C:C,input_392010!A44,tables_392010!O:O)</f>
        <v>2116559.9999999986</v>
      </c>
      <c r="C44" s="54">
        <f t="shared" ca="1" si="9"/>
        <v>4.7139630911496221E-2</v>
      </c>
      <c r="E44" t="s">
        <v>54</v>
      </c>
      <c r="F44" s="55"/>
    </row>
    <row r="45" spans="1:7" x14ac:dyDescent="0.15">
      <c r="A45" s="33" t="s">
        <v>107</v>
      </c>
      <c r="B45">
        <f ca="1">SUMIF(tables_392010!C:C,input_392010!A45,tables_392010!O:O)</f>
        <v>142290</v>
      </c>
      <c r="C45" s="54">
        <f t="shared" ca="1" si="9"/>
        <v>3.1690564323226373E-3</v>
      </c>
      <c r="E45" t="s">
        <v>204</v>
      </c>
      <c r="F45" s="55">
        <f ca="1">SUMIF(tables_392010!I:I,input_392010!E45,tables_392010!P:P)</f>
        <v>0.21411764705882352</v>
      </c>
    </row>
    <row r="46" spans="1:7" x14ac:dyDescent="0.15">
      <c r="A46" s="33" t="s">
        <v>108</v>
      </c>
      <c r="B46">
        <f>SUMIF(tables_392010!C:C,input_392010!A46,tables_392010!O:O)</f>
        <v>0</v>
      </c>
      <c r="C46" s="54">
        <f t="shared" ca="1" si="9"/>
        <v>0</v>
      </c>
      <c r="E46" t="s">
        <v>205</v>
      </c>
      <c r="F46" s="55">
        <f ca="1">SUMIF(tables_392010!I:I,input_392010!E46,tables_392010!P:P)</f>
        <v>0.21047764705882341</v>
      </c>
    </row>
    <row r="47" spans="1:7" x14ac:dyDescent="0.15">
      <c r="A47" s="39" t="s">
        <v>59</v>
      </c>
      <c r="B47">
        <f ca="1">SUM(B40:B46)</f>
        <v>44899800.000000015</v>
      </c>
      <c r="C47" s="55">
        <f ca="1">SUM(C40:C46)</f>
        <v>1</v>
      </c>
      <c r="E47" t="s">
        <v>206</v>
      </c>
      <c r="F47" s="55">
        <f ca="1">SUMIF(tables_392010!I:I,input_392010!E47,tables_392010!P:P)</f>
        <v>0.52540470588235388</v>
      </c>
    </row>
    <row r="48" spans="1:7" x14ac:dyDescent="0.15">
      <c r="E48" t="s">
        <v>207</v>
      </c>
      <c r="F48" s="55">
        <f ca="1">SUMIF(tables_392010!I:I,input_392010!E48,tables_392010!P:P)</f>
        <v>5.0000000000000093E-2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4"/>
  <sheetViews>
    <sheetView showGridLines="0" zoomScale="75" zoomScaleNormal="75" zoomScalePageLayoutView="75" workbookViewId="0">
      <pane ySplit="1" topLeftCell="A167" activePane="bottomLeft" state="frozen"/>
      <selection activeCell="H276" sqref="H276"/>
      <selection pane="bottomLeft" activeCell="O187" sqref="O18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input_392010!A$2</f>
        <v>392010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IFERROR(VLOOKUP(B2,input_392010!L:R,7,FALSE),VLOOKUP(tables_392010!C2,input_392010!A:H,8,FALSE))</f>
        <v>731860</v>
      </c>
      <c r="P2" s="46">
        <f t="shared" ref="P2:P65" ca="1" si="2">O2/SUM(O:O)</f>
        <v>1.0011764705882354E-2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input_392010!A$2</f>
        <v>392010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IFERROR(VLOOKUP(B3,input_392010!L:R,7,FALSE),VLOOKUP(tables_392010!C3,input_392010!A:H,8,FALSE))</f>
        <v>50740</v>
      </c>
      <c r="P3" s="46">
        <f t="shared" ca="1" si="2"/>
        <v>6.9411764705882358E-4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input_392010!A$2</f>
        <v>392010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IFERROR(VLOOKUP(B4,input_392010!L:R,7,FALSE),VLOOKUP(tables_392010!C4,input_392010!A:H,8,FALSE))</f>
        <v>731860</v>
      </c>
      <c r="P4" s="46">
        <f t="shared" ca="1" si="2"/>
        <v>1.0011764705882354E-2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input_392010!A$2</f>
        <v>392010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IFERROR(VLOOKUP(B5,input_392010!L:R,7,FALSE),VLOOKUP(tables_392010!C5,input_392010!A:H,8,FALSE))</f>
        <v>50740</v>
      </c>
      <c r="P5" s="46">
        <f t="shared" ca="1" si="2"/>
        <v>6.9411764705882358E-4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input_392010!A$2</f>
        <v>392010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IFERROR(VLOOKUP(B6,input_392010!L:R,7,FALSE),VLOOKUP(tables_392010!C6,input_392010!A:H,8,FALSE))</f>
        <v>731860</v>
      </c>
      <c r="P6" s="46">
        <f t="shared" ca="1" si="2"/>
        <v>1.0011764705882354E-2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input_392010!A$2</f>
        <v>392010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IFERROR(VLOOKUP(B7,input_392010!L:R,7,FALSE),VLOOKUP(tables_392010!C7,input_392010!A:H,8,FALSE))</f>
        <v>50740</v>
      </c>
      <c r="P7" s="46">
        <f t="shared" ca="1" si="2"/>
        <v>6.9411764705882358E-4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input_392010!A$2</f>
        <v>392010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IFERROR(VLOOKUP(B8,input_392010!L:R,7,FALSE),VLOOKUP(tables_392010!C8,input_392010!A:H,8,FALSE))</f>
        <v>731860</v>
      </c>
      <c r="P8" s="46">
        <f t="shared" ca="1" si="2"/>
        <v>1.0011764705882354E-2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input_392010!A$2</f>
        <v>392010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IFERROR(VLOOKUP(B9,input_392010!L:R,7,FALSE),VLOOKUP(tables_392010!C9,input_392010!A:H,8,FALSE))</f>
        <v>50740</v>
      </c>
      <c r="P9" s="46">
        <f t="shared" ca="1" si="2"/>
        <v>6.9411764705882358E-4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input_392010!A$2</f>
        <v>392010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IFERROR(VLOOKUP(B10,input_392010!L:R,7,FALSE),VLOOKUP(tables_392010!C10,input_392010!A:H,8,FALSE))</f>
        <v>731860</v>
      </c>
      <c r="P10" s="46">
        <f t="shared" ca="1" si="2"/>
        <v>1.0011764705882354E-2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input_392010!A$2</f>
        <v>392010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IFERROR(VLOOKUP(B11,input_392010!L:R,7,FALSE),VLOOKUP(tables_392010!C11,input_392010!A:H,8,FALSE))</f>
        <v>50740</v>
      </c>
      <c r="P11" s="46">
        <f t="shared" ca="1" si="2"/>
        <v>6.9411764705882358E-4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input_392010!A$2</f>
        <v>392010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IFERROR(VLOOKUP(B12,input_392010!L:R,7,FALSE),VLOOKUP(tables_392010!C12,input_392010!A:H,8,FALSE))</f>
        <v>731860</v>
      </c>
      <c r="P12" s="46">
        <f t="shared" ca="1" si="2"/>
        <v>1.0011764705882354E-2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input_392010!A$2</f>
        <v>392010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IFERROR(VLOOKUP(B13,input_392010!L:R,7,FALSE),VLOOKUP(tables_392010!C13,input_392010!A:H,8,FALSE))</f>
        <v>50740</v>
      </c>
      <c r="P13" s="46">
        <f t="shared" ca="1" si="2"/>
        <v>6.9411764705882358E-4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input_392010!A$2</f>
        <v>392010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IFERROR(VLOOKUP(B14,input_392010!L:R,7,FALSE),VLOOKUP(tables_392010!C14,input_392010!A:H,8,FALSE))</f>
        <v>731860</v>
      </c>
      <c r="P14" s="46">
        <f t="shared" ca="1" si="2"/>
        <v>1.0011764705882354E-2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input_392010!A$2</f>
        <v>392010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IFERROR(VLOOKUP(B15,input_392010!L:R,7,FALSE),VLOOKUP(tables_392010!C15,input_392010!A:H,8,FALSE))</f>
        <v>50740</v>
      </c>
      <c r="P15" s="46">
        <f t="shared" ca="1" si="2"/>
        <v>6.9411764705882358E-4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input_392010!A$2</f>
        <v>392010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IFERROR(VLOOKUP(B16,input_392010!L:R,7,FALSE),VLOOKUP(tables_392010!C16,input_392010!A:H,8,FALSE))</f>
        <v>731860</v>
      </c>
      <c r="P16" s="46">
        <f t="shared" ca="1" si="2"/>
        <v>1.0011764705882354E-2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input_392010!A$2</f>
        <v>392010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IFERROR(VLOOKUP(B17,input_392010!L:R,7,FALSE),VLOOKUP(tables_392010!C17,input_392010!A:H,8,FALSE))</f>
        <v>50740</v>
      </c>
      <c r="P17" s="46">
        <f t="shared" ca="1" si="2"/>
        <v>6.9411764705882358E-4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input_392010!A$2</f>
        <v>392010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IFERROR(VLOOKUP(B18,input_392010!L:R,7,FALSE),VLOOKUP(tables_392010!C18,input_392010!A:H,8,FALSE))</f>
        <v>731860</v>
      </c>
      <c r="P18" s="46">
        <f t="shared" ca="1" si="2"/>
        <v>1.0011764705882354E-2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input_392010!A$2</f>
        <v>392010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IFERROR(VLOOKUP(B19,input_392010!L:R,7,FALSE),VLOOKUP(tables_392010!C19,input_392010!A:H,8,FALSE))</f>
        <v>50740</v>
      </c>
      <c r="P19" s="46">
        <f t="shared" ca="1" si="2"/>
        <v>6.9411764705882358E-4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input_392010!A$2</f>
        <v>392010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IFERROR(VLOOKUP(B20,input_392010!L:R,7,FALSE),VLOOKUP(tables_392010!C20,input_392010!A:H,8,FALSE))</f>
        <v>731860</v>
      </c>
      <c r="P20" s="46">
        <f t="shared" ca="1" si="2"/>
        <v>1.0011764705882354E-2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input_392010!A$2</f>
        <v>392010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IFERROR(VLOOKUP(B21,input_392010!L:R,7,FALSE),VLOOKUP(tables_392010!C21,input_392010!A:H,8,FALSE))</f>
        <v>50740</v>
      </c>
      <c r="P21" s="46">
        <f t="shared" ca="1" si="2"/>
        <v>6.9411764705882358E-4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input_392010!A$2</f>
        <v>392010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IFERROR(VLOOKUP(B22,input_392010!L:R,7,FALSE),VLOOKUP(tables_392010!C22,input_392010!A:H,8,FALSE))</f>
        <v>731860</v>
      </c>
      <c r="P22" s="46">
        <f t="shared" ca="1" si="2"/>
        <v>1.0011764705882354E-2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input_392010!A$2</f>
        <v>392010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IFERROR(VLOOKUP(B23,input_392010!L:R,7,FALSE),VLOOKUP(tables_392010!C23,input_392010!A:H,8,FALSE))</f>
        <v>50740</v>
      </c>
      <c r="P23" s="46">
        <f t="shared" ca="1" si="2"/>
        <v>6.9411764705882358E-4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input_392010!A$2</f>
        <v>392010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IFERROR(VLOOKUP(B24,input_392010!L:R,7,FALSE),VLOOKUP(tables_392010!C24,input_392010!A:H,8,FALSE))</f>
        <v>731860</v>
      </c>
      <c r="P24" s="46">
        <f t="shared" ca="1" si="2"/>
        <v>1.0011764705882354E-2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input_392010!A$2</f>
        <v>392010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IFERROR(VLOOKUP(B25,input_392010!L:R,7,FALSE),VLOOKUP(tables_392010!C25,input_392010!A:H,8,FALSE))</f>
        <v>50740</v>
      </c>
      <c r="P25" s="46">
        <f t="shared" ca="1" si="2"/>
        <v>6.9411764705882358E-4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input_392010!A$2</f>
        <v>392010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IFERROR(VLOOKUP(B26,input_392010!L:R,7,FALSE),VLOOKUP(tables_392010!C26,input_392010!A:H,8,FALSE))</f>
        <v>731860</v>
      </c>
      <c r="P26" s="46">
        <f t="shared" ca="1" si="2"/>
        <v>1.0011764705882354E-2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input_392010!A$2</f>
        <v>392010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IFERROR(VLOOKUP(B27,input_392010!L:R,7,FALSE),VLOOKUP(tables_392010!C27,input_392010!A:H,8,FALSE))</f>
        <v>50740</v>
      </c>
      <c r="P27" s="46">
        <f t="shared" ca="1" si="2"/>
        <v>6.9411764705882358E-4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input_392010!A$2</f>
        <v>392010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IFERROR(VLOOKUP(B28,input_392010!L:R,7,FALSE),VLOOKUP(tables_392010!C28,input_392010!A:H,8,FALSE))</f>
        <v>731860</v>
      </c>
      <c r="P28" s="46">
        <f t="shared" ca="1" si="2"/>
        <v>1.0011764705882354E-2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input_392010!A$2</f>
        <v>392010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IFERROR(VLOOKUP(B29,input_392010!L:R,7,FALSE),VLOOKUP(tables_392010!C29,input_392010!A:H,8,FALSE))</f>
        <v>50740</v>
      </c>
      <c r="P29" s="46">
        <f t="shared" ca="1" si="2"/>
        <v>6.9411764705882358E-4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input_392010!A$2</f>
        <v>392010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IFERROR(VLOOKUP(B30,input_392010!L:R,7,FALSE),VLOOKUP(tables_392010!C30,input_392010!A:H,8,FALSE))</f>
        <v>731860</v>
      </c>
      <c r="P30" s="46">
        <f t="shared" ca="1" si="2"/>
        <v>1.0011764705882354E-2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input_392010!A$2</f>
        <v>392010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IFERROR(VLOOKUP(B31,input_392010!L:R,7,FALSE),VLOOKUP(tables_392010!C31,input_392010!A:H,8,FALSE))</f>
        <v>50740</v>
      </c>
      <c r="P31" s="46">
        <f t="shared" ca="1" si="2"/>
        <v>6.9411764705882358E-4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input_392010!A$2</f>
        <v>392010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IFERROR(VLOOKUP(B32,input_392010!L:R,7,FALSE),VLOOKUP(tables_392010!C32,input_392010!A:H,8,FALSE))</f>
        <v>731860</v>
      </c>
      <c r="P32" s="46">
        <f t="shared" ca="1" si="2"/>
        <v>1.0011764705882354E-2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input_392010!A$2</f>
        <v>392010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IFERROR(VLOOKUP(B33,input_392010!L:R,7,FALSE),VLOOKUP(tables_392010!C33,input_392010!A:H,8,FALSE))</f>
        <v>50740</v>
      </c>
      <c r="P33" s="46">
        <f t="shared" ca="1" si="2"/>
        <v>6.9411764705882358E-4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input_392010!A$2</f>
        <v>392010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IFERROR(VLOOKUP(B34,input_392010!L:R,7,FALSE),VLOOKUP(tables_392010!C34,input_392010!A:H,8,FALSE))</f>
        <v>731860</v>
      </c>
      <c r="P34" s="46">
        <f t="shared" ca="1" si="2"/>
        <v>1.0011764705882354E-2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input_392010!A$2</f>
        <v>392010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IFERROR(VLOOKUP(B35,input_392010!L:R,7,FALSE),VLOOKUP(tables_392010!C35,input_392010!A:H,8,FALSE))</f>
        <v>50740</v>
      </c>
      <c r="P35" s="46">
        <f t="shared" ca="1" si="2"/>
        <v>6.9411764705882358E-4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input_392010!A$2</f>
        <v>392010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IFERROR(VLOOKUP(B36,input_392010!L:R,7,FALSE),VLOOKUP(tables_392010!C36,input_392010!A:H,8,FALSE))</f>
        <v>731860</v>
      </c>
      <c r="P36" s="46">
        <f t="shared" ca="1" si="2"/>
        <v>1.0011764705882354E-2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input_392010!A$2</f>
        <v>392010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IFERROR(VLOOKUP(B37,input_392010!L:R,7,FALSE),VLOOKUP(tables_392010!C37,input_392010!A:H,8,FALSE))</f>
        <v>50740</v>
      </c>
      <c r="P37" s="46">
        <f t="shared" ca="1" si="2"/>
        <v>6.9411764705882358E-4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input_392010!A$2</f>
        <v>392010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IFERROR(VLOOKUP(B38,input_392010!L:R,7,FALSE),VLOOKUP(tables_392010!C38,input_392010!A:H,8,FALSE))</f>
        <v>731860</v>
      </c>
      <c r="P38" s="46">
        <f t="shared" ca="1" si="2"/>
        <v>1.0011764705882354E-2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input_392010!A$2</f>
        <v>392010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IFERROR(VLOOKUP(B39,input_392010!L:R,7,FALSE),VLOOKUP(tables_392010!C39,input_392010!A:H,8,FALSE))</f>
        <v>50740</v>
      </c>
      <c r="P39" s="46">
        <f t="shared" ca="1" si="2"/>
        <v>6.9411764705882358E-4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input_392010!A$2</f>
        <v>392010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IFERROR(VLOOKUP(B40,input_392010!L:R,7,FALSE),VLOOKUP(tables_392010!C40,input_392010!A:H,8,FALSE))</f>
        <v>731860</v>
      </c>
      <c r="P40" s="46">
        <f t="shared" ca="1" si="2"/>
        <v>1.0011764705882354E-2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input_392010!A$2</f>
        <v>392010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IFERROR(VLOOKUP(B41,input_392010!L:R,7,FALSE),VLOOKUP(tables_392010!C41,input_392010!A:H,8,FALSE))</f>
        <v>50740</v>
      </c>
      <c r="P41" s="46">
        <f t="shared" ca="1" si="2"/>
        <v>6.9411764705882358E-4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input_392010!A$2</f>
        <v>392010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IFERROR(VLOOKUP(B42,input_392010!L:R,7,FALSE),VLOOKUP(tables_392010!C42,input_392010!A:H,8,FALSE))</f>
        <v>391300</v>
      </c>
      <c r="P42" s="46">
        <f t="shared" ca="1" si="2"/>
        <v>5.3529411764705881E-3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input_392010!A$2</f>
        <v>392010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IFERROR(VLOOKUP(B43,input_392010!L:R,7,FALSE),VLOOKUP(tables_392010!C43,input_392010!A:H,8,FALSE))</f>
        <v>352170</v>
      </c>
      <c r="P43" s="46">
        <f t="shared" ca="1" si="2"/>
        <v>4.8176470588235298E-3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input_392010!A$2</f>
        <v>392010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IFERROR(VLOOKUP(B44,input_392010!L:R,7,FALSE),VLOOKUP(tables_392010!C44,input_392010!A:H,8,FALSE))</f>
        <v>39130</v>
      </c>
      <c r="P44" s="46">
        <f t="shared" ca="1" si="2"/>
        <v>5.3529411764705883E-4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input_392010!A$2</f>
        <v>392010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IFERROR(VLOOKUP(B45,input_392010!L:R,7,FALSE),VLOOKUP(tables_392010!C45,input_392010!A:H,8,FALSE))</f>
        <v>391300</v>
      </c>
      <c r="P45" s="46">
        <f t="shared" ca="1" si="2"/>
        <v>5.3529411764705881E-3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input_392010!A$2</f>
        <v>392010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IFERROR(VLOOKUP(B46,input_392010!L:R,7,FALSE),VLOOKUP(tables_392010!C46,input_392010!A:H,8,FALSE))</f>
        <v>352170</v>
      </c>
      <c r="P46" s="46">
        <f t="shared" ca="1" si="2"/>
        <v>4.8176470588235298E-3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input_392010!A$2</f>
        <v>392010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IFERROR(VLOOKUP(B47,input_392010!L:R,7,FALSE),VLOOKUP(tables_392010!C47,input_392010!A:H,8,FALSE))</f>
        <v>39130</v>
      </c>
      <c r="P47" s="46">
        <f t="shared" ca="1" si="2"/>
        <v>5.3529411764705883E-4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input_392010!A$2</f>
        <v>392010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IFERROR(VLOOKUP(B48,input_392010!L:R,7,FALSE),VLOOKUP(tables_392010!C48,input_392010!A:H,8,FALSE))</f>
        <v>391300</v>
      </c>
      <c r="P48" s="46">
        <f t="shared" ca="1" si="2"/>
        <v>5.3529411764705881E-3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input_392010!A$2</f>
        <v>392010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IFERROR(VLOOKUP(B49,input_392010!L:R,7,FALSE),VLOOKUP(tables_392010!C49,input_392010!A:H,8,FALSE))</f>
        <v>352170</v>
      </c>
      <c r="P49" s="46">
        <f t="shared" ca="1" si="2"/>
        <v>4.8176470588235298E-3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input_392010!A$2</f>
        <v>392010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IFERROR(VLOOKUP(B50,input_392010!L:R,7,FALSE),VLOOKUP(tables_392010!C50,input_392010!A:H,8,FALSE))</f>
        <v>39130</v>
      </c>
      <c r="P50" s="46">
        <f t="shared" ca="1" si="2"/>
        <v>5.3529411764705883E-4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input_392010!A$2</f>
        <v>392010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IFERROR(VLOOKUP(B51,input_392010!L:R,7,FALSE),VLOOKUP(tables_392010!C51,input_392010!A:H,8,FALSE))</f>
        <v>391300</v>
      </c>
      <c r="P51" s="46">
        <f t="shared" ca="1" si="2"/>
        <v>5.3529411764705881E-3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input_392010!A$2</f>
        <v>392010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IFERROR(VLOOKUP(B52,input_392010!L:R,7,FALSE),VLOOKUP(tables_392010!C52,input_392010!A:H,8,FALSE))</f>
        <v>336240.8</v>
      </c>
      <c r="P52" s="46">
        <f t="shared" ca="1" si="2"/>
        <v>4.5997373461012315E-3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input_392010!A$2</f>
        <v>392010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IFERROR(VLOOKUP(B53,input_392010!L:R,7,FALSE),VLOOKUP(tables_392010!C53,input_392010!A:H,8,FALSE))</f>
        <v>39407.199999999997</v>
      </c>
      <c r="P53" s="46">
        <f t="shared" ca="1" si="2"/>
        <v>5.3908618331053345E-4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input_392010!A$2</f>
        <v>392010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IFERROR(VLOOKUP(B54,input_392010!L:R,7,FALSE),VLOOKUP(tables_392010!C54,input_392010!A:H,8,FALSE))</f>
        <v>391300</v>
      </c>
      <c r="P54" s="46">
        <f t="shared" ca="1" si="2"/>
        <v>5.3529411764705881E-3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input_392010!A$2</f>
        <v>392010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IFERROR(VLOOKUP(B55,input_392010!L:R,7,FALSE),VLOOKUP(tables_392010!C55,input_392010!A:H,8,FALSE))</f>
        <v>336240.8</v>
      </c>
      <c r="P55" s="46">
        <f t="shared" ca="1" si="2"/>
        <v>4.5997373461012315E-3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input_392010!A$2</f>
        <v>392010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IFERROR(VLOOKUP(B56,input_392010!L:R,7,FALSE),VLOOKUP(tables_392010!C56,input_392010!A:H,8,FALSE))</f>
        <v>39407.199999999997</v>
      </c>
      <c r="P56" s="46">
        <f t="shared" ca="1" si="2"/>
        <v>5.3908618331053345E-4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input_392010!A$2</f>
        <v>392010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IFERROR(VLOOKUP(B57,input_392010!L:R,7,FALSE),VLOOKUP(tables_392010!C57,input_392010!A:H,8,FALSE))</f>
        <v>391300</v>
      </c>
      <c r="P57" s="46">
        <f t="shared" ca="1" si="2"/>
        <v>5.3529411764705881E-3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input_392010!A$2</f>
        <v>392010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IFERROR(VLOOKUP(B58,input_392010!L:R,7,FALSE),VLOOKUP(tables_392010!C58,input_392010!A:H,8,FALSE))</f>
        <v>336240.8</v>
      </c>
      <c r="P58" s="46">
        <f t="shared" ca="1" si="2"/>
        <v>4.5997373461012315E-3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input_392010!A$2</f>
        <v>392010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IFERROR(VLOOKUP(B59,input_392010!L:R,7,FALSE),VLOOKUP(tables_392010!C59,input_392010!A:H,8,FALSE))</f>
        <v>39407.199999999997</v>
      </c>
      <c r="P59" s="46">
        <f t="shared" ca="1" si="2"/>
        <v>5.3908618331053345E-4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input_392010!A$2</f>
        <v>392010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IFERROR(VLOOKUP(B60,input_392010!L:R,7,FALSE),VLOOKUP(tables_392010!C60,input_392010!A:H,8,FALSE))</f>
        <v>391300</v>
      </c>
      <c r="P60" s="46">
        <f t="shared" ca="1" si="2"/>
        <v>5.3529411764705881E-3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input_392010!A$2</f>
        <v>392010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IFERROR(VLOOKUP(B61,input_392010!L:R,7,FALSE),VLOOKUP(tables_392010!C61,input_392010!A:H,8,FALSE))</f>
        <v>336240.8</v>
      </c>
      <c r="P61" s="46">
        <f t="shared" ca="1" si="2"/>
        <v>4.5997373461012315E-3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input_392010!A$2</f>
        <v>392010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IFERROR(VLOOKUP(B62,input_392010!L:R,7,FALSE),VLOOKUP(tables_392010!C62,input_392010!A:H,8,FALSE))</f>
        <v>39407.199999999997</v>
      </c>
      <c r="P62" s="46">
        <f t="shared" ca="1" si="2"/>
        <v>5.3908618331053345E-4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input_392010!A$2</f>
        <v>392010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IFERROR(VLOOKUP(B63,input_392010!L:R,7,FALSE),VLOOKUP(tables_392010!C63,input_392010!A:H,8,FALSE))</f>
        <v>391300</v>
      </c>
      <c r="P63" s="46">
        <f t="shared" ca="1" si="2"/>
        <v>5.3529411764705881E-3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input_392010!A$2</f>
        <v>392010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IFERROR(VLOOKUP(B64,input_392010!L:R,7,FALSE),VLOOKUP(tables_392010!C64,input_392010!A:H,8,FALSE))</f>
        <v>336240.8</v>
      </c>
      <c r="P64" s="46">
        <f t="shared" ca="1" si="2"/>
        <v>4.5997373461012315E-3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input_392010!A$2</f>
        <v>392010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IFERROR(VLOOKUP(B65,input_392010!L:R,7,FALSE),VLOOKUP(tables_392010!C65,input_392010!A:H,8,FALSE))</f>
        <v>39407.199999999997</v>
      </c>
      <c r="P65" s="46">
        <f t="shared" ca="1" si="2"/>
        <v>5.3908618331053345E-4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input_392010!A$2</f>
        <v>392010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IFERROR(VLOOKUP(B66,input_392010!L:R,7,FALSE),VLOOKUP(tables_392010!C66,input_392010!A:H,8,FALSE))</f>
        <v>391300</v>
      </c>
      <c r="P66" s="46">
        <f t="shared" ref="P66:P129" ca="1" si="5">O66/SUM(O:O)</f>
        <v>5.3529411764705881E-3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input_392010!A$2</f>
        <v>392010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IFERROR(VLOOKUP(B67,input_392010!L:R,7,FALSE),VLOOKUP(tables_392010!C67,input_392010!A:H,8,FALSE))</f>
        <v>336240.8</v>
      </c>
      <c r="P67" s="46">
        <f t="shared" ca="1" si="5"/>
        <v>4.5997373461012315E-3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input_392010!A$2</f>
        <v>392010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IFERROR(VLOOKUP(B68,input_392010!L:R,7,FALSE),VLOOKUP(tables_392010!C68,input_392010!A:H,8,FALSE))</f>
        <v>39407.199999999997</v>
      </c>
      <c r="P68" s="46">
        <f t="shared" ca="1" si="5"/>
        <v>5.3908618331053345E-4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input_392010!A$2</f>
        <v>392010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IFERROR(VLOOKUP(B69,input_392010!L:R,7,FALSE),VLOOKUP(tables_392010!C69,input_392010!A:H,8,FALSE))</f>
        <v>391300</v>
      </c>
      <c r="P69" s="46">
        <f t="shared" ca="1" si="5"/>
        <v>5.3529411764705881E-3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input_392010!A$2</f>
        <v>392010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IFERROR(VLOOKUP(B70,input_392010!L:R,7,FALSE),VLOOKUP(tables_392010!C70,input_392010!A:H,8,FALSE))</f>
        <v>336240.8</v>
      </c>
      <c r="P70" s="46">
        <f t="shared" ca="1" si="5"/>
        <v>4.5997373461012315E-3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input_392010!A$2</f>
        <v>392010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IFERROR(VLOOKUP(B71,input_392010!L:R,7,FALSE),VLOOKUP(tables_392010!C71,input_392010!A:H,8,FALSE))</f>
        <v>39407.199999999997</v>
      </c>
      <c r="P71" s="46">
        <f t="shared" ca="1" si="5"/>
        <v>5.3908618331053345E-4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input_392010!A$2</f>
        <v>392010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IFERROR(VLOOKUP(B72,input_392010!L:R,7,FALSE),VLOOKUP(tables_392010!C72,input_392010!A:H,8,FALSE))</f>
        <v>391300</v>
      </c>
      <c r="P72" s="46">
        <f t="shared" ca="1" si="5"/>
        <v>5.3529411764705881E-3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input_392010!A$2</f>
        <v>392010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IFERROR(VLOOKUP(B73,input_392010!L:R,7,FALSE),VLOOKUP(tables_392010!C73,input_392010!A:H,8,FALSE))</f>
        <v>336240.8</v>
      </c>
      <c r="P73" s="46">
        <f t="shared" ca="1" si="5"/>
        <v>4.5997373461012315E-3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input_392010!A$2</f>
        <v>392010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IFERROR(VLOOKUP(B74,input_392010!L:R,7,FALSE),VLOOKUP(tables_392010!C74,input_392010!A:H,8,FALSE))</f>
        <v>39407.199999999997</v>
      </c>
      <c r="P74" s="46">
        <f t="shared" ca="1" si="5"/>
        <v>5.3908618331053345E-4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input_392010!A$2</f>
        <v>392010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IFERROR(VLOOKUP(B75,input_392010!L:R,7,FALSE),VLOOKUP(tables_392010!C75,input_392010!A:H,8,FALSE))</f>
        <v>391300</v>
      </c>
      <c r="P75" s="46">
        <f t="shared" ca="1" si="5"/>
        <v>5.3529411764705881E-3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input_392010!A$2</f>
        <v>392010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IFERROR(VLOOKUP(B76,input_392010!L:R,7,FALSE),VLOOKUP(tables_392010!C76,input_392010!A:H,8,FALSE))</f>
        <v>336240.8</v>
      </c>
      <c r="P76" s="46">
        <f t="shared" ca="1" si="5"/>
        <v>4.5997373461012315E-3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input_392010!A$2</f>
        <v>392010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IFERROR(VLOOKUP(B77,input_392010!L:R,7,FALSE),VLOOKUP(tables_392010!C77,input_392010!A:H,8,FALSE))</f>
        <v>39407.199999999997</v>
      </c>
      <c r="P77" s="46">
        <f t="shared" ca="1" si="5"/>
        <v>5.3908618331053345E-4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input_392010!A$2</f>
        <v>392010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IFERROR(VLOOKUP(B78,input_392010!L:R,7,FALSE),VLOOKUP(tables_392010!C78,input_392010!A:H,8,FALSE))</f>
        <v>391300</v>
      </c>
      <c r="P78" s="46">
        <f t="shared" ca="1" si="5"/>
        <v>5.3529411764705881E-3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input_392010!A$2</f>
        <v>392010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IFERROR(VLOOKUP(B79,input_392010!L:R,7,FALSE),VLOOKUP(tables_392010!C79,input_392010!A:H,8,FALSE))</f>
        <v>336240.8</v>
      </c>
      <c r="P79" s="46">
        <f t="shared" ca="1" si="5"/>
        <v>4.5997373461012315E-3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input_392010!A$2</f>
        <v>392010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IFERROR(VLOOKUP(B80,input_392010!L:R,7,FALSE),VLOOKUP(tables_392010!C80,input_392010!A:H,8,FALSE))</f>
        <v>39407.199999999997</v>
      </c>
      <c r="P80" s="46">
        <f t="shared" ca="1" si="5"/>
        <v>5.3908618331053345E-4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input_392010!A$2</f>
        <v>392010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IFERROR(VLOOKUP(B81,input_392010!L:R,7,FALSE),VLOOKUP(tables_392010!C81,input_392010!A:H,8,FALSE))</f>
        <v>391300</v>
      </c>
      <c r="P81" s="46">
        <f t="shared" ca="1" si="5"/>
        <v>5.3529411764705881E-3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input_392010!A$2</f>
        <v>392010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IFERROR(VLOOKUP(B82,input_392010!L:R,7,FALSE),VLOOKUP(tables_392010!C82,input_392010!A:H,8,FALSE))</f>
        <v>336240.8</v>
      </c>
      <c r="P82" s="46">
        <f t="shared" ca="1" si="5"/>
        <v>4.5997373461012315E-3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input_392010!A$2</f>
        <v>392010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IFERROR(VLOOKUP(B83,input_392010!L:R,7,FALSE),VLOOKUP(tables_392010!C83,input_392010!A:H,8,FALSE))</f>
        <v>39407.199999999997</v>
      </c>
      <c r="P83" s="46">
        <f t="shared" ca="1" si="5"/>
        <v>5.3908618331053345E-4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input_392010!A$2</f>
        <v>392010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IFERROR(VLOOKUP(B84,input_392010!L:R,7,FALSE),VLOOKUP(tables_392010!C84,input_392010!A:H,8,FALSE))</f>
        <v>391300</v>
      </c>
      <c r="P84" s="46">
        <f t="shared" ca="1" si="5"/>
        <v>5.3529411764705881E-3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input_392010!A$2</f>
        <v>392010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IFERROR(VLOOKUP(B85,input_392010!L:R,7,FALSE),VLOOKUP(tables_392010!C85,input_392010!A:H,8,FALSE))</f>
        <v>336240.8</v>
      </c>
      <c r="P85" s="46">
        <f t="shared" ca="1" si="5"/>
        <v>4.5997373461012315E-3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input_392010!A$2</f>
        <v>392010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IFERROR(VLOOKUP(B86,input_392010!L:R,7,FALSE),VLOOKUP(tables_392010!C86,input_392010!A:H,8,FALSE))</f>
        <v>39407.199999999997</v>
      </c>
      <c r="P86" s="46">
        <f t="shared" ca="1" si="5"/>
        <v>5.3908618331053345E-4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input_392010!A$2</f>
        <v>392010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IFERROR(VLOOKUP(B87,input_392010!L:R,7,FALSE),VLOOKUP(tables_392010!C87,input_392010!A:H,8,FALSE))</f>
        <v>391300</v>
      </c>
      <c r="P87" s="46">
        <f t="shared" ca="1" si="5"/>
        <v>5.3529411764705881E-3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input_392010!A$2</f>
        <v>392010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IFERROR(VLOOKUP(B88,input_392010!L:R,7,FALSE),VLOOKUP(tables_392010!C88,input_392010!A:H,8,FALSE))</f>
        <v>336240.8</v>
      </c>
      <c r="P88" s="46">
        <f t="shared" ca="1" si="5"/>
        <v>4.5997373461012315E-3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input_392010!A$2</f>
        <v>392010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IFERROR(VLOOKUP(B89,input_392010!L:R,7,FALSE),VLOOKUP(tables_392010!C89,input_392010!A:H,8,FALSE))</f>
        <v>39407.199999999997</v>
      </c>
      <c r="P89" s="46">
        <f t="shared" ca="1" si="5"/>
        <v>5.3908618331053345E-4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input_392010!A$2</f>
        <v>392010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IFERROR(VLOOKUP(B90,input_392010!L:R,7,FALSE),VLOOKUP(tables_392010!C90,input_392010!A:H,8,FALSE))</f>
        <v>391300</v>
      </c>
      <c r="P90" s="46">
        <f t="shared" ca="1" si="5"/>
        <v>5.3529411764705881E-3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input_392010!A$2</f>
        <v>392010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IFERROR(VLOOKUP(B91,input_392010!L:R,7,FALSE),VLOOKUP(tables_392010!C91,input_392010!A:H,8,FALSE))</f>
        <v>336240.8</v>
      </c>
      <c r="P91" s="46">
        <f t="shared" ca="1" si="5"/>
        <v>4.5997373461012315E-3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input_392010!A$2</f>
        <v>392010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IFERROR(VLOOKUP(B92,input_392010!L:R,7,FALSE),VLOOKUP(tables_392010!C92,input_392010!A:H,8,FALSE))</f>
        <v>39407.199999999997</v>
      </c>
      <c r="P92" s="46">
        <f t="shared" ca="1" si="5"/>
        <v>5.3908618331053345E-4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input_392010!A$2</f>
        <v>392010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IFERROR(VLOOKUP(B93,input_392010!L:R,7,FALSE),VLOOKUP(tables_392010!C93,input_392010!A:H,8,FALSE))</f>
        <v>391300</v>
      </c>
      <c r="P93" s="46">
        <f t="shared" ca="1" si="5"/>
        <v>5.3529411764705881E-3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input_392010!A$2</f>
        <v>392010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IFERROR(VLOOKUP(B94,input_392010!L:R,7,FALSE),VLOOKUP(tables_392010!C94,input_392010!A:H,8,FALSE))</f>
        <v>336240.8</v>
      </c>
      <c r="P94" s="46">
        <f t="shared" ca="1" si="5"/>
        <v>4.5997373461012315E-3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input_392010!A$2</f>
        <v>392010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IFERROR(VLOOKUP(B95,input_392010!L:R,7,FALSE),VLOOKUP(tables_392010!C95,input_392010!A:H,8,FALSE))</f>
        <v>39407.199999999997</v>
      </c>
      <c r="P95" s="46">
        <f t="shared" ca="1" si="5"/>
        <v>5.3908618331053345E-4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input_392010!A$2</f>
        <v>392010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IFERROR(VLOOKUP(B96,input_392010!L:R,7,FALSE),VLOOKUP(tables_392010!C96,input_392010!A:H,8,FALSE))</f>
        <v>391300</v>
      </c>
      <c r="P96" s="46">
        <f t="shared" ca="1" si="5"/>
        <v>5.3529411764705881E-3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input_392010!A$2</f>
        <v>392010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IFERROR(VLOOKUP(B97,input_392010!L:R,7,FALSE),VLOOKUP(tables_392010!C97,input_392010!A:H,8,FALSE))</f>
        <v>336240.8</v>
      </c>
      <c r="P97" s="46">
        <f t="shared" ca="1" si="5"/>
        <v>4.5997373461012315E-3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input_392010!A$2</f>
        <v>392010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IFERROR(VLOOKUP(B98,input_392010!L:R,7,FALSE),VLOOKUP(tables_392010!C98,input_392010!A:H,8,FALSE))</f>
        <v>39407.199999999997</v>
      </c>
      <c r="P98" s="46">
        <f t="shared" ca="1" si="5"/>
        <v>5.3908618331053345E-4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input_392010!A$2</f>
        <v>392010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IFERROR(VLOOKUP(B99,input_392010!L:R,7,FALSE),VLOOKUP(tables_392010!C99,input_392010!A:H,8,FALSE))</f>
        <v>391300</v>
      </c>
      <c r="P99" s="46">
        <f t="shared" ca="1" si="5"/>
        <v>5.3529411764705881E-3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input_392010!A$2</f>
        <v>392010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IFERROR(VLOOKUP(B100,input_392010!L:R,7,FALSE),VLOOKUP(tables_392010!C100,input_392010!A:H,8,FALSE))</f>
        <v>336240.8</v>
      </c>
      <c r="P100" s="46">
        <f t="shared" ca="1" si="5"/>
        <v>4.5997373461012315E-3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input_392010!A$2</f>
        <v>392010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IFERROR(VLOOKUP(B101,input_392010!L:R,7,FALSE),VLOOKUP(tables_392010!C101,input_392010!A:H,8,FALSE))</f>
        <v>39407.199999999997</v>
      </c>
      <c r="P101" s="46">
        <f t="shared" ca="1" si="5"/>
        <v>5.3908618331053345E-4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input_392010!A$2</f>
        <v>392010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IFERROR(VLOOKUP(B102,input_392010!L:R,7,FALSE),VLOOKUP(tables_392010!C102,input_392010!A:H,8,FALSE))</f>
        <v>391300</v>
      </c>
      <c r="P102" s="46">
        <f t="shared" ca="1" si="5"/>
        <v>5.3529411764705881E-3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input_392010!A$2</f>
        <v>392010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IFERROR(VLOOKUP(B103,input_392010!L:R,7,FALSE),VLOOKUP(tables_392010!C103,input_392010!A:H,8,FALSE))</f>
        <v>336240.8</v>
      </c>
      <c r="P103" s="46">
        <f t="shared" ca="1" si="5"/>
        <v>4.5997373461012315E-3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input_392010!A$2</f>
        <v>392010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IFERROR(VLOOKUP(B104,input_392010!L:R,7,FALSE),VLOOKUP(tables_392010!C104,input_392010!A:H,8,FALSE))</f>
        <v>39407.199999999997</v>
      </c>
      <c r="P104" s="46">
        <f t="shared" ca="1" si="5"/>
        <v>5.3908618331053345E-4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input_392010!A$2</f>
        <v>392010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IFERROR(VLOOKUP(B105,input_392010!L:R,7,FALSE),VLOOKUP(tables_392010!C105,input_392010!A:H,8,FALSE))</f>
        <v>391300</v>
      </c>
      <c r="P105" s="46">
        <f t="shared" ca="1" si="5"/>
        <v>5.3529411764705881E-3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input_392010!A$2</f>
        <v>392010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IFERROR(VLOOKUP(B106,input_392010!L:R,7,FALSE),VLOOKUP(tables_392010!C106,input_392010!A:H,8,FALSE))</f>
        <v>336240.8</v>
      </c>
      <c r="P106" s="46">
        <f t="shared" ca="1" si="5"/>
        <v>4.5997373461012315E-3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input_392010!A$2</f>
        <v>392010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IFERROR(VLOOKUP(B107,input_392010!L:R,7,FALSE),VLOOKUP(tables_392010!C107,input_392010!A:H,8,FALSE))</f>
        <v>39407.199999999997</v>
      </c>
      <c r="P107" s="46">
        <f t="shared" ca="1" si="5"/>
        <v>5.3908618331053345E-4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input_392010!A$2</f>
        <v>392010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IFERROR(VLOOKUP(B108,input_392010!L:R,7,FALSE),VLOOKUP(tables_392010!C108,input_392010!A:H,8,FALSE))</f>
        <v>391300</v>
      </c>
      <c r="P108" s="46">
        <f t="shared" ca="1" si="5"/>
        <v>5.3529411764705881E-3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input_392010!A$2</f>
        <v>392010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IFERROR(VLOOKUP(B109,input_392010!L:R,7,FALSE),VLOOKUP(tables_392010!C109,input_392010!A:H,8,FALSE))</f>
        <v>336240.8</v>
      </c>
      <c r="P109" s="46">
        <f t="shared" ca="1" si="5"/>
        <v>4.5997373461012315E-3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input_392010!A$2</f>
        <v>392010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IFERROR(VLOOKUP(B110,input_392010!L:R,7,FALSE),VLOOKUP(tables_392010!C110,input_392010!A:H,8,FALSE))</f>
        <v>39407.199999999997</v>
      </c>
      <c r="P110" s="46">
        <f t="shared" ca="1" si="5"/>
        <v>5.3908618331053345E-4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input_392010!A$2</f>
        <v>392010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IFERROR(VLOOKUP(B111,input_392010!L:R,7,FALSE),VLOOKUP(tables_392010!C111,input_392010!A:H,8,FALSE))</f>
        <v>391300</v>
      </c>
      <c r="P111" s="46">
        <f t="shared" ca="1" si="5"/>
        <v>5.3529411764705881E-3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input_392010!A$2</f>
        <v>392010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IFERROR(VLOOKUP(B112,input_392010!L:R,7,FALSE),VLOOKUP(tables_392010!C112,input_392010!A:H,8,FALSE))</f>
        <v>352170</v>
      </c>
      <c r="P112" s="46">
        <f t="shared" ca="1" si="5"/>
        <v>4.8176470588235298E-3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input_392010!A$2</f>
        <v>392010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IFERROR(VLOOKUP(B113,input_392010!L:R,7,FALSE),VLOOKUP(tables_392010!C113,input_392010!A:H,8,FALSE))</f>
        <v>39130</v>
      </c>
      <c r="P113" s="46">
        <f t="shared" ca="1" si="5"/>
        <v>5.3529411764705883E-4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input_392010!A$2</f>
        <v>392010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IFERROR(VLOOKUP(B114,input_392010!L:R,7,FALSE),VLOOKUP(tables_392010!C114,input_392010!A:H,8,FALSE))</f>
        <v>391300</v>
      </c>
      <c r="P114" s="46">
        <f t="shared" ca="1" si="5"/>
        <v>5.3529411764705881E-3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input_392010!A$2</f>
        <v>392010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IFERROR(VLOOKUP(B115,input_392010!L:R,7,FALSE),VLOOKUP(tables_392010!C115,input_392010!A:H,8,FALSE))</f>
        <v>336240.8</v>
      </c>
      <c r="P115" s="46">
        <f t="shared" ca="1" si="5"/>
        <v>4.5997373461012315E-3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input_392010!A$2</f>
        <v>392010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IFERROR(VLOOKUP(B116,input_392010!L:R,7,FALSE),VLOOKUP(tables_392010!C116,input_392010!A:H,8,FALSE))</f>
        <v>39407.199999999997</v>
      </c>
      <c r="P116" s="46">
        <f t="shared" ca="1" si="5"/>
        <v>5.3908618331053345E-4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input_392010!A$2</f>
        <v>392010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IFERROR(VLOOKUP(B117,input_392010!L:R,7,FALSE),VLOOKUP(tables_392010!C117,input_392010!A:H,8,FALSE))</f>
        <v>391300</v>
      </c>
      <c r="P117" s="46">
        <f t="shared" ca="1" si="5"/>
        <v>5.3529411764705881E-3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input_392010!A$2</f>
        <v>392010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IFERROR(VLOOKUP(B118,input_392010!L:R,7,FALSE),VLOOKUP(tables_392010!C118,input_392010!A:H,8,FALSE))</f>
        <v>336240.8</v>
      </c>
      <c r="P118" s="46">
        <f t="shared" ca="1" si="5"/>
        <v>4.5997373461012315E-3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input_392010!A$2</f>
        <v>392010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IFERROR(VLOOKUP(B119,input_392010!L:R,7,FALSE),VLOOKUP(tables_392010!C119,input_392010!A:H,8,FALSE))</f>
        <v>39407.199999999997</v>
      </c>
      <c r="P119" s="46">
        <f t="shared" ca="1" si="5"/>
        <v>5.3908618331053345E-4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input_392010!A$2</f>
        <v>392010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IFERROR(VLOOKUP(B120,input_392010!L:R,7,FALSE),VLOOKUP(tables_392010!C120,input_392010!A:H,8,FALSE))</f>
        <v>391300</v>
      </c>
      <c r="P120" s="46">
        <f t="shared" ca="1" si="5"/>
        <v>5.3529411764705881E-3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input_392010!A$2</f>
        <v>392010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IFERROR(VLOOKUP(B121,input_392010!L:R,7,FALSE),VLOOKUP(tables_392010!C121,input_392010!A:H,8,FALSE))</f>
        <v>336240.8</v>
      </c>
      <c r="P121" s="46">
        <f t="shared" ca="1" si="5"/>
        <v>4.5997373461012315E-3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input_392010!A$2</f>
        <v>392010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IFERROR(VLOOKUP(B122,input_392010!L:R,7,FALSE),VLOOKUP(tables_392010!C122,input_392010!A:H,8,FALSE))</f>
        <v>39407.199999999997</v>
      </c>
      <c r="P122" s="46">
        <f t="shared" ca="1" si="5"/>
        <v>5.3908618331053345E-4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input_392010!A$2</f>
        <v>392010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IFERROR(VLOOKUP(B123,input_392010!L:R,7,FALSE),VLOOKUP(tables_392010!C123,input_392010!A:H,8,FALSE))</f>
        <v>391300</v>
      </c>
      <c r="P123" s="46">
        <f t="shared" ca="1" si="5"/>
        <v>5.3529411764705881E-3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input_392010!A$2</f>
        <v>392010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IFERROR(VLOOKUP(B124,input_392010!L:R,7,FALSE),VLOOKUP(tables_392010!C124,input_392010!A:H,8,FALSE))</f>
        <v>336240.8</v>
      </c>
      <c r="P124" s="46">
        <f t="shared" ca="1" si="5"/>
        <v>4.5997373461012315E-3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input_392010!A$2</f>
        <v>392010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IFERROR(VLOOKUP(B125,input_392010!L:R,7,FALSE),VLOOKUP(tables_392010!C125,input_392010!A:H,8,FALSE))</f>
        <v>39407.199999999997</v>
      </c>
      <c r="P125" s="46">
        <f t="shared" ca="1" si="5"/>
        <v>5.3908618331053345E-4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input_392010!A$2</f>
        <v>392010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IFERROR(VLOOKUP(B126,input_392010!L:R,7,FALSE),VLOOKUP(tables_392010!C126,input_392010!A:H,8,FALSE))</f>
        <v>391300</v>
      </c>
      <c r="P126" s="46">
        <f t="shared" ca="1" si="5"/>
        <v>5.3529411764705881E-3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input_392010!A$2</f>
        <v>392010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IFERROR(VLOOKUP(B127,input_392010!L:R,7,FALSE),VLOOKUP(tables_392010!C127,input_392010!A:H,8,FALSE))</f>
        <v>336240.8</v>
      </c>
      <c r="P127" s="46">
        <f t="shared" ca="1" si="5"/>
        <v>4.5997373461012315E-3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input_392010!A$2</f>
        <v>392010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IFERROR(VLOOKUP(B128,input_392010!L:R,7,FALSE),VLOOKUP(tables_392010!C128,input_392010!A:H,8,FALSE))</f>
        <v>39407.199999999997</v>
      </c>
      <c r="P128" s="46">
        <f t="shared" ca="1" si="5"/>
        <v>5.3908618331053345E-4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input_392010!A$2</f>
        <v>392010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IFERROR(VLOOKUP(B129,input_392010!L:R,7,FALSE),VLOOKUP(tables_392010!C129,input_392010!A:H,8,FALSE))</f>
        <v>391300</v>
      </c>
      <c r="P129" s="46">
        <f t="shared" ca="1" si="5"/>
        <v>5.3529411764705881E-3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input_392010!A$2</f>
        <v>392010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IFERROR(VLOOKUP(B130,input_392010!L:R,7,FALSE),VLOOKUP(tables_392010!C130,input_392010!A:H,8,FALSE))</f>
        <v>336240.8</v>
      </c>
      <c r="P130" s="46">
        <f t="shared" ref="P130:P193" ca="1" si="8">O130/SUM(O:O)</f>
        <v>4.5997373461012315E-3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input_392010!A$2</f>
        <v>392010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IFERROR(VLOOKUP(B131,input_392010!L:R,7,FALSE),VLOOKUP(tables_392010!C131,input_392010!A:H,8,FALSE))</f>
        <v>39407.199999999997</v>
      </c>
      <c r="P131" s="46">
        <f t="shared" ca="1" si="8"/>
        <v>5.3908618331053345E-4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input_392010!A$2</f>
        <v>392010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IFERROR(VLOOKUP(B132,input_392010!L:R,7,FALSE),VLOOKUP(tables_392010!C132,input_392010!A:H,8,FALSE))</f>
        <v>391300</v>
      </c>
      <c r="P132" s="46">
        <f t="shared" ca="1" si="8"/>
        <v>5.3529411764705881E-3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input_392010!A$2</f>
        <v>392010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IFERROR(VLOOKUP(B133,input_392010!L:R,7,FALSE),VLOOKUP(tables_392010!C133,input_392010!A:H,8,FALSE))</f>
        <v>336240.8</v>
      </c>
      <c r="P133" s="46">
        <f t="shared" ca="1" si="8"/>
        <v>4.5997373461012315E-3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input_392010!A$2</f>
        <v>392010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IFERROR(VLOOKUP(B134,input_392010!L:R,7,FALSE),VLOOKUP(tables_392010!C134,input_392010!A:H,8,FALSE))</f>
        <v>39407.199999999997</v>
      </c>
      <c r="P134" s="46">
        <f t="shared" ca="1" si="8"/>
        <v>5.3908618331053345E-4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input_392010!A$2</f>
        <v>392010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IFERROR(VLOOKUP(B135,input_392010!L:R,7,FALSE),VLOOKUP(tables_392010!C135,input_392010!A:H,8,FALSE))</f>
        <v>391300</v>
      </c>
      <c r="P135" s="46">
        <f t="shared" ca="1" si="8"/>
        <v>5.3529411764705881E-3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input_392010!A$2</f>
        <v>392010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IFERROR(VLOOKUP(B136,input_392010!L:R,7,FALSE),VLOOKUP(tables_392010!C136,input_392010!A:H,8,FALSE))</f>
        <v>336240.8</v>
      </c>
      <c r="P136" s="46">
        <f t="shared" ca="1" si="8"/>
        <v>4.5997373461012315E-3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input_392010!A$2</f>
        <v>392010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IFERROR(VLOOKUP(B137,input_392010!L:R,7,FALSE),VLOOKUP(tables_392010!C137,input_392010!A:H,8,FALSE))</f>
        <v>39407.199999999997</v>
      </c>
      <c r="P137" s="46">
        <f t="shared" ca="1" si="8"/>
        <v>5.3908618331053345E-4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input_392010!A$2</f>
        <v>392010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IFERROR(VLOOKUP(B138,input_392010!L:R,7,FALSE),VLOOKUP(tables_392010!C138,input_392010!A:H,8,FALSE))</f>
        <v>45220</v>
      </c>
      <c r="P138" s="46">
        <f t="shared" ca="1" si="8"/>
        <v>6.1860465116279071E-4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input_392010!A$2</f>
        <v>392010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IFERROR(VLOOKUP(B139,input_392010!L:R,7,FALSE),VLOOKUP(tables_392010!C139,input_392010!A:H,8,FALSE))</f>
        <v>2380</v>
      </c>
      <c r="P139" s="46">
        <f t="shared" ca="1" si="8"/>
        <v>3.2558139534883718E-5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input_392010!A$2</f>
        <v>392010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IFERROR(VLOOKUP(B140,input_392010!L:R,7,FALSE),VLOOKUP(tables_392010!C140,input_392010!A:H,8,FALSE))</f>
        <v>45220</v>
      </c>
      <c r="P140" s="46">
        <f t="shared" ca="1" si="8"/>
        <v>6.1860465116279071E-4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input_392010!A$2</f>
        <v>392010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IFERROR(VLOOKUP(B141,input_392010!L:R,7,FALSE),VLOOKUP(tables_392010!C141,input_392010!A:H,8,FALSE))</f>
        <v>2380</v>
      </c>
      <c r="P141" s="46">
        <f t="shared" ca="1" si="8"/>
        <v>3.2558139534883718E-5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input_392010!A$2</f>
        <v>392010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IFERROR(VLOOKUP(B142,input_392010!L:R,7,FALSE),VLOOKUP(tables_392010!C142,input_392010!A:H,8,FALSE))</f>
        <v>45220</v>
      </c>
      <c r="P142" s="46">
        <f t="shared" ca="1" si="8"/>
        <v>6.1860465116279071E-4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input_392010!A$2</f>
        <v>392010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IFERROR(VLOOKUP(B143,input_392010!L:R,7,FALSE),VLOOKUP(tables_392010!C143,input_392010!A:H,8,FALSE))</f>
        <v>2380</v>
      </c>
      <c r="P143" s="46">
        <f t="shared" ca="1" si="8"/>
        <v>3.2558139534883718E-5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input_392010!A$2</f>
        <v>392010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IFERROR(VLOOKUP(B144,input_392010!L:R,7,FALSE),VLOOKUP(tables_392010!C144,input_392010!A:H,8,FALSE))</f>
        <v>45220</v>
      </c>
      <c r="P144" s="46">
        <f t="shared" ca="1" si="8"/>
        <v>6.1860465116279071E-4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input_392010!A$2</f>
        <v>392010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IFERROR(VLOOKUP(B145,input_392010!L:R,7,FALSE),VLOOKUP(tables_392010!C145,input_392010!A:H,8,FALSE))</f>
        <v>2380</v>
      </c>
      <c r="P145" s="46">
        <f t="shared" ca="1" si="8"/>
        <v>3.2558139534883718E-5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input_392010!A$2</f>
        <v>392010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IFERROR(VLOOKUP(B146,input_392010!L:R,7,FALSE),VLOOKUP(tables_392010!C146,input_392010!A:H,8,FALSE))</f>
        <v>391300</v>
      </c>
      <c r="P146" s="46">
        <f t="shared" ca="1" si="8"/>
        <v>5.3529411764705881E-3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input_392010!A$2</f>
        <v>392010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IFERROR(VLOOKUP(B147,input_392010!L:R,7,FALSE),VLOOKUP(tables_392010!C147,input_392010!A:H,8,FALSE))</f>
        <v>336240.8</v>
      </c>
      <c r="P147" s="46">
        <f t="shared" ca="1" si="8"/>
        <v>4.5997373461012315E-3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input_392010!A$2</f>
        <v>392010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IFERROR(VLOOKUP(B148,input_392010!L:R,7,FALSE),VLOOKUP(tables_392010!C148,input_392010!A:H,8,FALSE))</f>
        <v>39407.199999999997</v>
      </c>
      <c r="P148" s="46">
        <f t="shared" ca="1" si="8"/>
        <v>5.3908618331053345E-4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input_392010!A$2</f>
        <v>392010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IFERROR(VLOOKUP(B149,input_392010!L:R,7,FALSE),VLOOKUP(tables_392010!C149,input_392010!A:H,8,FALSE))</f>
        <v>45220</v>
      </c>
      <c r="P149" s="46">
        <f t="shared" ca="1" si="8"/>
        <v>6.1860465116279071E-4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input_392010!A$2</f>
        <v>392010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IFERROR(VLOOKUP(B150,input_392010!L:R,7,FALSE),VLOOKUP(tables_392010!C150,input_392010!A:H,8,FALSE))</f>
        <v>2380</v>
      </c>
      <c r="P150" s="46">
        <f t="shared" ca="1" si="8"/>
        <v>3.2558139534883718E-5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input_392010!A$2</f>
        <v>392010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IFERROR(VLOOKUP(B151,input_392010!L:R,7,FALSE),VLOOKUP(tables_392010!C151,input_392010!A:H,8,FALSE))</f>
        <v>45220</v>
      </c>
      <c r="P151" s="46">
        <f t="shared" ca="1" si="8"/>
        <v>6.1860465116279071E-4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input_392010!A$2</f>
        <v>392010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IFERROR(VLOOKUP(B152,input_392010!L:R,7,FALSE),VLOOKUP(tables_392010!C152,input_392010!A:H,8,FALSE))</f>
        <v>2380</v>
      </c>
      <c r="P152" s="46">
        <f t="shared" ca="1" si="8"/>
        <v>3.2558139534883718E-5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input_392010!A$2</f>
        <v>392010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IFERROR(VLOOKUP(B153,input_392010!L:R,7,FALSE),VLOOKUP(tables_392010!C153,input_392010!A:H,8,FALSE))</f>
        <v>391300</v>
      </c>
      <c r="P153" s="46">
        <f t="shared" ca="1" si="8"/>
        <v>5.3529411764705881E-3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input_392010!A$2</f>
        <v>392010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IFERROR(VLOOKUP(B154,input_392010!L:R,7,FALSE),VLOOKUP(tables_392010!C154,input_392010!A:H,8,FALSE))</f>
        <v>336240.8</v>
      </c>
      <c r="P154" s="46">
        <f t="shared" ca="1" si="8"/>
        <v>4.5997373461012315E-3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input_392010!A$2</f>
        <v>392010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IFERROR(VLOOKUP(B155,input_392010!L:R,7,FALSE),VLOOKUP(tables_392010!C155,input_392010!A:H,8,FALSE))</f>
        <v>39407.199999999997</v>
      </c>
      <c r="P155" s="46">
        <f t="shared" ca="1" si="8"/>
        <v>5.3908618331053345E-4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input_392010!A$2</f>
        <v>392010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IFERROR(VLOOKUP(B156,input_392010!L:R,7,FALSE),VLOOKUP(tables_392010!C156,input_392010!A:H,8,FALSE))</f>
        <v>45220</v>
      </c>
      <c r="P156" s="46">
        <f t="shared" ca="1" si="8"/>
        <v>6.1860465116279071E-4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input_392010!A$2</f>
        <v>392010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IFERROR(VLOOKUP(B157,input_392010!L:R,7,FALSE),VLOOKUP(tables_392010!C157,input_392010!A:H,8,FALSE))</f>
        <v>2380</v>
      </c>
      <c r="P157" s="46">
        <f t="shared" ca="1" si="8"/>
        <v>3.2558139534883718E-5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input_392010!A$2</f>
        <v>392010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IFERROR(VLOOKUP(B158,input_392010!L:R,7,FALSE),VLOOKUP(tables_392010!C158,input_392010!A:H,8,FALSE))</f>
        <v>391300</v>
      </c>
      <c r="P158" s="46">
        <f t="shared" ca="1" si="8"/>
        <v>5.3529411764705881E-3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input_392010!A$2</f>
        <v>392010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IFERROR(VLOOKUP(B159,input_392010!L:R,7,FALSE),VLOOKUP(tables_392010!C159,input_392010!A:H,8,FALSE))</f>
        <v>336240.8</v>
      </c>
      <c r="P159" s="46">
        <f t="shared" ca="1" si="8"/>
        <v>4.5997373461012315E-3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input_392010!A$2</f>
        <v>392010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IFERROR(VLOOKUP(B160,input_392010!L:R,7,FALSE),VLOOKUP(tables_392010!C160,input_392010!A:H,8,FALSE))</f>
        <v>39407.199999999997</v>
      </c>
      <c r="P160" s="46">
        <f t="shared" ca="1" si="8"/>
        <v>5.3908618331053345E-4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input_392010!A$2</f>
        <v>392010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IFERROR(VLOOKUP(B161,input_392010!L:R,7,FALSE),VLOOKUP(tables_392010!C161,input_392010!A:H,8,FALSE))</f>
        <v>391300</v>
      </c>
      <c r="P161" s="46">
        <f t="shared" ca="1" si="8"/>
        <v>5.3529411764705881E-3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input_392010!A$2</f>
        <v>392010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IFERROR(VLOOKUP(B162,input_392010!L:R,7,FALSE),VLOOKUP(tables_392010!C162,input_392010!A:H,8,FALSE))</f>
        <v>336240.8</v>
      </c>
      <c r="P162" s="46">
        <f t="shared" ca="1" si="8"/>
        <v>4.5997373461012315E-3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input_392010!A$2</f>
        <v>392010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IFERROR(VLOOKUP(B163,input_392010!L:R,7,FALSE),VLOOKUP(tables_392010!C163,input_392010!A:H,8,FALSE))</f>
        <v>39407.199999999997</v>
      </c>
      <c r="P163" s="46">
        <f t="shared" ca="1" si="8"/>
        <v>5.3908618331053345E-4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input_392010!A$2</f>
        <v>392010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IFERROR(VLOOKUP(B164,input_392010!L:R,7,FALSE),VLOOKUP(tables_392010!C164,input_392010!A:H,8,FALSE))</f>
        <v>45220</v>
      </c>
      <c r="P164" s="46">
        <f t="shared" ca="1" si="8"/>
        <v>6.1860465116279071E-4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input_392010!A$2</f>
        <v>392010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IFERROR(VLOOKUP(B165,input_392010!L:R,7,FALSE),VLOOKUP(tables_392010!C165,input_392010!A:H,8,FALSE))</f>
        <v>2380</v>
      </c>
      <c r="P165" s="46">
        <f t="shared" ca="1" si="8"/>
        <v>3.2558139534883718E-5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input_392010!A$2</f>
        <v>392010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IFERROR(VLOOKUP(B166,input_392010!L:R,7,FALSE),VLOOKUP(tables_392010!C166,input_392010!A:H,8,FALSE))</f>
        <v>391300</v>
      </c>
      <c r="P166" s="46">
        <f t="shared" ca="1" si="8"/>
        <v>5.3529411764705881E-3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input_392010!A$2</f>
        <v>392010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IFERROR(VLOOKUP(B167,input_392010!L:R,7,FALSE),VLOOKUP(tables_392010!C167,input_392010!A:H,8,FALSE))</f>
        <v>336240.8</v>
      </c>
      <c r="P167" s="46">
        <f t="shared" ca="1" si="8"/>
        <v>4.5997373461012315E-3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input_392010!A$2</f>
        <v>392010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IFERROR(VLOOKUP(B168,input_392010!L:R,7,FALSE),VLOOKUP(tables_392010!C168,input_392010!A:H,8,FALSE))</f>
        <v>39407.199999999997</v>
      </c>
      <c r="P168" s="46">
        <f t="shared" ca="1" si="8"/>
        <v>5.3908618331053345E-4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input_392010!A$2</f>
        <v>392010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IFERROR(VLOOKUP(B169,input_392010!L:R,7,FALSE),VLOOKUP(tables_392010!C169,input_392010!A:H,8,FALSE))</f>
        <v>45220</v>
      </c>
      <c r="P169" s="46">
        <f t="shared" ca="1" si="8"/>
        <v>6.1860465116279071E-4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input_392010!A$2</f>
        <v>392010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IFERROR(VLOOKUP(B170,input_392010!L:R,7,FALSE),VLOOKUP(tables_392010!C170,input_392010!A:H,8,FALSE))</f>
        <v>2380</v>
      </c>
      <c r="P170" s="46">
        <f t="shared" ca="1" si="8"/>
        <v>3.2558139534883718E-5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input_392010!A$2</f>
        <v>392010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IFERROR(VLOOKUP(B171,input_392010!L:R,7,FALSE),VLOOKUP(tables_392010!C171,input_392010!A:H,8,FALSE))</f>
        <v>391300</v>
      </c>
      <c r="P171" s="46">
        <f t="shared" ca="1" si="8"/>
        <v>5.3529411764705881E-3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input_392010!A$2</f>
        <v>392010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IFERROR(VLOOKUP(B172,input_392010!L:R,7,FALSE),VLOOKUP(tables_392010!C172,input_392010!A:H,8,FALSE))</f>
        <v>336240.8</v>
      </c>
      <c r="P172" s="46">
        <f t="shared" ca="1" si="8"/>
        <v>4.5997373461012315E-3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input_392010!A$2</f>
        <v>392010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IFERROR(VLOOKUP(B173,input_392010!L:R,7,FALSE),VLOOKUP(tables_392010!C173,input_392010!A:H,8,FALSE))</f>
        <v>39407.199999999997</v>
      </c>
      <c r="P173" s="46">
        <f t="shared" ca="1" si="8"/>
        <v>5.3908618331053345E-4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input_392010!A$2</f>
        <v>392010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IFERROR(VLOOKUP(B174,input_392010!L:R,7,FALSE),VLOOKUP(tables_392010!C174,input_392010!A:H,8,FALSE))</f>
        <v>45220</v>
      </c>
      <c r="P174" s="46">
        <f t="shared" ca="1" si="8"/>
        <v>6.1860465116279071E-4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input_392010!A$2</f>
        <v>392010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IFERROR(VLOOKUP(B175,input_392010!L:R,7,FALSE),VLOOKUP(tables_392010!C175,input_392010!A:H,8,FALSE))</f>
        <v>2380</v>
      </c>
      <c r="P175" s="46">
        <f t="shared" ca="1" si="8"/>
        <v>3.2558139534883718E-5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input_392010!A$2</f>
        <v>392010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IFERROR(VLOOKUP(B176,input_392010!L:R,7,FALSE),VLOOKUP(tables_392010!C176,input_392010!A:H,8,FALSE))</f>
        <v>45220</v>
      </c>
      <c r="P176" s="46">
        <f t="shared" ca="1" si="8"/>
        <v>6.1860465116279071E-4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input_392010!A$2</f>
        <v>392010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IFERROR(VLOOKUP(B177,input_392010!L:R,7,FALSE),VLOOKUP(tables_392010!C177,input_392010!A:H,8,FALSE))</f>
        <v>2380</v>
      </c>
      <c r="P177" s="46">
        <f t="shared" ca="1" si="8"/>
        <v>3.2558139534883718E-5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input_392010!A$2</f>
        <v>392010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IFERROR(VLOOKUP(B178,input_392010!L:R,7,FALSE),VLOOKUP(tables_392010!C178,input_392010!A:H,8,FALSE))</f>
        <v>391300</v>
      </c>
      <c r="P178" s="46">
        <f t="shared" ca="1" si="8"/>
        <v>5.3529411764705881E-3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input_392010!A$2</f>
        <v>392010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IFERROR(VLOOKUP(B179,input_392010!L:R,7,FALSE),VLOOKUP(tables_392010!C179,input_392010!A:H,8,FALSE))</f>
        <v>336240.8</v>
      </c>
      <c r="P179" s="46">
        <f t="shared" ca="1" si="8"/>
        <v>4.5997373461012315E-3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input_392010!A$2</f>
        <v>392010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IFERROR(VLOOKUP(B180,input_392010!L:R,7,FALSE),VLOOKUP(tables_392010!C180,input_392010!A:H,8,FALSE))</f>
        <v>39407.199999999997</v>
      </c>
      <c r="P180" s="46">
        <f t="shared" ca="1" si="8"/>
        <v>5.3908618331053345E-4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input_392010!A$2</f>
        <v>392010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IFERROR(VLOOKUP(B181,input_392010!L:R,7,FALSE),VLOOKUP(tables_392010!C181,input_392010!A:H,8,FALSE))</f>
        <v>391300</v>
      </c>
      <c r="P181" s="46">
        <f t="shared" ca="1" si="8"/>
        <v>5.3529411764705881E-3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input_392010!A$2</f>
        <v>392010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IFERROR(VLOOKUP(B182,input_392010!L:R,7,FALSE),VLOOKUP(tables_392010!C182,input_392010!A:H,8,FALSE))</f>
        <v>336240.8</v>
      </c>
      <c r="P182" s="46">
        <f t="shared" ca="1" si="8"/>
        <v>4.5997373461012315E-3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input_392010!A$2</f>
        <v>392010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IFERROR(VLOOKUP(B183,input_392010!L:R,7,FALSE),VLOOKUP(tables_392010!C183,input_392010!A:H,8,FALSE))</f>
        <v>39407.199999999997</v>
      </c>
      <c r="P183" s="46">
        <f t="shared" ca="1" si="8"/>
        <v>5.3908618331053345E-4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input_392010!A$2</f>
        <v>392010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IFERROR(VLOOKUP(B184,input_392010!L:R,7,FALSE),VLOOKUP(tables_392010!C184,input_392010!A:H,8,FALSE))</f>
        <v>45220</v>
      </c>
      <c r="P184" s="46">
        <f t="shared" ca="1" si="8"/>
        <v>6.1860465116279071E-4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input_392010!A$2</f>
        <v>392010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IFERROR(VLOOKUP(B185,input_392010!L:R,7,FALSE),VLOOKUP(tables_392010!C185,input_392010!A:H,8,FALSE))</f>
        <v>2380</v>
      </c>
      <c r="P185" s="46">
        <f t="shared" ca="1" si="8"/>
        <v>3.2558139534883718E-5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input_392010!A$2</f>
        <v>392010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IFERROR(VLOOKUP(B186,input_392010!L:R,7,FALSE),VLOOKUP(tables_392010!C186,input_392010!A:H,8,FALSE))</f>
        <v>391300</v>
      </c>
      <c r="P186" s="46">
        <f t="shared" ca="1" si="8"/>
        <v>5.3529411764705881E-3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input_392010!A$2</f>
        <v>392010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>IFERROR(VLOOKUP(B187,input_392010!L:R,7,FALSE),VLOOKUP(tables_392010!C187,input_392010!A:H,8,FALSE))</f>
        <v>1388900</v>
      </c>
      <c r="P187" s="46">
        <f t="shared" ca="1" si="8"/>
        <v>1.9E-2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input_392010!A$2</f>
        <v>392010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>IFERROR(VLOOKUP(B188,input_392010!L:R,7,FALSE),VLOOKUP(tables_392010!C188,input_392010!A:H,8,FALSE))</f>
        <v>73100</v>
      </c>
      <c r="P188" s="46">
        <f t="shared" ca="1" si="8"/>
        <v>1E-3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input_392010!A$2</f>
        <v>392010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>IFERROR(VLOOKUP(B189,input_392010!L:R,7,FALSE),VLOOKUP(tables_392010!C189,input_392010!A:H,8,FALSE))</f>
        <v>694450</v>
      </c>
      <c r="P189" s="46">
        <f t="shared" ca="1" si="8"/>
        <v>9.4999999999999998E-3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input_392010!A$2</f>
        <v>392010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>IFERROR(VLOOKUP(B190,input_392010!L:R,7,FALSE),VLOOKUP(tables_392010!C190,input_392010!A:H,8,FALSE))</f>
        <v>36550</v>
      </c>
      <c r="P190" s="46">
        <f t="shared" ca="1" si="8"/>
        <v>5.0000000000000001E-4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input_392010!A$2</f>
        <v>392010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>IFERROR(VLOOKUP(B191,input_392010!L:R,7,FALSE),VLOOKUP(tables_392010!C191,input_392010!A:H,8,FALSE))</f>
        <v>833340</v>
      </c>
      <c r="P191" s="46">
        <f t="shared" ca="1" si="8"/>
        <v>1.14E-2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input_392010!A$2</f>
        <v>392010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>IFERROR(VLOOKUP(B192,input_392010!L:R,7,FALSE),VLOOKUP(tables_392010!C192,input_392010!A:H,8,FALSE))</f>
        <v>43859.999999999993</v>
      </c>
      <c r="P192" s="46">
        <f t="shared" ca="1" si="8"/>
        <v>5.9999999999999995E-4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input_392010!A$2</f>
        <v>392010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IFERROR(VLOOKUP(B193,input_392010!L:R,7,FALSE),VLOOKUP(tables_392010!C193,input_392010!A:H,8,FALSE))</f>
        <v>391300</v>
      </c>
      <c r="P193" s="46">
        <f t="shared" ca="1" si="8"/>
        <v>5.3529411764705881E-3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input_392010!A$2</f>
        <v>392010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>IFERROR(VLOOKUP(B194,input_392010!L:R,7,FALSE),VLOOKUP(tables_392010!C194,input_392010!A:H,8,FALSE))</f>
        <v>1388900</v>
      </c>
      <c r="P194" s="46">
        <f t="shared" ref="P194:P257" ca="1" si="11">O194/SUM(O:O)</f>
        <v>1.9E-2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input_392010!A$2</f>
        <v>392010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>IFERROR(VLOOKUP(B195,input_392010!L:R,7,FALSE),VLOOKUP(tables_392010!C195,input_392010!A:H,8,FALSE))</f>
        <v>73100</v>
      </c>
      <c r="P195" s="46">
        <f t="shared" ca="1" si="11"/>
        <v>1E-3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input_392010!A$2</f>
        <v>392010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IFERROR(VLOOKUP(B196,input_392010!L:R,7,FALSE),VLOOKUP(tables_392010!C196,input_392010!A:H,8,FALSE))</f>
        <v>45220</v>
      </c>
      <c r="P196" s="46">
        <f t="shared" ca="1" si="11"/>
        <v>6.1860465116279071E-4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input_392010!A$2</f>
        <v>392010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IFERROR(VLOOKUP(B197,input_392010!L:R,7,FALSE),VLOOKUP(tables_392010!C197,input_392010!A:H,8,FALSE))</f>
        <v>2380</v>
      </c>
      <c r="P197" s="46">
        <f t="shared" ca="1" si="11"/>
        <v>3.2558139534883718E-5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input_392010!A$2</f>
        <v>392010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IFERROR(VLOOKUP(B198,input_392010!L:R,7,FALSE),VLOOKUP(tables_392010!C198,input_392010!A:H,8,FALSE))</f>
        <v>391300</v>
      </c>
      <c r="P198" s="46">
        <f t="shared" ca="1" si="11"/>
        <v>5.3529411764705881E-3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input_392010!A$2</f>
        <v>392010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IFERROR(VLOOKUP(B199,input_392010!L:R,7,FALSE),VLOOKUP(tables_392010!C199,input_392010!A:H,8,FALSE))</f>
        <v>336240.8</v>
      </c>
      <c r="P199" s="46">
        <f t="shared" ca="1" si="11"/>
        <v>4.5997373461012315E-3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input_392010!A$2</f>
        <v>392010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IFERROR(VLOOKUP(B200,input_392010!L:R,7,FALSE),VLOOKUP(tables_392010!C200,input_392010!A:H,8,FALSE))</f>
        <v>39407.199999999997</v>
      </c>
      <c r="P200" s="46">
        <f t="shared" ca="1" si="11"/>
        <v>5.3908618331053345E-4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input_392010!A$2</f>
        <v>392010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IFERROR(VLOOKUP(B201,input_392010!L:R,7,FALSE),VLOOKUP(tables_392010!C201,input_392010!A:H,8,FALSE))</f>
        <v>45220</v>
      </c>
      <c r="P201" s="46">
        <f t="shared" ca="1" si="11"/>
        <v>6.1860465116279071E-4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input_392010!A$2</f>
        <v>392010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IFERROR(VLOOKUP(B202,input_392010!L:R,7,FALSE),VLOOKUP(tables_392010!C202,input_392010!A:H,8,FALSE))</f>
        <v>2380</v>
      </c>
      <c r="P202" s="46">
        <f t="shared" ca="1" si="11"/>
        <v>3.2558139534883718E-5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input_392010!A$2</f>
        <v>392010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IFERROR(VLOOKUP(B203,input_392010!L:R,7,FALSE),VLOOKUP(tables_392010!C203,input_392010!A:H,8,FALSE))</f>
        <v>391300</v>
      </c>
      <c r="P203" s="46">
        <f t="shared" ca="1" si="11"/>
        <v>5.3529411764705881E-3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input_392010!A$2</f>
        <v>392010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IFERROR(VLOOKUP(B204,input_392010!L:R,7,FALSE),VLOOKUP(tables_392010!C204,input_392010!A:H,8,FALSE))</f>
        <v>336240.8</v>
      </c>
      <c r="P204" s="46">
        <f t="shared" ca="1" si="11"/>
        <v>4.5997373461012315E-3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input_392010!A$2</f>
        <v>392010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IFERROR(VLOOKUP(B205,input_392010!L:R,7,FALSE),VLOOKUP(tables_392010!C205,input_392010!A:H,8,FALSE))</f>
        <v>39407.199999999997</v>
      </c>
      <c r="P205" s="46">
        <f t="shared" ca="1" si="11"/>
        <v>5.3908618331053345E-4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input_392010!A$2</f>
        <v>392010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IFERROR(VLOOKUP(B206,input_392010!L:R,7,FALSE),VLOOKUP(tables_392010!C206,input_392010!A:H,8,FALSE))</f>
        <v>45220</v>
      </c>
      <c r="P206" s="46">
        <f t="shared" ca="1" si="11"/>
        <v>6.1860465116279071E-4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input_392010!A$2</f>
        <v>392010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IFERROR(VLOOKUP(B207,input_392010!L:R,7,FALSE),VLOOKUP(tables_392010!C207,input_392010!A:H,8,FALSE))</f>
        <v>2380</v>
      </c>
      <c r="P207" s="46">
        <f t="shared" ca="1" si="11"/>
        <v>3.2558139534883718E-5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input_392010!A$2</f>
        <v>392010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IFERROR(VLOOKUP(B208,input_392010!L:R,7,FALSE),VLOOKUP(tables_392010!C208,input_392010!A:H,8,FALSE))</f>
        <v>45220</v>
      </c>
      <c r="P208" s="46">
        <f t="shared" ca="1" si="11"/>
        <v>6.1860465116279071E-4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input_392010!A$2</f>
        <v>392010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IFERROR(VLOOKUP(B209,input_392010!L:R,7,FALSE),VLOOKUP(tables_392010!C209,input_392010!A:H,8,FALSE))</f>
        <v>2380</v>
      </c>
      <c r="P209" s="46">
        <f t="shared" ca="1" si="11"/>
        <v>3.2558139534883718E-5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input_392010!A$2</f>
        <v>392010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IFERROR(VLOOKUP(B210,input_392010!L:R,7,FALSE),VLOOKUP(tables_392010!C210,input_392010!A:H,8,FALSE))</f>
        <v>391300</v>
      </c>
      <c r="P210" s="46">
        <f t="shared" ca="1" si="11"/>
        <v>5.3529411764705881E-3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input_392010!A$2</f>
        <v>392010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IFERROR(VLOOKUP(B211,input_392010!L:R,7,FALSE),VLOOKUP(tables_392010!C211,input_392010!A:H,8,FALSE))</f>
        <v>336240.8</v>
      </c>
      <c r="P211" s="46">
        <f t="shared" ca="1" si="11"/>
        <v>4.5997373461012315E-3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input_392010!A$2</f>
        <v>392010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IFERROR(VLOOKUP(B212,input_392010!L:R,7,FALSE),VLOOKUP(tables_392010!C212,input_392010!A:H,8,FALSE))</f>
        <v>39407.199999999997</v>
      </c>
      <c r="P212" s="46">
        <f t="shared" ca="1" si="11"/>
        <v>5.3908618331053345E-4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input_392010!A$2</f>
        <v>392010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IFERROR(VLOOKUP(B213,input_392010!L:R,7,FALSE),VLOOKUP(tables_392010!C213,input_392010!A:H,8,FALSE))</f>
        <v>45220</v>
      </c>
      <c r="P213" s="46">
        <f t="shared" ca="1" si="11"/>
        <v>6.1860465116279071E-4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input_392010!A$2</f>
        <v>392010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IFERROR(VLOOKUP(B214,input_392010!L:R,7,FALSE),VLOOKUP(tables_392010!C214,input_392010!A:H,8,FALSE))</f>
        <v>2380</v>
      </c>
      <c r="P214" s="46">
        <f t="shared" ca="1" si="11"/>
        <v>3.2558139534883718E-5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input_392010!A$2</f>
        <v>392010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IFERROR(VLOOKUP(B215,input_392010!L:R,7,FALSE),VLOOKUP(tables_392010!C215,input_392010!A:H,8,FALSE))</f>
        <v>45220</v>
      </c>
      <c r="P215" s="46">
        <f t="shared" ca="1" si="11"/>
        <v>6.1860465116279071E-4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input_392010!A$2</f>
        <v>392010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IFERROR(VLOOKUP(B216,input_392010!L:R,7,FALSE),VLOOKUP(tables_392010!C216,input_392010!A:H,8,FALSE))</f>
        <v>2380</v>
      </c>
      <c r="P216" s="46">
        <f t="shared" ca="1" si="11"/>
        <v>3.2558139534883718E-5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input_392010!A$2</f>
        <v>392010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IFERROR(VLOOKUP(B217,input_392010!L:R,7,FALSE),VLOOKUP(tables_392010!C217,input_392010!A:H,8,FALSE))</f>
        <v>391300</v>
      </c>
      <c r="P217" s="46">
        <f t="shared" ca="1" si="11"/>
        <v>5.3529411764705881E-3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input_392010!A$2</f>
        <v>392010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IFERROR(VLOOKUP(B218,input_392010!L:R,7,FALSE),VLOOKUP(tables_392010!C218,input_392010!A:H,8,FALSE))</f>
        <v>336240.8</v>
      </c>
      <c r="P218" s="46">
        <f t="shared" ca="1" si="11"/>
        <v>4.5997373461012315E-3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input_392010!A$2</f>
        <v>392010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IFERROR(VLOOKUP(B219,input_392010!L:R,7,FALSE),VLOOKUP(tables_392010!C219,input_392010!A:H,8,FALSE))</f>
        <v>39407.199999999997</v>
      </c>
      <c r="P219" s="46">
        <f t="shared" ca="1" si="11"/>
        <v>5.3908618331053345E-4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input_392010!A$2</f>
        <v>392010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IFERROR(VLOOKUP(B220,input_392010!L:R,7,FALSE),VLOOKUP(tables_392010!C220,input_392010!A:H,8,FALSE))</f>
        <v>391300</v>
      </c>
      <c r="P220" s="46">
        <f t="shared" ca="1" si="11"/>
        <v>5.3529411764705881E-3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input_392010!A$2</f>
        <v>392010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IFERROR(VLOOKUP(B221,input_392010!L:R,7,FALSE),VLOOKUP(tables_392010!C221,input_392010!A:H,8,FALSE))</f>
        <v>336240.8</v>
      </c>
      <c r="P221" s="46">
        <f t="shared" ca="1" si="11"/>
        <v>4.5997373461012315E-3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input_392010!A$2</f>
        <v>392010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IFERROR(VLOOKUP(B222,input_392010!L:R,7,FALSE),VLOOKUP(tables_392010!C222,input_392010!A:H,8,FALSE))</f>
        <v>39407.199999999997</v>
      </c>
      <c r="P222" s="46">
        <f t="shared" ca="1" si="11"/>
        <v>5.3908618331053345E-4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input_392010!A$2</f>
        <v>392010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IFERROR(VLOOKUP(B223,input_392010!L:R,7,FALSE),VLOOKUP(tables_392010!C223,input_392010!A:H,8,FALSE))</f>
        <v>45220</v>
      </c>
      <c r="P223" s="46">
        <f t="shared" ca="1" si="11"/>
        <v>6.1860465116279071E-4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input_392010!A$2</f>
        <v>392010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IFERROR(VLOOKUP(B224,input_392010!L:R,7,FALSE),VLOOKUP(tables_392010!C224,input_392010!A:H,8,FALSE))</f>
        <v>2380</v>
      </c>
      <c r="P224" s="46">
        <f t="shared" ca="1" si="11"/>
        <v>3.2558139534883718E-5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input_392010!A$2</f>
        <v>392010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IFERROR(VLOOKUP(B225,input_392010!L:R,7,FALSE),VLOOKUP(tables_392010!C225,input_392010!A:H,8,FALSE))</f>
        <v>391300</v>
      </c>
      <c r="P225" s="46">
        <f t="shared" ca="1" si="11"/>
        <v>5.3529411764705881E-3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input_392010!A$2</f>
        <v>392010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IFERROR(VLOOKUP(B226,input_392010!L:R,7,FALSE),VLOOKUP(tables_392010!C226,input_392010!A:H,8,FALSE))</f>
        <v>336240.8</v>
      </c>
      <c r="P226" s="46">
        <f t="shared" ca="1" si="11"/>
        <v>4.5997373461012315E-3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input_392010!A$2</f>
        <v>392010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IFERROR(VLOOKUP(B227,input_392010!L:R,7,FALSE),VLOOKUP(tables_392010!C227,input_392010!A:H,8,FALSE))</f>
        <v>39407.199999999997</v>
      </c>
      <c r="P227" s="46">
        <f t="shared" ca="1" si="11"/>
        <v>5.3908618331053345E-4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input_392010!A$2</f>
        <v>392010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IFERROR(VLOOKUP(B228,input_392010!L:R,7,FALSE),VLOOKUP(tables_392010!C228,input_392010!A:H,8,FALSE))</f>
        <v>391300</v>
      </c>
      <c r="P228" s="46">
        <f t="shared" ca="1" si="11"/>
        <v>5.3529411764705881E-3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input_392010!A$2</f>
        <v>392010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IFERROR(VLOOKUP(B229,input_392010!L:R,7,FALSE),VLOOKUP(tables_392010!C229,input_392010!A:H,8,FALSE))</f>
        <v>336240.8</v>
      </c>
      <c r="P229" s="46">
        <f t="shared" ca="1" si="11"/>
        <v>4.5997373461012315E-3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input_392010!A$2</f>
        <v>392010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IFERROR(VLOOKUP(B230,input_392010!L:R,7,FALSE),VLOOKUP(tables_392010!C230,input_392010!A:H,8,FALSE))</f>
        <v>39407.199999999997</v>
      </c>
      <c r="P230" s="46">
        <f t="shared" ca="1" si="11"/>
        <v>5.3908618331053345E-4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input_392010!A$2</f>
        <v>392010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IFERROR(VLOOKUP(B231,input_392010!L:R,7,FALSE),VLOOKUP(tables_392010!C231,input_392010!A:H,8,FALSE))</f>
        <v>45220</v>
      </c>
      <c r="P231" s="46">
        <f t="shared" ca="1" si="11"/>
        <v>6.1860465116279071E-4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input_392010!A$2</f>
        <v>392010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IFERROR(VLOOKUP(B232,input_392010!L:R,7,FALSE),VLOOKUP(tables_392010!C232,input_392010!A:H,8,FALSE))</f>
        <v>2380</v>
      </c>
      <c r="P232" s="46">
        <f t="shared" ca="1" si="11"/>
        <v>3.2558139534883718E-5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input_392010!A$2</f>
        <v>392010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IFERROR(VLOOKUP(B233,input_392010!L:R,7,FALSE),VLOOKUP(tables_392010!C233,input_392010!A:H,8,FALSE))</f>
        <v>391300</v>
      </c>
      <c r="P233" s="46">
        <f t="shared" ca="1" si="11"/>
        <v>5.3529411764705881E-3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input_392010!A$2</f>
        <v>392010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IFERROR(VLOOKUP(B234,input_392010!L:R,7,FALSE),VLOOKUP(tables_392010!C234,input_392010!A:H,8,FALSE))</f>
        <v>336240.8</v>
      </c>
      <c r="P234" s="46">
        <f t="shared" ca="1" si="11"/>
        <v>4.5997373461012315E-3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input_392010!A$2</f>
        <v>392010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IFERROR(VLOOKUP(B235,input_392010!L:R,7,FALSE),VLOOKUP(tables_392010!C235,input_392010!A:H,8,FALSE))</f>
        <v>39407.199999999997</v>
      </c>
      <c r="P235" s="46">
        <f t="shared" ca="1" si="11"/>
        <v>5.3908618331053345E-4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input_392010!A$2</f>
        <v>392010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IFERROR(VLOOKUP(B236,input_392010!L:R,7,FALSE),VLOOKUP(tables_392010!C236,input_392010!A:H,8,FALSE))</f>
        <v>45220</v>
      </c>
      <c r="P236" s="46">
        <f t="shared" ca="1" si="11"/>
        <v>6.1860465116279071E-4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input_392010!A$2</f>
        <v>392010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IFERROR(VLOOKUP(B237,input_392010!L:R,7,FALSE),VLOOKUP(tables_392010!C237,input_392010!A:H,8,FALSE))</f>
        <v>2380</v>
      </c>
      <c r="P237" s="46">
        <f t="shared" ca="1" si="11"/>
        <v>3.2558139534883718E-5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input_392010!A$2</f>
        <v>392010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IFERROR(VLOOKUP(B238,input_392010!L:R,7,FALSE),VLOOKUP(tables_392010!C238,input_392010!A:H,8,FALSE))</f>
        <v>45220</v>
      </c>
      <c r="P238" s="46">
        <f t="shared" ca="1" si="11"/>
        <v>6.1860465116279071E-4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input_392010!A$2</f>
        <v>392010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IFERROR(VLOOKUP(B239,input_392010!L:R,7,FALSE),VLOOKUP(tables_392010!C239,input_392010!A:H,8,FALSE))</f>
        <v>2380</v>
      </c>
      <c r="P239" s="46">
        <f t="shared" ca="1" si="11"/>
        <v>3.2558139534883718E-5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input_392010!A$2</f>
        <v>392010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IFERROR(VLOOKUP(B240,input_392010!L:R,7,FALSE),VLOOKUP(tables_392010!C240,input_392010!A:H,8,FALSE))</f>
        <v>391300</v>
      </c>
      <c r="P240" s="46">
        <f t="shared" ca="1" si="11"/>
        <v>5.3529411764705881E-3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input_392010!A$2</f>
        <v>392010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IFERROR(VLOOKUP(B241,input_392010!L:R,7,FALSE),VLOOKUP(tables_392010!C241,input_392010!A:H,8,FALSE))</f>
        <v>336240.8</v>
      </c>
      <c r="P241" s="46">
        <f t="shared" ca="1" si="11"/>
        <v>4.5997373461012315E-3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input_392010!A$2</f>
        <v>392010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IFERROR(VLOOKUP(B242,input_392010!L:R,7,FALSE),VLOOKUP(tables_392010!C242,input_392010!A:H,8,FALSE))</f>
        <v>39407.199999999997</v>
      </c>
      <c r="P242" s="46">
        <f t="shared" ca="1" si="11"/>
        <v>5.3908618331053345E-4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input_392010!A$2</f>
        <v>392010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IFERROR(VLOOKUP(B243,input_392010!L:R,7,FALSE),VLOOKUP(tables_392010!C243,input_392010!A:H,8,FALSE))</f>
        <v>391300</v>
      </c>
      <c r="P243" s="46">
        <f t="shared" ca="1" si="11"/>
        <v>5.3529411764705881E-3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input_392010!A$2</f>
        <v>392010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IFERROR(VLOOKUP(B244,input_392010!L:R,7,FALSE),VLOOKUP(tables_392010!C244,input_392010!A:H,8,FALSE))</f>
        <v>336240.8</v>
      </c>
      <c r="P244" s="46">
        <f t="shared" ca="1" si="11"/>
        <v>4.5997373461012315E-3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input_392010!A$2</f>
        <v>392010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IFERROR(VLOOKUP(B245,input_392010!L:R,7,FALSE),VLOOKUP(tables_392010!C245,input_392010!A:H,8,FALSE))</f>
        <v>39407.199999999997</v>
      </c>
      <c r="P245" s="46">
        <f t="shared" ca="1" si="11"/>
        <v>5.3908618331053345E-4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input_392010!A$2</f>
        <v>392010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IFERROR(VLOOKUP(B246,input_392010!L:R,7,FALSE),VLOOKUP(tables_392010!C246,input_392010!A:H,8,FALSE))</f>
        <v>391300</v>
      </c>
      <c r="P246" s="46">
        <f t="shared" ca="1" si="11"/>
        <v>5.3529411764705881E-3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input_392010!A$2</f>
        <v>392010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IFERROR(VLOOKUP(B247,input_392010!L:R,7,FALSE),VLOOKUP(tables_392010!C247,input_392010!A:H,8,FALSE))</f>
        <v>336240.8</v>
      </c>
      <c r="P247" s="46">
        <f t="shared" ca="1" si="11"/>
        <v>4.5997373461012315E-3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input_392010!A$2</f>
        <v>392010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IFERROR(VLOOKUP(B248,input_392010!L:R,7,FALSE),VLOOKUP(tables_392010!C248,input_392010!A:H,8,FALSE))</f>
        <v>39407.199999999997</v>
      </c>
      <c r="P248" s="46">
        <f t="shared" ca="1" si="11"/>
        <v>5.3908618331053345E-4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input_392010!A$2</f>
        <v>392010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IFERROR(VLOOKUP(B249,input_392010!L:R,7,FALSE),VLOOKUP(tables_392010!C249,input_392010!A:H,8,FALSE))</f>
        <v>391300</v>
      </c>
      <c r="P249" s="46">
        <f t="shared" ca="1" si="11"/>
        <v>5.3529411764705881E-3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input_392010!A$2</f>
        <v>392010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IFERROR(VLOOKUP(B250,input_392010!L:R,7,FALSE),VLOOKUP(tables_392010!C250,input_392010!A:H,8,FALSE))</f>
        <v>336240.8</v>
      </c>
      <c r="P250" s="46">
        <f t="shared" ca="1" si="11"/>
        <v>4.5997373461012315E-3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input_392010!A$2</f>
        <v>392010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IFERROR(VLOOKUP(B251,input_392010!L:R,7,FALSE),VLOOKUP(tables_392010!C251,input_392010!A:H,8,FALSE))</f>
        <v>39407.199999999997</v>
      </c>
      <c r="P251" s="46">
        <f t="shared" ca="1" si="11"/>
        <v>5.3908618331053345E-4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input_392010!A$2</f>
        <v>392010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IFERROR(VLOOKUP(B252,input_392010!L:R,7,FALSE),VLOOKUP(tables_392010!C252,input_392010!A:H,8,FALSE))</f>
        <v>45220</v>
      </c>
      <c r="P252" s="46">
        <f t="shared" ca="1" si="11"/>
        <v>6.1860465116279071E-4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input_392010!A$2</f>
        <v>392010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IFERROR(VLOOKUP(B253,input_392010!L:R,7,FALSE),VLOOKUP(tables_392010!C253,input_392010!A:H,8,FALSE))</f>
        <v>2380</v>
      </c>
      <c r="P253" s="46">
        <f t="shared" ca="1" si="11"/>
        <v>3.2558139534883718E-5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input_392010!A$2</f>
        <v>392010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IFERROR(VLOOKUP(B254,input_392010!L:R,7,FALSE),VLOOKUP(tables_392010!C254,input_392010!A:H,8,FALSE))</f>
        <v>45220</v>
      </c>
      <c r="P254" s="46">
        <f t="shared" ca="1" si="11"/>
        <v>6.1860465116279071E-4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input_392010!A$2</f>
        <v>392010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IFERROR(VLOOKUP(B255,input_392010!L:R,7,FALSE),VLOOKUP(tables_392010!C255,input_392010!A:H,8,FALSE))</f>
        <v>2380</v>
      </c>
      <c r="P255" s="46">
        <f t="shared" ca="1" si="11"/>
        <v>3.2558139534883718E-5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input_392010!A$2</f>
        <v>392010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IFERROR(VLOOKUP(B256,input_392010!L:R,7,FALSE),VLOOKUP(tables_392010!C256,input_392010!A:H,8,FALSE))</f>
        <v>743470</v>
      </c>
      <c r="P256" s="46">
        <f t="shared" ca="1" si="11"/>
        <v>1.0170588235294117E-2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input_392010!A$2</f>
        <v>392010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IFERROR(VLOOKUP(B257,input_392010!L:R,7,FALSE),VLOOKUP(tables_392010!C257,input_392010!A:H,8,FALSE))</f>
        <v>39130</v>
      </c>
      <c r="P257" s="46">
        <f t="shared" ca="1" si="11"/>
        <v>5.3529411764705883E-4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input_392010!A$2</f>
        <v>392010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IFERROR(VLOOKUP(B258,input_392010!L:R,7,FALSE),VLOOKUP(tables_392010!C258,input_392010!A:H,8,FALSE))</f>
        <v>743470</v>
      </c>
      <c r="P258" s="46">
        <f t="shared" ref="P258:P294" ca="1" si="14">O258/SUM(O:O)</f>
        <v>1.0170588235294117E-2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input_392010!A$2</f>
        <v>392010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IFERROR(VLOOKUP(B259,input_392010!L:R,7,FALSE),VLOOKUP(tables_392010!C259,input_392010!A:H,8,FALSE))</f>
        <v>39130</v>
      </c>
      <c r="P259" s="46">
        <f t="shared" ca="1" si="14"/>
        <v>5.3529411764705883E-4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input_392010!A$2</f>
        <v>392010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IFERROR(VLOOKUP(B260,input_392010!L:R,7,FALSE),VLOOKUP(tables_392010!C260,input_392010!A:H,8,FALSE))</f>
        <v>47600</v>
      </c>
      <c r="P260" s="46">
        <f t="shared" ca="1" si="14"/>
        <v>6.5116279069767438E-4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input_392010!A$2</f>
        <v>392010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IFERROR(VLOOKUP(B261,input_392010!L:R,7,FALSE),VLOOKUP(tables_392010!C261,input_392010!A:H,8,FALSE))</f>
        <v>47600</v>
      </c>
      <c r="P261" s="46">
        <f t="shared" ca="1" si="14"/>
        <v>6.5116279069767438E-4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input_392010!A$2</f>
        <v>392010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IFERROR(VLOOKUP(B262,input_392010!L:R,7,FALSE),VLOOKUP(tables_392010!C262,input_392010!A:H,8,FALSE))</f>
        <v>45220</v>
      </c>
      <c r="P262" s="46">
        <f t="shared" ca="1" si="14"/>
        <v>6.1860465116279071E-4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input_392010!A$2</f>
        <v>392010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IFERROR(VLOOKUP(B263,input_392010!L:R,7,FALSE),VLOOKUP(tables_392010!C263,input_392010!A:H,8,FALSE))</f>
        <v>2380</v>
      </c>
      <c r="P263" s="46">
        <f t="shared" ca="1" si="14"/>
        <v>3.2558139534883718E-5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input_392010!A$2</f>
        <v>392010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IFERROR(VLOOKUP(B264,input_392010!L:R,7,FALSE),VLOOKUP(tables_392010!C264,input_392010!A:H,8,FALSE))</f>
        <v>45220</v>
      </c>
      <c r="P264" s="46">
        <f t="shared" ca="1" si="14"/>
        <v>6.1860465116279071E-4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input_392010!A$2</f>
        <v>392010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IFERROR(VLOOKUP(B265,input_392010!L:R,7,FALSE),VLOOKUP(tables_392010!C265,input_392010!A:H,8,FALSE))</f>
        <v>2380</v>
      </c>
      <c r="P265" s="46">
        <f t="shared" ca="1" si="14"/>
        <v>3.2558139534883718E-5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input_392010!A$2</f>
        <v>392010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IFERROR(VLOOKUP(B266,input_392010!L:R,7,FALSE),VLOOKUP(tables_392010!C266,input_392010!A:H,8,FALSE))</f>
        <v>391300</v>
      </c>
      <c r="P266" s="46">
        <f t="shared" ca="1" si="14"/>
        <v>5.3529411764705881E-3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input_392010!A$2</f>
        <v>392010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IFERROR(VLOOKUP(B267,input_392010!L:R,7,FALSE),VLOOKUP(tables_392010!C267,input_392010!A:H,8,FALSE))</f>
        <v>336240.8</v>
      </c>
      <c r="P267" s="46">
        <f t="shared" ca="1" si="14"/>
        <v>4.5997373461012315E-3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input_392010!A$2</f>
        <v>392010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IFERROR(VLOOKUP(B268,input_392010!L:R,7,FALSE),VLOOKUP(tables_392010!C268,input_392010!A:H,8,FALSE))</f>
        <v>39407.199999999997</v>
      </c>
      <c r="P268" s="46">
        <f t="shared" ca="1" si="14"/>
        <v>5.3908618331053345E-4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input_392010!A$2</f>
        <v>392010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IFERROR(VLOOKUP(B269,input_392010!L:R,7,FALSE),VLOOKUP(tables_392010!C269,input_392010!A:H,8,FALSE))</f>
        <v>391300</v>
      </c>
      <c r="P269" s="46">
        <f t="shared" ca="1" si="14"/>
        <v>5.3529411764705881E-3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input_392010!A$2</f>
        <v>392010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IFERROR(VLOOKUP(B270,input_392010!L:R,7,FALSE),VLOOKUP(tables_392010!C270,input_392010!A:H,8,FALSE))</f>
        <v>336240.8</v>
      </c>
      <c r="P270" s="46">
        <f t="shared" ca="1" si="14"/>
        <v>4.5997373461012315E-3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input_392010!A$2</f>
        <v>392010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IFERROR(VLOOKUP(B271,input_392010!L:R,7,FALSE),VLOOKUP(tables_392010!C271,input_392010!A:H,8,FALSE))</f>
        <v>39407.199999999997</v>
      </c>
      <c r="P271" s="46">
        <f t="shared" ca="1" si="14"/>
        <v>5.3908618331053345E-4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input_392010!A$2</f>
        <v>392010</v>
      </c>
      <c r="B272" s="81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IFERROR(VLOOKUP(B272,input_392010!L:R,7,FALSE),VLOOKUP(tables_392010!C272,input_392010!A:H,8,FALSE))</f>
        <v>47600</v>
      </c>
      <c r="P272" s="46">
        <f t="shared" ca="1" si="14"/>
        <v>6.5116279069767438E-4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input_392010!A$2</f>
        <v>392010</v>
      </c>
      <c r="B273" s="81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IFERROR(VLOOKUP(B273,input_392010!L:R,7,FALSE),VLOOKUP(tables_392010!C273,input_392010!A:H,8,FALSE))</f>
        <v>47600</v>
      </c>
      <c r="P273" s="46">
        <f t="shared" ca="1" si="14"/>
        <v>6.5116279069767438E-4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input_392010!A$2</f>
        <v>392010</v>
      </c>
      <c r="B274" s="81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IFERROR(VLOOKUP(B274,input_392010!L:R,7,FALSE),VLOOKUP(tables_392010!C274,input_392010!A:H,8,FALSE))</f>
        <v>743470</v>
      </c>
      <c r="P274" s="46">
        <f t="shared" ca="1" si="14"/>
        <v>1.0170588235294117E-2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input_392010!A$2</f>
        <v>392010</v>
      </c>
      <c r="B275" s="81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IFERROR(VLOOKUP(B275,input_392010!L:R,7,FALSE),VLOOKUP(tables_392010!C275,input_392010!A:H,8,FALSE))</f>
        <v>39130</v>
      </c>
      <c r="P275" s="46">
        <f t="shared" ca="1" si="14"/>
        <v>5.3529411764705883E-4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input_392010!A$2</f>
        <v>392010</v>
      </c>
      <c r="B276" s="81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IFERROR(VLOOKUP(B276,input_392010!L:R,7,FALSE),VLOOKUP(tables_392010!C276,input_392010!A:H,8,FALSE))</f>
        <v>743470</v>
      </c>
      <c r="P276" s="46">
        <f t="shared" ca="1" si="14"/>
        <v>1.0170588235294117E-2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input_392010!A$2</f>
        <v>392010</v>
      </c>
      <c r="B277" s="81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IFERROR(VLOOKUP(B277,input_392010!L:R,7,FALSE),VLOOKUP(tables_392010!C277,input_392010!A:H,8,FALSE))</f>
        <v>39130</v>
      </c>
      <c r="P277" s="46">
        <f t="shared" ca="1" si="14"/>
        <v>5.3529411764705883E-4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input_392010!A$2</f>
        <v>392010</v>
      </c>
      <c r="B278" s="81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IFERROR(VLOOKUP(B278,input_392010!L:R,7,FALSE),VLOOKUP(tables_392010!C278,input_392010!A:H,8,FALSE))</f>
        <v>743470</v>
      </c>
      <c r="P278" s="46">
        <f t="shared" ca="1" si="14"/>
        <v>1.0170588235294117E-2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input_392010!A$2</f>
        <v>392010</v>
      </c>
      <c r="B279" s="81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IFERROR(VLOOKUP(B279,input_392010!L:R,7,FALSE),VLOOKUP(tables_392010!C279,input_392010!A:H,8,FALSE))</f>
        <v>39130</v>
      </c>
      <c r="P279" s="46">
        <f t="shared" ca="1" si="14"/>
        <v>5.3529411764705883E-4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input_392010!A$2</f>
        <v>392010</v>
      </c>
      <c r="B280" s="81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IFERROR(VLOOKUP(B280,input_392010!L:R,7,FALSE),VLOOKUP(tables_392010!C280,input_392010!A:H,8,FALSE))</f>
        <v>743470</v>
      </c>
      <c r="P280" s="46">
        <f t="shared" ca="1" si="14"/>
        <v>1.0170588235294117E-2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input_392010!A$2</f>
        <v>392010</v>
      </c>
      <c r="B281" s="81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IFERROR(VLOOKUP(B281,input_392010!L:R,7,FALSE),VLOOKUP(tables_392010!C281,input_392010!A:H,8,FALSE))</f>
        <v>39130</v>
      </c>
      <c r="P281" s="46">
        <f t="shared" ca="1" si="14"/>
        <v>5.3529411764705883E-4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input_392010!A$2</f>
        <v>392010</v>
      </c>
      <c r="B282" s="81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IFERROR(VLOOKUP(B282,input_392010!L:R,7,FALSE),VLOOKUP(tables_392010!C282,input_392010!A:H,8,FALSE))</f>
        <v>47600</v>
      </c>
      <c r="P282" s="46">
        <f t="shared" ca="1" si="14"/>
        <v>6.5116279069767438E-4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input_392010!A$2</f>
        <v>392010</v>
      </c>
      <c r="B283" s="81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IFERROR(VLOOKUP(B283,input_392010!L:R,7,FALSE),VLOOKUP(tables_392010!C283,input_392010!A:H,8,FALSE))</f>
        <v>47600</v>
      </c>
      <c r="P283" s="46">
        <f t="shared" ca="1" si="14"/>
        <v>6.5116279069767438E-4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input_392010!A$2</f>
        <v>392010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IFERROR(VLOOKUP(B284,input_392010!L:R,7,FALSE),VLOOKUP(tables_392010!C284,input_392010!A:H,8,FALSE))</f>
        <v>47600</v>
      </c>
      <c r="P284" s="46">
        <f t="shared" ca="1" si="14"/>
        <v>6.5116279069767438E-4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input_392010!A$2</f>
        <v>392010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IFERROR(VLOOKUP(B285,input_392010!L:R,7,FALSE),VLOOKUP(tables_392010!C285,input_392010!A:H,8,FALSE))</f>
        <v>47600</v>
      </c>
      <c r="P285" s="46">
        <f t="shared" ca="1" si="14"/>
        <v>6.5116279069767438E-4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input_392010!A$2</f>
        <v>392010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IFERROR(VLOOKUP(B286,input_392010!L:R,7,FALSE),VLOOKUP(tables_392010!C286,input_392010!A:H,8,FALSE))</f>
        <v>743470</v>
      </c>
      <c r="P286" s="46">
        <f t="shared" ca="1" si="14"/>
        <v>1.0170588235294117E-2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input_392010!A$2</f>
        <v>392010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IFERROR(VLOOKUP(B287,input_392010!L:R,7,FALSE),VLOOKUP(tables_392010!C287,input_392010!A:H,8,FALSE))</f>
        <v>39130</v>
      </c>
      <c r="P287" s="46">
        <f t="shared" ca="1" si="14"/>
        <v>5.3529411764705883E-4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input_392010!A$2</f>
        <v>392010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IFERROR(VLOOKUP(B288,input_392010!L:R,7,FALSE),VLOOKUP(tables_392010!C288,input_392010!A:H,8,FALSE))</f>
        <v>743470</v>
      </c>
      <c r="P288" s="46">
        <f t="shared" ca="1" si="14"/>
        <v>1.0170588235294117E-2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input_392010!A$2</f>
        <v>392010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IFERROR(VLOOKUP(B289,input_392010!L:R,7,FALSE),VLOOKUP(tables_392010!C289,input_392010!A:H,8,FALSE))</f>
        <v>39130</v>
      </c>
      <c r="P289" s="46">
        <f t="shared" ca="1" si="14"/>
        <v>5.3529411764705883E-4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input_392010!A$2</f>
        <v>392010</v>
      </c>
      <c r="B290" s="5">
        <v>937</v>
      </c>
      <c r="C290" s="7" t="str">
        <f t="shared" ref="C290:C294" si="17">D290&amp;J290&amp;E290&amp;F290&amp;G290</f>
        <v>PremiumSS5R5only</v>
      </c>
      <c r="D290" s="7" t="str">
        <f t="shared" ref="D290:D294" si="18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IFERROR(VLOOKUP(B290,input_392010!L:R,7,FALSE),VLOOKUP(tables_392010!C290,input_392010!A:H,8,FALSE))</f>
        <v>47600</v>
      </c>
      <c r="P290" s="46">
        <f t="shared" ca="1" si="14"/>
        <v>6.5116279069767438E-4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input_392010!A$2</f>
        <v>392010</v>
      </c>
      <c r="B291" s="5">
        <v>939</v>
      </c>
      <c r="C291" s="7" t="str">
        <f t="shared" si="17"/>
        <v>Premium4R3less</v>
      </c>
      <c r="D291" s="7" t="str">
        <f t="shared" si="18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IFERROR(VLOOKUP(B291,input_392010!L:R,7,FALSE),VLOOKUP(tables_392010!C291,input_392010!A:H,8,FALSE))</f>
        <v>743470</v>
      </c>
      <c r="P291" s="46">
        <f t="shared" ca="1" si="14"/>
        <v>1.0170588235294117E-2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input_392010!A$2</f>
        <v>392010</v>
      </c>
      <c r="B292" s="5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IFERROR(VLOOKUP(B292,input_392010!L:R,7,FALSE),VLOOKUP(tables_392010!C292,input_392010!A:H,8,FALSE))</f>
        <v>39130</v>
      </c>
      <c r="P292" s="46">
        <f t="shared" ca="1" si="14"/>
        <v>5.3529411764705883E-4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input_392010!A$2</f>
        <v>392010</v>
      </c>
      <c r="B293" s="5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IFERROR(VLOOKUP(B293,input_392010!L:R,7,FALSE),VLOOKUP(tables_392010!C293,input_392010!A:H,8,FALSE))</f>
        <v>47600</v>
      </c>
      <c r="P293" s="46">
        <f t="shared" ca="1" si="14"/>
        <v>6.5116279069767438E-4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input_392010!A$2</f>
        <v>392010</v>
      </c>
      <c r="B294" s="5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IFERROR(VLOOKUP(B294,input_392010!L:R,7,FALSE),VLOOKUP(tables_392010!C294,input_392010!A:H,8,FALSE))</f>
        <v>47600</v>
      </c>
      <c r="P294" s="46">
        <f t="shared" ca="1" si="14"/>
        <v>6.5116279069767438E-4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input_392010!A$2</f>
        <v>392010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ref="D295:D299" si="20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IFERROR(VLOOKUP(B295,input_392010!L:R,7,FALSE),VLOOKUP(tables_392010!C295,input_392010!A:H,8,FALSE))</f>
        <v>47600</v>
      </c>
      <c r="P295" s="46">
        <f t="shared" ref="P295:P299" ca="1" si="21">O295/SUM(O:O)</f>
        <v>6.5116279069767438E-4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input_392010!A$2</f>
        <v>392010</v>
      </c>
      <c r="B296" s="5">
        <v>1014</v>
      </c>
      <c r="C296" s="7" t="str">
        <f t="shared" si="19"/>
        <v>PremiumSS5R5only</v>
      </c>
      <c r="D296" s="7" t="str">
        <f t="shared" si="20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IFERROR(VLOOKUP(B296,input_392010!L:R,7,FALSE),VLOOKUP(tables_392010!C296,input_392010!A:H,8,FALSE))</f>
        <v>47600</v>
      </c>
      <c r="P296" s="46">
        <f t="shared" ca="1" si="21"/>
        <v>6.5116279069767438E-4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input_392010!A$2</f>
        <v>392010</v>
      </c>
      <c r="B297" s="5">
        <v>1016</v>
      </c>
      <c r="C297" s="7" t="str">
        <f t="shared" si="19"/>
        <v>Premium4R3less</v>
      </c>
      <c r="D297" s="7" t="str">
        <f t="shared" si="20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IFERROR(VLOOKUP(B297,input_392010!L:R,7,FALSE),VLOOKUP(tables_392010!C297,input_392010!A:H,8,FALSE))</f>
        <v>743470</v>
      </c>
      <c r="P297" s="46">
        <f t="shared" ca="1" si="21"/>
        <v>1.0170588235294117E-2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input_392010!A$2</f>
        <v>392010</v>
      </c>
      <c r="B298" s="5">
        <v>1017</v>
      </c>
      <c r="C298" s="7" t="str">
        <f t="shared" si="19"/>
        <v>Premium5R3less</v>
      </c>
      <c r="D298" s="7" t="str">
        <f t="shared" si="20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IFERROR(VLOOKUP(B298,input_392010!L:R,7,FALSE),VLOOKUP(tables_392010!C298,input_392010!A:H,8,FALSE))</f>
        <v>39130</v>
      </c>
      <c r="P298" s="46">
        <f t="shared" ca="1" si="21"/>
        <v>5.3529411764705883E-4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input_392010!A$2</f>
        <v>392010</v>
      </c>
      <c r="B299" s="5">
        <v>1018</v>
      </c>
      <c r="C299" s="7" t="str">
        <f t="shared" si="19"/>
        <v>PremiumSS5R5only</v>
      </c>
      <c r="D299" s="7" t="str">
        <f t="shared" si="20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IFERROR(VLOOKUP(B299,input_392010!L:R,7,FALSE),VLOOKUP(tables_392010!C299,input_392010!A:H,8,FALSE))</f>
        <v>47600</v>
      </c>
      <c r="P299" s="46">
        <f t="shared" ca="1" si="21"/>
        <v>6.5116279069767438E-4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input_392010!A$2</f>
        <v>392010</v>
      </c>
      <c r="B300" s="5">
        <v>1026</v>
      </c>
      <c r="C300" s="7" t="str">
        <f t="shared" ref="C300:C304" si="22">D300&amp;J300&amp;E300&amp;F300&amp;G300</f>
        <v>Premium4R3less</v>
      </c>
      <c r="D300" s="7" t="str">
        <f t="shared" ref="D300:D304" si="23">IF(I300="PremiumSS",I300,IF(I300="PremiumSSS",I300,IF(I300="PremiumW",I300,"Premium")))</f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IFERROR(VLOOKUP(B300,input_392010!L:R,7,FALSE),VLOOKUP(tables_392010!C300,input_392010!A:H,8,FALSE))</f>
        <v>743470</v>
      </c>
      <c r="P300" s="46">
        <f t="shared" ref="P300:P304" ca="1" si="24">O300/SUM(O:O)</f>
        <v>1.0170588235294117E-2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input_392010!A$2</f>
        <v>392010</v>
      </c>
      <c r="B301" s="5">
        <v>1027</v>
      </c>
      <c r="C301" s="7" t="str">
        <f t="shared" si="22"/>
        <v>Premium5R3less</v>
      </c>
      <c r="D301" s="7" t="str">
        <f t="shared" si="23"/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IFERROR(VLOOKUP(B301,input_392010!L:R,7,FALSE),VLOOKUP(tables_392010!C301,input_392010!A:H,8,FALSE))</f>
        <v>39130</v>
      </c>
      <c r="P301" s="46">
        <f t="shared" ca="1" si="24"/>
        <v>5.3529411764705883E-4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input_392010!A$2</f>
        <v>392010</v>
      </c>
      <c r="B302" s="5">
        <v>1028</v>
      </c>
      <c r="C302" s="7" t="str">
        <f t="shared" si="22"/>
        <v>PremiumSS5R5only</v>
      </c>
      <c r="D302" s="7" t="str">
        <f t="shared" si="23"/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IFERROR(VLOOKUP(B302,input_392010!L:R,7,FALSE),VLOOKUP(tables_392010!C302,input_392010!A:H,8,FALSE))</f>
        <v>47600</v>
      </c>
      <c r="P302" s="46">
        <f t="shared" ca="1" si="24"/>
        <v>6.5116279069767438E-4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input_392010!A$2</f>
        <v>392010</v>
      </c>
      <c r="B303" s="5">
        <v>1031</v>
      </c>
      <c r="C303" s="7" t="str">
        <f t="shared" si="22"/>
        <v>PremiumSS5R5only</v>
      </c>
      <c r="D303" s="7" t="str">
        <f t="shared" si="23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IFERROR(VLOOKUP(B303,input_392010!L:R,7,FALSE),VLOOKUP(tables_392010!C303,input_392010!A:H,8,FALSE))</f>
        <v>47600</v>
      </c>
      <c r="P303" s="46">
        <f t="shared" ca="1" si="24"/>
        <v>6.5116279069767438E-4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input_392010!A$2</f>
        <v>392010</v>
      </c>
      <c r="B304" s="5">
        <v>1033</v>
      </c>
      <c r="C304" s="7" t="str">
        <f t="shared" si="22"/>
        <v>PremiumSS5R5only</v>
      </c>
      <c r="D304" s="7" t="str">
        <f t="shared" si="23"/>
        <v>PremiumSS</v>
      </c>
      <c r="E304" s="7" t="str">
        <f>IF(COUNTIF('R6追加前'!A:A,B304)=0,IF(I304="PremiumSS","R5only","R3less"),"")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IFERROR(VLOOKUP(B304,input_392010!L:R,7,FALSE),VLOOKUP(tables_392010!C304,input_392010!A:H,8,FALSE))</f>
        <v>47600</v>
      </c>
      <c r="P304" s="46">
        <f t="shared" ca="1" si="24"/>
        <v>6.5116279069767438E-4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abSelected="1" workbookViewId="0">
      <selection activeCell="B22" sqref="B2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463</v>
      </c>
      <c r="M3" s="37" t="str">
        <f>VLOOKUP(L3,[1]characters!$A:$C,3,FALSE)</f>
        <v>燻銀 ガウェイン</v>
      </c>
      <c r="N3" s="63">
        <v>1.9E-2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VLOOKUP(L3,tables_392100!B:C,2,FALSE)</f>
        <v>Premium4</v>
      </c>
      <c r="R3" s="62">
        <f t="shared" ref="R3:R20" si="1">N3*A$36</f>
        <v>1388900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464</v>
      </c>
      <c r="M4" s="37" t="str">
        <f>VLOOKUP(L4,[1]characters!$A:$C,3,FALSE)</f>
        <v>円熟の弾導 ガウェイン</v>
      </c>
      <c r="N4" s="63">
        <v>1E-3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VLOOKUP(L4,tables_392100!B:C,2,FALSE)</f>
        <v>Premium5</v>
      </c>
      <c r="R4" s="62">
        <f t="shared" si="1"/>
        <v>73100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6.5116279069767449E-4</v>
      </c>
      <c r="F5">
        <f>(COUNTIF(tables_392100!C:C,input_392100!A28)+COUNTIF(tables_392100!C:C,input_392100!A29))</f>
        <v>45</v>
      </c>
      <c r="G5">
        <f>E5*F5</f>
        <v>2.9302325581395353E-2</v>
      </c>
      <c r="H5" s="84">
        <v>2.1999999999999999E-2</v>
      </c>
      <c r="I5" s="31">
        <v>2</v>
      </c>
      <c r="L5" s="60">
        <v>465</v>
      </c>
      <c r="M5" s="37" t="str">
        <f>VLOOKUP(L5,[1]characters!$A:$C,3,FALSE)</f>
        <v>真撃 ランスロット</v>
      </c>
      <c r="N5" s="63">
        <v>9.4999999999999998E-3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VLOOKUP(L5,tables_392100!B:C,2,FALSE)</f>
        <v>PremiumSS4</v>
      </c>
      <c r="R5" s="62">
        <f t="shared" si="1"/>
        <v>694450</v>
      </c>
      <c r="S5">
        <v>192</v>
      </c>
      <c r="U5" s="33" t="s">
        <v>98</v>
      </c>
      <c r="V5" s="54">
        <f t="shared" si="0"/>
        <v>3.7999999999999999E-2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1.0705882352941176E-2</v>
      </c>
      <c r="F6">
        <f>(COUNTIF(tables_392100!C:C,input_392100!A25)+COUNTIF(tables_392100!C:C,input_392100!A18)+COUNTIF(tables_392100!C:C,input_392100!A20)+COUNTIF(tables_392100!C:C,input_392100!A22))</f>
        <v>87</v>
      </c>
      <c r="G6">
        <f>E6*F6</f>
        <v>0.93141176470588238</v>
      </c>
      <c r="H6" s="89">
        <v>0.04</v>
      </c>
      <c r="I6" s="31">
        <v>2</v>
      </c>
      <c r="L6" s="94">
        <v>466</v>
      </c>
      <c r="M6" s="37" t="str">
        <f>VLOOKUP(L6,[1]characters!$A:$C,3,FALSE)</f>
        <v>真断の勇覇 ランスロット</v>
      </c>
      <c r="N6" s="63">
        <v>5.0000000000000001E-4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VLOOKUP(L6,tables_392100!B:C,2,FALSE)</f>
        <v>PremiumSS5</v>
      </c>
      <c r="R6" s="62">
        <f t="shared" si="1"/>
        <v>36550</v>
      </c>
      <c r="S6">
        <v>596</v>
      </c>
      <c r="U6" s="33" t="s">
        <v>99</v>
      </c>
      <c r="V6" s="54">
        <f t="shared" si="0"/>
        <v>2E-3</v>
      </c>
    </row>
    <row r="7" spans="1:22" x14ac:dyDescent="0.15">
      <c r="A7" s="33" t="s">
        <v>70</v>
      </c>
      <c r="B7" s="72">
        <v>0.05</v>
      </c>
      <c r="G7">
        <f>SUM(G5:G6)</f>
        <v>0.96071409028727772</v>
      </c>
      <c r="L7" s="60">
        <v>467</v>
      </c>
      <c r="M7" s="37" t="str">
        <f>VLOOKUP(L7,[1]characters!$A:$C,3,FALSE)</f>
        <v>報復 モルドレッド</v>
      </c>
      <c r="N7" s="63">
        <v>1.14E-2</v>
      </c>
      <c r="O7" s="37">
        <f>VLOOKUP(L7,[1]characters!$A:$I,9,FALSE)</f>
        <v>4</v>
      </c>
      <c r="P7" s="37" t="str">
        <f>VLOOKUP(L7,[1]characters!$A:$J,10,FALSE)</f>
        <v>PremiumSS</v>
      </c>
      <c r="Q7" s="37" t="str">
        <f>VLOOKUP(L7,tables_392100!B:C,2,FALSE)</f>
        <v>PremiumSS4</v>
      </c>
      <c r="R7" s="62">
        <f t="shared" si="1"/>
        <v>833340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G8" t="s">
        <v>254</v>
      </c>
      <c r="L8" s="60">
        <v>468</v>
      </c>
      <c r="M8" s="37" t="str">
        <f>VLOOKUP(L8,[1]characters!$A:$C,3,FALSE)</f>
        <v>憎愛の尖鋒 モルドレッド</v>
      </c>
      <c r="N8" s="63">
        <v>5.9999999999999995E-4</v>
      </c>
      <c r="O8" s="37">
        <f>VLOOKUP(L8,[1]characters!$A:$I,9,FALSE)</f>
        <v>5</v>
      </c>
      <c r="P8" s="37" t="str">
        <f>VLOOKUP(L8,[1]characters!$A:$J,10,FALSE)</f>
        <v>PremiumSS</v>
      </c>
      <c r="Q8" s="37" t="str">
        <f>VLOOKUP(L8,tables_392100!B:C,2,FALSE)</f>
        <v>PremiumSS5</v>
      </c>
      <c r="R8" s="62">
        <f t="shared" si="1"/>
        <v>43859.999999999993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>
        <v>470</v>
      </c>
      <c r="M9" s="37" t="str">
        <f>VLOOKUP(L9,[1]characters!$A:$C,3,FALSE)</f>
        <v>純心 トリスタン</v>
      </c>
      <c r="N9" s="63">
        <v>1.9E-2</v>
      </c>
      <c r="O9" s="37">
        <f>VLOOKUP(L9,[1]characters!$A:$I,9,FALSE)</f>
        <v>4</v>
      </c>
      <c r="P9" s="37" t="str">
        <f>VLOOKUP(L9,[1]characters!$A:$J,10,FALSE)</f>
        <v>PremiumS</v>
      </c>
      <c r="Q9" s="37" t="str">
        <f>VLOOKUP(L9,tables_392100!B:C,2,FALSE)</f>
        <v>Premium4</v>
      </c>
      <c r="R9" s="62">
        <f t="shared" si="1"/>
        <v>1388900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>
        <v>471</v>
      </c>
      <c r="M10" s="37" t="str">
        <f>VLOOKUP(L10,[1]characters!$A:$C,3,FALSE)</f>
        <v>不可避の爆激 トリスタン</v>
      </c>
      <c r="N10" s="63">
        <v>1E-3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VLOOKUP(L10,tables_392100!B:C,2,FALSE)</f>
        <v>Premium5</v>
      </c>
      <c r="R10" s="62">
        <f t="shared" si="1"/>
        <v>73100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2.0900000000000002E-2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1.0999999999999998E-3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B$5-B19-B24+E34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COUNTIF(tables_392100!C:C,input_392100!A17)-COUNTIF(Q:Q,A17)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0.21411764705882352</v>
      </c>
      <c r="C18" s="85">
        <f t="shared" si="2"/>
        <v>0</v>
      </c>
      <c r="D18" s="74">
        <f t="shared" si="3"/>
        <v>0.21411764705882352</v>
      </c>
      <c r="E18">
        <f>COUNTIF(tables_392100!C:C,input_392100!A18)-COUNTIF(Q:Q,A18)</f>
        <v>20</v>
      </c>
      <c r="F18" s="43">
        <f>IFERROR(B18/E18,0)</f>
        <v>1.0705882352941176E-2</v>
      </c>
      <c r="G18">
        <f t="shared" si="4"/>
        <v>15652000</v>
      </c>
      <c r="H18">
        <f t="shared" si="5"/>
        <v>782600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82">
        <f>E$6*E19*B$5</f>
        <v>0</v>
      </c>
      <c r="C19" s="85">
        <f t="shared" si="2"/>
        <v>0</v>
      </c>
      <c r="D19" s="74">
        <f t="shared" si="3"/>
        <v>0</v>
      </c>
      <c r="E19">
        <f>COUNTIF(tables_392100!C:C,input_392100!A19)-COUNTIF(Q:Q,A19)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</f>
        <v>0.5085294117647059</v>
      </c>
      <c r="C20" s="85">
        <f t="shared" si="2"/>
        <v>3.7999999999999999E-2</v>
      </c>
      <c r="D20" s="74">
        <f t="shared" si="3"/>
        <v>0.47052941176470592</v>
      </c>
      <c r="E20">
        <f>COUNTIF(tables_392100!C:C,input_392100!A20)-COUNTIF(Q:Q,A20)</f>
        <v>50</v>
      </c>
      <c r="F20" s="43">
        <f t="shared" si="8"/>
        <v>1.0170588235294119E-2</v>
      </c>
      <c r="G20">
        <f t="shared" si="4"/>
        <v>37173500</v>
      </c>
      <c r="H20">
        <f t="shared" si="5"/>
        <v>743470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B7-B23-B26-B28-B29-V6-V13</f>
        <v>2.6954309165526675E-2</v>
      </c>
      <c r="C21" s="85">
        <f t="shared" si="2"/>
        <v>2E-3</v>
      </c>
      <c r="D21" s="74">
        <f t="shared" si="3"/>
        <v>2.4954309165526677E-2</v>
      </c>
      <c r="E21">
        <f>COUNTIF(tables_392100!C:C,input_392100!A21)-COUNTIF(Q:Q,A21)</f>
        <v>50</v>
      </c>
      <c r="F21" s="43">
        <f t="shared" si="8"/>
        <v>5.3908618331053345E-4</v>
      </c>
      <c r="G21">
        <f t="shared" si="4"/>
        <v>1970360</v>
      </c>
      <c r="H21">
        <f t="shared" si="5"/>
        <v>39407.199999999997</v>
      </c>
      <c r="I21">
        <f t="shared" si="6"/>
        <v>0.19999999999708962</v>
      </c>
      <c r="J21">
        <f t="shared" si="7"/>
        <v>5.0000000000727596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0.11187647058823529</v>
      </c>
      <c r="C22" s="85">
        <f t="shared" si="2"/>
        <v>0</v>
      </c>
      <c r="D22" s="74">
        <f t="shared" si="3"/>
        <v>0.11187647058823529</v>
      </c>
      <c r="E22">
        <f>COUNTIF(tables_392100!C:C,input_392100!A22)-COUNTIF(Q:Q,A22)</f>
        <v>11</v>
      </c>
      <c r="F22" s="43">
        <f t="shared" si="8"/>
        <v>1.0170588235294117E-2</v>
      </c>
      <c r="G22">
        <f t="shared" si="4"/>
        <v>8178169.9999999991</v>
      </c>
      <c r="H22">
        <f t="shared" si="5"/>
        <v>743470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5.8882352941176472E-3</v>
      </c>
      <c r="C23" s="85">
        <f t="shared" si="2"/>
        <v>0</v>
      </c>
      <c r="D23" s="74">
        <f t="shared" si="3"/>
        <v>5.8882352941176472E-3</v>
      </c>
      <c r="E23">
        <f>COUNTIF(tables_392100!C:C,input_392100!A23)-COUNTIF(Q:Q,A23)</f>
        <v>11</v>
      </c>
      <c r="F23" s="43">
        <f t="shared" si="8"/>
        <v>5.3529411764705883E-4</v>
      </c>
      <c r="G23">
        <f t="shared" si="4"/>
        <v>430430</v>
      </c>
      <c r="H23">
        <f t="shared" si="5"/>
        <v>39130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COUNTIF(tables_392100!C:C,input_392100!A24)-COUNTIF(Q:Q,A24)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4.0682352941176468E-2</v>
      </c>
      <c r="C25" s="85">
        <f t="shared" si="2"/>
        <v>0</v>
      </c>
      <c r="D25" s="74">
        <f t="shared" si="3"/>
        <v>4.0682352941176468E-2</v>
      </c>
      <c r="E25">
        <f>COUNTIF(tables_392100!C:C,input_392100!A25)-COUNTIF(Q:Q,A25)</f>
        <v>4</v>
      </c>
      <c r="F25" s="43">
        <f t="shared" si="8"/>
        <v>1.0170588235294117E-2</v>
      </c>
      <c r="G25">
        <f t="shared" si="4"/>
        <v>2973880</v>
      </c>
      <c r="H25">
        <f t="shared" si="5"/>
        <v>743470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2.1411764705882353E-3</v>
      </c>
      <c r="C26" s="85">
        <f t="shared" si="2"/>
        <v>0</v>
      </c>
      <c r="D26" s="74">
        <f t="shared" si="3"/>
        <v>2.1411764705882353E-3</v>
      </c>
      <c r="E26">
        <f>COUNTIF(tables_392100!C:C,input_392100!A26)-COUNTIF(Q:Q,A26)</f>
        <v>4</v>
      </c>
      <c r="F26" s="43">
        <f t="shared" si="8"/>
        <v>5.3529411764705883E-4</v>
      </c>
      <c r="G26">
        <f t="shared" si="4"/>
        <v>156520</v>
      </c>
      <c r="H26">
        <f t="shared" si="5"/>
        <v>39130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1.608372093023256E-2</v>
      </c>
      <c r="C27" s="85">
        <f t="shared" si="2"/>
        <v>2.0900000000000002E-2</v>
      </c>
      <c r="D27" s="74">
        <f t="shared" si="3"/>
        <v>-4.8162790697674415E-3</v>
      </c>
      <c r="E27">
        <f>COUNTIF(tables_392100!C:C,input_392100!A27)-COUNTIF(Q:Q,A27)</f>
        <v>26</v>
      </c>
      <c r="F27" s="43">
        <f>IFERROR(B27/E27,0)</f>
        <v>6.1860465116279082E-4</v>
      </c>
      <c r="G27">
        <f t="shared" si="4"/>
        <v>1175720.0000000002</v>
      </c>
      <c r="H27">
        <f t="shared" si="5"/>
        <v>45220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8.4651162790697694E-4</v>
      </c>
      <c r="C28" s="85">
        <f t="shared" si="2"/>
        <v>1.0999999999999998E-3</v>
      </c>
      <c r="D28" s="74">
        <f t="shared" si="3"/>
        <v>-2.5348837209302291E-4</v>
      </c>
      <c r="E28">
        <f>COUNTIF(tables_392100!C:C,input_392100!A28)-COUNTIF(Q:Q,A28)</f>
        <v>26</v>
      </c>
      <c r="F28" s="43">
        <f t="shared" si="8"/>
        <v>3.2558139534883731E-5</v>
      </c>
      <c r="G28">
        <f t="shared" si="4"/>
        <v>61880.000000000015</v>
      </c>
      <c r="H28">
        <f t="shared" si="5"/>
        <v>2380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1.1069767441860466E-2</v>
      </c>
      <c r="C29" s="85">
        <f t="shared" si="2"/>
        <v>0</v>
      </c>
      <c r="D29" s="74">
        <f t="shared" si="3"/>
        <v>1.1069767441860466E-2</v>
      </c>
      <c r="E29">
        <f>COUNTIF(tables_392100!C:C,input_392100!A29)-COUNTIF(Q:Q,A29)</f>
        <v>17</v>
      </c>
      <c r="F29" s="43">
        <f t="shared" si="8"/>
        <v>6.5116279069767449E-4</v>
      </c>
      <c r="G29">
        <f t="shared" si="4"/>
        <v>809200.00000000012</v>
      </c>
      <c r="H29">
        <f t="shared" si="5"/>
        <v>47600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COUNTIF(tables_392100!C:C,input_392100!A30)-COUNTIF(Q:Q,A30)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COUNTIF(tables_392100!C:C,input_392100!A31)-COUNTIF(Q:Q,A31)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0.93818960328317369</v>
      </c>
      <c r="C32" s="41">
        <f>SUM(C19:C31)</f>
        <v>6.2E-2</v>
      </c>
      <c r="D32" s="42">
        <f t="shared" si="3"/>
        <v>0.87618960328317375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</row>
    <row r="35" spans="1:7" x14ac:dyDescent="0.15">
      <c r="A35" t="s">
        <v>73</v>
      </c>
      <c r="E35" s="55"/>
    </row>
    <row r="36" spans="1:7" x14ac:dyDescent="0.15">
      <c r="A36" s="31">
        <f>LCM(F5-I5,F6-I6)*1000*2*2*5</f>
        <v>73100000</v>
      </c>
      <c r="E36" s="55"/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SUMIF(tables_392100!C:C,input_392100!A40,tables_392100!O:O)</f>
        <v>0</v>
      </c>
      <c r="C40" s="54">
        <f t="shared" ref="C40:C46" ca="1" si="9">B40/B$47</f>
        <v>0</v>
      </c>
      <c r="E40">
        <v>3</v>
      </c>
      <c r="F40">
        <f ca="1">SUMIF(tables_392100!J:J,input_392100!E40,tables_392100!O:O)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SUMIF(tables_392100!C:C,input_392100!A41,tables_392100!O:O)</f>
        <v>39951300</v>
      </c>
      <c r="C41" s="54">
        <f t="shared" ca="1" si="9"/>
        <v>0.88951334627371714</v>
      </c>
      <c r="E41">
        <v>4</v>
      </c>
      <c r="F41">
        <f ca="1">SUMIF(tables_392100!J:J,input_392100!E41,tables_392100!O:O)</f>
        <v>69458860</v>
      </c>
      <c r="G41">
        <f ca="1">F41/A36</f>
        <v>0.9501896032831737</v>
      </c>
    </row>
    <row r="42" spans="1:7" x14ac:dyDescent="0.15">
      <c r="A42" s="33" t="s">
        <v>106</v>
      </c>
      <c r="B42">
        <f ca="1">SUMIF(tables_392100!C:C,input_392100!A42,tables_392100!O:O)</f>
        <v>2703510</v>
      </c>
      <c r="C42" s="54">
        <f t="shared" ca="1" si="9"/>
        <v>6.0193491245202464E-2</v>
      </c>
      <c r="E42">
        <v>5</v>
      </c>
      <c r="F42">
        <f ca="1">SUMIF(tables_392100!J:J,input_392100!E42,tables_392100!O:O)</f>
        <v>3655000</v>
      </c>
      <c r="G42">
        <f ca="1">F42/A36</f>
        <v>0.05</v>
      </c>
    </row>
    <row r="43" spans="1:7" x14ac:dyDescent="0.15">
      <c r="A43" s="33" t="s">
        <v>109</v>
      </c>
      <c r="B43">
        <f>SUMIF(tables_392100!C:C,input_392100!A43,tables_392100!O:O)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SUMIF(tables_392100!C:C,input_392100!A44,tables_392100!O:O)</f>
        <v>2116559.9999999986</v>
      </c>
      <c r="C44" s="54">
        <f t="shared" ca="1" si="9"/>
        <v>4.7125083994490731E-2</v>
      </c>
      <c r="E44" t="s">
        <v>54</v>
      </c>
      <c r="F44" s="55"/>
    </row>
    <row r="45" spans="1:7" x14ac:dyDescent="0.15">
      <c r="A45" s="33" t="s">
        <v>107</v>
      </c>
      <c r="B45">
        <f ca="1">SUMIF(tables_392100!C:C,input_392100!A45,tables_392100!O:O)</f>
        <v>142290</v>
      </c>
      <c r="C45" s="54">
        <f t="shared" ca="1" si="9"/>
        <v>3.1680784865896032E-3</v>
      </c>
      <c r="E45" t="s">
        <v>204</v>
      </c>
      <c r="F45" s="55">
        <f ca="1">SUMIF(tables_392100!I:I,input_392100!E45,tables_392100!P:P)</f>
        <v>0.21407705734589835</v>
      </c>
    </row>
    <row r="46" spans="1:7" x14ac:dyDescent="0.15">
      <c r="A46" s="33" t="s">
        <v>108</v>
      </c>
      <c r="B46">
        <f>SUMIF(tables_392100!C:C,input_392100!A46,tables_392100!O:O)</f>
        <v>0</v>
      </c>
      <c r="C46" s="54">
        <f t="shared" ca="1" si="9"/>
        <v>0</v>
      </c>
      <c r="E46" t="s">
        <v>205</v>
      </c>
      <c r="F46" s="55">
        <f ca="1">SUMIF(tables_392100!I:I,input_392100!E46,tables_392100!P:P)</f>
        <v>0.21414151024169675</v>
      </c>
    </row>
    <row r="47" spans="1:7" x14ac:dyDescent="0.15">
      <c r="A47" s="39" t="s">
        <v>59</v>
      </c>
      <c r="B47">
        <f ca="1">SUM(B40:B46)</f>
        <v>44913660</v>
      </c>
      <c r="C47" s="55">
        <f ca="1">SUM(C40:C46)</f>
        <v>1</v>
      </c>
      <c r="E47" t="s">
        <v>206</v>
      </c>
      <c r="F47" s="55">
        <f ca="1">SUMIF(tables_392100!I:I,input_392100!E47,tables_392100!P:P)</f>
        <v>0.52179091077943285</v>
      </c>
    </row>
    <row r="48" spans="1:7" x14ac:dyDescent="0.15">
      <c r="E48" t="s">
        <v>207</v>
      </c>
      <c r="F48" s="55">
        <f ca="1">SUMIF(tables_392100!I:I,input_392100!E48,tables_392100!P:P)</f>
        <v>4.999052163297079E-2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04"/>
  <sheetViews>
    <sheetView showGridLines="0" zoomScale="75" zoomScaleNormal="75" zoomScalePageLayoutView="75" workbookViewId="0">
      <pane ySplit="1" topLeftCell="A265" activePane="bottomLeft" state="frozen"/>
      <selection activeCell="D34" sqref="D34"/>
      <selection pane="bottomLeft" activeCell="B265" sqref="B26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input_392100!A$2</f>
        <v>392100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IFERROR(VLOOKUP(B2,input_392100!L:R,7,FALSE),VLOOKUP(tables_392100!C2,input_392100!A:H,8,FALSE))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input_392100!A$2</f>
        <v>392100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IFERROR(VLOOKUP(B3,input_392100!L:R,7,FALSE),VLOOKUP(tables_392100!C3,input_392100!A:H,8,FALSE))</f>
        <v>782600</v>
      </c>
      <c r="P3" s="46">
        <f t="shared" ca="1" si="2"/>
        <v>1.0703852867294918E-2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input_392100!A$2</f>
        <v>392100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IFERROR(VLOOKUP(B4,input_392100!L:R,7,FALSE),VLOOKUP(tables_392100!C4,input_392100!A:H,8,FALSE))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input_392100!A$2</f>
        <v>392100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IFERROR(VLOOKUP(B5,input_392100!L:R,7,FALSE),VLOOKUP(tables_392100!C5,input_392100!A:H,8,FALSE))</f>
        <v>782600</v>
      </c>
      <c r="P5" s="46">
        <f t="shared" ca="1" si="2"/>
        <v>1.0703852867294918E-2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input_392100!A$2</f>
        <v>392100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IFERROR(VLOOKUP(B6,input_392100!L:R,7,FALSE),VLOOKUP(tables_392100!C6,input_392100!A:H,8,FALSE))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input_392100!A$2</f>
        <v>392100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IFERROR(VLOOKUP(B7,input_392100!L:R,7,FALSE),VLOOKUP(tables_392100!C7,input_392100!A:H,8,FALSE))</f>
        <v>782600</v>
      </c>
      <c r="P7" s="46">
        <f t="shared" ca="1" si="2"/>
        <v>1.0703852867294918E-2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input_392100!A$2</f>
        <v>392100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IFERROR(VLOOKUP(B8,input_392100!L:R,7,FALSE),VLOOKUP(tables_392100!C8,input_392100!A:H,8,FALSE))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input_392100!A$2</f>
        <v>392100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IFERROR(VLOOKUP(B9,input_392100!L:R,7,FALSE),VLOOKUP(tables_392100!C9,input_392100!A:H,8,FALSE))</f>
        <v>782600</v>
      </c>
      <c r="P9" s="46">
        <f t="shared" ca="1" si="2"/>
        <v>1.0703852867294918E-2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input_392100!A$2</f>
        <v>392100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IFERROR(VLOOKUP(B10,input_392100!L:R,7,FALSE),VLOOKUP(tables_392100!C10,input_392100!A:H,8,FALSE))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input_392100!A$2</f>
        <v>392100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IFERROR(VLOOKUP(B11,input_392100!L:R,7,FALSE),VLOOKUP(tables_392100!C11,input_392100!A:H,8,FALSE))</f>
        <v>782600</v>
      </c>
      <c r="P11" s="46">
        <f t="shared" ca="1" si="2"/>
        <v>1.0703852867294918E-2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input_392100!A$2</f>
        <v>392100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IFERROR(VLOOKUP(B12,input_392100!L:R,7,FALSE),VLOOKUP(tables_392100!C12,input_392100!A:H,8,FALSE))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input_392100!A$2</f>
        <v>392100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IFERROR(VLOOKUP(B13,input_392100!L:R,7,FALSE),VLOOKUP(tables_392100!C13,input_392100!A:H,8,FALSE))</f>
        <v>782600</v>
      </c>
      <c r="P13" s="46">
        <f t="shared" ca="1" si="2"/>
        <v>1.0703852867294918E-2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input_392100!A$2</f>
        <v>392100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IFERROR(VLOOKUP(B14,input_392100!L:R,7,FALSE),VLOOKUP(tables_392100!C14,input_392100!A:H,8,FALSE))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input_392100!A$2</f>
        <v>392100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IFERROR(VLOOKUP(B15,input_392100!L:R,7,FALSE),VLOOKUP(tables_392100!C15,input_392100!A:H,8,FALSE))</f>
        <v>782600</v>
      </c>
      <c r="P15" s="46">
        <f t="shared" ca="1" si="2"/>
        <v>1.0703852867294918E-2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input_392100!A$2</f>
        <v>392100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IFERROR(VLOOKUP(B16,input_392100!L:R,7,FALSE),VLOOKUP(tables_392100!C16,input_392100!A:H,8,FALSE))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input_392100!A$2</f>
        <v>392100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IFERROR(VLOOKUP(B17,input_392100!L:R,7,FALSE),VLOOKUP(tables_392100!C17,input_392100!A:H,8,FALSE))</f>
        <v>782600</v>
      </c>
      <c r="P17" s="46">
        <f t="shared" ca="1" si="2"/>
        <v>1.0703852867294918E-2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input_392100!A$2</f>
        <v>392100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IFERROR(VLOOKUP(B18,input_392100!L:R,7,FALSE),VLOOKUP(tables_392100!C18,input_392100!A:H,8,FALSE))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input_392100!A$2</f>
        <v>392100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IFERROR(VLOOKUP(B19,input_392100!L:R,7,FALSE),VLOOKUP(tables_392100!C19,input_392100!A:H,8,FALSE))</f>
        <v>782600</v>
      </c>
      <c r="P19" s="46">
        <f t="shared" ca="1" si="2"/>
        <v>1.0703852867294918E-2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input_392100!A$2</f>
        <v>392100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IFERROR(VLOOKUP(B20,input_392100!L:R,7,FALSE),VLOOKUP(tables_392100!C20,input_392100!A:H,8,FALSE))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input_392100!A$2</f>
        <v>392100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IFERROR(VLOOKUP(B21,input_392100!L:R,7,FALSE),VLOOKUP(tables_392100!C21,input_392100!A:H,8,FALSE))</f>
        <v>782600</v>
      </c>
      <c r="P21" s="46">
        <f t="shared" ca="1" si="2"/>
        <v>1.0703852867294918E-2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input_392100!A$2</f>
        <v>392100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IFERROR(VLOOKUP(B22,input_392100!L:R,7,FALSE),VLOOKUP(tables_392100!C22,input_392100!A:H,8,FALSE))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input_392100!A$2</f>
        <v>392100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IFERROR(VLOOKUP(B23,input_392100!L:R,7,FALSE),VLOOKUP(tables_392100!C23,input_392100!A:H,8,FALSE))</f>
        <v>782600</v>
      </c>
      <c r="P23" s="46">
        <f t="shared" ca="1" si="2"/>
        <v>1.0703852867294918E-2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input_392100!A$2</f>
        <v>392100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IFERROR(VLOOKUP(B24,input_392100!L:R,7,FALSE),VLOOKUP(tables_392100!C24,input_392100!A:H,8,FALSE))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input_392100!A$2</f>
        <v>392100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IFERROR(VLOOKUP(B25,input_392100!L:R,7,FALSE),VLOOKUP(tables_392100!C25,input_392100!A:H,8,FALSE))</f>
        <v>782600</v>
      </c>
      <c r="P25" s="46">
        <f t="shared" ca="1" si="2"/>
        <v>1.0703852867294918E-2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input_392100!A$2</f>
        <v>392100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IFERROR(VLOOKUP(B26,input_392100!L:R,7,FALSE),VLOOKUP(tables_392100!C26,input_392100!A:H,8,FALSE))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input_392100!A$2</f>
        <v>392100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IFERROR(VLOOKUP(B27,input_392100!L:R,7,FALSE),VLOOKUP(tables_392100!C27,input_392100!A:H,8,FALSE))</f>
        <v>782600</v>
      </c>
      <c r="P27" s="46">
        <f t="shared" ca="1" si="2"/>
        <v>1.0703852867294918E-2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input_392100!A$2</f>
        <v>392100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IFERROR(VLOOKUP(B28,input_392100!L:R,7,FALSE),VLOOKUP(tables_392100!C28,input_392100!A:H,8,FALSE))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input_392100!A$2</f>
        <v>392100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IFERROR(VLOOKUP(B29,input_392100!L:R,7,FALSE),VLOOKUP(tables_392100!C29,input_392100!A:H,8,FALSE))</f>
        <v>782600</v>
      </c>
      <c r="P29" s="46">
        <f t="shared" ca="1" si="2"/>
        <v>1.0703852867294918E-2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input_392100!A$2</f>
        <v>392100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IFERROR(VLOOKUP(B30,input_392100!L:R,7,FALSE),VLOOKUP(tables_392100!C30,input_392100!A:H,8,FALSE))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input_392100!A$2</f>
        <v>392100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IFERROR(VLOOKUP(B31,input_392100!L:R,7,FALSE),VLOOKUP(tables_392100!C31,input_392100!A:H,8,FALSE))</f>
        <v>782600</v>
      </c>
      <c r="P31" s="46">
        <f t="shared" ca="1" si="2"/>
        <v>1.0703852867294918E-2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input_392100!A$2</f>
        <v>392100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IFERROR(VLOOKUP(B32,input_392100!L:R,7,FALSE),VLOOKUP(tables_392100!C32,input_392100!A:H,8,FALSE))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input_392100!A$2</f>
        <v>392100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IFERROR(VLOOKUP(B33,input_392100!L:R,7,FALSE),VLOOKUP(tables_392100!C33,input_392100!A:H,8,FALSE))</f>
        <v>782600</v>
      </c>
      <c r="P33" s="46">
        <f t="shared" ca="1" si="2"/>
        <v>1.0703852867294918E-2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input_392100!A$2</f>
        <v>392100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IFERROR(VLOOKUP(B34,input_392100!L:R,7,FALSE),VLOOKUP(tables_392100!C34,input_392100!A:H,8,FALSE))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input_392100!A$2</f>
        <v>392100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IFERROR(VLOOKUP(B35,input_392100!L:R,7,FALSE),VLOOKUP(tables_392100!C35,input_392100!A:H,8,FALSE))</f>
        <v>782600</v>
      </c>
      <c r="P35" s="46">
        <f t="shared" ca="1" si="2"/>
        <v>1.0703852867294918E-2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input_392100!A$2</f>
        <v>392100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IFERROR(VLOOKUP(B36,input_392100!L:R,7,FALSE),VLOOKUP(tables_392100!C36,input_392100!A:H,8,FALSE))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input_392100!A$2</f>
        <v>392100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IFERROR(VLOOKUP(B37,input_392100!L:R,7,FALSE),VLOOKUP(tables_392100!C37,input_392100!A:H,8,FALSE))</f>
        <v>782600</v>
      </c>
      <c r="P37" s="46">
        <f t="shared" ca="1" si="2"/>
        <v>1.0703852867294918E-2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input_392100!A$2</f>
        <v>392100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IFERROR(VLOOKUP(B38,input_392100!L:R,7,FALSE),VLOOKUP(tables_392100!C38,input_392100!A:H,8,FALSE))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input_392100!A$2</f>
        <v>392100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IFERROR(VLOOKUP(B39,input_392100!L:R,7,FALSE),VLOOKUP(tables_392100!C39,input_392100!A:H,8,FALSE))</f>
        <v>782600</v>
      </c>
      <c r="P39" s="46">
        <f t="shared" ca="1" si="2"/>
        <v>1.0703852867294918E-2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input_392100!A$2</f>
        <v>392100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IFERROR(VLOOKUP(B40,input_392100!L:R,7,FALSE),VLOOKUP(tables_392100!C40,input_392100!A:H,8,FALSE))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input_392100!A$2</f>
        <v>392100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IFERROR(VLOOKUP(B41,input_392100!L:R,7,FALSE),VLOOKUP(tables_392100!C41,input_392100!A:H,8,FALSE))</f>
        <v>782600</v>
      </c>
      <c r="P41" s="46">
        <f t="shared" ca="1" si="2"/>
        <v>1.0703852867294918E-2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input_392100!A$2</f>
        <v>392100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IFERROR(VLOOKUP(B42,input_392100!L:R,7,FALSE),VLOOKUP(tables_392100!C42,input_392100!A:H,8,FALSE))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input_392100!A$2</f>
        <v>392100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IFERROR(VLOOKUP(B43,input_392100!L:R,7,FALSE),VLOOKUP(tables_392100!C43,input_392100!A:H,8,FALSE))</f>
        <v>743470</v>
      </c>
      <c r="P43" s="46">
        <f t="shared" ca="1" si="2"/>
        <v>1.0168660223930173E-2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input_392100!A$2</f>
        <v>392100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IFERROR(VLOOKUP(B44,input_392100!L:R,7,FALSE),VLOOKUP(tables_392100!C44,input_392100!A:H,8,FALSE))</f>
        <v>39130</v>
      </c>
      <c r="P44" s="46">
        <f t="shared" ca="1" si="2"/>
        <v>5.351926433647459E-4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input_392100!A$2</f>
        <v>392100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IFERROR(VLOOKUP(B45,input_392100!L:R,7,FALSE),VLOOKUP(tables_392100!C45,input_392100!A:H,8,FALSE))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input_392100!A$2</f>
        <v>392100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IFERROR(VLOOKUP(B46,input_392100!L:R,7,FALSE),VLOOKUP(tables_392100!C46,input_392100!A:H,8,FALSE))</f>
        <v>743470</v>
      </c>
      <c r="P46" s="46">
        <f t="shared" ca="1" si="2"/>
        <v>1.0168660223930173E-2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input_392100!A$2</f>
        <v>392100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IFERROR(VLOOKUP(B47,input_392100!L:R,7,FALSE),VLOOKUP(tables_392100!C47,input_392100!A:H,8,FALSE))</f>
        <v>39130</v>
      </c>
      <c r="P47" s="46">
        <f t="shared" ca="1" si="2"/>
        <v>5.351926433647459E-4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input_392100!A$2</f>
        <v>392100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IFERROR(VLOOKUP(B48,input_392100!L:R,7,FALSE),VLOOKUP(tables_392100!C48,input_392100!A:H,8,FALSE))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input_392100!A$2</f>
        <v>392100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IFERROR(VLOOKUP(B49,input_392100!L:R,7,FALSE),VLOOKUP(tables_392100!C49,input_392100!A:H,8,FALSE))</f>
        <v>743470</v>
      </c>
      <c r="P49" s="46">
        <f t="shared" ca="1" si="2"/>
        <v>1.0168660223930173E-2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input_392100!A$2</f>
        <v>392100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IFERROR(VLOOKUP(B50,input_392100!L:R,7,FALSE),VLOOKUP(tables_392100!C50,input_392100!A:H,8,FALSE))</f>
        <v>39130</v>
      </c>
      <c r="P50" s="46">
        <f t="shared" ca="1" si="2"/>
        <v>5.351926433647459E-4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input_392100!A$2</f>
        <v>392100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IFERROR(VLOOKUP(B51,input_392100!L:R,7,FALSE),VLOOKUP(tables_392100!C51,input_392100!A:H,8,FALSE))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input_392100!A$2</f>
        <v>392100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IFERROR(VLOOKUP(B52,input_392100!L:R,7,FALSE),VLOOKUP(tables_392100!C52,input_392100!A:H,8,FALSE))</f>
        <v>743470</v>
      </c>
      <c r="P52" s="46">
        <f t="shared" ca="1" si="2"/>
        <v>1.0168660223930173E-2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input_392100!A$2</f>
        <v>392100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IFERROR(VLOOKUP(B53,input_392100!L:R,7,FALSE),VLOOKUP(tables_392100!C53,input_392100!A:H,8,FALSE))</f>
        <v>39407.199999999997</v>
      </c>
      <c r="P53" s="46">
        <f t="shared" ca="1" si="2"/>
        <v>5.3898399017641735E-4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input_392100!A$2</f>
        <v>392100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IFERROR(VLOOKUP(B54,input_392100!L:R,7,FALSE),VLOOKUP(tables_392100!C54,input_392100!A:H,8,FALSE))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input_392100!A$2</f>
        <v>392100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IFERROR(VLOOKUP(B55,input_392100!L:R,7,FALSE),VLOOKUP(tables_392100!C55,input_392100!A:H,8,FALSE))</f>
        <v>743470</v>
      </c>
      <c r="P55" s="46">
        <f t="shared" ca="1" si="2"/>
        <v>1.0168660223930173E-2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input_392100!A$2</f>
        <v>392100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IFERROR(VLOOKUP(B56,input_392100!L:R,7,FALSE),VLOOKUP(tables_392100!C56,input_392100!A:H,8,FALSE))</f>
        <v>39407.199999999997</v>
      </c>
      <c r="P56" s="46">
        <f t="shared" ca="1" si="2"/>
        <v>5.3898399017641735E-4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input_392100!A$2</f>
        <v>392100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IFERROR(VLOOKUP(B57,input_392100!L:R,7,FALSE),VLOOKUP(tables_392100!C57,input_392100!A:H,8,FALSE))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input_392100!A$2</f>
        <v>392100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IFERROR(VLOOKUP(B58,input_392100!L:R,7,FALSE),VLOOKUP(tables_392100!C58,input_392100!A:H,8,FALSE))</f>
        <v>743470</v>
      </c>
      <c r="P58" s="46">
        <f t="shared" ca="1" si="2"/>
        <v>1.0168660223930173E-2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input_392100!A$2</f>
        <v>392100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IFERROR(VLOOKUP(B59,input_392100!L:R,7,FALSE),VLOOKUP(tables_392100!C59,input_392100!A:H,8,FALSE))</f>
        <v>39407.199999999997</v>
      </c>
      <c r="P59" s="46">
        <f t="shared" ca="1" si="2"/>
        <v>5.3898399017641735E-4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input_392100!A$2</f>
        <v>392100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IFERROR(VLOOKUP(B60,input_392100!L:R,7,FALSE),VLOOKUP(tables_392100!C60,input_392100!A:H,8,FALSE))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input_392100!A$2</f>
        <v>392100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IFERROR(VLOOKUP(B61,input_392100!L:R,7,FALSE),VLOOKUP(tables_392100!C61,input_392100!A:H,8,FALSE))</f>
        <v>743470</v>
      </c>
      <c r="P61" s="46">
        <f t="shared" ca="1" si="2"/>
        <v>1.0168660223930173E-2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input_392100!A$2</f>
        <v>392100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IFERROR(VLOOKUP(B62,input_392100!L:R,7,FALSE),VLOOKUP(tables_392100!C62,input_392100!A:H,8,FALSE))</f>
        <v>39407.199999999997</v>
      </c>
      <c r="P62" s="46">
        <f t="shared" ca="1" si="2"/>
        <v>5.3898399017641735E-4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input_392100!A$2</f>
        <v>392100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IFERROR(VLOOKUP(B63,input_392100!L:R,7,FALSE),VLOOKUP(tables_392100!C63,input_392100!A:H,8,FALSE))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input_392100!A$2</f>
        <v>392100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IFERROR(VLOOKUP(B64,input_392100!L:R,7,FALSE),VLOOKUP(tables_392100!C64,input_392100!A:H,8,FALSE))</f>
        <v>743470</v>
      </c>
      <c r="P64" s="46">
        <f t="shared" ca="1" si="2"/>
        <v>1.0168660223930173E-2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input_392100!A$2</f>
        <v>392100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IFERROR(VLOOKUP(B65,input_392100!L:R,7,FALSE),VLOOKUP(tables_392100!C65,input_392100!A:H,8,FALSE))</f>
        <v>39407.199999999997</v>
      </c>
      <c r="P65" s="46">
        <f t="shared" ca="1" si="2"/>
        <v>5.3898399017641735E-4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input_392100!A$2</f>
        <v>392100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IFERROR(VLOOKUP(B66,input_392100!L:R,7,FALSE),VLOOKUP(tables_392100!C66,input_392100!A:H,8,FALSE))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input_392100!A$2</f>
        <v>392100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IFERROR(VLOOKUP(B67,input_392100!L:R,7,FALSE),VLOOKUP(tables_392100!C67,input_392100!A:H,8,FALSE))</f>
        <v>743470</v>
      </c>
      <c r="P67" s="46">
        <f t="shared" ca="1" si="5"/>
        <v>1.0168660223930173E-2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input_392100!A$2</f>
        <v>392100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IFERROR(VLOOKUP(B68,input_392100!L:R,7,FALSE),VLOOKUP(tables_392100!C68,input_392100!A:H,8,FALSE))</f>
        <v>39407.199999999997</v>
      </c>
      <c r="P68" s="46">
        <f t="shared" ca="1" si="5"/>
        <v>5.3898399017641735E-4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input_392100!A$2</f>
        <v>392100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IFERROR(VLOOKUP(B69,input_392100!L:R,7,FALSE),VLOOKUP(tables_392100!C69,input_392100!A:H,8,FALSE))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input_392100!A$2</f>
        <v>392100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IFERROR(VLOOKUP(B70,input_392100!L:R,7,FALSE),VLOOKUP(tables_392100!C70,input_392100!A:H,8,FALSE))</f>
        <v>743470</v>
      </c>
      <c r="P70" s="46">
        <f t="shared" ca="1" si="5"/>
        <v>1.0168660223930173E-2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input_392100!A$2</f>
        <v>392100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IFERROR(VLOOKUP(B71,input_392100!L:R,7,FALSE),VLOOKUP(tables_392100!C71,input_392100!A:H,8,FALSE))</f>
        <v>39407.199999999997</v>
      </c>
      <c r="P71" s="46">
        <f t="shared" ca="1" si="5"/>
        <v>5.3898399017641735E-4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input_392100!A$2</f>
        <v>392100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IFERROR(VLOOKUP(B72,input_392100!L:R,7,FALSE),VLOOKUP(tables_392100!C72,input_392100!A:H,8,FALSE))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input_392100!A$2</f>
        <v>392100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IFERROR(VLOOKUP(B73,input_392100!L:R,7,FALSE),VLOOKUP(tables_392100!C73,input_392100!A:H,8,FALSE))</f>
        <v>743470</v>
      </c>
      <c r="P73" s="46">
        <f t="shared" ca="1" si="5"/>
        <v>1.0168660223930173E-2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input_392100!A$2</f>
        <v>392100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IFERROR(VLOOKUP(B74,input_392100!L:R,7,FALSE),VLOOKUP(tables_392100!C74,input_392100!A:H,8,FALSE))</f>
        <v>39407.199999999997</v>
      </c>
      <c r="P74" s="46">
        <f t="shared" ca="1" si="5"/>
        <v>5.3898399017641735E-4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input_392100!A$2</f>
        <v>392100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IFERROR(VLOOKUP(B75,input_392100!L:R,7,FALSE),VLOOKUP(tables_392100!C75,input_392100!A:H,8,FALSE))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input_392100!A$2</f>
        <v>392100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IFERROR(VLOOKUP(B76,input_392100!L:R,7,FALSE),VLOOKUP(tables_392100!C76,input_392100!A:H,8,FALSE))</f>
        <v>743470</v>
      </c>
      <c r="P76" s="46">
        <f t="shared" ca="1" si="5"/>
        <v>1.0168660223930173E-2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input_392100!A$2</f>
        <v>392100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IFERROR(VLOOKUP(B77,input_392100!L:R,7,FALSE),VLOOKUP(tables_392100!C77,input_392100!A:H,8,FALSE))</f>
        <v>39407.199999999997</v>
      </c>
      <c r="P77" s="46">
        <f t="shared" ca="1" si="5"/>
        <v>5.3898399017641735E-4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input_392100!A$2</f>
        <v>392100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IFERROR(VLOOKUP(B78,input_392100!L:R,7,FALSE),VLOOKUP(tables_392100!C78,input_392100!A:H,8,FALSE))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input_392100!A$2</f>
        <v>392100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IFERROR(VLOOKUP(B79,input_392100!L:R,7,FALSE),VLOOKUP(tables_392100!C79,input_392100!A:H,8,FALSE))</f>
        <v>743470</v>
      </c>
      <c r="P79" s="46">
        <f t="shared" ca="1" si="5"/>
        <v>1.0168660223930173E-2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input_392100!A$2</f>
        <v>392100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IFERROR(VLOOKUP(B80,input_392100!L:R,7,FALSE),VLOOKUP(tables_392100!C80,input_392100!A:H,8,FALSE))</f>
        <v>39407.199999999997</v>
      </c>
      <c r="P80" s="46">
        <f t="shared" ca="1" si="5"/>
        <v>5.3898399017641735E-4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input_392100!A$2</f>
        <v>392100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IFERROR(VLOOKUP(B81,input_392100!L:R,7,FALSE),VLOOKUP(tables_392100!C81,input_392100!A:H,8,FALSE))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input_392100!A$2</f>
        <v>392100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IFERROR(VLOOKUP(B82,input_392100!L:R,7,FALSE),VLOOKUP(tables_392100!C82,input_392100!A:H,8,FALSE))</f>
        <v>743470</v>
      </c>
      <c r="P82" s="46">
        <f t="shared" ca="1" si="5"/>
        <v>1.0168660223930173E-2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input_392100!A$2</f>
        <v>392100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IFERROR(VLOOKUP(B83,input_392100!L:R,7,FALSE),VLOOKUP(tables_392100!C83,input_392100!A:H,8,FALSE))</f>
        <v>39407.199999999997</v>
      </c>
      <c r="P83" s="46">
        <f t="shared" ca="1" si="5"/>
        <v>5.3898399017641735E-4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input_392100!A$2</f>
        <v>392100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IFERROR(VLOOKUP(B84,input_392100!L:R,7,FALSE),VLOOKUP(tables_392100!C84,input_392100!A:H,8,FALSE))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input_392100!A$2</f>
        <v>392100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IFERROR(VLOOKUP(B85,input_392100!L:R,7,FALSE),VLOOKUP(tables_392100!C85,input_392100!A:H,8,FALSE))</f>
        <v>743470</v>
      </c>
      <c r="P85" s="46">
        <f t="shared" ca="1" si="5"/>
        <v>1.0168660223930173E-2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input_392100!A$2</f>
        <v>392100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IFERROR(VLOOKUP(B86,input_392100!L:R,7,FALSE),VLOOKUP(tables_392100!C86,input_392100!A:H,8,FALSE))</f>
        <v>39407.199999999997</v>
      </c>
      <c r="P86" s="46">
        <f t="shared" ca="1" si="5"/>
        <v>5.3898399017641735E-4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input_392100!A$2</f>
        <v>392100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IFERROR(VLOOKUP(B87,input_392100!L:R,7,FALSE),VLOOKUP(tables_392100!C87,input_392100!A:H,8,FALSE))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input_392100!A$2</f>
        <v>392100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IFERROR(VLOOKUP(B88,input_392100!L:R,7,FALSE),VLOOKUP(tables_392100!C88,input_392100!A:H,8,FALSE))</f>
        <v>743470</v>
      </c>
      <c r="P88" s="46">
        <f t="shared" ca="1" si="5"/>
        <v>1.0168660223930173E-2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input_392100!A$2</f>
        <v>392100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IFERROR(VLOOKUP(B89,input_392100!L:R,7,FALSE),VLOOKUP(tables_392100!C89,input_392100!A:H,8,FALSE))</f>
        <v>39407.199999999997</v>
      </c>
      <c r="P89" s="46">
        <f t="shared" ca="1" si="5"/>
        <v>5.3898399017641735E-4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input_392100!A$2</f>
        <v>392100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IFERROR(VLOOKUP(B90,input_392100!L:R,7,FALSE),VLOOKUP(tables_392100!C90,input_392100!A:H,8,FALSE))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input_392100!A$2</f>
        <v>392100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IFERROR(VLOOKUP(B91,input_392100!L:R,7,FALSE),VLOOKUP(tables_392100!C91,input_392100!A:H,8,FALSE))</f>
        <v>743470</v>
      </c>
      <c r="P91" s="46">
        <f t="shared" ca="1" si="5"/>
        <v>1.0168660223930173E-2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input_392100!A$2</f>
        <v>392100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IFERROR(VLOOKUP(B92,input_392100!L:R,7,FALSE),VLOOKUP(tables_392100!C92,input_392100!A:H,8,FALSE))</f>
        <v>39407.199999999997</v>
      </c>
      <c r="P92" s="46">
        <f t="shared" ca="1" si="5"/>
        <v>5.3898399017641735E-4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input_392100!A$2</f>
        <v>392100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IFERROR(VLOOKUP(B93,input_392100!L:R,7,FALSE),VLOOKUP(tables_392100!C93,input_392100!A:H,8,FALSE))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input_392100!A$2</f>
        <v>392100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IFERROR(VLOOKUP(B94,input_392100!L:R,7,FALSE),VLOOKUP(tables_392100!C94,input_392100!A:H,8,FALSE))</f>
        <v>743470</v>
      </c>
      <c r="P94" s="46">
        <f t="shared" ca="1" si="5"/>
        <v>1.0168660223930173E-2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input_392100!A$2</f>
        <v>392100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IFERROR(VLOOKUP(B95,input_392100!L:R,7,FALSE),VLOOKUP(tables_392100!C95,input_392100!A:H,8,FALSE))</f>
        <v>39407.199999999997</v>
      </c>
      <c r="P95" s="46">
        <f t="shared" ca="1" si="5"/>
        <v>5.3898399017641735E-4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input_392100!A$2</f>
        <v>392100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IFERROR(VLOOKUP(B96,input_392100!L:R,7,FALSE),VLOOKUP(tables_392100!C96,input_392100!A:H,8,FALSE))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input_392100!A$2</f>
        <v>392100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IFERROR(VLOOKUP(B97,input_392100!L:R,7,FALSE),VLOOKUP(tables_392100!C97,input_392100!A:H,8,FALSE))</f>
        <v>743470</v>
      </c>
      <c r="P97" s="46">
        <f t="shared" ca="1" si="5"/>
        <v>1.0168660223930173E-2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input_392100!A$2</f>
        <v>392100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IFERROR(VLOOKUP(B98,input_392100!L:R,7,FALSE),VLOOKUP(tables_392100!C98,input_392100!A:H,8,FALSE))</f>
        <v>39407.199999999997</v>
      </c>
      <c r="P98" s="46">
        <f t="shared" ca="1" si="5"/>
        <v>5.3898399017641735E-4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input_392100!A$2</f>
        <v>392100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IFERROR(VLOOKUP(B99,input_392100!L:R,7,FALSE),VLOOKUP(tables_392100!C99,input_392100!A:H,8,FALSE))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input_392100!A$2</f>
        <v>392100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IFERROR(VLOOKUP(B100,input_392100!L:R,7,FALSE),VLOOKUP(tables_392100!C100,input_392100!A:H,8,FALSE))</f>
        <v>743470</v>
      </c>
      <c r="P100" s="46">
        <f t="shared" ca="1" si="5"/>
        <v>1.0168660223930173E-2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input_392100!A$2</f>
        <v>392100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IFERROR(VLOOKUP(B101,input_392100!L:R,7,FALSE),VLOOKUP(tables_392100!C101,input_392100!A:H,8,FALSE))</f>
        <v>39407.199999999997</v>
      </c>
      <c r="P101" s="46">
        <f t="shared" ca="1" si="5"/>
        <v>5.3898399017641735E-4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input_392100!A$2</f>
        <v>392100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IFERROR(VLOOKUP(B102,input_392100!L:R,7,FALSE),VLOOKUP(tables_392100!C102,input_392100!A:H,8,FALSE))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input_392100!A$2</f>
        <v>392100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IFERROR(VLOOKUP(B103,input_392100!L:R,7,FALSE),VLOOKUP(tables_392100!C103,input_392100!A:H,8,FALSE))</f>
        <v>743470</v>
      </c>
      <c r="P103" s="46">
        <f t="shared" ca="1" si="5"/>
        <v>1.0168660223930173E-2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input_392100!A$2</f>
        <v>392100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IFERROR(VLOOKUP(B104,input_392100!L:R,7,FALSE),VLOOKUP(tables_392100!C104,input_392100!A:H,8,FALSE))</f>
        <v>39407.199999999997</v>
      </c>
      <c r="P104" s="46">
        <f t="shared" ca="1" si="5"/>
        <v>5.3898399017641735E-4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input_392100!A$2</f>
        <v>392100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IFERROR(VLOOKUP(B105,input_392100!L:R,7,FALSE),VLOOKUP(tables_392100!C105,input_392100!A:H,8,FALSE))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input_392100!A$2</f>
        <v>392100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IFERROR(VLOOKUP(B106,input_392100!L:R,7,FALSE),VLOOKUP(tables_392100!C106,input_392100!A:H,8,FALSE))</f>
        <v>743470</v>
      </c>
      <c r="P106" s="46">
        <f t="shared" ca="1" si="5"/>
        <v>1.0168660223930173E-2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input_392100!A$2</f>
        <v>392100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IFERROR(VLOOKUP(B107,input_392100!L:R,7,FALSE),VLOOKUP(tables_392100!C107,input_392100!A:H,8,FALSE))</f>
        <v>39407.199999999997</v>
      </c>
      <c r="P107" s="46">
        <f t="shared" ca="1" si="5"/>
        <v>5.3898399017641735E-4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input_392100!A$2</f>
        <v>392100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IFERROR(VLOOKUP(B108,input_392100!L:R,7,FALSE),VLOOKUP(tables_392100!C108,input_392100!A:H,8,FALSE))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input_392100!A$2</f>
        <v>392100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IFERROR(VLOOKUP(B109,input_392100!L:R,7,FALSE),VLOOKUP(tables_392100!C109,input_392100!A:H,8,FALSE))</f>
        <v>743470</v>
      </c>
      <c r="P109" s="46">
        <f t="shared" ca="1" si="5"/>
        <v>1.0168660223930173E-2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input_392100!A$2</f>
        <v>392100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IFERROR(VLOOKUP(B110,input_392100!L:R,7,FALSE),VLOOKUP(tables_392100!C110,input_392100!A:H,8,FALSE))</f>
        <v>39407.199999999997</v>
      </c>
      <c r="P110" s="46">
        <f t="shared" ca="1" si="5"/>
        <v>5.3898399017641735E-4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input_392100!A$2</f>
        <v>392100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IFERROR(VLOOKUP(B111,input_392100!L:R,7,FALSE),VLOOKUP(tables_392100!C111,input_392100!A:H,8,FALSE))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input_392100!A$2</f>
        <v>392100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IFERROR(VLOOKUP(B112,input_392100!L:R,7,FALSE),VLOOKUP(tables_392100!C112,input_392100!A:H,8,FALSE))</f>
        <v>743470</v>
      </c>
      <c r="P112" s="46">
        <f t="shared" ca="1" si="5"/>
        <v>1.0168660223930173E-2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input_392100!A$2</f>
        <v>392100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IFERROR(VLOOKUP(B113,input_392100!L:R,7,FALSE),VLOOKUP(tables_392100!C113,input_392100!A:H,8,FALSE))</f>
        <v>39130</v>
      </c>
      <c r="P113" s="46">
        <f t="shared" ca="1" si="5"/>
        <v>5.351926433647459E-4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input_392100!A$2</f>
        <v>392100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IFERROR(VLOOKUP(B114,input_392100!L:R,7,FALSE),VLOOKUP(tables_392100!C114,input_392100!A:H,8,FALSE))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input_392100!A$2</f>
        <v>392100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IFERROR(VLOOKUP(B115,input_392100!L:R,7,FALSE),VLOOKUP(tables_392100!C115,input_392100!A:H,8,FALSE))</f>
        <v>743470</v>
      </c>
      <c r="P115" s="46">
        <f t="shared" ca="1" si="5"/>
        <v>1.0168660223930173E-2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input_392100!A$2</f>
        <v>392100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IFERROR(VLOOKUP(B116,input_392100!L:R,7,FALSE),VLOOKUP(tables_392100!C116,input_392100!A:H,8,FALSE))</f>
        <v>39407.199999999997</v>
      </c>
      <c r="P116" s="46">
        <f t="shared" ca="1" si="5"/>
        <v>5.3898399017641735E-4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input_392100!A$2</f>
        <v>392100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IFERROR(VLOOKUP(B117,input_392100!L:R,7,FALSE),VLOOKUP(tables_392100!C117,input_392100!A:H,8,FALSE))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input_392100!A$2</f>
        <v>392100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IFERROR(VLOOKUP(B118,input_392100!L:R,7,FALSE),VLOOKUP(tables_392100!C118,input_392100!A:H,8,FALSE))</f>
        <v>743470</v>
      </c>
      <c r="P118" s="46">
        <f t="shared" ca="1" si="5"/>
        <v>1.0168660223930173E-2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input_392100!A$2</f>
        <v>392100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IFERROR(VLOOKUP(B119,input_392100!L:R,7,FALSE),VLOOKUP(tables_392100!C119,input_392100!A:H,8,FALSE))</f>
        <v>39407.199999999997</v>
      </c>
      <c r="P119" s="46">
        <f t="shared" ca="1" si="5"/>
        <v>5.3898399017641735E-4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input_392100!A$2</f>
        <v>392100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IFERROR(VLOOKUP(B120,input_392100!L:R,7,FALSE),VLOOKUP(tables_392100!C120,input_392100!A:H,8,FALSE))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input_392100!A$2</f>
        <v>392100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IFERROR(VLOOKUP(B121,input_392100!L:R,7,FALSE),VLOOKUP(tables_392100!C121,input_392100!A:H,8,FALSE))</f>
        <v>743470</v>
      </c>
      <c r="P121" s="46">
        <f t="shared" ca="1" si="5"/>
        <v>1.0168660223930173E-2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input_392100!A$2</f>
        <v>392100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IFERROR(VLOOKUP(B122,input_392100!L:R,7,FALSE),VLOOKUP(tables_392100!C122,input_392100!A:H,8,FALSE))</f>
        <v>39407.199999999997</v>
      </c>
      <c r="P122" s="46">
        <f t="shared" ca="1" si="5"/>
        <v>5.3898399017641735E-4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input_392100!A$2</f>
        <v>392100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IFERROR(VLOOKUP(B123,input_392100!L:R,7,FALSE),VLOOKUP(tables_392100!C123,input_392100!A:H,8,FALSE))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input_392100!A$2</f>
        <v>392100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IFERROR(VLOOKUP(B124,input_392100!L:R,7,FALSE),VLOOKUP(tables_392100!C124,input_392100!A:H,8,FALSE))</f>
        <v>743470</v>
      </c>
      <c r="P124" s="46">
        <f t="shared" ca="1" si="5"/>
        <v>1.0168660223930173E-2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input_392100!A$2</f>
        <v>392100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IFERROR(VLOOKUP(B125,input_392100!L:R,7,FALSE),VLOOKUP(tables_392100!C125,input_392100!A:H,8,FALSE))</f>
        <v>39407.199999999997</v>
      </c>
      <c r="P125" s="46">
        <f t="shared" ca="1" si="5"/>
        <v>5.3898399017641735E-4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input_392100!A$2</f>
        <v>392100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IFERROR(VLOOKUP(B126,input_392100!L:R,7,FALSE),VLOOKUP(tables_392100!C126,input_392100!A:H,8,FALSE))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input_392100!A$2</f>
        <v>392100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IFERROR(VLOOKUP(B127,input_392100!L:R,7,FALSE),VLOOKUP(tables_392100!C127,input_392100!A:H,8,FALSE))</f>
        <v>743470</v>
      </c>
      <c r="P127" s="46">
        <f t="shared" ca="1" si="5"/>
        <v>1.0168660223930173E-2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input_392100!A$2</f>
        <v>392100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IFERROR(VLOOKUP(B128,input_392100!L:R,7,FALSE),VLOOKUP(tables_392100!C128,input_392100!A:H,8,FALSE))</f>
        <v>39407.199999999997</v>
      </c>
      <c r="P128" s="46">
        <f t="shared" ca="1" si="5"/>
        <v>5.3898399017641735E-4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input_392100!A$2</f>
        <v>392100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IFERROR(VLOOKUP(B129,input_392100!L:R,7,FALSE),VLOOKUP(tables_392100!C129,input_392100!A:H,8,FALSE))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input_392100!A$2</f>
        <v>392100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IFERROR(VLOOKUP(B130,input_392100!L:R,7,FALSE),VLOOKUP(tables_392100!C130,input_392100!A:H,8,FALSE))</f>
        <v>743470</v>
      </c>
      <c r="P130" s="46">
        <f t="shared" ref="P130:P193" ca="1" si="8">O130/SUM(O:O)</f>
        <v>1.0168660223930173E-2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input_392100!A$2</f>
        <v>392100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IFERROR(VLOOKUP(B131,input_392100!L:R,7,FALSE),VLOOKUP(tables_392100!C131,input_392100!A:H,8,FALSE))</f>
        <v>39407.199999999997</v>
      </c>
      <c r="P131" s="46">
        <f t="shared" ca="1" si="8"/>
        <v>5.3898399017641735E-4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input_392100!A$2</f>
        <v>392100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IFERROR(VLOOKUP(B132,input_392100!L:R,7,FALSE),VLOOKUP(tables_392100!C132,input_392100!A:H,8,FALSE))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input_392100!A$2</f>
        <v>392100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IFERROR(VLOOKUP(B133,input_392100!L:R,7,FALSE),VLOOKUP(tables_392100!C133,input_392100!A:H,8,FALSE))</f>
        <v>743470</v>
      </c>
      <c r="P133" s="46">
        <f t="shared" ca="1" si="8"/>
        <v>1.0168660223930173E-2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input_392100!A$2</f>
        <v>392100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IFERROR(VLOOKUP(B134,input_392100!L:R,7,FALSE),VLOOKUP(tables_392100!C134,input_392100!A:H,8,FALSE))</f>
        <v>39407.199999999997</v>
      </c>
      <c r="P134" s="46">
        <f t="shared" ca="1" si="8"/>
        <v>5.3898399017641735E-4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input_392100!A$2</f>
        <v>392100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IFERROR(VLOOKUP(B135,input_392100!L:R,7,FALSE),VLOOKUP(tables_392100!C135,input_392100!A:H,8,FALSE))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input_392100!A$2</f>
        <v>392100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IFERROR(VLOOKUP(B136,input_392100!L:R,7,FALSE),VLOOKUP(tables_392100!C136,input_392100!A:H,8,FALSE))</f>
        <v>743470</v>
      </c>
      <c r="P136" s="46">
        <f t="shared" ca="1" si="8"/>
        <v>1.0168660223930173E-2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input_392100!A$2</f>
        <v>392100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IFERROR(VLOOKUP(B137,input_392100!L:R,7,FALSE),VLOOKUP(tables_392100!C137,input_392100!A:H,8,FALSE))</f>
        <v>39407.199999999997</v>
      </c>
      <c r="P137" s="46">
        <f t="shared" ca="1" si="8"/>
        <v>5.3898399017641735E-4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input_392100!A$2</f>
        <v>392100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IFERROR(VLOOKUP(B138,input_392100!L:R,7,FALSE),VLOOKUP(tables_392100!C138,input_392100!A:H,8,FALSE))</f>
        <v>45220</v>
      </c>
      <c r="P138" s="46">
        <f t="shared" ca="1" si="8"/>
        <v>6.184873839241965E-4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input_392100!A$2</f>
        <v>392100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IFERROR(VLOOKUP(B139,input_392100!L:R,7,FALSE),VLOOKUP(tables_392100!C139,input_392100!A:H,8,FALSE))</f>
        <v>2380</v>
      </c>
      <c r="P139" s="46">
        <f t="shared" ca="1" si="8"/>
        <v>3.255196757495771E-5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input_392100!A$2</f>
        <v>392100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IFERROR(VLOOKUP(B140,input_392100!L:R,7,FALSE),VLOOKUP(tables_392100!C140,input_392100!A:H,8,FALSE))</f>
        <v>45220</v>
      </c>
      <c r="P140" s="46">
        <f t="shared" ca="1" si="8"/>
        <v>6.184873839241965E-4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input_392100!A$2</f>
        <v>392100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IFERROR(VLOOKUP(B141,input_392100!L:R,7,FALSE),VLOOKUP(tables_392100!C141,input_392100!A:H,8,FALSE))</f>
        <v>2380</v>
      </c>
      <c r="P141" s="46">
        <f t="shared" ca="1" si="8"/>
        <v>3.255196757495771E-5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input_392100!A$2</f>
        <v>392100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IFERROR(VLOOKUP(B142,input_392100!L:R,7,FALSE),VLOOKUP(tables_392100!C142,input_392100!A:H,8,FALSE))</f>
        <v>45220</v>
      </c>
      <c r="P142" s="46">
        <f t="shared" ca="1" si="8"/>
        <v>6.184873839241965E-4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input_392100!A$2</f>
        <v>392100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IFERROR(VLOOKUP(B143,input_392100!L:R,7,FALSE),VLOOKUP(tables_392100!C143,input_392100!A:H,8,FALSE))</f>
        <v>2380</v>
      </c>
      <c r="P143" s="46">
        <f t="shared" ca="1" si="8"/>
        <v>3.255196757495771E-5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input_392100!A$2</f>
        <v>392100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IFERROR(VLOOKUP(B144,input_392100!L:R,7,FALSE),VLOOKUP(tables_392100!C144,input_392100!A:H,8,FALSE))</f>
        <v>45220</v>
      </c>
      <c r="P144" s="46">
        <f t="shared" ca="1" si="8"/>
        <v>6.184873839241965E-4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input_392100!A$2</f>
        <v>392100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IFERROR(VLOOKUP(B145,input_392100!L:R,7,FALSE),VLOOKUP(tables_392100!C145,input_392100!A:H,8,FALSE))</f>
        <v>2380</v>
      </c>
      <c r="P145" s="46">
        <f t="shared" ca="1" si="8"/>
        <v>3.255196757495771E-5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input_392100!A$2</f>
        <v>392100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IFERROR(VLOOKUP(B146,input_392100!L:R,7,FALSE),VLOOKUP(tables_392100!C146,input_392100!A:H,8,FALSE))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input_392100!A$2</f>
        <v>392100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IFERROR(VLOOKUP(B147,input_392100!L:R,7,FALSE),VLOOKUP(tables_392100!C147,input_392100!A:H,8,FALSE))</f>
        <v>743470</v>
      </c>
      <c r="P147" s="46">
        <f t="shared" ca="1" si="8"/>
        <v>1.0168660223930173E-2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input_392100!A$2</f>
        <v>392100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IFERROR(VLOOKUP(B148,input_392100!L:R,7,FALSE),VLOOKUP(tables_392100!C148,input_392100!A:H,8,FALSE))</f>
        <v>39407.199999999997</v>
      </c>
      <c r="P148" s="46">
        <f t="shared" ca="1" si="8"/>
        <v>5.3898399017641735E-4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input_392100!A$2</f>
        <v>392100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IFERROR(VLOOKUP(B149,input_392100!L:R,7,FALSE),VLOOKUP(tables_392100!C149,input_392100!A:H,8,FALSE))</f>
        <v>45220</v>
      </c>
      <c r="P149" s="46">
        <f t="shared" ca="1" si="8"/>
        <v>6.184873839241965E-4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input_392100!A$2</f>
        <v>392100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IFERROR(VLOOKUP(B150,input_392100!L:R,7,FALSE),VLOOKUP(tables_392100!C150,input_392100!A:H,8,FALSE))</f>
        <v>2380</v>
      </c>
      <c r="P150" s="46">
        <f t="shared" ca="1" si="8"/>
        <v>3.255196757495771E-5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input_392100!A$2</f>
        <v>392100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IFERROR(VLOOKUP(B151,input_392100!L:R,7,FALSE),VLOOKUP(tables_392100!C151,input_392100!A:H,8,FALSE))</f>
        <v>45220</v>
      </c>
      <c r="P151" s="46">
        <f t="shared" ca="1" si="8"/>
        <v>6.184873839241965E-4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input_392100!A$2</f>
        <v>392100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IFERROR(VLOOKUP(B152,input_392100!L:R,7,FALSE),VLOOKUP(tables_392100!C152,input_392100!A:H,8,FALSE))</f>
        <v>2380</v>
      </c>
      <c r="P152" s="46">
        <f t="shared" ca="1" si="8"/>
        <v>3.255196757495771E-5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input_392100!A$2</f>
        <v>392100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IFERROR(VLOOKUP(B153,input_392100!L:R,7,FALSE),VLOOKUP(tables_392100!C153,input_392100!A:H,8,FALSE))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input_392100!A$2</f>
        <v>392100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IFERROR(VLOOKUP(B154,input_392100!L:R,7,FALSE),VLOOKUP(tables_392100!C154,input_392100!A:H,8,FALSE))</f>
        <v>743470</v>
      </c>
      <c r="P154" s="46">
        <f t="shared" ca="1" si="8"/>
        <v>1.0168660223930173E-2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input_392100!A$2</f>
        <v>392100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IFERROR(VLOOKUP(B155,input_392100!L:R,7,FALSE),VLOOKUP(tables_392100!C155,input_392100!A:H,8,FALSE))</f>
        <v>39407.199999999997</v>
      </c>
      <c r="P155" s="46">
        <f t="shared" ca="1" si="8"/>
        <v>5.3898399017641735E-4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input_392100!A$2</f>
        <v>392100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IFERROR(VLOOKUP(B156,input_392100!L:R,7,FALSE),VLOOKUP(tables_392100!C156,input_392100!A:H,8,FALSE))</f>
        <v>45220</v>
      </c>
      <c r="P156" s="46">
        <f t="shared" ca="1" si="8"/>
        <v>6.184873839241965E-4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input_392100!A$2</f>
        <v>392100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IFERROR(VLOOKUP(B157,input_392100!L:R,7,FALSE),VLOOKUP(tables_392100!C157,input_392100!A:H,8,FALSE))</f>
        <v>2380</v>
      </c>
      <c r="P157" s="46">
        <f t="shared" ca="1" si="8"/>
        <v>3.255196757495771E-5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input_392100!A$2</f>
        <v>392100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IFERROR(VLOOKUP(B158,input_392100!L:R,7,FALSE),VLOOKUP(tables_392100!C158,input_392100!A:H,8,FALSE))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input_392100!A$2</f>
        <v>392100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IFERROR(VLOOKUP(B159,input_392100!L:R,7,FALSE),VLOOKUP(tables_392100!C159,input_392100!A:H,8,FALSE))</f>
        <v>743470</v>
      </c>
      <c r="P159" s="46">
        <f t="shared" ca="1" si="8"/>
        <v>1.0168660223930173E-2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input_392100!A$2</f>
        <v>392100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IFERROR(VLOOKUP(B160,input_392100!L:R,7,FALSE),VLOOKUP(tables_392100!C160,input_392100!A:H,8,FALSE))</f>
        <v>39407.199999999997</v>
      </c>
      <c r="P160" s="46">
        <f t="shared" ca="1" si="8"/>
        <v>5.3898399017641735E-4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input_392100!A$2</f>
        <v>392100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IFERROR(VLOOKUP(B161,input_392100!L:R,7,FALSE),VLOOKUP(tables_392100!C161,input_392100!A:H,8,FALSE))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input_392100!A$2</f>
        <v>392100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IFERROR(VLOOKUP(B162,input_392100!L:R,7,FALSE),VLOOKUP(tables_392100!C162,input_392100!A:H,8,FALSE))</f>
        <v>743470</v>
      </c>
      <c r="P162" s="46">
        <f t="shared" ca="1" si="8"/>
        <v>1.0168660223930173E-2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input_392100!A$2</f>
        <v>392100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IFERROR(VLOOKUP(B163,input_392100!L:R,7,FALSE),VLOOKUP(tables_392100!C163,input_392100!A:H,8,FALSE))</f>
        <v>39407.199999999997</v>
      </c>
      <c r="P163" s="46">
        <f t="shared" ca="1" si="8"/>
        <v>5.3898399017641735E-4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input_392100!A$2</f>
        <v>392100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IFERROR(VLOOKUP(B164,input_392100!L:R,7,FALSE),VLOOKUP(tables_392100!C164,input_392100!A:H,8,FALSE))</f>
        <v>45220</v>
      </c>
      <c r="P164" s="46">
        <f t="shared" ca="1" si="8"/>
        <v>6.184873839241965E-4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input_392100!A$2</f>
        <v>392100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IFERROR(VLOOKUP(B165,input_392100!L:R,7,FALSE),VLOOKUP(tables_392100!C165,input_392100!A:H,8,FALSE))</f>
        <v>2380</v>
      </c>
      <c r="P165" s="46">
        <f t="shared" ca="1" si="8"/>
        <v>3.255196757495771E-5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input_392100!A$2</f>
        <v>392100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IFERROR(VLOOKUP(B166,input_392100!L:R,7,FALSE),VLOOKUP(tables_392100!C166,input_392100!A:H,8,FALSE))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input_392100!A$2</f>
        <v>392100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IFERROR(VLOOKUP(B167,input_392100!L:R,7,FALSE),VLOOKUP(tables_392100!C167,input_392100!A:H,8,FALSE))</f>
        <v>743470</v>
      </c>
      <c r="P167" s="46">
        <f t="shared" ca="1" si="8"/>
        <v>1.0168660223930173E-2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input_392100!A$2</f>
        <v>392100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IFERROR(VLOOKUP(B168,input_392100!L:R,7,FALSE),VLOOKUP(tables_392100!C168,input_392100!A:H,8,FALSE))</f>
        <v>39407.199999999997</v>
      </c>
      <c r="P168" s="46">
        <f t="shared" ca="1" si="8"/>
        <v>5.3898399017641735E-4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input_392100!A$2</f>
        <v>392100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IFERROR(VLOOKUP(B169,input_392100!L:R,7,FALSE),VLOOKUP(tables_392100!C169,input_392100!A:H,8,FALSE))</f>
        <v>45220</v>
      </c>
      <c r="P169" s="46">
        <f t="shared" ca="1" si="8"/>
        <v>6.184873839241965E-4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input_392100!A$2</f>
        <v>392100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IFERROR(VLOOKUP(B170,input_392100!L:R,7,FALSE),VLOOKUP(tables_392100!C170,input_392100!A:H,8,FALSE))</f>
        <v>2380</v>
      </c>
      <c r="P170" s="46">
        <f t="shared" ca="1" si="8"/>
        <v>3.255196757495771E-5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input_392100!A$2</f>
        <v>392100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IFERROR(VLOOKUP(B171,input_392100!L:R,7,FALSE),VLOOKUP(tables_392100!C171,input_392100!A:H,8,FALSE))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input_392100!A$2</f>
        <v>392100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IFERROR(VLOOKUP(B172,input_392100!L:R,7,FALSE),VLOOKUP(tables_392100!C172,input_392100!A:H,8,FALSE))</f>
        <v>743470</v>
      </c>
      <c r="P172" s="46">
        <f t="shared" ca="1" si="8"/>
        <v>1.0168660223930173E-2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input_392100!A$2</f>
        <v>392100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IFERROR(VLOOKUP(B173,input_392100!L:R,7,FALSE),VLOOKUP(tables_392100!C173,input_392100!A:H,8,FALSE))</f>
        <v>39407.199999999997</v>
      </c>
      <c r="P173" s="46">
        <f t="shared" ca="1" si="8"/>
        <v>5.3898399017641735E-4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input_392100!A$2</f>
        <v>392100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IFERROR(VLOOKUP(B174,input_392100!L:R,7,FALSE),VLOOKUP(tables_392100!C174,input_392100!A:H,8,FALSE))</f>
        <v>45220</v>
      </c>
      <c r="P174" s="46">
        <f t="shared" ca="1" si="8"/>
        <v>6.184873839241965E-4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input_392100!A$2</f>
        <v>392100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IFERROR(VLOOKUP(B175,input_392100!L:R,7,FALSE),VLOOKUP(tables_392100!C175,input_392100!A:H,8,FALSE))</f>
        <v>2380</v>
      </c>
      <c r="P175" s="46">
        <f t="shared" ca="1" si="8"/>
        <v>3.255196757495771E-5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input_392100!A$2</f>
        <v>392100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IFERROR(VLOOKUP(B176,input_392100!L:R,7,FALSE),VLOOKUP(tables_392100!C176,input_392100!A:H,8,FALSE))</f>
        <v>45220</v>
      </c>
      <c r="P176" s="46">
        <f t="shared" ca="1" si="8"/>
        <v>6.184873839241965E-4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input_392100!A$2</f>
        <v>392100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IFERROR(VLOOKUP(B177,input_392100!L:R,7,FALSE),VLOOKUP(tables_392100!C177,input_392100!A:H,8,FALSE))</f>
        <v>2380</v>
      </c>
      <c r="P177" s="46">
        <f t="shared" ca="1" si="8"/>
        <v>3.255196757495771E-5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input_392100!A$2</f>
        <v>392100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IFERROR(VLOOKUP(B178,input_392100!L:R,7,FALSE),VLOOKUP(tables_392100!C178,input_392100!A:H,8,FALSE))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input_392100!A$2</f>
        <v>392100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IFERROR(VLOOKUP(B179,input_392100!L:R,7,FALSE),VLOOKUP(tables_392100!C179,input_392100!A:H,8,FALSE))</f>
        <v>743470</v>
      </c>
      <c r="P179" s="46">
        <f t="shared" ca="1" si="8"/>
        <v>1.0168660223930173E-2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input_392100!A$2</f>
        <v>392100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IFERROR(VLOOKUP(B180,input_392100!L:R,7,FALSE),VLOOKUP(tables_392100!C180,input_392100!A:H,8,FALSE))</f>
        <v>39407.199999999997</v>
      </c>
      <c r="P180" s="46">
        <f t="shared" ca="1" si="8"/>
        <v>5.3898399017641735E-4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input_392100!A$2</f>
        <v>392100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IFERROR(VLOOKUP(B181,input_392100!L:R,7,FALSE),VLOOKUP(tables_392100!C181,input_392100!A:H,8,FALSE))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input_392100!A$2</f>
        <v>392100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IFERROR(VLOOKUP(B182,input_392100!L:R,7,FALSE),VLOOKUP(tables_392100!C182,input_392100!A:H,8,FALSE))</f>
        <v>743470</v>
      </c>
      <c r="P182" s="46">
        <f t="shared" ca="1" si="8"/>
        <v>1.0168660223930173E-2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input_392100!A$2</f>
        <v>392100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IFERROR(VLOOKUP(B183,input_392100!L:R,7,FALSE),VLOOKUP(tables_392100!C183,input_392100!A:H,8,FALSE))</f>
        <v>39407.199999999997</v>
      </c>
      <c r="P183" s="46">
        <f t="shared" ca="1" si="8"/>
        <v>5.3898399017641735E-4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input_392100!A$2</f>
        <v>392100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IFERROR(VLOOKUP(B184,input_392100!L:R,7,FALSE),VLOOKUP(tables_392100!C184,input_392100!A:H,8,FALSE))</f>
        <v>45220</v>
      </c>
      <c r="P184" s="46">
        <f t="shared" ca="1" si="8"/>
        <v>6.184873839241965E-4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input_392100!A$2</f>
        <v>392100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IFERROR(VLOOKUP(B185,input_392100!L:R,7,FALSE),VLOOKUP(tables_392100!C185,input_392100!A:H,8,FALSE))</f>
        <v>2380</v>
      </c>
      <c r="P185" s="46">
        <f t="shared" ca="1" si="8"/>
        <v>3.255196757495771E-5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input_392100!A$2</f>
        <v>392100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IFERROR(VLOOKUP(B186,input_392100!L:R,7,FALSE),VLOOKUP(tables_392100!C186,input_392100!A:H,8,FALSE))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input_392100!A$2</f>
        <v>392100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>IFERROR(VLOOKUP(B187,input_392100!L:R,7,FALSE),VLOOKUP(tables_392100!C187,input_392100!A:H,8,FALSE))</f>
        <v>1388900</v>
      </c>
      <c r="P187" s="46">
        <f t="shared" ca="1" si="8"/>
        <v>1.8996398220528891E-2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input_392100!A$2</f>
        <v>392100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>IFERROR(VLOOKUP(B188,input_392100!L:R,7,FALSE),VLOOKUP(tables_392100!C188,input_392100!A:H,8,FALSE))</f>
        <v>73100</v>
      </c>
      <c r="P188" s="46">
        <f t="shared" ca="1" si="8"/>
        <v>9.998104326594153E-4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input_392100!A$2</f>
        <v>392100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>IFERROR(VLOOKUP(B189,input_392100!L:R,7,FALSE),VLOOKUP(tables_392100!C189,input_392100!A:H,8,FALSE))</f>
        <v>694450</v>
      </c>
      <c r="P189" s="46">
        <f t="shared" ca="1" si="8"/>
        <v>9.4981991102644457E-3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input_392100!A$2</f>
        <v>392100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>IFERROR(VLOOKUP(B190,input_392100!L:R,7,FALSE),VLOOKUP(tables_392100!C190,input_392100!A:H,8,FALSE))</f>
        <v>36550</v>
      </c>
      <c r="P190" s="46">
        <f t="shared" ca="1" si="8"/>
        <v>4.9990521632970765E-4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input_392100!A$2</f>
        <v>392100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>IFERROR(VLOOKUP(B191,input_392100!L:R,7,FALSE),VLOOKUP(tables_392100!C191,input_392100!A:H,8,FALSE))</f>
        <v>833340</v>
      </c>
      <c r="P191" s="46">
        <f t="shared" ca="1" si="8"/>
        <v>1.1397838932317335E-2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input_392100!A$2</f>
        <v>392100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>IFERROR(VLOOKUP(B192,input_392100!L:R,7,FALSE),VLOOKUP(tables_392100!C192,input_392100!A:H,8,FALSE))</f>
        <v>43859.999999999993</v>
      </c>
      <c r="P192" s="46">
        <f t="shared" ca="1" si="8"/>
        <v>5.9988625959564912E-4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input_392100!A$2</f>
        <v>392100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IFERROR(VLOOKUP(B193,input_392100!L:R,7,FALSE),VLOOKUP(tables_392100!C193,input_392100!A:H,8,FALSE))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input_392100!A$2</f>
        <v>392100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>IFERROR(VLOOKUP(B194,input_392100!L:R,7,FALSE),VLOOKUP(tables_392100!C194,input_392100!A:H,8,FALSE))</f>
        <v>1388900</v>
      </c>
      <c r="P194" s="46">
        <f t="shared" ref="P194:P257" ca="1" si="11">O194/SUM(O:O)</f>
        <v>1.8996398220528891E-2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input_392100!A$2</f>
        <v>392100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>IFERROR(VLOOKUP(B195,input_392100!L:R,7,FALSE),VLOOKUP(tables_392100!C195,input_392100!A:H,8,FALSE))</f>
        <v>73100</v>
      </c>
      <c r="P195" s="46">
        <f t="shared" ca="1" si="11"/>
        <v>9.998104326594153E-4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input_392100!A$2</f>
        <v>392100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IFERROR(VLOOKUP(B196,input_392100!L:R,7,FALSE),VLOOKUP(tables_392100!C196,input_392100!A:H,8,FALSE))</f>
        <v>45220</v>
      </c>
      <c r="P196" s="46">
        <f t="shared" ca="1" si="11"/>
        <v>6.184873839241965E-4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input_392100!A$2</f>
        <v>392100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IFERROR(VLOOKUP(B197,input_392100!L:R,7,FALSE),VLOOKUP(tables_392100!C197,input_392100!A:H,8,FALSE))</f>
        <v>2380</v>
      </c>
      <c r="P197" s="46">
        <f t="shared" ca="1" si="11"/>
        <v>3.255196757495771E-5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input_392100!A$2</f>
        <v>392100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IFERROR(VLOOKUP(B198,input_392100!L:R,7,FALSE),VLOOKUP(tables_392100!C198,input_392100!A:H,8,FALSE))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input_392100!A$2</f>
        <v>392100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IFERROR(VLOOKUP(B199,input_392100!L:R,7,FALSE),VLOOKUP(tables_392100!C199,input_392100!A:H,8,FALSE))</f>
        <v>743470</v>
      </c>
      <c r="P199" s="46">
        <f t="shared" ca="1" si="11"/>
        <v>1.0168660223930173E-2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input_392100!A$2</f>
        <v>392100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IFERROR(VLOOKUP(B200,input_392100!L:R,7,FALSE),VLOOKUP(tables_392100!C200,input_392100!A:H,8,FALSE))</f>
        <v>39407.199999999997</v>
      </c>
      <c r="P200" s="46">
        <f t="shared" ca="1" si="11"/>
        <v>5.3898399017641735E-4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input_392100!A$2</f>
        <v>392100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IFERROR(VLOOKUP(B201,input_392100!L:R,7,FALSE),VLOOKUP(tables_392100!C201,input_392100!A:H,8,FALSE))</f>
        <v>45220</v>
      </c>
      <c r="P201" s="46">
        <f t="shared" ca="1" si="11"/>
        <v>6.184873839241965E-4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input_392100!A$2</f>
        <v>392100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IFERROR(VLOOKUP(B202,input_392100!L:R,7,FALSE),VLOOKUP(tables_392100!C202,input_392100!A:H,8,FALSE))</f>
        <v>2380</v>
      </c>
      <c r="P202" s="46">
        <f t="shared" ca="1" si="11"/>
        <v>3.255196757495771E-5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input_392100!A$2</f>
        <v>392100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IFERROR(VLOOKUP(B203,input_392100!L:R,7,FALSE),VLOOKUP(tables_392100!C203,input_392100!A:H,8,FALSE))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input_392100!A$2</f>
        <v>392100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IFERROR(VLOOKUP(B204,input_392100!L:R,7,FALSE),VLOOKUP(tables_392100!C204,input_392100!A:H,8,FALSE))</f>
        <v>743470</v>
      </c>
      <c r="P204" s="46">
        <f t="shared" ca="1" si="11"/>
        <v>1.0168660223930173E-2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input_392100!A$2</f>
        <v>392100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IFERROR(VLOOKUP(B205,input_392100!L:R,7,FALSE),VLOOKUP(tables_392100!C205,input_392100!A:H,8,FALSE))</f>
        <v>39407.199999999997</v>
      </c>
      <c r="P205" s="46">
        <f t="shared" ca="1" si="11"/>
        <v>5.3898399017641735E-4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input_392100!A$2</f>
        <v>392100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IFERROR(VLOOKUP(B206,input_392100!L:R,7,FALSE),VLOOKUP(tables_392100!C206,input_392100!A:H,8,FALSE))</f>
        <v>45220</v>
      </c>
      <c r="P206" s="46">
        <f t="shared" ca="1" si="11"/>
        <v>6.184873839241965E-4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input_392100!A$2</f>
        <v>392100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IFERROR(VLOOKUP(B207,input_392100!L:R,7,FALSE),VLOOKUP(tables_392100!C207,input_392100!A:H,8,FALSE))</f>
        <v>2380</v>
      </c>
      <c r="P207" s="46">
        <f t="shared" ca="1" si="11"/>
        <v>3.255196757495771E-5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input_392100!A$2</f>
        <v>392100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IFERROR(VLOOKUP(B208,input_392100!L:R,7,FALSE),VLOOKUP(tables_392100!C208,input_392100!A:H,8,FALSE))</f>
        <v>45220</v>
      </c>
      <c r="P208" s="46">
        <f t="shared" ca="1" si="11"/>
        <v>6.184873839241965E-4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input_392100!A$2</f>
        <v>392100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IFERROR(VLOOKUP(B209,input_392100!L:R,7,FALSE),VLOOKUP(tables_392100!C209,input_392100!A:H,8,FALSE))</f>
        <v>2380</v>
      </c>
      <c r="P209" s="46">
        <f t="shared" ca="1" si="11"/>
        <v>3.255196757495771E-5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input_392100!A$2</f>
        <v>392100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IFERROR(VLOOKUP(B210,input_392100!L:R,7,FALSE),VLOOKUP(tables_392100!C210,input_392100!A:H,8,FALSE))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input_392100!A$2</f>
        <v>392100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IFERROR(VLOOKUP(B211,input_392100!L:R,7,FALSE),VLOOKUP(tables_392100!C211,input_392100!A:H,8,FALSE))</f>
        <v>743470</v>
      </c>
      <c r="P211" s="46">
        <f t="shared" ca="1" si="11"/>
        <v>1.0168660223930173E-2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input_392100!A$2</f>
        <v>392100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IFERROR(VLOOKUP(B212,input_392100!L:R,7,FALSE),VLOOKUP(tables_392100!C212,input_392100!A:H,8,FALSE))</f>
        <v>39407.199999999997</v>
      </c>
      <c r="P212" s="46">
        <f t="shared" ca="1" si="11"/>
        <v>5.3898399017641735E-4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input_392100!A$2</f>
        <v>392100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IFERROR(VLOOKUP(B213,input_392100!L:R,7,FALSE),VLOOKUP(tables_392100!C213,input_392100!A:H,8,FALSE))</f>
        <v>45220</v>
      </c>
      <c r="P213" s="46">
        <f t="shared" ca="1" si="11"/>
        <v>6.184873839241965E-4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input_392100!A$2</f>
        <v>392100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IFERROR(VLOOKUP(B214,input_392100!L:R,7,FALSE),VLOOKUP(tables_392100!C214,input_392100!A:H,8,FALSE))</f>
        <v>2380</v>
      </c>
      <c r="P214" s="46">
        <f t="shared" ca="1" si="11"/>
        <v>3.255196757495771E-5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input_392100!A$2</f>
        <v>392100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IFERROR(VLOOKUP(B215,input_392100!L:R,7,FALSE),VLOOKUP(tables_392100!C215,input_392100!A:H,8,FALSE))</f>
        <v>45220</v>
      </c>
      <c r="P215" s="46">
        <f t="shared" ca="1" si="11"/>
        <v>6.184873839241965E-4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input_392100!A$2</f>
        <v>392100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IFERROR(VLOOKUP(B216,input_392100!L:R,7,FALSE),VLOOKUP(tables_392100!C216,input_392100!A:H,8,FALSE))</f>
        <v>2380</v>
      </c>
      <c r="P216" s="46">
        <f t="shared" ca="1" si="11"/>
        <v>3.255196757495771E-5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input_392100!A$2</f>
        <v>392100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IFERROR(VLOOKUP(B217,input_392100!L:R,7,FALSE),VLOOKUP(tables_392100!C217,input_392100!A:H,8,FALSE))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input_392100!A$2</f>
        <v>392100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IFERROR(VLOOKUP(B218,input_392100!L:R,7,FALSE),VLOOKUP(tables_392100!C218,input_392100!A:H,8,FALSE))</f>
        <v>743470</v>
      </c>
      <c r="P218" s="46">
        <f t="shared" ca="1" si="11"/>
        <v>1.0168660223930173E-2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input_392100!A$2</f>
        <v>392100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IFERROR(VLOOKUP(B219,input_392100!L:R,7,FALSE),VLOOKUP(tables_392100!C219,input_392100!A:H,8,FALSE))</f>
        <v>39407.199999999997</v>
      </c>
      <c r="P219" s="46">
        <f t="shared" ca="1" si="11"/>
        <v>5.3898399017641735E-4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input_392100!A$2</f>
        <v>392100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IFERROR(VLOOKUP(B220,input_392100!L:R,7,FALSE),VLOOKUP(tables_392100!C220,input_392100!A:H,8,FALSE))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input_392100!A$2</f>
        <v>392100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IFERROR(VLOOKUP(B221,input_392100!L:R,7,FALSE),VLOOKUP(tables_392100!C221,input_392100!A:H,8,FALSE))</f>
        <v>743470</v>
      </c>
      <c r="P221" s="46">
        <f t="shared" ca="1" si="11"/>
        <v>1.0168660223930173E-2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input_392100!A$2</f>
        <v>392100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IFERROR(VLOOKUP(B222,input_392100!L:R,7,FALSE),VLOOKUP(tables_392100!C222,input_392100!A:H,8,FALSE))</f>
        <v>39407.199999999997</v>
      </c>
      <c r="P222" s="46">
        <f t="shared" ca="1" si="11"/>
        <v>5.3898399017641735E-4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input_392100!A$2</f>
        <v>392100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IFERROR(VLOOKUP(B223,input_392100!L:R,7,FALSE),VLOOKUP(tables_392100!C223,input_392100!A:H,8,FALSE))</f>
        <v>45220</v>
      </c>
      <c r="P223" s="46">
        <f t="shared" ca="1" si="11"/>
        <v>6.184873839241965E-4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input_392100!A$2</f>
        <v>392100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IFERROR(VLOOKUP(B224,input_392100!L:R,7,FALSE),VLOOKUP(tables_392100!C224,input_392100!A:H,8,FALSE))</f>
        <v>2380</v>
      </c>
      <c r="P224" s="46">
        <f t="shared" ca="1" si="11"/>
        <v>3.255196757495771E-5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input_392100!A$2</f>
        <v>392100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IFERROR(VLOOKUP(B225,input_392100!L:R,7,FALSE),VLOOKUP(tables_392100!C225,input_392100!A:H,8,FALSE))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input_392100!A$2</f>
        <v>392100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IFERROR(VLOOKUP(B226,input_392100!L:R,7,FALSE),VLOOKUP(tables_392100!C226,input_392100!A:H,8,FALSE))</f>
        <v>743470</v>
      </c>
      <c r="P226" s="46">
        <f t="shared" ca="1" si="11"/>
        <v>1.0168660223930173E-2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input_392100!A$2</f>
        <v>392100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IFERROR(VLOOKUP(B227,input_392100!L:R,7,FALSE),VLOOKUP(tables_392100!C227,input_392100!A:H,8,FALSE))</f>
        <v>39407.199999999997</v>
      </c>
      <c r="P227" s="46">
        <f t="shared" ca="1" si="11"/>
        <v>5.3898399017641735E-4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input_392100!A$2</f>
        <v>392100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IFERROR(VLOOKUP(B228,input_392100!L:R,7,FALSE),VLOOKUP(tables_392100!C228,input_392100!A:H,8,FALSE))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input_392100!A$2</f>
        <v>392100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IFERROR(VLOOKUP(B229,input_392100!L:R,7,FALSE),VLOOKUP(tables_392100!C229,input_392100!A:H,8,FALSE))</f>
        <v>743470</v>
      </c>
      <c r="P229" s="46">
        <f t="shared" ca="1" si="11"/>
        <v>1.0168660223930173E-2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input_392100!A$2</f>
        <v>392100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IFERROR(VLOOKUP(B230,input_392100!L:R,7,FALSE),VLOOKUP(tables_392100!C230,input_392100!A:H,8,FALSE))</f>
        <v>39407.199999999997</v>
      </c>
      <c r="P230" s="46">
        <f t="shared" ca="1" si="11"/>
        <v>5.3898399017641735E-4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input_392100!A$2</f>
        <v>392100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IFERROR(VLOOKUP(B231,input_392100!L:R,7,FALSE),VLOOKUP(tables_392100!C231,input_392100!A:H,8,FALSE))</f>
        <v>45220</v>
      </c>
      <c r="P231" s="46">
        <f t="shared" ca="1" si="11"/>
        <v>6.184873839241965E-4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input_392100!A$2</f>
        <v>392100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IFERROR(VLOOKUP(B232,input_392100!L:R,7,FALSE),VLOOKUP(tables_392100!C232,input_392100!A:H,8,FALSE))</f>
        <v>2380</v>
      </c>
      <c r="P232" s="46">
        <f t="shared" ca="1" si="11"/>
        <v>3.255196757495771E-5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input_392100!A$2</f>
        <v>392100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IFERROR(VLOOKUP(B233,input_392100!L:R,7,FALSE),VLOOKUP(tables_392100!C233,input_392100!A:H,8,FALSE))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input_392100!A$2</f>
        <v>392100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IFERROR(VLOOKUP(B234,input_392100!L:R,7,FALSE),VLOOKUP(tables_392100!C234,input_392100!A:H,8,FALSE))</f>
        <v>743470</v>
      </c>
      <c r="P234" s="46">
        <f t="shared" ca="1" si="11"/>
        <v>1.0168660223930173E-2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input_392100!A$2</f>
        <v>392100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IFERROR(VLOOKUP(B235,input_392100!L:R,7,FALSE),VLOOKUP(tables_392100!C235,input_392100!A:H,8,FALSE))</f>
        <v>39407.199999999997</v>
      </c>
      <c r="P235" s="46">
        <f t="shared" ca="1" si="11"/>
        <v>5.3898399017641735E-4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input_392100!A$2</f>
        <v>392100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IFERROR(VLOOKUP(B236,input_392100!L:R,7,FALSE),VLOOKUP(tables_392100!C236,input_392100!A:H,8,FALSE))</f>
        <v>45220</v>
      </c>
      <c r="P236" s="46">
        <f t="shared" ca="1" si="11"/>
        <v>6.184873839241965E-4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input_392100!A$2</f>
        <v>392100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IFERROR(VLOOKUP(B237,input_392100!L:R,7,FALSE),VLOOKUP(tables_392100!C237,input_392100!A:H,8,FALSE))</f>
        <v>2380</v>
      </c>
      <c r="P237" s="46">
        <f t="shared" ca="1" si="11"/>
        <v>3.255196757495771E-5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input_392100!A$2</f>
        <v>392100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IFERROR(VLOOKUP(B238,input_392100!L:R,7,FALSE),VLOOKUP(tables_392100!C238,input_392100!A:H,8,FALSE))</f>
        <v>45220</v>
      </c>
      <c r="P238" s="46">
        <f t="shared" ca="1" si="11"/>
        <v>6.184873839241965E-4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input_392100!A$2</f>
        <v>392100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IFERROR(VLOOKUP(B239,input_392100!L:R,7,FALSE),VLOOKUP(tables_392100!C239,input_392100!A:H,8,FALSE))</f>
        <v>2380</v>
      </c>
      <c r="P239" s="46">
        <f t="shared" ca="1" si="11"/>
        <v>3.255196757495771E-5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input_392100!A$2</f>
        <v>392100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IFERROR(VLOOKUP(B240,input_392100!L:R,7,FALSE),VLOOKUP(tables_392100!C240,input_392100!A:H,8,FALSE))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input_392100!A$2</f>
        <v>392100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IFERROR(VLOOKUP(B241,input_392100!L:R,7,FALSE),VLOOKUP(tables_392100!C241,input_392100!A:H,8,FALSE))</f>
        <v>743470</v>
      </c>
      <c r="P241" s="46">
        <f t="shared" ca="1" si="11"/>
        <v>1.0168660223930173E-2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input_392100!A$2</f>
        <v>392100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IFERROR(VLOOKUP(B242,input_392100!L:R,7,FALSE),VLOOKUP(tables_392100!C242,input_392100!A:H,8,FALSE))</f>
        <v>39407.199999999997</v>
      </c>
      <c r="P242" s="46">
        <f t="shared" ca="1" si="11"/>
        <v>5.3898399017641735E-4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input_392100!A$2</f>
        <v>392100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IFERROR(VLOOKUP(B243,input_392100!L:R,7,FALSE),VLOOKUP(tables_392100!C243,input_392100!A:H,8,FALSE))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input_392100!A$2</f>
        <v>392100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IFERROR(VLOOKUP(B244,input_392100!L:R,7,FALSE),VLOOKUP(tables_392100!C244,input_392100!A:H,8,FALSE))</f>
        <v>743470</v>
      </c>
      <c r="P244" s="46">
        <f t="shared" ca="1" si="11"/>
        <v>1.0168660223930173E-2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input_392100!A$2</f>
        <v>392100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IFERROR(VLOOKUP(B245,input_392100!L:R,7,FALSE),VLOOKUP(tables_392100!C245,input_392100!A:H,8,FALSE))</f>
        <v>39407.199999999997</v>
      </c>
      <c r="P245" s="46">
        <f t="shared" ca="1" si="11"/>
        <v>5.3898399017641735E-4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input_392100!A$2</f>
        <v>392100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IFERROR(VLOOKUP(B246,input_392100!L:R,7,FALSE),VLOOKUP(tables_392100!C246,input_392100!A:H,8,FALSE))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input_392100!A$2</f>
        <v>392100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IFERROR(VLOOKUP(B247,input_392100!L:R,7,FALSE),VLOOKUP(tables_392100!C247,input_392100!A:H,8,FALSE))</f>
        <v>743470</v>
      </c>
      <c r="P247" s="46">
        <f t="shared" ca="1" si="11"/>
        <v>1.0168660223930173E-2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input_392100!A$2</f>
        <v>392100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IFERROR(VLOOKUP(B248,input_392100!L:R,7,FALSE),VLOOKUP(tables_392100!C248,input_392100!A:H,8,FALSE))</f>
        <v>39407.199999999997</v>
      </c>
      <c r="P248" s="46">
        <f t="shared" ca="1" si="11"/>
        <v>5.3898399017641735E-4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input_392100!A$2</f>
        <v>392100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IFERROR(VLOOKUP(B249,input_392100!L:R,7,FALSE),VLOOKUP(tables_392100!C249,input_392100!A:H,8,FALSE))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input_392100!A$2</f>
        <v>392100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IFERROR(VLOOKUP(B250,input_392100!L:R,7,FALSE),VLOOKUP(tables_392100!C250,input_392100!A:H,8,FALSE))</f>
        <v>743470</v>
      </c>
      <c r="P250" s="46">
        <f t="shared" ca="1" si="11"/>
        <v>1.0168660223930173E-2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input_392100!A$2</f>
        <v>392100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IFERROR(VLOOKUP(B251,input_392100!L:R,7,FALSE),VLOOKUP(tables_392100!C251,input_392100!A:H,8,FALSE))</f>
        <v>39407.199999999997</v>
      </c>
      <c r="P251" s="46">
        <f t="shared" ca="1" si="11"/>
        <v>5.3898399017641735E-4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input_392100!A$2</f>
        <v>392100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IFERROR(VLOOKUP(B252,input_392100!L:R,7,FALSE),VLOOKUP(tables_392100!C252,input_392100!A:H,8,FALSE))</f>
        <v>45220</v>
      </c>
      <c r="P252" s="46">
        <f t="shared" ca="1" si="11"/>
        <v>6.184873839241965E-4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input_392100!A$2</f>
        <v>392100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IFERROR(VLOOKUP(B253,input_392100!L:R,7,FALSE),VLOOKUP(tables_392100!C253,input_392100!A:H,8,FALSE))</f>
        <v>2380</v>
      </c>
      <c r="P253" s="46">
        <f t="shared" ca="1" si="11"/>
        <v>3.255196757495771E-5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input_392100!A$2</f>
        <v>392100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IFERROR(VLOOKUP(B254,input_392100!L:R,7,FALSE),VLOOKUP(tables_392100!C254,input_392100!A:H,8,FALSE))</f>
        <v>45220</v>
      </c>
      <c r="P254" s="46">
        <f t="shared" ca="1" si="11"/>
        <v>6.184873839241965E-4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input_392100!A$2</f>
        <v>392100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IFERROR(VLOOKUP(B255,input_392100!L:R,7,FALSE),VLOOKUP(tables_392100!C255,input_392100!A:H,8,FALSE))</f>
        <v>2380</v>
      </c>
      <c r="P255" s="46">
        <f t="shared" ca="1" si="11"/>
        <v>3.255196757495771E-5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input_392100!A$2</f>
        <v>392100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IFERROR(VLOOKUP(B256,input_392100!L:R,7,FALSE),VLOOKUP(tables_392100!C256,input_392100!A:H,8,FALSE))</f>
        <v>743470</v>
      </c>
      <c r="P256" s="46">
        <f t="shared" ca="1" si="11"/>
        <v>1.0168660223930173E-2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input_392100!A$2</f>
        <v>392100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IFERROR(VLOOKUP(B257,input_392100!L:R,7,FALSE),VLOOKUP(tables_392100!C257,input_392100!A:H,8,FALSE))</f>
        <v>39130</v>
      </c>
      <c r="P257" s="46">
        <f t="shared" ca="1" si="11"/>
        <v>5.351926433647459E-4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input_392100!A$2</f>
        <v>392100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IFERROR(VLOOKUP(B258,input_392100!L:R,7,FALSE),VLOOKUP(tables_392100!C258,input_392100!A:H,8,FALSE))</f>
        <v>743470</v>
      </c>
      <c r="P258" s="46">
        <f t="shared" ref="P258:P294" ca="1" si="14">O258/SUM(O:O)</f>
        <v>1.0168660223930173E-2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input_392100!A$2</f>
        <v>392100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IFERROR(VLOOKUP(B259,input_392100!L:R,7,FALSE),VLOOKUP(tables_392100!C259,input_392100!A:H,8,FALSE))</f>
        <v>39130</v>
      </c>
      <c r="P259" s="46">
        <f t="shared" ca="1" si="14"/>
        <v>5.351926433647459E-4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input_392100!A$2</f>
        <v>392100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IFERROR(VLOOKUP(B260,input_392100!L:R,7,FALSE),VLOOKUP(tables_392100!C260,input_392100!A:H,8,FALSE))</f>
        <v>47600</v>
      </c>
      <c r="P260" s="46">
        <f t="shared" ca="1" si="14"/>
        <v>6.5103935149915418E-4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input_392100!A$2</f>
        <v>392100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IFERROR(VLOOKUP(B261,input_392100!L:R,7,FALSE),VLOOKUP(tables_392100!C261,input_392100!A:H,8,FALSE))</f>
        <v>47600</v>
      </c>
      <c r="P261" s="46">
        <f t="shared" ca="1" si="14"/>
        <v>6.5103935149915418E-4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input_392100!A$2</f>
        <v>392100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IFERROR(VLOOKUP(B262,input_392100!L:R,7,FALSE),VLOOKUP(tables_392100!C262,input_392100!A:H,8,FALSE))</f>
        <v>45220</v>
      </c>
      <c r="P262" s="46">
        <f t="shared" ca="1" si="14"/>
        <v>6.184873839241965E-4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input_392100!A$2</f>
        <v>392100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IFERROR(VLOOKUP(B263,input_392100!L:R,7,FALSE),VLOOKUP(tables_392100!C263,input_392100!A:H,8,FALSE))</f>
        <v>2380</v>
      </c>
      <c r="P263" s="46">
        <f t="shared" ca="1" si="14"/>
        <v>3.255196757495771E-5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input_392100!A$2</f>
        <v>392100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IFERROR(VLOOKUP(B264,input_392100!L:R,7,FALSE),VLOOKUP(tables_392100!C264,input_392100!A:H,8,FALSE))</f>
        <v>45220</v>
      </c>
      <c r="P264" s="46">
        <f t="shared" ca="1" si="14"/>
        <v>6.184873839241965E-4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input_392100!A$2</f>
        <v>392100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IFERROR(VLOOKUP(B265,input_392100!L:R,7,FALSE),VLOOKUP(tables_392100!C265,input_392100!A:H,8,FALSE))</f>
        <v>2380</v>
      </c>
      <c r="P265" s="46">
        <f t="shared" ca="1" si="14"/>
        <v>3.255196757495771E-5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input_392100!A$2</f>
        <v>392100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IFERROR(VLOOKUP(B266,input_392100!L:R,7,FALSE),VLOOKUP(tables_392100!C266,input_392100!A:H,8,FALSE))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input_392100!A$2</f>
        <v>392100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IFERROR(VLOOKUP(B267,input_392100!L:R,7,FALSE),VLOOKUP(tables_392100!C267,input_392100!A:H,8,FALSE))</f>
        <v>743470</v>
      </c>
      <c r="P267" s="46">
        <f t="shared" ca="1" si="14"/>
        <v>1.0168660223930173E-2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input_392100!A$2</f>
        <v>392100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IFERROR(VLOOKUP(B268,input_392100!L:R,7,FALSE),VLOOKUP(tables_392100!C268,input_392100!A:H,8,FALSE))</f>
        <v>39407.199999999997</v>
      </c>
      <c r="P268" s="46">
        <f t="shared" ca="1" si="14"/>
        <v>5.3898399017641735E-4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input_392100!A$2</f>
        <v>392100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IFERROR(VLOOKUP(B269,input_392100!L:R,7,FALSE),VLOOKUP(tables_392100!C269,input_392100!A:H,8,FALSE))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input_392100!A$2</f>
        <v>392100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IFERROR(VLOOKUP(B270,input_392100!L:R,7,FALSE),VLOOKUP(tables_392100!C270,input_392100!A:H,8,FALSE))</f>
        <v>743470</v>
      </c>
      <c r="P270" s="46">
        <f t="shared" ca="1" si="14"/>
        <v>1.0168660223930173E-2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input_392100!A$2</f>
        <v>392100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IFERROR(VLOOKUP(B271,input_392100!L:R,7,FALSE),VLOOKUP(tables_392100!C271,input_392100!A:H,8,FALSE))</f>
        <v>39407.199999999997</v>
      </c>
      <c r="P271" s="46">
        <f t="shared" ca="1" si="14"/>
        <v>5.3898399017641735E-4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input_392100!A$2</f>
        <v>392100</v>
      </c>
      <c r="B272" s="81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IFERROR(VLOOKUP(B272,input_392100!L:R,7,FALSE),VLOOKUP(tables_392100!C272,input_392100!A:H,8,FALSE))</f>
        <v>47600</v>
      </c>
      <c r="P272" s="46">
        <f t="shared" ca="1" si="14"/>
        <v>6.5103935149915418E-4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input_392100!A$2</f>
        <v>392100</v>
      </c>
      <c r="B273" s="81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IFERROR(VLOOKUP(B273,input_392100!L:R,7,FALSE),VLOOKUP(tables_392100!C273,input_392100!A:H,8,FALSE))</f>
        <v>47600</v>
      </c>
      <c r="P273" s="46">
        <f t="shared" ca="1" si="14"/>
        <v>6.5103935149915418E-4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input_392100!A$2</f>
        <v>392100</v>
      </c>
      <c r="B274" s="81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IFERROR(VLOOKUP(B274,input_392100!L:R,7,FALSE),VLOOKUP(tables_392100!C274,input_392100!A:H,8,FALSE))</f>
        <v>743470</v>
      </c>
      <c r="P274" s="46">
        <f t="shared" ca="1" si="14"/>
        <v>1.0168660223930173E-2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input_392100!A$2</f>
        <v>392100</v>
      </c>
      <c r="B275" s="81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IFERROR(VLOOKUP(B275,input_392100!L:R,7,FALSE),VLOOKUP(tables_392100!C275,input_392100!A:H,8,FALSE))</f>
        <v>39130</v>
      </c>
      <c r="P275" s="46">
        <f t="shared" ca="1" si="14"/>
        <v>5.351926433647459E-4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input_392100!A$2</f>
        <v>392100</v>
      </c>
      <c r="B276" s="81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IFERROR(VLOOKUP(B276,input_392100!L:R,7,FALSE),VLOOKUP(tables_392100!C276,input_392100!A:H,8,FALSE))</f>
        <v>743470</v>
      </c>
      <c r="P276" s="46">
        <f t="shared" ca="1" si="14"/>
        <v>1.0168660223930173E-2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input_392100!A$2</f>
        <v>392100</v>
      </c>
      <c r="B277" s="81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IFERROR(VLOOKUP(B277,input_392100!L:R,7,FALSE),VLOOKUP(tables_392100!C277,input_392100!A:H,8,FALSE))</f>
        <v>39130</v>
      </c>
      <c r="P277" s="46">
        <f t="shared" ca="1" si="14"/>
        <v>5.351926433647459E-4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input_392100!A$2</f>
        <v>392100</v>
      </c>
      <c r="B278" s="81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IFERROR(VLOOKUP(B278,input_392100!L:R,7,FALSE),VLOOKUP(tables_392100!C278,input_392100!A:H,8,FALSE))</f>
        <v>743470</v>
      </c>
      <c r="P278" s="46">
        <f t="shared" ca="1" si="14"/>
        <v>1.0168660223930173E-2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input_392100!A$2</f>
        <v>392100</v>
      </c>
      <c r="B279" s="81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IFERROR(VLOOKUP(B279,input_392100!L:R,7,FALSE),VLOOKUP(tables_392100!C279,input_392100!A:H,8,FALSE))</f>
        <v>39130</v>
      </c>
      <c r="P279" s="46">
        <f t="shared" ca="1" si="14"/>
        <v>5.351926433647459E-4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input_392100!A$2</f>
        <v>392100</v>
      </c>
      <c r="B280" s="81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IFERROR(VLOOKUP(B280,input_392100!L:R,7,FALSE),VLOOKUP(tables_392100!C280,input_392100!A:H,8,FALSE))</f>
        <v>743470</v>
      </c>
      <c r="P280" s="46">
        <f t="shared" ca="1" si="14"/>
        <v>1.0168660223930173E-2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input_392100!A$2</f>
        <v>392100</v>
      </c>
      <c r="B281" s="81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IFERROR(VLOOKUP(B281,input_392100!L:R,7,FALSE),VLOOKUP(tables_392100!C281,input_392100!A:H,8,FALSE))</f>
        <v>39130</v>
      </c>
      <c r="P281" s="46">
        <f t="shared" ca="1" si="14"/>
        <v>5.351926433647459E-4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input_392100!A$2</f>
        <v>392100</v>
      </c>
      <c r="B282" s="81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IFERROR(VLOOKUP(B282,input_392100!L:R,7,FALSE),VLOOKUP(tables_392100!C282,input_392100!A:H,8,FALSE))</f>
        <v>47600</v>
      </c>
      <c r="P282" s="46">
        <f t="shared" ca="1" si="14"/>
        <v>6.5103935149915418E-4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input_392100!A$2</f>
        <v>392100</v>
      </c>
      <c r="B283" s="81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IFERROR(VLOOKUP(B283,input_392100!L:R,7,FALSE),VLOOKUP(tables_392100!C283,input_392100!A:H,8,FALSE))</f>
        <v>47600</v>
      </c>
      <c r="P283" s="46">
        <f t="shared" ca="1" si="14"/>
        <v>6.5103935149915418E-4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input_392100!A$2</f>
        <v>392100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IFERROR(VLOOKUP(B284,input_392100!L:R,7,FALSE),VLOOKUP(tables_392100!C284,input_392100!A:H,8,FALSE))</f>
        <v>47600</v>
      </c>
      <c r="P284" s="46">
        <f t="shared" ca="1" si="14"/>
        <v>6.5103935149915418E-4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input_392100!A$2</f>
        <v>392100</v>
      </c>
      <c r="B285" s="91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IFERROR(VLOOKUP(B285,input_392100!L:R,7,FALSE),VLOOKUP(tables_392100!C285,input_392100!A:H,8,FALSE))</f>
        <v>47600</v>
      </c>
      <c r="P285" s="46">
        <f t="shared" ca="1" si="14"/>
        <v>6.5103935149915418E-4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input_392100!A$2</f>
        <v>392100</v>
      </c>
      <c r="B286" s="91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IFERROR(VLOOKUP(B286,input_392100!L:R,7,FALSE),VLOOKUP(tables_392100!C286,input_392100!A:H,8,FALSE))</f>
        <v>743470</v>
      </c>
      <c r="P286" s="46">
        <f t="shared" ca="1" si="14"/>
        <v>1.0168660223930173E-2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input_392100!A$2</f>
        <v>392100</v>
      </c>
      <c r="B287" s="91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IFERROR(VLOOKUP(B287,input_392100!L:R,7,FALSE),VLOOKUP(tables_392100!C287,input_392100!A:H,8,FALSE))</f>
        <v>39130</v>
      </c>
      <c r="P287" s="46">
        <f t="shared" ca="1" si="14"/>
        <v>5.351926433647459E-4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input_392100!A$2</f>
        <v>392100</v>
      </c>
      <c r="B288" s="91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IFERROR(VLOOKUP(B288,input_392100!L:R,7,FALSE),VLOOKUP(tables_392100!C288,input_392100!A:H,8,FALSE))</f>
        <v>743470</v>
      </c>
      <c r="P288" s="46">
        <f t="shared" ca="1" si="14"/>
        <v>1.0168660223930173E-2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input_392100!A$2</f>
        <v>392100</v>
      </c>
      <c r="B289" s="91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IFERROR(VLOOKUP(B289,input_392100!L:R,7,FALSE),VLOOKUP(tables_392100!C289,input_392100!A:H,8,FALSE))</f>
        <v>39130</v>
      </c>
      <c r="P289" s="46">
        <f t="shared" ca="1" si="14"/>
        <v>5.351926433647459E-4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input_392100!A$2</f>
        <v>392100</v>
      </c>
      <c r="B290" s="5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IFERROR(VLOOKUP(B290,input_392100!L:R,7,FALSE),VLOOKUP(tables_392100!C290,input_392100!A:H,8,FALSE))</f>
        <v>47600</v>
      </c>
      <c r="P290" s="46">
        <f t="shared" ca="1" si="14"/>
        <v>6.5103935149915418E-4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input_392100!A$2</f>
        <v>392100</v>
      </c>
      <c r="B291" s="5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IFERROR(VLOOKUP(B291,input_392100!L:R,7,FALSE),VLOOKUP(tables_392100!C291,input_392100!A:H,8,FALSE))</f>
        <v>743470</v>
      </c>
      <c r="P291" s="46">
        <f t="shared" ca="1" si="14"/>
        <v>1.0168660223930173E-2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input_392100!A$2</f>
        <v>392100</v>
      </c>
      <c r="B292" s="5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IFERROR(VLOOKUP(B292,input_392100!L:R,7,FALSE),VLOOKUP(tables_392100!C292,input_392100!A:H,8,FALSE))</f>
        <v>39130</v>
      </c>
      <c r="P292" s="46">
        <f t="shared" ca="1" si="14"/>
        <v>5.351926433647459E-4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input_392100!A$2</f>
        <v>392100</v>
      </c>
      <c r="B293" s="5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IFERROR(VLOOKUP(B293,input_392100!L:R,7,FALSE),VLOOKUP(tables_392100!C293,input_392100!A:H,8,FALSE))</f>
        <v>47600</v>
      </c>
      <c r="P293" s="46">
        <f t="shared" ca="1" si="14"/>
        <v>6.5103935149915418E-4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input_392100!A$2</f>
        <v>392100</v>
      </c>
      <c r="B294" s="5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IFERROR(VLOOKUP(B294,input_392100!L:R,7,FALSE),VLOOKUP(tables_392100!C294,input_392100!A:H,8,FALSE))</f>
        <v>47600</v>
      </c>
      <c r="P294" s="46">
        <f t="shared" ca="1" si="14"/>
        <v>6.5103935149915418E-4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input_392100!A$2</f>
        <v>392100</v>
      </c>
      <c r="B295" s="5">
        <v>1012</v>
      </c>
      <c r="C295" s="7" t="str">
        <f t="shared" ref="C295:C299" si="23">D295&amp;J295&amp;E295&amp;F295&amp;G295</f>
        <v>PremiumSS5R5only</v>
      </c>
      <c r="D295" s="7" t="str">
        <f t="shared" ref="D295:D299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IFERROR(VLOOKUP(B295,input_392100!L:R,7,FALSE),VLOOKUP(tables_392100!C295,input_392100!A:H,8,FALSE))</f>
        <v>47600</v>
      </c>
      <c r="P295" s="46">
        <f t="shared" ref="P295:P299" ca="1" si="25">O295/SUM(O:O)</f>
        <v>6.5103935149915418E-4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input_392100!A$2</f>
        <v>392100</v>
      </c>
      <c r="B296" s="5">
        <v>1014</v>
      </c>
      <c r="C296" s="7" t="str">
        <f t="shared" si="23"/>
        <v>PremiumSS5R5only</v>
      </c>
      <c r="D296" s="7" t="str">
        <f t="shared" si="24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IFERROR(VLOOKUP(B296,input_392100!L:R,7,FALSE),VLOOKUP(tables_392100!C296,input_392100!A:H,8,FALSE))</f>
        <v>47600</v>
      </c>
      <c r="P296" s="46">
        <f t="shared" ca="1" si="25"/>
        <v>6.5103935149915418E-4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input_392100!A$2</f>
        <v>392100</v>
      </c>
      <c r="B297" s="5">
        <v>1016</v>
      </c>
      <c r="C297" s="7" t="str">
        <f t="shared" si="23"/>
        <v>Premium4R3less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IFERROR(VLOOKUP(B297,input_392100!L:R,7,FALSE),VLOOKUP(tables_392100!C297,input_392100!A:H,8,FALSE))</f>
        <v>743470</v>
      </c>
      <c r="P297" s="46">
        <f t="shared" ca="1" si="25"/>
        <v>1.0168660223930173E-2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input_392100!A$2</f>
        <v>392100</v>
      </c>
      <c r="B298" s="5">
        <v>1017</v>
      </c>
      <c r="C298" s="7" t="str">
        <f t="shared" si="23"/>
        <v>Premium5R3less</v>
      </c>
      <c r="D298" s="7" t="str">
        <f t="shared" si="24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IFERROR(VLOOKUP(B298,input_392100!L:R,7,FALSE),VLOOKUP(tables_392100!C298,input_392100!A:H,8,FALSE))</f>
        <v>39130</v>
      </c>
      <c r="P298" s="46">
        <f t="shared" ca="1" si="25"/>
        <v>5.351926433647459E-4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input_392100!A$2</f>
        <v>392100</v>
      </c>
      <c r="B299" s="5">
        <v>1018</v>
      </c>
      <c r="C299" s="7" t="str">
        <f t="shared" si="23"/>
        <v>PremiumSS5R5only</v>
      </c>
      <c r="D299" s="7" t="str">
        <f t="shared" si="24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IFERROR(VLOOKUP(B299,input_392100!L:R,7,FALSE),VLOOKUP(tables_392100!C299,input_392100!A:H,8,FALSE))</f>
        <v>47600</v>
      </c>
      <c r="P299" s="46">
        <f t="shared" ca="1" si="25"/>
        <v>6.5103935149915418E-4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input_392100!A$2</f>
        <v>392100</v>
      </c>
      <c r="B300" s="5">
        <v>1026</v>
      </c>
      <c r="C300" s="7" t="str">
        <f t="shared" ref="C300:C304" si="26">D300&amp;J300&amp;E300&amp;F300&amp;G300</f>
        <v>Premium4R3less</v>
      </c>
      <c r="D300" s="7" t="str">
        <f t="shared" ref="D300:D304" si="27">IF(I300="PremiumSS",I300,IF(I300="PremiumSSS",I300,IF(I300="PremiumW",I300,"Premium")))</f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IFERROR(VLOOKUP(B300,input_392100!L:R,7,FALSE),VLOOKUP(tables_392100!C300,input_392100!A:H,8,FALSE))</f>
        <v>743470</v>
      </c>
      <c r="P300" s="46">
        <f t="shared" ref="P300:P304" ca="1" si="28">O300/SUM(O:O)</f>
        <v>1.0168660223930173E-2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input_392100!A$2</f>
        <v>392100</v>
      </c>
      <c r="B301" s="5">
        <v>1027</v>
      </c>
      <c r="C301" s="7" t="str">
        <f t="shared" si="26"/>
        <v>Premium5R3less</v>
      </c>
      <c r="D301" s="7" t="str">
        <f t="shared" si="27"/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IFERROR(VLOOKUP(B301,input_392100!L:R,7,FALSE),VLOOKUP(tables_392100!C301,input_392100!A:H,8,FALSE))</f>
        <v>39130</v>
      </c>
      <c r="P301" s="46">
        <f t="shared" ca="1" si="28"/>
        <v>5.351926433647459E-4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input_392100!A$2</f>
        <v>392100</v>
      </c>
      <c r="B302" s="5">
        <v>1028</v>
      </c>
      <c r="C302" s="7" t="str">
        <f t="shared" si="26"/>
        <v>PremiumSS5R5only</v>
      </c>
      <c r="D302" s="7" t="str">
        <f t="shared" si="27"/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IFERROR(VLOOKUP(B302,input_392100!L:R,7,FALSE),VLOOKUP(tables_392100!C302,input_392100!A:H,8,FALSE))</f>
        <v>47600</v>
      </c>
      <c r="P302" s="46">
        <f t="shared" ca="1" si="28"/>
        <v>6.5103935149915418E-4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input_392100!A$2</f>
        <v>392100</v>
      </c>
      <c r="B303" s="5">
        <v>1031</v>
      </c>
      <c r="C303" s="7" t="str">
        <f t="shared" si="26"/>
        <v>PremiumSS5R5only</v>
      </c>
      <c r="D303" s="7" t="str">
        <f t="shared" si="27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IFERROR(VLOOKUP(B303,input_392100!L:R,7,FALSE),VLOOKUP(tables_392100!C303,input_392100!A:H,8,FALSE))</f>
        <v>47600</v>
      </c>
      <c r="P303" s="46">
        <f t="shared" ca="1" si="28"/>
        <v>6.5103935149915418E-4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input_392100!A$2</f>
        <v>392100</v>
      </c>
      <c r="B304" s="5">
        <v>1033</v>
      </c>
      <c r="C304" s="7" t="str">
        <f t="shared" si="26"/>
        <v>PremiumSS5R5only</v>
      </c>
      <c r="D304" s="7" t="str">
        <f t="shared" si="27"/>
        <v>PremiumSS</v>
      </c>
      <c r="E304" s="7" t="str">
        <f>IF(COUNTIF('R6追加前'!A:A,B304)=0,IF(I304="PremiumSS","R5only","R3less"),"")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IFERROR(VLOOKUP(B304,input_392100!L:R,7,FALSE),VLOOKUP(tables_392100!C304,input_392100!A:H,8,FALSE))</f>
        <v>47600</v>
      </c>
      <c r="P304" s="46">
        <f t="shared" ca="1" si="28"/>
        <v>6.5103935149915418E-4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9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A6" sqref="A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101" t="s">
        <v>253</v>
      </c>
      <c r="B2" s="60">
        <v>463</v>
      </c>
      <c r="C2" s="7" t="str">
        <f t="shared" ref="C2:C6" si="0">D2&amp;J2&amp;E2&amp;F2&amp;G2</f>
        <v>Premium4</v>
      </c>
      <c r="D2" s="7" t="str">
        <f t="shared" ref="D2:D6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燻銀 ガウェイン</v>
      </c>
      <c r="I2" s="7" t="str">
        <f>VLOOKUP(B2,[1]characters!$A:$J,10,FALSE)</f>
        <v>PremiumS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f>400-O3</f>
        <v>380</v>
      </c>
      <c r="P2" s="46">
        <f>O2/SUM(O:O)</f>
        <v>0.38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101" t="s">
        <v>253</v>
      </c>
      <c r="B3" s="60">
        <v>464</v>
      </c>
      <c r="C3" s="7" t="str">
        <f t="shared" si="0"/>
        <v>Premium5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円熟の弾導 ガウェイン</v>
      </c>
      <c r="I3" s="7" t="str">
        <f>VLOOKUP(B3,[1]characters!$A:$J,10,FALSE)</f>
        <v>PremiumS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f>400*0.05</f>
        <v>20</v>
      </c>
      <c r="P3" s="46">
        <f>O3/SUM(O:O)</f>
        <v>0.02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101" t="s">
        <v>253</v>
      </c>
      <c r="B4" s="60">
        <v>465</v>
      </c>
      <c r="C4" s="7" t="str">
        <f t="shared" si="0"/>
        <v>PremiumSS4</v>
      </c>
      <c r="D4" s="7" t="str">
        <f t="shared" si="1"/>
        <v>PremiumSS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真撃 ランスロット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v>76</v>
      </c>
      <c r="P4" s="46">
        <f>O4/SUM(O:O)</f>
        <v>7.5999999999999998E-2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101" t="s">
        <v>253</v>
      </c>
      <c r="B5" s="94">
        <v>466</v>
      </c>
      <c r="C5" s="7" t="str">
        <f t="shared" si="0"/>
        <v>PremiumSS5</v>
      </c>
      <c r="D5" s="7" t="str">
        <f t="shared" si="1"/>
        <v>PremiumSS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真断の勇覇 ランスロット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4</v>
      </c>
      <c r="P5" s="46">
        <f>O5/SUM(O:O)</f>
        <v>4.0000000000000001E-3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101" t="s">
        <v>253</v>
      </c>
      <c r="B6" s="60">
        <v>467</v>
      </c>
      <c r="C6" s="7" t="str">
        <f t="shared" si="0"/>
        <v>PremiumSS4</v>
      </c>
      <c r="D6" s="7" t="str">
        <f t="shared" si="1"/>
        <v>PremiumSS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報復 モルドレッド</v>
      </c>
      <c r="I6" s="7" t="str">
        <f>VLOOKUP(B6,[1]characters!$A:$J,10,FALSE)</f>
        <v>PremiumSS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technical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v>114</v>
      </c>
      <c r="P6" s="46">
        <f>O6/SUM(O:O)</f>
        <v>0.114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101" t="s">
        <v>253</v>
      </c>
      <c r="B7" s="60">
        <v>468</v>
      </c>
      <c r="C7" s="7" t="str">
        <f t="shared" ref="C7:C9" si="2">D7&amp;J7&amp;E7&amp;F7&amp;G7</f>
        <v>PremiumSS5</v>
      </c>
      <c r="D7" s="7" t="str">
        <f t="shared" ref="D7:D9" si="3">IF(I7="PremiumSS",I7,IF(I7="PremiumSSS",I7,IF(I7="PremiumW",I7,"Premium")))</f>
        <v>PremiumSS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憎愛の尖鋒 モルドレッド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technical</v>
      </c>
      <c r="M7" s="7" t="str">
        <f>VLOOKUP(B7,[1]characters!$A:$M,13,FALSE)</f>
        <v>human</v>
      </c>
      <c r="N7" s="7" t="str">
        <f>VLOOKUP(B7,[1]characters!$A:$G,7,FALSE)</f>
        <v>女性</v>
      </c>
      <c r="O7" s="45">
        <v>6</v>
      </c>
      <c r="P7" s="46">
        <f t="shared" ref="P7:P9" si="4">O7/SUM(O:O)</f>
        <v>6.0000000000000001E-3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101" t="s">
        <v>253</v>
      </c>
      <c r="B8" s="88">
        <v>470</v>
      </c>
      <c r="C8" s="7" t="str">
        <f t="shared" si="2"/>
        <v>Premium4</v>
      </c>
      <c r="D8" s="7" t="str">
        <f t="shared" si="3"/>
        <v>Premium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純心 トリスタン</v>
      </c>
      <c r="I8" s="7" t="str">
        <f>VLOOKUP(B8,[1]characters!$A:$J,10,FALSE)</f>
        <v>PremiumS</v>
      </c>
      <c r="J8" s="7">
        <f>VLOOKUP(B8,[1]characters!$A:$I,9,FALSE)</f>
        <v>4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v>380</v>
      </c>
      <c r="P8" s="46">
        <f t="shared" si="4"/>
        <v>0.38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101" t="s">
        <v>253</v>
      </c>
      <c r="B9" s="88">
        <v>471</v>
      </c>
      <c r="C9" s="7" t="str">
        <f t="shared" si="2"/>
        <v>Premium5</v>
      </c>
      <c r="D9" s="7" t="str">
        <f t="shared" si="3"/>
        <v>Premium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不可避の爆激 トリスタン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v>20</v>
      </c>
      <c r="P9" s="46">
        <f t="shared" si="4"/>
        <v>0.02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input_392010</vt:lpstr>
      <vt:lpstr>tables_392010</vt:lpstr>
      <vt:lpstr>input_392100</vt:lpstr>
      <vt:lpstr>tables_392100</vt:lpstr>
      <vt:lpstr>tables_settle_392100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2016-08-27T12:46:19Z</dcterms:modified>
</cp:coreProperties>
</file>