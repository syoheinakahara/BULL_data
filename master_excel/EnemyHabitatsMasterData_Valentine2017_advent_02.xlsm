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1520" yWindow="460" windowWidth="21960" windowHeight="142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" l="1"/>
  <c r="V4" i="1"/>
  <c r="X6" i="1"/>
  <c r="Y15" i="7"/>
  <c r="W15" i="7"/>
  <c r="U15" i="7"/>
  <c r="R15" i="7"/>
  <c r="Q15" i="7"/>
  <c r="P15" i="7"/>
  <c r="O15" i="7"/>
  <c r="N15" i="7"/>
  <c r="H15" i="7"/>
  <c r="G2" i="2"/>
  <c r="A2" i="2"/>
  <c r="G3" i="2"/>
  <c r="A3" i="2"/>
  <c r="G4" i="2"/>
  <c r="A4" i="2"/>
  <c r="G5" i="2"/>
  <c r="A5" i="2"/>
  <c r="G6" i="2"/>
  <c r="A6" i="2"/>
  <c r="G7" i="2"/>
  <c r="A7" i="2"/>
  <c r="J15" i="7"/>
  <c r="I15" i="7"/>
  <c r="D15" i="7"/>
  <c r="F15" i="7"/>
  <c r="E15" i="7"/>
  <c r="A15" i="7"/>
  <c r="Y14" i="7"/>
  <c r="W14" i="7"/>
  <c r="U14" i="7"/>
  <c r="R14" i="7"/>
  <c r="Q14" i="7"/>
  <c r="P14" i="7"/>
  <c r="O14" i="7"/>
  <c r="N14" i="7"/>
  <c r="H14" i="7"/>
  <c r="J14" i="7"/>
  <c r="I14" i="7"/>
  <c r="D14" i="7"/>
  <c r="F14" i="7"/>
  <c r="E14" i="7"/>
  <c r="A14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AD11" i="1"/>
  <c r="AF11" i="1"/>
  <c r="AI11" i="1"/>
  <c r="AG11" i="1"/>
  <c r="AE11" i="1"/>
  <c r="E134" i="9"/>
  <c r="E209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J69" i="11"/>
  <c r="O283" i="9"/>
  <c r="N283" i="9"/>
  <c r="M283" i="9"/>
  <c r="L283" i="9"/>
  <c r="K283" i="9"/>
  <c r="J283" i="9"/>
  <c r="I283" i="9"/>
  <c r="H283" i="9"/>
  <c r="G283" i="9"/>
  <c r="E283" i="9"/>
  <c r="D283" i="9"/>
  <c r="A283" i="9"/>
  <c r="J68" i="11"/>
  <c r="O282" i="9"/>
  <c r="N282" i="9"/>
  <c r="M282" i="9"/>
  <c r="L282" i="9"/>
  <c r="K282" i="9"/>
  <c r="J282" i="9"/>
  <c r="I282" i="9"/>
  <c r="H282" i="9"/>
  <c r="G282" i="9"/>
  <c r="E282" i="9"/>
  <c r="D282" i="9"/>
  <c r="A282" i="9"/>
  <c r="J67" i="11"/>
  <c r="O281" i="9"/>
  <c r="N281" i="9"/>
  <c r="M281" i="9"/>
  <c r="L281" i="9"/>
  <c r="K281" i="9"/>
  <c r="J281" i="9"/>
  <c r="I281" i="9"/>
  <c r="H281" i="9"/>
  <c r="G281" i="9"/>
  <c r="E281" i="9"/>
  <c r="D281" i="9"/>
  <c r="A281" i="9"/>
  <c r="J66" i="11"/>
  <c r="O280" i="9"/>
  <c r="N280" i="9"/>
  <c r="M280" i="9"/>
  <c r="L280" i="9"/>
  <c r="K280" i="9"/>
  <c r="J280" i="9"/>
  <c r="I280" i="9"/>
  <c r="H280" i="9"/>
  <c r="G280" i="9"/>
  <c r="E280" i="9"/>
  <c r="D280" i="9"/>
  <c r="A280" i="9"/>
  <c r="J65" i="11"/>
  <c r="O279" i="9"/>
  <c r="N279" i="9"/>
  <c r="M279" i="9"/>
  <c r="L279" i="9"/>
  <c r="K279" i="9"/>
  <c r="J279" i="9"/>
  <c r="I279" i="9"/>
  <c r="H279" i="9"/>
  <c r="G279" i="9"/>
  <c r="E279" i="9"/>
  <c r="D279" i="9"/>
  <c r="A279" i="9"/>
  <c r="J64" i="11"/>
  <c r="O278" i="9"/>
  <c r="N278" i="9"/>
  <c r="M278" i="9"/>
  <c r="L278" i="9"/>
  <c r="K278" i="9"/>
  <c r="J278" i="9"/>
  <c r="I278" i="9"/>
  <c r="H278" i="9"/>
  <c r="G278" i="9"/>
  <c r="E278" i="9"/>
  <c r="D278" i="9"/>
  <c r="A278" i="9"/>
  <c r="J63" i="11"/>
  <c r="O277" i="9"/>
  <c r="N277" i="9"/>
  <c r="M277" i="9"/>
  <c r="L277" i="9"/>
  <c r="K277" i="9"/>
  <c r="J277" i="9"/>
  <c r="I277" i="9"/>
  <c r="H277" i="9"/>
  <c r="G277" i="9"/>
  <c r="E277" i="9"/>
  <c r="D277" i="9"/>
  <c r="A277" i="9"/>
  <c r="J62" i="11"/>
  <c r="O276" i="9"/>
  <c r="N276" i="9"/>
  <c r="M276" i="9"/>
  <c r="L276" i="9"/>
  <c r="K276" i="9"/>
  <c r="J276" i="9"/>
  <c r="I276" i="9"/>
  <c r="H276" i="9"/>
  <c r="G276" i="9"/>
  <c r="E276" i="9"/>
  <c r="D276" i="9"/>
  <c r="A276" i="9"/>
  <c r="J59" i="11"/>
  <c r="O275" i="9"/>
  <c r="N275" i="9"/>
  <c r="M275" i="9"/>
  <c r="L275" i="9"/>
  <c r="K275" i="9"/>
  <c r="J275" i="9"/>
  <c r="I275" i="9"/>
  <c r="H275" i="9"/>
  <c r="G275" i="9"/>
  <c r="E275" i="9"/>
  <c r="D275" i="9"/>
  <c r="A275" i="9"/>
  <c r="J60" i="11"/>
  <c r="O274" i="9"/>
  <c r="N274" i="9"/>
  <c r="M274" i="9"/>
  <c r="L274" i="9"/>
  <c r="K274" i="9"/>
  <c r="J274" i="9"/>
  <c r="I274" i="9"/>
  <c r="H274" i="9"/>
  <c r="G274" i="9"/>
  <c r="E274" i="9"/>
  <c r="D274" i="9"/>
  <c r="A274" i="9"/>
  <c r="J58" i="11"/>
  <c r="O273" i="9"/>
  <c r="N273" i="9"/>
  <c r="M273" i="9"/>
  <c r="L273" i="9"/>
  <c r="K273" i="9"/>
  <c r="J273" i="9"/>
  <c r="I273" i="9"/>
  <c r="H273" i="9"/>
  <c r="G273" i="9"/>
  <c r="E273" i="9"/>
  <c r="D273" i="9"/>
  <c r="A273" i="9"/>
  <c r="J57" i="11"/>
  <c r="O272" i="9"/>
  <c r="N272" i="9"/>
  <c r="M272" i="9"/>
  <c r="L272" i="9"/>
  <c r="K272" i="9"/>
  <c r="J272" i="9"/>
  <c r="I272" i="9"/>
  <c r="H272" i="9"/>
  <c r="G272" i="9"/>
  <c r="E272" i="9"/>
  <c r="D272" i="9"/>
  <c r="A272" i="9"/>
  <c r="J56" i="11"/>
  <c r="O271" i="9"/>
  <c r="N271" i="9"/>
  <c r="M271" i="9"/>
  <c r="L271" i="9"/>
  <c r="K271" i="9"/>
  <c r="J271" i="9"/>
  <c r="I271" i="9"/>
  <c r="H271" i="9"/>
  <c r="G271" i="9"/>
  <c r="E271" i="9"/>
  <c r="D271" i="9"/>
  <c r="A271" i="9"/>
  <c r="J55" i="11"/>
  <c r="O270" i="9"/>
  <c r="N270" i="9"/>
  <c r="M270" i="9"/>
  <c r="L270" i="9"/>
  <c r="K270" i="9"/>
  <c r="J270" i="9"/>
  <c r="I270" i="9"/>
  <c r="H270" i="9"/>
  <c r="G270" i="9"/>
  <c r="E270" i="9"/>
  <c r="D270" i="9"/>
  <c r="A270" i="9"/>
  <c r="J75" i="11"/>
  <c r="O269" i="9"/>
  <c r="N269" i="9"/>
  <c r="M269" i="9"/>
  <c r="L269" i="9"/>
  <c r="K269" i="9"/>
  <c r="J269" i="9"/>
  <c r="I269" i="9"/>
  <c r="H269" i="9"/>
  <c r="G269" i="9"/>
  <c r="E269" i="9"/>
  <c r="D269" i="9"/>
  <c r="A269" i="9"/>
  <c r="J54" i="11"/>
  <c r="O268" i="9"/>
  <c r="N268" i="9"/>
  <c r="M268" i="9"/>
  <c r="L268" i="9"/>
  <c r="K268" i="9"/>
  <c r="J268" i="9"/>
  <c r="I268" i="9"/>
  <c r="H268" i="9"/>
  <c r="G268" i="9"/>
  <c r="E268" i="9"/>
  <c r="D268" i="9"/>
  <c r="A268" i="9"/>
  <c r="J53" i="11"/>
  <c r="O267" i="9"/>
  <c r="N267" i="9"/>
  <c r="M267" i="9"/>
  <c r="L267" i="9"/>
  <c r="K267" i="9"/>
  <c r="J267" i="9"/>
  <c r="I267" i="9"/>
  <c r="H267" i="9"/>
  <c r="G267" i="9"/>
  <c r="E267" i="9"/>
  <c r="D267" i="9"/>
  <c r="A267" i="9"/>
  <c r="J52" i="11"/>
  <c r="O266" i="9"/>
  <c r="N266" i="9"/>
  <c r="M266" i="9"/>
  <c r="L266" i="9"/>
  <c r="K266" i="9"/>
  <c r="J266" i="9"/>
  <c r="I266" i="9"/>
  <c r="H266" i="9"/>
  <c r="G266" i="9"/>
  <c r="E266" i="9"/>
  <c r="D266" i="9"/>
  <c r="A266" i="9"/>
  <c r="J51" i="11"/>
  <c r="O265" i="9"/>
  <c r="N265" i="9"/>
  <c r="M265" i="9"/>
  <c r="L265" i="9"/>
  <c r="K265" i="9"/>
  <c r="J265" i="9"/>
  <c r="I265" i="9"/>
  <c r="H265" i="9"/>
  <c r="G265" i="9"/>
  <c r="E265" i="9"/>
  <c r="D265" i="9"/>
  <c r="A265" i="9"/>
  <c r="J50" i="11"/>
  <c r="O264" i="9"/>
  <c r="N264" i="9"/>
  <c r="M264" i="9"/>
  <c r="L264" i="9"/>
  <c r="K264" i="9"/>
  <c r="J264" i="9"/>
  <c r="I264" i="9"/>
  <c r="H264" i="9"/>
  <c r="G264" i="9"/>
  <c r="E264" i="9"/>
  <c r="D264" i="9"/>
  <c r="A264" i="9"/>
  <c r="J47" i="11"/>
  <c r="O263" i="9"/>
  <c r="N263" i="9"/>
  <c r="M263" i="9"/>
  <c r="L263" i="9"/>
  <c r="K263" i="9"/>
  <c r="J263" i="9"/>
  <c r="I263" i="9"/>
  <c r="H263" i="9"/>
  <c r="G263" i="9"/>
  <c r="E263" i="9"/>
  <c r="D263" i="9"/>
  <c r="A263" i="9"/>
  <c r="J46" i="11"/>
  <c r="O262" i="9"/>
  <c r="N262" i="9"/>
  <c r="M262" i="9"/>
  <c r="L262" i="9"/>
  <c r="K262" i="9"/>
  <c r="J262" i="9"/>
  <c r="I262" i="9"/>
  <c r="H262" i="9"/>
  <c r="G262" i="9"/>
  <c r="E262" i="9"/>
  <c r="D262" i="9"/>
  <c r="A262" i="9"/>
  <c r="J45" i="11"/>
  <c r="O261" i="9"/>
  <c r="N261" i="9"/>
  <c r="M261" i="9"/>
  <c r="L261" i="9"/>
  <c r="K261" i="9"/>
  <c r="J261" i="9"/>
  <c r="I261" i="9"/>
  <c r="H261" i="9"/>
  <c r="G261" i="9"/>
  <c r="E261" i="9"/>
  <c r="D261" i="9"/>
  <c r="A261" i="9"/>
  <c r="J44" i="11"/>
  <c r="O260" i="9"/>
  <c r="N260" i="9"/>
  <c r="M260" i="9"/>
  <c r="L260" i="9"/>
  <c r="K260" i="9"/>
  <c r="J260" i="9"/>
  <c r="I260" i="9"/>
  <c r="H260" i="9"/>
  <c r="G260" i="9"/>
  <c r="E260" i="9"/>
  <c r="D260" i="9"/>
  <c r="A260" i="9"/>
  <c r="J43" i="11"/>
  <c r="O259" i="9"/>
  <c r="N259" i="9"/>
  <c r="M259" i="9"/>
  <c r="L259" i="9"/>
  <c r="K259" i="9"/>
  <c r="J259" i="9"/>
  <c r="I259" i="9"/>
  <c r="H259" i="9"/>
  <c r="G259" i="9"/>
  <c r="E259" i="9"/>
  <c r="D259" i="9"/>
  <c r="A259" i="9"/>
  <c r="J41" i="11"/>
  <c r="O258" i="9"/>
  <c r="N258" i="9"/>
  <c r="M258" i="9"/>
  <c r="L258" i="9"/>
  <c r="K258" i="9"/>
  <c r="J258" i="9"/>
  <c r="I258" i="9"/>
  <c r="H258" i="9"/>
  <c r="G258" i="9"/>
  <c r="E258" i="9"/>
  <c r="D258" i="9"/>
  <c r="A258" i="9"/>
  <c r="J40" i="11"/>
  <c r="O257" i="9"/>
  <c r="N257" i="9"/>
  <c r="M257" i="9"/>
  <c r="L257" i="9"/>
  <c r="K257" i="9"/>
  <c r="J257" i="9"/>
  <c r="I257" i="9"/>
  <c r="H257" i="9"/>
  <c r="G257" i="9"/>
  <c r="E257" i="9"/>
  <c r="D257" i="9"/>
  <c r="A257" i="9"/>
  <c r="J39" i="11"/>
  <c r="O256" i="9"/>
  <c r="N256" i="9"/>
  <c r="M256" i="9"/>
  <c r="L256" i="9"/>
  <c r="K256" i="9"/>
  <c r="J256" i="9"/>
  <c r="I256" i="9"/>
  <c r="H256" i="9"/>
  <c r="G256" i="9"/>
  <c r="E256" i="9"/>
  <c r="D256" i="9"/>
  <c r="A256" i="9"/>
  <c r="J38" i="11"/>
  <c r="O255" i="9"/>
  <c r="N255" i="9"/>
  <c r="M255" i="9"/>
  <c r="L255" i="9"/>
  <c r="K255" i="9"/>
  <c r="J255" i="9"/>
  <c r="I255" i="9"/>
  <c r="H255" i="9"/>
  <c r="G255" i="9"/>
  <c r="E255" i="9"/>
  <c r="D255" i="9"/>
  <c r="A255" i="9"/>
  <c r="J37" i="11"/>
  <c r="O254" i="9"/>
  <c r="N254" i="9"/>
  <c r="M254" i="9"/>
  <c r="L254" i="9"/>
  <c r="K254" i="9"/>
  <c r="J254" i="9"/>
  <c r="I254" i="9"/>
  <c r="H254" i="9"/>
  <c r="G254" i="9"/>
  <c r="E254" i="9"/>
  <c r="D254" i="9"/>
  <c r="A254" i="9"/>
  <c r="J35" i="11"/>
  <c r="O253" i="9"/>
  <c r="N253" i="9"/>
  <c r="M253" i="9"/>
  <c r="L253" i="9"/>
  <c r="K253" i="9"/>
  <c r="J253" i="9"/>
  <c r="I253" i="9"/>
  <c r="H253" i="9"/>
  <c r="G253" i="9"/>
  <c r="E253" i="9"/>
  <c r="D253" i="9"/>
  <c r="A253" i="9"/>
  <c r="J42" i="11"/>
  <c r="O252" i="9"/>
  <c r="N252" i="9"/>
  <c r="M252" i="9"/>
  <c r="L252" i="9"/>
  <c r="K252" i="9"/>
  <c r="J252" i="9"/>
  <c r="I252" i="9"/>
  <c r="H252" i="9"/>
  <c r="G252" i="9"/>
  <c r="E252" i="9"/>
  <c r="D252" i="9"/>
  <c r="A252" i="9"/>
  <c r="J34" i="11"/>
  <c r="O251" i="9"/>
  <c r="N251" i="9"/>
  <c r="M251" i="9"/>
  <c r="L251" i="9"/>
  <c r="K251" i="9"/>
  <c r="J251" i="9"/>
  <c r="I251" i="9"/>
  <c r="H251" i="9"/>
  <c r="G251" i="9"/>
  <c r="E251" i="9"/>
  <c r="D251" i="9"/>
  <c r="A251" i="9"/>
  <c r="J33" i="11"/>
  <c r="O250" i="9"/>
  <c r="N250" i="9"/>
  <c r="M250" i="9"/>
  <c r="L250" i="9"/>
  <c r="K250" i="9"/>
  <c r="J250" i="9"/>
  <c r="I250" i="9"/>
  <c r="H250" i="9"/>
  <c r="G250" i="9"/>
  <c r="E250" i="9"/>
  <c r="D250" i="9"/>
  <c r="A250" i="9"/>
  <c r="J32" i="11"/>
  <c r="O249" i="9"/>
  <c r="N249" i="9"/>
  <c r="M249" i="9"/>
  <c r="L249" i="9"/>
  <c r="K249" i="9"/>
  <c r="J249" i="9"/>
  <c r="I249" i="9"/>
  <c r="H249" i="9"/>
  <c r="G249" i="9"/>
  <c r="E249" i="9"/>
  <c r="D249" i="9"/>
  <c r="A249" i="9"/>
  <c r="J31" i="11"/>
  <c r="O248" i="9"/>
  <c r="N248" i="9"/>
  <c r="M248" i="9"/>
  <c r="L248" i="9"/>
  <c r="K248" i="9"/>
  <c r="J248" i="9"/>
  <c r="I248" i="9"/>
  <c r="H248" i="9"/>
  <c r="G248" i="9"/>
  <c r="E248" i="9"/>
  <c r="D248" i="9"/>
  <c r="A248" i="9"/>
  <c r="O247" i="9"/>
  <c r="N247" i="9"/>
  <c r="M247" i="9"/>
  <c r="L247" i="9"/>
  <c r="K247" i="9"/>
  <c r="J247" i="9"/>
  <c r="I247" i="9"/>
  <c r="H247" i="9"/>
  <c r="G247" i="9"/>
  <c r="E247" i="9"/>
  <c r="D247" i="9"/>
  <c r="A247" i="9"/>
  <c r="O246" i="9"/>
  <c r="N246" i="9"/>
  <c r="M246" i="9"/>
  <c r="L246" i="9"/>
  <c r="K246" i="9"/>
  <c r="J246" i="9"/>
  <c r="I246" i="9"/>
  <c r="H246" i="9"/>
  <c r="G246" i="9"/>
  <c r="E246" i="9"/>
  <c r="D246" i="9"/>
  <c r="A246" i="9"/>
  <c r="O245" i="9"/>
  <c r="N245" i="9"/>
  <c r="M245" i="9"/>
  <c r="L245" i="9"/>
  <c r="K245" i="9"/>
  <c r="J245" i="9"/>
  <c r="I245" i="9"/>
  <c r="H245" i="9"/>
  <c r="G245" i="9"/>
  <c r="E245" i="9"/>
  <c r="D245" i="9"/>
  <c r="A245" i="9"/>
  <c r="O244" i="9"/>
  <c r="N244" i="9"/>
  <c r="M244" i="9"/>
  <c r="L244" i="9"/>
  <c r="K244" i="9"/>
  <c r="J244" i="9"/>
  <c r="I244" i="9"/>
  <c r="H244" i="9"/>
  <c r="G244" i="9"/>
  <c r="E244" i="9"/>
  <c r="D244" i="9"/>
  <c r="A244" i="9"/>
  <c r="O243" i="9"/>
  <c r="N243" i="9"/>
  <c r="M243" i="9"/>
  <c r="L243" i="9"/>
  <c r="K243" i="9"/>
  <c r="J243" i="9"/>
  <c r="I243" i="9"/>
  <c r="H243" i="9"/>
  <c r="G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33" i="9"/>
  <c r="N233" i="9"/>
  <c r="M233" i="9"/>
  <c r="L233" i="9"/>
  <c r="K233" i="9"/>
  <c r="J233" i="9"/>
  <c r="I233" i="9"/>
  <c r="H233" i="9"/>
  <c r="G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E230" i="9"/>
  <c r="D230" i="9"/>
  <c r="A230" i="9"/>
  <c r="O229" i="9"/>
  <c r="N229" i="9"/>
  <c r="M229" i="9"/>
  <c r="L229" i="9"/>
  <c r="K229" i="9"/>
  <c r="J229" i="9"/>
  <c r="I229" i="9"/>
  <c r="H229" i="9"/>
  <c r="G229" i="9"/>
  <c r="E229" i="9"/>
  <c r="D229" i="9"/>
  <c r="A229" i="9"/>
  <c r="O228" i="9"/>
  <c r="N228" i="9"/>
  <c r="M228" i="9"/>
  <c r="L228" i="9"/>
  <c r="K228" i="9"/>
  <c r="J228" i="9"/>
  <c r="I228" i="9"/>
  <c r="H228" i="9"/>
  <c r="G228" i="9"/>
  <c r="E228" i="9"/>
  <c r="D228" i="9"/>
  <c r="A228" i="9"/>
  <c r="J49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48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O225" i="9"/>
  <c r="N225" i="9"/>
  <c r="M225" i="9"/>
  <c r="L225" i="9"/>
  <c r="K225" i="9"/>
  <c r="J225" i="9"/>
  <c r="I225" i="9"/>
  <c r="H225" i="9"/>
  <c r="G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E216" i="9"/>
  <c r="D216" i="9"/>
  <c r="A216" i="9"/>
  <c r="J36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D209" i="9"/>
  <c r="A209" i="9"/>
  <c r="O208" i="9"/>
  <c r="N208" i="9"/>
  <c r="M208" i="9"/>
  <c r="L208" i="9"/>
  <c r="K208" i="9"/>
  <c r="J208" i="9"/>
  <c r="I208" i="9"/>
  <c r="H208" i="9"/>
  <c r="G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E197" i="9"/>
  <c r="D197" i="9"/>
  <c r="A197" i="9"/>
  <c r="O196" i="9"/>
  <c r="N196" i="9"/>
  <c r="M196" i="9"/>
  <c r="L196" i="9"/>
  <c r="K196" i="9"/>
  <c r="J196" i="9"/>
  <c r="I196" i="9"/>
  <c r="H196" i="9"/>
  <c r="G196" i="9"/>
  <c r="E196" i="9"/>
  <c r="D196" i="9"/>
  <c r="A196" i="9"/>
  <c r="O195" i="9"/>
  <c r="N195" i="9"/>
  <c r="M195" i="9"/>
  <c r="L195" i="9"/>
  <c r="K195" i="9"/>
  <c r="J195" i="9"/>
  <c r="I195" i="9"/>
  <c r="H195" i="9"/>
  <c r="G195" i="9"/>
  <c r="E195" i="9"/>
  <c r="D195" i="9"/>
  <c r="A195" i="9"/>
  <c r="O194" i="9"/>
  <c r="N194" i="9"/>
  <c r="M194" i="9"/>
  <c r="L194" i="9"/>
  <c r="K194" i="9"/>
  <c r="J194" i="9"/>
  <c r="I194" i="9"/>
  <c r="H194" i="9"/>
  <c r="G194" i="9"/>
  <c r="E194" i="9"/>
  <c r="D194" i="9"/>
  <c r="A194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D134" i="9"/>
  <c r="A134" i="9"/>
  <c r="Y13" i="7"/>
  <c r="W13" i="7"/>
  <c r="U13" i="7"/>
  <c r="R13" i="7"/>
  <c r="Q13" i="7"/>
  <c r="P13" i="7"/>
  <c r="O13" i="7"/>
  <c r="N13" i="7"/>
  <c r="H13" i="7"/>
  <c r="J13" i="7"/>
  <c r="I13" i="7"/>
  <c r="D13" i="7"/>
  <c r="F13" i="7"/>
  <c r="E13" i="7"/>
  <c r="A13" i="7"/>
  <c r="Y12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10" i="1"/>
  <c r="AF10" i="1"/>
  <c r="AI10" i="1"/>
  <c r="AG10" i="1"/>
  <c r="AE10" i="1"/>
  <c r="E31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M161" i="10"/>
  <c r="T161" i="10"/>
  <c r="W161" i="10"/>
  <c r="V161" i="10"/>
  <c r="X161" i="10"/>
  <c r="U161" i="10"/>
  <c r="Y161" i="10"/>
  <c r="N161" i="10"/>
  <c r="Q161" i="10"/>
  <c r="P161" i="10"/>
  <c r="R161" i="10"/>
  <c r="O161" i="10"/>
  <c r="S161" i="10"/>
  <c r="G161" i="10"/>
  <c r="J161" i="10"/>
  <c r="I161" i="10"/>
  <c r="K161" i="10"/>
  <c r="H161" i="10"/>
  <c r="L161" i="10"/>
  <c r="M160" i="10"/>
  <c r="T160" i="10"/>
  <c r="W160" i="10"/>
  <c r="V160" i="10"/>
  <c r="X160" i="10"/>
  <c r="U160" i="10"/>
  <c r="Y160" i="10"/>
  <c r="N160" i="10"/>
  <c r="Q160" i="10"/>
  <c r="P160" i="10"/>
  <c r="R160" i="10"/>
  <c r="O160" i="10"/>
  <c r="S160" i="10"/>
  <c r="G160" i="10"/>
  <c r="J160" i="10"/>
  <c r="I160" i="10"/>
  <c r="K160" i="10"/>
  <c r="H160" i="10"/>
  <c r="L160" i="10"/>
  <c r="M159" i="10"/>
  <c r="T159" i="10"/>
  <c r="W159" i="10"/>
  <c r="V159" i="10"/>
  <c r="X159" i="10"/>
  <c r="U159" i="10"/>
  <c r="Y159" i="10"/>
  <c r="N159" i="10"/>
  <c r="Q159" i="10"/>
  <c r="P159" i="10"/>
  <c r="R159" i="10"/>
  <c r="O159" i="10"/>
  <c r="S159" i="10"/>
  <c r="G159" i="10"/>
  <c r="J159" i="10"/>
  <c r="I159" i="10"/>
  <c r="K159" i="10"/>
  <c r="H159" i="10"/>
  <c r="L159" i="10"/>
  <c r="M158" i="10"/>
  <c r="T158" i="10"/>
  <c r="W158" i="10"/>
  <c r="V158" i="10"/>
  <c r="X158" i="10"/>
  <c r="U158" i="10"/>
  <c r="Y158" i="10"/>
  <c r="N158" i="10"/>
  <c r="Q158" i="10"/>
  <c r="P158" i="10"/>
  <c r="R158" i="10"/>
  <c r="O158" i="10"/>
  <c r="S158" i="10"/>
  <c r="G158" i="10"/>
  <c r="J158" i="10"/>
  <c r="I158" i="10"/>
  <c r="K158" i="10"/>
  <c r="H158" i="10"/>
  <c r="L158" i="10"/>
  <c r="M157" i="10"/>
  <c r="T157" i="10"/>
  <c r="W157" i="10"/>
  <c r="V157" i="10"/>
  <c r="X157" i="10"/>
  <c r="U157" i="10"/>
  <c r="Y157" i="10"/>
  <c r="N157" i="10"/>
  <c r="Q157" i="10"/>
  <c r="P157" i="10"/>
  <c r="R157" i="10"/>
  <c r="O157" i="10"/>
  <c r="S157" i="10"/>
  <c r="G157" i="10"/>
  <c r="J157" i="10"/>
  <c r="I157" i="10"/>
  <c r="K157" i="10"/>
  <c r="H157" i="10"/>
  <c r="L157" i="10"/>
  <c r="M156" i="10"/>
  <c r="T156" i="10"/>
  <c r="W156" i="10"/>
  <c r="V156" i="10"/>
  <c r="X156" i="10"/>
  <c r="U156" i="10"/>
  <c r="Y156" i="10"/>
  <c r="N156" i="10"/>
  <c r="Q156" i="10"/>
  <c r="P156" i="10"/>
  <c r="R156" i="10"/>
  <c r="O156" i="10"/>
  <c r="S156" i="10"/>
  <c r="G156" i="10"/>
  <c r="J156" i="10"/>
  <c r="I156" i="10"/>
  <c r="K156" i="10"/>
  <c r="H156" i="10"/>
  <c r="L156" i="10"/>
  <c r="M155" i="10"/>
  <c r="T155" i="10"/>
  <c r="W155" i="10"/>
  <c r="V155" i="10"/>
  <c r="X155" i="10"/>
  <c r="U155" i="10"/>
  <c r="Y155" i="10"/>
  <c r="N155" i="10"/>
  <c r="Q155" i="10"/>
  <c r="P155" i="10"/>
  <c r="R155" i="10"/>
  <c r="O155" i="10"/>
  <c r="S155" i="10"/>
  <c r="G155" i="10"/>
  <c r="J155" i="10"/>
  <c r="I155" i="10"/>
  <c r="K155" i="10"/>
  <c r="H155" i="10"/>
  <c r="L155" i="10"/>
  <c r="M154" i="10"/>
  <c r="T154" i="10"/>
  <c r="W154" i="10"/>
  <c r="V154" i="10"/>
  <c r="X154" i="10"/>
  <c r="U154" i="10"/>
  <c r="Y154" i="10"/>
  <c r="N154" i="10"/>
  <c r="Q154" i="10"/>
  <c r="P154" i="10"/>
  <c r="R154" i="10"/>
  <c r="O154" i="10"/>
  <c r="S154" i="10"/>
  <c r="G154" i="10"/>
  <c r="J154" i="10"/>
  <c r="I154" i="10"/>
  <c r="K154" i="10"/>
  <c r="H154" i="10"/>
  <c r="L154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M150" i="10"/>
  <c r="T150" i="10"/>
  <c r="W150" i="10"/>
  <c r="V150" i="10"/>
  <c r="X150" i="10"/>
  <c r="U150" i="10"/>
  <c r="Y150" i="10"/>
  <c r="N150" i="10"/>
  <c r="Q150" i="10"/>
  <c r="P150" i="10"/>
  <c r="R150" i="10"/>
  <c r="O150" i="10"/>
  <c r="S150" i="10"/>
  <c r="G150" i="10"/>
  <c r="J150" i="10"/>
  <c r="I150" i="10"/>
  <c r="K150" i="10"/>
  <c r="H150" i="10"/>
  <c r="L150" i="10"/>
  <c r="M149" i="10"/>
  <c r="T149" i="10"/>
  <c r="W149" i="10"/>
  <c r="V149" i="10"/>
  <c r="X149" i="10"/>
  <c r="U149" i="10"/>
  <c r="Y149" i="10"/>
  <c r="N149" i="10"/>
  <c r="Q149" i="10"/>
  <c r="P149" i="10"/>
  <c r="R149" i="10"/>
  <c r="O149" i="10"/>
  <c r="S149" i="10"/>
  <c r="G149" i="10"/>
  <c r="J149" i="10"/>
  <c r="I149" i="10"/>
  <c r="K149" i="10"/>
  <c r="H149" i="10"/>
  <c r="L149" i="10"/>
  <c r="M148" i="10"/>
  <c r="T148" i="10"/>
  <c r="W148" i="10"/>
  <c r="V148" i="10"/>
  <c r="X148" i="10"/>
  <c r="U148" i="10"/>
  <c r="Y148" i="10"/>
  <c r="N148" i="10"/>
  <c r="Q148" i="10"/>
  <c r="P148" i="10"/>
  <c r="R148" i="10"/>
  <c r="O148" i="10"/>
  <c r="S148" i="10"/>
  <c r="G148" i="10"/>
  <c r="J148" i="10"/>
  <c r="I148" i="10"/>
  <c r="K148" i="10"/>
  <c r="H148" i="10"/>
  <c r="L148" i="10"/>
  <c r="M147" i="10"/>
  <c r="T147" i="10"/>
  <c r="W147" i="10"/>
  <c r="V147" i="10"/>
  <c r="X147" i="10"/>
  <c r="U147" i="10"/>
  <c r="Y147" i="10"/>
  <c r="N147" i="10"/>
  <c r="Q147" i="10"/>
  <c r="P147" i="10"/>
  <c r="R147" i="10"/>
  <c r="O147" i="10"/>
  <c r="S147" i="10"/>
  <c r="G147" i="10"/>
  <c r="J147" i="10"/>
  <c r="I147" i="10"/>
  <c r="K147" i="10"/>
  <c r="H147" i="10"/>
  <c r="L147" i="10"/>
  <c r="M146" i="10"/>
  <c r="T146" i="10"/>
  <c r="W146" i="10"/>
  <c r="V146" i="10"/>
  <c r="X146" i="10"/>
  <c r="U146" i="10"/>
  <c r="Y146" i="10"/>
  <c r="N146" i="10"/>
  <c r="Q146" i="10"/>
  <c r="P146" i="10"/>
  <c r="R146" i="10"/>
  <c r="O146" i="10"/>
  <c r="S146" i="10"/>
  <c r="G146" i="10"/>
  <c r="J146" i="10"/>
  <c r="I146" i="10"/>
  <c r="K146" i="10"/>
  <c r="H146" i="10"/>
  <c r="L146" i="10"/>
  <c r="M145" i="10"/>
  <c r="T145" i="10"/>
  <c r="W145" i="10"/>
  <c r="V145" i="10"/>
  <c r="X145" i="10"/>
  <c r="U145" i="10"/>
  <c r="Y145" i="10"/>
  <c r="N145" i="10"/>
  <c r="Q145" i="10"/>
  <c r="P145" i="10"/>
  <c r="R145" i="10"/>
  <c r="O145" i="10"/>
  <c r="S145" i="10"/>
  <c r="G145" i="10"/>
  <c r="J145" i="10"/>
  <c r="I145" i="10"/>
  <c r="K145" i="10"/>
  <c r="H145" i="10"/>
  <c r="L145" i="10"/>
  <c r="M144" i="10"/>
  <c r="T144" i="10"/>
  <c r="W144" i="10"/>
  <c r="V144" i="10"/>
  <c r="X144" i="10"/>
  <c r="U144" i="10"/>
  <c r="Y144" i="10"/>
  <c r="N144" i="10"/>
  <c r="Q144" i="10"/>
  <c r="P144" i="10"/>
  <c r="R144" i="10"/>
  <c r="O144" i="10"/>
  <c r="S144" i="10"/>
  <c r="G144" i="10"/>
  <c r="J144" i="10"/>
  <c r="I144" i="10"/>
  <c r="K144" i="10"/>
  <c r="H144" i="10"/>
  <c r="L144" i="10"/>
  <c r="M143" i="10"/>
  <c r="T143" i="10"/>
  <c r="W143" i="10"/>
  <c r="V143" i="10"/>
  <c r="X143" i="10"/>
  <c r="U143" i="10"/>
  <c r="Y143" i="10"/>
  <c r="N143" i="10"/>
  <c r="Q143" i="10"/>
  <c r="P143" i="10"/>
  <c r="R143" i="10"/>
  <c r="O143" i="10"/>
  <c r="S143" i="10"/>
  <c r="G143" i="10"/>
  <c r="J143" i="10"/>
  <c r="I143" i="10"/>
  <c r="K143" i="10"/>
  <c r="H143" i="10"/>
  <c r="L143" i="10"/>
  <c r="M142" i="10"/>
  <c r="T142" i="10"/>
  <c r="W142" i="10"/>
  <c r="V142" i="10"/>
  <c r="X142" i="10"/>
  <c r="U142" i="10"/>
  <c r="Y142" i="10"/>
  <c r="N142" i="10"/>
  <c r="Q142" i="10"/>
  <c r="P142" i="10"/>
  <c r="R142" i="10"/>
  <c r="O142" i="10"/>
  <c r="S142" i="10"/>
  <c r="G142" i="10"/>
  <c r="J142" i="10"/>
  <c r="I142" i="10"/>
  <c r="K142" i="10"/>
  <c r="H142" i="10"/>
  <c r="L142" i="10"/>
  <c r="M141" i="10"/>
  <c r="T141" i="10"/>
  <c r="W141" i="10"/>
  <c r="V141" i="10"/>
  <c r="X141" i="10"/>
  <c r="U141" i="10"/>
  <c r="Y141" i="10"/>
  <c r="N141" i="10"/>
  <c r="Q141" i="10"/>
  <c r="P141" i="10"/>
  <c r="R141" i="10"/>
  <c r="O141" i="10"/>
  <c r="S141" i="10"/>
  <c r="G141" i="10"/>
  <c r="J141" i="10"/>
  <c r="I141" i="10"/>
  <c r="K141" i="10"/>
  <c r="H141" i="10"/>
  <c r="L141" i="10"/>
  <c r="M140" i="10"/>
  <c r="T140" i="10"/>
  <c r="W140" i="10"/>
  <c r="V140" i="10"/>
  <c r="X140" i="10"/>
  <c r="U140" i="10"/>
  <c r="Y140" i="10"/>
  <c r="N140" i="10"/>
  <c r="Q140" i="10"/>
  <c r="P140" i="10"/>
  <c r="R140" i="10"/>
  <c r="O140" i="10"/>
  <c r="S140" i="10"/>
  <c r="G140" i="10"/>
  <c r="J140" i="10"/>
  <c r="I140" i="10"/>
  <c r="K140" i="10"/>
  <c r="H140" i="10"/>
  <c r="L140" i="10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24" i="10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O103" i="9"/>
  <c r="N103" i="9"/>
  <c r="M103" i="9"/>
  <c r="L103" i="9"/>
  <c r="K103" i="9"/>
  <c r="J103" i="9"/>
  <c r="I103" i="9"/>
  <c r="H103" i="9"/>
  <c r="G103" i="9"/>
  <c r="E103" i="9"/>
  <c r="D103" i="9"/>
  <c r="A103" i="9"/>
  <c r="O36" i="9"/>
  <c r="N36" i="9"/>
  <c r="M36" i="9"/>
  <c r="L36" i="9"/>
  <c r="K36" i="9"/>
  <c r="J36" i="9"/>
  <c r="I36" i="9"/>
  <c r="H36" i="9"/>
  <c r="G36" i="9"/>
  <c r="E36" i="9"/>
  <c r="D36" i="9"/>
  <c r="A36" i="9"/>
  <c r="M30" i="10"/>
  <c r="T30" i="10"/>
  <c r="W30" i="10"/>
  <c r="V30" i="10"/>
  <c r="X30" i="10"/>
  <c r="U30" i="10"/>
  <c r="Y30" i="10"/>
  <c r="M44" i="10"/>
  <c r="M66" i="10"/>
  <c r="N66" i="10"/>
  <c r="Q66" i="10"/>
  <c r="P66" i="10"/>
  <c r="R66" i="10"/>
  <c r="O66" i="10"/>
  <c r="S66" i="10"/>
  <c r="N44" i="10"/>
  <c r="Q44" i="10"/>
  <c r="P44" i="10"/>
  <c r="R44" i="10"/>
  <c r="O44" i="10"/>
  <c r="S44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C24" i="18"/>
  <c r="D24" i="18"/>
  <c r="C23" i="18"/>
  <c r="D23" i="18"/>
  <c r="C22" i="18"/>
  <c r="D22" i="18"/>
  <c r="C12" i="18"/>
  <c r="D12" i="18"/>
  <c r="C11" i="18"/>
  <c r="D11" i="18"/>
  <c r="C10" i="18"/>
  <c r="D10" i="18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O19" i="21"/>
  <c r="B19" i="21"/>
  <c r="I19" i="21"/>
  <c r="J19" i="21"/>
  <c r="G19" i="21"/>
  <c r="F19" i="21"/>
  <c r="D19" i="21"/>
  <c r="C19" i="21"/>
  <c r="O18" i="21"/>
  <c r="B18" i="21"/>
  <c r="I18" i="21"/>
  <c r="J18" i="21"/>
  <c r="G18" i="21"/>
  <c r="F18" i="21"/>
  <c r="D18" i="21"/>
  <c r="C18" i="21"/>
  <c r="O17" i="21"/>
  <c r="B17" i="21"/>
  <c r="I17" i="21"/>
  <c r="J17" i="21"/>
  <c r="G17" i="21"/>
  <c r="F17" i="21"/>
  <c r="D17" i="21"/>
  <c r="C17" i="21"/>
  <c r="O16" i="21"/>
  <c r="B16" i="21"/>
  <c r="I16" i="21"/>
  <c r="J16" i="21"/>
  <c r="G16" i="21"/>
  <c r="F16" i="21"/>
  <c r="D16" i="21"/>
  <c r="C16" i="21"/>
  <c r="O15" i="21"/>
  <c r="B15" i="21"/>
  <c r="I15" i="21"/>
  <c r="J15" i="21"/>
  <c r="G15" i="21"/>
  <c r="F15" i="21"/>
  <c r="D15" i="21"/>
  <c r="C15" i="21"/>
  <c r="O10" i="21"/>
  <c r="B10" i="21"/>
  <c r="I10" i="21"/>
  <c r="J10" i="21"/>
  <c r="G10" i="21"/>
  <c r="F10" i="21"/>
  <c r="D10" i="21"/>
  <c r="C10" i="21"/>
  <c r="O9" i="21"/>
  <c r="B9" i="21"/>
  <c r="I9" i="21"/>
  <c r="J9" i="21"/>
  <c r="G9" i="21"/>
  <c r="F9" i="21"/>
  <c r="D9" i="21"/>
  <c r="C9" i="21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6" i="21"/>
  <c r="B6" i="21"/>
  <c r="I6" i="21"/>
  <c r="J6" i="21"/>
  <c r="G6" i="21"/>
  <c r="F6" i="21"/>
  <c r="D6" i="21"/>
  <c r="C6" i="21"/>
  <c r="C14" i="18"/>
  <c r="D14" i="18"/>
  <c r="C26" i="18"/>
  <c r="D26" i="18"/>
  <c r="C25" i="18"/>
  <c r="D25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3" i="18"/>
  <c r="D13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3" i="21"/>
  <c r="O4" i="21"/>
  <c r="O5" i="21"/>
  <c r="O11" i="21"/>
  <c r="O12" i="21"/>
  <c r="O13" i="21"/>
  <c r="O14" i="21"/>
  <c r="O2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55" i="9"/>
  <c r="N55" i="9"/>
  <c r="M55" i="9"/>
  <c r="L55" i="9"/>
  <c r="K55" i="9"/>
  <c r="J55" i="9"/>
  <c r="I55" i="9"/>
  <c r="H55" i="9"/>
  <c r="G55" i="9"/>
  <c r="E55" i="9"/>
  <c r="D55" i="9"/>
  <c r="A55" i="9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J2" i="11"/>
  <c r="O70" i="9"/>
  <c r="N70" i="9"/>
  <c r="M70" i="9"/>
  <c r="L70" i="9"/>
  <c r="K70" i="9"/>
  <c r="J70" i="9"/>
  <c r="I70" i="9"/>
  <c r="H70" i="9"/>
  <c r="G70" i="9"/>
  <c r="E70" i="9"/>
  <c r="D70" i="9"/>
  <c r="A70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J23" i="11"/>
  <c r="O91" i="9"/>
  <c r="N91" i="9"/>
  <c r="M91" i="9"/>
  <c r="L91" i="9"/>
  <c r="K91" i="9"/>
  <c r="J91" i="9"/>
  <c r="I91" i="9"/>
  <c r="H91" i="9"/>
  <c r="G91" i="9"/>
  <c r="E91" i="9"/>
  <c r="D91" i="9"/>
  <c r="A91" i="9"/>
  <c r="J22" i="11"/>
  <c r="O90" i="9"/>
  <c r="N90" i="9"/>
  <c r="M90" i="9"/>
  <c r="L90" i="9"/>
  <c r="K90" i="9"/>
  <c r="J90" i="9"/>
  <c r="I90" i="9"/>
  <c r="H90" i="9"/>
  <c r="G90" i="9"/>
  <c r="E90" i="9"/>
  <c r="D90" i="9"/>
  <c r="A90" i="9"/>
  <c r="J21" i="11"/>
  <c r="O89" i="9"/>
  <c r="N89" i="9"/>
  <c r="M89" i="9"/>
  <c r="L89" i="9"/>
  <c r="K89" i="9"/>
  <c r="J89" i="9"/>
  <c r="I89" i="9"/>
  <c r="H89" i="9"/>
  <c r="G89" i="9"/>
  <c r="E89" i="9"/>
  <c r="D89" i="9"/>
  <c r="A89" i="9"/>
  <c r="J20" i="11"/>
  <c r="O88" i="9"/>
  <c r="N88" i="9"/>
  <c r="M88" i="9"/>
  <c r="L88" i="9"/>
  <c r="K88" i="9"/>
  <c r="J88" i="9"/>
  <c r="I88" i="9"/>
  <c r="H88" i="9"/>
  <c r="G88" i="9"/>
  <c r="E88" i="9"/>
  <c r="D88" i="9"/>
  <c r="A88" i="9"/>
  <c r="J19" i="11"/>
  <c r="O87" i="9"/>
  <c r="N87" i="9"/>
  <c r="M87" i="9"/>
  <c r="L87" i="9"/>
  <c r="K87" i="9"/>
  <c r="J87" i="9"/>
  <c r="I87" i="9"/>
  <c r="H87" i="9"/>
  <c r="G87" i="9"/>
  <c r="E87" i="9"/>
  <c r="D87" i="9"/>
  <c r="A87" i="9"/>
  <c r="J12" i="11"/>
  <c r="O80" i="9"/>
  <c r="N80" i="9"/>
  <c r="M80" i="9"/>
  <c r="L80" i="9"/>
  <c r="K80" i="9"/>
  <c r="J80" i="9"/>
  <c r="I80" i="9"/>
  <c r="H80" i="9"/>
  <c r="G80" i="9"/>
  <c r="E80" i="9"/>
  <c r="D80" i="9"/>
  <c r="A80" i="9"/>
  <c r="J11" i="11"/>
  <c r="O79" i="9"/>
  <c r="N79" i="9"/>
  <c r="M79" i="9"/>
  <c r="L79" i="9"/>
  <c r="K79" i="9"/>
  <c r="J79" i="9"/>
  <c r="I79" i="9"/>
  <c r="H79" i="9"/>
  <c r="G79" i="9"/>
  <c r="E79" i="9"/>
  <c r="D79" i="9"/>
  <c r="A79" i="9"/>
  <c r="J10" i="11"/>
  <c r="O78" i="9"/>
  <c r="N78" i="9"/>
  <c r="M78" i="9"/>
  <c r="L78" i="9"/>
  <c r="K78" i="9"/>
  <c r="J78" i="9"/>
  <c r="I78" i="9"/>
  <c r="H78" i="9"/>
  <c r="G78" i="9"/>
  <c r="E78" i="9"/>
  <c r="D78" i="9"/>
  <c r="A78" i="9"/>
  <c r="J9" i="11"/>
  <c r="O77" i="9"/>
  <c r="N77" i="9"/>
  <c r="M77" i="9"/>
  <c r="L77" i="9"/>
  <c r="K77" i="9"/>
  <c r="J77" i="9"/>
  <c r="I77" i="9"/>
  <c r="H77" i="9"/>
  <c r="G77" i="9"/>
  <c r="E77" i="9"/>
  <c r="D77" i="9"/>
  <c r="A77" i="9"/>
  <c r="J8" i="11"/>
  <c r="O76" i="9"/>
  <c r="N76" i="9"/>
  <c r="M76" i="9"/>
  <c r="L76" i="9"/>
  <c r="K76" i="9"/>
  <c r="J76" i="9"/>
  <c r="I76" i="9"/>
  <c r="H76" i="9"/>
  <c r="G76" i="9"/>
  <c r="E76" i="9"/>
  <c r="D76" i="9"/>
  <c r="A7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M15" i="10"/>
  <c r="T15" i="10"/>
  <c r="W15" i="10"/>
  <c r="V15" i="10"/>
  <c r="X15" i="10"/>
  <c r="U15" i="10"/>
  <c r="Y15" i="10"/>
  <c r="M28" i="10"/>
  <c r="M42" i="10"/>
  <c r="M64" i="10"/>
  <c r="N64" i="10"/>
  <c r="Q64" i="10"/>
  <c r="P64" i="10"/>
  <c r="R64" i="10"/>
  <c r="O64" i="10"/>
  <c r="S64" i="10"/>
  <c r="N42" i="10"/>
  <c r="Q42" i="10"/>
  <c r="P42" i="10"/>
  <c r="R42" i="10"/>
  <c r="O42" i="10"/>
  <c r="S42" i="10"/>
  <c r="N28" i="10"/>
  <c r="Q28" i="10"/>
  <c r="P28" i="10"/>
  <c r="R28" i="10"/>
  <c r="O28" i="10"/>
  <c r="S28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J74" i="11"/>
  <c r="J73" i="11"/>
  <c r="J72" i="11"/>
  <c r="J71" i="11"/>
  <c r="J70" i="11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29" i="10"/>
  <c r="T29" i="10"/>
  <c r="W29" i="10"/>
  <c r="V29" i="10"/>
  <c r="X29" i="10"/>
  <c r="U29" i="10"/>
  <c r="Y29" i="10"/>
  <c r="M43" i="10"/>
  <c r="M65" i="10"/>
  <c r="N65" i="10"/>
  <c r="Q65" i="10"/>
  <c r="P65" i="10"/>
  <c r="R65" i="10"/>
  <c r="O65" i="10"/>
  <c r="S65" i="10"/>
  <c r="N43" i="10"/>
  <c r="Q43" i="10"/>
  <c r="P43" i="10"/>
  <c r="R43" i="10"/>
  <c r="O43" i="10"/>
  <c r="S43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8" i="10"/>
  <c r="T8" i="10"/>
  <c r="W8" i="10"/>
  <c r="V8" i="10"/>
  <c r="X8" i="10"/>
  <c r="U8" i="10"/>
  <c r="Y8" i="10"/>
  <c r="M23" i="10"/>
  <c r="M35" i="10"/>
  <c r="M53" i="10"/>
  <c r="N53" i="10"/>
  <c r="Q53" i="10"/>
  <c r="P53" i="10"/>
  <c r="R53" i="10"/>
  <c r="O53" i="10"/>
  <c r="S53" i="10"/>
  <c r="N35" i="10"/>
  <c r="Q35" i="10"/>
  <c r="P35" i="10"/>
  <c r="R35" i="10"/>
  <c r="O35" i="10"/>
  <c r="S35" i="10"/>
  <c r="N23" i="10"/>
  <c r="Q23" i="10"/>
  <c r="P23" i="10"/>
  <c r="R23" i="10"/>
  <c r="O23" i="10"/>
  <c r="S23" i="10"/>
  <c r="N8" i="10"/>
  <c r="Q8" i="10"/>
  <c r="P8" i="10"/>
  <c r="R8" i="10"/>
  <c r="O8" i="10"/>
  <c r="S8" i="10"/>
  <c r="G8" i="10"/>
  <c r="J8" i="10"/>
  <c r="I8" i="10"/>
  <c r="K8" i="10"/>
  <c r="H8" i="10"/>
  <c r="L8" i="10"/>
  <c r="J61" i="11"/>
  <c r="O124" i="9"/>
  <c r="N124" i="9"/>
  <c r="M124" i="9"/>
  <c r="L124" i="9"/>
  <c r="K124" i="9"/>
  <c r="J124" i="9"/>
  <c r="I124" i="9"/>
  <c r="H124" i="9"/>
  <c r="G124" i="9"/>
  <c r="E124" i="9"/>
  <c r="D124" i="9"/>
  <c r="A124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O61" i="9"/>
  <c r="N61" i="9"/>
  <c r="M61" i="9"/>
  <c r="L61" i="9"/>
  <c r="K61" i="9"/>
  <c r="J61" i="9"/>
  <c r="I61" i="9"/>
  <c r="H61" i="9"/>
  <c r="G61" i="9"/>
  <c r="E61" i="9"/>
  <c r="D61" i="9"/>
  <c r="A61" i="9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O60" i="9"/>
  <c r="N60" i="9"/>
  <c r="M60" i="9"/>
  <c r="L60" i="9"/>
  <c r="K60" i="9"/>
  <c r="J60" i="9"/>
  <c r="I60" i="9"/>
  <c r="H60" i="9"/>
  <c r="G60" i="9"/>
  <c r="E60" i="9"/>
  <c r="D60" i="9"/>
  <c r="A60" i="9"/>
  <c r="M47" i="10"/>
  <c r="T47" i="10"/>
  <c r="W47" i="10"/>
  <c r="V47" i="10"/>
  <c r="X47" i="10"/>
  <c r="U47" i="10"/>
  <c r="Y47" i="10"/>
  <c r="M69" i="10"/>
  <c r="N69" i="10"/>
  <c r="Q69" i="10"/>
  <c r="P69" i="10"/>
  <c r="R69" i="10"/>
  <c r="O69" i="10"/>
  <c r="S69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J30" i="11"/>
  <c r="O97" i="9"/>
  <c r="N97" i="9"/>
  <c r="M97" i="9"/>
  <c r="L97" i="9"/>
  <c r="K97" i="9"/>
  <c r="J97" i="9"/>
  <c r="I97" i="9"/>
  <c r="H97" i="9"/>
  <c r="G97" i="9"/>
  <c r="E97" i="9"/>
  <c r="D97" i="9"/>
  <c r="A97" i="9"/>
  <c r="J29" i="11"/>
  <c r="O96" i="9"/>
  <c r="N96" i="9"/>
  <c r="M96" i="9"/>
  <c r="L96" i="9"/>
  <c r="K96" i="9"/>
  <c r="J96" i="9"/>
  <c r="I96" i="9"/>
  <c r="H96" i="9"/>
  <c r="G96" i="9"/>
  <c r="E96" i="9"/>
  <c r="D96" i="9"/>
  <c r="A96" i="9"/>
  <c r="J27" i="11"/>
  <c r="O95" i="9"/>
  <c r="N95" i="9"/>
  <c r="M95" i="9"/>
  <c r="L95" i="9"/>
  <c r="K95" i="9"/>
  <c r="J95" i="9"/>
  <c r="I95" i="9"/>
  <c r="H95" i="9"/>
  <c r="G95" i="9"/>
  <c r="E95" i="9"/>
  <c r="D95" i="9"/>
  <c r="A95" i="9"/>
  <c r="J26" i="11"/>
  <c r="O94" i="9"/>
  <c r="N94" i="9"/>
  <c r="M94" i="9"/>
  <c r="L94" i="9"/>
  <c r="K94" i="9"/>
  <c r="J94" i="9"/>
  <c r="I94" i="9"/>
  <c r="H94" i="9"/>
  <c r="G94" i="9"/>
  <c r="E94" i="9"/>
  <c r="D94" i="9"/>
  <c r="A94" i="9"/>
  <c r="J25" i="11"/>
  <c r="O93" i="9"/>
  <c r="N93" i="9"/>
  <c r="M93" i="9"/>
  <c r="L93" i="9"/>
  <c r="K93" i="9"/>
  <c r="J93" i="9"/>
  <c r="I93" i="9"/>
  <c r="H93" i="9"/>
  <c r="G93" i="9"/>
  <c r="E93" i="9"/>
  <c r="D93" i="9"/>
  <c r="A93" i="9"/>
  <c r="J24" i="11"/>
  <c r="O92" i="9"/>
  <c r="N92" i="9"/>
  <c r="M92" i="9"/>
  <c r="L92" i="9"/>
  <c r="K92" i="9"/>
  <c r="J92" i="9"/>
  <c r="I92" i="9"/>
  <c r="H92" i="9"/>
  <c r="G92" i="9"/>
  <c r="E92" i="9"/>
  <c r="D92" i="9"/>
  <c r="A92" i="9"/>
  <c r="J18" i="11"/>
  <c r="O86" i="9"/>
  <c r="N86" i="9"/>
  <c r="M86" i="9"/>
  <c r="L86" i="9"/>
  <c r="K86" i="9"/>
  <c r="J86" i="9"/>
  <c r="I86" i="9"/>
  <c r="H86" i="9"/>
  <c r="G86" i="9"/>
  <c r="E86" i="9"/>
  <c r="D86" i="9"/>
  <c r="A86" i="9"/>
  <c r="J17" i="11"/>
  <c r="O85" i="9"/>
  <c r="N85" i="9"/>
  <c r="M85" i="9"/>
  <c r="L85" i="9"/>
  <c r="K85" i="9"/>
  <c r="J85" i="9"/>
  <c r="I85" i="9"/>
  <c r="H85" i="9"/>
  <c r="G85" i="9"/>
  <c r="E85" i="9"/>
  <c r="D85" i="9"/>
  <c r="A85" i="9"/>
  <c r="J16" i="11"/>
  <c r="O84" i="9"/>
  <c r="N84" i="9"/>
  <c r="M84" i="9"/>
  <c r="L84" i="9"/>
  <c r="K84" i="9"/>
  <c r="J84" i="9"/>
  <c r="I84" i="9"/>
  <c r="H84" i="9"/>
  <c r="G84" i="9"/>
  <c r="E84" i="9"/>
  <c r="D84" i="9"/>
  <c r="A84" i="9"/>
  <c r="J15" i="11"/>
  <c r="O83" i="9"/>
  <c r="N83" i="9"/>
  <c r="M83" i="9"/>
  <c r="L83" i="9"/>
  <c r="K83" i="9"/>
  <c r="J83" i="9"/>
  <c r="I83" i="9"/>
  <c r="H83" i="9"/>
  <c r="G83" i="9"/>
  <c r="E83" i="9"/>
  <c r="D83" i="9"/>
  <c r="A83" i="9"/>
  <c r="J14" i="11"/>
  <c r="O82" i="9"/>
  <c r="N82" i="9"/>
  <c r="M82" i="9"/>
  <c r="L82" i="9"/>
  <c r="K82" i="9"/>
  <c r="J82" i="9"/>
  <c r="I82" i="9"/>
  <c r="H82" i="9"/>
  <c r="G82" i="9"/>
  <c r="E82" i="9"/>
  <c r="D82" i="9"/>
  <c r="A82" i="9"/>
  <c r="J13" i="11"/>
  <c r="O81" i="9"/>
  <c r="N81" i="9"/>
  <c r="M81" i="9"/>
  <c r="L81" i="9"/>
  <c r="K81" i="9"/>
  <c r="J81" i="9"/>
  <c r="I81" i="9"/>
  <c r="H81" i="9"/>
  <c r="G81" i="9"/>
  <c r="E81" i="9"/>
  <c r="D81" i="9"/>
  <c r="A81" i="9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J7" i="11"/>
  <c r="O75" i="9"/>
  <c r="N75" i="9"/>
  <c r="M75" i="9"/>
  <c r="L75" i="9"/>
  <c r="K75" i="9"/>
  <c r="J75" i="9"/>
  <c r="I75" i="9"/>
  <c r="H75" i="9"/>
  <c r="G75" i="9"/>
  <c r="E75" i="9"/>
  <c r="D75" i="9"/>
  <c r="A75" i="9"/>
  <c r="J6" i="11"/>
  <c r="O74" i="9"/>
  <c r="N74" i="9"/>
  <c r="M74" i="9"/>
  <c r="L74" i="9"/>
  <c r="K74" i="9"/>
  <c r="J74" i="9"/>
  <c r="I74" i="9"/>
  <c r="H74" i="9"/>
  <c r="G74" i="9"/>
  <c r="E74" i="9"/>
  <c r="D74" i="9"/>
  <c r="A74" i="9"/>
  <c r="J5" i="11"/>
  <c r="O73" i="9"/>
  <c r="N73" i="9"/>
  <c r="M73" i="9"/>
  <c r="L73" i="9"/>
  <c r="K73" i="9"/>
  <c r="J73" i="9"/>
  <c r="I73" i="9"/>
  <c r="H73" i="9"/>
  <c r="G73" i="9"/>
  <c r="E73" i="9"/>
  <c r="D73" i="9"/>
  <c r="A73" i="9"/>
  <c r="J4" i="11"/>
  <c r="O72" i="9"/>
  <c r="N72" i="9"/>
  <c r="M72" i="9"/>
  <c r="L72" i="9"/>
  <c r="K72" i="9"/>
  <c r="J72" i="9"/>
  <c r="I72" i="9"/>
  <c r="H72" i="9"/>
  <c r="G72" i="9"/>
  <c r="E72" i="9"/>
  <c r="D72" i="9"/>
  <c r="A72" i="9"/>
  <c r="J3" i="11"/>
  <c r="O71" i="9"/>
  <c r="N71" i="9"/>
  <c r="M71" i="9"/>
  <c r="L71" i="9"/>
  <c r="K71" i="9"/>
  <c r="J71" i="9"/>
  <c r="I71" i="9"/>
  <c r="H71" i="9"/>
  <c r="G71" i="9"/>
  <c r="E71" i="9"/>
  <c r="D71" i="9"/>
  <c r="A71" i="9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M11" i="10"/>
  <c r="T11" i="10"/>
  <c r="W11" i="10"/>
  <c r="V11" i="10"/>
  <c r="X11" i="10"/>
  <c r="U11" i="10"/>
  <c r="Y11" i="10"/>
  <c r="M24" i="10"/>
  <c r="M36" i="10"/>
  <c r="N36" i="10"/>
  <c r="Q36" i="10"/>
  <c r="P36" i="10"/>
  <c r="R36" i="10"/>
  <c r="O36" i="10"/>
  <c r="S36" i="10"/>
  <c r="N24" i="10"/>
  <c r="Q24" i="10"/>
  <c r="P24" i="10"/>
  <c r="R24" i="10"/>
  <c r="O24" i="10"/>
  <c r="S24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Y11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7" i="9"/>
  <c r="H37" i="9"/>
  <c r="I37" i="9"/>
  <c r="J37" i="9"/>
  <c r="K37" i="9"/>
  <c r="L37" i="9"/>
  <c r="M37" i="9"/>
  <c r="N37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J28" i="11"/>
  <c r="O57" i="9"/>
  <c r="E57" i="9"/>
  <c r="D57" i="9"/>
  <c r="A57" i="9"/>
  <c r="O56" i="9"/>
  <c r="E56" i="9"/>
  <c r="D56" i="9"/>
  <c r="A56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37" i="9"/>
  <c r="E37" i="9"/>
  <c r="D37" i="9"/>
  <c r="A37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M9" i="10"/>
  <c r="T9" i="10"/>
  <c r="W9" i="10"/>
  <c r="V9" i="10"/>
  <c r="X9" i="10"/>
  <c r="U9" i="10"/>
  <c r="Y9" i="10"/>
  <c r="M46" i="10"/>
  <c r="N46" i="10"/>
  <c r="Q46" i="10"/>
  <c r="P46" i="10"/>
  <c r="R46" i="10"/>
  <c r="O46" i="10"/>
  <c r="S46" i="10"/>
  <c r="M34" i="10"/>
  <c r="N34" i="10"/>
  <c r="Q34" i="10"/>
  <c r="P34" i="10"/>
  <c r="R34" i="10"/>
  <c r="O34" i="10"/>
  <c r="S34" i="10"/>
  <c r="M22" i="10"/>
  <c r="N22" i="10"/>
  <c r="Q22" i="10"/>
  <c r="P22" i="10"/>
  <c r="R22" i="10"/>
  <c r="O22" i="10"/>
  <c r="S22" i="10"/>
  <c r="N9" i="10"/>
  <c r="Q9" i="10"/>
  <c r="P9" i="10"/>
  <c r="R9" i="10"/>
  <c r="O9" i="10"/>
  <c r="S9" i="10"/>
  <c r="G9" i="10"/>
  <c r="J9" i="10"/>
  <c r="I9" i="10"/>
  <c r="K9" i="10"/>
  <c r="H9" i="10"/>
  <c r="L9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E2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4" i="1"/>
  <c r="AF4" i="1"/>
  <c r="AI4" i="1"/>
  <c r="AG4" i="1"/>
  <c r="AE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N2" i="22"/>
  <c r="G2" i="22"/>
  <c r="F2" i="22"/>
  <c r="D2" i="22"/>
  <c r="C2" i="22"/>
  <c r="A2" i="2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<sst xmlns="http://schemas.openxmlformats.org/spreadsheetml/2006/main" count="1563" uniqueCount="574">
  <si>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</si>
  <si>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</si>
  <si>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</si>
  <si>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</si>
  <si>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</si>
  <si>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</si>
  <si>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</si>
  <si>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</si>
  <si>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</si>
  <si>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</si>
  <si>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</si>
  <si>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</si>
  <si>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</si>
  <si>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</si>
  <si>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</si>
  <si>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</si>
  <si>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</si>
  <si>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</si>
  <si>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</si>
  <si>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</si>
  <si>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</si>
  <si>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</si>
  <si>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</si>
  <si>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</si>
  <si>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</si>
  <si>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</si>
  <si>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</si>
  <si>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</si>
  <si>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</si>
  <si>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</si>
  <si>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</si>
  <si>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</si>
  <si>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</si>
  <si>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</si>
  <si>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</si>
  <si>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</si>
  <si>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</si>
  <si>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</si>
  <si>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</si>
  <si>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</si>
  <si>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</si>
  <si>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</si>
  <si>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</si>
  <si>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</si>
  <si>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</si>
  <si>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</si>
  <si>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</si>
  <si>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</si>
  <si>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</si>
  <si>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</si>
  <si>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</si>
  <si>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</si>
  <si>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</si>
  <si>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</si>
  <si>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</si>
  <si>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</si>
  <si>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</si>
  <si>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</si>
  <si>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</si>
  <si>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</si>
  <si>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</si>
  <si>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</si>
  <si>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</si>
  <si>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</si>
  <si>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</si>
  <si>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</si>
  <si>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</si>
  <si>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</si>
  <si>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</si>
  <si>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</si>
  <si>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</si>
  <si>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</si>
  <si>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</si>
  <si>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</si>
  <si>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</si>
  <si>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</si>
  <si>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</si>
  <si>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</si>
  <si>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</si>
  <si>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</si>
  <si>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</si>
  <si>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</si>
  <si>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</si>
  <si>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</si>
  <si>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</si>
  <si>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</si>
  <si>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</si>
  <si>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</si>
  <si>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</si>
  <si>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</si>
  <si>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</si>
  <si>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</si>
  <si>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</si>
  <si>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</si>
  <si>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</si>
  <si>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</si>
  <si>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</si>
  <si>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</si>
  <si>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</si>
  <si>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</si>
  <si>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</si>
  <si>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</si>
  <si>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</si>
  <si>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</si>
  <si>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</si>
  <si>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</si>
  <si>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</si>
  <si>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</si>
  <si>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</si>
  <si>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</si>
  <si>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</si>
  <si>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</si>
  <si>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</si>
  <si>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</si>
  <si>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</si>
  <si>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</si>
  <si>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</si>
  <si>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</si>
  <si>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</si>
  <si>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</si>
  <si>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</si>
  <si>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</si>
  <si>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</si>
  <si>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</si>
  <si>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</si>
  <si>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</si>
  <si>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</si>
  <si>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</si>
  <si>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</si>
  <si>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</si>
  <si>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</si>
  <si>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</si>
  <si>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</si>
  <si>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</si>
  <si>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</si>
  <si>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</si>
  <si>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</si>
  <si>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</si>
  <si>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</si>
  <si>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</si>
  <si>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</si>
  <si>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</si>
  <si>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</si>
  <si>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</si>
  <si>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</si>
  <si>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</si>
  <si>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</si>
  <si>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</si>
  <si>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</si>
  <si>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</si>
  <si>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</si>
  <si>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</si>
  <si>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</si>
  <si>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</si>
  <si>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</si>
  <si>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</si>
  <si>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</si>
  <si>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</si>
  <si>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</si>
  <si>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</si>
  <si>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</si>
  <si>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</si>
  <si>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</si>
  <si>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</si>
  <si>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</si>
  <si>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</si>
  <si>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</si>
  <si>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</si>
  <si>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</si>
  <si>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</si>
  <si>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</si>
  <si>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</si>
  <si>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</si>
  <si>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</si>
  <si>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</si>
  <si>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</si>
  <si>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</si>
  <si>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</si>
  <si>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</si>
  <si>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</si>
  <si>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</si>
  <si>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</si>
  <si>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</si>
  <si>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</si>
  <si>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</si>
  <si>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</si>
  <si>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</si>
  <si>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</si>
  <si>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</si>
  <si>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</si>
  <si>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</si>
  <si>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</si>
  <si>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</si>
  <si>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</si>
  <si>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</si>
  <si>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</si>
  <si>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</si>
  <si>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</si>
  <si>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</si>
  <si>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</si>
  <si>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</si>
  <si>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</si>
  <si>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</si>
  <si>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</si>
  <si>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</si>
  <si>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</si>
  <si>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</si>
  <si>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</si>
  <si>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</si>
  <si>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</si>
  <si>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</si>
  <si>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</si>
  <si>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</si>
  <si>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</si>
  <si>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上級</t>
    <rPh sb="0" eb="2">
      <t>ジョウキュウ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</si>
  <si>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</si>
  <si>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</si>
  <si>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</si>
  <si>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</si>
  <si>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</si>
  <si>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</si>
  <si>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</si>
  <si>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</si>
  <si>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</si>
  <si>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</si>
  <si>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</si>
  <si>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</si>
  <si>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</si>
  <si>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</si>
  <si>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</si>
  <si>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</si>
  <si>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</si>
  <si>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</si>
  <si>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</si>
  <si>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</si>
  <si>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</si>
  <si>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</si>
  <si>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</si>
  <si>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</si>
  <si>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</si>
  <si>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</si>
  <si>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</si>
  <si>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</si>
  <si>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</si>
  <si>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</si>
  <si>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</si>
  <si>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</si>
  <si>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</si>
  <si>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</si>
  <si>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</si>
  <si>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</si>
  <si>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</si>
  <si>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</si>
  <si>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</si>
  <si>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</si>
  <si>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</si>
  <si>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</si>
  <si>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</si>
  <si>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</si>
  <si>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</si>
  <si>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null</t>
    <phoneticPr fontId="5"/>
  </si>
  <si>
    <t>全体攻撃</t>
    <rPh sb="0" eb="4">
      <t>ゼンタイコウゲキ</t>
    </rPh>
    <phoneticPr fontId="5"/>
  </si>
  <si>
    <t>クリティカル！</t>
    <phoneticPr fontId="5"/>
  </si>
  <si>
    <t>ハートパネルプロテクト+単体攻撃</t>
    <rPh sb="12" eb="16">
      <t>タンタイk</t>
    </rPh>
    <phoneticPr fontId="5"/>
  </si>
  <si>
    <t>2ターン全ユニットの攻撃力20%DOWN+単体攻撃</t>
    <rPh sb="4" eb="5">
      <t>ゼンユニット</t>
    </rPh>
    <rPh sb="10" eb="13">
      <t>コウゲキリョク</t>
    </rPh>
    <rPh sb="21" eb="25">
      <t>タンタ</t>
    </rPh>
    <phoneticPr fontId="5"/>
  </si>
  <si>
    <t>2ターン全ユニットの攻撃力40%DOWN+単体攻撃</t>
    <phoneticPr fontId="5"/>
  </si>
  <si>
    <t>2ターン全ユニットの攻撃力60%DOWN+単体攻撃</t>
    <rPh sb="4" eb="5">
      <t>ゼンユニット</t>
    </rPh>
    <rPh sb="10" eb="13">
      <t>コウゲキリョク</t>
    </rPh>
    <rPh sb="21" eb="25">
      <t>タンタ</t>
    </rPh>
    <phoneticPr fontId="5"/>
  </si>
  <si>
    <t>残りHPの50%ダメージ！</t>
    <rPh sb="0" eb="1">
      <t>ノコリ</t>
    </rPh>
    <phoneticPr fontId="5"/>
  </si>
  <si>
    <t>3ターン全ユニットの回復力100%DOWN</t>
    <rPh sb="4" eb="5">
      <t>ゼンユ</t>
    </rPh>
    <rPh sb="10" eb="13">
      <t>カイフクリョク</t>
    </rPh>
    <phoneticPr fontId="5"/>
  </si>
  <si>
    <t>8000固定ダメージ</t>
    <rPh sb="4" eb="6">
      <t>コテイ</t>
    </rPh>
    <phoneticPr fontId="5"/>
  </si>
  <si>
    <t>2ターン全ユニットの攻撃力80%DOWN+単体攻撃</t>
    <phoneticPr fontId="5"/>
  </si>
  <si>
    <t>1ターン全ユニットの攻撃力50%DOWN+単体攻撃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</si>
  <si>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</si>
  <si>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</si>
  <si>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</si>
  <si>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</si>
  <si>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単体攻撃+残りHPの20%ダメージ！</t>
    <rPh sb="0" eb="4">
      <t>タンタイコウゲキ</t>
    </rPh>
    <phoneticPr fontId="5"/>
  </si>
  <si>
    <t>単体攻撃+残りHPの30%ダメージ！</t>
    <phoneticPr fontId="5"/>
  </si>
  <si>
    <t>単体攻撃+残りHPの40%ダメージ！</t>
    <rPh sb="0" eb="4">
      <t>タンタイコウゲキ</t>
    </rPh>
    <phoneticPr fontId="5"/>
  </si>
  <si>
    <t>単体攻撃+残りHPの50%ダメージ！</t>
  </si>
  <si>
    <t>次のターンに残りHPの200%ダメージ！</t>
    <rPh sb="0" eb="1">
      <t>ツギノター</t>
    </rPh>
    <phoneticPr fontId="5"/>
  </si>
  <si>
    <t>残りHPの200%ダメージ！</t>
    <rPh sb="0" eb="1">
      <t>ノコリ</t>
    </rPh>
    <phoneticPr fontId="5"/>
  </si>
  <si>
    <t>儂のチョコを受け取るのじゃ！</t>
    <rPh sb="0" eb="1">
      <t>ワシノ</t>
    </rPh>
    <rPh sb="6" eb="7">
      <t>ウケトルノジャ</t>
    </rPh>
    <phoneticPr fontId="5"/>
  </si>
  <si>
    <t>クリティカル！</t>
    <phoneticPr fontId="5"/>
  </si>
  <si>
    <t>ええいっ！いいから受け取らんか！</t>
    <rPh sb="9" eb="10">
      <t>ウケトランカ</t>
    </rPh>
    <phoneticPr fontId="5"/>
  </si>
  <si>
    <t>null</t>
    <phoneticPr fontId="5"/>
  </si>
  <si>
    <t>攻撃頻度UP</t>
    <rPh sb="0" eb="2">
      <t>コウゲキ</t>
    </rPh>
    <rPh sb="2" eb="4">
      <t>ヒンド</t>
    </rPh>
    <phoneticPr fontId="5"/>
  </si>
  <si>
    <t>3ターン全ユニットの攻撃力50%DOWN+単体攻撃</t>
    <phoneticPr fontId="5"/>
  </si>
  <si>
    <t>1ターン全ユニットの攻撃力20%DOWN+単体攻撃</t>
    <phoneticPr fontId="5"/>
  </si>
  <si>
    <t>情愛の炎</t>
    <rPh sb="0" eb="2">
      <t>ジョウアイ</t>
    </rPh>
    <rPh sb="3" eb="4">
      <t>ホノオ</t>
    </rPh>
    <phoneticPr fontId="5"/>
  </si>
  <si>
    <t>…急いだ方がいいんじゃない？</t>
    <rPh sb="1" eb="2">
      <t>イソイダホウガ</t>
    </rPh>
    <phoneticPr fontId="5"/>
  </si>
  <si>
    <t>あなたも探してくれてたんだね…</t>
    <rPh sb="4" eb="5">
      <t>サガシテ</t>
    </rPh>
    <phoneticPr fontId="5"/>
  </si>
  <si>
    <t>いっぱい探しちゃったよ…</t>
    <rPh sb="4" eb="5">
      <t>サガシチャッタヨ</t>
    </rPh>
    <phoneticPr fontId="5"/>
  </si>
  <si>
    <t>ごめんね…場所かき忘れちゃった…へへっ…</t>
    <rPh sb="9" eb="10">
      <t>ワスレ</t>
    </rPh>
    <phoneticPr fontId="5"/>
  </si>
  <si>
    <t>きてくれて…ありがとう…</t>
    <phoneticPr fontId="5"/>
  </si>
  <si>
    <t>わたしのきもち…伝えるね…</t>
    <rPh sb="8" eb="9">
      <t>ツタエル</t>
    </rPh>
    <phoneticPr fontId="5"/>
  </si>
  <si>
    <t>ドジしちゃったときは助けてくれて…</t>
    <rPh sb="10" eb="11">
      <t>タスケテクレテ</t>
    </rPh>
    <phoneticPr fontId="5"/>
  </si>
  <si>
    <t>いつもわらって許してくれて…</t>
    <phoneticPr fontId="5"/>
  </si>
  <si>
    <t>やさしくて…</t>
    <phoneticPr fontId="5"/>
  </si>
  <si>
    <t>すきです…これ…あ…おとしちゃった…</t>
    <phoneticPr fontId="5"/>
  </si>
  <si>
    <t>わたしのきもち…うけとってくれる…？</t>
    <phoneticPr fontId="5"/>
  </si>
  <si>
    <t>あなたといると…とっても安心するんだぁ…</t>
    <phoneticPr fontId="5"/>
  </si>
  <si>
    <t>null</t>
    <phoneticPr fontId="5"/>
  </si>
  <si>
    <t>じつは…だいじなお話しがあるんだぁ…</t>
    <rPh sb="9" eb="10">
      <t>ハナシ</t>
    </rPh>
    <phoneticPr fontId="5"/>
  </si>
  <si>
    <t>(びっくりするかなぁ…)</t>
    <phoneticPr fontId="5"/>
  </si>
  <si>
    <t>(ちゃんと…言えるかなぁ…)</t>
    <rPh sb="6" eb="7">
      <t>イエルカナ</t>
    </rPh>
    <phoneticPr fontId="5"/>
  </si>
  <si>
    <t>(びっくりするかなぁ…)</t>
    <phoneticPr fontId="5"/>
  </si>
  <si>
    <t>じつは…だいじなお話しがあるんだぁ…</t>
    <phoneticPr fontId="5"/>
  </si>
  <si>
    <t>わたしのきもち…伝えるね…</t>
    <phoneticPr fontId="5"/>
  </si>
  <si>
    <t>わたし…</t>
    <phoneticPr fontId="5"/>
  </si>
  <si>
    <t>…何か、見た？</t>
    <rPh sb="1" eb="2">
      <t>ナニカ</t>
    </rPh>
    <rPh sb="4" eb="5">
      <t>ミタ</t>
    </rPh>
    <phoneticPr fontId="5"/>
  </si>
  <si>
    <t>null</t>
    <phoneticPr fontId="5"/>
  </si>
  <si>
    <t>null</t>
    <phoneticPr fontId="5"/>
  </si>
  <si>
    <t>きてくれて…ありがとう…</t>
    <phoneticPr fontId="5"/>
  </si>
  <si>
    <t>1ターン全ユニットの攻撃力20%DOWN+単体攻撃</t>
    <rPh sb="4" eb="5">
      <t>ゼンユニット</t>
    </rPh>
    <rPh sb="10" eb="13">
      <t>コウゲキリョク</t>
    </rPh>
    <rPh sb="21" eb="25">
      <t>タンタ</t>
    </rPh>
    <phoneticPr fontId="5"/>
  </si>
  <si>
    <t>1ターン全ユニットの攻撃力30%DOWN+単体攻撃</t>
    <phoneticPr fontId="5"/>
  </si>
  <si>
    <t>1ターン全ユニットの攻撃力40%DOWN+単体攻撃</t>
    <rPh sb="4" eb="5">
      <t>ゼンユニット</t>
    </rPh>
    <rPh sb="10" eb="13">
      <t>コウゲキリョク</t>
    </rPh>
    <rPh sb="21" eb="25">
      <t>タンタ</t>
    </rPh>
    <phoneticPr fontId="5"/>
  </si>
  <si>
    <t>1ターン全ユニットの攻撃力50%DOWN+単体攻撃</t>
    <phoneticPr fontId="5"/>
  </si>
  <si>
    <t>…忘れて、お願い</t>
    <phoneticPr fontId="5"/>
  </si>
  <si>
    <t>放課後じゃー！チョコを配るのじゃー！</t>
    <rPh sb="0" eb="3">
      <t>houkagoジャー</t>
    </rPh>
    <rPh sb="11" eb="12">
      <t>クバルノジャー</t>
    </rPh>
    <phoneticPr fontId="5"/>
  </si>
  <si>
    <t>チョコ祭りじゃー！</t>
    <phoneticPr fontId="5"/>
  </si>
  <si>
    <t>今日はみんな色気づいておるのー</t>
    <rPh sb="0" eb="2">
      <t>キョウハ</t>
    </rPh>
    <rPh sb="6" eb="8">
      <t>イロケ</t>
    </rPh>
    <phoneticPr fontId="5"/>
  </si>
  <si>
    <t>わぁ…！見つけたぁ…！</t>
    <rPh sb="4" eb="5">
      <t>ミツケタ</t>
    </rPh>
    <phoneticPr fontId="5"/>
  </si>
  <si>
    <t>これからも…よろしくね…</t>
    <phoneticPr fontId="5"/>
  </si>
  <si>
    <t>はい…これあげる…</t>
    <phoneticPr fontId="5"/>
  </si>
  <si>
    <t>はい…これ…</t>
    <phoneticPr fontId="5"/>
  </si>
  <si>
    <t>…これは…気の迷い</t>
    <rPh sb="5" eb="6">
      <t>キノマヨイ</t>
    </rPh>
    <phoneticPr fontId="5"/>
  </si>
  <si>
    <t>これ…あげる…</t>
    <phoneticPr fontId="5"/>
  </si>
  <si>
    <t>パティに呼ばれておるのか？ほぉ？</t>
    <phoneticPr fontId="5"/>
  </si>
  <si>
    <t>……！？…あなた…何か用？</t>
    <rPh sb="9" eb="10">
      <t>ナニカ</t>
    </rPh>
    <rPh sb="11" eb="12">
      <t>ヨウ</t>
    </rPh>
    <phoneticPr fontId="5"/>
  </si>
  <si>
    <t>[player_name]がすきです…</t>
    <phoneticPr fontId="5"/>
  </si>
  <si>
    <t>[player_name]がすきです…</t>
    <phoneticPr fontId="5"/>
  </si>
  <si>
    <t>[effect:enemy_message, val1:1.2, val2:1.2],[effect:spread, val:0.3]</t>
  </si>
  <si>
    <t>[effect:enemy_message, val1:1.2, val2:1.2],[effect:critical, val:1.1, animation:enemy_critical]</t>
  </si>
  <si>
    <t>[effect:enemy_message, val1:1.2, val2:1.6],[effect:panel_freeze, target:block_heart, count:-1],[effect:critical, val:0.8]</t>
  </si>
  <si>
    <t>[effect:enemy_message, val1:1.2, val2:2.5],[effect:degrade_unit, target:unit_all, turn:2, status:attack, val:0.4, calc:mul],[effect:critical, val:0.8]</t>
  </si>
  <si>
    <t>[effect:enemy_message, val1:1.2, val2:2.5],[effect:degrade_unit, target:unit_all, turn:2, status:attack, val:0.6, calc:mul],[effect:critical, val:0.8]</t>
  </si>
  <si>
    <t>[effect:enemy_message, val1:1.2, val2:2.5],[effect:degrade_unit, target:unit_all, turn:2, status:attack, val:0.8, calc:mul],[effect:critical, val:0.8]</t>
  </si>
  <si>
    <t>[effect:enemy_message, val1:1.4, val2:1.2],[effect:freq_turn, target:myself, turn:-1, val:1, animation:enemy_freq_turn]</t>
  </si>
  <si>
    <t>[effect:enemy_message, val1:1.2, val2:1.3],[effect:damage_gravity, val:0.5, animation:fevergauge_down]</t>
  </si>
  <si>
    <t>[effect:enemy_message, val1:1.5, val2:2.1],[effect:degrade_unit, target:unit_all, turn:3, status:heal, val:1, calc:mul, animation:degrade_unit_all_heal]</t>
  </si>
  <si>
    <t>[effect:enemy_message, val1:1.2, val2:1.2],[effect:damage_fix_absolute, target:unit_one, val:8000]</t>
  </si>
  <si>
    <t>[effect:enemy_message, val1:1.2, val2:2.5],[effect:degrade_unit, target:unit_all, turn:3, status:attack, val:0.5, calc:mul],[effect:critical, val:1.0]</t>
  </si>
  <si>
    <t>[effect:enemy_message, val1:1.2, val2:1.8],[effect:critical, val:0.4],[effect:damage_gravity, val:0.2, animation:fevergauge_down]</t>
  </si>
  <si>
    <t>[effect:enemy_message, val1:1.7, val2:1.8],[effect:critical, val:0.4],[effect:damage_gravity, val:0.3, animation:fevergauge_down]</t>
  </si>
  <si>
    <t>[effect:enemy_message, val1:1.4, val2:1.8],[effect:critical, val:0.4],[effect:damage_gravity, val:0.4, animation:fevergauge_down]</t>
  </si>
  <si>
    <t>[effect:enemy_message, val1:2.0, val2:1.8],[effect:critical, val:0.4],[effect:damage_gravity, val:0.5, animation:fevergauge_down]</t>
  </si>
  <si>
    <t>[effect:enemy_message, val1:1.2, val2:2.0]</t>
  </si>
  <si>
    <t>[effect:enemy_message, val1:1.2, val2:2.5],[effect:degrade_unit, target:unit_all, turn:1, status:attack, val:0.5, calc:mul],[effect:critical, val:0.8]</t>
  </si>
  <si>
    <t>5ターンハートパネルドロップ率DOWN</t>
    <phoneticPr fontId="5"/>
  </si>
  <si>
    <t>おぬし！チョコ配るのを手伝うのじゃー！</t>
    <rPh sb="11" eb="13">
      <t>テツダウノジャ</t>
    </rPh>
    <phoneticPr fontId="5"/>
  </si>
  <si>
    <t>単体攻撃+残りHPの40%ダメージ！</t>
    <phoneticPr fontId="5"/>
  </si>
  <si>
    <t>3ターン全ユニットの攻撃力50%DOWN+単体攻撃</t>
    <phoneticPr fontId="5"/>
  </si>
  <si>
    <t>(どきどき…)</t>
    <phoneticPr fontId="5"/>
  </si>
  <si>
    <t>(どきどき…)</t>
    <phoneticPr fontId="5"/>
  </si>
  <si>
    <t>3ターン全ユニットのCパネル生成延長(効果特大)</t>
    <rPh sb="4" eb="5">
      <t>ゼンユニット</t>
    </rPh>
    <phoneticPr fontId="5"/>
  </si>
  <si>
    <t>[effect:enemy_message, val1:1.2, val2:2.5],[effect:degrade_unit, target:unit_all, turn:1, status:attack, val:0.4, calc:mul],[effect:critical, val:0.8]</t>
  </si>
  <si>
    <t>タマモはHPが半分を下回ると属性の相性を
無視した固定ダメージを与えます
油断せずに戦いましょう</t>
    <phoneticPr fontId="5"/>
  </si>
  <si>
    <t>メタトロンは2ゲージ目に移行すると
攻撃力DOWNを頻繁に行います
スキルやフィーバーを使い
素早く切り抜けましょう</t>
    <phoneticPr fontId="5"/>
  </si>
  <si>
    <t>割合攻撃や固定ダメージは防御力を
無視したダメージを与えます
ユニットの編成には注意しましょう</t>
    <phoneticPr fontId="5"/>
  </si>
  <si>
    <t>パティは3ゲージ目に移行すると
単体攻撃と割合攻撃を同時に使用します
割合攻撃の威力は徐々に増していくので
気をつけましょう</t>
    <phoneticPr fontId="5"/>
  </si>
  <si>
    <t>old</t>
    <phoneticPr fontId="5"/>
  </si>
  <si>
    <t>old</t>
    <phoneticPr fontId="7"/>
  </si>
  <si>
    <t>null</t>
  </si>
  <si>
    <t>link</t>
  </si>
  <si>
    <t>unit</t>
  </si>
  <si>
    <t>小さなパティ</t>
    <phoneticPr fontId="5"/>
  </si>
  <si>
    <t>パティは小柄でおっとりとした少女なので
これからもアナタのそばを離れないように
優しくサポートしてあげましょう</t>
    <phoneticPr fontId="5"/>
  </si>
  <si>
    <t>手作りスイーツ</t>
    <phoneticPr fontId="5"/>
  </si>
  <si>
    <t>パティのくれたお菓子は
ふわふわのチョコカップケーキでした
アナタに受け取ってもらえて
とても幸せそうです</t>
    <phoneticPr fontId="5"/>
  </si>
  <si>
    <t>ドジっ子</t>
    <phoneticPr fontId="5"/>
  </si>
  <si>
    <t>パティは少しドジっ子ですが
素直で純真無垢な彼女は
女性アバターからも可愛がられ
いつも助けてもらっているようです</t>
    <phoneticPr fontId="5"/>
  </si>
  <si>
    <t>秘められた能力</t>
    <phoneticPr fontId="5"/>
  </si>
  <si>
    <t>パティはアナタとの絆で強く成長する
不思議なチカラを秘めています
きっとお互いに成長できる
かけがえのない関係になれるでしょう</t>
    <phoneticPr fontId="5"/>
  </si>
  <si>
    <t>パティはアーケロンやコルネ達と同じ
電子仮想学校の生徒です
彼女達はいつも仲良しですが
アナタと一緒だと嫉妬してしまうようです</t>
    <phoneticPr fontId="5"/>
  </si>
  <si>
    <t>full_member</t>
    <phoneticPr fontId="5"/>
  </si>
  <si>
    <t>old</t>
    <phoneticPr fontId="5"/>
  </si>
  <si>
    <t>old</t>
    <phoneticPr fontId="7"/>
  </si>
  <si>
    <t>メタトロンは何かを隠した…
【状態異常耐性+
　全ユニットのボムの爆風を40%UP】</t>
    <rPh sb="6" eb="7">
      <t>ナニカヲ</t>
    </rPh>
    <rPh sb="9" eb="10">
      <t>カクシタ</t>
    </rPh>
    <rPh sb="24" eb="25">
      <t>ゼンユニット</t>
    </rPh>
    <phoneticPr fontId="5"/>
  </si>
  <si>
    <t>メタトロンは何かを隠した…
【状態異常耐性+
　5ターン全ユニットのボムの爆風を100%DOWN】</t>
    <rPh sb="28" eb="29">
      <t>ゼンユニットノ</t>
    </rPh>
    <phoneticPr fontId="5"/>
  </si>
  <si>
    <t>メタトロンは何かを隠した…
【状態異常耐性+
　全ユニットのボムの爆風を20%UP】</t>
    <rPh sb="6" eb="7">
      <t>ナニカヲ</t>
    </rPh>
    <rPh sb="9" eb="10">
      <t>カクシタ</t>
    </rPh>
    <rPh sb="24" eb="25">
      <t>ゼンユニット</t>
    </rPh>
    <phoneticPr fontId="5"/>
  </si>
  <si>
    <t>メタトロンは何かを隠した…
【状態異常耐性】</t>
    <phoneticPr fontId="5"/>
  </si>
  <si>
    <t>メタトロンは何かを隠した…
【状態異常耐性】</t>
    <phoneticPr fontId="5"/>
  </si>
  <si>
    <t>わぁ…！[player_name]！
やっと会えたぁ…</t>
    <phoneticPr fontId="5"/>
  </si>
  <si>
    <t>状態異常耐性+
全ユニットのスキルゲージを2ターン減少</t>
    <rPh sb="8" eb="9">
      <t>ゼンユニット</t>
    </rPh>
    <rPh sb="25" eb="27">
      <t>ゲンショウ</t>
    </rPh>
    <phoneticPr fontId="5"/>
  </si>
  <si>
    <t>状態異常耐性</t>
    <phoneticPr fontId="5"/>
  </si>
  <si>
    <t>わぁ…！やっとあえたぁ…
みんなに助けてもらっちゃったよぉ…</t>
    <phoneticPr fontId="5"/>
  </si>
  <si>
    <t>……！？…嘘…何でこんなところに…？</t>
    <rPh sb="5" eb="6">
      <t>ウソ</t>
    </rPh>
    <rPh sb="7" eb="8">
      <t>ナンデ</t>
    </rPh>
    <phoneticPr fontId="5"/>
  </si>
  <si>
    <t>状態異常耐性+
2ターン全ユニットのタップ回数1DOWN+
7ターン種族サムライの全ユニットにスキルバインド</t>
    <rPh sb="34" eb="36">
      <t>シュゾク</t>
    </rPh>
    <rPh sb="41" eb="42">
      <t>ゼン</t>
    </rPh>
    <phoneticPr fontId="5"/>
  </si>
  <si>
    <t>……！？…どうかした？</t>
    <phoneticPr fontId="5"/>
  </si>
  <si>
    <t>……！？…みんな作ってるのね</t>
    <rPh sb="8" eb="9">
      <t>ツクッテルノネ</t>
    </rPh>
    <phoneticPr fontId="5"/>
  </si>
  <si>
    <t>…パティ？あぁ…</t>
    <phoneticPr fontId="5"/>
  </si>
  <si>
    <t>(ゆうき…ださなきゃ…！)</t>
    <phoneticPr fontId="5"/>
  </si>
  <si>
    <t>(がんばらなくっちゃ…！)</t>
    <phoneticPr fontId="5"/>
  </si>
  <si>
    <t>(がんばらなくっちゃ…！)</t>
    <phoneticPr fontId="5"/>
  </si>
  <si>
    <t>(ゆうき…ださなきゃ…！)</t>
    <phoneticPr fontId="5"/>
  </si>
  <si>
    <t>わぁ…！[player_name]！</t>
    <phoneticPr fontId="5"/>
  </si>
  <si>
    <t>よかったぁ…ちゃんと会えたぁ…
【状態異常耐性+
　全ユニットのスキルゲージを4ターン減少】</t>
    <rPh sb="26" eb="27">
      <t>ゼンユニット</t>
    </rPh>
    <rPh sb="43" eb="45">
      <t>ゲンショウ</t>
    </rPh>
    <phoneticPr fontId="5"/>
  </si>
  <si>
    <t>[effect:enemy_message, val1:1.8, val2:4.2],[effect:change_bomb_range, target:unit_all, val:1.4, rate:1, turn:-1, animation:bomb_big],[effect:fix_speed, target:myself, turn:2],[effect:tolerance, target:myself, turn:-1, count:-1, tolerance_effect:all, animation:enemy_tolerance]</t>
  </si>
  <si>
    <t>[effect:enemy_message, val1:1.3, val2:4.2],[effect:change_bomb_range, target:unit_all, val:1.2, rate:1, turn:-1, animation:bomb_big],[effect:fix_speed, target:myself, turn:2],[effect:tolerance, target:myself, turn:-1, count:-1, tolerance_effect:all, animation:enemy_tolerance]</t>
  </si>
  <si>
    <t>[effect:enemy_message, val1:1.2, val2:4.9],[effect:change_bomb_range, target:unit_all, val:0, rate:1, turn:5, animation:bomb_small],[effect:fix_speed, target:myself, turn:2],[effect:tolerance, target:myself, turn:-1, count:-1, tolerance_effect:all, animation:enemy_tolerance]</t>
  </si>
  <si>
    <t>[effect:enemy_message, val1:1.2, val2:2.4],[effect:crash_condition, target:unit_all, turn:3, val:4, animation:enemy_crash_extend]</t>
  </si>
  <si>
    <t>[effect:enemy_message, val1:1.2, val2:5.4],[effect:degrade_unit, target:unit_all, turn:2, status:action, val:1, calc:add, animation:enemy_tap_down],[effect:hungup, target:unit_samurai, turn:7, rate:1, animation:hungup01],[effect:fix_speed, target:myself, turn:2],[effect:tolerance, target:myself, turn:-1, count:-1, tolerance_effect:all, animation:enemy_tolerance]</t>
  </si>
  <si>
    <t>[effect:enemy_message, val1:1.8, val2:4.6],[effect:sp_boost, target:unit_all, val:4],[effect:fix_speed, target:myself, turn:1],[effect:tolerance, target:myself, turn:-1, count:-1, tolerance_effect:all, animation:enemy_tolerance]</t>
  </si>
  <si>
    <t>[effect:enemy_message, val1:2.7, val2:2.7],[effect:sp_boost, target:unit_all, val:2],[effect:fix_speed, target:myself, turn:1],[effect:tolerance, target:myself, turn:-1, count:-1, tolerance_effect:all, animation:enemy_tolerance]</t>
  </si>
  <si>
    <t>[effect:enemy_message, val1:1.2, val2:1.2],[effect:fix_speed, target:myself, turn:1],[effect:tolerance, target:myself, turn:-1, count:-1, tolerance_effect:all, animation:enemy_tolerance]</t>
  </si>
  <si>
    <t>[effect:enemy_message, val1:3.0, val2:1.2],[effect:fix_speed, target:myself, turn:1],[effect:tolerance, target:myself, turn:-1, count:-1, tolerance_effect:all, animation:enemy_tolerance]</t>
  </si>
  <si>
    <t>[effect:enemy_message, val1:1.3, val2:2.5],[effect:degrade_unit, target:unit_all, turn:1, status:attack, val:0.5, calc:mul],[effect:critical, val:1.0]</t>
  </si>
  <si>
    <t>[effect:enemy_message, val1:1.2, val2:1.8],[effect:critical, val:0.4],[effect:damage_gravity, val:0.5, animation:fevergauge_down]</t>
  </si>
  <si>
    <t>[effect:enemy_message, val1:1.6, val2:6.1],[effect:drop_freeze, turn:-1, block_type:normal, block_color:block_blue, rate:0.3, animation:drop_protect],[effect:enemy_counter, target:myself, invoke_condition:unit_all, counter_target:attacker, turn:-1, val:0.2, animation:enemy_counter],[effect:sp_boost, target:unit_all, val:2],[effect:fix_speed, target:myself, turn:2]</t>
  </si>
  <si>
    <t>[effect:enemy_message, val1:1.9, val2:6.1],[effect:drop_freeze, turn:-1, block_type:normal, block_color:block_blue, rate:0.3, animation:drop_protect],[effect:enemy_counter, target:myself, invoke_condition:unit_all, counter_target:attacker, turn:-1, val:0.2, animation:enemy_counter],[effect:sp_boost, target:unit_all, val:1]</t>
  </si>
  <si>
    <t>[effect:enemy_message, val1:1.8, val2:4.0],[effect:drop_freeze, turn:-1, block_type:normal, block_color:block_blue, rate:0.3, animation:drop_protect],[effect:enemy_counter, target:myself, invoke_condition:unit_all, counter_target:attacker, turn:-1, val:0.2, animation:enemy_counter]</t>
  </si>
  <si>
    <t>[effect:enemy_message, val1:1.2, val2:2.2],[effect:fix_speed, target:myself, turn:2],[effect:tolerance, target:myself, turn:-1, count:-1, tolerance_effect:all, animation:enemy_tolerance]</t>
  </si>
  <si>
    <t>[effect:enemy_message, val1:1.2, val2:2.5],[effect:degrade_unit, target:unit_all, turn:1, status:attack, val:0.3, calc:mul],[effect:critical, val:0.8]</t>
  </si>
  <si>
    <t>[effect:enemy_message, val1:1.8, val2:1.9],[effect:change_panel_ratio, turn:5, block_type:heal, val:0.1, animation:block_incidence04]</t>
  </si>
  <si>
    <t>[effect:enemy_message, val1:1.3, val2:2.5],[effect:degrade_unit, target:unit_all, turn:1, status:attack, val:0.2, calc:mul],[effect:critical, val:1.0]</t>
  </si>
  <si>
    <t>…恋って、楽しい？</t>
    <phoneticPr fontId="5"/>
  </si>
  <si>
    <t>…ねぇ、どんな気持ち？</t>
    <phoneticPr fontId="5"/>
  </si>
  <si>
    <t>…恋って、楽しい？</t>
  </si>
  <si>
    <t>えっと…えっとね…</t>
    <phoneticPr fontId="5"/>
  </si>
  <si>
    <t>…そう、頑張って</t>
    <phoneticPr fontId="5"/>
  </si>
  <si>
    <t>キャロル女学院の生徒達</t>
    <phoneticPr fontId="5"/>
  </si>
  <si>
    <t>…難しいわね、恋って</t>
    <rPh sb="1" eb="2">
      <t>ムズカシイ</t>
    </rPh>
    <rPh sb="7" eb="8">
      <t>コイッテ</t>
    </rPh>
    <phoneticPr fontId="5"/>
  </si>
  <si>
    <t>…難しいわね、恋って</t>
    <phoneticPr fontId="5"/>
  </si>
  <si>
    <t>ランダムでハートパネルに最大10個変換</t>
  </si>
  <si>
    <t>ランダムで青パネルに最大10個変換+単体攻撃</t>
    <rPh sb="5" eb="6">
      <t>アオパネル</t>
    </rPh>
    <rPh sb="15" eb="17">
      <t>ヘンカン</t>
    </rPh>
    <rPh sb="18" eb="22">
      <t>タンタイコウゲキ</t>
    </rPh>
    <phoneticPr fontId="5"/>
  </si>
  <si>
    <t>ランダムでハートパネルに最大10個変換+
ハートパネル以外の属性パネルをプロテクト</t>
    <rPh sb="30" eb="32">
      <t>ゾクセイ</t>
    </rPh>
    <phoneticPr fontId="5"/>
  </si>
  <si>
    <t>状態異常耐性+
残りHPの99%ダメージ！+
ランダムでハートパネルに最大20個変換</t>
    <rPh sb="0" eb="6">
      <t>ジョウタイイ</t>
    </rPh>
    <phoneticPr fontId="5"/>
  </si>
  <si>
    <t>ランダムでハートパネルに最大5個変換+単体攻撃</t>
  </si>
  <si>
    <t>ランダムで赤パネルに最大5個変換+単体攻撃</t>
    <rPh sb="5" eb="6">
      <t>アカパ</t>
    </rPh>
    <rPh sb="17" eb="21">
      <t>タンタイ</t>
    </rPh>
    <phoneticPr fontId="5"/>
  </si>
  <si>
    <t>青パネルは確率でプロテクトされてドロップ+
解除するまで全属性の攻撃をカウンター+
全ユニットのスキルゲージを2ターン減少</t>
    <rPh sb="0" eb="1">
      <t>アオパネル</t>
    </rPh>
    <rPh sb="5" eb="7">
      <t>kakuritude</t>
    </rPh>
    <phoneticPr fontId="5"/>
  </si>
  <si>
    <t>青パネルは確率でプロテクトされてドロップ+
解除するまで全属性の攻撃をカウンター+
全ユニットのスキルゲージを1ターン減少</t>
    <rPh sb="0" eb="1">
      <t>アオパネル</t>
    </rPh>
    <rPh sb="5" eb="7">
      <t>カクリツデ</t>
    </rPh>
    <phoneticPr fontId="5"/>
  </si>
  <si>
    <t>青パネルは確率でプロテクトされてドロップ+
解除するまで全属性の攻撃をカウンター</t>
    <rPh sb="5" eb="7">
      <t>カクリツデ</t>
    </rPh>
    <phoneticPr fontId="5"/>
  </si>
  <si>
    <t>状態異常耐性+残りHPの99%ダメージ！+
ランダムでハートパネルに最大20個変換+
2ターン全ユニットにスキルバインド</t>
    <rPh sb="0" eb="6">
      <t>ジョウタイ</t>
    </rPh>
    <rPh sb="47" eb="48">
      <t>ゼンユニット</t>
    </rPh>
    <phoneticPr fontId="5"/>
  </si>
  <si>
    <t>8000固定ダメージ</t>
    <rPh sb="4" eb="6">
      <t>コテイダメージ</t>
    </rPh>
    <phoneticPr fontId="5"/>
  </si>
  <si>
    <t>3000固定ダメージ</t>
    <rPh sb="4" eb="6">
      <t>コテイ</t>
    </rPh>
    <phoneticPr fontId="5"/>
  </si>
  <si>
    <t>4000固定ダメージ</t>
    <rPh sb="4" eb="6">
      <t>コテイダメージ</t>
    </rPh>
    <phoneticPr fontId="5"/>
  </si>
  <si>
    <t>残りHPの40%ダメージ！</t>
    <rPh sb="0" eb="1">
      <t>ノコリ</t>
    </rPh>
    <phoneticPr fontId="5"/>
  </si>
  <si>
    <t>状態異常耐性+
残りHPの80%ダメージ！+
ランダムでハートパネルに最大20個変換</t>
    <rPh sb="35" eb="37">
      <t>サイダイ</t>
    </rPh>
    <phoneticPr fontId="5"/>
  </si>
  <si>
    <t>ま…まだあるからだいじょうぶ！あっ…！</t>
    <phoneticPr fontId="5"/>
  </si>
  <si>
    <t>(また落としちゃった…！)</t>
    <phoneticPr fontId="5"/>
  </si>
  <si>
    <t>[effect:enemy_message, val1:1.2, val2:1.2],[effect:damage_fix_absolute, target:unit_one, val:3000]</t>
  </si>
  <si>
    <t>[effect:enemy_message, val1:1.4, val2:2.1],[effect:force_change_block, new_block:block_red, target:block_all, ignore01:block_red, ignore02:crash, ignore03:crack_bomb, ignore04:color_break, ignore05:magnet, count:5, val:0, animation:change_block],[effect:critical, val:1]</t>
  </si>
  <si>
    <t>[effect:enemy_message, val1:1.6, val2:1.2],[effect:damage_fix_absolute, target:unit_one, val:8000]</t>
  </si>
  <si>
    <t>[effect:enemy_message, val1:2.0, val2:2.2],[effect:force_change_block, new_block:block_blue, target:block_all, ignore01:crash, ignore02:crack_bomb, ignore03:color_break, ignore04:magnet, ignore05:block_blue, count:10, val:0],[effect:critical, val:1.0]</t>
  </si>
  <si>
    <t>[effect:enemy_message, val1:1.2, val2:2.2],[effect:force_change_block, new_block:block_blue, target:block_all, ignore01:crash, ignore02:crack_bomb, ignore03:color_break, ignore04:magnet, ignore05:block_blue, count:10, val:0],[effect:critical, val:1.0]</t>
  </si>
  <si>
    <t>[effect:enemy_message, val1:1.4, val2:2.3],[effect:force_change_block, new_block:block_heart, target:block_all, ignore01:crash, ignore02:crack_bomb, ignore03:color_break, ignore04:magnet, ignore05:block_heart, count:5, val:0],[effect:critical, val:1.0]</t>
  </si>
  <si>
    <t>[effect:enemy_message, val1:1.3, val2:4.2],[effect:damage_gravity,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t>
  </si>
  <si>
    <t>[effect:enemy_message, val1:1.3, val2:6.0],[effect:damage_gravity,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t>
  </si>
  <si>
    <t>[effect:enemy_message, val1:1.3, val2:4.1],[effect:force_change_block,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t>
  </si>
  <si>
    <t>[effect:enemy_message, val1:1.6, val2:1.2],[effect:damage_fix_absolute, target:unit_one, val:4000]</t>
  </si>
  <si>
    <t>[effect:enemy_message, val1:1.2, val2:1.3],[effect:damage_gravity, val:0.4, animation:fevergauge_down]</t>
  </si>
  <si>
    <t>[effect:enemy_message, val1:1.3, val2:1.9],[effect:force_change_block, new_block:block_heart, target:block_all, ignore01:crash, ignore02:crack_bomb, ignore03:color_break, ignore04:magnet, ignore05:block_heart, count:10, val:0]</t>
  </si>
  <si>
    <t>[effect:enemy_message, val1:2.0, val2:1.8],[effect:critical, val:0.2],[effect:damage_gravity, val:0.4, animation:fevergauge_down]</t>
  </si>
  <si>
    <t>[effect:enemy_message, val1:1.2, val2:1.8],[effect:critical, val:0.2],[effect:damage_gravity, val:0.4, animation:fevergauge_down]</t>
  </si>
  <si>
    <t>[effect:enemy_message, val1:1.2, val2:1.8],[effect:critical, val:0.2],[effect:damage_gravity, val:0.2, animation:fevergauge_down]</t>
  </si>
  <si>
    <t>[effect:enemy_message, val1:1.7, val2:1.8],[effect:critical, val:0.2],[effect:damage_gravity, val:0.3, animation:fevergauge_down]</t>
  </si>
  <si>
    <t>[effect:enemy_message, val1:1.4, val2:1.8],[effect:critical, val:0.2],[effect:damage_gravity, val:0.4, animation:fevergauge_down]</t>
  </si>
  <si>
    <t>[effect:enemy_message, val1:1.9, val2:1.3],[effect:damage_fix_absolute, target:unit_one, val:11410]</t>
  </si>
  <si>
    <t>がんばって作ったの…</t>
    <rPh sb="5" eb="6">
      <t>ツクッタ</t>
    </rPh>
    <phoneticPr fontId="5"/>
  </si>
  <si>
    <t>メタトロンは何かを隠した…
【状態異常耐性+
　5ターン全ユニットのボムの爆風を100%DOWN】</t>
    <rPh sb="28" eb="29">
      <t>ゼンユニット</t>
    </rPh>
    <phoneticPr fontId="5"/>
  </si>
  <si>
    <t>なんだか照れるね…へへっ…</t>
    <phoneticPr fontId="5"/>
  </si>
  <si>
    <t>状態異常耐性+
ランダムでハートパネルに最大10個変換</t>
    <rPh sb="0" eb="6">
      <t>ジョウタイイジョウタイセイ</t>
    </rPh>
    <phoneticPr fontId="5"/>
  </si>
  <si>
    <t>青パネルは確率でプロテクトされてドロップ+
解除するまで全属性の攻撃をカウンター+
全ユニットのスキルゲージを2ターン減少</t>
    <rPh sb="0" eb="1">
      <t>アオパネル</t>
    </rPh>
    <rPh sb="5" eb="7">
      <t>カクリツデ</t>
    </rPh>
    <phoneticPr fontId="5"/>
  </si>
  <si>
    <t>5ターンハートパネルドロップ率DOWN</t>
    <rPh sb="14" eb="15">
      <t>リツ</t>
    </rPh>
    <phoneticPr fontId="5"/>
  </si>
  <si>
    <t>わぁ…！[player_name]！</t>
  </si>
  <si>
    <t>ふふ…♪[player_name]！
また来てくれたんだね…♪</t>
  </si>
  <si>
    <t>会いに来てくれたんだね…♪</t>
  </si>
  <si>
    <t>あなたが誰かと仲良くしてると
なんだかふあんになっちゃう…</t>
  </si>
  <si>
    <t>ごめんね…場所かき忘れちゃった…へへっ…</t>
    <rPh sb="9" eb="10">
      <t>ワスレ</t>
    </rPh>
    <phoneticPr fontId="2"/>
  </si>
  <si>
    <t>あなたも探してくれてたんだね…</t>
    <rPh sb="4" eb="5">
      <t>サガシテ</t>
    </rPh>
    <phoneticPr fontId="2"/>
  </si>
  <si>
    <t>わぁ…！またあえたねぇ…
みんな優しいなぁ…♪</t>
  </si>
  <si>
    <t>えっと…えっとね…</t>
  </si>
  <si>
    <t>あなたのことを考えると…
うぅ…はずかしいな…</t>
  </si>
  <si>
    <t>(ちゃんと…言えるかなぁ…)</t>
    <rPh sb="6" eb="7">
      <t>イエルカナ</t>
    </rPh>
    <phoneticPr fontId="2"/>
  </si>
  <si>
    <t>(びっくりするかなぁ…)</t>
  </si>
  <si>
    <t>じつは…だいじなお話しがあるんだぁ…</t>
    <rPh sb="9" eb="10">
      <t>ハナシ</t>
    </rPh>
    <phoneticPr fontId="2"/>
  </si>
  <si>
    <t>またきてくれて…ありがとう…</t>
  </si>
  <si>
    <t>わたしのきもち…伝えるね…</t>
    <rPh sb="8" eb="9">
      <t>ツタエル</t>
    </rPh>
    <phoneticPr fontId="2"/>
  </si>
  <si>
    <t>やさしくて…</t>
  </si>
  <si>
    <t>ドジしちゃったときは助けてくれて…</t>
    <rPh sb="10" eb="11">
      <t>タスケテクレテ</t>
    </rPh>
    <phoneticPr fontId="2"/>
  </si>
  <si>
    <t>いつもわらって許してくれて…</t>
  </si>
  <si>
    <t>あなたといると…とっても安心するんだぁ…</t>
  </si>
  <si>
    <t>(がんばらなくっちゃ…！)</t>
  </si>
  <si>
    <t>(ゆうき…ださなきゃ…！)</t>
  </si>
  <si>
    <t>わたし…</t>
  </si>
  <si>
    <t>すきです…これ…あ…おとしちゃった…</t>
  </si>
  <si>
    <t>[player_name]がすきです…</t>
  </si>
  <si>
    <t>ま…まだあるからだいじょうぶ！あっ…！</t>
  </si>
  <si>
    <t>はい…これ…</t>
  </si>
  <si>
    <t>これ…たべてね…♪</t>
  </si>
  <si>
    <t>(どきどき…)</t>
  </si>
  <si>
    <t>またあえたね…嬉しいなぁ…♪
【状態異常耐性+
　全ユニットのスキルゲージを4ターン減少】</t>
    <rPh sb="25" eb="26">
      <t>ゼンユニット</t>
    </rPh>
    <rPh sb="42" eb="44">
      <t>ゲンショウ</t>
    </rPh>
    <phoneticPr fontId="2"/>
  </si>
  <si>
    <t>状態異常耐性+
全ユニットのスキルゲージを2ターン減少</t>
    <rPh sb="8" eb="9">
      <t>ゼンユニット</t>
    </rPh>
    <rPh sb="25" eb="27">
      <t>ゲンショウ</t>
    </rPh>
    <phoneticPr fontId="2"/>
  </si>
  <si>
    <t>状態異常耐性</t>
  </si>
  <si>
    <t>残りHPの50%ダメージ！</t>
    <rPh sb="0" eb="1">
      <t>ノコリ</t>
    </rPh>
    <phoneticPr fontId="2"/>
  </si>
  <si>
    <t>ランダムで青パネルに最大10個変換+単体攻撃</t>
    <rPh sb="5" eb="6">
      <t>アオパネル</t>
    </rPh>
    <rPh sb="15" eb="17">
      <t>ヘンカン</t>
    </rPh>
    <rPh sb="18" eb="22">
      <t>タンタイコウゲキ</t>
    </rPh>
    <phoneticPr fontId="2"/>
  </si>
  <si>
    <t>3ターン全ユニットの回復力100%DOWN</t>
    <rPh sb="4" eb="5">
      <t>ゼンユ</t>
    </rPh>
    <rPh sb="10" eb="13">
      <t>カイフクリョク</t>
    </rPh>
    <phoneticPr fontId="2"/>
  </si>
  <si>
    <t>状態異常耐性+
ランダムでハートパネルに最大10個変換</t>
  </si>
  <si>
    <t>8000固定ダメージ</t>
    <rPh sb="4" eb="6">
      <t>コテイ</t>
    </rPh>
    <phoneticPr fontId="2"/>
  </si>
  <si>
    <t>5ターンハートパネルドロップ率DOWN</t>
    <rPh sb="14" eb="15">
      <t>リツ</t>
    </rPh>
    <phoneticPr fontId="2"/>
  </si>
  <si>
    <t>3ターン全ユニットの攻撃力50%DOWN+単体攻撃</t>
  </si>
  <si>
    <t>状態異常耐性+
残りHPの99%ダメージ！+
ランダムでハートパネルに最大20個変換</t>
    <rPh sb="0" eb="6">
      <t>ジョウタイイ</t>
    </rPh>
    <phoneticPr fontId="2"/>
  </si>
  <si>
    <t>状態異常耐性+残りHPの99%ダメージ！+
ランダムでハートパネルに最大20個変換+
2ターン全ユニットにスキルバインド</t>
    <rPh sb="0" eb="6">
      <t>ジョウタイ</t>
    </rPh>
    <rPh sb="47" eb="48">
      <t>ゼンユニット</t>
    </rPh>
    <phoneticPr fontId="2"/>
  </si>
  <si>
    <t>単体攻撃+残りHPの20%ダメージ！</t>
    <rPh sb="0" eb="4">
      <t>タンタイコウゲキ</t>
    </rPh>
    <phoneticPr fontId="2"/>
  </si>
  <si>
    <t>単体攻撃+残りHPの30%ダメージ！</t>
  </si>
  <si>
    <t>単体攻撃+残りHPの40%ダメージ！</t>
    <rPh sb="0" eb="4">
      <t>タンタイコウゲキ</t>
    </rPh>
    <phoneticPr fontId="2"/>
  </si>
  <si>
    <t>ランダムでハートパネルに最大10個変換+
ハートパネル以外の属性パネルをプロテクト</t>
    <rPh sb="30" eb="32">
      <t>ゾクセイ</t>
    </rPh>
    <phoneticPr fontId="2"/>
  </si>
  <si>
    <t>1ターン全ユニットの攻撃力50%DOWN+単体攻撃</t>
  </si>
  <si>
    <t>次のターンに残りHPの200%ダメージ！</t>
    <rPh sb="0" eb="1">
      <t>ツギノター</t>
    </rPh>
    <phoneticPr fontId="2"/>
  </si>
  <si>
    <t>残りHPの200%ダメージ！</t>
    <rPh sb="0" eb="1">
      <t>ノコリ</t>
    </rPh>
    <phoneticPr fontId="2"/>
  </si>
  <si>
    <t>(また落としちゃった…！)</t>
  </si>
  <si>
    <t>いちばん良くできたんだぁ…</t>
    <rPh sb="4" eb="5">
      <t>ヨク</t>
    </rPh>
    <phoneticPr fontId="2"/>
  </si>
  <si>
    <t>これ…うけとって…！</t>
  </si>
  <si>
    <t>あなたが誰かと仲良くしてると
なんだかふあんになっちゃう…</t>
    <phoneticPr fontId="5"/>
  </si>
  <si>
    <t>またきてくれて…ありがとう…</t>
    <phoneticPr fontId="5"/>
  </si>
  <si>
    <t>[player_name]…♪</t>
  </si>
  <si>
    <t>[player_name]…♪
こんなに来てくれてうれしいなぁ♪</t>
  </si>
  <si>
    <t>ふふっ…♪
もっと一緒にいたいな…♪</t>
  </si>
  <si>
    <t>あなたを見てると…
こころがぽかぽかしちゃう♪</t>
  </si>
  <si>
    <t>また来てくれたんだね…♪
とってもうれしいなぁ♪</t>
  </si>
  <si>
    <t>わたしのきもち…
あなたにぜんぶあげたいな…♪</t>
  </si>
  <si>
    <t>なんどもきてくれて…
ほんとうにありがとう…</t>
  </si>
  <si>
    <t>だいすきです…これ…あ…おとしちゃった…</t>
  </si>
  <si>
    <t>[player_name]がだいすきです…！</t>
  </si>
  <si>
    <t>はい…どうぞ…</t>
  </si>
  <si>
    <t>これ…たべて…♪　</t>
  </si>
  <si>
    <t>[player_name]がすきです…！</t>
  </si>
  <si>
    <t>あなたを見てると…
こころがぽかぽかしちゃう♪</t>
    <phoneticPr fontId="5"/>
  </si>
  <si>
    <t>なんどもきてくれて…
ほんとうにありがとう…</t>
    <phoneticPr fontId="5"/>
  </si>
  <si>
    <t>ふふっ…♪もっとすきになっちゃうよ…♪
【状態異常耐性+
　全ユニットのスキルゲージを4ターン減少】</t>
    <rPh sb="30" eb="31">
      <t>ゼンユニット</t>
    </rPh>
    <rPh sb="47" eb="49">
      <t>ゲンショウ</t>
    </rPh>
    <phoneticPr fontId="2"/>
  </si>
  <si>
    <t>わたしのぜんぶ…うけとって…！</t>
  </si>
  <si>
    <t>これは…とくべつなの…</t>
  </si>
  <si>
    <t>ずーっと一緒にいたいなぁ…♪</t>
  </si>
  <si>
    <t>とくべつなチョコ…うけとって…！</t>
  </si>
  <si>
    <t>[effect:enemy_message, val1:1.4, val2:4.9],[effect:change_bomb_range, target:unit_all, val:0, rate:1, turn:5, animation:bomb_small],[effect:fix_speed, target:myself, turn:2],[effect:tolerance, target:myself, turn:-1, count:-1, tolerance_effect:all, animation:enemy_tolerance]</t>
  </si>
  <si>
    <t>[effect:enemy_message, val1:1.3, val2:2.7],[effect:force_change_block,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t>
  </si>
  <si>
    <t>[effect:enemy_message, val1:1.8, val2:1.4, dead_type:escape],[effect:damage_gravity, val:2.0, animation:fevergauge_down]</t>
  </si>
  <si>
    <t>[effect:enemy_message, val1:1.9, val2:1.3],[effect:damage_fix_absolute, target:unit_one, val:14106]</t>
  </si>
  <si>
    <t>[effect:enemy_message, val1:1.4, val2:2.2],[effect:fix_speed, target:myself, turn:2],[effect:tolerance, target:myself, turn:-1, count:-1, tolerance_effect:all, animation:enemy_tolerance]</t>
  </si>
  <si>
    <t>[effect:enemy_message, val1:1.3, val2:4.2],[effect:damage_gravity,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t>
  </si>
  <si>
    <t>[effect:enemy_message, val1:1.8, val2:4.5],[effect:sp_boost, target:unit_all, val:4],[effect:fix_speed, target:myself, turn:1],[effect:tolerance, target:myself, turn:-1, count:-1, tolerance_effect:all, animation:enemy_tolerance]</t>
  </si>
  <si>
    <t>[effect:enemy_message, val1:3.1, val2:2.7],[effect:sp_boost, target:unit_all, val:2],[effect:fix_speed, target:myself, turn:1],[effect:tolerance, target:myself, turn:-1, count:-1, tolerance_effect:all, animation:enemy_tolerance]</t>
  </si>
  <si>
    <t>[effect:enemy_message, val1:1.3, val2:1.2],[effect:fix_speed, target:myself, turn:1],[effect:tolerance, target:myself, turn:-1, count:-1, tolerance_effect:all, animation:enemy_tolerance]</t>
  </si>
  <si>
    <t>[effect:enemy_message, val1:2.9, val2:1.3],[effect:damage_gravity, val:0.5, animation:fevergauge_down]</t>
  </si>
  <si>
    <t>[effect:enemy_message, val1:2.3, val2:1.2],[effect:fix_speed, target:myself, turn:1],[effect:tolerance, target:myself, turn:-1, count:-1, tolerance_effect:all, animation:enemy_tolerance]</t>
  </si>
  <si>
    <t>[effect:enemy_message, val1:2.3, val2:2.7],[effect:force_change_block,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t>
  </si>
  <si>
    <t>[effect:enemy_message, val1:1.4, val2:2.5],[effect:degrade_unit, target:unit_all, turn:3, status:attack, val:0.5, calc:mul],[effect:critical, val:1.0]</t>
  </si>
  <si>
    <t>[effect:enemy_message, val1:1.8, val2:1.4],[effect:damage_gravity, val:2.0, animation:fevergauge_down]</t>
  </si>
  <si>
    <t>[effect:enemy_message, val1:2.9, val2:1.3],[effect:damage_gravity, val:0.4, animation:fevergauge_down]</t>
  </si>
  <si>
    <t>[effect:enemy_message, val1:1.5, val2:5.0],[effect:sp_boost, target:unit_all, val:4],[effect:fix_speed, target:myself, turn:1],[effect:tolerance, target:myself, turn:-1, count:-1, tolerance_effect:all, animation:enemy_tolerance]</t>
  </si>
  <si>
    <t>[effect:enemy_message, val1:3.2, val2:2.7],[effect:sp_boost, target:unit_all, val:2],[effect:fix_speed, target:myself, turn:1],[effect:tolerance, target:myself, turn:-1, count:-1, tolerance_effect:all, animation:enemy_tolerance]</t>
  </si>
  <si>
    <t>[effect:enemy_message, val1:1.8, val2:1.2],[effect:fix_speed, target:myself, turn:1],[effect:tolerance, target:myself, turn:-1, count:-1, tolerance_effect:all, animation:enemy_tolerance]</t>
  </si>
  <si>
    <t>[effect:enemy_message, val1:2.3, val2:1.3],[effect:damage_gravity, val:0.5, animation:fevergauge_down]</t>
  </si>
  <si>
    <t>[effect:enemy_message, val1:2.4, val2:1.2],[effect:fix_speed, target:myself, turn:1],[effect:tolerance, target:myself, turn:-1, count:-1, tolerance_effect:all, animation:enemy_tolerance]</t>
  </si>
  <si>
    <t>[effect:enemy_message, val1:2.2, val2:2.5],[effect:degrade_unit, target:unit_all, turn:3, status:attack, val:0.5, calc:mul],[effect:critical, val:1.0]</t>
  </si>
  <si>
    <t>[effect:enemy_message, val1:2.0, val2:1.4],[effect:damage_gravity, val:2.0, animation:fevergauge_down]</t>
  </si>
  <si>
    <t>[effect:enemy_message, val1:2.3, val2:1.3],[effect:damage_gravity, val:0.4, animation:fevergauge_down]</t>
  </si>
  <si>
    <t>[effect:enemy_message, val1:2.5, val2:2.1, dead_type:escape]</t>
    <phoneticPr fontId="5"/>
  </si>
  <si>
    <t>[effect:enemy_message, val1:2.7, val2:2.0, dead_type:escape]</t>
    <phoneticPr fontId="5"/>
  </si>
  <si>
    <t>[effect:enemy_message, val1:1.7, val2:1.7, dead_type:escape]</t>
    <phoneticPr fontId="5"/>
  </si>
  <si>
    <t>[effect:enemy_message, val1:1.7, val2:1.9, dead_type:escape]</t>
    <phoneticPr fontId="5"/>
  </si>
  <si>
    <t>[effect:enemy_message, val1:2.4, val2:1.7, dead_type:escape]</t>
    <phoneticPr fontId="5"/>
  </si>
  <si>
    <t>[effect:enemy_message, val1:1.7, val2:1.8, dead_type:escape]</t>
    <phoneticPr fontId="5"/>
  </si>
  <si>
    <t>なんかいでも…うけとってくれる…？</t>
    <phoneticPr fontId="2"/>
  </si>
  <si>
    <t>[effect:enemy_message, val1:2.4, val2:2.2, dead_type:escape]</t>
    <phoneticPr fontId="5"/>
  </si>
  <si>
    <t>[effect:enemy_message, val1:1.7, val2:1.7, dead_type:escape]</t>
    <phoneticPr fontId="5"/>
  </si>
  <si>
    <t>[effect:enemy_message, val1:2.4, val2:2.3]</t>
    <phoneticPr fontId="5"/>
  </si>
  <si>
    <t>[effect:enemy_message, val1:1.5, val2:4.0],[effect:drop_freeze, turn:-1, block_type:normal, block_color:block_blue, rate:0.3, animation:drop_protect],[effect:enemy_counter, target:myself, invoke_condition:unit_all, counter_target:attacker, turn:-1, val:0.2, animation:enemy_counter]</t>
  </si>
  <si>
    <t>もっともっと…来てほしいなぁ♪</t>
    <phoneticPr fontId="5"/>
  </si>
  <si>
    <t>[effect:enemy_message, val1:1.7, val2:2.0, dead_type:escape]</t>
    <phoneticPr fontId="5"/>
  </si>
  <si>
    <t>…あの子のこと、好き…なの？</t>
    <phoneticPr fontId="5"/>
  </si>
  <si>
    <t>[effect:enemy_message, val1:1.4, val2:2.5],[effect:degrade_unit, target:unit_all, turn:2, status:attack, val:0.2, calc:mul],[effect:critical, val:0.8]</t>
    <phoneticPr fontId="5"/>
  </si>
  <si>
    <t>[effect:enemy_message, val1:1.4, val2:2.5],[effect:degrade_unit, target:unit_all, turn:1, status:attack, val:0.2, calc:mul],[effect:critical, val:0.8]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</si>
</sst>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30" borderId="7" xfId="0" applyFont="1" applyFill="1" applyBorder="1" applyAlignment="1">
      <alignment vertical="center"/>
    </xf>
    <xf numFmtId="0" fontId="16" fillId="30" borderId="7" xfId="0" applyFont="1" applyFill="1" applyBorder="1" applyAlignment="1">
      <alignment horizontal="left" vertical="center"/>
    </xf>
    <xf numFmtId="0" fontId="16" fillId="30" borderId="7" xfId="0" applyFont="1" applyFill="1" applyBorder="1" applyAlignment="1">
      <alignment horizontal="left" vertical="center" wrapText="1"/>
    </xf>
    <xf numFmtId="14" fontId="16" fillId="30" borderId="7" xfId="0" applyNumberFormat="1" applyFont="1" applyFill="1" applyBorder="1" applyAlignment="1">
      <alignment horizontal="left" vertical="center"/>
    </xf>
    <xf numFmtId="0" fontId="16" fillId="30" borderId="0" xfId="0" applyFont="1" applyFill="1" applyAlignment="1">
      <alignment vertical="center"/>
    </xf>
    <xf numFmtId="0" fontId="0" fillId="32" borderId="7" xfId="0" applyFill="1" applyBorder="1"/>
    <xf numFmtId="0" fontId="16" fillId="37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16" fillId="0" borderId="24" xfId="0" applyFont="1" applyFill="1" applyBorder="1" applyAlignment="1">
      <alignment vertical="center"/>
    </xf>
    <xf numFmtId="0" fontId="16" fillId="35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4" fillId="7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0" borderId="24" xfId="0" applyFont="1" applyBorder="1" applyAlignment="1">
      <alignment vertical="center"/>
    </xf>
    <xf numFmtId="0" fontId="52" fillId="0" borderId="5" xfId="0" applyFont="1" applyFill="1" applyBorder="1" applyAlignment="1">
      <alignment vertical="center"/>
    </xf>
    <xf numFmtId="0" fontId="52" fillId="0" borderId="5" xfId="0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49001</v>
          </cell>
        </row>
        <row r="272">
          <cell r="A272">
            <v>49002</v>
          </cell>
        </row>
        <row r="273">
          <cell r="A273">
            <v>49003</v>
          </cell>
        </row>
        <row r="274">
          <cell r="A274">
            <v>49004</v>
          </cell>
        </row>
        <row r="275">
          <cell r="A275">
            <v>49005</v>
          </cell>
        </row>
        <row r="276">
          <cell r="A276">
            <v>49006</v>
          </cell>
        </row>
        <row r="277">
          <cell r="A277">
            <v>49007</v>
          </cell>
        </row>
        <row r="278">
          <cell r="A278">
            <v>49008</v>
          </cell>
        </row>
        <row r="279">
          <cell r="A279">
            <v>49009</v>
          </cell>
        </row>
        <row r="280">
          <cell r="A280">
            <v>49010</v>
          </cell>
        </row>
        <row r="281">
          <cell r="A281">
            <v>49011</v>
          </cell>
        </row>
        <row r="282">
          <cell r="A282">
            <v>49012</v>
          </cell>
        </row>
        <row r="283">
          <cell r="A283">
            <v>49013</v>
          </cell>
        </row>
        <row r="284">
          <cell r="A284">
            <v>49014</v>
          </cell>
        </row>
        <row r="285">
          <cell r="A285">
            <v>50001</v>
          </cell>
        </row>
        <row r="286">
          <cell r="A286">
            <v>50002</v>
          </cell>
        </row>
        <row r="287">
          <cell r="A287">
            <v>50003</v>
          </cell>
        </row>
        <row r="288">
          <cell r="A288">
            <v>50004</v>
          </cell>
        </row>
        <row r="289">
          <cell r="A289">
            <v>50005</v>
          </cell>
        </row>
        <row r="290">
          <cell r="A290">
            <v>50006</v>
          </cell>
        </row>
        <row r="291">
          <cell r="A291">
            <v>50007</v>
          </cell>
        </row>
        <row r="292">
          <cell r="A292">
            <v>50008</v>
          </cell>
        </row>
        <row r="293">
          <cell r="A293">
            <v>50009</v>
          </cell>
        </row>
        <row r="294">
          <cell r="A294">
            <v>50010</v>
          </cell>
        </row>
        <row r="295">
          <cell r="A295">
            <v>50011</v>
          </cell>
        </row>
        <row r="296">
          <cell r="A296">
            <v>50012</v>
          </cell>
        </row>
        <row r="297">
          <cell r="A297">
            <v>50013</v>
          </cell>
        </row>
        <row r="298">
          <cell r="A298">
            <v>50014</v>
          </cell>
        </row>
        <row r="299">
          <cell r="A299">
            <v>51001</v>
          </cell>
        </row>
        <row r="300">
          <cell r="A300">
            <v>51002</v>
          </cell>
        </row>
        <row r="301">
          <cell r="A301">
            <v>58001</v>
          </cell>
        </row>
        <row r="302">
          <cell r="A302">
            <v>59001</v>
          </cell>
        </row>
        <row r="303">
          <cell r="A303">
            <v>59002</v>
          </cell>
        </row>
        <row r="304">
          <cell r="A304">
            <v>60001</v>
          </cell>
        </row>
        <row r="305">
          <cell r="A305">
            <v>60002</v>
          </cell>
        </row>
        <row r="306">
          <cell r="A306">
            <v>60003</v>
          </cell>
        </row>
        <row r="307">
          <cell r="A307">
            <v>60004</v>
          </cell>
        </row>
        <row r="308">
          <cell r="A308">
            <v>60005</v>
          </cell>
        </row>
        <row r="309">
          <cell r="A309">
            <v>60006</v>
          </cell>
        </row>
        <row r="310">
          <cell r="A310">
            <v>60007</v>
          </cell>
        </row>
        <row r="311">
          <cell r="A311">
            <v>60010</v>
          </cell>
        </row>
        <row r="312">
          <cell r="A312">
            <v>60011</v>
          </cell>
        </row>
        <row r="313">
          <cell r="A313">
            <v>61011</v>
          </cell>
        </row>
        <row r="314">
          <cell r="A314">
            <v>60012</v>
          </cell>
        </row>
        <row r="315">
          <cell r="A315">
            <v>60013</v>
          </cell>
        </row>
        <row r="316">
          <cell r="A316">
            <v>60014</v>
          </cell>
        </row>
        <row r="317">
          <cell r="A317">
            <v>60015</v>
          </cell>
        </row>
        <row r="318">
          <cell r="A318">
            <v>60016</v>
          </cell>
        </row>
        <row r="319">
          <cell r="A319">
            <v>60017</v>
          </cell>
        </row>
        <row r="320">
          <cell r="A320">
            <v>60018</v>
          </cell>
        </row>
        <row r="321">
          <cell r="A321">
            <v>60019</v>
          </cell>
        </row>
        <row r="322">
          <cell r="A322">
            <v>60020</v>
          </cell>
        </row>
        <row r="323">
          <cell r="A323">
            <v>60025</v>
          </cell>
        </row>
        <row r="324">
          <cell r="A324">
            <v>60026</v>
          </cell>
        </row>
        <row r="325">
          <cell r="A325">
            <v>60027</v>
          </cell>
        </row>
        <row r="326">
          <cell r="A326">
            <v>65525</v>
          </cell>
        </row>
        <row r="327">
          <cell r="A327">
            <v>65526</v>
          </cell>
        </row>
        <row r="328">
          <cell r="A328">
            <v>65527</v>
          </cell>
        </row>
        <row r="329">
          <cell r="A329">
            <v>65528</v>
          </cell>
        </row>
        <row r="330">
          <cell r="A330">
            <v>65529</v>
          </cell>
        </row>
        <row r="331">
          <cell r="A331">
            <v>65530</v>
          </cell>
        </row>
        <row r="332">
          <cell r="A332">
            <v>65531</v>
          </cell>
        </row>
        <row r="333">
          <cell r="A333">
            <v>65532</v>
          </cell>
        </row>
        <row r="334">
          <cell r="A334">
            <v>65533</v>
          </cell>
        </row>
        <row r="335">
          <cell r="A335">
            <v>65534</v>
          </cell>
        </row>
        <row r="336">
          <cell r="A336">
            <v>65535</v>
          </cell>
        </row>
        <row r="337">
          <cell r="A337">
            <v>60021</v>
          </cell>
        </row>
        <row r="338">
          <cell r="A338">
            <v>60022</v>
          </cell>
        </row>
        <row r="339">
          <cell r="A339">
            <v>60023</v>
          </cell>
        </row>
        <row r="340">
          <cell r="A34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48001_1</v>
          </cell>
        </row>
        <row r="849">
          <cell r="A849" t="str">
            <v>48002_1</v>
          </cell>
        </row>
        <row r="850">
          <cell r="A850" t="str">
            <v>48002_2</v>
          </cell>
        </row>
        <row r="851">
          <cell r="A851" t="str">
            <v>48002_3</v>
          </cell>
        </row>
        <row r="852">
          <cell r="A852" t="str">
            <v>48003_1</v>
          </cell>
        </row>
        <row r="853">
          <cell r="A853" t="str">
            <v>48003_2</v>
          </cell>
        </row>
        <row r="854">
          <cell r="A854" t="str">
            <v>48004_1</v>
          </cell>
        </row>
        <row r="855">
          <cell r="A855" t="str">
            <v>48004_2</v>
          </cell>
        </row>
        <row r="856">
          <cell r="A856" t="str">
            <v>48005_1</v>
          </cell>
        </row>
        <row r="857">
          <cell r="A857" t="str">
            <v>48005_2</v>
          </cell>
        </row>
        <row r="858">
          <cell r="A858" t="str">
            <v>48006_1</v>
          </cell>
        </row>
        <row r="859">
          <cell r="A859" t="str">
            <v>48006_2</v>
          </cell>
        </row>
        <row r="860">
          <cell r="A860" t="str">
            <v>48007_1</v>
          </cell>
        </row>
        <row r="861">
          <cell r="A861" t="str">
            <v>48007_2</v>
          </cell>
        </row>
        <row r="862">
          <cell r="A862" t="str">
            <v>48008_1</v>
          </cell>
        </row>
        <row r="863">
          <cell r="A863" t="str">
            <v>48008_2</v>
          </cell>
        </row>
        <row r="864">
          <cell r="A864" t="str">
            <v>48009_1</v>
          </cell>
        </row>
        <row r="865">
          <cell r="A865" t="str">
            <v>48009_2</v>
          </cell>
        </row>
        <row r="866">
          <cell r="A866" t="str">
            <v>48010_1</v>
          </cell>
        </row>
        <row r="867">
          <cell r="A867" t="str">
            <v>48011_1</v>
          </cell>
        </row>
        <row r="868">
          <cell r="A868" t="str">
            <v>48011_2</v>
          </cell>
        </row>
        <row r="869">
          <cell r="A869" t="str">
            <v>48501_1</v>
          </cell>
        </row>
        <row r="870">
          <cell r="A870" t="str">
            <v>48501_2</v>
          </cell>
        </row>
        <row r="871">
          <cell r="A871" t="str">
            <v>48502_1</v>
          </cell>
        </row>
        <row r="872">
          <cell r="A872" t="str">
            <v>48502_2</v>
          </cell>
        </row>
        <row r="873">
          <cell r="A873" t="str">
            <v>49001_1</v>
          </cell>
        </row>
        <row r="874">
          <cell r="A874" t="str">
            <v>49002_1</v>
          </cell>
        </row>
        <row r="875">
          <cell r="A875" t="str">
            <v>49002_2</v>
          </cell>
        </row>
        <row r="876">
          <cell r="A876" t="str">
            <v>49003_1</v>
          </cell>
        </row>
        <row r="877">
          <cell r="A877" t="str">
            <v>49003_2</v>
          </cell>
        </row>
        <row r="878">
          <cell r="A878" t="str">
            <v>49004_1</v>
          </cell>
        </row>
        <row r="879">
          <cell r="A879" t="str">
            <v>49004_2</v>
          </cell>
        </row>
        <row r="880">
          <cell r="A880" t="str">
            <v>49004_3</v>
          </cell>
        </row>
        <row r="881">
          <cell r="A881" t="str">
            <v>49005_1</v>
          </cell>
        </row>
        <row r="882">
          <cell r="A882" t="str">
            <v>49006_1</v>
          </cell>
        </row>
        <row r="883">
          <cell r="A883" t="str">
            <v>49006_2</v>
          </cell>
        </row>
        <row r="884">
          <cell r="A884" t="str">
            <v>49007_1</v>
          </cell>
        </row>
        <row r="885">
          <cell r="A885" t="str">
            <v>49007_2</v>
          </cell>
        </row>
        <row r="886">
          <cell r="A886" t="str">
            <v>49007_3</v>
          </cell>
        </row>
        <row r="887">
          <cell r="A887" t="str">
            <v>49008_1</v>
          </cell>
        </row>
        <row r="888">
          <cell r="A888" t="str">
            <v>49009_1</v>
          </cell>
        </row>
        <row r="889">
          <cell r="A889" t="str">
            <v>49010_1</v>
          </cell>
        </row>
        <row r="890">
          <cell r="A890" t="str">
            <v>49011_1</v>
          </cell>
        </row>
        <row r="891">
          <cell r="A891" t="str">
            <v>49012_1</v>
          </cell>
        </row>
        <row r="892">
          <cell r="A892" t="str">
            <v>49013_1</v>
          </cell>
        </row>
        <row r="893">
          <cell r="A893" t="str">
            <v>49014_1</v>
          </cell>
        </row>
        <row r="894">
          <cell r="A894" t="str">
            <v>49014_2</v>
          </cell>
        </row>
        <row r="895">
          <cell r="A895" t="str">
            <v>50001_1</v>
          </cell>
        </row>
        <row r="896">
          <cell r="A896" t="str">
            <v>50002_1</v>
          </cell>
        </row>
        <row r="897">
          <cell r="A897" t="str">
            <v>50003_1</v>
          </cell>
        </row>
        <row r="898">
          <cell r="A898" t="str">
            <v>50004_1</v>
          </cell>
        </row>
        <row r="899">
          <cell r="A899" t="str">
            <v>50005_1</v>
          </cell>
        </row>
        <row r="900">
          <cell r="A900" t="str">
            <v>50006_1</v>
          </cell>
        </row>
        <row r="901">
          <cell r="A901" t="str">
            <v>50007_1</v>
          </cell>
        </row>
        <row r="902">
          <cell r="A902" t="str">
            <v>50008_1</v>
          </cell>
        </row>
        <row r="903">
          <cell r="A903" t="str">
            <v>50009_1</v>
          </cell>
        </row>
        <row r="904">
          <cell r="A904" t="str">
            <v>50010_1</v>
          </cell>
        </row>
        <row r="905">
          <cell r="A905" t="str">
            <v>50011_1</v>
          </cell>
        </row>
        <row r="906">
          <cell r="A906" t="str">
            <v>50012_1</v>
          </cell>
        </row>
        <row r="907">
          <cell r="A907" t="str">
            <v>50013_1</v>
          </cell>
        </row>
        <row r="908">
          <cell r="A908" t="str">
            <v>50014_1</v>
          </cell>
        </row>
        <row r="909">
          <cell r="A909" t="str">
            <v>51001_1</v>
          </cell>
        </row>
        <row r="910">
          <cell r="A910" t="str">
            <v>51002_1</v>
          </cell>
        </row>
        <row r="911">
          <cell r="A911" t="str">
            <v>58001_1</v>
          </cell>
        </row>
        <row r="912">
          <cell r="A912" t="str">
            <v>59001_1</v>
          </cell>
        </row>
        <row r="913">
          <cell r="A913" t="str">
            <v>59002_1</v>
          </cell>
        </row>
        <row r="914">
          <cell r="A914" t="str">
            <v>60001_1</v>
          </cell>
        </row>
        <row r="915">
          <cell r="A915" t="str">
            <v>60002_1</v>
          </cell>
        </row>
        <row r="916">
          <cell r="A916" t="str">
            <v>60002_2</v>
          </cell>
        </row>
        <row r="917">
          <cell r="A917" t="str">
            <v>60003_1</v>
          </cell>
        </row>
        <row r="918">
          <cell r="A918" t="str">
            <v>60003_2</v>
          </cell>
        </row>
        <row r="919">
          <cell r="A919" t="str">
            <v>60003_3</v>
          </cell>
        </row>
        <row r="920">
          <cell r="A920" t="str">
            <v>60004_1</v>
          </cell>
        </row>
        <row r="921">
          <cell r="A921" t="str">
            <v>60005_1</v>
          </cell>
        </row>
        <row r="922">
          <cell r="A922" t="str">
            <v>60006_1</v>
          </cell>
        </row>
        <row r="923">
          <cell r="A923" t="str">
            <v>60006_2</v>
          </cell>
        </row>
        <row r="924">
          <cell r="A924" t="str">
            <v>60006_3</v>
          </cell>
        </row>
        <row r="925">
          <cell r="A925" t="str">
            <v>60007_1</v>
          </cell>
        </row>
        <row r="926">
          <cell r="A926" t="str">
            <v>60007_2</v>
          </cell>
        </row>
        <row r="927">
          <cell r="A927" t="str">
            <v>60007_3</v>
          </cell>
        </row>
        <row r="928">
          <cell r="A928" t="str">
            <v>60010_1</v>
          </cell>
        </row>
        <row r="929">
          <cell r="A929" t="str">
            <v>60011_1</v>
          </cell>
        </row>
        <row r="930">
          <cell r="A930" t="str">
            <v>60011_2</v>
          </cell>
        </row>
        <row r="931">
          <cell r="A931" t="str">
            <v>60012_1</v>
          </cell>
        </row>
        <row r="932">
          <cell r="A932" t="str">
            <v>60013_1</v>
          </cell>
        </row>
        <row r="933">
          <cell r="A933" t="str">
            <v>60013_2</v>
          </cell>
        </row>
        <row r="934">
          <cell r="A934" t="str">
            <v>60013_3</v>
          </cell>
        </row>
        <row r="935">
          <cell r="A935" t="str">
            <v>60014_1</v>
          </cell>
        </row>
        <row r="936">
          <cell r="A936" t="str">
            <v>60015_1</v>
          </cell>
        </row>
        <row r="937">
          <cell r="A937" t="str">
            <v>60016_1</v>
          </cell>
        </row>
        <row r="938">
          <cell r="A938" t="str">
            <v>60017_1</v>
          </cell>
        </row>
        <row r="939">
          <cell r="A939" t="str">
            <v>60018_1</v>
          </cell>
        </row>
        <row r="940">
          <cell r="A940" t="str">
            <v>60019_1</v>
          </cell>
        </row>
        <row r="941">
          <cell r="A941" t="str">
            <v>60020_1</v>
          </cell>
        </row>
        <row r="942">
          <cell r="A942" t="str">
            <v>60021_3</v>
          </cell>
        </row>
        <row r="943">
          <cell r="A943" t="str">
            <v>60022_3</v>
          </cell>
        </row>
        <row r="944">
          <cell r="A944" t="str">
            <v>60023_3</v>
          </cell>
        </row>
        <row r="945">
          <cell r="A945" t="str">
            <v>60024_3</v>
          </cell>
        </row>
        <row r="946">
          <cell r="A946" t="str">
            <v>60025_1</v>
          </cell>
        </row>
        <row r="947">
          <cell r="A947" t="str">
            <v>60026_1</v>
          </cell>
        </row>
        <row r="948">
          <cell r="A948" t="str">
            <v>61011_1</v>
          </cell>
        </row>
        <row r="949">
          <cell r="A949" t="str">
            <v>60027_1</v>
          </cell>
        </row>
        <row r="950">
          <cell r="A950" t="str">
            <v>65525_1</v>
          </cell>
        </row>
        <row r="951">
          <cell r="A951" t="str">
            <v>65526_1</v>
          </cell>
        </row>
        <row r="952">
          <cell r="A952" t="str">
            <v>65526_2</v>
          </cell>
        </row>
        <row r="953">
          <cell r="A953" t="str">
            <v>65527_1</v>
          </cell>
        </row>
        <row r="954">
          <cell r="A954" t="str">
            <v>65528_1</v>
          </cell>
        </row>
        <row r="955">
          <cell r="A955" t="str">
            <v>65529_1</v>
          </cell>
        </row>
        <row r="956">
          <cell r="A956" t="str">
            <v>65530_1</v>
          </cell>
        </row>
        <row r="957">
          <cell r="A957" t="str">
            <v>65531_1</v>
          </cell>
        </row>
        <row r="958">
          <cell r="A958" t="str">
            <v>65531_2</v>
          </cell>
        </row>
        <row r="959">
          <cell r="A959" t="str">
            <v>65532_1</v>
          </cell>
        </row>
        <row r="960">
          <cell r="A960" t="str">
            <v>65532_2</v>
          </cell>
        </row>
        <row r="961">
          <cell r="A961" t="str">
            <v>65533_1</v>
          </cell>
        </row>
        <row r="962">
          <cell r="A962" t="str">
            <v>65533_2</v>
          </cell>
        </row>
        <row r="963">
          <cell r="A963" t="str">
            <v>65534_1</v>
          </cell>
        </row>
        <row r="964">
          <cell r="A964" t="str">
            <v>65535_1</v>
          </cell>
        </row>
        <row r="965">
          <cell r="A965" t="str">
            <v>65535_2</v>
          </cell>
        </row>
        <row r="966">
          <cell r="A966" t="str">
            <v>65535_3</v>
          </cell>
        </row>
        <row r="967">
          <cell r="A967" t="str">
            <v>65535_4</v>
          </cell>
        </row>
        <row r="968">
          <cell r="A968" t="str">
            <v>65535_5</v>
          </cell>
        </row>
        <row r="969">
          <cell r="A969" t="str">
            <v>65535_6</v>
          </cell>
        </row>
        <row r="970">
          <cell r="A970" t="str">
            <v>65535_7</v>
          </cell>
        </row>
        <row r="971">
          <cell r="A971" t="str">
            <v>65535_8</v>
          </cell>
        </row>
        <row r="972">
          <cell r="A972" t="str">
            <v>65535_9</v>
          </cell>
        </row>
        <row r="973">
          <cell r="A97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1414</v>
          </cell>
        </row>
        <row r="1383">
          <cell r="A1383">
            <v>1415</v>
          </cell>
        </row>
        <row r="1384">
          <cell r="A1384">
            <v>1416</v>
          </cell>
        </row>
        <row r="1385">
          <cell r="A1385">
            <v>1417</v>
          </cell>
        </row>
        <row r="1386">
          <cell r="A1386">
            <v>1424</v>
          </cell>
        </row>
        <row r="1387">
          <cell r="A1387">
            <v>1504</v>
          </cell>
        </row>
        <row r="1388">
          <cell r="A1388">
            <v>1505</v>
          </cell>
        </row>
        <row r="1389">
          <cell r="A1389">
            <v>1506</v>
          </cell>
        </row>
        <row r="1390">
          <cell r="A1390">
            <v>1507</v>
          </cell>
        </row>
        <row r="1391">
          <cell r="A1391">
            <v>1508</v>
          </cell>
        </row>
        <row r="1392">
          <cell r="A1392">
            <v>1509</v>
          </cell>
        </row>
        <row r="1393">
          <cell r="A1393">
            <v>1510</v>
          </cell>
        </row>
        <row r="1394">
          <cell r="A1394">
            <v>1511</v>
          </cell>
        </row>
        <row r="1395">
          <cell r="A1395">
            <v>1512</v>
          </cell>
        </row>
        <row r="1396">
          <cell r="A1396">
            <v>1513</v>
          </cell>
        </row>
        <row r="1397">
          <cell r="A1397">
            <v>1514</v>
          </cell>
        </row>
        <row r="1398">
          <cell r="A1398">
            <v>1515</v>
          </cell>
        </row>
        <row r="1399">
          <cell r="A1399">
            <v>1516</v>
          </cell>
        </row>
        <row r="1400">
          <cell r="A1400">
            <v>1517</v>
          </cell>
        </row>
        <row r="1401">
          <cell r="A1401">
            <v>1518</v>
          </cell>
        </row>
        <row r="1402">
          <cell r="A1402">
            <v>1519</v>
          </cell>
        </row>
        <row r="1403">
          <cell r="A1403">
            <v>1520</v>
          </cell>
        </row>
        <row r="1404">
          <cell r="A1404">
            <v>1521</v>
          </cell>
        </row>
        <row r="1405">
          <cell r="A1405">
            <v>1522</v>
          </cell>
        </row>
        <row r="1406">
          <cell r="A1406">
            <v>1523</v>
          </cell>
        </row>
        <row r="1407">
          <cell r="A1407">
            <v>1524</v>
          </cell>
        </row>
        <row r="1408">
          <cell r="A1408">
            <v>1525</v>
          </cell>
        </row>
        <row r="1409">
          <cell r="A1409">
            <v>1526</v>
          </cell>
        </row>
        <row r="1410">
          <cell r="A1410">
            <v>1527</v>
          </cell>
        </row>
        <row r="1411">
          <cell r="A1411">
            <v>1528</v>
          </cell>
        </row>
        <row r="1412">
          <cell r="A1412">
            <v>1529</v>
          </cell>
        </row>
        <row r="1413">
          <cell r="A1413">
            <v>1530</v>
          </cell>
        </row>
        <row r="1414">
          <cell r="A1414">
            <v>1531</v>
          </cell>
        </row>
        <row r="1415">
          <cell r="A1415">
            <v>1532</v>
          </cell>
        </row>
        <row r="1416">
          <cell r="A1416">
            <v>1533</v>
          </cell>
        </row>
        <row r="1417">
          <cell r="A1417">
            <v>1534</v>
          </cell>
        </row>
        <row r="1418">
          <cell r="A1418">
            <v>1535</v>
          </cell>
        </row>
        <row r="1419">
          <cell r="A1419">
            <v>1536</v>
          </cell>
        </row>
        <row r="1420">
          <cell r="A1420">
            <v>1537</v>
          </cell>
        </row>
        <row r="1421">
          <cell r="A1421">
            <v>1538</v>
          </cell>
        </row>
        <row r="1422">
          <cell r="A1422">
            <v>1539</v>
          </cell>
        </row>
        <row r="1423">
          <cell r="A1423">
            <v>1540</v>
          </cell>
        </row>
        <row r="1424">
          <cell r="A1424">
            <v>1541</v>
          </cell>
        </row>
        <row r="1425">
          <cell r="A1425">
            <v>1542</v>
          </cell>
        </row>
        <row r="1426">
          <cell r="A1426">
            <v>1543</v>
          </cell>
        </row>
        <row r="1427">
          <cell r="A1427">
            <v>1544</v>
          </cell>
        </row>
        <row r="1428">
          <cell r="A1428">
            <v>1545</v>
          </cell>
        </row>
        <row r="1429">
          <cell r="A1429">
            <v>1546</v>
          </cell>
        </row>
        <row r="1430">
          <cell r="A1430">
            <v>1547</v>
          </cell>
        </row>
        <row r="1431">
          <cell r="A1431">
            <v>1548</v>
          </cell>
        </row>
        <row r="1432">
          <cell r="A1432">
            <v>1549</v>
          </cell>
        </row>
        <row r="1433">
          <cell r="A1433">
            <v>1550</v>
          </cell>
        </row>
        <row r="1434">
          <cell r="A1434">
            <v>5001</v>
          </cell>
        </row>
        <row r="1435">
          <cell r="A1435">
            <v>5002</v>
          </cell>
        </row>
        <row r="1436">
          <cell r="A1436">
            <v>5003</v>
          </cell>
        </row>
        <row r="1437">
          <cell r="A1437">
            <v>5004</v>
          </cell>
        </row>
        <row r="1438">
          <cell r="A1438">
            <v>5005</v>
          </cell>
        </row>
        <row r="1439">
          <cell r="A1439">
            <v>5006</v>
          </cell>
        </row>
        <row r="1440">
          <cell r="A1440">
            <v>5007</v>
          </cell>
        </row>
        <row r="1441">
          <cell r="A1441">
            <v>5008</v>
          </cell>
        </row>
        <row r="1442">
          <cell r="A1442">
            <v>6001</v>
          </cell>
        </row>
        <row r="1443">
          <cell r="A1443">
            <v>6002</v>
          </cell>
        </row>
        <row r="1444">
          <cell r="A1444">
            <v>6003</v>
          </cell>
        </row>
        <row r="1445">
          <cell r="A1445">
            <v>6004</v>
          </cell>
        </row>
        <row r="1446">
          <cell r="A1446">
            <v>6005</v>
          </cell>
        </row>
        <row r="1447">
          <cell r="A1447">
            <v>6006</v>
          </cell>
        </row>
        <row r="1448">
          <cell r="A1448">
            <v>6007</v>
          </cell>
        </row>
        <row r="1449">
          <cell r="A1449">
            <v>6008</v>
          </cell>
        </row>
        <row r="1450">
          <cell r="A1450">
            <v>6009</v>
          </cell>
        </row>
        <row r="1451">
          <cell r="A1451">
            <v>6010</v>
          </cell>
        </row>
        <row r="1452">
          <cell r="A1452">
            <v>6011</v>
          </cell>
        </row>
        <row r="1453">
          <cell r="A1453">
            <v>6012</v>
          </cell>
        </row>
        <row r="1454">
          <cell r="A1454">
            <v>6013</v>
          </cell>
        </row>
        <row r="1455">
          <cell r="A1455">
            <v>6014</v>
          </cell>
        </row>
        <row r="1456">
          <cell r="A1456">
            <v>6015</v>
          </cell>
        </row>
        <row r="1457">
          <cell r="A1457">
            <v>6016</v>
          </cell>
        </row>
        <row r="1458">
          <cell r="A1458">
            <v>6017</v>
          </cell>
        </row>
        <row r="1459">
          <cell r="A1459">
            <v>6018</v>
          </cell>
        </row>
        <row r="1460">
          <cell r="A1460">
            <v>6019</v>
          </cell>
        </row>
        <row r="1461">
          <cell r="A1461">
            <v>6020</v>
          </cell>
        </row>
        <row r="1462">
          <cell r="A1462">
            <v>8001</v>
          </cell>
        </row>
        <row r="1463">
          <cell r="A1463">
            <v>8002</v>
          </cell>
        </row>
        <row r="1464">
          <cell r="A1464">
            <v>8003</v>
          </cell>
        </row>
        <row r="1465">
          <cell r="A1465">
            <v>8004</v>
          </cell>
        </row>
        <row r="1466">
          <cell r="A1466">
            <v>8005</v>
          </cell>
        </row>
        <row r="1467">
          <cell r="A1467">
            <v>8006</v>
          </cell>
        </row>
        <row r="1468">
          <cell r="A1468">
            <v>8007</v>
          </cell>
        </row>
        <row r="1469">
          <cell r="A1469">
            <v>8008</v>
          </cell>
        </row>
        <row r="1470">
          <cell r="A1470">
            <v>8009</v>
          </cell>
        </row>
        <row r="1471">
          <cell r="A1471">
            <v>8010</v>
          </cell>
        </row>
        <row r="1472">
          <cell r="A1472">
            <v>8011</v>
          </cell>
        </row>
        <row r="1473">
          <cell r="A1473">
            <v>8012</v>
          </cell>
        </row>
        <row r="1474">
          <cell r="A1474">
            <v>8013</v>
          </cell>
        </row>
        <row r="1475">
          <cell r="A1475">
            <v>8014</v>
          </cell>
        </row>
        <row r="1476">
          <cell r="A1476">
            <v>8015</v>
          </cell>
        </row>
        <row r="1477">
          <cell r="A1477">
            <v>8016</v>
          </cell>
        </row>
        <row r="1478">
          <cell r="A1478">
            <v>8017</v>
          </cell>
        </row>
        <row r="1479">
          <cell r="A1479">
            <v>8018</v>
          </cell>
        </row>
        <row r="1480">
          <cell r="A1480">
            <v>8019</v>
          </cell>
        </row>
        <row r="1481">
          <cell r="A1481">
            <v>8020</v>
          </cell>
        </row>
        <row r="1482">
          <cell r="A1482">
            <v>8021</v>
          </cell>
        </row>
        <row r="1483">
          <cell r="A1483">
            <v>8022</v>
          </cell>
        </row>
        <row r="1484">
          <cell r="A1484">
            <v>8023</v>
          </cell>
        </row>
        <row r="1485">
          <cell r="A1485">
            <v>8024</v>
          </cell>
        </row>
        <row r="1486">
          <cell r="A1486">
            <v>8025</v>
          </cell>
        </row>
        <row r="1487">
          <cell r="A1487">
            <v>8026</v>
          </cell>
        </row>
        <row r="1488">
          <cell r="A1488">
            <v>8027</v>
          </cell>
        </row>
        <row r="1489">
          <cell r="A1489">
            <v>8028</v>
          </cell>
        </row>
        <row r="1490">
          <cell r="A1490">
            <v>8029</v>
          </cell>
        </row>
        <row r="1491">
          <cell r="A1491">
            <v>8030</v>
          </cell>
        </row>
        <row r="1492">
          <cell r="A1492">
            <v>8031</v>
          </cell>
        </row>
        <row r="1493">
          <cell r="A1493">
            <v>8032</v>
          </cell>
        </row>
        <row r="1494">
          <cell r="A1494">
            <v>8033</v>
          </cell>
        </row>
        <row r="1495">
          <cell r="A1495">
            <v>8034</v>
          </cell>
        </row>
        <row r="1496">
          <cell r="A1496">
            <v>8035</v>
          </cell>
        </row>
        <row r="1497">
          <cell r="A1497">
            <v>8036</v>
          </cell>
        </row>
        <row r="1498">
          <cell r="A1498">
            <v>8037</v>
          </cell>
        </row>
        <row r="1499">
          <cell r="A1499">
            <v>8038</v>
          </cell>
        </row>
        <row r="1500">
          <cell r="A1500">
            <v>8039</v>
          </cell>
        </row>
        <row r="1501">
          <cell r="A1501">
            <v>8040</v>
          </cell>
        </row>
        <row r="1502">
          <cell r="A1502">
            <v>8041</v>
          </cell>
        </row>
        <row r="1503">
          <cell r="A1503">
            <v>8042</v>
          </cell>
        </row>
        <row r="1504">
          <cell r="A1504">
            <v>8043</v>
          </cell>
        </row>
        <row r="1505">
          <cell r="A1505">
            <v>8044</v>
          </cell>
        </row>
        <row r="1506">
          <cell r="A1506">
            <v>8045</v>
          </cell>
        </row>
        <row r="1507">
          <cell r="A1507">
            <v>8046</v>
          </cell>
        </row>
        <row r="1508">
          <cell r="A1508">
            <v>8047</v>
          </cell>
        </row>
        <row r="1509">
          <cell r="A1509">
            <v>8048</v>
          </cell>
        </row>
        <row r="1510">
          <cell r="A1510">
            <v>8049</v>
          </cell>
        </row>
        <row r="1511">
          <cell r="A1511">
            <v>8050</v>
          </cell>
        </row>
        <row r="1512">
          <cell r="A1512">
            <v>8051</v>
          </cell>
        </row>
        <row r="1513">
          <cell r="A1513">
            <v>8052</v>
          </cell>
        </row>
        <row r="1514">
          <cell r="A1514">
            <v>8053</v>
          </cell>
        </row>
        <row r="1515">
          <cell r="A1515">
            <v>8054</v>
          </cell>
        </row>
        <row r="1516">
          <cell r="A1516">
            <v>8055</v>
          </cell>
        </row>
        <row r="1517">
          <cell r="A1517">
            <v>8056</v>
          </cell>
        </row>
        <row r="1518">
          <cell r="A1518">
            <v>8057</v>
          </cell>
        </row>
        <row r="1519">
          <cell r="A1519">
            <v>8058</v>
          </cell>
        </row>
        <row r="1520">
          <cell r="A1520">
            <v>8059</v>
          </cell>
        </row>
        <row r="1521">
          <cell r="A1521">
            <v>8060</v>
          </cell>
        </row>
        <row r="1522">
          <cell r="A1522">
            <v>8061</v>
          </cell>
        </row>
        <row r="1523">
          <cell r="A1523">
            <v>8062</v>
          </cell>
        </row>
        <row r="1524">
          <cell r="A1524">
            <v>8063</v>
          </cell>
        </row>
        <row r="1525">
          <cell r="A1525">
            <v>8064</v>
          </cell>
        </row>
        <row r="1526">
          <cell r="A1526">
            <v>8065</v>
          </cell>
        </row>
        <row r="1527">
          <cell r="A1527">
            <v>8066</v>
          </cell>
        </row>
        <row r="1528">
          <cell r="A1528">
            <v>8067</v>
          </cell>
        </row>
        <row r="1529">
          <cell r="A1529">
            <v>8068</v>
          </cell>
        </row>
        <row r="1530">
          <cell r="A1530">
            <v>8069</v>
          </cell>
        </row>
        <row r="1531">
          <cell r="A1531">
            <v>8070</v>
          </cell>
        </row>
        <row r="1532">
          <cell r="A1532">
            <v>8071</v>
          </cell>
        </row>
        <row r="1533">
          <cell r="A1533">
            <v>8072</v>
          </cell>
        </row>
        <row r="1534">
          <cell r="A1534">
            <v>8073</v>
          </cell>
        </row>
        <row r="1535">
          <cell r="A1535">
            <v>8074</v>
          </cell>
        </row>
        <row r="1536">
          <cell r="A1536">
            <v>8075</v>
          </cell>
        </row>
        <row r="1537">
          <cell r="A1537">
            <v>8076</v>
          </cell>
        </row>
        <row r="1538">
          <cell r="A1538">
            <v>8077</v>
          </cell>
        </row>
        <row r="1539">
          <cell r="A1539">
            <v>8078</v>
          </cell>
        </row>
        <row r="1540">
          <cell r="A1540">
            <v>8079</v>
          </cell>
        </row>
        <row r="1541">
          <cell r="A1541">
            <v>8080</v>
          </cell>
        </row>
        <row r="1542">
          <cell r="A1542">
            <v>8081</v>
          </cell>
        </row>
        <row r="1543">
          <cell r="A1543">
            <v>8082</v>
          </cell>
        </row>
        <row r="1544">
          <cell r="A1544">
            <v>8083</v>
          </cell>
        </row>
        <row r="1545">
          <cell r="A1545">
            <v>8084</v>
          </cell>
        </row>
        <row r="1546">
          <cell r="A1546">
            <v>8087</v>
          </cell>
        </row>
        <row r="1547">
          <cell r="A1547">
            <v>8088</v>
          </cell>
        </row>
        <row r="1548">
          <cell r="A1548">
            <v>8089</v>
          </cell>
        </row>
        <row r="1549">
          <cell r="A1549">
            <v>8090</v>
          </cell>
        </row>
        <row r="1550">
          <cell r="A1550">
            <v>8095</v>
          </cell>
        </row>
        <row r="1551">
          <cell r="A1551">
            <v>8096</v>
          </cell>
        </row>
        <row r="1552">
          <cell r="A1552">
            <v>8097</v>
          </cell>
        </row>
        <row r="1553">
          <cell r="A1553">
            <v>8098</v>
          </cell>
        </row>
        <row r="1554">
          <cell r="A1554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0" sqref="D20"/>
    </sheetView>
  </sheetViews>
  <sheetFormatPr baseColWidth="12" defaultRowHeight="15" x14ac:dyDescent="0.15"/>
  <cols>
    <col min="2" max="2" width="25.3320312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275</v>
      </c>
      <c r="B2" s="57" t="s">
        <v>107</v>
      </c>
      <c r="C2" s="63">
        <v>47008</v>
      </c>
      <c r="D2" s="57" t="s">
        <v>108</v>
      </c>
      <c r="E2" s="56" t="str">
        <f>B2&amp;C2&amp;D2</f>
        <v>floors_47008.tmp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275</v>
      </c>
      <c r="B3" s="57" t="s">
        <v>110</v>
      </c>
      <c r="C3" s="63">
        <v>47008</v>
      </c>
      <c r="D3" s="57" t="s">
        <v>108</v>
      </c>
      <c r="E3" s="56" t="str">
        <f>B3&amp;C3&amp;D3</f>
        <v>enemy_habitats_47008.tmp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275</v>
      </c>
      <c r="B4" s="57" t="s">
        <v>112</v>
      </c>
      <c r="C4" s="63">
        <v>47008</v>
      </c>
      <c r="D4" s="57" t="s">
        <v>108</v>
      </c>
      <c r="E4" s="56" t="str">
        <f>B4&amp;C4&amp;D4</f>
        <v>enemy_habitat_S_47008.tmp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275</v>
      </c>
      <c r="B5" s="57" t="s">
        <v>114</v>
      </c>
      <c r="C5" s="63">
        <v>47008</v>
      </c>
      <c r="D5" s="57" t="s">
        <v>108</v>
      </c>
      <c r="E5" s="56" t="str">
        <f>B5&amp;C5&amp;D5</f>
        <v>enemy_skill_sets_47008.tmp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275</v>
      </c>
      <c r="B6" s="57" t="s">
        <v>116</v>
      </c>
      <c r="C6" s="63">
        <v>47008</v>
      </c>
      <c r="D6" s="57" t="s">
        <v>117</v>
      </c>
      <c r="E6" s="56" t="str">
        <f t="shared" ref="E6:E10" si="0">B6&amp;C6&amp;D6</f>
        <v>enemy_skills_tmp_47008.tmp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275</v>
      </c>
      <c r="B7" s="57" t="s">
        <v>118</v>
      </c>
      <c r="C7" s="63">
        <v>47008</v>
      </c>
      <c r="D7" s="57" t="s">
        <v>108</v>
      </c>
      <c r="E7" s="56" t="str">
        <f>B7&amp;C7&amp;D7</f>
        <v>enemy_skills_i18n_47008.tmp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275</v>
      </c>
      <c r="B8" s="57" t="s">
        <v>120</v>
      </c>
      <c r="C8" s="63">
        <v>47008</v>
      </c>
      <c r="D8" s="57" t="s">
        <v>121</v>
      </c>
      <c r="E8" s="56" t="str">
        <f t="shared" si="0"/>
        <v>enemy_skill_triggers_47008.tmp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376</v>
      </c>
      <c r="B9" s="68" t="s">
        <v>178</v>
      </c>
      <c r="C9" s="63">
        <v>47008</v>
      </c>
      <c r="D9" s="68" t="s">
        <v>172</v>
      </c>
      <c r="E9" s="69" t="str">
        <f t="shared" si="0"/>
        <v>stage_bug_bonuses_47008.tmp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188</v>
      </c>
      <c r="B10" s="68" t="s">
        <v>202</v>
      </c>
      <c r="C10" s="63">
        <v>47008</v>
      </c>
      <c r="D10" s="68" t="s">
        <v>181</v>
      </c>
      <c r="E10" s="69" t="str">
        <f t="shared" si="0"/>
        <v>stage_hints_data_c_47008.tmp</v>
      </c>
      <c r="F10" s="68" t="s">
        <v>210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6" customFormat="1" x14ac:dyDescent="0.15">
      <c r="A11" s="61" t="s">
        <v>361</v>
      </c>
      <c r="B11" s="68" t="s">
        <v>203</v>
      </c>
      <c r="C11" s="63">
        <v>47008</v>
      </c>
      <c r="D11" s="68" t="s">
        <v>172</v>
      </c>
      <c r="E11" s="69" t="str">
        <f t="shared" ref="E11:E13" si="1">B11&amp;C11&amp;D11</f>
        <v>stage_hints_data_f_47008.tmp</v>
      </c>
      <c r="F11" s="68" t="s">
        <v>212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6" customFormat="1" x14ac:dyDescent="0.15">
      <c r="A12" s="68" t="s">
        <v>362</v>
      </c>
      <c r="B12" s="68" t="s">
        <v>204</v>
      </c>
      <c r="C12" s="63">
        <v>47008</v>
      </c>
      <c r="D12" s="68" t="s">
        <v>172</v>
      </c>
      <c r="E12" s="69" t="str">
        <f t="shared" si="1"/>
        <v>stage_hints_i18n_47008.tmp</v>
      </c>
      <c r="F12" s="68" t="s">
        <v>213</v>
      </c>
      <c r="G12" s="75" t="s">
        <v>205</v>
      </c>
      <c r="H12" s="96" t="s">
        <v>206</v>
      </c>
      <c r="I12" s="74" t="s">
        <v>207</v>
      </c>
      <c r="J12" s="105" t="s">
        <v>208</v>
      </c>
      <c r="K12" s="67" t="s">
        <v>209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6" customFormat="1" x14ac:dyDescent="0.15">
      <c r="A13" s="68" t="s">
        <v>377</v>
      </c>
      <c r="B13" s="68" t="s">
        <v>255</v>
      </c>
      <c r="C13" s="63">
        <v>47008</v>
      </c>
      <c r="D13" s="68" t="s">
        <v>236</v>
      </c>
      <c r="E13" s="69" t="str">
        <f t="shared" si="1"/>
        <v>stage_bonuses_47008.tmp</v>
      </c>
      <c r="F13" s="68" t="s">
        <v>235</v>
      </c>
      <c r="G13" s="74" t="s">
        <v>237</v>
      </c>
      <c r="H13" s="74" t="s">
        <v>238</v>
      </c>
      <c r="I13" s="74" t="s">
        <v>239</v>
      </c>
      <c r="J13" s="74" t="s">
        <v>240</v>
      </c>
      <c r="K13" s="74" t="s">
        <v>241</v>
      </c>
      <c r="L13" s="74" t="s">
        <v>242</v>
      </c>
      <c r="M13" s="74" t="s">
        <v>243</v>
      </c>
      <c r="N13" s="74" t="s">
        <v>244</v>
      </c>
      <c r="O13" s="74" t="s">
        <v>245</v>
      </c>
      <c r="P13" s="74" t="s">
        <v>246</v>
      </c>
      <c r="Q13" s="74" t="s">
        <v>247</v>
      </c>
      <c r="R13" s="74" t="s">
        <v>248</v>
      </c>
      <c r="S13" s="74" t="s">
        <v>249</v>
      </c>
      <c r="T13" s="74" t="s">
        <v>250</v>
      </c>
      <c r="U13" s="74" t="s">
        <v>251</v>
      </c>
      <c r="V13" s="74" t="s">
        <v>252</v>
      </c>
      <c r="W13" s="74" t="s">
        <v>253</v>
      </c>
      <c r="X13" s="74" t="s">
        <v>254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G19" sqref="G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47008_1-1</v>
      </c>
      <c r="B2" s="16" t="str">
        <f>IF(COUNTIF(enemy_habitats!$H:$H,A2),"OK","NG")</f>
        <v>OK</v>
      </c>
      <c r="C2" s="7">
        <v>47008</v>
      </c>
      <c r="D2" s="11" t="str">
        <f ca="1">VLOOKUP($C2,OFFSET([2]quests!$A$1,0,0,COUNTA([2]quests!$A:$A),MATCH(D$1,[2]quests!$1:$1,0)-MATCH($C$1,[2]quests!$1:$1,0)+1),MATCH(D$1,[2]quests!$1:$1,0)-MATCH($C$1,[2]quests!$1:$1,0)+1,FALSE)</f>
        <v>ふんわり少女の恋心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 t="shared" ref="G2:G7" si="1">C2&amp;"_"&amp;F2</f>
        <v>47008_1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【上級】ふんわり少女の恋心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47008_1-2</v>
      </c>
      <c r="B3" s="16" t="str">
        <f>IF(COUNTIF(enemy_habitats!$H:$H,A3),"OK","NG")</f>
        <v>OK</v>
      </c>
      <c r="C3" s="7">
        <v>47008</v>
      </c>
      <c r="D3" s="11" t="str">
        <f ca="1">VLOOKUP($C3,OFFSET([2]quests!$A$1,0,0,COUNTA([2]quests!$A:$A),MATCH(D$1,[2]quests!$1:$1,0)-MATCH($C$1,[2]quests!$1:$1,0)+1),MATCH(D$1,[2]quests!$1:$1,0)-MATCH($C$1,[2]quests!$1:$1,0)+1,FALSE)</f>
        <v>ふんわり少女の恋心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si="1"/>
        <v>47008_1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【上級】ふんわり少女の恋心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47008_1-3</v>
      </c>
      <c r="B4" s="16" t="str">
        <f>IF(COUNTIF(enemy_habitats!$H:$H,A4),"OK","NG")</f>
        <v>OK</v>
      </c>
      <c r="C4" s="7">
        <v>47008</v>
      </c>
      <c r="D4" s="11" t="str">
        <f ca="1">VLOOKUP($C4,OFFSET([2]quests!$A$1,0,0,COUNTA([2]quests!$A:$A),MATCH(D$1,[2]quests!$1:$1,0)-MATCH($C$1,[2]quests!$1:$1,0)+1),MATCH(D$1,[2]quests!$1:$1,0)-MATCH($C$1,[2]quests!$1:$1,0)+1,FALSE)</f>
        <v>ふんわり少女の恋心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47008_1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【上級】ふんわり少女の恋心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47008_2-1</v>
      </c>
      <c r="B5" s="16" t="str">
        <f>IF(COUNTIF(enemy_habitats!$H:$H,A5),"OK","NG")</f>
        <v>OK</v>
      </c>
      <c r="C5" s="7">
        <v>47008</v>
      </c>
      <c r="D5" s="11" t="str">
        <f ca="1">VLOOKUP($C5,OFFSET([2]quests!$A$1,0,0,COUNTA([2]quests!$A:$A),MATCH(D$1,[2]quests!$1:$1,0)-MATCH($C$1,[2]quests!$1:$1,0)+1),MATCH(D$1,[2]quests!$1:$1,0)-MATCH($C$1,[2]quests!$1:$1,0)+1,FALSE)</f>
        <v>ふんわり少女の恋心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2</v>
      </c>
      <c r="G5" s="23" t="str">
        <f t="shared" si="1"/>
        <v>47008_2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【ウィザード級】ふんわり少女の恋心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47008_2-2</v>
      </c>
      <c r="B6" s="16" t="str">
        <f>IF(COUNTIF(enemy_habitats!$H:$H,A6),"OK","NG")</f>
        <v>OK</v>
      </c>
      <c r="C6" s="7">
        <v>47008</v>
      </c>
      <c r="D6" s="11" t="str">
        <f ca="1">VLOOKUP($C6,OFFSET([2]quests!$A$1,0,0,COUNTA([2]quests!$A:$A),MATCH(D$1,[2]quests!$1:$1,0)-MATCH($C$1,[2]quests!$1:$1,0)+1),MATCH(D$1,[2]quests!$1:$1,0)-MATCH($C$1,[2]quests!$1:$1,0)+1,FALSE)</f>
        <v>ふんわり少女の恋心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47008_2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【ウィザード級】ふんわり少女の恋心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47008_2-3</v>
      </c>
      <c r="B7" s="16" t="str">
        <f>IF(COUNTIF(enemy_habitats!$H:$H,A7),"OK","NG")</f>
        <v>OK</v>
      </c>
      <c r="C7" s="7">
        <v>47008</v>
      </c>
      <c r="D7" s="11" t="str">
        <f ca="1">VLOOKUP($C7,OFFSET([2]quests!$A$1,0,0,COUNTA([2]quests!$A:$A),MATCH(D$1,[2]quests!$1:$1,0)-MATCH($C$1,[2]quests!$1:$1,0)+1),MATCH(D$1,[2]quests!$1:$1,0)-MATCH($C$1,[2]quests!$1:$1,0)+1,FALSE)</f>
        <v>ふんわり少女の恋心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47008_2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【ウィザード級】ふんわり少女の恋心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tabSelected="1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D15" sqref="AD1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9.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256</v>
      </c>
      <c r="U1" s="26" t="s">
        <v>50</v>
      </c>
      <c r="V1" s="106" t="s">
        <v>257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47008_1-1/1356&lt;lv30&gt;s2</v>
      </c>
      <c r="B2" s="22">
        <v>47008</v>
      </c>
      <c r="C2" s="21">
        <v>1</v>
      </c>
      <c r="D2" s="2" t="str">
        <f t="shared" ref="D2:D9" si="1">B2&amp;"_"&amp;C2</f>
        <v>47008_1</v>
      </c>
      <c r="E2" s="4" t="str">
        <f ca="1">VLOOKUP($B2,OFFSET([2]quests!$A$1,0,0,COUNTA([2]quests!$A:$A),MATCH(E$1,[2]quests!$1:$1,0)-MATCH($B$1,[2]quests!$1:$1,0)+1),MATCH(E$1,[2]quests!$1:$1,0)-MATCH($B$1,[2]quests!$1:$1,0)+1,FALSE)</f>
        <v>ふんわり少女の恋心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【上級】ふんわり少女の恋心</v>
      </c>
      <c r="G2" s="21">
        <v>1</v>
      </c>
      <c r="H2" s="15" t="str">
        <f t="shared" ref="H2:H9" si="2">B2&amp;"_"&amp;C2&amp;"-"&amp;G2</f>
        <v>47008_1-1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1356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恋狐の甘味振舞 タマモ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30</v>
      </c>
      <c r="S2" s="25">
        <v>1.5</v>
      </c>
      <c r="T2" s="10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47250</v>
      </c>
      <c r="U2" s="25">
        <v>0.6</v>
      </c>
      <c r="V2" s="10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1503.6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47008001</v>
      </c>
      <c r="Z2" s="6">
        <v>0</v>
      </c>
      <c r="AA2" s="6">
        <v>100</v>
      </c>
      <c r="AB2" s="6">
        <v>0</v>
      </c>
      <c r="AC2" s="17">
        <v>2</v>
      </c>
      <c r="AD2" s="24">
        <f t="shared" ref="AD2:AD9" si="3">L2</f>
        <v>1356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恋狐の甘味振舞 タマモ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9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47008_1-2/1355&lt;lv30&gt;s2</v>
      </c>
      <c r="B3" s="22">
        <v>47008</v>
      </c>
      <c r="C3" s="21">
        <v>1</v>
      </c>
      <c r="D3" s="2" t="str">
        <f t="shared" si="1"/>
        <v>47008_1</v>
      </c>
      <c r="E3" s="4" t="str">
        <f ca="1">VLOOKUP($B3,OFFSET([2]quests!$A$1,0,0,COUNTA([2]quests!$A:$A),MATCH(E$1,[2]quests!$1:$1,0)-MATCH($B$1,[2]quests!$1:$1,0)+1),MATCH(E$1,[2]quests!$1:$1,0)-MATCH($B$1,[2]quests!$1:$1,0)+1,FALSE)</f>
        <v>ふんわり少女の恋心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【上級】ふんわり少女の恋心</v>
      </c>
      <c r="G3" s="21">
        <v>2</v>
      </c>
      <c r="H3" s="15" t="str">
        <f t="shared" si="2"/>
        <v>47008_1-2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1355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恋する燦天使 メタトロン・エモ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30</v>
      </c>
      <c r="S3" s="25">
        <v>2</v>
      </c>
      <c r="T3" s="10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98660</v>
      </c>
      <c r="U3" s="25">
        <v>0.9</v>
      </c>
      <c r="V3" s="10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4116.6000000000004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メタトロンは何かを隠した…_x000D_【状態異常耐性+_x000D_　全ユニットのボムの爆風を40%UP】</v>
      </c>
      <c r="Y3" s="62">
        <v>47008101</v>
      </c>
      <c r="Z3" s="6">
        <v>0</v>
      </c>
      <c r="AA3" s="6">
        <v>100</v>
      </c>
      <c r="AB3" s="6">
        <v>0</v>
      </c>
      <c r="AC3" s="17">
        <v>2</v>
      </c>
      <c r="AD3" s="24">
        <f t="shared" si="3"/>
        <v>1355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恋する燦天使 メタトロン・エモ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4"/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47008_1-3/1364&lt;lv25&gt;s1</v>
      </c>
      <c r="B4" s="22">
        <v>47008</v>
      </c>
      <c r="C4" s="21">
        <v>1</v>
      </c>
      <c r="D4" s="2" t="str">
        <f t="shared" si="1"/>
        <v>47008_1</v>
      </c>
      <c r="E4" s="4" t="str">
        <f ca="1">VLOOKUP($B4,OFFSET([2]quests!$A$1,0,0,COUNTA([2]quests!$A:$A),MATCH(E$1,[2]quests!$1:$1,0)-MATCH($B$1,[2]quests!$1:$1,0)+1),MATCH(E$1,[2]quests!$1:$1,0)-MATCH($B$1,[2]quests!$1:$1,0)+1,FALSE)</f>
        <v>ふんわり少女の恋心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【上級】ふんわり少女の恋心</v>
      </c>
      <c r="G4" s="21">
        <v>3</v>
      </c>
      <c r="H4" s="15" t="str">
        <f t="shared" si="2"/>
        <v>47008_1-3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20">
        <v>1364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百菓の甘味家 パティ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25</v>
      </c>
      <c r="S4" s="25">
        <v>2.1</v>
      </c>
      <c r="T4" s="10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88928.7</v>
      </c>
      <c r="U4" s="25">
        <v>0.7</v>
      </c>
      <c r="V4" s="10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2045.3999999999999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47008301</v>
      </c>
      <c r="Z4" s="6">
        <v>0</v>
      </c>
      <c r="AA4" s="6">
        <v>100</v>
      </c>
      <c r="AB4" s="141">
        <v>0</v>
      </c>
      <c r="AC4" s="17">
        <v>1</v>
      </c>
      <c r="AD4" s="24">
        <f t="shared" si="3"/>
        <v>1364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6</v>
      </c>
      <c r="AJ4" s="8">
        <v>18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ref="A5" si="5">B5&amp;"_"&amp;C5&amp;"-"&amp;G5&amp;"/"&amp;L5&amp;"&lt;lv"&amp;R5&amp;"&gt;s"&amp;AC5</f>
        <v>47008_1-3/1364&lt;lv24&gt;s1</v>
      </c>
      <c r="B5" s="22">
        <v>47008</v>
      </c>
      <c r="C5" s="21">
        <v>1</v>
      </c>
      <c r="D5" s="2" t="str">
        <f t="shared" ref="D5" si="6">B5&amp;"_"&amp;C5</f>
        <v>47008_1</v>
      </c>
      <c r="E5" s="4" t="str">
        <f ca="1">VLOOKUP($B5,OFFSET([2]quests!$A$1,0,0,COUNTA([2]quests!$A:$A),MATCH(E$1,[2]quests!$1:$1,0)-MATCH($B$1,[2]quests!$1:$1,0)+1),MATCH(E$1,[2]quests!$1:$1,0)-MATCH($B$1,[2]quests!$1:$1,0)+1,FALSE)</f>
        <v>ふんわり少女の恋心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【上級】ふんわり少女の恋心</v>
      </c>
      <c r="G5" s="21">
        <v>3</v>
      </c>
      <c r="H5" s="15" t="str">
        <f t="shared" ref="H5" si="7">B5&amp;"_"&amp;C5&amp;"-"&amp;G5</f>
        <v>47008_1-3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20">
        <v>1364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百菓の甘味家 パティ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24</v>
      </c>
      <c r="S5" s="25">
        <v>2.1</v>
      </c>
      <c r="T5" s="10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85572.900000000009</v>
      </c>
      <c r="U5" s="25">
        <v>0.7</v>
      </c>
      <c r="V5" s="10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1968.3999999999999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47008331</v>
      </c>
      <c r="Z5" s="6">
        <v>0</v>
      </c>
      <c r="AA5" s="6">
        <v>100</v>
      </c>
      <c r="AB5" s="141">
        <v>0</v>
      </c>
      <c r="AC5" s="17">
        <v>1</v>
      </c>
      <c r="AD5" s="24">
        <f t="shared" ref="AD5" si="8">L5</f>
        <v>1364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t="shared" ref="AI5" ca="1" si="9">AF5</f>
        <v>6</v>
      </c>
      <c r="AJ5" s="8">
        <v>18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ref="A6" si="10">B6&amp;"_"&amp;C6&amp;"-"&amp;G6&amp;"/"&amp;L6&amp;"&lt;lv"&amp;R6&amp;"&gt;s"&amp;AC6</f>
        <v>47008_1-3/1364&lt;lv23&gt;s1</v>
      </c>
      <c r="B6" s="22">
        <v>47008</v>
      </c>
      <c r="C6" s="21">
        <v>1</v>
      </c>
      <c r="D6" s="2" t="str">
        <f t="shared" ref="D6" si="11">B6&amp;"_"&amp;C6</f>
        <v>47008_1</v>
      </c>
      <c r="E6" s="4" t="str">
        <f ca="1">VLOOKUP($B6,OFFSET([2]quests!$A$1,0,0,COUNTA([2]quests!$A:$A),MATCH(E$1,[2]quests!$1:$1,0)-MATCH($B$1,[2]quests!$1:$1,0)+1),MATCH(E$1,[2]quests!$1:$1,0)-MATCH($B$1,[2]quests!$1:$1,0)+1,FALSE)</f>
        <v>ふんわり少女の恋心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【上級】ふんわり少女の恋心</v>
      </c>
      <c r="G6" s="21">
        <v>3</v>
      </c>
      <c r="H6" s="15" t="str">
        <f t="shared" ref="H6" si="12">B6&amp;"_"&amp;C6&amp;"-"&amp;G6</f>
        <v>47008_1-3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20">
        <v>1364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百菓の甘味家 パティ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23</v>
      </c>
      <c r="S6" s="25">
        <v>2.1</v>
      </c>
      <c r="T6" s="10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82217.100000000006</v>
      </c>
      <c r="U6" s="25">
        <v>0.7</v>
      </c>
      <c r="V6" s="10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1891.3999999999999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47008361</v>
      </c>
      <c r="Z6" s="6">
        <v>0</v>
      </c>
      <c r="AA6" s="6">
        <v>100</v>
      </c>
      <c r="AB6" s="141">
        <v>1</v>
      </c>
      <c r="AC6" s="17">
        <v>1</v>
      </c>
      <c r="AD6" s="24">
        <f t="shared" ref="AD6" si="13">L6</f>
        <v>1364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ref="AI6" ca="1" si="14">AF6</f>
        <v>6</v>
      </c>
      <c r="AJ6" s="8">
        <v>18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47008_2-1/1356&lt;lv80&gt;s2</v>
      </c>
      <c r="B7" s="22">
        <v>47008</v>
      </c>
      <c r="C7" s="21">
        <v>2</v>
      </c>
      <c r="D7" s="2" t="str">
        <f t="shared" si="1"/>
        <v>47008_2</v>
      </c>
      <c r="E7" s="4" t="str">
        <f ca="1">VLOOKUP($B7,OFFSET([2]quests!$A$1,0,0,COUNTA([2]quests!$A:$A),MATCH(E$1,[2]quests!$1:$1,0)-MATCH($B$1,[2]quests!$1:$1,0)+1),MATCH(E$1,[2]quests!$1:$1,0)-MATCH($B$1,[2]quests!$1:$1,0)+1,FALSE)</f>
        <v>ふんわり少女の恋心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【ウィザード級】ふんわり少女の恋心</v>
      </c>
      <c r="G7" s="21">
        <v>1</v>
      </c>
      <c r="H7" s="15" t="str">
        <f t="shared" si="2"/>
        <v>47008_2-1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260</v>
      </c>
      <c r="L7" s="20">
        <v>1356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恋狐の甘味振舞 タマモ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1.6</v>
      </c>
      <c r="T7" s="10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130400</v>
      </c>
      <c r="U7" s="25">
        <v>0.7</v>
      </c>
      <c r="V7" s="10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4538.7999999999993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青パネルは確率でプロテクトされてドロップ+_x000D_解除するまで全属性の攻撃をカウンター+_x000D_全ユニットのスキルゲージを2ターン減少</v>
      </c>
      <c r="Y7" s="4">
        <v>47008000</v>
      </c>
      <c r="Z7" s="6">
        <v>0</v>
      </c>
      <c r="AA7" s="6">
        <v>100</v>
      </c>
      <c r="AB7" s="6">
        <v>0</v>
      </c>
      <c r="AC7" s="17">
        <v>2</v>
      </c>
      <c r="AD7" s="24">
        <f t="shared" si="3"/>
        <v>1356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恋狐の甘味振舞 タマモ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47008_2-2/1355&lt;lv80&gt;s2</v>
      </c>
      <c r="B8" s="22">
        <v>47008</v>
      </c>
      <c r="C8" s="21">
        <v>2</v>
      </c>
      <c r="D8" s="2" t="str">
        <f t="shared" si="1"/>
        <v>47008_2</v>
      </c>
      <c r="E8" s="4" t="str">
        <f ca="1">VLOOKUP($B8,OFFSET([2]quests!$A$1,0,0,COUNTA([2]quests!$A:$A),MATCH(E$1,[2]quests!$1:$1,0)-MATCH($B$1,[2]quests!$1:$1,0)+1),MATCH(E$1,[2]quests!$1:$1,0)-MATCH($B$1,[2]quests!$1:$1,0)+1,FALSE)</f>
        <v>ふんわり少女の恋心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【ウィザード級】ふんわり少女の恋心</v>
      </c>
      <c r="G8" s="21">
        <v>2</v>
      </c>
      <c r="H8" s="15" t="str">
        <f t="shared" si="2"/>
        <v>47008_2-2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1355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恋する燦天使 メタトロン・エモ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3.1</v>
      </c>
      <c r="T8" s="10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395659.2</v>
      </c>
      <c r="U8" s="25">
        <v>1.2</v>
      </c>
      <c r="V8" s="10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14203.199999999999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62">
        <v>47008100</v>
      </c>
      <c r="Z8" s="6">
        <v>0</v>
      </c>
      <c r="AA8" s="6">
        <v>100</v>
      </c>
      <c r="AB8" s="6">
        <v>0</v>
      </c>
      <c r="AC8" s="17">
        <v>2</v>
      </c>
      <c r="AD8" s="24">
        <f t="shared" si="3"/>
        <v>1355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恋する燦天使 メタトロン・エモ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6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7">
        <v>1</v>
      </c>
      <c r="AI8" s="24">
        <f t="shared" ca="1" si="4"/>
        <v>6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47008_2-3/1364&lt;lv80&gt;s1</v>
      </c>
      <c r="B9" s="22">
        <v>47008</v>
      </c>
      <c r="C9" s="21">
        <v>2</v>
      </c>
      <c r="D9" s="2" t="str">
        <f t="shared" si="1"/>
        <v>47008_2</v>
      </c>
      <c r="E9" s="4" t="str">
        <f ca="1">VLOOKUP($B9,OFFSET([2]quests!$A$1,0,0,COUNTA([2]quests!$A:$A),MATCH(E$1,[2]quests!$1:$1,0)-MATCH($B$1,[2]quests!$1:$1,0)+1),MATCH(E$1,[2]quests!$1:$1,0)-MATCH($B$1,[2]quests!$1:$1,0)+1,FALSE)</f>
        <v>ふんわり少女の恋心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【ウィザード級】ふんわり少女の恋心</v>
      </c>
      <c r="G9" s="21">
        <v>3</v>
      </c>
      <c r="H9" s="15" t="str">
        <f t="shared" si="2"/>
        <v>47008_2-3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1364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百菓の甘味家 パティ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4.4000000000000004</v>
      </c>
      <c r="T9" s="10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573042.80000000005</v>
      </c>
      <c r="U9" s="25">
        <v>1.2</v>
      </c>
      <c r="V9" s="10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10784.4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よかったぁ…ちゃんと会えたぁ…_x000D_【状態異常耐性+_x000D_　全ユニットのスキルゲージを4ターン減少】</v>
      </c>
      <c r="Y9" s="4">
        <v>47008300</v>
      </c>
      <c r="Z9" s="6">
        <v>0</v>
      </c>
      <c r="AA9" s="6">
        <v>100</v>
      </c>
      <c r="AB9" s="142">
        <v>0</v>
      </c>
      <c r="AC9" s="17">
        <v>1</v>
      </c>
      <c r="AD9" s="24">
        <f t="shared" si="3"/>
        <v>1364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6</v>
      </c>
      <c r="AJ9" s="8">
        <v>100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" si="15">B10&amp;"_"&amp;C10&amp;"-"&amp;G10&amp;"/"&amp;L10&amp;"&lt;lv"&amp;R10&amp;"&gt;s"&amp;AC10</f>
        <v>47008_2-3/1364&lt;lv79&gt;s1</v>
      </c>
      <c r="B10" s="22">
        <v>47008</v>
      </c>
      <c r="C10" s="21">
        <v>2</v>
      </c>
      <c r="D10" s="2" t="str">
        <f t="shared" ref="D10" si="16">B10&amp;"_"&amp;C10</f>
        <v>47008_2</v>
      </c>
      <c r="E10" s="4" t="str">
        <f ca="1">VLOOKUP($B10,OFFSET([2]quests!$A$1,0,0,COUNTA([2]quests!$A:$A),MATCH(E$1,[2]quests!$1:$1,0)-MATCH($B$1,[2]quests!$1:$1,0)+1),MATCH(E$1,[2]quests!$1:$1,0)-MATCH($B$1,[2]quests!$1:$1,0)+1,FALSE)</f>
        <v>ふんわり少女の恋心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【ウィザード級】ふんわり少女の恋心</v>
      </c>
      <c r="G10" s="21">
        <v>3</v>
      </c>
      <c r="H10" s="15" t="str">
        <f t="shared" ref="H10" si="17">B10&amp;"_"&amp;C10&amp;"-"&amp;G10</f>
        <v>47008_2-3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1364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百菓の甘味家 パティ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79</v>
      </c>
      <c r="S10" s="25">
        <v>4.4000000000000004</v>
      </c>
      <c r="T10" s="107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566011.60000000009</v>
      </c>
      <c r="U10" s="25">
        <v>1.2</v>
      </c>
      <c r="V10" s="107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10652.4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またあえたね…嬉しいなぁ…♪_x000D_【状態異常耐性+_x000D_　全ユニットのスキルゲージを4ターン減少】</v>
      </c>
      <c r="Y10" s="4">
        <v>47008330</v>
      </c>
      <c r="Z10" s="6">
        <v>0</v>
      </c>
      <c r="AA10" s="6">
        <v>100</v>
      </c>
      <c r="AB10" s="142">
        <v>0</v>
      </c>
      <c r="AC10" s="17">
        <v>1</v>
      </c>
      <c r="AD10" s="24">
        <f t="shared" ref="AD10" si="18">L10</f>
        <v>1364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ref="AI10" ca="1" si="19">AF10</f>
        <v>6</v>
      </c>
      <c r="AJ10" s="8">
        <v>100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ref="A11" si="20">B11&amp;"_"&amp;C11&amp;"-"&amp;G11&amp;"/"&amp;L11&amp;"&lt;lv"&amp;R11&amp;"&gt;s"&amp;AC11</f>
        <v>47008_2-3/1364&lt;lv78&gt;s1</v>
      </c>
      <c r="B11" s="22">
        <v>47008</v>
      </c>
      <c r="C11" s="21">
        <v>2</v>
      </c>
      <c r="D11" s="2" t="str">
        <f t="shared" ref="D11" si="21">B11&amp;"_"&amp;C11</f>
        <v>47008_2</v>
      </c>
      <c r="E11" s="4" t="str">
        <f ca="1">VLOOKUP($B11,OFFSET([2]quests!$A$1,0,0,COUNTA([2]quests!$A:$A),MATCH(E$1,[2]quests!$1:$1,0)-MATCH($B$1,[2]quests!$1:$1,0)+1),MATCH(E$1,[2]quests!$1:$1,0)-MATCH($B$1,[2]quests!$1:$1,0)+1,FALSE)</f>
        <v>ふんわり少女の恋心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【ウィザード級】ふんわり少女の恋心</v>
      </c>
      <c r="G11" s="21">
        <v>3</v>
      </c>
      <c r="H11" s="15" t="str">
        <f t="shared" ref="H11" si="22">B11&amp;"_"&amp;C11&amp;"-"&amp;G11</f>
        <v>47008_2-3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4</v>
      </c>
      <c r="L11" s="20">
        <v>1364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百菓の甘味家 パティ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78</v>
      </c>
      <c r="S11" s="25">
        <v>4.4000000000000004</v>
      </c>
      <c r="T11" s="10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558980.4</v>
      </c>
      <c r="U11" s="25">
        <v>1.2</v>
      </c>
      <c r="V11" s="10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10519.199999999999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ふふっ…♪もっとすきになっちゃうよ…♪_x000D_【状態異常耐性+_x000D_　全ユニットのスキルゲージを4ターン減少】</v>
      </c>
      <c r="Y11" s="4">
        <v>47008360</v>
      </c>
      <c r="Z11" s="6">
        <v>0</v>
      </c>
      <c r="AA11" s="6">
        <v>100</v>
      </c>
      <c r="AB11" s="142">
        <v>1</v>
      </c>
      <c r="AC11" s="17">
        <v>1</v>
      </c>
      <c r="AD11" s="24">
        <f t="shared" ref="AD11" si="23">L11</f>
        <v>1364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百菓の甘味家 パティ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ref="AI11" ca="1" si="24">AF11</f>
        <v>6</v>
      </c>
      <c r="AJ11" s="8">
        <v>100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5"/>
  <sheetViews>
    <sheetView showGridLines="0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0" sqref="T10:T1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33.1640625" style="9" customWidth="1" collapsed="1"/>
    <col min="14" max="14" width="12.83203125" style="3" hidden="1" customWidth="1" outlineLevel="1"/>
    <col min="15" max="15" width="9.1640625" style="3" hidden="1" customWidth="1" outlineLevel="1"/>
    <col min="16" max="16" width="18.83203125" style="3" hidden="1" customWidth="1" outlineLevel="1"/>
    <col min="17" max="17" width="26.5" style="3" hidden="1" customWidth="1" outlineLevel="1"/>
    <col min="18" max="18" width="33.5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256</v>
      </c>
      <c r="V1" s="26" t="s">
        <v>50</v>
      </c>
      <c r="W1" s="106" t="s">
        <v>257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10" si="0">B2&amp;"_"&amp;C2&amp;"-"&amp;G2&amp;"/"&amp;M2&amp;"&lt;lv"&amp;S2&amp;"&gt;sq"&amp;K2&amp;"st"&amp;L2</f>
        <v>47008_1-2/1355&lt;lv30&gt;sq1st2</v>
      </c>
      <c r="B2" s="22">
        <v>47008</v>
      </c>
      <c r="C2" s="21">
        <v>1</v>
      </c>
      <c r="D2" s="2" t="str">
        <f t="shared" ref="D2:D10" si="1">B2&amp;"_"&amp;C2</f>
        <v>47008_1</v>
      </c>
      <c r="E2" s="4" t="str">
        <f ca="1">VLOOKUP($B2,OFFSET([2]quests!$A$1,0,0,COUNTA([2]quests!$A:$A),MATCH(E$1,[2]quests!$1:$1,0)-MATCH($B$1,[2]quests!$1:$1,0)+1),MATCH(E$1,[2]quests!$1:$1,0)-MATCH($B$1,[2]quests!$1:$1,0)+1,FALSE)</f>
        <v>ふんわり少女の恋心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【上級】ふんわり少女の恋心</v>
      </c>
      <c r="G2" s="21">
        <v>2</v>
      </c>
      <c r="H2" s="15" t="str">
        <f t="shared" ref="H2:H10" si="2">B2&amp;"_"&amp;C2&amp;"-"&amp;G2</f>
        <v>47008_1-2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1355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恋する燦天使 メタトロン・エモ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25">
        <v>2.4</v>
      </c>
      <c r="U2" s="10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118392</v>
      </c>
      <c r="V2" s="25">
        <v>0.9</v>
      </c>
      <c r="W2" s="10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4116.6000000000004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47008201</v>
      </c>
      <c r="AA2" s="71">
        <v>1</v>
      </c>
    </row>
    <row r="3" spans="1:27" ht="21" customHeight="1" x14ac:dyDescent="0.15">
      <c r="A3" s="16" t="str">
        <f t="shared" si="0"/>
        <v>47008_1-3/1364&lt;lv25&gt;sq2st2</v>
      </c>
      <c r="B3" s="22">
        <v>47008</v>
      </c>
      <c r="C3" s="21">
        <v>1</v>
      </c>
      <c r="D3" s="2" t="str">
        <f t="shared" si="1"/>
        <v>47008_1</v>
      </c>
      <c r="E3" s="4" t="str">
        <f ca="1">VLOOKUP($B3,OFFSET([2]quests!$A$1,0,0,COUNTA([2]quests!$A:$A),MATCH(E$1,[2]quests!$1:$1,0)-MATCH($B$1,[2]quests!$1:$1,0)+1),MATCH(E$1,[2]quests!$1:$1,0)-MATCH($B$1,[2]quests!$1:$1,0)+1,FALSE)</f>
        <v>ふんわり少女の恋心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【上級】ふんわり少女の恋心</v>
      </c>
      <c r="G3" s="21">
        <v>3</v>
      </c>
      <c r="H3" s="15" t="str">
        <f t="shared" si="2"/>
        <v>47008_1-3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1364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百菓の甘味家 パティ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25</v>
      </c>
      <c r="T3" s="25">
        <v>3</v>
      </c>
      <c r="U3" s="10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127041</v>
      </c>
      <c r="V3" s="25">
        <v>0.9</v>
      </c>
      <c r="W3" s="10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2629.8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47008401</v>
      </c>
      <c r="AA3" s="71">
        <v>1</v>
      </c>
    </row>
    <row r="4" spans="1:27" ht="21" customHeight="1" x14ac:dyDescent="0.15">
      <c r="A4" s="16" t="str">
        <f t="shared" ref="A4:A5" si="3">B4&amp;"_"&amp;C4&amp;"-"&amp;G4&amp;"/"&amp;M4&amp;"&lt;lv"&amp;S4&amp;"&gt;sq"&amp;K4&amp;"st"&amp;L4</f>
        <v>47008_1-3/1364&lt;lv25&gt;sq2st3</v>
      </c>
      <c r="B4" s="22">
        <v>47008</v>
      </c>
      <c r="C4" s="21">
        <v>1</v>
      </c>
      <c r="D4" s="2" t="str">
        <f t="shared" ref="D4:D5" si="4">B4&amp;"_"&amp;C4</f>
        <v>47008_1</v>
      </c>
      <c r="E4" s="4" t="str">
        <f ca="1">VLOOKUP($B4,OFFSET([2]quests!$A$1,0,0,COUNTA([2]quests!$A:$A),MATCH(E$1,[2]quests!$1:$1,0)-MATCH($B$1,[2]quests!$1:$1,0)+1),MATCH(E$1,[2]quests!$1:$1,0)-MATCH($B$1,[2]quests!$1:$1,0)+1,FALSE)</f>
        <v>ふんわり少女の恋心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【上級】ふんわり少女の恋心</v>
      </c>
      <c r="G4" s="21">
        <v>3</v>
      </c>
      <c r="H4" s="15" t="str">
        <f t="shared" ref="H4:H5" si="5">B4&amp;"_"&amp;C4&amp;"-"&amp;G4</f>
        <v>47008_1-3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1364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百菓の甘味家 パティ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25</v>
      </c>
      <c r="T4" s="25">
        <v>3</v>
      </c>
      <c r="U4" s="10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127041</v>
      </c>
      <c r="V4" s="25">
        <v>0.9</v>
      </c>
      <c r="W4" s="10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2629.8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47008501</v>
      </c>
      <c r="AA4" s="71">
        <v>1</v>
      </c>
    </row>
    <row r="5" spans="1:27" ht="21" customHeight="1" x14ac:dyDescent="0.15">
      <c r="A5" s="16" t="str">
        <f t="shared" si="3"/>
        <v>47008_1-3/1364&lt;lv24&gt;sq3st2</v>
      </c>
      <c r="B5" s="22">
        <v>47008</v>
      </c>
      <c r="C5" s="21">
        <v>1</v>
      </c>
      <c r="D5" s="2" t="str">
        <f t="shared" si="4"/>
        <v>47008_1</v>
      </c>
      <c r="E5" s="4" t="str">
        <f ca="1">VLOOKUP($B5,OFFSET([2]quests!$A$1,0,0,COUNTA([2]quests!$A:$A),MATCH(E$1,[2]quests!$1:$1,0)-MATCH($B$1,[2]quests!$1:$1,0)+1),MATCH(E$1,[2]quests!$1:$1,0)-MATCH($B$1,[2]quests!$1:$1,0)+1,FALSE)</f>
        <v>ふんわり少女の恋心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【上級】ふんわり少女の恋心</v>
      </c>
      <c r="G5" s="21">
        <v>3</v>
      </c>
      <c r="H5" s="15" t="str">
        <f t="shared" si="5"/>
        <v>47008_1-3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1364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百菓の甘味家 パティ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24</v>
      </c>
      <c r="T5" s="25">
        <v>3</v>
      </c>
      <c r="U5" s="10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122247</v>
      </c>
      <c r="V5" s="25">
        <v>0.9</v>
      </c>
      <c r="W5" s="10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2530.8000000000002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47008431</v>
      </c>
      <c r="AA5" s="71">
        <v>1</v>
      </c>
    </row>
    <row r="6" spans="1:27" ht="21" customHeight="1" x14ac:dyDescent="0.15">
      <c r="A6" s="16" t="str">
        <f t="shared" ref="A6:A7" si="6">B6&amp;"_"&amp;C6&amp;"-"&amp;G6&amp;"/"&amp;M6&amp;"&lt;lv"&amp;S6&amp;"&gt;sq"&amp;K6&amp;"st"&amp;L6</f>
        <v>47008_1-3/1364&lt;lv24&gt;sq3st3</v>
      </c>
      <c r="B6" s="22">
        <v>47008</v>
      </c>
      <c r="C6" s="21">
        <v>1</v>
      </c>
      <c r="D6" s="2" t="str">
        <f t="shared" ref="D6:D7" si="7">B6&amp;"_"&amp;C6</f>
        <v>47008_1</v>
      </c>
      <c r="E6" s="4" t="str">
        <f ca="1">VLOOKUP($B6,OFFSET([2]quests!$A$1,0,0,COUNTA([2]quests!$A:$A),MATCH(E$1,[2]quests!$1:$1,0)-MATCH($B$1,[2]quests!$1:$1,0)+1),MATCH(E$1,[2]quests!$1:$1,0)-MATCH($B$1,[2]quests!$1:$1,0)+1,FALSE)</f>
        <v>ふんわり少女の恋心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【上級】ふんわり少女の恋心</v>
      </c>
      <c r="G6" s="21">
        <v>3</v>
      </c>
      <c r="H6" s="15" t="str">
        <f t="shared" ref="H6:H7" si="8">B6&amp;"_"&amp;C6&amp;"-"&amp;G6</f>
        <v>47008_1-3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1364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百菓の甘味家 パティ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24</v>
      </c>
      <c r="T6" s="25">
        <v>3</v>
      </c>
      <c r="U6" s="10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122247</v>
      </c>
      <c r="V6" s="25">
        <v>0.9</v>
      </c>
      <c r="W6" s="10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2530.8000000000002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47008531</v>
      </c>
      <c r="AA6" s="71">
        <v>1</v>
      </c>
    </row>
    <row r="7" spans="1:27" ht="21" customHeight="1" x14ac:dyDescent="0.15">
      <c r="A7" s="16" t="str">
        <f t="shared" si="6"/>
        <v>47008_1-3/1364&lt;lv23&gt;sq4st2</v>
      </c>
      <c r="B7" s="22">
        <v>47008</v>
      </c>
      <c r="C7" s="21">
        <v>1</v>
      </c>
      <c r="D7" s="2" t="str">
        <f t="shared" si="7"/>
        <v>47008_1</v>
      </c>
      <c r="E7" s="4" t="str">
        <f ca="1">VLOOKUP($B7,OFFSET([2]quests!$A$1,0,0,COUNTA([2]quests!$A:$A),MATCH(E$1,[2]quests!$1:$1,0)-MATCH($B$1,[2]quests!$1:$1,0)+1),MATCH(E$1,[2]quests!$1:$1,0)-MATCH($B$1,[2]quests!$1:$1,0)+1,FALSE)</f>
        <v>ふんわり少女の恋心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【上級】ふんわり少女の恋心</v>
      </c>
      <c r="G7" s="21">
        <v>3</v>
      </c>
      <c r="H7" s="15" t="str">
        <f t="shared" si="8"/>
        <v>47008_1-3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2</v>
      </c>
      <c r="M7" s="20">
        <v>1364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百菓の甘味家 パティ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23</v>
      </c>
      <c r="T7" s="25">
        <v>3</v>
      </c>
      <c r="U7" s="107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117453</v>
      </c>
      <c r="V7" s="25">
        <v>0.9</v>
      </c>
      <c r="W7" s="107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2431.8000000000002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47008461</v>
      </c>
      <c r="AA7" s="71">
        <v>1</v>
      </c>
    </row>
    <row r="8" spans="1:27" ht="21" customHeight="1" x14ac:dyDescent="0.15">
      <c r="A8" s="16" t="str">
        <f t="shared" ref="A8" si="9">B8&amp;"_"&amp;C8&amp;"-"&amp;G8&amp;"/"&amp;M8&amp;"&lt;lv"&amp;S8&amp;"&gt;sq"&amp;K8&amp;"st"&amp;L8</f>
        <v>47008_1-3/1364&lt;lv23&gt;sq4st3</v>
      </c>
      <c r="B8" s="22">
        <v>47008</v>
      </c>
      <c r="C8" s="21">
        <v>1</v>
      </c>
      <c r="D8" s="2" t="str">
        <f t="shared" ref="D8" si="10">B8&amp;"_"&amp;C8</f>
        <v>47008_1</v>
      </c>
      <c r="E8" s="4" t="str">
        <f ca="1">VLOOKUP($B8,OFFSET([2]quests!$A$1,0,0,COUNTA([2]quests!$A:$A),MATCH(E$1,[2]quests!$1:$1,0)-MATCH($B$1,[2]quests!$1:$1,0)+1),MATCH(E$1,[2]quests!$1:$1,0)-MATCH($B$1,[2]quests!$1:$1,0)+1,FALSE)</f>
        <v>ふんわり少女の恋心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【上級】ふんわり少女の恋心</v>
      </c>
      <c r="G8" s="21">
        <v>3</v>
      </c>
      <c r="H8" s="15" t="str">
        <f t="shared" ref="H8" si="11">B8&amp;"_"&amp;C8&amp;"-"&amp;G8</f>
        <v>47008_1-3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4</v>
      </c>
      <c r="L8" s="38">
        <v>3</v>
      </c>
      <c r="M8" s="20">
        <v>1364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百菓の甘味家 パティ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23</v>
      </c>
      <c r="T8" s="25">
        <v>3</v>
      </c>
      <c r="U8" s="107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117453</v>
      </c>
      <c r="V8" s="25">
        <v>0.9</v>
      </c>
      <c r="W8" s="107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2431.8000000000002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">
        <v>47008561</v>
      </c>
      <c r="AA8" s="71">
        <v>1</v>
      </c>
    </row>
    <row r="9" spans="1:27" ht="21" customHeight="1" x14ac:dyDescent="0.15">
      <c r="A9" s="16" t="str">
        <f t="shared" si="0"/>
        <v>47008_2-2/1355&lt;lv80&gt;sq1st2</v>
      </c>
      <c r="B9" s="22">
        <v>47008</v>
      </c>
      <c r="C9" s="21">
        <v>2</v>
      </c>
      <c r="D9" s="2" t="str">
        <f t="shared" si="1"/>
        <v>47008_2</v>
      </c>
      <c r="E9" s="4" t="str">
        <f ca="1">VLOOKUP($B9,OFFSET([2]quests!$A$1,0,0,COUNTA([2]quests!$A:$A),MATCH(E$1,[2]quests!$1:$1,0)-MATCH($B$1,[2]quests!$1:$1,0)+1),MATCH(E$1,[2]quests!$1:$1,0)-MATCH($B$1,[2]quests!$1:$1,0)+1,FALSE)</f>
        <v>ふんわり少女の恋心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【ウィザード級】ふんわり少女の恋心</v>
      </c>
      <c r="G9" s="21">
        <v>2</v>
      </c>
      <c r="H9" s="15" t="str">
        <f t="shared" si="2"/>
        <v>47008_2-2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1355</v>
      </c>
      <c r="N9" s="17" t="str">
        <f ca="1">VLOOKUP($M9,OFFSET([3]enemies!$A$1,0,0,COUNTA([3]enemies!$A:$A),MATCH(N$1,[3]enemies!$1:$1,0)-MATCH($M$1,[3]enemies!$1:$1,0)+1),MATCH(N$1,[3]enemies!$1:$1,0)-MATCH($M$1,[3]enemies!$1:$1,0)+1,FALSE)</f>
        <v>恋する燦天使 メタトロン・エモ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5">
        <v>3.8</v>
      </c>
      <c r="U9" s="107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485001.6</v>
      </c>
      <c r="V9" s="25">
        <v>1.2</v>
      </c>
      <c r="W9" s="107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14203.199999999999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">
        <v>47008200</v>
      </c>
      <c r="AA9" s="71">
        <v>1</v>
      </c>
    </row>
    <row r="10" spans="1:27" ht="21" customHeight="1" x14ac:dyDescent="0.15">
      <c r="A10" s="16" t="str">
        <f t="shared" si="0"/>
        <v>47008_2-3/1364&lt;lv80&gt;sq2st2</v>
      </c>
      <c r="B10" s="22">
        <v>47008</v>
      </c>
      <c r="C10" s="21">
        <v>2</v>
      </c>
      <c r="D10" s="2" t="str">
        <f t="shared" si="1"/>
        <v>47008_2</v>
      </c>
      <c r="E10" s="4" t="str">
        <f ca="1">VLOOKUP($B10,OFFSET([2]quests!$A$1,0,0,COUNTA([2]quests!$A:$A),MATCH(E$1,[2]quests!$1:$1,0)-MATCH($B$1,[2]quests!$1:$1,0)+1),MATCH(E$1,[2]quests!$1:$1,0)-MATCH($B$1,[2]quests!$1:$1,0)+1,FALSE)</f>
        <v>ふんわり少女の恋心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【ウィザード級】ふんわり少女の恋心</v>
      </c>
      <c r="G10" s="21">
        <v>3</v>
      </c>
      <c r="H10" s="15" t="str">
        <f t="shared" si="2"/>
        <v>47008_2-3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38">
        <v>2</v>
      </c>
      <c r="M10" s="20">
        <v>1364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百菓の甘味家 パティ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80</v>
      </c>
      <c r="T10" s="25">
        <v>5.3</v>
      </c>
      <c r="U10" s="107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690256.1</v>
      </c>
      <c r="V10" s="25">
        <v>1.2</v>
      </c>
      <c r="W10" s="107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10784.4</v>
      </c>
      <c r="X10" s="5">
        <v>0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4">
        <v>47008400</v>
      </c>
      <c r="AA10" s="71">
        <v>1</v>
      </c>
    </row>
    <row r="11" spans="1:27" ht="21" customHeight="1" x14ac:dyDescent="0.15">
      <c r="A11" s="16" t="str">
        <f t="shared" ref="A11:A12" si="12">B11&amp;"_"&amp;C11&amp;"-"&amp;G11&amp;"/"&amp;M11&amp;"&lt;lv"&amp;S11&amp;"&gt;sq"&amp;K11&amp;"st"&amp;L11</f>
        <v>47008_2-3/1364&lt;lv80&gt;sq2st3</v>
      </c>
      <c r="B11" s="22">
        <v>47008</v>
      </c>
      <c r="C11" s="21">
        <v>2</v>
      </c>
      <c r="D11" s="2" t="str">
        <f t="shared" ref="D11:D12" si="13">B11&amp;"_"&amp;C11</f>
        <v>47008_2</v>
      </c>
      <c r="E11" s="4" t="str">
        <f ca="1">VLOOKUP($B11,OFFSET([2]quests!$A$1,0,0,COUNTA([2]quests!$A:$A),MATCH(E$1,[2]quests!$1:$1,0)-MATCH($B$1,[2]quests!$1:$1,0)+1),MATCH(E$1,[2]quests!$1:$1,0)-MATCH($B$1,[2]quests!$1:$1,0)+1,FALSE)</f>
        <v>ふんわり少女の恋心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【ウィザード級】ふんわり少女の恋心</v>
      </c>
      <c r="G11" s="21">
        <v>3</v>
      </c>
      <c r="H11" s="15" t="str">
        <f t="shared" ref="H11:H12" si="14">B11&amp;"_"&amp;C11&amp;"-"&amp;G11</f>
        <v>47008_2-3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2</v>
      </c>
      <c r="L11" s="38">
        <v>3</v>
      </c>
      <c r="M11" s="20">
        <v>1364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百菓の甘味家 パティ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80</v>
      </c>
      <c r="T11" s="25">
        <v>5.3</v>
      </c>
      <c r="U11" s="107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690256.1</v>
      </c>
      <c r="V11" s="25">
        <v>1.2</v>
      </c>
      <c r="W11" s="107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10784.4</v>
      </c>
      <c r="X11" s="5">
        <v>0</v>
      </c>
      <c r="Y11" s="4" t="e">
        <f ca="1">VLOOKUP($Z11,OFFSET([5]enemy_skill_sets!$B$1,0,0,COUNTA([5]enemy_skill_sets!$B:$B),MATCH(N$1,[5]enemy_skill_sets!$1:$1,0)-MATCH($Z$1,[5]enemy_skill_sets!$1:$1,0)+2),MATCH(N$1,[5]enemy_skill_sets!$1:$1,0)-MATCH($Z$1,[5]enemy_skill_sets!$1:$1,0)+2,FALSE)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1" s="4">
        <v>47008500</v>
      </c>
      <c r="AA11" s="71">
        <v>1</v>
      </c>
    </row>
    <row r="12" spans="1:27" ht="21" customHeight="1" x14ac:dyDescent="0.15">
      <c r="A12" s="16" t="str">
        <f t="shared" si="12"/>
        <v>47008_2-3/1364&lt;lv79&gt;sq3st2</v>
      </c>
      <c r="B12" s="22">
        <v>47008</v>
      </c>
      <c r="C12" s="21">
        <v>2</v>
      </c>
      <c r="D12" s="2" t="str">
        <f t="shared" si="13"/>
        <v>47008_2</v>
      </c>
      <c r="E12" s="4" t="str">
        <f ca="1">VLOOKUP($B12,OFFSET([2]quests!$A$1,0,0,COUNTA([2]quests!$A:$A),MATCH(E$1,[2]quests!$1:$1,0)-MATCH($B$1,[2]quests!$1:$1,0)+1),MATCH(E$1,[2]quests!$1:$1,0)-MATCH($B$1,[2]quests!$1:$1,0)+1,FALSE)</f>
        <v>ふんわり少女の恋心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【ウィザード級】ふんわり少女の恋心</v>
      </c>
      <c r="G12" s="21">
        <v>3</v>
      </c>
      <c r="H12" s="15" t="str">
        <f t="shared" si="14"/>
        <v>47008_2-3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3</v>
      </c>
      <c r="L12" s="38">
        <v>2</v>
      </c>
      <c r="M12" s="20">
        <v>1364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百菓の甘味家 パティ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79</v>
      </c>
      <c r="T12" s="25">
        <v>5.3</v>
      </c>
      <c r="U12" s="107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681786.7</v>
      </c>
      <c r="V12" s="25">
        <v>1.2</v>
      </c>
      <c r="W12" s="107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10652.4</v>
      </c>
      <c r="X12" s="5">
        <v>0</v>
      </c>
      <c r="Y12" s="4" t="e">
        <f ca="1">VLOOKUP($Z12,OFFSET([5]enemy_skill_sets!$B$1,0,0,COUNTA([5]enemy_skill_sets!$B:$B),MATCH(N$1,[5]enemy_skill_sets!$1:$1,0)-MATCH($Z$1,[5]enemy_skill_sets!$1:$1,0)+2),MATCH(N$1,[5]enemy_skill_sets!$1:$1,0)-MATCH($Z$1,[5]enemy_skill_sets!$1:$1,0)+2,FALSE)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2" s="4">
        <v>47008430</v>
      </c>
      <c r="AA12" s="71">
        <v>1</v>
      </c>
    </row>
    <row r="13" spans="1:27" ht="21" customHeight="1" x14ac:dyDescent="0.15">
      <c r="A13" s="16" t="str">
        <f t="shared" ref="A13:A14" si="15">B13&amp;"_"&amp;C13&amp;"-"&amp;G13&amp;"/"&amp;M13&amp;"&lt;lv"&amp;S13&amp;"&gt;sq"&amp;K13&amp;"st"&amp;L13</f>
        <v>47008_2-3/1364&lt;lv79&gt;sq3st3</v>
      </c>
      <c r="B13" s="22">
        <v>47008</v>
      </c>
      <c r="C13" s="21">
        <v>2</v>
      </c>
      <c r="D13" s="2" t="str">
        <f t="shared" ref="D13:D14" si="16">B13&amp;"_"&amp;C13</f>
        <v>47008_2</v>
      </c>
      <c r="E13" s="4" t="str">
        <f ca="1">VLOOKUP($B13,OFFSET([2]quests!$A$1,0,0,COUNTA([2]quests!$A:$A),MATCH(E$1,[2]quests!$1:$1,0)-MATCH($B$1,[2]quests!$1:$1,0)+1),MATCH(E$1,[2]quests!$1:$1,0)-MATCH($B$1,[2]quests!$1:$1,0)+1,FALSE)</f>
        <v>ふんわり少女の恋心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【ウィザード級】ふんわり少女の恋心</v>
      </c>
      <c r="G13" s="21">
        <v>3</v>
      </c>
      <c r="H13" s="15" t="str">
        <f t="shared" ref="H13:H14" si="17">B13&amp;"_"&amp;C13&amp;"-"&amp;G13</f>
        <v>47008_2-3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3</v>
      </c>
      <c r="L13" s="38">
        <v>3</v>
      </c>
      <c r="M13" s="20">
        <v>1364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百菓の甘味家 パティ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79</v>
      </c>
      <c r="T13" s="25">
        <v>5.3</v>
      </c>
      <c r="U13" s="107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681786.7</v>
      </c>
      <c r="V13" s="25">
        <v>1.2</v>
      </c>
      <c r="W13" s="107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10652.4</v>
      </c>
      <c r="X13" s="5">
        <v>0</v>
      </c>
      <c r="Y13" s="4" t="e">
        <f ca="1">VLOOKUP($Z13,OFFSET([5]enemy_skill_sets!$B$1,0,0,COUNTA([5]enemy_skill_sets!$B:$B),MATCH(N$1,[5]enemy_skill_sets!$1:$1,0)-MATCH($Z$1,[5]enemy_skill_sets!$1:$1,0)+2),MATCH(N$1,[5]enemy_skill_sets!$1:$1,0)-MATCH($Z$1,[5]enemy_skill_sets!$1:$1,0)+2,FALSE)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3" s="4">
        <v>47008530</v>
      </c>
      <c r="AA13" s="71">
        <v>1</v>
      </c>
    </row>
    <row r="14" spans="1:27" ht="21" customHeight="1" x14ac:dyDescent="0.15">
      <c r="A14" s="16" t="str">
        <f t="shared" si="15"/>
        <v>47008_2-3/1364&lt;lv78&gt;sq4st2</v>
      </c>
      <c r="B14" s="22">
        <v>47008</v>
      </c>
      <c r="C14" s="21">
        <v>2</v>
      </c>
      <c r="D14" s="2" t="str">
        <f t="shared" si="16"/>
        <v>47008_2</v>
      </c>
      <c r="E14" s="4" t="str">
        <f ca="1">VLOOKUP($B14,OFFSET([2]quests!$A$1,0,0,COUNTA([2]quests!$A:$A),MATCH(E$1,[2]quests!$1:$1,0)-MATCH($B$1,[2]quests!$1:$1,0)+1),MATCH(E$1,[2]quests!$1:$1,0)-MATCH($B$1,[2]quests!$1:$1,0)+1,FALSE)</f>
        <v>ふんわり少女の恋心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【ウィザード級】ふんわり少女の恋心</v>
      </c>
      <c r="G14" s="21">
        <v>3</v>
      </c>
      <c r="H14" s="15" t="str">
        <f t="shared" si="17"/>
        <v>47008_2-3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4</v>
      </c>
      <c r="L14" s="38">
        <v>2</v>
      </c>
      <c r="M14" s="20">
        <v>1364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百菓の甘味家 パティ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green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78</v>
      </c>
      <c r="T14" s="25">
        <v>5.3</v>
      </c>
      <c r="U14" s="107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673317.29999999993</v>
      </c>
      <c r="V14" s="25">
        <v>1.2</v>
      </c>
      <c r="W14" s="107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10519.199999999999</v>
      </c>
      <c r="X14" s="5">
        <v>0</v>
      </c>
      <c r="Y14" s="4" t="e">
        <f ca="1">VLOOKUP($Z14,OFFSET([5]enemy_skill_sets!$B$1,0,0,COUNTA([5]enemy_skill_sets!$B:$B),MATCH(N$1,[5]enemy_skill_sets!$1:$1,0)-MATCH($Z$1,[5]enemy_skill_sets!$1:$1,0)+2),MATCH(N$1,[5]enemy_skill_sets!$1:$1,0)-MATCH($Z$1,[5]enemy_skill_sets!$1:$1,0)+2,FALSE)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4" s="4">
        <v>47008460</v>
      </c>
      <c r="AA14" s="71">
        <v>1</v>
      </c>
    </row>
    <row r="15" spans="1:27" ht="21" customHeight="1" x14ac:dyDescent="0.15">
      <c r="A15" s="16" t="str">
        <f t="shared" ref="A15" si="18">B15&amp;"_"&amp;C15&amp;"-"&amp;G15&amp;"/"&amp;M15&amp;"&lt;lv"&amp;S15&amp;"&gt;sq"&amp;K15&amp;"st"&amp;L15</f>
        <v>47008_2-3/1364&lt;lv78&gt;sq4st3</v>
      </c>
      <c r="B15" s="22">
        <v>47008</v>
      </c>
      <c r="C15" s="21">
        <v>2</v>
      </c>
      <c r="D15" s="2" t="str">
        <f t="shared" ref="D15" si="19">B15&amp;"_"&amp;C15</f>
        <v>47008_2</v>
      </c>
      <c r="E15" s="4" t="str">
        <f ca="1">VLOOKUP($B15,OFFSET([2]quests!$A$1,0,0,COUNTA([2]quests!$A:$A),MATCH(E$1,[2]quests!$1:$1,0)-MATCH($B$1,[2]quests!$1:$1,0)+1),MATCH(E$1,[2]quests!$1:$1,0)-MATCH($B$1,[2]quests!$1:$1,0)+1,FALSE)</f>
        <v>ふんわり少女の恋心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【ウィザード級】ふんわり少女の恋心</v>
      </c>
      <c r="G15" s="21">
        <v>3</v>
      </c>
      <c r="H15" s="15" t="str">
        <f t="shared" ref="H15" si="20">B15&amp;"_"&amp;C15&amp;"-"&amp;G15</f>
        <v>47008_2-3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4</v>
      </c>
      <c r="L15" s="38">
        <v>3</v>
      </c>
      <c r="M15" s="20">
        <v>1364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百菓の甘味家 パティ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green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78</v>
      </c>
      <c r="T15" s="25">
        <v>5.3</v>
      </c>
      <c r="U15" s="107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673317.29999999993</v>
      </c>
      <c r="V15" s="25">
        <v>1.2</v>
      </c>
      <c r="W15" s="107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10519.199999999999</v>
      </c>
      <c r="X15" s="5">
        <v>0</v>
      </c>
      <c r="Y15" s="4" t="e">
        <f ca="1">VLOOKUP($Z15,OFFSET([5]enemy_skill_sets!$B$1,0,0,COUNTA([5]enemy_skill_sets!$B:$B),MATCH(N$1,[5]enemy_skill_sets!$1:$1,0)-MATCH($Z$1,[5]enemy_skill_sets!$1:$1,0)+2),MATCH(N$1,[5]enemy_skill_sets!$1:$1,0)-MATCH($Z$1,[5]enemy_skill_sets!$1:$1,0)+2,FALSE)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5" s="4">
        <v>47008560</v>
      </c>
      <c r="AA1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83"/>
  <sheetViews>
    <sheetView showGridLines="0" workbookViewId="0">
      <pane xSplit="5" ySplit="1" topLeftCell="F161" activePane="bottomRight" state="frozen"/>
      <selection pane="topRight"/>
      <selection pane="bottomLeft"/>
      <selection pane="bottomRight" activeCell="C65" sqref="C6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40.5" style="49" customWidth="1" outlineLevel="1"/>
    <col min="5" max="5" width="52.832031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47008000_47008000</v>
      </c>
      <c r="B2" s="109">
        <v>47008000</v>
      </c>
      <c r="C2" s="109">
        <v>47008000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パティに呼ばれておるのか？ほぉ？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青パネルは確率でプロテクトされてドロップ+_x000D_解除するまで全属性の攻撃をカウンター+_x000D_全ユニットのスキルゲージを2ターン減少</v>
      </c>
      <c r="F2" s="109">
        <v>47008000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47008000_47008001</v>
      </c>
      <c r="B3" s="109">
        <v>47008000</v>
      </c>
      <c r="C3" s="109">
        <v>47008001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おぬし！チョコ配るのを手伝うのじゃー！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青パネルは確率でプロテクトされてドロップ+_x000D_解除するまで全属性の攻撃をカウンター+_x000D_全ユニットのスキルゲージを1ターン減少</v>
      </c>
      <c r="F3" s="109">
        <v>47008001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47008000_47008002</v>
      </c>
      <c r="B4" s="109">
        <v>47008000</v>
      </c>
      <c r="C4" s="109">
        <v>47008002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放課後じゃー！チョコを配るのじゃー！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4" s="109">
        <v>47008002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13" si="2">B5&amp;"_"&amp;C5</f>
        <v>47008000_47008003</v>
      </c>
      <c r="B5" s="109">
        <v>47008000</v>
      </c>
      <c r="C5" s="109">
        <v>47008003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儂のチョコを受け取るのじゃ！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ランダムで赤パネルに最大5個変換+単体攻撃</v>
      </c>
      <c r="F5" s="109">
        <v>47008003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47008000_47008004</v>
      </c>
      <c r="B6" s="109">
        <v>47008000</v>
      </c>
      <c r="C6" s="109">
        <v>47008004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チョコ祭りじゃー！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109">
        <v>47008004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47008000_47008005</v>
      </c>
      <c r="B7" s="109">
        <v>47008000</v>
      </c>
      <c r="C7" s="109">
        <v>47008005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ええいっ！いいから受け取らんか！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7" s="109">
        <v>47008005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47008000_47008010</v>
      </c>
      <c r="B8" s="109">
        <v>47008000</v>
      </c>
      <c r="C8" s="109">
        <v>47008010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8" s="109">
        <v>47008006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47008000_47008010</v>
      </c>
      <c r="B9" s="109">
        <v>47008000</v>
      </c>
      <c r="C9" s="109">
        <v>47008010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9" s="109">
        <v>47008007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1" si="3">B10&amp;"_"&amp;C10</f>
        <v>47008000_47008010</v>
      </c>
      <c r="B10" s="109">
        <v>47008000</v>
      </c>
      <c r="C10" s="109">
        <v>47008010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10" s="109">
        <v>47008008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47008000_47008010</v>
      </c>
      <c r="B11" s="109">
        <v>47008000</v>
      </c>
      <c r="C11" s="109">
        <v>47008010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11" s="109">
        <v>47008009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4">B12&amp;"_"&amp;C12</f>
        <v>47008000_47008010</v>
      </c>
      <c r="B12" s="109">
        <v>47008000</v>
      </c>
      <c r="C12" s="109">
        <v>47008010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12" s="109">
        <v>47008010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47008100_47008100</v>
      </c>
      <c r="B13" s="110">
        <v>47008100</v>
      </c>
      <c r="C13" s="110">
        <v>47008100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……！？…嘘…何でこんなところに…？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全ユニットのボムの爆風を40%UP】</v>
      </c>
      <c r="F13" s="110">
        <v>47008100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:A28" si="5">B14&amp;"_"&amp;C14</f>
        <v>47008100_47008101</v>
      </c>
      <c r="B14" s="110">
        <v>47008100</v>
      </c>
      <c r="C14" s="110">
        <v>47008101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……！？…あなた…何か用？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全ユニットのボムの爆風を20%UP】</v>
      </c>
      <c r="F14" s="110">
        <v>47008101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5"/>
        <v>47008100_47008102</v>
      </c>
      <c r="B15" s="110">
        <v>47008100</v>
      </c>
      <c r="C15" s="110">
        <v>47008102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……！？…どうかした？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15" s="110">
        <v>47008102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47008100_47008103</v>
      </c>
      <c r="B16" s="110">
        <v>47008100</v>
      </c>
      <c r="C16" s="110">
        <v>47008103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…何か、見た？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110">
        <v>47008103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21" si="6">B17&amp;"_"&amp;C17</f>
        <v>47008100_47008104</v>
      </c>
      <c r="B17" s="110">
        <v>47008100</v>
      </c>
      <c r="C17" s="110">
        <v>47008104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…忘れて、お願い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ハートパネルプロテクト+単体攻撃</v>
      </c>
      <c r="F17" s="110">
        <v>47008104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6"/>
        <v>47008100_47008105</v>
      </c>
      <c r="B18" s="110">
        <v>47008100</v>
      </c>
      <c r="C18" s="110">
        <v>47008105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…これは…気の迷い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3ターン全ユニットのCパネル生成延長(効果特大)</v>
      </c>
      <c r="F18" s="110">
        <v>47008105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6"/>
        <v>47008100_47008106</v>
      </c>
      <c r="B19" s="110">
        <v>47008100</v>
      </c>
      <c r="C19" s="110">
        <v>47008106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19" s="110">
        <v>47008106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6"/>
        <v>47008100_47008106</v>
      </c>
      <c r="B20" s="110">
        <v>47008100</v>
      </c>
      <c r="C20" s="110">
        <v>47008106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20" s="110">
        <v>47008107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6"/>
        <v>47008100_47008106</v>
      </c>
      <c r="B21" s="110">
        <v>47008100</v>
      </c>
      <c r="C21" s="110">
        <v>47008106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21" s="110">
        <v>47008108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:A23" si="7">B22&amp;"_"&amp;C22</f>
        <v>47008100_47008106</v>
      </c>
      <c r="B22" s="110">
        <v>47008100</v>
      </c>
      <c r="C22" s="110">
        <v>47008106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22" s="110">
        <v>47008109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7"/>
        <v>47008100_47008106</v>
      </c>
      <c r="B23" s="110">
        <v>47008100</v>
      </c>
      <c r="C23" s="110">
        <v>47008106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5ターン全ユニットのボムの爆風を100%DOWN】</v>
      </c>
      <c r="F23" s="110">
        <v>47008110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5"/>
        <v>47008200_47008200</v>
      </c>
      <c r="B24" s="111">
        <v>47008200</v>
      </c>
      <c r="C24" s="111">
        <v>47008200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…パティ？あぁ…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状態異常耐性+_x000D_2ターン全ユニットのタップ回数1DOWN+_x000D_7ターン種族サムライの全ユニットにスキルバインド</v>
      </c>
      <c r="F24" s="111">
        <v>47008200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5"/>
        <v>47008200_47008201</v>
      </c>
      <c r="B25" s="111">
        <v>47008200</v>
      </c>
      <c r="C25" s="111">
        <v>47008201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…あの子のこと、好き…なの？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2ターン全ユニットの攻撃力20%DOWN+単体攻撃</v>
      </c>
      <c r="F25" s="111">
        <v>47008201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5"/>
        <v>47008200_47008202</v>
      </c>
      <c r="B26" s="111">
        <v>47008200</v>
      </c>
      <c r="C26" s="111">
        <v>47008202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…恋って、楽しい？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2ターン全ユニットの攻撃力40%DOWN+単体攻撃</v>
      </c>
      <c r="F26" s="111">
        <v>47008202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5"/>
        <v>47008200_47008203</v>
      </c>
      <c r="B27" s="111">
        <v>47008200</v>
      </c>
      <c r="C27" s="111">
        <v>47008203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…ねぇ、どんな気持ち？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2ターン全ユニットの攻撃力60%DOWN+単体攻撃</v>
      </c>
      <c r="F27" s="111">
        <v>47008203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47008200_47008204</v>
      </c>
      <c r="B28" s="111">
        <v>47008200</v>
      </c>
      <c r="C28" s="111">
        <v>47008204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…難しいわね、恋って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2ターン全ユニットの攻撃力80%DOWN+単体攻撃</v>
      </c>
      <c r="F28" s="111">
        <v>47008204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50" si="8">B29&amp;"_"&amp;C29</f>
        <v>47008200_47008205</v>
      </c>
      <c r="B29" s="111">
        <v>47008200</v>
      </c>
      <c r="C29" s="111">
        <v>47008205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情愛の炎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9" s="111">
        <v>47008205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8"/>
        <v>47008200_47008206</v>
      </c>
      <c r="B30" s="111">
        <v>47008200</v>
      </c>
      <c r="C30" s="111">
        <v>47008206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…急いだ方がいいんじゃない？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30" s="111">
        <v>47008206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47008300_47008300</v>
      </c>
      <c r="B31" s="112">
        <v>47008300</v>
      </c>
      <c r="C31" s="112">
        <v>47008300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わぁ…！[player_name]！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よかったぁ…ちゃんと会えたぁ…_x000D_【状態異常耐性+_x000D_　全ユニットのスキルゲージを4ターン減少】</v>
      </c>
      <c r="F31" s="112">
        <v>47008300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8"/>
        <v>47008300_47008301</v>
      </c>
      <c r="B32" s="112">
        <v>47008300</v>
      </c>
      <c r="C32" s="112">
        <v>47008301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わぁ…！[player_name]！_x000D_やっと会えたぁ…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32" s="112">
        <v>47008301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8"/>
        <v>47008300_47008302</v>
      </c>
      <c r="B33" s="112">
        <v>47008300</v>
      </c>
      <c r="C33" s="112">
        <v>47008302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わぁ…！見つけたぁ…！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3" s="112">
        <v>47008302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8"/>
        <v>47008300_47008303</v>
      </c>
      <c r="B34" s="112">
        <v>47008300</v>
      </c>
      <c r="C34" s="112">
        <v>47008303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いっぱい探しちゃったよ…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34" s="112">
        <v>47008303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8"/>
        <v>47008300_47008304</v>
      </c>
      <c r="B35" s="112">
        <v>47008300</v>
      </c>
      <c r="C35" s="112">
        <v>47008304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35" s="112">
        <v>47008311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" si="9">B36&amp;"_"&amp;C36</f>
        <v>47008300_47008307</v>
      </c>
      <c r="B36" s="112">
        <v>47008300</v>
      </c>
      <c r="C36" s="112">
        <v>47008307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36" s="112">
        <v>47008304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8"/>
        <v>47008300_47008305</v>
      </c>
      <c r="B37" s="112">
        <v>47008300</v>
      </c>
      <c r="C37" s="112">
        <v>47008305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あなたも探してくれてたんだね…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3ターン全ユニットの回復力100%DOWN</v>
      </c>
      <c r="F37" s="112">
        <v>47008305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:A40" si="10">B38&amp;"_"&amp;C38</f>
        <v>47008300_47008306</v>
      </c>
      <c r="B38" s="112">
        <v>47008300</v>
      </c>
      <c r="C38" s="112">
        <v>47008306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112">
        <v>47008306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0"/>
        <v>47008300_47008306</v>
      </c>
      <c r="B39" s="112">
        <v>47008300</v>
      </c>
      <c r="C39" s="112">
        <v>47008306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112">
        <v>47008307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0"/>
        <v>47008300_47008306</v>
      </c>
      <c r="B40" s="112">
        <v>47008300</v>
      </c>
      <c r="C40" s="112">
        <v>47008306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112">
        <v>47008308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2" si="11">B41&amp;"_"&amp;C41</f>
        <v>47008300_47008306</v>
      </c>
      <c r="B41" s="112">
        <v>47008300</v>
      </c>
      <c r="C41" s="112">
        <v>47008306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112">
        <v>47008309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1"/>
        <v>47008300_47008306</v>
      </c>
      <c r="B42" s="112">
        <v>47008300</v>
      </c>
      <c r="C42" s="112">
        <v>47008306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112">
        <v>47008310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8"/>
        <v>47008400_47008400</v>
      </c>
      <c r="B43" s="113">
        <v>47008400</v>
      </c>
      <c r="C43" s="113">
        <v>47008400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なんだか照れるね…へへっ…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43" s="113">
        <v>47008400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8"/>
        <v>47008400_47008401</v>
      </c>
      <c r="B44" s="113">
        <v>47008400</v>
      </c>
      <c r="C44" s="113">
        <v>47008401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44" s="113">
        <v>47008401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47008400_47008402</v>
      </c>
      <c r="B45" s="113">
        <v>47008400</v>
      </c>
      <c r="C45" s="113">
        <v>47008402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45" s="113">
        <v>47008402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47008400_47008403</v>
      </c>
      <c r="B46" s="113">
        <v>47008400</v>
      </c>
      <c r="C46" s="113">
        <v>47008403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46" s="113">
        <v>47008403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47008400_47008404</v>
      </c>
      <c r="B47" s="113">
        <v>47008400</v>
      </c>
      <c r="C47" s="113">
        <v>47008404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きてくれて…ありがとう…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47" s="113">
        <v>47008404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47008500_47008500</v>
      </c>
      <c r="B48" s="114">
        <v>47008500</v>
      </c>
      <c r="C48" s="114">
        <v>47008500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48" s="114">
        <v>47008500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47008500_47008501</v>
      </c>
      <c r="B49" s="114">
        <v>47008500</v>
      </c>
      <c r="C49" s="114">
        <v>47008501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49" s="114">
        <v>47008501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47008500_47008502</v>
      </c>
      <c r="B50" s="114">
        <v>47008500</v>
      </c>
      <c r="C50" s="114">
        <v>47008502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状態異常耐性+残りHPの99%ダメージ！+_x000D_ランダムでハートパネルに最大20個変換+_x000D_2ターン全ユニットにスキルバインド</v>
      </c>
      <c r="F50" s="114">
        <v>47008502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ref="A51:A56" si="12">B51&amp;"_"&amp;C51</f>
        <v>47008500_47008503</v>
      </c>
      <c r="B51" s="114">
        <v>47008500</v>
      </c>
      <c r="C51" s="114">
        <v>47008503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51" s="114">
        <v>47008503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2"/>
        <v>47008500_47008504</v>
      </c>
      <c r="B52" s="114">
        <v>47008500</v>
      </c>
      <c r="C52" s="114">
        <v>47008504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52" s="114">
        <v>47008504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2"/>
        <v>47008500_47008505</v>
      </c>
      <c r="B53" s="114">
        <v>47008500</v>
      </c>
      <c r="C53" s="114">
        <v>47008505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53" s="114">
        <v>47008505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2"/>
        <v>47008500_47008506</v>
      </c>
      <c r="B54" s="114">
        <v>47008500</v>
      </c>
      <c r="C54" s="114">
        <v>47008506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54" s="114">
        <v>47008506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" si="13">B55&amp;"_"&amp;C55</f>
        <v>47008500_47008521</v>
      </c>
      <c r="B55" s="114">
        <v>47008500</v>
      </c>
      <c r="C55" s="114">
        <v>47008521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55" s="114">
        <v>47008530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2"/>
        <v>47008500_47008507</v>
      </c>
      <c r="B56" s="114">
        <v>47008500</v>
      </c>
      <c r="C56" s="114">
        <v>47008507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ランダムでハートパネルに最大10個変換+_x000D_ハートパネル以外の属性パネルをプロテクト</v>
      </c>
      <c r="F56" s="114">
        <v>47008507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58" si="14">B57&amp;"_"&amp;C57</f>
        <v>47008500_47008508</v>
      </c>
      <c r="B57" s="114">
        <v>47008500</v>
      </c>
      <c r="C57" s="114">
        <v>47008508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1ターン全ユニットの攻撃力50%DOWN+単体攻撃</v>
      </c>
      <c r="F57" s="114">
        <v>47008508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4"/>
        <v>47008500_47008509</v>
      </c>
      <c r="B58" s="114">
        <v>47008500</v>
      </c>
      <c r="C58" s="114">
        <v>47008509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わたし…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58" s="114">
        <v>47008509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ref="A59:A122" si="15">B59&amp;"_"&amp;C59</f>
        <v>47008500_47008510</v>
      </c>
      <c r="B59" s="114">
        <v>47008500</v>
      </c>
      <c r="C59" s="114">
        <v>47008510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すきです…これ…あ…おとしちゃった…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59" s="114">
        <v>47008510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61" si="16">B60&amp;"_"&amp;C60</f>
        <v>47008500_47008514</v>
      </c>
      <c r="B60" s="114">
        <v>47008500</v>
      </c>
      <c r="C60" s="114">
        <v>47008514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わたしのきもち…うけとってくれる…？</v>
      </c>
      <c r="F60" s="114">
        <v>47008514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6"/>
        <v>47008500_47008515</v>
      </c>
      <c r="B61" s="114">
        <v>47008500</v>
      </c>
      <c r="C61" s="114">
        <v>47008515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61" s="114">
        <v>47008515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" si="17">B62&amp;"_"&amp;C62</f>
        <v>47008500_47008519</v>
      </c>
      <c r="B62" s="114">
        <v>47008500</v>
      </c>
      <c r="C62" s="114">
        <v>47008519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はい…これあげる…</v>
      </c>
      <c r="F62" s="114">
        <v>47008517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:A64" si="18">B63&amp;"_"&amp;C63</f>
        <v>47008500_47008519</v>
      </c>
      <c r="B63" s="114">
        <v>47008500</v>
      </c>
      <c r="C63" s="114">
        <v>47008519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はい…これあげる…</v>
      </c>
      <c r="F63" s="114">
        <v>47008518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8"/>
        <v>47008500_47008518</v>
      </c>
      <c r="B64" s="114">
        <v>47008500</v>
      </c>
      <c r="C64" s="114">
        <v>47008518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64" s="114">
        <v>47008519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:A68" si="19">B65&amp;"_"&amp;C65</f>
        <v>47008500_47008518</v>
      </c>
      <c r="B65" s="114">
        <v>47008500</v>
      </c>
      <c r="C65" s="114">
        <v>47008518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65" s="114">
        <v>47008520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9"/>
        <v>47008500_47008518</v>
      </c>
      <c r="B66" s="114">
        <v>47008500</v>
      </c>
      <c r="C66" s="114">
        <v>47008518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66" s="114">
        <v>47008521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9"/>
        <v>47008500_47008518</v>
      </c>
      <c r="B67" s="114">
        <v>47008500</v>
      </c>
      <c r="C67" s="114">
        <v>47008518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67" s="114">
        <v>47008522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9"/>
        <v>47008500_47008518</v>
      </c>
      <c r="B68" s="114">
        <v>47008500</v>
      </c>
      <c r="C68" s="114">
        <v>47008518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68" s="114">
        <v>47008523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:A70" si="20">B69&amp;"_"&amp;C69</f>
        <v>47008500_47008517</v>
      </c>
      <c r="B69" s="114">
        <v>47008500</v>
      </c>
      <c r="C69" s="114">
        <v>47008517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はい…これ…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がんばって作ったの…</v>
      </c>
      <c r="F69" s="114">
        <v>47008524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0"/>
        <v>47008001_47008006</v>
      </c>
      <c r="B70" s="109">
        <v>47008001</v>
      </c>
      <c r="C70" s="109">
        <v>47008006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パティに呼ばれておるのか？ほぉ？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青パネルは確率でプロテクトされてドロップ+_x000D_解除するまで全属性の攻撃をカウンター+_x000D_全ユニットのスキルゲージを2ターン減少</v>
      </c>
      <c r="F70" s="109">
        <v>47008000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5"/>
        <v>47008001_47008007</v>
      </c>
      <c r="B71" s="109">
        <v>47008001</v>
      </c>
      <c r="C71" s="109">
        <v>47008007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おぬし！チョコ配るのを手伝うのじゃー！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青パネルは確率でプロテクトされてドロップ+_x000D_解除するまで全属性の攻撃をカウンター+_x000D_全ユニットのスキルゲージを1ターン減少</v>
      </c>
      <c r="F71" s="109">
        <v>47008001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5"/>
        <v>47008001_47008008</v>
      </c>
      <c r="B72" s="109">
        <v>47008001</v>
      </c>
      <c r="C72" s="109">
        <v>47008008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放課後じゃー！チョコを配るのじゃー！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72" s="109">
        <v>47008002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5"/>
        <v>47008001_47008003</v>
      </c>
      <c r="B73" s="109">
        <v>47008001</v>
      </c>
      <c r="C73" s="109">
        <v>47008003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儂のチョコを受け取るのじゃ！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ランダムで赤パネルに最大5個変換+単体攻撃</v>
      </c>
      <c r="F73" s="109">
        <v>47008003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5"/>
        <v>47008001_47008004</v>
      </c>
      <c r="B74" s="109">
        <v>47008001</v>
      </c>
      <c r="C74" s="109">
        <v>47008004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チョコ祭りじゃー！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4" s="109">
        <v>47008004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5"/>
        <v>47008001_47008009</v>
      </c>
      <c r="B75" s="109">
        <v>47008001</v>
      </c>
      <c r="C75" s="109">
        <v>47008009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ええいっ！いいから受け取らんか！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4000固定ダメージ</v>
      </c>
      <c r="F75" s="109">
        <v>47008005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5"/>
        <v>47008001_47008010</v>
      </c>
      <c r="B76" s="109">
        <v>47008001</v>
      </c>
      <c r="C76" s="109">
        <v>47008010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76" s="109">
        <v>47008006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5"/>
        <v>47008001_47008010</v>
      </c>
      <c r="B77" s="109">
        <v>47008001</v>
      </c>
      <c r="C77" s="109">
        <v>47008010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77" s="109">
        <v>47008007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5"/>
        <v>47008001_47008010</v>
      </c>
      <c r="B78" s="109">
        <v>47008001</v>
      </c>
      <c r="C78" s="109">
        <v>47008010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78" s="109">
        <v>47008008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5"/>
        <v>47008001_47008010</v>
      </c>
      <c r="B79" s="109">
        <v>47008001</v>
      </c>
      <c r="C79" s="109">
        <v>47008010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79" s="109">
        <v>47008009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5"/>
        <v>47008001_47008010</v>
      </c>
      <c r="B80" s="109">
        <v>47008001</v>
      </c>
      <c r="C80" s="109">
        <v>47008010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今日はみんな色気づいておるのー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青パネルは確率でプロテクトされてドロップ+_x000D_解除するまで全属性の攻撃をカウンター</v>
      </c>
      <c r="F80" s="109">
        <v>47008010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5"/>
        <v>47008101_47008100</v>
      </c>
      <c r="B81" s="110">
        <v>47008101</v>
      </c>
      <c r="C81" s="110">
        <v>47008100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……！？…嘘…何でこんなところに…？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全ユニットのボムの爆風を40%UP】</v>
      </c>
      <c r="F81" s="110">
        <v>47008100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5"/>
        <v>47008101_47008101</v>
      </c>
      <c r="B82" s="110">
        <v>47008101</v>
      </c>
      <c r="C82" s="110">
        <v>47008101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……！？…あなた…何か用？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メタトロンは何かを隠した…_x000D_【状態異常耐性+_x000D_　全ユニットのボムの爆風を20%UP】</v>
      </c>
      <c r="F82" s="110">
        <v>47008101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5"/>
        <v>47008101_47008107</v>
      </c>
      <c r="B83" s="110">
        <v>47008101</v>
      </c>
      <c r="C83" s="110">
        <v>47008107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……！？…どうかした？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83" s="110">
        <v>47008102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5"/>
        <v>47008101_47008103</v>
      </c>
      <c r="B84" s="110">
        <v>47008101</v>
      </c>
      <c r="C84" s="110">
        <v>47008103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…何か、見た？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4" s="110">
        <v>47008103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5"/>
        <v>47008101_47008104</v>
      </c>
      <c r="B85" s="110">
        <v>47008101</v>
      </c>
      <c r="C85" s="110">
        <v>47008104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…忘れて、お願い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ハートパネルプロテクト+単体攻撃</v>
      </c>
      <c r="F85" s="110">
        <v>47008104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5"/>
        <v>47008101_47008105</v>
      </c>
      <c r="B86" s="110">
        <v>47008101</v>
      </c>
      <c r="C86" s="110">
        <v>47008105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…これは…気の迷い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3ターン全ユニットのCパネル生成延長(効果特大)</v>
      </c>
      <c r="F86" s="110">
        <v>47008105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5"/>
        <v>47008101_47008108</v>
      </c>
      <c r="B87" s="110">
        <v>47008101</v>
      </c>
      <c r="C87" s="110">
        <v>47008108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87" s="110">
        <v>47008106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5"/>
        <v>47008101_47008108</v>
      </c>
      <c r="B88" s="110">
        <v>47008101</v>
      </c>
      <c r="C88" s="110">
        <v>47008108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88" s="110">
        <v>47008107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5"/>
        <v>47008101_47008108</v>
      </c>
      <c r="B89" s="110">
        <v>47008101</v>
      </c>
      <c r="C89" s="110">
        <v>47008108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89" s="110">
        <v>47008108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5"/>
        <v>47008101_47008108</v>
      </c>
      <c r="B90" s="110">
        <v>47008101</v>
      </c>
      <c r="C90" s="110">
        <v>47008108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90" s="110">
        <v>47008109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5"/>
        <v>47008101_47008108</v>
      </c>
      <c r="B91" s="110">
        <v>47008101</v>
      </c>
      <c r="C91" s="110">
        <v>47008108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……！？…みんな作ってるのね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メタトロンは何かを隠した…_x000D_【状態異常耐性】</v>
      </c>
      <c r="F91" s="110">
        <v>47008110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5"/>
        <v>47008201_47008200</v>
      </c>
      <c r="B92" s="111">
        <v>47008201</v>
      </c>
      <c r="C92" s="111">
        <v>47008200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…パティ？あぁ…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状態異常耐性+_x000D_2ターン全ユニットのタップ回数1DOWN+_x000D_7ターン種族サムライの全ユニットにスキルバインド</v>
      </c>
      <c r="F92" s="111">
        <v>47008200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5"/>
        <v>47008201_47008207</v>
      </c>
      <c r="B93" s="111">
        <v>47008201</v>
      </c>
      <c r="C93" s="111">
        <v>47008207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…あの子のこと、好き…なの？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1ターン全ユニットの攻撃力20%DOWN+単体攻撃</v>
      </c>
      <c r="F93" s="111">
        <v>47008201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5"/>
        <v>47008201_47008208</v>
      </c>
      <c r="B94" s="111">
        <v>47008201</v>
      </c>
      <c r="C94" s="111">
        <v>47008208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…恋って、楽しい？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1ターン全ユニットの攻撃力30%DOWN+単体攻撃</v>
      </c>
      <c r="F94" s="111">
        <v>47008202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5"/>
        <v>47008201_47008209</v>
      </c>
      <c r="B95" s="111">
        <v>47008201</v>
      </c>
      <c r="C95" s="111">
        <v>47008209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…難しいわね、恋って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1ターン全ユニットの攻撃力40%DOWN+単体攻撃</v>
      </c>
      <c r="F95" s="111">
        <v>47008203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5"/>
        <v>47008201_47008205</v>
      </c>
      <c r="B96" s="111">
        <v>47008201</v>
      </c>
      <c r="C96" s="111">
        <v>47008205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情愛の炎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6" s="111">
        <v>47008205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5"/>
        <v>47008201_47008206</v>
      </c>
      <c r="B97" s="111">
        <v>47008201</v>
      </c>
      <c r="C97" s="111">
        <v>47008206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…急いだ方がいいんじゃない？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97" s="111">
        <v>47008206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5"/>
        <v>47008301_47008300</v>
      </c>
      <c r="B98" s="112">
        <v>47008301</v>
      </c>
      <c r="C98" s="112">
        <v>47008300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わぁ…！[player_name]！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よかったぁ…ちゃんと会えたぁ…_x000D_【状態異常耐性+_x000D_　全ユニットのスキルゲージを4ターン減少】</v>
      </c>
      <c r="F98" s="112">
        <v>47008300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5"/>
        <v>47008301_47008301</v>
      </c>
      <c r="B99" s="112">
        <v>47008301</v>
      </c>
      <c r="C99" s="112">
        <v>47008301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わぁ…！[player_name]！_x000D_やっと会えたぁ…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99" s="112">
        <v>47008301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5"/>
        <v>47008301_47008302</v>
      </c>
      <c r="B100" s="112">
        <v>47008301</v>
      </c>
      <c r="C100" s="112">
        <v>47008302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わぁ…！見つけたぁ…！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0" s="112">
        <v>47008302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5"/>
        <v>47008301_47008308</v>
      </c>
      <c r="B101" s="112">
        <v>47008301</v>
      </c>
      <c r="C101" s="112">
        <v>47008308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いっぱい探しちゃったよ…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101" s="112">
        <v>47008303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5"/>
        <v>47008301_47008304</v>
      </c>
      <c r="B102" s="112">
        <v>47008301</v>
      </c>
      <c r="C102" s="112">
        <v>47008304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02" s="112">
        <v>47008311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ref="A103" si="21">B103&amp;"_"&amp;C103</f>
        <v>47008301_47008307</v>
      </c>
      <c r="B103" s="112">
        <v>47008301</v>
      </c>
      <c r="C103" s="112">
        <v>47008307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03" s="112">
        <v>47008304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5"/>
        <v>47008301_47008306</v>
      </c>
      <c r="B104" s="112">
        <v>47008301</v>
      </c>
      <c r="C104" s="112">
        <v>47008306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4" s="112">
        <v>47008306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5"/>
        <v>47008301_47008306</v>
      </c>
      <c r="B105" s="112">
        <v>47008301</v>
      </c>
      <c r="C105" s="112">
        <v>47008306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5" s="112">
        <v>47008307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5"/>
        <v>47008301_47008306</v>
      </c>
      <c r="B106" s="112">
        <v>47008301</v>
      </c>
      <c r="C106" s="112">
        <v>47008306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6" s="112">
        <v>47008308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5"/>
        <v>47008301_47008306</v>
      </c>
      <c r="B107" s="112">
        <v>47008301</v>
      </c>
      <c r="C107" s="112">
        <v>47008306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7" s="112">
        <v>47008309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5"/>
        <v>47008301_47008306</v>
      </c>
      <c r="B108" s="112">
        <v>47008301</v>
      </c>
      <c r="C108" s="112">
        <v>47008306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わぁ…！やっとあえたぁ…_x000D_みんなに助けてもらっちゃったよぉ…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8" s="112">
        <v>47008310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5"/>
        <v>47008401_47008400</v>
      </c>
      <c r="B109" s="113">
        <v>47008401</v>
      </c>
      <c r="C109" s="113">
        <v>47008400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なんだか照れるね…へへっ…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109" s="113">
        <v>47008400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5"/>
        <v>47008401_47008401</v>
      </c>
      <c r="B110" s="113">
        <v>47008401</v>
      </c>
      <c r="C110" s="113">
        <v>47008401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110" s="113">
        <v>47008401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5"/>
        <v>47008401_47008405</v>
      </c>
      <c r="B111" s="113">
        <v>47008401</v>
      </c>
      <c r="C111" s="113">
        <v>47008405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3000固定ダメージ</v>
      </c>
      <c r="F111" s="113">
        <v>47008402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5"/>
        <v>47008401_47008406</v>
      </c>
      <c r="B112" s="113">
        <v>47008401</v>
      </c>
      <c r="C112" s="113">
        <v>47008406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112" s="113">
        <v>47008403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5"/>
        <v>47008401_47008407</v>
      </c>
      <c r="B113" s="113">
        <v>47008401</v>
      </c>
      <c r="C113" s="113">
        <v>47008407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きてくれて…ありがとう…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113" s="113">
        <v>47008404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5"/>
        <v>47008501_47008511</v>
      </c>
      <c r="B114" s="114">
        <v>47008501</v>
      </c>
      <c r="C114" s="114">
        <v>47008511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状態異常耐性+_x000D_残りHPの80%ダメージ！+_x000D_ランダムでハートパネルに最大20個変換</v>
      </c>
      <c r="F114" s="114">
        <v>47008502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5"/>
        <v>47008501_47008523</v>
      </c>
      <c r="B115" s="114">
        <v>47008501</v>
      </c>
      <c r="C115" s="114">
        <v>47008523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115" s="114">
        <v>47008503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5"/>
        <v>47008501_47008524</v>
      </c>
      <c r="B116" s="114">
        <v>47008501</v>
      </c>
      <c r="C116" s="114">
        <v>47008524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116" s="114">
        <v>47008504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5"/>
        <v>47008501_47008525</v>
      </c>
      <c r="B117" s="114">
        <v>47008501</v>
      </c>
      <c r="C117" s="114">
        <v>47008525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17" s="114">
        <v>47008505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ref="A118" si="22">B118&amp;"_"&amp;C118</f>
        <v>47008501_47008520</v>
      </c>
      <c r="B118" s="114">
        <v>47008501</v>
      </c>
      <c r="C118" s="114">
        <v>47008520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18" s="114">
        <v>47008506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ref="A119" si="23">B119&amp;"_"&amp;C119</f>
        <v>47008501_47008522</v>
      </c>
      <c r="B119" s="114">
        <v>47008501</v>
      </c>
      <c r="C119" s="114">
        <v>47008522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19" s="114">
        <v>47008530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9" s="48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5"/>
        <v>47008501_47008513</v>
      </c>
      <c r="B120" s="114">
        <v>47008501</v>
      </c>
      <c r="C120" s="114">
        <v>47008513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120" s="114">
        <v>47008507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5"/>
        <v>47008501_47008512</v>
      </c>
      <c r="B121" s="114">
        <v>47008501</v>
      </c>
      <c r="C121" s="114">
        <v>47008512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1ターン全ユニットの攻撃力20%DOWN+単体攻撃</v>
      </c>
      <c r="F121" s="114">
        <v>47008508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5"/>
        <v>47008501_47008509</v>
      </c>
      <c r="B122" s="114">
        <v>47008501</v>
      </c>
      <c r="C122" s="114">
        <v>47008509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わたし…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122" s="114">
        <v>47008509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ref="A123:A124" si="24">B123&amp;"_"&amp;C123</f>
        <v>47008501_47008510</v>
      </c>
      <c r="B123" s="114">
        <v>47008501</v>
      </c>
      <c r="C123" s="114">
        <v>47008510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すきです…これ…あ…おとしちゃった…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23" s="114">
        <v>47008510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24"/>
        <v>47008501_47008526</v>
      </c>
      <c r="B124" s="114">
        <v>47008501</v>
      </c>
      <c r="C124" s="114">
        <v>47008526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124" s="114">
        <v>47008515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ref="A125:A132" si="25">B125&amp;"_"&amp;C125</f>
        <v>47008501_47008514</v>
      </c>
      <c r="B125" s="114">
        <v>47008501</v>
      </c>
      <c r="C125" s="114">
        <v>47008514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わたしのきもち…うけとってくれる…？</v>
      </c>
      <c r="F125" s="114">
        <v>47008514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25"/>
        <v>47008501_47008519</v>
      </c>
      <c r="B126" s="114">
        <v>47008501</v>
      </c>
      <c r="C126" s="114">
        <v>47008519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はい…これあげる…</v>
      </c>
      <c r="F126" s="114">
        <v>47008517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25"/>
        <v>47008501_47008519</v>
      </c>
      <c r="B127" s="114">
        <v>47008501</v>
      </c>
      <c r="C127" s="114">
        <v>47008519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はい…これあげる…</v>
      </c>
      <c r="F127" s="114">
        <v>47008518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25"/>
        <v>47008501_47008518</v>
      </c>
      <c r="B128" s="114">
        <v>47008501</v>
      </c>
      <c r="C128" s="114">
        <v>47008518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128" s="114">
        <v>47008519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25"/>
        <v>47008501_47008518</v>
      </c>
      <c r="B129" s="114">
        <v>47008501</v>
      </c>
      <c r="C129" s="114">
        <v>47008518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129" s="114">
        <v>47008520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25"/>
        <v>47008501_47008518</v>
      </c>
      <c r="B130" s="114">
        <v>47008501</v>
      </c>
      <c r="C130" s="114">
        <v>47008518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130" s="114">
        <v>47008521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25"/>
        <v>47008501_47008518</v>
      </c>
      <c r="B131" s="114">
        <v>47008501</v>
      </c>
      <c r="C131" s="114">
        <v>47008518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131" s="114">
        <v>47008522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25"/>
        <v>47008501_47008518</v>
      </c>
      <c r="B132" s="114">
        <v>47008501</v>
      </c>
      <c r="C132" s="114">
        <v>47008518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これ…あげる…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これからも…よろしくね…</v>
      </c>
      <c r="F132" s="114">
        <v>47008523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s="140" customFormat="1" ht="21" customHeight="1" thickBot="1" x14ac:dyDescent="0.2">
      <c r="A133" s="138" t="str">
        <f t="shared" ref="A133:A196" si="26">B133&amp;"_"&amp;C133</f>
        <v>47008501_47008517</v>
      </c>
      <c r="B133" s="123">
        <v>47008501</v>
      </c>
      <c r="C133" s="123">
        <v>47008517</v>
      </c>
      <c r="D133" s="139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はい…これ…</v>
      </c>
      <c r="E133" s="139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がんばって作ったの…</v>
      </c>
      <c r="F133" s="123">
        <v>47008524</v>
      </c>
      <c r="G133" s="12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12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3" s="12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12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12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12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12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12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3" s="12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124"/>
      <c r="Q133" s="124"/>
      <c r="R133" s="124"/>
    </row>
    <row r="134" spans="1:18" ht="21" customHeight="1" x14ac:dyDescent="0.15">
      <c r="A134" s="39" t="str">
        <f t="shared" si="26"/>
        <v>47008330_47008330</v>
      </c>
      <c r="B134" s="112">
        <v>47008330</v>
      </c>
      <c r="C134" s="112">
        <v>47008330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わぁ…！[player_name]！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またあえたね…嬉しいなぁ…♪_x000D_【状態異常耐性+_x000D_　全ユニットのスキルゲージを4ターン減少】</v>
      </c>
      <c r="F134" s="112">
        <v>47008300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26"/>
        <v>47008330_47008331</v>
      </c>
      <c r="B135" s="112">
        <v>47008330</v>
      </c>
      <c r="C135" s="112">
        <v>47008331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ふふ…♪[player_name]！_x000D_また来てくれたんだね…♪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135" s="112">
        <v>47008301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26"/>
        <v>47008330_47008332</v>
      </c>
      <c r="B136" s="112">
        <v>47008330</v>
      </c>
      <c r="C136" s="112">
        <v>47008332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会いに来てくれたんだね…♪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6" s="112">
        <v>47008302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26"/>
        <v>47008330_47008333</v>
      </c>
      <c r="B137" s="112">
        <v>47008330</v>
      </c>
      <c r="C137" s="112">
        <v>47008333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あなたが誰かと仲良くしてると_x000D_なんだかふあんになっちゃう…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137" s="112">
        <v>47008303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 t="str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48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26"/>
        <v>47008330_47008334</v>
      </c>
      <c r="B138" s="112">
        <v>47008330</v>
      </c>
      <c r="C138" s="112">
        <v>47008334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38" s="112">
        <v>47008311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8" s="48" t="str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26"/>
        <v>47008330_47008337</v>
      </c>
      <c r="B139" s="112">
        <v>47008330</v>
      </c>
      <c r="C139" s="112">
        <v>47008337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39" s="112">
        <v>47008304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 t="str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9" s="4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9" s="48" t="str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26"/>
        <v>47008330_47008335</v>
      </c>
      <c r="B140" s="112">
        <v>47008330</v>
      </c>
      <c r="C140" s="112">
        <v>47008335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あなたも探してくれてたんだね…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3ターン全ユニットの回復力100%DOWN</v>
      </c>
      <c r="F140" s="112">
        <v>47008305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0" s="48" t="str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26"/>
        <v>47008330_47008336</v>
      </c>
      <c r="B141" s="112">
        <v>47008330</v>
      </c>
      <c r="C141" s="112">
        <v>47008336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1" s="112">
        <v>47008306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26"/>
        <v>47008330_47008336</v>
      </c>
      <c r="B142" s="112">
        <v>47008330</v>
      </c>
      <c r="C142" s="112">
        <v>47008336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2" s="112">
        <v>47008307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26"/>
        <v>47008330_47008336</v>
      </c>
      <c r="B143" s="112">
        <v>47008330</v>
      </c>
      <c r="C143" s="112">
        <v>47008336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3" s="112">
        <v>47008308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26"/>
        <v>47008330_47008336</v>
      </c>
      <c r="B144" s="112">
        <v>47008330</v>
      </c>
      <c r="C144" s="112">
        <v>47008336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4" s="112">
        <v>47008309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26"/>
        <v>47008330_47008336</v>
      </c>
      <c r="B145" s="112">
        <v>47008330</v>
      </c>
      <c r="C145" s="112">
        <v>47008336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5" s="112">
        <v>47008310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26"/>
        <v>47008430_47008430</v>
      </c>
      <c r="B146" s="113">
        <v>47008430</v>
      </c>
      <c r="C146" s="113">
        <v>47008430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あなたのことを考えると…_x000D_うぅ…はずかしいな…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146" s="113">
        <v>47008400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26"/>
        <v>47008430_47008431</v>
      </c>
      <c r="B147" s="113">
        <v>47008430</v>
      </c>
      <c r="C147" s="113">
        <v>47008431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147" s="113">
        <v>47008401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 t="str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7" s="48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7" s="48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26"/>
        <v>47008430_47008432</v>
      </c>
      <c r="B148" s="113">
        <v>47008430</v>
      </c>
      <c r="C148" s="113">
        <v>47008432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148" s="113">
        <v>47008402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 t="str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8" s="48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26"/>
        <v>47008430_47008433</v>
      </c>
      <c r="B149" s="113">
        <v>47008430</v>
      </c>
      <c r="C149" s="113">
        <v>47008433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149" s="113">
        <v>47008403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8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9" s="48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26"/>
        <v>47008430_47008434</v>
      </c>
      <c r="B150" s="113">
        <v>47008430</v>
      </c>
      <c r="C150" s="113">
        <v>47008434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またきてくれて…ありがとう…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150" s="113">
        <v>47008404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48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26"/>
        <v>47008530_47008530</v>
      </c>
      <c r="B151" s="114">
        <v>47008530</v>
      </c>
      <c r="C151" s="114">
        <v>47008530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151" s="114">
        <v>47008500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8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26"/>
        <v>47008530_47008531</v>
      </c>
      <c r="B152" s="114">
        <v>47008530</v>
      </c>
      <c r="C152" s="114">
        <v>47008531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152" s="114">
        <v>47008501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26"/>
        <v>47008530_47008532</v>
      </c>
      <c r="B153" s="114">
        <v>47008530</v>
      </c>
      <c r="C153" s="114">
        <v>47008532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状態異常耐性+残りHPの99%ダメージ！+_x000D_ランダムでハートパネルに最大20個変換+_x000D_2ターン全ユニットにスキルバインド</v>
      </c>
      <c r="F153" s="114">
        <v>47008502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26"/>
        <v>47008530_47008533</v>
      </c>
      <c r="B154" s="114">
        <v>47008530</v>
      </c>
      <c r="C154" s="114">
        <v>47008533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154" s="114">
        <v>47008503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4" s="48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26"/>
        <v>47008530_47008534</v>
      </c>
      <c r="B155" s="114">
        <v>47008530</v>
      </c>
      <c r="C155" s="114">
        <v>47008534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155" s="114">
        <v>47008504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5" s="48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26"/>
        <v>47008530_47008535</v>
      </c>
      <c r="B156" s="114">
        <v>47008530</v>
      </c>
      <c r="C156" s="114">
        <v>47008535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56" s="114">
        <v>47008505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6" s="48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26"/>
        <v>47008530_47008536</v>
      </c>
      <c r="B157" s="114">
        <v>47008530</v>
      </c>
      <c r="C157" s="114">
        <v>47008536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157" s="114">
        <v>47008506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7" s="48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26"/>
        <v>47008530_47008551</v>
      </c>
      <c r="B158" s="114">
        <v>47008530</v>
      </c>
      <c r="C158" s="114">
        <v>47008551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158" s="114">
        <v>47008530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58" s="48" t="str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26"/>
        <v>47008530_47008537</v>
      </c>
      <c r="B159" s="114">
        <v>47008530</v>
      </c>
      <c r="C159" s="114">
        <v>47008537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ランダムでハートパネルに最大10個変換+_x000D_ハートパネル以外の属性パネルをプロテクト</v>
      </c>
      <c r="F159" s="114">
        <v>47008507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26"/>
        <v>47008530_47008538</v>
      </c>
      <c r="B160" s="114">
        <v>47008530</v>
      </c>
      <c r="C160" s="114">
        <v>47008538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1ターン全ユニットの攻撃力50%DOWN+単体攻撃</v>
      </c>
      <c r="F160" s="114">
        <v>47008508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26"/>
        <v>47008530_47008539</v>
      </c>
      <c r="B161" s="114">
        <v>47008530</v>
      </c>
      <c r="C161" s="114">
        <v>47008539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わたし…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161" s="114">
        <v>47008509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26"/>
        <v>47008530_47008540</v>
      </c>
      <c r="B162" s="114">
        <v>47008530</v>
      </c>
      <c r="C162" s="114">
        <v>47008540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すきです…これ…あ…おとしちゃった…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62" s="114">
        <v>47008510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26"/>
        <v>47008530_47008544</v>
      </c>
      <c r="B163" s="114">
        <v>47008530</v>
      </c>
      <c r="C163" s="114">
        <v>47008544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なんかいでも…うけとってくれる…？</v>
      </c>
      <c r="F163" s="114">
        <v>47008514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26"/>
        <v>47008530_47008545</v>
      </c>
      <c r="B164" s="114">
        <v>47008530</v>
      </c>
      <c r="C164" s="114">
        <v>47008545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164" s="114">
        <v>47008515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 t="str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4" s="4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48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26"/>
        <v>47008530_47008549</v>
      </c>
      <c r="B165" s="114">
        <v>47008530</v>
      </c>
      <c r="C165" s="114">
        <v>47008549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これ…うけとって…！</v>
      </c>
      <c r="F165" s="114">
        <v>47008517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26"/>
        <v>47008530_47008549</v>
      </c>
      <c r="B166" s="114">
        <v>47008530</v>
      </c>
      <c r="C166" s="114">
        <v>47008549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これ…うけとって…！</v>
      </c>
      <c r="F166" s="114">
        <v>47008518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26"/>
        <v>47008530_47008548</v>
      </c>
      <c r="B167" s="114">
        <v>47008530</v>
      </c>
      <c r="C167" s="114">
        <v>47008548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167" s="114">
        <v>47008519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26"/>
        <v>47008530_47008548</v>
      </c>
      <c r="B168" s="114">
        <v>47008530</v>
      </c>
      <c r="C168" s="114">
        <v>47008548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168" s="114">
        <v>47008520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26"/>
        <v>47008530_47008548</v>
      </c>
      <c r="B169" s="114">
        <v>47008530</v>
      </c>
      <c r="C169" s="114">
        <v>47008548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169" s="114">
        <v>47008521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26"/>
        <v>47008530_47008548</v>
      </c>
      <c r="B170" s="114">
        <v>47008530</v>
      </c>
      <c r="C170" s="114">
        <v>47008548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170" s="114">
        <v>47008522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26"/>
        <v>47008530_47008548</v>
      </c>
      <c r="B171" s="114">
        <v>47008530</v>
      </c>
      <c r="C171" s="114">
        <v>47008548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171" s="114">
        <v>47008523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x14ac:dyDescent="0.15">
      <c r="A172" s="39" t="str">
        <f t="shared" si="26"/>
        <v>47008530_47008547</v>
      </c>
      <c r="B172" s="114">
        <v>47008530</v>
      </c>
      <c r="C172" s="114">
        <v>47008547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はい…これ…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いちばん良くできたんだぁ…</v>
      </c>
      <c r="F172" s="114">
        <v>47008524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si="26"/>
        <v>47008331_47008330</v>
      </c>
      <c r="B173" s="112">
        <v>47008331</v>
      </c>
      <c r="C173" s="112">
        <v>47008330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わぁ…！[player_name]！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またあえたね…嬉しいなぁ…♪_x000D_【状態異常耐性+_x000D_　全ユニットのスキルゲージを4ターン減少】</v>
      </c>
      <c r="F173" s="112">
        <v>47008300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26"/>
        <v>47008331_47008331</v>
      </c>
      <c r="B174" s="112">
        <v>47008331</v>
      </c>
      <c r="C174" s="112">
        <v>47008331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ふふ…♪[player_name]！_x000D_また来てくれたんだね…♪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174" s="112">
        <v>47008301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26"/>
        <v>47008331_47008332</v>
      </c>
      <c r="B175" s="112">
        <v>47008331</v>
      </c>
      <c r="C175" s="112">
        <v>47008332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会いに来てくれたんだね…♪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5" s="112">
        <v>47008302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48" t="str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26"/>
        <v>47008331_47008338</v>
      </c>
      <c r="B176" s="112">
        <v>47008331</v>
      </c>
      <c r="C176" s="112">
        <v>47008338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あなたが誰かと仲良くしてると_x000D_なんだかふあんになっちゃう…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176" s="112">
        <v>47008303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 t="str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6" s="48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48" t="str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26"/>
        <v>47008331_47008334</v>
      </c>
      <c r="B177" s="112">
        <v>47008331</v>
      </c>
      <c r="C177" s="112">
        <v>47008334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77" s="112">
        <v>47008311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7" s="48" t="str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26"/>
        <v>47008331_47008337</v>
      </c>
      <c r="B178" s="112">
        <v>47008331</v>
      </c>
      <c r="C178" s="112">
        <v>47008337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178" s="112">
        <v>47008304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 t="str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8" s="48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8" s="48" t="str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26"/>
        <v>47008331_47008336</v>
      </c>
      <c r="B179" s="112">
        <v>47008331</v>
      </c>
      <c r="C179" s="112">
        <v>47008336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9" s="112">
        <v>47008306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26"/>
        <v>47008331_47008336</v>
      </c>
      <c r="B180" s="112">
        <v>47008331</v>
      </c>
      <c r="C180" s="112">
        <v>47008336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0" s="112">
        <v>47008307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26"/>
        <v>47008331_47008336</v>
      </c>
      <c r="B181" s="112">
        <v>47008331</v>
      </c>
      <c r="C181" s="112">
        <v>47008336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1" s="112">
        <v>47008308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26"/>
        <v>47008331_47008336</v>
      </c>
      <c r="B182" s="112">
        <v>47008331</v>
      </c>
      <c r="C182" s="112">
        <v>47008336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2" s="112">
        <v>47008309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26"/>
        <v>47008331_47008336</v>
      </c>
      <c r="B183" s="112">
        <v>47008331</v>
      </c>
      <c r="C183" s="112">
        <v>47008336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わぁ…！またあえたねぇ…_x000D_みんな優しいなぁ…♪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3" s="112">
        <v>47008310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26"/>
        <v>47008431_47008430</v>
      </c>
      <c r="B184" s="113">
        <v>47008431</v>
      </c>
      <c r="C184" s="113">
        <v>47008430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あなたのことを考えると…_x000D_うぅ…はずかしいな…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184" s="113">
        <v>47008400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48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8" t="str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26"/>
        <v>47008431_47008431</v>
      </c>
      <c r="B185" s="113">
        <v>47008431</v>
      </c>
      <c r="C185" s="113">
        <v>47008431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185" s="113">
        <v>47008401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 t="str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5" s="48" t="str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26"/>
        <v>47008431_47008435</v>
      </c>
      <c r="B186" s="113">
        <v>47008431</v>
      </c>
      <c r="C186" s="113">
        <v>47008435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3000固定ダメージ</v>
      </c>
      <c r="F186" s="113">
        <v>47008402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 t="str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6" s="48" t="str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26"/>
        <v>47008431_47008436</v>
      </c>
      <c r="B187" s="113">
        <v>47008431</v>
      </c>
      <c r="C187" s="113">
        <v>47008436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187" s="113">
        <v>47008403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7" s="48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26"/>
        <v>47008431_47008437</v>
      </c>
      <c r="B188" s="113">
        <v>47008431</v>
      </c>
      <c r="C188" s="113">
        <v>47008437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またきてくれて…ありがとう…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188" s="113">
        <v>47008404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48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26"/>
        <v>47008531_47008541</v>
      </c>
      <c r="B189" s="114">
        <v>47008531</v>
      </c>
      <c r="C189" s="114">
        <v>47008541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状態異常耐性+_x000D_残りHPの80%ダメージ！+_x000D_ランダムでハートパネルに最大20個変換</v>
      </c>
      <c r="F189" s="114">
        <v>47008502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8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26"/>
        <v>47008531_47008553</v>
      </c>
      <c r="B190" s="114">
        <v>47008531</v>
      </c>
      <c r="C190" s="114">
        <v>47008553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190" s="114">
        <v>47008503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48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26"/>
        <v>47008531_47008554</v>
      </c>
      <c r="B191" s="114">
        <v>47008531</v>
      </c>
      <c r="C191" s="114">
        <v>47008554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191" s="114">
        <v>47008504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1" s="48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26"/>
        <v>47008531_47008555</v>
      </c>
      <c r="B192" s="114">
        <v>47008531</v>
      </c>
      <c r="C192" s="114">
        <v>47008555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92" s="114">
        <v>47008505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2" s="4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2" s="48" t="str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26"/>
        <v>47008531_47008550</v>
      </c>
      <c r="B193" s="114">
        <v>47008531</v>
      </c>
      <c r="C193" s="114">
        <v>47008550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93" s="114">
        <v>47008506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48" t="str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26"/>
        <v>47008531_47008552</v>
      </c>
      <c r="B194" s="114">
        <v>47008531</v>
      </c>
      <c r="C194" s="114">
        <v>47008552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194" s="114">
        <v>47008530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94" s="48" t="str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48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26"/>
        <v>47008531_47008543</v>
      </c>
      <c r="B195" s="114">
        <v>47008531</v>
      </c>
      <c r="C195" s="114">
        <v>47008543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195" s="114">
        <v>47008507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48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26"/>
        <v>47008531_47008542</v>
      </c>
      <c r="B196" s="114">
        <v>47008531</v>
      </c>
      <c r="C196" s="114">
        <v>47008542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1ターン全ユニットの攻撃力20%DOWN+単体攻撃</v>
      </c>
      <c r="F196" s="114">
        <v>47008508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 t="str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48" t="str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ref="A197:A260" si="27">B197&amp;"_"&amp;C197</f>
        <v>47008531_47008539</v>
      </c>
      <c r="B197" s="114">
        <v>47008531</v>
      </c>
      <c r="C197" s="114">
        <v>47008539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わたし…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197" s="114">
        <v>47008509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7" s="48" t="str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27"/>
        <v>47008531_47008540</v>
      </c>
      <c r="B198" s="114">
        <v>47008531</v>
      </c>
      <c r="C198" s="114">
        <v>47008540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すきです…これ…あ…おとしちゃった…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98" s="114">
        <v>47008510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48" t="str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27"/>
        <v>47008531_47008556</v>
      </c>
      <c r="B199" s="114">
        <v>47008531</v>
      </c>
      <c r="C199" s="114">
        <v>47008556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199" s="114">
        <v>47008515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 t="str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9" s="4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48" t="str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si="27"/>
        <v>47008531_47008544</v>
      </c>
      <c r="B200" s="114">
        <v>47008531</v>
      </c>
      <c r="C200" s="114">
        <v>47008544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なんかいでも…うけとってくれる…？</v>
      </c>
      <c r="F200" s="114">
        <v>47008514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8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27"/>
        <v>47008531_47008549</v>
      </c>
      <c r="B201" s="114">
        <v>47008531</v>
      </c>
      <c r="C201" s="114">
        <v>47008549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これ…うけとって…！</v>
      </c>
      <c r="F201" s="114">
        <v>47008517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48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27"/>
        <v>47008531_47008549</v>
      </c>
      <c r="B202" s="114">
        <v>47008531</v>
      </c>
      <c r="C202" s="114">
        <v>47008549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[player_name]がすきです…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これ…うけとって…！</v>
      </c>
      <c r="F202" s="114">
        <v>47008518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48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27"/>
        <v>47008531_47008548</v>
      </c>
      <c r="B203" s="114">
        <v>47008531</v>
      </c>
      <c r="C203" s="114">
        <v>47008548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203" s="114">
        <v>47008519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48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27"/>
        <v>47008531_47008548</v>
      </c>
      <c r="B204" s="114">
        <v>47008531</v>
      </c>
      <c r="C204" s="114">
        <v>47008548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204" s="114">
        <v>47008520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48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27"/>
        <v>47008531_47008548</v>
      </c>
      <c r="B205" s="114">
        <v>47008531</v>
      </c>
      <c r="C205" s="114">
        <v>47008548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205" s="114">
        <v>47008521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48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27"/>
        <v>47008531_47008548</v>
      </c>
      <c r="B206" s="114">
        <v>47008531</v>
      </c>
      <c r="C206" s="114">
        <v>47008548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206" s="114">
        <v>47008522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48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27"/>
        <v>47008531_47008548</v>
      </c>
      <c r="B207" s="114">
        <v>47008531</v>
      </c>
      <c r="C207" s="114">
        <v>47008548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これ…たべてね…♪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もっともっと…来てほしいなぁ♪</v>
      </c>
      <c r="F207" s="114">
        <v>47008523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48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4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s="140" customFormat="1" ht="21" customHeight="1" thickBot="1" x14ac:dyDescent="0.2">
      <c r="A208" s="138" t="str">
        <f t="shared" si="27"/>
        <v>47008531_47008547</v>
      </c>
      <c r="B208" s="123">
        <v>47008531</v>
      </c>
      <c r="C208" s="123">
        <v>47008547</v>
      </c>
      <c r="D208" s="139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はい…これ…</v>
      </c>
      <c r="E208" s="139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いちばん良くできたんだぁ…</v>
      </c>
      <c r="F208" s="123">
        <v>47008524</v>
      </c>
      <c r="G208" s="12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12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8" s="12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12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12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12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8" s="128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12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08" s="12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124"/>
      <c r="Q208" s="124"/>
      <c r="R208" s="124"/>
    </row>
    <row r="209" spans="1:18" ht="21" customHeight="1" x14ac:dyDescent="0.15">
      <c r="A209" s="39" t="str">
        <f t="shared" si="27"/>
        <v>47008360_47008360</v>
      </c>
      <c r="B209" s="112">
        <v>47008360</v>
      </c>
      <c r="C209" s="112">
        <v>47008360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[player_name]…♪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ふふっ…♪もっとすきになっちゃうよ…♪_x000D_【状態異常耐性+_x000D_　全ユニットのスキルゲージを4ターン減少】</v>
      </c>
      <c r="F209" s="112">
        <v>47008300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27"/>
        <v>47008360_47008361</v>
      </c>
      <c r="B210" s="112">
        <v>47008360</v>
      </c>
      <c r="C210" s="112">
        <v>47008361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[player_name]…♪_x000D_こんなに来てくれてうれしいなぁ♪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210" s="112">
        <v>47008301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27"/>
        <v>47008360_47008362</v>
      </c>
      <c r="B211" s="112">
        <v>47008360</v>
      </c>
      <c r="C211" s="112">
        <v>47008362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ふふっ…♪_x000D_もっと一緒にいたいな…♪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1" s="112">
        <v>47008302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48" t="str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27"/>
        <v>47008360_47008363</v>
      </c>
      <c r="B212" s="112">
        <v>47008360</v>
      </c>
      <c r="C212" s="112">
        <v>47008363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あなたを見てると…_x000D_こころがぽかぽかしちゃう♪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212" s="112">
        <v>47008303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 t="str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2" s="4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2" s="48" t="str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27"/>
        <v>47008360_47008364</v>
      </c>
      <c r="B213" s="112">
        <v>47008360</v>
      </c>
      <c r="C213" s="112">
        <v>47008364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213" s="112">
        <v>47008311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3" s="48" t="str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si="27"/>
        <v>47008360_47008367</v>
      </c>
      <c r="B214" s="112">
        <v>47008360</v>
      </c>
      <c r="C214" s="112">
        <v>47008367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214" s="112">
        <v>47008304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 t="str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4" s="48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4" s="48" t="str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27"/>
        <v>47008360_47008365</v>
      </c>
      <c r="B215" s="112">
        <v>47008360</v>
      </c>
      <c r="C215" s="112">
        <v>47008365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あなたも探してくれてたんだね…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3ターン全ユニットの回復力100%DOWN</v>
      </c>
      <c r="F215" s="112">
        <v>47008305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5" s="48" t="str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27"/>
        <v>47008360_47008366</v>
      </c>
      <c r="B216" s="112">
        <v>47008360</v>
      </c>
      <c r="C216" s="112">
        <v>47008366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6" s="112">
        <v>47008306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 t="str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27"/>
        <v>47008360_47008366</v>
      </c>
      <c r="B217" s="112">
        <v>47008360</v>
      </c>
      <c r="C217" s="112">
        <v>47008366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7" s="112">
        <v>47008307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7" s="48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27"/>
        <v>47008360_47008366</v>
      </c>
      <c r="B218" s="112">
        <v>47008360</v>
      </c>
      <c r="C218" s="112">
        <v>47008366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8" s="112">
        <v>47008308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27"/>
        <v>47008360_47008366</v>
      </c>
      <c r="B219" s="112">
        <v>47008360</v>
      </c>
      <c r="C219" s="112">
        <v>47008366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9" s="112">
        <v>47008309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9" s="48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27"/>
        <v>47008360_47008366</v>
      </c>
      <c r="B220" s="112">
        <v>47008360</v>
      </c>
      <c r="C220" s="112">
        <v>47008366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20" s="112">
        <v>47008310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0" s="48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27"/>
        <v>47008460_47008460</v>
      </c>
      <c r="B221" s="113">
        <v>47008460</v>
      </c>
      <c r="C221" s="113">
        <v>47008460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わたしのきもち…_x000D_あなたにぜんぶあげたいな…♪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221" s="113">
        <v>47008400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8" t="str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27"/>
        <v>47008460_47008461</v>
      </c>
      <c r="B222" s="113">
        <v>47008460</v>
      </c>
      <c r="C222" s="113">
        <v>47008461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222" s="113">
        <v>47008401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 t="str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2" s="48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2" s="48" t="str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27"/>
        <v>47008460_47008462</v>
      </c>
      <c r="B223" s="113">
        <v>47008460</v>
      </c>
      <c r="C223" s="113">
        <v>47008462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8000固定ダメージ</v>
      </c>
      <c r="F223" s="113">
        <v>47008402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 t="str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3" s="48" t="str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27"/>
        <v>47008460_47008463</v>
      </c>
      <c r="B224" s="113">
        <v>47008460</v>
      </c>
      <c r="C224" s="113">
        <v>47008463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224" s="113">
        <v>47008403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4" s="48" t="str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27"/>
        <v>47008460_47008464</v>
      </c>
      <c r="B225" s="113">
        <v>47008460</v>
      </c>
      <c r="C225" s="113">
        <v>47008464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なんどもきてくれて…_x000D_ほんとうにありがとう…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225" s="113">
        <v>47008404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5" s="48" t="str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27"/>
        <v>47008560_47008560</v>
      </c>
      <c r="B226" s="114">
        <v>47008560</v>
      </c>
      <c r="C226" s="114">
        <v>47008560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226" s="114">
        <v>47008500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27"/>
        <v>47008560_47008561</v>
      </c>
      <c r="B227" s="114">
        <v>47008560</v>
      </c>
      <c r="C227" s="114">
        <v>47008561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状態異常耐性+_x000D_残りHPの99%ダメージ！+_x000D_ランダムでハートパネルに最大20個変換</v>
      </c>
      <c r="F227" s="114">
        <v>47008501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27"/>
        <v>47008560_47008562</v>
      </c>
      <c r="B228" s="114">
        <v>47008560</v>
      </c>
      <c r="C228" s="114">
        <v>47008562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状態異常耐性+残りHPの99%ダメージ！+_x000D_ランダムでハートパネルに最大20個変換+_x000D_2ターン全ユニットにスキルバインド</v>
      </c>
      <c r="F228" s="114">
        <v>47008502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 t="str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27"/>
        <v>47008560_47008563</v>
      </c>
      <c r="B229" s="114">
        <v>47008560</v>
      </c>
      <c r="C229" s="114">
        <v>47008563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229" s="114">
        <v>47008503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8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9" s="48" t="str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27"/>
        <v>47008560_47008564</v>
      </c>
      <c r="B230" s="114">
        <v>47008560</v>
      </c>
      <c r="C230" s="114">
        <v>47008564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230" s="114">
        <v>47008504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8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0" s="48" t="str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27"/>
        <v>47008560_47008565</v>
      </c>
      <c r="B231" s="114">
        <v>47008560</v>
      </c>
      <c r="C231" s="114">
        <v>47008565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231" s="114">
        <v>47008505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 t="str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27"/>
        <v>47008560_47008566</v>
      </c>
      <c r="B232" s="114">
        <v>47008560</v>
      </c>
      <c r="C232" s="114">
        <v>47008566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232" s="114">
        <v>47008506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2" s="48" t="str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27"/>
        <v>47008560_47008581</v>
      </c>
      <c r="B233" s="114">
        <v>47008560</v>
      </c>
      <c r="C233" s="114">
        <v>47008581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単体攻撃+残りHPの50%ダメージ！</v>
      </c>
      <c r="F233" s="114">
        <v>47008530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3" s="48" t="str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3" s="48" t="str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27"/>
        <v>47008560_47008567</v>
      </c>
      <c r="B234" s="114">
        <v>47008560</v>
      </c>
      <c r="C234" s="114">
        <v>47008567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ランダムでハートパネルに最大10個変換+_x000D_ハートパネル以外の属性パネルをプロテクト</v>
      </c>
      <c r="F234" s="114">
        <v>47008507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4" s="48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4" s="48" t="str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27"/>
        <v>47008560_47008568</v>
      </c>
      <c r="B235" s="114">
        <v>47008560</v>
      </c>
      <c r="C235" s="114">
        <v>47008568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1ターン全ユニットの攻撃力50%DOWN+単体攻撃</v>
      </c>
      <c r="F235" s="114">
        <v>47008508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 t="str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5" s="48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5" s="48" t="str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27"/>
        <v>47008560_47008569</v>
      </c>
      <c r="B236" s="114">
        <v>47008560</v>
      </c>
      <c r="C236" s="114">
        <v>47008569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わたし…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236" s="114">
        <v>47008509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6" s="48" t="str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27"/>
        <v>47008560_47008570</v>
      </c>
      <c r="B237" s="114">
        <v>47008560</v>
      </c>
      <c r="C237" s="114">
        <v>47008570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だいすきです…これ…あ…おとしちゃった…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37" s="114">
        <v>47008510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7" s="48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7" s="48" t="str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27"/>
        <v>47008560_47008574</v>
      </c>
      <c r="B238" s="114">
        <v>47008560</v>
      </c>
      <c r="C238" s="114">
        <v>47008574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[player_name]がだいすきです…！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わたしのぜんぶ…うけとって…！</v>
      </c>
      <c r="F238" s="114">
        <v>47008514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27"/>
        <v>47008560_47008575</v>
      </c>
      <c r="B239" s="114">
        <v>47008560</v>
      </c>
      <c r="C239" s="114">
        <v>47008575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239" s="114">
        <v>47008515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 t="str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9" s="48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9" s="48" t="str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27"/>
        <v>47008560_47008579</v>
      </c>
      <c r="B240" s="114">
        <v>47008560</v>
      </c>
      <c r="C240" s="114">
        <v>47008579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[player_name]がすきです…！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とくべつなチョコ…うけとって…！</v>
      </c>
      <c r="F240" s="114">
        <v>47008517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0" s="48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27"/>
        <v>47008560_47008579</v>
      </c>
      <c r="B241" s="114">
        <v>47008560</v>
      </c>
      <c r="C241" s="114">
        <v>47008579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[player_name]がすきです…！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とくべつなチョコ…うけとって…！</v>
      </c>
      <c r="F241" s="114">
        <v>47008518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1" s="48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si="27"/>
        <v>47008560_47008578</v>
      </c>
      <c r="B242" s="114">
        <v>47008560</v>
      </c>
      <c r="C242" s="114">
        <v>47008578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42" s="114">
        <v>47008519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2" s="48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8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39" t="str">
        <f t="shared" si="27"/>
        <v>47008560_47008578</v>
      </c>
      <c r="B243" s="114">
        <v>47008560</v>
      </c>
      <c r="C243" s="114">
        <v>47008578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43" s="114">
        <v>47008520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3" s="48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8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27"/>
        <v>47008560_47008578</v>
      </c>
      <c r="B244" s="114">
        <v>47008560</v>
      </c>
      <c r="C244" s="114">
        <v>47008578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44" s="114">
        <v>47008521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4" s="48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27"/>
        <v>47008560_47008578</v>
      </c>
      <c r="B245" s="114">
        <v>47008560</v>
      </c>
      <c r="C245" s="114">
        <v>47008578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45" s="114">
        <v>47008522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5" s="48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27"/>
        <v>47008560_47008578</v>
      </c>
      <c r="B246" s="114">
        <v>47008560</v>
      </c>
      <c r="C246" s="114">
        <v>47008578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46" s="114">
        <v>47008523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6" s="48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8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27"/>
        <v>47008560_47008577</v>
      </c>
      <c r="B247" s="114">
        <v>47008560</v>
      </c>
      <c r="C247" s="114">
        <v>47008577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はい…どうぞ…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これは…とくべつなの…</v>
      </c>
      <c r="F247" s="114">
        <v>47008524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7" s="48" t="str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7" s="48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27"/>
        <v>47008361_47008360</v>
      </c>
      <c r="B248" s="112">
        <v>47008361</v>
      </c>
      <c r="C248" s="112">
        <v>47008360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[player_name]…♪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ふふっ…♪もっとすきになっちゃうよ…♪_x000D_【状態異常耐性+_x000D_　全ユニットのスキルゲージを4ターン減少】</v>
      </c>
      <c r="F248" s="112">
        <v>47008300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8" s="48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8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si="27"/>
        <v>47008361_47008361</v>
      </c>
      <c r="B249" s="112">
        <v>47008361</v>
      </c>
      <c r="C249" s="112">
        <v>47008361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[player_name]…♪_x000D_こんなに来てくれてうれしいなぁ♪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</v>
      </c>
      <c r="F249" s="112">
        <v>47008301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9" s="48" t="str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9" s="48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si="27"/>
        <v>47008361_47008362</v>
      </c>
      <c r="B250" s="112">
        <v>47008361</v>
      </c>
      <c r="C250" s="112">
        <v>47008362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ふふっ…♪_x000D_もっと一緒にいたいな…♪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0" s="112">
        <v>47008302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 t="str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0" s="48" t="str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si="27"/>
        <v>47008361_47008368</v>
      </c>
      <c r="B251" s="112">
        <v>47008361</v>
      </c>
      <c r="C251" s="112">
        <v>47008368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あなたを見てると…_x000D_こころがぽかぽかしちゃう♪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251" s="112">
        <v>47008303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 t="str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1" s="48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1" s="48" t="str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27"/>
        <v>47008361_47008364</v>
      </c>
      <c r="B252" s="112">
        <v>47008361</v>
      </c>
      <c r="C252" s="112">
        <v>47008364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ごめんね…場所かき忘れちゃった…へへっ…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252" s="112">
        <v>47008311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2" s="48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2" s="48" t="str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27"/>
        <v>47008361_47008367</v>
      </c>
      <c r="B253" s="112">
        <v>47008361</v>
      </c>
      <c r="C253" s="112">
        <v>47008367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えっと…えっとね…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ランダムで青パネルに最大10個変換+単体攻撃</v>
      </c>
      <c r="F253" s="112">
        <v>47008304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 t="str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3" s="48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3" s="48" t="str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27"/>
        <v>47008361_47008366</v>
      </c>
      <c r="B254" s="112">
        <v>47008361</v>
      </c>
      <c r="C254" s="112">
        <v>47008366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4" s="112">
        <v>47008306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4" s="48" t="str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4" s="48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si="27"/>
        <v>47008361_47008366</v>
      </c>
      <c r="B255" s="112">
        <v>47008361</v>
      </c>
      <c r="C255" s="112">
        <v>47008366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5" s="112">
        <v>47008307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5" s="48" t="str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5" s="48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si="27"/>
        <v>47008361_47008366</v>
      </c>
      <c r="B256" s="112">
        <v>47008361</v>
      </c>
      <c r="C256" s="112">
        <v>47008366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6" s="112">
        <v>47008308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6" s="48" t="str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6" s="48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21" customHeight="1" x14ac:dyDescent="0.15">
      <c r="A257" s="39" t="str">
        <f t="shared" si="27"/>
        <v>47008361_47008366</v>
      </c>
      <c r="B257" s="112">
        <v>47008361</v>
      </c>
      <c r="C257" s="112">
        <v>47008366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7" s="112">
        <v>47008309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7" s="48" t="str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7" s="48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21" customHeight="1" x14ac:dyDescent="0.15">
      <c r="A258" s="39" t="str">
        <f t="shared" si="27"/>
        <v>47008361_47008366</v>
      </c>
      <c r="B258" s="112">
        <v>47008361</v>
      </c>
      <c r="C258" s="112">
        <v>47008366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また来てくれたんだね…♪_x000D_とってもうれしいなぁ♪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8" s="112">
        <v>47008310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21" customHeight="1" x14ac:dyDescent="0.15">
      <c r="A259" s="39" t="str">
        <f t="shared" si="27"/>
        <v>47008461_47008460</v>
      </c>
      <c r="B259" s="113">
        <v>47008461</v>
      </c>
      <c r="C259" s="113">
        <v>47008460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わたしのきもち…_x000D_あなたにぜんぶあげたいな…♪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状態異常耐性+_x000D_ランダムでハートパネルに最大10個変換</v>
      </c>
      <c r="F259" s="113">
        <v>47008400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9" s="48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8" t="str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21" customHeight="1" x14ac:dyDescent="0.15">
      <c r="A260" s="39" t="str">
        <f t="shared" si="27"/>
        <v>47008461_47008461</v>
      </c>
      <c r="B260" s="113">
        <v>47008461</v>
      </c>
      <c r="C260" s="113">
        <v>47008461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(ちゃんと…言えるかなぁ…)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ランダムでハートパネルに最大5個変換+単体攻撃</v>
      </c>
      <c r="F260" s="113">
        <v>47008401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 t="str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0" s="48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0" s="48" t="str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ref="A261:A283" si="28">B261&amp;"_"&amp;C261</f>
        <v>47008461_47008465</v>
      </c>
      <c r="B261" s="113">
        <v>47008461</v>
      </c>
      <c r="C261" s="113">
        <v>47008465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(びっくりするかなぁ…)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3000固定ダメージ</v>
      </c>
      <c r="F261" s="113">
        <v>47008402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 t="str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1" s="48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1" s="48" t="str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28"/>
        <v>47008461_47008466</v>
      </c>
      <c r="B262" s="113">
        <v>47008461</v>
      </c>
      <c r="C262" s="113">
        <v>47008466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じつは…だいじなお話しがあるんだぁ…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5ターンハートパネルドロップ率DOWN</v>
      </c>
      <c r="F262" s="113">
        <v>47008403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2" s="48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2" s="48" t="str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si="28"/>
        <v>47008461_47008467</v>
      </c>
      <c r="B263" s="113">
        <v>47008461</v>
      </c>
      <c r="C263" s="113">
        <v>47008467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なんどもきてくれて…_x000D_ほんとうにありがとう…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263" s="113">
        <v>47008404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3" s="48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3" s="48" t="str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si="28"/>
        <v>47008561_47008571</v>
      </c>
      <c r="B264" s="114">
        <v>47008561</v>
      </c>
      <c r="C264" s="114">
        <v>47008571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わたしのきもち…伝えるね…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状態異常耐性+_x000D_残りHPの80%ダメージ！+_x000D_ランダムでハートパネルに最大20個変換</v>
      </c>
      <c r="F264" s="114">
        <v>47008502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4" s="48" t="str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4" s="48" t="str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x14ac:dyDescent="0.15">
      <c r="A265" s="39" t="str">
        <f t="shared" si="28"/>
        <v>47008561_47008583</v>
      </c>
      <c r="B265" s="114">
        <v>47008561</v>
      </c>
      <c r="C265" s="114">
        <v>47008583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やさしくて…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単体攻撃+残りHPの20%ダメージ！</v>
      </c>
      <c r="F265" s="114">
        <v>47008503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8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5" s="48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5" s="48" t="str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21" customHeight="1" x14ac:dyDescent="0.15">
      <c r="A266" s="39" t="str">
        <f t="shared" si="28"/>
        <v>47008561_47008584</v>
      </c>
      <c r="B266" s="114">
        <v>47008561</v>
      </c>
      <c r="C266" s="114">
        <v>47008584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ドジしちゃったときは助けてくれて…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単体攻撃+残りHPの30%ダメージ！</v>
      </c>
      <c r="F266" s="114">
        <v>47008504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6" s="48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6" s="48" t="str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28"/>
        <v>47008561_47008585</v>
      </c>
      <c r="B267" s="114">
        <v>47008561</v>
      </c>
      <c r="C267" s="114">
        <v>47008585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いつもわらって許してくれて…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267" s="114">
        <v>47008505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7" s="48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7" s="48" t="str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28"/>
        <v>47008561_47008580</v>
      </c>
      <c r="B268" s="114">
        <v>47008561</v>
      </c>
      <c r="C268" s="114">
        <v>47008580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あなたといると…とっても安心するんだぁ…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268" s="114">
        <v>47008506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8" s="48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8" s="48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8" s="48" t="str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28"/>
        <v>47008561_47008582</v>
      </c>
      <c r="B269" s="114">
        <v>47008561</v>
      </c>
      <c r="C269" s="114">
        <v>47008582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(どきどき…)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単体攻撃+残りHPの40%ダメージ！</v>
      </c>
      <c r="F269" s="114">
        <v>47008530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9" s="48" t="str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9" s="48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9" s="48" t="str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28"/>
        <v>47008561_47008573</v>
      </c>
      <c r="B270" s="114">
        <v>47008561</v>
      </c>
      <c r="C270" s="114">
        <v>47008573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(がんばらなくっちゃ…！)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270" s="114">
        <v>47008507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0" s="48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0" s="48" t="str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28"/>
        <v>47008561_47008572</v>
      </c>
      <c r="B271" s="114">
        <v>47008561</v>
      </c>
      <c r="C271" s="114">
        <v>47008572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(ゆうき…ださなきゃ…！)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1ターン全ユニットの攻撃力20%DOWN+単体攻撃</v>
      </c>
      <c r="F271" s="114">
        <v>47008508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 t="str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1" s="48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1" s="48" t="str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si="28"/>
        <v>47008561_47008569</v>
      </c>
      <c r="B272" s="114">
        <v>47008561</v>
      </c>
      <c r="C272" s="114">
        <v>47008569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わたし…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次のターンに残りHPの200%ダメージ！</v>
      </c>
      <c r="F272" s="114">
        <v>47008509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2" s="48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2" s="48" t="str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28"/>
        <v>47008561_47008570</v>
      </c>
      <c r="B273" s="114">
        <v>47008561</v>
      </c>
      <c r="C273" s="114">
        <v>47008570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だいすきです…これ…あ…おとしちゃった…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73" s="114">
        <v>47008510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3" s="48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3" s="48" t="str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28"/>
        <v>47008561_47008586</v>
      </c>
      <c r="B274" s="114">
        <v>47008561</v>
      </c>
      <c r="C274" s="114">
        <v>47008586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ま…まだあるからだいじょうぶ！あっ…！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(また落としちゃった…！)</v>
      </c>
      <c r="F274" s="114">
        <v>47008515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4" s="48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 t="str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4" s="48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4" s="48" t="str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si="28"/>
        <v>47008561_47008574</v>
      </c>
      <c r="B275" s="114">
        <v>47008561</v>
      </c>
      <c r="C275" s="114">
        <v>47008574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[player_name]がだいすきです…！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わたしのぜんぶ…うけとって…！</v>
      </c>
      <c r="F275" s="114">
        <v>47008514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5" s="48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8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1362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28"/>
        <v>47008561_47008579</v>
      </c>
      <c r="B276" s="114">
        <v>47008561</v>
      </c>
      <c r="C276" s="114">
        <v>47008579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[player_name]がすきです…！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とくべつなチョコ…うけとって…！</v>
      </c>
      <c r="F276" s="114">
        <v>47008517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6" s="48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8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1360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39" t="str">
        <f t="shared" si="28"/>
        <v>47008561_47008579</v>
      </c>
      <c r="B277" s="114">
        <v>47008561</v>
      </c>
      <c r="C277" s="114">
        <v>47008579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[player_name]がすきです…！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とくべつなチョコ…うけとって…！</v>
      </c>
      <c r="F277" s="114">
        <v>47008518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7" s="48" t="str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7" s="48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1359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39" t="str">
        <f t="shared" si="28"/>
        <v>47008561_47008578</v>
      </c>
      <c r="B278" s="114">
        <v>47008561</v>
      </c>
      <c r="C278" s="114">
        <v>47008578</v>
      </c>
      <c r="D278" s="46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78" s="46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78" s="114">
        <v>47008519</v>
      </c>
      <c r="G278" s="48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8" s="48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278" s="48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8" t="str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8" s="48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8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8" s="48" t="str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8" s="48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78" s="48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7"/>
      <c r="Q278" s="47"/>
      <c r="R278" s="47"/>
    </row>
    <row r="279" spans="1:18" ht="21" customHeight="1" x14ac:dyDescent="0.15">
      <c r="A279" s="39" t="str">
        <f t="shared" si="28"/>
        <v>47008561_47008578</v>
      </c>
      <c r="B279" s="114">
        <v>47008561</v>
      </c>
      <c r="C279" s="114">
        <v>47008578</v>
      </c>
      <c r="D279" s="46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79" s="46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79" s="114">
        <v>47008520</v>
      </c>
      <c r="G279" s="48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9" s="48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279" s="48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9" s="48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8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8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9" s="48" t="str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9" s="48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79" s="48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9" s="47"/>
      <c r="Q279" s="47"/>
      <c r="R279" s="47"/>
    </row>
    <row r="280" spans="1:18" ht="21" customHeight="1" x14ac:dyDescent="0.15">
      <c r="A280" s="39" t="str">
        <f t="shared" si="28"/>
        <v>47008561_47008578</v>
      </c>
      <c r="B280" s="114">
        <v>47008561</v>
      </c>
      <c r="C280" s="114">
        <v>47008578</v>
      </c>
      <c r="D280" s="46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80" s="46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80" s="114">
        <v>47008521</v>
      </c>
      <c r="G280" s="48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0" s="48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280" s="48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8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8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8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0" s="48" t="str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0" s="48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80" s="48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7"/>
      <c r="Q280" s="47"/>
      <c r="R280" s="47"/>
    </row>
    <row r="281" spans="1:18" ht="21" customHeight="1" x14ac:dyDescent="0.15">
      <c r="A281" s="39" t="str">
        <f t="shared" si="28"/>
        <v>47008561_47008578</v>
      </c>
      <c r="B281" s="114">
        <v>47008561</v>
      </c>
      <c r="C281" s="114">
        <v>47008578</v>
      </c>
      <c r="D281" s="46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81" s="46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81" s="114">
        <v>47008522</v>
      </c>
      <c r="G281" s="48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1" s="48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281" s="48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48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48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48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1" s="48" t="str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1" s="48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81" s="48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47"/>
      <c r="Q281" s="47"/>
      <c r="R281" s="47"/>
    </row>
    <row r="282" spans="1:18" ht="21" customHeight="1" x14ac:dyDescent="0.15">
      <c r="A282" s="39" t="str">
        <f t="shared" si="28"/>
        <v>47008561_47008578</v>
      </c>
      <c r="B282" s="114">
        <v>47008561</v>
      </c>
      <c r="C282" s="114">
        <v>47008578</v>
      </c>
      <c r="D282" s="46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これ…たべて…♪　</v>
      </c>
      <c r="E282" s="46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ずーっと一緒にいたいなぁ…♪</v>
      </c>
      <c r="F282" s="114">
        <v>47008523</v>
      </c>
      <c r="G282" s="48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2" s="48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82" s="48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2" s="48" t="str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2" s="48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48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2" s="48" t="str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2" s="48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82" s="48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2" s="47"/>
      <c r="Q282" s="47"/>
      <c r="R282" s="47"/>
    </row>
    <row r="283" spans="1:18" s="140" customFormat="1" ht="21" customHeight="1" thickBot="1" x14ac:dyDescent="0.2">
      <c r="A283" s="138" t="str">
        <f t="shared" si="28"/>
        <v>47008561_47008577</v>
      </c>
      <c r="B283" s="123">
        <v>47008561</v>
      </c>
      <c r="C283" s="123">
        <v>47008577</v>
      </c>
      <c r="D283" s="139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はい…どうぞ…</v>
      </c>
      <c r="E283" s="139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これは…とくべつなの…</v>
      </c>
      <c r="F283" s="123">
        <v>47008524</v>
      </c>
      <c r="G283" s="128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3" s="128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3" s="128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3" s="128" t="str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3" s="128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128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3" s="128" t="str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3" s="128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3" s="128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3" s="124"/>
      <c r="Q283" s="124"/>
      <c r="R283" s="12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61"/>
  <sheetViews>
    <sheetView showGridLines="0" workbookViewId="0">
      <pane ySplit="1" topLeftCell="A49" activePane="bottomLeft" state="frozenSplit"/>
      <selection pane="bottomLeft" activeCell="B60" sqref="B6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5" style="49" customWidth="1"/>
    <col min="3" max="3" width="8.83203125" style="49" customWidth="1"/>
    <col min="4" max="4" width="9.1640625" style="49" customWidth="1"/>
    <col min="5" max="5" width="27.83203125" style="49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102" customHeight="1" x14ac:dyDescent="0.15">
      <c r="A2" s="109">
        <v>47008000</v>
      </c>
      <c r="B2" s="47" t="s">
        <v>409</v>
      </c>
      <c r="C2" s="50">
        <v>3</v>
      </c>
      <c r="D2" s="50" t="s">
        <v>128</v>
      </c>
      <c r="E2" s="51" t="s">
        <v>328</v>
      </c>
      <c r="F2" s="51" t="s">
        <v>463</v>
      </c>
      <c r="G2" s="64" t="str">
        <f t="shared" ref="G2:G46" si="0">IFERROR(LEFT(B2,FIND("],",B2)),B2)</f>
        <v>[effect:enemy_message, val1:1.6, val2:6.1]</v>
      </c>
      <c r="H2" s="64">
        <f t="shared" ref="H2:H46" si="1">FIND("effect:",G2)+7</f>
        <v>9</v>
      </c>
      <c r="I2" s="64">
        <f t="shared" ref="I2:I46" si="2">IFERROR(FIND(",",G2),LEN(G2))</f>
        <v>22</v>
      </c>
      <c r="J2" s="64" t="e">
        <f t="shared" ref="J2:J46" si="3">FIND("target:",G2)+7</f>
        <v>#VALUE!</v>
      </c>
      <c r="K2" s="64">
        <f t="shared" ref="K2:K46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46" si="5">IFERROR(RIGHT(B2,LEN(B2)-FIND("],",B2)-1),"none")</f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val:2],[effect:fix_speed, target:myself, turn:2]</v>
      </c>
      <c r="N2" s="48" t="str">
        <f t="shared" ref="N2:N8" si="6">IFERROR(LEFT(M2,FIND("],",M2)+S17),M2)</f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val:2],[effect:fix_speed, target:myself, turn:2]</v>
      </c>
      <c r="O2" s="64">
        <f t="shared" ref="O2:O46" si="7">FIND("effect:",N2)+7</f>
        <v>9</v>
      </c>
      <c r="P2" s="64">
        <f t="shared" ref="P2:P46" si="8">IFERROR(FIND(",",N2),LEN(N2))</f>
        <v>20</v>
      </c>
      <c r="Q2" s="64">
        <f t="shared" ref="Q2:Q46" si="9">FIND("target:",N2)+7</f>
        <v>138</v>
      </c>
      <c r="R2" s="64">
        <f t="shared" ref="R2:R46" si="10">FIND(",",N2,P2+1)</f>
        <v>29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46" si="11">IFERROR(RIGHT(M2,LEN(M2)-FIND("],",M2)-1),"none")</f>
        <v>[effect:enemy_counter, target:myself, invoke_condition:unit_all, counter_target:attacker, turn:-1, val:0.2, animation:enemy_counter],[effect:sp_boost, target:unit_all, val:2],[effect:fix_speed, target:myself, turn:2]</v>
      </c>
      <c r="U2" s="64">
        <f t="shared" ref="U2:U46" si="12">FIND("effect:",T2)+7</f>
        <v>9</v>
      </c>
      <c r="V2" s="64">
        <f t="shared" ref="V2:V46" si="13">IFERROR(FIND(",",T2),LEN(T2))</f>
        <v>22</v>
      </c>
      <c r="W2" s="64">
        <f t="shared" ref="W2:W46" si="14">FIND("target:",T2)+7</f>
        <v>31</v>
      </c>
      <c r="X2" s="64">
        <f t="shared" ref="X2:X46" si="15">FIND(",",T2,V2+1)</f>
        <v>37</v>
      </c>
      <c r="Y2" s="64" t="str">
        <f>IFERROR(VLOOKUP(MID(T2,W2,X2-W2),[6]skilldef!$C:$D,2,FALSE),"-") &amp; " / " &amp; IFERROR(VLOOKUP(MID(T2,U2,V2-U2),[6]skilldef!$A:$B,2,FALSE),"-")</f>
        <v>自分自身に / カウンター</v>
      </c>
      <c r="Z2" s="50"/>
      <c r="AA2" s="52"/>
      <c r="AB2" s="50"/>
    </row>
    <row r="3" spans="1:28" ht="62" customHeight="1" x14ac:dyDescent="0.15">
      <c r="A3" s="109">
        <v>47008001</v>
      </c>
      <c r="B3" s="47" t="s">
        <v>410</v>
      </c>
      <c r="C3" s="50">
        <v>3</v>
      </c>
      <c r="D3" s="50" t="s">
        <v>128</v>
      </c>
      <c r="E3" s="51" t="s">
        <v>350</v>
      </c>
      <c r="F3" s="51" t="s">
        <v>431</v>
      </c>
      <c r="G3" s="64" t="str">
        <f t="shared" si="0"/>
        <v>[effect:enemy_message, val1:1.9, val2:6.1]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val:1]</v>
      </c>
      <c r="N3" s="48" t="str">
        <f t="shared" si="6"/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val:1]</v>
      </c>
      <c r="O3" s="64">
        <f t="shared" si="7"/>
        <v>9</v>
      </c>
      <c r="P3" s="64">
        <f t="shared" si="8"/>
        <v>20</v>
      </c>
      <c r="Q3" s="64">
        <f t="shared" si="9"/>
        <v>138</v>
      </c>
      <c r="R3" s="64">
        <f t="shared" si="10"/>
        <v>29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[effect:enemy_counter, target:myself, invoke_condition:unit_all, counter_target:attacker, turn:-1, val:0.2, animation:enemy_counter],[effect:sp_boost, target:unit_all, val:1]</v>
      </c>
      <c r="U3" s="64">
        <f t="shared" si="12"/>
        <v>9</v>
      </c>
      <c r="V3" s="64">
        <f t="shared" si="13"/>
        <v>22</v>
      </c>
      <c r="W3" s="64">
        <f t="shared" si="14"/>
        <v>31</v>
      </c>
      <c r="X3" s="64">
        <f t="shared" si="15"/>
        <v>37</v>
      </c>
      <c r="Y3" s="64" t="str">
        <f>IFERROR(VLOOKUP(MID(T3,W3,X3-W3),[6]skilldef!$C:$D,2,FALSE),"-") &amp; " / " &amp; IFERROR(VLOOKUP(MID(T3,U3,V3-U3),[6]skilldef!$A:$B,2,FALSE),"-")</f>
        <v>自分自身に / カウンター</v>
      </c>
      <c r="Z3" s="50"/>
      <c r="AA3" s="52"/>
      <c r="AB3" s="50"/>
    </row>
    <row r="4" spans="1:28" ht="43" customHeight="1" x14ac:dyDescent="0.15">
      <c r="A4" s="109">
        <v>47008002</v>
      </c>
      <c r="B4" s="47" t="s">
        <v>411</v>
      </c>
      <c r="C4" s="50">
        <v>3</v>
      </c>
      <c r="D4" s="50" t="s">
        <v>128</v>
      </c>
      <c r="E4" s="51" t="s">
        <v>319</v>
      </c>
      <c r="F4" s="51" t="s">
        <v>432</v>
      </c>
      <c r="G4" s="64" t="str">
        <f t="shared" si="0"/>
        <v>[effect:enemy_message, val1:1.8, val2:4.0]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N4" s="48" t="str">
        <f t="shared" si="6"/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O4" s="64">
        <f t="shared" si="7"/>
        <v>9</v>
      </c>
      <c r="P4" s="64">
        <f t="shared" si="8"/>
        <v>20</v>
      </c>
      <c r="Q4" s="64">
        <f t="shared" si="9"/>
        <v>138</v>
      </c>
      <c r="R4" s="64">
        <f t="shared" si="10"/>
        <v>29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[effect:enemy_counter, target:myself, invoke_condition:unit_all, counter_target:attacker, turn:-1, val:0.2, animation:enemy_counter]</v>
      </c>
      <c r="U4" s="64">
        <f t="shared" si="12"/>
        <v>9</v>
      </c>
      <c r="V4" s="64">
        <f t="shared" si="13"/>
        <v>22</v>
      </c>
      <c r="W4" s="64">
        <f t="shared" si="14"/>
        <v>31</v>
      </c>
      <c r="X4" s="64">
        <f t="shared" si="15"/>
        <v>37</v>
      </c>
      <c r="Y4" s="64" t="str">
        <f>IFERROR(VLOOKUP(MID(T4,W4,X4-W4),[6]skilldef!$C:$D,2,FALSE),"-") &amp; " / " &amp; IFERROR(VLOOKUP(MID(T4,U4,V4-U4),[6]skilldef!$A:$B,2,FALSE),"-")</f>
        <v>自分自身に / カウンター</v>
      </c>
      <c r="Z4" s="50"/>
      <c r="AA4" s="52"/>
      <c r="AB4" s="50"/>
    </row>
    <row r="5" spans="1:28" ht="21" customHeight="1" x14ac:dyDescent="0.15">
      <c r="A5" s="109">
        <v>47008003</v>
      </c>
      <c r="B5" s="47" t="s">
        <v>442</v>
      </c>
      <c r="C5" s="50">
        <v>3</v>
      </c>
      <c r="D5" s="50" t="s">
        <v>128</v>
      </c>
      <c r="E5" s="51" t="s">
        <v>282</v>
      </c>
      <c r="F5" s="51" t="s">
        <v>429</v>
      </c>
      <c r="G5" s="64" t="str">
        <f t="shared" si="0"/>
        <v>[effect:enemy_message, val1:1.4, val2:2.1]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[effect:force_change_block, new_block:block_red, target:block_all, ignore01:block_red, ignore02:crash, ignore03:crack_bomb, ignore04:color_break, ignore05:magnet, count:5, val:0, animation:change_block],[effect:critical, val:1]</v>
      </c>
      <c r="N5" s="48" t="str">
        <f t="shared" si="6"/>
        <v>[effect:force_change_block, new_block:block_red, target:block_all, ignore01:block_red, ignore02:crash, ignore03:crack_bomb, ignore04:color_break, ignore05:magnet, count:5, val:0, animation:change_block],[effect:critical, val:1]</v>
      </c>
      <c r="O5" s="64">
        <f t="shared" si="7"/>
        <v>9</v>
      </c>
      <c r="P5" s="64">
        <f t="shared" si="8"/>
        <v>27</v>
      </c>
      <c r="Q5" s="64">
        <f t="shared" si="9"/>
        <v>57</v>
      </c>
      <c r="R5" s="64">
        <f t="shared" si="10"/>
        <v>48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[effect:critical, val:1]</v>
      </c>
      <c r="U5" s="64">
        <f t="shared" si="12"/>
        <v>9</v>
      </c>
      <c r="V5" s="64">
        <f t="shared" si="13"/>
        <v>17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大攻撃</v>
      </c>
      <c r="Z5" s="50"/>
      <c r="AA5" s="52"/>
      <c r="AB5" s="50"/>
    </row>
    <row r="6" spans="1:28" ht="21" customHeight="1" x14ac:dyDescent="0.15">
      <c r="A6" s="109">
        <v>47008004</v>
      </c>
      <c r="B6" s="47" t="s">
        <v>332</v>
      </c>
      <c r="C6" s="50">
        <v>3</v>
      </c>
      <c r="D6" s="50" t="s">
        <v>128</v>
      </c>
      <c r="E6" s="51" t="s">
        <v>320</v>
      </c>
      <c r="F6" s="51" t="s">
        <v>261</v>
      </c>
      <c r="G6" s="64" t="str">
        <f t="shared" si="0"/>
        <v>[effect:enemy_message, val1:1.2, val2:1.2]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[effect:spread, val:0.3]</v>
      </c>
      <c r="N6" s="48" t="str">
        <f t="shared" si="6"/>
        <v>[effect:spread, val:0.3]</v>
      </c>
      <c r="O6" s="64">
        <f t="shared" si="7"/>
        <v>9</v>
      </c>
      <c r="P6" s="64">
        <f t="shared" si="8"/>
        <v>15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全体攻撃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9">
        <v>47008005</v>
      </c>
      <c r="B7" s="47" t="s">
        <v>443</v>
      </c>
      <c r="C7" s="50">
        <v>3</v>
      </c>
      <c r="D7" s="50" t="s">
        <v>128</v>
      </c>
      <c r="E7" s="51" t="s">
        <v>284</v>
      </c>
      <c r="F7" s="51" t="s">
        <v>434</v>
      </c>
      <c r="G7" s="64" t="str">
        <f t="shared" si="0"/>
        <v>[effect:enemy_message, val1:1.6, val2:1.2]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[effect:damage_fix_absolute, target:unit_one, val:8000]</v>
      </c>
      <c r="N7" s="48" t="str">
        <f t="shared" si="6"/>
        <v>[effect:damage_fix_absolute, target:unit_one, val:8000]</v>
      </c>
      <c r="O7" s="64">
        <f t="shared" si="7"/>
        <v>9</v>
      </c>
      <c r="P7" s="64">
        <f t="shared" si="8"/>
        <v>28</v>
      </c>
      <c r="Q7" s="64">
        <f t="shared" si="9"/>
        <v>37</v>
      </c>
      <c r="R7" s="64">
        <f t="shared" si="10"/>
        <v>45</v>
      </c>
      <c r="S7" s="64" t="str">
        <f>IFERROR(VLOOKUP(MID(N7,Q7,R7-Q7),[6]skilldef!$C:$D,2,FALSE),"-") &amp; " / " &amp; IFERROR(VLOOKUP(MID(N7,O7,P7-O7),[6]skilldef!$A:$B,2,FALSE),"-")</f>
        <v>味方単体に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43" customHeight="1" x14ac:dyDescent="0.15">
      <c r="A8" s="109">
        <v>47008010</v>
      </c>
      <c r="B8" s="47" t="s">
        <v>568</v>
      </c>
      <c r="C8" s="50">
        <v>3</v>
      </c>
      <c r="D8" s="50" t="s">
        <v>128</v>
      </c>
      <c r="E8" s="51" t="s">
        <v>321</v>
      </c>
      <c r="F8" s="51" t="s">
        <v>432</v>
      </c>
      <c r="G8" s="64" t="str">
        <f t="shared" ref="G8" si="16">IFERROR(LEFT(B8,FIND("],",B8)),B8)</f>
        <v>[effect:enemy_message, val1:1.5, val2:4.0]</v>
      </c>
      <c r="H8" s="64">
        <f t="shared" ref="H8" si="17">FIND("effect:",G8)+7</f>
        <v>9</v>
      </c>
      <c r="I8" s="64">
        <f t="shared" ref="I8" si="18">IFERROR(FIND(",",G8),LEN(G8))</f>
        <v>22</v>
      </c>
      <c r="J8" s="64" t="e">
        <f t="shared" ref="J8" si="19">FIND("target:",G8)+7</f>
        <v>#VALUE!</v>
      </c>
      <c r="K8" s="64">
        <f t="shared" ref="K8" si="20">FIND(",",G8,I8+1)</f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ref="M8" si="21">IFERROR(RIGHT(B8,LEN(B8)-FIND("],",B8)-1),"none")</f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N8" s="48" t="str">
        <f t="shared" si="6"/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O8" s="64">
        <f t="shared" ref="O8" si="22">FIND("effect:",N8)+7</f>
        <v>9</v>
      </c>
      <c r="P8" s="64">
        <f t="shared" ref="P8" si="23">IFERROR(FIND(",",N8),LEN(N8))</f>
        <v>20</v>
      </c>
      <c r="Q8" s="64">
        <f t="shared" ref="Q8" si="24">FIND("target:",N8)+7</f>
        <v>138</v>
      </c>
      <c r="R8" s="64">
        <f t="shared" ref="R8" si="25">FIND(",",N8,P8+1)</f>
        <v>29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ref="T8" si="26">IFERROR(RIGHT(M8,LEN(M8)-FIND("],",M8)-1),"none")</f>
        <v>[effect:enemy_counter, target:myself, invoke_condition:unit_all, counter_target:attacker, turn:-1, val:0.2, animation:enemy_counter]</v>
      </c>
      <c r="U8" s="64">
        <f t="shared" ref="U8" si="27">FIND("effect:",T8)+7</f>
        <v>9</v>
      </c>
      <c r="V8" s="64">
        <f t="shared" ref="V8" si="28">IFERROR(FIND(",",T8),LEN(T8))</f>
        <v>22</v>
      </c>
      <c r="W8" s="64">
        <f t="shared" ref="W8" si="29">FIND("target:",T8)+7</f>
        <v>31</v>
      </c>
      <c r="X8" s="64">
        <f t="shared" ref="X8" si="30">FIND(",",T8,V8+1)</f>
        <v>37</v>
      </c>
      <c r="Y8" s="64" t="str">
        <f>IFERROR(VLOOKUP(MID(T8,W8,X8-W8),[6]skilldef!$C:$D,2,FALSE),"-") &amp; " / " &amp; IFERROR(VLOOKUP(MID(T8,U8,V8-U8),[6]skilldef!$A:$B,2,FALSE),"-")</f>
        <v>自分自身に / カウンター</v>
      </c>
      <c r="Z8" s="50"/>
      <c r="AA8" s="52"/>
      <c r="AB8" s="50"/>
    </row>
    <row r="9" spans="1:28" ht="41" customHeight="1" x14ac:dyDescent="0.15">
      <c r="A9" s="110">
        <v>47008100</v>
      </c>
      <c r="B9" s="47" t="s">
        <v>398</v>
      </c>
      <c r="C9" s="50">
        <v>3</v>
      </c>
      <c r="D9" s="50" t="s">
        <v>128</v>
      </c>
      <c r="E9" s="51" t="s">
        <v>387</v>
      </c>
      <c r="F9" s="51" t="s">
        <v>378</v>
      </c>
      <c r="G9" s="64" t="str">
        <f t="shared" si="0"/>
        <v>[effect:enemy_message, val1:1.8, val2:4.2]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>[effect:change_bomb_range, target:unit_all, val:1.4, rate:1, turn:-1, animation:bomb_big],[effect:fix_speed, target:myself, turn:2],[effect:tolerance, target:myself, turn:-1, count:-1, tolerance_effect:all, animation:enemy_tolerance]</v>
      </c>
      <c r="N9" s="48" t="str">
        <f>IFERROR(LEFT(M9,FIND("],",M9)+S22),M9)</f>
        <v>[effect:change_bomb_range, target:unit_all, val:1.4, rate:1, turn:-1, animation:bomb_big],[effect:fix_speed, target:myself, turn:2],[effect:tolerance, target:myself, turn:-1, count:-1, tolerance_effect:all, animation:enemy_tolerance]</v>
      </c>
      <c r="O9" s="64">
        <f t="shared" si="7"/>
        <v>9</v>
      </c>
      <c r="P9" s="64">
        <f t="shared" si="8"/>
        <v>26</v>
      </c>
      <c r="Q9" s="64">
        <f t="shared" si="9"/>
        <v>35</v>
      </c>
      <c r="R9" s="64">
        <f t="shared" si="10"/>
        <v>43</v>
      </c>
      <c r="S9" s="64" t="str">
        <f>IFERROR(VLOOKUP(MID(N9,Q9,R9-Q9),[6]skilldef!$C:$D,2,FALSE),"-") &amp; " / " &amp; IFERROR(VLOOKUP(MID(N9,O9,P9-O9),[6]skilldef!$A:$B,2,FALSE),"-")</f>
        <v>味方全体に / -</v>
      </c>
      <c r="T9" s="48" t="str">
        <f t="shared" si="11"/>
        <v>[effect:fix_speed, target:myself, turn:2],[effect:tolerance, target:myself, turn:-1, count:-1, tolerance_effect:all, animation:enemy_tolerance]</v>
      </c>
      <c r="U9" s="64">
        <f t="shared" si="12"/>
        <v>9</v>
      </c>
      <c r="V9" s="64">
        <f t="shared" si="13"/>
        <v>18</v>
      </c>
      <c r="W9" s="64">
        <f t="shared" si="14"/>
        <v>27</v>
      </c>
      <c r="X9" s="64">
        <f t="shared" si="15"/>
        <v>33</v>
      </c>
      <c r="Y9" s="64" t="str">
        <f>IFERROR(VLOOKUP(MID(T9,W9,X9-W9),[6]skilldef!$C:$D,2,FALSE),"-") &amp; " / " &amp; IFERROR(VLOOKUP(MID(T9,U9,V9-U9),[6]skilldef!$A:$B,2,FALSE),"-")</f>
        <v>自分自身に / 行動値設定</v>
      </c>
      <c r="Z9" s="50"/>
      <c r="AA9" s="52"/>
      <c r="AB9" s="50"/>
    </row>
    <row r="10" spans="1:28" ht="60" customHeight="1" x14ac:dyDescent="0.15">
      <c r="A10" s="110">
        <v>47008101</v>
      </c>
      <c r="B10" s="47" t="s">
        <v>399</v>
      </c>
      <c r="C10" s="50">
        <v>3</v>
      </c>
      <c r="D10" s="50" t="s">
        <v>128</v>
      </c>
      <c r="E10" s="51" t="s">
        <v>329</v>
      </c>
      <c r="F10" s="51" t="s">
        <v>380</v>
      </c>
      <c r="G10" s="64" t="str">
        <f t="shared" ref="G10" si="31">IFERROR(LEFT(B10,FIND("],",B10)),B10)</f>
        <v>[effect:enemy_message, val1:1.3, val2:4.2]</v>
      </c>
      <c r="H10" s="64">
        <f t="shared" ref="H10" si="32">FIND("effect:",G10)+7</f>
        <v>9</v>
      </c>
      <c r="I10" s="64">
        <f t="shared" ref="I10" si="33">IFERROR(FIND(",",G10),LEN(G10))</f>
        <v>22</v>
      </c>
      <c r="J10" s="64" t="e">
        <f t="shared" ref="J10" si="34">FIND("target:",G10)+7</f>
        <v>#VALUE!</v>
      </c>
      <c r="K10" s="64">
        <f t="shared" ref="K10" si="35">FIND(",",G10,I10+1)</f>
        <v>32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ref="M10" si="36">IFERROR(RIGHT(B10,LEN(B10)-FIND("],",B10)-1),"none")</f>
        <v>[effect:change_bomb_range, target:unit_all, val:1.2, rate:1, turn:-1, animation:bomb_big],[effect:fix_speed, target:myself, turn:2],[effect:tolerance, target:myself, turn:-1, count:-1, tolerance_effect:all, animation:enemy_tolerance]</v>
      </c>
      <c r="N10" s="48" t="str">
        <f>IFERROR(LEFT(M10,FIND("],",M10)+S23),M10)</f>
        <v>[effect:change_bomb_range, target:unit_all, val:1.2, rate:1, turn:-1, animation:bomb_big],[effect:fix_speed, target:myself, turn:2],[effect:tolerance, target:myself, turn:-1, count:-1, tolerance_effect:all, animation:enemy_tolerance]</v>
      </c>
      <c r="O10" s="64">
        <f t="shared" ref="O10" si="37">FIND("effect:",N10)+7</f>
        <v>9</v>
      </c>
      <c r="P10" s="64">
        <f t="shared" ref="P10" si="38">IFERROR(FIND(",",N10),LEN(N10))</f>
        <v>26</v>
      </c>
      <c r="Q10" s="64">
        <f t="shared" ref="Q10" si="39">FIND("target:",N10)+7</f>
        <v>35</v>
      </c>
      <c r="R10" s="64">
        <f t="shared" ref="R10" si="40">FIND(",",N10,P10+1)</f>
        <v>43</v>
      </c>
      <c r="S10" s="64" t="str">
        <f>IFERROR(VLOOKUP(MID(N10,Q10,R10-Q10),[6]skilldef!$C:$D,2,FALSE),"-") &amp; " / " &amp; IFERROR(VLOOKUP(MID(N10,O10,P10-O10),[6]skilldef!$A:$B,2,FALSE),"-")</f>
        <v>味方全体に / -</v>
      </c>
      <c r="T10" s="48" t="str">
        <f t="shared" ref="T10" si="41">IFERROR(RIGHT(M10,LEN(M10)-FIND("],",M10)-1),"none")</f>
        <v>[effect:fix_speed, target:myself, turn:2],[effect:tolerance, target:myself, turn:-1, count:-1, tolerance_effect:all, animation:enemy_tolerance]</v>
      </c>
      <c r="U10" s="64">
        <f t="shared" ref="U10" si="42">FIND("effect:",T10)+7</f>
        <v>9</v>
      </c>
      <c r="V10" s="64">
        <f t="shared" ref="V10" si="43">IFERROR(FIND(",",T10),LEN(T10))</f>
        <v>18</v>
      </c>
      <c r="W10" s="64">
        <f t="shared" ref="W10" si="44">FIND("target:",T10)+7</f>
        <v>27</v>
      </c>
      <c r="X10" s="64">
        <f t="shared" ref="X10" si="45">FIND(",",T10,V10+1)</f>
        <v>33</v>
      </c>
      <c r="Y10" s="64" t="str">
        <f>IFERROR(VLOOKUP(MID(T10,W10,X10-W10),[6]skilldef!$C:$D,2,FALSE),"-") &amp; " / " &amp; IFERROR(VLOOKUP(MID(T10,U10,V10-U10),[6]skilldef!$A:$B,2,FALSE),"-")</f>
        <v>自分自身に / 行動値設定</v>
      </c>
      <c r="Z10" s="50"/>
      <c r="AA10" s="52"/>
      <c r="AB10" s="50"/>
    </row>
    <row r="11" spans="1:28" ht="65" customHeight="1" x14ac:dyDescent="0.15">
      <c r="A11" s="110">
        <v>47008102</v>
      </c>
      <c r="B11" s="47" t="s">
        <v>400</v>
      </c>
      <c r="C11" s="50">
        <v>3</v>
      </c>
      <c r="D11" s="50" t="s">
        <v>128</v>
      </c>
      <c r="E11" s="51" t="s">
        <v>389</v>
      </c>
      <c r="F11" s="51" t="s">
        <v>379</v>
      </c>
      <c r="G11" s="64" t="str">
        <f t="shared" ref="G11" si="46">IFERROR(LEFT(B11,FIND("],",B11)),B11)</f>
        <v>[effect:enemy_message, val1:1.2, val2:4.9]</v>
      </c>
      <c r="H11" s="64">
        <f t="shared" ref="H11" si="47">FIND("effect:",G11)+7</f>
        <v>9</v>
      </c>
      <c r="I11" s="64">
        <f t="shared" ref="I11" si="48">IFERROR(FIND(",",G11),LEN(G11))</f>
        <v>22</v>
      </c>
      <c r="J11" s="64" t="e">
        <f t="shared" ref="J11" si="49">FIND("target:",G11)+7</f>
        <v>#VALUE!</v>
      </c>
      <c r="K11" s="64">
        <f t="shared" ref="K11" si="50">FIND(",",G11,I11+1)</f>
        <v>32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ref="M11" si="51">IFERROR(RIGHT(B11,LEN(B11)-FIND("],",B11)-1),"none")</f>
        <v>[effect:change_bomb_range, target:unit_all, val:0, rate:1, turn:5, animation:bomb_small],[effect:fix_speed, target:myself, turn:2],[effect:tolerance, target:myself, turn:-1, count:-1, tolerance_effect:all, animation:enemy_tolerance]</v>
      </c>
      <c r="N11" s="48" t="str">
        <f>IFERROR(LEFT(M11,FIND("],",M11)+S24),M11)</f>
        <v>[effect:change_bomb_range, target:unit_all, val:0, rate:1, turn:5, animation:bomb_small],[effect:fix_speed, target:myself, turn:2],[effect:tolerance, target:myself, turn:-1, count:-1, tolerance_effect:all, animation:enemy_tolerance]</v>
      </c>
      <c r="O11" s="64">
        <f t="shared" ref="O11" si="52">FIND("effect:",N11)+7</f>
        <v>9</v>
      </c>
      <c r="P11" s="64">
        <f t="shared" ref="P11" si="53">IFERROR(FIND(",",N11),LEN(N11))</f>
        <v>26</v>
      </c>
      <c r="Q11" s="64">
        <f t="shared" ref="Q11" si="54">FIND("target:",N11)+7</f>
        <v>35</v>
      </c>
      <c r="R11" s="64">
        <f t="shared" ref="R11" si="55">FIND(",",N11,P11+1)</f>
        <v>43</v>
      </c>
      <c r="S11" s="64" t="str">
        <f>IFERROR(VLOOKUP(MID(N11,Q11,R11-Q11),[6]skilldef!$C:$D,2,FALSE),"-") &amp; " / " &amp; IFERROR(VLOOKUP(MID(N11,O11,P11-O11),[6]skilldef!$A:$B,2,FALSE),"-")</f>
        <v>味方全体に / -</v>
      </c>
      <c r="T11" s="48" t="str">
        <f t="shared" ref="T11" si="56">IFERROR(RIGHT(M11,LEN(M11)-FIND("],",M11)-1),"none")</f>
        <v>[effect:fix_speed, target:myself, turn:2],[effect:tolerance, target:myself, turn:-1, count:-1, tolerance_effect:all, animation:enemy_tolerance]</v>
      </c>
      <c r="U11" s="64">
        <f t="shared" ref="U11" si="57">FIND("effect:",T11)+7</f>
        <v>9</v>
      </c>
      <c r="V11" s="64">
        <f t="shared" ref="V11" si="58">IFERROR(FIND(",",T11),LEN(T11))</f>
        <v>18</v>
      </c>
      <c r="W11" s="64">
        <f t="shared" ref="W11" si="59">FIND("target:",T11)+7</f>
        <v>27</v>
      </c>
      <c r="X11" s="64">
        <f t="shared" ref="X11" si="60">FIND(",",T11,V11+1)</f>
        <v>33</v>
      </c>
      <c r="Y11" s="64" t="str">
        <f>IFERROR(VLOOKUP(MID(T11,W11,X11-W11),[6]skilldef!$C:$D,2,FALSE),"-") &amp; " / " &amp; IFERROR(VLOOKUP(MID(T11,U11,V11-U11),[6]skilldef!$A:$B,2,FALSE),"-")</f>
        <v>自分自身に / 行動値設定</v>
      </c>
      <c r="Z11" s="50"/>
      <c r="AA11" s="52"/>
      <c r="AB11" s="50"/>
    </row>
    <row r="12" spans="1:28" ht="21" customHeight="1" x14ac:dyDescent="0.15">
      <c r="A12" s="110">
        <v>47008103</v>
      </c>
      <c r="B12" s="47" t="s">
        <v>333</v>
      </c>
      <c r="C12" s="50">
        <v>3</v>
      </c>
      <c r="D12" s="50" t="s">
        <v>128</v>
      </c>
      <c r="E12" s="51" t="s">
        <v>310</v>
      </c>
      <c r="F12" s="51" t="s">
        <v>283</v>
      </c>
      <c r="G12" s="64" t="str">
        <f t="shared" si="0"/>
        <v>[effect:enemy_message, val1:1.2, val2:1.2]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[effect:critical, val:1.1, animation:enemy_critical]</v>
      </c>
      <c r="N12" s="48" t="str">
        <f>IFERROR(LEFT(M12,FIND("],",M12)+S23),M12)</f>
        <v>[effect:critical, val:1.1, animation:enemy_critical]</v>
      </c>
      <c r="O12" s="64">
        <f t="shared" si="7"/>
        <v>9</v>
      </c>
      <c r="P12" s="64">
        <f t="shared" si="8"/>
        <v>17</v>
      </c>
      <c r="Q12" s="64" t="e">
        <f t="shared" si="9"/>
        <v>#VALUE!</v>
      </c>
      <c r="R12" s="64">
        <f t="shared" si="10"/>
        <v>26</v>
      </c>
      <c r="S12" s="64" t="str">
        <f>IFERROR(VLOOKUP(MID(N12,Q12,R12-Q12),[6]skilldef!$C:$D,2,FALSE),"-") &amp; " / " &amp; IFERROR(VLOOKUP(MID(N12,O12,P12-O12),[6]skilldef!$A:$B,2,FALSE),"-")</f>
        <v>- / 大攻撃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10">
        <v>47008104</v>
      </c>
      <c r="B13" s="47" t="s">
        <v>334</v>
      </c>
      <c r="C13" s="50">
        <v>3</v>
      </c>
      <c r="D13" s="50" t="s">
        <v>128</v>
      </c>
      <c r="E13" s="51" t="s">
        <v>318</v>
      </c>
      <c r="F13" s="51" t="s">
        <v>263</v>
      </c>
      <c r="G13" s="64" t="str">
        <f t="shared" si="0"/>
        <v>[effect:enemy_message, val1:1.2, val2:1.6]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[effect:panel_freeze, target:block_heart, count:-1],[effect:critical, val:0.8]</v>
      </c>
      <c r="N13" s="48" t="str">
        <f>IFERROR(LEFT(M13,FIND("],",M13)+S24),M13)</f>
        <v>[effect:panel_freeze, target:block_heart, count:-1],[effect:critical, val:0.8]</v>
      </c>
      <c r="O13" s="64">
        <f t="shared" si="7"/>
        <v>9</v>
      </c>
      <c r="P13" s="64">
        <f t="shared" si="8"/>
        <v>21</v>
      </c>
      <c r="Q13" s="64">
        <f t="shared" si="9"/>
        <v>30</v>
      </c>
      <c r="R13" s="64">
        <f t="shared" si="10"/>
        <v>41</v>
      </c>
      <c r="S13" s="64" t="str">
        <f>IFERROR(VLOOKUP(MID(N13,Q13,R13-Q13),[6]skilldef!$C:$D,2,FALSE),"-") &amp; " / " &amp; IFERROR(VLOOKUP(MID(N13,O13,P13-O13),[6]skilldef!$A:$B,2,FALSE),"-")</f>
        <v>ハートパネルを / -</v>
      </c>
      <c r="T13" s="48" t="str">
        <f t="shared" si="11"/>
        <v>[effect:critical, val:0.8]</v>
      </c>
      <c r="U13" s="64">
        <f t="shared" si="12"/>
        <v>9</v>
      </c>
      <c r="V13" s="64">
        <f t="shared" si="13"/>
        <v>17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大攻撃</v>
      </c>
      <c r="Z13" s="50"/>
      <c r="AA13" s="52"/>
      <c r="AB13" s="50"/>
    </row>
    <row r="14" spans="1:28" ht="21" customHeight="1" x14ac:dyDescent="0.15">
      <c r="A14" s="110">
        <v>47008105</v>
      </c>
      <c r="B14" s="47" t="s">
        <v>401</v>
      </c>
      <c r="C14" s="50">
        <v>3</v>
      </c>
      <c r="D14" s="50" t="s">
        <v>128</v>
      </c>
      <c r="E14" s="51" t="s">
        <v>326</v>
      </c>
      <c r="F14" s="51" t="s">
        <v>355</v>
      </c>
      <c r="G14" s="64" t="str">
        <f t="shared" si="0"/>
        <v>[effect:enemy_message, val1:1.2, val2:2.4]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[effect:crash_condition, target:unit_all, turn:3, val:4, animation:enemy_crash_extend]</v>
      </c>
      <c r="N14" s="48" t="str">
        <f>IFERROR(LEFT(M14,FIND("],",M14)+S25),M14)</f>
        <v>[effect:crash_condition, target:unit_all, turn:3, val:4, animation:enemy_crash_extend]</v>
      </c>
      <c r="O14" s="64">
        <f t="shared" si="7"/>
        <v>9</v>
      </c>
      <c r="P14" s="64">
        <f t="shared" si="8"/>
        <v>24</v>
      </c>
      <c r="Q14" s="64">
        <f t="shared" si="9"/>
        <v>33</v>
      </c>
      <c r="R14" s="64">
        <f t="shared" si="10"/>
        <v>41</v>
      </c>
      <c r="S14" s="64" t="str">
        <f>IFERROR(VLOOKUP(MID(N14,Q14,R14-Q14),[6]skilldef!$C:$D,2,FALSE),"-") &amp; " / " &amp; IFERROR(VLOOKUP(MID(N14,O14,P14-O14),[6]skilldef!$A:$B,2,FALSE),"-")</f>
        <v>味方全体に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62" customHeight="1" x14ac:dyDescent="0.15">
      <c r="A15" s="110">
        <v>47008106</v>
      </c>
      <c r="B15" s="47" t="s">
        <v>535</v>
      </c>
      <c r="C15" s="50">
        <v>3</v>
      </c>
      <c r="D15" s="50" t="s">
        <v>128</v>
      </c>
      <c r="E15" s="51" t="s">
        <v>390</v>
      </c>
      <c r="F15" s="51" t="s">
        <v>460</v>
      </c>
      <c r="G15" s="64" t="str">
        <f t="shared" si="0"/>
        <v>[effect:enemy_message, val1:1.4, val2:4.9]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[effect:change_bomb_range, target:unit_all, val:0, rate:1, turn:5, animation:bomb_small],[effect:fix_speed, target:myself, turn:2],[effect:tolerance, target:myself, turn:-1, count:-1, tolerance_effect:all, animation:enemy_tolerance]</v>
      </c>
      <c r="N15" s="48" t="str">
        <f>IFERROR(LEFT(M15,FIND("],",M15)+S28),M15)</f>
        <v>[effect:change_bomb_range, target:unit_all, val:0, rate:1, turn:5, animation:bomb_small],[effect:fix_speed, target:myself, turn:2],[effect:tolerance, target:myself, turn:-1, count:-1, tolerance_effect:all, animation:enemy_tolerance]</v>
      </c>
      <c r="O15" s="64">
        <f t="shared" si="7"/>
        <v>9</v>
      </c>
      <c r="P15" s="64">
        <f t="shared" si="8"/>
        <v>26</v>
      </c>
      <c r="Q15" s="64">
        <f t="shared" si="9"/>
        <v>35</v>
      </c>
      <c r="R15" s="64">
        <f t="shared" si="10"/>
        <v>43</v>
      </c>
      <c r="S15" s="64" t="str">
        <f>IFERROR(VLOOKUP(MID(N15,Q15,R15-Q15),[6]skilldef!$C:$D,2,FALSE),"-") &amp; " / " &amp; IFERROR(VLOOKUP(MID(N15,O15,P15-O15),[6]skilldef!$A:$B,2,FALSE),"-")</f>
        <v>味方全体に / -</v>
      </c>
      <c r="T15" s="48" t="str">
        <f t="shared" si="11"/>
        <v>[effect:fix_speed, target:myself, turn:2],[effect:tolerance, target:myself, turn:-1, count:-1, tolerance_effect:all, animation:enemy_tolerance]</v>
      </c>
      <c r="U15" s="64">
        <f t="shared" si="12"/>
        <v>9</v>
      </c>
      <c r="V15" s="64">
        <f t="shared" si="13"/>
        <v>18</v>
      </c>
      <c r="W15" s="64">
        <f t="shared" si="14"/>
        <v>27</v>
      </c>
      <c r="X15" s="64">
        <f t="shared" si="15"/>
        <v>33</v>
      </c>
      <c r="Y15" s="64" t="str">
        <f>IFERROR(VLOOKUP(MID(T15,W15,X15-W15),[6]skilldef!$C:$D,2,FALSE),"-") &amp; " / " &amp; IFERROR(VLOOKUP(MID(T15,U15,V15-U15),[6]skilldef!$A:$B,2,FALSE),"-")</f>
        <v>自分自身に / 行動値設定</v>
      </c>
      <c r="Z15" s="50"/>
      <c r="AA15" s="52"/>
      <c r="AB15" s="50"/>
    </row>
    <row r="16" spans="1:28" ht="41" customHeight="1" x14ac:dyDescent="0.15">
      <c r="A16" s="111">
        <v>47008200</v>
      </c>
      <c r="B16" s="47" t="s">
        <v>402</v>
      </c>
      <c r="C16" s="50">
        <v>3</v>
      </c>
      <c r="D16" s="50" t="s">
        <v>128</v>
      </c>
      <c r="E16" s="51" t="s">
        <v>391</v>
      </c>
      <c r="F16" s="51" t="s">
        <v>388</v>
      </c>
      <c r="G16" s="64" t="str">
        <f t="shared" si="0"/>
        <v>[effect:enemy_message, val1:1.2, val2:5.4]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[effect:degrade_unit, target:unit_all, turn:2, status:action, val:1, calc:add, animation:enemy_tap_down],[effect:hungup, target:unit_samurai, turn:7, rate:1, animation:hungup01],[effect:fix_speed, target:myself, turn:2],[effect:tolerance, target:myself, turn:-1, count:-1, tolerance_effect:all, animation:enemy_tolerance]</v>
      </c>
      <c r="N16" s="48" t="str">
        <f t="shared" ref="N16:N18" si="61">IFERROR(LEFT(M16,FIND("],",M16)+S26),M16)</f>
        <v>[effect:degrade_unit, target:unit_all, turn:2, status:action, val:1, calc:add, animation:enemy_tap_down],[effect:hungup, target:unit_samurai, turn:7, rate:1, animation:hungup01],[effect:fix_speed, target:myself, turn:2],[effect:tolerance, target:myself, turn:-1, count:-1, tolerance_effect:all, animation:enemy_tolerance]</v>
      </c>
      <c r="O16" s="64">
        <f t="shared" si="7"/>
        <v>9</v>
      </c>
      <c r="P16" s="64">
        <f t="shared" si="8"/>
        <v>21</v>
      </c>
      <c r="Q16" s="64">
        <f t="shared" si="9"/>
        <v>30</v>
      </c>
      <c r="R16" s="64">
        <f t="shared" si="10"/>
        <v>38</v>
      </c>
      <c r="S16" s="64" t="str">
        <f>IFERROR(VLOOKUP(MID(N16,Q16,R16-Q16),[6]skilldef!$C:$D,2,FALSE),"-") &amp; " / " &amp; IFERROR(VLOOKUP(MID(N16,O16,P16-O16),[6]skilldef!$A:$B,2,FALSE),"-")</f>
        <v>味方全体に / ステータスDOWN</v>
      </c>
      <c r="T16" s="48" t="str">
        <f t="shared" si="11"/>
        <v>[effect:hungup, target:unit_samurai, turn:7, rate:1, animation:hungup01],[effect:fix_speed, target:myself, turn:2],[effect:tolerance, target:myself, turn:-1, count:-1, tolerance_effect:all, animation:enemy_tolerance]</v>
      </c>
      <c r="U16" s="64">
        <f t="shared" si="12"/>
        <v>9</v>
      </c>
      <c r="V16" s="64">
        <f t="shared" si="13"/>
        <v>15</v>
      </c>
      <c r="W16" s="64">
        <f t="shared" si="14"/>
        <v>24</v>
      </c>
      <c r="X16" s="64">
        <f t="shared" si="15"/>
        <v>36</v>
      </c>
      <c r="Y16" s="64" t="str">
        <f>IFERROR(VLOOKUP(MID(T16,W16,X16-W16),[6]skilldef!$C:$D,2,FALSE),"-") &amp; " / " &amp; IFERROR(VLOOKUP(MID(T16,U16,V16-U16),[6]skilldef!$A:$B,2,FALSE),"-")</f>
        <v>- / ハングアップ</v>
      </c>
      <c r="Z16" s="50"/>
      <c r="AA16" s="52"/>
      <c r="AB16" s="50"/>
    </row>
    <row r="17" spans="1:28" ht="21" customHeight="1" x14ac:dyDescent="0.15">
      <c r="A17" s="111">
        <v>47008201</v>
      </c>
      <c r="B17" s="47" t="s">
        <v>572</v>
      </c>
      <c r="C17" s="50">
        <v>3</v>
      </c>
      <c r="D17" s="50" t="s">
        <v>128</v>
      </c>
      <c r="E17" s="51" t="s">
        <v>571</v>
      </c>
      <c r="F17" s="51" t="s">
        <v>264</v>
      </c>
      <c r="G17" s="64" t="str">
        <f t="shared" si="0"/>
        <v>[effect:enemy_message, val1:1.4, val2:2.5]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[effect:degrade_unit, target:unit_all, turn:2, status:attack, val:0.2, calc:mul],[effect:critical, val:0.8]</v>
      </c>
      <c r="N17" s="48" t="str">
        <f t="shared" si="61"/>
        <v>[effect:degrade_unit, target:unit_all, turn:2, status:attack, val:0.2, calc:mul],[effect:critical, val:0.8]</v>
      </c>
      <c r="O17" s="64">
        <f t="shared" si="7"/>
        <v>9</v>
      </c>
      <c r="P17" s="64">
        <f t="shared" si="8"/>
        <v>21</v>
      </c>
      <c r="Q17" s="64">
        <f t="shared" si="9"/>
        <v>30</v>
      </c>
      <c r="R17" s="64">
        <f t="shared" si="10"/>
        <v>38</v>
      </c>
      <c r="S17" s="64" t="str">
        <f>IFERROR(VLOOKUP(MID(N17,Q17,R17-Q17),[6]skilldef!$C:$D,2,FALSE),"-") &amp; " / " &amp; IFERROR(VLOOKUP(MID(N17,O17,P17-O17),[6]skilldef!$A:$B,2,FALSE),"-")</f>
        <v>味方全体に / ステータスDOWN</v>
      </c>
      <c r="T17" s="48" t="str">
        <f t="shared" si="11"/>
        <v>[effect:critical, val:0.8]</v>
      </c>
      <c r="U17" s="64">
        <f t="shared" si="12"/>
        <v>9</v>
      </c>
      <c r="V17" s="64">
        <f t="shared" si="13"/>
        <v>17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大攻撃</v>
      </c>
      <c r="Z17" s="50"/>
      <c r="AA17" s="52"/>
      <c r="AB17" s="50"/>
    </row>
    <row r="18" spans="1:28" ht="21" customHeight="1" x14ac:dyDescent="0.15">
      <c r="A18" s="111">
        <v>47008202</v>
      </c>
      <c r="B18" s="47" t="s">
        <v>335</v>
      </c>
      <c r="C18" s="50">
        <v>3</v>
      </c>
      <c r="D18" s="50" t="s">
        <v>128</v>
      </c>
      <c r="E18" s="51" t="s">
        <v>416</v>
      </c>
      <c r="F18" s="51" t="s">
        <v>265</v>
      </c>
      <c r="G18" s="64" t="str">
        <f t="shared" si="0"/>
        <v>[effect:enemy_message, val1:1.2, val2:2.5]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[effect:degrade_unit, target:unit_all, turn:2, status:attack, val:0.4, calc:mul],[effect:critical, val:0.8]</v>
      </c>
      <c r="N18" s="48" t="str">
        <f t="shared" si="61"/>
        <v>[effect:degrade_unit, target:unit_all, turn:2, status:attack, val:0.4, calc:mul],[effect:critical, val:0.8]</v>
      </c>
      <c r="O18" s="64">
        <f t="shared" si="7"/>
        <v>9</v>
      </c>
      <c r="P18" s="64">
        <f t="shared" si="8"/>
        <v>21</v>
      </c>
      <c r="Q18" s="64">
        <f t="shared" si="9"/>
        <v>30</v>
      </c>
      <c r="R18" s="64">
        <f t="shared" si="10"/>
        <v>38</v>
      </c>
      <c r="S18" s="64" t="str">
        <f>IFERROR(VLOOKUP(MID(N18,Q18,R18-Q18),[6]skilldef!$C:$D,2,FALSE),"-") &amp; " / " &amp; IFERROR(VLOOKUP(MID(N18,O18,P18-O18),[6]skilldef!$A:$B,2,FALSE),"-")</f>
        <v>味方全体に / ステータスDOWN</v>
      </c>
      <c r="T18" s="48" t="str">
        <f t="shared" si="11"/>
        <v>[effect:critical, val:0.8]</v>
      </c>
      <c r="U18" s="64">
        <f t="shared" si="12"/>
        <v>9</v>
      </c>
      <c r="V18" s="64">
        <f t="shared" si="13"/>
        <v>17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大攻撃</v>
      </c>
      <c r="Z18" s="50"/>
      <c r="AA18" s="52"/>
      <c r="AB18" s="50"/>
    </row>
    <row r="19" spans="1:28" ht="21" customHeight="1" x14ac:dyDescent="0.15">
      <c r="A19" s="111">
        <v>47008203</v>
      </c>
      <c r="B19" s="47" t="s">
        <v>336</v>
      </c>
      <c r="C19" s="50">
        <v>3</v>
      </c>
      <c r="D19" s="50" t="s">
        <v>128</v>
      </c>
      <c r="E19" s="51" t="s">
        <v>417</v>
      </c>
      <c r="F19" s="51" t="s">
        <v>266</v>
      </c>
      <c r="G19" s="64" t="str">
        <f t="shared" si="0"/>
        <v>[effect:enemy_message, val1:1.2, val2:2.5]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"/>
        <v>[effect:degrade_unit, target:unit_all, turn:2, status:attack, val:0.6, calc:mul],[effect:critical, val:0.8]</v>
      </c>
      <c r="N19" s="48" t="str">
        <f t="shared" ref="N19:N24" si="62">IFERROR(LEFT(M19,FIND("],",M19)+S31),M19)</f>
        <v>[effect:degrade_unit, target:unit_all, turn:2, status:attack, val:0.6, calc:mul],[effect:critical, val:0.8]</v>
      </c>
      <c r="O19" s="64">
        <f t="shared" si="7"/>
        <v>9</v>
      </c>
      <c r="P19" s="64">
        <f t="shared" si="8"/>
        <v>21</v>
      </c>
      <c r="Q19" s="64">
        <f t="shared" si="9"/>
        <v>30</v>
      </c>
      <c r="R19" s="64">
        <f t="shared" si="10"/>
        <v>38</v>
      </c>
      <c r="S19" s="64" t="str">
        <f>IFERROR(VLOOKUP(MID(N19,Q19,R19-Q19),[6]skilldef!$C:$D,2,FALSE),"-") &amp; " / " &amp; IFERROR(VLOOKUP(MID(N19,O19,P19-O19),[6]skilldef!$A:$B,2,FALSE),"-")</f>
        <v>味方全体に / ステータスDOWN</v>
      </c>
      <c r="T19" s="48" t="str">
        <f t="shared" si="11"/>
        <v>[effect:critical, val:0.8]</v>
      </c>
      <c r="U19" s="64">
        <f t="shared" si="12"/>
        <v>9</v>
      </c>
      <c r="V19" s="64">
        <f t="shared" si="13"/>
        <v>17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大攻撃</v>
      </c>
      <c r="Z19" s="50"/>
      <c r="AA19" s="52"/>
      <c r="AB19" s="50"/>
    </row>
    <row r="20" spans="1:28" ht="21" customHeight="1" x14ac:dyDescent="0.15">
      <c r="A20" s="111">
        <v>47008204</v>
      </c>
      <c r="B20" s="47" t="s">
        <v>337</v>
      </c>
      <c r="C20" s="50">
        <v>3</v>
      </c>
      <c r="D20" s="50" t="s">
        <v>128</v>
      </c>
      <c r="E20" s="51" t="s">
        <v>422</v>
      </c>
      <c r="F20" s="51" t="s">
        <v>270</v>
      </c>
      <c r="G20" s="64" t="str">
        <f t="shared" si="0"/>
        <v>[effect:enemy_message, val1:1.2, val2:2.5]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>[effect:degrade_unit, target:unit_all, turn:2, status:attack, val:0.8, calc:mul],[effect:critical, val:0.8]</v>
      </c>
      <c r="N20" s="48" t="str">
        <f t="shared" si="62"/>
        <v>[effect:degrade_unit, target:unit_all, turn:2, status:attack, val:0.8, calc:mul],[effect:critical, val:0.8]</v>
      </c>
      <c r="O20" s="64">
        <f t="shared" si="7"/>
        <v>9</v>
      </c>
      <c r="P20" s="64">
        <f t="shared" si="8"/>
        <v>21</v>
      </c>
      <c r="Q20" s="64">
        <f t="shared" si="9"/>
        <v>30</v>
      </c>
      <c r="R20" s="64">
        <f t="shared" si="10"/>
        <v>38</v>
      </c>
      <c r="S20" s="64" t="str">
        <f>IFERROR(VLOOKUP(MID(N20,Q20,R20-Q20),[6]skilldef!$C:$D,2,FALSE),"-") &amp; " / " &amp; IFERROR(VLOOKUP(MID(N20,O20,P20-O20),[6]skilldef!$A:$B,2,FALSE),"-")</f>
        <v>味方全体に / ステータスDOWN</v>
      </c>
      <c r="T20" s="48" t="str">
        <f t="shared" si="11"/>
        <v>[effect:critical, val:0.8]</v>
      </c>
      <c r="U20" s="64">
        <f t="shared" si="12"/>
        <v>9</v>
      </c>
      <c r="V20" s="64">
        <f t="shared" si="13"/>
        <v>17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大攻撃</v>
      </c>
      <c r="Z20" s="50"/>
      <c r="AA20" s="52"/>
      <c r="AB20" s="50"/>
    </row>
    <row r="21" spans="1:28" ht="21" customHeight="1" x14ac:dyDescent="0.15">
      <c r="A21" s="111">
        <v>47008205</v>
      </c>
      <c r="B21" s="47" t="s">
        <v>333</v>
      </c>
      <c r="C21" s="50">
        <v>3</v>
      </c>
      <c r="D21" s="50" t="s">
        <v>128</v>
      </c>
      <c r="E21" s="51" t="s">
        <v>289</v>
      </c>
      <c r="F21" s="51" t="s">
        <v>262</v>
      </c>
      <c r="G21" s="64" t="str">
        <f t="shared" si="0"/>
        <v>[effect:enemy_message, val1:1.2, val2:1.2]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[effect:critical, val:1.1, animation:enemy_critical]</v>
      </c>
      <c r="N21" s="48" t="str">
        <f t="shared" si="62"/>
        <v>[effect:critical, val:1.1, animation:enemy_critical]</v>
      </c>
      <c r="O21" s="64">
        <f t="shared" si="7"/>
        <v>9</v>
      </c>
      <c r="P21" s="64">
        <f t="shared" si="8"/>
        <v>17</v>
      </c>
      <c r="Q21" s="64" t="e">
        <f t="shared" si="9"/>
        <v>#VALUE!</v>
      </c>
      <c r="R21" s="64">
        <f t="shared" si="10"/>
        <v>26</v>
      </c>
      <c r="S21" s="64" t="str">
        <f>IFERROR(VLOOKUP(MID(N21,Q21,R21-Q21),[6]skilldef!$C:$D,2,FALSE),"-") &amp; " / " &amp; IFERROR(VLOOKUP(MID(N21,O21,P21-O21),[6]skilldef!$A:$B,2,FALSE),"-")</f>
        <v>- / 大攻撃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11">
        <v>47008206</v>
      </c>
      <c r="B22" s="47" t="s">
        <v>338</v>
      </c>
      <c r="C22" s="50">
        <v>3</v>
      </c>
      <c r="D22" s="50" t="s">
        <v>128</v>
      </c>
      <c r="E22" s="51" t="s">
        <v>290</v>
      </c>
      <c r="F22" s="51" t="s">
        <v>286</v>
      </c>
      <c r="G22" s="64" t="str">
        <f t="shared" si="0"/>
        <v>[effect:enemy_message, val1:1.4, val2:1.2]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[effect:freq_turn, target:myself, turn:-1, val:1, animation:enemy_freq_turn]</v>
      </c>
      <c r="N22" s="48" t="str">
        <f t="shared" si="62"/>
        <v>[effect:freq_turn, target:myself, turn:-1, val:1, animation:enemy_freq_turn]</v>
      </c>
      <c r="O22" s="64">
        <f t="shared" si="7"/>
        <v>9</v>
      </c>
      <c r="P22" s="64">
        <f t="shared" si="8"/>
        <v>18</v>
      </c>
      <c r="Q22" s="64">
        <f t="shared" si="9"/>
        <v>27</v>
      </c>
      <c r="R22" s="64">
        <f t="shared" si="10"/>
        <v>33</v>
      </c>
      <c r="S22" s="64" t="str">
        <f>IFERROR(VLOOKUP(MID(N22,Q22,R22-Q22),[6]skilldef!$C:$D,2,FALSE),"-") &amp; " / " &amp; IFERROR(VLOOKUP(MID(N22,O22,P22-O22),[6]skilldef!$A:$B,2,FALSE),"-")</f>
        <v>自分自身に / 攻撃頻度がUP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52" customHeight="1" x14ac:dyDescent="0.15">
      <c r="A23" s="112">
        <v>47008300</v>
      </c>
      <c r="B23" s="47" t="s">
        <v>403</v>
      </c>
      <c r="C23" s="50">
        <v>3</v>
      </c>
      <c r="D23" s="50" t="s">
        <v>128</v>
      </c>
      <c r="E23" s="51" t="s">
        <v>396</v>
      </c>
      <c r="F23" s="51" t="s">
        <v>397</v>
      </c>
      <c r="G23" s="64" t="str">
        <f t="shared" si="0"/>
        <v>[effect:enemy_message, val1:1.8, val2:4.6]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[effect:sp_boost, target:unit_all, val:4],[effect:fix_speed, target:myself, turn:1],[effect:tolerance, target:myself, turn:-1, count:-1, tolerance_effect:all, animation:enemy_tolerance]</v>
      </c>
      <c r="N23" s="48" t="str">
        <f t="shared" si="62"/>
        <v>[effect:sp_boost, target:unit_all, val:4],[effect:fix_speed, target:myself, turn:1],[effect:tolerance, target:myself, turn:-1, count:-1, tolerance_effect:all, animation:enemy_tolerance]</v>
      </c>
      <c r="O23" s="64">
        <f t="shared" si="7"/>
        <v>9</v>
      </c>
      <c r="P23" s="64">
        <f t="shared" si="8"/>
        <v>17</v>
      </c>
      <c r="Q23" s="64">
        <f t="shared" si="9"/>
        <v>26</v>
      </c>
      <c r="R23" s="64">
        <f t="shared" si="10"/>
        <v>34</v>
      </c>
      <c r="S23" s="64" t="str">
        <f>IFERROR(VLOOKUP(MID(N23,Q23,R23-Q23),[6]skilldef!$C:$D,2,FALSE),"-") &amp; " / " &amp; IFERROR(VLOOKUP(MID(N23,O23,P23-O23),[6]skilldef!$A:$B,2,FALSE),"-")</f>
        <v>味方全体に / -</v>
      </c>
      <c r="T23" s="48" t="str">
        <f t="shared" si="11"/>
        <v>[effect:fix_speed, target:myself, turn:1],[effect:tolerance, target:myself, turn:-1, count:-1, tolerance_effect:all, animation:enemy_tolerance]</v>
      </c>
      <c r="U23" s="64">
        <f t="shared" si="12"/>
        <v>9</v>
      </c>
      <c r="V23" s="64">
        <f t="shared" si="13"/>
        <v>18</v>
      </c>
      <c r="W23" s="64">
        <f t="shared" si="14"/>
        <v>27</v>
      </c>
      <c r="X23" s="64">
        <f t="shared" si="15"/>
        <v>33</v>
      </c>
      <c r="Y23" s="64" t="str">
        <f>IFERROR(VLOOKUP(MID(T23,W23,X23-W23),[6]skilldef!$C:$D,2,FALSE),"-") &amp; " / " &amp; IFERROR(VLOOKUP(MID(T23,U23,V23-U23),[6]skilldef!$A:$B,2,FALSE),"-")</f>
        <v>自分自身に / 行動値設定</v>
      </c>
      <c r="Z23" s="50"/>
      <c r="AA23" s="52"/>
      <c r="AB23" s="50"/>
    </row>
    <row r="24" spans="1:28" ht="39" customHeight="1" x14ac:dyDescent="0.15">
      <c r="A24" s="112">
        <v>47008301</v>
      </c>
      <c r="B24" s="47" t="s">
        <v>404</v>
      </c>
      <c r="C24" s="50">
        <v>3</v>
      </c>
      <c r="D24" s="50" t="s">
        <v>128</v>
      </c>
      <c r="E24" s="51" t="s">
        <v>383</v>
      </c>
      <c r="F24" s="51" t="s">
        <v>384</v>
      </c>
      <c r="G24" s="64" t="str">
        <f t="shared" si="0"/>
        <v>[effect:enemy_message, val1:2.7, val2:2.7]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[effect:sp_boost, target:unit_all, val:2],[effect:fix_speed, target:myself, turn:1],[effect:tolerance, target:myself, turn:-1, count:-1, tolerance_effect:all, animation:enemy_tolerance]</v>
      </c>
      <c r="N24" s="48" t="str">
        <f t="shared" si="62"/>
        <v>[effect:sp_boost, target:unit_all, val:2],[effect:fix_speed, target:myself, turn:1],[effect:tolerance, target:myself, turn:-1, count:-1, tolerance_effect:all, animation:enemy_tolerance]</v>
      </c>
      <c r="O24" s="64">
        <f t="shared" si="7"/>
        <v>9</v>
      </c>
      <c r="P24" s="64">
        <f t="shared" si="8"/>
        <v>17</v>
      </c>
      <c r="Q24" s="64">
        <f t="shared" si="9"/>
        <v>26</v>
      </c>
      <c r="R24" s="64">
        <f t="shared" si="10"/>
        <v>34</v>
      </c>
      <c r="S24" s="64" t="str">
        <f>IFERROR(VLOOKUP(MID(N24,Q24,R24-Q24),[6]skilldef!$C:$D,2,FALSE),"-") &amp; " / " &amp; IFERROR(VLOOKUP(MID(N24,O24,P24-O24),[6]skilldef!$A:$B,2,FALSE),"-")</f>
        <v>味方全体に / -</v>
      </c>
      <c r="T24" s="48" t="str">
        <f t="shared" si="11"/>
        <v>[effect:fix_speed, target:myself, turn:1],[effect:tolerance, target:myself, turn:-1, count:-1, tolerance_effect:all, animation:enemy_tolerance]</v>
      </c>
      <c r="U24" s="64">
        <f t="shared" si="12"/>
        <v>9</v>
      </c>
      <c r="V24" s="64">
        <f t="shared" si="13"/>
        <v>18</v>
      </c>
      <c r="W24" s="64">
        <f t="shared" si="14"/>
        <v>27</v>
      </c>
      <c r="X24" s="64">
        <f t="shared" si="15"/>
        <v>33</v>
      </c>
      <c r="Y24" s="64" t="str">
        <f>IFERROR(VLOOKUP(MID(T24,W24,X24-W24),[6]skilldef!$C:$D,2,FALSE),"-") &amp; " / " &amp; IFERROR(VLOOKUP(MID(T24,U24,V24-U24),[6]skilldef!$A:$B,2,FALSE),"-")</f>
        <v>自分自身に / 行動値設定</v>
      </c>
      <c r="Z24" s="50"/>
      <c r="AA24" s="52"/>
      <c r="AB24" s="50"/>
    </row>
    <row r="25" spans="1:28" ht="21" customHeight="1" x14ac:dyDescent="0.15">
      <c r="A25" s="112">
        <v>47008302</v>
      </c>
      <c r="B25" s="47" t="s">
        <v>405</v>
      </c>
      <c r="C25" s="50">
        <v>3</v>
      </c>
      <c r="D25" s="50" t="s">
        <v>128</v>
      </c>
      <c r="E25" s="51" t="s">
        <v>322</v>
      </c>
      <c r="F25" s="51" t="s">
        <v>385</v>
      </c>
      <c r="G25" s="64" t="str">
        <f t="shared" si="0"/>
        <v>[effect:enemy_message, val1:1.2, val2:1.2]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[effect:fix_speed, target:myself, turn:1],[effect:tolerance, target:myself, turn:-1, count:-1, tolerance_effect:all, animation:enemy_tolerance]</v>
      </c>
      <c r="N25" s="48" t="str">
        <f t="shared" ref="N25:N30" si="63">IFERROR(LEFT(M25,FIND("],",M25)+S39),M25)</f>
        <v>[effect:fix_speed, target:myself, turn:1],[effect:tolerance, target:myself, turn:-1, count:-1, tolerance_effect:all, animation:enemy_tolerance]</v>
      </c>
      <c r="O25" s="64">
        <f t="shared" si="7"/>
        <v>9</v>
      </c>
      <c r="P25" s="64">
        <f t="shared" si="8"/>
        <v>18</v>
      </c>
      <c r="Q25" s="64">
        <f t="shared" si="9"/>
        <v>27</v>
      </c>
      <c r="R25" s="64">
        <f t="shared" si="10"/>
        <v>33</v>
      </c>
      <c r="S25" s="64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si="11"/>
        <v>[effect:tolerance, target:myself, turn:-1, count:-1, tolerance_effect:all, animation:enemy_tolerance]</v>
      </c>
      <c r="U25" s="64">
        <f t="shared" si="12"/>
        <v>9</v>
      </c>
      <c r="V25" s="64">
        <f t="shared" si="13"/>
        <v>18</v>
      </c>
      <c r="W25" s="64">
        <f t="shared" si="14"/>
        <v>27</v>
      </c>
      <c r="X25" s="64">
        <f t="shared" si="15"/>
        <v>33</v>
      </c>
      <c r="Y25" s="64" t="str">
        <f>IFERROR(VLOOKUP(MID(T25,W25,X25-W25),[6]skilldef!$C:$D,2,FALSE),"-") &amp; " / " &amp; IFERROR(VLOOKUP(MID(T25,U25,V25-U25),[6]skilldef!$A:$B,2,FALSE),"-")</f>
        <v>自分自身に / 状態異常耐性</v>
      </c>
      <c r="Z25" s="50"/>
      <c r="AA25" s="52"/>
      <c r="AB25" s="50"/>
    </row>
    <row r="26" spans="1:28" ht="21" customHeight="1" x14ac:dyDescent="0.15">
      <c r="A26" s="112">
        <v>47008303</v>
      </c>
      <c r="B26" s="47" t="s">
        <v>339</v>
      </c>
      <c r="C26" s="50">
        <v>3</v>
      </c>
      <c r="D26" s="50" t="s">
        <v>128</v>
      </c>
      <c r="E26" s="51" t="s">
        <v>292</v>
      </c>
      <c r="F26" s="51" t="s">
        <v>267</v>
      </c>
      <c r="G26" s="64" t="str">
        <f t="shared" si="0"/>
        <v>[effect:enemy_message, val1:1.2, val2:1.3]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>[effect:damage_gravity, val:0.5, animation:fevergauge_down]</v>
      </c>
      <c r="N26" s="48" t="str">
        <f t="shared" si="63"/>
        <v>[effect:damage_gravity, val:0.5, animation:fevergauge_down]</v>
      </c>
      <c r="O26" s="64">
        <f t="shared" si="7"/>
        <v>9</v>
      </c>
      <c r="P26" s="64">
        <f t="shared" si="8"/>
        <v>23</v>
      </c>
      <c r="Q26" s="64" t="e">
        <f t="shared" si="9"/>
        <v>#VALUE!</v>
      </c>
      <c r="R26" s="64">
        <f t="shared" si="10"/>
        <v>32</v>
      </c>
      <c r="S26" s="64" t="str">
        <f>IFERROR(VLOOKUP(MID(N26,Q26,R26-Q26),[6]skilldef!$C:$D,2,FALSE),"-") &amp; " / " &amp; IFERROR(VLOOKUP(MID(N26,O26,P26-O26),[6]skilldef!$A:$B,2,FALSE),"-")</f>
        <v>- / 割合ダメージ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39" customHeight="1" x14ac:dyDescent="0.15">
      <c r="A27" s="112">
        <v>47008304</v>
      </c>
      <c r="B27" s="47" t="s">
        <v>444</v>
      </c>
      <c r="C27" s="50">
        <v>3</v>
      </c>
      <c r="D27" s="50" t="s">
        <v>128</v>
      </c>
      <c r="E27" s="51" t="s">
        <v>293</v>
      </c>
      <c r="F27" s="51" t="s">
        <v>425</v>
      </c>
      <c r="G27" s="64" t="str">
        <f t="shared" si="0"/>
        <v>[effect:enemy_message, val1:2.0, val2:2.2]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[effect:force_change_block, new_block:block_blue, target:block_all, ignore01:crash, ignore02:crack_bomb, ignore03:color_break, ignore04:magnet, ignore05:block_blue, count:10, val:0],[effect:critical, val:1.0]</v>
      </c>
      <c r="N27" s="48" t="str">
        <f t="shared" si="63"/>
        <v>[effect:force_change_block, new_block:block_blue, target:block_all, ignore01:crash, ignore02:crack_bomb, ignore03:color_break, ignore04:magnet, ignore05:block_blue, count:10, val:0],[effect:critical, val:1.0]</v>
      </c>
      <c r="O27" s="64">
        <f t="shared" si="7"/>
        <v>9</v>
      </c>
      <c r="P27" s="64">
        <f t="shared" si="8"/>
        <v>27</v>
      </c>
      <c r="Q27" s="64">
        <f t="shared" si="9"/>
        <v>58</v>
      </c>
      <c r="R27" s="64">
        <f t="shared" si="10"/>
        <v>49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[effect:critical, val:1.0]</v>
      </c>
      <c r="U27" s="64">
        <f t="shared" si="12"/>
        <v>9</v>
      </c>
      <c r="V27" s="64">
        <f t="shared" si="13"/>
        <v>17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大攻撃</v>
      </c>
      <c r="Z27" s="50"/>
      <c r="AA27" s="52"/>
      <c r="AB27" s="50"/>
    </row>
    <row r="28" spans="1:28" ht="21" customHeight="1" x14ac:dyDescent="0.15">
      <c r="A28" s="112">
        <v>47008305</v>
      </c>
      <c r="B28" s="47" t="s">
        <v>340</v>
      </c>
      <c r="C28" s="50">
        <v>3</v>
      </c>
      <c r="D28" s="50" t="s">
        <v>128</v>
      </c>
      <c r="E28" s="51" t="s">
        <v>291</v>
      </c>
      <c r="F28" s="51" t="s">
        <v>268</v>
      </c>
      <c r="G28" s="64" t="str">
        <f t="shared" si="0"/>
        <v>[effect:enemy_message, val1:1.5, val2:2.1]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>[effect:degrade_unit, target:unit_all, turn:3, status:heal, val:1, calc:mul, animation:degrade_unit_all_heal]</v>
      </c>
      <c r="N28" s="48" t="str">
        <f t="shared" si="63"/>
        <v>[effect:degrade_unit, target:unit_all, turn:3, status:heal, val:1, calc:mul, animation:degrade_unit_all_heal]</v>
      </c>
      <c r="O28" s="64">
        <f t="shared" si="7"/>
        <v>9</v>
      </c>
      <c r="P28" s="64">
        <f t="shared" si="8"/>
        <v>21</v>
      </c>
      <c r="Q28" s="64">
        <f t="shared" si="9"/>
        <v>30</v>
      </c>
      <c r="R28" s="64">
        <f t="shared" si="10"/>
        <v>38</v>
      </c>
      <c r="S28" s="64" t="str">
        <f>IFERROR(VLOOKUP(MID(N28,Q28,R28-Q28),[6]skilldef!$C:$D,2,FALSE),"-") &amp; " / " &amp; IFERROR(VLOOKUP(MID(N28,O28,P28-O28),[6]skilldef!$A:$B,2,FALSE),"-")</f>
        <v>味方全体に / ステータスDOWN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44" customHeight="1" x14ac:dyDescent="0.15">
      <c r="A29" s="112">
        <v>47008306</v>
      </c>
      <c r="B29" s="47" t="s">
        <v>406</v>
      </c>
      <c r="C29" s="50">
        <v>3</v>
      </c>
      <c r="D29" s="50" t="s">
        <v>128</v>
      </c>
      <c r="E29" s="51" t="s">
        <v>386</v>
      </c>
      <c r="F29" s="51" t="s">
        <v>385</v>
      </c>
      <c r="G29" s="64" t="str">
        <f t="shared" ref="G29:G30" si="64">IFERROR(LEFT(B29,FIND("],",B29)),B29)</f>
        <v>[effect:enemy_message, val1:3.0, val2:1.2]</v>
      </c>
      <c r="H29" s="64">
        <f t="shared" ref="H29:H30" si="65">FIND("effect:",G29)+7</f>
        <v>9</v>
      </c>
      <c r="I29" s="64">
        <f t="shared" ref="I29:I30" si="66">IFERROR(FIND(",",G29),LEN(G29))</f>
        <v>22</v>
      </c>
      <c r="J29" s="64" t="e">
        <f t="shared" ref="J29:J30" si="67">FIND("target:",G29)+7</f>
        <v>#VALUE!</v>
      </c>
      <c r="K29" s="64">
        <f t="shared" ref="K29:K30" si="68">FIND(",",G29,I29+1)</f>
        <v>32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ref="M29:M30" si="69">IFERROR(RIGHT(B29,LEN(B29)-FIND("],",B29)-1),"none")</f>
        <v>[effect:fix_speed, target:myself, turn:1],[effect:tolerance, target:myself, turn:-1, count:-1, tolerance_effect:all, animation:enemy_tolerance]</v>
      </c>
      <c r="N29" s="48" t="str">
        <f t="shared" si="63"/>
        <v>[effect:fix_speed, target:myself, turn:1],[effect:tolerance, target:myself, turn:-1, count:-1, tolerance_effect:all, animation:enemy_tolerance]</v>
      </c>
      <c r="O29" s="64">
        <f t="shared" ref="O29:O30" si="70">FIND("effect:",N29)+7</f>
        <v>9</v>
      </c>
      <c r="P29" s="64">
        <f t="shared" ref="P29:P30" si="71">IFERROR(FIND(",",N29),LEN(N29))</f>
        <v>18</v>
      </c>
      <c r="Q29" s="64">
        <f t="shared" ref="Q29:Q30" si="72">FIND("target:",N29)+7</f>
        <v>27</v>
      </c>
      <c r="R29" s="64">
        <f t="shared" ref="R29:R30" si="73">FIND(",",N29,P29+1)</f>
        <v>33</v>
      </c>
      <c r="S29" s="64" t="str">
        <f>IFERROR(VLOOKUP(MID(N29,Q29,R29-Q29),[6]skilldef!$C:$D,2,FALSE),"-") &amp; " / " &amp; IFERROR(VLOOKUP(MID(N29,O29,P29-O29),[6]skilldef!$A:$B,2,FALSE),"-")</f>
        <v>自分自身に / 行動値設定</v>
      </c>
      <c r="T29" s="48" t="str">
        <f t="shared" ref="T29:T30" si="74">IFERROR(RIGHT(M29,LEN(M29)-FIND("],",M29)-1),"none")</f>
        <v>[effect:tolerance, target:myself, turn:-1, count:-1, tolerance_effect:all, animation:enemy_tolerance]</v>
      </c>
      <c r="U29" s="64">
        <f t="shared" ref="U29:U30" si="75">FIND("effect:",T29)+7</f>
        <v>9</v>
      </c>
      <c r="V29" s="64">
        <f t="shared" ref="V29:V30" si="76">IFERROR(FIND(",",T29),LEN(T29))</f>
        <v>18</v>
      </c>
      <c r="W29" s="64">
        <f t="shared" ref="W29:W30" si="77">FIND("target:",T29)+7</f>
        <v>27</v>
      </c>
      <c r="X29" s="64">
        <f t="shared" ref="X29:X30" si="78">FIND(",",T29,V29+1)</f>
        <v>33</v>
      </c>
      <c r="Y29" s="64" t="str">
        <f>IFERROR(VLOOKUP(MID(T29,W29,X29-W29),[6]skilldef!$C:$D,2,FALSE),"-") &amp; " / " &amp; IFERROR(VLOOKUP(MID(T29,U29,V29-U29),[6]skilldef!$A:$B,2,FALSE),"-")</f>
        <v>自分自身に / 状態異常耐性</v>
      </c>
      <c r="Z29" s="50"/>
      <c r="AA29" s="52"/>
      <c r="AB29" s="50"/>
    </row>
    <row r="30" spans="1:28" ht="39" customHeight="1" x14ac:dyDescent="0.15">
      <c r="A30" s="112">
        <v>47008307</v>
      </c>
      <c r="B30" s="47" t="s">
        <v>445</v>
      </c>
      <c r="C30" s="50">
        <v>3</v>
      </c>
      <c r="D30" s="50" t="s">
        <v>128</v>
      </c>
      <c r="E30" s="51" t="s">
        <v>419</v>
      </c>
      <c r="F30" s="51" t="s">
        <v>425</v>
      </c>
      <c r="G30" s="64" t="str">
        <f t="shared" si="64"/>
        <v>[effect:enemy_message, val1:1.2, val2:2.2]</v>
      </c>
      <c r="H30" s="64">
        <f t="shared" si="65"/>
        <v>9</v>
      </c>
      <c r="I30" s="64">
        <f t="shared" si="66"/>
        <v>22</v>
      </c>
      <c r="J30" s="64" t="e">
        <f t="shared" si="67"/>
        <v>#VALUE!</v>
      </c>
      <c r="K30" s="64">
        <f t="shared" si="68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69"/>
        <v>[effect:force_change_block, new_block:block_blue, target:block_all, ignore01:crash, ignore02:crack_bomb, ignore03:color_break, ignore04:magnet, ignore05:block_blue, count:10, val:0],[effect:critical, val:1.0]</v>
      </c>
      <c r="N30" s="48" t="str">
        <f t="shared" si="63"/>
        <v>[effect:force_change_block, new_block:block_blue, target:block_all, ignore01:crash, ignore02:crack_bomb, ignore03:color_break, ignore04:magnet, ignore05:block_blue, count:10, val:0],[effect:critical, val:1.0]</v>
      </c>
      <c r="O30" s="64">
        <f t="shared" si="70"/>
        <v>9</v>
      </c>
      <c r="P30" s="64">
        <f t="shared" si="71"/>
        <v>27</v>
      </c>
      <c r="Q30" s="64">
        <f t="shared" si="72"/>
        <v>58</v>
      </c>
      <c r="R30" s="64">
        <f t="shared" si="73"/>
        <v>49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74"/>
        <v>[effect:critical, val:1.0]</v>
      </c>
      <c r="U30" s="64">
        <f t="shared" si="75"/>
        <v>9</v>
      </c>
      <c r="V30" s="64">
        <f t="shared" si="76"/>
        <v>17</v>
      </c>
      <c r="W30" s="64" t="e">
        <f t="shared" si="77"/>
        <v>#VALUE!</v>
      </c>
      <c r="X30" s="64" t="e">
        <f t="shared" si="78"/>
        <v>#VALUE!</v>
      </c>
      <c r="Y30" s="64" t="str">
        <f>IFERROR(VLOOKUP(MID(T30,W30,X30-W30),[6]skilldef!$C:$D,2,FALSE),"-") &amp; " / " &amp; IFERROR(VLOOKUP(MID(T30,U30,V30-U30),[6]skilldef!$A:$B,2,FALSE),"-")</f>
        <v>- / 大攻撃</v>
      </c>
      <c r="Z30" s="50"/>
      <c r="AA30" s="52"/>
      <c r="AB30" s="50"/>
    </row>
    <row r="31" spans="1:28" ht="33" customHeight="1" x14ac:dyDescent="0.15">
      <c r="A31" s="113">
        <v>47008400</v>
      </c>
      <c r="B31" s="47" t="s">
        <v>536</v>
      </c>
      <c r="C31" s="50">
        <v>3</v>
      </c>
      <c r="D31" s="50" t="s">
        <v>128</v>
      </c>
      <c r="E31" s="51" t="s">
        <v>461</v>
      </c>
      <c r="F31" s="51" t="s">
        <v>462</v>
      </c>
      <c r="G31" s="64" t="str">
        <f t="shared" si="0"/>
        <v>[effect:enemy_message, val1:1.3, val2:2.7]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"/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N31" s="48" t="str">
        <f t="shared" ref="N31:N34" si="79">IFERROR(LEFT(M31,FIND("],",M31)+S43),M31)</f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O31" s="64">
        <f t="shared" si="7"/>
        <v>9</v>
      </c>
      <c r="P31" s="64">
        <f t="shared" si="8"/>
        <v>27</v>
      </c>
      <c r="Q31" s="64">
        <f t="shared" si="9"/>
        <v>59</v>
      </c>
      <c r="R31" s="64">
        <f t="shared" si="10"/>
        <v>50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[effect:fix_speed, target:myself, turn:1],[effect:tolerance, target:myself, turn:-1, count:-1, tolerance_effect:all, animation:enemy_tolerance]</v>
      </c>
      <c r="U31" s="64">
        <f t="shared" si="12"/>
        <v>9</v>
      </c>
      <c r="V31" s="64">
        <f t="shared" si="13"/>
        <v>18</v>
      </c>
      <c r="W31" s="64">
        <f t="shared" si="14"/>
        <v>27</v>
      </c>
      <c r="X31" s="64">
        <f t="shared" si="15"/>
        <v>33</v>
      </c>
      <c r="Y31" s="64" t="str">
        <f>IFERROR(VLOOKUP(MID(T31,W31,X31-W31),[6]skilldef!$C:$D,2,FALSE),"-") &amp; " / " &amp; IFERROR(VLOOKUP(MID(T31,U31,V31-U31),[6]skilldef!$A:$B,2,FALSE),"-")</f>
        <v>自分自身に / 行動値設定</v>
      </c>
      <c r="Z31" s="50"/>
      <c r="AA31" s="52"/>
      <c r="AB31" s="50"/>
    </row>
    <row r="32" spans="1:28" ht="21" customHeight="1" x14ac:dyDescent="0.15">
      <c r="A32" s="113">
        <v>47008401</v>
      </c>
      <c r="B32" s="47" t="s">
        <v>446</v>
      </c>
      <c r="C32" s="50">
        <v>3</v>
      </c>
      <c r="D32" s="50" t="s">
        <v>128</v>
      </c>
      <c r="E32" s="51" t="s">
        <v>305</v>
      </c>
      <c r="F32" s="51" t="s">
        <v>428</v>
      </c>
      <c r="G32" s="64" t="str">
        <f t="shared" si="0"/>
        <v>[effect:enemy_message, val1:1.4, val2:2.3]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"/>
        <v>[effect:force_change_block, new_block:block_heart, target:block_all, ignore01:crash, ignore02:crack_bomb, ignore03:color_break, ignore04:magnet, ignore05:block_heart, count:5, val:0],[effect:critical, val:1.0]</v>
      </c>
      <c r="N32" s="48" t="str">
        <f t="shared" si="79"/>
        <v>[effect:force_change_block, new_block:block_heart, target:block_all, ignore01:crash, ignore02:crack_bomb, ignore03:color_break, ignore04:magnet, ignore05:block_heart, count:5, val:0],[effect:critical, val:1.0]</v>
      </c>
      <c r="O32" s="64">
        <f t="shared" si="7"/>
        <v>9</v>
      </c>
      <c r="P32" s="64">
        <f t="shared" si="8"/>
        <v>27</v>
      </c>
      <c r="Q32" s="64">
        <f t="shared" si="9"/>
        <v>59</v>
      </c>
      <c r="R32" s="64">
        <f t="shared" si="10"/>
        <v>50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[effect:critical, val:1.0]</v>
      </c>
      <c r="U32" s="64">
        <f t="shared" si="12"/>
        <v>9</v>
      </c>
      <c r="V32" s="64">
        <f t="shared" si="13"/>
        <v>17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IFERROR(VLOOKUP(MID(T32,W32,X32-W32),[6]skilldef!$C:$D,2,FALSE),"-") &amp; " / " &amp; IFERROR(VLOOKUP(MID(T32,U32,V32-U32),[6]skilldef!$A:$B,2,FALSE),"-")</f>
        <v>- / 大攻撃</v>
      </c>
      <c r="Z32" s="50"/>
      <c r="AA32" s="52"/>
      <c r="AB32" s="50"/>
    </row>
    <row r="33" spans="1:28" ht="21" customHeight="1" x14ac:dyDescent="0.15">
      <c r="A33" s="113">
        <v>47008402</v>
      </c>
      <c r="B33" s="47" t="s">
        <v>341</v>
      </c>
      <c r="C33" s="50">
        <v>3</v>
      </c>
      <c r="D33" s="50" t="s">
        <v>128</v>
      </c>
      <c r="E33" s="51" t="s">
        <v>304</v>
      </c>
      <c r="F33" s="51" t="s">
        <v>269</v>
      </c>
      <c r="G33" s="64" t="str">
        <f t="shared" si="0"/>
        <v>[effect:enemy_message, val1:1.2, val2:1.2]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5"/>
        <v>[effect:damage_fix_absolute, target:unit_one, val:8000]</v>
      </c>
      <c r="N33" s="48" t="str">
        <f t="shared" si="79"/>
        <v>[effect:damage_fix_absolute, target:unit_one, val:8000]</v>
      </c>
      <c r="O33" s="64">
        <f t="shared" si="7"/>
        <v>9</v>
      </c>
      <c r="P33" s="64">
        <f t="shared" si="8"/>
        <v>28</v>
      </c>
      <c r="Q33" s="64">
        <f t="shared" si="9"/>
        <v>37</v>
      </c>
      <c r="R33" s="64">
        <f t="shared" si="10"/>
        <v>45</v>
      </c>
      <c r="S33" s="64" t="str">
        <f>IFERROR(VLOOKUP(MID(N33,Q33,R33-Q33),[6]skilldef!$C:$D,2,FALSE),"-") &amp; " / " &amp; IFERROR(VLOOKUP(MID(N33,O33,P33-O33),[6]skilldef!$A:$B,2,FALSE),"-")</f>
        <v>味方単体に / -</v>
      </c>
      <c r="T33" s="48" t="str">
        <f t="shared" si="11"/>
        <v>none</v>
      </c>
      <c r="U33" s="64" t="e">
        <f t="shared" si="12"/>
        <v>#VALUE!</v>
      </c>
      <c r="V33" s="64">
        <f t="shared" si="13"/>
        <v>4</v>
      </c>
      <c r="W33" s="64" t="e">
        <f t="shared" si="14"/>
        <v>#VALUE!</v>
      </c>
      <c r="X33" s="64" t="e">
        <f t="shared" si="15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42" customHeight="1" x14ac:dyDescent="0.15">
      <c r="A34" s="113">
        <v>47008403</v>
      </c>
      <c r="B34" s="47" t="s">
        <v>414</v>
      </c>
      <c r="C34" s="50">
        <v>3</v>
      </c>
      <c r="D34" s="50" t="s">
        <v>128</v>
      </c>
      <c r="E34" s="51" t="s">
        <v>303</v>
      </c>
      <c r="F34" s="51" t="s">
        <v>464</v>
      </c>
      <c r="G34" s="64" t="str">
        <f t="shared" si="0"/>
        <v>[effect:enemy_message, val1:1.8, val2:1.9]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5"/>
        <v>[effect:change_panel_ratio, turn:5, block_type:heal, val:0.1, animation:block_incidence04]</v>
      </c>
      <c r="N34" s="48" t="str">
        <f t="shared" si="79"/>
        <v>[effect:change_panel_ratio, turn:5, block_type:heal, val:0.1, animation:block_incidence04]</v>
      </c>
      <c r="O34" s="64">
        <f t="shared" si="7"/>
        <v>9</v>
      </c>
      <c r="P34" s="64">
        <f t="shared" si="8"/>
        <v>27</v>
      </c>
      <c r="Q34" s="64" t="e">
        <f t="shared" si="9"/>
        <v>#VALUE!</v>
      </c>
      <c r="R34" s="64">
        <f t="shared" si="10"/>
        <v>35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4" t="e">
        <f t="shared" si="12"/>
        <v>#VALUE!</v>
      </c>
      <c r="V34" s="64">
        <f t="shared" si="13"/>
        <v>4</v>
      </c>
      <c r="W34" s="64" t="e">
        <f t="shared" si="14"/>
        <v>#VALUE!</v>
      </c>
      <c r="X34" s="64" t="e">
        <f t="shared" si="15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13">
        <v>47008404</v>
      </c>
      <c r="B35" s="47" t="s">
        <v>342</v>
      </c>
      <c r="C35" s="50">
        <v>3</v>
      </c>
      <c r="D35" s="50" t="s">
        <v>128</v>
      </c>
      <c r="E35" s="51" t="s">
        <v>313</v>
      </c>
      <c r="F35" s="51" t="s">
        <v>352</v>
      </c>
      <c r="G35" s="64" t="str">
        <f t="shared" si="0"/>
        <v>[effect:enemy_message, val1:1.2, val2:2.5]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si="5"/>
        <v>[effect:degrade_unit, target:unit_all, turn:3, status:attack, val:0.5, calc:mul],[effect:critical, val:1.0]</v>
      </c>
      <c r="N35" s="48" t="str">
        <f>IFERROR(LEFT(M35,FIND("],",M35)+S53),M35)</f>
        <v>[effect:degrade_unit, target:unit_all, turn:3, status:attack, val:0.5, calc:mul],[effect:critical, val:1.0]</v>
      </c>
      <c r="O35" s="64">
        <f t="shared" si="7"/>
        <v>9</v>
      </c>
      <c r="P35" s="64">
        <f t="shared" si="8"/>
        <v>21</v>
      </c>
      <c r="Q35" s="64">
        <f t="shared" si="9"/>
        <v>30</v>
      </c>
      <c r="R35" s="64">
        <f t="shared" si="10"/>
        <v>38</v>
      </c>
      <c r="S35" s="64" t="str">
        <f>IFERROR(VLOOKUP(MID(N35,Q35,R35-Q35),[6]skilldef!$C:$D,2,FALSE),"-") &amp; " / " &amp; IFERROR(VLOOKUP(MID(N35,O35,P35-O35),[6]skilldef!$A:$B,2,FALSE),"-")</f>
        <v>味方全体に / ステータスDOWN</v>
      </c>
      <c r="T35" s="48" t="str">
        <f t="shared" si="11"/>
        <v>[effect:critical, val:1.0]</v>
      </c>
      <c r="U35" s="64">
        <f t="shared" si="12"/>
        <v>9</v>
      </c>
      <c r="V35" s="64">
        <f t="shared" si="13"/>
        <v>17</v>
      </c>
      <c r="W35" s="64" t="e">
        <f t="shared" si="14"/>
        <v>#VALUE!</v>
      </c>
      <c r="X35" s="64" t="e">
        <f t="shared" si="15"/>
        <v>#VALUE!</v>
      </c>
      <c r="Y35" s="64" t="str">
        <f>IFERROR(VLOOKUP(MID(T35,W35,X35-W35),[6]skilldef!$C:$D,2,FALSE),"-") &amp; " / " &amp; IFERROR(VLOOKUP(MID(T35,U35,V35-U35),[6]skilldef!$A:$B,2,FALSE),"-")</f>
        <v>- / 大攻撃</v>
      </c>
      <c r="Z35" s="50"/>
      <c r="AA35" s="52"/>
      <c r="AB35" s="50"/>
    </row>
    <row r="36" spans="1:28" ht="65" customHeight="1" x14ac:dyDescent="0.15">
      <c r="A36" s="114">
        <v>47008500</v>
      </c>
      <c r="B36" s="47" t="s">
        <v>447</v>
      </c>
      <c r="C36" s="50">
        <v>3</v>
      </c>
      <c r="D36" s="50" t="s">
        <v>128</v>
      </c>
      <c r="E36" s="51" t="s">
        <v>295</v>
      </c>
      <c r="F36" s="51" t="s">
        <v>427</v>
      </c>
      <c r="G36" s="64" t="str">
        <f t="shared" si="0"/>
        <v>[effect:enemy_message, val1:1.3, val2:4.2]</v>
      </c>
      <c r="H36" s="64">
        <f t="shared" si="1"/>
        <v>9</v>
      </c>
      <c r="I36" s="64">
        <f t="shared" si="2"/>
        <v>22</v>
      </c>
      <c r="J36" s="64" t="e">
        <f t="shared" si="3"/>
        <v>#VALUE!</v>
      </c>
      <c r="K36" s="64">
        <f t="shared" si="4"/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si="5"/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36" s="48" t="str">
        <f>IFERROR(LEFT(M36,FIND("],",M36)+S54),M36)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36" s="64">
        <f t="shared" si="7"/>
        <v>9</v>
      </c>
      <c r="P36" s="64">
        <f t="shared" si="8"/>
        <v>23</v>
      </c>
      <c r="Q36" s="64">
        <f t="shared" si="9"/>
        <v>120</v>
      </c>
      <c r="R36" s="64">
        <f t="shared" si="10"/>
        <v>33</v>
      </c>
      <c r="S36" s="64" t="str">
        <f>IFERROR(VLOOKUP(MID(N36,Q36,R36-Q36),[6]skilldef!$C:$D,2,FALSE),"-") &amp; " / " &amp; IFERROR(VLOOKUP(MID(N36,O36,P36-O36),[6]skilldef!$A:$B,2,FALSE),"-")</f>
        <v>- / 割合ダメージ</v>
      </c>
      <c r="T36" s="48" t="str">
        <f t="shared" si="11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36" s="64">
        <f t="shared" si="12"/>
        <v>9</v>
      </c>
      <c r="V36" s="64">
        <f t="shared" si="13"/>
        <v>27</v>
      </c>
      <c r="W36" s="64">
        <f t="shared" si="14"/>
        <v>59</v>
      </c>
      <c r="X36" s="64">
        <f t="shared" si="15"/>
        <v>50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59" customHeight="1" x14ac:dyDescent="0.15">
      <c r="A37" s="114">
        <v>47008501</v>
      </c>
      <c r="B37" s="47" t="s">
        <v>447</v>
      </c>
      <c r="C37" s="50">
        <v>3</v>
      </c>
      <c r="D37" s="50" t="s">
        <v>128</v>
      </c>
      <c r="E37" s="51" t="s">
        <v>295</v>
      </c>
      <c r="F37" s="51" t="s">
        <v>427</v>
      </c>
      <c r="G37" s="64" t="str">
        <f t="shared" ref="G37" si="80">IFERROR(LEFT(B37,FIND("],",B37)),B37)</f>
        <v>[effect:enemy_message, val1:1.3, val2:4.2]</v>
      </c>
      <c r="H37" s="64">
        <f t="shared" ref="H37" si="81">FIND("effect:",G37)+7</f>
        <v>9</v>
      </c>
      <c r="I37" s="64">
        <f t="shared" ref="I37" si="82">IFERROR(FIND(",",G37),LEN(G37))</f>
        <v>22</v>
      </c>
      <c r="J37" s="64" t="e">
        <f t="shared" ref="J37" si="83">FIND("target:",G37)+7</f>
        <v>#VALUE!</v>
      </c>
      <c r="K37" s="64">
        <f t="shared" ref="K37" si="84">FIND(",",G37,I37+1)</f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ref="M37" si="85">IFERROR(RIGHT(B37,LEN(B37)-FIND("],",B37)-1),"none")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37" s="48" t="str">
        <f>IFERROR(LEFT(M37,FIND("],",M37)+S55),M37)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37" s="64">
        <f t="shared" ref="O37" si="86">FIND("effect:",N37)+7</f>
        <v>9</v>
      </c>
      <c r="P37" s="64">
        <f t="shared" ref="P37" si="87">IFERROR(FIND(",",N37),LEN(N37))</f>
        <v>23</v>
      </c>
      <c r="Q37" s="64">
        <f t="shared" ref="Q37" si="88">FIND("target:",N37)+7</f>
        <v>120</v>
      </c>
      <c r="R37" s="64">
        <f t="shared" ref="R37" si="89">FIND(",",N37,P37+1)</f>
        <v>33</v>
      </c>
      <c r="S37" s="64" t="str">
        <f>IFERROR(VLOOKUP(MID(N37,Q37,R37-Q37),[6]skilldef!$C:$D,2,FALSE),"-") &amp; " / " &amp; IFERROR(VLOOKUP(MID(N37,O37,P37-O37),[6]skilldef!$A:$B,2,FALSE),"-")</f>
        <v>- / 割合ダメージ</v>
      </c>
      <c r="T37" s="48" t="str">
        <f t="shared" ref="T37" si="90">IFERROR(RIGHT(M37,LEN(M37)-FIND("],",M37)-1),"none")</f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37" s="64">
        <f t="shared" ref="U37" si="91">FIND("effect:",T37)+7</f>
        <v>9</v>
      </c>
      <c r="V37" s="64">
        <f t="shared" ref="V37" si="92">IFERROR(FIND(",",T37),LEN(T37))</f>
        <v>27</v>
      </c>
      <c r="W37" s="64">
        <f t="shared" ref="W37" si="93">FIND("target:",T37)+7</f>
        <v>59</v>
      </c>
      <c r="X37" s="64">
        <f t="shared" ref="X37" si="94">FIND(",",T37,V37+1)</f>
        <v>50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80" customHeight="1" x14ac:dyDescent="0.15">
      <c r="A38" s="114">
        <v>47008502</v>
      </c>
      <c r="B38" s="47" t="s">
        <v>448</v>
      </c>
      <c r="C38" s="50">
        <v>3</v>
      </c>
      <c r="D38" s="50" t="s">
        <v>128</v>
      </c>
      <c r="E38" s="51" t="s">
        <v>295</v>
      </c>
      <c r="F38" s="51" t="s">
        <v>433</v>
      </c>
      <c r="G38" s="64" t="str">
        <f t="shared" ref="G38" si="95">IFERROR(LEFT(B38,FIND("],",B38)),B38)</f>
        <v>[effect:enemy_message, val1:1.3, val2:6.0]</v>
      </c>
      <c r="H38" s="64">
        <f t="shared" ref="H38" si="96">FIND("effect:",G38)+7</f>
        <v>9</v>
      </c>
      <c r="I38" s="64">
        <f t="shared" ref="I38" si="97">IFERROR(FIND(",",G38),LEN(G38))</f>
        <v>22</v>
      </c>
      <c r="J38" s="64" t="e">
        <f t="shared" ref="J38" si="98">FIND("target:",G38)+7</f>
        <v>#VALUE!</v>
      </c>
      <c r="K38" s="64">
        <f t="shared" ref="K38" si="99">FIND(",",G38,I38+1)</f>
        <v>32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ref="M38" si="100">IFERROR(RIGHT(B38,LEN(B38)-FIND("],",B38)-1),"none")</f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N38" s="48" t="str">
        <f>IFERROR(LEFT(M38,FIND("],",M38)+S55),M38)</f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O38" s="64">
        <f t="shared" ref="O38" si="101">FIND("effect:",N38)+7</f>
        <v>9</v>
      </c>
      <c r="P38" s="64">
        <f t="shared" ref="P38" si="102">IFERROR(FIND(",",N38),LEN(N38))</f>
        <v>23</v>
      </c>
      <c r="Q38" s="64">
        <f t="shared" ref="Q38" si="103">FIND("target:",N38)+7</f>
        <v>120</v>
      </c>
      <c r="R38" s="64">
        <f t="shared" ref="R38" si="104">FIND(",",N38,P38+1)</f>
        <v>33</v>
      </c>
      <c r="S38" s="64" t="str">
        <f>IFERROR(VLOOKUP(MID(N38,Q38,R38-Q38),[6]skilldef!$C:$D,2,FALSE),"-") &amp; " / " &amp; IFERROR(VLOOKUP(MID(N38,O38,P38-O38),[6]skilldef!$A:$B,2,FALSE),"-")</f>
        <v>- / 割合ダメージ</v>
      </c>
      <c r="T38" s="48" t="str">
        <f t="shared" ref="T38" si="105">IFERROR(RIGHT(M38,LEN(M38)-FIND("],",M38)-1),"none")</f>
        <v>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U38" s="64">
        <f t="shared" ref="U38" si="106">FIND("effect:",T38)+7</f>
        <v>9</v>
      </c>
      <c r="V38" s="64">
        <f t="shared" ref="V38" si="107">IFERROR(FIND(",",T38),LEN(T38))</f>
        <v>27</v>
      </c>
      <c r="W38" s="64">
        <f t="shared" ref="W38" si="108">FIND("target:",T38)+7</f>
        <v>59</v>
      </c>
      <c r="X38" s="64">
        <f t="shared" ref="X38" si="109">FIND(",",T38,V38+1)</f>
        <v>50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14">
        <v>47008503</v>
      </c>
      <c r="B39" s="47" t="s">
        <v>343</v>
      </c>
      <c r="C39" s="50">
        <v>3</v>
      </c>
      <c r="D39" s="50" t="s">
        <v>128</v>
      </c>
      <c r="E39" s="51" t="s">
        <v>298</v>
      </c>
      <c r="F39" s="51" t="s">
        <v>276</v>
      </c>
      <c r="G39" s="64" t="str">
        <f t="shared" si="0"/>
        <v>[effect:enemy_message, val1:1.2, val2:1.8]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5"/>
        <v>[effect:critical, val:0.4],[effect:damage_gravity, val:0.2, animation:fevergauge_down]</v>
      </c>
      <c r="N39" s="48" t="str">
        <f>IFERROR(LEFT(M39,FIND("],",M39)+S55),M39)</f>
        <v>[effect:critical, val:0.4],[effect:damage_gravity, val:0.2, animation:fevergauge_down]</v>
      </c>
      <c r="O39" s="64">
        <f t="shared" si="7"/>
        <v>9</v>
      </c>
      <c r="P39" s="64">
        <f t="shared" si="8"/>
        <v>17</v>
      </c>
      <c r="Q39" s="64" t="e">
        <f t="shared" si="9"/>
        <v>#VALUE!</v>
      </c>
      <c r="R39" s="64">
        <f t="shared" si="10"/>
        <v>27</v>
      </c>
      <c r="S39" s="64" t="str">
        <f>IFERROR(VLOOKUP(MID(N39,Q39,R39-Q39),[6]skilldef!$C:$D,2,FALSE),"-") &amp; " / " &amp; IFERROR(VLOOKUP(MID(N39,O39,P39-O39),[6]skilldef!$A:$B,2,FALSE),"-")</f>
        <v>- / 大攻撃</v>
      </c>
      <c r="T39" s="48" t="str">
        <f t="shared" si="11"/>
        <v>[effect:damage_gravity, val:0.2, animation:fevergauge_down]</v>
      </c>
      <c r="U39" s="64">
        <f t="shared" si="12"/>
        <v>9</v>
      </c>
      <c r="V39" s="64">
        <f t="shared" si="13"/>
        <v>23</v>
      </c>
      <c r="W39" s="64" t="e">
        <f t="shared" si="14"/>
        <v>#VALUE!</v>
      </c>
      <c r="X39" s="64">
        <f t="shared" si="15"/>
        <v>32</v>
      </c>
      <c r="Y39" s="64" t="str">
        <f>IFERROR(VLOOKUP(MID(T39,W39,X39-W39),[6]skilldef!$C:$D,2,FALSE),"-") &amp; " / " &amp; IFERROR(VLOOKUP(MID(T39,U39,V39-U39),[6]skilldef!$A:$B,2,FALSE),"-")</f>
        <v>- / 割合ダメージ</v>
      </c>
      <c r="Z39" s="50"/>
      <c r="AA39" s="52"/>
      <c r="AB39" s="50"/>
    </row>
    <row r="40" spans="1:28" ht="21" customHeight="1" x14ac:dyDescent="0.15">
      <c r="A40" s="114">
        <v>47008504</v>
      </c>
      <c r="B40" s="47" t="s">
        <v>344</v>
      </c>
      <c r="C40" s="50">
        <v>3</v>
      </c>
      <c r="D40" s="50" t="s">
        <v>128</v>
      </c>
      <c r="E40" s="51" t="s">
        <v>296</v>
      </c>
      <c r="F40" s="51" t="s">
        <v>277</v>
      </c>
      <c r="G40" s="64" t="str">
        <f t="shared" si="0"/>
        <v>[effect:enemy_message, val1:1.7, val2:1.8]</v>
      </c>
      <c r="H40" s="64">
        <f t="shared" si="1"/>
        <v>9</v>
      </c>
      <c r="I40" s="64">
        <f t="shared" si="2"/>
        <v>22</v>
      </c>
      <c r="J40" s="64" t="e">
        <f t="shared" si="3"/>
        <v>#VALUE!</v>
      </c>
      <c r="K40" s="64">
        <f t="shared" si="4"/>
        <v>32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si="5"/>
        <v>[effect:critical, val:0.4],[effect:damage_gravity, val:0.3, animation:fevergauge_down]</v>
      </c>
      <c r="N40" s="48" t="str">
        <f>IFERROR(LEFT(M40,FIND("],",M40)+S56),M40)</f>
        <v>[effect:critical, val:0.4],[effect:damage_gravity, val:0.3, animation:fevergauge_down]</v>
      </c>
      <c r="O40" s="64">
        <f t="shared" si="7"/>
        <v>9</v>
      </c>
      <c r="P40" s="64">
        <f t="shared" si="8"/>
        <v>17</v>
      </c>
      <c r="Q40" s="64" t="e">
        <f t="shared" si="9"/>
        <v>#VALUE!</v>
      </c>
      <c r="R40" s="64">
        <f t="shared" si="10"/>
        <v>27</v>
      </c>
      <c r="S40" s="64" t="str">
        <f>IFERROR(VLOOKUP(MID(N40,Q40,R40-Q40),[6]skilldef!$C:$D,2,FALSE),"-") &amp; " / " &amp; IFERROR(VLOOKUP(MID(N40,O40,P40-O40),[6]skilldef!$A:$B,2,FALSE),"-")</f>
        <v>- / 大攻撃</v>
      </c>
      <c r="T40" s="48" t="str">
        <f t="shared" si="11"/>
        <v>[effect:damage_gravity, val:0.3, animation:fevergauge_down]</v>
      </c>
      <c r="U40" s="64">
        <f t="shared" si="12"/>
        <v>9</v>
      </c>
      <c r="V40" s="64">
        <f t="shared" si="13"/>
        <v>23</v>
      </c>
      <c r="W40" s="64" t="e">
        <f t="shared" si="14"/>
        <v>#VALUE!</v>
      </c>
      <c r="X40" s="64">
        <f t="shared" si="15"/>
        <v>32</v>
      </c>
      <c r="Y40" s="64" t="str">
        <f>IFERROR(VLOOKUP(MID(T40,W40,X40-W40),[6]skilldef!$C:$D,2,FALSE),"-") &amp; " / " &amp; IFERROR(VLOOKUP(MID(T40,U40,V40-U40),[6]skilldef!$A:$B,2,FALSE),"-")</f>
        <v>- / 割合ダメージ</v>
      </c>
      <c r="Z40" s="50"/>
      <c r="AA40" s="52"/>
      <c r="AB40" s="50"/>
    </row>
    <row r="41" spans="1:28" ht="21" customHeight="1" x14ac:dyDescent="0.15">
      <c r="A41" s="114">
        <v>47008505</v>
      </c>
      <c r="B41" s="47" t="s">
        <v>345</v>
      </c>
      <c r="C41" s="50">
        <v>3</v>
      </c>
      <c r="D41" s="50" t="s">
        <v>128</v>
      </c>
      <c r="E41" s="51" t="s">
        <v>297</v>
      </c>
      <c r="F41" s="51" t="s">
        <v>278</v>
      </c>
      <c r="G41" s="64" t="str">
        <f t="shared" si="0"/>
        <v>[effect:enemy_message, val1:1.4, val2:1.8]</v>
      </c>
      <c r="H41" s="64">
        <f t="shared" si="1"/>
        <v>9</v>
      </c>
      <c r="I41" s="64">
        <f t="shared" si="2"/>
        <v>22</v>
      </c>
      <c r="J41" s="64" t="e">
        <f t="shared" si="3"/>
        <v>#VALUE!</v>
      </c>
      <c r="K41" s="64">
        <f t="shared" si="4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5"/>
        <v>[effect:critical, val:0.4],[effect:damage_gravity, val:0.4, animation:fevergauge_down]</v>
      </c>
      <c r="N41" s="48" t="str">
        <f>IFERROR(LEFT(M41,FIND("],",M41)+S57),M41)</f>
        <v>[effect:critical, val:0.4],[effect:damage_gravity, val:0.4, animation:fevergauge_down]</v>
      </c>
      <c r="O41" s="64">
        <f t="shared" si="7"/>
        <v>9</v>
      </c>
      <c r="P41" s="64">
        <f t="shared" si="8"/>
        <v>17</v>
      </c>
      <c r="Q41" s="64" t="e">
        <f t="shared" si="9"/>
        <v>#VALUE!</v>
      </c>
      <c r="R41" s="64">
        <f t="shared" si="10"/>
        <v>27</v>
      </c>
      <c r="S41" s="64" t="str">
        <f>IFERROR(VLOOKUP(MID(N41,Q41,R41-Q41),[6]skilldef!$C:$D,2,FALSE),"-") &amp; " / " &amp; IFERROR(VLOOKUP(MID(N41,O41,P41-O41),[6]skilldef!$A:$B,2,FALSE),"-")</f>
        <v>- / 大攻撃</v>
      </c>
      <c r="T41" s="48" t="str">
        <f t="shared" si="11"/>
        <v>[effect:damage_gravity, val:0.4, animation:fevergauge_down]</v>
      </c>
      <c r="U41" s="64">
        <f t="shared" si="12"/>
        <v>9</v>
      </c>
      <c r="V41" s="64">
        <f t="shared" si="13"/>
        <v>23</v>
      </c>
      <c r="W41" s="64" t="e">
        <f t="shared" si="14"/>
        <v>#VALUE!</v>
      </c>
      <c r="X41" s="64">
        <f t="shared" si="15"/>
        <v>32</v>
      </c>
      <c r="Y41" s="64" t="str">
        <f>IFERROR(VLOOKUP(MID(T41,W41,X41-W41),[6]skilldef!$C:$D,2,FALSE),"-") &amp; " / " &amp; IFERROR(VLOOKUP(MID(T41,U41,V41-U41),[6]skilldef!$A:$B,2,FALSE),"-")</f>
        <v>- / 割合ダメージ</v>
      </c>
      <c r="Z41" s="50"/>
      <c r="AA41" s="52"/>
      <c r="AB41" s="50"/>
    </row>
    <row r="42" spans="1:28" ht="49" customHeight="1" x14ac:dyDescent="0.15">
      <c r="A42" s="114">
        <v>47008506</v>
      </c>
      <c r="B42" s="47" t="s">
        <v>346</v>
      </c>
      <c r="C42" s="50">
        <v>3</v>
      </c>
      <c r="D42" s="50" t="s">
        <v>128</v>
      </c>
      <c r="E42" s="51" t="s">
        <v>301</v>
      </c>
      <c r="F42" s="51" t="s">
        <v>279</v>
      </c>
      <c r="G42" s="64" t="str">
        <f t="shared" si="0"/>
        <v>[effect:enemy_message, val1:2.0, val2:1.8]</v>
      </c>
      <c r="H42" s="64">
        <f t="shared" si="1"/>
        <v>9</v>
      </c>
      <c r="I42" s="64">
        <f t="shared" si="2"/>
        <v>22</v>
      </c>
      <c r="J42" s="64" t="e">
        <f t="shared" si="3"/>
        <v>#VALUE!</v>
      </c>
      <c r="K42" s="64">
        <f t="shared" si="4"/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5"/>
        <v>[effect:critical, val:0.4],[effect:damage_gravity, val:0.5, animation:fevergauge_down]</v>
      </c>
      <c r="N42" s="48" t="str">
        <f t="shared" ref="N42:N48" si="110">IFERROR(LEFT(M42,FIND("],",M42)+S64),M42)</f>
        <v>[effect:critical, val:0.4],[effect:damage_gravity, val:0.5, animation:fevergauge_down]</v>
      </c>
      <c r="O42" s="64">
        <f t="shared" si="7"/>
        <v>9</v>
      </c>
      <c r="P42" s="64">
        <f t="shared" si="8"/>
        <v>17</v>
      </c>
      <c r="Q42" s="64" t="e">
        <f t="shared" si="9"/>
        <v>#VALUE!</v>
      </c>
      <c r="R42" s="64">
        <f t="shared" si="10"/>
        <v>27</v>
      </c>
      <c r="S42" s="64" t="str">
        <f>IFERROR(VLOOKUP(MID(N42,Q42,R42-Q42),[6]skilldef!$C:$D,2,FALSE),"-") &amp; " / " &amp; IFERROR(VLOOKUP(MID(N42,O42,P42-O42),[6]skilldef!$A:$B,2,FALSE),"-")</f>
        <v>- / 大攻撃</v>
      </c>
      <c r="T42" s="48" t="str">
        <f t="shared" si="11"/>
        <v>[effect:damage_gravity, val:0.5, animation:fevergauge_down]</v>
      </c>
      <c r="U42" s="64">
        <f t="shared" si="12"/>
        <v>9</v>
      </c>
      <c r="V42" s="64">
        <f t="shared" si="13"/>
        <v>23</v>
      </c>
      <c r="W42" s="64" t="e">
        <f t="shared" si="14"/>
        <v>#VALUE!</v>
      </c>
      <c r="X42" s="64">
        <f t="shared" si="15"/>
        <v>32</v>
      </c>
      <c r="Y42" s="64" t="str">
        <f>IFERROR(VLOOKUP(MID(T42,W42,X42-W42),[6]skilldef!$C:$D,2,FALSE),"-") &amp; " / " &amp; IFERROR(VLOOKUP(MID(T42,U42,V42-U42),[6]skilldef!$A:$B,2,FALSE),"-")</f>
        <v>- / 割合ダメージ</v>
      </c>
      <c r="Z42" s="50"/>
      <c r="AA42" s="52"/>
      <c r="AB42" s="50"/>
    </row>
    <row r="43" spans="1:28" ht="34" customHeight="1" x14ac:dyDescent="0.15">
      <c r="A43" s="114">
        <v>47008507</v>
      </c>
      <c r="B43" s="47" t="s">
        <v>449</v>
      </c>
      <c r="C43" s="50">
        <v>3</v>
      </c>
      <c r="D43" s="50" t="s">
        <v>128</v>
      </c>
      <c r="E43" s="51" t="s">
        <v>394</v>
      </c>
      <c r="F43" s="51" t="s">
        <v>426</v>
      </c>
      <c r="G43" s="64" t="str">
        <f t="shared" si="0"/>
        <v>[effect:enemy_message, val1:1.3, val2:4.1]</v>
      </c>
      <c r="H43" s="64">
        <f t="shared" si="1"/>
        <v>9</v>
      </c>
      <c r="I43" s="64">
        <f t="shared" si="2"/>
        <v>22</v>
      </c>
      <c r="J43" s="64" t="e">
        <f t="shared" si="3"/>
        <v>#VALUE!</v>
      </c>
      <c r="K43" s="64">
        <f t="shared" si="4"/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si="5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N43" s="48" t="str">
        <f t="shared" si="110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O43" s="64">
        <f t="shared" si="7"/>
        <v>9</v>
      </c>
      <c r="P43" s="64">
        <f t="shared" si="8"/>
        <v>27</v>
      </c>
      <c r="Q43" s="64">
        <f t="shared" si="9"/>
        <v>59</v>
      </c>
      <c r="R43" s="64">
        <f t="shared" si="10"/>
        <v>50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U43" s="64">
        <f t="shared" si="12"/>
        <v>9</v>
      </c>
      <c r="V43" s="64">
        <f t="shared" si="13"/>
        <v>21</v>
      </c>
      <c r="W43" s="64">
        <f t="shared" si="14"/>
        <v>30</v>
      </c>
      <c r="X43" s="64">
        <f t="shared" si="15"/>
        <v>36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14">
        <v>47008508</v>
      </c>
      <c r="B44" s="47" t="s">
        <v>407</v>
      </c>
      <c r="C44" s="50">
        <v>3</v>
      </c>
      <c r="D44" s="50" t="s">
        <v>128</v>
      </c>
      <c r="E44" s="51" t="s">
        <v>395</v>
      </c>
      <c r="F44" s="51" t="s">
        <v>271</v>
      </c>
      <c r="G44" s="64" t="str">
        <f t="shared" si="0"/>
        <v>[effect:enemy_message, val1:1.3, val2:2.5]</v>
      </c>
      <c r="H44" s="64">
        <f t="shared" si="1"/>
        <v>9</v>
      </c>
      <c r="I44" s="64">
        <f t="shared" si="2"/>
        <v>22</v>
      </c>
      <c r="J44" s="64" t="e">
        <f t="shared" si="3"/>
        <v>#VALUE!</v>
      </c>
      <c r="K44" s="64">
        <f t="shared" si="4"/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5"/>
        <v>[effect:degrade_unit, target:unit_all, turn:1, status:attack, val:0.5, calc:mul],[effect:critical, val:1.0]</v>
      </c>
      <c r="N44" s="48" t="str">
        <f t="shared" si="110"/>
        <v>[effect:degrade_unit, target:unit_all, turn:1, status:attack, val:0.5, calc:mul],[effect:critical, val:1.0]</v>
      </c>
      <c r="O44" s="64">
        <f t="shared" si="7"/>
        <v>9</v>
      </c>
      <c r="P44" s="64">
        <f t="shared" si="8"/>
        <v>21</v>
      </c>
      <c r="Q44" s="64">
        <f t="shared" si="9"/>
        <v>30</v>
      </c>
      <c r="R44" s="64">
        <f t="shared" si="10"/>
        <v>38</v>
      </c>
      <c r="S44" s="64" t="str">
        <f>IFERROR(VLOOKUP(MID(N44,Q44,R44-Q44),[6]skilldef!$C:$D,2,FALSE),"-") &amp; " / " &amp; IFERROR(VLOOKUP(MID(N44,O44,P44-O44),[6]skilldef!$A:$B,2,FALSE),"-")</f>
        <v>味方全体に / ステータスDOWN</v>
      </c>
      <c r="T44" s="48" t="str">
        <f t="shared" si="11"/>
        <v>[effect:critical, val:1.0]</v>
      </c>
      <c r="U44" s="64">
        <f t="shared" si="12"/>
        <v>9</v>
      </c>
      <c r="V44" s="64">
        <f t="shared" si="13"/>
        <v>17</v>
      </c>
      <c r="W44" s="64" t="e">
        <f t="shared" si="14"/>
        <v>#VALUE!</v>
      </c>
      <c r="X44" s="64" t="e">
        <f t="shared" si="15"/>
        <v>#VALUE!</v>
      </c>
      <c r="Y44" s="64" t="str">
        <f>IFERROR(VLOOKUP(MID(T44,W44,X44-W44),[6]skilldef!$C:$D,2,FALSE),"-") &amp; " / " &amp; IFERROR(VLOOKUP(MID(T44,U44,V44-U44),[6]skilldef!$A:$B,2,FALSE),"-")</f>
        <v>- / 大攻撃</v>
      </c>
      <c r="Z44" s="50"/>
      <c r="AA44" s="52"/>
      <c r="AB44" s="50"/>
    </row>
    <row r="45" spans="1:28" ht="21" customHeight="1" x14ac:dyDescent="0.15">
      <c r="A45" s="114">
        <v>47008509</v>
      </c>
      <c r="B45" s="47" t="s">
        <v>347</v>
      </c>
      <c r="C45" s="50">
        <v>3</v>
      </c>
      <c r="D45" s="50" t="s">
        <v>128</v>
      </c>
      <c r="E45" s="51" t="s">
        <v>309</v>
      </c>
      <c r="F45" s="51" t="s">
        <v>280</v>
      </c>
      <c r="G45" s="64" t="str">
        <f t="shared" si="0"/>
        <v>[effect:enemy_message, val1:1.2, val2:2.0]</v>
      </c>
      <c r="H45" s="64">
        <f t="shared" si="1"/>
        <v>9</v>
      </c>
      <c r="I45" s="64">
        <f t="shared" si="2"/>
        <v>22</v>
      </c>
      <c r="J45" s="64" t="e">
        <f t="shared" si="3"/>
        <v>#VALUE!</v>
      </c>
      <c r="K45" s="64">
        <f t="shared" si="4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5"/>
        <v>none</v>
      </c>
      <c r="N45" s="48" t="str">
        <f t="shared" si="110"/>
        <v>none</v>
      </c>
      <c r="O45" s="64" t="e">
        <f t="shared" si="7"/>
        <v>#VALUE!</v>
      </c>
      <c r="P45" s="64">
        <f t="shared" si="8"/>
        <v>4</v>
      </c>
      <c r="Q45" s="64" t="e">
        <f t="shared" si="9"/>
        <v>#VALUE!</v>
      </c>
      <c r="R45" s="64" t="e">
        <f t="shared" si="10"/>
        <v>#VALUE!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4" t="e">
        <f t="shared" si="12"/>
        <v>#VALUE!</v>
      </c>
      <c r="V45" s="64">
        <f t="shared" si="13"/>
        <v>4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42" customHeight="1" x14ac:dyDescent="0.15">
      <c r="A46" s="114">
        <v>47008510</v>
      </c>
      <c r="B46" s="47" t="s">
        <v>537</v>
      </c>
      <c r="C46" s="50">
        <v>3</v>
      </c>
      <c r="D46" s="50" t="s">
        <v>128</v>
      </c>
      <c r="E46" s="51" t="s">
        <v>299</v>
      </c>
      <c r="F46" s="51" t="s">
        <v>281</v>
      </c>
      <c r="G46" s="64" t="str">
        <f t="shared" si="0"/>
        <v>[effect:enemy_message, val1:1.8, val2:1.4, dead_type:escape]</v>
      </c>
      <c r="H46" s="64">
        <f t="shared" si="1"/>
        <v>9</v>
      </c>
      <c r="I46" s="64">
        <f t="shared" si="2"/>
        <v>22</v>
      </c>
      <c r="J46" s="64" t="e">
        <f t="shared" si="3"/>
        <v>#VALUE!</v>
      </c>
      <c r="K46" s="64">
        <f t="shared" si="4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5"/>
        <v>[effect:damage_gravity, val:2.0, animation:fevergauge_down]</v>
      </c>
      <c r="N46" s="48" t="str">
        <f t="shared" si="110"/>
        <v>[effect:damage_gravity, val:2.0, animation:fevergauge_down]</v>
      </c>
      <c r="O46" s="64">
        <f t="shared" si="7"/>
        <v>9</v>
      </c>
      <c r="P46" s="64">
        <f t="shared" si="8"/>
        <v>23</v>
      </c>
      <c r="Q46" s="64" t="e">
        <f t="shared" si="9"/>
        <v>#VALUE!</v>
      </c>
      <c r="R46" s="64">
        <f t="shared" si="10"/>
        <v>32</v>
      </c>
      <c r="S46" s="64" t="str">
        <f>IFERROR(VLOOKUP(MID(N46,Q46,R46-Q46),[6]skilldef!$C:$D,2,FALSE),"-") &amp; " / " &amp; IFERROR(VLOOKUP(MID(N46,O46,P46-O46),[6]skilldef!$A:$B,2,FALSE),"-")</f>
        <v>- / 割合ダメージ</v>
      </c>
      <c r="T46" s="48" t="str">
        <f t="shared" si="11"/>
        <v>none</v>
      </c>
      <c r="U46" s="64" t="e">
        <f t="shared" si="12"/>
        <v>#VALUE!</v>
      </c>
      <c r="V46" s="64">
        <f t="shared" si="13"/>
        <v>4</v>
      </c>
      <c r="W46" s="64" t="e">
        <f t="shared" si="14"/>
        <v>#VALUE!</v>
      </c>
      <c r="X46" s="64" t="e">
        <f t="shared" si="1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42" customHeight="1" x14ac:dyDescent="0.15">
      <c r="A47" s="114">
        <v>47008514</v>
      </c>
      <c r="B47" s="47" t="s">
        <v>567</v>
      </c>
      <c r="C47" s="50">
        <v>3</v>
      </c>
      <c r="D47" s="50" t="s">
        <v>128</v>
      </c>
      <c r="E47" s="51" t="s">
        <v>330</v>
      </c>
      <c r="F47" s="51" t="s">
        <v>300</v>
      </c>
      <c r="G47" s="64" t="str">
        <f t="shared" ref="G47:G49" si="111">IFERROR(LEFT(B47,FIND("],",B47)),B47)</f>
        <v>[effect:enemy_message, val1:2.4, val2:2.3]</v>
      </c>
      <c r="H47" s="64">
        <f t="shared" ref="H47:H49" si="112">FIND("effect:",G47)+7</f>
        <v>9</v>
      </c>
      <c r="I47" s="64">
        <f t="shared" ref="I47:I49" si="113">IFERROR(FIND(",",G47),LEN(G47))</f>
        <v>22</v>
      </c>
      <c r="J47" s="64" t="e">
        <f t="shared" ref="J47:J49" si="114">FIND("target:",G47)+7</f>
        <v>#VALUE!</v>
      </c>
      <c r="K47" s="64">
        <f t="shared" ref="K47:K49" si="115">FIND(",",G47,I47+1)</f>
        <v>32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ref="M47:M49" si="116">IFERROR(RIGHT(B47,LEN(B47)-FIND("],",B47)-1),"none")</f>
        <v>none</v>
      </c>
      <c r="N47" s="48" t="str">
        <f t="shared" si="110"/>
        <v>none</v>
      </c>
      <c r="O47" s="64" t="e">
        <f t="shared" ref="O47:O49" si="117">FIND("effect:",N47)+7</f>
        <v>#VALUE!</v>
      </c>
      <c r="P47" s="64">
        <f t="shared" ref="P47:P49" si="118">IFERROR(FIND(",",N47),LEN(N47))</f>
        <v>4</v>
      </c>
      <c r="Q47" s="64" t="e">
        <f t="shared" ref="Q47:Q49" si="119">FIND("target:",N47)+7</f>
        <v>#VALUE!</v>
      </c>
      <c r="R47" s="64" t="e">
        <f t="shared" ref="R47:R49" si="120">FIND(",",N47,P47+1)</f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ref="T47:T49" si="121">IFERROR(RIGHT(M47,LEN(M47)-FIND("],",M47)-1),"none")</f>
        <v>none</v>
      </c>
      <c r="U47" s="64" t="e">
        <f t="shared" ref="U47:U49" si="122">FIND("effect:",T47)+7</f>
        <v>#VALUE!</v>
      </c>
      <c r="V47" s="64">
        <f t="shared" ref="V47:V49" si="123">IFERROR(FIND(",",T47),LEN(T47))</f>
        <v>4</v>
      </c>
      <c r="W47" s="64" t="e">
        <f t="shared" ref="W47:W49" si="124">FIND("target:",T47)+7</f>
        <v>#VALUE!</v>
      </c>
      <c r="X47" s="64" t="e">
        <f t="shared" ref="X47:X49" si="125">FIND(",",T47,V47+1)</f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14">
        <v>47008515</v>
      </c>
      <c r="B48" s="47" t="s">
        <v>538</v>
      </c>
      <c r="C48" s="50">
        <v>3</v>
      </c>
      <c r="D48" s="50" t="s">
        <v>128</v>
      </c>
      <c r="E48" s="51" t="s">
        <v>439</v>
      </c>
      <c r="F48" s="51" t="s">
        <v>440</v>
      </c>
      <c r="G48" s="64" t="str">
        <f t="shared" si="111"/>
        <v>[effect:enemy_message, val1:1.9, val2:1.3]</v>
      </c>
      <c r="H48" s="64">
        <f t="shared" si="112"/>
        <v>9</v>
      </c>
      <c r="I48" s="64">
        <f t="shared" si="113"/>
        <v>22</v>
      </c>
      <c r="J48" s="64" t="e">
        <f t="shared" si="114"/>
        <v>#VALUE!</v>
      </c>
      <c r="K48" s="64">
        <f t="shared" si="115"/>
        <v>32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si="116"/>
        <v>[effect:damage_fix_absolute, target:unit_one, val:14106]</v>
      </c>
      <c r="N48" s="48" t="str">
        <f t="shared" si="110"/>
        <v>[effect:damage_fix_absolute, target:unit_one, val:14106]</v>
      </c>
      <c r="O48" s="64">
        <f t="shared" si="117"/>
        <v>9</v>
      </c>
      <c r="P48" s="64">
        <f t="shared" si="118"/>
        <v>28</v>
      </c>
      <c r="Q48" s="64">
        <f t="shared" si="119"/>
        <v>37</v>
      </c>
      <c r="R48" s="64">
        <f t="shared" si="120"/>
        <v>45</v>
      </c>
      <c r="S48" s="64" t="str">
        <f>IFERROR(VLOOKUP(MID(N48,Q48,R48-Q48),[6]skilldef!$C:$D,2,FALSE),"-") &amp; " / " &amp; IFERROR(VLOOKUP(MID(N48,O48,P48-O48),[6]skilldef!$A:$B,2,FALSE),"-")</f>
        <v>味方単体に / -</v>
      </c>
      <c r="T48" s="48" t="str">
        <f t="shared" si="121"/>
        <v>none</v>
      </c>
      <c r="U48" s="64" t="e">
        <f t="shared" si="122"/>
        <v>#VALUE!</v>
      </c>
      <c r="V48" s="64">
        <f t="shared" si="123"/>
        <v>4</v>
      </c>
      <c r="W48" s="64" t="e">
        <f t="shared" si="124"/>
        <v>#VALUE!</v>
      </c>
      <c r="X48" s="64" t="e">
        <f t="shared" si="125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114">
        <v>47008517</v>
      </c>
      <c r="B49" s="47" t="s">
        <v>566</v>
      </c>
      <c r="C49" s="50">
        <v>3</v>
      </c>
      <c r="D49" s="50" t="s">
        <v>128</v>
      </c>
      <c r="E49" s="51" t="s">
        <v>325</v>
      </c>
      <c r="F49" s="51" t="s">
        <v>459</v>
      </c>
      <c r="G49" s="64" t="str">
        <f t="shared" si="111"/>
        <v>[effect:enemy_message, val1:1.7, val2:1.7, dead_type:escape]</v>
      </c>
      <c r="H49" s="64">
        <f t="shared" si="112"/>
        <v>9</v>
      </c>
      <c r="I49" s="64">
        <f t="shared" si="113"/>
        <v>22</v>
      </c>
      <c r="J49" s="64" t="e">
        <f t="shared" si="114"/>
        <v>#VALUE!</v>
      </c>
      <c r="K49" s="64">
        <f t="shared" si="115"/>
        <v>32</v>
      </c>
      <c r="L49" s="64" t="str">
        <f>IFERROR(VLOOKUP(MID(G49,J49,K49-J49),[6]skilldef!$C:$D,2,FALSE),"-") &amp; " / " &amp; IFERROR(VLOOKUP(MID(G49,H49,I49-H49),[6]skilldef!$A:$B,2,FALSE),"-")</f>
        <v>- / -</v>
      </c>
      <c r="M49" s="64" t="str">
        <f t="shared" si="116"/>
        <v>none</v>
      </c>
      <c r="N49" s="48" t="str">
        <f>IFERROR(LEFT(M49,FIND("],",M49)+S66),M49)</f>
        <v>none</v>
      </c>
      <c r="O49" s="64" t="e">
        <f t="shared" si="117"/>
        <v>#VALUE!</v>
      </c>
      <c r="P49" s="64">
        <f t="shared" si="118"/>
        <v>4</v>
      </c>
      <c r="Q49" s="64" t="e">
        <f t="shared" si="119"/>
        <v>#VALUE!</v>
      </c>
      <c r="R49" s="64" t="e">
        <f t="shared" si="120"/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121"/>
        <v>none</v>
      </c>
      <c r="U49" s="64" t="e">
        <f t="shared" si="122"/>
        <v>#VALUE!</v>
      </c>
      <c r="V49" s="64">
        <f t="shared" si="123"/>
        <v>4</v>
      </c>
      <c r="W49" s="64" t="e">
        <f t="shared" si="124"/>
        <v>#VALUE!</v>
      </c>
      <c r="X49" s="64" t="e">
        <f t="shared" si="125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14">
        <v>47008518</v>
      </c>
      <c r="B50" s="47" t="s">
        <v>560</v>
      </c>
      <c r="C50" s="50">
        <v>3</v>
      </c>
      <c r="D50" s="50" t="s">
        <v>128</v>
      </c>
      <c r="E50" s="51" t="s">
        <v>327</v>
      </c>
      <c r="F50" s="51" t="s">
        <v>323</v>
      </c>
      <c r="G50" s="64" t="str">
        <f t="shared" ref="G50:G52" si="126">IFERROR(LEFT(B50,FIND("],",B50)),B50)</f>
        <v>[effect:enemy_message, val1:1.7, val2:1.7, dead_type:escape]</v>
      </c>
      <c r="H50" s="64">
        <f t="shared" ref="H50:H52" si="127">FIND("effect:",G50)+7</f>
        <v>9</v>
      </c>
      <c r="I50" s="64">
        <f t="shared" ref="I50:I52" si="128">IFERROR(FIND(",",G50),LEN(G50))</f>
        <v>22</v>
      </c>
      <c r="J50" s="64" t="e">
        <f t="shared" ref="J50:J52" si="129">FIND("target:",G50)+7</f>
        <v>#VALUE!</v>
      </c>
      <c r="K50" s="64">
        <f t="shared" ref="K50:K52" si="130">FIND(",",G50,I50+1)</f>
        <v>32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ref="M50:M52" si="131">IFERROR(RIGHT(B50,LEN(B50)-FIND("],",B50)-1),"none")</f>
        <v>none</v>
      </c>
      <c r="N50" s="48" t="str">
        <f>IFERROR(LEFT(M50,FIND("],",M50)+#REF!),M50)</f>
        <v>none</v>
      </c>
      <c r="O50" s="64" t="e">
        <f t="shared" ref="O50:O52" si="132">FIND("effect:",N50)+7</f>
        <v>#VALUE!</v>
      </c>
      <c r="P50" s="64">
        <f t="shared" ref="P50:P52" si="133">IFERROR(FIND(",",N50),LEN(N50))</f>
        <v>4</v>
      </c>
      <c r="Q50" s="64" t="e">
        <f t="shared" ref="Q50:Q52" si="134">FIND("target:",N50)+7</f>
        <v>#VALUE!</v>
      </c>
      <c r="R50" s="64" t="e">
        <f t="shared" ref="R50:R52" si="135">FIND(",",N50,P50+1)</f>
        <v>#VALUE!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ref="T50:T52" si="136">IFERROR(RIGHT(M50,LEN(M50)-FIND("],",M50)-1),"none")</f>
        <v>none</v>
      </c>
      <c r="U50" s="64" t="e">
        <f t="shared" ref="U50:U52" si="137">FIND("effect:",T50)+7</f>
        <v>#VALUE!</v>
      </c>
      <c r="V50" s="64">
        <f t="shared" ref="V50:V52" si="138">IFERROR(FIND(",",T50),LEN(T50))</f>
        <v>4</v>
      </c>
      <c r="W50" s="64" t="e">
        <f t="shared" ref="W50:W52" si="139">FIND("target:",T50)+7</f>
        <v>#VALUE!</v>
      </c>
      <c r="X50" s="64" t="e">
        <f t="shared" ref="X50:X52" si="140">FIND(",",T50,V50+1)</f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42" customHeight="1" x14ac:dyDescent="0.15">
      <c r="A51" s="114">
        <v>47008519</v>
      </c>
      <c r="B51" s="47" t="s">
        <v>562</v>
      </c>
      <c r="C51" s="50">
        <v>3</v>
      </c>
      <c r="D51" s="50" t="s">
        <v>128</v>
      </c>
      <c r="E51" s="51" t="s">
        <v>331</v>
      </c>
      <c r="F51" s="51" t="s">
        <v>324</v>
      </c>
      <c r="G51" s="64" t="str">
        <f t="shared" si="126"/>
        <v>[effect:enemy_message, val1:2.4, val2:1.7, dead_type:escape]</v>
      </c>
      <c r="H51" s="64">
        <f t="shared" si="127"/>
        <v>9</v>
      </c>
      <c r="I51" s="64">
        <f t="shared" si="128"/>
        <v>22</v>
      </c>
      <c r="J51" s="64" t="e">
        <f t="shared" si="129"/>
        <v>#VALUE!</v>
      </c>
      <c r="K51" s="64">
        <f t="shared" si="130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131"/>
        <v>none</v>
      </c>
      <c r="N51" s="48" t="str">
        <f>IFERROR(LEFT(M51,FIND("],",M51)+S74),M51)</f>
        <v>none</v>
      </c>
      <c r="O51" s="64" t="e">
        <f t="shared" si="132"/>
        <v>#VALUE!</v>
      </c>
      <c r="P51" s="64">
        <f t="shared" si="133"/>
        <v>4</v>
      </c>
      <c r="Q51" s="64" t="e">
        <f t="shared" si="134"/>
        <v>#VALUE!</v>
      </c>
      <c r="R51" s="64" t="e">
        <f t="shared" si="135"/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136"/>
        <v>none</v>
      </c>
      <c r="U51" s="64" t="e">
        <f t="shared" si="137"/>
        <v>#VALUE!</v>
      </c>
      <c r="V51" s="64">
        <f t="shared" si="138"/>
        <v>4</v>
      </c>
      <c r="W51" s="64" t="e">
        <f t="shared" si="139"/>
        <v>#VALUE!</v>
      </c>
      <c r="X51" s="64" t="e">
        <f t="shared" si="140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49" customHeight="1" x14ac:dyDescent="0.15">
      <c r="A52" s="114">
        <v>47008521</v>
      </c>
      <c r="B52" s="47" t="s">
        <v>408</v>
      </c>
      <c r="C52" s="50">
        <v>3</v>
      </c>
      <c r="D52" s="50" t="s">
        <v>128</v>
      </c>
      <c r="E52" s="51" t="s">
        <v>353</v>
      </c>
      <c r="F52" s="51" t="s">
        <v>279</v>
      </c>
      <c r="G52" s="64" t="str">
        <f t="shared" si="126"/>
        <v>[effect:enemy_message, val1:1.2, val2:1.8]</v>
      </c>
      <c r="H52" s="64">
        <f t="shared" si="127"/>
        <v>9</v>
      </c>
      <c r="I52" s="64">
        <f t="shared" si="128"/>
        <v>22</v>
      </c>
      <c r="J52" s="64" t="e">
        <f t="shared" si="129"/>
        <v>#VALUE!</v>
      </c>
      <c r="K52" s="64">
        <f t="shared" si="130"/>
        <v>32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si="131"/>
        <v>[effect:critical, val:0.4],[effect:damage_gravity, val:0.5, animation:fevergauge_down]</v>
      </c>
      <c r="N52" s="48" t="str">
        <f>IFERROR(LEFT(M52,FIND("],",M52)+S74),M52)</f>
        <v>[effect:critical, val:0.4],[effect:damage_gravity, val:0.5, animation:fevergauge_down]</v>
      </c>
      <c r="O52" s="64">
        <f t="shared" si="132"/>
        <v>9</v>
      </c>
      <c r="P52" s="64">
        <f t="shared" si="133"/>
        <v>17</v>
      </c>
      <c r="Q52" s="64" t="e">
        <f t="shared" si="134"/>
        <v>#VALUE!</v>
      </c>
      <c r="R52" s="64">
        <f t="shared" si="135"/>
        <v>27</v>
      </c>
      <c r="S52" s="64" t="str">
        <f>IFERROR(VLOOKUP(MID(N52,Q52,R52-Q52),[6]skilldef!$C:$D,2,FALSE),"-") &amp; " / " &amp; IFERROR(VLOOKUP(MID(N52,O52,P52-O52),[6]skilldef!$A:$B,2,FALSE),"-")</f>
        <v>- / 大攻撃</v>
      </c>
      <c r="T52" s="48" t="str">
        <f t="shared" si="136"/>
        <v>[effect:damage_gravity, val:0.5, animation:fevergauge_down]</v>
      </c>
      <c r="U52" s="64">
        <f t="shared" si="137"/>
        <v>9</v>
      </c>
      <c r="V52" s="64">
        <f t="shared" si="138"/>
        <v>23</v>
      </c>
      <c r="W52" s="64" t="e">
        <f t="shared" si="139"/>
        <v>#VALUE!</v>
      </c>
      <c r="X52" s="64">
        <f t="shared" si="140"/>
        <v>32</v>
      </c>
      <c r="Y52" s="64" t="str">
        <f>IFERROR(VLOOKUP(MID(T52,W52,X52-W52),[6]skilldef!$C:$D,2,FALSE),"-") &amp; " / " &amp; IFERROR(VLOOKUP(MID(T52,U52,V52-U52),[6]skilldef!$A:$B,2,FALSE),"-")</f>
        <v>- / 割合ダメージ</v>
      </c>
      <c r="Z52" s="50"/>
      <c r="AA52" s="52"/>
      <c r="AB52" s="50"/>
    </row>
    <row r="53" spans="1:28" ht="65" customHeight="1" x14ac:dyDescent="0.15">
      <c r="A53" s="109">
        <v>47008006</v>
      </c>
      <c r="B53" s="47" t="s">
        <v>409</v>
      </c>
      <c r="C53" s="50">
        <v>3</v>
      </c>
      <c r="D53" s="50" t="s">
        <v>128</v>
      </c>
      <c r="E53" s="51" t="s">
        <v>328</v>
      </c>
      <c r="F53" s="51" t="s">
        <v>430</v>
      </c>
      <c r="G53" s="64" t="str">
        <f t="shared" ref="G53:G70" si="141">IFERROR(LEFT(B53,FIND("],",B53)),B53)</f>
        <v>[effect:enemy_message, val1:1.6, val2:6.1]</v>
      </c>
      <c r="H53" s="64">
        <f t="shared" ref="H53:H70" si="142">FIND("effect:",G53)+7</f>
        <v>9</v>
      </c>
      <c r="I53" s="64">
        <f t="shared" ref="I53:I70" si="143">IFERROR(FIND(",",G53),LEN(G53))</f>
        <v>22</v>
      </c>
      <c r="J53" s="64" t="e">
        <f t="shared" ref="J53:J70" si="144">FIND("target:",G53)+7</f>
        <v>#VALUE!</v>
      </c>
      <c r="K53" s="64">
        <f t="shared" ref="K53:K70" si="145">FIND(",",G53,I53+1)</f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ref="M53:M70" si="146">IFERROR(RIGHT(B53,LEN(B53)-FIND("],",B53)-1),"none")</f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val:2],[effect:fix_speed, target:myself, turn:2]</v>
      </c>
      <c r="N53" s="48" t="str">
        <f>IFERROR(LEFT(M53,FIND("],",M53)+S72),M53)</f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val:2],[effect:fix_speed, target:myself, turn:2]</v>
      </c>
      <c r="O53" s="64">
        <f t="shared" ref="O53:O70" si="147">FIND("effect:",N53)+7</f>
        <v>9</v>
      </c>
      <c r="P53" s="64">
        <f t="shared" ref="P53:P70" si="148">IFERROR(FIND(",",N53),LEN(N53))</f>
        <v>20</v>
      </c>
      <c r="Q53" s="64">
        <f t="shared" ref="Q53:Q70" si="149">FIND("target:",N53)+7</f>
        <v>138</v>
      </c>
      <c r="R53" s="64">
        <f t="shared" ref="R53:R70" si="150">FIND(",",N53,P53+1)</f>
        <v>29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ref="T53:T70" si="151">IFERROR(RIGHT(M53,LEN(M53)-FIND("],",M53)-1),"none")</f>
        <v>[effect:enemy_counter, target:myself, invoke_condition:unit_all, counter_target:attacker, turn:-1, val:0.2, animation:enemy_counter],[effect:sp_boost, target:unit_all, val:2],[effect:fix_speed, target:myself, turn:2]</v>
      </c>
      <c r="U53" s="64">
        <f t="shared" ref="U53:U70" si="152">FIND("effect:",T53)+7</f>
        <v>9</v>
      </c>
      <c r="V53" s="64">
        <f t="shared" ref="V53:V70" si="153">IFERROR(FIND(",",T53),LEN(T53))</f>
        <v>22</v>
      </c>
      <c r="W53" s="64">
        <f t="shared" ref="W53:W70" si="154">FIND("target:",T53)+7</f>
        <v>31</v>
      </c>
      <c r="X53" s="64">
        <f t="shared" ref="X53:X70" si="155">FIND(",",T53,V53+1)</f>
        <v>37</v>
      </c>
      <c r="Y53" s="64" t="str">
        <f>IFERROR(VLOOKUP(MID(T53,W53,X53-W53),[6]skilldef!$C:$D,2,FALSE),"-") &amp; " / " &amp; IFERROR(VLOOKUP(MID(T53,U53,V53-U53),[6]skilldef!$A:$B,2,FALSE),"-")</f>
        <v>自分自身に / カウンター</v>
      </c>
      <c r="Z53" s="50"/>
      <c r="AA53" s="52"/>
      <c r="AB53" s="50"/>
    </row>
    <row r="54" spans="1:28" ht="76" customHeight="1" x14ac:dyDescent="0.15">
      <c r="A54" s="109">
        <v>47008007</v>
      </c>
      <c r="B54" s="47" t="s">
        <v>410</v>
      </c>
      <c r="C54" s="50">
        <v>3</v>
      </c>
      <c r="D54" s="50" t="s">
        <v>128</v>
      </c>
      <c r="E54" s="51" t="s">
        <v>350</v>
      </c>
      <c r="F54" s="51" t="s">
        <v>431</v>
      </c>
      <c r="G54" s="64" t="str">
        <f t="shared" si="141"/>
        <v>[effect:enemy_message, val1:1.9, val2:6.1]</v>
      </c>
      <c r="H54" s="64">
        <f t="shared" si="142"/>
        <v>9</v>
      </c>
      <c r="I54" s="64">
        <f t="shared" si="143"/>
        <v>22</v>
      </c>
      <c r="J54" s="64" t="e">
        <f t="shared" si="144"/>
        <v>#VALUE!</v>
      </c>
      <c r="K54" s="64">
        <f t="shared" si="145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146"/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val:1]</v>
      </c>
      <c r="N54" s="48" t="str">
        <f>IFERROR(LEFT(M54,FIND("],",M54)+S73),M54)</f>
        <v>[effect:drop_freeze, turn:-1, block_type:normal, block_color:block_blue, rate:0.3, animation:drop_protect],[effect:enemy_counter, target:myself, invoke_condition:unit_all, counter_target:attacker, turn:-1, val:0.2, animation:enemy_counter],[effect:sp_boost, target:unit_all, val:1]</v>
      </c>
      <c r="O54" s="64">
        <f t="shared" si="147"/>
        <v>9</v>
      </c>
      <c r="P54" s="64">
        <f t="shared" si="148"/>
        <v>20</v>
      </c>
      <c r="Q54" s="64">
        <f t="shared" si="149"/>
        <v>138</v>
      </c>
      <c r="R54" s="64">
        <f t="shared" si="150"/>
        <v>29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151"/>
        <v>[effect:enemy_counter, target:myself, invoke_condition:unit_all, counter_target:attacker, turn:-1, val:0.2, animation:enemy_counter],[effect:sp_boost, target:unit_all, val:1]</v>
      </c>
      <c r="U54" s="64">
        <f t="shared" si="152"/>
        <v>9</v>
      </c>
      <c r="V54" s="64">
        <f t="shared" si="153"/>
        <v>22</v>
      </c>
      <c r="W54" s="64">
        <f t="shared" si="154"/>
        <v>31</v>
      </c>
      <c r="X54" s="64">
        <f t="shared" si="155"/>
        <v>37</v>
      </c>
      <c r="Y54" s="64" t="str">
        <f>IFERROR(VLOOKUP(MID(T54,W54,X54-W54),[6]skilldef!$C:$D,2,FALSE),"-") &amp; " / " &amp; IFERROR(VLOOKUP(MID(T54,U54,V54-U54),[6]skilldef!$A:$B,2,FALSE),"-")</f>
        <v>自分自身に / カウンター</v>
      </c>
      <c r="Z54" s="50"/>
      <c r="AA54" s="52"/>
      <c r="AB54" s="50"/>
    </row>
    <row r="55" spans="1:28" ht="43" customHeight="1" x14ac:dyDescent="0.15">
      <c r="A55" s="109">
        <v>47008008</v>
      </c>
      <c r="B55" s="47" t="s">
        <v>411</v>
      </c>
      <c r="C55" s="50">
        <v>3</v>
      </c>
      <c r="D55" s="50" t="s">
        <v>128</v>
      </c>
      <c r="E55" s="51" t="s">
        <v>319</v>
      </c>
      <c r="F55" s="51" t="s">
        <v>432</v>
      </c>
      <c r="G55" s="64" t="str">
        <f t="shared" si="141"/>
        <v>[effect:enemy_message, val1:1.8, val2:4.0]</v>
      </c>
      <c r="H55" s="64">
        <f t="shared" si="142"/>
        <v>9</v>
      </c>
      <c r="I55" s="64">
        <f t="shared" si="143"/>
        <v>22</v>
      </c>
      <c r="J55" s="64" t="e">
        <f t="shared" si="144"/>
        <v>#VALUE!</v>
      </c>
      <c r="K55" s="64">
        <f t="shared" si="145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146"/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N55" s="48" t="str">
        <f>IFERROR(LEFT(M55,FIND("],",M55)+S74),M55)</f>
        <v>[effect:drop_freeze, turn:-1, block_type:normal, block_color:block_blue, rate:0.3, animation:drop_protect],[effect:enemy_counter, target:myself, invoke_condition:unit_all, counter_target:attacker, turn:-1, val:0.2, animation:enemy_counter]</v>
      </c>
      <c r="O55" s="64">
        <f t="shared" si="147"/>
        <v>9</v>
      </c>
      <c r="P55" s="64">
        <f t="shared" si="148"/>
        <v>20</v>
      </c>
      <c r="Q55" s="64">
        <f t="shared" si="149"/>
        <v>138</v>
      </c>
      <c r="R55" s="64">
        <f t="shared" si="150"/>
        <v>29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151"/>
        <v>[effect:enemy_counter, target:myself, invoke_condition:unit_all, counter_target:attacker, turn:-1, val:0.2, animation:enemy_counter]</v>
      </c>
      <c r="U55" s="64">
        <f t="shared" si="152"/>
        <v>9</v>
      </c>
      <c r="V55" s="64">
        <f t="shared" si="153"/>
        <v>22</v>
      </c>
      <c r="W55" s="64">
        <f t="shared" si="154"/>
        <v>31</v>
      </c>
      <c r="X55" s="64">
        <f t="shared" si="155"/>
        <v>37</v>
      </c>
      <c r="Y55" s="64" t="str">
        <f>IFERROR(VLOOKUP(MID(T55,W55,X55-W55),[6]skilldef!$C:$D,2,FALSE),"-") &amp; " / " &amp; IFERROR(VLOOKUP(MID(T55,U55,V55-U55),[6]skilldef!$A:$B,2,FALSE),"-")</f>
        <v>自分自身に / カウンター</v>
      </c>
      <c r="Z55" s="50"/>
      <c r="AA55" s="52"/>
      <c r="AB55" s="50"/>
    </row>
    <row r="56" spans="1:28" ht="21" customHeight="1" x14ac:dyDescent="0.15">
      <c r="A56" s="109">
        <v>47008009</v>
      </c>
      <c r="B56" s="47" t="s">
        <v>450</v>
      </c>
      <c r="C56" s="50">
        <v>3</v>
      </c>
      <c r="D56" s="50" t="s">
        <v>128</v>
      </c>
      <c r="E56" s="51" t="s">
        <v>284</v>
      </c>
      <c r="F56" s="51" t="s">
        <v>436</v>
      </c>
      <c r="G56" s="64" t="str">
        <f t="shared" si="141"/>
        <v>[effect:enemy_message, val1:1.6, val2:1.2]</v>
      </c>
      <c r="H56" s="64">
        <f t="shared" si="142"/>
        <v>9</v>
      </c>
      <c r="I56" s="64">
        <f t="shared" si="143"/>
        <v>22</v>
      </c>
      <c r="J56" s="64" t="e">
        <f t="shared" si="144"/>
        <v>#VALUE!</v>
      </c>
      <c r="K56" s="64">
        <f t="shared" si="145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146"/>
        <v>[effect:damage_fix_absolute, target:unit_one, val:4000]</v>
      </c>
      <c r="N56" s="48" t="str">
        <f>IFERROR(LEFT(M56,FIND("],",M56)+S75),M56)</f>
        <v>[effect:damage_fix_absolute, target:unit_one, val:4000]</v>
      </c>
      <c r="O56" s="64">
        <f t="shared" si="147"/>
        <v>9</v>
      </c>
      <c r="P56" s="64">
        <f t="shared" si="148"/>
        <v>28</v>
      </c>
      <c r="Q56" s="64">
        <f t="shared" si="149"/>
        <v>37</v>
      </c>
      <c r="R56" s="64">
        <f t="shared" si="150"/>
        <v>45</v>
      </c>
      <c r="S56" s="64" t="str">
        <f>IFERROR(VLOOKUP(MID(N56,Q56,R56-Q56),[6]skilldef!$C:$D,2,FALSE),"-") &amp; " / " &amp; IFERROR(VLOOKUP(MID(N56,O56,P56-O56),[6]skilldef!$A:$B,2,FALSE),"-")</f>
        <v>味方単体に / -</v>
      </c>
      <c r="T56" s="48" t="str">
        <f t="shared" si="151"/>
        <v>none</v>
      </c>
      <c r="U56" s="64" t="e">
        <f t="shared" si="152"/>
        <v>#VALUE!</v>
      </c>
      <c r="V56" s="64">
        <f t="shared" si="153"/>
        <v>4</v>
      </c>
      <c r="W56" s="64" t="e">
        <f t="shared" si="154"/>
        <v>#VALUE!</v>
      </c>
      <c r="X56" s="64" t="e">
        <f t="shared" si="155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36" customHeight="1" x14ac:dyDescent="0.15">
      <c r="A57" s="110">
        <v>47008107</v>
      </c>
      <c r="B57" s="47" t="s">
        <v>412</v>
      </c>
      <c r="C57" s="50">
        <v>3</v>
      </c>
      <c r="D57" s="50" t="s">
        <v>128</v>
      </c>
      <c r="E57" s="51" t="s">
        <v>389</v>
      </c>
      <c r="F57" s="51" t="s">
        <v>382</v>
      </c>
      <c r="G57" s="64" t="str">
        <f t="shared" si="141"/>
        <v>[effect:enemy_message, val1:1.2, val2:2.2]</v>
      </c>
      <c r="H57" s="64">
        <f t="shared" si="142"/>
        <v>9</v>
      </c>
      <c r="I57" s="64">
        <f t="shared" si="143"/>
        <v>22</v>
      </c>
      <c r="J57" s="64" t="e">
        <f t="shared" si="144"/>
        <v>#VALUE!</v>
      </c>
      <c r="K57" s="64">
        <f t="shared" si="145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146"/>
        <v>[effect:fix_speed, target:myself, turn:2],[effect:tolerance, target:myself, turn:-1, count:-1, tolerance_effect:all, animation:enemy_tolerance]</v>
      </c>
      <c r="N57" s="48" t="str">
        <f>IFERROR(LEFT(M57,FIND("],",M57)+S75),M57)</f>
        <v>[effect:fix_speed, target:myself, turn:2],[effect:tolerance, target:myself, turn:-1, count:-1, tolerance_effect:all, animation:enemy_tolerance]</v>
      </c>
      <c r="O57" s="64">
        <f t="shared" si="147"/>
        <v>9</v>
      </c>
      <c r="P57" s="64">
        <f t="shared" si="148"/>
        <v>18</v>
      </c>
      <c r="Q57" s="64">
        <f t="shared" si="149"/>
        <v>27</v>
      </c>
      <c r="R57" s="64">
        <f t="shared" si="150"/>
        <v>33</v>
      </c>
      <c r="S57" s="64" t="str">
        <f>IFERROR(VLOOKUP(MID(N57,Q57,R57-Q57),[6]skilldef!$C:$D,2,FALSE),"-") &amp; " / " &amp; IFERROR(VLOOKUP(MID(N57,O57,P57-O57),[6]skilldef!$A:$B,2,FALSE),"-")</f>
        <v>自分自身に / 行動値設定</v>
      </c>
      <c r="T57" s="48" t="str">
        <f t="shared" si="151"/>
        <v>[effect:tolerance, target:myself, turn:-1, count:-1, tolerance_effect:all, animation:enemy_tolerance]</v>
      </c>
      <c r="U57" s="64">
        <f t="shared" si="152"/>
        <v>9</v>
      </c>
      <c r="V57" s="64">
        <f t="shared" si="153"/>
        <v>18</v>
      </c>
      <c r="W57" s="64">
        <f t="shared" si="154"/>
        <v>27</v>
      </c>
      <c r="X57" s="64">
        <f t="shared" si="155"/>
        <v>33</v>
      </c>
      <c r="Y57" s="64" t="str">
        <f>IFERROR(VLOOKUP(MID(T57,W57,X57-W57),[6]skilldef!$C:$D,2,FALSE),"-") &amp; " / " &amp; IFERROR(VLOOKUP(MID(T57,U57,V57-U57),[6]skilldef!$A:$B,2,FALSE),"-")</f>
        <v>自分自身に / 状態異常耐性</v>
      </c>
      <c r="Z57" s="50"/>
      <c r="AA57" s="52"/>
      <c r="AB57" s="50"/>
    </row>
    <row r="58" spans="1:28" ht="37" customHeight="1" x14ac:dyDescent="0.15">
      <c r="A58" s="110">
        <v>47008108</v>
      </c>
      <c r="B58" s="47" t="s">
        <v>539</v>
      </c>
      <c r="C58" s="50">
        <v>3</v>
      </c>
      <c r="D58" s="50" t="s">
        <v>128</v>
      </c>
      <c r="E58" s="51" t="s">
        <v>390</v>
      </c>
      <c r="F58" s="51" t="s">
        <v>381</v>
      </c>
      <c r="G58" s="64" t="str">
        <f t="shared" si="141"/>
        <v>[effect:enemy_message, val1:1.4, val2:2.2]</v>
      </c>
      <c r="H58" s="64">
        <f t="shared" si="142"/>
        <v>9</v>
      </c>
      <c r="I58" s="64">
        <f t="shared" si="143"/>
        <v>22</v>
      </c>
      <c r="J58" s="64" t="e">
        <f t="shared" si="144"/>
        <v>#VALUE!</v>
      </c>
      <c r="K58" s="64">
        <f t="shared" si="145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146"/>
        <v>[effect:fix_speed, target:myself, turn:2],[effect:tolerance, target:myself, turn:-1, count:-1, tolerance_effect:all, animation:enemy_tolerance]</v>
      </c>
      <c r="N58" s="48" t="str">
        <f>IFERROR(LEFT(M58,FIND("],",M58)+S71),M58)</f>
        <v>[effect:fix_speed, target:myself, turn:2],[effect:tolerance, target:myself, turn:-1, count:-1, tolerance_effect:all, animation:enemy_tolerance]</v>
      </c>
      <c r="O58" s="64">
        <f t="shared" si="147"/>
        <v>9</v>
      </c>
      <c r="P58" s="64">
        <f t="shared" si="148"/>
        <v>18</v>
      </c>
      <c r="Q58" s="64">
        <f t="shared" si="149"/>
        <v>27</v>
      </c>
      <c r="R58" s="64">
        <f t="shared" si="150"/>
        <v>33</v>
      </c>
      <c r="S58" s="64" t="str">
        <f>IFERROR(VLOOKUP(MID(N58,Q58,R58-Q58),[6]skilldef!$C:$D,2,FALSE),"-") &amp; " / " &amp; IFERROR(VLOOKUP(MID(N58,O58,P58-O58),[6]skilldef!$A:$B,2,FALSE),"-")</f>
        <v>自分自身に / 行動値設定</v>
      </c>
      <c r="T58" s="48" t="str">
        <f t="shared" si="151"/>
        <v>[effect:tolerance, target:myself, turn:-1, count:-1, tolerance_effect:all, animation:enemy_tolerance]</v>
      </c>
      <c r="U58" s="64">
        <f t="shared" si="152"/>
        <v>9</v>
      </c>
      <c r="V58" s="64">
        <f t="shared" si="153"/>
        <v>18</v>
      </c>
      <c r="W58" s="64">
        <f t="shared" si="154"/>
        <v>27</v>
      </c>
      <c r="X58" s="64">
        <f t="shared" si="155"/>
        <v>33</v>
      </c>
      <c r="Y58" s="64" t="str">
        <f>IFERROR(VLOOKUP(MID(T58,W58,X58-W58),[6]skilldef!$C:$D,2,FALSE),"-") &amp; " / " &amp; IFERROR(VLOOKUP(MID(T58,U58,V58-U58),[6]skilldef!$A:$B,2,FALSE),"-")</f>
        <v>自分自身に / 状態異常耐性</v>
      </c>
      <c r="Z58" s="50"/>
      <c r="AA58" s="52"/>
      <c r="AB58" s="50"/>
    </row>
    <row r="59" spans="1:28" ht="21" customHeight="1" x14ac:dyDescent="0.15">
      <c r="A59" s="111">
        <v>47008207</v>
      </c>
      <c r="B59" s="47" t="s">
        <v>573</v>
      </c>
      <c r="C59" s="50">
        <v>3</v>
      </c>
      <c r="D59" s="50" t="s">
        <v>128</v>
      </c>
      <c r="E59" s="51" t="s">
        <v>571</v>
      </c>
      <c r="F59" s="51" t="s">
        <v>314</v>
      </c>
      <c r="G59" s="64" t="str">
        <f t="shared" si="141"/>
        <v>[effect:enemy_message, val1:1.4, val2:2.5]</v>
      </c>
      <c r="H59" s="64">
        <f t="shared" si="142"/>
        <v>9</v>
      </c>
      <c r="I59" s="64">
        <f t="shared" si="143"/>
        <v>22</v>
      </c>
      <c r="J59" s="64" t="e">
        <f t="shared" si="144"/>
        <v>#VALUE!</v>
      </c>
      <c r="K59" s="64">
        <f t="shared" si="145"/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146"/>
        <v>[effect:degrade_unit, target:unit_all, turn:1, status:attack, val:0.2, calc:mul],[effect:critical, val:0.8]</v>
      </c>
      <c r="N59" s="48" t="str">
        <f>IFERROR(LEFT(M59,FIND("],",M59)+S70),M59)</f>
        <v>[effect:degrade_unit, target:unit_all, turn:1, status:attack, val:0.2, calc:mul],[effect:critical, val:0.8]</v>
      </c>
      <c r="O59" s="64">
        <f t="shared" si="147"/>
        <v>9</v>
      </c>
      <c r="P59" s="64">
        <f t="shared" si="148"/>
        <v>21</v>
      </c>
      <c r="Q59" s="64">
        <f t="shared" si="149"/>
        <v>30</v>
      </c>
      <c r="R59" s="64">
        <f t="shared" si="150"/>
        <v>38</v>
      </c>
      <c r="S59" s="64" t="str">
        <f>IFERROR(VLOOKUP(MID(N59,Q59,R59-Q59),[6]skilldef!$C:$D,2,FALSE),"-") &amp; " / " &amp; IFERROR(VLOOKUP(MID(N59,O59,P59-O59),[6]skilldef!$A:$B,2,FALSE),"-")</f>
        <v>味方全体に / ステータスDOWN</v>
      </c>
      <c r="T59" s="48" t="str">
        <f t="shared" si="151"/>
        <v>[effect:critical, val:0.8]</v>
      </c>
      <c r="U59" s="64">
        <f t="shared" si="152"/>
        <v>9</v>
      </c>
      <c r="V59" s="64">
        <f t="shared" si="153"/>
        <v>17</v>
      </c>
      <c r="W59" s="64" t="e">
        <f t="shared" si="154"/>
        <v>#VALUE!</v>
      </c>
      <c r="X59" s="64" t="e">
        <f t="shared" si="155"/>
        <v>#VALUE!</v>
      </c>
      <c r="Y59" s="64" t="str">
        <f>IFERROR(VLOOKUP(MID(T59,W59,X59-W59),[6]skilldef!$C:$D,2,FALSE),"-") &amp; " / " &amp; IFERROR(VLOOKUP(MID(T59,U59,V59-U59),[6]skilldef!$A:$B,2,FALSE),"-")</f>
        <v>- / 大攻撃</v>
      </c>
      <c r="Z59" s="50"/>
      <c r="AA59" s="52"/>
      <c r="AB59" s="50"/>
    </row>
    <row r="60" spans="1:28" ht="21" customHeight="1" x14ac:dyDescent="0.15">
      <c r="A60" s="111">
        <v>47008208</v>
      </c>
      <c r="B60" s="47" t="s">
        <v>413</v>
      </c>
      <c r="C60" s="50">
        <v>3</v>
      </c>
      <c r="D60" s="50" t="s">
        <v>128</v>
      </c>
      <c r="E60" s="51" t="s">
        <v>418</v>
      </c>
      <c r="F60" s="51" t="s">
        <v>315</v>
      </c>
      <c r="G60" s="64" t="str">
        <f t="shared" si="141"/>
        <v>[effect:enemy_message, val1:1.2, val2:2.5]</v>
      </c>
      <c r="H60" s="64">
        <f t="shared" si="142"/>
        <v>9</v>
      </c>
      <c r="I60" s="64">
        <f t="shared" si="143"/>
        <v>22</v>
      </c>
      <c r="J60" s="64" t="e">
        <f t="shared" si="144"/>
        <v>#VALUE!</v>
      </c>
      <c r="K60" s="64">
        <f t="shared" si="145"/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146"/>
        <v>[effect:degrade_unit, target:unit_all, turn:1, status:attack, val:0.3, calc:mul],[effect:critical, val:0.8]</v>
      </c>
      <c r="N60" s="48" t="str">
        <f>IFERROR(LEFT(M60,FIND("],",M60)+S71),M60)</f>
        <v>[effect:degrade_unit, target:unit_all, turn:1, status:attack, val:0.3, calc:mul],[effect:critical, val:0.8]</v>
      </c>
      <c r="O60" s="64">
        <f t="shared" si="147"/>
        <v>9</v>
      </c>
      <c r="P60" s="64">
        <f t="shared" si="148"/>
        <v>21</v>
      </c>
      <c r="Q60" s="64">
        <f t="shared" si="149"/>
        <v>30</v>
      </c>
      <c r="R60" s="64">
        <f t="shared" si="150"/>
        <v>38</v>
      </c>
      <c r="S60" s="64" t="str">
        <f>IFERROR(VLOOKUP(MID(N60,Q60,R60-Q60),[6]skilldef!$C:$D,2,FALSE),"-") &amp; " / " &amp; IFERROR(VLOOKUP(MID(N60,O60,P60-O60),[6]skilldef!$A:$B,2,FALSE),"-")</f>
        <v>味方全体に / ステータスDOWN</v>
      </c>
      <c r="T60" s="48" t="str">
        <f t="shared" si="151"/>
        <v>[effect:critical, val:0.8]</v>
      </c>
      <c r="U60" s="64">
        <f t="shared" si="152"/>
        <v>9</v>
      </c>
      <c r="V60" s="64">
        <f t="shared" si="153"/>
        <v>17</v>
      </c>
      <c r="W60" s="64" t="e">
        <f t="shared" si="154"/>
        <v>#VALUE!</v>
      </c>
      <c r="X60" s="64" t="e">
        <f t="shared" si="155"/>
        <v>#VALUE!</v>
      </c>
      <c r="Y60" s="64" t="str">
        <f>IFERROR(VLOOKUP(MID(T60,W60,X60-W60),[6]skilldef!$C:$D,2,FALSE),"-") &amp; " / " &amp; IFERROR(VLOOKUP(MID(T60,U60,V60-U60),[6]skilldef!$A:$B,2,FALSE),"-")</f>
        <v>- / 大攻撃</v>
      </c>
      <c r="Z60" s="50"/>
      <c r="AA60" s="52"/>
      <c r="AB60" s="50"/>
    </row>
    <row r="61" spans="1:28" ht="21" customHeight="1" x14ac:dyDescent="0.15">
      <c r="A61" s="111">
        <v>47008209</v>
      </c>
      <c r="B61" s="47" t="s">
        <v>356</v>
      </c>
      <c r="C61" s="50">
        <v>3</v>
      </c>
      <c r="D61" s="50" t="s">
        <v>128</v>
      </c>
      <c r="E61" s="51" t="s">
        <v>423</v>
      </c>
      <c r="F61" s="51" t="s">
        <v>316</v>
      </c>
      <c r="G61" s="64" t="str">
        <f t="shared" si="141"/>
        <v>[effect:enemy_message, val1:1.2, val2:2.5]</v>
      </c>
      <c r="H61" s="64">
        <f t="shared" si="142"/>
        <v>9</v>
      </c>
      <c r="I61" s="64">
        <f t="shared" si="143"/>
        <v>22</v>
      </c>
      <c r="J61" s="64" t="e">
        <f t="shared" si="144"/>
        <v>#VALUE!</v>
      </c>
      <c r="K61" s="64">
        <f t="shared" si="145"/>
        <v>32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si="146"/>
        <v>[effect:degrade_unit, target:unit_all, turn:1, status:attack, val:0.4, calc:mul],[effect:critical, val:0.8]</v>
      </c>
      <c r="N61" s="48" t="str">
        <f>IFERROR(LEFT(M61,FIND("],",M61)+S72),M61)</f>
        <v>[effect:degrade_unit, target:unit_all, turn:1, status:attack, val:0.4, calc:mul],[effect:critical, val:0.8]</v>
      </c>
      <c r="O61" s="64">
        <f t="shared" si="147"/>
        <v>9</v>
      </c>
      <c r="P61" s="64">
        <f t="shared" si="148"/>
        <v>21</v>
      </c>
      <c r="Q61" s="64">
        <f t="shared" si="149"/>
        <v>30</v>
      </c>
      <c r="R61" s="64">
        <f t="shared" si="150"/>
        <v>38</v>
      </c>
      <c r="S61" s="64" t="str">
        <f>IFERROR(VLOOKUP(MID(N61,Q61,R61-Q61),[6]skilldef!$C:$D,2,FALSE),"-") &amp; " / " &amp; IFERROR(VLOOKUP(MID(N61,O61,P61-O61),[6]skilldef!$A:$B,2,FALSE),"-")</f>
        <v>味方全体に / ステータスDOWN</v>
      </c>
      <c r="T61" s="48" t="str">
        <f t="shared" si="151"/>
        <v>[effect:critical, val:0.8]</v>
      </c>
      <c r="U61" s="64">
        <f t="shared" si="152"/>
        <v>9</v>
      </c>
      <c r="V61" s="64">
        <f t="shared" si="153"/>
        <v>17</v>
      </c>
      <c r="W61" s="64" t="e">
        <f t="shared" si="154"/>
        <v>#VALUE!</v>
      </c>
      <c r="X61" s="64" t="e">
        <f t="shared" si="155"/>
        <v>#VALUE!</v>
      </c>
      <c r="Y61" s="64" t="str">
        <f>IFERROR(VLOOKUP(MID(T61,W61,X61-W61),[6]skilldef!$C:$D,2,FALSE),"-") &amp; " / " &amp; IFERROR(VLOOKUP(MID(T61,U61,V61-U61),[6]skilldef!$A:$B,2,FALSE),"-")</f>
        <v>- / 大攻撃</v>
      </c>
      <c r="Z61" s="50"/>
      <c r="AA61" s="52"/>
      <c r="AB61" s="50"/>
    </row>
    <row r="62" spans="1:28" s="121" customFormat="1" ht="21" customHeight="1" x14ac:dyDescent="0.15">
      <c r="A62" s="117">
        <v>47008210</v>
      </c>
      <c r="B62" s="117" t="s">
        <v>348</v>
      </c>
      <c r="C62" s="50">
        <v>3</v>
      </c>
      <c r="D62" s="118" t="s">
        <v>128</v>
      </c>
      <c r="E62" s="119" t="s">
        <v>420</v>
      </c>
      <c r="F62" s="119" t="s">
        <v>317</v>
      </c>
      <c r="G62" s="119" t="str">
        <f t="shared" si="141"/>
        <v>[effect:enemy_message, val1:1.2, val2:2.5]</v>
      </c>
      <c r="H62" s="119">
        <f t="shared" si="142"/>
        <v>9</v>
      </c>
      <c r="I62" s="119">
        <f t="shared" si="143"/>
        <v>22</v>
      </c>
      <c r="J62" s="119" t="e">
        <f t="shared" si="144"/>
        <v>#VALUE!</v>
      </c>
      <c r="K62" s="119">
        <f t="shared" si="145"/>
        <v>32</v>
      </c>
      <c r="L62" s="119" t="str">
        <f>IFERROR(VLOOKUP(MID(G62,J62,K62-J62),[6]skilldef!$C:$D,2,FALSE),"-") &amp; " / " &amp; IFERROR(VLOOKUP(MID(G62,H62,I62-H62),[6]skilldef!$A:$B,2,FALSE),"-")</f>
        <v>- / -</v>
      </c>
      <c r="M62" s="119" t="str">
        <f t="shared" si="146"/>
        <v>[effect:degrade_unit, target:unit_all, turn:1, status:attack, val:0.5, calc:mul],[effect:critical, val:0.8]</v>
      </c>
      <c r="N62" s="117" t="str">
        <f>IFERROR(LEFT(M62,FIND("],",M62)+S73),M62)</f>
        <v>[effect:degrade_unit, target:unit_all, turn:1, status:attack, val:0.5, calc:mul],[effect:critical, val:0.8]</v>
      </c>
      <c r="O62" s="119">
        <f t="shared" si="147"/>
        <v>9</v>
      </c>
      <c r="P62" s="119">
        <f t="shared" si="148"/>
        <v>21</v>
      </c>
      <c r="Q62" s="119">
        <f t="shared" si="149"/>
        <v>30</v>
      </c>
      <c r="R62" s="119">
        <f t="shared" si="150"/>
        <v>38</v>
      </c>
      <c r="S62" s="119" t="str">
        <f>IFERROR(VLOOKUP(MID(N62,Q62,R62-Q62),[6]skilldef!$C:$D,2,FALSE),"-") &amp; " / " &amp; IFERROR(VLOOKUP(MID(N62,O62,P62-O62),[6]skilldef!$A:$B,2,FALSE),"-")</f>
        <v>味方全体に / ステータスDOWN</v>
      </c>
      <c r="T62" s="117" t="str">
        <f t="shared" si="151"/>
        <v>[effect:critical, val:0.8]</v>
      </c>
      <c r="U62" s="119">
        <f t="shared" si="152"/>
        <v>9</v>
      </c>
      <c r="V62" s="119">
        <f t="shared" si="153"/>
        <v>17</v>
      </c>
      <c r="W62" s="119" t="e">
        <f t="shared" si="154"/>
        <v>#VALUE!</v>
      </c>
      <c r="X62" s="119" t="e">
        <f t="shared" si="155"/>
        <v>#VALUE!</v>
      </c>
      <c r="Y62" s="119" t="str">
        <f>IFERROR(VLOOKUP(MID(T62,W62,X62-W62),[6]skilldef!$C:$D,2,FALSE),"-") &amp; " / " &amp; IFERROR(VLOOKUP(MID(T62,U62,V62-U62),[6]skilldef!$A:$B,2,FALSE),"-")</f>
        <v>- / 大攻撃</v>
      </c>
      <c r="Z62" s="118"/>
      <c r="AA62" s="120"/>
      <c r="AB62" s="118"/>
    </row>
    <row r="63" spans="1:28" ht="21" customHeight="1" x14ac:dyDescent="0.15">
      <c r="A63" s="112">
        <v>47008308</v>
      </c>
      <c r="B63" s="47" t="s">
        <v>451</v>
      </c>
      <c r="C63" s="50">
        <v>3</v>
      </c>
      <c r="D63" s="50" t="s">
        <v>128</v>
      </c>
      <c r="E63" s="51" t="s">
        <v>292</v>
      </c>
      <c r="F63" s="51" t="s">
        <v>437</v>
      </c>
      <c r="G63" s="64" t="str">
        <f t="shared" si="141"/>
        <v>[effect:enemy_message, val1:1.2, val2:1.3]</v>
      </c>
      <c r="H63" s="64">
        <f t="shared" si="142"/>
        <v>9</v>
      </c>
      <c r="I63" s="64">
        <f t="shared" si="143"/>
        <v>22</v>
      </c>
      <c r="J63" s="64" t="e">
        <f t="shared" si="144"/>
        <v>#VALUE!</v>
      </c>
      <c r="K63" s="64">
        <f t="shared" si="145"/>
        <v>32</v>
      </c>
      <c r="L63" s="64" t="str">
        <f>IFERROR(VLOOKUP(MID(G63,J63,K63-J63),[6]skilldef!$C:$D,2,FALSE),"-") &amp; " / " &amp; IFERROR(VLOOKUP(MID(G63,H63,I63-H63),[6]skilldef!$A:$B,2,FALSE),"-")</f>
        <v>- / -</v>
      </c>
      <c r="M63" s="64" t="str">
        <f t="shared" si="146"/>
        <v>[effect:damage_gravity, val:0.4, animation:fevergauge_down]</v>
      </c>
      <c r="N63" s="48" t="str">
        <f>IFERROR(LEFT(M63,FIND("],",M63)+S76),M63)</f>
        <v>[effect:damage_gravity, val:0.4, animation:fevergauge_down]</v>
      </c>
      <c r="O63" s="64">
        <f t="shared" si="147"/>
        <v>9</v>
      </c>
      <c r="P63" s="64">
        <f t="shared" si="148"/>
        <v>23</v>
      </c>
      <c r="Q63" s="64" t="e">
        <f t="shared" si="149"/>
        <v>#VALUE!</v>
      </c>
      <c r="R63" s="64">
        <f t="shared" si="150"/>
        <v>32</v>
      </c>
      <c r="S63" s="64" t="str">
        <f>IFERROR(VLOOKUP(MID(N63,Q63,R63-Q63),[6]skilldef!$C:$D,2,FALSE),"-") &amp; " / " &amp; IFERROR(VLOOKUP(MID(N63,O63,P63-O63),[6]skilldef!$A:$B,2,FALSE),"-")</f>
        <v>- / 割合ダメージ</v>
      </c>
      <c r="T63" s="48" t="str">
        <f t="shared" si="151"/>
        <v>none</v>
      </c>
      <c r="U63" s="64" t="e">
        <f t="shared" si="152"/>
        <v>#VALUE!</v>
      </c>
      <c r="V63" s="64">
        <f t="shared" si="153"/>
        <v>4</v>
      </c>
      <c r="W63" s="64" t="e">
        <f t="shared" si="154"/>
        <v>#VALUE!</v>
      </c>
      <c r="X63" s="64" t="e">
        <f t="shared" si="155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113">
        <v>47008405</v>
      </c>
      <c r="B64" s="47" t="s">
        <v>441</v>
      </c>
      <c r="C64" s="50">
        <v>3</v>
      </c>
      <c r="D64" s="50" t="s">
        <v>128</v>
      </c>
      <c r="E64" s="51" t="s">
        <v>306</v>
      </c>
      <c r="F64" s="51" t="s">
        <v>435</v>
      </c>
      <c r="G64" s="64" t="str">
        <f t="shared" si="141"/>
        <v>[effect:enemy_message, val1:1.2, val2:1.2]</v>
      </c>
      <c r="H64" s="64">
        <f t="shared" si="142"/>
        <v>9</v>
      </c>
      <c r="I64" s="64">
        <f t="shared" si="143"/>
        <v>22</v>
      </c>
      <c r="J64" s="64" t="e">
        <f t="shared" si="144"/>
        <v>#VALUE!</v>
      </c>
      <c r="K64" s="64">
        <f t="shared" si="145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146"/>
        <v>[effect:damage_fix_absolute, target:unit_one, val:3000]</v>
      </c>
      <c r="N64" s="48" t="str">
        <f>IFERROR(LEFT(M64,FIND("],",M64)+S76),M64)</f>
        <v>[effect:damage_fix_absolute, target:unit_one, val:3000]</v>
      </c>
      <c r="O64" s="64">
        <f t="shared" si="147"/>
        <v>9</v>
      </c>
      <c r="P64" s="64">
        <f t="shared" si="148"/>
        <v>28</v>
      </c>
      <c r="Q64" s="64">
        <f t="shared" si="149"/>
        <v>37</v>
      </c>
      <c r="R64" s="64">
        <f t="shared" si="150"/>
        <v>45</v>
      </c>
      <c r="S64" s="64" t="str">
        <f>IFERROR(VLOOKUP(MID(N64,Q64,R64-Q64),[6]skilldef!$C:$D,2,FALSE),"-") &amp; " / " &amp; IFERROR(VLOOKUP(MID(N64,O64,P64-O64),[6]skilldef!$A:$B,2,FALSE),"-")</f>
        <v>味方単体に / -</v>
      </c>
      <c r="T64" s="48" t="str">
        <f t="shared" si="151"/>
        <v>none</v>
      </c>
      <c r="U64" s="64" t="e">
        <f t="shared" si="152"/>
        <v>#VALUE!</v>
      </c>
      <c r="V64" s="64">
        <f t="shared" si="153"/>
        <v>4</v>
      </c>
      <c r="W64" s="64" t="e">
        <f t="shared" si="154"/>
        <v>#VALUE!</v>
      </c>
      <c r="X64" s="64" t="e">
        <f t="shared" si="155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42" customHeight="1" x14ac:dyDescent="0.15">
      <c r="A65" s="113">
        <v>47008406</v>
      </c>
      <c r="B65" s="47" t="s">
        <v>414</v>
      </c>
      <c r="C65" s="50">
        <v>3</v>
      </c>
      <c r="D65" s="50" t="s">
        <v>128</v>
      </c>
      <c r="E65" s="51" t="s">
        <v>307</v>
      </c>
      <c r="F65" s="51" t="s">
        <v>349</v>
      </c>
      <c r="G65" s="64" t="str">
        <f t="shared" si="141"/>
        <v>[effect:enemy_message, val1:1.8, val2:1.9]</v>
      </c>
      <c r="H65" s="64">
        <f t="shared" si="142"/>
        <v>9</v>
      </c>
      <c r="I65" s="64">
        <f t="shared" si="143"/>
        <v>22</v>
      </c>
      <c r="J65" s="64" t="e">
        <f t="shared" si="144"/>
        <v>#VALUE!</v>
      </c>
      <c r="K65" s="64">
        <f t="shared" si="145"/>
        <v>32</v>
      </c>
      <c r="L65" s="64" t="str">
        <f>IFERROR(VLOOKUP(MID(G65,J65,K65-J65),[6]skilldef!$C:$D,2,FALSE),"-") &amp; " / " &amp; IFERROR(VLOOKUP(MID(G65,H65,I65-H65),[6]skilldef!$A:$B,2,FALSE),"-")</f>
        <v>- / -</v>
      </c>
      <c r="M65" s="64" t="str">
        <f t="shared" si="146"/>
        <v>[effect:change_panel_ratio, turn:5, block_type:heal, val:0.1, animation:block_incidence04]</v>
      </c>
      <c r="N65" s="48" t="str">
        <f>IFERROR(LEFT(M65,FIND("],",M65)+S77),M65)</f>
        <v>[effect:change_panel_ratio, turn:5, block_type:heal, val:0.1, animation:block_incidence04]</v>
      </c>
      <c r="O65" s="64">
        <f t="shared" si="147"/>
        <v>9</v>
      </c>
      <c r="P65" s="64">
        <f t="shared" si="148"/>
        <v>27</v>
      </c>
      <c r="Q65" s="64" t="e">
        <f t="shared" si="149"/>
        <v>#VALUE!</v>
      </c>
      <c r="R65" s="64">
        <f t="shared" si="150"/>
        <v>35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si="151"/>
        <v>none</v>
      </c>
      <c r="U65" s="64" t="e">
        <f t="shared" si="152"/>
        <v>#VALUE!</v>
      </c>
      <c r="V65" s="64">
        <f t="shared" si="153"/>
        <v>4</v>
      </c>
      <c r="W65" s="64" t="e">
        <f t="shared" si="154"/>
        <v>#VALUE!</v>
      </c>
      <c r="X65" s="64" t="e">
        <f t="shared" si="155"/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113">
        <v>47008407</v>
      </c>
      <c r="B66" s="47" t="s">
        <v>342</v>
      </c>
      <c r="C66" s="50">
        <v>3</v>
      </c>
      <c r="D66" s="50" t="s">
        <v>128</v>
      </c>
      <c r="E66" s="51" t="s">
        <v>294</v>
      </c>
      <c r="F66" s="51" t="s">
        <v>287</v>
      </c>
      <c r="G66" s="64" t="str">
        <f t="shared" si="141"/>
        <v>[effect:enemy_message, val1:1.2, val2:2.5]</v>
      </c>
      <c r="H66" s="64">
        <f t="shared" si="142"/>
        <v>9</v>
      </c>
      <c r="I66" s="64">
        <f t="shared" si="143"/>
        <v>22</v>
      </c>
      <c r="J66" s="64" t="e">
        <f t="shared" si="144"/>
        <v>#VALUE!</v>
      </c>
      <c r="K66" s="64">
        <f t="shared" si="145"/>
        <v>32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si="146"/>
        <v>[effect:degrade_unit, target:unit_all, turn:3, status:attack, val:0.5, calc:mul],[effect:critical, val:1.0]</v>
      </c>
      <c r="N66" s="48" t="str">
        <f>IFERROR(LEFT(M66,FIND("],",M66)+S78),M66)</f>
        <v>[effect:degrade_unit, target:unit_all, turn:3, status:attack, val:0.5, calc:mul],[effect:critical, val:1.0]</v>
      </c>
      <c r="O66" s="64">
        <f t="shared" si="147"/>
        <v>9</v>
      </c>
      <c r="P66" s="64">
        <f t="shared" si="148"/>
        <v>21</v>
      </c>
      <c r="Q66" s="64">
        <f t="shared" si="149"/>
        <v>30</v>
      </c>
      <c r="R66" s="64">
        <f t="shared" si="150"/>
        <v>38</v>
      </c>
      <c r="S66" s="64" t="str">
        <f>IFERROR(VLOOKUP(MID(N66,Q66,R66-Q66),[6]skilldef!$C:$D,2,FALSE),"-") &amp; " / " &amp; IFERROR(VLOOKUP(MID(N66,O66,P66-O66),[6]skilldef!$A:$B,2,FALSE),"-")</f>
        <v>味方全体に / ステータスDOWN</v>
      </c>
      <c r="T66" s="48" t="str">
        <f t="shared" si="151"/>
        <v>[effect:critical, val:1.0]</v>
      </c>
      <c r="U66" s="64">
        <f t="shared" si="152"/>
        <v>9</v>
      </c>
      <c r="V66" s="64">
        <f t="shared" si="153"/>
        <v>17</v>
      </c>
      <c r="W66" s="64" t="e">
        <f t="shared" si="154"/>
        <v>#VALUE!</v>
      </c>
      <c r="X66" s="64" t="e">
        <f t="shared" si="155"/>
        <v>#VALUE!</v>
      </c>
      <c r="Y66" s="64" t="str">
        <f>IFERROR(VLOOKUP(MID(T66,W66,X66-W66),[6]skilldef!$C:$D,2,FALSE),"-") &amp; " / " &amp; IFERROR(VLOOKUP(MID(T66,U66,V66-U66),[6]skilldef!$A:$B,2,FALSE),"-")</f>
        <v>- / 大攻撃</v>
      </c>
      <c r="Z66" s="50"/>
      <c r="AA66" s="52"/>
      <c r="AB66" s="50"/>
    </row>
    <row r="67" spans="1:28" ht="60" customHeight="1" x14ac:dyDescent="0.15">
      <c r="A67" s="114">
        <v>47008511</v>
      </c>
      <c r="B67" s="47" t="s">
        <v>540</v>
      </c>
      <c r="C67" s="50">
        <v>3</v>
      </c>
      <c r="D67" s="50" t="s">
        <v>128</v>
      </c>
      <c r="E67" s="51" t="s">
        <v>308</v>
      </c>
      <c r="F67" s="51" t="s">
        <v>438</v>
      </c>
      <c r="G67" s="64" t="str">
        <f t="shared" si="141"/>
        <v>[effect:enemy_message, val1:1.3, val2:4.2]</v>
      </c>
      <c r="H67" s="64">
        <f t="shared" si="142"/>
        <v>9</v>
      </c>
      <c r="I67" s="64">
        <f t="shared" si="143"/>
        <v>22</v>
      </c>
      <c r="J67" s="64" t="e">
        <f t="shared" si="144"/>
        <v>#VALUE!</v>
      </c>
      <c r="K67" s="64">
        <f t="shared" si="145"/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146"/>
        <v>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67" s="48" t="str">
        <f>IFERROR(LEFT(M67,FIND("],",M67)+S78),M67)</f>
        <v>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67" s="64">
        <f t="shared" si="147"/>
        <v>9</v>
      </c>
      <c r="P67" s="64">
        <f t="shared" si="148"/>
        <v>23</v>
      </c>
      <c r="Q67" s="64">
        <f t="shared" si="149"/>
        <v>120</v>
      </c>
      <c r="R67" s="64">
        <f t="shared" si="150"/>
        <v>33</v>
      </c>
      <c r="S67" s="64" t="str">
        <f>IFERROR(VLOOKUP(MID(N67,Q67,R67-Q67),[6]skilldef!$C:$D,2,FALSE),"-") &amp; " / " &amp; IFERROR(VLOOKUP(MID(N67,O67,P67-O67),[6]skilldef!$A:$B,2,FALSE),"-")</f>
        <v>- / 割合ダメージ</v>
      </c>
      <c r="T67" s="48" t="str">
        <f t="shared" si="151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67" s="64">
        <f t="shared" si="152"/>
        <v>9</v>
      </c>
      <c r="V67" s="64">
        <f t="shared" si="153"/>
        <v>27</v>
      </c>
      <c r="W67" s="64">
        <f t="shared" si="154"/>
        <v>59</v>
      </c>
      <c r="X67" s="64">
        <f t="shared" si="155"/>
        <v>50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114">
        <v>47008512</v>
      </c>
      <c r="B68" s="47" t="s">
        <v>415</v>
      </c>
      <c r="C68" s="50">
        <v>3</v>
      </c>
      <c r="D68" s="50" t="s">
        <v>128</v>
      </c>
      <c r="E68" s="51" t="s">
        <v>392</v>
      </c>
      <c r="F68" s="51" t="s">
        <v>288</v>
      </c>
      <c r="G68" s="64" t="str">
        <f t="shared" si="141"/>
        <v>[effect:enemy_message, val1:1.3, val2:2.5]</v>
      </c>
      <c r="H68" s="64">
        <f t="shared" si="142"/>
        <v>9</v>
      </c>
      <c r="I68" s="64">
        <f t="shared" si="143"/>
        <v>22</v>
      </c>
      <c r="J68" s="64" t="e">
        <f t="shared" si="144"/>
        <v>#VALUE!</v>
      </c>
      <c r="K68" s="64">
        <f t="shared" si="145"/>
        <v>32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si="146"/>
        <v>[effect:degrade_unit, target:unit_all, turn:1, status:attack, val:0.2, calc:mul],[effect:critical, val:1.0]</v>
      </c>
      <c r="N68" s="48" t="str">
        <f>IFERROR(LEFT(M68,FIND("],",M68)+S78),M68)</f>
        <v>[effect:degrade_unit, target:unit_all, turn:1, status:attack, val:0.2, calc:mul],[effect:critical, val:1.0]</v>
      </c>
      <c r="O68" s="64">
        <f t="shared" si="147"/>
        <v>9</v>
      </c>
      <c r="P68" s="64">
        <f t="shared" si="148"/>
        <v>21</v>
      </c>
      <c r="Q68" s="64">
        <f t="shared" si="149"/>
        <v>30</v>
      </c>
      <c r="R68" s="64">
        <f t="shared" si="150"/>
        <v>38</v>
      </c>
      <c r="S68" s="64" t="str">
        <f>IFERROR(VLOOKUP(MID(N68,Q68,R68-Q68),[6]skilldef!$C:$D,2,FALSE),"-") &amp; " / " &amp; IFERROR(VLOOKUP(MID(N68,O68,P68-O68),[6]skilldef!$A:$B,2,FALSE),"-")</f>
        <v>味方全体に / ステータスDOWN</v>
      </c>
      <c r="T68" s="48" t="str">
        <f t="shared" si="151"/>
        <v>[effect:critical, val:1.0]</v>
      </c>
      <c r="U68" s="64">
        <f t="shared" si="152"/>
        <v>9</v>
      </c>
      <c r="V68" s="64">
        <f t="shared" si="153"/>
        <v>17</v>
      </c>
      <c r="W68" s="64" t="e">
        <f t="shared" si="154"/>
        <v>#VALUE!</v>
      </c>
      <c r="X68" s="64" t="e">
        <f t="shared" si="155"/>
        <v>#VALUE!</v>
      </c>
      <c r="Y68" s="64" t="str">
        <f>IFERROR(VLOOKUP(MID(T68,W68,X68-W68),[6]skilldef!$C:$D,2,FALSE),"-") &amp; " / " &amp; IFERROR(VLOOKUP(MID(T68,U68,V68-U68),[6]skilldef!$A:$B,2,FALSE),"-")</f>
        <v>- / 大攻撃</v>
      </c>
      <c r="Z68" s="50"/>
      <c r="AA68" s="52"/>
      <c r="AB68" s="50"/>
    </row>
    <row r="69" spans="1:28" ht="34" customHeight="1" x14ac:dyDescent="0.15">
      <c r="A69" s="114">
        <v>47008513</v>
      </c>
      <c r="B69" s="47" t="s">
        <v>452</v>
      </c>
      <c r="C69" s="50">
        <v>3</v>
      </c>
      <c r="D69" s="50" t="s">
        <v>128</v>
      </c>
      <c r="E69" s="51" t="s">
        <v>393</v>
      </c>
      <c r="F69" s="51" t="s">
        <v>424</v>
      </c>
      <c r="G69" s="64" t="str">
        <f t="shared" si="141"/>
        <v>[effect:enemy_message, val1:1.3, val2:1.9]</v>
      </c>
      <c r="H69" s="64">
        <f t="shared" si="142"/>
        <v>9</v>
      </c>
      <c r="I69" s="64">
        <f t="shared" si="143"/>
        <v>22</v>
      </c>
      <c r="J69" s="64" t="e">
        <f t="shared" si="144"/>
        <v>#VALUE!</v>
      </c>
      <c r="K69" s="64">
        <f t="shared" si="145"/>
        <v>32</v>
      </c>
      <c r="L69" s="64" t="str">
        <f>IFERROR(VLOOKUP(MID(G69,J69,K69-J69),[6]skilldef!$C:$D,2,FALSE),"-") &amp; " / " &amp; IFERROR(VLOOKUP(MID(G69,H69,I69-H69),[6]skilldef!$A:$B,2,FALSE),"-")</f>
        <v>- / -</v>
      </c>
      <c r="M69" s="64" t="str">
        <f t="shared" si="146"/>
        <v>[effect:force_change_block, new_block:block_heart, target:block_all, ignore01:crash, ignore02:crack_bomb, ignore03:color_break, ignore04:magnet, ignore05:block_heart, count:10, val:0]</v>
      </c>
      <c r="N69" s="48" t="str">
        <f>IFERROR(LEFT(M69,FIND("],",M69)+S79),M69)</f>
        <v>[effect:force_change_block, new_block:block_heart, target:block_all, ignore01:crash, ignore02:crack_bomb, ignore03:color_break, ignore04:magnet, ignore05:block_heart, count:10, val:0]</v>
      </c>
      <c r="O69" s="64">
        <f t="shared" si="147"/>
        <v>9</v>
      </c>
      <c r="P69" s="64">
        <f t="shared" si="148"/>
        <v>27</v>
      </c>
      <c r="Q69" s="64">
        <f t="shared" si="149"/>
        <v>59</v>
      </c>
      <c r="R69" s="64">
        <f t="shared" si="150"/>
        <v>50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si="151"/>
        <v>none</v>
      </c>
      <c r="U69" s="64" t="e">
        <f t="shared" si="152"/>
        <v>#VALUE!</v>
      </c>
      <c r="V69" s="64">
        <f t="shared" si="153"/>
        <v>4</v>
      </c>
      <c r="W69" s="64" t="e">
        <f t="shared" si="154"/>
        <v>#VALUE!</v>
      </c>
      <c r="X69" s="64" t="e">
        <f t="shared" si="155"/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49" customHeight="1" x14ac:dyDescent="0.15">
      <c r="A70" s="114">
        <v>47008520</v>
      </c>
      <c r="B70" s="47" t="s">
        <v>453</v>
      </c>
      <c r="C70" s="50">
        <v>3</v>
      </c>
      <c r="D70" s="50" t="s">
        <v>128</v>
      </c>
      <c r="E70" s="51" t="s">
        <v>301</v>
      </c>
      <c r="F70" s="51" t="s">
        <v>351</v>
      </c>
      <c r="G70" s="64" t="str">
        <f t="shared" si="141"/>
        <v>[effect:enemy_message, val1:2.0, val2:1.8]</v>
      </c>
      <c r="H70" s="64">
        <f t="shared" si="142"/>
        <v>9</v>
      </c>
      <c r="I70" s="64">
        <f t="shared" si="143"/>
        <v>22</v>
      </c>
      <c r="J70" s="64" t="e">
        <f t="shared" si="144"/>
        <v>#VALUE!</v>
      </c>
      <c r="K70" s="64">
        <f t="shared" si="145"/>
        <v>32</v>
      </c>
      <c r="L70" s="64" t="str">
        <f>IFERROR(VLOOKUP(MID(G70,J70,K70-J70),[6]skilldef!$C:$D,2,FALSE),"-") &amp; " / " &amp; IFERROR(VLOOKUP(MID(G70,H70,I70-H70),[6]skilldef!$A:$B,2,FALSE),"-")</f>
        <v>- / -</v>
      </c>
      <c r="M70" s="64" t="str">
        <f t="shared" si="146"/>
        <v>[effect:critical, val:0.2],[effect:damage_gravity, val:0.4, animation:fevergauge_down]</v>
      </c>
      <c r="N70" s="48" t="str">
        <f>IFERROR(LEFT(M70,FIND("],",M70)+S91),M70)</f>
        <v>[effect:critical, val:0.2],[effect:damage_gravity, val:0.4, animation:fevergauge_down]</v>
      </c>
      <c r="O70" s="64">
        <f t="shared" si="147"/>
        <v>9</v>
      </c>
      <c r="P70" s="64">
        <f t="shared" si="148"/>
        <v>17</v>
      </c>
      <c r="Q70" s="64" t="e">
        <f t="shared" si="149"/>
        <v>#VALUE!</v>
      </c>
      <c r="R70" s="64">
        <f t="shared" si="150"/>
        <v>27</v>
      </c>
      <c r="S70" s="64" t="str">
        <f>IFERROR(VLOOKUP(MID(N70,Q70,R70-Q70),[6]skilldef!$C:$D,2,FALSE),"-") &amp; " / " &amp; IFERROR(VLOOKUP(MID(N70,O70,P70-O70),[6]skilldef!$A:$B,2,FALSE),"-")</f>
        <v>- / 大攻撃</v>
      </c>
      <c r="T70" s="48" t="str">
        <f t="shared" si="151"/>
        <v>[effect:damage_gravity, val:0.4, animation:fevergauge_down]</v>
      </c>
      <c r="U70" s="64">
        <f t="shared" si="152"/>
        <v>9</v>
      </c>
      <c r="V70" s="64">
        <f t="shared" si="153"/>
        <v>23</v>
      </c>
      <c r="W70" s="64" t="e">
        <f t="shared" si="154"/>
        <v>#VALUE!</v>
      </c>
      <c r="X70" s="64">
        <f t="shared" si="155"/>
        <v>32</v>
      </c>
      <c r="Y70" s="64" t="str">
        <f>IFERROR(VLOOKUP(MID(T70,W70,X70-W70),[6]skilldef!$C:$D,2,FALSE),"-") &amp; " / " &amp; IFERROR(VLOOKUP(MID(T70,U70,V70-U70),[6]skilldef!$A:$B,2,FALSE),"-")</f>
        <v>- / 割合ダメージ</v>
      </c>
      <c r="Z70" s="50"/>
      <c r="AA70" s="52"/>
      <c r="AB70" s="50"/>
    </row>
    <row r="71" spans="1:28" ht="49" customHeight="1" x14ac:dyDescent="0.15">
      <c r="A71" s="114">
        <v>47008522</v>
      </c>
      <c r="B71" s="47" t="s">
        <v>454</v>
      </c>
      <c r="C71" s="50">
        <v>3</v>
      </c>
      <c r="D71" s="50" t="s">
        <v>128</v>
      </c>
      <c r="E71" s="51" t="s">
        <v>354</v>
      </c>
      <c r="F71" s="51" t="s">
        <v>351</v>
      </c>
      <c r="G71" s="64" t="str">
        <f t="shared" ref="G71:G113" si="156">IFERROR(LEFT(B71,FIND("],",B71)),B71)</f>
        <v>[effect:enemy_message, val1:1.2, val2:1.8]</v>
      </c>
      <c r="H71" s="64">
        <f t="shared" ref="H71:H113" si="157">FIND("effect:",G71)+7</f>
        <v>9</v>
      </c>
      <c r="I71" s="64">
        <f t="shared" ref="I71:I113" si="158">IFERROR(FIND(",",G71),LEN(G71))</f>
        <v>22</v>
      </c>
      <c r="J71" s="64" t="e">
        <f t="shared" ref="J71:J113" si="159">FIND("target:",G71)+7</f>
        <v>#VALUE!</v>
      </c>
      <c r="K71" s="64">
        <f t="shared" ref="K71:K113" si="160">FIND(",",G71,I71+1)</f>
        <v>32</v>
      </c>
      <c r="L71" s="64" t="str">
        <f>IFERROR(VLOOKUP(MID(G71,J71,K71-J71),[6]skilldef!$C:$D,2,FALSE),"-") &amp; " / " &amp; IFERROR(VLOOKUP(MID(G71,H71,I71-H71),[6]skilldef!$A:$B,2,FALSE),"-")</f>
        <v>- / -</v>
      </c>
      <c r="M71" s="64" t="str">
        <f t="shared" ref="M71:M113" si="161">IFERROR(RIGHT(B71,LEN(B71)-FIND("],",B71)-1),"none")</f>
        <v>[effect:critical, val:0.2],[effect:damage_gravity, val:0.4, animation:fevergauge_down]</v>
      </c>
      <c r="N71" s="48" t="str">
        <f>IFERROR(LEFT(M71,FIND("],",M71)+S92),M71)</f>
        <v>[effect:critical, val:0.2],[effect:damage_gravity, val:0.4, animation:fevergauge_down]</v>
      </c>
      <c r="O71" s="64">
        <f t="shared" ref="O71:O113" si="162">FIND("effect:",N71)+7</f>
        <v>9</v>
      </c>
      <c r="P71" s="64">
        <f t="shared" ref="P71:P113" si="163">IFERROR(FIND(",",N71),LEN(N71))</f>
        <v>17</v>
      </c>
      <c r="Q71" s="64" t="e">
        <f t="shared" ref="Q71:Q113" si="164">FIND("target:",N71)+7</f>
        <v>#VALUE!</v>
      </c>
      <c r="R71" s="64">
        <f t="shared" ref="R71:R113" si="165">FIND(",",N71,P71+1)</f>
        <v>27</v>
      </c>
      <c r="S71" s="64" t="str">
        <f>IFERROR(VLOOKUP(MID(N71,Q71,R71-Q71),[6]skilldef!$C:$D,2,FALSE),"-") &amp; " / " &amp; IFERROR(VLOOKUP(MID(N71,O71,P71-O71),[6]skilldef!$A:$B,2,FALSE),"-")</f>
        <v>- / 大攻撃</v>
      </c>
      <c r="T71" s="48" t="str">
        <f t="shared" ref="T71:T113" si="166">IFERROR(RIGHT(M71,LEN(M71)-FIND("],",M71)-1),"none")</f>
        <v>[effect:damage_gravity, val:0.4, animation:fevergauge_down]</v>
      </c>
      <c r="U71" s="64">
        <f t="shared" ref="U71:U113" si="167">FIND("effect:",T71)+7</f>
        <v>9</v>
      </c>
      <c r="V71" s="64">
        <f t="shared" ref="V71:V113" si="168">IFERROR(FIND(",",T71),LEN(T71))</f>
        <v>23</v>
      </c>
      <c r="W71" s="64" t="e">
        <f t="shared" ref="W71:W113" si="169">FIND("target:",T71)+7</f>
        <v>#VALUE!</v>
      </c>
      <c r="X71" s="64">
        <f t="shared" ref="X71:X113" si="170">FIND(",",T71,V71+1)</f>
        <v>32</v>
      </c>
      <c r="Y71" s="64" t="str">
        <f>IFERROR(VLOOKUP(MID(T71,W71,X71-W71),[6]skilldef!$C:$D,2,FALSE),"-") &amp; " / " &amp; IFERROR(VLOOKUP(MID(T71,U71,V71-U71),[6]skilldef!$A:$B,2,FALSE),"-")</f>
        <v>- / 割合ダメージ</v>
      </c>
      <c r="Z71" s="50"/>
      <c r="AA71" s="52"/>
      <c r="AB71" s="50"/>
    </row>
    <row r="72" spans="1:28" ht="21" customHeight="1" x14ac:dyDescent="0.15">
      <c r="A72" s="114">
        <v>47008523</v>
      </c>
      <c r="B72" s="47" t="s">
        <v>455</v>
      </c>
      <c r="C72" s="50">
        <v>3</v>
      </c>
      <c r="D72" s="50" t="s">
        <v>128</v>
      </c>
      <c r="E72" s="51" t="s">
        <v>298</v>
      </c>
      <c r="F72" s="51" t="s">
        <v>276</v>
      </c>
      <c r="G72" s="64" t="str">
        <f t="shared" si="156"/>
        <v>[effect:enemy_message, val1:1.2, val2:1.8]</v>
      </c>
      <c r="H72" s="64">
        <f t="shared" si="157"/>
        <v>9</v>
      </c>
      <c r="I72" s="64">
        <f t="shared" si="158"/>
        <v>22</v>
      </c>
      <c r="J72" s="64" t="e">
        <f t="shared" si="159"/>
        <v>#VALUE!</v>
      </c>
      <c r="K72" s="64">
        <f t="shared" si="160"/>
        <v>32</v>
      </c>
      <c r="L72" s="64" t="str">
        <f>IFERROR(VLOOKUP(MID(G72,J72,K72-J72),[6]skilldef!$C:$D,2,FALSE),"-") &amp; " / " &amp; IFERROR(VLOOKUP(MID(G72,H72,I72-H72),[6]skilldef!$A:$B,2,FALSE),"-")</f>
        <v>- / -</v>
      </c>
      <c r="M72" s="64" t="str">
        <f t="shared" si="161"/>
        <v>[effect:critical, val:0.2],[effect:damage_gravity, val:0.2, animation:fevergauge_down]</v>
      </c>
      <c r="N72" s="48" t="str">
        <f>IFERROR(LEFT(M72,FIND("],",M72)+S89),M72)</f>
        <v>[effect:critical, val:0.2],[effect:damage_gravity, val:0.2, animation:fevergauge_down]</v>
      </c>
      <c r="O72" s="64">
        <f t="shared" si="162"/>
        <v>9</v>
      </c>
      <c r="P72" s="64">
        <f t="shared" si="163"/>
        <v>17</v>
      </c>
      <c r="Q72" s="64" t="e">
        <f t="shared" si="164"/>
        <v>#VALUE!</v>
      </c>
      <c r="R72" s="64">
        <f t="shared" si="165"/>
        <v>27</v>
      </c>
      <c r="S72" s="64" t="str">
        <f>IFERROR(VLOOKUP(MID(N72,Q72,R72-Q72),[6]skilldef!$C:$D,2,FALSE),"-") &amp; " / " &amp; IFERROR(VLOOKUP(MID(N72,O72,P72-O72),[6]skilldef!$A:$B,2,FALSE),"-")</f>
        <v>- / 大攻撃</v>
      </c>
      <c r="T72" s="48" t="str">
        <f t="shared" si="166"/>
        <v>[effect:damage_gravity, val:0.2, animation:fevergauge_down]</v>
      </c>
      <c r="U72" s="64">
        <f t="shared" si="167"/>
        <v>9</v>
      </c>
      <c r="V72" s="64">
        <f t="shared" si="168"/>
        <v>23</v>
      </c>
      <c r="W72" s="64" t="e">
        <f t="shared" si="169"/>
        <v>#VALUE!</v>
      </c>
      <c r="X72" s="64">
        <f t="shared" si="170"/>
        <v>32</v>
      </c>
      <c r="Y72" s="64" t="str">
        <f>IFERROR(VLOOKUP(MID(T72,W72,X72-W72),[6]skilldef!$C:$D,2,FALSE),"-") &amp; " / " &amp; IFERROR(VLOOKUP(MID(T72,U72,V72-U72),[6]skilldef!$A:$B,2,FALSE),"-")</f>
        <v>- / 割合ダメージ</v>
      </c>
      <c r="Z72" s="50"/>
      <c r="AA72" s="52"/>
      <c r="AB72" s="50"/>
    </row>
    <row r="73" spans="1:28" ht="21" customHeight="1" x14ac:dyDescent="0.15">
      <c r="A73" s="114">
        <v>47008524</v>
      </c>
      <c r="B73" s="47" t="s">
        <v>456</v>
      </c>
      <c r="C73" s="50">
        <v>3</v>
      </c>
      <c r="D73" s="50" t="s">
        <v>128</v>
      </c>
      <c r="E73" s="51" t="s">
        <v>296</v>
      </c>
      <c r="F73" s="51" t="s">
        <v>277</v>
      </c>
      <c r="G73" s="64" t="str">
        <f t="shared" si="156"/>
        <v>[effect:enemy_message, val1:1.7, val2:1.8]</v>
      </c>
      <c r="H73" s="64">
        <f t="shared" si="157"/>
        <v>9</v>
      </c>
      <c r="I73" s="64">
        <f t="shared" si="158"/>
        <v>22</v>
      </c>
      <c r="J73" s="64" t="e">
        <f t="shared" si="159"/>
        <v>#VALUE!</v>
      </c>
      <c r="K73" s="64">
        <f t="shared" si="160"/>
        <v>32</v>
      </c>
      <c r="L73" s="64" t="str">
        <f>IFERROR(VLOOKUP(MID(G73,J73,K73-J73),[6]skilldef!$C:$D,2,FALSE),"-") &amp; " / " &amp; IFERROR(VLOOKUP(MID(G73,H73,I73-H73),[6]skilldef!$A:$B,2,FALSE),"-")</f>
        <v>- / -</v>
      </c>
      <c r="M73" s="64" t="str">
        <f t="shared" si="161"/>
        <v>[effect:critical, val:0.2],[effect:damage_gravity, val:0.3, animation:fevergauge_down]</v>
      </c>
      <c r="N73" s="48" t="str">
        <f>IFERROR(LEFT(M73,FIND("],",M73)+S90),M73)</f>
        <v>[effect:critical, val:0.2],[effect:damage_gravity, val:0.3, animation:fevergauge_down]</v>
      </c>
      <c r="O73" s="64">
        <f t="shared" si="162"/>
        <v>9</v>
      </c>
      <c r="P73" s="64">
        <f t="shared" si="163"/>
        <v>17</v>
      </c>
      <c r="Q73" s="64" t="e">
        <f t="shared" si="164"/>
        <v>#VALUE!</v>
      </c>
      <c r="R73" s="64">
        <f t="shared" si="165"/>
        <v>27</v>
      </c>
      <c r="S73" s="64" t="str">
        <f>IFERROR(VLOOKUP(MID(N73,Q73,R73-Q73),[6]skilldef!$C:$D,2,FALSE),"-") &amp; " / " &amp; IFERROR(VLOOKUP(MID(N73,O73,P73-O73),[6]skilldef!$A:$B,2,FALSE),"-")</f>
        <v>- / 大攻撃</v>
      </c>
      <c r="T73" s="48" t="str">
        <f t="shared" si="166"/>
        <v>[effect:damage_gravity, val:0.3, animation:fevergauge_down]</v>
      </c>
      <c r="U73" s="64">
        <f t="shared" si="167"/>
        <v>9</v>
      </c>
      <c r="V73" s="64">
        <f t="shared" si="168"/>
        <v>23</v>
      </c>
      <c r="W73" s="64" t="e">
        <f t="shared" si="169"/>
        <v>#VALUE!</v>
      </c>
      <c r="X73" s="64">
        <f t="shared" si="170"/>
        <v>32</v>
      </c>
      <c r="Y73" s="64" t="str">
        <f>IFERROR(VLOOKUP(MID(T73,W73,X73-W73),[6]skilldef!$C:$D,2,FALSE),"-") &amp; " / " &amp; IFERROR(VLOOKUP(MID(T73,U73,V73-U73),[6]skilldef!$A:$B,2,FALSE),"-")</f>
        <v>- / 割合ダメージ</v>
      </c>
      <c r="Z73" s="50"/>
      <c r="AA73" s="52"/>
      <c r="AB73" s="50"/>
    </row>
    <row r="74" spans="1:28" ht="21" customHeight="1" x14ac:dyDescent="0.15">
      <c r="A74" s="114">
        <v>47008525</v>
      </c>
      <c r="B74" s="47" t="s">
        <v>457</v>
      </c>
      <c r="C74" s="50">
        <v>3</v>
      </c>
      <c r="D74" s="50" t="s">
        <v>128</v>
      </c>
      <c r="E74" s="51" t="s">
        <v>297</v>
      </c>
      <c r="F74" s="51" t="s">
        <v>278</v>
      </c>
      <c r="G74" s="64" t="str">
        <f t="shared" si="156"/>
        <v>[effect:enemy_message, val1:1.4, val2:1.8]</v>
      </c>
      <c r="H74" s="64">
        <f t="shared" si="157"/>
        <v>9</v>
      </c>
      <c r="I74" s="64">
        <f t="shared" si="158"/>
        <v>22</v>
      </c>
      <c r="J74" s="64" t="e">
        <f t="shared" si="159"/>
        <v>#VALUE!</v>
      </c>
      <c r="K74" s="64">
        <f t="shared" si="160"/>
        <v>32</v>
      </c>
      <c r="L74" s="64" t="str">
        <f>IFERROR(VLOOKUP(MID(G74,J74,K74-J74),[6]skilldef!$C:$D,2,FALSE),"-") &amp; " / " &amp; IFERROR(VLOOKUP(MID(G74,H74,I74-H74),[6]skilldef!$A:$B,2,FALSE),"-")</f>
        <v>- / -</v>
      </c>
      <c r="M74" s="64" t="str">
        <f t="shared" si="161"/>
        <v>[effect:critical, val:0.2],[effect:damage_gravity, val:0.4, animation:fevergauge_down]</v>
      </c>
      <c r="N74" s="48" t="str">
        <f>IFERROR(LEFT(M74,FIND("],",M74)+S91),M74)</f>
        <v>[effect:critical, val:0.2],[effect:damage_gravity, val:0.4, animation:fevergauge_down]</v>
      </c>
      <c r="O74" s="64">
        <f t="shared" si="162"/>
        <v>9</v>
      </c>
      <c r="P74" s="64">
        <f t="shared" si="163"/>
        <v>17</v>
      </c>
      <c r="Q74" s="64" t="e">
        <f t="shared" si="164"/>
        <v>#VALUE!</v>
      </c>
      <c r="R74" s="64">
        <f t="shared" si="165"/>
        <v>27</v>
      </c>
      <c r="S74" s="64" t="str">
        <f>IFERROR(VLOOKUP(MID(N74,Q74,R74-Q74),[6]skilldef!$C:$D,2,FALSE),"-") &amp; " / " &amp; IFERROR(VLOOKUP(MID(N74,O74,P74-O74),[6]skilldef!$A:$B,2,FALSE),"-")</f>
        <v>- / 大攻撃</v>
      </c>
      <c r="T74" s="48" t="str">
        <f t="shared" si="166"/>
        <v>[effect:damage_gravity, val:0.4, animation:fevergauge_down]</v>
      </c>
      <c r="U74" s="64">
        <f t="shared" si="167"/>
        <v>9</v>
      </c>
      <c r="V74" s="64">
        <f t="shared" si="168"/>
        <v>23</v>
      </c>
      <c r="W74" s="64" t="e">
        <f t="shared" si="169"/>
        <v>#VALUE!</v>
      </c>
      <c r="X74" s="64">
        <f t="shared" si="170"/>
        <v>32</v>
      </c>
      <c r="Y74" s="64" t="str">
        <f>IFERROR(VLOOKUP(MID(T74,W74,X74-W74),[6]skilldef!$C:$D,2,FALSE),"-") &amp; " / " &amp; IFERROR(VLOOKUP(MID(T74,U74,V74-U74),[6]skilldef!$A:$B,2,FALSE),"-")</f>
        <v>- / 割合ダメージ</v>
      </c>
      <c r="Z74" s="50"/>
      <c r="AA74" s="52"/>
      <c r="AB74" s="50"/>
    </row>
    <row r="75" spans="1:28" s="130" customFormat="1" ht="29" customHeight="1" thickBot="1" x14ac:dyDescent="0.2">
      <c r="A75" s="123">
        <v>47008526</v>
      </c>
      <c r="B75" s="124" t="s">
        <v>458</v>
      </c>
      <c r="C75" s="125">
        <v>3</v>
      </c>
      <c r="D75" s="125" t="s">
        <v>128</v>
      </c>
      <c r="E75" s="126" t="s">
        <v>439</v>
      </c>
      <c r="F75" s="126" t="s">
        <v>440</v>
      </c>
      <c r="G75" s="127" t="str">
        <f t="shared" si="156"/>
        <v>[effect:enemy_message, val1:1.9, val2:1.3]</v>
      </c>
      <c r="H75" s="127">
        <f t="shared" si="157"/>
        <v>9</v>
      </c>
      <c r="I75" s="127">
        <f t="shared" si="158"/>
        <v>22</v>
      </c>
      <c r="J75" s="127" t="e">
        <f t="shared" si="159"/>
        <v>#VALUE!</v>
      </c>
      <c r="K75" s="127">
        <f t="shared" si="160"/>
        <v>32</v>
      </c>
      <c r="L75" s="127" t="str">
        <f>IFERROR(VLOOKUP(MID(G75,J75,K75-J75),[6]skilldef!$C:$D,2,FALSE),"-") &amp; " / " &amp; IFERROR(VLOOKUP(MID(G75,H75,I75-H75),[6]skilldef!$A:$B,2,FALSE),"-")</f>
        <v>- / -</v>
      </c>
      <c r="M75" s="127" t="str">
        <f t="shared" si="161"/>
        <v>[effect:damage_fix_absolute, target:unit_one, val:11410]</v>
      </c>
      <c r="N75" s="128" t="str">
        <f>IFERROR(LEFT(M75,FIND("],",M75)+S99),M75)</f>
        <v>[effect:damage_fix_absolute, target:unit_one, val:11410]</v>
      </c>
      <c r="O75" s="127">
        <f t="shared" si="162"/>
        <v>9</v>
      </c>
      <c r="P75" s="127">
        <f t="shared" si="163"/>
        <v>28</v>
      </c>
      <c r="Q75" s="127">
        <f t="shared" si="164"/>
        <v>37</v>
      </c>
      <c r="R75" s="127">
        <f t="shared" si="165"/>
        <v>45</v>
      </c>
      <c r="S75" s="127" t="str">
        <f>IFERROR(VLOOKUP(MID(N75,Q75,R75-Q75),[6]skilldef!$C:$D,2,FALSE),"-") &amp; " / " &amp; IFERROR(VLOOKUP(MID(N75,O75,P75-O75),[6]skilldef!$A:$B,2,FALSE),"-")</f>
        <v>味方単体に / -</v>
      </c>
      <c r="T75" s="128" t="str">
        <f t="shared" si="166"/>
        <v>none</v>
      </c>
      <c r="U75" s="127" t="e">
        <f t="shared" si="167"/>
        <v>#VALUE!</v>
      </c>
      <c r="V75" s="127">
        <f t="shared" si="168"/>
        <v>4</v>
      </c>
      <c r="W75" s="127" t="e">
        <f t="shared" si="169"/>
        <v>#VALUE!</v>
      </c>
      <c r="X75" s="127" t="e">
        <f t="shared" si="170"/>
        <v>#VALUE!</v>
      </c>
      <c r="Y75" s="127" t="str">
        <f>IFERROR(VLOOKUP(MID(T75,W75,X75-W75),[6]skilldef!$C:$D,2,FALSE),"-") &amp; " / " &amp; IFERROR(VLOOKUP(MID(T75,U75,V75-U75),[6]skilldef!$A:$B,2,FALSE),"-")</f>
        <v>- / -</v>
      </c>
      <c r="Z75" s="125"/>
      <c r="AA75" s="129"/>
      <c r="AB75" s="125"/>
    </row>
    <row r="76" spans="1:28" s="132" customFormat="1" ht="52" customHeight="1" x14ac:dyDescent="0.15">
      <c r="A76" s="131">
        <v>47008330</v>
      </c>
      <c r="B76" s="132" t="s">
        <v>541</v>
      </c>
      <c r="C76" s="133">
        <v>3</v>
      </c>
      <c r="D76" s="133" t="s">
        <v>128</v>
      </c>
      <c r="E76" s="134" t="s">
        <v>465</v>
      </c>
      <c r="F76" s="134" t="s">
        <v>492</v>
      </c>
      <c r="G76" s="135" t="str">
        <f t="shared" si="156"/>
        <v>[effect:enemy_message, val1:1.8, val2:4.5]</v>
      </c>
      <c r="H76" s="135">
        <f t="shared" si="157"/>
        <v>9</v>
      </c>
      <c r="I76" s="135">
        <f t="shared" si="158"/>
        <v>22</v>
      </c>
      <c r="J76" s="135" t="e">
        <f t="shared" si="159"/>
        <v>#VALUE!</v>
      </c>
      <c r="K76" s="135">
        <f t="shared" si="160"/>
        <v>32</v>
      </c>
      <c r="L76" s="135" t="str">
        <f>IFERROR(VLOOKUP(MID(G76,J76,K76-J76),[6]skilldef!$C:$D,2,FALSE),"-") &amp; " / " &amp; IFERROR(VLOOKUP(MID(G76,H76,I76-H76),[6]skilldef!$A:$B,2,FALSE),"-")</f>
        <v>- / -</v>
      </c>
      <c r="M76" s="135" t="str">
        <f t="shared" si="161"/>
        <v>[effect:sp_boost, target:unit_all, val:4],[effect:fix_speed, target:myself, turn:1],[effect:tolerance, target:myself, turn:-1, count:-1, tolerance_effect:all, animation:enemy_tolerance]</v>
      </c>
      <c r="N76" s="136" t="str">
        <f t="shared" ref="N76:N77" si="171">IFERROR(LEFT(M76,FIND("],",M76)+S88),M76)</f>
        <v>[effect:sp_boost, target:unit_all, val:4],[effect:fix_speed, target:myself, turn:1],[effect:tolerance, target:myself, turn:-1, count:-1, tolerance_effect:all, animation:enemy_tolerance]</v>
      </c>
      <c r="O76" s="135">
        <f t="shared" si="162"/>
        <v>9</v>
      </c>
      <c r="P76" s="135">
        <f t="shared" si="163"/>
        <v>17</v>
      </c>
      <c r="Q76" s="135">
        <f t="shared" si="164"/>
        <v>26</v>
      </c>
      <c r="R76" s="135">
        <f t="shared" si="165"/>
        <v>34</v>
      </c>
      <c r="S76" s="135" t="str">
        <f>IFERROR(VLOOKUP(MID(N76,Q76,R76-Q76),[6]skilldef!$C:$D,2,FALSE),"-") &amp; " / " &amp; IFERROR(VLOOKUP(MID(N76,O76,P76-O76),[6]skilldef!$A:$B,2,FALSE),"-")</f>
        <v>味方全体に / -</v>
      </c>
      <c r="T76" s="136" t="str">
        <f t="shared" si="166"/>
        <v>[effect:fix_speed, target:myself, turn:1],[effect:tolerance, target:myself, turn:-1, count:-1, tolerance_effect:all, animation:enemy_tolerance]</v>
      </c>
      <c r="U76" s="135">
        <f t="shared" si="167"/>
        <v>9</v>
      </c>
      <c r="V76" s="135">
        <f t="shared" si="168"/>
        <v>18</v>
      </c>
      <c r="W76" s="135">
        <f t="shared" si="169"/>
        <v>27</v>
      </c>
      <c r="X76" s="135">
        <f t="shared" si="170"/>
        <v>33</v>
      </c>
      <c r="Y76" s="135" t="str">
        <f>IFERROR(VLOOKUP(MID(T76,W76,X76-W76),[6]skilldef!$C:$D,2,FALSE),"-") &amp; " / " &amp; IFERROR(VLOOKUP(MID(T76,U76,V76-U76),[6]skilldef!$A:$B,2,FALSE),"-")</f>
        <v>自分自身に / 行動値設定</v>
      </c>
      <c r="Z76" s="133"/>
      <c r="AA76" s="137"/>
      <c r="AB76" s="133"/>
    </row>
    <row r="77" spans="1:28" ht="42" customHeight="1" x14ac:dyDescent="0.15">
      <c r="A77" s="131">
        <v>47008331</v>
      </c>
      <c r="B77" s="132" t="s">
        <v>542</v>
      </c>
      <c r="C77" s="133">
        <v>3</v>
      </c>
      <c r="D77" s="133" t="s">
        <v>128</v>
      </c>
      <c r="E77" s="134" t="s">
        <v>466</v>
      </c>
      <c r="F77" s="134" t="s">
        <v>493</v>
      </c>
      <c r="G77" s="135" t="str">
        <f t="shared" si="156"/>
        <v>[effect:enemy_message, val1:3.1, val2:2.7]</v>
      </c>
      <c r="H77" s="135">
        <f t="shared" si="157"/>
        <v>9</v>
      </c>
      <c r="I77" s="135">
        <f t="shared" si="158"/>
        <v>22</v>
      </c>
      <c r="J77" s="135" t="e">
        <f t="shared" si="159"/>
        <v>#VALUE!</v>
      </c>
      <c r="K77" s="135">
        <f t="shared" si="160"/>
        <v>32</v>
      </c>
      <c r="L77" s="135" t="str">
        <f>IFERROR(VLOOKUP(MID(G77,J77,K77-J77),[6]skilldef!$C:$D,2,FALSE),"-") &amp; " / " &amp; IFERROR(VLOOKUP(MID(G77,H77,I77-H77),[6]skilldef!$A:$B,2,FALSE),"-")</f>
        <v>- / -</v>
      </c>
      <c r="M77" s="135" t="str">
        <f t="shared" si="161"/>
        <v>[effect:sp_boost, target:unit_all, val:2],[effect:fix_speed, target:myself, turn:1],[effect:tolerance, target:myself, turn:-1, count:-1, tolerance_effect:all, animation:enemy_tolerance]</v>
      </c>
      <c r="N77" s="136" t="str">
        <f t="shared" si="171"/>
        <v>[effect:sp_boost, target:unit_all, val:2],[effect:fix_speed, target:myself, turn:1],[effect:tolerance, target:myself, turn:-1, count:-1, tolerance_effect:all, animation:enemy_tolerance]</v>
      </c>
      <c r="O77" s="135">
        <f t="shared" si="162"/>
        <v>9</v>
      </c>
      <c r="P77" s="135">
        <f t="shared" si="163"/>
        <v>17</v>
      </c>
      <c r="Q77" s="135">
        <f t="shared" si="164"/>
        <v>26</v>
      </c>
      <c r="R77" s="135">
        <f t="shared" si="165"/>
        <v>34</v>
      </c>
      <c r="S77" s="135" t="str">
        <f>IFERROR(VLOOKUP(MID(N77,Q77,R77-Q77),[6]skilldef!$C:$D,2,FALSE),"-") &amp; " / " &amp; IFERROR(VLOOKUP(MID(N77,O77,P77-O77),[6]skilldef!$A:$B,2,FALSE),"-")</f>
        <v>味方全体に / -</v>
      </c>
      <c r="T77" s="136" t="str">
        <f t="shared" si="166"/>
        <v>[effect:fix_speed, target:myself, turn:1],[effect:tolerance, target:myself, turn:-1, count:-1, tolerance_effect:all, animation:enemy_tolerance]</v>
      </c>
      <c r="U77" s="135">
        <f t="shared" si="167"/>
        <v>9</v>
      </c>
      <c r="V77" s="135">
        <f t="shared" si="168"/>
        <v>18</v>
      </c>
      <c r="W77" s="135">
        <f t="shared" si="169"/>
        <v>27</v>
      </c>
      <c r="X77" s="135">
        <f t="shared" si="170"/>
        <v>33</v>
      </c>
      <c r="Y77" s="135" t="str">
        <f>IFERROR(VLOOKUP(MID(T77,W77,X77-W77),[6]skilldef!$C:$D,2,FALSE),"-") &amp; " / " &amp; IFERROR(VLOOKUP(MID(T77,U77,V77-U77),[6]skilldef!$A:$B,2,FALSE),"-")</f>
        <v>自分自身に / 行動値設定</v>
      </c>
      <c r="Z77" s="133"/>
      <c r="AA77" s="137"/>
      <c r="AB77" s="133"/>
    </row>
    <row r="78" spans="1:28" ht="21" customHeight="1" x14ac:dyDescent="0.15">
      <c r="A78" s="112">
        <v>47008332</v>
      </c>
      <c r="B78" s="47" t="s">
        <v>543</v>
      </c>
      <c r="C78" s="50">
        <v>3</v>
      </c>
      <c r="D78" s="50" t="s">
        <v>128</v>
      </c>
      <c r="E78" s="51" t="s">
        <v>467</v>
      </c>
      <c r="F78" s="51" t="s">
        <v>494</v>
      </c>
      <c r="G78" s="64" t="str">
        <f t="shared" si="156"/>
        <v>[effect:enemy_message, val1:1.3, val2:1.2]</v>
      </c>
      <c r="H78" s="64">
        <f t="shared" si="157"/>
        <v>9</v>
      </c>
      <c r="I78" s="64">
        <f t="shared" si="158"/>
        <v>22</v>
      </c>
      <c r="J78" s="64" t="e">
        <f t="shared" si="159"/>
        <v>#VALUE!</v>
      </c>
      <c r="K78" s="64">
        <f t="shared" si="160"/>
        <v>32</v>
      </c>
      <c r="L78" s="64" t="str">
        <f>IFERROR(VLOOKUP(MID(G78,J78,K78-J78),[6]skilldef!$C:$D,2,FALSE),"-") &amp; " / " &amp; IFERROR(VLOOKUP(MID(G78,H78,I78-H78),[6]skilldef!$A:$B,2,FALSE),"-")</f>
        <v>- / -</v>
      </c>
      <c r="M78" s="64" t="str">
        <f t="shared" si="161"/>
        <v>[effect:fix_speed, target:myself, turn:1],[effect:tolerance, target:myself, turn:-1, count:-1, tolerance_effect:all, animation:enemy_tolerance]</v>
      </c>
      <c r="N78" s="48" t="str">
        <f t="shared" ref="N78:N83" si="172">IFERROR(LEFT(M78,FIND("],",M78)+S92),M78)</f>
        <v>[effect:fix_speed, target:myself, turn:1],[effect:tolerance, target:myself, turn:-1, count:-1, tolerance_effect:all, animation:enemy_tolerance]</v>
      </c>
      <c r="O78" s="64">
        <f t="shared" si="162"/>
        <v>9</v>
      </c>
      <c r="P78" s="64">
        <f t="shared" si="163"/>
        <v>18</v>
      </c>
      <c r="Q78" s="64">
        <f t="shared" si="164"/>
        <v>27</v>
      </c>
      <c r="R78" s="64">
        <f t="shared" si="165"/>
        <v>33</v>
      </c>
      <c r="S78" s="64" t="str">
        <f>IFERROR(VLOOKUP(MID(N78,Q78,R78-Q78),[6]skilldef!$C:$D,2,FALSE),"-") &amp; " / " &amp; IFERROR(VLOOKUP(MID(N78,O78,P78-O78),[6]skilldef!$A:$B,2,FALSE),"-")</f>
        <v>自分自身に / 行動値設定</v>
      </c>
      <c r="T78" s="48" t="str">
        <f t="shared" si="166"/>
        <v>[effect:tolerance, target:myself, turn:-1, count:-1, tolerance_effect:all, animation:enemy_tolerance]</v>
      </c>
      <c r="U78" s="64">
        <f t="shared" si="167"/>
        <v>9</v>
      </c>
      <c r="V78" s="64">
        <f t="shared" si="168"/>
        <v>18</v>
      </c>
      <c r="W78" s="64">
        <f t="shared" si="169"/>
        <v>27</v>
      </c>
      <c r="X78" s="64">
        <f t="shared" si="170"/>
        <v>33</v>
      </c>
      <c r="Y78" s="64" t="str">
        <f>IFERROR(VLOOKUP(MID(T78,W78,X78-W78),[6]skilldef!$C:$D,2,FALSE),"-") &amp; " / " &amp; IFERROR(VLOOKUP(MID(T78,U78,V78-U78),[6]skilldef!$A:$B,2,FALSE),"-")</f>
        <v>自分自身に / 状態異常耐性</v>
      </c>
      <c r="Z78" s="50"/>
      <c r="AA78" s="52"/>
      <c r="AB78" s="50"/>
    </row>
    <row r="79" spans="1:28" ht="21" customHeight="1" x14ac:dyDescent="0.15">
      <c r="A79" s="112">
        <v>47008333</v>
      </c>
      <c r="B79" s="47" t="s">
        <v>544</v>
      </c>
      <c r="C79" s="50">
        <v>3</v>
      </c>
      <c r="D79" s="50" t="s">
        <v>128</v>
      </c>
      <c r="E79" s="51" t="s">
        <v>468</v>
      </c>
      <c r="F79" s="51" t="s">
        <v>495</v>
      </c>
      <c r="G79" s="64" t="str">
        <f t="shared" si="156"/>
        <v>[effect:enemy_message, val1:2.9, val2:1.3]</v>
      </c>
      <c r="H79" s="64">
        <f t="shared" si="157"/>
        <v>9</v>
      </c>
      <c r="I79" s="64">
        <f t="shared" si="158"/>
        <v>22</v>
      </c>
      <c r="J79" s="64" t="e">
        <f t="shared" si="159"/>
        <v>#VALUE!</v>
      </c>
      <c r="K79" s="64">
        <f t="shared" si="160"/>
        <v>32</v>
      </c>
      <c r="L79" s="64" t="str">
        <f>IFERROR(VLOOKUP(MID(G79,J79,K79-J79),[6]skilldef!$C:$D,2,FALSE),"-") &amp; " / " &amp; IFERROR(VLOOKUP(MID(G79,H79,I79-H79),[6]skilldef!$A:$B,2,FALSE),"-")</f>
        <v>- / -</v>
      </c>
      <c r="M79" s="64" t="str">
        <f t="shared" si="161"/>
        <v>[effect:damage_gravity, val:0.5, animation:fevergauge_down]</v>
      </c>
      <c r="N79" s="48" t="str">
        <f t="shared" si="172"/>
        <v>[effect:damage_gravity, val:0.5, animation:fevergauge_down]</v>
      </c>
      <c r="O79" s="64">
        <f t="shared" si="162"/>
        <v>9</v>
      </c>
      <c r="P79" s="64">
        <f t="shared" si="163"/>
        <v>23</v>
      </c>
      <c r="Q79" s="64" t="e">
        <f t="shared" si="164"/>
        <v>#VALUE!</v>
      </c>
      <c r="R79" s="64">
        <f t="shared" si="165"/>
        <v>32</v>
      </c>
      <c r="S79" s="64" t="str">
        <f>IFERROR(VLOOKUP(MID(N79,Q79,R79-Q79),[6]skilldef!$C:$D,2,FALSE),"-") &amp; " / " &amp; IFERROR(VLOOKUP(MID(N79,O79,P79-O79),[6]skilldef!$A:$B,2,FALSE),"-")</f>
        <v>- / 割合ダメージ</v>
      </c>
      <c r="T79" s="48" t="str">
        <f t="shared" si="166"/>
        <v>none</v>
      </c>
      <c r="U79" s="64" t="e">
        <f t="shared" si="167"/>
        <v>#VALUE!</v>
      </c>
      <c r="V79" s="64">
        <f t="shared" si="168"/>
        <v>4</v>
      </c>
      <c r="W79" s="64" t="e">
        <f t="shared" si="169"/>
        <v>#VALUE!</v>
      </c>
      <c r="X79" s="64" t="e">
        <f t="shared" si="170"/>
        <v>#VALUE!</v>
      </c>
      <c r="Y79" s="64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39" customHeight="1" x14ac:dyDescent="0.15">
      <c r="A80" s="112">
        <v>47008334</v>
      </c>
      <c r="B80" s="47" t="s">
        <v>444</v>
      </c>
      <c r="C80" s="50">
        <v>3</v>
      </c>
      <c r="D80" s="50" t="s">
        <v>128</v>
      </c>
      <c r="E80" s="51" t="s">
        <v>469</v>
      </c>
      <c r="F80" s="51" t="s">
        <v>496</v>
      </c>
      <c r="G80" s="64" t="str">
        <f t="shared" si="156"/>
        <v>[effect:enemy_message, val1:2.0, val2:2.2]</v>
      </c>
      <c r="H80" s="64">
        <f t="shared" si="157"/>
        <v>9</v>
      </c>
      <c r="I80" s="64">
        <f t="shared" si="158"/>
        <v>22</v>
      </c>
      <c r="J80" s="64" t="e">
        <f t="shared" si="159"/>
        <v>#VALUE!</v>
      </c>
      <c r="K80" s="64">
        <f t="shared" si="160"/>
        <v>32</v>
      </c>
      <c r="L80" s="64" t="str">
        <f>IFERROR(VLOOKUP(MID(G80,J80,K80-J80),[6]skilldef!$C:$D,2,FALSE),"-") &amp; " / " &amp; IFERROR(VLOOKUP(MID(G80,H80,I80-H80),[6]skilldef!$A:$B,2,FALSE),"-")</f>
        <v>- / -</v>
      </c>
      <c r="M80" s="64" t="str">
        <f t="shared" si="161"/>
        <v>[effect:force_change_block, new_block:block_blue, target:block_all, ignore01:crash, ignore02:crack_bomb, ignore03:color_break, ignore04:magnet, ignore05:block_blue, count:10, val:0],[effect:critical, val:1.0]</v>
      </c>
      <c r="N80" s="48" t="str">
        <f t="shared" si="172"/>
        <v>[effect:force_change_block, new_block:block_blue, target:block_all, ignore01:crash, ignore02:crack_bomb, ignore03:color_break, ignore04:magnet, ignore05:block_blue, count:10, val:0],[effect:critical, val:1.0]</v>
      </c>
      <c r="O80" s="64">
        <f t="shared" si="162"/>
        <v>9</v>
      </c>
      <c r="P80" s="64">
        <f t="shared" si="163"/>
        <v>27</v>
      </c>
      <c r="Q80" s="64">
        <f t="shared" si="164"/>
        <v>58</v>
      </c>
      <c r="R80" s="64">
        <f t="shared" si="165"/>
        <v>49</v>
      </c>
      <c r="S80" s="64" t="str">
        <f>IFERROR(VLOOKUP(MID(N80,Q80,R80-Q80),[6]skilldef!$C:$D,2,FALSE),"-") &amp; " / " &amp; IFERROR(VLOOKUP(MID(N80,O80,P80-O80),[6]skilldef!$A:$B,2,FALSE),"-")</f>
        <v>- / -</v>
      </c>
      <c r="T80" s="48" t="str">
        <f t="shared" si="166"/>
        <v>[effect:critical, val:1.0]</v>
      </c>
      <c r="U80" s="64">
        <f t="shared" si="167"/>
        <v>9</v>
      </c>
      <c r="V80" s="64">
        <f t="shared" si="168"/>
        <v>17</v>
      </c>
      <c r="W80" s="64" t="e">
        <f t="shared" si="169"/>
        <v>#VALUE!</v>
      </c>
      <c r="X80" s="64" t="e">
        <f t="shared" si="170"/>
        <v>#VALUE!</v>
      </c>
      <c r="Y80" s="64" t="str">
        <f>IFERROR(VLOOKUP(MID(T80,W80,X80-W80),[6]skilldef!$C:$D,2,FALSE),"-") &amp; " / " &amp; IFERROR(VLOOKUP(MID(T80,U80,V80-U80),[6]skilldef!$A:$B,2,FALSE),"-")</f>
        <v>- / 大攻撃</v>
      </c>
      <c r="Z80" s="50"/>
      <c r="AA80" s="52"/>
      <c r="AB80" s="50"/>
    </row>
    <row r="81" spans="1:28" ht="21" customHeight="1" x14ac:dyDescent="0.15">
      <c r="A81" s="112">
        <v>47008335</v>
      </c>
      <c r="B81" s="47" t="s">
        <v>340</v>
      </c>
      <c r="C81" s="50">
        <v>3</v>
      </c>
      <c r="D81" s="50" t="s">
        <v>128</v>
      </c>
      <c r="E81" s="51" t="s">
        <v>470</v>
      </c>
      <c r="F81" s="51" t="s">
        <v>497</v>
      </c>
      <c r="G81" s="64" t="str">
        <f t="shared" si="156"/>
        <v>[effect:enemy_message, val1:1.5, val2:2.1]</v>
      </c>
      <c r="H81" s="64">
        <f t="shared" si="157"/>
        <v>9</v>
      </c>
      <c r="I81" s="64">
        <f t="shared" si="158"/>
        <v>22</v>
      </c>
      <c r="J81" s="64" t="e">
        <f t="shared" si="159"/>
        <v>#VALUE!</v>
      </c>
      <c r="K81" s="64">
        <f t="shared" si="160"/>
        <v>32</v>
      </c>
      <c r="L81" s="64" t="str">
        <f>IFERROR(VLOOKUP(MID(G81,J81,K81-J81),[6]skilldef!$C:$D,2,FALSE),"-") &amp; " / " &amp; IFERROR(VLOOKUP(MID(G81,H81,I81-H81),[6]skilldef!$A:$B,2,FALSE),"-")</f>
        <v>- / -</v>
      </c>
      <c r="M81" s="64" t="str">
        <f t="shared" si="161"/>
        <v>[effect:degrade_unit, target:unit_all, turn:3, status:heal, val:1, calc:mul, animation:degrade_unit_all_heal]</v>
      </c>
      <c r="N81" s="48" t="str">
        <f t="shared" si="172"/>
        <v>[effect:degrade_unit, target:unit_all, turn:3, status:heal, val:1, calc:mul, animation:degrade_unit_all_heal]</v>
      </c>
      <c r="O81" s="64">
        <f t="shared" si="162"/>
        <v>9</v>
      </c>
      <c r="P81" s="64">
        <f t="shared" si="163"/>
        <v>21</v>
      </c>
      <c r="Q81" s="64">
        <f t="shared" si="164"/>
        <v>30</v>
      </c>
      <c r="R81" s="64">
        <f t="shared" si="165"/>
        <v>38</v>
      </c>
      <c r="S81" s="64" t="str">
        <f>IFERROR(VLOOKUP(MID(N81,Q81,R81-Q81),[6]skilldef!$C:$D,2,FALSE),"-") &amp; " / " &amp; IFERROR(VLOOKUP(MID(N81,O81,P81-O81),[6]skilldef!$A:$B,2,FALSE),"-")</f>
        <v>味方全体に / ステータスDOWN</v>
      </c>
      <c r="T81" s="48" t="str">
        <f t="shared" si="166"/>
        <v>none</v>
      </c>
      <c r="U81" s="64" t="e">
        <f t="shared" si="167"/>
        <v>#VALUE!</v>
      </c>
      <c r="V81" s="64">
        <f t="shared" si="168"/>
        <v>4</v>
      </c>
      <c r="W81" s="64" t="e">
        <f t="shared" si="169"/>
        <v>#VALUE!</v>
      </c>
      <c r="X81" s="64" t="e">
        <f t="shared" si="170"/>
        <v>#VALUE!</v>
      </c>
      <c r="Y81" s="64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44" customHeight="1" x14ac:dyDescent="0.15">
      <c r="A82" s="112">
        <v>47008336</v>
      </c>
      <c r="B82" s="47" t="s">
        <v>545</v>
      </c>
      <c r="C82" s="50">
        <v>3</v>
      </c>
      <c r="D82" s="50" t="s">
        <v>128</v>
      </c>
      <c r="E82" s="51" t="s">
        <v>471</v>
      </c>
      <c r="F82" s="51" t="s">
        <v>494</v>
      </c>
      <c r="G82" s="64" t="str">
        <f t="shared" si="156"/>
        <v>[effect:enemy_message, val1:2.3, val2:1.2]</v>
      </c>
      <c r="H82" s="64">
        <f t="shared" si="157"/>
        <v>9</v>
      </c>
      <c r="I82" s="64">
        <f t="shared" si="158"/>
        <v>22</v>
      </c>
      <c r="J82" s="64" t="e">
        <f t="shared" si="159"/>
        <v>#VALUE!</v>
      </c>
      <c r="K82" s="64">
        <f t="shared" si="160"/>
        <v>32</v>
      </c>
      <c r="L82" s="64" t="str">
        <f>IFERROR(VLOOKUP(MID(G82,J82,K82-J82),[6]skilldef!$C:$D,2,FALSE),"-") &amp; " / " &amp; IFERROR(VLOOKUP(MID(G82,H82,I82-H82),[6]skilldef!$A:$B,2,FALSE),"-")</f>
        <v>- / -</v>
      </c>
      <c r="M82" s="64" t="str">
        <f t="shared" si="161"/>
        <v>[effect:fix_speed, target:myself, turn:1],[effect:tolerance, target:myself, turn:-1, count:-1, tolerance_effect:all, animation:enemy_tolerance]</v>
      </c>
      <c r="N82" s="48" t="str">
        <f t="shared" si="172"/>
        <v>[effect:fix_speed, target:myself, turn:1],[effect:tolerance, target:myself, turn:-1, count:-1, tolerance_effect:all, animation:enemy_tolerance]</v>
      </c>
      <c r="O82" s="64">
        <f t="shared" si="162"/>
        <v>9</v>
      </c>
      <c r="P82" s="64">
        <f t="shared" si="163"/>
        <v>18</v>
      </c>
      <c r="Q82" s="64">
        <f t="shared" si="164"/>
        <v>27</v>
      </c>
      <c r="R82" s="64">
        <f t="shared" si="165"/>
        <v>33</v>
      </c>
      <c r="S82" s="64" t="str">
        <f>IFERROR(VLOOKUP(MID(N82,Q82,R82-Q82),[6]skilldef!$C:$D,2,FALSE),"-") &amp; " / " &amp; IFERROR(VLOOKUP(MID(N82,O82,P82-O82),[6]skilldef!$A:$B,2,FALSE),"-")</f>
        <v>自分自身に / 行動値設定</v>
      </c>
      <c r="T82" s="48" t="str">
        <f t="shared" si="166"/>
        <v>[effect:tolerance, target:myself, turn:-1, count:-1, tolerance_effect:all, animation:enemy_tolerance]</v>
      </c>
      <c r="U82" s="64">
        <f t="shared" si="167"/>
        <v>9</v>
      </c>
      <c r="V82" s="64">
        <f t="shared" si="168"/>
        <v>18</v>
      </c>
      <c r="W82" s="64">
        <f t="shared" si="169"/>
        <v>27</v>
      </c>
      <c r="X82" s="64">
        <f t="shared" si="170"/>
        <v>33</v>
      </c>
      <c r="Y82" s="64" t="str">
        <f>IFERROR(VLOOKUP(MID(T82,W82,X82-W82),[6]skilldef!$C:$D,2,FALSE),"-") &amp; " / " &amp; IFERROR(VLOOKUP(MID(T82,U82,V82-U82),[6]skilldef!$A:$B,2,FALSE),"-")</f>
        <v>自分自身に / 状態異常耐性</v>
      </c>
      <c r="Z82" s="50"/>
      <c r="AA82" s="52"/>
      <c r="AB82" s="50"/>
    </row>
    <row r="83" spans="1:28" ht="39" customHeight="1" x14ac:dyDescent="0.15">
      <c r="A83" s="112">
        <v>47008337</v>
      </c>
      <c r="B83" s="47" t="s">
        <v>445</v>
      </c>
      <c r="C83" s="50">
        <v>3</v>
      </c>
      <c r="D83" s="50" t="s">
        <v>128</v>
      </c>
      <c r="E83" s="51" t="s">
        <v>472</v>
      </c>
      <c r="F83" s="51" t="s">
        <v>496</v>
      </c>
      <c r="G83" s="64" t="str">
        <f t="shared" si="156"/>
        <v>[effect:enemy_message, val1:1.2, val2:2.2]</v>
      </c>
      <c r="H83" s="64">
        <f t="shared" si="157"/>
        <v>9</v>
      </c>
      <c r="I83" s="64">
        <f t="shared" si="158"/>
        <v>22</v>
      </c>
      <c r="J83" s="64" t="e">
        <f t="shared" si="159"/>
        <v>#VALUE!</v>
      </c>
      <c r="K83" s="64">
        <f t="shared" si="160"/>
        <v>32</v>
      </c>
      <c r="L83" s="64" t="str">
        <f>IFERROR(VLOOKUP(MID(G83,J83,K83-J83),[6]skilldef!$C:$D,2,FALSE),"-") &amp; " / " &amp; IFERROR(VLOOKUP(MID(G83,H83,I83-H83),[6]skilldef!$A:$B,2,FALSE),"-")</f>
        <v>- / -</v>
      </c>
      <c r="M83" s="64" t="str">
        <f t="shared" si="161"/>
        <v>[effect:force_change_block, new_block:block_blue, target:block_all, ignore01:crash, ignore02:crack_bomb, ignore03:color_break, ignore04:magnet, ignore05:block_blue, count:10, val:0],[effect:critical, val:1.0]</v>
      </c>
      <c r="N83" s="48" t="str">
        <f t="shared" si="172"/>
        <v>[effect:force_change_block, new_block:block_blue, target:block_all, ignore01:crash, ignore02:crack_bomb, ignore03:color_break, ignore04:magnet, ignore05:block_blue, count:10, val:0],[effect:critical, val:1.0]</v>
      </c>
      <c r="O83" s="64">
        <f t="shared" si="162"/>
        <v>9</v>
      </c>
      <c r="P83" s="64">
        <f t="shared" si="163"/>
        <v>27</v>
      </c>
      <c r="Q83" s="64">
        <f t="shared" si="164"/>
        <v>58</v>
      </c>
      <c r="R83" s="64">
        <f t="shared" si="165"/>
        <v>49</v>
      </c>
      <c r="S83" s="64" t="str">
        <f>IFERROR(VLOOKUP(MID(N83,Q83,R83-Q83),[6]skilldef!$C:$D,2,FALSE),"-") &amp; " / " &amp; IFERROR(VLOOKUP(MID(N83,O83,P83-O83),[6]skilldef!$A:$B,2,FALSE),"-")</f>
        <v>- / -</v>
      </c>
      <c r="T83" s="48" t="str">
        <f t="shared" si="166"/>
        <v>[effect:critical, val:1.0]</v>
      </c>
      <c r="U83" s="64">
        <f t="shared" si="167"/>
        <v>9</v>
      </c>
      <c r="V83" s="64">
        <f t="shared" si="168"/>
        <v>17</v>
      </c>
      <c r="W83" s="64" t="e">
        <f t="shared" si="169"/>
        <v>#VALUE!</v>
      </c>
      <c r="X83" s="64" t="e">
        <f t="shared" si="170"/>
        <v>#VALUE!</v>
      </c>
      <c r="Y83" s="64" t="str">
        <f>IFERROR(VLOOKUP(MID(T83,W83,X83-W83),[6]skilldef!$C:$D,2,FALSE),"-") &amp; " / " &amp; IFERROR(VLOOKUP(MID(T83,U83,V83-U83),[6]skilldef!$A:$B,2,FALSE),"-")</f>
        <v>- / 大攻撃</v>
      </c>
      <c r="Z83" s="50"/>
      <c r="AA83" s="52"/>
      <c r="AB83" s="50"/>
    </row>
    <row r="84" spans="1:28" ht="33" customHeight="1" x14ac:dyDescent="0.15">
      <c r="A84" s="113">
        <v>47008430</v>
      </c>
      <c r="B84" s="47" t="s">
        <v>546</v>
      </c>
      <c r="C84" s="50">
        <v>3</v>
      </c>
      <c r="D84" s="50" t="s">
        <v>128</v>
      </c>
      <c r="E84" s="51" t="s">
        <v>473</v>
      </c>
      <c r="F84" s="51" t="s">
        <v>498</v>
      </c>
      <c r="G84" s="64" t="str">
        <f t="shared" si="156"/>
        <v>[effect:enemy_message, val1:2.3, val2:2.7]</v>
      </c>
      <c r="H84" s="64">
        <f t="shared" si="157"/>
        <v>9</v>
      </c>
      <c r="I84" s="64">
        <f t="shared" si="158"/>
        <v>22</v>
      </c>
      <c r="J84" s="64" t="e">
        <f t="shared" si="159"/>
        <v>#VALUE!</v>
      </c>
      <c r="K84" s="64">
        <f t="shared" si="160"/>
        <v>32</v>
      </c>
      <c r="L84" s="64" t="str">
        <f>IFERROR(VLOOKUP(MID(G84,J84,K84-J84),[6]skilldef!$C:$D,2,FALSE),"-") &amp; " / " &amp; IFERROR(VLOOKUP(MID(G84,H84,I84-H84),[6]skilldef!$A:$B,2,FALSE),"-")</f>
        <v>- / -</v>
      </c>
      <c r="M84" s="64" t="str">
        <f t="shared" si="161"/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N84" s="48" t="str">
        <f t="shared" ref="N84:N87" si="173">IFERROR(LEFT(M84,FIND("],",M84)+S96),M84)</f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O84" s="64">
        <f t="shared" si="162"/>
        <v>9</v>
      </c>
      <c r="P84" s="64">
        <f t="shared" si="163"/>
        <v>27</v>
      </c>
      <c r="Q84" s="64">
        <f t="shared" si="164"/>
        <v>59</v>
      </c>
      <c r="R84" s="64">
        <f t="shared" si="165"/>
        <v>50</v>
      </c>
      <c r="S84" s="64" t="str">
        <f>IFERROR(VLOOKUP(MID(N84,Q84,R84-Q84),[6]skilldef!$C:$D,2,FALSE),"-") &amp; " / " &amp; IFERROR(VLOOKUP(MID(N84,O84,P84-O84),[6]skilldef!$A:$B,2,FALSE),"-")</f>
        <v>- / -</v>
      </c>
      <c r="T84" s="48" t="str">
        <f t="shared" si="166"/>
        <v>[effect:fix_speed, target:myself, turn:1],[effect:tolerance, target:myself, turn:-1, count:-1, tolerance_effect:all, animation:enemy_tolerance]</v>
      </c>
      <c r="U84" s="64">
        <f t="shared" si="167"/>
        <v>9</v>
      </c>
      <c r="V84" s="64">
        <f t="shared" si="168"/>
        <v>18</v>
      </c>
      <c r="W84" s="64">
        <f t="shared" si="169"/>
        <v>27</v>
      </c>
      <c r="X84" s="64">
        <f t="shared" si="170"/>
        <v>33</v>
      </c>
      <c r="Y84" s="64" t="str">
        <f>IFERROR(VLOOKUP(MID(T84,W84,X84-W84),[6]skilldef!$C:$D,2,FALSE),"-") &amp; " / " &amp; IFERROR(VLOOKUP(MID(T84,U84,V84-U84),[6]skilldef!$A:$B,2,FALSE),"-")</f>
        <v>自分自身に / 行動値設定</v>
      </c>
      <c r="Z84" s="50"/>
      <c r="AA84" s="52"/>
      <c r="AB84" s="50"/>
    </row>
    <row r="85" spans="1:28" ht="21" customHeight="1" x14ac:dyDescent="0.15">
      <c r="A85" s="113">
        <v>47008431</v>
      </c>
      <c r="B85" s="47" t="s">
        <v>446</v>
      </c>
      <c r="C85" s="50">
        <v>3</v>
      </c>
      <c r="D85" s="50" t="s">
        <v>128</v>
      </c>
      <c r="E85" s="51" t="s">
        <v>474</v>
      </c>
      <c r="F85" s="51" t="s">
        <v>428</v>
      </c>
      <c r="G85" s="64" t="str">
        <f t="shared" si="156"/>
        <v>[effect:enemy_message, val1:1.4, val2:2.3]</v>
      </c>
      <c r="H85" s="64">
        <f t="shared" si="157"/>
        <v>9</v>
      </c>
      <c r="I85" s="64">
        <f t="shared" si="158"/>
        <v>22</v>
      </c>
      <c r="J85" s="64" t="e">
        <f t="shared" si="159"/>
        <v>#VALUE!</v>
      </c>
      <c r="K85" s="64">
        <f t="shared" si="160"/>
        <v>32</v>
      </c>
      <c r="L85" s="64" t="str">
        <f>IFERROR(VLOOKUP(MID(G85,J85,K85-J85),[6]skilldef!$C:$D,2,FALSE),"-") &amp; " / " &amp; IFERROR(VLOOKUP(MID(G85,H85,I85-H85),[6]skilldef!$A:$B,2,FALSE),"-")</f>
        <v>- / -</v>
      </c>
      <c r="M85" s="64" t="str">
        <f t="shared" si="161"/>
        <v>[effect:force_change_block, new_block:block_heart, target:block_all, ignore01:crash, ignore02:crack_bomb, ignore03:color_break, ignore04:magnet, ignore05:block_heart, count:5, val:0],[effect:critical, val:1.0]</v>
      </c>
      <c r="N85" s="48" t="str">
        <f t="shared" si="173"/>
        <v>[effect:force_change_block, new_block:block_heart, target:block_all, ignore01:crash, ignore02:crack_bomb, ignore03:color_break, ignore04:magnet, ignore05:block_heart, count:5, val:0],[effect:critical, val:1.0]</v>
      </c>
      <c r="O85" s="64">
        <f t="shared" si="162"/>
        <v>9</v>
      </c>
      <c r="P85" s="64">
        <f t="shared" si="163"/>
        <v>27</v>
      </c>
      <c r="Q85" s="64">
        <f t="shared" si="164"/>
        <v>59</v>
      </c>
      <c r="R85" s="64">
        <f t="shared" si="165"/>
        <v>50</v>
      </c>
      <c r="S85" s="64" t="str">
        <f>IFERROR(VLOOKUP(MID(N85,Q85,R85-Q85),[6]skilldef!$C:$D,2,FALSE),"-") &amp; " / " &amp; IFERROR(VLOOKUP(MID(N85,O85,P85-O85),[6]skilldef!$A:$B,2,FALSE),"-")</f>
        <v>- / -</v>
      </c>
      <c r="T85" s="48" t="str">
        <f t="shared" si="166"/>
        <v>[effect:critical, val:1.0]</v>
      </c>
      <c r="U85" s="64">
        <f t="shared" si="167"/>
        <v>9</v>
      </c>
      <c r="V85" s="64">
        <f t="shared" si="168"/>
        <v>17</v>
      </c>
      <c r="W85" s="64" t="e">
        <f t="shared" si="169"/>
        <v>#VALUE!</v>
      </c>
      <c r="X85" s="64" t="e">
        <f t="shared" si="170"/>
        <v>#VALUE!</v>
      </c>
      <c r="Y85" s="64" t="str">
        <f>IFERROR(VLOOKUP(MID(T85,W85,X85-W85),[6]skilldef!$C:$D,2,FALSE),"-") &amp; " / " &amp; IFERROR(VLOOKUP(MID(T85,U85,V85-U85),[6]skilldef!$A:$B,2,FALSE),"-")</f>
        <v>- / 大攻撃</v>
      </c>
      <c r="Z85" s="50"/>
      <c r="AA85" s="52"/>
      <c r="AB85" s="50"/>
    </row>
    <row r="86" spans="1:28" ht="21" customHeight="1" x14ac:dyDescent="0.15">
      <c r="A86" s="113">
        <v>47008432</v>
      </c>
      <c r="B86" s="47" t="s">
        <v>341</v>
      </c>
      <c r="C86" s="50">
        <v>3</v>
      </c>
      <c r="D86" s="50" t="s">
        <v>128</v>
      </c>
      <c r="E86" s="51" t="s">
        <v>475</v>
      </c>
      <c r="F86" s="51" t="s">
        <v>499</v>
      </c>
      <c r="G86" s="64" t="str">
        <f t="shared" si="156"/>
        <v>[effect:enemy_message, val1:1.2, val2:1.2]</v>
      </c>
      <c r="H86" s="64">
        <f t="shared" si="157"/>
        <v>9</v>
      </c>
      <c r="I86" s="64">
        <f t="shared" si="158"/>
        <v>22</v>
      </c>
      <c r="J86" s="64" t="e">
        <f t="shared" si="159"/>
        <v>#VALUE!</v>
      </c>
      <c r="K86" s="64">
        <f t="shared" si="160"/>
        <v>32</v>
      </c>
      <c r="L86" s="64" t="str">
        <f>IFERROR(VLOOKUP(MID(G86,J86,K86-J86),[6]skilldef!$C:$D,2,FALSE),"-") &amp; " / " &amp; IFERROR(VLOOKUP(MID(G86,H86,I86-H86),[6]skilldef!$A:$B,2,FALSE),"-")</f>
        <v>- / -</v>
      </c>
      <c r="M86" s="64" t="str">
        <f t="shared" si="161"/>
        <v>[effect:damage_fix_absolute, target:unit_one, val:8000]</v>
      </c>
      <c r="N86" s="48" t="str">
        <f t="shared" si="173"/>
        <v>[effect:damage_fix_absolute, target:unit_one, val:8000]</v>
      </c>
      <c r="O86" s="64">
        <f t="shared" si="162"/>
        <v>9</v>
      </c>
      <c r="P86" s="64">
        <f t="shared" si="163"/>
        <v>28</v>
      </c>
      <c r="Q86" s="64">
        <f t="shared" si="164"/>
        <v>37</v>
      </c>
      <c r="R86" s="64">
        <f t="shared" si="165"/>
        <v>45</v>
      </c>
      <c r="S86" s="64" t="str">
        <f>IFERROR(VLOOKUP(MID(N86,Q86,R86-Q86),[6]skilldef!$C:$D,2,FALSE),"-") &amp; " / " &amp; IFERROR(VLOOKUP(MID(N86,O86,P86-O86),[6]skilldef!$A:$B,2,FALSE),"-")</f>
        <v>味方単体に / -</v>
      </c>
      <c r="T86" s="48" t="str">
        <f t="shared" si="166"/>
        <v>none</v>
      </c>
      <c r="U86" s="64" t="e">
        <f t="shared" si="167"/>
        <v>#VALUE!</v>
      </c>
      <c r="V86" s="64">
        <f t="shared" si="168"/>
        <v>4</v>
      </c>
      <c r="W86" s="64" t="e">
        <f t="shared" si="169"/>
        <v>#VALUE!</v>
      </c>
      <c r="X86" s="64" t="e">
        <f t="shared" si="170"/>
        <v>#VALUE!</v>
      </c>
      <c r="Y86" s="64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42" customHeight="1" x14ac:dyDescent="0.15">
      <c r="A87" s="113">
        <v>47008433</v>
      </c>
      <c r="B87" s="47" t="s">
        <v>414</v>
      </c>
      <c r="C87" s="50">
        <v>3</v>
      </c>
      <c r="D87" s="50" t="s">
        <v>128</v>
      </c>
      <c r="E87" s="51" t="s">
        <v>476</v>
      </c>
      <c r="F87" s="51" t="s">
        <v>500</v>
      </c>
      <c r="G87" s="64" t="str">
        <f t="shared" si="156"/>
        <v>[effect:enemy_message, val1:1.8, val2:1.9]</v>
      </c>
      <c r="H87" s="64">
        <f t="shared" si="157"/>
        <v>9</v>
      </c>
      <c r="I87" s="64">
        <f t="shared" si="158"/>
        <v>22</v>
      </c>
      <c r="J87" s="64" t="e">
        <f t="shared" si="159"/>
        <v>#VALUE!</v>
      </c>
      <c r="K87" s="64">
        <f t="shared" si="160"/>
        <v>32</v>
      </c>
      <c r="L87" s="64" t="str">
        <f>IFERROR(VLOOKUP(MID(G87,J87,K87-J87),[6]skilldef!$C:$D,2,FALSE),"-") &amp; " / " &amp; IFERROR(VLOOKUP(MID(G87,H87,I87-H87),[6]skilldef!$A:$B,2,FALSE),"-")</f>
        <v>- / -</v>
      </c>
      <c r="M87" s="64" t="str">
        <f t="shared" si="161"/>
        <v>[effect:change_panel_ratio, turn:5, block_type:heal, val:0.1, animation:block_incidence04]</v>
      </c>
      <c r="N87" s="48" t="str">
        <f t="shared" si="173"/>
        <v>[effect:change_panel_ratio, turn:5, block_type:heal, val:0.1, animation:block_incidence04]</v>
      </c>
      <c r="O87" s="64">
        <f t="shared" si="162"/>
        <v>9</v>
      </c>
      <c r="P87" s="64">
        <f t="shared" si="163"/>
        <v>27</v>
      </c>
      <c r="Q87" s="64" t="e">
        <f t="shared" si="164"/>
        <v>#VALUE!</v>
      </c>
      <c r="R87" s="64">
        <f t="shared" si="165"/>
        <v>35</v>
      </c>
      <c r="S87" s="64" t="str">
        <f>IFERROR(VLOOKUP(MID(N87,Q87,R87-Q87),[6]skilldef!$C:$D,2,FALSE),"-") &amp; " / " &amp; IFERROR(VLOOKUP(MID(N87,O87,P87-O87),[6]skilldef!$A:$B,2,FALSE),"-")</f>
        <v>- / -</v>
      </c>
      <c r="T87" s="48" t="str">
        <f t="shared" si="166"/>
        <v>none</v>
      </c>
      <c r="U87" s="64" t="e">
        <f t="shared" si="167"/>
        <v>#VALUE!</v>
      </c>
      <c r="V87" s="64">
        <f t="shared" si="168"/>
        <v>4</v>
      </c>
      <c r="W87" s="64" t="e">
        <f t="shared" si="169"/>
        <v>#VALUE!</v>
      </c>
      <c r="X87" s="64" t="e">
        <f t="shared" si="170"/>
        <v>#VALUE!</v>
      </c>
      <c r="Y87" s="64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113">
        <v>47008434</v>
      </c>
      <c r="B88" s="47" t="s">
        <v>547</v>
      </c>
      <c r="C88" s="50">
        <v>3</v>
      </c>
      <c r="D88" s="50" t="s">
        <v>128</v>
      </c>
      <c r="E88" s="51" t="s">
        <v>477</v>
      </c>
      <c r="F88" s="51" t="s">
        <v>501</v>
      </c>
      <c r="G88" s="64" t="str">
        <f t="shared" si="156"/>
        <v>[effect:enemy_message, val1:1.4, val2:2.5]</v>
      </c>
      <c r="H88" s="64">
        <f t="shared" si="157"/>
        <v>9</v>
      </c>
      <c r="I88" s="64">
        <f t="shared" si="158"/>
        <v>22</v>
      </c>
      <c r="J88" s="64" t="e">
        <f t="shared" si="159"/>
        <v>#VALUE!</v>
      </c>
      <c r="K88" s="64">
        <f t="shared" si="160"/>
        <v>32</v>
      </c>
      <c r="L88" s="64" t="str">
        <f>IFERROR(VLOOKUP(MID(G88,J88,K88-J88),[6]skilldef!$C:$D,2,FALSE),"-") &amp; " / " &amp; IFERROR(VLOOKUP(MID(G88,H88,I88-H88),[6]skilldef!$A:$B,2,FALSE),"-")</f>
        <v>- / -</v>
      </c>
      <c r="M88" s="64" t="str">
        <f t="shared" si="161"/>
        <v>[effect:degrade_unit, target:unit_all, turn:3, status:attack, val:0.5, calc:mul],[effect:critical, val:1.0]</v>
      </c>
      <c r="N88" s="48" t="str">
        <f>IFERROR(LEFT(M88,FIND("],",M88)+S106),M88)</f>
        <v>[effect:degrade_unit, target:unit_all, turn:3, status:attack, val:0.5, calc:mul],[effect:critical, val:1.0]</v>
      </c>
      <c r="O88" s="64">
        <f t="shared" si="162"/>
        <v>9</v>
      </c>
      <c r="P88" s="64">
        <f t="shared" si="163"/>
        <v>21</v>
      </c>
      <c r="Q88" s="64">
        <f t="shared" si="164"/>
        <v>30</v>
      </c>
      <c r="R88" s="64">
        <f t="shared" si="165"/>
        <v>38</v>
      </c>
      <c r="S88" s="64" t="str">
        <f>IFERROR(VLOOKUP(MID(N88,Q88,R88-Q88),[6]skilldef!$C:$D,2,FALSE),"-") &amp; " / " &amp; IFERROR(VLOOKUP(MID(N88,O88,P88-O88),[6]skilldef!$A:$B,2,FALSE),"-")</f>
        <v>味方全体に / ステータスDOWN</v>
      </c>
      <c r="T88" s="48" t="str">
        <f t="shared" si="166"/>
        <v>[effect:critical, val:1.0]</v>
      </c>
      <c r="U88" s="64">
        <f t="shared" si="167"/>
        <v>9</v>
      </c>
      <c r="V88" s="64">
        <f t="shared" si="168"/>
        <v>17</v>
      </c>
      <c r="W88" s="64" t="e">
        <f t="shared" si="169"/>
        <v>#VALUE!</v>
      </c>
      <c r="X88" s="64" t="e">
        <f t="shared" si="170"/>
        <v>#VALUE!</v>
      </c>
      <c r="Y88" s="64" t="str">
        <f>IFERROR(VLOOKUP(MID(T88,W88,X88-W88),[6]skilldef!$C:$D,2,FALSE),"-") &amp; " / " &amp; IFERROR(VLOOKUP(MID(T88,U88,V88-U88),[6]skilldef!$A:$B,2,FALSE),"-")</f>
        <v>- / 大攻撃</v>
      </c>
      <c r="Z88" s="50"/>
      <c r="AA88" s="52"/>
      <c r="AB88" s="50"/>
    </row>
    <row r="89" spans="1:28" ht="65" customHeight="1" x14ac:dyDescent="0.15">
      <c r="A89" s="114">
        <v>47008530</v>
      </c>
      <c r="B89" s="47" t="s">
        <v>447</v>
      </c>
      <c r="C89" s="50">
        <v>3</v>
      </c>
      <c r="D89" s="50" t="s">
        <v>128</v>
      </c>
      <c r="E89" s="51" t="s">
        <v>478</v>
      </c>
      <c r="F89" s="51" t="s">
        <v>502</v>
      </c>
      <c r="G89" s="64" t="str">
        <f t="shared" si="156"/>
        <v>[effect:enemy_message, val1:1.3, val2:4.2]</v>
      </c>
      <c r="H89" s="64">
        <f t="shared" si="157"/>
        <v>9</v>
      </c>
      <c r="I89" s="64">
        <f t="shared" si="158"/>
        <v>22</v>
      </c>
      <c r="J89" s="64" t="e">
        <f t="shared" si="159"/>
        <v>#VALUE!</v>
      </c>
      <c r="K89" s="64">
        <f t="shared" si="160"/>
        <v>32</v>
      </c>
      <c r="L89" s="64" t="str">
        <f>IFERROR(VLOOKUP(MID(G89,J89,K89-J89),[6]skilldef!$C:$D,2,FALSE),"-") &amp; " / " &amp; IFERROR(VLOOKUP(MID(G89,H89,I89-H89),[6]skilldef!$A:$B,2,FALSE),"-")</f>
        <v>- / -</v>
      </c>
      <c r="M89" s="64" t="str">
        <f t="shared" si="161"/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89" s="48" t="str">
        <f>IFERROR(LEFT(M89,FIND("],",M89)+S107),M89)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89" s="64">
        <f t="shared" si="162"/>
        <v>9</v>
      </c>
      <c r="P89" s="64">
        <f t="shared" si="163"/>
        <v>23</v>
      </c>
      <c r="Q89" s="64">
        <f t="shared" si="164"/>
        <v>120</v>
      </c>
      <c r="R89" s="64">
        <f t="shared" si="165"/>
        <v>33</v>
      </c>
      <c r="S89" s="64" t="str">
        <f>IFERROR(VLOOKUP(MID(N89,Q89,R89-Q89),[6]skilldef!$C:$D,2,FALSE),"-") &amp; " / " &amp; IFERROR(VLOOKUP(MID(N89,O89,P89-O89),[6]skilldef!$A:$B,2,FALSE),"-")</f>
        <v>- / 割合ダメージ</v>
      </c>
      <c r="T89" s="48" t="str">
        <f t="shared" si="166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89" s="64">
        <f t="shared" si="167"/>
        <v>9</v>
      </c>
      <c r="V89" s="64">
        <f t="shared" si="168"/>
        <v>27</v>
      </c>
      <c r="W89" s="64">
        <f t="shared" si="169"/>
        <v>59</v>
      </c>
      <c r="X89" s="64">
        <f t="shared" si="170"/>
        <v>50</v>
      </c>
      <c r="Y89" s="64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59" customHeight="1" x14ac:dyDescent="0.15">
      <c r="A90" s="114">
        <v>47008531</v>
      </c>
      <c r="B90" s="47" t="s">
        <v>447</v>
      </c>
      <c r="C90" s="50">
        <v>3</v>
      </c>
      <c r="D90" s="50" t="s">
        <v>128</v>
      </c>
      <c r="E90" s="51" t="s">
        <v>478</v>
      </c>
      <c r="F90" s="51" t="s">
        <v>502</v>
      </c>
      <c r="G90" s="64" t="str">
        <f t="shared" si="156"/>
        <v>[effect:enemy_message, val1:1.3, val2:4.2]</v>
      </c>
      <c r="H90" s="64">
        <f t="shared" si="157"/>
        <v>9</v>
      </c>
      <c r="I90" s="64">
        <f t="shared" si="158"/>
        <v>22</v>
      </c>
      <c r="J90" s="64" t="e">
        <f t="shared" si="159"/>
        <v>#VALUE!</v>
      </c>
      <c r="K90" s="64">
        <f t="shared" si="160"/>
        <v>32</v>
      </c>
      <c r="L90" s="64" t="str">
        <f>IFERROR(VLOOKUP(MID(G90,J90,K90-J90),[6]skilldef!$C:$D,2,FALSE),"-") &amp; " / " &amp; IFERROR(VLOOKUP(MID(G90,H90,I90-H90),[6]skilldef!$A:$B,2,FALSE),"-")</f>
        <v>- / -</v>
      </c>
      <c r="M90" s="64" t="str">
        <f t="shared" si="161"/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90" s="48" t="str">
        <f>IFERROR(LEFT(M90,FIND("],",M90)+S108),M90)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90" s="64">
        <f t="shared" si="162"/>
        <v>9</v>
      </c>
      <c r="P90" s="64">
        <f t="shared" si="163"/>
        <v>23</v>
      </c>
      <c r="Q90" s="64">
        <f t="shared" si="164"/>
        <v>120</v>
      </c>
      <c r="R90" s="64">
        <f t="shared" si="165"/>
        <v>33</v>
      </c>
      <c r="S90" s="64" t="str">
        <f>IFERROR(VLOOKUP(MID(N90,Q90,R90-Q90),[6]skilldef!$C:$D,2,FALSE),"-") &amp; " / " &amp; IFERROR(VLOOKUP(MID(N90,O90,P90-O90),[6]skilldef!$A:$B,2,FALSE),"-")</f>
        <v>- / 割合ダメージ</v>
      </c>
      <c r="T90" s="48" t="str">
        <f t="shared" si="166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90" s="64">
        <f t="shared" si="167"/>
        <v>9</v>
      </c>
      <c r="V90" s="64">
        <f t="shared" si="168"/>
        <v>27</v>
      </c>
      <c r="W90" s="64">
        <f t="shared" si="169"/>
        <v>59</v>
      </c>
      <c r="X90" s="64">
        <f t="shared" si="170"/>
        <v>50</v>
      </c>
      <c r="Y90" s="64" t="str">
        <f>IFERROR(VLOOKUP(MID(T90,W90,X90-W90),[6]skilldef!$C:$D,2,FALSE),"-") &amp; " / " &amp; IFERROR(VLOOKUP(MID(T90,U90,V90-U90),[6]skilldef!$A:$B,2,FALSE),"-")</f>
        <v>- / -</v>
      </c>
      <c r="Z90" s="50"/>
      <c r="AA90" s="52"/>
      <c r="AB90" s="50"/>
    </row>
    <row r="91" spans="1:28" ht="80" customHeight="1" x14ac:dyDescent="0.15">
      <c r="A91" s="114">
        <v>47008532</v>
      </c>
      <c r="B91" s="47" t="s">
        <v>448</v>
      </c>
      <c r="C91" s="50">
        <v>3</v>
      </c>
      <c r="D91" s="50" t="s">
        <v>128</v>
      </c>
      <c r="E91" s="51" t="s">
        <v>478</v>
      </c>
      <c r="F91" s="51" t="s">
        <v>503</v>
      </c>
      <c r="G91" s="64" t="str">
        <f t="shared" si="156"/>
        <v>[effect:enemy_message, val1:1.3, val2:6.0]</v>
      </c>
      <c r="H91" s="64">
        <f t="shared" si="157"/>
        <v>9</v>
      </c>
      <c r="I91" s="64">
        <f t="shared" si="158"/>
        <v>22</v>
      </c>
      <c r="J91" s="64" t="e">
        <f t="shared" si="159"/>
        <v>#VALUE!</v>
      </c>
      <c r="K91" s="64">
        <f t="shared" si="160"/>
        <v>32</v>
      </c>
      <c r="L91" s="64" t="str">
        <f>IFERROR(VLOOKUP(MID(G91,J91,K91-J91),[6]skilldef!$C:$D,2,FALSE),"-") &amp; " / " &amp; IFERROR(VLOOKUP(MID(G91,H91,I91-H91),[6]skilldef!$A:$B,2,FALSE),"-")</f>
        <v>- / -</v>
      </c>
      <c r="M91" s="64" t="str">
        <f t="shared" si="161"/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N91" s="48" t="str">
        <f>IFERROR(LEFT(M91,FIND("],",M91)+S108),M91)</f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O91" s="64">
        <f t="shared" si="162"/>
        <v>9</v>
      </c>
      <c r="P91" s="64">
        <f t="shared" si="163"/>
        <v>23</v>
      </c>
      <c r="Q91" s="64">
        <f t="shared" si="164"/>
        <v>120</v>
      </c>
      <c r="R91" s="64">
        <f t="shared" si="165"/>
        <v>33</v>
      </c>
      <c r="S91" s="64" t="str">
        <f>IFERROR(VLOOKUP(MID(N91,Q91,R91-Q91),[6]skilldef!$C:$D,2,FALSE),"-") &amp; " / " &amp; IFERROR(VLOOKUP(MID(N91,O91,P91-O91),[6]skilldef!$A:$B,2,FALSE),"-")</f>
        <v>- / 割合ダメージ</v>
      </c>
      <c r="T91" s="48" t="str">
        <f t="shared" si="166"/>
        <v>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U91" s="64">
        <f t="shared" si="167"/>
        <v>9</v>
      </c>
      <c r="V91" s="64">
        <f t="shared" si="168"/>
        <v>27</v>
      </c>
      <c r="W91" s="64">
        <f t="shared" si="169"/>
        <v>59</v>
      </c>
      <c r="X91" s="64">
        <f t="shared" si="170"/>
        <v>50</v>
      </c>
      <c r="Y91" s="64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  <row r="92" spans="1:28" ht="21" customHeight="1" x14ac:dyDescent="0.15">
      <c r="A92" s="114">
        <v>47008533</v>
      </c>
      <c r="B92" s="47" t="s">
        <v>343</v>
      </c>
      <c r="C92" s="50">
        <v>3</v>
      </c>
      <c r="D92" s="50" t="s">
        <v>128</v>
      </c>
      <c r="E92" s="51" t="s">
        <v>479</v>
      </c>
      <c r="F92" s="51" t="s">
        <v>504</v>
      </c>
      <c r="G92" s="64" t="str">
        <f t="shared" si="156"/>
        <v>[effect:enemy_message, val1:1.2, val2:1.8]</v>
      </c>
      <c r="H92" s="64">
        <f t="shared" si="157"/>
        <v>9</v>
      </c>
      <c r="I92" s="64">
        <f t="shared" si="158"/>
        <v>22</v>
      </c>
      <c r="J92" s="64" t="e">
        <f t="shared" si="159"/>
        <v>#VALUE!</v>
      </c>
      <c r="K92" s="64">
        <f t="shared" si="160"/>
        <v>32</v>
      </c>
      <c r="L92" s="64" t="str">
        <f>IFERROR(VLOOKUP(MID(G92,J92,K92-J92),[6]skilldef!$C:$D,2,FALSE),"-") &amp; " / " &amp; IFERROR(VLOOKUP(MID(G92,H92,I92-H92),[6]skilldef!$A:$B,2,FALSE),"-")</f>
        <v>- / -</v>
      </c>
      <c r="M92" s="64" t="str">
        <f t="shared" si="161"/>
        <v>[effect:critical, val:0.4],[effect:damage_gravity, val:0.2, animation:fevergauge_down]</v>
      </c>
      <c r="N92" s="48" t="str">
        <f>IFERROR(LEFT(M92,FIND("],",M92)+S108),M92)</f>
        <v>[effect:critical, val:0.4],[effect:damage_gravity, val:0.2, animation:fevergauge_down]</v>
      </c>
      <c r="O92" s="64">
        <f t="shared" si="162"/>
        <v>9</v>
      </c>
      <c r="P92" s="64">
        <f t="shared" si="163"/>
        <v>17</v>
      </c>
      <c r="Q92" s="64" t="e">
        <f t="shared" si="164"/>
        <v>#VALUE!</v>
      </c>
      <c r="R92" s="64">
        <f t="shared" si="165"/>
        <v>27</v>
      </c>
      <c r="S92" s="64" t="str">
        <f>IFERROR(VLOOKUP(MID(N92,Q92,R92-Q92),[6]skilldef!$C:$D,2,FALSE),"-") &amp; " / " &amp; IFERROR(VLOOKUP(MID(N92,O92,P92-O92),[6]skilldef!$A:$B,2,FALSE),"-")</f>
        <v>- / 大攻撃</v>
      </c>
      <c r="T92" s="48" t="str">
        <f t="shared" si="166"/>
        <v>[effect:damage_gravity, val:0.2, animation:fevergauge_down]</v>
      </c>
      <c r="U92" s="64">
        <f t="shared" si="167"/>
        <v>9</v>
      </c>
      <c r="V92" s="64">
        <f t="shared" si="168"/>
        <v>23</v>
      </c>
      <c r="W92" s="64" t="e">
        <f t="shared" si="169"/>
        <v>#VALUE!</v>
      </c>
      <c r="X92" s="64">
        <f t="shared" si="170"/>
        <v>32</v>
      </c>
      <c r="Y92" s="64" t="str">
        <f>IFERROR(VLOOKUP(MID(T92,W92,X92-W92),[6]skilldef!$C:$D,2,FALSE),"-") &amp; " / " &amp; IFERROR(VLOOKUP(MID(T92,U92,V92-U92),[6]skilldef!$A:$B,2,FALSE),"-")</f>
        <v>- / 割合ダメージ</v>
      </c>
      <c r="Z92" s="50"/>
      <c r="AA92" s="52"/>
      <c r="AB92" s="50"/>
    </row>
    <row r="93" spans="1:28" ht="21" customHeight="1" x14ac:dyDescent="0.15">
      <c r="A93" s="114">
        <v>47008534</v>
      </c>
      <c r="B93" s="47" t="s">
        <v>344</v>
      </c>
      <c r="C93" s="50">
        <v>3</v>
      </c>
      <c r="D93" s="50" t="s">
        <v>128</v>
      </c>
      <c r="E93" s="51" t="s">
        <v>480</v>
      </c>
      <c r="F93" s="51" t="s">
        <v>505</v>
      </c>
      <c r="G93" s="64" t="str">
        <f t="shared" si="156"/>
        <v>[effect:enemy_message, val1:1.7, val2:1.8]</v>
      </c>
      <c r="H93" s="64">
        <f t="shared" si="157"/>
        <v>9</v>
      </c>
      <c r="I93" s="64">
        <f t="shared" si="158"/>
        <v>22</v>
      </c>
      <c r="J93" s="64" t="e">
        <f t="shared" si="159"/>
        <v>#VALUE!</v>
      </c>
      <c r="K93" s="64">
        <f t="shared" si="160"/>
        <v>32</v>
      </c>
      <c r="L93" s="64" t="str">
        <f>IFERROR(VLOOKUP(MID(G93,J93,K93-J93),[6]skilldef!$C:$D,2,FALSE),"-") &amp; " / " &amp; IFERROR(VLOOKUP(MID(G93,H93,I93-H93),[6]skilldef!$A:$B,2,FALSE),"-")</f>
        <v>- / -</v>
      </c>
      <c r="M93" s="64" t="str">
        <f t="shared" si="161"/>
        <v>[effect:critical, val:0.4],[effect:damage_gravity, val:0.3, animation:fevergauge_down]</v>
      </c>
      <c r="N93" s="48" t="str">
        <f>IFERROR(LEFT(M93,FIND("],",M93)+S109),M93)</f>
        <v>[effect:critical, val:0.4],[effect:damage_gravity, val:0.3, animation:fevergauge_down]</v>
      </c>
      <c r="O93" s="64">
        <f t="shared" si="162"/>
        <v>9</v>
      </c>
      <c r="P93" s="64">
        <f t="shared" si="163"/>
        <v>17</v>
      </c>
      <c r="Q93" s="64" t="e">
        <f t="shared" si="164"/>
        <v>#VALUE!</v>
      </c>
      <c r="R93" s="64">
        <f t="shared" si="165"/>
        <v>27</v>
      </c>
      <c r="S93" s="64" t="str">
        <f>IFERROR(VLOOKUP(MID(N93,Q93,R93-Q93),[6]skilldef!$C:$D,2,FALSE),"-") &amp; " / " &amp; IFERROR(VLOOKUP(MID(N93,O93,P93-O93),[6]skilldef!$A:$B,2,FALSE),"-")</f>
        <v>- / 大攻撃</v>
      </c>
      <c r="T93" s="48" t="str">
        <f t="shared" si="166"/>
        <v>[effect:damage_gravity, val:0.3, animation:fevergauge_down]</v>
      </c>
      <c r="U93" s="64">
        <f t="shared" si="167"/>
        <v>9</v>
      </c>
      <c r="V93" s="64">
        <f t="shared" si="168"/>
        <v>23</v>
      </c>
      <c r="W93" s="64" t="e">
        <f t="shared" si="169"/>
        <v>#VALUE!</v>
      </c>
      <c r="X93" s="64">
        <f t="shared" si="170"/>
        <v>32</v>
      </c>
      <c r="Y93" s="64" t="str">
        <f>IFERROR(VLOOKUP(MID(T93,W93,X93-W93),[6]skilldef!$C:$D,2,FALSE),"-") &amp; " / " &amp; IFERROR(VLOOKUP(MID(T93,U93,V93-U93),[6]skilldef!$A:$B,2,FALSE),"-")</f>
        <v>- / 割合ダメージ</v>
      </c>
      <c r="Z93" s="50"/>
      <c r="AA93" s="52"/>
      <c r="AB93" s="50"/>
    </row>
    <row r="94" spans="1:28" ht="21" customHeight="1" x14ac:dyDescent="0.15">
      <c r="A94" s="114">
        <v>47008535</v>
      </c>
      <c r="B94" s="47" t="s">
        <v>345</v>
      </c>
      <c r="C94" s="50">
        <v>3</v>
      </c>
      <c r="D94" s="50" t="s">
        <v>128</v>
      </c>
      <c r="E94" s="51" t="s">
        <v>481</v>
      </c>
      <c r="F94" s="51" t="s">
        <v>506</v>
      </c>
      <c r="G94" s="64" t="str">
        <f t="shared" si="156"/>
        <v>[effect:enemy_message, val1:1.4, val2:1.8]</v>
      </c>
      <c r="H94" s="64">
        <f t="shared" si="157"/>
        <v>9</v>
      </c>
      <c r="I94" s="64">
        <f t="shared" si="158"/>
        <v>22</v>
      </c>
      <c r="J94" s="64" t="e">
        <f t="shared" si="159"/>
        <v>#VALUE!</v>
      </c>
      <c r="K94" s="64">
        <f t="shared" si="160"/>
        <v>32</v>
      </c>
      <c r="L94" s="64" t="str">
        <f>IFERROR(VLOOKUP(MID(G94,J94,K94-J94),[6]skilldef!$C:$D,2,FALSE),"-") &amp; " / " &amp; IFERROR(VLOOKUP(MID(G94,H94,I94-H94),[6]skilldef!$A:$B,2,FALSE),"-")</f>
        <v>- / -</v>
      </c>
      <c r="M94" s="64" t="str">
        <f t="shared" si="161"/>
        <v>[effect:critical, val:0.4],[effect:damage_gravity, val:0.4, animation:fevergauge_down]</v>
      </c>
      <c r="N94" s="48" t="str">
        <f>IFERROR(LEFT(M94,FIND("],",M94)+S110),M94)</f>
        <v>[effect:critical, val:0.4],[effect:damage_gravity, val:0.4, animation:fevergauge_down]</v>
      </c>
      <c r="O94" s="64">
        <f t="shared" si="162"/>
        <v>9</v>
      </c>
      <c r="P94" s="64">
        <f t="shared" si="163"/>
        <v>17</v>
      </c>
      <c r="Q94" s="64" t="e">
        <f t="shared" si="164"/>
        <v>#VALUE!</v>
      </c>
      <c r="R94" s="64">
        <f t="shared" si="165"/>
        <v>27</v>
      </c>
      <c r="S94" s="64" t="str">
        <f>IFERROR(VLOOKUP(MID(N94,Q94,R94-Q94),[6]skilldef!$C:$D,2,FALSE),"-") &amp; " / " &amp; IFERROR(VLOOKUP(MID(N94,O94,P94-O94),[6]skilldef!$A:$B,2,FALSE),"-")</f>
        <v>- / 大攻撃</v>
      </c>
      <c r="T94" s="48" t="str">
        <f t="shared" si="166"/>
        <v>[effect:damage_gravity, val:0.4, animation:fevergauge_down]</v>
      </c>
      <c r="U94" s="64">
        <f t="shared" si="167"/>
        <v>9</v>
      </c>
      <c r="V94" s="64">
        <f t="shared" si="168"/>
        <v>23</v>
      </c>
      <c r="W94" s="64" t="e">
        <f t="shared" si="169"/>
        <v>#VALUE!</v>
      </c>
      <c r="X94" s="64">
        <f t="shared" si="170"/>
        <v>32</v>
      </c>
      <c r="Y94" s="64" t="str">
        <f>IFERROR(VLOOKUP(MID(T94,W94,X94-W94),[6]skilldef!$C:$D,2,FALSE),"-") &amp; " / " &amp; IFERROR(VLOOKUP(MID(T94,U94,V94-U94),[6]skilldef!$A:$B,2,FALSE),"-")</f>
        <v>- / 割合ダメージ</v>
      </c>
      <c r="Z94" s="50"/>
      <c r="AA94" s="52"/>
      <c r="AB94" s="50"/>
    </row>
    <row r="95" spans="1:28" ht="49" customHeight="1" x14ac:dyDescent="0.15">
      <c r="A95" s="114">
        <v>47008536</v>
      </c>
      <c r="B95" s="47" t="s">
        <v>346</v>
      </c>
      <c r="C95" s="50">
        <v>3</v>
      </c>
      <c r="D95" s="50" t="s">
        <v>128</v>
      </c>
      <c r="E95" s="51" t="s">
        <v>482</v>
      </c>
      <c r="F95" s="51" t="s">
        <v>279</v>
      </c>
      <c r="G95" s="64" t="str">
        <f t="shared" si="156"/>
        <v>[effect:enemy_message, val1:2.0, val2:1.8]</v>
      </c>
      <c r="H95" s="64">
        <f t="shared" si="157"/>
        <v>9</v>
      </c>
      <c r="I95" s="64">
        <f t="shared" si="158"/>
        <v>22</v>
      </c>
      <c r="J95" s="64" t="e">
        <f t="shared" si="159"/>
        <v>#VALUE!</v>
      </c>
      <c r="K95" s="64">
        <f t="shared" si="160"/>
        <v>32</v>
      </c>
      <c r="L95" s="64" t="str">
        <f>IFERROR(VLOOKUP(MID(G95,J95,K95-J95),[6]skilldef!$C:$D,2,FALSE),"-") &amp; " / " &amp; IFERROR(VLOOKUP(MID(G95,H95,I95-H95),[6]skilldef!$A:$B,2,FALSE),"-")</f>
        <v>- / -</v>
      </c>
      <c r="M95" s="64" t="str">
        <f t="shared" si="161"/>
        <v>[effect:critical, val:0.4],[effect:damage_gravity, val:0.5, animation:fevergauge_down]</v>
      </c>
      <c r="N95" s="48" t="str">
        <f t="shared" ref="N95:N101" si="174">IFERROR(LEFT(M95,FIND("],",M95)+S117),M95)</f>
        <v>[effect:critical, val:0.4],[effect:damage_gravity, val:0.5, animation:fevergauge_down]</v>
      </c>
      <c r="O95" s="64">
        <f t="shared" si="162"/>
        <v>9</v>
      </c>
      <c r="P95" s="64">
        <f t="shared" si="163"/>
        <v>17</v>
      </c>
      <c r="Q95" s="64" t="e">
        <f t="shared" si="164"/>
        <v>#VALUE!</v>
      </c>
      <c r="R95" s="64">
        <f t="shared" si="165"/>
        <v>27</v>
      </c>
      <c r="S95" s="64" t="str">
        <f>IFERROR(VLOOKUP(MID(N95,Q95,R95-Q95),[6]skilldef!$C:$D,2,FALSE),"-") &amp; " / " &amp; IFERROR(VLOOKUP(MID(N95,O95,P95-O95),[6]skilldef!$A:$B,2,FALSE),"-")</f>
        <v>- / 大攻撃</v>
      </c>
      <c r="T95" s="48" t="str">
        <f t="shared" si="166"/>
        <v>[effect:damage_gravity, val:0.5, animation:fevergauge_down]</v>
      </c>
      <c r="U95" s="64">
        <f t="shared" si="167"/>
        <v>9</v>
      </c>
      <c r="V95" s="64">
        <f t="shared" si="168"/>
        <v>23</v>
      </c>
      <c r="W95" s="64" t="e">
        <f t="shared" si="169"/>
        <v>#VALUE!</v>
      </c>
      <c r="X95" s="64">
        <f t="shared" si="170"/>
        <v>32</v>
      </c>
      <c r="Y95" s="64" t="str">
        <f>IFERROR(VLOOKUP(MID(T95,W95,X95-W95),[6]skilldef!$C:$D,2,FALSE),"-") &amp; " / " &amp; IFERROR(VLOOKUP(MID(T95,U95,V95-U95),[6]skilldef!$A:$B,2,FALSE),"-")</f>
        <v>- / 割合ダメージ</v>
      </c>
      <c r="Z95" s="50"/>
      <c r="AA95" s="52"/>
      <c r="AB95" s="50"/>
    </row>
    <row r="96" spans="1:28" ht="34" customHeight="1" x14ac:dyDescent="0.15">
      <c r="A96" s="114">
        <v>47008537</v>
      </c>
      <c r="B96" s="47" t="s">
        <v>449</v>
      </c>
      <c r="C96" s="50">
        <v>3</v>
      </c>
      <c r="D96" s="50" t="s">
        <v>128</v>
      </c>
      <c r="E96" s="51" t="s">
        <v>483</v>
      </c>
      <c r="F96" s="51" t="s">
        <v>507</v>
      </c>
      <c r="G96" s="64" t="str">
        <f t="shared" si="156"/>
        <v>[effect:enemy_message, val1:1.3, val2:4.1]</v>
      </c>
      <c r="H96" s="64">
        <f t="shared" si="157"/>
        <v>9</v>
      </c>
      <c r="I96" s="64">
        <f t="shared" si="158"/>
        <v>22</v>
      </c>
      <c r="J96" s="64" t="e">
        <f t="shared" si="159"/>
        <v>#VALUE!</v>
      </c>
      <c r="K96" s="64">
        <f t="shared" si="160"/>
        <v>32</v>
      </c>
      <c r="L96" s="64" t="str">
        <f>IFERROR(VLOOKUP(MID(G96,J96,K96-J96),[6]skilldef!$C:$D,2,FALSE),"-") &amp; " / " &amp; IFERROR(VLOOKUP(MID(G96,H96,I96-H96),[6]skilldef!$A:$B,2,FALSE),"-")</f>
        <v>- / -</v>
      </c>
      <c r="M96" s="64" t="str">
        <f t="shared" si="161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N96" s="48" t="str">
        <f t="shared" si="174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O96" s="64">
        <f t="shared" si="162"/>
        <v>9</v>
      </c>
      <c r="P96" s="64">
        <f t="shared" si="163"/>
        <v>27</v>
      </c>
      <c r="Q96" s="64">
        <f t="shared" si="164"/>
        <v>59</v>
      </c>
      <c r="R96" s="64">
        <f t="shared" si="165"/>
        <v>50</v>
      </c>
      <c r="S96" s="64" t="str">
        <f>IFERROR(VLOOKUP(MID(N96,Q96,R96-Q96),[6]skilldef!$C:$D,2,FALSE),"-") &amp; " / " &amp; IFERROR(VLOOKUP(MID(N96,O96,P96-O96),[6]skilldef!$A:$B,2,FALSE),"-")</f>
        <v>- / -</v>
      </c>
      <c r="T96" s="48" t="str">
        <f t="shared" si="166"/>
        <v>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U96" s="64">
        <f t="shared" si="167"/>
        <v>9</v>
      </c>
      <c r="V96" s="64">
        <f t="shared" si="168"/>
        <v>21</v>
      </c>
      <c r="W96" s="64">
        <f t="shared" si="169"/>
        <v>30</v>
      </c>
      <c r="X96" s="64">
        <f t="shared" si="170"/>
        <v>36</v>
      </c>
      <c r="Y96" s="64" t="str">
        <f>IFERROR(VLOOKUP(MID(T96,W96,X96-W96),[6]skilldef!$C:$D,2,FALSE),"-") &amp; " / " &amp; IFERROR(VLOOKUP(MID(T96,U96,V96-U96),[6]skilldef!$A:$B,2,FALSE),"-")</f>
        <v>- / -</v>
      </c>
      <c r="Z96" s="50"/>
      <c r="AA96" s="52"/>
      <c r="AB96" s="50"/>
    </row>
    <row r="97" spans="1:28" ht="21" customHeight="1" x14ac:dyDescent="0.15">
      <c r="A97" s="114">
        <v>47008538</v>
      </c>
      <c r="B97" s="47" t="s">
        <v>407</v>
      </c>
      <c r="C97" s="50">
        <v>3</v>
      </c>
      <c r="D97" s="50" t="s">
        <v>128</v>
      </c>
      <c r="E97" s="51" t="s">
        <v>484</v>
      </c>
      <c r="F97" s="51" t="s">
        <v>508</v>
      </c>
      <c r="G97" s="64" t="str">
        <f t="shared" si="156"/>
        <v>[effect:enemy_message, val1:1.3, val2:2.5]</v>
      </c>
      <c r="H97" s="64">
        <f t="shared" si="157"/>
        <v>9</v>
      </c>
      <c r="I97" s="64">
        <f t="shared" si="158"/>
        <v>22</v>
      </c>
      <c r="J97" s="64" t="e">
        <f t="shared" si="159"/>
        <v>#VALUE!</v>
      </c>
      <c r="K97" s="64">
        <f t="shared" si="160"/>
        <v>32</v>
      </c>
      <c r="L97" s="64" t="str">
        <f>IFERROR(VLOOKUP(MID(G97,J97,K97-J97),[6]skilldef!$C:$D,2,FALSE),"-") &amp; " / " &amp; IFERROR(VLOOKUP(MID(G97,H97,I97-H97),[6]skilldef!$A:$B,2,FALSE),"-")</f>
        <v>- / -</v>
      </c>
      <c r="M97" s="64" t="str">
        <f t="shared" si="161"/>
        <v>[effect:degrade_unit, target:unit_all, turn:1, status:attack, val:0.5, calc:mul],[effect:critical, val:1.0]</v>
      </c>
      <c r="N97" s="48" t="str">
        <f t="shared" si="174"/>
        <v>[effect:degrade_unit, target:unit_all, turn:1, status:attack, val:0.5, calc:mul],[effect:critical, val:1.0]</v>
      </c>
      <c r="O97" s="64">
        <f t="shared" si="162"/>
        <v>9</v>
      </c>
      <c r="P97" s="64">
        <f t="shared" si="163"/>
        <v>21</v>
      </c>
      <c r="Q97" s="64">
        <f t="shared" si="164"/>
        <v>30</v>
      </c>
      <c r="R97" s="64">
        <f t="shared" si="165"/>
        <v>38</v>
      </c>
      <c r="S97" s="64" t="str">
        <f>IFERROR(VLOOKUP(MID(N97,Q97,R97-Q97),[6]skilldef!$C:$D,2,FALSE),"-") &amp; " / " &amp; IFERROR(VLOOKUP(MID(N97,O97,P97-O97),[6]skilldef!$A:$B,2,FALSE),"-")</f>
        <v>味方全体に / ステータスDOWN</v>
      </c>
      <c r="T97" s="48" t="str">
        <f t="shared" si="166"/>
        <v>[effect:critical, val:1.0]</v>
      </c>
      <c r="U97" s="64">
        <f t="shared" si="167"/>
        <v>9</v>
      </c>
      <c r="V97" s="64">
        <f t="shared" si="168"/>
        <v>17</v>
      </c>
      <c r="W97" s="64" t="e">
        <f t="shared" si="169"/>
        <v>#VALUE!</v>
      </c>
      <c r="X97" s="64" t="e">
        <f t="shared" si="170"/>
        <v>#VALUE!</v>
      </c>
      <c r="Y97" s="64" t="str">
        <f>IFERROR(VLOOKUP(MID(T97,W97,X97-W97),[6]skilldef!$C:$D,2,FALSE),"-") &amp; " / " &amp; IFERROR(VLOOKUP(MID(T97,U97,V97-U97),[6]skilldef!$A:$B,2,FALSE),"-")</f>
        <v>- / 大攻撃</v>
      </c>
      <c r="Z97" s="50"/>
      <c r="AA97" s="52"/>
      <c r="AB97" s="50"/>
    </row>
    <row r="98" spans="1:28" ht="21" customHeight="1" x14ac:dyDescent="0.15">
      <c r="A98" s="114">
        <v>47008539</v>
      </c>
      <c r="B98" s="47" t="s">
        <v>347</v>
      </c>
      <c r="C98" s="50">
        <v>3</v>
      </c>
      <c r="D98" s="50" t="s">
        <v>128</v>
      </c>
      <c r="E98" s="51" t="s">
        <v>485</v>
      </c>
      <c r="F98" s="51" t="s">
        <v>509</v>
      </c>
      <c r="G98" s="64" t="str">
        <f t="shared" si="156"/>
        <v>[effect:enemy_message, val1:1.2, val2:2.0]</v>
      </c>
      <c r="H98" s="64">
        <f t="shared" si="157"/>
        <v>9</v>
      </c>
      <c r="I98" s="64">
        <f t="shared" si="158"/>
        <v>22</v>
      </c>
      <c r="J98" s="64" t="e">
        <f t="shared" si="159"/>
        <v>#VALUE!</v>
      </c>
      <c r="K98" s="64">
        <f t="shared" si="160"/>
        <v>32</v>
      </c>
      <c r="L98" s="64" t="str">
        <f>IFERROR(VLOOKUP(MID(G98,J98,K98-J98),[6]skilldef!$C:$D,2,FALSE),"-") &amp; " / " &amp; IFERROR(VLOOKUP(MID(G98,H98,I98-H98),[6]skilldef!$A:$B,2,FALSE),"-")</f>
        <v>- / -</v>
      </c>
      <c r="M98" s="64" t="str">
        <f t="shared" si="161"/>
        <v>none</v>
      </c>
      <c r="N98" s="48" t="str">
        <f t="shared" si="174"/>
        <v>none</v>
      </c>
      <c r="O98" s="64" t="e">
        <f t="shared" si="162"/>
        <v>#VALUE!</v>
      </c>
      <c r="P98" s="64">
        <f t="shared" si="163"/>
        <v>4</v>
      </c>
      <c r="Q98" s="64" t="e">
        <f t="shared" si="164"/>
        <v>#VALUE!</v>
      </c>
      <c r="R98" s="64" t="e">
        <f t="shared" si="165"/>
        <v>#VALUE!</v>
      </c>
      <c r="S98" s="64" t="str">
        <f>IFERROR(VLOOKUP(MID(N98,Q98,R98-Q98),[6]skilldef!$C:$D,2,FALSE),"-") &amp; " / " &amp; IFERROR(VLOOKUP(MID(N98,O98,P98-O98),[6]skilldef!$A:$B,2,FALSE),"-")</f>
        <v>- / -</v>
      </c>
      <c r="T98" s="48" t="str">
        <f t="shared" si="166"/>
        <v>none</v>
      </c>
      <c r="U98" s="64" t="e">
        <f t="shared" si="167"/>
        <v>#VALUE!</v>
      </c>
      <c r="V98" s="64">
        <f t="shared" si="168"/>
        <v>4</v>
      </c>
      <c r="W98" s="64" t="e">
        <f t="shared" si="169"/>
        <v>#VALUE!</v>
      </c>
      <c r="X98" s="64" t="e">
        <f t="shared" si="170"/>
        <v>#VALUE!</v>
      </c>
      <c r="Y98" s="64" t="str">
        <f>IFERROR(VLOOKUP(MID(T98,W98,X98-W98),[6]skilldef!$C:$D,2,FALSE),"-") &amp; " / " &amp; IFERROR(VLOOKUP(MID(T98,U98,V98-U98),[6]skilldef!$A:$B,2,FALSE),"-")</f>
        <v>- / -</v>
      </c>
      <c r="Z98" s="50"/>
      <c r="AA98" s="52"/>
      <c r="AB98" s="50"/>
    </row>
    <row r="99" spans="1:28" ht="42" customHeight="1" x14ac:dyDescent="0.15">
      <c r="A99" s="114">
        <v>47008540</v>
      </c>
      <c r="B99" s="47" t="s">
        <v>548</v>
      </c>
      <c r="C99" s="50">
        <v>3</v>
      </c>
      <c r="D99" s="50" t="s">
        <v>128</v>
      </c>
      <c r="E99" s="51" t="s">
        <v>486</v>
      </c>
      <c r="F99" s="51" t="s">
        <v>510</v>
      </c>
      <c r="G99" s="64" t="str">
        <f t="shared" si="156"/>
        <v>[effect:enemy_message, val1:1.8, val2:1.4]</v>
      </c>
      <c r="H99" s="64">
        <f t="shared" si="157"/>
        <v>9</v>
      </c>
      <c r="I99" s="64">
        <f t="shared" si="158"/>
        <v>22</v>
      </c>
      <c r="J99" s="64" t="e">
        <f t="shared" si="159"/>
        <v>#VALUE!</v>
      </c>
      <c r="K99" s="64">
        <f t="shared" si="160"/>
        <v>32</v>
      </c>
      <c r="L99" s="64" t="str">
        <f>IFERROR(VLOOKUP(MID(G99,J99,K99-J99),[6]skilldef!$C:$D,2,FALSE),"-") &amp; " / " &amp; IFERROR(VLOOKUP(MID(G99,H99,I99-H99),[6]skilldef!$A:$B,2,FALSE),"-")</f>
        <v>- / -</v>
      </c>
      <c r="M99" s="64" t="str">
        <f t="shared" si="161"/>
        <v>[effect:damage_gravity, val:2.0, animation:fevergauge_down]</v>
      </c>
      <c r="N99" s="48" t="str">
        <f t="shared" si="174"/>
        <v>[effect:damage_gravity, val:2.0, animation:fevergauge_down]</v>
      </c>
      <c r="O99" s="64">
        <f t="shared" si="162"/>
        <v>9</v>
      </c>
      <c r="P99" s="64">
        <f t="shared" si="163"/>
        <v>23</v>
      </c>
      <c r="Q99" s="64" t="e">
        <f t="shared" si="164"/>
        <v>#VALUE!</v>
      </c>
      <c r="R99" s="64">
        <f t="shared" si="165"/>
        <v>32</v>
      </c>
      <c r="S99" s="64" t="str">
        <f>IFERROR(VLOOKUP(MID(N99,Q99,R99-Q99),[6]skilldef!$C:$D,2,FALSE),"-") &amp; " / " &amp; IFERROR(VLOOKUP(MID(N99,O99,P99-O99),[6]skilldef!$A:$B,2,FALSE),"-")</f>
        <v>- / 割合ダメージ</v>
      </c>
      <c r="T99" s="48" t="str">
        <f t="shared" si="166"/>
        <v>none</v>
      </c>
      <c r="U99" s="64" t="e">
        <f t="shared" si="167"/>
        <v>#VALUE!</v>
      </c>
      <c r="V99" s="64">
        <f t="shared" si="168"/>
        <v>4</v>
      </c>
      <c r="W99" s="64" t="e">
        <f t="shared" si="169"/>
        <v>#VALUE!</v>
      </c>
      <c r="X99" s="64" t="e">
        <f t="shared" si="170"/>
        <v>#VALUE!</v>
      </c>
      <c r="Y99" s="64" t="str">
        <f>IFERROR(VLOOKUP(MID(T99,W99,X99-W99),[6]skilldef!$C:$D,2,FALSE),"-") &amp; " / " &amp; IFERROR(VLOOKUP(MID(T99,U99,V99-U99),[6]skilldef!$A:$B,2,FALSE),"-")</f>
        <v>- / -</v>
      </c>
      <c r="Z99" s="50"/>
      <c r="AA99" s="52"/>
      <c r="AB99" s="50"/>
    </row>
    <row r="100" spans="1:28" ht="42" customHeight="1" x14ac:dyDescent="0.15">
      <c r="A100" s="114">
        <v>47008544</v>
      </c>
      <c r="B100" s="47" t="s">
        <v>565</v>
      </c>
      <c r="C100" s="50">
        <v>3</v>
      </c>
      <c r="D100" s="50" t="s">
        <v>128</v>
      </c>
      <c r="E100" s="51" t="s">
        <v>487</v>
      </c>
      <c r="F100" s="51" t="s">
        <v>564</v>
      </c>
      <c r="G100" s="64" t="str">
        <f t="shared" si="156"/>
        <v>[effect:enemy_message, val1:2.4, val2:2.2, dead_type:escape]</v>
      </c>
      <c r="H100" s="64">
        <f t="shared" si="157"/>
        <v>9</v>
      </c>
      <c r="I100" s="64">
        <f t="shared" si="158"/>
        <v>22</v>
      </c>
      <c r="J100" s="64" t="e">
        <f t="shared" si="159"/>
        <v>#VALUE!</v>
      </c>
      <c r="K100" s="64">
        <f t="shared" si="160"/>
        <v>32</v>
      </c>
      <c r="L100" s="64" t="str">
        <f>IFERROR(VLOOKUP(MID(G100,J100,K100-J100),[6]skilldef!$C:$D,2,FALSE),"-") &amp; " / " &amp; IFERROR(VLOOKUP(MID(G100,H100,I100-H100),[6]skilldef!$A:$B,2,FALSE),"-")</f>
        <v>- / -</v>
      </c>
      <c r="M100" s="64" t="str">
        <f t="shared" si="161"/>
        <v>none</v>
      </c>
      <c r="N100" s="48" t="str">
        <f t="shared" si="174"/>
        <v>none</v>
      </c>
      <c r="O100" s="64" t="e">
        <f t="shared" si="162"/>
        <v>#VALUE!</v>
      </c>
      <c r="P100" s="64">
        <f t="shared" si="163"/>
        <v>4</v>
      </c>
      <c r="Q100" s="64" t="e">
        <f t="shared" si="164"/>
        <v>#VALUE!</v>
      </c>
      <c r="R100" s="64" t="e">
        <f t="shared" si="165"/>
        <v>#VALUE!</v>
      </c>
      <c r="S100" s="64" t="str">
        <f>IFERROR(VLOOKUP(MID(N100,Q100,R100-Q100),[6]skilldef!$C:$D,2,FALSE),"-") &amp; " / " &amp; IFERROR(VLOOKUP(MID(N100,O100,P100-O100),[6]skilldef!$A:$B,2,FALSE),"-")</f>
        <v>- / -</v>
      </c>
      <c r="T100" s="48" t="str">
        <f t="shared" si="166"/>
        <v>none</v>
      </c>
      <c r="U100" s="64" t="e">
        <f t="shared" si="167"/>
        <v>#VALUE!</v>
      </c>
      <c r="V100" s="64">
        <f t="shared" si="168"/>
        <v>4</v>
      </c>
      <c r="W100" s="64" t="e">
        <f t="shared" si="169"/>
        <v>#VALUE!</v>
      </c>
      <c r="X100" s="64" t="e">
        <f t="shared" si="170"/>
        <v>#VALUE!</v>
      </c>
      <c r="Y100" s="64" t="str">
        <f>IFERROR(VLOOKUP(MID(T100,W100,X100-W100),[6]skilldef!$C:$D,2,FALSE),"-") &amp; " / " &amp; IFERROR(VLOOKUP(MID(T100,U100,V100-U100),[6]skilldef!$A:$B,2,FALSE),"-")</f>
        <v>- / -</v>
      </c>
      <c r="Z100" s="50"/>
      <c r="AA100" s="52"/>
      <c r="AB100" s="50"/>
    </row>
    <row r="101" spans="1:28" ht="21" customHeight="1" x14ac:dyDescent="0.15">
      <c r="A101" s="114">
        <v>47008545</v>
      </c>
      <c r="B101" s="47" t="s">
        <v>538</v>
      </c>
      <c r="C101" s="50">
        <v>3</v>
      </c>
      <c r="D101" s="50" t="s">
        <v>128</v>
      </c>
      <c r="E101" s="51" t="s">
        <v>488</v>
      </c>
      <c r="F101" s="51" t="s">
        <v>511</v>
      </c>
      <c r="G101" s="64" t="str">
        <f t="shared" si="156"/>
        <v>[effect:enemy_message, val1:1.9, val2:1.3]</v>
      </c>
      <c r="H101" s="64">
        <f t="shared" si="157"/>
        <v>9</v>
      </c>
      <c r="I101" s="64">
        <f t="shared" si="158"/>
        <v>22</v>
      </c>
      <c r="J101" s="64" t="e">
        <f t="shared" si="159"/>
        <v>#VALUE!</v>
      </c>
      <c r="K101" s="64">
        <f t="shared" si="160"/>
        <v>32</v>
      </c>
      <c r="L101" s="64" t="str">
        <f>IFERROR(VLOOKUP(MID(G101,J101,K101-J101),[6]skilldef!$C:$D,2,FALSE),"-") &amp; " / " &amp; IFERROR(VLOOKUP(MID(G101,H101,I101-H101),[6]skilldef!$A:$B,2,FALSE),"-")</f>
        <v>- / -</v>
      </c>
      <c r="M101" s="64" t="str">
        <f t="shared" si="161"/>
        <v>[effect:damage_fix_absolute, target:unit_one, val:14106]</v>
      </c>
      <c r="N101" s="48" t="str">
        <f t="shared" si="174"/>
        <v>[effect:damage_fix_absolute, target:unit_one, val:14106]</v>
      </c>
      <c r="O101" s="64">
        <f t="shared" si="162"/>
        <v>9</v>
      </c>
      <c r="P101" s="64">
        <f t="shared" si="163"/>
        <v>28</v>
      </c>
      <c r="Q101" s="64">
        <f t="shared" si="164"/>
        <v>37</v>
      </c>
      <c r="R101" s="64">
        <f t="shared" si="165"/>
        <v>45</v>
      </c>
      <c r="S101" s="64" t="str">
        <f>IFERROR(VLOOKUP(MID(N101,Q101,R101-Q101),[6]skilldef!$C:$D,2,FALSE),"-") &amp; " / " &amp; IFERROR(VLOOKUP(MID(N101,O101,P101-O101),[6]skilldef!$A:$B,2,FALSE),"-")</f>
        <v>味方単体に / -</v>
      </c>
      <c r="T101" s="48" t="str">
        <f t="shared" si="166"/>
        <v>none</v>
      </c>
      <c r="U101" s="64" t="e">
        <f t="shared" si="167"/>
        <v>#VALUE!</v>
      </c>
      <c r="V101" s="64">
        <f t="shared" si="168"/>
        <v>4</v>
      </c>
      <c r="W101" s="64" t="e">
        <f t="shared" si="169"/>
        <v>#VALUE!</v>
      </c>
      <c r="X101" s="64" t="e">
        <f t="shared" si="170"/>
        <v>#VALUE!</v>
      </c>
      <c r="Y101" s="64" t="str">
        <f>IFERROR(VLOOKUP(MID(T101,W101,X101-W101),[6]skilldef!$C:$D,2,FALSE),"-") &amp; " / " &amp; IFERROR(VLOOKUP(MID(T101,U101,V101-U101),[6]skilldef!$A:$B,2,FALSE),"-")</f>
        <v>- / -</v>
      </c>
      <c r="Z101" s="50"/>
      <c r="AA101" s="52"/>
      <c r="AB101" s="50"/>
    </row>
    <row r="102" spans="1:28" ht="21" customHeight="1" x14ac:dyDescent="0.15">
      <c r="A102" s="114">
        <v>47008547</v>
      </c>
      <c r="B102" s="47" t="s">
        <v>563</v>
      </c>
      <c r="C102" s="50">
        <v>3</v>
      </c>
      <c r="D102" s="50" t="s">
        <v>128</v>
      </c>
      <c r="E102" s="51" t="s">
        <v>489</v>
      </c>
      <c r="F102" s="51" t="s">
        <v>512</v>
      </c>
      <c r="G102" s="64" t="str">
        <f t="shared" si="156"/>
        <v>[effect:enemy_message, val1:1.7, val2:1.8, dead_type:escape]</v>
      </c>
      <c r="H102" s="64">
        <f t="shared" si="157"/>
        <v>9</v>
      </c>
      <c r="I102" s="64">
        <f t="shared" si="158"/>
        <v>22</v>
      </c>
      <c r="J102" s="64" t="e">
        <f t="shared" si="159"/>
        <v>#VALUE!</v>
      </c>
      <c r="K102" s="64">
        <f t="shared" si="160"/>
        <v>32</v>
      </c>
      <c r="L102" s="64" t="str">
        <f>IFERROR(VLOOKUP(MID(G102,J102,K102-J102),[6]skilldef!$C:$D,2,FALSE),"-") &amp; " / " &amp; IFERROR(VLOOKUP(MID(G102,H102,I102-H102),[6]skilldef!$A:$B,2,FALSE),"-")</f>
        <v>- / -</v>
      </c>
      <c r="M102" s="64" t="str">
        <f t="shared" si="161"/>
        <v>none</v>
      </c>
      <c r="N102" s="48" t="str">
        <f>IFERROR(LEFT(M102,FIND("],",M102)+S119),M102)</f>
        <v>none</v>
      </c>
      <c r="O102" s="64" t="e">
        <f t="shared" si="162"/>
        <v>#VALUE!</v>
      </c>
      <c r="P102" s="64">
        <f t="shared" si="163"/>
        <v>4</v>
      </c>
      <c r="Q102" s="64" t="e">
        <f t="shared" si="164"/>
        <v>#VALUE!</v>
      </c>
      <c r="R102" s="64" t="e">
        <f t="shared" si="165"/>
        <v>#VALUE!</v>
      </c>
      <c r="S102" s="64" t="str">
        <f>IFERROR(VLOOKUP(MID(N102,Q102,R102-Q102),[6]skilldef!$C:$D,2,FALSE),"-") &amp; " / " &amp; IFERROR(VLOOKUP(MID(N102,O102,P102-O102),[6]skilldef!$A:$B,2,FALSE),"-")</f>
        <v>- / -</v>
      </c>
      <c r="T102" s="48" t="str">
        <f t="shared" si="166"/>
        <v>none</v>
      </c>
      <c r="U102" s="64" t="e">
        <f t="shared" si="167"/>
        <v>#VALUE!</v>
      </c>
      <c r="V102" s="64">
        <f t="shared" si="168"/>
        <v>4</v>
      </c>
      <c r="W102" s="64" t="e">
        <f t="shared" si="169"/>
        <v>#VALUE!</v>
      </c>
      <c r="X102" s="64" t="e">
        <f t="shared" si="170"/>
        <v>#VALUE!</v>
      </c>
      <c r="Y102" s="64" t="str">
        <f>IFERROR(VLOOKUP(MID(T102,W102,X102-W102),[6]skilldef!$C:$D,2,FALSE),"-") &amp; " / " &amp; IFERROR(VLOOKUP(MID(T102,U102,V102-U102),[6]skilldef!$A:$B,2,FALSE),"-")</f>
        <v>- / -</v>
      </c>
      <c r="Z102" s="50"/>
      <c r="AA102" s="52"/>
      <c r="AB102" s="50"/>
    </row>
    <row r="103" spans="1:28" ht="21" customHeight="1" x14ac:dyDescent="0.15">
      <c r="A103" s="114">
        <v>47008548</v>
      </c>
      <c r="B103" s="47" t="s">
        <v>570</v>
      </c>
      <c r="C103" s="50">
        <v>3</v>
      </c>
      <c r="D103" s="50" t="s">
        <v>128</v>
      </c>
      <c r="E103" s="51" t="s">
        <v>490</v>
      </c>
      <c r="F103" s="51" t="s">
        <v>569</v>
      </c>
      <c r="G103" s="64" t="str">
        <f t="shared" si="156"/>
        <v>[effect:enemy_message, val1:1.7, val2:2.0, dead_type:escape]</v>
      </c>
      <c r="H103" s="64">
        <f t="shared" si="157"/>
        <v>9</v>
      </c>
      <c r="I103" s="64">
        <f t="shared" si="158"/>
        <v>22</v>
      </c>
      <c r="J103" s="64" t="e">
        <f t="shared" si="159"/>
        <v>#VALUE!</v>
      </c>
      <c r="K103" s="64">
        <f t="shared" si="160"/>
        <v>32</v>
      </c>
      <c r="L103" s="64" t="str">
        <f>IFERROR(VLOOKUP(MID(G103,J103,K103-J103),[6]skilldef!$C:$D,2,FALSE),"-") &amp; " / " &amp; IFERROR(VLOOKUP(MID(G103,H103,I103-H103),[6]skilldef!$A:$B,2,FALSE),"-")</f>
        <v>- / -</v>
      </c>
      <c r="M103" s="64" t="str">
        <f t="shared" si="161"/>
        <v>none</v>
      </c>
      <c r="N103" s="48" t="str">
        <f>IFERROR(LEFT(M103,FIND("],",M103)+#REF!),M103)</f>
        <v>none</v>
      </c>
      <c r="O103" s="64" t="e">
        <f t="shared" si="162"/>
        <v>#VALUE!</v>
      </c>
      <c r="P103" s="64">
        <f t="shared" si="163"/>
        <v>4</v>
      </c>
      <c r="Q103" s="64" t="e">
        <f t="shared" si="164"/>
        <v>#VALUE!</v>
      </c>
      <c r="R103" s="64" t="e">
        <f t="shared" si="165"/>
        <v>#VALUE!</v>
      </c>
      <c r="S103" s="64" t="str">
        <f>IFERROR(VLOOKUP(MID(N103,Q103,R103-Q103),[6]skilldef!$C:$D,2,FALSE),"-") &amp; " / " &amp; IFERROR(VLOOKUP(MID(N103,O103,P103-O103),[6]skilldef!$A:$B,2,FALSE),"-")</f>
        <v>- / -</v>
      </c>
      <c r="T103" s="48" t="str">
        <f t="shared" si="166"/>
        <v>none</v>
      </c>
      <c r="U103" s="64" t="e">
        <f t="shared" si="167"/>
        <v>#VALUE!</v>
      </c>
      <c r="V103" s="64">
        <f t="shared" si="168"/>
        <v>4</v>
      </c>
      <c r="W103" s="64" t="e">
        <f t="shared" si="169"/>
        <v>#VALUE!</v>
      </c>
      <c r="X103" s="64" t="e">
        <f t="shared" si="170"/>
        <v>#VALUE!</v>
      </c>
      <c r="Y103" s="64" t="str">
        <f>IFERROR(VLOOKUP(MID(T103,W103,X103-W103),[6]skilldef!$C:$D,2,FALSE),"-") &amp; " / " &amp; IFERROR(VLOOKUP(MID(T103,U103,V103-U103),[6]skilldef!$A:$B,2,FALSE),"-")</f>
        <v>- / -</v>
      </c>
      <c r="Z103" s="50"/>
      <c r="AA103" s="52"/>
      <c r="AB103" s="50"/>
    </row>
    <row r="104" spans="1:28" ht="42" customHeight="1" x14ac:dyDescent="0.15">
      <c r="A104" s="114">
        <v>47008549</v>
      </c>
      <c r="B104" s="47" t="s">
        <v>562</v>
      </c>
      <c r="C104" s="50">
        <v>3</v>
      </c>
      <c r="D104" s="50" t="s">
        <v>128</v>
      </c>
      <c r="E104" s="51" t="s">
        <v>487</v>
      </c>
      <c r="F104" s="51" t="s">
        <v>513</v>
      </c>
      <c r="G104" s="64" t="str">
        <f t="shared" si="156"/>
        <v>[effect:enemy_message, val1:2.4, val2:1.7, dead_type:escape]</v>
      </c>
      <c r="H104" s="64">
        <f t="shared" si="157"/>
        <v>9</v>
      </c>
      <c r="I104" s="64">
        <f t="shared" si="158"/>
        <v>22</v>
      </c>
      <c r="J104" s="64" t="e">
        <f t="shared" si="159"/>
        <v>#VALUE!</v>
      </c>
      <c r="K104" s="64">
        <f t="shared" si="160"/>
        <v>32</v>
      </c>
      <c r="L104" s="64" t="str">
        <f>IFERROR(VLOOKUP(MID(G104,J104,K104-J104),[6]skilldef!$C:$D,2,FALSE),"-") &amp; " / " &amp; IFERROR(VLOOKUP(MID(G104,H104,I104-H104),[6]skilldef!$A:$B,2,FALSE),"-")</f>
        <v>- / -</v>
      </c>
      <c r="M104" s="64" t="str">
        <f t="shared" si="161"/>
        <v>none</v>
      </c>
      <c r="N104" s="48" t="str">
        <f>IFERROR(LEFT(M104,FIND("],",M104)+S127),M104)</f>
        <v>none</v>
      </c>
      <c r="O104" s="64" t="e">
        <f t="shared" si="162"/>
        <v>#VALUE!</v>
      </c>
      <c r="P104" s="64">
        <f t="shared" si="163"/>
        <v>4</v>
      </c>
      <c r="Q104" s="64" t="e">
        <f t="shared" si="164"/>
        <v>#VALUE!</v>
      </c>
      <c r="R104" s="64" t="e">
        <f t="shared" si="165"/>
        <v>#VALUE!</v>
      </c>
      <c r="S104" s="64" t="str">
        <f>IFERROR(VLOOKUP(MID(N104,Q104,R104-Q104),[6]skilldef!$C:$D,2,FALSE),"-") &amp; " / " &amp; IFERROR(VLOOKUP(MID(N104,O104,P104-O104),[6]skilldef!$A:$B,2,FALSE),"-")</f>
        <v>- / -</v>
      </c>
      <c r="T104" s="48" t="str">
        <f t="shared" si="166"/>
        <v>none</v>
      </c>
      <c r="U104" s="64" t="e">
        <f t="shared" si="167"/>
        <v>#VALUE!</v>
      </c>
      <c r="V104" s="64">
        <f t="shared" si="168"/>
        <v>4</v>
      </c>
      <c r="W104" s="64" t="e">
        <f t="shared" si="169"/>
        <v>#VALUE!</v>
      </c>
      <c r="X104" s="64" t="e">
        <f t="shared" si="170"/>
        <v>#VALUE!</v>
      </c>
      <c r="Y104" s="64" t="str">
        <f>IFERROR(VLOOKUP(MID(T104,W104,X104-W104),[6]skilldef!$C:$D,2,FALSE),"-") &amp; " / " &amp; IFERROR(VLOOKUP(MID(T104,U104,V104-U104),[6]skilldef!$A:$B,2,FALSE),"-")</f>
        <v>- / -</v>
      </c>
      <c r="Z104" s="50"/>
      <c r="AA104" s="52"/>
      <c r="AB104" s="50"/>
    </row>
    <row r="105" spans="1:28" ht="49" customHeight="1" x14ac:dyDescent="0.15">
      <c r="A105" s="114">
        <v>47008551</v>
      </c>
      <c r="B105" s="47" t="s">
        <v>408</v>
      </c>
      <c r="C105" s="50">
        <v>3</v>
      </c>
      <c r="D105" s="50" t="s">
        <v>128</v>
      </c>
      <c r="E105" s="51" t="s">
        <v>491</v>
      </c>
      <c r="F105" s="51" t="s">
        <v>279</v>
      </c>
      <c r="G105" s="64" t="str">
        <f t="shared" si="156"/>
        <v>[effect:enemy_message, val1:1.2, val2:1.8]</v>
      </c>
      <c r="H105" s="64">
        <f t="shared" si="157"/>
        <v>9</v>
      </c>
      <c r="I105" s="64">
        <f t="shared" si="158"/>
        <v>22</v>
      </c>
      <c r="J105" s="64" t="e">
        <f t="shared" si="159"/>
        <v>#VALUE!</v>
      </c>
      <c r="K105" s="64">
        <f t="shared" si="160"/>
        <v>32</v>
      </c>
      <c r="L105" s="64" t="str">
        <f>IFERROR(VLOOKUP(MID(G105,J105,K105-J105),[6]skilldef!$C:$D,2,FALSE),"-") &amp; " / " &amp; IFERROR(VLOOKUP(MID(G105,H105,I105-H105),[6]skilldef!$A:$B,2,FALSE),"-")</f>
        <v>- / -</v>
      </c>
      <c r="M105" s="64" t="str">
        <f t="shared" si="161"/>
        <v>[effect:critical, val:0.4],[effect:damage_gravity, val:0.5, animation:fevergauge_down]</v>
      </c>
      <c r="N105" s="48" t="str">
        <f>IFERROR(LEFT(M105,FIND("],",M105)+S127),M105)</f>
        <v>[effect:critical, val:0.4],[effect:damage_gravity, val:0.5, animation:fevergauge_down]</v>
      </c>
      <c r="O105" s="64">
        <f t="shared" si="162"/>
        <v>9</v>
      </c>
      <c r="P105" s="64">
        <f t="shared" si="163"/>
        <v>17</v>
      </c>
      <c r="Q105" s="64" t="e">
        <f t="shared" si="164"/>
        <v>#VALUE!</v>
      </c>
      <c r="R105" s="64">
        <f t="shared" si="165"/>
        <v>27</v>
      </c>
      <c r="S105" s="64" t="str">
        <f>IFERROR(VLOOKUP(MID(N105,Q105,R105-Q105),[6]skilldef!$C:$D,2,FALSE),"-") &amp; " / " &amp; IFERROR(VLOOKUP(MID(N105,O105,P105-O105),[6]skilldef!$A:$B,2,FALSE),"-")</f>
        <v>- / 大攻撃</v>
      </c>
      <c r="T105" s="48" t="str">
        <f t="shared" si="166"/>
        <v>[effect:damage_gravity, val:0.5, animation:fevergauge_down]</v>
      </c>
      <c r="U105" s="64">
        <f t="shared" si="167"/>
        <v>9</v>
      </c>
      <c r="V105" s="64">
        <f t="shared" si="168"/>
        <v>23</v>
      </c>
      <c r="W105" s="64" t="e">
        <f t="shared" si="169"/>
        <v>#VALUE!</v>
      </c>
      <c r="X105" s="64">
        <f t="shared" si="170"/>
        <v>32</v>
      </c>
      <c r="Y105" s="64" t="str">
        <f>IFERROR(VLOOKUP(MID(T105,W105,X105-W105),[6]skilldef!$C:$D,2,FALSE),"-") &amp; " / " &amp; IFERROR(VLOOKUP(MID(T105,U105,V105-U105),[6]skilldef!$A:$B,2,FALSE),"-")</f>
        <v>- / 割合ダメージ</v>
      </c>
      <c r="Z105" s="50"/>
      <c r="AA105" s="52"/>
      <c r="AB105" s="50"/>
    </row>
    <row r="106" spans="1:28" ht="21" customHeight="1" x14ac:dyDescent="0.15">
      <c r="A106" s="112">
        <v>47008338</v>
      </c>
      <c r="B106" s="47" t="s">
        <v>549</v>
      </c>
      <c r="C106" s="50">
        <v>3</v>
      </c>
      <c r="D106" s="50" t="s">
        <v>128</v>
      </c>
      <c r="E106" s="51" t="s">
        <v>514</v>
      </c>
      <c r="F106" s="51" t="s">
        <v>437</v>
      </c>
      <c r="G106" s="64" t="str">
        <f t="shared" si="156"/>
        <v>[effect:enemy_message, val1:2.9, val2:1.3]</v>
      </c>
      <c r="H106" s="64">
        <f t="shared" si="157"/>
        <v>9</v>
      </c>
      <c r="I106" s="64">
        <f t="shared" si="158"/>
        <v>22</v>
      </c>
      <c r="J106" s="64" t="e">
        <f t="shared" si="159"/>
        <v>#VALUE!</v>
      </c>
      <c r="K106" s="64">
        <f t="shared" si="160"/>
        <v>32</v>
      </c>
      <c r="L106" s="64" t="str">
        <f>IFERROR(VLOOKUP(MID(G106,J106,K106-J106),[6]skilldef!$C:$D,2,FALSE),"-") &amp; " / " &amp; IFERROR(VLOOKUP(MID(G106,H106,I106-H106),[6]skilldef!$A:$B,2,FALSE),"-")</f>
        <v>- / -</v>
      </c>
      <c r="M106" s="64" t="str">
        <f t="shared" si="161"/>
        <v>[effect:damage_gravity, val:0.4, animation:fevergauge_down]</v>
      </c>
      <c r="N106" s="48" t="str">
        <f>IFERROR(LEFT(M106,FIND("],",M106)+S119),M106)</f>
        <v>[effect:damage_gravity, val:0.4, animation:fevergauge_down]</v>
      </c>
      <c r="O106" s="64">
        <f t="shared" si="162"/>
        <v>9</v>
      </c>
      <c r="P106" s="64">
        <f t="shared" si="163"/>
        <v>23</v>
      </c>
      <c r="Q106" s="64" t="e">
        <f t="shared" si="164"/>
        <v>#VALUE!</v>
      </c>
      <c r="R106" s="64">
        <f t="shared" si="165"/>
        <v>32</v>
      </c>
      <c r="S106" s="64" t="str">
        <f>IFERROR(VLOOKUP(MID(N106,Q106,R106-Q106),[6]skilldef!$C:$D,2,FALSE),"-") &amp; " / " &amp; IFERROR(VLOOKUP(MID(N106,O106,P106-O106),[6]skilldef!$A:$B,2,FALSE),"-")</f>
        <v>- / 割合ダメージ</v>
      </c>
      <c r="T106" s="48" t="str">
        <f t="shared" si="166"/>
        <v>none</v>
      </c>
      <c r="U106" s="64" t="e">
        <f t="shared" si="167"/>
        <v>#VALUE!</v>
      </c>
      <c r="V106" s="64">
        <f t="shared" si="168"/>
        <v>4</v>
      </c>
      <c r="W106" s="64" t="e">
        <f t="shared" si="169"/>
        <v>#VALUE!</v>
      </c>
      <c r="X106" s="64" t="e">
        <f t="shared" si="170"/>
        <v>#VALUE!</v>
      </c>
      <c r="Y106" s="64" t="str">
        <f>IFERROR(VLOOKUP(MID(T106,W106,X106-W106),[6]skilldef!$C:$D,2,FALSE),"-") &amp; " / " &amp; IFERROR(VLOOKUP(MID(T106,U106,V106-U106),[6]skilldef!$A:$B,2,FALSE),"-")</f>
        <v>- / -</v>
      </c>
      <c r="Z106" s="50"/>
      <c r="AA106" s="52"/>
      <c r="AB106" s="50"/>
    </row>
    <row r="107" spans="1:28" ht="21" customHeight="1" x14ac:dyDescent="0.15">
      <c r="A107" s="113">
        <v>47008435</v>
      </c>
      <c r="B107" s="47" t="s">
        <v>441</v>
      </c>
      <c r="C107" s="50">
        <v>3</v>
      </c>
      <c r="D107" s="50" t="s">
        <v>128</v>
      </c>
      <c r="E107" s="51" t="s">
        <v>304</v>
      </c>
      <c r="F107" s="51" t="s">
        <v>435</v>
      </c>
      <c r="G107" s="64" t="str">
        <f t="shared" si="156"/>
        <v>[effect:enemy_message, val1:1.2, val2:1.2]</v>
      </c>
      <c r="H107" s="64">
        <f t="shared" si="157"/>
        <v>9</v>
      </c>
      <c r="I107" s="64">
        <f t="shared" si="158"/>
        <v>22</v>
      </c>
      <c r="J107" s="64" t="e">
        <f t="shared" si="159"/>
        <v>#VALUE!</v>
      </c>
      <c r="K107" s="64">
        <f t="shared" si="160"/>
        <v>32</v>
      </c>
      <c r="L107" s="64" t="str">
        <f>IFERROR(VLOOKUP(MID(G107,J107,K107-J107),[6]skilldef!$C:$D,2,FALSE),"-") &amp; " / " &amp; IFERROR(VLOOKUP(MID(G107,H107,I107-H107),[6]skilldef!$A:$B,2,FALSE),"-")</f>
        <v>- / -</v>
      </c>
      <c r="M107" s="64" t="str">
        <f t="shared" si="161"/>
        <v>[effect:damage_fix_absolute, target:unit_one, val:3000]</v>
      </c>
      <c r="N107" s="48" t="str">
        <f>IFERROR(LEFT(M107,FIND("],",M107)+S119),M107)</f>
        <v>[effect:damage_fix_absolute, target:unit_one, val:3000]</v>
      </c>
      <c r="O107" s="64">
        <f t="shared" si="162"/>
        <v>9</v>
      </c>
      <c r="P107" s="64">
        <f t="shared" si="163"/>
        <v>28</v>
      </c>
      <c r="Q107" s="64">
        <f t="shared" si="164"/>
        <v>37</v>
      </c>
      <c r="R107" s="64">
        <f t="shared" si="165"/>
        <v>45</v>
      </c>
      <c r="S107" s="64" t="str">
        <f>IFERROR(VLOOKUP(MID(N107,Q107,R107-Q107),[6]skilldef!$C:$D,2,FALSE),"-") &amp; " / " &amp; IFERROR(VLOOKUP(MID(N107,O107,P107-O107),[6]skilldef!$A:$B,2,FALSE),"-")</f>
        <v>味方単体に / -</v>
      </c>
      <c r="T107" s="48" t="str">
        <f t="shared" si="166"/>
        <v>none</v>
      </c>
      <c r="U107" s="64" t="e">
        <f t="shared" si="167"/>
        <v>#VALUE!</v>
      </c>
      <c r="V107" s="64">
        <f t="shared" si="168"/>
        <v>4</v>
      </c>
      <c r="W107" s="64" t="e">
        <f t="shared" si="169"/>
        <v>#VALUE!</v>
      </c>
      <c r="X107" s="64" t="e">
        <f t="shared" si="170"/>
        <v>#VALUE!</v>
      </c>
      <c r="Y107" s="64" t="str">
        <f>IFERROR(VLOOKUP(MID(T107,W107,X107-W107),[6]skilldef!$C:$D,2,FALSE),"-") &amp; " / " &amp; IFERROR(VLOOKUP(MID(T107,U107,V107-U107),[6]skilldef!$A:$B,2,FALSE),"-")</f>
        <v>- / -</v>
      </c>
      <c r="Z107" s="50"/>
      <c r="AA107" s="52"/>
      <c r="AB107" s="50"/>
    </row>
    <row r="108" spans="1:28" ht="42" customHeight="1" x14ac:dyDescent="0.15">
      <c r="A108" s="113">
        <v>47008436</v>
      </c>
      <c r="B108" s="47" t="s">
        <v>414</v>
      </c>
      <c r="C108" s="50">
        <v>3</v>
      </c>
      <c r="D108" s="50" t="s">
        <v>128</v>
      </c>
      <c r="E108" s="51" t="s">
        <v>307</v>
      </c>
      <c r="F108" s="51" t="s">
        <v>349</v>
      </c>
      <c r="G108" s="64" t="str">
        <f t="shared" si="156"/>
        <v>[effect:enemy_message, val1:1.8, val2:1.9]</v>
      </c>
      <c r="H108" s="64">
        <f t="shared" si="157"/>
        <v>9</v>
      </c>
      <c r="I108" s="64">
        <f t="shared" si="158"/>
        <v>22</v>
      </c>
      <c r="J108" s="64" t="e">
        <f t="shared" si="159"/>
        <v>#VALUE!</v>
      </c>
      <c r="K108" s="64">
        <f t="shared" si="160"/>
        <v>32</v>
      </c>
      <c r="L108" s="64" t="str">
        <f>IFERROR(VLOOKUP(MID(G108,J108,K108-J108),[6]skilldef!$C:$D,2,FALSE),"-") &amp; " / " &amp; IFERROR(VLOOKUP(MID(G108,H108,I108-H108),[6]skilldef!$A:$B,2,FALSE),"-")</f>
        <v>- / -</v>
      </c>
      <c r="M108" s="64" t="str">
        <f t="shared" si="161"/>
        <v>[effect:change_panel_ratio, turn:5, block_type:heal, val:0.1, animation:block_incidence04]</v>
      </c>
      <c r="N108" s="48" t="str">
        <f>IFERROR(LEFT(M108,FIND("],",M108)+S120),M108)</f>
        <v>[effect:change_panel_ratio, turn:5, block_type:heal, val:0.1, animation:block_incidence04]</v>
      </c>
      <c r="O108" s="64">
        <f t="shared" si="162"/>
        <v>9</v>
      </c>
      <c r="P108" s="64">
        <f t="shared" si="163"/>
        <v>27</v>
      </c>
      <c r="Q108" s="64" t="e">
        <f t="shared" si="164"/>
        <v>#VALUE!</v>
      </c>
      <c r="R108" s="64">
        <f t="shared" si="165"/>
        <v>35</v>
      </c>
      <c r="S108" s="64" t="str">
        <f>IFERROR(VLOOKUP(MID(N108,Q108,R108-Q108),[6]skilldef!$C:$D,2,FALSE),"-") &amp; " / " &amp; IFERROR(VLOOKUP(MID(N108,O108,P108-O108),[6]skilldef!$A:$B,2,FALSE),"-")</f>
        <v>- / -</v>
      </c>
      <c r="T108" s="48" t="str">
        <f t="shared" si="166"/>
        <v>none</v>
      </c>
      <c r="U108" s="64" t="e">
        <f t="shared" si="167"/>
        <v>#VALUE!</v>
      </c>
      <c r="V108" s="64">
        <f t="shared" si="168"/>
        <v>4</v>
      </c>
      <c r="W108" s="64" t="e">
        <f t="shared" si="169"/>
        <v>#VALUE!</v>
      </c>
      <c r="X108" s="64" t="e">
        <f t="shared" si="170"/>
        <v>#VALUE!</v>
      </c>
      <c r="Y108" s="64" t="str">
        <f>IFERROR(VLOOKUP(MID(T108,W108,X108-W108),[6]skilldef!$C:$D,2,FALSE),"-") &amp; " / " &amp; IFERROR(VLOOKUP(MID(T108,U108,V108-U108),[6]skilldef!$A:$B,2,FALSE),"-")</f>
        <v>- / -</v>
      </c>
      <c r="Z108" s="50"/>
      <c r="AA108" s="52"/>
      <c r="AB108" s="50"/>
    </row>
    <row r="109" spans="1:28" ht="21" customHeight="1" x14ac:dyDescent="0.15">
      <c r="A109" s="113">
        <v>47008437</v>
      </c>
      <c r="B109" s="47" t="s">
        <v>547</v>
      </c>
      <c r="C109" s="50">
        <v>3</v>
      </c>
      <c r="D109" s="50" t="s">
        <v>128</v>
      </c>
      <c r="E109" s="51" t="s">
        <v>515</v>
      </c>
      <c r="F109" s="51" t="s">
        <v>287</v>
      </c>
      <c r="G109" s="64" t="str">
        <f t="shared" si="156"/>
        <v>[effect:enemy_message, val1:1.4, val2:2.5]</v>
      </c>
      <c r="H109" s="64">
        <f t="shared" si="157"/>
        <v>9</v>
      </c>
      <c r="I109" s="64">
        <f t="shared" si="158"/>
        <v>22</v>
      </c>
      <c r="J109" s="64" t="e">
        <f t="shared" si="159"/>
        <v>#VALUE!</v>
      </c>
      <c r="K109" s="64">
        <f t="shared" si="160"/>
        <v>32</v>
      </c>
      <c r="L109" s="64" t="str">
        <f>IFERROR(VLOOKUP(MID(G109,J109,K109-J109),[6]skilldef!$C:$D,2,FALSE),"-") &amp; " / " &amp; IFERROR(VLOOKUP(MID(G109,H109,I109-H109),[6]skilldef!$A:$B,2,FALSE),"-")</f>
        <v>- / -</v>
      </c>
      <c r="M109" s="64" t="str">
        <f t="shared" si="161"/>
        <v>[effect:degrade_unit, target:unit_all, turn:3, status:attack, val:0.5, calc:mul],[effect:critical, val:1.0]</v>
      </c>
      <c r="N109" s="48" t="str">
        <f>IFERROR(LEFT(M109,FIND("],",M109)+S121),M109)</f>
        <v>[effect:degrade_unit, target:unit_all, turn:3, status:attack, val:0.5, calc:mul],[effect:critical, val:1.0]</v>
      </c>
      <c r="O109" s="64">
        <f t="shared" si="162"/>
        <v>9</v>
      </c>
      <c r="P109" s="64">
        <f t="shared" si="163"/>
        <v>21</v>
      </c>
      <c r="Q109" s="64">
        <f t="shared" si="164"/>
        <v>30</v>
      </c>
      <c r="R109" s="64">
        <f t="shared" si="165"/>
        <v>38</v>
      </c>
      <c r="S109" s="64" t="str">
        <f>IFERROR(VLOOKUP(MID(N109,Q109,R109-Q109),[6]skilldef!$C:$D,2,FALSE),"-") &amp; " / " &amp; IFERROR(VLOOKUP(MID(N109,O109,P109-O109),[6]skilldef!$A:$B,2,FALSE),"-")</f>
        <v>味方全体に / ステータスDOWN</v>
      </c>
      <c r="T109" s="48" t="str">
        <f t="shared" si="166"/>
        <v>[effect:critical, val:1.0]</v>
      </c>
      <c r="U109" s="64">
        <f t="shared" si="167"/>
        <v>9</v>
      </c>
      <c r="V109" s="64">
        <f t="shared" si="168"/>
        <v>17</v>
      </c>
      <c r="W109" s="64" t="e">
        <f t="shared" si="169"/>
        <v>#VALUE!</v>
      </c>
      <c r="X109" s="64" t="e">
        <f t="shared" si="170"/>
        <v>#VALUE!</v>
      </c>
      <c r="Y109" s="64" t="str">
        <f>IFERROR(VLOOKUP(MID(T109,W109,X109-W109),[6]skilldef!$C:$D,2,FALSE),"-") &amp; " / " &amp; IFERROR(VLOOKUP(MID(T109,U109,V109-U109),[6]skilldef!$A:$B,2,FALSE),"-")</f>
        <v>- / 大攻撃</v>
      </c>
      <c r="Z109" s="50"/>
      <c r="AA109" s="52"/>
      <c r="AB109" s="50"/>
    </row>
    <row r="110" spans="1:28" ht="60" customHeight="1" x14ac:dyDescent="0.15">
      <c r="A110" s="114">
        <v>47008541</v>
      </c>
      <c r="B110" s="47" t="s">
        <v>540</v>
      </c>
      <c r="C110" s="50">
        <v>3</v>
      </c>
      <c r="D110" s="50" t="s">
        <v>128</v>
      </c>
      <c r="E110" s="51" t="s">
        <v>308</v>
      </c>
      <c r="F110" s="51" t="s">
        <v>438</v>
      </c>
      <c r="G110" s="64" t="str">
        <f t="shared" si="156"/>
        <v>[effect:enemy_message, val1:1.3, val2:4.2]</v>
      </c>
      <c r="H110" s="64">
        <f t="shared" si="157"/>
        <v>9</v>
      </c>
      <c r="I110" s="64">
        <f t="shared" si="158"/>
        <v>22</v>
      </c>
      <c r="J110" s="64" t="e">
        <f t="shared" si="159"/>
        <v>#VALUE!</v>
      </c>
      <c r="K110" s="64">
        <f t="shared" si="160"/>
        <v>32</v>
      </c>
      <c r="L110" s="64" t="str">
        <f>IFERROR(VLOOKUP(MID(G110,J110,K110-J110),[6]skilldef!$C:$D,2,FALSE),"-") &amp; " / " &amp; IFERROR(VLOOKUP(MID(G110,H110,I110-H110),[6]skilldef!$A:$B,2,FALSE),"-")</f>
        <v>- / -</v>
      </c>
      <c r="M110" s="64" t="str">
        <f t="shared" si="161"/>
        <v>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110" s="48" t="str">
        <f>IFERROR(LEFT(M110,FIND("],",M110)+S121),M110)</f>
        <v>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110" s="64">
        <f t="shared" si="162"/>
        <v>9</v>
      </c>
      <c r="P110" s="64">
        <f t="shared" si="163"/>
        <v>23</v>
      </c>
      <c r="Q110" s="64">
        <f t="shared" si="164"/>
        <v>120</v>
      </c>
      <c r="R110" s="64">
        <f t="shared" si="165"/>
        <v>33</v>
      </c>
      <c r="S110" s="64" t="str">
        <f>IFERROR(VLOOKUP(MID(N110,Q110,R110-Q110),[6]skilldef!$C:$D,2,FALSE),"-") &amp; " / " &amp; IFERROR(VLOOKUP(MID(N110,O110,P110-O110),[6]skilldef!$A:$B,2,FALSE),"-")</f>
        <v>- / 割合ダメージ</v>
      </c>
      <c r="T110" s="48" t="str">
        <f t="shared" si="166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110" s="64">
        <f t="shared" si="167"/>
        <v>9</v>
      </c>
      <c r="V110" s="64">
        <f t="shared" si="168"/>
        <v>27</v>
      </c>
      <c r="W110" s="64">
        <f t="shared" si="169"/>
        <v>59</v>
      </c>
      <c r="X110" s="64">
        <f t="shared" si="170"/>
        <v>50</v>
      </c>
      <c r="Y110" s="64" t="str">
        <f>IFERROR(VLOOKUP(MID(T110,W110,X110-W110),[6]skilldef!$C:$D,2,FALSE),"-") &amp; " / " &amp; IFERROR(VLOOKUP(MID(T110,U110,V110-U110),[6]skilldef!$A:$B,2,FALSE),"-")</f>
        <v>- / -</v>
      </c>
      <c r="Z110" s="50"/>
      <c r="AA110" s="52"/>
      <c r="AB110" s="50"/>
    </row>
    <row r="111" spans="1:28" ht="21" customHeight="1" x14ac:dyDescent="0.15">
      <c r="A111" s="114">
        <v>47008542</v>
      </c>
      <c r="B111" s="47" t="s">
        <v>415</v>
      </c>
      <c r="C111" s="50">
        <v>3</v>
      </c>
      <c r="D111" s="50" t="s">
        <v>128</v>
      </c>
      <c r="E111" s="51" t="s">
        <v>392</v>
      </c>
      <c r="F111" s="51" t="s">
        <v>288</v>
      </c>
      <c r="G111" s="64" t="str">
        <f t="shared" si="156"/>
        <v>[effect:enemy_message, val1:1.3, val2:2.5]</v>
      </c>
      <c r="H111" s="64">
        <f t="shared" si="157"/>
        <v>9</v>
      </c>
      <c r="I111" s="64">
        <f t="shared" si="158"/>
        <v>22</v>
      </c>
      <c r="J111" s="64" t="e">
        <f t="shared" si="159"/>
        <v>#VALUE!</v>
      </c>
      <c r="K111" s="64">
        <f t="shared" si="160"/>
        <v>32</v>
      </c>
      <c r="L111" s="64" t="str">
        <f>IFERROR(VLOOKUP(MID(G111,J111,K111-J111),[6]skilldef!$C:$D,2,FALSE),"-") &amp; " / " &amp; IFERROR(VLOOKUP(MID(G111,H111,I111-H111),[6]skilldef!$A:$B,2,FALSE),"-")</f>
        <v>- / -</v>
      </c>
      <c r="M111" s="64" t="str">
        <f t="shared" si="161"/>
        <v>[effect:degrade_unit, target:unit_all, turn:1, status:attack, val:0.2, calc:mul],[effect:critical, val:1.0]</v>
      </c>
      <c r="N111" s="48" t="str">
        <f>IFERROR(LEFT(M111,FIND("],",M111)+S121),M111)</f>
        <v>[effect:degrade_unit, target:unit_all, turn:1, status:attack, val:0.2, calc:mul],[effect:critical, val:1.0]</v>
      </c>
      <c r="O111" s="64">
        <f t="shared" si="162"/>
        <v>9</v>
      </c>
      <c r="P111" s="64">
        <f t="shared" si="163"/>
        <v>21</v>
      </c>
      <c r="Q111" s="64">
        <f t="shared" si="164"/>
        <v>30</v>
      </c>
      <c r="R111" s="64">
        <f t="shared" si="165"/>
        <v>38</v>
      </c>
      <c r="S111" s="64" t="str">
        <f>IFERROR(VLOOKUP(MID(N111,Q111,R111-Q111),[6]skilldef!$C:$D,2,FALSE),"-") &amp; " / " &amp; IFERROR(VLOOKUP(MID(N111,O111,P111-O111),[6]skilldef!$A:$B,2,FALSE),"-")</f>
        <v>味方全体に / ステータスDOWN</v>
      </c>
      <c r="T111" s="48" t="str">
        <f t="shared" si="166"/>
        <v>[effect:critical, val:1.0]</v>
      </c>
      <c r="U111" s="64">
        <f t="shared" si="167"/>
        <v>9</v>
      </c>
      <c r="V111" s="64">
        <f t="shared" si="168"/>
        <v>17</v>
      </c>
      <c r="W111" s="64" t="e">
        <f t="shared" si="169"/>
        <v>#VALUE!</v>
      </c>
      <c r="X111" s="64" t="e">
        <f t="shared" si="170"/>
        <v>#VALUE!</v>
      </c>
      <c r="Y111" s="64" t="str">
        <f>IFERROR(VLOOKUP(MID(T111,W111,X111-W111),[6]skilldef!$C:$D,2,FALSE),"-") &amp; " / " &amp; IFERROR(VLOOKUP(MID(T111,U111,V111-U111),[6]skilldef!$A:$B,2,FALSE),"-")</f>
        <v>- / 大攻撃</v>
      </c>
      <c r="Z111" s="50"/>
      <c r="AA111" s="52"/>
      <c r="AB111" s="50"/>
    </row>
    <row r="112" spans="1:28" ht="34" customHeight="1" x14ac:dyDescent="0.15">
      <c r="A112" s="114">
        <v>47008543</v>
      </c>
      <c r="B112" s="47" t="s">
        <v>452</v>
      </c>
      <c r="C112" s="50">
        <v>3</v>
      </c>
      <c r="D112" s="50" t="s">
        <v>128</v>
      </c>
      <c r="E112" s="51" t="s">
        <v>393</v>
      </c>
      <c r="F112" s="51" t="s">
        <v>424</v>
      </c>
      <c r="G112" s="64" t="str">
        <f t="shared" si="156"/>
        <v>[effect:enemy_message, val1:1.3, val2:1.9]</v>
      </c>
      <c r="H112" s="64">
        <f t="shared" si="157"/>
        <v>9</v>
      </c>
      <c r="I112" s="64">
        <f t="shared" si="158"/>
        <v>22</v>
      </c>
      <c r="J112" s="64" t="e">
        <f t="shared" si="159"/>
        <v>#VALUE!</v>
      </c>
      <c r="K112" s="64">
        <f t="shared" si="160"/>
        <v>32</v>
      </c>
      <c r="L112" s="64" t="str">
        <f>IFERROR(VLOOKUP(MID(G112,J112,K112-J112),[6]skilldef!$C:$D,2,FALSE),"-") &amp; " / " &amp; IFERROR(VLOOKUP(MID(G112,H112,I112-H112),[6]skilldef!$A:$B,2,FALSE),"-")</f>
        <v>- / -</v>
      </c>
      <c r="M112" s="64" t="str">
        <f t="shared" si="161"/>
        <v>[effect:force_change_block, new_block:block_heart, target:block_all, ignore01:crash, ignore02:crack_bomb, ignore03:color_break, ignore04:magnet, ignore05:block_heart, count:10, val:0]</v>
      </c>
      <c r="N112" s="48" t="str">
        <f>IFERROR(LEFT(M112,FIND("],",M112)+S122),M112)</f>
        <v>[effect:force_change_block, new_block:block_heart, target:block_all, ignore01:crash, ignore02:crack_bomb, ignore03:color_break, ignore04:magnet, ignore05:block_heart, count:10, val:0]</v>
      </c>
      <c r="O112" s="64">
        <f t="shared" si="162"/>
        <v>9</v>
      </c>
      <c r="P112" s="64">
        <f t="shared" si="163"/>
        <v>27</v>
      </c>
      <c r="Q112" s="64">
        <f t="shared" si="164"/>
        <v>59</v>
      </c>
      <c r="R112" s="64">
        <f t="shared" si="165"/>
        <v>50</v>
      </c>
      <c r="S112" s="64" t="str">
        <f>IFERROR(VLOOKUP(MID(N112,Q112,R112-Q112),[6]skilldef!$C:$D,2,FALSE),"-") &amp; " / " &amp; IFERROR(VLOOKUP(MID(N112,O112,P112-O112),[6]skilldef!$A:$B,2,FALSE),"-")</f>
        <v>- / -</v>
      </c>
      <c r="T112" s="48" t="str">
        <f t="shared" si="166"/>
        <v>none</v>
      </c>
      <c r="U112" s="64" t="e">
        <f t="shared" si="167"/>
        <v>#VALUE!</v>
      </c>
      <c r="V112" s="64">
        <f t="shared" si="168"/>
        <v>4</v>
      </c>
      <c r="W112" s="64" t="e">
        <f t="shared" si="169"/>
        <v>#VALUE!</v>
      </c>
      <c r="X112" s="64" t="e">
        <f t="shared" si="170"/>
        <v>#VALUE!</v>
      </c>
      <c r="Y112" s="64" t="str">
        <f>IFERROR(VLOOKUP(MID(T112,W112,X112-W112),[6]skilldef!$C:$D,2,FALSE),"-") &amp; " / " &amp; IFERROR(VLOOKUP(MID(T112,U112,V112-U112),[6]skilldef!$A:$B,2,FALSE),"-")</f>
        <v>- / -</v>
      </c>
      <c r="Z112" s="50"/>
      <c r="AA112" s="52"/>
      <c r="AB112" s="50"/>
    </row>
    <row r="113" spans="1:28" ht="49" customHeight="1" x14ac:dyDescent="0.15">
      <c r="A113" s="114">
        <v>47008550</v>
      </c>
      <c r="B113" s="47" t="s">
        <v>453</v>
      </c>
      <c r="C113" s="50">
        <v>3</v>
      </c>
      <c r="D113" s="50" t="s">
        <v>128</v>
      </c>
      <c r="E113" s="51" t="s">
        <v>301</v>
      </c>
      <c r="F113" s="51" t="s">
        <v>351</v>
      </c>
      <c r="G113" s="64" t="str">
        <f t="shared" si="156"/>
        <v>[effect:enemy_message, val1:2.0, val2:1.8]</v>
      </c>
      <c r="H113" s="64">
        <f t="shared" si="157"/>
        <v>9</v>
      </c>
      <c r="I113" s="64">
        <f t="shared" si="158"/>
        <v>22</v>
      </c>
      <c r="J113" s="64" t="e">
        <f t="shared" si="159"/>
        <v>#VALUE!</v>
      </c>
      <c r="K113" s="64">
        <f t="shared" si="160"/>
        <v>32</v>
      </c>
      <c r="L113" s="64" t="str">
        <f>IFERROR(VLOOKUP(MID(G113,J113,K113-J113),[6]skilldef!$C:$D,2,FALSE),"-") &amp; " / " &amp; IFERROR(VLOOKUP(MID(G113,H113,I113-H113),[6]skilldef!$A:$B,2,FALSE),"-")</f>
        <v>- / -</v>
      </c>
      <c r="M113" s="64" t="str">
        <f t="shared" si="161"/>
        <v>[effect:critical, val:0.2],[effect:damage_gravity, val:0.4, animation:fevergauge_down]</v>
      </c>
      <c r="N113" s="48" t="str">
        <f>IFERROR(LEFT(M113,FIND("],",M113)+S134),M113)</f>
        <v>[effect:critical, val:0.2],[effect:damage_gravity, val:0.4, animation:fevergauge_down]</v>
      </c>
      <c r="O113" s="64">
        <f t="shared" si="162"/>
        <v>9</v>
      </c>
      <c r="P113" s="64">
        <f t="shared" si="163"/>
        <v>17</v>
      </c>
      <c r="Q113" s="64" t="e">
        <f t="shared" si="164"/>
        <v>#VALUE!</v>
      </c>
      <c r="R113" s="64">
        <f t="shared" si="165"/>
        <v>27</v>
      </c>
      <c r="S113" s="64" t="str">
        <f>IFERROR(VLOOKUP(MID(N113,Q113,R113-Q113),[6]skilldef!$C:$D,2,FALSE),"-") &amp; " / " &amp; IFERROR(VLOOKUP(MID(N113,O113,P113-O113),[6]skilldef!$A:$B,2,FALSE),"-")</f>
        <v>- / 大攻撃</v>
      </c>
      <c r="T113" s="48" t="str">
        <f t="shared" si="166"/>
        <v>[effect:damage_gravity, val:0.4, animation:fevergauge_down]</v>
      </c>
      <c r="U113" s="64">
        <f t="shared" si="167"/>
        <v>9</v>
      </c>
      <c r="V113" s="64">
        <f t="shared" si="168"/>
        <v>23</v>
      </c>
      <c r="W113" s="64" t="e">
        <f t="shared" si="169"/>
        <v>#VALUE!</v>
      </c>
      <c r="X113" s="64">
        <f t="shared" si="170"/>
        <v>32</v>
      </c>
      <c r="Y113" s="64" t="str">
        <f>IFERROR(VLOOKUP(MID(T113,W113,X113-W113),[6]skilldef!$C:$D,2,FALSE),"-") &amp; " / " &amp; IFERROR(VLOOKUP(MID(T113,U113,V113-U113),[6]skilldef!$A:$B,2,FALSE),"-")</f>
        <v>- / 割合ダメージ</v>
      </c>
      <c r="Z113" s="50"/>
      <c r="AA113" s="52"/>
      <c r="AB113" s="50"/>
    </row>
    <row r="114" spans="1:28" ht="49" customHeight="1" x14ac:dyDescent="0.15">
      <c r="A114" s="114">
        <v>47008552</v>
      </c>
      <c r="B114" s="47" t="s">
        <v>454</v>
      </c>
      <c r="C114" s="50">
        <v>3</v>
      </c>
      <c r="D114" s="50" t="s">
        <v>128</v>
      </c>
      <c r="E114" s="51" t="s">
        <v>354</v>
      </c>
      <c r="F114" s="51" t="s">
        <v>351</v>
      </c>
      <c r="G114" s="64" t="str">
        <f t="shared" ref="G114:G156" si="175">IFERROR(LEFT(B114,FIND("],",B114)),B114)</f>
        <v>[effect:enemy_message, val1:1.2, val2:1.8]</v>
      </c>
      <c r="H114" s="64">
        <f t="shared" ref="H114:H156" si="176">FIND("effect:",G114)+7</f>
        <v>9</v>
      </c>
      <c r="I114" s="64">
        <f t="shared" ref="I114:I156" si="177">IFERROR(FIND(",",G114),LEN(G114))</f>
        <v>22</v>
      </c>
      <c r="J114" s="64" t="e">
        <f t="shared" ref="J114:J156" si="178">FIND("target:",G114)+7</f>
        <v>#VALUE!</v>
      </c>
      <c r="K114" s="64">
        <f t="shared" ref="K114:K156" si="179">FIND(",",G114,I114+1)</f>
        <v>32</v>
      </c>
      <c r="L114" s="64" t="str">
        <f>IFERROR(VLOOKUP(MID(G114,J114,K114-J114),[6]skilldef!$C:$D,2,FALSE),"-") &amp; " / " &amp; IFERROR(VLOOKUP(MID(G114,H114,I114-H114),[6]skilldef!$A:$B,2,FALSE),"-")</f>
        <v>- / -</v>
      </c>
      <c r="M114" s="64" t="str">
        <f t="shared" ref="M114:M156" si="180">IFERROR(RIGHT(B114,LEN(B114)-FIND("],",B114)-1),"none")</f>
        <v>[effect:critical, val:0.2],[effect:damage_gravity, val:0.4, animation:fevergauge_down]</v>
      </c>
      <c r="N114" s="48" t="str">
        <f>IFERROR(LEFT(M114,FIND("],",M114)+S135),M114)</f>
        <v>[effect:critical, val:0.2],[effect:damage_gravity, val:0.4, animation:fevergauge_down]</v>
      </c>
      <c r="O114" s="64">
        <f t="shared" ref="O114:O156" si="181">FIND("effect:",N114)+7</f>
        <v>9</v>
      </c>
      <c r="P114" s="64">
        <f t="shared" ref="P114:P156" si="182">IFERROR(FIND(",",N114),LEN(N114))</f>
        <v>17</v>
      </c>
      <c r="Q114" s="64" t="e">
        <f t="shared" ref="Q114:Q156" si="183">FIND("target:",N114)+7</f>
        <v>#VALUE!</v>
      </c>
      <c r="R114" s="64">
        <f t="shared" ref="R114:R156" si="184">FIND(",",N114,P114+1)</f>
        <v>27</v>
      </c>
      <c r="S114" s="64" t="str">
        <f>IFERROR(VLOOKUP(MID(N114,Q114,R114-Q114),[6]skilldef!$C:$D,2,FALSE),"-") &amp; " / " &amp; IFERROR(VLOOKUP(MID(N114,O114,P114-O114),[6]skilldef!$A:$B,2,FALSE),"-")</f>
        <v>- / 大攻撃</v>
      </c>
      <c r="T114" s="48" t="str">
        <f t="shared" ref="T114:T156" si="185">IFERROR(RIGHT(M114,LEN(M114)-FIND("],",M114)-1),"none")</f>
        <v>[effect:damage_gravity, val:0.4, animation:fevergauge_down]</v>
      </c>
      <c r="U114" s="64">
        <f t="shared" ref="U114:U156" si="186">FIND("effect:",T114)+7</f>
        <v>9</v>
      </c>
      <c r="V114" s="64">
        <f t="shared" ref="V114:V156" si="187">IFERROR(FIND(",",T114),LEN(T114))</f>
        <v>23</v>
      </c>
      <c r="W114" s="64" t="e">
        <f t="shared" ref="W114:W156" si="188">FIND("target:",T114)+7</f>
        <v>#VALUE!</v>
      </c>
      <c r="X114" s="64">
        <f t="shared" ref="X114:X156" si="189">FIND(",",T114,V114+1)</f>
        <v>32</v>
      </c>
      <c r="Y114" s="64" t="str">
        <f>IFERROR(VLOOKUP(MID(T114,W114,X114-W114),[6]skilldef!$C:$D,2,FALSE),"-") &amp; " / " &amp; IFERROR(VLOOKUP(MID(T114,U114,V114-U114),[6]skilldef!$A:$B,2,FALSE),"-")</f>
        <v>- / 割合ダメージ</v>
      </c>
      <c r="Z114" s="50"/>
      <c r="AA114" s="52"/>
      <c r="AB114" s="50"/>
    </row>
    <row r="115" spans="1:28" ht="21" customHeight="1" x14ac:dyDescent="0.15">
      <c r="A115" s="114">
        <v>47008553</v>
      </c>
      <c r="B115" s="47" t="s">
        <v>455</v>
      </c>
      <c r="C115" s="50">
        <v>3</v>
      </c>
      <c r="D115" s="50" t="s">
        <v>128</v>
      </c>
      <c r="E115" s="51" t="s">
        <v>298</v>
      </c>
      <c r="F115" s="51" t="s">
        <v>276</v>
      </c>
      <c r="G115" s="64" t="str">
        <f t="shared" si="175"/>
        <v>[effect:enemy_message, val1:1.2, val2:1.8]</v>
      </c>
      <c r="H115" s="64">
        <f t="shared" si="176"/>
        <v>9</v>
      </c>
      <c r="I115" s="64">
        <f t="shared" si="177"/>
        <v>22</v>
      </c>
      <c r="J115" s="64" t="e">
        <f t="shared" si="178"/>
        <v>#VALUE!</v>
      </c>
      <c r="K115" s="64">
        <f t="shared" si="179"/>
        <v>32</v>
      </c>
      <c r="L115" s="64" t="str">
        <f>IFERROR(VLOOKUP(MID(G115,J115,K115-J115),[6]skilldef!$C:$D,2,FALSE),"-") &amp; " / " &amp; IFERROR(VLOOKUP(MID(G115,H115,I115-H115),[6]skilldef!$A:$B,2,FALSE),"-")</f>
        <v>- / -</v>
      </c>
      <c r="M115" s="64" t="str">
        <f t="shared" si="180"/>
        <v>[effect:critical, val:0.2],[effect:damage_gravity, val:0.2, animation:fevergauge_down]</v>
      </c>
      <c r="N115" s="48" t="str">
        <f>IFERROR(LEFT(M115,FIND("],",M115)+S132),M115)</f>
        <v>[effect:critical, val:0.2],[effect:damage_gravity, val:0.2, animation:fevergauge_down]</v>
      </c>
      <c r="O115" s="64">
        <f t="shared" si="181"/>
        <v>9</v>
      </c>
      <c r="P115" s="64">
        <f t="shared" si="182"/>
        <v>17</v>
      </c>
      <c r="Q115" s="64" t="e">
        <f t="shared" si="183"/>
        <v>#VALUE!</v>
      </c>
      <c r="R115" s="64">
        <f t="shared" si="184"/>
        <v>27</v>
      </c>
      <c r="S115" s="64" t="str">
        <f>IFERROR(VLOOKUP(MID(N115,Q115,R115-Q115),[6]skilldef!$C:$D,2,FALSE),"-") &amp; " / " &amp; IFERROR(VLOOKUP(MID(N115,O115,P115-O115),[6]skilldef!$A:$B,2,FALSE),"-")</f>
        <v>- / 大攻撃</v>
      </c>
      <c r="T115" s="48" t="str">
        <f t="shared" si="185"/>
        <v>[effect:damage_gravity, val:0.2, animation:fevergauge_down]</v>
      </c>
      <c r="U115" s="64">
        <f t="shared" si="186"/>
        <v>9</v>
      </c>
      <c r="V115" s="64">
        <f t="shared" si="187"/>
        <v>23</v>
      </c>
      <c r="W115" s="64" t="e">
        <f t="shared" si="188"/>
        <v>#VALUE!</v>
      </c>
      <c r="X115" s="64">
        <f t="shared" si="189"/>
        <v>32</v>
      </c>
      <c r="Y115" s="64" t="str">
        <f>IFERROR(VLOOKUP(MID(T115,W115,X115-W115),[6]skilldef!$C:$D,2,FALSE),"-") &amp; " / " &amp; IFERROR(VLOOKUP(MID(T115,U115,V115-U115),[6]skilldef!$A:$B,2,FALSE),"-")</f>
        <v>- / 割合ダメージ</v>
      </c>
      <c r="Z115" s="50"/>
      <c r="AA115" s="52"/>
      <c r="AB115" s="50"/>
    </row>
    <row r="116" spans="1:28" ht="21" customHeight="1" x14ac:dyDescent="0.15">
      <c r="A116" s="114">
        <v>47008554</v>
      </c>
      <c r="B116" s="47" t="s">
        <v>456</v>
      </c>
      <c r="C116" s="50">
        <v>3</v>
      </c>
      <c r="D116" s="50" t="s">
        <v>128</v>
      </c>
      <c r="E116" s="51" t="s">
        <v>296</v>
      </c>
      <c r="F116" s="51" t="s">
        <v>277</v>
      </c>
      <c r="G116" s="64" t="str">
        <f t="shared" si="175"/>
        <v>[effect:enemy_message, val1:1.7, val2:1.8]</v>
      </c>
      <c r="H116" s="64">
        <f t="shared" si="176"/>
        <v>9</v>
      </c>
      <c r="I116" s="64">
        <f t="shared" si="177"/>
        <v>22</v>
      </c>
      <c r="J116" s="64" t="e">
        <f t="shared" si="178"/>
        <v>#VALUE!</v>
      </c>
      <c r="K116" s="64">
        <f t="shared" si="179"/>
        <v>32</v>
      </c>
      <c r="L116" s="64" t="str">
        <f>IFERROR(VLOOKUP(MID(G116,J116,K116-J116),[6]skilldef!$C:$D,2,FALSE),"-") &amp; " / " &amp; IFERROR(VLOOKUP(MID(G116,H116,I116-H116),[6]skilldef!$A:$B,2,FALSE),"-")</f>
        <v>- / -</v>
      </c>
      <c r="M116" s="64" t="str">
        <f t="shared" si="180"/>
        <v>[effect:critical, val:0.2],[effect:damage_gravity, val:0.3, animation:fevergauge_down]</v>
      </c>
      <c r="N116" s="48" t="str">
        <f>IFERROR(LEFT(M116,FIND("],",M116)+S133),M116)</f>
        <v>[effect:critical, val:0.2],[effect:damage_gravity, val:0.3, animation:fevergauge_down]</v>
      </c>
      <c r="O116" s="64">
        <f t="shared" si="181"/>
        <v>9</v>
      </c>
      <c r="P116" s="64">
        <f t="shared" si="182"/>
        <v>17</v>
      </c>
      <c r="Q116" s="64" t="e">
        <f t="shared" si="183"/>
        <v>#VALUE!</v>
      </c>
      <c r="R116" s="64">
        <f t="shared" si="184"/>
        <v>27</v>
      </c>
      <c r="S116" s="64" t="str">
        <f>IFERROR(VLOOKUP(MID(N116,Q116,R116-Q116),[6]skilldef!$C:$D,2,FALSE),"-") &amp; " / " &amp; IFERROR(VLOOKUP(MID(N116,O116,P116-O116),[6]skilldef!$A:$B,2,FALSE),"-")</f>
        <v>- / 大攻撃</v>
      </c>
      <c r="T116" s="48" t="str">
        <f t="shared" si="185"/>
        <v>[effect:damage_gravity, val:0.3, animation:fevergauge_down]</v>
      </c>
      <c r="U116" s="64">
        <f t="shared" si="186"/>
        <v>9</v>
      </c>
      <c r="V116" s="64">
        <f t="shared" si="187"/>
        <v>23</v>
      </c>
      <c r="W116" s="64" t="e">
        <f t="shared" si="188"/>
        <v>#VALUE!</v>
      </c>
      <c r="X116" s="64">
        <f t="shared" si="189"/>
        <v>32</v>
      </c>
      <c r="Y116" s="64" t="str">
        <f>IFERROR(VLOOKUP(MID(T116,W116,X116-W116),[6]skilldef!$C:$D,2,FALSE),"-") &amp; " / " &amp; IFERROR(VLOOKUP(MID(T116,U116,V116-U116),[6]skilldef!$A:$B,2,FALSE),"-")</f>
        <v>- / 割合ダメージ</v>
      </c>
      <c r="Z116" s="50"/>
      <c r="AA116" s="52"/>
      <c r="AB116" s="50"/>
    </row>
    <row r="117" spans="1:28" ht="21" customHeight="1" x14ac:dyDescent="0.15">
      <c r="A117" s="114">
        <v>47008555</v>
      </c>
      <c r="B117" s="47" t="s">
        <v>457</v>
      </c>
      <c r="C117" s="50">
        <v>3</v>
      </c>
      <c r="D117" s="50" t="s">
        <v>128</v>
      </c>
      <c r="E117" s="51" t="s">
        <v>297</v>
      </c>
      <c r="F117" s="51" t="s">
        <v>278</v>
      </c>
      <c r="G117" s="64" t="str">
        <f t="shared" si="175"/>
        <v>[effect:enemy_message, val1:1.4, val2:1.8]</v>
      </c>
      <c r="H117" s="64">
        <f t="shared" si="176"/>
        <v>9</v>
      </c>
      <c r="I117" s="64">
        <f t="shared" si="177"/>
        <v>22</v>
      </c>
      <c r="J117" s="64" t="e">
        <f t="shared" si="178"/>
        <v>#VALUE!</v>
      </c>
      <c r="K117" s="64">
        <f t="shared" si="179"/>
        <v>32</v>
      </c>
      <c r="L117" s="64" t="str">
        <f>IFERROR(VLOOKUP(MID(G117,J117,K117-J117),[6]skilldef!$C:$D,2,FALSE),"-") &amp; " / " &amp; IFERROR(VLOOKUP(MID(G117,H117,I117-H117),[6]skilldef!$A:$B,2,FALSE),"-")</f>
        <v>- / -</v>
      </c>
      <c r="M117" s="64" t="str">
        <f t="shared" si="180"/>
        <v>[effect:critical, val:0.2],[effect:damage_gravity, val:0.4, animation:fevergauge_down]</v>
      </c>
      <c r="N117" s="48" t="str">
        <f>IFERROR(LEFT(M117,FIND("],",M117)+S134),M117)</f>
        <v>[effect:critical, val:0.2],[effect:damage_gravity, val:0.4, animation:fevergauge_down]</v>
      </c>
      <c r="O117" s="64">
        <f t="shared" si="181"/>
        <v>9</v>
      </c>
      <c r="P117" s="64">
        <f t="shared" si="182"/>
        <v>17</v>
      </c>
      <c r="Q117" s="64" t="e">
        <f t="shared" si="183"/>
        <v>#VALUE!</v>
      </c>
      <c r="R117" s="64">
        <f t="shared" si="184"/>
        <v>27</v>
      </c>
      <c r="S117" s="64" t="str">
        <f>IFERROR(VLOOKUP(MID(N117,Q117,R117-Q117),[6]skilldef!$C:$D,2,FALSE),"-") &amp; " / " &amp; IFERROR(VLOOKUP(MID(N117,O117,P117-O117),[6]skilldef!$A:$B,2,FALSE),"-")</f>
        <v>- / 大攻撃</v>
      </c>
      <c r="T117" s="48" t="str">
        <f t="shared" si="185"/>
        <v>[effect:damage_gravity, val:0.4, animation:fevergauge_down]</v>
      </c>
      <c r="U117" s="64">
        <f t="shared" si="186"/>
        <v>9</v>
      </c>
      <c r="V117" s="64">
        <f t="shared" si="187"/>
        <v>23</v>
      </c>
      <c r="W117" s="64" t="e">
        <f t="shared" si="188"/>
        <v>#VALUE!</v>
      </c>
      <c r="X117" s="64">
        <f t="shared" si="189"/>
        <v>32</v>
      </c>
      <c r="Y117" s="64" t="str">
        <f>IFERROR(VLOOKUP(MID(T117,W117,X117-W117),[6]skilldef!$C:$D,2,FALSE),"-") &amp; " / " &amp; IFERROR(VLOOKUP(MID(T117,U117,V117-U117),[6]skilldef!$A:$B,2,FALSE),"-")</f>
        <v>- / 割合ダメージ</v>
      </c>
      <c r="Z117" s="50"/>
      <c r="AA117" s="52"/>
      <c r="AB117" s="50"/>
    </row>
    <row r="118" spans="1:28" s="130" customFormat="1" ht="29" customHeight="1" thickBot="1" x14ac:dyDescent="0.2">
      <c r="A118" s="123">
        <v>47008556</v>
      </c>
      <c r="B118" s="124" t="s">
        <v>458</v>
      </c>
      <c r="C118" s="125">
        <v>3</v>
      </c>
      <c r="D118" s="125" t="s">
        <v>128</v>
      </c>
      <c r="E118" s="126" t="s">
        <v>439</v>
      </c>
      <c r="F118" s="126" t="s">
        <v>440</v>
      </c>
      <c r="G118" s="127" t="str">
        <f t="shared" si="175"/>
        <v>[effect:enemy_message, val1:1.9, val2:1.3]</v>
      </c>
      <c r="H118" s="127">
        <f t="shared" si="176"/>
        <v>9</v>
      </c>
      <c r="I118" s="127">
        <f t="shared" si="177"/>
        <v>22</v>
      </c>
      <c r="J118" s="127" t="e">
        <f t="shared" si="178"/>
        <v>#VALUE!</v>
      </c>
      <c r="K118" s="127">
        <f t="shared" si="179"/>
        <v>32</v>
      </c>
      <c r="L118" s="127" t="str">
        <f>IFERROR(VLOOKUP(MID(G118,J118,K118-J118),[6]skilldef!$C:$D,2,FALSE),"-") &amp; " / " &amp; IFERROR(VLOOKUP(MID(G118,H118,I118-H118),[6]skilldef!$A:$B,2,FALSE),"-")</f>
        <v>- / -</v>
      </c>
      <c r="M118" s="127" t="str">
        <f t="shared" si="180"/>
        <v>[effect:damage_fix_absolute, target:unit_one, val:11410]</v>
      </c>
      <c r="N118" s="128" t="str">
        <f>IFERROR(LEFT(M118,FIND("],",M118)+S142),M118)</f>
        <v>[effect:damage_fix_absolute, target:unit_one, val:11410]</v>
      </c>
      <c r="O118" s="127">
        <f t="shared" si="181"/>
        <v>9</v>
      </c>
      <c r="P118" s="127">
        <f t="shared" si="182"/>
        <v>28</v>
      </c>
      <c r="Q118" s="127">
        <f t="shared" si="183"/>
        <v>37</v>
      </c>
      <c r="R118" s="127">
        <f t="shared" si="184"/>
        <v>45</v>
      </c>
      <c r="S118" s="127" t="str">
        <f>IFERROR(VLOOKUP(MID(N118,Q118,R118-Q118),[6]skilldef!$C:$D,2,FALSE),"-") &amp; " / " &amp; IFERROR(VLOOKUP(MID(N118,O118,P118-O118),[6]skilldef!$A:$B,2,FALSE),"-")</f>
        <v>味方単体に / -</v>
      </c>
      <c r="T118" s="128" t="str">
        <f t="shared" si="185"/>
        <v>none</v>
      </c>
      <c r="U118" s="127" t="e">
        <f t="shared" si="186"/>
        <v>#VALUE!</v>
      </c>
      <c r="V118" s="127">
        <f t="shared" si="187"/>
        <v>4</v>
      </c>
      <c r="W118" s="127" t="e">
        <f t="shared" si="188"/>
        <v>#VALUE!</v>
      </c>
      <c r="X118" s="127" t="e">
        <f t="shared" si="189"/>
        <v>#VALUE!</v>
      </c>
      <c r="Y118" s="127" t="str">
        <f>IFERROR(VLOOKUP(MID(T118,W118,X118-W118),[6]skilldef!$C:$D,2,FALSE),"-") &amp; " / " &amp; IFERROR(VLOOKUP(MID(T118,U118,V118-U118),[6]skilldef!$A:$B,2,FALSE),"-")</f>
        <v>- / -</v>
      </c>
      <c r="Z118" s="125"/>
      <c r="AA118" s="129"/>
      <c r="AB118" s="125"/>
    </row>
    <row r="119" spans="1:28" s="132" customFormat="1" ht="52" customHeight="1" x14ac:dyDescent="0.15">
      <c r="A119" s="131">
        <v>47008360</v>
      </c>
      <c r="B119" s="132" t="s">
        <v>550</v>
      </c>
      <c r="C119" s="133">
        <v>3</v>
      </c>
      <c r="D119" s="133" t="s">
        <v>128</v>
      </c>
      <c r="E119" s="134" t="s">
        <v>516</v>
      </c>
      <c r="F119" s="134" t="s">
        <v>530</v>
      </c>
      <c r="G119" s="135" t="str">
        <f t="shared" si="175"/>
        <v>[effect:enemy_message, val1:1.5, val2:5.0]</v>
      </c>
      <c r="H119" s="135">
        <f t="shared" si="176"/>
        <v>9</v>
      </c>
      <c r="I119" s="135">
        <f t="shared" si="177"/>
        <v>22</v>
      </c>
      <c r="J119" s="135" t="e">
        <f t="shared" si="178"/>
        <v>#VALUE!</v>
      </c>
      <c r="K119" s="135">
        <f t="shared" si="179"/>
        <v>32</v>
      </c>
      <c r="L119" s="135" t="str">
        <f>IFERROR(VLOOKUP(MID(G119,J119,K119-J119),[6]skilldef!$C:$D,2,FALSE),"-") &amp; " / " &amp; IFERROR(VLOOKUP(MID(G119,H119,I119-H119),[6]skilldef!$A:$B,2,FALSE),"-")</f>
        <v>- / -</v>
      </c>
      <c r="M119" s="135" t="str">
        <f t="shared" si="180"/>
        <v>[effect:sp_boost, target:unit_all, val:4],[effect:fix_speed, target:myself, turn:1],[effect:tolerance, target:myself, turn:-1, count:-1, tolerance_effect:all, animation:enemy_tolerance]</v>
      </c>
      <c r="N119" s="136" t="str">
        <f t="shared" ref="N119:N120" si="190">IFERROR(LEFT(M119,FIND("],",M119)+S131),M119)</f>
        <v>[effect:sp_boost, target:unit_all, val:4],[effect:fix_speed, target:myself, turn:1],[effect:tolerance, target:myself, turn:-1, count:-1, tolerance_effect:all, animation:enemy_tolerance]</v>
      </c>
      <c r="O119" s="135">
        <f t="shared" si="181"/>
        <v>9</v>
      </c>
      <c r="P119" s="135">
        <f t="shared" si="182"/>
        <v>17</v>
      </c>
      <c r="Q119" s="135">
        <f t="shared" si="183"/>
        <v>26</v>
      </c>
      <c r="R119" s="135">
        <f t="shared" si="184"/>
        <v>34</v>
      </c>
      <c r="S119" s="135" t="str">
        <f>IFERROR(VLOOKUP(MID(N119,Q119,R119-Q119),[6]skilldef!$C:$D,2,FALSE),"-") &amp; " / " &amp; IFERROR(VLOOKUP(MID(N119,O119,P119-O119),[6]skilldef!$A:$B,2,FALSE),"-")</f>
        <v>味方全体に / -</v>
      </c>
      <c r="T119" s="136" t="str">
        <f t="shared" si="185"/>
        <v>[effect:fix_speed, target:myself, turn:1],[effect:tolerance, target:myself, turn:-1, count:-1, tolerance_effect:all, animation:enemy_tolerance]</v>
      </c>
      <c r="U119" s="135">
        <f t="shared" si="186"/>
        <v>9</v>
      </c>
      <c r="V119" s="135">
        <f t="shared" si="187"/>
        <v>18</v>
      </c>
      <c r="W119" s="135">
        <f t="shared" si="188"/>
        <v>27</v>
      </c>
      <c r="X119" s="135">
        <f t="shared" si="189"/>
        <v>33</v>
      </c>
      <c r="Y119" s="135" t="str">
        <f>IFERROR(VLOOKUP(MID(T119,W119,X119-W119),[6]skilldef!$C:$D,2,FALSE),"-") &amp; " / " &amp; IFERROR(VLOOKUP(MID(T119,U119,V119-U119),[6]skilldef!$A:$B,2,FALSE),"-")</f>
        <v>自分自身に / 行動値設定</v>
      </c>
      <c r="Z119" s="133"/>
      <c r="AA119" s="137"/>
      <c r="AB119" s="133"/>
    </row>
    <row r="120" spans="1:28" ht="42" customHeight="1" x14ac:dyDescent="0.15">
      <c r="A120" s="131">
        <v>47008361</v>
      </c>
      <c r="B120" s="132" t="s">
        <v>551</v>
      </c>
      <c r="C120" s="133">
        <v>3</v>
      </c>
      <c r="D120" s="133" t="s">
        <v>128</v>
      </c>
      <c r="E120" s="134" t="s">
        <v>517</v>
      </c>
      <c r="F120" s="134" t="s">
        <v>493</v>
      </c>
      <c r="G120" s="135" t="str">
        <f t="shared" si="175"/>
        <v>[effect:enemy_message, val1:3.2, val2:2.7]</v>
      </c>
      <c r="H120" s="135">
        <f t="shared" si="176"/>
        <v>9</v>
      </c>
      <c r="I120" s="135">
        <f t="shared" si="177"/>
        <v>22</v>
      </c>
      <c r="J120" s="135" t="e">
        <f t="shared" si="178"/>
        <v>#VALUE!</v>
      </c>
      <c r="K120" s="135">
        <f t="shared" si="179"/>
        <v>32</v>
      </c>
      <c r="L120" s="135" t="str">
        <f>IFERROR(VLOOKUP(MID(G120,J120,K120-J120),[6]skilldef!$C:$D,2,FALSE),"-") &amp; " / " &amp; IFERROR(VLOOKUP(MID(G120,H120,I120-H120),[6]skilldef!$A:$B,2,FALSE),"-")</f>
        <v>- / -</v>
      </c>
      <c r="M120" s="135" t="str">
        <f t="shared" si="180"/>
        <v>[effect:sp_boost, target:unit_all, val:2],[effect:fix_speed, target:myself, turn:1],[effect:tolerance, target:myself, turn:-1, count:-1, tolerance_effect:all, animation:enemy_tolerance]</v>
      </c>
      <c r="N120" s="136" t="str">
        <f t="shared" si="190"/>
        <v>[effect:sp_boost, target:unit_all, val:2],[effect:fix_speed, target:myself, turn:1],[effect:tolerance, target:myself, turn:-1, count:-1, tolerance_effect:all, animation:enemy_tolerance]</v>
      </c>
      <c r="O120" s="135">
        <f t="shared" si="181"/>
        <v>9</v>
      </c>
      <c r="P120" s="135">
        <f t="shared" si="182"/>
        <v>17</v>
      </c>
      <c r="Q120" s="135">
        <f t="shared" si="183"/>
        <v>26</v>
      </c>
      <c r="R120" s="135">
        <f t="shared" si="184"/>
        <v>34</v>
      </c>
      <c r="S120" s="135" t="str">
        <f>IFERROR(VLOOKUP(MID(N120,Q120,R120-Q120),[6]skilldef!$C:$D,2,FALSE),"-") &amp; " / " &amp; IFERROR(VLOOKUP(MID(N120,O120,P120-O120),[6]skilldef!$A:$B,2,FALSE),"-")</f>
        <v>味方全体に / -</v>
      </c>
      <c r="T120" s="136" t="str">
        <f t="shared" si="185"/>
        <v>[effect:fix_speed, target:myself, turn:1],[effect:tolerance, target:myself, turn:-1, count:-1, tolerance_effect:all, animation:enemy_tolerance]</v>
      </c>
      <c r="U120" s="135">
        <f t="shared" si="186"/>
        <v>9</v>
      </c>
      <c r="V120" s="135">
        <f t="shared" si="187"/>
        <v>18</v>
      </c>
      <c r="W120" s="135">
        <f t="shared" si="188"/>
        <v>27</v>
      </c>
      <c r="X120" s="135">
        <f t="shared" si="189"/>
        <v>33</v>
      </c>
      <c r="Y120" s="135" t="str">
        <f>IFERROR(VLOOKUP(MID(T120,W120,X120-W120),[6]skilldef!$C:$D,2,FALSE),"-") &amp; " / " &amp; IFERROR(VLOOKUP(MID(T120,U120,V120-U120),[6]skilldef!$A:$B,2,FALSE),"-")</f>
        <v>自分自身に / 行動値設定</v>
      </c>
      <c r="Z120" s="133"/>
      <c r="AA120" s="137"/>
      <c r="AB120" s="133"/>
    </row>
    <row r="121" spans="1:28" ht="21" customHeight="1" x14ac:dyDescent="0.15">
      <c r="A121" s="112">
        <v>47008362</v>
      </c>
      <c r="B121" s="47" t="s">
        <v>552</v>
      </c>
      <c r="C121" s="50">
        <v>3</v>
      </c>
      <c r="D121" s="50" t="s">
        <v>128</v>
      </c>
      <c r="E121" s="51" t="s">
        <v>518</v>
      </c>
      <c r="F121" s="51" t="s">
        <v>494</v>
      </c>
      <c r="G121" s="64" t="str">
        <f t="shared" si="175"/>
        <v>[effect:enemy_message, val1:1.8, val2:1.2]</v>
      </c>
      <c r="H121" s="64">
        <f t="shared" si="176"/>
        <v>9</v>
      </c>
      <c r="I121" s="64">
        <f t="shared" si="177"/>
        <v>22</v>
      </c>
      <c r="J121" s="64" t="e">
        <f t="shared" si="178"/>
        <v>#VALUE!</v>
      </c>
      <c r="K121" s="64">
        <f t="shared" si="179"/>
        <v>32</v>
      </c>
      <c r="L121" s="64" t="str">
        <f>IFERROR(VLOOKUP(MID(G121,J121,K121-J121),[6]skilldef!$C:$D,2,FALSE),"-") &amp; " / " &amp; IFERROR(VLOOKUP(MID(G121,H121,I121-H121),[6]skilldef!$A:$B,2,FALSE),"-")</f>
        <v>- / -</v>
      </c>
      <c r="M121" s="64" t="str">
        <f t="shared" si="180"/>
        <v>[effect:fix_speed, target:myself, turn:1],[effect:tolerance, target:myself, turn:-1, count:-1, tolerance_effect:all, animation:enemy_tolerance]</v>
      </c>
      <c r="N121" s="48" t="str">
        <f t="shared" ref="N121:N126" si="191">IFERROR(LEFT(M121,FIND("],",M121)+S135),M121)</f>
        <v>[effect:fix_speed, target:myself, turn:1],[effect:tolerance, target:myself, turn:-1, count:-1, tolerance_effect:all, animation:enemy_tolerance]</v>
      </c>
      <c r="O121" s="64">
        <f t="shared" si="181"/>
        <v>9</v>
      </c>
      <c r="P121" s="64">
        <f t="shared" si="182"/>
        <v>18</v>
      </c>
      <c r="Q121" s="64">
        <f t="shared" si="183"/>
        <v>27</v>
      </c>
      <c r="R121" s="64">
        <f t="shared" si="184"/>
        <v>33</v>
      </c>
      <c r="S121" s="64" t="str">
        <f>IFERROR(VLOOKUP(MID(N121,Q121,R121-Q121),[6]skilldef!$C:$D,2,FALSE),"-") &amp; " / " &amp; IFERROR(VLOOKUP(MID(N121,O121,P121-O121),[6]skilldef!$A:$B,2,FALSE),"-")</f>
        <v>自分自身に / 行動値設定</v>
      </c>
      <c r="T121" s="48" t="str">
        <f t="shared" si="185"/>
        <v>[effect:tolerance, target:myself, turn:-1, count:-1, tolerance_effect:all, animation:enemy_tolerance]</v>
      </c>
      <c r="U121" s="64">
        <f t="shared" si="186"/>
        <v>9</v>
      </c>
      <c r="V121" s="64">
        <f t="shared" si="187"/>
        <v>18</v>
      </c>
      <c r="W121" s="64">
        <f t="shared" si="188"/>
        <v>27</v>
      </c>
      <c r="X121" s="64">
        <f t="shared" si="189"/>
        <v>33</v>
      </c>
      <c r="Y121" s="64" t="str">
        <f>IFERROR(VLOOKUP(MID(T121,W121,X121-W121),[6]skilldef!$C:$D,2,FALSE),"-") &amp; " / " &amp; IFERROR(VLOOKUP(MID(T121,U121,V121-U121),[6]skilldef!$A:$B,2,FALSE),"-")</f>
        <v>自分自身に / 状態異常耐性</v>
      </c>
      <c r="Z121" s="50"/>
      <c r="AA121" s="52"/>
      <c r="AB121" s="50"/>
    </row>
    <row r="122" spans="1:28" ht="21" customHeight="1" x14ac:dyDescent="0.15">
      <c r="A122" s="112">
        <v>47008363</v>
      </c>
      <c r="B122" s="47" t="s">
        <v>553</v>
      </c>
      <c r="C122" s="50">
        <v>3</v>
      </c>
      <c r="D122" s="50" t="s">
        <v>128</v>
      </c>
      <c r="E122" s="51" t="s">
        <v>519</v>
      </c>
      <c r="F122" s="51" t="s">
        <v>495</v>
      </c>
      <c r="G122" s="64" t="str">
        <f t="shared" si="175"/>
        <v>[effect:enemy_message, val1:2.3, val2:1.3]</v>
      </c>
      <c r="H122" s="64">
        <f t="shared" si="176"/>
        <v>9</v>
      </c>
      <c r="I122" s="64">
        <f t="shared" si="177"/>
        <v>22</v>
      </c>
      <c r="J122" s="64" t="e">
        <f t="shared" si="178"/>
        <v>#VALUE!</v>
      </c>
      <c r="K122" s="64">
        <f t="shared" si="179"/>
        <v>32</v>
      </c>
      <c r="L122" s="64" t="str">
        <f>IFERROR(VLOOKUP(MID(G122,J122,K122-J122),[6]skilldef!$C:$D,2,FALSE),"-") &amp; " / " &amp; IFERROR(VLOOKUP(MID(G122,H122,I122-H122),[6]skilldef!$A:$B,2,FALSE),"-")</f>
        <v>- / -</v>
      </c>
      <c r="M122" s="64" t="str">
        <f t="shared" si="180"/>
        <v>[effect:damage_gravity, val:0.5, animation:fevergauge_down]</v>
      </c>
      <c r="N122" s="48" t="str">
        <f t="shared" si="191"/>
        <v>[effect:damage_gravity, val:0.5, animation:fevergauge_down]</v>
      </c>
      <c r="O122" s="64">
        <f t="shared" si="181"/>
        <v>9</v>
      </c>
      <c r="P122" s="64">
        <f t="shared" si="182"/>
        <v>23</v>
      </c>
      <c r="Q122" s="64" t="e">
        <f t="shared" si="183"/>
        <v>#VALUE!</v>
      </c>
      <c r="R122" s="64">
        <f t="shared" si="184"/>
        <v>32</v>
      </c>
      <c r="S122" s="64" t="str">
        <f>IFERROR(VLOOKUP(MID(N122,Q122,R122-Q122),[6]skilldef!$C:$D,2,FALSE),"-") &amp; " / " &amp; IFERROR(VLOOKUP(MID(N122,O122,P122-O122),[6]skilldef!$A:$B,2,FALSE),"-")</f>
        <v>- / 割合ダメージ</v>
      </c>
      <c r="T122" s="48" t="str">
        <f t="shared" si="185"/>
        <v>none</v>
      </c>
      <c r="U122" s="64" t="e">
        <f t="shared" si="186"/>
        <v>#VALUE!</v>
      </c>
      <c r="V122" s="64">
        <f t="shared" si="187"/>
        <v>4</v>
      </c>
      <c r="W122" s="64" t="e">
        <f t="shared" si="188"/>
        <v>#VALUE!</v>
      </c>
      <c r="X122" s="64" t="e">
        <f t="shared" si="189"/>
        <v>#VALUE!</v>
      </c>
      <c r="Y122" s="64" t="str">
        <f>IFERROR(VLOOKUP(MID(T122,W122,X122-W122),[6]skilldef!$C:$D,2,FALSE),"-") &amp; " / " &amp; IFERROR(VLOOKUP(MID(T122,U122,V122-U122),[6]skilldef!$A:$B,2,FALSE),"-")</f>
        <v>- / -</v>
      </c>
      <c r="Z122" s="50"/>
      <c r="AA122" s="52"/>
      <c r="AB122" s="50"/>
    </row>
    <row r="123" spans="1:28" ht="39" customHeight="1" x14ac:dyDescent="0.15">
      <c r="A123" s="112">
        <v>47008364</v>
      </c>
      <c r="B123" s="47" t="s">
        <v>444</v>
      </c>
      <c r="C123" s="50">
        <v>3</v>
      </c>
      <c r="D123" s="50" t="s">
        <v>128</v>
      </c>
      <c r="E123" s="51" t="s">
        <v>469</v>
      </c>
      <c r="F123" s="51" t="s">
        <v>496</v>
      </c>
      <c r="G123" s="64" t="str">
        <f t="shared" si="175"/>
        <v>[effect:enemy_message, val1:2.0, val2:2.2]</v>
      </c>
      <c r="H123" s="64">
        <f t="shared" si="176"/>
        <v>9</v>
      </c>
      <c r="I123" s="64">
        <f t="shared" si="177"/>
        <v>22</v>
      </c>
      <c r="J123" s="64" t="e">
        <f t="shared" si="178"/>
        <v>#VALUE!</v>
      </c>
      <c r="K123" s="64">
        <f t="shared" si="179"/>
        <v>32</v>
      </c>
      <c r="L123" s="64" t="str">
        <f>IFERROR(VLOOKUP(MID(G123,J123,K123-J123),[6]skilldef!$C:$D,2,FALSE),"-") &amp; " / " &amp; IFERROR(VLOOKUP(MID(G123,H123,I123-H123),[6]skilldef!$A:$B,2,FALSE),"-")</f>
        <v>- / -</v>
      </c>
      <c r="M123" s="64" t="str">
        <f t="shared" si="180"/>
        <v>[effect:force_change_block, new_block:block_blue, target:block_all, ignore01:crash, ignore02:crack_bomb, ignore03:color_break, ignore04:magnet, ignore05:block_blue, count:10, val:0],[effect:critical, val:1.0]</v>
      </c>
      <c r="N123" s="48" t="str">
        <f t="shared" si="191"/>
        <v>[effect:force_change_block, new_block:block_blue, target:block_all, ignore01:crash, ignore02:crack_bomb, ignore03:color_break, ignore04:magnet, ignore05:block_blue, count:10, val:0],[effect:critical, val:1.0]</v>
      </c>
      <c r="O123" s="64">
        <f t="shared" si="181"/>
        <v>9</v>
      </c>
      <c r="P123" s="64">
        <f t="shared" si="182"/>
        <v>27</v>
      </c>
      <c r="Q123" s="64">
        <f t="shared" si="183"/>
        <v>58</v>
      </c>
      <c r="R123" s="64">
        <f t="shared" si="184"/>
        <v>49</v>
      </c>
      <c r="S123" s="64" t="str">
        <f>IFERROR(VLOOKUP(MID(N123,Q123,R123-Q123),[6]skilldef!$C:$D,2,FALSE),"-") &amp; " / " &amp; IFERROR(VLOOKUP(MID(N123,O123,P123-O123),[6]skilldef!$A:$B,2,FALSE),"-")</f>
        <v>- / -</v>
      </c>
      <c r="T123" s="48" t="str">
        <f t="shared" si="185"/>
        <v>[effect:critical, val:1.0]</v>
      </c>
      <c r="U123" s="64">
        <f t="shared" si="186"/>
        <v>9</v>
      </c>
      <c r="V123" s="64">
        <f t="shared" si="187"/>
        <v>17</v>
      </c>
      <c r="W123" s="64" t="e">
        <f t="shared" si="188"/>
        <v>#VALUE!</v>
      </c>
      <c r="X123" s="64" t="e">
        <f t="shared" si="189"/>
        <v>#VALUE!</v>
      </c>
      <c r="Y123" s="64" t="str">
        <f>IFERROR(VLOOKUP(MID(T123,W123,X123-W123),[6]skilldef!$C:$D,2,FALSE),"-") &amp; " / " &amp; IFERROR(VLOOKUP(MID(T123,U123,V123-U123),[6]skilldef!$A:$B,2,FALSE),"-")</f>
        <v>- / 大攻撃</v>
      </c>
      <c r="Z123" s="50"/>
      <c r="AA123" s="52"/>
      <c r="AB123" s="50"/>
    </row>
    <row r="124" spans="1:28" ht="21" customHeight="1" x14ac:dyDescent="0.15">
      <c r="A124" s="112">
        <v>47008365</v>
      </c>
      <c r="B124" s="47" t="s">
        <v>340</v>
      </c>
      <c r="C124" s="50">
        <v>3</v>
      </c>
      <c r="D124" s="50" t="s">
        <v>128</v>
      </c>
      <c r="E124" s="51" t="s">
        <v>470</v>
      </c>
      <c r="F124" s="51" t="s">
        <v>497</v>
      </c>
      <c r="G124" s="64" t="str">
        <f t="shared" si="175"/>
        <v>[effect:enemy_message, val1:1.5, val2:2.1]</v>
      </c>
      <c r="H124" s="64">
        <f t="shared" si="176"/>
        <v>9</v>
      </c>
      <c r="I124" s="64">
        <f t="shared" si="177"/>
        <v>22</v>
      </c>
      <c r="J124" s="64" t="e">
        <f t="shared" si="178"/>
        <v>#VALUE!</v>
      </c>
      <c r="K124" s="64">
        <f t="shared" si="179"/>
        <v>32</v>
      </c>
      <c r="L124" s="64" t="str">
        <f>IFERROR(VLOOKUP(MID(G124,J124,K124-J124),[6]skilldef!$C:$D,2,FALSE),"-") &amp; " / " &amp; IFERROR(VLOOKUP(MID(G124,H124,I124-H124),[6]skilldef!$A:$B,2,FALSE),"-")</f>
        <v>- / -</v>
      </c>
      <c r="M124" s="64" t="str">
        <f t="shared" si="180"/>
        <v>[effect:degrade_unit, target:unit_all, turn:3, status:heal, val:1, calc:mul, animation:degrade_unit_all_heal]</v>
      </c>
      <c r="N124" s="48" t="str">
        <f t="shared" si="191"/>
        <v>[effect:degrade_unit, target:unit_all, turn:3, status:heal, val:1, calc:mul, animation:degrade_unit_all_heal]</v>
      </c>
      <c r="O124" s="64">
        <f t="shared" si="181"/>
        <v>9</v>
      </c>
      <c r="P124" s="64">
        <f t="shared" si="182"/>
        <v>21</v>
      </c>
      <c r="Q124" s="64">
        <f t="shared" si="183"/>
        <v>30</v>
      </c>
      <c r="R124" s="64">
        <f t="shared" si="184"/>
        <v>38</v>
      </c>
      <c r="S124" s="64" t="str">
        <f>IFERROR(VLOOKUP(MID(N124,Q124,R124-Q124),[6]skilldef!$C:$D,2,FALSE),"-") &amp; " / " &amp; IFERROR(VLOOKUP(MID(N124,O124,P124-O124),[6]skilldef!$A:$B,2,FALSE),"-")</f>
        <v>味方全体に / ステータスDOWN</v>
      </c>
      <c r="T124" s="48" t="str">
        <f t="shared" si="185"/>
        <v>none</v>
      </c>
      <c r="U124" s="64" t="e">
        <f t="shared" si="186"/>
        <v>#VALUE!</v>
      </c>
      <c r="V124" s="64">
        <f t="shared" si="187"/>
        <v>4</v>
      </c>
      <c r="W124" s="64" t="e">
        <f t="shared" si="188"/>
        <v>#VALUE!</v>
      </c>
      <c r="X124" s="64" t="e">
        <f t="shared" si="189"/>
        <v>#VALUE!</v>
      </c>
      <c r="Y124" s="64" t="str">
        <f>IFERROR(VLOOKUP(MID(T124,W124,X124-W124),[6]skilldef!$C:$D,2,FALSE),"-") &amp; " / " &amp; IFERROR(VLOOKUP(MID(T124,U124,V124-U124),[6]skilldef!$A:$B,2,FALSE),"-")</f>
        <v>- / -</v>
      </c>
      <c r="Z124" s="50"/>
      <c r="AA124" s="52"/>
      <c r="AB124" s="50"/>
    </row>
    <row r="125" spans="1:28" ht="44" customHeight="1" x14ac:dyDescent="0.15">
      <c r="A125" s="112">
        <v>47008366</v>
      </c>
      <c r="B125" s="47" t="s">
        <v>554</v>
      </c>
      <c r="C125" s="50">
        <v>3</v>
      </c>
      <c r="D125" s="50" t="s">
        <v>128</v>
      </c>
      <c r="E125" s="51" t="s">
        <v>520</v>
      </c>
      <c r="F125" s="51" t="s">
        <v>494</v>
      </c>
      <c r="G125" s="64" t="str">
        <f t="shared" si="175"/>
        <v>[effect:enemy_message, val1:2.4, val2:1.2]</v>
      </c>
      <c r="H125" s="64">
        <f t="shared" si="176"/>
        <v>9</v>
      </c>
      <c r="I125" s="64">
        <f t="shared" si="177"/>
        <v>22</v>
      </c>
      <c r="J125" s="64" t="e">
        <f t="shared" si="178"/>
        <v>#VALUE!</v>
      </c>
      <c r="K125" s="64">
        <f t="shared" si="179"/>
        <v>32</v>
      </c>
      <c r="L125" s="64" t="str">
        <f>IFERROR(VLOOKUP(MID(G125,J125,K125-J125),[6]skilldef!$C:$D,2,FALSE),"-") &amp; " / " &amp; IFERROR(VLOOKUP(MID(G125,H125,I125-H125),[6]skilldef!$A:$B,2,FALSE),"-")</f>
        <v>- / -</v>
      </c>
      <c r="M125" s="64" t="str">
        <f t="shared" si="180"/>
        <v>[effect:fix_speed, target:myself, turn:1],[effect:tolerance, target:myself, turn:-1, count:-1, tolerance_effect:all, animation:enemy_tolerance]</v>
      </c>
      <c r="N125" s="48" t="str">
        <f t="shared" si="191"/>
        <v>[effect:fix_speed, target:myself, turn:1],[effect:tolerance, target:myself, turn:-1, count:-1, tolerance_effect:all, animation:enemy_tolerance]</v>
      </c>
      <c r="O125" s="64">
        <f t="shared" si="181"/>
        <v>9</v>
      </c>
      <c r="P125" s="64">
        <f t="shared" si="182"/>
        <v>18</v>
      </c>
      <c r="Q125" s="64">
        <f t="shared" si="183"/>
        <v>27</v>
      </c>
      <c r="R125" s="64">
        <f t="shared" si="184"/>
        <v>33</v>
      </c>
      <c r="S125" s="64" t="str">
        <f>IFERROR(VLOOKUP(MID(N125,Q125,R125-Q125),[6]skilldef!$C:$D,2,FALSE),"-") &amp; " / " &amp; IFERROR(VLOOKUP(MID(N125,O125,P125-O125),[6]skilldef!$A:$B,2,FALSE),"-")</f>
        <v>自分自身に / 行動値設定</v>
      </c>
      <c r="T125" s="48" t="str">
        <f t="shared" si="185"/>
        <v>[effect:tolerance, target:myself, turn:-1, count:-1, tolerance_effect:all, animation:enemy_tolerance]</v>
      </c>
      <c r="U125" s="64">
        <f t="shared" si="186"/>
        <v>9</v>
      </c>
      <c r="V125" s="64">
        <f t="shared" si="187"/>
        <v>18</v>
      </c>
      <c r="W125" s="64">
        <f t="shared" si="188"/>
        <v>27</v>
      </c>
      <c r="X125" s="64">
        <f t="shared" si="189"/>
        <v>33</v>
      </c>
      <c r="Y125" s="64" t="str">
        <f>IFERROR(VLOOKUP(MID(T125,W125,X125-W125),[6]skilldef!$C:$D,2,FALSE),"-") &amp; " / " &amp; IFERROR(VLOOKUP(MID(T125,U125,V125-U125),[6]skilldef!$A:$B,2,FALSE),"-")</f>
        <v>自分自身に / 状態異常耐性</v>
      </c>
      <c r="Z125" s="50"/>
      <c r="AA125" s="52"/>
      <c r="AB125" s="50"/>
    </row>
    <row r="126" spans="1:28" ht="39" customHeight="1" x14ac:dyDescent="0.15">
      <c r="A126" s="112">
        <v>47008367</v>
      </c>
      <c r="B126" s="47" t="s">
        <v>445</v>
      </c>
      <c r="C126" s="50">
        <v>3</v>
      </c>
      <c r="D126" s="50" t="s">
        <v>128</v>
      </c>
      <c r="E126" s="51" t="s">
        <v>472</v>
      </c>
      <c r="F126" s="51" t="s">
        <v>496</v>
      </c>
      <c r="G126" s="64" t="str">
        <f t="shared" si="175"/>
        <v>[effect:enemy_message, val1:1.2, val2:2.2]</v>
      </c>
      <c r="H126" s="64">
        <f t="shared" si="176"/>
        <v>9</v>
      </c>
      <c r="I126" s="64">
        <f t="shared" si="177"/>
        <v>22</v>
      </c>
      <c r="J126" s="64" t="e">
        <f t="shared" si="178"/>
        <v>#VALUE!</v>
      </c>
      <c r="K126" s="64">
        <f t="shared" si="179"/>
        <v>32</v>
      </c>
      <c r="L126" s="64" t="str">
        <f>IFERROR(VLOOKUP(MID(G126,J126,K126-J126),[6]skilldef!$C:$D,2,FALSE),"-") &amp; " / " &amp; IFERROR(VLOOKUP(MID(G126,H126,I126-H126),[6]skilldef!$A:$B,2,FALSE),"-")</f>
        <v>- / -</v>
      </c>
      <c r="M126" s="64" t="str">
        <f t="shared" si="180"/>
        <v>[effect:force_change_block, new_block:block_blue, target:block_all, ignore01:crash, ignore02:crack_bomb, ignore03:color_break, ignore04:magnet, ignore05:block_blue, count:10, val:0],[effect:critical, val:1.0]</v>
      </c>
      <c r="N126" s="48" t="str">
        <f t="shared" si="191"/>
        <v>[effect:force_change_block, new_block:block_blue, target:block_all, ignore01:crash, ignore02:crack_bomb, ignore03:color_break, ignore04:magnet, ignore05:block_blue, count:10, val:0],[effect:critical, val:1.0]</v>
      </c>
      <c r="O126" s="64">
        <f t="shared" si="181"/>
        <v>9</v>
      </c>
      <c r="P126" s="64">
        <f t="shared" si="182"/>
        <v>27</v>
      </c>
      <c r="Q126" s="64">
        <f t="shared" si="183"/>
        <v>58</v>
      </c>
      <c r="R126" s="64">
        <f t="shared" si="184"/>
        <v>49</v>
      </c>
      <c r="S126" s="64" t="str">
        <f>IFERROR(VLOOKUP(MID(N126,Q126,R126-Q126),[6]skilldef!$C:$D,2,FALSE),"-") &amp; " / " &amp; IFERROR(VLOOKUP(MID(N126,O126,P126-O126),[6]skilldef!$A:$B,2,FALSE),"-")</f>
        <v>- / -</v>
      </c>
      <c r="T126" s="48" t="str">
        <f t="shared" si="185"/>
        <v>[effect:critical, val:1.0]</v>
      </c>
      <c r="U126" s="64">
        <f t="shared" si="186"/>
        <v>9</v>
      </c>
      <c r="V126" s="64">
        <f t="shared" si="187"/>
        <v>17</v>
      </c>
      <c r="W126" s="64" t="e">
        <f t="shared" si="188"/>
        <v>#VALUE!</v>
      </c>
      <c r="X126" s="64" t="e">
        <f t="shared" si="189"/>
        <v>#VALUE!</v>
      </c>
      <c r="Y126" s="64" t="str">
        <f>IFERROR(VLOOKUP(MID(T126,W126,X126-W126),[6]skilldef!$C:$D,2,FALSE),"-") &amp; " / " &amp; IFERROR(VLOOKUP(MID(T126,U126,V126-U126),[6]skilldef!$A:$B,2,FALSE),"-")</f>
        <v>- / 大攻撃</v>
      </c>
      <c r="Z126" s="50"/>
      <c r="AA126" s="52"/>
      <c r="AB126" s="50"/>
    </row>
    <row r="127" spans="1:28" ht="33" customHeight="1" x14ac:dyDescent="0.15">
      <c r="A127" s="113">
        <v>47008460</v>
      </c>
      <c r="B127" s="47" t="s">
        <v>546</v>
      </c>
      <c r="C127" s="50">
        <v>3</v>
      </c>
      <c r="D127" s="50" t="s">
        <v>128</v>
      </c>
      <c r="E127" s="51" t="s">
        <v>521</v>
      </c>
      <c r="F127" s="51" t="s">
        <v>498</v>
      </c>
      <c r="G127" s="64" t="str">
        <f t="shared" si="175"/>
        <v>[effect:enemy_message, val1:2.3, val2:2.7]</v>
      </c>
      <c r="H127" s="64">
        <f t="shared" si="176"/>
        <v>9</v>
      </c>
      <c r="I127" s="64">
        <f t="shared" si="177"/>
        <v>22</v>
      </c>
      <c r="J127" s="64" t="e">
        <f t="shared" si="178"/>
        <v>#VALUE!</v>
      </c>
      <c r="K127" s="64">
        <f t="shared" si="179"/>
        <v>32</v>
      </c>
      <c r="L127" s="64" t="str">
        <f>IFERROR(VLOOKUP(MID(G127,J127,K127-J127),[6]skilldef!$C:$D,2,FALSE),"-") &amp; " / " &amp; IFERROR(VLOOKUP(MID(G127,H127,I127-H127),[6]skilldef!$A:$B,2,FALSE),"-")</f>
        <v>- / -</v>
      </c>
      <c r="M127" s="64" t="str">
        <f t="shared" si="180"/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N127" s="48" t="str">
        <f t="shared" ref="N127:N130" si="192">IFERROR(LEFT(M127,FIND("],",M127)+S139),M127)</f>
        <v>[effect:force_change_block, new_block:block_heart, target:block_all, ignore01:crash, ignore02:crack_bomb, ignore03:color_break, ignore04:magnet, ignore05:block_heart, count:10, val:0],[effect:fix_speed, target:myself, turn:1],[effect:tolerance, target:myself, turn:-1, count:-1, tolerance_effect:all, animation:enemy_tolerance]</v>
      </c>
      <c r="O127" s="64">
        <f t="shared" si="181"/>
        <v>9</v>
      </c>
      <c r="P127" s="64">
        <f t="shared" si="182"/>
        <v>27</v>
      </c>
      <c r="Q127" s="64">
        <f t="shared" si="183"/>
        <v>59</v>
      </c>
      <c r="R127" s="64">
        <f t="shared" si="184"/>
        <v>50</v>
      </c>
      <c r="S127" s="64" t="str">
        <f>IFERROR(VLOOKUP(MID(N127,Q127,R127-Q127),[6]skilldef!$C:$D,2,FALSE),"-") &amp; " / " &amp; IFERROR(VLOOKUP(MID(N127,O127,P127-O127),[6]skilldef!$A:$B,2,FALSE),"-")</f>
        <v>- / -</v>
      </c>
      <c r="T127" s="48" t="str">
        <f t="shared" si="185"/>
        <v>[effect:fix_speed, target:myself, turn:1],[effect:tolerance, target:myself, turn:-1, count:-1, tolerance_effect:all, animation:enemy_tolerance]</v>
      </c>
      <c r="U127" s="64">
        <f t="shared" si="186"/>
        <v>9</v>
      </c>
      <c r="V127" s="64">
        <f t="shared" si="187"/>
        <v>18</v>
      </c>
      <c r="W127" s="64">
        <f t="shared" si="188"/>
        <v>27</v>
      </c>
      <c r="X127" s="64">
        <f t="shared" si="189"/>
        <v>33</v>
      </c>
      <c r="Y127" s="64" t="str">
        <f>IFERROR(VLOOKUP(MID(T127,W127,X127-W127),[6]skilldef!$C:$D,2,FALSE),"-") &amp; " / " &amp; IFERROR(VLOOKUP(MID(T127,U127,V127-U127),[6]skilldef!$A:$B,2,FALSE),"-")</f>
        <v>自分自身に / 行動値設定</v>
      </c>
      <c r="Z127" s="50"/>
      <c r="AA127" s="52"/>
      <c r="AB127" s="50"/>
    </row>
    <row r="128" spans="1:28" ht="21" customHeight="1" x14ac:dyDescent="0.15">
      <c r="A128" s="113">
        <v>47008461</v>
      </c>
      <c r="B128" s="47" t="s">
        <v>446</v>
      </c>
      <c r="C128" s="50">
        <v>3</v>
      </c>
      <c r="D128" s="50" t="s">
        <v>128</v>
      </c>
      <c r="E128" s="51" t="s">
        <v>474</v>
      </c>
      <c r="F128" s="51" t="s">
        <v>428</v>
      </c>
      <c r="G128" s="64" t="str">
        <f t="shared" si="175"/>
        <v>[effect:enemy_message, val1:1.4, val2:2.3]</v>
      </c>
      <c r="H128" s="64">
        <f t="shared" si="176"/>
        <v>9</v>
      </c>
      <c r="I128" s="64">
        <f t="shared" si="177"/>
        <v>22</v>
      </c>
      <c r="J128" s="64" t="e">
        <f t="shared" si="178"/>
        <v>#VALUE!</v>
      </c>
      <c r="K128" s="64">
        <f t="shared" si="179"/>
        <v>32</v>
      </c>
      <c r="L128" s="64" t="str">
        <f>IFERROR(VLOOKUP(MID(G128,J128,K128-J128),[6]skilldef!$C:$D,2,FALSE),"-") &amp; " / " &amp; IFERROR(VLOOKUP(MID(G128,H128,I128-H128),[6]skilldef!$A:$B,2,FALSE),"-")</f>
        <v>- / -</v>
      </c>
      <c r="M128" s="64" t="str">
        <f t="shared" si="180"/>
        <v>[effect:force_change_block, new_block:block_heart, target:block_all, ignore01:crash, ignore02:crack_bomb, ignore03:color_break, ignore04:magnet, ignore05:block_heart, count:5, val:0],[effect:critical, val:1.0]</v>
      </c>
      <c r="N128" s="48" t="str">
        <f t="shared" si="192"/>
        <v>[effect:force_change_block, new_block:block_heart, target:block_all, ignore01:crash, ignore02:crack_bomb, ignore03:color_break, ignore04:magnet, ignore05:block_heart, count:5, val:0],[effect:critical, val:1.0]</v>
      </c>
      <c r="O128" s="64">
        <f t="shared" si="181"/>
        <v>9</v>
      </c>
      <c r="P128" s="64">
        <f t="shared" si="182"/>
        <v>27</v>
      </c>
      <c r="Q128" s="64">
        <f t="shared" si="183"/>
        <v>59</v>
      </c>
      <c r="R128" s="64">
        <f t="shared" si="184"/>
        <v>50</v>
      </c>
      <c r="S128" s="64" t="str">
        <f>IFERROR(VLOOKUP(MID(N128,Q128,R128-Q128),[6]skilldef!$C:$D,2,FALSE),"-") &amp; " / " &amp; IFERROR(VLOOKUP(MID(N128,O128,P128-O128),[6]skilldef!$A:$B,2,FALSE),"-")</f>
        <v>- / -</v>
      </c>
      <c r="T128" s="48" t="str">
        <f t="shared" si="185"/>
        <v>[effect:critical, val:1.0]</v>
      </c>
      <c r="U128" s="64">
        <f t="shared" si="186"/>
        <v>9</v>
      </c>
      <c r="V128" s="64">
        <f t="shared" si="187"/>
        <v>17</v>
      </c>
      <c r="W128" s="64" t="e">
        <f t="shared" si="188"/>
        <v>#VALUE!</v>
      </c>
      <c r="X128" s="64" t="e">
        <f t="shared" si="189"/>
        <v>#VALUE!</v>
      </c>
      <c r="Y128" s="64" t="str">
        <f>IFERROR(VLOOKUP(MID(T128,W128,X128-W128),[6]skilldef!$C:$D,2,FALSE),"-") &amp; " / " &amp; IFERROR(VLOOKUP(MID(T128,U128,V128-U128),[6]skilldef!$A:$B,2,FALSE),"-")</f>
        <v>- / 大攻撃</v>
      </c>
      <c r="Z128" s="50"/>
      <c r="AA128" s="52"/>
      <c r="AB128" s="50"/>
    </row>
    <row r="129" spans="1:28" ht="21" customHeight="1" x14ac:dyDescent="0.15">
      <c r="A129" s="113">
        <v>47008462</v>
      </c>
      <c r="B129" s="47" t="s">
        <v>341</v>
      </c>
      <c r="C129" s="50">
        <v>3</v>
      </c>
      <c r="D129" s="50" t="s">
        <v>128</v>
      </c>
      <c r="E129" s="51" t="s">
        <v>475</v>
      </c>
      <c r="F129" s="51" t="s">
        <v>499</v>
      </c>
      <c r="G129" s="64" t="str">
        <f t="shared" si="175"/>
        <v>[effect:enemy_message, val1:1.2, val2:1.2]</v>
      </c>
      <c r="H129" s="64">
        <f t="shared" si="176"/>
        <v>9</v>
      </c>
      <c r="I129" s="64">
        <f t="shared" si="177"/>
        <v>22</v>
      </c>
      <c r="J129" s="64" t="e">
        <f t="shared" si="178"/>
        <v>#VALUE!</v>
      </c>
      <c r="K129" s="64">
        <f t="shared" si="179"/>
        <v>32</v>
      </c>
      <c r="L129" s="64" t="str">
        <f>IFERROR(VLOOKUP(MID(G129,J129,K129-J129),[6]skilldef!$C:$D,2,FALSE),"-") &amp; " / " &amp; IFERROR(VLOOKUP(MID(G129,H129,I129-H129),[6]skilldef!$A:$B,2,FALSE),"-")</f>
        <v>- / -</v>
      </c>
      <c r="M129" s="64" t="str">
        <f t="shared" si="180"/>
        <v>[effect:damage_fix_absolute, target:unit_one, val:8000]</v>
      </c>
      <c r="N129" s="48" t="str">
        <f t="shared" si="192"/>
        <v>[effect:damage_fix_absolute, target:unit_one, val:8000]</v>
      </c>
      <c r="O129" s="64">
        <f t="shared" si="181"/>
        <v>9</v>
      </c>
      <c r="P129" s="64">
        <f t="shared" si="182"/>
        <v>28</v>
      </c>
      <c r="Q129" s="64">
        <f t="shared" si="183"/>
        <v>37</v>
      </c>
      <c r="R129" s="64">
        <f t="shared" si="184"/>
        <v>45</v>
      </c>
      <c r="S129" s="64" t="str">
        <f>IFERROR(VLOOKUP(MID(N129,Q129,R129-Q129),[6]skilldef!$C:$D,2,FALSE),"-") &amp; " / " &amp; IFERROR(VLOOKUP(MID(N129,O129,P129-O129),[6]skilldef!$A:$B,2,FALSE),"-")</f>
        <v>味方単体に / -</v>
      </c>
      <c r="T129" s="48" t="str">
        <f t="shared" si="185"/>
        <v>none</v>
      </c>
      <c r="U129" s="64" t="e">
        <f t="shared" si="186"/>
        <v>#VALUE!</v>
      </c>
      <c r="V129" s="64">
        <f t="shared" si="187"/>
        <v>4</v>
      </c>
      <c r="W129" s="64" t="e">
        <f t="shared" si="188"/>
        <v>#VALUE!</v>
      </c>
      <c r="X129" s="64" t="e">
        <f t="shared" si="189"/>
        <v>#VALUE!</v>
      </c>
      <c r="Y129" s="64" t="str">
        <f>IFERROR(VLOOKUP(MID(T129,W129,X129-W129),[6]skilldef!$C:$D,2,FALSE),"-") &amp; " / " &amp; IFERROR(VLOOKUP(MID(T129,U129,V129-U129),[6]skilldef!$A:$B,2,FALSE),"-")</f>
        <v>- / -</v>
      </c>
      <c r="Z129" s="50"/>
      <c r="AA129" s="52"/>
      <c r="AB129" s="50"/>
    </row>
    <row r="130" spans="1:28" ht="42" customHeight="1" x14ac:dyDescent="0.15">
      <c r="A130" s="113">
        <v>47008463</v>
      </c>
      <c r="B130" s="47" t="s">
        <v>414</v>
      </c>
      <c r="C130" s="50">
        <v>3</v>
      </c>
      <c r="D130" s="50" t="s">
        <v>128</v>
      </c>
      <c r="E130" s="51" t="s">
        <v>476</v>
      </c>
      <c r="F130" s="51" t="s">
        <v>500</v>
      </c>
      <c r="G130" s="64" t="str">
        <f t="shared" si="175"/>
        <v>[effect:enemy_message, val1:1.8, val2:1.9]</v>
      </c>
      <c r="H130" s="64">
        <f t="shared" si="176"/>
        <v>9</v>
      </c>
      <c r="I130" s="64">
        <f t="shared" si="177"/>
        <v>22</v>
      </c>
      <c r="J130" s="64" t="e">
        <f t="shared" si="178"/>
        <v>#VALUE!</v>
      </c>
      <c r="K130" s="64">
        <f t="shared" si="179"/>
        <v>32</v>
      </c>
      <c r="L130" s="64" t="str">
        <f>IFERROR(VLOOKUP(MID(G130,J130,K130-J130),[6]skilldef!$C:$D,2,FALSE),"-") &amp; " / " &amp; IFERROR(VLOOKUP(MID(G130,H130,I130-H130),[6]skilldef!$A:$B,2,FALSE),"-")</f>
        <v>- / -</v>
      </c>
      <c r="M130" s="64" t="str">
        <f t="shared" si="180"/>
        <v>[effect:change_panel_ratio, turn:5, block_type:heal, val:0.1, animation:block_incidence04]</v>
      </c>
      <c r="N130" s="48" t="str">
        <f t="shared" si="192"/>
        <v>[effect:change_panel_ratio, turn:5, block_type:heal, val:0.1, animation:block_incidence04]</v>
      </c>
      <c r="O130" s="64">
        <f t="shared" si="181"/>
        <v>9</v>
      </c>
      <c r="P130" s="64">
        <f t="shared" si="182"/>
        <v>27</v>
      </c>
      <c r="Q130" s="64" t="e">
        <f t="shared" si="183"/>
        <v>#VALUE!</v>
      </c>
      <c r="R130" s="64">
        <f t="shared" si="184"/>
        <v>35</v>
      </c>
      <c r="S130" s="64" t="str">
        <f>IFERROR(VLOOKUP(MID(N130,Q130,R130-Q130),[6]skilldef!$C:$D,2,FALSE),"-") &amp; " / " &amp; IFERROR(VLOOKUP(MID(N130,O130,P130-O130),[6]skilldef!$A:$B,2,FALSE),"-")</f>
        <v>- / -</v>
      </c>
      <c r="T130" s="48" t="str">
        <f t="shared" si="185"/>
        <v>none</v>
      </c>
      <c r="U130" s="64" t="e">
        <f t="shared" si="186"/>
        <v>#VALUE!</v>
      </c>
      <c r="V130" s="64">
        <f t="shared" si="187"/>
        <v>4</v>
      </c>
      <c r="W130" s="64" t="e">
        <f t="shared" si="188"/>
        <v>#VALUE!</v>
      </c>
      <c r="X130" s="64" t="e">
        <f t="shared" si="189"/>
        <v>#VALUE!</v>
      </c>
      <c r="Y130" s="64" t="str">
        <f>IFERROR(VLOOKUP(MID(T130,W130,X130-W130),[6]skilldef!$C:$D,2,FALSE),"-") &amp; " / " &amp; IFERROR(VLOOKUP(MID(T130,U130,V130-U130),[6]skilldef!$A:$B,2,FALSE),"-")</f>
        <v>- / -</v>
      </c>
      <c r="Z130" s="50"/>
      <c r="AA130" s="52"/>
      <c r="AB130" s="50"/>
    </row>
    <row r="131" spans="1:28" ht="21" customHeight="1" x14ac:dyDescent="0.15">
      <c r="A131" s="113">
        <v>47008464</v>
      </c>
      <c r="B131" s="47" t="s">
        <v>555</v>
      </c>
      <c r="C131" s="50">
        <v>3</v>
      </c>
      <c r="D131" s="50" t="s">
        <v>128</v>
      </c>
      <c r="E131" s="51" t="s">
        <v>522</v>
      </c>
      <c r="F131" s="51" t="s">
        <v>501</v>
      </c>
      <c r="G131" s="64" t="str">
        <f t="shared" si="175"/>
        <v>[effect:enemy_message, val1:2.2, val2:2.5]</v>
      </c>
      <c r="H131" s="64">
        <f t="shared" si="176"/>
        <v>9</v>
      </c>
      <c r="I131" s="64">
        <f t="shared" si="177"/>
        <v>22</v>
      </c>
      <c r="J131" s="64" t="e">
        <f t="shared" si="178"/>
        <v>#VALUE!</v>
      </c>
      <c r="K131" s="64">
        <f t="shared" si="179"/>
        <v>32</v>
      </c>
      <c r="L131" s="64" t="str">
        <f>IFERROR(VLOOKUP(MID(G131,J131,K131-J131),[6]skilldef!$C:$D,2,FALSE),"-") &amp; " / " &amp; IFERROR(VLOOKUP(MID(G131,H131,I131-H131),[6]skilldef!$A:$B,2,FALSE),"-")</f>
        <v>- / -</v>
      </c>
      <c r="M131" s="64" t="str">
        <f t="shared" si="180"/>
        <v>[effect:degrade_unit, target:unit_all, turn:3, status:attack, val:0.5, calc:mul],[effect:critical, val:1.0]</v>
      </c>
      <c r="N131" s="48" t="str">
        <f>IFERROR(LEFT(M131,FIND("],",M131)+S149),M131)</f>
        <v>[effect:degrade_unit, target:unit_all, turn:3, status:attack, val:0.5, calc:mul],[effect:critical, val:1.0]</v>
      </c>
      <c r="O131" s="64">
        <f t="shared" si="181"/>
        <v>9</v>
      </c>
      <c r="P131" s="64">
        <f t="shared" si="182"/>
        <v>21</v>
      </c>
      <c r="Q131" s="64">
        <f t="shared" si="183"/>
        <v>30</v>
      </c>
      <c r="R131" s="64">
        <f t="shared" si="184"/>
        <v>38</v>
      </c>
      <c r="S131" s="64" t="str">
        <f>IFERROR(VLOOKUP(MID(N131,Q131,R131-Q131),[6]skilldef!$C:$D,2,FALSE),"-") &amp; " / " &amp; IFERROR(VLOOKUP(MID(N131,O131,P131-O131),[6]skilldef!$A:$B,2,FALSE),"-")</f>
        <v>味方全体に / ステータスDOWN</v>
      </c>
      <c r="T131" s="48" t="str">
        <f t="shared" si="185"/>
        <v>[effect:critical, val:1.0]</v>
      </c>
      <c r="U131" s="64">
        <f t="shared" si="186"/>
        <v>9</v>
      </c>
      <c r="V131" s="64">
        <f t="shared" si="187"/>
        <v>17</v>
      </c>
      <c r="W131" s="64" t="e">
        <f t="shared" si="188"/>
        <v>#VALUE!</v>
      </c>
      <c r="X131" s="64" t="e">
        <f t="shared" si="189"/>
        <v>#VALUE!</v>
      </c>
      <c r="Y131" s="64" t="str">
        <f>IFERROR(VLOOKUP(MID(T131,W131,X131-W131),[6]skilldef!$C:$D,2,FALSE),"-") &amp; " / " &amp; IFERROR(VLOOKUP(MID(T131,U131,V131-U131),[6]skilldef!$A:$B,2,FALSE),"-")</f>
        <v>- / 大攻撃</v>
      </c>
      <c r="Z131" s="50"/>
      <c r="AA131" s="52"/>
      <c r="AB131" s="50"/>
    </row>
    <row r="132" spans="1:28" ht="65" customHeight="1" x14ac:dyDescent="0.15">
      <c r="A132" s="114">
        <v>47008560</v>
      </c>
      <c r="B132" s="47" t="s">
        <v>447</v>
      </c>
      <c r="C132" s="50">
        <v>3</v>
      </c>
      <c r="D132" s="50" t="s">
        <v>128</v>
      </c>
      <c r="E132" s="51" t="s">
        <v>478</v>
      </c>
      <c r="F132" s="51" t="s">
        <v>502</v>
      </c>
      <c r="G132" s="64" t="str">
        <f t="shared" si="175"/>
        <v>[effect:enemy_message, val1:1.3, val2:4.2]</v>
      </c>
      <c r="H132" s="64">
        <f t="shared" si="176"/>
        <v>9</v>
      </c>
      <c r="I132" s="64">
        <f t="shared" si="177"/>
        <v>22</v>
      </c>
      <c r="J132" s="64" t="e">
        <f t="shared" si="178"/>
        <v>#VALUE!</v>
      </c>
      <c r="K132" s="64">
        <f t="shared" si="179"/>
        <v>32</v>
      </c>
      <c r="L132" s="64" t="str">
        <f>IFERROR(VLOOKUP(MID(G132,J132,K132-J132),[6]skilldef!$C:$D,2,FALSE),"-") &amp; " / " &amp; IFERROR(VLOOKUP(MID(G132,H132,I132-H132),[6]skilldef!$A:$B,2,FALSE),"-")</f>
        <v>- / -</v>
      </c>
      <c r="M132" s="64" t="str">
        <f t="shared" si="180"/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132" s="48" t="str">
        <f>IFERROR(LEFT(M132,FIND("],",M132)+S150),M132)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132" s="64">
        <f t="shared" si="181"/>
        <v>9</v>
      </c>
      <c r="P132" s="64">
        <f t="shared" si="182"/>
        <v>23</v>
      </c>
      <c r="Q132" s="64">
        <f t="shared" si="183"/>
        <v>120</v>
      </c>
      <c r="R132" s="64">
        <f t="shared" si="184"/>
        <v>33</v>
      </c>
      <c r="S132" s="64" t="str">
        <f>IFERROR(VLOOKUP(MID(N132,Q132,R132-Q132),[6]skilldef!$C:$D,2,FALSE),"-") &amp; " / " &amp; IFERROR(VLOOKUP(MID(N132,O132,P132-O132),[6]skilldef!$A:$B,2,FALSE),"-")</f>
        <v>- / 割合ダメージ</v>
      </c>
      <c r="T132" s="48" t="str">
        <f t="shared" si="185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132" s="64">
        <f t="shared" si="186"/>
        <v>9</v>
      </c>
      <c r="V132" s="64">
        <f t="shared" si="187"/>
        <v>27</v>
      </c>
      <c r="W132" s="64">
        <f t="shared" si="188"/>
        <v>59</v>
      </c>
      <c r="X132" s="64">
        <f t="shared" si="189"/>
        <v>50</v>
      </c>
      <c r="Y132" s="64" t="str">
        <f>IFERROR(VLOOKUP(MID(T132,W132,X132-W132),[6]skilldef!$C:$D,2,FALSE),"-") &amp; " / " &amp; IFERROR(VLOOKUP(MID(T132,U132,V132-U132),[6]skilldef!$A:$B,2,FALSE),"-")</f>
        <v>- / -</v>
      </c>
      <c r="Z132" s="50"/>
      <c r="AA132" s="52"/>
      <c r="AB132" s="50"/>
    </row>
    <row r="133" spans="1:28" ht="59" customHeight="1" x14ac:dyDescent="0.15">
      <c r="A133" s="114">
        <v>47008561</v>
      </c>
      <c r="B133" s="47" t="s">
        <v>447</v>
      </c>
      <c r="C133" s="50">
        <v>3</v>
      </c>
      <c r="D133" s="50" t="s">
        <v>128</v>
      </c>
      <c r="E133" s="51" t="s">
        <v>478</v>
      </c>
      <c r="F133" s="51" t="s">
        <v>502</v>
      </c>
      <c r="G133" s="64" t="str">
        <f t="shared" si="175"/>
        <v>[effect:enemy_message, val1:1.3, val2:4.2]</v>
      </c>
      <c r="H133" s="64">
        <f t="shared" si="176"/>
        <v>9</v>
      </c>
      <c r="I133" s="64">
        <f t="shared" si="177"/>
        <v>22</v>
      </c>
      <c r="J133" s="64" t="e">
        <f t="shared" si="178"/>
        <v>#VALUE!</v>
      </c>
      <c r="K133" s="64">
        <f t="shared" si="179"/>
        <v>32</v>
      </c>
      <c r="L133" s="64" t="str">
        <f>IFERROR(VLOOKUP(MID(G133,J133,K133-J133),[6]skilldef!$C:$D,2,FALSE),"-") &amp; " / " &amp; IFERROR(VLOOKUP(MID(G133,H133,I133-H133),[6]skilldef!$A:$B,2,FALSE),"-")</f>
        <v>- / -</v>
      </c>
      <c r="M133" s="64" t="str">
        <f t="shared" si="180"/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133" s="48" t="str">
        <f>IFERROR(LEFT(M133,FIND("],",M133)+S151),M133)</f>
        <v>[effect:damage_gravity, val:0.99,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O133" s="64">
        <f t="shared" si="181"/>
        <v>9</v>
      </c>
      <c r="P133" s="64">
        <f t="shared" si="182"/>
        <v>23</v>
      </c>
      <c r="Q133" s="64">
        <f t="shared" si="183"/>
        <v>120</v>
      </c>
      <c r="R133" s="64">
        <f t="shared" si="184"/>
        <v>33</v>
      </c>
      <c r="S133" s="64" t="str">
        <f>IFERROR(VLOOKUP(MID(N133,Q133,R133-Q133),[6]skilldef!$C:$D,2,FALSE),"-") &amp; " / " &amp; IFERROR(VLOOKUP(MID(N133,O133,P133-O133),[6]skilldef!$A:$B,2,FALSE),"-")</f>
        <v>- / 割合ダメージ</v>
      </c>
      <c r="T133" s="48" t="str">
        <f t="shared" si="185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133" s="64">
        <f t="shared" si="186"/>
        <v>9</v>
      </c>
      <c r="V133" s="64">
        <f t="shared" si="187"/>
        <v>27</v>
      </c>
      <c r="W133" s="64">
        <f t="shared" si="188"/>
        <v>59</v>
      </c>
      <c r="X133" s="64">
        <f t="shared" si="189"/>
        <v>50</v>
      </c>
      <c r="Y133" s="64" t="str">
        <f>IFERROR(VLOOKUP(MID(T133,W133,X133-W133),[6]skilldef!$C:$D,2,FALSE),"-") &amp; " / " &amp; IFERROR(VLOOKUP(MID(T133,U133,V133-U133),[6]skilldef!$A:$B,2,FALSE),"-")</f>
        <v>- / -</v>
      </c>
      <c r="Z133" s="50"/>
      <c r="AA133" s="52"/>
      <c r="AB133" s="50"/>
    </row>
    <row r="134" spans="1:28" ht="80" customHeight="1" x14ac:dyDescent="0.15">
      <c r="A134" s="114">
        <v>47008562</v>
      </c>
      <c r="B134" s="47" t="s">
        <v>448</v>
      </c>
      <c r="C134" s="50">
        <v>3</v>
      </c>
      <c r="D134" s="50" t="s">
        <v>128</v>
      </c>
      <c r="E134" s="51" t="s">
        <v>478</v>
      </c>
      <c r="F134" s="51" t="s">
        <v>503</v>
      </c>
      <c r="G134" s="64" t="str">
        <f t="shared" si="175"/>
        <v>[effect:enemy_message, val1:1.3, val2:6.0]</v>
      </c>
      <c r="H134" s="64">
        <f t="shared" si="176"/>
        <v>9</v>
      </c>
      <c r="I134" s="64">
        <f t="shared" si="177"/>
        <v>22</v>
      </c>
      <c r="J134" s="64" t="e">
        <f t="shared" si="178"/>
        <v>#VALUE!</v>
      </c>
      <c r="K134" s="64">
        <f t="shared" si="179"/>
        <v>32</v>
      </c>
      <c r="L134" s="64" t="str">
        <f>IFERROR(VLOOKUP(MID(G134,J134,K134-J134),[6]skilldef!$C:$D,2,FALSE),"-") &amp; " / " &amp; IFERROR(VLOOKUP(MID(G134,H134,I134-H134),[6]skilldef!$A:$B,2,FALSE),"-")</f>
        <v>- / -</v>
      </c>
      <c r="M134" s="64" t="str">
        <f t="shared" si="180"/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N134" s="48" t="str">
        <f>IFERROR(LEFT(M134,FIND("],",M134)+S151),M134)</f>
        <v>[effect:damage_gravity, val:0.99, animation:fevergauge_down],[effect:force_change_block,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O134" s="64">
        <f t="shared" si="181"/>
        <v>9</v>
      </c>
      <c r="P134" s="64">
        <f t="shared" si="182"/>
        <v>23</v>
      </c>
      <c r="Q134" s="64">
        <f t="shared" si="183"/>
        <v>120</v>
      </c>
      <c r="R134" s="64">
        <f t="shared" si="184"/>
        <v>33</v>
      </c>
      <c r="S134" s="64" t="str">
        <f>IFERROR(VLOOKUP(MID(N134,Q134,R134-Q134),[6]skilldef!$C:$D,2,FALSE),"-") &amp; " / " &amp; IFERROR(VLOOKUP(MID(N134,O134,P134-O134),[6]skilldef!$A:$B,2,FALSE),"-")</f>
        <v>- / 割合ダメージ</v>
      </c>
      <c r="T134" s="48" t="str">
        <f t="shared" si="185"/>
        <v>[effect:force_change_block, new_block:block_heart, target:block_all, ignore01:crash, ignore02:crack_bomb, ignore03:color_break, ignore04:magnet, ignore05:block_heart, count:20, val:0],[effect:hungup, target:unit_all, turn:2, rate:1, animation:hungup01],[effect:fix_speed, target:myself, turn:1],[effect:tolerance, target:myself, turn:-1, count:-1, tolerance_effect:all, animation:enemy_tolerance]</v>
      </c>
      <c r="U134" s="64">
        <f t="shared" si="186"/>
        <v>9</v>
      </c>
      <c r="V134" s="64">
        <f t="shared" si="187"/>
        <v>27</v>
      </c>
      <c r="W134" s="64">
        <f t="shared" si="188"/>
        <v>59</v>
      </c>
      <c r="X134" s="64">
        <f t="shared" si="189"/>
        <v>50</v>
      </c>
      <c r="Y134" s="64" t="str">
        <f>IFERROR(VLOOKUP(MID(T134,W134,X134-W134),[6]skilldef!$C:$D,2,FALSE),"-") &amp; " / " &amp; IFERROR(VLOOKUP(MID(T134,U134,V134-U134),[6]skilldef!$A:$B,2,FALSE),"-")</f>
        <v>- / -</v>
      </c>
      <c r="Z134" s="50"/>
      <c r="AA134" s="52"/>
      <c r="AB134" s="50"/>
    </row>
    <row r="135" spans="1:28" ht="21" customHeight="1" x14ac:dyDescent="0.15">
      <c r="A135" s="114">
        <v>47008563</v>
      </c>
      <c r="B135" s="47" t="s">
        <v>343</v>
      </c>
      <c r="C135" s="50">
        <v>3</v>
      </c>
      <c r="D135" s="50" t="s">
        <v>128</v>
      </c>
      <c r="E135" s="51" t="s">
        <v>479</v>
      </c>
      <c r="F135" s="51" t="s">
        <v>504</v>
      </c>
      <c r="G135" s="64" t="str">
        <f t="shared" si="175"/>
        <v>[effect:enemy_message, val1:1.2, val2:1.8]</v>
      </c>
      <c r="H135" s="64">
        <f t="shared" si="176"/>
        <v>9</v>
      </c>
      <c r="I135" s="64">
        <f t="shared" si="177"/>
        <v>22</v>
      </c>
      <c r="J135" s="64" t="e">
        <f t="shared" si="178"/>
        <v>#VALUE!</v>
      </c>
      <c r="K135" s="64">
        <f t="shared" si="179"/>
        <v>32</v>
      </c>
      <c r="L135" s="64" t="str">
        <f>IFERROR(VLOOKUP(MID(G135,J135,K135-J135),[6]skilldef!$C:$D,2,FALSE),"-") &amp; " / " &amp; IFERROR(VLOOKUP(MID(G135,H135,I135-H135),[6]skilldef!$A:$B,2,FALSE),"-")</f>
        <v>- / -</v>
      </c>
      <c r="M135" s="64" t="str">
        <f t="shared" si="180"/>
        <v>[effect:critical, val:0.4],[effect:damage_gravity, val:0.2, animation:fevergauge_down]</v>
      </c>
      <c r="N135" s="48" t="str">
        <f>IFERROR(LEFT(M135,FIND("],",M135)+S151),M135)</f>
        <v>[effect:critical, val:0.4],[effect:damage_gravity, val:0.2, animation:fevergauge_down]</v>
      </c>
      <c r="O135" s="64">
        <f t="shared" si="181"/>
        <v>9</v>
      </c>
      <c r="P135" s="64">
        <f t="shared" si="182"/>
        <v>17</v>
      </c>
      <c r="Q135" s="64" t="e">
        <f t="shared" si="183"/>
        <v>#VALUE!</v>
      </c>
      <c r="R135" s="64">
        <f t="shared" si="184"/>
        <v>27</v>
      </c>
      <c r="S135" s="64" t="str">
        <f>IFERROR(VLOOKUP(MID(N135,Q135,R135-Q135),[6]skilldef!$C:$D,2,FALSE),"-") &amp; " / " &amp; IFERROR(VLOOKUP(MID(N135,O135,P135-O135),[6]skilldef!$A:$B,2,FALSE),"-")</f>
        <v>- / 大攻撃</v>
      </c>
      <c r="T135" s="48" t="str">
        <f t="shared" si="185"/>
        <v>[effect:damage_gravity, val:0.2, animation:fevergauge_down]</v>
      </c>
      <c r="U135" s="64">
        <f t="shared" si="186"/>
        <v>9</v>
      </c>
      <c r="V135" s="64">
        <f t="shared" si="187"/>
        <v>23</v>
      </c>
      <c r="W135" s="64" t="e">
        <f t="shared" si="188"/>
        <v>#VALUE!</v>
      </c>
      <c r="X135" s="64">
        <f t="shared" si="189"/>
        <v>32</v>
      </c>
      <c r="Y135" s="64" t="str">
        <f>IFERROR(VLOOKUP(MID(T135,W135,X135-W135),[6]skilldef!$C:$D,2,FALSE),"-") &amp; " / " &amp; IFERROR(VLOOKUP(MID(T135,U135,V135-U135),[6]skilldef!$A:$B,2,FALSE),"-")</f>
        <v>- / 割合ダメージ</v>
      </c>
      <c r="Z135" s="50"/>
      <c r="AA135" s="52"/>
      <c r="AB135" s="50"/>
    </row>
    <row r="136" spans="1:28" ht="21" customHeight="1" x14ac:dyDescent="0.15">
      <c r="A136" s="114">
        <v>47008564</v>
      </c>
      <c r="B136" s="47" t="s">
        <v>344</v>
      </c>
      <c r="C136" s="50">
        <v>3</v>
      </c>
      <c r="D136" s="50" t="s">
        <v>128</v>
      </c>
      <c r="E136" s="51" t="s">
        <v>480</v>
      </c>
      <c r="F136" s="51" t="s">
        <v>505</v>
      </c>
      <c r="G136" s="64" t="str">
        <f t="shared" si="175"/>
        <v>[effect:enemy_message, val1:1.7, val2:1.8]</v>
      </c>
      <c r="H136" s="64">
        <f t="shared" si="176"/>
        <v>9</v>
      </c>
      <c r="I136" s="64">
        <f t="shared" si="177"/>
        <v>22</v>
      </c>
      <c r="J136" s="64" t="e">
        <f t="shared" si="178"/>
        <v>#VALUE!</v>
      </c>
      <c r="K136" s="64">
        <f t="shared" si="179"/>
        <v>32</v>
      </c>
      <c r="L136" s="64" t="str">
        <f>IFERROR(VLOOKUP(MID(G136,J136,K136-J136),[6]skilldef!$C:$D,2,FALSE),"-") &amp; " / " &amp; IFERROR(VLOOKUP(MID(G136,H136,I136-H136),[6]skilldef!$A:$B,2,FALSE),"-")</f>
        <v>- / -</v>
      </c>
      <c r="M136" s="64" t="str">
        <f t="shared" si="180"/>
        <v>[effect:critical, val:0.4],[effect:damage_gravity, val:0.3, animation:fevergauge_down]</v>
      </c>
      <c r="N136" s="48" t="str">
        <f>IFERROR(LEFT(M136,FIND("],",M136)+S152),M136)</f>
        <v>[effect:critical, val:0.4],[effect:damage_gravity, val:0.3, animation:fevergauge_down]</v>
      </c>
      <c r="O136" s="64">
        <f t="shared" si="181"/>
        <v>9</v>
      </c>
      <c r="P136" s="64">
        <f t="shared" si="182"/>
        <v>17</v>
      </c>
      <c r="Q136" s="64" t="e">
        <f t="shared" si="183"/>
        <v>#VALUE!</v>
      </c>
      <c r="R136" s="64">
        <f t="shared" si="184"/>
        <v>27</v>
      </c>
      <c r="S136" s="64" t="str">
        <f>IFERROR(VLOOKUP(MID(N136,Q136,R136-Q136),[6]skilldef!$C:$D,2,FALSE),"-") &amp; " / " &amp; IFERROR(VLOOKUP(MID(N136,O136,P136-O136),[6]skilldef!$A:$B,2,FALSE),"-")</f>
        <v>- / 大攻撃</v>
      </c>
      <c r="T136" s="48" t="str">
        <f t="shared" si="185"/>
        <v>[effect:damage_gravity, val:0.3, animation:fevergauge_down]</v>
      </c>
      <c r="U136" s="64">
        <f t="shared" si="186"/>
        <v>9</v>
      </c>
      <c r="V136" s="64">
        <f t="shared" si="187"/>
        <v>23</v>
      </c>
      <c r="W136" s="64" t="e">
        <f t="shared" si="188"/>
        <v>#VALUE!</v>
      </c>
      <c r="X136" s="64">
        <f t="shared" si="189"/>
        <v>32</v>
      </c>
      <c r="Y136" s="64" t="str">
        <f>IFERROR(VLOOKUP(MID(T136,W136,X136-W136),[6]skilldef!$C:$D,2,FALSE),"-") &amp; " / " &amp; IFERROR(VLOOKUP(MID(T136,U136,V136-U136),[6]skilldef!$A:$B,2,FALSE),"-")</f>
        <v>- / 割合ダメージ</v>
      </c>
      <c r="Z136" s="50"/>
      <c r="AA136" s="52"/>
      <c r="AB136" s="50"/>
    </row>
    <row r="137" spans="1:28" ht="21" customHeight="1" x14ac:dyDescent="0.15">
      <c r="A137" s="114">
        <v>47008565</v>
      </c>
      <c r="B137" s="47" t="s">
        <v>345</v>
      </c>
      <c r="C137" s="50">
        <v>3</v>
      </c>
      <c r="D137" s="50" t="s">
        <v>128</v>
      </c>
      <c r="E137" s="51" t="s">
        <v>481</v>
      </c>
      <c r="F137" s="51" t="s">
        <v>506</v>
      </c>
      <c r="G137" s="64" t="str">
        <f t="shared" si="175"/>
        <v>[effect:enemy_message, val1:1.4, val2:1.8]</v>
      </c>
      <c r="H137" s="64">
        <f t="shared" si="176"/>
        <v>9</v>
      </c>
      <c r="I137" s="64">
        <f t="shared" si="177"/>
        <v>22</v>
      </c>
      <c r="J137" s="64" t="e">
        <f t="shared" si="178"/>
        <v>#VALUE!</v>
      </c>
      <c r="K137" s="64">
        <f t="shared" si="179"/>
        <v>32</v>
      </c>
      <c r="L137" s="64" t="str">
        <f>IFERROR(VLOOKUP(MID(G137,J137,K137-J137),[6]skilldef!$C:$D,2,FALSE),"-") &amp; " / " &amp; IFERROR(VLOOKUP(MID(G137,H137,I137-H137),[6]skilldef!$A:$B,2,FALSE),"-")</f>
        <v>- / -</v>
      </c>
      <c r="M137" s="64" t="str">
        <f t="shared" si="180"/>
        <v>[effect:critical, val:0.4],[effect:damage_gravity, val:0.4, animation:fevergauge_down]</v>
      </c>
      <c r="N137" s="48" t="str">
        <f>IFERROR(LEFT(M137,FIND("],",M137)+S153),M137)</f>
        <v>[effect:critical, val:0.4],[effect:damage_gravity, val:0.4, animation:fevergauge_down]</v>
      </c>
      <c r="O137" s="64">
        <f t="shared" si="181"/>
        <v>9</v>
      </c>
      <c r="P137" s="64">
        <f t="shared" si="182"/>
        <v>17</v>
      </c>
      <c r="Q137" s="64" t="e">
        <f t="shared" si="183"/>
        <v>#VALUE!</v>
      </c>
      <c r="R137" s="64">
        <f t="shared" si="184"/>
        <v>27</v>
      </c>
      <c r="S137" s="64" t="str">
        <f>IFERROR(VLOOKUP(MID(N137,Q137,R137-Q137),[6]skilldef!$C:$D,2,FALSE),"-") &amp; " / " &amp; IFERROR(VLOOKUP(MID(N137,O137,P137-O137),[6]skilldef!$A:$B,2,FALSE),"-")</f>
        <v>- / 大攻撃</v>
      </c>
      <c r="T137" s="48" t="str">
        <f t="shared" si="185"/>
        <v>[effect:damage_gravity, val:0.4, animation:fevergauge_down]</v>
      </c>
      <c r="U137" s="64">
        <f t="shared" si="186"/>
        <v>9</v>
      </c>
      <c r="V137" s="64">
        <f t="shared" si="187"/>
        <v>23</v>
      </c>
      <c r="W137" s="64" t="e">
        <f t="shared" si="188"/>
        <v>#VALUE!</v>
      </c>
      <c r="X137" s="64">
        <f t="shared" si="189"/>
        <v>32</v>
      </c>
      <c r="Y137" s="64" t="str">
        <f>IFERROR(VLOOKUP(MID(T137,W137,X137-W137),[6]skilldef!$C:$D,2,FALSE),"-") &amp; " / " &amp; IFERROR(VLOOKUP(MID(T137,U137,V137-U137),[6]skilldef!$A:$B,2,FALSE),"-")</f>
        <v>- / 割合ダメージ</v>
      </c>
      <c r="Z137" s="50"/>
      <c r="AA137" s="52"/>
      <c r="AB137" s="50"/>
    </row>
    <row r="138" spans="1:28" ht="49" customHeight="1" x14ac:dyDescent="0.15">
      <c r="A138" s="114">
        <v>47008566</v>
      </c>
      <c r="B138" s="47" t="s">
        <v>346</v>
      </c>
      <c r="C138" s="50">
        <v>3</v>
      </c>
      <c r="D138" s="50" t="s">
        <v>128</v>
      </c>
      <c r="E138" s="51" t="s">
        <v>482</v>
      </c>
      <c r="F138" s="51" t="s">
        <v>279</v>
      </c>
      <c r="G138" s="64" t="str">
        <f t="shared" si="175"/>
        <v>[effect:enemy_message, val1:2.0, val2:1.8]</v>
      </c>
      <c r="H138" s="64">
        <f t="shared" si="176"/>
        <v>9</v>
      </c>
      <c r="I138" s="64">
        <f t="shared" si="177"/>
        <v>22</v>
      </c>
      <c r="J138" s="64" t="e">
        <f t="shared" si="178"/>
        <v>#VALUE!</v>
      </c>
      <c r="K138" s="64">
        <f t="shared" si="179"/>
        <v>32</v>
      </c>
      <c r="L138" s="64" t="str">
        <f>IFERROR(VLOOKUP(MID(G138,J138,K138-J138),[6]skilldef!$C:$D,2,FALSE),"-") &amp; " / " &amp; IFERROR(VLOOKUP(MID(G138,H138,I138-H138),[6]skilldef!$A:$B,2,FALSE),"-")</f>
        <v>- / -</v>
      </c>
      <c r="M138" s="64" t="str">
        <f t="shared" si="180"/>
        <v>[effect:critical, val:0.4],[effect:damage_gravity, val:0.5, animation:fevergauge_down]</v>
      </c>
      <c r="N138" s="48" t="str">
        <f t="shared" ref="N138:N144" si="193">IFERROR(LEFT(M138,FIND("],",M138)+S160),M138)</f>
        <v>[effect:critical, val:0.4],[effect:damage_gravity, val:0.5, animation:fevergauge_down]</v>
      </c>
      <c r="O138" s="64">
        <f t="shared" si="181"/>
        <v>9</v>
      </c>
      <c r="P138" s="64">
        <f t="shared" si="182"/>
        <v>17</v>
      </c>
      <c r="Q138" s="64" t="e">
        <f t="shared" si="183"/>
        <v>#VALUE!</v>
      </c>
      <c r="R138" s="64">
        <f t="shared" si="184"/>
        <v>27</v>
      </c>
      <c r="S138" s="64" t="str">
        <f>IFERROR(VLOOKUP(MID(N138,Q138,R138-Q138),[6]skilldef!$C:$D,2,FALSE),"-") &amp; " / " &amp; IFERROR(VLOOKUP(MID(N138,O138,P138-O138),[6]skilldef!$A:$B,2,FALSE),"-")</f>
        <v>- / 大攻撃</v>
      </c>
      <c r="T138" s="48" t="str">
        <f t="shared" si="185"/>
        <v>[effect:damage_gravity, val:0.5, animation:fevergauge_down]</v>
      </c>
      <c r="U138" s="64">
        <f t="shared" si="186"/>
        <v>9</v>
      </c>
      <c r="V138" s="64">
        <f t="shared" si="187"/>
        <v>23</v>
      </c>
      <c r="W138" s="64" t="e">
        <f t="shared" si="188"/>
        <v>#VALUE!</v>
      </c>
      <c r="X138" s="64">
        <f t="shared" si="189"/>
        <v>32</v>
      </c>
      <c r="Y138" s="64" t="str">
        <f>IFERROR(VLOOKUP(MID(T138,W138,X138-W138),[6]skilldef!$C:$D,2,FALSE),"-") &amp; " / " &amp; IFERROR(VLOOKUP(MID(T138,U138,V138-U138),[6]skilldef!$A:$B,2,FALSE),"-")</f>
        <v>- / 割合ダメージ</v>
      </c>
      <c r="Z138" s="50"/>
      <c r="AA138" s="52"/>
      <c r="AB138" s="50"/>
    </row>
    <row r="139" spans="1:28" ht="34" customHeight="1" x14ac:dyDescent="0.15">
      <c r="A139" s="114">
        <v>47008567</v>
      </c>
      <c r="B139" s="47" t="s">
        <v>449</v>
      </c>
      <c r="C139" s="50">
        <v>3</v>
      </c>
      <c r="D139" s="50" t="s">
        <v>128</v>
      </c>
      <c r="E139" s="51" t="s">
        <v>483</v>
      </c>
      <c r="F139" s="51" t="s">
        <v>507</v>
      </c>
      <c r="G139" s="64" t="str">
        <f t="shared" si="175"/>
        <v>[effect:enemy_message, val1:1.3, val2:4.1]</v>
      </c>
      <c r="H139" s="64">
        <f t="shared" si="176"/>
        <v>9</v>
      </c>
      <c r="I139" s="64">
        <f t="shared" si="177"/>
        <v>22</v>
      </c>
      <c r="J139" s="64" t="e">
        <f t="shared" si="178"/>
        <v>#VALUE!</v>
      </c>
      <c r="K139" s="64">
        <f t="shared" si="179"/>
        <v>32</v>
      </c>
      <c r="L139" s="64" t="str">
        <f>IFERROR(VLOOKUP(MID(G139,J139,K139-J139),[6]skilldef!$C:$D,2,FALSE),"-") &amp; " / " &amp; IFERROR(VLOOKUP(MID(G139,H139,I139-H139),[6]skilldef!$A:$B,2,FALSE),"-")</f>
        <v>- / -</v>
      </c>
      <c r="M139" s="64" t="str">
        <f t="shared" si="180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N139" s="48" t="str">
        <f t="shared" si="193"/>
        <v>[effect:force_change_block, new_block:block_heart, target:block_all, ignore01:crash, ignore02:crack_bomb, ignore03:color_break, ignore04:magnet, ignore05:block_heart, count:10, val:0],[effect:panel_freeze,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O139" s="64">
        <f t="shared" si="181"/>
        <v>9</v>
      </c>
      <c r="P139" s="64">
        <f t="shared" si="182"/>
        <v>27</v>
      </c>
      <c r="Q139" s="64">
        <f t="shared" si="183"/>
        <v>59</v>
      </c>
      <c r="R139" s="64">
        <f t="shared" si="184"/>
        <v>50</v>
      </c>
      <c r="S139" s="64" t="str">
        <f>IFERROR(VLOOKUP(MID(N139,Q139,R139-Q139),[6]skilldef!$C:$D,2,FALSE),"-") &amp; " / " &amp; IFERROR(VLOOKUP(MID(N139,O139,P139-O139),[6]skilldef!$A:$B,2,FALSE),"-")</f>
        <v>- / -</v>
      </c>
      <c r="T139" s="48" t="str">
        <f t="shared" si="185"/>
        <v>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U139" s="64">
        <f t="shared" si="186"/>
        <v>9</v>
      </c>
      <c r="V139" s="64">
        <f t="shared" si="187"/>
        <v>21</v>
      </c>
      <c r="W139" s="64">
        <f t="shared" si="188"/>
        <v>30</v>
      </c>
      <c r="X139" s="64">
        <f t="shared" si="189"/>
        <v>36</v>
      </c>
      <c r="Y139" s="64" t="str">
        <f>IFERROR(VLOOKUP(MID(T139,W139,X139-W139),[6]skilldef!$C:$D,2,FALSE),"-") &amp; " / " &amp; IFERROR(VLOOKUP(MID(T139,U139,V139-U139),[6]skilldef!$A:$B,2,FALSE),"-")</f>
        <v>- / -</v>
      </c>
      <c r="Z139" s="50"/>
      <c r="AA139" s="52"/>
      <c r="AB139" s="50"/>
    </row>
    <row r="140" spans="1:28" ht="21" customHeight="1" x14ac:dyDescent="0.15">
      <c r="A140" s="114">
        <v>47008568</v>
      </c>
      <c r="B140" s="47" t="s">
        <v>407</v>
      </c>
      <c r="C140" s="50">
        <v>3</v>
      </c>
      <c r="D140" s="50" t="s">
        <v>128</v>
      </c>
      <c r="E140" s="51" t="s">
        <v>484</v>
      </c>
      <c r="F140" s="51" t="s">
        <v>508</v>
      </c>
      <c r="G140" s="64" t="str">
        <f t="shared" si="175"/>
        <v>[effect:enemy_message, val1:1.3, val2:2.5]</v>
      </c>
      <c r="H140" s="64">
        <f t="shared" si="176"/>
        <v>9</v>
      </c>
      <c r="I140" s="64">
        <f t="shared" si="177"/>
        <v>22</v>
      </c>
      <c r="J140" s="64" t="e">
        <f t="shared" si="178"/>
        <v>#VALUE!</v>
      </c>
      <c r="K140" s="64">
        <f t="shared" si="179"/>
        <v>32</v>
      </c>
      <c r="L140" s="64" t="str">
        <f>IFERROR(VLOOKUP(MID(G140,J140,K140-J140),[6]skilldef!$C:$D,2,FALSE),"-") &amp; " / " &amp; IFERROR(VLOOKUP(MID(G140,H140,I140-H140),[6]skilldef!$A:$B,2,FALSE),"-")</f>
        <v>- / -</v>
      </c>
      <c r="M140" s="64" t="str">
        <f t="shared" si="180"/>
        <v>[effect:degrade_unit, target:unit_all, turn:1, status:attack, val:0.5, calc:mul],[effect:critical, val:1.0]</v>
      </c>
      <c r="N140" s="48" t="str">
        <f t="shared" si="193"/>
        <v>[effect:degrade_unit, target:unit_all, turn:1, status:attack, val:0.5, calc:mul]</v>
      </c>
      <c r="O140" s="64">
        <f t="shared" si="181"/>
        <v>9</v>
      </c>
      <c r="P140" s="64">
        <f t="shared" si="182"/>
        <v>21</v>
      </c>
      <c r="Q140" s="64">
        <f t="shared" si="183"/>
        <v>30</v>
      </c>
      <c r="R140" s="64">
        <f t="shared" si="184"/>
        <v>38</v>
      </c>
      <c r="S140" s="64" t="str">
        <f>IFERROR(VLOOKUP(MID(N140,Q140,R140-Q140),[6]skilldef!$C:$D,2,FALSE),"-") &amp; " / " &amp; IFERROR(VLOOKUP(MID(N140,O140,P140-O140),[6]skilldef!$A:$B,2,FALSE),"-")</f>
        <v>味方全体に / ステータスDOWN</v>
      </c>
      <c r="T140" s="48" t="str">
        <f t="shared" si="185"/>
        <v>[effect:critical, val:1.0]</v>
      </c>
      <c r="U140" s="64">
        <f t="shared" si="186"/>
        <v>9</v>
      </c>
      <c r="V140" s="64">
        <f t="shared" si="187"/>
        <v>17</v>
      </c>
      <c r="W140" s="64" t="e">
        <f t="shared" si="188"/>
        <v>#VALUE!</v>
      </c>
      <c r="X140" s="64" t="e">
        <f t="shared" si="189"/>
        <v>#VALUE!</v>
      </c>
      <c r="Y140" s="64" t="str">
        <f>IFERROR(VLOOKUP(MID(T140,W140,X140-W140),[6]skilldef!$C:$D,2,FALSE),"-") &amp; " / " &amp; IFERROR(VLOOKUP(MID(T140,U140,V140-U140),[6]skilldef!$A:$B,2,FALSE),"-")</f>
        <v>- / 大攻撃</v>
      </c>
      <c r="Z140" s="50"/>
      <c r="AA140" s="52"/>
      <c r="AB140" s="50"/>
    </row>
    <row r="141" spans="1:28" ht="21" customHeight="1" x14ac:dyDescent="0.15">
      <c r="A141" s="114">
        <v>47008569</v>
      </c>
      <c r="B141" s="47" t="s">
        <v>347</v>
      </c>
      <c r="C141" s="50">
        <v>3</v>
      </c>
      <c r="D141" s="50" t="s">
        <v>128</v>
      </c>
      <c r="E141" s="51" t="s">
        <v>485</v>
      </c>
      <c r="F141" s="51" t="s">
        <v>509</v>
      </c>
      <c r="G141" s="64" t="str">
        <f t="shared" si="175"/>
        <v>[effect:enemy_message, val1:1.2, val2:2.0]</v>
      </c>
      <c r="H141" s="64">
        <f t="shared" si="176"/>
        <v>9</v>
      </c>
      <c r="I141" s="64">
        <f t="shared" si="177"/>
        <v>22</v>
      </c>
      <c r="J141" s="64" t="e">
        <f t="shared" si="178"/>
        <v>#VALUE!</v>
      </c>
      <c r="K141" s="64">
        <f t="shared" si="179"/>
        <v>32</v>
      </c>
      <c r="L141" s="64" t="str">
        <f>IFERROR(VLOOKUP(MID(G141,J141,K141-J141),[6]skilldef!$C:$D,2,FALSE),"-") &amp; " / " &amp; IFERROR(VLOOKUP(MID(G141,H141,I141-H141),[6]skilldef!$A:$B,2,FALSE),"-")</f>
        <v>- / -</v>
      </c>
      <c r="M141" s="64" t="str">
        <f t="shared" si="180"/>
        <v>none</v>
      </c>
      <c r="N141" s="48" t="str">
        <f t="shared" si="193"/>
        <v>none</v>
      </c>
      <c r="O141" s="64" t="e">
        <f t="shared" si="181"/>
        <v>#VALUE!</v>
      </c>
      <c r="P141" s="64">
        <f t="shared" si="182"/>
        <v>4</v>
      </c>
      <c r="Q141" s="64" t="e">
        <f t="shared" si="183"/>
        <v>#VALUE!</v>
      </c>
      <c r="R141" s="64" t="e">
        <f t="shared" si="184"/>
        <v>#VALUE!</v>
      </c>
      <c r="S141" s="64" t="str">
        <f>IFERROR(VLOOKUP(MID(N141,Q141,R141-Q141),[6]skilldef!$C:$D,2,FALSE),"-") &amp; " / " &amp; IFERROR(VLOOKUP(MID(N141,O141,P141-O141),[6]skilldef!$A:$B,2,FALSE),"-")</f>
        <v>- / -</v>
      </c>
      <c r="T141" s="48" t="str">
        <f t="shared" si="185"/>
        <v>none</v>
      </c>
      <c r="U141" s="64" t="e">
        <f t="shared" si="186"/>
        <v>#VALUE!</v>
      </c>
      <c r="V141" s="64">
        <f t="shared" si="187"/>
        <v>4</v>
      </c>
      <c r="W141" s="64" t="e">
        <f t="shared" si="188"/>
        <v>#VALUE!</v>
      </c>
      <c r="X141" s="64" t="e">
        <f t="shared" si="189"/>
        <v>#VALUE!</v>
      </c>
      <c r="Y141" s="64" t="str">
        <f>IFERROR(VLOOKUP(MID(T141,W141,X141-W141),[6]skilldef!$C:$D,2,FALSE),"-") &amp; " / " &amp; IFERROR(VLOOKUP(MID(T141,U141,V141-U141),[6]skilldef!$A:$B,2,FALSE),"-")</f>
        <v>- / -</v>
      </c>
      <c r="Z141" s="50"/>
      <c r="AA141" s="52"/>
      <c r="AB141" s="50"/>
    </row>
    <row r="142" spans="1:28" ht="42" customHeight="1" x14ac:dyDescent="0.15">
      <c r="A142" s="114">
        <v>47008570</v>
      </c>
      <c r="B142" s="47" t="s">
        <v>556</v>
      </c>
      <c r="C142" s="50">
        <v>3</v>
      </c>
      <c r="D142" s="50" t="s">
        <v>128</v>
      </c>
      <c r="E142" s="51" t="s">
        <v>523</v>
      </c>
      <c r="F142" s="51" t="s">
        <v>510</v>
      </c>
      <c r="G142" s="64" t="str">
        <f t="shared" si="175"/>
        <v>[effect:enemy_message, val1:2.0, val2:1.4]</v>
      </c>
      <c r="H142" s="64">
        <f t="shared" si="176"/>
        <v>9</v>
      </c>
      <c r="I142" s="64">
        <f t="shared" si="177"/>
        <v>22</v>
      </c>
      <c r="J142" s="64" t="e">
        <f t="shared" si="178"/>
        <v>#VALUE!</v>
      </c>
      <c r="K142" s="64">
        <f t="shared" si="179"/>
        <v>32</v>
      </c>
      <c r="L142" s="64" t="str">
        <f>IFERROR(VLOOKUP(MID(G142,J142,K142-J142),[6]skilldef!$C:$D,2,FALSE),"-") &amp; " / " &amp; IFERROR(VLOOKUP(MID(G142,H142,I142-H142),[6]skilldef!$A:$B,2,FALSE),"-")</f>
        <v>- / -</v>
      </c>
      <c r="M142" s="64" t="str">
        <f t="shared" si="180"/>
        <v>[effect:damage_gravity, val:2.0, animation:fevergauge_down]</v>
      </c>
      <c r="N142" s="48" t="str">
        <f t="shared" si="193"/>
        <v>[effect:damage_gravity, val:2.0, animation:fevergauge_down]</v>
      </c>
      <c r="O142" s="64">
        <f t="shared" si="181"/>
        <v>9</v>
      </c>
      <c r="P142" s="64">
        <f t="shared" si="182"/>
        <v>23</v>
      </c>
      <c r="Q142" s="64" t="e">
        <f t="shared" si="183"/>
        <v>#VALUE!</v>
      </c>
      <c r="R142" s="64">
        <f t="shared" si="184"/>
        <v>32</v>
      </c>
      <c r="S142" s="64" t="str">
        <f>IFERROR(VLOOKUP(MID(N142,Q142,R142-Q142),[6]skilldef!$C:$D,2,FALSE),"-") &amp; " / " &amp; IFERROR(VLOOKUP(MID(N142,O142,P142-O142),[6]skilldef!$A:$B,2,FALSE),"-")</f>
        <v>- / 割合ダメージ</v>
      </c>
      <c r="T142" s="48" t="str">
        <f t="shared" si="185"/>
        <v>none</v>
      </c>
      <c r="U142" s="64" t="e">
        <f t="shared" si="186"/>
        <v>#VALUE!</v>
      </c>
      <c r="V142" s="64">
        <f t="shared" si="187"/>
        <v>4</v>
      </c>
      <c r="W142" s="64" t="e">
        <f t="shared" si="188"/>
        <v>#VALUE!</v>
      </c>
      <c r="X142" s="64" t="e">
        <f t="shared" si="189"/>
        <v>#VALUE!</v>
      </c>
      <c r="Y142" s="64" t="str">
        <f>IFERROR(VLOOKUP(MID(T142,W142,X142-W142),[6]skilldef!$C:$D,2,FALSE),"-") &amp; " / " &amp; IFERROR(VLOOKUP(MID(T142,U142,V142-U142),[6]skilldef!$A:$B,2,FALSE),"-")</f>
        <v>- / -</v>
      </c>
      <c r="Z142" s="50"/>
      <c r="AA142" s="52"/>
      <c r="AB142" s="50"/>
    </row>
    <row r="143" spans="1:28" ht="42" customHeight="1" x14ac:dyDescent="0.15">
      <c r="A143" s="114">
        <v>47008574</v>
      </c>
      <c r="B143" s="47" t="s">
        <v>559</v>
      </c>
      <c r="C143" s="50">
        <v>3</v>
      </c>
      <c r="D143" s="50" t="s">
        <v>128</v>
      </c>
      <c r="E143" s="51" t="s">
        <v>524</v>
      </c>
      <c r="F143" s="51" t="s">
        <v>531</v>
      </c>
      <c r="G143" s="64" t="str">
        <f t="shared" si="175"/>
        <v>[effect:enemy_message, val1:2.7, val2:2.0, dead_type:escape]</v>
      </c>
      <c r="H143" s="64">
        <f t="shared" si="176"/>
        <v>9</v>
      </c>
      <c r="I143" s="64">
        <f t="shared" si="177"/>
        <v>22</v>
      </c>
      <c r="J143" s="64" t="e">
        <f t="shared" si="178"/>
        <v>#VALUE!</v>
      </c>
      <c r="K143" s="64">
        <f t="shared" si="179"/>
        <v>32</v>
      </c>
      <c r="L143" s="64" t="str">
        <f>IFERROR(VLOOKUP(MID(G143,J143,K143-J143),[6]skilldef!$C:$D,2,FALSE),"-") &amp; " / " &amp; IFERROR(VLOOKUP(MID(G143,H143,I143-H143),[6]skilldef!$A:$B,2,FALSE),"-")</f>
        <v>- / -</v>
      </c>
      <c r="M143" s="64" t="str">
        <f t="shared" si="180"/>
        <v>none</v>
      </c>
      <c r="N143" s="48" t="str">
        <f t="shared" si="193"/>
        <v>none</v>
      </c>
      <c r="O143" s="64" t="e">
        <f t="shared" si="181"/>
        <v>#VALUE!</v>
      </c>
      <c r="P143" s="64">
        <f t="shared" si="182"/>
        <v>4</v>
      </c>
      <c r="Q143" s="64" t="e">
        <f t="shared" si="183"/>
        <v>#VALUE!</v>
      </c>
      <c r="R143" s="64" t="e">
        <f t="shared" si="184"/>
        <v>#VALUE!</v>
      </c>
      <c r="S143" s="64" t="str">
        <f>IFERROR(VLOOKUP(MID(N143,Q143,R143-Q143),[6]skilldef!$C:$D,2,FALSE),"-") &amp; " / " &amp; IFERROR(VLOOKUP(MID(N143,O143,P143-O143),[6]skilldef!$A:$B,2,FALSE),"-")</f>
        <v>- / -</v>
      </c>
      <c r="T143" s="48" t="str">
        <f t="shared" si="185"/>
        <v>none</v>
      </c>
      <c r="U143" s="64" t="e">
        <f t="shared" si="186"/>
        <v>#VALUE!</v>
      </c>
      <c r="V143" s="64">
        <f t="shared" si="187"/>
        <v>4</v>
      </c>
      <c r="W143" s="64" t="e">
        <f t="shared" si="188"/>
        <v>#VALUE!</v>
      </c>
      <c r="X143" s="64" t="e">
        <f t="shared" si="189"/>
        <v>#VALUE!</v>
      </c>
      <c r="Y143" s="64" t="str">
        <f>IFERROR(VLOOKUP(MID(T143,W143,X143-W143),[6]skilldef!$C:$D,2,FALSE),"-") &amp; " / " &amp; IFERROR(VLOOKUP(MID(T143,U143,V143-U143),[6]skilldef!$A:$B,2,FALSE),"-")</f>
        <v>- / -</v>
      </c>
      <c r="Z143" s="50"/>
      <c r="AA143" s="52"/>
      <c r="AB143" s="50"/>
    </row>
    <row r="144" spans="1:28" ht="21" customHeight="1" x14ac:dyDescent="0.15">
      <c r="A144" s="114">
        <v>47008575</v>
      </c>
      <c r="B144" s="47" t="s">
        <v>538</v>
      </c>
      <c r="C144" s="50">
        <v>3</v>
      </c>
      <c r="D144" s="50" t="s">
        <v>128</v>
      </c>
      <c r="E144" s="51" t="s">
        <v>488</v>
      </c>
      <c r="F144" s="51" t="s">
        <v>511</v>
      </c>
      <c r="G144" s="64" t="str">
        <f t="shared" si="175"/>
        <v>[effect:enemy_message, val1:1.9, val2:1.3]</v>
      </c>
      <c r="H144" s="64">
        <f t="shared" si="176"/>
        <v>9</v>
      </c>
      <c r="I144" s="64">
        <f t="shared" si="177"/>
        <v>22</v>
      </c>
      <c r="J144" s="64" t="e">
        <f t="shared" si="178"/>
        <v>#VALUE!</v>
      </c>
      <c r="K144" s="64">
        <f t="shared" si="179"/>
        <v>32</v>
      </c>
      <c r="L144" s="64" t="str">
        <f>IFERROR(VLOOKUP(MID(G144,J144,K144-J144),[6]skilldef!$C:$D,2,FALSE),"-") &amp; " / " &amp; IFERROR(VLOOKUP(MID(G144,H144,I144-H144),[6]skilldef!$A:$B,2,FALSE),"-")</f>
        <v>- / -</v>
      </c>
      <c r="M144" s="64" t="str">
        <f t="shared" si="180"/>
        <v>[effect:damage_fix_absolute, target:unit_one, val:14106]</v>
      </c>
      <c r="N144" s="48" t="str">
        <f t="shared" si="193"/>
        <v>[effect:damage_fix_absolute, target:unit_one, val:14106]</v>
      </c>
      <c r="O144" s="64">
        <f t="shared" si="181"/>
        <v>9</v>
      </c>
      <c r="P144" s="64">
        <f t="shared" si="182"/>
        <v>28</v>
      </c>
      <c r="Q144" s="64">
        <f t="shared" si="183"/>
        <v>37</v>
      </c>
      <c r="R144" s="64">
        <f t="shared" si="184"/>
        <v>45</v>
      </c>
      <c r="S144" s="64" t="str">
        <f>IFERROR(VLOOKUP(MID(N144,Q144,R144-Q144),[6]skilldef!$C:$D,2,FALSE),"-") &amp; " / " &amp; IFERROR(VLOOKUP(MID(N144,O144,P144-O144),[6]skilldef!$A:$B,2,FALSE),"-")</f>
        <v>味方単体に / -</v>
      </c>
      <c r="T144" s="48" t="str">
        <f t="shared" si="185"/>
        <v>none</v>
      </c>
      <c r="U144" s="64" t="e">
        <f t="shared" si="186"/>
        <v>#VALUE!</v>
      </c>
      <c r="V144" s="64">
        <f t="shared" si="187"/>
        <v>4</v>
      </c>
      <c r="W144" s="64" t="e">
        <f t="shared" si="188"/>
        <v>#VALUE!</v>
      </c>
      <c r="X144" s="64" t="e">
        <f t="shared" si="189"/>
        <v>#VALUE!</v>
      </c>
      <c r="Y144" s="64" t="str">
        <f>IFERROR(VLOOKUP(MID(T144,W144,X144-W144),[6]skilldef!$C:$D,2,FALSE),"-") &amp; " / " &amp; IFERROR(VLOOKUP(MID(T144,U144,V144-U144),[6]skilldef!$A:$B,2,FALSE),"-")</f>
        <v>- / -</v>
      </c>
      <c r="Z144" s="50"/>
      <c r="AA144" s="52"/>
      <c r="AB144" s="50"/>
    </row>
    <row r="145" spans="1:28" ht="21" customHeight="1" x14ac:dyDescent="0.15">
      <c r="A145" s="114">
        <v>47008577</v>
      </c>
      <c r="B145" s="47" t="s">
        <v>560</v>
      </c>
      <c r="C145" s="50">
        <v>3</v>
      </c>
      <c r="D145" s="50" t="s">
        <v>128</v>
      </c>
      <c r="E145" s="51" t="s">
        <v>525</v>
      </c>
      <c r="F145" s="51" t="s">
        <v>532</v>
      </c>
      <c r="G145" s="64" t="str">
        <f t="shared" si="175"/>
        <v>[effect:enemy_message, val1:1.7, val2:1.7, dead_type:escape]</v>
      </c>
      <c r="H145" s="64">
        <f t="shared" si="176"/>
        <v>9</v>
      </c>
      <c r="I145" s="64">
        <f t="shared" si="177"/>
        <v>22</v>
      </c>
      <c r="J145" s="64" t="e">
        <f t="shared" si="178"/>
        <v>#VALUE!</v>
      </c>
      <c r="K145" s="64">
        <f t="shared" si="179"/>
        <v>32</v>
      </c>
      <c r="L145" s="64" t="str">
        <f>IFERROR(VLOOKUP(MID(G145,J145,K145-J145),[6]skilldef!$C:$D,2,FALSE),"-") &amp; " / " &amp; IFERROR(VLOOKUP(MID(G145,H145,I145-H145),[6]skilldef!$A:$B,2,FALSE),"-")</f>
        <v>- / -</v>
      </c>
      <c r="M145" s="64" t="str">
        <f t="shared" si="180"/>
        <v>none</v>
      </c>
      <c r="N145" s="48" t="str">
        <f>IFERROR(LEFT(M145,FIND("],",M145)+S162),M145)</f>
        <v>none</v>
      </c>
      <c r="O145" s="64" t="e">
        <f t="shared" si="181"/>
        <v>#VALUE!</v>
      </c>
      <c r="P145" s="64">
        <f t="shared" si="182"/>
        <v>4</v>
      </c>
      <c r="Q145" s="64" t="e">
        <f t="shared" si="183"/>
        <v>#VALUE!</v>
      </c>
      <c r="R145" s="64" t="e">
        <f t="shared" si="184"/>
        <v>#VALUE!</v>
      </c>
      <c r="S145" s="64" t="str">
        <f>IFERROR(VLOOKUP(MID(N145,Q145,R145-Q145),[6]skilldef!$C:$D,2,FALSE),"-") &amp; " / " &amp; IFERROR(VLOOKUP(MID(N145,O145,P145-O145),[6]skilldef!$A:$B,2,FALSE),"-")</f>
        <v>- / -</v>
      </c>
      <c r="T145" s="48" t="str">
        <f t="shared" si="185"/>
        <v>none</v>
      </c>
      <c r="U145" s="64" t="e">
        <f t="shared" si="186"/>
        <v>#VALUE!</v>
      </c>
      <c r="V145" s="64">
        <f t="shared" si="187"/>
        <v>4</v>
      </c>
      <c r="W145" s="64" t="e">
        <f t="shared" si="188"/>
        <v>#VALUE!</v>
      </c>
      <c r="X145" s="64" t="e">
        <f t="shared" si="189"/>
        <v>#VALUE!</v>
      </c>
      <c r="Y145" s="64" t="str">
        <f>IFERROR(VLOOKUP(MID(T145,W145,X145-W145),[6]skilldef!$C:$D,2,FALSE),"-") &amp; " / " &amp; IFERROR(VLOOKUP(MID(T145,U145,V145-U145),[6]skilldef!$A:$B,2,FALSE),"-")</f>
        <v>- / -</v>
      </c>
      <c r="Z145" s="50"/>
      <c r="AA145" s="52"/>
      <c r="AB145" s="50"/>
    </row>
    <row r="146" spans="1:28" ht="21" customHeight="1" x14ac:dyDescent="0.15">
      <c r="A146" s="114">
        <v>47008578</v>
      </c>
      <c r="B146" s="47" t="s">
        <v>561</v>
      </c>
      <c r="C146" s="50">
        <v>3</v>
      </c>
      <c r="D146" s="50" t="s">
        <v>128</v>
      </c>
      <c r="E146" s="51" t="s">
        <v>526</v>
      </c>
      <c r="F146" s="51" t="s">
        <v>533</v>
      </c>
      <c r="G146" s="64" t="str">
        <f t="shared" si="175"/>
        <v>[effect:enemy_message, val1:1.7, val2:1.9, dead_type:escape]</v>
      </c>
      <c r="H146" s="64">
        <f t="shared" si="176"/>
        <v>9</v>
      </c>
      <c r="I146" s="64">
        <f t="shared" si="177"/>
        <v>22</v>
      </c>
      <c r="J146" s="64" t="e">
        <f t="shared" si="178"/>
        <v>#VALUE!</v>
      </c>
      <c r="K146" s="64">
        <f t="shared" si="179"/>
        <v>32</v>
      </c>
      <c r="L146" s="64" t="str">
        <f>IFERROR(VLOOKUP(MID(G146,J146,K146-J146),[6]skilldef!$C:$D,2,FALSE),"-") &amp; " / " &amp; IFERROR(VLOOKUP(MID(G146,H146,I146-H146),[6]skilldef!$A:$B,2,FALSE),"-")</f>
        <v>- / -</v>
      </c>
      <c r="M146" s="64" t="str">
        <f t="shared" si="180"/>
        <v>none</v>
      </c>
      <c r="N146" s="48" t="str">
        <f>IFERROR(LEFT(M146,FIND("],",M146)+#REF!),M146)</f>
        <v>none</v>
      </c>
      <c r="O146" s="64" t="e">
        <f t="shared" si="181"/>
        <v>#VALUE!</v>
      </c>
      <c r="P146" s="64">
        <f t="shared" si="182"/>
        <v>4</v>
      </c>
      <c r="Q146" s="64" t="e">
        <f t="shared" si="183"/>
        <v>#VALUE!</v>
      </c>
      <c r="R146" s="64" t="e">
        <f t="shared" si="184"/>
        <v>#VALUE!</v>
      </c>
      <c r="S146" s="64" t="str">
        <f>IFERROR(VLOOKUP(MID(N146,Q146,R146-Q146),[6]skilldef!$C:$D,2,FALSE),"-") &amp; " / " &amp; IFERROR(VLOOKUP(MID(N146,O146,P146-O146),[6]skilldef!$A:$B,2,FALSE),"-")</f>
        <v>- / -</v>
      </c>
      <c r="T146" s="48" t="str">
        <f t="shared" si="185"/>
        <v>none</v>
      </c>
      <c r="U146" s="64" t="e">
        <f t="shared" si="186"/>
        <v>#VALUE!</v>
      </c>
      <c r="V146" s="64">
        <f t="shared" si="187"/>
        <v>4</v>
      </c>
      <c r="W146" s="64" t="e">
        <f t="shared" si="188"/>
        <v>#VALUE!</v>
      </c>
      <c r="X146" s="64" t="e">
        <f t="shared" si="189"/>
        <v>#VALUE!</v>
      </c>
      <c r="Y146" s="64" t="str">
        <f>IFERROR(VLOOKUP(MID(T146,W146,X146-W146),[6]skilldef!$C:$D,2,FALSE),"-") &amp; " / " &amp; IFERROR(VLOOKUP(MID(T146,U146,V146-U146),[6]skilldef!$A:$B,2,FALSE),"-")</f>
        <v>- / -</v>
      </c>
      <c r="Z146" s="50"/>
      <c r="AA146" s="52"/>
      <c r="AB146" s="50"/>
    </row>
    <row r="147" spans="1:28" ht="42" customHeight="1" x14ac:dyDescent="0.15">
      <c r="A147" s="114">
        <v>47008579</v>
      </c>
      <c r="B147" s="47" t="s">
        <v>558</v>
      </c>
      <c r="C147" s="50">
        <v>3</v>
      </c>
      <c r="D147" s="50" t="s">
        <v>128</v>
      </c>
      <c r="E147" s="51" t="s">
        <v>527</v>
      </c>
      <c r="F147" s="51" t="s">
        <v>534</v>
      </c>
      <c r="G147" s="64" t="str">
        <f t="shared" si="175"/>
        <v>[effect:enemy_message, val1:2.5, val2:2.1, dead_type:escape]</v>
      </c>
      <c r="H147" s="64">
        <f t="shared" si="176"/>
        <v>9</v>
      </c>
      <c r="I147" s="64">
        <f t="shared" si="177"/>
        <v>22</v>
      </c>
      <c r="J147" s="64" t="e">
        <f t="shared" si="178"/>
        <v>#VALUE!</v>
      </c>
      <c r="K147" s="64">
        <f t="shared" si="179"/>
        <v>32</v>
      </c>
      <c r="L147" s="64" t="str">
        <f>IFERROR(VLOOKUP(MID(G147,J147,K147-J147),[6]skilldef!$C:$D,2,FALSE),"-") &amp; " / " &amp; IFERROR(VLOOKUP(MID(G147,H147,I147-H147),[6]skilldef!$A:$B,2,FALSE),"-")</f>
        <v>- / -</v>
      </c>
      <c r="M147" s="64" t="str">
        <f t="shared" si="180"/>
        <v>none</v>
      </c>
      <c r="N147" s="48" t="str">
        <f>IFERROR(LEFT(M147,FIND("],",M147)+S170),M147)</f>
        <v>none</v>
      </c>
      <c r="O147" s="64" t="e">
        <f t="shared" si="181"/>
        <v>#VALUE!</v>
      </c>
      <c r="P147" s="64">
        <f t="shared" si="182"/>
        <v>4</v>
      </c>
      <c r="Q147" s="64" t="e">
        <f t="shared" si="183"/>
        <v>#VALUE!</v>
      </c>
      <c r="R147" s="64" t="e">
        <f t="shared" si="184"/>
        <v>#VALUE!</v>
      </c>
      <c r="S147" s="64" t="str">
        <f>IFERROR(VLOOKUP(MID(N147,Q147,R147-Q147),[6]skilldef!$C:$D,2,FALSE),"-") &amp; " / " &amp; IFERROR(VLOOKUP(MID(N147,O147,P147-O147),[6]skilldef!$A:$B,2,FALSE),"-")</f>
        <v>- / -</v>
      </c>
      <c r="T147" s="48" t="str">
        <f t="shared" si="185"/>
        <v>none</v>
      </c>
      <c r="U147" s="64" t="e">
        <f t="shared" si="186"/>
        <v>#VALUE!</v>
      </c>
      <c r="V147" s="64">
        <f t="shared" si="187"/>
        <v>4</v>
      </c>
      <c r="W147" s="64" t="e">
        <f t="shared" si="188"/>
        <v>#VALUE!</v>
      </c>
      <c r="X147" s="64" t="e">
        <f t="shared" si="189"/>
        <v>#VALUE!</v>
      </c>
      <c r="Y147" s="64" t="str">
        <f>IFERROR(VLOOKUP(MID(T147,W147,X147-W147),[6]skilldef!$C:$D,2,FALSE),"-") &amp; " / " &amp; IFERROR(VLOOKUP(MID(T147,U147,V147-U147),[6]skilldef!$A:$B,2,FALSE),"-")</f>
        <v>- / -</v>
      </c>
      <c r="Z147" s="50"/>
      <c r="AA147" s="52"/>
      <c r="AB147" s="50"/>
    </row>
    <row r="148" spans="1:28" ht="49" customHeight="1" x14ac:dyDescent="0.15">
      <c r="A148" s="114">
        <v>47008581</v>
      </c>
      <c r="B148" s="47" t="s">
        <v>408</v>
      </c>
      <c r="C148" s="50">
        <v>3</v>
      </c>
      <c r="D148" s="50" t="s">
        <v>128</v>
      </c>
      <c r="E148" s="51" t="s">
        <v>491</v>
      </c>
      <c r="F148" s="51" t="s">
        <v>279</v>
      </c>
      <c r="G148" s="64" t="str">
        <f t="shared" si="175"/>
        <v>[effect:enemy_message, val1:1.2, val2:1.8]</v>
      </c>
      <c r="H148" s="64">
        <f t="shared" si="176"/>
        <v>9</v>
      </c>
      <c r="I148" s="64">
        <f t="shared" si="177"/>
        <v>22</v>
      </c>
      <c r="J148" s="64" t="e">
        <f t="shared" si="178"/>
        <v>#VALUE!</v>
      </c>
      <c r="K148" s="64">
        <f t="shared" si="179"/>
        <v>32</v>
      </c>
      <c r="L148" s="64" t="str">
        <f>IFERROR(VLOOKUP(MID(G148,J148,K148-J148),[6]skilldef!$C:$D,2,FALSE),"-") &amp; " / " &amp; IFERROR(VLOOKUP(MID(G148,H148,I148-H148),[6]skilldef!$A:$B,2,FALSE),"-")</f>
        <v>- / -</v>
      </c>
      <c r="M148" s="64" t="str">
        <f t="shared" si="180"/>
        <v>[effect:critical, val:0.4],[effect:damage_gravity, val:0.5, animation:fevergauge_down]</v>
      </c>
      <c r="N148" s="48" t="str">
        <f>IFERROR(LEFT(M148,FIND("],",M148)+S170),M148)</f>
        <v>[effect:critical, val:0.4]</v>
      </c>
      <c r="O148" s="64">
        <f t="shared" si="181"/>
        <v>9</v>
      </c>
      <c r="P148" s="64">
        <f t="shared" si="182"/>
        <v>17</v>
      </c>
      <c r="Q148" s="64" t="e">
        <f t="shared" si="183"/>
        <v>#VALUE!</v>
      </c>
      <c r="R148" s="64" t="e">
        <f t="shared" si="184"/>
        <v>#VALUE!</v>
      </c>
      <c r="S148" s="64" t="str">
        <f>IFERROR(VLOOKUP(MID(N148,Q148,R148-Q148),[6]skilldef!$C:$D,2,FALSE),"-") &amp; " / " &amp; IFERROR(VLOOKUP(MID(N148,O148,P148-O148),[6]skilldef!$A:$B,2,FALSE),"-")</f>
        <v>- / 大攻撃</v>
      </c>
      <c r="T148" s="48" t="str">
        <f t="shared" si="185"/>
        <v>[effect:damage_gravity, val:0.5, animation:fevergauge_down]</v>
      </c>
      <c r="U148" s="64">
        <f t="shared" si="186"/>
        <v>9</v>
      </c>
      <c r="V148" s="64">
        <f t="shared" si="187"/>
        <v>23</v>
      </c>
      <c r="W148" s="64" t="e">
        <f t="shared" si="188"/>
        <v>#VALUE!</v>
      </c>
      <c r="X148" s="64">
        <f t="shared" si="189"/>
        <v>32</v>
      </c>
      <c r="Y148" s="64" t="str">
        <f>IFERROR(VLOOKUP(MID(T148,W148,X148-W148),[6]skilldef!$C:$D,2,FALSE),"-") &amp; " / " &amp; IFERROR(VLOOKUP(MID(T148,U148,V148-U148),[6]skilldef!$A:$B,2,FALSE),"-")</f>
        <v>- / 割合ダメージ</v>
      </c>
      <c r="Z148" s="50"/>
      <c r="AA148" s="52"/>
      <c r="AB148" s="50"/>
    </row>
    <row r="149" spans="1:28" ht="21" customHeight="1" x14ac:dyDescent="0.15">
      <c r="A149" s="112">
        <v>47008368</v>
      </c>
      <c r="B149" s="47" t="s">
        <v>557</v>
      </c>
      <c r="C149" s="50">
        <v>3</v>
      </c>
      <c r="D149" s="50" t="s">
        <v>128</v>
      </c>
      <c r="E149" s="51" t="s">
        <v>528</v>
      </c>
      <c r="F149" s="51" t="s">
        <v>437</v>
      </c>
      <c r="G149" s="64" t="str">
        <f t="shared" si="175"/>
        <v>[effect:enemy_message, val1:2.3, val2:1.3]</v>
      </c>
      <c r="H149" s="64">
        <f t="shared" si="176"/>
        <v>9</v>
      </c>
      <c r="I149" s="64">
        <f t="shared" si="177"/>
        <v>22</v>
      </c>
      <c r="J149" s="64" t="e">
        <f t="shared" si="178"/>
        <v>#VALUE!</v>
      </c>
      <c r="K149" s="64">
        <f t="shared" si="179"/>
        <v>32</v>
      </c>
      <c r="L149" s="64" t="str">
        <f>IFERROR(VLOOKUP(MID(G149,J149,K149-J149),[6]skilldef!$C:$D,2,FALSE),"-") &amp; " / " &amp; IFERROR(VLOOKUP(MID(G149,H149,I149-H149),[6]skilldef!$A:$B,2,FALSE),"-")</f>
        <v>- / -</v>
      </c>
      <c r="M149" s="64" t="str">
        <f t="shared" si="180"/>
        <v>[effect:damage_gravity, val:0.4, animation:fevergauge_down]</v>
      </c>
      <c r="N149" s="48" t="str">
        <f>IFERROR(LEFT(M149,FIND("],",M149)+S162),M149)</f>
        <v>[effect:damage_gravity, val:0.4, animation:fevergauge_down]</v>
      </c>
      <c r="O149" s="64">
        <f t="shared" si="181"/>
        <v>9</v>
      </c>
      <c r="P149" s="64">
        <f t="shared" si="182"/>
        <v>23</v>
      </c>
      <c r="Q149" s="64" t="e">
        <f t="shared" si="183"/>
        <v>#VALUE!</v>
      </c>
      <c r="R149" s="64">
        <f t="shared" si="184"/>
        <v>32</v>
      </c>
      <c r="S149" s="64" t="str">
        <f>IFERROR(VLOOKUP(MID(N149,Q149,R149-Q149),[6]skilldef!$C:$D,2,FALSE),"-") &amp; " / " &amp; IFERROR(VLOOKUP(MID(N149,O149,P149-O149),[6]skilldef!$A:$B,2,FALSE),"-")</f>
        <v>- / 割合ダメージ</v>
      </c>
      <c r="T149" s="48" t="str">
        <f t="shared" si="185"/>
        <v>none</v>
      </c>
      <c r="U149" s="64" t="e">
        <f t="shared" si="186"/>
        <v>#VALUE!</v>
      </c>
      <c r="V149" s="64">
        <f t="shared" si="187"/>
        <v>4</v>
      </c>
      <c r="W149" s="64" t="e">
        <f t="shared" si="188"/>
        <v>#VALUE!</v>
      </c>
      <c r="X149" s="64" t="e">
        <f t="shared" si="189"/>
        <v>#VALUE!</v>
      </c>
      <c r="Y149" s="64" t="str">
        <f>IFERROR(VLOOKUP(MID(T149,W149,X149-W149),[6]skilldef!$C:$D,2,FALSE),"-") &amp; " / " &amp; IFERROR(VLOOKUP(MID(T149,U149,V149-U149),[6]skilldef!$A:$B,2,FALSE),"-")</f>
        <v>- / -</v>
      </c>
      <c r="Z149" s="50"/>
      <c r="AA149" s="52"/>
      <c r="AB149" s="50"/>
    </row>
    <row r="150" spans="1:28" ht="21" customHeight="1" x14ac:dyDescent="0.15">
      <c r="A150" s="113">
        <v>47008465</v>
      </c>
      <c r="B150" s="47" t="s">
        <v>441</v>
      </c>
      <c r="C150" s="50">
        <v>3</v>
      </c>
      <c r="D150" s="50" t="s">
        <v>128</v>
      </c>
      <c r="E150" s="51" t="s">
        <v>304</v>
      </c>
      <c r="F150" s="51" t="s">
        <v>435</v>
      </c>
      <c r="G150" s="64" t="str">
        <f t="shared" si="175"/>
        <v>[effect:enemy_message, val1:1.2, val2:1.2]</v>
      </c>
      <c r="H150" s="64">
        <f t="shared" si="176"/>
        <v>9</v>
      </c>
      <c r="I150" s="64">
        <f t="shared" si="177"/>
        <v>22</v>
      </c>
      <c r="J150" s="64" t="e">
        <f t="shared" si="178"/>
        <v>#VALUE!</v>
      </c>
      <c r="K150" s="64">
        <f t="shared" si="179"/>
        <v>32</v>
      </c>
      <c r="L150" s="64" t="str">
        <f>IFERROR(VLOOKUP(MID(G150,J150,K150-J150),[6]skilldef!$C:$D,2,FALSE),"-") &amp; " / " &amp; IFERROR(VLOOKUP(MID(G150,H150,I150-H150),[6]skilldef!$A:$B,2,FALSE),"-")</f>
        <v>- / -</v>
      </c>
      <c r="M150" s="64" t="str">
        <f t="shared" si="180"/>
        <v>[effect:damage_fix_absolute, target:unit_one, val:3000]</v>
      </c>
      <c r="N150" s="48" t="str">
        <f>IFERROR(LEFT(M150,FIND("],",M150)+S162),M150)</f>
        <v>[effect:damage_fix_absolute, target:unit_one, val:3000]</v>
      </c>
      <c r="O150" s="64">
        <f t="shared" si="181"/>
        <v>9</v>
      </c>
      <c r="P150" s="64">
        <f t="shared" si="182"/>
        <v>28</v>
      </c>
      <c r="Q150" s="64">
        <f t="shared" si="183"/>
        <v>37</v>
      </c>
      <c r="R150" s="64">
        <f t="shared" si="184"/>
        <v>45</v>
      </c>
      <c r="S150" s="64" t="str">
        <f>IFERROR(VLOOKUP(MID(N150,Q150,R150-Q150),[6]skilldef!$C:$D,2,FALSE),"-") &amp; " / " &amp; IFERROR(VLOOKUP(MID(N150,O150,P150-O150),[6]skilldef!$A:$B,2,FALSE),"-")</f>
        <v>味方単体に / -</v>
      </c>
      <c r="T150" s="48" t="str">
        <f t="shared" si="185"/>
        <v>none</v>
      </c>
      <c r="U150" s="64" t="e">
        <f t="shared" si="186"/>
        <v>#VALUE!</v>
      </c>
      <c r="V150" s="64">
        <f t="shared" si="187"/>
        <v>4</v>
      </c>
      <c r="W150" s="64" t="e">
        <f t="shared" si="188"/>
        <v>#VALUE!</v>
      </c>
      <c r="X150" s="64" t="e">
        <f t="shared" si="189"/>
        <v>#VALUE!</v>
      </c>
      <c r="Y150" s="64" t="str">
        <f>IFERROR(VLOOKUP(MID(T150,W150,X150-W150),[6]skilldef!$C:$D,2,FALSE),"-") &amp; " / " &amp; IFERROR(VLOOKUP(MID(T150,U150,V150-U150),[6]skilldef!$A:$B,2,FALSE),"-")</f>
        <v>- / -</v>
      </c>
      <c r="Z150" s="50"/>
      <c r="AA150" s="52"/>
      <c r="AB150" s="50"/>
    </row>
    <row r="151" spans="1:28" ht="42" customHeight="1" x14ac:dyDescent="0.15">
      <c r="A151" s="113">
        <v>47008466</v>
      </c>
      <c r="B151" s="47" t="s">
        <v>414</v>
      </c>
      <c r="C151" s="50">
        <v>3</v>
      </c>
      <c r="D151" s="50" t="s">
        <v>128</v>
      </c>
      <c r="E151" s="51" t="s">
        <v>307</v>
      </c>
      <c r="F151" s="51" t="s">
        <v>349</v>
      </c>
      <c r="G151" s="64" t="str">
        <f t="shared" si="175"/>
        <v>[effect:enemy_message, val1:1.8, val2:1.9]</v>
      </c>
      <c r="H151" s="64">
        <f t="shared" si="176"/>
        <v>9</v>
      </c>
      <c r="I151" s="64">
        <f t="shared" si="177"/>
        <v>22</v>
      </c>
      <c r="J151" s="64" t="e">
        <f t="shared" si="178"/>
        <v>#VALUE!</v>
      </c>
      <c r="K151" s="64">
        <f t="shared" si="179"/>
        <v>32</v>
      </c>
      <c r="L151" s="64" t="str">
        <f>IFERROR(VLOOKUP(MID(G151,J151,K151-J151),[6]skilldef!$C:$D,2,FALSE),"-") &amp; " / " &amp; IFERROR(VLOOKUP(MID(G151,H151,I151-H151),[6]skilldef!$A:$B,2,FALSE),"-")</f>
        <v>- / -</v>
      </c>
      <c r="M151" s="64" t="str">
        <f t="shared" si="180"/>
        <v>[effect:change_panel_ratio, turn:5, block_type:heal, val:0.1, animation:block_incidence04]</v>
      </c>
      <c r="N151" s="48" t="str">
        <f>IFERROR(LEFT(M151,FIND("],",M151)+S163),M151)</f>
        <v>[effect:change_panel_ratio, turn:5, block_type:heal, val:0.1, animation:block_incidence04]</v>
      </c>
      <c r="O151" s="64">
        <f t="shared" si="181"/>
        <v>9</v>
      </c>
      <c r="P151" s="64">
        <f t="shared" si="182"/>
        <v>27</v>
      </c>
      <c r="Q151" s="64" t="e">
        <f t="shared" si="183"/>
        <v>#VALUE!</v>
      </c>
      <c r="R151" s="64">
        <f t="shared" si="184"/>
        <v>35</v>
      </c>
      <c r="S151" s="64" t="str">
        <f>IFERROR(VLOOKUP(MID(N151,Q151,R151-Q151),[6]skilldef!$C:$D,2,FALSE),"-") &amp; " / " &amp; IFERROR(VLOOKUP(MID(N151,O151,P151-O151),[6]skilldef!$A:$B,2,FALSE),"-")</f>
        <v>- / -</v>
      </c>
      <c r="T151" s="48" t="str">
        <f t="shared" si="185"/>
        <v>none</v>
      </c>
      <c r="U151" s="64" t="e">
        <f t="shared" si="186"/>
        <v>#VALUE!</v>
      </c>
      <c r="V151" s="64">
        <f t="shared" si="187"/>
        <v>4</v>
      </c>
      <c r="W151" s="64" t="e">
        <f t="shared" si="188"/>
        <v>#VALUE!</v>
      </c>
      <c r="X151" s="64" t="e">
        <f t="shared" si="189"/>
        <v>#VALUE!</v>
      </c>
      <c r="Y151" s="64" t="str">
        <f>IFERROR(VLOOKUP(MID(T151,W151,X151-W151),[6]skilldef!$C:$D,2,FALSE),"-") &amp; " / " &amp; IFERROR(VLOOKUP(MID(T151,U151,V151-U151),[6]skilldef!$A:$B,2,FALSE),"-")</f>
        <v>- / -</v>
      </c>
      <c r="Z151" s="50"/>
      <c r="AA151" s="52"/>
      <c r="AB151" s="50"/>
    </row>
    <row r="152" spans="1:28" ht="21" customHeight="1" x14ac:dyDescent="0.15">
      <c r="A152" s="113">
        <v>47008467</v>
      </c>
      <c r="B152" s="47" t="s">
        <v>555</v>
      </c>
      <c r="C152" s="50">
        <v>3</v>
      </c>
      <c r="D152" s="50" t="s">
        <v>128</v>
      </c>
      <c r="E152" s="51" t="s">
        <v>529</v>
      </c>
      <c r="F152" s="51" t="s">
        <v>287</v>
      </c>
      <c r="G152" s="64" t="str">
        <f t="shared" si="175"/>
        <v>[effect:enemy_message, val1:2.2, val2:2.5]</v>
      </c>
      <c r="H152" s="64">
        <f t="shared" si="176"/>
        <v>9</v>
      </c>
      <c r="I152" s="64">
        <f t="shared" si="177"/>
        <v>22</v>
      </c>
      <c r="J152" s="64" t="e">
        <f t="shared" si="178"/>
        <v>#VALUE!</v>
      </c>
      <c r="K152" s="64">
        <f t="shared" si="179"/>
        <v>32</v>
      </c>
      <c r="L152" s="64" t="str">
        <f>IFERROR(VLOOKUP(MID(G152,J152,K152-J152),[6]skilldef!$C:$D,2,FALSE),"-") &amp; " / " &amp; IFERROR(VLOOKUP(MID(G152,H152,I152-H152),[6]skilldef!$A:$B,2,FALSE),"-")</f>
        <v>- / -</v>
      </c>
      <c r="M152" s="64" t="str">
        <f t="shared" si="180"/>
        <v>[effect:degrade_unit, target:unit_all, turn:3, status:attack, val:0.5, calc:mul],[effect:critical, val:1.0]</v>
      </c>
      <c r="N152" s="48" t="str">
        <f>IFERROR(LEFT(M152,FIND("],",M152)+S164),M152)</f>
        <v>[effect:degrade_unit, target:unit_all, turn:3, status:attack, val:0.5, calc:mul]</v>
      </c>
      <c r="O152" s="64">
        <f t="shared" si="181"/>
        <v>9</v>
      </c>
      <c r="P152" s="64">
        <f t="shared" si="182"/>
        <v>21</v>
      </c>
      <c r="Q152" s="64">
        <f t="shared" si="183"/>
        <v>30</v>
      </c>
      <c r="R152" s="64">
        <f t="shared" si="184"/>
        <v>38</v>
      </c>
      <c r="S152" s="64" t="str">
        <f>IFERROR(VLOOKUP(MID(N152,Q152,R152-Q152),[6]skilldef!$C:$D,2,FALSE),"-") &amp; " / " &amp; IFERROR(VLOOKUP(MID(N152,O152,P152-O152),[6]skilldef!$A:$B,2,FALSE),"-")</f>
        <v>味方全体に / ステータスDOWN</v>
      </c>
      <c r="T152" s="48" t="str">
        <f t="shared" si="185"/>
        <v>[effect:critical, val:1.0]</v>
      </c>
      <c r="U152" s="64">
        <f t="shared" si="186"/>
        <v>9</v>
      </c>
      <c r="V152" s="64">
        <f t="shared" si="187"/>
        <v>17</v>
      </c>
      <c r="W152" s="64" t="e">
        <f t="shared" si="188"/>
        <v>#VALUE!</v>
      </c>
      <c r="X152" s="64" t="e">
        <f t="shared" si="189"/>
        <v>#VALUE!</v>
      </c>
      <c r="Y152" s="64" t="str">
        <f>IFERROR(VLOOKUP(MID(T152,W152,X152-W152),[6]skilldef!$C:$D,2,FALSE),"-") &amp; " / " &amp; IFERROR(VLOOKUP(MID(T152,U152,V152-U152),[6]skilldef!$A:$B,2,FALSE),"-")</f>
        <v>- / 大攻撃</v>
      </c>
      <c r="Z152" s="50"/>
      <c r="AA152" s="52"/>
      <c r="AB152" s="50"/>
    </row>
    <row r="153" spans="1:28" ht="60" customHeight="1" x14ac:dyDescent="0.15">
      <c r="A153" s="114">
        <v>47008571</v>
      </c>
      <c r="B153" s="47" t="s">
        <v>540</v>
      </c>
      <c r="C153" s="50">
        <v>3</v>
      </c>
      <c r="D153" s="50" t="s">
        <v>128</v>
      </c>
      <c r="E153" s="51" t="s">
        <v>308</v>
      </c>
      <c r="F153" s="51" t="s">
        <v>438</v>
      </c>
      <c r="G153" s="64" t="str">
        <f t="shared" si="175"/>
        <v>[effect:enemy_message, val1:1.3, val2:4.2]</v>
      </c>
      <c r="H153" s="64">
        <f t="shared" si="176"/>
        <v>9</v>
      </c>
      <c r="I153" s="64">
        <f t="shared" si="177"/>
        <v>22</v>
      </c>
      <c r="J153" s="64" t="e">
        <f t="shared" si="178"/>
        <v>#VALUE!</v>
      </c>
      <c r="K153" s="64">
        <f t="shared" si="179"/>
        <v>32</v>
      </c>
      <c r="L153" s="64" t="str">
        <f>IFERROR(VLOOKUP(MID(G153,J153,K153-J153),[6]skilldef!$C:$D,2,FALSE),"-") &amp; " / " &amp; IFERROR(VLOOKUP(MID(G153,H153,I153-H153),[6]skilldef!$A:$B,2,FALSE),"-")</f>
        <v>- / -</v>
      </c>
      <c r="M153" s="64" t="str">
        <f t="shared" si="180"/>
        <v>[effect:damage_gravity, val:0.80, animation:fevergauge_down],[effect:force_change_block,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N153" s="48" t="str">
        <f>IFERROR(LEFT(M153,FIND("],",M153)+S164),M153)</f>
        <v>[effect:damage_gravity, val:0.80, animation:fevergauge_down]</v>
      </c>
      <c r="O153" s="64">
        <f t="shared" si="181"/>
        <v>9</v>
      </c>
      <c r="P153" s="64">
        <f t="shared" si="182"/>
        <v>23</v>
      </c>
      <c r="Q153" s="64" t="e">
        <f t="shared" si="183"/>
        <v>#VALUE!</v>
      </c>
      <c r="R153" s="64">
        <f t="shared" si="184"/>
        <v>33</v>
      </c>
      <c r="S153" s="64" t="str">
        <f>IFERROR(VLOOKUP(MID(N153,Q153,R153-Q153),[6]skilldef!$C:$D,2,FALSE),"-") &amp; " / " &amp; IFERROR(VLOOKUP(MID(N153,O153,P153-O153),[6]skilldef!$A:$B,2,FALSE),"-")</f>
        <v>- / 割合ダメージ</v>
      </c>
      <c r="T153" s="48" t="str">
        <f t="shared" si="185"/>
        <v>[effect:force_change_block, new_block:block_heart, target:block_all, ignore01:crash, ignore02:crack_bomb, ignore03:color_break, ignore04:magnet, ignore05:block_heart, count:20, val:0],[effect:fix_speed, target:myself, turn:1],[effect:tolerance, target:myself, turn:-1, count:-1, tolerance_effect:all, animation:enemy_tolerance]</v>
      </c>
      <c r="U153" s="64">
        <f t="shared" si="186"/>
        <v>9</v>
      </c>
      <c r="V153" s="64">
        <f t="shared" si="187"/>
        <v>27</v>
      </c>
      <c r="W153" s="64">
        <f t="shared" si="188"/>
        <v>59</v>
      </c>
      <c r="X153" s="64">
        <f t="shared" si="189"/>
        <v>50</v>
      </c>
      <c r="Y153" s="64" t="str">
        <f>IFERROR(VLOOKUP(MID(T153,W153,X153-W153),[6]skilldef!$C:$D,2,FALSE),"-") &amp; " / " &amp; IFERROR(VLOOKUP(MID(T153,U153,V153-U153),[6]skilldef!$A:$B,2,FALSE),"-")</f>
        <v>- / -</v>
      </c>
      <c r="Z153" s="50"/>
      <c r="AA153" s="52"/>
      <c r="AB153" s="50"/>
    </row>
    <row r="154" spans="1:28" ht="21" customHeight="1" x14ac:dyDescent="0.15">
      <c r="A154" s="114">
        <v>47008572</v>
      </c>
      <c r="B154" s="47" t="s">
        <v>415</v>
      </c>
      <c r="C154" s="50">
        <v>3</v>
      </c>
      <c r="D154" s="50" t="s">
        <v>128</v>
      </c>
      <c r="E154" s="51" t="s">
        <v>392</v>
      </c>
      <c r="F154" s="51" t="s">
        <v>288</v>
      </c>
      <c r="G154" s="64" t="str">
        <f t="shared" si="175"/>
        <v>[effect:enemy_message, val1:1.3, val2:2.5]</v>
      </c>
      <c r="H154" s="64">
        <f t="shared" si="176"/>
        <v>9</v>
      </c>
      <c r="I154" s="64">
        <f t="shared" si="177"/>
        <v>22</v>
      </c>
      <c r="J154" s="64" t="e">
        <f t="shared" si="178"/>
        <v>#VALUE!</v>
      </c>
      <c r="K154" s="64">
        <f t="shared" si="179"/>
        <v>32</v>
      </c>
      <c r="L154" s="64" t="str">
        <f>IFERROR(VLOOKUP(MID(G154,J154,K154-J154),[6]skilldef!$C:$D,2,FALSE),"-") &amp; " / " &amp; IFERROR(VLOOKUP(MID(G154,H154,I154-H154),[6]skilldef!$A:$B,2,FALSE),"-")</f>
        <v>- / -</v>
      </c>
      <c r="M154" s="64" t="str">
        <f t="shared" si="180"/>
        <v>[effect:degrade_unit, target:unit_all, turn:1, status:attack, val:0.2, calc:mul],[effect:critical, val:1.0]</v>
      </c>
      <c r="N154" s="48" t="str">
        <f>IFERROR(LEFT(M154,FIND("],",M154)+S164),M154)</f>
        <v>[effect:degrade_unit, target:unit_all, turn:1, status:attack, val:0.2, calc:mul]</v>
      </c>
      <c r="O154" s="64">
        <f t="shared" si="181"/>
        <v>9</v>
      </c>
      <c r="P154" s="64">
        <f t="shared" si="182"/>
        <v>21</v>
      </c>
      <c r="Q154" s="64">
        <f t="shared" si="183"/>
        <v>30</v>
      </c>
      <c r="R154" s="64">
        <f t="shared" si="184"/>
        <v>38</v>
      </c>
      <c r="S154" s="64" t="str">
        <f>IFERROR(VLOOKUP(MID(N154,Q154,R154-Q154),[6]skilldef!$C:$D,2,FALSE),"-") &amp; " / " &amp; IFERROR(VLOOKUP(MID(N154,O154,P154-O154),[6]skilldef!$A:$B,2,FALSE),"-")</f>
        <v>味方全体に / ステータスDOWN</v>
      </c>
      <c r="T154" s="48" t="str">
        <f t="shared" si="185"/>
        <v>[effect:critical, val:1.0]</v>
      </c>
      <c r="U154" s="64">
        <f t="shared" si="186"/>
        <v>9</v>
      </c>
      <c r="V154" s="64">
        <f t="shared" si="187"/>
        <v>17</v>
      </c>
      <c r="W154" s="64" t="e">
        <f t="shared" si="188"/>
        <v>#VALUE!</v>
      </c>
      <c r="X154" s="64" t="e">
        <f t="shared" si="189"/>
        <v>#VALUE!</v>
      </c>
      <c r="Y154" s="64" t="str">
        <f>IFERROR(VLOOKUP(MID(T154,W154,X154-W154),[6]skilldef!$C:$D,2,FALSE),"-") &amp; " / " &amp; IFERROR(VLOOKUP(MID(T154,U154,V154-U154),[6]skilldef!$A:$B,2,FALSE),"-")</f>
        <v>- / 大攻撃</v>
      </c>
      <c r="Z154" s="50"/>
      <c r="AA154" s="52"/>
      <c r="AB154" s="50"/>
    </row>
    <row r="155" spans="1:28" ht="34" customHeight="1" x14ac:dyDescent="0.15">
      <c r="A155" s="114">
        <v>47008573</v>
      </c>
      <c r="B155" s="47" t="s">
        <v>452</v>
      </c>
      <c r="C155" s="50">
        <v>3</v>
      </c>
      <c r="D155" s="50" t="s">
        <v>128</v>
      </c>
      <c r="E155" s="51" t="s">
        <v>393</v>
      </c>
      <c r="F155" s="51" t="s">
        <v>424</v>
      </c>
      <c r="G155" s="64" t="str">
        <f t="shared" si="175"/>
        <v>[effect:enemy_message, val1:1.3, val2:1.9]</v>
      </c>
      <c r="H155" s="64">
        <f t="shared" si="176"/>
        <v>9</v>
      </c>
      <c r="I155" s="64">
        <f t="shared" si="177"/>
        <v>22</v>
      </c>
      <c r="J155" s="64" t="e">
        <f t="shared" si="178"/>
        <v>#VALUE!</v>
      </c>
      <c r="K155" s="64">
        <f t="shared" si="179"/>
        <v>32</v>
      </c>
      <c r="L155" s="64" t="str">
        <f>IFERROR(VLOOKUP(MID(G155,J155,K155-J155),[6]skilldef!$C:$D,2,FALSE),"-") &amp; " / " &amp; IFERROR(VLOOKUP(MID(G155,H155,I155-H155),[6]skilldef!$A:$B,2,FALSE),"-")</f>
        <v>- / -</v>
      </c>
      <c r="M155" s="64" t="str">
        <f t="shared" si="180"/>
        <v>[effect:force_change_block, new_block:block_heart, target:block_all, ignore01:crash, ignore02:crack_bomb, ignore03:color_break, ignore04:magnet, ignore05:block_heart, count:10, val:0]</v>
      </c>
      <c r="N155" s="48" t="str">
        <f>IFERROR(LEFT(M155,FIND("],",M155)+S165),M155)</f>
        <v>[effect:force_change_block, new_block:block_heart, target:block_all, ignore01:crash, ignore02:crack_bomb, ignore03:color_break, ignore04:magnet, ignore05:block_heart, count:10, val:0]</v>
      </c>
      <c r="O155" s="64">
        <f t="shared" si="181"/>
        <v>9</v>
      </c>
      <c r="P155" s="64">
        <f t="shared" si="182"/>
        <v>27</v>
      </c>
      <c r="Q155" s="64">
        <f t="shared" si="183"/>
        <v>59</v>
      </c>
      <c r="R155" s="64">
        <f t="shared" si="184"/>
        <v>50</v>
      </c>
      <c r="S155" s="64" t="str">
        <f>IFERROR(VLOOKUP(MID(N155,Q155,R155-Q155),[6]skilldef!$C:$D,2,FALSE),"-") &amp; " / " &amp; IFERROR(VLOOKUP(MID(N155,O155,P155-O155),[6]skilldef!$A:$B,2,FALSE),"-")</f>
        <v>- / -</v>
      </c>
      <c r="T155" s="48" t="str">
        <f t="shared" si="185"/>
        <v>none</v>
      </c>
      <c r="U155" s="64" t="e">
        <f t="shared" si="186"/>
        <v>#VALUE!</v>
      </c>
      <c r="V155" s="64">
        <f t="shared" si="187"/>
        <v>4</v>
      </c>
      <c r="W155" s="64" t="e">
        <f t="shared" si="188"/>
        <v>#VALUE!</v>
      </c>
      <c r="X155" s="64" t="e">
        <f t="shared" si="189"/>
        <v>#VALUE!</v>
      </c>
      <c r="Y155" s="64" t="str">
        <f>IFERROR(VLOOKUP(MID(T155,W155,X155-W155),[6]skilldef!$C:$D,2,FALSE),"-") &amp; " / " &amp; IFERROR(VLOOKUP(MID(T155,U155,V155-U155),[6]skilldef!$A:$B,2,FALSE),"-")</f>
        <v>- / -</v>
      </c>
      <c r="Z155" s="50"/>
      <c r="AA155" s="52"/>
      <c r="AB155" s="50"/>
    </row>
    <row r="156" spans="1:28" ht="49" customHeight="1" x14ac:dyDescent="0.15">
      <c r="A156" s="114">
        <v>47008580</v>
      </c>
      <c r="B156" s="47" t="s">
        <v>453</v>
      </c>
      <c r="C156" s="50">
        <v>3</v>
      </c>
      <c r="D156" s="50" t="s">
        <v>128</v>
      </c>
      <c r="E156" s="51" t="s">
        <v>301</v>
      </c>
      <c r="F156" s="51" t="s">
        <v>351</v>
      </c>
      <c r="G156" s="64" t="str">
        <f t="shared" si="175"/>
        <v>[effect:enemy_message, val1:2.0, val2:1.8]</v>
      </c>
      <c r="H156" s="64">
        <f t="shared" si="176"/>
        <v>9</v>
      </c>
      <c r="I156" s="64">
        <f t="shared" si="177"/>
        <v>22</v>
      </c>
      <c r="J156" s="64" t="e">
        <f t="shared" si="178"/>
        <v>#VALUE!</v>
      </c>
      <c r="K156" s="64">
        <f t="shared" si="179"/>
        <v>32</v>
      </c>
      <c r="L156" s="64" t="str">
        <f>IFERROR(VLOOKUP(MID(G156,J156,K156-J156),[6]skilldef!$C:$D,2,FALSE),"-") &amp; " / " &amp; IFERROR(VLOOKUP(MID(G156,H156,I156-H156),[6]skilldef!$A:$B,2,FALSE),"-")</f>
        <v>- / -</v>
      </c>
      <c r="M156" s="64" t="str">
        <f t="shared" si="180"/>
        <v>[effect:critical, val:0.2],[effect:damage_gravity, val:0.4, animation:fevergauge_down]</v>
      </c>
      <c r="N156" s="48" t="str">
        <f>IFERROR(LEFT(M156,FIND("],",M156)+S177),M156)</f>
        <v>[effect:critical, val:0.2]</v>
      </c>
      <c r="O156" s="64">
        <f t="shared" si="181"/>
        <v>9</v>
      </c>
      <c r="P156" s="64">
        <f t="shared" si="182"/>
        <v>17</v>
      </c>
      <c r="Q156" s="64" t="e">
        <f t="shared" si="183"/>
        <v>#VALUE!</v>
      </c>
      <c r="R156" s="64" t="e">
        <f t="shared" si="184"/>
        <v>#VALUE!</v>
      </c>
      <c r="S156" s="64" t="str">
        <f>IFERROR(VLOOKUP(MID(N156,Q156,R156-Q156),[6]skilldef!$C:$D,2,FALSE),"-") &amp; " / " &amp; IFERROR(VLOOKUP(MID(N156,O156,P156-O156),[6]skilldef!$A:$B,2,FALSE),"-")</f>
        <v>- / 大攻撃</v>
      </c>
      <c r="T156" s="48" t="str">
        <f t="shared" si="185"/>
        <v>[effect:damage_gravity, val:0.4, animation:fevergauge_down]</v>
      </c>
      <c r="U156" s="64">
        <f t="shared" si="186"/>
        <v>9</v>
      </c>
      <c r="V156" s="64">
        <f t="shared" si="187"/>
        <v>23</v>
      </c>
      <c r="W156" s="64" t="e">
        <f t="shared" si="188"/>
        <v>#VALUE!</v>
      </c>
      <c r="X156" s="64">
        <f t="shared" si="189"/>
        <v>32</v>
      </c>
      <c r="Y156" s="64" t="str">
        <f>IFERROR(VLOOKUP(MID(T156,W156,X156-W156),[6]skilldef!$C:$D,2,FALSE),"-") &amp; " / " &amp; IFERROR(VLOOKUP(MID(T156,U156,V156-U156),[6]skilldef!$A:$B,2,FALSE),"-")</f>
        <v>- / 割合ダメージ</v>
      </c>
      <c r="Z156" s="50"/>
      <c r="AA156" s="52"/>
      <c r="AB156" s="50"/>
    </row>
    <row r="157" spans="1:28" ht="49" customHeight="1" x14ac:dyDescent="0.15">
      <c r="A157" s="114">
        <v>47008582</v>
      </c>
      <c r="B157" s="47" t="s">
        <v>454</v>
      </c>
      <c r="C157" s="50">
        <v>3</v>
      </c>
      <c r="D157" s="50" t="s">
        <v>128</v>
      </c>
      <c r="E157" s="51" t="s">
        <v>354</v>
      </c>
      <c r="F157" s="51" t="s">
        <v>351</v>
      </c>
      <c r="G157" s="64" t="str">
        <f t="shared" ref="G157:G161" si="194">IFERROR(LEFT(B157,FIND("],",B157)),B157)</f>
        <v>[effect:enemy_message, val1:1.2, val2:1.8]</v>
      </c>
      <c r="H157" s="64">
        <f t="shared" ref="H157:H161" si="195">FIND("effect:",G157)+7</f>
        <v>9</v>
      </c>
      <c r="I157" s="64">
        <f t="shared" ref="I157:I161" si="196">IFERROR(FIND(",",G157),LEN(G157))</f>
        <v>22</v>
      </c>
      <c r="J157" s="64" t="e">
        <f t="shared" ref="J157:J161" si="197">FIND("target:",G157)+7</f>
        <v>#VALUE!</v>
      </c>
      <c r="K157" s="64">
        <f t="shared" ref="K157:K161" si="198">FIND(",",G157,I157+1)</f>
        <v>32</v>
      </c>
      <c r="L157" s="64" t="str">
        <f>IFERROR(VLOOKUP(MID(G157,J157,K157-J157),[6]skilldef!$C:$D,2,FALSE),"-") &amp; " / " &amp; IFERROR(VLOOKUP(MID(G157,H157,I157-H157),[6]skilldef!$A:$B,2,FALSE),"-")</f>
        <v>- / -</v>
      </c>
      <c r="M157" s="64" t="str">
        <f t="shared" ref="M157:M161" si="199">IFERROR(RIGHT(B157,LEN(B157)-FIND("],",B157)-1),"none")</f>
        <v>[effect:critical, val:0.2],[effect:damage_gravity, val:0.4, animation:fevergauge_down]</v>
      </c>
      <c r="N157" s="48" t="str">
        <f>IFERROR(LEFT(M157,FIND("],",M157)+S178),M157)</f>
        <v>[effect:critical, val:0.2]</v>
      </c>
      <c r="O157" s="64">
        <f t="shared" ref="O157:O161" si="200">FIND("effect:",N157)+7</f>
        <v>9</v>
      </c>
      <c r="P157" s="64">
        <f t="shared" ref="P157:P161" si="201">IFERROR(FIND(",",N157),LEN(N157))</f>
        <v>17</v>
      </c>
      <c r="Q157" s="64" t="e">
        <f t="shared" ref="Q157:Q161" si="202">FIND("target:",N157)+7</f>
        <v>#VALUE!</v>
      </c>
      <c r="R157" s="64" t="e">
        <f t="shared" ref="R157:R161" si="203">FIND(",",N157,P157+1)</f>
        <v>#VALUE!</v>
      </c>
      <c r="S157" s="64" t="str">
        <f>IFERROR(VLOOKUP(MID(N157,Q157,R157-Q157),[6]skilldef!$C:$D,2,FALSE),"-") &amp; " / " &amp; IFERROR(VLOOKUP(MID(N157,O157,P157-O157),[6]skilldef!$A:$B,2,FALSE),"-")</f>
        <v>- / 大攻撃</v>
      </c>
      <c r="T157" s="48" t="str">
        <f t="shared" ref="T157:T161" si="204">IFERROR(RIGHT(M157,LEN(M157)-FIND("],",M157)-1),"none")</f>
        <v>[effect:damage_gravity, val:0.4, animation:fevergauge_down]</v>
      </c>
      <c r="U157" s="64">
        <f t="shared" ref="U157:U161" si="205">FIND("effect:",T157)+7</f>
        <v>9</v>
      </c>
      <c r="V157" s="64">
        <f t="shared" ref="V157:V161" si="206">IFERROR(FIND(",",T157),LEN(T157))</f>
        <v>23</v>
      </c>
      <c r="W157" s="64" t="e">
        <f t="shared" ref="W157:W161" si="207">FIND("target:",T157)+7</f>
        <v>#VALUE!</v>
      </c>
      <c r="X157" s="64">
        <f t="shared" ref="X157:X161" si="208">FIND(",",T157,V157+1)</f>
        <v>32</v>
      </c>
      <c r="Y157" s="64" t="str">
        <f>IFERROR(VLOOKUP(MID(T157,W157,X157-W157),[6]skilldef!$C:$D,2,FALSE),"-") &amp; " / " &amp; IFERROR(VLOOKUP(MID(T157,U157,V157-U157),[6]skilldef!$A:$B,2,FALSE),"-")</f>
        <v>- / 割合ダメージ</v>
      </c>
      <c r="Z157" s="50"/>
      <c r="AA157" s="52"/>
      <c r="AB157" s="50"/>
    </row>
    <row r="158" spans="1:28" ht="21" customHeight="1" x14ac:dyDescent="0.15">
      <c r="A158" s="114">
        <v>47008583</v>
      </c>
      <c r="B158" s="47" t="s">
        <v>455</v>
      </c>
      <c r="C158" s="50">
        <v>3</v>
      </c>
      <c r="D158" s="50" t="s">
        <v>128</v>
      </c>
      <c r="E158" s="51" t="s">
        <v>298</v>
      </c>
      <c r="F158" s="51" t="s">
        <v>276</v>
      </c>
      <c r="G158" s="64" t="str">
        <f t="shared" si="194"/>
        <v>[effect:enemy_message, val1:1.2, val2:1.8]</v>
      </c>
      <c r="H158" s="64">
        <f t="shared" si="195"/>
        <v>9</v>
      </c>
      <c r="I158" s="64">
        <f t="shared" si="196"/>
        <v>22</v>
      </c>
      <c r="J158" s="64" t="e">
        <f t="shared" si="197"/>
        <v>#VALUE!</v>
      </c>
      <c r="K158" s="64">
        <f t="shared" si="198"/>
        <v>32</v>
      </c>
      <c r="L158" s="64" t="str">
        <f>IFERROR(VLOOKUP(MID(G158,J158,K158-J158),[6]skilldef!$C:$D,2,FALSE),"-") &amp; " / " &amp; IFERROR(VLOOKUP(MID(G158,H158,I158-H158),[6]skilldef!$A:$B,2,FALSE),"-")</f>
        <v>- / -</v>
      </c>
      <c r="M158" s="64" t="str">
        <f t="shared" si="199"/>
        <v>[effect:critical, val:0.2],[effect:damage_gravity, val:0.2, animation:fevergauge_down]</v>
      </c>
      <c r="N158" s="48" t="str">
        <f>IFERROR(LEFT(M158,FIND("],",M158)+S175),M158)</f>
        <v>[effect:critical, val:0.2]</v>
      </c>
      <c r="O158" s="64">
        <f t="shared" si="200"/>
        <v>9</v>
      </c>
      <c r="P158" s="64">
        <f t="shared" si="201"/>
        <v>17</v>
      </c>
      <c r="Q158" s="64" t="e">
        <f t="shared" si="202"/>
        <v>#VALUE!</v>
      </c>
      <c r="R158" s="64" t="e">
        <f t="shared" si="203"/>
        <v>#VALUE!</v>
      </c>
      <c r="S158" s="64" t="str">
        <f>IFERROR(VLOOKUP(MID(N158,Q158,R158-Q158),[6]skilldef!$C:$D,2,FALSE),"-") &amp; " / " &amp; IFERROR(VLOOKUP(MID(N158,O158,P158-O158),[6]skilldef!$A:$B,2,FALSE),"-")</f>
        <v>- / 大攻撃</v>
      </c>
      <c r="T158" s="48" t="str">
        <f t="shared" si="204"/>
        <v>[effect:damage_gravity, val:0.2, animation:fevergauge_down]</v>
      </c>
      <c r="U158" s="64">
        <f t="shared" si="205"/>
        <v>9</v>
      </c>
      <c r="V158" s="64">
        <f t="shared" si="206"/>
        <v>23</v>
      </c>
      <c r="W158" s="64" t="e">
        <f t="shared" si="207"/>
        <v>#VALUE!</v>
      </c>
      <c r="X158" s="64">
        <f t="shared" si="208"/>
        <v>32</v>
      </c>
      <c r="Y158" s="64" t="str">
        <f>IFERROR(VLOOKUP(MID(T158,W158,X158-W158),[6]skilldef!$C:$D,2,FALSE),"-") &amp; " / " &amp; IFERROR(VLOOKUP(MID(T158,U158,V158-U158),[6]skilldef!$A:$B,2,FALSE),"-")</f>
        <v>- / 割合ダメージ</v>
      </c>
      <c r="Z158" s="50"/>
      <c r="AA158" s="52"/>
      <c r="AB158" s="50"/>
    </row>
    <row r="159" spans="1:28" ht="21" customHeight="1" x14ac:dyDescent="0.15">
      <c r="A159" s="114">
        <v>47008584</v>
      </c>
      <c r="B159" s="47" t="s">
        <v>456</v>
      </c>
      <c r="C159" s="50">
        <v>3</v>
      </c>
      <c r="D159" s="50" t="s">
        <v>128</v>
      </c>
      <c r="E159" s="51" t="s">
        <v>296</v>
      </c>
      <c r="F159" s="51" t="s">
        <v>277</v>
      </c>
      <c r="G159" s="64" t="str">
        <f t="shared" si="194"/>
        <v>[effect:enemy_message, val1:1.7, val2:1.8]</v>
      </c>
      <c r="H159" s="64">
        <f t="shared" si="195"/>
        <v>9</v>
      </c>
      <c r="I159" s="64">
        <f t="shared" si="196"/>
        <v>22</v>
      </c>
      <c r="J159" s="64" t="e">
        <f t="shared" si="197"/>
        <v>#VALUE!</v>
      </c>
      <c r="K159" s="64">
        <f t="shared" si="198"/>
        <v>32</v>
      </c>
      <c r="L159" s="64" t="str">
        <f>IFERROR(VLOOKUP(MID(G159,J159,K159-J159),[6]skilldef!$C:$D,2,FALSE),"-") &amp; " / " &amp; IFERROR(VLOOKUP(MID(G159,H159,I159-H159),[6]skilldef!$A:$B,2,FALSE),"-")</f>
        <v>- / -</v>
      </c>
      <c r="M159" s="64" t="str">
        <f t="shared" si="199"/>
        <v>[effect:critical, val:0.2],[effect:damage_gravity, val:0.3, animation:fevergauge_down]</v>
      </c>
      <c r="N159" s="48" t="str">
        <f>IFERROR(LEFT(M159,FIND("],",M159)+S176),M159)</f>
        <v>[effect:critical, val:0.2]</v>
      </c>
      <c r="O159" s="64">
        <f t="shared" si="200"/>
        <v>9</v>
      </c>
      <c r="P159" s="64">
        <f t="shared" si="201"/>
        <v>17</v>
      </c>
      <c r="Q159" s="64" t="e">
        <f t="shared" si="202"/>
        <v>#VALUE!</v>
      </c>
      <c r="R159" s="64" t="e">
        <f t="shared" si="203"/>
        <v>#VALUE!</v>
      </c>
      <c r="S159" s="64" t="str">
        <f>IFERROR(VLOOKUP(MID(N159,Q159,R159-Q159),[6]skilldef!$C:$D,2,FALSE),"-") &amp; " / " &amp; IFERROR(VLOOKUP(MID(N159,O159,P159-O159),[6]skilldef!$A:$B,2,FALSE),"-")</f>
        <v>- / 大攻撃</v>
      </c>
      <c r="T159" s="48" t="str">
        <f t="shared" si="204"/>
        <v>[effect:damage_gravity, val:0.3, animation:fevergauge_down]</v>
      </c>
      <c r="U159" s="64">
        <f t="shared" si="205"/>
        <v>9</v>
      </c>
      <c r="V159" s="64">
        <f t="shared" si="206"/>
        <v>23</v>
      </c>
      <c r="W159" s="64" t="e">
        <f t="shared" si="207"/>
        <v>#VALUE!</v>
      </c>
      <c r="X159" s="64">
        <f t="shared" si="208"/>
        <v>32</v>
      </c>
      <c r="Y159" s="64" t="str">
        <f>IFERROR(VLOOKUP(MID(T159,W159,X159-W159),[6]skilldef!$C:$D,2,FALSE),"-") &amp; " / " &amp; IFERROR(VLOOKUP(MID(T159,U159,V159-U159),[6]skilldef!$A:$B,2,FALSE),"-")</f>
        <v>- / 割合ダメージ</v>
      </c>
      <c r="Z159" s="50"/>
      <c r="AA159" s="52"/>
      <c r="AB159" s="50"/>
    </row>
    <row r="160" spans="1:28" ht="21" customHeight="1" x14ac:dyDescent="0.15">
      <c r="A160" s="114">
        <v>47008585</v>
      </c>
      <c r="B160" s="47" t="s">
        <v>457</v>
      </c>
      <c r="C160" s="50">
        <v>3</v>
      </c>
      <c r="D160" s="50" t="s">
        <v>128</v>
      </c>
      <c r="E160" s="51" t="s">
        <v>297</v>
      </c>
      <c r="F160" s="51" t="s">
        <v>278</v>
      </c>
      <c r="G160" s="64" t="str">
        <f t="shared" si="194"/>
        <v>[effect:enemy_message, val1:1.4, val2:1.8]</v>
      </c>
      <c r="H160" s="64">
        <f t="shared" si="195"/>
        <v>9</v>
      </c>
      <c r="I160" s="64">
        <f t="shared" si="196"/>
        <v>22</v>
      </c>
      <c r="J160" s="64" t="e">
        <f t="shared" si="197"/>
        <v>#VALUE!</v>
      </c>
      <c r="K160" s="64">
        <f t="shared" si="198"/>
        <v>32</v>
      </c>
      <c r="L160" s="64" t="str">
        <f>IFERROR(VLOOKUP(MID(G160,J160,K160-J160),[6]skilldef!$C:$D,2,FALSE),"-") &amp; " / " &amp; IFERROR(VLOOKUP(MID(G160,H160,I160-H160),[6]skilldef!$A:$B,2,FALSE),"-")</f>
        <v>- / -</v>
      </c>
      <c r="M160" s="64" t="str">
        <f t="shared" si="199"/>
        <v>[effect:critical, val:0.2],[effect:damage_gravity, val:0.4, animation:fevergauge_down]</v>
      </c>
      <c r="N160" s="48" t="str">
        <f>IFERROR(LEFT(M160,FIND("],",M160)+S177),M160)</f>
        <v>[effect:critical, val:0.2]</v>
      </c>
      <c r="O160" s="64">
        <f t="shared" si="200"/>
        <v>9</v>
      </c>
      <c r="P160" s="64">
        <f t="shared" si="201"/>
        <v>17</v>
      </c>
      <c r="Q160" s="64" t="e">
        <f t="shared" si="202"/>
        <v>#VALUE!</v>
      </c>
      <c r="R160" s="64" t="e">
        <f t="shared" si="203"/>
        <v>#VALUE!</v>
      </c>
      <c r="S160" s="64" t="str">
        <f>IFERROR(VLOOKUP(MID(N160,Q160,R160-Q160),[6]skilldef!$C:$D,2,FALSE),"-") &amp; " / " &amp; IFERROR(VLOOKUP(MID(N160,O160,P160-O160),[6]skilldef!$A:$B,2,FALSE),"-")</f>
        <v>- / 大攻撃</v>
      </c>
      <c r="T160" s="48" t="str">
        <f t="shared" si="204"/>
        <v>[effect:damage_gravity, val:0.4, animation:fevergauge_down]</v>
      </c>
      <c r="U160" s="64">
        <f t="shared" si="205"/>
        <v>9</v>
      </c>
      <c r="V160" s="64">
        <f t="shared" si="206"/>
        <v>23</v>
      </c>
      <c r="W160" s="64" t="e">
        <f t="shared" si="207"/>
        <v>#VALUE!</v>
      </c>
      <c r="X160" s="64">
        <f t="shared" si="208"/>
        <v>32</v>
      </c>
      <c r="Y160" s="64" t="str">
        <f>IFERROR(VLOOKUP(MID(T160,W160,X160-W160),[6]skilldef!$C:$D,2,FALSE),"-") &amp; " / " &amp; IFERROR(VLOOKUP(MID(T160,U160,V160-U160),[6]skilldef!$A:$B,2,FALSE),"-")</f>
        <v>- / 割合ダメージ</v>
      </c>
      <c r="Z160" s="50"/>
      <c r="AA160" s="52"/>
      <c r="AB160" s="50"/>
    </row>
    <row r="161" spans="1:28" s="130" customFormat="1" ht="29" customHeight="1" thickBot="1" x14ac:dyDescent="0.2">
      <c r="A161" s="123">
        <v>47008586</v>
      </c>
      <c r="B161" s="124" t="s">
        <v>458</v>
      </c>
      <c r="C161" s="125">
        <v>3</v>
      </c>
      <c r="D161" s="125" t="s">
        <v>128</v>
      </c>
      <c r="E161" s="126" t="s">
        <v>439</v>
      </c>
      <c r="F161" s="126" t="s">
        <v>440</v>
      </c>
      <c r="G161" s="127" t="str">
        <f t="shared" si="194"/>
        <v>[effect:enemy_message, val1:1.9, val2:1.3]</v>
      </c>
      <c r="H161" s="127">
        <f t="shared" si="195"/>
        <v>9</v>
      </c>
      <c r="I161" s="127">
        <f t="shared" si="196"/>
        <v>22</v>
      </c>
      <c r="J161" s="127" t="e">
        <f t="shared" si="197"/>
        <v>#VALUE!</v>
      </c>
      <c r="K161" s="127">
        <f t="shared" si="198"/>
        <v>32</v>
      </c>
      <c r="L161" s="127" t="str">
        <f>IFERROR(VLOOKUP(MID(G161,J161,K161-J161),[6]skilldef!$C:$D,2,FALSE),"-") &amp; " / " &amp; IFERROR(VLOOKUP(MID(G161,H161,I161-H161),[6]skilldef!$A:$B,2,FALSE),"-")</f>
        <v>- / -</v>
      </c>
      <c r="M161" s="127" t="str">
        <f t="shared" si="199"/>
        <v>[effect:damage_fix_absolute, target:unit_one, val:11410]</v>
      </c>
      <c r="N161" s="128" t="str">
        <f>IFERROR(LEFT(M161,FIND("],",M161)+S185),M161)</f>
        <v>[effect:damage_fix_absolute, target:unit_one, val:11410]</v>
      </c>
      <c r="O161" s="127">
        <f t="shared" si="200"/>
        <v>9</v>
      </c>
      <c r="P161" s="127">
        <f t="shared" si="201"/>
        <v>28</v>
      </c>
      <c r="Q161" s="127">
        <f t="shared" si="202"/>
        <v>37</v>
      </c>
      <c r="R161" s="127">
        <f t="shared" si="203"/>
        <v>45</v>
      </c>
      <c r="S161" s="127" t="str">
        <f>IFERROR(VLOOKUP(MID(N161,Q161,R161-Q161),[6]skilldef!$C:$D,2,FALSE),"-") &amp; " / " &amp; IFERROR(VLOOKUP(MID(N161,O161,P161-O161),[6]skilldef!$A:$B,2,FALSE),"-")</f>
        <v>味方単体に / -</v>
      </c>
      <c r="T161" s="128" t="str">
        <f t="shared" si="204"/>
        <v>none</v>
      </c>
      <c r="U161" s="127" t="e">
        <f t="shared" si="205"/>
        <v>#VALUE!</v>
      </c>
      <c r="V161" s="127">
        <f t="shared" si="206"/>
        <v>4</v>
      </c>
      <c r="W161" s="127" t="e">
        <f t="shared" si="207"/>
        <v>#VALUE!</v>
      </c>
      <c r="X161" s="127" t="e">
        <f t="shared" si="208"/>
        <v>#VALUE!</v>
      </c>
      <c r="Y161" s="127" t="str">
        <f>IFERROR(VLOOKUP(MID(T161,W161,X161-W161),[6]skilldef!$C:$D,2,FALSE),"-") &amp; " / " &amp; IFERROR(VLOOKUP(MID(T161,U161,V161-U161),[6]skilldef!$A:$B,2,FALSE),"-")</f>
        <v>- / -</v>
      </c>
      <c r="Z161" s="125"/>
      <c r="AA161" s="129"/>
      <c r="AB161" s="12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5"/>
  <sheetViews>
    <sheetView showGridLines="0" workbookViewId="0">
      <pane ySplit="1" topLeftCell="A51" activePane="bottomLeft" state="frozenSplit"/>
      <selection pane="bottomLeft" activeCell="E62" sqref="E6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09">
        <v>47008000</v>
      </c>
      <c r="B2" s="47">
        <v>1</v>
      </c>
      <c r="C2" s="47">
        <v>400</v>
      </c>
      <c r="D2" s="47">
        <v>100</v>
      </c>
      <c r="E2" s="47" t="s">
        <v>259</v>
      </c>
      <c r="F2" s="47" t="s">
        <v>90</v>
      </c>
      <c r="G2" s="47">
        <v>1</v>
      </c>
      <c r="H2" s="47" t="s">
        <v>90</v>
      </c>
      <c r="I2" s="47">
        <v>1362</v>
      </c>
      <c r="J2" s="48">
        <f t="shared" ref="J2" si="0">D2</f>
        <v>100</v>
      </c>
    </row>
    <row r="3" spans="1:11" ht="21" customHeight="1" x14ac:dyDescent="0.15">
      <c r="A3" s="109">
        <v>47008001</v>
      </c>
      <c r="B3" s="115">
        <v>1</v>
      </c>
      <c r="C3" s="115">
        <v>300</v>
      </c>
      <c r="D3" s="115">
        <v>100</v>
      </c>
      <c r="E3" s="115" t="s">
        <v>89</v>
      </c>
      <c r="F3" s="115" t="s">
        <v>89</v>
      </c>
      <c r="G3" s="115">
        <v>1</v>
      </c>
      <c r="H3" s="115" t="s">
        <v>89</v>
      </c>
      <c r="I3" s="115">
        <v>1359</v>
      </c>
      <c r="J3" s="48">
        <f t="shared" ref="J3:J58" si="1">D3</f>
        <v>100</v>
      </c>
    </row>
    <row r="4" spans="1:11" ht="21" customHeight="1" x14ac:dyDescent="0.15">
      <c r="A4" s="109">
        <v>47008002</v>
      </c>
      <c r="B4" s="115">
        <v>1</v>
      </c>
      <c r="C4" s="115">
        <v>100</v>
      </c>
      <c r="D4" s="115">
        <v>100</v>
      </c>
      <c r="E4" s="115" t="s">
        <v>89</v>
      </c>
      <c r="F4" s="115" t="s">
        <v>89</v>
      </c>
      <c r="G4" s="115">
        <v>1</v>
      </c>
      <c r="H4" s="115" t="s">
        <v>89</v>
      </c>
      <c r="I4" s="115" t="s">
        <v>89</v>
      </c>
      <c r="J4" s="48">
        <f t="shared" si="1"/>
        <v>100</v>
      </c>
    </row>
    <row r="5" spans="1:11" ht="21" customHeight="1" x14ac:dyDescent="0.15">
      <c r="A5" s="109">
        <v>47008003</v>
      </c>
      <c r="B5" s="115">
        <v>0</v>
      </c>
      <c r="C5" s="115">
        <v>10</v>
      </c>
      <c r="D5" s="115">
        <v>100</v>
      </c>
      <c r="E5" s="115" t="s">
        <v>89</v>
      </c>
      <c r="F5" s="115" t="s">
        <v>89</v>
      </c>
      <c r="G5" s="115" t="s">
        <v>272</v>
      </c>
      <c r="H5" s="115">
        <v>1</v>
      </c>
      <c r="I5" s="115" t="s">
        <v>260</v>
      </c>
      <c r="J5" s="48">
        <f t="shared" si="1"/>
        <v>100</v>
      </c>
    </row>
    <row r="6" spans="1:11" ht="21" customHeight="1" x14ac:dyDescent="0.15">
      <c r="A6" s="109">
        <v>47008004</v>
      </c>
      <c r="B6" s="115">
        <v>0</v>
      </c>
      <c r="C6" s="115">
        <v>20</v>
      </c>
      <c r="D6" s="115">
        <v>100</v>
      </c>
      <c r="E6" s="115" t="s">
        <v>89</v>
      </c>
      <c r="F6" s="115" t="s">
        <v>273</v>
      </c>
      <c r="G6" s="115" t="s">
        <v>274</v>
      </c>
      <c r="H6" s="115">
        <v>2</v>
      </c>
      <c r="I6" s="115" t="s">
        <v>89</v>
      </c>
      <c r="J6" s="48">
        <f t="shared" si="1"/>
        <v>100</v>
      </c>
    </row>
    <row r="7" spans="1:11" ht="21" customHeight="1" x14ac:dyDescent="0.15">
      <c r="A7" s="109">
        <v>47008005</v>
      </c>
      <c r="B7" s="115">
        <v>0</v>
      </c>
      <c r="C7" s="115">
        <v>30</v>
      </c>
      <c r="D7" s="115">
        <v>100</v>
      </c>
      <c r="E7" s="115">
        <v>50</v>
      </c>
      <c r="F7" s="115" t="s">
        <v>89</v>
      </c>
      <c r="G7" s="115">
        <v>1</v>
      </c>
      <c r="H7" s="115">
        <v>1</v>
      </c>
      <c r="I7" s="115" t="s">
        <v>260</v>
      </c>
      <c r="J7" s="48">
        <f t="shared" si="1"/>
        <v>100</v>
      </c>
    </row>
    <row r="8" spans="1:11" ht="21" customHeight="1" x14ac:dyDescent="0.15">
      <c r="A8" s="109">
        <v>47008006</v>
      </c>
      <c r="B8" s="47">
        <v>1</v>
      </c>
      <c r="C8" s="115">
        <v>290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115">
        <v>1358</v>
      </c>
      <c r="J8" s="48">
        <f t="shared" si="1"/>
        <v>100</v>
      </c>
    </row>
    <row r="9" spans="1:11" ht="21" customHeight="1" x14ac:dyDescent="0.15">
      <c r="A9" s="109">
        <v>47008007</v>
      </c>
      <c r="B9" s="115">
        <v>1</v>
      </c>
      <c r="C9" s="115">
        <v>270</v>
      </c>
      <c r="D9" s="115">
        <v>100</v>
      </c>
      <c r="E9" s="115" t="s">
        <v>89</v>
      </c>
      <c r="F9" s="115" t="s">
        <v>89</v>
      </c>
      <c r="G9" s="115">
        <v>1</v>
      </c>
      <c r="H9" s="115" t="s">
        <v>89</v>
      </c>
      <c r="I9" s="115">
        <v>1357</v>
      </c>
      <c r="J9" s="48">
        <f t="shared" ref="J9:J10" si="2">D9</f>
        <v>100</v>
      </c>
    </row>
    <row r="10" spans="1:11" ht="21" customHeight="1" x14ac:dyDescent="0.15">
      <c r="A10" s="109">
        <v>47008008</v>
      </c>
      <c r="B10" s="47">
        <v>1</v>
      </c>
      <c r="C10" s="115">
        <v>260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115">
        <v>1356</v>
      </c>
      <c r="J10" s="48">
        <f t="shared" si="2"/>
        <v>100</v>
      </c>
    </row>
    <row r="11" spans="1:11" ht="21" customHeight="1" x14ac:dyDescent="0.15">
      <c r="A11" s="109">
        <v>47008009</v>
      </c>
      <c r="B11" s="115">
        <v>1</v>
      </c>
      <c r="C11" s="115">
        <v>280</v>
      </c>
      <c r="D11" s="115">
        <v>100</v>
      </c>
      <c r="E11" s="115" t="s">
        <v>89</v>
      </c>
      <c r="F11" s="115" t="s">
        <v>89</v>
      </c>
      <c r="G11" s="115">
        <v>1</v>
      </c>
      <c r="H11" s="115" t="s">
        <v>89</v>
      </c>
      <c r="I11" s="115">
        <v>1355</v>
      </c>
      <c r="J11" s="48">
        <f t="shared" ref="J11:J12" si="3">D11</f>
        <v>100</v>
      </c>
    </row>
    <row r="12" spans="1:11" ht="21" customHeight="1" x14ac:dyDescent="0.15">
      <c r="A12" s="109">
        <v>47008010</v>
      </c>
      <c r="B12" s="47">
        <v>1</v>
      </c>
      <c r="C12" s="115">
        <v>250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115">
        <v>1354</v>
      </c>
      <c r="J12" s="48">
        <f t="shared" si="3"/>
        <v>100</v>
      </c>
    </row>
    <row r="13" spans="1:11" ht="21" customHeight="1" x14ac:dyDescent="0.15">
      <c r="A13" s="110">
        <v>47008100</v>
      </c>
      <c r="B13" s="115">
        <v>1</v>
      </c>
      <c r="C13" s="115">
        <v>400</v>
      </c>
      <c r="D13" s="115">
        <v>100</v>
      </c>
      <c r="E13" s="115">
        <v>100</v>
      </c>
      <c r="F13" s="115" t="s">
        <v>89</v>
      </c>
      <c r="G13" s="115">
        <v>1</v>
      </c>
      <c r="H13" s="115" t="s">
        <v>89</v>
      </c>
      <c r="I13" s="115">
        <v>1362</v>
      </c>
      <c r="J13" s="48">
        <f t="shared" si="1"/>
        <v>100</v>
      </c>
    </row>
    <row r="14" spans="1:11" ht="21" customHeight="1" x14ac:dyDescent="0.15">
      <c r="A14" s="110">
        <v>47008101</v>
      </c>
      <c r="B14" s="115">
        <v>1</v>
      </c>
      <c r="C14" s="115">
        <v>300</v>
      </c>
      <c r="D14" s="115">
        <v>100</v>
      </c>
      <c r="E14" s="115">
        <v>100</v>
      </c>
      <c r="F14" s="115" t="s">
        <v>89</v>
      </c>
      <c r="G14" s="115">
        <v>1</v>
      </c>
      <c r="H14" s="115" t="s">
        <v>89</v>
      </c>
      <c r="I14" s="115">
        <v>1359</v>
      </c>
      <c r="J14" s="48">
        <f t="shared" ref="J14" si="4">D14</f>
        <v>100</v>
      </c>
    </row>
    <row r="15" spans="1:11" ht="21" customHeight="1" x14ac:dyDescent="0.15">
      <c r="A15" s="110">
        <v>47008102</v>
      </c>
      <c r="B15" s="115">
        <v>1</v>
      </c>
      <c r="C15" s="115">
        <v>100</v>
      </c>
      <c r="D15" s="115">
        <v>100</v>
      </c>
      <c r="E15" s="115">
        <v>100</v>
      </c>
      <c r="F15" s="115" t="s">
        <v>89</v>
      </c>
      <c r="G15" s="115">
        <v>1</v>
      </c>
      <c r="H15" s="115" t="s">
        <v>89</v>
      </c>
      <c r="I15" s="115" t="s">
        <v>89</v>
      </c>
      <c r="J15" s="48">
        <f t="shared" ref="J15" si="5">D15</f>
        <v>100</v>
      </c>
    </row>
    <row r="16" spans="1:11" ht="21" customHeight="1" x14ac:dyDescent="0.15">
      <c r="A16" s="110">
        <v>47008103</v>
      </c>
      <c r="B16" s="115">
        <v>0</v>
      </c>
      <c r="C16" s="115">
        <v>10</v>
      </c>
      <c r="D16" s="115">
        <v>100</v>
      </c>
      <c r="E16" s="115" t="s">
        <v>89</v>
      </c>
      <c r="F16" s="115" t="s">
        <v>89</v>
      </c>
      <c r="G16" s="115" t="s">
        <v>272</v>
      </c>
      <c r="H16" s="115">
        <v>1</v>
      </c>
      <c r="I16" s="115" t="s">
        <v>260</v>
      </c>
      <c r="J16" s="48">
        <f t="shared" si="1"/>
        <v>100</v>
      </c>
    </row>
    <row r="17" spans="1:10" ht="21" customHeight="1" x14ac:dyDescent="0.15">
      <c r="A17" s="110">
        <v>47008104</v>
      </c>
      <c r="B17" s="115">
        <v>0</v>
      </c>
      <c r="C17" s="115">
        <v>20</v>
      </c>
      <c r="D17" s="115">
        <v>100</v>
      </c>
      <c r="E17" s="115" t="s">
        <v>89</v>
      </c>
      <c r="F17" s="115" t="s">
        <v>273</v>
      </c>
      <c r="G17" s="115" t="s">
        <v>274</v>
      </c>
      <c r="H17" s="115">
        <v>2</v>
      </c>
      <c r="I17" s="115" t="s">
        <v>89</v>
      </c>
      <c r="J17" s="48">
        <f t="shared" si="1"/>
        <v>100</v>
      </c>
    </row>
    <row r="18" spans="1:10" ht="21" customHeight="1" x14ac:dyDescent="0.15">
      <c r="A18" s="110">
        <v>47008105</v>
      </c>
      <c r="B18" s="115">
        <v>0</v>
      </c>
      <c r="C18" s="115">
        <v>30</v>
      </c>
      <c r="D18" s="115">
        <v>100</v>
      </c>
      <c r="E18" s="115">
        <v>70</v>
      </c>
      <c r="F18" s="115" t="s">
        <v>89</v>
      </c>
      <c r="G18" s="115">
        <v>1</v>
      </c>
      <c r="H18" s="115">
        <v>1</v>
      </c>
      <c r="I18" s="115" t="s">
        <v>260</v>
      </c>
      <c r="J18" s="48">
        <f t="shared" si="1"/>
        <v>100</v>
      </c>
    </row>
    <row r="19" spans="1:10" ht="21" customHeight="1" x14ac:dyDescent="0.15">
      <c r="A19" s="110">
        <v>47008106</v>
      </c>
      <c r="B19" s="47">
        <v>1</v>
      </c>
      <c r="C19" s="115">
        <v>290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115">
        <v>1358</v>
      </c>
      <c r="J19" s="48">
        <f t="shared" ref="J19:J23" si="6">D19</f>
        <v>100</v>
      </c>
    </row>
    <row r="20" spans="1:10" ht="21" customHeight="1" x14ac:dyDescent="0.15">
      <c r="A20" s="110">
        <v>47008107</v>
      </c>
      <c r="B20" s="115">
        <v>1</v>
      </c>
      <c r="C20" s="115">
        <v>270</v>
      </c>
      <c r="D20" s="115">
        <v>100</v>
      </c>
      <c r="E20" s="115" t="s">
        <v>89</v>
      </c>
      <c r="F20" s="115" t="s">
        <v>89</v>
      </c>
      <c r="G20" s="115">
        <v>1</v>
      </c>
      <c r="H20" s="115" t="s">
        <v>89</v>
      </c>
      <c r="I20" s="115">
        <v>1357</v>
      </c>
      <c r="J20" s="48">
        <f t="shared" si="6"/>
        <v>100</v>
      </c>
    </row>
    <row r="21" spans="1:10" ht="21" customHeight="1" x14ac:dyDescent="0.15">
      <c r="A21" s="110">
        <v>47008108</v>
      </c>
      <c r="B21" s="47">
        <v>1</v>
      </c>
      <c r="C21" s="115">
        <v>260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115">
        <v>1356</v>
      </c>
      <c r="J21" s="48">
        <f t="shared" si="6"/>
        <v>100</v>
      </c>
    </row>
    <row r="22" spans="1:10" ht="21" customHeight="1" x14ac:dyDescent="0.15">
      <c r="A22" s="110">
        <v>47008109</v>
      </c>
      <c r="B22" s="115">
        <v>1</v>
      </c>
      <c r="C22" s="115">
        <v>280</v>
      </c>
      <c r="D22" s="115">
        <v>100</v>
      </c>
      <c r="E22" s="115" t="s">
        <v>89</v>
      </c>
      <c r="F22" s="115" t="s">
        <v>89</v>
      </c>
      <c r="G22" s="115">
        <v>1</v>
      </c>
      <c r="H22" s="115" t="s">
        <v>89</v>
      </c>
      <c r="I22" s="115">
        <v>1355</v>
      </c>
      <c r="J22" s="48">
        <f t="shared" si="6"/>
        <v>100</v>
      </c>
    </row>
    <row r="23" spans="1:10" ht="21" customHeight="1" x14ac:dyDescent="0.15">
      <c r="A23" s="110">
        <v>47008110</v>
      </c>
      <c r="B23" s="47">
        <v>1</v>
      </c>
      <c r="C23" s="115">
        <v>250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115">
        <v>1354</v>
      </c>
      <c r="J23" s="48">
        <f t="shared" si="6"/>
        <v>100</v>
      </c>
    </row>
    <row r="24" spans="1:10" ht="21" customHeight="1" x14ac:dyDescent="0.15">
      <c r="A24" s="111">
        <v>47008200</v>
      </c>
      <c r="B24" s="115">
        <v>1</v>
      </c>
      <c r="C24" s="115">
        <v>100</v>
      </c>
      <c r="D24" s="115">
        <v>100</v>
      </c>
      <c r="E24" s="115" t="s">
        <v>89</v>
      </c>
      <c r="F24" s="115" t="s">
        <v>89</v>
      </c>
      <c r="G24" s="115">
        <v>1</v>
      </c>
      <c r="H24" s="115" t="s">
        <v>89</v>
      </c>
      <c r="I24" s="115" t="s">
        <v>89</v>
      </c>
      <c r="J24" s="48">
        <f t="shared" si="1"/>
        <v>100</v>
      </c>
    </row>
    <row r="25" spans="1:10" ht="21" customHeight="1" x14ac:dyDescent="0.15">
      <c r="A25" s="111">
        <v>47008201</v>
      </c>
      <c r="B25" s="115">
        <v>0</v>
      </c>
      <c r="C25" s="115">
        <v>40</v>
      </c>
      <c r="D25" s="115">
        <v>100</v>
      </c>
      <c r="E25" s="115" t="s">
        <v>89</v>
      </c>
      <c r="F25" s="115" t="s">
        <v>89</v>
      </c>
      <c r="G25" s="115">
        <v>1</v>
      </c>
      <c r="H25" s="115">
        <v>1</v>
      </c>
      <c r="I25" s="115" t="s">
        <v>260</v>
      </c>
      <c r="J25" s="48">
        <f t="shared" si="1"/>
        <v>100</v>
      </c>
    </row>
    <row r="26" spans="1:10" ht="21" customHeight="1" x14ac:dyDescent="0.15">
      <c r="A26" s="111">
        <v>47008202</v>
      </c>
      <c r="B26" s="115">
        <v>0</v>
      </c>
      <c r="C26" s="115">
        <v>30</v>
      </c>
      <c r="D26" s="115">
        <v>100</v>
      </c>
      <c r="E26" s="115" t="s">
        <v>89</v>
      </c>
      <c r="F26" s="115" t="s">
        <v>89</v>
      </c>
      <c r="G26" s="115">
        <v>1</v>
      </c>
      <c r="H26" s="115">
        <v>1</v>
      </c>
      <c r="I26" s="115" t="s">
        <v>260</v>
      </c>
      <c r="J26" s="48">
        <f t="shared" si="1"/>
        <v>100</v>
      </c>
    </row>
    <row r="27" spans="1:10" ht="21" customHeight="1" x14ac:dyDescent="0.15">
      <c r="A27" s="111">
        <v>47008203</v>
      </c>
      <c r="B27" s="115">
        <v>0</v>
      </c>
      <c r="C27" s="115">
        <v>20</v>
      </c>
      <c r="D27" s="115">
        <v>100</v>
      </c>
      <c r="E27" s="115" t="s">
        <v>89</v>
      </c>
      <c r="F27" s="115" t="s">
        <v>89</v>
      </c>
      <c r="G27" s="115">
        <v>1</v>
      </c>
      <c r="H27" s="115">
        <v>1</v>
      </c>
      <c r="I27" s="115" t="s">
        <v>260</v>
      </c>
      <c r="J27" s="48">
        <f t="shared" si="1"/>
        <v>100</v>
      </c>
    </row>
    <row r="28" spans="1:10" ht="21" customHeight="1" x14ac:dyDescent="0.15">
      <c r="A28" s="111">
        <v>47008204</v>
      </c>
      <c r="B28" s="115">
        <v>0</v>
      </c>
      <c r="C28" s="115">
        <v>10</v>
      </c>
      <c r="D28" s="115">
        <v>100</v>
      </c>
      <c r="E28" s="115" t="s">
        <v>89</v>
      </c>
      <c r="F28" s="115" t="s">
        <v>89</v>
      </c>
      <c r="G28" s="115">
        <v>1</v>
      </c>
      <c r="H28" s="115">
        <v>1</v>
      </c>
      <c r="I28" s="115" t="s">
        <v>260</v>
      </c>
      <c r="J28" s="48">
        <f t="shared" si="1"/>
        <v>100</v>
      </c>
    </row>
    <row r="29" spans="1:10" ht="21" customHeight="1" x14ac:dyDescent="0.15">
      <c r="A29" s="111">
        <v>47008205</v>
      </c>
      <c r="B29" s="115">
        <v>0</v>
      </c>
      <c r="C29" s="115">
        <v>50</v>
      </c>
      <c r="D29" s="115">
        <v>100</v>
      </c>
      <c r="E29" s="115" t="s">
        <v>89</v>
      </c>
      <c r="F29" s="115" t="s">
        <v>273</v>
      </c>
      <c r="G29" s="115" t="s">
        <v>274</v>
      </c>
      <c r="H29" s="115">
        <v>2</v>
      </c>
      <c r="I29" s="115" t="s">
        <v>89</v>
      </c>
      <c r="J29" s="48">
        <f t="shared" si="1"/>
        <v>100</v>
      </c>
    </row>
    <row r="30" spans="1:10" ht="21" customHeight="1" x14ac:dyDescent="0.15">
      <c r="A30" s="111">
        <v>47008206</v>
      </c>
      <c r="B30" s="115">
        <v>0</v>
      </c>
      <c r="C30" s="115">
        <v>60</v>
      </c>
      <c r="D30" s="115">
        <v>100</v>
      </c>
      <c r="E30" s="115">
        <v>70</v>
      </c>
      <c r="F30" s="115" t="s">
        <v>89</v>
      </c>
      <c r="G30" s="115">
        <v>1</v>
      </c>
      <c r="H30" s="115">
        <v>1</v>
      </c>
      <c r="I30" s="115" t="s">
        <v>260</v>
      </c>
      <c r="J30" s="48">
        <f t="shared" si="1"/>
        <v>100</v>
      </c>
    </row>
    <row r="31" spans="1:10" ht="21" customHeight="1" x14ac:dyDescent="0.15">
      <c r="A31" s="112">
        <v>47008300</v>
      </c>
      <c r="B31" s="115">
        <v>1</v>
      </c>
      <c r="C31" s="115">
        <v>400</v>
      </c>
      <c r="D31" s="115">
        <v>100</v>
      </c>
      <c r="E31" s="115" t="s">
        <v>89</v>
      </c>
      <c r="F31" s="115" t="s">
        <v>89</v>
      </c>
      <c r="G31" s="115">
        <v>1</v>
      </c>
      <c r="H31" s="115" t="s">
        <v>89</v>
      </c>
      <c r="I31" s="115">
        <v>1362</v>
      </c>
      <c r="J31" s="48">
        <f t="shared" si="1"/>
        <v>100</v>
      </c>
    </row>
    <row r="32" spans="1:10" ht="21" customHeight="1" x14ac:dyDescent="0.15">
      <c r="A32" s="112">
        <v>47008301</v>
      </c>
      <c r="B32" s="115">
        <v>1</v>
      </c>
      <c r="C32" s="115">
        <v>300</v>
      </c>
      <c r="D32" s="115">
        <v>100</v>
      </c>
      <c r="E32" s="115" t="s">
        <v>89</v>
      </c>
      <c r="F32" s="115" t="s">
        <v>89</v>
      </c>
      <c r="G32" s="115">
        <v>1</v>
      </c>
      <c r="H32" s="115" t="s">
        <v>89</v>
      </c>
      <c r="I32" s="115">
        <v>1359</v>
      </c>
      <c r="J32" s="48">
        <f t="shared" si="1"/>
        <v>100</v>
      </c>
    </row>
    <row r="33" spans="1:10" ht="21" customHeight="1" x14ac:dyDescent="0.15">
      <c r="A33" s="112">
        <v>47008302</v>
      </c>
      <c r="B33" s="115">
        <v>1</v>
      </c>
      <c r="C33" s="115">
        <v>100</v>
      </c>
      <c r="D33" s="115">
        <v>100</v>
      </c>
      <c r="E33" s="115" t="s">
        <v>89</v>
      </c>
      <c r="F33" s="115" t="s">
        <v>89</v>
      </c>
      <c r="G33" s="115">
        <v>1</v>
      </c>
      <c r="H33" s="115" t="s">
        <v>89</v>
      </c>
      <c r="I33" s="115" t="s">
        <v>89</v>
      </c>
      <c r="J33" s="48">
        <f t="shared" si="1"/>
        <v>100</v>
      </c>
    </row>
    <row r="34" spans="1:10" ht="21" customHeight="1" x14ac:dyDescent="0.15">
      <c r="A34" s="112">
        <v>47008303</v>
      </c>
      <c r="B34" s="115">
        <v>0</v>
      </c>
      <c r="C34" s="115">
        <v>10</v>
      </c>
      <c r="D34" s="115">
        <v>100</v>
      </c>
      <c r="E34" s="115" t="s">
        <v>89</v>
      </c>
      <c r="F34" s="115" t="s">
        <v>89</v>
      </c>
      <c r="G34" s="115" t="s">
        <v>272</v>
      </c>
      <c r="H34" s="115">
        <v>1</v>
      </c>
      <c r="I34" s="115" t="s">
        <v>260</v>
      </c>
      <c r="J34" s="48">
        <f t="shared" si="1"/>
        <v>100</v>
      </c>
    </row>
    <row r="35" spans="1:10" ht="21" customHeight="1" x14ac:dyDescent="0.15">
      <c r="A35" s="112">
        <v>47008304</v>
      </c>
      <c r="B35" s="115">
        <v>0</v>
      </c>
      <c r="C35" s="115">
        <v>20</v>
      </c>
      <c r="D35" s="115">
        <v>100</v>
      </c>
      <c r="E35" s="115" t="s">
        <v>89</v>
      </c>
      <c r="F35" s="115" t="s">
        <v>273</v>
      </c>
      <c r="G35" s="115" t="s">
        <v>274</v>
      </c>
      <c r="H35" s="115">
        <v>2</v>
      </c>
      <c r="I35" s="115" t="s">
        <v>89</v>
      </c>
      <c r="J35" s="48">
        <f t="shared" si="1"/>
        <v>100</v>
      </c>
    </row>
    <row r="36" spans="1:10" ht="21" customHeight="1" x14ac:dyDescent="0.15">
      <c r="A36" s="112">
        <v>47008305</v>
      </c>
      <c r="B36" s="115">
        <v>0</v>
      </c>
      <c r="C36" s="115">
        <v>30</v>
      </c>
      <c r="D36" s="115">
        <v>100</v>
      </c>
      <c r="E36" s="115">
        <v>50</v>
      </c>
      <c r="F36" s="115" t="s">
        <v>89</v>
      </c>
      <c r="G36" s="115">
        <v>1</v>
      </c>
      <c r="H36" s="115">
        <v>1</v>
      </c>
      <c r="I36" s="115" t="s">
        <v>260</v>
      </c>
      <c r="J36" s="48">
        <f t="shared" si="1"/>
        <v>100</v>
      </c>
    </row>
    <row r="37" spans="1:10" ht="21" customHeight="1" x14ac:dyDescent="0.15">
      <c r="A37" s="112">
        <v>47008306</v>
      </c>
      <c r="B37" s="47">
        <v>1</v>
      </c>
      <c r="C37" s="115">
        <v>290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115">
        <v>1358</v>
      </c>
      <c r="J37" s="48">
        <f t="shared" si="1"/>
        <v>100</v>
      </c>
    </row>
    <row r="38" spans="1:10" ht="21" customHeight="1" x14ac:dyDescent="0.15">
      <c r="A38" s="112">
        <v>47008307</v>
      </c>
      <c r="B38" s="115">
        <v>1</v>
      </c>
      <c r="C38" s="115">
        <v>270</v>
      </c>
      <c r="D38" s="115">
        <v>100</v>
      </c>
      <c r="E38" s="115" t="s">
        <v>89</v>
      </c>
      <c r="F38" s="115" t="s">
        <v>89</v>
      </c>
      <c r="G38" s="115">
        <v>1</v>
      </c>
      <c r="H38" s="115" t="s">
        <v>89</v>
      </c>
      <c r="I38" s="115">
        <v>1357</v>
      </c>
      <c r="J38" s="48">
        <f t="shared" si="1"/>
        <v>100</v>
      </c>
    </row>
    <row r="39" spans="1:10" ht="21" customHeight="1" x14ac:dyDescent="0.15">
      <c r="A39" s="112">
        <v>47008308</v>
      </c>
      <c r="B39" s="47">
        <v>1</v>
      </c>
      <c r="C39" s="115">
        <v>260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115">
        <v>1356</v>
      </c>
      <c r="J39" s="48">
        <f t="shared" si="1"/>
        <v>100</v>
      </c>
    </row>
    <row r="40" spans="1:10" ht="21" customHeight="1" x14ac:dyDescent="0.15">
      <c r="A40" s="112">
        <v>47008309</v>
      </c>
      <c r="B40" s="115">
        <v>1</v>
      </c>
      <c r="C40" s="115">
        <v>280</v>
      </c>
      <c r="D40" s="115">
        <v>100</v>
      </c>
      <c r="E40" s="115" t="s">
        <v>89</v>
      </c>
      <c r="F40" s="115" t="s">
        <v>89</v>
      </c>
      <c r="G40" s="115">
        <v>1</v>
      </c>
      <c r="H40" s="115" t="s">
        <v>89</v>
      </c>
      <c r="I40" s="115">
        <v>1355</v>
      </c>
      <c r="J40" s="48">
        <f t="shared" si="1"/>
        <v>100</v>
      </c>
    </row>
    <row r="41" spans="1:10" ht="21" customHeight="1" x14ac:dyDescent="0.15">
      <c r="A41" s="112">
        <v>47008310</v>
      </c>
      <c r="B41" s="47">
        <v>1</v>
      </c>
      <c r="C41" s="115">
        <v>250</v>
      </c>
      <c r="D41" s="47">
        <v>100</v>
      </c>
      <c r="E41" s="47" t="s">
        <v>53</v>
      </c>
      <c r="F41" s="47" t="s">
        <v>53</v>
      </c>
      <c r="G41" s="47">
        <v>1</v>
      </c>
      <c r="H41" s="47" t="s">
        <v>53</v>
      </c>
      <c r="I41" s="115">
        <v>1354</v>
      </c>
      <c r="J41" s="48">
        <f t="shared" si="1"/>
        <v>100</v>
      </c>
    </row>
    <row r="42" spans="1:10" ht="21" customHeight="1" x14ac:dyDescent="0.15">
      <c r="A42" s="112">
        <v>47008311</v>
      </c>
      <c r="B42" s="115">
        <v>0</v>
      </c>
      <c r="C42" s="115">
        <v>25</v>
      </c>
      <c r="D42" s="115">
        <v>100</v>
      </c>
      <c r="E42" s="115" t="s">
        <v>53</v>
      </c>
      <c r="F42" s="115" t="s">
        <v>53</v>
      </c>
      <c r="G42" s="115">
        <v>1</v>
      </c>
      <c r="H42" s="115">
        <v>2</v>
      </c>
      <c r="I42" s="115" t="s">
        <v>53</v>
      </c>
      <c r="J42" s="48">
        <f t="shared" ref="J42" si="7">D42</f>
        <v>100</v>
      </c>
    </row>
    <row r="43" spans="1:10" ht="21" customHeight="1" x14ac:dyDescent="0.15">
      <c r="A43" s="113">
        <v>47008400</v>
      </c>
      <c r="B43" s="115">
        <v>1</v>
      </c>
      <c r="C43" s="115">
        <v>100</v>
      </c>
      <c r="D43" s="115">
        <v>100</v>
      </c>
      <c r="E43" s="115" t="s">
        <v>89</v>
      </c>
      <c r="F43" s="115" t="s">
        <v>89</v>
      </c>
      <c r="G43" s="115">
        <v>1</v>
      </c>
      <c r="H43" s="115" t="s">
        <v>89</v>
      </c>
      <c r="I43" s="115" t="s">
        <v>89</v>
      </c>
      <c r="J43" s="48">
        <f t="shared" si="1"/>
        <v>100</v>
      </c>
    </row>
    <row r="44" spans="1:10" ht="21" customHeight="1" x14ac:dyDescent="0.15">
      <c r="A44" s="113">
        <v>47008401</v>
      </c>
      <c r="B44" s="115">
        <v>0</v>
      </c>
      <c r="C44" s="115">
        <v>10</v>
      </c>
      <c r="D44" s="115">
        <v>100</v>
      </c>
      <c r="E44" s="115" t="s">
        <v>89</v>
      </c>
      <c r="F44" s="115" t="s">
        <v>89</v>
      </c>
      <c r="G44" s="115" t="s">
        <v>272</v>
      </c>
      <c r="H44" s="115">
        <v>1</v>
      </c>
      <c r="I44" s="115" t="s">
        <v>260</v>
      </c>
      <c r="J44" s="48">
        <f t="shared" si="1"/>
        <v>100</v>
      </c>
    </row>
    <row r="45" spans="1:10" ht="21" customHeight="1" x14ac:dyDescent="0.15">
      <c r="A45" s="113">
        <v>47008402</v>
      </c>
      <c r="B45" s="115">
        <v>0</v>
      </c>
      <c r="C45" s="115">
        <v>20</v>
      </c>
      <c r="D45" s="115">
        <v>100</v>
      </c>
      <c r="E45" s="115" t="s">
        <v>89</v>
      </c>
      <c r="F45" s="115" t="s">
        <v>273</v>
      </c>
      <c r="G45" s="115" t="s">
        <v>274</v>
      </c>
      <c r="H45" s="115">
        <v>2</v>
      </c>
      <c r="I45" s="115" t="s">
        <v>89</v>
      </c>
      <c r="J45" s="48">
        <f t="shared" si="1"/>
        <v>100</v>
      </c>
    </row>
    <row r="46" spans="1:10" ht="21" customHeight="1" x14ac:dyDescent="0.15">
      <c r="A46" s="113">
        <v>47008403</v>
      </c>
      <c r="B46" s="115">
        <v>0</v>
      </c>
      <c r="C46" s="115">
        <v>40</v>
      </c>
      <c r="D46" s="115">
        <v>100</v>
      </c>
      <c r="E46" s="115" t="s">
        <v>285</v>
      </c>
      <c r="F46" s="115" t="s">
        <v>89</v>
      </c>
      <c r="G46" s="115">
        <v>1</v>
      </c>
      <c r="H46" s="115">
        <v>1</v>
      </c>
      <c r="I46" s="115" t="s">
        <v>260</v>
      </c>
      <c r="J46" s="48">
        <f t="shared" si="1"/>
        <v>100</v>
      </c>
    </row>
    <row r="47" spans="1:10" ht="21" customHeight="1" x14ac:dyDescent="0.15">
      <c r="A47" s="113">
        <v>47008404</v>
      </c>
      <c r="B47" s="115">
        <v>0</v>
      </c>
      <c r="C47" s="115">
        <v>30</v>
      </c>
      <c r="D47" s="115">
        <v>100</v>
      </c>
      <c r="E47" s="115">
        <v>50</v>
      </c>
      <c r="F47" s="115" t="s">
        <v>89</v>
      </c>
      <c r="G47" s="115">
        <v>1</v>
      </c>
      <c r="H47" s="115">
        <v>1</v>
      </c>
      <c r="I47" s="115" t="s">
        <v>260</v>
      </c>
      <c r="J47" s="48">
        <f t="shared" si="1"/>
        <v>100</v>
      </c>
    </row>
    <row r="48" spans="1:10" ht="21" customHeight="1" x14ac:dyDescent="0.15">
      <c r="A48" s="114">
        <v>47008500</v>
      </c>
      <c r="B48" s="115">
        <v>1</v>
      </c>
      <c r="C48" s="115">
        <v>900</v>
      </c>
      <c r="D48" s="115">
        <v>100</v>
      </c>
      <c r="E48" s="115">
        <v>100</v>
      </c>
      <c r="F48" s="115" t="s">
        <v>89</v>
      </c>
      <c r="G48" s="115">
        <v>1</v>
      </c>
      <c r="H48" s="115" t="s">
        <v>89</v>
      </c>
      <c r="I48" s="115">
        <v>1362</v>
      </c>
      <c r="J48" s="48">
        <f t="shared" si="1"/>
        <v>100</v>
      </c>
    </row>
    <row r="49" spans="1:10" ht="21" customHeight="1" x14ac:dyDescent="0.15">
      <c r="A49" s="114">
        <v>47008501</v>
      </c>
      <c r="B49" s="115">
        <v>1</v>
      </c>
      <c r="C49" s="115">
        <v>800</v>
      </c>
      <c r="D49" s="115">
        <v>100</v>
      </c>
      <c r="E49" s="115">
        <v>100</v>
      </c>
      <c r="F49" s="115" t="s">
        <v>89</v>
      </c>
      <c r="G49" s="115">
        <v>1</v>
      </c>
      <c r="H49" s="115" t="s">
        <v>89</v>
      </c>
      <c r="I49" s="115">
        <v>1359</v>
      </c>
      <c r="J49" s="48">
        <f t="shared" ref="J49" si="8">D49</f>
        <v>100</v>
      </c>
    </row>
    <row r="50" spans="1:10" ht="21" customHeight="1" x14ac:dyDescent="0.15">
      <c r="A50" s="114">
        <v>47008502</v>
      </c>
      <c r="B50" s="115">
        <v>1</v>
      </c>
      <c r="C50" s="115">
        <v>600</v>
      </c>
      <c r="D50" s="115">
        <v>100</v>
      </c>
      <c r="E50" s="115">
        <v>100</v>
      </c>
      <c r="F50" s="115" t="s">
        <v>89</v>
      </c>
      <c r="G50" s="115">
        <v>1</v>
      </c>
      <c r="H50" s="115" t="s">
        <v>89</v>
      </c>
      <c r="I50" s="115" t="s">
        <v>89</v>
      </c>
      <c r="J50" s="48">
        <f t="shared" ref="J50" si="9">D50</f>
        <v>100</v>
      </c>
    </row>
    <row r="51" spans="1:10" ht="21" customHeight="1" x14ac:dyDescent="0.15">
      <c r="A51" s="114">
        <v>47008503</v>
      </c>
      <c r="B51" s="115">
        <v>0</v>
      </c>
      <c r="C51" s="115">
        <v>40</v>
      </c>
      <c r="D51" s="115">
        <v>100</v>
      </c>
      <c r="E51" s="115" t="s">
        <v>89</v>
      </c>
      <c r="F51" s="115">
        <v>50</v>
      </c>
      <c r="G51" s="115">
        <v>1</v>
      </c>
      <c r="H51" s="115">
        <v>1</v>
      </c>
      <c r="I51" s="115" t="s">
        <v>260</v>
      </c>
      <c r="J51" s="48">
        <f t="shared" si="1"/>
        <v>100</v>
      </c>
    </row>
    <row r="52" spans="1:10" ht="21" customHeight="1" x14ac:dyDescent="0.15">
      <c r="A52" s="114">
        <v>47008504</v>
      </c>
      <c r="B52" s="115">
        <v>0</v>
      </c>
      <c r="C52" s="115">
        <v>30</v>
      </c>
      <c r="D52" s="115">
        <v>100</v>
      </c>
      <c r="E52" s="115" t="s">
        <v>89</v>
      </c>
      <c r="F52" s="115">
        <v>50</v>
      </c>
      <c r="G52" s="115">
        <v>1</v>
      </c>
      <c r="H52" s="115">
        <v>1</v>
      </c>
      <c r="I52" s="115" t="s">
        <v>260</v>
      </c>
      <c r="J52" s="48">
        <f t="shared" si="1"/>
        <v>100</v>
      </c>
    </row>
    <row r="53" spans="1:10" ht="21" customHeight="1" x14ac:dyDescent="0.15">
      <c r="A53" s="114">
        <v>47008505</v>
      </c>
      <c r="B53" s="115">
        <v>0</v>
      </c>
      <c r="C53" s="115">
        <v>20</v>
      </c>
      <c r="D53" s="115">
        <v>100</v>
      </c>
      <c r="E53" s="115" t="s">
        <v>89</v>
      </c>
      <c r="F53" s="115">
        <v>50</v>
      </c>
      <c r="G53" s="115">
        <v>1</v>
      </c>
      <c r="H53" s="115">
        <v>1</v>
      </c>
      <c r="I53" s="115" t="s">
        <v>260</v>
      </c>
      <c r="J53" s="48">
        <f t="shared" si="1"/>
        <v>100</v>
      </c>
    </row>
    <row r="54" spans="1:10" ht="21" customHeight="1" x14ac:dyDescent="0.15">
      <c r="A54" s="114">
        <v>47008506</v>
      </c>
      <c r="B54" s="115">
        <v>0</v>
      </c>
      <c r="C54" s="115">
        <v>10</v>
      </c>
      <c r="D54" s="115">
        <v>100</v>
      </c>
      <c r="E54" s="115" t="s">
        <v>89</v>
      </c>
      <c r="F54" s="115">
        <v>50</v>
      </c>
      <c r="G54" s="115">
        <v>1</v>
      </c>
      <c r="H54" s="115">
        <v>1</v>
      </c>
      <c r="I54" s="115" t="s">
        <v>260</v>
      </c>
      <c r="J54" s="48">
        <f t="shared" si="1"/>
        <v>100</v>
      </c>
    </row>
    <row r="55" spans="1:10" ht="21" customHeight="1" x14ac:dyDescent="0.15">
      <c r="A55" s="114">
        <v>47008507</v>
      </c>
      <c r="B55" s="115">
        <v>0</v>
      </c>
      <c r="C55" s="115">
        <v>60</v>
      </c>
      <c r="D55" s="115">
        <v>100</v>
      </c>
      <c r="E55" s="115">
        <v>50</v>
      </c>
      <c r="F55" s="115" t="s">
        <v>89</v>
      </c>
      <c r="G55" s="115">
        <v>1</v>
      </c>
      <c r="H55" s="115">
        <v>1</v>
      </c>
      <c r="I55" s="115" t="s">
        <v>260</v>
      </c>
      <c r="J55" s="48">
        <f t="shared" si="1"/>
        <v>100</v>
      </c>
    </row>
    <row r="56" spans="1:10" ht="21" customHeight="1" x14ac:dyDescent="0.15">
      <c r="A56" s="114">
        <v>47008508</v>
      </c>
      <c r="B56" s="115">
        <v>0</v>
      </c>
      <c r="C56" s="115">
        <v>50</v>
      </c>
      <c r="D56" s="115">
        <v>100</v>
      </c>
      <c r="E56" s="115">
        <v>50</v>
      </c>
      <c r="F56" s="115" t="s">
        <v>89</v>
      </c>
      <c r="G56" s="115" t="s">
        <v>89</v>
      </c>
      <c r="H56" s="115">
        <v>1</v>
      </c>
      <c r="I56" s="115" t="s">
        <v>260</v>
      </c>
      <c r="J56" s="48">
        <f t="shared" si="1"/>
        <v>100</v>
      </c>
    </row>
    <row r="57" spans="1:10" ht="21" customHeight="1" x14ac:dyDescent="0.15">
      <c r="A57" s="114">
        <v>47008509</v>
      </c>
      <c r="B57" s="115">
        <v>0</v>
      </c>
      <c r="C57" s="115">
        <v>100</v>
      </c>
      <c r="D57" s="115">
        <v>100</v>
      </c>
      <c r="E57" s="115">
        <v>20</v>
      </c>
      <c r="F57" s="115" t="s">
        <v>89</v>
      </c>
      <c r="G57" s="115">
        <v>1</v>
      </c>
      <c r="H57" s="115">
        <v>1</v>
      </c>
      <c r="I57" s="115" t="s">
        <v>260</v>
      </c>
      <c r="J57" s="48">
        <f t="shared" si="1"/>
        <v>100</v>
      </c>
    </row>
    <row r="58" spans="1:10" ht="21" customHeight="1" x14ac:dyDescent="0.15">
      <c r="A58" s="114">
        <v>47008510</v>
      </c>
      <c r="B58" s="115">
        <v>0</v>
      </c>
      <c r="C58" s="115">
        <v>90</v>
      </c>
      <c r="D58" s="115">
        <v>100</v>
      </c>
      <c r="E58" s="115">
        <v>20</v>
      </c>
      <c r="F58" s="115" t="s">
        <v>89</v>
      </c>
      <c r="G58" s="115">
        <v>1</v>
      </c>
      <c r="H58" s="115">
        <v>1</v>
      </c>
      <c r="I58" s="115" t="s">
        <v>260</v>
      </c>
      <c r="J58" s="48">
        <f t="shared" si="1"/>
        <v>100</v>
      </c>
    </row>
    <row r="59" spans="1:10" ht="21" customHeight="1" x14ac:dyDescent="0.15">
      <c r="A59" s="114">
        <v>47008514</v>
      </c>
      <c r="B59" s="115">
        <v>0</v>
      </c>
      <c r="C59" s="115">
        <v>400</v>
      </c>
      <c r="D59" s="115">
        <v>100</v>
      </c>
      <c r="E59" s="115" t="s">
        <v>90</v>
      </c>
      <c r="F59" s="115" t="s">
        <v>89</v>
      </c>
      <c r="G59" s="115">
        <v>0</v>
      </c>
      <c r="H59" s="115" t="s">
        <v>302</v>
      </c>
      <c r="I59" s="115">
        <v>1362</v>
      </c>
      <c r="J59" s="48">
        <f t="shared" ref="J59:J61" si="10">D59</f>
        <v>100</v>
      </c>
    </row>
    <row r="60" spans="1:10" ht="21" customHeight="1" x14ac:dyDescent="0.15">
      <c r="A60" s="114">
        <v>47008515</v>
      </c>
      <c r="B60" s="115">
        <v>0</v>
      </c>
      <c r="C60" s="115">
        <v>80</v>
      </c>
      <c r="D60" s="115">
        <v>100</v>
      </c>
      <c r="E60" s="115">
        <v>20</v>
      </c>
      <c r="F60" s="115" t="s">
        <v>53</v>
      </c>
      <c r="G60" s="115" t="s">
        <v>311</v>
      </c>
      <c r="H60" s="115">
        <v>1</v>
      </c>
      <c r="I60" s="115" t="s">
        <v>53</v>
      </c>
      <c r="J60" s="48">
        <f t="shared" si="10"/>
        <v>100</v>
      </c>
    </row>
    <row r="61" spans="1:10" ht="21" customHeight="1" x14ac:dyDescent="0.15">
      <c r="A61" s="114">
        <v>47008516</v>
      </c>
      <c r="B61" s="115">
        <v>0</v>
      </c>
      <c r="C61" s="115">
        <v>70</v>
      </c>
      <c r="D61" s="115">
        <v>100</v>
      </c>
      <c r="E61" s="115">
        <v>20</v>
      </c>
      <c r="F61" s="115" t="s">
        <v>53</v>
      </c>
      <c r="G61" s="115" t="s">
        <v>312</v>
      </c>
      <c r="H61" s="115">
        <v>1</v>
      </c>
      <c r="I61" s="115" t="s">
        <v>53</v>
      </c>
      <c r="J61" s="48">
        <f t="shared" si="10"/>
        <v>100</v>
      </c>
    </row>
    <row r="62" spans="1:10" ht="21" customHeight="1" x14ac:dyDescent="0.15">
      <c r="A62" s="114">
        <v>47008517</v>
      </c>
      <c r="B62" s="115">
        <v>0</v>
      </c>
      <c r="C62" s="115">
        <v>300</v>
      </c>
      <c r="D62" s="115">
        <v>100</v>
      </c>
      <c r="E62" s="115" t="s">
        <v>53</v>
      </c>
      <c r="F62" s="115" t="s">
        <v>89</v>
      </c>
      <c r="G62" s="115">
        <v>0</v>
      </c>
      <c r="H62" s="115" t="s">
        <v>302</v>
      </c>
      <c r="I62" s="115">
        <v>1360</v>
      </c>
      <c r="J62" s="48">
        <f t="shared" ref="J62:J63" si="11">D62</f>
        <v>100</v>
      </c>
    </row>
    <row r="63" spans="1:10" ht="21" customHeight="1" x14ac:dyDescent="0.15">
      <c r="A63" s="114">
        <v>47008518</v>
      </c>
      <c r="B63" s="115">
        <v>0</v>
      </c>
      <c r="C63" s="115">
        <v>310</v>
      </c>
      <c r="D63" s="115">
        <v>100</v>
      </c>
      <c r="E63" s="115" t="s">
        <v>53</v>
      </c>
      <c r="F63" s="115" t="s">
        <v>89</v>
      </c>
      <c r="G63" s="115">
        <v>0</v>
      </c>
      <c r="H63" s="115" t="s">
        <v>302</v>
      </c>
      <c r="I63" s="115">
        <v>1359</v>
      </c>
      <c r="J63" s="48">
        <f t="shared" si="11"/>
        <v>100</v>
      </c>
    </row>
    <row r="64" spans="1:10" ht="21" customHeight="1" x14ac:dyDescent="0.15">
      <c r="A64" s="114">
        <v>47008519</v>
      </c>
      <c r="B64" s="115">
        <v>0</v>
      </c>
      <c r="C64" s="115">
        <v>290</v>
      </c>
      <c r="D64" s="115">
        <v>100</v>
      </c>
      <c r="E64" s="115" t="s">
        <v>53</v>
      </c>
      <c r="F64" s="115" t="s">
        <v>89</v>
      </c>
      <c r="G64" s="115">
        <v>0</v>
      </c>
      <c r="H64" s="115" t="s">
        <v>302</v>
      </c>
      <c r="I64" s="115">
        <v>1358</v>
      </c>
      <c r="J64" s="48">
        <f t="shared" ref="J64:J67" si="12">D64</f>
        <v>100</v>
      </c>
    </row>
    <row r="65" spans="1:10" ht="21" customHeight="1" x14ac:dyDescent="0.15">
      <c r="A65" s="114">
        <v>47008520</v>
      </c>
      <c r="B65" s="115">
        <v>0</v>
      </c>
      <c r="C65" s="115">
        <v>270</v>
      </c>
      <c r="D65" s="115">
        <v>100</v>
      </c>
      <c r="E65" s="115" t="s">
        <v>53</v>
      </c>
      <c r="F65" s="115" t="s">
        <v>89</v>
      </c>
      <c r="G65" s="115">
        <v>0</v>
      </c>
      <c r="H65" s="115" t="s">
        <v>302</v>
      </c>
      <c r="I65" s="115">
        <v>1357</v>
      </c>
      <c r="J65" s="48">
        <f t="shared" si="12"/>
        <v>100</v>
      </c>
    </row>
    <row r="66" spans="1:10" ht="21" customHeight="1" x14ac:dyDescent="0.15">
      <c r="A66" s="114">
        <v>47008521</v>
      </c>
      <c r="B66" s="115">
        <v>0</v>
      </c>
      <c r="C66" s="115">
        <v>260</v>
      </c>
      <c r="D66" s="115">
        <v>100</v>
      </c>
      <c r="E66" s="115" t="s">
        <v>53</v>
      </c>
      <c r="F66" s="115" t="s">
        <v>89</v>
      </c>
      <c r="G66" s="115">
        <v>0</v>
      </c>
      <c r="H66" s="115" t="s">
        <v>302</v>
      </c>
      <c r="I66" s="115">
        <v>1356</v>
      </c>
      <c r="J66" s="48">
        <f t="shared" si="12"/>
        <v>100</v>
      </c>
    </row>
    <row r="67" spans="1:10" ht="21" customHeight="1" x14ac:dyDescent="0.15">
      <c r="A67" s="114">
        <v>47008522</v>
      </c>
      <c r="B67" s="115">
        <v>0</v>
      </c>
      <c r="C67" s="115">
        <v>280</v>
      </c>
      <c r="D67" s="115">
        <v>100</v>
      </c>
      <c r="E67" s="115" t="s">
        <v>53</v>
      </c>
      <c r="F67" s="115" t="s">
        <v>89</v>
      </c>
      <c r="G67" s="115">
        <v>0</v>
      </c>
      <c r="H67" s="115" t="s">
        <v>302</v>
      </c>
      <c r="I67" s="115">
        <v>1355</v>
      </c>
      <c r="J67" s="48">
        <f t="shared" si="12"/>
        <v>100</v>
      </c>
    </row>
    <row r="68" spans="1:10" ht="21" customHeight="1" x14ac:dyDescent="0.15">
      <c r="A68" s="114">
        <v>47008523</v>
      </c>
      <c r="B68" s="115">
        <v>0</v>
      </c>
      <c r="C68" s="115">
        <v>250</v>
      </c>
      <c r="D68" s="115">
        <v>100</v>
      </c>
      <c r="E68" s="115" t="s">
        <v>53</v>
      </c>
      <c r="F68" s="115" t="s">
        <v>89</v>
      </c>
      <c r="G68" s="115">
        <v>0</v>
      </c>
      <c r="H68" s="115" t="s">
        <v>302</v>
      </c>
      <c r="I68" s="115">
        <v>1354</v>
      </c>
      <c r="J68" s="48">
        <f t="shared" ref="J68:J75" si="13">D68</f>
        <v>100</v>
      </c>
    </row>
    <row r="69" spans="1:10" ht="21" customHeight="1" x14ac:dyDescent="0.15">
      <c r="A69" s="114">
        <v>47008524</v>
      </c>
      <c r="B69" s="115">
        <v>0</v>
      </c>
      <c r="C69" s="115">
        <v>100</v>
      </c>
      <c r="D69" s="115">
        <v>100</v>
      </c>
      <c r="E69" s="115" t="s">
        <v>53</v>
      </c>
      <c r="F69" s="115" t="s">
        <v>89</v>
      </c>
      <c r="G69" s="115">
        <v>0</v>
      </c>
      <c r="H69" s="115" t="s">
        <v>302</v>
      </c>
      <c r="I69" s="115">
        <v>0</v>
      </c>
      <c r="J69" s="48">
        <f t="shared" si="13"/>
        <v>100</v>
      </c>
    </row>
    <row r="70" spans="1:10" ht="21" customHeight="1" x14ac:dyDescent="0.15">
      <c r="A70" s="114">
        <v>47008525</v>
      </c>
      <c r="B70" s="47">
        <v>1</v>
      </c>
      <c r="C70" s="115">
        <v>790</v>
      </c>
      <c r="D70" s="47">
        <v>100</v>
      </c>
      <c r="E70" s="47" t="s">
        <v>53</v>
      </c>
      <c r="F70" s="47" t="s">
        <v>53</v>
      </c>
      <c r="G70" s="47">
        <v>1</v>
      </c>
      <c r="H70" s="47" t="s">
        <v>53</v>
      </c>
      <c r="I70" s="115">
        <v>1358</v>
      </c>
      <c r="J70" s="48">
        <f t="shared" si="13"/>
        <v>100</v>
      </c>
    </row>
    <row r="71" spans="1:10" ht="21" customHeight="1" x14ac:dyDescent="0.15">
      <c r="A71" s="114">
        <v>47008526</v>
      </c>
      <c r="B71" s="115">
        <v>1</v>
      </c>
      <c r="C71" s="115">
        <v>770</v>
      </c>
      <c r="D71" s="115">
        <v>100</v>
      </c>
      <c r="E71" s="115" t="s">
        <v>89</v>
      </c>
      <c r="F71" s="115" t="s">
        <v>89</v>
      </c>
      <c r="G71" s="115">
        <v>1</v>
      </c>
      <c r="H71" s="115" t="s">
        <v>89</v>
      </c>
      <c r="I71" s="115">
        <v>1357</v>
      </c>
      <c r="J71" s="48">
        <f t="shared" si="13"/>
        <v>100</v>
      </c>
    </row>
    <row r="72" spans="1:10" ht="21" customHeight="1" x14ac:dyDescent="0.15">
      <c r="A72" s="114">
        <v>47008527</v>
      </c>
      <c r="B72" s="47">
        <v>1</v>
      </c>
      <c r="C72" s="115">
        <v>760</v>
      </c>
      <c r="D72" s="47">
        <v>100</v>
      </c>
      <c r="E72" s="47" t="s">
        <v>53</v>
      </c>
      <c r="F72" s="47" t="s">
        <v>53</v>
      </c>
      <c r="G72" s="47">
        <v>1</v>
      </c>
      <c r="H72" s="47" t="s">
        <v>53</v>
      </c>
      <c r="I72" s="115">
        <v>1356</v>
      </c>
      <c r="J72" s="48">
        <f t="shared" si="13"/>
        <v>100</v>
      </c>
    </row>
    <row r="73" spans="1:10" ht="21" customHeight="1" x14ac:dyDescent="0.15">
      <c r="A73" s="114">
        <v>47008528</v>
      </c>
      <c r="B73" s="115">
        <v>1</v>
      </c>
      <c r="C73" s="115">
        <v>780</v>
      </c>
      <c r="D73" s="115">
        <v>100</v>
      </c>
      <c r="E73" s="115" t="s">
        <v>89</v>
      </c>
      <c r="F73" s="115" t="s">
        <v>89</v>
      </c>
      <c r="G73" s="115">
        <v>1</v>
      </c>
      <c r="H73" s="115" t="s">
        <v>89</v>
      </c>
      <c r="I73" s="115">
        <v>1355</v>
      </c>
      <c r="J73" s="48">
        <f t="shared" si="13"/>
        <v>100</v>
      </c>
    </row>
    <row r="74" spans="1:10" ht="21" customHeight="1" x14ac:dyDescent="0.15">
      <c r="A74" s="114">
        <v>47008529</v>
      </c>
      <c r="B74" s="47">
        <v>1</v>
      </c>
      <c r="C74" s="115">
        <v>750</v>
      </c>
      <c r="D74" s="47">
        <v>100</v>
      </c>
      <c r="E74" s="47" t="s">
        <v>53</v>
      </c>
      <c r="F74" s="47" t="s">
        <v>53</v>
      </c>
      <c r="G74" s="47">
        <v>1</v>
      </c>
      <c r="H74" s="47" t="s">
        <v>53</v>
      </c>
      <c r="I74" s="115">
        <v>1354</v>
      </c>
      <c r="J74" s="48">
        <f t="shared" si="13"/>
        <v>100</v>
      </c>
    </row>
    <row r="75" spans="1:10" ht="21" customHeight="1" x14ac:dyDescent="0.15">
      <c r="A75" s="114">
        <v>47008530</v>
      </c>
      <c r="B75" s="115">
        <v>0</v>
      </c>
      <c r="C75" s="115">
        <v>9</v>
      </c>
      <c r="D75" s="115">
        <v>100</v>
      </c>
      <c r="E75" s="115" t="s">
        <v>53</v>
      </c>
      <c r="F75" s="115">
        <v>50</v>
      </c>
      <c r="G75" s="115" t="s">
        <v>259</v>
      </c>
      <c r="H75" s="115">
        <v>1</v>
      </c>
      <c r="I75" s="115" t="s">
        <v>259</v>
      </c>
      <c r="J75" s="48">
        <f t="shared" si="13"/>
        <v>100</v>
      </c>
    </row>
  </sheetData>
  <autoFilter ref="A1:G1"/>
  <phoneticPr fontId="5"/>
  <conditionalFormatting sqref="K76:K1048576 K51:K58 K1:K7 K16:K18 K13 K24:K36 K43:K48">
    <cfRule type="duplicateValues" dxfId="28" priority="31"/>
  </conditionalFormatting>
  <conditionalFormatting sqref="K50">
    <cfRule type="duplicateValues" dxfId="27" priority="30"/>
  </conditionalFormatting>
  <conditionalFormatting sqref="K49">
    <cfRule type="duplicateValues" dxfId="26" priority="29"/>
  </conditionalFormatting>
  <conditionalFormatting sqref="K14">
    <cfRule type="duplicateValues" dxfId="25" priority="28"/>
  </conditionalFormatting>
  <conditionalFormatting sqref="K15">
    <cfRule type="duplicateValues" dxfId="24" priority="27"/>
  </conditionalFormatting>
  <conditionalFormatting sqref="K59">
    <cfRule type="duplicateValues" dxfId="23" priority="26"/>
  </conditionalFormatting>
  <conditionalFormatting sqref="K60:K61">
    <cfRule type="duplicateValues" dxfId="22" priority="25"/>
  </conditionalFormatting>
  <conditionalFormatting sqref="K62">
    <cfRule type="duplicateValues" dxfId="21" priority="23"/>
  </conditionalFormatting>
  <conditionalFormatting sqref="K63">
    <cfRule type="duplicateValues" dxfId="20" priority="22"/>
  </conditionalFormatting>
  <conditionalFormatting sqref="K64">
    <cfRule type="duplicateValues" dxfId="19" priority="21"/>
  </conditionalFormatting>
  <conditionalFormatting sqref="K65">
    <cfRule type="duplicateValues" dxfId="18" priority="20"/>
  </conditionalFormatting>
  <conditionalFormatting sqref="K66">
    <cfRule type="duplicateValues" dxfId="17" priority="19"/>
  </conditionalFormatting>
  <conditionalFormatting sqref="K67">
    <cfRule type="duplicateValues" dxfId="16" priority="18"/>
  </conditionalFormatting>
  <conditionalFormatting sqref="K68">
    <cfRule type="duplicateValues" dxfId="15" priority="17"/>
  </conditionalFormatting>
  <conditionalFormatting sqref="K69">
    <cfRule type="duplicateValues" dxfId="14" priority="16"/>
  </conditionalFormatting>
  <conditionalFormatting sqref="K8:K9">
    <cfRule type="duplicateValues" dxfId="13" priority="15"/>
  </conditionalFormatting>
  <conditionalFormatting sqref="K10:K11">
    <cfRule type="duplicateValues" dxfId="12" priority="14"/>
  </conditionalFormatting>
  <conditionalFormatting sqref="K12">
    <cfRule type="duplicateValues" dxfId="11" priority="36"/>
  </conditionalFormatting>
  <conditionalFormatting sqref="K19:K20">
    <cfRule type="duplicateValues" dxfId="10" priority="10"/>
  </conditionalFormatting>
  <conditionalFormatting sqref="K21:K22">
    <cfRule type="duplicateValues" dxfId="9" priority="9"/>
  </conditionalFormatting>
  <conditionalFormatting sqref="K23">
    <cfRule type="duplicateValues" dxfId="8" priority="11"/>
  </conditionalFormatting>
  <conditionalFormatting sqref="K37:K38">
    <cfRule type="duplicateValues" dxfId="7" priority="7"/>
  </conditionalFormatting>
  <conditionalFormatting sqref="K39:K40">
    <cfRule type="duplicateValues" dxfId="6" priority="6"/>
  </conditionalFormatting>
  <conditionalFormatting sqref="K41">
    <cfRule type="duplicateValues" dxfId="5" priority="8"/>
  </conditionalFormatting>
  <conditionalFormatting sqref="K70:K71">
    <cfRule type="duplicateValues" dxfId="4" priority="4"/>
  </conditionalFormatting>
  <conditionalFormatting sqref="K72:K73">
    <cfRule type="duplicateValues" dxfId="3" priority="3"/>
  </conditionalFormatting>
  <conditionalFormatting sqref="K74">
    <cfRule type="duplicateValues" dxfId="2" priority="5"/>
  </conditionalFormatting>
  <conditionalFormatting sqref="K75">
    <cfRule type="duplicateValues" dxfId="1" priority="2"/>
  </conditionalFormatting>
  <conditionalFormatting sqref="K4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I34" sqref="I3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47008</v>
      </c>
      <c r="B2" s="57">
        <v>1</v>
      </c>
      <c r="C2" s="72" t="str">
        <f>A2&amp; "_"&amp;B2</f>
        <v>47008_1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30214</v>
      </c>
      <c r="H2" s="57" t="s">
        <v>363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v>47008</v>
      </c>
      <c r="B3" s="57">
        <v>1</v>
      </c>
      <c r="C3" s="72" t="str">
        <f t="shared" ref="C3:C20" si="0">A3&amp; "_"&amp;B3</f>
        <v>47008_1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364</v>
      </c>
      <c r="G3" s="57">
        <v>75</v>
      </c>
      <c r="H3" s="57" t="s">
        <v>363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57" t="s">
        <v>171</v>
      </c>
    </row>
    <row r="4" spans="1:18" x14ac:dyDescent="0.15">
      <c r="A4" s="57">
        <v>47008</v>
      </c>
      <c r="B4" s="57">
        <v>1</v>
      </c>
      <c r="C4" s="72" t="str">
        <f t="shared" si="0"/>
        <v>47008_1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365</v>
      </c>
      <c r="G4" s="57">
        <v>337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180</v>
      </c>
      <c r="Q4" s="57" t="s">
        <v>170</v>
      </c>
      <c r="R4" s="57" t="s">
        <v>171</v>
      </c>
    </row>
    <row r="5" spans="1:18" x14ac:dyDescent="0.15">
      <c r="A5" s="57">
        <v>47008</v>
      </c>
      <c r="B5" s="57">
        <v>1</v>
      </c>
      <c r="C5" s="72" t="str">
        <f t="shared" si="0"/>
        <v>47008_1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365</v>
      </c>
      <c r="G5" s="57">
        <v>338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200</v>
      </c>
      <c r="Q5" s="57" t="s">
        <v>170</v>
      </c>
      <c r="R5" s="57" t="s">
        <v>171</v>
      </c>
    </row>
    <row r="6" spans="1:18" x14ac:dyDescent="0.15">
      <c r="A6" s="57">
        <v>47008</v>
      </c>
      <c r="B6" s="57">
        <v>1</v>
      </c>
      <c r="C6" s="72" t="str">
        <f t="shared" si="0"/>
        <v>47008_1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365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70</v>
      </c>
      <c r="Q6" s="57" t="s">
        <v>170</v>
      </c>
      <c r="R6" s="57" t="s">
        <v>171</v>
      </c>
    </row>
    <row r="7" spans="1:18" x14ac:dyDescent="0.15">
      <c r="A7" s="57">
        <v>47008</v>
      </c>
      <c r="B7" s="57">
        <v>1</v>
      </c>
      <c r="C7" s="72" t="str">
        <f t="shared" si="0"/>
        <v>47008_1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365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70</v>
      </c>
      <c r="Q7" s="57" t="s">
        <v>170</v>
      </c>
      <c r="R7" s="57" t="s">
        <v>171</v>
      </c>
    </row>
    <row r="8" spans="1:18" x14ac:dyDescent="0.15">
      <c r="A8" s="57">
        <v>47008</v>
      </c>
      <c r="B8" s="57">
        <v>1</v>
      </c>
      <c r="C8" s="72" t="str">
        <f t="shared" si="0"/>
        <v>47008_1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365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70</v>
      </c>
      <c r="Q8" s="57" t="s">
        <v>170</v>
      </c>
      <c r="R8" s="57" t="s">
        <v>171</v>
      </c>
    </row>
    <row r="9" spans="1:18" x14ac:dyDescent="0.15">
      <c r="A9" s="57">
        <v>47008</v>
      </c>
      <c r="B9" s="57">
        <v>1</v>
      </c>
      <c r="C9" s="72" t="str">
        <f t="shared" si="0"/>
        <v>47008_1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365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170</v>
      </c>
      <c r="R9" s="57" t="s">
        <v>171</v>
      </c>
    </row>
    <row r="10" spans="1:18" x14ac:dyDescent="0.15">
      <c r="A10" s="57">
        <v>47008</v>
      </c>
      <c r="B10" s="57">
        <v>1</v>
      </c>
      <c r="C10" s="72" t="str">
        <f t="shared" ref="C10:C11" si="1">A10&amp; "_"&amp;B10</f>
        <v>47008_1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365</v>
      </c>
      <c r="G10" s="57">
        <v>607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170</v>
      </c>
      <c r="R10" s="57" t="s">
        <v>171</v>
      </c>
    </row>
    <row r="11" spans="1:18" x14ac:dyDescent="0.15">
      <c r="A11" s="57">
        <v>47008</v>
      </c>
      <c r="B11" s="57">
        <v>1</v>
      </c>
      <c r="C11" s="72" t="str">
        <f t="shared" si="1"/>
        <v>47008_1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365</v>
      </c>
      <c r="G11" s="57">
        <v>608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170</v>
      </c>
      <c r="R11" s="57" t="s">
        <v>171</v>
      </c>
    </row>
    <row r="12" spans="1:18" x14ac:dyDescent="0.15">
      <c r="A12" s="57">
        <v>47008</v>
      </c>
      <c r="B12" s="57">
        <v>1</v>
      </c>
      <c r="C12" s="72" t="str">
        <f t="shared" ref="C12" si="2">A12&amp; "_"&amp;B12</f>
        <v>47008_1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365</v>
      </c>
      <c r="G12" s="57">
        <v>609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170</v>
      </c>
      <c r="R12" s="57" t="s">
        <v>171</v>
      </c>
    </row>
    <row r="13" spans="1:18" x14ac:dyDescent="0.15">
      <c r="A13" s="122">
        <v>47008</v>
      </c>
      <c r="B13" s="122">
        <v>2</v>
      </c>
      <c r="C13" s="72" t="str">
        <f t="shared" si="0"/>
        <v>47008_2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</v>
      </c>
      <c r="F13" s="57" t="s">
        <v>365</v>
      </c>
      <c r="G13" s="57">
        <v>338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160</v>
      </c>
      <c r="Q13" s="57" t="s">
        <v>170</v>
      </c>
      <c r="R13" s="57" t="s">
        <v>171</v>
      </c>
    </row>
    <row r="14" spans="1:18" x14ac:dyDescent="0.15">
      <c r="A14" s="122">
        <v>47008</v>
      </c>
      <c r="B14" s="122">
        <v>2</v>
      </c>
      <c r="C14" s="72" t="str">
        <f t="shared" ref="C14" si="3">A14&amp; "_"&amp;B14</f>
        <v>47008_2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2</v>
      </c>
      <c r="F14" s="57" t="s">
        <v>365</v>
      </c>
      <c r="G14" s="57">
        <v>339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40</v>
      </c>
      <c r="Q14" s="57" t="s">
        <v>170</v>
      </c>
      <c r="R14" s="57" t="s">
        <v>171</v>
      </c>
    </row>
    <row r="15" spans="1:18" x14ac:dyDescent="0.15">
      <c r="A15" s="122">
        <v>47008</v>
      </c>
      <c r="B15" s="122">
        <v>2</v>
      </c>
      <c r="C15" s="72" t="str">
        <f t="shared" si="0"/>
        <v>47008_2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3</v>
      </c>
      <c r="F15" s="57" t="s">
        <v>365</v>
      </c>
      <c r="G15" s="57">
        <v>607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110</v>
      </c>
      <c r="Q15" s="57" t="s">
        <v>170</v>
      </c>
      <c r="R15" s="57" t="s">
        <v>171</v>
      </c>
    </row>
    <row r="16" spans="1:18" x14ac:dyDescent="0.15">
      <c r="A16" s="122">
        <v>47008</v>
      </c>
      <c r="B16" s="122">
        <v>2</v>
      </c>
      <c r="C16" s="72" t="str">
        <f t="shared" si="0"/>
        <v>47008_2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4</v>
      </c>
      <c r="F16" s="57" t="s">
        <v>365</v>
      </c>
      <c r="G16" s="57">
        <v>608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110</v>
      </c>
      <c r="Q16" s="57" t="s">
        <v>170</v>
      </c>
      <c r="R16" s="57" t="s">
        <v>171</v>
      </c>
    </row>
    <row r="17" spans="1:18" x14ac:dyDescent="0.15">
      <c r="A17" s="122">
        <v>47008</v>
      </c>
      <c r="B17" s="122">
        <v>2</v>
      </c>
      <c r="C17" s="72" t="str">
        <f t="shared" si="0"/>
        <v>47008_2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5</v>
      </c>
      <c r="F17" s="57" t="s">
        <v>365</v>
      </c>
      <c r="G17" s="57">
        <v>609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110</v>
      </c>
      <c r="Q17" s="57" t="s">
        <v>170</v>
      </c>
      <c r="R17" s="57" t="s">
        <v>171</v>
      </c>
    </row>
    <row r="18" spans="1:18" x14ac:dyDescent="0.15">
      <c r="A18" s="122">
        <v>47008</v>
      </c>
      <c r="B18" s="122">
        <v>2</v>
      </c>
      <c r="C18" s="72" t="str">
        <f t="shared" si="0"/>
        <v>47008_2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6</v>
      </c>
      <c r="F18" s="57" t="s">
        <v>365</v>
      </c>
      <c r="G18" s="57">
        <v>125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40</v>
      </c>
      <c r="Q18" s="57" t="s">
        <v>170</v>
      </c>
      <c r="R18" s="57" t="s">
        <v>171</v>
      </c>
    </row>
    <row r="19" spans="1:18" x14ac:dyDescent="0.15">
      <c r="A19" s="122">
        <v>47008</v>
      </c>
      <c r="B19" s="122">
        <v>2</v>
      </c>
      <c r="C19" s="72" t="str">
        <f t="shared" si="0"/>
        <v>47008_2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7</v>
      </c>
      <c r="F19" s="57" t="s">
        <v>365</v>
      </c>
      <c r="G19" s="57">
        <v>1364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170</v>
      </c>
      <c r="Q19" s="57" t="s">
        <v>170</v>
      </c>
      <c r="R19" s="57" t="s">
        <v>171</v>
      </c>
    </row>
    <row r="20" spans="1:18" x14ac:dyDescent="0.15">
      <c r="A20" s="122">
        <v>47008</v>
      </c>
      <c r="B20" s="122">
        <v>2</v>
      </c>
      <c r="C20" s="72" t="str">
        <f t="shared" si="0"/>
        <v>47008_2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8</v>
      </c>
      <c r="F20" s="57" t="s">
        <v>365</v>
      </c>
      <c r="G20" s="57">
        <v>350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40</v>
      </c>
      <c r="Q20" s="57" t="s">
        <v>170</v>
      </c>
      <c r="R20" s="57" t="s">
        <v>171</v>
      </c>
    </row>
    <row r="21" spans="1:18" x14ac:dyDescent="0.15">
      <c r="A21" s="122">
        <v>47008</v>
      </c>
      <c r="B21" s="122">
        <v>2</v>
      </c>
      <c r="C21" s="72" t="str">
        <f t="shared" ref="C21:C23" si="4">A21&amp; "_"&amp;B21</f>
        <v>47008_2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9</v>
      </c>
      <c r="F21" s="57" t="s">
        <v>365</v>
      </c>
      <c r="G21" s="57">
        <v>350</v>
      </c>
      <c r="H21" s="57">
        <v>1</v>
      </c>
      <c r="I21" s="57">
        <v>10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40</v>
      </c>
      <c r="Q21" s="57" t="s">
        <v>170</v>
      </c>
      <c r="R21" s="57" t="s">
        <v>171</v>
      </c>
    </row>
    <row r="22" spans="1:18" x14ac:dyDescent="0.15">
      <c r="A22" s="122">
        <v>47008</v>
      </c>
      <c r="B22" s="122">
        <v>2</v>
      </c>
      <c r="C22" s="72" t="str">
        <f t="shared" si="4"/>
        <v>47008_2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10</v>
      </c>
      <c r="F22" s="57" t="s">
        <v>365</v>
      </c>
      <c r="G22" s="57">
        <v>611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20</v>
      </c>
      <c r="Q22" s="57" t="s">
        <v>170</v>
      </c>
      <c r="R22" s="57" t="s">
        <v>171</v>
      </c>
    </row>
    <row r="23" spans="1:18" x14ac:dyDescent="0.15">
      <c r="A23" s="122">
        <v>47008</v>
      </c>
      <c r="B23" s="122">
        <v>2</v>
      </c>
      <c r="C23" s="72" t="str">
        <f t="shared" si="4"/>
        <v>47008_2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11</v>
      </c>
      <c r="F23" s="57" t="s">
        <v>365</v>
      </c>
      <c r="G23" s="57">
        <v>612</v>
      </c>
      <c r="H23" s="57">
        <v>1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20</v>
      </c>
      <c r="Q23" s="57" t="s">
        <v>170</v>
      </c>
      <c r="R23" s="57" t="s">
        <v>171</v>
      </c>
    </row>
    <row r="24" spans="1:18" x14ac:dyDescent="0.15">
      <c r="A24" s="122">
        <v>47008</v>
      </c>
      <c r="B24" s="122">
        <v>2</v>
      </c>
      <c r="C24" s="72" t="str">
        <f t="shared" ref="C24" si="5">A24&amp; "_"&amp;B24</f>
        <v>47008_2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12</v>
      </c>
      <c r="F24" s="57" t="s">
        <v>365</v>
      </c>
      <c r="G24" s="57">
        <v>613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20</v>
      </c>
      <c r="Q24" s="57" t="s">
        <v>170</v>
      </c>
      <c r="R24" s="57" t="s">
        <v>171</v>
      </c>
    </row>
    <row r="25" spans="1:18" x14ac:dyDescent="0.15">
      <c r="A25" s="122">
        <v>47008</v>
      </c>
      <c r="B25" s="122">
        <v>2</v>
      </c>
      <c r="C25" s="72" t="str">
        <f>A25&amp; "_"&amp;B25</f>
        <v>47008_2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13</v>
      </c>
      <c r="F25" s="57" t="s">
        <v>169</v>
      </c>
      <c r="G25" s="57">
        <v>60214</v>
      </c>
      <c r="H25" s="57" t="s">
        <v>363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100</v>
      </c>
      <c r="Q25" s="57" t="s">
        <v>170</v>
      </c>
      <c r="R25" s="57" t="s">
        <v>171</v>
      </c>
    </row>
    <row r="26" spans="1:18" x14ac:dyDescent="0.15">
      <c r="A26" s="122">
        <v>47008</v>
      </c>
      <c r="B26" s="122">
        <v>2</v>
      </c>
      <c r="C26" s="72" t="str">
        <f t="shared" ref="C26" si="6">A26&amp; "_"&amp;B26</f>
        <v>47008_2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14</v>
      </c>
      <c r="F26" s="57" t="s">
        <v>364</v>
      </c>
      <c r="G26" s="57">
        <v>150</v>
      </c>
      <c r="H26" s="57" t="s">
        <v>363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20</v>
      </c>
      <c r="Q26" s="57" t="s">
        <v>170</v>
      </c>
      <c r="R26" s="57" t="s">
        <v>171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35"/>
  <sheetViews>
    <sheetView showGridLines="0" workbookViewId="0">
      <pane ySplit="1" topLeftCell="A25" activePane="bottomLeft" state="frozen"/>
      <selection pane="bottomLeft" activeCell="A36" sqref="A36:XFD7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189</v>
      </c>
      <c r="B1" s="74" t="s">
        <v>190</v>
      </c>
      <c r="C1" s="78" t="s">
        <v>191</v>
      </c>
      <c r="D1" s="78" t="s">
        <v>33</v>
      </c>
      <c r="E1" s="74" t="s">
        <v>192</v>
      </c>
      <c r="F1" s="78" t="s">
        <v>193</v>
      </c>
      <c r="G1" s="78" t="s">
        <v>33</v>
      </c>
      <c r="H1" s="74" t="s">
        <v>194</v>
      </c>
      <c r="I1" s="92" t="s">
        <v>196</v>
      </c>
      <c r="J1" s="80" t="s">
        <v>127</v>
      </c>
      <c r="K1" s="79" t="s">
        <v>187</v>
      </c>
      <c r="L1" s="93" t="s">
        <v>186</v>
      </c>
      <c r="M1" s="81" t="s">
        <v>197</v>
      </c>
    </row>
    <row r="2" spans="1:13" x14ac:dyDescent="0.15">
      <c r="A2" s="82" t="s">
        <v>201</v>
      </c>
      <c r="B2" s="83">
        <f>floors!$C$2</f>
        <v>47008</v>
      </c>
      <c r="C2" s="84" t="str">
        <f ca="1">VLOOKUP($B2,OFFSET([2]quests!$A$1,0,0,COUNTA([2]quests!$A:$A),MATCH(C$1,[2]quests!$1:$1,0)-MATCH($B$1,[2]quests!$1:$1,0)+1),MATCH(C$1,[2]quests!$1:$1,0)-MATCH($B$1,[2]quests!$1:$1,0)+1,FALSE)</f>
        <v>ふんわり少女の恋心</v>
      </c>
      <c r="D2" s="84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8" t="s">
        <v>214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 s="97">
        <v>3</v>
      </c>
      <c r="J2" s="85" t="s">
        <v>199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2" t="s">
        <v>201</v>
      </c>
      <c r="B3" s="83">
        <f>floors!$C$2</f>
        <v>47008</v>
      </c>
      <c r="C3" s="84" t="str">
        <f ca="1">VLOOKUP($B3,OFFSET([2]quests!$A$1,0,0,COUNTA([2]quests!$A:$A),MATCH(C$1,[2]quests!$1:$1,0)-MATCH($B$1,[2]quests!$1:$1,0)+1),MATCH(C$1,[2]quests!$1:$1,0)-MATCH($B$1,[2]quests!$1:$1,0)+1,FALSE)</f>
        <v>ふんわり少女の恋心</v>
      </c>
      <c r="D3" s="84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8" t="s">
        <v>214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 s="97">
        <v>6</v>
      </c>
      <c r="J3" s="85" t="s">
        <v>199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2" t="s">
        <v>201</v>
      </c>
      <c r="B4" s="83">
        <f>floors!$C$2</f>
        <v>47008</v>
      </c>
      <c r="C4" s="84" t="str">
        <f ca="1">VLOOKUP($B4,OFFSET([2]quests!$A$1,0,0,COUNTA([2]quests!$A:$A),MATCH(C$1,[2]quests!$1:$1,0)-MATCH($B$1,[2]quests!$1:$1,0)+1),MATCH(C$1,[2]quests!$1:$1,0)-MATCH($B$1,[2]quests!$1:$1,0)+1,FALSE)</f>
        <v>ふんわり少女の恋心</v>
      </c>
      <c r="D4" s="84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8" t="s">
        <v>214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 s="97">
        <v>7</v>
      </c>
      <c r="J4" s="85" t="s">
        <v>199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2" t="s">
        <v>201</v>
      </c>
      <c r="B5" s="83">
        <f>floors!$C$2</f>
        <v>47008</v>
      </c>
      <c r="C5" s="84" t="str">
        <f ca="1">VLOOKUP($B5,OFFSET([2]quests!$A$1,0,0,COUNTA([2]quests!$A:$A),MATCH(C$1,[2]quests!$1:$1,0)-MATCH($B$1,[2]quests!$1:$1,0)+1),MATCH(C$1,[2]quests!$1:$1,0)-MATCH($B$1,[2]quests!$1:$1,0)+1,FALSE)</f>
        <v>ふんわり少女の恋心</v>
      </c>
      <c r="D5" s="84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8" t="s">
        <v>214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 s="97">
        <v>8</v>
      </c>
      <c r="J5" s="85" t="s">
        <v>199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2" t="s">
        <v>201</v>
      </c>
      <c r="B6" s="83">
        <f>floors!$C$2</f>
        <v>47008</v>
      </c>
      <c r="C6" s="84" t="str">
        <f ca="1">VLOOKUP($B6,OFFSET([2]quests!$A$1,0,0,COUNTA([2]quests!$A:$A),MATCH(C$1,[2]quests!$1:$1,0)-MATCH($B$1,[2]quests!$1:$1,0)+1),MATCH(C$1,[2]quests!$1:$1,0)-MATCH($B$1,[2]quests!$1:$1,0)+1,FALSE)</f>
        <v>ふんわり少女の恋心</v>
      </c>
      <c r="D6" s="84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8" t="s">
        <v>214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 s="97">
        <v>9</v>
      </c>
      <c r="J6" s="85" t="s">
        <v>199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2" t="s">
        <v>201</v>
      </c>
      <c r="B7" s="83">
        <f>floors!$C$2</f>
        <v>47008</v>
      </c>
      <c r="C7" s="84" t="str">
        <f ca="1">VLOOKUP($B7,OFFSET([2]quests!$A$1,0,0,COUNTA([2]quests!$A:$A),MATCH(C$1,[2]quests!$1:$1,0)-MATCH($B$1,[2]quests!$1:$1,0)+1),MATCH(C$1,[2]quests!$1:$1,0)-MATCH($B$1,[2]quests!$1:$1,0)+1,FALSE)</f>
        <v>ふんわり少女の恋心</v>
      </c>
      <c r="D7" s="84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8" t="s">
        <v>214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 s="97">
        <v>10</v>
      </c>
      <c r="J7" s="85" t="s">
        <v>199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2" t="s">
        <v>201</v>
      </c>
      <c r="B8" s="83">
        <f>floors!$C$2</f>
        <v>47008</v>
      </c>
      <c r="C8" s="84" t="str">
        <f ca="1">VLOOKUP($B8,OFFSET([2]quests!$A$1,0,0,COUNTA([2]quests!$A:$A),MATCH(C$1,[2]quests!$1:$1,0)-MATCH($B$1,[2]quests!$1:$1,0)+1),MATCH(C$1,[2]quests!$1:$1,0)-MATCH($B$1,[2]quests!$1:$1,0)+1,FALSE)</f>
        <v>ふんわり少女の恋心</v>
      </c>
      <c r="D8" s="84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8" t="s">
        <v>214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 s="97">
        <v>11</v>
      </c>
      <c r="J8" s="85" t="s">
        <v>199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2" t="s">
        <v>201</v>
      </c>
      <c r="B9" s="83">
        <f>floors!$C$2</f>
        <v>47008</v>
      </c>
      <c r="C9" s="84" t="str">
        <f ca="1">VLOOKUP($B9,OFFSET([2]quests!$A$1,0,0,COUNTA([2]quests!$A:$A),MATCH(C$1,[2]quests!$1:$1,0)-MATCH($B$1,[2]quests!$1:$1,0)+1),MATCH(C$1,[2]quests!$1:$1,0)-MATCH($B$1,[2]quests!$1:$1,0)+1,FALSE)</f>
        <v>ふんわり少女の恋心</v>
      </c>
      <c r="D9" s="84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8" t="s">
        <v>214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 s="97">
        <v>12</v>
      </c>
      <c r="J9" s="85" t="s">
        <v>199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2" t="s">
        <v>201</v>
      </c>
      <c r="B10" s="83">
        <f>floors!$C$2</f>
        <v>47008</v>
      </c>
      <c r="C10" s="84" t="str">
        <f ca="1">VLOOKUP($B10,OFFSET([2]quests!$A$1,0,0,COUNTA([2]quests!$A:$A),MATCH(C$1,[2]quests!$1:$1,0)-MATCH($B$1,[2]quests!$1:$1,0)+1),MATCH(C$1,[2]quests!$1:$1,0)-MATCH($B$1,[2]quests!$1:$1,0)+1,FALSE)</f>
        <v>ふんわり少女の恋心</v>
      </c>
      <c r="D10" s="84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8" t="s">
        <v>214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 s="97">
        <v>13</v>
      </c>
      <c r="J10" s="85" t="s">
        <v>199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47008</v>
      </c>
      <c r="C11" s="84" t="str">
        <f ca="1">VLOOKUP($B11,OFFSET([2]quests!$A$1,0,0,COUNTA([2]quests!$A:$A),MATCH(C$1,[2]quests!$1:$1,0)-MATCH($B$1,[2]quests!$1:$1,0)+1),MATCH(C$1,[2]quests!$1:$1,0)-MATCH($B$1,[2]quests!$1:$1,0)+1,FALSE)</f>
        <v>ふんわり少女の恋心</v>
      </c>
      <c r="D11" s="84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8" t="s">
        <v>214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 s="97">
        <v>14</v>
      </c>
      <c r="J11" s="85" t="s">
        <v>199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2" t="s">
        <v>201</v>
      </c>
      <c r="B12" s="83">
        <f>floors!$C$2</f>
        <v>47008</v>
      </c>
      <c r="C12" s="84" t="str">
        <f ca="1">VLOOKUP($B12,OFFSET([2]quests!$A$1,0,0,COUNTA([2]quests!$A:$A),MATCH(C$1,[2]quests!$1:$1,0)-MATCH($B$1,[2]quests!$1:$1,0)+1),MATCH(C$1,[2]quests!$1:$1,0)-MATCH($B$1,[2]quests!$1:$1,0)+1,FALSE)</f>
        <v>ふんわり少女の恋心</v>
      </c>
      <c r="D12" s="84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8" t="s">
        <v>214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 s="97">
        <v>15</v>
      </c>
      <c r="J12" s="85" t="s">
        <v>199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2" t="s">
        <v>201</v>
      </c>
      <c r="B13" s="83">
        <f>floors!$C$2</f>
        <v>47008</v>
      </c>
      <c r="C13" s="84" t="str">
        <f ca="1">VLOOKUP($B13,OFFSET([2]quests!$A$1,0,0,COUNTA([2]quests!$A:$A),MATCH(C$1,[2]quests!$1:$1,0)-MATCH($B$1,[2]quests!$1:$1,0)+1),MATCH(C$1,[2]quests!$1:$1,0)-MATCH($B$1,[2]quests!$1:$1,0)+1,FALSE)</f>
        <v>ふんわり少女の恋心</v>
      </c>
      <c r="D13" s="84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8" t="s">
        <v>214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 s="97">
        <v>16</v>
      </c>
      <c r="J13" s="85" t="s">
        <v>199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2" t="s">
        <v>201</v>
      </c>
      <c r="B14" s="83">
        <f>floors!$C$2</f>
        <v>47008</v>
      </c>
      <c r="C14" s="84" t="str">
        <f ca="1">VLOOKUP($B14,OFFSET([2]quests!$A$1,0,0,COUNTA([2]quests!$A:$A),MATCH(C$1,[2]quests!$1:$1,0)-MATCH($B$1,[2]quests!$1:$1,0)+1),MATCH(C$1,[2]quests!$1:$1,0)-MATCH($B$1,[2]quests!$1:$1,0)+1,FALSE)</f>
        <v>ふんわり少女の恋心</v>
      </c>
      <c r="D14" s="84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8" t="s">
        <v>214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 s="97">
        <v>17</v>
      </c>
      <c r="J14" s="85" t="s">
        <v>199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2" t="s">
        <v>201</v>
      </c>
      <c r="B15" s="83">
        <f>floors!$C$2</f>
        <v>47008</v>
      </c>
      <c r="C15" s="84" t="str">
        <f ca="1">VLOOKUP($B15,OFFSET([2]quests!$A$1,0,0,COUNTA([2]quests!$A:$A),MATCH(C$1,[2]quests!$1:$1,0)-MATCH($B$1,[2]quests!$1:$1,0)+1),MATCH(C$1,[2]quests!$1:$1,0)-MATCH($B$1,[2]quests!$1:$1,0)+1,FALSE)</f>
        <v>ふんわり少女の恋心</v>
      </c>
      <c r="D15" s="84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8" t="s">
        <v>214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 s="97">
        <v>18</v>
      </c>
      <c r="J15" s="85" t="s">
        <v>199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2" t="s">
        <v>201</v>
      </c>
      <c r="B16" s="83">
        <f>floors!$C$2</f>
        <v>47008</v>
      </c>
      <c r="C16" s="84" t="str">
        <f ca="1">VLOOKUP($B16,OFFSET([2]quests!$A$1,0,0,COUNTA([2]quests!$A:$A),MATCH(C$1,[2]quests!$1:$1,0)-MATCH($B$1,[2]quests!$1:$1,0)+1),MATCH(C$1,[2]quests!$1:$1,0)-MATCH($B$1,[2]quests!$1:$1,0)+1,FALSE)</f>
        <v>ふんわり少女の恋心</v>
      </c>
      <c r="D16" s="84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8" t="s">
        <v>214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 s="97">
        <v>19</v>
      </c>
      <c r="J16" s="85" t="s">
        <v>199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2" t="s">
        <v>201</v>
      </c>
      <c r="B17" s="83">
        <f>floors!$C$2</f>
        <v>47008</v>
      </c>
      <c r="C17" s="84" t="str">
        <f ca="1">VLOOKUP($B17,OFFSET([2]quests!$A$1,0,0,COUNTA([2]quests!$A:$A),MATCH(C$1,[2]quests!$1:$1,0)-MATCH($B$1,[2]quests!$1:$1,0)+1),MATCH(C$1,[2]quests!$1:$1,0)-MATCH($B$1,[2]quests!$1:$1,0)+1,FALSE)</f>
        <v>ふんわり少女の恋心</v>
      </c>
      <c r="D17" s="84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8" t="s">
        <v>214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 s="97">
        <v>20</v>
      </c>
      <c r="J17" s="85" t="s">
        <v>199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2" t="s">
        <v>201</v>
      </c>
      <c r="B18" s="83">
        <f>floors!$C$2</f>
        <v>47008</v>
      </c>
      <c r="C18" s="84" t="str">
        <f ca="1">VLOOKUP($B18,OFFSET([2]quests!$A$1,0,0,COUNTA([2]quests!$A:$A),MATCH(C$1,[2]quests!$1:$1,0)-MATCH($B$1,[2]quests!$1:$1,0)+1),MATCH(C$1,[2]quests!$1:$1,0)-MATCH($B$1,[2]quests!$1:$1,0)+1,FALSE)</f>
        <v>ふんわり少女の恋心</v>
      </c>
      <c r="D18" s="84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8" t="s">
        <v>214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 s="97">
        <v>21</v>
      </c>
      <c r="J18" s="85" t="s">
        <v>199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2" t="s">
        <v>201</v>
      </c>
      <c r="B19" s="83">
        <f>floors!$C$2</f>
        <v>47008</v>
      </c>
      <c r="C19" s="84" t="str">
        <f ca="1">VLOOKUP($B19,OFFSET([2]quests!$A$1,0,0,COUNTA([2]quests!$A:$A),MATCH(C$1,[2]quests!$1:$1,0)-MATCH($B$1,[2]quests!$1:$1,0)+1),MATCH(C$1,[2]quests!$1:$1,0)-MATCH($B$1,[2]quests!$1:$1,0)+1,FALSE)</f>
        <v>ふんわり少女の恋心</v>
      </c>
      <c r="D19" s="84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8" t="s">
        <v>214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 s="97">
        <v>22</v>
      </c>
      <c r="J19" s="85" t="s">
        <v>199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2" t="s">
        <v>201</v>
      </c>
      <c r="B20" s="83">
        <f>floors!$C$2</f>
        <v>47008</v>
      </c>
      <c r="C20" s="84" t="str">
        <f ca="1">VLOOKUP($B20,OFFSET([2]quests!$A$1,0,0,COUNTA([2]quests!$A:$A),MATCH(C$1,[2]quests!$1:$1,0)-MATCH($B$1,[2]quests!$1:$1,0)+1),MATCH(C$1,[2]quests!$1:$1,0)-MATCH($B$1,[2]quests!$1:$1,0)+1,FALSE)</f>
        <v>ふんわり少女の恋心</v>
      </c>
      <c r="D20" s="84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8" t="s">
        <v>214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 s="97">
        <v>23</v>
      </c>
      <c r="J20" s="85" t="s">
        <v>199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2" t="s">
        <v>201</v>
      </c>
      <c r="B21" s="83">
        <f>floors!$C$2</f>
        <v>47008</v>
      </c>
      <c r="C21" s="84" t="str">
        <f ca="1">VLOOKUP($B21,OFFSET([2]quests!$A$1,0,0,COUNTA([2]quests!$A:$A),MATCH(C$1,[2]quests!$1:$1,0)-MATCH($B$1,[2]quests!$1:$1,0)+1),MATCH(C$1,[2]quests!$1:$1,0)-MATCH($B$1,[2]quests!$1:$1,0)+1,FALSE)</f>
        <v>ふんわり少女の恋心</v>
      </c>
      <c r="D21" s="84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8" t="s">
        <v>214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 s="97">
        <v>24</v>
      </c>
      <c r="J21" s="85" t="s">
        <v>199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2" t="s">
        <v>201</v>
      </c>
      <c r="B22" s="83">
        <f>floors!$C$2</f>
        <v>47008</v>
      </c>
      <c r="C22" s="84" t="str">
        <f ca="1">VLOOKUP($B22,OFFSET([2]quests!$A$1,0,0,COUNTA([2]quests!$A:$A),MATCH(C$1,[2]quests!$1:$1,0)-MATCH($B$1,[2]quests!$1:$1,0)+1),MATCH(C$1,[2]quests!$1:$1,0)-MATCH($B$1,[2]quests!$1:$1,0)+1,FALSE)</f>
        <v>ふんわり少女の恋心</v>
      </c>
      <c r="D22" s="84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8" t="s">
        <v>214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 s="97">
        <v>25</v>
      </c>
      <c r="J22" s="85" t="s">
        <v>199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2" t="s">
        <v>201</v>
      </c>
      <c r="B23" s="83">
        <f>floors!$C$2</f>
        <v>47008</v>
      </c>
      <c r="C23" s="84" t="str">
        <f ca="1">VLOOKUP($B23,OFFSET([2]quests!$A$1,0,0,COUNTA([2]quests!$A:$A),MATCH(C$1,[2]quests!$1:$1,0)-MATCH($B$1,[2]quests!$1:$1,0)+1),MATCH(C$1,[2]quests!$1:$1,0)-MATCH($B$1,[2]quests!$1:$1,0)+1,FALSE)</f>
        <v>ふんわり少女の恋心</v>
      </c>
      <c r="D23" s="84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8" t="s">
        <v>214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 s="97">
        <v>26</v>
      </c>
      <c r="J23" s="85" t="s">
        <v>199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2" t="s">
        <v>201</v>
      </c>
      <c r="B24" s="83">
        <f>floors!$C$2</f>
        <v>47008</v>
      </c>
      <c r="C24" s="84" t="str">
        <f ca="1">VLOOKUP($B24,OFFSET([2]quests!$A$1,0,0,COUNTA([2]quests!$A:$A),MATCH(C$1,[2]quests!$1:$1,0)-MATCH($B$1,[2]quests!$1:$1,0)+1),MATCH(C$1,[2]quests!$1:$1,0)-MATCH($B$1,[2]quests!$1:$1,0)+1,FALSE)</f>
        <v>ふんわり少女の恋心</v>
      </c>
      <c r="D24" s="84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8" t="s">
        <v>214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 s="97">
        <v>27</v>
      </c>
      <c r="J24" s="85" t="s">
        <v>199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2" t="s">
        <v>201</v>
      </c>
      <c r="B25" s="83">
        <f>floors!$C$2</f>
        <v>47008</v>
      </c>
      <c r="C25" s="84" t="str">
        <f ca="1">VLOOKUP($B25,OFFSET([2]quests!$A$1,0,0,COUNTA([2]quests!$A:$A),MATCH(C$1,[2]quests!$1:$1,0)-MATCH($B$1,[2]quests!$1:$1,0)+1),MATCH(C$1,[2]quests!$1:$1,0)-MATCH($B$1,[2]quests!$1:$1,0)+1,FALSE)</f>
        <v>ふんわり少女の恋心</v>
      </c>
      <c r="D25" s="84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8" t="s">
        <v>214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 s="97">
        <v>28</v>
      </c>
      <c r="J25" s="85" t="s">
        <v>199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47008</v>
      </c>
      <c r="C26" s="84" t="str">
        <f ca="1">VLOOKUP($B26,OFFSET([2]quests!$A$1,0,0,COUNTA([2]quests!$A:$A),MATCH(C$1,[2]quests!$1:$1,0)-MATCH($B$1,[2]quests!$1:$1,0)+1),MATCH(C$1,[2]quests!$1:$1,0)-MATCH($B$1,[2]quests!$1:$1,0)+1,FALSE)</f>
        <v>ふんわり少女の恋心</v>
      </c>
      <c r="D26" s="84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8" t="s">
        <v>214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 s="97">
        <v>29</v>
      </c>
      <c r="J26" s="85" t="s">
        <v>199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2" t="s">
        <v>201</v>
      </c>
      <c r="B27" s="83">
        <f>floors!$C$2</f>
        <v>47008</v>
      </c>
      <c r="C27" s="84" t="str">
        <f ca="1">VLOOKUP($B27,OFFSET([2]quests!$A$1,0,0,COUNTA([2]quests!$A:$A),MATCH(C$1,[2]quests!$1:$1,0)-MATCH($B$1,[2]quests!$1:$1,0)+1),MATCH(C$1,[2]quests!$1:$1,0)-MATCH($B$1,[2]quests!$1:$1,0)+1,FALSE)</f>
        <v>ふんわり少女の恋心</v>
      </c>
      <c r="D27" s="84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8" t="s">
        <v>214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 s="97">
        <v>30</v>
      </c>
      <c r="J27" s="85" t="s">
        <v>199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2" t="s">
        <v>201</v>
      </c>
      <c r="B28" s="83">
        <f>floors!$C$2</f>
        <v>47008</v>
      </c>
      <c r="C28" s="84" t="str">
        <f ca="1">VLOOKUP($B28,OFFSET([2]quests!$A$1,0,0,COUNTA([2]quests!$A:$A),MATCH(C$1,[2]quests!$1:$1,0)-MATCH($B$1,[2]quests!$1:$1,0)+1),MATCH(C$1,[2]quests!$1:$1,0)-MATCH($B$1,[2]quests!$1:$1,0)+1,FALSE)</f>
        <v>ふんわり少女の恋心</v>
      </c>
      <c r="D28" s="84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8" t="s">
        <v>214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 s="97">
        <v>31</v>
      </c>
      <c r="J28" s="85" t="s">
        <v>199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2" t="s">
        <v>201</v>
      </c>
      <c r="B29" s="83">
        <f>floors!$C$2</f>
        <v>47008</v>
      </c>
      <c r="C29" s="84" t="str">
        <f ca="1">VLOOKUP($B29,OFFSET([2]quests!$A$1,0,0,COUNTA([2]quests!$A:$A),MATCH(C$1,[2]quests!$1:$1,0)-MATCH($B$1,[2]quests!$1:$1,0)+1),MATCH(C$1,[2]quests!$1:$1,0)-MATCH($B$1,[2]quests!$1:$1,0)+1,FALSE)</f>
        <v>ふんわり少女の恋心</v>
      </c>
      <c r="D29" s="84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8" t="s">
        <v>214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 s="97">
        <v>32</v>
      </c>
      <c r="J29" s="85" t="s">
        <v>199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2" t="s">
        <v>201</v>
      </c>
      <c r="B30" s="83">
        <f>floors!$C$2</f>
        <v>47008</v>
      </c>
      <c r="C30" s="84" t="str">
        <f ca="1">VLOOKUP($B30,OFFSET([2]quests!$A$1,0,0,COUNTA([2]quests!$A:$A),MATCH(C$1,[2]quests!$1:$1,0)-MATCH($B$1,[2]quests!$1:$1,0)+1),MATCH(C$1,[2]quests!$1:$1,0)-MATCH($B$1,[2]quests!$1:$1,0)+1,FALSE)</f>
        <v>ふんわり少女の恋心</v>
      </c>
      <c r="D30" s="84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8" t="s">
        <v>214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 s="97">
        <v>33</v>
      </c>
      <c r="J30" s="85" t="s">
        <v>199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2" t="s">
        <v>201</v>
      </c>
      <c r="B31" s="83">
        <f>floors!$C$2</f>
        <v>47008</v>
      </c>
      <c r="C31" s="84" t="str">
        <f ca="1">VLOOKUP($B31,OFFSET([2]quests!$A$1,0,0,COUNTA([2]quests!$A:$A),MATCH(C$1,[2]quests!$1:$1,0)-MATCH($B$1,[2]quests!$1:$1,0)+1),MATCH(C$1,[2]quests!$1:$1,0)-MATCH($B$1,[2]quests!$1:$1,0)+1,FALSE)</f>
        <v>ふんわり少女の恋心</v>
      </c>
      <c r="D31" s="84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8" t="s">
        <v>214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 s="97">
        <v>34</v>
      </c>
      <c r="J31" s="85" t="s">
        <v>199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2" t="s">
        <v>201</v>
      </c>
      <c r="B32" s="83">
        <f>floors!$C$2</f>
        <v>47008</v>
      </c>
      <c r="C32" s="84" t="str">
        <f ca="1">VLOOKUP($B32,OFFSET([2]quests!$A$1,0,0,COUNTA([2]quests!$A:$A),MATCH(C$1,[2]quests!$1:$1,0)-MATCH($B$1,[2]quests!$1:$1,0)+1),MATCH(C$1,[2]quests!$1:$1,0)-MATCH($B$1,[2]quests!$1:$1,0)+1,FALSE)</f>
        <v>ふんわり少女の恋心</v>
      </c>
      <c r="D32" s="84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8" t="s">
        <v>214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 s="97">
        <v>35</v>
      </c>
      <c r="J32" s="85" t="s">
        <v>199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2" t="s">
        <v>201</v>
      </c>
      <c r="B33" s="83">
        <f>floors!$C$2</f>
        <v>47008</v>
      </c>
      <c r="C33" s="84" t="str">
        <f ca="1">VLOOKUP($B33,OFFSET([2]quests!$A$1,0,0,COUNTA([2]quests!$A:$A),MATCH(C$1,[2]quests!$1:$1,0)-MATCH($B$1,[2]quests!$1:$1,0)+1),MATCH(C$1,[2]quests!$1:$1,0)-MATCH($B$1,[2]quests!$1:$1,0)+1,FALSE)</f>
        <v>ふんわり少女の恋心</v>
      </c>
      <c r="D33" s="84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8" t="s">
        <v>214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 s="97">
        <v>36</v>
      </c>
      <c r="J33" s="85" t="s">
        <v>199</v>
      </c>
      <c r="K33" s="94" t="str">
        <f>VLOOKUP(I33,[7]stage_hints!$A:$C,3,FALSE)</f>
        <v>タワーオブザクイーンのボス</v>
      </c>
      <c r="L33" s="95" t="str">
        <f>VLOOKUP(I33,[7]stage_hints!$A:$D,4,FALSE)</f>
        <v>「タワーオブザクイーン」最上階のボスは_x000D_15階の初回クリア報酬で獲得できるほか_x000D_その階にて低確率でドロップもします</v>
      </c>
      <c r="M33" s="57" t="s">
        <v>211</v>
      </c>
    </row>
    <row r="34" spans="1:13" x14ac:dyDescent="0.15">
      <c r="A34" s="82" t="s">
        <v>201</v>
      </c>
      <c r="B34" s="83">
        <f>floors!$C$2</f>
        <v>47008</v>
      </c>
      <c r="C34" s="84" t="str">
        <f ca="1">VLOOKUP($B34,OFFSET([2]quests!$A$1,0,0,COUNTA([2]quests!$A:$A),MATCH(C$1,[2]quests!$1:$1,0)-MATCH($B$1,[2]quests!$1:$1,0)+1),MATCH(C$1,[2]quests!$1:$1,0)-MATCH($B$1,[2]quests!$1:$1,0)+1,FALSE)</f>
        <v>ふんわり少女の恋心</v>
      </c>
      <c r="D34" s="84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8" t="s">
        <v>214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 s="97">
        <v>37</v>
      </c>
      <c r="J34" s="85" t="s">
        <v>199</v>
      </c>
      <c r="K34" s="94" t="str">
        <f>VLOOKUP(I34,[7]stage_hints!$A:$C,3,FALSE)</f>
        <v>限界突破値の引き継ぎ</v>
      </c>
      <c r="L34" s="95" t="str">
        <f>VLOOKUP(I34,[7]stage_hints!$A:$D,4,FALSE)</f>
        <v>同じユニットを強化で合成すると_x000D_限界突破値を引き継げます（覚醒前後も可）</v>
      </c>
      <c r="M34" s="57" t="s">
        <v>211</v>
      </c>
    </row>
    <row r="35" spans="1:13" x14ac:dyDescent="0.15">
      <c r="A35" s="82" t="s">
        <v>201</v>
      </c>
      <c r="B35" s="83">
        <f>floors!$C$2</f>
        <v>47008</v>
      </c>
      <c r="C35" s="84" t="str">
        <f ca="1">VLOOKUP($B35,OFFSET([2]quests!$A$1,0,0,COUNTA([2]quests!$A:$A),MATCH(C$1,[2]quests!$1:$1,0)-MATCH($B$1,[2]quests!$1:$1,0)+1),MATCH(C$1,[2]quests!$1:$1,0)-MATCH($B$1,[2]quests!$1:$1,0)+1,FALSE)</f>
        <v>ふんわり少女の恋心</v>
      </c>
      <c r="D35" s="84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8" t="s">
        <v>214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 s="97">
        <v>39</v>
      </c>
      <c r="J35" s="85" t="s">
        <v>199</v>
      </c>
      <c r="K35" s="94" t="str">
        <f>VLOOKUP(I35,[7]stage_hints!$A:$C,3,FALSE)</f>
        <v>システム適合者を確認</v>
      </c>
      <c r="L35" s="95" t="str">
        <f>VLOOKUP(I35,[7]stage_hints!$A:$D,4,FALSE)</f>
        <v>ALICEが 「アナタ」を呼んでいます</v>
      </c>
      <c r="M35" s="57" t="s">
        <v>211</v>
      </c>
    </row>
  </sheetData>
  <phoneticPr fontId="5"/>
  <dataValidations count="1">
    <dataValidation type="list" allowBlank="1" showInputMessage="1" showErrorMessage="1" sqref="A2:A3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9"/>
  <sheetViews>
    <sheetView showGridLines="0" topLeftCell="E1" workbookViewId="0">
      <pane ySplit="1" topLeftCell="A2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7" t="s">
        <v>189</v>
      </c>
      <c r="B1" s="74" t="s">
        <v>151</v>
      </c>
      <c r="C1" s="78" t="s">
        <v>191</v>
      </c>
      <c r="D1" s="78" t="s">
        <v>33</v>
      </c>
      <c r="E1" s="74" t="s">
        <v>192</v>
      </c>
      <c r="F1" s="78" t="s">
        <v>18</v>
      </c>
      <c r="G1" s="78" t="s">
        <v>33</v>
      </c>
      <c r="H1" s="74" t="s">
        <v>194</v>
      </c>
      <c r="I1" s="90" t="s">
        <v>195</v>
      </c>
      <c r="J1" s="92" t="s">
        <v>196</v>
      </c>
      <c r="K1" s="80" t="s">
        <v>127</v>
      </c>
      <c r="L1" s="79" t="s">
        <v>187</v>
      </c>
      <c r="M1" s="93" t="s">
        <v>186</v>
      </c>
      <c r="N1" s="81" t="s">
        <v>197</v>
      </c>
    </row>
    <row r="2" spans="1:15" ht="56" x14ac:dyDescent="0.15">
      <c r="A2" s="82" t="s">
        <v>198</v>
      </c>
      <c r="B2" s="83">
        <f>floors!$C$2</f>
        <v>47008</v>
      </c>
      <c r="C2" s="84" t="str">
        <f ca="1">VLOOKUP($B2,OFFSET([2]quests!$A$1,0,0,COUNTA([2]quests!$A:$A),MATCH(C$1,[2]quests!$1:$1,0)-MATCH($B$1,[2]quests!$1:$1,0)+1),MATCH(C$1,[2]quests!$1:$1,0)-MATCH($B$1,[2]quests!$1:$1,0)+1,FALSE)</f>
        <v>ふんわり少女の恋心</v>
      </c>
      <c r="D2" s="84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6">
        <v>1</v>
      </c>
      <c r="I2" s="91">
        <f t="shared" ref="I2:I19" si="0">ROW()-1</f>
        <v>1</v>
      </c>
      <c r="J2" s="87" t="str">
        <f t="shared" ref="J2:J19" si="1">B2&amp;TEXT(I2,"00")</f>
        <v>4700801</v>
      </c>
      <c r="K2" s="85" t="s">
        <v>199</v>
      </c>
      <c r="L2" s="88" t="s">
        <v>258</v>
      </c>
      <c r="M2" s="116" t="s">
        <v>357</v>
      </c>
      <c r="N2" s="57" t="s">
        <v>200</v>
      </c>
      <c r="O2">
        <f>LEN(M2)</f>
        <v>49</v>
      </c>
    </row>
    <row r="3" spans="1:15" ht="70" x14ac:dyDescent="0.15">
      <c r="A3" s="82" t="s">
        <v>198</v>
      </c>
      <c r="B3" s="83">
        <f>floors!$C$2</f>
        <v>47008</v>
      </c>
      <c r="C3" s="84" t="str">
        <f ca="1">VLOOKUP($B3,OFFSET([2]quests!$A$1,0,0,COUNTA([2]quests!$A:$A),MATCH(C$1,[2]quests!$1:$1,0)-MATCH($B$1,[2]quests!$1:$1,0)+1),MATCH(C$1,[2]quests!$1:$1,0)-MATCH($B$1,[2]quests!$1:$1,0)+1,FALSE)</f>
        <v>ふんわり少女の恋心</v>
      </c>
      <c r="D3" s="84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6">
        <v>2</v>
      </c>
      <c r="I3" s="91">
        <f t="shared" si="0"/>
        <v>2</v>
      </c>
      <c r="J3" s="87" t="str">
        <f t="shared" si="1"/>
        <v>4700802</v>
      </c>
      <c r="K3" s="85" t="s">
        <v>199</v>
      </c>
      <c r="L3" s="88" t="s">
        <v>258</v>
      </c>
      <c r="M3" s="116" t="s">
        <v>358</v>
      </c>
      <c r="N3" s="57" t="s">
        <v>200</v>
      </c>
      <c r="O3">
        <f t="shared" ref="O3:O14" si="2">LEN(M3)</f>
        <v>59</v>
      </c>
    </row>
    <row r="4" spans="1:15" ht="56" x14ac:dyDescent="0.15">
      <c r="A4" s="82" t="s">
        <v>198</v>
      </c>
      <c r="B4" s="83">
        <f>floors!$C$2</f>
        <v>47008</v>
      </c>
      <c r="C4" s="84" t="str">
        <f ca="1">VLOOKUP($B4,OFFSET([2]quests!$A$1,0,0,COUNTA([2]quests!$A:$A),MATCH(C$1,[2]quests!$1:$1,0)-MATCH($B$1,[2]quests!$1:$1,0)+1),MATCH(C$1,[2]quests!$1:$1,0)-MATCH($B$1,[2]quests!$1:$1,0)+1,FALSE)</f>
        <v>ふんわり少女の恋心</v>
      </c>
      <c r="D4" s="84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6">
        <v>3</v>
      </c>
      <c r="I4" s="91">
        <f t="shared" si="0"/>
        <v>3</v>
      </c>
      <c r="J4" s="87" t="str">
        <f t="shared" si="1"/>
        <v>4700803</v>
      </c>
      <c r="K4" s="85" t="s">
        <v>199</v>
      </c>
      <c r="L4" s="88" t="s">
        <v>258</v>
      </c>
      <c r="M4" s="116" t="s">
        <v>359</v>
      </c>
      <c r="N4" s="57" t="s">
        <v>200</v>
      </c>
      <c r="O4">
        <f t="shared" si="2"/>
        <v>48</v>
      </c>
    </row>
    <row r="5" spans="1:15" ht="70" x14ac:dyDescent="0.15">
      <c r="A5" s="82" t="s">
        <v>198</v>
      </c>
      <c r="B5" s="83">
        <f>floors!$C$2</f>
        <v>47008</v>
      </c>
      <c r="C5" s="84" t="str">
        <f ca="1">VLOOKUP($B5,OFFSET([2]quests!$A$1,0,0,COUNTA([2]quests!$A:$A),MATCH(C$1,[2]quests!$1:$1,0)-MATCH($B$1,[2]quests!$1:$1,0)+1),MATCH(C$1,[2]quests!$1:$1,0)-MATCH($B$1,[2]quests!$1:$1,0)+1,FALSE)</f>
        <v>ふんわり少女の恋心</v>
      </c>
      <c r="D5" s="84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6">
        <v>3</v>
      </c>
      <c r="I5" s="91">
        <f t="shared" si="0"/>
        <v>4</v>
      </c>
      <c r="J5" s="87" t="str">
        <f t="shared" si="1"/>
        <v>4700804</v>
      </c>
      <c r="K5" s="85" t="s">
        <v>199</v>
      </c>
      <c r="L5" s="88" t="s">
        <v>258</v>
      </c>
      <c r="M5" s="116" t="s">
        <v>360</v>
      </c>
      <c r="N5" s="57" t="s">
        <v>200</v>
      </c>
      <c r="O5">
        <f t="shared" si="2"/>
        <v>63</v>
      </c>
    </row>
    <row r="6" spans="1:15" ht="42" x14ac:dyDescent="0.15">
      <c r="A6" s="82" t="s">
        <v>201</v>
      </c>
      <c r="B6" s="83">
        <f>floors!$C$2</f>
        <v>47008</v>
      </c>
      <c r="C6" s="84" t="str">
        <f ca="1">VLOOKUP($B6,OFFSET([2]quests!$A$1,0,0,COUNTA([2]quests!$A:$A),MATCH(C$1,[2]quests!$1:$1,0)-MATCH($B$1,[2]quests!$1:$1,0)+1),MATCH(C$1,[2]quests!$1:$1,0)-MATCH($B$1,[2]quests!$1:$1,0)+1,FALSE)</f>
        <v>ふんわり少女の恋心</v>
      </c>
      <c r="D6" s="84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6">
        <v>0</v>
      </c>
      <c r="I6" s="91">
        <f t="shared" si="0"/>
        <v>5</v>
      </c>
      <c r="J6" s="87" t="str">
        <f t="shared" si="1"/>
        <v>4700805</v>
      </c>
      <c r="K6" s="85" t="s">
        <v>199</v>
      </c>
      <c r="L6" s="88" t="s">
        <v>366</v>
      </c>
      <c r="M6" s="116" t="s">
        <v>367</v>
      </c>
      <c r="N6" s="57" t="s">
        <v>200</v>
      </c>
      <c r="O6">
        <f>LEN(M6)</f>
        <v>55</v>
      </c>
    </row>
    <row r="7" spans="1:15" ht="56" x14ac:dyDescent="0.15">
      <c r="A7" s="82" t="s">
        <v>201</v>
      </c>
      <c r="B7" s="83">
        <f>floors!$C$2</f>
        <v>47008</v>
      </c>
      <c r="C7" s="84" t="str">
        <f ca="1">VLOOKUP($B7,OFFSET([2]quests!$A$1,0,0,COUNTA([2]quests!$A:$A),MATCH(C$1,[2]quests!$1:$1,0)-MATCH($B$1,[2]quests!$1:$1,0)+1),MATCH(C$1,[2]quests!$1:$1,0)-MATCH($B$1,[2]quests!$1:$1,0)+1,FALSE)</f>
        <v>ふんわり少女の恋心</v>
      </c>
      <c r="D7" s="84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6">
        <v>0</v>
      </c>
      <c r="I7" s="91">
        <f t="shared" si="0"/>
        <v>6</v>
      </c>
      <c r="J7" s="87" t="str">
        <f t="shared" si="1"/>
        <v>4700806</v>
      </c>
      <c r="K7" s="85" t="s">
        <v>199</v>
      </c>
      <c r="L7" s="88" t="s">
        <v>368</v>
      </c>
      <c r="M7" s="116" t="s">
        <v>369</v>
      </c>
      <c r="N7" s="57" t="s">
        <v>200</v>
      </c>
      <c r="O7">
        <f t="shared" ref="O7:O9" si="3">LEN(M7)</f>
        <v>53</v>
      </c>
    </row>
    <row r="8" spans="1:15" ht="56" x14ac:dyDescent="0.15">
      <c r="A8" s="82" t="s">
        <v>201</v>
      </c>
      <c r="B8" s="83">
        <f>floors!$C$2</f>
        <v>47008</v>
      </c>
      <c r="C8" s="84" t="str">
        <f ca="1">VLOOKUP($B8,OFFSET([2]quests!$A$1,0,0,COUNTA([2]quests!$A:$A),MATCH(C$1,[2]quests!$1:$1,0)-MATCH($B$1,[2]quests!$1:$1,0)+1),MATCH(C$1,[2]quests!$1:$1,0)-MATCH($B$1,[2]quests!$1:$1,0)+1,FALSE)</f>
        <v>ふんわり少女の恋心</v>
      </c>
      <c r="D8" s="84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6">
        <v>0</v>
      </c>
      <c r="I8" s="91">
        <f t="shared" si="0"/>
        <v>7</v>
      </c>
      <c r="J8" s="87" t="str">
        <f t="shared" si="1"/>
        <v>4700807</v>
      </c>
      <c r="K8" s="85" t="s">
        <v>199</v>
      </c>
      <c r="L8" s="88" t="s">
        <v>370</v>
      </c>
      <c r="M8" s="116" t="s">
        <v>371</v>
      </c>
      <c r="N8" s="57" t="s">
        <v>200</v>
      </c>
      <c r="O8">
        <f t="shared" si="3"/>
        <v>57</v>
      </c>
    </row>
    <row r="9" spans="1:15" ht="56" x14ac:dyDescent="0.15">
      <c r="A9" s="82" t="s">
        <v>201</v>
      </c>
      <c r="B9" s="83">
        <f>floors!$C$2</f>
        <v>47008</v>
      </c>
      <c r="C9" s="84" t="str">
        <f ca="1">VLOOKUP($B9,OFFSET([2]quests!$A$1,0,0,COUNTA([2]quests!$A:$A),MATCH(C$1,[2]quests!$1:$1,0)-MATCH($B$1,[2]quests!$1:$1,0)+1),MATCH(C$1,[2]quests!$1:$1,0)-MATCH($B$1,[2]quests!$1:$1,0)+1,FALSE)</f>
        <v>ふんわり少女の恋心</v>
      </c>
      <c r="D9" s="84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6">
        <v>0</v>
      </c>
      <c r="I9" s="91">
        <f t="shared" si="0"/>
        <v>8</v>
      </c>
      <c r="J9" s="87" t="str">
        <f t="shared" si="1"/>
        <v>4700808</v>
      </c>
      <c r="K9" s="85" t="s">
        <v>199</v>
      </c>
      <c r="L9" s="88" t="s">
        <v>372</v>
      </c>
      <c r="M9" s="116" t="s">
        <v>373</v>
      </c>
      <c r="N9" s="57" t="s">
        <v>200</v>
      </c>
      <c r="O9">
        <f t="shared" si="3"/>
        <v>63</v>
      </c>
    </row>
    <row r="10" spans="1:15" ht="56" x14ac:dyDescent="0.15">
      <c r="A10" s="82" t="s">
        <v>201</v>
      </c>
      <c r="B10" s="83">
        <f>floors!$C$2</f>
        <v>47008</v>
      </c>
      <c r="C10" s="84" t="str">
        <f ca="1">VLOOKUP($B10,OFFSET([2]quests!$A$1,0,0,COUNTA([2]quests!$A:$A),MATCH(C$1,[2]quests!$1:$1,0)-MATCH($B$1,[2]quests!$1:$1,0)+1),MATCH(C$1,[2]quests!$1:$1,0)-MATCH($B$1,[2]quests!$1:$1,0)+1,FALSE)</f>
        <v>ふんわり少女の恋心</v>
      </c>
      <c r="D10" s="84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5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【上級】ふんわり少女の恋心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6">
        <v>0</v>
      </c>
      <c r="I10" s="91">
        <f t="shared" si="0"/>
        <v>9</v>
      </c>
      <c r="J10" s="87" t="str">
        <f t="shared" si="1"/>
        <v>4700809</v>
      </c>
      <c r="K10" s="85" t="s">
        <v>199</v>
      </c>
      <c r="L10" s="88" t="s">
        <v>421</v>
      </c>
      <c r="M10" s="116" t="s">
        <v>374</v>
      </c>
      <c r="N10" s="57" t="s">
        <v>200</v>
      </c>
      <c r="O10">
        <f t="shared" ref="O10" si="4">LEN(M10)</f>
        <v>63</v>
      </c>
    </row>
    <row r="11" spans="1:15" ht="56" x14ac:dyDescent="0.15">
      <c r="A11" s="82" t="s">
        <v>198</v>
      </c>
      <c r="B11" s="83">
        <f>floors!$C$2</f>
        <v>47008</v>
      </c>
      <c r="C11" s="84" t="str">
        <f ca="1">VLOOKUP($B11,OFFSET([2]quests!$A$1,0,0,COUNTA([2]quests!$A:$A),MATCH(C$1,[2]quests!$1:$1,0)-MATCH($B$1,[2]quests!$1:$1,0)+1),MATCH(C$1,[2]quests!$1:$1,0)-MATCH($B$1,[2]quests!$1:$1,0)+1,FALSE)</f>
        <v>ふんわり少女の恋心</v>
      </c>
      <c r="D11" s="84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6">
        <v>1</v>
      </c>
      <c r="I11" s="91">
        <f t="shared" si="0"/>
        <v>10</v>
      </c>
      <c r="J11" s="87" t="str">
        <f t="shared" si="1"/>
        <v>4700810</v>
      </c>
      <c r="K11" s="85" t="s">
        <v>199</v>
      </c>
      <c r="L11" s="88" t="s">
        <v>258</v>
      </c>
      <c r="M11" s="116" t="s">
        <v>357</v>
      </c>
      <c r="N11" s="57" t="s">
        <v>200</v>
      </c>
      <c r="O11">
        <f t="shared" si="2"/>
        <v>49</v>
      </c>
    </row>
    <row r="12" spans="1:15" ht="70" x14ac:dyDescent="0.15">
      <c r="A12" s="82" t="s">
        <v>198</v>
      </c>
      <c r="B12" s="83">
        <f>floors!$C$2</f>
        <v>47008</v>
      </c>
      <c r="C12" s="84" t="str">
        <f ca="1">VLOOKUP($B12,OFFSET([2]quests!$A$1,0,0,COUNTA([2]quests!$A:$A),MATCH(C$1,[2]quests!$1:$1,0)-MATCH($B$1,[2]quests!$1:$1,0)+1),MATCH(C$1,[2]quests!$1:$1,0)-MATCH($B$1,[2]quests!$1:$1,0)+1,FALSE)</f>
        <v>ふんわり少女の恋心</v>
      </c>
      <c r="D12" s="84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6">
        <v>2</v>
      </c>
      <c r="I12" s="91">
        <f t="shared" si="0"/>
        <v>11</v>
      </c>
      <c r="J12" s="87" t="str">
        <f t="shared" si="1"/>
        <v>4700811</v>
      </c>
      <c r="K12" s="85" t="s">
        <v>199</v>
      </c>
      <c r="L12" s="88" t="s">
        <v>258</v>
      </c>
      <c r="M12" s="116" t="s">
        <v>358</v>
      </c>
      <c r="N12" s="57" t="s">
        <v>200</v>
      </c>
      <c r="O12">
        <f t="shared" si="2"/>
        <v>59</v>
      </c>
    </row>
    <row r="13" spans="1:15" ht="56" x14ac:dyDescent="0.15">
      <c r="A13" s="82" t="s">
        <v>198</v>
      </c>
      <c r="B13" s="83">
        <f>floors!$C$2</f>
        <v>47008</v>
      </c>
      <c r="C13" s="84" t="str">
        <f ca="1">VLOOKUP($B13,OFFSET([2]quests!$A$1,0,0,COUNTA([2]quests!$A:$A),MATCH(C$1,[2]quests!$1:$1,0)-MATCH($B$1,[2]quests!$1:$1,0)+1),MATCH(C$1,[2]quests!$1:$1,0)-MATCH($B$1,[2]quests!$1:$1,0)+1,FALSE)</f>
        <v>ふんわり少女の恋心</v>
      </c>
      <c r="D13" s="84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6">
        <v>3</v>
      </c>
      <c r="I13" s="91">
        <f t="shared" si="0"/>
        <v>12</v>
      </c>
      <c r="J13" s="87" t="str">
        <f t="shared" si="1"/>
        <v>4700812</v>
      </c>
      <c r="K13" s="85" t="s">
        <v>199</v>
      </c>
      <c r="L13" s="88" t="s">
        <v>258</v>
      </c>
      <c r="M13" s="116" t="s">
        <v>359</v>
      </c>
      <c r="N13" s="57" t="s">
        <v>200</v>
      </c>
      <c r="O13">
        <f t="shared" si="2"/>
        <v>48</v>
      </c>
    </row>
    <row r="14" spans="1:15" ht="70" x14ac:dyDescent="0.15">
      <c r="A14" s="82" t="s">
        <v>198</v>
      </c>
      <c r="B14" s="83">
        <f>floors!$C$2</f>
        <v>47008</v>
      </c>
      <c r="C14" s="84" t="str">
        <f ca="1">VLOOKUP($B14,OFFSET([2]quests!$A$1,0,0,COUNTA([2]quests!$A:$A),MATCH(C$1,[2]quests!$1:$1,0)-MATCH($B$1,[2]quests!$1:$1,0)+1),MATCH(C$1,[2]quests!$1:$1,0)-MATCH($B$1,[2]quests!$1:$1,0)+1,FALSE)</f>
        <v>ふんわり少女の恋心</v>
      </c>
      <c r="D14" s="84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6">
        <v>3</v>
      </c>
      <c r="I14" s="91">
        <f t="shared" si="0"/>
        <v>13</v>
      </c>
      <c r="J14" s="87" t="str">
        <f t="shared" si="1"/>
        <v>4700813</v>
      </c>
      <c r="K14" s="85" t="s">
        <v>199</v>
      </c>
      <c r="L14" s="88" t="s">
        <v>258</v>
      </c>
      <c r="M14" s="116" t="s">
        <v>360</v>
      </c>
      <c r="N14" s="57" t="s">
        <v>200</v>
      </c>
      <c r="O14">
        <f t="shared" si="2"/>
        <v>63</v>
      </c>
    </row>
    <row r="15" spans="1:15" ht="42" x14ac:dyDescent="0.15">
      <c r="A15" s="82" t="s">
        <v>201</v>
      </c>
      <c r="B15" s="83">
        <f>floors!$C$2</f>
        <v>47008</v>
      </c>
      <c r="C15" s="84" t="str">
        <f ca="1">VLOOKUP($B15,OFFSET([2]quests!$A$1,0,0,COUNTA([2]quests!$A:$A),MATCH(C$1,[2]quests!$1:$1,0)-MATCH($B$1,[2]quests!$1:$1,0)+1),MATCH(C$1,[2]quests!$1:$1,0)-MATCH($B$1,[2]quests!$1:$1,0)+1,FALSE)</f>
        <v>ふんわり少女の恋心</v>
      </c>
      <c r="D15" s="84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6">
        <v>0</v>
      </c>
      <c r="I15" s="91">
        <f t="shared" si="0"/>
        <v>14</v>
      </c>
      <c r="J15" s="87" t="str">
        <f t="shared" si="1"/>
        <v>4700814</v>
      </c>
      <c r="K15" s="85" t="s">
        <v>199</v>
      </c>
      <c r="L15" s="88" t="s">
        <v>366</v>
      </c>
      <c r="M15" s="116" t="s">
        <v>367</v>
      </c>
      <c r="N15" s="57" t="s">
        <v>200</v>
      </c>
      <c r="O15">
        <f>LEN(M15)</f>
        <v>55</v>
      </c>
    </row>
    <row r="16" spans="1:15" ht="56" x14ac:dyDescent="0.15">
      <c r="A16" s="82" t="s">
        <v>201</v>
      </c>
      <c r="B16" s="83">
        <f>floors!$C$2</f>
        <v>47008</v>
      </c>
      <c r="C16" s="84" t="str">
        <f ca="1">VLOOKUP($B16,OFFSET([2]quests!$A$1,0,0,COUNTA([2]quests!$A:$A),MATCH(C$1,[2]quests!$1:$1,0)-MATCH($B$1,[2]quests!$1:$1,0)+1),MATCH(C$1,[2]quests!$1:$1,0)-MATCH($B$1,[2]quests!$1:$1,0)+1,FALSE)</f>
        <v>ふんわり少女の恋心</v>
      </c>
      <c r="D16" s="84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5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6">
        <v>0</v>
      </c>
      <c r="I16" s="91">
        <f t="shared" si="0"/>
        <v>15</v>
      </c>
      <c r="J16" s="87" t="str">
        <f t="shared" si="1"/>
        <v>4700815</v>
      </c>
      <c r="K16" s="85" t="s">
        <v>199</v>
      </c>
      <c r="L16" s="88" t="s">
        <v>368</v>
      </c>
      <c r="M16" s="116" t="s">
        <v>369</v>
      </c>
      <c r="N16" s="57" t="s">
        <v>200</v>
      </c>
      <c r="O16">
        <f t="shared" ref="O16:O19" si="5">LEN(M16)</f>
        <v>53</v>
      </c>
    </row>
    <row r="17" spans="1:15" ht="56" x14ac:dyDescent="0.15">
      <c r="A17" s="82" t="s">
        <v>201</v>
      </c>
      <c r="B17" s="83">
        <f>floors!$C$2</f>
        <v>47008</v>
      </c>
      <c r="C17" s="84" t="str">
        <f ca="1">VLOOKUP($B17,OFFSET([2]quests!$A$1,0,0,COUNTA([2]quests!$A:$A),MATCH(C$1,[2]quests!$1:$1,0)-MATCH($B$1,[2]quests!$1:$1,0)+1),MATCH(C$1,[2]quests!$1:$1,0)-MATCH($B$1,[2]quests!$1:$1,0)+1,FALSE)</f>
        <v>ふんわり少女の恋心</v>
      </c>
      <c r="D17" s="84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5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6">
        <v>0</v>
      </c>
      <c r="I17" s="91">
        <f t="shared" si="0"/>
        <v>16</v>
      </c>
      <c r="J17" s="87" t="str">
        <f t="shared" si="1"/>
        <v>4700816</v>
      </c>
      <c r="K17" s="85" t="s">
        <v>199</v>
      </c>
      <c r="L17" s="88" t="s">
        <v>370</v>
      </c>
      <c r="M17" s="116" t="s">
        <v>371</v>
      </c>
      <c r="N17" s="57" t="s">
        <v>200</v>
      </c>
      <c r="O17">
        <f t="shared" si="5"/>
        <v>57</v>
      </c>
    </row>
    <row r="18" spans="1:15" ht="56" x14ac:dyDescent="0.15">
      <c r="A18" s="82" t="s">
        <v>201</v>
      </c>
      <c r="B18" s="83">
        <f>floors!$C$2</f>
        <v>47008</v>
      </c>
      <c r="C18" s="84" t="str">
        <f ca="1">VLOOKUP($B18,OFFSET([2]quests!$A$1,0,0,COUNTA([2]quests!$A:$A),MATCH(C$1,[2]quests!$1:$1,0)-MATCH($B$1,[2]quests!$1:$1,0)+1),MATCH(C$1,[2]quests!$1:$1,0)-MATCH($B$1,[2]quests!$1:$1,0)+1,FALSE)</f>
        <v>ふんわり少女の恋心</v>
      </c>
      <c r="D18" s="84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5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6">
        <v>0</v>
      </c>
      <c r="I18" s="91">
        <f t="shared" si="0"/>
        <v>17</v>
      </c>
      <c r="J18" s="87" t="str">
        <f t="shared" si="1"/>
        <v>4700817</v>
      </c>
      <c r="K18" s="85" t="s">
        <v>199</v>
      </c>
      <c r="L18" s="88" t="s">
        <v>372</v>
      </c>
      <c r="M18" s="116" t="s">
        <v>373</v>
      </c>
      <c r="N18" s="57" t="s">
        <v>200</v>
      </c>
      <c r="O18">
        <f t="shared" si="5"/>
        <v>63</v>
      </c>
    </row>
    <row r="19" spans="1:15" ht="56" x14ac:dyDescent="0.15">
      <c r="A19" s="82" t="s">
        <v>201</v>
      </c>
      <c r="B19" s="83">
        <f>floors!$C$2</f>
        <v>47008</v>
      </c>
      <c r="C19" s="84" t="str">
        <f ca="1">VLOOKUP($B19,OFFSET([2]quests!$A$1,0,0,COUNTA([2]quests!$A:$A),MATCH(C$1,[2]quests!$1:$1,0)-MATCH($B$1,[2]quests!$1:$1,0)+1),MATCH(C$1,[2]quests!$1:$1,0)-MATCH($B$1,[2]quests!$1:$1,0)+1,FALSE)</f>
        <v>ふんわり少女の恋心</v>
      </c>
      <c r="D19" s="84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5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6">
        <v>0</v>
      </c>
      <c r="I19" s="91">
        <f t="shared" si="0"/>
        <v>18</v>
      </c>
      <c r="J19" s="87" t="str">
        <f t="shared" si="1"/>
        <v>4700818</v>
      </c>
      <c r="K19" s="85" t="s">
        <v>199</v>
      </c>
      <c r="L19" s="88" t="s">
        <v>421</v>
      </c>
      <c r="M19" s="116" t="s">
        <v>374</v>
      </c>
      <c r="N19" s="57" t="s">
        <v>200</v>
      </c>
      <c r="O19">
        <f t="shared" si="5"/>
        <v>63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workbookViewId="0">
      <pane ySplit="1" topLeftCell="A2" activePane="bottomLeft" state="frozen"/>
      <selection pane="bottomLeft" activeCell="V5" sqref="V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215</v>
      </c>
      <c r="B1" s="99" t="s">
        <v>216</v>
      </c>
      <c r="C1" s="78" t="s">
        <v>217</v>
      </c>
      <c r="D1" s="78" t="s">
        <v>33</v>
      </c>
      <c r="E1" s="99" t="s">
        <v>218</v>
      </c>
      <c r="F1" s="78" t="s">
        <v>219</v>
      </c>
      <c r="G1" s="78" t="s">
        <v>33</v>
      </c>
      <c r="H1" s="99" t="s">
        <v>220</v>
      </c>
      <c r="I1" s="99" t="s">
        <v>221</v>
      </c>
      <c r="J1" s="99" t="s">
        <v>222</v>
      </c>
      <c r="K1" s="74" t="s">
        <v>223</v>
      </c>
      <c r="L1" s="74" t="s">
        <v>224</v>
      </c>
      <c r="M1" s="74" t="s">
        <v>157</v>
      </c>
      <c r="N1" s="78" t="s">
        <v>16</v>
      </c>
      <c r="O1" s="74" t="s">
        <v>225</v>
      </c>
      <c r="P1" s="74" t="s">
        <v>57</v>
      </c>
      <c r="Q1" s="74" t="s">
        <v>226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227</v>
      </c>
      <c r="X1" s="74" t="s">
        <v>228</v>
      </c>
    </row>
    <row r="2" spans="1:24" x14ac:dyDescent="0.15">
      <c r="A2" s="100" t="str">
        <f>B2&amp;"_"&amp;E2&amp;"_"&amp;H2&amp;"_"&amp;I2&amp;"_"&amp;J2</f>
        <v>47008_2_everyone_clear_1</v>
      </c>
      <c r="B2" s="83">
        <v>47008</v>
      </c>
      <c r="C2" s="84" t="str">
        <f ca="1">VLOOKUP($B2,OFFSET([2]quests!$A$1,0,0,COUNTA([2]quests!$A:$A),MATCH(C$1,[2]quests!$1:$1,0)-MATCH($B$1,[2]quests!$1:$1,0)+1),MATCH(C$1,[2]quests!$1:$1,0)-MATCH($B$1,[2]quests!$1:$1,0)+1,FALSE)</f>
        <v>ふんわり少女の恋心</v>
      </c>
      <c r="D2" s="84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6" t="s">
        <v>229</v>
      </c>
      <c r="I2" s="85" t="s">
        <v>230</v>
      </c>
      <c r="J2" s="85">
        <v>1</v>
      </c>
      <c r="K2" s="85">
        <v>700</v>
      </c>
      <c r="L2" s="85" t="s">
        <v>231</v>
      </c>
      <c r="M2" s="85">
        <v>1364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百菓の甘味家 パティ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2" t="s">
        <v>232</v>
      </c>
      <c r="X2" s="103" t="s">
        <v>233</v>
      </c>
    </row>
    <row r="3" spans="1:24" x14ac:dyDescent="0.15">
      <c r="A3" s="100" t="str">
        <f>B3&amp;"_"&amp;E3&amp;"_"&amp;H3&amp;"_"&amp;I3&amp;"_"&amp;J3</f>
        <v>47008_2_everyone_clear_2</v>
      </c>
      <c r="B3" s="83">
        <v>47008</v>
      </c>
      <c r="C3" s="84" t="str">
        <f ca="1">VLOOKUP($B3,OFFSET([2]quests!$A$1,0,0,COUNTA([2]quests!$A:$A),MATCH(C$1,[2]quests!$1:$1,0)-MATCH($B$1,[2]quests!$1:$1,0)+1),MATCH(C$1,[2]quests!$1:$1,0)-MATCH($B$1,[2]quests!$1:$1,0)+1,FALSE)</f>
        <v>ふんわり少女の恋心</v>
      </c>
      <c r="D3" s="84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6" t="s">
        <v>229</v>
      </c>
      <c r="I3" s="85" t="s">
        <v>230</v>
      </c>
      <c r="J3" s="85">
        <v>2</v>
      </c>
      <c r="K3" s="85">
        <v>200</v>
      </c>
      <c r="L3" s="85" t="s">
        <v>231</v>
      </c>
      <c r="M3" s="85">
        <v>1364</v>
      </c>
      <c r="N3" s="1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百菓の甘味家 パティ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2</v>
      </c>
      <c r="W3" s="102" t="s">
        <v>232</v>
      </c>
      <c r="X3" s="103" t="s">
        <v>233</v>
      </c>
    </row>
    <row r="4" spans="1:24" x14ac:dyDescent="0.15">
      <c r="A4" s="100" t="str">
        <f>B4&amp;"_"&amp;E4&amp;"_"&amp;H4&amp;"_"&amp;I4&amp;"_"&amp;J4</f>
        <v>47008_2_everyone_clear_3</v>
      </c>
      <c r="B4" s="83">
        <v>47008</v>
      </c>
      <c r="C4" s="84" t="str">
        <f ca="1">VLOOKUP($B4,OFFSET([2]quests!$A$1,0,0,COUNTA([2]quests!$A:$A),MATCH(C$1,[2]quests!$1:$1,0)-MATCH($B$1,[2]quests!$1:$1,0)+1),MATCH(C$1,[2]quests!$1:$1,0)-MATCH($B$1,[2]quests!$1:$1,0)+1,FALSE)</f>
        <v>ふんわり少女の恋心</v>
      </c>
      <c r="D4" s="84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6" t="s">
        <v>229</v>
      </c>
      <c r="I4" s="85" t="s">
        <v>230</v>
      </c>
      <c r="J4" s="85">
        <v>3</v>
      </c>
      <c r="K4" s="85">
        <v>100</v>
      </c>
      <c r="L4" s="85" t="s">
        <v>231</v>
      </c>
      <c r="M4" s="85">
        <v>1364</v>
      </c>
      <c r="N4" s="101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百菓の甘味家 パティ</v>
      </c>
      <c r="O4" s="85">
        <v>1</v>
      </c>
      <c r="P4" s="85">
        <v>1</v>
      </c>
      <c r="Q4" s="85">
        <v>1</v>
      </c>
      <c r="R4" s="85">
        <v>0</v>
      </c>
      <c r="S4" s="85">
        <v>0</v>
      </c>
      <c r="T4" s="85">
        <v>0</v>
      </c>
      <c r="U4" s="85">
        <v>0</v>
      </c>
      <c r="V4" s="85">
        <v>3</v>
      </c>
      <c r="W4" s="102" t="s">
        <v>232</v>
      </c>
      <c r="X4" s="103" t="s">
        <v>233</v>
      </c>
    </row>
    <row r="5" spans="1:24" x14ac:dyDescent="0.15">
      <c r="A5" s="100" t="str">
        <f>B5&amp;"_"&amp;E5&amp;"_"&amp;H5&amp;"_"&amp;I5&amp;"_"&amp;J5</f>
        <v>47008_2_everyone_no_continue_1</v>
      </c>
      <c r="B5" s="83">
        <v>47008</v>
      </c>
      <c r="C5" s="84" t="str">
        <f ca="1">VLOOKUP($B5,OFFSET([2]quests!$A$1,0,0,COUNTA([2]quests!$A:$A),MATCH(C$1,[2]quests!$1:$1,0)-MATCH($B$1,[2]quests!$1:$1,0)+1),MATCH(C$1,[2]quests!$1:$1,0)-MATCH($B$1,[2]quests!$1:$1,0)+1,FALSE)</f>
        <v>ふんわり少女の恋心</v>
      </c>
      <c r="D5" s="84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6" t="s">
        <v>229</v>
      </c>
      <c r="I5" s="85" t="s">
        <v>234</v>
      </c>
      <c r="J5" s="85">
        <v>1</v>
      </c>
      <c r="K5" s="85">
        <v>1000</v>
      </c>
      <c r="L5" s="85" t="s">
        <v>231</v>
      </c>
      <c r="M5" s="85">
        <v>1364</v>
      </c>
      <c r="N5" s="101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百菓の甘味家 パティ</v>
      </c>
      <c r="O5" s="85">
        <v>1</v>
      </c>
      <c r="P5" s="85">
        <v>1</v>
      </c>
      <c r="Q5" s="85">
        <v>1</v>
      </c>
      <c r="R5" s="85">
        <v>0</v>
      </c>
      <c r="S5" s="85">
        <v>0</v>
      </c>
      <c r="T5" s="85">
        <v>0</v>
      </c>
      <c r="U5" s="85">
        <v>0</v>
      </c>
      <c r="V5" s="85">
        <v>1</v>
      </c>
      <c r="W5" s="102" t="s">
        <v>232</v>
      </c>
      <c r="X5" s="103" t="s">
        <v>233</v>
      </c>
    </row>
    <row r="6" spans="1:24" x14ac:dyDescent="0.15">
      <c r="A6" s="100" t="str">
        <f>B6&amp;"_"&amp;E6&amp;"_"&amp;H6&amp;"_"&amp;I6&amp;"_"&amp;J6</f>
        <v>47008_2_everyone_full_member_1</v>
      </c>
      <c r="B6" s="83">
        <v>47008</v>
      </c>
      <c r="C6" s="84" t="str">
        <f ca="1">VLOOKUP($B6,OFFSET([2]quests!$A$1,0,0,COUNTA([2]quests!$A:$A),MATCH(C$1,[2]quests!$1:$1,0)-MATCH($B$1,[2]quests!$1:$1,0)+1),MATCH(C$1,[2]quests!$1:$1,0)-MATCH($B$1,[2]quests!$1:$1,0)+1,FALSE)</f>
        <v>ふんわり少女の恋心</v>
      </c>
      <c r="D6" s="84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【ウィザード級】ふんわり少女の恋心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6" t="s">
        <v>229</v>
      </c>
      <c r="I6" s="85" t="s">
        <v>375</v>
      </c>
      <c r="J6" s="85">
        <v>1</v>
      </c>
      <c r="K6" s="85">
        <v>1000</v>
      </c>
      <c r="L6" s="85" t="s">
        <v>231</v>
      </c>
      <c r="M6" s="85">
        <v>1364</v>
      </c>
      <c r="N6" s="101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百菓の甘味家 パティ</v>
      </c>
      <c r="O6" s="85">
        <v>1</v>
      </c>
      <c r="P6" s="85">
        <v>1</v>
      </c>
      <c r="Q6" s="85">
        <v>1</v>
      </c>
      <c r="R6" s="85">
        <v>0</v>
      </c>
      <c r="S6" s="85">
        <v>0</v>
      </c>
      <c r="T6" s="85">
        <v>0</v>
      </c>
      <c r="U6" s="85">
        <v>0</v>
      </c>
      <c r="V6" s="85">
        <v>1</v>
      </c>
      <c r="W6" s="102" t="s">
        <v>232</v>
      </c>
      <c r="X6" s="103" t="s">
        <v>233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2017-02-17T15:31:04Z</dcterms:modified>
</cp:coreProperties>
</file>