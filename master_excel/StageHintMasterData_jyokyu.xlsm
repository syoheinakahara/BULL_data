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1120" yWindow="1120" windowWidth="24480" windowHeight="14880" tabRatio="721" activeTab="1"/>
  </bookViews>
  <sheets>
    <sheet name="output" sheetId="10" r:id="rId1"/>
    <sheet name="stage_hints" sheetId="3" r:id="rId2"/>
    <sheet name="Sheet1" sheetId="11" r:id="rId3"/>
  </sheets>
  <externalReferences>
    <externalReference r:id="rId4"/>
    <externalReference r:id="rId5"/>
  </externalReferences>
  <definedNames>
    <definedName name="_xlnm._FilterDatabase" localSheetId="1" hidden="1">stage_hints!$C$1:$N$1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255" i="3" l="1"/>
  <c r="M1255" i="3"/>
  <c r="J1255" i="3"/>
  <c r="H1255" i="3"/>
  <c r="G1255" i="3"/>
  <c r="E1255" i="3"/>
  <c r="D1255" i="3"/>
  <c r="A1255" i="3"/>
  <c r="N1254" i="3"/>
  <c r="M1254" i="3"/>
  <c r="J1254" i="3"/>
  <c r="H1254" i="3"/>
  <c r="G1254" i="3"/>
  <c r="E1254" i="3"/>
  <c r="D1254" i="3"/>
  <c r="A1254" i="3"/>
  <c r="N1253" i="3"/>
  <c r="M1253" i="3"/>
  <c r="J1253" i="3"/>
  <c r="H1253" i="3"/>
  <c r="G1253" i="3"/>
  <c r="E1253" i="3"/>
  <c r="D1253" i="3"/>
  <c r="A1253" i="3"/>
  <c r="N1252" i="3"/>
  <c r="M1252" i="3"/>
  <c r="J1252" i="3"/>
  <c r="H1252" i="3"/>
  <c r="G1252" i="3"/>
  <c r="E1252" i="3"/>
  <c r="D1252" i="3"/>
  <c r="A1252" i="3"/>
  <c r="N1251" i="3"/>
  <c r="M1251" i="3"/>
  <c r="J1251" i="3"/>
  <c r="H1251" i="3"/>
  <c r="G1251" i="3"/>
  <c r="E1251" i="3"/>
  <c r="D1251" i="3"/>
  <c r="A1251" i="3"/>
  <c r="N1250" i="3"/>
  <c r="M1250" i="3"/>
  <c r="J1250" i="3"/>
  <c r="H1250" i="3"/>
  <c r="G1250" i="3"/>
  <c r="E1250" i="3"/>
  <c r="D1250" i="3"/>
  <c r="A1250" i="3"/>
  <c r="N1249" i="3"/>
  <c r="M1249" i="3"/>
  <c r="J1249" i="3"/>
  <c r="H1249" i="3"/>
  <c r="G1249" i="3"/>
  <c r="E1249" i="3"/>
  <c r="D1249" i="3"/>
  <c r="A1249" i="3"/>
  <c r="N1248" i="3"/>
  <c r="M1248" i="3"/>
  <c r="J1248" i="3"/>
  <c r="H1248" i="3"/>
  <c r="G1248" i="3"/>
  <c r="E1248" i="3"/>
  <c r="D1248" i="3"/>
  <c r="A1248" i="3"/>
  <c r="N1247" i="3"/>
  <c r="M1247" i="3"/>
  <c r="J1247" i="3"/>
  <c r="H1247" i="3"/>
  <c r="G1247" i="3"/>
  <c r="E1247" i="3"/>
  <c r="D1247" i="3"/>
  <c r="A1247" i="3"/>
  <c r="N1246" i="3"/>
  <c r="M1246" i="3"/>
  <c r="J1246" i="3"/>
  <c r="H1246" i="3"/>
  <c r="G1246" i="3"/>
  <c r="E1246" i="3"/>
  <c r="D1246" i="3"/>
  <c r="A1246" i="3"/>
  <c r="N1245" i="3"/>
  <c r="M1245" i="3"/>
  <c r="J1245" i="3"/>
  <c r="H1245" i="3"/>
  <c r="G1245" i="3"/>
  <c r="E1245" i="3"/>
  <c r="D1245" i="3"/>
  <c r="A1245" i="3"/>
  <c r="N1244" i="3"/>
  <c r="M1244" i="3"/>
  <c r="J1244" i="3"/>
  <c r="H1244" i="3"/>
  <c r="G1244" i="3"/>
  <c r="E1244" i="3"/>
  <c r="D1244" i="3"/>
  <c r="A1244" i="3"/>
  <c r="N1243" i="3"/>
  <c r="M1243" i="3"/>
  <c r="J1243" i="3"/>
  <c r="H1243" i="3"/>
  <c r="G1243" i="3"/>
  <c r="E1243" i="3"/>
  <c r="D1243" i="3"/>
  <c r="A1243" i="3"/>
  <c r="N1242" i="3"/>
  <c r="M1242" i="3"/>
  <c r="J1242" i="3"/>
  <c r="H1242" i="3"/>
  <c r="G1242" i="3"/>
  <c r="E1242" i="3"/>
  <c r="D1242" i="3"/>
  <c r="A1242" i="3"/>
  <c r="N1241" i="3"/>
  <c r="M1241" i="3"/>
  <c r="J1241" i="3"/>
  <c r="H1241" i="3"/>
  <c r="G1241" i="3"/>
  <c r="E1241" i="3"/>
  <c r="D1241" i="3"/>
  <c r="A1241" i="3"/>
  <c r="N1240" i="3"/>
  <c r="M1240" i="3"/>
  <c r="J1240" i="3"/>
  <c r="H1240" i="3"/>
  <c r="G1240" i="3"/>
  <c r="E1240" i="3"/>
  <c r="D1240" i="3"/>
  <c r="A1240" i="3"/>
  <c r="N1239" i="3"/>
  <c r="M1239" i="3"/>
  <c r="J1239" i="3"/>
  <c r="H1239" i="3"/>
  <c r="G1239" i="3"/>
  <c r="E1239" i="3"/>
  <c r="D1239" i="3"/>
  <c r="A1239" i="3"/>
  <c r="N1238" i="3"/>
  <c r="M1238" i="3"/>
  <c r="J1238" i="3"/>
  <c r="H1238" i="3"/>
  <c r="G1238" i="3"/>
  <c r="E1238" i="3"/>
  <c r="D1238" i="3"/>
  <c r="A1238" i="3"/>
  <c r="N1237" i="3"/>
  <c r="M1237" i="3"/>
  <c r="J1237" i="3"/>
  <c r="H1237" i="3"/>
  <c r="G1237" i="3"/>
  <c r="E1237" i="3"/>
  <c r="D1237" i="3"/>
  <c r="A1237" i="3"/>
  <c r="N1236" i="3"/>
  <c r="M1236" i="3"/>
  <c r="J1236" i="3"/>
  <c r="H1236" i="3"/>
  <c r="G1236" i="3"/>
  <c r="E1236" i="3"/>
  <c r="D1236" i="3"/>
  <c r="A1236" i="3"/>
  <c r="N1235" i="3"/>
  <c r="M1235" i="3"/>
  <c r="J1235" i="3"/>
  <c r="H1235" i="3"/>
  <c r="G1235" i="3"/>
  <c r="E1235" i="3"/>
  <c r="D1235" i="3"/>
  <c r="A1235" i="3"/>
  <c r="N1234" i="3"/>
  <c r="M1234" i="3"/>
  <c r="J1234" i="3"/>
  <c r="H1234" i="3"/>
  <c r="G1234" i="3"/>
  <c r="E1234" i="3"/>
  <c r="D1234" i="3"/>
  <c r="A1234" i="3"/>
  <c r="N1233" i="3"/>
  <c r="M1233" i="3"/>
  <c r="J1233" i="3"/>
  <c r="H1233" i="3"/>
  <c r="G1233" i="3"/>
  <c r="E1233" i="3"/>
  <c r="D1233" i="3"/>
  <c r="A1233" i="3"/>
  <c r="N1232" i="3"/>
  <c r="M1232" i="3"/>
  <c r="J1232" i="3"/>
  <c r="H1232" i="3"/>
  <c r="G1232" i="3"/>
  <c r="E1232" i="3"/>
  <c r="D1232" i="3"/>
  <c r="A1232" i="3"/>
  <c r="N1231" i="3"/>
  <c r="M1231" i="3"/>
  <c r="J1231" i="3"/>
  <c r="H1231" i="3"/>
  <c r="G1231" i="3"/>
  <c r="E1231" i="3"/>
  <c r="D1231" i="3"/>
  <c r="A1231" i="3"/>
  <c r="N1230" i="3"/>
  <c r="M1230" i="3"/>
  <c r="J1230" i="3"/>
  <c r="H1230" i="3"/>
  <c r="G1230" i="3"/>
  <c r="E1230" i="3"/>
  <c r="D1230" i="3"/>
  <c r="A1230" i="3"/>
  <c r="N1229" i="3"/>
  <c r="M1229" i="3"/>
  <c r="J1229" i="3"/>
  <c r="H1229" i="3"/>
  <c r="G1229" i="3"/>
  <c r="E1229" i="3"/>
  <c r="D1229" i="3"/>
  <c r="A1229" i="3"/>
  <c r="N1228" i="3"/>
  <c r="M1228" i="3"/>
  <c r="J1228" i="3"/>
  <c r="H1228" i="3"/>
  <c r="G1228" i="3"/>
  <c r="E1228" i="3"/>
  <c r="D1228" i="3"/>
  <c r="A1228" i="3"/>
  <c r="N1227" i="3"/>
  <c r="M1227" i="3"/>
  <c r="J1227" i="3"/>
  <c r="H1227" i="3"/>
  <c r="G1227" i="3"/>
  <c r="E1227" i="3"/>
  <c r="D1227" i="3"/>
  <c r="A1227" i="3"/>
  <c r="N1226" i="3"/>
  <c r="M1226" i="3"/>
  <c r="J1226" i="3"/>
  <c r="H1226" i="3"/>
  <c r="G1226" i="3"/>
  <c r="E1226" i="3"/>
  <c r="D1226" i="3"/>
  <c r="A1226" i="3"/>
  <c r="N1225" i="3"/>
  <c r="M1225" i="3"/>
  <c r="J1225" i="3"/>
  <c r="H1225" i="3"/>
  <c r="G1225" i="3"/>
  <c r="E1225" i="3"/>
  <c r="D1225" i="3"/>
  <c r="A1225" i="3"/>
  <c r="N1224" i="3"/>
  <c r="M1224" i="3"/>
  <c r="J1224" i="3"/>
  <c r="H1224" i="3"/>
  <c r="G1224" i="3"/>
  <c r="E1224" i="3"/>
  <c r="D1224" i="3"/>
  <c r="A1224" i="3"/>
  <c r="N1223" i="3"/>
  <c r="M1223" i="3"/>
  <c r="J1223" i="3"/>
  <c r="H1223" i="3"/>
  <c r="G1223" i="3"/>
  <c r="E1223" i="3"/>
  <c r="D1223" i="3"/>
  <c r="A1223" i="3"/>
  <c r="M3" i="3"/>
  <c r="N3" i="3"/>
  <c r="M4" i="3"/>
  <c r="N4" i="3"/>
  <c r="M5" i="3"/>
  <c r="N5" i="3"/>
  <c r="M6" i="3"/>
  <c r="N6" i="3"/>
  <c r="M7" i="3"/>
  <c r="N7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M44" i="3"/>
  <c r="N44" i="3"/>
  <c r="M45" i="3"/>
  <c r="N45" i="3"/>
  <c r="M46" i="3"/>
  <c r="N46" i="3"/>
  <c r="M47" i="3"/>
  <c r="N47" i="3"/>
  <c r="M48" i="3"/>
  <c r="N48" i="3"/>
  <c r="M49" i="3"/>
  <c r="N49" i="3"/>
  <c r="M50" i="3"/>
  <c r="N50" i="3"/>
  <c r="M51" i="3"/>
  <c r="N51" i="3"/>
  <c r="M52" i="3"/>
  <c r="N52" i="3"/>
  <c r="M53" i="3"/>
  <c r="N53" i="3"/>
  <c r="M54" i="3"/>
  <c r="N54" i="3"/>
  <c r="M55" i="3"/>
  <c r="N55" i="3"/>
  <c r="M56" i="3"/>
  <c r="N56" i="3"/>
  <c r="M57" i="3"/>
  <c r="N57" i="3"/>
  <c r="M58" i="3"/>
  <c r="N58" i="3"/>
  <c r="M59" i="3"/>
  <c r="N59" i="3"/>
  <c r="M60" i="3"/>
  <c r="N60" i="3"/>
  <c r="M61" i="3"/>
  <c r="N61" i="3"/>
  <c r="M62" i="3"/>
  <c r="N62" i="3"/>
  <c r="M63" i="3"/>
  <c r="N63" i="3"/>
  <c r="M64" i="3"/>
  <c r="N64" i="3"/>
  <c r="M65" i="3"/>
  <c r="N65" i="3"/>
  <c r="M66" i="3"/>
  <c r="N66" i="3"/>
  <c r="M67" i="3"/>
  <c r="N67" i="3"/>
  <c r="M68" i="3"/>
  <c r="N68" i="3"/>
  <c r="M69" i="3"/>
  <c r="N69" i="3"/>
  <c r="M70" i="3"/>
  <c r="N70" i="3"/>
  <c r="M71" i="3"/>
  <c r="N71" i="3"/>
  <c r="M72" i="3"/>
  <c r="N72" i="3"/>
  <c r="M73" i="3"/>
  <c r="N73" i="3"/>
  <c r="M74" i="3"/>
  <c r="N74" i="3"/>
  <c r="M75" i="3"/>
  <c r="N75" i="3"/>
  <c r="M76" i="3"/>
  <c r="N76" i="3"/>
  <c r="M77" i="3"/>
  <c r="N77" i="3"/>
  <c r="M78" i="3"/>
  <c r="N78" i="3"/>
  <c r="M79" i="3"/>
  <c r="N79" i="3"/>
  <c r="M80" i="3"/>
  <c r="N80" i="3"/>
  <c r="M81" i="3"/>
  <c r="N81" i="3"/>
  <c r="M82" i="3"/>
  <c r="N82" i="3"/>
  <c r="M83" i="3"/>
  <c r="N83" i="3"/>
  <c r="M84" i="3"/>
  <c r="N84" i="3"/>
  <c r="M85" i="3"/>
  <c r="N85" i="3"/>
  <c r="M86" i="3"/>
  <c r="N86" i="3"/>
  <c r="M87" i="3"/>
  <c r="N87" i="3"/>
  <c r="M88" i="3"/>
  <c r="N88" i="3"/>
  <c r="M89" i="3"/>
  <c r="N89" i="3"/>
  <c r="M90" i="3"/>
  <c r="N90" i="3"/>
  <c r="M91" i="3"/>
  <c r="N91" i="3"/>
  <c r="M92" i="3"/>
  <c r="N92" i="3"/>
  <c r="M93" i="3"/>
  <c r="N93" i="3"/>
  <c r="M94" i="3"/>
  <c r="N94" i="3"/>
  <c r="M95" i="3"/>
  <c r="N95" i="3"/>
  <c r="M96" i="3"/>
  <c r="N96" i="3"/>
  <c r="M97" i="3"/>
  <c r="N97" i="3"/>
  <c r="M98" i="3"/>
  <c r="N98" i="3"/>
  <c r="M99" i="3"/>
  <c r="N99" i="3"/>
  <c r="M100" i="3"/>
  <c r="N100" i="3"/>
  <c r="M101" i="3"/>
  <c r="N101" i="3"/>
  <c r="M102" i="3"/>
  <c r="N102" i="3"/>
  <c r="M103" i="3"/>
  <c r="N103" i="3"/>
  <c r="M104" i="3"/>
  <c r="N104" i="3"/>
  <c r="M105" i="3"/>
  <c r="N105" i="3"/>
  <c r="M106" i="3"/>
  <c r="N106" i="3"/>
  <c r="M107" i="3"/>
  <c r="N107" i="3"/>
  <c r="M108" i="3"/>
  <c r="N108" i="3"/>
  <c r="M109" i="3"/>
  <c r="N109" i="3"/>
  <c r="M110" i="3"/>
  <c r="N110" i="3"/>
  <c r="M111" i="3"/>
  <c r="N111" i="3"/>
  <c r="M112" i="3"/>
  <c r="N112" i="3"/>
  <c r="M113" i="3"/>
  <c r="N113" i="3"/>
  <c r="M114" i="3"/>
  <c r="N114" i="3"/>
  <c r="M115" i="3"/>
  <c r="N115" i="3"/>
  <c r="M116" i="3"/>
  <c r="N116" i="3"/>
  <c r="M117" i="3"/>
  <c r="N117" i="3"/>
  <c r="M118" i="3"/>
  <c r="N118" i="3"/>
  <c r="M119" i="3"/>
  <c r="N119" i="3"/>
  <c r="M120" i="3"/>
  <c r="N120" i="3"/>
  <c r="M121" i="3"/>
  <c r="N121" i="3"/>
  <c r="M122" i="3"/>
  <c r="N122" i="3"/>
  <c r="M123" i="3"/>
  <c r="N123" i="3"/>
  <c r="M124" i="3"/>
  <c r="N124" i="3"/>
  <c r="M125" i="3"/>
  <c r="N125" i="3"/>
  <c r="M126" i="3"/>
  <c r="N126" i="3"/>
  <c r="M127" i="3"/>
  <c r="N127" i="3"/>
  <c r="M128" i="3"/>
  <c r="N128" i="3"/>
  <c r="M129" i="3"/>
  <c r="N129" i="3"/>
  <c r="M130" i="3"/>
  <c r="N130" i="3"/>
  <c r="M131" i="3"/>
  <c r="N131" i="3"/>
  <c r="M132" i="3"/>
  <c r="N132" i="3"/>
  <c r="M133" i="3"/>
  <c r="N133" i="3"/>
  <c r="M134" i="3"/>
  <c r="N134" i="3"/>
  <c r="M135" i="3"/>
  <c r="N135" i="3"/>
  <c r="M136" i="3"/>
  <c r="N136" i="3"/>
  <c r="M137" i="3"/>
  <c r="N137" i="3"/>
  <c r="M138" i="3"/>
  <c r="N138" i="3"/>
  <c r="M139" i="3"/>
  <c r="N139" i="3"/>
  <c r="M140" i="3"/>
  <c r="N140" i="3"/>
  <c r="M141" i="3"/>
  <c r="N141" i="3"/>
  <c r="M142" i="3"/>
  <c r="N142" i="3"/>
  <c r="M143" i="3"/>
  <c r="N143" i="3"/>
  <c r="M144" i="3"/>
  <c r="N144" i="3"/>
  <c r="M145" i="3"/>
  <c r="N145" i="3"/>
  <c r="M146" i="3"/>
  <c r="N146" i="3"/>
  <c r="M147" i="3"/>
  <c r="N147" i="3"/>
  <c r="M148" i="3"/>
  <c r="N148" i="3"/>
  <c r="M149" i="3"/>
  <c r="N149" i="3"/>
  <c r="M150" i="3"/>
  <c r="N150" i="3"/>
  <c r="M151" i="3"/>
  <c r="N151" i="3"/>
  <c r="M152" i="3"/>
  <c r="N152" i="3"/>
  <c r="M153" i="3"/>
  <c r="N153" i="3"/>
  <c r="M154" i="3"/>
  <c r="N154" i="3"/>
  <c r="M155" i="3"/>
  <c r="N155" i="3"/>
  <c r="M156" i="3"/>
  <c r="N156" i="3"/>
  <c r="M157" i="3"/>
  <c r="N157" i="3"/>
  <c r="M158" i="3"/>
  <c r="N158" i="3"/>
  <c r="M159" i="3"/>
  <c r="N159" i="3"/>
  <c r="M160" i="3"/>
  <c r="N160" i="3"/>
  <c r="M161" i="3"/>
  <c r="N161" i="3"/>
  <c r="M162" i="3"/>
  <c r="N162" i="3"/>
  <c r="M163" i="3"/>
  <c r="N163" i="3"/>
  <c r="M164" i="3"/>
  <c r="N164" i="3"/>
  <c r="M165" i="3"/>
  <c r="N165" i="3"/>
  <c r="M166" i="3"/>
  <c r="N166" i="3"/>
  <c r="M167" i="3"/>
  <c r="N167" i="3"/>
  <c r="M168" i="3"/>
  <c r="N168" i="3"/>
  <c r="M169" i="3"/>
  <c r="N169" i="3"/>
  <c r="M170" i="3"/>
  <c r="N170" i="3"/>
  <c r="M171" i="3"/>
  <c r="N171" i="3"/>
  <c r="M172" i="3"/>
  <c r="N172" i="3"/>
  <c r="M173" i="3"/>
  <c r="N173" i="3"/>
  <c r="M174" i="3"/>
  <c r="N174" i="3"/>
  <c r="M175" i="3"/>
  <c r="N175" i="3"/>
  <c r="M176" i="3"/>
  <c r="N176" i="3"/>
  <c r="M177" i="3"/>
  <c r="N177" i="3"/>
  <c r="M178" i="3"/>
  <c r="N178" i="3"/>
  <c r="M179" i="3"/>
  <c r="N179" i="3"/>
  <c r="M180" i="3"/>
  <c r="N180" i="3"/>
  <c r="M181" i="3"/>
  <c r="N181" i="3"/>
  <c r="M182" i="3"/>
  <c r="N182" i="3"/>
  <c r="M183" i="3"/>
  <c r="N183" i="3"/>
  <c r="M184" i="3"/>
  <c r="N184" i="3"/>
  <c r="M185" i="3"/>
  <c r="N185" i="3"/>
  <c r="M186" i="3"/>
  <c r="N186" i="3"/>
  <c r="M187" i="3"/>
  <c r="N187" i="3"/>
  <c r="M188" i="3"/>
  <c r="N188" i="3"/>
  <c r="M189" i="3"/>
  <c r="N189" i="3"/>
  <c r="M190" i="3"/>
  <c r="N190" i="3"/>
  <c r="M191" i="3"/>
  <c r="N191" i="3"/>
  <c r="M192" i="3"/>
  <c r="N192" i="3"/>
  <c r="M193" i="3"/>
  <c r="N193" i="3"/>
  <c r="M194" i="3"/>
  <c r="N194" i="3"/>
  <c r="M195" i="3"/>
  <c r="N195" i="3"/>
  <c r="M196" i="3"/>
  <c r="N196" i="3"/>
  <c r="M197" i="3"/>
  <c r="N197" i="3"/>
  <c r="M198" i="3"/>
  <c r="N198" i="3"/>
  <c r="M199" i="3"/>
  <c r="N199" i="3"/>
  <c r="M200" i="3"/>
  <c r="N200" i="3"/>
  <c r="M201" i="3"/>
  <c r="N201" i="3"/>
  <c r="M202" i="3"/>
  <c r="N202" i="3"/>
  <c r="M203" i="3"/>
  <c r="N203" i="3"/>
  <c r="M204" i="3"/>
  <c r="N204" i="3"/>
  <c r="M205" i="3"/>
  <c r="N205" i="3"/>
  <c r="M206" i="3"/>
  <c r="N206" i="3"/>
  <c r="M207" i="3"/>
  <c r="N207" i="3"/>
  <c r="M208" i="3"/>
  <c r="N208" i="3"/>
  <c r="M209" i="3"/>
  <c r="N209" i="3"/>
  <c r="M210" i="3"/>
  <c r="N210" i="3"/>
  <c r="M211" i="3"/>
  <c r="N211" i="3"/>
  <c r="M212" i="3"/>
  <c r="N212" i="3"/>
  <c r="M213" i="3"/>
  <c r="N213" i="3"/>
  <c r="M214" i="3"/>
  <c r="N214" i="3"/>
  <c r="M215" i="3"/>
  <c r="N215" i="3"/>
  <c r="M216" i="3"/>
  <c r="N216" i="3"/>
  <c r="M217" i="3"/>
  <c r="N217" i="3"/>
  <c r="M218" i="3"/>
  <c r="N218" i="3"/>
  <c r="M219" i="3"/>
  <c r="N219" i="3"/>
  <c r="M220" i="3"/>
  <c r="N220" i="3"/>
  <c r="M221" i="3"/>
  <c r="N221" i="3"/>
  <c r="M222" i="3"/>
  <c r="N222" i="3"/>
  <c r="M223" i="3"/>
  <c r="N223" i="3"/>
  <c r="M224" i="3"/>
  <c r="N224" i="3"/>
  <c r="M225" i="3"/>
  <c r="N225" i="3"/>
  <c r="M226" i="3"/>
  <c r="N226" i="3"/>
  <c r="M227" i="3"/>
  <c r="N227" i="3"/>
  <c r="M228" i="3"/>
  <c r="N228" i="3"/>
  <c r="M229" i="3"/>
  <c r="N229" i="3"/>
  <c r="M230" i="3"/>
  <c r="N230" i="3"/>
  <c r="M231" i="3"/>
  <c r="N231" i="3"/>
  <c r="M232" i="3"/>
  <c r="N232" i="3"/>
  <c r="M233" i="3"/>
  <c r="N233" i="3"/>
  <c r="M234" i="3"/>
  <c r="N234" i="3"/>
  <c r="M235" i="3"/>
  <c r="N235" i="3"/>
  <c r="M236" i="3"/>
  <c r="N236" i="3"/>
  <c r="M237" i="3"/>
  <c r="N237" i="3"/>
  <c r="M238" i="3"/>
  <c r="N238" i="3"/>
  <c r="M239" i="3"/>
  <c r="N239" i="3"/>
  <c r="M240" i="3"/>
  <c r="N240" i="3"/>
  <c r="M241" i="3"/>
  <c r="N241" i="3"/>
  <c r="M242" i="3"/>
  <c r="N242" i="3"/>
  <c r="M243" i="3"/>
  <c r="N243" i="3"/>
  <c r="M244" i="3"/>
  <c r="N244" i="3"/>
  <c r="M245" i="3"/>
  <c r="N245" i="3"/>
  <c r="M246" i="3"/>
  <c r="N246" i="3"/>
  <c r="M247" i="3"/>
  <c r="N247" i="3"/>
  <c r="M248" i="3"/>
  <c r="N248" i="3"/>
  <c r="M249" i="3"/>
  <c r="N249" i="3"/>
  <c r="M250" i="3"/>
  <c r="N250" i="3"/>
  <c r="M251" i="3"/>
  <c r="N251" i="3"/>
  <c r="M252" i="3"/>
  <c r="N252" i="3"/>
  <c r="M253" i="3"/>
  <c r="N253" i="3"/>
  <c r="M254" i="3"/>
  <c r="N254" i="3"/>
  <c r="M255" i="3"/>
  <c r="N255" i="3"/>
  <c r="M256" i="3"/>
  <c r="N256" i="3"/>
  <c r="M257" i="3"/>
  <c r="N257" i="3"/>
  <c r="M258" i="3"/>
  <c r="N258" i="3"/>
  <c r="M259" i="3"/>
  <c r="N259" i="3"/>
  <c r="M260" i="3"/>
  <c r="N260" i="3"/>
  <c r="M261" i="3"/>
  <c r="N261" i="3"/>
  <c r="M262" i="3"/>
  <c r="N262" i="3"/>
  <c r="M263" i="3"/>
  <c r="N263" i="3"/>
  <c r="M264" i="3"/>
  <c r="N264" i="3"/>
  <c r="M265" i="3"/>
  <c r="N265" i="3"/>
  <c r="M266" i="3"/>
  <c r="N266" i="3"/>
  <c r="M267" i="3"/>
  <c r="N267" i="3"/>
  <c r="M268" i="3"/>
  <c r="N268" i="3"/>
  <c r="M269" i="3"/>
  <c r="N269" i="3"/>
  <c r="M270" i="3"/>
  <c r="N270" i="3"/>
  <c r="M271" i="3"/>
  <c r="N271" i="3"/>
  <c r="M272" i="3"/>
  <c r="N272" i="3"/>
  <c r="M273" i="3"/>
  <c r="N273" i="3"/>
  <c r="M274" i="3"/>
  <c r="N274" i="3"/>
  <c r="M275" i="3"/>
  <c r="N275" i="3"/>
  <c r="M276" i="3"/>
  <c r="N276" i="3"/>
  <c r="M277" i="3"/>
  <c r="N277" i="3"/>
  <c r="M278" i="3"/>
  <c r="N278" i="3"/>
  <c r="M279" i="3"/>
  <c r="N279" i="3"/>
  <c r="M280" i="3"/>
  <c r="N280" i="3"/>
  <c r="M281" i="3"/>
  <c r="N281" i="3"/>
  <c r="M282" i="3"/>
  <c r="N282" i="3"/>
  <c r="M283" i="3"/>
  <c r="N283" i="3"/>
  <c r="M284" i="3"/>
  <c r="N284" i="3"/>
  <c r="M285" i="3"/>
  <c r="N285" i="3"/>
  <c r="M286" i="3"/>
  <c r="N286" i="3"/>
  <c r="M287" i="3"/>
  <c r="N287" i="3"/>
  <c r="M288" i="3"/>
  <c r="N288" i="3"/>
  <c r="M289" i="3"/>
  <c r="N289" i="3"/>
  <c r="M290" i="3"/>
  <c r="N290" i="3"/>
  <c r="M291" i="3"/>
  <c r="N291" i="3"/>
  <c r="M292" i="3"/>
  <c r="N292" i="3"/>
  <c r="M293" i="3"/>
  <c r="N293" i="3"/>
  <c r="M294" i="3"/>
  <c r="N294" i="3"/>
  <c r="M295" i="3"/>
  <c r="N295" i="3"/>
  <c r="M296" i="3"/>
  <c r="N296" i="3"/>
  <c r="M297" i="3"/>
  <c r="N297" i="3"/>
  <c r="M298" i="3"/>
  <c r="N298" i="3"/>
  <c r="M299" i="3"/>
  <c r="N299" i="3"/>
  <c r="M300" i="3"/>
  <c r="N300" i="3"/>
  <c r="M301" i="3"/>
  <c r="N301" i="3"/>
  <c r="M302" i="3"/>
  <c r="N302" i="3"/>
  <c r="M303" i="3"/>
  <c r="N303" i="3"/>
  <c r="M304" i="3"/>
  <c r="N304" i="3"/>
  <c r="M305" i="3"/>
  <c r="N305" i="3"/>
  <c r="M306" i="3"/>
  <c r="N306" i="3"/>
  <c r="M307" i="3"/>
  <c r="N307" i="3"/>
  <c r="M308" i="3"/>
  <c r="N308" i="3"/>
  <c r="M309" i="3"/>
  <c r="N309" i="3"/>
  <c r="M310" i="3"/>
  <c r="N310" i="3"/>
  <c r="M311" i="3"/>
  <c r="N311" i="3"/>
  <c r="M312" i="3"/>
  <c r="N312" i="3"/>
  <c r="M313" i="3"/>
  <c r="N313" i="3"/>
  <c r="M314" i="3"/>
  <c r="N314" i="3"/>
  <c r="M315" i="3"/>
  <c r="N315" i="3"/>
  <c r="M316" i="3"/>
  <c r="N316" i="3"/>
  <c r="M317" i="3"/>
  <c r="N317" i="3"/>
  <c r="M318" i="3"/>
  <c r="N318" i="3"/>
  <c r="M319" i="3"/>
  <c r="N319" i="3"/>
  <c r="M320" i="3"/>
  <c r="N320" i="3"/>
  <c r="M321" i="3"/>
  <c r="N321" i="3"/>
  <c r="M322" i="3"/>
  <c r="N322" i="3"/>
  <c r="M323" i="3"/>
  <c r="N323" i="3"/>
  <c r="M324" i="3"/>
  <c r="N324" i="3"/>
  <c r="M325" i="3"/>
  <c r="N325" i="3"/>
  <c r="M326" i="3"/>
  <c r="N326" i="3"/>
  <c r="M327" i="3"/>
  <c r="N327" i="3"/>
  <c r="M328" i="3"/>
  <c r="N328" i="3"/>
  <c r="M329" i="3"/>
  <c r="N329" i="3"/>
  <c r="M330" i="3"/>
  <c r="N330" i="3"/>
  <c r="M331" i="3"/>
  <c r="N331" i="3"/>
  <c r="M332" i="3"/>
  <c r="N332" i="3"/>
  <c r="M333" i="3"/>
  <c r="N333" i="3"/>
  <c r="M334" i="3"/>
  <c r="N334" i="3"/>
  <c r="M335" i="3"/>
  <c r="N335" i="3"/>
  <c r="M336" i="3"/>
  <c r="N336" i="3"/>
  <c r="M337" i="3"/>
  <c r="N337" i="3"/>
  <c r="M338" i="3"/>
  <c r="N338" i="3"/>
  <c r="M339" i="3"/>
  <c r="N339" i="3"/>
  <c r="M340" i="3"/>
  <c r="N340" i="3"/>
  <c r="M341" i="3"/>
  <c r="N341" i="3"/>
  <c r="M342" i="3"/>
  <c r="N342" i="3"/>
  <c r="M343" i="3"/>
  <c r="N343" i="3"/>
  <c r="M344" i="3"/>
  <c r="N344" i="3"/>
  <c r="M345" i="3"/>
  <c r="N345" i="3"/>
  <c r="M346" i="3"/>
  <c r="N346" i="3"/>
  <c r="M347" i="3"/>
  <c r="N347" i="3"/>
  <c r="M348" i="3"/>
  <c r="N348" i="3"/>
  <c r="M349" i="3"/>
  <c r="N349" i="3"/>
  <c r="M350" i="3"/>
  <c r="N350" i="3"/>
  <c r="M351" i="3"/>
  <c r="N351" i="3"/>
  <c r="M352" i="3"/>
  <c r="N352" i="3"/>
  <c r="M353" i="3"/>
  <c r="N353" i="3"/>
  <c r="M354" i="3"/>
  <c r="N354" i="3"/>
  <c r="M355" i="3"/>
  <c r="N355" i="3"/>
  <c r="M356" i="3"/>
  <c r="N356" i="3"/>
  <c r="M357" i="3"/>
  <c r="N357" i="3"/>
  <c r="M358" i="3"/>
  <c r="N358" i="3"/>
  <c r="M359" i="3"/>
  <c r="N359" i="3"/>
  <c r="M360" i="3"/>
  <c r="N360" i="3"/>
  <c r="M361" i="3"/>
  <c r="N361" i="3"/>
  <c r="M362" i="3"/>
  <c r="N362" i="3"/>
  <c r="M363" i="3"/>
  <c r="N363" i="3"/>
  <c r="M364" i="3"/>
  <c r="N364" i="3"/>
  <c r="M365" i="3"/>
  <c r="N365" i="3"/>
  <c r="M366" i="3"/>
  <c r="N366" i="3"/>
  <c r="M367" i="3"/>
  <c r="N367" i="3"/>
  <c r="M368" i="3"/>
  <c r="N368" i="3"/>
  <c r="M369" i="3"/>
  <c r="N369" i="3"/>
  <c r="M370" i="3"/>
  <c r="N370" i="3"/>
  <c r="M371" i="3"/>
  <c r="N371" i="3"/>
  <c r="M372" i="3"/>
  <c r="N372" i="3"/>
  <c r="M373" i="3"/>
  <c r="N373" i="3"/>
  <c r="M374" i="3"/>
  <c r="N374" i="3"/>
  <c r="M375" i="3"/>
  <c r="N375" i="3"/>
  <c r="M376" i="3"/>
  <c r="N376" i="3"/>
  <c r="M377" i="3"/>
  <c r="N377" i="3"/>
  <c r="M378" i="3"/>
  <c r="N378" i="3"/>
  <c r="M379" i="3"/>
  <c r="N379" i="3"/>
  <c r="M380" i="3"/>
  <c r="N380" i="3"/>
  <c r="M381" i="3"/>
  <c r="N381" i="3"/>
  <c r="M382" i="3"/>
  <c r="N382" i="3"/>
  <c r="M383" i="3"/>
  <c r="N383" i="3"/>
  <c r="M384" i="3"/>
  <c r="N384" i="3"/>
  <c r="M385" i="3"/>
  <c r="N385" i="3"/>
  <c r="M386" i="3"/>
  <c r="N386" i="3"/>
  <c r="M387" i="3"/>
  <c r="N387" i="3"/>
  <c r="M388" i="3"/>
  <c r="N388" i="3"/>
  <c r="M389" i="3"/>
  <c r="N389" i="3"/>
  <c r="M390" i="3"/>
  <c r="N390" i="3"/>
  <c r="M391" i="3"/>
  <c r="N391" i="3"/>
  <c r="M392" i="3"/>
  <c r="N392" i="3"/>
  <c r="M393" i="3"/>
  <c r="N393" i="3"/>
  <c r="M394" i="3"/>
  <c r="N394" i="3"/>
  <c r="M395" i="3"/>
  <c r="N395" i="3"/>
  <c r="M396" i="3"/>
  <c r="N396" i="3"/>
  <c r="M397" i="3"/>
  <c r="N397" i="3"/>
  <c r="M398" i="3"/>
  <c r="N398" i="3"/>
  <c r="M399" i="3"/>
  <c r="N399" i="3"/>
  <c r="M400" i="3"/>
  <c r="N400" i="3"/>
  <c r="M401" i="3"/>
  <c r="N401" i="3"/>
  <c r="M402" i="3"/>
  <c r="N402" i="3"/>
  <c r="M403" i="3"/>
  <c r="N403" i="3"/>
  <c r="M404" i="3"/>
  <c r="N404" i="3"/>
  <c r="M405" i="3"/>
  <c r="N405" i="3"/>
  <c r="M406" i="3"/>
  <c r="N406" i="3"/>
  <c r="M407" i="3"/>
  <c r="N407" i="3"/>
  <c r="M408" i="3"/>
  <c r="N408" i="3"/>
  <c r="M409" i="3"/>
  <c r="N409" i="3"/>
  <c r="M410" i="3"/>
  <c r="N410" i="3"/>
  <c r="M411" i="3"/>
  <c r="N411" i="3"/>
  <c r="M412" i="3"/>
  <c r="N412" i="3"/>
  <c r="M413" i="3"/>
  <c r="N413" i="3"/>
  <c r="M414" i="3"/>
  <c r="N414" i="3"/>
  <c r="M415" i="3"/>
  <c r="N415" i="3"/>
  <c r="M416" i="3"/>
  <c r="N416" i="3"/>
  <c r="M417" i="3"/>
  <c r="N417" i="3"/>
  <c r="M418" i="3"/>
  <c r="N418" i="3"/>
  <c r="M419" i="3"/>
  <c r="N419" i="3"/>
  <c r="M420" i="3"/>
  <c r="N420" i="3"/>
  <c r="M421" i="3"/>
  <c r="N421" i="3"/>
  <c r="M422" i="3"/>
  <c r="N422" i="3"/>
  <c r="M423" i="3"/>
  <c r="N423" i="3"/>
  <c r="M424" i="3"/>
  <c r="N424" i="3"/>
  <c r="M425" i="3"/>
  <c r="N425" i="3"/>
  <c r="M426" i="3"/>
  <c r="N426" i="3"/>
  <c r="M427" i="3"/>
  <c r="N427" i="3"/>
  <c r="M428" i="3"/>
  <c r="N428" i="3"/>
  <c r="M429" i="3"/>
  <c r="N429" i="3"/>
  <c r="M430" i="3"/>
  <c r="N430" i="3"/>
  <c r="M431" i="3"/>
  <c r="N431" i="3"/>
  <c r="M432" i="3"/>
  <c r="N432" i="3"/>
  <c r="M433" i="3"/>
  <c r="N433" i="3"/>
  <c r="M434" i="3"/>
  <c r="N434" i="3"/>
  <c r="M435" i="3"/>
  <c r="N435" i="3"/>
  <c r="M436" i="3"/>
  <c r="N436" i="3"/>
  <c r="M437" i="3"/>
  <c r="N437" i="3"/>
  <c r="M438" i="3"/>
  <c r="N438" i="3"/>
  <c r="M439" i="3"/>
  <c r="N439" i="3"/>
  <c r="M440" i="3"/>
  <c r="N440" i="3"/>
  <c r="M441" i="3"/>
  <c r="N441" i="3"/>
  <c r="M442" i="3"/>
  <c r="N442" i="3"/>
  <c r="M443" i="3"/>
  <c r="N443" i="3"/>
  <c r="M444" i="3"/>
  <c r="N444" i="3"/>
  <c r="M445" i="3"/>
  <c r="N445" i="3"/>
  <c r="M446" i="3"/>
  <c r="N446" i="3"/>
  <c r="M447" i="3"/>
  <c r="N447" i="3"/>
  <c r="M448" i="3"/>
  <c r="N448" i="3"/>
  <c r="M449" i="3"/>
  <c r="N449" i="3"/>
  <c r="M450" i="3"/>
  <c r="N450" i="3"/>
  <c r="M451" i="3"/>
  <c r="N451" i="3"/>
  <c r="M452" i="3"/>
  <c r="N452" i="3"/>
  <c r="M453" i="3"/>
  <c r="N453" i="3"/>
  <c r="M454" i="3"/>
  <c r="N454" i="3"/>
  <c r="M455" i="3"/>
  <c r="N455" i="3"/>
  <c r="M456" i="3"/>
  <c r="N456" i="3"/>
  <c r="M457" i="3"/>
  <c r="N457" i="3"/>
  <c r="M458" i="3"/>
  <c r="N458" i="3"/>
  <c r="M459" i="3"/>
  <c r="N459" i="3"/>
  <c r="M460" i="3"/>
  <c r="N460" i="3"/>
  <c r="M461" i="3"/>
  <c r="N461" i="3"/>
  <c r="M462" i="3"/>
  <c r="N462" i="3"/>
  <c r="M463" i="3"/>
  <c r="N463" i="3"/>
  <c r="M464" i="3"/>
  <c r="N464" i="3"/>
  <c r="M465" i="3"/>
  <c r="N465" i="3"/>
  <c r="M466" i="3"/>
  <c r="N466" i="3"/>
  <c r="M467" i="3"/>
  <c r="N467" i="3"/>
  <c r="M468" i="3"/>
  <c r="N468" i="3"/>
  <c r="M469" i="3"/>
  <c r="N469" i="3"/>
  <c r="M470" i="3"/>
  <c r="N470" i="3"/>
  <c r="M471" i="3"/>
  <c r="N471" i="3"/>
  <c r="M472" i="3"/>
  <c r="N472" i="3"/>
  <c r="M473" i="3"/>
  <c r="N473" i="3"/>
  <c r="M474" i="3"/>
  <c r="N474" i="3"/>
  <c r="M475" i="3"/>
  <c r="N475" i="3"/>
  <c r="M476" i="3"/>
  <c r="N476" i="3"/>
  <c r="M477" i="3"/>
  <c r="N477" i="3"/>
  <c r="M478" i="3"/>
  <c r="N478" i="3"/>
  <c r="M479" i="3"/>
  <c r="N479" i="3"/>
  <c r="M480" i="3"/>
  <c r="N480" i="3"/>
  <c r="M481" i="3"/>
  <c r="N481" i="3"/>
  <c r="M482" i="3"/>
  <c r="N482" i="3"/>
  <c r="M483" i="3"/>
  <c r="N483" i="3"/>
  <c r="M484" i="3"/>
  <c r="N484" i="3"/>
  <c r="M485" i="3"/>
  <c r="N485" i="3"/>
  <c r="M486" i="3"/>
  <c r="N486" i="3"/>
  <c r="M487" i="3"/>
  <c r="N487" i="3"/>
  <c r="M488" i="3"/>
  <c r="N488" i="3"/>
  <c r="M489" i="3"/>
  <c r="N489" i="3"/>
  <c r="M490" i="3"/>
  <c r="N490" i="3"/>
  <c r="M491" i="3"/>
  <c r="N491" i="3"/>
  <c r="M492" i="3"/>
  <c r="N492" i="3"/>
  <c r="M493" i="3"/>
  <c r="N493" i="3"/>
  <c r="M494" i="3"/>
  <c r="N494" i="3"/>
  <c r="M495" i="3"/>
  <c r="N495" i="3"/>
  <c r="M496" i="3"/>
  <c r="N496" i="3"/>
  <c r="M497" i="3"/>
  <c r="N497" i="3"/>
  <c r="M498" i="3"/>
  <c r="N498" i="3"/>
  <c r="M499" i="3"/>
  <c r="N499" i="3"/>
  <c r="M500" i="3"/>
  <c r="N500" i="3"/>
  <c r="M501" i="3"/>
  <c r="N501" i="3"/>
  <c r="M502" i="3"/>
  <c r="N502" i="3"/>
  <c r="M503" i="3"/>
  <c r="N503" i="3"/>
  <c r="M504" i="3"/>
  <c r="N504" i="3"/>
  <c r="M505" i="3"/>
  <c r="N505" i="3"/>
  <c r="M506" i="3"/>
  <c r="N506" i="3"/>
  <c r="M507" i="3"/>
  <c r="N507" i="3"/>
  <c r="M508" i="3"/>
  <c r="N508" i="3"/>
  <c r="M509" i="3"/>
  <c r="N509" i="3"/>
  <c r="M510" i="3"/>
  <c r="N510" i="3"/>
  <c r="M511" i="3"/>
  <c r="N511" i="3"/>
  <c r="M512" i="3"/>
  <c r="N512" i="3"/>
  <c r="M513" i="3"/>
  <c r="N513" i="3"/>
  <c r="M514" i="3"/>
  <c r="N514" i="3"/>
  <c r="M515" i="3"/>
  <c r="N515" i="3"/>
  <c r="M516" i="3"/>
  <c r="N516" i="3"/>
  <c r="M517" i="3"/>
  <c r="N517" i="3"/>
  <c r="M518" i="3"/>
  <c r="N518" i="3"/>
  <c r="M519" i="3"/>
  <c r="N519" i="3"/>
  <c r="M520" i="3"/>
  <c r="N520" i="3"/>
  <c r="M521" i="3"/>
  <c r="N521" i="3"/>
  <c r="M522" i="3"/>
  <c r="N522" i="3"/>
  <c r="M523" i="3"/>
  <c r="N523" i="3"/>
  <c r="M524" i="3"/>
  <c r="N524" i="3"/>
  <c r="M525" i="3"/>
  <c r="N525" i="3"/>
  <c r="M526" i="3"/>
  <c r="N526" i="3"/>
  <c r="M527" i="3"/>
  <c r="N527" i="3"/>
  <c r="M528" i="3"/>
  <c r="N528" i="3"/>
  <c r="M529" i="3"/>
  <c r="N529" i="3"/>
  <c r="M530" i="3"/>
  <c r="N530" i="3"/>
  <c r="M531" i="3"/>
  <c r="N531" i="3"/>
  <c r="M532" i="3"/>
  <c r="N532" i="3"/>
  <c r="M533" i="3"/>
  <c r="N533" i="3"/>
  <c r="M534" i="3"/>
  <c r="N534" i="3"/>
  <c r="M535" i="3"/>
  <c r="N535" i="3"/>
  <c r="M536" i="3"/>
  <c r="N536" i="3"/>
  <c r="M537" i="3"/>
  <c r="N537" i="3"/>
  <c r="M538" i="3"/>
  <c r="N538" i="3"/>
  <c r="M539" i="3"/>
  <c r="N539" i="3"/>
  <c r="M540" i="3"/>
  <c r="N540" i="3"/>
  <c r="M541" i="3"/>
  <c r="N541" i="3"/>
  <c r="M542" i="3"/>
  <c r="N542" i="3"/>
  <c r="M543" i="3"/>
  <c r="N543" i="3"/>
  <c r="M544" i="3"/>
  <c r="N544" i="3"/>
  <c r="M545" i="3"/>
  <c r="N545" i="3"/>
  <c r="M546" i="3"/>
  <c r="N546" i="3"/>
  <c r="M547" i="3"/>
  <c r="N547" i="3"/>
  <c r="M548" i="3"/>
  <c r="N548" i="3"/>
  <c r="M549" i="3"/>
  <c r="N549" i="3"/>
  <c r="M550" i="3"/>
  <c r="N550" i="3"/>
  <c r="M551" i="3"/>
  <c r="N551" i="3"/>
  <c r="M552" i="3"/>
  <c r="N552" i="3"/>
  <c r="M553" i="3"/>
  <c r="N553" i="3"/>
  <c r="M554" i="3"/>
  <c r="N554" i="3"/>
  <c r="M555" i="3"/>
  <c r="N555" i="3"/>
  <c r="M556" i="3"/>
  <c r="N556" i="3"/>
  <c r="M557" i="3"/>
  <c r="N557" i="3"/>
  <c r="M558" i="3"/>
  <c r="N558" i="3"/>
  <c r="M559" i="3"/>
  <c r="N559" i="3"/>
  <c r="M560" i="3"/>
  <c r="N560" i="3"/>
  <c r="M561" i="3"/>
  <c r="N561" i="3"/>
  <c r="M562" i="3"/>
  <c r="N562" i="3"/>
  <c r="M563" i="3"/>
  <c r="N563" i="3"/>
  <c r="M564" i="3"/>
  <c r="N564" i="3"/>
  <c r="M565" i="3"/>
  <c r="N565" i="3"/>
  <c r="M566" i="3"/>
  <c r="N566" i="3"/>
  <c r="M567" i="3"/>
  <c r="N567" i="3"/>
  <c r="M568" i="3"/>
  <c r="N568" i="3"/>
  <c r="M569" i="3"/>
  <c r="N569" i="3"/>
  <c r="M570" i="3"/>
  <c r="N570" i="3"/>
  <c r="M571" i="3"/>
  <c r="N571" i="3"/>
  <c r="M572" i="3"/>
  <c r="N572" i="3"/>
  <c r="M573" i="3"/>
  <c r="N573" i="3"/>
  <c r="M574" i="3"/>
  <c r="N574" i="3"/>
  <c r="M575" i="3"/>
  <c r="N575" i="3"/>
  <c r="M576" i="3"/>
  <c r="N576" i="3"/>
  <c r="M577" i="3"/>
  <c r="N577" i="3"/>
  <c r="M578" i="3"/>
  <c r="N578" i="3"/>
  <c r="M579" i="3"/>
  <c r="N579" i="3"/>
  <c r="M580" i="3"/>
  <c r="N580" i="3"/>
  <c r="M581" i="3"/>
  <c r="N581" i="3"/>
  <c r="M582" i="3"/>
  <c r="N582" i="3"/>
  <c r="M583" i="3"/>
  <c r="N583" i="3"/>
  <c r="M584" i="3"/>
  <c r="N584" i="3"/>
  <c r="M585" i="3"/>
  <c r="N585" i="3"/>
  <c r="M586" i="3"/>
  <c r="N586" i="3"/>
  <c r="M587" i="3"/>
  <c r="N587" i="3"/>
  <c r="M588" i="3"/>
  <c r="N588" i="3"/>
  <c r="M589" i="3"/>
  <c r="N589" i="3"/>
  <c r="M590" i="3"/>
  <c r="N590" i="3"/>
  <c r="M591" i="3"/>
  <c r="N591" i="3"/>
  <c r="M592" i="3"/>
  <c r="N592" i="3"/>
  <c r="M593" i="3"/>
  <c r="N593" i="3"/>
  <c r="M594" i="3"/>
  <c r="N594" i="3"/>
  <c r="M595" i="3"/>
  <c r="N595" i="3"/>
  <c r="M596" i="3"/>
  <c r="N596" i="3"/>
  <c r="M597" i="3"/>
  <c r="N597" i="3"/>
  <c r="M598" i="3"/>
  <c r="N598" i="3"/>
  <c r="M599" i="3"/>
  <c r="N599" i="3"/>
  <c r="M600" i="3"/>
  <c r="N600" i="3"/>
  <c r="M601" i="3"/>
  <c r="N601" i="3"/>
  <c r="M602" i="3"/>
  <c r="N602" i="3"/>
  <c r="M603" i="3"/>
  <c r="N603" i="3"/>
  <c r="M604" i="3"/>
  <c r="N604" i="3"/>
  <c r="M605" i="3"/>
  <c r="N605" i="3"/>
  <c r="M606" i="3"/>
  <c r="N606" i="3"/>
  <c r="M607" i="3"/>
  <c r="N607" i="3"/>
  <c r="M608" i="3"/>
  <c r="N608" i="3"/>
  <c r="M609" i="3"/>
  <c r="N609" i="3"/>
  <c r="M610" i="3"/>
  <c r="N610" i="3"/>
  <c r="M611" i="3"/>
  <c r="N611" i="3"/>
  <c r="M612" i="3"/>
  <c r="N612" i="3"/>
  <c r="M613" i="3"/>
  <c r="N613" i="3"/>
  <c r="M614" i="3"/>
  <c r="N614" i="3"/>
  <c r="M615" i="3"/>
  <c r="N615" i="3"/>
  <c r="M616" i="3"/>
  <c r="N616" i="3"/>
  <c r="M617" i="3"/>
  <c r="N617" i="3"/>
  <c r="M618" i="3"/>
  <c r="N618" i="3"/>
  <c r="M619" i="3"/>
  <c r="N619" i="3"/>
  <c r="M620" i="3"/>
  <c r="N620" i="3"/>
  <c r="M621" i="3"/>
  <c r="N621" i="3"/>
  <c r="M622" i="3"/>
  <c r="N622" i="3"/>
  <c r="M623" i="3"/>
  <c r="N623" i="3"/>
  <c r="M624" i="3"/>
  <c r="N624" i="3"/>
  <c r="M625" i="3"/>
  <c r="N625" i="3"/>
  <c r="M626" i="3"/>
  <c r="N626" i="3"/>
  <c r="M627" i="3"/>
  <c r="N627" i="3"/>
  <c r="M628" i="3"/>
  <c r="N628" i="3"/>
  <c r="M629" i="3"/>
  <c r="N629" i="3"/>
  <c r="M630" i="3"/>
  <c r="N630" i="3"/>
  <c r="M631" i="3"/>
  <c r="N631" i="3"/>
  <c r="M632" i="3"/>
  <c r="N632" i="3"/>
  <c r="M633" i="3"/>
  <c r="N633" i="3"/>
  <c r="M634" i="3"/>
  <c r="N634" i="3"/>
  <c r="M635" i="3"/>
  <c r="N635" i="3"/>
  <c r="M636" i="3"/>
  <c r="N636" i="3"/>
  <c r="M637" i="3"/>
  <c r="N637" i="3"/>
  <c r="M638" i="3"/>
  <c r="N638" i="3"/>
  <c r="M639" i="3"/>
  <c r="N639" i="3"/>
  <c r="M640" i="3"/>
  <c r="N640" i="3"/>
  <c r="M641" i="3"/>
  <c r="N641" i="3"/>
  <c r="M642" i="3"/>
  <c r="N642" i="3"/>
  <c r="M643" i="3"/>
  <c r="N643" i="3"/>
  <c r="M644" i="3"/>
  <c r="N644" i="3"/>
  <c r="M645" i="3"/>
  <c r="N645" i="3"/>
  <c r="M646" i="3"/>
  <c r="N646" i="3"/>
  <c r="M647" i="3"/>
  <c r="N647" i="3"/>
  <c r="M648" i="3"/>
  <c r="N648" i="3"/>
  <c r="M649" i="3"/>
  <c r="N649" i="3"/>
  <c r="M650" i="3"/>
  <c r="N650" i="3"/>
  <c r="M651" i="3"/>
  <c r="N651" i="3"/>
  <c r="M652" i="3"/>
  <c r="N652" i="3"/>
  <c r="M653" i="3"/>
  <c r="N653" i="3"/>
  <c r="M654" i="3"/>
  <c r="N654" i="3"/>
  <c r="M655" i="3"/>
  <c r="N655" i="3"/>
  <c r="M656" i="3"/>
  <c r="N656" i="3"/>
  <c r="M657" i="3"/>
  <c r="N657" i="3"/>
  <c r="M658" i="3"/>
  <c r="N658" i="3"/>
  <c r="M659" i="3"/>
  <c r="N659" i="3"/>
  <c r="M660" i="3"/>
  <c r="N660" i="3"/>
  <c r="M661" i="3"/>
  <c r="N661" i="3"/>
  <c r="M662" i="3"/>
  <c r="N662" i="3"/>
  <c r="M663" i="3"/>
  <c r="N663" i="3"/>
  <c r="M664" i="3"/>
  <c r="N664" i="3"/>
  <c r="M665" i="3"/>
  <c r="N665" i="3"/>
  <c r="M666" i="3"/>
  <c r="N666" i="3"/>
  <c r="M667" i="3"/>
  <c r="N667" i="3"/>
  <c r="M668" i="3"/>
  <c r="N668" i="3"/>
  <c r="M669" i="3"/>
  <c r="N669" i="3"/>
  <c r="M670" i="3"/>
  <c r="N670" i="3"/>
  <c r="M671" i="3"/>
  <c r="N671" i="3"/>
  <c r="M672" i="3"/>
  <c r="N672" i="3"/>
  <c r="M673" i="3"/>
  <c r="N673" i="3"/>
  <c r="M674" i="3"/>
  <c r="N674" i="3"/>
  <c r="M675" i="3"/>
  <c r="N675" i="3"/>
  <c r="M676" i="3"/>
  <c r="N676" i="3"/>
  <c r="M677" i="3"/>
  <c r="N677" i="3"/>
  <c r="M678" i="3"/>
  <c r="N678" i="3"/>
  <c r="M679" i="3"/>
  <c r="N679" i="3"/>
  <c r="M680" i="3"/>
  <c r="N680" i="3"/>
  <c r="M681" i="3"/>
  <c r="N681" i="3"/>
  <c r="M682" i="3"/>
  <c r="N682" i="3"/>
  <c r="M683" i="3"/>
  <c r="N683" i="3"/>
  <c r="M684" i="3"/>
  <c r="N684" i="3"/>
  <c r="M685" i="3"/>
  <c r="N685" i="3"/>
  <c r="M686" i="3"/>
  <c r="N686" i="3"/>
  <c r="M687" i="3"/>
  <c r="N687" i="3"/>
  <c r="M688" i="3"/>
  <c r="N688" i="3"/>
  <c r="M689" i="3"/>
  <c r="N689" i="3"/>
  <c r="M690" i="3"/>
  <c r="N690" i="3"/>
  <c r="M691" i="3"/>
  <c r="N691" i="3"/>
  <c r="M692" i="3"/>
  <c r="N692" i="3"/>
  <c r="M693" i="3"/>
  <c r="N693" i="3"/>
  <c r="M694" i="3"/>
  <c r="N694" i="3"/>
  <c r="M695" i="3"/>
  <c r="N695" i="3"/>
  <c r="M696" i="3"/>
  <c r="N696" i="3"/>
  <c r="M697" i="3"/>
  <c r="N697" i="3"/>
  <c r="M698" i="3"/>
  <c r="N698" i="3"/>
  <c r="M699" i="3"/>
  <c r="N699" i="3"/>
  <c r="M700" i="3"/>
  <c r="N700" i="3"/>
  <c r="M701" i="3"/>
  <c r="N701" i="3"/>
  <c r="M702" i="3"/>
  <c r="N702" i="3"/>
  <c r="M703" i="3"/>
  <c r="N703" i="3"/>
  <c r="M704" i="3"/>
  <c r="N704" i="3"/>
  <c r="M705" i="3"/>
  <c r="N705" i="3"/>
  <c r="M706" i="3"/>
  <c r="N706" i="3"/>
  <c r="M707" i="3"/>
  <c r="N707" i="3"/>
  <c r="M708" i="3"/>
  <c r="N708" i="3"/>
  <c r="M709" i="3"/>
  <c r="N709" i="3"/>
  <c r="M710" i="3"/>
  <c r="N710" i="3"/>
  <c r="M711" i="3"/>
  <c r="N711" i="3"/>
  <c r="M712" i="3"/>
  <c r="N712" i="3"/>
  <c r="M713" i="3"/>
  <c r="N713" i="3"/>
  <c r="M714" i="3"/>
  <c r="N714" i="3"/>
  <c r="M715" i="3"/>
  <c r="N715" i="3"/>
  <c r="M716" i="3"/>
  <c r="N716" i="3"/>
  <c r="M717" i="3"/>
  <c r="N717" i="3"/>
  <c r="M718" i="3"/>
  <c r="N718" i="3"/>
  <c r="M719" i="3"/>
  <c r="N719" i="3"/>
  <c r="M720" i="3"/>
  <c r="N720" i="3"/>
  <c r="M721" i="3"/>
  <c r="N721" i="3"/>
  <c r="M722" i="3"/>
  <c r="N722" i="3"/>
  <c r="M723" i="3"/>
  <c r="N723" i="3"/>
  <c r="M724" i="3"/>
  <c r="N724" i="3"/>
  <c r="M725" i="3"/>
  <c r="N725" i="3"/>
  <c r="M726" i="3"/>
  <c r="N726" i="3"/>
  <c r="M727" i="3"/>
  <c r="N727" i="3"/>
  <c r="M728" i="3"/>
  <c r="N728" i="3"/>
  <c r="M729" i="3"/>
  <c r="N729" i="3"/>
  <c r="M730" i="3"/>
  <c r="N730" i="3"/>
  <c r="M731" i="3"/>
  <c r="N731" i="3"/>
  <c r="M732" i="3"/>
  <c r="N732" i="3"/>
  <c r="M733" i="3"/>
  <c r="N733" i="3"/>
  <c r="M734" i="3"/>
  <c r="N734" i="3"/>
  <c r="M735" i="3"/>
  <c r="N735" i="3"/>
  <c r="M736" i="3"/>
  <c r="N736" i="3"/>
  <c r="M737" i="3"/>
  <c r="N737" i="3"/>
  <c r="M738" i="3"/>
  <c r="N738" i="3"/>
  <c r="M739" i="3"/>
  <c r="N739" i="3"/>
  <c r="M740" i="3"/>
  <c r="N740" i="3"/>
  <c r="M741" i="3"/>
  <c r="N741" i="3"/>
  <c r="M742" i="3"/>
  <c r="N742" i="3"/>
  <c r="M743" i="3"/>
  <c r="N743" i="3"/>
  <c r="M744" i="3"/>
  <c r="N744" i="3"/>
  <c r="M745" i="3"/>
  <c r="N745" i="3"/>
  <c r="M746" i="3"/>
  <c r="N746" i="3"/>
  <c r="M747" i="3"/>
  <c r="N747" i="3"/>
  <c r="M748" i="3"/>
  <c r="N748" i="3"/>
  <c r="M749" i="3"/>
  <c r="N749" i="3"/>
  <c r="M750" i="3"/>
  <c r="N750" i="3"/>
  <c r="M751" i="3"/>
  <c r="N751" i="3"/>
  <c r="M752" i="3"/>
  <c r="N752" i="3"/>
  <c r="M753" i="3"/>
  <c r="N753" i="3"/>
  <c r="M754" i="3"/>
  <c r="N754" i="3"/>
  <c r="M755" i="3"/>
  <c r="N755" i="3"/>
  <c r="M756" i="3"/>
  <c r="N756" i="3"/>
  <c r="M757" i="3"/>
  <c r="N757" i="3"/>
  <c r="M758" i="3"/>
  <c r="N758" i="3"/>
  <c r="M759" i="3"/>
  <c r="N759" i="3"/>
  <c r="M760" i="3"/>
  <c r="N760" i="3"/>
  <c r="M761" i="3"/>
  <c r="N761" i="3"/>
  <c r="M762" i="3"/>
  <c r="N762" i="3"/>
  <c r="M763" i="3"/>
  <c r="N763" i="3"/>
  <c r="M764" i="3"/>
  <c r="N764" i="3"/>
  <c r="M765" i="3"/>
  <c r="N765" i="3"/>
  <c r="M766" i="3"/>
  <c r="N766" i="3"/>
  <c r="M767" i="3"/>
  <c r="N767" i="3"/>
  <c r="M768" i="3"/>
  <c r="N768" i="3"/>
  <c r="M769" i="3"/>
  <c r="N769" i="3"/>
  <c r="M770" i="3"/>
  <c r="N770" i="3"/>
  <c r="M771" i="3"/>
  <c r="N771" i="3"/>
  <c r="M772" i="3"/>
  <c r="N772" i="3"/>
  <c r="M773" i="3"/>
  <c r="N773" i="3"/>
  <c r="M774" i="3"/>
  <c r="N774" i="3"/>
  <c r="M775" i="3"/>
  <c r="N775" i="3"/>
  <c r="M776" i="3"/>
  <c r="N776" i="3"/>
  <c r="M777" i="3"/>
  <c r="N777" i="3"/>
  <c r="M778" i="3"/>
  <c r="N778" i="3"/>
  <c r="M779" i="3"/>
  <c r="N779" i="3"/>
  <c r="M780" i="3"/>
  <c r="N780" i="3"/>
  <c r="M781" i="3"/>
  <c r="N781" i="3"/>
  <c r="M782" i="3"/>
  <c r="N782" i="3"/>
  <c r="M783" i="3"/>
  <c r="N783" i="3"/>
  <c r="M784" i="3"/>
  <c r="N784" i="3"/>
  <c r="M785" i="3"/>
  <c r="N785" i="3"/>
  <c r="M786" i="3"/>
  <c r="N786" i="3"/>
  <c r="M787" i="3"/>
  <c r="N787" i="3"/>
  <c r="M788" i="3"/>
  <c r="N788" i="3"/>
  <c r="M789" i="3"/>
  <c r="N789" i="3"/>
  <c r="M790" i="3"/>
  <c r="N790" i="3"/>
  <c r="M791" i="3"/>
  <c r="N791" i="3"/>
  <c r="M792" i="3"/>
  <c r="N792" i="3"/>
  <c r="M793" i="3"/>
  <c r="N793" i="3"/>
  <c r="M794" i="3"/>
  <c r="N794" i="3"/>
  <c r="M795" i="3"/>
  <c r="N795" i="3"/>
  <c r="M796" i="3"/>
  <c r="N796" i="3"/>
  <c r="M797" i="3"/>
  <c r="N797" i="3"/>
  <c r="M798" i="3"/>
  <c r="N798" i="3"/>
  <c r="M799" i="3"/>
  <c r="N799" i="3"/>
  <c r="M800" i="3"/>
  <c r="N800" i="3"/>
  <c r="M801" i="3"/>
  <c r="N801" i="3"/>
  <c r="M802" i="3"/>
  <c r="N802" i="3"/>
  <c r="M803" i="3"/>
  <c r="N803" i="3"/>
  <c r="M804" i="3"/>
  <c r="N804" i="3"/>
  <c r="M805" i="3"/>
  <c r="N805" i="3"/>
  <c r="M806" i="3"/>
  <c r="N806" i="3"/>
  <c r="M807" i="3"/>
  <c r="N807" i="3"/>
  <c r="M808" i="3"/>
  <c r="N808" i="3"/>
  <c r="M809" i="3"/>
  <c r="N809" i="3"/>
  <c r="M810" i="3"/>
  <c r="N810" i="3"/>
  <c r="M811" i="3"/>
  <c r="N811" i="3"/>
  <c r="M812" i="3"/>
  <c r="N812" i="3"/>
  <c r="M813" i="3"/>
  <c r="N813" i="3"/>
  <c r="M814" i="3"/>
  <c r="N814" i="3"/>
  <c r="M815" i="3"/>
  <c r="N815" i="3"/>
  <c r="M816" i="3"/>
  <c r="N816" i="3"/>
  <c r="M817" i="3"/>
  <c r="N817" i="3"/>
  <c r="M818" i="3"/>
  <c r="N818" i="3"/>
  <c r="M819" i="3"/>
  <c r="N819" i="3"/>
  <c r="M820" i="3"/>
  <c r="N820" i="3"/>
  <c r="M821" i="3"/>
  <c r="N821" i="3"/>
  <c r="M822" i="3"/>
  <c r="N822" i="3"/>
  <c r="M823" i="3"/>
  <c r="N823" i="3"/>
  <c r="M824" i="3"/>
  <c r="N824" i="3"/>
  <c r="M825" i="3"/>
  <c r="N825" i="3"/>
  <c r="M826" i="3"/>
  <c r="N826" i="3"/>
  <c r="M827" i="3"/>
  <c r="N827" i="3"/>
  <c r="M828" i="3"/>
  <c r="N828" i="3"/>
  <c r="M829" i="3"/>
  <c r="N829" i="3"/>
  <c r="M830" i="3"/>
  <c r="N830" i="3"/>
  <c r="M831" i="3"/>
  <c r="N831" i="3"/>
  <c r="M832" i="3"/>
  <c r="N832" i="3"/>
  <c r="M833" i="3"/>
  <c r="N833" i="3"/>
  <c r="M834" i="3"/>
  <c r="N834" i="3"/>
  <c r="M835" i="3"/>
  <c r="N835" i="3"/>
  <c r="M836" i="3"/>
  <c r="N836" i="3"/>
  <c r="M837" i="3"/>
  <c r="N837" i="3"/>
  <c r="M838" i="3"/>
  <c r="N838" i="3"/>
  <c r="M839" i="3"/>
  <c r="N839" i="3"/>
  <c r="M840" i="3"/>
  <c r="N840" i="3"/>
  <c r="M841" i="3"/>
  <c r="N841" i="3"/>
  <c r="M842" i="3"/>
  <c r="N842" i="3"/>
  <c r="M843" i="3"/>
  <c r="N843" i="3"/>
  <c r="M844" i="3"/>
  <c r="N844" i="3"/>
  <c r="M845" i="3"/>
  <c r="N845" i="3"/>
  <c r="M846" i="3"/>
  <c r="N846" i="3"/>
  <c r="M847" i="3"/>
  <c r="N847" i="3"/>
  <c r="M848" i="3"/>
  <c r="N848" i="3"/>
  <c r="M849" i="3"/>
  <c r="N849" i="3"/>
  <c r="M850" i="3"/>
  <c r="N850" i="3"/>
  <c r="M851" i="3"/>
  <c r="N851" i="3"/>
  <c r="M852" i="3"/>
  <c r="N852" i="3"/>
  <c r="M853" i="3"/>
  <c r="N853" i="3"/>
  <c r="M854" i="3"/>
  <c r="N854" i="3"/>
  <c r="M855" i="3"/>
  <c r="N855" i="3"/>
  <c r="M856" i="3"/>
  <c r="N856" i="3"/>
  <c r="M857" i="3"/>
  <c r="N857" i="3"/>
  <c r="M858" i="3"/>
  <c r="N858" i="3"/>
  <c r="M859" i="3"/>
  <c r="N859" i="3"/>
  <c r="M860" i="3"/>
  <c r="N860" i="3"/>
  <c r="M861" i="3"/>
  <c r="N861" i="3"/>
  <c r="M862" i="3"/>
  <c r="N862" i="3"/>
  <c r="M863" i="3"/>
  <c r="N863" i="3"/>
  <c r="M864" i="3"/>
  <c r="N864" i="3"/>
  <c r="M865" i="3"/>
  <c r="N865" i="3"/>
  <c r="M866" i="3"/>
  <c r="N866" i="3"/>
  <c r="M867" i="3"/>
  <c r="N867" i="3"/>
  <c r="M868" i="3"/>
  <c r="N868" i="3"/>
  <c r="M869" i="3"/>
  <c r="N869" i="3"/>
  <c r="M870" i="3"/>
  <c r="N870" i="3"/>
  <c r="M871" i="3"/>
  <c r="N871" i="3"/>
  <c r="M872" i="3"/>
  <c r="N872" i="3"/>
  <c r="M873" i="3"/>
  <c r="N873" i="3"/>
  <c r="M874" i="3"/>
  <c r="N874" i="3"/>
  <c r="M875" i="3"/>
  <c r="N875" i="3"/>
  <c r="M876" i="3"/>
  <c r="N876" i="3"/>
  <c r="M877" i="3"/>
  <c r="N877" i="3"/>
  <c r="M878" i="3"/>
  <c r="N878" i="3"/>
  <c r="M879" i="3"/>
  <c r="N879" i="3"/>
  <c r="M880" i="3"/>
  <c r="N880" i="3"/>
  <c r="M881" i="3"/>
  <c r="N881" i="3"/>
  <c r="M882" i="3"/>
  <c r="N882" i="3"/>
  <c r="M883" i="3"/>
  <c r="N883" i="3"/>
  <c r="M884" i="3"/>
  <c r="N884" i="3"/>
  <c r="M885" i="3"/>
  <c r="N885" i="3"/>
  <c r="M886" i="3"/>
  <c r="N886" i="3"/>
  <c r="M887" i="3"/>
  <c r="N887" i="3"/>
  <c r="M888" i="3"/>
  <c r="N888" i="3"/>
  <c r="M889" i="3"/>
  <c r="N889" i="3"/>
  <c r="M890" i="3"/>
  <c r="N890" i="3"/>
  <c r="M891" i="3"/>
  <c r="N891" i="3"/>
  <c r="M892" i="3"/>
  <c r="N892" i="3"/>
  <c r="M893" i="3"/>
  <c r="N893" i="3"/>
  <c r="M894" i="3"/>
  <c r="N894" i="3"/>
  <c r="M895" i="3"/>
  <c r="N895" i="3"/>
  <c r="M896" i="3"/>
  <c r="N896" i="3"/>
  <c r="M897" i="3"/>
  <c r="N897" i="3"/>
  <c r="M898" i="3"/>
  <c r="N898" i="3"/>
  <c r="M899" i="3"/>
  <c r="N899" i="3"/>
  <c r="M900" i="3"/>
  <c r="N900" i="3"/>
  <c r="M901" i="3"/>
  <c r="N901" i="3"/>
  <c r="M902" i="3"/>
  <c r="N902" i="3"/>
  <c r="M903" i="3"/>
  <c r="N903" i="3"/>
  <c r="M904" i="3"/>
  <c r="N904" i="3"/>
  <c r="M905" i="3"/>
  <c r="N905" i="3"/>
  <c r="M906" i="3"/>
  <c r="N906" i="3"/>
  <c r="M907" i="3"/>
  <c r="N907" i="3"/>
  <c r="M908" i="3"/>
  <c r="N908" i="3"/>
  <c r="M909" i="3"/>
  <c r="N909" i="3"/>
  <c r="M910" i="3"/>
  <c r="N910" i="3"/>
  <c r="M911" i="3"/>
  <c r="N911" i="3"/>
  <c r="M912" i="3"/>
  <c r="N912" i="3"/>
  <c r="M913" i="3"/>
  <c r="N913" i="3"/>
  <c r="M914" i="3"/>
  <c r="N914" i="3"/>
  <c r="M915" i="3"/>
  <c r="N915" i="3"/>
  <c r="M916" i="3"/>
  <c r="N916" i="3"/>
  <c r="M917" i="3"/>
  <c r="N917" i="3"/>
  <c r="M918" i="3"/>
  <c r="N918" i="3"/>
  <c r="M919" i="3"/>
  <c r="N919" i="3"/>
  <c r="M920" i="3"/>
  <c r="N920" i="3"/>
  <c r="M921" i="3"/>
  <c r="N921" i="3"/>
  <c r="M922" i="3"/>
  <c r="N922" i="3"/>
  <c r="M923" i="3"/>
  <c r="N923" i="3"/>
  <c r="M924" i="3"/>
  <c r="N924" i="3"/>
  <c r="M925" i="3"/>
  <c r="N925" i="3"/>
  <c r="M926" i="3"/>
  <c r="N926" i="3"/>
  <c r="M927" i="3"/>
  <c r="N927" i="3"/>
  <c r="M928" i="3"/>
  <c r="N928" i="3"/>
  <c r="M929" i="3"/>
  <c r="N929" i="3"/>
  <c r="M930" i="3"/>
  <c r="N930" i="3"/>
  <c r="M931" i="3"/>
  <c r="N931" i="3"/>
  <c r="M932" i="3"/>
  <c r="N932" i="3"/>
  <c r="M933" i="3"/>
  <c r="N933" i="3"/>
  <c r="M934" i="3"/>
  <c r="N934" i="3"/>
  <c r="M935" i="3"/>
  <c r="N935" i="3"/>
  <c r="M936" i="3"/>
  <c r="N936" i="3"/>
  <c r="M937" i="3"/>
  <c r="N937" i="3"/>
  <c r="M938" i="3"/>
  <c r="N938" i="3"/>
  <c r="M939" i="3"/>
  <c r="N939" i="3"/>
  <c r="M940" i="3"/>
  <c r="N940" i="3"/>
  <c r="M941" i="3"/>
  <c r="N941" i="3"/>
  <c r="M942" i="3"/>
  <c r="N942" i="3"/>
  <c r="M943" i="3"/>
  <c r="N943" i="3"/>
  <c r="M944" i="3"/>
  <c r="N944" i="3"/>
  <c r="M945" i="3"/>
  <c r="N945" i="3"/>
  <c r="M946" i="3"/>
  <c r="N946" i="3"/>
  <c r="M947" i="3"/>
  <c r="N947" i="3"/>
  <c r="M948" i="3"/>
  <c r="N948" i="3"/>
  <c r="M949" i="3"/>
  <c r="N949" i="3"/>
  <c r="M950" i="3"/>
  <c r="N950" i="3"/>
  <c r="M951" i="3"/>
  <c r="N951" i="3"/>
  <c r="M952" i="3"/>
  <c r="N952" i="3"/>
  <c r="M953" i="3"/>
  <c r="N953" i="3"/>
  <c r="M954" i="3"/>
  <c r="N954" i="3"/>
  <c r="M955" i="3"/>
  <c r="N955" i="3"/>
  <c r="M956" i="3"/>
  <c r="N956" i="3"/>
  <c r="M957" i="3"/>
  <c r="N957" i="3"/>
  <c r="M958" i="3"/>
  <c r="N958" i="3"/>
  <c r="M959" i="3"/>
  <c r="N959" i="3"/>
  <c r="M960" i="3"/>
  <c r="N960" i="3"/>
  <c r="M961" i="3"/>
  <c r="N961" i="3"/>
  <c r="M962" i="3"/>
  <c r="N962" i="3"/>
  <c r="M963" i="3"/>
  <c r="N963" i="3"/>
  <c r="M964" i="3"/>
  <c r="N964" i="3"/>
  <c r="M965" i="3"/>
  <c r="N965" i="3"/>
  <c r="M966" i="3"/>
  <c r="N966" i="3"/>
  <c r="M967" i="3"/>
  <c r="N967" i="3"/>
  <c r="M968" i="3"/>
  <c r="N968" i="3"/>
  <c r="M969" i="3"/>
  <c r="N969" i="3"/>
  <c r="M970" i="3"/>
  <c r="N970" i="3"/>
  <c r="M971" i="3"/>
  <c r="N971" i="3"/>
  <c r="M972" i="3"/>
  <c r="N972" i="3"/>
  <c r="M973" i="3"/>
  <c r="N973" i="3"/>
  <c r="M974" i="3"/>
  <c r="N974" i="3"/>
  <c r="M975" i="3"/>
  <c r="N975" i="3"/>
  <c r="M976" i="3"/>
  <c r="N976" i="3"/>
  <c r="M977" i="3"/>
  <c r="N977" i="3"/>
  <c r="M978" i="3"/>
  <c r="N978" i="3"/>
  <c r="M979" i="3"/>
  <c r="N979" i="3"/>
  <c r="M980" i="3"/>
  <c r="N980" i="3"/>
  <c r="M981" i="3"/>
  <c r="N981" i="3"/>
  <c r="M982" i="3"/>
  <c r="N982" i="3"/>
  <c r="M983" i="3"/>
  <c r="N983" i="3"/>
  <c r="M984" i="3"/>
  <c r="N984" i="3"/>
  <c r="M985" i="3"/>
  <c r="N985" i="3"/>
  <c r="M986" i="3"/>
  <c r="N986" i="3"/>
  <c r="M987" i="3"/>
  <c r="N987" i="3"/>
  <c r="M988" i="3"/>
  <c r="N988" i="3"/>
  <c r="M989" i="3"/>
  <c r="N989" i="3"/>
  <c r="M990" i="3"/>
  <c r="N990" i="3"/>
  <c r="M991" i="3"/>
  <c r="N991" i="3"/>
  <c r="M992" i="3"/>
  <c r="N992" i="3"/>
  <c r="M993" i="3"/>
  <c r="N993" i="3"/>
  <c r="M994" i="3"/>
  <c r="N994" i="3"/>
  <c r="M995" i="3"/>
  <c r="N995" i="3"/>
  <c r="M996" i="3"/>
  <c r="N996" i="3"/>
  <c r="M997" i="3"/>
  <c r="N997" i="3"/>
  <c r="M998" i="3"/>
  <c r="N998" i="3"/>
  <c r="M999" i="3"/>
  <c r="N999" i="3"/>
  <c r="M1000" i="3"/>
  <c r="N1000" i="3"/>
  <c r="M1001" i="3"/>
  <c r="N1001" i="3"/>
  <c r="M1002" i="3"/>
  <c r="N1002" i="3"/>
  <c r="M1003" i="3"/>
  <c r="N1003" i="3"/>
  <c r="M1004" i="3"/>
  <c r="N1004" i="3"/>
  <c r="M1005" i="3"/>
  <c r="N1005" i="3"/>
  <c r="M1006" i="3"/>
  <c r="N1006" i="3"/>
  <c r="M1007" i="3"/>
  <c r="N1007" i="3"/>
  <c r="M1008" i="3"/>
  <c r="N1008" i="3"/>
  <c r="M1009" i="3"/>
  <c r="N1009" i="3"/>
  <c r="M1010" i="3"/>
  <c r="N1010" i="3"/>
  <c r="M1011" i="3"/>
  <c r="N1011" i="3"/>
  <c r="M1012" i="3"/>
  <c r="N1012" i="3"/>
  <c r="M1013" i="3"/>
  <c r="N1013" i="3"/>
  <c r="M1014" i="3"/>
  <c r="N1014" i="3"/>
  <c r="M1015" i="3"/>
  <c r="N1015" i="3"/>
  <c r="M1016" i="3"/>
  <c r="N1016" i="3"/>
  <c r="M1017" i="3"/>
  <c r="N1017" i="3"/>
  <c r="M1018" i="3"/>
  <c r="N1018" i="3"/>
  <c r="M1019" i="3"/>
  <c r="N1019" i="3"/>
  <c r="M1020" i="3"/>
  <c r="N1020" i="3"/>
  <c r="M1021" i="3"/>
  <c r="N1021" i="3"/>
  <c r="M1022" i="3"/>
  <c r="N1022" i="3"/>
  <c r="M1023" i="3"/>
  <c r="N1023" i="3"/>
  <c r="M1024" i="3"/>
  <c r="N1024" i="3"/>
  <c r="M1025" i="3"/>
  <c r="N1025" i="3"/>
  <c r="M1026" i="3"/>
  <c r="N1026" i="3"/>
  <c r="M1027" i="3"/>
  <c r="N1027" i="3"/>
  <c r="M1028" i="3"/>
  <c r="N1028" i="3"/>
  <c r="M1029" i="3"/>
  <c r="N1029" i="3"/>
  <c r="M1030" i="3"/>
  <c r="N1030" i="3"/>
  <c r="M1031" i="3"/>
  <c r="N1031" i="3"/>
  <c r="M1032" i="3"/>
  <c r="N1032" i="3"/>
  <c r="M1033" i="3"/>
  <c r="N1033" i="3"/>
  <c r="M1034" i="3"/>
  <c r="N1034" i="3"/>
  <c r="M1035" i="3"/>
  <c r="N1035" i="3"/>
  <c r="M1036" i="3"/>
  <c r="N1036" i="3"/>
  <c r="M1037" i="3"/>
  <c r="N1037" i="3"/>
  <c r="M1038" i="3"/>
  <c r="N1038" i="3"/>
  <c r="M1039" i="3"/>
  <c r="N1039" i="3"/>
  <c r="M1040" i="3"/>
  <c r="N1040" i="3"/>
  <c r="M1041" i="3"/>
  <c r="N1041" i="3"/>
  <c r="M1042" i="3"/>
  <c r="N1042" i="3"/>
  <c r="M1043" i="3"/>
  <c r="N1043" i="3"/>
  <c r="M1044" i="3"/>
  <c r="N1044" i="3"/>
  <c r="M1045" i="3"/>
  <c r="N1045" i="3"/>
  <c r="M1046" i="3"/>
  <c r="N1046" i="3"/>
  <c r="M1047" i="3"/>
  <c r="N1047" i="3"/>
  <c r="M1048" i="3"/>
  <c r="N1048" i="3"/>
  <c r="M1049" i="3"/>
  <c r="N1049" i="3"/>
  <c r="M1050" i="3"/>
  <c r="N1050" i="3"/>
  <c r="M1051" i="3"/>
  <c r="N1051" i="3"/>
  <c r="M1052" i="3"/>
  <c r="N1052" i="3"/>
  <c r="M1053" i="3"/>
  <c r="N1053" i="3"/>
  <c r="M1054" i="3"/>
  <c r="N1054" i="3"/>
  <c r="M1055" i="3"/>
  <c r="N1055" i="3"/>
  <c r="M1056" i="3"/>
  <c r="N1056" i="3"/>
  <c r="M1057" i="3"/>
  <c r="N1057" i="3"/>
  <c r="M1058" i="3"/>
  <c r="N1058" i="3"/>
  <c r="M1059" i="3"/>
  <c r="N1059" i="3"/>
  <c r="M1060" i="3"/>
  <c r="N1060" i="3"/>
  <c r="M1061" i="3"/>
  <c r="N1061" i="3"/>
  <c r="M1062" i="3"/>
  <c r="N1062" i="3"/>
  <c r="M1063" i="3"/>
  <c r="N1063" i="3"/>
  <c r="M1064" i="3"/>
  <c r="N1064" i="3"/>
  <c r="M1065" i="3"/>
  <c r="N1065" i="3"/>
  <c r="M1066" i="3"/>
  <c r="N1066" i="3"/>
  <c r="M1067" i="3"/>
  <c r="N1067" i="3"/>
  <c r="M1068" i="3"/>
  <c r="N1068" i="3"/>
  <c r="M1069" i="3"/>
  <c r="N1069" i="3"/>
  <c r="M1070" i="3"/>
  <c r="N1070" i="3"/>
  <c r="M1071" i="3"/>
  <c r="N1071" i="3"/>
  <c r="M1072" i="3"/>
  <c r="N1072" i="3"/>
  <c r="M1073" i="3"/>
  <c r="N1073" i="3"/>
  <c r="M1074" i="3"/>
  <c r="N1074" i="3"/>
  <c r="M1075" i="3"/>
  <c r="N1075" i="3"/>
  <c r="M1076" i="3"/>
  <c r="N1076" i="3"/>
  <c r="M1077" i="3"/>
  <c r="N1077" i="3"/>
  <c r="M1078" i="3"/>
  <c r="N1078" i="3"/>
  <c r="M1079" i="3"/>
  <c r="N1079" i="3"/>
  <c r="M1080" i="3"/>
  <c r="N1080" i="3"/>
  <c r="M1081" i="3"/>
  <c r="N1081" i="3"/>
  <c r="M1082" i="3"/>
  <c r="N1082" i="3"/>
  <c r="M1083" i="3"/>
  <c r="N1083" i="3"/>
  <c r="M1084" i="3"/>
  <c r="N1084" i="3"/>
  <c r="M1085" i="3"/>
  <c r="N1085" i="3"/>
  <c r="M1086" i="3"/>
  <c r="N1086" i="3"/>
  <c r="M1087" i="3"/>
  <c r="N1087" i="3"/>
  <c r="M1088" i="3"/>
  <c r="N1088" i="3"/>
  <c r="M1089" i="3"/>
  <c r="N1089" i="3"/>
  <c r="M1090" i="3"/>
  <c r="N1090" i="3"/>
  <c r="M1091" i="3"/>
  <c r="N1091" i="3"/>
  <c r="M1092" i="3"/>
  <c r="N1092" i="3"/>
  <c r="M1093" i="3"/>
  <c r="N1093" i="3"/>
  <c r="M1094" i="3"/>
  <c r="N1094" i="3"/>
  <c r="M1095" i="3"/>
  <c r="N1095" i="3"/>
  <c r="M1096" i="3"/>
  <c r="N1096" i="3"/>
  <c r="M1097" i="3"/>
  <c r="N1097" i="3"/>
  <c r="M1098" i="3"/>
  <c r="N1098" i="3"/>
  <c r="M1099" i="3"/>
  <c r="N1099" i="3"/>
  <c r="M1100" i="3"/>
  <c r="N1100" i="3"/>
  <c r="M1101" i="3"/>
  <c r="N1101" i="3"/>
  <c r="M1102" i="3"/>
  <c r="N1102" i="3"/>
  <c r="M1103" i="3"/>
  <c r="N1103" i="3"/>
  <c r="M1104" i="3"/>
  <c r="N1104" i="3"/>
  <c r="M1105" i="3"/>
  <c r="N1105" i="3"/>
  <c r="M1106" i="3"/>
  <c r="N1106" i="3"/>
  <c r="M1107" i="3"/>
  <c r="N1107" i="3"/>
  <c r="M1108" i="3"/>
  <c r="N1108" i="3"/>
  <c r="M1109" i="3"/>
  <c r="N1109" i="3"/>
  <c r="M1110" i="3"/>
  <c r="N1110" i="3"/>
  <c r="M1111" i="3"/>
  <c r="N1111" i="3"/>
  <c r="M1112" i="3"/>
  <c r="N1112" i="3"/>
  <c r="M1113" i="3"/>
  <c r="N1113" i="3"/>
  <c r="M1114" i="3"/>
  <c r="N1114" i="3"/>
  <c r="M1115" i="3"/>
  <c r="N1115" i="3"/>
  <c r="M1116" i="3"/>
  <c r="N1116" i="3"/>
  <c r="M1117" i="3"/>
  <c r="N1117" i="3"/>
  <c r="M1118" i="3"/>
  <c r="N1118" i="3"/>
  <c r="M1119" i="3"/>
  <c r="N1119" i="3"/>
  <c r="M1120" i="3"/>
  <c r="N1120" i="3"/>
  <c r="M1121" i="3"/>
  <c r="N1121" i="3"/>
  <c r="M1122" i="3"/>
  <c r="N1122" i="3"/>
  <c r="M1123" i="3"/>
  <c r="N1123" i="3"/>
  <c r="M1124" i="3"/>
  <c r="N1124" i="3"/>
  <c r="M1125" i="3"/>
  <c r="N1125" i="3"/>
  <c r="M1126" i="3"/>
  <c r="N1126" i="3"/>
  <c r="M1127" i="3"/>
  <c r="N1127" i="3"/>
  <c r="M1128" i="3"/>
  <c r="N1128" i="3"/>
  <c r="M1129" i="3"/>
  <c r="N1129" i="3"/>
  <c r="M1130" i="3"/>
  <c r="N1130" i="3"/>
  <c r="M1131" i="3"/>
  <c r="N1131" i="3"/>
  <c r="M1132" i="3"/>
  <c r="N1132" i="3"/>
  <c r="M1133" i="3"/>
  <c r="N1133" i="3"/>
  <c r="M1134" i="3"/>
  <c r="N1134" i="3"/>
  <c r="M1135" i="3"/>
  <c r="N1135" i="3"/>
  <c r="M1136" i="3"/>
  <c r="N1136" i="3"/>
  <c r="M1137" i="3"/>
  <c r="N1137" i="3"/>
  <c r="M1138" i="3"/>
  <c r="N1138" i="3"/>
  <c r="M1139" i="3"/>
  <c r="N1139" i="3"/>
  <c r="M1140" i="3"/>
  <c r="N1140" i="3"/>
  <c r="M1141" i="3"/>
  <c r="N1141" i="3"/>
  <c r="M1142" i="3"/>
  <c r="N1142" i="3"/>
  <c r="M1143" i="3"/>
  <c r="N1143" i="3"/>
  <c r="M1144" i="3"/>
  <c r="N1144" i="3"/>
  <c r="M1145" i="3"/>
  <c r="N1145" i="3"/>
  <c r="M1146" i="3"/>
  <c r="N1146" i="3"/>
  <c r="M1147" i="3"/>
  <c r="N1147" i="3"/>
  <c r="M1148" i="3"/>
  <c r="N1148" i="3"/>
  <c r="M1149" i="3"/>
  <c r="N1149" i="3"/>
  <c r="M1150" i="3"/>
  <c r="N1150" i="3"/>
  <c r="M1151" i="3"/>
  <c r="N1151" i="3"/>
  <c r="M1152" i="3"/>
  <c r="N1152" i="3"/>
  <c r="M1153" i="3"/>
  <c r="N1153" i="3"/>
  <c r="M1154" i="3"/>
  <c r="N1154" i="3"/>
  <c r="M1155" i="3"/>
  <c r="N1155" i="3"/>
  <c r="M1156" i="3"/>
  <c r="N1156" i="3"/>
  <c r="M1157" i="3"/>
  <c r="N1157" i="3"/>
  <c r="M1158" i="3"/>
  <c r="N1158" i="3"/>
  <c r="M1159" i="3"/>
  <c r="N1159" i="3"/>
  <c r="M1160" i="3"/>
  <c r="N1160" i="3"/>
  <c r="M1161" i="3"/>
  <c r="N1161" i="3"/>
  <c r="M1162" i="3"/>
  <c r="N1162" i="3"/>
  <c r="M1163" i="3"/>
  <c r="N1163" i="3"/>
  <c r="M1164" i="3"/>
  <c r="N1164" i="3"/>
  <c r="M1165" i="3"/>
  <c r="N1165" i="3"/>
  <c r="M1166" i="3"/>
  <c r="N1166" i="3"/>
  <c r="M1167" i="3"/>
  <c r="N1167" i="3"/>
  <c r="M1168" i="3"/>
  <c r="N1168" i="3"/>
  <c r="M1169" i="3"/>
  <c r="N1169" i="3"/>
  <c r="M1170" i="3"/>
  <c r="N1170" i="3"/>
  <c r="M1171" i="3"/>
  <c r="N1171" i="3"/>
  <c r="M1172" i="3"/>
  <c r="N1172" i="3"/>
  <c r="M1173" i="3"/>
  <c r="N1173" i="3"/>
  <c r="M1174" i="3"/>
  <c r="N1174" i="3"/>
  <c r="M1175" i="3"/>
  <c r="N1175" i="3"/>
  <c r="M1176" i="3"/>
  <c r="N1176" i="3"/>
  <c r="M1177" i="3"/>
  <c r="N1177" i="3"/>
  <c r="M1178" i="3"/>
  <c r="N1178" i="3"/>
  <c r="M1179" i="3"/>
  <c r="N1179" i="3"/>
  <c r="M1180" i="3"/>
  <c r="N1180" i="3"/>
  <c r="M1181" i="3"/>
  <c r="N1181" i="3"/>
  <c r="M1182" i="3"/>
  <c r="N1182" i="3"/>
  <c r="M1183" i="3"/>
  <c r="N1183" i="3"/>
  <c r="M1184" i="3"/>
  <c r="N1184" i="3"/>
  <c r="M1185" i="3"/>
  <c r="N1185" i="3"/>
  <c r="M1186" i="3"/>
  <c r="N1186" i="3"/>
  <c r="M1187" i="3"/>
  <c r="N1187" i="3"/>
  <c r="M1188" i="3"/>
  <c r="N1188" i="3"/>
  <c r="M1189" i="3"/>
  <c r="N1189" i="3"/>
  <c r="M1190" i="3"/>
  <c r="N1190" i="3"/>
  <c r="M1191" i="3"/>
  <c r="N1191" i="3"/>
  <c r="M1192" i="3"/>
  <c r="N1192" i="3"/>
  <c r="M1193" i="3"/>
  <c r="N1193" i="3"/>
  <c r="M1194" i="3"/>
  <c r="N1194" i="3"/>
  <c r="M1195" i="3"/>
  <c r="N1195" i="3"/>
  <c r="M1196" i="3"/>
  <c r="N1196" i="3"/>
  <c r="M1197" i="3"/>
  <c r="N1197" i="3"/>
  <c r="M1198" i="3"/>
  <c r="N1198" i="3"/>
  <c r="M1199" i="3"/>
  <c r="N1199" i="3"/>
  <c r="M1200" i="3"/>
  <c r="N1200" i="3"/>
  <c r="M1201" i="3"/>
  <c r="N1201" i="3"/>
  <c r="M1202" i="3"/>
  <c r="N1202" i="3"/>
  <c r="M1203" i="3"/>
  <c r="N1203" i="3"/>
  <c r="M1204" i="3"/>
  <c r="N1204" i="3"/>
  <c r="M1205" i="3"/>
  <c r="N1205" i="3"/>
  <c r="M1206" i="3"/>
  <c r="N1206" i="3"/>
  <c r="M1207" i="3"/>
  <c r="N1207" i="3"/>
  <c r="M1208" i="3"/>
  <c r="N1208" i="3"/>
  <c r="M1209" i="3"/>
  <c r="N1209" i="3"/>
  <c r="M1210" i="3"/>
  <c r="N1210" i="3"/>
  <c r="M1211" i="3"/>
  <c r="N1211" i="3"/>
  <c r="M1212" i="3"/>
  <c r="N1212" i="3"/>
  <c r="M1213" i="3"/>
  <c r="N1213" i="3"/>
  <c r="M1214" i="3"/>
  <c r="N1214" i="3"/>
  <c r="M1215" i="3"/>
  <c r="N1215" i="3"/>
  <c r="M1216" i="3"/>
  <c r="N1216" i="3"/>
  <c r="M1217" i="3"/>
  <c r="N1217" i="3"/>
  <c r="M1218" i="3"/>
  <c r="N1218" i="3"/>
  <c r="M1219" i="3"/>
  <c r="N1219" i="3"/>
  <c r="M1220" i="3"/>
  <c r="N1220" i="3"/>
  <c r="M1221" i="3"/>
  <c r="N1221" i="3"/>
  <c r="M1222" i="3"/>
  <c r="N1222" i="3"/>
  <c r="N2" i="3"/>
  <c r="M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2" i="3"/>
  <c r="A932" i="3"/>
  <c r="D932" i="3"/>
  <c r="E932" i="3"/>
  <c r="G932" i="3"/>
  <c r="H932" i="3"/>
  <c r="A933" i="3"/>
  <c r="D933" i="3"/>
  <c r="E933" i="3"/>
  <c r="G933" i="3"/>
  <c r="H933" i="3"/>
  <c r="A934" i="3"/>
  <c r="D934" i="3"/>
  <c r="E934" i="3"/>
  <c r="G934" i="3"/>
  <c r="H934" i="3"/>
  <c r="A935" i="3"/>
  <c r="D935" i="3"/>
  <c r="E935" i="3"/>
  <c r="G935" i="3"/>
  <c r="H935" i="3"/>
  <c r="A936" i="3"/>
  <c r="D936" i="3"/>
  <c r="E936" i="3"/>
  <c r="G936" i="3"/>
  <c r="H936" i="3"/>
  <c r="A937" i="3"/>
  <c r="D937" i="3"/>
  <c r="E937" i="3"/>
  <c r="G937" i="3"/>
  <c r="H937" i="3"/>
  <c r="A938" i="3"/>
  <c r="D938" i="3"/>
  <c r="E938" i="3"/>
  <c r="G938" i="3"/>
  <c r="H938" i="3"/>
  <c r="A939" i="3"/>
  <c r="D939" i="3"/>
  <c r="E939" i="3"/>
  <c r="G939" i="3"/>
  <c r="H939" i="3"/>
  <c r="A940" i="3"/>
  <c r="D940" i="3"/>
  <c r="E940" i="3"/>
  <c r="G940" i="3"/>
  <c r="H940" i="3"/>
  <c r="A941" i="3"/>
  <c r="D941" i="3"/>
  <c r="E941" i="3"/>
  <c r="G941" i="3"/>
  <c r="H941" i="3"/>
  <c r="A942" i="3"/>
  <c r="D942" i="3"/>
  <c r="E942" i="3"/>
  <c r="G942" i="3"/>
  <c r="H942" i="3"/>
  <c r="A943" i="3"/>
  <c r="D943" i="3"/>
  <c r="E943" i="3"/>
  <c r="G943" i="3"/>
  <c r="H943" i="3"/>
  <c r="A944" i="3"/>
  <c r="D944" i="3"/>
  <c r="E944" i="3"/>
  <c r="G944" i="3"/>
  <c r="H944" i="3"/>
  <c r="A945" i="3"/>
  <c r="D945" i="3"/>
  <c r="E945" i="3"/>
  <c r="G945" i="3"/>
  <c r="H945" i="3"/>
  <c r="A946" i="3"/>
  <c r="D946" i="3"/>
  <c r="E946" i="3"/>
  <c r="G946" i="3"/>
  <c r="H946" i="3"/>
  <c r="A947" i="3"/>
  <c r="D947" i="3"/>
  <c r="E947" i="3"/>
  <c r="G947" i="3"/>
  <c r="H947" i="3"/>
  <c r="A948" i="3"/>
  <c r="D948" i="3"/>
  <c r="E948" i="3"/>
  <c r="G948" i="3"/>
  <c r="H948" i="3"/>
  <c r="A949" i="3"/>
  <c r="D949" i="3"/>
  <c r="E949" i="3"/>
  <c r="G949" i="3"/>
  <c r="H949" i="3"/>
  <c r="A950" i="3"/>
  <c r="D950" i="3"/>
  <c r="E950" i="3"/>
  <c r="G950" i="3"/>
  <c r="H950" i="3"/>
  <c r="A951" i="3"/>
  <c r="D951" i="3"/>
  <c r="E951" i="3"/>
  <c r="G951" i="3"/>
  <c r="H951" i="3"/>
  <c r="A952" i="3"/>
  <c r="D952" i="3"/>
  <c r="E952" i="3"/>
  <c r="G952" i="3"/>
  <c r="H952" i="3"/>
  <c r="A953" i="3"/>
  <c r="D953" i="3"/>
  <c r="E953" i="3"/>
  <c r="G953" i="3"/>
  <c r="H953" i="3"/>
  <c r="A954" i="3"/>
  <c r="D954" i="3"/>
  <c r="E954" i="3"/>
  <c r="G954" i="3"/>
  <c r="H954" i="3"/>
  <c r="A955" i="3"/>
  <c r="D955" i="3"/>
  <c r="E955" i="3"/>
  <c r="G955" i="3"/>
  <c r="H955" i="3"/>
  <c r="A956" i="3"/>
  <c r="D956" i="3"/>
  <c r="E956" i="3"/>
  <c r="G956" i="3"/>
  <c r="H956" i="3"/>
  <c r="A957" i="3"/>
  <c r="D957" i="3"/>
  <c r="E957" i="3"/>
  <c r="G957" i="3"/>
  <c r="H957" i="3"/>
  <c r="A958" i="3"/>
  <c r="D958" i="3"/>
  <c r="E958" i="3"/>
  <c r="G958" i="3"/>
  <c r="H958" i="3"/>
  <c r="A959" i="3"/>
  <c r="D959" i="3"/>
  <c r="E959" i="3"/>
  <c r="G959" i="3"/>
  <c r="H959" i="3"/>
  <c r="A960" i="3"/>
  <c r="D960" i="3"/>
  <c r="E960" i="3"/>
  <c r="G960" i="3"/>
  <c r="H960" i="3"/>
  <c r="A961" i="3"/>
  <c r="D961" i="3"/>
  <c r="E961" i="3"/>
  <c r="G961" i="3"/>
  <c r="H961" i="3"/>
  <c r="A962" i="3"/>
  <c r="D962" i="3"/>
  <c r="E962" i="3"/>
  <c r="G962" i="3"/>
  <c r="H962" i="3"/>
  <c r="A963" i="3"/>
  <c r="D963" i="3"/>
  <c r="E963" i="3"/>
  <c r="G963" i="3"/>
  <c r="H963" i="3"/>
  <c r="A964" i="3"/>
  <c r="D964" i="3"/>
  <c r="E964" i="3"/>
  <c r="G964" i="3"/>
  <c r="H964" i="3"/>
  <c r="A965" i="3"/>
  <c r="D965" i="3"/>
  <c r="E965" i="3"/>
  <c r="G965" i="3"/>
  <c r="H965" i="3"/>
  <c r="A966" i="3"/>
  <c r="D966" i="3"/>
  <c r="E966" i="3"/>
  <c r="G966" i="3"/>
  <c r="H966" i="3"/>
  <c r="A967" i="3"/>
  <c r="D967" i="3"/>
  <c r="E967" i="3"/>
  <c r="G967" i="3"/>
  <c r="H967" i="3"/>
  <c r="A968" i="3"/>
  <c r="D968" i="3"/>
  <c r="E968" i="3"/>
  <c r="G968" i="3"/>
  <c r="H968" i="3"/>
  <c r="A969" i="3"/>
  <c r="D969" i="3"/>
  <c r="E969" i="3"/>
  <c r="G969" i="3"/>
  <c r="H969" i="3"/>
  <c r="A970" i="3"/>
  <c r="D970" i="3"/>
  <c r="E970" i="3"/>
  <c r="G970" i="3"/>
  <c r="H970" i="3"/>
  <c r="A971" i="3"/>
  <c r="D971" i="3"/>
  <c r="E971" i="3"/>
  <c r="G971" i="3"/>
  <c r="H971" i="3"/>
  <c r="A972" i="3"/>
  <c r="D972" i="3"/>
  <c r="E972" i="3"/>
  <c r="G972" i="3"/>
  <c r="H972" i="3"/>
  <c r="A973" i="3"/>
  <c r="D973" i="3"/>
  <c r="E973" i="3"/>
  <c r="G973" i="3"/>
  <c r="H973" i="3"/>
  <c r="A974" i="3"/>
  <c r="D974" i="3"/>
  <c r="E974" i="3"/>
  <c r="G974" i="3"/>
  <c r="H974" i="3"/>
  <c r="A975" i="3"/>
  <c r="D975" i="3"/>
  <c r="E975" i="3"/>
  <c r="G975" i="3"/>
  <c r="H975" i="3"/>
  <c r="A976" i="3"/>
  <c r="D976" i="3"/>
  <c r="E976" i="3"/>
  <c r="G976" i="3"/>
  <c r="H976" i="3"/>
  <c r="A977" i="3"/>
  <c r="D977" i="3"/>
  <c r="E977" i="3"/>
  <c r="G977" i="3"/>
  <c r="H977" i="3"/>
  <c r="A978" i="3"/>
  <c r="D978" i="3"/>
  <c r="E978" i="3"/>
  <c r="G978" i="3"/>
  <c r="H978" i="3"/>
  <c r="A979" i="3"/>
  <c r="D979" i="3"/>
  <c r="E979" i="3"/>
  <c r="G979" i="3"/>
  <c r="H979" i="3"/>
  <c r="A980" i="3"/>
  <c r="D980" i="3"/>
  <c r="E980" i="3"/>
  <c r="G980" i="3"/>
  <c r="H980" i="3"/>
  <c r="A981" i="3"/>
  <c r="D981" i="3"/>
  <c r="E981" i="3"/>
  <c r="G981" i="3"/>
  <c r="H981" i="3"/>
  <c r="A982" i="3"/>
  <c r="D982" i="3"/>
  <c r="E982" i="3"/>
  <c r="G982" i="3"/>
  <c r="H982" i="3"/>
  <c r="A983" i="3"/>
  <c r="D983" i="3"/>
  <c r="E983" i="3"/>
  <c r="G983" i="3"/>
  <c r="H983" i="3"/>
  <c r="A984" i="3"/>
  <c r="D984" i="3"/>
  <c r="E984" i="3"/>
  <c r="G984" i="3"/>
  <c r="H984" i="3"/>
  <c r="A985" i="3"/>
  <c r="D985" i="3"/>
  <c r="E985" i="3"/>
  <c r="G985" i="3"/>
  <c r="H985" i="3"/>
  <c r="A986" i="3"/>
  <c r="D986" i="3"/>
  <c r="E986" i="3"/>
  <c r="G986" i="3"/>
  <c r="H986" i="3"/>
  <c r="A987" i="3"/>
  <c r="D987" i="3"/>
  <c r="E987" i="3"/>
  <c r="G987" i="3"/>
  <c r="H987" i="3"/>
  <c r="A988" i="3"/>
  <c r="D988" i="3"/>
  <c r="E988" i="3"/>
  <c r="G988" i="3"/>
  <c r="H988" i="3"/>
  <c r="A989" i="3"/>
  <c r="D989" i="3"/>
  <c r="E989" i="3"/>
  <c r="G989" i="3"/>
  <c r="H989" i="3"/>
  <c r="A990" i="3"/>
  <c r="D990" i="3"/>
  <c r="E990" i="3"/>
  <c r="G990" i="3"/>
  <c r="H990" i="3"/>
  <c r="A991" i="3"/>
  <c r="D991" i="3"/>
  <c r="E991" i="3"/>
  <c r="G991" i="3"/>
  <c r="H991" i="3"/>
  <c r="A992" i="3"/>
  <c r="D992" i="3"/>
  <c r="E992" i="3"/>
  <c r="G992" i="3"/>
  <c r="H992" i="3"/>
  <c r="A993" i="3"/>
  <c r="D993" i="3"/>
  <c r="E993" i="3"/>
  <c r="G993" i="3"/>
  <c r="H993" i="3"/>
  <c r="A994" i="3"/>
  <c r="D994" i="3"/>
  <c r="E994" i="3"/>
  <c r="G994" i="3"/>
  <c r="H994" i="3"/>
  <c r="A995" i="3"/>
  <c r="D995" i="3"/>
  <c r="E995" i="3"/>
  <c r="G995" i="3"/>
  <c r="H995" i="3"/>
  <c r="A996" i="3"/>
  <c r="D996" i="3"/>
  <c r="E996" i="3"/>
  <c r="G996" i="3"/>
  <c r="H996" i="3"/>
  <c r="A997" i="3"/>
  <c r="D997" i="3"/>
  <c r="E997" i="3"/>
  <c r="G997" i="3"/>
  <c r="H997" i="3"/>
  <c r="A998" i="3"/>
  <c r="D998" i="3"/>
  <c r="E998" i="3"/>
  <c r="G998" i="3"/>
  <c r="H998" i="3"/>
  <c r="A999" i="3"/>
  <c r="D999" i="3"/>
  <c r="E999" i="3"/>
  <c r="G999" i="3"/>
  <c r="H999" i="3"/>
  <c r="A1000" i="3"/>
  <c r="D1000" i="3"/>
  <c r="E1000" i="3"/>
  <c r="G1000" i="3"/>
  <c r="H1000" i="3"/>
  <c r="A1001" i="3"/>
  <c r="D1001" i="3"/>
  <c r="E1001" i="3"/>
  <c r="G1001" i="3"/>
  <c r="H1001" i="3"/>
  <c r="A1002" i="3"/>
  <c r="D1002" i="3"/>
  <c r="E1002" i="3"/>
  <c r="G1002" i="3"/>
  <c r="H1002" i="3"/>
  <c r="A1003" i="3"/>
  <c r="D1003" i="3"/>
  <c r="E1003" i="3"/>
  <c r="G1003" i="3"/>
  <c r="H1003" i="3"/>
  <c r="A1004" i="3"/>
  <c r="D1004" i="3"/>
  <c r="E1004" i="3"/>
  <c r="G1004" i="3"/>
  <c r="H1004" i="3"/>
  <c r="A1005" i="3"/>
  <c r="D1005" i="3"/>
  <c r="E1005" i="3"/>
  <c r="G1005" i="3"/>
  <c r="H1005" i="3"/>
  <c r="A1006" i="3"/>
  <c r="D1006" i="3"/>
  <c r="E1006" i="3"/>
  <c r="G1006" i="3"/>
  <c r="H1006" i="3"/>
  <c r="A1007" i="3"/>
  <c r="D1007" i="3"/>
  <c r="E1007" i="3"/>
  <c r="G1007" i="3"/>
  <c r="H1007" i="3"/>
  <c r="A1008" i="3"/>
  <c r="D1008" i="3"/>
  <c r="E1008" i="3"/>
  <c r="G1008" i="3"/>
  <c r="H1008" i="3"/>
  <c r="A1009" i="3"/>
  <c r="D1009" i="3"/>
  <c r="E1009" i="3"/>
  <c r="G1009" i="3"/>
  <c r="H1009" i="3"/>
  <c r="A1010" i="3"/>
  <c r="D1010" i="3"/>
  <c r="E1010" i="3"/>
  <c r="G1010" i="3"/>
  <c r="H1010" i="3"/>
  <c r="A1011" i="3"/>
  <c r="D1011" i="3"/>
  <c r="E1011" i="3"/>
  <c r="G1011" i="3"/>
  <c r="H1011" i="3"/>
  <c r="A1012" i="3"/>
  <c r="D1012" i="3"/>
  <c r="E1012" i="3"/>
  <c r="G1012" i="3"/>
  <c r="H1012" i="3"/>
  <c r="A1013" i="3"/>
  <c r="D1013" i="3"/>
  <c r="E1013" i="3"/>
  <c r="G1013" i="3"/>
  <c r="H1013" i="3"/>
  <c r="A1014" i="3"/>
  <c r="D1014" i="3"/>
  <c r="E1014" i="3"/>
  <c r="G1014" i="3"/>
  <c r="H1014" i="3"/>
  <c r="A1015" i="3"/>
  <c r="D1015" i="3"/>
  <c r="E1015" i="3"/>
  <c r="G1015" i="3"/>
  <c r="H1015" i="3"/>
  <c r="A1016" i="3"/>
  <c r="D1016" i="3"/>
  <c r="E1016" i="3"/>
  <c r="G1016" i="3"/>
  <c r="H1016" i="3"/>
  <c r="A1017" i="3"/>
  <c r="D1017" i="3"/>
  <c r="E1017" i="3"/>
  <c r="G1017" i="3"/>
  <c r="H1017" i="3"/>
  <c r="A1018" i="3"/>
  <c r="D1018" i="3"/>
  <c r="E1018" i="3"/>
  <c r="G1018" i="3"/>
  <c r="H1018" i="3"/>
  <c r="A1019" i="3"/>
  <c r="D1019" i="3"/>
  <c r="E1019" i="3"/>
  <c r="G1019" i="3"/>
  <c r="H1019" i="3"/>
  <c r="A1020" i="3"/>
  <c r="D1020" i="3"/>
  <c r="E1020" i="3"/>
  <c r="G1020" i="3"/>
  <c r="H1020" i="3"/>
  <c r="A1021" i="3"/>
  <c r="D1021" i="3"/>
  <c r="E1021" i="3"/>
  <c r="G1021" i="3"/>
  <c r="H1021" i="3"/>
  <c r="A1022" i="3"/>
  <c r="D1022" i="3"/>
  <c r="E1022" i="3"/>
  <c r="G1022" i="3"/>
  <c r="H1022" i="3"/>
  <c r="A1023" i="3"/>
  <c r="D1023" i="3"/>
  <c r="E1023" i="3"/>
  <c r="G1023" i="3"/>
  <c r="H1023" i="3"/>
  <c r="A1024" i="3"/>
  <c r="D1024" i="3"/>
  <c r="E1024" i="3"/>
  <c r="G1024" i="3"/>
  <c r="H1024" i="3"/>
  <c r="A1025" i="3"/>
  <c r="D1025" i="3"/>
  <c r="E1025" i="3"/>
  <c r="G1025" i="3"/>
  <c r="H1025" i="3"/>
  <c r="A1026" i="3"/>
  <c r="D1026" i="3"/>
  <c r="E1026" i="3"/>
  <c r="G1026" i="3"/>
  <c r="H1026" i="3"/>
  <c r="A1027" i="3"/>
  <c r="D1027" i="3"/>
  <c r="E1027" i="3"/>
  <c r="G1027" i="3"/>
  <c r="H1027" i="3"/>
  <c r="A1028" i="3"/>
  <c r="D1028" i="3"/>
  <c r="E1028" i="3"/>
  <c r="G1028" i="3"/>
  <c r="H1028" i="3"/>
  <c r="A1029" i="3"/>
  <c r="D1029" i="3"/>
  <c r="E1029" i="3"/>
  <c r="G1029" i="3"/>
  <c r="H1029" i="3"/>
  <c r="A1030" i="3"/>
  <c r="D1030" i="3"/>
  <c r="E1030" i="3"/>
  <c r="G1030" i="3"/>
  <c r="H1030" i="3"/>
  <c r="A1031" i="3"/>
  <c r="D1031" i="3"/>
  <c r="E1031" i="3"/>
  <c r="G1031" i="3"/>
  <c r="H1031" i="3"/>
  <c r="A1032" i="3"/>
  <c r="D1032" i="3"/>
  <c r="E1032" i="3"/>
  <c r="G1032" i="3"/>
  <c r="H1032" i="3"/>
  <c r="A1033" i="3"/>
  <c r="D1033" i="3"/>
  <c r="E1033" i="3"/>
  <c r="G1033" i="3"/>
  <c r="H1033" i="3"/>
  <c r="A1034" i="3"/>
  <c r="D1034" i="3"/>
  <c r="E1034" i="3"/>
  <c r="G1034" i="3"/>
  <c r="H1034" i="3"/>
  <c r="A1035" i="3"/>
  <c r="D1035" i="3"/>
  <c r="E1035" i="3"/>
  <c r="G1035" i="3"/>
  <c r="H1035" i="3"/>
  <c r="A1036" i="3"/>
  <c r="D1036" i="3"/>
  <c r="E1036" i="3"/>
  <c r="G1036" i="3"/>
  <c r="H1036" i="3"/>
  <c r="A1037" i="3"/>
  <c r="D1037" i="3"/>
  <c r="E1037" i="3"/>
  <c r="G1037" i="3"/>
  <c r="H1037" i="3"/>
  <c r="A1038" i="3"/>
  <c r="D1038" i="3"/>
  <c r="E1038" i="3"/>
  <c r="G1038" i="3"/>
  <c r="H1038" i="3"/>
  <c r="A1039" i="3"/>
  <c r="D1039" i="3"/>
  <c r="E1039" i="3"/>
  <c r="G1039" i="3"/>
  <c r="H1039" i="3"/>
  <c r="A1040" i="3"/>
  <c r="D1040" i="3"/>
  <c r="E1040" i="3"/>
  <c r="G1040" i="3"/>
  <c r="H1040" i="3"/>
  <c r="A1041" i="3"/>
  <c r="D1041" i="3"/>
  <c r="E1041" i="3"/>
  <c r="G1041" i="3"/>
  <c r="H1041" i="3"/>
  <c r="A1042" i="3"/>
  <c r="D1042" i="3"/>
  <c r="E1042" i="3"/>
  <c r="G1042" i="3"/>
  <c r="H1042" i="3"/>
  <c r="A1043" i="3"/>
  <c r="D1043" i="3"/>
  <c r="E1043" i="3"/>
  <c r="G1043" i="3"/>
  <c r="H1043" i="3"/>
  <c r="A1044" i="3"/>
  <c r="D1044" i="3"/>
  <c r="E1044" i="3"/>
  <c r="G1044" i="3"/>
  <c r="H1044" i="3"/>
  <c r="A1045" i="3"/>
  <c r="D1045" i="3"/>
  <c r="E1045" i="3"/>
  <c r="G1045" i="3"/>
  <c r="H1045" i="3"/>
  <c r="A1046" i="3"/>
  <c r="D1046" i="3"/>
  <c r="E1046" i="3"/>
  <c r="G1046" i="3"/>
  <c r="H1046" i="3"/>
  <c r="A1047" i="3"/>
  <c r="D1047" i="3"/>
  <c r="E1047" i="3"/>
  <c r="G1047" i="3"/>
  <c r="H1047" i="3"/>
  <c r="A1048" i="3"/>
  <c r="D1048" i="3"/>
  <c r="E1048" i="3"/>
  <c r="G1048" i="3"/>
  <c r="H1048" i="3"/>
  <c r="A1049" i="3"/>
  <c r="D1049" i="3"/>
  <c r="E1049" i="3"/>
  <c r="G1049" i="3"/>
  <c r="H1049" i="3"/>
  <c r="A1050" i="3"/>
  <c r="D1050" i="3"/>
  <c r="E1050" i="3"/>
  <c r="G1050" i="3"/>
  <c r="H1050" i="3"/>
  <c r="A1051" i="3"/>
  <c r="D1051" i="3"/>
  <c r="E1051" i="3"/>
  <c r="G1051" i="3"/>
  <c r="H1051" i="3"/>
  <c r="A1052" i="3"/>
  <c r="D1052" i="3"/>
  <c r="E1052" i="3"/>
  <c r="G1052" i="3"/>
  <c r="H1052" i="3"/>
  <c r="A1053" i="3"/>
  <c r="D1053" i="3"/>
  <c r="E1053" i="3"/>
  <c r="G1053" i="3"/>
  <c r="H1053" i="3"/>
  <c r="A1054" i="3"/>
  <c r="D1054" i="3"/>
  <c r="E1054" i="3"/>
  <c r="G1054" i="3"/>
  <c r="H1054" i="3"/>
  <c r="A1055" i="3"/>
  <c r="D1055" i="3"/>
  <c r="E1055" i="3"/>
  <c r="G1055" i="3"/>
  <c r="H1055" i="3"/>
  <c r="A1056" i="3"/>
  <c r="D1056" i="3"/>
  <c r="E1056" i="3"/>
  <c r="G1056" i="3"/>
  <c r="H1056" i="3"/>
  <c r="A1057" i="3"/>
  <c r="D1057" i="3"/>
  <c r="E1057" i="3"/>
  <c r="G1057" i="3"/>
  <c r="H1057" i="3"/>
  <c r="A1058" i="3"/>
  <c r="D1058" i="3"/>
  <c r="E1058" i="3"/>
  <c r="G1058" i="3"/>
  <c r="H1058" i="3"/>
  <c r="A1059" i="3"/>
  <c r="D1059" i="3"/>
  <c r="E1059" i="3"/>
  <c r="G1059" i="3"/>
  <c r="H1059" i="3"/>
  <c r="A1060" i="3"/>
  <c r="D1060" i="3"/>
  <c r="E1060" i="3"/>
  <c r="G1060" i="3"/>
  <c r="H1060" i="3"/>
  <c r="A1061" i="3"/>
  <c r="D1061" i="3"/>
  <c r="E1061" i="3"/>
  <c r="G1061" i="3"/>
  <c r="H1061" i="3"/>
  <c r="A1062" i="3"/>
  <c r="D1062" i="3"/>
  <c r="E1062" i="3"/>
  <c r="G1062" i="3"/>
  <c r="H1062" i="3"/>
  <c r="A1063" i="3"/>
  <c r="D1063" i="3"/>
  <c r="E1063" i="3"/>
  <c r="G1063" i="3"/>
  <c r="H1063" i="3"/>
  <c r="A1064" i="3"/>
  <c r="D1064" i="3"/>
  <c r="E1064" i="3"/>
  <c r="G1064" i="3"/>
  <c r="H1064" i="3"/>
  <c r="A1065" i="3"/>
  <c r="D1065" i="3"/>
  <c r="E1065" i="3"/>
  <c r="G1065" i="3"/>
  <c r="H1065" i="3"/>
  <c r="A1066" i="3"/>
  <c r="D1066" i="3"/>
  <c r="E1066" i="3"/>
  <c r="G1066" i="3"/>
  <c r="H1066" i="3"/>
  <c r="A1067" i="3"/>
  <c r="D1067" i="3"/>
  <c r="E1067" i="3"/>
  <c r="G1067" i="3"/>
  <c r="H1067" i="3"/>
  <c r="A1068" i="3"/>
  <c r="D1068" i="3"/>
  <c r="E1068" i="3"/>
  <c r="G1068" i="3"/>
  <c r="H1068" i="3"/>
  <c r="A1069" i="3"/>
  <c r="D1069" i="3"/>
  <c r="E1069" i="3"/>
  <c r="G1069" i="3"/>
  <c r="H1069" i="3"/>
  <c r="A1070" i="3"/>
  <c r="D1070" i="3"/>
  <c r="E1070" i="3"/>
  <c r="G1070" i="3"/>
  <c r="H1070" i="3"/>
  <c r="A1071" i="3"/>
  <c r="D1071" i="3"/>
  <c r="E1071" i="3"/>
  <c r="G1071" i="3"/>
  <c r="H1071" i="3"/>
  <c r="A1072" i="3"/>
  <c r="D1072" i="3"/>
  <c r="E1072" i="3"/>
  <c r="G1072" i="3"/>
  <c r="H1072" i="3"/>
  <c r="A1073" i="3"/>
  <c r="D1073" i="3"/>
  <c r="E1073" i="3"/>
  <c r="G1073" i="3"/>
  <c r="H1073" i="3"/>
  <c r="A1074" i="3"/>
  <c r="D1074" i="3"/>
  <c r="E1074" i="3"/>
  <c r="G1074" i="3"/>
  <c r="H1074" i="3"/>
  <c r="A1075" i="3"/>
  <c r="D1075" i="3"/>
  <c r="E1075" i="3"/>
  <c r="G1075" i="3"/>
  <c r="H1075" i="3"/>
  <c r="A1076" i="3"/>
  <c r="D1076" i="3"/>
  <c r="E1076" i="3"/>
  <c r="G1076" i="3"/>
  <c r="H1076" i="3"/>
  <c r="A1077" i="3"/>
  <c r="D1077" i="3"/>
  <c r="E1077" i="3"/>
  <c r="G1077" i="3"/>
  <c r="H1077" i="3"/>
  <c r="A1078" i="3"/>
  <c r="D1078" i="3"/>
  <c r="E1078" i="3"/>
  <c r="G1078" i="3"/>
  <c r="H1078" i="3"/>
  <c r="A1079" i="3"/>
  <c r="D1079" i="3"/>
  <c r="E1079" i="3"/>
  <c r="G1079" i="3"/>
  <c r="H1079" i="3"/>
  <c r="A1080" i="3"/>
  <c r="D1080" i="3"/>
  <c r="E1080" i="3"/>
  <c r="G1080" i="3"/>
  <c r="H1080" i="3"/>
  <c r="A1081" i="3"/>
  <c r="D1081" i="3"/>
  <c r="E1081" i="3"/>
  <c r="G1081" i="3"/>
  <c r="H1081" i="3"/>
  <c r="A1082" i="3"/>
  <c r="D1082" i="3"/>
  <c r="E1082" i="3"/>
  <c r="G1082" i="3"/>
  <c r="H1082" i="3"/>
  <c r="A1083" i="3"/>
  <c r="D1083" i="3"/>
  <c r="E1083" i="3"/>
  <c r="G1083" i="3"/>
  <c r="H1083" i="3"/>
  <c r="A1084" i="3"/>
  <c r="D1084" i="3"/>
  <c r="E1084" i="3"/>
  <c r="G1084" i="3"/>
  <c r="H1084" i="3"/>
  <c r="A1085" i="3"/>
  <c r="D1085" i="3"/>
  <c r="E1085" i="3"/>
  <c r="G1085" i="3"/>
  <c r="H1085" i="3"/>
  <c r="A1086" i="3"/>
  <c r="D1086" i="3"/>
  <c r="E1086" i="3"/>
  <c r="G1086" i="3"/>
  <c r="H1086" i="3"/>
  <c r="A1087" i="3"/>
  <c r="D1087" i="3"/>
  <c r="E1087" i="3"/>
  <c r="G1087" i="3"/>
  <c r="H1087" i="3"/>
  <c r="A1088" i="3"/>
  <c r="D1088" i="3"/>
  <c r="E1088" i="3"/>
  <c r="G1088" i="3"/>
  <c r="H1088" i="3"/>
  <c r="A1089" i="3"/>
  <c r="D1089" i="3"/>
  <c r="E1089" i="3"/>
  <c r="G1089" i="3"/>
  <c r="H1089" i="3"/>
  <c r="A1090" i="3"/>
  <c r="D1090" i="3"/>
  <c r="E1090" i="3"/>
  <c r="G1090" i="3"/>
  <c r="H1090" i="3"/>
  <c r="A1091" i="3"/>
  <c r="D1091" i="3"/>
  <c r="E1091" i="3"/>
  <c r="G1091" i="3"/>
  <c r="H1091" i="3"/>
  <c r="A1092" i="3"/>
  <c r="D1092" i="3"/>
  <c r="E1092" i="3"/>
  <c r="G1092" i="3"/>
  <c r="H1092" i="3"/>
  <c r="A1093" i="3"/>
  <c r="D1093" i="3"/>
  <c r="E1093" i="3"/>
  <c r="G1093" i="3"/>
  <c r="H1093" i="3"/>
  <c r="A1094" i="3"/>
  <c r="D1094" i="3"/>
  <c r="E1094" i="3"/>
  <c r="G1094" i="3"/>
  <c r="H1094" i="3"/>
  <c r="A1095" i="3"/>
  <c r="D1095" i="3"/>
  <c r="E1095" i="3"/>
  <c r="G1095" i="3"/>
  <c r="H1095" i="3"/>
  <c r="A1096" i="3"/>
  <c r="D1096" i="3"/>
  <c r="E1096" i="3"/>
  <c r="G1096" i="3"/>
  <c r="H1096" i="3"/>
  <c r="A1097" i="3"/>
  <c r="D1097" i="3"/>
  <c r="E1097" i="3"/>
  <c r="G1097" i="3"/>
  <c r="H1097" i="3"/>
  <c r="A1098" i="3"/>
  <c r="D1098" i="3"/>
  <c r="E1098" i="3"/>
  <c r="G1098" i="3"/>
  <c r="H1098" i="3"/>
  <c r="A1099" i="3"/>
  <c r="D1099" i="3"/>
  <c r="E1099" i="3"/>
  <c r="G1099" i="3"/>
  <c r="H1099" i="3"/>
  <c r="A1100" i="3"/>
  <c r="D1100" i="3"/>
  <c r="E1100" i="3"/>
  <c r="G1100" i="3"/>
  <c r="H1100" i="3"/>
  <c r="A1101" i="3"/>
  <c r="D1101" i="3"/>
  <c r="E1101" i="3"/>
  <c r="G1101" i="3"/>
  <c r="H1101" i="3"/>
  <c r="A1102" i="3"/>
  <c r="D1102" i="3"/>
  <c r="E1102" i="3"/>
  <c r="G1102" i="3"/>
  <c r="H1102" i="3"/>
  <c r="A1103" i="3"/>
  <c r="D1103" i="3"/>
  <c r="E1103" i="3"/>
  <c r="G1103" i="3"/>
  <c r="H1103" i="3"/>
  <c r="A1104" i="3"/>
  <c r="D1104" i="3"/>
  <c r="E1104" i="3"/>
  <c r="G1104" i="3"/>
  <c r="H1104" i="3"/>
  <c r="A1105" i="3"/>
  <c r="D1105" i="3"/>
  <c r="E1105" i="3"/>
  <c r="G1105" i="3"/>
  <c r="H1105" i="3"/>
  <c r="A1106" i="3"/>
  <c r="D1106" i="3"/>
  <c r="E1106" i="3"/>
  <c r="G1106" i="3"/>
  <c r="H1106" i="3"/>
  <c r="A1107" i="3"/>
  <c r="D1107" i="3"/>
  <c r="E1107" i="3"/>
  <c r="G1107" i="3"/>
  <c r="H1107" i="3"/>
  <c r="A1108" i="3"/>
  <c r="D1108" i="3"/>
  <c r="E1108" i="3"/>
  <c r="G1108" i="3"/>
  <c r="H1108" i="3"/>
  <c r="A1109" i="3"/>
  <c r="D1109" i="3"/>
  <c r="E1109" i="3"/>
  <c r="G1109" i="3"/>
  <c r="H1109" i="3"/>
  <c r="A1110" i="3"/>
  <c r="D1110" i="3"/>
  <c r="E1110" i="3"/>
  <c r="G1110" i="3"/>
  <c r="H1110" i="3"/>
  <c r="A1111" i="3"/>
  <c r="D1111" i="3"/>
  <c r="E1111" i="3"/>
  <c r="G1111" i="3"/>
  <c r="H1111" i="3"/>
  <c r="A1112" i="3"/>
  <c r="D1112" i="3"/>
  <c r="E1112" i="3"/>
  <c r="G1112" i="3"/>
  <c r="H1112" i="3"/>
  <c r="A1113" i="3"/>
  <c r="D1113" i="3"/>
  <c r="E1113" i="3"/>
  <c r="G1113" i="3"/>
  <c r="H1113" i="3"/>
  <c r="A1114" i="3"/>
  <c r="D1114" i="3"/>
  <c r="E1114" i="3"/>
  <c r="G1114" i="3"/>
  <c r="H1114" i="3"/>
  <c r="A1115" i="3"/>
  <c r="D1115" i="3"/>
  <c r="E1115" i="3"/>
  <c r="G1115" i="3"/>
  <c r="H1115" i="3"/>
  <c r="A1116" i="3"/>
  <c r="D1116" i="3"/>
  <c r="E1116" i="3"/>
  <c r="G1116" i="3"/>
  <c r="H1116" i="3"/>
  <c r="A1117" i="3"/>
  <c r="D1117" i="3"/>
  <c r="E1117" i="3"/>
  <c r="G1117" i="3"/>
  <c r="H1117" i="3"/>
  <c r="A1118" i="3"/>
  <c r="D1118" i="3"/>
  <c r="E1118" i="3"/>
  <c r="G1118" i="3"/>
  <c r="H1118" i="3"/>
  <c r="A1119" i="3"/>
  <c r="D1119" i="3"/>
  <c r="E1119" i="3"/>
  <c r="G1119" i="3"/>
  <c r="H1119" i="3"/>
  <c r="A1120" i="3"/>
  <c r="D1120" i="3"/>
  <c r="E1120" i="3"/>
  <c r="G1120" i="3"/>
  <c r="H1120" i="3"/>
  <c r="A1121" i="3"/>
  <c r="D1121" i="3"/>
  <c r="E1121" i="3"/>
  <c r="G1121" i="3"/>
  <c r="H1121" i="3"/>
  <c r="A1122" i="3"/>
  <c r="D1122" i="3"/>
  <c r="E1122" i="3"/>
  <c r="G1122" i="3"/>
  <c r="H1122" i="3"/>
  <c r="A1123" i="3"/>
  <c r="D1123" i="3"/>
  <c r="E1123" i="3"/>
  <c r="G1123" i="3"/>
  <c r="H1123" i="3"/>
  <c r="A1124" i="3"/>
  <c r="D1124" i="3"/>
  <c r="E1124" i="3"/>
  <c r="G1124" i="3"/>
  <c r="H1124" i="3"/>
  <c r="A1125" i="3"/>
  <c r="D1125" i="3"/>
  <c r="E1125" i="3"/>
  <c r="G1125" i="3"/>
  <c r="H1125" i="3"/>
  <c r="A1126" i="3"/>
  <c r="D1126" i="3"/>
  <c r="E1126" i="3"/>
  <c r="G1126" i="3"/>
  <c r="H1126" i="3"/>
  <c r="A1127" i="3"/>
  <c r="D1127" i="3"/>
  <c r="E1127" i="3"/>
  <c r="G1127" i="3"/>
  <c r="H1127" i="3"/>
  <c r="A1128" i="3"/>
  <c r="D1128" i="3"/>
  <c r="E1128" i="3"/>
  <c r="G1128" i="3"/>
  <c r="H1128" i="3"/>
  <c r="A1129" i="3"/>
  <c r="D1129" i="3"/>
  <c r="E1129" i="3"/>
  <c r="G1129" i="3"/>
  <c r="H1129" i="3"/>
  <c r="A1130" i="3"/>
  <c r="D1130" i="3"/>
  <c r="E1130" i="3"/>
  <c r="G1130" i="3"/>
  <c r="H1130" i="3"/>
  <c r="A1131" i="3"/>
  <c r="D1131" i="3"/>
  <c r="E1131" i="3"/>
  <c r="G1131" i="3"/>
  <c r="H1131" i="3"/>
  <c r="A1132" i="3"/>
  <c r="D1132" i="3"/>
  <c r="E1132" i="3"/>
  <c r="G1132" i="3"/>
  <c r="H1132" i="3"/>
  <c r="A1133" i="3"/>
  <c r="D1133" i="3"/>
  <c r="E1133" i="3"/>
  <c r="G1133" i="3"/>
  <c r="H1133" i="3"/>
  <c r="A1134" i="3"/>
  <c r="D1134" i="3"/>
  <c r="E1134" i="3"/>
  <c r="G1134" i="3"/>
  <c r="H1134" i="3"/>
  <c r="A1135" i="3"/>
  <c r="D1135" i="3"/>
  <c r="E1135" i="3"/>
  <c r="G1135" i="3"/>
  <c r="H1135" i="3"/>
  <c r="A1136" i="3"/>
  <c r="D1136" i="3"/>
  <c r="E1136" i="3"/>
  <c r="G1136" i="3"/>
  <c r="H1136" i="3"/>
  <c r="A1137" i="3"/>
  <c r="D1137" i="3"/>
  <c r="E1137" i="3"/>
  <c r="G1137" i="3"/>
  <c r="H1137" i="3"/>
  <c r="A1138" i="3"/>
  <c r="D1138" i="3"/>
  <c r="E1138" i="3"/>
  <c r="G1138" i="3"/>
  <c r="H1138" i="3"/>
  <c r="A1139" i="3"/>
  <c r="D1139" i="3"/>
  <c r="E1139" i="3"/>
  <c r="G1139" i="3"/>
  <c r="H1139" i="3"/>
  <c r="A1140" i="3"/>
  <c r="D1140" i="3"/>
  <c r="E1140" i="3"/>
  <c r="G1140" i="3"/>
  <c r="H1140" i="3"/>
  <c r="A1141" i="3"/>
  <c r="D1141" i="3"/>
  <c r="E1141" i="3"/>
  <c r="G1141" i="3"/>
  <c r="H1141" i="3"/>
  <c r="A1142" i="3"/>
  <c r="D1142" i="3"/>
  <c r="E1142" i="3"/>
  <c r="G1142" i="3"/>
  <c r="H1142" i="3"/>
  <c r="A1143" i="3"/>
  <c r="D1143" i="3"/>
  <c r="E1143" i="3"/>
  <c r="G1143" i="3"/>
  <c r="H1143" i="3"/>
  <c r="A1144" i="3"/>
  <c r="D1144" i="3"/>
  <c r="E1144" i="3"/>
  <c r="G1144" i="3"/>
  <c r="H1144" i="3"/>
  <c r="A1145" i="3"/>
  <c r="D1145" i="3"/>
  <c r="E1145" i="3"/>
  <c r="G1145" i="3"/>
  <c r="H1145" i="3"/>
  <c r="A1146" i="3"/>
  <c r="D1146" i="3"/>
  <c r="E1146" i="3"/>
  <c r="G1146" i="3"/>
  <c r="H1146" i="3"/>
  <c r="A1147" i="3"/>
  <c r="D1147" i="3"/>
  <c r="E1147" i="3"/>
  <c r="G1147" i="3"/>
  <c r="H1147" i="3"/>
  <c r="A1148" i="3"/>
  <c r="D1148" i="3"/>
  <c r="E1148" i="3"/>
  <c r="G1148" i="3"/>
  <c r="H1148" i="3"/>
  <c r="A1149" i="3"/>
  <c r="D1149" i="3"/>
  <c r="E1149" i="3"/>
  <c r="G1149" i="3"/>
  <c r="H1149" i="3"/>
  <c r="A1150" i="3"/>
  <c r="D1150" i="3"/>
  <c r="E1150" i="3"/>
  <c r="G1150" i="3"/>
  <c r="H1150" i="3"/>
  <c r="A1151" i="3"/>
  <c r="D1151" i="3"/>
  <c r="E1151" i="3"/>
  <c r="G1151" i="3"/>
  <c r="H1151" i="3"/>
  <c r="A1152" i="3"/>
  <c r="D1152" i="3"/>
  <c r="E1152" i="3"/>
  <c r="G1152" i="3"/>
  <c r="H1152" i="3"/>
  <c r="A1153" i="3"/>
  <c r="D1153" i="3"/>
  <c r="E1153" i="3"/>
  <c r="G1153" i="3"/>
  <c r="H1153" i="3"/>
  <c r="A1154" i="3"/>
  <c r="D1154" i="3"/>
  <c r="E1154" i="3"/>
  <c r="G1154" i="3"/>
  <c r="H1154" i="3"/>
  <c r="A1155" i="3"/>
  <c r="D1155" i="3"/>
  <c r="E1155" i="3"/>
  <c r="G1155" i="3"/>
  <c r="H1155" i="3"/>
  <c r="A1156" i="3"/>
  <c r="D1156" i="3"/>
  <c r="E1156" i="3"/>
  <c r="G1156" i="3"/>
  <c r="H1156" i="3"/>
  <c r="A1157" i="3"/>
  <c r="D1157" i="3"/>
  <c r="E1157" i="3"/>
  <c r="G1157" i="3"/>
  <c r="H1157" i="3"/>
  <c r="A1158" i="3"/>
  <c r="D1158" i="3"/>
  <c r="E1158" i="3"/>
  <c r="G1158" i="3"/>
  <c r="H1158" i="3"/>
  <c r="A1159" i="3"/>
  <c r="D1159" i="3"/>
  <c r="E1159" i="3"/>
  <c r="G1159" i="3"/>
  <c r="H1159" i="3"/>
  <c r="A1160" i="3"/>
  <c r="D1160" i="3"/>
  <c r="E1160" i="3"/>
  <c r="G1160" i="3"/>
  <c r="H1160" i="3"/>
  <c r="A1161" i="3"/>
  <c r="D1161" i="3"/>
  <c r="E1161" i="3"/>
  <c r="G1161" i="3"/>
  <c r="H1161" i="3"/>
  <c r="A1162" i="3"/>
  <c r="D1162" i="3"/>
  <c r="E1162" i="3"/>
  <c r="G1162" i="3"/>
  <c r="H1162" i="3"/>
  <c r="A1163" i="3"/>
  <c r="D1163" i="3"/>
  <c r="E1163" i="3"/>
  <c r="G1163" i="3"/>
  <c r="H1163" i="3"/>
  <c r="A1164" i="3"/>
  <c r="D1164" i="3"/>
  <c r="E1164" i="3"/>
  <c r="G1164" i="3"/>
  <c r="H1164" i="3"/>
  <c r="A1165" i="3"/>
  <c r="D1165" i="3"/>
  <c r="E1165" i="3"/>
  <c r="G1165" i="3"/>
  <c r="H1165" i="3"/>
  <c r="A1166" i="3"/>
  <c r="D1166" i="3"/>
  <c r="E1166" i="3"/>
  <c r="G1166" i="3"/>
  <c r="H1166" i="3"/>
  <c r="A1167" i="3"/>
  <c r="D1167" i="3"/>
  <c r="E1167" i="3"/>
  <c r="G1167" i="3"/>
  <c r="H1167" i="3"/>
  <c r="A1168" i="3"/>
  <c r="D1168" i="3"/>
  <c r="E1168" i="3"/>
  <c r="G1168" i="3"/>
  <c r="H1168" i="3"/>
  <c r="A1169" i="3"/>
  <c r="D1169" i="3"/>
  <c r="E1169" i="3"/>
  <c r="G1169" i="3"/>
  <c r="H1169" i="3"/>
  <c r="A1170" i="3"/>
  <c r="D1170" i="3"/>
  <c r="E1170" i="3"/>
  <c r="G1170" i="3"/>
  <c r="H1170" i="3"/>
  <c r="A1171" i="3"/>
  <c r="D1171" i="3"/>
  <c r="E1171" i="3"/>
  <c r="G1171" i="3"/>
  <c r="H1171" i="3"/>
  <c r="A1172" i="3"/>
  <c r="D1172" i="3"/>
  <c r="E1172" i="3"/>
  <c r="G1172" i="3"/>
  <c r="H1172" i="3"/>
  <c r="A1173" i="3"/>
  <c r="D1173" i="3"/>
  <c r="E1173" i="3"/>
  <c r="G1173" i="3"/>
  <c r="H1173" i="3"/>
  <c r="A1174" i="3"/>
  <c r="D1174" i="3"/>
  <c r="E1174" i="3"/>
  <c r="G1174" i="3"/>
  <c r="H1174" i="3"/>
  <c r="A1175" i="3"/>
  <c r="D1175" i="3"/>
  <c r="E1175" i="3"/>
  <c r="G1175" i="3"/>
  <c r="H1175" i="3"/>
  <c r="A1176" i="3"/>
  <c r="D1176" i="3"/>
  <c r="E1176" i="3"/>
  <c r="G1176" i="3"/>
  <c r="H1176" i="3"/>
  <c r="A1177" i="3"/>
  <c r="D1177" i="3"/>
  <c r="E1177" i="3"/>
  <c r="G1177" i="3"/>
  <c r="H1177" i="3"/>
  <c r="A1178" i="3"/>
  <c r="D1178" i="3"/>
  <c r="E1178" i="3"/>
  <c r="G1178" i="3"/>
  <c r="H1178" i="3"/>
  <c r="A1179" i="3"/>
  <c r="D1179" i="3"/>
  <c r="E1179" i="3"/>
  <c r="G1179" i="3"/>
  <c r="H1179" i="3"/>
  <c r="A1180" i="3"/>
  <c r="D1180" i="3"/>
  <c r="E1180" i="3"/>
  <c r="G1180" i="3"/>
  <c r="H1180" i="3"/>
  <c r="A1181" i="3"/>
  <c r="D1181" i="3"/>
  <c r="E1181" i="3"/>
  <c r="G1181" i="3"/>
  <c r="H1181" i="3"/>
  <c r="A1182" i="3"/>
  <c r="D1182" i="3"/>
  <c r="E1182" i="3"/>
  <c r="G1182" i="3"/>
  <c r="H1182" i="3"/>
  <c r="A1183" i="3"/>
  <c r="D1183" i="3"/>
  <c r="E1183" i="3"/>
  <c r="G1183" i="3"/>
  <c r="H1183" i="3"/>
  <c r="A1184" i="3"/>
  <c r="D1184" i="3"/>
  <c r="E1184" i="3"/>
  <c r="G1184" i="3"/>
  <c r="H1184" i="3"/>
  <c r="A1185" i="3"/>
  <c r="D1185" i="3"/>
  <c r="E1185" i="3"/>
  <c r="G1185" i="3"/>
  <c r="H1185" i="3"/>
  <c r="A1186" i="3"/>
  <c r="D1186" i="3"/>
  <c r="E1186" i="3"/>
  <c r="G1186" i="3"/>
  <c r="H1186" i="3"/>
  <c r="A1187" i="3"/>
  <c r="D1187" i="3"/>
  <c r="E1187" i="3"/>
  <c r="G1187" i="3"/>
  <c r="H1187" i="3"/>
  <c r="A1188" i="3"/>
  <c r="D1188" i="3"/>
  <c r="E1188" i="3"/>
  <c r="G1188" i="3"/>
  <c r="H1188" i="3"/>
  <c r="A1189" i="3"/>
  <c r="D1189" i="3"/>
  <c r="E1189" i="3"/>
  <c r="G1189" i="3"/>
  <c r="H1189" i="3"/>
  <c r="A1190" i="3"/>
  <c r="D1190" i="3"/>
  <c r="E1190" i="3"/>
  <c r="G1190" i="3"/>
  <c r="H1190" i="3"/>
  <c r="A1191" i="3"/>
  <c r="D1191" i="3"/>
  <c r="E1191" i="3"/>
  <c r="G1191" i="3"/>
  <c r="H1191" i="3"/>
  <c r="A1192" i="3"/>
  <c r="D1192" i="3"/>
  <c r="E1192" i="3"/>
  <c r="G1192" i="3"/>
  <c r="H1192" i="3"/>
  <c r="A1193" i="3"/>
  <c r="D1193" i="3"/>
  <c r="E1193" i="3"/>
  <c r="G1193" i="3"/>
  <c r="H1193" i="3"/>
  <c r="A1194" i="3"/>
  <c r="D1194" i="3"/>
  <c r="E1194" i="3"/>
  <c r="G1194" i="3"/>
  <c r="H1194" i="3"/>
  <c r="A1195" i="3"/>
  <c r="D1195" i="3"/>
  <c r="E1195" i="3"/>
  <c r="G1195" i="3"/>
  <c r="H1195" i="3"/>
  <c r="A1196" i="3"/>
  <c r="D1196" i="3"/>
  <c r="E1196" i="3"/>
  <c r="G1196" i="3"/>
  <c r="H1196" i="3"/>
  <c r="A1197" i="3"/>
  <c r="D1197" i="3"/>
  <c r="E1197" i="3"/>
  <c r="G1197" i="3"/>
  <c r="H1197" i="3"/>
  <c r="A1198" i="3"/>
  <c r="D1198" i="3"/>
  <c r="E1198" i="3"/>
  <c r="G1198" i="3"/>
  <c r="H1198" i="3"/>
  <c r="A1199" i="3"/>
  <c r="D1199" i="3"/>
  <c r="E1199" i="3"/>
  <c r="G1199" i="3"/>
  <c r="H1199" i="3"/>
  <c r="A1200" i="3"/>
  <c r="D1200" i="3"/>
  <c r="E1200" i="3"/>
  <c r="G1200" i="3"/>
  <c r="H1200" i="3"/>
  <c r="A1201" i="3"/>
  <c r="D1201" i="3"/>
  <c r="E1201" i="3"/>
  <c r="G1201" i="3"/>
  <c r="H1201" i="3"/>
  <c r="A1202" i="3"/>
  <c r="D1202" i="3"/>
  <c r="E1202" i="3"/>
  <c r="G1202" i="3"/>
  <c r="H1202" i="3"/>
  <c r="A1203" i="3"/>
  <c r="D1203" i="3"/>
  <c r="E1203" i="3"/>
  <c r="G1203" i="3"/>
  <c r="H1203" i="3"/>
  <c r="A1204" i="3"/>
  <c r="D1204" i="3"/>
  <c r="E1204" i="3"/>
  <c r="G1204" i="3"/>
  <c r="H1204" i="3"/>
  <c r="A1205" i="3"/>
  <c r="D1205" i="3"/>
  <c r="E1205" i="3"/>
  <c r="G1205" i="3"/>
  <c r="H1205" i="3"/>
  <c r="A1206" i="3"/>
  <c r="D1206" i="3"/>
  <c r="E1206" i="3"/>
  <c r="G1206" i="3"/>
  <c r="H1206" i="3"/>
  <c r="A1207" i="3"/>
  <c r="D1207" i="3"/>
  <c r="E1207" i="3"/>
  <c r="G1207" i="3"/>
  <c r="H1207" i="3"/>
  <c r="A1208" i="3"/>
  <c r="D1208" i="3"/>
  <c r="E1208" i="3"/>
  <c r="G1208" i="3"/>
  <c r="H1208" i="3"/>
  <c r="A1209" i="3"/>
  <c r="D1209" i="3"/>
  <c r="E1209" i="3"/>
  <c r="G1209" i="3"/>
  <c r="H1209" i="3"/>
  <c r="A1210" i="3"/>
  <c r="D1210" i="3"/>
  <c r="E1210" i="3"/>
  <c r="G1210" i="3"/>
  <c r="H1210" i="3"/>
  <c r="A1211" i="3"/>
  <c r="D1211" i="3"/>
  <c r="E1211" i="3"/>
  <c r="G1211" i="3"/>
  <c r="H1211" i="3"/>
  <c r="A1212" i="3"/>
  <c r="D1212" i="3"/>
  <c r="E1212" i="3"/>
  <c r="G1212" i="3"/>
  <c r="H1212" i="3"/>
  <c r="A1213" i="3"/>
  <c r="D1213" i="3"/>
  <c r="E1213" i="3"/>
  <c r="G1213" i="3"/>
  <c r="H1213" i="3"/>
  <c r="A1214" i="3"/>
  <c r="D1214" i="3"/>
  <c r="E1214" i="3"/>
  <c r="G1214" i="3"/>
  <c r="H1214" i="3"/>
  <c r="A1215" i="3"/>
  <c r="D1215" i="3"/>
  <c r="E1215" i="3"/>
  <c r="G1215" i="3"/>
  <c r="H1215" i="3"/>
  <c r="A1216" i="3"/>
  <c r="D1216" i="3"/>
  <c r="E1216" i="3"/>
  <c r="G1216" i="3"/>
  <c r="H1216" i="3"/>
  <c r="A1217" i="3"/>
  <c r="D1217" i="3"/>
  <c r="E1217" i="3"/>
  <c r="G1217" i="3"/>
  <c r="H1217" i="3"/>
  <c r="A1218" i="3"/>
  <c r="D1218" i="3"/>
  <c r="E1218" i="3"/>
  <c r="G1218" i="3"/>
  <c r="H1218" i="3"/>
  <c r="A1219" i="3"/>
  <c r="D1219" i="3"/>
  <c r="E1219" i="3"/>
  <c r="G1219" i="3"/>
  <c r="H1219" i="3"/>
  <c r="A1220" i="3"/>
  <c r="D1220" i="3"/>
  <c r="E1220" i="3"/>
  <c r="G1220" i="3"/>
  <c r="H1220" i="3"/>
  <c r="A1221" i="3"/>
  <c r="D1221" i="3"/>
  <c r="E1221" i="3"/>
  <c r="G1221" i="3"/>
  <c r="H1221" i="3"/>
  <c r="A1222" i="3"/>
  <c r="D1222" i="3"/>
  <c r="E1222" i="3"/>
  <c r="G1222" i="3"/>
  <c r="H1222" i="3"/>
  <c r="A552" i="3"/>
  <c r="D552" i="3"/>
  <c r="E552" i="3"/>
  <c r="G552" i="3"/>
  <c r="H552" i="3"/>
  <c r="A553" i="3"/>
  <c r="D553" i="3"/>
  <c r="E553" i="3"/>
  <c r="G553" i="3"/>
  <c r="H553" i="3"/>
  <c r="A554" i="3"/>
  <c r="D554" i="3"/>
  <c r="E554" i="3"/>
  <c r="G554" i="3"/>
  <c r="H554" i="3"/>
  <c r="A555" i="3"/>
  <c r="D555" i="3"/>
  <c r="E555" i="3"/>
  <c r="G555" i="3"/>
  <c r="H555" i="3"/>
  <c r="A556" i="3"/>
  <c r="D556" i="3"/>
  <c r="E556" i="3"/>
  <c r="G556" i="3"/>
  <c r="H556" i="3"/>
  <c r="A557" i="3"/>
  <c r="D557" i="3"/>
  <c r="E557" i="3"/>
  <c r="G557" i="3"/>
  <c r="H557" i="3"/>
  <c r="A558" i="3"/>
  <c r="D558" i="3"/>
  <c r="E558" i="3"/>
  <c r="G558" i="3"/>
  <c r="H558" i="3"/>
  <c r="A559" i="3"/>
  <c r="D559" i="3"/>
  <c r="E559" i="3"/>
  <c r="G559" i="3"/>
  <c r="H559" i="3"/>
  <c r="A560" i="3"/>
  <c r="D560" i="3"/>
  <c r="E560" i="3"/>
  <c r="G560" i="3"/>
  <c r="H560" i="3"/>
  <c r="A561" i="3"/>
  <c r="D561" i="3"/>
  <c r="E561" i="3"/>
  <c r="G561" i="3"/>
  <c r="H561" i="3"/>
  <c r="A562" i="3"/>
  <c r="D562" i="3"/>
  <c r="E562" i="3"/>
  <c r="G562" i="3"/>
  <c r="H562" i="3"/>
  <c r="A563" i="3"/>
  <c r="D563" i="3"/>
  <c r="E563" i="3"/>
  <c r="G563" i="3"/>
  <c r="H563" i="3"/>
  <c r="A564" i="3"/>
  <c r="D564" i="3"/>
  <c r="E564" i="3"/>
  <c r="G564" i="3"/>
  <c r="H564" i="3"/>
  <c r="A565" i="3"/>
  <c r="D565" i="3"/>
  <c r="E565" i="3"/>
  <c r="G565" i="3"/>
  <c r="H565" i="3"/>
  <c r="A566" i="3"/>
  <c r="D566" i="3"/>
  <c r="E566" i="3"/>
  <c r="G566" i="3"/>
  <c r="H566" i="3"/>
  <c r="A567" i="3"/>
  <c r="D567" i="3"/>
  <c r="E567" i="3"/>
  <c r="G567" i="3"/>
  <c r="H567" i="3"/>
  <c r="A568" i="3"/>
  <c r="D568" i="3"/>
  <c r="E568" i="3"/>
  <c r="G568" i="3"/>
  <c r="H568" i="3"/>
  <c r="A569" i="3"/>
  <c r="D569" i="3"/>
  <c r="E569" i="3"/>
  <c r="G569" i="3"/>
  <c r="H569" i="3"/>
  <c r="A570" i="3"/>
  <c r="D570" i="3"/>
  <c r="E570" i="3"/>
  <c r="G570" i="3"/>
  <c r="H570" i="3"/>
  <c r="A571" i="3"/>
  <c r="D571" i="3"/>
  <c r="E571" i="3"/>
  <c r="G571" i="3"/>
  <c r="H571" i="3"/>
  <c r="A572" i="3"/>
  <c r="D572" i="3"/>
  <c r="E572" i="3"/>
  <c r="G572" i="3"/>
  <c r="H572" i="3"/>
  <c r="A573" i="3"/>
  <c r="D573" i="3"/>
  <c r="E573" i="3"/>
  <c r="G573" i="3"/>
  <c r="H573" i="3"/>
  <c r="A574" i="3"/>
  <c r="D574" i="3"/>
  <c r="E574" i="3"/>
  <c r="G574" i="3"/>
  <c r="H574" i="3"/>
  <c r="A575" i="3"/>
  <c r="D575" i="3"/>
  <c r="E575" i="3"/>
  <c r="G575" i="3"/>
  <c r="H575" i="3"/>
  <c r="A576" i="3"/>
  <c r="D576" i="3"/>
  <c r="E576" i="3"/>
  <c r="G576" i="3"/>
  <c r="H576" i="3"/>
  <c r="A577" i="3"/>
  <c r="D577" i="3"/>
  <c r="E577" i="3"/>
  <c r="G577" i="3"/>
  <c r="H577" i="3"/>
  <c r="A578" i="3"/>
  <c r="D578" i="3"/>
  <c r="E578" i="3"/>
  <c r="G578" i="3"/>
  <c r="H578" i="3"/>
  <c r="A579" i="3"/>
  <c r="D579" i="3"/>
  <c r="E579" i="3"/>
  <c r="G579" i="3"/>
  <c r="H579" i="3"/>
  <c r="A580" i="3"/>
  <c r="D580" i="3"/>
  <c r="E580" i="3"/>
  <c r="G580" i="3"/>
  <c r="H580" i="3"/>
  <c r="A581" i="3"/>
  <c r="D581" i="3"/>
  <c r="E581" i="3"/>
  <c r="G581" i="3"/>
  <c r="H581" i="3"/>
  <c r="A582" i="3"/>
  <c r="D582" i="3"/>
  <c r="E582" i="3"/>
  <c r="G582" i="3"/>
  <c r="H582" i="3"/>
  <c r="A583" i="3"/>
  <c r="D583" i="3"/>
  <c r="E583" i="3"/>
  <c r="G583" i="3"/>
  <c r="H583" i="3"/>
  <c r="A584" i="3"/>
  <c r="D584" i="3"/>
  <c r="E584" i="3"/>
  <c r="G584" i="3"/>
  <c r="H584" i="3"/>
  <c r="A585" i="3"/>
  <c r="D585" i="3"/>
  <c r="E585" i="3"/>
  <c r="G585" i="3"/>
  <c r="H585" i="3"/>
  <c r="A586" i="3"/>
  <c r="D586" i="3"/>
  <c r="E586" i="3"/>
  <c r="G586" i="3"/>
  <c r="H586" i="3"/>
  <c r="A587" i="3"/>
  <c r="D587" i="3"/>
  <c r="E587" i="3"/>
  <c r="G587" i="3"/>
  <c r="H587" i="3"/>
  <c r="A588" i="3"/>
  <c r="D588" i="3"/>
  <c r="E588" i="3"/>
  <c r="G588" i="3"/>
  <c r="H588" i="3"/>
  <c r="A589" i="3"/>
  <c r="D589" i="3"/>
  <c r="E589" i="3"/>
  <c r="G589" i="3"/>
  <c r="H589" i="3"/>
  <c r="A590" i="3"/>
  <c r="D590" i="3"/>
  <c r="E590" i="3"/>
  <c r="G590" i="3"/>
  <c r="H590" i="3"/>
  <c r="A591" i="3"/>
  <c r="D591" i="3"/>
  <c r="E591" i="3"/>
  <c r="G591" i="3"/>
  <c r="H591" i="3"/>
  <c r="A592" i="3"/>
  <c r="D592" i="3"/>
  <c r="E592" i="3"/>
  <c r="G592" i="3"/>
  <c r="H592" i="3"/>
  <c r="A593" i="3"/>
  <c r="D593" i="3"/>
  <c r="E593" i="3"/>
  <c r="G593" i="3"/>
  <c r="H593" i="3"/>
  <c r="A594" i="3"/>
  <c r="D594" i="3"/>
  <c r="E594" i="3"/>
  <c r="G594" i="3"/>
  <c r="H594" i="3"/>
  <c r="A595" i="3"/>
  <c r="D595" i="3"/>
  <c r="E595" i="3"/>
  <c r="G595" i="3"/>
  <c r="H595" i="3"/>
  <c r="A596" i="3"/>
  <c r="D596" i="3"/>
  <c r="E596" i="3"/>
  <c r="G596" i="3"/>
  <c r="H596" i="3"/>
  <c r="A597" i="3"/>
  <c r="D597" i="3"/>
  <c r="E597" i="3"/>
  <c r="G597" i="3"/>
  <c r="H597" i="3"/>
  <c r="A598" i="3"/>
  <c r="D598" i="3"/>
  <c r="E598" i="3"/>
  <c r="G598" i="3"/>
  <c r="H598" i="3"/>
  <c r="A599" i="3"/>
  <c r="D599" i="3"/>
  <c r="E599" i="3"/>
  <c r="G599" i="3"/>
  <c r="H599" i="3"/>
  <c r="A600" i="3"/>
  <c r="D600" i="3"/>
  <c r="E600" i="3"/>
  <c r="G600" i="3"/>
  <c r="H600" i="3"/>
  <c r="A601" i="3"/>
  <c r="D601" i="3"/>
  <c r="E601" i="3"/>
  <c r="G601" i="3"/>
  <c r="H601" i="3"/>
  <c r="A602" i="3"/>
  <c r="D602" i="3"/>
  <c r="E602" i="3"/>
  <c r="G602" i="3"/>
  <c r="H602" i="3"/>
  <c r="A603" i="3"/>
  <c r="D603" i="3"/>
  <c r="E603" i="3"/>
  <c r="G603" i="3"/>
  <c r="H603" i="3"/>
  <c r="A604" i="3"/>
  <c r="D604" i="3"/>
  <c r="E604" i="3"/>
  <c r="G604" i="3"/>
  <c r="H604" i="3"/>
  <c r="A605" i="3"/>
  <c r="D605" i="3"/>
  <c r="E605" i="3"/>
  <c r="G605" i="3"/>
  <c r="H605" i="3"/>
  <c r="A606" i="3"/>
  <c r="D606" i="3"/>
  <c r="E606" i="3"/>
  <c r="G606" i="3"/>
  <c r="H606" i="3"/>
  <c r="A607" i="3"/>
  <c r="D607" i="3"/>
  <c r="E607" i="3"/>
  <c r="G607" i="3"/>
  <c r="H607" i="3"/>
  <c r="A608" i="3"/>
  <c r="D608" i="3"/>
  <c r="E608" i="3"/>
  <c r="G608" i="3"/>
  <c r="H608" i="3"/>
  <c r="A609" i="3"/>
  <c r="D609" i="3"/>
  <c r="E609" i="3"/>
  <c r="G609" i="3"/>
  <c r="H609" i="3"/>
  <c r="A610" i="3"/>
  <c r="D610" i="3"/>
  <c r="E610" i="3"/>
  <c r="G610" i="3"/>
  <c r="H610" i="3"/>
  <c r="A611" i="3"/>
  <c r="D611" i="3"/>
  <c r="E611" i="3"/>
  <c r="G611" i="3"/>
  <c r="H611" i="3"/>
  <c r="A612" i="3"/>
  <c r="D612" i="3"/>
  <c r="E612" i="3"/>
  <c r="G612" i="3"/>
  <c r="H612" i="3"/>
  <c r="A613" i="3"/>
  <c r="D613" i="3"/>
  <c r="E613" i="3"/>
  <c r="G613" i="3"/>
  <c r="H613" i="3"/>
  <c r="A614" i="3"/>
  <c r="D614" i="3"/>
  <c r="E614" i="3"/>
  <c r="G614" i="3"/>
  <c r="H614" i="3"/>
  <c r="A615" i="3"/>
  <c r="D615" i="3"/>
  <c r="E615" i="3"/>
  <c r="G615" i="3"/>
  <c r="H615" i="3"/>
  <c r="A616" i="3"/>
  <c r="D616" i="3"/>
  <c r="E616" i="3"/>
  <c r="G616" i="3"/>
  <c r="H616" i="3"/>
  <c r="A617" i="3"/>
  <c r="D617" i="3"/>
  <c r="E617" i="3"/>
  <c r="G617" i="3"/>
  <c r="H617" i="3"/>
  <c r="A618" i="3"/>
  <c r="D618" i="3"/>
  <c r="E618" i="3"/>
  <c r="G618" i="3"/>
  <c r="H618" i="3"/>
  <c r="A619" i="3"/>
  <c r="D619" i="3"/>
  <c r="E619" i="3"/>
  <c r="G619" i="3"/>
  <c r="H619" i="3"/>
  <c r="A620" i="3"/>
  <c r="D620" i="3"/>
  <c r="E620" i="3"/>
  <c r="G620" i="3"/>
  <c r="H620" i="3"/>
  <c r="A621" i="3"/>
  <c r="D621" i="3"/>
  <c r="E621" i="3"/>
  <c r="G621" i="3"/>
  <c r="H621" i="3"/>
  <c r="A622" i="3"/>
  <c r="D622" i="3"/>
  <c r="E622" i="3"/>
  <c r="G622" i="3"/>
  <c r="H622" i="3"/>
  <c r="A623" i="3"/>
  <c r="D623" i="3"/>
  <c r="E623" i="3"/>
  <c r="G623" i="3"/>
  <c r="H623" i="3"/>
  <c r="A624" i="3"/>
  <c r="D624" i="3"/>
  <c r="E624" i="3"/>
  <c r="G624" i="3"/>
  <c r="H624" i="3"/>
  <c r="A625" i="3"/>
  <c r="D625" i="3"/>
  <c r="E625" i="3"/>
  <c r="G625" i="3"/>
  <c r="H625" i="3"/>
  <c r="A626" i="3"/>
  <c r="D626" i="3"/>
  <c r="E626" i="3"/>
  <c r="G626" i="3"/>
  <c r="H626" i="3"/>
  <c r="A627" i="3"/>
  <c r="D627" i="3"/>
  <c r="E627" i="3"/>
  <c r="G627" i="3"/>
  <c r="H627" i="3"/>
  <c r="A628" i="3"/>
  <c r="D628" i="3"/>
  <c r="E628" i="3"/>
  <c r="G628" i="3"/>
  <c r="H628" i="3"/>
  <c r="A629" i="3"/>
  <c r="D629" i="3"/>
  <c r="E629" i="3"/>
  <c r="G629" i="3"/>
  <c r="H629" i="3"/>
  <c r="A630" i="3"/>
  <c r="D630" i="3"/>
  <c r="E630" i="3"/>
  <c r="G630" i="3"/>
  <c r="H630" i="3"/>
  <c r="A631" i="3"/>
  <c r="D631" i="3"/>
  <c r="E631" i="3"/>
  <c r="G631" i="3"/>
  <c r="H631" i="3"/>
  <c r="A632" i="3"/>
  <c r="D632" i="3"/>
  <c r="E632" i="3"/>
  <c r="G632" i="3"/>
  <c r="H632" i="3"/>
  <c r="A633" i="3"/>
  <c r="D633" i="3"/>
  <c r="E633" i="3"/>
  <c r="G633" i="3"/>
  <c r="H633" i="3"/>
  <c r="A634" i="3"/>
  <c r="D634" i="3"/>
  <c r="E634" i="3"/>
  <c r="G634" i="3"/>
  <c r="H634" i="3"/>
  <c r="A635" i="3"/>
  <c r="D635" i="3"/>
  <c r="E635" i="3"/>
  <c r="G635" i="3"/>
  <c r="H635" i="3"/>
  <c r="A636" i="3"/>
  <c r="D636" i="3"/>
  <c r="E636" i="3"/>
  <c r="G636" i="3"/>
  <c r="H636" i="3"/>
  <c r="A637" i="3"/>
  <c r="D637" i="3"/>
  <c r="E637" i="3"/>
  <c r="G637" i="3"/>
  <c r="H637" i="3"/>
  <c r="A638" i="3"/>
  <c r="D638" i="3"/>
  <c r="E638" i="3"/>
  <c r="G638" i="3"/>
  <c r="H638" i="3"/>
  <c r="A639" i="3"/>
  <c r="D639" i="3"/>
  <c r="E639" i="3"/>
  <c r="G639" i="3"/>
  <c r="H639" i="3"/>
  <c r="A640" i="3"/>
  <c r="D640" i="3"/>
  <c r="E640" i="3"/>
  <c r="G640" i="3"/>
  <c r="H640" i="3"/>
  <c r="A641" i="3"/>
  <c r="D641" i="3"/>
  <c r="E641" i="3"/>
  <c r="G641" i="3"/>
  <c r="H641" i="3"/>
  <c r="A642" i="3"/>
  <c r="D642" i="3"/>
  <c r="E642" i="3"/>
  <c r="G642" i="3"/>
  <c r="H642" i="3"/>
  <c r="A643" i="3"/>
  <c r="D643" i="3"/>
  <c r="E643" i="3"/>
  <c r="G643" i="3"/>
  <c r="H643" i="3"/>
  <c r="A644" i="3"/>
  <c r="D644" i="3"/>
  <c r="E644" i="3"/>
  <c r="G644" i="3"/>
  <c r="H644" i="3"/>
  <c r="A645" i="3"/>
  <c r="D645" i="3"/>
  <c r="E645" i="3"/>
  <c r="G645" i="3"/>
  <c r="H645" i="3"/>
  <c r="A646" i="3"/>
  <c r="D646" i="3"/>
  <c r="E646" i="3"/>
  <c r="G646" i="3"/>
  <c r="H646" i="3"/>
  <c r="A647" i="3"/>
  <c r="D647" i="3"/>
  <c r="E647" i="3"/>
  <c r="G647" i="3"/>
  <c r="H647" i="3"/>
  <c r="A648" i="3"/>
  <c r="D648" i="3"/>
  <c r="E648" i="3"/>
  <c r="G648" i="3"/>
  <c r="H648" i="3"/>
  <c r="A649" i="3"/>
  <c r="D649" i="3"/>
  <c r="E649" i="3"/>
  <c r="G649" i="3"/>
  <c r="H649" i="3"/>
  <c r="A650" i="3"/>
  <c r="D650" i="3"/>
  <c r="E650" i="3"/>
  <c r="G650" i="3"/>
  <c r="H650" i="3"/>
  <c r="A651" i="3"/>
  <c r="D651" i="3"/>
  <c r="E651" i="3"/>
  <c r="G651" i="3"/>
  <c r="H651" i="3"/>
  <c r="A652" i="3"/>
  <c r="D652" i="3"/>
  <c r="E652" i="3"/>
  <c r="G652" i="3"/>
  <c r="H652" i="3"/>
  <c r="A653" i="3"/>
  <c r="D653" i="3"/>
  <c r="E653" i="3"/>
  <c r="G653" i="3"/>
  <c r="H653" i="3"/>
  <c r="A654" i="3"/>
  <c r="D654" i="3"/>
  <c r="E654" i="3"/>
  <c r="G654" i="3"/>
  <c r="H654" i="3"/>
  <c r="A655" i="3"/>
  <c r="D655" i="3"/>
  <c r="E655" i="3"/>
  <c r="G655" i="3"/>
  <c r="H655" i="3"/>
  <c r="A656" i="3"/>
  <c r="D656" i="3"/>
  <c r="E656" i="3"/>
  <c r="G656" i="3"/>
  <c r="H656" i="3"/>
  <c r="A657" i="3"/>
  <c r="D657" i="3"/>
  <c r="E657" i="3"/>
  <c r="G657" i="3"/>
  <c r="H657" i="3"/>
  <c r="A658" i="3"/>
  <c r="D658" i="3"/>
  <c r="E658" i="3"/>
  <c r="G658" i="3"/>
  <c r="H658" i="3"/>
  <c r="A659" i="3"/>
  <c r="D659" i="3"/>
  <c r="E659" i="3"/>
  <c r="G659" i="3"/>
  <c r="H659" i="3"/>
  <c r="A660" i="3"/>
  <c r="D660" i="3"/>
  <c r="E660" i="3"/>
  <c r="G660" i="3"/>
  <c r="H660" i="3"/>
  <c r="A661" i="3"/>
  <c r="D661" i="3"/>
  <c r="E661" i="3"/>
  <c r="G661" i="3"/>
  <c r="H661" i="3"/>
  <c r="A662" i="3"/>
  <c r="D662" i="3"/>
  <c r="E662" i="3"/>
  <c r="G662" i="3"/>
  <c r="H662" i="3"/>
  <c r="A663" i="3"/>
  <c r="D663" i="3"/>
  <c r="E663" i="3"/>
  <c r="G663" i="3"/>
  <c r="H663" i="3"/>
  <c r="A664" i="3"/>
  <c r="D664" i="3"/>
  <c r="E664" i="3"/>
  <c r="G664" i="3"/>
  <c r="H664" i="3"/>
  <c r="A665" i="3"/>
  <c r="D665" i="3"/>
  <c r="E665" i="3"/>
  <c r="G665" i="3"/>
  <c r="H665" i="3"/>
  <c r="A666" i="3"/>
  <c r="D666" i="3"/>
  <c r="E666" i="3"/>
  <c r="G666" i="3"/>
  <c r="H666" i="3"/>
  <c r="A667" i="3"/>
  <c r="D667" i="3"/>
  <c r="E667" i="3"/>
  <c r="G667" i="3"/>
  <c r="H667" i="3"/>
  <c r="A668" i="3"/>
  <c r="D668" i="3"/>
  <c r="E668" i="3"/>
  <c r="G668" i="3"/>
  <c r="H668" i="3"/>
  <c r="A669" i="3"/>
  <c r="D669" i="3"/>
  <c r="E669" i="3"/>
  <c r="G669" i="3"/>
  <c r="H669" i="3"/>
  <c r="A670" i="3"/>
  <c r="D670" i="3"/>
  <c r="E670" i="3"/>
  <c r="G670" i="3"/>
  <c r="H670" i="3"/>
  <c r="A671" i="3"/>
  <c r="D671" i="3"/>
  <c r="E671" i="3"/>
  <c r="G671" i="3"/>
  <c r="H671" i="3"/>
  <c r="A672" i="3"/>
  <c r="D672" i="3"/>
  <c r="E672" i="3"/>
  <c r="G672" i="3"/>
  <c r="H672" i="3"/>
  <c r="A673" i="3"/>
  <c r="D673" i="3"/>
  <c r="E673" i="3"/>
  <c r="G673" i="3"/>
  <c r="H673" i="3"/>
  <c r="A674" i="3"/>
  <c r="D674" i="3"/>
  <c r="E674" i="3"/>
  <c r="G674" i="3"/>
  <c r="H674" i="3"/>
  <c r="A675" i="3"/>
  <c r="D675" i="3"/>
  <c r="E675" i="3"/>
  <c r="G675" i="3"/>
  <c r="H675" i="3"/>
  <c r="A676" i="3"/>
  <c r="D676" i="3"/>
  <c r="E676" i="3"/>
  <c r="G676" i="3"/>
  <c r="H676" i="3"/>
  <c r="A677" i="3"/>
  <c r="D677" i="3"/>
  <c r="E677" i="3"/>
  <c r="G677" i="3"/>
  <c r="H677" i="3"/>
  <c r="A678" i="3"/>
  <c r="D678" i="3"/>
  <c r="E678" i="3"/>
  <c r="G678" i="3"/>
  <c r="H678" i="3"/>
  <c r="A679" i="3"/>
  <c r="D679" i="3"/>
  <c r="E679" i="3"/>
  <c r="G679" i="3"/>
  <c r="H679" i="3"/>
  <c r="A680" i="3"/>
  <c r="D680" i="3"/>
  <c r="E680" i="3"/>
  <c r="G680" i="3"/>
  <c r="H680" i="3"/>
  <c r="A681" i="3"/>
  <c r="D681" i="3"/>
  <c r="E681" i="3"/>
  <c r="G681" i="3"/>
  <c r="H681" i="3"/>
  <c r="A682" i="3"/>
  <c r="D682" i="3"/>
  <c r="E682" i="3"/>
  <c r="G682" i="3"/>
  <c r="H682" i="3"/>
  <c r="A683" i="3"/>
  <c r="D683" i="3"/>
  <c r="E683" i="3"/>
  <c r="G683" i="3"/>
  <c r="H683" i="3"/>
  <c r="A684" i="3"/>
  <c r="D684" i="3"/>
  <c r="E684" i="3"/>
  <c r="G684" i="3"/>
  <c r="H684" i="3"/>
  <c r="A685" i="3"/>
  <c r="D685" i="3"/>
  <c r="E685" i="3"/>
  <c r="G685" i="3"/>
  <c r="H685" i="3"/>
  <c r="A686" i="3"/>
  <c r="D686" i="3"/>
  <c r="E686" i="3"/>
  <c r="G686" i="3"/>
  <c r="H686" i="3"/>
  <c r="A687" i="3"/>
  <c r="D687" i="3"/>
  <c r="E687" i="3"/>
  <c r="G687" i="3"/>
  <c r="H687" i="3"/>
  <c r="A688" i="3"/>
  <c r="D688" i="3"/>
  <c r="E688" i="3"/>
  <c r="G688" i="3"/>
  <c r="H688" i="3"/>
  <c r="A689" i="3"/>
  <c r="D689" i="3"/>
  <c r="E689" i="3"/>
  <c r="G689" i="3"/>
  <c r="H689" i="3"/>
  <c r="A690" i="3"/>
  <c r="D690" i="3"/>
  <c r="E690" i="3"/>
  <c r="G690" i="3"/>
  <c r="H690" i="3"/>
  <c r="A691" i="3"/>
  <c r="D691" i="3"/>
  <c r="E691" i="3"/>
  <c r="G691" i="3"/>
  <c r="H691" i="3"/>
  <c r="A692" i="3"/>
  <c r="D692" i="3"/>
  <c r="E692" i="3"/>
  <c r="G692" i="3"/>
  <c r="H692" i="3"/>
  <c r="A693" i="3"/>
  <c r="D693" i="3"/>
  <c r="E693" i="3"/>
  <c r="G693" i="3"/>
  <c r="H693" i="3"/>
  <c r="A694" i="3"/>
  <c r="D694" i="3"/>
  <c r="E694" i="3"/>
  <c r="G694" i="3"/>
  <c r="H694" i="3"/>
  <c r="A695" i="3"/>
  <c r="D695" i="3"/>
  <c r="E695" i="3"/>
  <c r="G695" i="3"/>
  <c r="H695" i="3"/>
  <c r="A696" i="3"/>
  <c r="D696" i="3"/>
  <c r="E696" i="3"/>
  <c r="G696" i="3"/>
  <c r="H696" i="3"/>
  <c r="A697" i="3"/>
  <c r="D697" i="3"/>
  <c r="E697" i="3"/>
  <c r="G697" i="3"/>
  <c r="H697" i="3"/>
  <c r="A698" i="3"/>
  <c r="D698" i="3"/>
  <c r="E698" i="3"/>
  <c r="G698" i="3"/>
  <c r="H698" i="3"/>
  <c r="A699" i="3"/>
  <c r="D699" i="3"/>
  <c r="E699" i="3"/>
  <c r="G699" i="3"/>
  <c r="H699" i="3"/>
  <c r="A700" i="3"/>
  <c r="D700" i="3"/>
  <c r="E700" i="3"/>
  <c r="G700" i="3"/>
  <c r="H700" i="3"/>
  <c r="A701" i="3"/>
  <c r="D701" i="3"/>
  <c r="E701" i="3"/>
  <c r="G701" i="3"/>
  <c r="H701" i="3"/>
  <c r="A702" i="3"/>
  <c r="D702" i="3"/>
  <c r="E702" i="3"/>
  <c r="G702" i="3"/>
  <c r="H702" i="3"/>
  <c r="A703" i="3"/>
  <c r="D703" i="3"/>
  <c r="E703" i="3"/>
  <c r="G703" i="3"/>
  <c r="H703" i="3"/>
  <c r="A704" i="3"/>
  <c r="D704" i="3"/>
  <c r="E704" i="3"/>
  <c r="G704" i="3"/>
  <c r="H704" i="3"/>
  <c r="A705" i="3"/>
  <c r="D705" i="3"/>
  <c r="E705" i="3"/>
  <c r="G705" i="3"/>
  <c r="H705" i="3"/>
  <c r="A706" i="3"/>
  <c r="D706" i="3"/>
  <c r="E706" i="3"/>
  <c r="G706" i="3"/>
  <c r="H706" i="3"/>
  <c r="A707" i="3"/>
  <c r="D707" i="3"/>
  <c r="E707" i="3"/>
  <c r="G707" i="3"/>
  <c r="H707" i="3"/>
  <c r="A708" i="3"/>
  <c r="D708" i="3"/>
  <c r="E708" i="3"/>
  <c r="G708" i="3"/>
  <c r="H708" i="3"/>
  <c r="A709" i="3"/>
  <c r="D709" i="3"/>
  <c r="E709" i="3"/>
  <c r="G709" i="3"/>
  <c r="H709" i="3"/>
  <c r="A710" i="3"/>
  <c r="D710" i="3"/>
  <c r="E710" i="3"/>
  <c r="G710" i="3"/>
  <c r="H710" i="3"/>
  <c r="A711" i="3"/>
  <c r="D711" i="3"/>
  <c r="E711" i="3"/>
  <c r="G711" i="3"/>
  <c r="H711" i="3"/>
  <c r="A712" i="3"/>
  <c r="D712" i="3"/>
  <c r="E712" i="3"/>
  <c r="G712" i="3"/>
  <c r="H712" i="3"/>
  <c r="A713" i="3"/>
  <c r="D713" i="3"/>
  <c r="E713" i="3"/>
  <c r="G713" i="3"/>
  <c r="H713" i="3"/>
  <c r="A714" i="3"/>
  <c r="D714" i="3"/>
  <c r="E714" i="3"/>
  <c r="G714" i="3"/>
  <c r="H714" i="3"/>
  <c r="A715" i="3"/>
  <c r="D715" i="3"/>
  <c r="E715" i="3"/>
  <c r="G715" i="3"/>
  <c r="H715" i="3"/>
  <c r="A716" i="3"/>
  <c r="D716" i="3"/>
  <c r="E716" i="3"/>
  <c r="G716" i="3"/>
  <c r="H716" i="3"/>
  <c r="A717" i="3"/>
  <c r="D717" i="3"/>
  <c r="E717" i="3"/>
  <c r="G717" i="3"/>
  <c r="H717" i="3"/>
  <c r="A718" i="3"/>
  <c r="D718" i="3"/>
  <c r="E718" i="3"/>
  <c r="G718" i="3"/>
  <c r="H718" i="3"/>
  <c r="A719" i="3"/>
  <c r="D719" i="3"/>
  <c r="E719" i="3"/>
  <c r="G719" i="3"/>
  <c r="H719" i="3"/>
  <c r="A720" i="3"/>
  <c r="D720" i="3"/>
  <c r="E720" i="3"/>
  <c r="G720" i="3"/>
  <c r="H720" i="3"/>
  <c r="A721" i="3"/>
  <c r="D721" i="3"/>
  <c r="E721" i="3"/>
  <c r="G721" i="3"/>
  <c r="H721" i="3"/>
  <c r="A722" i="3"/>
  <c r="D722" i="3"/>
  <c r="E722" i="3"/>
  <c r="G722" i="3"/>
  <c r="H722" i="3"/>
  <c r="A723" i="3"/>
  <c r="D723" i="3"/>
  <c r="E723" i="3"/>
  <c r="G723" i="3"/>
  <c r="H723" i="3"/>
  <c r="A724" i="3"/>
  <c r="D724" i="3"/>
  <c r="E724" i="3"/>
  <c r="G724" i="3"/>
  <c r="H724" i="3"/>
  <c r="A725" i="3"/>
  <c r="D725" i="3"/>
  <c r="E725" i="3"/>
  <c r="G725" i="3"/>
  <c r="H725" i="3"/>
  <c r="A726" i="3"/>
  <c r="D726" i="3"/>
  <c r="E726" i="3"/>
  <c r="G726" i="3"/>
  <c r="H726" i="3"/>
  <c r="A727" i="3"/>
  <c r="D727" i="3"/>
  <c r="E727" i="3"/>
  <c r="G727" i="3"/>
  <c r="H727" i="3"/>
  <c r="A728" i="3"/>
  <c r="D728" i="3"/>
  <c r="E728" i="3"/>
  <c r="G728" i="3"/>
  <c r="H728" i="3"/>
  <c r="A729" i="3"/>
  <c r="D729" i="3"/>
  <c r="E729" i="3"/>
  <c r="G729" i="3"/>
  <c r="H729" i="3"/>
  <c r="A730" i="3"/>
  <c r="D730" i="3"/>
  <c r="E730" i="3"/>
  <c r="G730" i="3"/>
  <c r="H730" i="3"/>
  <c r="A731" i="3"/>
  <c r="D731" i="3"/>
  <c r="E731" i="3"/>
  <c r="G731" i="3"/>
  <c r="H731" i="3"/>
  <c r="A732" i="3"/>
  <c r="D732" i="3"/>
  <c r="E732" i="3"/>
  <c r="G732" i="3"/>
  <c r="H732" i="3"/>
  <c r="A733" i="3"/>
  <c r="D733" i="3"/>
  <c r="E733" i="3"/>
  <c r="G733" i="3"/>
  <c r="H733" i="3"/>
  <c r="A734" i="3"/>
  <c r="D734" i="3"/>
  <c r="E734" i="3"/>
  <c r="G734" i="3"/>
  <c r="H734" i="3"/>
  <c r="A735" i="3"/>
  <c r="D735" i="3"/>
  <c r="E735" i="3"/>
  <c r="G735" i="3"/>
  <c r="H735" i="3"/>
  <c r="A736" i="3"/>
  <c r="D736" i="3"/>
  <c r="E736" i="3"/>
  <c r="G736" i="3"/>
  <c r="H736" i="3"/>
  <c r="A737" i="3"/>
  <c r="D737" i="3"/>
  <c r="E737" i="3"/>
  <c r="G737" i="3"/>
  <c r="H737" i="3"/>
  <c r="A738" i="3"/>
  <c r="D738" i="3"/>
  <c r="E738" i="3"/>
  <c r="G738" i="3"/>
  <c r="H738" i="3"/>
  <c r="A739" i="3"/>
  <c r="D739" i="3"/>
  <c r="E739" i="3"/>
  <c r="G739" i="3"/>
  <c r="H739" i="3"/>
  <c r="A740" i="3"/>
  <c r="D740" i="3"/>
  <c r="E740" i="3"/>
  <c r="G740" i="3"/>
  <c r="H740" i="3"/>
  <c r="A741" i="3"/>
  <c r="D741" i="3"/>
  <c r="E741" i="3"/>
  <c r="G741" i="3"/>
  <c r="H741" i="3"/>
  <c r="A742" i="3"/>
  <c r="D742" i="3"/>
  <c r="E742" i="3"/>
  <c r="G742" i="3"/>
  <c r="H742" i="3"/>
  <c r="A743" i="3"/>
  <c r="D743" i="3"/>
  <c r="E743" i="3"/>
  <c r="G743" i="3"/>
  <c r="H743" i="3"/>
  <c r="A744" i="3"/>
  <c r="D744" i="3"/>
  <c r="E744" i="3"/>
  <c r="G744" i="3"/>
  <c r="H744" i="3"/>
  <c r="A745" i="3"/>
  <c r="D745" i="3"/>
  <c r="E745" i="3"/>
  <c r="G745" i="3"/>
  <c r="H745" i="3"/>
  <c r="A746" i="3"/>
  <c r="D746" i="3"/>
  <c r="E746" i="3"/>
  <c r="G746" i="3"/>
  <c r="H746" i="3"/>
  <c r="A747" i="3"/>
  <c r="D747" i="3"/>
  <c r="E747" i="3"/>
  <c r="G747" i="3"/>
  <c r="H747" i="3"/>
  <c r="A748" i="3"/>
  <c r="D748" i="3"/>
  <c r="E748" i="3"/>
  <c r="G748" i="3"/>
  <c r="H748" i="3"/>
  <c r="A749" i="3"/>
  <c r="D749" i="3"/>
  <c r="E749" i="3"/>
  <c r="G749" i="3"/>
  <c r="H749" i="3"/>
  <c r="A750" i="3"/>
  <c r="D750" i="3"/>
  <c r="E750" i="3"/>
  <c r="G750" i="3"/>
  <c r="H750" i="3"/>
  <c r="A751" i="3"/>
  <c r="D751" i="3"/>
  <c r="E751" i="3"/>
  <c r="G751" i="3"/>
  <c r="H751" i="3"/>
  <c r="A752" i="3"/>
  <c r="D752" i="3"/>
  <c r="E752" i="3"/>
  <c r="G752" i="3"/>
  <c r="H752" i="3"/>
  <c r="A753" i="3"/>
  <c r="D753" i="3"/>
  <c r="E753" i="3"/>
  <c r="G753" i="3"/>
  <c r="H753" i="3"/>
  <c r="A754" i="3"/>
  <c r="D754" i="3"/>
  <c r="E754" i="3"/>
  <c r="G754" i="3"/>
  <c r="H754" i="3"/>
  <c r="A755" i="3"/>
  <c r="D755" i="3"/>
  <c r="E755" i="3"/>
  <c r="G755" i="3"/>
  <c r="H755" i="3"/>
  <c r="A756" i="3"/>
  <c r="D756" i="3"/>
  <c r="E756" i="3"/>
  <c r="G756" i="3"/>
  <c r="H756" i="3"/>
  <c r="A757" i="3"/>
  <c r="D757" i="3"/>
  <c r="E757" i="3"/>
  <c r="G757" i="3"/>
  <c r="H757" i="3"/>
  <c r="A758" i="3"/>
  <c r="D758" i="3"/>
  <c r="E758" i="3"/>
  <c r="G758" i="3"/>
  <c r="H758" i="3"/>
  <c r="A759" i="3"/>
  <c r="D759" i="3"/>
  <c r="E759" i="3"/>
  <c r="G759" i="3"/>
  <c r="H759" i="3"/>
  <c r="A760" i="3"/>
  <c r="D760" i="3"/>
  <c r="E760" i="3"/>
  <c r="G760" i="3"/>
  <c r="H760" i="3"/>
  <c r="A761" i="3"/>
  <c r="D761" i="3"/>
  <c r="E761" i="3"/>
  <c r="G761" i="3"/>
  <c r="H761" i="3"/>
  <c r="A762" i="3"/>
  <c r="D762" i="3"/>
  <c r="E762" i="3"/>
  <c r="G762" i="3"/>
  <c r="H762" i="3"/>
  <c r="A763" i="3"/>
  <c r="D763" i="3"/>
  <c r="E763" i="3"/>
  <c r="G763" i="3"/>
  <c r="H763" i="3"/>
  <c r="A764" i="3"/>
  <c r="D764" i="3"/>
  <c r="E764" i="3"/>
  <c r="G764" i="3"/>
  <c r="H764" i="3"/>
  <c r="A765" i="3"/>
  <c r="D765" i="3"/>
  <c r="E765" i="3"/>
  <c r="G765" i="3"/>
  <c r="H765" i="3"/>
  <c r="A766" i="3"/>
  <c r="D766" i="3"/>
  <c r="E766" i="3"/>
  <c r="G766" i="3"/>
  <c r="H766" i="3"/>
  <c r="A767" i="3"/>
  <c r="D767" i="3"/>
  <c r="E767" i="3"/>
  <c r="G767" i="3"/>
  <c r="H767" i="3"/>
  <c r="A768" i="3"/>
  <c r="D768" i="3"/>
  <c r="E768" i="3"/>
  <c r="G768" i="3"/>
  <c r="H768" i="3"/>
  <c r="A769" i="3"/>
  <c r="D769" i="3"/>
  <c r="E769" i="3"/>
  <c r="G769" i="3"/>
  <c r="H769" i="3"/>
  <c r="A770" i="3"/>
  <c r="D770" i="3"/>
  <c r="E770" i="3"/>
  <c r="G770" i="3"/>
  <c r="H770" i="3"/>
  <c r="A771" i="3"/>
  <c r="D771" i="3"/>
  <c r="E771" i="3"/>
  <c r="G771" i="3"/>
  <c r="H771" i="3"/>
  <c r="A772" i="3"/>
  <c r="D772" i="3"/>
  <c r="E772" i="3"/>
  <c r="G772" i="3"/>
  <c r="H772" i="3"/>
  <c r="A773" i="3"/>
  <c r="D773" i="3"/>
  <c r="E773" i="3"/>
  <c r="G773" i="3"/>
  <c r="H773" i="3"/>
  <c r="A774" i="3"/>
  <c r="D774" i="3"/>
  <c r="E774" i="3"/>
  <c r="G774" i="3"/>
  <c r="H774" i="3"/>
  <c r="A775" i="3"/>
  <c r="D775" i="3"/>
  <c r="E775" i="3"/>
  <c r="G775" i="3"/>
  <c r="H775" i="3"/>
  <c r="A776" i="3"/>
  <c r="D776" i="3"/>
  <c r="E776" i="3"/>
  <c r="G776" i="3"/>
  <c r="H776" i="3"/>
  <c r="A777" i="3"/>
  <c r="D777" i="3"/>
  <c r="E777" i="3"/>
  <c r="G777" i="3"/>
  <c r="H777" i="3"/>
  <c r="A778" i="3"/>
  <c r="D778" i="3"/>
  <c r="E778" i="3"/>
  <c r="G778" i="3"/>
  <c r="H778" i="3"/>
  <c r="A779" i="3"/>
  <c r="D779" i="3"/>
  <c r="E779" i="3"/>
  <c r="G779" i="3"/>
  <c r="H779" i="3"/>
  <c r="A780" i="3"/>
  <c r="D780" i="3"/>
  <c r="E780" i="3"/>
  <c r="G780" i="3"/>
  <c r="H780" i="3"/>
  <c r="A781" i="3"/>
  <c r="D781" i="3"/>
  <c r="E781" i="3"/>
  <c r="G781" i="3"/>
  <c r="H781" i="3"/>
  <c r="A782" i="3"/>
  <c r="D782" i="3"/>
  <c r="E782" i="3"/>
  <c r="G782" i="3"/>
  <c r="H782" i="3"/>
  <c r="A783" i="3"/>
  <c r="D783" i="3"/>
  <c r="E783" i="3"/>
  <c r="G783" i="3"/>
  <c r="H783" i="3"/>
  <c r="A784" i="3"/>
  <c r="D784" i="3"/>
  <c r="E784" i="3"/>
  <c r="G784" i="3"/>
  <c r="H784" i="3"/>
  <c r="A785" i="3"/>
  <c r="D785" i="3"/>
  <c r="E785" i="3"/>
  <c r="G785" i="3"/>
  <c r="H785" i="3"/>
  <c r="A786" i="3"/>
  <c r="D786" i="3"/>
  <c r="E786" i="3"/>
  <c r="G786" i="3"/>
  <c r="H786" i="3"/>
  <c r="A787" i="3"/>
  <c r="D787" i="3"/>
  <c r="E787" i="3"/>
  <c r="G787" i="3"/>
  <c r="H787" i="3"/>
  <c r="A788" i="3"/>
  <c r="D788" i="3"/>
  <c r="E788" i="3"/>
  <c r="G788" i="3"/>
  <c r="H788" i="3"/>
  <c r="A789" i="3"/>
  <c r="D789" i="3"/>
  <c r="E789" i="3"/>
  <c r="G789" i="3"/>
  <c r="H789" i="3"/>
  <c r="A790" i="3"/>
  <c r="D790" i="3"/>
  <c r="E790" i="3"/>
  <c r="G790" i="3"/>
  <c r="H790" i="3"/>
  <c r="A791" i="3"/>
  <c r="D791" i="3"/>
  <c r="E791" i="3"/>
  <c r="G791" i="3"/>
  <c r="H791" i="3"/>
  <c r="A792" i="3"/>
  <c r="D792" i="3"/>
  <c r="E792" i="3"/>
  <c r="G792" i="3"/>
  <c r="H792" i="3"/>
  <c r="A793" i="3"/>
  <c r="D793" i="3"/>
  <c r="E793" i="3"/>
  <c r="G793" i="3"/>
  <c r="H793" i="3"/>
  <c r="A794" i="3"/>
  <c r="D794" i="3"/>
  <c r="E794" i="3"/>
  <c r="G794" i="3"/>
  <c r="H794" i="3"/>
  <c r="A795" i="3"/>
  <c r="D795" i="3"/>
  <c r="E795" i="3"/>
  <c r="G795" i="3"/>
  <c r="H795" i="3"/>
  <c r="A796" i="3"/>
  <c r="D796" i="3"/>
  <c r="E796" i="3"/>
  <c r="G796" i="3"/>
  <c r="H796" i="3"/>
  <c r="A797" i="3"/>
  <c r="D797" i="3"/>
  <c r="E797" i="3"/>
  <c r="G797" i="3"/>
  <c r="H797" i="3"/>
  <c r="A798" i="3"/>
  <c r="D798" i="3"/>
  <c r="E798" i="3"/>
  <c r="G798" i="3"/>
  <c r="H798" i="3"/>
  <c r="A799" i="3"/>
  <c r="D799" i="3"/>
  <c r="E799" i="3"/>
  <c r="G799" i="3"/>
  <c r="H799" i="3"/>
  <c r="A800" i="3"/>
  <c r="D800" i="3"/>
  <c r="E800" i="3"/>
  <c r="G800" i="3"/>
  <c r="H800" i="3"/>
  <c r="A801" i="3"/>
  <c r="D801" i="3"/>
  <c r="E801" i="3"/>
  <c r="G801" i="3"/>
  <c r="H801" i="3"/>
  <c r="A802" i="3"/>
  <c r="D802" i="3"/>
  <c r="E802" i="3"/>
  <c r="G802" i="3"/>
  <c r="H802" i="3"/>
  <c r="A803" i="3"/>
  <c r="D803" i="3"/>
  <c r="E803" i="3"/>
  <c r="G803" i="3"/>
  <c r="H803" i="3"/>
  <c r="A804" i="3"/>
  <c r="D804" i="3"/>
  <c r="E804" i="3"/>
  <c r="G804" i="3"/>
  <c r="H804" i="3"/>
  <c r="A805" i="3"/>
  <c r="D805" i="3"/>
  <c r="E805" i="3"/>
  <c r="G805" i="3"/>
  <c r="H805" i="3"/>
  <c r="A806" i="3"/>
  <c r="D806" i="3"/>
  <c r="E806" i="3"/>
  <c r="G806" i="3"/>
  <c r="H806" i="3"/>
  <c r="A807" i="3"/>
  <c r="D807" i="3"/>
  <c r="E807" i="3"/>
  <c r="G807" i="3"/>
  <c r="H807" i="3"/>
  <c r="A808" i="3"/>
  <c r="D808" i="3"/>
  <c r="E808" i="3"/>
  <c r="G808" i="3"/>
  <c r="H808" i="3"/>
  <c r="A809" i="3"/>
  <c r="D809" i="3"/>
  <c r="E809" i="3"/>
  <c r="G809" i="3"/>
  <c r="H809" i="3"/>
  <c r="A810" i="3"/>
  <c r="D810" i="3"/>
  <c r="E810" i="3"/>
  <c r="G810" i="3"/>
  <c r="H810" i="3"/>
  <c r="A811" i="3"/>
  <c r="D811" i="3"/>
  <c r="E811" i="3"/>
  <c r="G811" i="3"/>
  <c r="H811" i="3"/>
  <c r="A812" i="3"/>
  <c r="D812" i="3"/>
  <c r="E812" i="3"/>
  <c r="G812" i="3"/>
  <c r="H812" i="3"/>
  <c r="A813" i="3"/>
  <c r="D813" i="3"/>
  <c r="E813" i="3"/>
  <c r="G813" i="3"/>
  <c r="H813" i="3"/>
  <c r="A814" i="3"/>
  <c r="D814" i="3"/>
  <c r="E814" i="3"/>
  <c r="G814" i="3"/>
  <c r="H814" i="3"/>
  <c r="A815" i="3"/>
  <c r="D815" i="3"/>
  <c r="E815" i="3"/>
  <c r="G815" i="3"/>
  <c r="H815" i="3"/>
  <c r="A816" i="3"/>
  <c r="D816" i="3"/>
  <c r="E816" i="3"/>
  <c r="G816" i="3"/>
  <c r="H816" i="3"/>
  <c r="A817" i="3"/>
  <c r="D817" i="3"/>
  <c r="E817" i="3"/>
  <c r="G817" i="3"/>
  <c r="H817" i="3"/>
  <c r="A818" i="3"/>
  <c r="D818" i="3"/>
  <c r="E818" i="3"/>
  <c r="G818" i="3"/>
  <c r="H818" i="3"/>
  <c r="A819" i="3"/>
  <c r="D819" i="3"/>
  <c r="E819" i="3"/>
  <c r="G819" i="3"/>
  <c r="H819" i="3"/>
  <c r="A820" i="3"/>
  <c r="D820" i="3"/>
  <c r="E820" i="3"/>
  <c r="G820" i="3"/>
  <c r="H820" i="3"/>
  <c r="A821" i="3"/>
  <c r="D821" i="3"/>
  <c r="E821" i="3"/>
  <c r="G821" i="3"/>
  <c r="H821" i="3"/>
  <c r="A822" i="3"/>
  <c r="D822" i="3"/>
  <c r="E822" i="3"/>
  <c r="G822" i="3"/>
  <c r="H822" i="3"/>
  <c r="A823" i="3"/>
  <c r="D823" i="3"/>
  <c r="E823" i="3"/>
  <c r="G823" i="3"/>
  <c r="H823" i="3"/>
  <c r="A824" i="3"/>
  <c r="D824" i="3"/>
  <c r="E824" i="3"/>
  <c r="G824" i="3"/>
  <c r="H824" i="3"/>
  <c r="A825" i="3"/>
  <c r="D825" i="3"/>
  <c r="E825" i="3"/>
  <c r="G825" i="3"/>
  <c r="H825" i="3"/>
  <c r="A826" i="3"/>
  <c r="D826" i="3"/>
  <c r="E826" i="3"/>
  <c r="G826" i="3"/>
  <c r="H826" i="3"/>
  <c r="A827" i="3"/>
  <c r="D827" i="3"/>
  <c r="E827" i="3"/>
  <c r="G827" i="3"/>
  <c r="H827" i="3"/>
  <c r="A828" i="3"/>
  <c r="D828" i="3"/>
  <c r="E828" i="3"/>
  <c r="G828" i="3"/>
  <c r="H828" i="3"/>
  <c r="A829" i="3"/>
  <c r="D829" i="3"/>
  <c r="E829" i="3"/>
  <c r="G829" i="3"/>
  <c r="H829" i="3"/>
  <c r="A830" i="3"/>
  <c r="D830" i="3"/>
  <c r="E830" i="3"/>
  <c r="G830" i="3"/>
  <c r="H830" i="3"/>
  <c r="A831" i="3"/>
  <c r="D831" i="3"/>
  <c r="E831" i="3"/>
  <c r="G831" i="3"/>
  <c r="H831" i="3"/>
  <c r="A832" i="3"/>
  <c r="D832" i="3"/>
  <c r="E832" i="3"/>
  <c r="G832" i="3"/>
  <c r="H832" i="3"/>
  <c r="A833" i="3"/>
  <c r="D833" i="3"/>
  <c r="E833" i="3"/>
  <c r="G833" i="3"/>
  <c r="H833" i="3"/>
  <c r="A834" i="3"/>
  <c r="D834" i="3"/>
  <c r="E834" i="3"/>
  <c r="G834" i="3"/>
  <c r="H834" i="3"/>
  <c r="A835" i="3"/>
  <c r="D835" i="3"/>
  <c r="E835" i="3"/>
  <c r="G835" i="3"/>
  <c r="H835" i="3"/>
  <c r="A836" i="3"/>
  <c r="D836" i="3"/>
  <c r="E836" i="3"/>
  <c r="G836" i="3"/>
  <c r="H836" i="3"/>
  <c r="A837" i="3"/>
  <c r="D837" i="3"/>
  <c r="E837" i="3"/>
  <c r="G837" i="3"/>
  <c r="H837" i="3"/>
  <c r="A838" i="3"/>
  <c r="D838" i="3"/>
  <c r="E838" i="3"/>
  <c r="G838" i="3"/>
  <c r="H838" i="3"/>
  <c r="A839" i="3"/>
  <c r="D839" i="3"/>
  <c r="E839" i="3"/>
  <c r="G839" i="3"/>
  <c r="H839" i="3"/>
  <c r="A840" i="3"/>
  <c r="D840" i="3"/>
  <c r="E840" i="3"/>
  <c r="G840" i="3"/>
  <c r="H840" i="3"/>
  <c r="A841" i="3"/>
  <c r="D841" i="3"/>
  <c r="E841" i="3"/>
  <c r="G841" i="3"/>
  <c r="H841" i="3"/>
  <c r="A842" i="3"/>
  <c r="D842" i="3"/>
  <c r="E842" i="3"/>
  <c r="G842" i="3"/>
  <c r="H842" i="3"/>
  <c r="A843" i="3"/>
  <c r="D843" i="3"/>
  <c r="E843" i="3"/>
  <c r="G843" i="3"/>
  <c r="H843" i="3"/>
  <c r="A844" i="3"/>
  <c r="D844" i="3"/>
  <c r="E844" i="3"/>
  <c r="G844" i="3"/>
  <c r="H844" i="3"/>
  <c r="A845" i="3"/>
  <c r="D845" i="3"/>
  <c r="E845" i="3"/>
  <c r="G845" i="3"/>
  <c r="H845" i="3"/>
  <c r="A846" i="3"/>
  <c r="D846" i="3"/>
  <c r="E846" i="3"/>
  <c r="G846" i="3"/>
  <c r="H846" i="3"/>
  <c r="A847" i="3"/>
  <c r="D847" i="3"/>
  <c r="E847" i="3"/>
  <c r="G847" i="3"/>
  <c r="H847" i="3"/>
  <c r="A848" i="3"/>
  <c r="D848" i="3"/>
  <c r="E848" i="3"/>
  <c r="G848" i="3"/>
  <c r="H848" i="3"/>
  <c r="A849" i="3"/>
  <c r="D849" i="3"/>
  <c r="E849" i="3"/>
  <c r="G849" i="3"/>
  <c r="H849" i="3"/>
  <c r="A850" i="3"/>
  <c r="D850" i="3"/>
  <c r="E850" i="3"/>
  <c r="G850" i="3"/>
  <c r="H850" i="3"/>
  <c r="A851" i="3"/>
  <c r="D851" i="3"/>
  <c r="E851" i="3"/>
  <c r="G851" i="3"/>
  <c r="H851" i="3"/>
  <c r="A852" i="3"/>
  <c r="D852" i="3"/>
  <c r="E852" i="3"/>
  <c r="G852" i="3"/>
  <c r="H852" i="3"/>
  <c r="A853" i="3"/>
  <c r="D853" i="3"/>
  <c r="E853" i="3"/>
  <c r="G853" i="3"/>
  <c r="H853" i="3"/>
  <c r="A854" i="3"/>
  <c r="D854" i="3"/>
  <c r="E854" i="3"/>
  <c r="G854" i="3"/>
  <c r="H854" i="3"/>
  <c r="A855" i="3"/>
  <c r="D855" i="3"/>
  <c r="E855" i="3"/>
  <c r="G855" i="3"/>
  <c r="H855" i="3"/>
  <c r="A856" i="3"/>
  <c r="D856" i="3"/>
  <c r="E856" i="3"/>
  <c r="G856" i="3"/>
  <c r="H856" i="3"/>
  <c r="A857" i="3"/>
  <c r="D857" i="3"/>
  <c r="E857" i="3"/>
  <c r="G857" i="3"/>
  <c r="H857" i="3"/>
  <c r="A858" i="3"/>
  <c r="D858" i="3"/>
  <c r="E858" i="3"/>
  <c r="G858" i="3"/>
  <c r="H858" i="3"/>
  <c r="A859" i="3"/>
  <c r="D859" i="3"/>
  <c r="E859" i="3"/>
  <c r="G859" i="3"/>
  <c r="H859" i="3"/>
  <c r="A860" i="3"/>
  <c r="D860" i="3"/>
  <c r="E860" i="3"/>
  <c r="G860" i="3"/>
  <c r="H860" i="3"/>
  <c r="A861" i="3"/>
  <c r="D861" i="3"/>
  <c r="E861" i="3"/>
  <c r="G861" i="3"/>
  <c r="H861" i="3"/>
  <c r="A862" i="3"/>
  <c r="D862" i="3"/>
  <c r="E862" i="3"/>
  <c r="G862" i="3"/>
  <c r="H862" i="3"/>
  <c r="A863" i="3"/>
  <c r="D863" i="3"/>
  <c r="E863" i="3"/>
  <c r="G863" i="3"/>
  <c r="H863" i="3"/>
  <c r="A864" i="3"/>
  <c r="D864" i="3"/>
  <c r="E864" i="3"/>
  <c r="G864" i="3"/>
  <c r="H864" i="3"/>
  <c r="A865" i="3"/>
  <c r="D865" i="3"/>
  <c r="E865" i="3"/>
  <c r="G865" i="3"/>
  <c r="H865" i="3"/>
  <c r="A866" i="3"/>
  <c r="D866" i="3"/>
  <c r="E866" i="3"/>
  <c r="G866" i="3"/>
  <c r="H866" i="3"/>
  <c r="A867" i="3"/>
  <c r="D867" i="3"/>
  <c r="E867" i="3"/>
  <c r="G867" i="3"/>
  <c r="H867" i="3"/>
  <c r="A868" i="3"/>
  <c r="D868" i="3"/>
  <c r="E868" i="3"/>
  <c r="G868" i="3"/>
  <c r="H868" i="3"/>
  <c r="A869" i="3"/>
  <c r="D869" i="3"/>
  <c r="E869" i="3"/>
  <c r="G869" i="3"/>
  <c r="H869" i="3"/>
  <c r="A870" i="3"/>
  <c r="D870" i="3"/>
  <c r="E870" i="3"/>
  <c r="G870" i="3"/>
  <c r="H870" i="3"/>
  <c r="A871" i="3"/>
  <c r="D871" i="3"/>
  <c r="E871" i="3"/>
  <c r="G871" i="3"/>
  <c r="H871" i="3"/>
  <c r="A872" i="3"/>
  <c r="D872" i="3"/>
  <c r="E872" i="3"/>
  <c r="G872" i="3"/>
  <c r="H872" i="3"/>
  <c r="A873" i="3"/>
  <c r="D873" i="3"/>
  <c r="E873" i="3"/>
  <c r="G873" i="3"/>
  <c r="H873" i="3"/>
  <c r="A874" i="3"/>
  <c r="D874" i="3"/>
  <c r="E874" i="3"/>
  <c r="G874" i="3"/>
  <c r="H874" i="3"/>
  <c r="A875" i="3"/>
  <c r="D875" i="3"/>
  <c r="E875" i="3"/>
  <c r="G875" i="3"/>
  <c r="H875" i="3"/>
  <c r="A876" i="3"/>
  <c r="D876" i="3"/>
  <c r="E876" i="3"/>
  <c r="G876" i="3"/>
  <c r="H876" i="3"/>
  <c r="A877" i="3"/>
  <c r="D877" i="3"/>
  <c r="E877" i="3"/>
  <c r="G877" i="3"/>
  <c r="H877" i="3"/>
  <c r="A878" i="3"/>
  <c r="D878" i="3"/>
  <c r="E878" i="3"/>
  <c r="G878" i="3"/>
  <c r="H878" i="3"/>
  <c r="A879" i="3"/>
  <c r="D879" i="3"/>
  <c r="E879" i="3"/>
  <c r="G879" i="3"/>
  <c r="H879" i="3"/>
  <c r="A880" i="3"/>
  <c r="D880" i="3"/>
  <c r="E880" i="3"/>
  <c r="G880" i="3"/>
  <c r="H880" i="3"/>
  <c r="A881" i="3"/>
  <c r="D881" i="3"/>
  <c r="E881" i="3"/>
  <c r="G881" i="3"/>
  <c r="H881" i="3"/>
  <c r="A882" i="3"/>
  <c r="D882" i="3"/>
  <c r="E882" i="3"/>
  <c r="G882" i="3"/>
  <c r="H882" i="3"/>
  <c r="A883" i="3"/>
  <c r="D883" i="3"/>
  <c r="E883" i="3"/>
  <c r="G883" i="3"/>
  <c r="H883" i="3"/>
  <c r="A884" i="3"/>
  <c r="D884" i="3"/>
  <c r="E884" i="3"/>
  <c r="G884" i="3"/>
  <c r="H884" i="3"/>
  <c r="A885" i="3"/>
  <c r="D885" i="3"/>
  <c r="E885" i="3"/>
  <c r="G885" i="3"/>
  <c r="H885" i="3"/>
  <c r="A886" i="3"/>
  <c r="D886" i="3"/>
  <c r="E886" i="3"/>
  <c r="G886" i="3"/>
  <c r="H886" i="3"/>
  <c r="A887" i="3"/>
  <c r="D887" i="3"/>
  <c r="E887" i="3"/>
  <c r="G887" i="3"/>
  <c r="H887" i="3"/>
  <c r="A888" i="3"/>
  <c r="D888" i="3"/>
  <c r="E888" i="3"/>
  <c r="G888" i="3"/>
  <c r="H888" i="3"/>
  <c r="A889" i="3"/>
  <c r="D889" i="3"/>
  <c r="E889" i="3"/>
  <c r="G889" i="3"/>
  <c r="H889" i="3"/>
  <c r="A890" i="3"/>
  <c r="D890" i="3"/>
  <c r="E890" i="3"/>
  <c r="G890" i="3"/>
  <c r="H890" i="3"/>
  <c r="A891" i="3"/>
  <c r="D891" i="3"/>
  <c r="E891" i="3"/>
  <c r="G891" i="3"/>
  <c r="H891" i="3"/>
  <c r="A892" i="3"/>
  <c r="D892" i="3"/>
  <c r="E892" i="3"/>
  <c r="G892" i="3"/>
  <c r="H892" i="3"/>
  <c r="A893" i="3"/>
  <c r="D893" i="3"/>
  <c r="E893" i="3"/>
  <c r="G893" i="3"/>
  <c r="H893" i="3"/>
  <c r="A894" i="3"/>
  <c r="D894" i="3"/>
  <c r="E894" i="3"/>
  <c r="G894" i="3"/>
  <c r="H894" i="3"/>
  <c r="A895" i="3"/>
  <c r="D895" i="3"/>
  <c r="E895" i="3"/>
  <c r="G895" i="3"/>
  <c r="H895" i="3"/>
  <c r="A896" i="3"/>
  <c r="D896" i="3"/>
  <c r="E896" i="3"/>
  <c r="G896" i="3"/>
  <c r="H896" i="3"/>
  <c r="A897" i="3"/>
  <c r="D897" i="3"/>
  <c r="E897" i="3"/>
  <c r="G897" i="3"/>
  <c r="H897" i="3"/>
  <c r="A898" i="3"/>
  <c r="D898" i="3"/>
  <c r="E898" i="3"/>
  <c r="G898" i="3"/>
  <c r="H898" i="3"/>
  <c r="A899" i="3"/>
  <c r="D899" i="3"/>
  <c r="E899" i="3"/>
  <c r="G899" i="3"/>
  <c r="H899" i="3"/>
  <c r="A900" i="3"/>
  <c r="D900" i="3"/>
  <c r="E900" i="3"/>
  <c r="G900" i="3"/>
  <c r="H900" i="3"/>
  <c r="A901" i="3"/>
  <c r="D901" i="3"/>
  <c r="E901" i="3"/>
  <c r="G901" i="3"/>
  <c r="H901" i="3"/>
  <c r="A902" i="3"/>
  <c r="D902" i="3"/>
  <c r="E902" i="3"/>
  <c r="G902" i="3"/>
  <c r="H902" i="3"/>
  <c r="A903" i="3"/>
  <c r="D903" i="3"/>
  <c r="E903" i="3"/>
  <c r="G903" i="3"/>
  <c r="H903" i="3"/>
  <c r="A904" i="3"/>
  <c r="D904" i="3"/>
  <c r="E904" i="3"/>
  <c r="G904" i="3"/>
  <c r="H904" i="3"/>
  <c r="A905" i="3"/>
  <c r="D905" i="3"/>
  <c r="E905" i="3"/>
  <c r="G905" i="3"/>
  <c r="H905" i="3"/>
  <c r="A906" i="3"/>
  <c r="D906" i="3"/>
  <c r="E906" i="3"/>
  <c r="G906" i="3"/>
  <c r="H906" i="3"/>
  <c r="A907" i="3"/>
  <c r="D907" i="3"/>
  <c r="E907" i="3"/>
  <c r="G907" i="3"/>
  <c r="H907" i="3"/>
  <c r="A908" i="3"/>
  <c r="D908" i="3"/>
  <c r="E908" i="3"/>
  <c r="G908" i="3"/>
  <c r="H908" i="3"/>
  <c r="A909" i="3"/>
  <c r="D909" i="3"/>
  <c r="E909" i="3"/>
  <c r="G909" i="3"/>
  <c r="H909" i="3"/>
  <c r="A910" i="3"/>
  <c r="D910" i="3"/>
  <c r="E910" i="3"/>
  <c r="G910" i="3"/>
  <c r="H910" i="3"/>
  <c r="A911" i="3"/>
  <c r="D911" i="3"/>
  <c r="E911" i="3"/>
  <c r="G911" i="3"/>
  <c r="H911" i="3"/>
  <c r="A912" i="3"/>
  <c r="D912" i="3"/>
  <c r="E912" i="3"/>
  <c r="G912" i="3"/>
  <c r="H912" i="3"/>
  <c r="A913" i="3"/>
  <c r="D913" i="3"/>
  <c r="E913" i="3"/>
  <c r="G913" i="3"/>
  <c r="H913" i="3"/>
  <c r="A914" i="3"/>
  <c r="D914" i="3"/>
  <c r="E914" i="3"/>
  <c r="G914" i="3"/>
  <c r="H914" i="3"/>
  <c r="A915" i="3"/>
  <c r="D915" i="3"/>
  <c r="E915" i="3"/>
  <c r="G915" i="3"/>
  <c r="H915" i="3"/>
  <c r="A916" i="3"/>
  <c r="D916" i="3"/>
  <c r="E916" i="3"/>
  <c r="G916" i="3"/>
  <c r="H916" i="3"/>
  <c r="A917" i="3"/>
  <c r="D917" i="3"/>
  <c r="E917" i="3"/>
  <c r="G917" i="3"/>
  <c r="H917" i="3"/>
  <c r="A918" i="3"/>
  <c r="D918" i="3"/>
  <c r="E918" i="3"/>
  <c r="G918" i="3"/>
  <c r="H918" i="3"/>
  <c r="A919" i="3"/>
  <c r="D919" i="3"/>
  <c r="E919" i="3"/>
  <c r="G919" i="3"/>
  <c r="H919" i="3"/>
  <c r="A920" i="3"/>
  <c r="D920" i="3"/>
  <c r="E920" i="3"/>
  <c r="G920" i="3"/>
  <c r="H920" i="3"/>
  <c r="A921" i="3"/>
  <c r="D921" i="3"/>
  <c r="E921" i="3"/>
  <c r="G921" i="3"/>
  <c r="H921" i="3"/>
  <c r="A922" i="3"/>
  <c r="D922" i="3"/>
  <c r="E922" i="3"/>
  <c r="G922" i="3"/>
  <c r="H922" i="3"/>
  <c r="A923" i="3"/>
  <c r="D923" i="3"/>
  <c r="E923" i="3"/>
  <c r="G923" i="3"/>
  <c r="H923" i="3"/>
  <c r="A924" i="3"/>
  <c r="D924" i="3"/>
  <c r="E924" i="3"/>
  <c r="G924" i="3"/>
  <c r="H924" i="3"/>
  <c r="A925" i="3"/>
  <c r="D925" i="3"/>
  <c r="E925" i="3"/>
  <c r="G925" i="3"/>
  <c r="H925" i="3"/>
  <c r="A926" i="3"/>
  <c r="D926" i="3"/>
  <c r="E926" i="3"/>
  <c r="G926" i="3"/>
  <c r="H926" i="3"/>
  <c r="A927" i="3"/>
  <c r="D927" i="3"/>
  <c r="E927" i="3"/>
  <c r="G927" i="3"/>
  <c r="H927" i="3"/>
  <c r="A928" i="3"/>
  <c r="D928" i="3"/>
  <c r="E928" i="3"/>
  <c r="G928" i="3"/>
  <c r="H928" i="3"/>
  <c r="A929" i="3"/>
  <c r="D929" i="3"/>
  <c r="E929" i="3"/>
  <c r="G929" i="3"/>
  <c r="H929" i="3"/>
  <c r="A930" i="3"/>
  <c r="D930" i="3"/>
  <c r="E930" i="3"/>
  <c r="G930" i="3"/>
  <c r="H930" i="3"/>
  <c r="A931" i="3"/>
  <c r="D931" i="3"/>
  <c r="E931" i="3"/>
  <c r="G931" i="3"/>
  <c r="H931" i="3"/>
  <c r="H551" i="3"/>
  <c r="G551" i="3"/>
  <c r="E551" i="3"/>
  <c r="D551" i="3"/>
  <c r="A551" i="3"/>
  <c r="H550" i="3"/>
  <c r="G550" i="3"/>
  <c r="E550" i="3"/>
  <c r="D550" i="3"/>
  <c r="A550" i="3"/>
  <c r="H549" i="3"/>
  <c r="G549" i="3"/>
  <c r="E549" i="3"/>
  <c r="D549" i="3"/>
  <c r="A549" i="3"/>
  <c r="H548" i="3"/>
  <c r="G548" i="3"/>
  <c r="E548" i="3"/>
  <c r="D548" i="3"/>
  <c r="A548" i="3"/>
  <c r="H547" i="3"/>
  <c r="G547" i="3"/>
  <c r="E547" i="3"/>
  <c r="D547" i="3"/>
  <c r="A547" i="3"/>
  <c r="H546" i="3"/>
  <c r="G546" i="3"/>
  <c r="E546" i="3"/>
  <c r="D546" i="3"/>
  <c r="A546" i="3"/>
  <c r="H545" i="3"/>
  <c r="G545" i="3"/>
  <c r="E545" i="3"/>
  <c r="D545" i="3"/>
  <c r="A545" i="3"/>
  <c r="H544" i="3"/>
  <c r="G544" i="3"/>
  <c r="E544" i="3"/>
  <c r="D544" i="3"/>
  <c r="A544" i="3"/>
  <c r="H543" i="3"/>
  <c r="G543" i="3"/>
  <c r="E543" i="3"/>
  <c r="D543" i="3"/>
  <c r="A543" i="3"/>
  <c r="H542" i="3"/>
  <c r="G542" i="3"/>
  <c r="E542" i="3"/>
  <c r="D542" i="3"/>
  <c r="A542" i="3"/>
  <c r="H541" i="3"/>
  <c r="G541" i="3"/>
  <c r="E541" i="3"/>
  <c r="D541" i="3"/>
  <c r="A541" i="3"/>
  <c r="H540" i="3"/>
  <c r="G540" i="3"/>
  <c r="E540" i="3"/>
  <c r="D540" i="3"/>
  <c r="A540" i="3"/>
  <c r="H539" i="3"/>
  <c r="G539" i="3"/>
  <c r="E539" i="3"/>
  <c r="D539" i="3"/>
  <c r="A539" i="3"/>
  <c r="H538" i="3"/>
  <c r="G538" i="3"/>
  <c r="E538" i="3"/>
  <c r="D538" i="3"/>
  <c r="A538" i="3"/>
  <c r="H537" i="3"/>
  <c r="G537" i="3"/>
  <c r="E537" i="3"/>
  <c r="D537" i="3"/>
  <c r="A537" i="3"/>
  <c r="H536" i="3"/>
  <c r="G536" i="3"/>
  <c r="E536" i="3"/>
  <c r="D536" i="3"/>
  <c r="A536" i="3"/>
  <c r="H535" i="3"/>
  <c r="G535" i="3"/>
  <c r="E535" i="3"/>
  <c r="D535" i="3"/>
  <c r="A535" i="3"/>
  <c r="H534" i="3"/>
  <c r="G534" i="3"/>
  <c r="E534" i="3"/>
  <c r="D534" i="3"/>
  <c r="A534" i="3"/>
  <c r="H533" i="3"/>
  <c r="G533" i="3"/>
  <c r="E533" i="3"/>
  <c r="D533" i="3"/>
  <c r="A533" i="3"/>
  <c r="H532" i="3"/>
  <c r="G532" i="3"/>
  <c r="E532" i="3"/>
  <c r="D532" i="3"/>
  <c r="A532" i="3"/>
  <c r="H531" i="3"/>
  <c r="G531" i="3"/>
  <c r="E531" i="3"/>
  <c r="D531" i="3"/>
  <c r="A531" i="3"/>
  <c r="H530" i="3"/>
  <c r="G530" i="3"/>
  <c r="E530" i="3"/>
  <c r="D530" i="3"/>
  <c r="A530" i="3"/>
  <c r="H529" i="3"/>
  <c r="G529" i="3"/>
  <c r="E529" i="3"/>
  <c r="D529" i="3"/>
  <c r="A529" i="3"/>
  <c r="H528" i="3"/>
  <c r="G528" i="3"/>
  <c r="E528" i="3"/>
  <c r="D528" i="3"/>
  <c r="A528" i="3"/>
  <c r="H527" i="3"/>
  <c r="G527" i="3"/>
  <c r="E527" i="3"/>
  <c r="D527" i="3"/>
  <c r="A527" i="3"/>
  <c r="H526" i="3"/>
  <c r="G526" i="3"/>
  <c r="E526" i="3"/>
  <c r="D526" i="3"/>
  <c r="A526" i="3"/>
  <c r="H525" i="3"/>
  <c r="G525" i="3"/>
  <c r="E525" i="3"/>
  <c r="D525" i="3"/>
  <c r="A525" i="3"/>
  <c r="H524" i="3"/>
  <c r="G524" i="3"/>
  <c r="E524" i="3"/>
  <c r="D524" i="3"/>
  <c r="A524" i="3"/>
  <c r="H523" i="3"/>
  <c r="G523" i="3"/>
  <c r="E523" i="3"/>
  <c r="D523" i="3"/>
  <c r="A523" i="3"/>
  <c r="H522" i="3"/>
  <c r="G522" i="3"/>
  <c r="E522" i="3"/>
  <c r="D522" i="3"/>
  <c r="A522" i="3"/>
  <c r="H521" i="3"/>
  <c r="G521" i="3"/>
  <c r="E521" i="3"/>
  <c r="D521" i="3"/>
  <c r="A521" i="3"/>
  <c r="H520" i="3"/>
  <c r="G520" i="3"/>
  <c r="E520" i="3"/>
  <c r="D520" i="3"/>
  <c r="A520" i="3"/>
  <c r="H519" i="3"/>
  <c r="G519" i="3"/>
  <c r="E519" i="3"/>
  <c r="D519" i="3"/>
  <c r="A519" i="3"/>
  <c r="H518" i="3"/>
  <c r="G518" i="3"/>
  <c r="E518" i="3"/>
  <c r="D518" i="3"/>
  <c r="A518" i="3"/>
  <c r="H517" i="3"/>
  <c r="G517" i="3"/>
  <c r="E517" i="3"/>
  <c r="D517" i="3"/>
  <c r="A517" i="3"/>
  <c r="H516" i="3"/>
  <c r="G516" i="3"/>
  <c r="E516" i="3"/>
  <c r="D516" i="3"/>
  <c r="A516" i="3"/>
  <c r="H515" i="3"/>
  <c r="G515" i="3"/>
  <c r="E515" i="3"/>
  <c r="D515" i="3"/>
  <c r="A515" i="3"/>
  <c r="H514" i="3"/>
  <c r="G514" i="3"/>
  <c r="E514" i="3"/>
  <c r="D514" i="3"/>
  <c r="A514" i="3"/>
  <c r="H513" i="3"/>
  <c r="G513" i="3"/>
  <c r="E513" i="3"/>
  <c r="D513" i="3"/>
  <c r="A513" i="3"/>
  <c r="H512" i="3"/>
  <c r="G512" i="3"/>
  <c r="E512" i="3"/>
  <c r="D512" i="3"/>
  <c r="A512" i="3"/>
  <c r="H511" i="3"/>
  <c r="G511" i="3"/>
  <c r="E511" i="3"/>
  <c r="D511" i="3"/>
  <c r="A511" i="3"/>
  <c r="H510" i="3"/>
  <c r="G510" i="3"/>
  <c r="E510" i="3"/>
  <c r="D510" i="3"/>
  <c r="A510" i="3"/>
  <c r="H509" i="3"/>
  <c r="G509" i="3"/>
  <c r="E509" i="3"/>
  <c r="D509" i="3"/>
  <c r="A509" i="3"/>
  <c r="H508" i="3"/>
  <c r="G508" i="3"/>
  <c r="E508" i="3"/>
  <c r="D508" i="3"/>
  <c r="A508" i="3"/>
  <c r="H507" i="3"/>
  <c r="G507" i="3"/>
  <c r="E507" i="3"/>
  <c r="D507" i="3"/>
  <c r="A507" i="3"/>
  <c r="H506" i="3"/>
  <c r="G506" i="3"/>
  <c r="E506" i="3"/>
  <c r="D506" i="3"/>
  <c r="A506" i="3"/>
  <c r="H505" i="3"/>
  <c r="G505" i="3"/>
  <c r="E505" i="3"/>
  <c r="D505" i="3"/>
  <c r="A505" i="3"/>
  <c r="H504" i="3"/>
  <c r="G504" i="3"/>
  <c r="E504" i="3"/>
  <c r="D504" i="3"/>
  <c r="A504" i="3"/>
  <c r="H503" i="3"/>
  <c r="G503" i="3"/>
  <c r="E503" i="3"/>
  <c r="D503" i="3"/>
  <c r="A503" i="3"/>
  <c r="H502" i="3"/>
  <c r="G502" i="3"/>
  <c r="E502" i="3"/>
  <c r="D502" i="3"/>
  <c r="A502" i="3"/>
  <c r="H501" i="3"/>
  <c r="G501" i="3"/>
  <c r="E501" i="3"/>
  <c r="D501" i="3"/>
  <c r="A501" i="3"/>
  <c r="H500" i="3"/>
  <c r="G500" i="3"/>
  <c r="E500" i="3"/>
  <c r="D500" i="3"/>
  <c r="A500" i="3"/>
  <c r="H499" i="3"/>
  <c r="G499" i="3"/>
  <c r="E499" i="3"/>
  <c r="D499" i="3"/>
  <c r="A499" i="3"/>
  <c r="H498" i="3"/>
  <c r="G498" i="3"/>
  <c r="E498" i="3"/>
  <c r="D498" i="3"/>
  <c r="A498" i="3"/>
  <c r="H497" i="3"/>
  <c r="G497" i="3"/>
  <c r="E497" i="3"/>
  <c r="D497" i="3"/>
  <c r="A497" i="3"/>
  <c r="H496" i="3"/>
  <c r="G496" i="3"/>
  <c r="E496" i="3"/>
  <c r="D496" i="3"/>
  <c r="A496" i="3"/>
  <c r="H495" i="3"/>
  <c r="G495" i="3"/>
  <c r="E495" i="3"/>
  <c r="D495" i="3"/>
  <c r="A495" i="3"/>
  <c r="H494" i="3"/>
  <c r="G494" i="3"/>
  <c r="E494" i="3"/>
  <c r="D494" i="3"/>
  <c r="A494" i="3"/>
  <c r="H493" i="3"/>
  <c r="G493" i="3"/>
  <c r="E493" i="3"/>
  <c r="D493" i="3"/>
  <c r="A493" i="3"/>
  <c r="H492" i="3"/>
  <c r="G492" i="3"/>
  <c r="E492" i="3"/>
  <c r="D492" i="3"/>
  <c r="A492" i="3"/>
  <c r="H491" i="3"/>
  <c r="G491" i="3"/>
  <c r="E491" i="3"/>
  <c r="D491" i="3"/>
  <c r="A491" i="3"/>
  <c r="H490" i="3"/>
  <c r="G490" i="3"/>
  <c r="E490" i="3"/>
  <c r="D490" i="3"/>
  <c r="A490" i="3"/>
  <c r="H489" i="3"/>
  <c r="G489" i="3"/>
  <c r="E489" i="3"/>
  <c r="D489" i="3"/>
  <c r="A489" i="3"/>
  <c r="H488" i="3"/>
  <c r="G488" i="3"/>
  <c r="E488" i="3"/>
  <c r="D488" i="3"/>
  <c r="A488" i="3"/>
  <c r="H487" i="3"/>
  <c r="G487" i="3"/>
  <c r="E487" i="3"/>
  <c r="D487" i="3"/>
  <c r="A487" i="3"/>
  <c r="H486" i="3"/>
  <c r="G486" i="3"/>
  <c r="E486" i="3"/>
  <c r="D486" i="3"/>
  <c r="A486" i="3"/>
  <c r="H485" i="3"/>
  <c r="G485" i="3"/>
  <c r="E485" i="3"/>
  <c r="D485" i="3"/>
  <c r="A485" i="3"/>
  <c r="H484" i="3"/>
  <c r="G484" i="3"/>
  <c r="E484" i="3"/>
  <c r="D484" i="3"/>
  <c r="A484" i="3"/>
  <c r="H483" i="3"/>
  <c r="G483" i="3"/>
  <c r="E483" i="3"/>
  <c r="D483" i="3"/>
  <c r="A483" i="3"/>
  <c r="H482" i="3"/>
  <c r="G482" i="3"/>
  <c r="E482" i="3"/>
  <c r="D482" i="3"/>
  <c r="A482" i="3"/>
  <c r="H481" i="3"/>
  <c r="G481" i="3"/>
  <c r="E481" i="3"/>
  <c r="D481" i="3"/>
  <c r="A481" i="3"/>
  <c r="H480" i="3"/>
  <c r="G480" i="3"/>
  <c r="E480" i="3"/>
  <c r="D480" i="3"/>
  <c r="A480" i="3"/>
  <c r="H479" i="3"/>
  <c r="G479" i="3"/>
  <c r="E479" i="3"/>
  <c r="D479" i="3"/>
  <c r="A479" i="3"/>
  <c r="H478" i="3"/>
  <c r="G478" i="3"/>
  <c r="E478" i="3"/>
  <c r="D478" i="3"/>
  <c r="A478" i="3"/>
  <c r="H477" i="3"/>
  <c r="G477" i="3"/>
  <c r="E477" i="3"/>
  <c r="D477" i="3"/>
  <c r="A477" i="3"/>
  <c r="H476" i="3"/>
  <c r="G476" i="3"/>
  <c r="E476" i="3"/>
  <c r="D476" i="3"/>
  <c r="A476" i="3"/>
  <c r="H475" i="3"/>
  <c r="G475" i="3"/>
  <c r="E475" i="3"/>
  <c r="D475" i="3"/>
  <c r="A475" i="3"/>
  <c r="H474" i="3"/>
  <c r="G474" i="3"/>
  <c r="E474" i="3"/>
  <c r="D474" i="3"/>
  <c r="A474" i="3"/>
  <c r="H473" i="3"/>
  <c r="G473" i="3"/>
  <c r="E473" i="3"/>
  <c r="D473" i="3"/>
  <c r="A473" i="3"/>
  <c r="H472" i="3"/>
  <c r="G472" i="3"/>
  <c r="E472" i="3"/>
  <c r="D472" i="3"/>
  <c r="A472" i="3"/>
  <c r="H471" i="3"/>
  <c r="G471" i="3"/>
  <c r="E471" i="3"/>
  <c r="D471" i="3"/>
  <c r="A471" i="3"/>
  <c r="H470" i="3"/>
  <c r="G470" i="3"/>
  <c r="E470" i="3"/>
  <c r="D470" i="3"/>
  <c r="A470" i="3"/>
  <c r="H469" i="3"/>
  <c r="G469" i="3"/>
  <c r="E469" i="3"/>
  <c r="D469" i="3"/>
  <c r="A469" i="3"/>
  <c r="H468" i="3"/>
  <c r="G468" i="3"/>
  <c r="E468" i="3"/>
  <c r="D468" i="3"/>
  <c r="A468" i="3"/>
  <c r="H467" i="3"/>
  <c r="G467" i="3"/>
  <c r="E467" i="3"/>
  <c r="D467" i="3"/>
  <c r="A467" i="3"/>
  <c r="D439" i="3"/>
  <c r="E439" i="3"/>
  <c r="G439" i="3"/>
  <c r="H439" i="3"/>
  <c r="D440" i="3"/>
  <c r="E440" i="3"/>
  <c r="G440" i="3"/>
  <c r="H440" i="3"/>
  <c r="D441" i="3"/>
  <c r="E441" i="3"/>
  <c r="G441" i="3"/>
  <c r="H441" i="3"/>
  <c r="D442" i="3"/>
  <c r="E442" i="3"/>
  <c r="G442" i="3"/>
  <c r="H442" i="3"/>
  <c r="D443" i="3"/>
  <c r="E443" i="3"/>
  <c r="G443" i="3"/>
  <c r="H443" i="3"/>
  <c r="D444" i="3"/>
  <c r="E444" i="3"/>
  <c r="G444" i="3"/>
  <c r="H444" i="3"/>
  <c r="D445" i="3"/>
  <c r="E445" i="3"/>
  <c r="G445" i="3"/>
  <c r="H445" i="3"/>
  <c r="D446" i="3"/>
  <c r="E446" i="3"/>
  <c r="G446" i="3"/>
  <c r="H446" i="3"/>
  <c r="D447" i="3"/>
  <c r="E447" i="3"/>
  <c r="G447" i="3"/>
  <c r="H447" i="3"/>
  <c r="D448" i="3"/>
  <c r="E448" i="3"/>
  <c r="G448" i="3"/>
  <c r="H448" i="3"/>
  <c r="D449" i="3"/>
  <c r="E449" i="3"/>
  <c r="G449" i="3"/>
  <c r="H449" i="3"/>
  <c r="D450" i="3"/>
  <c r="E450" i="3"/>
  <c r="G450" i="3"/>
  <c r="H450" i="3"/>
  <c r="D451" i="3"/>
  <c r="E451" i="3"/>
  <c r="G451" i="3"/>
  <c r="H451" i="3"/>
  <c r="D452" i="3"/>
  <c r="E452" i="3"/>
  <c r="G452" i="3"/>
  <c r="H452" i="3"/>
  <c r="D453" i="3"/>
  <c r="E453" i="3"/>
  <c r="G453" i="3"/>
  <c r="H453" i="3"/>
  <c r="D454" i="3"/>
  <c r="E454" i="3"/>
  <c r="G454" i="3"/>
  <c r="H454" i="3"/>
  <c r="D455" i="3"/>
  <c r="E455" i="3"/>
  <c r="G455" i="3"/>
  <c r="H455" i="3"/>
  <c r="D456" i="3"/>
  <c r="E456" i="3"/>
  <c r="G456" i="3"/>
  <c r="H456" i="3"/>
  <c r="D457" i="3"/>
  <c r="E457" i="3"/>
  <c r="G457" i="3"/>
  <c r="H457" i="3"/>
  <c r="D458" i="3"/>
  <c r="E458" i="3"/>
  <c r="G458" i="3"/>
  <c r="H458" i="3"/>
  <c r="D459" i="3"/>
  <c r="E459" i="3"/>
  <c r="G459" i="3"/>
  <c r="H459" i="3"/>
  <c r="D460" i="3"/>
  <c r="E460" i="3"/>
  <c r="G460" i="3"/>
  <c r="H460" i="3"/>
  <c r="D461" i="3"/>
  <c r="E461" i="3"/>
  <c r="G461" i="3"/>
  <c r="H461" i="3"/>
  <c r="D462" i="3"/>
  <c r="E462" i="3"/>
  <c r="G462" i="3"/>
  <c r="H462" i="3"/>
  <c r="D463" i="3"/>
  <c r="E463" i="3"/>
  <c r="G463" i="3"/>
  <c r="H463" i="3"/>
  <c r="D464" i="3"/>
  <c r="E464" i="3"/>
  <c r="G464" i="3"/>
  <c r="H464" i="3"/>
  <c r="D465" i="3"/>
  <c r="E465" i="3"/>
  <c r="G465" i="3"/>
  <c r="H465" i="3"/>
  <c r="D466" i="3"/>
  <c r="E466" i="3"/>
  <c r="G466" i="3"/>
  <c r="H466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H438" i="3"/>
  <c r="G438" i="3"/>
  <c r="E438" i="3"/>
  <c r="D438" i="3"/>
  <c r="A438" i="3"/>
  <c r="H437" i="3"/>
  <c r="G437" i="3"/>
  <c r="E437" i="3"/>
  <c r="D437" i="3"/>
  <c r="A437" i="3"/>
  <c r="H436" i="3"/>
  <c r="G436" i="3"/>
  <c r="E436" i="3"/>
  <c r="D436" i="3"/>
  <c r="A436" i="3"/>
  <c r="H435" i="3"/>
  <c r="G435" i="3"/>
  <c r="E435" i="3"/>
  <c r="D435" i="3"/>
  <c r="A435" i="3"/>
  <c r="H434" i="3"/>
  <c r="G434" i="3"/>
  <c r="E434" i="3"/>
  <c r="D434" i="3"/>
  <c r="A434" i="3"/>
  <c r="H433" i="3"/>
  <c r="G433" i="3"/>
  <c r="E433" i="3"/>
  <c r="D433" i="3"/>
  <c r="A433" i="3"/>
  <c r="H432" i="3"/>
  <c r="G432" i="3"/>
  <c r="E432" i="3"/>
  <c r="D432" i="3"/>
  <c r="A432" i="3"/>
  <c r="H431" i="3"/>
  <c r="G431" i="3"/>
  <c r="E431" i="3"/>
  <c r="D431" i="3"/>
  <c r="A431" i="3"/>
  <c r="H430" i="3"/>
  <c r="G430" i="3"/>
  <c r="E430" i="3"/>
  <c r="D430" i="3"/>
  <c r="A430" i="3"/>
  <c r="H429" i="3"/>
  <c r="G429" i="3"/>
  <c r="E429" i="3"/>
  <c r="D429" i="3"/>
  <c r="A429" i="3"/>
  <c r="H428" i="3"/>
  <c r="G428" i="3"/>
  <c r="E428" i="3"/>
  <c r="D428" i="3"/>
  <c r="A428" i="3"/>
  <c r="H427" i="3"/>
  <c r="G427" i="3"/>
  <c r="E427" i="3"/>
  <c r="D427" i="3"/>
  <c r="A427" i="3"/>
  <c r="H426" i="3"/>
  <c r="G426" i="3"/>
  <c r="E426" i="3"/>
  <c r="D426" i="3"/>
  <c r="A426" i="3"/>
  <c r="H425" i="3"/>
  <c r="G425" i="3"/>
  <c r="E425" i="3"/>
  <c r="D425" i="3"/>
  <c r="A425" i="3"/>
  <c r="H424" i="3"/>
  <c r="G424" i="3"/>
  <c r="E424" i="3"/>
  <c r="D424" i="3"/>
  <c r="A424" i="3"/>
  <c r="H423" i="3"/>
  <c r="G423" i="3"/>
  <c r="E423" i="3"/>
  <c r="D423" i="3"/>
  <c r="A423" i="3"/>
  <c r="H422" i="3"/>
  <c r="G422" i="3"/>
  <c r="E422" i="3"/>
  <c r="D422" i="3"/>
  <c r="A422" i="3"/>
  <c r="H421" i="3"/>
  <c r="G421" i="3"/>
  <c r="E421" i="3"/>
  <c r="D421" i="3"/>
  <c r="A421" i="3"/>
  <c r="H420" i="3"/>
  <c r="G420" i="3"/>
  <c r="E420" i="3"/>
  <c r="D420" i="3"/>
  <c r="A420" i="3"/>
  <c r="H419" i="3"/>
  <c r="G419" i="3"/>
  <c r="E419" i="3"/>
  <c r="D419" i="3"/>
  <c r="A419" i="3"/>
  <c r="H418" i="3"/>
  <c r="G418" i="3"/>
  <c r="E418" i="3"/>
  <c r="D418" i="3"/>
  <c r="A418" i="3"/>
  <c r="H417" i="3"/>
  <c r="G417" i="3"/>
  <c r="E417" i="3"/>
  <c r="D417" i="3"/>
  <c r="A417" i="3"/>
  <c r="H416" i="3"/>
  <c r="G416" i="3"/>
  <c r="E416" i="3"/>
  <c r="D416" i="3"/>
  <c r="A416" i="3"/>
  <c r="H415" i="3"/>
  <c r="G415" i="3"/>
  <c r="E415" i="3"/>
  <c r="D415" i="3"/>
  <c r="A415" i="3"/>
  <c r="H414" i="3"/>
  <c r="G414" i="3"/>
  <c r="E414" i="3"/>
  <c r="D414" i="3"/>
  <c r="A414" i="3"/>
  <c r="H413" i="3"/>
  <c r="G413" i="3"/>
  <c r="E413" i="3"/>
  <c r="D413" i="3"/>
  <c r="A413" i="3"/>
  <c r="H412" i="3"/>
  <c r="G412" i="3"/>
  <c r="E412" i="3"/>
  <c r="D412" i="3"/>
  <c r="A412" i="3"/>
  <c r="H411" i="3"/>
  <c r="G411" i="3"/>
  <c r="E411" i="3"/>
  <c r="D411" i="3"/>
  <c r="A411" i="3"/>
  <c r="H410" i="3"/>
  <c r="G410" i="3"/>
  <c r="E410" i="3"/>
  <c r="D410" i="3"/>
  <c r="A410" i="3"/>
  <c r="H409" i="3"/>
  <c r="G409" i="3"/>
  <c r="E409" i="3"/>
  <c r="D409" i="3"/>
  <c r="A409" i="3"/>
  <c r="H408" i="3"/>
  <c r="G408" i="3"/>
  <c r="E408" i="3"/>
  <c r="D408" i="3"/>
  <c r="A408" i="3"/>
  <c r="H407" i="3"/>
  <c r="G407" i="3"/>
  <c r="E407" i="3"/>
  <c r="D407" i="3"/>
  <c r="A407" i="3"/>
  <c r="H406" i="3"/>
  <c r="G406" i="3"/>
  <c r="E406" i="3"/>
  <c r="D406" i="3"/>
  <c r="A406" i="3"/>
  <c r="H405" i="3"/>
  <c r="G405" i="3"/>
  <c r="E405" i="3"/>
  <c r="D405" i="3"/>
  <c r="A405" i="3"/>
  <c r="H404" i="3"/>
  <c r="G404" i="3"/>
  <c r="E404" i="3"/>
  <c r="D404" i="3"/>
  <c r="A404" i="3"/>
  <c r="H403" i="3"/>
  <c r="G403" i="3"/>
  <c r="E403" i="3"/>
  <c r="D403" i="3"/>
  <c r="A403" i="3"/>
  <c r="H402" i="3"/>
  <c r="G402" i="3"/>
  <c r="E402" i="3"/>
  <c r="D402" i="3"/>
  <c r="A402" i="3"/>
  <c r="H401" i="3"/>
  <c r="G401" i="3"/>
  <c r="E401" i="3"/>
  <c r="D401" i="3"/>
  <c r="A401" i="3"/>
  <c r="H400" i="3"/>
  <c r="G400" i="3"/>
  <c r="E400" i="3"/>
  <c r="D400" i="3"/>
  <c r="A400" i="3"/>
  <c r="H399" i="3"/>
  <c r="G399" i="3"/>
  <c r="E399" i="3"/>
  <c r="D399" i="3"/>
  <c r="A399" i="3"/>
  <c r="H398" i="3"/>
  <c r="G398" i="3"/>
  <c r="E398" i="3"/>
  <c r="D398" i="3"/>
  <c r="A398" i="3"/>
  <c r="H397" i="3"/>
  <c r="G397" i="3"/>
  <c r="E397" i="3"/>
  <c r="D397" i="3"/>
  <c r="A397" i="3"/>
  <c r="H396" i="3"/>
  <c r="G396" i="3"/>
  <c r="E396" i="3"/>
  <c r="D396" i="3"/>
  <c r="A396" i="3"/>
  <c r="H395" i="3"/>
  <c r="G395" i="3"/>
  <c r="E395" i="3"/>
  <c r="D395" i="3"/>
  <c r="A395" i="3"/>
  <c r="H394" i="3"/>
  <c r="G394" i="3"/>
  <c r="E394" i="3"/>
  <c r="D394" i="3"/>
  <c r="A394" i="3"/>
  <c r="H393" i="3"/>
  <c r="G393" i="3"/>
  <c r="E393" i="3"/>
  <c r="D393" i="3"/>
  <c r="A393" i="3"/>
  <c r="H392" i="3"/>
  <c r="G392" i="3"/>
  <c r="E392" i="3"/>
  <c r="D392" i="3"/>
  <c r="A392" i="3"/>
  <c r="H391" i="3"/>
  <c r="G391" i="3"/>
  <c r="E391" i="3"/>
  <c r="D391" i="3"/>
  <c r="A391" i="3"/>
  <c r="H390" i="3"/>
  <c r="G390" i="3"/>
  <c r="E390" i="3"/>
  <c r="D390" i="3"/>
  <c r="A390" i="3"/>
  <c r="H389" i="3"/>
  <c r="G389" i="3"/>
  <c r="E389" i="3"/>
  <c r="D389" i="3"/>
  <c r="A389" i="3"/>
  <c r="H388" i="3"/>
  <c r="G388" i="3"/>
  <c r="E388" i="3"/>
  <c r="D388" i="3"/>
  <c r="A388" i="3"/>
  <c r="H387" i="3"/>
  <c r="G387" i="3"/>
  <c r="E387" i="3"/>
  <c r="D387" i="3"/>
  <c r="A387" i="3"/>
  <c r="H386" i="3"/>
  <c r="G386" i="3"/>
  <c r="E386" i="3"/>
  <c r="D386" i="3"/>
  <c r="A386" i="3"/>
  <c r="H385" i="3"/>
  <c r="G385" i="3"/>
  <c r="E385" i="3"/>
  <c r="D385" i="3"/>
  <c r="A385" i="3"/>
  <c r="H384" i="3"/>
  <c r="G384" i="3"/>
  <c r="E384" i="3"/>
  <c r="D384" i="3"/>
  <c r="A384" i="3"/>
  <c r="H383" i="3"/>
  <c r="G383" i="3"/>
  <c r="E383" i="3"/>
  <c r="D383" i="3"/>
  <c r="A383" i="3"/>
  <c r="H382" i="3"/>
  <c r="G382" i="3"/>
  <c r="E382" i="3"/>
  <c r="D382" i="3"/>
  <c r="A382" i="3"/>
  <c r="H381" i="3"/>
  <c r="G381" i="3"/>
  <c r="E381" i="3"/>
  <c r="D381" i="3"/>
  <c r="A381" i="3"/>
  <c r="H380" i="3"/>
  <c r="G380" i="3"/>
  <c r="E380" i="3"/>
  <c r="D380" i="3"/>
  <c r="A380" i="3"/>
  <c r="H379" i="3"/>
  <c r="G379" i="3"/>
  <c r="E379" i="3"/>
  <c r="D379" i="3"/>
  <c r="A379" i="3"/>
  <c r="H378" i="3"/>
  <c r="G378" i="3"/>
  <c r="E378" i="3"/>
  <c r="D378" i="3"/>
  <c r="A378" i="3"/>
  <c r="H377" i="3"/>
  <c r="G377" i="3"/>
  <c r="E377" i="3"/>
  <c r="D377" i="3"/>
  <c r="A377" i="3"/>
  <c r="H376" i="3"/>
  <c r="G376" i="3"/>
  <c r="E376" i="3"/>
  <c r="D376" i="3"/>
  <c r="A376" i="3"/>
  <c r="H375" i="3"/>
  <c r="G375" i="3"/>
  <c r="E375" i="3"/>
  <c r="D375" i="3"/>
  <c r="A375" i="3"/>
  <c r="H374" i="3"/>
  <c r="G374" i="3"/>
  <c r="E374" i="3"/>
  <c r="D374" i="3"/>
  <c r="A374" i="3"/>
  <c r="H373" i="3"/>
  <c r="G373" i="3"/>
  <c r="E373" i="3"/>
  <c r="D373" i="3"/>
  <c r="A373" i="3"/>
  <c r="H372" i="3"/>
  <c r="G372" i="3"/>
  <c r="E372" i="3"/>
  <c r="D372" i="3"/>
  <c r="A372" i="3"/>
  <c r="H371" i="3"/>
  <c r="G371" i="3"/>
  <c r="E371" i="3"/>
  <c r="D371" i="3"/>
  <c r="A371" i="3"/>
  <c r="H370" i="3"/>
  <c r="G370" i="3"/>
  <c r="E370" i="3"/>
  <c r="D370" i="3"/>
  <c r="A370" i="3"/>
  <c r="H369" i="3"/>
  <c r="G369" i="3"/>
  <c r="E369" i="3"/>
  <c r="D369" i="3"/>
  <c r="A369" i="3"/>
  <c r="H368" i="3"/>
  <c r="G368" i="3"/>
  <c r="E368" i="3"/>
  <c r="D368" i="3"/>
  <c r="A368" i="3"/>
  <c r="H367" i="3"/>
  <c r="G367" i="3"/>
  <c r="E367" i="3"/>
  <c r="D367" i="3"/>
  <c r="A367" i="3"/>
  <c r="H366" i="3"/>
  <c r="G366" i="3"/>
  <c r="E366" i="3"/>
  <c r="D366" i="3"/>
  <c r="A366" i="3"/>
  <c r="H365" i="3"/>
  <c r="G365" i="3"/>
  <c r="E365" i="3"/>
  <c r="D365" i="3"/>
  <c r="A365" i="3"/>
  <c r="H364" i="3"/>
  <c r="G364" i="3"/>
  <c r="E364" i="3"/>
  <c r="D364" i="3"/>
  <c r="A364" i="3"/>
  <c r="H363" i="3"/>
  <c r="G363" i="3"/>
  <c r="E363" i="3"/>
  <c r="D363" i="3"/>
  <c r="A363" i="3"/>
  <c r="H362" i="3"/>
  <c r="G362" i="3"/>
  <c r="E362" i="3"/>
  <c r="D362" i="3"/>
  <c r="A362" i="3"/>
  <c r="H361" i="3"/>
  <c r="G361" i="3"/>
  <c r="E361" i="3"/>
  <c r="D361" i="3"/>
  <c r="A361" i="3"/>
  <c r="H360" i="3"/>
  <c r="G360" i="3"/>
  <c r="E360" i="3"/>
  <c r="D360" i="3"/>
  <c r="A360" i="3"/>
  <c r="H359" i="3"/>
  <c r="G359" i="3"/>
  <c r="E359" i="3"/>
  <c r="D359" i="3"/>
  <c r="A359" i="3"/>
  <c r="H358" i="3"/>
  <c r="G358" i="3"/>
  <c r="E358" i="3"/>
  <c r="D358" i="3"/>
  <c r="A358" i="3"/>
  <c r="H357" i="3"/>
  <c r="G357" i="3"/>
  <c r="E357" i="3"/>
  <c r="D357" i="3"/>
  <c r="A357" i="3"/>
  <c r="H356" i="3"/>
  <c r="G356" i="3"/>
  <c r="E356" i="3"/>
  <c r="D356" i="3"/>
  <c r="A356" i="3"/>
  <c r="H355" i="3"/>
  <c r="G355" i="3"/>
  <c r="E355" i="3"/>
  <c r="D355" i="3"/>
  <c r="A355" i="3"/>
  <c r="H354" i="3"/>
  <c r="G354" i="3"/>
  <c r="E354" i="3"/>
  <c r="D354" i="3"/>
  <c r="A354" i="3"/>
  <c r="H353" i="3"/>
  <c r="G353" i="3"/>
  <c r="E353" i="3"/>
  <c r="D353" i="3"/>
  <c r="A353" i="3"/>
  <c r="H352" i="3"/>
  <c r="G352" i="3"/>
  <c r="E352" i="3"/>
  <c r="D352" i="3"/>
  <c r="A352" i="3"/>
  <c r="H351" i="3"/>
  <c r="G351" i="3"/>
  <c r="E351" i="3"/>
  <c r="D351" i="3"/>
  <c r="A351" i="3"/>
  <c r="A322" i="3"/>
  <c r="D322" i="3"/>
  <c r="E322" i="3"/>
  <c r="G322" i="3"/>
  <c r="H322" i="3"/>
  <c r="A323" i="3"/>
  <c r="D323" i="3"/>
  <c r="E323" i="3"/>
  <c r="G323" i="3"/>
  <c r="H323" i="3"/>
  <c r="A324" i="3"/>
  <c r="D324" i="3"/>
  <c r="E324" i="3"/>
  <c r="G324" i="3"/>
  <c r="H324" i="3"/>
  <c r="A325" i="3"/>
  <c r="D325" i="3"/>
  <c r="E325" i="3"/>
  <c r="G325" i="3"/>
  <c r="H325" i="3"/>
  <c r="A326" i="3"/>
  <c r="D326" i="3"/>
  <c r="E326" i="3"/>
  <c r="G326" i="3"/>
  <c r="H326" i="3"/>
  <c r="A346" i="3"/>
  <c r="D346" i="3"/>
  <c r="E346" i="3"/>
  <c r="G346" i="3"/>
  <c r="H346" i="3"/>
  <c r="A347" i="3"/>
  <c r="D347" i="3"/>
  <c r="E347" i="3"/>
  <c r="G347" i="3"/>
  <c r="H347" i="3"/>
  <c r="A348" i="3"/>
  <c r="D348" i="3"/>
  <c r="E348" i="3"/>
  <c r="G348" i="3"/>
  <c r="H348" i="3"/>
  <c r="A349" i="3"/>
  <c r="D349" i="3"/>
  <c r="E349" i="3"/>
  <c r="G349" i="3"/>
  <c r="H349" i="3"/>
  <c r="A350" i="3"/>
  <c r="D350" i="3"/>
  <c r="E350" i="3"/>
  <c r="G350" i="3"/>
  <c r="H350" i="3"/>
  <c r="H345" i="3"/>
  <c r="G345" i="3"/>
  <c r="E345" i="3"/>
  <c r="D345" i="3"/>
  <c r="A345" i="3"/>
  <c r="H344" i="3"/>
  <c r="G344" i="3"/>
  <c r="E344" i="3"/>
  <c r="D344" i="3"/>
  <c r="A344" i="3"/>
  <c r="H343" i="3"/>
  <c r="G343" i="3"/>
  <c r="E343" i="3"/>
  <c r="D343" i="3"/>
  <c r="A343" i="3"/>
  <c r="H342" i="3"/>
  <c r="G342" i="3"/>
  <c r="E342" i="3"/>
  <c r="D342" i="3"/>
  <c r="A342" i="3"/>
  <c r="H341" i="3"/>
  <c r="G341" i="3"/>
  <c r="E341" i="3"/>
  <c r="D341" i="3"/>
  <c r="A341" i="3"/>
  <c r="H340" i="3"/>
  <c r="G340" i="3"/>
  <c r="E340" i="3"/>
  <c r="D340" i="3"/>
  <c r="A340" i="3"/>
  <c r="H339" i="3"/>
  <c r="G339" i="3"/>
  <c r="E339" i="3"/>
  <c r="D339" i="3"/>
  <c r="A339" i="3"/>
  <c r="H338" i="3"/>
  <c r="G338" i="3"/>
  <c r="E338" i="3"/>
  <c r="D338" i="3"/>
  <c r="A338" i="3"/>
  <c r="H337" i="3"/>
  <c r="G337" i="3"/>
  <c r="E337" i="3"/>
  <c r="D337" i="3"/>
  <c r="A337" i="3"/>
  <c r="H336" i="3"/>
  <c r="G336" i="3"/>
  <c r="E336" i="3"/>
  <c r="D336" i="3"/>
  <c r="A336" i="3"/>
  <c r="H335" i="3"/>
  <c r="G335" i="3"/>
  <c r="E335" i="3"/>
  <c r="D335" i="3"/>
  <c r="A335" i="3"/>
  <c r="H334" i="3"/>
  <c r="G334" i="3"/>
  <c r="E334" i="3"/>
  <c r="D334" i="3"/>
  <c r="A334" i="3"/>
  <c r="H333" i="3"/>
  <c r="G333" i="3"/>
  <c r="E333" i="3"/>
  <c r="D333" i="3"/>
  <c r="A333" i="3"/>
  <c r="H332" i="3"/>
  <c r="G332" i="3"/>
  <c r="E332" i="3"/>
  <c r="D332" i="3"/>
  <c r="A332" i="3"/>
  <c r="H331" i="3"/>
  <c r="G331" i="3"/>
  <c r="E331" i="3"/>
  <c r="D331" i="3"/>
  <c r="A331" i="3"/>
  <c r="H330" i="3"/>
  <c r="G330" i="3"/>
  <c r="E330" i="3"/>
  <c r="D330" i="3"/>
  <c r="A330" i="3"/>
  <c r="H329" i="3"/>
  <c r="G329" i="3"/>
  <c r="E329" i="3"/>
  <c r="D329" i="3"/>
  <c r="A329" i="3"/>
  <c r="H328" i="3"/>
  <c r="G328" i="3"/>
  <c r="E328" i="3"/>
  <c r="D328" i="3"/>
  <c r="A328" i="3"/>
  <c r="H327" i="3"/>
  <c r="G327" i="3"/>
  <c r="E327" i="3"/>
  <c r="D327" i="3"/>
  <c r="A327" i="3"/>
  <c r="A321" i="3"/>
  <c r="D321" i="3"/>
  <c r="E321" i="3"/>
  <c r="G321" i="3"/>
  <c r="H321" i="3"/>
  <c r="H320" i="3"/>
  <c r="G320" i="3"/>
  <c r="E320" i="3"/>
  <c r="D320" i="3"/>
  <c r="A320" i="3"/>
  <c r="H319" i="3"/>
  <c r="G319" i="3"/>
  <c r="E319" i="3"/>
  <c r="D319" i="3"/>
  <c r="A319" i="3"/>
  <c r="H318" i="3"/>
  <c r="G318" i="3"/>
  <c r="E318" i="3"/>
  <c r="D318" i="3"/>
  <c r="A318" i="3"/>
  <c r="H317" i="3"/>
  <c r="G317" i="3"/>
  <c r="E317" i="3"/>
  <c r="D317" i="3"/>
  <c r="A317" i="3"/>
  <c r="H316" i="3"/>
  <c r="G316" i="3"/>
  <c r="E316" i="3"/>
  <c r="D316" i="3"/>
  <c r="A316" i="3"/>
  <c r="H315" i="3"/>
  <c r="G315" i="3"/>
  <c r="E315" i="3"/>
  <c r="D315" i="3"/>
  <c r="A315" i="3"/>
  <c r="H314" i="3"/>
  <c r="G314" i="3"/>
  <c r="E314" i="3"/>
  <c r="D314" i="3"/>
  <c r="A314" i="3"/>
  <c r="H313" i="3"/>
  <c r="G313" i="3"/>
  <c r="E313" i="3"/>
  <c r="D313" i="3"/>
  <c r="A313" i="3"/>
  <c r="H312" i="3"/>
  <c r="G312" i="3"/>
  <c r="E312" i="3"/>
  <c r="D312" i="3"/>
  <c r="A312" i="3"/>
  <c r="H311" i="3"/>
  <c r="G311" i="3"/>
  <c r="E311" i="3"/>
  <c r="D311" i="3"/>
  <c r="A311" i="3"/>
  <c r="H310" i="3"/>
  <c r="G310" i="3"/>
  <c r="E310" i="3"/>
  <c r="D310" i="3"/>
  <c r="A310" i="3"/>
  <c r="H309" i="3"/>
  <c r="G309" i="3"/>
  <c r="E309" i="3"/>
  <c r="D309" i="3"/>
  <c r="A309" i="3"/>
  <c r="H308" i="3"/>
  <c r="G308" i="3"/>
  <c r="E308" i="3"/>
  <c r="D308" i="3"/>
  <c r="A308" i="3"/>
  <c r="H307" i="3"/>
  <c r="G307" i="3"/>
  <c r="E307" i="3"/>
  <c r="D307" i="3"/>
  <c r="A307" i="3"/>
  <c r="H306" i="3"/>
  <c r="G306" i="3"/>
  <c r="E306" i="3"/>
  <c r="D306" i="3"/>
  <c r="A306" i="3"/>
  <c r="H305" i="3"/>
  <c r="G305" i="3"/>
  <c r="E305" i="3"/>
  <c r="D305" i="3"/>
  <c r="A305" i="3"/>
  <c r="H304" i="3"/>
  <c r="G304" i="3"/>
  <c r="E304" i="3"/>
  <c r="D304" i="3"/>
  <c r="A304" i="3"/>
  <c r="H303" i="3"/>
  <c r="G303" i="3"/>
  <c r="E303" i="3"/>
  <c r="D303" i="3"/>
  <c r="A303" i="3"/>
  <c r="H302" i="3"/>
  <c r="G302" i="3"/>
  <c r="E302" i="3"/>
  <c r="D302" i="3"/>
  <c r="A302" i="3"/>
  <c r="H301" i="3"/>
  <c r="G301" i="3"/>
  <c r="E301" i="3"/>
  <c r="D301" i="3"/>
  <c r="A301" i="3"/>
  <c r="H300" i="3"/>
  <c r="G300" i="3"/>
  <c r="E300" i="3"/>
  <c r="D300" i="3"/>
  <c r="A300" i="3"/>
  <c r="H299" i="3"/>
  <c r="G299" i="3"/>
  <c r="E299" i="3"/>
  <c r="D299" i="3"/>
  <c r="A299" i="3"/>
  <c r="A298" i="3"/>
  <c r="D298" i="3"/>
  <c r="E298" i="3"/>
  <c r="G298" i="3"/>
  <c r="H298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H297" i="3"/>
  <c r="G297" i="3"/>
  <c r="A297" i="3"/>
  <c r="H296" i="3"/>
  <c r="G296" i="3"/>
  <c r="A296" i="3"/>
  <c r="H295" i="3"/>
  <c r="G295" i="3"/>
  <c r="A295" i="3"/>
  <c r="H294" i="3"/>
  <c r="G294" i="3"/>
  <c r="A294" i="3"/>
  <c r="H293" i="3"/>
  <c r="G293" i="3"/>
  <c r="A293" i="3"/>
  <c r="H292" i="3"/>
  <c r="G292" i="3"/>
  <c r="A292" i="3"/>
  <c r="H291" i="3"/>
  <c r="G291" i="3"/>
  <c r="A291" i="3"/>
  <c r="H290" i="3"/>
  <c r="G290" i="3"/>
  <c r="A290" i="3"/>
  <c r="H289" i="3"/>
  <c r="G289" i="3"/>
  <c r="A289" i="3"/>
  <c r="H288" i="3"/>
  <c r="G288" i="3"/>
  <c r="A288" i="3"/>
  <c r="H287" i="3"/>
  <c r="G287" i="3"/>
  <c r="A287" i="3"/>
  <c r="H286" i="3"/>
  <c r="G286" i="3"/>
  <c r="A286" i="3"/>
  <c r="H285" i="3"/>
  <c r="G285" i="3"/>
  <c r="A285" i="3"/>
  <c r="H284" i="3"/>
  <c r="G284" i="3"/>
  <c r="A284" i="3"/>
  <c r="H283" i="3"/>
  <c r="G283" i="3"/>
  <c r="A283" i="3"/>
  <c r="H282" i="3"/>
  <c r="G282" i="3"/>
  <c r="A282" i="3"/>
  <c r="H281" i="3"/>
  <c r="G281" i="3"/>
  <c r="A281" i="3"/>
  <c r="H280" i="3"/>
  <c r="G280" i="3"/>
  <c r="A280" i="3"/>
  <c r="H279" i="3"/>
  <c r="G279" i="3"/>
  <c r="A279" i="3"/>
  <c r="H278" i="3"/>
  <c r="G278" i="3"/>
  <c r="A278" i="3"/>
  <c r="H277" i="3"/>
  <c r="G277" i="3"/>
  <c r="E277" i="3"/>
  <c r="D277" i="3"/>
  <c r="A277" i="3"/>
  <c r="A276" i="3"/>
  <c r="D276" i="3"/>
  <c r="E276" i="3"/>
  <c r="G276" i="3"/>
  <c r="H276" i="3"/>
  <c r="H275" i="3"/>
  <c r="G275" i="3"/>
  <c r="E275" i="3"/>
  <c r="D275" i="3"/>
  <c r="A275" i="3"/>
  <c r="H274" i="3"/>
  <c r="G274" i="3"/>
  <c r="E274" i="3"/>
  <c r="D274" i="3"/>
  <c r="A274" i="3"/>
  <c r="H273" i="3"/>
  <c r="G273" i="3"/>
  <c r="E273" i="3"/>
  <c r="D273" i="3"/>
  <c r="A273" i="3"/>
  <c r="H272" i="3"/>
  <c r="G272" i="3"/>
  <c r="E272" i="3"/>
  <c r="D272" i="3"/>
  <c r="A272" i="3"/>
  <c r="H271" i="3"/>
  <c r="G271" i="3"/>
  <c r="E271" i="3"/>
  <c r="D271" i="3"/>
  <c r="A271" i="3"/>
  <c r="H270" i="3"/>
  <c r="G270" i="3"/>
  <c r="E270" i="3"/>
  <c r="D270" i="3"/>
  <c r="A270" i="3"/>
  <c r="H269" i="3"/>
  <c r="G269" i="3"/>
  <c r="E269" i="3"/>
  <c r="D269" i="3"/>
  <c r="A269" i="3"/>
  <c r="H268" i="3"/>
  <c r="G268" i="3"/>
  <c r="E268" i="3"/>
  <c r="D268" i="3"/>
  <c r="A268" i="3"/>
  <c r="H267" i="3"/>
  <c r="G267" i="3"/>
  <c r="E267" i="3"/>
  <c r="D267" i="3"/>
  <c r="A267" i="3"/>
  <c r="H266" i="3"/>
  <c r="G266" i="3"/>
  <c r="E266" i="3"/>
  <c r="D266" i="3"/>
  <c r="A266" i="3"/>
  <c r="H265" i="3"/>
  <c r="G265" i="3"/>
  <c r="E265" i="3"/>
  <c r="D265" i="3"/>
  <c r="A265" i="3"/>
  <c r="H264" i="3"/>
  <c r="G264" i="3"/>
  <c r="E264" i="3"/>
  <c r="D264" i="3"/>
  <c r="A264" i="3"/>
  <c r="H263" i="3"/>
  <c r="G263" i="3"/>
  <c r="E263" i="3"/>
  <c r="D263" i="3"/>
  <c r="A263" i="3"/>
  <c r="H262" i="3"/>
  <c r="G262" i="3"/>
  <c r="E262" i="3"/>
  <c r="D262" i="3"/>
  <c r="A262" i="3"/>
  <c r="H261" i="3"/>
  <c r="G261" i="3"/>
  <c r="E261" i="3"/>
  <c r="D261" i="3"/>
  <c r="A261" i="3"/>
  <c r="H260" i="3"/>
  <c r="G260" i="3"/>
  <c r="E260" i="3"/>
  <c r="D260" i="3"/>
  <c r="A260" i="3"/>
  <c r="H259" i="3"/>
  <c r="G259" i="3"/>
  <c r="E259" i="3"/>
  <c r="D259" i="3"/>
  <c r="A259" i="3"/>
  <c r="H258" i="3"/>
  <c r="G258" i="3"/>
  <c r="E258" i="3"/>
  <c r="D258" i="3"/>
  <c r="A258" i="3"/>
  <c r="H257" i="3"/>
  <c r="G257" i="3"/>
  <c r="E257" i="3"/>
  <c r="D257" i="3"/>
  <c r="A257" i="3"/>
  <c r="H256" i="3"/>
  <c r="G256" i="3"/>
  <c r="E256" i="3"/>
  <c r="D256" i="3"/>
  <c r="A256" i="3"/>
  <c r="A255" i="3"/>
  <c r="H255" i="3"/>
  <c r="G255" i="3"/>
  <c r="E255" i="3"/>
  <c r="D255" i="3"/>
  <c r="H254" i="3"/>
  <c r="G254" i="3"/>
  <c r="E254" i="3"/>
  <c r="D254" i="3"/>
  <c r="A254" i="3"/>
  <c r="H253" i="3"/>
  <c r="G253" i="3"/>
  <c r="E253" i="3"/>
  <c r="D253" i="3"/>
  <c r="A253" i="3"/>
  <c r="H252" i="3"/>
  <c r="G252" i="3"/>
  <c r="E252" i="3"/>
  <c r="D252" i="3"/>
  <c r="A252" i="3"/>
  <c r="H251" i="3"/>
  <c r="G251" i="3"/>
  <c r="E251" i="3"/>
  <c r="D251" i="3"/>
  <c r="A251" i="3"/>
  <c r="H250" i="3"/>
  <c r="G250" i="3"/>
  <c r="E250" i="3"/>
  <c r="D250" i="3"/>
  <c r="A250" i="3"/>
  <c r="H249" i="3"/>
  <c r="G249" i="3"/>
  <c r="E249" i="3"/>
  <c r="D249" i="3"/>
  <c r="A249" i="3"/>
  <c r="H248" i="3"/>
  <c r="G248" i="3"/>
  <c r="E248" i="3"/>
  <c r="D248" i="3"/>
  <c r="A248" i="3"/>
  <c r="H247" i="3"/>
  <c r="G247" i="3"/>
  <c r="E247" i="3"/>
  <c r="D247" i="3"/>
  <c r="A247" i="3"/>
  <c r="H246" i="3"/>
  <c r="G246" i="3"/>
  <c r="E246" i="3"/>
  <c r="D246" i="3"/>
  <c r="A246" i="3"/>
  <c r="H245" i="3"/>
  <c r="G245" i="3"/>
  <c r="E245" i="3"/>
  <c r="D245" i="3"/>
  <c r="A245" i="3"/>
  <c r="H244" i="3"/>
  <c r="G244" i="3"/>
  <c r="E244" i="3"/>
  <c r="D244" i="3"/>
  <c r="A244" i="3"/>
  <c r="H243" i="3"/>
  <c r="G243" i="3"/>
  <c r="E243" i="3"/>
  <c r="D243" i="3"/>
  <c r="A243" i="3"/>
  <c r="H242" i="3"/>
  <c r="G242" i="3"/>
  <c r="E242" i="3"/>
  <c r="D242" i="3"/>
  <c r="A242" i="3"/>
  <c r="H241" i="3"/>
  <c r="G241" i="3"/>
  <c r="E241" i="3"/>
  <c r="D241" i="3"/>
  <c r="A241" i="3"/>
  <c r="H240" i="3"/>
  <c r="G240" i="3"/>
  <c r="E240" i="3"/>
  <c r="D240" i="3"/>
  <c r="A240" i="3"/>
  <c r="H239" i="3"/>
  <c r="G239" i="3"/>
  <c r="E239" i="3"/>
  <c r="D239" i="3"/>
  <c r="A239" i="3"/>
  <c r="H238" i="3"/>
  <c r="G238" i="3"/>
  <c r="E238" i="3"/>
  <c r="D238" i="3"/>
  <c r="A238" i="3"/>
  <c r="H237" i="3"/>
  <c r="G237" i="3"/>
  <c r="E237" i="3"/>
  <c r="D237" i="3"/>
  <c r="A237" i="3"/>
  <c r="H236" i="3"/>
  <c r="G236" i="3"/>
  <c r="E236" i="3"/>
  <c r="D236" i="3"/>
  <c r="A236" i="3"/>
  <c r="H235" i="3"/>
  <c r="G235" i="3"/>
  <c r="E235" i="3"/>
  <c r="D235" i="3"/>
  <c r="A235" i="3"/>
  <c r="H234" i="3"/>
  <c r="G234" i="3"/>
  <c r="E234" i="3"/>
  <c r="D234" i="3"/>
  <c r="A234" i="3"/>
  <c r="H233" i="3"/>
  <c r="G233" i="3"/>
  <c r="E233" i="3"/>
  <c r="D233" i="3"/>
  <c r="A233" i="3"/>
  <c r="H232" i="3"/>
  <c r="G232" i="3"/>
  <c r="E232" i="3"/>
  <c r="D232" i="3"/>
  <c r="A232" i="3"/>
  <c r="H231" i="3"/>
  <c r="G231" i="3"/>
  <c r="E231" i="3"/>
  <c r="D231" i="3"/>
  <c r="A231" i="3"/>
  <c r="H230" i="3"/>
  <c r="G230" i="3"/>
  <c r="E230" i="3"/>
  <c r="D230" i="3"/>
  <c r="A230" i="3"/>
  <c r="H229" i="3"/>
  <c r="G229" i="3"/>
  <c r="E229" i="3"/>
  <c r="D229" i="3"/>
  <c r="A229" i="3"/>
  <c r="H228" i="3"/>
  <c r="G228" i="3"/>
  <c r="E228" i="3"/>
  <c r="D228" i="3"/>
  <c r="A228" i="3"/>
  <c r="H227" i="3"/>
  <c r="G227" i="3"/>
  <c r="E227" i="3"/>
  <c r="D227" i="3"/>
  <c r="A227" i="3"/>
  <c r="H226" i="3"/>
  <c r="G226" i="3"/>
  <c r="E226" i="3"/>
  <c r="D226" i="3"/>
  <c r="A226" i="3"/>
  <c r="H225" i="3"/>
  <c r="G225" i="3"/>
  <c r="E225" i="3"/>
  <c r="D225" i="3"/>
  <c r="A225" i="3"/>
  <c r="H224" i="3"/>
  <c r="G224" i="3"/>
  <c r="E224" i="3"/>
  <c r="D224" i="3"/>
  <c r="A224" i="3"/>
  <c r="H223" i="3"/>
  <c r="G223" i="3"/>
  <c r="E223" i="3"/>
  <c r="D223" i="3"/>
  <c r="A223" i="3"/>
  <c r="H222" i="3"/>
  <c r="G222" i="3"/>
  <c r="E222" i="3"/>
  <c r="D222" i="3"/>
  <c r="A222" i="3"/>
  <c r="H221" i="3"/>
  <c r="G221" i="3"/>
  <c r="E221" i="3"/>
  <c r="D221" i="3"/>
  <c r="A221" i="3"/>
  <c r="H220" i="3"/>
  <c r="G220" i="3"/>
  <c r="E220" i="3"/>
  <c r="D220" i="3"/>
  <c r="A220" i="3"/>
  <c r="H219" i="3"/>
  <c r="G219" i="3"/>
  <c r="E219" i="3"/>
  <c r="D219" i="3"/>
  <c r="A219" i="3"/>
  <c r="H218" i="3"/>
  <c r="G218" i="3"/>
  <c r="E218" i="3"/>
  <c r="D218" i="3"/>
  <c r="A218" i="3"/>
  <c r="H217" i="3"/>
  <c r="G217" i="3"/>
  <c r="E217" i="3"/>
  <c r="D217" i="3"/>
  <c r="A217" i="3"/>
  <c r="H216" i="3"/>
  <c r="G216" i="3"/>
  <c r="E216" i="3"/>
  <c r="D216" i="3"/>
  <c r="A216" i="3"/>
  <c r="A215" i="3"/>
  <c r="D215" i="3"/>
  <c r="E215" i="3"/>
  <c r="G215" i="3"/>
  <c r="H215" i="3"/>
  <c r="H214" i="3"/>
  <c r="G214" i="3"/>
  <c r="E214" i="3"/>
  <c r="D214" i="3"/>
  <c r="A214" i="3"/>
  <c r="H213" i="3"/>
  <c r="G213" i="3"/>
  <c r="E213" i="3"/>
  <c r="D213" i="3"/>
  <c r="A213" i="3"/>
  <c r="H212" i="3"/>
  <c r="G212" i="3"/>
  <c r="E212" i="3"/>
  <c r="D212" i="3"/>
  <c r="A212" i="3"/>
  <c r="H211" i="3"/>
  <c r="G211" i="3"/>
  <c r="E211" i="3"/>
  <c r="D211" i="3"/>
  <c r="A211" i="3"/>
  <c r="H210" i="3"/>
  <c r="G210" i="3"/>
  <c r="E210" i="3"/>
  <c r="D210" i="3"/>
  <c r="A210" i="3"/>
  <c r="H209" i="3"/>
  <c r="G209" i="3"/>
  <c r="E209" i="3"/>
  <c r="D209" i="3"/>
  <c r="A209" i="3"/>
  <c r="H208" i="3"/>
  <c r="G208" i="3"/>
  <c r="E208" i="3"/>
  <c r="D208" i="3"/>
  <c r="A208" i="3"/>
  <c r="H207" i="3"/>
  <c r="G207" i="3"/>
  <c r="E207" i="3"/>
  <c r="D207" i="3"/>
  <c r="A207" i="3"/>
  <c r="H206" i="3"/>
  <c r="G206" i="3"/>
  <c r="E206" i="3"/>
  <c r="D206" i="3"/>
  <c r="A206" i="3"/>
  <c r="H205" i="3"/>
  <c r="G205" i="3"/>
  <c r="E205" i="3"/>
  <c r="D205" i="3"/>
  <c r="A205" i="3"/>
  <c r="H204" i="3"/>
  <c r="G204" i="3"/>
  <c r="E204" i="3"/>
  <c r="D204" i="3"/>
  <c r="A204" i="3"/>
  <c r="H203" i="3"/>
  <c r="G203" i="3"/>
  <c r="E203" i="3"/>
  <c r="D203" i="3"/>
  <c r="A203" i="3"/>
  <c r="H202" i="3"/>
  <c r="G202" i="3"/>
  <c r="E202" i="3"/>
  <c r="D202" i="3"/>
  <c r="A202" i="3"/>
  <c r="H201" i="3"/>
  <c r="G201" i="3"/>
  <c r="E201" i="3"/>
  <c r="D201" i="3"/>
  <c r="A201" i="3"/>
  <c r="H200" i="3"/>
  <c r="G200" i="3"/>
  <c r="E200" i="3"/>
  <c r="D200" i="3"/>
  <c r="A200" i="3"/>
  <c r="H199" i="3"/>
  <c r="G199" i="3"/>
  <c r="E199" i="3"/>
  <c r="D199" i="3"/>
  <c r="A199" i="3"/>
  <c r="H198" i="3"/>
  <c r="G198" i="3"/>
  <c r="E198" i="3"/>
  <c r="D198" i="3"/>
  <c r="A198" i="3"/>
  <c r="H197" i="3"/>
  <c r="G197" i="3"/>
  <c r="E197" i="3"/>
  <c r="D197" i="3"/>
  <c r="A197" i="3"/>
  <c r="H196" i="3"/>
  <c r="G196" i="3"/>
  <c r="E196" i="3"/>
  <c r="D196" i="3"/>
  <c r="A196" i="3"/>
  <c r="A195" i="3"/>
  <c r="D195" i="3"/>
  <c r="E195" i="3"/>
  <c r="G195" i="3"/>
  <c r="H195" i="3"/>
  <c r="H194" i="3"/>
  <c r="G194" i="3"/>
  <c r="E194" i="3"/>
  <c r="D194" i="3"/>
  <c r="A194" i="3"/>
  <c r="H193" i="3"/>
  <c r="G193" i="3"/>
  <c r="E193" i="3"/>
  <c r="D193" i="3"/>
  <c r="A193" i="3"/>
  <c r="H192" i="3"/>
  <c r="G192" i="3"/>
  <c r="E192" i="3"/>
  <c r="D192" i="3"/>
  <c r="A192" i="3"/>
  <c r="H191" i="3"/>
  <c r="G191" i="3"/>
  <c r="E191" i="3"/>
  <c r="D191" i="3"/>
  <c r="A191" i="3"/>
  <c r="H190" i="3"/>
  <c r="G190" i="3"/>
  <c r="E190" i="3"/>
  <c r="D190" i="3"/>
  <c r="A190" i="3"/>
  <c r="H189" i="3"/>
  <c r="G189" i="3"/>
  <c r="E189" i="3"/>
  <c r="D189" i="3"/>
  <c r="A189" i="3"/>
  <c r="H188" i="3"/>
  <c r="G188" i="3"/>
  <c r="E188" i="3"/>
  <c r="D188" i="3"/>
  <c r="A188" i="3"/>
  <c r="H187" i="3"/>
  <c r="G187" i="3"/>
  <c r="E187" i="3"/>
  <c r="D187" i="3"/>
  <c r="A187" i="3"/>
  <c r="H186" i="3"/>
  <c r="G186" i="3"/>
  <c r="E186" i="3"/>
  <c r="D186" i="3"/>
  <c r="A186" i="3"/>
  <c r="H185" i="3"/>
  <c r="G185" i="3"/>
  <c r="E185" i="3"/>
  <c r="D185" i="3"/>
  <c r="A185" i="3"/>
  <c r="H184" i="3"/>
  <c r="G184" i="3"/>
  <c r="E184" i="3"/>
  <c r="D184" i="3"/>
  <c r="A184" i="3"/>
  <c r="H183" i="3"/>
  <c r="G183" i="3"/>
  <c r="E183" i="3"/>
  <c r="D183" i="3"/>
  <c r="A183" i="3"/>
  <c r="H182" i="3"/>
  <c r="G182" i="3"/>
  <c r="E182" i="3"/>
  <c r="D182" i="3"/>
  <c r="A182" i="3"/>
  <c r="H181" i="3"/>
  <c r="G181" i="3"/>
  <c r="E181" i="3"/>
  <c r="D181" i="3"/>
  <c r="A181" i="3"/>
  <c r="H180" i="3"/>
  <c r="G180" i="3"/>
  <c r="E180" i="3"/>
  <c r="D180" i="3"/>
  <c r="A180" i="3"/>
  <c r="H179" i="3"/>
  <c r="G179" i="3"/>
  <c r="E179" i="3"/>
  <c r="D179" i="3"/>
  <c r="A179" i="3"/>
  <c r="H178" i="3"/>
  <c r="G178" i="3"/>
  <c r="E178" i="3"/>
  <c r="D178" i="3"/>
  <c r="A178" i="3"/>
  <c r="H177" i="3"/>
  <c r="G177" i="3"/>
  <c r="E177" i="3"/>
  <c r="D177" i="3"/>
  <c r="A177" i="3"/>
  <c r="A176" i="3"/>
  <c r="D176" i="3"/>
  <c r="E176" i="3"/>
  <c r="G176" i="3"/>
  <c r="H176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H175" i="3"/>
  <c r="G175" i="3"/>
  <c r="A175" i="3"/>
  <c r="H174" i="3"/>
  <c r="G174" i="3"/>
  <c r="A174" i="3"/>
  <c r="H173" i="3"/>
  <c r="G173" i="3"/>
  <c r="A173" i="3"/>
  <c r="H172" i="3"/>
  <c r="G172" i="3"/>
  <c r="A172" i="3"/>
  <c r="H171" i="3"/>
  <c r="G171" i="3"/>
  <c r="A171" i="3"/>
  <c r="H170" i="3"/>
  <c r="G170" i="3"/>
  <c r="A170" i="3"/>
  <c r="H169" i="3"/>
  <c r="G169" i="3"/>
  <c r="A169" i="3"/>
  <c r="H168" i="3"/>
  <c r="G168" i="3"/>
  <c r="A168" i="3"/>
  <c r="H167" i="3"/>
  <c r="G167" i="3"/>
  <c r="A167" i="3"/>
  <c r="H166" i="3"/>
  <c r="G166" i="3"/>
  <c r="A166" i="3"/>
  <c r="H165" i="3"/>
  <c r="G165" i="3"/>
  <c r="A165" i="3"/>
  <c r="H164" i="3"/>
  <c r="G164" i="3"/>
  <c r="A164" i="3"/>
  <c r="H163" i="3"/>
  <c r="G163" i="3"/>
  <c r="A163" i="3"/>
  <c r="H162" i="3"/>
  <c r="G162" i="3"/>
  <c r="A162" i="3"/>
  <c r="H161" i="3"/>
  <c r="G161" i="3"/>
  <c r="A161" i="3"/>
  <c r="H160" i="3"/>
  <c r="G160" i="3"/>
  <c r="A160" i="3"/>
  <c r="H159" i="3"/>
  <c r="G159" i="3"/>
  <c r="E159" i="3"/>
  <c r="D159" i="3"/>
  <c r="A159" i="3"/>
  <c r="A158" i="3"/>
  <c r="D158" i="3"/>
  <c r="E158" i="3"/>
  <c r="G158" i="3"/>
  <c r="H158" i="3"/>
  <c r="H157" i="3"/>
  <c r="G157" i="3"/>
  <c r="E157" i="3"/>
  <c r="D157" i="3"/>
  <c r="A157" i="3"/>
  <c r="H156" i="3"/>
  <c r="G156" i="3"/>
  <c r="E156" i="3"/>
  <c r="D156" i="3"/>
  <c r="A156" i="3"/>
  <c r="H155" i="3"/>
  <c r="G155" i="3"/>
  <c r="E155" i="3"/>
  <c r="D155" i="3"/>
  <c r="A155" i="3"/>
  <c r="H154" i="3"/>
  <c r="G154" i="3"/>
  <c r="E154" i="3"/>
  <c r="D154" i="3"/>
  <c r="A154" i="3"/>
  <c r="H153" i="3"/>
  <c r="G153" i="3"/>
  <c r="E153" i="3"/>
  <c r="D153" i="3"/>
  <c r="A153" i="3"/>
  <c r="H152" i="3"/>
  <c r="G152" i="3"/>
  <c r="E152" i="3"/>
  <c r="D152" i="3"/>
  <c r="A152" i="3"/>
  <c r="H151" i="3"/>
  <c r="G151" i="3"/>
  <c r="E151" i="3"/>
  <c r="D151" i="3"/>
  <c r="A151" i="3"/>
  <c r="H150" i="3"/>
  <c r="G150" i="3"/>
  <c r="E150" i="3"/>
  <c r="D150" i="3"/>
  <c r="A150" i="3"/>
  <c r="H149" i="3"/>
  <c r="G149" i="3"/>
  <c r="E149" i="3"/>
  <c r="D149" i="3"/>
  <c r="A149" i="3"/>
  <c r="H148" i="3"/>
  <c r="G148" i="3"/>
  <c r="E148" i="3"/>
  <c r="D148" i="3"/>
  <c r="A148" i="3"/>
  <c r="H147" i="3"/>
  <c r="G147" i="3"/>
  <c r="E147" i="3"/>
  <c r="D147" i="3"/>
  <c r="A147" i="3"/>
  <c r="H146" i="3"/>
  <c r="G146" i="3"/>
  <c r="E146" i="3"/>
  <c r="D146" i="3"/>
  <c r="A146" i="3"/>
  <c r="H145" i="3"/>
  <c r="G145" i="3"/>
  <c r="E145" i="3"/>
  <c r="D145" i="3"/>
  <c r="A145" i="3"/>
  <c r="H144" i="3"/>
  <c r="G144" i="3"/>
  <c r="E144" i="3"/>
  <c r="D144" i="3"/>
  <c r="A144" i="3"/>
  <c r="H143" i="3"/>
  <c r="G143" i="3"/>
  <c r="E143" i="3"/>
  <c r="D143" i="3"/>
  <c r="A143" i="3"/>
  <c r="H142" i="3"/>
  <c r="G142" i="3"/>
  <c r="E142" i="3"/>
  <c r="D142" i="3"/>
  <c r="A142" i="3"/>
  <c r="H126" i="3"/>
  <c r="G126" i="3"/>
  <c r="E126" i="3"/>
  <c r="D126" i="3"/>
  <c r="A126" i="3"/>
  <c r="H111" i="3"/>
  <c r="G111" i="3"/>
  <c r="E111" i="3"/>
  <c r="D111" i="3"/>
  <c r="A111" i="3"/>
  <c r="A141" i="3"/>
  <c r="D141" i="3"/>
  <c r="E141" i="3"/>
  <c r="G141" i="3"/>
  <c r="H141" i="3"/>
  <c r="H140" i="3"/>
  <c r="G140" i="3"/>
  <c r="E140" i="3"/>
  <c r="D140" i="3"/>
  <c r="A140" i="3"/>
  <c r="H139" i="3"/>
  <c r="G139" i="3"/>
  <c r="E139" i="3"/>
  <c r="D139" i="3"/>
  <c r="A139" i="3"/>
  <c r="H138" i="3"/>
  <c r="G138" i="3"/>
  <c r="E138" i="3"/>
  <c r="D138" i="3"/>
  <c r="A138" i="3"/>
  <c r="H137" i="3"/>
  <c r="G137" i="3"/>
  <c r="E137" i="3"/>
  <c r="D137" i="3"/>
  <c r="A137" i="3"/>
  <c r="H136" i="3"/>
  <c r="G136" i="3"/>
  <c r="E136" i="3"/>
  <c r="D136" i="3"/>
  <c r="A136" i="3"/>
  <c r="H135" i="3"/>
  <c r="G135" i="3"/>
  <c r="E135" i="3"/>
  <c r="D135" i="3"/>
  <c r="A135" i="3"/>
  <c r="H134" i="3"/>
  <c r="G134" i="3"/>
  <c r="E134" i="3"/>
  <c r="D134" i="3"/>
  <c r="A134" i="3"/>
  <c r="H133" i="3"/>
  <c r="G133" i="3"/>
  <c r="E133" i="3"/>
  <c r="D133" i="3"/>
  <c r="A133" i="3"/>
  <c r="H132" i="3"/>
  <c r="G132" i="3"/>
  <c r="E132" i="3"/>
  <c r="D132" i="3"/>
  <c r="A132" i="3"/>
  <c r="H131" i="3"/>
  <c r="G131" i="3"/>
  <c r="E131" i="3"/>
  <c r="D131" i="3"/>
  <c r="A131" i="3"/>
  <c r="H130" i="3"/>
  <c r="G130" i="3"/>
  <c r="E130" i="3"/>
  <c r="D130" i="3"/>
  <c r="A130" i="3"/>
  <c r="H129" i="3"/>
  <c r="G129" i="3"/>
  <c r="E129" i="3"/>
  <c r="D129" i="3"/>
  <c r="A129" i="3"/>
  <c r="H128" i="3"/>
  <c r="G128" i="3"/>
  <c r="E128" i="3"/>
  <c r="D128" i="3"/>
  <c r="A128" i="3"/>
  <c r="H127" i="3"/>
  <c r="G127" i="3"/>
  <c r="E127" i="3"/>
  <c r="D127" i="3"/>
  <c r="A127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A125" i="3"/>
  <c r="G125" i="3"/>
  <c r="H125" i="3"/>
  <c r="H124" i="3"/>
  <c r="G124" i="3"/>
  <c r="A124" i="3"/>
  <c r="H123" i="3"/>
  <c r="G123" i="3"/>
  <c r="A123" i="3"/>
  <c r="H122" i="3"/>
  <c r="G122" i="3"/>
  <c r="A122" i="3"/>
  <c r="H121" i="3"/>
  <c r="G121" i="3"/>
  <c r="A121" i="3"/>
  <c r="H120" i="3"/>
  <c r="G120" i="3"/>
  <c r="A120" i="3"/>
  <c r="H119" i="3"/>
  <c r="G119" i="3"/>
  <c r="A119" i="3"/>
  <c r="H118" i="3"/>
  <c r="G118" i="3"/>
  <c r="A118" i="3"/>
  <c r="H117" i="3"/>
  <c r="G117" i="3"/>
  <c r="A117" i="3"/>
  <c r="H116" i="3"/>
  <c r="G116" i="3"/>
  <c r="A116" i="3"/>
  <c r="H115" i="3"/>
  <c r="G115" i="3"/>
  <c r="A115" i="3"/>
  <c r="H114" i="3"/>
  <c r="G114" i="3"/>
  <c r="A114" i="3"/>
  <c r="H113" i="3"/>
  <c r="G113" i="3"/>
  <c r="A113" i="3"/>
  <c r="H112" i="3"/>
  <c r="G112" i="3"/>
  <c r="E112" i="3"/>
  <c r="D112" i="3"/>
  <c r="A112" i="3"/>
  <c r="D99" i="3"/>
  <c r="E99" i="3"/>
  <c r="G99" i="3"/>
  <c r="H99" i="3"/>
  <c r="D100" i="3"/>
  <c r="E100" i="3"/>
  <c r="G100" i="3"/>
  <c r="H100" i="3"/>
  <c r="D101" i="3"/>
  <c r="E101" i="3"/>
  <c r="G101" i="3"/>
  <c r="H101" i="3"/>
  <c r="D102" i="3"/>
  <c r="E102" i="3"/>
  <c r="G102" i="3"/>
  <c r="H102" i="3"/>
  <c r="D103" i="3"/>
  <c r="E103" i="3"/>
  <c r="G103" i="3"/>
  <c r="H103" i="3"/>
  <c r="D104" i="3"/>
  <c r="E104" i="3"/>
  <c r="G104" i="3"/>
  <c r="H104" i="3"/>
  <c r="D105" i="3"/>
  <c r="E105" i="3"/>
  <c r="G105" i="3"/>
  <c r="H105" i="3"/>
  <c r="D106" i="3"/>
  <c r="E106" i="3"/>
  <c r="G106" i="3"/>
  <c r="H106" i="3"/>
  <c r="D107" i="3"/>
  <c r="E107" i="3"/>
  <c r="G107" i="3"/>
  <c r="H107" i="3"/>
  <c r="D108" i="3"/>
  <c r="E108" i="3"/>
  <c r="G108" i="3"/>
  <c r="H108" i="3"/>
  <c r="D109" i="3"/>
  <c r="E109" i="3"/>
  <c r="G109" i="3"/>
  <c r="H109" i="3"/>
  <c r="D110" i="3"/>
  <c r="E110" i="3"/>
  <c r="G110" i="3"/>
  <c r="H110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H98" i="3"/>
  <c r="G98" i="3"/>
  <c r="E98" i="3"/>
  <c r="D98" i="3"/>
  <c r="A98" i="3"/>
  <c r="H97" i="3"/>
  <c r="G97" i="3"/>
  <c r="E97" i="3"/>
  <c r="D97" i="3"/>
  <c r="A97" i="3"/>
  <c r="A72" i="3"/>
  <c r="A96" i="3"/>
  <c r="D96" i="3"/>
  <c r="E96" i="3"/>
  <c r="G96" i="3"/>
  <c r="H96" i="3"/>
  <c r="H95" i="3"/>
  <c r="G95" i="3"/>
  <c r="E95" i="3"/>
  <c r="D95" i="3"/>
  <c r="A95" i="3"/>
  <c r="H94" i="3"/>
  <c r="G94" i="3"/>
  <c r="E94" i="3"/>
  <c r="D94" i="3"/>
  <c r="A94" i="3"/>
  <c r="H93" i="3"/>
  <c r="G93" i="3"/>
  <c r="E93" i="3"/>
  <c r="D93" i="3"/>
  <c r="A93" i="3"/>
  <c r="H92" i="3"/>
  <c r="G92" i="3"/>
  <c r="E92" i="3"/>
  <c r="D92" i="3"/>
  <c r="A92" i="3"/>
  <c r="H91" i="3"/>
  <c r="G91" i="3"/>
  <c r="E91" i="3"/>
  <c r="D91" i="3"/>
  <c r="A91" i="3"/>
  <c r="H90" i="3"/>
  <c r="G90" i="3"/>
  <c r="E90" i="3"/>
  <c r="D90" i="3"/>
  <c r="A90" i="3"/>
  <c r="H89" i="3"/>
  <c r="G89" i="3"/>
  <c r="E89" i="3"/>
  <c r="D89" i="3"/>
  <c r="A89" i="3"/>
  <c r="H88" i="3"/>
  <c r="G88" i="3"/>
  <c r="E88" i="3"/>
  <c r="D88" i="3"/>
  <c r="A88" i="3"/>
  <c r="H87" i="3"/>
  <c r="G87" i="3"/>
  <c r="E87" i="3"/>
  <c r="D87" i="3"/>
  <c r="A87" i="3"/>
  <c r="H86" i="3"/>
  <c r="G86" i="3"/>
  <c r="E86" i="3"/>
  <c r="D86" i="3"/>
  <c r="A86" i="3"/>
  <c r="H85" i="3"/>
  <c r="G85" i="3"/>
  <c r="E85" i="3"/>
  <c r="D85" i="3"/>
  <c r="A85" i="3"/>
  <c r="H84" i="3"/>
  <c r="G84" i="3"/>
  <c r="E84" i="3"/>
  <c r="D84" i="3"/>
  <c r="A84" i="3"/>
  <c r="A83" i="3"/>
  <c r="D83" i="3"/>
  <c r="E83" i="3"/>
  <c r="G83" i="3"/>
  <c r="H83" i="3"/>
  <c r="H82" i="3"/>
  <c r="G82" i="3"/>
  <c r="E82" i="3"/>
  <c r="D82" i="3"/>
  <c r="A82" i="3"/>
  <c r="H81" i="3"/>
  <c r="G81" i="3"/>
  <c r="E81" i="3"/>
  <c r="D81" i="3"/>
  <c r="A81" i="3"/>
  <c r="H80" i="3"/>
  <c r="G80" i="3"/>
  <c r="E80" i="3"/>
  <c r="D80" i="3"/>
  <c r="A80" i="3"/>
  <c r="H79" i="3"/>
  <c r="G79" i="3"/>
  <c r="E79" i="3"/>
  <c r="D79" i="3"/>
  <c r="A79" i="3"/>
  <c r="H78" i="3"/>
  <c r="G78" i="3"/>
  <c r="E78" i="3"/>
  <c r="D78" i="3"/>
  <c r="A78" i="3"/>
  <c r="H77" i="3"/>
  <c r="G77" i="3"/>
  <c r="E77" i="3"/>
  <c r="D77" i="3"/>
  <c r="A77" i="3"/>
  <c r="H76" i="3"/>
  <c r="G76" i="3"/>
  <c r="E76" i="3"/>
  <c r="D76" i="3"/>
  <c r="A76" i="3"/>
  <c r="H75" i="3"/>
  <c r="G75" i="3"/>
  <c r="E75" i="3"/>
  <c r="D75" i="3"/>
  <c r="A75" i="3"/>
  <c r="H74" i="3"/>
  <c r="G74" i="3"/>
  <c r="E74" i="3"/>
  <c r="D74" i="3"/>
  <c r="A74" i="3"/>
  <c r="H73" i="3"/>
  <c r="G73" i="3"/>
  <c r="E73" i="3"/>
  <c r="D73" i="3"/>
  <c r="A73" i="3"/>
  <c r="H72" i="3"/>
  <c r="G72" i="3"/>
  <c r="E72" i="3"/>
  <c r="D72" i="3"/>
  <c r="A71" i="3"/>
  <c r="D71" i="3"/>
  <c r="E71" i="3"/>
  <c r="G71" i="3"/>
  <c r="H71" i="3"/>
  <c r="H70" i="3"/>
  <c r="G70" i="3"/>
  <c r="E70" i="3"/>
  <c r="D70" i="3"/>
  <c r="A70" i="3"/>
  <c r="H69" i="3"/>
  <c r="G69" i="3"/>
  <c r="E69" i="3"/>
  <c r="D69" i="3"/>
  <c r="A69" i="3"/>
  <c r="H68" i="3"/>
  <c r="G68" i="3"/>
  <c r="E68" i="3"/>
  <c r="D68" i="3"/>
  <c r="A68" i="3"/>
  <c r="H67" i="3"/>
  <c r="G67" i="3"/>
  <c r="E67" i="3"/>
  <c r="D67" i="3"/>
  <c r="A67" i="3"/>
  <c r="H66" i="3"/>
  <c r="G66" i="3"/>
  <c r="E66" i="3"/>
  <c r="D66" i="3"/>
  <c r="A66" i="3"/>
  <c r="H65" i="3"/>
  <c r="G65" i="3"/>
  <c r="E65" i="3"/>
  <c r="D65" i="3"/>
  <c r="A65" i="3"/>
  <c r="H64" i="3"/>
  <c r="G64" i="3"/>
  <c r="E64" i="3"/>
  <c r="D64" i="3"/>
  <c r="A64" i="3"/>
  <c r="H63" i="3"/>
  <c r="G63" i="3"/>
  <c r="E63" i="3"/>
  <c r="D63" i="3"/>
  <c r="A63" i="3"/>
  <c r="H62" i="3"/>
  <c r="G62" i="3"/>
  <c r="E62" i="3"/>
  <c r="D62" i="3"/>
  <c r="A62" i="3"/>
  <c r="H61" i="3"/>
  <c r="G61" i="3"/>
  <c r="E61" i="3"/>
  <c r="D61" i="3"/>
  <c r="A61" i="3"/>
  <c r="A60" i="3"/>
  <c r="D60" i="3"/>
  <c r="E60" i="3"/>
  <c r="G60" i="3"/>
  <c r="H60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H59" i="3"/>
  <c r="G59" i="3"/>
  <c r="A59" i="3"/>
  <c r="H58" i="3"/>
  <c r="G58" i="3"/>
  <c r="A58" i="3"/>
  <c r="H57" i="3"/>
  <c r="G57" i="3"/>
  <c r="A57" i="3"/>
  <c r="H56" i="3"/>
  <c r="G56" i="3"/>
  <c r="A56" i="3"/>
  <c r="H55" i="3"/>
  <c r="G55" i="3"/>
  <c r="A55" i="3"/>
  <c r="H54" i="3"/>
  <c r="G54" i="3"/>
  <c r="A54" i="3"/>
  <c r="H53" i="3"/>
  <c r="G53" i="3"/>
  <c r="A53" i="3"/>
  <c r="H52" i="3"/>
  <c r="G52" i="3"/>
  <c r="A52" i="3"/>
  <c r="H51" i="3"/>
  <c r="G51" i="3"/>
  <c r="E51" i="3"/>
  <c r="D51" i="3"/>
  <c r="A51" i="3"/>
  <c r="A50" i="3"/>
  <c r="D50" i="3"/>
  <c r="E50" i="3"/>
  <c r="G50" i="3"/>
  <c r="H50" i="3"/>
  <c r="H49" i="3"/>
  <c r="G49" i="3"/>
  <c r="E49" i="3"/>
  <c r="D49" i="3"/>
  <c r="A49" i="3"/>
  <c r="H48" i="3"/>
  <c r="G48" i="3"/>
  <c r="E48" i="3"/>
  <c r="D48" i="3"/>
  <c r="A48" i="3"/>
  <c r="H47" i="3"/>
  <c r="G47" i="3"/>
  <c r="E47" i="3"/>
  <c r="D47" i="3"/>
  <c r="A47" i="3"/>
  <c r="H46" i="3"/>
  <c r="G46" i="3"/>
  <c r="E46" i="3"/>
  <c r="D46" i="3"/>
  <c r="A46" i="3"/>
  <c r="H45" i="3"/>
  <c r="G45" i="3"/>
  <c r="E45" i="3"/>
  <c r="D45" i="3"/>
  <c r="A45" i="3"/>
  <c r="H44" i="3"/>
  <c r="G44" i="3"/>
  <c r="E44" i="3"/>
  <c r="D44" i="3"/>
  <c r="A44" i="3"/>
  <c r="H43" i="3"/>
  <c r="G43" i="3"/>
  <c r="E43" i="3"/>
  <c r="D43" i="3"/>
  <c r="A43" i="3"/>
  <c r="H42" i="3"/>
  <c r="G42" i="3"/>
  <c r="E42" i="3"/>
  <c r="D42" i="3"/>
  <c r="A42" i="3"/>
  <c r="A41" i="3"/>
  <c r="D41" i="3"/>
  <c r="E41" i="3"/>
  <c r="G41" i="3"/>
  <c r="H41" i="3"/>
  <c r="H40" i="3"/>
  <c r="G40" i="3"/>
  <c r="E40" i="3"/>
  <c r="D40" i="3"/>
  <c r="A40" i="3"/>
  <c r="H39" i="3"/>
  <c r="G39" i="3"/>
  <c r="E39" i="3"/>
  <c r="D39" i="3"/>
  <c r="A39" i="3"/>
  <c r="H38" i="3"/>
  <c r="G38" i="3"/>
  <c r="E38" i="3"/>
  <c r="D38" i="3"/>
  <c r="A38" i="3"/>
  <c r="H37" i="3"/>
  <c r="G37" i="3"/>
  <c r="E37" i="3"/>
  <c r="D37" i="3"/>
  <c r="A37" i="3"/>
  <c r="H36" i="3"/>
  <c r="G36" i="3"/>
  <c r="E36" i="3"/>
  <c r="D36" i="3"/>
  <c r="A36" i="3"/>
  <c r="H35" i="3"/>
  <c r="G35" i="3"/>
  <c r="E35" i="3"/>
  <c r="D35" i="3"/>
  <c r="A35" i="3"/>
  <c r="H34" i="3"/>
  <c r="G34" i="3"/>
  <c r="E34" i="3"/>
  <c r="D34" i="3"/>
  <c r="A34" i="3"/>
  <c r="A33" i="3"/>
  <c r="D33" i="3"/>
  <c r="E33" i="3"/>
  <c r="G33" i="3"/>
  <c r="H33" i="3"/>
  <c r="H32" i="3"/>
  <c r="G32" i="3"/>
  <c r="E32" i="3"/>
  <c r="D32" i="3"/>
  <c r="A32" i="3"/>
  <c r="H31" i="3"/>
  <c r="G31" i="3"/>
  <c r="E31" i="3"/>
  <c r="D31" i="3"/>
  <c r="A31" i="3"/>
  <c r="H30" i="3"/>
  <c r="G30" i="3"/>
  <c r="E30" i="3"/>
  <c r="D30" i="3"/>
  <c r="A30" i="3"/>
  <c r="H29" i="3"/>
  <c r="G29" i="3"/>
  <c r="E29" i="3"/>
  <c r="D29" i="3"/>
  <c r="A29" i="3"/>
  <c r="H28" i="3"/>
  <c r="G28" i="3"/>
  <c r="E28" i="3"/>
  <c r="D28" i="3"/>
  <c r="A28" i="3"/>
  <c r="H27" i="3"/>
  <c r="G27" i="3"/>
  <c r="E27" i="3"/>
  <c r="D27" i="3"/>
  <c r="A27" i="3"/>
  <c r="A26" i="3"/>
  <c r="D26" i="3"/>
  <c r="E26" i="3"/>
  <c r="G26" i="3"/>
  <c r="H26" i="3"/>
  <c r="H25" i="3"/>
  <c r="G25" i="3"/>
  <c r="E25" i="3"/>
  <c r="D25" i="3"/>
  <c r="A25" i="3"/>
  <c r="H24" i="3"/>
  <c r="G24" i="3"/>
  <c r="E24" i="3"/>
  <c r="D24" i="3"/>
  <c r="A24" i="3"/>
  <c r="H23" i="3"/>
  <c r="G23" i="3"/>
  <c r="E23" i="3"/>
  <c r="D23" i="3"/>
  <c r="A23" i="3"/>
  <c r="H22" i="3"/>
  <c r="G22" i="3"/>
  <c r="E22" i="3"/>
  <c r="D22" i="3"/>
  <c r="A22" i="3"/>
  <c r="H21" i="3"/>
  <c r="G21" i="3"/>
  <c r="E21" i="3"/>
  <c r="D21" i="3"/>
  <c r="A21" i="3"/>
  <c r="A20" i="3"/>
  <c r="D20" i="3"/>
  <c r="E20" i="3"/>
  <c r="G20" i="3"/>
  <c r="H20" i="3"/>
  <c r="H19" i="3"/>
  <c r="G19" i="3"/>
  <c r="E19" i="3"/>
  <c r="D19" i="3"/>
  <c r="A19" i="3"/>
  <c r="H18" i="3"/>
  <c r="G18" i="3"/>
  <c r="E18" i="3"/>
  <c r="D18" i="3"/>
  <c r="A18" i="3"/>
  <c r="H17" i="3"/>
  <c r="G17" i="3"/>
  <c r="E17" i="3"/>
  <c r="D17" i="3"/>
  <c r="A17" i="3"/>
  <c r="H16" i="3"/>
  <c r="G16" i="3"/>
  <c r="E16" i="3"/>
  <c r="D16" i="3"/>
  <c r="A16" i="3"/>
  <c r="A15" i="3"/>
  <c r="D15" i="3"/>
  <c r="E15" i="3"/>
  <c r="G15" i="3"/>
  <c r="H15" i="3"/>
  <c r="A3" i="3"/>
  <c r="D3" i="3"/>
  <c r="E3" i="3"/>
  <c r="G3" i="3"/>
  <c r="H3" i="3"/>
  <c r="A4" i="3"/>
  <c r="D4" i="3"/>
  <c r="E4" i="3"/>
  <c r="G4" i="3"/>
  <c r="H4" i="3"/>
  <c r="A5" i="3"/>
  <c r="D5" i="3"/>
  <c r="E5" i="3"/>
  <c r="G5" i="3"/>
  <c r="H5" i="3"/>
  <c r="A6" i="3"/>
  <c r="D6" i="3"/>
  <c r="E6" i="3"/>
  <c r="G6" i="3"/>
  <c r="H6" i="3"/>
  <c r="A7" i="3"/>
  <c r="D7" i="3"/>
  <c r="E7" i="3"/>
  <c r="G7" i="3"/>
  <c r="H7" i="3"/>
  <c r="A8" i="3"/>
  <c r="D8" i="3"/>
  <c r="E8" i="3"/>
  <c r="G8" i="3"/>
  <c r="H8" i="3"/>
  <c r="A9" i="3"/>
  <c r="D9" i="3"/>
  <c r="E9" i="3"/>
  <c r="G9" i="3"/>
  <c r="H9" i="3"/>
  <c r="A10" i="3"/>
  <c r="D10" i="3"/>
  <c r="E10" i="3"/>
  <c r="G10" i="3"/>
  <c r="H10" i="3"/>
  <c r="A11" i="3"/>
  <c r="D11" i="3"/>
  <c r="E11" i="3"/>
  <c r="G11" i="3"/>
  <c r="H11" i="3"/>
  <c r="A12" i="3"/>
  <c r="D12" i="3"/>
  <c r="E12" i="3"/>
  <c r="G12" i="3"/>
  <c r="H12" i="3"/>
  <c r="A13" i="3"/>
  <c r="D13" i="3"/>
  <c r="E13" i="3"/>
  <c r="G13" i="3"/>
  <c r="H13" i="3"/>
  <c r="A14" i="3"/>
  <c r="D14" i="3"/>
  <c r="E14" i="3"/>
  <c r="G14" i="3"/>
  <c r="H14" i="3"/>
  <c r="A2" i="3"/>
  <c r="D2" i="3"/>
  <c r="E2" i="3"/>
  <c r="G2" i="3"/>
  <c r="H2" i="3"/>
  <c r="E3" i="10"/>
  <c r="E2" i="10"/>
</calcChain>
</file>

<file path=xl/sharedStrings.xml><?xml version="1.0" encoding="utf-8"?>
<sst xmlns="http://schemas.openxmlformats.org/spreadsheetml/2006/main" count="3882" uniqueCount="117">
  <si>
    <t>stage_id</t>
    <phoneticPr fontId="5"/>
  </si>
  <si>
    <t>hint</t>
    <phoneticPr fontId="5"/>
  </si>
  <si>
    <t>temp_id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</si>
  <si>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</si>
  <si>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</si>
  <si>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</si>
  <si>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</si>
  <si>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</si>
  <si>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</si>
  <si>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</si>
  <si>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</si>
  <si>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</si>
  <si>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</si>
  <si>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</si>
  <si>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</si>
  <si>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</si>
  <si>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</si>
  <si>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</si>
  <si>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</si>
  <si>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8"/>
  </si>
  <si>
    <t>floor_id</t>
    <phoneticPr fontId="5"/>
  </si>
  <si>
    <t>floor_id</t>
    <phoneticPr fontId="5"/>
  </si>
  <si>
    <t>filename</t>
  </si>
  <si>
    <t>filename</t>
    <phoneticPr fontId="5"/>
  </si>
  <si>
    <t>NULL</t>
    <phoneticPr fontId="5"/>
  </si>
  <si>
    <t>title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</si>
  <si>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</si>
  <si>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</si>
  <si>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</si>
  <si>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</si>
  <si>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</si>
  <si>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tmp_hint_id</t>
    <phoneticPr fontId="5"/>
  </si>
  <si>
    <t>hint_type</t>
    <phoneticPr fontId="5"/>
  </si>
  <si>
    <t>hint_type</t>
    <phoneticPr fontId="5"/>
  </si>
  <si>
    <t>complete</t>
  </si>
  <si>
    <t>お気に入り登録</t>
  </si>
  <si>
    <t>マルチプレイが熱い！　その3</t>
  </si>
  <si>
    <t>title</t>
  </si>
  <si>
    <t>hint</t>
  </si>
  <si>
    <t>長くつなげて大ダメージ</t>
  </si>
  <si>
    <t>敵の属性に対抗しよう！</t>
  </si>
  <si>
    <t>ターゲット</t>
  </si>
  <si>
    <t>ボーナスクエスト</t>
  </si>
  <si>
    <t>ユニット強化</t>
  </si>
  <si>
    <t>強化の属性ボーナス</t>
  </si>
  <si>
    <t>メタルダックをつかって強化しよう！</t>
  </si>
  <si>
    <t>ゲリラを見逃すな！</t>
  </si>
  <si>
    <t>ゴールドダックを売却すると大量ビット</t>
  </si>
  <si>
    <t>土日クエストで大量ビットをGET！！</t>
  </si>
  <si>
    <t>ランク解放クエスト</t>
  </si>
  <si>
    <t>ユニットを覚醒させよう！</t>
  </si>
  <si>
    <t>覚醒するにはレベルをMAXに！</t>
  </si>
  <si>
    <t>覚醒素材をGETしよう！</t>
  </si>
  <si>
    <t>マルチプレイが熱い！　その1</t>
  </si>
  <si>
    <t>リンクガチャを引いてみよう</t>
  </si>
  <si>
    <t>マルチプレイが熱い！　その2</t>
  </si>
  <si>
    <t>チャレンジタワー</t>
  </si>
  <si>
    <t>スキルを有効に使おう</t>
  </si>
  <si>
    <t>フィーバーを使って一発逆転</t>
  </si>
  <si>
    <t>フィーバーは虹パネルを狙おう！</t>
  </si>
  <si>
    <t>リンゴをつかって限界突破！</t>
  </si>
  <si>
    <t>クリスタルリンゴはスキルLvUP！</t>
  </si>
  <si>
    <t>スキルLv</t>
  </si>
  <si>
    <t>ホーム画面からデッキを編成！</t>
  </si>
  <si>
    <t>詳細情報は長押しで！</t>
  </si>
  <si>
    <t>ステータスのバグって何？</t>
  </si>
  <si>
    <t>ステータスのバグを増やす方法</t>
  </si>
  <si>
    <t>連続攻撃をしてくる敵には</t>
  </si>
  <si>
    <t>カウンターブレイク！</t>
  </si>
  <si>
    <t>敵のDOWNを上書きしよう！</t>
  </si>
  <si>
    <t>敵のUPを上書きしよう！</t>
  </si>
  <si>
    <t>チャレンジタワーのボス</t>
  </si>
  <si>
    <t>限界突破の引継</t>
  </si>
  <si>
    <t>tips_all_id</t>
    <phoneticPr fontId="5"/>
  </si>
  <si>
    <t>イベントを見逃すな！</t>
  </si>
  <si>
    <t>quest_id</t>
  </si>
  <si>
    <t>stage_id</t>
  </si>
  <si>
    <t>hint_tmp_id</t>
  </si>
  <si>
    <t>jyokyu</t>
    <phoneticPr fontId="5"/>
  </si>
  <si>
    <t>パネルを長くつなげればつなげるほど
敵に大ダメージを与えることが出来ます！</t>
    <rPh sb="4" eb="5">
      <t>ナガ</t>
    </rPh>
    <rPh sb="18" eb="19">
      <t>テキ</t>
    </rPh>
    <rPh sb="20" eb="21">
      <t>ダイ</t>
    </rPh>
    <rPh sb="26" eb="27">
      <t>アタ</t>
    </rPh>
    <rPh sb="32" eb="34">
      <t>デキ</t>
    </rPh>
    <phoneticPr fontId="5"/>
  </si>
  <si>
    <t>赤には青、青には黄、黄には緑、緑には赤
効果を発揮できるパーティ編成がオススメです！</t>
    <rPh sb="0" eb="1">
      <t>アカ</t>
    </rPh>
    <rPh sb="3" eb="4">
      <t>アオ</t>
    </rPh>
    <rPh sb="5" eb="6">
      <t>アオ</t>
    </rPh>
    <rPh sb="8" eb="9">
      <t>キイロ</t>
    </rPh>
    <rPh sb="10" eb="11">
      <t>キイロ</t>
    </rPh>
    <rPh sb="13" eb="14">
      <t>ミドリ</t>
    </rPh>
    <rPh sb="15" eb="16">
      <t>ミドリ</t>
    </rPh>
    <rPh sb="18" eb="19">
      <t>アカ</t>
    </rPh>
    <rPh sb="20" eb="22">
      <t>コウカ</t>
    </rPh>
    <rPh sb="23" eb="25">
      <t>ハッキ</t>
    </rPh>
    <rPh sb="32" eb="34">
      <t>ヘンセイ</t>
    </rPh>
    <phoneticPr fontId="5"/>
  </si>
  <si>
    <t>敵ユニットにタッチすると
その敵を狙い撃ちできます！</t>
    <rPh sb="15" eb="16">
      <t>テキ</t>
    </rPh>
    <phoneticPr fontId="5"/>
  </si>
  <si>
    <t>ノーマルクエストを進めると
ボーナスクエストが登場します！
どんどん先に進んでボーナスをGETしましょう！</t>
    <rPh sb="9" eb="10">
      <t>スス</t>
    </rPh>
    <rPh sb="23" eb="25">
      <t>トウジョウ</t>
    </rPh>
    <rPh sb="34" eb="35">
      <t>サキ</t>
    </rPh>
    <rPh sb="36" eb="37">
      <t>スス</t>
    </rPh>
    <phoneticPr fontId="5"/>
  </si>
  <si>
    <t>ユニット強化の際に
同じ属性のユニットを素材にすると
経験値にボーナスがつきます！</t>
    <rPh sb="4" eb="6">
      <t>キョウカ</t>
    </rPh>
    <rPh sb="7" eb="8">
      <t>サイ</t>
    </rPh>
    <rPh sb="20" eb="22">
      <t>ソザイ</t>
    </rPh>
    <phoneticPr fontId="5"/>
  </si>
  <si>
    <t>メタルピヨピヨやメタルダックなどの
「メタルなアヒル」を素材にして
ユニット強化をすると大量の経験値が入ります！</t>
    <rPh sb="28" eb="30">
      <t>ソザイ</t>
    </rPh>
    <rPh sb="38" eb="40">
      <t>キョウカ</t>
    </rPh>
    <rPh sb="44" eb="46">
      <t>タイリョウ</t>
    </rPh>
    <rPh sb="47" eb="50">
      <t>ケイケンチ</t>
    </rPh>
    <rPh sb="51" eb="52">
      <t>ハイ</t>
    </rPh>
    <phoneticPr fontId="5"/>
  </si>
  <si>
    <t>ゴールドピヨピヨやゴールドダックなどの
「金アヒル」をユニット売却すると
大量のビットが手に入ります！</t>
    <rPh sb="21" eb="22">
      <t>キンイロ</t>
    </rPh>
    <rPh sb="31" eb="33">
      <t>バイキャク</t>
    </rPh>
    <rPh sb="37" eb="39">
      <t>タイリョウ</t>
    </rPh>
    <rPh sb="44" eb="45">
      <t>テ</t>
    </rPh>
    <rPh sb="46" eb="47">
      <t>ハイ</t>
    </rPh>
    <phoneticPr fontId="5"/>
  </si>
  <si>
    <t>売却すると大量ビットが手に入る
「ゴールドダック」は土日限定の
「ゴールドカジノ」で手に入ります！</t>
    <rPh sb="0" eb="2">
      <t>バイキャク</t>
    </rPh>
    <rPh sb="5" eb="7">
      <t>タイリョウ</t>
    </rPh>
    <rPh sb="11" eb="12">
      <t>テ</t>
    </rPh>
    <rPh sb="13" eb="14">
      <t>ハイ</t>
    </rPh>
    <rPh sb="26" eb="28">
      <t>ドニチ</t>
    </rPh>
    <rPh sb="28" eb="30">
      <t>ゲンテイ</t>
    </rPh>
    <rPh sb="42" eb="43">
      <t>テ</t>
    </rPh>
    <rPh sb="44" eb="45">
      <t>ハイ</t>
    </rPh>
    <phoneticPr fontId="5"/>
  </si>
  <si>
    <t>一定ランクに到達すると
新たにクエストが開放される場合があります。
ランク開放クエストをクリアして報酬をGETしましょう！</t>
    <rPh sb="0" eb="2">
      <t>イッテイ</t>
    </rPh>
    <rPh sb="6" eb="8">
      <t>トウタツ</t>
    </rPh>
    <rPh sb="12" eb="13">
      <t>アラ</t>
    </rPh>
    <rPh sb="25" eb="27">
      <t>バアイ</t>
    </rPh>
    <rPh sb="37" eb="39">
      <t>カイホウ</t>
    </rPh>
    <rPh sb="49" eb="51">
      <t>ホウシュウ</t>
    </rPh>
    <phoneticPr fontId="5"/>
  </si>
  <si>
    <t>大事なユニットは
フォルダからお気に入り登録しましょう！</t>
  </si>
  <si>
    <t>ユニットを覚醒させると
これまでとは比べものにならない強さを獲得できます！</t>
    <rPh sb="5" eb="7">
      <t>カクセイ</t>
    </rPh>
    <rPh sb="18" eb="19">
      <t>クラ</t>
    </rPh>
    <rPh sb="27" eb="28">
      <t>ツヨ</t>
    </rPh>
    <rPh sb="30" eb="32">
      <t>カクトク</t>
    </rPh>
    <phoneticPr fontId="5"/>
  </si>
  <si>
    <t>ユニットの更なる力を引き出すのが覚醒！
覚醒するにはユニットのレベルを
最大まで上げる必要があります！</t>
    <rPh sb="5" eb="6">
      <t>サラ</t>
    </rPh>
    <rPh sb="8" eb="9">
      <t>チカラ</t>
    </rPh>
    <rPh sb="10" eb="11">
      <t>ヒ</t>
    </rPh>
    <rPh sb="12" eb="13">
      <t>ダ</t>
    </rPh>
    <rPh sb="16" eb="18">
      <t>カクセイ</t>
    </rPh>
    <rPh sb="20" eb="22">
      <t>カクセイ</t>
    </rPh>
    <rPh sb="36" eb="38">
      <t>サイダイ</t>
    </rPh>
    <rPh sb="40" eb="41">
      <t>ア</t>
    </rPh>
    <rPh sb="43" eb="45">
      <t>ヒツヨウ</t>
    </rPh>
    <phoneticPr fontId="5"/>
  </si>
  <si>
    <t>覚醒に必要な覚醒素材は
「曜日クエスト」で手に入ります！</t>
    <rPh sb="0" eb="2">
      <t>カクセイ</t>
    </rPh>
    <rPh sb="3" eb="5">
      <t>ヒツヨウ</t>
    </rPh>
    <rPh sb="6" eb="8">
      <t>カクセイ</t>
    </rPh>
    <rPh sb="8" eb="10">
      <t>ソザイ</t>
    </rPh>
    <rPh sb="13" eb="15">
      <t>ヨウビ</t>
    </rPh>
    <rPh sb="21" eb="22">
      <t>テ</t>
    </rPh>
    <rPh sb="23" eb="24">
      <t>ハイ</t>
    </rPh>
    <phoneticPr fontId="5"/>
  </si>
  <si>
    <t>全国の友達とマルチプレイをすると
初顔合わせボーナスで100人まで
ポリゴンがもらえます！</t>
    <rPh sb="0" eb="2">
      <t>ゼンコク</t>
    </rPh>
    <rPh sb="3" eb="5">
      <t>トモダチ</t>
    </rPh>
    <rPh sb="17" eb="20">
      <t>ハツカオア</t>
    </rPh>
    <rPh sb="30" eb="31">
      <t>ニン</t>
    </rPh>
    <phoneticPr fontId="5"/>
  </si>
  <si>
    <t>リンクガチャを回すと
メタルダックやゴールドダックが出現しやすいです。
リンクガチャを回して強化素材をGETしましょう！</t>
    <rPh sb="7" eb="10">
      <t>マワs</t>
    </rPh>
    <rPh sb="26" eb="28">
      <t>シュツゲン</t>
    </rPh>
    <rPh sb="43" eb="44">
      <t>マワ</t>
    </rPh>
    <rPh sb="46" eb="50">
      <t>キョウカソザイ</t>
    </rPh>
    <phoneticPr fontId="5"/>
  </si>
  <si>
    <t>マルチプレイはもらえるリンクが2倍！
マルチで遊んでリンクガチャを回しましょう！</t>
    <rPh sb="16" eb="17">
      <t>バイ</t>
    </rPh>
    <rPh sb="23" eb="24">
      <t>アソ</t>
    </rPh>
    <rPh sb="33" eb="34">
      <t>マワ</t>
    </rPh>
    <phoneticPr fontId="5"/>
  </si>
  <si>
    <t>イベントクエストの「チャレンジタワー」を
クリアすると報酬がもらえます！
報酬を手に入れながら頂上を目指しましょう！</t>
    <rPh sb="27" eb="29">
      <t>ホウシュウ</t>
    </rPh>
    <rPh sb="37" eb="39">
      <t>ホウシュウ</t>
    </rPh>
    <rPh sb="40" eb="41">
      <t>テ</t>
    </rPh>
    <rPh sb="42" eb="43">
      <t>イ</t>
    </rPh>
    <rPh sb="47" eb="49">
      <t>チョウジョウ</t>
    </rPh>
    <rPh sb="50" eb="52">
      <t>メザ</t>
    </rPh>
    <phoneticPr fontId="5"/>
  </si>
  <si>
    <t>ピンチの時はフィーバーで一発逆転を狙いましょう！</t>
    <rPh sb="4" eb="5">
      <t>トk</t>
    </rPh>
    <rPh sb="12" eb="16">
      <t>イッパツギャクテン</t>
    </rPh>
    <rPh sb="17" eb="18">
      <t>ネラ</t>
    </rPh>
    <phoneticPr fontId="5"/>
  </si>
  <si>
    <t>フィーバー中にたまに落ちてくる
虹色のパネルを壊すと
全てのパネルを壊すことができます！</t>
    <rPh sb="5" eb="6">
      <t>チュウ</t>
    </rPh>
    <rPh sb="10" eb="11">
      <t>オ</t>
    </rPh>
    <rPh sb="16" eb="18">
      <t>ニジイロ</t>
    </rPh>
    <rPh sb="23" eb="24">
      <t>コワ</t>
    </rPh>
    <rPh sb="27" eb="28">
      <t>スベ</t>
    </rPh>
    <rPh sb="34" eb="35">
      <t>コワ</t>
    </rPh>
    <phoneticPr fontId="5"/>
  </si>
  <si>
    <t>秘術の果実をユニット強化に使うと
スキルLvが上げることができます！
お気に入りユニットのスキルLvを上げてみましょう！</t>
    <rPh sb="0" eb="2">
      <t>ヒジュツ</t>
    </rPh>
    <rPh sb="3" eb="5">
      <t>カジツ</t>
    </rPh>
    <rPh sb="10" eb="12">
      <t>キョウカ</t>
    </rPh>
    <rPh sb="13" eb="16">
      <t>ツカ</t>
    </rPh>
    <rPh sb="23" eb="31">
      <t>アガr</t>
    </rPh>
    <rPh sb="36" eb="37">
      <t>キ</t>
    </rPh>
    <rPh sb="38" eb="39">
      <t>イ</t>
    </rPh>
    <rPh sb="51" eb="52">
      <t>ア</t>
    </rPh>
    <phoneticPr fontId="5"/>
  </si>
  <si>
    <t>スキルLvが上がると
より短いターンでスキルを打つことができます！</t>
  </si>
  <si>
    <t>ホーム画面でパーティを確認している時
ユニットの画像を長押しすると
パーティ構成画面に移動することができます！</t>
    <rPh sb="3" eb="5">
      <t>ガメン</t>
    </rPh>
    <rPh sb="11" eb="13">
      <t>カクニン</t>
    </rPh>
    <rPh sb="17" eb="18">
      <t>トキ</t>
    </rPh>
    <rPh sb="24" eb="26">
      <t>ガゾウ</t>
    </rPh>
    <rPh sb="27" eb="29">
      <t>ナガオ</t>
    </rPh>
    <rPh sb="38" eb="40">
      <t>コウセイ</t>
    </rPh>
    <rPh sb="40" eb="42">
      <t>ガメン</t>
    </rPh>
    <rPh sb="43" eb="45">
      <t>イドウ</t>
    </rPh>
    <phoneticPr fontId="5"/>
  </si>
  <si>
    <t>ユニット強化やユニット覚醒などの画面で
ユニットを長押しすれば
ユニットの詳細情報を見ることができます！</t>
    <rPh sb="4" eb="6">
      <t>キョウカ</t>
    </rPh>
    <rPh sb="11" eb="13">
      <t>カクセイ</t>
    </rPh>
    <rPh sb="16" eb="18">
      <t>ガメン</t>
    </rPh>
    <rPh sb="25" eb="27">
      <t>ナガオ</t>
    </rPh>
    <rPh sb="37" eb="39">
      <t>ショウサイ</t>
    </rPh>
    <rPh sb="39" eb="41">
      <t>ジョウホウ</t>
    </rPh>
    <rPh sb="42" eb="43">
      <t>ミ</t>
    </rPh>
    <phoneticPr fontId="5"/>
  </si>
  <si>
    <t>バグが高いとクエストの報酬確率がアップする！</t>
    <rPh sb="3" eb="4">
      <t>タカ</t>
    </rPh>
    <rPh sb="11" eb="15">
      <t>ホウシュウカクリツ</t>
    </rPh>
    <phoneticPr fontId="5"/>
  </si>
  <si>
    <t>同じユニット同士を使ってユニット強化をすると
バグを増やすことができます！</t>
    <rPh sb="0" eb="1">
      <t>オナ</t>
    </rPh>
    <rPh sb="6" eb="8">
      <t>ドウシ</t>
    </rPh>
    <rPh sb="9" eb="10">
      <t>ツカ</t>
    </rPh>
    <rPh sb="16" eb="18">
      <t>キョウカ</t>
    </rPh>
    <rPh sb="26" eb="27">
      <t>フ</t>
    </rPh>
    <phoneticPr fontId="5"/>
  </si>
  <si>
    <t>消すことの出来ないお邪魔パネルは
フィーバーを使うと下に落とすことができますよ！</t>
    <rPh sb="0" eb="1">
      <t>ケ</t>
    </rPh>
    <rPh sb="5" eb="7">
      <t>デキ</t>
    </rPh>
    <rPh sb="10" eb="12">
      <t>ジャマ</t>
    </rPh>
    <rPh sb="23" eb="24">
      <t>ツカ</t>
    </rPh>
    <rPh sb="26" eb="27">
      <t>シタ</t>
    </rPh>
    <rPh sb="28" eb="29">
      <t>オ</t>
    </rPh>
    <phoneticPr fontId="5"/>
  </si>
  <si>
    <t>攻撃力DOWNの攻撃を受けたときは
攻撃力UPスキルを使うと効果を上書きできます！</t>
    <rPh sb="0" eb="3">
      <t>コウゲキリョク</t>
    </rPh>
    <rPh sb="8" eb="10">
      <t>コウゲキ</t>
    </rPh>
    <rPh sb="11" eb="12">
      <t>ウ</t>
    </rPh>
    <rPh sb="18" eb="21">
      <t>コウゲキリョク</t>
    </rPh>
    <rPh sb="27" eb="28">
      <t>ツカ</t>
    </rPh>
    <rPh sb="30" eb="32">
      <t>コウカ</t>
    </rPh>
    <rPh sb="33" eb="35">
      <t>ウワガ</t>
    </rPh>
    <phoneticPr fontId="5"/>
  </si>
  <si>
    <t>敵の攻撃力がUPしたときは
攻撃力DOWNスキルを使うと
効果を上書きできます！</t>
    <rPh sb="0" eb="1">
      <t>テキ</t>
    </rPh>
    <rPh sb="2" eb="5">
      <t>コウゲキリョク</t>
    </rPh>
    <rPh sb="14" eb="17">
      <t>コウゲキリョク</t>
    </rPh>
    <rPh sb="25" eb="26">
      <t>ツカ</t>
    </rPh>
    <rPh sb="29" eb="31">
      <t>コウカ</t>
    </rPh>
    <rPh sb="32" eb="34">
      <t>ウワガ</t>
    </rPh>
    <phoneticPr fontId="5"/>
  </si>
  <si>
    <t>チャレンジタワーのボス
（テスラ、シャルル、ボイル）は
一定確率でドロップします！</t>
    <rPh sb="28" eb="32">
      <t>イッテイカクリツ</t>
    </rPh>
    <phoneticPr fontId="5"/>
  </si>
  <si>
    <t>限界突破（+値）の引継ぎは同じユニットか
同じユニットの覚醒前後のみ可能です。
ユニット強化の際は注意しましょう！</t>
    <rPh sb="0" eb="4">
      <t>ゲンカイトッパ</t>
    </rPh>
    <rPh sb="6" eb="7">
      <t>アタイ</t>
    </rPh>
    <rPh sb="9" eb="11">
      <t>ヒキツ</t>
    </rPh>
    <rPh sb="13" eb="14">
      <t>オナ</t>
    </rPh>
    <rPh sb="21" eb="22">
      <t>オナ</t>
    </rPh>
    <rPh sb="28" eb="32">
      <t>カクセイケイ</t>
    </rPh>
    <rPh sb="34" eb="36">
      <t>カノウ</t>
    </rPh>
    <rPh sb="44" eb="46">
      <t>キョウカ</t>
    </rPh>
    <rPh sb="47" eb="48">
      <t>サイ</t>
    </rPh>
    <rPh sb="49" eb="51">
      <t>チュウイ</t>
    </rPh>
    <phoneticPr fontId="5"/>
  </si>
  <si>
    <t>時間限定ゲリラクエスト
「【緊急!!】アヒル捕獲作戦」ではメタルダック等
経験値素材ユニットが多く手に入ります。要チェックです！</t>
    <rPh sb="0" eb="4">
      <t>ジカンゲンテイ</t>
    </rPh>
    <rPh sb="47" eb="49">
      <t>オオk</t>
    </rPh>
    <rPh sb="49" eb="52">
      <t xml:space="preserve"> </t>
    </rPh>
    <rPh sb="56" eb="57">
      <t>ヨウ</t>
    </rPh>
    <phoneticPr fontId="5"/>
  </si>
  <si>
    <t>マルチプレイへの参加はエナジー消費がありません！
どんどん参加してどんどんユニットをGETしましょう！</t>
    <phoneticPr fontId="5"/>
  </si>
  <si>
    <t>ユニットは「ユニット強化」をすることで
経験値を取得しレベルアップできます。
「ユニット強化」でクエストを有利に進めましょう！</t>
    <rPh sb="10" eb="12">
      <t>キョウカ</t>
    </rPh>
    <rPh sb="20" eb="23">
      <t>ケイケンチ</t>
    </rPh>
    <rPh sb="24" eb="26">
      <t>シュトク</t>
    </rPh>
    <rPh sb="44" eb="46">
      <t>キョウカ</t>
    </rPh>
    <rPh sb="53" eb="55">
      <t>ユウリ</t>
    </rPh>
    <rPh sb="56" eb="57">
      <t>スス</t>
    </rPh>
    <phoneticPr fontId="5"/>
  </si>
  <si>
    <t>攻めの果実、生命の果実、癒しの果実は
ユニット強化に使うと
各パラメーターを上げることができます
合計＋99まで強化できますよ！</t>
    <rPh sb="0" eb="1">
      <t>セ</t>
    </rPh>
    <rPh sb="3" eb="5">
      <t>カジツ</t>
    </rPh>
    <rPh sb="6" eb="8">
      <t>セイメイ</t>
    </rPh>
    <rPh sb="9" eb="11">
      <t>カジツ</t>
    </rPh>
    <rPh sb="12" eb="13">
      <t>イヤ</t>
    </rPh>
    <rPh sb="15" eb="17">
      <t>カジツ</t>
    </rPh>
    <rPh sb="23" eb="25">
      <t>キョウカ</t>
    </rPh>
    <rPh sb="26" eb="29">
      <t>ツカ</t>
    </rPh>
    <rPh sb="30" eb="31">
      <t>カク</t>
    </rPh>
    <rPh sb="38" eb="39">
      <t>ア</t>
    </rPh>
    <rPh sb="49" eb="51">
      <t>ゴウケ</t>
    </rPh>
    <rPh sb="56" eb="58">
      <t>キョウカ</t>
    </rPh>
    <phoneticPr fontId="5"/>
  </si>
  <si>
    <t>各イベントでしか入手できない
ユニットがいるので要チェックです！</t>
    <phoneticPr fontId="5"/>
  </si>
  <si>
    <t>カウンターを使ってくる敵には
「カウンターブレイク」のスキルが有効です
カウンターを解除して大ダメージを
与えることができます！</t>
    <rPh sb="6" eb="7">
      <t>ツカ</t>
    </rPh>
    <rPh sb="11" eb="12">
      <t>テキ</t>
    </rPh>
    <rPh sb="31" eb="33">
      <t>ユウコウ</t>
    </rPh>
    <rPh sb="42" eb="44">
      <t>カイジョ</t>
    </rPh>
    <rPh sb="46" eb="47">
      <t>ダイ</t>
    </rPh>
    <rPh sb="53" eb="54">
      <t>アタ</t>
    </rPh>
    <phoneticPr fontId="5"/>
  </si>
  <si>
    <t>ユニットはターン経過で
スキルが使えるようになります。
「Skill OK」というアイコンが出たら
スキルを使うチャンス！</t>
    <rPh sb="8" eb="10">
      <t>ケイカ</t>
    </rPh>
    <rPh sb="16" eb="17">
      <t>ツカ</t>
    </rPh>
    <rPh sb="46" eb="47">
      <t>デ</t>
    </rPh>
    <rPh sb="54" eb="55">
      <t>ツカ</t>
    </rPh>
    <phoneticPr fontId="5"/>
  </si>
  <si>
    <t>skip</t>
    <phoneticPr fontId="3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</si>
</sst>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05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7" borderId="3" applyNumberFormat="0" applyAlignment="0" applyProtection="0"/>
    <xf numFmtId="0" fontId="15" fillId="8" borderId="0" applyNumberFormat="0" applyBorder="0" applyAlignment="0" applyProtection="0"/>
    <xf numFmtId="0" fontId="16" fillId="9" borderId="4" applyNumberFormat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5" applyNumberFormat="0" applyAlignment="0" applyProtection="0"/>
    <xf numFmtId="0" fontId="20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9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14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5" borderId="0" applyNumberFormat="0" applyBorder="0" applyAlignment="0" applyProtection="0"/>
    <xf numFmtId="0" fontId="24" fillId="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6" borderId="0" applyNumberFormat="0" applyBorder="0" applyAlignment="0" applyProtection="0"/>
    <xf numFmtId="0" fontId="25" fillId="8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2" borderId="0" applyNumberFormat="0" applyBorder="0" applyAlignment="0" applyProtection="0"/>
    <xf numFmtId="0" fontId="25" fillId="1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6" fillId="19" borderId="0" applyNumberFormat="0" applyBorder="0" applyAlignment="0" applyProtection="0"/>
    <xf numFmtId="0" fontId="15" fillId="8" borderId="0" applyNumberFormat="0" applyBorder="0" applyAlignment="0" applyProtection="0"/>
    <xf numFmtId="0" fontId="27" fillId="0" borderId="0"/>
    <xf numFmtId="0" fontId="28" fillId="0" borderId="9" applyNumberFormat="0" applyFill="0" applyAlignment="0" applyProtection="0"/>
    <xf numFmtId="0" fontId="29" fillId="9" borderId="10" applyNumberFormat="0" applyAlignment="0" applyProtection="0"/>
    <xf numFmtId="0" fontId="29" fillId="20" borderId="10" applyNumberFormat="0" applyAlignment="0" applyProtection="0"/>
    <xf numFmtId="0" fontId="16" fillId="8" borderId="4" applyNumberFormat="0" applyAlignment="0" applyProtection="0"/>
    <xf numFmtId="0" fontId="30" fillId="0" borderId="11" applyNumberFormat="0" applyFill="0" applyAlignment="0" applyProtection="0"/>
    <xf numFmtId="0" fontId="31" fillId="20" borderId="4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36" fillId="0" borderId="0"/>
    <xf numFmtId="0" fontId="3" fillId="0" borderId="0"/>
    <xf numFmtId="0" fontId="3" fillId="0" borderId="0"/>
    <xf numFmtId="0" fontId="37" fillId="2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7" fillId="2" borderId="1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2" xfId="0" applyFont="1" applyFill="1" applyBorder="1" applyAlignment="1">
      <alignment vertical="center"/>
    </xf>
    <xf numFmtId="0" fontId="8" fillId="0" borderId="1" xfId="0" applyFont="1" applyFill="1" applyBorder="1"/>
    <xf numFmtId="0" fontId="6" fillId="0" borderId="1" xfId="0" applyFont="1" applyFill="1" applyBorder="1"/>
    <xf numFmtId="0" fontId="7" fillId="5" borderId="1" xfId="0" applyFont="1" applyFill="1" applyBorder="1" applyAlignment="1">
      <alignment horizontal="center"/>
    </xf>
    <xf numFmtId="0" fontId="12" fillId="6" borderId="1" xfId="455" applyFont="1" applyFill="1" applyBorder="1"/>
    <xf numFmtId="0" fontId="3" fillId="6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2" fillId="6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3" borderId="1" xfId="455" applyFill="1" applyBorder="1"/>
    <xf numFmtId="0" fontId="0" fillId="2" borderId="1" xfId="455" applyFont="1" applyFill="1" applyBorder="1"/>
    <xf numFmtId="0" fontId="13" fillId="0" borderId="2" xfId="0" applyFont="1" applyFill="1" applyBorder="1" applyAlignment="1">
      <alignment vertical="center"/>
    </xf>
    <xf numFmtId="0" fontId="3" fillId="2" borderId="0" xfId="455" applyFill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4" borderId="1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0" xfId="0" applyFont="1" applyFill="1"/>
    <xf numFmtId="0" fontId="12" fillId="4" borderId="0" xfId="0" applyFont="1" applyFill="1" applyAlignment="1">
      <alignment horizontal="left" indent="1"/>
    </xf>
    <xf numFmtId="0" fontId="7" fillId="0" borderId="1" xfId="0" applyFont="1" applyBorder="1" applyAlignment="1">
      <alignment wrapText="1"/>
    </xf>
    <xf numFmtId="0" fontId="7" fillId="0" borderId="1" xfId="0" applyFont="1" applyFill="1" applyBorder="1" applyAlignment="1">
      <alignment wrapText="1"/>
    </xf>
    <xf numFmtId="0" fontId="41" fillId="0" borderId="13" xfId="0" applyFont="1" applyBorder="1" applyAlignment="1">
      <alignment wrapText="1"/>
    </xf>
    <xf numFmtId="0" fontId="7" fillId="0" borderId="1" xfId="0" applyFont="1" applyBorder="1"/>
    <xf numFmtId="0" fontId="7" fillId="0" borderId="14" xfId="0" applyFont="1" applyFill="1" applyBorder="1" applyAlignment="1">
      <alignment wrapText="1"/>
    </xf>
    <xf numFmtId="0" fontId="41" fillId="0" borderId="15" xfId="0" applyFont="1" applyBorder="1" applyAlignment="1">
      <alignment wrapText="1"/>
    </xf>
    <xf numFmtId="0" fontId="42" fillId="0" borderId="0" xfId="0" applyFont="1"/>
    <xf numFmtId="56" fontId="7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5" borderId="0" xfId="0" applyFill="1"/>
    <xf numFmtId="0" fontId="39" fillId="24" borderId="1" xfId="0" applyFont="1" applyFill="1" applyBorder="1"/>
    <xf numFmtId="38" fontId="7" fillId="24" borderId="1" xfId="802" applyFont="1" applyFill="1" applyBorder="1" applyAlignment="1"/>
  </cellXfs>
  <cellStyles count="805"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Excel Built-in Normal" xfId="496"/>
    <cellStyle name="^Cg" xfId="464"/>
    <cellStyle name="`FbN Z" xfId="463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" xfId="458"/>
    <cellStyle name="N Z" xfId="497"/>
    <cellStyle name="_" xfId="459"/>
    <cellStyle name="«¢" xfId="462"/>
    <cellStyle name="vZ" xfId="502"/>
    <cellStyle name="x÷" xfId="504"/>
    <cellStyle name="x¶" xfId="503"/>
    <cellStyle name="ýo_ 1" xfId="505"/>
    <cellStyle name="©oµ 1" xfId="465"/>
    <cellStyle name="©oµ 2" xfId="466"/>
    <cellStyle name="©oµ 3" xfId="467"/>
    <cellStyle name="©oµ 4" xfId="468"/>
    <cellStyle name="v" xfId="501"/>
    <cellStyle name="o_" xfId="498"/>
    <cellStyle name="oÍ" xfId="499"/>
    <cellStyle name="__÷" xfId="461"/>
    <cellStyle name="à¾¶" xfId="487"/>
    <cellStyle name="__" xfId="460"/>
    <cellStyle name="üÍ" xfId="500"/>
    <cellStyle name="Ê" xfId="495"/>
    <cellStyle name="Ç¢" xfId="49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3" builtinId="8" hidden="1"/>
    <cellStyle name="桁区切り 2" xfId="139"/>
    <cellStyle name="桁区切り 2 2" xfId="802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無題1" xfId="5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4" builtinId="9" hidden="1"/>
    <cellStyle name="赤字強調" xfId="507"/>
    <cellStyle name="青字強調" xfId="50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14001</v>
          </cell>
        </row>
        <row r="94">
          <cell r="A94">
            <v>14002</v>
          </cell>
        </row>
        <row r="95">
          <cell r="A95">
            <v>14003</v>
          </cell>
        </row>
        <row r="96">
          <cell r="A96">
            <v>14004</v>
          </cell>
        </row>
        <row r="97">
          <cell r="A97">
            <v>14005</v>
          </cell>
        </row>
        <row r="98">
          <cell r="A98">
            <v>14006</v>
          </cell>
        </row>
        <row r="99">
          <cell r="A99">
            <v>15027</v>
          </cell>
        </row>
        <row r="100">
          <cell r="A100">
            <v>15028</v>
          </cell>
        </row>
        <row r="101">
          <cell r="A101">
            <v>15029</v>
          </cell>
        </row>
        <row r="102">
          <cell r="A102">
            <v>15030</v>
          </cell>
        </row>
        <row r="103">
          <cell r="A103">
            <v>15031</v>
          </cell>
        </row>
        <row r="104">
          <cell r="A104">
            <v>20001</v>
          </cell>
        </row>
        <row r="105">
          <cell r="A105">
            <v>20002</v>
          </cell>
        </row>
        <row r="106">
          <cell r="A106">
            <v>20003</v>
          </cell>
        </row>
        <row r="107">
          <cell r="A107">
            <v>20004</v>
          </cell>
        </row>
        <row r="108">
          <cell r="A108">
            <v>20005</v>
          </cell>
        </row>
        <row r="109">
          <cell r="A109">
            <v>20006</v>
          </cell>
        </row>
        <row r="110">
          <cell r="A110">
            <v>20007</v>
          </cell>
        </row>
        <row r="111">
          <cell r="A111">
            <v>20008</v>
          </cell>
        </row>
        <row r="112">
          <cell r="A112">
            <v>20009</v>
          </cell>
        </row>
        <row r="113">
          <cell r="A113">
            <v>20010</v>
          </cell>
        </row>
        <row r="114">
          <cell r="A114">
            <v>20011</v>
          </cell>
        </row>
        <row r="115">
          <cell r="A115">
            <v>20012</v>
          </cell>
        </row>
        <row r="116">
          <cell r="A116">
            <v>20013</v>
          </cell>
        </row>
        <row r="117">
          <cell r="A117">
            <v>20014</v>
          </cell>
        </row>
        <row r="118">
          <cell r="A118">
            <v>20015</v>
          </cell>
        </row>
        <row r="119">
          <cell r="A119">
            <v>20016</v>
          </cell>
        </row>
        <row r="120">
          <cell r="A120">
            <v>20017</v>
          </cell>
        </row>
        <row r="121">
          <cell r="A121">
            <v>20018</v>
          </cell>
        </row>
        <row r="122">
          <cell r="A122">
            <v>20019</v>
          </cell>
        </row>
        <row r="123">
          <cell r="A123">
            <v>20020</v>
          </cell>
        </row>
        <row r="124">
          <cell r="A124">
            <v>20021</v>
          </cell>
        </row>
        <row r="125">
          <cell r="A125">
            <v>30001</v>
          </cell>
        </row>
        <row r="126">
          <cell r="A126">
            <v>30002</v>
          </cell>
        </row>
        <row r="127">
          <cell r="A127">
            <v>30003</v>
          </cell>
        </row>
        <row r="128">
          <cell r="A128">
            <v>30004</v>
          </cell>
        </row>
        <row r="129">
          <cell r="A129">
            <v>30005</v>
          </cell>
        </row>
        <row r="130">
          <cell r="A130">
            <v>30006</v>
          </cell>
        </row>
        <row r="131">
          <cell r="A131">
            <v>30007</v>
          </cell>
        </row>
        <row r="132">
          <cell r="A132">
            <v>30008</v>
          </cell>
        </row>
        <row r="133">
          <cell r="A133">
            <v>30009</v>
          </cell>
        </row>
        <row r="134">
          <cell r="A134">
            <v>30010</v>
          </cell>
        </row>
        <row r="135">
          <cell r="A135">
            <v>30011</v>
          </cell>
        </row>
        <row r="136">
          <cell r="A136">
            <v>30012</v>
          </cell>
        </row>
        <row r="137">
          <cell r="A137">
            <v>30013</v>
          </cell>
        </row>
        <row r="138">
          <cell r="A138">
            <v>30014</v>
          </cell>
        </row>
        <row r="139">
          <cell r="A139">
            <v>30015</v>
          </cell>
        </row>
        <row r="140">
          <cell r="A140">
            <v>30016</v>
          </cell>
        </row>
        <row r="141">
          <cell r="A141">
            <v>30017</v>
          </cell>
        </row>
        <row r="142">
          <cell r="A142">
            <v>30018</v>
          </cell>
        </row>
        <row r="143">
          <cell r="A143">
            <v>30019</v>
          </cell>
        </row>
        <row r="144">
          <cell r="A144">
            <v>30020</v>
          </cell>
        </row>
        <row r="145">
          <cell r="A145">
            <v>30021</v>
          </cell>
        </row>
        <row r="146">
          <cell r="A146">
            <v>30022</v>
          </cell>
        </row>
        <row r="147">
          <cell r="A147">
            <v>30023</v>
          </cell>
        </row>
        <row r="148">
          <cell r="A148">
            <v>30024</v>
          </cell>
        </row>
        <row r="149">
          <cell r="A149">
            <v>30025</v>
          </cell>
        </row>
        <row r="150">
          <cell r="A150">
            <v>30026</v>
          </cell>
        </row>
        <row r="151">
          <cell r="A151">
            <v>30027</v>
          </cell>
        </row>
        <row r="152">
          <cell r="A152">
            <v>30028</v>
          </cell>
        </row>
        <row r="153">
          <cell r="A153">
            <v>30029</v>
          </cell>
        </row>
        <row r="154">
          <cell r="A154">
            <v>30030</v>
          </cell>
        </row>
        <row r="155">
          <cell r="A155">
            <v>30031</v>
          </cell>
        </row>
        <row r="156">
          <cell r="A156">
            <v>30032</v>
          </cell>
        </row>
        <row r="157">
          <cell r="A157">
            <v>30033</v>
          </cell>
        </row>
        <row r="158">
          <cell r="A158">
            <v>30034</v>
          </cell>
        </row>
        <row r="159">
          <cell r="A159">
            <v>30035</v>
          </cell>
        </row>
        <row r="160">
          <cell r="A160">
            <v>30036</v>
          </cell>
        </row>
        <row r="161">
          <cell r="A161">
            <v>30037</v>
          </cell>
        </row>
        <row r="162">
          <cell r="A162">
            <v>30038</v>
          </cell>
        </row>
        <row r="163">
          <cell r="A163">
            <v>30039</v>
          </cell>
        </row>
        <row r="164">
          <cell r="A164">
            <v>30040</v>
          </cell>
        </row>
        <row r="165">
          <cell r="A165">
            <v>30041</v>
          </cell>
        </row>
        <row r="166">
          <cell r="A166">
            <v>30042</v>
          </cell>
        </row>
        <row r="167">
          <cell r="A167">
            <v>39001</v>
          </cell>
        </row>
        <row r="168">
          <cell r="A168">
            <v>39002</v>
          </cell>
        </row>
        <row r="169">
          <cell r="A169">
            <v>39003</v>
          </cell>
        </row>
        <row r="170">
          <cell r="A170">
            <v>39004</v>
          </cell>
        </row>
        <row r="171">
          <cell r="A171">
            <v>39005</v>
          </cell>
        </row>
        <row r="172">
          <cell r="A172">
            <v>39006</v>
          </cell>
        </row>
        <row r="173">
          <cell r="A173">
            <v>39007</v>
          </cell>
        </row>
        <row r="174">
          <cell r="A174">
            <v>40001</v>
          </cell>
        </row>
        <row r="175">
          <cell r="A175">
            <v>40002</v>
          </cell>
        </row>
        <row r="176">
          <cell r="A176">
            <v>40003</v>
          </cell>
        </row>
        <row r="177">
          <cell r="A177">
            <v>40004</v>
          </cell>
        </row>
        <row r="178">
          <cell r="A178">
            <v>40005</v>
          </cell>
        </row>
        <row r="179">
          <cell r="A179">
            <v>40006</v>
          </cell>
        </row>
        <row r="180">
          <cell r="A180">
            <v>40007</v>
          </cell>
        </row>
        <row r="181">
          <cell r="A181">
            <v>40008</v>
          </cell>
        </row>
        <row r="182">
          <cell r="A182">
            <v>40009</v>
          </cell>
        </row>
        <row r="183">
          <cell r="A183">
            <v>40010</v>
          </cell>
        </row>
        <row r="184">
          <cell r="A184">
            <v>40011</v>
          </cell>
        </row>
        <row r="185">
          <cell r="A185">
            <v>40012</v>
          </cell>
        </row>
        <row r="186">
          <cell r="A186">
            <v>40013</v>
          </cell>
        </row>
        <row r="187">
          <cell r="A187">
            <v>40014</v>
          </cell>
        </row>
        <row r="188">
          <cell r="A188">
            <v>40015</v>
          </cell>
        </row>
        <row r="189">
          <cell r="A189">
            <v>40016</v>
          </cell>
        </row>
        <row r="190">
          <cell r="A190">
            <v>40017</v>
          </cell>
        </row>
        <row r="191">
          <cell r="A191">
            <v>40018</v>
          </cell>
        </row>
        <row r="192">
          <cell r="A192">
            <v>40019</v>
          </cell>
        </row>
        <row r="193">
          <cell r="A193">
            <v>40021</v>
          </cell>
        </row>
        <row r="194">
          <cell r="A194">
            <v>40022</v>
          </cell>
        </row>
        <row r="195">
          <cell r="A195">
            <v>40023</v>
          </cell>
        </row>
        <row r="196">
          <cell r="A196">
            <v>40024</v>
          </cell>
        </row>
        <row r="197">
          <cell r="A197">
            <v>40025</v>
          </cell>
        </row>
        <row r="198">
          <cell r="A198">
            <v>40026</v>
          </cell>
        </row>
        <row r="199">
          <cell r="A199">
            <v>40027</v>
          </cell>
        </row>
        <row r="200">
          <cell r="A200">
            <v>40028</v>
          </cell>
        </row>
        <row r="201">
          <cell r="A201">
            <v>40029</v>
          </cell>
        </row>
        <row r="202">
          <cell r="A202">
            <v>40030</v>
          </cell>
        </row>
        <row r="203">
          <cell r="A203">
            <v>40031</v>
          </cell>
        </row>
        <row r="204">
          <cell r="A204">
            <v>40032</v>
          </cell>
        </row>
        <row r="205">
          <cell r="A205">
            <v>48001</v>
          </cell>
        </row>
        <row r="206">
          <cell r="A206">
            <v>48002</v>
          </cell>
        </row>
        <row r="207">
          <cell r="A207">
            <v>48003</v>
          </cell>
        </row>
        <row r="208">
          <cell r="A208">
            <v>48004</v>
          </cell>
        </row>
        <row r="209">
          <cell r="A209">
            <v>48005</v>
          </cell>
        </row>
        <row r="210">
          <cell r="A210">
            <v>48006</v>
          </cell>
        </row>
        <row r="211">
          <cell r="A211">
            <v>41001</v>
          </cell>
        </row>
        <row r="212">
          <cell r="A212">
            <v>41002</v>
          </cell>
        </row>
        <row r="213">
          <cell r="A213">
            <v>41003</v>
          </cell>
        </row>
        <row r="214">
          <cell r="A214">
            <v>41004</v>
          </cell>
        </row>
        <row r="215">
          <cell r="A215">
            <v>41005</v>
          </cell>
        </row>
        <row r="216">
          <cell r="A216">
            <v>41006</v>
          </cell>
        </row>
        <row r="217">
          <cell r="A217">
            <v>41007</v>
          </cell>
        </row>
        <row r="218">
          <cell r="A218">
            <v>41008</v>
          </cell>
        </row>
        <row r="219">
          <cell r="A219">
            <v>41009</v>
          </cell>
        </row>
        <row r="220">
          <cell r="A220">
            <v>41010</v>
          </cell>
        </row>
        <row r="221">
          <cell r="A221">
            <v>41011</v>
          </cell>
        </row>
        <row r="222">
          <cell r="A222">
            <v>41012</v>
          </cell>
        </row>
        <row r="223">
          <cell r="A223">
            <v>41013</v>
          </cell>
        </row>
        <row r="224">
          <cell r="A224">
            <v>41014</v>
          </cell>
        </row>
        <row r="225">
          <cell r="A225">
            <v>41015</v>
          </cell>
        </row>
        <row r="226">
          <cell r="A226">
            <v>47001</v>
          </cell>
        </row>
        <row r="227">
          <cell r="A227">
            <v>47002</v>
          </cell>
        </row>
        <row r="228">
          <cell r="A228">
            <v>49001</v>
          </cell>
        </row>
        <row r="229">
          <cell r="A229">
            <v>49002</v>
          </cell>
        </row>
        <row r="230">
          <cell r="A230">
            <v>49003</v>
          </cell>
        </row>
        <row r="231">
          <cell r="A231">
            <v>49004</v>
          </cell>
        </row>
        <row r="232">
          <cell r="A232">
            <v>49005</v>
          </cell>
        </row>
        <row r="233">
          <cell r="A233">
            <v>49006</v>
          </cell>
        </row>
        <row r="234">
          <cell r="A234">
            <v>49007</v>
          </cell>
        </row>
        <row r="235">
          <cell r="A235">
            <v>50001</v>
          </cell>
        </row>
        <row r="236">
          <cell r="A236">
            <v>50002</v>
          </cell>
        </row>
        <row r="237">
          <cell r="A237">
            <v>50003</v>
          </cell>
        </row>
        <row r="238">
          <cell r="A238">
            <v>50004</v>
          </cell>
        </row>
        <row r="239">
          <cell r="A239">
            <v>50005</v>
          </cell>
        </row>
        <row r="240">
          <cell r="A240">
            <v>50006</v>
          </cell>
        </row>
        <row r="241">
          <cell r="A241">
            <v>50007</v>
          </cell>
        </row>
        <row r="242">
          <cell r="A242">
            <v>51001</v>
          </cell>
        </row>
        <row r="243">
          <cell r="A243">
            <v>51002</v>
          </cell>
        </row>
        <row r="244">
          <cell r="A244">
            <v>60001</v>
          </cell>
        </row>
        <row r="245">
          <cell r="A245">
            <v>60002</v>
          </cell>
        </row>
        <row r="246">
          <cell r="A246">
            <v>60003</v>
          </cell>
        </row>
        <row r="247">
          <cell r="A247">
            <v>60004</v>
          </cell>
        </row>
        <row r="248">
          <cell r="A248">
            <v>60005</v>
          </cell>
        </row>
        <row r="249">
          <cell r="A249">
            <v>60006</v>
          </cell>
        </row>
        <row r="250">
          <cell r="A250">
            <v>60007</v>
          </cell>
        </row>
        <row r="251">
          <cell r="A251">
            <v>60010</v>
          </cell>
        </row>
        <row r="252">
          <cell r="A252">
            <v>60011</v>
          </cell>
        </row>
        <row r="253">
          <cell r="A253">
            <v>61011</v>
          </cell>
        </row>
        <row r="254">
          <cell r="A254">
            <v>60012</v>
          </cell>
        </row>
        <row r="255">
          <cell r="A255">
            <v>60013</v>
          </cell>
        </row>
        <row r="256">
          <cell r="A256">
            <v>60014</v>
          </cell>
        </row>
        <row r="257">
          <cell r="A257">
            <v>60015</v>
          </cell>
        </row>
        <row r="258">
          <cell r="A258">
            <v>60016</v>
          </cell>
        </row>
        <row r="259">
          <cell r="A259">
            <v>65525</v>
          </cell>
        </row>
        <row r="260">
          <cell r="A260">
            <v>65533</v>
          </cell>
        </row>
        <row r="261">
          <cell r="A261">
            <v>65534</v>
          </cell>
        </row>
        <row r="262">
          <cell r="A262">
            <v>65535</v>
          </cell>
        </row>
        <row r="263">
          <cell r="A263">
            <v>60021</v>
          </cell>
        </row>
        <row r="264">
          <cell r="A264">
            <v>60022</v>
          </cell>
        </row>
        <row r="265">
          <cell r="A265">
            <v>60023</v>
          </cell>
        </row>
        <row r="266">
          <cell r="A26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11018_1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14001_1</v>
          </cell>
        </row>
        <row r="372">
          <cell r="A372" t="str">
            <v>14001_2</v>
          </cell>
        </row>
        <row r="373">
          <cell r="A373" t="str">
            <v>14001_3</v>
          </cell>
        </row>
        <row r="374">
          <cell r="A374" t="str">
            <v>14001_4</v>
          </cell>
        </row>
        <row r="375">
          <cell r="A375" t="str">
            <v>14001_5</v>
          </cell>
        </row>
        <row r="376">
          <cell r="A376" t="str">
            <v>14001_6</v>
          </cell>
        </row>
        <row r="377">
          <cell r="A377" t="str">
            <v>14001_7</v>
          </cell>
        </row>
        <row r="378">
          <cell r="A378" t="str">
            <v>14001_8</v>
          </cell>
        </row>
        <row r="379">
          <cell r="A379" t="str">
            <v>14002_1</v>
          </cell>
        </row>
        <row r="380">
          <cell r="A380" t="str">
            <v>14002_2</v>
          </cell>
        </row>
        <row r="381">
          <cell r="A381" t="str">
            <v>14003_1</v>
          </cell>
        </row>
        <row r="382">
          <cell r="A382" t="str">
            <v>14003_2</v>
          </cell>
        </row>
        <row r="383">
          <cell r="A383" t="str">
            <v>14003_3</v>
          </cell>
        </row>
        <row r="384">
          <cell r="A384" t="str">
            <v>14003_4</v>
          </cell>
        </row>
        <row r="385">
          <cell r="A385" t="str">
            <v>14004_1</v>
          </cell>
        </row>
        <row r="386">
          <cell r="A386" t="str">
            <v>14004_2</v>
          </cell>
        </row>
        <row r="387">
          <cell r="A387" t="str">
            <v>14004_3</v>
          </cell>
        </row>
        <row r="388">
          <cell r="A388" t="str">
            <v>14004_4</v>
          </cell>
        </row>
        <row r="389">
          <cell r="A389" t="str">
            <v>14005_1</v>
          </cell>
        </row>
        <row r="390">
          <cell r="A390" t="str">
            <v>14006_1</v>
          </cell>
        </row>
        <row r="391">
          <cell r="A391" t="str">
            <v>15027_1</v>
          </cell>
        </row>
        <row r="392">
          <cell r="A392" t="str">
            <v>15027_2</v>
          </cell>
        </row>
        <row r="393">
          <cell r="A393" t="str">
            <v>15027_3</v>
          </cell>
        </row>
        <row r="394">
          <cell r="A394" t="str">
            <v>15027_4</v>
          </cell>
        </row>
        <row r="395">
          <cell r="A395" t="str">
            <v>15028_1</v>
          </cell>
        </row>
        <row r="396">
          <cell r="A396" t="str">
            <v>15028_2</v>
          </cell>
        </row>
        <row r="397">
          <cell r="A397" t="str">
            <v>15028_3</v>
          </cell>
        </row>
        <row r="398">
          <cell r="A398" t="str">
            <v>15028_4</v>
          </cell>
        </row>
        <row r="399">
          <cell r="A399" t="str">
            <v>15029_1</v>
          </cell>
        </row>
        <row r="400">
          <cell r="A400" t="str">
            <v>15029_2</v>
          </cell>
        </row>
        <row r="401">
          <cell r="A401" t="str">
            <v>15029_3</v>
          </cell>
        </row>
        <row r="402">
          <cell r="A402" t="str">
            <v>15029_4</v>
          </cell>
        </row>
        <row r="403">
          <cell r="A403" t="str">
            <v>15030_1</v>
          </cell>
        </row>
        <row r="404">
          <cell r="A404" t="str">
            <v>15030_2</v>
          </cell>
        </row>
        <row r="405">
          <cell r="A405" t="str">
            <v>15030_3</v>
          </cell>
        </row>
        <row r="406">
          <cell r="A406" t="str">
            <v>15030_4</v>
          </cell>
        </row>
        <row r="407">
          <cell r="A407" t="str">
            <v>15031_1</v>
          </cell>
        </row>
        <row r="408">
          <cell r="A408" t="str">
            <v>15031_2</v>
          </cell>
        </row>
        <row r="409">
          <cell r="A409" t="str">
            <v>15031_3</v>
          </cell>
        </row>
        <row r="410">
          <cell r="A410" t="str">
            <v>15031_4</v>
          </cell>
        </row>
        <row r="411">
          <cell r="A411" t="str">
            <v>20001_1</v>
          </cell>
        </row>
        <row r="412">
          <cell r="A412" t="str">
            <v>20001_2</v>
          </cell>
        </row>
        <row r="413">
          <cell r="A413" t="str">
            <v>20001_3</v>
          </cell>
        </row>
        <row r="414">
          <cell r="A414" t="str">
            <v>20002_1</v>
          </cell>
        </row>
        <row r="415">
          <cell r="A415" t="str">
            <v>20002_2</v>
          </cell>
        </row>
        <row r="416">
          <cell r="A416" t="str">
            <v>20002_3</v>
          </cell>
        </row>
        <row r="417">
          <cell r="A417" t="str">
            <v>20003_1</v>
          </cell>
        </row>
        <row r="418">
          <cell r="A418" t="str">
            <v>20003_2</v>
          </cell>
        </row>
        <row r="419">
          <cell r="A419" t="str">
            <v>20003_3</v>
          </cell>
        </row>
        <row r="420">
          <cell r="A420" t="str">
            <v>20004_1</v>
          </cell>
        </row>
        <row r="421">
          <cell r="A421" t="str">
            <v>20004_2</v>
          </cell>
        </row>
        <row r="422">
          <cell r="A422" t="str">
            <v>20004_3</v>
          </cell>
        </row>
        <row r="423">
          <cell r="A423" t="str">
            <v>20005_1</v>
          </cell>
        </row>
        <row r="424">
          <cell r="A424" t="str">
            <v>20005_2</v>
          </cell>
        </row>
        <row r="425">
          <cell r="A425" t="str">
            <v>20005_3</v>
          </cell>
        </row>
        <row r="426">
          <cell r="A426" t="str">
            <v>20006_1</v>
          </cell>
        </row>
        <row r="427">
          <cell r="A427" t="str">
            <v>20006_2</v>
          </cell>
        </row>
        <row r="428">
          <cell r="A428" t="str">
            <v>20006_3</v>
          </cell>
        </row>
        <row r="429">
          <cell r="A429" t="str">
            <v>20007_1</v>
          </cell>
        </row>
        <row r="430">
          <cell r="A430" t="str">
            <v>20007_2</v>
          </cell>
        </row>
        <row r="431">
          <cell r="A431" t="str">
            <v>20007_3</v>
          </cell>
        </row>
        <row r="432">
          <cell r="A432" t="str">
            <v>20008_1</v>
          </cell>
        </row>
        <row r="433">
          <cell r="A433" t="str">
            <v>20008_2</v>
          </cell>
        </row>
        <row r="434">
          <cell r="A434" t="str">
            <v>20008_3</v>
          </cell>
        </row>
        <row r="435">
          <cell r="A435" t="str">
            <v>20009_1</v>
          </cell>
        </row>
        <row r="436">
          <cell r="A436" t="str">
            <v>20009_2</v>
          </cell>
        </row>
        <row r="437">
          <cell r="A437" t="str">
            <v>20009_3</v>
          </cell>
        </row>
        <row r="438">
          <cell r="A438" t="str">
            <v>20010_1</v>
          </cell>
        </row>
        <row r="439">
          <cell r="A439" t="str">
            <v>20010_2</v>
          </cell>
        </row>
        <row r="440">
          <cell r="A440" t="str">
            <v>20010_3</v>
          </cell>
        </row>
        <row r="441">
          <cell r="A441" t="str">
            <v>20011_1</v>
          </cell>
        </row>
        <row r="442">
          <cell r="A442" t="str">
            <v>20011_2</v>
          </cell>
        </row>
        <row r="443">
          <cell r="A443" t="str">
            <v>20011_3</v>
          </cell>
        </row>
        <row r="444">
          <cell r="A444" t="str">
            <v>20012_1</v>
          </cell>
        </row>
        <row r="445">
          <cell r="A445" t="str">
            <v>20012_2</v>
          </cell>
        </row>
        <row r="446">
          <cell r="A446" t="str">
            <v>20012_3</v>
          </cell>
        </row>
        <row r="447">
          <cell r="A447" t="str">
            <v>20013_1</v>
          </cell>
        </row>
        <row r="448">
          <cell r="A448" t="str">
            <v>20013_2</v>
          </cell>
        </row>
        <row r="449">
          <cell r="A449" t="str">
            <v>20013_3</v>
          </cell>
        </row>
        <row r="450">
          <cell r="A450" t="str">
            <v>20014_1</v>
          </cell>
        </row>
        <row r="451">
          <cell r="A451" t="str">
            <v>20014_2</v>
          </cell>
        </row>
        <row r="452">
          <cell r="A452" t="str">
            <v>20014_3</v>
          </cell>
        </row>
        <row r="453">
          <cell r="A453" t="str">
            <v>20015_1</v>
          </cell>
        </row>
        <row r="454">
          <cell r="A454" t="str">
            <v>20015_2</v>
          </cell>
        </row>
        <row r="455">
          <cell r="A455" t="str">
            <v>20015_3</v>
          </cell>
        </row>
        <row r="456">
          <cell r="A456" t="str">
            <v>20016_1</v>
          </cell>
        </row>
        <row r="457">
          <cell r="A457" t="str">
            <v>20016_2</v>
          </cell>
        </row>
        <row r="458">
          <cell r="A458" t="str">
            <v>20016_3</v>
          </cell>
        </row>
        <row r="459">
          <cell r="A459" t="str">
            <v>20017_1</v>
          </cell>
        </row>
        <row r="460">
          <cell r="A460" t="str">
            <v>20017_2</v>
          </cell>
        </row>
        <row r="461">
          <cell r="A461" t="str">
            <v>20017_3</v>
          </cell>
        </row>
        <row r="462">
          <cell r="A462" t="str">
            <v>20018_1</v>
          </cell>
        </row>
        <row r="463">
          <cell r="A463" t="str">
            <v>20018_2</v>
          </cell>
        </row>
        <row r="464">
          <cell r="A464" t="str">
            <v>20018_3</v>
          </cell>
        </row>
        <row r="465">
          <cell r="A465" t="str">
            <v>20019_1</v>
          </cell>
        </row>
        <row r="466">
          <cell r="A466" t="str">
            <v>20019_2</v>
          </cell>
        </row>
        <row r="467">
          <cell r="A467" t="str">
            <v>20019_3</v>
          </cell>
        </row>
        <row r="468">
          <cell r="A468" t="str">
            <v>20020_1</v>
          </cell>
        </row>
        <row r="469">
          <cell r="A469" t="str">
            <v>20020_2</v>
          </cell>
        </row>
        <row r="470">
          <cell r="A470" t="str">
            <v>20020_3</v>
          </cell>
        </row>
        <row r="471">
          <cell r="A471" t="str">
            <v>20021_1</v>
          </cell>
        </row>
        <row r="472">
          <cell r="A472" t="str">
            <v>20021_2</v>
          </cell>
        </row>
        <row r="473">
          <cell r="A473" t="str">
            <v>20021_3</v>
          </cell>
        </row>
        <row r="474">
          <cell r="A474" t="str">
            <v>30001_1</v>
          </cell>
        </row>
        <row r="475">
          <cell r="A475" t="str">
            <v>30001_2</v>
          </cell>
        </row>
        <row r="476">
          <cell r="A476" t="str">
            <v>30001_3</v>
          </cell>
        </row>
        <row r="477">
          <cell r="A477" t="str">
            <v>30002_1</v>
          </cell>
        </row>
        <row r="478">
          <cell r="A478" t="str">
            <v>30002_2</v>
          </cell>
        </row>
        <row r="479">
          <cell r="A479" t="str">
            <v>30002_3</v>
          </cell>
        </row>
        <row r="480">
          <cell r="A480" t="str">
            <v>30003_1</v>
          </cell>
        </row>
        <row r="481">
          <cell r="A481" t="str">
            <v>30003_2</v>
          </cell>
        </row>
        <row r="482">
          <cell r="A482" t="str">
            <v>30003_3</v>
          </cell>
        </row>
        <row r="483">
          <cell r="A483" t="str">
            <v>30004_1</v>
          </cell>
        </row>
        <row r="484">
          <cell r="A484" t="str">
            <v>30004_2</v>
          </cell>
        </row>
        <row r="485">
          <cell r="A485" t="str">
            <v>30004_3</v>
          </cell>
        </row>
        <row r="486">
          <cell r="A486" t="str">
            <v>30005_1</v>
          </cell>
        </row>
        <row r="487">
          <cell r="A487" t="str">
            <v>30005_2</v>
          </cell>
        </row>
        <row r="488">
          <cell r="A488" t="str">
            <v>30005_3</v>
          </cell>
        </row>
        <row r="489">
          <cell r="A489" t="str">
            <v>30006_1</v>
          </cell>
        </row>
        <row r="490">
          <cell r="A490" t="str">
            <v>30006_2</v>
          </cell>
        </row>
        <row r="491">
          <cell r="A491" t="str">
            <v>30006_3</v>
          </cell>
        </row>
        <row r="492">
          <cell r="A492" t="str">
            <v>30007_1</v>
          </cell>
        </row>
        <row r="493">
          <cell r="A493" t="str">
            <v>30007_2</v>
          </cell>
        </row>
        <row r="494">
          <cell r="A494" t="str">
            <v>30007_3</v>
          </cell>
        </row>
        <row r="495">
          <cell r="A495" t="str">
            <v>30008_1</v>
          </cell>
        </row>
        <row r="496">
          <cell r="A496" t="str">
            <v>30008_2</v>
          </cell>
        </row>
        <row r="497">
          <cell r="A497" t="str">
            <v>30008_3</v>
          </cell>
        </row>
        <row r="498">
          <cell r="A498" t="str">
            <v>30009_3</v>
          </cell>
        </row>
        <row r="499">
          <cell r="A499" t="str">
            <v>30009_1</v>
          </cell>
        </row>
        <row r="500">
          <cell r="A500" t="str">
            <v>30009_2</v>
          </cell>
        </row>
        <row r="501">
          <cell r="A501" t="str">
            <v>30010_1</v>
          </cell>
        </row>
        <row r="502">
          <cell r="A502" t="str">
            <v>30010_2</v>
          </cell>
        </row>
        <row r="503">
          <cell r="A503" t="str">
            <v>30010_3</v>
          </cell>
        </row>
        <row r="504">
          <cell r="A504" t="str">
            <v>30011_1</v>
          </cell>
        </row>
        <row r="505">
          <cell r="A505" t="str">
            <v>30011_2</v>
          </cell>
        </row>
        <row r="506">
          <cell r="A506" t="str">
            <v>30011_3</v>
          </cell>
        </row>
        <row r="507">
          <cell r="A507" t="str">
            <v>30012_1</v>
          </cell>
        </row>
        <row r="508">
          <cell r="A508" t="str">
            <v>30012_2</v>
          </cell>
        </row>
        <row r="509">
          <cell r="A509" t="str">
            <v>30012_3</v>
          </cell>
        </row>
        <row r="510">
          <cell r="A510" t="str">
            <v>30013_1</v>
          </cell>
        </row>
        <row r="511">
          <cell r="A511" t="str">
            <v>30013_2</v>
          </cell>
        </row>
        <row r="512">
          <cell r="A512" t="str">
            <v>30014_1</v>
          </cell>
        </row>
        <row r="513">
          <cell r="A513" t="str">
            <v>30014_2</v>
          </cell>
        </row>
        <row r="514">
          <cell r="A514" t="str">
            <v>30015_1</v>
          </cell>
        </row>
        <row r="515">
          <cell r="A515" t="str">
            <v>30015_2</v>
          </cell>
        </row>
        <row r="516">
          <cell r="A516" t="str">
            <v>30016_1</v>
          </cell>
        </row>
        <row r="517">
          <cell r="A517" t="str">
            <v>30016_2</v>
          </cell>
        </row>
        <row r="518">
          <cell r="A518" t="str">
            <v>30017_1</v>
          </cell>
        </row>
        <row r="519">
          <cell r="A519" t="str">
            <v>30017_2</v>
          </cell>
        </row>
        <row r="520">
          <cell r="A520" t="str">
            <v>30018_1</v>
          </cell>
        </row>
        <row r="521">
          <cell r="A521" t="str">
            <v>30018_2</v>
          </cell>
        </row>
        <row r="522">
          <cell r="A522" t="str">
            <v>30019_1</v>
          </cell>
        </row>
        <row r="523">
          <cell r="A523" t="str">
            <v>30019_2</v>
          </cell>
        </row>
        <row r="524">
          <cell r="A524" t="str">
            <v>30020_1</v>
          </cell>
        </row>
        <row r="525">
          <cell r="A525" t="str">
            <v>30020_2</v>
          </cell>
        </row>
        <row r="526">
          <cell r="A526" t="str">
            <v>30021_1</v>
          </cell>
        </row>
        <row r="527">
          <cell r="A527" t="str">
            <v>30021_2</v>
          </cell>
        </row>
        <row r="528">
          <cell r="A528" t="str">
            <v>30021_3</v>
          </cell>
        </row>
        <row r="529">
          <cell r="A529" t="str">
            <v>30022_1</v>
          </cell>
        </row>
        <row r="530">
          <cell r="A530" t="str">
            <v>30022_2</v>
          </cell>
        </row>
        <row r="531">
          <cell r="A531" t="str">
            <v>30023_1</v>
          </cell>
        </row>
        <row r="532">
          <cell r="A532" t="str">
            <v>30023_2</v>
          </cell>
        </row>
        <row r="533">
          <cell r="A533" t="str">
            <v>30023_3</v>
          </cell>
        </row>
        <row r="534">
          <cell r="A534" t="str">
            <v>30024_1</v>
          </cell>
        </row>
        <row r="535">
          <cell r="A535" t="str">
            <v>30024_2</v>
          </cell>
        </row>
        <row r="536">
          <cell r="A536" t="str">
            <v>30024_3</v>
          </cell>
        </row>
        <row r="537">
          <cell r="A537" t="str">
            <v>30025_1</v>
          </cell>
        </row>
        <row r="538">
          <cell r="A538" t="str">
            <v>30025_2</v>
          </cell>
        </row>
        <row r="539">
          <cell r="A539" t="str">
            <v>30025_3</v>
          </cell>
        </row>
        <row r="540">
          <cell r="A540" t="str">
            <v>30026_1</v>
          </cell>
        </row>
        <row r="541">
          <cell r="A541" t="str">
            <v>30026_2</v>
          </cell>
        </row>
        <row r="542">
          <cell r="A542" t="str">
            <v>30026_3</v>
          </cell>
        </row>
        <row r="543">
          <cell r="A543" t="str">
            <v>30027_1</v>
          </cell>
        </row>
        <row r="544">
          <cell r="A544" t="str">
            <v>30027_2</v>
          </cell>
        </row>
        <row r="545">
          <cell r="A545" t="str">
            <v>30027_3</v>
          </cell>
        </row>
        <row r="546">
          <cell r="A546" t="str">
            <v>30028_1</v>
          </cell>
        </row>
        <row r="547">
          <cell r="A547" t="str">
            <v>30028_2</v>
          </cell>
        </row>
        <row r="548">
          <cell r="A548" t="str">
            <v>30028_3</v>
          </cell>
        </row>
        <row r="549">
          <cell r="A549" t="str">
            <v>30029_1</v>
          </cell>
        </row>
        <row r="550">
          <cell r="A550" t="str">
            <v>30029_2</v>
          </cell>
        </row>
        <row r="551">
          <cell r="A551" t="str">
            <v>30029_3</v>
          </cell>
        </row>
        <row r="552">
          <cell r="A552" t="str">
            <v>30030_1</v>
          </cell>
        </row>
        <row r="553">
          <cell r="A553" t="str">
            <v>30030_2</v>
          </cell>
        </row>
        <row r="554">
          <cell r="A554" t="str">
            <v>30030_3</v>
          </cell>
        </row>
        <row r="555">
          <cell r="A555" t="str">
            <v>30031_1</v>
          </cell>
        </row>
        <row r="556">
          <cell r="A556" t="str">
            <v>30031_2</v>
          </cell>
        </row>
        <row r="557">
          <cell r="A557" t="str">
            <v>30031_3</v>
          </cell>
        </row>
        <row r="558">
          <cell r="A558" t="str">
            <v>30032_1</v>
          </cell>
        </row>
        <row r="559">
          <cell r="A559" t="str">
            <v>30032_2</v>
          </cell>
        </row>
        <row r="560">
          <cell r="A560" t="str">
            <v>30032_3</v>
          </cell>
        </row>
        <row r="561">
          <cell r="A561" t="str">
            <v>30033_1</v>
          </cell>
        </row>
        <row r="562">
          <cell r="A562" t="str">
            <v>30033_2</v>
          </cell>
        </row>
        <row r="563">
          <cell r="A563" t="str">
            <v>30033_3</v>
          </cell>
        </row>
        <row r="564">
          <cell r="A564" t="str">
            <v>30034_1</v>
          </cell>
        </row>
        <row r="565">
          <cell r="A565" t="str">
            <v>30034_2</v>
          </cell>
        </row>
        <row r="566">
          <cell r="A566" t="str">
            <v>30034_3</v>
          </cell>
        </row>
        <row r="567">
          <cell r="A567" t="str">
            <v>30035_1</v>
          </cell>
        </row>
        <row r="568">
          <cell r="A568" t="str">
            <v>30035_2</v>
          </cell>
        </row>
        <row r="569">
          <cell r="A569" t="str">
            <v>30035_3</v>
          </cell>
        </row>
        <row r="570">
          <cell r="A570" t="str">
            <v>30036_1</v>
          </cell>
        </row>
        <row r="571">
          <cell r="A571" t="str">
            <v>30036_2</v>
          </cell>
        </row>
        <row r="572">
          <cell r="A572" t="str">
            <v>30036_3</v>
          </cell>
        </row>
        <row r="573">
          <cell r="A573" t="str">
            <v>30037_1</v>
          </cell>
        </row>
        <row r="574">
          <cell r="A574" t="str">
            <v>30037_2</v>
          </cell>
        </row>
        <row r="575">
          <cell r="A575" t="str">
            <v>30037_3</v>
          </cell>
        </row>
        <row r="576">
          <cell r="A576" t="str">
            <v>30038_1</v>
          </cell>
        </row>
        <row r="577">
          <cell r="A577" t="str">
            <v>30038_2</v>
          </cell>
        </row>
        <row r="578">
          <cell r="A578" t="str">
            <v>30038_3</v>
          </cell>
        </row>
        <row r="579">
          <cell r="A579" t="str">
            <v>30039_1</v>
          </cell>
        </row>
        <row r="580">
          <cell r="A580" t="str">
            <v>30039_2</v>
          </cell>
        </row>
        <row r="581">
          <cell r="A581" t="str">
            <v>30039_3</v>
          </cell>
        </row>
        <row r="582">
          <cell r="A582" t="str">
            <v>30040_1</v>
          </cell>
        </row>
        <row r="583">
          <cell r="A583" t="str">
            <v>30040_2</v>
          </cell>
        </row>
        <row r="584">
          <cell r="A584" t="str">
            <v>30040_3</v>
          </cell>
        </row>
        <row r="585">
          <cell r="A585" t="str">
            <v>30041_1</v>
          </cell>
        </row>
        <row r="586">
          <cell r="A586" t="str">
            <v>30041_2</v>
          </cell>
        </row>
        <row r="587">
          <cell r="A587" t="str">
            <v>30041_3</v>
          </cell>
        </row>
        <row r="588">
          <cell r="A588" t="str">
            <v>30042_1</v>
          </cell>
        </row>
        <row r="589">
          <cell r="A589" t="str">
            <v>30042_2</v>
          </cell>
        </row>
        <row r="590">
          <cell r="A590" t="str">
            <v>30042_3</v>
          </cell>
        </row>
        <row r="591">
          <cell r="A591" t="str">
            <v>39001_1</v>
          </cell>
        </row>
        <row r="592">
          <cell r="A592" t="str">
            <v>39001_2</v>
          </cell>
        </row>
        <row r="593">
          <cell r="A593" t="str">
            <v>39001_3</v>
          </cell>
        </row>
        <row r="594">
          <cell r="A594" t="str">
            <v>39001_4</v>
          </cell>
        </row>
        <row r="595">
          <cell r="A595" t="str">
            <v>39001_5</v>
          </cell>
        </row>
        <row r="596">
          <cell r="A596" t="str">
            <v>39002_1</v>
          </cell>
        </row>
        <row r="597">
          <cell r="A597" t="str">
            <v>39002_2</v>
          </cell>
        </row>
        <row r="598">
          <cell r="A598" t="str">
            <v>39002_3</v>
          </cell>
        </row>
        <row r="599">
          <cell r="A599" t="str">
            <v>39002_4</v>
          </cell>
        </row>
        <row r="600">
          <cell r="A600" t="str">
            <v>39003_1</v>
          </cell>
        </row>
        <row r="601">
          <cell r="A601" t="str">
            <v>39003_2</v>
          </cell>
        </row>
        <row r="602">
          <cell r="A602" t="str">
            <v>39003_3</v>
          </cell>
        </row>
        <row r="603">
          <cell r="A603" t="str">
            <v>39003_4</v>
          </cell>
        </row>
        <row r="604">
          <cell r="A604" t="str">
            <v>39004_1</v>
          </cell>
        </row>
        <row r="605">
          <cell r="A605" t="str">
            <v>39004_2</v>
          </cell>
        </row>
        <row r="606">
          <cell r="A606" t="str">
            <v>39004_3</v>
          </cell>
        </row>
        <row r="607">
          <cell r="A607" t="str">
            <v>39004_4</v>
          </cell>
        </row>
        <row r="608">
          <cell r="A608" t="str">
            <v>39005_1</v>
          </cell>
        </row>
        <row r="609">
          <cell r="A609" t="str">
            <v>39005_2</v>
          </cell>
        </row>
        <row r="610">
          <cell r="A610" t="str">
            <v>39005_3</v>
          </cell>
        </row>
        <row r="611">
          <cell r="A611" t="str">
            <v>39005_4</v>
          </cell>
        </row>
        <row r="612">
          <cell r="A612" t="str">
            <v>39005_5</v>
          </cell>
        </row>
        <row r="613">
          <cell r="A613" t="str">
            <v>39006_1</v>
          </cell>
        </row>
        <row r="614">
          <cell r="A614" t="str">
            <v>39006_2</v>
          </cell>
        </row>
        <row r="615">
          <cell r="A615" t="str">
            <v>39006_3</v>
          </cell>
        </row>
        <row r="616">
          <cell r="A616" t="str">
            <v>39006_4</v>
          </cell>
        </row>
        <row r="617">
          <cell r="A617" t="str">
            <v>39007_1</v>
          </cell>
        </row>
        <row r="618">
          <cell r="A618" t="str">
            <v>39007_2</v>
          </cell>
        </row>
        <row r="619">
          <cell r="A619" t="str">
            <v>39007_3</v>
          </cell>
        </row>
        <row r="620">
          <cell r="A620" t="str">
            <v>39007_4</v>
          </cell>
        </row>
        <row r="621">
          <cell r="A621" t="str">
            <v>40001_1</v>
          </cell>
        </row>
        <row r="622">
          <cell r="A622" t="str">
            <v>40002_1</v>
          </cell>
        </row>
        <row r="623">
          <cell r="A623" t="str">
            <v>40002_2</v>
          </cell>
        </row>
        <row r="624">
          <cell r="A624" t="str">
            <v>40002_3</v>
          </cell>
        </row>
        <row r="625">
          <cell r="A625" t="str">
            <v>40003_1</v>
          </cell>
        </row>
        <row r="626">
          <cell r="A626" t="str">
            <v>40004_1</v>
          </cell>
        </row>
        <row r="627">
          <cell r="A627" t="str">
            <v>40005_1</v>
          </cell>
        </row>
        <row r="628">
          <cell r="A628" t="str">
            <v>40006_1</v>
          </cell>
        </row>
        <row r="629">
          <cell r="A629" t="str">
            <v>40007_1</v>
          </cell>
        </row>
        <row r="630">
          <cell r="A630" t="str">
            <v>40008_1</v>
          </cell>
        </row>
        <row r="631">
          <cell r="A631" t="str">
            <v>40009_1</v>
          </cell>
        </row>
        <row r="632">
          <cell r="A632" t="str">
            <v>40010_1</v>
          </cell>
        </row>
        <row r="633">
          <cell r="A633" t="str">
            <v>40011_1</v>
          </cell>
        </row>
        <row r="634">
          <cell r="A634" t="str">
            <v>40012_1</v>
          </cell>
        </row>
        <row r="635">
          <cell r="A635" t="str">
            <v>40013_1</v>
          </cell>
        </row>
        <row r="636">
          <cell r="A636" t="str">
            <v>40014_1</v>
          </cell>
        </row>
        <row r="637">
          <cell r="A637" t="str">
            <v>40015_1</v>
          </cell>
        </row>
        <row r="638">
          <cell r="A638" t="str">
            <v>40016_1</v>
          </cell>
        </row>
        <row r="639">
          <cell r="A639" t="str">
            <v>40016_2</v>
          </cell>
        </row>
        <row r="640">
          <cell r="A640" t="str">
            <v>40017_1</v>
          </cell>
        </row>
        <row r="641">
          <cell r="A641" t="str">
            <v>40017_2</v>
          </cell>
        </row>
        <row r="642">
          <cell r="A642" t="str">
            <v>40017_3</v>
          </cell>
        </row>
        <row r="643">
          <cell r="A643" t="str">
            <v>40018_1</v>
          </cell>
        </row>
        <row r="644">
          <cell r="A644" t="str">
            <v>40018_2</v>
          </cell>
        </row>
        <row r="645">
          <cell r="A645" t="str">
            <v>40018_3</v>
          </cell>
        </row>
        <row r="646">
          <cell r="A646" t="str">
            <v>40019_1</v>
          </cell>
        </row>
        <row r="647">
          <cell r="A647" t="str">
            <v>40019_2</v>
          </cell>
        </row>
        <row r="648">
          <cell r="A648" t="str">
            <v>40019_3</v>
          </cell>
        </row>
        <row r="649">
          <cell r="A649" t="str">
            <v>40021_1</v>
          </cell>
        </row>
        <row r="650">
          <cell r="A650" t="str">
            <v>40021_2</v>
          </cell>
        </row>
        <row r="651">
          <cell r="A651" t="str">
            <v>40022_1</v>
          </cell>
        </row>
        <row r="652">
          <cell r="A652" t="str">
            <v>40022_2</v>
          </cell>
        </row>
        <row r="653">
          <cell r="A653" t="str">
            <v>40023_1</v>
          </cell>
        </row>
        <row r="654">
          <cell r="A654" t="str">
            <v>40023_2</v>
          </cell>
        </row>
        <row r="655">
          <cell r="A655" t="str">
            <v>40024_1</v>
          </cell>
        </row>
        <row r="656">
          <cell r="A656" t="str">
            <v>40024_2</v>
          </cell>
        </row>
        <row r="657">
          <cell r="A657" t="str">
            <v>40025_1</v>
          </cell>
        </row>
        <row r="658">
          <cell r="A658" t="str">
            <v>40025_2</v>
          </cell>
        </row>
        <row r="659">
          <cell r="A659" t="str">
            <v>40026_1</v>
          </cell>
        </row>
        <row r="660">
          <cell r="A660" t="str">
            <v>40026_2</v>
          </cell>
        </row>
        <row r="661">
          <cell r="A661" t="str">
            <v>40027_1</v>
          </cell>
        </row>
        <row r="662">
          <cell r="A662" t="str">
            <v>40027_2</v>
          </cell>
        </row>
        <row r="663">
          <cell r="A663" t="str">
            <v>40028_1</v>
          </cell>
        </row>
        <row r="664">
          <cell r="A664" t="str">
            <v>40028_2</v>
          </cell>
        </row>
        <row r="665">
          <cell r="A665" t="str">
            <v>40029_1</v>
          </cell>
        </row>
        <row r="666">
          <cell r="A666" t="str">
            <v>40029_2</v>
          </cell>
        </row>
        <row r="667">
          <cell r="A667" t="str">
            <v>40030_1</v>
          </cell>
        </row>
        <row r="668">
          <cell r="A668" t="str">
            <v>40030_2</v>
          </cell>
        </row>
        <row r="669">
          <cell r="A669" t="str">
            <v>40031_1</v>
          </cell>
        </row>
        <row r="670">
          <cell r="A670" t="str">
            <v>40031_2</v>
          </cell>
        </row>
        <row r="671">
          <cell r="A671" t="str">
            <v>40032_1</v>
          </cell>
        </row>
        <row r="672">
          <cell r="A672" t="str">
            <v>40032_2</v>
          </cell>
        </row>
        <row r="673">
          <cell r="A673" t="str">
            <v>48001_1</v>
          </cell>
        </row>
        <row r="674">
          <cell r="A674" t="str">
            <v>48002_1</v>
          </cell>
        </row>
        <row r="675">
          <cell r="A675" t="str">
            <v>48002_2</v>
          </cell>
        </row>
        <row r="676">
          <cell r="A676" t="str">
            <v>48002_3</v>
          </cell>
        </row>
        <row r="677">
          <cell r="A677" t="str">
            <v>48003_1</v>
          </cell>
        </row>
        <row r="678">
          <cell r="A678" t="str">
            <v>48003_2</v>
          </cell>
        </row>
        <row r="679">
          <cell r="A679" t="str">
            <v>48003_3</v>
          </cell>
        </row>
        <row r="680">
          <cell r="A680" t="str">
            <v>48004_1</v>
          </cell>
        </row>
        <row r="681">
          <cell r="A681" t="str">
            <v>48004_2</v>
          </cell>
        </row>
        <row r="682">
          <cell r="A682" t="str">
            <v>48004_3</v>
          </cell>
        </row>
        <row r="683">
          <cell r="A683" t="str">
            <v>48005_1</v>
          </cell>
        </row>
        <row r="684">
          <cell r="A684" t="str">
            <v>48005_2</v>
          </cell>
        </row>
        <row r="685">
          <cell r="A685" t="str">
            <v>48006_1</v>
          </cell>
        </row>
        <row r="686">
          <cell r="A686" t="str">
            <v>48006_2</v>
          </cell>
        </row>
        <row r="687">
          <cell r="A687" t="str">
            <v>41001_1</v>
          </cell>
        </row>
        <row r="688">
          <cell r="A688" t="str">
            <v>41001_2</v>
          </cell>
        </row>
        <row r="689">
          <cell r="A689" t="str">
            <v>41001_3</v>
          </cell>
        </row>
        <row r="690">
          <cell r="A690" t="str">
            <v>41002_1</v>
          </cell>
        </row>
        <row r="691">
          <cell r="A691" t="str">
            <v>41002_2</v>
          </cell>
        </row>
        <row r="692">
          <cell r="A692" t="str">
            <v>41002_3</v>
          </cell>
        </row>
        <row r="693">
          <cell r="A693" t="str">
            <v>41003_1</v>
          </cell>
        </row>
        <row r="694">
          <cell r="A694" t="str">
            <v>41003_2</v>
          </cell>
        </row>
        <row r="695">
          <cell r="A695" t="str">
            <v>41003_3</v>
          </cell>
        </row>
        <row r="696">
          <cell r="A696" t="str">
            <v>41004_1</v>
          </cell>
        </row>
        <row r="697">
          <cell r="A697" t="str">
            <v>41004_2</v>
          </cell>
        </row>
        <row r="698">
          <cell r="A698" t="str">
            <v>41004_3</v>
          </cell>
        </row>
        <row r="699">
          <cell r="A699" t="str">
            <v>41005_1</v>
          </cell>
        </row>
        <row r="700">
          <cell r="A700" t="str">
            <v>41005_2</v>
          </cell>
        </row>
        <row r="701">
          <cell r="A701" t="str">
            <v>41005_3</v>
          </cell>
        </row>
        <row r="702">
          <cell r="A702" t="str">
            <v>41006_1</v>
          </cell>
        </row>
        <row r="703">
          <cell r="A703" t="str">
            <v>41006_2</v>
          </cell>
        </row>
        <row r="704">
          <cell r="A704" t="str">
            <v>41006_3</v>
          </cell>
        </row>
        <row r="705">
          <cell r="A705" t="str">
            <v>41007_1</v>
          </cell>
        </row>
        <row r="706">
          <cell r="A706" t="str">
            <v>41007_2</v>
          </cell>
        </row>
        <row r="707">
          <cell r="A707" t="str">
            <v>41007_3</v>
          </cell>
        </row>
        <row r="708">
          <cell r="A708" t="str">
            <v>41008_1</v>
          </cell>
        </row>
        <row r="709">
          <cell r="A709" t="str">
            <v>41008_2</v>
          </cell>
        </row>
        <row r="710">
          <cell r="A710" t="str">
            <v>41008_3</v>
          </cell>
        </row>
        <row r="711">
          <cell r="A711" t="str">
            <v>41009_1</v>
          </cell>
        </row>
        <row r="712">
          <cell r="A712" t="str">
            <v>41009_2</v>
          </cell>
        </row>
        <row r="713">
          <cell r="A713" t="str">
            <v>41009_3</v>
          </cell>
        </row>
        <row r="714">
          <cell r="A714" t="str">
            <v>41010_1</v>
          </cell>
        </row>
        <row r="715">
          <cell r="A715" t="str">
            <v>41010_2</v>
          </cell>
        </row>
        <row r="716">
          <cell r="A716" t="str">
            <v>41010_3</v>
          </cell>
        </row>
        <row r="717">
          <cell r="A717" t="str">
            <v>41011_1</v>
          </cell>
        </row>
        <row r="718">
          <cell r="A718" t="str">
            <v>41011_2</v>
          </cell>
        </row>
        <row r="719">
          <cell r="A719" t="str">
            <v>41012_1</v>
          </cell>
        </row>
        <row r="720">
          <cell r="A720" t="str">
            <v>41012_2</v>
          </cell>
        </row>
        <row r="721">
          <cell r="A721" t="str">
            <v>41013_1</v>
          </cell>
        </row>
        <row r="722">
          <cell r="A722" t="str">
            <v>41013_2</v>
          </cell>
        </row>
        <row r="723">
          <cell r="A723" t="str">
            <v>41014_1</v>
          </cell>
        </row>
        <row r="724">
          <cell r="A724" t="str">
            <v>41014_2</v>
          </cell>
        </row>
        <row r="725">
          <cell r="A725" t="str">
            <v>41015_1</v>
          </cell>
        </row>
        <row r="726">
          <cell r="A726" t="str">
            <v>41015_2</v>
          </cell>
        </row>
        <row r="727">
          <cell r="A727" t="str">
            <v>47001_1</v>
          </cell>
        </row>
        <row r="728">
          <cell r="A728" t="str">
            <v>47001_2</v>
          </cell>
        </row>
        <row r="729">
          <cell r="A729" t="str">
            <v>47002_1</v>
          </cell>
        </row>
        <row r="730">
          <cell r="A730" t="str">
            <v>47002_2</v>
          </cell>
        </row>
        <row r="731">
          <cell r="A731" t="str">
            <v>49001_1</v>
          </cell>
        </row>
        <row r="732">
          <cell r="A732" t="str">
            <v>49002_1</v>
          </cell>
        </row>
        <row r="733">
          <cell r="A733" t="str">
            <v>49002_2</v>
          </cell>
        </row>
        <row r="734">
          <cell r="A734" t="str">
            <v>49003_1</v>
          </cell>
        </row>
        <row r="735">
          <cell r="A735" t="str">
            <v>49003_2</v>
          </cell>
        </row>
        <row r="736">
          <cell r="A736" t="str">
            <v>49004_1</v>
          </cell>
        </row>
        <row r="737">
          <cell r="A737" t="str">
            <v>49004_2</v>
          </cell>
        </row>
        <row r="738">
          <cell r="A738" t="str">
            <v>49004_3</v>
          </cell>
        </row>
        <row r="739">
          <cell r="A739" t="str">
            <v>49005_1</v>
          </cell>
        </row>
        <row r="740">
          <cell r="A740" t="str">
            <v>49006_1</v>
          </cell>
        </row>
        <row r="741">
          <cell r="A741" t="str">
            <v>49006_2</v>
          </cell>
        </row>
        <row r="742">
          <cell r="A742" t="str">
            <v>49007_1</v>
          </cell>
        </row>
        <row r="743">
          <cell r="A743" t="str">
            <v>49007_2</v>
          </cell>
        </row>
        <row r="744">
          <cell r="A744" t="str">
            <v>49007_3</v>
          </cell>
        </row>
        <row r="745">
          <cell r="A745" t="str">
            <v>50001_1</v>
          </cell>
        </row>
        <row r="746">
          <cell r="A746" t="str">
            <v>50002_1</v>
          </cell>
        </row>
        <row r="747">
          <cell r="A747" t="str">
            <v>50003_1</v>
          </cell>
        </row>
        <row r="748">
          <cell r="A748" t="str">
            <v>50004_1</v>
          </cell>
        </row>
        <row r="749">
          <cell r="A749" t="str">
            <v>50005_1</v>
          </cell>
        </row>
        <row r="750">
          <cell r="A750" t="str">
            <v>50006_1</v>
          </cell>
        </row>
        <row r="751">
          <cell r="A751" t="str">
            <v>50007_1</v>
          </cell>
        </row>
        <row r="752">
          <cell r="A752" t="str">
            <v>51001_1</v>
          </cell>
        </row>
        <row r="753">
          <cell r="A753" t="str">
            <v>51002_1</v>
          </cell>
        </row>
        <row r="754">
          <cell r="A754" t="str">
            <v>60001_1</v>
          </cell>
        </row>
        <row r="755">
          <cell r="A755" t="str">
            <v>60002_1</v>
          </cell>
        </row>
        <row r="756">
          <cell r="A756" t="str">
            <v>60002_2</v>
          </cell>
        </row>
        <row r="757">
          <cell r="A757" t="str">
            <v>60003_1</v>
          </cell>
        </row>
        <row r="758">
          <cell r="A758" t="str">
            <v>60003_2</v>
          </cell>
        </row>
        <row r="759">
          <cell r="A759" t="str">
            <v>60003_3</v>
          </cell>
        </row>
        <row r="760">
          <cell r="A760" t="str">
            <v>60004_1</v>
          </cell>
        </row>
        <row r="761">
          <cell r="A761" t="str">
            <v>60005_1</v>
          </cell>
        </row>
        <row r="762">
          <cell r="A762" t="str">
            <v>60006_1</v>
          </cell>
        </row>
        <row r="763">
          <cell r="A763" t="str">
            <v>60006_2</v>
          </cell>
        </row>
        <row r="764">
          <cell r="A764" t="str">
            <v>60006_3</v>
          </cell>
        </row>
        <row r="765">
          <cell r="A765" t="str">
            <v>60007_1</v>
          </cell>
        </row>
        <row r="766">
          <cell r="A766" t="str">
            <v>60007_2</v>
          </cell>
        </row>
        <row r="767">
          <cell r="A767" t="str">
            <v>60007_3</v>
          </cell>
        </row>
        <row r="768">
          <cell r="A768" t="str">
            <v>60010_1</v>
          </cell>
        </row>
        <row r="769">
          <cell r="A769" t="str">
            <v>60011_1</v>
          </cell>
        </row>
        <row r="770">
          <cell r="A770" t="str">
            <v>60011_2</v>
          </cell>
        </row>
        <row r="771">
          <cell r="A771" t="str">
            <v>61011_1</v>
          </cell>
        </row>
        <row r="772">
          <cell r="A772" t="str">
            <v>60012_1</v>
          </cell>
        </row>
        <row r="773">
          <cell r="A773" t="str">
            <v>60013_1</v>
          </cell>
        </row>
        <row r="774">
          <cell r="A774" t="str">
            <v>60013_2</v>
          </cell>
        </row>
        <row r="775">
          <cell r="A775" t="str">
            <v>60013_3</v>
          </cell>
        </row>
        <row r="776">
          <cell r="A776" t="str">
            <v>60014_1</v>
          </cell>
        </row>
        <row r="777">
          <cell r="A777" t="str">
            <v>60015_1</v>
          </cell>
        </row>
        <row r="778">
          <cell r="A778" t="str">
            <v>60016_1</v>
          </cell>
        </row>
        <row r="779">
          <cell r="A779" t="str">
            <v>65525_1</v>
          </cell>
        </row>
        <row r="780">
          <cell r="A780" t="str">
            <v>65533_1</v>
          </cell>
        </row>
        <row r="781">
          <cell r="A781" t="str">
            <v>65533_2</v>
          </cell>
        </row>
        <row r="782">
          <cell r="A782" t="str">
            <v>65534_1</v>
          </cell>
        </row>
        <row r="783">
          <cell r="A783" t="str">
            <v>65535_1</v>
          </cell>
        </row>
        <row r="784">
          <cell r="A784" t="str">
            <v>65535_2</v>
          </cell>
        </row>
        <row r="785">
          <cell r="A785" t="str">
            <v>65535_3</v>
          </cell>
        </row>
        <row r="786">
          <cell r="A786" t="str">
            <v>65535_4</v>
          </cell>
        </row>
        <row r="787">
          <cell r="A787" t="str">
            <v>65535_5</v>
          </cell>
        </row>
        <row r="788">
          <cell r="A788" t="str">
            <v>65535_6</v>
          </cell>
        </row>
        <row r="789">
          <cell r="A789" t="str">
            <v>65535_7</v>
          </cell>
        </row>
        <row r="790">
          <cell r="A790" t="str">
            <v>65535_8</v>
          </cell>
        </row>
        <row r="791">
          <cell r="A791" t="str">
            <v>65535_9</v>
          </cell>
        </row>
        <row r="792">
          <cell r="A792" t="str">
            <v>65535_10</v>
          </cell>
        </row>
        <row r="793">
          <cell r="A793" t="str">
            <v>60021_3</v>
          </cell>
        </row>
        <row r="794">
          <cell r="A794" t="str">
            <v>60022_3</v>
          </cell>
        </row>
        <row r="795">
          <cell r="A795" t="str">
            <v>60023_3</v>
          </cell>
        </row>
        <row r="796">
          <cell r="A796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
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
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
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
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
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
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
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
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
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
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
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
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
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
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
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
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
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
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
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
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
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
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
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
緑りんご(体力)をユニット強化に使うと
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
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
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
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
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
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
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
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
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
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
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
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
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
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
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
「メタルフロッグ」に覚醒させましょう
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
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
抑えていた。
貴方の力を認めたオーディンは
女王事件の事を託し、
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A4" sqref="A4"/>
    </sheetView>
  </sheetViews>
  <sheetFormatPr baseColWidth="12" defaultRowHeight="15" x14ac:dyDescent="0.15"/>
  <cols>
    <col min="1" max="1" width="12.83203125" style="9"/>
    <col min="2" max="2" width="17.1640625" style="9" bestFit="1" customWidth="1"/>
    <col min="3" max="4" width="12.83203125" style="9"/>
    <col min="5" max="5" width="20.5" style="9" bestFit="1" customWidth="1"/>
    <col min="6" max="6" width="16" style="9" bestFit="1" customWidth="1"/>
    <col min="7" max="16384" width="12.83203125" style="9"/>
  </cols>
  <sheetData>
    <row r="1" spans="1:11" x14ac:dyDescent="0.15">
      <c r="A1" s="13" t="s">
        <v>18</v>
      </c>
      <c r="B1" s="7" t="s">
        <v>10</v>
      </c>
      <c r="C1" s="7" t="s">
        <v>11</v>
      </c>
      <c r="D1" s="7" t="s">
        <v>12</v>
      </c>
      <c r="E1" s="7" t="s">
        <v>13</v>
      </c>
      <c r="F1" s="7" t="s">
        <v>14</v>
      </c>
      <c r="G1" s="7" t="s">
        <v>15</v>
      </c>
      <c r="H1" s="8"/>
      <c r="I1" s="8"/>
      <c r="J1" s="16"/>
      <c r="K1" s="16"/>
    </row>
    <row r="2" spans="1:11" x14ac:dyDescent="0.15">
      <c r="A2" s="14" t="s">
        <v>19</v>
      </c>
      <c r="B2" s="22" t="s">
        <v>28</v>
      </c>
      <c r="C2" s="22" t="s">
        <v>78</v>
      </c>
      <c r="D2" s="22" t="s">
        <v>27</v>
      </c>
      <c r="E2" s="8" t="str">
        <f t="shared" ref="E2:E3" si="0">B2&amp;C2&amp;D2</f>
        <v>stage_hints_data_jyokyu.tmp</v>
      </c>
      <c r="F2" s="10" t="s">
        <v>9</v>
      </c>
      <c r="G2" s="1" t="s">
        <v>5</v>
      </c>
      <c r="H2" s="1" t="s">
        <v>0</v>
      </c>
      <c r="I2" s="15" t="s">
        <v>6</v>
      </c>
      <c r="J2" s="17" t="s">
        <v>20</v>
      </c>
      <c r="K2" s="21" t="s">
        <v>32</v>
      </c>
    </row>
    <row r="3" spans="1:11" x14ac:dyDescent="0.15">
      <c r="A3" s="22" t="s">
        <v>116</v>
      </c>
      <c r="B3" s="22" t="s">
        <v>29</v>
      </c>
      <c r="C3" s="22" t="s">
        <v>78</v>
      </c>
      <c r="D3" s="22" t="s">
        <v>27</v>
      </c>
      <c r="E3" s="8" t="str">
        <f t="shared" si="0"/>
        <v>stage_hints_i18n_jyokyu.tmp</v>
      </c>
      <c r="F3" s="10" t="s">
        <v>9</v>
      </c>
      <c r="G3" s="15" t="s">
        <v>6</v>
      </c>
      <c r="H3" s="11" t="s">
        <v>7</v>
      </c>
      <c r="I3" s="1" t="s">
        <v>8</v>
      </c>
      <c r="J3" s="19" t="s">
        <v>22</v>
      </c>
      <c r="K3" s="21" t="s">
        <v>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P1255"/>
  <sheetViews>
    <sheetView showGridLines="0" tabSelected="1" workbookViewId="0">
      <pane ySplit="1" topLeftCell="A1250" activePane="bottomLeft" state="frozen"/>
      <selection pane="bottomLeft" activeCell="F1260" sqref="F1260"/>
    </sheetView>
  </sheetViews>
  <sheetFormatPr baseColWidth="12" defaultColWidth="13" defaultRowHeight="15" outlineLevelCol="1" x14ac:dyDescent="0.15"/>
  <cols>
    <col min="2" max="2" width="13" style="26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2" width="11.1640625" customWidth="1"/>
    <col min="13" max="13" width="11.1640625" style="37" customWidth="1"/>
    <col min="14" max="14" width="35.33203125" style="37" customWidth="1"/>
    <col min="15" max="15" width="13" style="37"/>
  </cols>
  <sheetData>
    <row r="1" spans="1:16" x14ac:dyDescent="0.15">
      <c r="A1" s="2" t="s">
        <v>2</v>
      </c>
      <c r="B1" s="24" t="s">
        <v>33</v>
      </c>
      <c r="C1" s="1" t="s">
        <v>75</v>
      </c>
      <c r="D1" s="6" t="s">
        <v>3</v>
      </c>
      <c r="E1" s="6" t="s">
        <v>4</v>
      </c>
      <c r="F1" s="1" t="s">
        <v>76</v>
      </c>
      <c r="G1" s="6" t="s">
        <v>3</v>
      </c>
      <c r="H1" s="6" t="s">
        <v>4</v>
      </c>
      <c r="I1" s="1" t="s">
        <v>21</v>
      </c>
      <c r="J1" s="1" t="s">
        <v>31</v>
      </c>
      <c r="K1" s="23" t="s">
        <v>30</v>
      </c>
      <c r="L1" s="12" t="s">
        <v>16</v>
      </c>
      <c r="M1" s="6" t="s">
        <v>26</v>
      </c>
      <c r="N1" s="35" t="s">
        <v>1</v>
      </c>
      <c r="O1" s="36" t="s">
        <v>23</v>
      </c>
      <c r="P1" t="s">
        <v>77</v>
      </c>
    </row>
    <row r="2" spans="1:16" x14ac:dyDescent="0.15">
      <c r="A2" s="27" t="str">
        <f t="shared" ref="A2" si="0">C2&amp;"_"&amp;F2&amp;"_"&amp;J2</f>
        <v>11001_3_1</v>
      </c>
      <c r="B2" s="25" t="s">
        <v>34</v>
      </c>
      <c r="C2" s="4">
        <v>11001</v>
      </c>
      <c r="D2" s="3" t="str">
        <f ca="1">VLOOKUP($C2,OFFSET([1]quests!$A$1,0,0,COUNTA([1]quests!$A:$A),MATCH(D$1,[1]quests!$1:$1,0)-MATCH($C$1,[1]quests!$1:$1,0)+1),MATCH(D$1,[1]quests!$1:$1,0)-MATCH($C$1,[1]quests!$1:$1,0)+1,FALSE)</f>
        <v>【月曜限定】 黄の素材</v>
      </c>
      <c r="E2" s="3" t="str">
        <f ca="1">VLOOKUP($C2,OFFSET([1]quests!$A$1,0,0,COUNTA([1]quests!$A:$A),MATCH(E$1,[1]quests!$1:$1,0)-MATCH($C$1,[1]quests!$1:$1,0)+1),MATCH(E$1,[1]quests!$1:$1,0)-MATCH($C$1,[1]quests!$1:$1,0)+1,FALSE)</f>
        <v>月曜クエスト</v>
      </c>
      <c r="F2" s="5">
        <v>3</v>
      </c>
      <c r="G2" s="3" t="str">
        <f ca="1">VLOOKUP($C2&amp;"_"&amp;$F2,OFFSET([1]stages!$A$1,0,0,COUNTA([1]stages!$A:$A),MATCH(G$1,[1]stages!$2:$2,0)-MATCH("temp_stage",[1]stages!$2:$2,0)+1),MATCH(G$1,[1]stages!$2:$2,0)-MATCH("temp_stage",[1]stages!$2:$2,0)+1,FALSE)</f>
        <v>【上級】雷のイモムシ</v>
      </c>
      <c r="H2" s="3" t="str">
        <f ca="1">VLOOKUP($C2&amp;"_"&amp;$F2,OFFSET([1]stages!$A$1,0,0,COUNTA([1]stages!$A:$A),MATCH(H$1,[1]stages!$2:$2,0)-MATCH("temp_stage",[1]stages!$2:$2,0)+1),MATCH(H$1,[1]stages!$2:$2,0)-MATCH("temp_stage",[1]stages!$2:$2,0)+1,FALSE)</f>
        <v>月曜クエスト</v>
      </c>
      <c r="I2" s="18">
        <v>0</v>
      </c>
      <c r="J2" s="5">
        <f>COUNTIF(C$1:C2,C2)</f>
        <v>1</v>
      </c>
      <c r="K2" s="34">
        <v>3</v>
      </c>
      <c r="L2" s="5" t="s">
        <v>17</v>
      </c>
      <c r="M2" s="38" t="str">
        <f>VLOOKUP(K2,[2]stage_hints!$A:$C,3,FALSE)</f>
        <v>ターゲット</v>
      </c>
      <c r="N2" s="39" t="str">
        <f>VLOOKUP(K2,[2]stage_hints!$A:$D,4,FALSE)</f>
        <v>敵ユニットをタップすると
その敵を狙い撃ちできます</v>
      </c>
      <c r="O2" s="20" t="s">
        <v>24</v>
      </c>
      <c r="P2">
        <v>3</v>
      </c>
    </row>
    <row r="3" spans="1:16" x14ac:dyDescent="0.15">
      <c r="A3" s="27" t="str">
        <f t="shared" ref="A3:A14" si="1">C3&amp;"_"&amp;F3&amp;"_"&amp;J3</f>
        <v>11001_3_2</v>
      </c>
      <c r="B3" s="25" t="s">
        <v>34</v>
      </c>
      <c r="C3" s="4">
        <v>11001</v>
      </c>
      <c r="D3" s="3" t="str">
        <f ca="1">VLOOKUP($C3,OFFSET([1]quests!$A$1,0,0,COUNTA([1]quests!$A:$A),MATCH(D$1,[1]quests!$1:$1,0)-MATCH($C$1,[1]quests!$1:$1,0)+1),MATCH(D$1,[1]quests!$1:$1,0)-MATCH($C$1,[1]quests!$1:$1,0)+1,FALSE)</f>
        <v>【月曜限定】 黄の素材</v>
      </c>
      <c r="E3" s="3" t="str">
        <f ca="1">VLOOKUP($C3,OFFSET([1]quests!$A$1,0,0,COUNTA([1]quests!$A:$A),MATCH(E$1,[1]quests!$1:$1,0)-MATCH($C$1,[1]quests!$1:$1,0)+1),MATCH(E$1,[1]quests!$1:$1,0)-MATCH($C$1,[1]quests!$1:$1,0)+1,FALSE)</f>
        <v>月曜クエスト</v>
      </c>
      <c r="F3" s="5">
        <v>3</v>
      </c>
      <c r="G3" s="3" t="str">
        <f ca="1">VLOOKUP($C3&amp;"_"&amp;$F3,OFFSET([1]stages!$A$1,0,0,COUNTA([1]stages!$A:$A),MATCH(G$1,[1]stages!$2:$2,0)-MATCH("temp_stage",[1]stages!$2:$2,0)+1),MATCH(G$1,[1]stages!$2:$2,0)-MATCH("temp_stage",[1]stages!$2:$2,0)+1,FALSE)</f>
        <v>【上級】雷のイモムシ</v>
      </c>
      <c r="H3" s="3" t="str">
        <f ca="1">VLOOKUP($C3&amp;"_"&amp;$F3,OFFSET([1]stages!$A$1,0,0,COUNTA([1]stages!$A:$A),MATCH(H$1,[1]stages!$2:$2,0)-MATCH("temp_stage",[1]stages!$2:$2,0)+1),MATCH(H$1,[1]stages!$2:$2,0)-MATCH("temp_stage",[1]stages!$2:$2,0)+1,FALSE)</f>
        <v>月曜クエスト</v>
      </c>
      <c r="I3" s="18">
        <v>0</v>
      </c>
      <c r="J3" s="5">
        <f>COUNTIF(C$1:C3,C3)</f>
        <v>2</v>
      </c>
      <c r="K3" s="34">
        <v>6</v>
      </c>
      <c r="L3" s="5" t="s">
        <v>17</v>
      </c>
      <c r="M3" s="38" t="str">
        <f>VLOOKUP(K3,[2]stage_hints!$A:$C,3,FALSE)</f>
        <v>ユニット強化の属性ボーナス</v>
      </c>
      <c r="N3" s="39" t="str">
        <f>VLOOKUP(K3,[2]stage_hints!$A:$D,4,FALSE)</f>
        <v>同属性ユニットを強化素材にすると
経験値が多くもらえます</v>
      </c>
      <c r="O3" s="20" t="s">
        <v>24</v>
      </c>
      <c r="P3">
        <v>6</v>
      </c>
    </row>
    <row r="4" spans="1:16" x14ac:dyDescent="0.15">
      <c r="A4" s="27" t="str">
        <f t="shared" si="1"/>
        <v>11001_3_3</v>
      </c>
      <c r="B4" s="25" t="s">
        <v>34</v>
      </c>
      <c r="C4" s="4">
        <v>11001</v>
      </c>
      <c r="D4" s="3" t="str">
        <f ca="1">VLOOKUP($C4,OFFSET([1]quests!$A$1,0,0,COUNTA([1]quests!$A:$A),MATCH(D$1,[1]quests!$1:$1,0)-MATCH($C$1,[1]quests!$1:$1,0)+1),MATCH(D$1,[1]quests!$1:$1,0)-MATCH($C$1,[1]quests!$1:$1,0)+1,FALSE)</f>
        <v>【月曜限定】 黄の素材</v>
      </c>
      <c r="E4" s="3" t="str">
        <f ca="1">VLOOKUP($C4,OFFSET([1]quests!$A$1,0,0,COUNTA([1]quests!$A:$A),MATCH(E$1,[1]quests!$1:$1,0)-MATCH($C$1,[1]quests!$1:$1,0)+1),MATCH(E$1,[1]quests!$1:$1,0)-MATCH($C$1,[1]quests!$1:$1,0)+1,FALSE)</f>
        <v>月曜クエスト</v>
      </c>
      <c r="F4" s="5">
        <v>3</v>
      </c>
      <c r="G4" s="3" t="str">
        <f ca="1">VLOOKUP($C4&amp;"_"&amp;$F4,OFFSET([1]stages!$A$1,0,0,COUNTA([1]stages!$A:$A),MATCH(G$1,[1]stages!$2:$2,0)-MATCH("temp_stage",[1]stages!$2:$2,0)+1),MATCH(G$1,[1]stages!$2:$2,0)-MATCH("temp_stage",[1]stages!$2:$2,0)+1,FALSE)</f>
        <v>【上級】雷のイモムシ</v>
      </c>
      <c r="H4" s="3" t="str">
        <f ca="1">VLOOKUP($C4&amp;"_"&amp;$F4,OFFSET([1]stages!$A$1,0,0,COUNTA([1]stages!$A:$A),MATCH(H$1,[1]stages!$2:$2,0)-MATCH("temp_stage",[1]stages!$2:$2,0)+1),MATCH(H$1,[1]stages!$2:$2,0)-MATCH("temp_stage",[1]stages!$2:$2,0)+1,FALSE)</f>
        <v>月曜クエスト</v>
      </c>
      <c r="I4" s="18">
        <v>0</v>
      </c>
      <c r="J4" s="5">
        <f>COUNTIF(C$1:C4,C4)</f>
        <v>3</v>
      </c>
      <c r="K4" s="34">
        <v>7</v>
      </c>
      <c r="L4" s="5" t="s">
        <v>17</v>
      </c>
      <c r="M4" s="38" t="str">
        <f>VLOOKUP(K4,[2]stage_hints!$A:$C,3,FALSE)</f>
        <v>メタルダックで経験値を獲得</v>
      </c>
      <c r="N4" s="39" t="str">
        <f>VLOOKUP(K4,[2]stage_hints!$A:$D,4,FALSE)</f>
        <v>「メタルなアヒル」を強化素材にすると
大量の経験値がもらえます</v>
      </c>
      <c r="O4" s="20" t="s">
        <v>24</v>
      </c>
      <c r="P4">
        <v>7</v>
      </c>
    </row>
    <row r="5" spans="1:16" x14ac:dyDescent="0.15">
      <c r="A5" s="27" t="str">
        <f t="shared" si="1"/>
        <v>11001_3_4</v>
      </c>
      <c r="B5" s="25" t="s">
        <v>34</v>
      </c>
      <c r="C5" s="4">
        <v>11001</v>
      </c>
      <c r="D5" s="3" t="str">
        <f ca="1">VLOOKUP($C5,OFFSET([1]quests!$A$1,0,0,COUNTA([1]quests!$A:$A),MATCH(D$1,[1]quests!$1:$1,0)-MATCH($C$1,[1]quests!$1:$1,0)+1),MATCH(D$1,[1]quests!$1:$1,0)-MATCH($C$1,[1]quests!$1:$1,0)+1,FALSE)</f>
        <v>【月曜限定】 黄の素材</v>
      </c>
      <c r="E5" s="3" t="str">
        <f ca="1">VLOOKUP($C5,OFFSET([1]quests!$A$1,0,0,COUNTA([1]quests!$A:$A),MATCH(E$1,[1]quests!$1:$1,0)-MATCH($C$1,[1]quests!$1:$1,0)+1),MATCH(E$1,[1]quests!$1:$1,0)-MATCH($C$1,[1]quests!$1:$1,0)+1,FALSE)</f>
        <v>月曜クエスト</v>
      </c>
      <c r="F5" s="5">
        <v>3</v>
      </c>
      <c r="G5" s="3" t="str">
        <f ca="1">VLOOKUP($C5&amp;"_"&amp;$F5,OFFSET([1]stages!$A$1,0,0,COUNTA([1]stages!$A:$A),MATCH(G$1,[1]stages!$2:$2,0)-MATCH("temp_stage",[1]stages!$2:$2,0)+1),MATCH(G$1,[1]stages!$2:$2,0)-MATCH("temp_stage",[1]stages!$2:$2,0)+1,FALSE)</f>
        <v>【上級】雷のイモムシ</v>
      </c>
      <c r="H5" s="3" t="str">
        <f ca="1">VLOOKUP($C5&amp;"_"&amp;$F5,OFFSET([1]stages!$A$1,0,0,COUNTA([1]stages!$A:$A),MATCH(H$1,[1]stages!$2:$2,0)-MATCH("temp_stage",[1]stages!$2:$2,0)+1),MATCH(H$1,[1]stages!$2:$2,0)-MATCH("temp_stage",[1]stages!$2:$2,0)+1,FALSE)</f>
        <v>月曜クエスト</v>
      </c>
      <c r="I5" s="18">
        <v>0</v>
      </c>
      <c r="J5" s="5">
        <f>COUNTIF(C$1:C5,C5)</f>
        <v>4</v>
      </c>
      <c r="K5" s="34">
        <v>8</v>
      </c>
      <c r="L5" s="5" t="s">
        <v>17</v>
      </c>
      <c r="M5" s="38" t="str">
        <f>VLOOKUP(K5,[2]stage_hints!$A:$C,3,FALSE)</f>
        <v>ゲリラクエストは要チェック</v>
      </c>
      <c r="N5" s="39" t="str">
        <f>VLOOKUP(K5,[2]stage_hints!$A:$D,4,FALSE)</f>
        <v>時間限定の「アヒル捕獲作戦」では
経験値素材ユニットが多く手に入ります</v>
      </c>
      <c r="O5" s="20" t="s">
        <v>24</v>
      </c>
      <c r="P5">
        <v>8</v>
      </c>
    </row>
    <row r="6" spans="1:16" x14ac:dyDescent="0.15">
      <c r="A6" s="27" t="str">
        <f t="shared" si="1"/>
        <v>11001_3_5</v>
      </c>
      <c r="B6" s="25" t="s">
        <v>34</v>
      </c>
      <c r="C6" s="4">
        <v>11001</v>
      </c>
      <c r="D6" s="3" t="str">
        <f ca="1">VLOOKUP($C6,OFFSET([1]quests!$A$1,0,0,COUNTA([1]quests!$A:$A),MATCH(D$1,[1]quests!$1:$1,0)-MATCH($C$1,[1]quests!$1:$1,0)+1),MATCH(D$1,[1]quests!$1:$1,0)-MATCH($C$1,[1]quests!$1:$1,0)+1,FALSE)</f>
        <v>【月曜限定】 黄の素材</v>
      </c>
      <c r="E6" s="3" t="str">
        <f ca="1">VLOOKUP($C6,OFFSET([1]quests!$A$1,0,0,COUNTA([1]quests!$A:$A),MATCH(E$1,[1]quests!$1:$1,0)-MATCH($C$1,[1]quests!$1:$1,0)+1),MATCH(E$1,[1]quests!$1:$1,0)-MATCH($C$1,[1]quests!$1:$1,0)+1,FALSE)</f>
        <v>月曜クエスト</v>
      </c>
      <c r="F6" s="5">
        <v>3</v>
      </c>
      <c r="G6" s="3" t="str">
        <f ca="1">VLOOKUP($C6&amp;"_"&amp;$F6,OFFSET([1]stages!$A$1,0,0,COUNTA([1]stages!$A:$A),MATCH(G$1,[1]stages!$2:$2,0)-MATCH("temp_stage",[1]stages!$2:$2,0)+1),MATCH(G$1,[1]stages!$2:$2,0)-MATCH("temp_stage",[1]stages!$2:$2,0)+1,FALSE)</f>
        <v>【上級】雷のイモムシ</v>
      </c>
      <c r="H6" s="3" t="str">
        <f ca="1">VLOOKUP($C6&amp;"_"&amp;$F6,OFFSET([1]stages!$A$1,0,0,COUNTA([1]stages!$A:$A),MATCH(H$1,[1]stages!$2:$2,0)-MATCH("temp_stage",[1]stages!$2:$2,0)+1),MATCH(H$1,[1]stages!$2:$2,0)-MATCH("temp_stage",[1]stages!$2:$2,0)+1,FALSE)</f>
        <v>月曜クエスト</v>
      </c>
      <c r="I6" s="18">
        <v>0</v>
      </c>
      <c r="J6" s="5">
        <f>COUNTIF(C$1:C6,C6)</f>
        <v>5</v>
      </c>
      <c r="K6" s="34">
        <v>9</v>
      </c>
      <c r="L6" s="5" t="s">
        <v>17</v>
      </c>
      <c r="M6" s="38" t="str">
        <f>VLOOKUP(K6,[2]stage_hints!$A:$C,3,FALSE)</f>
        <v>ゴールドダックでビットを獲得</v>
      </c>
      <c r="N6" s="39" t="str">
        <f>VLOOKUP(K6,[2]stage_hints!$A:$D,4,FALSE)</f>
        <v>「ゴールドなアヒル」を売却すると
大量のビットがもらえます</v>
      </c>
      <c r="O6" s="20" t="s">
        <v>24</v>
      </c>
      <c r="P6">
        <v>9</v>
      </c>
    </row>
    <row r="7" spans="1:16" x14ac:dyDescent="0.15">
      <c r="A7" s="27" t="str">
        <f t="shared" si="1"/>
        <v>11001_3_6</v>
      </c>
      <c r="B7" s="25" t="s">
        <v>34</v>
      </c>
      <c r="C7" s="4">
        <v>11001</v>
      </c>
      <c r="D7" s="3" t="str">
        <f ca="1">VLOOKUP($C7,OFFSET([1]quests!$A$1,0,0,COUNTA([1]quests!$A:$A),MATCH(D$1,[1]quests!$1:$1,0)-MATCH($C$1,[1]quests!$1:$1,0)+1),MATCH(D$1,[1]quests!$1:$1,0)-MATCH($C$1,[1]quests!$1:$1,0)+1,FALSE)</f>
        <v>【月曜限定】 黄の素材</v>
      </c>
      <c r="E7" s="3" t="str">
        <f ca="1">VLOOKUP($C7,OFFSET([1]quests!$A$1,0,0,COUNTA([1]quests!$A:$A),MATCH(E$1,[1]quests!$1:$1,0)-MATCH($C$1,[1]quests!$1:$1,0)+1),MATCH(E$1,[1]quests!$1:$1,0)-MATCH($C$1,[1]quests!$1:$1,0)+1,FALSE)</f>
        <v>月曜クエスト</v>
      </c>
      <c r="F7" s="5">
        <v>3</v>
      </c>
      <c r="G7" s="3" t="str">
        <f ca="1">VLOOKUP($C7&amp;"_"&amp;$F7,OFFSET([1]stages!$A$1,0,0,COUNTA([1]stages!$A:$A),MATCH(G$1,[1]stages!$2:$2,0)-MATCH("temp_stage",[1]stages!$2:$2,0)+1),MATCH(G$1,[1]stages!$2:$2,0)-MATCH("temp_stage",[1]stages!$2:$2,0)+1,FALSE)</f>
        <v>【上級】雷のイモムシ</v>
      </c>
      <c r="H7" s="3" t="str">
        <f ca="1">VLOOKUP($C7&amp;"_"&amp;$F7,OFFSET([1]stages!$A$1,0,0,COUNTA([1]stages!$A:$A),MATCH(H$1,[1]stages!$2:$2,0)-MATCH("temp_stage",[1]stages!$2:$2,0)+1),MATCH(H$1,[1]stages!$2:$2,0)-MATCH("temp_stage",[1]stages!$2:$2,0)+1,FALSE)</f>
        <v>月曜クエスト</v>
      </c>
      <c r="I7" s="18">
        <v>0</v>
      </c>
      <c r="J7" s="5">
        <f>COUNTIF(C$1:C7,C7)</f>
        <v>6</v>
      </c>
      <c r="K7" s="34">
        <v>10</v>
      </c>
      <c r="L7" s="5" t="s">
        <v>17</v>
      </c>
      <c r="M7" s="38" t="str">
        <f>VLOOKUP(K7,[2]stage_hints!$A:$C,3,FALSE)</f>
        <v>土日に大量のビットを獲得</v>
      </c>
      <c r="N7" s="39" t="str">
        <f>VLOOKUP(K7,[2]stage_hints!$A:$D,4,FALSE)</f>
        <v>土日限定の「ゴールドカジノ」では
売却素材ユニットが多く手に入ります</v>
      </c>
      <c r="O7" s="20" t="s">
        <v>24</v>
      </c>
      <c r="P7">
        <v>10</v>
      </c>
    </row>
    <row r="8" spans="1:16" x14ac:dyDescent="0.15">
      <c r="A8" s="27" t="str">
        <f t="shared" si="1"/>
        <v>11001_3_7</v>
      </c>
      <c r="B8" s="25" t="s">
        <v>34</v>
      </c>
      <c r="C8" s="4">
        <v>11001</v>
      </c>
      <c r="D8" s="3" t="str">
        <f ca="1">VLOOKUP($C8,OFFSET([1]quests!$A$1,0,0,COUNTA([1]quests!$A:$A),MATCH(D$1,[1]quests!$1:$1,0)-MATCH($C$1,[1]quests!$1:$1,0)+1),MATCH(D$1,[1]quests!$1:$1,0)-MATCH($C$1,[1]quests!$1:$1,0)+1,FALSE)</f>
        <v>【月曜限定】 黄の素材</v>
      </c>
      <c r="E8" s="3" t="str">
        <f ca="1">VLOOKUP($C8,OFFSET([1]quests!$A$1,0,0,COUNTA([1]quests!$A:$A),MATCH(E$1,[1]quests!$1:$1,0)-MATCH($C$1,[1]quests!$1:$1,0)+1),MATCH(E$1,[1]quests!$1:$1,0)-MATCH($C$1,[1]quests!$1:$1,0)+1,FALSE)</f>
        <v>月曜クエスト</v>
      </c>
      <c r="F8" s="5">
        <v>3</v>
      </c>
      <c r="G8" s="3" t="str">
        <f ca="1">VLOOKUP($C8&amp;"_"&amp;$F8,OFFSET([1]stages!$A$1,0,0,COUNTA([1]stages!$A:$A),MATCH(G$1,[1]stages!$2:$2,0)-MATCH("temp_stage",[1]stages!$2:$2,0)+1),MATCH(G$1,[1]stages!$2:$2,0)-MATCH("temp_stage",[1]stages!$2:$2,0)+1,FALSE)</f>
        <v>【上級】雷のイモムシ</v>
      </c>
      <c r="H8" s="3" t="str">
        <f ca="1">VLOOKUP($C8&amp;"_"&amp;$F8,OFFSET([1]stages!$A$1,0,0,COUNTA([1]stages!$A:$A),MATCH(H$1,[1]stages!$2:$2,0)-MATCH("temp_stage",[1]stages!$2:$2,0)+1),MATCH(H$1,[1]stages!$2:$2,0)-MATCH("temp_stage",[1]stages!$2:$2,0)+1,FALSE)</f>
        <v>月曜クエスト</v>
      </c>
      <c r="I8" s="18">
        <v>0</v>
      </c>
      <c r="J8" s="5">
        <f>COUNTIF(C$1:C8,C8)</f>
        <v>7</v>
      </c>
      <c r="K8" s="34">
        <v>11</v>
      </c>
      <c r="L8" s="5" t="s">
        <v>17</v>
      </c>
      <c r="M8" s="38" t="str">
        <f>VLOOKUP(K8,[2]stage_hints!$A:$C,3,FALSE)</f>
        <v>ランク解放クエスト</v>
      </c>
      <c r="N8" s="39" t="str">
        <f>VLOOKUP(K8,[2]stage_hints!$A:$D,4,FALSE)</f>
        <v>一定ランクに到達すると
報酬付きのランク開放クエストが現れます</v>
      </c>
      <c r="O8" s="20" t="s">
        <v>24</v>
      </c>
      <c r="P8">
        <v>11</v>
      </c>
    </row>
    <row r="9" spans="1:16" x14ac:dyDescent="0.15">
      <c r="A9" s="27" t="str">
        <f t="shared" si="1"/>
        <v>11001_3_8</v>
      </c>
      <c r="B9" s="25" t="s">
        <v>34</v>
      </c>
      <c r="C9" s="4">
        <v>11001</v>
      </c>
      <c r="D9" s="3" t="str">
        <f ca="1">VLOOKUP($C9,OFFSET([1]quests!$A$1,0,0,COUNTA([1]quests!$A:$A),MATCH(D$1,[1]quests!$1:$1,0)-MATCH($C$1,[1]quests!$1:$1,0)+1),MATCH(D$1,[1]quests!$1:$1,0)-MATCH($C$1,[1]quests!$1:$1,0)+1,FALSE)</f>
        <v>【月曜限定】 黄の素材</v>
      </c>
      <c r="E9" s="3" t="str">
        <f ca="1">VLOOKUP($C9,OFFSET([1]quests!$A$1,0,0,COUNTA([1]quests!$A:$A),MATCH(E$1,[1]quests!$1:$1,0)-MATCH($C$1,[1]quests!$1:$1,0)+1),MATCH(E$1,[1]quests!$1:$1,0)-MATCH($C$1,[1]quests!$1:$1,0)+1,FALSE)</f>
        <v>月曜クエスト</v>
      </c>
      <c r="F9" s="5">
        <v>3</v>
      </c>
      <c r="G9" s="3" t="str">
        <f ca="1">VLOOKUP($C9&amp;"_"&amp;$F9,OFFSET([1]stages!$A$1,0,0,COUNTA([1]stages!$A:$A),MATCH(G$1,[1]stages!$2:$2,0)-MATCH("temp_stage",[1]stages!$2:$2,0)+1),MATCH(G$1,[1]stages!$2:$2,0)-MATCH("temp_stage",[1]stages!$2:$2,0)+1,FALSE)</f>
        <v>【上級】雷のイモムシ</v>
      </c>
      <c r="H9" s="3" t="str">
        <f ca="1">VLOOKUP($C9&amp;"_"&amp;$F9,OFFSET([1]stages!$A$1,0,0,COUNTA([1]stages!$A:$A),MATCH(H$1,[1]stages!$2:$2,0)-MATCH("temp_stage",[1]stages!$2:$2,0)+1),MATCH(H$1,[1]stages!$2:$2,0)-MATCH("temp_stage",[1]stages!$2:$2,0)+1,FALSE)</f>
        <v>月曜クエスト</v>
      </c>
      <c r="I9" s="18">
        <v>0</v>
      </c>
      <c r="J9" s="5">
        <f>COUNTIF(C$1:C9,C9)</f>
        <v>8</v>
      </c>
      <c r="K9" s="34">
        <v>12</v>
      </c>
      <c r="L9" s="5" t="s">
        <v>17</v>
      </c>
      <c r="M9" s="38" t="str">
        <f>VLOOKUP(K9,[2]stage_hints!$A:$C,3,FALSE)</f>
        <v>ユニットのお気に入り登録</v>
      </c>
      <c r="N9" s="39" t="str">
        <f>VLOOKUP(K9,[2]stage_hints!$A:$D,4,FALSE)</f>
        <v>大事なユニットを誤って消さないように
フォルダから「お気に入り登録」しましょう</v>
      </c>
      <c r="O9" s="20" t="s">
        <v>24</v>
      </c>
      <c r="P9">
        <v>12</v>
      </c>
    </row>
    <row r="10" spans="1:16" x14ac:dyDescent="0.15">
      <c r="A10" s="27" t="str">
        <f t="shared" si="1"/>
        <v>11001_3_9</v>
      </c>
      <c r="B10" s="25" t="s">
        <v>34</v>
      </c>
      <c r="C10" s="4">
        <v>11001</v>
      </c>
      <c r="D10" s="3" t="str">
        <f ca="1">VLOOKUP($C10,OFFSET([1]quests!$A$1,0,0,COUNTA([1]quests!$A:$A),MATCH(D$1,[1]quests!$1:$1,0)-MATCH($C$1,[1]quests!$1:$1,0)+1),MATCH(D$1,[1]quests!$1:$1,0)-MATCH($C$1,[1]quests!$1:$1,0)+1,FALSE)</f>
        <v>【月曜限定】 黄の素材</v>
      </c>
      <c r="E10" s="3" t="str">
        <f ca="1">VLOOKUP($C10,OFFSET([1]quests!$A$1,0,0,COUNTA([1]quests!$A:$A),MATCH(E$1,[1]quests!$1:$1,0)-MATCH($C$1,[1]quests!$1:$1,0)+1),MATCH(E$1,[1]quests!$1:$1,0)-MATCH($C$1,[1]quests!$1:$1,0)+1,FALSE)</f>
        <v>月曜クエスト</v>
      </c>
      <c r="F10" s="5">
        <v>3</v>
      </c>
      <c r="G10" s="3" t="str">
        <f ca="1">VLOOKUP($C10&amp;"_"&amp;$F10,OFFSET([1]stages!$A$1,0,0,COUNTA([1]stages!$A:$A),MATCH(G$1,[1]stages!$2:$2,0)-MATCH("temp_stage",[1]stages!$2:$2,0)+1),MATCH(G$1,[1]stages!$2:$2,0)-MATCH("temp_stage",[1]stages!$2:$2,0)+1,FALSE)</f>
        <v>【上級】雷のイモムシ</v>
      </c>
      <c r="H10" s="3" t="str">
        <f ca="1">VLOOKUP($C10&amp;"_"&amp;$F10,OFFSET([1]stages!$A$1,0,0,COUNTA([1]stages!$A:$A),MATCH(H$1,[1]stages!$2:$2,0)-MATCH("temp_stage",[1]stages!$2:$2,0)+1),MATCH(H$1,[1]stages!$2:$2,0)-MATCH("temp_stage",[1]stages!$2:$2,0)+1,FALSE)</f>
        <v>月曜クエスト</v>
      </c>
      <c r="I10" s="18">
        <v>0</v>
      </c>
      <c r="J10" s="5">
        <f>COUNTIF(C$1:C10,C10)</f>
        <v>9</v>
      </c>
      <c r="K10" s="34">
        <v>13</v>
      </c>
      <c r="L10" s="5" t="s">
        <v>17</v>
      </c>
      <c r="M10" s="38" t="str">
        <f>VLOOKUP(K10,[2]stage_hints!$A:$C,3,FALSE)</f>
        <v>ユニットの覚醒</v>
      </c>
      <c r="N10" s="39" t="str">
        <f>VLOOKUP(K10,[2]stage_hints!$A:$D,4,FALSE)</f>
        <v>ユニットを覚醒させると
比べものにならない強さが手に入ります</v>
      </c>
      <c r="O10" s="20" t="s">
        <v>24</v>
      </c>
      <c r="P10">
        <v>13</v>
      </c>
    </row>
    <row r="11" spans="1:16" x14ac:dyDescent="0.15">
      <c r="A11" s="27" t="str">
        <f t="shared" si="1"/>
        <v>11001_3_10</v>
      </c>
      <c r="B11" s="25" t="s">
        <v>34</v>
      </c>
      <c r="C11" s="4">
        <v>11001</v>
      </c>
      <c r="D11" s="3" t="str">
        <f ca="1">VLOOKUP($C11,OFFSET([1]quests!$A$1,0,0,COUNTA([1]quests!$A:$A),MATCH(D$1,[1]quests!$1:$1,0)-MATCH($C$1,[1]quests!$1:$1,0)+1),MATCH(D$1,[1]quests!$1:$1,0)-MATCH($C$1,[1]quests!$1:$1,0)+1,FALSE)</f>
        <v>【月曜限定】 黄の素材</v>
      </c>
      <c r="E11" s="3" t="str">
        <f ca="1">VLOOKUP($C11,OFFSET([1]quests!$A$1,0,0,COUNTA([1]quests!$A:$A),MATCH(E$1,[1]quests!$1:$1,0)-MATCH($C$1,[1]quests!$1:$1,0)+1),MATCH(E$1,[1]quests!$1:$1,0)-MATCH($C$1,[1]quests!$1:$1,0)+1,FALSE)</f>
        <v>月曜クエスト</v>
      </c>
      <c r="F11" s="5">
        <v>3</v>
      </c>
      <c r="G11" s="3" t="str">
        <f ca="1">VLOOKUP($C11&amp;"_"&amp;$F11,OFFSET([1]stages!$A$1,0,0,COUNTA([1]stages!$A:$A),MATCH(G$1,[1]stages!$2:$2,0)-MATCH("temp_stage",[1]stages!$2:$2,0)+1),MATCH(G$1,[1]stages!$2:$2,0)-MATCH("temp_stage",[1]stages!$2:$2,0)+1,FALSE)</f>
        <v>【上級】雷のイモムシ</v>
      </c>
      <c r="H11" s="3" t="str">
        <f ca="1">VLOOKUP($C11&amp;"_"&amp;$F11,OFFSET([1]stages!$A$1,0,0,COUNTA([1]stages!$A:$A),MATCH(H$1,[1]stages!$2:$2,0)-MATCH("temp_stage",[1]stages!$2:$2,0)+1),MATCH(H$1,[1]stages!$2:$2,0)-MATCH("temp_stage",[1]stages!$2:$2,0)+1,FALSE)</f>
        <v>月曜クエスト</v>
      </c>
      <c r="I11" s="18">
        <v>0</v>
      </c>
      <c r="J11" s="5">
        <f>COUNTIF(C$1:C11,C11)</f>
        <v>10</v>
      </c>
      <c r="K11" s="34">
        <v>14</v>
      </c>
      <c r="L11" s="5" t="s">
        <v>17</v>
      </c>
      <c r="M11" s="38" t="str">
        <f>VLOOKUP(K11,[2]stage_hints!$A:$C,3,FALSE)</f>
        <v>覚醒するにはレベルを最大に</v>
      </c>
      <c r="N11" s="39" t="str">
        <f>VLOOKUP(K11,[2]stage_hints!$A:$D,4,FALSE)</f>
        <v>覚醒するにはユニットのレベルを
最大まで上げる必要があります</v>
      </c>
      <c r="O11" s="20" t="s">
        <v>24</v>
      </c>
      <c r="P11">
        <v>14</v>
      </c>
    </row>
    <row r="12" spans="1:16" x14ac:dyDescent="0.15">
      <c r="A12" s="27" t="str">
        <f t="shared" si="1"/>
        <v>11001_3_11</v>
      </c>
      <c r="B12" s="25" t="s">
        <v>34</v>
      </c>
      <c r="C12" s="4">
        <v>11001</v>
      </c>
      <c r="D12" s="3" t="str">
        <f ca="1">VLOOKUP($C12,OFFSET([1]quests!$A$1,0,0,COUNTA([1]quests!$A:$A),MATCH(D$1,[1]quests!$1:$1,0)-MATCH($C$1,[1]quests!$1:$1,0)+1),MATCH(D$1,[1]quests!$1:$1,0)-MATCH($C$1,[1]quests!$1:$1,0)+1,FALSE)</f>
        <v>【月曜限定】 黄の素材</v>
      </c>
      <c r="E12" s="3" t="str">
        <f ca="1">VLOOKUP($C12,OFFSET([1]quests!$A$1,0,0,COUNTA([1]quests!$A:$A),MATCH(E$1,[1]quests!$1:$1,0)-MATCH($C$1,[1]quests!$1:$1,0)+1),MATCH(E$1,[1]quests!$1:$1,0)-MATCH($C$1,[1]quests!$1:$1,0)+1,FALSE)</f>
        <v>月曜クエスト</v>
      </c>
      <c r="F12" s="5">
        <v>3</v>
      </c>
      <c r="G12" s="3" t="str">
        <f ca="1">VLOOKUP($C12&amp;"_"&amp;$F12,OFFSET([1]stages!$A$1,0,0,COUNTA([1]stages!$A:$A),MATCH(G$1,[1]stages!$2:$2,0)-MATCH("temp_stage",[1]stages!$2:$2,0)+1),MATCH(G$1,[1]stages!$2:$2,0)-MATCH("temp_stage",[1]stages!$2:$2,0)+1,FALSE)</f>
        <v>【上級】雷のイモムシ</v>
      </c>
      <c r="H12" s="3" t="str">
        <f ca="1">VLOOKUP($C12&amp;"_"&amp;$F12,OFFSET([1]stages!$A$1,0,0,COUNTA([1]stages!$A:$A),MATCH(H$1,[1]stages!$2:$2,0)-MATCH("temp_stage",[1]stages!$2:$2,0)+1),MATCH(H$1,[1]stages!$2:$2,0)-MATCH("temp_stage",[1]stages!$2:$2,0)+1,FALSE)</f>
        <v>月曜クエスト</v>
      </c>
      <c r="I12" s="18">
        <v>0</v>
      </c>
      <c r="J12" s="5">
        <f>COUNTIF(C$1:C12,C12)</f>
        <v>11</v>
      </c>
      <c r="K12" s="34">
        <v>15</v>
      </c>
      <c r="L12" s="5" t="s">
        <v>17</v>
      </c>
      <c r="M12" s="38" t="str">
        <f>VLOOKUP(K12,[2]stage_hints!$A:$C,3,FALSE)</f>
        <v>覚醒素材を獲得</v>
      </c>
      <c r="N12" s="39" t="str">
        <f>VLOOKUP(K12,[2]stage_hints!$A:$D,4,FALSE)</f>
        <v>「曜日クエスト」では
ユニットの覚醒に必要な素材が手に入ります</v>
      </c>
      <c r="O12" s="20" t="s">
        <v>24</v>
      </c>
      <c r="P12">
        <v>15</v>
      </c>
    </row>
    <row r="13" spans="1:16" x14ac:dyDescent="0.15">
      <c r="A13" s="27" t="str">
        <f t="shared" si="1"/>
        <v>11001_3_12</v>
      </c>
      <c r="B13" s="25" t="s">
        <v>34</v>
      </c>
      <c r="C13" s="4">
        <v>11001</v>
      </c>
      <c r="D13" s="3" t="str">
        <f ca="1">VLOOKUP($C13,OFFSET([1]quests!$A$1,0,0,COUNTA([1]quests!$A:$A),MATCH(D$1,[1]quests!$1:$1,0)-MATCH($C$1,[1]quests!$1:$1,0)+1),MATCH(D$1,[1]quests!$1:$1,0)-MATCH($C$1,[1]quests!$1:$1,0)+1,FALSE)</f>
        <v>【月曜限定】 黄の素材</v>
      </c>
      <c r="E13" s="3" t="str">
        <f ca="1">VLOOKUP($C13,OFFSET([1]quests!$A$1,0,0,COUNTA([1]quests!$A:$A),MATCH(E$1,[1]quests!$1:$1,0)-MATCH($C$1,[1]quests!$1:$1,0)+1),MATCH(E$1,[1]quests!$1:$1,0)-MATCH($C$1,[1]quests!$1:$1,0)+1,FALSE)</f>
        <v>月曜クエスト</v>
      </c>
      <c r="F13" s="5">
        <v>3</v>
      </c>
      <c r="G13" s="3" t="str">
        <f ca="1">VLOOKUP($C13&amp;"_"&amp;$F13,OFFSET([1]stages!$A$1,0,0,COUNTA([1]stages!$A:$A),MATCH(G$1,[1]stages!$2:$2,0)-MATCH("temp_stage",[1]stages!$2:$2,0)+1),MATCH(G$1,[1]stages!$2:$2,0)-MATCH("temp_stage",[1]stages!$2:$2,0)+1,FALSE)</f>
        <v>【上級】雷のイモムシ</v>
      </c>
      <c r="H13" s="3" t="str">
        <f ca="1">VLOOKUP($C13&amp;"_"&amp;$F13,OFFSET([1]stages!$A$1,0,0,COUNTA([1]stages!$A:$A),MATCH(H$1,[1]stages!$2:$2,0)-MATCH("temp_stage",[1]stages!$2:$2,0)+1),MATCH(H$1,[1]stages!$2:$2,0)-MATCH("temp_stage",[1]stages!$2:$2,0)+1,FALSE)</f>
        <v>月曜クエスト</v>
      </c>
      <c r="I13" s="18">
        <v>0</v>
      </c>
      <c r="J13" s="5">
        <f>COUNTIF(C$1:C13,C13)</f>
        <v>12</v>
      </c>
      <c r="K13" s="34">
        <v>16</v>
      </c>
      <c r="L13" s="5" t="s">
        <v>17</v>
      </c>
      <c r="M13" s="38" t="str">
        <f>VLOOKUP(K13,[2]stage_hints!$A:$C,3,FALSE)</f>
        <v>マルチプレイのメリット（その1）</v>
      </c>
      <c r="N13" s="39" t="str">
        <f>VLOOKUP(K13,[2]stage_hints!$A:$D,4,FALSE)</f>
        <v>他のプレイヤーとマルチプレイで遊ぶと
ポリゴンがもらえます（100人まで）</v>
      </c>
      <c r="O13" s="20" t="s">
        <v>24</v>
      </c>
      <c r="P13">
        <v>16</v>
      </c>
    </row>
    <row r="14" spans="1:16" x14ac:dyDescent="0.15">
      <c r="A14" s="27" t="str">
        <f t="shared" si="1"/>
        <v>11001_3_13</v>
      </c>
      <c r="B14" s="25" t="s">
        <v>34</v>
      </c>
      <c r="C14" s="4">
        <v>11001</v>
      </c>
      <c r="D14" s="3" t="str">
        <f ca="1">VLOOKUP($C14,OFFSET([1]quests!$A$1,0,0,COUNTA([1]quests!$A:$A),MATCH(D$1,[1]quests!$1:$1,0)-MATCH($C$1,[1]quests!$1:$1,0)+1),MATCH(D$1,[1]quests!$1:$1,0)-MATCH($C$1,[1]quests!$1:$1,0)+1,FALSE)</f>
        <v>【月曜限定】 黄の素材</v>
      </c>
      <c r="E14" s="3" t="str">
        <f ca="1">VLOOKUP($C14,OFFSET([1]quests!$A$1,0,0,COUNTA([1]quests!$A:$A),MATCH(E$1,[1]quests!$1:$1,0)-MATCH($C$1,[1]quests!$1:$1,0)+1),MATCH(E$1,[1]quests!$1:$1,0)-MATCH($C$1,[1]quests!$1:$1,0)+1,FALSE)</f>
        <v>月曜クエスト</v>
      </c>
      <c r="F14" s="5">
        <v>3</v>
      </c>
      <c r="G14" s="3" t="str">
        <f ca="1">VLOOKUP($C14&amp;"_"&amp;$F14,OFFSET([1]stages!$A$1,0,0,COUNTA([1]stages!$A:$A),MATCH(G$1,[1]stages!$2:$2,0)-MATCH("temp_stage",[1]stages!$2:$2,0)+1),MATCH(G$1,[1]stages!$2:$2,0)-MATCH("temp_stage",[1]stages!$2:$2,0)+1,FALSE)</f>
        <v>【上級】雷のイモムシ</v>
      </c>
      <c r="H14" s="3" t="str">
        <f ca="1">VLOOKUP($C14&amp;"_"&amp;$F14,OFFSET([1]stages!$A$1,0,0,COUNTA([1]stages!$A:$A),MATCH(H$1,[1]stages!$2:$2,0)-MATCH("temp_stage",[1]stages!$2:$2,0)+1),MATCH(H$1,[1]stages!$2:$2,0)-MATCH("temp_stage",[1]stages!$2:$2,0)+1,FALSE)</f>
        <v>月曜クエスト</v>
      </c>
      <c r="I14" s="18">
        <v>0</v>
      </c>
      <c r="J14" s="5">
        <f>COUNTIF(C$1:C14,C14)</f>
        <v>13</v>
      </c>
      <c r="K14" s="34">
        <v>17</v>
      </c>
      <c r="L14" s="5" t="s">
        <v>17</v>
      </c>
      <c r="M14" s="38" t="str">
        <f>VLOOKUP(K14,[2]stage_hints!$A:$C,3,FALSE)</f>
        <v>リンクガチャ</v>
      </c>
      <c r="N14" s="39" t="str">
        <f>VLOOKUP(K14,[2]stage_hints!$A:$D,4,FALSE)</f>
        <v>無料のリンクガチャを回して
経験値素材や売却素材を獲得しましょう</v>
      </c>
      <c r="O14" s="20" t="s">
        <v>24</v>
      </c>
      <c r="P14">
        <v>17</v>
      </c>
    </row>
    <row r="15" spans="1:16" x14ac:dyDescent="0.15">
      <c r="A15" s="27" t="str">
        <f t="shared" ref="A15:A18" si="2">C15&amp;"_"&amp;F15&amp;"_"&amp;J15</f>
        <v>11001_3_14</v>
      </c>
      <c r="B15" s="25" t="s">
        <v>34</v>
      </c>
      <c r="C15" s="4">
        <v>11001</v>
      </c>
      <c r="D15" s="3" t="str">
        <f ca="1">VLOOKUP($C15,OFFSET([1]quests!$A$1,0,0,COUNTA([1]quests!$A:$A),MATCH(D$1,[1]quests!$1:$1,0)-MATCH($C$1,[1]quests!$1:$1,0)+1),MATCH(D$1,[1]quests!$1:$1,0)-MATCH($C$1,[1]quests!$1:$1,0)+1,FALSE)</f>
        <v>【月曜限定】 黄の素材</v>
      </c>
      <c r="E15" s="3" t="str">
        <f ca="1">VLOOKUP($C15,OFFSET([1]quests!$A$1,0,0,COUNTA([1]quests!$A:$A),MATCH(E$1,[1]quests!$1:$1,0)-MATCH($C$1,[1]quests!$1:$1,0)+1),MATCH(E$1,[1]quests!$1:$1,0)-MATCH($C$1,[1]quests!$1:$1,0)+1,FALSE)</f>
        <v>月曜クエスト</v>
      </c>
      <c r="F15" s="5">
        <v>3</v>
      </c>
      <c r="G15" s="3" t="str">
        <f ca="1">VLOOKUP($C15&amp;"_"&amp;$F15,OFFSET([1]stages!$A$1,0,0,COUNTA([1]stages!$A:$A),MATCH(G$1,[1]stages!$2:$2,0)-MATCH("temp_stage",[1]stages!$2:$2,0)+1),MATCH(G$1,[1]stages!$2:$2,0)-MATCH("temp_stage",[1]stages!$2:$2,0)+1,FALSE)</f>
        <v>【上級】雷のイモムシ</v>
      </c>
      <c r="H15" s="3" t="str">
        <f ca="1">VLOOKUP($C15&amp;"_"&amp;$F15,OFFSET([1]stages!$A$1,0,0,COUNTA([1]stages!$A:$A),MATCH(H$1,[1]stages!$2:$2,0)-MATCH("temp_stage",[1]stages!$2:$2,0)+1),MATCH(H$1,[1]stages!$2:$2,0)-MATCH("temp_stage",[1]stages!$2:$2,0)+1,FALSE)</f>
        <v>月曜クエスト</v>
      </c>
      <c r="I15" s="18">
        <v>0</v>
      </c>
      <c r="J15" s="5">
        <f>COUNTIF(C$1:C15,C15)</f>
        <v>14</v>
      </c>
      <c r="K15" s="34">
        <v>18</v>
      </c>
      <c r="L15" s="5" t="s">
        <v>17</v>
      </c>
      <c r="M15" s="38" t="str">
        <f>VLOOKUP(K15,[2]stage_hints!$A:$C,3,FALSE)</f>
        <v>マルチプレイのメリット（その2）</v>
      </c>
      <c r="N15" s="39" t="str">
        <f>VLOOKUP(K15,[2]stage_hints!$A:$D,4,FALSE)</f>
        <v>マルチプレイならリンクが2倍もらえます
リンクガチャをたくさん回しましょう</v>
      </c>
      <c r="O15" s="20" t="s">
        <v>24</v>
      </c>
      <c r="P15">
        <v>18</v>
      </c>
    </row>
    <row r="16" spans="1:16" x14ac:dyDescent="0.15">
      <c r="A16" s="27" t="str">
        <f t="shared" si="2"/>
        <v>11001_3_15</v>
      </c>
      <c r="B16" s="25" t="s">
        <v>34</v>
      </c>
      <c r="C16" s="4">
        <v>11001</v>
      </c>
      <c r="D16" s="3" t="str">
        <f ca="1">VLOOKUP($C16,OFFSET([1]quests!$A$1,0,0,COUNTA([1]quests!$A:$A),MATCH(D$1,[1]quests!$1:$1,0)-MATCH($C$1,[1]quests!$1:$1,0)+1),MATCH(D$1,[1]quests!$1:$1,0)-MATCH($C$1,[1]quests!$1:$1,0)+1,FALSE)</f>
        <v>【月曜限定】 黄の素材</v>
      </c>
      <c r="E16" s="3" t="str">
        <f ca="1">VLOOKUP($C16,OFFSET([1]quests!$A$1,0,0,COUNTA([1]quests!$A:$A),MATCH(E$1,[1]quests!$1:$1,0)-MATCH($C$1,[1]quests!$1:$1,0)+1),MATCH(E$1,[1]quests!$1:$1,0)-MATCH($C$1,[1]quests!$1:$1,0)+1,FALSE)</f>
        <v>月曜クエスト</v>
      </c>
      <c r="F16" s="5">
        <v>3</v>
      </c>
      <c r="G16" s="3" t="str">
        <f ca="1">VLOOKUP($C16&amp;"_"&amp;$F16,OFFSET([1]stages!$A$1,0,0,COUNTA([1]stages!$A:$A),MATCH(G$1,[1]stages!$2:$2,0)-MATCH("temp_stage",[1]stages!$2:$2,0)+1),MATCH(G$1,[1]stages!$2:$2,0)-MATCH("temp_stage",[1]stages!$2:$2,0)+1,FALSE)</f>
        <v>【上級】雷のイモムシ</v>
      </c>
      <c r="H16" s="3" t="str">
        <f ca="1">VLOOKUP($C16&amp;"_"&amp;$F16,OFFSET([1]stages!$A$1,0,0,COUNTA([1]stages!$A:$A),MATCH(H$1,[1]stages!$2:$2,0)-MATCH("temp_stage",[1]stages!$2:$2,0)+1),MATCH(H$1,[1]stages!$2:$2,0)-MATCH("temp_stage",[1]stages!$2:$2,0)+1,FALSE)</f>
        <v>月曜クエスト</v>
      </c>
      <c r="I16" s="18">
        <v>0</v>
      </c>
      <c r="J16" s="5">
        <f>COUNTIF(C$1:C16,C16)</f>
        <v>15</v>
      </c>
      <c r="K16" s="34">
        <v>19</v>
      </c>
      <c r="L16" s="5" t="s">
        <v>17</v>
      </c>
      <c r="M16" s="38" t="str">
        <f>VLOOKUP(K16,[2]stage_hints!$A:$C,3,FALSE)</f>
        <v>ソロ専用チャレンジタワー</v>
      </c>
      <c r="N16" s="39" t="str">
        <f>VLOOKUP(K16,[2]stage_hints!$A:$D,4,FALSE)</f>
        <v>ソロ専用の「チャレンジタワー」では
各フロアごとにクリア報酬がもらえます</v>
      </c>
      <c r="O16" s="20" t="s">
        <v>24</v>
      </c>
      <c r="P16">
        <v>19</v>
      </c>
    </row>
    <row r="17" spans="1:16" x14ac:dyDescent="0.15">
      <c r="A17" s="27" t="str">
        <f t="shared" si="2"/>
        <v>11001_3_16</v>
      </c>
      <c r="B17" s="25" t="s">
        <v>34</v>
      </c>
      <c r="C17" s="4">
        <v>11001</v>
      </c>
      <c r="D17" s="3" t="str">
        <f ca="1">VLOOKUP($C17,OFFSET([1]quests!$A$1,0,0,COUNTA([1]quests!$A:$A),MATCH(D$1,[1]quests!$1:$1,0)-MATCH($C$1,[1]quests!$1:$1,0)+1),MATCH(D$1,[1]quests!$1:$1,0)-MATCH($C$1,[1]quests!$1:$1,0)+1,FALSE)</f>
        <v>【月曜限定】 黄の素材</v>
      </c>
      <c r="E17" s="3" t="str">
        <f ca="1">VLOOKUP($C17,OFFSET([1]quests!$A$1,0,0,COUNTA([1]quests!$A:$A),MATCH(E$1,[1]quests!$1:$1,0)-MATCH($C$1,[1]quests!$1:$1,0)+1),MATCH(E$1,[1]quests!$1:$1,0)-MATCH($C$1,[1]quests!$1:$1,0)+1,FALSE)</f>
        <v>月曜クエスト</v>
      </c>
      <c r="F17" s="5">
        <v>3</v>
      </c>
      <c r="G17" s="3" t="str">
        <f ca="1">VLOOKUP($C17&amp;"_"&amp;$F17,OFFSET([1]stages!$A$1,0,0,COUNTA([1]stages!$A:$A),MATCH(G$1,[1]stages!$2:$2,0)-MATCH("temp_stage",[1]stages!$2:$2,0)+1),MATCH(G$1,[1]stages!$2:$2,0)-MATCH("temp_stage",[1]stages!$2:$2,0)+1,FALSE)</f>
        <v>【上級】雷のイモムシ</v>
      </c>
      <c r="H17" s="3" t="str">
        <f ca="1">VLOOKUP($C17&amp;"_"&amp;$F17,OFFSET([1]stages!$A$1,0,0,COUNTA([1]stages!$A:$A),MATCH(H$1,[1]stages!$2:$2,0)-MATCH("temp_stage",[1]stages!$2:$2,0)+1),MATCH(H$1,[1]stages!$2:$2,0)-MATCH("temp_stage",[1]stages!$2:$2,0)+1,FALSE)</f>
        <v>月曜クエスト</v>
      </c>
      <c r="I17" s="18">
        <v>0</v>
      </c>
      <c r="J17" s="5">
        <f>COUNTIF(C$1:C17,C17)</f>
        <v>16</v>
      </c>
      <c r="K17" s="34">
        <v>20</v>
      </c>
      <c r="L17" s="5" t="s">
        <v>17</v>
      </c>
      <c r="M17" s="38" t="str">
        <f>VLOOKUP(K17,[2]stage_hints!$A:$C,3,FALSE)</f>
        <v>マルチプレイのメリット（その3）</v>
      </c>
      <c r="N17" s="39" t="str">
        <f>VLOOKUP(K17,[2]stage_hints!$A:$D,4,FALSE)</f>
        <v>マルチプレイへの参加はエナジー消費ゼロ
いつでも好きなだけ遊ぶことができます</v>
      </c>
      <c r="O17" s="20" t="s">
        <v>24</v>
      </c>
      <c r="P17">
        <v>20</v>
      </c>
    </row>
    <row r="18" spans="1:16" x14ac:dyDescent="0.15">
      <c r="A18" s="27" t="str">
        <f t="shared" si="2"/>
        <v>11001_3_17</v>
      </c>
      <c r="B18" s="25" t="s">
        <v>34</v>
      </c>
      <c r="C18" s="4">
        <v>11001</v>
      </c>
      <c r="D18" s="3" t="str">
        <f ca="1">VLOOKUP($C18,OFFSET([1]quests!$A$1,0,0,COUNTA([1]quests!$A:$A),MATCH(D$1,[1]quests!$1:$1,0)-MATCH($C$1,[1]quests!$1:$1,0)+1),MATCH(D$1,[1]quests!$1:$1,0)-MATCH($C$1,[1]quests!$1:$1,0)+1,FALSE)</f>
        <v>【月曜限定】 黄の素材</v>
      </c>
      <c r="E18" s="3" t="str">
        <f ca="1">VLOOKUP($C18,OFFSET([1]quests!$A$1,0,0,COUNTA([1]quests!$A:$A),MATCH(E$1,[1]quests!$1:$1,0)-MATCH($C$1,[1]quests!$1:$1,0)+1),MATCH(E$1,[1]quests!$1:$1,0)-MATCH($C$1,[1]quests!$1:$1,0)+1,FALSE)</f>
        <v>月曜クエスト</v>
      </c>
      <c r="F18" s="5">
        <v>3</v>
      </c>
      <c r="G18" s="3" t="str">
        <f ca="1">VLOOKUP($C18&amp;"_"&amp;$F18,OFFSET([1]stages!$A$1,0,0,COUNTA([1]stages!$A:$A),MATCH(G$1,[1]stages!$2:$2,0)-MATCH("temp_stage",[1]stages!$2:$2,0)+1),MATCH(G$1,[1]stages!$2:$2,0)-MATCH("temp_stage",[1]stages!$2:$2,0)+1,FALSE)</f>
        <v>【上級】雷のイモムシ</v>
      </c>
      <c r="H18" s="3" t="str">
        <f ca="1">VLOOKUP($C18&amp;"_"&amp;$F18,OFFSET([1]stages!$A$1,0,0,COUNTA([1]stages!$A:$A),MATCH(H$1,[1]stages!$2:$2,0)-MATCH("temp_stage",[1]stages!$2:$2,0)+1),MATCH(H$1,[1]stages!$2:$2,0)-MATCH("temp_stage",[1]stages!$2:$2,0)+1,FALSE)</f>
        <v>月曜クエスト</v>
      </c>
      <c r="I18" s="18">
        <v>0</v>
      </c>
      <c r="J18" s="5">
        <f>COUNTIF(C$1:C18,C18)</f>
        <v>17</v>
      </c>
      <c r="K18" s="34">
        <v>21</v>
      </c>
      <c r="L18" s="5" t="s">
        <v>17</v>
      </c>
      <c r="M18" s="38" t="str">
        <f>VLOOKUP(K18,[2]stage_hints!$A:$C,3,FALSE)</f>
        <v>スキルを有効に</v>
      </c>
      <c r="N18" s="39" t="str">
        <f>VLOOKUP(K18,[2]stage_hints!$A:$D,4,FALSE)</f>
        <v>ターン経過でユニットのスキルが使えます
強力スキルでバトルを有利に進めましょう</v>
      </c>
      <c r="O18" s="20" t="s">
        <v>24</v>
      </c>
      <c r="P18">
        <v>21</v>
      </c>
    </row>
    <row r="19" spans="1:16" x14ac:dyDescent="0.15">
      <c r="A19" s="27" t="str">
        <f t="shared" ref="A19" si="3">C19&amp;"_"&amp;F19&amp;"_"&amp;J19</f>
        <v>11001_3_18</v>
      </c>
      <c r="B19" s="25" t="s">
        <v>34</v>
      </c>
      <c r="C19" s="4">
        <v>11001</v>
      </c>
      <c r="D19" s="3" t="str">
        <f ca="1">VLOOKUP($C19,OFFSET([1]quests!$A$1,0,0,COUNTA([1]quests!$A:$A),MATCH(D$1,[1]quests!$1:$1,0)-MATCH($C$1,[1]quests!$1:$1,0)+1),MATCH(D$1,[1]quests!$1:$1,0)-MATCH($C$1,[1]quests!$1:$1,0)+1,FALSE)</f>
        <v>【月曜限定】 黄の素材</v>
      </c>
      <c r="E19" s="3" t="str">
        <f ca="1">VLOOKUP($C19,OFFSET([1]quests!$A$1,0,0,COUNTA([1]quests!$A:$A),MATCH(E$1,[1]quests!$1:$1,0)-MATCH($C$1,[1]quests!$1:$1,0)+1),MATCH(E$1,[1]quests!$1:$1,0)-MATCH($C$1,[1]quests!$1:$1,0)+1,FALSE)</f>
        <v>月曜クエスト</v>
      </c>
      <c r="F19" s="5">
        <v>3</v>
      </c>
      <c r="G19" s="3" t="str">
        <f ca="1">VLOOKUP($C19&amp;"_"&amp;$F19,OFFSET([1]stages!$A$1,0,0,COUNTA([1]stages!$A:$A),MATCH(G$1,[1]stages!$2:$2,0)-MATCH("temp_stage",[1]stages!$2:$2,0)+1),MATCH(G$1,[1]stages!$2:$2,0)-MATCH("temp_stage",[1]stages!$2:$2,0)+1,FALSE)</f>
        <v>【上級】雷のイモムシ</v>
      </c>
      <c r="H19" s="3" t="str">
        <f ca="1">VLOOKUP($C19&amp;"_"&amp;$F19,OFFSET([1]stages!$A$1,0,0,COUNTA([1]stages!$A:$A),MATCH(H$1,[1]stages!$2:$2,0)-MATCH("temp_stage",[1]stages!$2:$2,0)+1),MATCH(H$1,[1]stages!$2:$2,0)-MATCH("temp_stage",[1]stages!$2:$2,0)+1,FALSE)</f>
        <v>月曜クエスト</v>
      </c>
      <c r="I19" s="18">
        <v>0</v>
      </c>
      <c r="J19" s="5">
        <f>COUNTIF(C$1:C19,C19)</f>
        <v>18</v>
      </c>
      <c r="K19" s="34">
        <v>22</v>
      </c>
      <c r="L19" s="5" t="s">
        <v>17</v>
      </c>
      <c r="M19" s="38" t="str">
        <f>VLOOKUP(K19,[2]stage_hints!$A:$C,3,FALSE)</f>
        <v>フィーバーで一発逆転（その1）</v>
      </c>
      <c r="N19" s="39" t="str">
        <f>VLOOKUP(K19,[2]stage_hints!$A:$D,4,FALSE)</f>
        <v>フィーバーは攻撃と回復を兼ね備えます
ピンチからの一発逆転を狙いましょう</v>
      </c>
      <c r="O19" s="20" t="s">
        <v>24</v>
      </c>
      <c r="P19">
        <v>22</v>
      </c>
    </row>
    <row r="20" spans="1:16" x14ac:dyDescent="0.15">
      <c r="A20" s="27" t="str">
        <f t="shared" ref="A20:A24" si="4">C20&amp;"_"&amp;F20&amp;"_"&amp;J20</f>
        <v>11001_3_19</v>
      </c>
      <c r="B20" s="25" t="s">
        <v>34</v>
      </c>
      <c r="C20" s="4">
        <v>11001</v>
      </c>
      <c r="D20" s="3" t="str">
        <f ca="1">VLOOKUP($C20,OFFSET([1]quests!$A$1,0,0,COUNTA([1]quests!$A:$A),MATCH(D$1,[1]quests!$1:$1,0)-MATCH($C$1,[1]quests!$1:$1,0)+1),MATCH(D$1,[1]quests!$1:$1,0)-MATCH($C$1,[1]quests!$1:$1,0)+1,FALSE)</f>
        <v>【月曜限定】 黄の素材</v>
      </c>
      <c r="E20" s="3" t="str">
        <f ca="1">VLOOKUP($C20,OFFSET([1]quests!$A$1,0,0,COUNTA([1]quests!$A:$A),MATCH(E$1,[1]quests!$1:$1,0)-MATCH($C$1,[1]quests!$1:$1,0)+1),MATCH(E$1,[1]quests!$1:$1,0)-MATCH($C$1,[1]quests!$1:$1,0)+1,FALSE)</f>
        <v>月曜クエスト</v>
      </c>
      <c r="F20" s="5">
        <v>3</v>
      </c>
      <c r="G20" s="3" t="str">
        <f ca="1">VLOOKUP($C20&amp;"_"&amp;$F20,OFFSET([1]stages!$A$1,0,0,COUNTA([1]stages!$A:$A),MATCH(G$1,[1]stages!$2:$2,0)-MATCH("temp_stage",[1]stages!$2:$2,0)+1),MATCH(G$1,[1]stages!$2:$2,0)-MATCH("temp_stage",[1]stages!$2:$2,0)+1,FALSE)</f>
        <v>【上級】雷のイモムシ</v>
      </c>
      <c r="H20" s="3" t="str">
        <f ca="1">VLOOKUP($C20&amp;"_"&amp;$F20,OFFSET([1]stages!$A$1,0,0,COUNTA([1]stages!$A:$A),MATCH(H$1,[1]stages!$2:$2,0)-MATCH("temp_stage",[1]stages!$2:$2,0)+1),MATCH(H$1,[1]stages!$2:$2,0)-MATCH("temp_stage",[1]stages!$2:$2,0)+1,FALSE)</f>
        <v>月曜クエスト</v>
      </c>
      <c r="I20" s="18">
        <v>0</v>
      </c>
      <c r="J20" s="5">
        <f>COUNTIF(C$1:C20,C20)</f>
        <v>19</v>
      </c>
      <c r="K20" s="34">
        <v>23</v>
      </c>
      <c r="L20" s="5" t="s">
        <v>17</v>
      </c>
      <c r="M20" s="38" t="str">
        <f>VLOOKUP(K20,[2]stage_hints!$A:$C,3,FALSE)</f>
        <v>フィーバーで一発逆転（その2）</v>
      </c>
      <c r="N20" s="39" t="str">
        <f>VLOOKUP(K20,[2]stage_hints!$A:$D,4,FALSE)</f>
        <v>フィーバー中は虹色のボムパネルを狙って
画面上のパネルを一気に破壊しましょう</v>
      </c>
      <c r="O20" s="20" t="s">
        <v>24</v>
      </c>
      <c r="P20">
        <v>23</v>
      </c>
    </row>
    <row r="21" spans="1:16" x14ac:dyDescent="0.15">
      <c r="A21" s="27" t="str">
        <f t="shared" si="4"/>
        <v>11001_3_20</v>
      </c>
      <c r="B21" s="25" t="s">
        <v>34</v>
      </c>
      <c r="C21" s="4">
        <v>11001</v>
      </c>
      <c r="D21" s="3" t="str">
        <f ca="1">VLOOKUP($C21,OFFSET([1]quests!$A$1,0,0,COUNTA([1]quests!$A:$A),MATCH(D$1,[1]quests!$1:$1,0)-MATCH($C$1,[1]quests!$1:$1,0)+1),MATCH(D$1,[1]quests!$1:$1,0)-MATCH($C$1,[1]quests!$1:$1,0)+1,FALSE)</f>
        <v>【月曜限定】 黄の素材</v>
      </c>
      <c r="E21" s="3" t="str">
        <f ca="1">VLOOKUP($C21,OFFSET([1]quests!$A$1,0,0,COUNTA([1]quests!$A:$A),MATCH(E$1,[1]quests!$1:$1,0)-MATCH($C$1,[1]quests!$1:$1,0)+1),MATCH(E$1,[1]quests!$1:$1,0)-MATCH($C$1,[1]quests!$1:$1,0)+1,FALSE)</f>
        <v>月曜クエスト</v>
      </c>
      <c r="F21" s="5">
        <v>3</v>
      </c>
      <c r="G21" s="3" t="str">
        <f ca="1">VLOOKUP($C21&amp;"_"&amp;$F21,OFFSET([1]stages!$A$1,0,0,COUNTA([1]stages!$A:$A),MATCH(G$1,[1]stages!$2:$2,0)-MATCH("temp_stage",[1]stages!$2:$2,0)+1),MATCH(G$1,[1]stages!$2:$2,0)-MATCH("temp_stage",[1]stages!$2:$2,0)+1,FALSE)</f>
        <v>【上級】雷のイモムシ</v>
      </c>
      <c r="H21" s="3" t="str">
        <f ca="1">VLOOKUP($C21&amp;"_"&amp;$F21,OFFSET([1]stages!$A$1,0,0,COUNTA([1]stages!$A:$A),MATCH(H$1,[1]stages!$2:$2,0)-MATCH("temp_stage",[1]stages!$2:$2,0)+1),MATCH(H$1,[1]stages!$2:$2,0)-MATCH("temp_stage",[1]stages!$2:$2,0)+1,FALSE)</f>
        <v>月曜クエスト</v>
      </c>
      <c r="I21" s="18">
        <v>0</v>
      </c>
      <c r="J21" s="5">
        <f>COUNTIF(C$1:C21,C21)</f>
        <v>20</v>
      </c>
      <c r="K21" s="34">
        <v>24</v>
      </c>
      <c r="L21" s="5" t="s">
        <v>17</v>
      </c>
      <c r="M21" s="38" t="str">
        <f>VLOOKUP(K21,[2]stage_hints!$A:$C,3,FALSE)</f>
        <v>りんごを使って限界突破</v>
      </c>
      <c r="N21" s="39" t="str">
        <f>VLOOKUP(K21,[2]stage_hints!$A:$D,4,FALSE)</f>
        <v>赤りんご(攻撃力) 青りんご(回復力)
緑りんご(体力)をユニット強化に使うと
ステータスが限界突破します（計99個迄）</v>
      </c>
      <c r="O21" s="20" t="s">
        <v>24</v>
      </c>
      <c r="P21">
        <v>24</v>
      </c>
    </row>
    <row r="22" spans="1:16" x14ac:dyDescent="0.15">
      <c r="A22" s="27" t="str">
        <f t="shared" si="4"/>
        <v>11001_3_21</v>
      </c>
      <c r="B22" s="25" t="s">
        <v>34</v>
      </c>
      <c r="C22" s="4">
        <v>11001</v>
      </c>
      <c r="D22" s="3" t="str">
        <f ca="1">VLOOKUP($C22,OFFSET([1]quests!$A$1,0,0,COUNTA([1]quests!$A:$A),MATCH(D$1,[1]quests!$1:$1,0)-MATCH($C$1,[1]quests!$1:$1,0)+1),MATCH(D$1,[1]quests!$1:$1,0)-MATCH($C$1,[1]quests!$1:$1,0)+1,FALSE)</f>
        <v>【月曜限定】 黄の素材</v>
      </c>
      <c r="E22" s="3" t="str">
        <f ca="1">VLOOKUP($C22,OFFSET([1]quests!$A$1,0,0,COUNTA([1]quests!$A:$A),MATCH(E$1,[1]quests!$1:$1,0)-MATCH($C$1,[1]quests!$1:$1,0)+1),MATCH(E$1,[1]quests!$1:$1,0)-MATCH($C$1,[1]quests!$1:$1,0)+1,FALSE)</f>
        <v>月曜クエスト</v>
      </c>
      <c r="F22" s="5">
        <v>3</v>
      </c>
      <c r="G22" s="3" t="str">
        <f ca="1">VLOOKUP($C22&amp;"_"&amp;$F22,OFFSET([1]stages!$A$1,0,0,COUNTA([1]stages!$A:$A),MATCH(G$1,[1]stages!$2:$2,0)-MATCH("temp_stage",[1]stages!$2:$2,0)+1),MATCH(G$1,[1]stages!$2:$2,0)-MATCH("temp_stage",[1]stages!$2:$2,0)+1,FALSE)</f>
        <v>【上級】雷のイモムシ</v>
      </c>
      <c r="H22" s="3" t="str">
        <f ca="1">VLOOKUP($C22&amp;"_"&amp;$F22,OFFSET([1]stages!$A$1,0,0,COUNTA([1]stages!$A:$A),MATCH(H$1,[1]stages!$2:$2,0)-MATCH("temp_stage",[1]stages!$2:$2,0)+1),MATCH(H$1,[1]stages!$2:$2,0)-MATCH("temp_stage",[1]stages!$2:$2,0)+1,FALSE)</f>
        <v>月曜クエスト</v>
      </c>
      <c r="I22" s="18">
        <v>0</v>
      </c>
      <c r="J22" s="5">
        <f>COUNTIF(C$1:C22,C22)</f>
        <v>21</v>
      </c>
      <c r="K22" s="34">
        <v>25</v>
      </c>
      <c r="L22" s="5" t="s">
        <v>17</v>
      </c>
      <c r="M22" s="38" t="str">
        <f>VLOOKUP(K22,[2]stage_hints!$A:$C,3,FALSE)</f>
        <v>スキルレベルアップ</v>
      </c>
      <c r="N22" s="39" t="str">
        <f>VLOOKUP(K22,[2]stage_hints!$A:$D,4,FALSE)</f>
        <v>「クリスタルのりんご」を強化に使うと
スキルレベルを上げることができます</v>
      </c>
      <c r="O22" s="20" t="s">
        <v>24</v>
      </c>
      <c r="P22">
        <v>25</v>
      </c>
    </row>
    <row r="23" spans="1:16" x14ac:dyDescent="0.15">
      <c r="A23" s="27" t="str">
        <f t="shared" si="4"/>
        <v>11001_3_22</v>
      </c>
      <c r="B23" s="25" t="s">
        <v>34</v>
      </c>
      <c r="C23" s="4">
        <v>11001</v>
      </c>
      <c r="D23" s="3" t="str">
        <f ca="1">VLOOKUP($C23,OFFSET([1]quests!$A$1,0,0,COUNTA([1]quests!$A:$A),MATCH(D$1,[1]quests!$1:$1,0)-MATCH($C$1,[1]quests!$1:$1,0)+1),MATCH(D$1,[1]quests!$1:$1,0)-MATCH($C$1,[1]quests!$1:$1,0)+1,FALSE)</f>
        <v>【月曜限定】 黄の素材</v>
      </c>
      <c r="E23" s="3" t="str">
        <f ca="1">VLOOKUP($C23,OFFSET([1]quests!$A$1,0,0,COUNTA([1]quests!$A:$A),MATCH(E$1,[1]quests!$1:$1,0)-MATCH($C$1,[1]quests!$1:$1,0)+1),MATCH(E$1,[1]quests!$1:$1,0)-MATCH($C$1,[1]quests!$1:$1,0)+1,FALSE)</f>
        <v>月曜クエスト</v>
      </c>
      <c r="F23" s="5">
        <v>3</v>
      </c>
      <c r="G23" s="3" t="str">
        <f ca="1">VLOOKUP($C23&amp;"_"&amp;$F23,OFFSET([1]stages!$A$1,0,0,COUNTA([1]stages!$A:$A),MATCH(G$1,[1]stages!$2:$2,0)-MATCH("temp_stage",[1]stages!$2:$2,0)+1),MATCH(G$1,[1]stages!$2:$2,0)-MATCH("temp_stage",[1]stages!$2:$2,0)+1,FALSE)</f>
        <v>【上級】雷のイモムシ</v>
      </c>
      <c r="H23" s="3" t="str">
        <f ca="1">VLOOKUP($C23&amp;"_"&amp;$F23,OFFSET([1]stages!$A$1,0,0,COUNTA([1]stages!$A:$A),MATCH(H$1,[1]stages!$2:$2,0)-MATCH("temp_stage",[1]stages!$2:$2,0)+1),MATCH(H$1,[1]stages!$2:$2,0)-MATCH("temp_stage",[1]stages!$2:$2,0)+1,FALSE)</f>
        <v>月曜クエスト</v>
      </c>
      <c r="I23" s="18">
        <v>0</v>
      </c>
      <c r="J23" s="5">
        <f>COUNTIF(C$1:C23,C23)</f>
        <v>22</v>
      </c>
      <c r="K23" s="34">
        <v>26</v>
      </c>
      <c r="L23" s="5" t="s">
        <v>17</v>
      </c>
      <c r="M23" s="38" t="str">
        <f>VLOOKUP(K23,[2]stage_hints!$A:$C,3,FALSE)</f>
        <v>スキルレベルの効果</v>
      </c>
      <c r="N23" s="39" t="str">
        <f>VLOOKUP(K23,[2]stage_hints!$A:$D,4,FALSE)</f>
        <v>スキルレベルが上がると
短いターンでスキルを使うことができます</v>
      </c>
      <c r="O23" s="20" t="s">
        <v>24</v>
      </c>
      <c r="P23">
        <v>26</v>
      </c>
    </row>
    <row r="24" spans="1:16" x14ac:dyDescent="0.15">
      <c r="A24" s="27" t="str">
        <f t="shared" si="4"/>
        <v>11001_3_23</v>
      </c>
      <c r="B24" s="25" t="s">
        <v>34</v>
      </c>
      <c r="C24" s="4">
        <v>11001</v>
      </c>
      <c r="D24" s="3" t="str">
        <f ca="1">VLOOKUP($C24,OFFSET([1]quests!$A$1,0,0,COUNTA([1]quests!$A:$A),MATCH(D$1,[1]quests!$1:$1,0)-MATCH($C$1,[1]quests!$1:$1,0)+1),MATCH(D$1,[1]quests!$1:$1,0)-MATCH($C$1,[1]quests!$1:$1,0)+1,FALSE)</f>
        <v>【月曜限定】 黄の素材</v>
      </c>
      <c r="E24" s="3" t="str">
        <f ca="1">VLOOKUP($C24,OFFSET([1]quests!$A$1,0,0,COUNTA([1]quests!$A:$A),MATCH(E$1,[1]quests!$1:$1,0)-MATCH($C$1,[1]quests!$1:$1,0)+1),MATCH(E$1,[1]quests!$1:$1,0)-MATCH($C$1,[1]quests!$1:$1,0)+1,FALSE)</f>
        <v>月曜クエスト</v>
      </c>
      <c r="F24" s="5">
        <v>3</v>
      </c>
      <c r="G24" s="3" t="str">
        <f ca="1">VLOOKUP($C24&amp;"_"&amp;$F24,OFFSET([1]stages!$A$1,0,0,COUNTA([1]stages!$A:$A),MATCH(G$1,[1]stages!$2:$2,0)-MATCH("temp_stage",[1]stages!$2:$2,0)+1),MATCH(G$1,[1]stages!$2:$2,0)-MATCH("temp_stage",[1]stages!$2:$2,0)+1,FALSE)</f>
        <v>【上級】雷のイモムシ</v>
      </c>
      <c r="H24" s="3" t="str">
        <f ca="1">VLOOKUP($C24&amp;"_"&amp;$F24,OFFSET([1]stages!$A$1,0,0,COUNTA([1]stages!$A:$A),MATCH(H$1,[1]stages!$2:$2,0)-MATCH("temp_stage",[1]stages!$2:$2,0)+1),MATCH(H$1,[1]stages!$2:$2,0)-MATCH("temp_stage",[1]stages!$2:$2,0)+1,FALSE)</f>
        <v>月曜クエスト</v>
      </c>
      <c r="I24" s="18">
        <v>0</v>
      </c>
      <c r="J24" s="5">
        <f>COUNTIF(C$1:C24,C24)</f>
        <v>23</v>
      </c>
      <c r="K24" s="34">
        <v>27</v>
      </c>
      <c r="L24" s="5" t="s">
        <v>17</v>
      </c>
      <c r="M24" s="38" t="str">
        <f>VLOOKUP(K24,[2]stage_hints!$A:$C,3,FALSE)</f>
        <v>ホーム画面からデッキを編成</v>
      </c>
      <c r="N24" s="39" t="str">
        <f>VLOOKUP(K24,[2]stage_hints!$A:$D,4,FALSE)</f>
        <v>ホーム画面でユニットを長押しすると
すぐにパーティ編成に移動できます</v>
      </c>
      <c r="O24" s="20" t="s">
        <v>24</v>
      </c>
      <c r="P24">
        <v>27</v>
      </c>
    </row>
    <row r="25" spans="1:16" x14ac:dyDescent="0.15">
      <c r="A25" s="27" t="str">
        <f t="shared" ref="A25" si="5">C25&amp;"_"&amp;F25&amp;"_"&amp;J25</f>
        <v>11001_3_24</v>
      </c>
      <c r="B25" s="25" t="s">
        <v>34</v>
      </c>
      <c r="C25" s="4">
        <v>11001</v>
      </c>
      <c r="D25" s="3" t="str">
        <f ca="1">VLOOKUP($C25,OFFSET([1]quests!$A$1,0,0,COUNTA([1]quests!$A:$A),MATCH(D$1,[1]quests!$1:$1,0)-MATCH($C$1,[1]quests!$1:$1,0)+1),MATCH(D$1,[1]quests!$1:$1,0)-MATCH($C$1,[1]quests!$1:$1,0)+1,FALSE)</f>
        <v>【月曜限定】 黄の素材</v>
      </c>
      <c r="E25" s="3" t="str">
        <f ca="1">VLOOKUP($C25,OFFSET([1]quests!$A$1,0,0,COUNTA([1]quests!$A:$A),MATCH(E$1,[1]quests!$1:$1,0)-MATCH($C$1,[1]quests!$1:$1,0)+1),MATCH(E$1,[1]quests!$1:$1,0)-MATCH($C$1,[1]quests!$1:$1,0)+1,FALSE)</f>
        <v>月曜クエスト</v>
      </c>
      <c r="F25" s="5">
        <v>3</v>
      </c>
      <c r="G25" s="3" t="str">
        <f ca="1">VLOOKUP($C25&amp;"_"&amp;$F25,OFFSET([1]stages!$A$1,0,0,COUNTA([1]stages!$A:$A),MATCH(G$1,[1]stages!$2:$2,0)-MATCH("temp_stage",[1]stages!$2:$2,0)+1),MATCH(G$1,[1]stages!$2:$2,0)-MATCH("temp_stage",[1]stages!$2:$2,0)+1,FALSE)</f>
        <v>【上級】雷のイモムシ</v>
      </c>
      <c r="H25" s="3" t="str">
        <f ca="1">VLOOKUP($C25&amp;"_"&amp;$F25,OFFSET([1]stages!$A$1,0,0,COUNTA([1]stages!$A:$A),MATCH(H$1,[1]stages!$2:$2,0)-MATCH("temp_stage",[1]stages!$2:$2,0)+1),MATCH(H$1,[1]stages!$2:$2,0)-MATCH("temp_stage",[1]stages!$2:$2,0)+1,FALSE)</f>
        <v>月曜クエスト</v>
      </c>
      <c r="I25" s="18">
        <v>0</v>
      </c>
      <c r="J25" s="5">
        <f>COUNTIF(C$1:C25,C25)</f>
        <v>24</v>
      </c>
      <c r="K25" s="34">
        <v>28</v>
      </c>
      <c r="L25" s="5" t="s">
        <v>17</v>
      </c>
      <c r="M25" s="38" t="str">
        <f>VLOOKUP(K25,[2]stage_hints!$A:$C,3,FALSE)</f>
        <v>ステータス情報は長押しで</v>
      </c>
      <c r="N25" s="39" t="str">
        <f>VLOOKUP(K25,[2]stage_hints!$A:$D,4,FALSE)</f>
        <v>ユニットのアイコンを長押しすると
ステータス情報を確認することができます</v>
      </c>
      <c r="O25" s="20" t="s">
        <v>24</v>
      </c>
      <c r="P25">
        <v>28</v>
      </c>
    </row>
    <row r="26" spans="1:16" x14ac:dyDescent="0.15">
      <c r="A26" s="27" t="str">
        <f t="shared" ref="A26:A31" si="6">C26&amp;"_"&amp;F26&amp;"_"&amp;J26</f>
        <v>11001_3_25</v>
      </c>
      <c r="B26" s="25" t="s">
        <v>34</v>
      </c>
      <c r="C26" s="4">
        <v>11001</v>
      </c>
      <c r="D26" s="3" t="str">
        <f ca="1">VLOOKUP($C26,OFFSET([1]quests!$A$1,0,0,COUNTA([1]quests!$A:$A),MATCH(D$1,[1]quests!$1:$1,0)-MATCH($C$1,[1]quests!$1:$1,0)+1),MATCH(D$1,[1]quests!$1:$1,0)-MATCH($C$1,[1]quests!$1:$1,0)+1,FALSE)</f>
        <v>【月曜限定】 黄の素材</v>
      </c>
      <c r="E26" s="3" t="str">
        <f ca="1">VLOOKUP($C26,OFFSET([1]quests!$A$1,0,0,COUNTA([1]quests!$A:$A),MATCH(E$1,[1]quests!$1:$1,0)-MATCH($C$1,[1]quests!$1:$1,0)+1),MATCH(E$1,[1]quests!$1:$1,0)-MATCH($C$1,[1]quests!$1:$1,0)+1,FALSE)</f>
        <v>月曜クエスト</v>
      </c>
      <c r="F26" s="5">
        <v>3</v>
      </c>
      <c r="G26" s="3" t="str">
        <f ca="1">VLOOKUP($C26&amp;"_"&amp;$F26,OFFSET([1]stages!$A$1,0,0,COUNTA([1]stages!$A:$A),MATCH(G$1,[1]stages!$2:$2,0)-MATCH("temp_stage",[1]stages!$2:$2,0)+1),MATCH(G$1,[1]stages!$2:$2,0)-MATCH("temp_stage",[1]stages!$2:$2,0)+1,FALSE)</f>
        <v>【上級】雷のイモムシ</v>
      </c>
      <c r="H26" s="3" t="str">
        <f ca="1">VLOOKUP($C26&amp;"_"&amp;$F26,OFFSET([1]stages!$A$1,0,0,COUNTA([1]stages!$A:$A),MATCH(H$1,[1]stages!$2:$2,0)-MATCH("temp_stage",[1]stages!$2:$2,0)+1),MATCH(H$1,[1]stages!$2:$2,0)-MATCH("temp_stage",[1]stages!$2:$2,0)+1,FALSE)</f>
        <v>月曜クエスト</v>
      </c>
      <c r="I26" s="18">
        <v>0</v>
      </c>
      <c r="J26" s="5">
        <f>COUNTIF(C$1:C26,C26)</f>
        <v>25</v>
      </c>
      <c r="K26" s="34">
        <v>29</v>
      </c>
      <c r="L26" s="5" t="s">
        <v>17</v>
      </c>
      <c r="M26" s="38" t="str">
        <f>VLOOKUP(K26,[2]stage_hints!$A:$C,3,FALSE)</f>
        <v>「バグ」のメリット</v>
      </c>
      <c r="N26" s="39" t="str">
        <f>VLOOKUP(K26,[2]stage_hints!$A:$D,4,FALSE)</f>
        <v>ユニットの「バグ」を増やすと
報酬をもらえる確率がアップします</v>
      </c>
      <c r="O26" s="20" t="s">
        <v>24</v>
      </c>
      <c r="P26">
        <v>29</v>
      </c>
    </row>
    <row r="27" spans="1:16" x14ac:dyDescent="0.15">
      <c r="A27" s="27" t="str">
        <f t="shared" si="6"/>
        <v>11001_3_26</v>
      </c>
      <c r="B27" s="25" t="s">
        <v>34</v>
      </c>
      <c r="C27" s="4">
        <v>11001</v>
      </c>
      <c r="D27" s="3" t="str">
        <f ca="1">VLOOKUP($C27,OFFSET([1]quests!$A$1,0,0,COUNTA([1]quests!$A:$A),MATCH(D$1,[1]quests!$1:$1,0)-MATCH($C$1,[1]quests!$1:$1,0)+1),MATCH(D$1,[1]quests!$1:$1,0)-MATCH($C$1,[1]quests!$1:$1,0)+1,FALSE)</f>
        <v>【月曜限定】 黄の素材</v>
      </c>
      <c r="E27" s="3" t="str">
        <f ca="1">VLOOKUP($C27,OFFSET([1]quests!$A$1,0,0,COUNTA([1]quests!$A:$A),MATCH(E$1,[1]quests!$1:$1,0)-MATCH($C$1,[1]quests!$1:$1,0)+1),MATCH(E$1,[1]quests!$1:$1,0)-MATCH($C$1,[1]quests!$1:$1,0)+1,FALSE)</f>
        <v>月曜クエスト</v>
      </c>
      <c r="F27" s="5">
        <v>3</v>
      </c>
      <c r="G27" s="3" t="str">
        <f ca="1">VLOOKUP($C27&amp;"_"&amp;$F27,OFFSET([1]stages!$A$1,0,0,COUNTA([1]stages!$A:$A),MATCH(G$1,[1]stages!$2:$2,0)-MATCH("temp_stage",[1]stages!$2:$2,0)+1),MATCH(G$1,[1]stages!$2:$2,0)-MATCH("temp_stage",[1]stages!$2:$2,0)+1,FALSE)</f>
        <v>【上級】雷のイモムシ</v>
      </c>
      <c r="H27" s="3" t="str">
        <f ca="1">VLOOKUP($C27&amp;"_"&amp;$F27,OFFSET([1]stages!$A$1,0,0,COUNTA([1]stages!$A:$A),MATCH(H$1,[1]stages!$2:$2,0)-MATCH("temp_stage",[1]stages!$2:$2,0)+1),MATCH(H$1,[1]stages!$2:$2,0)-MATCH("temp_stage",[1]stages!$2:$2,0)+1,FALSE)</f>
        <v>月曜クエスト</v>
      </c>
      <c r="I27" s="18">
        <v>0</v>
      </c>
      <c r="J27" s="5">
        <f>COUNTIF(C$1:C27,C27)</f>
        <v>26</v>
      </c>
      <c r="K27" s="34">
        <v>30</v>
      </c>
      <c r="L27" s="5" t="s">
        <v>17</v>
      </c>
      <c r="M27" s="38" t="str">
        <f>VLOOKUP(K27,[2]stage_hints!$A:$C,3,FALSE)</f>
        <v>「バグ」の増やし方</v>
      </c>
      <c r="N27" s="39" t="str">
        <f>VLOOKUP(K27,[2]stage_hints!$A:$D,4,FALSE)</f>
        <v>同じユニット同士を強化で合成すると
「バグ」を増やすことができます</v>
      </c>
      <c r="O27" s="20" t="s">
        <v>24</v>
      </c>
      <c r="P27">
        <v>30</v>
      </c>
    </row>
    <row r="28" spans="1:16" x14ac:dyDescent="0.15">
      <c r="A28" s="27" t="str">
        <f t="shared" si="6"/>
        <v>11001_3_27</v>
      </c>
      <c r="B28" s="25" t="s">
        <v>34</v>
      </c>
      <c r="C28" s="4">
        <v>11001</v>
      </c>
      <c r="D28" s="3" t="str">
        <f ca="1">VLOOKUP($C28,OFFSET([1]quests!$A$1,0,0,COUNTA([1]quests!$A:$A),MATCH(D$1,[1]quests!$1:$1,0)-MATCH($C$1,[1]quests!$1:$1,0)+1),MATCH(D$1,[1]quests!$1:$1,0)-MATCH($C$1,[1]quests!$1:$1,0)+1,FALSE)</f>
        <v>【月曜限定】 黄の素材</v>
      </c>
      <c r="E28" s="3" t="str">
        <f ca="1">VLOOKUP($C28,OFFSET([1]quests!$A$1,0,0,COUNTA([1]quests!$A:$A),MATCH(E$1,[1]quests!$1:$1,0)-MATCH($C$1,[1]quests!$1:$1,0)+1),MATCH(E$1,[1]quests!$1:$1,0)-MATCH($C$1,[1]quests!$1:$1,0)+1,FALSE)</f>
        <v>月曜クエスト</v>
      </c>
      <c r="F28" s="5">
        <v>3</v>
      </c>
      <c r="G28" s="3" t="str">
        <f ca="1">VLOOKUP($C28&amp;"_"&amp;$F28,OFFSET([1]stages!$A$1,0,0,COUNTA([1]stages!$A:$A),MATCH(G$1,[1]stages!$2:$2,0)-MATCH("temp_stage",[1]stages!$2:$2,0)+1),MATCH(G$1,[1]stages!$2:$2,0)-MATCH("temp_stage",[1]stages!$2:$2,0)+1,FALSE)</f>
        <v>【上級】雷のイモムシ</v>
      </c>
      <c r="H28" s="3" t="str">
        <f ca="1">VLOOKUP($C28&amp;"_"&amp;$F28,OFFSET([1]stages!$A$1,0,0,COUNTA([1]stages!$A:$A),MATCH(H$1,[1]stages!$2:$2,0)-MATCH("temp_stage",[1]stages!$2:$2,0)+1),MATCH(H$1,[1]stages!$2:$2,0)-MATCH("temp_stage",[1]stages!$2:$2,0)+1,FALSE)</f>
        <v>月曜クエスト</v>
      </c>
      <c r="I28" s="18">
        <v>0</v>
      </c>
      <c r="J28" s="5">
        <f>COUNTIF(C$1:C28,C28)</f>
        <v>27</v>
      </c>
      <c r="K28" s="34">
        <v>31</v>
      </c>
      <c r="L28" s="5" t="s">
        <v>17</v>
      </c>
      <c r="M28" s="38" t="str">
        <f>VLOOKUP(K28,[2]stage_hints!$A:$C,3,FALSE)</f>
        <v>イベントはお知らせでチェック</v>
      </c>
      <c r="N28" s="39" t="str">
        <f>VLOOKUP(K28,[2]stage_hints!$A:$D,4,FALSE)</f>
        <v>イベント限定ユニットを取り忘れないように
お知らせをこまめにチェックしましょう</v>
      </c>
      <c r="O28" s="20" t="s">
        <v>24</v>
      </c>
      <c r="P28">
        <v>31</v>
      </c>
    </row>
    <row r="29" spans="1:16" x14ac:dyDescent="0.15">
      <c r="A29" s="27" t="str">
        <f t="shared" si="6"/>
        <v>11001_3_28</v>
      </c>
      <c r="B29" s="25" t="s">
        <v>34</v>
      </c>
      <c r="C29" s="4">
        <v>11001</v>
      </c>
      <c r="D29" s="3" t="str">
        <f ca="1">VLOOKUP($C29,OFFSET([1]quests!$A$1,0,0,COUNTA([1]quests!$A:$A),MATCH(D$1,[1]quests!$1:$1,0)-MATCH($C$1,[1]quests!$1:$1,0)+1),MATCH(D$1,[1]quests!$1:$1,0)-MATCH($C$1,[1]quests!$1:$1,0)+1,FALSE)</f>
        <v>【月曜限定】 黄の素材</v>
      </c>
      <c r="E29" s="3" t="str">
        <f ca="1">VLOOKUP($C29,OFFSET([1]quests!$A$1,0,0,COUNTA([1]quests!$A:$A),MATCH(E$1,[1]quests!$1:$1,0)-MATCH($C$1,[1]quests!$1:$1,0)+1),MATCH(E$1,[1]quests!$1:$1,0)-MATCH($C$1,[1]quests!$1:$1,0)+1,FALSE)</f>
        <v>月曜クエスト</v>
      </c>
      <c r="F29" s="5">
        <v>3</v>
      </c>
      <c r="G29" s="3" t="str">
        <f ca="1">VLOOKUP($C29&amp;"_"&amp;$F29,OFFSET([1]stages!$A$1,0,0,COUNTA([1]stages!$A:$A),MATCH(G$1,[1]stages!$2:$2,0)-MATCH("temp_stage",[1]stages!$2:$2,0)+1),MATCH(G$1,[1]stages!$2:$2,0)-MATCH("temp_stage",[1]stages!$2:$2,0)+1,FALSE)</f>
        <v>【上級】雷のイモムシ</v>
      </c>
      <c r="H29" s="3" t="str">
        <f ca="1">VLOOKUP($C29&amp;"_"&amp;$F29,OFFSET([1]stages!$A$1,0,0,COUNTA([1]stages!$A:$A),MATCH(H$1,[1]stages!$2:$2,0)-MATCH("temp_stage",[1]stages!$2:$2,0)+1),MATCH(H$1,[1]stages!$2:$2,0)-MATCH("temp_stage",[1]stages!$2:$2,0)+1,FALSE)</f>
        <v>月曜クエスト</v>
      </c>
      <c r="I29" s="18">
        <v>0</v>
      </c>
      <c r="J29" s="5">
        <f>COUNTIF(C$1:C29,C29)</f>
        <v>28</v>
      </c>
      <c r="K29" s="34">
        <v>32</v>
      </c>
      <c r="L29" s="5" t="s">
        <v>17</v>
      </c>
      <c r="M29" s="38" t="str">
        <f>VLOOKUP(K29,[2]stage_hints!$A:$C,3,FALSE)</f>
        <v>敵の連続攻撃には</v>
      </c>
      <c r="N29" s="39" t="str">
        <f>VLOOKUP(K29,[2]stage_hints!$A:$D,4,FALSE)</f>
        <v>カウンタースキルを持つユニットがいれば
ダメージ回数分の反撃ができます</v>
      </c>
      <c r="O29" s="20" t="s">
        <v>24</v>
      </c>
      <c r="P29">
        <v>32</v>
      </c>
    </row>
    <row r="30" spans="1:16" x14ac:dyDescent="0.15">
      <c r="A30" s="27" t="str">
        <f t="shared" si="6"/>
        <v>11001_3_29</v>
      </c>
      <c r="B30" s="25" t="s">
        <v>34</v>
      </c>
      <c r="C30" s="4">
        <v>11001</v>
      </c>
      <c r="D30" s="3" t="str">
        <f ca="1">VLOOKUP($C30,OFFSET([1]quests!$A$1,0,0,COUNTA([1]quests!$A:$A),MATCH(D$1,[1]quests!$1:$1,0)-MATCH($C$1,[1]quests!$1:$1,0)+1),MATCH(D$1,[1]quests!$1:$1,0)-MATCH($C$1,[1]quests!$1:$1,0)+1,FALSE)</f>
        <v>【月曜限定】 黄の素材</v>
      </c>
      <c r="E30" s="3" t="str">
        <f ca="1">VLOOKUP($C30,OFFSET([1]quests!$A$1,0,0,COUNTA([1]quests!$A:$A),MATCH(E$1,[1]quests!$1:$1,0)-MATCH($C$1,[1]quests!$1:$1,0)+1),MATCH(E$1,[1]quests!$1:$1,0)-MATCH($C$1,[1]quests!$1:$1,0)+1,FALSE)</f>
        <v>月曜クエスト</v>
      </c>
      <c r="F30" s="5">
        <v>3</v>
      </c>
      <c r="G30" s="3" t="str">
        <f ca="1">VLOOKUP($C30&amp;"_"&amp;$F30,OFFSET([1]stages!$A$1,0,0,COUNTA([1]stages!$A:$A),MATCH(G$1,[1]stages!$2:$2,0)-MATCH("temp_stage",[1]stages!$2:$2,0)+1),MATCH(G$1,[1]stages!$2:$2,0)-MATCH("temp_stage",[1]stages!$2:$2,0)+1,FALSE)</f>
        <v>【上級】雷のイモムシ</v>
      </c>
      <c r="H30" s="3" t="str">
        <f ca="1">VLOOKUP($C30&amp;"_"&amp;$F30,OFFSET([1]stages!$A$1,0,0,COUNTA([1]stages!$A:$A),MATCH(H$1,[1]stages!$2:$2,0)-MATCH("temp_stage",[1]stages!$2:$2,0)+1),MATCH(H$1,[1]stages!$2:$2,0)-MATCH("temp_stage",[1]stages!$2:$2,0)+1,FALSE)</f>
        <v>月曜クエスト</v>
      </c>
      <c r="I30" s="18">
        <v>0</v>
      </c>
      <c r="J30" s="5">
        <f>COUNTIF(C$1:C30,C30)</f>
        <v>29</v>
      </c>
      <c r="K30" s="34">
        <v>33</v>
      </c>
      <c r="L30" s="5" t="s">
        <v>17</v>
      </c>
      <c r="M30" s="38" t="str">
        <f>VLOOKUP(K30,[2]stage_hints!$A:$C,3,FALSE)</f>
        <v>敵のカウンター攻撃には</v>
      </c>
      <c r="N30" s="39" t="str">
        <f>VLOOKUP(K30,[2]stage_hints!$A:$D,4,FALSE)</f>
        <v>カウンターブレイクスキルを持っていれば
敵のカウンターを解除して攻撃ができます</v>
      </c>
      <c r="O30" s="20" t="s">
        <v>24</v>
      </c>
      <c r="P30">
        <v>33</v>
      </c>
    </row>
    <row r="31" spans="1:16" x14ac:dyDescent="0.15">
      <c r="A31" s="27" t="str">
        <f t="shared" si="6"/>
        <v>11001_3_30</v>
      </c>
      <c r="B31" s="25" t="s">
        <v>34</v>
      </c>
      <c r="C31" s="4">
        <v>11001</v>
      </c>
      <c r="D31" s="3" t="str">
        <f ca="1">VLOOKUP($C31,OFFSET([1]quests!$A$1,0,0,COUNTA([1]quests!$A:$A),MATCH(D$1,[1]quests!$1:$1,0)-MATCH($C$1,[1]quests!$1:$1,0)+1),MATCH(D$1,[1]quests!$1:$1,0)-MATCH($C$1,[1]quests!$1:$1,0)+1,FALSE)</f>
        <v>【月曜限定】 黄の素材</v>
      </c>
      <c r="E31" s="3" t="str">
        <f ca="1">VLOOKUP($C31,OFFSET([1]quests!$A$1,0,0,COUNTA([1]quests!$A:$A),MATCH(E$1,[1]quests!$1:$1,0)-MATCH($C$1,[1]quests!$1:$1,0)+1),MATCH(E$1,[1]quests!$1:$1,0)-MATCH($C$1,[1]quests!$1:$1,0)+1,FALSE)</f>
        <v>月曜クエスト</v>
      </c>
      <c r="F31" s="5">
        <v>3</v>
      </c>
      <c r="G31" s="3" t="str">
        <f ca="1">VLOOKUP($C31&amp;"_"&amp;$F31,OFFSET([1]stages!$A$1,0,0,COUNTA([1]stages!$A:$A),MATCH(G$1,[1]stages!$2:$2,0)-MATCH("temp_stage",[1]stages!$2:$2,0)+1),MATCH(G$1,[1]stages!$2:$2,0)-MATCH("temp_stage",[1]stages!$2:$2,0)+1,FALSE)</f>
        <v>【上級】雷のイモムシ</v>
      </c>
      <c r="H31" s="3" t="str">
        <f ca="1">VLOOKUP($C31&amp;"_"&amp;$F31,OFFSET([1]stages!$A$1,0,0,COUNTA([1]stages!$A:$A),MATCH(H$1,[1]stages!$2:$2,0)-MATCH("temp_stage",[1]stages!$2:$2,0)+1),MATCH(H$1,[1]stages!$2:$2,0)-MATCH("temp_stage",[1]stages!$2:$2,0)+1,FALSE)</f>
        <v>月曜クエスト</v>
      </c>
      <c r="I31" s="18">
        <v>0</v>
      </c>
      <c r="J31" s="5">
        <f>COUNTIF(C$1:C31,C31)</f>
        <v>30</v>
      </c>
      <c r="K31" s="34">
        <v>34</v>
      </c>
      <c r="L31" s="5" t="s">
        <v>17</v>
      </c>
      <c r="M31" s="38" t="str">
        <f>VLOOKUP(K31,[2]stage_hints!$A:$C,3,FALSE)</f>
        <v>ステータスをスキルで下げられたら</v>
      </c>
      <c r="N31" s="39" t="str">
        <f>VLOOKUP(K31,[2]stage_hints!$A:$D,4,FALSE)</f>
        <v>ステータスダウンのスキルを受けたら
ステータスアップスキルで上書きしましょう</v>
      </c>
      <c r="O31" s="20" t="s">
        <v>24</v>
      </c>
      <c r="P31">
        <v>34</v>
      </c>
    </row>
    <row r="32" spans="1:16" x14ac:dyDescent="0.15">
      <c r="A32" s="27" t="str">
        <f t="shared" ref="A32" si="7">C32&amp;"_"&amp;F32&amp;"_"&amp;J32</f>
        <v>11001_3_31</v>
      </c>
      <c r="B32" s="25" t="s">
        <v>34</v>
      </c>
      <c r="C32" s="4">
        <v>11001</v>
      </c>
      <c r="D32" s="3" t="str">
        <f ca="1">VLOOKUP($C32,OFFSET([1]quests!$A$1,0,0,COUNTA([1]quests!$A:$A),MATCH(D$1,[1]quests!$1:$1,0)-MATCH($C$1,[1]quests!$1:$1,0)+1),MATCH(D$1,[1]quests!$1:$1,0)-MATCH($C$1,[1]quests!$1:$1,0)+1,FALSE)</f>
        <v>【月曜限定】 黄の素材</v>
      </c>
      <c r="E32" s="3" t="str">
        <f ca="1">VLOOKUP($C32,OFFSET([1]quests!$A$1,0,0,COUNTA([1]quests!$A:$A),MATCH(E$1,[1]quests!$1:$1,0)-MATCH($C$1,[1]quests!$1:$1,0)+1),MATCH(E$1,[1]quests!$1:$1,0)-MATCH($C$1,[1]quests!$1:$1,0)+1,FALSE)</f>
        <v>月曜クエスト</v>
      </c>
      <c r="F32" s="5">
        <v>3</v>
      </c>
      <c r="G32" s="3" t="str">
        <f ca="1">VLOOKUP($C32&amp;"_"&amp;$F32,OFFSET([1]stages!$A$1,0,0,COUNTA([1]stages!$A:$A),MATCH(G$1,[1]stages!$2:$2,0)-MATCH("temp_stage",[1]stages!$2:$2,0)+1),MATCH(G$1,[1]stages!$2:$2,0)-MATCH("temp_stage",[1]stages!$2:$2,0)+1,FALSE)</f>
        <v>【上級】雷のイモムシ</v>
      </c>
      <c r="H32" s="3" t="str">
        <f ca="1">VLOOKUP($C32&amp;"_"&amp;$F32,OFFSET([1]stages!$A$1,0,0,COUNTA([1]stages!$A:$A),MATCH(H$1,[1]stages!$2:$2,0)-MATCH("temp_stage",[1]stages!$2:$2,0)+1),MATCH(H$1,[1]stages!$2:$2,0)-MATCH("temp_stage",[1]stages!$2:$2,0)+1,FALSE)</f>
        <v>月曜クエスト</v>
      </c>
      <c r="I32" s="18">
        <v>0</v>
      </c>
      <c r="J32" s="5">
        <f>COUNTIF(C$1:C32,C32)</f>
        <v>31</v>
      </c>
      <c r="K32" s="34">
        <v>35</v>
      </c>
      <c r="L32" s="5" t="s">
        <v>17</v>
      </c>
      <c r="M32" s="38" t="str">
        <f>VLOOKUP(K32,[2]stage_hints!$A:$C,3,FALSE)</f>
        <v>敵のステータスがスキルで上がったら</v>
      </c>
      <c r="N32" s="39" t="str">
        <f>VLOOKUP(K32,[2]stage_hints!$A:$D,4,FALSE)</f>
        <v>敵のステータスがスキルでアップしたときは
ステータスダウンスキルで上書きしましょう</v>
      </c>
      <c r="O32" s="20" t="s">
        <v>24</v>
      </c>
      <c r="P32">
        <v>35</v>
      </c>
    </row>
    <row r="33" spans="1:16" x14ac:dyDescent="0.15">
      <c r="A33" s="27" t="str">
        <f t="shared" ref="A33:A39" si="8">C33&amp;"_"&amp;F33&amp;"_"&amp;J33</f>
        <v>11001_3_32</v>
      </c>
      <c r="B33" s="25" t="s">
        <v>34</v>
      </c>
      <c r="C33" s="4">
        <v>11001</v>
      </c>
      <c r="D33" s="3" t="str">
        <f ca="1">VLOOKUP($C33,OFFSET([1]quests!$A$1,0,0,COUNTA([1]quests!$A:$A),MATCH(D$1,[1]quests!$1:$1,0)-MATCH($C$1,[1]quests!$1:$1,0)+1),MATCH(D$1,[1]quests!$1:$1,0)-MATCH($C$1,[1]quests!$1:$1,0)+1,FALSE)</f>
        <v>【月曜限定】 黄の素材</v>
      </c>
      <c r="E33" s="3" t="str">
        <f ca="1">VLOOKUP($C33,OFFSET([1]quests!$A$1,0,0,COUNTA([1]quests!$A:$A),MATCH(E$1,[1]quests!$1:$1,0)-MATCH($C$1,[1]quests!$1:$1,0)+1),MATCH(E$1,[1]quests!$1:$1,0)-MATCH($C$1,[1]quests!$1:$1,0)+1,FALSE)</f>
        <v>月曜クエスト</v>
      </c>
      <c r="F33" s="5">
        <v>3</v>
      </c>
      <c r="G33" s="3" t="str">
        <f ca="1">VLOOKUP($C33&amp;"_"&amp;$F33,OFFSET([1]stages!$A$1,0,0,COUNTA([1]stages!$A:$A),MATCH(G$1,[1]stages!$2:$2,0)-MATCH("temp_stage",[1]stages!$2:$2,0)+1),MATCH(G$1,[1]stages!$2:$2,0)-MATCH("temp_stage",[1]stages!$2:$2,0)+1,FALSE)</f>
        <v>【上級】雷のイモムシ</v>
      </c>
      <c r="H33" s="3" t="str">
        <f ca="1">VLOOKUP($C33&amp;"_"&amp;$F33,OFFSET([1]stages!$A$1,0,0,COUNTA([1]stages!$A:$A),MATCH(H$1,[1]stages!$2:$2,0)-MATCH("temp_stage",[1]stages!$2:$2,0)+1),MATCH(H$1,[1]stages!$2:$2,0)-MATCH("temp_stage",[1]stages!$2:$2,0)+1,FALSE)</f>
        <v>月曜クエスト</v>
      </c>
      <c r="I33" s="18">
        <v>0</v>
      </c>
      <c r="J33" s="5">
        <f>COUNTIF(C$1:C33,C33)</f>
        <v>32</v>
      </c>
      <c r="K33" s="34">
        <v>36</v>
      </c>
      <c r="L33" s="5" t="s">
        <v>17</v>
      </c>
      <c r="M33" s="38" t="str">
        <f>VLOOKUP(K33,[2]stage_hints!$A:$C,3,FALSE)</f>
        <v>チャレンジタワーのボス</v>
      </c>
      <c r="N33" s="39" t="str">
        <f>VLOOKUP(K33,[2]stage_hints!$A:$D,4,FALSE)</f>
        <v>チャレンジタワーでのみ登場するボスは
一定確率で獲得することができます</v>
      </c>
      <c r="O33" s="20" t="s">
        <v>24</v>
      </c>
      <c r="P33">
        <v>36</v>
      </c>
    </row>
    <row r="34" spans="1:16" x14ac:dyDescent="0.15">
      <c r="A34" s="27" t="str">
        <f t="shared" si="8"/>
        <v>11001_3_33</v>
      </c>
      <c r="B34" s="25" t="s">
        <v>34</v>
      </c>
      <c r="C34" s="4">
        <v>11001</v>
      </c>
      <c r="D34" s="3" t="str">
        <f ca="1">VLOOKUP($C34,OFFSET([1]quests!$A$1,0,0,COUNTA([1]quests!$A:$A),MATCH(D$1,[1]quests!$1:$1,0)-MATCH($C$1,[1]quests!$1:$1,0)+1),MATCH(D$1,[1]quests!$1:$1,0)-MATCH($C$1,[1]quests!$1:$1,0)+1,FALSE)</f>
        <v>【月曜限定】 黄の素材</v>
      </c>
      <c r="E34" s="3" t="str">
        <f ca="1">VLOOKUP($C34,OFFSET([1]quests!$A$1,0,0,COUNTA([1]quests!$A:$A),MATCH(E$1,[1]quests!$1:$1,0)-MATCH($C$1,[1]quests!$1:$1,0)+1),MATCH(E$1,[1]quests!$1:$1,0)-MATCH($C$1,[1]quests!$1:$1,0)+1,FALSE)</f>
        <v>月曜クエスト</v>
      </c>
      <c r="F34" s="5">
        <v>3</v>
      </c>
      <c r="G34" s="3" t="str">
        <f ca="1">VLOOKUP($C34&amp;"_"&amp;$F34,OFFSET([1]stages!$A$1,0,0,COUNTA([1]stages!$A:$A),MATCH(G$1,[1]stages!$2:$2,0)-MATCH("temp_stage",[1]stages!$2:$2,0)+1),MATCH(G$1,[1]stages!$2:$2,0)-MATCH("temp_stage",[1]stages!$2:$2,0)+1,FALSE)</f>
        <v>【上級】雷のイモムシ</v>
      </c>
      <c r="H34" s="3" t="str">
        <f ca="1">VLOOKUP($C34&amp;"_"&amp;$F34,OFFSET([1]stages!$A$1,0,0,COUNTA([1]stages!$A:$A),MATCH(H$1,[1]stages!$2:$2,0)-MATCH("temp_stage",[1]stages!$2:$2,0)+1),MATCH(H$1,[1]stages!$2:$2,0)-MATCH("temp_stage",[1]stages!$2:$2,0)+1,FALSE)</f>
        <v>月曜クエスト</v>
      </c>
      <c r="I34" s="18">
        <v>0</v>
      </c>
      <c r="J34" s="5">
        <f>COUNTIF(C$1:C34,C34)</f>
        <v>33</v>
      </c>
      <c r="K34" s="34">
        <v>37</v>
      </c>
      <c r="L34" s="5" t="s">
        <v>17</v>
      </c>
      <c r="M34" s="38" t="str">
        <f>VLOOKUP(K34,[2]stage_hints!$A:$C,3,FALSE)</f>
        <v>限界突破値の引き継ぎ</v>
      </c>
      <c r="N34" s="39" t="str">
        <f>VLOOKUP(K34,[2]stage_hints!$A:$D,4,FALSE)</f>
        <v>同じユニットを強化で合成すると
限界突破値を引き継げます（覚醒前後も可）</v>
      </c>
      <c r="O34" s="20" t="s">
        <v>24</v>
      </c>
      <c r="P34">
        <v>37</v>
      </c>
    </row>
    <row r="35" spans="1:16" x14ac:dyDescent="0.15">
      <c r="A35" s="27" t="str">
        <f t="shared" si="8"/>
        <v>11002_3_1</v>
      </c>
      <c r="B35" s="25" t="s">
        <v>34</v>
      </c>
      <c r="C35" s="4">
        <v>11002</v>
      </c>
      <c r="D35" s="3" t="str">
        <f ca="1">VLOOKUP($C35,OFFSET([1]quests!$A$1,0,0,COUNTA([1]quests!$A:$A),MATCH(D$1,[1]quests!$1:$1,0)-MATCH($C$1,[1]quests!$1:$1,0)+1),MATCH(D$1,[1]quests!$1:$1,0)-MATCH($C$1,[1]quests!$1:$1,0)+1,FALSE)</f>
        <v>【火曜限定】 赤の素材</v>
      </c>
      <c r="E35" s="3" t="str">
        <f ca="1">VLOOKUP($C35,OFFSET([1]quests!$A$1,0,0,COUNTA([1]quests!$A:$A),MATCH(E$1,[1]quests!$1:$1,0)-MATCH($C$1,[1]quests!$1:$1,0)+1),MATCH(E$1,[1]quests!$1:$1,0)-MATCH($C$1,[1]quests!$1:$1,0)+1,FALSE)</f>
        <v>火曜クエスト</v>
      </c>
      <c r="F35" s="5">
        <v>3</v>
      </c>
      <c r="G35" s="3" t="str">
        <f ca="1">VLOOKUP($C35&amp;"_"&amp;$F35,OFFSET([1]stages!$A$1,0,0,COUNTA([1]stages!$A:$A),MATCH(G$1,[1]stages!$2:$2,0)-MATCH("temp_stage",[1]stages!$2:$2,0)+1),MATCH(G$1,[1]stages!$2:$2,0)-MATCH("temp_stage",[1]stages!$2:$2,0)+1,FALSE)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35" s="3" t="str">
        <f ca="1">VLOOKUP($C35&amp;"_"&amp;$F35,OFFSET([1]stages!$A$1,0,0,COUNTA([1]stages!$A:$A),MATCH(H$1,[1]stages!$2:$2,0)-MATCH("temp_stage",[1]stages!$2:$2,0)+1),MATCH(H$1,[1]stages!$2:$2,0)-MATCH("temp_stage",[1]stages!$2:$2,0)+1,FALSE)</f>
        <v>火曜クエスト</v>
      </c>
      <c r="I35" s="18">
        <v>0</v>
      </c>
      <c r="J35" s="5">
        <f>COUNTIF(C$1:C35,C35)</f>
        <v>1</v>
      </c>
      <c r="K35" s="34">
        <v>3</v>
      </c>
      <c r="L35" s="5" t="s">
        <v>17</v>
      </c>
      <c r="M35" s="38" t="str">
        <f>VLOOKUP(K35,[2]stage_hints!$A:$C,3,FALSE)</f>
        <v>ターゲット</v>
      </c>
      <c r="N35" s="39" t="str">
        <f>VLOOKUP(K35,[2]stage_hints!$A:$D,4,FALSE)</f>
        <v>敵ユニットをタップすると
その敵を狙い撃ちできます</v>
      </c>
      <c r="O35" s="20" t="s">
        <v>24</v>
      </c>
      <c r="P35">
        <v>3</v>
      </c>
    </row>
    <row r="36" spans="1:16" x14ac:dyDescent="0.15">
      <c r="A36" s="27" t="str">
        <f t="shared" si="8"/>
        <v>11002_3_2</v>
      </c>
      <c r="B36" s="25" t="s">
        <v>34</v>
      </c>
      <c r="C36" s="4">
        <v>11002</v>
      </c>
      <c r="D36" s="3" t="str">
        <f ca="1">VLOOKUP($C36,OFFSET([1]quests!$A$1,0,0,COUNTA([1]quests!$A:$A),MATCH(D$1,[1]quests!$1:$1,0)-MATCH($C$1,[1]quests!$1:$1,0)+1),MATCH(D$1,[1]quests!$1:$1,0)-MATCH($C$1,[1]quests!$1:$1,0)+1,FALSE)</f>
        <v>【火曜限定】 赤の素材</v>
      </c>
      <c r="E36" s="3" t="str">
        <f ca="1">VLOOKUP($C36,OFFSET([1]quests!$A$1,0,0,COUNTA([1]quests!$A:$A),MATCH(E$1,[1]quests!$1:$1,0)-MATCH($C$1,[1]quests!$1:$1,0)+1),MATCH(E$1,[1]quests!$1:$1,0)-MATCH($C$1,[1]quests!$1:$1,0)+1,FALSE)</f>
        <v>火曜クエスト</v>
      </c>
      <c r="F36" s="5">
        <v>3</v>
      </c>
      <c r="G36" s="3" t="str">
        <f ca="1">VLOOKUP($C36&amp;"_"&amp;$F36,OFFSET([1]stages!$A$1,0,0,COUNTA([1]stages!$A:$A),MATCH(G$1,[1]stages!$2:$2,0)-MATCH("temp_stage",[1]stages!$2:$2,0)+1),MATCH(G$1,[1]stages!$2:$2,0)-MATCH("temp_stage",[1]stages!$2:$2,0)+1,FALSE)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36" s="3" t="str">
        <f ca="1">VLOOKUP($C36&amp;"_"&amp;$F36,OFFSET([1]stages!$A$1,0,0,COUNTA([1]stages!$A:$A),MATCH(H$1,[1]stages!$2:$2,0)-MATCH("temp_stage",[1]stages!$2:$2,0)+1),MATCH(H$1,[1]stages!$2:$2,0)-MATCH("temp_stage",[1]stages!$2:$2,0)+1,FALSE)</f>
        <v>火曜クエスト</v>
      </c>
      <c r="I36" s="18">
        <v>0</v>
      </c>
      <c r="J36" s="5">
        <f>COUNTIF(C$1:C36,C36)</f>
        <v>2</v>
      </c>
      <c r="K36" s="34">
        <v>6</v>
      </c>
      <c r="L36" s="5" t="s">
        <v>17</v>
      </c>
      <c r="M36" s="38" t="str">
        <f>VLOOKUP(K36,[2]stage_hints!$A:$C,3,FALSE)</f>
        <v>ユニット強化の属性ボーナス</v>
      </c>
      <c r="N36" s="39" t="str">
        <f>VLOOKUP(K36,[2]stage_hints!$A:$D,4,FALSE)</f>
        <v>同属性ユニットを強化素材にすると
経験値が多くもらえます</v>
      </c>
      <c r="O36" s="20" t="s">
        <v>24</v>
      </c>
      <c r="P36">
        <v>6</v>
      </c>
    </row>
    <row r="37" spans="1:16" x14ac:dyDescent="0.15">
      <c r="A37" s="27" t="str">
        <f t="shared" si="8"/>
        <v>11002_3_3</v>
      </c>
      <c r="B37" s="25" t="s">
        <v>34</v>
      </c>
      <c r="C37" s="4">
        <v>11002</v>
      </c>
      <c r="D37" s="3" t="str">
        <f ca="1">VLOOKUP($C37,OFFSET([1]quests!$A$1,0,0,COUNTA([1]quests!$A:$A),MATCH(D$1,[1]quests!$1:$1,0)-MATCH($C$1,[1]quests!$1:$1,0)+1),MATCH(D$1,[1]quests!$1:$1,0)-MATCH($C$1,[1]quests!$1:$1,0)+1,FALSE)</f>
        <v>【火曜限定】 赤の素材</v>
      </c>
      <c r="E37" s="3" t="str">
        <f ca="1">VLOOKUP($C37,OFFSET([1]quests!$A$1,0,0,COUNTA([1]quests!$A:$A),MATCH(E$1,[1]quests!$1:$1,0)-MATCH($C$1,[1]quests!$1:$1,0)+1),MATCH(E$1,[1]quests!$1:$1,0)-MATCH($C$1,[1]quests!$1:$1,0)+1,FALSE)</f>
        <v>火曜クエスト</v>
      </c>
      <c r="F37" s="5">
        <v>3</v>
      </c>
      <c r="G37" s="3" t="str">
        <f ca="1">VLOOKUP($C37&amp;"_"&amp;$F37,OFFSET([1]stages!$A$1,0,0,COUNTA([1]stages!$A:$A),MATCH(G$1,[1]stages!$2:$2,0)-MATCH("temp_stage",[1]stages!$2:$2,0)+1),MATCH(G$1,[1]stages!$2:$2,0)-MATCH("temp_stage",[1]stages!$2:$2,0)+1,FALSE)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37" s="3" t="str">
        <f ca="1">VLOOKUP($C37&amp;"_"&amp;$F37,OFFSET([1]stages!$A$1,0,0,COUNTA([1]stages!$A:$A),MATCH(H$1,[1]stages!$2:$2,0)-MATCH("temp_stage",[1]stages!$2:$2,0)+1),MATCH(H$1,[1]stages!$2:$2,0)-MATCH("temp_stage",[1]stages!$2:$2,0)+1,FALSE)</f>
        <v>火曜クエスト</v>
      </c>
      <c r="I37" s="18">
        <v>0</v>
      </c>
      <c r="J37" s="5">
        <f>COUNTIF(C$1:C37,C37)</f>
        <v>3</v>
      </c>
      <c r="K37" s="34">
        <v>7</v>
      </c>
      <c r="L37" s="5" t="s">
        <v>17</v>
      </c>
      <c r="M37" s="38" t="str">
        <f>VLOOKUP(K37,[2]stage_hints!$A:$C,3,FALSE)</f>
        <v>メタルダックで経験値を獲得</v>
      </c>
      <c r="N37" s="39" t="str">
        <f>VLOOKUP(K37,[2]stage_hints!$A:$D,4,FALSE)</f>
        <v>「メタルなアヒル」を強化素材にすると
大量の経験値がもらえます</v>
      </c>
      <c r="O37" s="20" t="s">
        <v>24</v>
      </c>
      <c r="P37">
        <v>7</v>
      </c>
    </row>
    <row r="38" spans="1:16" x14ac:dyDescent="0.15">
      <c r="A38" s="27" t="str">
        <f t="shared" si="8"/>
        <v>11002_3_4</v>
      </c>
      <c r="B38" s="25" t="s">
        <v>34</v>
      </c>
      <c r="C38" s="4">
        <v>11002</v>
      </c>
      <c r="D38" s="3" t="str">
        <f ca="1">VLOOKUP($C38,OFFSET([1]quests!$A$1,0,0,COUNTA([1]quests!$A:$A),MATCH(D$1,[1]quests!$1:$1,0)-MATCH($C$1,[1]quests!$1:$1,0)+1),MATCH(D$1,[1]quests!$1:$1,0)-MATCH($C$1,[1]quests!$1:$1,0)+1,FALSE)</f>
        <v>【火曜限定】 赤の素材</v>
      </c>
      <c r="E38" s="3" t="str">
        <f ca="1">VLOOKUP($C38,OFFSET([1]quests!$A$1,0,0,COUNTA([1]quests!$A:$A),MATCH(E$1,[1]quests!$1:$1,0)-MATCH($C$1,[1]quests!$1:$1,0)+1),MATCH(E$1,[1]quests!$1:$1,0)-MATCH($C$1,[1]quests!$1:$1,0)+1,FALSE)</f>
        <v>火曜クエスト</v>
      </c>
      <c r="F38" s="5">
        <v>3</v>
      </c>
      <c r="G38" s="3" t="str">
        <f ca="1">VLOOKUP($C38&amp;"_"&amp;$F38,OFFSET([1]stages!$A$1,0,0,COUNTA([1]stages!$A:$A),MATCH(G$1,[1]stages!$2:$2,0)-MATCH("temp_stage",[1]stages!$2:$2,0)+1),MATCH(G$1,[1]stages!$2:$2,0)-MATCH("temp_stage",[1]stages!$2:$2,0)+1,FALSE)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38" s="3" t="str">
        <f ca="1">VLOOKUP($C38&amp;"_"&amp;$F38,OFFSET([1]stages!$A$1,0,0,COUNTA([1]stages!$A:$A),MATCH(H$1,[1]stages!$2:$2,0)-MATCH("temp_stage",[1]stages!$2:$2,0)+1),MATCH(H$1,[1]stages!$2:$2,0)-MATCH("temp_stage",[1]stages!$2:$2,0)+1,FALSE)</f>
        <v>火曜クエスト</v>
      </c>
      <c r="I38" s="18">
        <v>0</v>
      </c>
      <c r="J38" s="5">
        <f>COUNTIF(C$1:C38,C38)</f>
        <v>4</v>
      </c>
      <c r="K38" s="34">
        <v>8</v>
      </c>
      <c r="L38" s="5" t="s">
        <v>17</v>
      </c>
      <c r="M38" s="38" t="str">
        <f>VLOOKUP(K38,[2]stage_hints!$A:$C,3,FALSE)</f>
        <v>ゲリラクエストは要チェック</v>
      </c>
      <c r="N38" s="39" t="str">
        <f>VLOOKUP(K38,[2]stage_hints!$A:$D,4,FALSE)</f>
        <v>時間限定の「アヒル捕獲作戦」では
経験値素材ユニットが多く手に入ります</v>
      </c>
      <c r="O38" s="20" t="s">
        <v>24</v>
      </c>
      <c r="P38">
        <v>8</v>
      </c>
    </row>
    <row r="39" spans="1:16" x14ac:dyDescent="0.15">
      <c r="A39" s="27" t="str">
        <f t="shared" si="8"/>
        <v>11002_3_5</v>
      </c>
      <c r="B39" s="25" t="s">
        <v>34</v>
      </c>
      <c r="C39" s="4">
        <v>11002</v>
      </c>
      <c r="D39" s="3" t="str">
        <f ca="1">VLOOKUP($C39,OFFSET([1]quests!$A$1,0,0,COUNTA([1]quests!$A:$A),MATCH(D$1,[1]quests!$1:$1,0)-MATCH($C$1,[1]quests!$1:$1,0)+1),MATCH(D$1,[1]quests!$1:$1,0)-MATCH($C$1,[1]quests!$1:$1,0)+1,FALSE)</f>
        <v>【火曜限定】 赤の素材</v>
      </c>
      <c r="E39" s="3" t="str">
        <f ca="1">VLOOKUP($C39,OFFSET([1]quests!$A$1,0,0,COUNTA([1]quests!$A:$A),MATCH(E$1,[1]quests!$1:$1,0)-MATCH($C$1,[1]quests!$1:$1,0)+1),MATCH(E$1,[1]quests!$1:$1,0)-MATCH($C$1,[1]quests!$1:$1,0)+1,FALSE)</f>
        <v>火曜クエスト</v>
      </c>
      <c r="F39" s="5">
        <v>3</v>
      </c>
      <c r="G39" s="3" t="str">
        <f ca="1">VLOOKUP($C39&amp;"_"&amp;$F39,OFFSET([1]stages!$A$1,0,0,COUNTA([1]stages!$A:$A),MATCH(G$1,[1]stages!$2:$2,0)-MATCH("temp_stage",[1]stages!$2:$2,0)+1),MATCH(G$1,[1]stages!$2:$2,0)-MATCH("temp_stage",[1]stages!$2:$2,0)+1,FALSE)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39" s="3" t="str">
        <f ca="1">VLOOKUP($C39&amp;"_"&amp;$F39,OFFSET([1]stages!$A$1,0,0,COUNTA([1]stages!$A:$A),MATCH(H$1,[1]stages!$2:$2,0)-MATCH("temp_stage",[1]stages!$2:$2,0)+1),MATCH(H$1,[1]stages!$2:$2,0)-MATCH("temp_stage",[1]stages!$2:$2,0)+1,FALSE)</f>
        <v>火曜クエスト</v>
      </c>
      <c r="I39" s="18">
        <v>0</v>
      </c>
      <c r="J39" s="5">
        <f>COUNTIF(C$1:C39,C39)</f>
        <v>5</v>
      </c>
      <c r="K39" s="34">
        <v>9</v>
      </c>
      <c r="L39" s="5" t="s">
        <v>17</v>
      </c>
      <c r="M39" s="38" t="str">
        <f>VLOOKUP(K39,[2]stage_hints!$A:$C,3,FALSE)</f>
        <v>ゴールドダックでビットを獲得</v>
      </c>
      <c r="N39" s="39" t="str">
        <f>VLOOKUP(K39,[2]stage_hints!$A:$D,4,FALSE)</f>
        <v>「ゴールドなアヒル」を売却すると
大量のビットがもらえます</v>
      </c>
      <c r="O39" s="20" t="s">
        <v>24</v>
      </c>
      <c r="P39">
        <v>9</v>
      </c>
    </row>
    <row r="40" spans="1:16" x14ac:dyDescent="0.15">
      <c r="A40" s="27" t="str">
        <f t="shared" ref="A40" si="9">C40&amp;"_"&amp;F40&amp;"_"&amp;J40</f>
        <v>11002_3_6</v>
      </c>
      <c r="B40" s="25" t="s">
        <v>34</v>
      </c>
      <c r="C40" s="4">
        <v>11002</v>
      </c>
      <c r="D40" s="3" t="str">
        <f ca="1">VLOOKUP($C40,OFFSET([1]quests!$A$1,0,0,COUNTA([1]quests!$A:$A),MATCH(D$1,[1]quests!$1:$1,0)-MATCH($C$1,[1]quests!$1:$1,0)+1),MATCH(D$1,[1]quests!$1:$1,0)-MATCH($C$1,[1]quests!$1:$1,0)+1,FALSE)</f>
        <v>【火曜限定】 赤の素材</v>
      </c>
      <c r="E40" s="3" t="str">
        <f ca="1">VLOOKUP($C40,OFFSET([1]quests!$A$1,0,0,COUNTA([1]quests!$A:$A),MATCH(E$1,[1]quests!$1:$1,0)-MATCH($C$1,[1]quests!$1:$1,0)+1),MATCH(E$1,[1]quests!$1:$1,0)-MATCH($C$1,[1]quests!$1:$1,0)+1,FALSE)</f>
        <v>火曜クエスト</v>
      </c>
      <c r="F40" s="5">
        <v>3</v>
      </c>
      <c r="G40" s="3" t="str">
        <f ca="1">VLOOKUP($C40&amp;"_"&amp;$F40,OFFSET([1]stages!$A$1,0,0,COUNTA([1]stages!$A:$A),MATCH(G$1,[1]stages!$2:$2,0)-MATCH("temp_stage",[1]stages!$2:$2,0)+1),MATCH(G$1,[1]stages!$2:$2,0)-MATCH("temp_stage",[1]stages!$2:$2,0)+1,FALSE)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0" s="3" t="str">
        <f ca="1">VLOOKUP($C40&amp;"_"&amp;$F40,OFFSET([1]stages!$A$1,0,0,COUNTA([1]stages!$A:$A),MATCH(H$1,[1]stages!$2:$2,0)-MATCH("temp_stage",[1]stages!$2:$2,0)+1),MATCH(H$1,[1]stages!$2:$2,0)-MATCH("temp_stage",[1]stages!$2:$2,0)+1,FALSE)</f>
        <v>火曜クエスト</v>
      </c>
      <c r="I40" s="18">
        <v>0</v>
      </c>
      <c r="J40" s="5">
        <f>COUNTIF(C$1:C40,C40)</f>
        <v>6</v>
      </c>
      <c r="K40" s="34">
        <v>10</v>
      </c>
      <c r="L40" s="5" t="s">
        <v>17</v>
      </c>
      <c r="M40" s="38" t="str">
        <f>VLOOKUP(K40,[2]stage_hints!$A:$C,3,FALSE)</f>
        <v>土日に大量のビットを獲得</v>
      </c>
      <c r="N40" s="39" t="str">
        <f>VLOOKUP(K40,[2]stage_hints!$A:$D,4,FALSE)</f>
        <v>土日限定の「ゴールドカジノ」では
売却素材ユニットが多く手に入ります</v>
      </c>
      <c r="O40" s="20" t="s">
        <v>24</v>
      </c>
      <c r="P40">
        <v>10</v>
      </c>
    </row>
    <row r="41" spans="1:16" x14ac:dyDescent="0.15">
      <c r="A41" s="27" t="str">
        <f t="shared" ref="A41:A48" si="10">C41&amp;"_"&amp;F41&amp;"_"&amp;J41</f>
        <v>11002_3_7</v>
      </c>
      <c r="B41" s="25" t="s">
        <v>34</v>
      </c>
      <c r="C41" s="4">
        <v>11002</v>
      </c>
      <c r="D41" s="3" t="str">
        <f ca="1">VLOOKUP($C41,OFFSET([1]quests!$A$1,0,0,COUNTA([1]quests!$A:$A),MATCH(D$1,[1]quests!$1:$1,0)-MATCH($C$1,[1]quests!$1:$1,0)+1),MATCH(D$1,[1]quests!$1:$1,0)-MATCH($C$1,[1]quests!$1:$1,0)+1,FALSE)</f>
        <v>【火曜限定】 赤の素材</v>
      </c>
      <c r="E41" s="3" t="str">
        <f ca="1">VLOOKUP($C41,OFFSET([1]quests!$A$1,0,0,COUNTA([1]quests!$A:$A),MATCH(E$1,[1]quests!$1:$1,0)-MATCH($C$1,[1]quests!$1:$1,0)+1),MATCH(E$1,[1]quests!$1:$1,0)-MATCH($C$1,[1]quests!$1:$1,0)+1,FALSE)</f>
        <v>火曜クエスト</v>
      </c>
      <c r="F41" s="5">
        <v>3</v>
      </c>
      <c r="G41" s="3" t="str">
        <f ca="1">VLOOKUP($C41&amp;"_"&amp;$F41,OFFSET([1]stages!$A$1,0,0,COUNTA([1]stages!$A:$A),MATCH(G$1,[1]stages!$2:$2,0)-MATCH("temp_stage",[1]stages!$2:$2,0)+1),MATCH(G$1,[1]stages!$2:$2,0)-MATCH("temp_stage",[1]stages!$2:$2,0)+1,FALSE)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1" s="3" t="str">
        <f ca="1">VLOOKUP($C41&amp;"_"&amp;$F41,OFFSET([1]stages!$A$1,0,0,COUNTA([1]stages!$A:$A),MATCH(H$1,[1]stages!$2:$2,0)-MATCH("temp_stage",[1]stages!$2:$2,0)+1),MATCH(H$1,[1]stages!$2:$2,0)-MATCH("temp_stage",[1]stages!$2:$2,0)+1,FALSE)</f>
        <v>火曜クエスト</v>
      </c>
      <c r="I41" s="18">
        <v>0</v>
      </c>
      <c r="J41" s="5">
        <f>COUNTIF(C$1:C41,C41)</f>
        <v>7</v>
      </c>
      <c r="K41" s="34">
        <v>11</v>
      </c>
      <c r="L41" s="5" t="s">
        <v>17</v>
      </c>
      <c r="M41" s="38" t="str">
        <f>VLOOKUP(K41,[2]stage_hints!$A:$C,3,FALSE)</f>
        <v>ランク解放クエスト</v>
      </c>
      <c r="N41" s="39" t="str">
        <f>VLOOKUP(K41,[2]stage_hints!$A:$D,4,FALSE)</f>
        <v>一定ランクに到達すると
報酬付きのランク開放クエストが現れます</v>
      </c>
      <c r="O41" s="20" t="s">
        <v>24</v>
      </c>
      <c r="P41">
        <v>11</v>
      </c>
    </row>
    <row r="42" spans="1:16" x14ac:dyDescent="0.15">
      <c r="A42" s="27" t="str">
        <f t="shared" si="10"/>
        <v>11002_3_8</v>
      </c>
      <c r="B42" s="25" t="s">
        <v>34</v>
      </c>
      <c r="C42" s="4">
        <v>11002</v>
      </c>
      <c r="D42" s="3" t="str">
        <f ca="1">VLOOKUP($C42,OFFSET([1]quests!$A$1,0,0,COUNTA([1]quests!$A:$A),MATCH(D$1,[1]quests!$1:$1,0)-MATCH($C$1,[1]quests!$1:$1,0)+1),MATCH(D$1,[1]quests!$1:$1,0)-MATCH($C$1,[1]quests!$1:$1,0)+1,FALSE)</f>
        <v>【火曜限定】 赤の素材</v>
      </c>
      <c r="E42" s="3" t="str">
        <f ca="1">VLOOKUP($C42,OFFSET([1]quests!$A$1,0,0,COUNTA([1]quests!$A:$A),MATCH(E$1,[1]quests!$1:$1,0)-MATCH($C$1,[1]quests!$1:$1,0)+1),MATCH(E$1,[1]quests!$1:$1,0)-MATCH($C$1,[1]quests!$1:$1,0)+1,FALSE)</f>
        <v>火曜クエスト</v>
      </c>
      <c r="F42" s="5">
        <v>3</v>
      </c>
      <c r="G42" s="3" t="str">
        <f ca="1">VLOOKUP($C42&amp;"_"&amp;$F42,OFFSET([1]stages!$A$1,0,0,COUNTA([1]stages!$A:$A),MATCH(G$1,[1]stages!$2:$2,0)-MATCH("temp_stage",[1]stages!$2:$2,0)+1),MATCH(G$1,[1]stages!$2:$2,0)-MATCH("temp_stage",[1]stages!$2:$2,0)+1,FALSE)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2" s="3" t="str">
        <f ca="1">VLOOKUP($C42&amp;"_"&amp;$F42,OFFSET([1]stages!$A$1,0,0,COUNTA([1]stages!$A:$A),MATCH(H$1,[1]stages!$2:$2,0)-MATCH("temp_stage",[1]stages!$2:$2,0)+1),MATCH(H$1,[1]stages!$2:$2,0)-MATCH("temp_stage",[1]stages!$2:$2,0)+1,FALSE)</f>
        <v>火曜クエスト</v>
      </c>
      <c r="I42" s="18">
        <v>0</v>
      </c>
      <c r="J42" s="5">
        <f>COUNTIF(C$1:C42,C42)</f>
        <v>8</v>
      </c>
      <c r="K42" s="34">
        <v>12</v>
      </c>
      <c r="L42" s="5" t="s">
        <v>17</v>
      </c>
      <c r="M42" s="38" t="str">
        <f>VLOOKUP(K42,[2]stage_hints!$A:$C,3,FALSE)</f>
        <v>ユニットのお気に入り登録</v>
      </c>
      <c r="N42" s="39" t="str">
        <f>VLOOKUP(K42,[2]stage_hints!$A:$D,4,FALSE)</f>
        <v>大事なユニットを誤って消さないように
フォルダから「お気に入り登録」しましょう</v>
      </c>
      <c r="O42" s="20" t="s">
        <v>24</v>
      </c>
      <c r="P42">
        <v>12</v>
      </c>
    </row>
    <row r="43" spans="1:16" x14ac:dyDescent="0.15">
      <c r="A43" s="27" t="str">
        <f t="shared" si="10"/>
        <v>11002_3_9</v>
      </c>
      <c r="B43" s="25" t="s">
        <v>34</v>
      </c>
      <c r="C43" s="4">
        <v>11002</v>
      </c>
      <c r="D43" s="3" t="str">
        <f ca="1">VLOOKUP($C43,OFFSET([1]quests!$A$1,0,0,COUNTA([1]quests!$A:$A),MATCH(D$1,[1]quests!$1:$1,0)-MATCH($C$1,[1]quests!$1:$1,0)+1),MATCH(D$1,[1]quests!$1:$1,0)-MATCH($C$1,[1]quests!$1:$1,0)+1,FALSE)</f>
        <v>【火曜限定】 赤の素材</v>
      </c>
      <c r="E43" s="3" t="str">
        <f ca="1">VLOOKUP($C43,OFFSET([1]quests!$A$1,0,0,COUNTA([1]quests!$A:$A),MATCH(E$1,[1]quests!$1:$1,0)-MATCH($C$1,[1]quests!$1:$1,0)+1),MATCH(E$1,[1]quests!$1:$1,0)-MATCH($C$1,[1]quests!$1:$1,0)+1,FALSE)</f>
        <v>火曜クエスト</v>
      </c>
      <c r="F43" s="5">
        <v>3</v>
      </c>
      <c r="G43" s="3" t="str">
        <f ca="1">VLOOKUP($C43&amp;"_"&amp;$F43,OFFSET([1]stages!$A$1,0,0,COUNTA([1]stages!$A:$A),MATCH(G$1,[1]stages!$2:$2,0)-MATCH("temp_stage",[1]stages!$2:$2,0)+1),MATCH(G$1,[1]stages!$2:$2,0)-MATCH("temp_stage",[1]stages!$2:$2,0)+1,FALSE)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3" s="3" t="str">
        <f ca="1">VLOOKUP($C43&amp;"_"&amp;$F43,OFFSET([1]stages!$A$1,0,0,COUNTA([1]stages!$A:$A),MATCH(H$1,[1]stages!$2:$2,0)-MATCH("temp_stage",[1]stages!$2:$2,0)+1),MATCH(H$1,[1]stages!$2:$2,0)-MATCH("temp_stage",[1]stages!$2:$2,0)+1,FALSE)</f>
        <v>火曜クエスト</v>
      </c>
      <c r="I43" s="18">
        <v>0</v>
      </c>
      <c r="J43" s="5">
        <f>COUNTIF(C$1:C43,C43)</f>
        <v>9</v>
      </c>
      <c r="K43" s="34">
        <v>13</v>
      </c>
      <c r="L43" s="5" t="s">
        <v>17</v>
      </c>
      <c r="M43" s="38" t="str">
        <f>VLOOKUP(K43,[2]stage_hints!$A:$C,3,FALSE)</f>
        <v>ユニットの覚醒</v>
      </c>
      <c r="N43" s="39" t="str">
        <f>VLOOKUP(K43,[2]stage_hints!$A:$D,4,FALSE)</f>
        <v>ユニットを覚醒させると
比べものにならない強さが手に入ります</v>
      </c>
      <c r="O43" s="20" t="s">
        <v>24</v>
      </c>
      <c r="P43">
        <v>13</v>
      </c>
    </row>
    <row r="44" spans="1:16" x14ac:dyDescent="0.15">
      <c r="A44" s="27" t="str">
        <f t="shared" si="10"/>
        <v>11002_3_10</v>
      </c>
      <c r="B44" s="25" t="s">
        <v>34</v>
      </c>
      <c r="C44" s="4">
        <v>11002</v>
      </c>
      <c r="D44" s="3" t="str">
        <f ca="1">VLOOKUP($C44,OFFSET([1]quests!$A$1,0,0,COUNTA([1]quests!$A:$A),MATCH(D$1,[1]quests!$1:$1,0)-MATCH($C$1,[1]quests!$1:$1,0)+1),MATCH(D$1,[1]quests!$1:$1,0)-MATCH($C$1,[1]quests!$1:$1,0)+1,FALSE)</f>
        <v>【火曜限定】 赤の素材</v>
      </c>
      <c r="E44" s="3" t="str">
        <f ca="1">VLOOKUP($C44,OFFSET([1]quests!$A$1,0,0,COUNTA([1]quests!$A:$A),MATCH(E$1,[1]quests!$1:$1,0)-MATCH($C$1,[1]quests!$1:$1,0)+1),MATCH(E$1,[1]quests!$1:$1,0)-MATCH($C$1,[1]quests!$1:$1,0)+1,FALSE)</f>
        <v>火曜クエスト</v>
      </c>
      <c r="F44" s="5">
        <v>3</v>
      </c>
      <c r="G44" s="3" t="str">
        <f ca="1">VLOOKUP($C44&amp;"_"&amp;$F44,OFFSET([1]stages!$A$1,0,0,COUNTA([1]stages!$A:$A),MATCH(G$1,[1]stages!$2:$2,0)-MATCH("temp_stage",[1]stages!$2:$2,0)+1),MATCH(G$1,[1]stages!$2:$2,0)-MATCH("temp_stage",[1]stages!$2:$2,0)+1,FALSE)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4" s="3" t="str">
        <f ca="1">VLOOKUP($C44&amp;"_"&amp;$F44,OFFSET([1]stages!$A$1,0,0,COUNTA([1]stages!$A:$A),MATCH(H$1,[1]stages!$2:$2,0)-MATCH("temp_stage",[1]stages!$2:$2,0)+1),MATCH(H$1,[1]stages!$2:$2,0)-MATCH("temp_stage",[1]stages!$2:$2,0)+1,FALSE)</f>
        <v>火曜クエスト</v>
      </c>
      <c r="I44" s="18">
        <v>0</v>
      </c>
      <c r="J44" s="5">
        <f>COUNTIF(C$1:C44,C44)</f>
        <v>10</v>
      </c>
      <c r="K44" s="34">
        <v>14</v>
      </c>
      <c r="L44" s="5" t="s">
        <v>17</v>
      </c>
      <c r="M44" s="38" t="str">
        <f>VLOOKUP(K44,[2]stage_hints!$A:$C,3,FALSE)</f>
        <v>覚醒するにはレベルを最大に</v>
      </c>
      <c r="N44" s="39" t="str">
        <f>VLOOKUP(K44,[2]stage_hints!$A:$D,4,FALSE)</f>
        <v>覚醒するにはユニットのレベルを
最大まで上げる必要があります</v>
      </c>
      <c r="O44" s="20" t="s">
        <v>24</v>
      </c>
      <c r="P44">
        <v>14</v>
      </c>
    </row>
    <row r="45" spans="1:16" x14ac:dyDescent="0.15">
      <c r="A45" s="27" t="str">
        <f t="shared" si="10"/>
        <v>11002_3_11</v>
      </c>
      <c r="B45" s="25" t="s">
        <v>34</v>
      </c>
      <c r="C45" s="4">
        <v>11002</v>
      </c>
      <c r="D45" s="3" t="str">
        <f ca="1">VLOOKUP($C45,OFFSET([1]quests!$A$1,0,0,COUNTA([1]quests!$A:$A),MATCH(D$1,[1]quests!$1:$1,0)-MATCH($C$1,[1]quests!$1:$1,0)+1),MATCH(D$1,[1]quests!$1:$1,0)-MATCH($C$1,[1]quests!$1:$1,0)+1,FALSE)</f>
        <v>【火曜限定】 赤の素材</v>
      </c>
      <c r="E45" s="3" t="str">
        <f ca="1">VLOOKUP($C45,OFFSET([1]quests!$A$1,0,0,COUNTA([1]quests!$A:$A),MATCH(E$1,[1]quests!$1:$1,0)-MATCH($C$1,[1]quests!$1:$1,0)+1),MATCH(E$1,[1]quests!$1:$1,0)-MATCH($C$1,[1]quests!$1:$1,0)+1,FALSE)</f>
        <v>火曜クエスト</v>
      </c>
      <c r="F45" s="5">
        <v>3</v>
      </c>
      <c r="G45" s="3" t="str">
        <f ca="1">VLOOKUP($C45&amp;"_"&amp;$F45,OFFSET([1]stages!$A$1,0,0,COUNTA([1]stages!$A:$A),MATCH(G$1,[1]stages!$2:$2,0)-MATCH("temp_stage",[1]stages!$2:$2,0)+1),MATCH(G$1,[1]stages!$2:$2,0)-MATCH("temp_stage",[1]stages!$2:$2,0)+1,FALSE)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5" s="3" t="str">
        <f ca="1">VLOOKUP($C45&amp;"_"&amp;$F45,OFFSET([1]stages!$A$1,0,0,COUNTA([1]stages!$A:$A),MATCH(H$1,[1]stages!$2:$2,0)-MATCH("temp_stage",[1]stages!$2:$2,0)+1),MATCH(H$1,[1]stages!$2:$2,0)-MATCH("temp_stage",[1]stages!$2:$2,0)+1,FALSE)</f>
        <v>火曜クエスト</v>
      </c>
      <c r="I45" s="18">
        <v>0</v>
      </c>
      <c r="J45" s="5">
        <f>COUNTIF(C$1:C45,C45)</f>
        <v>11</v>
      </c>
      <c r="K45" s="34">
        <v>15</v>
      </c>
      <c r="L45" s="5" t="s">
        <v>17</v>
      </c>
      <c r="M45" s="38" t="str">
        <f>VLOOKUP(K45,[2]stage_hints!$A:$C,3,FALSE)</f>
        <v>覚醒素材を獲得</v>
      </c>
      <c r="N45" s="39" t="str">
        <f>VLOOKUP(K45,[2]stage_hints!$A:$D,4,FALSE)</f>
        <v>「曜日クエスト」では
ユニットの覚醒に必要な素材が手に入ります</v>
      </c>
      <c r="O45" s="20" t="s">
        <v>24</v>
      </c>
      <c r="P45">
        <v>15</v>
      </c>
    </row>
    <row r="46" spans="1:16" x14ac:dyDescent="0.15">
      <c r="A46" s="27" t="str">
        <f t="shared" si="10"/>
        <v>11002_3_12</v>
      </c>
      <c r="B46" s="25" t="s">
        <v>34</v>
      </c>
      <c r="C46" s="4">
        <v>11002</v>
      </c>
      <c r="D46" s="3" t="str">
        <f ca="1">VLOOKUP($C46,OFFSET([1]quests!$A$1,0,0,COUNTA([1]quests!$A:$A),MATCH(D$1,[1]quests!$1:$1,0)-MATCH($C$1,[1]quests!$1:$1,0)+1),MATCH(D$1,[1]quests!$1:$1,0)-MATCH($C$1,[1]quests!$1:$1,0)+1,FALSE)</f>
        <v>【火曜限定】 赤の素材</v>
      </c>
      <c r="E46" s="3" t="str">
        <f ca="1">VLOOKUP($C46,OFFSET([1]quests!$A$1,0,0,COUNTA([1]quests!$A:$A),MATCH(E$1,[1]quests!$1:$1,0)-MATCH($C$1,[1]quests!$1:$1,0)+1),MATCH(E$1,[1]quests!$1:$1,0)-MATCH($C$1,[1]quests!$1:$1,0)+1,FALSE)</f>
        <v>火曜クエスト</v>
      </c>
      <c r="F46" s="5">
        <v>3</v>
      </c>
      <c r="G46" s="3" t="str">
        <f ca="1">VLOOKUP($C46&amp;"_"&amp;$F46,OFFSET([1]stages!$A$1,0,0,COUNTA([1]stages!$A:$A),MATCH(G$1,[1]stages!$2:$2,0)-MATCH("temp_stage",[1]stages!$2:$2,0)+1),MATCH(G$1,[1]stages!$2:$2,0)-MATCH("temp_stage",[1]stages!$2:$2,0)+1,FALSE)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6" s="3" t="str">
        <f ca="1">VLOOKUP($C46&amp;"_"&amp;$F46,OFFSET([1]stages!$A$1,0,0,COUNTA([1]stages!$A:$A),MATCH(H$1,[1]stages!$2:$2,0)-MATCH("temp_stage",[1]stages!$2:$2,0)+1),MATCH(H$1,[1]stages!$2:$2,0)-MATCH("temp_stage",[1]stages!$2:$2,0)+1,FALSE)</f>
        <v>火曜クエスト</v>
      </c>
      <c r="I46" s="18">
        <v>0</v>
      </c>
      <c r="J46" s="5">
        <f>COUNTIF(C$1:C46,C46)</f>
        <v>12</v>
      </c>
      <c r="K46" s="34">
        <v>16</v>
      </c>
      <c r="L46" s="5" t="s">
        <v>17</v>
      </c>
      <c r="M46" s="38" t="str">
        <f>VLOOKUP(K46,[2]stage_hints!$A:$C,3,FALSE)</f>
        <v>マルチプレイのメリット（その1）</v>
      </c>
      <c r="N46" s="39" t="str">
        <f>VLOOKUP(K46,[2]stage_hints!$A:$D,4,FALSE)</f>
        <v>他のプレイヤーとマルチプレイで遊ぶと
ポリゴンがもらえます（100人まで）</v>
      </c>
      <c r="O46" s="20" t="s">
        <v>24</v>
      </c>
      <c r="P46">
        <v>16</v>
      </c>
    </row>
    <row r="47" spans="1:16" x14ac:dyDescent="0.15">
      <c r="A47" s="27" t="str">
        <f t="shared" si="10"/>
        <v>11002_3_13</v>
      </c>
      <c r="B47" s="25" t="s">
        <v>34</v>
      </c>
      <c r="C47" s="4">
        <v>11002</v>
      </c>
      <c r="D47" s="3" t="str">
        <f ca="1">VLOOKUP($C47,OFFSET([1]quests!$A$1,0,0,COUNTA([1]quests!$A:$A),MATCH(D$1,[1]quests!$1:$1,0)-MATCH($C$1,[1]quests!$1:$1,0)+1),MATCH(D$1,[1]quests!$1:$1,0)-MATCH($C$1,[1]quests!$1:$1,0)+1,FALSE)</f>
        <v>【火曜限定】 赤の素材</v>
      </c>
      <c r="E47" s="3" t="str">
        <f ca="1">VLOOKUP($C47,OFFSET([1]quests!$A$1,0,0,COUNTA([1]quests!$A:$A),MATCH(E$1,[1]quests!$1:$1,0)-MATCH($C$1,[1]quests!$1:$1,0)+1),MATCH(E$1,[1]quests!$1:$1,0)-MATCH($C$1,[1]quests!$1:$1,0)+1,FALSE)</f>
        <v>火曜クエスト</v>
      </c>
      <c r="F47" s="5">
        <v>3</v>
      </c>
      <c r="G47" s="3" t="str">
        <f ca="1">VLOOKUP($C47&amp;"_"&amp;$F47,OFFSET([1]stages!$A$1,0,0,COUNTA([1]stages!$A:$A),MATCH(G$1,[1]stages!$2:$2,0)-MATCH("temp_stage",[1]stages!$2:$2,0)+1),MATCH(G$1,[1]stages!$2:$2,0)-MATCH("temp_stage",[1]stages!$2:$2,0)+1,FALSE)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7" s="3" t="str">
        <f ca="1">VLOOKUP($C47&amp;"_"&amp;$F47,OFFSET([1]stages!$A$1,0,0,COUNTA([1]stages!$A:$A),MATCH(H$1,[1]stages!$2:$2,0)-MATCH("temp_stage",[1]stages!$2:$2,0)+1),MATCH(H$1,[1]stages!$2:$2,0)-MATCH("temp_stage",[1]stages!$2:$2,0)+1,FALSE)</f>
        <v>火曜クエスト</v>
      </c>
      <c r="I47" s="18">
        <v>0</v>
      </c>
      <c r="J47" s="5">
        <f>COUNTIF(C$1:C47,C47)</f>
        <v>13</v>
      </c>
      <c r="K47" s="34">
        <v>17</v>
      </c>
      <c r="L47" s="5" t="s">
        <v>17</v>
      </c>
      <c r="M47" s="38" t="str">
        <f>VLOOKUP(K47,[2]stage_hints!$A:$C,3,FALSE)</f>
        <v>リンクガチャ</v>
      </c>
      <c r="N47" s="39" t="str">
        <f>VLOOKUP(K47,[2]stage_hints!$A:$D,4,FALSE)</f>
        <v>無料のリンクガチャを回して
経験値素材や売却素材を獲得しましょう</v>
      </c>
      <c r="O47" s="20" t="s">
        <v>24</v>
      </c>
      <c r="P47">
        <v>17</v>
      </c>
    </row>
    <row r="48" spans="1:16" x14ac:dyDescent="0.15">
      <c r="A48" s="27" t="str">
        <f t="shared" si="10"/>
        <v>11002_3_14</v>
      </c>
      <c r="B48" s="25" t="s">
        <v>34</v>
      </c>
      <c r="C48" s="4">
        <v>11002</v>
      </c>
      <c r="D48" s="3" t="str">
        <f ca="1">VLOOKUP($C48,OFFSET([1]quests!$A$1,0,0,COUNTA([1]quests!$A:$A),MATCH(D$1,[1]quests!$1:$1,0)-MATCH($C$1,[1]quests!$1:$1,0)+1),MATCH(D$1,[1]quests!$1:$1,0)-MATCH($C$1,[1]quests!$1:$1,0)+1,FALSE)</f>
        <v>【火曜限定】 赤の素材</v>
      </c>
      <c r="E48" s="3" t="str">
        <f ca="1">VLOOKUP($C48,OFFSET([1]quests!$A$1,0,0,COUNTA([1]quests!$A:$A),MATCH(E$1,[1]quests!$1:$1,0)-MATCH($C$1,[1]quests!$1:$1,0)+1),MATCH(E$1,[1]quests!$1:$1,0)-MATCH($C$1,[1]quests!$1:$1,0)+1,FALSE)</f>
        <v>火曜クエスト</v>
      </c>
      <c r="F48" s="5">
        <v>3</v>
      </c>
      <c r="G48" s="3" t="str">
        <f ca="1">VLOOKUP($C48&amp;"_"&amp;$F48,OFFSET([1]stages!$A$1,0,0,COUNTA([1]stages!$A:$A),MATCH(G$1,[1]stages!$2:$2,0)-MATCH("temp_stage",[1]stages!$2:$2,0)+1),MATCH(G$1,[1]stages!$2:$2,0)-MATCH("temp_stage",[1]stages!$2:$2,0)+1,FALSE)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8" s="3" t="str">
        <f ca="1">VLOOKUP($C48&amp;"_"&amp;$F48,OFFSET([1]stages!$A$1,0,0,COUNTA([1]stages!$A:$A),MATCH(H$1,[1]stages!$2:$2,0)-MATCH("temp_stage",[1]stages!$2:$2,0)+1),MATCH(H$1,[1]stages!$2:$2,0)-MATCH("temp_stage",[1]stages!$2:$2,0)+1,FALSE)</f>
        <v>火曜クエスト</v>
      </c>
      <c r="I48" s="18">
        <v>0</v>
      </c>
      <c r="J48" s="5">
        <f>COUNTIF(C$1:C48,C48)</f>
        <v>14</v>
      </c>
      <c r="K48" s="34">
        <v>18</v>
      </c>
      <c r="L48" s="5" t="s">
        <v>17</v>
      </c>
      <c r="M48" s="38" t="str">
        <f>VLOOKUP(K48,[2]stage_hints!$A:$C,3,FALSE)</f>
        <v>マルチプレイのメリット（その2）</v>
      </c>
      <c r="N48" s="39" t="str">
        <f>VLOOKUP(K48,[2]stage_hints!$A:$D,4,FALSE)</f>
        <v>マルチプレイならリンクが2倍もらえます
リンクガチャをたくさん回しましょう</v>
      </c>
      <c r="O48" s="20" t="s">
        <v>24</v>
      </c>
      <c r="P48">
        <v>18</v>
      </c>
    </row>
    <row r="49" spans="1:16" x14ac:dyDescent="0.15">
      <c r="A49" s="27" t="str">
        <f t="shared" ref="A49" si="11">C49&amp;"_"&amp;F49&amp;"_"&amp;J49</f>
        <v>11002_3_15</v>
      </c>
      <c r="B49" s="25" t="s">
        <v>34</v>
      </c>
      <c r="C49" s="4">
        <v>11002</v>
      </c>
      <c r="D49" s="3" t="str">
        <f ca="1">VLOOKUP($C49,OFFSET([1]quests!$A$1,0,0,COUNTA([1]quests!$A:$A),MATCH(D$1,[1]quests!$1:$1,0)-MATCH($C$1,[1]quests!$1:$1,0)+1),MATCH(D$1,[1]quests!$1:$1,0)-MATCH($C$1,[1]quests!$1:$1,0)+1,FALSE)</f>
        <v>【火曜限定】 赤の素材</v>
      </c>
      <c r="E49" s="3" t="str">
        <f ca="1">VLOOKUP($C49,OFFSET([1]quests!$A$1,0,0,COUNTA([1]quests!$A:$A),MATCH(E$1,[1]quests!$1:$1,0)-MATCH($C$1,[1]quests!$1:$1,0)+1),MATCH(E$1,[1]quests!$1:$1,0)-MATCH($C$1,[1]quests!$1:$1,0)+1,FALSE)</f>
        <v>火曜クエスト</v>
      </c>
      <c r="F49" s="5">
        <v>3</v>
      </c>
      <c r="G49" s="3" t="str">
        <f ca="1">VLOOKUP($C49&amp;"_"&amp;$F49,OFFSET([1]stages!$A$1,0,0,COUNTA([1]stages!$A:$A),MATCH(G$1,[1]stages!$2:$2,0)-MATCH("temp_stage",[1]stages!$2:$2,0)+1),MATCH(G$1,[1]stages!$2:$2,0)-MATCH("temp_stage",[1]stages!$2:$2,0)+1,FALSE)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49" s="3" t="str">
        <f ca="1">VLOOKUP($C49&amp;"_"&amp;$F49,OFFSET([1]stages!$A$1,0,0,COUNTA([1]stages!$A:$A),MATCH(H$1,[1]stages!$2:$2,0)-MATCH("temp_stage",[1]stages!$2:$2,0)+1),MATCH(H$1,[1]stages!$2:$2,0)-MATCH("temp_stage",[1]stages!$2:$2,0)+1,FALSE)</f>
        <v>火曜クエスト</v>
      </c>
      <c r="I49" s="18">
        <v>0</v>
      </c>
      <c r="J49" s="5">
        <f>COUNTIF(C$1:C49,C49)</f>
        <v>15</v>
      </c>
      <c r="K49" s="34">
        <v>19</v>
      </c>
      <c r="L49" s="5" t="s">
        <v>17</v>
      </c>
      <c r="M49" s="38" t="str">
        <f>VLOOKUP(K49,[2]stage_hints!$A:$C,3,FALSE)</f>
        <v>ソロ専用チャレンジタワー</v>
      </c>
      <c r="N49" s="39" t="str">
        <f>VLOOKUP(K49,[2]stage_hints!$A:$D,4,FALSE)</f>
        <v>ソロ専用の「チャレンジタワー」では
各フロアごとにクリア報酬がもらえます</v>
      </c>
      <c r="O49" s="20" t="s">
        <v>24</v>
      </c>
      <c r="P49">
        <v>19</v>
      </c>
    </row>
    <row r="50" spans="1:16" x14ac:dyDescent="0.15">
      <c r="A50" s="27" t="str">
        <f t="shared" ref="A50:A58" si="12">C50&amp;"_"&amp;F50&amp;"_"&amp;J50</f>
        <v>11002_3_16</v>
      </c>
      <c r="B50" s="25" t="s">
        <v>34</v>
      </c>
      <c r="C50" s="4">
        <v>11002</v>
      </c>
      <c r="D50" s="3" t="str">
        <f ca="1">VLOOKUP($C50,OFFSET([1]quests!$A$1,0,0,COUNTA([1]quests!$A:$A),MATCH(D$1,[1]quests!$1:$1,0)-MATCH($C$1,[1]quests!$1:$1,0)+1),MATCH(D$1,[1]quests!$1:$1,0)-MATCH($C$1,[1]quests!$1:$1,0)+1,FALSE)</f>
        <v>【火曜限定】 赤の素材</v>
      </c>
      <c r="E50" s="3" t="str">
        <f ca="1">VLOOKUP($C50,OFFSET([1]quests!$A$1,0,0,COUNTA([1]quests!$A:$A),MATCH(E$1,[1]quests!$1:$1,0)-MATCH($C$1,[1]quests!$1:$1,0)+1),MATCH(E$1,[1]quests!$1:$1,0)-MATCH($C$1,[1]quests!$1:$1,0)+1,FALSE)</f>
        <v>火曜クエスト</v>
      </c>
      <c r="F50" s="5">
        <v>3</v>
      </c>
      <c r="G50" s="3" t="str">
        <f ca="1">VLOOKUP($C50&amp;"_"&amp;$F50,OFFSET([1]stages!$A$1,0,0,COUNTA([1]stages!$A:$A),MATCH(G$1,[1]stages!$2:$2,0)-MATCH("temp_stage",[1]stages!$2:$2,0)+1),MATCH(G$1,[1]stages!$2:$2,0)-MATCH("temp_stage",[1]stages!$2:$2,0)+1,FALSE)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0" s="3" t="str">
        <f ca="1">VLOOKUP($C50&amp;"_"&amp;$F50,OFFSET([1]stages!$A$1,0,0,COUNTA([1]stages!$A:$A),MATCH(H$1,[1]stages!$2:$2,0)-MATCH("temp_stage",[1]stages!$2:$2,0)+1),MATCH(H$1,[1]stages!$2:$2,0)-MATCH("temp_stage",[1]stages!$2:$2,0)+1,FALSE)</f>
        <v>火曜クエスト</v>
      </c>
      <c r="I50" s="18">
        <v>0</v>
      </c>
      <c r="J50" s="5">
        <f>COUNTIF(C$1:C50,C50)</f>
        <v>16</v>
      </c>
      <c r="K50" s="34">
        <v>20</v>
      </c>
      <c r="L50" s="5" t="s">
        <v>17</v>
      </c>
      <c r="M50" s="38" t="str">
        <f>VLOOKUP(K50,[2]stage_hints!$A:$C,3,FALSE)</f>
        <v>マルチプレイのメリット（その3）</v>
      </c>
      <c r="N50" s="39" t="str">
        <f>VLOOKUP(K50,[2]stage_hints!$A:$D,4,FALSE)</f>
        <v>マルチプレイへの参加はエナジー消費ゼロ
いつでも好きなだけ遊ぶことができます</v>
      </c>
      <c r="O50" s="20" t="s">
        <v>24</v>
      </c>
      <c r="P50">
        <v>20</v>
      </c>
    </row>
    <row r="51" spans="1:16" x14ac:dyDescent="0.15">
      <c r="A51" s="27" t="str">
        <f t="shared" si="12"/>
        <v>11002_3_17</v>
      </c>
      <c r="B51" s="25" t="s">
        <v>34</v>
      </c>
      <c r="C51" s="4">
        <v>11002</v>
      </c>
      <c r="D51" s="3" t="str">
        <f ca="1">VLOOKUP($C51,OFFSET([1]quests!$A$1,0,0,COUNTA([1]quests!$A:$A),MATCH(D$1,[1]quests!$1:$1,0)-MATCH($C$1,[1]quests!$1:$1,0)+1),MATCH(D$1,[1]quests!$1:$1,0)-MATCH($C$1,[1]quests!$1:$1,0)+1,FALSE)</f>
        <v>【火曜限定】 赤の素材</v>
      </c>
      <c r="E51" s="3" t="str">
        <f ca="1">VLOOKUP($C51,OFFSET([1]quests!$A$1,0,0,COUNTA([1]quests!$A:$A),MATCH(E$1,[1]quests!$1:$1,0)-MATCH($C$1,[1]quests!$1:$1,0)+1),MATCH(E$1,[1]quests!$1:$1,0)-MATCH($C$1,[1]quests!$1:$1,0)+1,FALSE)</f>
        <v>火曜クエスト</v>
      </c>
      <c r="F51" s="5">
        <v>3</v>
      </c>
      <c r="G51" s="3" t="str">
        <f ca="1">VLOOKUP($C51&amp;"_"&amp;$F51,OFFSET([1]stages!$A$1,0,0,COUNTA([1]stages!$A:$A),MATCH(G$1,[1]stages!$2:$2,0)-MATCH("temp_stage",[1]stages!$2:$2,0)+1),MATCH(G$1,[1]stages!$2:$2,0)-MATCH("temp_stage",[1]stages!$2:$2,0)+1,FALSE)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1" s="3" t="str">
        <f ca="1">VLOOKUP($C51&amp;"_"&amp;$F51,OFFSET([1]stages!$A$1,0,0,COUNTA([1]stages!$A:$A),MATCH(H$1,[1]stages!$2:$2,0)-MATCH("temp_stage",[1]stages!$2:$2,0)+1),MATCH(H$1,[1]stages!$2:$2,0)-MATCH("temp_stage",[1]stages!$2:$2,0)+1,FALSE)</f>
        <v>火曜クエスト</v>
      </c>
      <c r="I51" s="18">
        <v>0</v>
      </c>
      <c r="J51" s="5">
        <f>COUNTIF(C$1:C51,C51)</f>
        <v>17</v>
      </c>
      <c r="K51" s="34">
        <v>21</v>
      </c>
      <c r="L51" s="5" t="s">
        <v>17</v>
      </c>
      <c r="M51" s="38" t="str">
        <f>VLOOKUP(K51,[2]stage_hints!$A:$C,3,FALSE)</f>
        <v>スキルを有効に</v>
      </c>
      <c r="N51" s="39" t="str">
        <f>VLOOKUP(K51,[2]stage_hints!$A:$D,4,FALSE)</f>
        <v>ターン経過でユニットのスキルが使えます
強力スキルでバトルを有利に進めましょう</v>
      </c>
      <c r="O51" s="20" t="s">
        <v>24</v>
      </c>
      <c r="P51">
        <v>21</v>
      </c>
    </row>
    <row r="52" spans="1:16" x14ac:dyDescent="0.15">
      <c r="A52" s="27" t="str">
        <f t="shared" si="12"/>
        <v>11002_3_18</v>
      </c>
      <c r="B52" s="25" t="s">
        <v>34</v>
      </c>
      <c r="C52" s="4">
        <v>11002</v>
      </c>
      <c r="D52" s="3" t="str">
        <f ca="1">VLOOKUP($C52,OFFSET([1]quests!$A$1,0,0,COUNTA([1]quests!$A:$A),MATCH(D$1,[1]quests!$1:$1,0)-MATCH($C$1,[1]quests!$1:$1,0)+1),MATCH(D$1,[1]quests!$1:$1,0)-MATCH($C$1,[1]quests!$1:$1,0)+1,FALSE)</f>
        <v>【火曜限定】 赤の素材</v>
      </c>
      <c r="E52" s="3" t="str">
        <f ca="1">VLOOKUP($C52,OFFSET([1]quests!$A$1,0,0,COUNTA([1]quests!$A:$A),MATCH(E$1,[1]quests!$1:$1,0)-MATCH($C$1,[1]quests!$1:$1,0)+1),MATCH(E$1,[1]quests!$1:$1,0)-MATCH($C$1,[1]quests!$1:$1,0)+1,FALSE)</f>
        <v>火曜クエスト</v>
      </c>
      <c r="F52" s="5">
        <v>3</v>
      </c>
      <c r="G52" s="3" t="str">
        <f ca="1">VLOOKUP($C52&amp;"_"&amp;$F52,OFFSET([1]stages!$A$1,0,0,COUNTA([1]stages!$A:$A),MATCH(G$1,[1]stages!$2:$2,0)-MATCH("temp_stage",[1]stages!$2:$2,0)+1),MATCH(G$1,[1]stages!$2:$2,0)-MATCH("temp_stage",[1]stages!$2:$2,0)+1,FALSE)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2" s="3" t="str">
        <f ca="1">VLOOKUP($C52&amp;"_"&amp;$F52,OFFSET([1]stages!$A$1,0,0,COUNTA([1]stages!$A:$A),MATCH(H$1,[1]stages!$2:$2,0)-MATCH("temp_stage",[1]stages!$2:$2,0)+1),MATCH(H$1,[1]stages!$2:$2,0)-MATCH("temp_stage",[1]stages!$2:$2,0)+1,FALSE)</f>
        <v>火曜クエスト</v>
      </c>
      <c r="I52" s="18">
        <v>0</v>
      </c>
      <c r="J52" s="5">
        <f>COUNTIF(C$1:C52,C52)</f>
        <v>18</v>
      </c>
      <c r="K52" s="34">
        <v>22</v>
      </c>
      <c r="L52" s="5" t="s">
        <v>17</v>
      </c>
      <c r="M52" s="38" t="str">
        <f>VLOOKUP(K52,[2]stage_hints!$A:$C,3,FALSE)</f>
        <v>フィーバーで一発逆転（その1）</v>
      </c>
      <c r="N52" s="39" t="str">
        <f>VLOOKUP(K52,[2]stage_hints!$A:$D,4,FALSE)</f>
        <v>フィーバーは攻撃と回復を兼ね備えます
ピンチからの一発逆転を狙いましょう</v>
      </c>
      <c r="O52" s="20" t="s">
        <v>24</v>
      </c>
      <c r="P52">
        <v>22</v>
      </c>
    </row>
    <row r="53" spans="1:16" x14ac:dyDescent="0.15">
      <c r="A53" s="27" t="str">
        <f t="shared" si="12"/>
        <v>11002_3_19</v>
      </c>
      <c r="B53" s="25" t="s">
        <v>34</v>
      </c>
      <c r="C53" s="4">
        <v>11002</v>
      </c>
      <c r="D53" s="3" t="str">
        <f ca="1">VLOOKUP($C53,OFFSET([1]quests!$A$1,0,0,COUNTA([1]quests!$A:$A),MATCH(D$1,[1]quests!$1:$1,0)-MATCH($C$1,[1]quests!$1:$1,0)+1),MATCH(D$1,[1]quests!$1:$1,0)-MATCH($C$1,[1]quests!$1:$1,0)+1,FALSE)</f>
        <v>【火曜限定】 赤の素材</v>
      </c>
      <c r="E53" s="3" t="str">
        <f ca="1">VLOOKUP($C53,OFFSET([1]quests!$A$1,0,0,COUNTA([1]quests!$A:$A),MATCH(E$1,[1]quests!$1:$1,0)-MATCH($C$1,[1]quests!$1:$1,0)+1),MATCH(E$1,[1]quests!$1:$1,0)-MATCH($C$1,[1]quests!$1:$1,0)+1,FALSE)</f>
        <v>火曜クエスト</v>
      </c>
      <c r="F53" s="5">
        <v>3</v>
      </c>
      <c r="G53" s="3" t="str">
        <f ca="1">VLOOKUP($C53&amp;"_"&amp;$F53,OFFSET([1]stages!$A$1,0,0,COUNTA([1]stages!$A:$A),MATCH(G$1,[1]stages!$2:$2,0)-MATCH("temp_stage",[1]stages!$2:$2,0)+1),MATCH(G$1,[1]stages!$2:$2,0)-MATCH("temp_stage",[1]stages!$2:$2,0)+1,FALSE)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3" s="3" t="str">
        <f ca="1">VLOOKUP($C53&amp;"_"&amp;$F53,OFFSET([1]stages!$A$1,0,0,COUNTA([1]stages!$A:$A),MATCH(H$1,[1]stages!$2:$2,0)-MATCH("temp_stage",[1]stages!$2:$2,0)+1),MATCH(H$1,[1]stages!$2:$2,0)-MATCH("temp_stage",[1]stages!$2:$2,0)+1,FALSE)</f>
        <v>火曜クエスト</v>
      </c>
      <c r="I53" s="18">
        <v>0</v>
      </c>
      <c r="J53" s="5">
        <f>COUNTIF(C$1:C53,C53)</f>
        <v>19</v>
      </c>
      <c r="K53" s="34">
        <v>23</v>
      </c>
      <c r="L53" s="5" t="s">
        <v>17</v>
      </c>
      <c r="M53" s="38" t="str">
        <f>VLOOKUP(K53,[2]stage_hints!$A:$C,3,FALSE)</f>
        <v>フィーバーで一発逆転（その2）</v>
      </c>
      <c r="N53" s="39" t="str">
        <f>VLOOKUP(K53,[2]stage_hints!$A:$D,4,FALSE)</f>
        <v>フィーバー中は虹色のボムパネルを狙って
画面上のパネルを一気に破壊しましょう</v>
      </c>
      <c r="O53" s="20" t="s">
        <v>24</v>
      </c>
      <c r="P53">
        <v>23</v>
      </c>
    </row>
    <row r="54" spans="1:16" x14ac:dyDescent="0.15">
      <c r="A54" s="27" t="str">
        <f t="shared" si="12"/>
        <v>11002_3_20</v>
      </c>
      <c r="B54" s="25" t="s">
        <v>34</v>
      </c>
      <c r="C54" s="4">
        <v>11002</v>
      </c>
      <c r="D54" s="3" t="str">
        <f ca="1">VLOOKUP($C54,OFFSET([1]quests!$A$1,0,0,COUNTA([1]quests!$A:$A),MATCH(D$1,[1]quests!$1:$1,0)-MATCH($C$1,[1]quests!$1:$1,0)+1),MATCH(D$1,[1]quests!$1:$1,0)-MATCH($C$1,[1]quests!$1:$1,0)+1,FALSE)</f>
        <v>【火曜限定】 赤の素材</v>
      </c>
      <c r="E54" s="3" t="str">
        <f ca="1">VLOOKUP($C54,OFFSET([1]quests!$A$1,0,0,COUNTA([1]quests!$A:$A),MATCH(E$1,[1]quests!$1:$1,0)-MATCH($C$1,[1]quests!$1:$1,0)+1),MATCH(E$1,[1]quests!$1:$1,0)-MATCH($C$1,[1]quests!$1:$1,0)+1,FALSE)</f>
        <v>火曜クエスト</v>
      </c>
      <c r="F54" s="5">
        <v>3</v>
      </c>
      <c r="G54" s="3" t="str">
        <f ca="1">VLOOKUP($C54&amp;"_"&amp;$F54,OFFSET([1]stages!$A$1,0,0,COUNTA([1]stages!$A:$A),MATCH(G$1,[1]stages!$2:$2,0)-MATCH("temp_stage",[1]stages!$2:$2,0)+1),MATCH(G$1,[1]stages!$2:$2,0)-MATCH("temp_stage",[1]stages!$2:$2,0)+1,FALSE)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4" s="3" t="str">
        <f ca="1">VLOOKUP($C54&amp;"_"&amp;$F54,OFFSET([1]stages!$A$1,0,0,COUNTA([1]stages!$A:$A),MATCH(H$1,[1]stages!$2:$2,0)-MATCH("temp_stage",[1]stages!$2:$2,0)+1),MATCH(H$1,[1]stages!$2:$2,0)-MATCH("temp_stage",[1]stages!$2:$2,0)+1,FALSE)</f>
        <v>火曜クエスト</v>
      </c>
      <c r="I54" s="18">
        <v>0</v>
      </c>
      <c r="J54" s="5">
        <f>COUNTIF(C$1:C54,C54)</f>
        <v>20</v>
      </c>
      <c r="K54" s="34">
        <v>24</v>
      </c>
      <c r="L54" s="5" t="s">
        <v>17</v>
      </c>
      <c r="M54" s="38" t="str">
        <f>VLOOKUP(K54,[2]stage_hints!$A:$C,3,FALSE)</f>
        <v>りんごを使って限界突破</v>
      </c>
      <c r="N54" s="39" t="str">
        <f>VLOOKUP(K54,[2]stage_hints!$A:$D,4,FALSE)</f>
        <v>赤りんご(攻撃力) 青りんご(回復力)
緑りんご(体力)をユニット強化に使うと
ステータスが限界突破します（計99個迄）</v>
      </c>
      <c r="O54" s="20" t="s">
        <v>24</v>
      </c>
      <c r="P54">
        <v>24</v>
      </c>
    </row>
    <row r="55" spans="1:16" x14ac:dyDescent="0.15">
      <c r="A55" s="27" t="str">
        <f t="shared" si="12"/>
        <v>11002_3_21</v>
      </c>
      <c r="B55" s="25" t="s">
        <v>34</v>
      </c>
      <c r="C55" s="4">
        <v>11002</v>
      </c>
      <c r="D55" s="3" t="str">
        <f ca="1">VLOOKUP($C55,OFFSET([1]quests!$A$1,0,0,COUNTA([1]quests!$A:$A),MATCH(D$1,[1]quests!$1:$1,0)-MATCH($C$1,[1]quests!$1:$1,0)+1),MATCH(D$1,[1]quests!$1:$1,0)-MATCH($C$1,[1]quests!$1:$1,0)+1,FALSE)</f>
        <v>【火曜限定】 赤の素材</v>
      </c>
      <c r="E55" s="3" t="str">
        <f ca="1">VLOOKUP($C55,OFFSET([1]quests!$A$1,0,0,COUNTA([1]quests!$A:$A),MATCH(E$1,[1]quests!$1:$1,0)-MATCH($C$1,[1]quests!$1:$1,0)+1),MATCH(E$1,[1]quests!$1:$1,0)-MATCH($C$1,[1]quests!$1:$1,0)+1,FALSE)</f>
        <v>火曜クエスト</v>
      </c>
      <c r="F55" s="5">
        <v>3</v>
      </c>
      <c r="G55" s="3" t="str">
        <f ca="1">VLOOKUP($C55&amp;"_"&amp;$F55,OFFSET([1]stages!$A$1,0,0,COUNTA([1]stages!$A:$A),MATCH(G$1,[1]stages!$2:$2,0)-MATCH("temp_stage",[1]stages!$2:$2,0)+1),MATCH(G$1,[1]stages!$2:$2,0)-MATCH("temp_stage",[1]stages!$2:$2,0)+1,FALSE)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5" s="3" t="str">
        <f ca="1">VLOOKUP($C55&amp;"_"&amp;$F55,OFFSET([1]stages!$A$1,0,0,COUNTA([1]stages!$A:$A),MATCH(H$1,[1]stages!$2:$2,0)-MATCH("temp_stage",[1]stages!$2:$2,0)+1),MATCH(H$1,[1]stages!$2:$2,0)-MATCH("temp_stage",[1]stages!$2:$2,0)+1,FALSE)</f>
        <v>火曜クエスト</v>
      </c>
      <c r="I55" s="18">
        <v>0</v>
      </c>
      <c r="J55" s="5">
        <f>COUNTIF(C$1:C55,C55)</f>
        <v>21</v>
      </c>
      <c r="K55" s="34">
        <v>25</v>
      </c>
      <c r="L55" s="5" t="s">
        <v>17</v>
      </c>
      <c r="M55" s="38" t="str">
        <f>VLOOKUP(K55,[2]stage_hints!$A:$C,3,FALSE)</f>
        <v>スキルレベルアップ</v>
      </c>
      <c r="N55" s="39" t="str">
        <f>VLOOKUP(K55,[2]stage_hints!$A:$D,4,FALSE)</f>
        <v>「クリスタルのりんご」を強化に使うと
スキルレベルを上げることができます</v>
      </c>
      <c r="O55" s="20" t="s">
        <v>24</v>
      </c>
      <c r="P55">
        <v>25</v>
      </c>
    </row>
    <row r="56" spans="1:16" x14ac:dyDescent="0.15">
      <c r="A56" s="27" t="str">
        <f t="shared" si="12"/>
        <v>11002_3_22</v>
      </c>
      <c r="B56" s="25" t="s">
        <v>34</v>
      </c>
      <c r="C56" s="4">
        <v>11002</v>
      </c>
      <c r="D56" s="3" t="str">
        <f ca="1">VLOOKUP($C56,OFFSET([1]quests!$A$1,0,0,COUNTA([1]quests!$A:$A),MATCH(D$1,[1]quests!$1:$1,0)-MATCH($C$1,[1]quests!$1:$1,0)+1),MATCH(D$1,[1]quests!$1:$1,0)-MATCH($C$1,[1]quests!$1:$1,0)+1,FALSE)</f>
        <v>【火曜限定】 赤の素材</v>
      </c>
      <c r="E56" s="3" t="str">
        <f ca="1">VLOOKUP($C56,OFFSET([1]quests!$A$1,0,0,COUNTA([1]quests!$A:$A),MATCH(E$1,[1]quests!$1:$1,0)-MATCH($C$1,[1]quests!$1:$1,0)+1),MATCH(E$1,[1]quests!$1:$1,0)-MATCH($C$1,[1]quests!$1:$1,0)+1,FALSE)</f>
        <v>火曜クエスト</v>
      </c>
      <c r="F56" s="5">
        <v>3</v>
      </c>
      <c r="G56" s="3" t="str">
        <f ca="1">VLOOKUP($C56&amp;"_"&amp;$F56,OFFSET([1]stages!$A$1,0,0,COUNTA([1]stages!$A:$A),MATCH(G$1,[1]stages!$2:$2,0)-MATCH("temp_stage",[1]stages!$2:$2,0)+1),MATCH(G$1,[1]stages!$2:$2,0)-MATCH("temp_stage",[1]stages!$2:$2,0)+1,FALSE)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6" s="3" t="str">
        <f ca="1">VLOOKUP($C56&amp;"_"&amp;$F56,OFFSET([1]stages!$A$1,0,0,COUNTA([1]stages!$A:$A),MATCH(H$1,[1]stages!$2:$2,0)-MATCH("temp_stage",[1]stages!$2:$2,0)+1),MATCH(H$1,[1]stages!$2:$2,0)-MATCH("temp_stage",[1]stages!$2:$2,0)+1,FALSE)</f>
        <v>火曜クエスト</v>
      </c>
      <c r="I56" s="18">
        <v>0</v>
      </c>
      <c r="J56" s="5">
        <f>COUNTIF(C$1:C56,C56)</f>
        <v>22</v>
      </c>
      <c r="K56" s="34">
        <v>26</v>
      </c>
      <c r="L56" s="5" t="s">
        <v>17</v>
      </c>
      <c r="M56" s="38" t="str">
        <f>VLOOKUP(K56,[2]stage_hints!$A:$C,3,FALSE)</f>
        <v>スキルレベルの効果</v>
      </c>
      <c r="N56" s="39" t="str">
        <f>VLOOKUP(K56,[2]stage_hints!$A:$D,4,FALSE)</f>
        <v>スキルレベルが上がると
短いターンでスキルを使うことができます</v>
      </c>
      <c r="O56" s="20" t="s">
        <v>24</v>
      </c>
      <c r="P56">
        <v>26</v>
      </c>
    </row>
    <row r="57" spans="1:16" x14ac:dyDescent="0.15">
      <c r="A57" s="27" t="str">
        <f t="shared" si="12"/>
        <v>11002_3_23</v>
      </c>
      <c r="B57" s="25" t="s">
        <v>34</v>
      </c>
      <c r="C57" s="4">
        <v>11002</v>
      </c>
      <c r="D57" s="3" t="str">
        <f ca="1">VLOOKUP($C57,OFFSET([1]quests!$A$1,0,0,COUNTA([1]quests!$A:$A),MATCH(D$1,[1]quests!$1:$1,0)-MATCH($C$1,[1]quests!$1:$1,0)+1),MATCH(D$1,[1]quests!$1:$1,0)-MATCH($C$1,[1]quests!$1:$1,0)+1,FALSE)</f>
        <v>【火曜限定】 赤の素材</v>
      </c>
      <c r="E57" s="3" t="str">
        <f ca="1">VLOOKUP($C57,OFFSET([1]quests!$A$1,0,0,COUNTA([1]quests!$A:$A),MATCH(E$1,[1]quests!$1:$1,0)-MATCH($C$1,[1]quests!$1:$1,0)+1),MATCH(E$1,[1]quests!$1:$1,0)-MATCH($C$1,[1]quests!$1:$1,0)+1,FALSE)</f>
        <v>火曜クエスト</v>
      </c>
      <c r="F57" s="5">
        <v>3</v>
      </c>
      <c r="G57" s="3" t="str">
        <f ca="1">VLOOKUP($C57&amp;"_"&amp;$F57,OFFSET([1]stages!$A$1,0,0,COUNTA([1]stages!$A:$A),MATCH(G$1,[1]stages!$2:$2,0)-MATCH("temp_stage",[1]stages!$2:$2,0)+1),MATCH(G$1,[1]stages!$2:$2,0)-MATCH("temp_stage",[1]stages!$2:$2,0)+1,FALSE)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7" s="3" t="str">
        <f ca="1">VLOOKUP($C57&amp;"_"&amp;$F57,OFFSET([1]stages!$A$1,0,0,COUNTA([1]stages!$A:$A),MATCH(H$1,[1]stages!$2:$2,0)-MATCH("temp_stage",[1]stages!$2:$2,0)+1),MATCH(H$1,[1]stages!$2:$2,0)-MATCH("temp_stage",[1]stages!$2:$2,0)+1,FALSE)</f>
        <v>火曜クエスト</v>
      </c>
      <c r="I57" s="18">
        <v>0</v>
      </c>
      <c r="J57" s="5">
        <f>COUNTIF(C$1:C57,C57)</f>
        <v>23</v>
      </c>
      <c r="K57" s="34">
        <v>27</v>
      </c>
      <c r="L57" s="5" t="s">
        <v>17</v>
      </c>
      <c r="M57" s="38" t="str">
        <f>VLOOKUP(K57,[2]stage_hints!$A:$C,3,FALSE)</f>
        <v>ホーム画面からデッキを編成</v>
      </c>
      <c r="N57" s="39" t="str">
        <f>VLOOKUP(K57,[2]stage_hints!$A:$D,4,FALSE)</f>
        <v>ホーム画面でユニットを長押しすると
すぐにパーティ編成に移動できます</v>
      </c>
      <c r="O57" s="20" t="s">
        <v>24</v>
      </c>
      <c r="P57">
        <v>27</v>
      </c>
    </row>
    <row r="58" spans="1:16" x14ac:dyDescent="0.15">
      <c r="A58" s="27" t="str">
        <f t="shared" si="12"/>
        <v>11002_3_24</v>
      </c>
      <c r="B58" s="25" t="s">
        <v>34</v>
      </c>
      <c r="C58" s="4">
        <v>11002</v>
      </c>
      <c r="D58" s="3" t="str">
        <f ca="1">VLOOKUP($C58,OFFSET([1]quests!$A$1,0,0,COUNTA([1]quests!$A:$A),MATCH(D$1,[1]quests!$1:$1,0)-MATCH($C$1,[1]quests!$1:$1,0)+1),MATCH(D$1,[1]quests!$1:$1,0)-MATCH($C$1,[1]quests!$1:$1,0)+1,FALSE)</f>
        <v>【火曜限定】 赤の素材</v>
      </c>
      <c r="E58" s="3" t="str">
        <f ca="1">VLOOKUP($C58,OFFSET([1]quests!$A$1,0,0,COUNTA([1]quests!$A:$A),MATCH(E$1,[1]quests!$1:$1,0)-MATCH($C$1,[1]quests!$1:$1,0)+1),MATCH(E$1,[1]quests!$1:$1,0)-MATCH($C$1,[1]quests!$1:$1,0)+1,FALSE)</f>
        <v>火曜クエスト</v>
      </c>
      <c r="F58" s="5">
        <v>3</v>
      </c>
      <c r="G58" s="3" t="str">
        <f ca="1">VLOOKUP($C58&amp;"_"&amp;$F58,OFFSET([1]stages!$A$1,0,0,COUNTA([1]stages!$A:$A),MATCH(G$1,[1]stages!$2:$2,0)-MATCH("temp_stage",[1]stages!$2:$2,0)+1),MATCH(G$1,[1]stages!$2:$2,0)-MATCH("temp_stage",[1]stages!$2:$2,0)+1,FALSE)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8" s="3" t="str">
        <f ca="1">VLOOKUP($C58&amp;"_"&amp;$F58,OFFSET([1]stages!$A$1,0,0,COUNTA([1]stages!$A:$A),MATCH(H$1,[1]stages!$2:$2,0)-MATCH("temp_stage",[1]stages!$2:$2,0)+1),MATCH(H$1,[1]stages!$2:$2,0)-MATCH("temp_stage",[1]stages!$2:$2,0)+1,FALSE)</f>
        <v>火曜クエスト</v>
      </c>
      <c r="I58" s="18">
        <v>0</v>
      </c>
      <c r="J58" s="5">
        <f>COUNTIF(C$1:C58,C58)</f>
        <v>24</v>
      </c>
      <c r="K58" s="34">
        <v>28</v>
      </c>
      <c r="L58" s="5" t="s">
        <v>17</v>
      </c>
      <c r="M58" s="38" t="str">
        <f>VLOOKUP(K58,[2]stage_hints!$A:$C,3,FALSE)</f>
        <v>ステータス情報は長押しで</v>
      </c>
      <c r="N58" s="39" t="str">
        <f>VLOOKUP(K58,[2]stage_hints!$A:$D,4,FALSE)</f>
        <v>ユニットのアイコンを長押しすると
ステータス情報を確認することができます</v>
      </c>
      <c r="O58" s="20" t="s">
        <v>24</v>
      </c>
      <c r="P58">
        <v>28</v>
      </c>
    </row>
    <row r="59" spans="1:16" x14ac:dyDescent="0.15">
      <c r="A59" s="27" t="str">
        <f t="shared" ref="A59" si="13">C59&amp;"_"&amp;F59&amp;"_"&amp;J59</f>
        <v>11002_3_25</v>
      </c>
      <c r="B59" s="25" t="s">
        <v>34</v>
      </c>
      <c r="C59" s="4">
        <v>11002</v>
      </c>
      <c r="D59" s="3" t="str">
        <f ca="1">VLOOKUP($C59,OFFSET([1]quests!$A$1,0,0,COUNTA([1]quests!$A:$A),MATCH(D$1,[1]quests!$1:$1,0)-MATCH($C$1,[1]quests!$1:$1,0)+1),MATCH(D$1,[1]quests!$1:$1,0)-MATCH($C$1,[1]quests!$1:$1,0)+1,FALSE)</f>
        <v>【火曜限定】 赤の素材</v>
      </c>
      <c r="E59" s="3" t="str">
        <f ca="1">VLOOKUP($C59,OFFSET([1]quests!$A$1,0,0,COUNTA([1]quests!$A:$A),MATCH(E$1,[1]quests!$1:$1,0)-MATCH($C$1,[1]quests!$1:$1,0)+1),MATCH(E$1,[1]quests!$1:$1,0)-MATCH($C$1,[1]quests!$1:$1,0)+1,FALSE)</f>
        <v>火曜クエスト</v>
      </c>
      <c r="F59" s="5">
        <v>3</v>
      </c>
      <c r="G59" s="3" t="str">
        <f ca="1">VLOOKUP($C59&amp;"_"&amp;$F59,OFFSET([1]stages!$A$1,0,0,COUNTA([1]stages!$A:$A),MATCH(G$1,[1]stages!$2:$2,0)-MATCH("temp_stage",[1]stages!$2:$2,0)+1),MATCH(G$1,[1]stages!$2:$2,0)-MATCH("temp_stage",[1]stages!$2:$2,0)+1,FALSE)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59" s="3" t="str">
        <f ca="1">VLOOKUP($C59&amp;"_"&amp;$F59,OFFSET([1]stages!$A$1,0,0,COUNTA([1]stages!$A:$A),MATCH(H$1,[1]stages!$2:$2,0)-MATCH("temp_stage",[1]stages!$2:$2,0)+1),MATCH(H$1,[1]stages!$2:$2,0)-MATCH("temp_stage",[1]stages!$2:$2,0)+1,FALSE)</f>
        <v>火曜クエスト</v>
      </c>
      <c r="I59" s="18">
        <v>0</v>
      </c>
      <c r="J59" s="5">
        <f>COUNTIF(C$1:C59,C59)</f>
        <v>25</v>
      </c>
      <c r="K59" s="34">
        <v>29</v>
      </c>
      <c r="L59" s="5" t="s">
        <v>17</v>
      </c>
      <c r="M59" s="38" t="str">
        <f>VLOOKUP(K59,[2]stage_hints!$A:$C,3,FALSE)</f>
        <v>「バグ」のメリット</v>
      </c>
      <c r="N59" s="39" t="str">
        <f>VLOOKUP(K59,[2]stage_hints!$A:$D,4,FALSE)</f>
        <v>ユニットの「バグ」を増やすと
報酬をもらえる確率がアップします</v>
      </c>
      <c r="O59" s="20" t="s">
        <v>24</v>
      </c>
      <c r="P59">
        <v>29</v>
      </c>
    </row>
    <row r="60" spans="1:16" x14ac:dyDescent="0.15">
      <c r="A60" s="27" t="str">
        <f t="shared" ref="A60:A69" si="14">C60&amp;"_"&amp;F60&amp;"_"&amp;J60</f>
        <v>11002_3_26</v>
      </c>
      <c r="B60" s="25" t="s">
        <v>34</v>
      </c>
      <c r="C60" s="4">
        <v>11002</v>
      </c>
      <c r="D60" s="3" t="str">
        <f ca="1">VLOOKUP($C60,OFFSET([1]quests!$A$1,0,0,COUNTA([1]quests!$A:$A),MATCH(D$1,[1]quests!$1:$1,0)-MATCH($C$1,[1]quests!$1:$1,0)+1),MATCH(D$1,[1]quests!$1:$1,0)-MATCH($C$1,[1]quests!$1:$1,0)+1,FALSE)</f>
        <v>【火曜限定】 赤の素材</v>
      </c>
      <c r="E60" s="3" t="str">
        <f ca="1">VLOOKUP($C60,OFFSET([1]quests!$A$1,0,0,COUNTA([1]quests!$A:$A),MATCH(E$1,[1]quests!$1:$1,0)-MATCH($C$1,[1]quests!$1:$1,0)+1),MATCH(E$1,[1]quests!$1:$1,0)-MATCH($C$1,[1]quests!$1:$1,0)+1,FALSE)</f>
        <v>火曜クエスト</v>
      </c>
      <c r="F60" s="5">
        <v>3</v>
      </c>
      <c r="G60" s="3" t="str">
        <f ca="1">VLOOKUP($C60&amp;"_"&amp;$F60,OFFSET([1]stages!$A$1,0,0,COUNTA([1]stages!$A:$A),MATCH(G$1,[1]stages!$2:$2,0)-MATCH("temp_stage",[1]stages!$2:$2,0)+1),MATCH(G$1,[1]stages!$2:$2,0)-MATCH("temp_stage",[1]stages!$2:$2,0)+1,FALSE)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60" s="3" t="str">
        <f ca="1">VLOOKUP($C60&amp;"_"&amp;$F60,OFFSET([1]stages!$A$1,0,0,COUNTA([1]stages!$A:$A),MATCH(H$1,[1]stages!$2:$2,0)-MATCH("temp_stage",[1]stages!$2:$2,0)+1),MATCH(H$1,[1]stages!$2:$2,0)-MATCH("temp_stage",[1]stages!$2:$2,0)+1,FALSE)</f>
        <v>火曜クエスト</v>
      </c>
      <c r="I60" s="18">
        <v>0</v>
      </c>
      <c r="J60" s="5">
        <f>COUNTIF(C$1:C60,C60)</f>
        <v>26</v>
      </c>
      <c r="K60" s="34">
        <v>30</v>
      </c>
      <c r="L60" s="5" t="s">
        <v>17</v>
      </c>
      <c r="M60" s="38" t="str">
        <f>VLOOKUP(K60,[2]stage_hints!$A:$C,3,FALSE)</f>
        <v>「バグ」の増やし方</v>
      </c>
      <c r="N60" s="39" t="str">
        <f>VLOOKUP(K60,[2]stage_hints!$A:$D,4,FALSE)</f>
        <v>同じユニット同士を強化で合成すると
「バグ」を増やすことができます</v>
      </c>
      <c r="O60" s="20" t="s">
        <v>24</v>
      </c>
      <c r="P60">
        <v>30</v>
      </c>
    </row>
    <row r="61" spans="1:16" x14ac:dyDescent="0.15">
      <c r="A61" s="27" t="str">
        <f t="shared" si="14"/>
        <v>11002_3_27</v>
      </c>
      <c r="B61" s="25" t="s">
        <v>34</v>
      </c>
      <c r="C61" s="4">
        <v>11002</v>
      </c>
      <c r="D61" s="3" t="str">
        <f ca="1">VLOOKUP($C61,OFFSET([1]quests!$A$1,0,0,COUNTA([1]quests!$A:$A),MATCH(D$1,[1]quests!$1:$1,0)-MATCH($C$1,[1]quests!$1:$1,0)+1),MATCH(D$1,[1]quests!$1:$1,0)-MATCH($C$1,[1]quests!$1:$1,0)+1,FALSE)</f>
        <v>【火曜限定】 赤の素材</v>
      </c>
      <c r="E61" s="3" t="str">
        <f ca="1">VLOOKUP($C61,OFFSET([1]quests!$A$1,0,0,COUNTA([1]quests!$A:$A),MATCH(E$1,[1]quests!$1:$1,0)-MATCH($C$1,[1]quests!$1:$1,0)+1),MATCH(E$1,[1]quests!$1:$1,0)-MATCH($C$1,[1]quests!$1:$1,0)+1,FALSE)</f>
        <v>火曜クエスト</v>
      </c>
      <c r="F61" s="5">
        <v>3</v>
      </c>
      <c r="G61" s="3" t="str">
        <f ca="1">VLOOKUP($C61&amp;"_"&amp;$F61,OFFSET([1]stages!$A$1,0,0,COUNTA([1]stages!$A:$A),MATCH(G$1,[1]stages!$2:$2,0)-MATCH("temp_stage",[1]stages!$2:$2,0)+1),MATCH(G$1,[1]stages!$2:$2,0)-MATCH("temp_stage",[1]stages!$2:$2,0)+1,FALSE)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61" s="3" t="str">
        <f ca="1">VLOOKUP($C61&amp;"_"&amp;$F61,OFFSET([1]stages!$A$1,0,0,COUNTA([1]stages!$A:$A),MATCH(H$1,[1]stages!$2:$2,0)-MATCH("temp_stage",[1]stages!$2:$2,0)+1),MATCH(H$1,[1]stages!$2:$2,0)-MATCH("temp_stage",[1]stages!$2:$2,0)+1,FALSE)</f>
        <v>火曜クエスト</v>
      </c>
      <c r="I61" s="18">
        <v>0</v>
      </c>
      <c r="J61" s="5">
        <f>COUNTIF(C$1:C61,C61)</f>
        <v>27</v>
      </c>
      <c r="K61" s="34">
        <v>31</v>
      </c>
      <c r="L61" s="5" t="s">
        <v>17</v>
      </c>
      <c r="M61" s="38" t="str">
        <f>VLOOKUP(K61,[2]stage_hints!$A:$C,3,FALSE)</f>
        <v>イベントはお知らせでチェック</v>
      </c>
      <c r="N61" s="39" t="str">
        <f>VLOOKUP(K61,[2]stage_hints!$A:$D,4,FALSE)</f>
        <v>イベント限定ユニットを取り忘れないように
お知らせをこまめにチェックしましょう</v>
      </c>
      <c r="O61" s="20" t="s">
        <v>24</v>
      </c>
      <c r="P61">
        <v>31</v>
      </c>
    </row>
    <row r="62" spans="1:16" x14ac:dyDescent="0.15">
      <c r="A62" s="27" t="str">
        <f t="shared" si="14"/>
        <v>11002_3_28</v>
      </c>
      <c r="B62" s="25" t="s">
        <v>34</v>
      </c>
      <c r="C62" s="4">
        <v>11002</v>
      </c>
      <c r="D62" s="3" t="str">
        <f ca="1">VLOOKUP($C62,OFFSET([1]quests!$A$1,0,0,COUNTA([1]quests!$A:$A),MATCH(D$1,[1]quests!$1:$1,0)-MATCH($C$1,[1]quests!$1:$1,0)+1),MATCH(D$1,[1]quests!$1:$1,0)-MATCH($C$1,[1]quests!$1:$1,0)+1,FALSE)</f>
        <v>【火曜限定】 赤の素材</v>
      </c>
      <c r="E62" s="3" t="str">
        <f ca="1">VLOOKUP($C62,OFFSET([1]quests!$A$1,0,0,COUNTA([1]quests!$A:$A),MATCH(E$1,[1]quests!$1:$1,0)-MATCH($C$1,[1]quests!$1:$1,0)+1),MATCH(E$1,[1]quests!$1:$1,0)-MATCH($C$1,[1]quests!$1:$1,0)+1,FALSE)</f>
        <v>火曜クエスト</v>
      </c>
      <c r="F62" s="5">
        <v>3</v>
      </c>
      <c r="G62" s="3" t="str">
        <f ca="1">VLOOKUP($C62&amp;"_"&amp;$F62,OFFSET([1]stages!$A$1,0,0,COUNTA([1]stages!$A:$A),MATCH(G$1,[1]stages!$2:$2,0)-MATCH("temp_stage",[1]stages!$2:$2,0)+1),MATCH(G$1,[1]stages!$2:$2,0)-MATCH("temp_stage",[1]stages!$2:$2,0)+1,FALSE)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62" s="3" t="str">
        <f ca="1">VLOOKUP($C62&amp;"_"&amp;$F62,OFFSET([1]stages!$A$1,0,0,COUNTA([1]stages!$A:$A),MATCH(H$1,[1]stages!$2:$2,0)-MATCH("temp_stage",[1]stages!$2:$2,0)+1),MATCH(H$1,[1]stages!$2:$2,0)-MATCH("temp_stage",[1]stages!$2:$2,0)+1,FALSE)</f>
        <v>火曜クエスト</v>
      </c>
      <c r="I62" s="18">
        <v>0</v>
      </c>
      <c r="J62" s="5">
        <f>COUNTIF(C$1:C62,C62)</f>
        <v>28</v>
      </c>
      <c r="K62" s="34">
        <v>32</v>
      </c>
      <c r="L62" s="5" t="s">
        <v>17</v>
      </c>
      <c r="M62" s="38" t="str">
        <f>VLOOKUP(K62,[2]stage_hints!$A:$C,3,FALSE)</f>
        <v>敵の連続攻撃には</v>
      </c>
      <c r="N62" s="39" t="str">
        <f>VLOOKUP(K62,[2]stage_hints!$A:$D,4,FALSE)</f>
        <v>カウンタースキルを持つユニットがいれば
ダメージ回数分の反撃ができます</v>
      </c>
      <c r="O62" s="20" t="s">
        <v>24</v>
      </c>
      <c r="P62">
        <v>32</v>
      </c>
    </row>
    <row r="63" spans="1:16" x14ac:dyDescent="0.15">
      <c r="A63" s="27" t="str">
        <f t="shared" si="14"/>
        <v>11002_3_29</v>
      </c>
      <c r="B63" s="25" t="s">
        <v>34</v>
      </c>
      <c r="C63" s="4">
        <v>11002</v>
      </c>
      <c r="D63" s="3" t="str">
        <f ca="1">VLOOKUP($C63,OFFSET([1]quests!$A$1,0,0,COUNTA([1]quests!$A:$A),MATCH(D$1,[1]quests!$1:$1,0)-MATCH($C$1,[1]quests!$1:$1,0)+1),MATCH(D$1,[1]quests!$1:$1,0)-MATCH($C$1,[1]quests!$1:$1,0)+1,FALSE)</f>
        <v>【火曜限定】 赤の素材</v>
      </c>
      <c r="E63" s="3" t="str">
        <f ca="1">VLOOKUP($C63,OFFSET([1]quests!$A$1,0,0,COUNTA([1]quests!$A:$A),MATCH(E$1,[1]quests!$1:$1,0)-MATCH($C$1,[1]quests!$1:$1,0)+1),MATCH(E$1,[1]quests!$1:$1,0)-MATCH($C$1,[1]quests!$1:$1,0)+1,FALSE)</f>
        <v>火曜クエスト</v>
      </c>
      <c r="F63" s="5">
        <v>3</v>
      </c>
      <c r="G63" s="3" t="str">
        <f ca="1">VLOOKUP($C63&amp;"_"&amp;$F63,OFFSET([1]stages!$A$1,0,0,COUNTA([1]stages!$A:$A),MATCH(G$1,[1]stages!$2:$2,0)-MATCH("temp_stage",[1]stages!$2:$2,0)+1),MATCH(G$1,[1]stages!$2:$2,0)-MATCH("temp_stage",[1]stages!$2:$2,0)+1,FALSE)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63" s="3" t="str">
        <f ca="1">VLOOKUP($C63&amp;"_"&amp;$F63,OFFSET([1]stages!$A$1,0,0,COUNTA([1]stages!$A:$A),MATCH(H$1,[1]stages!$2:$2,0)-MATCH("temp_stage",[1]stages!$2:$2,0)+1),MATCH(H$1,[1]stages!$2:$2,0)-MATCH("temp_stage",[1]stages!$2:$2,0)+1,FALSE)</f>
        <v>火曜クエスト</v>
      </c>
      <c r="I63" s="18">
        <v>0</v>
      </c>
      <c r="J63" s="5">
        <f>COUNTIF(C$1:C63,C63)</f>
        <v>29</v>
      </c>
      <c r="K63" s="34">
        <v>33</v>
      </c>
      <c r="L63" s="5" t="s">
        <v>17</v>
      </c>
      <c r="M63" s="38" t="str">
        <f>VLOOKUP(K63,[2]stage_hints!$A:$C,3,FALSE)</f>
        <v>敵のカウンター攻撃には</v>
      </c>
      <c r="N63" s="39" t="str">
        <f>VLOOKUP(K63,[2]stage_hints!$A:$D,4,FALSE)</f>
        <v>カウンターブレイクスキルを持っていれば
敵のカウンターを解除して攻撃ができます</v>
      </c>
      <c r="O63" s="20" t="s">
        <v>24</v>
      </c>
      <c r="P63">
        <v>33</v>
      </c>
    </row>
    <row r="64" spans="1:16" x14ac:dyDescent="0.15">
      <c r="A64" s="27" t="str">
        <f t="shared" si="14"/>
        <v>11002_3_30</v>
      </c>
      <c r="B64" s="25" t="s">
        <v>34</v>
      </c>
      <c r="C64" s="4">
        <v>11002</v>
      </c>
      <c r="D64" s="3" t="str">
        <f ca="1">VLOOKUP($C64,OFFSET([1]quests!$A$1,0,0,COUNTA([1]quests!$A:$A),MATCH(D$1,[1]quests!$1:$1,0)-MATCH($C$1,[1]quests!$1:$1,0)+1),MATCH(D$1,[1]quests!$1:$1,0)-MATCH($C$1,[1]quests!$1:$1,0)+1,FALSE)</f>
        <v>【火曜限定】 赤の素材</v>
      </c>
      <c r="E64" s="3" t="str">
        <f ca="1">VLOOKUP($C64,OFFSET([1]quests!$A$1,0,0,COUNTA([1]quests!$A:$A),MATCH(E$1,[1]quests!$1:$1,0)-MATCH($C$1,[1]quests!$1:$1,0)+1),MATCH(E$1,[1]quests!$1:$1,0)-MATCH($C$1,[1]quests!$1:$1,0)+1,FALSE)</f>
        <v>火曜クエスト</v>
      </c>
      <c r="F64" s="5">
        <v>3</v>
      </c>
      <c r="G64" s="3" t="str">
        <f ca="1">VLOOKUP($C64&amp;"_"&amp;$F64,OFFSET([1]stages!$A$1,0,0,COUNTA([1]stages!$A:$A),MATCH(G$1,[1]stages!$2:$2,0)-MATCH("temp_stage",[1]stages!$2:$2,0)+1),MATCH(G$1,[1]stages!$2:$2,0)-MATCH("temp_stage",[1]stages!$2:$2,0)+1,FALSE)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64" s="3" t="str">
        <f ca="1">VLOOKUP($C64&amp;"_"&amp;$F64,OFFSET([1]stages!$A$1,0,0,COUNTA([1]stages!$A:$A),MATCH(H$1,[1]stages!$2:$2,0)-MATCH("temp_stage",[1]stages!$2:$2,0)+1),MATCH(H$1,[1]stages!$2:$2,0)-MATCH("temp_stage",[1]stages!$2:$2,0)+1,FALSE)</f>
        <v>火曜クエスト</v>
      </c>
      <c r="I64" s="18">
        <v>0</v>
      </c>
      <c r="J64" s="5">
        <f>COUNTIF(C$1:C64,C64)</f>
        <v>30</v>
      </c>
      <c r="K64" s="34">
        <v>34</v>
      </c>
      <c r="L64" s="5" t="s">
        <v>17</v>
      </c>
      <c r="M64" s="38" t="str">
        <f>VLOOKUP(K64,[2]stage_hints!$A:$C,3,FALSE)</f>
        <v>ステータスをスキルで下げられたら</v>
      </c>
      <c r="N64" s="39" t="str">
        <f>VLOOKUP(K64,[2]stage_hints!$A:$D,4,FALSE)</f>
        <v>ステータスダウンのスキルを受けたら
ステータスアップスキルで上書きしましょう</v>
      </c>
      <c r="O64" s="20" t="s">
        <v>24</v>
      </c>
      <c r="P64">
        <v>34</v>
      </c>
    </row>
    <row r="65" spans="1:16" x14ac:dyDescent="0.15">
      <c r="A65" s="27" t="str">
        <f t="shared" si="14"/>
        <v>11002_3_31</v>
      </c>
      <c r="B65" s="25" t="s">
        <v>34</v>
      </c>
      <c r="C65" s="4">
        <v>11002</v>
      </c>
      <c r="D65" s="3" t="str">
        <f ca="1">VLOOKUP($C65,OFFSET([1]quests!$A$1,0,0,COUNTA([1]quests!$A:$A),MATCH(D$1,[1]quests!$1:$1,0)-MATCH($C$1,[1]quests!$1:$1,0)+1),MATCH(D$1,[1]quests!$1:$1,0)-MATCH($C$1,[1]quests!$1:$1,0)+1,FALSE)</f>
        <v>【火曜限定】 赤の素材</v>
      </c>
      <c r="E65" s="3" t="str">
        <f ca="1">VLOOKUP($C65,OFFSET([1]quests!$A$1,0,0,COUNTA([1]quests!$A:$A),MATCH(E$1,[1]quests!$1:$1,0)-MATCH($C$1,[1]quests!$1:$1,0)+1),MATCH(E$1,[1]quests!$1:$1,0)-MATCH($C$1,[1]quests!$1:$1,0)+1,FALSE)</f>
        <v>火曜クエスト</v>
      </c>
      <c r="F65" s="5">
        <v>3</v>
      </c>
      <c r="G65" s="3" t="str">
        <f ca="1">VLOOKUP($C65&amp;"_"&amp;$F65,OFFSET([1]stages!$A$1,0,0,COUNTA([1]stages!$A:$A),MATCH(G$1,[1]stages!$2:$2,0)-MATCH("temp_stage",[1]stages!$2:$2,0)+1),MATCH(G$1,[1]stages!$2:$2,0)-MATCH("temp_stage",[1]stages!$2:$2,0)+1,FALSE)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65" s="3" t="str">
        <f ca="1">VLOOKUP($C65&amp;"_"&amp;$F65,OFFSET([1]stages!$A$1,0,0,COUNTA([1]stages!$A:$A),MATCH(H$1,[1]stages!$2:$2,0)-MATCH("temp_stage",[1]stages!$2:$2,0)+1),MATCH(H$1,[1]stages!$2:$2,0)-MATCH("temp_stage",[1]stages!$2:$2,0)+1,FALSE)</f>
        <v>火曜クエスト</v>
      </c>
      <c r="I65" s="18">
        <v>0</v>
      </c>
      <c r="J65" s="5">
        <f>COUNTIF(C$1:C65,C65)</f>
        <v>31</v>
      </c>
      <c r="K65" s="34">
        <v>35</v>
      </c>
      <c r="L65" s="5" t="s">
        <v>17</v>
      </c>
      <c r="M65" s="38" t="str">
        <f>VLOOKUP(K65,[2]stage_hints!$A:$C,3,FALSE)</f>
        <v>敵のステータスがスキルで上がったら</v>
      </c>
      <c r="N65" s="39" t="str">
        <f>VLOOKUP(K65,[2]stage_hints!$A:$D,4,FALSE)</f>
        <v>敵のステータスがスキルでアップしたときは
ステータスダウンスキルで上書きしましょう</v>
      </c>
      <c r="O65" s="20" t="s">
        <v>24</v>
      </c>
      <c r="P65">
        <v>35</v>
      </c>
    </row>
    <row r="66" spans="1:16" x14ac:dyDescent="0.15">
      <c r="A66" s="27" t="str">
        <f t="shared" si="14"/>
        <v>11002_3_32</v>
      </c>
      <c r="B66" s="25" t="s">
        <v>34</v>
      </c>
      <c r="C66" s="4">
        <v>11002</v>
      </c>
      <c r="D66" s="3" t="str">
        <f ca="1">VLOOKUP($C66,OFFSET([1]quests!$A$1,0,0,COUNTA([1]quests!$A:$A),MATCH(D$1,[1]quests!$1:$1,0)-MATCH($C$1,[1]quests!$1:$1,0)+1),MATCH(D$1,[1]quests!$1:$1,0)-MATCH($C$1,[1]quests!$1:$1,0)+1,FALSE)</f>
        <v>【火曜限定】 赤の素材</v>
      </c>
      <c r="E66" s="3" t="str">
        <f ca="1">VLOOKUP($C66,OFFSET([1]quests!$A$1,0,0,COUNTA([1]quests!$A:$A),MATCH(E$1,[1]quests!$1:$1,0)-MATCH($C$1,[1]quests!$1:$1,0)+1),MATCH(E$1,[1]quests!$1:$1,0)-MATCH($C$1,[1]quests!$1:$1,0)+1,FALSE)</f>
        <v>火曜クエスト</v>
      </c>
      <c r="F66" s="5">
        <v>3</v>
      </c>
      <c r="G66" s="3" t="str">
        <f ca="1">VLOOKUP($C66&amp;"_"&amp;$F66,OFFSET([1]stages!$A$1,0,0,COUNTA([1]stages!$A:$A),MATCH(G$1,[1]stages!$2:$2,0)-MATCH("temp_stage",[1]stages!$2:$2,0)+1),MATCH(G$1,[1]stages!$2:$2,0)-MATCH("temp_stage",[1]stages!$2:$2,0)+1,FALSE)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66" s="3" t="str">
        <f ca="1">VLOOKUP($C66&amp;"_"&amp;$F66,OFFSET([1]stages!$A$1,0,0,COUNTA([1]stages!$A:$A),MATCH(H$1,[1]stages!$2:$2,0)-MATCH("temp_stage",[1]stages!$2:$2,0)+1),MATCH(H$1,[1]stages!$2:$2,0)-MATCH("temp_stage",[1]stages!$2:$2,0)+1,FALSE)</f>
        <v>火曜クエスト</v>
      </c>
      <c r="I66" s="18">
        <v>0</v>
      </c>
      <c r="J66" s="5">
        <f>COUNTIF(C$1:C66,C66)</f>
        <v>32</v>
      </c>
      <c r="K66" s="34">
        <v>36</v>
      </c>
      <c r="L66" s="5" t="s">
        <v>17</v>
      </c>
      <c r="M66" s="38" t="str">
        <f>VLOOKUP(K66,[2]stage_hints!$A:$C,3,FALSE)</f>
        <v>チャレンジタワーのボス</v>
      </c>
      <c r="N66" s="39" t="str">
        <f>VLOOKUP(K66,[2]stage_hints!$A:$D,4,FALSE)</f>
        <v>チャレンジタワーでのみ登場するボスは
一定確率で獲得することができます</v>
      </c>
      <c r="O66" s="20" t="s">
        <v>24</v>
      </c>
      <c r="P66">
        <v>36</v>
      </c>
    </row>
    <row r="67" spans="1:16" x14ac:dyDescent="0.15">
      <c r="A67" s="27" t="str">
        <f t="shared" si="14"/>
        <v>11002_3_33</v>
      </c>
      <c r="B67" s="25" t="s">
        <v>34</v>
      </c>
      <c r="C67" s="4">
        <v>11002</v>
      </c>
      <c r="D67" s="3" t="str">
        <f ca="1">VLOOKUP($C67,OFFSET([1]quests!$A$1,0,0,COUNTA([1]quests!$A:$A),MATCH(D$1,[1]quests!$1:$1,0)-MATCH($C$1,[1]quests!$1:$1,0)+1),MATCH(D$1,[1]quests!$1:$1,0)-MATCH($C$1,[1]quests!$1:$1,0)+1,FALSE)</f>
        <v>【火曜限定】 赤の素材</v>
      </c>
      <c r="E67" s="3" t="str">
        <f ca="1">VLOOKUP($C67,OFFSET([1]quests!$A$1,0,0,COUNTA([1]quests!$A:$A),MATCH(E$1,[1]quests!$1:$1,0)-MATCH($C$1,[1]quests!$1:$1,0)+1),MATCH(E$1,[1]quests!$1:$1,0)-MATCH($C$1,[1]quests!$1:$1,0)+1,FALSE)</f>
        <v>火曜クエスト</v>
      </c>
      <c r="F67" s="5">
        <v>3</v>
      </c>
      <c r="G67" s="3" t="str">
        <f ca="1">VLOOKUP($C67&amp;"_"&amp;$F67,OFFSET([1]stages!$A$1,0,0,COUNTA([1]stages!$A:$A),MATCH(G$1,[1]stages!$2:$2,0)-MATCH("temp_stage",[1]stages!$2:$2,0)+1),MATCH(G$1,[1]stages!$2:$2,0)-MATCH("temp_stage",[1]stages!$2:$2,0)+1,FALSE)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67" s="3" t="str">
        <f ca="1">VLOOKUP($C67&amp;"_"&amp;$F67,OFFSET([1]stages!$A$1,0,0,COUNTA([1]stages!$A:$A),MATCH(H$1,[1]stages!$2:$2,0)-MATCH("temp_stage",[1]stages!$2:$2,0)+1),MATCH(H$1,[1]stages!$2:$2,0)-MATCH("temp_stage",[1]stages!$2:$2,0)+1,FALSE)</f>
        <v>火曜クエスト</v>
      </c>
      <c r="I67" s="18">
        <v>0</v>
      </c>
      <c r="J67" s="5">
        <f>COUNTIF(C$1:C67,C67)</f>
        <v>33</v>
      </c>
      <c r="K67" s="34">
        <v>37</v>
      </c>
      <c r="L67" s="5" t="s">
        <v>17</v>
      </c>
      <c r="M67" s="38" t="str">
        <f>VLOOKUP(K67,[2]stage_hints!$A:$C,3,FALSE)</f>
        <v>限界突破値の引き継ぎ</v>
      </c>
      <c r="N67" s="39" t="str">
        <f>VLOOKUP(K67,[2]stage_hints!$A:$D,4,FALSE)</f>
        <v>同じユニットを強化で合成すると
限界突破値を引き継げます（覚醒前後も可）</v>
      </c>
      <c r="O67" s="20" t="s">
        <v>24</v>
      </c>
      <c r="P67">
        <v>37</v>
      </c>
    </row>
    <row r="68" spans="1:16" x14ac:dyDescent="0.15">
      <c r="A68" s="27" t="str">
        <f t="shared" si="14"/>
        <v>11003_3_1</v>
      </c>
      <c r="B68" s="25" t="s">
        <v>34</v>
      </c>
      <c r="C68" s="4">
        <v>11003</v>
      </c>
      <c r="D68" s="3" t="str">
        <f ca="1">VLOOKUP($C68,OFFSET([1]quests!$A$1,0,0,COUNTA([1]quests!$A:$A),MATCH(D$1,[1]quests!$1:$1,0)-MATCH($C$1,[1]quests!$1:$1,0)+1),MATCH(D$1,[1]quests!$1:$1,0)-MATCH($C$1,[1]quests!$1:$1,0)+1,FALSE)</f>
        <v>【水曜限定】 青の素材</v>
      </c>
      <c r="E68" s="3" t="str">
        <f ca="1">VLOOKUP($C68,OFFSET([1]quests!$A$1,0,0,COUNTA([1]quests!$A:$A),MATCH(E$1,[1]quests!$1:$1,0)-MATCH($C$1,[1]quests!$1:$1,0)+1),MATCH(E$1,[1]quests!$1:$1,0)-MATCH($C$1,[1]quests!$1:$1,0)+1,FALSE)</f>
        <v>水曜クエスト</v>
      </c>
      <c r="F68" s="5">
        <v>3</v>
      </c>
      <c r="G68" s="3" t="str">
        <f ca="1">VLOOKUP($C68&amp;"_"&amp;$F68,OFFSET([1]stages!$A$1,0,0,COUNTA([1]stages!$A:$A),MATCH(G$1,[1]stages!$2:$2,0)-MATCH("temp_stage",[1]stages!$2:$2,0)+1),MATCH(G$1,[1]stages!$2:$2,0)-MATCH("temp_stage",[1]stages!$2:$2,0)+1,FALSE)</f>
        <v>【上級】水のイモムシ</v>
      </c>
      <c r="H68" s="3" t="str">
        <f ca="1">VLOOKUP($C68&amp;"_"&amp;$F68,OFFSET([1]stages!$A$1,0,0,COUNTA([1]stages!$A:$A),MATCH(H$1,[1]stages!$2:$2,0)-MATCH("temp_stage",[1]stages!$2:$2,0)+1),MATCH(H$1,[1]stages!$2:$2,0)-MATCH("temp_stage",[1]stages!$2:$2,0)+1,FALSE)</f>
        <v>水曜クエスト</v>
      </c>
      <c r="I68" s="18">
        <v>0</v>
      </c>
      <c r="J68" s="5">
        <f>COUNTIF(C$1:C68,C68)</f>
        <v>1</v>
      </c>
      <c r="K68" s="34">
        <v>3</v>
      </c>
      <c r="L68" s="5" t="s">
        <v>17</v>
      </c>
      <c r="M68" s="38" t="str">
        <f>VLOOKUP(K68,[2]stage_hints!$A:$C,3,FALSE)</f>
        <v>ターゲット</v>
      </c>
      <c r="N68" s="39" t="str">
        <f>VLOOKUP(K68,[2]stage_hints!$A:$D,4,FALSE)</f>
        <v>敵ユニットをタップすると
その敵を狙い撃ちできます</v>
      </c>
      <c r="O68" s="20" t="s">
        <v>24</v>
      </c>
      <c r="P68">
        <v>3</v>
      </c>
    </row>
    <row r="69" spans="1:16" x14ac:dyDescent="0.15">
      <c r="A69" s="27" t="str">
        <f t="shared" si="14"/>
        <v>11003_3_2</v>
      </c>
      <c r="B69" s="25" t="s">
        <v>34</v>
      </c>
      <c r="C69" s="4">
        <v>11003</v>
      </c>
      <c r="D69" s="3" t="str">
        <f ca="1">VLOOKUP($C69,OFFSET([1]quests!$A$1,0,0,COUNTA([1]quests!$A:$A),MATCH(D$1,[1]quests!$1:$1,0)-MATCH($C$1,[1]quests!$1:$1,0)+1),MATCH(D$1,[1]quests!$1:$1,0)-MATCH($C$1,[1]quests!$1:$1,0)+1,FALSE)</f>
        <v>【水曜限定】 青の素材</v>
      </c>
      <c r="E69" s="3" t="str">
        <f ca="1">VLOOKUP($C69,OFFSET([1]quests!$A$1,0,0,COUNTA([1]quests!$A:$A),MATCH(E$1,[1]quests!$1:$1,0)-MATCH($C$1,[1]quests!$1:$1,0)+1),MATCH(E$1,[1]quests!$1:$1,0)-MATCH($C$1,[1]quests!$1:$1,0)+1,FALSE)</f>
        <v>水曜クエスト</v>
      </c>
      <c r="F69" s="5">
        <v>3</v>
      </c>
      <c r="G69" s="3" t="str">
        <f ca="1">VLOOKUP($C69&amp;"_"&amp;$F69,OFFSET([1]stages!$A$1,0,0,COUNTA([1]stages!$A:$A),MATCH(G$1,[1]stages!$2:$2,0)-MATCH("temp_stage",[1]stages!$2:$2,0)+1),MATCH(G$1,[1]stages!$2:$2,0)-MATCH("temp_stage",[1]stages!$2:$2,0)+1,FALSE)</f>
        <v>【上級】水のイモムシ</v>
      </c>
      <c r="H69" s="3" t="str">
        <f ca="1">VLOOKUP($C69&amp;"_"&amp;$F69,OFFSET([1]stages!$A$1,0,0,COUNTA([1]stages!$A:$A),MATCH(H$1,[1]stages!$2:$2,0)-MATCH("temp_stage",[1]stages!$2:$2,0)+1),MATCH(H$1,[1]stages!$2:$2,0)-MATCH("temp_stage",[1]stages!$2:$2,0)+1,FALSE)</f>
        <v>水曜クエスト</v>
      </c>
      <c r="I69" s="18">
        <v>0</v>
      </c>
      <c r="J69" s="5">
        <f>COUNTIF(C$1:C69,C69)</f>
        <v>2</v>
      </c>
      <c r="K69" s="34">
        <v>6</v>
      </c>
      <c r="L69" s="5" t="s">
        <v>17</v>
      </c>
      <c r="M69" s="38" t="str">
        <f>VLOOKUP(K69,[2]stage_hints!$A:$C,3,FALSE)</f>
        <v>ユニット強化の属性ボーナス</v>
      </c>
      <c r="N69" s="39" t="str">
        <f>VLOOKUP(K69,[2]stage_hints!$A:$D,4,FALSE)</f>
        <v>同属性ユニットを強化素材にすると
経験値が多くもらえます</v>
      </c>
      <c r="O69" s="20" t="s">
        <v>24</v>
      </c>
      <c r="P69">
        <v>6</v>
      </c>
    </row>
    <row r="70" spans="1:16" x14ac:dyDescent="0.15">
      <c r="A70" s="27" t="str">
        <f t="shared" ref="A70" si="15">C70&amp;"_"&amp;F70&amp;"_"&amp;J70</f>
        <v>11003_3_3</v>
      </c>
      <c r="B70" s="25" t="s">
        <v>34</v>
      </c>
      <c r="C70" s="4">
        <v>11003</v>
      </c>
      <c r="D70" s="3" t="str">
        <f ca="1">VLOOKUP($C70,OFFSET([1]quests!$A$1,0,0,COUNTA([1]quests!$A:$A),MATCH(D$1,[1]quests!$1:$1,0)-MATCH($C$1,[1]quests!$1:$1,0)+1),MATCH(D$1,[1]quests!$1:$1,0)-MATCH($C$1,[1]quests!$1:$1,0)+1,FALSE)</f>
        <v>【水曜限定】 青の素材</v>
      </c>
      <c r="E70" s="3" t="str">
        <f ca="1">VLOOKUP($C70,OFFSET([1]quests!$A$1,0,0,COUNTA([1]quests!$A:$A),MATCH(E$1,[1]quests!$1:$1,0)-MATCH($C$1,[1]quests!$1:$1,0)+1),MATCH(E$1,[1]quests!$1:$1,0)-MATCH($C$1,[1]quests!$1:$1,0)+1,FALSE)</f>
        <v>水曜クエスト</v>
      </c>
      <c r="F70" s="5">
        <v>3</v>
      </c>
      <c r="G70" s="3" t="str">
        <f ca="1">VLOOKUP($C70&amp;"_"&amp;$F70,OFFSET([1]stages!$A$1,0,0,COUNTA([1]stages!$A:$A),MATCH(G$1,[1]stages!$2:$2,0)-MATCH("temp_stage",[1]stages!$2:$2,0)+1),MATCH(G$1,[1]stages!$2:$2,0)-MATCH("temp_stage",[1]stages!$2:$2,0)+1,FALSE)</f>
        <v>【上級】水のイモムシ</v>
      </c>
      <c r="H70" s="3" t="str">
        <f ca="1">VLOOKUP($C70&amp;"_"&amp;$F70,OFFSET([1]stages!$A$1,0,0,COUNTA([1]stages!$A:$A),MATCH(H$1,[1]stages!$2:$2,0)-MATCH("temp_stage",[1]stages!$2:$2,0)+1),MATCH(H$1,[1]stages!$2:$2,0)-MATCH("temp_stage",[1]stages!$2:$2,0)+1,FALSE)</f>
        <v>水曜クエスト</v>
      </c>
      <c r="I70" s="18">
        <v>0</v>
      </c>
      <c r="J70" s="5">
        <f>COUNTIF(C$1:C70,C70)</f>
        <v>3</v>
      </c>
      <c r="K70" s="34">
        <v>7</v>
      </c>
      <c r="L70" s="5" t="s">
        <v>17</v>
      </c>
      <c r="M70" s="38" t="str">
        <f>VLOOKUP(K70,[2]stage_hints!$A:$C,3,FALSE)</f>
        <v>メタルダックで経験値を獲得</v>
      </c>
      <c r="N70" s="39" t="str">
        <f>VLOOKUP(K70,[2]stage_hints!$A:$D,4,FALSE)</f>
        <v>「メタルなアヒル」を強化素材にすると
大量の経験値がもらえます</v>
      </c>
      <c r="O70" s="20" t="s">
        <v>24</v>
      </c>
      <c r="P70">
        <v>7</v>
      </c>
    </row>
    <row r="71" spans="1:16" x14ac:dyDescent="0.15">
      <c r="A71" s="27" t="str">
        <f t="shared" ref="A71" si="16">C71&amp;"_"&amp;F71&amp;"_"&amp;J71</f>
        <v>11003_3_4</v>
      </c>
      <c r="B71" s="25" t="s">
        <v>34</v>
      </c>
      <c r="C71" s="4">
        <v>11003</v>
      </c>
      <c r="D71" s="3" t="str">
        <f ca="1">VLOOKUP($C71,OFFSET([1]quests!$A$1,0,0,COUNTA([1]quests!$A:$A),MATCH(D$1,[1]quests!$1:$1,0)-MATCH($C$1,[1]quests!$1:$1,0)+1),MATCH(D$1,[1]quests!$1:$1,0)-MATCH($C$1,[1]quests!$1:$1,0)+1,FALSE)</f>
        <v>【水曜限定】 青の素材</v>
      </c>
      <c r="E71" s="3" t="str">
        <f ca="1">VLOOKUP($C71,OFFSET([1]quests!$A$1,0,0,COUNTA([1]quests!$A:$A),MATCH(E$1,[1]quests!$1:$1,0)-MATCH($C$1,[1]quests!$1:$1,0)+1),MATCH(E$1,[1]quests!$1:$1,0)-MATCH($C$1,[1]quests!$1:$1,0)+1,FALSE)</f>
        <v>水曜クエスト</v>
      </c>
      <c r="F71" s="5">
        <v>3</v>
      </c>
      <c r="G71" s="3" t="str">
        <f ca="1">VLOOKUP($C71&amp;"_"&amp;$F71,OFFSET([1]stages!$A$1,0,0,COUNTA([1]stages!$A:$A),MATCH(G$1,[1]stages!$2:$2,0)-MATCH("temp_stage",[1]stages!$2:$2,0)+1),MATCH(G$1,[1]stages!$2:$2,0)-MATCH("temp_stage",[1]stages!$2:$2,0)+1,FALSE)</f>
        <v>【上級】水のイモムシ</v>
      </c>
      <c r="H71" s="3" t="str">
        <f ca="1">VLOOKUP($C71&amp;"_"&amp;$F71,OFFSET([1]stages!$A$1,0,0,COUNTA([1]stages!$A:$A),MATCH(H$1,[1]stages!$2:$2,0)-MATCH("temp_stage",[1]stages!$2:$2,0)+1),MATCH(H$1,[1]stages!$2:$2,0)-MATCH("temp_stage",[1]stages!$2:$2,0)+1,FALSE)</f>
        <v>水曜クエスト</v>
      </c>
      <c r="I71" s="18">
        <v>0</v>
      </c>
      <c r="J71" s="5">
        <f>COUNTIF(C$1:C71,C71)</f>
        <v>4</v>
      </c>
      <c r="K71" s="34">
        <v>8</v>
      </c>
      <c r="L71" s="5" t="s">
        <v>17</v>
      </c>
      <c r="M71" s="38" t="str">
        <f>VLOOKUP(K71,[2]stage_hints!$A:$C,3,FALSE)</f>
        <v>ゲリラクエストは要チェック</v>
      </c>
      <c r="N71" s="39" t="str">
        <f>VLOOKUP(K71,[2]stage_hints!$A:$D,4,FALSE)</f>
        <v>時間限定の「アヒル捕獲作戦」では
経験値素材ユニットが多く手に入ります</v>
      </c>
      <c r="O71" s="20" t="s">
        <v>24</v>
      </c>
      <c r="P71">
        <v>8</v>
      </c>
    </row>
    <row r="72" spans="1:16" x14ac:dyDescent="0.15">
      <c r="A72" s="27" t="str">
        <f t="shared" ref="A72:A81" si="17">C72&amp;"_"&amp;F72&amp;"_"&amp;J72</f>
        <v>11003_3_5</v>
      </c>
      <c r="B72" s="25" t="s">
        <v>34</v>
      </c>
      <c r="C72" s="4">
        <v>11003</v>
      </c>
      <c r="D72" s="3" t="str">
        <f ca="1">VLOOKUP($C72,OFFSET([1]quests!$A$1,0,0,COUNTA([1]quests!$A:$A),MATCH(D$1,[1]quests!$1:$1,0)-MATCH($C$1,[1]quests!$1:$1,0)+1),MATCH(D$1,[1]quests!$1:$1,0)-MATCH($C$1,[1]quests!$1:$1,0)+1,FALSE)</f>
        <v>【水曜限定】 青の素材</v>
      </c>
      <c r="E72" s="3" t="str">
        <f ca="1">VLOOKUP($C72,OFFSET([1]quests!$A$1,0,0,COUNTA([1]quests!$A:$A),MATCH(E$1,[1]quests!$1:$1,0)-MATCH($C$1,[1]quests!$1:$1,0)+1),MATCH(E$1,[1]quests!$1:$1,0)-MATCH($C$1,[1]quests!$1:$1,0)+1,FALSE)</f>
        <v>水曜クエスト</v>
      </c>
      <c r="F72" s="5">
        <v>3</v>
      </c>
      <c r="G72" s="3" t="str">
        <f ca="1">VLOOKUP($C72&amp;"_"&amp;$F72,OFFSET([1]stages!$A$1,0,0,COUNTA([1]stages!$A:$A),MATCH(G$1,[1]stages!$2:$2,0)-MATCH("temp_stage",[1]stages!$2:$2,0)+1),MATCH(G$1,[1]stages!$2:$2,0)-MATCH("temp_stage",[1]stages!$2:$2,0)+1,FALSE)</f>
        <v>【上級】水のイモムシ</v>
      </c>
      <c r="H72" s="3" t="str">
        <f ca="1">VLOOKUP($C72&amp;"_"&amp;$F72,OFFSET([1]stages!$A$1,0,0,COUNTA([1]stages!$A:$A),MATCH(H$1,[1]stages!$2:$2,0)-MATCH("temp_stage",[1]stages!$2:$2,0)+1),MATCH(H$1,[1]stages!$2:$2,0)-MATCH("temp_stage",[1]stages!$2:$2,0)+1,FALSE)</f>
        <v>水曜クエスト</v>
      </c>
      <c r="I72" s="18">
        <v>0</v>
      </c>
      <c r="J72" s="5">
        <f>COUNTIF(C$1:C72,C72)</f>
        <v>5</v>
      </c>
      <c r="K72" s="34">
        <v>9</v>
      </c>
      <c r="L72" s="5" t="s">
        <v>17</v>
      </c>
      <c r="M72" s="38" t="str">
        <f>VLOOKUP(K72,[2]stage_hints!$A:$C,3,FALSE)</f>
        <v>ゴールドダックでビットを獲得</v>
      </c>
      <c r="N72" s="39" t="str">
        <f>VLOOKUP(K72,[2]stage_hints!$A:$D,4,FALSE)</f>
        <v>「ゴールドなアヒル」を売却すると
大量のビットがもらえます</v>
      </c>
      <c r="O72" s="20" t="s">
        <v>24</v>
      </c>
      <c r="P72">
        <v>9</v>
      </c>
    </row>
    <row r="73" spans="1:16" x14ac:dyDescent="0.15">
      <c r="A73" s="27" t="str">
        <f t="shared" si="17"/>
        <v>11003_3_6</v>
      </c>
      <c r="B73" s="25" t="s">
        <v>34</v>
      </c>
      <c r="C73" s="4">
        <v>11003</v>
      </c>
      <c r="D73" s="3" t="str">
        <f ca="1">VLOOKUP($C73,OFFSET([1]quests!$A$1,0,0,COUNTA([1]quests!$A:$A),MATCH(D$1,[1]quests!$1:$1,0)-MATCH($C$1,[1]quests!$1:$1,0)+1),MATCH(D$1,[1]quests!$1:$1,0)-MATCH($C$1,[1]quests!$1:$1,0)+1,FALSE)</f>
        <v>【水曜限定】 青の素材</v>
      </c>
      <c r="E73" s="3" t="str">
        <f ca="1">VLOOKUP($C73,OFFSET([1]quests!$A$1,0,0,COUNTA([1]quests!$A:$A),MATCH(E$1,[1]quests!$1:$1,0)-MATCH($C$1,[1]quests!$1:$1,0)+1),MATCH(E$1,[1]quests!$1:$1,0)-MATCH($C$1,[1]quests!$1:$1,0)+1,FALSE)</f>
        <v>水曜クエスト</v>
      </c>
      <c r="F73" s="5">
        <v>3</v>
      </c>
      <c r="G73" s="3" t="str">
        <f ca="1">VLOOKUP($C73&amp;"_"&amp;$F73,OFFSET([1]stages!$A$1,0,0,COUNTA([1]stages!$A:$A),MATCH(G$1,[1]stages!$2:$2,0)-MATCH("temp_stage",[1]stages!$2:$2,0)+1),MATCH(G$1,[1]stages!$2:$2,0)-MATCH("temp_stage",[1]stages!$2:$2,0)+1,FALSE)</f>
        <v>【上級】水のイモムシ</v>
      </c>
      <c r="H73" s="3" t="str">
        <f ca="1">VLOOKUP($C73&amp;"_"&amp;$F73,OFFSET([1]stages!$A$1,0,0,COUNTA([1]stages!$A:$A),MATCH(H$1,[1]stages!$2:$2,0)-MATCH("temp_stage",[1]stages!$2:$2,0)+1),MATCH(H$1,[1]stages!$2:$2,0)-MATCH("temp_stage",[1]stages!$2:$2,0)+1,FALSE)</f>
        <v>水曜クエスト</v>
      </c>
      <c r="I73" s="18">
        <v>0</v>
      </c>
      <c r="J73" s="5">
        <f>COUNTIF(C$1:C73,C73)</f>
        <v>6</v>
      </c>
      <c r="K73" s="34">
        <v>10</v>
      </c>
      <c r="L73" s="5" t="s">
        <v>17</v>
      </c>
      <c r="M73" s="38" t="str">
        <f>VLOOKUP(K73,[2]stage_hints!$A:$C,3,FALSE)</f>
        <v>土日に大量のビットを獲得</v>
      </c>
      <c r="N73" s="39" t="str">
        <f>VLOOKUP(K73,[2]stage_hints!$A:$D,4,FALSE)</f>
        <v>土日限定の「ゴールドカジノ」では
売却素材ユニットが多く手に入ります</v>
      </c>
      <c r="O73" s="20" t="s">
        <v>24</v>
      </c>
      <c r="P73">
        <v>10</v>
      </c>
    </row>
    <row r="74" spans="1:16" x14ac:dyDescent="0.15">
      <c r="A74" s="27" t="str">
        <f t="shared" si="17"/>
        <v>11003_3_7</v>
      </c>
      <c r="B74" s="25" t="s">
        <v>34</v>
      </c>
      <c r="C74" s="4">
        <v>11003</v>
      </c>
      <c r="D74" s="3" t="str">
        <f ca="1">VLOOKUP($C74,OFFSET([1]quests!$A$1,0,0,COUNTA([1]quests!$A:$A),MATCH(D$1,[1]quests!$1:$1,0)-MATCH($C$1,[1]quests!$1:$1,0)+1),MATCH(D$1,[1]quests!$1:$1,0)-MATCH($C$1,[1]quests!$1:$1,0)+1,FALSE)</f>
        <v>【水曜限定】 青の素材</v>
      </c>
      <c r="E74" s="3" t="str">
        <f ca="1">VLOOKUP($C74,OFFSET([1]quests!$A$1,0,0,COUNTA([1]quests!$A:$A),MATCH(E$1,[1]quests!$1:$1,0)-MATCH($C$1,[1]quests!$1:$1,0)+1),MATCH(E$1,[1]quests!$1:$1,0)-MATCH($C$1,[1]quests!$1:$1,0)+1,FALSE)</f>
        <v>水曜クエスト</v>
      </c>
      <c r="F74" s="5">
        <v>3</v>
      </c>
      <c r="G74" s="3" t="str">
        <f ca="1">VLOOKUP($C74&amp;"_"&amp;$F74,OFFSET([1]stages!$A$1,0,0,COUNTA([1]stages!$A:$A),MATCH(G$1,[1]stages!$2:$2,0)-MATCH("temp_stage",[1]stages!$2:$2,0)+1),MATCH(G$1,[1]stages!$2:$2,0)-MATCH("temp_stage",[1]stages!$2:$2,0)+1,FALSE)</f>
        <v>【上級】水のイモムシ</v>
      </c>
      <c r="H74" s="3" t="str">
        <f ca="1">VLOOKUP($C74&amp;"_"&amp;$F74,OFFSET([1]stages!$A$1,0,0,COUNTA([1]stages!$A:$A),MATCH(H$1,[1]stages!$2:$2,0)-MATCH("temp_stage",[1]stages!$2:$2,0)+1),MATCH(H$1,[1]stages!$2:$2,0)-MATCH("temp_stage",[1]stages!$2:$2,0)+1,FALSE)</f>
        <v>水曜クエスト</v>
      </c>
      <c r="I74" s="18">
        <v>0</v>
      </c>
      <c r="J74" s="5">
        <f>COUNTIF(C$1:C74,C74)</f>
        <v>7</v>
      </c>
      <c r="K74" s="34">
        <v>11</v>
      </c>
      <c r="L74" s="5" t="s">
        <v>17</v>
      </c>
      <c r="M74" s="38" t="str">
        <f>VLOOKUP(K74,[2]stage_hints!$A:$C,3,FALSE)</f>
        <v>ランク解放クエスト</v>
      </c>
      <c r="N74" s="39" t="str">
        <f>VLOOKUP(K74,[2]stage_hints!$A:$D,4,FALSE)</f>
        <v>一定ランクに到達すると
報酬付きのランク開放クエストが現れます</v>
      </c>
      <c r="O74" s="20" t="s">
        <v>24</v>
      </c>
      <c r="P74">
        <v>11</v>
      </c>
    </row>
    <row r="75" spans="1:16" x14ac:dyDescent="0.15">
      <c r="A75" s="27" t="str">
        <f t="shared" si="17"/>
        <v>11003_3_8</v>
      </c>
      <c r="B75" s="25" t="s">
        <v>34</v>
      </c>
      <c r="C75" s="4">
        <v>11003</v>
      </c>
      <c r="D75" s="3" t="str">
        <f ca="1">VLOOKUP($C75,OFFSET([1]quests!$A$1,0,0,COUNTA([1]quests!$A:$A),MATCH(D$1,[1]quests!$1:$1,0)-MATCH($C$1,[1]quests!$1:$1,0)+1),MATCH(D$1,[1]quests!$1:$1,0)-MATCH($C$1,[1]quests!$1:$1,0)+1,FALSE)</f>
        <v>【水曜限定】 青の素材</v>
      </c>
      <c r="E75" s="3" t="str">
        <f ca="1">VLOOKUP($C75,OFFSET([1]quests!$A$1,0,0,COUNTA([1]quests!$A:$A),MATCH(E$1,[1]quests!$1:$1,0)-MATCH($C$1,[1]quests!$1:$1,0)+1),MATCH(E$1,[1]quests!$1:$1,0)-MATCH($C$1,[1]quests!$1:$1,0)+1,FALSE)</f>
        <v>水曜クエスト</v>
      </c>
      <c r="F75" s="5">
        <v>3</v>
      </c>
      <c r="G75" s="3" t="str">
        <f ca="1">VLOOKUP($C75&amp;"_"&amp;$F75,OFFSET([1]stages!$A$1,0,0,COUNTA([1]stages!$A:$A),MATCH(G$1,[1]stages!$2:$2,0)-MATCH("temp_stage",[1]stages!$2:$2,0)+1),MATCH(G$1,[1]stages!$2:$2,0)-MATCH("temp_stage",[1]stages!$2:$2,0)+1,FALSE)</f>
        <v>【上級】水のイモムシ</v>
      </c>
      <c r="H75" s="3" t="str">
        <f ca="1">VLOOKUP($C75&amp;"_"&amp;$F75,OFFSET([1]stages!$A$1,0,0,COUNTA([1]stages!$A:$A),MATCH(H$1,[1]stages!$2:$2,0)-MATCH("temp_stage",[1]stages!$2:$2,0)+1),MATCH(H$1,[1]stages!$2:$2,0)-MATCH("temp_stage",[1]stages!$2:$2,0)+1,FALSE)</f>
        <v>水曜クエスト</v>
      </c>
      <c r="I75" s="18">
        <v>0</v>
      </c>
      <c r="J75" s="5">
        <f>COUNTIF(C$1:C75,C75)</f>
        <v>8</v>
      </c>
      <c r="K75" s="34">
        <v>12</v>
      </c>
      <c r="L75" s="5" t="s">
        <v>17</v>
      </c>
      <c r="M75" s="38" t="str">
        <f>VLOOKUP(K75,[2]stage_hints!$A:$C,3,FALSE)</f>
        <v>ユニットのお気に入り登録</v>
      </c>
      <c r="N75" s="39" t="str">
        <f>VLOOKUP(K75,[2]stage_hints!$A:$D,4,FALSE)</f>
        <v>大事なユニットを誤って消さないように
フォルダから「お気に入り登録」しましょう</v>
      </c>
      <c r="O75" s="20" t="s">
        <v>24</v>
      </c>
      <c r="P75">
        <v>12</v>
      </c>
    </row>
    <row r="76" spans="1:16" x14ac:dyDescent="0.15">
      <c r="A76" s="27" t="str">
        <f t="shared" si="17"/>
        <v>11003_3_9</v>
      </c>
      <c r="B76" s="25" t="s">
        <v>34</v>
      </c>
      <c r="C76" s="4">
        <v>11003</v>
      </c>
      <c r="D76" s="3" t="str">
        <f ca="1">VLOOKUP($C76,OFFSET([1]quests!$A$1,0,0,COUNTA([1]quests!$A:$A),MATCH(D$1,[1]quests!$1:$1,0)-MATCH($C$1,[1]quests!$1:$1,0)+1),MATCH(D$1,[1]quests!$1:$1,0)-MATCH($C$1,[1]quests!$1:$1,0)+1,FALSE)</f>
        <v>【水曜限定】 青の素材</v>
      </c>
      <c r="E76" s="3" t="str">
        <f ca="1">VLOOKUP($C76,OFFSET([1]quests!$A$1,0,0,COUNTA([1]quests!$A:$A),MATCH(E$1,[1]quests!$1:$1,0)-MATCH($C$1,[1]quests!$1:$1,0)+1),MATCH(E$1,[1]quests!$1:$1,0)-MATCH($C$1,[1]quests!$1:$1,0)+1,FALSE)</f>
        <v>水曜クエスト</v>
      </c>
      <c r="F76" s="5">
        <v>3</v>
      </c>
      <c r="G76" s="3" t="str">
        <f ca="1">VLOOKUP($C76&amp;"_"&amp;$F76,OFFSET([1]stages!$A$1,0,0,COUNTA([1]stages!$A:$A),MATCH(G$1,[1]stages!$2:$2,0)-MATCH("temp_stage",[1]stages!$2:$2,0)+1),MATCH(G$1,[1]stages!$2:$2,0)-MATCH("temp_stage",[1]stages!$2:$2,0)+1,FALSE)</f>
        <v>【上級】水のイモムシ</v>
      </c>
      <c r="H76" s="3" t="str">
        <f ca="1">VLOOKUP($C76&amp;"_"&amp;$F76,OFFSET([1]stages!$A$1,0,0,COUNTA([1]stages!$A:$A),MATCH(H$1,[1]stages!$2:$2,0)-MATCH("temp_stage",[1]stages!$2:$2,0)+1),MATCH(H$1,[1]stages!$2:$2,0)-MATCH("temp_stage",[1]stages!$2:$2,0)+1,FALSE)</f>
        <v>水曜クエスト</v>
      </c>
      <c r="I76" s="18">
        <v>0</v>
      </c>
      <c r="J76" s="5">
        <f>COUNTIF(C$1:C76,C76)</f>
        <v>9</v>
      </c>
      <c r="K76" s="34">
        <v>13</v>
      </c>
      <c r="L76" s="5" t="s">
        <v>17</v>
      </c>
      <c r="M76" s="38" t="str">
        <f>VLOOKUP(K76,[2]stage_hints!$A:$C,3,FALSE)</f>
        <v>ユニットの覚醒</v>
      </c>
      <c r="N76" s="39" t="str">
        <f>VLOOKUP(K76,[2]stage_hints!$A:$D,4,FALSE)</f>
        <v>ユニットを覚醒させると
比べものにならない強さが手に入ります</v>
      </c>
      <c r="O76" s="20" t="s">
        <v>24</v>
      </c>
      <c r="P76">
        <v>13</v>
      </c>
    </row>
    <row r="77" spans="1:16" x14ac:dyDescent="0.15">
      <c r="A77" s="27" t="str">
        <f t="shared" si="17"/>
        <v>11003_3_10</v>
      </c>
      <c r="B77" s="25" t="s">
        <v>34</v>
      </c>
      <c r="C77" s="4">
        <v>11003</v>
      </c>
      <c r="D77" s="3" t="str">
        <f ca="1">VLOOKUP($C77,OFFSET([1]quests!$A$1,0,0,COUNTA([1]quests!$A:$A),MATCH(D$1,[1]quests!$1:$1,0)-MATCH($C$1,[1]quests!$1:$1,0)+1),MATCH(D$1,[1]quests!$1:$1,0)-MATCH($C$1,[1]quests!$1:$1,0)+1,FALSE)</f>
        <v>【水曜限定】 青の素材</v>
      </c>
      <c r="E77" s="3" t="str">
        <f ca="1">VLOOKUP($C77,OFFSET([1]quests!$A$1,0,0,COUNTA([1]quests!$A:$A),MATCH(E$1,[1]quests!$1:$1,0)-MATCH($C$1,[1]quests!$1:$1,0)+1),MATCH(E$1,[1]quests!$1:$1,0)-MATCH($C$1,[1]quests!$1:$1,0)+1,FALSE)</f>
        <v>水曜クエスト</v>
      </c>
      <c r="F77" s="5">
        <v>3</v>
      </c>
      <c r="G77" s="3" t="str">
        <f ca="1">VLOOKUP($C77&amp;"_"&amp;$F77,OFFSET([1]stages!$A$1,0,0,COUNTA([1]stages!$A:$A),MATCH(G$1,[1]stages!$2:$2,0)-MATCH("temp_stage",[1]stages!$2:$2,0)+1),MATCH(G$1,[1]stages!$2:$2,0)-MATCH("temp_stage",[1]stages!$2:$2,0)+1,FALSE)</f>
        <v>【上級】水のイモムシ</v>
      </c>
      <c r="H77" s="3" t="str">
        <f ca="1">VLOOKUP($C77&amp;"_"&amp;$F77,OFFSET([1]stages!$A$1,0,0,COUNTA([1]stages!$A:$A),MATCH(H$1,[1]stages!$2:$2,0)-MATCH("temp_stage",[1]stages!$2:$2,0)+1),MATCH(H$1,[1]stages!$2:$2,0)-MATCH("temp_stage",[1]stages!$2:$2,0)+1,FALSE)</f>
        <v>水曜クエスト</v>
      </c>
      <c r="I77" s="18">
        <v>0</v>
      </c>
      <c r="J77" s="5">
        <f>COUNTIF(C$1:C77,C77)</f>
        <v>10</v>
      </c>
      <c r="K77" s="34">
        <v>14</v>
      </c>
      <c r="L77" s="5" t="s">
        <v>17</v>
      </c>
      <c r="M77" s="38" t="str">
        <f>VLOOKUP(K77,[2]stage_hints!$A:$C,3,FALSE)</f>
        <v>覚醒するにはレベルを最大に</v>
      </c>
      <c r="N77" s="39" t="str">
        <f>VLOOKUP(K77,[2]stage_hints!$A:$D,4,FALSE)</f>
        <v>覚醒するにはユニットのレベルを
最大まで上げる必要があります</v>
      </c>
      <c r="O77" s="20" t="s">
        <v>24</v>
      </c>
      <c r="P77">
        <v>14</v>
      </c>
    </row>
    <row r="78" spans="1:16" x14ac:dyDescent="0.15">
      <c r="A78" s="27" t="str">
        <f t="shared" si="17"/>
        <v>11003_3_11</v>
      </c>
      <c r="B78" s="25" t="s">
        <v>34</v>
      </c>
      <c r="C78" s="4">
        <v>11003</v>
      </c>
      <c r="D78" s="3" t="str">
        <f ca="1">VLOOKUP($C78,OFFSET([1]quests!$A$1,0,0,COUNTA([1]quests!$A:$A),MATCH(D$1,[1]quests!$1:$1,0)-MATCH($C$1,[1]quests!$1:$1,0)+1),MATCH(D$1,[1]quests!$1:$1,0)-MATCH($C$1,[1]quests!$1:$1,0)+1,FALSE)</f>
        <v>【水曜限定】 青の素材</v>
      </c>
      <c r="E78" s="3" t="str">
        <f ca="1">VLOOKUP($C78,OFFSET([1]quests!$A$1,0,0,COUNTA([1]quests!$A:$A),MATCH(E$1,[1]quests!$1:$1,0)-MATCH($C$1,[1]quests!$1:$1,0)+1),MATCH(E$1,[1]quests!$1:$1,0)-MATCH($C$1,[1]quests!$1:$1,0)+1,FALSE)</f>
        <v>水曜クエスト</v>
      </c>
      <c r="F78" s="5">
        <v>3</v>
      </c>
      <c r="G78" s="3" t="str">
        <f ca="1">VLOOKUP($C78&amp;"_"&amp;$F78,OFFSET([1]stages!$A$1,0,0,COUNTA([1]stages!$A:$A),MATCH(G$1,[1]stages!$2:$2,0)-MATCH("temp_stage",[1]stages!$2:$2,0)+1),MATCH(G$1,[1]stages!$2:$2,0)-MATCH("temp_stage",[1]stages!$2:$2,0)+1,FALSE)</f>
        <v>【上級】水のイモムシ</v>
      </c>
      <c r="H78" s="3" t="str">
        <f ca="1">VLOOKUP($C78&amp;"_"&amp;$F78,OFFSET([1]stages!$A$1,0,0,COUNTA([1]stages!$A:$A),MATCH(H$1,[1]stages!$2:$2,0)-MATCH("temp_stage",[1]stages!$2:$2,0)+1),MATCH(H$1,[1]stages!$2:$2,0)-MATCH("temp_stage",[1]stages!$2:$2,0)+1,FALSE)</f>
        <v>水曜クエスト</v>
      </c>
      <c r="I78" s="18">
        <v>0</v>
      </c>
      <c r="J78" s="5">
        <f>COUNTIF(C$1:C78,C78)</f>
        <v>11</v>
      </c>
      <c r="K78" s="34">
        <v>15</v>
      </c>
      <c r="L78" s="5" t="s">
        <v>17</v>
      </c>
      <c r="M78" s="38" t="str">
        <f>VLOOKUP(K78,[2]stage_hints!$A:$C,3,FALSE)</f>
        <v>覚醒素材を獲得</v>
      </c>
      <c r="N78" s="39" t="str">
        <f>VLOOKUP(K78,[2]stage_hints!$A:$D,4,FALSE)</f>
        <v>「曜日クエスト」では
ユニットの覚醒に必要な素材が手に入ります</v>
      </c>
      <c r="O78" s="20" t="s">
        <v>24</v>
      </c>
      <c r="P78">
        <v>15</v>
      </c>
    </row>
    <row r="79" spans="1:16" x14ac:dyDescent="0.15">
      <c r="A79" s="27" t="str">
        <f t="shared" si="17"/>
        <v>11003_3_12</v>
      </c>
      <c r="B79" s="25" t="s">
        <v>34</v>
      </c>
      <c r="C79" s="4">
        <v>11003</v>
      </c>
      <c r="D79" s="3" t="str">
        <f ca="1">VLOOKUP($C79,OFFSET([1]quests!$A$1,0,0,COUNTA([1]quests!$A:$A),MATCH(D$1,[1]quests!$1:$1,0)-MATCH($C$1,[1]quests!$1:$1,0)+1),MATCH(D$1,[1]quests!$1:$1,0)-MATCH($C$1,[1]quests!$1:$1,0)+1,FALSE)</f>
        <v>【水曜限定】 青の素材</v>
      </c>
      <c r="E79" s="3" t="str">
        <f ca="1">VLOOKUP($C79,OFFSET([1]quests!$A$1,0,0,COUNTA([1]quests!$A:$A),MATCH(E$1,[1]quests!$1:$1,0)-MATCH($C$1,[1]quests!$1:$1,0)+1),MATCH(E$1,[1]quests!$1:$1,0)-MATCH($C$1,[1]quests!$1:$1,0)+1,FALSE)</f>
        <v>水曜クエスト</v>
      </c>
      <c r="F79" s="5">
        <v>3</v>
      </c>
      <c r="G79" s="3" t="str">
        <f ca="1">VLOOKUP($C79&amp;"_"&amp;$F79,OFFSET([1]stages!$A$1,0,0,COUNTA([1]stages!$A:$A),MATCH(G$1,[1]stages!$2:$2,0)-MATCH("temp_stage",[1]stages!$2:$2,0)+1),MATCH(G$1,[1]stages!$2:$2,0)-MATCH("temp_stage",[1]stages!$2:$2,0)+1,FALSE)</f>
        <v>【上級】水のイモムシ</v>
      </c>
      <c r="H79" s="3" t="str">
        <f ca="1">VLOOKUP($C79&amp;"_"&amp;$F79,OFFSET([1]stages!$A$1,0,0,COUNTA([1]stages!$A:$A),MATCH(H$1,[1]stages!$2:$2,0)-MATCH("temp_stage",[1]stages!$2:$2,0)+1),MATCH(H$1,[1]stages!$2:$2,0)-MATCH("temp_stage",[1]stages!$2:$2,0)+1,FALSE)</f>
        <v>水曜クエスト</v>
      </c>
      <c r="I79" s="18">
        <v>0</v>
      </c>
      <c r="J79" s="5">
        <f>COUNTIF(C$1:C79,C79)</f>
        <v>12</v>
      </c>
      <c r="K79" s="34">
        <v>16</v>
      </c>
      <c r="L79" s="5" t="s">
        <v>17</v>
      </c>
      <c r="M79" s="38" t="str">
        <f>VLOOKUP(K79,[2]stage_hints!$A:$C,3,FALSE)</f>
        <v>マルチプレイのメリット（その1）</v>
      </c>
      <c r="N79" s="39" t="str">
        <f>VLOOKUP(K79,[2]stage_hints!$A:$D,4,FALSE)</f>
        <v>他のプレイヤーとマルチプレイで遊ぶと
ポリゴンがもらえます（100人まで）</v>
      </c>
      <c r="O79" s="20" t="s">
        <v>24</v>
      </c>
      <c r="P79">
        <v>16</v>
      </c>
    </row>
    <row r="80" spans="1:16" x14ac:dyDescent="0.15">
      <c r="A80" s="27" t="str">
        <f t="shared" si="17"/>
        <v>11003_3_13</v>
      </c>
      <c r="B80" s="25" t="s">
        <v>34</v>
      </c>
      <c r="C80" s="4">
        <v>11003</v>
      </c>
      <c r="D80" s="3" t="str">
        <f ca="1">VLOOKUP($C80,OFFSET([1]quests!$A$1,0,0,COUNTA([1]quests!$A:$A),MATCH(D$1,[1]quests!$1:$1,0)-MATCH($C$1,[1]quests!$1:$1,0)+1),MATCH(D$1,[1]quests!$1:$1,0)-MATCH($C$1,[1]quests!$1:$1,0)+1,FALSE)</f>
        <v>【水曜限定】 青の素材</v>
      </c>
      <c r="E80" s="3" t="str">
        <f ca="1">VLOOKUP($C80,OFFSET([1]quests!$A$1,0,0,COUNTA([1]quests!$A:$A),MATCH(E$1,[1]quests!$1:$1,0)-MATCH($C$1,[1]quests!$1:$1,0)+1),MATCH(E$1,[1]quests!$1:$1,0)-MATCH($C$1,[1]quests!$1:$1,0)+1,FALSE)</f>
        <v>水曜クエスト</v>
      </c>
      <c r="F80" s="5">
        <v>3</v>
      </c>
      <c r="G80" s="3" t="str">
        <f ca="1">VLOOKUP($C80&amp;"_"&amp;$F80,OFFSET([1]stages!$A$1,0,0,COUNTA([1]stages!$A:$A),MATCH(G$1,[1]stages!$2:$2,0)-MATCH("temp_stage",[1]stages!$2:$2,0)+1),MATCH(G$1,[1]stages!$2:$2,0)-MATCH("temp_stage",[1]stages!$2:$2,0)+1,FALSE)</f>
        <v>【上級】水のイモムシ</v>
      </c>
      <c r="H80" s="3" t="str">
        <f ca="1">VLOOKUP($C80&amp;"_"&amp;$F80,OFFSET([1]stages!$A$1,0,0,COUNTA([1]stages!$A:$A),MATCH(H$1,[1]stages!$2:$2,0)-MATCH("temp_stage",[1]stages!$2:$2,0)+1),MATCH(H$1,[1]stages!$2:$2,0)-MATCH("temp_stage",[1]stages!$2:$2,0)+1,FALSE)</f>
        <v>水曜クエスト</v>
      </c>
      <c r="I80" s="18">
        <v>0</v>
      </c>
      <c r="J80" s="5">
        <f>COUNTIF(C$1:C80,C80)</f>
        <v>13</v>
      </c>
      <c r="K80" s="34">
        <v>17</v>
      </c>
      <c r="L80" s="5" t="s">
        <v>17</v>
      </c>
      <c r="M80" s="38" t="str">
        <f>VLOOKUP(K80,[2]stage_hints!$A:$C,3,FALSE)</f>
        <v>リンクガチャ</v>
      </c>
      <c r="N80" s="39" t="str">
        <f>VLOOKUP(K80,[2]stage_hints!$A:$D,4,FALSE)</f>
        <v>無料のリンクガチャを回して
経験値素材や売却素材を獲得しましょう</v>
      </c>
      <c r="O80" s="20" t="s">
        <v>24</v>
      </c>
      <c r="P80">
        <v>17</v>
      </c>
    </row>
    <row r="81" spans="1:16" x14ac:dyDescent="0.15">
      <c r="A81" s="27" t="str">
        <f t="shared" si="17"/>
        <v>11003_3_14</v>
      </c>
      <c r="B81" s="25" t="s">
        <v>34</v>
      </c>
      <c r="C81" s="4">
        <v>11003</v>
      </c>
      <c r="D81" s="3" t="str">
        <f ca="1">VLOOKUP($C81,OFFSET([1]quests!$A$1,0,0,COUNTA([1]quests!$A:$A),MATCH(D$1,[1]quests!$1:$1,0)-MATCH($C$1,[1]quests!$1:$1,0)+1),MATCH(D$1,[1]quests!$1:$1,0)-MATCH($C$1,[1]quests!$1:$1,0)+1,FALSE)</f>
        <v>【水曜限定】 青の素材</v>
      </c>
      <c r="E81" s="3" t="str">
        <f ca="1">VLOOKUP($C81,OFFSET([1]quests!$A$1,0,0,COUNTA([1]quests!$A:$A),MATCH(E$1,[1]quests!$1:$1,0)-MATCH($C$1,[1]quests!$1:$1,0)+1),MATCH(E$1,[1]quests!$1:$1,0)-MATCH($C$1,[1]quests!$1:$1,0)+1,FALSE)</f>
        <v>水曜クエスト</v>
      </c>
      <c r="F81" s="5">
        <v>3</v>
      </c>
      <c r="G81" s="3" t="str">
        <f ca="1">VLOOKUP($C81&amp;"_"&amp;$F81,OFFSET([1]stages!$A$1,0,0,COUNTA([1]stages!$A:$A),MATCH(G$1,[1]stages!$2:$2,0)-MATCH("temp_stage",[1]stages!$2:$2,0)+1),MATCH(G$1,[1]stages!$2:$2,0)-MATCH("temp_stage",[1]stages!$2:$2,0)+1,FALSE)</f>
        <v>【上級】水のイモムシ</v>
      </c>
      <c r="H81" s="3" t="str">
        <f ca="1">VLOOKUP($C81&amp;"_"&amp;$F81,OFFSET([1]stages!$A$1,0,0,COUNTA([1]stages!$A:$A),MATCH(H$1,[1]stages!$2:$2,0)-MATCH("temp_stage",[1]stages!$2:$2,0)+1),MATCH(H$1,[1]stages!$2:$2,0)-MATCH("temp_stage",[1]stages!$2:$2,0)+1,FALSE)</f>
        <v>水曜クエスト</v>
      </c>
      <c r="I81" s="18">
        <v>0</v>
      </c>
      <c r="J81" s="5">
        <f>COUNTIF(C$1:C81,C81)</f>
        <v>14</v>
      </c>
      <c r="K81" s="34">
        <v>18</v>
      </c>
      <c r="L81" s="5" t="s">
        <v>17</v>
      </c>
      <c r="M81" s="38" t="str">
        <f>VLOOKUP(K81,[2]stage_hints!$A:$C,3,FALSE)</f>
        <v>マルチプレイのメリット（その2）</v>
      </c>
      <c r="N81" s="39" t="str">
        <f>VLOOKUP(K81,[2]stage_hints!$A:$D,4,FALSE)</f>
        <v>マルチプレイならリンクが2倍もらえます
リンクガチャをたくさん回しましょう</v>
      </c>
      <c r="O81" s="20" t="s">
        <v>24</v>
      </c>
      <c r="P81">
        <v>18</v>
      </c>
    </row>
    <row r="82" spans="1:16" x14ac:dyDescent="0.15">
      <c r="A82" s="27" t="str">
        <f t="shared" ref="A82" si="18">C82&amp;"_"&amp;F82&amp;"_"&amp;J82</f>
        <v>11003_3_15</v>
      </c>
      <c r="B82" s="25" t="s">
        <v>34</v>
      </c>
      <c r="C82" s="4">
        <v>11003</v>
      </c>
      <c r="D82" s="3" t="str">
        <f ca="1">VLOOKUP($C82,OFFSET([1]quests!$A$1,0,0,COUNTA([1]quests!$A:$A),MATCH(D$1,[1]quests!$1:$1,0)-MATCH($C$1,[1]quests!$1:$1,0)+1),MATCH(D$1,[1]quests!$1:$1,0)-MATCH($C$1,[1]quests!$1:$1,0)+1,FALSE)</f>
        <v>【水曜限定】 青の素材</v>
      </c>
      <c r="E82" s="3" t="str">
        <f ca="1">VLOOKUP($C82,OFFSET([1]quests!$A$1,0,0,COUNTA([1]quests!$A:$A),MATCH(E$1,[1]quests!$1:$1,0)-MATCH($C$1,[1]quests!$1:$1,0)+1),MATCH(E$1,[1]quests!$1:$1,0)-MATCH($C$1,[1]quests!$1:$1,0)+1,FALSE)</f>
        <v>水曜クエスト</v>
      </c>
      <c r="F82" s="5">
        <v>3</v>
      </c>
      <c r="G82" s="3" t="str">
        <f ca="1">VLOOKUP($C82&amp;"_"&amp;$F82,OFFSET([1]stages!$A$1,0,0,COUNTA([1]stages!$A:$A),MATCH(G$1,[1]stages!$2:$2,0)-MATCH("temp_stage",[1]stages!$2:$2,0)+1),MATCH(G$1,[1]stages!$2:$2,0)-MATCH("temp_stage",[1]stages!$2:$2,0)+1,FALSE)</f>
        <v>【上級】水のイモムシ</v>
      </c>
      <c r="H82" s="3" t="str">
        <f ca="1">VLOOKUP($C82&amp;"_"&amp;$F82,OFFSET([1]stages!$A$1,0,0,COUNTA([1]stages!$A:$A),MATCH(H$1,[1]stages!$2:$2,0)-MATCH("temp_stage",[1]stages!$2:$2,0)+1),MATCH(H$1,[1]stages!$2:$2,0)-MATCH("temp_stage",[1]stages!$2:$2,0)+1,FALSE)</f>
        <v>水曜クエスト</v>
      </c>
      <c r="I82" s="18">
        <v>0</v>
      </c>
      <c r="J82" s="5">
        <f>COUNTIF(C$1:C82,C82)</f>
        <v>15</v>
      </c>
      <c r="K82" s="34">
        <v>19</v>
      </c>
      <c r="L82" s="5" t="s">
        <v>17</v>
      </c>
      <c r="M82" s="38" t="str">
        <f>VLOOKUP(K82,[2]stage_hints!$A:$C,3,FALSE)</f>
        <v>ソロ専用チャレンジタワー</v>
      </c>
      <c r="N82" s="39" t="str">
        <f>VLOOKUP(K82,[2]stage_hints!$A:$D,4,FALSE)</f>
        <v>ソロ専用の「チャレンジタワー」では
各フロアごとにクリア報酬がもらえます</v>
      </c>
      <c r="O82" s="20" t="s">
        <v>24</v>
      </c>
      <c r="P82">
        <v>19</v>
      </c>
    </row>
    <row r="83" spans="1:16" x14ac:dyDescent="0.15">
      <c r="A83" s="27" t="str">
        <f t="shared" ref="A83:A94" si="19">C83&amp;"_"&amp;F83&amp;"_"&amp;J83</f>
        <v>11003_3_16</v>
      </c>
      <c r="B83" s="25" t="s">
        <v>34</v>
      </c>
      <c r="C83" s="4">
        <v>11003</v>
      </c>
      <c r="D83" s="3" t="str">
        <f ca="1">VLOOKUP($C83,OFFSET([1]quests!$A$1,0,0,COUNTA([1]quests!$A:$A),MATCH(D$1,[1]quests!$1:$1,0)-MATCH($C$1,[1]quests!$1:$1,0)+1),MATCH(D$1,[1]quests!$1:$1,0)-MATCH($C$1,[1]quests!$1:$1,0)+1,FALSE)</f>
        <v>【水曜限定】 青の素材</v>
      </c>
      <c r="E83" s="3" t="str">
        <f ca="1">VLOOKUP($C83,OFFSET([1]quests!$A$1,0,0,COUNTA([1]quests!$A:$A),MATCH(E$1,[1]quests!$1:$1,0)-MATCH($C$1,[1]quests!$1:$1,0)+1),MATCH(E$1,[1]quests!$1:$1,0)-MATCH($C$1,[1]quests!$1:$1,0)+1,FALSE)</f>
        <v>水曜クエスト</v>
      </c>
      <c r="F83" s="5">
        <v>3</v>
      </c>
      <c r="G83" s="3" t="str">
        <f ca="1">VLOOKUP($C83&amp;"_"&amp;$F83,OFFSET([1]stages!$A$1,0,0,COUNTA([1]stages!$A:$A),MATCH(G$1,[1]stages!$2:$2,0)-MATCH("temp_stage",[1]stages!$2:$2,0)+1),MATCH(G$1,[1]stages!$2:$2,0)-MATCH("temp_stage",[1]stages!$2:$2,0)+1,FALSE)</f>
        <v>【上級】水のイモムシ</v>
      </c>
      <c r="H83" s="3" t="str">
        <f ca="1">VLOOKUP($C83&amp;"_"&amp;$F83,OFFSET([1]stages!$A$1,0,0,COUNTA([1]stages!$A:$A),MATCH(H$1,[1]stages!$2:$2,0)-MATCH("temp_stage",[1]stages!$2:$2,0)+1),MATCH(H$1,[1]stages!$2:$2,0)-MATCH("temp_stage",[1]stages!$2:$2,0)+1,FALSE)</f>
        <v>水曜クエスト</v>
      </c>
      <c r="I83" s="18">
        <v>0</v>
      </c>
      <c r="J83" s="5">
        <f>COUNTIF(C$1:C83,C83)</f>
        <v>16</v>
      </c>
      <c r="K83" s="34">
        <v>20</v>
      </c>
      <c r="L83" s="5" t="s">
        <v>17</v>
      </c>
      <c r="M83" s="38" t="str">
        <f>VLOOKUP(K83,[2]stage_hints!$A:$C,3,FALSE)</f>
        <v>マルチプレイのメリット（その3）</v>
      </c>
      <c r="N83" s="39" t="str">
        <f>VLOOKUP(K83,[2]stage_hints!$A:$D,4,FALSE)</f>
        <v>マルチプレイへの参加はエナジー消費ゼロ
いつでも好きなだけ遊ぶことができます</v>
      </c>
      <c r="O83" s="20" t="s">
        <v>24</v>
      </c>
      <c r="P83">
        <v>20</v>
      </c>
    </row>
    <row r="84" spans="1:16" x14ac:dyDescent="0.15">
      <c r="A84" s="27" t="str">
        <f t="shared" si="19"/>
        <v>11003_3_17</v>
      </c>
      <c r="B84" s="25" t="s">
        <v>34</v>
      </c>
      <c r="C84" s="4">
        <v>11003</v>
      </c>
      <c r="D84" s="3" t="str">
        <f ca="1">VLOOKUP($C84,OFFSET([1]quests!$A$1,0,0,COUNTA([1]quests!$A:$A),MATCH(D$1,[1]quests!$1:$1,0)-MATCH($C$1,[1]quests!$1:$1,0)+1),MATCH(D$1,[1]quests!$1:$1,0)-MATCH($C$1,[1]quests!$1:$1,0)+1,FALSE)</f>
        <v>【水曜限定】 青の素材</v>
      </c>
      <c r="E84" s="3" t="str">
        <f ca="1">VLOOKUP($C84,OFFSET([1]quests!$A$1,0,0,COUNTA([1]quests!$A:$A),MATCH(E$1,[1]quests!$1:$1,0)-MATCH($C$1,[1]quests!$1:$1,0)+1),MATCH(E$1,[1]quests!$1:$1,0)-MATCH($C$1,[1]quests!$1:$1,0)+1,FALSE)</f>
        <v>水曜クエスト</v>
      </c>
      <c r="F84" s="5">
        <v>3</v>
      </c>
      <c r="G84" s="3" t="str">
        <f ca="1">VLOOKUP($C84&amp;"_"&amp;$F84,OFFSET([1]stages!$A$1,0,0,COUNTA([1]stages!$A:$A),MATCH(G$1,[1]stages!$2:$2,0)-MATCH("temp_stage",[1]stages!$2:$2,0)+1),MATCH(G$1,[1]stages!$2:$2,0)-MATCH("temp_stage",[1]stages!$2:$2,0)+1,FALSE)</f>
        <v>【上級】水のイモムシ</v>
      </c>
      <c r="H84" s="3" t="str">
        <f ca="1">VLOOKUP($C84&amp;"_"&amp;$F84,OFFSET([1]stages!$A$1,0,0,COUNTA([1]stages!$A:$A),MATCH(H$1,[1]stages!$2:$2,0)-MATCH("temp_stage",[1]stages!$2:$2,0)+1),MATCH(H$1,[1]stages!$2:$2,0)-MATCH("temp_stage",[1]stages!$2:$2,0)+1,FALSE)</f>
        <v>水曜クエスト</v>
      </c>
      <c r="I84" s="18">
        <v>0</v>
      </c>
      <c r="J84" s="5">
        <f>COUNTIF(C$1:C84,C84)</f>
        <v>17</v>
      </c>
      <c r="K84" s="34">
        <v>21</v>
      </c>
      <c r="L84" s="5" t="s">
        <v>17</v>
      </c>
      <c r="M84" s="38" t="str">
        <f>VLOOKUP(K84,[2]stage_hints!$A:$C,3,FALSE)</f>
        <v>スキルを有効に</v>
      </c>
      <c r="N84" s="39" t="str">
        <f>VLOOKUP(K84,[2]stage_hints!$A:$D,4,FALSE)</f>
        <v>ターン経過でユニットのスキルが使えます
強力スキルでバトルを有利に進めましょう</v>
      </c>
      <c r="O84" s="20" t="s">
        <v>24</v>
      </c>
      <c r="P84">
        <v>21</v>
      </c>
    </row>
    <row r="85" spans="1:16" x14ac:dyDescent="0.15">
      <c r="A85" s="27" t="str">
        <f t="shared" si="19"/>
        <v>11003_3_18</v>
      </c>
      <c r="B85" s="25" t="s">
        <v>34</v>
      </c>
      <c r="C85" s="4">
        <v>11003</v>
      </c>
      <c r="D85" s="3" t="str">
        <f ca="1">VLOOKUP($C85,OFFSET([1]quests!$A$1,0,0,COUNTA([1]quests!$A:$A),MATCH(D$1,[1]quests!$1:$1,0)-MATCH($C$1,[1]quests!$1:$1,0)+1),MATCH(D$1,[1]quests!$1:$1,0)-MATCH($C$1,[1]quests!$1:$1,0)+1,FALSE)</f>
        <v>【水曜限定】 青の素材</v>
      </c>
      <c r="E85" s="3" t="str">
        <f ca="1">VLOOKUP($C85,OFFSET([1]quests!$A$1,0,0,COUNTA([1]quests!$A:$A),MATCH(E$1,[1]quests!$1:$1,0)-MATCH($C$1,[1]quests!$1:$1,0)+1),MATCH(E$1,[1]quests!$1:$1,0)-MATCH($C$1,[1]quests!$1:$1,0)+1,FALSE)</f>
        <v>水曜クエスト</v>
      </c>
      <c r="F85" s="5">
        <v>3</v>
      </c>
      <c r="G85" s="3" t="str">
        <f ca="1">VLOOKUP($C85&amp;"_"&amp;$F85,OFFSET([1]stages!$A$1,0,0,COUNTA([1]stages!$A:$A),MATCH(G$1,[1]stages!$2:$2,0)-MATCH("temp_stage",[1]stages!$2:$2,0)+1),MATCH(G$1,[1]stages!$2:$2,0)-MATCH("temp_stage",[1]stages!$2:$2,0)+1,FALSE)</f>
        <v>【上級】水のイモムシ</v>
      </c>
      <c r="H85" s="3" t="str">
        <f ca="1">VLOOKUP($C85&amp;"_"&amp;$F85,OFFSET([1]stages!$A$1,0,0,COUNTA([1]stages!$A:$A),MATCH(H$1,[1]stages!$2:$2,0)-MATCH("temp_stage",[1]stages!$2:$2,0)+1),MATCH(H$1,[1]stages!$2:$2,0)-MATCH("temp_stage",[1]stages!$2:$2,0)+1,FALSE)</f>
        <v>水曜クエスト</v>
      </c>
      <c r="I85" s="18">
        <v>0</v>
      </c>
      <c r="J85" s="5">
        <f>COUNTIF(C$1:C85,C85)</f>
        <v>18</v>
      </c>
      <c r="K85" s="34">
        <v>22</v>
      </c>
      <c r="L85" s="5" t="s">
        <v>17</v>
      </c>
      <c r="M85" s="38" t="str">
        <f>VLOOKUP(K85,[2]stage_hints!$A:$C,3,FALSE)</f>
        <v>フィーバーで一発逆転（その1）</v>
      </c>
      <c r="N85" s="39" t="str">
        <f>VLOOKUP(K85,[2]stage_hints!$A:$D,4,FALSE)</f>
        <v>フィーバーは攻撃と回復を兼ね備えます
ピンチからの一発逆転を狙いましょう</v>
      </c>
      <c r="O85" s="20" t="s">
        <v>24</v>
      </c>
      <c r="P85">
        <v>22</v>
      </c>
    </row>
    <row r="86" spans="1:16" x14ac:dyDescent="0.15">
      <c r="A86" s="27" t="str">
        <f t="shared" si="19"/>
        <v>11003_3_19</v>
      </c>
      <c r="B86" s="25" t="s">
        <v>34</v>
      </c>
      <c r="C86" s="4">
        <v>11003</v>
      </c>
      <c r="D86" s="3" t="str">
        <f ca="1">VLOOKUP($C86,OFFSET([1]quests!$A$1,0,0,COUNTA([1]quests!$A:$A),MATCH(D$1,[1]quests!$1:$1,0)-MATCH($C$1,[1]quests!$1:$1,0)+1),MATCH(D$1,[1]quests!$1:$1,0)-MATCH($C$1,[1]quests!$1:$1,0)+1,FALSE)</f>
        <v>【水曜限定】 青の素材</v>
      </c>
      <c r="E86" s="3" t="str">
        <f ca="1">VLOOKUP($C86,OFFSET([1]quests!$A$1,0,0,COUNTA([1]quests!$A:$A),MATCH(E$1,[1]quests!$1:$1,0)-MATCH($C$1,[1]quests!$1:$1,0)+1),MATCH(E$1,[1]quests!$1:$1,0)-MATCH($C$1,[1]quests!$1:$1,0)+1,FALSE)</f>
        <v>水曜クエスト</v>
      </c>
      <c r="F86" s="5">
        <v>3</v>
      </c>
      <c r="G86" s="3" t="str">
        <f ca="1">VLOOKUP($C86&amp;"_"&amp;$F86,OFFSET([1]stages!$A$1,0,0,COUNTA([1]stages!$A:$A),MATCH(G$1,[1]stages!$2:$2,0)-MATCH("temp_stage",[1]stages!$2:$2,0)+1),MATCH(G$1,[1]stages!$2:$2,0)-MATCH("temp_stage",[1]stages!$2:$2,0)+1,FALSE)</f>
        <v>【上級】水のイモムシ</v>
      </c>
      <c r="H86" s="3" t="str">
        <f ca="1">VLOOKUP($C86&amp;"_"&amp;$F86,OFFSET([1]stages!$A$1,0,0,COUNTA([1]stages!$A:$A),MATCH(H$1,[1]stages!$2:$2,0)-MATCH("temp_stage",[1]stages!$2:$2,0)+1),MATCH(H$1,[1]stages!$2:$2,0)-MATCH("temp_stage",[1]stages!$2:$2,0)+1,FALSE)</f>
        <v>水曜クエスト</v>
      </c>
      <c r="I86" s="18">
        <v>0</v>
      </c>
      <c r="J86" s="5">
        <f>COUNTIF(C$1:C86,C86)</f>
        <v>19</v>
      </c>
      <c r="K86" s="34">
        <v>23</v>
      </c>
      <c r="L86" s="5" t="s">
        <v>17</v>
      </c>
      <c r="M86" s="38" t="str">
        <f>VLOOKUP(K86,[2]stage_hints!$A:$C,3,FALSE)</f>
        <v>フィーバーで一発逆転（その2）</v>
      </c>
      <c r="N86" s="39" t="str">
        <f>VLOOKUP(K86,[2]stage_hints!$A:$D,4,FALSE)</f>
        <v>フィーバー中は虹色のボムパネルを狙って
画面上のパネルを一気に破壊しましょう</v>
      </c>
      <c r="O86" s="20" t="s">
        <v>24</v>
      </c>
      <c r="P86">
        <v>23</v>
      </c>
    </row>
    <row r="87" spans="1:16" x14ac:dyDescent="0.15">
      <c r="A87" s="27" t="str">
        <f t="shared" si="19"/>
        <v>11003_3_20</v>
      </c>
      <c r="B87" s="25" t="s">
        <v>34</v>
      </c>
      <c r="C87" s="4">
        <v>11003</v>
      </c>
      <c r="D87" s="3" t="str">
        <f ca="1">VLOOKUP($C87,OFFSET([1]quests!$A$1,0,0,COUNTA([1]quests!$A:$A),MATCH(D$1,[1]quests!$1:$1,0)-MATCH($C$1,[1]quests!$1:$1,0)+1),MATCH(D$1,[1]quests!$1:$1,0)-MATCH($C$1,[1]quests!$1:$1,0)+1,FALSE)</f>
        <v>【水曜限定】 青の素材</v>
      </c>
      <c r="E87" s="3" t="str">
        <f ca="1">VLOOKUP($C87,OFFSET([1]quests!$A$1,0,0,COUNTA([1]quests!$A:$A),MATCH(E$1,[1]quests!$1:$1,0)-MATCH($C$1,[1]quests!$1:$1,0)+1),MATCH(E$1,[1]quests!$1:$1,0)-MATCH($C$1,[1]quests!$1:$1,0)+1,FALSE)</f>
        <v>水曜クエスト</v>
      </c>
      <c r="F87" s="5">
        <v>3</v>
      </c>
      <c r="G87" s="3" t="str">
        <f ca="1">VLOOKUP($C87&amp;"_"&amp;$F87,OFFSET([1]stages!$A$1,0,0,COUNTA([1]stages!$A:$A),MATCH(G$1,[1]stages!$2:$2,0)-MATCH("temp_stage",[1]stages!$2:$2,0)+1),MATCH(G$1,[1]stages!$2:$2,0)-MATCH("temp_stage",[1]stages!$2:$2,0)+1,FALSE)</f>
        <v>【上級】水のイモムシ</v>
      </c>
      <c r="H87" s="3" t="str">
        <f ca="1">VLOOKUP($C87&amp;"_"&amp;$F87,OFFSET([1]stages!$A$1,0,0,COUNTA([1]stages!$A:$A),MATCH(H$1,[1]stages!$2:$2,0)-MATCH("temp_stage",[1]stages!$2:$2,0)+1),MATCH(H$1,[1]stages!$2:$2,0)-MATCH("temp_stage",[1]stages!$2:$2,0)+1,FALSE)</f>
        <v>水曜クエスト</v>
      </c>
      <c r="I87" s="18">
        <v>0</v>
      </c>
      <c r="J87" s="5">
        <f>COUNTIF(C$1:C87,C87)</f>
        <v>20</v>
      </c>
      <c r="K87" s="34">
        <v>24</v>
      </c>
      <c r="L87" s="5" t="s">
        <v>17</v>
      </c>
      <c r="M87" s="38" t="str">
        <f>VLOOKUP(K87,[2]stage_hints!$A:$C,3,FALSE)</f>
        <v>りんごを使って限界突破</v>
      </c>
      <c r="N87" s="39" t="str">
        <f>VLOOKUP(K87,[2]stage_hints!$A:$D,4,FALSE)</f>
        <v>赤りんご(攻撃力) 青りんご(回復力)
緑りんご(体力)をユニット強化に使うと
ステータスが限界突破します（計99個迄）</v>
      </c>
      <c r="O87" s="20" t="s">
        <v>24</v>
      </c>
      <c r="P87">
        <v>24</v>
      </c>
    </row>
    <row r="88" spans="1:16" x14ac:dyDescent="0.15">
      <c r="A88" s="27" t="str">
        <f t="shared" si="19"/>
        <v>11003_3_21</v>
      </c>
      <c r="B88" s="25" t="s">
        <v>34</v>
      </c>
      <c r="C88" s="4">
        <v>11003</v>
      </c>
      <c r="D88" s="3" t="str">
        <f ca="1">VLOOKUP($C88,OFFSET([1]quests!$A$1,0,0,COUNTA([1]quests!$A:$A),MATCH(D$1,[1]quests!$1:$1,0)-MATCH($C$1,[1]quests!$1:$1,0)+1),MATCH(D$1,[1]quests!$1:$1,0)-MATCH($C$1,[1]quests!$1:$1,0)+1,FALSE)</f>
        <v>【水曜限定】 青の素材</v>
      </c>
      <c r="E88" s="3" t="str">
        <f ca="1">VLOOKUP($C88,OFFSET([1]quests!$A$1,0,0,COUNTA([1]quests!$A:$A),MATCH(E$1,[1]quests!$1:$1,0)-MATCH($C$1,[1]quests!$1:$1,0)+1),MATCH(E$1,[1]quests!$1:$1,0)-MATCH($C$1,[1]quests!$1:$1,0)+1,FALSE)</f>
        <v>水曜クエスト</v>
      </c>
      <c r="F88" s="5">
        <v>3</v>
      </c>
      <c r="G88" s="3" t="str">
        <f ca="1">VLOOKUP($C88&amp;"_"&amp;$F88,OFFSET([1]stages!$A$1,0,0,COUNTA([1]stages!$A:$A),MATCH(G$1,[1]stages!$2:$2,0)-MATCH("temp_stage",[1]stages!$2:$2,0)+1),MATCH(G$1,[1]stages!$2:$2,0)-MATCH("temp_stage",[1]stages!$2:$2,0)+1,FALSE)</f>
        <v>【上級】水のイモムシ</v>
      </c>
      <c r="H88" s="3" t="str">
        <f ca="1">VLOOKUP($C88&amp;"_"&amp;$F88,OFFSET([1]stages!$A$1,0,0,COUNTA([1]stages!$A:$A),MATCH(H$1,[1]stages!$2:$2,0)-MATCH("temp_stage",[1]stages!$2:$2,0)+1),MATCH(H$1,[1]stages!$2:$2,0)-MATCH("temp_stage",[1]stages!$2:$2,0)+1,FALSE)</f>
        <v>水曜クエスト</v>
      </c>
      <c r="I88" s="18">
        <v>0</v>
      </c>
      <c r="J88" s="5">
        <f>COUNTIF(C$1:C88,C88)</f>
        <v>21</v>
      </c>
      <c r="K88" s="34">
        <v>25</v>
      </c>
      <c r="L88" s="5" t="s">
        <v>17</v>
      </c>
      <c r="M88" s="38" t="str">
        <f>VLOOKUP(K88,[2]stage_hints!$A:$C,3,FALSE)</f>
        <v>スキルレベルアップ</v>
      </c>
      <c r="N88" s="39" t="str">
        <f>VLOOKUP(K88,[2]stage_hints!$A:$D,4,FALSE)</f>
        <v>「クリスタルのりんご」を強化に使うと
スキルレベルを上げることができます</v>
      </c>
      <c r="O88" s="20" t="s">
        <v>24</v>
      </c>
      <c r="P88">
        <v>25</v>
      </c>
    </row>
    <row r="89" spans="1:16" x14ac:dyDescent="0.15">
      <c r="A89" s="27" t="str">
        <f t="shared" si="19"/>
        <v>11003_3_22</v>
      </c>
      <c r="B89" s="25" t="s">
        <v>34</v>
      </c>
      <c r="C89" s="4">
        <v>11003</v>
      </c>
      <c r="D89" s="3" t="str">
        <f ca="1">VLOOKUP($C89,OFFSET([1]quests!$A$1,0,0,COUNTA([1]quests!$A:$A),MATCH(D$1,[1]quests!$1:$1,0)-MATCH($C$1,[1]quests!$1:$1,0)+1),MATCH(D$1,[1]quests!$1:$1,0)-MATCH($C$1,[1]quests!$1:$1,0)+1,FALSE)</f>
        <v>【水曜限定】 青の素材</v>
      </c>
      <c r="E89" s="3" t="str">
        <f ca="1">VLOOKUP($C89,OFFSET([1]quests!$A$1,0,0,COUNTA([1]quests!$A:$A),MATCH(E$1,[1]quests!$1:$1,0)-MATCH($C$1,[1]quests!$1:$1,0)+1),MATCH(E$1,[1]quests!$1:$1,0)-MATCH($C$1,[1]quests!$1:$1,0)+1,FALSE)</f>
        <v>水曜クエスト</v>
      </c>
      <c r="F89" s="5">
        <v>3</v>
      </c>
      <c r="G89" s="3" t="str">
        <f ca="1">VLOOKUP($C89&amp;"_"&amp;$F89,OFFSET([1]stages!$A$1,0,0,COUNTA([1]stages!$A:$A),MATCH(G$1,[1]stages!$2:$2,0)-MATCH("temp_stage",[1]stages!$2:$2,0)+1),MATCH(G$1,[1]stages!$2:$2,0)-MATCH("temp_stage",[1]stages!$2:$2,0)+1,FALSE)</f>
        <v>【上級】水のイモムシ</v>
      </c>
      <c r="H89" s="3" t="str">
        <f ca="1">VLOOKUP($C89&amp;"_"&amp;$F89,OFFSET([1]stages!$A$1,0,0,COUNTA([1]stages!$A:$A),MATCH(H$1,[1]stages!$2:$2,0)-MATCH("temp_stage",[1]stages!$2:$2,0)+1),MATCH(H$1,[1]stages!$2:$2,0)-MATCH("temp_stage",[1]stages!$2:$2,0)+1,FALSE)</f>
        <v>水曜クエスト</v>
      </c>
      <c r="I89" s="18">
        <v>0</v>
      </c>
      <c r="J89" s="5">
        <f>COUNTIF(C$1:C89,C89)</f>
        <v>22</v>
      </c>
      <c r="K89" s="34">
        <v>26</v>
      </c>
      <c r="L89" s="5" t="s">
        <v>17</v>
      </c>
      <c r="M89" s="38" t="str">
        <f>VLOOKUP(K89,[2]stage_hints!$A:$C,3,FALSE)</f>
        <v>スキルレベルの効果</v>
      </c>
      <c r="N89" s="39" t="str">
        <f>VLOOKUP(K89,[2]stage_hints!$A:$D,4,FALSE)</f>
        <v>スキルレベルが上がると
短いターンでスキルを使うことができます</v>
      </c>
      <c r="O89" s="20" t="s">
        <v>24</v>
      </c>
      <c r="P89">
        <v>26</v>
      </c>
    </row>
    <row r="90" spans="1:16" x14ac:dyDescent="0.15">
      <c r="A90" s="27" t="str">
        <f t="shared" si="19"/>
        <v>11003_3_23</v>
      </c>
      <c r="B90" s="25" t="s">
        <v>34</v>
      </c>
      <c r="C90" s="4">
        <v>11003</v>
      </c>
      <c r="D90" s="3" t="str">
        <f ca="1">VLOOKUP($C90,OFFSET([1]quests!$A$1,0,0,COUNTA([1]quests!$A:$A),MATCH(D$1,[1]quests!$1:$1,0)-MATCH($C$1,[1]quests!$1:$1,0)+1),MATCH(D$1,[1]quests!$1:$1,0)-MATCH($C$1,[1]quests!$1:$1,0)+1,FALSE)</f>
        <v>【水曜限定】 青の素材</v>
      </c>
      <c r="E90" s="3" t="str">
        <f ca="1">VLOOKUP($C90,OFFSET([1]quests!$A$1,0,0,COUNTA([1]quests!$A:$A),MATCH(E$1,[1]quests!$1:$1,0)-MATCH($C$1,[1]quests!$1:$1,0)+1),MATCH(E$1,[1]quests!$1:$1,0)-MATCH($C$1,[1]quests!$1:$1,0)+1,FALSE)</f>
        <v>水曜クエスト</v>
      </c>
      <c r="F90" s="5">
        <v>3</v>
      </c>
      <c r="G90" s="3" t="str">
        <f ca="1">VLOOKUP($C90&amp;"_"&amp;$F90,OFFSET([1]stages!$A$1,0,0,COUNTA([1]stages!$A:$A),MATCH(G$1,[1]stages!$2:$2,0)-MATCH("temp_stage",[1]stages!$2:$2,0)+1),MATCH(G$1,[1]stages!$2:$2,0)-MATCH("temp_stage",[1]stages!$2:$2,0)+1,FALSE)</f>
        <v>【上級】水のイモムシ</v>
      </c>
      <c r="H90" s="3" t="str">
        <f ca="1">VLOOKUP($C90&amp;"_"&amp;$F90,OFFSET([1]stages!$A$1,0,0,COUNTA([1]stages!$A:$A),MATCH(H$1,[1]stages!$2:$2,0)-MATCH("temp_stage",[1]stages!$2:$2,0)+1),MATCH(H$1,[1]stages!$2:$2,0)-MATCH("temp_stage",[1]stages!$2:$2,0)+1,FALSE)</f>
        <v>水曜クエスト</v>
      </c>
      <c r="I90" s="18">
        <v>0</v>
      </c>
      <c r="J90" s="5">
        <f>COUNTIF(C$1:C90,C90)</f>
        <v>23</v>
      </c>
      <c r="K90" s="34">
        <v>27</v>
      </c>
      <c r="L90" s="5" t="s">
        <v>17</v>
      </c>
      <c r="M90" s="38" t="str">
        <f>VLOOKUP(K90,[2]stage_hints!$A:$C,3,FALSE)</f>
        <v>ホーム画面からデッキを編成</v>
      </c>
      <c r="N90" s="39" t="str">
        <f>VLOOKUP(K90,[2]stage_hints!$A:$D,4,FALSE)</f>
        <v>ホーム画面でユニットを長押しすると
すぐにパーティ編成に移動できます</v>
      </c>
      <c r="O90" s="20" t="s">
        <v>24</v>
      </c>
      <c r="P90">
        <v>27</v>
      </c>
    </row>
    <row r="91" spans="1:16" x14ac:dyDescent="0.15">
      <c r="A91" s="27" t="str">
        <f t="shared" si="19"/>
        <v>11003_3_24</v>
      </c>
      <c r="B91" s="25" t="s">
        <v>34</v>
      </c>
      <c r="C91" s="4">
        <v>11003</v>
      </c>
      <c r="D91" s="3" t="str">
        <f ca="1">VLOOKUP($C91,OFFSET([1]quests!$A$1,0,0,COUNTA([1]quests!$A:$A),MATCH(D$1,[1]quests!$1:$1,0)-MATCH($C$1,[1]quests!$1:$1,0)+1),MATCH(D$1,[1]quests!$1:$1,0)-MATCH($C$1,[1]quests!$1:$1,0)+1,FALSE)</f>
        <v>【水曜限定】 青の素材</v>
      </c>
      <c r="E91" s="3" t="str">
        <f ca="1">VLOOKUP($C91,OFFSET([1]quests!$A$1,0,0,COUNTA([1]quests!$A:$A),MATCH(E$1,[1]quests!$1:$1,0)-MATCH($C$1,[1]quests!$1:$1,0)+1),MATCH(E$1,[1]quests!$1:$1,0)-MATCH($C$1,[1]quests!$1:$1,0)+1,FALSE)</f>
        <v>水曜クエスト</v>
      </c>
      <c r="F91" s="5">
        <v>3</v>
      </c>
      <c r="G91" s="3" t="str">
        <f ca="1">VLOOKUP($C91&amp;"_"&amp;$F91,OFFSET([1]stages!$A$1,0,0,COUNTA([1]stages!$A:$A),MATCH(G$1,[1]stages!$2:$2,0)-MATCH("temp_stage",[1]stages!$2:$2,0)+1),MATCH(G$1,[1]stages!$2:$2,0)-MATCH("temp_stage",[1]stages!$2:$2,0)+1,FALSE)</f>
        <v>【上級】水のイモムシ</v>
      </c>
      <c r="H91" s="3" t="str">
        <f ca="1">VLOOKUP($C91&amp;"_"&amp;$F91,OFFSET([1]stages!$A$1,0,0,COUNTA([1]stages!$A:$A),MATCH(H$1,[1]stages!$2:$2,0)-MATCH("temp_stage",[1]stages!$2:$2,0)+1),MATCH(H$1,[1]stages!$2:$2,0)-MATCH("temp_stage",[1]stages!$2:$2,0)+1,FALSE)</f>
        <v>水曜クエスト</v>
      </c>
      <c r="I91" s="18">
        <v>0</v>
      </c>
      <c r="J91" s="5">
        <f>COUNTIF(C$1:C91,C91)</f>
        <v>24</v>
      </c>
      <c r="K91" s="34">
        <v>28</v>
      </c>
      <c r="L91" s="5" t="s">
        <v>17</v>
      </c>
      <c r="M91" s="38" t="str">
        <f>VLOOKUP(K91,[2]stage_hints!$A:$C,3,FALSE)</f>
        <v>ステータス情報は長押しで</v>
      </c>
      <c r="N91" s="39" t="str">
        <f>VLOOKUP(K91,[2]stage_hints!$A:$D,4,FALSE)</f>
        <v>ユニットのアイコンを長押しすると
ステータス情報を確認することができます</v>
      </c>
      <c r="O91" s="20" t="s">
        <v>24</v>
      </c>
      <c r="P91">
        <v>28</v>
      </c>
    </row>
    <row r="92" spans="1:16" x14ac:dyDescent="0.15">
      <c r="A92" s="27" t="str">
        <f t="shared" si="19"/>
        <v>11003_3_25</v>
      </c>
      <c r="B92" s="25" t="s">
        <v>34</v>
      </c>
      <c r="C92" s="4">
        <v>11003</v>
      </c>
      <c r="D92" s="3" t="str">
        <f ca="1">VLOOKUP($C92,OFFSET([1]quests!$A$1,0,0,COUNTA([1]quests!$A:$A),MATCH(D$1,[1]quests!$1:$1,0)-MATCH($C$1,[1]quests!$1:$1,0)+1),MATCH(D$1,[1]quests!$1:$1,0)-MATCH($C$1,[1]quests!$1:$1,0)+1,FALSE)</f>
        <v>【水曜限定】 青の素材</v>
      </c>
      <c r="E92" s="3" t="str">
        <f ca="1">VLOOKUP($C92,OFFSET([1]quests!$A$1,0,0,COUNTA([1]quests!$A:$A),MATCH(E$1,[1]quests!$1:$1,0)-MATCH($C$1,[1]quests!$1:$1,0)+1),MATCH(E$1,[1]quests!$1:$1,0)-MATCH($C$1,[1]quests!$1:$1,0)+1,FALSE)</f>
        <v>水曜クエスト</v>
      </c>
      <c r="F92" s="5">
        <v>3</v>
      </c>
      <c r="G92" s="3" t="str">
        <f ca="1">VLOOKUP($C92&amp;"_"&amp;$F92,OFFSET([1]stages!$A$1,0,0,COUNTA([1]stages!$A:$A),MATCH(G$1,[1]stages!$2:$2,0)-MATCH("temp_stage",[1]stages!$2:$2,0)+1),MATCH(G$1,[1]stages!$2:$2,0)-MATCH("temp_stage",[1]stages!$2:$2,0)+1,FALSE)</f>
        <v>【上級】水のイモムシ</v>
      </c>
      <c r="H92" s="3" t="str">
        <f ca="1">VLOOKUP($C92&amp;"_"&amp;$F92,OFFSET([1]stages!$A$1,0,0,COUNTA([1]stages!$A:$A),MATCH(H$1,[1]stages!$2:$2,0)-MATCH("temp_stage",[1]stages!$2:$2,0)+1),MATCH(H$1,[1]stages!$2:$2,0)-MATCH("temp_stage",[1]stages!$2:$2,0)+1,FALSE)</f>
        <v>水曜クエスト</v>
      </c>
      <c r="I92" s="18">
        <v>0</v>
      </c>
      <c r="J92" s="5">
        <f>COUNTIF(C$1:C92,C92)</f>
        <v>25</v>
      </c>
      <c r="K92" s="34">
        <v>29</v>
      </c>
      <c r="L92" s="5" t="s">
        <v>17</v>
      </c>
      <c r="M92" s="38" t="str">
        <f>VLOOKUP(K92,[2]stage_hints!$A:$C,3,FALSE)</f>
        <v>「バグ」のメリット</v>
      </c>
      <c r="N92" s="39" t="str">
        <f>VLOOKUP(K92,[2]stage_hints!$A:$D,4,FALSE)</f>
        <v>ユニットの「バグ」を増やすと
報酬をもらえる確率がアップします</v>
      </c>
      <c r="O92" s="20" t="s">
        <v>24</v>
      </c>
      <c r="P92">
        <v>29</v>
      </c>
    </row>
    <row r="93" spans="1:16" x14ac:dyDescent="0.15">
      <c r="A93" s="27" t="str">
        <f t="shared" si="19"/>
        <v>11003_3_26</v>
      </c>
      <c r="B93" s="25" t="s">
        <v>34</v>
      </c>
      <c r="C93" s="4">
        <v>11003</v>
      </c>
      <c r="D93" s="3" t="str">
        <f ca="1">VLOOKUP($C93,OFFSET([1]quests!$A$1,0,0,COUNTA([1]quests!$A:$A),MATCH(D$1,[1]quests!$1:$1,0)-MATCH($C$1,[1]quests!$1:$1,0)+1),MATCH(D$1,[1]quests!$1:$1,0)-MATCH($C$1,[1]quests!$1:$1,0)+1,FALSE)</f>
        <v>【水曜限定】 青の素材</v>
      </c>
      <c r="E93" s="3" t="str">
        <f ca="1">VLOOKUP($C93,OFFSET([1]quests!$A$1,0,0,COUNTA([1]quests!$A:$A),MATCH(E$1,[1]quests!$1:$1,0)-MATCH($C$1,[1]quests!$1:$1,0)+1),MATCH(E$1,[1]quests!$1:$1,0)-MATCH($C$1,[1]quests!$1:$1,0)+1,FALSE)</f>
        <v>水曜クエスト</v>
      </c>
      <c r="F93" s="5">
        <v>3</v>
      </c>
      <c r="G93" s="3" t="str">
        <f ca="1">VLOOKUP($C93&amp;"_"&amp;$F93,OFFSET([1]stages!$A$1,0,0,COUNTA([1]stages!$A:$A),MATCH(G$1,[1]stages!$2:$2,0)-MATCH("temp_stage",[1]stages!$2:$2,0)+1),MATCH(G$1,[1]stages!$2:$2,0)-MATCH("temp_stage",[1]stages!$2:$2,0)+1,FALSE)</f>
        <v>【上級】水のイモムシ</v>
      </c>
      <c r="H93" s="3" t="str">
        <f ca="1">VLOOKUP($C93&amp;"_"&amp;$F93,OFFSET([1]stages!$A$1,0,0,COUNTA([1]stages!$A:$A),MATCH(H$1,[1]stages!$2:$2,0)-MATCH("temp_stage",[1]stages!$2:$2,0)+1),MATCH(H$1,[1]stages!$2:$2,0)-MATCH("temp_stage",[1]stages!$2:$2,0)+1,FALSE)</f>
        <v>水曜クエスト</v>
      </c>
      <c r="I93" s="18">
        <v>0</v>
      </c>
      <c r="J93" s="5">
        <f>COUNTIF(C$1:C93,C93)</f>
        <v>26</v>
      </c>
      <c r="K93" s="34">
        <v>30</v>
      </c>
      <c r="L93" s="5" t="s">
        <v>17</v>
      </c>
      <c r="M93" s="38" t="str">
        <f>VLOOKUP(K93,[2]stage_hints!$A:$C,3,FALSE)</f>
        <v>「バグ」の増やし方</v>
      </c>
      <c r="N93" s="39" t="str">
        <f>VLOOKUP(K93,[2]stage_hints!$A:$D,4,FALSE)</f>
        <v>同じユニット同士を強化で合成すると
「バグ」を増やすことができます</v>
      </c>
      <c r="O93" s="20" t="s">
        <v>24</v>
      </c>
      <c r="P93">
        <v>30</v>
      </c>
    </row>
    <row r="94" spans="1:16" x14ac:dyDescent="0.15">
      <c r="A94" s="27" t="str">
        <f t="shared" si="19"/>
        <v>11003_3_27</v>
      </c>
      <c r="B94" s="25" t="s">
        <v>34</v>
      </c>
      <c r="C94" s="4">
        <v>11003</v>
      </c>
      <c r="D94" s="3" t="str">
        <f ca="1">VLOOKUP($C94,OFFSET([1]quests!$A$1,0,0,COUNTA([1]quests!$A:$A),MATCH(D$1,[1]quests!$1:$1,0)-MATCH($C$1,[1]quests!$1:$1,0)+1),MATCH(D$1,[1]quests!$1:$1,0)-MATCH($C$1,[1]quests!$1:$1,0)+1,FALSE)</f>
        <v>【水曜限定】 青の素材</v>
      </c>
      <c r="E94" s="3" t="str">
        <f ca="1">VLOOKUP($C94,OFFSET([1]quests!$A$1,0,0,COUNTA([1]quests!$A:$A),MATCH(E$1,[1]quests!$1:$1,0)-MATCH($C$1,[1]quests!$1:$1,0)+1),MATCH(E$1,[1]quests!$1:$1,0)-MATCH($C$1,[1]quests!$1:$1,0)+1,FALSE)</f>
        <v>水曜クエスト</v>
      </c>
      <c r="F94" s="5">
        <v>3</v>
      </c>
      <c r="G94" s="3" t="str">
        <f ca="1">VLOOKUP($C94&amp;"_"&amp;$F94,OFFSET([1]stages!$A$1,0,0,COUNTA([1]stages!$A:$A),MATCH(G$1,[1]stages!$2:$2,0)-MATCH("temp_stage",[1]stages!$2:$2,0)+1),MATCH(G$1,[1]stages!$2:$2,0)-MATCH("temp_stage",[1]stages!$2:$2,0)+1,FALSE)</f>
        <v>【上級】水のイモムシ</v>
      </c>
      <c r="H94" s="3" t="str">
        <f ca="1">VLOOKUP($C94&amp;"_"&amp;$F94,OFFSET([1]stages!$A$1,0,0,COUNTA([1]stages!$A:$A),MATCH(H$1,[1]stages!$2:$2,0)-MATCH("temp_stage",[1]stages!$2:$2,0)+1),MATCH(H$1,[1]stages!$2:$2,0)-MATCH("temp_stage",[1]stages!$2:$2,0)+1,FALSE)</f>
        <v>水曜クエスト</v>
      </c>
      <c r="I94" s="18">
        <v>0</v>
      </c>
      <c r="J94" s="5">
        <f>COUNTIF(C$1:C94,C94)</f>
        <v>27</v>
      </c>
      <c r="K94" s="34">
        <v>31</v>
      </c>
      <c r="L94" s="5" t="s">
        <v>17</v>
      </c>
      <c r="M94" s="38" t="str">
        <f>VLOOKUP(K94,[2]stage_hints!$A:$C,3,FALSE)</f>
        <v>イベントはお知らせでチェック</v>
      </c>
      <c r="N94" s="39" t="str">
        <f>VLOOKUP(K94,[2]stage_hints!$A:$D,4,FALSE)</f>
        <v>イベント限定ユニットを取り忘れないように
お知らせをこまめにチェックしましょう</v>
      </c>
      <c r="O94" s="20" t="s">
        <v>24</v>
      </c>
      <c r="P94">
        <v>31</v>
      </c>
    </row>
    <row r="95" spans="1:16" x14ac:dyDescent="0.15">
      <c r="A95" s="27" t="str">
        <f t="shared" ref="A95" si="20">C95&amp;"_"&amp;F95&amp;"_"&amp;J95</f>
        <v>11003_3_28</v>
      </c>
      <c r="B95" s="25" t="s">
        <v>34</v>
      </c>
      <c r="C95" s="4">
        <v>11003</v>
      </c>
      <c r="D95" s="3" t="str">
        <f ca="1">VLOOKUP($C95,OFFSET([1]quests!$A$1,0,0,COUNTA([1]quests!$A:$A),MATCH(D$1,[1]quests!$1:$1,0)-MATCH($C$1,[1]quests!$1:$1,0)+1),MATCH(D$1,[1]quests!$1:$1,0)-MATCH($C$1,[1]quests!$1:$1,0)+1,FALSE)</f>
        <v>【水曜限定】 青の素材</v>
      </c>
      <c r="E95" s="3" t="str">
        <f ca="1">VLOOKUP($C95,OFFSET([1]quests!$A$1,0,0,COUNTA([1]quests!$A:$A),MATCH(E$1,[1]quests!$1:$1,0)-MATCH($C$1,[1]quests!$1:$1,0)+1),MATCH(E$1,[1]quests!$1:$1,0)-MATCH($C$1,[1]quests!$1:$1,0)+1,FALSE)</f>
        <v>水曜クエスト</v>
      </c>
      <c r="F95" s="5">
        <v>3</v>
      </c>
      <c r="G95" s="3" t="str">
        <f ca="1">VLOOKUP($C95&amp;"_"&amp;$F95,OFFSET([1]stages!$A$1,0,0,COUNTA([1]stages!$A:$A),MATCH(G$1,[1]stages!$2:$2,0)-MATCH("temp_stage",[1]stages!$2:$2,0)+1),MATCH(G$1,[1]stages!$2:$2,0)-MATCH("temp_stage",[1]stages!$2:$2,0)+1,FALSE)</f>
        <v>【上級】水のイモムシ</v>
      </c>
      <c r="H95" s="3" t="str">
        <f ca="1">VLOOKUP($C95&amp;"_"&amp;$F95,OFFSET([1]stages!$A$1,0,0,COUNTA([1]stages!$A:$A),MATCH(H$1,[1]stages!$2:$2,0)-MATCH("temp_stage",[1]stages!$2:$2,0)+1),MATCH(H$1,[1]stages!$2:$2,0)-MATCH("temp_stage",[1]stages!$2:$2,0)+1,FALSE)</f>
        <v>水曜クエスト</v>
      </c>
      <c r="I95" s="18">
        <v>0</v>
      </c>
      <c r="J95" s="5">
        <f>COUNTIF(C$1:C95,C95)</f>
        <v>28</v>
      </c>
      <c r="K95" s="34">
        <v>32</v>
      </c>
      <c r="L95" s="5" t="s">
        <v>17</v>
      </c>
      <c r="M95" s="38" t="str">
        <f>VLOOKUP(K95,[2]stage_hints!$A:$C,3,FALSE)</f>
        <v>敵の連続攻撃には</v>
      </c>
      <c r="N95" s="39" t="str">
        <f>VLOOKUP(K95,[2]stage_hints!$A:$D,4,FALSE)</f>
        <v>カウンタースキルを持つユニットがいれば
ダメージ回数分の反撃ができます</v>
      </c>
      <c r="O95" s="20" t="s">
        <v>24</v>
      </c>
      <c r="P95">
        <v>32</v>
      </c>
    </row>
    <row r="96" spans="1:16" x14ac:dyDescent="0.15">
      <c r="A96" s="27" t="str">
        <f t="shared" ref="A96:A108" si="21">C96&amp;"_"&amp;F96&amp;"_"&amp;J96</f>
        <v>11003_3_29</v>
      </c>
      <c r="B96" s="25" t="s">
        <v>34</v>
      </c>
      <c r="C96" s="4">
        <v>11003</v>
      </c>
      <c r="D96" s="3" t="str">
        <f ca="1">VLOOKUP($C96,OFFSET([1]quests!$A$1,0,0,COUNTA([1]quests!$A:$A),MATCH(D$1,[1]quests!$1:$1,0)-MATCH($C$1,[1]quests!$1:$1,0)+1),MATCH(D$1,[1]quests!$1:$1,0)-MATCH($C$1,[1]quests!$1:$1,0)+1,FALSE)</f>
        <v>【水曜限定】 青の素材</v>
      </c>
      <c r="E96" s="3" t="str">
        <f ca="1">VLOOKUP($C96,OFFSET([1]quests!$A$1,0,0,COUNTA([1]quests!$A:$A),MATCH(E$1,[1]quests!$1:$1,0)-MATCH($C$1,[1]quests!$1:$1,0)+1),MATCH(E$1,[1]quests!$1:$1,0)-MATCH($C$1,[1]quests!$1:$1,0)+1,FALSE)</f>
        <v>水曜クエスト</v>
      </c>
      <c r="F96" s="5">
        <v>3</v>
      </c>
      <c r="G96" s="3" t="str">
        <f ca="1">VLOOKUP($C96&amp;"_"&amp;$F96,OFFSET([1]stages!$A$1,0,0,COUNTA([1]stages!$A:$A),MATCH(G$1,[1]stages!$2:$2,0)-MATCH("temp_stage",[1]stages!$2:$2,0)+1),MATCH(G$1,[1]stages!$2:$2,0)-MATCH("temp_stage",[1]stages!$2:$2,0)+1,FALSE)</f>
        <v>【上級】水のイモムシ</v>
      </c>
      <c r="H96" s="3" t="str">
        <f ca="1">VLOOKUP($C96&amp;"_"&amp;$F96,OFFSET([1]stages!$A$1,0,0,COUNTA([1]stages!$A:$A),MATCH(H$1,[1]stages!$2:$2,0)-MATCH("temp_stage",[1]stages!$2:$2,0)+1),MATCH(H$1,[1]stages!$2:$2,0)-MATCH("temp_stage",[1]stages!$2:$2,0)+1,FALSE)</f>
        <v>水曜クエスト</v>
      </c>
      <c r="I96" s="18">
        <v>0</v>
      </c>
      <c r="J96" s="5">
        <f>COUNTIF(C$1:C96,C96)</f>
        <v>29</v>
      </c>
      <c r="K96" s="34">
        <v>33</v>
      </c>
      <c r="L96" s="5" t="s">
        <v>17</v>
      </c>
      <c r="M96" s="38" t="str">
        <f>VLOOKUP(K96,[2]stage_hints!$A:$C,3,FALSE)</f>
        <v>敵のカウンター攻撃には</v>
      </c>
      <c r="N96" s="39" t="str">
        <f>VLOOKUP(K96,[2]stage_hints!$A:$D,4,FALSE)</f>
        <v>カウンターブレイクスキルを持っていれば
敵のカウンターを解除して攻撃ができます</v>
      </c>
      <c r="O96" s="20" t="s">
        <v>24</v>
      </c>
      <c r="P96">
        <v>33</v>
      </c>
    </row>
    <row r="97" spans="1:16" x14ac:dyDescent="0.15">
      <c r="A97" s="27" t="str">
        <f t="shared" si="21"/>
        <v>11003_3_30</v>
      </c>
      <c r="B97" s="25" t="s">
        <v>34</v>
      </c>
      <c r="C97" s="4">
        <v>11003</v>
      </c>
      <c r="D97" s="3" t="str">
        <f ca="1">VLOOKUP($C97,OFFSET([1]quests!$A$1,0,0,COUNTA([1]quests!$A:$A),MATCH(D$1,[1]quests!$1:$1,0)-MATCH($C$1,[1]quests!$1:$1,0)+1),MATCH(D$1,[1]quests!$1:$1,0)-MATCH($C$1,[1]quests!$1:$1,0)+1,FALSE)</f>
        <v>【水曜限定】 青の素材</v>
      </c>
      <c r="E97" s="3" t="str">
        <f ca="1">VLOOKUP($C97,OFFSET([1]quests!$A$1,0,0,COUNTA([1]quests!$A:$A),MATCH(E$1,[1]quests!$1:$1,0)-MATCH($C$1,[1]quests!$1:$1,0)+1),MATCH(E$1,[1]quests!$1:$1,0)-MATCH($C$1,[1]quests!$1:$1,0)+1,FALSE)</f>
        <v>水曜クエスト</v>
      </c>
      <c r="F97" s="5">
        <v>3</v>
      </c>
      <c r="G97" s="3" t="str">
        <f ca="1">VLOOKUP($C97&amp;"_"&amp;$F97,OFFSET([1]stages!$A$1,0,0,COUNTA([1]stages!$A:$A),MATCH(G$1,[1]stages!$2:$2,0)-MATCH("temp_stage",[1]stages!$2:$2,0)+1),MATCH(G$1,[1]stages!$2:$2,0)-MATCH("temp_stage",[1]stages!$2:$2,0)+1,FALSE)</f>
        <v>【上級】水のイモムシ</v>
      </c>
      <c r="H97" s="3" t="str">
        <f ca="1">VLOOKUP($C97&amp;"_"&amp;$F97,OFFSET([1]stages!$A$1,0,0,COUNTA([1]stages!$A:$A),MATCH(H$1,[1]stages!$2:$2,0)-MATCH("temp_stage",[1]stages!$2:$2,0)+1),MATCH(H$1,[1]stages!$2:$2,0)-MATCH("temp_stage",[1]stages!$2:$2,0)+1,FALSE)</f>
        <v>水曜クエスト</v>
      </c>
      <c r="I97" s="18">
        <v>0</v>
      </c>
      <c r="J97" s="5">
        <f>COUNTIF(C$1:C97,C97)</f>
        <v>30</v>
      </c>
      <c r="K97" s="34">
        <v>34</v>
      </c>
      <c r="L97" s="5" t="s">
        <v>17</v>
      </c>
      <c r="M97" s="38" t="str">
        <f>VLOOKUP(K97,[2]stage_hints!$A:$C,3,FALSE)</f>
        <v>ステータスをスキルで下げられたら</v>
      </c>
      <c r="N97" s="39" t="str">
        <f>VLOOKUP(K97,[2]stage_hints!$A:$D,4,FALSE)</f>
        <v>ステータスダウンのスキルを受けたら
ステータスアップスキルで上書きしましょう</v>
      </c>
      <c r="O97" s="20" t="s">
        <v>24</v>
      </c>
      <c r="P97">
        <v>34</v>
      </c>
    </row>
    <row r="98" spans="1:16" x14ac:dyDescent="0.15">
      <c r="A98" s="27" t="str">
        <f t="shared" si="21"/>
        <v>11003_3_31</v>
      </c>
      <c r="B98" s="25" t="s">
        <v>34</v>
      </c>
      <c r="C98" s="4">
        <v>11003</v>
      </c>
      <c r="D98" s="3" t="str">
        <f ca="1">VLOOKUP($C98,OFFSET([1]quests!$A$1,0,0,COUNTA([1]quests!$A:$A),MATCH(D$1,[1]quests!$1:$1,0)-MATCH($C$1,[1]quests!$1:$1,0)+1),MATCH(D$1,[1]quests!$1:$1,0)-MATCH($C$1,[1]quests!$1:$1,0)+1,FALSE)</f>
        <v>【水曜限定】 青の素材</v>
      </c>
      <c r="E98" s="3" t="str">
        <f ca="1">VLOOKUP($C98,OFFSET([1]quests!$A$1,0,0,COUNTA([1]quests!$A:$A),MATCH(E$1,[1]quests!$1:$1,0)-MATCH($C$1,[1]quests!$1:$1,0)+1),MATCH(E$1,[1]quests!$1:$1,0)-MATCH($C$1,[1]quests!$1:$1,0)+1,FALSE)</f>
        <v>水曜クエスト</v>
      </c>
      <c r="F98" s="5">
        <v>3</v>
      </c>
      <c r="G98" s="3" t="str">
        <f ca="1">VLOOKUP($C98&amp;"_"&amp;$F98,OFFSET([1]stages!$A$1,0,0,COUNTA([1]stages!$A:$A),MATCH(G$1,[1]stages!$2:$2,0)-MATCH("temp_stage",[1]stages!$2:$2,0)+1),MATCH(G$1,[1]stages!$2:$2,0)-MATCH("temp_stage",[1]stages!$2:$2,0)+1,FALSE)</f>
        <v>【上級】水のイモムシ</v>
      </c>
      <c r="H98" s="3" t="str">
        <f ca="1">VLOOKUP($C98&amp;"_"&amp;$F98,OFFSET([1]stages!$A$1,0,0,COUNTA([1]stages!$A:$A),MATCH(H$1,[1]stages!$2:$2,0)-MATCH("temp_stage",[1]stages!$2:$2,0)+1),MATCH(H$1,[1]stages!$2:$2,0)-MATCH("temp_stage",[1]stages!$2:$2,0)+1,FALSE)</f>
        <v>水曜クエスト</v>
      </c>
      <c r="I98" s="18">
        <v>0</v>
      </c>
      <c r="J98" s="5">
        <f>COUNTIF(C$1:C98,C98)</f>
        <v>31</v>
      </c>
      <c r="K98" s="34">
        <v>35</v>
      </c>
      <c r="L98" s="5" t="s">
        <v>17</v>
      </c>
      <c r="M98" s="38" t="str">
        <f>VLOOKUP(K98,[2]stage_hints!$A:$C,3,FALSE)</f>
        <v>敵のステータスがスキルで上がったら</v>
      </c>
      <c r="N98" s="39" t="str">
        <f>VLOOKUP(K98,[2]stage_hints!$A:$D,4,FALSE)</f>
        <v>敵のステータスがスキルでアップしたときは
ステータスダウンスキルで上書きしましょう</v>
      </c>
      <c r="O98" s="20" t="s">
        <v>24</v>
      </c>
      <c r="P98">
        <v>35</v>
      </c>
    </row>
    <row r="99" spans="1:16" x14ac:dyDescent="0.15">
      <c r="A99" s="27" t="str">
        <f t="shared" si="21"/>
        <v>11003_3_32</v>
      </c>
      <c r="B99" s="25" t="s">
        <v>34</v>
      </c>
      <c r="C99" s="4">
        <v>11003</v>
      </c>
      <c r="D99" s="3" t="str">
        <f ca="1">VLOOKUP($C99,OFFSET([1]quests!$A$1,0,0,COUNTA([1]quests!$A:$A),MATCH(D$1,[1]quests!$1:$1,0)-MATCH($C$1,[1]quests!$1:$1,0)+1),MATCH(D$1,[1]quests!$1:$1,0)-MATCH($C$1,[1]quests!$1:$1,0)+1,FALSE)</f>
        <v>【水曜限定】 青の素材</v>
      </c>
      <c r="E99" s="3" t="str">
        <f ca="1">VLOOKUP($C99,OFFSET([1]quests!$A$1,0,0,COUNTA([1]quests!$A:$A),MATCH(E$1,[1]quests!$1:$1,0)-MATCH($C$1,[1]quests!$1:$1,0)+1),MATCH(E$1,[1]quests!$1:$1,0)-MATCH($C$1,[1]quests!$1:$1,0)+1,FALSE)</f>
        <v>水曜クエスト</v>
      </c>
      <c r="F99" s="5">
        <v>3</v>
      </c>
      <c r="G99" s="3" t="str">
        <f ca="1">VLOOKUP($C99&amp;"_"&amp;$F99,OFFSET([1]stages!$A$1,0,0,COUNTA([1]stages!$A:$A),MATCH(G$1,[1]stages!$2:$2,0)-MATCH("temp_stage",[1]stages!$2:$2,0)+1),MATCH(G$1,[1]stages!$2:$2,0)-MATCH("temp_stage",[1]stages!$2:$2,0)+1,FALSE)</f>
        <v>【上級】水のイモムシ</v>
      </c>
      <c r="H99" s="3" t="str">
        <f ca="1">VLOOKUP($C99&amp;"_"&amp;$F99,OFFSET([1]stages!$A$1,0,0,COUNTA([1]stages!$A:$A),MATCH(H$1,[1]stages!$2:$2,0)-MATCH("temp_stage",[1]stages!$2:$2,0)+1),MATCH(H$1,[1]stages!$2:$2,0)-MATCH("temp_stage",[1]stages!$2:$2,0)+1,FALSE)</f>
        <v>水曜クエスト</v>
      </c>
      <c r="I99" s="18">
        <v>0</v>
      </c>
      <c r="J99" s="5">
        <f>COUNTIF(C$1:C99,C99)</f>
        <v>32</v>
      </c>
      <c r="K99" s="34">
        <v>36</v>
      </c>
      <c r="L99" s="5" t="s">
        <v>17</v>
      </c>
      <c r="M99" s="38" t="str">
        <f>VLOOKUP(K99,[2]stage_hints!$A:$C,3,FALSE)</f>
        <v>チャレンジタワーのボス</v>
      </c>
      <c r="N99" s="39" t="str">
        <f>VLOOKUP(K99,[2]stage_hints!$A:$D,4,FALSE)</f>
        <v>チャレンジタワーでのみ登場するボスは
一定確率で獲得することができます</v>
      </c>
      <c r="O99" s="20" t="s">
        <v>24</v>
      </c>
      <c r="P99">
        <v>36</v>
      </c>
    </row>
    <row r="100" spans="1:16" x14ac:dyDescent="0.15">
      <c r="A100" s="27" t="str">
        <f t="shared" si="21"/>
        <v>11003_3_33</v>
      </c>
      <c r="B100" s="25" t="s">
        <v>34</v>
      </c>
      <c r="C100" s="4">
        <v>11003</v>
      </c>
      <c r="D100" s="3" t="str">
        <f ca="1">VLOOKUP($C100,OFFSET([1]quests!$A$1,0,0,COUNTA([1]quests!$A:$A),MATCH(D$1,[1]quests!$1:$1,0)-MATCH($C$1,[1]quests!$1:$1,0)+1),MATCH(D$1,[1]quests!$1:$1,0)-MATCH($C$1,[1]quests!$1:$1,0)+1,FALSE)</f>
        <v>【水曜限定】 青の素材</v>
      </c>
      <c r="E100" s="3" t="str">
        <f ca="1">VLOOKUP($C100,OFFSET([1]quests!$A$1,0,0,COUNTA([1]quests!$A:$A),MATCH(E$1,[1]quests!$1:$1,0)-MATCH($C$1,[1]quests!$1:$1,0)+1),MATCH(E$1,[1]quests!$1:$1,0)-MATCH($C$1,[1]quests!$1:$1,0)+1,FALSE)</f>
        <v>水曜クエスト</v>
      </c>
      <c r="F100" s="5">
        <v>3</v>
      </c>
      <c r="G100" s="3" t="str">
        <f ca="1">VLOOKUP($C100&amp;"_"&amp;$F100,OFFSET([1]stages!$A$1,0,0,COUNTA([1]stages!$A:$A),MATCH(G$1,[1]stages!$2:$2,0)-MATCH("temp_stage",[1]stages!$2:$2,0)+1),MATCH(G$1,[1]stages!$2:$2,0)-MATCH("temp_stage",[1]stages!$2:$2,0)+1,FALSE)</f>
        <v>【上級】水のイモムシ</v>
      </c>
      <c r="H100" s="3" t="str">
        <f ca="1">VLOOKUP($C100&amp;"_"&amp;$F100,OFFSET([1]stages!$A$1,0,0,COUNTA([1]stages!$A:$A),MATCH(H$1,[1]stages!$2:$2,0)-MATCH("temp_stage",[1]stages!$2:$2,0)+1),MATCH(H$1,[1]stages!$2:$2,0)-MATCH("temp_stage",[1]stages!$2:$2,0)+1,FALSE)</f>
        <v>水曜クエスト</v>
      </c>
      <c r="I100" s="18">
        <v>0</v>
      </c>
      <c r="J100" s="5">
        <f>COUNTIF(C$1:C100,C100)</f>
        <v>33</v>
      </c>
      <c r="K100" s="34">
        <v>37</v>
      </c>
      <c r="L100" s="5" t="s">
        <v>17</v>
      </c>
      <c r="M100" s="38" t="str">
        <f>VLOOKUP(K100,[2]stage_hints!$A:$C,3,FALSE)</f>
        <v>限界突破値の引き継ぎ</v>
      </c>
      <c r="N100" s="39" t="str">
        <f>VLOOKUP(K100,[2]stage_hints!$A:$D,4,FALSE)</f>
        <v>同じユニットを強化で合成すると
限界突破値を引き継げます（覚醒前後も可）</v>
      </c>
      <c r="O100" s="20" t="s">
        <v>24</v>
      </c>
      <c r="P100">
        <v>37</v>
      </c>
    </row>
    <row r="101" spans="1:16" x14ac:dyDescent="0.15">
      <c r="A101" s="27" t="str">
        <f t="shared" si="21"/>
        <v>11004_3_1</v>
      </c>
      <c r="B101" s="25" t="s">
        <v>34</v>
      </c>
      <c r="C101" s="4">
        <v>11004</v>
      </c>
      <c r="D101" s="3" t="str">
        <f ca="1">VLOOKUP($C101,OFFSET([1]quests!$A$1,0,0,COUNTA([1]quests!$A:$A),MATCH(D$1,[1]quests!$1:$1,0)-MATCH($C$1,[1]quests!$1:$1,0)+1),MATCH(D$1,[1]quests!$1:$1,0)-MATCH($C$1,[1]quests!$1:$1,0)+1,FALSE)</f>
        <v>【木曜限定】 緑の素材</v>
      </c>
      <c r="E101" s="3" t="str">
        <f ca="1">VLOOKUP($C101,OFFSET([1]quests!$A$1,0,0,COUNTA([1]quests!$A:$A),MATCH(E$1,[1]quests!$1:$1,0)-MATCH($C$1,[1]quests!$1:$1,0)+1),MATCH(E$1,[1]quests!$1:$1,0)-MATCH($C$1,[1]quests!$1:$1,0)+1,FALSE)</f>
        <v>木曜クエスト</v>
      </c>
      <c r="F101" s="5">
        <v>3</v>
      </c>
      <c r="G101" s="3" t="str">
        <f ca="1">VLOOKUP($C101&amp;"_"&amp;$F101,OFFSET([1]stages!$A$1,0,0,COUNTA([1]stages!$A:$A),MATCH(G$1,[1]stages!$2:$2,0)-MATCH("temp_stage",[1]stages!$2:$2,0)+1),MATCH(G$1,[1]stages!$2:$2,0)-MATCH("temp_stage",[1]stages!$2:$2,0)+1,FALSE)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01" s="3" t="str">
        <f ca="1">VLOOKUP($C101&amp;"_"&amp;$F101,OFFSET([1]stages!$A$1,0,0,COUNTA([1]stages!$A:$A),MATCH(H$1,[1]stages!$2:$2,0)-MATCH("temp_stage",[1]stages!$2:$2,0)+1),MATCH(H$1,[1]stages!$2:$2,0)-MATCH("temp_stage",[1]stages!$2:$2,0)+1,FALSE)</f>
        <v>木曜クエスト</v>
      </c>
      <c r="I101" s="18">
        <v>0</v>
      </c>
      <c r="J101" s="5">
        <f>COUNTIF(C$1:C101,C101)</f>
        <v>1</v>
      </c>
      <c r="K101" s="34">
        <v>3</v>
      </c>
      <c r="L101" s="5" t="s">
        <v>17</v>
      </c>
      <c r="M101" s="38" t="str">
        <f>VLOOKUP(K101,[2]stage_hints!$A:$C,3,FALSE)</f>
        <v>ターゲット</v>
      </c>
      <c r="N101" s="39" t="str">
        <f>VLOOKUP(K101,[2]stage_hints!$A:$D,4,FALSE)</f>
        <v>敵ユニットをタップすると
その敵を狙い撃ちできます</v>
      </c>
      <c r="O101" s="20" t="s">
        <v>24</v>
      </c>
      <c r="P101">
        <v>3</v>
      </c>
    </row>
    <row r="102" spans="1:16" x14ac:dyDescent="0.15">
      <c r="A102" s="27" t="str">
        <f t="shared" si="21"/>
        <v>11004_3_2</v>
      </c>
      <c r="B102" s="25" t="s">
        <v>34</v>
      </c>
      <c r="C102" s="4">
        <v>11004</v>
      </c>
      <c r="D102" s="3" t="str">
        <f ca="1">VLOOKUP($C102,OFFSET([1]quests!$A$1,0,0,COUNTA([1]quests!$A:$A),MATCH(D$1,[1]quests!$1:$1,0)-MATCH($C$1,[1]quests!$1:$1,0)+1),MATCH(D$1,[1]quests!$1:$1,0)-MATCH($C$1,[1]quests!$1:$1,0)+1,FALSE)</f>
        <v>【木曜限定】 緑の素材</v>
      </c>
      <c r="E102" s="3" t="str">
        <f ca="1">VLOOKUP($C102,OFFSET([1]quests!$A$1,0,0,COUNTA([1]quests!$A:$A),MATCH(E$1,[1]quests!$1:$1,0)-MATCH($C$1,[1]quests!$1:$1,0)+1),MATCH(E$1,[1]quests!$1:$1,0)-MATCH($C$1,[1]quests!$1:$1,0)+1,FALSE)</f>
        <v>木曜クエスト</v>
      </c>
      <c r="F102" s="5">
        <v>3</v>
      </c>
      <c r="G102" s="3" t="str">
        <f ca="1">VLOOKUP($C102&amp;"_"&amp;$F102,OFFSET([1]stages!$A$1,0,0,COUNTA([1]stages!$A:$A),MATCH(G$1,[1]stages!$2:$2,0)-MATCH("temp_stage",[1]stages!$2:$2,0)+1),MATCH(G$1,[1]stages!$2:$2,0)-MATCH("temp_stage",[1]stages!$2:$2,0)+1,FALSE)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02" s="3" t="str">
        <f ca="1">VLOOKUP($C102&amp;"_"&amp;$F102,OFFSET([1]stages!$A$1,0,0,COUNTA([1]stages!$A:$A),MATCH(H$1,[1]stages!$2:$2,0)-MATCH("temp_stage",[1]stages!$2:$2,0)+1),MATCH(H$1,[1]stages!$2:$2,0)-MATCH("temp_stage",[1]stages!$2:$2,0)+1,FALSE)</f>
        <v>木曜クエスト</v>
      </c>
      <c r="I102" s="18">
        <v>0</v>
      </c>
      <c r="J102" s="5">
        <f>COUNTIF(C$1:C102,C102)</f>
        <v>2</v>
      </c>
      <c r="K102" s="34">
        <v>6</v>
      </c>
      <c r="L102" s="5" t="s">
        <v>17</v>
      </c>
      <c r="M102" s="38" t="str">
        <f>VLOOKUP(K102,[2]stage_hints!$A:$C,3,FALSE)</f>
        <v>ユニット強化の属性ボーナス</v>
      </c>
      <c r="N102" s="39" t="str">
        <f>VLOOKUP(K102,[2]stage_hints!$A:$D,4,FALSE)</f>
        <v>同属性ユニットを強化素材にすると
経験値が多くもらえます</v>
      </c>
      <c r="O102" s="20" t="s">
        <v>24</v>
      </c>
      <c r="P102">
        <v>6</v>
      </c>
    </row>
    <row r="103" spans="1:16" x14ac:dyDescent="0.15">
      <c r="A103" s="27" t="str">
        <f t="shared" si="21"/>
        <v>11004_3_3</v>
      </c>
      <c r="B103" s="25" t="s">
        <v>34</v>
      </c>
      <c r="C103" s="4">
        <v>11004</v>
      </c>
      <c r="D103" s="3" t="str">
        <f ca="1">VLOOKUP($C103,OFFSET([1]quests!$A$1,0,0,COUNTA([1]quests!$A:$A),MATCH(D$1,[1]quests!$1:$1,0)-MATCH($C$1,[1]quests!$1:$1,0)+1),MATCH(D$1,[1]quests!$1:$1,0)-MATCH($C$1,[1]quests!$1:$1,0)+1,FALSE)</f>
        <v>【木曜限定】 緑の素材</v>
      </c>
      <c r="E103" s="3" t="str">
        <f ca="1">VLOOKUP($C103,OFFSET([1]quests!$A$1,0,0,COUNTA([1]quests!$A:$A),MATCH(E$1,[1]quests!$1:$1,0)-MATCH($C$1,[1]quests!$1:$1,0)+1),MATCH(E$1,[1]quests!$1:$1,0)-MATCH($C$1,[1]quests!$1:$1,0)+1,FALSE)</f>
        <v>木曜クエスト</v>
      </c>
      <c r="F103" s="5">
        <v>3</v>
      </c>
      <c r="G103" s="3" t="str">
        <f ca="1">VLOOKUP($C103&amp;"_"&amp;$F103,OFFSET([1]stages!$A$1,0,0,COUNTA([1]stages!$A:$A),MATCH(G$1,[1]stages!$2:$2,0)-MATCH("temp_stage",[1]stages!$2:$2,0)+1),MATCH(G$1,[1]stages!$2:$2,0)-MATCH("temp_stage",[1]stages!$2:$2,0)+1,FALSE)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03" s="3" t="str">
        <f ca="1">VLOOKUP($C103&amp;"_"&amp;$F103,OFFSET([1]stages!$A$1,0,0,COUNTA([1]stages!$A:$A),MATCH(H$1,[1]stages!$2:$2,0)-MATCH("temp_stage",[1]stages!$2:$2,0)+1),MATCH(H$1,[1]stages!$2:$2,0)-MATCH("temp_stage",[1]stages!$2:$2,0)+1,FALSE)</f>
        <v>木曜クエスト</v>
      </c>
      <c r="I103" s="18">
        <v>0</v>
      </c>
      <c r="J103" s="5">
        <f>COUNTIF(C$1:C103,C103)</f>
        <v>3</v>
      </c>
      <c r="K103" s="34">
        <v>7</v>
      </c>
      <c r="L103" s="5" t="s">
        <v>17</v>
      </c>
      <c r="M103" s="38" t="str">
        <f>VLOOKUP(K103,[2]stage_hints!$A:$C,3,FALSE)</f>
        <v>メタルダックで経験値を獲得</v>
      </c>
      <c r="N103" s="39" t="str">
        <f>VLOOKUP(K103,[2]stage_hints!$A:$D,4,FALSE)</f>
        <v>「メタルなアヒル」を強化素材にすると
大量の経験値がもらえます</v>
      </c>
      <c r="O103" s="20" t="s">
        <v>24</v>
      </c>
      <c r="P103">
        <v>7</v>
      </c>
    </row>
    <row r="104" spans="1:16" x14ac:dyDescent="0.15">
      <c r="A104" s="27" t="str">
        <f t="shared" si="21"/>
        <v>11004_3_4</v>
      </c>
      <c r="B104" s="25" t="s">
        <v>34</v>
      </c>
      <c r="C104" s="4">
        <v>11004</v>
      </c>
      <c r="D104" s="3" t="str">
        <f ca="1">VLOOKUP($C104,OFFSET([1]quests!$A$1,0,0,COUNTA([1]quests!$A:$A),MATCH(D$1,[1]quests!$1:$1,0)-MATCH($C$1,[1]quests!$1:$1,0)+1),MATCH(D$1,[1]quests!$1:$1,0)-MATCH($C$1,[1]quests!$1:$1,0)+1,FALSE)</f>
        <v>【木曜限定】 緑の素材</v>
      </c>
      <c r="E104" s="3" t="str">
        <f ca="1">VLOOKUP($C104,OFFSET([1]quests!$A$1,0,0,COUNTA([1]quests!$A:$A),MATCH(E$1,[1]quests!$1:$1,0)-MATCH($C$1,[1]quests!$1:$1,0)+1),MATCH(E$1,[1]quests!$1:$1,0)-MATCH($C$1,[1]quests!$1:$1,0)+1,FALSE)</f>
        <v>木曜クエスト</v>
      </c>
      <c r="F104" s="5">
        <v>3</v>
      </c>
      <c r="G104" s="3" t="str">
        <f ca="1">VLOOKUP($C104&amp;"_"&amp;$F104,OFFSET([1]stages!$A$1,0,0,COUNTA([1]stages!$A:$A),MATCH(G$1,[1]stages!$2:$2,0)-MATCH("temp_stage",[1]stages!$2:$2,0)+1),MATCH(G$1,[1]stages!$2:$2,0)-MATCH("temp_stage",[1]stages!$2:$2,0)+1,FALSE)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04" s="3" t="str">
        <f ca="1">VLOOKUP($C104&amp;"_"&amp;$F104,OFFSET([1]stages!$A$1,0,0,COUNTA([1]stages!$A:$A),MATCH(H$1,[1]stages!$2:$2,0)-MATCH("temp_stage",[1]stages!$2:$2,0)+1),MATCH(H$1,[1]stages!$2:$2,0)-MATCH("temp_stage",[1]stages!$2:$2,0)+1,FALSE)</f>
        <v>木曜クエスト</v>
      </c>
      <c r="I104" s="18">
        <v>0</v>
      </c>
      <c r="J104" s="5">
        <f>COUNTIF(C$1:C104,C104)</f>
        <v>4</v>
      </c>
      <c r="K104" s="34">
        <v>8</v>
      </c>
      <c r="L104" s="5" t="s">
        <v>17</v>
      </c>
      <c r="M104" s="38" t="str">
        <f>VLOOKUP(K104,[2]stage_hints!$A:$C,3,FALSE)</f>
        <v>ゲリラクエストは要チェック</v>
      </c>
      <c r="N104" s="39" t="str">
        <f>VLOOKUP(K104,[2]stage_hints!$A:$D,4,FALSE)</f>
        <v>時間限定の「アヒル捕獲作戦」では
経験値素材ユニットが多く手に入ります</v>
      </c>
      <c r="O104" s="20" t="s">
        <v>24</v>
      </c>
      <c r="P104">
        <v>8</v>
      </c>
    </row>
    <row r="105" spans="1:16" x14ac:dyDescent="0.15">
      <c r="A105" s="27" t="str">
        <f t="shared" si="21"/>
        <v>11004_3_5</v>
      </c>
      <c r="B105" s="25" t="s">
        <v>34</v>
      </c>
      <c r="C105" s="4">
        <v>11004</v>
      </c>
      <c r="D105" s="3" t="str">
        <f ca="1">VLOOKUP($C105,OFFSET([1]quests!$A$1,0,0,COUNTA([1]quests!$A:$A),MATCH(D$1,[1]quests!$1:$1,0)-MATCH($C$1,[1]quests!$1:$1,0)+1),MATCH(D$1,[1]quests!$1:$1,0)-MATCH($C$1,[1]quests!$1:$1,0)+1,FALSE)</f>
        <v>【木曜限定】 緑の素材</v>
      </c>
      <c r="E105" s="3" t="str">
        <f ca="1">VLOOKUP($C105,OFFSET([1]quests!$A$1,0,0,COUNTA([1]quests!$A:$A),MATCH(E$1,[1]quests!$1:$1,0)-MATCH($C$1,[1]quests!$1:$1,0)+1),MATCH(E$1,[1]quests!$1:$1,0)-MATCH($C$1,[1]quests!$1:$1,0)+1,FALSE)</f>
        <v>木曜クエスト</v>
      </c>
      <c r="F105" s="5">
        <v>3</v>
      </c>
      <c r="G105" s="3" t="str">
        <f ca="1">VLOOKUP($C105&amp;"_"&amp;$F105,OFFSET([1]stages!$A$1,0,0,COUNTA([1]stages!$A:$A),MATCH(G$1,[1]stages!$2:$2,0)-MATCH("temp_stage",[1]stages!$2:$2,0)+1),MATCH(G$1,[1]stages!$2:$2,0)-MATCH("temp_stage",[1]stages!$2:$2,0)+1,FALSE)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05" s="3" t="str">
        <f ca="1">VLOOKUP($C105&amp;"_"&amp;$F105,OFFSET([1]stages!$A$1,0,0,COUNTA([1]stages!$A:$A),MATCH(H$1,[1]stages!$2:$2,0)-MATCH("temp_stage",[1]stages!$2:$2,0)+1),MATCH(H$1,[1]stages!$2:$2,0)-MATCH("temp_stage",[1]stages!$2:$2,0)+1,FALSE)</f>
        <v>木曜クエスト</v>
      </c>
      <c r="I105" s="18">
        <v>0</v>
      </c>
      <c r="J105" s="5">
        <f>COUNTIF(C$1:C105,C105)</f>
        <v>5</v>
      </c>
      <c r="K105" s="34">
        <v>9</v>
      </c>
      <c r="L105" s="5" t="s">
        <v>17</v>
      </c>
      <c r="M105" s="38" t="str">
        <f>VLOOKUP(K105,[2]stage_hints!$A:$C,3,FALSE)</f>
        <v>ゴールドダックでビットを獲得</v>
      </c>
      <c r="N105" s="39" t="str">
        <f>VLOOKUP(K105,[2]stage_hints!$A:$D,4,FALSE)</f>
        <v>「ゴールドなアヒル」を売却すると
大量のビットがもらえます</v>
      </c>
      <c r="O105" s="20" t="s">
        <v>24</v>
      </c>
      <c r="P105">
        <v>9</v>
      </c>
    </row>
    <row r="106" spans="1:16" x14ac:dyDescent="0.15">
      <c r="A106" s="27" t="str">
        <f t="shared" si="21"/>
        <v>11004_3_6</v>
      </c>
      <c r="B106" s="25" t="s">
        <v>34</v>
      </c>
      <c r="C106" s="4">
        <v>11004</v>
      </c>
      <c r="D106" s="3" t="str">
        <f ca="1">VLOOKUP($C106,OFFSET([1]quests!$A$1,0,0,COUNTA([1]quests!$A:$A),MATCH(D$1,[1]quests!$1:$1,0)-MATCH($C$1,[1]quests!$1:$1,0)+1),MATCH(D$1,[1]quests!$1:$1,0)-MATCH($C$1,[1]quests!$1:$1,0)+1,FALSE)</f>
        <v>【木曜限定】 緑の素材</v>
      </c>
      <c r="E106" s="3" t="str">
        <f ca="1">VLOOKUP($C106,OFFSET([1]quests!$A$1,0,0,COUNTA([1]quests!$A:$A),MATCH(E$1,[1]quests!$1:$1,0)-MATCH($C$1,[1]quests!$1:$1,0)+1),MATCH(E$1,[1]quests!$1:$1,0)-MATCH($C$1,[1]quests!$1:$1,0)+1,FALSE)</f>
        <v>木曜クエスト</v>
      </c>
      <c r="F106" s="5">
        <v>3</v>
      </c>
      <c r="G106" s="3" t="str">
        <f ca="1">VLOOKUP($C106&amp;"_"&amp;$F106,OFFSET([1]stages!$A$1,0,0,COUNTA([1]stages!$A:$A),MATCH(G$1,[1]stages!$2:$2,0)-MATCH("temp_stage",[1]stages!$2:$2,0)+1),MATCH(G$1,[1]stages!$2:$2,0)-MATCH("temp_stage",[1]stages!$2:$2,0)+1,FALSE)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06" s="3" t="str">
        <f ca="1">VLOOKUP($C106&amp;"_"&amp;$F106,OFFSET([1]stages!$A$1,0,0,COUNTA([1]stages!$A:$A),MATCH(H$1,[1]stages!$2:$2,0)-MATCH("temp_stage",[1]stages!$2:$2,0)+1),MATCH(H$1,[1]stages!$2:$2,0)-MATCH("temp_stage",[1]stages!$2:$2,0)+1,FALSE)</f>
        <v>木曜クエスト</v>
      </c>
      <c r="I106" s="18">
        <v>0</v>
      </c>
      <c r="J106" s="5">
        <f>COUNTIF(C$1:C106,C106)</f>
        <v>6</v>
      </c>
      <c r="K106" s="34">
        <v>10</v>
      </c>
      <c r="L106" s="5" t="s">
        <v>17</v>
      </c>
      <c r="M106" s="38" t="str">
        <f>VLOOKUP(K106,[2]stage_hints!$A:$C,3,FALSE)</f>
        <v>土日に大量のビットを獲得</v>
      </c>
      <c r="N106" s="39" t="str">
        <f>VLOOKUP(K106,[2]stage_hints!$A:$D,4,FALSE)</f>
        <v>土日限定の「ゴールドカジノ」では
売却素材ユニットが多く手に入ります</v>
      </c>
      <c r="O106" s="20" t="s">
        <v>24</v>
      </c>
      <c r="P106">
        <v>10</v>
      </c>
    </row>
    <row r="107" spans="1:16" x14ac:dyDescent="0.15">
      <c r="A107" s="27" t="str">
        <f t="shared" si="21"/>
        <v>11004_3_7</v>
      </c>
      <c r="B107" s="25" t="s">
        <v>34</v>
      </c>
      <c r="C107" s="4">
        <v>11004</v>
      </c>
      <c r="D107" s="3" t="str">
        <f ca="1">VLOOKUP($C107,OFFSET([1]quests!$A$1,0,0,COUNTA([1]quests!$A:$A),MATCH(D$1,[1]quests!$1:$1,0)-MATCH($C$1,[1]quests!$1:$1,0)+1),MATCH(D$1,[1]quests!$1:$1,0)-MATCH($C$1,[1]quests!$1:$1,0)+1,FALSE)</f>
        <v>【木曜限定】 緑の素材</v>
      </c>
      <c r="E107" s="3" t="str">
        <f ca="1">VLOOKUP($C107,OFFSET([1]quests!$A$1,0,0,COUNTA([1]quests!$A:$A),MATCH(E$1,[1]quests!$1:$1,0)-MATCH($C$1,[1]quests!$1:$1,0)+1),MATCH(E$1,[1]quests!$1:$1,0)-MATCH($C$1,[1]quests!$1:$1,0)+1,FALSE)</f>
        <v>木曜クエスト</v>
      </c>
      <c r="F107" s="5">
        <v>3</v>
      </c>
      <c r="G107" s="3" t="str">
        <f ca="1">VLOOKUP($C107&amp;"_"&amp;$F107,OFFSET([1]stages!$A$1,0,0,COUNTA([1]stages!$A:$A),MATCH(G$1,[1]stages!$2:$2,0)-MATCH("temp_stage",[1]stages!$2:$2,0)+1),MATCH(G$1,[1]stages!$2:$2,0)-MATCH("temp_stage",[1]stages!$2:$2,0)+1,FALSE)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07" s="3" t="str">
        <f ca="1">VLOOKUP($C107&amp;"_"&amp;$F107,OFFSET([1]stages!$A$1,0,0,COUNTA([1]stages!$A:$A),MATCH(H$1,[1]stages!$2:$2,0)-MATCH("temp_stage",[1]stages!$2:$2,0)+1),MATCH(H$1,[1]stages!$2:$2,0)-MATCH("temp_stage",[1]stages!$2:$2,0)+1,FALSE)</f>
        <v>木曜クエスト</v>
      </c>
      <c r="I107" s="18">
        <v>0</v>
      </c>
      <c r="J107" s="5">
        <f>COUNTIF(C$1:C107,C107)</f>
        <v>7</v>
      </c>
      <c r="K107" s="34">
        <v>11</v>
      </c>
      <c r="L107" s="5" t="s">
        <v>17</v>
      </c>
      <c r="M107" s="38" t="str">
        <f>VLOOKUP(K107,[2]stage_hints!$A:$C,3,FALSE)</f>
        <v>ランク解放クエスト</v>
      </c>
      <c r="N107" s="39" t="str">
        <f>VLOOKUP(K107,[2]stage_hints!$A:$D,4,FALSE)</f>
        <v>一定ランクに到達すると
報酬付きのランク開放クエストが現れます</v>
      </c>
      <c r="O107" s="20" t="s">
        <v>24</v>
      </c>
      <c r="P107">
        <v>11</v>
      </c>
    </row>
    <row r="108" spans="1:16" x14ac:dyDescent="0.15">
      <c r="A108" s="27" t="str">
        <f t="shared" si="21"/>
        <v>11004_3_8</v>
      </c>
      <c r="B108" s="25" t="s">
        <v>34</v>
      </c>
      <c r="C108" s="4">
        <v>11004</v>
      </c>
      <c r="D108" s="3" t="str">
        <f ca="1">VLOOKUP($C108,OFFSET([1]quests!$A$1,0,0,COUNTA([1]quests!$A:$A),MATCH(D$1,[1]quests!$1:$1,0)-MATCH($C$1,[1]quests!$1:$1,0)+1),MATCH(D$1,[1]quests!$1:$1,0)-MATCH($C$1,[1]quests!$1:$1,0)+1,FALSE)</f>
        <v>【木曜限定】 緑の素材</v>
      </c>
      <c r="E108" s="3" t="str">
        <f ca="1">VLOOKUP($C108,OFFSET([1]quests!$A$1,0,0,COUNTA([1]quests!$A:$A),MATCH(E$1,[1]quests!$1:$1,0)-MATCH($C$1,[1]quests!$1:$1,0)+1),MATCH(E$1,[1]quests!$1:$1,0)-MATCH($C$1,[1]quests!$1:$1,0)+1,FALSE)</f>
        <v>木曜クエスト</v>
      </c>
      <c r="F108" s="5">
        <v>3</v>
      </c>
      <c r="G108" s="3" t="str">
        <f ca="1">VLOOKUP($C108&amp;"_"&amp;$F108,OFFSET([1]stages!$A$1,0,0,COUNTA([1]stages!$A:$A),MATCH(G$1,[1]stages!$2:$2,0)-MATCH("temp_stage",[1]stages!$2:$2,0)+1),MATCH(G$1,[1]stages!$2:$2,0)-MATCH("temp_stage",[1]stages!$2:$2,0)+1,FALSE)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08" s="3" t="str">
        <f ca="1">VLOOKUP($C108&amp;"_"&amp;$F108,OFFSET([1]stages!$A$1,0,0,COUNTA([1]stages!$A:$A),MATCH(H$1,[1]stages!$2:$2,0)-MATCH("temp_stage",[1]stages!$2:$2,0)+1),MATCH(H$1,[1]stages!$2:$2,0)-MATCH("temp_stage",[1]stages!$2:$2,0)+1,FALSE)</f>
        <v>木曜クエスト</v>
      </c>
      <c r="I108" s="18">
        <v>0</v>
      </c>
      <c r="J108" s="5">
        <f>COUNTIF(C$1:C108,C108)</f>
        <v>8</v>
      </c>
      <c r="K108" s="34">
        <v>12</v>
      </c>
      <c r="L108" s="5" t="s">
        <v>17</v>
      </c>
      <c r="M108" s="38" t="str">
        <f>VLOOKUP(K108,[2]stage_hints!$A:$C,3,FALSE)</f>
        <v>ユニットのお気に入り登録</v>
      </c>
      <c r="N108" s="39" t="str">
        <f>VLOOKUP(K108,[2]stage_hints!$A:$D,4,FALSE)</f>
        <v>大事なユニットを誤って消さないように
フォルダから「お気に入り登録」しましょう</v>
      </c>
      <c r="O108" s="20" t="s">
        <v>24</v>
      </c>
      <c r="P108">
        <v>12</v>
      </c>
    </row>
    <row r="109" spans="1:16" x14ac:dyDescent="0.15">
      <c r="A109" s="27" t="str">
        <f t="shared" ref="A109" si="22">C109&amp;"_"&amp;F109&amp;"_"&amp;J109</f>
        <v>11004_3_9</v>
      </c>
      <c r="B109" s="25" t="s">
        <v>34</v>
      </c>
      <c r="C109" s="4">
        <v>11004</v>
      </c>
      <c r="D109" s="3" t="str">
        <f ca="1">VLOOKUP($C109,OFFSET([1]quests!$A$1,0,0,COUNTA([1]quests!$A:$A),MATCH(D$1,[1]quests!$1:$1,0)-MATCH($C$1,[1]quests!$1:$1,0)+1),MATCH(D$1,[1]quests!$1:$1,0)-MATCH($C$1,[1]quests!$1:$1,0)+1,FALSE)</f>
        <v>【木曜限定】 緑の素材</v>
      </c>
      <c r="E109" s="3" t="str">
        <f ca="1">VLOOKUP($C109,OFFSET([1]quests!$A$1,0,0,COUNTA([1]quests!$A:$A),MATCH(E$1,[1]quests!$1:$1,0)-MATCH($C$1,[1]quests!$1:$1,0)+1),MATCH(E$1,[1]quests!$1:$1,0)-MATCH($C$1,[1]quests!$1:$1,0)+1,FALSE)</f>
        <v>木曜クエスト</v>
      </c>
      <c r="F109" s="5">
        <v>3</v>
      </c>
      <c r="G109" s="3" t="str">
        <f ca="1">VLOOKUP($C109&amp;"_"&amp;$F109,OFFSET([1]stages!$A$1,0,0,COUNTA([1]stages!$A:$A),MATCH(G$1,[1]stages!$2:$2,0)-MATCH("temp_stage",[1]stages!$2:$2,0)+1),MATCH(G$1,[1]stages!$2:$2,0)-MATCH("temp_stage",[1]stages!$2:$2,0)+1,FALSE)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09" s="3" t="str">
        <f ca="1">VLOOKUP($C109&amp;"_"&amp;$F109,OFFSET([1]stages!$A$1,0,0,COUNTA([1]stages!$A:$A),MATCH(H$1,[1]stages!$2:$2,0)-MATCH("temp_stage",[1]stages!$2:$2,0)+1),MATCH(H$1,[1]stages!$2:$2,0)-MATCH("temp_stage",[1]stages!$2:$2,0)+1,FALSE)</f>
        <v>木曜クエスト</v>
      </c>
      <c r="I109" s="18">
        <v>0</v>
      </c>
      <c r="J109" s="5">
        <f>COUNTIF(C$1:C109,C109)</f>
        <v>9</v>
      </c>
      <c r="K109" s="34">
        <v>13</v>
      </c>
      <c r="L109" s="5" t="s">
        <v>17</v>
      </c>
      <c r="M109" s="38" t="str">
        <f>VLOOKUP(K109,[2]stage_hints!$A:$C,3,FALSE)</f>
        <v>ユニットの覚醒</v>
      </c>
      <c r="N109" s="39" t="str">
        <f>VLOOKUP(K109,[2]stage_hints!$A:$D,4,FALSE)</f>
        <v>ユニットを覚醒させると
比べものにならない強さが手に入ります</v>
      </c>
      <c r="O109" s="20" t="s">
        <v>24</v>
      </c>
      <c r="P109">
        <v>13</v>
      </c>
    </row>
    <row r="110" spans="1:16" x14ac:dyDescent="0.15">
      <c r="A110" s="27" t="str">
        <f t="shared" ref="A110:A111" si="23">C110&amp;"_"&amp;F110&amp;"_"&amp;J110</f>
        <v>11004_3_10</v>
      </c>
      <c r="B110" s="25" t="s">
        <v>34</v>
      </c>
      <c r="C110" s="4">
        <v>11004</v>
      </c>
      <c r="D110" s="3" t="str">
        <f ca="1">VLOOKUP($C110,OFFSET([1]quests!$A$1,0,0,COUNTA([1]quests!$A:$A),MATCH(D$1,[1]quests!$1:$1,0)-MATCH($C$1,[1]quests!$1:$1,0)+1),MATCH(D$1,[1]quests!$1:$1,0)-MATCH($C$1,[1]quests!$1:$1,0)+1,FALSE)</f>
        <v>【木曜限定】 緑の素材</v>
      </c>
      <c r="E110" s="3" t="str">
        <f ca="1">VLOOKUP($C110,OFFSET([1]quests!$A$1,0,0,COUNTA([1]quests!$A:$A),MATCH(E$1,[1]quests!$1:$1,0)-MATCH($C$1,[1]quests!$1:$1,0)+1),MATCH(E$1,[1]quests!$1:$1,0)-MATCH($C$1,[1]quests!$1:$1,0)+1,FALSE)</f>
        <v>木曜クエスト</v>
      </c>
      <c r="F110" s="5">
        <v>3</v>
      </c>
      <c r="G110" s="3" t="str">
        <f ca="1">VLOOKUP($C110&amp;"_"&amp;$F110,OFFSET([1]stages!$A$1,0,0,COUNTA([1]stages!$A:$A),MATCH(G$1,[1]stages!$2:$2,0)-MATCH("temp_stage",[1]stages!$2:$2,0)+1),MATCH(G$1,[1]stages!$2:$2,0)-MATCH("temp_stage",[1]stages!$2:$2,0)+1,FALSE)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0" s="3" t="str">
        <f ca="1">VLOOKUP($C110&amp;"_"&amp;$F110,OFFSET([1]stages!$A$1,0,0,COUNTA([1]stages!$A:$A),MATCH(H$1,[1]stages!$2:$2,0)-MATCH("temp_stage",[1]stages!$2:$2,0)+1),MATCH(H$1,[1]stages!$2:$2,0)-MATCH("temp_stage",[1]stages!$2:$2,0)+1,FALSE)</f>
        <v>木曜クエスト</v>
      </c>
      <c r="I110" s="18">
        <v>0</v>
      </c>
      <c r="J110" s="5">
        <f>COUNTIF(C$1:C110,C110)</f>
        <v>10</v>
      </c>
      <c r="K110" s="34">
        <v>14</v>
      </c>
      <c r="L110" s="5" t="s">
        <v>17</v>
      </c>
      <c r="M110" s="38" t="str">
        <f>VLOOKUP(K110,[2]stage_hints!$A:$C,3,FALSE)</f>
        <v>覚醒するにはレベルを最大に</v>
      </c>
      <c r="N110" s="39" t="str">
        <f>VLOOKUP(K110,[2]stage_hints!$A:$D,4,FALSE)</f>
        <v>覚醒するにはユニットのレベルを
最大まで上げる必要があります</v>
      </c>
      <c r="O110" s="20" t="s">
        <v>24</v>
      </c>
      <c r="P110">
        <v>14</v>
      </c>
    </row>
    <row r="111" spans="1:16" x14ac:dyDescent="0.15">
      <c r="A111" s="27" t="str">
        <f t="shared" si="23"/>
        <v>11004_3_11</v>
      </c>
      <c r="B111" s="25" t="s">
        <v>34</v>
      </c>
      <c r="C111" s="4">
        <v>11004</v>
      </c>
      <c r="D111" s="3" t="str">
        <f ca="1">VLOOKUP($C111,OFFSET([1]quests!$A$1,0,0,COUNTA([1]quests!$A:$A),MATCH(D$1,[1]quests!$1:$1,0)-MATCH($C$1,[1]quests!$1:$1,0)+1),MATCH(D$1,[1]quests!$1:$1,0)-MATCH($C$1,[1]quests!$1:$1,0)+1,FALSE)</f>
        <v>【木曜限定】 緑の素材</v>
      </c>
      <c r="E111" s="3" t="str">
        <f ca="1">VLOOKUP($C111,OFFSET([1]quests!$A$1,0,0,COUNTA([1]quests!$A:$A),MATCH(E$1,[1]quests!$1:$1,0)-MATCH($C$1,[1]quests!$1:$1,0)+1),MATCH(E$1,[1]quests!$1:$1,0)-MATCH($C$1,[1]quests!$1:$1,0)+1,FALSE)</f>
        <v>木曜クエスト</v>
      </c>
      <c r="F111" s="5">
        <v>3</v>
      </c>
      <c r="G111" s="3" t="str">
        <f ca="1">VLOOKUP($C111&amp;"_"&amp;$F111,OFFSET([1]stages!$A$1,0,0,COUNTA([1]stages!$A:$A),MATCH(G$1,[1]stages!$2:$2,0)-MATCH("temp_stage",[1]stages!$2:$2,0)+1),MATCH(G$1,[1]stages!$2:$2,0)-MATCH("temp_stage",[1]stages!$2:$2,0)+1,FALSE)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1" s="3" t="str">
        <f ca="1">VLOOKUP($C111&amp;"_"&amp;$F111,OFFSET([1]stages!$A$1,0,0,COUNTA([1]stages!$A:$A),MATCH(H$1,[1]stages!$2:$2,0)-MATCH("temp_stage",[1]stages!$2:$2,0)+1),MATCH(H$1,[1]stages!$2:$2,0)-MATCH("temp_stage",[1]stages!$2:$2,0)+1,FALSE)</f>
        <v>木曜クエスト</v>
      </c>
      <c r="I111" s="18">
        <v>0</v>
      </c>
      <c r="J111" s="5">
        <f>COUNTIF(C$1:C111,C111)</f>
        <v>11</v>
      </c>
      <c r="K111" s="34">
        <v>15</v>
      </c>
      <c r="L111" s="5" t="s">
        <v>17</v>
      </c>
      <c r="M111" s="38" t="str">
        <f>VLOOKUP(K111,[2]stage_hints!$A:$C,3,FALSE)</f>
        <v>覚醒素材を獲得</v>
      </c>
      <c r="N111" s="39" t="str">
        <f>VLOOKUP(K111,[2]stage_hints!$A:$D,4,FALSE)</f>
        <v>「曜日クエスト」では
ユニットの覚醒に必要な素材が手に入ります</v>
      </c>
      <c r="O111" s="20" t="s">
        <v>24</v>
      </c>
      <c r="P111">
        <v>15</v>
      </c>
    </row>
    <row r="112" spans="1:16" x14ac:dyDescent="0.15">
      <c r="A112" s="27" t="str">
        <f t="shared" ref="A112:A123" si="24">C112&amp;"_"&amp;F112&amp;"_"&amp;J112</f>
        <v>11004_3_12</v>
      </c>
      <c r="B112" s="25" t="s">
        <v>34</v>
      </c>
      <c r="C112" s="4">
        <v>11004</v>
      </c>
      <c r="D112" s="3" t="str">
        <f ca="1">VLOOKUP($C112,OFFSET([1]quests!$A$1,0,0,COUNTA([1]quests!$A:$A),MATCH(D$1,[1]quests!$1:$1,0)-MATCH($C$1,[1]quests!$1:$1,0)+1),MATCH(D$1,[1]quests!$1:$1,0)-MATCH($C$1,[1]quests!$1:$1,0)+1,FALSE)</f>
        <v>【木曜限定】 緑の素材</v>
      </c>
      <c r="E112" s="3" t="str">
        <f ca="1">VLOOKUP($C112,OFFSET([1]quests!$A$1,0,0,COUNTA([1]quests!$A:$A),MATCH(E$1,[1]quests!$1:$1,0)-MATCH($C$1,[1]quests!$1:$1,0)+1),MATCH(E$1,[1]quests!$1:$1,0)-MATCH($C$1,[1]quests!$1:$1,0)+1,FALSE)</f>
        <v>木曜クエスト</v>
      </c>
      <c r="F112" s="5">
        <v>3</v>
      </c>
      <c r="G112" s="3" t="str">
        <f ca="1">VLOOKUP($C112&amp;"_"&amp;$F112,OFFSET([1]stages!$A$1,0,0,COUNTA([1]stages!$A:$A),MATCH(G$1,[1]stages!$2:$2,0)-MATCH("temp_stage",[1]stages!$2:$2,0)+1),MATCH(G$1,[1]stages!$2:$2,0)-MATCH("temp_stage",[1]stages!$2:$2,0)+1,FALSE)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2" s="3" t="str">
        <f ca="1">VLOOKUP($C112&amp;"_"&amp;$F112,OFFSET([1]stages!$A$1,0,0,COUNTA([1]stages!$A:$A),MATCH(H$1,[1]stages!$2:$2,0)-MATCH("temp_stage",[1]stages!$2:$2,0)+1),MATCH(H$1,[1]stages!$2:$2,0)-MATCH("temp_stage",[1]stages!$2:$2,0)+1,FALSE)</f>
        <v>木曜クエスト</v>
      </c>
      <c r="I112" s="18">
        <v>0</v>
      </c>
      <c r="J112" s="5">
        <f>COUNTIF(C$1:C112,C112)</f>
        <v>12</v>
      </c>
      <c r="K112" s="34">
        <v>16</v>
      </c>
      <c r="L112" s="5" t="s">
        <v>17</v>
      </c>
      <c r="M112" s="38" t="str">
        <f>VLOOKUP(K112,[2]stage_hints!$A:$C,3,FALSE)</f>
        <v>マルチプレイのメリット（その1）</v>
      </c>
      <c r="N112" s="39" t="str">
        <f>VLOOKUP(K112,[2]stage_hints!$A:$D,4,FALSE)</f>
        <v>他のプレイヤーとマルチプレイで遊ぶと
ポリゴンがもらえます（100人まで）</v>
      </c>
      <c r="O112" s="20" t="s">
        <v>24</v>
      </c>
      <c r="P112">
        <v>16</v>
      </c>
    </row>
    <row r="113" spans="1:16" x14ac:dyDescent="0.15">
      <c r="A113" s="27" t="str">
        <f t="shared" si="24"/>
        <v>11004_3_13</v>
      </c>
      <c r="B113" s="25" t="s">
        <v>34</v>
      </c>
      <c r="C113" s="4">
        <v>11004</v>
      </c>
      <c r="D113" s="3" t="str">
        <f ca="1">VLOOKUP($C113,OFFSET([1]quests!$A$1,0,0,COUNTA([1]quests!$A:$A),MATCH(D$1,[1]quests!$1:$1,0)-MATCH($C$1,[1]quests!$1:$1,0)+1),MATCH(D$1,[1]quests!$1:$1,0)-MATCH($C$1,[1]quests!$1:$1,0)+1,FALSE)</f>
        <v>【木曜限定】 緑の素材</v>
      </c>
      <c r="E113" s="3" t="str">
        <f ca="1">VLOOKUP($C113,OFFSET([1]quests!$A$1,0,0,COUNTA([1]quests!$A:$A),MATCH(E$1,[1]quests!$1:$1,0)-MATCH($C$1,[1]quests!$1:$1,0)+1),MATCH(E$1,[1]quests!$1:$1,0)-MATCH($C$1,[1]quests!$1:$1,0)+1,FALSE)</f>
        <v>木曜クエスト</v>
      </c>
      <c r="F113" s="5">
        <v>3</v>
      </c>
      <c r="G113" s="3" t="str">
        <f ca="1">VLOOKUP($C113&amp;"_"&amp;$F113,OFFSET([1]stages!$A$1,0,0,COUNTA([1]stages!$A:$A),MATCH(G$1,[1]stages!$2:$2,0)-MATCH("temp_stage",[1]stages!$2:$2,0)+1),MATCH(G$1,[1]stages!$2:$2,0)-MATCH("temp_stage",[1]stages!$2:$2,0)+1,FALSE)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3" s="3" t="str">
        <f ca="1">VLOOKUP($C113&amp;"_"&amp;$F113,OFFSET([1]stages!$A$1,0,0,COUNTA([1]stages!$A:$A),MATCH(H$1,[1]stages!$2:$2,0)-MATCH("temp_stage",[1]stages!$2:$2,0)+1),MATCH(H$1,[1]stages!$2:$2,0)-MATCH("temp_stage",[1]stages!$2:$2,0)+1,FALSE)</f>
        <v>木曜クエスト</v>
      </c>
      <c r="I113" s="18">
        <v>0</v>
      </c>
      <c r="J113" s="5">
        <f>COUNTIF(C$1:C113,C113)</f>
        <v>13</v>
      </c>
      <c r="K113" s="34">
        <v>17</v>
      </c>
      <c r="L113" s="5" t="s">
        <v>17</v>
      </c>
      <c r="M113" s="38" t="str">
        <f>VLOOKUP(K113,[2]stage_hints!$A:$C,3,FALSE)</f>
        <v>リンクガチャ</v>
      </c>
      <c r="N113" s="39" t="str">
        <f>VLOOKUP(K113,[2]stage_hints!$A:$D,4,FALSE)</f>
        <v>無料のリンクガチャを回して
経験値素材や売却素材を獲得しましょう</v>
      </c>
      <c r="O113" s="20" t="s">
        <v>24</v>
      </c>
      <c r="P113">
        <v>17</v>
      </c>
    </row>
    <row r="114" spans="1:16" x14ac:dyDescent="0.15">
      <c r="A114" s="27" t="str">
        <f t="shared" si="24"/>
        <v>11004_3_14</v>
      </c>
      <c r="B114" s="25" t="s">
        <v>34</v>
      </c>
      <c r="C114" s="4">
        <v>11004</v>
      </c>
      <c r="D114" s="3" t="str">
        <f ca="1">VLOOKUP($C114,OFFSET([1]quests!$A$1,0,0,COUNTA([1]quests!$A:$A),MATCH(D$1,[1]quests!$1:$1,0)-MATCH($C$1,[1]quests!$1:$1,0)+1),MATCH(D$1,[1]quests!$1:$1,0)-MATCH($C$1,[1]quests!$1:$1,0)+1,FALSE)</f>
        <v>【木曜限定】 緑の素材</v>
      </c>
      <c r="E114" s="3" t="str">
        <f ca="1">VLOOKUP($C114,OFFSET([1]quests!$A$1,0,0,COUNTA([1]quests!$A:$A),MATCH(E$1,[1]quests!$1:$1,0)-MATCH($C$1,[1]quests!$1:$1,0)+1),MATCH(E$1,[1]quests!$1:$1,0)-MATCH($C$1,[1]quests!$1:$1,0)+1,FALSE)</f>
        <v>木曜クエスト</v>
      </c>
      <c r="F114" s="5">
        <v>3</v>
      </c>
      <c r="G114" s="3" t="str">
        <f ca="1">VLOOKUP($C114&amp;"_"&amp;$F114,OFFSET([1]stages!$A$1,0,0,COUNTA([1]stages!$A:$A),MATCH(G$1,[1]stages!$2:$2,0)-MATCH("temp_stage",[1]stages!$2:$2,0)+1),MATCH(G$1,[1]stages!$2:$2,0)-MATCH("temp_stage",[1]stages!$2:$2,0)+1,FALSE)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4" s="3" t="str">
        <f ca="1">VLOOKUP($C114&amp;"_"&amp;$F114,OFFSET([1]stages!$A$1,0,0,COUNTA([1]stages!$A:$A),MATCH(H$1,[1]stages!$2:$2,0)-MATCH("temp_stage",[1]stages!$2:$2,0)+1),MATCH(H$1,[1]stages!$2:$2,0)-MATCH("temp_stage",[1]stages!$2:$2,0)+1,FALSE)</f>
        <v>木曜クエスト</v>
      </c>
      <c r="I114" s="18">
        <v>0</v>
      </c>
      <c r="J114" s="5">
        <f>COUNTIF(C$1:C114,C114)</f>
        <v>14</v>
      </c>
      <c r="K114" s="34">
        <v>18</v>
      </c>
      <c r="L114" s="5" t="s">
        <v>17</v>
      </c>
      <c r="M114" s="38" t="str">
        <f>VLOOKUP(K114,[2]stage_hints!$A:$C,3,FALSE)</f>
        <v>マルチプレイのメリット（その2）</v>
      </c>
      <c r="N114" s="39" t="str">
        <f>VLOOKUP(K114,[2]stage_hints!$A:$D,4,FALSE)</f>
        <v>マルチプレイならリンクが2倍もらえます
リンクガチャをたくさん回しましょう</v>
      </c>
      <c r="O114" s="20" t="s">
        <v>24</v>
      </c>
      <c r="P114">
        <v>18</v>
      </c>
    </row>
    <row r="115" spans="1:16" x14ac:dyDescent="0.15">
      <c r="A115" s="27" t="str">
        <f t="shared" si="24"/>
        <v>11004_3_15</v>
      </c>
      <c r="B115" s="25" t="s">
        <v>34</v>
      </c>
      <c r="C115" s="4">
        <v>11004</v>
      </c>
      <c r="D115" s="3" t="str">
        <f ca="1">VLOOKUP($C115,OFFSET([1]quests!$A$1,0,0,COUNTA([1]quests!$A:$A),MATCH(D$1,[1]quests!$1:$1,0)-MATCH($C$1,[1]quests!$1:$1,0)+1),MATCH(D$1,[1]quests!$1:$1,0)-MATCH($C$1,[1]quests!$1:$1,0)+1,FALSE)</f>
        <v>【木曜限定】 緑の素材</v>
      </c>
      <c r="E115" s="3" t="str">
        <f ca="1">VLOOKUP($C115,OFFSET([1]quests!$A$1,0,0,COUNTA([1]quests!$A:$A),MATCH(E$1,[1]quests!$1:$1,0)-MATCH($C$1,[1]quests!$1:$1,0)+1),MATCH(E$1,[1]quests!$1:$1,0)-MATCH($C$1,[1]quests!$1:$1,0)+1,FALSE)</f>
        <v>木曜クエスト</v>
      </c>
      <c r="F115" s="5">
        <v>3</v>
      </c>
      <c r="G115" s="3" t="str">
        <f ca="1">VLOOKUP($C115&amp;"_"&amp;$F115,OFFSET([1]stages!$A$1,0,0,COUNTA([1]stages!$A:$A),MATCH(G$1,[1]stages!$2:$2,0)-MATCH("temp_stage",[1]stages!$2:$2,0)+1),MATCH(G$1,[1]stages!$2:$2,0)-MATCH("temp_stage",[1]stages!$2:$2,0)+1,FALSE)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5" s="3" t="str">
        <f ca="1">VLOOKUP($C115&amp;"_"&amp;$F115,OFFSET([1]stages!$A$1,0,0,COUNTA([1]stages!$A:$A),MATCH(H$1,[1]stages!$2:$2,0)-MATCH("temp_stage",[1]stages!$2:$2,0)+1),MATCH(H$1,[1]stages!$2:$2,0)-MATCH("temp_stage",[1]stages!$2:$2,0)+1,FALSE)</f>
        <v>木曜クエスト</v>
      </c>
      <c r="I115" s="18">
        <v>0</v>
      </c>
      <c r="J115" s="5">
        <f>COUNTIF(C$1:C115,C115)</f>
        <v>15</v>
      </c>
      <c r="K115" s="34">
        <v>19</v>
      </c>
      <c r="L115" s="5" t="s">
        <v>17</v>
      </c>
      <c r="M115" s="38" t="str">
        <f>VLOOKUP(K115,[2]stage_hints!$A:$C,3,FALSE)</f>
        <v>ソロ専用チャレンジタワー</v>
      </c>
      <c r="N115" s="39" t="str">
        <f>VLOOKUP(K115,[2]stage_hints!$A:$D,4,FALSE)</f>
        <v>ソロ専用の「チャレンジタワー」では
各フロアごとにクリア報酬がもらえます</v>
      </c>
      <c r="O115" s="20" t="s">
        <v>24</v>
      </c>
      <c r="P115">
        <v>19</v>
      </c>
    </row>
    <row r="116" spans="1:16" x14ac:dyDescent="0.15">
      <c r="A116" s="27" t="str">
        <f t="shared" si="24"/>
        <v>11004_3_16</v>
      </c>
      <c r="B116" s="25" t="s">
        <v>34</v>
      </c>
      <c r="C116" s="4">
        <v>11004</v>
      </c>
      <c r="D116" s="3" t="str">
        <f ca="1">VLOOKUP($C116,OFFSET([1]quests!$A$1,0,0,COUNTA([1]quests!$A:$A),MATCH(D$1,[1]quests!$1:$1,0)-MATCH($C$1,[1]quests!$1:$1,0)+1),MATCH(D$1,[1]quests!$1:$1,0)-MATCH($C$1,[1]quests!$1:$1,0)+1,FALSE)</f>
        <v>【木曜限定】 緑の素材</v>
      </c>
      <c r="E116" s="3" t="str">
        <f ca="1">VLOOKUP($C116,OFFSET([1]quests!$A$1,0,0,COUNTA([1]quests!$A:$A),MATCH(E$1,[1]quests!$1:$1,0)-MATCH($C$1,[1]quests!$1:$1,0)+1),MATCH(E$1,[1]quests!$1:$1,0)-MATCH($C$1,[1]quests!$1:$1,0)+1,FALSE)</f>
        <v>木曜クエスト</v>
      </c>
      <c r="F116" s="5">
        <v>3</v>
      </c>
      <c r="G116" s="3" t="str">
        <f ca="1">VLOOKUP($C116&amp;"_"&amp;$F116,OFFSET([1]stages!$A$1,0,0,COUNTA([1]stages!$A:$A),MATCH(G$1,[1]stages!$2:$2,0)-MATCH("temp_stage",[1]stages!$2:$2,0)+1),MATCH(G$1,[1]stages!$2:$2,0)-MATCH("temp_stage",[1]stages!$2:$2,0)+1,FALSE)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6" s="3" t="str">
        <f ca="1">VLOOKUP($C116&amp;"_"&amp;$F116,OFFSET([1]stages!$A$1,0,0,COUNTA([1]stages!$A:$A),MATCH(H$1,[1]stages!$2:$2,0)-MATCH("temp_stage",[1]stages!$2:$2,0)+1),MATCH(H$1,[1]stages!$2:$2,0)-MATCH("temp_stage",[1]stages!$2:$2,0)+1,FALSE)</f>
        <v>木曜クエスト</v>
      </c>
      <c r="I116" s="18">
        <v>0</v>
      </c>
      <c r="J116" s="5">
        <f>COUNTIF(C$1:C116,C116)</f>
        <v>16</v>
      </c>
      <c r="K116" s="34">
        <v>20</v>
      </c>
      <c r="L116" s="5" t="s">
        <v>17</v>
      </c>
      <c r="M116" s="38" t="str">
        <f>VLOOKUP(K116,[2]stage_hints!$A:$C,3,FALSE)</f>
        <v>マルチプレイのメリット（その3）</v>
      </c>
      <c r="N116" s="39" t="str">
        <f>VLOOKUP(K116,[2]stage_hints!$A:$D,4,FALSE)</f>
        <v>マルチプレイへの参加はエナジー消費ゼロ
いつでも好きなだけ遊ぶことができます</v>
      </c>
      <c r="O116" s="20" t="s">
        <v>24</v>
      </c>
      <c r="P116">
        <v>20</v>
      </c>
    </row>
    <row r="117" spans="1:16" x14ac:dyDescent="0.15">
      <c r="A117" s="27" t="str">
        <f t="shared" si="24"/>
        <v>11004_3_17</v>
      </c>
      <c r="B117" s="25" t="s">
        <v>34</v>
      </c>
      <c r="C117" s="4">
        <v>11004</v>
      </c>
      <c r="D117" s="3" t="str">
        <f ca="1">VLOOKUP($C117,OFFSET([1]quests!$A$1,0,0,COUNTA([1]quests!$A:$A),MATCH(D$1,[1]quests!$1:$1,0)-MATCH($C$1,[1]quests!$1:$1,0)+1),MATCH(D$1,[1]quests!$1:$1,0)-MATCH($C$1,[1]quests!$1:$1,0)+1,FALSE)</f>
        <v>【木曜限定】 緑の素材</v>
      </c>
      <c r="E117" s="3" t="str">
        <f ca="1">VLOOKUP($C117,OFFSET([1]quests!$A$1,0,0,COUNTA([1]quests!$A:$A),MATCH(E$1,[1]quests!$1:$1,0)-MATCH($C$1,[1]quests!$1:$1,0)+1),MATCH(E$1,[1]quests!$1:$1,0)-MATCH($C$1,[1]quests!$1:$1,0)+1,FALSE)</f>
        <v>木曜クエスト</v>
      </c>
      <c r="F117" s="5">
        <v>3</v>
      </c>
      <c r="G117" s="3" t="str">
        <f ca="1">VLOOKUP($C117&amp;"_"&amp;$F117,OFFSET([1]stages!$A$1,0,0,COUNTA([1]stages!$A:$A),MATCH(G$1,[1]stages!$2:$2,0)-MATCH("temp_stage",[1]stages!$2:$2,0)+1),MATCH(G$1,[1]stages!$2:$2,0)-MATCH("temp_stage",[1]stages!$2:$2,0)+1,FALSE)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7" s="3" t="str">
        <f ca="1">VLOOKUP($C117&amp;"_"&amp;$F117,OFFSET([1]stages!$A$1,0,0,COUNTA([1]stages!$A:$A),MATCH(H$1,[1]stages!$2:$2,0)-MATCH("temp_stage",[1]stages!$2:$2,0)+1),MATCH(H$1,[1]stages!$2:$2,0)-MATCH("temp_stage",[1]stages!$2:$2,0)+1,FALSE)</f>
        <v>木曜クエスト</v>
      </c>
      <c r="I117" s="18">
        <v>0</v>
      </c>
      <c r="J117" s="5">
        <f>COUNTIF(C$1:C117,C117)</f>
        <v>17</v>
      </c>
      <c r="K117" s="34">
        <v>21</v>
      </c>
      <c r="L117" s="5" t="s">
        <v>17</v>
      </c>
      <c r="M117" s="38" t="str">
        <f>VLOOKUP(K117,[2]stage_hints!$A:$C,3,FALSE)</f>
        <v>スキルを有効に</v>
      </c>
      <c r="N117" s="39" t="str">
        <f>VLOOKUP(K117,[2]stage_hints!$A:$D,4,FALSE)</f>
        <v>ターン経過でユニットのスキルが使えます
強力スキルでバトルを有利に進めましょう</v>
      </c>
      <c r="O117" s="20" t="s">
        <v>24</v>
      </c>
      <c r="P117">
        <v>21</v>
      </c>
    </row>
    <row r="118" spans="1:16" x14ac:dyDescent="0.15">
      <c r="A118" s="27" t="str">
        <f t="shared" si="24"/>
        <v>11004_3_18</v>
      </c>
      <c r="B118" s="25" t="s">
        <v>34</v>
      </c>
      <c r="C118" s="4">
        <v>11004</v>
      </c>
      <c r="D118" s="3" t="str">
        <f ca="1">VLOOKUP($C118,OFFSET([1]quests!$A$1,0,0,COUNTA([1]quests!$A:$A),MATCH(D$1,[1]quests!$1:$1,0)-MATCH($C$1,[1]quests!$1:$1,0)+1),MATCH(D$1,[1]quests!$1:$1,0)-MATCH($C$1,[1]quests!$1:$1,0)+1,FALSE)</f>
        <v>【木曜限定】 緑の素材</v>
      </c>
      <c r="E118" s="3" t="str">
        <f ca="1">VLOOKUP($C118,OFFSET([1]quests!$A$1,0,0,COUNTA([1]quests!$A:$A),MATCH(E$1,[1]quests!$1:$1,0)-MATCH($C$1,[1]quests!$1:$1,0)+1),MATCH(E$1,[1]quests!$1:$1,0)-MATCH($C$1,[1]quests!$1:$1,0)+1,FALSE)</f>
        <v>木曜クエスト</v>
      </c>
      <c r="F118" s="5">
        <v>3</v>
      </c>
      <c r="G118" s="3" t="str">
        <f ca="1">VLOOKUP($C118&amp;"_"&amp;$F118,OFFSET([1]stages!$A$1,0,0,COUNTA([1]stages!$A:$A),MATCH(G$1,[1]stages!$2:$2,0)-MATCH("temp_stage",[1]stages!$2:$2,0)+1),MATCH(G$1,[1]stages!$2:$2,0)-MATCH("temp_stage",[1]stages!$2:$2,0)+1,FALSE)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8" s="3" t="str">
        <f ca="1">VLOOKUP($C118&amp;"_"&amp;$F118,OFFSET([1]stages!$A$1,0,0,COUNTA([1]stages!$A:$A),MATCH(H$1,[1]stages!$2:$2,0)-MATCH("temp_stage",[1]stages!$2:$2,0)+1),MATCH(H$1,[1]stages!$2:$2,0)-MATCH("temp_stage",[1]stages!$2:$2,0)+1,FALSE)</f>
        <v>木曜クエスト</v>
      </c>
      <c r="I118" s="18">
        <v>0</v>
      </c>
      <c r="J118" s="5">
        <f>COUNTIF(C$1:C118,C118)</f>
        <v>18</v>
      </c>
      <c r="K118" s="34">
        <v>22</v>
      </c>
      <c r="L118" s="5" t="s">
        <v>17</v>
      </c>
      <c r="M118" s="38" t="str">
        <f>VLOOKUP(K118,[2]stage_hints!$A:$C,3,FALSE)</f>
        <v>フィーバーで一発逆転（その1）</v>
      </c>
      <c r="N118" s="39" t="str">
        <f>VLOOKUP(K118,[2]stage_hints!$A:$D,4,FALSE)</f>
        <v>フィーバーは攻撃と回復を兼ね備えます
ピンチからの一発逆転を狙いましょう</v>
      </c>
      <c r="O118" s="20" t="s">
        <v>24</v>
      </c>
      <c r="P118">
        <v>22</v>
      </c>
    </row>
    <row r="119" spans="1:16" x14ac:dyDescent="0.15">
      <c r="A119" s="27" t="str">
        <f t="shared" si="24"/>
        <v>11004_3_19</v>
      </c>
      <c r="B119" s="25" t="s">
        <v>34</v>
      </c>
      <c r="C119" s="4">
        <v>11004</v>
      </c>
      <c r="D119" s="3" t="str">
        <f ca="1">VLOOKUP($C119,OFFSET([1]quests!$A$1,0,0,COUNTA([1]quests!$A:$A),MATCH(D$1,[1]quests!$1:$1,0)-MATCH($C$1,[1]quests!$1:$1,0)+1),MATCH(D$1,[1]quests!$1:$1,0)-MATCH($C$1,[1]quests!$1:$1,0)+1,FALSE)</f>
        <v>【木曜限定】 緑の素材</v>
      </c>
      <c r="E119" s="3" t="str">
        <f ca="1">VLOOKUP($C119,OFFSET([1]quests!$A$1,0,0,COUNTA([1]quests!$A:$A),MATCH(E$1,[1]quests!$1:$1,0)-MATCH($C$1,[1]quests!$1:$1,0)+1),MATCH(E$1,[1]quests!$1:$1,0)-MATCH($C$1,[1]quests!$1:$1,0)+1,FALSE)</f>
        <v>木曜クエスト</v>
      </c>
      <c r="F119" s="5">
        <v>3</v>
      </c>
      <c r="G119" s="3" t="str">
        <f ca="1">VLOOKUP($C119&amp;"_"&amp;$F119,OFFSET([1]stages!$A$1,0,0,COUNTA([1]stages!$A:$A),MATCH(G$1,[1]stages!$2:$2,0)-MATCH("temp_stage",[1]stages!$2:$2,0)+1),MATCH(G$1,[1]stages!$2:$2,0)-MATCH("temp_stage",[1]stages!$2:$2,0)+1,FALSE)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19" s="3" t="str">
        <f ca="1">VLOOKUP($C119&amp;"_"&amp;$F119,OFFSET([1]stages!$A$1,0,0,COUNTA([1]stages!$A:$A),MATCH(H$1,[1]stages!$2:$2,0)-MATCH("temp_stage",[1]stages!$2:$2,0)+1),MATCH(H$1,[1]stages!$2:$2,0)-MATCH("temp_stage",[1]stages!$2:$2,0)+1,FALSE)</f>
        <v>木曜クエスト</v>
      </c>
      <c r="I119" s="18">
        <v>0</v>
      </c>
      <c r="J119" s="5">
        <f>COUNTIF(C$1:C119,C119)</f>
        <v>19</v>
      </c>
      <c r="K119" s="34">
        <v>23</v>
      </c>
      <c r="L119" s="5" t="s">
        <v>17</v>
      </c>
      <c r="M119" s="38" t="str">
        <f>VLOOKUP(K119,[2]stage_hints!$A:$C,3,FALSE)</f>
        <v>フィーバーで一発逆転（その2）</v>
      </c>
      <c r="N119" s="39" t="str">
        <f>VLOOKUP(K119,[2]stage_hints!$A:$D,4,FALSE)</f>
        <v>フィーバー中は虹色のボムパネルを狙って
画面上のパネルを一気に破壊しましょう</v>
      </c>
      <c r="O119" s="20" t="s">
        <v>24</v>
      </c>
      <c r="P119">
        <v>23</v>
      </c>
    </row>
    <row r="120" spans="1:16" x14ac:dyDescent="0.15">
      <c r="A120" s="27" t="str">
        <f t="shared" si="24"/>
        <v>11004_3_20</v>
      </c>
      <c r="B120" s="25" t="s">
        <v>34</v>
      </c>
      <c r="C120" s="4">
        <v>11004</v>
      </c>
      <c r="D120" s="3" t="str">
        <f ca="1">VLOOKUP($C120,OFFSET([1]quests!$A$1,0,0,COUNTA([1]quests!$A:$A),MATCH(D$1,[1]quests!$1:$1,0)-MATCH($C$1,[1]quests!$1:$1,0)+1),MATCH(D$1,[1]quests!$1:$1,0)-MATCH($C$1,[1]quests!$1:$1,0)+1,FALSE)</f>
        <v>【木曜限定】 緑の素材</v>
      </c>
      <c r="E120" s="3" t="str">
        <f ca="1">VLOOKUP($C120,OFFSET([1]quests!$A$1,0,0,COUNTA([1]quests!$A:$A),MATCH(E$1,[1]quests!$1:$1,0)-MATCH($C$1,[1]quests!$1:$1,0)+1),MATCH(E$1,[1]quests!$1:$1,0)-MATCH($C$1,[1]quests!$1:$1,0)+1,FALSE)</f>
        <v>木曜クエスト</v>
      </c>
      <c r="F120" s="5">
        <v>3</v>
      </c>
      <c r="G120" s="3" t="str">
        <f ca="1">VLOOKUP($C120&amp;"_"&amp;$F120,OFFSET([1]stages!$A$1,0,0,COUNTA([1]stages!$A:$A),MATCH(G$1,[1]stages!$2:$2,0)-MATCH("temp_stage",[1]stages!$2:$2,0)+1),MATCH(G$1,[1]stages!$2:$2,0)-MATCH("temp_stage",[1]stages!$2:$2,0)+1,FALSE)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0" s="3" t="str">
        <f ca="1">VLOOKUP($C120&amp;"_"&amp;$F120,OFFSET([1]stages!$A$1,0,0,COUNTA([1]stages!$A:$A),MATCH(H$1,[1]stages!$2:$2,0)-MATCH("temp_stage",[1]stages!$2:$2,0)+1),MATCH(H$1,[1]stages!$2:$2,0)-MATCH("temp_stage",[1]stages!$2:$2,0)+1,FALSE)</f>
        <v>木曜クエスト</v>
      </c>
      <c r="I120" s="18">
        <v>0</v>
      </c>
      <c r="J120" s="5">
        <f>COUNTIF(C$1:C120,C120)</f>
        <v>20</v>
      </c>
      <c r="K120" s="34">
        <v>24</v>
      </c>
      <c r="L120" s="5" t="s">
        <v>17</v>
      </c>
      <c r="M120" s="38" t="str">
        <f>VLOOKUP(K120,[2]stage_hints!$A:$C,3,FALSE)</f>
        <v>りんごを使って限界突破</v>
      </c>
      <c r="N120" s="39" t="str">
        <f>VLOOKUP(K120,[2]stage_hints!$A:$D,4,FALSE)</f>
        <v>赤りんご(攻撃力) 青りんご(回復力)
緑りんご(体力)をユニット強化に使うと
ステータスが限界突破します（計99個迄）</v>
      </c>
      <c r="O120" s="20" t="s">
        <v>24</v>
      </c>
      <c r="P120">
        <v>24</v>
      </c>
    </row>
    <row r="121" spans="1:16" x14ac:dyDescent="0.15">
      <c r="A121" s="27" t="str">
        <f t="shared" si="24"/>
        <v>11004_3_21</v>
      </c>
      <c r="B121" s="25" t="s">
        <v>34</v>
      </c>
      <c r="C121" s="4">
        <v>11004</v>
      </c>
      <c r="D121" s="3" t="str">
        <f ca="1">VLOOKUP($C121,OFFSET([1]quests!$A$1,0,0,COUNTA([1]quests!$A:$A),MATCH(D$1,[1]quests!$1:$1,0)-MATCH($C$1,[1]quests!$1:$1,0)+1),MATCH(D$1,[1]quests!$1:$1,0)-MATCH($C$1,[1]quests!$1:$1,0)+1,FALSE)</f>
        <v>【木曜限定】 緑の素材</v>
      </c>
      <c r="E121" s="3" t="str">
        <f ca="1">VLOOKUP($C121,OFFSET([1]quests!$A$1,0,0,COUNTA([1]quests!$A:$A),MATCH(E$1,[1]quests!$1:$1,0)-MATCH($C$1,[1]quests!$1:$1,0)+1),MATCH(E$1,[1]quests!$1:$1,0)-MATCH($C$1,[1]quests!$1:$1,0)+1,FALSE)</f>
        <v>木曜クエスト</v>
      </c>
      <c r="F121" s="5">
        <v>3</v>
      </c>
      <c r="G121" s="3" t="str">
        <f ca="1">VLOOKUP($C121&amp;"_"&amp;$F121,OFFSET([1]stages!$A$1,0,0,COUNTA([1]stages!$A:$A),MATCH(G$1,[1]stages!$2:$2,0)-MATCH("temp_stage",[1]stages!$2:$2,0)+1),MATCH(G$1,[1]stages!$2:$2,0)-MATCH("temp_stage",[1]stages!$2:$2,0)+1,FALSE)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1" s="3" t="str">
        <f ca="1">VLOOKUP($C121&amp;"_"&amp;$F121,OFFSET([1]stages!$A$1,0,0,COUNTA([1]stages!$A:$A),MATCH(H$1,[1]stages!$2:$2,0)-MATCH("temp_stage",[1]stages!$2:$2,0)+1),MATCH(H$1,[1]stages!$2:$2,0)-MATCH("temp_stage",[1]stages!$2:$2,0)+1,FALSE)</f>
        <v>木曜クエスト</v>
      </c>
      <c r="I121" s="18">
        <v>0</v>
      </c>
      <c r="J121" s="5">
        <f>COUNTIF(C$1:C121,C121)</f>
        <v>21</v>
      </c>
      <c r="K121" s="34">
        <v>25</v>
      </c>
      <c r="L121" s="5" t="s">
        <v>17</v>
      </c>
      <c r="M121" s="38" t="str">
        <f>VLOOKUP(K121,[2]stage_hints!$A:$C,3,FALSE)</f>
        <v>スキルレベルアップ</v>
      </c>
      <c r="N121" s="39" t="str">
        <f>VLOOKUP(K121,[2]stage_hints!$A:$D,4,FALSE)</f>
        <v>「クリスタルのりんご」を強化に使うと
スキルレベルを上げることができます</v>
      </c>
      <c r="O121" s="20" t="s">
        <v>24</v>
      </c>
      <c r="P121">
        <v>25</v>
      </c>
    </row>
    <row r="122" spans="1:16" x14ac:dyDescent="0.15">
      <c r="A122" s="27" t="str">
        <f t="shared" si="24"/>
        <v>11004_3_22</v>
      </c>
      <c r="B122" s="25" t="s">
        <v>34</v>
      </c>
      <c r="C122" s="4">
        <v>11004</v>
      </c>
      <c r="D122" s="3" t="str">
        <f ca="1">VLOOKUP($C122,OFFSET([1]quests!$A$1,0,0,COUNTA([1]quests!$A:$A),MATCH(D$1,[1]quests!$1:$1,0)-MATCH($C$1,[1]quests!$1:$1,0)+1),MATCH(D$1,[1]quests!$1:$1,0)-MATCH($C$1,[1]quests!$1:$1,0)+1,FALSE)</f>
        <v>【木曜限定】 緑の素材</v>
      </c>
      <c r="E122" s="3" t="str">
        <f ca="1">VLOOKUP($C122,OFFSET([1]quests!$A$1,0,0,COUNTA([1]quests!$A:$A),MATCH(E$1,[1]quests!$1:$1,0)-MATCH($C$1,[1]quests!$1:$1,0)+1),MATCH(E$1,[1]quests!$1:$1,0)-MATCH($C$1,[1]quests!$1:$1,0)+1,FALSE)</f>
        <v>木曜クエスト</v>
      </c>
      <c r="F122" s="5">
        <v>3</v>
      </c>
      <c r="G122" s="3" t="str">
        <f ca="1">VLOOKUP($C122&amp;"_"&amp;$F122,OFFSET([1]stages!$A$1,0,0,COUNTA([1]stages!$A:$A),MATCH(G$1,[1]stages!$2:$2,0)-MATCH("temp_stage",[1]stages!$2:$2,0)+1),MATCH(G$1,[1]stages!$2:$2,0)-MATCH("temp_stage",[1]stages!$2:$2,0)+1,FALSE)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2" s="3" t="str">
        <f ca="1">VLOOKUP($C122&amp;"_"&amp;$F122,OFFSET([1]stages!$A$1,0,0,COUNTA([1]stages!$A:$A),MATCH(H$1,[1]stages!$2:$2,0)-MATCH("temp_stage",[1]stages!$2:$2,0)+1),MATCH(H$1,[1]stages!$2:$2,0)-MATCH("temp_stage",[1]stages!$2:$2,0)+1,FALSE)</f>
        <v>木曜クエスト</v>
      </c>
      <c r="I122" s="18">
        <v>0</v>
      </c>
      <c r="J122" s="5">
        <f>COUNTIF(C$1:C122,C122)</f>
        <v>22</v>
      </c>
      <c r="K122" s="34">
        <v>26</v>
      </c>
      <c r="L122" s="5" t="s">
        <v>17</v>
      </c>
      <c r="M122" s="38" t="str">
        <f>VLOOKUP(K122,[2]stage_hints!$A:$C,3,FALSE)</f>
        <v>スキルレベルの効果</v>
      </c>
      <c r="N122" s="39" t="str">
        <f>VLOOKUP(K122,[2]stage_hints!$A:$D,4,FALSE)</f>
        <v>スキルレベルが上がると
短いターンでスキルを使うことができます</v>
      </c>
      <c r="O122" s="20" t="s">
        <v>24</v>
      </c>
      <c r="P122">
        <v>26</v>
      </c>
    </row>
    <row r="123" spans="1:16" x14ac:dyDescent="0.15">
      <c r="A123" s="27" t="str">
        <f t="shared" si="24"/>
        <v>11004_3_23</v>
      </c>
      <c r="B123" s="25" t="s">
        <v>34</v>
      </c>
      <c r="C123" s="4">
        <v>11004</v>
      </c>
      <c r="D123" s="3" t="str">
        <f ca="1">VLOOKUP($C123,OFFSET([1]quests!$A$1,0,0,COUNTA([1]quests!$A:$A),MATCH(D$1,[1]quests!$1:$1,0)-MATCH($C$1,[1]quests!$1:$1,0)+1),MATCH(D$1,[1]quests!$1:$1,0)-MATCH($C$1,[1]quests!$1:$1,0)+1,FALSE)</f>
        <v>【木曜限定】 緑の素材</v>
      </c>
      <c r="E123" s="3" t="str">
        <f ca="1">VLOOKUP($C123,OFFSET([1]quests!$A$1,0,0,COUNTA([1]quests!$A:$A),MATCH(E$1,[1]quests!$1:$1,0)-MATCH($C$1,[1]quests!$1:$1,0)+1),MATCH(E$1,[1]quests!$1:$1,0)-MATCH($C$1,[1]quests!$1:$1,0)+1,FALSE)</f>
        <v>木曜クエスト</v>
      </c>
      <c r="F123" s="5">
        <v>3</v>
      </c>
      <c r="G123" s="3" t="str">
        <f ca="1">VLOOKUP($C123&amp;"_"&amp;$F123,OFFSET([1]stages!$A$1,0,0,COUNTA([1]stages!$A:$A),MATCH(G$1,[1]stages!$2:$2,0)-MATCH("temp_stage",[1]stages!$2:$2,0)+1),MATCH(G$1,[1]stages!$2:$2,0)-MATCH("temp_stage",[1]stages!$2:$2,0)+1,FALSE)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3" s="3" t="str">
        <f ca="1">VLOOKUP($C123&amp;"_"&amp;$F123,OFFSET([1]stages!$A$1,0,0,COUNTA([1]stages!$A:$A),MATCH(H$1,[1]stages!$2:$2,0)-MATCH("temp_stage",[1]stages!$2:$2,0)+1),MATCH(H$1,[1]stages!$2:$2,0)-MATCH("temp_stage",[1]stages!$2:$2,0)+1,FALSE)</f>
        <v>木曜クエスト</v>
      </c>
      <c r="I123" s="18">
        <v>0</v>
      </c>
      <c r="J123" s="5">
        <f>COUNTIF(C$1:C123,C123)</f>
        <v>23</v>
      </c>
      <c r="K123" s="34">
        <v>27</v>
      </c>
      <c r="L123" s="5" t="s">
        <v>17</v>
      </c>
      <c r="M123" s="38" t="str">
        <f>VLOOKUP(K123,[2]stage_hints!$A:$C,3,FALSE)</f>
        <v>ホーム画面からデッキを編成</v>
      </c>
      <c r="N123" s="39" t="str">
        <f>VLOOKUP(K123,[2]stage_hints!$A:$D,4,FALSE)</f>
        <v>ホーム画面でユニットを長押しすると
すぐにパーティ編成に移動できます</v>
      </c>
      <c r="O123" s="20" t="s">
        <v>24</v>
      </c>
      <c r="P123">
        <v>27</v>
      </c>
    </row>
    <row r="124" spans="1:16" x14ac:dyDescent="0.15">
      <c r="A124" s="27" t="str">
        <f t="shared" ref="A124" si="25">C124&amp;"_"&amp;F124&amp;"_"&amp;J124</f>
        <v>11004_3_24</v>
      </c>
      <c r="B124" s="25" t="s">
        <v>34</v>
      </c>
      <c r="C124" s="4">
        <v>11004</v>
      </c>
      <c r="D124" s="3" t="str">
        <f ca="1">VLOOKUP($C124,OFFSET([1]quests!$A$1,0,0,COUNTA([1]quests!$A:$A),MATCH(D$1,[1]quests!$1:$1,0)-MATCH($C$1,[1]quests!$1:$1,0)+1),MATCH(D$1,[1]quests!$1:$1,0)-MATCH($C$1,[1]quests!$1:$1,0)+1,FALSE)</f>
        <v>【木曜限定】 緑の素材</v>
      </c>
      <c r="E124" s="3" t="str">
        <f ca="1">VLOOKUP($C124,OFFSET([1]quests!$A$1,0,0,COUNTA([1]quests!$A:$A),MATCH(E$1,[1]quests!$1:$1,0)-MATCH($C$1,[1]quests!$1:$1,0)+1),MATCH(E$1,[1]quests!$1:$1,0)-MATCH($C$1,[1]quests!$1:$1,0)+1,FALSE)</f>
        <v>木曜クエスト</v>
      </c>
      <c r="F124" s="5">
        <v>3</v>
      </c>
      <c r="G124" s="3" t="str">
        <f ca="1">VLOOKUP($C124&amp;"_"&amp;$F124,OFFSET([1]stages!$A$1,0,0,COUNTA([1]stages!$A:$A),MATCH(G$1,[1]stages!$2:$2,0)-MATCH("temp_stage",[1]stages!$2:$2,0)+1),MATCH(G$1,[1]stages!$2:$2,0)-MATCH("temp_stage",[1]stages!$2:$2,0)+1,FALSE)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4" s="3" t="str">
        <f ca="1">VLOOKUP($C124&amp;"_"&amp;$F124,OFFSET([1]stages!$A$1,0,0,COUNTA([1]stages!$A:$A),MATCH(H$1,[1]stages!$2:$2,0)-MATCH("temp_stage",[1]stages!$2:$2,0)+1),MATCH(H$1,[1]stages!$2:$2,0)-MATCH("temp_stage",[1]stages!$2:$2,0)+1,FALSE)</f>
        <v>木曜クエスト</v>
      </c>
      <c r="I124" s="18">
        <v>0</v>
      </c>
      <c r="J124" s="5">
        <f>COUNTIF(C$1:C124,C124)</f>
        <v>24</v>
      </c>
      <c r="K124" s="34">
        <v>28</v>
      </c>
      <c r="L124" s="5" t="s">
        <v>17</v>
      </c>
      <c r="M124" s="38" t="str">
        <f>VLOOKUP(K124,[2]stage_hints!$A:$C,3,FALSE)</f>
        <v>ステータス情報は長押しで</v>
      </c>
      <c r="N124" s="39" t="str">
        <f>VLOOKUP(K124,[2]stage_hints!$A:$D,4,FALSE)</f>
        <v>ユニットのアイコンを長押しすると
ステータス情報を確認することができます</v>
      </c>
      <c r="O124" s="20" t="s">
        <v>24</v>
      </c>
      <c r="P124">
        <v>28</v>
      </c>
    </row>
    <row r="125" spans="1:16" x14ac:dyDescent="0.15">
      <c r="A125" s="27" t="str">
        <f t="shared" ref="A125:A126" si="26">C125&amp;"_"&amp;F125&amp;"_"&amp;J125</f>
        <v>11004_3_25</v>
      </c>
      <c r="B125" s="25" t="s">
        <v>34</v>
      </c>
      <c r="C125" s="4">
        <v>11004</v>
      </c>
      <c r="D125" s="3" t="str">
        <f ca="1">VLOOKUP($C125,OFFSET([1]quests!$A$1,0,0,COUNTA([1]quests!$A:$A),MATCH(D$1,[1]quests!$1:$1,0)-MATCH($C$1,[1]quests!$1:$1,0)+1),MATCH(D$1,[1]quests!$1:$1,0)-MATCH($C$1,[1]quests!$1:$1,0)+1,FALSE)</f>
        <v>【木曜限定】 緑の素材</v>
      </c>
      <c r="E125" s="3" t="str">
        <f ca="1">VLOOKUP($C125,OFFSET([1]quests!$A$1,0,0,COUNTA([1]quests!$A:$A),MATCH(E$1,[1]quests!$1:$1,0)-MATCH($C$1,[1]quests!$1:$1,0)+1),MATCH(E$1,[1]quests!$1:$1,0)-MATCH($C$1,[1]quests!$1:$1,0)+1,FALSE)</f>
        <v>木曜クエスト</v>
      </c>
      <c r="F125" s="5">
        <v>3</v>
      </c>
      <c r="G125" s="3" t="str">
        <f ca="1">VLOOKUP($C125&amp;"_"&amp;$F125,OFFSET([1]stages!$A$1,0,0,COUNTA([1]stages!$A:$A),MATCH(G$1,[1]stages!$2:$2,0)-MATCH("temp_stage",[1]stages!$2:$2,0)+1),MATCH(G$1,[1]stages!$2:$2,0)-MATCH("temp_stage",[1]stages!$2:$2,0)+1,FALSE)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5" s="3" t="str">
        <f ca="1">VLOOKUP($C125&amp;"_"&amp;$F125,OFFSET([1]stages!$A$1,0,0,COUNTA([1]stages!$A:$A),MATCH(H$1,[1]stages!$2:$2,0)-MATCH("temp_stage",[1]stages!$2:$2,0)+1),MATCH(H$1,[1]stages!$2:$2,0)-MATCH("temp_stage",[1]stages!$2:$2,0)+1,FALSE)</f>
        <v>木曜クエスト</v>
      </c>
      <c r="I125" s="18">
        <v>0</v>
      </c>
      <c r="J125" s="5">
        <f>COUNTIF(C$1:C125,C125)</f>
        <v>25</v>
      </c>
      <c r="K125" s="34">
        <v>29</v>
      </c>
      <c r="L125" s="5" t="s">
        <v>17</v>
      </c>
      <c r="M125" s="38" t="str">
        <f>VLOOKUP(K125,[2]stage_hints!$A:$C,3,FALSE)</f>
        <v>「バグ」のメリット</v>
      </c>
      <c r="N125" s="39" t="str">
        <f>VLOOKUP(K125,[2]stage_hints!$A:$D,4,FALSE)</f>
        <v>ユニットの「バグ」を増やすと
報酬をもらえる確率がアップします</v>
      </c>
      <c r="O125" s="20" t="s">
        <v>24</v>
      </c>
      <c r="P125">
        <v>29</v>
      </c>
    </row>
    <row r="126" spans="1:16" x14ac:dyDescent="0.15">
      <c r="A126" s="27" t="str">
        <f t="shared" si="26"/>
        <v>11004_3_26</v>
      </c>
      <c r="B126" s="25" t="s">
        <v>34</v>
      </c>
      <c r="C126" s="4">
        <v>11004</v>
      </c>
      <c r="D126" s="3" t="str">
        <f ca="1">VLOOKUP($C126,OFFSET([1]quests!$A$1,0,0,COUNTA([1]quests!$A:$A),MATCH(D$1,[1]quests!$1:$1,0)-MATCH($C$1,[1]quests!$1:$1,0)+1),MATCH(D$1,[1]quests!$1:$1,0)-MATCH($C$1,[1]quests!$1:$1,0)+1,FALSE)</f>
        <v>【木曜限定】 緑の素材</v>
      </c>
      <c r="E126" s="3" t="str">
        <f ca="1">VLOOKUP($C126,OFFSET([1]quests!$A$1,0,0,COUNTA([1]quests!$A:$A),MATCH(E$1,[1]quests!$1:$1,0)-MATCH($C$1,[1]quests!$1:$1,0)+1),MATCH(E$1,[1]quests!$1:$1,0)-MATCH($C$1,[1]quests!$1:$1,0)+1,FALSE)</f>
        <v>木曜クエスト</v>
      </c>
      <c r="F126" s="5">
        <v>3</v>
      </c>
      <c r="G126" s="3" t="str">
        <f ca="1">VLOOKUP($C126&amp;"_"&amp;$F126,OFFSET([1]stages!$A$1,0,0,COUNTA([1]stages!$A:$A),MATCH(G$1,[1]stages!$2:$2,0)-MATCH("temp_stage",[1]stages!$2:$2,0)+1),MATCH(G$1,[1]stages!$2:$2,0)-MATCH("temp_stage",[1]stages!$2:$2,0)+1,FALSE)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6" s="3" t="str">
        <f ca="1">VLOOKUP($C126&amp;"_"&amp;$F126,OFFSET([1]stages!$A$1,0,0,COUNTA([1]stages!$A:$A),MATCH(H$1,[1]stages!$2:$2,0)-MATCH("temp_stage",[1]stages!$2:$2,0)+1),MATCH(H$1,[1]stages!$2:$2,0)-MATCH("temp_stage",[1]stages!$2:$2,0)+1,FALSE)</f>
        <v>木曜クエスト</v>
      </c>
      <c r="I126" s="18">
        <v>0</v>
      </c>
      <c r="J126" s="5">
        <f>COUNTIF(C$1:C126,C126)</f>
        <v>26</v>
      </c>
      <c r="K126" s="34">
        <v>30</v>
      </c>
      <c r="L126" s="5" t="s">
        <v>17</v>
      </c>
      <c r="M126" s="38" t="str">
        <f>VLOOKUP(K126,[2]stage_hints!$A:$C,3,FALSE)</f>
        <v>「バグ」の増やし方</v>
      </c>
      <c r="N126" s="39" t="str">
        <f>VLOOKUP(K126,[2]stage_hints!$A:$D,4,FALSE)</f>
        <v>同じユニット同士を強化で合成すると
「バグ」を増やすことができます</v>
      </c>
      <c r="O126" s="20" t="s">
        <v>24</v>
      </c>
      <c r="P126">
        <v>30</v>
      </c>
    </row>
    <row r="127" spans="1:16" x14ac:dyDescent="0.15">
      <c r="A127" s="27" t="str">
        <f t="shared" ref="A127:A139" si="27">C127&amp;"_"&amp;F127&amp;"_"&amp;J127</f>
        <v>11004_3_27</v>
      </c>
      <c r="B127" s="25" t="s">
        <v>34</v>
      </c>
      <c r="C127" s="4">
        <v>11004</v>
      </c>
      <c r="D127" s="3" t="str">
        <f ca="1">VLOOKUP($C127,OFFSET([1]quests!$A$1,0,0,COUNTA([1]quests!$A:$A),MATCH(D$1,[1]quests!$1:$1,0)-MATCH($C$1,[1]quests!$1:$1,0)+1),MATCH(D$1,[1]quests!$1:$1,0)-MATCH($C$1,[1]quests!$1:$1,0)+1,FALSE)</f>
        <v>【木曜限定】 緑の素材</v>
      </c>
      <c r="E127" s="3" t="str">
        <f ca="1">VLOOKUP($C127,OFFSET([1]quests!$A$1,0,0,COUNTA([1]quests!$A:$A),MATCH(E$1,[1]quests!$1:$1,0)-MATCH($C$1,[1]quests!$1:$1,0)+1),MATCH(E$1,[1]quests!$1:$1,0)-MATCH($C$1,[1]quests!$1:$1,0)+1,FALSE)</f>
        <v>木曜クエスト</v>
      </c>
      <c r="F127" s="5">
        <v>3</v>
      </c>
      <c r="G127" s="3" t="str">
        <f ca="1">VLOOKUP($C127&amp;"_"&amp;$F127,OFFSET([1]stages!$A$1,0,0,COUNTA([1]stages!$A:$A),MATCH(G$1,[1]stages!$2:$2,0)-MATCH("temp_stage",[1]stages!$2:$2,0)+1),MATCH(G$1,[1]stages!$2:$2,0)-MATCH("temp_stage",[1]stages!$2:$2,0)+1,FALSE)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7" s="3" t="str">
        <f ca="1">VLOOKUP($C127&amp;"_"&amp;$F127,OFFSET([1]stages!$A$1,0,0,COUNTA([1]stages!$A:$A),MATCH(H$1,[1]stages!$2:$2,0)-MATCH("temp_stage",[1]stages!$2:$2,0)+1),MATCH(H$1,[1]stages!$2:$2,0)-MATCH("temp_stage",[1]stages!$2:$2,0)+1,FALSE)</f>
        <v>木曜クエスト</v>
      </c>
      <c r="I127" s="18">
        <v>0</v>
      </c>
      <c r="J127" s="5">
        <f>COUNTIF(C$1:C127,C127)</f>
        <v>27</v>
      </c>
      <c r="K127" s="34">
        <v>31</v>
      </c>
      <c r="L127" s="5" t="s">
        <v>17</v>
      </c>
      <c r="M127" s="38" t="str">
        <f>VLOOKUP(K127,[2]stage_hints!$A:$C,3,FALSE)</f>
        <v>イベントはお知らせでチェック</v>
      </c>
      <c r="N127" s="39" t="str">
        <f>VLOOKUP(K127,[2]stage_hints!$A:$D,4,FALSE)</f>
        <v>イベント限定ユニットを取り忘れないように
お知らせをこまめにチェックしましょう</v>
      </c>
      <c r="O127" s="20" t="s">
        <v>24</v>
      </c>
      <c r="P127">
        <v>31</v>
      </c>
    </row>
    <row r="128" spans="1:16" x14ac:dyDescent="0.15">
      <c r="A128" s="27" t="str">
        <f t="shared" si="27"/>
        <v>11004_3_28</v>
      </c>
      <c r="B128" s="25" t="s">
        <v>34</v>
      </c>
      <c r="C128" s="4">
        <v>11004</v>
      </c>
      <c r="D128" s="3" t="str">
        <f ca="1">VLOOKUP($C128,OFFSET([1]quests!$A$1,0,0,COUNTA([1]quests!$A:$A),MATCH(D$1,[1]quests!$1:$1,0)-MATCH($C$1,[1]quests!$1:$1,0)+1),MATCH(D$1,[1]quests!$1:$1,0)-MATCH($C$1,[1]quests!$1:$1,0)+1,FALSE)</f>
        <v>【木曜限定】 緑の素材</v>
      </c>
      <c r="E128" s="3" t="str">
        <f ca="1">VLOOKUP($C128,OFFSET([1]quests!$A$1,0,0,COUNTA([1]quests!$A:$A),MATCH(E$1,[1]quests!$1:$1,0)-MATCH($C$1,[1]quests!$1:$1,0)+1),MATCH(E$1,[1]quests!$1:$1,0)-MATCH($C$1,[1]quests!$1:$1,0)+1,FALSE)</f>
        <v>木曜クエスト</v>
      </c>
      <c r="F128" s="5">
        <v>3</v>
      </c>
      <c r="G128" s="3" t="str">
        <f ca="1">VLOOKUP($C128&amp;"_"&amp;$F128,OFFSET([1]stages!$A$1,0,0,COUNTA([1]stages!$A:$A),MATCH(G$1,[1]stages!$2:$2,0)-MATCH("temp_stage",[1]stages!$2:$2,0)+1),MATCH(G$1,[1]stages!$2:$2,0)-MATCH("temp_stage",[1]stages!$2:$2,0)+1,FALSE)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8" s="3" t="str">
        <f ca="1">VLOOKUP($C128&amp;"_"&amp;$F128,OFFSET([1]stages!$A$1,0,0,COUNTA([1]stages!$A:$A),MATCH(H$1,[1]stages!$2:$2,0)-MATCH("temp_stage",[1]stages!$2:$2,0)+1),MATCH(H$1,[1]stages!$2:$2,0)-MATCH("temp_stage",[1]stages!$2:$2,0)+1,FALSE)</f>
        <v>木曜クエスト</v>
      </c>
      <c r="I128" s="18">
        <v>0</v>
      </c>
      <c r="J128" s="5">
        <f>COUNTIF(C$1:C128,C128)</f>
        <v>28</v>
      </c>
      <c r="K128" s="34">
        <v>32</v>
      </c>
      <c r="L128" s="5" t="s">
        <v>17</v>
      </c>
      <c r="M128" s="38" t="str">
        <f>VLOOKUP(K128,[2]stage_hints!$A:$C,3,FALSE)</f>
        <v>敵の連続攻撃には</v>
      </c>
      <c r="N128" s="39" t="str">
        <f>VLOOKUP(K128,[2]stage_hints!$A:$D,4,FALSE)</f>
        <v>カウンタースキルを持つユニットがいれば
ダメージ回数分の反撃ができます</v>
      </c>
      <c r="O128" s="20" t="s">
        <v>24</v>
      </c>
      <c r="P128">
        <v>32</v>
      </c>
    </row>
    <row r="129" spans="1:16" x14ac:dyDescent="0.15">
      <c r="A129" s="27" t="str">
        <f t="shared" si="27"/>
        <v>11004_3_29</v>
      </c>
      <c r="B129" s="25" t="s">
        <v>34</v>
      </c>
      <c r="C129" s="4">
        <v>11004</v>
      </c>
      <c r="D129" s="3" t="str">
        <f ca="1">VLOOKUP($C129,OFFSET([1]quests!$A$1,0,0,COUNTA([1]quests!$A:$A),MATCH(D$1,[1]quests!$1:$1,0)-MATCH($C$1,[1]quests!$1:$1,0)+1),MATCH(D$1,[1]quests!$1:$1,0)-MATCH($C$1,[1]quests!$1:$1,0)+1,FALSE)</f>
        <v>【木曜限定】 緑の素材</v>
      </c>
      <c r="E129" s="3" t="str">
        <f ca="1">VLOOKUP($C129,OFFSET([1]quests!$A$1,0,0,COUNTA([1]quests!$A:$A),MATCH(E$1,[1]quests!$1:$1,0)-MATCH($C$1,[1]quests!$1:$1,0)+1),MATCH(E$1,[1]quests!$1:$1,0)-MATCH($C$1,[1]quests!$1:$1,0)+1,FALSE)</f>
        <v>木曜クエスト</v>
      </c>
      <c r="F129" s="5">
        <v>3</v>
      </c>
      <c r="G129" s="3" t="str">
        <f ca="1">VLOOKUP($C129&amp;"_"&amp;$F129,OFFSET([1]stages!$A$1,0,0,COUNTA([1]stages!$A:$A),MATCH(G$1,[1]stages!$2:$2,0)-MATCH("temp_stage",[1]stages!$2:$2,0)+1),MATCH(G$1,[1]stages!$2:$2,0)-MATCH("temp_stage",[1]stages!$2:$2,0)+1,FALSE)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29" s="3" t="str">
        <f ca="1">VLOOKUP($C129&amp;"_"&amp;$F129,OFFSET([1]stages!$A$1,0,0,COUNTA([1]stages!$A:$A),MATCH(H$1,[1]stages!$2:$2,0)-MATCH("temp_stage",[1]stages!$2:$2,0)+1),MATCH(H$1,[1]stages!$2:$2,0)-MATCH("temp_stage",[1]stages!$2:$2,0)+1,FALSE)</f>
        <v>木曜クエスト</v>
      </c>
      <c r="I129" s="18">
        <v>0</v>
      </c>
      <c r="J129" s="5">
        <f>COUNTIF(C$1:C129,C129)</f>
        <v>29</v>
      </c>
      <c r="K129" s="34">
        <v>33</v>
      </c>
      <c r="L129" s="5" t="s">
        <v>17</v>
      </c>
      <c r="M129" s="38" t="str">
        <f>VLOOKUP(K129,[2]stage_hints!$A:$C,3,FALSE)</f>
        <v>敵のカウンター攻撃には</v>
      </c>
      <c r="N129" s="39" t="str">
        <f>VLOOKUP(K129,[2]stage_hints!$A:$D,4,FALSE)</f>
        <v>カウンターブレイクスキルを持っていれば
敵のカウンターを解除して攻撃ができます</v>
      </c>
      <c r="O129" s="20" t="s">
        <v>24</v>
      </c>
      <c r="P129">
        <v>33</v>
      </c>
    </row>
    <row r="130" spans="1:16" x14ac:dyDescent="0.15">
      <c r="A130" s="27" t="str">
        <f t="shared" si="27"/>
        <v>11004_3_30</v>
      </c>
      <c r="B130" s="25" t="s">
        <v>34</v>
      </c>
      <c r="C130" s="4">
        <v>11004</v>
      </c>
      <c r="D130" s="3" t="str">
        <f ca="1">VLOOKUP($C130,OFFSET([1]quests!$A$1,0,0,COUNTA([1]quests!$A:$A),MATCH(D$1,[1]quests!$1:$1,0)-MATCH($C$1,[1]quests!$1:$1,0)+1),MATCH(D$1,[1]quests!$1:$1,0)-MATCH($C$1,[1]quests!$1:$1,0)+1,FALSE)</f>
        <v>【木曜限定】 緑の素材</v>
      </c>
      <c r="E130" s="3" t="str">
        <f ca="1">VLOOKUP($C130,OFFSET([1]quests!$A$1,0,0,COUNTA([1]quests!$A:$A),MATCH(E$1,[1]quests!$1:$1,0)-MATCH($C$1,[1]quests!$1:$1,0)+1),MATCH(E$1,[1]quests!$1:$1,0)-MATCH($C$1,[1]quests!$1:$1,0)+1,FALSE)</f>
        <v>木曜クエスト</v>
      </c>
      <c r="F130" s="5">
        <v>3</v>
      </c>
      <c r="G130" s="3" t="str">
        <f ca="1">VLOOKUP($C130&amp;"_"&amp;$F130,OFFSET([1]stages!$A$1,0,0,COUNTA([1]stages!$A:$A),MATCH(G$1,[1]stages!$2:$2,0)-MATCH("temp_stage",[1]stages!$2:$2,0)+1),MATCH(G$1,[1]stages!$2:$2,0)-MATCH("temp_stage",[1]stages!$2:$2,0)+1,FALSE)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30" s="3" t="str">
        <f ca="1">VLOOKUP($C130&amp;"_"&amp;$F130,OFFSET([1]stages!$A$1,0,0,COUNTA([1]stages!$A:$A),MATCH(H$1,[1]stages!$2:$2,0)-MATCH("temp_stage",[1]stages!$2:$2,0)+1),MATCH(H$1,[1]stages!$2:$2,0)-MATCH("temp_stage",[1]stages!$2:$2,0)+1,FALSE)</f>
        <v>木曜クエスト</v>
      </c>
      <c r="I130" s="18">
        <v>0</v>
      </c>
      <c r="J130" s="5">
        <f>COUNTIF(C$1:C130,C130)</f>
        <v>30</v>
      </c>
      <c r="K130" s="34">
        <v>34</v>
      </c>
      <c r="L130" s="5" t="s">
        <v>17</v>
      </c>
      <c r="M130" s="38" t="str">
        <f>VLOOKUP(K130,[2]stage_hints!$A:$C,3,FALSE)</f>
        <v>ステータスをスキルで下げられたら</v>
      </c>
      <c r="N130" s="39" t="str">
        <f>VLOOKUP(K130,[2]stage_hints!$A:$D,4,FALSE)</f>
        <v>ステータスダウンのスキルを受けたら
ステータスアップスキルで上書きしましょう</v>
      </c>
      <c r="O130" s="20" t="s">
        <v>24</v>
      </c>
      <c r="P130">
        <v>34</v>
      </c>
    </row>
    <row r="131" spans="1:16" x14ac:dyDescent="0.15">
      <c r="A131" s="27" t="str">
        <f t="shared" si="27"/>
        <v>11004_3_31</v>
      </c>
      <c r="B131" s="25" t="s">
        <v>34</v>
      </c>
      <c r="C131" s="4">
        <v>11004</v>
      </c>
      <c r="D131" s="3" t="str">
        <f ca="1">VLOOKUP($C131,OFFSET([1]quests!$A$1,0,0,COUNTA([1]quests!$A:$A),MATCH(D$1,[1]quests!$1:$1,0)-MATCH($C$1,[1]quests!$1:$1,0)+1),MATCH(D$1,[1]quests!$1:$1,0)-MATCH($C$1,[1]quests!$1:$1,0)+1,FALSE)</f>
        <v>【木曜限定】 緑の素材</v>
      </c>
      <c r="E131" s="3" t="str">
        <f ca="1">VLOOKUP($C131,OFFSET([1]quests!$A$1,0,0,COUNTA([1]quests!$A:$A),MATCH(E$1,[1]quests!$1:$1,0)-MATCH($C$1,[1]quests!$1:$1,0)+1),MATCH(E$1,[1]quests!$1:$1,0)-MATCH($C$1,[1]quests!$1:$1,0)+1,FALSE)</f>
        <v>木曜クエスト</v>
      </c>
      <c r="F131" s="5">
        <v>3</v>
      </c>
      <c r="G131" s="3" t="str">
        <f ca="1">VLOOKUP($C131&amp;"_"&amp;$F131,OFFSET([1]stages!$A$1,0,0,COUNTA([1]stages!$A:$A),MATCH(G$1,[1]stages!$2:$2,0)-MATCH("temp_stage",[1]stages!$2:$2,0)+1),MATCH(G$1,[1]stages!$2:$2,0)-MATCH("temp_stage",[1]stages!$2:$2,0)+1,FALSE)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31" s="3" t="str">
        <f ca="1">VLOOKUP($C131&amp;"_"&amp;$F131,OFFSET([1]stages!$A$1,0,0,COUNTA([1]stages!$A:$A),MATCH(H$1,[1]stages!$2:$2,0)-MATCH("temp_stage",[1]stages!$2:$2,0)+1),MATCH(H$1,[1]stages!$2:$2,0)-MATCH("temp_stage",[1]stages!$2:$2,0)+1,FALSE)</f>
        <v>木曜クエスト</v>
      </c>
      <c r="I131" s="18">
        <v>0</v>
      </c>
      <c r="J131" s="5">
        <f>COUNTIF(C$1:C131,C131)</f>
        <v>31</v>
      </c>
      <c r="K131" s="34">
        <v>35</v>
      </c>
      <c r="L131" s="5" t="s">
        <v>17</v>
      </c>
      <c r="M131" s="38" t="str">
        <f>VLOOKUP(K131,[2]stage_hints!$A:$C,3,FALSE)</f>
        <v>敵のステータスがスキルで上がったら</v>
      </c>
      <c r="N131" s="39" t="str">
        <f>VLOOKUP(K131,[2]stage_hints!$A:$D,4,FALSE)</f>
        <v>敵のステータスがスキルでアップしたときは
ステータスダウンスキルで上書きしましょう</v>
      </c>
      <c r="O131" s="20" t="s">
        <v>24</v>
      </c>
      <c r="P131">
        <v>35</v>
      </c>
    </row>
    <row r="132" spans="1:16" x14ac:dyDescent="0.15">
      <c r="A132" s="27" t="str">
        <f t="shared" si="27"/>
        <v>11004_3_32</v>
      </c>
      <c r="B132" s="25" t="s">
        <v>34</v>
      </c>
      <c r="C132" s="4">
        <v>11004</v>
      </c>
      <c r="D132" s="3" t="str">
        <f ca="1">VLOOKUP($C132,OFFSET([1]quests!$A$1,0,0,COUNTA([1]quests!$A:$A),MATCH(D$1,[1]quests!$1:$1,0)-MATCH($C$1,[1]quests!$1:$1,0)+1),MATCH(D$1,[1]quests!$1:$1,0)-MATCH($C$1,[1]quests!$1:$1,0)+1,FALSE)</f>
        <v>【木曜限定】 緑の素材</v>
      </c>
      <c r="E132" s="3" t="str">
        <f ca="1">VLOOKUP($C132,OFFSET([1]quests!$A$1,0,0,COUNTA([1]quests!$A:$A),MATCH(E$1,[1]quests!$1:$1,0)-MATCH($C$1,[1]quests!$1:$1,0)+1),MATCH(E$1,[1]quests!$1:$1,0)-MATCH($C$1,[1]quests!$1:$1,0)+1,FALSE)</f>
        <v>木曜クエスト</v>
      </c>
      <c r="F132" s="5">
        <v>3</v>
      </c>
      <c r="G132" s="3" t="str">
        <f ca="1">VLOOKUP($C132&amp;"_"&amp;$F132,OFFSET([1]stages!$A$1,0,0,COUNTA([1]stages!$A:$A),MATCH(G$1,[1]stages!$2:$2,0)-MATCH("temp_stage",[1]stages!$2:$2,0)+1),MATCH(G$1,[1]stages!$2:$2,0)-MATCH("temp_stage",[1]stages!$2:$2,0)+1,FALSE)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32" s="3" t="str">
        <f ca="1">VLOOKUP($C132&amp;"_"&amp;$F132,OFFSET([1]stages!$A$1,0,0,COUNTA([1]stages!$A:$A),MATCH(H$1,[1]stages!$2:$2,0)-MATCH("temp_stage",[1]stages!$2:$2,0)+1),MATCH(H$1,[1]stages!$2:$2,0)-MATCH("temp_stage",[1]stages!$2:$2,0)+1,FALSE)</f>
        <v>木曜クエスト</v>
      </c>
      <c r="I132" s="18">
        <v>0</v>
      </c>
      <c r="J132" s="5">
        <f>COUNTIF(C$1:C132,C132)</f>
        <v>32</v>
      </c>
      <c r="K132" s="34">
        <v>36</v>
      </c>
      <c r="L132" s="5" t="s">
        <v>17</v>
      </c>
      <c r="M132" s="38" t="str">
        <f>VLOOKUP(K132,[2]stage_hints!$A:$C,3,FALSE)</f>
        <v>チャレンジタワーのボス</v>
      </c>
      <c r="N132" s="39" t="str">
        <f>VLOOKUP(K132,[2]stage_hints!$A:$D,4,FALSE)</f>
        <v>チャレンジタワーでのみ登場するボスは
一定確率で獲得することができます</v>
      </c>
      <c r="O132" s="20" t="s">
        <v>24</v>
      </c>
      <c r="P132">
        <v>36</v>
      </c>
    </row>
    <row r="133" spans="1:16" x14ac:dyDescent="0.15">
      <c r="A133" s="27" t="str">
        <f t="shared" si="27"/>
        <v>11004_3_33</v>
      </c>
      <c r="B133" s="25" t="s">
        <v>34</v>
      </c>
      <c r="C133" s="4">
        <v>11004</v>
      </c>
      <c r="D133" s="3" t="str">
        <f ca="1">VLOOKUP($C133,OFFSET([1]quests!$A$1,0,0,COUNTA([1]quests!$A:$A),MATCH(D$1,[1]quests!$1:$1,0)-MATCH($C$1,[1]quests!$1:$1,0)+1),MATCH(D$1,[1]quests!$1:$1,0)-MATCH($C$1,[1]quests!$1:$1,0)+1,FALSE)</f>
        <v>【木曜限定】 緑の素材</v>
      </c>
      <c r="E133" s="3" t="str">
        <f ca="1">VLOOKUP($C133,OFFSET([1]quests!$A$1,0,0,COUNTA([1]quests!$A:$A),MATCH(E$1,[1]quests!$1:$1,0)-MATCH($C$1,[1]quests!$1:$1,0)+1),MATCH(E$1,[1]quests!$1:$1,0)-MATCH($C$1,[1]quests!$1:$1,0)+1,FALSE)</f>
        <v>木曜クエスト</v>
      </c>
      <c r="F133" s="5">
        <v>3</v>
      </c>
      <c r="G133" s="3" t="str">
        <f ca="1">VLOOKUP($C133&amp;"_"&amp;$F133,OFFSET([1]stages!$A$1,0,0,COUNTA([1]stages!$A:$A),MATCH(G$1,[1]stages!$2:$2,0)-MATCH("temp_stage",[1]stages!$2:$2,0)+1),MATCH(G$1,[1]stages!$2:$2,0)-MATCH("temp_stage",[1]stages!$2:$2,0)+1,FALSE)</f>
        <v xml:space="preserve">【上級】樹のイモムシ </v>
      </c>
      <c r="H133" s="3" t="str">
        <f ca="1">VLOOKUP($C133&amp;"_"&amp;$F133,OFFSET([1]stages!$A$1,0,0,COUNTA([1]stages!$A:$A),MATCH(H$1,[1]stages!$2:$2,0)-MATCH("temp_stage",[1]stages!$2:$2,0)+1),MATCH(H$1,[1]stages!$2:$2,0)-MATCH("temp_stage",[1]stages!$2:$2,0)+1,FALSE)</f>
        <v>木曜クエスト</v>
      </c>
      <c r="I133" s="18">
        <v>0</v>
      </c>
      <c r="J133" s="5">
        <f>COUNTIF(C$1:C133,C133)</f>
        <v>33</v>
      </c>
      <c r="K133" s="34">
        <v>37</v>
      </c>
      <c r="L133" s="5" t="s">
        <v>17</v>
      </c>
      <c r="M133" s="38" t="str">
        <f>VLOOKUP(K133,[2]stage_hints!$A:$C,3,FALSE)</f>
        <v>限界突破値の引き継ぎ</v>
      </c>
      <c r="N133" s="39" t="str">
        <f>VLOOKUP(K133,[2]stage_hints!$A:$D,4,FALSE)</f>
        <v>同じユニットを強化で合成すると
限界突破値を引き継げます（覚醒前後も可）</v>
      </c>
      <c r="O133" s="20" t="s">
        <v>24</v>
      </c>
      <c r="P133">
        <v>37</v>
      </c>
    </row>
    <row r="134" spans="1:16" x14ac:dyDescent="0.15">
      <c r="A134" s="27" t="str">
        <f t="shared" si="27"/>
        <v>11101_3_1</v>
      </c>
      <c r="B134" s="25" t="s">
        <v>34</v>
      </c>
      <c r="C134" s="4">
        <v>11101</v>
      </c>
      <c r="D134" s="3" t="str">
        <f ca="1">VLOOKUP($C134,OFFSET([1]quests!$A$1,0,0,COUNTA([1]quests!$A:$A),MATCH(D$1,[1]quests!$1:$1,0)-MATCH($C$1,[1]quests!$1:$1,0)+1),MATCH(D$1,[1]quests!$1:$1,0)-MATCH($C$1,[1]quests!$1:$1,0)+1,FALSE)</f>
        <v>【期間限定】 黄の素材</v>
      </c>
      <c r="E134" s="3" t="str">
        <f ca="1">VLOOKUP($C134,OFFSET([1]quests!$A$1,0,0,COUNTA([1]quests!$A:$A),MATCH(E$1,[1]quests!$1:$1,0)-MATCH($C$1,[1]quests!$1:$1,0)+1),MATCH(E$1,[1]quests!$1:$1,0)-MATCH($C$1,[1]quests!$1:$1,0)+1,FALSE)</f>
        <v>月曜クエスト</v>
      </c>
      <c r="F134" s="5">
        <v>3</v>
      </c>
      <c r="G134" s="3" t="str">
        <f ca="1">VLOOKUP($C134&amp;"_"&amp;$F134,OFFSET([1]stages!$A$1,0,0,COUNTA([1]stages!$A:$A),MATCH(G$1,[1]stages!$2:$2,0)-MATCH("temp_stage",[1]stages!$2:$2,0)+1),MATCH(G$1,[1]stages!$2:$2,0)-MATCH("temp_stage",[1]stages!$2:$2,0)+1,FALSE)</f>
        <v>【上級】雷のイモムシ</v>
      </c>
      <c r="H134" s="3" t="str">
        <f ca="1">VLOOKUP($C134&amp;"_"&amp;$F134,OFFSET([1]stages!$A$1,0,0,COUNTA([1]stages!$A:$A),MATCH(H$1,[1]stages!$2:$2,0)-MATCH("temp_stage",[1]stages!$2:$2,0)+1),MATCH(H$1,[1]stages!$2:$2,0)-MATCH("temp_stage",[1]stages!$2:$2,0)+1,FALSE)</f>
        <v>月曜クエスト</v>
      </c>
      <c r="I134" s="18">
        <v>0</v>
      </c>
      <c r="J134" s="5">
        <f>COUNTIF(C$1:C134,C134)</f>
        <v>1</v>
      </c>
      <c r="K134" s="34">
        <v>3</v>
      </c>
      <c r="L134" s="5" t="s">
        <v>17</v>
      </c>
      <c r="M134" s="38" t="str">
        <f>VLOOKUP(K134,[2]stage_hints!$A:$C,3,FALSE)</f>
        <v>ターゲット</v>
      </c>
      <c r="N134" s="39" t="str">
        <f>VLOOKUP(K134,[2]stage_hints!$A:$D,4,FALSE)</f>
        <v>敵ユニットをタップすると
その敵を狙い撃ちできます</v>
      </c>
      <c r="O134" s="20" t="s">
        <v>24</v>
      </c>
      <c r="P134">
        <v>3</v>
      </c>
    </row>
    <row r="135" spans="1:16" x14ac:dyDescent="0.15">
      <c r="A135" s="27" t="str">
        <f t="shared" si="27"/>
        <v>11101_3_2</v>
      </c>
      <c r="B135" s="25" t="s">
        <v>34</v>
      </c>
      <c r="C135" s="4">
        <v>11101</v>
      </c>
      <c r="D135" s="3" t="str">
        <f ca="1">VLOOKUP($C135,OFFSET([1]quests!$A$1,0,0,COUNTA([1]quests!$A:$A),MATCH(D$1,[1]quests!$1:$1,0)-MATCH($C$1,[1]quests!$1:$1,0)+1),MATCH(D$1,[1]quests!$1:$1,0)-MATCH($C$1,[1]quests!$1:$1,0)+1,FALSE)</f>
        <v>【期間限定】 黄の素材</v>
      </c>
      <c r="E135" s="3" t="str">
        <f ca="1">VLOOKUP($C135,OFFSET([1]quests!$A$1,0,0,COUNTA([1]quests!$A:$A),MATCH(E$1,[1]quests!$1:$1,0)-MATCH($C$1,[1]quests!$1:$1,0)+1),MATCH(E$1,[1]quests!$1:$1,0)-MATCH($C$1,[1]quests!$1:$1,0)+1,FALSE)</f>
        <v>月曜クエスト</v>
      </c>
      <c r="F135" s="5">
        <v>3</v>
      </c>
      <c r="G135" s="3" t="str">
        <f ca="1">VLOOKUP($C135&amp;"_"&amp;$F135,OFFSET([1]stages!$A$1,0,0,COUNTA([1]stages!$A:$A),MATCH(G$1,[1]stages!$2:$2,0)-MATCH("temp_stage",[1]stages!$2:$2,0)+1),MATCH(G$1,[1]stages!$2:$2,0)-MATCH("temp_stage",[1]stages!$2:$2,0)+1,FALSE)</f>
        <v>【上級】雷のイモムシ</v>
      </c>
      <c r="H135" s="3" t="str">
        <f ca="1">VLOOKUP($C135&amp;"_"&amp;$F135,OFFSET([1]stages!$A$1,0,0,COUNTA([1]stages!$A:$A),MATCH(H$1,[1]stages!$2:$2,0)-MATCH("temp_stage",[1]stages!$2:$2,0)+1),MATCH(H$1,[1]stages!$2:$2,0)-MATCH("temp_stage",[1]stages!$2:$2,0)+1,FALSE)</f>
        <v>月曜クエスト</v>
      </c>
      <c r="I135" s="18">
        <v>0</v>
      </c>
      <c r="J135" s="5">
        <f>COUNTIF(C$1:C135,C135)</f>
        <v>2</v>
      </c>
      <c r="K135" s="34">
        <v>6</v>
      </c>
      <c r="L135" s="5" t="s">
        <v>17</v>
      </c>
      <c r="M135" s="38" t="str">
        <f>VLOOKUP(K135,[2]stage_hints!$A:$C,3,FALSE)</f>
        <v>ユニット強化の属性ボーナス</v>
      </c>
      <c r="N135" s="39" t="str">
        <f>VLOOKUP(K135,[2]stage_hints!$A:$D,4,FALSE)</f>
        <v>同属性ユニットを強化素材にすると
経験値が多くもらえます</v>
      </c>
      <c r="O135" s="20" t="s">
        <v>24</v>
      </c>
      <c r="P135">
        <v>6</v>
      </c>
    </row>
    <row r="136" spans="1:16" x14ac:dyDescent="0.15">
      <c r="A136" s="27" t="str">
        <f t="shared" si="27"/>
        <v>11101_3_3</v>
      </c>
      <c r="B136" s="25" t="s">
        <v>34</v>
      </c>
      <c r="C136" s="4">
        <v>11101</v>
      </c>
      <c r="D136" s="3" t="str">
        <f ca="1">VLOOKUP($C136,OFFSET([1]quests!$A$1,0,0,COUNTA([1]quests!$A:$A),MATCH(D$1,[1]quests!$1:$1,0)-MATCH($C$1,[1]quests!$1:$1,0)+1),MATCH(D$1,[1]quests!$1:$1,0)-MATCH($C$1,[1]quests!$1:$1,0)+1,FALSE)</f>
        <v>【期間限定】 黄の素材</v>
      </c>
      <c r="E136" s="3" t="str">
        <f ca="1">VLOOKUP($C136,OFFSET([1]quests!$A$1,0,0,COUNTA([1]quests!$A:$A),MATCH(E$1,[1]quests!$1:$1,0)-MATCH($C$1,[1]quests!$1:$1,0)+1),MATCH(E$1,[1]quests!$1:$1,0)-MATCH($C$1,[1]quests!$1:$1,0)+1,FALSE)</f>
        <v>月曜クエスト</v>
      </c>
      <c r="F136" s="5">
        <v>3</v>
      </c>
      <c r="G136" s="3" t="str">
        <f ca="1">VLOOKUP($C136&amp;"_"&amp;$F136,OFFSET([1]stages!$A$1,0,0,COUNTA([1]stages!$A:$A),MATCH(G$1,[1]stages!$2:$2,0)-MATCH("temp_stage",[1]stages!$2:$2,0)+1),MATCH(G$1,[1]stages!$2:$2,0)-MATCH("temp_stage",[1]stages!$2:$2,0)+1,FALSE)</f>
        <v>【上級】雷のイモムシ</v>
      </c>
      <c r="H136" s="3" t="str">
        <f ca="1">VLOOKUP($C136&amp;"_"&amp;$F136,OFFSET([1]stages!$A$1,0,0,COUNTA([1]stages!$A:$A),MATCH(H$1,[1]stages!$2:$2,0)-MATCH("temp_stage",[1]stages!$2:$2,0)+1),MATCH(H$1,[1]stages!$2:$2,0)-MATCH("temp_stage",[1]stages!$2:$2,0)+1,FALSE)</f>
        <v>月曜クエスト</v>
      </c>
      <c r="I136" s="18">
        <v>0</v>
      </c>
      <c r="J136" s="5">
        <f>COUNTIF(C$1:C136,C136)</f>
        <v>3</v>
      </c>
      <c r="K136" s="34">
        <v>7</v>
      </c>
      <c r="L136" s="5" t="s">
        <v>17</v>
      </c>
      <c r="M136" s="38" t="str">
        <f>VLOOKUP(K136,[2]stage_hints!$A:$C,3,FALSE)</f>
        <v>メタルダックで経験値を獲得</v>
      </c>
      <c r="N136" s="39" t="str">
        <f>VLOOKUP(K136,[2]stage_hints!$A:$D,4,FALSE)</f>
        <v>「メタルなアヒル」を強化素材にすると
大量の経験値がもらえます</v>
      </c>
      <c r="O136" s="20" t="s">
        <v>24</v>
      </c>
      <c r="P136">
        <v>7</v>
      </c>
    </row>
    <row r="137" spans="1:16" x14ac:dyDescent="0.15">
      <c r="A137" s="27" t="str">
        <f t="shared" si="27"/>
        <v>11101_3_4</v>
      </c>
      <c r="B137" s="25" t="s">
        <v>34</v>
      </c>
      <c r="C137" s="4">
        <v>11101</v>
      </c>
      <c r="D137" s="3" t="str">
        <f ca="1">VLOOKUP($C137,OFFSET([1]quests!$A$1,0,0,COUNTA([1]quests!$A:$A),MATCH(D$1,[1]quests!$1:$1,0)-MATCH($C$1,[1]quests!$1:$1,0)+1),MATCH(D$1,[1]quests!$1:$1,0)-MATCH($C$1,[1]quests!$1:$1,0)+1,FALSE)</f>
        <v>【期間限定】 黄の素材</v>
      </c>
      <c r="E137" s="3" t="str">
        <f ca="1">VLOOKUP($C137,OFFSET([1]quests!$A$1,0,0,COUNTA([1]quests!$A:$A),MATCH(E$1,[1]quests!$1:$1,0)-MATCH($C$1,[1]quests!$1:$1,0)+1),MATCH(E$1,[1]quests!$1:$1,0)-MATCH($C$1,[1]quests!$1:$1,0)+1,FALSE)</f>
        <v>月曜クエスト</v>
      </c>
      <c r="F137" s="5">
        <v>3</v>
      </c>
      <c r="G137" s="3" t="str">
        <f ca="1">VLOOKUP($C137&amp;"_"&amp;$F137,OFFSET([1]stages!$A$1,0,0,COUNTA([1]stages!$A:$A),MATCH(G$1,[1]stages!$2:$2,0)-MATCH("temp_stage",[1]stages!$2:$2,0)+1),MATCH(G$1,[1]stages!$2:$2,0)-MATCH("temp_stage",[1]stages!$2:$2,0)+1,FALSE)</f>
        <v>【上級】雷のイモムシ</v>
      </c>
      <c r="H137" s="3" t="str">
        <f ca="1">VLOOKUP($C137&amp;"_"&amp;$F137,OFFSET([1]stages!$A$1,0,0,COUNTA([1]stages!$A:$A),MATCH(H$1,[1]stages!$2:$2,0)-MATCH("temp_stage",[1]stages!$2:$2,0)+1),MATCH(H$1,[1]stages!$2:$2,0)-MATCH("temp_stage",[1]stages!$2:$2,0)+1,FALSE)</f>
        <v>月曜クエスト</v>
      </c>
      <c r="I137" s="18">
        <v>0</v>
      </c>
      <c r="J137" s="5">
        <f>COUNTIF(C$1:C137,C137)</f>
        <v>4</v>
      </c>
      <c r="K137" s="34">
        <v>8</v>
      </c>
      <c r="L137" s="5" t="s">
        <v>17</v>
      </c>
      <c r="M137" s="38" t="str">
        <f>VLOOKUP(K137,[2]stage_hints!$A:$C,3,FALSE)</f>
        <v>ゲリラクエストは要チェック</v>
      </c>
      <c r="N137" s="39" t="str">
        <f>VLOOKUP(K137,[2]stage_hints!$A:$D,4,FALSE)</f>
        <v>時間限定の「アヒル捕獲作戦」では
経験値素材ユニットが多く手に入ります</v>
      </c>
      <c r="O137" s="20" t="s">
        <v>24</v>
      </c>
      <c r="P137">
        <v>8</v>
      </c>
    </row>
    <row r="138" spans="1:16" x14ac:dyDescent="0.15">
      <c r="A138" s="27" t="str">
        <f t="shared" si="27"/>
        <v>11101_3_5</v>
      </c>
      <c r="B138" s="25" t="s">
        <v>34</v>
      </c>
      <c r="C138" s="4">
        <v>11101</v>
      </c>
      <c r="D138" s="3" t="str">
        <f ca="1">VLOOKUP($C138,OFFSET([1]quests!$A$1,0,0,COUNTA([1]quests!$A:$A),MATCH(D$1,[1]quests!$1:$1,0)-MATCH($C$1,[1]quests!$1:$1,0)+1),MATCH(D$1,[1]quests!$1:$1,0)-MATCH($C$1,[1]quests!$1:$1,0)+1,FALSE)</f>
        <v>【期間限定】 黄の素材</v>
      </c>
      <c r="E138" s="3" t="str">
        <f ca="1">VLOOKUP($C138,OFFSET([1]quests!$A$1,0,0,COUNTA([1]quests!$A:$A),MATCH(E$1,[1]quests!$1:$1,0)-MATCH($C$1,[1]quests!$1:$1,0)+1),MATCH(E$1,[1]quests!$1:$1,0)-MATCH($C$1,[1]quests!$1:$1,0)+1,FALSE)</f>
        <v>月曜クエスト</v>
      </c>
      <c r="F138" s="5">
        <v>3</v>
      </c>
      <c r="G138" s="3" t="str">
        <f ca="1">VLOOKUP($C138&amp;"_"&amp;$F138,OFFSET([1]stages!$A$1,0,0,COUNTA([1]stages!$A:$A),MATCH(G$1,[1]stages!$2:$2,0)-MATCH("temp_stage",[1]stages!$2:$2,0)+1),MATCH(G$1,[1]stages!$2:$2,0)-MATCH("temp_stage",[1]stages!$2:$2,0)+1,FALSE)</f>
        <v>【上級】雷のイモムシ</v>
      </c>
      <c r="H138" s="3" t="str">
        <f ca="1">VLOOKUP($C138&amp;"_"&amp;$F138,OFFSET([1]stages!$A$1,0,0,COUNTA([1]stages!$A:$A),MATCH(H$1,[1]stages!$2:$2,0)-MATCH("temp_stage",[1]stages!$2:$2,0)+1),MATCH(H$1,[1]stages!$2:$2,0)-MATCH("temp_stage",[1]stages!$2:$2,0)+1,FALSE)</f>
        <v>月曜クエスト</v>
      </c>
      <c r="I138" s="18">
        <v>0</v>
      </c>
      <c r="J138" s="5">
        <f>COUNTIF(C$1:C138,C138)</f>
        <v>5</v>
      </c>
      <c r="K138" s="34">
        <v>9</v>
      </c>
      <c r="L138" s="5" t="s">
        <v>17</v>
      </c>
      <c r="M138" s="38" t="str">
        <f>VLOOKUP(K138,[2]stage_hints!$A:$C,3,FALSE)</f>
        <v>ゴールドダックでビットを獲得</v>
      </c>
      <c r="N138" s="39" t="str">
        <f>VLOOKUP(K138,[2]stage_hints!$A:$D,4,FALSE)</f>
        <v>「ゴールドなアヒル」を売却すると
大量のビットがもらえます</v>
      </c>
      <c r="O138" s="20" t="s">
        <v>24</v>
      </c>
      <c r="P138">
        <v>9</v>
      </c>
    </row>
    <row r="139" spans="1:16" x14ac:dyDescent="0.15">
      <c r="A139" s="27" t="str">
        <f t="shared" si="27"/>
        <v>11101_3_6</v>
      </c>
      <c r="B139" s="25" t="s">
        <v>34</v>
      </c>
      <c r="C139" s="4">
        <v>11101</v>
      </c>
      <c r="D139" s="3" t="str">
        <f ca="1">VLOOKUP($C139,OFFSET([1]quests!$A$1,0,0,COUNTA([1]quests!$A:$A),MATCH(D$1,[1]quests!$1:$1,0)-MATCH($C$1,[1]quests!$1:$1,0)+1),MATCH(D$1,[1]quests!$1:$1,0)-MATCH($C$1,[1]quests!$1:$1,0)+1,FALSE)</f>
        <v>【期間限定】 黄の素材</v>
      </c>
      <c r="E139" s="3" t="str">
        <f ca="1">VLOOKUP($C139,OFFSET([1]quests!$A$1,0,0,COUNTA([1]quests!$A:$A),MATCH(E$1,[1]quests!$1:$1,0)-MATCH($C$1,[1]quests!$1:$1,0)+1),MATCH(E$1,[1]quests!$1:$1,0)-MATCH($C$1,[1]quests!$1:$1,0)+1,FALSE)</f>
        <v>月曜クエスト</v>
      </c>
      <c r="F139" s="5">
        <v>3</v>
      </c>
      <c r="G139" s="3" t="str">
        <f ca="1">VLOOKUP($C139&amp;"_"&amp;$F139,OFFSET([1]stages!$A$1,0,0,COUNTA([1]stages!$A:$A),MATCH(G$1,[1]stages!$2:$2,0)-MATCH("temp_stage",[1]stages!$2:$2,0)+1),MATCH(G$1,[1]stages!$2:$2,0)-MATCH("temp_stage",[1]stages!$2:$2,0)+1,FALSE)</f>
        <v>【上級】雷のイモムシ</v>
      </c>
      <c r="H139" s="3" t="str">
        <f ca="1">VLOOKUP($C139&amp;"_"&amp;$F139,OFFSET([1]stages!$A$1,0,0,COUNTA([1]stages!$A:$A),MATCH(H$1,[1]stages!$2:$2,0)-MATCH("temp_stage",[1]stages!$2:$2,0)+1),MATCH(H$1,[1]stages!$2:$2,0)-MATCH("temp_stage",[1]stages!$2:$2,0)+1,FALSE)</f>
        <v>月曜クエスト</v>
      </c>
      <c r="I139" s="18">
        <v>0</v>
      </c>
      <c r="J139" s="5">
        <f>COUNTIF(C$1:C139,C139)</f>
        <v>6</v>
      </c>
      <c r="K139" s="34">
        <v>10</v>
      </c>
      <c r="L139" s="5" t="s">
        <v>17</v>
      </c>
      <c r="M139" s="38" t="str">
        <f>VLOOKUP(K139,[2]stage_hints!$A:$C,3,FALSE)</f>
        <v>土日に大量のビットを獲得</v>
      </c>
      <c r="N139" s="39" t="str">
        <f>VLOOKUP(K139,[2]stage_hints!$A:$D,4,FALSE)</f>
        <v>土日限定の「ゴールドカジノ」では
売却素材ユニットが多く手に入ります</v>
      </c>
      <c r="O139" s="20" t="s">
        <v>24</v>
      </c>
      <c r="P139">
        <v>10</v>
      </c>
    </row>
    <row r="140" spans="1:16" x14ac:dyDescent="0.15">
      <c r="A140" s="27" t="str">
        <f t="shared" ref="A140" si="28">C140&amp;"_"&amp;F140&amp;"_"&amp;J140</f>
        <v>11101_3_7</v>
      </c>
      <c r="B140" s="25" t="s">
        <v>34</v>
      </c>
      <c r="C140" s="4">
        <v>11101</v>
      </c>
      <c r="D140" s="3" t="str">
        <f ca="1">VLOOKUP($C140,OFFSET([1]quests!$A$1,0,0,COUNTA([1]quests!$A:$A),MATCH(D$1,[1]quests!$1:$1,0)-MATCH($C$1,[1]quests!$1:$1,0)+1),MATCH(D$1,[1]quests!$1:$1,0)-MATCH($C$1,[1]quests!$1:$1,0)+1,FALSE)</f>
        <v>【期間限定】 黄の素材</v>
      </c>
      <c r="E140" s="3" t="str">
        <f ca="1">VLOOKUP($C140,OFFSET([1]quests!$A$1,0,0,COUNTA([1]quests!$A:$A),MATCH(E$1,[1]quests!$1:$1,0)-MATCH($C$1,[1]quests!$1:$1,0)+1),MATCH(E$1,[1]quests!$1:$1,0)-MATCH($C$1,[1]quests!$1:$1,0)+1,FALSE)</f>
        <v>月曜クエスト</v>
      </c>
      <c r="F140" s="5">
        <v>3</v>
      </c>
      <c r="G140" s="3" t="str">
        <f ca="1">VLOOKUP($C140&amp;"_"&amp;$F140,OFFSET([1]stages!$A$1,0,0,COUNTA([1]stages!$A:$A),MATCH(G$1,[1]stages!$2:$2,0)-MATCH("temp_stage",[1]stages!$2:$2,0)+1),MATCH(G$1,[1]stages!$2:$2,0)-MATCH("temp_stage",[1]stages!$2:$2,0)+1,FALSE)</f>
        <v>【上級】雷のイモムシ</v>
      </c>
      <c r="H140" s="3" t="str">
        <f ca="1">VLOOKUP($C140&amp;"_"&amp;$F140,OFFSET([1]stages!$A$1,0,0,COUNTA([1]stages!$A:$A),MATCH(H$1,[1]stages!$2:$2,0)-MATCH("temp_stage",[1]stages!$2:$2,0)+1),MATCH(H$1,[1]stages!$2:$2,0)-MATCH("temp_stage",[1]stages!$2:$2,0)+1,FALSE)</f>
        <v>月曜クエスト</v>
      </c>
      <c r="I140" s="18">
        <v>0</v>
      </c>
      <c r="J140" s="5">
        <f>COUNTIF(C$1:C140,C140)</f>
        <v>7</v>
      </c>
      <c r="K140" s="34">
        <v>11</v>
      </c>
      <c r="L140" s="5" t="s">
        <v>17</v>
      </c>
      <c r="M140" s="38" t="str">
        <f>VLOOKUP(K140,[2]stage_hints!$A:$C,3,FALSE)</f>
        <v>ランク解放クエスト</v>
      </c>
      <c r="N140" s="39" t="str">
        <f>VLOOKUP(K140,[2]stage_hints!$A:$D,4,FALSE)</f>
        <v>一定ランクに到達すると
報酬付きのランク開放クエストが現れます</v>
      </c>
      <c r="O140" s="20" t="s">
        <v>24</v>
      </c>
      <c r="P140">
        <v>11</v>
      </c>
    </row>
    <row r="141" spans="1:16" x14ac:dyDescent="0.15">
      <c r="A141" s="27" t="str">
        <f t="shared" ref="A141:A142" si="29">C141&amp;"_"&amp;F141&amp;"_"&amp;J141</f>
        <v>11101_3_8</v>
      </c>
      <c r="B141" s="25" t="s">
        <v>34</v>
      </c>
      <c r="C141" s="4">
        <v>11101</v>
      </c>
      <c r="D141" s="3" t="str">
        <f ca="1">VLOOKUP($C141,OFFSET([1]quests!$A$1,0,0,COUNTA([1]quests!$A:$A),MATCH(D$1,[1]quests!$1:$1,0)-MATCH($C$1,[1]quests!$1:$1,0)+1),MATCH(D$1,[1]quests!$1:$1,0)-MATCH($C$1,[1]quests!$1:$1,0)+1,FALSE)</f>
        <v>【期間限定】 黄の素材</v>
      </c>
      <c r="E141" s="3" t="str">
        <f ca="1">VLOOKUP($C141,OFFSET([1]quests!$A$1,0,0,COUNTA([1]quests!$A:$A),MATCH(E$1,[1]quests!$1:$1,0)-MATCH($C$1,[1]quests!$1:$1,0)+1),MATCH(E$1,[1]quests!$1:$1,0)-MATCH($C$1,[1]quests!$1:$1,0)+1,FALSE)</f>
        <v>月曜クエスト</v>
      </c>
      <c r="F141" s="5">
        <v>3</v>
      </c>
      <c r="G141" s="3" t="str">
        <f ca="1">VLOOKUP($C141&amp;"_"&amp;$F141,OFFSET([1]stages!$A$1,0,0,COUNTA([1]stages!$A:$A),MATCH(G$1,[1]stages!$2:$2,0)-MATCH("temp_stage",[1]stages!$2:$2,0)+1),MATCH(G$1,[1]stages!$2:$2,0)-MATCH("temp_stage",[1]stages!$2:$2,0)+1,FALSE)</f>
        <v>【上級】雷のイモムシ</v>
      </c>
      <c r="H141" s="3" t="str">
        <f ca="1">VLOOKUP($C141&amp;"_"&amp;$F141,OFFSET([1]stages!$A$1,0,0,COUNTA([1]stages!$A:$A),MATCH(H$1,[1]stages!$2:$2,0)-MATCH("temp_stage",[1]stages!$2:$2,0)+1),MATCH(H$1,[1]stages!$2:$2,0)-MATCH("temp_stage",[1]stages!$2:$2,0)+1,FALSE)</f>
        <v>月曜クエスト</v>
      </c>
      <c r="I141" s="18">
        <v>0</v>
      </c>
      <c r="J141" s="5">
        <f>COUNTIF(C$1:C141,C141)</f>
        <v>8</v>
      </c>
      <c r="K141" s="34">
        <v>12</v>
      </c>
      <c r="L141" s="5" t="s">
        <v>17</v>
      </c>
      <c r="M141" s="38" t="str">
        <f>VLOOKUP(K141,[2]stage_hints!$A:$C,3,FALSE)</f>
        <v>ユニットのお気に入り登録</v>
      </c>
      <c r="N141" s="39" t="str">
        <f>VLOOKUP(K141,[2]stage_hints!$A:$D,4,FALSE)</f>
        <v>大事なユニットを誤って消さないように
フォルダから「お気に入り登録」しましょう</v>
      </c>
      <c r="O141" s="20" t="s">
        <v>24</v>
      </c>
      <c r="P141">
        <v>12</v>
      </c>
    </row>
    <row r="142" spans="1:16" x14ac:dyDescent="0.15">
      <c r="A142" s="27" t="str">
        <f t="shared" si="29"/>
        <v>11101_3_9</v>
      </c>
      <c r="B142" s="25" t="s">
        <v>34</v>
      </c>
      <c r="C142" s="4">
        <v>11101</v>
      </c>
      <c r="D142" s="3" t="str">
        <f ca="1">VLOOKUP($C142,OFFSET([1]quests!$A$1,0,0,COUNTA([1]quests!$A:$A),MATCH(D$1,[1]quests!$1:$1,0)-MATCH($C$1,[1]quests!$1:$1,0)+1),MATCH(D$1,[1]quests!$1:$1,0)-MATCH($C$1,[1]quests!$1:$1,0)+1,FALSE)</f>
        <v>【期間限定】 黄の素材</v>
      </c>
      <c r="E142" s="3" t="str">
        <f ca="1">VLOOKUP($C142,OFFSET([1]quests!$A$1,0,0,COUNTA([1]quests!$A:$A),MATCH(E$1,[1]quests!$1:$1,0)-MATCH($C$1,[1]quests!$1:$1,0)+1),MATCH(E$1,[1]quests!$1:$1,0)-MATCH($C$1,[1]quests!$1:$1,0)+1,FALSE)</f>
        <v>月曜クエスト</v>
      </c>
      <c r="F142" s="5">
        <v>3</v>
      </c>
      <c r="G142" s="3" t="str">
        <f ca="1">VLOOKUP($C142&amp;"_"&amp;$F142,OFFSET([1]stages!$A$1,0,0,COUNTA([1]stages!$A:$A),MATCH(G$1,[1]stages!$2:$2,0)-MATCH("temp_stage",[1]stages!$2:$2,0)+1),MATCH(G$1,[1]stages!$2:$2,0)-MATCH("temp_stage",[1]stages!$2:$2,0)+1,FALSE)</f>
        <v>【上級】雷のイモムシ</v>
      </c>
      <c r="H142" s="3" t="str">
        <f ca="1">VLOOKUP($C142&amp;"_"&amp;$F142,OFFSET([1]stages!$A$1,0,0,COUNTA([1]stages!$A:$A),MATCH(H$1,[1]stages!$2:$2,0)-MATCH("temp_stage",[1]stages!$2:$2,0)+1),MATCH(H$1,[1]stages!$2:$2,0)-MATCH("temp_stage",[1]stages!$2:$2,0)+1,FALSE)</f>
        <v>月曜クエスト</v>
      </c>
      <c r="I142" s="18">
        <v>0</v>
      </c>
      <c r="J142" s="5">
        <f>COUNTIF(C$1:C142,C142)</f>
        <v>9</v>
      </c>
      <c r="K142" s="34">
        <v>13</v>
      </c>
      <c r="L142" s="5" t="s">
        <v>17</v>
      </c>
      <c r="M142" s="38" t="str">
        <f>VLOOKUP(K142,[2]stage_hints!$A:$C,3,FALSE)</f>
        <v>ユニットの覚醒</v>
      </c>
      <c r="N142" s="39" t="str">
        <f>VLOOKUP(K142,[2]stage_hints!$A:$D,4,FALSE)</f>
        <v>ユニットを覚醒させると
比べものにならない強さが手に入ります</v>
      </c>
      <c r="O142" s="20" t="s">
        <v>24</v>
      </c>
      <c r="P142">
        <v>13</v>
      </c>
    </row>
    <row r="143" spans="1:16" x14ac:dyDescent="0.15">
      <c r="A143" s="27" t="str">
        <f t="shared" ref="A143:A155" si="30">C143&amp;"_"&amp;F143&amp;"_"&amp;J143</f>
        <v>11101_3_10</v>
      </c>
      <c r="B143" s="25" t="s">
        <v>34</v>
      </c>
      <c r="C143" s="4">
        <v>11101</v>
      </c>
      <c r="D143" s="3" t="str">
        <f ca="1">VLOOKUP($C143,OFFSET([1]quests!$A$1,0,0,COUNTA([1]quests!$A:$A),MATCH(D$1,[1]quests!$1:$1,0)-MATCH($C$1,[1]quests!$1:$1,0)+1),MATCH(D$1,[1]quests!$1:$1,0)-MATCH($C$1,[1]quests!$1:$1,0)+1,FALSE)</f>
        <v>【期間限定】 黄の素材</v>
      </c>
      <c r="E143" s="3" t="str">
        <f ca="1">VLOOKUP($C143,OFFSET([1]quests!$A$1,0,0,COUNTA([1]quests!$A:$A),MATCH(E$1,[1]quests!$1:$1,0)-MATCH($C$1,[1]quests!$1:$1,0)+1),MATCH(E$1,[1]quests!$1:$1,0)-MATCH($C$1,[1]quests!$1:$1,0)+1,FALSE)</f>
        <v>月曜クエスト</v>
      </c>
      <c r="F143" s="5">
        <v>3</v>
      </c>
      <c r="G143" s="3" t="str">
        <f ca="1">VLOOKUP($C143&amp;"_"&amp;$F143,OFFSET([1]stages!$A$1,0,0,COUNTA([1]stages!$A:$A),MATCH(G$1,[1]stages!$2:$2,0)-MATCH("temp_stage",[1]stages!$2:$2,0)+1),MATCH(G$1,[1]stages!$2:$2,0)-MATCH("temp_stage",[1]stages!$2:$2,0)+1,FALSE)</f>
        <v>【上級】雷のイモムシ</v>
      </c>
      <c r="H143" s="3" t="str">
        <f ca="1">VLOOKUP($C143&amp;"_"&amp;$F143,OFFSET([1]stages!$A$1,0,0,COUNTA([1]stages!$A:$A),MATCH(H$1,[1]stages!$2:$2,0)-MATCH("temp_stage",[1]stages!$2:$2,0)+1),MATCH(H$1,[1]stages!$2:$2,0)-MATCH("temp_stage",[1]stages!$2:$2,0)+1,FALSE)</f>
        <v>月曜クエスト</v>
      </c>
      <c r="I143" s="18">
        <v>0</v>
      </c>
      <c r="J143" s="5">
        <f>COUNTIF(C$1:C143,C143)</f>
        <v>10</v>
      </c>
      <c r="K143" s="34">
        <v>14</v>
      </c>
      <c r="L143" s="5" t="s">
        <v>17</v>
      </c>
      <c r="M143" s="38" t="str">
        <f>VLOOKUP(K143,[2]stage_hints!$A:$C,3,FALSE)</f>
        <v>覚醒するにはレベルを最大に</v>
      </c>
      <c r="N143" s="39" t="str">
        <f>VLOOKUP(K143,[2]stage_hints!$A:$D,4,FALSE)</f>
        <v>覚醒するにはユニットのレベルを
最大まで上げる必要があります</v>
      </c>
      <c r="O143" s="20" t="s">
        <v>24</v>
      </c>
      <c r="P143">
        <v>14</v>
      </c>
    </row>
    <row r="144" spans="1:16" x14ac:dyDescent="0.15">
      <c r="A144" s="27" t="str">
        <f t="shared" si="30"/>
        <v>11101_3_11</v>
      </c>
      <c r="B144" s="25" t="s">
        <v>34</v>
      </c>
      <c r="C144" s="4">
        <v>11101</v>
      </c>
      <c r="D144" s="3" t="str">
        <f ca="1">VLOOKUP($C144,OFFSET([1]quests!$A$1,0,0,COUNTA([1]quests!$A:$A),MATCH(D$1,[1]quests!$1:$1,0)-MATCH($C$1,[1]quests!$1:$1,0)+1),MATCH(D$1,[1]quests!$1:$1,0)-MATCH($C$1,[1]quests!$1:$1,0)+1,FALSE)</f>
        <v>【期間限定】 黄の素材</v>
      </c>
      <c r="E144" s="3" t="str">
        <f ca="1">VLOOKUP($C144,OFFSET([1]quests!$A$1,0,0,COUNTA([1]quests!$A:$A),MATCH(E$1,[1]quests!$1:$1,0)-MATCH($C$1,[1]quests!$1:$1,0)+1),MATCH(E$1,[1]quests!$1:$1,0)-MATCH($C$1,[1]quests!$1:$1,0)+1,FALSE)</f>
        <v>月曜クエスト</v>
      </c>
      <c r="F144" s="5">
        <v>3</v>
      </c>
      <c r="G144" s="3" t="str">
        <f ca="1">VLOOKUP($C144&amp;"_"&amp;$F144,OFFSET([1]stages!$A$1,0,0,COUNTA([1]stages!$A:$A),MATCH(G$1,[1]stages!$2:$2,0)-MATCH("temp_stage",[1]stages!$2:$2,0)+1),MATCH(G$1,[1]stages!$2:$2,0)-MATCH("temp_stage",[1]stages!$2:$2,0)+1,FALSE)</f>
        <v>【上級】雷のイモムシ</v>
      </c>
      <c r="H144" s="3" t="str">
        <f ca="1">VLOOKUP($C144&amp;"_"&amp;$F144,OFFSET([1]stages!$A$1,0,0,COUNTA([1]stages!$A:$A),MATCH(H$1,[1]stages!$2:$2,0)-MATCH("temp_stage",[1]stages!$2:$2,0)+1),MATCH(H$1,[1]stages!$2:$2,0)-MATCH("temp_stage",[1]stages!$2:$2,0)+1,FALSE)</f>
        <v>月曜クエスト</v>
      </c>
      <c r="I144" s="18">
        <v>0</v>
      </c>
      <c r="J144" s="5">
        <f>COUNTIF(C$1:C144,C144)</f>
        <v>11</v>
      </c>
      <c r="K144" s="34">
        <v>15</v>
      </c>
      <c r="L144" s="5" t="s">
        <v>17</v>
      </c>
      <c r="M144" s="38" t="str">
        <f>VLOOKUP(K144,[2]stage_hints!$A:$C,3,FALSE)</f>
        <v>覚醒素材を獲得</v>
      </c>
      <c r="N144" s="39" t="str">
        <f>VLOOKUP(K144,[2]stage_hints!$A:$D,4,FALSE)</f>
        <v>「曜日クエスト」では
ユニットの覚醒に必要な素材が手に入ります</v>
      </c>
      <c r="O144" s="20" t="s">
        <v>24</v>
      </c>
      <c r="P144">
        <v>15</v>
      </c>
    </row>
    <row r="145" spans="1:16" x14ac:dyDescent="0.15">
      <c r="A145" s="27" t="str">
        <f t="shared" si="30"/>
        <v>11101_3_12</v>
      </c>
      <c r="B145" s="25" t="s">
        <v>34</v>
      </c>
      <c r="C145" s="4">
        <v>11101</v>
      </c>
      <c r="D145" s="3" t="str">
        <f ca="1">VLOOKUP($C145,OFFSET([1]quests!$A$1,0,0,COUNTA([1]quests!$A:$A),MATCH(D$1,[1]quests!$1:$1,0)-MATCH($C$1,[1]quests!$1:$1,0)+1),MATCH(D$1,[1]quests!$1:$1,0)-MATCH($C$1,[1]quests!$1:$1,0)+1,FALSE)</f>
        <v>【期間限定】 黄の素材</v>
      </c>
      <c r="E145" s="3" t="str">
        <f ca="1">VLOOKUP($C145,OFFSET([1]quests!$A$1,0,0,COUNTA([1]quests!$A:$A),MATCH(E$1,[1]quests!$1:$1,0)-MATCH($C$1,[1]quests!$1:$1,0)+1),MATCH(E$1,[1]quests!$1:$1,0)-MATCH($C$1,[1]quests!$1:$1,0)+1,FALSE)</f>
        <v>月曜クエスト</v>
      </c>
      <c r="F145" s="5">
        <v>3</v>
      </c>
      <c r="G145" s="3" t="str">
        <f ca="1">VLOOKUP($C145&amp;"_"&amp;$F145,OFFSET([1]stages!$A$1,0,0,COUNTA([1]stages!$A:$A),MATCH(G$1,[1]stages!$2:$2,0)-MATCH("temp_stage",[1]stages!$2:$2,0)+1),MATCH(G$1,[1]stages!$2:$2,0)-MATCH("temp_stage",[1]stages!$2:$2,0)+1,FALSE)</f>
        <v>【上級】雷のイモムシ</v>
      </c>
      <c r="H145" s="3" t="str">
        <f ca="1">VLOOKUP($C145&amp;"_"&amp;$F145,OFFSET([1]stages!$A$1,0,0,COUNTA([1]stages!$A:$A),MATCH(H$1,[1]stages!$2:$2,0)-MATCH("temp_stage",[1]stages!$2:$2,0)+1),MATCH(H$1,[1]stages!$2:$2,0)-MATCH("temp_stage",[1]stages!$2:$2,0)+1,FALSE)</f>
        <v>月曜クエスト</v>
      </c>
      <c r="I145" s="18">
        <v>0</v>
      </c>
      <c r="J145" s="5">
        <f>COUNTIF(C$1:C145,C145)</f>
        <v>12</v>
      </c>
      <c r="K145" s="34">
        <v>16</v>
      </c>
      <c r="L145" s="5" t="s">
        <v>17</v>
      </c>
      <c r="M145" s="38" t="str">
        <f>VLOOKUP(K145,[2]stage_hints!$A:$C,3,FALSE)</f>
        <v>マルチプレイのメリット（その1）</v>
      </c>
      <c r="N145" s="39" t="str">
        <f>VLOOKUP(K145,[2]stage_hints!$A:$D,4,FALSE)</f>
        <v>他のプレイヤーとマルチプレイで遊ぶと
ポリゴンがもらえます（100人まで）</v>
      </c>
      <c r="O145" s="20" t="s">
        <v>24</v>
      </c>
      <c r="P145">
        <v>16</v>
      </c>
    </row>
    <row r="146" spans="1:16" x14ac:dyDescent="0.15">
      <c r="A146" s="27" t="str">
        <f t="shared" si="30"/>
        <v>11101_3_13</v>
      </c>
      <c r="B146" s="25" t="s">
        <v>34</v>
      </c>
      <c r="C146" s="4">
        <v>11101</v>
      </c>
      <c r="D146" s="3" t="str">
        <f ca="1">VLOOKUP($C146,OFFSET([1]quests!$A$1,0,0,COUNTA([1]quests!$A:$A),MATCH(D$1,[1]quests!$1:$1,0)-MATCH($C$1,[1]quests!$1:$1,0)+1),MATCH(D$1,[1]quests!$1:$1,0)-MATCH($C$1,[1]quests!$1:$1,0)+1,FALSE)</f>
        <v>【期間限定】 黄の素材</v>
      </c>
      <c r="E146" s="3" t="str">
        <f ca="1">VLOOKUP($C146,OFFSET([1]quests!$A$1,0,0,COUNTA([1]quests!$A:$A),MATCH(E$1,[1]quests!$1:$1,0)-MATCH($C$1,[1]quests!$1:$1,0)+1),MATCH(E$1,[1]quests!$1:$1,0)-MATCH($C$1,[1]quests!$1:$1,0)+1,FALSE)</f>
        <v>月曜クエスト</v>
      </c>
      <c r="F146" s="5">
        <v>3</v>
      </c>
      <c r="G146" s="3" t="str">
        <f ca="1">VLOOKUP($C146&amp;"_"&amp;$F146,OFFSET([1]stages!$A$1,0,0,COUNTA([1]stages!$A:$A),MATCH(G$1,[1]stages!$2:$2,0)-MATCH("temp_stage",[1]stages!$2:$2,0)+1),MATCH(G$1,[1]stages!$2:$2,0)-MATCH("temp_stage",[1]stages!$2:$2,0)+1,FALSE)</f>
        <v>【上級】雷のイモムシ</v>
      </c>
      <c r="H146" s="3" t="str">
        <f ca="1">VLOOKUP($C146&amp;"_"&amp;$F146,OFFSET([1]stages!$A$1,0,0,COUNTA([1]stages!$A:$A),MATCH(H$1,[1]stages!$2:$2,0)-MATCH("temp_stage",[1]stages!$2:$2,0)+1),MATCH(H$1,[1]stages!$2:$2,0)-MATCH("temp_stage",[1]stages!$2:$2,0)+1,FALSE)</f>
        <v>月曜クエスト</v>
      </c>
      <c r="I146" s="18">
        <v>0</v>
      </c>
      <c r="J146" s="5">
        <f>COUNTIF(C$1:C146,C146)</f>
        <v>13</v>
      </c>
      <c r="K146" s="34">
        <v>17</v>
      </c>
      <c r="L146" s="5" t="s">
        <v>17</v>
      </c>
      <c r="M146" s="38" t="str">
        <f>VLOOKUP(K146,[2]stage_hints!$A:$C,3,FALSE)</f>
        <v>リンクガチャ</v>
      </c>
      <c r="N146" s="39" t="str">
        <f>VLOOKUP(K146,[2]stage_hints!$A:$D,4,FALSE)</f>
        <v>無料のリンクガチャを回して
経験値素材や売却素材を獲得しましょう</v>
      </c>
      <c r="O146" s="20" t="s">
        <v>24</v>
      </c>
      <c r="P146">
        <v>17</v>
      </c>
    </row>
    <row r="147" spans="1:16" x14ac:dyDescent="0.15">
      <c r="A147" s="27" t="str">
        <f t="shared" si="30"/>
        <v>11101_3_14</v>
      </c>
      <c r="B147" s="25" t="s">
        <v>34</v>
      </c>
      <c r="C147" s="4">
        <v>11101</v>
      </c>
      <c r="D147" s="3" t="str">
        <f ca="1">VLOOKUP($C147,OFFSET([1]quests!$A$1,0,0,COUNTA([1]quests!$A:$A),MATCH(D$1,[1]quests!$1:$1,0)-MATCH($C$1,[1]quests!$1:$1,0)+1),MATCH(D$1,[1]quests!$1:$1,0)-MATCH($C$1,[1]quests!$1:$1,0)+1,FALSE)</f>
        <v>【期間限定】 黄の素材</v>
      </c>
      <c r="E147" s="3" t="str">
        <f ca="1">VLOOKUP($C147,OFFSET([1]quests!$A$1,0,0,COUNTA([1]quests!$A:$A),MATCH(E$1,[1]quests!$1:$1,0)-MATCH($C$1,[1]quests!$1:$1,0)+1),MATCH(E$1,[1]quests!$1:$1,0)-MATCH($C$1,[1]quests!$1:$1,0)+1,FALSE)</f>
        <v>月曜クエスト</v>
      </c>
      <c r="F147" s="5">
        <v>3</v>
      </c>
      <c r="G147" s="3" t="str">
        <f ca="1">VLOOKUP($C147&amp;"_"&amp;$F147,OFFSET([1]stages!$A$1,0,0,COUNTA([1]stages!$A:$A),MATCH(G$1,[1]stages!$2:$2,0)-MATCH("temp_stage",[1]stages!$2:$2,0)+1),MATCH(G$1,[1]stages!$2:$2,0)-MATCH("temp_stage",[1]stages!$2:$2,0)+1,FALSE)</f>
        <v>【上級】雷のイモムシ</v>
      </c>
      <c r="H147" s="3" t="str">
        <f ca="1">VLOOKUP($C147&amp;"_"&amp;$F147,OFFSET([1]stages!$A$1,0,0,COUNTA([1]stages!$A:$A),MATCH(H$1,[1]stages!$2:$2,0)-MATCH("temp_stage",[1]stages!$2:$2,0)+1),MATCH(H$1,[1]stages!$2:$2,0)-MATCH("temp_stage",[1]stages!$2:$2,0)+1,FALSE)</f>
        <v>月曜クエスト</v>
      </c>
      <c r="I147" s="18">
        <v>0</v>
      </c>
      <c r="J147" s="5">
        <f>COUNTIF(C$1:C147,C147)</f>
        <v>14</v>
      </c>
      <c r="K147" s="34">
        <v>18</v>
      </c>
      <c r="L147" s="5" t="s">
        <v>17</v>
      </c>
      <c r="M147" s="38" t="str">
        <f>VLOOKUP(K147,[2]stage_hints!$A:$C,3,FALSE)</f>
        <v>マルチプレイのメリット（その2）</v>
      </c>
      <c r="N147" s="39" t="str">
        <f>VLOOKUP(K147,[2]stage_hints!$A:$D,4,FALSE)</f>
        <v>マルチプレイならリンクが2倍もらえます
リンクガチャをたくさん回しましょう</v>
      </c>
      <c r="O147" s="20" t="s">
        <v>24</v>
      </c>
      <c r="P147">
        <v>18</v>
      </c>
    </row>
    <row r="148" spans="1:16" x14ac:dyDescent="0.15">
      <c r="A148" s="27" t="str">
        <f t="shared" si="30"/>
        <v>11101_3_15</v>
      </c>
      <c r="B148" s="25" t="s">
        <v>34</v>
      </c>
      <c r="C148" s="4">
        <v>11101</v>
      </c>
      <c r="D148" s="3" t="str">
        <f ca="1">VLOOKUP($C148,OFFSET([1]quests!$A$1,0,0,COUNTA([1]quests!$A:$A),MATCH(D$1,[1]quests!$1:$1,0)-MATCH($C$1,[1]quests!$1:$1,0)+1),MATCH(D$1,[1]quests!$1:$1,0)-MATCH($C$1,[1]quests!$1:$1,0)+1,FALSE)</f>
        <v>【期間限定】 黄の素材</v>
      </c>
      <c r="E148" s="3" t="str">
        <f ca="1">VLOOKUP($C148,OFFSET([1]quests!$A$1,0,0,COUNTA([1]quests!$A:$A),MATCH(E$1,[1]quests!$1:$1,0)-MATCH($C$1,[1]quests!$1:$1,0)+1),MATCH(E$1,[1]quests!$1:$1,0)-MATCH($C$1,[1]quests!$1:$1,0)+1,FALSE)</f>
        <v>月曜クエスト</v>
      </c>
      <c r="F148" s="5">
        <v>3</v>
      </c>
      <c r="G148" s="3" t="str">
        <f ca="1">VLOOKUP($C148&amp;"_"&amp;$F148,OFFSET([1]stages!$A$1,0,0,COUNTA([1]stages!$A:$A),MATCH(G$1,[1]stages!$2:$2,0)-MATCH("temp_stage",[1]stages!$2:$2,0)+1),MATCH(G$1,[1]stages!$2:$2,0)-MATCH("temp_stage",[1]stages!$2:$2,0)+1,FALSE)</f>
        <v>【上級】雷のイモムシ</v>
      </c>
      <c r="H148" s="3" t="str">
        <f ca="1">VLOOKUP($C148&amp;"_"&amp;$F148,OFFSET([1]stages!$A$1,0,0,COUNTA([1]stages!$A:$A),MATCH(H$1,[1]stages!$2:$2,0)-MATCH("temp_stage",[1]stages!$2:$2,0)+1),MATCH(H$1,[1]stages!$2:$2,0)-MATCH("temp_stage",[1]stages!$2:$2,0)+1,FALSE)</f>
        <v>月曜クエスト</v>
      </c>
      <c r="I148" s="18">
        <v>0</v>
      </c>
      <c r="J148" s="5">
        <f>COUNTIF(C$1:C148,C148)</f>
        <v>15</v>
      </c>
      <c r="K148" s="34">
        <v>19</v>
      </c>
      <c r="L148" s="5" t="s">
        <v>17</v>
      </c>
      <c r="M148" s="38" t="str">
        <f>VLOOKUP(K148,[2]stage_hints!$A:$C,3,FALSE)</f>
        <v>ソロ専用チャレンジタワー</v>
      </c>
      <c r="N148" s="39" t="str">
        <f>VLOOKUP(K148,[2]stage_hints!$A:$D,4,FALSE)</f>
        <v>ソロ専用の「チャレンジタワー」では
各フロアごとにクリア報酬がもらえます</v>
      </c>
      <c r="O148" s="20" t="s">
        <v>24</v>
      </c>
      <c r="P148">
        <v>19</v>
      </c>
    </row>
    <row r="149" spans="1:16" x14ac:dyDescent="0.15">
      <c r="A149" s="27" t="str">
        <f t="shared" si="30"/>
        <v>11101_3_16</v>
      </c>
      <c r="B149" s="25" t="s">
        <v>34</v>
      </c>
      <c r="C149" s="4">
        <v>11101</v>
      </c>
      <c r="D149" s="3" t="str">
        <f ca="1">VLOOKUP($C149,OFFSET([1]quests!$A$1,0,0,COUNTA([1]quests!$A:$A),MATCH(D$1,[1]quests!$1:$1,0)-MATCH($C$1,[1]quests!$1:$1,0)+1),MATCH(D$1,[1]quests!$1:$1,0)-MATCH($C$1,[1]quests!$1:$1,0)+1,FALSE)</f>
        <v>【期間限定】 黄の素材</v>
      </c>
      <c r="E149" s="3" t="str">
        <f ca="1">VLOOKUP($C149,OFFSET([1]quests!$A$1,0,0,COUNTA([1]quests!$A:$A),MATCH(E$1,[1]quests!$1:$1,0)-MATCH($C$1,[1]quests!$1:$1,0)+1),MATCH(E$1,[1]quests!$1:$1,0)-MATCH($C$1,[1]quests!$1:$1,0)+1,FALSE)</f>
        <v>月曜クエスト</v>
      </c>
      <c r="F149" s="5">
        <v>3</v>
      </c>
      <c r="G149" s="3" t="str">
        <f ca="1">VLOOKUP($C149&amp;"_"&amp;$F149,OFFSET([1]stages!$A$1,0,0,COUNTA([1]stages!$A:$A),MATCH(G$1,[1]stages!$2:$2,0)-MATCH("temp_stage",[1]stages!$2:$2,0)+1),MATCH(G$1,[1]stages!$2:$2,0)-MATCH("temp_stage",[1]stages!$2:$2,0)+1,FALSE)</f>
        <v>【上級】雷のイモムシ</v>
      </c>
      <c r="H149" s="3" t="str">
        <f ca="1">VLOOKUP($C149&amp;"_"&amp;$F149,OFFSET([1]stages!$A$1,0,0,COUNTA([1]stages!$A:$A),MATCH(H$1,[1]stages!$2:$2,0)-MATCH("temp_stage",[1]stages!$2:$2,0)+1),MATCH(H$1,[1]stages!$2:$2,0)-MATCH("temp_stage",[1]stages!$2:$2,0)+1,FALSE)</f>
        <v>月曜クエスト</v>
      </c>
      <c r="I149" s="18">
        <v>0</v>
      </c>
      <c r="J149" s="5">
        <f>COUNTIF(C$1:C149,C149)</f>
        <v>16</v>
      </c>
      <c r="K149" s="34">
        <v>20</v>
      </c>
      <c r="L149" s="5" t="s">
        <v>17</v>
      </c>
      <c r="M149" s="38" t="str">
        <f>VLOOKUP(K149,[2]stage_hints!$A:$C,3,FALSE)</f>
        <v>マルチプレイのメリット（その3）</v>
      </c>
      <c r="N149" s="39" t="str">
        <f>VLOOKUP(K149,[2]stage_hints!$A:$D,4,FALSE)</f>
        <v>マルチプレイへの参加はエナジー消費ゼロ
いつでも好きなだけ遊ぶことができます</v>
      </c>
      <c r="O149" s="20" t="s">
        <v>24</v>
      </c>
      <c r="P149">
        <v>20</v>
      </c>
    </row>
    <row r="150" spans="1:16" x14ac:dyDescent="0.15">
      <c r="A150" s="27" t="str">
        <f t="shared" si="30"/>
        <v>11101_3_17</v>
      </c>
      <c r="B150" s="25" t="s">
        <v>34</v>
      </c>
      <c r="C150" s="4">
        <v>11101</v>
      </c>
      <c r="D150" s="3" t="str">
        <f ca="1">VLOOKUP($C150,OFFSET([1]quests!$A$1,0,0,COUNTA([1]quests!$A:$A),MATCH(D$1,[1]quests!$1:$1,0)-MATCH($C$1,[1]quests!$1:$1,0)+1),MATCH(D$1,[1]quests!$1:$1,0)-MATCH($C$1,[1]quests!$1:$1,0)+1,FALSE)</f>
        <v>【期間限定】 黄の素材</v>
      </c>
      <c r="E150" s="3" t="str">
        <f ca="1">VLOOKUP($C150,OFFSET([1]quests!$A$1,0,0,COUNTA([1]quests!$A:$A),MATCH(E$1,[1]quests!$1:$1,0)-MATCH($C$1,[1]quests!$1:$1,0)+1),MATCH(E$1,[1]quests!$1:$1,0)-MATCH($C$1,[1]quests!$1:$1,0)+1,FALSE)</f>
        <v>月曜クエスト</v>
      </c>
      <c r="F150" s="5">
        <v>3</v>
      </c>
      <c r="G150" s="3" t="str">
        <f ca="1">VLOOKUP($C150&amp;"_"&amp;$F150,OFFSET([1]stages!$A$1,0,0,COUNTA([1]stages!$A:$A),MATCH(G$1,[1]stages!$2:$2,0)-MATCH("temp_stage",[1]stages!$2:$2,0)+1),MATCH(G$1,[1]stages!$2:$2,0)-MATCH("temp_stage",[1]stages!$2:$2,0)+1,FALSE)</f>
        <v>【上級】雷のイモムシ</v>
      </c>
      <c r="H150" s="3" t="str">
        <f ca="1">VLOOKUP($C150&amp;"_"&amp;$F150,OFFSET([1]stages!$A$1,0,0,COUNTA([1]stages!$A:$A),MATCH(H$1,[1]stages!$2:$2,0)-MATCH("temp_stage",[1]stages!$2:$2,0)+1),MATCH(H$1,[1]stages!$2:$2,0)-MATCH("temp_stage",[1]stages!$2:$2,0)+1,FALSE)</f>
        <v>月曜クエスト</v>
      </c>
      <c r="I150" s="18">
        <v>0</v>
      </c>
      <c r="J150" s="5">
        <f>COUNTIF(C$1:C150,C150)</f>
        <v>17</v>
      </c>
      <c r="K150" s="34">
        <v>21</v>
      </c>
      <c r="L150" s="5" t="s">
        <v>17</v>
      </c>
      <c r="M150" s="38" t="str">
        <f>VLOOKUP(K150,[2]stage_hints!$A:$C,3,FALSE)</f>
        <v>スキルを有効に</v>
      </c>
      <c r="N150" s="39" t="str">
        <f>VLOOKUP(K150,[2]stage_hints!$A:$D,4,FALSE)</f>
        <v>ターン経過でユニットのスキルが使えます
強力スキルでバトルを有利に進めましょう</v>
      </c>
      <c r="O150" s="20" t="s">
        <v>24</v>
      </c>
      <c r="P150">
        <v>21</v>
      </c>
    </row>
    <row r="151" spans="1:16" x14ac:dyDescent="0.15">
      <c r="A151" s="27" t="str">
        <f t="shared" si="30"/>
        <v>11101_3_18</v>
      </c>
      <c r="B151" s="25" t="s">
        <v>34</v>
      </c>
      <c r="C151" s="4">
        <v>11101</v>
      </c>
      <c r="D151" s="3" t="str">
        <f ca="1">VLOOKUP($C151,OFFSET([1]quests!$A$1,0,0,COUNTA([1]quests!$A:$A),MATCH(D$1,[1]quests!$1:$1,0)-MATCH($C$1,[1]quests!$1:$1,0)+1),MATCH(D$1,[1]quests!$1:$1,0)-MATCH($C$1,[1]quests!$1:$1,0)+1,FALSE)</f>
        <v>【期間限定】 黄の素材</v>
      </c>
      <c r="E151" s="3" t="str">
        <f ca="1">VLOOKUP($C151,OFFSET([1]quests!$A$1,0,0,COUNTA([1]quests!$A:$A),MATCH(E$1,[1]quests!$1:$1,0)-MATCH($C$1,[1]quests!$1:$1,0)+1),MATCH(E$1,[1]quests!$1:$1,0)-MATCH($C$1,[1]quests!$1:$1,0)+1,FALSE)</f>
        <v>月曜クエスト</v>
      </c>
      <c r="F151" s="5">
        <v>3</v>
      </c>
      <c r="G151" s="3" t="str">
        <f ca="1">VLOOKUP($C151&amp;"_"&amp;$F151,OFFSET([1]stages!$A$1,0,0,COUNTA([1]stages!$A:$A),MATCH(G$1,[1]stages!$2:$2,0)-MATCH("temp_stage",[1]stages!$2:$2,0)+1),MATCH(G$1,[1]stages!$2:$2,0)-MATCH("temp_stage",[1]stages!$2:$2,0)+1,FALSE)</f>
        <v>【上級】雷のイモムシ</v>
      </c>
      <c r="H151" s="3" t="str">
        <f ca="1">VLOOKUP($C151&amp;"_"&amp;$F151,OFFSET([1]stages!$A$1,0,0,COUNTA([1]stages!$A:$A),MATCH(H$1,[1]stages!$2:$2,0)-MATCH("temp_stage",[1]stages!$2:$2,0)+1),MATCH(H$1,[1]stages!$2:$2,0)-MATCH("temp_stage",[1]stages!$2:$2,0)+1,FALSE)</f>
        <v>月曜クエスト</v>
      </c>
      <c r="I151" s="18">
        <v>0</v>
      </c>
      <c r="J151" s="5">
        <f>COUNTIF(C$1:C151,C151)</f>
        <v>18</v>
      </c>
      <c r="K151" s="34">
        <v>22</v>
      </c>
      <c r="L151" s="5" t="s">
        <v>17</v>
      </c>
      <c r="M151" s="38" t="str">
        <f>VLOOKUP(K151,[2]stage_hints!$A:$C,3,FALSE)</f>
        <v>フィーバーで一発逆転（その1）</v>
      </c>
      <c r="N151" s="39" t="str">
        <f>VLOOKUP(K151,[2]stage_hints!$A:$D,4,FALSE)</f>
        <v>フィーバーは攻撃と回復を兼ね備えます
ピンチからの一発逆転を狙いましょう</v>
      </c>
      <c r="O151" s="20" t="s">
        <v>24</v>
      </c>
      <c r="P151">
        <v>22</v>
      </c>
    </row>
    <row r="152" spans="1:16" x14ac:dyDescent="0.15">
      <c r="A152" s="27" t="str">
        <f t="shared" si="30"/>
        <v>11101_3_19</v>
      </c>
      <c r="B152" s="25" t="s">
        <v>34</v>
      </c>
      <c r="C152" s="4">
        <v>11101</v>
      </c>
      <c r="D152" s="3" t="str">
        <f ca="1">VLOOKUP($C152,OFFSET([1]quests!$A$1,0,0,COUNTA([1]quests!$A:$A),MATCH(D$1,[1]quests!$1:$1,0)-MATCH($C$1,[1]quests!$1:$1,0)+1),MATCH(D$1,[1]quests!$1:$1,0)-MATCH($C$1,[1]quests!$1:$1,0)+1,FALSE)</f>
        <v>【期間限定】 黄の素材</v>
      </c>
      <c r="E152" s="3" t="str">
        <f ca="1">VLOOKUP($C152,OFFSET([1]quests!$A$1,0,0,COUNTA([1]quests!$A:$A),MATCH(E$1,[1]quests!$1:$1,0)-MATCH($C$1,[1]quests!$1:$1,0)+1),MATCH(E$1,[1]quests!$1:$1,0)-MATCH($C$1,[1]quests!$1:$1,0)+1,FALSE)</f>
        <v>月曜クエスト</v>
      </c>
      <c r="F152" s="5">
        <v>3</v>
      </c>
      <c r="G152" s="3" t="str">
        <f ca="1">VLOOKUP($C152&amp;"_"&amp;$F152,OFFSET([1]stages!$A$1,0,0,COUNTA([1]stages!$A:$A),MATCH(G$1,[1]stages!$2:$2,0)-MATCH("temp_stage",[1]stages!$2:$2,0)+1),MATCH(G$1,[1]stages!$2:$2,0)-MATCH("temp_stage",[1]stages!$2:$2,0)+1,FALSE)</f>
        <v>【上級】雷のイモムシ</v>
      </c>
      <c r="H152" s="3" t="str">
        <f ca="1">VLOOKUP($C152&amp;"_"&amp;$F152,OFFSET([1]stages!$A$1,0,0,COUNTA([1]stages!$A:$A),MATCH(H$1,[1]stages!$2:$2,0)-MATCH("temp_stage",[1]stages!$2:$2,0)+1),MATCH(H$1,[1]stages!$2:$2,0)-MATCH("temp_stage",[1]stages!$2:$2,0)+1,FALSE)</f>
        <v>月曜クエスト</v>
      </c>
      <c r="I152" s="18">
        <v>0</v>
      </c>
      <c r="J152" s="5">
        <f>COUNTIF(C$1:C152,C152)</f>
        <v>19</v>
      </c>
      <c r="K152" s="34">
        <v>23</v>
      </c>
      <c r="L152" s="5" t="s">
        <v>17</v>
      </c>
      <c r="M152" s="38" t="str">
        <f>VLOOKUP(K152,[2]stage_hints!$A:$C,3,FALSE)</f>
        <v>フィーバーで一発逆転（その2）</v>
      </c>
      <c r="N152" s="39" t="str">
        <f>VLOOKUP(K152,[2]stage_hints!$A:$D,4,FALSE)</f>
        <v>フィーバー中は虹色のボムパネルを狙って
画面上のパネルを一気に破壊しましょう</v>
      </c>
      <c r="O152" s="20" t="s">
        <v>24</v>
      </c>
      <c r="P152">
        <v>23</v>
      </c>
    </row>
    <row r="153" spans="1:16" x14ac:dyDescent="0.15">
      <c r="A153" s="27" t="str">
        <f t="shared" si="30"/>
        <v>11101_3_20</v>
      </c>
      <c r="B153" s="25" t="s">
        <v>34</v>
      </c>
      <c r="C153" s="4">
        <v>11101</v>
      </c>
      <c r="D153" s="3" t="str">
        <f ca="1">VLOOKUP($C153,OFFSET([1]quests!$A$1,0,0,COUNTA([1]quests!$A:$A),MATCH(D$1,[1]quests!$1:$1,0)-MATCH($C$1,[1]quests!$1:$1,0)+1),MATCH(D$1,[1]quests!$1:$1,0)-MATCH($C$1,[1]quests!$1:$1,0)+1,FALSE)</f>
        <v>【期間限定】 黄の素材</v>
      </c>
      <c r="E153" s="3" t="str">
        <f ca="1">VLOOKUP($C153,OFFSET([1]quests!$A$1,0,0,COUNTA([1]quests!$A:$A),MATCH(E$1,[1]quests!$1:$1,0)-MATCH($C$1,[1]quests!$1:$1,0)+1),MATCH(E$1,[1]quests!$1:$1,0)-MATCH($C$1,[1]quests!$1:$1,0)+1,FALSE)</f>
        <v>月曜クエスト</v>
      </c>
      <c r="F153" s="5">
        <v>3</v>
      </c>
      <c r="G153" s="3" t="str">
        <f ca="1">VLOOKUP($C153&amp;"_"&amp;$F153,OFFSET([1]stages!$A$1,0,0,COUNTA([1]stages!$A:$A),MATCH(G$1,[1]stages!$2:$2,0)-MATCH("temp_stage",[1]stages!$2:$2,0)+1),MATCH(G$1,[1]stages!$2:$2,0)-MATCH("temp_stage",[1]stages!$2:$2,0)+1,FALSE)</f>
        <v>【上級】雷のイモムシ</v>
      </c>
      <c r="H153" s="3" t="str">
        <f ca="1">VLOOKUP($C153&amp;"_"&amp;$F153,OFFSET([1]stages!$A$1,0,0,COUNTA([1]stages!$A:$A),MATCH(H$1,[1]stages!$2:$2,0)-MATCH("temp_stage",[1]stages!$2:$2,0)+1),MATCH(H$1,[1]stages!$2:$2,0)-MATCH("temp_stage",[1]stages!$2:$2,0)+1,FALSE)</f>
        <v>月曜クエスト</v>
      </c>
      <c r="I153" s="18">
        <v>0</v>
      </c>
      <c r="J153" s="5">
        <f>COUNTIF(C$1:C153,C153)</f>
        <v>20</v>
      </c>
      <c r="K153" s="34">
        <v>24</v>
      </c>
      <c r="L153" s="5" t="s">
        <v>17</v>
      </c>
      <c r="M153" s="38" t="str">
        <f>VLOOKUP(K153,[2]stage_hints!$A:$C,3,FALSE)</f>
        <v>りんごを使って限界突破</v>
      </c>
      <c r="N153" s="39" t="str">
        <f>VLOOKUP(K153,[2]stage_hints!$A:$D,4,FALSE)</f>
        <v>赤りんご(攻撃力) 青りんご(回復力)
緑りんご(体力)をユニット強化に使うと
ステータスが限界突破します（計99個迄）</v>
      </c>
      <c r="O153" s="20" t="s">
        <v>24</v>
      </c>
      <c r="P153">
        <v>24</v>
      </c>
    </row>
    <row r="154" spans="1:16" x14ac:dyDescent="0.15">
      <c r="A154" s="27" t="str">
        <f t="shared" si="30"/>
        <v>11101_3_21</v>
      </c>
      <c r="B154" s="25" t="s">
        <v>34</v>
      </c>
      <c r="C154" s="4">
        <v>11101</v>
      </c>
      <c r="D154" s="3" t="str">
        <f ca="1">VLOOKUP($C154,OFFSET([1]quests!$A$1,0,0,COUNTA([1]quests!$A:$A),MATCH(D$1,[1]quests!$1:$1,0)-MATCH($C$1,[1]quests!$1:$1,0)+1),MATCH(D$1,[1]quests!$1:$1,0)-MATCH($C$1,[1]quests!$1:$1,0)+1,FALSE)</f>
        <v>【期間限定】 黄の素材</v>
      </c>
      <c r="E154" s="3" t="str">
        <f ca="1">VLOOKUP($C154,OFFSET([1]quests!$A$1,0,0,COUNTA([1]quests!$A:$A),MATCH(E$1,[1]quests!$1:$1,0)-MATCH($C$1,[1]quests!$1:$1,0)+1),MATCH(E$1,[1]quests!$1:$1,0)-MATCH($C$1,[1]quests!$1:$1,0)+1,FALSE)</f>
        <v>月曜クエスト</v>
      </c>
      <c r="F154" s="5">
        <v>3</v>
      </c>
      <c r="G154" s="3" t="str">
        <f ca="1">VLOOKUP($C154&amp;"_"&amp;$F154,OFFSET([1]stages!$A$1,0,0,COUNTA([1]stages!$A:$A),MATCH(G$1,[1]stages!$2:$2,0)-MATCH("temp_stage",[1]stages!$2:$2,0)+1),MATCH(G$1,[1]stages!$2:$2,0)-MATCH("temp_stage",[1]stages!$2:$2,0)+1,FALSE)</f>
        <v>【上級】雷のイモムシ</v>
      </c>
      <c r="H154" s="3" t="str">
        <f ca="1">VLOOKUP($C154&amp;"_"&amp;$F154,OFFSET([1]stages!$A$1,0,0,COUNTA([1]stages!$A:$A),MATCH(H$1,[1]stages!$2:$2,0)-MATCH("temp_stage",[1]stages!$2:$2,0)+1),MATCH(H$1,[1]stages!$2:$2,0)-MATCH("temp_stage",[1]stages!$2:$2,0)+1,FALSE)</f>
        <v>月曜クエスト</v>
      </c>
      <c r="I154" s="18">
        <v>0</v>
      </c>
      <c r="J154" s="5">
        <f>COUNTIF(C$1:C154,C154)</f>
        <v>21</v>
      </c>
      <c r="K154" s="34">
        <v>25</v>
      </c>
      <c r="L154" s="5" t="s">
        <v>17</v>
      </c>
      <c r="M154" s="38" t="str">
        <f>VLOOKUP(K154,[2]stage_hints!$A:$C,3,FALSE)</f>
        <v>スキルレベルアップ</v>
      </c>
      <c r="N154" s="39" t="str">
        <f>VLOOKUP(K154,[2]stage_hints!$A:$D,4,FALSE)</f>
        <v>「クリスタルのりんご」を強化に使うと
スキルレベルを上げることができます</v>
      </c>
      <c r="O154" s="20" t="s">
        <v>24</v>
      </c>
      <c r="P154">
        <v>25</v>
      </c>
    </row>
    <row r="155" spans="1:16" x14ac:dyDescent="0.15">
      <c r="A155" s="27" t="str">
        <f t="shared" si="30"/>
        <v>11101_3_22</v>
      </c>
      <c r="B155" s="25" t="s">
        <v>34</v>
      </c>
      <c r="C155" s="4">
        <v>11101</v>
      </c>
      <c r="D155" s="3" t="str">
        <f ca="1">VLOOKUP($C155,OFFSET([1]quests!$A$1,0,0,COUNTA([1]quests!$A:$A),MATCH(D$1,[1]quests!$1:$1,0)-MATCH($C$1,[1]quests!$1:$1,0)+1),MATCH(D$1,[1]quests!$1:$1,0)-MATCH($C$1,[1]quests!$1:$1,0)+1,FALSE)</f>
        <v>【期間限定】 黄の素材</v>
      </c>
      <c r="E155" s="3" t="str">
        <f ca="1">VLOOKUP($C155,OFFSET([1]quests!$A$1,0,0,COUNTA([1]quests!$A:$A),MATCH(E$1,[1]quests!$1:$1,0)-MATCH($C$1,[1]quests!$1:$1,0)+1),MATCH(E$1,[1]quests!$1:$1,0)-MATCH($C$1,[1]quests!$1:$1,0)+1,FALSE)</f>
        <v>月曜クエスト</v>
      </c>
      <c r="F155" s="5">
        <v>3</v>
      </c>
      <c r="G155" s="3" t="str">
        <f ca="1">VLOOKUP($C155&amp;"_"&amp;$F155,OFFSET([1]stages!$A$1,0,0,COUNTA([1]stages!$A:$A),MATCH(G$1,[1]stages!$2:$2,0)-MATCH("temp_stage",[1]stages!$2:$2,0)+1),MATCH(G$1,[1]stages!$2:$2,0)-MATCH("temp_stage",[1]stages!$2:$2,0)+1,FALSE)</f>
        <v>【上級】雷のイモムシ</v>
      </c>
      <c r="H155" s="3" t="str">
        <f ca="1">VLOOKUP($C155&amp;"_"&amp;$F155,OFFSET([1]stages!$A$1,0,0,COUNTA([1]stages!$A:$A),MATCH(H$1,[1]stages!$2:$2,0)-MATCH("temp_stage",[1]stages!$2:$2,0)+1),MATCH(H$1,[1]stages!$2:$2,0)-MATCH("temp_stage",[1]stages!$2:$2,0)+1,FALSE)</f>
        <v>月曜クエスト</v>
      </c>
      <c r="I155" s="18">
        <v>0</v>
      </c>
      <c r="J155" s="5">
        <f>COUNTIF(C$1:C155,C155)</f>
        <v>22</v>
      </c>
      <c r="K155" s="34">
        <v>26</v>
      </c>
      <c r="L155" s="5" t="s">
        <v>17</v>
      </c>
      <c r="M155" s="38" t="str">
        <f>VLOOKUP(K155,[2]stage_hints!$A:$C,3,FALSE)</f>
        <v>スキルレベルの効果</v>
      </c>
      <c r="N155" s="39" t="str">
        <f>VLOOKUP(K155,[2]stage_hints!$A:$D,4,FALSE)</f>
        <v>スキルレベルが上がると
短いターンでスキルを使うことができます</v>
      </c>
      <c r="O155" s="20" t="s">
        <v>24</v>
      </c>
      <c r="P155">
        <v>26</v>
      </c>
    </row>
    <row r="156" spans="1:16" x14ac:dyDescent="0.15">
      <c r="A156" s="27" t="str">
        <f t="shared" ref="A156:A157" si="31">C156&amp;"_"&amp;F156&amp;"_"&amp;J156</f>
        <v>11101_3_23</v>
      </c>
      <c r="B156" s="25" t="s">
        <v>34</v>
      </c>
      <c r="C156" s="4">
        <v>11101</v>
      </c>
      <c r="D156" s="3" t="str">
        <f ca="1">VLOOKUP($C156,OFFSET([1]quests!$A$1,0,0,COUNTA([1]quests!$A:$A),MATCH(D$1,[1]quests!$1:$1,0)-MATCH($C$1,[1]quests!$1:$1,0)+1),MATCH(D$1,[1]quests!$1:$1,0)-MATCH($C$1,[1]quests!$1:$1,0)+1,FALSE)</f>
        <v>【期間限定】 黄の素材</v>
      </c>
      <c r="E156" s="3" t="str">
        <f ca="1">VLOOKUP($C156,OFFSET([1]quests!$A$1,0,0,COUNTA([1]quests!$A:$A),MATCH(E$1,[1]quests!$1:$1,0)-MATCH($C$1,[1]quests!$1:$1,0)+1),MATCH(E$1,[1]quests!$1:$1,0)-MATCH($C$1,[1]quests!$1:$1,0)+1,FALSE)</f>
        <v>月曜クエスト</v>
      </c>
      <c r="F156" s="5">
        <v>3</v>
      </c>
      <c r="G156" s="3" t="str">
        <f ca="1">VLOOKUP($C156&amp;"_"&amp;$F156,OFFSET([1]stages!$A$1,0,0,COUNTA([1]stages!$A:$A),MATCH(G$1,[1]stages!$2:$2,0)-MATCH("temp_stage",[1]stages!$2:$2,0)+1),MATCH(G$1,[1]stages!$2:$2,0)-MATCH("temp_stage",[1]stages!$2:$2,0)+1,FALSE)</f>
        <v>【上級】雷のイモムシ</v>
      </c>
      <c r="H156" s="3" t="str">
        <f ca="1">VLOOKUP($C156&amp;"_"&amp;$F156,OFFSET([1]stages!$A$1,0,0,COUNTA([1]stages!$A:$A),MATCH(H$1,[1]stages!$2:$2,0)-MATCH("temp_stage",[1]stages!$2:$2,0)+1),MATCH(H$1,[1]stages!$2:$2,0)-MATCH("temp_stage",[1]stages!$2:$2,0)+1,FALSE)</f>
        <v>月曜クエスト</v>
      </c>
      <c r="I156" s="18">
        <v>0</v>
      </c>
      <c r="J156" s="5">
        <f>COUNTIF(C$1:C156,C156)</f>
        <v>23</v>
      </c>
      <c r="K156" s="34">
        <v>27</v>
      </c>
      <c r="L156" s="5" t="s">
        <v>17</v>
      </c>
      <c r="M156" s="38" t="str">
        <f>VLOOKUP(K156,[2]stage_hints!$A:$C,3,FALSE)</f>
        <v>ホーム画面からデッキを編成</v>
      </c>
      <c r="N156" s="39" t="str">
        <f>VLOOKUP(K156,[2]stage_hints!$A:$D,4,FALSE)</f>
        <v>ホーム画面でユニットを長押しすると
すぐにパーティ編成に移動できます</v>
      </c>
      <c r="O156" s="20" t="s">
        <v>24</v>
      </c>
      <c r="P156">
        <v>27</v>
      </c>
    </row>
    <row r="157" spans="1:16" x14ac:dyDescent="0.15">
      <c r="A157" s="27" t="str">
        <f t="shared" si="31"/>
        <v>11101_3_24</v>
      </c>
      <c r="B157" s="25" t="s">
        <v>34</v>
      </c>
      <c r="C157" s="4">
        <v>11101</v>
      </c>
      <c r="D157" s="3" t="str">
        <f ca="1">VLOOKUP($C157,OFFSET([1]quests!$A$1,0,0,COUNTA([1]quests!$A:$A),MATCH(D$1,[1]quests!$1:$1,0)-MATCH($C$1,[1]quests!$1:$1,0)+1),MATCH(D$1,[1]quests!$1:$1,0)-MATCH($C$1,[1]quests!$1:$1,0)+1,FALSE)</f>
        <v>【期間限定】 黄の素材</v>
      </c>
      <c r="E157" s="3" t="str">
        <f ca="1">VLOOKUP($C157,OFFSET([1]quests!$A$1,0,0,COUNTA([1]quests!$A:$A),MATCH(E$1,[1]quests!$1:$1,0)-MATCH($C$1,[1]quests!$1:$1,0)+1),MATCH(E$1,[1]quests!$1:$1,0)-MATCH($C$1,[1]quests!$1:$1,0)+1,FALSE)</f>
        <v>月曜クエスト</v>
      </c>
      <c r="F157" s="5">
        <v>3</v>
      </c>
      <c r="G157" s="3" t="str">
        <f ca="1">VLOOKUP($C157&amp;"_"&amp;$F157,OFFSET([1]stages!$A$1,0,0,COUNTA([1]stages!$A:$A),MATCH(G$1,[1]stages!$2:$2,0)-MATCH("temp_stage",[1]stages!$2:$2,0)+1),MATCH(G$1,[1]stages!$2:$2,0)-MATCH("temp_stage",[1]stages!$2:$2,0)+1,FALSE)</f>
        <v>【上級】雷のイモムシ</v>
      </c>
      <c r="H157" s="3" t="str">
        <f ca="1">VLOOKUP($C157&amp;"_"&amp;$F157,OFFSET([1]stages!$A$1,0,0,COUNTA([1]stages!$A:$A),MATCH(H$1,[1]stages!$2:$2,0)-MATCH("temp_stage",[1]stages!$2:$2,0)+1),MATCH(H$1,[1]stages!$2:$2,0)-MATCH("temp_stage",[1]stages!$2:$2,0)+1,FALSE)</f>
        <v>月曜クエスト</v>
      </c>
      <c r="I157" s="18">
        <v>0</v>
      </c>
      <c r="J157" s="5">
        <f>COUNTIF(C$1:C157,C157)</f>
        <v>24</v>
      </c>
      <c r="K157" s="34">
        <v>28</v>
      </c>
      <c r="L157" s="5" t="s">
        <v>17</v>
      </c>
      <c r="M157" s="38" t="str">
        <f>VLOOKUP(K157,[2]stage_hints!$A:$C,3,FALSE)</f>
        <v>ステータス情報は長押しで</v>
      </c>
      <c r="N157" s="39" t="str">
        <f>VLOOKUP(K157,[2]stage_hints!$A:$D,4,FALSE)</f>
        <v>ユニットのアイコンを長押しすると
ステータス情報を確認することができます</v>
      </c>
      <c r="O157" s="20" t="s">
        <v>24</v>
      </c>
      <c r="P157">
        <v>28</v>
      </c>
    </row>
    <row r="158" spans="1:16" x14ac:dyDescent="0.15">
      <c r="A158" s="27" t="str">
        <f t="shared" ref="A158:A159" si="32">C158&amp;"_"&amp;F158&amp;"_"&amp;J158</f>
        <v>11101_3_25</v>
      </c>
      <c r="B158" s="25" t="s">
        <v>34</v>
      </c>
      <c r="C158" s="4">
        <v>11101</v>
      </c>
      <c r="D158" s="3" t="str">
        <f ca="1">VLOOKUP($C158,OFFSET([1]quests!$A$1,0,0,COUNTA([1]quests!$A:$A),MATCH(D$1,[1]quests!$1:$1,0)-MATCH($C$1,[1]quests!$1:$1,0)+1),MATCH(D$1,[1]quests!$1:$1,0)-MATCH($C$1,[1]quests!$1:$1,0)+1,FALSE)</f>
        <v>【期間限定】 黄の素材</v>
      </c>
      <c r="E158" s="3" t="str">
        <f ca="1">VLOOKUP($C158,OFFSET([1]quests!$A$1,0,0,COUNTA([1]quests!$A:$A),MATCH(E$1,[1]quests!$1:$1,0)-MATCH($C$1,[1]quests!$1:$1,0)+1),MATCH(E$1,[1]quests!$1:$1,0)-MATCH($C$1,[1]quests!$1:$1,0)+1,FALSE)</f>
        <v>月曜クエスト</v>
      </c>
      <c r="F158" s="5">
        <v>3</v>
      </c>
      <c r="G158" s="3" t="str">
        <f ca="1">VLOOKUP($C158&amp;"_"&amp;$F158,OFFSET([1]stages!$A$1,0,0,COUNTA([1]stages!$A:$A),MATCH(G$1,[1]stages!$2:$2,0)-MATCH("temp_stage",[1]stages!$2:$2,0)+1),MATCH(G$1,[1]stages!$2:$2,0)-MATCH("temp_stage",[1]stages!$2:$2,0)+1,FALSE)</f>
        <v>【上級】雷のイモムシ</v>
      </c>
      <c r="H158" s="3" t="str">
        <f ca="1">VLOOKUP($C158&amp;"_"&amp;$F158,OFFSET([1]stages!$A$1,0,0,COUNTA([1]stages!$A:$A),MATCH(H$1,[1]stages!$2:$2,0)-MATCH("temp_stage",[1]stages!$2:$2,0)+1),MATCH(H$1,[1]stages!$2:$2,0)-MATCH("temp_stage",[1]stages!$2:$2,0)+1,FALSE)</f>
        <v>月曜クエスト</v>
      </c>
      <c r="I158" s="18">
        <v>0</v>
      </c>
      <c r="J158" s="5">
        <f>COUNTIF(C$1:C158,C158)</f>
        <v>25</v>
      </c>
      <c r="K158" s="34">
        <v>29</v>
      </c>
      <c r="L158" s="5" t="s">
        <v>17</v>
      </c>
      <c r="M158" s="38" t="str">
        <f>VLOOKUP(K158,[2]stage_hints!$A:$C,3,FALSE)</f>
        <v>「バグ」のメリット</v>
      </c>
      <c r="N158" s="39" t="str">
        <f>VLOOKUP(K158,[2]stage_hints!$A:$D,4,FALSE)</f>
        <v>ユニットの「バグ」を増やすと
報酬をもらえる確率がアップします</v>
      </c>
      <c r="O158" s="20" t="s">
        <v>24</v>
      </c>
      <c r="P158">
        <v>29</v>
      </c>
    </row>
    <row r="159" spans="1:16" x14ac:dyDescent="0.15">
      <c r="A159" s="27" t="str">
        <f t="shared" si="32"/>
        <v>11101_3_26</v>
      </c>
      <c r="B159" s="25" t="s">
        <v>34</v>
      </c>
      <c r="C159" s="4">
        <v>11101</v>
      </c>
      <c r="D159" s="3" t="str">
        <f ca="1">VLOOKUP($C159,OFFSET([1]quests!$A$1,0,0,COUNTA([1]quests!$A:$A),MATCH(D$1,[1]quests!$1:$1,0)-MATCH($C$1,[1]quests!$1:$1,0)+1),MATCH(D$1,[1]quests!$1:$1,0)-MATCH($C$1,[1]quests!$1:$1,0)+1,FALSE)</f>
        <v>【期間限定】 黄の素材</v>
      </c>
      <c r="E159" s="3" t="str">
        <f ca="1">VLOOKUP($C159,OFFSET([1]quests!$A$1,0,0,COUNTA([1]quests!$A:$A),MATCH(E$1,[1]quests!$1:$1,0)-MATCH($C$1,[1]quests!$1:$1,0)+1),MATCH(E$1,[1]quests!$1:$1,0)-MATCH($C$1,[1]quests!$1:$1,0)+1,FALSE)</f>
        <v>月曜クエスト</v>
      </c>
      <c r="F159" s="5">
        <v>3</v>
      </c>
      <c r="G159" s="3" t="str">
        <f ca="1">VLOOKUP($C159&amp;"_"&amp;$F159,OFFSET([1]stages!$A$1,0,0,COUNTA([1]stages!$A:$A),MATCH(G$1,[1]stages!$2:$2,0)-MATCH("temp_stage",[1]stages!$2:$2,0)+1),MATCH(G$1,[1]stages!$2:$2,0)-MATCH("temp_stage",[1]stages!$2:$2,0)+1,FALSE)</f>
        <v>【上級】雷のイモムシ</v>
      </c>
      <c r="H159" s="3" t="str">
        <f ca="1">VLOOKUP($C159&amp;"_"&amp;$F159,OFFSET([1]stages!$A$1,0,0,COUNTA([1]stages!$A:$A),MATCH(H$1,[1]stages!$2:$2,0)-MATCH("temp_stage",[1]stages!$2:$2,0)+1),MATCH(H$1,[1]stages!$2:$2,0)-MATCH("temp_stage",[1]stages!$2:$2,0)+1,FALSE)</f>
        <v>月曜クエスト</v>
      </c>
      <c r="I159" s="18">
        <v>0</v>
      </c>
      <c r="J159" s="5">
        <f>COUNTIF(C$1:C159,C159)</f>
        <v>26</v>
      </c>
      <c r="K159" s="34">
        <v>30</v>
      </c>
      <c r="L159" s="5" t="s">
        <v>17</v>
      </c>
      <c r="M159" s="38" t="str">
        <f>VLOOKUP(K159,[2]stage_hints!$A:$C,3,FALSE)</f>
        <v>「バグ」の増やし方</v>
      </c>
      <c r="N159" s="39" t="str">
        <f>VLOOKUP(K159,[2]stage_hints!$A:$D,4,FALSE)</f>
        <v>同じユニット同士を強化で合成すると
「バグ」を増やすことができます</v>
      </c>
      <c r="O159" s="20" t="s">
        <v>24</v>
      </c>
      <c r="P159">
        <v>30</v>
      </c>
    </row>
    <row r="160" spans="1:16" x14ac:dyDescent="0.15">
      <c r="A160" s="27" t="str">
        <f t="shared" ref="A160:A172" si="33">C160&amp;"_"&amp;F160&amp;"_"&amp;J160</f>
        <v>11101_3_27</v>
      </c>
      <c r="B160" s="25" t="s">
        <v>34</v>
      </c>
      <c r="C160" s="4">
        <v>11101</v>
      </c>
      <c r="D160" s="3" t="str">
        <f ca="1">VLOOKUP($C160,OFFSET([1]quests!$A$1,0,0,COUNTA([1]quests!$A:$A),MATCH(D$1,[1]quests!$1:$1,0)-MATCH($C$1,[1]quests!$1:$1,0)+1),MATCH(D$1,[1]quests!$1:$1,0)-MATCH($C$1,[1]quests!$1:$1,0)+1,FALSE)</f>
        <v>【期間限定】 黄の素材</v>
      </c>
      <c r="E160" s="3" t="str">
        <f ca="1">VLOOKUP($C160,OFFSET([1]quests!$A$1,0,0,COUNTA([1]quests!$A:$A),MATCH(E$1,[1]quests!$1:$1,0)-MATCH($C$1,[1]quests!$1:$1,0)+1),MATCH(E$1,[1]quests!$1:$1,0)-MATCH($C$1,[1]quests!$1:$1,0)+1,FALSE)</f>
        <v>月曜クエスト</v>
      </c>
      <c r="F160" s="5">
        <v>3</v>
      </c>
      <c r="G160" s="3" t="str">
        <f ca="1">VLOOKUP($C160&amp;"_"&amp;$F160,OFFSET([1]stages!$A$1,0,0,COUNTA([1]stages!$A:$A),MATCH(G$1,[1]stages!$2:$2,0)-MATCH("temp_stage",[1]stages!$2:$2,0)+1),MATCH(G$1,[1]stages!$2:$2,0)-MATCH("temp_stage",[1]stages!$2:$2,0)+1,FALSE)</f>
        <v>【上級】雷のイモムシ</v>
      </c>
      <c r="H160" s="3" t="str">
        <f ca="1">VLOOKUP($C160&amp;"_"&amp;$F160,OFFSET([1]stages!$A$1,0,0,COUNTA([1]stages!$A:$A),MATCH(H$1,[1]stages!$2:$2,0)-MATCH("temp_stage",[1]stages!$2:$2,0)+1),MATCH(H$1,[1]stages!$2:$2,0)-MATCH("temp_stage",[1]stages!$2:$2,0)+1,FALSE)</f>
        <v>月曜クエスト</v>
      </c>
      <c r="I160" s="18">
        <v>0</v>
      </c>
      <c r="J160" s="5">
        <f>COUNTIF(C$1:C160,C160)</f>
        <v>27</v>
      </c>
      <c r="K160" s="34">
        <v>31</v>
      </c>
      <c r="L160" s="5" t="s">
        <v>17</v>
      </c>
      <c r="M160" s="38" t="str">
        <f>VLOOKUP(K160,[2]stage_hints!$A:$C,3,FALSE)</f>
        <v>イベントはお知らせでチェック</v>
      </c>
      <c r="N160" s="39" t="str">
        <f>VLOOKUP(K160,[2]stage_hints!$A:$D,4,FALSE)</f>
        <v>イベント限定ユニットを取り忘れないように
お知らせをこまめにチェックしましょう</v>
      </c>
      <c r="O160" s="20" t="s">
        <v>24</v>
      </c>
      <c r="P160">
        <v>31</v>
      </c>
    </row>
    <row r="161" spans="1:16" x14ac:dyDescent="0.15">
      <c r="A161" s="27" t="str">
        <f t="shared" si="33"/>
        <v>11101_3_28</v>
      </c>
      <c r="B161" s="25" t="s">
        <v>34</v>
      </c>
      <c r="C161" s="4">
        <v>11101</v>
      </c>
      <c r="D161" s="3" t="str">
        <f ca="1">VLOOKUP($C161,OFFSET([1]quests!$A$1,0,0,COUNTA([1]quests!$A:$A),MATCH(D$1,[1]quests!$1:$1,0)-MATCH($C$1,[1]quests!$1:$1,0)+1),MATCH(D$1,[1]quests!$1:$1,0)-MATCH($C$1,[1]quests!$1:$1,0)+1,FALSE)</f>
        <v>【期間限定】 黄の素材</v>
      </c>
      <c r="E161" s="3" t="str">
        <f ca="1">VLOOKUP($C161,OFFSET([1]quests!$A$1,0,0,COUNTA([1]quests!$A:$A),MATCH(E$1,[1]quests!$1:$1,0)-MATCH($C$1,[1]quests!$1:$1,0)+1),MATCH(E$1,[1]quests!$1:$1,0)-MATCH($C$1,[1]quests!$1:$1,0)+1,FALSE)</f>
        <v>月曜クエスト</v>
      </c>
      <c r="F161" s="5">
        <v>3</v>
      </c>
      <c r="G161" s="3" t="str">
        <f ca="1">VLOOKUP($C161&amp;"_"&amp;$F161,OFFSET([1]stages!$A$1,0,0,COUNTA([1]stages!$A:$A),MATCH(G$1,[1]stages!$2:$2,0)-MATCH("temp_stage",[1]stages!$2:$2,0)+1),MATCH(G$1,[1]stages!$2:$2,0)-MATCH("temp_stage",[1]stages!$2:$2,0)+1,FALSE)</f>
        <v>【上級】雷のイモムシ</v>
      </c>
      <c r="H161" s="3" t="str">
        <f ca="1">VLOOKUP($C161&amp;"_"&amp;$F161,OFFSET([1]stages!$A$1,0,0,COUNTA([1]stages!$A:$A),MATCH(H$1,[1]stages!$2:$2,0)-MATCH("temp_stage",[1]stages!$2:$2,0)+1),MATCH(H$1,[1]stages!$2:$2,0)-MATCH("temp_stage",[1]stages!$2:$2,0)+1,FALSE)</f>
        <v>月曜クエスト</v>
      </c>
      <c r="I161" s="18">
        <v>0</v>
      </c>
      <c r="J161" s="5">
        <f>COUNTIF(C$1:C161,C161)</f>
        <v>28</v>
      </c>
      <c r="K161" s="34">
        <v>32</v>
      </c>
      <c r="L161" s="5" t="s">
        <v>17</v>
      </c>
      <c r="M161" s="38" t="str">
        <f>VLOOKUP(K161,[2]stage_hints!$A:$C,3,FALSE)</f>
        <v>敵の連続攻撃には</v>
      </c>
      <c r="N161" s="39" t="str">
        <f>VLOOKUP(K161,[2]stage_hints!$A:$D,4,FALSE)</f>
        <v>カウンタースキルを持つユニットがいれば
ダメージ回数分の反撃ができます</v>
      </c>
      <c r="O161" s="20" t="s">
        <v>24</v>
      </c>
      <c r="P161">
        <v>32</v>
      </c>
    </row>
    <row r="162" spans="1:16" x14ac:dyDescent="0.15">
      <c r="A162" s="27" t="str">
        <f t="shared" si="33"/>
        <v>11101_3_29</v>
      </c>
      <c r="B162" s="25" t="s">
        <v>34</v>
      </c>
      <c r="C162" s="4">
        <v>11101</v>
      </c>
      <c r="D162" s="3" t="str">
        <f ca="1">VLOOKUP($C162,OFFSET([1]quests!$A$1,0,0,COUNTA([1]quests!$A:$A),MATCH(D$1,[1]quests!$1:$1,0)-MATCH($C$1,[1]quests!$1:$1,0)+1),MATCH(D$1,[1]quests!$1:$1,0)-MATCH($C$1,[1]quests!$1:$1,0)+1,FALSE)</f>
        <v>【期間限定】 黄の素材</v>
      </c>
      <c r="E162" s="3" t="str">
        <f ca="1">VLOOKUP($C162,OFFSET([1]quests!$A$1,0,0,COUNTA([1]quests!$A:$A),MATCH(E$1,[1]quests!$1:$1,0)-MATCH($C$1,[1]quests!$1:$1,0)+1),MATCH(E$1,[1]quests!$1:$1,0)-MATCH($C$1,[1]quests!$1:$1,0)+1,FALSE)</f>
        <v>月曜クエスト</v>
      </c>
      <c r="F162" s="5">
        <v>3</v>
      </c>
      <c r="G162" s="3" t="str">
        <f ca="1">VLOOKUP($C162&amp;"_"&amp;$F162,OFFSET([1]stages!$A$1,0,0,COUNTA([1]stages!$A:$A),MATCH(G$1,[1]stages!$2:$2,0)-MATCH("temp_stage",[1]stages!$2:$2,0)+1),MATCH(G$1,[1]stages!$2:$2,0)-MATCH("temp_stage",[1]stages!$2:$2,0)+1,FALSE)</f>
        <v>【上級】雷のイモムシ</v>
      </c>
      <c r="H162" s="3" t="str">
        <f ca="1">VLOOKUP($C162&amp;"_"&amp;$F162,OFFSET([1]stages!$A$1,0,0,COUNTA([1]stages!$A:$A),MATCH(H$1,[1]stages!$2:$2,0)-MATCH("temp_stage",[1]stages!$2:$2,0)+1),MATCH(H$1,[1]stages!$2:$2,0)-MATCH("temp_stage",[1]stages!$2:$2,0)+1,FALSE)</f>
        <v>月曜クエスト</v>
      </c>
      <c r="I162" s="18">
        <v>0</v>
      </c>
      <c r="J162" s="5">
        <f>COUNTIF(C$1:C162,C162)</f>
        <v>29</v>
      </c>
      <c r="K162" s="34">
        <v>33</v>
      </c>
      <c r="L162" s="5" t="s">
        <v>17</v>
      </c>
      <c r="M162" s="38" t="str">
        <f>VLOOKUP(K162,[2]stage_hints!$A:$C,3,FALSE)</f>
        <v>敵のカウンター攻撃には</v>
      </c>
      <c r="N162" s="39" t="str">
        <f>VLOOKUP(K162,[2]stage_hints!$A:$D,4,FALSE)</f>
        <v>カウンターブレイクスキルを持っていれば
敵のカウンターを解除して攻撃ができます</v>
      </c>
      <c r="O162" s="20" t="s">
        <v>24</v>
      </c>
      <c r="P162">
        <v>33</v>
      </c>
    </row>
    <row r="163" spans="1:16" x14ac:dyDescent="0.15">
      <c r="A163" s="27" t="str">
        <f t="shared" si="33"/>
        <v>11101_3_30</v>
      </c>
      <c r="B163" s="25" t="s">
        <v>34</v>
      </c>
      <c r="C163" s="4">
        <v>11101</v>
      </c>
      <c r="D163" s="3" t="str">
        <f ca="1">VLOOKUP($C163,OFFSET([1]quests!$A$1,0,0,COUNTA([1]quests!$A:$A),MATCH(D$1,[1]quests!$1:$1,0)-MATCH($C$1,[1]quests!$1:$1,0)+1),MATCH(D$1,[1]quests!$1:$1,0)-MATCH($C$1,[1]quests!$1:$1,0)+1,FALSE)</f>
        <v>【期間限定】 黄の素材</v>
      </c>
      <c r="E163" s="3" t="str">
        <f ca="1">VLOOKUP($C163,OFFSET([1]quests!$A$1,0,0,COUNTA([1]quests!$A:$A),MATCH(E$1,[1]quests!$1:$1,0)-MATCH($C$1,[1]quests!$1:$1,0)+1),MATCH(E$1,[1]quests!$1:$1,0)-MATCH($C$1,[1]quests!$1:$1,0)+1,FALSE)</f>
        <v>月曜クエスト</v>
      </c>
      <c r="F163" s="5">
        <v>3</v>
      </c>
      <c r="G163" s="3" t="str">
        <f ca="1">VLOOKUP($C163&amp;"_"&amp;$F163,OFFSET([1]stages!$A$1,0,0,COUNTA([1]stages!$A:$A),MATCH(G$1,[1]stages!$2:$2,0)-MATCH("temp_stage",[1]stages!$2:$2,0)+1),MATCH(G$1,[1]stages!$2:$2,0)-MATCH("temp_stage",[1]stages!$2:$2,0)+1,FALSE)</f>
        <v>【上級】雷のイモムシ</v>
      </c>
      <c r="H163" s="3" t="str">
        <f ca="1">VLOOKUP($C163&amp;"_"&amp;$F163,OFFSET([1]stages!$A$1,0,0,COUNTA([1]stages!$A:$A),MATCH(H$1,[1]stages!$2:$2,0)-MATCH("temp_stage",[1]stages!$2:$2,0)+1),MATCH(H$1,[1]stages!$2:$2,0)-MATCH("temp_stage",[1]stages!$2:$2,0)+1,FALSE)</f>
        <v>月曜クエスト</v>
      </c>
      <c r="I163" s="18">
        <v>0</v>
      </c>
      <c r="J163" s="5">
        <f>COUNTIF(C$1:C163,C163)</f>
        <v>30</v>
      </c>
      <c r="K163" s="34">
        <v>34</v>
      </c>
      <c r="L163" s="5" t="s">
        <v>17</v>
      </c>
      <c r="M163" s="38" t="str">
        <f>VLOOKUP(K163,[2]stage_hints!$A:$C,3,FALSE)</f>
        <v>ステータスをスキルで下げられたら</v>
      </c>
      <c r="N163" s="39" t="str">
        <f>VLOOKUP(K163,[2]stage_hints!$A:$D,4,FALSE)</f>
        <v>ステータスダウンのスキルを受けたら
ステータスアップスキルで上書きしましょう</v>
      </c>
      <c r="O163" s="20" t="s">
        <v>24</v>
      </c>
      <c r="P163">
        <v>34</v>
      </c>
    </row>
    <row r="164" spans="1:16" x14ac:dyDescent="0.15">
      <c r="A164" s="27" t="str">
        <f t="shared" si="33"/>
        <v>11101_3_31</v>
      </c>
      <c r="B164" s="25" t="s">
        <v>34</v>
      </c>
      <c r="C164" s="4">
        <v>11101</v>
      </c>
      <c r="D164" s="3" t="str">
        <f ca="1">VLOOKUP($C164,OFFSET([1]quests!$A$1,0,0,COUNTA([1]quests!$A:$A),MATCH(D$1,[1]quests!$1:$1,0)-MATCH($C$1,[1]quests!$1:$1,0)+1),MATCH(D$1,[1]quests!$1:$1,0)-MATCH($C$1,[1]quests!$1:$1,0)+1,FALSE)</f>
        <v>【期間限定】 黄の素材</v>
      </c>
      <c r="E164" s="3" t="str">
        <f ca="1">VLOOKUP($C164,OFFSET([1]quests!$A$1,0,0,COUNTA([1]quests!$A:$A),MATCH(E$1,[1]quests!$1:$1,0)-MATCH($C$1,[1]quests!$1:$1,0)+1),MATCH(E$1,[1]quests!$1:$1,0)-MATCH($C$1,[1]quests!$1:$1,0)+1,FALSE)</f>
        <v>月曜クエスト</v>
      </c>
      <c r="F164" s="5">
        <v>3</v>
      </c>
      <c r="G164" s="3" t="str">
        <f ca="1">VLOOKUP($C164&amp;"_"&amp;$F164,OFFSET([1]stages!$A$1,0,0,COUNTA([1]stages!$A:$A),MATCH(G$1,[1]stages!$2:$2,0)-MATCH("temp_stage",[1]stages!$2:$2,0)+1),MATCH(G$1,[1]stages!$2:$2,0)-MATCH("temp_stage",[1]stages!$2:$2,0)+1,FALSE)</f>
        <v>【上級】雷のイモムシ</v>
      </c>
      <c r="H164" s="3" t="str">
        <f ca="1">VLOOKUP($C164&amp;"_"&amp;$F164,OFFSET([1]stages!$A$1,0,0,COUNTA([1]stages!$A:$A),MATCH(H$1,[1]stages!$2:$2,0)-MATCH("temp_stage",[1]stages!$2:$2,0)+1),MATCH(H$1,[1]stages!$2:$2,0)-MATCH("temp_stage",[1]stages!$2:$2,0)+1,FALSE)</f>
        <v>月曜クエスト</v>
      </c>
      <c r="I164" s="18">
        <v>0</v>
      </c>
      <c r="J164" s="5">
        <f>COUNTIF(C$1:C164,C164)</f>
        <v>31</v>
      </c>
      <c r="K164" s="34">
        <v>35</v>
      </c>
      <c r="L164" s="5" t="s">
        <v>17</v>
      </c>
      <c r="M164" s="38" t="str">
        <f>VLOOKUP(K164,[2]stage_hints!$A:$C,3,FALSE)</f>
        <v>敵のステータスがスキルで上がったら</v>
      </c>
      <c r="N164" s="39" t="str">
        <f>VLOOKUP(K164,[2]stage_hints!$A:$D,4,FALSE)</f>
        <v>敵のステータスがスキルでアップしたときは
ステータスダウンスキルで上書きしましょう</v>
      </c>
      <c r="O164" s="20" t="s">
        <v>24</v>
      </c>
      <c r="P164">
        <v>35</v>
      </c>
    </row>
    <row r="165" spans="1:16" x14ac:dyDescent="0.15">
      <c r="A165" s="27" t="str">
        <f t="shared" si="33"/>
        <v>11101_3_32</v>
      </c>
      <c r="B165" s="25" t="s">
        <v>34</v>
      </c>
      <c r="C165" s="4">
        <v>11101</v>
      </c>
      <c r="D165" s="3" t="str">
        <f ca="1">VLOOKUP($C165,OFFSET([1]quests!$A$1,0,0,COUNTA([1]quests!$A:$A),MATCH(D$1,[1]quests!$1:$1,0)-MATCH($C$1,[1]quests!$1:$1,0)+1),MATCH(D$1,[1]quests!$1:$1,0)-MATCH($C$1,[1]quests!$1:$1,0)+1,FALSE)</f>
        <v>【期間限定】 黄の素材</v>
      </c>
      <c r="E165" s="3" t="str">
        <f ca="1">VLOOKUP($C165,OFFSET([1]quests!$A$1,0,0,COUNTA([1]quests!$A:$A),MATCH(E$1,[1]quests!$1:$1,0)-MATCH($C$1,[1]quests!$1:$1,0)+1),MATCH(E$1,[1]quests!$1:$1,0)-MATCH($C$1,[1]quests!$1:$1,0)+1,FALSE)</f>
        <v>月曜クエスト</v>
      </c>
      <c r="F165" s="5">
        <v>3</v>
      </c>
      <c r="G165" s="3" t="str">
        <f ca="1">VLOOKUP($C165&amp;"_"&amp;$F165,OFFSET([1]stages!$A$1,0,0,COUNTA([1]stages!$A:$A),MATCH(G$1,[1]stages!$2:$2,0)-MATCH("temp_stage",[1]stages!$2:$2,0)+1),MATCH(G$1,[1]stages!$2:$2,0)-MATCH("temp_stage",[1]stages!$2:$2,0)+1,FALSE)</f>
        <v>【上級】雷のイモムシ</v>
      </c>
      <c r="H165" s="3" t="str">
        <f ca="1">VLOOKUP($C165&amp;"_"&amp;$F165,OFFSET([1]stages!$A$1,0,0,COUNTA([1]stages!$A:$A),MATCH(H$1,[1]stages!$2:$2,0)-MATCH("temp_stage",[1]stages!$2:$2,0)+1),MATCH(H$1,[1]stages!$2:$2,0)-MATCH("temp_stage",[1]stages!$2:$2,0)+1,FALSE)</f>
        <v>月曜クエスト</v>
      </c>
      <c r="I165" s="18">
        <v>0</v>
      </c>
      <c r="J165" s="5">
        <f>COUNTIF(C$1:C165,C165)</f>
        <v>32</v>
      </c>
      <c r="K165" s="34">
        <v>36</v>
      </c>
      <c r="L165" s="5" t="s">
        <v>17</v>
      </c>
      <c r="M165" s="38" t="str">
        <f>VLOOKUP(K165,[2]stage_hints!$A:$C,3,FALSE)</f>
        <v>チャレンジタワーのボス</v>
      </c>
      <c r="N165" s="39" t="str">
        <f>VLOOKUP(K165,[2]stage_hints!$A:$D,4,FALSE)</f>
        <v>チャレンジタワーでのみ登場するボスは
一定確率で獲得することができます</v>
      </c>
      <c r="O165" s="20" t="s">
        <v>24</v>
      </c>
      <c r="P165">
        <v>36</v>
      </c>
    </row>
    <row r="166" spans="1:16" x14ac:dyDescent="0.15">
      <c r="A166" s="27" t="str">
        <f t="shared" si="33"/>
        <v>11101_3_33</v>
      </c>
      <c r="B166" s="25" t="s">
        <v>34</v>
      </c>
      <c r="C166" s="4">
        <v>11101</v>
      </c>
      <c r="D166" s="3" t="str">
        <f ca="1">VLOOKUP($C166,OFFSET([1]quests!$A$1,0,0,COUNTA([1]quests!$A:$A),MATCH(D$1,[1]quests!$1:$1,0)-MATCH($C$1,[1]quests!$1:$1,0)+1),MATCH(D$1,[1]quests!$1:$1,0)-MATCH($C$1,[1]quests!$1:$1,0)+1,FALSE)</f>
        <v>【期間限定】 黄の素材</v>
      </c>
      <c r="E166" s="3" t="str">
        <f ca="1">VLOOKUP($C166,OFFSET([1]quests!$A$1,0,0,COUNTA([1]quests!$A:$A),MATCH(E$1,[1]quests!$1:$1,0)-MATCH($C$1,[1]quests!$1:$1,0)+1),MATCH(E$1,[1]quests!$1:$1,0)-MATCH($C$1,[1]quests!$1:$1,0)+1,FALSE)</f>
        <v>月曜クエスト</v>
      </c>
      <c r="F166" s="5">
        <v>3</v>
      </c>
      <c r="G166" s="3" t="str">
        <f ca="1">VLOOKUP($C166&amp;"_"&amp;$F166,OFFSET([1]stages!$A$1,0,0,COUNTA([1]stages!$A:$A),MATCH(G$1,[1]stages!$2:$2,0)-MATCH("temp_stage",[1]stages!$2:$2,0)+1),MATCH(G$1,[1]stages!$2:$2,0)-MATCH("temp_stage",[1]stages!$2:$2,0)+1,FALSE)</f>
        <v>【上級】雷のイモムシ</v>
      </c>
      <c r="H166" s="3" t="str">
        <f ca="1">VLOOKUP($C166&amp;"_"&amp;$F166,OFFSET([1]stages!$A$1,0,0,COUNTA([1]stages!$A:$A),MATCH(H$1,[1]stages!$2:$2,0)-MATCH("temp_stage",[1]stages!$2:$2,0)+1),MATCH(H$1,[1]stages!$2:$2,0)-MATCH("temp_stage",[1]stages!$2:$2,0)+1,FALSE)</f>
        <v>月曜クエスト</v>
      </c>
      <c r="I166" s="18">
        <v>0</v>
      </c>
      <c r="J166" s="5">
        <f>COUNTIF(C$1:C166,C166)</f>
        <v>33</v>
      </c>
      <c r="K166" s="34">
        <v>37</v>
      </c>
      <c r="L166" s="5" t="s">
        <v>17</v>
      </c>
      <c r="M166" s="38" t="str">
        <f>VLOOKUP(K166,[2]stage_hints!$A:$C,3,FALSE)</f>
        <v>限界突破値の引き継ぎ</v>
      </c>
      <c r="N166" s="39" t="str">
        <f>VLOOKUP(K166,[2]stage_hints!$A:$D,4,FALSE)</f>
        <v>同じユニットを強化で合成すると
限界突破値を引き継げます（覚醒前後も可）</v>
      </c>
      <c r="O166" s="20" t="s">
        <v>24</v>
      </c>
      <c r="P166">
        <v>37</v>
      </c>
    </row>
    <row r="167" spans="1:16" x14ac:dyDescent="0.15">
      <c r="A167" s="27" t="str">
        <f t="shared" si="33"/>
        <v>11102_3_1</v>
      </c>
      <c r="B167" s="25" t="s">
        <v>34</v>
      </c>
      <c r="C167" s="4">
        <v>11102</v>
      </c>
      <c r="D167" s="3" t="str">
        <f ca="1">VLOOKUP($C167,OFFSET([1]quests!$A$1,0,0,COUNTA([1]quests!$A:$A),MATCH(D$1,[1]quests!$1:$1,0)-MATCH($C$1,[1]quests!$1:$1,0)+1),MATCH(D$1,[1]quests!$1:$1,0)-MATCH($C$1,[1]quests!$1:$1,0)+1,FALSE)</f>
        <v>【期間限定】 赤の素材</v>
      </c>
      <c r="E167" s="3" t="str">
        <f ca="1">VLOOKUP($C167,OFFSET([1]quests!$A$1,0,0,COUNTA([1]quests!$A:$A),MATCH(E$1,[1]quests!$1:$1,0)-MATCH($C$1,[1]quests!$1:$1,0)+1),MATCH(E$1,[1]quests!$1:$1,0)-MATCH($C$1,[1]quests!$1:$1,0)+1,FALSE)</f>
        <v>火曜クエスト</v>
      </c>
      <c r="F167" s="5">
        <v>3</v>
      </c>
      <c r="G167" s="3" t="str">
        <f ca="1">VLOOKUP($C167&amp;"_"&amp;$F167,OFFSET([1]stages!$A$1,0,0,COUNTA([1]stages!$A:$A),MATCH(G$1,[1]stages!$2:$2,0)-MATCH("temp_stage",[1]stages!$2:$2,0)+1),MATCH(G$1,[1]stages!$2:$2,0)-MATCH("temp_stage",[1]stages!$2:$2,0)+1,FALSE)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67" s="3" t="str">
        <f ca="1">VLOOKUP($C167&amp;"_"&amp;$F167,OFFSET([1]stages!$A$1,0,0,COUNTA([1]stages!$A:$A),MATCH(H$1,[1]stages!$2:$2,0)-MATCH("temp_stage",[1]stages!$2:$2,0)+1),MATCH(H$1,[1]stages!$2:$2,0)-MATCH("temp_stage",[1]stages!$2:$2,0)+1,FALSE)</f>
        <v>火曜クエスト</v>
      </c>
      <c r="I167" s="18">
        <v>0</v>
      </c>
      <c r="J167" s="5">
        <f>COUNTIF(C$1:C167,C167)</f>
        <v>1</v>
      </c>
      <c r="K167" s="34">
        <v>3</v>
      </c>
      <c r="L167" s="5" t="s">
        <v>17</v>
      </c>
      <c r="M167" s="38" t="str">
        <f>VLOOKUP(K167,[2]stage_hints!$A:$C,3,FALSE)</f>
        <v>ターゲット</v>
      </c>
      <c r="N167" s="39" t="str">
        <f>VLOOKUP(K167,[2]stage_hints!$A:$D,4,FALSE)</f>
        <v>敵ユニットをタップすると
その敵を狙い撃ちできます</v>
      </c>
      <c r="O167" s="20" t="s">
        <v>24</v>
      </c>
      <c r="P167">
        <v>3</v>
      </c>
    </row>
    <row r="168" spans="1:16" x14ac:dyDescent="0.15">
      <c r="A168" s="27" t="str">
        <f t="shared" si="33"/>
        <v>11102_3_2</v>
      </c>
      <c r="B168" s="25" t="s">
        <v>34</v>
      </c>
      <c r="C168" s="4">
        <v>11102</v>
      </c>
      <c r="D168" s="3" t="str">
        <f ca="1">VLOOKUP($C168,OFFSET([1]quests!$A$1,0,0,COUNTA([1]quests!$A:$A),MATCH(D$1,[1]quests!$1:$1,0)-MATCH($C$1,[1]quests!$1:$1,0)+1),MATCH(D$1,[1]quests!$1:$1,0)-MATCH($C$1,[1]quests!$1:$1,0)+1,FALSE)</f>
        <v>【期間限定】 赤の素材</v>
      </c>
      <c r="E168" s="3" t="str">
        <f ca="1">VLOOKUP($C168,OFFSET([1]quests!$A$1,0,0,COUNTA([1]quests!$A:$A),MATCH(E$1,[1]quests!$1:$1,0)-MATCH($C$1,[1]quests!$1:$1,0)+1),MATCH(E$1,[1]quests!$1:$1,0)-MATCH($C$1,[1]quests!$1:$1,0)+1,FALSE)</f>
        <v>火曜クエスト</v>
      </c>
      <c r="F168" s="5">
        <v>3</v>
      </c>
      <c r="G168" s="3" t="str">
        <f ca="1">VLOOKUP($C168&amp;"_"&amp;$F168,OFFSET([1]stages!$A$1,0,0,COUNTA([1]stages!$A:$A),MATCH(G$1,[1]stages!$2:$2,0)-MATCH("temp_stage",[1]stages!$2:$2,0)+1),MATCH(G$1,[1]stages!$2:$2,0)-MATCH("temp_stage",[1]stages!$2:$2,0)+1,FALSE)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68" s="3" t="str">
        <f ca="1">VLOOKUP($C168&amp;"_"&amp;$F168,OFFSET([1]stages!$A$1,0,0,COUNTA([1]stages!$A:$A),MATCH(H$1,[1]stages!$2:$2,0)-MATCH("temp_stage",[1]stages!$2:$2,0)+1),MATCH(H$1,[1]stages!$2:$2,0)-MATCH("temp_stage",[1]stages!$2:$2,0)+1,FALSE)</f>
        <v>火曜クエスト</v>
      </c>
      <c r="I168" s="18">
        <v>0</v>
      </c>
      <c r="J168" s="5">
        <f>COUNTIF(C$1:C168,C168)</f>
        <v>2</v>
      </c>
      <c r="K168" s="34">
        <v>6</v>
      </c>
      <c r="L168" s="5" t="s">
        <v>17</v>
      </c>
      <c r="M168" s="38" t="str">
        <f>VLOOKUP(K168,[2]stage_hints!$A:$C,3,FALSE)</f>
        <v>ユニット強化の属性ボーナス</v>
      </c>
      <c r="N168" s="39" t="str">
        <f>VLOOKUP(K168,[2]stage_hints!$A:$D,4,FALSE)</f>
        <v>同属性ユニットを強化素材にすると
経験値が多くもらえます</v>
      </c>
      <c r="O168" s="20" t="s">
        <v>24</v>
      </c>
      <c r="P168">
        <v>6</v>
      </c>
    </row>
    <row r="169" spans="1:16" x14ac:dyDescent="0.15">
      <c r="A169" s="27" t="str">
        <f t="shared" si="33"/>
        <v>11102_3_3</v>
      </c>
      <c r="B169" s="25" t="s">
        <v>34</v>
      </c>
      <c r="C169" s="4">
        <v>11102</v>
      </c>
      <c r="D169" s="3" t="str">
        <f ca="1">VLOOKUP($C169,OFFSET([1]quests!$A$1,0,0,COUNTA([1]quests!$A:$A),MATCH(D$1,[1]quests!$1:$1,0)-MATCH($C$1,[1]quests!$1:$1,0)+1),MATCH(D$1,[1]quests!$1:$1,0)-MATCH($C$1,[1]quests!$1:$1,0)+1,FALSE)</f>
        <v>【期間限定】 赤の素材</v>
      </c>
      <c r="E169" s="3" t="str">
        <f ca="1">VLOOKUP($C169,OFFSET([1]quests!$A$1,0,0,COUNTA([1]quests!$A:$A),MATCH(E$1,[1]quests!$1:$1,0)-MATCH($C$1,[1]quests!$1:$1,0)+1),MATCH(E$1,[1]quests!$1:$1,0)-MATCH($C$1,[1]quests!$1:$1,0)+1,FALSE)</f>
        <v>火曜クエスト</v>
      </c>
      <c r="F169" s="5">
        <v>3</v>
      </c>
      <c r="G169" s="3" t="str">
        <f ca="1">VLOOKUP($C169&amp;"_"&amp;$F169,OFFSET([1]stages!$A$1,0,0,COUNTA([1]stages!$A:$A),MATCH(G$1,[1]stages!$2:$2,0)-MATCH("temp_stage",[1]stages!$2:$2,0)+1),MATCH(G$1,[1]stages!$2:$2,0)-MATCH("temp_stage",[1]stages!$2:$2,0)+1,FALSE)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69" s="3" t="str">
        <f ca="1">VLOOKUP($C169&amp;"_"&amp;$F169,OFFSET([1]stages!$A$1,0,0,COUNTA([1]stages!$A:$A),MATCH(H$1,[1]stages!$2:$2,0)-MATCH("temp_stage",[1]stages!$2:$2,0)+1),MATCH(H$1,[1]stages!$2:$2,0)-MATCH("temp_stage",[1]stages!$2:$2,0)+1,FALSE)</f>
        <v>火曜クエスト</v>
      </c>
      <c r="I169" s="18">
        <v>0</v>
      </c>
      <c r="J169" s="5">
        <f>COUNTIF(C$1:C169,C169)</f>
        <v>3</v>
      </c>
      <c r="K169" s="34">
        <v>7</v>
      </c>
      <c r="L169" s="5" t="s">
        <v>17</v>
      </c>
      <c r="M169" s="38" t="str">
        <f>VLOOKUP(K169,[2]stage_hints!$A:$C,3,FALSE)</f>
        <v>メタルダックで経験値を獲得</v>
      </c>
      <c r="N169" s="39" t="str">
        <f>VLOOKUP(K169,[2]stage_hints!$A:$D,4,FALSE)</f>
        <v>「メタルなアヒル」を強化素材にすると
大量の経験値がもらえます</v>
      </c>
      <c r="O169" s="20" t="s">
        <v>24</v>
      </c>
      <c r="P169">
        <v>7</v>
      </c>
    </row>
    <row r="170" spans="1:16" x14ac:dyDescent="0.15">
      <c r="A170" s="27" t="str">
        <f t="shared" si="33"/>
        <v>11102_3_4</v>
      </c>
      <c r="B170" s="25" t="s">
        <v>34</v>
      </c>
      <c r="C170" s="4">
        <v>11102</v>
      </c>
      <c r="D170" s="3" t="str">
        <f ca="1">VLOOKUP($C170,OFFSET([1]quests!$A$1,0,0,COUNTA([1]quests!$A:$A),MATCH(D$1,[1]quests!$1:$1,0)-MATCH($C$1,[1]quests!$1:$1,0)+1),MATCH(D$1,[1]quests!$1:$1,0)-MATCH($C$1,[1]quests!$1:$1,0)+1,FALSE)</f>
        <v>【期間限定】 赤の素材</v>
      </c>
      <c r="E170" s="3" t="str">
        <f ca="1">VLOOKUP($C170,OFFSET([1]quests!$A$1,0,0,COUNTA([1]quests!$A:$A),MATCH(E$1,[1]quests!$1:$1,0)-MATCH($C$1,[1]quests!$1:$1,0)+1),MATCH(E$1,[1]quests!$1:$1,0)-MATCH($C$1,[1]quests!$1:$1,0)+1,FALSE)</f>
        <v>火曜クエスト</v>
      </c>
      <c r="F170" s="5">
        <v>3</v>
      </c>
      <c r="G170" s="3" t="str">
        <f ca="1">VLOOKUP($C170&amp;"_"&amp;$F170,OFFSET([1]stages!$A$1,0,0,COUNTA([1]stages!$A:$A),MATCH(G$1,[1]stages!$2:$2,0)-MATCH("temp_stage",[1]stages!$2:$2,0)+1),MATCH(G$1,[1]stages!$2:$2,0)-MATCH("temp_stage",[1]stages!$2:$2,0)+1,FALSE)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0" s="3" t="str">
        <f ca="1">VLOOKUP($C170&amp;"_"&amp;$F170,OFFSET([1]stages!$A$1,0,0,COUNTA([1]stages!$A:$A),MATCH(H$1,[1]stages!$2:$2,0)-MATCH("temp_stage",[1]stages!$2:$2,0)+1),MATCH(H$1,[1]stages!$2:$2,0)-MATCH("temp_stage",[1]stages!$2:$2,0)+1,FALSE)</f>
        <v>火曜クエスト</v>
      </c>
      <c r="I170" s="18">
        <v>0</v>
      </c>
      <c r="J170" s="5">
        <f>COUNTIF(C$1:C170,C170)</f>
        <v>4</v>
      </c>
      <c r="K170" s="34">
        <v>8</v>
      </c>
      <c r="L170" s="5" t="s">
        <v>17</v>
      </c>
      <c r="M170" s="38" t="str">
        <f>VLOOKUP(K170,[2]stage_hints!$A:$C,3,FALSE)</f>
        <v>ゲリラクエストは要チェック</v>
      </c>
      <c r="N170" s="39" t="str">
        <f>VLOOKUP(K170,[2]stage_hints!$A:$D,4,FALSE)</f>
        <v>時間限定の「アヒル捕獲作戦」では
経験値素材ユニットが多く手に入ります</v>
      </c>
      <c r="O170" s="20" t="s">
        <v>24</v>
      </c>
      <c r="P170">
        <v>8</v>
      </c>
    </row>
    <row r="171" spans="1:16" x14ac:dyDescent="0.15">
      <c r="A171" s="27" t="str">
        <f t="shared" si="33"/>
        <v>11102_3_5</v>
      </c>
      <c r="B171" s="25" t="s">
        <v>34</v>
      </c>
      <c r="C171" s="4">
        <v>11102</v>
      </c>
      <c r="D171" s="3" t="str">
        <f ca="1">VLOOKUP($C171,OFFSET([1]quests!$A$1,0,0,COUNTA([1]quests!$A:$A),MATCH(D$1,[1]quests!$1:$1,0)-MATCH($C$1,[1]quests!$1:$1,0)+1),MATCH(D$1,[1]quests!$1:$1,0)-MATCH($C$1,[1]quests!$1:$1,0)+1,FALSE)</f>
        <v>【期間限定】 赤の素材</v>
      </c>
      <c r="E171" s="3" t="str">
        <f ca="1">VLOOKUP($C171,OFFSET([1]quests!$A$1,0,0,COUNTA([1]quests!$A:$A),MATCH(E$1,[1]quests!$1:$1,0)-MATCH($C$1,[1]quests!$1:$1,0)+1),MATCH(E$1,[1]quests!$1:$1,0)-MATCH($C$1,[1]quests!$1:$1,0)+1,FALSE)</f>
        <v>火曜クエスト</v>
      </c>
      <c r="F171" s="5">
        <v>3</v>
      </c>
      <c r="G171" s="3" t="str">
        <f ca="1">VLOOKUP($C171&amp;"_"&amp;$F171,OFFSET([1]stages!$A$1,0,0,COUNTA([1]stages!$A:$A),MATCH(G$1,[1]stages!$2:$2,0)-MATCH("temp_stage",[1]stages!$2:$2,0)+1),MATCH(G$1,[1]stages!$2:$2,0)-MATCH("temp_stage",[1]stages!$2:$2,0)+1,FALSE)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1" s="3" t="str">
        <f ca="1">VLOOKUP($C171&amp;"_"&amp;$F171,OFFSET([1]stages!$A$1,0,0,COUNTA([1]stages!$A:$A),MATCH(H$1,[1]stages!$2:$2,0)-MATCH("temp_stage",[1]stages!$2:$2,0)+1),MATCH(H$1,[1]stages!$2:$2,0)-MATCH("temp_stage",[1]stages!$2:$2,0)+1,FALSE)</f>
        <v>火曜クエスト</v>
      </c>
      <c r="I171" s="18">
        <v>0</v>
      </c>
      <c r="J171" s="5">
        <f>COUNTIF(C$1:C171,C171)</f>
        <v>5</v>
      </c>
      <c r="K171" s="34">
        <v>9</v>
      </c>
      <c r="L171" s="5" t="s">
        <v>17</v>
      </c>
      <c r="M171" s="38" t="str">
        <f>VLOOKUP(K171,[2]stage_hints!$A:$C,3,FALSE)</f>
        <v>ゴールドダックでビットを獲得</v>
      </c>
      <c r="N171" s="39" t="str">
        <f>VLOOKUP(K171,[2]stage_hints!$A:$D,4,FALSE)</f>
        <v>「ゴールドなアヒル」を売却すると
大量のビットがもらえます</v>
      </c>
      <c r="O171" s="20" t="s">
        <v>24</v>
      </c>
      <c r="P171">
        <v>9</v>
      </c>
    </row>
    <row r="172" spans="1:16" x14ac:dyDescent="0.15">
      <c r="A172" s="27" t="str">
        <f t="shared" si="33"/>
        <v>11102_3_6</v>
      </c>
      <c r="B172" s="25" t="s">
        <v>34</v>
      </c>
      <c r="C172" s="4">
        <v>11102</v>
      </c>
      <c r="D172" s="3" t="str">
        <f ca="1">VLOOKUP($C172,OFFSET([1]quests!$A$1,0,0,COUNTA([1]quests!$A:$A),MATCH(D$1,[1]quests!$1:$1,0)-MATCH($C$1,[1]quests!$1:$1,0)+1),MATCH(D$1,[1]quests!$1:$1,0)-MATCH($C$1,[1]quests!$1:$1,0)+1,FALSE)</f>
        <v>【期間限定】 赤の素材</v>
      </c>
      <c r="E172" s="3" t="str">
        <f ca="1">VLOOKUP($C172,OFFSET([1]quests!$A$1,0,0,COUNTA([1]quests!$A:$A),MATCH(E$1,[1]quests!$1:$1,0)-MATCH($C$1,[1]quests!$1:$1,0)+1),MATCH(E$1,[1]quests!$1:$1,0)-MATCH($C$1,[1]quests!$1:$1,0)+1,FALSE)</f>
        <v>火曜クエスト</v>
      </c>
      <c r="F172" s="5">
        <v>3</v>
      </c>
      <c r="G172" s="3" t="str">
        <f ca="1">VLOOKUP($C172&amp;"_"&amp;$F172,OFFSET([1]stages!$A$1,0,0,COUNTA([1]stages!$A:$A),MATCH(G$1,[1]stages!$2:$2,0)-MATCH("temp_stage",[1]stages!$2:$2,0)+1),MATCH(G$1,[1]stages!$2:$2,0)-MATCH("temp_stage",[1]stages!$2:$2,0)+1,FALSE)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2" s="3" t="str">
        <f ca="1">VLOOKUP($C172&amp;"_"&amp;$F172,OFFSET([1]stages!$A$1,0,0,COUNTA([1]stages!$A:$A),MATCH(H$1,[1]stages!$2:$2,0)-MATCH("temp_stage",[1]stages!$2:$2,0)+1),MATCH(H$1,[1]stages!$2:$2,0)-MATCH("temp_stage",[1]stages!$2:$2,0)+1,FALSE)</f>
        <v>火曜クエスト</v>
      </c>
      <c r="I172" s="18">
        <v>0</v>
      </c>
      <c r="J172" s="5">
        <f>COUNTIF(C$1:C172,C172)</f>
        <v>6</v>
      </c>
      <c r="K172" s="34">
        <v>10</v>
      </c>
      <c r="L172" s="5" t="s">
        <v>17</v>
      </c>
      <c r="M172" s="38" t="str">
        <f>VLOOKUP(K172,[2]stage_hints!$A:$C,3,FALSE)</f>
        <v>土日に大量のビットを獲得</v>
      </c>
      <c r="N172" s="39" t="str">
        <f>VLOOKUP(K172,[2]stage_hints!$A:$D,4,FALSE)</f>
        <v>土日限定の「ゴールドカジノ」では
売却素材ユニットが多く手に入ります</v>
      </c>
      <c r="O172" s="20" t="s">
        <v>24</v>
      </c>
      <c r="P172">
        <v>10</v>
      </c>
    </row>
    <row r="173" spans="1:16" x14ac:dyDescent="0.15">
      <c r="A173" s="27" t="str">
        <f t="shared" ref="A173:A175" si="34">C173&amp;"_"&amp;F173&amp;"_"&amp;J173</f>
        <v>11102_3_7</v>
      </c>
      <c r="B173" s="25" t="s">
        <v>34</v>
      </c>
      <c r="C173" s="4">
        <v>11102</v>
      </c>
      <c r="D173" s="3" t="str">
        <f ca="1">VLOOKUP($C173,OFFSET([1]quests!$A$1,0,0,COUNTA([1]quests!$A:$A),MATCH(D$1,[1]quests!$1:$1,0)-MATCH($C$1,[1]quests!$1:$1,0)+1),MATCH(D$1,[1]quests!$1:$1,0)-MATCH($C$1,[1]quests!$1:$1,0)+1,FALSE)</f>
        <v>【期間限定】 赤の素材</v>
      </c>
      <c r="E173" s="3" t="str">
        <f ca="1">VLOOKUP($C173,OFFSET([1]quests!$A$1,0,0,COUNTA([1]quests!$A:$A),MATCH(E$1,[1]quests!$1:$1,0)-MATCH($C$1,[1]quests!$1:$1,0)+1),MATCH(E$1,[1]quests!$1:$1,0)-MATCH($C$1,[1]quests!$1:$1,0)+1,FALSE)</f>
        <v>火曜クエスト</v>
      </c>
      <c r="F173" s="5">
        <v>3</v>
      </c>
      <c r="G173" s="3" t="str">
        <f ca="1">VLOOKUP($C173&amp;"_"&amp;$F173,OFFSET([1]stages!$A$1,0,0,COUNTA([1]stages!$A:$A),MATCH(G$1,[1]stages!$2:$2,0)-MATCH("temp_stage",[1]stages!$2:$2,0)+1),MATCH(G$1,[1]stages!$2:$2,0)-MATCH("temp_stage",[1]stages!$2:$2,0)+1,FALSE)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3" s="3" t="str">
        <f ca="1">VLOOKUP($C173&amp;"_"&amp;$F173,OFFSET([1]stages!$A$1,0,0,COUNTA([1]stages!$A:$A),MATCH(H$1,[1]stages!$2:$2,0)-MATCH("temp_stage",[1]stages!$2:$2,0)+1),MATCH(H$1,[1]stages!$2:$2,0)-MATCH("temp_stage",[1]stages!$2:$2,0)+1,FALSE)</f>
        <v>火曜クエスト</v>
      </c>
      <c r="I173" s="18">
        <v>0</v>
      </c>
      <c r="J173" s="5">
        <f>COUNTIF(C$1:C173,C173)</f>
        <v>7</v>
      </c>
      <c r="K173" s="34">
        <v>11</v>
      </c>
      <c r="L173" s="5" t="s">
        <v>17</v>
      </c>
      <c r="M173" s="38" t="str">
        <f>VLOOKUP(K173,[2]stage_hints!$A:$C,3,FALSE)</f>
        <v>ランク解放クエスト</v>
      </c>
      <c r="N173" s="39" t="str">
        <f>VLOOKUP(K173,[2]stage_hints!$A:$D,4,FALSE)</f>
        <v>一定ランクに到達すると
報酬付きのランク開放クエストが現れます</v>
      </c>
      <c r="O173" s="20" t="s">
        <v>24</v>
      </c>
      <c r="P173">
        <v>11</v>
      </c>
    </row>
    <row r="174" spans="1:16" x14ac:dyDescent="0.15">
      <c r="A174" s="27" t="str">
        <f t="shared" si="34"/>
        <v>11102_3_8</v>
      </c>
      <c r="B174" s="25" t="s">
        <v>34</v>
      </c>
      <c r="C174" s="4">
        <v>11102</v>
      </c>
      <c r="D174" s="3" t="str">
        <f ca="1">VLOOKUP($C174,OFFSET([1]quests!$A$1,0,0,COUNTA([1]quests!$A:$A),MATCH(D$1,[1]quests!$1:$1,0)-MATCH($C$1,[1]quests!$1:$1,0)+1),MATCH(D$1,[1]quests!$1:$1,0)-MATCH($C$1,[1]quests!$1:$1,0)+1,FALSE)</f>
        <v>【期間限定】 赤の素材</v>
      </c>
      <c r="E174" s="3" t="str">
        <f ca="1">VLOOKUP($C174,OFFSET([1]quests!$A$1,0,0,COUNTA([1]quests!$A:$A),MATCH(E$1,[1]quests!$1:$1,0)-MATCH($C$1,[1]quests!$1:$1,0)+1),MATCH(E$1,[1]quests!$1:$1,0)-MATCH($C$1,[1]quests!$1:$1,0)+1,FALSE)</f>
        <v>火曜クエスト</v>
      </c>
      <c r="F174" s="5">
        <v>3</v>
      </c>
      <c r="G174" s="3" t="str">
        <f ca="1">VLOOKUP($C174&amp;"_"&amp;$F174,OFFSET([1]stages!$A$1,0,0,COUNTA([1]stages!$A:$A),MATCH(G$1,[1]stages!$2:$2,0)-MATCH("temp_stage",[1]stages!$2:$2,0)+1),MATCH(G$1,[1]stages!$2:$2,0)-MATCH("temp_stage",[1]stages!$2:$2,0)+1,FALSE)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4" s="3" t="str">
        <f ca="1">VLOOKUP($C174&amp;"_"&amp;$F174,OFFSET([1]stages!$A$1,0,0,COUNTA([1]stages!$A:$A),MATCH(H$1,[1]stages!$2:$2,0)-MATCH("temp_stage",[1]stages!$2:$2,0)+1),MATCH(H$1,[1]stages!$2:$2,0)-MATCH("temp_stage",[1]stages!$2:$2,0)+1,FALSE)</f>
        <v>火曜クエスト</v>
      </c>
      <c r="I174" s="18">
        <v>0</v>
      </c>
      <c r="J174" s="5">
        <f>COUNTIF(C$1:C174,C174)</f>
        <v>8</v>
      </c>
      <c r="K174" s="34">
        <v>12</v>
      </c>
      <c r="L174" s="5" t="s">
        <v>17</v>
      </c>
      <c r="M174" s="38" t="str">
        <f>VLOOKUP(K174,[2]stage_hints!$A:$C,3,FALSE)</f>
        <v>ユニットのお気に入り登録</v>
      </c>
      <c r="N174" s="39" t="str">
        <f>VLOOKUP(K174,[2]stage_hints!$A:$D,4,FALSE)</f>
        <v>大事なユニットを誤って消さないように
フォルダから「お気に入り登録」しましょう</v>
      </c>
      <c r="O174" s="20" t="s">
        <v>24</v>
      </c>
      <c r="P174">
        <v>12</v>
      </c>
    </row>
    <row r="175" spans="1:16" x14ac:dyDescent="0.15">
      <c r="A175" s="27" t="str">
        <f t="shared" si="34"/>
        <v>11102_3_9</v>
      </c>
      <c r="B175" s="25" t="s">
        <v>34</v>
      </c>
      <c r="C175" s="4">
        <v>11102</v>
      </c>
      <c r="D175" s="3" t="str">
        <f ca="1">VLOOKUP($C175,OFFSET([1]quests!$A$1,0,0,COUNTA([1]quests!$A:$A),MATCH(D$1,[1]quests!$1:$1,0)-MATCH($C$1,[1]quests!$1:$1,0)+1),MATCH(D$1,[1]quests!$1:$1,0)-MATCH($C$1,[1]quests!$1:$1,0)+1,FALSE)</f>
        <v>【期間限定】 赤の素材</v>
      </c>
      <c r="E175" s="3" t="str">
        <f ca="1">VLOOKUP($C175,OFFSET([1]quests!$A$1,0,0,COUNTA([1]quests!$A:$A),MATCH(E$1,[1]quests!$1:$1,0)-MATCH($C$1,[1]quests!$1:$1,0)+1),MATCH(E$1,[1]quests!$1:$1,0)-MATCH($C$1,[1]quests!$1:$1,0)+1,FALSE)</f>
        <v>火曜クエスト</v>
      </c>
      <c r="F175" s="5">
        <v>3</v>
      </c>
      <c r="G175" s="3" t="str">
        <f ca="1">VLOOKUP($C175&amp;"_"&amp;$F175,OFFSET([1]stages!$A$1,0,0,COUNTA([1]stages!$A:$A),MATCH(G$1,[1]stages!$2:$2,0)-MATCH("temp_stage",[1]stages!$2:$2,0)+1),MATCH(G$1,[1]stages!$2:$2,0)-MATCH("temp_stage",[1]stages!$2:$2,0)+1,FALSE)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5" s="3" t="str">
        <f ca="1">VLOOKUP($C175&amp;"_"&amp;$F175,OFFSET([1]stages!$A$1,0,0,COUNTA([1]stages!$A:$A),MATCH(H$1,[1]stages!$2:$2,0)-MATCH("temp_stage",[1]stages!$2:$2,0)+1),MATCH(H$1,[1]stages!$2:$2,0)-MATCH("temp_stage",[1]stages!$2:$2,0)+1,FALSE)</f>
        <v>火曜クエスト</v>
      </c>
      <c r="I175" s="18">
        <v>0</v>
      </c>
      <c r="J175" s="5">
        <f>COUNTIF(C$1:C175,C175)</f>
        <v>9</v>
      </c>
      <c r="K175" s="34">
        <v>13</v>
      </c>
      <c r="L175" s="5" t="s">
        <v>17</v>
      </c>
      <c r="M175" s="38" t="str">
        <f>VLOOKUP(K175,[2]stage_hints!$A:$C,3,FALSE)</f>
        <v>ユニットの覚醒</v>
      </c>
      <c r="N175" s="39" t="str">
        <f>VLOOKUP(K175,[2]stage_hints!$A:$D,4,FALSE)</f>
        <v>ユニットを覚醒させると
比べものにならない強さが手に入ります</v>
      </c>
      <c r="O175" s="20" t="s">
        <v>24</v>
      </c>
      <c r="P175">
        <v>13</v>
      </c>
    </row>
    <row r="176" spans="1:16" x14ac:dyDescent="0.15">
      <c r="A176" s="27" t="str">
        <f t="shared" ref="A176:A177" si="35">C176&amp;"_"&amp;F176&amp;"_"&amp;J176</f>
        <v>11102_3_10</v>
      </c>
      <c r="B176" s="25" t="s">
        <v>34</v>
      </c>
      <c r="C176" s="4">
        <v>11102</v>
      </c>
      <c r="D176" s="3" t="str">
        <f ca="1">VLOOKUP($C176,OFFSET([1]quests!$A$1,0,0,COUNTA([1]quests!$A:$A),MATCH(D$1,[1]quests!$1:$1,0)-MATCH($C$1,[1]quests!$1:$1,0)+1),MATCH(D$1,[1]quests!$1:$1,0)-MATCH($C$1,[1]quests!$1:$1,0)+1,FALSE)</f>
        <v>【期間限定】 赤の素材</v>
      </c>
      <c r="E176" s="3" t="str">
        <f ca="1">VLOOKUP($C176,OFFSET([1]quests!$A$1,0,0,COUNTA([1]quests!$A:$A),MATCH(E$1,[1]quests!$1:$1,0)-MATCH($C$1,[1]quests!$1:$1,0)+1),MATCH(E$1,[1]quests!$1:$1,0)-MATCH($C$1,[1]quests!$1:$1,0)+1,FALSE)</f>
        <v>火曜クエスト</v>
      </c>
      <c r="F176" s="5">
        <v>3</v>
      </c>
      <c r="G176" s="3" t="str">
        <f ca="1">VLOOKUP($C176&amp;"_"&amp;$F176,OFFSET([1]stages!$A$1,0,0,COUNTA([1]stages!$A:$A),MATCH(G$1,[1]stages!$2:$2,0)-MATCH("temp_stage",[1]stages!$2:$2,0)+1),MATCH(G$1,[1]stages!$2:$2,0)-MATCH("temp_stage",[1]stages!$2:$2,0)+1,FALSE)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6" s="3" t="str">
        <f ca="1">VLOOKUP($C176&amp;"_"&amp;$F176,OFFSET([1]stages!$A$1,0,0,COUNTA([1]stages!$A:$A),MATCH(H$1,[1]stages!$2:$2,0)-MATCH("temp_stage",[1]stages!$2:$2,0)+1),MATCH(H$1,[1]stages!$2:$2,0)-MATCH("temp_stage",[1]stages!$2:$2,0)+1,FALSE)</f>
        <v>火曜クエスト</v>
      </c>
      <c r="I176" s="18">
        <v>0</v>
      </c>
      <c r="J176" s="5">
        <f>COUNTIF(C$1:C176,C176)</f>
        <v>10</v>
      </c>
      <c r="K176" s="34">
        <v>14</v>
      </c>
      <c r="L176" s="5" t="s">
        <v>17</v>
      </c>
      <c r="M176" s="38" t="str">
        <f>VLOOKUP(K176,[2]stage_hints!$A:$C,3,FALSE)</f>
        <v>覚醒するにはレベルを最大に</v>
      </c>
      <c r="N176" s="39" t="str">
        <f>VLOOKUP(K176,[2]stage_hints!$A:$D,4,FALSE)</f>
        <v>覚醒するにはユニットのレベルを
最大まで上げる必要があります</v>
      </c>
      <c r="O176" s="20" t="s">
        <v>24</v>
      </c>
      <c r="P176">
        <v>14</v>
      </c>
    </row>
    <row r="177" spans="1:16" x14ac:dyDescent="0.15">
      <c r="A177" s="27" t="str">
        <f t="shared" si="35"/>
        <v>11102_3_11</v>
      </c>
      <c r="B177" s="25" t="s">
        <v>34</v>
      </c>
      <c r="C177" s="4">
        <v>11102</v>
      </c>
      <c r="D177" s="3" t="str">
        <f ca="1">VLOOKUP($C177,OFFSET([1]quests!$A$1,0,0,COUNTA([1]quests!$A:$A),MATCH(D$1,[1]quests!$1:$1,0)-MATCH($C$1,[1]quests!$1:$1,0)+1),MATCH(D$1,[1]quests!$1:$1,0)-MATCH($C$1,[1]quests!$1:$1,0)+1,FALSE)</f>
        <v>【期間限定】 赤の素材</v>
      </c>
      <c r="E177" s="3" t="str">
        <f ca="1">VLOOKUP($C177,OFFSET([1]quests!$A$1,0,0,COUNTA([1]quests!$A:$A),MATCH(E$1,[1]quests!$1:$1,0)-MATCH($C$1,[1]quests!$1:$1,0)+1),MATCH(E$1,[1]quests!$1:$1,0)-MATCH($C$1,[1]quests!$1:$1,0)+1,FALSE)</f>
        <v>火曜クエスト</v>
      </c>
      <c r="F177" s="5">
        <v>3</v>
      </c>
      <c r="G177" s="3" t="str">
        <f ca="1">VLOOKUP($C177&amp;"_"&amp;$F177,OFFSET([1]stages!$A$1,0,0,COUNTA([1]stages!$A:$A),MATCH(G$1,[1]stages!$2:$2,0)-MATCH("temp_stage",[1]stages!$2:$2,0)+1),MATCH(G$1,[1]stages!$2:$2,0)-MATCH("temp_stage",[1]stages!$2:$2,0)+1,FALSE)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7" s="3" t="str">
        <f ca="1">VLOOKUP($C177&amp;"_"&amp;$F177,OFFSET([1]stages!$A$1,0,0,COUNTA([1]stages!$A:$A),MATCH(H$1,[1]stages!$2:$2,0)-MATCH("temp_stage",[1]stages!$2:$2,0)+1),MATCH(H$1,[1]stages!$2:$2,0)-MATCH("temp_stage",[1]stages!$2:$2,0)+1,FALSE)</f>
        <v>火曜クエスト</v>
      </c>
      <c r="I177" s="18">
        <v>0</v>
      </c>
      <c r="J177" s="5">
        <f>COUNTIF(C$1:C177,C177)</f>
        <v>11</v>
      </c>
      <c r="K177" s="34">
        <v>15</v>
      </c>
      <c r="L177" s="5" t="s">
        <v>17</v>
      </c>
      <c r="M177" s="38" t="str">
        <f>VLOOKUP(K177,[2]stage_hints!$A:$C,3,FALSE)</f>
        <v>覚醒素材を獲得</v>
      </c>
      <c r="N177" s="39" t="str">
        <f>VLOOKUP(K177,[2]stage_hints!$A:$D,4,FALSE)</f>
        <v>「曜日クエスト」では
ユニットの覚醒に必要な素材が手に入ります</v>
      </c>
      <c r="O177" s="20" t="s">
        <v>24</v>
      </c>
      <c r="P177">
        <v>15</v>
      </c>
    </row>
    <row r="178" spans="1:16" x14ac:dyDescent="0.15">
      <c r="A178" s="27" t="str">
        <f t="shared" ref="A178:A190" si="36">C178&amp;"_"&amp;F178&amp;"_"&amp;J178</f>
        <v>11102_3_12</v>
      </c>
      <c r="B178" s="25" t="s">
        <v>34</v>
      </c>
      <c r="C178" s="4">
        <v>11102</v>
      </c>
      <c r="D178" s="3" t="str">
        <f ca="1">VLOOKUP($C178,OFFSET([1]quests!$A$1,0,0,COUNTA([1]quests!$A:$A),MATCH(D$1,[1]quests!$1:$1,0)-MATCH($C$1,[1]quests!$1:$1,0)+1),MATCH(D$1,[1]quests!$1:$1,0)-MATCH($C$1,[1]quests!$1:$1,0)+1,FALSE)</f>
        <v>【期間限定】 赤の素材</v>
      </c>
      <c r="E178" s="3" t="str">
        <f ca="1">VLOOKUP($C178,OFFSET([1]quests!$A$1,0,0,COUNTA([1]quests!$A:$A),MATCH(E$1,[1]quests!$1:$1,0)-MATCH($C$1,[1]quests!$1:$1,0)+1),MATCH(E$1,[1]quests!$1:$1,0)-MATCH($C$1,[1]quests!$1:$1,0)+1,FALSE)</f>
        <v>火曜クエスト</v>
      </c>
      <c r="F178" s="5">
        <v>3</v>
      </c>
      <c r="G178" s="3" t="str">
        <f ca="1">VLOOKUP($C178&amp;"_"&amp;$F178,OFFSET([1]stages!$A$1,0,0,COUNTA([1]stages!$A:$A),MATCH(G$1,[1]stages!$2:$2,0)-MATCH("temp_stage",[1]stages!$2:$2,0)+1),MATCH(G$1,[1]stages!$2:$2,0)-MATCH("temp_stage",[1]stages!$2:$2,0)+1,FALSE)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8" s="3" t="str">
        <f ca="1">VLOOKUP($C178&amp;"_"&amp;$F178,OFFSET([1]stages!$A$1,0,0,COUNTA([1]stages!$A:$A),MATCH(H$1,[1]stages!$2:$2,0)-MATCH("temp_stage",[1]stages!$2:$2,0)+1),MATCH(H$1,[1]stages!$2:$2,0)-MATCH("temp_stage",[1]stages!$2:$2,0)+1,FALSE)</f>
        <v>火曜クエスト</v>
      </c>
      <c r="I178" s="18">
        <v>0</v>
      </c>
      <c r="J178" s="5">
        <f>COUNTIF(C$1:C178,C178)</f>
        <v>12</v>
      </c>
      <c r="K178" s="34">
        <v>16</v>
      </c>
      <c r="L178" s="5" t="s">
        <v>17</v>
      </c>
      <c r="M178" s="38" t="str">
        <f>VLOOKUP(K178,[2]stage_hints!$A:$C,3,FALSE)</f>
        <v>マルチプレイのメリット（その1）</v>
      </c>
      <c r="N178" s="39" t="str">
        <f>VLOOKUP(K178,[2]stage_hints!$A:$D,4,FALSE)</f>
        <v>他のプレイヤーとマルチプレイで遊ぶと
ポリゴンがもらえます（100人まで）</v>
      </c>
      <c r="O178" s="20" t="s">
        <v>24</v>
      </c>
      <c r="P178">
        <v>16</v>
      </c>
    </row>
    <row r="179" spans="1:16" x14ac:dyDescent="0.15">
      <c r="A179" s="27" t="str">
        <f t="shared" si="36"/>
        <v>11102_3_13</v>
      </c>
      <c r="B179" s="25" t="s">
        <v>34</v>
      </c>
      <c r="C179" s="4">
        <v>11102</v>
      </c>
      <c r="D179" s="3" t="str">
        <f ca="1">VLOOKUP($C179,OFFSET([1]quests!$A$1,0,0,COUNTA([1]quests!$A:$A),MATCH(D$1,[1]quests!$1:$1,0)-MATCH($C$1,[1]quests!$1:$1,0)+1),MATCH(D$1,[1]quests!$1:$1,0)-MATCH($C$1,[1]quests!$1:$1,0)+1,FALSE)</f>
        <v>【期間限定】 赤の素材</v>
      </c>
      <c r="E179" s="3" t="str">
        <f ca="1">VLOOKUP($C179,OFFSET([1]quests!$A$1,0,0,COUNTA([1]quests!$A:$A),MATCH(E$1,[1]quests!$1:$1,0)-MATCH($C$1,[1]quests!$1:$1,0)+1),MATCH(E$1,[1]quests!$1:$1,0)-MATCH($C$1,[1]quests!$1:$1,0)+1,FALSE)</f>
        <v>火曜クエスト</v>
      </c>
      <c r="F179" s="5">
        <v>3</v>
      </c>
      <c r="G179" s="3" t="str">
        <f ca="1">VLOOKUP($C179&amp;"_"&amp;$F179,OFFSET([1]stages!$A$1,0,0,COUNTA([1]stages!$A:$A),MATCH(G$1,[1]stages!$2:$2,0)-MATCH("temp_stage",[1]stages!$2:$2,0)+1),MATCH(G$1,[1]stages!$2:$2,0)-MATCH("temp_stage",[1]stages!$2:$2,0)+1,FALSE)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79" s="3" t="str">
        <f ca="1">VLOOKUP($C179&amp;"_"&amp;$F179,OFFSET([1]stages!$A$1,0,0,COUNTA([1]stages!$A:$A),MATCH(H$1,[1]stages!$2:$2,0)-MATCH("temp_stage",[1]stages!$2:$2,0)+1),MATCH(H$1,[1]stages!$2:$2,0)-MATCH("temp_stage",[1]stages!$2:$2,0)+1,FALSE)</f>
        <v>火曜クエスト</v>
      </c>
      <c r="I179" s="18">
        <v>0</v>
      </c>
      <c r="J179" s="5">
        <f>COUNTIF(C$1:C179,C179)</f>
        <v>13</v>
      </c>
      <c r="K179" s="34">
        <v>17</v>
      </c>
      <c r="L179" s="5" t="s">
        <v>17</v>
      </c>
      <c r="M179" s="38" t="str">
        <f>VLOOKUP(K179,[2]stage_hints!$A:$C,3,FALSE)</f>
        <v>リンクガチャ</v>
      </c>
      <c r="N179" s="39" t="str">
        <f>VLOOKUP(K179,[2]stage_hints!$A:$D,4,FALSE)</f>
        <v>無料のリンクガチャを回して
経験値素材や売却素材を獲得しましょう</v>
      </c>
      <c r="O179" s="20" t="s">
        <v>24</v>
      </c>
      <c r="P179">
        <v>17</v>
      </c>
    </row>
    <row r="180" spans="1:16" x14ac:dyDescent="0.15">
      <c r="A180" s="27" t="str">
        <f t="shared" si="36"/>
        <v>11102_3_14</v>
      </c>
      <c r="B180" s="25" t="s">
        <v>34</v>
      </c>
      <c r="C180" s="4">
        <v>11102</v>
      </c>
      <c r="D180" s="3" t="str">
        <f ca="1">VLOOKUP($C180,OFFSET([1]quests!$A$1,0,0,COUNTA([1]quests!$A:$A),MATCH(D$1,[1]quests!$1:$1,0)-MATCH($C$1,[1]quests!$1:$1,0)+1),MATCH(D$1,[1]quests!$1:$1,0)-MATCH($C$1,[1]quests!$1:$1,0)+1,FALSE)</f>
        <v>【期間限定】 赤の素材</v>
      </c>
      <c r="E180" s="3" t="str">
        <f ca="1">VLOOKUP($C180,OFFSET([1]quests!$A$1,0,0,COUNTA([1]quests!$A:$A),MATCH(E$1,[1]quests!$1:$1,0)-MATCH($C$1,[1]quests!$1:$1,0)+1),MATCH(E$1,[1]quests!$1:$1,0)-MATCH($C$1,[1]quests!$1:$1,0)+1,FALSE)</f>
        <v>火曜クエスト</v>
      </c>
      <c r="F180" s="5">
        <v>3</v>
      </c>
      <c r="G180" s="3" t="str">
        <f ca="1">VLOOKUP($C180&amp;"_"&amp;$F180,OFFSET([1]stages!$A$1,0,0,COUNTA([1]stages!$A:$A),MATCH(G$1,[1]stages!$2:$2,0)-MATCH("temp_stage",[1]stages!$2:$2,0)+1),MATCH(G$1,[1]stages!$2:$2,0)-MATCH("temp_stage",[1]stages!$2:$2,0)+1,FALSE)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0" s="3" t="str">
        <f ca="1">VLOOKUP($C180&amp;"_"&amp;$F180,OFFSET([1]stages!$A$1,0,0,COUNTA([1]stages!$A:$A),MATCH(H$1,[1]stages!$2:$2,0)-MATCH("temp_stage",[1]stages!$2:$2,0)+1),MATCH(H$1,[1]stages!$2:$2,0)-MATCH("temp_stage",[1]stages!$2:$2,0)+1,FALSE)</f>
        <v>火曜クエスト</v>
      </c>
      <c r="I180" s="18">
        <v>0</v>
      </c>
      <c r="J180" s="5">
        <f>COUNTIF(C$1:C180,C180)</f>
        <v>14</v>
      </c>
      <c r="K180" s="34">
        <v>18</v>
      </c>
      <c r="L180" s="5" t="s">
        <v>17</v>
      </c>
      <c r="M180" s="38" t="str">
        <f>VLOOKUP(K180,[2]stage_hints!$A:$C,3,FALSE)</f>
        <v>マルチプレイのメリット（その2）</v>
      </c>
      <c r="N180" s="39" t="str">
        <f>VLOOKUP(K180,[2]stage_hints!$A:$D,4,FALSE)</f>
        <v>マルチプレイならリンクが2倍もらえます
リンクガチャをたくさん回しましょう</v>
      </c>
      <c r="O180" s="20" t="s">
        <v>24</v>
      </c>
      <c r="P180">
        <v>18</v>
      </c>
    </row>
    <row r="181" spans="1:16" x14ac:dyDescent="0.15">
      <c r="A181" s="27" t="str">
        <f t="shared" si="36"/>
        <v>11102_3_15</v>
      </c>
      <c r="B181" s="25" t="s">
        <v>34</v>
      </c>
      <c r="C181" s="4">
        <v>11102</v>
      </c>
      <c r="D181" s="3" t="str">
        <f ca="1">VLOOKUP($C181,OFFSET([1]quests!$A$1,0,0,COUNTA([1]quests!$A:$A),MATCH(D$1,[1]quests!$1:$1,0)-MATCH($C$1,[1]quests!$1:$1,0)+1),MATCH(D$1,[1]quests!$1:$1,0)-MATCH($C$1,[1]quests!$1:$1,0)+1,FALSE)</f>
        <v>【期間限定】 赤の素材</v>
      </c>
      <c r="E181" s="3" t="str">
        <f ca="1">VLOOKUP($C181,OFFSET([1]quests!$A$1,0,0,COUNTA([1]quests!$A:$A),MATCH(E$1,[1]quests!$1:$1,0)-MATCH($C$1,[1]quests!$1:$1,0)+1),MATCH(E$1,[1]quests!$1:$1,0)-MATCH($C$1,[1]quests!$1:$1,0)+1,FALSE)</f>
        <v>火曜クエスト</v>
      </c>
      <c r="F181" s="5">
        <v>3</v>
      </c>
      <c r="G181" s="3" t="str">
        <f ca="1">VLOOKUP($C181&amp;"_"&amp;$F181,OFFSET([1]stages!$A$1,0,0,COUNTA([1]stages!$A:$A),MATCH(G$1,[1]stages!$2:$2,0)-MATCH("temp_stage",[1]stages!$2:$2,0)+1),MATCH(G$1,[1]stages!$2:$2,0)-MATCH("temp_stage",[1]stages!$2:$2,0)+1,FALSE)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1" s="3" t="str">
        <f ca="1">VLOOKUP($C181&amp;"_"&amp;$F181,OFFSET([1]stages!$A$1,0,0,COUNTA([1]stages!$A:$A),MATCH(H$1,[1]stages!$2:$2,0)-MATCH("temp_stage",[1]stages!$2:$2,0)+1),MATCH(H$1,[1]stages!$2:$2,0)-MATCH("temp_stage",[1]stages!$2:$2,0)+1,FALSE)</f>
        <v>火曜クエスト</v>
      </c>
      <c r="I181" s="18">
        <v>0</v>
      </c>
      <c r="J181" s="5">
        <f>COUNTIF(C$1:C181,C181)</f>
        <v>15</v>
      </c>
      <c r="K181" s="34">
        <v>19</v>
      </c>
      <c r="L181" s="5" t="s">
        <v>17</v>
      </c>
      <c r="M181" s="38" t="str">
        <f>VLOOKUP(K181,[2]stage_hints!$A:$C,3,FALSE)</f>
        <v>ソロ専用チャレンジタワー</v>
      </c>
      <c r="N181" s="39" t="str">
        <f>VLOOKUP(K181,[2]stage_hints!$A:$D,4,FALSE)</f>
        <v>ソロ専用の「チャレンジタワー」では
各フロアごとにクリア報酬がもらえます</v>
      </c>
      <c r="O181" s="20" t="s">
        <v>24</v>
      </c>
      <c r="P181">
        <v>19</v>
      </c>
    </row>
    <row r="182" spans="1:16" x14ac:dyDescent="0.15">
      <c r="A182" s="27" t="str">
        <f t="shared" si="36"/>
        <v>11102_3_16</v>
      </c>
      <c r="B182" s="25" t="s">
        <v>34</v>
      </c>
      <c r="C182" s="4">
        <v>11102</v>
      </c>
      <c r="D182" s="3" t="str">
        <f ca="1">VLOOKUP($C182,OFFSET([1]quests!$A$1,0,0,COUNTA([1]quests!$A:$A),MATCH(D$1,[1]quests!$1:$1,0)-MATCH($C$1,[1]quests!$1:$1,0)+1),MATCH(D$1,[1]quests!$1:$1,0)-MATCH($C$1,[1]quests!$1:$1,0)+1,FALSE)</f>
        <v>【期間限定】 赤の素材</v>
      </c>
      <c r="E182" s="3" t="str">
        <f ca="1">VLOOKUP($C182,OFFSET([1]quests!$A$1,0,0,COUNTA([1]quests!$A:$A),MATCH(E$1,[1]quests!$1:$1,0)-MATCH($C$1,[1]quests!$1:$1,0)+1),MATCH(E$1,[1]quests!$1:$1,0)-MATCH($C$1,[1]quests!$1:$1,0)+1,FALSE)</f>
        <v>火曜クエスト</v>
      </c>
      <c r="F182" s="5">
        <v>3</v>
      </c>
      <c r="G182" s="3" t="str">
        <f ca="1">VLOOKUP($C182&amp;"_"&amp;$F182,OFFSET([1]stages!$A$1,0,0,COUNTA([1]stages!$A:$A),MATCH(G$1,[1]stages!$2:$2,0)-MATCH("temp_stage",[1]stages!$2:$2,0)+1),MATCH(G$1,[1]stages!$2:$2,0)-MATCH("temp_stage",[1]stages!$2:$2,0)+1,FALSE)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2" s="3" t="str">
        <f ca="1">VLOOKUP($C182&amp;"_"&amp;$F182,OFFSET([1]stages!$A$1,0,0,COUNTA([1]stages!$A:$A),MATCH(H$1,[1]stages!$2:$2,0)-MATCH("temp_stage",[1]stages!$2:$2,0)+1),MATCH(H$1,[1]stages!$2:$2,0)-MATCH("temp_stage",[1]stages!$2:$2,0)+1,FALSE)</f>
        <v>火曜クエスト</v>
      </c>
      <c r="I182" s="18">
        <v>0</v>
      </c>
      <c r="J182" s="5">
        <f>COUNTIF(C$1:C182,C182)</f>
        <v>16</v>
      </c>
      <c r="K182" s="34">
        <v>20</v>
      </c>
      <c r="L182" s="5" t="s">
        <v>17</v>
      </c>
      <c r="M182" s="38" t="str">
        <f>VLOOKUP(K182,[2]stage_hints!$A:$C,3,FALSE)</f>
        <v>マルチプレイのメリット（その3）</v>
      </c>
      <c r="N182" s="39" t="str">
        <f>VLOOKUP(K182,[2]stage_hints!$A:$D,4,FALSE)</f>
        <v>マルチプレイへの参加はエナジー消費ゼロ
いつでも好きなだけ遊ぶことができます</v>
      </c>
      <c r="O182" s="20" t="s">
        <v>24</v>
      </c>
      <c r="P182">
        <v>20</v>
      </c>
    </row>
    <row r="183" spans="1:16" x14ac:dyDescent="0.15">
      <c r="A183" s="27" t="str">
        <f t="shared" si="36"/>
        <v>11102_3_17</v>
      </c>
      <c r="B183" s="25" t="s">
        <v>34</v>
      </c>
      <c r="C183" s="4">
        <v>11102</v>
      </c>
      <c r="D183" s="3" t="str">
        <f ca="1">VLOOKUP($C183,OFFSET([1]quests!$A$1,0,0,COUNTA([1]quests!$A:$A),MATCH(D$1,[1]quests!$1:$1,0)-MATCH($C$1,[1]quests!$1:$1,0)+1),MATCH(D$1,[1]quests!$1:$1,0)-MATCH($C$1,[1]quests!$1:$1,0)+1,FALSE)</f>
        <v>【期間限定】 赤の素材</v>
      </c>
      <c r="E183" s="3" t="str">
        <f ca="1">VLOOKUP($C183,OFFSET([1]quests!$A$1,0,0,COUNTA([1]quests!$A:$A),MATCH(E$1,[1]quests!$1:$1,0)-MATCH($C$1,[1]quests!$1:$1,0)+1),MATCH(E$1,[1]quests!$1:$1,0)-MATCH($C$1,[1]quests!$1:$1,0)+1,FALSE)</f>
        <v>火曜クエスト</v>
      </c>
      <c r="F183" s="5">
        <v>3</v>
      </c>
      <c r="G183" s="3" t="str">
        <f ca="1">VLOOKUP($C183&amp;"_"&amp;$F183,OFFSET([1]stages!$A$1,0,0,COUNTA([1]stages!$A:$A),MATCH(G$1,[1]stages!$2:$2,0)-MATCH("temp_stage",[1]stages!$2:$2,0)+1),MATCH(G$1,[1]stages!$2:$2,0)-MATCH("temp_stage",[1]stages!$2:$2,0)+1,FALSE)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3" s="3" t="str">
        <f ca="1">VLOOKUP($C183&amp;"_"&amp;$F183,OFFSET([1]stages!$A$1,0,0,COUNTA([1]stages!$A:$A),MATCH(H$1,[1]stages!$2:$2,0)-MATCH("temp_stage",[1]stages!$2:$2,0)+1),MATCH(H$1,[1]stages!$2:$2,0)-MATCH("temp_stage",[1]stages!$2:$2,0)+1,FALSE)</f>
        <v>火曜クエスト</v>
      </c>
      <c r="I183" s="18">
        <v>0</v>
      </c>
      <c r="J183" s="5">
        <f>COUNTIF(C$1:C183,C183)</f>
        <v>17</v>
      </c>
      <c r="K183" s="34">
        <v>21</v>
      </c>
      <c r="L183" s="5" t="s">
        <v>17</v>
      </c>
      <c r="M183" s="38" t="str">
        <f>VLOOKUP(K183,[2]stage_hints!$A:$C,3,FALSE)</f>
        <v>スキルを有効に</v>
      </c>
      <c r="N183" s="39" t="str">
        <f>VLOOKUP(K183,[2]stage_hints!$A:$D,4,FALSE)</f>
        <v>ターン経過でユニットのスキルが使えます
強力スキルでバトルを有利に進めましょう</v>
      </c>
      <c r="O183" s="20" t="s">
        <v>24</v>
      </c>
      <c r="P183">
        <v>21</v>
      </c>
    </row>
    <row r="184" spans="1:16" x14ac:dyDescent="0.15">
      <c r="A184" s="27" t="str">
        <f t="shared" si="36"/>
        <v>11102_3_18</v>
      </c>
      <c r="B184" s="25" t="s">
        <v>34</v>
      </c>
      <c r="C184" s="4">
        <v>11102</v>
      </c>
      <c r="D184" s="3" t="str">
        <f ca="1">VLOOKUP($C184,OFFSET([1]quests!$A$1,0,0,COUNTA([1]quests!$A:$A),MATCH(D$1,[1]quests!$1:$1,0)-MATCH($C$1,[1]quests!$1:$1,0)+1),MATCH(D$1,[1]quests!$1:$1,0)-MATCH($C$1,[1]quests!$1:$1,0)+1,FALSE)</f>
        <v>【期間限定】 赤の素材</v>
      </c>
      <c r="E184" s="3" t="str">
        <f ca="1">VLOOKUP($C184,OFFSET([1]quests!$A$1,0,0,COUNTA([1]quests!$A:$A),MATCH(E$1,[1]quests!$1:$1,0)-MATCH($C$1,[1]quests!$1:$1,0)+1),MATCH(E$1,[1]quests!$1:$1,0)-MATCH($C$1,[1]quests!$1:$1,0)+1,FALSE)</f>
        <v>火曜クエスト</v>
      </c>
      <c r="F184" s="5">
        <v>3</v>
      </c>
      <c r="G184" s="3" t="str">
        <f ca="1">VLOOKUP($C184&amp;"_"&amp;$F184,OFFSET([1]stages!$A$1,0,0,COUNTA([1]stages!$A:$A),MATCH(G$1,[1]stages!$2:$2,0)-MATCH("temp_stage",[1]stages!$2:$2,0)+1),MATCH(G$1,[1]stages!$2:$2,0)-MATCH("temp_stage",[1]stages!$2:$2,0)+1,FALSE)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4" s="3" t="str">
        <f ca="1">VLOOKUP($C184&amp;"_"&amp;$F184,OFFSET([1]stages!$A$1,0,0,COUNTA([1]stages!$A:$A),MATCH(H$1,[1]stages!$2:$2,0)-MATCH("temp_stage",[1]stages!$2:$2,0)+1),MATCH(H$1,[1]stages!$2:$2,0)-MATCH("temp_stage",[1]stages!$2:$2,0)+1,FALSE)</f>
        <v>火曜クエスト</v>
      </c>
      <c r="I184" s="18">
        <v>0</v>
      </c>
      <c r="J184" s="5">
        <f>COUNTIF(C$1:C184,C184)</f>
        <v>18</v>
      </c>
      <c r="K184" s="34">
        <v>22</v>
      </c>
      <c r="L184" s="5" t="s">
        <v>17</v>
      </c>
      <c r="M184" s="38" t="str">
        <f>VLOOKUP(K184,[2]stage_hints!$A:$C,3,FALSE)</f>
        <v>フィーバーで一発逆転（その1）</v>
      </c>
      <c r="N184" s="39" t="str">
        <f>VLOOKUP(K184,[2]stage_hints!$A:$D,4,FALSE)</f>
        <v>フィーバーは攻撃と回復を兼ね備えます
ピンチからの一発逆転を狙いましょう</v>
      </c>
      <c r="O184" s="20" t="s">
        <v>24</v>
      </c>
      <c r="P184">
        <v>22</v>
      </c>
    </row>
    <row r="185" spans="1:16" x14ac:dyDescent="0.15">
      <c r="A185" s="27" t="str">
        <f t="shared" si="36"/>
        <v>11102_3_19</v>
      </c>
      <c r="B185" s="25" t="s">
        <v>34</v>
      </c>
      <c r="C185" s="4">
        <v>11102</v>
      </c>
      <c r="D185" s="3" t="str">
        <f ca="1">VLOOKUP($C185,OFFSET([1]quests!$A$1,0,0,COUNTA([1]quests!$A:$A),MATCH(D$1,[1]quests!$1:$1,0)-MATCH($C$1,[1]quests!$1:$1,0)+1),MATCH(D$1,[1]quests!$1:$1,0)-MATCH($C$1,[1]quests!$1:$1,0)+1,FALSE)</f>
        <v>【期間限定】 赤の素材</v>
      </c>
      <c r="E185" s="3" t="str">
        <f ca="1">VLOOKUP($C185,OFFSET([1]quests!$A$1,0,0,COUNTA([1]quests!$A:$A),MATCH(E$1,[1]quests!$1:$1,0)-MATCH($C$1,[1]quests!$1:$1,0)+1),MATCH(E$1,[1]quests!$1:$1,0)-MATCH($C$1,[1]quests!$1:$1,0)+1,FALSE)</f>
        <v>火曜クエスト</v>
      </c>
      <c r="F185" s="5">
        <v>3</v>
      </c>
      <c r="G185" s="3" t="str">
        <f ca="1">VLOOKUP($C185&amp;"_"&amp;$F185,OFFSET([1]stages!$A$1,0,0,COUNTA([1]stages!$A:$A),MATCH(G$1,[1]stages!$2:$2,0)-MATCH("temp_stage",[1]stages!$2:$2,0)+1),MATCH(G$1,[1]stages!$2:$2,0)-MATCH("temp_stage",[1]stages!$2:$2,0)+1,FALSE)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5" s="3" t="str">
        <f ca="1">VLOOKUP($C185&amp;"_"&amp;$F185,OFFSET([1]stages!$A$1,0,0,COUNTA([1]stages!$A:$A),MATCH(H$1,[1]stages!$2:$2,0)-MATCH("temp_stage",[1]stages!$2:$2,0)+1),MATCH(H$1,[1]stages!$2:$2,0)-MATCH("temp_stage",[1]stages!$2:$2,0)+1,FALSE)</f>
        <v>火曜クエスト</v>
      </c>
      <c r="I185" s="18">
        <v>0</v>
      </c>
      <c r="J185" s="5">
        <f>COUNTIF(C$1:C185,C185)</f>
        <v>19</v>
      </c>
      <c r="K185" s="34">
        <v>23</v>
      </c>
      <c r="L185" s="5" t="s">
        <v>17</v>
      </c>
      <c r="M185" s="38" t="str">
        <f>VLOOKUP(K185,[2]stage_hints!$A:$C,3,FALSE)</f>
        <v>フィーバーで一発逆転（その2）</v>
      </c>
      <c r="N185" s="39" t="str">
        <f>VLOOKUP(K185,[2]stage_hints!$A:$D,4,FALSE)</f>
        <v>フィーバー中は虹色のボムパネルを狙って
画面上のパネルを一気に破壊しましょう</v>
      </c>
      <c r="O185" s="20" t="s">
        <v>24</v>
      </c>
      <c r="P185">
        <v>23</v>
      </c>
    </row>
    <row r="186" spans="1:16" x14ac:dyDescent="0.15">
      <c r="A186" s="27" t="str">
        <f t="shared" si="36"/>
        <v>11102_3_20</v>
      </c>
      <c r="B186" s="25" t="s">
        <v>34</v>
      </c>
      <c r="C186" s="4">
        <v>11102</v>
      </c>
      <c r="D186" s="3" t="str">
        <f ca="1">VLOOKUP($C186,OFFSET([1]quests!$A$1,0,0,COUNTA([1]quests!$A:$A),MATCH(D$1,[1]quests!$1:$1,0)-MATCH($C$1,[1]quests!$1:$1,0)+1),MATCH(D$1,[1]quests!$1:$1,0)-MATCH($C$1,[1]quests!$1:$1,0)+1,FALSE)</f>
        <v>【期間限定】 赤の素材</v>
      </c>
      <c r="E186" s="3" t="str">
        <f ca="1">VLOOKUP($C186,OFFSET([1]quests!$A$1,0,0,COUNTA([1]quests!$A:$A),MATCH(E$1,[1]quests!$1:$1,0)-MATCH($C$1,[1]quests!$1:$1,0)+1),MATCH(E$1,[1]quests!$1:$1,0)-MATCH($C$1,[1]quests!$1:$1,0)+1,FALSE)</f>
        <v>火曜クエスト</v>
      </c>
      <c r="F186" s="5">
        <v>3</v>
      </c>
      <c r="G186" s="3" t="str">
        <f ca="1">VLOOKUP($C186&amp;"_"&amp;$F186,OFFSET([1]stages!$A$1,0,0,COUNTA([1]stages!$A:$A),MATCH(G$1,[1]stages!$2:$2,0)-MATCH("temp_stage",[1]stages!$2:$2,0)+1),MATCH(G$1,[1]stages!$2:$2,0)-MATCH("temp_stage",[1]stages!$2:$2,0)+1,FALSE)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6" s="3" t="str">
        <f ca="1">VLOOKUP($C186&amp;"_"&amp;$F186,OFFSET([1]stages!$A$1,0,0,COUNTA([1]stages!$A:$A),MATCH(H$1,[1]stages!$2:$2,0)-MATCH("temp_stage",[1]stages!$2:$2,0)+1),MATCH(H$1,[1]stages!$2:$2,0)-MATCH("temp_stage",[1]stages!$2:$2,0)+1,FALSE)</f>
        <v>火曜クエスト</v>
      </c>
      <c r="I186" s="18">
        <v>0</v>
      </c>
      <c r="J186" s="5">
        <f>COUNTIF(C$1:C186,C186)</f>
        <v>20</v>
      </c>
      <c r="K186" s="34">
        <v>24</v>
      </c>
      <c r="L186" s="5" t="s">
        <v>17</v>
      </c>
      <c r="M186" s="38" t="str">
        <f>VLOOKUP(K186,[2]stage_hints!$A:$C,3,FALSE)</f>
        <v>りんごを使って限界突破</v>
      </c>
      <c r="N186" s="39" t="str">
        <f>VLOOKUP(K186,[2]stage_hints!$A:$D,4,FALSE)</f>
        <v>赤りんご(攻撃力) 青りんご(回復力)
緑りんご(体力)をユニット強化に使うと
ステータスが限界突破します（計99個迄）</v>
      </c>
      <c r="O186" s="20" t="s">
        <v>24</v>
      </c>
      <c r="P186">
        <v>24</v>
      </c>
    </row>
    <row r="187" spans="1:16" x14ac:dyDescent="0.15">
      <c r="A187" s="27" t="str">
        <f t="shared" si="36"/>
        <v>11102_3_21</v>
      </c>
      <c r="B187" s="25" t="s">
        <v>34</v>
      </c>
      <c r="C187" s="4">
        <v>11102</v>
      </c>
      <c r="D187" s="3" t="str">
        <f ca="1">VLOOKUP($C187,OFFSET([1]quests!$A$1,0,0,COUNTA([1]quests!$A:$A),MATCH(D$1,[1]quests!$1:$1,0)-MATCH($C$1,[1]quests!$1:$1,0)+1),MATCH(D$1,[1]quests!$1:$1,0)-MATCH($C$1,[1]quests!$1:$1,0)+1,FALSE)</f>
        <v>【期間限定】 赤の素材</v>
      </c>
      <c r="E187" s="3" t="str">
        <f ca="1">VLOOKUP($C187,OFFSET([1]quests!$A$1,0,0,COUNTA([1]quests!$A:$A),MATCH(E$1,[1]quests!$1:$1,0)-MATCH($C$1,[1]quests!$1:$1,0)+1),MATCH(E$1,[1]quests!$1:$1,0)-MATCH($C$1,[1]quests!$1:$1,0)+1,FALSE)</f>
        <v>火曜クエスト</v>
      </c>
      <c r="F187" s="5">
        <v>3</v>
      </c>
      <c r="G187" s="3" t="str">
        <f ca="1">VLOOKUP($C187&amp;"_"&amp;$F187,OFFSET([1]stages!$A$1,0,0,COUNTA([1]stages!$A:$A),MATCH(G$1,[1]stages!$2:$2,0)-MATCH("temp_stage",[1]stages!$2:$2,0)+1),MATCH(G$1,[1]stages!$2:$2,0)-MATCH("temp_stage",[1]stages!$2:$2,0)+1,FALSE)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7" s="3" t="str">
        <f ca="1">VLOOKUP($C187&amp;"_"&amp;$F187,OFFSET([1]stages!$A$1,0,0,COUNTA([1]stages!$A:$A),MATCH(H$1,[1]stages!$2:$2,0)-MATCH("temp_stage",[1]stages!$2:$2,0)+1),MATCH(H$1,[1]stages!$2:$2,0)-MATCH("temp_stage",[1]stages!$2:$2,0)+1,FALSE)</f>
        <v>火曜クエスト</v>
      </c>
      <c r="I187" s="18">
        <v>0</v>
      </c>
      <c r="J187" s="5">
        <f>COUNTIF(C$1:C187,C187)</f>
        <v>21</v>
      </c>
      <c r="K187" s="34">
        <v>25</v>
      </c>
      <c r="L187" s="5" t="s">
        <v>17</v>
      </c>
      <c r="M187" s="38" t="str">
        <f>VLOOKUP(K187,[2]stage_hints!$A:$C,3,FALSE)</f>
        <v>スキルレベルアップ</v>
      </c>
      <c r="N187" s="39" t="str">
        <f>VLOOKUP(K187,[2]stage_hints!$A:$D,4,FALSE)</f>
        <v>「クリスタルのりんご」を強化に使うと
スキルレベルを上げることができます</v>
      </c>
      <c r="O187" s="20" t="s">
        <v>24</v>
      </c>
      <c r="P187">
        <v>25</v>
      </c>
    </row>
    <row r="188" spans="1:16" x14ac:dyDescent="0.15">
      <c r="A188" s="27" t="str">
        <f t="shared" si="36"/>
        <v>11102_3_22</v>
      </c>
      <c r="B188" s="25" t="s">
        <v>34</v>
      </c>
      <c r="C188" s="4">
        <v>11102</v>
      </c>
      <c r="D188" s="3" t="str">
        <f ca="1">VLOOKUP($C188,OFFSET([1]quests!$A$1,0,0,COUNTA([1]quests!$A:$A),MATCH(D$1,[1]quests!$1:$1,0)-MATCH($C$1,[1]quests!$1:$1,0)+1),MATCH(D$1,[1]quests!$1:$1,0)-MATCH($C$1,[1]quests!$1:$1,0)+1,FALSE)</f>
        <v>【期間限定】 赤の素材</v>
      </c>
      <c r="E188" s="3" t="str">
        <f ca="1">VLOOKUP($C188,OFFSET([1]quests!$A$1,0,0,COUNTA([1]quests!$A:$A),MATCH(E$1,[1]quests!$1:$1,0)-MATCH($C$1,[1]quests!$1:$1,0)+1),MATCH(E$1,[1]quests!$1:$1,0)-MATCH($C$1,[1]quests!$1:$1,0)+1,FALSE)</f>
        <v>火曜クエスト</v>
      </c>
      <c r="F188" s="5">
        <v>3</v>
      </c>
      <c r="G188" s="3" t="str">
        <f ca="1">VLOOKUP($C188&amp;"_"&amp;$F188,OFFSET([1]stages!$A$1,0,0,COUNTA([1]stages!$A:$A),MATCH(G$1,[1]stages!$2:$2,0)-MATCH("temp_stage",[1]stages!$2:$2,0)+1),MATCH(G$1,[1]stages!$2:$2,0)-MATCH("temp_stage",[1]stages!$2:$2,0)+1,FALSE)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8" s="3" t="str">
        <f ca="1">VLOOKUP($C188&amp;"_"&amp;$F188,OFFSET([1]stages!$A$1,0,0,COUNTA([1]stages!$A:$A),MATCH(H$1,[1]stages!$2:$2,0)-MATCH("temp_stage",[1]stages!$2:$2,0)+1),MATCH(H$1,[1]stages!$2:$2,0)-MATCH("temp_stage",[1]stages!$2:$2,0)+1,FALSE)</f>
        <v>火曜クエスト</v>
      </c>
      <c r="I188" s="18">
        <v>0</v>
      </c>
      <c r="J188" s="5">
        <f>COUNTIF(C$1:C188,C188)</f>
        <v>22</v>
      </c>
      <c r="K188" s="34">
        <v>26</v>
      </c>
      <c r="L188" s="5" t="s">
        <v>17</v>
      </c>
      <c r="M188" s="38" t="str">
        <f>VLOOKUP(K188,[2]stage_hints!$A:$C,3,FALSE)</f>
        <v>スキルレベルの効果</v>
      </c>
      <c r="N188" s="39" t="str">
        <f>VLOOKUP(K188,[2]stage_hints!$A:$D,4,FALSE)</f>
        <v>スキルレベルが上がると
短いターンでスキルを使うことができます</v>
      </c>
      <c r="O188" s="20" t="s">
        <v>24</v>
      </c>
      <c r="P188">
        <v>26</v>
      </c>
    </row>
    <row r="189" spans="1:16" x14ac:dyDescent="0.15">
      <c r="A189" s="27" t="str">
        <f t="shared" si="36"/>
        <v>11102_3_23</v>
      </c>
      <c r="B189" s="25" t="s">
        <v>34</v>
      </c>
      <c r="C189" s="4">
        <v>11102</v>
      </c>
      <c r="D189" s="3" t="str">
        <f ca="1">VLOOKUP($C189,OFFSET([1]quests!$A$1,0,0,COUNTA([1]quests!$A:$A),MATCH(D$1,[1]quests!$1:$1,0)-MATCH($C$1,[1]quests!$1:$1,0)+1),MATCH(D$1,[1]quests!$1:$1,0)-MATCH($C$1,[1]quests!$1:$1,0)+1,FALSE)</f>
        <v>【期間限定】 赤の素材</v>
      </c>
      <c r="E189" s="3" t="str">
        <f ca="1">VLOOKUP($C189,OFFSET([1]quests!$A$1,0,0,COUNTA([1]quests!$A:$A),MATCH(E$1,[1]quests!$1:$1,0)-MATCH($C$1,[1]quests!$1:$1,0)+1),MATCH(E$1,[1]quests!$1:$1,0)-MATCH($C$1,[1]quests!$1:$1,0)+1,FALSE)</f>
        <v>火曜クエスト</v>
      </c>
      <c r="F189" s="5">
        <v>3</v>
      </c>
      <c r="G189" s="3" t="str">
        <f ca="1">VLOOKUP($C189&amp;"_"&amp;$F189,OFFSET([1]stages!$A$1,0,0,COUNTA([1]stages!$A:$A),MATCH(G$1,[1]stages!$2:$2,0)-MATCH("temp_stage",[1]stages!$2:$2,0)+1),MATCH(G$1,[1]stages!$2:$2,0)-MATCH("temp_stage",[1]stages!$2:$2,0)+1,FALSE)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89" s="3" t="str">
        <f ca="1">VLOOKUP($C189&amp;"_"&amp;$F189,OFFSET([1]stages!$A$1,0,0,COUNTA([1]stages!$A:$A),MATCH(H$1,[1]stages!$2:$2,0)-MATCH("temp_stage",[1]stages!$2:$2,0)+1),MATCH(H$1,[1]stages!$2:$2,0)-MATCH("temp_stage",[1]stages!$2:$2,0)+1,FALSE)</f>
        <v>火曜クエスト</v>
      </c>
      <c r="I189" s="18">
        <v>0</v>
      </c>
      <c r="J189" s="5">
        <f>COUNTIF(C$1:C189,C189)</f>
        <v>23</v>
      </c>
      <c r="K189" s="34">
        <v>27</v>
      </c>
      <c r="L189" s="5" t="s">
        <v>17</v>
      </c>
      <c r="M189" s="38" t="str">
        <f>VLOOKUP(K189,[2]stage_hints!$A:$C,3,FALSE)</f>
        <v>ホーム画面からデッキを編成</v>
      </c>
      <c r="N189" s="39" t="str">
        <f>VLOOKUP(K189,[2]stage_hints!$A:$D,4,FALSE)</f>
        <v>ホーム画面でユニットを長押しすると
すぐにパーティ編成に移動できます</v>
      </c>
      <c r="O189" s="20" t="s">
        <v>24</v>
      </c>
      <c r="P189">
        <v>27</v>
      </c>
    </row>
    <row r="190" spans="1:16" x14ac:dyDescent="0.15">
      <c r="A190" s="27" t="str">
        <f t="shared" si="36"/>
        <v>11102_3_24</v>
      </c>
      <c r="B190" s="25" t="s">
        <v>34</v>
      </c>
      <c r="C190" s="4">
        <v>11102</v>
      </c>
      <c r="D190" s="3" t="str">
        <f ca="1">VLOOKUP($C190,OFFSET([1]quests!$A$1,0,0,COUNTA([1]quests!$A:$A),MATCH(D$1,[1]quests!$1:$1,0)-MATCH($C$1,[1]quests!$1:$1,0)+1),MATCH(D$1,[1]quests!$1:$1,0)-MATCH($C$1,[1]quests!$1:$1,0)+1,FALSE)</f>
        <v>【期間限定】 赤の素材</v>
      </c>
      <c r="E190" s="3" t="str">
        <f ca="1">VLOOKUP($C190,OFFSET([1]quests!$A$1,0,0,COUNTA([1]quests!$A:$A),MATCH(E$1,[1]quests!$1:$1,0)-MATCH($C$1,[1]quests!$1:$1,0)+1),MATCH(E$1,[1]quests!$1:$1,0)-MATCH($C$1,[1]quests!$1:$1,0)+1,FALSE)</f>
        <v>火曜クエスト</v>
      </c>
      <c r="F190" s="5">
        <v>3</v>
      </c>
      <c r="G190" s="3" t="str">
        <f ca="1">VLOOKUP($C190&amp;"_"&amp;$F190,OFFSET([1]stages!$A$1,0,0,COUNTA([1]stages!$A:$A),MATCH(G$1,[1]stages!$2:$2,0)-MATCH("temp_stage",[1]stages!$2:$2,0)+1),MATCH(G$1,[1]stages!$2:$2,0)-MATCH("temp_stage",[1]stages!$2:$2,0)+1,FALSE)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0" s="3" t="str">
        <f ca="1">VLOOKUP($C190&amp;"_"&amp;$F190,OFFSET([1]stages!$A$1,0,0,COUNTA([1]stages!$A:$A),MATCH(H$1,[1]stages!$2:$2,0)-MATCH("temp_stage",[1]stages!$2:$2,0)+1),MATCH(H$1,[1]stages!$2:$2,0)-MATCH("temp_stage",[1]stages!$2:$2,0)+1,FALSE)</f>
        <v>火曜クエスト</v>
      </c>
      <c r="I190" s="18">
        <v>0</v>
      </c>
      <c r="J190" s="5">
        <f>COUNTIF(C$1:C190,C190)</f>
        <v>24</v>
      </c>
      <c r="K190" s="34">
        <v>28</v>
      </c>
      <c r="L190" s="5" t="s">
        <v>17</v>
      </c>
      <c r="M190" s="38" t="str">
        <f>VLOOKUP(K190,[2]stage_hints!$A:$C,3,FALSE)</f>
        <v>ステータス情報は長押しで</v>
      </c>
      <c r="N190" s="39" t="str">
        <f>VLOOKUP(K190,[2]stage_hints!$A:$D,4,FALSE)</f>
        <v>ユニットのアイコンを長押しすると
ステータス情報を確認することができます</v>
      </c>
      <c r="O190" s="20" t="s">
        <v>24</v>
      </c>
      <c r="P190">
        <v>28</v>
      </c>
    </row>
    <row r="191" spans="1:16" x14ac:dyDescent="0.15">
      <c r="A191" s="27" t="str">
        <f t="shared" ref="A191:A194" si="37">C191&amp;"_"&amp;F191&amp;"_"&amp;J191</f>
        <v>11102_3_25</v>
      </c>
      <c r="B191" s="25" t="s">
        <v>34</v>
      </c>
      <c r="C191" s="4">
        <v>11102</v>
      </c>
      <c r="D191" s="3" t="str">
        <f ca="1">VLOOKUP($C191,OFFSET([1]quests!$A$1,0,0,COUNTA([1]quests!$A:$A),MATCH(D$1,[1]quests!$1:$1,0)-MATCH($C$1,[1]quests!$1:$1,0)+1),MATCH(D$1,[1]quests!$1:$1,0)-MATCH($C$1,[1]quests!$1:$1,0)+1,FALSE)</f>
        <v>【期間限定】 赤の素材</v>
      </c>
      <c r="E191" s="3" t="str">
        <f ca="1">VLOOKUP($C191,OFFSET([1]quests!$A$1,0,0,COUNTA([1]quests!$A:$A),MATCH(E$1,[1]quests!$1:$1,0)-MATCH($C$1,[1]quests!$1:$1,0)+1),MATCH(E$1,[1]quests!$1:$1,0)-MATCH($C$1,[1]quests!$1:$1,0)+1,FALSE)</f>
        <v>火曜クエスト</v>
      </c>
      <c r="F191" s="5">
        <v>3</v>
      </c>
      <c r="G191" s="3" t="str">
        <f ca="1">VLOOKUP($C191&amp;"_"&amp;$F191,OFFSET([1]stages!$A$1,0,0,COUNTA([1]stages!$A:$A),MATCH(G$1,[1]stages!$2:$2,0)-MATCH("temp_stage",[1]stages!$2:$2,0)+1),MATCH(G$1,[1]stages!$2:$2,0)-MATCH("temp_stage",[1]stages!$2:$2,0)+1,FALSE)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1" s="3" t="str">
        <f ca="1">VLOOKUP($C191&amp;"_"&amp;$F191,OFFSET([1]stages!$A$1,0,0,COUNTA([1]stages!$A:$A),MATCH(H$1,[1]stages!$2:$2,0)-MATCH("temp_stage",[1]stages!$2:$2,0)+1),MATCH(H$1,[1]stages!$2:$2,0)-MATCH("temp_stage",[1]stages!$2:$2,0)+1,FALSE)</f>
        <v>火曜クエスト</v>
      </c>
      <c r="I191" s="18">
        <v>0</v>
      </c>
      <c r="J191" s="5">
        <f>COUNTIF(C$1:C191,C191)</f>
        <v>25</v>
      </c>
      <c r="K191" s="34">
        <v>29</v>
      </c>
      <c r="L191" s="5" t="s">
        <v>17</v>
      </c>
      <c r="M191" s="38" t="str">
        <f>VLOOKUP(K191,[2]stage_hints!$A:$C,3,FALSE)</f>
        <v>「バグ」のメリット</v>
      </c>
      <c r="N191" s="39" t="str">
        <f>VLOOKUP(K191,[2]stage_hints!$A:$D,4,FALSE)</f>
        <v>ユニットの「バグ」を増やすと
報酬をもらえる確率がアップします</v>
      </c>
      <c r="O191" s="20" t="s">
        <v>24</v>
      </c>
      <c r="P191">
        <v>29</v>
      </c>
    </row>
    <row r="192" spans="1:16" x14ac:dyDescent="0.15">
      <c r="A192" s="27" t="str">
        <f t="shared" si="37"/>
        <v>11102_3_26</v>
      </c>
      <c r="B192" s="25" t="s">
        <v>34</v>
      </c>
      <c r="C192" s="4">
        <v>11102</v>
      </c>
      <c r="D192" s="3" t="str">
        <f ca="1">VLOOKUP($C192,OFFSET([1]quests!$A$1,0,0,COUNTA([1]quests!$A:$A),MATCH(D$1,[1]quests!$1:$1,0)-MATCH($C$1,[1]quests!$1:$1,0)+1),MATCH(D$1,[1]quests!$1:$1,0)-MATCH($C$1,[1]quests!$1:$1,0)+1,FALSE)</f>
        <v>【期間限定】 赤の素材</v>
      </c>
      <c r="E192" s="3" t="str">
        <f ca="1">VLOOKUP($C192,OFFSET([1]quests!$A$1,0,0,COUNTA([1]quests!$A:$A),MATCH(E$1,[1]quests!$1:$1,0)-MATCH($C$1,[1]quests!$1:$1,0)+1),MATCH(E$1,[1]quests!$1:$1,0)-MATCH($C$1,[1]quests!$1:$1,0)+1,FALSE)</f>
        <v>火曜クエスト</v>
      </c>
      <c r="F192" s="5">
        <v>3</v>
      </c>
      <c r="G192" s="3" t="str">
        <f ca="1">VLOOKUP($C192&amp;"_"&amp;$F192,OFFSET([1]stages!$A$1,0,0,COUNTA([1]stages!$A:$A),MATCH(G$1,[1]stages!$2:$2,0)-MATCH("temp_stage",[1]stages!$2:$2,0)+1),MATCH(G$1,[1]stages!$2:$2,0)-MATCH("temp_stage",[1]stages!$2:$2,0)+1,FALSE)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2" s="3" t="str">
        <f ca="1">VLOOKUP($C192&amp;"_"&amp;$F192,OFFSET([1]stages!$A$1,0,0,COUNTA([1]stages!$A:$A),MATCH(H$1,[1]stages!$2:$2,0)-MATCH("temp_stage",[1]stages!$2:$2,0)+1),MATCH(H$1,[1]stages!$2:$2,0)-MATCH("temp_stage",[1]stages!$2:$2,0)+1,FALSE)</f>
        <v>火曜クエスト</v>
      </c>
      <c r="I192" s="18">
        <v>0</v>
      </c>
      <c r="J192" s="5">
        <f>COUNTIF(C$1:C192,C192)</f>
        <v>26</v>
      </c>
      <c r="K192" s="34">
        <v>30</v>
      </c>
      <c r="L192" s="5" t="s">
        <v>17</v>
      </c>
      <c r="M192" s="38" t="str">
        <f>VLOOKUP(K192,[2]stage_hints!$A:$C,3,FALSE)</f>
        <v>「バグ」の増やし方</v>
      </c>
      <c r="N192" s="39" t="str">
        <f>VLOOKUP(K192,[2]stage_hints!$A:$D,4,FALSE)</f>
        <v>同じユニット同士を強化で合成すると
「バグ」を増やすことができます</v>
      </c>
      <c r="O192" s="20" t="s">
        <v>24</v>
      </c>
      <c r="P192">
        <v>30</v>
      </c>
    </row>
    <row r="193" spans="1:16" x14ac:dyDescent="0.15">
      <c r="A193" s="27" t="str">
        <f t="shared" si="37"/>
        <v>11102_3_27</v>
      </c>
      <c r="B193" s="25" t="s">
        <v>34</v>
      </c>
      <c r="C193" s="4">
        <v>11102</v>
      </c>
      <c r="D193" s="3" t="str">
        <f ca="1">VLOOKUP($C193,OFFSET([1]quests!$A$1,0,0,COUNTA([1]quests!$A:$A),MATCH(D$1,[1]quests!$1:$1,0)-MATCH($C$1,[1]quests!$1:$1,0)+1),MATCH(D$1,[1]quests!$1:$1,0)-MATCH($C$1,[1]quests!$1:$1,0)+1,FALSE)</f>
        <v>【期間限定】 赤の素材</v>
      </c>
      <c r="E193" s="3" t="str">
        <f ca="1">VLOOKUP($C193,OFFSET([1]quests!$A$1,0,0,COUNTA([1]quests!$A:$A),MATCH(E$1,[1]quests!$1:$1,0)-MATCH($C$1,[1]quests!$1:$1,0)+1),MATCH(E$1,[1]quests!$1:$1,0)-MATCH($C$1,[1]quests!$1:$1,0)+1,FALSE)</f>
        <v>火曜クエスト</v>
      </c>
      <c r="F193" s="5">
        <v>3</v>
      </c>
      <c r="G193" s="3" t="str">
        <f ca="1">VLOOKUP($C193&amp;"_"&amp;$F193,OFFSET([1]stages!$A$1,0,0,COUNTA([1]stages!$A:$A),MATCH(G$1,[1]stages!$2:$2,0)-MATCH("temp_stage",[1]stages!$2:$2,0)+1),MATCH(G$1,[1]stages!$2:$2,0)-MATCH("temp_stage",[1]stages!$2:$2,0)+1,FALSE)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3" s="3" t="str">
        <f ca="1">VLOOKUP($C193&amp;"_"&amp;$F193,OFFSET([1]stages!$A$1,0,0,COUNTA([1]stages!$A:$A),MATCH(H$1,[1]stages!$2:$2,0)-MATCH("temp_stage",[1]stages!$2:$2,0)+1),MATCH(H$1,[1]stages!$2:$2,0)-MATCH("temp_stage",[1]stages!$2:$2,0)+1,FALSE)</f>
        <v>火曜クエスト</v>
      </c>
      <c r="I193" s="18">
        <v>0</v>
      </c>
      <c r="J193" s="5">
        <f>COUNTIF(C$1:C193,C193)</f>
        <v>27</v>
      </c>
      <c r="K193" s="34">
        <v>31</v>
      </c>
      <c r="L193" s="5" t="s">
        <v>17</v>
      </c>
      <c r="M193" s="38" t="str">
        <f>VLOOKUP(K193,[2]stage_hints!$A:$C,3,FALSE)</f>
        <v>イベントはお知らせでチェック</v>
      </c>
      <c r="N193" s="39" t="str">
        <f>VLOOKUP(K193,[2]stage_hints!$A:$D,4,FALSE)</f>
        <v>イベント限定ユニットを取り忘れないように
お知らせをこまめにチェックしましょう</v>
      </c>
      <c r="O193" s="20" t="s">
        <v>24</v>
      </c>
      <c r="P193">
        <v>31</v>
      </c>
    </row>
    <row r="194" spans="1:16" x14ac:dyDescent="0.15">
      <c r="A194" s="27" t="str">
        <f t="shared" si="37"/>
        <v>11102_3_28</v>
      </c>
      <c r="B194" s="25" t="s">
        <v>34</v>
      </c>
      <c r="C194" s="4">
        <v>11102</v>
      </c>
      <c r="D194" s="3" t="str">
        <f ca="1">VLOOKUP($C194,OFFSET([1]quests!$A$1,0,0,COUNTA([1]quests!$A:$A),MATCH(D$1,[1]quests!$1:$1,0)-MATCH($C$1,[1]quests!$1:$1,0)+1),MATCH(D$1,[1]quests!$1:$1,0)-MATCH($C$1,[1]quests!$1:$1,0)+1,FALSE)</f>
        <v>【期間限定】 赤の素材</v>
      </c>
      <c r="E194" s="3" t="str">
        <f ca="1">VLOOKUP($C194,OFFSET([1]quests!$A$1,0,0,COUNTA([1]quests!$A:$A),MATCH(E$1,[1]quests!$1:$1,0)-MATCH($C$1,[1]quests!$1:$1,0)+1),MATCH(E$1,[1]quests!$1:$1,0)-MATCH($C$1,[1]quests!$1:$1,0)+1,FALSE)</f>
        <v>火曜クエスト</v>
      </c>
      <c r="F194" s="5">
        <v>3</v>
      </c>
      <c r="G194" s="3" t="str">
        <f ca="1">VLOOKUP($C194&amp;"_"&amp;$F194,OFFSET([1]stages!$A$1,0,0,COUNTA([1]stages!$A:$A),MATCH(G$1,[1]stages!$2:$2,0)-MATCH("temp_stage",[1]stages!$2:$2,0)+1),MATCH(G$1,[1]stages!$2:$2,0)-MATCH("temp_stage",[1]stages!$2:$2,0)+1,FALSE)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4" s="3" t="str">
        <f ca="1">VLOOKUP($C194&amp;"_"&amp;$F194,OFFSET([1]stages!$A$1,0,0,COUNTA([1]stages!$A:$A),MATCH(H$1,[1]stages!$2:$2,0)-MATCH("temp_stage",[1]stages!$2:$2,0)+1),MATCH(H$1,[1]stages!$2:$2,0)-MATCH("temp_stage",[1]stages!$2:$2,0)+1,FALSE)</f>
        <v>火曜クエスト</v>
      </c>
      <c r="I194" s="18">
        <v>0</v>
      </c>
      <c r="J194" s="5">
        <f>COUNTIF(C$1:C194,C194)</f>
        <v>28</v>
      </c>
      <c r="K194" s="34">
        <v>32</v>
      </c>
      <c r="L194" s="5" t="s">
        <v>17</v>
      </c>
      <c r="M194" s="38" t="str">
        <f>VLOOKUP(K194,[2]stage_hints!$A:$C,3,FALSE)</f>
        <v>敵の連続攻撃には</v>
      </c>
      <c r="N194" s="39" t="str">
        <f>VLOOKUP(K194,[2]stage_hints!$A:$D,4,FALSE)</f>
        <v>カウンタースキルを持つユニットがいれば
ダメージ回数分の反撃ができます</v>
      </c>
      <c r="O194" s="20" t="s">
        <v>24</v>
      </c>
      <c r="P194">
        <v>32</v>
      </c>
    </row>
    <row r="195" spans="1:16" x14ac:dyDescent="0.15">
      <c r="A195" s="27" t="str">
        <f t="shared" ref="A195:A196" si="38">C195&amp;"_"&amp;F195&amp;"_"&amp;J195</f>
        <v>11102_3_29</v>
      </c>
      <c r="B195" s="25" t="s">
        <v>34</v>
      </c>
      <c r="C195" s="4">
        <v>11102</v>
      </c>
      <c r="D195" s="3" t="str">
        <f ca="1">VLOOKUP($C195,OFFSET([1]quests!$A$1,0,0,COUNTA([1]quests!$A:$A),MATCH(D$1,[1]quests!$1:$1,0)-MATCH($C$1,[1]quests!$1:$1,0)+1),MATCH(D$1,[1]quests!$1:$1,0)-MATCH($C$1,[1]quests!$1:$1,0)+1,FALSE)</f>
        <v>【期間限定】 赤の素材</v>
      </c>
      <c r="E195" s="3" t="str">
        <f ca="1">VLOOKUP($C195,OFFSET([1]quests!$A$1,0,0,COUNTA([1]quests!$A:$A),MATCH(E$1,[1]quests!$1:$1,0)-MATCH($C$1,[1]quests!$1:$1,0)+1),MATCH(E$1,[1]quests!$1:$1,0)-MATCH($C$1,[1]quests!$1:$1,0)+1,FALSE)</f>
        <v>火曜クエスト</v>
      </c>
      <c r="F195" s="5">
        <v>3</v>
      </c>
      <c r="G195" s="3" t="str">
        <f ca="1">VLOOKUP($C195&amp;"_"&amp;$F195,OFFSET([1]stages!$A$1,0,0,COUNTA([1]stages!$A:$A),MATCH(G$1,[1]stages!$2:$2,0)-MATCH("temp_stage",[1]stages!$2:$2,0)+1),MATCH(G$1,[1]stages!$2:$2,0)-MATCH("temp_stage",[1]stages!$2:$2,0)+1,FALSE)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5" s="3" t="str">
        <f ca="1">VLOOKUP($C195&amp;"_"&amp;$F195,OFFSET([1]stages!$A$1,0,0,COUNTA([1]stages!$A:$A),MATCH(H$1,[1]stages!$2:$2,0)-MATCH("temp_stage",[1]stages!$2:$2,0)+1),MATCH(H$1,[1]stages!$2:$2,0)-MATCH("temp_stage",[1]stages!$2:$2,0)+1,FALSE)</f>
        <v>火曜クエスト</v>
      </c>
      <c r="I195" s="18">
        <v>0</v>
      </c>
      <c r="J195" s="5">
        <f>COUNTIF(C$1:C195,C195)</f>
        <v>29</v>
      </c>
      <c r="K195" s="34">
        <v>33</v>
      </c>
      <c r="L195" s="5" t="s">
        <v>17</v>
      </c>
      <c r="M195" s="38" t="str">
        <f>VLOOKUP(K195,[2]stage_hints!$A:$C,3,FALSE)</f>
        <v>敵のカウンター攻撃には</v>
      </c>
      <c r="N195" s="39" t="str">
        <f>VLOOKUP(K195,[2]stage_hints!$A:$D,4,FALSE)</f>
        <v>カウンターブレイクスキルを持っていれば
敵のカウンターを解除して攻撃ができます</v>
      </c>
      <c r="O195" s="20" t="s">
        <v>24</v>
      </c>
      <c r="P195">
        <v>33</v>
      </c>
    </row>
    <row r="196" spans="1:16" x14ac:dyDescent="0.15">
      <c r="A196" s="27" t="str">
        <f t="shared" si="38"/>
        <v>11102_3_30</v>
      </c>
      <c r="B196" s="25" t="s">
        <v>34</v>
      </c>
      <c r="C196" s="4">
        <v>11102</v>
      </c>
      <c r="D196" s="3" t="str">
        <f ca="1">VLOOKUP($C196,OFFSET([1]quests!$A$1,0,0,COUNTA([1]quests!$A:$A),MATCH(D$1,[1]quests!$1:$1,0)-MATCH($C$1,[1]quests!$1:$1,0)+1),MATCH(D$1,[1]quests!$1:$1,0)-MATCH($C$1,[1]quests!$1:$1,0)+1,FALSE)</f>
        <v>【期間限定】 赤の素材</v>
      </c>
      <c r="E196" s="3" t="str">
        <f ca="1">VLOOKUP($C196,OFFSET([1]quests!$A$1,0,0,COUNTA([1]quests!$A:$A),MATCH(E$1,[1]quests!$1:$1,0)-MATCH($C$1,[1]quests!$1:$1,0)+1),MATCH(E$1,[1]quests!$1:$1,0)-MATCH($C$1,[1]quests!$1:$1,0)+1,FALSE)</f>
        <v>火曜クエスト</v>
      </c>
      <c r="F196" s="5">
        <v>3</v>
      </c>
      <c r="G196" s="3" t="str">
        <f ca="1">VLOOKUP($C196&amp;"_"&amp;$F196,OFFSET([1]stages!$A$1,0,0,COUNTA([1]stages!$A:$A),MATCH(G$1,[1]stages!$2:$2,0)-MATCH("temp_stage",[1]stages!$2:$2,0)+1),MATCH(G$1,[1]stages!$2:$2,0)-MATCH("temp_stage",[1]stages!$2:$2,0)+1,FALSE)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6" s="3" t="str">
        <f ca="1">VLOOKUP($C196&amp;"_"&amp;$F196,OFFSET([1]stages!$A$1,0,0,COUNTA([1]stages!$A:$A),MATCH(H$1,[1]stages!$2:$2,0)-MATCH("temp_stage",[1]stages!$2:$2,0)+1),MATCH(H$1,[1]stages!$2:$2,0)-MATCH("temp_stage",[1]stages!$2:$2,0)+1,FALSE)</f>
        <v>火曜クエスト</v>
      </c>
      <c r="I196" s="18">
        <v>0</v>
      </c>
      <c r="J196" s="5">
        <f>COUNTIF(C$1:C196,C196)</f>
        <v>30</v>
      </c>
      <c r="K196" s="34">
        <v>34</v>
      </c>
      <c r="L196" s="5" t="s">
        <v>17</v>
      </c>
      <c r="M196" s="38" t="str">
        <f>VLOOKUP(K196,[2]stage_hints!$A:$C,3,FALSE)</f>
        <v>ステータスをスキルで下げられたら</v>
      </c>
      <c r="N196" s="39" t="str">
        <f>VLOOKUP(K196,[2]stage_hints!$A:$D,4,FALSE)</f>
        <v>ステータスダウンのスキルを受けたら
ステータスアップスキルで上書きしましょう</v>
      </c>
      <c r="O196" s="20" t="s">
        <v>24</v>
      </c>
      <c r="P196">
        <v>34</v>
      </c>
    </row>
    <row r="197" spans="1:16" x14ac:dyDescent="0.15">
      <c r="A197" s="27" t="str">
        <f t="shared" ref="A197:A209" si="39">C197&amp;"_"&amp;F197&amp;"_"&amp;J197</f>
        <v>11102_3_31</v>
      </c>
      <c r="B197" s="25" t="s">
        <v>34</v>
      </c>
      <c r="C197" s="4">
        <v>11102</v>
      </c>
      <c r="D197" s="3" t="str">
        <f ca="1">VLOOKUP($C197,OFFSET([1]quests!$A$1,0,0,COUNTA([1]quests!$A:$A),MATCH(D$1,[1]quests!$1:$1,0)-MATCH($C$1,[1]quests!$1:$1,0)+1),MATCH(D$1,[1]quests!$1:$1,0)-MATCH($C$1,[1]quests!$1:$1,0)+1,FALSE)</f>
        <v>【期間限定】 赤の素材</v>
      </c>
      <c r="E197" s="3" t="str">
        <f ca="1">VLOOKUP($C197,OFFSET([1]quests!$A$1,0,0,COUNTA([1]quests!$A:$A),MATCH(E$1,[1]quests!$1:$1,0)-MATCH($C$1,[1]quests!$1:$1,0)+1),MATCH(E$1,[1]quests!$1:$1,0)-MATCH($C$1,[1]quests!$1:$1,0)+1,FALSE)</f>
        <v>火曜クエスト</v>
      </c>
      <c r="F197" s="5">
        <v>3</v>
      </c>
      <c r="G197" s="3" t="str">
        <f ca="1">VLOOKUP($C197&amp;"_"&amp;$F197,OFFSET([1]stages!$A$1,0,0,COUNTA([1]stages!$A:$A),MATCH(G$1,[1]stages!$2:$2,0)-MATCH("temp_stage",[1]stages!$2:$2,0)+1),MATCH(G$1,[1]stages!$2:$2,0)-MATCH("temp_stage",[1]stages!$2:$2,0)+1,FALSE)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7" s="3" t="str">
        <f ca="1">VLOOKUP($C197&amp;"_"&amp;$F197,OFFSET([1]stages!$A$1,0,0,COUNTA([1]stages!$A:$A),MATCH(H$1,[1]stages!$2:$2,0)-MATCH("temp_stage",[1]stages!$2:$2,0)+1),MATCH(H$1,[1]stages!$2:$2,0)-MATCH("temp_stage",[1]stages!$2:$2,0)+1,FALSE)</f>
        <v>火曜クエスト</v>
      </c>
      <c r="I197" s="18">
        <v>0</v>
      </c>
      <c r="J197" s="5">
        <f>COUNTIF(C$1:C197,C197)</f>
        <v>31</v>
      </c>
      <c r="K197" s="34">
        <v>35</v>
      </c>
      <c r="L197" s="5" t="s">
        <v>17</v>
      </c>
      <c r="M197" s="38" t="str">
        <f>VLOOKUP(K197,[2]stage_hints!$A:$C,3,FALSE)</f>
        <v>敵のステータスがスキルで上がったら</v>
      </c>
      <c r="N197" s="39" t="str">
        <f>VLOOKUP(K197,[2]stage_hints!$A:$D,4,FALSE)</f>
        <v>敵のステータスがスキルでアップしたときは
ステータスダウンスキルで上書きしましょう</v>
      </c>
      <c r="O197" s="20" t="s">
        <v>24</v>
      </c>
      <c r="P197">
        <v>35</v>
      </c>
    </row>
    <row r="198" spans="1:16" x14ac:dyDescent="0.15">
      <c r="A198" s="27" t="str">
        <f t="shared" si="39"/>
        <v>11102_3_32</v>
      </c>
      <c r="B198" s="25" t="s">
        <v>34</v>
      </c>
      <c r="C198" s="4">
        <v>11102</v>
      </c>
      <c r="D198" s="3" t="str">
        <f ca="1">VLOOKUP($C198,OFFSET([1]quests!$A$1,0,0,COUNTA([1]quests!$A:$A),MATCH(D$1,[1]quests!$1:$1,0)-MATCH($C$1,[1]quests!$1:$1,0)+1),MATCH(D$1,[1]quests!$1:$1,0)-MATCH($C$1,[1]quests!$1:$1,0)+1,FALSE)</f>
        <v>【期間限定】 赤の素材</v>
      </c>
      <c r="E198" s="3" t="str">
        <f ca="1">VLOOKUP($C198,OFFSET([1]quests!$A$1,0,0,COUNTA([1]quests!$A:$A),MATCH(E$1,[1]quests!$1:$1,0)-MATCH($C$1,[1]quests!$1:$1,0)+1),MATCH(E$1,[1]quests!$1:$1,0)-MATCH($C$1,[1]quests!$1:$1,0)+1,FALSE)</f>
        <v>火曜クエスト</v>
      </c>
      <c r="F198" s="5">
        <v>3</v>
      </c>
      <c r="G198" s="3" t="str">
        <f ca="1">VLOOKUP($C198&amp;"_"&amp;$F198,OFFSET([1]stages!$A$1,0,0,COUNTA([1]stages!$A:$A),MATCH(G$1,[1]stages!$2:$2,0)-MATCH("temp_stage",[1]stages!$2:$2,0)+1),MATCH(G$1,[1]stages!$2:$2,0)-MATCH("temp_stage",[1]stages!$2:$2,0)+1,FALSE)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8" s="3" t="str">
        <f ca="1">VLOOKUP($C198&amp;"_"&amp;$F198,OFFSET([1]stages!$A$1,0,0,COUNTA([1]stages!$A:$A),MATCH(H$1,[1]stages!$2:$2,0)-MATCH("temp_stage",[1]stages!$2:$2,0)+1),MATCH(H$1,[1]stages!$2:$2,0)-MATCH("temp_stage",[1]stages!$2:$2,0)+1,FALSE)</f>
        <v>火曜クエスト</v>
      </c>
      <c r="I198" s="18">
        <v>0</v>
      </c>
      <c r="J198" s="5">
        <f>COUNTIF(C$1:C198,C198)</f>
        <v>32</v>
      </c>
      <c r="K198" s="34">
        <v>36</v>
      </c>
      <c r="L198" s="5" t="s">
        <v>17</v>
      </c>
      <c r="M198" s="38" t="str">
        <f>VLOOKUP(K198,[2]stage_hints!$A:$C,3,FALSE)</f>
        <v>チャレンジタワーのボス</v>
      </c>
      <c r="N198" s="39" t="str">
        <f>VLOOKUP(K198,[2]stage_hints!$A:$D,4,FALSE)</f>
        <v>チャレンジタワーでのみ登場するボスは
一定確率で獲得することができます</v>
      </c>
      <c r="O198" s="20" t="s">
        <v>24</v>
      </c>
      <c r="P198">
        <v>36</v>
      </c>
    </row>
    <row r="199" spans="1:16" x14ac:dyDescent="0.15">
      <c r="A199" s="27" t="str">
        <f t="shared" si="39"/>
        <v>11102_3_33</v>
      </c>
      <c r="B199" s="25" t="s">
        <v>34</v>
      </c>
      <c r="C199" s="4">
        <v>11102</v>
      </c>
      <c r="D199" s="3" t="str">
        <f ca="1">VLOOKUP($C199,OFFSET([1]quests!$A$1,0,0,COUNTA([1]quests!$A:$A),MATCH(D$1,[1]quests!$1:$1,0)-MATCH($C$1,[1]quests!$1:$1,0)+1),MATCH(D$1,[1]quests!$1:$1,0)-MATCH($C$1,[1]quests!$1:$1,0)+1,FALSE)</f>
        <v>【期間限定】 赤の素材</v>
      </c>
      <c r="E199" s="3" t="str">
        <f ca="1">VLOOKUP($C199,OFFSET([1]quests!$A$1,0,0,COUNTA([1]quests!$A:$A),MATCH(E$1,[1]quests!$1:$1,0)-MATCH($C$1,[1]quests!$1:$1,0)+1),MATCH(E$1,[1]quests!$1:$1,0)-MATCH($C$1,[1]quests!$1:$1,0)+1,FALSE)</f>
        <v>火曜クエスト</v>
      </c>
      <c r="F199" s="5">
        <v>3</v>
      </c>
      <c r="G199" s="3" t="str">
        <f ca="1">VLOOKUP($C199&amp;"_"&amp;$F199,OFFSET([1]stages!$A$1,0,0,COUNTA([1]stages!$A:$A),MATCH(G$1,[1]stages!$2:$2,0)-MATCH("temp_stage",[1]stages!$2:$2,0)+1),MATCH(G$1,[1]stages!$2:$2,0)-MATCH("temp_stage",[1]stages!$2:$2,0)+1,FALSE)</f>
        <v xml:space="preserve">【上級】火のイモムシ </v>
      </c>
      <c r="H199" s="3" t="str">
        <f ca="1">VLOOKUP($C199&amp;"_"&amp;$F199,OFFSET([1]stages!$A$1,0,0,COUNTA([1]stages!$A:$A),MATCH(H$1,[1]stages!$2:$2,0)-MATCH("temp_stage",[1]stages!$2:$2,0)+1),MATCH(H$1,[1]stages!$2:$2,0)-MATCH("temp_stage",[1]stages!$2:$2,0)+1,FALSE)</f>
        <v>火曜クエスト</v>
      </c>
      <c r="I199" s="18">
        <v>0</v>
      </c>
      <c r="J199" s="5">
        <f>COUNTIF(C$1:C199,C199)</f>
        <v>33</v>
      </c>
      <c r="K199" s="34">
        <v>37</v>
      </c>
      <c r="L199" s="5" t="s">
        <v>17</v>
      </c>
      <c r="M199" s="38" t="str">
        <f>VLOOKUP(K199,[2]stage_hints!$A:$C,3,FALSE)</f>
        <v>限界突破値の引き継ぎ</v>
      </c>
      <c r="N199" s="39" t="str">
        <f>VLOOKUP(K199,[2]stage_hints!$A:$D,4,FALSE)</f>
        <v>同じユニットを強化で合成すると
限界突破値を引き継げます（覚醒前後も可）</v>
      </c>
      <c r="O199" s="20" t="s">
        <v>24</v>
      </c>
      <c r="P199">
        <v>37</v>
      </c>
    </row>
    <row r="200" spans="1:16" x14ac:dyDescent="0.15">
      <c r="A200" s="27" t="str">
        <f t="shared" si="39"/>
        <v>11103_3_1</v>
      </c>
      <c r="B200" s="25" t="s">
        <v>34</v>
      </c>
      <c r="C200" s="4">
        <v>11103</v>
      </c>
      <c r="D200" s="3" t="str">
        <f ca="1">VLOOKUP($C200,OFFSET([1]quests!$A$1,0,0,COUNTA([1]quests!$A:$A),MATCH(D$1,[1]quests!$1:$1,0)-MATCH($C$1,[1]quests!$1:$1,0)+1),MATCH(D$1,[1]quests!$1:$1,0)-MATCH($C$1,[1]quests!$1:$1,0)+1,FALSE)</f>
        <v>【期間限定】 青の素材</v>
      </c>
      <c r="E200" s="3" t="str">
        <f ca="1">VLOOKUP($C200,OFFSET([1]quests!$A$1,0,0,COUNTA([1]quests!$A:$A),MATCH(E$1,[1]quests!$1:$1,0)-MATCH($C$1,[1]quests!$1:$1,0)+1),MATCH(E$1,[1]quests!$1:$1,0)-MATCH($C$1,[1]quests!$1:$1,0)+1,FALSE)</f>
        <v>水曜クエスト</v>
      </c>
      <c r="F200" s="5">
        <v>3</v>
      </c>
      <c r="G200" s="3" t="str">
        <f ca="1">VLOOKUP($C200&amp;"_"&amp;$F200,OFFSET([1]stages!$A$1,0,0,COUNTA([1]stages!$A:$A),MATCH(G$1,[1]stages!$2:$2,0)-MATCH("temp_stage",[1]stages!$2:$2,0)+1),MATCH(G$1,[1]stages!$2:$2,0)-MATCH("temp_stage",[1]stages!$2:$2,0)+1,FALSE)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0" s="3" t="str">
        <f ca="1">VLOOKUP($C200&amp;"_"&amp;$F200,OFFSET([1]stages!$A$1,0,0,COUNTA([1]stages!$A:$A),MATCH(H$1,[1]stages!$2:$2,0)-MATCH("temp_stage",[1]stages!$2:$2,0)+1),MATCH(H$1,[1]stages!$2:$2,0)-MATCH("temp_stage",[1]stages!$2:$2,0)+1,FALSE)</f>
        <v>水曜クエスト</v>
      </c>
      <c r="I200" s="18">
        <v>0</v>
      </c>
      <c r="J200" s="5">
        <f>COUNTIF(C$1:C200,C200)</f>
        <v>1</v>
      </c>
      <c r="K200" s="34">
        <v>3</v>
      </c>
      <c r="L200" s="5" t="s">
        <v>17</v>
      </c>
      <c r="M200" s="38" t="str">
        <f>VLOOKUP(K200,[2]stage_hints!$A:$C,3,FALSE)</f>
        <v>ターゲット</v>
      </c>
      <c r="N200" s="39" t="str">
        <f>VLOOKUP(K200,[2]stage_hints!$A:$D,4,FALSE)</f>
        <v>敵ユニットをタップすると
その敵を狙い撃ちできます</v>
      </c>
      <c r="O200" s="20" t="s">
        <v>24</v>
      </c>
      <c r="P200">
        <v>3</v>
      </c>
    </row>
    <row r="201" spans="1:16" x14ac:dyDescent="0.15">
      <c r="A201" s="27" t="str">
        <f t="shared" si="39"/>
        <v>11103_3_2</v>
      </c>
      <c r="B201" s="25" t="s">
        <v>34</v>
      </c>
      <c r="C201" s="4">
        <v>11103</v>
      </c>
      <c r="D201" s="3" t="str">
        <f ca="1">VLOOKUP($C201,OFFSET([1]quests!$A$1,0,0,COUNTA([1]quests!$A:$A),MATCH(D$1,[1]quests!$1:$1,0)-MATCH($C$1,[1]quests!$1:$1,0)+1),MATCH(D$1,[1]quests!$1:$1,0)-MATCH($C$1,[1]quests!$1:$1,0)+1,FALSE)</f>
        <v>【期間限定】 青の素材</v>
      </c>
      <c r="E201" s="3" t="str">
        <f ca="1">VLOOKUP($C201,OFFSET([1]quests!$A$1,0,0,COUNTA([1]quests!$A:$A),MATCH(E$1,[1]quests!$1:$1,0)-MATCH($C$1,[1]quests!$1:$1,0)+1),MATCH(E$1,[1]quests!$1:$1,0)-MATCH($C$1,[1]quests!$1:$1,0)+1,FALSE)</f>
        <v>水曜クエスト</v>
      </c>
      <c r="F201" s="5">
        <v>3</v>
      </c>
      <c r="G201" s="3" t="str">
        <f ca="1">VLOOKUP($C201&amp;"_"&amp;$F201,OFFSET([1]stages!$A$1,0,0,COUNTA([1]stages!$A:$A),MATCH(G$1,[1]stages!$2:$2,0)-MATCH("temp_stage",[1]stages!$2:$2,0)+1),MATCH(G$1,[1]stages!$2:$2,0)-MATCH("temp_stage",[1]stages!$2:$2,0)+1,FALSE)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1" s="3" t="str">
        <f ca="1">VLOOKUP($C201&amp;"_"&amp;$F201,OFFSET([1]stages!$A$1,0,0,COUNTA([1]stages!$A:$A),MATCH(H$1,[1]stages!$2:$2,0)-MATCH("temp_stage",[1]stages!$2:$2,0)+1),MATCH(H$1,[1]stages!$2:$2,0)-MATCH("temp_stage",[1]stages!$2:$2,0)+1,FALSE)</f>
        <v>水曜クエスト</v>
      </c>
      <c r="I201" s="18">
        <v>0</v>
      </c>
      <c r="J201" s="5">
        <f>COUNTIF(C$1:C201,C201)</f>
        <v>2</v>
      </c>
      <c r="K201" s="34">
        <v>6</v>
      </c>
      <c r="L201" s="5" t="s">
        <v>17</v>
      </c>
      <c r="M201" s="38" t="str">
        <f>VLOOKUP(K201,[2]stage_hints!$A:$C,3,FALSE)</f>
        <v>ユニット強化の属性ボーナス</v>
      </c>
      <c r="N201" s="39" t="str">
        <f>VLOOKUP(K201,[2]stage_hints!$A:$D,4,FALSE)</f>
        <v>同属性ユニットを強化素材にすると
経験値が多くもらえます</v>
      </c>
      <c r="O201" s="20" t="s">
        <v>24</v>
      </c>
      <c r="P201">
        <v>6</v>
      </c>
    </row>
    <row r="202" spans="1:16" x14ac:dyDescent="0.15">
      <c r="A202" s="27" t="str">
        <f t="shared" si="39"/>
        <v>11103_3_3</v>
      </c>
      <c r="B202" s="25" t="s">
        <v>34</v>
      </c>
      <c r="C202" s="4">
        <v>11103</v>
      </c>
      <c r="D202" s="3" t="str">
        <f ca="1">VLOOKUP($C202,OFFSET([1]quests!$A$1,0,0,COUNTA([1]quests!$A:$A),MATCH(D$1,[1]quests!$1:$1,0)-MATCH($C$1,[1]quests!$1:$1,0)+1),MATCH(D$1,[1]quests!$1:$1,0)-MATCH($C$1,[1]quests!$1:$1,0)+1,FALSE)</f>
        <v>【期間限定】 青の素材</v>
      </c>
      <c r="E202" s="3" t="str">
        <f ca="1">VLOOKUP($C202,OFFSET([1]quests!$A$1,0,0,COUNTA([1]quests!$A:$A),MATCH(E$1,[1]quests!$1:$1,0)-MATCH($C$1,[1]quests!$1:$1,0)+1),MATCH(E$1,[1]quests!$1:$1,0)-MATCH($C$1,[1]quests!$1:$1,0)+1,FALSE)</f>
        <v>水曜クエスト</v>
      </c>
      <c r="F202" s="5">
        <v>3</v>
      </c>
      <c r="G202" s="3" t="str">
        <f ca="1">VLOOKUP($C202&amp;"_"&amp;$F202,OFFSET([1]stages!$A$1,0,0,COUNTA([1]stages!$A:$A),MATCH(G$1,[1]stages!$2:$2,0)-MATCH("temp_stage",[1]stages!$2:$2,0)+1),MATCH(G$1,[1]stages!$2:$2,0)-MATCH("temp_stage",[1]stages!$2:$2,0)+1,FALSE)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2" s="3" t="str">
        <f ca="1">VLOOKUP($C202&amp;"_"&amp;$F202,OFFSET([1]stages!$A$1,0,0,COUNTA([1]stages!$A:$A),MATCH(H$1,[1]stages!$2:$2,0)-MATCH("temp_stage",[1]stages!$2:$2,0)+1),MATCH(H$1,[1]stages!$2:$2,0)-MATCH("temp_stage",[1]stages!$2:$2,0)+1,FALSE)</f>
        <v>水曜クエスト</v>
      </c>
      <c r="I202" s="18">
        <v>0</v>
      </c>
      <c r="J202" s="5">
        <f>COUNTIF(C$1:C202,C202)</f>
        <v>3</v>
      </c>
      <c r="K202" s="34">
        <v>7</v>
      </c>
      <c r="L202" s="5" t="s">
        <v>17</v>
      </c>
      <c r="M202" s="38" t="str">
        <f>VLOOKUP(K202,[2]stage_hints!$A:$C,3,FALSE)</f>
        <v>メタルダックで経験値を獲得</v>
      </c>
      <c r="N202" s="39" t="str">
        <f>VLOOKUP(K202,[2]stage_hints!$A:$D,4,FALSE)</f>
        <v>「メタルなアヒル」を強化素材にすると
大量の経験値がもらえます</v>
      </c>
      <c r="O202" s="20" t="s">
        <v>24</v>
      </c>
      <c r="P202">
        <v>7</v>
      </c>
    </row>
    <row r="203" spans="1:16" x14ac:dyDescent="0.15">
      <c r="A203" s="27" t="str">
        <f t="shared" si="39"/>
        <v>11103_3_4</v>
      </c>
      <c r="B203" s="25" t="s">
        <v>34</v>
      </c>
      <c r="C203" s="4">
        <v>11103</v>
      </c>
      <c r="D203" s="3" t="str">
        <f ca="1">VLOOKUP($C203,OFFSET([1]quests!$A$1,0,0,COUNTA([1]quests!$A:$A),MATCH(D$1,[1]quests!$1:$1,0)-MATCH($C$1,[1]quests!$1:$1,0)+1),MATCH(D$1,[1]quests!$1:$1,0)-MATCH($C$1,[1]quests!$1:$1,0)+1,FALSE)</f>
        <v>【期間限定】 青の素材</v>
      </c>
      <c r="E203" s="3" t="str">
        <f ca="1">VLOOKUP($C203,OFFSET([1]quests!$A$1,0,0,COUNTA([1]quests!$A:$A),MATCH(E$1,[1]quests!$1:$1,0)-MATCH($C$1,[1]quests!$1:$1,0)+1),MATCH(E$1,[1]quests!$1:$1,0)-MATCH($C$1,[1]quests!$1:$1,0)+1,FALSE)</f>
        <v>水曜クエスト</v>
      </c>
      <c r="F203" s="5">
        <v>3</v>
      </c>
      <c r="G203" s="3" t="str">
        <f ca="1">VLOOKUP($C203&amp;"_"&amp;$F203,OFFSET([1]stages!$A$1,0,0,COUNTA([1]stages!$A:$A),MATCH(G$1,[1]stages!$2:$2,0)-MATCH("temp_stage",[1]stages!$2:$2,0)+1),MATCH(G$1,[1]stages!$2:$2,0)-MATCH("temp_stage",[1]stages!$2:$2,0)+1,FALSE)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3" s="3" t="str">
        <f ca="1">VLOOKUP($C203&amp;"_"&amp;$F203,OFFSET([1]stages!$A$1,0,0,COUNTA([1]stages!$A:$A),MATCH(H$1,[1]stages!$2:$2,0)-MATCH("temp_stage",[1]stages!$2:$2,0)+1),MATCH(H$1,[1]stages!$2:$2,0)-MATCH("temp_stage",[1]stages!$2:$2,0)+1,FALSE)</f>
        <v>水曜クエスト</v>
      </c>
      <c r="I203" s="18">
        <v>0</v>
      </c>
      <c r="J203" s="5">
        <f>COUNTIF(C$1:C203,C203)</f>
        <v>4</v>
      </c>
      <c r="K203" s="34">
        <v>8</v>
      </c>
      <c r="L203" s="5" t="s">
        <v>17</v>
      </c>
      <c r="M203" s="38" t="str">
        <f>VLOOKUP(K203,[2]stage_hints!$A:$C,3,FALSE)</f>
        <v>ゲリラクエストは要チェック</v>
      </c>
      <c r="N203" s="39" t="str">
        <f>VLOOKUP(K203,[2]stage_hints!$A:$D,4,FALSE)</f>
        <v>時間限定の「アヒル捕獲作戦」では
経験値素材ユニットが多く手に入ります</v>
      </c>
      <c r="O203" s="20" t="s">
        <v>24</v>
      </c>
      <c r="P203">
        <v>8</v>
      </c>
    </row>
    <row r="204" spans="1:16" x14ac:dyDescent="0.15">
      <c r="A204" s="27" t="str">
        <f t="shared" si="39"/>
        <v>11103_3_5</v>
      </c>
      <c r="B204" s="25" t="s">
        <v>34</v>
      </c>
      <c r="C204" s="4">
        <v>11103</v>
      </c>
      <c r="D204" s="3" t="str">
        <f ca="1">VLOOKUP($C204,OFFSET([1]quests!$A$1,0,0,COUNTA([1]quests!$A:$A),MATCH(D$1,[1]quests!$1:$1,0)-MATCH($C$1,[1]quests!$1:$1,0)+1),MATCH(D$1,[1]quests!$1:$1,0)-MATCH($C$1,[1]quests!$1:$1,0)+1,FALSE)</f>
        <v>【期間限定】 青の素材</v>
      </c>
      <c r="E204" s="3" t="str">
        <f ca="1">VLOOKUP($C204,OFFSET([1]quests!$A$1,0,0,COUNTA([1]quests!$A:$A),MATCH(E$1,[1]quests!$1:$1,0)-MATCH($C$1,[1]quests!$1:$1,0)+1),MATCH(E$1,[1]quests!$1:$1,0)-MATCH($C$1,[1]quests!$1:$1,0)+1,FALSE)</f>
        <v>水曜クエスト</v>
      </c>
      <c r="F204" s="5">
        <v>3</v>
      </c>
      <c r="G204" s="3" t="str">
        <f ca="1">VLOOKUP($C204&amp;"_"&amp;$F204,OFFSET([1]stages!$A$1,0,0,COUNTA([1]stages!$A:$A),MATCH(G$1,[1]stages!$2:$2,0)-MATCH("temp_stage",[1]stages!$2:$2,0)+1),MATCH(G$1,[1]stages!$2:$2,0)-MATCH("temp_stage",[1]stages!$2:$2,0)+1,FALSE)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4" s="3" t="str">
        <f ca="1">VLOOKUP($C204&amp;"_"&amp;$F204,OFFSET([1]stages!$A$1,0,0,COUNTA([1]stages!$A:$A),MATCH(H$1,[1]stages!$2:$2,0)-MATCH("temp_stage",[1]stages!$2:$2,0)+1),MATCH(H$1,[1]stages!$2:$2,0)-MATCH("temp_stage",[1]stages!$2:$2,0)+1,FALSE)</f>
        <v>水曜クエスト</v>
      </c>
      <c r="I204" s="18">
        <v>0</v>
      </c>
      <c r="J204" s="5">
        <f>COUNTIF(C$1:C204,C204)</f>
        <v>5</v>
      </c>
      <c r="K204" s="34">
        <v>9</v>
      </c>
      <c r="L204" s="5" t="s">
        <v>17</v>
      </c>
      <c r="M204" s="38" t="str">
        <f>VLOOKUP(K204,[2]stage_hints!$A:$C,3,FALSE)</f>
        <v>ゴールドダックでビットを獲得</v>
      </c>
      <c r="N204" s="39" t="str">
        <f>VLOOKUP(K204,[2]stage_hints!$A:$D,4,FALSE)</f>
        <v>「ゴールドなアヒル」を売却すると
大量のビットがもらえます</v>
      </c>
      <c r="O204" s="20" t="s">
        <v>24</v>
      </c>
      <c r="P204">
        <v>9</v>
      </c>
    </row>
    <row r="205" spans="1:16" x14ac:dyDescent="0.15">
      <c r="A205" s="27" t="str">
        <f t="shared" si="39"/>
        <v>11103_3_6</v>
      </c>
      <c r="B205" s="25" t="s">
        <v>34</v>
      </c>
      <c r="C205" s="4">
        <v>11103</v>
      </c>
      <c r="D205" s="3" t="str">
        <f ca="1">VLOOKUP($C205,OFFSET([1]quests!$A$1,0,0,COUNTA([1]quests!$A:$A),MATCH(D$1,[1]quests!$1:$1,0)-MATCH($C$1,[1]quests!$1:$1,0)+1),MATCH(D$1,[1]quests!$1:$1,0)-MATCH($C$1,[1]quests!$1:$1,0)+1,FALSE)</f>
        <v>【期間限定】 青の素材</v>
      </c>
      <c r="E205" s="3" t="str">
        <f ca="1">VLOOKUP($C205,OFFSET([1]quests!$A$1,0,0,COUNTA([1]quests!$A:$A),MATCH(E$1,[1]quests!$1:$1,0)-MATCH($C$1,[1]quests!$1:$1,0)+1),MATCH(E$1,[1]quests!$1:$1,0)-MATCH($C$1,[1]quests!$1:$1,0)+1,FALSE)</f>
        <v>水曜クエスト</v>
      </c>
      <c r="F205" s="5">
        <v>3</v>
      </c>
      <c r="G205" s="3" t="str">
        <f ca="1">VLOOKUP($C205&amp;"_"&amp;$F205,OFFSET([1]stages!$A$1,0,0,COUNTA([1]stages!$A:$A),MATCH(G$1,[1]stages!$2:$2,0)-MATCH("temp_stage",[1]stages!$2:$2,0)+1),MATCH(G$1,[1]stages!$2:$2,0)-MATCH("temp_stage",[1]stages!$2:$2,0)+1,FALSE)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5" s="3" t="str">
        <f ca="1">VLOOKUP($C205&amp;"_"&amp;$F205,OFFSET([1]stages!$A$1,0,0,COUNTA([1]stages!$A:$A),MATCH(H$1,[1]stages!$2:$2,0)-MATCH("temp_stage",[1]stages!$2:$2,0)+1),MATCH(H$1,[1]stages!$2:$2,0)-MATCH("temp_stage",[1]stages!$2:$2,0)+1,FALSE)</f>
        <v>水曜クエスト</v>
      </c>
      <c r="I205" s="18">
        <v>0</v>
      </c>
      <c r="J205" s="5">
        <f>COUNTIF(C$1:C205,C205)</f>
        <v>6</v>
      </c>
      <c r="K205" s="34">
        <v>10</v>
      </c>
      <c r="L205" s="5" t="s">
        <v>17</v>
      </c>
      <c r="M205" s="38" t="str">
        <f>VLOOKUP(K205,[2]stage_hints!$A:$C,3,FALSE)</f>
        <v>土日に大量のビットを獲得</v>
      </c>
      <c r="N205" s="39" t="str">
        <f>VLOOKUP(K205,[2]stage_hints!$A:$D,4,FALSE)</f>
        <v>土日限定の「ゴールドカジノ」では
売却素材ユニットが多く手に入ります</v>
      </c>
      <c r="O205" s="20" t="s">
        <v>24</v>
      </c>
      <c r="P205">
        <v>10</v>
      </c>
    </row>
    <row r="206" spans="1:16" x14ac:dyDescent="0.15">
      <c r="A206" s="27" t="str">
        <f t="shared" si="39"/>
        <v>11103_3_7</v>
      </c>
      <c r="B206" s="25" t="s">
        <v>34</v>
      </c>
      <c r="C206" s="4">
        <v>11103</v>
      </c>
      <c r="D206" s="3" t="str">
        <f ca="1">VLOOKUP($C206,OFFSET([1]quests!$A$1,0,0,COUNTA([1]quests!$A:$A),MATCH(D$1,[1]quests!$1:$1,0)-MATCH($C$1,[1]quests!$1:$1,0)+1),MATCH(D$1,[1]quests!$1:$1,0)-MATCH($C$1,[1]quests!$1:$1,0)+1,FALSE)</f>
        <v>【期間限定】 青の素材</v>
      </c>
      <c r="E206" s="3" t="str">
        <f ca="1">VLOOKUP($C206,OFFSET([1]quests!$A$1,0,0,COUNTA([1]quests!$A:$A),MATCH(E$1,[1]quests!$1:$1,0)-MATCH($C$1,[1]quests!$1:$1,0)+1),MATCH(E$1,[1]quests!$1:$1,0)-MATCH($C$1,[1]quests!$1:$1,0)+1,FALSE)</f>
        <v>水曜クエスト</v>
      </c>
      <c r="F206" s="5">
        <v>3</v>
      </c>
      <c r="G206" s="3" t="str">
        <f ca="1">VLOOKUP($C206&amp;"_"&amp;$F206,OFFSET([1]stages!$A$1,0,0,COUNTA([1]stages!$A:$A),MATCH(G$1,[1]stages!$2:$2,0)-MATCH("temp_stage",[1]stages!$2:$2,0)+1),MATCH(G$1,[1]stages!$2:$2,0)-MATCH("temp_stage",[1]stages!$2:$2,0)+1,FALSE)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6" s="3" t="str">
        <f ca="1">VLOOKUP($C206&amp;"_"&amp;$F206,OFFSET([1]stages!$A$1,0,0,COUNTA([1]stages!$A:$A),MATCH(H$1,[1]stages!$2:$2,0)-MATCH("temp_stage",[1]stages!$2:$2,0)+1),MATCH(H$1,[1]stages!$2:$2,0)-MATCH("temp_stage",[1]stages!$2:$2,0)+1,FALSE)</f>
        <v>水曜クエスト</v>
      </c>
      <c r="I206" s="18">
        <v>0</v>
      </c>
      <c r="J206" s="5">
        <f>COUNTIF(C$1:C206,C206)</f>
        <v>7</v>
      </c>
      <c r="K206" s="34">
        <v>11</v>
      </c>
      <c r="L206" s="5" t="s">
        <v>17</v>
      </c>
      <c r="M206" s="38" t="str">
        <f>VLOOKUP(K206,[2]stage_hints!$A:$C,3,FALSE)</f>
        <v>ランク解放クエスト</v>
      </c>
      <c r="N206" s="39" t="str">
        <f>VLOOKUP(K206,[2]stage_hints!$A:$D,4,FALSE)</f>
        <v>一定ランクに到達すると
報酬付きのランク開放クエストが現れます</v>
      </c>
      <c r="O206" s="20" t="s">
        <v>24</v>
      </c>
      <c r="P206">
        <v>11</v>
      </c>
    </row>
    <row r="207" spans="1:16" x14ac:dyDescent="0.15">
      <c r="A207" s="27" t="str">
        <f t="shared" si="39"/>
        <v>11103_3_8</v>
      </c>
      <c r="B207" s="25" t="s">
        <v>34</v>
      </c>
      <c r="C207" s="4">
        <v>11103</v>
      </c>
      <c r="D207" s="3" t="str">
        <f ca="1">VLOOKUP($C207,OFFSET([1]quests!$A$1,0,0,COUNTA([1]quests!$A:$A),MATCH(D$1,[1]quests!$1:$1,0)-MATCH($C$1,[1]quests!$1:$1,0)+1),MATCH(D$1,[1]quests!$1:$1,0)-MATCH($C$1,[1]quests!$1:$1,0)+1,FALSE)</f>
        <v>【期間限定】 青の素材</v>
      </c>
      <c r="E207" s="3" t="str">
        <f ca="1">VLOOKUP($C207,OFFSET([1]quests!$A$1,0,0,COUNTA([1]quests!$A:$A),MATCH(E$1,[1]quests!$1:$1,0)-MATCH($C$1,[1]quests!$1:$1,0)+1),MATCH(E$1,[1]quests!$1:$1,0)-MATCH($C$1,[1]quests!$1:$1,0)+1,FALSE)</f>
        <v>水曜クエスト</v>
      </c>
      <c r="F207" s="5">
        <v>3</v>
      </c>
      <c r="G207" s="3" t="str">
        <f ca="1">VLOOKUP($C207&amp;"_"&amp;$F207,OFFSET([1]stages!$A$1,0,0,COUNTA([1]stages!$A:$A),MATCH(G$1,[1]stages!$2:$2,0)-MATCH("temp_stage",[1]stages!$2:$2,0)+1),MATCH(G$1,[1]stages!$2:$2,0)-MATCH("temp_stage",[1]stages!$2:$2,0)+1,FALSE)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7" s="3" t="str">
        <f ca="1">VLOOKUP($C207&amp;"_"&amp;$F207,OFFSET([1]stages!$A$1,0,0,COUNTA([1]stages!$A:$A),MATCH(H$1,[1]stages!$2:$2,0)-MATCH("temp_stage",[1]stages!$2:$2,0)+1),MATCH(H$1,[1]stages!$2:$2,0)-MATCH("temp_stage",[1]stages!$2:$2,0)+1,FALSE)</f>
        <v>水曜クエスト</v>
      </c>
      <c r="I207" s="18">
        <v>0</v>
      </c>
      <c r="J207" s="5">
        <f>COUNTIF(C$1:C207,C207)</f>
        <v>8</v>
      </c>
      <c r="K207" s="34">
        <v>12</v>
      </c>
      <c r="L207" s="5" t="s">
        <v>17</v>
      </c>
      <c r="M207" s="38" t="str">
        <f>VLOOKUP(K207,[2]stage_hints!$A:$C,3,FALSE)</f>
        <v>ユニットのお気に入り登録</v>
      </c>
      <c r="N207" s="39" t="str">
        <f>VLOOKUP(K207,[2]stage_hints!$A:$D,4,FALSE)</f>
        <v>大事なユニットを誤って消さないように
フォルダから「お気に入り登録」しましょう</v>
      </c>
      <c r="O207" s="20" t="s">
        <v>24</v>
      </c>
      <c r="P207">
        <v>12</v>
      </c>
    </row>
    <row r="208" spans="1:16" x14ac:dyDescent="0.15">
      <c r="A208" s="27" t="str">
        <f t="shared" si="39"/>
        <v>11103_3_9</v>
      </c>
      <c r="B208" s="25" t="s">
        <v>34</v>
      </c>
      <c r="C208" s="4">
        <v>11103</v>
      </c>
      <c r="D208" s="3" t="str">
        <f ca="1">VLOOKUP($C208,OFFSET([1]quests!$A$1,0,0,COUNTA([1]quests!$A:$A),MATCH(D$1,[1]quests!$1:$1,0)-MATCH($C$1,[1]quests!$1:$1,0)+1),MATCH(D$1,[1]quests!$1:$1,0)-MATCH($C$1,[1]quests!$1:$1,0)+1,FALSE)</f>
        <v>【期間限定】 青の素材</v>
      </c>
      <c r="E208" s="3" t="str">
        <f ca="1">VLOOKUP($C208,OFFSET([1]quests!$A$1,0,0,COUNTA([1]quests!$A:$A),MATCH(E$1,[1]quests!$1:$1,0)-MATCH($C$1,[1]quests!$1:$1,0)+1),MATCH(E$1,[1]quests!$1:$1,0)-MATCH($C$1,[1]quests!$1:$1,0)+1,FALSE)</f>
        <v>水曜クエスト</v>
      </c>
      <c r="F208" s="5">
        <v>3</v>
      </c>
      <c r="G208" s="3" t="str">
        <f ca="1">VLOOKUP($C208&amp;"_"&amp;$F208,OFFSET([1]stages!$A$1,0,0,COUNTA([1]stages!$A:$A),MATCH(G$1,[1]stages!$2:$2,0)-MATCH("temp_stage",[1]stages!$2:$2,0)+1),MATCH(G$1,[1]stages!$2:$2,0)-MATCH("temp_stage",[1]stages!$2:$2,0)+1,FALSE)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8" s="3" t="str">
        <f ca="1">VLOOKUP($C208&amp;"_"&amp;$F208,OFFSET([1]stages!$A$1,0,0,COUNTA([1]stages!$A:$A),MATCH(H$1,[1]stages!$2:$2,0)-MATCH("temp_stage",[1]stages!$2:$2,0)+1),MATCH(H$1,[1]stages!$2:$2,0)-MATCH("temp_stage",[1]stages!$2:$2,0)+1,FALSE)</f>
        <v>水曜クエスト</v>
      </c>
      <c r="I208" s="18">
        <v>0</v>
      </c>
      <c r="J208" s="5">
        <f>COUNTIF(C$1:C208,C208)</f>
        <v>9</v>
      </c>
      <c r="K208" s="34">
        <v>13</v>
      </c>
      <c r="L208" s="5" t="s">
        <v>17</v>
      </c>
      <c r="M208" s="38" t="str">
        <f>VLOOKUP(K208,[2]stage_hints!$A:$C,3,FALSE)</f>
        <v>ユニットの覚醒</v>
      </c>
      <c r="N208" s="39" t="str">
        <f>VLOOKUP(K208,[2]stage_hints!$A:$D,4,FALSE)</f>
        <v>ユニットを覚醒させると
比べものにならない強さが手に入ります</v>
      </c>
      <c r="O208" s="20" t="s">
        <v>24</v>
      </c>
      <c r="P208">
        <v>13</v>
      </c>
    </row>
    <row r="209" spans="1:16" x14ac:dyDescent="0.15">
      <c r="A209" s="27" t="str">
        <f t="shared" si="39"/>
        <v>11103_3_10</v>
      </c>
      <c r="B209" s="25" t="s">
        <v>34</v>
      </c>
      <c r="C209" s="4">
        <v>11103</v>
      </c>
      <c r="D209" s="3" t="str">
        <f ca="1">VLOOKUP($C209,OFFSET([1]quests!$A$1,0,0,COUNTA([1]quests!$A:$A),MATCH(D$1,[1]quests!$1:$1,0)-MATCH($C$1,[1]quests!$1:$1,0)+1),MATCH(D$1,[1]quests!$1:$1,0)-MATCH($C$1,[1]quests!$1:$1,0)+1,FALSE)</f>
        <v>【期間限定】 青の素材</v>
      </c>
      <c r="E209" s="3" t="str">
        <f ca="1">VLOOKUP($C209,OFFSET([1]quests!$A$1,0,0,COUNTA([1]quests!$A:$A),MATCH(E$1,[1]quests!$1:$1,0)-MATCH($C$1,[1]quests!$1:$1,0)+1),MATCH(E$1,[1]quests!$1:$1,0)-MATCH($C$1,[1]quests!$1:$1,0)+1,FALSE)</f>
        <v>水曜クエスト</v>
      </c>
      <c r="F209" s="5">
        <v>3</v>
      </c>
      <c r="G209" s="3" t="str">
        <f ca="1">VLOOKUP($C209&amp;"_"&amp;$F209,OFFSET([1]stages!$A$1,0,0,COUNTA([1]stages!$A:$A),MATCH(G$1,[1]stages!$2:$2,0)-MATCH("temp_stage",[1]stages!$2:$2,0)+1),MATCH(G$1,[1]stages!$2:$2,0)-MATCH("temp_stage",[1]stages!$2:$2,0)+1,FALSE)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09" s="3" t="str">
        <f ca="1">VLOOKUP($C209&amp;"_"&amp;$F209,OFFSET([1]stages!$A$1,0,0,COUNTA([1]stages!$A:$A),MATCH(H$1,[1]stages!$2:$2,0)-MATCH("temp_stage",[1]stages!$2:$2,0)+1),MATCH(H$1,[1]stages!$2:$2,0)-MATCH("temp_stage",[1]stages!$2:$2,0)+1,FALSE)</f>
        <v>水曜クエスト</v>
      </c>
      <c r="I209" s="18">
        <v>0</v>
      </c>
      <c r="J209" s="5">
        <f>COUNTIF(C$1:C209,C209)</f>
        <v>10</v>
      </c>
      <c r="K209" s="34">
        <v>14</v>
      </c>
      <c r="L209" s="5" t="s">
        <v>17</v>
      </c>
      <c r="M209" s="38" t="str">
        <f>VLOOKUP(K209,[2]stage_hints!$A:$C,3,FALSE)</f>
        <v>覚醒するにはレベルを最大に</v>
      </c>
      <c r="N209" s="39" t="str">
        <f>VLOOKUP(K209,[2]stage_hints!$A:$D,4,FALSE)</f>
        <v>覚醒するにはユニットのレベルを
最大まで上げる必要があります</v>
      </c>
      <c r="O209" s="20" t="s">
        <v>24</v>
      </c>
      <c r="P209">
        <v>14</v>
      </c>
    </row>
    <row r="210" spans="1:16" x14ac:dyDescent="0.15">
      <c r="A210" s="27" t="str">
        <f t="shared" ref="A210:A214" si="40">C210&amp;"_"&amp;F210&amp;"_"&amp;J210</f>
        <v>11103_3_11</v>
      </c>
      <c r="B210" s="25" t="s">
        <v>34</v>
      </c>
      <c r="C210" s="4">
        <v>11103</v>
      </c>
      <c r="D210" s="3" t="str">
        <f ca="1">VLOOKUP($C210,OFFSET([1]quests!$A$1,0,0,COUNTA([1]quests!$A:$A),MATCH(D$1,[1]quests!$1:$1,0)-MATCH($C$1,[1]quests!$1:$1,0)+1),MATCH(D$1,[1]quests!$1:$1,0)-MATCH($C$1,[1]quests!$1:$1,0)+1,FALSE)</f>
        <v>【期間限定】 青の素材</v>
      </c>
      <c r="E210" s="3" t="str">
        <f ca="1">VLOOKUP($C210,OFFSET([1]quests!$A$1,0,0,COUNTA([1]quests!$A:$A),MATCH(E$1,[1]quests!$1:$1,0)-MATCH($C$1,[1]quests!$1:$1,0)+1),MATCH(E$1,[1]quests!$1:$1,0)-MATCH($C$1,[1]quests!$1:$1,0)+1,FALSE)</f>
        <v>水曜クエスト</v>
      </c>
      <c r="F210" s="5">
        <v>3</v>
      </c>
      <c r="G210" s="3" t="str">
        <f ca="1">VLOOKUP($C210&amp;"_"&amp;$F210,OFFSET([1]stages!$A$1,0,0,COUNTA([1]stages!$A:$A),MATCH(G$1,[1]stages!$2:$2,0)-MATCH("temp_stage",[1]stages!$2:$2,0)+1),MATCH(G$1,[1]stages!$2:$2,0)-MATCH("temp_stage",[1]stages!$2:$2,0)+1,FALSE)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0" s="3" t="str">
        <f ca="1">VLOOKUP($C210&amp;"_"&amp;$F210,OFFSET([1]stages!$A$1,0,0,COUNTA([1]stages!$A:$A),MATCH(H$1,[1]stages!$2:$2,0)-MATCH("temp_stage",[1]stages!$2:$2,0)+1),MATCH(H$1,[1]stages!$2:$2,0)-MATCH("temp_stage",[1]stages!$2:$2,0)+1,FALSE)</f>
        <v>水曜クエスト</v>
      </c>
      <c r="I210" s="18">
        <v>0</v>
      </c>
      <c r="J210" s="5">
        <f>COUNTIF(C$1:C210,C210)</f>
        <v>11</v>
      </c>
      <c r="K210" s="34">
        <v>15</v>
      </c>
      <c r="L210" s="5" t="s">
        <v>17</v>
      </c>
      <c r="M210" s="38" t="str">
        <f>VLOOKUP(K210,[2]stage_hints!$A:$C,3,FALSE)</f>
        <v>覚醒素材を獲得</v>
      </c>
      <c r="N210" s="39" t="str">
        <f>VLOOKUP(K210,[2]stage_hints!$A:$D,4,FALSE)</f>
        <v>「曜日クエスト」では
ユニットの覚醒に必要な素材が手に入ります</v>
      </c>
      <c r="O210" s="20" t="s">
        <v>24</v>
      </c>
      <c r="P210">
        <v>15</v>
      </c>
    </row>
    <row r="211" spans="1:16" x14ac:dyDescent="0.15">
      <c r="A211" s="27" t="str">
        <f t="shared" si="40"/>
        <v>11103_3_12</v>
      </c>
      <c r="B211" s="25" t="s">
        <v>34</v>
      </c>
      <c r="C211" s="4">
        <v>11103</v>
      </c>
      <c r="D211" s="3" t="str">
        <f ca="1">VLOOKUP($C211,OFFSET([1]quests!$A$1,0,0,COUNTA([1]quests!$A:$A),MATCH(D$1,[1]quests!$1:$1,0)-MATCH($C$1,[1]quests!$1:$1,0)+1),MATCH(D$1,[1]quests!$1:$1,0)-MATCH($C$1,[1]quests!$1:$1,0)+1,FALSE)</f>
        <v>【期間限定】 青の素材</v>
      </c>
      <c r="E211" s="3" t="str">
        <f ca="1">VLOOKUP($C211,OFFSET([1]quests!$A$1,0,0,COUNTA([1]quests!$A:$A),MATCH(E$1,[1]quests!$1:$1,0)-MATCH($C$1,[1]quests!$1:$1,0)+1),MATCH(E$1,[1]quests!$1:$1,0)-MATCH($C$1,[1]quests!$1:$1,0)+1,FALSE)</f>
        <v>水曜クエスト</v>
      </c>
      <c r="F211" s="5">
        <v>3</v>
      </c>
      <c r="G211" s="3" t="str">
        <f ca="1">VLOOKUP($C211&amp;"_"&amp;$F211,OFFSET([1]stages!$A$1,0,0,COUNTA([1]stages!$A:$A),MATCH(G$1,[1]stages!$2:$2,0)-MATCH("temp_stage",[1]stages!$2:$2,0)+1),MATCH(G$1,[1]stages!$2:$2,0)-MATCH("temp_stage",[1]stages!$2:$2,0)+1,FALSE)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1" s="3" t="str">
        <f ca="1">VLOOKUP($C211&amp;"_"&amp;$F211,OFFSET([1]stages!$A$1,0,0,COUNTA([1]stages!$A:$A),MATCH(H$1,[1]stages!$2:$2,0)-MATCH("temp_stage",[1]stages!$2:$2,0)+1),MATCH(H$1,[1]stages!$2:$2,0)-MATCH("temp_stage",[1]stages!$2:$2,0)+1,FALSE)</f>
        <v>水曜クエスト</v>
      </c>
      <c r="I211" s="18">
        <v>0</v>
      </c>
      <c r="J211" s="5">
        <f>COUNTIF(C$1:C211,C211)</f>
        <v>12</v>
      </c>
      <c r="K211" s="34">
        <v>16</v>
      </c>
      <c r="L211" s="5" t="s">
        <v>17</v>
      </c>
      <c r="M211" s="38" t="str">
        <f>VLOOKUP(K211,[2]stage_hints!$A:$C,3,FALSE)</f>
        <v>マルチプレイのメリット（その1）</v>
      </c>
      <c r="N211" s="39" t="str">
        <f>VLOOKUP(K211,[2]stage_hints!$A:$D,4,FALSE)</f>
        <v>他のプレイヤーとマルチプレイで遊ぶと
ポリゴンがもらえます（100人まで）</v>
      </c>
      <c r="O211" s="20" t="s">
        <v>24</v>
      </c>
      <c r="P211">
        <v>16</v>
      </c>
    </row>
    <row r="212" spans="1:16" x14ac:dyDescent="0.15">
      <c r="A212" s="27" t="str">
        <f t="shared" si="40"/>
        <v>11103_3_13</v>
      </c>
      <c r="B212" s="25" t="s">
        <v>34</v>
      </c>
      <c r="C212" s="4">
        <v>11103</v>
      </c>
      <c r="D212" s="3" t="str">
        <f ca="1">VLOOKUP($C212,OFFSET([1]quests!$A$1,0,0,COUNTA([1]quests!$A:$A),MATCH(D$1,[1]quests!$1:$1,0)-MATCH($C$1,[1]quests!$1:$1,0)+1),MATCH(D$1,[1]quests!$1:$1,0)-MATCH($C$1,[1]quests!$1:$1,0)+1,FALSE)</f>
        <v>【期間限定】 青の素材</v>
      </c>
      <c r="E212" s="3" t="str">
        <f ca="1">VLOOKUP($C212,OFFSET([1]quests!$A$1,0,0,COUNTA([1]quests!$A:$A),MATCH(E$1,[1]quests!$1:$1,0)-MATCH($C$1,[1]quests!$1:$1,0)+1),MATCH(E$1,[1]quests!$1:$1,0)-MATCH($C$1,[1]quests!$1:$1,0)+1,FALSE)</f>
        <v>水曜クエスト</v>
      </c>
      <c r="F212" s="5">
        <v>3</v>
      </c>
      <c r="G212" s="3" t="str">
        <f ca="1">VLOOKUP($C212&amp;"_"&amp;$F212,OFFSET([1]stages!$A$1,0,0,COUNTA([1]stages!$A:$A),MATCH(G$1,[1]stages!$2:$2,0)-MATCH("temp_stage",[1]stages!$2:$2,0)+1),MATCH(G$1,[1]stages!$2:$2,0)-MATCH("temp_stage",[1]stages!$2:$2,0)+1,FALSE)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2" s="3" t="str">
        <f ca="1">VLOOKUP($C212&amp;"_"&amp;$F212,OFFSET([1]stages!$A$1,0,0,COUNTA([1]stages!$A:$A),MATCH(H$1,[1]stages!$2:$2,0)-MATCH("temp_stage",[1]stages!$2:$2,0)+1),MATCH(H$1,[1]stages!$2:$2,0)-MATCH("temp_stage",[1]stages!$2:$2,0)+1,FALSE)</f>
        <v>水曜クエスト</v>
      </c>
      <c r="I212" s="18">
        <v>0</v>
      </c>
      <c r="J212" s="5">
        <f>COUNTIF(C$1:C212,C212)</f>
        <v>13</v>
      </c>
      <c r="K212" s="34">
        <v>17</v>
      </c>
      <c r="L212" s="5" t="s">
        <v>17</v>
      </c>
      <c r="M212" s="38" t="str">
        <f>VLOOKUP(K212,[2]stage_hints!$A:$C,3,FALSE)</f>
        <v>リンクガチャ</v>
      </c>
      <c r="N212" s="39" t="str">
        <f>VLOOKUP(K212,[2]stage_hints!$A:$D,4,FALSE)</f>
        <v>無料のリンクガチャを回して
経験値素材や売却素材を獲得しましょう</v>
      </c>
      <c r="O212" s="20" t="s">
        <v>24</v>
      </c>
      <c r="P212">
        <v>17</v>
      </c>
    </row>
    <row r="213" spans="1:16" x14ac:dyDescent="0.15">
      <c r="A213" s="27" t="str">
        <f t="shared" si="40"/>
        <v>11103_3_14</v>
      </c>
      <c r="B213" s="25" t="s">
        <v>34</v>
      </c>
      <c r="C213" s="4">
        <v>11103</v>
      </c>
      <c r="D213" s="3" t="str">
        <f ca="1">VLOOKUP($C213,OFFSET([1]quests!$A$1,0,0,COUNTA([1]quests!$A:$A),MATCH(D$1,[1]quests!$1:$1,0)-MATCH($C$1,[1]quests!$1:$1,0)+1),MATCH(D$1,[1]quests!$1:$1,0)-MATCH($C$1,[1]quests!$1:$1,0)+1,FALSE)</f>
        <v>【期間限定】 青の素材</v>
      </c>
      <c r="E213" s="3" t="str">
        <f ca="1">VLOOKUP($C213,OFFSET([1]quests!$A$1,0,0,COUNTA([1]quests!$A:$A),MATCH(E$1,[1]quests!$1:$1,0)-MATCH($C$1,[1]quests!$1:$1,0)+1),MATCH(E$1,[1]quests!$1:$1,0)-MATCH($C$1,[1]quests!$1:$1,0)+1,FALSE)</f>
        <v>水曜クエスト</v>
      </c>
      <c r="F213" s="5">
        <v>3</v>
      </c>
      <c r="G213" s="3" t="str">
        <f ca="1">VLOOKUP($C213&amp;"_"&amp;$F213,OFFSET([1]stages!$A$1,0,0,COUNTA([1]stages!$A:$A),MATCH(G$1,[1]stages!$2:$2,0)-MATCH("temp_stage",[1]stages!$2:$2,0)+1),MATCH(G$1,[1]stages!$2:$2,0)-MATCH("temp_stage",[1]stages!$2:$2,0)+1,FALSE)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3" s="3" t="str">
        <f ca="1">VLOOKUP($C213&amp;"_"&amp;$F213,OFFSET([1]stages!$A$1,0,0,COUNTA([1]stages!$A:$A),MATCH(H$1,[1]stages!$2:$2,0)-MATCH("temp_stage",[1]stages!$2:$2,0)+1),MATCH(H$1,[1]stages!$2:$2,0)-MATCH("temp_stage",[1]stages!$2:$2,0)+1,FALSE)</f>
        <v>水曜クエスト</v>
      </c>
      <c r="I213" s="18">
        <v>0</v>
      </c>
      <c r="J213" s="5">
        <f>COUNTIF(C$1:C213,C213)</f>
        <v>14</v>
      </c>
      <c r="K213" s="34">
        <v>18</v>
      </c>
      <c r="L213" s="5" t="s">
        <v>17</v>
      </c>
      <c r="M213" s="38" t="str">
        <f>VLOOKUP(K213,[2]stage_hints!$A:$C,3,FALSE)</f>
        <v>マルチプレイのメリット（その2）</v>
      </c>
      <c r="N213" s="39" t="str">
        <f>VLOOKUP(K213,[2]stage_hints!$A:$D,4,FALSE)</f>
        <v>マルチプレイならリンクが2倍もらえます
リンクガチャをたくさん回しましょう</v>
      </c>
      <c r="O213" s="20" t="s">
        <v>24</v>
      </c>
      <c r="P213">
        <v>18</v>
      </c>
    </row>
    <row r="214" spans="1:16" x14ac:dyDescent="0.15">
      <c r="A214" s="27" t="str">
        <f t="shared" si="40"/>
        <v>11103_3_15</v>
      </c>
      <c r="B214" s="25" t="s">
        <v>34</v>
      </c>
      <c r="C214" s="4">
        <v>11103</v>
      </c>
      <c r="D214" s="3" t="str">
        <f ca="1">VLOOKUP($C214,OFFSET([1]quests!$A$1,0,0,COUNTA([1]quests!$A:$A),MATCH(D$1,[1]quests!$1:$1,0)-MATCH($C$1,[1]quests!$1:$1,0)+1),MATCH(D$1,[1]quests!$1:$1,0)-MATCH($C$1,[1]quests!$1:$1,0)+1,FALSE)</f>
        <v>【期間限定】 青の素材</v>
      </c>
      <c r="E214" s="3" t="str">
        <f ca="1">VLOOKUP($C214,OFFSET([1]quests!$A$1,0,0,COUNTA([1]quests!$A:$A),MATCH(E$1,[1]quests!$1:$1,0)-MATCH($C$1,[1]quests!$1:$1,0)+1),MATCH(E$1,[1]quests!$1:$1,0)-MATCH($C$1,[1]quests!$1:$1,0)+1,FALSE)</f>
        <v>水曜クエスト</v>
      </c>
      <c r="F214" s="5">
        <v>3</v>
      </c>
      <c r="G214" s="3" t="str">
        <f ca="1">VLOOKUP($C214&amp;"_"&amp;$F214,OFFSET([1]stages!$A$1,0,0,COUNTA([1]stages!$A:$A),MATCH(G$1,[1]stages!$2:$2,0)-MATCH("temp_stage",[1]stages!$2:$2,0)+1),MATCH(G$1,[1]stages!$2:$2,0)-MATCH("temp_stage",[1]stages!$2:$2,0)+1,FALSE)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4" s="3" t="str">
        <f ca="1">VLOOKUP($C214&amp;"_"&amp;$F214,OFFSET([1]stages!$A$1,0,0,COUNTA([1]stages!$A:$A),MATCH(H$1,[1]stages!$2:$2,0)-MATCH("temp_stage",[1]stages!$2:$2,0)+1),MATCH(H$1,[1]stages!$2:$2,0)-MATCH("temp_stage",[1]stages!$2:$2,0)+1,FALSE)</f>
        <v>水曜クエスト</v>
      </c>
      <c r="I214" s="18">
        <v>0</v>
      </c>
      <c r="J214" s="5">
        <f>COUNTIF(C$1:C214,C214)</f>
        <v>15</v>
      </c>
      <c r="K214" s="34">
        <v>19</v>
      </c>
      <c r="L214" s="5" t="s">
        <v>17</v>
      </c>
      <c r="M214" s="38" t="str">
        <f>VLOOKUP(K214,[2]stage_hints!$A:$C,3,FALSE)</f>
        <v>ソロ専用チャレンジタワー</v>
      </c>
      <c r="N214" s="39" t="str">
        <f>VLOOKUP(K214,[2]stage_hints!$A:$D,4,FALSE)</f>
        <v>ソロ専用の「チャレンジタワー」では
各フロアごとにクリア報酬がもらえます</v>
      </c>
      <c r="O214" s="20" t="s">
        <v>24</v>
      </c>
      <c r="P214">
        <v>19</v>
      </c>
    </row>
    <row r="215" spans="1:16" x14ac:dyDescent="0.15">
      <c r="A215" s="27" t="str">
        <f t="shared" ref="A215:A216" si="41">C215&amp;"_"&amp;F215&amp;"_"&amp;J215</f>
        <v>11103_3_16</v>
      </c>
      <c r="B215" s="25" t="s">
        <v>34</v>
      </c>
      <c r="C215" s="4">
        <v>11103</v>
      </c>
      <c r="D215" s="3" t="str">
        <f ca="1">VLOOKUP($C215,OFFSET([1]quests!$A$1,0,0,COUNTA([1]quests!$A:$A),MATCH(D$1,[1]quests!$1:$1,0)-MATCH($C$1,[1]quests!$1:$1,0)+1),MATCH(D$1,[1]quests!$1:$1,0)-MATCH($C$1,[1]quests!$1:$1,0)+1,FALSE)</f>
        <v>【期間限定】 青の素材</v>
      </c>
      <c r="E215" s="3" t="str">
        <f ca="1">VLOOKUP($C215,OFFSET([1]quests!$A$1,0,0,COUNTA([1]quests!$A:$A),MATCH(E$1,[1]quests!$1:$1,0)-MATCH($C$1,[1]quests!$1:$1,0)+1),MATCH(E$1,[1]quests!$1:$1,0)-MATCH($C$1,[1]quests!$1:$1,0)+1,FALSE)</f>
        <v>水曜クエスト</v>
      </c>
      <c r="F215" s="5">
        <v>3</v>
      </c>
      <c r="G215" s="3" t="str">
        <f ca="1">VLOOKUP($C215&amp;"_"&amp;$F215,OFFSET([1]stages!$A$1,0,0,COUNTA([1]stages!$A:$A),MATCH(G$1,[1]stages!$2:$2,0)-MATCH("temp_stage",[1]stages!$2:$2,0)+1),MATCH(G$1,[1]stages!$2:$2,0)-MATCH("temp_stage",[1]stages!$2:$2,0)+1,FALSE)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5" s="3" t="str">
        <f ca="1">VLOOKUP($C215&amp;"_"&amp;$F215,OFFSET([1]stages!$A$1,0,0,COUNTA([1]stages!$A:$A),MATCH(H$1,[1]stages!$2:$2,0)-MATCH("temp_stage",[1]stages!$2:$2,0)+1),MATCH(H$1,[1]stages!$2:$2,0)-MATCH("temp_stage",[1]stages!$2:$2,0)+1,FALSE)</f>
        <v>水曜クエスト</v>
      </c>
      <c r="I215" s="18">
        <v>0</v>
      </c>
      <c r="J215" s="5">
        <f>COUNTIF(C$1:C215,C215)</f>
        <v>16</v>
      </c>
      <c r="K215" s="34">
        <v>20</v>
      </c>
      <c r="L215" s="5" t="s">
        <v>17</v>
      </c>
      <c r="M215" s="38" t="str">
        <f>VLOOKUP(K215,[2]stage_hints!$A:$C,3,FALSE)</f>
        <v>マルチプレイのメリット（その3）</v>
      </c>
      <c r="N215" s="39" t="str">
        <f>VLOOKUP(K215,[2]stage_hints!$A:$D,4,FALSE)</f>
        <v>マルチプレイへの参加はエナジー消費ゼロ
いつでも好きなだけ遊ぶことができます</v>
      </c>
      <c r="O215" s="20" t="s">
        <v>24</v>
      </c>
      <c r="P215">
        <v>20</v>
      </c>
    </row>
    <row r="216" spans="1:16" x14ac:dyDescent="0.15">
      <c r="A216" s="27" t="str">
        <f t="shared" si="41"/>
        <v>11103_3_17</v>
      </c>
      <c r="B216" s="25" t="s">
        <v>34</v>
      </c>
      <c r="C216" s="4">
        <v>11103</v>
      </c>
      <c r="D216" s="3" t="str">
        <f ca="1">VLOOKUP($C216,OFFSET([1]quests!$A$1,0,0,COUNTA([1]quests!$A:$A),MATCH(D$1,[1]quests!$1:$1,0)-MATCH($C$1,[1]quests!$1:$1,0)+1),MATCH(D$1,[1]quests!$1:$1,0)-MATCH($C$1,[1]quests!$1:$1,0)+1,FALSE)</f>
        <v>【期間限定】 青の素材</v>
      </c>
      <c r="E216" s="3" t="str">
        <f ca="1">VLOOKUP($C216,OFFSET([1]quests!$A$1,0,0,COUNTA([1]quests!$A:$A),MATCH(E$1,[1]quests!$1:$1,0)-MATCH($C$1,[1]quests!$1:$1,0)+1),MATCH(E$1,[1]quests!$1:$1,0)-MATCH($C$1,[1]quests!$1:$1,0)+1,FALSE)</f>
        <v>水曜クエスト</v>
      </c>
      <c r="F216" s="5">
        <v>3</v>
      </c>
      <c r="G216" s="3" t="str">
        <f ca="1">VLOOKUP($C216&amp;"_"&amp;$F216,OFFSET([1]stages!$A$1,0,0,COUNTA([1]stages!$A:$A),MATCH(G$1,[1]stages!$2:$2,0)-MATCH("temp_stage",[1]stages!$2:$2,0)+1),MATCH(G$1,[1]stages!$2:$2,0)-MATCH("temp_stage",[1]stages!$2:$2,0)+1,FALSE)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6" s="3" t="str">
        <f ca="1">VLOOKUP($C216&amp;"_"&amp;$F216,OFFSET([1]stages!$A$1,0,0,COUNTA([1]stages!$A:$A),MATCH(H$1,[1]stages!$2:$2,0)-MATCH("temp_stage",[1]stages!$2:$2,0)+1),MATCH(H$1,[1]stages!$2:$2,0)-MATCH("temp_stage",[1]stages!$2:$2,0)+1,FALSE)</f>
        <v>水曜クエスト</v>
      </c>
      <c r="I216" s="18">
        <v>0</v>
      </c>
      <c r="J216" s="5">
        <f>COUNTIF(C$1:C216,C216)</f>
        <v>17</v>
      </c>
      <c r="K216" s="34">
        <v>21</v>
      </c>
      <c r="L216" s="5" t="s">
        <v>17</v>
      </c>
      <c r="M216" s="38" t="str">
        <f>VLOOKUP(K216,[2]stage_hints!$A:$C,3,FALSE)</f>
        <v>スキルを有効に</v>
      </c>
      <c r="N216" s="39" t="str">
        <f>VLOOKUP(K216,[2]stage_hints!$A:$D,4,FALSE)</f>
        <v>ターン経過でユニットのスキルが使えます
強力スキルでバトルを有利に進めましょう</v>
      </c>
      <c r="O216" s="20" t="s">
        <v>24</v>
      </c>
      <c r="P216">
        <v>21</v>
      </c>
    </row>
    <row r="217" spans="1:16" x14ac:dyDescent="0.15">
      <c r="A217" s="27" t="str">
        <f t="shared" ref="A217:A229" si="42">C217&amp;"_"&amp;F217&amp;"_"&amp;J217</f>
        <v>11103_3_18</v>
      </c>
      <c r="B217" s="25" t="s">
        <v>34</v>
      </c>
      <c r="C217" s="4">
        <v>11103</v>
      </c>
      <c r="D217" s="3" t="str">
        <f ca="1">VLOOKUP($C217,OFFSET([1]quests!$A$1,0,0,COUNTA([1]quests!$A:$A),MATCH(D$1,[1]quests!$1:$1,0)-MATCH($C$1,[1]quests!$1:$1,0)+1),MATCH(D$1,[1]quests!$1:$1,0)-MATCH($C$1,[1]quests!$1:$1,0)+1,FALSE)</f>
        <v>【期間限定】 青の素材</v>
      </c>
      <c r="E217" s="3" t="str">
        <f ca="1">VLOOKUP($C217,OFFSET([1]quests!$A$1,0,0,COUNTA([1]quests!$A:$A),MATCH(E$1,[1]quests!$1:$1,0)-MATCH($C$1,[1]quests!$1:$1,0)+1),MATCH(E$1,[1]quests!$1:$1,0)-MATCH($C$1,[1]quests!$1:$1,0)+1,FALSE)</f>
        <v>水曜クエスト</v>
      </c>
      <c r="F217" s="5">
        <v>3</v>
      </c>
      <c r="G217" s="3" t="str">
        <f ca="1">VLOOKUP($C217&amp;"_"&amp;$F217,OFFSET([1]stages!$A$1,0,0,COUNTA([1]stages!$A:$A),MATCH(G$1,[1]stages!$2:$2,0)-MATCH("temp_stage",[1]stages!$2:$2,0)+1),MATCH(G$1,[1]stages!$2:$2,0)-MATCH("temp_stage",[1]stages!$2:$2,0)+1,FALSE)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7" s="3" t="str">
        <f ca="1">VLOOKUP($C217&amp;"_"&amp;$F217,OFFSET([1]stages!$A$1,0,0,COUNTA([1]stages!$A:$A),MATCH(H$1,[1]stages!$2:$2,0)-MATCH("temp_stage",[1]stages!$2:$2,0)+1),MATCH(H$1,[1]stages!$2:$2,0)-MATCH("temp_stage",[1]stages!$2:$2,0)+1,FALSE)</f>
        <v>水曜クエスト</v>
      </c>
      <c r="I217" s="18">
        <v>0</v>
      </c>
      <c r="J217" s="5">
        <f>COUNTIF(C$1:C217,C217)</f>
        <v>18</v>
      </c>
      <c r="K217" s="34">
        <v>22</v>
      </c>
      <c r="L217" s="5" t="s">
        <v>17</v>
      </c>
      <c r="M217" s="38" t="str">
        <f>VLOOKUP(K217,[2]stage_hints!$A:$C,3,FALSE)</f>
        <v>フィーバーで一発逆転（その1）</v>
      </c>
      <c r="N217" s="39" t="str">
        <f>VLOOKUP(K217,[2]stage_hints!$A:$D,4,FALSE)</f>
        <v>フィーバーは攻撃と回復を兼ね備えます
ピンチからの一発逆転を狙いましょう</v>
      </c>
      <c r="O217" s="20" t="s">
        <v>24</v>
      </c>
      <c r="P217">
        <v>22</v>
      </c>
    </row>
    <row r="218" spans="1:16" x14ac:dyDescent="0.15">
      <c r="A218" s="27" t="str">
        <f t="shared" si="42"/>
        <v>11103_3_19</v>
      </c>
      <c r="B218" s="25" t="s">
        <v>34</v>
      </c>
      <c r="C218" s="4">
        <v>11103</v>
      </c>
      <c r="D218" s="3" t="str">
        <f ca="1">VLOOKUP($C218,OFFSET([1]quests!$A$1,0,0,COUNTA([1]quests!$A:$A),MATCH(D$1,[1]quests!$1:$1,0)-MATCH($C$1,[1]quests!$1:$1,0)+1),MATCH(D$1,[1]quests!$1:$1,0)-MATCH($C$1,[1]quests!$1:$1,0)+1,FALSE)</f>
        <v>【期間限定】 青の素材</v>
      </c>
      <c r="E218" s="3" t="str">
        <f ca="1">VLOOKUP($C218,OFFSET([1]quests!$A$1,0,0,COUNTA([1]quests!$A:$A),MATCH(E$1,[1]quests!$1:$1,0)-MATCH($C$1,[1]quests!$1:$1,0)+1),MATCH(E$1,[1]quests!$1:$1,0)-MATCH($C$1,[1]quests!$1:$1,0)+1,FALSE)</f>
        <v>水曜クエスト</v>
      </c>
      <c r="F218" s="5">
        <v>3</v>
      </c>
      <c r="G218" s="3" t="str">
        <f ca="1">VLOOKUP($C218&amp;"_"&amp;$F218,OFFSET([1]stages!$A$1,0,0,COUNTA([1]stages!$A:$A),MATCH(G$1,[1]stages!$2:$2,0)-MATCH("temp_stage",[1]stages!$2:$2,0)+1),MATCH(G$1,[1]stages!$2:$2,0)-MATCH("temp_stage",[1]stages!$2:$2,0)+1,FALSE)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8" s="3" t="str">
        <f ca="1">VLOOKUP($C218&amp;"_"&amp;$F218,OFFSET([1]stages!$A$1,0,0,COUNTA([1]stages!$A:$A),MATCH(H$1,[1]stages!$2:$2,0)-MATCH("temp_stage",[1]stages!$2:$2,0)+1),MATCH(H$1,[1]stages!$2:$2,0)-MATCH("temp_stage",[1]stages!$2:$2,0)+1,FALSE)</f>
        <v>水曜クエスト</v>
      </c>
      <c r="I218" s="18">
        <v>0</v>
      </c>
      <c r="J218" s="5">
        <f>COUNTIF(C$1:C218,C218)</f>
        <v>19</v>
      </c>
      <c r="K218" s="34">
        <v>23</v>
      </c>
      <c r="L218" s="5" t="s">
        <v>17</v>
      </c>
      <c r="M218" s="38" t="str">
        <f>VLOOKUP(K218,[2]stage_hints!$A:$C,3,FALSE)</f>
        <v>フィーバーで一発逆転（その2）</v>
      </c>
      <c r="N218" s="39" t="str">
        <f>VLOOKUP(K218,[2]stage_hints!$A:$D,4,FALSE)</f>
        <v>フィーバー中は虹色のボムパネルを狙って
画面上のパネルを一気に破壊しましょう</v>
      </c>
      <c r="O218" s="20" t="s">
        <v>24</v>
      </c>
      <c r="P218">
        <v>23</v>
      </c>
    </row>
    <row r="219" spans="1:16" x14ac:dyDescent="0.15">
      <c r="A219" s="27" t="str">
        <f t="shared" si="42"/>
        <v>11103_3_20</v>
      </c>
      <c r="B219" s="25" t="s">
        <v>34</v>
      </c>
      <c r="C219" s="4">
        <v>11103</v>
      </c>
      <c r="D219" s="3" t="str">
        <f ca="1">VLOOKUP($C219,OFFSET([1]quests!$A$1,0,0,COUNTA([1]quests!$A:$A),MATCH(D$1,[1]quests!$1:$1,0)-MATCH($C$1,[1]quests!$1:$1,0)+1),MATCH(D$1,[1]quests!$1:$1,0)-MATCH($C$1,[1]quests!$1:$1,0)+1,FALSE)</f>
        <v>【期間限定】 青の素材</v>
      </c>
      <c r="E219" s="3" t="str">
        <f ca="1">VLOOKUP($C219,OFFSET([1]quests!$A$1,0,0,COUNTA([1]quests!$A:$A),MATCH(E$1,[1]quests!$1:$1,0)-MATCH($C$1,[1]quests!$1:$1,0)+1),MATCH(E$1,[1]quests!$1:$1,0)-MATCH($C$1,[1]quests!$1:$1,0)+1,FALSE)</f>
        <v>水曜クエスト</v>
      </c>
      <c r="F219" s="5">
        <v>3</v>
      </c>
      <c r="G219" s="3" t="str">
        <f ca="1">VLOOKUP($C219&amp;"_"&amp;$F219,OFFSET([1]stages!$A$1,0,0,COUNTA([1]stages!$A:$A),MATCH(G$1,[1]stages!$2:$2,0)-MATCH("temp_stage",[1]stages!$2:$2,0)+1),MATCH(G$1,[1]stages!$2:$2,0)-MATCH("temp_stage",[1]stages!$2:$2,0)+1,FALSE)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19" s="3" t="str">
        <f ca="1">VLOOKUP($C219&amp;"_"&amp;$F219,OFFSET([1]stages!$A$1,0,0,COUNTA([1]stages!$A:$A),MATCH(H$1,[1]stages!$2:$2,0)-MATCH("temp_stage",[1]stages!$2:$2,0)+1),MATCH(H$1,[1]stages!$2:$2,0)-MATCH("temp_stage",[1]stages!$2:$2,0)+1,FALSE)</f>
        <v>水曜クエスト</v>
      </c>
      <c r="I219" s="18">
        <v>0</v>
      </c>
      <c r="J219" s="5">
        <f>COUNTIF(C$1:C219,C219)</f>
        <v>20</v>
      </c>
      <c r="K219" s="34">
        <v>24</v>
      </c>
      <c r="L219" s="5" t="s">
        <v>17</v>
      </c>
      <c r="M219" s="38" t="str">
        <f>VLOOKUP(K219,[2]stage_hints!$A:$C,3,FALSE)</f>
        <v>りんごを使って限界突破</v>
      </c>
      <c r="N219" s="39" t="str">
        <f>VLOOKUP(K219,[2]stage_hints!$A:$D,4,FALSE)</f>
        <v>赤りんご(攻撃力) 青りんご(回復力)
緑りんご(体力)をユニット強化に使うと
ステータスが限界突破します（計99個迄）</v>
      </c>
      <c r="O219" s="20" t="s">
        <v>24</v>
      </c>
      <c r="P219">
        <v>24</v>
      </c>
    </row>
    <row r="220" spans="1:16" x14ac:dyDescent="0.15">
      <c r="A220" s="27" t="str">
        <f t="shared" si="42"/>
        <v>11103_3_21</v>
      </c>
      <c r="B220" s="25" t="s">
        <v>34</v>
      </c>
      <c r="C220" s="4">
        <v>11103</v>
      </c>
      <c r="D220" s="3" t="str">
        <f ca="1">VLOOKUP($C220,OFFSET([1]quests!$A$1,0,0,COUNTA([1]quests!$A:$A),MATCH(D$1,[1]quests!$1:$1,0)-MATCH($C$1,[1]quests!$1:$1,0)+1),MATCH(D$1,[1]quests!$1:$1,0)-MATCH($C$1,[1]quests!$1:$1,0)+1,FALSE)</f>
        <v>【期間限定】 青の素材</v>
      </c>
      <c r="E220" s="3" t="str">
        <f ca="1">VLOOKUP($C220,OFFSET([1]quests!$A$1,0,0,COUNTA([1]quests!$A:$A),MATCH(E$1,[1]quests!$1:$1,0)-MATCH($C$1,[1]quests!$1:$1,0)+1),MATCH(E$1,[1]quests!$1:$1,0)-MATCH($C$1,[1]quests!$1:$1,0)+1,FALSE)</f>
        <v>水曜クエスト</v>
      </c>
      <c r="F220" s="5">
        <v>3</v>
      </c>
      <c r="G220" s="3" t="str">
        <f ca="1">VLOOKUP($C220&amp;"_"&amp;$F220,OFFSET([1]stages!$A$1,0,0,COUNTA([1]stages!$A:$A),MATCH(G$1,[1]stages!$2:$2,0)-MATCH("temp_stage",[1]stages!$2:$2,0)+1),MATCH(G$1,[1]stages!$2:$2,0)-MATCH("temp_stage",[1]stages!$2:$2,0)+1,FALSE)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0" s="3" t="str">
        <f ca="1">VLOOKUP($C220&amp;"_"&amp;$F220,OFFSET([1]stages!$A$1,0,0,COUNTA([1]stages!$A:$A),MATCH(H$1,[1]stages!$2:$2,0)-MATCH("temp_stage",[1]stages!$2:$2,0)+1),MATCH(H$1,[1]stages!$2:$2,0)-MATCH("temp_stage",[1]stages!$2:$2,0)+1,FALSE)</f>
        <v>水曜クエスト</v>
      </c>
      <c r="I220" s="18">
        <v>0</v>
      </c>
      <c r="J220" s="5">
        <f>COUNTIF(C$1:C220,C220)</f>
        <v>21</v>
      </c>
      <c r="K220" s="34">
        <v>25</v>
      </c>
      <c r="L220" s="5" t="s">
        <v>17</v>
      </c>
      <c r="M220" s="38" t="str">
        <f>VLOOKUP(K220,[2]stage_hints!$A:$C,3,FALSE)</f>
        <v>スキルレベルアップ</v>
      </c>
      <c r="N220" s="39" t="str">
        <f>VLOOKUP(K220,[2]stage_hints!$A:$D,4,FALSE)</f>
        <v>「クリスタルのりんご」を強化に使うと
スキルレベルを上げることができます</v>
      </c>
      <c r="O220" s="20" t="s">
        <v>24</v>
      </c>
      <c r="P220">
        <v>25</v>
      </c>
    </row>
    <row r="221" spans="1:16" x14ac:dyDescent="0.15">
      <c r="A221" s="27" t="str">
        <f t="shared" si="42"/>
        <v>11103_3_22</v>
      </c>
      <c r="B221" s="25" t="s">
        <v>34</v>
      </c>
      <c r="C221" s="4">
        <v>11103</v>
      </c>
      <c r="D221" s="3" t="str">
        <f ca="1">VLOOKUP($C221,OFFSET([1]quests!$A$1,0,0,COUNTA([1]quests!$A:$A),MATCH(D$1,[1]quests!$1:$1,0)-MATCH($C$1,[1]quests!$1:$1,0)+1),MATCH(D$1,[1]quests!$1:$1,0)-MATCH($C$1,[1]quests!$1:$1,0)+1,FALSE)</f>
        <v>【期間限定】 青の素材</v>
      </c>
      <c r="E221" s="3" t="str">
        <f ca="1">VLOOKUP($C221,OFFSET([1]quests!$A$1,0,0,COUNTA([1]quests!$A:$A),MATCH(E$1,[1]quests!$1:$1,0)-MATCH($C$1,[1]quests!$1:$1,0)+1),MATCH(E$1,[1]quests!$1:$1,0)-MATCH($C$1,[1]quests!$1:$1,0)+1,FALSE)</f>
        <v>水曜クエスト</v>
      </c>
      <c r="F221" s="5">
        <v>3</v>
      </c>
      <c r="G221" s="3" t="str">
        <f ca="1">VLOOKUP($C221&amp;"_"&amp;$F221,OFFSET([1]stages!$A$1,0,0,COUNTA([1]stages!$A:$A),MATCH(G$1,[1]stages!$2:$2,0)-MATCH("temp_stage",[1]stages!$2:$2,0)+1),MATCH(G$1,[1]stages!$2:$2,0)-MATCH("temp_stage",[1]stages!$2:$2,0)+1,FALSE)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1" s="3" t="str">
        <f ca="1">VLOOKUP($C221&amp;"_"&amp;$F221,OFFSET([1]stages!$A$1,0,0,COUNTA([1]stages!$A:$A),MATCH(H$1,[1]stages!$2:$2,0)-MATCH("temp_stage",[1]stages!$2:$2,0)+1),MATCH(H$1,[1]stages!$2:$2,0)-MATCH("temp_stage",[1]stages!$2:$2,0)+1,FALSE)</f>
        <v>水曜クエスト</v>
      </c>
      <c r="I221" s="18">
        <v>0</v>
      </c>
      <c r="J221" s="5">
        <f>COUNTIF(C$1:C221,C221)</f>
        <v>22</v>
      </c>
      <c r="K221" s="34">
        <v>26</v>
      </c>
      <c r="L221" s="5" t="s">
        <v>17</v>
      </c>
      <c r="M221" s="38" t="str">
        <f>VLOOKUP(K221,[2]stage_hints!$A:$C,3,FALSE)</f>
        <v>スキルレベルの効果</v>
      </c>
      <c r="N221" s="39" t="str">
        <f>VLOOKUP(K221,[2]stage_hints!$A:$D,4,FALSE)</f>
        <v>スキルレベルが上がると
短いターンでスキルを使うことができます</v>
      </c>
      <c r="O221" s="20" t="s">
        <v>24</v>
      </c>
      <c r="P221">
        <v>26</v>
      </c>
    </row>
    <row r="222" spans="1:16" x14ac:dyDescent="0.15">
      <c r="A222" s="27" t="str">
        <f t="shared" si="42"/>
        <v>11103_3_23</v>
      </c>
      <c r="B222" s="25" t="s">
        <v>34</v>
      </c>
      <c r="C222" s="4">
        <v>11103</v>
      </c>
      <c r="D222" s="3" t="str">
        <f ca="1">VLOOKUP($C222,OFFSET([1]quests!$A$1,0,0,COUNTA([1]quests!$A:$A),MATCH(D$1,[1]quests!$1:$1,0)-MATCH($C$1,[1]quests!$1:$1,0)+1),MATCH(D$1,[1]quests!$1:$1,0)-MATCH($C$1,[1]quests!$1:$1,0)+1,FALSE)</f>
        <v>【期間限定】 青の素材</v>
      </c>
      <c r="E222" s="3" t="str">
        <f ca="1">VLOOKUP($C222,OFFSET([1]quests!$A$1,0,0,COUNTA([1]quests!$A:$A),MATCH(E$1,[1]quests!$1:$1,0)-MATCH($C$1,[1]quests!$1:$1,0)+1),MATCH(E$1,[1]quests!$1:$1,0)-MATCH($C$1,[1]quests!$1:$1,0)+1,FALSE)</f>
        <v>水曜クエスト</v>
      </c>
      <c r="F222" s="5">
        <v>3</v>
      </c>
      <c r="G222" s="3" t="str">
        <f ca="1">VLOOKUP($C222&amp;"_"&amp;$F222,OFFSET([1]stages!$A$1,0,0,COUNTA([1]stages!$A:$A),MATCH(G$1,[1]stages!$2:$2,0)-MATCH("temp_stage",[1]stages!$2:$2,0)+1),MATCH(G$1,[1]stages!$2:$2,0)-MATCH("temp_stage",[1]stages!$2:$2,0)+1,FALSE)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2" s="3" t="str">
        <f ca="1">VLOOKUP($C222&amp;"_"&amp;$F222,OFFSET([1]stages!$A$1,0,0,COUNTA([1]stages!$A:$A),MATCH(H$1,[1]stages!$2:$2,0)-MATCH("temp_stage",[1]stages!$2:$2,0)+1),MATCH(H$1,[1]stages!$2:$2,0)-MATCH("temp_stage",[1]stages!$2:$2,0)+1,FALSE)</f>
        <v>水曜クエスト</v>
      </c>
      <c r="I222" s="18">
        <v>0</v>
      </c>
      <c r="J222" s="5">
        <f>COUNTIF(C$1:C222,C222)</f>
        <v>23</v>
      </c>
      <c r="K222" s="34">
        <v>27</v>
      </c>
      <c r="L222" s="5" t="s">
        <v>17</v>
      </c>
      <c r="M222" s="38" t="str">
        <f>VLOOKUP(K222,[2]stage_hints!$A:$C,3,FALSE)</f>
        <v>ホーム画面からデッキを編成</v>
      </c>
      <c r="N222" s="39" t="str">
        <f>VLOOKUP(K222,[2]stage_hints!$A:$D,4,FALSE)</f>
        <v>ホーム画面でユニットを長押しすると
すぐにパーティ編成に移動できます</v>
      </c>
      <c r="O222" s="20" t="s">
        <v>24</v>
      </c>
      <c r="P222">
        <v>27</v>
      </c>
    </row>
    <row r="223" spans="1:16" x14ac:dyDescent="0.15">
      <c r="A223" s="27" t="str">
        <f t="shared" si="42"/>
        <v>11103_3_24</v>
      </c>
      <c r="B223" s="25" t="s">
        <v>34</v>
      </c>
      <c r="C223" s="4">
        <v>11103</v>
      </c>
      <c r="D223" s="3" t="str">
        <f ca="1">VLOOKUP($C223,OFFSET([1]quests!$A$1,0,0,COUNTA([1]quests!$A:$A),MATCH(D$1,[1]quests!$1:$1,0)-MATCH($C$1,[1]quests!$1:$1,0)+1),MATCH(D$1,[1]quests!$1:$1,0)-MATCH($C$1,[1]quests!$1:$1,0)+1,FALSE)</f>
        <v>【期間限定】 青の素材</v>
      </c>
      <c r="E223" s="3" t="str">
        <f ca="1">VLOOKUP($C223,OFFSET([1]quests!$A$1,0,0,COUNTA([1]quests!$A:$A),MATCH(E$1,[1]quests!$1:$1,0)-MATCH($C$1,[1]quests!$1:$1,0)+1),MATCH(E$1,[1]quests!$1:$1,0)-MATCH($C$1,[1]quests!$1:$1,0)+1,FALSE)</f>
        <v>水曜クエスト</v>
      </c>
      <c r="F223" s="5">
        <v>3</v>
      </c>
      <c r="G223" s="3" t="str">
        <f ca="1">VLOOKUP($C223&amp;"_"&amp;$F223,OFFSET([1]stages!$A$1,0,0,COUNTA([1]stages!$A:$A),MATCH(G$1,[1]stages!$2:$2,0)-MATCH("temp_stage",[1]stages!$2:$2,0)+1),MATCH(G$1,[1]stages!$2:$2,0)-MATCH("temp_stage",[1]stages!$2:$2,0)+1,FALSE)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3" s="3" t="str">
        <f ca="1">VLOOKUP($C223&amp;"_"&amp;$F223,OFFSET([1]stages!$A$1,0,0,COUNTA([1]stages!$A:$A),MATCH(H$1,[1]stages!$2:$2,0)-MATCH("temp_stage",[1]stages!$2:$2,0)+1),MATCH(H$1,[1]stages!$2:$2,0)-MATCH("temp_stage",[1]stages!$2:$2,0)+1,FALSE)</f>
        <v>水曜クエスト</v>
      </c>
      <c r="I223" s="18">
        <v>0</v>
      </c>
      <c r="J223" s="5">
        <f>COUNTIF(C$1:C223,C223)</f>
        <v>24</v>
      </c>
      <c r="K223" s="34">
        <v>28</v>
      </c>
      <c r="L223" s="5" t="s">
        <v>17</v>
      </c>
      <c r="M223" s="38" t="str">
        <f>VLOOKUP(K223,[2]stage_hints!$A:$C,3,FALSE)</f>
        <v>ステータス情報は長押しで</v>
      </c>
      <c r="N223" s="39" t="str">
        <f>VLOOKUP(K223,[2]stage_hints!$A:$D,4,FALSE)</f>
        <v>ユニットのアイコンを長押しすると
ステータス情報を確認することができます</v>
      </c>
      <c r="O223" s="20" t="s">
        <v>24</v>
      </c>
      <c r="P223">
        <v>28</v>
      </c>
    </row>
    <row r="224" spans="1:16" x14ac:dyDescent="0.15">
      <c r="A224" s="27" t="str">
        <f t="shared" si="42"/>
        <v>11103_3_25</v>
      </c>
      <c r="B224" s="25" t="s">
        <v>34</v>
      </c>
      <c r="C224" s="4">
        <v>11103</v>
      </c>
      <c r="D224" s="3" t="str">
        <f ca="1">VLOOKUP($C224,OFFSET([1]quests!$A$1,0,0,COUNTA([1]quests!$A:$A),MATCH(D$1,[1]quests!$1:$1,0)-MATCH($C$1,[1]quests!$1:$1,0)+1),MATCH(D$1,[1]quests!$1:$1,0)-MATCH($C$1,[1]quests!$1:$1,0)+1,FALSE)</f>
        <v>【期間限定】 青の素材</v>
      </c>
      <c r="E224" s="3" t="str">
        <f ca="1">VLOOKUP($C224,OFFSET([1]quests!$A$1,0,0,COUNTA([1]quests!$A:$A),MATCH(E$1,[1]quests!$1:$1,0)-MATCH($C$1,[1]quests!$1:$1,0)+1),MATCH(E$1,[1]quests!$1:$1,0)-MATCH($C$1,[1]quests!$1:$1,0)+1,FALSE)</f>
        <v>水曜クエスト</v>
      </c>
      <c r="F224" s="5">
        <v>3</v>
      </c>
      <c r="G224" s="3" t="str">
        <f ca="1">VLOOKUP($C224&amp;"_"&amp;$F224,OFFSET([1]stages!$A$1,0,0,COUNTA([1]stages!$A:$A),MATCH(G$1,[1]stages!$2:$2,0)-MATCH("temp_stage",[1]stages!$2:$2,0)+1),MATCH(G$1,[1]stages!$2:$2,0)-MATCH("temp_stage",[1]stages!$2:$2,0)+1,FALSE)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4" s="3" t="str">
        <f ca="1">VLOOKUP($C224&amp;"_"&amp;$F224,OFFSET([1]stages!$A$1,0,0,COUNTA([1]stages!$A:$A),MATCH(H$1,[1]stages!$2:$2,0)-MATCH("temp_stage",[1]stages!$2:$2,0)+1),MATCH(H$1,[1]stages!$2:$2,0)-MATCH("temp_stage",[1]stages!$2:$2,0)+1,FALSE)</f>
        <v>水曜クエスト</v>
      </c>
      <c r="I224" s="18">
        <v>0</v>
      </c>
      <c r="J224" s="5">
        <f>COUNTIF(C$1:C224,C224)</f>
        <v>25</v>
      </c>
      <c r="K224" s="34">
        <v>29</v>
      </c>
      <c r="L224" s="5" t="s">
        <v>17</v>
      </c>
      <c r="M224" s="38" t="str">
        <f>VLOOKUP(K224,[2]stage_hints!$A:$C,3,FALSE)</f>
        <v>「バグ」のメリット</v>
      </c>
      <c r="N224" s="39" t="str">
        <f>VLOOKUP(K224,[2]stage_hints!$A:$D,4,FALSE)</f>
        <v>ユニットの「バグ」を増やすと
報酬をもらえる確率がアップします</v>
      </c>
      <c r="O224" s="20" t="s">
        <v>24</v>
      </c>
      <c r="P224">
        <v>29</v>
      </c>
    </row>
    <row r="225" spans="1:16" x14ac:dyDescent="0.15">
      <c r="A225" s="27" t="str">
        <f t="shared" si="42"/>
        <v>11103_3_26</v>
      </c>
      <c r="B225" s="25" t="s">
        <v>34</v>
      </c>
      <c r="C225" s="4">
        <v>11103</v>
      </c>
      <c r="D225" s="3" t="str">
        <f ca="1">VLOOKUP($C225,OFFSET([1]quests!$A$1,0,0,COUNTA([1]quests!$A:$A),MATCH(D$1,[1]quests!$1:$1,0)-MATCH($C$1,[1]quests!$1:$1,0)+1),MATCH(D$1,[1]quests!$1:$1,0)-MATCH($C$1,[1]quests!$1:$1,0)+1,FALSE)</f>
        <v>【期間限定】 青の素材</v>
      </c>
      <c r="E225" s="3" t="str">
        <f ca="1">VLOOKUP($C225,OFFSET([1]quests!$A$1,0,0,COUNTA([1]quests!$A:$A),MATCH(E$1,[1]quests!$1:$1,0)-MATCH($C$1,[1]quests!$1:$1,0)+1),MATCH(E$1,[1]quests!$1:$1,0)-MATCH($C$1,[1]quests!$1:$1,0)+1,FALSE)</f>
        <v>水曜クエスト</v>
      </c>
      <c r="F225" s="5">
        <v>3</v>
      </c>
      <c r="G225" s="3" t="str">
        <f ca="1">VLOOKUP($C225&amp;"_"&amp;$F225,OFFSET([1]stages!$A$1,0,0,COUNTA([1]stages!$A:$A),MATCH(G$1,[1]stages!$2:$2,0)-MATCH("temp_stage",[1]stages!$2:$2,0)+1),MATCH(G$1,[1]stages!$2:$2,0)-MATCH("temp_stage",[1]stages!$2:$2,0)+1,FALSE)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5" s="3" t="str">
        <f ca="1">VLOOKUP($C225&amp;"_"&amp;$F225,OFFSET([1]stages!$A$1,0,0,COUNTA([1]stages!$A:$A),MATCH(H$1,[1]stages!$2:$2,0)-MATCH("temp_stage",[1]stages!$2:$2,0)+1),MATCH(H$1,[1]stages!$2:$2,0)-MATCH("temp_stage",[1]stages!$2:$2,0)+1,FALSE)</f>
        <v>水曜クエスト</v>
      </c>
      <c r="I225" s="18">
        <v>0</v>
      </c>
      <c r="J225" s="5">
        <f>COUNTIF(C$1:C225,C225)</f>
        <v>26</v>
      </c>
      <c r="K225" s="34">
        <v>30</v>
      </c>
      <c r="L225" s="5" t="s">
        <v>17</v>
      </c>
      <c r="M225" s="38" t="str">
        <f>VLOOKUP(K225,[2]stage_hints!$A:$C,3,FALSE)</f>
        <v>「バグ」の増やし方</v>
      </c>
      <c r="N225" s="39" t="str">
        <f>VLOOKUP(K225,[2]stage_hints!$A:$D,4,FALSE)</f>
        <v>同じユニット同士を強化で合成すると
「バグ」を増やすことができます</v>
      </c>
      <c r="O225" s="20" t="s">
        <v>24</v>
      </c>
      <c r="P225">
        <v>30</v>
      </c>
    </row>
    <row r="226" spans="1:16" x14ac:dyDescent="0.15">
      <c r="A226" s="27" t="str">
        <f t="shared" si="42"/>
        <v>11103_3_27</v>
      </c>
      <c r="B226" s="25" t="s">
        <v>34</v>
      </c>
      <c r="C226" s="4">
        <v>11103</v>
      </c>
      <c r="D226" s="3" t="str">
        <f ca="1">VLOOKUP($C226,OFFSET([1]quests!$A$1,0,0,COUNTA([1]quests!$A:$A),MATCH(D$1,[1]quests!$1:$1,0)-MATCH($C$1,[1]quests!$1:$1,0)+1),MATCH(D$1,[1]quests!$1:$1,0)-MATCH($C$1,[1]quests!$1:$1,0)+1,FALSE)</f>
        <v>【期間限定】 青の素材</v>
      </c>
      <c r="E226" s="3" t="str">
        <f ca="1">VLOOKUP($C226,OFFSET([1]quests!$A$1,0,0,COUNTA([1]quests!$A:$A),MATCH(E$1,[1]quests!$1:$1,0)-MATCH($C$1,[1]quests!$1:$1,0)+1),MATCH(E$1,[1]quests!$1:$1,0)-MATCH($C$1,[1]quests!$1:$1,0)+1,FALSE)</f>
        <v>水曜クエスト</v>
      </c>
      <c r="F226" s="5">
        <v>3</v>
      </c>
      <c r="G226" s="3" t="str">
        <f ca="1">VLOOKUP($C226&amp;"_"&amp;$F226,OFFSET([1]stages!$A$1,0,0,COUNTA([1]stages!$A:$A),MATCH(G$1,[1]stages!$2:$2,0)-MATCH("temp_stage",[1]stages!$2:$2,0)+1),MATCH(G$1,[1]stages!$2:$2,0)-MATCH("temp_stage",[1]stages!$2:$2,0)+1,FALSE)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6" s="3" t="str">
        <f ca="1">VLOOKUP($C226&amp;"_"&amp;$F226,OFFSET([1]stages!$A$1,0,0,COUNTA([1]stages!$A:$A),MATCH(H$1,[1]stages!$2:$2,0)-MATCH("temp_stage",[1]stages!$2:$2,0)+1),MATCH(H$1,[1]stages!$2:$2,0)-MATCH("temp_stage",[1]stages!$2:$2,0)+1,FALSE)</f>
        <v>水曜クエスト</v>
      </c>
      <c r="I226" s="18">
        <v>0</v>
      </c>
      <c r="J226" s="5">
        <f>COUNTIF(C$1:C226,C226)</f>
        <v>27</v>
      </c>
      <c r="K226" s="34">
        <v>31</v>
      </c>
      <c r="L226" s="5" t="s">
        <v>17</v>
      </c>
      <c r="M226" s="38" t="str">
        <f>VLOOKUP(K226,[2]stage_hints!$A:$C,3,FALSE)</f>
        <v>イベントはお知らせでチェック</v>
      </c>
      <c r="N226" s="39" t="str">
        <f>VLOOKUP(K226,[2]stage_hints!$A:$D,4,FALSE)</f>
        <v>イベント限定ユニットを取り忘れないように
お知らせをこまめにチェックしましょう</v>
      </c>
      <c r="O226" s="20" t="s">
        <v>24</v>
      </c>
      <c r="P226">
        <v>31</v>
      </c>
    </row>
    <row r="227" spans="1:16" x14ac:dyDescent="0.15">
      <c r="A227" s="27" t="str">
        <f t="shared" si="42"/>
        <v>11103_3_28</v>
      </c>
      <c r="B227" s="25" t="s">
        <v>34</v>
      </c>
      <c r="C227" s="4">
        <v>11103</v>
      </c>
      <c r="D227" s="3" t="str">
        <f ca="1">VLOOKUP($C227,OFFSET([1]quests!$A$1,0,0,COUNTA([1]quests!$A:$A),MATCH(D$1,[1]quests!$1:$1,0)-MATCH($C$1,[1]quests!$1:$1,0)+1),MATCH(D$1,[1]quests!$1:$1,0)-MATCH($C$1,[1]quests!$1:$1,0)+1,FALSE)</f>
        <v>【期間限定】 青の素材</v>
      </c>
      <c r="E227" s="3" t="str">
        <f ca="1">VLOOKUP($C227,OFFSET([1]quests!$A$1,0,0,COUNTA([1]quests!$A:$A),MATCH(E$1,[1]quests!$1:$1,0)-MATCH($C$1,[1]quests!$1:$1,0)+1),MATCH(E$1,[1]quests!$1:$1,0)-MATCH($C$1,[1]quests!$1:$1,0)+1,FALSE)</f>
        <v>水曜クエスト</v>
      </c>
      <c r="F227" s="5">
        <v>3</v>
      </c>
      <c r="G227" s="3" t="str">
        <f ca="1">VLOOKUP($C227&amp;"_"&amp;$F227,OFFSET([1]stages!$A$1,0,0,COUNTA([1]stages!$A:$A),MATCH(G$1,[1]stages!$2:$2,0)-MATCH("temp_stage",[1]stages!$2:$2,0)+1),MATCH(G$1,[1]stages!$2:$2,0)-MATCH("temp_stage",[1]stages!$2:$2,0)+1,FALSE)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7" s="3" t="str">
        <f ca="1">VLOOKUP($C227&amp;"_"&amp;$F227,OFFSET([1]stages!$A$1,0,0,COUNTA([1]stages!$A:$A),MATCH(H$1,[1]stages!$2:$2,0)-MATCH("temp_stage",[1]stages!$2:$2,0)+1),MATCH(H$1,[1]stages!$2:$2,0)-MATCH("temp_stage",[1]stages!$2:$2,0)+1,FALSE)</f>
        <v>水曜クエスト</v>
      </c>
      <c r="I227" s="18">
        <v>0</v>
      </c>
      <c r="J227" s="5">
        <f>COUNTIF(C$1:C227,C227)</f>
        <v>28</v>
      </c>
      <c r="K227" s="34">
        <v>32</v>
      </c>
      <c r="L227" s="5" t="s">
        <v>17</v>
      </c>
      <c r="M227" s="38" t="str">
        <f>VLOOKUP(K227,[2]stage_hints!$A:$C,3,FALSE)</f>
        <v>敵の連続攻撃には</v>
      </c>
      <c r="N227" s="39" t="str">
        <f>VLOOKUP(K227,[2]stage_hints!$A:$D,4,FALSE)</f>
        <v>カウンタースキルを持つユニットがいれば
ダメージ回数分の反撃ができます</v>
      </c>
      <c r="O227" s="20" t="s">
        <v>24</v>
      </c>
      <c r="P227">
        <v>32</v>
      </c>
    </row>
    <row r="228" spans="1:16" x14ac:dyDescent="0.15">
      <c r="A228" s="27" t="str">
        <f t="shared" si="42"/>
        <v>11103_3_29</v>
      </c>
      <c r="B228" s="25" t="s">
        <v>34</v>
      </c>
      <c r="C228" s="4">
        <v>11103</v>
      </c>
      <c r="D228" s="3" t="str">
        <f ca="1">VLOOKUP($C228,OFFSET([1]quests!$A$1,0,0,COUNTA([1]quests!$A:$A),MATCH(D$1,[1]quests!$1:$1,0)-MATCH($C$1,[1]quests!$1:$1,0)+1),MATCH(D$1,[1]quests!$1:$1,0)-MATCH($C$1,[1]quests!$1:$1,0)+1,FALSE)</f>
        <v>【期間限定】 青の素材</v>
      </c>
      <c r="E228" s="3" t="str">
        <f ca="1">VLOOKUP($C228,OFFSET([1]quests!$A$1,0,0,COUNTA([1]quests!$A:$A),MATCH(E$1,[1]quests!$1:$1,0)-MATCH($C$1,[1]quests!$1:$1,0)+1),MATCH(E$1,[1]quests!$1:$1,0)-MATCH($C$1,[1]quests!$1:$1,0)+1,FALSE)</f>
        <v>水曜クエスト</v>
      </c>
      <c r="F228" s="5">
        <v>3</v>
      </c>
      <c r="G228" s="3" t="str">
        <f ca="1">VLOOKUP($C228&amp;"_"&amp;$F228,OFFSET([1]stages!$A$1,0,0,COUNTA([1]stages!$A:$A),MATCH(G$1,[1]stages!$2:$2,0)-MATCH("temp_stage",[1]stages!$2:$2,0)+1),MATCH(G$1,[1]stages!$2:$2,0)-MATCH("temp_stage",[1]stages!$2:$2,0)+1,FALSE)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8" s="3" t="str">
        <f ca="1">VLOOKUP($C228&amp;"_"&amp;$F228,OFFSET([1]stages!$A$1,0,0,COUNTA([1]stages!$A:$A),MATCH(H$1,[1]stages!$2:$2,0)-MATCH("temp_stage",[1]stages!$2:$2,0)+1),MATCH(H$1,[1]stages!$2:$2,0)-MATCH("temp_stage",[1]stages!$2:$2,0)+1,FALSE)</f>
        <v>水曜クエスト</v>
      </c>
      <c r="I228" s="18">
        <v>0</v>
      </c>
      <c r="J228" s="5">
        <f>COUNTIF(C$1:C228,C228)</f>
        <v>29</v>
      </c>
      <c r="K228" s="34">
        <v>33</v>
      </c>
      <c r="L228" s="5" t="s">
        <v>17</v>
      </c>
      <c r="M228" s="38" t="str">
        <f>VLOOKUP(K228,[2]stage_hints!$A:$C,3,FALSE)</f>
        <v>敵のカウンター攻撃には</v>
      </c>
      <c r="N228" s="39" t="str">
        <f>VLOOKUP(K228,[2]stage_hints!$A:$D,4,FALSE)</f>
        <v>カウンターブレイクスキルを持っていれば
敵のカウンターを解除して攻撃ができます</v>
      </c>
      <c r="O228" s="20" t="s">
        <v>24</v>
      </c>
      <c r="P228">
        <v>33</v>
      </c>
    </row>
    <row r="229" spans="1:16" x14ac:dyDescent="0.15">
      <c r="A229" s="27" t="str">
        <f t="shared" si="42"/>
        <v>11103_3_30</v>
      </c>
      <c r="B229" s="25" t="s">
        <v>34</v>
      </c>
      <c r="C229" s="4">
        <v>11103</v>
      </c>
      <c r="D229" s="3" t="str">
        <f ca="1">VLOOKUP($C229,OFFSET([1]quests!$A$1,0,0,COUNTA([1]quests!$A:$A),MATCH(D$1,[1]quests!$1:$1,0)-MATCH($C$1,[1]quests!$1:$1,0)+1),MATCH(D$1,[1]quests!$1:$1,0)-MATCH($C$1,[1]quests!$1:$1,0)+1,FALSE)</f>
        <v>【期間限定】 青の素材</v>
      </c>
      <c r="E229" s="3" t="str">
        <f ca="1">VLOOKUP($C229,OFFSET([1]quests!$A$1,0,0,COUNTA([1]quests!$A:$A),MATCH(E$1,[1]quests!$1:$1,0)-MATCH($C$1,[1]quests!$1:$1,0)+1),MATCH(E$1,[1]quests!$1:$1,0)-MATCH($C$1,[1]quests!$1:$1,0)+1,FALSE)</f>
        <v>水曜クエスト</v>
      </c>
      <c r="F229" s="5">
        <v>3</v>
      </c>
      <c r="G229" s="3" t="str">
        <f ca="1">VLOOKUP($C229&amp;"_"&amp;$F229,OFFSET([1]stages!$A$1,0,0,COUNTA([1]stages!$A:$A),MATCH(G$1,[1]stages!$2:$2,0)-MATCH("temp_stage",[1]stages!$2:$2,0)+1),MATCH(G$1,[1]stages!$2:$2,0)-MATCH("temp_stage",[1]stages!$2:$2,0)+1,FALSE)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29" s="3" t="str">
        <f ca="1">VLOOKUP($C229&amp;"_"&amp;$F229,OFFSET([1]stages!$A$1,0,0,COUNTA([1]stages!$A:$A),MATCH(H$1,[1]stages!$2:$2,0)-MATCH("temp_stage",[1]stages!$2:$2,0)+1),MATCH(H$1,[1]stages!$2:$2,0)-MATCH("temp_stage",[1]stages!$2:$2,0)+1,FALSE)</f>
        <v>水曜クエスト</v>
      </c>
      <c r="I229" s="18">
        <v>0</v>
      </c>
      <c r="J229" s="5">
        <f>COUNTIF(C$1:C229,C229)</f>
        <v>30</v>
      </c>
      <c r="K229" s="34">
        <v>34</v>
      </c>
      <c r="L229" s="5" t="s">
        <v>17</v>
      </c>
      <c r="M229" s="38" t="str">
        <f>VLOOKUP(K229,[2]stage_hints!$A:$C,3,FALSE)</f>
        <v>ステータスをスキルで下げられたら</v>
      </c>
      <c r="N229" s="39" t="str">
        <f>VLOOKUP(K229,[2]stage_hints!$A:$D,4,FALSE)</f>
        <v>ステータスダウンのスキルを受けたら
ステータスアップスキルで上書きしましょう</v>
      </c>
      <c r="O229" s="20" t="s">
        <v>24</v>
      </c>
      <c r="P229">
        <v>34</v>
      </c>
    </row>
    <row r="230" spans="1:16" x14ac:dyDescent="0.15">
      <c r="A230" s="27" t="str">
        <f t="shared" ref="A230:A236" si="43">C230&amp;"_"&amp;F230&amp;"_"&amp;J230</f>
        <v>11103_3_31</v>
      </c>
      <c r="B230" s="25" t="s">
        <v>34</v>
      </c>
      <c r="C230" s="4">
        <v>11103</v>
      </c>
      <c r="D230" s="3" t="str">
        <f ca="1">VLOOKUP($C230,OFFSET([1]quests!$A$1,0,0,COUNTA([1]quests!$A:$A),MATCH(D$1,[1]quests!$1:$1,0)-MATCH($C$1,[1]quests!$1:$1,0)+1),MATCH(D$1,[1]quests!$1:$1,0)-MATCH($C$1,[1]quests!$1:$1,0)+1,FALSE)</f>
        <v>【期間限定】 青の素材</v>
      </c>
      <c r="E230" s="3" t="str">
        <f ca="1">VLOOKUP($C230,OFFSET([1]quests!$A$1,0,0,COUNTA([1]quests!$A:$A),MATCH(E$1,[1]quests!$1:$1,0)-MATCH($C$1,[1]quests!$1:$1,0)+1),MATCH(E$1,[1]quests!$1:$1,0)-MATCH($C$1,[1]quests!$1:$1,0)+1,FALSE)</f>
        <v>水曜クエスト</v>
      </c>
      <c r="F230" s="5">
        <v>3</v>
      </c>
      <c r="G230" s="3" t="str">
        <f ca="1">VLOOKUP($C230&amp;"_"&amp;$F230,OFFSET([1]stages!$A$1,0,0,COUNTA([1]stages!$A:$A),MATCH(G$1,[1]stages!$2:$2,0)-MATCH("temp_stage",[1]stages!$2:$2,0)+1),MATCH(G$1,[1]stages!$2:$2,0)-MATCH("temp_stage",[1]stages!$2:$2,0)+1,FALSE)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30" s="3" t="str">
        <f ca="1">VLOOKUP($C230&amp;"_"&amp;$F230,OFFSET([1]stages!$A$1,0,0,COUNTA([1]stages!$A:$A),MATCH(H$1,[1]stages!$2:$2,0)-MATCH("temp_stage",[1]stages!$2:$2,0)+1),MATCH(H$1,[1]stages!$2:$2,0)-MATCH("temp_stage",[1]stages!$2:$2,0)+1,FALSE)</f>
        <v>水曜クエスト</v>
      </c>
      <c r="I230" s="18">
        <v>0</v>
      </c>
      <c r="J230" s="5">
        <f>COUNTIF(C$1:C230,C230)</f>
        <v>31</v>
      </c>
      <c r="K230" s="34">
        <v>35</v>
      </c>
      <c r="L230" s="5" t="s">
        <v>17</v>
      </c>
      <c r="M230" s="38" t="str">
        <f>VLOOKUP(K230,[2]stage_hints!$A:$C,3,FALSE)</f>
        <v>敵のステータスがスキルで上がったら</v>
      </c>
      <c r="N230" s="39" t="str">
        <f>VLOOKUP(K230,[2]stage_hints!$A:$D,4,FALSE)</f>
        <v>敵のステータスがスキルでアップしたときは
ステータスダウンスキルで上書きしましょう</v>
      </c>
      <c r="O230" s="20" t="s">
        <v>24</v>
      </c>
      <c r="P230">
        <v>35</v>
      </c>
    </row>
    <row r="231" spans="1:16" x14ac:dyDescent="0.15">
      <c r="A231" s="27" t="str">
        <f t="shared" si="43"/>
        <v>11103_3_32</v>
      </c>
      <c r="B231" s="25" t="s">
        <v>34</v>
      </c>
      <c r="C231" s="4">
        <v>11103</v>
      </c>
      <c r="D231" s="3" t="str">
        <f ca="1">VLOOKUP($C231,OFFSET([1]quests!$A$1,0,0,COUNTA([1]quests!$A:$A),MATCH(D$1,[1]quests!$1:$1,0)-MATCH($C$1,[1]quests!$1:$1,0)+1),MATCH(D$1,[1]quests!$1:$1,0)-MATCH($C$1,[1]quests!$1:$1,0)+1,FALSE)</f>
        <v>【期間限定】 青の素材</v>
      </c>
      <c r="E231" s="3" t="str">
        <f ca="1">VLOOKUP($C231,OFFSET([1]quests!$A$1,0,0,COUNTA([1]quests!$A:$A),MATCH(E$1,[1]quests!$1:$1,0)-MATCH($C$1,[1]quests!$1:$1,0)+1),MATCH(E$1,[1]quests!$1:$1,0)-MATCH($C$1,[1]quests!$1:$1,0)+1,FALSE)</f>
        <v>水曜クエスト</v>
      </c>
      <c r="F231" s="5">
        <v>3</v>
      </c>
      <c r="G231" s="3" t="str">
        <f ca="1">VLOOKUP($C231&amp;"_"&amp;$F231,OFFSET([1]stages!$A$1,0,0,COUNTA([1]stages!$A:$A),MATCH(G$1,[1]stages!$2:$2,0)-MATCH("temp_stage",[1]stages!$2:$2,0)+1),MATCH(G$1,[1]stages!$2:$2,0)-MATCH("temp_stage",[1]stages!$2:$2,0)+1,FALSE)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31" s="3" t="str">
        <f ca="1">VLOOKUP($C231&amp;"_"&amp;$F231,OFFSET([1]stages!$A$1,0,0,COUNTA([1]stages!$A:$A),MATCH(H$1,[1]stages!$2:$2,0)-MATCH("temp_stage",[1]stages!$2:$2,0)+1),MATCH(H$1,[1]stages!$2:$2,0)-MATCH("temp_stage",[1]stages!$2:$2,0)+1,FALSE)</f>
        <v>水曜クエスト</v>
      </c>
      <c r="I231" s="18">
        <v>0</v>
      </c>
      <c r="J231" s="5">
        <f>COUNTIF(C$1:C231,C231)</f>
        <v>32</v>
      </c>
      <c r="K231" s="34">
        <v>36</v>
      </c>
      <c r="L231" s="5" t="s">
        <v>17</v>
      </c>
      <c r="M231" s="38" t="str">
        <f>VLOOKUP(K231,[2]stage_hints!$A:$C,3,FALSE)</f>
        <v>チャレンジタワーのボス</v>
      </c>
      <c r="N231" s="39" t="str">
        <f>VLOOKUP(K231,[2]stage_hints!$A:$D,4,FALSE)</f>
        <v>チャレンジタワーでのみ登場するボスは
一定確率で獲得することができます</v>
      </c>
      <c r="O231" s="20" t="s">
        <v>24</v>
      </c>
      <c r="P231">
        <v>36</v>
      </c>
    </row>
    <row r="232" spans="1:16" x14ac:dyDescent="0.15">
      <c r="A232" s="27" t="str">
        <f t="shared" si="43"/>
        <v>11103_3_33</v>
      </c>
      <c r="B232" s="25" t="s">
        <v>34</v>
      </c>
      <c r="C232" s="4">
        <v>11103</v>
      </c>
      <c r="D232" s="3" t="str">
        <f ca="1">VLOOKUP($C232,OFFSET([1]quests!$A$1,0,0,COUNTA([1]quests!$A:$A),MATCH(D$1,[1]quests!$1:$1,0)-MATCH($C$1,[1]quests!$1:$1,0)+1),MATCH(D$1,[1]quests!$1:$1,0)-MATCH($C$1,[1]quests!$1:$1,0)+1,FALSE)</f>
        <v>【期間限定】 青の素材</v>
      </c>
      <c r="E232" s="3" t="str">
        <f ca="1">VLOOKUP($C232,OFFSET([1]quests!$A$1,0,0,COUNTA([1]quests!$A:$A),MATCH(E$1,[1]quests!$1:$1,0)-MATCH($C$1,[1]quests!$1:$1,0)+1),MATCH(E$1,[1]quests!$1:$1,0)-MATCH($C$1,[1]quests!$1:$1,0)+1,FALSE)</f>
        <v>水曜クエスト</v>
      </c>
      <c r="F232" s="5">
        <v>3</v>
      </c>
      <c r="G232" s="3" t="str">
        <f ca="1">VLOOKUP($C232&amp;"_"&amp;$F232,OFFSET([1]stages!$A$1,0,0,COUNTA([1]stages!$A:$A),MATCH(G$1,[1]stages!$2:$2,0)-MATCH("temp_stage",[1]stages!$2:$2,0)+1),MATCH(G$1,[1]stages!$2:$2,0)-MATCH("temp_stage",[1]stages!$2:$2,0)+1,FALSE)</f>
        <v xml:space="preserve">【上級】水のイモムシ </v>
      </c>
      <c r="H232" s="3" t="str">
        <f ca="1">VLOOKUP($C232&amp;"_"&amp;$F232,OFFSET([1]stages!$A$1,0,0,COUNTA([1]stages!$A:$A),MATCH(H$1,[1]stages!$2:$2,0)-MATCH("temp_stage",[1]stages!$2:$2,0)+1),MATCH(H$1,[1]stages!$2:$2,0)-MATCH("temp_stage",[1]stages!$2:$2,0)+1,FALSE)</f>
        <v>水曜クエスト</v>
      </c>
      <c r="I232" s="18">
        <v>0</v>
      </c>
      <c r="J232" s="5">
        <f>COUNTIF(C$1:C232,C232)</f>
        <v>33</v>
      </c>
      <c r="K232" s="34">
        <v>37</v>
      </c>
      <c r="L232" s="5" t="s">
        <v>17</v>
      </c>
      <c r="M232" s="38" t="str">
        <f>VLOOKUP(K232,[2]stage_hints!$A:$C,3,FALSE)</f>
        <v>限界突破値の引き継ぎ</v>
      </c>
      <c r="N232" s="39" t="str">
        <f>VLOOKUP(K232,[2]stage_hints!$A:$D,4,FALSE)</f>
        <v>同じユニットを強化で合成すると
限界突破値を引き継げます（覚醒前後も可）</v>
      </c>
      <c r="O232" s="20" t="s">
        <v>24</v>
      </c>
      <c r="P232">
        <v>37</v>
      </c>
    </row>
    <row r="233" spans="1:16" x14ac:dyDescent="0.15">
      <c r="A233" s="27" t="str">
        <f t="shared" si="43"/>
        <v>11104_3_1</v>
      </c>
      <c r="B233" s="25" t="s">
        <v>34</v>
      </c>
      <c r="C233" s="4">
        <v>11104</v>
      </c>
      <c r="D233" s="3" t="str">
        <f ca="1">VLOOKUP($C233,OFFSET([1]quests!$A$1,0,0,COUNTA([1]quests!$A:$A),MATCH(D$1,[1]quests!$1:$1,0)-MATCH($C$1,[1]quests!$1:$1,0)+1),MATCH(D$1,[1]quests!$1:$1,0)-MATCH($C$1,[1]quests!$1:$1,0)+1,FALSE)</f>
        <v>【期間限定】 緑の素材</v>
      </c>
      <c r="E233" s="3" t="str">
        <f ca="1">VLOOKUP($C233,OFFSET([1]quests!$A$1,0,0,COUNTA([1]quests!$A:$A),MATCH(E$1,[1]quests!$1:$1,0)-MATCH($C$1,[1]quests!$1:$1,0)+1),MATCH(E$1,[1]quests!$1:$1,0)-MATCH($C$1,[1]quests!$1:$1,0)+1,FALSE)</f>
        <v>木曜クエスト</v>
      </c>
      <c r="F233" s="5">
        <v>3</v>
      </c>
      <c r="G233" s="3" t="str">
        <f ca="1">VLOOKUP($C233&amp;"_"&amp;$F233,OFFSET([1]stages!$A$1,0,0,COUNTA([1]stages!$A:$A),MATCH(G$1,[1]stages!$2:$2,0)-MATCH("temp_stage",[1]stages!$2:$2,0)+1),MATCH(G$1,[1]stages!$2:$2,0)-MATCH("temp_stage",[1]stages!$2:$2,0)+1,FALSE)</f>
        <v>【上級】樹のイモムシ</v>
      </c>
      <c r="H233" s="3" t="str">
        <f ca="1">VLOOKUP($C233&amp;"_"&amp;$F233,OFFSET([1]stages!$A$1,0,0,COUNTA([1]stages!$A:$A),MATCH(H$1,[1]stages!$2:$2,0)-MATCH("temp_stage",[1]stages!$2:$2,0)+1),MATCH(H$1,[1]stages!$2:$2,0)-MATCH("temp_stage",[1]stages!$2:$2,0)+1,FALSE)</f>
        <v>木曜クエスト</v>
      </c>
      <c r="I233" s="18">
        <v>0</v>
      </c>
      <c r="J233" s="5">
        <f>COUNTIF(C$1:C233,C233)</f>
        <v>1</v>
      </c>
      <c r="K233" s="34">
        <v>3</v>
      </c>
      <c r="L233" s="5" t="s">
        <v>17</v>
      </c>
      <c r="M233" s="38" t="str">
        <f>VLOOKUP(K233,[2]stage_hints!$A:$C,3,FALSE)</f>
        <v>ターゲット</v>
      </c>
      <c r="N233" s="39" t="str">
        <f>VLOOKUP(K233,[2]stage_hints!$A:$D,4,FALSE)</f>
        <v>敵ユニットをタップすると
その敵を狙い撃ちできます</v>
      </c>
      <c r="O233" s="20" t="s">
        <v>24</v>
      </c>
      <c r="P233">
        <v>3</v>
      </c>
    </row>
    <row r="234" spans="1:16" x14ac:dyDescent="0.15">
      <c r="A234" s="27" t="str">
        <f t="shared" si="43"/>
        <v>11104_3_2</v>
      </c>
      <c r="B234" s="25" t="s">
        <v>34</v>
      </c>
      <c r="C234" s="4">
        <v>11104</v>
      </c>
      <c r="D234" s="3" t="str">
        <f ca="1">VLOOKUP($C234,OFFSET([1]quests!$A$1,0,0,COUNTA([1]quests!$A:$A),MATCH(D$1,[1]quests!$1:$1,0)-MATCH($C$1,[1]quests!$1:$1,0)+1),MATCH(D$1,[1]quests!$1:$1,0)-MATCH($C$1,[1]quests!$1:$1,0)+1,FALSE)</f>
        <v>【期間限定】 緑の素材</v>
      </c>
      <c r="E234" s="3" t="str">
        <f ca="1">VLOOKUP($C234,OFFSET([1]quests!$A$1,0,0,COUNTA([1]quests!$A:$A),MATCH(E$1,[1]quests!$1:$1,0)-MATCH($C$1,[1]quests!$1:$1,0)+1),MATCH(E$1,[1]quests!$1:$1,0)-MATCH($C$1,[1]quests!$1:$1,0)+1,FALSE)</f>
        <v>木曜クエスト</v>
      </c>
      <c r="F234" s="5">
        <v>3</v>
      </c>
      <c r="G234" s="3" t="str">
        <f ca="1">VLOOKUP($C234&amp;"_"&amp;$F234,OFFSET([1]stages!$A$1,0,0,COUNTA([1]stages!$A:$A),MATCH(G$1,[1]stages!$2:$2,0)-MATCH("temp_stage",[1]stages!$2:$2,0)+1),MATCH(G$1,[1]stages!$2:$2,0)-MATCH("temp_stage",[1]stages!$2:$2,0)+1,FALSE)</f>
        <v>【上級】樹のイモムシ</v>
      </c>
      <c r="H234" s="3" t="str">
        <f ca="1">VLOOKUP($C234&amp;"_"&amp;$F234,OFFSET([1]stages!$A$1,0,0,COUNTA([1]stages!$A:$A),MATCH(H$1,[1]stages!$2:$2,0)-MATCH("temp_stage",[1]stages!$2:$2,0)+1),MATCH(H$1,[1]stages!$2:$2,0)-MATCH("temp_stage",[1]stages!$2:$2,0)+1,FALSE)</f>
        <v>木曜クエスト</v>
      </c>
      <c r="I234" s="18">
        <v>0</v>
      </c>
      <c r="J234" s="5">
        <f>COUNTIF(C$1:C234,C234)</f>
        <v>2</v>
      </c>
      <c r="K234" s="34">
        <v>6</v>
      </c>
      <c r="L234" s="5" t="s">
        <v>17</v>
      </c>
      <c r="M234" s="38" t="str">
        <f>VLOOKUP(K234,[2]stage_hints!$A:$C,3,FALSE)</f>
        <v>ユニット強化の属性ボーナス</v>
      </c>
      <c r="N234" s="39" t="str">
        <f>VLOOKUP(K234,[2]stage_hints!$A:$D,4,FALSE)</f>
        <v>同属性ユニットを強化素材にすると
経験値が多くもらえます</v>
      </c>
      <c r="O234" s="20" t="s">
        <v>24</v>
      </c>
      <c r="P234">
        <v>6</v>
      </c>
    </row>
    <row r="235" spans="1:16" x14ac:dyDescent="0.15">
      <c r="A235" s="27" t="str">
        <f t="shared" si="43"/>
        <v>11104_3_3</v>
      </c>
      <c r="B235" s="25" t="s">
        <v>34</v>
      </c>
      <c r="C235" s="4">
        <v>11104</v>
      </c>
      <c r="D235" s="3" t="str">
        <f ca="1">VLOOKUP($C235,OFFSET([1]quests!$A$1,0,0,COUNTA([1]quests!$A:$A),MATCH(D$1,[1]quests!$1:$1,0)-MATCH($C$1,[1]quests!$1:$1,0)+1),MATCH(D$1,[1]quests!$1:$1,0)-MATCH($C$1,[1]quests!$1:$1,0)+1,FALSE)</f>
        <v>【期間限定】 緑の素材</v>
      </c>
      <c r="E235" s="3" t="str">
        <f ca="1">VLOOKUP($C235,OFFSET([1]quests!$A$1,0,0,COUNTA([1]quests!$A:$A),MATCH(E$1,[1]quests!$1:$1,0)-MATCH($C$1,[1]quests!$1:$1,0)+1),MATCH(E$1,[1]quests!$1:$1,0)-MATCH($C$1,[1]quests!$1:$1,0)+1,FALSE)</f>
        <v>木曜クエスト</v>
      </c>
      <c r="F235" s="5">
        <v>3</v>
      </c>
      <c r="G235" s="3" t="str">
        <f ca="1">VLOOKUP($C235&amp;"_"&amp;$F235,OFFSET([1]stages!$A$1,0,0,COUNTA([1]stages!$A:$A),MATCH(G$1,[1]stages!$2:$2,0)-MATCH("temp_stage",[1]stages!$2:$2,0)+1),MATCH(G$1,[1]stages!$2:$2,0)-MATCH("temp_stage",[1]stages!$2:$2,0)+1,FALSE)</f>
        <v>【上級】樹のイモムシ</v>
      </c>
      <c r="H235" s="3" t="str">
        <f ca="1">VLOOKUP($C235&amp;"_"&amp;$F235,OFFSET([1]stages!$A$1,0,0,COUNTA([1]stages!$A:$A),MATCH(H$1,[1]stages!$2:$2,0)-MATCH("temp_stage",[1]stages!$2:$2,0)+1),MATCH(H$1,[1]stages!$2:$2,0)-MATCH("temp_stage",[1]stages!$2:$2,0)+1,FALSE)</f>
        <v>木曜クエスト</v>
      </c>
      <c r="I235" s="18">
        <v>0</v>
      </c>
      <c r="J235" s="5">
        <f>COUNTIF(C$1:C235,C235)</f>
        <v>3</v>
      </c>
      <c r="K235" s="34">
        <v>7</v>
      </c>
      <c r="L235" s="5" t="s">
        <v>17</v>
      </c>
      <c r="M235" s="38" t="str">
        <f>VLOOKUP(K235,[2]stage_hints!$A:$C,3,FALSE)</f>
        <v>メタルダックで経験値を獲得</v>
      </c>
      <c r="N235" s="39" t="str">
        <f>VLOOKUP(K235,[2]stage_hints!$A:$D,4,FALSE)</f>
        <v>「メタルなアヒル」を強化素材にすると
大量の経験値がもらえます</v>
      </c>
      <c r="O235" s="20" t="s">
        <v>24</v>
      </c>
      <c r="P235">
        <v>7</v>
      </c>
    </row>
    <row r="236" spans="1:16" x14ac:dyDescent="0.15">
      <c r="A236" s="27" t="str">
        <f t="shared" si="43"/>
        <v>11104_3_4</v>
      </c>
      <c r="B236" s="25" t="s">
        <v>34</v>
      </c>
      <c r="C236" s="4">
        <v>11104</v>
      </c>
      <c r="D236" s="3" t="str">
        <f ca="1">VLOOKUP($C236,OFFSET([1]quests!$A$1,0,0,COUNTA([1]quests!$A:$A),MATCH(D$1,[1]quests!$1:$1,0)-MATCH($C$1,[1]quests!$1:$1,0)+1),MATCH(D$1,[1]quests!$1:$1,0)-MATCH($C$1,[1]quests!$1:$1,0)+1,FALSE)</f>
        <v>【期間限定】 緑の素材</v>
      </c>
      <c r="E236" s="3" t="str">
        <f ca="1">VLOOKUP($C236,OFFSET([1]quests!$A$1,0,0,COUNTA([1]quests!$A:$A),MATCH(E$1,[1]quests!$1:$1,0)-MATCH($C$1,[1]quests!$1:$1,0)+1),MATCH(E$1,[1]quests!$1:$1,0)-MATCH($C$1,[1]quests!$1:$1,0)+1,FALSE)</f>
        <v>木曜クエスト</v>
      </c>
      <c r="F236" s="5">
        <v>3</v>
      </c>
      <c r="G236" s="3" t="str">
        <f ca="1">VLOOKUP($C236&amp;"_"&amp;$F236,OFFSET([1]stages!$A$1,0,0,COUNTA([1]stages!$A:$A),MATCH(G$1,[1]stages!$2:$2,0)-MATCH("temp_stage",[1]stages!$2:$2,0)+1),MATCH(G$1,[1]stages!$2:$2,0)-MATCH("temp_stage",[1]stages!$2:$2,0)+1,FALSE)</f>
        <v>【上級】樹のイモムシ</v>
      </c>
      <c r="H236" s="3" t="str">
        <f ca="1">VLOOKUP($C236&amp;"_"&amp;$F236,OFFSET([1]stages!$A$1,0,0,COUNTA([1]stages!$A:$A),MATCH(H$1,[1]stages!$2:$2,0)-MATCH("temp_stage",[1]stages!$2:$2,0)+1),MATCH(H$1,[1]stages!$2:$2,0)-MATCH("temp_stage",[1]stages!$2:$2,0)+1,FALSE)</f>
        <v>木曜クエスト</v>
      </c>
      <c r="I236" s="18">
        <v>0</v>
      </c>
      <c r="J236" s="5">
        <f>COUNTIF(C$1:C236,C236)</f>
        <v>4</v>
      </c>
      <c r="K236" s="34">
        <v>8</v>
      </c>
      <c r="L236" s="5" t="s">
        <v>17</v>
      </c>
      <c r="M236" s="38" t="str">
        <f>VLOOKUP(K236,[2]stage_hints!$A:$C,3,FALSE)</f>
        <v>ゲリラクエストは要チェック</v>
      </c>
      <c r="N236" s="39" t="str">
        <f>VLOOKUP(K236,[2]stage_hints!$A:$D,4,FALSE)</f>
        <v>時間限定の「アヒル捕獲作戦」では
経験値素材ユニットが多く手に入ります</v>
      </c>
      <c r="O236" s="20" t="s">
        <v>24</v>
      </c>
      <c r="P236">
        <v>8</v>
      </c>
    </row>
    <row r="237" spans="1:16" x14ac:dyDescent="0.15">
      <c r="A237" s="27" t="str">
        <f t="shared" ref="A237:A249" si="44">C237&amp;"_"&amp;F237&amp;"_"&amp;J237</f>
        <v>11104_3_5</v>
      </c>
      <c r="B237" s="25" t="s">
        <v>34</v>
      </c>
      <c r="C237" s="4">
        <v>11104</v>
      </c>
      <c r="D237" s="3" t="str">
        <f ca="1">VLOOKUP($C237,OFFSET([1]quests!$A$1,0,0,COUNTA([1]quests!$A:$A),MATCH(D$1,[1]quests!$1:$1,0)-MATCH($C$1,[1]quests!$1:$1,0)+1),MATCH(D$1,[1]quests!$1:$1,0)-MATCH($C$1,[1]quests!$1:$1,0)+1,FALSE)</f>
        <v>【期間限定】 緑の素材</v>
      </c>
      <c r="E237" s="3" t="str">
        <f ca="1">VLOOKUP($C237,OFFSET([1]quests!$A$1,0,0,COUNTA([1]quests!$A:$A),MATCH(E$1,[1]quests!$1:$1,0)-MATCH($C$1,[1]quests!$1:$1,0)+1),MATCH(E$1,[1]quests!$1:$1,0)-MATCH($C$1,[1]quests!$1:$1,0)+1,FALSE)</f>
        <v>木曜クエスト</v>
      </c>
      <c r="F237" s="5">
        <v>3</v>
      </c>
      <c r="G237" s="3" t="str">
        <f ca="1">VLOOKUP($C237&amp;"_"&amp;$F237,OFFSET([1]stages!$A$1,0,0,COUNTA([1]stages!$A:$A),MATCH(G$1,[1]stages!$2:$2,0)-MATCH("temp_stage",[1]stages!$2:$2,0)+1),MATCH(G$1,[1]stages!$2:$2,0)-MATCH("temp_stage",[1]stages!$2:$2,0)+1,FALSE)</f>
        <v>【上級】樹のイモムシ</v>
      </c>
      <c r="H237" s="3" t="str">
        <f ca="1">VLOOKUP($C237&amp;"_"&amp;$F237,OFFSET([1]stages!$A$1,0,0,COUNTA([1]stages!$A:$A),MATCH(H$1,[1]stages!$2:$2,0)-MATCH("temp_stage",[1]stages!$2:$2,0)+1),MATCH(H$1,[1]stages!$2:$2,0)-MATCH("temp_stage",[1]stages!$2:$2,0)+1,FALSE)</f>
        <v>木曜クエスト</v>
      </c>
      <c r="I237" s="18">
        <v>0</v>
      </c>
      <c r="J237" s="5">
        <f>COUNTIF(C$1:C237,C237)</f>
        <v>5</v>
      </c>
      <c r="K237" s="34">
        <v>9</v>
      </c>
      <c r="L237" s="5" t="s">
        <v>17</v>
      </c>
      <c r="M237" s="38" t="str">
        <f>VLOOKUP(K237,[2]stage_hints!$A:$C,3,FALSE)</f>
        <v>ゴールドダックでビットを獲得</v>
      </c>
      <c r="N237" s="39" t="str">
        <f>VLOOKUP(K237,[2]stage_hints!$A:$D,4,FALSE)</f>
        <v>「ゴールドなアヒル」を売却すると
大量のビットがもらえます</v>
      </c>
      <c r="O237" s="20" t="s">
        <v>24</v>
      </c>
      <c r="P237">
        <v>9</v>
      </c>
    </row>
    <row r="238" spans="1:16" x14ac:dyDescent="0.15">
      <c r="A238" s="27" t="str">
        <f t="shared" si="44"/>
        <v>11104_3_6</v>
      </c>
      <c r="B238" s="25" t="s">
        <v>34</v>
      </c>
      <c r="C238" s="4">
        <v>11104</v>
      </c>
      <c r="D238" s="3" t="str">
        <f ca="1">VLOOKUP($C238,OFFSET([1]quests!$A$1,0,0,COUNTA([1]quests!$A:$A),MATCH(D$1,[1]quests!$1:$1,0)-MATCH($C$1,[1]quests!$1:$1,0)+1),MATCH(D$1,[1]quests!$1:$1,0)-MATCH($C$1,[1]quests!$1:$1,0)+1,FALSE)</f>
        <v>【期間限定】 緑の素材</v>
      </c>
      <c r="E238" s="3" t="str">
        <f ca="1">VLOOKUP($C238,OFFSET([1]quests!$A$1,0,0,COUNTA([1]quests!$A:$A),MATCH(E$1,[1]quests!$1:$1,0)-MATCH($C$1,[1]quests!$1:$1,0)+1),MATCH(E$1,[1]quests!$1:$1,0)-MATCH($C$1,[1]quests!$1:$1,0)+1,FALSE)</f>
        <v>木曜クエスト</v>
      </c>
      <c r="F238" s="5">
        <v>3</v>
      </c>
      <c r="G238" s="3" t="str">
        <f ca="1">VLOOKUP($C238&amp;"_"&amp;$F238,OFFSET([1]stages!$A$1,0,0,COUNTA([1]stages!$A:$A),MATCH(G$1,[1]stages!$2:$2,0)-MATCH("temp_stage",[1]stages!$2:$2,0)+1),MATCH(G$1,[1]stages!$2:$2,0)-MATCH("temp_stage",[1]stages!$2:$2,0)+1,FALSE)</f>
        <v>【上級】樹のイモムシ</v>
      </c>
      <c r="H238" s="3" t="str">
        <f ca="1">VLOOKUP($C238&amp;"_"&amp;$F238,OFFSET([1]stages!$A$1,0,0,COUNTA([1]stages!$A:$A),MATCH(H$1,[1]stages!$2:$2,0)-MATCH("temp_stage",[1]stages!$2:$2,0)+1),MATCH(H$1,[1]stages!$2:$2,0)-MATCH("temp_stage",[1]stages!$2:$2,0)+1,FALSE)</f>
        <v>木曜クエスト</v>
      </c>
      <c r="I238" s="18">
        <v>0</v>
      </c>
      <c r="J238" s="5">
        <f>COUNTIF(C$1:C238,C238)</f>
        <v>6</v>
      </c>
      <c r="K238" s="34">
        <v>10</v>
      </c>
      <c r="L238" s="5" t="s">
        <v>17</v>
      </c>
      <c r="M238" s="38" t="str">
        <f>VLOOKUP(K238,[2]stage_hints!$A:$C,3,FALSE)</f>
        <v>土日に大量のビットを獲得</v>
      </c>
      <c r="N238" s="39" t="str">
        <f>VLOOKUP(K238,[2]stage_hints!$A:$D,4,FALSE)</f>
        <v>土日限定の「ゴールドカジノ」では
売却素材ユニットが多く手に入ります</v>
      </c>
      <c r="O238" s="20" t="s">
        <v>24</v>
      </c>
      <c r="P238">
        <v>10</v>
      </c>
    </row>
    <row r="239" spans="1:16" x14ac:dyDescent="0.15">
      <c r="A239" s="27" t="str">
        <f t="shared" si="44"/>
        <v>11104_3_7</v>
      </c>
      <c r="B239" s="25" t="s">
        <v>34</v>
      </c>
      <c r="C239" s="4">
        <v>11104</v>
      </c>
      <c r="D239" s="3" t="str">
        <f ca="1">VLOOKUP($C239,OFFSET([1]quests!$A$1,0,0,COUNTA([1]quests!$A:$A),MATCH(D$1,[1]quests!$1:$1,0)-MATCH($C$1,[1]quests!$1:$1,0)+1),MATCH(D$1,[1]quests!$1:$1,0)-MATCH($C$1,[1]quests!$1:$1,0)+1,FALSE)</f>
        <v>【期間限定】 緑の素材</v>
      </c>
      <c r="E239" s="3" t="str">
        <f ca="1">VLOOKUP($C239,OFFSET([1]quests!$A$1,0,0,COUNTA([1]quests!$A:$A),MATCH(E$1,[1]quests!$1:$1,0)-MATCH($C$1,[1]quests!$1:$1,0)+1),MATCH(E$1,[1]quests!$1:$1,0)-MATCH($C$1,[1]quests!$1:$1,0)+1,FALSE)</f>
        <v>木曜クエスト</v>
      </c>
      <c r="F239" s="5">
        <v>3</v>
      </c>
      <c r="G239" s="3" t="str">
        <f ca="1">VLOOKUP($C239&amp;"_"&amp;$F239,OFFSET([1]stages!$A$1,0,0,COUNTA([1]stages!$A:$A),MATCH(G$1,[1]stages!$2:$2,0)-MATCH("temp_stage",[1]stages!$2:$2,0)+1),MATCH(G$1,[1]stages!$2:$2,0)-MATCH("temp_stage",[1]stages!$2:$2,0)+1,FALSE)</f>
        <v>【上級】樹のイモムシ</v>
      </c>
      <c r="H239" s="3" t="str">
        <f ca="1">VLOOKUP($C239&amp;"_"&amp;$F239,OFFSET([1]stages!$A$1,0,0,COUNTA([1]stages!$A:$A),MATCH(H$1,[1]stages!$2:$2,0)-MATCH("temp_stage",[1]stages!$2:$2,0)+1),MATCH(H$1,[1]stages!$2:$2,0)-MATCH("temp_stage",[1]stages!$2:$2,0)+1,FALSE)</f>
        <v>木曜クエスト</v>
      </c>
      <c r="I239" s="18">
        <v>0</v>
      </c>
      <c r="J239" s="5">
        <f>COUNTIF(C$1:C239,C239)</f>
        <v>7</v>
      </c>
      <c r="K239" s="34">
        <v>11</v>
      </c>
      <c r="L239" s="5" t="s">
        <v>17</v>
      </c>
      <c r="M239" s="38" t="str">
        <f>VLOOKUP(K239,[2]stage_hints!$A:$C,3,FALSE)</f>
        <v>ランク解放クエスト</v>
      </c>
      <c r="N239" s="39" t="str">
        <f>VLOOKUP(K239,[2]stage_hints!$A:$D,4,FALSE)</f>
        <v>一定ランクに到達すると
報酬付きのランク開放クエストが現れます</v>
      </c>
      <c r="O239" s="20" t="s">
        <v>24</v>
      </c>
      <c r="P239">
        <v>11</v>
      </c>
    </row>
    <row r="240" spans="1:16" x14ac:dyDescent="0.15">
      <c r="A240" s="27" t="str">
        <f t="shared" si="44"/>
        <v>11104_3_8</v>
      </c>
      <c r="B240" s="25" t="s">
        <v>34</v>
      </c>
      <c r="C240" s="4">
        <v>11104</v>
      </c>
      <c r="D240" s="3" t="str">
        <f ca="1">VLOOKUP($C240,OFFSET([1]quests!$A$1,0,0,COUNTA([1]quests!$A:$A),MATCH(D$1,[1]quests!$1:$1,0)-MATCH($C$1,[1]quests!$1:$1,0)+1),MATCH(D$1,[1]quests!$1:$1,0)-MATCH($C$1,[1]quests!$1:$1,0)+1,FALSE)</f>
        <v>【期間限定】 緑の素材</v>
      </c>
      <c r="E240" s="3" t="str">
        <f ca="1">VLOOKUP($C240,OFFSET([1]quests!$A$1,0,0,COUNTA([1]quests!$A:$A),MATCH(E$1,[1]quests!$1:$1,0)-MATCH($C$1,[1]quests!$1:$1,0)+1),MATCH(E$1,[1]quests!$1:$1,0)-MATCH($C$1,[1]quests!$1:$1,0)+1,FALSE)</f>
        <v>木曜クエスト</v>
      </c>
      <c r="F240" s="5">
        <v>3</v>
      </c>
      <c r="G240" s="3" t="str">
        <f ca="1">VLOOKUP($C240&amp;"_"&amp;$F240,OFFSET([1]stages!$A$1,0,0,COUNTA([1]stages!$A:$A),MATCH(G$1,[1]stages!$2:$2,0)-MATCH("temp_stage",[1]stages!$2:$2,0)+1),MATCH(G$1,[1]stages!$2:$2,0)-MATCH("temp_stage",[1]stages!$2:$2,0)+1,FALSE)</f>
        <v>【上級】樹のイモムシ</v>
      </c>
      <c r="H240" s="3" t="str">
        <f ca="1">VLOOKUP($C240&amp;"_"&amp;$F240,OFFSET([1]stages!$A$1,0,0,COUNTA([1]stages!$A:$A),MATCH(H$1,[1]stages!$2:$2,0)-MATCH("temp_stage",[1]stages!$2:$2,0)+1),MATCH(H$1,[1]stages!$2:$2,0)-MATCH("temp_stage",[1]stages!$2:$2,0)+1,FALSE)</f>
        <v>木曜クエスト</v>
      </c>
      <c r="I240" s="18">
        <v>0</v>
      </c>
      <c r="J240" s="5">
        <f>COUNTIF(C$1:C240,C240)</f>
        <v>8</v>
      </c>
      <c r="K240" s="34">
        <v>12</v>
      </c>
      <c r="L240" s="5" t="s">
        <v>17</v>
      </c>
      <c r="M240" s="38" t="str">
        <f>VLOOKUP(K240,[2]stage_hints!$A:$C,3,FALSE)</f>
        <v>ユニットのお気に入り登録</v>
      </c>
      <c r="N240" s="39" t="str">
        <f>VLOOKUP(K240,[2]stage_hints!$A:$D,4,FALSE)</f>
        <v>大事なユニットを誤って消さないように
フォルダから「お気に入り登録」しましょう</v>
      </c>
      <c r="O240" s="20" t="s">
        <v>24</v>
      </c>
      <c r="P240">
        <v>12</v>
      </c>
    </row>
    <row r="241" spans="1:16" x14ac:dyDescent="0.15">
      <c r="A241" s="27" t="str">
        <f t="shared" si="44"/>
        <v>11104_3_9</v>
      </c>
      <c r="B241" s="25" t="s">
        <v>34</v>
      </c>
      <c r="C241" s="4">
        <v>11104</v>
      </c>
      <c r="D241" s="3" t="str">
        <f ca="1">VLOOKUP($C241,OFFSET([1]quests!$A$1,0,0,COUNTA([1]quests!$A:$A),MATCH(D$1,[1]quests!$1:$1,0)-MATCH($C$1,[1]quests!$1:$1,0)+1),MATCH(D$1,[1]quests!$1:$1,0)-MATCH($C$1,[1]quests!$1:$1,0)+1,FALSE)</f>
        <v>【期間限定】 緑の素材</v>
      </c>
      <c r="E241" s="3" t="str">
        <f ca="1">VLOOKUP($C241,OFFSET([1]quests!$A$1,0,0,COUNTA([1]quests!$A:$A),MATCH(E$1,[1]quests!$1:$1,0)-MATCH($C$1,[1]quests!$1:$1,0)+1),MATCH(E$1,[1]quests!$1:$1,0)-MATCH($C$1,[1]quests!$1:$1,0)+1,FALSE)</f>
        <v>木曜クエスト</v>
      </c>
      <c r="F241" s="5">
        <v>3</v>
      </c>
      <c r="G241" s="3" t="str">
        <f ca="1">VLOOKUP($C241&amp;"_"&amp;$F241,OFFSET([1]stages!$A$1,0,0,COUNTA([1]stages!$A:$A),MATCH(G$1,[1]stages!$2:$2,0)-MATCH("temp_stage",[1]stages!$2:$2,0)+1),MATCH(G$1,[1]stages!$2:$2,0)-MATCH("temp_stage",[1]stages!$2:$2,0)+1,FALSE)</f>
        <v>【上級】樹のイモムシ</v>
      </c>
      <c r="H241" s="3" t="str">
        <f ca="1">VLOOKUP($C241&amp;"_"&amp;$F241,OFFSET([1]stages!$A$1,0,0,COUNTA([1]stages!$A:$A),MATCH(H$1,[1]stages!$2:$2,0)-MATCH("temp_stage",[1]stages!$2:$2,0)+1),MATCH(H$1,[1]stages!$2:$2,0)-MATCH("temp_stage",[1]stages!$2:$2,0)+1,FALSE)</f>
        <v>木曜クエスト</v>
      </c>
      <c r="I241" s="18">
        <v>0</v>
      </c>
      <c r="J241" s="5">
        <f>COUNTIF(C$1:C241,C241)</f>
        <v>9</v>
      </c>
      <c r="K241" s="34">
        <v>13</v>
      </c>
      <c r="L241" s="5" t="s">
        <v>17</v>
      </c>
      <c r="M241" s="38" t="str">
        <f>VLOOKUP(K241,[2]stage_hints!$A:$C,3,FALSE)</f>
        <v>ユニットの覚醒</v>
      </c>
      <c r="N241" s="39" t="str">
        <f>VLOOKUP(K241,[2]stage_hints!$A:$D,4,FALSE)</f>
        <v>ユニットを覚醒させると
比べものにならない強さが手に入ります</v>
      </c>
      <c r="O241" s="20" t="s">
        <v>24</v>
      </c>
      <c r="P241">
        <v>13</v>
      </c>
    </row>
    <row r="242" spans="1:16" x14ac:dyDescent="0.15">
      <c r="A242" s="27" t="str">
        <f t="shared" si="44"/>
        <v>11104_3_10</v>
      </c>
      <c r="B242" s="25" t="s">
        <v>34</v>
      </c>
      <c r="C242" s="4">
        <v>11104</v>
      </c>
      <c r="D242" s="3" t="str">
        <f ca="1">VLOOKUP($C242,OFFSET([1]quests!$A$1,0,0,COUNTA([1]quests!$A:$A),MATCH(D$1,[1]quests!$1:$1,0)-MATCH($C$1,[1]quests!$1:$1,0)+1),MATCH(D$1,[1]quests!$1:$1,0)-MATCH($C$1,[1]quests!$1:$1,0)+1,FALSE)</f>
        <v>【期間限定】 緑の素材</v>
      </c>
      <c r="E242" s="3" t="str">
        <f ca="1">VLOOKUP($C242,OFFSET([1]quests!$A$1,0,0,COUNTA([1]quests!$A:$A),MATCH(E$1,[1]quests!$1:$1,0)-MATCH($C$1,[1]quests!$1:$1,0)+1),MATCH(E$1,[1]quests!$1:$1,0)-MATCH($C$1,[1]quests!$1:$1,0)+1,FALSE)</f>
        <v>木曜クエスト</v>
      </c>
      <c r="F242" s="5">
        <v>3</v>
      </c>
      <c r="G242" s="3" t="str">
        <f ca="1">VLOOKUP($C242&amp;"_"&amp;$F242,OFFSET([1]stages!$A$1,0,0,COUNTA([1]stages!$A:$A),MATCH(G$1,[1]stages!$2:$2,0)-MATCH("temp_stage",[1]stages!$2:$2,0)+1),MATCH(G$1,[1]stages!$2:$2,0)-MATCH("temp_stage",[1]stages!$2:$2,0)+1,FALSE)</f>
        <v>【上級】樹のイモムシ</v>
      </c>
      <c r="H242" s="3" t="str">
        <f ca="1">VLOOKUP($C242&amp;"_"&amp;$F242,OFFSET([1]stages!$A$1,0,0,COUNTA([1]stages!$A:$A),MATCH(H$1,[1]stages!$2:$2,0)-MATCH("temp_stage",[1]stages!$2:$2,0)+1),MATCH(H$1,[1]stages!$2:$2,0)-MATCH("temp_stage",[1]stages!$2:$2,0)+1,FALSE)</f>
        <v>木曜クエスト</v>
      </c>
      <c r="I242" s="18">
        <v>0</v>
      </c>
      <c r="J242" s="5">
        <f>COUNTIF(C$1:C242,C242)</f>
        <v>10</v>
      </c>
      <c r="K242" s="34">
        <v>14</v>
      </c>
      <c r="L242" s="5" t="s">
        <v>17</v>
      </c>
      <c r="M242" s="38" t="str">
        <f>VLOOKUP(K242,[2]stage_hints!$A:$C,3,FALSE)</f>
        <v>覚醒するにはレベルを最大に</v>
      </c>
      <c r="N242" s="39" t="str">
        <f>VLOOKUP(K242,[2]stage_hints!$A:$D,4,FALSE)</f>
        <v>覚醒するにはユニットのレベルを
最大まで上げる必要があります</v>
      </c>
      <c r="O242" s="20" t="s">
        <v>24</v>
      </c>
      <c r="P242">
        <v>14</v>
      </c>
    </row>
    <row r="243" spans="1:16" x14ac:dyDescent="0.15">
      <c r="A243" s="27" t="str">
        <f t="shared" si="44"/>
        <v>11104_3_11</v>
      </c>
      <c r="B243" s="25" t="s">
        <v>34</v>
      </c>
      <c r="C243" s="4">
        <v>11104</v>
      </c>
      <c r="D243" s="3" t="str">
        <f ca="1">VLOOKUP($C243,OFFSET([1]quests!$A$1,0,0,COUNTA([1]quests!$A:$A),MATCH(D$1,[1]quests!$1:$1,0)-MATCH($C$1,[1]quests!$1:$1,0)+1),MATCH(D$1,[1]quests!$1:$1,0)-MATCH($C$1,[1]quests!$1:$1,0)+1,FALSE)</f>
        <v>【期間限定】 緑の素材</v>
      </c>
      <c r="E243" s="3" t="str">
        <f ca="1">VLOOKUP($C243,OFFSET([1]quests!$A$1,0,0,COUNTA([1]quests!$A:$A),MATCH(E$1,[1]quests!$1:$1,0)-MATCH($C$1,[1]quests!$1:$1,0)+1),MATCH(E$1,[1]quests!$1:$1,0)-MATCH($C$1,[1]quests!$1:$1,0)+1,FALSE)</f>
        <v>木曜クエスト</v>
      </c>
      <c r="F243" s="5">
        <v>3</v>
      </c>
      <c r="G243" s="3" t="str">
        <f ca="1">VLOOKUP($C243&amp;"_"&amp;$F243,OFFSET([1]stages!$A$1,0,0,COUNTA([1]stages!$A:$A),MATCH(G$1,[1]stages!$2:$2,0)-MATCH("temp_stage",[1]stages!$2:$2,0)+1),MATCH(G$1,[1]stages!$2:$2,0)-MATCH("temp_stage",[1]stages!$2:$2,0)+1,FALSE)</f>
        <v>【上級】樹のイモムシ</v>
      </c>
      <c r="H243" s="3" t="str">
        <f ca="1">VLOOKUP($C243&amp;"_"&amp;$F243,OFFSET([1]stages!$A$1,0,0,COUNTA([1]stages!$A:$A),MATCH(H$1,[1]stages!$2:$2,0)-MATCH("temp_stage",[1]stages!$2:$2,0)+1),MATCH(H$1,[1]stages!$2:$2,0)-MATCH("temp_stage",[1]stages!$2:$2,0)+1,FALSE)</f>
        <v>木曜クエスト</v>
      </c>
      <c r="I243" s="18">
        <v>0</v>
      </c>
      <c r="J243" s="5">
        <f>COUNTIF(C$1:C243,C243)</f>
        <v>11</v>
      </c>
      <c r="K243" s="34">
        <v>15</v>
      </c>
      <c r="L243" s="5" t="s">
        <v>17</v>
      </c>
      <c r="M243" s="38" t="str">
        <f>VLOOKUP(K243,[2]stage_hints!$A:$C,3,FALSE)</f>
        <v>覚醒素材を獲得</v>
      </c>
      <c r="N243" s="39" t="str">
        <f>VLOOKUP(K243,[2]stage_hints!$A:$D,4,FALSE)</f>
        <v>「曜日クエスト」では
ユニットの覚醒に必要な素材が手に入ります</v>
      </c>
      <c r="O243" s="20" t="s">
        <v>24</v>
      </c>
      <c r="P243">
        <v>15</v>
      </c>
    </row>
    <row r="244" spans="1:16" x14ac:dyDescent="0.15">
      <c r="A244" s="27" t="str">
        <f t="shared" si="44"/>
        <v>11104_3_12</v>
      </c>
      <c r="B244" s="25" t="s">
        <v>34</v>
      </c>
      <c r="C244" s="4">
        <v>11104</v>
      </c>
      <c r="D244" s="3" t="str">
        <f ca="1">VLOOKUP($C244,OFFSET([1]quests!$A$1,0,0,COUNTA([1]quests!$A:$A),MATCH(D$1,[1]quests!$1:$1,0)-MATCH($C$1,[1]quests!$1:$1,0)+1),MATCH(D$1,[1]quests!$1:$1,0)-MATCH($C$1,[1]quests!$1:$1,0)+1,FALSE)</f>
        <v>【期間限定】 緑の素材</v>
      </c>
      <c r="E244" s="3" t="str">
        <f ca="1">VLOOKUP($C244,OFFSET([1]quests!$A$1,0,0,COUNTA([1]quests!$A:$A),MATCH(E$1,[1]quests!$1:$1,0)-MATCH($C$1,[1]quests!$1:$1,0)+1),MATCH(E$1,[1]quests!$1:$1,0)-MATCH($C$1,[1]quests!$1:$1,0)+1,FALSE)</f>
        <v>木曜クエスト</v>
      </c>
      <c r="F244" s="5">
        <v>3</v>
      </c>
      <c r="G244" s="3" t="str">
        <f ca="1">VLOOKUP($C244&amp;"_"&amp;$F244,OFFSET([1]stages!$A$1,0,0,COUNTA([1]stages!$A:$A),MATCH(G$1,[1]stages!$2:$2,0)-MATCH("temp_stage",[1]stages!$2:$2,0)+1),MATCH(G$1,[1]stages!$2:$2,0)-MATCH("temp_stage",[1]stages!$2:$2,0)+1,FALSE)</f>
        <v>【上級】樹のイモムシ</v>
      </c>
      <c r="H244" s="3" t="str">
        <f ca="1">VLOOKUP($C244&amp;"_"&amp;$F244,OFFSET([1]stages!$A$1,0,0,COUNTA([1]stages!$A:$A),MATCH(H$1,[1]stages!$2:$2,0)-MATCH("temp_stage",[1]stages!$2:$2,0)+1),MATCH(H$1,[1]stages!$2:$2,0)-MATCH("temp_stage",[1]stages!$2:$2,0)+1,FALSE)</f>
        <v>木曜クエスト</v>
      </c>
      <c r="I244" s="18">
        <v>0</v>
      </c>
      <c r="J244" s="5">
        <f>COUNTIF(C$1:C244,C244)</f>
        <v>12</v>
      </c>
      <c r="K244" s="34">
        <v>16</v>
      </c>
      <c r="L244" s="5" t="s">
        <v>17</v>
      </c>
      <c r="M244" s="38" t="str">
        <f>VLOOKUP(K244,[2]stage_hints!$A:$C,3,FALSE)</f>
        <v>マルチプレイのメリット（その1）</v>
      </c>
      <c r="N244" s="39" t="str">
        <f>VLOOKUP(K244,[2]stage_hints!$A:$D,4,FALSE)</f>
        <v>他のプレイヤーとマルチプレイで遊ぶと
ポリゴンがもらえます（100人まで）</v>
      </c>
      <c r="O244" s="20" t="s">
        <v>24</v>
      </c>
      <c r="P244">
        <v>16</v>
      </c>
    </row>
    <row r="245" spans="1:16" x14ac:dyDescent="0.15">
      <c r="A245" s="27" t="str">
        <f t="shared" si="44"/>
        <v>11104_3_13</v>
      </c>
      <c r="B245" s="25" t="s">
        <v>34</v>
      </c>
      <c r="C245" s="4">
        <v>11104</v>
      </c>
      <c r="D245" s="3" t="str">
        <f ca="1">VLOOKUP($C245,OFFSET([1]quests!$A$1,0,0,COUNTA([1]quests!$A:$A),MATCH(D$1,[1]quests!$1:$1,0)-MATCH($C$1,[1]quests!$1:$1,0)+1),MATCH(D$1,[1]quests!$1:$1,0)-MATCH($C$1,[1]quests!$1:$1,0)+1,FALSE)</f>
        <v>【期間限定】 緑の素材</v>
      </c>
      <c r="E245" s="3" t="str">
        <f ca="1">VLOOKUP($C245,OFFSET([1]quests!$A$1,0,0,COUNTA([1]quests!$A:$A),MATCH(E$1,[1]quests!$1:$1,0)-MATCH($C$1,[1]quests!$1:$1,0)+1),MATCH(E$1,[1]quests!$1:$1,0)-MATCH($C$1,[1]quests!$1:$1,0)+1,FALSE)</f>
        <v>木曜クエスト</v>
      </c>
      <c r="F245" s="5">
        <v>3</v>
      </c>
      <c r="G245" s="3" t="str">
        <f ca="1">VLOOKUP($C245&amp;"_"&amp;$F245,OFFSET([1]stages!$A$1,0,0,COUNTA([1]stages!$A:$A),MATCH(G$1,[1]stages!$2:$2,0)-MATCH("temp_stage",[1]stages!$2:$2,0)+1),MATCH(G$1,[1]stages!$2:$2,0)-MATCH("temp_stage",[1]stages!$2:$2,0)+1,FALSE)</f>
        <v>【上級】樹のイモムシ</v>
      </c>
      <c r="H245" s="3" t="str">
        <f ca="1">VLOOKUP($C245&amp;"_"&amp;$F245,OFFSET([1]stages!$A$1,0,0,COUNTA([1]stages!$A:$A),MATCH(H$1,[1]stages!$2:$2,0)-MATCH("temp_stage",[1]stages!$2:$2,0)+1),MATCH(H$1,[1]stages!$2:$2,0)-MATCH("temp_stage",[1]stages!$2:$2,0)+1,FALSE)</f>
        <v>木曜クエスト</v>
      </c>
      <c r="I245" s="18">
        <v>0</v>
      </c>
      <c r="J245" s="5">
        <f>COUNTIF(C$1:C245,C245)</f>
        <v>13</v>
      </c>
      <c r="K245" s="34">
        <v>17</v>
      </c>
      <c r="L245" s="5" t="s">
        <v>17</v>
      </c>
      <c r="M245" s="38" t="str">
        <f>VLOOKUP(K245,[2]stage_hints!$A:$C,3,FALSE)</f>
        <v>リンクガチャ</v>
      </c>
      <c r="N245" s="39" t="str">
        <f>VLOOKUP(K245,[2]stage_hints!$A:$D,4,FALSE)</f>
        <v>無料のリンクガチャを回して
経験値素材や売却素材を獲得しましょう</v>
      </c>
      <c r="O245" s="20" t="s">
        <v>24</v>
      </c>
      <c r="P245">
        <v>17</v>
      </c>
    </row>
    <row r="246" spans="1:16" x14ac:dyDescent="0.15">
      <c r="A246" s="27" t="str">
        <f t="shared" si="44"/>
        <v>11104_3_14</v>
      </c>
      <c r="B246" s="25" t="s">
        <v>34</v>
      </c>
      <c r="C246" s="4">
        <v>11104</v>
      </c>
      <c r="D246" s="3" t="str">
        <f ca="1">VLOOKUP($C246,OFFSET([1]quests!$A$1,0,0,COUNTA([1]quests!$A:$A),MATCH(D$1,[1]quests!$1:$1,0)-MATCH($C$1,[1]quests!$1:$1,0)+1),MATCH(D$1,[1]quests!$1:$1,0)-MATCH($C$1,[1]quests!$1:$1,0)+1,FALSE)</f>
        <v>【期間限定】 緑の素材</v>
      </c>
      <c r="E246" s="3" t="str">
        <f ca="1">VLOOKUP($C246,OFFSET([1]quests!$A$1,0,0,COUNTA([1]quests!$A:$A),MATCH(E$1,[1]quests!$1:$1,0)-MATCH($C$1,[1]quests!$1:$1,0)+1),MATCH(E$1,[1]quests!$1:$1,0)-MATCH($C$1,[1]quests!$1:$1,0)+1,FALSE)</f>
        <v>木曜クエスト</v>
      </c>
      <c r="F246" s="5">
        <v>3</v>
      </c>
      <c r="G246" s="3" t="str">
        <f ca="1">VLOOKUP($C246&amp;"_"&amp;$F246,OFFSET([1]stages!$A$1,0,0,COUNTA([1]stages!$A:$A),MATCH(G$1,[1]stages!$2:$2,0)-MATCH("temp_stage",[1]stages!$2:$2,0)+1),MATCH(G$1,[1]stages!$2:$2,0)-MATCH("temp_stage",[1]stages!$2:$2,0)+1,FALSE)</f>
        <v>【上級】樹のイモムシ</v>
      </c>
      <c r="H246" s="3" t="str">
        <f ca="1">VLOOKUP($C246&amp;"_"&amp;$F246,OFFSET([1]stages!$A$1,0,0,COUNTA([1]stages!$A:$A),MATCH(H$1,[1]stages!$2:$2,0)-MATCH("temp_stage",[1]stages!$2:$2,0)+1),MATCH(H$1,[1]stages!$2:$2,0)-MATCH("temp_stage",[1]stages!$2:$2,0)+1,FALSE)</f>
        <v>木曜クエスト</v>
      </c>
      <c r="I246" s="18">
        <v>0</v>
      </c>
      <c r="J246" s="5">
        <f>COUNTIF(C$1:C246,C246)</f>
        <v>14</v>
      </c>
      <c r="K246" s="34">
        <v>18</v>
      </c>
      <c r="L246" s="5" t="s">
        <v>17</v>
      </c>
      <c r="M246" s="38" t="str">
        <f>VLOOKUP(K246,[2]stage_hints!$A:$C,3,FALSE)</f>
        <v>マルチプレイのメリット（その2）</v>
      </c>
      <c r="N246" s="39" t="str">
        <f>VLOOKUP(K246,[2]stage_hints!$A:$D,4,FALSE)</f>
        <v>マルチプレイならリンクが2倍もらえます
リンクガチャをたくさん回しましょう</v>
      </c>
      <c r="O246" s="20" t="s">
        <v>24</v>
      </c>
      <c r="P246">
        <v>18</v>
      </c>
    </row>
    <row r="247" spans="1:16" x14ac:dyDescent="0.15">
      <c r="A247" s="27" t="str">
        <f t="shared" si="44"/>
        <v>11104_3_15</v>
      </c>
      <c r="B247" s="25" t="s">
        <v>34</v>
      </c>
      <c r="C247" s="4">
        <v>11104</v>
      </c>
      <c r="D247" s="3" t="str">
        <f ca="1">VLOOKUP($C247,OFFSET([1]quests!$A$1,0,0,COUNTA([1]quests!$A:$A),MATCH(D$1,[1]quests!$1:$1,0)-MATCH($C$1,[1]quests!$1:$1,0)+1),MATCH(D$1,[1]quests!$1:$1,0)-MATCH($C$1,[1]quests!$1:$1,0)+1,FALSE)</f>
        <v>【期間限定】 緑の素材</v>
      </c>
      <c r="E247" s="3" t="str">
        <f ca="1">VLOOKUP($C247,OFFSET([1]quests!$A$1,0,0,COUNTA([1]quests!$A:$A),MATCH(E$1,[1]quests!$1:$1,0)-MATCH($C$1,[1]quests!$1:$1,0)+1),MATCH(E$1,[1]quests!$1:$1,0)-MATCH($C$1,[1]quests!$1:$1,0)+1,FALSE)</f>
        <v>木曜クエスト</v>
      </c>
      <c r="F247" s="5">
        <v>3</v>
      </c>
      <c r="G247" s="3" t="str">
        <f ca="1">VLOOKUP($C247&amp;"_"&amp;$F247,OFFSET([1]stages!$A$1,0,0,COUNTA([1]stages!$A:$A),MATCH(G$1,[1]stages!$2:$2,0)-MATCH("temp_stage",[1]stages!$2:$2,0)+1),MATCH(G$1,[1]stages!$2:$2,0)-MATCH("temp_stage",[1]stages!$2:$2,0)+1,FALSE)</f>
        <v>【上級】樹のイモムシ</v>
      </c>
      <c r="H247" s="3" t="str">
        <f ca="1">VLOOKUP($C247&amp;"_"&amp;$F247,OFFSET([1]stages!$A$1,0,0,COUNTA([1]stages!$A:$A),MATCH(H$1,[1]stages!$2:$2,0)-MATCH("temp_stage",[1]stages!$2:$2,0)+1),MATCH(H$1,[1]stages!$2:$2,0)-MATCH("temp_stage",[1]stages!$2:$2,0)+1,FALSE)</f>
        <v>木曜クエスト</v>
      </c>
      <c r="I247" s="18">
        <v>0</v>
      </c>
      <c r="J247" s="5">
        <f>COUNTIF(C$1:C247,C247)</f>
        <v>15</v>
      </c>
      <c r="K247" s="34">
        <v>19</v>
      </c>
      <c r="L247" s="5" t="s">
        <v>17</v>
      </c>
      <c r="M247" s="38" t="str">
        <f>VLOOKUP(K247,[2]stage_hints!$A:$C,3,FALSE)</f>
        <v>ソロ専用チャレンジタワー</v>
      </c>
      <c r="N247" s="39" t="str">
        <f>VLOOKUP(K247,[2]stage_hints!$A:$D,4,FALSE)</f>
        <v>ソロ専用の「チャレンジタワー」では
各フロアごとにクリア報酬がもらえます</v>
      </c>
      <c r="O247" s="20" t="s">
        <v>24</v>
      </c>
      <c r="P247">
        <v>19</v>
      </c>
    </row>
    <row r="248" spans="1:16" x14ac:dyDescent="0.15">
      <c r="A248" s="27" t="str">
        <f t="shared" si="44"/>
        <v>11104_3_16</v>
      </c>
      <c r="B248" s="25" t="s">
        <v>34</v>
      </c>
      <c r="C248" s="4">
        <v>11104</v>
      </c>
      <c r="D248" s="3" t="str">
        <f ca="1">VLOOKUP($C248,OFFSET([1]quests!$A$1,0,0,COUNTA([1]quests!$A:$A),MATCH(D$1,[1]quests!$1:$1,0)-MATCH($C$1,[1]quests!$1:$1,0)+1),MATCH(D$1,[1]quests!$1:$1,0)-MATCH($C$1,[1]quests!$1:$1,0)+1,FALSE)</f>
        <v>【期間限定】 緑の素材</v>
      </c>
      <c r="E248" s="3" t="str">
        <f ca="1">VLOOKUP($C248,OFFSET([1]quests!$A$1,0,0,COUNTA([1]quests!$A:$A),MATCH(E$1,[1]quests!$1:$1,0)-MATCH($C$1,[1]quests!$1:$1,0)+1),MATCH(E$1,[1]quests!$1:$1,0)-MATCH($C$1,[1]quests!$1:$1,0)+1,FALSE)</f>
        <v>木曜クエスト</v>
      </c>
      <c r="F248" s="5">
        <v>3</v>
      </c>
      <c r="G248" s="3" t="str">
        <f ca="1">VLOOKUP($C248&amp;"_"&amp;$F248,OFFSET([1]stages!$A$1,0,0,COUNTA([1]stages!$A:$A),MATCH(G$1,[1]stages!$2:$2,0)-MATCH("temp_stage",[1]stages!$2:$2,0)+1),MATCH(G$1,[1]stages!$2:$2,0)-MATCH("temp_stage",[1]stages!$2:$2,0)+1,FALSE)</f>
        <v>【上級】樹のイモムシ</v>
      </c>
      <c r="H248" s="3" t="str">
        <f ca="1">VLOOKUP($C248&amp;"_"&amp;$F248,OFFSET([1]stages!$A$1,0,0,COUNTA([1]stages!$A:$A),MATCH(H$1,[1]stages!$2:$2,0)-MATCH("temp_stage",[1]stages!$2:$2,0)+1),MATCH(H$1,[1]stages!$2:$2,0)-MATCH("temp_stage",[1]stages!$2:$2,0)+1,FALSE)</f>
        <v>木曜クエスト</v>
      </c>
      <c r="I248" s="18">
        <v>0</v>
      </c>
      <c r="J248" s="5">
        <f>COUNTIF(C$1:C248,C248)</f>
        <v>16</v>
      </c>
      <c r="K248" s="34">
        <v>20</v>
      </c>
      <c r="L248" s="5" t="s">
        <v>17</v>
      </c>
      <c r="M248" s="38" t="str">
        <f>VLOOKUP(K248,[2]stage_hints!$A:$C,3,FALSE)</f>
        <v>マルチプレイのメリット（その3）</v>
      </c>
      <c r="N248" s="39" t="str">
        <f>VLOOKUP(K248,[2]stage_hints!$A:$D,4,FALSE)</f>
        <v>マルチプレイへの参加はエナジー消費ゼロ
いつでも好きなだけ遊ぶことができます</v>
      </c>
      <c r="O248" s="20" t="s">
        <v>24</v>
      </c>
      <c r="P248">
        <v>20</v>
      </c>
    </row>
    <row r="249" spans="1:16" x14ac:dyDescent="0.15">
      <c r="A249" s="27" t="str">
        <f t="shared" si="44"/>
        <v>11104_3_17</v>
      </c>
      <c r="B249" s="25" t="s">
        <v>34</v>
      </c>
      <c r="C249" s="4">
        <v>11104</v>
      </c>
      <c r="D249" s="3" t="str">
        <f ca="1">VLOOKUP($C249,OFFSET([1]quests!$A$1,0,0,COUNTA([1]quests!$A:$A),MATCH(D$1,[1]quests!$1:$1,0)-MATCH($C$1,[1]quests!$1:$1,0)+1),MATCH(D$1,[1]quests!$1:$1,0)-MATCH($C$1,[1]quests!$1:$1,0)+1,FALSE)</f>
        <v>【期間限定】 緑の素材</v>
      </c>
      <c r="E249" s="3" t="str">
        <f ca="1">VLOOKUP($C249,OFFSET([1]quests!$A$1,0,0,COUNTA([1]quests!$A:$A),MATCH(E$1,[1]quests!$1:$1,0)-MATCH($C$1,[1]quests!$1:$1,0)+1),MATCH(E$1,[1]quests!$1:$1,0)-MATCH($C$1,[1]quests!$1:$1,0)+1,FALSE)</f>
        <v>木曜クエスト</v>
      </c>
      <c r="F249" s="5">
        <v>3</v>
      </c>
      <c r="G249" s="3" t="str">
        <f ca="1">VLOOKUP($C249&amp;"_"&amp;$F249,OFFSET([1]stages!$A$1,0,0,COUNTA([1]stages!$A:$A),MATCH(G$1,[1]stages!$2:$2,0)-MATCH("temp_stage",[1]stages!$2:$2,0)+1),MATCH(G$1,[1]stages!$2:$2,0)-MATCH("temp_stage",[1]stages!$2:$2,0)+1,FALSE)</f>
        <v>【上級】樹のイモムシ</v>
      </c>
      <c r="H249" s="3" t="str">
        <f ca="1">VLOOKUP($C249&amp;"_"&amp;$F249,OFFSET([1]stages!$A$1,0,0,COUNTA([1]stages!$A:$A),MATCH(H$1,[1]stages!$2:$2,0)-MATCH("temp_stage",[1]stages!$2:$2,0)+1),MATCH(H$1,[1]stages!$2:$2,0)-MATCH("temp_stage",[1]stages!$2:$2,0)+1,FALSE)</f>
        <v>木曜クエスト</v>
      </c>
      <c r="I249" s="18">
        <v>0</v>
      </c>
      <c r="J249" s="5">
        <f>COUNTIF(C$1:C249,C249)</f>
        <v>17</v>
      </c>
      <c r="K249" s="34">
        <v>21</v>
      </c>
      <c r="L249" s="5" t="s">
        <v>17</v>
      </c>
      <c r="M249" s="38" t="str">
        <f>VLOOKUP(K249,[2]stage_hints!$A:$C,3,FALSE)</f>
        <v>スキルを有効に</v>
      </c>
      <c r="N249" s="39" t="str">
        <f>VLOOKUP(K249,[2]stage_hints!$A:$D,4,FALSE)</f>
        <v>ターン経過でユニットのスキルが使えます
強力スキルでバトルを有利に進めましょう</v>
      </c>
      <c r="O249" s="20" t="s">
        <v>24</v>
      </c>
      <c r="P249">
        <v>21</v>
      </c>
    </row>
    <row r="250" spans="1:16" x14ac:dyDescent="0.15">
      <c r="A250" s="27" t="str">
        <f t="shared" ref="A250:A256" si="45">C250&amp;"_"&amp;F250&amp;"_"&amp;J250</f>
        <v>11104_3_18</v>
      </c>
      <c r="B250" s="25" t="s">
        <v>34</v>
      </c>
      <c r="C250" s="4">
        <v>11104</v>
      </c>
      <c r="D250" s="3" t="str">
        <f ca="1">VLOOKUP($C250,OFFSET([1]quests!$A$1,0,0,COUNTA([1]quests!$A:$A),MATCH(D$1,[1]quests!$1:$1,0)-MATCH($C$1,[1]quests!$1:$1,0)+1),MATCH(D$1,[1]quests!$1:$1,0)-MATCH($C$1,[1]quests!$1:$1,0)+1,FALSE)</f>
        <v>【期間限定】 緑の素材</v>
      </c>
      <c r="E250" s="3" t="str">
        <f ca="1">VLOOKUP($C250,OFFSET([1]quests!$A$1,0,0,COUNTA([1]quests!$A:$A),MATCH(E$1,[1]quests!$1:$1,0)-MATCH($C$1,[1]quests!$1:$1,0)+1),MATCH(E$1,[1]quests!$1:$1,0)-MATCH($C$1,[1]quests!$1:$1,0)+1,FALSE)</f>
        <v>木曜クエスト</v>
      </c>
      <c r="F250" s="5">
        <v>3</v>
      </c>
      <c r="G250" s="3" t="str">
        <f ca="1">VLOOKUP($C250&amp;"_"&amp;$F250,OFFSET([1]stages!$A$1,0,0,COUNTA([1]stages!$A:$A),MATCH(G$1,[1]stages!$2:$2,0)-MATCH("temp_stage",[1]stages!$2:$2,0)+1),MATCH(G$1,[1]stages!$2:$2,0)-MATCH("temp_stage",[1]stages!$2:$2,0)+1,FALSE)</f>
        <v>【上級】樹のイモムシ</v>
      </c>
      <c r="H250" s="3" t="str">
        <f ca="1">VLOOKUP($C250&amp;"_"&amp;$F250,OFFSET([1]stages!$A$1,0,0,COUNTA([1]stages!$A:$A),MATCH(H$1,[1]stages!$2:$2,0)-MATCH("temp_stage",[1]stages!$2:$2,0)+1),MATCH(H$1,[1]stages!$2:$2,0)-MATCH("temp_stage",[1]stages!$2:$2,0)+1,FALSE)</f>
        <v>木曜クエスト</v>
      </c>
      <c r="I250" s="18">
        <v>0</v>
      </c>
      <c r="J250" s="5">
        <f>COUNTIF(C$1:C250,C250)</f>
        <v>18</v>
      </c>
      <c r="K250" s="34">
        <v>22</v>
      </c>
      <c r="L250" s="5" t="s">
        <v>17</v>
      </c>
      <c r="M250" s="38" t="str">
        <f>VLOOKUP(K250,[2]stage_hints!$A:$C,3,FALSE)</f>
        <v>フィーバーで一発逆転（その1）</v>
      </c>
      <c r="N250" s="39" t="str">
        <f>VLOOKUP(K250,[2]stage_hints!$A:$D,4,FALSE)</f>
        <v>フィーバーは攻撃と回復を兼ね備えます
ピンチからの一発逆転を狙いましょう</v>
      </c>
      <c r="O250" s="20" t="s">
        <v>24</v>
      </c>
      <c r="P250">
        <v>22</v>
      </c>
    </row>
    <row r="251" spans="1:16" x14ac:dyDescent="0.15">
      <c r="A251" s="27" t="str">
        <f t="shared" si="45"/>
        <v>11104_3_19</v>
      </c>
      <c r="B251" s="25" t="s">
        <v>34</v>
      </c>
      <c r="C251" s="4">
        <v>11104</v>
      </c>
      <c r="D251" s="3" t="str">
        <f ca="1">VLOOKUP($C251,OFFSET([1]quests!$A$1,0,0,COUNTA([1]quests!$A:$A),MATCH(D$1,[1]quests!$1:$1,0)-MATCH($C$1,[1]quests!$1:$1,0)+1),MATCH(D$1,[1]quests!$1:$1,0)-MATCH($C$1,[1]quests!$1:$1,0)+1,FALSE)</f>
        <v>【期間限定】 緑の素材</v>
      </c>
      <c r="E251" s="3" t="str">
        <f ca="1">VLOOKUP($C251,OFFSET([1]quests!$A$1,0,0,COUNTA([1]quests!$A:$A),MATCH(E$1,[1]quests!$1:$1,0)-MATCH($C$1,[1]quests!$1:$1,0)+1),MATCH(E$1,[1]quests!$1:$1,0)-MATCH($C$1,[1]quests!$1:$1,0)+1,FALSE)</f>
        <v>木曜クエスト</v>
      </c>
      <c r="F251" s="5">
        <v>3</v>
      </c>
      <c r="G251" s="3" t="str">
        <f ca="1">VLOOKUP($C251&amp;"_"&amp;$F251,OFFSET([1]stages!$A$1,0,0,COUNTA([1]stages!$A:$A),MATCH(G$1,[1]stages!$2:$2,0)-MATCH("temp_stage",[1]stages!$2:$2,0)+1),MATCH(G$1,[1]stages!$2:$2,0)-MATCH("temp_stage",[1]stages!$2:$2,0)+1,FALSE)</f>
        <v>【上級】樹のイモムシ</v>
      </c>
      <c r="H251" s="3" t="str">
        <f ca="1">VLOOKUP($C251&amp;"_"&amp;$F251,OFFSET([1]stages!$A$1,0,0,COUNTA([1]stages!$A:$A),MATCH(H$1,[1]stages!$2:$2,0)-MATCH("temp_stage",[1]stages!$2:$2,0)+1),MATCH(H$1,[1]stages!$2:$2,0)-MATCH("temp_stage",[1]stages!$2:$2,0)+1,FALSE)</f>
        <v>木曜クエスト</v>
      </c>
      <c r="I251" s="18">
        <v>0</v>
      </c>
      <c r="J251" s="5">
        <f>COUNTIF(C$1:C251,C251)</f>
        <v>19</v>
      </c>
      <c r="K251" s="34">
        <v>23</v>
      </c>
      <c r="L251" s="5" t="s">
        <v>17</v>
      </c>
      <c r="M251" s="38" t="str">
        <f>VLOOKUP(K251,[2]stage_hints!$A:$C,3,FALSE)</f>
        <v>フィーバーで一発逆転（その2）</v>
      </c>
      <c r="N251" s="39" t="str">
        <f>VLOOKUP(K251,[2]stage_hints!$A:$D,4,FALSE)</f>
        <v>フィーバー中は虹色のボムパネルを狙って
画面上のパネルを一気に破壊しましょう</v>
      </c>
      <c r="O251" s="20" t="s">
        <v>24</v>
      </c>
      <c r="P251">
        <v>23</v>
      </c>
    </row>
    <row r="252" spans="1:16" x14ac:dyDescent="0.15">
      <c r="A252" s="27" t="str">
        <f t="shared" si="45"/>
        <v>11104_3_20</v>
      </c>
      <c r="B252" s="25" t="s">
        <v>34</v>
      </c>
      <c r="C252" s="4">
        <v>11104</v>
      </c>
      <c r="D252" s="3" t="str">
        <f ca="1">VLOOKUP($C252,OFFSET([1]quests!$A$1,0,0,COUNTA([1]quests!$A:$A),MATCH(D$1,[1]quests!$1:$1,0)-MATCH($C$1,[1]quests!$1:$1,0)+1),MATCH(D$1,[1]quests!$1:$1,0)-MATCH($C$1,[1]quests!$1:$1,0)+1,FALSE)</f>
        <v>【期間限定】 緑の素材</v>
      </c>
      <c r="E252" s="3" t="str">
        <f ca="1">VLOOKUP($C252,OFFSET([1]quests!$A$1,0,0,COUNTA([1]quests!$A:$A),MATCH(E$1,[1]quests!$1:$1,0)-MATCH($C$1,[1]quests!$1:$1,0)+1),MATCH(E$1,[1]quests!$1:$1,0)-MATCH($C$1,[1]quests!$1:$1,0)+1,FALSE)</f>
        <v>木曜クエスト</v>
      </c>
      <c r="F252" s="5">
        <v>3</v>
      </c>
      <c r="G252" s="3" t="str">
        <f ca="1">VLOOKUP($C252&amp;"_"&amp;$F252,OFFSET([1]stages!$A$1,0,0,COUNTA([1]stages!$A:$A),MATCH(G$1,[1]stages!$2:$2,0)-MATCH("temp_stage",[1]stages!$2:$2,0)+1),MATCH(G$1,[1]stages!$2:$2,0)-MATCH("temp_stage",[1]stages!$2:$2,0)+1,FALSE)</f>
        <v>【上級】樹のイモムシ</v>
      </c>
      <c r="H252" s="3" t="str">
        <f ca="1">VLOOKUP($C252&amp;"_"&amp;$F252,OFFSET([1]stages!$A$1,0,0,COUNTA([1]stages!$A:$A),MATCH(H$1,[1]stages!$2:$2,0)-MATCH("temp_stage",[1]stages!$2:$2,0)+1),MATCH(H$1,[1]stages!$2:$2,0)-MATCH("temp_stage",[1]stages!$2:$2,0)+1,FALSE)</f>
        <v>木曜クエスト</v>
      </c>
      <c r="I252" s="18">
        <v>0</v>
      </c>
      <c r="J252" s="5">
        <f>COUNTIF(C$1:C252,C252)</f>
        <v>20</v>
      </c>
      <c r="K252" s="34">
        <v>24</v>
      </c>
      <c r="L252" s="5" t="s">
        <v>17</v>
      </c>
      <c r="M252" s="38" t="str">
        <f>VLOOKUP(K252,[2]stage_hints!$A:$C,3,FALSE)</f>
        <v>りんごを使って限界突破</v>
      </c>
      <c r="N252" s="39" t="str">
        <f>VLOOKUP(K252,[2]stage_hints!$A:$D,4,FALSE)</f>
        <v>赤りんご(攻撃力) 青りんご(回復力)
緑りんご(体力)をユニット強化に使うと
ステータスが限界突破します（計99個迄）</v>
      </c>
      <c r="O252" s="20" t="s">
        <v>24</v>
      </c>
      <c r="P252">
        <v>24</v>
      </c>
    </row>
    <row r="253" spans="1:16" x14ac:dyDescent="0.15">
      <c r="A253" s="27" t="str">
        <f t="shared" si="45"/>
        <v>11104_3_21</v>
      </c>
      <c r="B253" s="25" t="s">
        <v>34</v>
      </c>
      <c r="C253" s="4">
        <v>11104</v>
      </c>
      <c r="D253" s="3" t="str">
        <f ca="1">VLOOKUP($C253,OFFSET([1]quests!$A$1,0,0,COUNTA([1]quests!$A:$A),MATCH(D$1,[1]quests!$1:$1,0)-MATCH($C$1,[1]quests!$1:$1,0)+1),MATCH(D$1,[1]quests!$1:$1,0)-MATCH($C$1,[1]quests!$1:$1,0)+1,FALSE)</f>
        <v>【期間限定】 緑の素材</v>
      </c>
      <c r="E253" s="3" t="str">
        <f ca="1">VLOOKUP($C253,OFFSET([1]quests!$A$1,0,0,COUNTA([1]quests!$A:$A),MATCH(E$1,[1]quests!$1:$1,0)-MATCH($C$1,[1]quests!$1:$1,0)+1),MATCH(E$1,[1]quests!$1:$1,0)-MATCH($C$1,[1]quests!$1:$1,0)+1,FALSE)</f>
        <v>木曜クエスト</v>
      </c>
      <c r="F253" s="5">
        <v>3</v>
      </c>
      <c r="G253" s="3" t="str">
        <f ca="1">VLOOKUP($C253&amp;"_"&amp;$F253,OFFSET([1]stages!$A$1,0,0,COUNTA([1]stages!$A:$A),MATCH(G$1,[1]stages!$2:$2,0)-MATCH("temp_stage",[1]stages!$2:$2,0)+1),MATCH(G$1,[1]stages!$2:$2,0)-MATCH("temp_stage",[1]stages!$2:$2,0)+1,FALSE)</f>
        <v>【上級】樹のイモムシ</v>
      </c>
      <c r="H253" s="3" t="str">
        <f ca="1">VLOOKUP($C253&amp;"_"&amp;$F253,OFFSET([1]stages!$A$1,0,0,COUNTA([1]stages!$A:$A),MATCH(H$1,[1]stages!$2:$2,0)-MATCH("temp_stage",[1]stages!$2:$2,0)+1),MATCH(H$1,[1]stages!$2:$2,0)-MATCH("temp_stage",[1]stages!$2:$2,0)+1,FALSE)</f>
        <v>木曜クエスト</v>
      </c>
      <c r="I253" s="18">
        <v>0</v>
      </c>
      <c r="J253" s="5">
        <f>COUNTIF(C$1:C253,C253)</f>
        <v>21</v>
      </c>
      <c r="K253" s="34">
        <v>25</v>
      </c>
      <c r="L253" s="5" t="s">
        <v>17</v>
      </c>
      <c r="M253" s="38" t="str">
        <f>VLOOKUP(K253,[2]stage_hints!$A:$C,3,FALSE)</f>
        <v>スキルレベルアップ</v>
      </c>
      <c r="N253" s="39" t="str">
        <f>VLOOKUP(K253,[2]stage_hints!$A:$D,4,FALSE)</f>
        <v>「クリスタルのりんご」を強化に使うと
スキルレベルを上げることができます</v>
      </c>
      <c r="O253" s="20" t="s">
        <v>24</v>
      </c>
      <c r="P253">
        <v>25</v>
      </c>
    </row>
    <row r="254" spans="1:16" x14ac:dyDescent="0.15">
      <c r="A254" s="27" t="str">
        <f t="shared" si="45"/>
        <v>11104_3_22</v>
      </c>
      <c r="B254" s="25" t="s">
        <v>34</v>
      </c>
      <c r="C254" s="4">
        <v>11104</v>
      </c>
      <c r="D254" s="3" t="str">
        <f ca="1">VLOOKUP($C254,OFFSET([1]quests!$A$1,0,0,COUNTA([1]quests!$A:$A),MATCH(D$1,[1]quests!$1:$1,0)-MATCH($C$1,[1]quests!$1:$1,0)+1),MATCH(D$1,[1]quests!$1:$1,0)-MATCH($C$1,[1]quests!$1:$1,0)+1,FALSE)</f>
        <v>【期間限定】 緑の素材</v>
      </c>
      <c r="E254" s="3" t="str">
        <f ca="1">VLOOKUP($C254,OFFSET([1]quests!$A$1,0,0,COUNTA([1]quests!$A:$A),MATCH(E$1,[1]quests!$1:$1,0)-MATCH($C$1,[1]quests!$1:$1,0)+1),MATCH(E$1,[1]quests!$1:$1,0)-MATCH($C$1,[1]quests!$1:$1,0)+1,FALSE)</f>
        <v>木曜クエスト</v>
      </c>
      <c r="F254" s="5">
        <v>3</v>
      </c>
      <c r="G254" s="3" t="str">
        <f ca="1">VLOOKUP($C254&amp;"_"&amp;$F254,OFFSET([1]stages!$A$1,0,0,COUNTA([1]stages!$A:$A),MATCH(G$1,[1]stages!$2:$2,0)-MATCH("temp_stage",[1]stages!$2:$2,0)+1),MATCH(G$1,[1]stages!$2:$2,0)-MATCH("temp_stage",[1]stages!$2:$2,0)+1,FALSE)</f>
        <v>【上級】樹のイモムシ</v>
      </c>
      <c r="H254" s="3" t="str">
        <f ca="1">VLOOKUP($C254&amp;"_"&amp;$F254,OFFSET([1]stages!$A$1,0,0,COUNTA([1]stages!$A:$A),MATCH(H$1,[1]stages!$2:$2,0)-MATCH("temp_stage",[1]stages!$2:$2,0)+1),MATCH(H$1,[1]stages!$2:$2,0)-MATCH("temp_stage",[1]stages!$2:$2,0)+1,FALSE)</f>
        <v>木曜クエスト</v>
      </c>
      <c r="I254" s="18">
        <v>0</v>
      </c>
      <c r="J254" s="5">
        <f>COUNTIF(C$1:C254,C254)</f>
        <v>22</v>
      </c>
      <c r="K254" s="34">
        <v>26</v>
      </c>
      <c r="L254" s="5" t="s">
        <v>17</v>
      </c>
      <c r="M254" s="38" t="str">
        <f>VLOOKUP(K254,[2]stage_hints!$A:$C,3,FALSE)</f>
        <v>スキルレベルの効果</v>
      </c>
      <c r="N254" s="39" t="str">
        <f>VLOOKUP(K254,[2]stage_hints!$A:$D,4,FALSE)</f>
        <v>スキルレベルが上がると
短いターンでスキルを使うことができます</v>
      </c>
      <c r="O254" s="20" t="s">
        <v>24</v>
      </c>
      <c r="P254">
        <v>26</v>
      </c>
    </row>
    <row r="255" spans="1:16" x14ac:dyDescent="0.15">
      <c r="A255" s="27" t="str">
        <f t="shared" si="45"/>
        <v>11104_3_23</v>
      </c>
      <c r="B255" s="25" t="s">
        <v>34</v>
      </c>
      <c r="C255" s="4">
        <v>11104</v>
      </c>
      <c r="D255" s="3" t="str">
        <f ca="1">VLOOKUP($C255,OFFSET([1]quests!$A$1,0,0,COUNTA([1]quests!$A:$A),MATCH(D$1,[1]quests!$1:$1,0)-MATCH($C$1,[1]quests!$1:$1,0)+1),MATCH(D$1,[1]quests!$1:$1,0)-MATCH($C$1,[1]quests!$1:$1,0)+1,FALSE)</f>
        <v>【期間限定】 緑の素材</v>
      </c>
      <c r="E255" s="3" t="str">
        <f ca="1">VLOOKUP($C255,OFFSET([1]quests!$A$1,0,0,COUNTA([1]quests!$A:$A),MATCH(E$1,[1]quests!$1:$1,0)-MATCH($C$1,[1]quests!$1:$1,0)+1),MATCH(E$1,[1]quests!$1:$1,0)-MATCH($C$1,[1]quests!$1:$1,0)+1,FALSE)</f>
        <v>木曜クエスト</v>
      </c>
      <c r="F255" s="5">
        <v>3</v>
      </c>
      <c r="G255" s="3" t="str">
        <f ca="1">VLOOKUP($C255&amp;"_"&amp;$F255,OFFSET([1]stages!$A$1,0,0,COUNTA([1]stages!$A:$A),MATCH(G$1,[1]stages!$2:$2,0)-MATCH("temp_stage",[1]stages!$2:$2,0)+1),MATCH(G$1,[1]stages!$2:$2,0)-MATCH("temp_stage",[1]stages!$2:$2,0)+1,FALSE)</f>
        <v>【上級】樹のイモムシ</v>
      </c>
      <c r="H255" s="3" t="str">
        <f ca="1">VLOOKUP($C255&amp;"_"&amp;$F255,OFFSET([1]stages!$A$1,0,0,COUNTA([1]stages!$A:$A),MATCH(H$1,[1]stages!$2:$2,0)-MATCH("temp_stage",[1]stages!$2:$2,0)+1),MATCH(H$1,[1]stages!$2:$2,0)-MATCH("temp_stage",[1]stages!$2:$2,0)+1,FALSE)</f>
        <v>木曜クエスト</v>
      </c>
      <c r="I255" s="18">
        <v>0</v>
      </c>
      <c r="J255" s="5">
        <f>COUNTIF(C$1:C255,C255)</f>
        <v>23</v>
      </c>
      <c r="K255" s="34">
        <v>27</v>
      </c>
      <c r="L255" s="5" t="s">
        <v>17</v>
      </c>
      <c r="M255" s="38" t="str">
        <f>VLOOKUP(K255,[2]stage_hints!$A:$C,3,FALSE)</f>
        <v>ホーム画面からデッキを編成</v>
      </c>
      <c r="N255" s="39" t="str">
        <f>VLOOKUP(K255,[2]stage_hints!$A:$D,4,FALSE)</f>
        <v>ホーム画面でユニットを長押しすると
すぐにパーティ編成に移動できます</v>
      </c>
      <c r="O255" s="20" t="s">
        <v>24</v>
      </c>
      <c r="P255">
        <v>27</v>
      </c>
    </row>
    <row r="256" spans="1:16" x14ac:dyDescent="0.15">
      <c r="A256" s="27" t="str">
        <f t="shared" si="45"/>
        <v>11104_3_24</v>
      </c>
      <c r="B256" s="25" t="s">
        <v>34</v>
      </c>
      <c r="C256" s="4">
        <v>11104</v>
      </c>
      <c r="D256" s="3" t="str">
        <f ca="1">VLOOKUP($C256,OFFSET([1]quests!$A$1,0,0,COUNTA([1]quests!$A:$A),MATCH(D$1,[1]quests!$1:$1,0)-MATCH($C$1,[1]quests!$1:$1,0)+1),MATCH(D$1,[1]quests!$1:$1,0)-MATCH($C$1,[1]quests!$1:$1,0)+1,FALSE)</f>
        <v>【期間限定】 緑の素材</v>
      </c>
      <c r="E256" s="3" t="str">
        <f ca="1">VLOOKUP($C256,OFFSET([1]quests!$A$1,0,0,COUNTA([1]quests!$A:$A),MATCH(E$1,[1]quests!$1:$1,0)-MATCH($C$1,[1]quests!$1:$1,0)+1),MATCH(E$1,[1]quests!$1:$1,0)-MATCH($C$1,[1]quests!$1:$1,0)+1,FALSE)</f>
        <v>木曜クエスト</v>
      </c>
      <c r="F256" s="5">
        <v>3</v>
      </c>
      <c r="G256" s="3" t="str">
        <f ca="1">VLOOKUP($C256&amp;"_"&amp;$F256,OFFSET([1]stages!$A$1,0,0,COUNTA([1]stages!$A:$A),MATCH(G$1,[1]stages!$2:$2,0)-MATCH("temp_stage",[1]stages!$2:$2,0)+1),MATCH(G$1,[1]stages!$2:$2,0)-MATCH("temp_stage",[1]stages!$2:$2,0)+1,FALSE)</f>
        <v>【上級】樹のイモムシ</v>
      </c>
      <c r="H256" s="3" t="str">
        <f ca="1">VLOOKUP($C256&amp;"_"&amp;$F256,OFFSET([1]stages!$A$1,0,0,COUNTA([1]stages!$A:$A),MATCH(H$1,[1]stages!$2:$2,0)-MATCH("temp_stage",[1]stages!$2:$2,0)+1),MATCH(H$1,[1]stages!$2:$2,0)-MATCH("temp_stage",[1]stages!$2:$2,0)+1,FALSE)</f>
        <v>木曜クエスト</v>
      </c>
      <c r="I256" s="18">
        <v>0</v>
      </c>
      <c r="J256" s="5">
        <f>COUNTIF(C$1:C256,C256)</f>
        <v>24</v>
      </c>
      <c r="K256" s="34">
        <v>28</v>
      </c>
      <c r="L256" s="5" t="s">
        <v>17</v>
      </c>
      <c r="M256" s="38" t="str">
        <f>VLOOKUP(K256,[2]stage_hints!$A:$C,3,FALSE)</f>
        <v>ステータス情報は長押しで</v>
      </c>
      <c r="N256" s="39" t="str">
        <f>VLOOKUP(K256,[2]stage_hints!$A:$D,4,FALSE)</f>
        <v>ユニットのアイコンを長押しすると
ステータス情報を確認することができます</v>
      </c>
      <c r="O256" s="20" t="s">
        <v>24</v>
      </c>
      <c r="P256">
        <v>28</v>
      </c>
    </row>
    <row r="257" spans="1:16" x14ac:dyDescent="0.15">
      <c r="A257" s="27" t="str">
        <f t="shared" ref="A257:A269" si="46">C257&amp;"_"&amp;F257&amp;"_"&amp;J257</f>
        <v>11104_3_25</v>
      </c>
      <c r="B257" s="25" t="s">
        <v>34</v>
      </c>
      <c r="C257" s="4">
        <v>11104</v>
      </c>
      <c r="D257" s="3" t="str">
        <f ca="1">VLOOKUP($C257,OFFSET([1]quests!$A$1,0,0,COUNTA([1]quests!$A:$A),MATCH(D$1,[1]quests!$1:$1,0)-MATCH($C$1,[1]quests!$1:$1,0)+1),MATCH(D$1,[1]quests!$1:$1,0)-MATCH($C$1,[1]quests!$1:$1,0)+1,FALSE)</f>
        <v>【期間限定】 緑の素材</v>
      </c>
      <c r="E257" s="3" t="str">
        <f ca="1">VLOOKUP($C257,OFFSET([1]quests!$A$1,0,0,COUNTA([1]quests!$A:$A),MATCH(E$1,[1]quests!$1:$1,0)-MATCH($C$1,[1]quests!$1:$1,0)+1),MATCH(E$1,[1]quests!$1:$1,0)-MATCH($C$1,[1]quests!$1:$1,0)+1,FALSE)</f>
        <v>木曜クエスト</v>
      </c>
      <c r="F257" s="5">
        <v>3</v>
      </c>
      <c r="G257" s="3" t="str">
        <f ca="1">VLOOKUP($C257&amp;"_"&amp;$F257,OFFSET([1]stages!$A$1,0,0,COUNTA([1]stages!$A:$A),MATCH(G$1,[1]stages!$2:$2,0)-MATCH("temp_stage",[1]stages!$2:$2,0)+1),MATCH(G$1,[1]stages!$2:$2,0)-MATCH("temp_stage",[1]stages!$2:$2,0)+1,FALSE)</f>
        <v>【上級】樹のイモムシ</v>
      </c>
      <c r="H257" s="3" t="str">
        <f ca="1">VLOOKUP($C257&amp;"_"&amp;$F257,OFFSET([1]stages!$A$1,0,0,COUNTA([1]stages!$A:$A),MATCH(H$1,[1]stages!$2:$2,0)-MATCH("temp_stage",[1]stages!$2:$2,0)+1),MATCH(H$1,[1]stages!$2:$2,0)-MATCH("temp_stage",[1]stages!$2:$2,0)+1,FALSE)</f>
        <v>木曜クエスト</v>
      </c>
      <c r="I257" s="18">
        <v>0</v>
      </c>
      <c r="J257" s="5">
        <f>COUNTIF(C$1:C257,C257)</f>
        <v>25</v>
      </c>
      <c r="K257" s="34">
        <v>29</v>
      </c>
      <c r="L257" s="5" t="s">
        <v>17</v>
      </c>
      <c r="M257" s="38" t="str">
        <f>VLOOKUP(K257,[2]stage_hints!$A:$C,3,FALSE)</f>
        <v>「バグ」のメリット</v>
      </c>
      <c r="N257" s="39" t="str">
        <f>VLOOKUP(K257,[2]stage_hints!$A:$D,4,FALSE)</f>
        <v>ユニットの「バグ」を増やすと
報酬をもらえる確率がアップします</v>
      </c>
      <c r="O257" s="20" t="s">
        <v>24</v>
      </c>
      <c r="P257">
        <v>29</v>
      </c>
    </row>
    <row r="258" spans="1:16" x14ac:dyDescent="0.15">
      <c r="A258" s="27" t="str">
        <f t="shared" si="46"/>
        <v>11104_3_26</v>
      </c>
      <c r="B258" s="25" t="s">
        <v>34</v>
      </c>
      <c r="C258" s="4">
        <v>11104</v>
      </c>
      <c r="D258" s="3" t="str">
        <f ca="1">VLOOKUP($C258,OFFSET([1]quests!$A$1,0,0,COUNTA([1]quests!$A:$A),MATCH(D$1,[1]quests!$1:$1,0)-MATCH($C$1,[1]quests!$1:$1,0)+1),MATCH(D$1,[1]quests!$1:$1,0)-MATCH($C$1,[1]quests!$1:$1,0)+1,FALSE)</f>
        <v>【期間限定】 緑の素材</v>
      </c>
      <c r="E258" s="3" t="str">
        <f ca="1">VLOOKUP($C258,OFFSET([1]quests!$A$1,0,0,COUNTA([1]quests!$A:$A),MATCH(E$1,[1]quests!$1:$1,0)-MATCH($C$1,[1]quests!$1:$1,0)+1),MATCH(E$1,[1]quests!$1:$1,0)-MATCH($C$1,[1]quests!$1:$1,0)+1,FALSE)</f>
        <v>木曜クエスト</v>
      </c>
      <c r="F258" s="5">
        <v>3</v>
      </c>
      <c r="G258" s="3" t="str">
        <f ca="1">VLOOKUP($C258&amp;"_"&amp;$F258,OFFSET([1]stages!$A$1,0,0,COUNTA([1]stages!$A:$A),MATCH(G$1,[1]stages!$2:$2,0)-MATCH("temp_stage",[1]stages!$2:$2,0)+1),MATCH(G$1,[1]stages!$2:$2,0)-MATCH("temp_stage",[1]stages!$2:$2,0)+1,FALSE)</f>
        <v>【上級】樹のイモムシ</v>
      </c>
      <c r="H258" s="3" t="str">
        <f ca="1">VLOOKUP($C258&amp;"_"&amp;$F258,OFFSET([1]stages!$A$1,0,0,COUNTA([1]stages!$A:$A),MATCH(H$1,[1]stages!$2:$2,0)-MATCH("temp_stage",[1]stages!$2:$2,0)+1),MATCH(H$1,[1]stages!$2:$2,0)-MATCH("temp_stage",[1]stages!$2:$2,0)+1,FALSE)</f>
        <v>木曜クエスト</v>
      </c>
      <c r="I258" s="18">
        <v>0</v>
      </c>
      <c r="J258" s="5">
        <f>COUNTIF(C$1:C258,C258)</f>
        <v>26</v>
      </c>
      <c r="K258" s="34">
        <v>30</v>
      </c>
      <c r="L258" s="5" t="s">
        <v>17</v>
      </c>
      <c r="M258" s="38" t="str">
        <f>VLOOKUP(K258,[2]stage_hints!$A:$C,3,FALSE)</f>
        <v>「バグ」の増やし方</v>
      </c>
      <c r="N258" s="39" t="str">
        <f>VLOOKUP(K258,[2]stage_hints!$A:$D,4,FALSE)</f>
        <v>同じユニット同士を強化で合成すると
「バグ」を増やすことができます</v>
      </c>
      <c r="O258" s="20" t="s">
        <v>24</v>
      </c>
      <c r="P258">
        <v>30</v>
      </c>
    </row>
    <row r="259" spans="1:16" x14ac:dyDescent="0.15">
      <c r="A259" s="27" t="str">
        <f t="shared" si="46"/>
        <v>11104_3_27</v>
      </c>
      <c r="B259" s="25" t="s">
        <v>34</v>
      </c>
      <c r="C259" s="4">
        <v>11104</v>
      </c>
      <c r="D259" s="3" t="str">
        <f ca="1">VLOOKUP($C259,OFFSET([1]quests!$A$1,0,0,COUNTA([1]quests!$A:$A),MATCH(D$1,[1]quests!$1:$1,0)-MATCH($C$1,[1]quests!$1:$1,0)+1),MATCH(D$1,[1]quests!$1:$1,0)-MATCH($C$1,[1]quests!$1:$1,0)+1,FALSE)</f>
        <v>【期間限定】 緑の素材</v>
      </c>
      <c r="E259" s="3" t="str">
        <f ca="1">VLOOKUP($C259,OFFSET([1]quests!$A$1,0,0,COUNTA([1]quests!$A:$A),MATCH(E$1,[1]quests!$1:$1,0)-MATCH($C$1,[1]quests!$1:$1,0)+1),MATCH(E$1,[1]quests!$1:$1,0)-MATCH($C$1,[1]quests!$1:$1,0)+1,FALSE)</f>
        <v>木曜クエスト</v>
      </c>
      <c r="F259" s="5">
        <v>3</v>
      </c>
      <c r="G259" s="3" t="str">
        <f ca="1">VLOOKUP($C259&amp;"_"&amp;$F259,OFFSET([1]stages!$A$1,0,0,COUNTA([1]stages!$A:$A),MATCH(G$1,[1]stages!$2:$2,0)-MATCH("temp_stage",[1]stages!$2:$2,0)+1),MATCH(G$1,[1]stages!$2:$2,0)-MATCH("temp_stage",[1]stages!$2:$2,0)+1,FALSE)</f>
        <v>【上級】樹のイモムシ</v>
      </c>
      <c r="H259" s="3" t="str">
        <f ca="1">VLOOKUP($C259&amp;"_"&amp;$F259,OFFSET([1]stages!$A$1,0,0,COUNTA([1]stages!$A:$A),MATCH(H$1,[1]stages!$2:$2,0)-MATCH("temp_stage",[1]stages!$2:$2,0)+1),MATCH(H$1,[1]stages!$2:$2,0)-MATCH("temp_stage",[1]stages!$2:$2,0)+1,FALSE)</f>
        <v>木曜クエスト</v>
      </c>
      <c r="I259" s="18">
        <v>0</v>
      </c>
      <c r="J259" s="5">
        <f>COUNTIF(C$1:C259,C259)</f>
        <v>27</v>
      </c>
      <c r="K259" s="34">
        <v>31</v>
      </c>
      <c r="L259" s="5" t="s">
        <v>17</v>
      </c>
      <c r="M259" s="38" t="str">
        <f>VLOOKUP(K259,[2]stage_hints!$A:$C,3,FALSE)</f>
        <v>イベントはお知らせでチェック</v>
      </c>
      <c r="N259" s="39" t="str">
        <f>VLOOKUP(K259,[2]stage_hints!$A:$D,4,FALSE)</f>
        <v>イベント限定ユニットを取り忘れないように
お知らせをこまめにチェックしましょう</v>
      </c>
      <c r="O259" s="20" t="s">
        <v>24</v>
      </c>
      <c r="P259">
        <v>31</v>
      </c>
    </row>
    <row r="260" spans="1:16" x14ac:dyDescent="0.15">
      <c r="A260" s="27" t="str">
        <f t="shared" si="46"/>
        <v>11104_3_28</v>
      </c>
      <c r="B260" s="25" t="s">
        <v>34</v>
      </c>
      <c r="C260" s="4">
        <v>11104</v>
      </c>
      <c r="D260" s="3" t="str">
        <f ca="1">VLOOKUP($C260,OFFSET([1]quests!$A$1,0,0,COUNTA([1]quests!$A:$A),MATCH(D$1,[1]quests!$1:$1,0)-MATCH($C$1,[1]quests!$1:$1,0)+1),MATCH(D$1,[1]quests!$1:$1,0)-MATCH($C$1,[1]quests!$1:$1,0)+1,FALSE)</f>
        <v>【期間限定】 緑の素材</v>
      </c>
      <c r="E260" s="3" t="str">
        <f ca="1">VLOOKUP($C260,OFFSET([1]quests!$A$1,0,0,COUNTA([1]quests!$A:$A),MATCH(E$1,[1]quests!$1:$1,0)-MATCH($C$1,[1]quests!$1:$1,0)+1),MATCH(E$1,[1]quests!$1:$1,0)-MATCH($C$1,[1]quests!$1:$1,0)+1,FALSE)</f>
        <v>木曜クエスト</v>
      </c>
      <c r="F260" s="5">
        <v>3</v>
      </c>
      <c r="G260" s="3" t="str">
        <f ca="1">VLOOKUP($C260&amp;"_"&amp;$F260,OFFSET([1]stages!$A$1,0,0,COUNTA([1]stages!$A:$A),MATCH(G$1,[1]stages!$2:$2,0)-MATCH("temp_stage",[1]stages!$2:$2,0)+1),MATCH(G$1,[1]stages!$2:$2,0)-MATCH("temp_stage",[1]stages!$2:$2,0)+1,FALSE)</f>
        <v>【上級】樹のイモムシ</v>
      </c>
      <c r="H260" s="3" t="str">
        <f ca="1">VLOOKUP($C260&amp;"_"&amp;$F260,OFFSET([1]stages!$A$1,0,0,COUNTA([1]stages!$A:$A),MATCH(H$1,[1]stages!$2:$2,0)-MATCH("temp_stage",[1]stages!$2:$2,0)+1),MATCH(H$1,[1]stages!$2:$2,0)-MATCH("temp_stage",[1]stages!$2:$2,0)+1,FALSE)</f>
        <v>木曜クエスト</v>
      </c>
      <c r="I260" s="18">
        <v>0</v>
      </c>
      <c r="J260" s="5">
        <f>COUNTIF(C$1:C260,C260)</f>
        <v>28</v>
      </c>
      <c r="K260" s="34">
        <v>32</v>
      </c>
      <c r="L260" s="5" t="s">
        <v>17</v>
      </c>
      <c r="M260" s="38" t="str">
        <f>VLOOKUP(K260,[2]stage_hints!$A:$C,3,FALSE)</f>
        <v>敵の連続攻撃には</v>
      </c>
      <c r="N260" s="39" t="str">
        <f>VLOOKUP(K260,[2]stage_hints!$A:$D,4,FALSE)</f>
        <v>カウンタースキルを持つユニットがいれば
ダメージ回数分の反撃ができます</v>
      </c>
      <c r="O260" s="20" t="s">
        <v>24</v>
      </c>
      <c r="P260">
        <v>32</v>
      </c>
    </row>
    <row r="261" spans="1:16" x14ac:dyDescent="0.15">
      <c r="A261" s="27" t="str">
        <f t="shared" si="46"/>
        <v>11104_3_29</v>
      </c>
      <c r="B261" s="25" t="s">
        <v>34</v>
      </c>
      <c r="C261" s="4">
        <v>11104</v>
      </c>
      <c r="D261" s="3" t="str">
        <f ca="1">VLOOKUP($C261,OFFSET([1]quests!$A$1,0,0,COUNTA([1]quests!$A:$A),MATCH(D$1,[1]quests!$1:$1,0)-MATCH($C$1,[1]quests!$1:$1,0)+1),MATCH(D$1,[1]quests!$1:$1,0)-MATCH($C$1,[1]quests!$1:$1,0)+1,FALSE)</f>
        <v>【期間限定】 緑の素材</v>
      </c>
      <c r="E261" s="3" t="str">
        <f ca="1">VLOOKUP($C261,OFFSET([1]quests!$A$1,0,0,COUNTA([1]quests!$A:$A),MATCH(E$1,[1]quests!$1:$1,0)-MATCH($C$1,[1]quests!$1:$1,0)+1),MATCH(E$1,[1]quests!$1:$1,0)-MATCH($C$1,[1]quests!$1:$1,0)+1,FALSE)</f>
        <v>木曜クエスト</v>
      </c>
      <c r="F261" s="5">
        <v>3</v>
      </c>
      <c r="G261" s="3" t="str">
        <f ca="1">VLOOKUP($C261&amp;"_"&amp;$F261,OFFSET([1]stages!$A$1,0,0,COUNTA([1]stages!$A:$A),MATCH(G$1,[1]stages!$2:$2,0)-MATCH("temp_stage",[1]stages!$2:$2,0)+1),MATCH(G$1,[1]stages!$2:$2,0)-MATCH("temp_stage",[1]stages!$2:$2,0)+1,FALSE)</f>
        <v>【上級】樹のイモムシ</v>
      </c>
      <c r="H261" s="3" t="str">
        <f ca="1">VLOOKUP($C261&amp;"_"&amp;$F261,OFFSET([1]stages!$A$1,0,0,COUNTA([1]stages!$A:$A),MATCH(H$1,[1]stages!$2:$2,0)-MATCH("temp_stage",[1]stages!$2:$2,0)+1),MATCH(H$1,[1]stages!$2:$2,0)-MATCH("temp_stage",[1]stages!$2:$2,0)+1,FALSE)</f>
        <v>木曜クエスト</v>
      </c>
      <c r="I261" s="18">
        <v>0</v>
      </c>
      <c r="J261" s="5">
        <f>COUNTIF(C$1:C261,C261)</f>
        <v>29</v>
      </c>
      <c r="K261" s="34">
        <v>33</v>
      </c>
      <c r="L261" s="5" t="s">
        <v>17</v>
      </c>
      <c r="M261" s="38" t="str">
        <f>VLOOKUP(K261,[2]stage_hints!$A:$C,3,FALSE)</f>
        <v>敵のカウンター攻撃には</v>
      </c>
      <c r="N261" s="39" t="str">
        <f>VLOOKUP(K261,[2]stage_hints!$A:$D,4,FALSE)</f>
        <v>カウンターブレイクスキルを持っていれば
敵のカウンターを解除して攻撃ができます</v>
      </c>
      <c r="O261" s="20" t="s">
        <v>24</v>
      </c>
      <c r="P261">
        <v>33</v>
      </c>
    </row>
    <row r="262" spans="1:16" x14ac:dyDescent="0.15">
      <c r="A262" s="27" t="str">
        <f t="shared" si="46"/>
        <v>11104_3_30</v>
      </c>
      <c r="B262" s="25" t="s">
        <v>34</v>
      </c>
      <c r="C262" s="4">
        <v>11104</v>
      </c>
      <c r="D262" s="3" t="str">
        <f ca="1">VLOOKUP($C262,OFFSET([1]quests!$A$1,0,0,COUNTA([1]quests!$A:$A),MATCH(D$1,[1]quests!$1:$1,0)-MATCH($C$1,[1]quests!$1:$1,0)+1),MATCH(D$1,[1]quests!$1:$1,0)-MATCH($C$1,[1]quests!$1:$1,0)+1,FALSE)</f>
        <v>【期間限定】 緑の素材</v>
      </c>
      <c r="E262" s="3" t="str">
        <f ca="1">VLOOKUP($C262,OFFSET([1]quests!$A$1,0,0,COUNTA([1]quests!$A:$A),MATCH(E$1,[1]quests!$1:$1,0)-MATCH($C$1,[1]quests!$1:$1,0)+1),MATCH(E$1,[1]quests!$1:$1,0)-MATCH($C$1,[1]quests!$1:$1,0)+1,FALSE)</f>
        <v>木曜クエスト</v>
      </c>
      <c r="F262" s="5">
        <v>3</v>
      </c>
      <c r="G262" s="3" t="str">
        <f ca="1">VLOOKUP($C262&amp;"_"&amp;$F262,OFFSET([1]stages!$A$1,0,0,COUNTA([1]stages!$A:$A),MATCH(G$1,[1]stages!$2:$2,0)-MATCH("temp_stage",[1]stages!$2:$2,0)+1),MATCH(G$1,[1]stages!$2:$2,0)-MATCH("temp_stage",[1]stages!$2:$2,0)+1,FALSE)</f>
        <v>【上級】樹のイモムシ</v>
      </c>
      <c r="H262" s="3" t="str">
        <f ca="1">VLOOKUP($C262&amp;"_"&amp;$F262,OFFSET([1]stages!$A$1,0,0,COUNTA([1]stages!$A:$A),MATCH(H$1,[1]stages!$2:$2,0)-MATCH("temp_stage",[1]stages!$2:$2,0)+1),MATCH(H$1,[1]stages!$2:$2,0)-MATCH("temp_stage",[1]stages!$2:$2,0)+1,FALSE)</f>
        <v>木曜クエスト</v>
      </c>
      <c r="I262" s="18">
        <v>0</v>
      </c>
      <c r="J262" s="5">
        <f>COUNTIF(C$1:C262,C262)</f>
        <v>30</v>
      </c>
      <c r="K262" s="34">
        <v>34</v>
      </c>
      <c r="L262" s="5" t="s">
        <v>17</v>
      </c>
      <c r="M262" s="38" t="str">
        <f>VLOOKUP(K262,[2]stage_hints!$A:$C,3,FALSE)</f>
        <v>ステータスをスキルで下げられたら</v>
      </c>
      <c r="N262" s="39" t="str">
        <f>VLOOKUP(K262,[2]stage_hints!$A:$D,4,FALSE)</f>
        <v>ステータスダウンのスキルを受けたら
ステータスアップスキルで上書きしましょう</v>
      </c>
      <c r="O262" s="20" t="s">
        <v>24</v>
      </c>
      <c r="P262">
        <v>34</v>
      </c>
    </row>
    <row r="263" spans="1:16" x14ac:dyDescent="0.15">
      <c r="A263" s="27" t="str">
        <f t="shared" si="46"/>
        <v>11104_3_31</v>
      </c>
      <c r="B263" s="25" t="s">
        <v>34</v>
      </c>
      <c r="C263" s="4">
        <v>11104</v>
      </c>
      <c r="D263" s="3" t="str">
        <f ca="1">VLOOKUP($C263,OFFSET([1]quests!$A$1,0,0,COUNTA([1]quests!$A:$A),MATCH(D$1,[1]quests!$1:$1,0)-MATCH($C$1,[1]quests!$1:$1,0)+1),MATCH(D$1,[1]quests!$1:$1,0)-MATCH($C$1,[1]quests!$1:$1,0)+1,FALSE)</f>
        <v>【期間限定】 緑の素材</v>
      </c>
      <c r="E263" s="3" t="str">
        <f ca="1">VLOOKUP($C263,OFFSET([1]quests!$A$1,0,0,COUNTA([1]quests!$A:$A),MATCH(E$1,[1]quests!$1:$1,0)-MATCH($C$1,[1]quests!$1:$1,0)+1),MATCH(E$1,[1]quests!$1:$1,0)-MATCH($C$1,[1]quests!$1:$1,0)+1,FALSE)</f>
        <v>木曜クエスト</v>
      </c>
      <c r="F263" s="5">
        <v>3</v>
      </c>
      <c r="G263" s="3" t="str">
        <f ca="1">VLOOKUP($C263&amp;"_"&amp;$F263,OFFSET([1]stages!$A$1,0,0,COUNTA([1]stages!$A:$A),MATCH(G$1,[1]stages!$2:$2,0)-MATCH("temp_stage",[1]stages!$2:$2,0)+1),MATCH(G$1,[1]stages!$2:$2,0)-MATCH("temp_stage",[1]stages!$2:$2,0)+1,FALSE)</f>
        <v>【上級】樹のイモムシ</v>
      </c>
      <c r="H263" s="3" t="str">
        <f ca="1">VLOOKUP($C263&amp;"_"&amp;$F263,OFFSET([1]stages!$A$1,0,0,COUNTA([1]stages!$A:$A),MATCH(H$1,[1]stages!$2:$2,0)-MATCH("temp_stage",[1]stages!$2:$2,0)+1),MATCH(H$1,[1]stages!$2:$2,0)-MATCH("temp_stage",[1]stages!$2:$2,0)+1,FALSE)</f>
        <v>木曜クエスト</v>
      </c>
      <c r="I263" s="18">
        <v>0</v>
      </c>
      <c r="J263" s="5">
        <f>COUNTIF(C$1:C263,C263)</f>
        <v>31</v>
      </c>
      <c r="K263" s="34">
        <v>35</v>
      </c>
      <c r="L263" s="5" t="s">
        <v>17</v>
      </c>
      <c r="M263" s="38" t="str">
        <f>VLOOKUP(K263,[2]stage_hints!$A:$C,3,FALSE)</f>
        <v>敵のステータスがスキルで上がったら</v>
      </c>
      <c r="N263" s="39" t="str">
        <f>VLOOKUP(K263,[2]stage_hints!$A:$D,4,FALSE)</f>
        <v>敵のステータスがスキルでアップしたときは
ステータスダウンスキルで上書きしましょう</v>
      </c>
      <c r="O263" s="20" t="s">
        <v>24</v>
      </c>
      <c r="P263">
        <v>35</v>
      </c>
    </row>
    <row r="264" spans="1:16" x14ac:dyDescent="0.15">
      <c r="A264" s="27" t="str">
        <f t="shared" si="46"/>
        <v>11104_3_32</v>
      </c>
      <c r="B264" s="25" t="s">
        <v>34</v>
      </c>
      <c r="C264" s="4">
        <v>11104</v>
      </c>
      <c r="D264" s="3" t="str">
        <f ca="1">VLOOKUP($C264,OFFSET([1]quests!$A$1,0,0,COUNTA([1]quests!$A:$A),MATCH(D$1,[1]quests!$1:$1,0)-MATCH($C$1,[1]quests!$1:$1,0)+1),MATCH(D$1,[1]quests!$1:$1,0)-MATCH($C$1,[1]quests!$1:$1,0)+1,FALSE)</f>
        <v>【期間限定】 緑の素材</v>
      </c>
      <c r="E264" s="3" t="str">
        <f ca="1">VLOOKUP($C264,OFFSET([1]quests!$A$1,0,0,COUNTA([1]quests!$A:$A),MATCH(E$1,[1]quests!$1:$1,0)-MATCH($C$1,[1]quests!$1:$1,0)+1),MATCH(E$1,[1]quests!$1:$1,0)-MATCH($C$1,[1]quests!$1:$1,0)+1,FALSE)</f>
        <v>木曜クエスト</v>
      </c>
      <c r="F264" s="5">
        <v>3</v>
      </c>
      <c r="G264" s="3" t="str">
        <f ca="1">VLOOKUP($C264&amp;"_"&amp;$F264,OFFSET([1]stages!$A$1,0,0,COUNTA([1]stages!$A:$A),MATCH(G$1,[1]stages!$2:$2,0)-MATCH("temp_stage",[1]stages!$2:$2,0)+1),MATCH(G$1,[1]stages!$2:$2,0)-MATCH("temp_stage",[1]stages!$2:$2,0)+1,FALSE)</f>
        <v>【上級】樹のイモムシ</v>
      </c>
      <c r="H264" s="3" t="str">
        <f ca="1">VLOOKUP($C264&amp;"_"&amp;$F264,OFFSET([1]stages!$A$1,0,0,COUNTA([1]stages!$A:$A),MATCH(H$1,[1]stages!$2:$2,0)-MATCH("temp_stage",[1]stages!$2:$2,0)+1),MATCH(H$1,[1]stages!$2:$2,0)-MATCH("temp_stage",[1]stages!$2:$2,0)+1,FALSE)</f>
        <v>木曜クエスト</v>
      </c>
      <c r="I264" s="18">
        <v>0</v>
      </c>
      <c r="J264" s="5">
        <f>COUNTIF(C$1:C264,C264)</f>
        <v>32</v>
      </c>
      <c r="K264" s="34">
        <v>36</v>
      </c>
      <c r="L264" s="5" t="s">
        <v>17</v>
      </c>
      <c r="M264" s="38" t="str">
        <f>VLOOKUP(K264,[2]stage_hints!$A:$C,3,FALSE)</f>
        <v>チャレンジタワーのボス</v>
      </c>
      <c r="N264" s="39" t="str">
        <f>VLOOKUP(K264,[2]stage_hints!$A:$D,4,FALSE)</f>
        <v>チャレンジタワーでのみ登場するボスは
一定確率で獲得することができます</v>
      </c>
      <c r="O264" s="20" t="s">
        <v>24</v>
      </c>
      <c r="P264">
        <v>36</v>
      </c>
    </row>
    <row r="265" spans="1:16" x14ac:dyDescent="0.15">
      <c r="A265" s="27" t="str">
        <f t="shared" si="46"/>
        <v>11104_3_33</v>
      </c>
      <c r="B265" s="25" t="s">
        <v>34</v>
      </c>
      <c r="C265" s="4">
        <v>11104</v>
      </c>
      <c r="D265" s="3" t="str">
        <f ca="1">VLOOKUP($C265,OFFSET([1]quests!$A$1,0,0,COUNTA([1]quests!$A:$A),MATCH(D$1,[1]quests!$1:$1,0)-MATCH($C$1,[1]quests!$1:$1,0)+1),MATCH(D$1,[1]quests!$1:$1,0)-MATCH($C$1,[1]quests!$1:$1,0)+1,FALSE)</f>
        <v>【期間限定】 緑の素材</v>
      </c>
      <c r="E265" s="3" t="str">
        <f ca="1">VLOOKUP($C265,OFFSET([1]quests!$A$1,0,0,COUNTA([1]quests!$A:$A),MATCH(E$1,[1]quests!$1:$1,0)-MATCH($C$1,[1]quests!$1:$1,0)+1),MATCH(E$1,[1]quests!$1:$1,0)-MATCH($C$1,[1]quests!$1:$1,0)+1,FALSE)</f>
        <v>木曜クエスト</v>
      </c>
      <c r="F265" s="5">
        <v>3</v>
      </c>
      <c r="G265" s="3" t="str">
        <f ca="1">VLOOKUP($C265&amp;"_"&amp;$F265,OFFSET([1]stages!$A$1,0,0,COUNTA([1]stages!$A:$A),MATCH(G$1,[1]stages!$2:$2,0)-MATCH("temp_stage",[1]stages!$2:$2,0)+1),MATCH(G$1,[1]stages!$2:$2,0)-MATCH("temp_stage",[1]stages!$2:$2,0)+1,FALSE)</f>
        <v>【上級】樹のイモムシ</v>
      </c>
      <c r="H265" s="3" t="str">
        <f ca="1">VLOOKUP($C265&amp;"_"&amp;$F265,OFFSET([1]stages!$A$1,0,0,COUNTA([1]stages!$A:$A),MATCH(H$1,[1]stages!$2:$2,0)-MATCH("temp_stage",[1]stages!$2:$2,0)+1),MATCH(H$1,[1]stages!$2:$2,0)-MATCH("temp_stage",[1]stages!$2:$2,0)+1,FALSE)</f>
        <v>木曜クエスト</v>
      </c>
      <c r="I265" s="18">
        <v>0</v>
      </c>
      <c r="J265" s="5">
        <f>COUNTIF(C$1:C265,C265)</f>
        <v>33</v>
      </c>
      <c r="K265" s="34">
        <v>37</v>
      </c>
      <c r="L265" s="5" t="s">
        <v>17</v>
      </c>
      <c r="M265" s="38" t="str">
        <f>VLOOKUP(K265,[2]stage_hints!$A:$C,3,FALSE)</f>
        <v>限界突破値の引き継ぎ</v>
      </c>
      <c r="N265" s="39" t="str">
        <f>VLOOKUP(K265,[2]stage_hints!$A:$D,4,FALSE)</f>
        <v>同じユニットを強化で合成すると
限界突破値を引き継げます（覚醒前後も可）</v>
      </c>
      <c r="O265" s="20" t="s">
        <v>24</v>
      </c>
      <c r="P265">
        <v>37</v>
      </c>
    </row>
    <row r="266" spans="1:16" x14ac:dyDescent="0.15">
      <c r="A266" s="27" t="str">
        <f t="shared" si="46"/>
        <v>11006_3_1</v>
      </c>
      <c r="B266" s="25" t="s">
        <v>34</v>
      </c>
      <c r="C266" s="4">
        <v>11006</v>
      </c>
      <c r="D266" s="3" t="str">
        <f ca="1">VLOOKUP($C266,OFFSET([1]quests!$A$1,0,0,COUNTA([1]quests!$A:$A),MATCH(D$1,[1]quests!$1:$1,0)-MATCH($C$1,[1]quests!$1:$1,0)+1),MATCH(D$1,[1]quests!$1:$1,0)-MATCH($C$1,[1]quests!$1:$1,0)+1,FALSE)</f>
        <v>【土日限定】 ゴールドカジノ</v>
      </c>
      <c r="E266" s="3" t="str">
        <f ca="1">VLOOKUP($C266,OFFSET([1]quests!$A$1,0,0,COUNTA([1]quests!$A:$A),MATCH(E$1,[1]quests!$1:$1,0)-MATCH($C$1,[1]quests!$1:$1,0)+1),MATCH(E$1,[1]quests!$1:$1,0)-MATCH($C$1,[1]quests!$1:$1,0)+1,FALSE)</f>
        <v>土日クエスト</v>
      </c>
      <c r="F266" s="5">
        <v>3</v>
      </c>
      <c r="G266" s="3" t="str">
        <f ca="1">VLOOKUP($C266&amp;"_"&amp;$F266,OFFSET([1]stages!$A$1,0,0,COUNTA([1]stages!$A:$A),MATCH(G$1,[1]stages!$2:$2,0)-MATCH("temp_stage",[1]stages!$2:$2,0)+1),MATCH(G$1,[1]stages!$2:$2,0)-MATCH("temp_stage",[1]stages!$2:$2,0)+1,FALSE)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66" s="3" t="str">
        <f ca="1">VLOOKUP($C266&amp;"_"&amp;$F266,OFFSET([1]stages!$A$1,0,0,COUNTA([1]stages!$A:$A),MATCH(H$1,[1]stages!$2:$2,0)-MATCH("temp_stage",[1]stages!$2:$2,0)+1),MATCH(H$1,[1]stages!$2:$2,0)-MATCH("temp_stage",[1]stages!$2:$2,0)+1,FALSE)</f>
        <v>土日クエスト</v>
      </c>
      <c r="I266" s="18">
        <v>0</v>
      </c>
      <c r="J266" s="5">
        <f>COUNTIF(C$1:C266,C266)</f>
        <v>1</v>
      </c>
      <c r="K266" s="34">
        <v>3</v>
      </c>
      <c r="L266" s="5" t="s">
        <v>17</v>
      </c>
      <c r="M266" s="38" t="str">
        <f>VLOOKUP(K266,[2]stage_hints!$A:$C,3,FALSE)</f>
        <v>ターゲット</v>
      </c>
      <c r="N266" s="39" t="str">
        <f>VLOOKUP(K266,[2]stage_hints!$A:$D,4,FALSE)</f>
        <v>敵ユニットをタップすると
その敵を狙い撃ちできます</v>
      </c>
      <c r="O266" s="20" t="s">
        <v>24</v>
      </c>
      <c r="P266">
        <v>3</v>
      </c>
    </row>
    <row r="267" spans="1:16" x14ac:dyDescent="0.15">
      <c r="A267" s="27" t="str">
        <f t="shared" si="46"/>
        <v>11006_3_2</v>
      </c>
      <c r="B267" s="25" t="s">
        <v>34</v>
      </c>
      <c r="C267" s="4">
        <v>11006</v>
      </c>
      <c r="D267" s="3" t="str">
        <f ca="1">VLOOKUP($C267,OFFSET([1]quests!$A$1,0,0,COUNTA([1]quests!$A:$A),MATCH(D$1,[1]quests!$1:$1,0)-MATCH($C$1,[1]quests!$1:$1,0)+1),MATCH(D$1,[1]quests!$1:$1,0)-MATCH($C$1,[1]quests!$1:$1,0)+1,FALSE)</f>
        <v>【土日限定】 ゴールドカジノ</v>
      </c>
      <c r="E267" s="3" t="str">
        <f ca="1">VLOOKUP($C267,OFFSET([1]quests!$A$1,0,0,COUNTA([1]quests!$A:$A),MATCH(E$1,[1]quests!$1:$1,0)-MATCH($C$1,[1]quests!$1:$1,0)+1),MATCH(E$1,[1]quests!$1:$1,0)-MATCH($C$1,[1]quests!$1:$1,0)+1,FALSE)</f>
        <v>土日クエスト</v>
      </c>
      <c r="F267" s="5">
        <v>3</v>
      </c>
      <c r="G267" s="3" t="str">
        <f ca="1">VLOOKUP($C267&amp;"_"&amp;$F267,OFFSET([1]stages!$A$1,0,0,COUNTA([1]stages!$A:$A),MATCH(G$1,[1]stages!$2:$2,0)-MATCH("temp_stage",[1]stages!$2:$2,0)+1),MATCH(G$1,[1]stages!$2:$2,0)-MATCH("temp_stage",[1]stages!$2:$2,0)+1,FALSE)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67" s="3" t="str">
        <f ca="1">VLOOKUP($C267&amp;"_"&amp;$F267,OFFSET([1]stages!$A$1,0,0,COUNTA([1]stages!$A:$A),MATCH(H$1,[1]stages!$2:$2,0)-MATCH("temp_stage",[1]stages!$2:$2,0)+1),MATCH(H$1,[1]stages!$2:$2,0)-MATCH("temp_stage",[1]stages!$2:$2,0)+1,FALSE)</f>
        <v>土日クエスト</v>
      </c>
      <c r="I267" s="18">
        <v>0</v>
      </c>
      <c r="J267" s="5">
        <f>COUNTIF(C$1:C267,C267)</f>
        <v>2</v>
      </c>
      <c r="K267" s="34">
        <v>6</v>
      </c>
      <c r="L267" s="5" t="s">
        <v>17</v>
      </c>
      <c r="M267" s="38" t="str">
        <f>VLOOKUP(K267,[2]stage_hints!$A:$C,3,FALSE)</f>
        <v>ユニット強化の属性ボーナス</v>
      </c>
      <c r="N267" s="39" t="str">
        <f>VLOOKUP(K267,[2]stage_hints!$A:$D,4,FALSE)</f>
        <v>同属性ユニットを強化素材にすると
経験値が多くもらえます</v>
      </c>
      <c r="O267" s="20" t="s">
        <v>24</v>
      </c>
      <c r="P267">
        <v>6</v>
      </c>
    </row>
    <row r="268" spans="1:16" x14ac:dyDescent="0.15">
      <c r="A268" s="27" t="str">
        <f t="shared" si="46"/>
        <v>11006_3_3</v>
      </c>
      <c r="B268" s="25" t="s">
        <v>34</v>
      </c>
      <c r="C268" s="4">
        <v>11006</v>
      </c>
      <c r="D268" s="3" t="str">
        <f ca="1">VLOOKUP($C268,OFFSET([1]quests!$A$1,0,0,COUNTA([1]quests!$A:$A),MATCH(D$1,[1]quests!$1:$1,0)-MATCH($C$1,[1]quests!$1:$1,0)+1),MATCH(D$1,[1]quests!$1:$1,0)-MATCH($C$1,[1]quests!$1:$1,0)+1,FALSE)</f>
        <v>【土日限定】 ゴールドカジノ</v>
      </c>
      <c r="E268" s="3" t="str">
        <f ca="1">VLOOKUP($C268,OFFSET([1]quests!$A$1,0,0,COUNTA([1]quests!$A:$A),MATCH(E$1,[1]quests!$1:$1,0)-MATCH($C$1,[1]quests!$1:$1,0)+1),MATCH(E$1,[1]quests!$1:$1,0)-MATCH($C$1,[1]quests!$1:$1,0)+1,FALSE)</f>
        <v>土日クエスト</v>
      </c>
      <c r="F268" s="5">
        <v>3</v>
      </c>
      <c r="G268" s="3" t="str">
        <f ca="1">VLOOKUP($C268&amp;"_"&amp;$F268,OFFSET([1]stages!$A$1,0,0,COUNTA([1]stages!$A:$A),MATCH(G$1,[1]stages!$2:$2,0)-MATCH("temp_stage",[1]stages!$2:$2,0)+1),MATCH(G$1,[1]stages!$2:$2,0)-MATCH("temp_stage",[1]stages!$2:$2,0)+1,FALSE)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68" s="3" t="str">
        <f ca="1">VLOOKUP($C268&amp;"_"&amp;$F268,OFFSET([1]stages!$A$1,0,0,COUNTA([1]stages!$A:$A),MATCH(H$1,[1]stages!$2:$2,0)-MATCH("temp_stage",[1]stages!$2:$2,0)+1),MATCH(H$1,[1]stages!$2:$2,0)-MATCH("temp_stage",[1]stages!$2:$2,0)+1,FALSE)</f>
        <v>土日クエスト</v>
      </c>
      <c r="I268" s="18">
        <v>0</v>
      </c>
      <c r="J268" s="5">
        <f>COUNTIF(C$1:C268,C268)</f>
        <v>3</v>
      </c>
      <c r="K268" s="34">
        <v>7</v>
      </c>
      <c r="L268" s="5" t="s">
        <v>17</v>
      </c>
      <c r="M268" s="38" t="str">
        <f>VLOOKUP(K268,[2]stage_hints!$A:$C,3,FALSE)</f>
        <v>メタルダックで経験値を獲得</v>
      </c>
      <c r="N268" s="39" t="str">
        <f>VLOOKUP(K268,[2]stage_hints!$A:$D,4,FALSE)</f>
        <v>「メタルなアヒル」を強化素材にすると
大量の経験値がもらえます</v>
      </c>
      <c r="O268" s="20" t="s">
        <v>24</v>
      </c>
      <c r="P268">
        <v>7</v>
      </c>
    </row>
    <row r="269" spans="1:16" x14ac:dyDescent="0.15">
      <c r="A269" s="27" t="str">
        <f t="shared" si="46"/>
        <v>11006_3_4</v>
      </c>
      <c r="B269" s="25" t="s">
        <v>34</v>
      </c>
      <c r="C269" s="4">
        <v>11006</v>
      </c>
      <c r="D269" s="3" t="str">
        <f ca="1">VLOOKUP($C269,OFFSET([1]quests!$A$1,0,0,COUNTA([1]quests!$A:$A),MATCH(D$1,[1]quests!$1:$1,0)-MATCH($C$1,[1]quests!$1:$1,0)+1),MATCH(D$1,[1]quests!$1:$1,0)-MATCH($C$1,[1]quests!$1:$1,0)+1,FALSE)</f>
        <v>【土日限定】 ゴールドカジノ</v>
      </c>
      <c r="E269" s="3" t="str">
        <f ca="1">VLOOKUP($C269,OFFSET([1]quests!$A$1,0,0,COUNTA([1]quests!$A:$A),MATCH(E$1,[1]quests!$1:$1,0)-MATCH($C$1,[1]quests!$1:$1,0)+1),MATCH(E$1,[1]quests!$1:$1,0)-MATCH($C$1,[1]quests!$1:$1,0)+1,FALSE)</f>
        <v>土日クエスト</v>
      </c>
      <c r="F269" s="5">
        <v>3</v>
      </c>
      <c r="G269" s="3" t="str">
        <f ca="1">VLOOKUP($C269&amp;"_"&amp;$F269,OFFSET([1]stages!$A$1,0,0,COUNTA([1]stages!$A:$A),MATCH(G$1,[1]stages!$2:$2,0)-MATCH("temp_stage",[1]stages!$2:$2,0)+1),MATCH(G$1,[1]stages!$2:$2,0)-MATCH("temp_stage",[1]stages!$2:$2,0)+1,FALSE)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69" s="3" t="str">
        <f ca="1">VLOOKUP($C269&amp;"_"&amp;$F269,OFFSET([1]stages!$A$1,0,0,COUNTA([1]stages!$A:$A),MATCH(H$1,[1]stages!$2:$2,0)-MATCH("temp_stage",[1]stages!$2:$2,0)+1),MATCH(H$1,[1]stages!$2:$2,0)-MATCH("temp_stage",[1]stages!$2:$2,0)+1,FALSE)</f>
        <v>土日クエスト</v>
      </c>
      <c r="I269" s="18">
        <v>0</v>
      </c>
      <c r="J269" s="5">
        <f>COUNTIF(C$1:C269,C269)</f>
        <v>4</v>
      </c>
      <c r="K269" s="34">
        <v>8</v>
      </c>
      <c r="L269" s="5" t="s">
        <v>17</v>
      </c>
      <c r="M269" s="38" t="str">
        <f>VLOOKUP(K269,[2]stage_hints!$A:$C,3,FALSE)</f>
        <v>ゲリラクエストは要チェック</v>
      </c>
      <c r="N269" s="39" t="str">
        <f>VLOOKUP(K269,[2]stage_hints!$A:$D,4,FALSE)</f>
        <v>時間限定の「アヒル捕獲作戦」では
経験値素材ユニットが多く手に入ります</v>
      </c>
      <c r="O269" s="20" t="s">
        <v>24</v>
      </c>
      <c r="P269">
        <v>8</v>
      </c>
    </row>
    <row r="270" spans="1:16" x14ac:dyDescent="0.15">
      <c r="A270" s="27" t="str">
        <f t="shared" ref="A270:A275" si="47">C270&amp;"_"&amp;F270&amp;"_"&amp;J270</f>
        <v>11006_3_5</v>
      </c>
      <c r="B270" s="25" t="s">
        <v>34</v>
      </c>
      <c r="C270" s="4">
        <v>11006</v>
      </c>
      <c r="D270" s="3" t="str">
        <f ca="1">VLOOKUP($C270,OFFSET([1]quests!$A$1,0,0,COUNTA([1]quests!$A:$A),MATCH(D$1,[1]quests!$1:$1,0)-MATCH($C$1,[1]quests!$1:$1,0)+1),MATCH(D$1,[1]quests!$1:$1,0)-MATCH($C$1,[1]quests!$1:$1,0)+1,FALSE)</f>
        <v>【土日限定】 ゴールドカジノ</v>
      </c>
      <c r="E270" s="3" t="str">
        <f ca="1">VLOOKUP($C270,OFFSET([1]quests!$A$1,0,0,COUNTA([1]quests!$A:$A),MATCH(E$1,[1]quests!$1:$1,0)-MATCH($C$1,[1]quests!$1:$1,0)+1),MATCH(E$1,[1]quests!$1:$1,0)-MATCH($C$1,[1]quests!$1:$1,0)+1,FALSE)</f>
        <v>土日クエスト</v>
      </c>
      <c r="F270" s="5">
        <v>3</v>
      </c>
      <c r="G270" s="3" t="str">
        <f ca="1">VLOOKUP($C270&amp;"_"&amp;$F270,OFFSET([1]stages!$A$1,0,0,COUNTA([1]stages!$A:$A),MATCH(G$1,[1]stages!$2:$2,0)-MATCH("temp_stage",[1]stages!$2:$2,0)+1),MATCH(G$1,[1]stages!$2:$2,0)-MATCH("temp_stage",[1]stages!$2:$2,0)+1,FALSE)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0" s="3" t="str">
        <f ca="1">VLOOKUP($C270&amp;"_"&amp;$F270,OFFSET([1]stages!$A$1,0,0,COUNTA([1]stages!$A:$A),MATCH(H$1,[1]stages!$2:$2,0)-MATCH("temp_stage",[1]stages!$2:$2,0)+1),MATCH(H$1,[1]stages!$2:$2,0)-MATCH("temp_stage",[1]stages!$2:$2,0)+1,FALSE)</f>
        <v>土日クエスト</v>
      </c>
      <c r="I270" s="18">
        <v>0</v>
      </c>
      <c r="J270" s="5">
        <f>COUNTIF(C$1:C270,C270)</f>
        <v>5</v>
      </c>
      <c r="K270" s="34">
        <v>9</v>
      </c>
      <c r="L270" s="5" t="s">
        <v>17</v>
      </c>
      <c r="M270" s="38" t="str">
        <f>VLOOKUP(K270,[2]stage_hints!$A:$C,3,FALSE)</f>
        <v>ゴールドダックでビットを獲得</v>
      </c>
      <c r="N270" s="39" t="str">
        <f>VLOOKUP(K270,[2]stage_hints!$A:$D,4,FALSE)</f>
        <v>「ゴールドなアヒル」を売却すると
大量のビットがもらえます</v>
      </c>
      <c r="O270" s="20" t="s">
        <v>24</v>
      </c>
      <c r="P270">
        <v>9</v>
      </c>
    </row>
    <row r="271" spans="1:16" x14ac:dyDescent="0.15">
      <c r="A271" s="27" t="str">
        <f t="shared" si="47"/>
        <v>11006_3_6</v>
      </c>
      <c r="B271" s="25" t="s">
        <v>34</v>
      </c>
      <c r="C271" s="4">
        <v>11006</v>
      </c>
      <c r="D271" s="3" t="str">
        <f ca="1">VLOOKUP($C271,OFFSET([1]quests!$A$1,0,0,COUNTA([1]quests!$A:$A),MATCH(D$1,[1]quests!$1:$1,0)-MATCH($C$1,[1]quests!$1:$1,0)+1),MATCH(D$1,[1]quests!$1:$1,0)-MATCH($C$1,[1]quests!$1:$1,0)+1,FALSE)</f>
        <v>【土日限定】 ゴールドカジノ</v>
      </c>
      <c r="E271" s="3" t="str">
        <f ca="1">VLOOKUP($C271,OFFSET([1]quests!$A$1,0,0,COUNTA([1]quests!$A:$A),MATCH(E$1,[1]quests!$1:$1,0)-MATCH($C$1,[1]quests!$1:$1,0)+1),MATCH(E$1,[1]quests!$1:$1,0)-MATCH($C$1,[1]quests!$1:$1,0)+1,FALSE)</f>
        <v>土日クエスト</v>
      </c>
      <c r="F271" s="5">
        <v>3</v>
      </c>
      <c r="G271" s="3" t="str">
        <f ca="1">VLOOKUP($C271&amp;"_"&amp;$F271,OFFSET([1]stages!$A$1,0,0,COUNTA([1]stages!$A:$A),MATCH(G$1,[1]stages!$2:$2,0)-MATCH("temp_stage",[1]stages!$2:$2,0)+1),MATCH(G$1,[1]stages!$2:$2,0)-MATCH("temp_stage",[1]stages!$2:$2,0)+1,FALSE)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1" s="3" t="str">
        <f ca="1">VLOOKUP($C271&amp;"_"&amp;$F271,OFFSET([1]stages!$A$1,0,0,COUNTA([1]stages!$A:$A),MATCH(H$1,[1]stages!$2:$2,0)-MATCH("temp_stage",[1]stages!$2:$2,0)+1),MATCH(H$1,[1]stages!$2:$2,0)-MATCH("temp_stage",[1]stages!$2:$2,0)+1,FALSE)</f>
        <v>土日クエスト</v>
      </c>
      <c r="I271" s="18">
        <v>0</v>
      </c>
      <c r="J271" s="5">
        <f>COUNTIF(C$1:C271,C271)</f>
        <v>6</v>
      </c>
      <c r="K271" s="34">
        <v>10</v>
      </c>
      <c r="L271" s="5" t="s">
        <v>17</v>
      </c>
      <c r="M271" s="38" t="str">
        <f>VLOOKUP(K271,[2]stage_hints!$A:$C,3,FALSE)</f>
        <v>土日に大量のビットを獲得</v>
      </c>
      <c r="N271" s="39" t="str">
        <f>VLOOKUP(K271,[2]stage_hints!$A:$D,4,FALSE)</f>
        <v>土日限定の「ゴールドカジノ」では
売却素材ユニットが多く手に入ります</v>
      </c>
      <c r="O271" s="20" t="s">
        <v>24</v>
      </c>
      <c r="P271">
        <v>10</v>
      </c>
    </row>
    <row r="272" spans="1:16" x14ac:dyDescent="0.15">
      <c r="A272" s="27" t="str">
        <f t="shared" si="47"/>
        <v>11006_3_7</v>
      </c>
      <c r="B272" s="25" t="s">
        <v>34</v>
      </c>
      <c r="C272" s="4">
        <v>11006</v>
      </c>
      <c r="D272" s="3" t="str">
        <f ca="1">VLOOKUP($C272,OFFSET([1]quests!$A$1,0,0,COUNTA([1]quests!$A:$A),MATCH(D$1,[1]quests!$1:$1,0)-MATCH($C$1,[1]quests!$1:$1,0)+1),MATCH(D$1,[1]quests!$1:$1,0)-MATCH($C$1,[1]quests!$1:$1,0)+1,FALSE)</f>
        <v>【土日限定】 ゴールドカジノ</v>
      </c>
      <c r="E272" s="3" t="str">
        <f ca="1">VLOOKUP($C272,OFFSET([1]quests!$A$1,0,0,COUNTA([1]quests!$A:$A),MATCH(E$1,[1]quests!$1:$1,0)-MATCH($C$1,[1]quests!$1:$1,0)+1),MATCH(E$1,[1]quests!$1:$1,0)-MATCH($C$1,[1]quests!$1:$1,0)+1,FALSE)</f>
        <v>土日クエスト</v>
      </c>
      <c r="F272" s="5">
        <v>3</v>
      </c>
      <c r="G272" s="3" t="str">
        <f ca="1">VLOOKUP($C272&amp;"_"&amp;$F272,OFFSET([1]stages!$A$1,0,0,COUNTA([1]stages!$A:$A),MATCH(G$1,[1]stages!$2:$2,0)-MATCH("temp_stage",[1]stages!$2:$2,0)+1),MATCH(G$1,[1]stages!$2:$2,0)-MATCH("temp_stage",[1]stages!$2:$2,0)+1,FALSE)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2" s="3" t="str">
        <f ca="1">VLOOKUP($C272&amp;"_"&amp;$F272,OFFSET([1]stages!$A$1,0,0,COUNTA([1]stages!$A:$A),MATCH(H$1,[1]stages!$2:$2,0)-MATCH("temp_stage",[1]stages!$2:$2,0)+1),MATCH(H$1,[1]stages!$2:$2,0)-MATCH("temp_stage",[1]stages!$2:$2,0)+1,FALSE)</f>
        <v>土日クエスト</v>
      </c>
      <c r="I272" s="18">
        <v>0</v>
      </c>
      <c r="J272" s="5">
        <f>COUNTIF(C$1:C272,C272)</f>
        <v>7</v>
      </c>
      <c r="K272" s="34">
        <v>11</v>
      </c>
      <c r="L272" s="5" t="s">
        <v>17</v>
      </c>
      <c r="M272" s="38" t="str">
        <f>VLOOKUP(K272,[2]stage_hints!$A:$C,3,FALSE)</f>
        <v>ランク解放クエスト</v>
      </c>
      <c r="N272" s="39" t="str">
        <f>VLOOKUP(K272,[2]stage_hints!$A:$D,4,FALSE)</f>
        <v>一定ランクに到達すると
報酬付きのランク開放クエストが現れます</v>
      </c>
      <c r="O272" s="20" t="s">
        <v>24</v>
      </c>
      <c r="P272">
        <v>11</v>
      </c>
    </row>
    <row r="273" spans="1:16" x14ac:dyDescent="0.15">
      <c r="A273" s="27" t="str">
        <f t="shared" si="47"/>
        <v>11006_3_8</v>
      </c>
      <c r="B273" s="25" t="s">
        <v>34</v>
      </c>
      <c r="C273" s="4">
        <v>11006</v>
      </c>
      <c r="D273" s="3" t="str">
        <f ca="1">VLOOKUP($C273,OFFSET([1]quests!$A$1,0,0,COUNTA([1]quests!$A:$A),MATCH(D$1,[1]quests!$1:$1,0)-MATCH($C$1,[1]quests!$1:$1,0)+1),MATCH(D$1,[1]quests!$1:$1,0)-MATCH($C$1,[1]quests!$1:$1,0)+1,FALSE)</f>
        <v>【土日限定】 ゴールドカジノ</v>
      </c>
      <c r="E273" s="3" t="str">
        <f ca="1">VLOOKUP($C273,OFFSET([1]quests!$A$1,0,0,COUNTA([1]quests!$A:$A),MATCH(E$1,[1]quests!$1:$1,0)-MATCH($C$1,[1]quests!$1:$1,0)+1),MATCH(E$1,[1]quests!$1:$1,0)-MATCH($C$1,[1]quests!$1:$1,0)+1,FALSE)</f>
        <v>土日クエスト</v>
      </c>
      <c r="F273" s="5">
        <v>3</v>
      </c>
      <c r="G273" s="3" t="str">
        <f ca="1">VLOOKUP($C273&amp;"_"&amp;$F273,OFFSET([1]stages!$A$1,0,0,COUNTA([1]stages!$A:$A),MATCH(G$1,[1]stages!$2:$2,0)-MATCH("temp_stage",[1]stages!$2:$2,0)+1),MATCH(G$1,[1]stages!$2:$2,0)-MATCH("temp_stage",[1]stages!$2:$2,0)+1,FALSE)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3" s="3" t="str">
        <f ca="1">VLOOKUP($C273&amp;"_"&amp;$F273,OFFSET([1]stages!$A$1,0,0,COUNTA([1]stages!$A:$A),MATCH(H$1,[1]stages!$2:$2,0)-MATCH("temp_stage",[1]stages!$2:$2,0)+1),MATCH(H$1,[1]stages!$2:$2,0)-MATCH("temp_stage",[1]stages!$2:$2,0)+1,FALSE)</f>
        <v>土日クエスト</v>
      </c>
      <c r="I273" s="18">
        <v>0</v>
      </c>
      <c r="J273" s="5">
        <f>COUNTIF(C$1:C273,C273)</f>
        <v>8</v>
      </c>
      <c r="K273" s="34">
        <v>12</v>
      </c>
      <c r="L273" s="5" t="s">
        <v>17</v>
      </c>
      <c r="M273" s="38" t="str">
        <f>VLOOKUP(K273,[2]stage_hints!$A:$C,3,FALSE)</f>
        <v>ユニットのお気に入り登録</v>
      </c>
      <c r="N273" s="39" t="str">
        <f>VLOOKUP(K273,[2]stage_hints!$A:$D,4,FALSE)</f>
        <v>大事なユニットを誤って消さないように
フォルダから「お気に入り登録」しましょう</v>
      </c>
      <c r="O273" s="20" t="s">
        <v>24</v>
      </c>
      <c r="P273">
        <v>12</v>
      </c>
    </row>
    <row r="274" spans="1:16" x14ac:dyDescent="0.15">
      <c r="A274" s="27" t="str">
        <f t="shared" si="47"/>
        <v>11006_3_9</v>
      </c>
      <c r="B274" s="25" t="s">
        <v>34</v>
      </c>
      <c r="C274" s="4">
        <v>11006</v>
      </c>
      <c r="D274" s="3" t="str">
        <f ca="1">VLOOKUP($C274,OFFSET([1]quests!$A$1,0,0,COUNTA([1]quests!$A:$A),MATCH(D$1,[1]quests!$1:$1,0)-MATCH($C$1,[1]quests!$1:$1,0)+1),MATCH(D$1,[1]quests!$1:$1,0)-MATCH($C$1,[1]quests!$1:$1,0)+1,FALSE)</f>
        <v>【土日限定】 ゴールドカジノ</v>
      </c>
      <c r="E274" s="3" t="str">
        <f ca="1">VLOOKUP($C274,OFFSET([1]quests!$A$1,0,0,COUNTA([1]quests!$A:$A),MATCH(E$1,[1]quests!$1:$1,0)-MATCH($C$1,[1]quests!$1:$1,0)+1),MATCH(E$1,[1]quests!$1:$1,0)-MATCH($C$1,[1]quests!$1:$1,0)+1,FALSE)</f>
        <v>土日クエスト</v>
      </c>
      <c r="F274" s="5">
        <v>3</v>
      </c>
      <c r="G274" s="3" t="str">
        <f ca="1">VLOOKUP($C274&amp;"_"&amp;$F274,OFFSET([1]stages!$A$1,0,0,COUNTA([1]stages!$A:$A),MATCH(G$1,[1]stages!$2:$2,0)-MATCH("temp_stage",[1]stages!$2:$2,0)+1),MATCH(G$1,[1]stages!$2:$2,0)-MATCH("temp_stage",[1]stages!$2:$2,0)+1,FALSE)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4" s="3" t="str">
        <f ca="1">VLOOKUP($C274&amp;"_"&amp;$F274,OFFSET([1]stages!$A$1,0,0,COUNTA([1]stages!$A:$A),MATCH(H$1,[1]stages!$2:$2,0)-MATCH("temp_stage",[1]stages!$2:$2,0)+1),MATCH(H$1,[1]stages!$2:$2,0)-MATCH("temp_stage",[1]stages!$2:$2,0)+1,FALSE)</f>
        <v>土日クエスト</v>
      </c>
      <c r="I274" s="18">
        <v>0</v>
      </c>
      <c r="J274" s="5">
        <f>COUNTIF(C$1:C274,C274)</f>
        <v>9</v>
      </c>
      <c r="K274" s="34">
        <v>13</v>
      </c>
      <c r="L274" s="5" t="s">
        <v>17</v>
      </c>
      <c r="M274" s="38" t="str">
        <f>VLOOKUP(K274,[2]stage_hints!$A:$C,3,FALSE)</f>
        <v>ユニットの覚醒</v>
      </c>
      <c r="N274" s="39" t="str">
        <f>VLOOKUP(K274,[2]stage_hints!$A:$D,4,FALSE)</f>
        <v>ユニットを覚醒させると
比べものにならない強さが手に入ります</v>
      </c>
      <c r="O274" s="20" t="s">
        <v>24</v>
      </c>
      <c r="P274">
        <v>13</v>
      </c>
    </row>
    <row r="275" spans="1:16" x14ac:dyDescent="0.15">
      <c r="A275" s="27" t="str">
        <f t="shared" si="47"/>
        <v>11006_3_10</v>
      </c>
      <c r="B275" s="25" t="s">
        <v>34</v>
      </c>
      <c r="C275" s="4">
        <v>11006</v>
      </c>
      <c r="D275" s="3" t="str">
        <f ca="1">VLOOKUP($C275,OFFSET([1]quests!$A$1,0,0,COUNTA([1]quests!$A:$A),MATCH(D$1,[1]quests!$1:$1,0)-MATCH($C$1,[1]quests!$1:$1,0)+1),MATCH(D$1,[1]quests!$1:$1,0)-MATCH($C$1,[1]quests!$1:$1,0)+1,FALSE)</f>
        <v>【土日限定】 ゴールドカジノ</v>
      </c>
      <c r="E275" s="3" t="str">
        <f ca="1">VLOOKUP($C275,OFFSET([1]quests!$A$1,0,0,COUNTA([1]quests!$A:$A),MATCH(E$1,[1]quests!$1:$1,0)-MATCH($C$1,[1]quests!$1:$1,0)+1),MATCH(E$1,[1]quests!$1:$1,0)-MATCH($C$1,[1]quests!$1:$1,0)+1,FALSE)</f>
        <v>土日クエスト</v>
      </c>
      <c r="F275" s="5">
        <v>3</v>
      </c>
      <c r="G275" s="3" t="str">
        <f ca="1">VLOOKUP($C275&amp;"_"&amp;$F275,OFFSET([1]stages!$A$1,0,0,COUNTA([1]stages!$A:$A),MATCH(G$1,[1]stages!$2:$2,0)-MATCH("temp_stage",[1]stages!$2:$2,0)+1),MATCH(G$1,[1]stages!$2:$2,0)-MATCH("temp_stage",[1]stages!$2:$2,0)+1,FALSE)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5" s="3" t="str">
        <f ca="1">VLOOKUP($C275&amp;"_"&amp;$F275,OFFSET([1]stages!$A$1,0,0,COUNTA([1]stages!$A:$A),MATCH(H$1,[1]stages!$2:$2,0)-MATCH("temp_stage",[1]stages!$2:$2,0)+1),MATCH(H$1,[1]stages!$2:$2,0)-MATCH("temp_stage",[1]stages!$2:$2,0)+1,FALSE)</f>
        <v>土日クエスト</v>
      </c>
      <c r="I275" s="18">
        <v>0</v>
      </c>
      <c r="J275" s="5">
        <f>COUNTIF(C$1:C275,C275)</f>
        <v>10</v>
      </c>
      <c r="K275" s="34">
        <v>14</v>
      </c>
      <c r="L275" s="5" t="s">
        <v>17</v>
      </c>
      <c r="M275" s="38" t="str">
        <f>VLOOKUP(K275,[2]stage_hints!$A:$C,3,FALSE)</f>
        <v>覚醒するにはレベルを最大に</v>
      </c>
      <c r="N275" s="39" t="str">
        <f>VLOOKUP(K275,[2]stage_hints!$A:$D,4,FALSE)</f>
        <v>覚醒するにはユニットのレベルを
最大まで上げる必要があります</v>
      </c>
      <c r="O275" s="20" t="s">
        <v>24</v>
      </c>
      <c r="P275">
        <v>14</v>
      </c>
    </row>
    <row r="276" spans="1:16" x14ac:dyDescent="0.15">
      <c r="A276" s="27" t="str">
        <f t="shared" ref="A276:A277" si="48">C276&amp;"_"&amp;F276&amp;"_"&amp;J276</f>
        <v>11006_3_11</v>
      </c>
      <c r="B276" s="25" t="s">
        <v>34</v>
      </c>
      <c r="C276" s="4">
        <v>11006</v>
      </c>
      <c r="D276" s="3" t="str">
        <f ca="1">VLOOKUP($C276,OFFSET([1]quests!$A$1,0,0,COUNTA([1]quests!$A:$A),MATCH(D$1,[1]quests!$1:$1,0)-MATCH($C$1,[1]quests!$1:$1,0)+1),MATCH(D$1,[1]quests!$1:$1,0)-MATCH($C$1,[1]quests!$1:$1,0)+1,FALSE)</f>
        <v>【土日限定】 ゴールドカジノ</v>
      </c>
      <c r="E276" s="3" t="str">
        <f ca="1">VLOOKUP($C276,OFFSET([1]quests!$A$1,0,0,COUNTA([1]quests!$A:$A),MATCH(E$1,[1]quests!$1:$1,0)-MATCH($C$1,[1]quests!$1:$1,0)+1),MATCH(E$1,[1]quests!$1:$1,0)-MATCH($C$1,[1]quests!$1:$1,0)+1,FALSE)</f>
        <v>土日クエスト</v>
      </c>
      <c r="F276" s="5">
        <v>3</v>
      </c>
      <c r="G276" s="3" t="str">
        <f ca="1">VLOOKUP($C276&amp;"_"&amp;$F276,OFFSET([1]stages!$A$1,0,0,COUNTA([1]stages!$A:$A),MATCH(G$1,[1]stages!$2:$2,0)-MATCH("temp_stage",[1]stages!$2:$2,0)+1),MATCH(G$1,[1]stages!$2:$2,0)-MATCH("temp_stage",[1]stages!$2:$2,0)+1,FALSE)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6" s="3" t="str">
        <f ca="1">VLOOKUP($C276&amp;"_"&amp;$F276,OFFSET([1]stages!$A$1,0,0,COUNTA([1]stages!$A:$A),MATCH(H$1,[1]stages!$2:$2,0)-MATCH("temp_stage",[1]stages!$2:$2,0)+1),MATCH(H$1,[1]stages!$2:$2,0)-MATCH("temp_stage",[1]stages!$2:$2,0)+1,FALSE)</f>
        <v>土日クエスト</v>
      </c>
      <c r="I276" s="18">
        <v>0</v>
      </c>
      <c r="J276" s="5">
        <f>COUNTIF(C$1:C276,C276)</f>
        <v>11</v>
      </c>
      <c r="K276" s="34">
        <v>15</v>
      </c>
      <c r="L276" s="5" t="s">
        <v>17</v>
      </c>
      <c r="M276" s="38" t="str">
        <f>VLOOKUP(K276,[2]stage_hints!$A:$C,3,FALSE)</f>
        <v>覚醒素材を獲得</v>
      </c>
      <c r="N276" s="39" t="str">
        <f>VLOOKUP(K276,[2]stage_hints!$A:$D,4,FALSE)</f>
        <v>「曜日クエスト」では
ユニットの覚醒に必要な素材が手に入ります</v>
      </c>
      <c r="O276" s="20" t="s">
        <v>24</v>
      </c>
      <c r="P276">
        <v>15</v>
      </c>
    </row>
    <row r="277" spans="1:16" x14ac:dyDescent="0.15">
      <c r="A277" s="27" t="str">
        <f t="shared" si="48"/>
        <v>11006_3_12</v>
      </c>
      <c r="B277" s="25" t="s">
        <v>34</v>
      </c>
      <c r="C277" s="4">
        <v>11006</v>
      </c>
      <c r="D277" s="3" t="str">
        <f ca="1">VLOOKUP($C277,OFFSET([1]quests!$A$1,0,0,COUNTA([1]quests!$A:$A),MATCH(D$1,[1]quests!$1:$1,0)-MATCH($C$1,[1]quests!$1:$1,0)+1),MATCH(D$1,[1]quests!$1:$1,0)-MATCH($C$1,[1]quests!$1:$1,0)+1,FALSE)</f>
        <v>【土日限定】 ゴールドカジノ</v>
      </c>
      <c r="E277" s="3" t="str">
        <f ca="1">VLOOKUP($C277,OFFSET([1]quests!$A$1,0,0,COUNTA([1]quests!$A:$A),MATCH(E$1,[1]quests!$1:$1,0)-MATCH($C$1,[1]quests!$1:$1,0)+1),MATCH(E$1,[1]quests!$1:$1,0)-MATCH($C$1,[1]quests!$1:$1,0)+1,FALSE)</f>
        <v>土日クエスト</v>
      </c>
      <c r="F277" s="5">
        <v>3</v>
      </c>
      <c r="G277" s="3" t="str">
        <f ca="1">VLOOKUP($C277&amp;"_"&amp;$F277,OFFSET([1]stages!$A$1,0,0,COUNTA([1]stages!$A:$A),MATCH(G$1,[1]stages!$2:$2,0)-MATCH("temp_stage",[1]stages!$2:$2,0)+1),MATCH(G$1,[1]stages!$2:$2,0)-MATCH("temp_stage",[1]stages!$2:$2,0)+1,FALSE)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7" s="3" t="str">
        <f ca="1">VLOOKUP($C277&amp;"_"&amp;$F277,OFFSET([1]stages!$A$1,0,0,COUNTA([1]stages!$A:$A),MATCH(H$1,[1]stages!$2:$2,0)-MATCH("temp_stage",[1]stages!$2:$2,0)+1),MATCH(H$1,[1]stages!$2:$2,0)-MATCH("temp_stage",[1]stages!$2:$2,0)+1,FALSE)</f>
        <v>土日クエスト</v>
      </c>
      <c r="I277" s="18">
        <v>0</v>
      </c>
      <c r="J277" s="5">
        <f>COUNTIF(C$1:C277,C277)</f>
        <v>12</v>
      </c>
      <c r="K277" s="34">
        <v>16</v>
      </c>
      <c r="L277" s="5" t="s">
        <v>17</v>
      </c>
      <c r="M277" s="38" t="str">
        <f>VLOOKUP(K277,[2]stage_hints!$A:$C,3,FALSE)</f>
        <v>マルチプレイのメリット（その1）</v>
      </c>
      <c r="N277" s="39" t="str">
        <f>VLOOKUP(K277,[2]stage_hints!$A:$D,4,FALSE)</f>
        <v>他のプレイヤーとマルチプレイで遊ぶと
ポリゴンがもらえます（100人まで）</v>
      </c>
      <c r="O277" s="20" t="s">
        <v>24</v>
      </c>
      <c r="P277">
        <v>16</v>
      </c>
    </row>
    <row r="278" spans="1:16" x14ac:dyDescent="0.15">
      <c r="A278" s="27" t="str">
        <f t="shared" ref="A278:A290" si="49">C278&amp;"_"&amp;F278&amp;"_"&amp;J278</f>
        <v>11006_3_13</v>
      </c>
      <c r="B278" s="25" t="s">
        <v>34</v>
      </c>
      <c r="C278" s="4">
        <v>11006</v>
      </c>
      <c r="D278" s="3" t="str">
        <f ca="1">VLOOKUP($C278,OFFSET([1]quests!$A$1,0,0,COUNTA([1]quests!$A:$A),MATCH(D$1,[1]quests!$1:$1,0)-MATCH($C$1,[1]quests!$1:$1,0)+1),MATCH(D$1,[1]quests!$1:$1,0)-MATCH($C$1,[1]quests!$1:$1,0)+1,FALSE)</f>
        <v>【土日限定】 ゴールドカジノ</v>
      </c>
      <c r="E278" s="3" t="str">
        <f ca="1">VLOOKUP($C278,OFFSET([1]quests!$A$1,0,0,COUNTA([1]quests!$A:$A),MATCH(E$1,[1]quests!$1:$1,0)-MATCH($C$1,[1]quests!$1:$1,0)+1),MATCH(E$1,[1]quests!$1:$1,0)-MATCH($C$1,[1]quests!$1:$1,0)+1,FALSE)</f>
        <v>土日クエスト</v>
      </c>
      <c r="F278" s="5">
        <v>3</v>
      </c>
      <c r="G278" s="3" t="str">
        <f ca="1">VLOOKUP($C278&amp;"_"&amp;$F278,OFFSET([1]stages!$A$1,0,0,COUNTA([1]stages!$A:$A),MATCH(G$1,[1]stages!$2:$2,0)-MATCH("temp_stage",[1]stages!$2:$2,0)+1),MATCH(G$1,[1]stages!$2:$2,0)-MATCH("temp_stage",[1]stages!$2:$2,0)+1,FALSE)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8" s="3" t="str">
        <f ca="1">VLOOKUP($C278&amp;"_"&amp;$F278,OFFSET([1]stages!$A$1,0,0,COUNTA([1]stages!$A:$A),MATCH(H$1,[1]stages!$2:$2,0)-MATCH("temp_stage",[1]stages!$2:$2,0)+1),MATCH(H$1,[1]stages!$2:$2,0)-MATCH("temp_stage",[1]stages!$2:$2,0)+1,FALSE)</f>
        <v>土日クエスト</v>
      </c>
      <c r="I278" s="18">
        <v>0</v>
      </c>
      <c r="J278" s="5">
        <f>COUNTIF(C$1:C278,C278)</f>
        <v>13</v>
      </c>
      <c r="K278" s="34">
        <v>17</v>
      </c>
      <c r="L278" s="5" t="s">
        <v>17</v>
      </c>
      <c r="M278" s="38" t="str">
        <f>VLOOKUP(K278,[2]stage_hints!$A:$C,3,FALSE)</f>
        <v>リンクガチャ</v>
      </c>
      <c r="N278" s="39" t="str">
        <f>VLOOKUP(K278,[2]stage_hints!$A:$D,4,FALSE)</f>
        <v>無料のリンクガチャを回して
経験値素材や売却素材を獲得しましょう</v>
      </c>
      <c r="O278" s="20" t="s">
        <v>24</v>
      </c>
      <c r="P278">
        <v>17</v>
      </c>
    </row>
    <row r="279" spans="1:16" x14ac:dyDescent="0.15">
      <c r="A279" s="27" t="str">
        <f t="shared" si="49"/>
        <v>11006_3_14</v>
      </c>
      <c r="B279" s="25" t="s">
        <v>34</v>
      </c>
      <c r="C279" s="4">
        <v>11006</v>
      </c>
      <c r="D279" s="3" t="str">
        <f ca="1">VLOOKUP($C279,OFFSET([1]quests!$A$1,0,0,COUNTA([1]quests!$A:$A),MATCH(D$1,[1]quests!$1:$1,0)-MATCH($C$1,[1]quests!$1:$1,0)+1),MATCH(D$1,[1]quests!$1:$1,0)-MATCH($C$1,[1]quests!$1:$1,0)+1,FALSE)</f>
        <v>【土日限定】 ゴールドカジノ</v>
      </c>
      <c r="E279" s="3" t="str">
        <f ca="1">VLOOKUP($C279,OFFSET([1]quests!$A$1,0,0,COUNTA([1]quests!$A:$A),MATCH(E$1,[1]quests!$1:$1,0)-MATCH($C$1,[1]quests!$1:$1,0)+1),MATCH(E$1,[1]quests!$1:$1,0)-MATCH($C$1,[1]quests!$1:$1,0)+1,FALSE)</f>
        <v>土日クエスト</v>
      </c>
      <c r="F279" s="5">
        <v>3</v>
      </c>
      <c r="G279" s="3" t="str">
        <f ca="1">VLOOKUP($C279&amp;"_"&amp;$F279,OFFSET([1]stages!$A$1,0,0,COUNTA([1]stages!$A:$A),MATCH(G$1,[1]stages!$2:$2,0)-MATCH("temp_stage",[1]stages!$2:$2,0)+1),MATCH(G$1,[1]stages!$2:$2,0)-MATCH("temp_stage",[1]stages!$2:$2,0)+1,FALSE)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79" s="3" t="str">
        <f ca="1">VLOOKUP($C279&amp;"_"&amp;$F279,OFFSET([1]stages!$A$1,0,0,COUNTA([1]stages!$A:$A),MATCH(H$1,[1]stages!$2:$2,0)-MATCH("temp_stage",[1]stages!$2:$2,0)+1),MATCH(H$1,[1]stages!$2:$2,0)-MATCH("temp_stage",[1]stages!$2:$2,0)+1,FALSE)</f>
        <v>土日クエスト</v>
      </c>
      <c r="I279" s="18">
        <v>0</v>
      </c>
      <c r="J279" s="5">
        <f>COUNTIF(C$1:C279,C279)</f>
        <v>14</v>
      </c>
      <c r="K279" s="34">
        <v>18</v>
      </c>
      <c r="L279" s="5" t="s">
        <v>17</v>
      </c>
      <c r="M279" s="38" t="str">
        <f>VLOOKUP(K279,[2]stage_hints!$A:$C,3,FALSE)</f>
        <v>マルチプレイのメリット（その2）</v>
      </c>
      <c r="N279" s="39" t="str">
        <f>VLOOKUP(K279,[2]stage_hints!$A:$D,4,FALSE)</f>
        <v>マルチプレイならリンクが2倍もらえます
リンクガチャをたくさん回しましょう</v>
      </c>
      <c r="O279" s="20" t="s">
        <v>24</v>
      </c>
      <c r="P279">
        <v>18</v>
      </c>
    </row>
    <row r="280" spans="1:16" x14ac:dyDescent="0.15">
      <c r="A280" s="27" t="str">
        <f t="shared" si="49"/>
        <v>11006_3_15</v>
      </c>
      <c r="B280" s="25" t="s">
        <v>34</v>
      </c>
      <c r="C280" s="4">
        <v>11006</v>
      </c>
      <c r="D280" s="3" t="str">
        <f ca="1">VLOOKUP($C280,OFFSET([1]quests!$A$1,0,0,COUNTA([1]quests!$A:$A),MATCH(D$1,[1]quests!$1:$1,0)-MATCH($C$1,[1]quests!$1:$1,0)+1),MATCH(D$1,[1]quests!$1:$1,0)-MATCH($C$1,[1]quests!$1:$1,0)+1,FALSE)</f>
        <v>【土日限定】 ゴールドカジノ</v>
      </c>
      <c r="E280" s="3" t="str">
        <f ca="1">VLOOKUP($C280,OFFSET([1]quests!$A$1,0,0,COUNTA([1]quests!$A:$A),MATCH(E$1,[1]quests!$1:$1,0)-MATCH($C$1,[1]quests!$1:$1,0)+1),MATCH(E$1,[1]quests!$1:$1,0)-MATCH($C$1,[1]quests!$1:$1,0)+1,FALSE)</f>
        <v>土日クエスト</v>
      </c>
      <c r="F280" s="5">
        <v>3</v>
      </c>
      <c r="G280" s="3" t="str">
        <f ca="1">VLOOKUP($C280&amp;"_"&amp;$F280,OFFSET([1]stages!$A$1,0,0,COUNTA([1]stages!$A:$A),MATCH(G$1,[1]stages!$2:$2,0)-MATCH("temp_stage",[1]stages!$2:$2,0)+1),MATCH(G$1,[1]stages!$2:$2,0)-MATCH("temp_stage",[1]stages!$2:$2,0)+1,FALSE)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0" s="3" t="str">
        <f ca="1">VLOOKUP($C280&amp;"_"&amp;$F280,OFFSET([1]stages!$A$1,0,0,COUNTA([1]stages!$A:$A),MATCH(H$1,[1]stages!$2:$2,0)-MATCH("temp_stage",[1]stages!$2:$2,0)+1),MATCH(H$1,[1]stages!$2:$2,0)-MATCH("temp_stage",[1]stages!$2:$2,0)+1,FALSE)</f>
        <v>土日クエスト</v>
      </c>
      <c r="I280" s="18">
        <v>0</v>
      </c>
      <c r="J280" s="5">
        <f>COUNTIF(C$1:C280,C280)</f>
        <v>15</v>
      </c>
      <c r="K280" s="34">
        <v>19</v>
      </c>
      <c r="L280" s="5" t="s">
        <v>17</v>
      </c>
      <c r="M280" s="38" t="str">
        <f>VLOOKUP(K280,[2]stage_hints!$A:$C,3,FALSE)</f>
        <v>ソロ専用チャレンジタワー</v>
      </c>
      <c r="N280" s="39" t="str">
        <f>VLOOKUP(K280,[2]stage_hints!$A:$D,4,FALSE)</f>
        <v>ソロ専用の「チャレンジタワー」では
各フロアごとにクリア報酬がもらえます</v>
      </c>
      <c r="O280" s="20" t="s">
        <v>24</v>
      </c>
      <c r="P280">
        <v>19</v>
      </c>
    </row>
    <row r="281" spans="1:16" x14ac:dyDescent="0.15">
      <c r="A281" s="27" t="str">
        <f t="shared" si="49"/>
        <v>11006_3_16</v>
      </c>
      <c r="B281" s="25" t="s">
        <v>34</v>
      </c>
      <c r="C281" s="4">
        <v>11006</v>
      </c>
      <c r="D281" s="3" t="str">
        <f ca="1">VLOOKUP($C281,OFFSET([1]quests!$A$1,0,0,COUNTA([1]quests!$A:$A),MATCH(D$1,[1]quests!$1:$1,0)-MATCH($C$1,[1]quests!$1:$1,0)+1),MATCH(D$1,[1]quests!$1:$1,0)-MATCH($C$1,[1]quests!$1:$1,0)+1,FALSE)</f>
        <v>【土日限定】 ゴールドカジノ</v>
      </c>
      <c r="E281" s="3" t="str">
        <f ca="1">VLOOKUP($C281,OFFSET([1]quests!$A$1,0,0,COUNTA([1]quests!$A:$A),MATCH(E$1,[1]quests!$1:$1,0)-MATCH($C$1,[1]quests!$1:$1,0)+1),MATCH(E$1,[1]quests!$1:$1,0)-MATCH($C$1,[1]quests!$1:$1,0)+1,FALSE)</f>
        <v>土日クエスト</v>
      </c>
      <c r="F281" s="5">
        <v>3</v>
      </c>
      <c r="G281" s="3" t="str">
        <f ca="1">VLOOKUP($C281&amp;"_"&amp;$F281,OFFSET([1]stages!$A$1,0,0,COUNTA([1]stages!$A:$A),MATCH(G$1,[1]stages!$2:$2,0)-MATCH("temp_stage",[1]stages!$2:$2,0)+1),MATCH(G$1,[1]stages!$2:$2,0)-MATCH("temp_stage",[1]stages!$2:$2,0)+1,FALSE)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1" s="3" t="str">
        <f ca="1">VLOOKUP($C281&amp;"_"&amp;$F281,OFFSET([1]stages!$A$1,0,0,COUNTA([1]stages!$A:$A),MATCH(H$1,[1]stages!$2:$2,0)-MATCH("temp_stage",[1]stages!$2:$2,0)+1),MATCH(H$1,[1]stages!$2:$2,0)-MATCH("temp_stage",[1]stages!$2:$2,0)+1,FALSE)</f>
        <v>土日クエスト</v>
      </c>
      <c r="I281" s="18">
        <v>0</v>
      </c>
      <c r="J281" s="5">
        <f>COUNTIF(C$1:C281,C281)</f>
        <v>16</v>
      </c>
      <c r="K281" s="34">
        <v>20</v>
      </c>
      <c r="L281" s="5" t="s">
        <v>17</v>
      </c>
      <c r="M281" s="38" t="str">
        <f>VLOOKUP(K281,[2]stage_hints!$A:$C,3,FALSE)</f>
        <v>マルチプレイのメリット（その3）</v>
      </c>
      <c r="N281" s="39" t="str">
        <f>VLOOKUP(K281,[2]stage_hints!$A:$D,4,FALSE)</f>
        <v>マルチプレイへの参加はエナジー消費ゼロ
いつでも好きなだけ遊ぶことができます</v>
      </c>
      <c r="O281" s="20" t="s">
        <v>24</v>
      </c>
      <c r="P281">
        <v>20</v>
      </c>
    </row>
    <row r="282" spans="1:16" x14ac:dyDescent="0.15">
      <c r="A282" s="27" t="str">
        <f t="shared" si="49"/>
        <v>11006_3_17</v>
      </c>
      <c r="B282" s="25" t="s">
        <v>34</v>
      </c>
      <c r="C282" s="4">
        <v>11006</v>
      </c>
      <c r="D282" s="3" t="str">
        <f ca="1">VLOOKUP($C282,OFFSET([1]quests!$A$1,0,0,COUNTA([1]quests!$A:$A),MATCH(D$1,[1]quests!$1:$1,0)-MATCH($C$1,[1]quests!$1:$1,0)+1),MATCH(D$1,[1]quests!$1:$1,0)-MATCH($C$1,[1]quests!$1:$1,0)+1,FALSE)</f>
        <v>【土日限定】 ゴールドカジノ</v>
      </c>
      <c r="E282" s="3" t="str">
        <f ca="1">VLOOKUP($C282,OFFSET([1]quests!$A$1,0,0,COUNTA([1]quests!$A:$A),MATCH(E$1,[1]quests!$1:$1,0)-MATCH($C$1,[1]quests!$1:$1,0)+1),MATCH(E$1,[1]quests!$1:$1,0)-MATCH($C$1,[1]quests!$1:$1,0)+1,FALSE)</f>
        <v>土日クエスト</v>
      </c>
      <c r="F282" s="5">
        <v>3</v>
      </c>
      <c r="G282" s="3" t="str">
        <f ca="1">VLOOKUP($C282&amp;"_"&amp;$F282,OFFSET([1]stages!$A$1,0,0,COUNTA([1]stages!$A:$A),MATCH(G$1,[1]stages!$2:$2,0)-MATCH("temp_stage",[1]stages!$2:$2,0)+1),MATCH(G$1,[1]stages!$2:$2,0)-MATCH("temp_stage",[1]stages!$2:$2,0)+1,FALSE)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2" s="3" t="str">
        <f ca="1">VLOOKUP($C282&amp;"_"&amp;$F282,OFFSET([1]stages!$A$1,0,0,COUNTA([1]stages!$A:$A),MATCH(H$1,[1]stages!$2:$2,0)-MATCH("temp_stage",[1]stages!$2:$2,0)+1),MATCH(H$1,[1]stages!$2:$2,0)-MATCH("temp_stage",[1]stages!$2:$2,0)+1,FALSE)</f>
        <v>土日クエスト</v>
      </c>
      <c r="I282" s="18">
        <v>0</v>
      </c>
      <c r="J282" s="5">
        <f>COUNTIF(C$1:C282,C282)</f>
        <v>17</v>
      </c>
      <c r="K282" s="34">
        <v>21</v>
      </c>
      <c r="L282" s="5" t="s">
        <v>17</v>
      </c>
      <c r="M282" s="38" t="str">
        <f>VLOOKUP(K282,[2]stage_hints!$A:$C,3,FALSE)</f>
        <v>スキルを有効に</v>
      </c>
      <c r="N282" s="39" t="str">
        <f>VLOOKUP(K282,[2]stage_hints!$A:$D,4,FALSE)</f>
        <v>ターン経過でユニットのスキルが使えます
強力スキルでバトルを有利に進めましょう</v>
      </c>
      <c r="O282" s="20" t="s">
        <v>24</v>
      </c>
      <c r="P282">
        <v>21</v>
      </c>
    </row>
    <row r="283" spans="1:16" x14ac:dyDescent="0.15">
      <c r="A283" s="27" t="str">
        <f t="shared" si="49"/>
        <v>11006_3_18</v>
      </c>
      <c r="B283" s="25" t="s">
        <v>34</v>
      </c>
      <c r="C283" s="4">
        <v>11006</v>
      </c>
      <c r="D283" s="3" t="str">
        <f ca="1">VLOOKUP($C283,OFFSET([1]quests!$A$1,0,0,COUNTA([1]quests!$A:$A),MATCH(D$1,[1]quests!$1:$1,0)-MATCH($C$1,[1]quests!$1:$1,0)+1),MATCH(D$1,[1]quests!$1:$1,0)-MATCH($C$1,[1]quests!$1:$1,0)+1,FALSE)</f>
        <v>【土日限定】 ゴールドカジノ</v>
      </c>
      <c r="E283" s="3" t="str">
        <f ca="1">VLOOKUP($C283,OFFSET([1]quests!$A$1,0,0,COUNTA([1]quests!$A:$A),MATCH(E$1,[1]quests!$1:$1,0)-MATCH($C$1,[1]quests!$1:$1,0)+1),MATCH(E$1,[1]quests!$1:$1,0)-MATCH($C$1,[1]quests!$1:$1,0)+1,FALSE)</f>
        <v>土日クエスト</v>
      </c>
      <c r="F283" s="5">
        <v>3</v>
      </c>
      <c r="G283" s="3" t="str">
        <f ca="1">VLOOKUP($C283&amp;"_"&amp;$F283,OFFSET([1]stages!$A$1,0,0,COUNTA([1]stages!$A:$A),MATCH(G$1,[1]stages!$2:$2,0)-MATCH("temp_stage",[1]stages!$2:$2,0)+1),MATCH(G$1,[1]stages!$2:$2,0)-MATCH("temp_stage",[1]stages!$2:$2,0)+1,FALSE)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3" s="3" t="str">
        <f ca="1">VLOOKUP($C283&amp;"_"&amp;$F283,OFFSET([1]stages!$A$1,0,0,COUNTA([1]stages!$A:$A),MATCH(H$1,[1]stages!$2:$2,0)-MATCH("temp_stage",[1]stages!$2:$2,0)+1),MATCH(H$1,[1]stages!$2:$2,0)-MATCH("temp_stage",[1]stages!$2:$2,0)+1,FALSE)</f>
        <v>土日クエスト</v>
      </c>
      <c r="I283" s="18">
        <v>0</v>
      </c>
      <c r="J283" s="5">
        <f>COUNTIF(C$1:C283,C283)</f>
        <v>18</v>
      </c>
      <c r="K283" s="34">
        <v>22</v>
      </c>
      <c r="L283" s="5" t="s">
        <v>17</v>
      </c>
      <c r="M283" s="38" t="str">
        <f>VLOOKUP(K283,[2]stage_hints!$A:$C,3,FALSE)</f>
        <v>フィーバーで一発逆転（その1）</v>
      </c>
      <c r="N283" s="39" t="str">
        <f>VLOOKUP(K283,[2]stage_hints!$A:$D,4,FALSE)</f>
        <v>フィーバーは攻撃と回復を兼ね備えます
ピンチからの一発逆転を狙いましょう</v>
      </c>
      <c r="O283" s="20" t="s">
        <v>24</v>
      </c>
      <c r="P283">
        <v>22</v>
      </c>
    </row>
    <row r="284" spans="1:16" x14ac:dyDescent="0.15">
      <c r="A284" s="27" t="str">
        <f t="shared" si="49"/>
        <v>11006_3_19</v>
      </c>
      <c r="B284" s="25" t="s">
        <v>34</v>
      </c>
      <c r="C284" s="4">
        <v>11006</v>
      </c>
      <c r="D284" s="3" t="str">
        <f ca="1">VLOOKUP($C284,OFFSET([1]quests!$A$1,0,0,COUNTA([1]quests!$A:$A),MATCH(D$1,[1]quests!$1:$1,0)-MATCH($C$1,[1]quests!$1:$1,0)+1),MATCH(D$1,[1]quests!$1:$1,0)-MATCH($C$1,[1]quests!$1:$1,0)+1,FALSE)</f>
        <v>【土日限定】 ゴールドカジノ</v>
      </c>
      <c r="E284" s="3" t="str">
        <f ca="1">VLOOKUP($C284,OFFSET([1]quests!$A$1,0,0,COUNTA([1]quests!$A:$A),MATCH(E$1,[1]quests!$1:$1,0)-MATCH($C$1,[1]quests!$1:$1,0)+1),MATCH(E$1,[1]quests!$1:$1,0)-MATCH($C$1,[1]quests!$1:$1,0)+1,FALSE)</f>
        <v>土日クエスト</v>
      </c>
      <c r="F284" s="5">
        <v>3</v>
      </c>
      <c r="G284" s="3" t="str">
        <f ca="1">VLOOKUP($C284&amp;"_"&amp;$F284,OFFSET([1]stages!$A$1,0,0,COUNTA([1]stages!$A:$A),MATCH(G$1,[1]stages!$2:$2,0)-MATCH("temp_stage",[1]stages!$2:$2,0)+1),MATCH(G$1,[1]stages!$2:$2,0)-MATCH("temp_stage",[1]stages!$2:$2,0)+1,FALSE)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4" s="3" t="str">
        <f ca="1">VLOOKUP($C284&amp;"_"&amp;$F284,OFFSET([1]stages!$A$1,0,0,COUNTA([1]stages!$A:$A),MATCH(H$1,[1]stages!$2:$2,0)-MATCH("temp_stage",[1]stages!$2:$2,0)+1),MATCH(H$1,[1]stages!$2:$2,0)-MATCH("temp_stage",[1]stages!$2:$2,0)+1,FALSE)</f>
        <v>土日クエスト</v>
      </c>
      <c r="I284" s="18">
        <v>0</v>
      </c>
      <c r="J284" s="5">
        <f>COUNTIF(C$1:C284,C284)</f>
        <v>19</v>
      </c>
      <c r="K284" s="34">
        <v>23</v>
      </c>
      <c r="L284" s="5" t="s">
        <v>17</v>
      </c>
      <c r="M284" s="38" t="str">
        <f>VLOOKUP(K284,[2]stage_hints!$A:$C,3,FALSE)</f>
        <v>フィーバーで一発逆転（その2）</v>
      </c>
      <c r="N284" s="39" t="str">
        <f>VLOOKUP(K284,[2]stage_hints!$A:$D,4,FALSE)</f>
        <v>フィーバー中は虹色のボムパネルを狙って
画面上のパネルを一気に破壊しましょう</v>
      </c>
      <c r="O284" s="20" t="s">
        <v>24</v>
      </c>
      <c r="P284">
        <v>23</v>
      </c>
    </row>
    <row r="285" spans="1:16" x14ac:dyDescent="0.15">
      <c r="A285" s="27" t="str">
        <f t="shared" si="49"/>
        <v>11006_3_20</v>
      </c>
      <c r="B285" s="25" t="s">
        <v>34</v>
      </c>
      <c r="C285" s="4">
        <v>11006</v>
      </c>
      <c r="D285" s="3" t="str">
        <f ca="1">VLOOKUP($C285,OFFSET([1]quests!$A$1,0,0,COUNTA([1]quests!$A:$A),MATCH(D$1,[1]quests!$1:$1,0)-MATCH($C$1,[1]quests!$1:$1,0)+1),MATCH(D$1,[1]quests!$1:$1,0)-MATCH($C$1,[1]quests!$1:$1,0)+1,FALSE)</f>
        <v>【土日限定】 ゴールドカジノ</v>
      </c>
      <c r="E285" s="3" t="str">
        <f ca="1">VLOOKUP($C285,OFFSET([1]quests!$A$1,0,0,COUNTA([1]quests!$A:$A),MATCH(E$1,[1]quests!$1:$1,0)-MATCH($C$1,[1]quests!$1:$1,0)+1),MATCH(E$1,[1]quests!$1:$1,0)-MATCH($C$1,[1]quests!$1:$1,0)+1,FALSE)</f>
        <v>土日クエスト</v>
      </c>
      <c r="F285" s="5">
        <v>3</v>
      </c>
      <c r="G285" s="3" t="str">
        <f ca="1">VLOOKUP($C285&amp;"_"&amp;$F285,OFFSET([1]stages!$A$1,0,0,COUNTA([1]stages!$A:$A),MATCH(G$1,[1]stages!$2:$2,0)-MATCH("temp_stage",[1]stages!$2:$2,0)+1),MATCH(G$1,[1]stages!$2:$2,0)-MATCH("temp_stage",[1]stages!$2:$2,0)+1,FALSE)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5" s="3" t="str">
        <f ca="1">VLOOKUP($C285&amp;"_"&amp;$F285,OFFSET([1]stages!$A$1,0,0,COUNTA([1]stages!$A:$A),MATCH(H$1,[1]stages!$2:$2,0)-MATCH("temp_stage",[1]stages!$2:$2,0)+1),MATCH(H$1,[1]stages!$2:$2,0)-MATCH("temp_stage",[1]stages!$2:$2,0)+1,FALSE)</f>
        <v>土日クエスト</v>
      </c>
      <c r="I285" s="18">
        <v>0</v>
      </c>
      <c r="J285" s="5">
        <f>COUNTIF(C$1:C285,C285)</f>
        <v>20</v>
      </c>
      <c r="K285" s="34">
        <v>24</v>
      </c>
      <c r="L285" s="5" t="s">
        <v>17</v>
      </c>
      <c r="M285" s="38" t="str">
        <f>VLOOKUP(K285,[2]stage_hints!$A:$C,3,FALSE)</f>
        <v>りんごを使って限界突破</v>
      </c>
      <c r="N285" s="39" t="str">
        <f>VLOOKUP(K285,[2]stage_hints!$A:$D,4,FALSE)</f>
        <v>赤りんご(攻撃力) 青りんご(回復力)
緑りんご(体力)をユニット強化に使うと
ステータスが限界突破します（計99個迄）</v>
      </c>
      <c r="O285" s="20" t="s">
        <v>24</v>
      </c>
      <c r="P285">
        <v>24</v>
      </c>
    </row>
    <row r="286" spans="1:16" x14ac:dyDescent="0.15">
      <c r="A286" s="27" t="str">
        <f t="shared" si="49"/>
        <v>11006_3_21</v>
      </c>
      <c r="B286" s="25" t="s">
        <v>34</v>
      </c>
      <c r="C286" s="4">
        <v>11006</v>
      </c>
      <c r="D286" s="3" t="str">
        <f ca="1">VLOOKUP($C286,OFFSET([1]quests!$A$1,0,0,COUNTA([1]quests!$A:$A),MATCH(D$1,[1]quests!$1:$1,0)-MATCH($C$1,[1]quests!$1:$1,0)+1),MATCH(D$1,[1]quests!$1:$1,0)-MATCH($C$1,[1]quests!$1:$1,0)+1,FALSE)</f>
        <v>【土日限定】 ゴールドカジノ</v>
      </c>
      <c r="E286" s="3" t="str">
        <f ca="1">VLOOKUP($C286,OFFSET([1]quests!$A$1,0,0,COUNTA([1]quests!$A:$A),MATCH(E$1,[1]quests!$1:$1,0)-MATCH($C$1,[1]quests!$1:$1,0)+1),MATCH(E$1,[1]quests!$1:$1,0)-MATCH($C$1,[1]quests!$1:$1,0)+1,FALSE)</f>
        <v>土日クエスト</v>
      </c>
      <c r="F286" s="5">
        <v>3</v>
      </c>
      <c r="G286" s="3" t="str">
        <f ca="1">VLOOKUP($C286&amp;"_"&amp;$F286,OFFSET([1]stages!$A$1,0,0,COUNTA([1]stages!$A:$A),MATCH(G$1,[1]stages!$2:$2,0)-MATCH("temp_stage",[1]stages!$2:$2,0)+1),MATCH(G$1,[1]stages!$2:$2,0)-MATCH("temp_stage",[1]stages!$2:$2,0)+1,FALSE)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6" s="3" t="str">
        <f ca="1">VLOOKUP($C286&amp;"_"&amp;$F286,OFFSET([1]stages!$A$1,0,0,COUNTA([1]stages!$A:$A),MATCH(H$1,[1]stages!$2:$2,0)-MATCH("temp_stage",[1]stages!$2:$2,0)+1),MATCH(H$1,[1]stages!$2:$2,0)-MATCH("temp_stage",[1]stages!$2:$2,0)+1,FALSE)</f>
        <v>土日クエスト</v>
      </c>
      <c r="I286" s="18">
        <v>0</v>
      </c>
      <c r="J286" s="5">
        <f>COUNTIF(C$1:C286,C286)</f>
        <v>21</v>
      </c>
      <c r="K286" s="34">
        <v>25</v>
      </c>
      <c r="L286" s="5" t="s">
        <v>17</v>
      </c>
      <c r="M286" s="38" t="str">
        <f>VLOOKUP(K286,[2]stage_hints!$A:$C,3,FALSE)</f>
        <v>スキルレベルアップ</v>
      </c>
      <c r="N286" s="39" t="str">
        <f>VLOOKUP(K286,[2]stage_hints!$A:$D,4,FALSE)</f>
        <v>「クリスタルのりんご」を強化に使うと
スキルレベルを上げることができます</v>
      </c>
      <c r="O286" s="20" t="s">
        <v>24</v>
      </c>
      <c r="P286">
        <v>25</v>
      </c>
    </row>
    <row r="287" spans="1:16" x14ac:dyDescent="0.15">
      <c r="A287" s="27" t="str">
        <f t="shared" si="49"/>
        <v>11006_3_22</v>
      </c>
      <c r="B287" s="25" t="s">
        <v>34</v>
      </c>
      <c r="C287" s="4">
        <v>11006</v>
      </c>
      <c r="D287" s="3" t="str">
        <f ca="1">VLOOKUP($C287,OFFSET([1]quests!$A$1,0,0,COUNTA([1]quests!$A:$A),MATCH(D$1,[1]quests!$1:$1,0)-MATCH($C$1,[1]quests!$1:$1,0)+1),MATCH(D$1,[1]quests!$1:$1,0)-MATCH($C$1,[1]quests!$1:$1,0)+1,FALSE)</f>
        <v>【土日限定】 ゴールドカジノ</v>
      </c>
      <c r="E287" s="3" t="str">
        <f ca="1">VLOOKUP($C287,OFFSET([1]quests!$A$1,0,0,COUNTA([1]quests!$A:$A),MATCH(E$1,[1]quests!$1:$1,0)-MATCH($C$1,[1]quests!$1:$1,0)+1),MATCH(E$1,[1]quests!$1:$1,0)-MATCH($C$1,[1]quests!$1:$1,0)+1,FALSE)</f>
        <v>土日クエスト</v>
      </c>
      <c r="F287" s="5">
        <v>3</v>
      </c>
      <c r="G287" s="3" t="str">
        <f ca="1">VLOOKUP($C287&amp;"_"&amp;$F287,OFFSET([1]stages!$A$1,0,0,COUNTA([1]stages!$A:$A),MATCH(G$1,[1]stages!$2:$2,0)-MATCH("temp_stage",[1]stages!$2:$2,0)+1),MATCH(G$1,[1]stages!$2:$2,0)-MATCH("temp_stage",[1]stages!$2:$2,0)+1,FALSE)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7" s="3" t="str">
        <f ca="1">VLOOKUP($C287&amp;"_"&amp;$F287,OFFSET([1]stages!$A$1,0,0,COUNTA([1]stages!$A:$A),MATCH(H$1,[1]stages!$2:$2,0)-MATCH("temp_stage",[1]stages!$2:$2,0)+1),MATCH(H$1,[1]stages!$2:$2,0)-MATCH("temp_stage",[1]stages!$2:$2,0)+1,FALSE)</f>
        <v>土日クエスト</v>
      </c>
      <c r="I287" s="18">
        <v>0</v>
      </c>
      <c r="J287" s="5">
        <f>COUNTIF(C$1:C287,C287)</f>
        <v>22</v>
      </c>
      <c r="K287" s="34">
        <v>26</v>
      </c>
      <c r="L287" s="5" t="s">
        <v>17</v>
      </c>
      <c r="M287" s="38" t="str">
        <f>VLOOKUP(K287,[2]stage_hints!$A:$C,3,FALSE)</f>
        <v>スキルレベルの効果</v>
      </c>
      <c r="N287" s="39" t="str">
        <f>VLOOKUP(K287,[2]stage_hints!$A:$D,4,FALSE)</f>
        <v>スキルレベルが上がると
短いターンでスキルを使うことができます</v>
      </c>
      <c r="O287" s="20" t="s">
        <v>24</v>
      </c>
      <c r="P287">
        <v>26</v>
      </c>
    </row>
    <row r="288" spans="1:16" x14ac:dyDescent="0.15">
      <c r="A288" s="27" t="str">
        <f t="shared" si="49"/>
        <v>11006_3_23</v>
      </c>
      <c r="B288" s="25" t="s">
        <v>34</v>
      </c>
      <c r="C288" s="4">
        <v>11006</v>
      </c>
      <c r="D288" s="3" t="str">
        <f ca="1">VLOOKUP($C288,OFFSET([1]quests!$A$1,0,0,COUNTA([1]quests!$A:$A),MATCH(D$1,[1]quests!$1:$1,0)-MATCH($C$1,[1]quests!$1:$1,0)+1),MATCH(D$1,[1]quests!$1:$1,0)-MATCH($C$1,[1]quests!$1:$1,0)+1,FALSE)</f>
        <v>【土日限定】 ゴールドカジノ</v>
      </c>
      <c r="E288" s="3" t="str">
        <f ca="1">VLOOKUP($C288,OFFSET([1]quests!$A$1,0,0,COUNTA([1]quests!$A:$A),MATCH(E$1,[1]quests!$1:$1,0)-MATCH($C$1,[1]quests!$1:$1,0)+1),MATCH(E$1,[1]quests!$1:$1,0)-MATCH($C$1,[1]quests!$1:$1,0)+1,FALSE)</f>
        <v>土日クエスト</v>
      </c>
      <c r="F288" s="5">
        <v>3</v>
      </c>
      <c r="G288" s="3" t="str">
        <f ca="1">VLOOKUP($C288&amp;"_"&amp;$F288,OFFSET([1]stages!$A$1,0,0,COUNTA([1]stages!$A:$A),MATCH(G$1,[1]stages!$2:$2,0)-MATCH("temp_stage",[1]stages!$2:$2,0)+1),MATCH(G$1,[1]stages!$2:$2,0)-MATCH("temp_stage",[1]stages!$2:$2,0)+1,FALSE)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8" s="3" t="str">
        <f ca="1">VLOOKUP($C288&amp;"_"&amp;$F288,OFFSET([1]stages!$A$1,0,0,COUNTA([1]stages!$A:$A),MATCH(H$1,[1]stages!$2:$2,0)-MATCH("temp_stage",[1]stages!$2:$2,0)+1),MATCH(H$1,[1]stages!$2:$2,0)-MATCH("temp_stage",[1]stages!$2:$2,0)+1,FALSE)</f>
        <v>土日クエスト</v>
      </c>
      <c r="I288" s="18">
        <v>0</v>
      </c>
      <c r="J288" s="5">
        <f>COUNTIF(C$1:C288,C288)</f>
        <v>23</v>
      </c>
      <c r="K288" s="34">
        <v>27</v>
      </c>
      <c r="L288" s="5" t="s">
        <v>17</v>
      </c>
      <c r="M288" s="38" t="str">
        <f>VLOOKUP(K288,[2]stage_hints!$A:$C,3,FALSE)</f>
        <v>ホーム画面からデッキを編成</v>
      </c>
      <c r="N288" s="39" t="str">
        <f>VLOOKUP(K288,[2]stage_hints!$A:$D,4,FALSE)</f>
        <v>ホーム画面でユニットを長押しすると
すぐにパーティ編成に移動できます</v>
      </c>
      <c r="O288" s="20" t="s">
        <v>24</v>
      </c>
      <c r="P288">
        <v>27</v>
      </c>
    </row>
    <row r="289" spans="1:16" x14ac:dyDescent="0.15">
      <c r="A289" s="27" t="str">
        <f t="shared" si="49"/>
        <v>11006_3_24</v>
      </c>
      <c r="B289" s="25" t="s">
        <v>34</v>
      </c>
      <c r="C289" s="4">
        <v>11006</v>
      </c>
      <c r="D289" s="3" t="str">
        <f ca="1">VLOOKUP($C289,OFFSET([1]quests!$A$1,0,0,COUNTA([1]quests!$A:$A),MATCH(D$1,[1]quests!$1:$1,0)-MATCH($C$1,[1]quests!$1:$1,0)+1),MATCH(D$1,[1]quests!$1:$1,0)-MATCH($C$1,[1]quests!$1:$1,0)+1,FALSE)</f>
        <v>【土日限定】 ゴールドカジノ</v>
      </c>
      <c r="E289" s="3" t="str">
        <f ca="1">VLOOKUP($C289,OFFSET([1]quests!$A$1,0,0,COUNTA([1]quests!$A:$A),MATCH(E$1,[1]quests!$1:$1,0)-MATCH($C$1,[1]quests!$1:$1,0)+1),MATCH(E$1,[1]quests!$1:$1,0)-MATCH($C$1,[1]quests!$1:$1,0)+1,FALSE)</f>
        <v>土日クエスト</v>
      </c>
      <c r="F289" s="5">
        <v>3</v>
      </c>
      <c r="G289" s="3" t="str">
        <f ca="1">VLOOKUP($C289&amp;"_"&amp;$F289,OFFSET([1]stages!$A$1,0,0,COUNTA([1]stages!$A:$A),MATCH(G$1,[1]stages!$2:$2,0)-MATCH("temp_stage",[1]stages!$2:$2,0)+1),MATCH(G$1,[1]stages!$2:$2,0)-MATCH("temp_stage",[1]stages!$2:$2,0)+1,FALSE)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89" s="3" t="str">
        <f ca="1">VLOOKUP($C289&amp;"_"&amp;$F289,OFFSET([1]stages!$A$1,0,0,COUNTA([1]stages!$A:$A),MATCH(H$1,[1]stages!$2:$2,0)-MATCH("temp_stage",[1]stages!$2:$2,0)+1),MATCH(H$1,[1]stages!$2:$2,0)-MATCH("temp_stage",[1]stages!$2:$2,0)+1,FALSE)</f>
        <v>土日クエスト</v>
      </c>
      <c r="I289" s="18">
        <v>0</v>
      </c>
      <c r="J289" s="5">
        <f>COUNTIF(C$1:C289,C289)</f>
        <v>24</v>
      </c>
      <c r="K289" s="34">
        <v>28</v>
      </c>
      <c r="L289" s="5" t="s">
        <v>17</v>
      </c>
      <c r="M289" s="38" t="str">
        <f>VLOOKUP(K289,[2]stage_hints!$A:$C,3,FALSE)</f>
        <v>ステータス情報は長押しで</v>
      </c>
      <c r="N289" s="39" t="str">
        <f>VLOOKUP(K289,[2]stage_hints!$A:$D,4,FALSE)</f>
        <v>ユニットのアイコンを長押しすると
ステータス情報を確認することができます</v>
      </c>
      <c r="O289" s="20" t="s">
        <v>24</v>
      </c>
      <c r="P289">
        <v>28</v>
      </c>
    </row>
    <row r="290" spans="1:16" x14ac:dyDescent="0.15">
      <c r="A290" s="27" t="str">
        <f t="shared" si="49"/>
        <v>11006_3_25</v>
      </c>
      <c r="B290" s="25" t="s">
        <v>34</v>
      </c>
      <c r="C290" s="4">
        <v>11006</v>
      </c>
      <c r="D290" s="3" t="str">
        <f ca="1">VLOOKUP($C290,OFFSET([1]quests!$A$1,0,0,COUNTA([1]quests!$A:$A),MATCH(D$1,[1]quests!$1:$1,0)-MATCH($C$1,[1]quests!$1:$1,0)+1),MATCH(D$1,[1]quests!$1:$1,0)-MATCH($C$1,[1]quests!$1:$1,0)+1,FALSE)</f>
        <v>【土日限定】 ゴールドカジノ</v>
      </c>
      <c r="E290" s="3" t="str">
        <f ca="1">VLOOKUP($C290,OFFSET([1]quests!$A$1,0,0,COUNTA([1]quests!$A:$A),MATCH(E$1,[1]quests!$1:$1,0)-MATCH($C$1,[1]quests!$1:$1,0)+1),MATCH(E$1,[1]quests!$1:$1,0)-MATCH($C$1,[1]quests!$1:$1,0)+1,FALSE)</f>
        <v>土日クエスト</v>
      </c>
      <c r="F290" s="5">
        <v>3</v>
      </c>
      <c r="G290" s="3" t="str">
        <f ca="1">VLOOKUP($C290&amp;"_"&amp;$F290,OFFSET([1]stages!$A$1,0,0,COUNTA([1]stages!$A:$A),MATCH(G$1,[1]stages!$2:$2,0)-MATCH("temp_stage",[1]stages!$2:$2,0)+1),MATCH(G$1,[1]stages!$2:$2,0)-MATCH("temp_stage",[1]stages!$2:$2,0)+1,FALSE)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0" s="3" t="str">
        <f ca="1">VLOOKUP($C290&amp;"_"&amp;$F290,OFFSET([1]stages!$A$1,0,0,COUNTA([1]stages!$A:$A),MATCH(H$1,[1]stages!$2:$2,0)-MATCH("temp_stage",[1]stages!$2:$2,0)+1),MATCH(H$1,[1]stages!$2:$2,0)-MATCH("temp_stage",[1]stages!$2:$2,0)+1,FALSE)</f>
        <v>土日クエスト</v>
      </c>
      <c r="I290" s="18">
        <v>0</v>
      </c>
      <c r="J290" s="5">
        <f>COUNTIF(C$1:C290,C290)</f>
        <v>25</v>
      </c>
      <c r="K290" s="34">
        <v>29</v>
      </c>
      <c r="L290" s="5" t="s">
        <v>17</v>
      </c>
      <c r="M290" s="38" t="str">
        <f>VLOOKUP(K290,[2]stage_hints!$A:$C,3,FALSE)</f>
        <v>「バグ」のメリット</v>
      </c>
      <c r="N290" s="39" t="str">
        <f>VLOOKUP(K290,[2]stage_hints!$A:$D,4,FALSE)</f>
        <v>ユニットの「バグ」を増やすと
報酬をもらえる確率がアップします</v>
      </c>
      <c r="O290" s="20" t="s">
        <v>24</v>
      </c>
      <c r="P290">
        <v>29</v>
      </c>
    </row>
    <row r="291" spans="1:16" x14ac:dyDescent="0.15">
      <c r="A291" s="27" t="str">
        <f t="shared" ref="A291:A297" si="50">C291&amp;"_"&amp;F291&amp;"_"&amp;J291</f>
        <v>11006_3_26</v>
      </c>
      <c r="B291" s="25" t="s">
        <v>34</v>
      </c>
      <c r="C291" s="4">
        <v>11006</v>
      </c>
      <c r="D291" s="3" t="str">
        <f ca="1">VLOOKUP($C291,OFFSET([1]quests!$A$1,0,0,COUNTA([1]quests!$A:$A),MATCH(D$1,[1]quests!$1:$1,0)-MATCH($C$1,[1]quests!$1:$1,0)+1),MATCH(D$1,[1]quests!$1:$1,0)-MATCH($C$1,[1]quests!$1:$1,0)+1,FALSE)</f>
        <v>【土日限定】 ゴールドカジノ</v>
      </c>
      <c r="E291" s="3" t="str">
        <f ca="1">VLOOKUP($C291,OFFSET([1]quests!$A$1,0,0,COUNTA([1]quests!$A:$A),MATCH(E$1,[1]quests!$1:$1,0)-MATCH($C$1,[1]quests!$1:$1,0)+1),MATCH(E$1,[1]quests!$1:$1,0)-MATCH($C$1,[1]quests!$1:$1,0)+1,FALSE)</f>
        <v>土日クエスト</v>
      </c>
      <c r="F291" s="5">
        <v>3</v>
      </c>
      <c r="G291" s="3" t="str">
        <f ca="1">VLOOKUP($C291&amp;"_"&amp;$F291,OFFSET([1]stages!$A$1,0,0,COUNTA([1]stages!$A:$A),MATCH(G$1,[1]stages!$2:$2,0)-MATCH("temp_stage",[1]stages!$2:$2,0)+1),MATCH(G$1,[1]stages!$2:$2,0)-MATCH("temp_stage",[1]stages!$2:$2,0)+1,FALSE)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1" s="3" t="str">
        <f ca="1">VLOOKUP($C291&amp;"_"&amp;$F291,OFFSET([1]stages!$A$1,0,0,COUNTA([1]stages!$A:$A),MATCH(H$1,[1]stages!$2:$2,0)-MATCH("temp_stage",[1]stages!$2:$2,0)+1),MATCH(H$1,[1]stages!$2:$2,0)-MATCH("temp_stage",[1]stages!$2:$2,0)+1,FALSE)</f>
        <v>土日クエスト</v>
      </c>
      <c r="I291" s="18">
        <v>0</v>
      </c>
      <c r="J291" s="5">
        <f>COUNTIF(C$1:C291,C291)</f>
        <v>26</v>
      </c>
      <c r="K291" s="34">
        <v>30</v>
      </c>
      <c r="L291" s="5" t="s">
        <v>17</v>
      </c>
      <c r="M291" s="38" t="str">
        <f>VLOOKUP(K291,[2]stage_hints!$A:$C,3,FALSE)</f>
        <v>「バグ」の増やし方</v>
      </c>
      <c r="N291" s="39" t="str">
        <f>VLOOKUP(K291,[2]stage_hints!$A:$D,4,FALSE)</f>
        <v>同じユニット同士を強化で合成すると
「バグ」を増やすことができます</v>
      </c>
      <c r="O291" s="20" t="s">
        <v>24</v>
      </c>
      <c r="P291">
        <v>30</v>
      </c>
    </row>
    <row r="292" spans="1:16" x14ac:dyDescent="0.15">
      <c r="A292" s="27" t="str">
        <f t="shared" si="50"/>
        <v>11006_3_27</v>
      </c>
      <c r="B292" s="25" t="s">
        <v>34</v>
      </c>
      <c r="C292" s="4">
        <v>11006</v>
      </c>
      <c r="D292" s="3" t="str">
        <f ca="1">VLOOKUP($C292,OFFSET([1]quests!$A$1,0,0,COUNTA([1]quests!$A:$A),MATCH(D$1,[1]quests!$1:$1,0)-MATCH($C$1,[1]quests!$1:$1,0)+1),MATCH(D$1,[1]quests!$1:$1,0)-MATCH($C$1,[1]quests!$1:$1,0)+1,FALSE)</f>
        <v>【土日限定】 ゴールドカジノ</v>
      </c>
      <c r="E292" s="3" t="str">
        <f ca="1">VLOOKUP($C292,OFFSET([1]quests!$A$1,0,0,COUNTA([1]quests!$A:$A),MATCH(E$1,[1]quests!$1:$1,0)-MATCH($C$1,[1]quests!$1:$1,0)+1),MATCH(E$1,[1]quests!$1:$1,0)-MATCH($C$1,[1]quests!$1:$1,0)+1,FALSE)</f>
        <v>土日クエスト</v>
      </c>
      <c r="F292" s="5">
        <v>3</v>
      </c>
      <c r="G292" s="3" t="str">
        <f ca="1">VLOOKUP($C292&amp;"_"&amp;$F292,OFFSET([1]stages!$A$1,0,0,COUNTA([1]stages!$A:$A),MATCH(G$1,[1]stages!$2:$2,0)-MATCH("temp_stage",[1]stages!$2:$2,0)+1),MATCH(G$1,[1]stages!$2:$2,0)-MATCH("temp_stage",[1]stages!$2:$2,0)+1,FALSE)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2" s="3" t="str">
        <f ca="1">VLOOKUP($C292&amp;"_"&amp;$F292,OFFSET([1]stages!$A$1,0,0,COUNTA([1]stages!$A:$A),MATCH(H$1,[1]stages!$2:$2,0)-MATCH("temp_stage",[1]stages!$2:$2,0)+1),MATCH(H$1,[1]stages!$2:$2,0)-MATCH("temp_stage",[1]stages!$2:$2,0)+1,FALSE)</f>
        <v>土日クエスト</v>
      </c>
      <c r="I292" s="18">
        <v>0</v>
      </c>
      <c r="J292" s="5">
        <f>COUNTIF(C$1:C292,C292)</f>
        <v>27</v>
      </c>
      <c r="K292" s="34">
        <v>31</v>
      </c>
      <c r="L292" s="5" t="s">
        <v>17</v>
      </c>
      <c r="M292" s="38" t="str">
        <f>VLOOKUP(K292,[2]stage_hints!$A:$C,3,FALSE)</f>
        <v>イベントはお知らせでチェック</v>
      </c>
      <c r="N292" s="39" t="str">
        <f>VLOOKUP(K292,[2]stage_hints!$A:$D,4,FALSE)</f>
        <v>イベント限定ユニットを取り忘れないように
お知らせをこまめにチェックしましょう</v>
      </c>
      <c r="O292" s="20" t="s">
        <v>24</v>
      </c>
      <c r="P292">
        <v>31</v>
      </c>
    </row>
    <row r="293" spans="1:16" x14ac:dyDescent="0.15">
      <c r="A293" s="27" t="str">
        <f t="shared" si="50"/>
        <v>11006_3_28</v>
      </c>
      <c r="B293" s="25" t="s">
        <v>34</v>
      </c>
      <c r="C293" s="4">
        <v>11006</v>
      </c>
      <c r="D293" s="3" t="str">
        <f ca="1">VLOOKUP($C293,OFFSET([1]quests!$A$1,0,0,COUNTA([1]quests!$A:$A),MATCH(D$1,[1]quests!$1:$1,0)-MATCH($C$1,[1]quests!$1:$1,0)+1),MATCH(D$1,[1]quests!$1:$1,0)-MATCH($C$1,[1]quests!$1:$1,0)+1,FALSE)</f>
        <v>【土日限定】 ゴールドカジノ</v>
      </c>
      <c r="E293" s="3" t="str">
        <f ca="1">VLOOKUP($C293,OFFSET([1]quests!$A$1,0,0,COUNTA([1]quests!$A:$A),MATCH(E$1,[1]quests!$1:$1,0)-MATCH($C$1,[1]quests!$1:$1,0)+1),MATCH(E$1,[1]quests!$1:$1,0)-MATCH($C$1,[1]quests!$1:$1,0)+1,FALSE)</f>
        <v>土日クエスト</v>
      </c>
      <c r="F293" s="5">
        <v>3</v>
      </c>
      <c r="G293" s="3" t="str">
        <f ca="1">VLOOKUP($C293&amp;"_"&amp;$F293,OFFSET([1]stages!$A$1,0,0,COUNTA([1]stages!$A:$A),MATCH(G$1,[1]stages!$2:$2,0)-MATCH("temp_stage",[1]stages!$2:$2,0)+1),MATCH(G$1,[1]stages!$2:$2,0)-MATCH("temp_stage",[1]stages!$2:$2,0)+1,FALSE)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3" s="3" t="str">
        <f ca="1">VLOOKUP($C293&amp;"_"&amp;$F293,OFFSET([1]stages!$A$1,0,0,COUNTA([1]stages!$A:$A),MATCH(H$1,[1]stages!$2:$2,0)-MATCH("temp_stage",[1]stages!$2:$2,0)+1),MATCH(H$1,[1]stages!$2:$2,0)-MATCH("temp_stage",[1]stages!$2:$2,0)+1,FALSE)</f>
        <v>土日クエスト</v>
      </c>
      <c r="I293" s="18">
        <v>0</v>
      </c>
      <c r="J293" s="5">
        <f>COUNTIF(C$1:C293,C293)</f>
        <v>28</v>
      </c>
      <c r="K293" s="34">
        <v>32</v>
      </c>
      <c r="L293" s="5" t="s">
        <v>17</v>
      </c>
      <c r="M293" s="38" t="str">
        <f>VLOOKUP(K293,[2]stage_hints!$A:$C,3,FALSE)</f>
        <v>敵の連続攻撃には</v>
      </c>
      <c r="N293" s="39" t="str">
        <f>VLOOKUP(K293,[2]stage_hints!$A:$D,4,FALSE)</f>
        <v>カウンタースキルを持つユニットがいれば
ダメージ回数分の反撃ができます</v>
      </c>
      <c r="O293" s="20" t="s">
        <v>24</v>
      </c>
      <c r="P293">
        <v>32</v>
      </c>
    </row>
    <row r="294" spans="1:16" x14ac:dyDescent="0.15">
      <c r="A294" s="27" t="str">
        <f t="shared" si="50"/>
        <v>11006_3_29</v>
      </c>
      <c r="B294" s="25" t="s">
        <v>34</v>
      </c>
      <c r="C294" s="4">
        <v>11006</v>
      </c>
      <c r="D294" s="3" t="str">
        <f ca="1">VLOOKUP($C294,OFFSET([1]quests!$A$1,0,0,COUNTA([1]quests!$A:$A),MATCH(D$1,[1]quests!$1:$1,0)-MATCH($C$1,[1]quests!$1:$1,0)+1),MATCH(D$1,[1]quests!$1:$1,0)-MATCH($C$1,[1]quests!$1:$1,0)+1,FALSE)</f>
        <v>【土日限定】 ゴールドカジノ</v>
      </c>
      <c r="E294" s="3" t="str">
        <f ca="1">VLOOKUP($C294,OFFSET([1]quests!$A$1,0,0,COUNTA([1]quests!$A:$A),MATCH(E$1,[1]quests!$1:$1,0)-MATCH($C$1,[1]quests!$1:$1,0)+1),MATCH(E$1,[1]quests!$1:$1,0)-MATCH($C$1,[1]quests!$1:$1,0)+1,FALSE)</f>
        <v>土日クエスト</v>
      </c>
      <c r="F294" s="5">
        <v>3</v>
      </c>
      <c r="G294" s="3" t="str">
        <f ca="1">VLOOKUP($C294&amp;"_"&amp;$F294,OFFSET([1]stages!$A$1,0,0,COUNTA([1]stages!$A:$A),MATCH(G$1,[1]stages!$2:$2,0)-MATCH("temp_stage",[1]stages!$2:$2,0)+1),MATCH(G$1,[1]stages!$2:$2,0)-MATCH("temp_stage",[1]stages!$2:$2,0)+1,FALSE)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4" s="3" t="str">
        <f ca="1">VLOOKUP($C294&amp;"_"&amp;$F294,OFFSET([1]stages!$A$1,0,0,COUNTA([1]stages!$A:$A),MATCH(H$1,[1]stages!$2:$2,0)-MATCH("temp_stage",[1]stages!$2:$2,0)+1),MATCH(H$1,[1]stages!$2:$2,0)-MATCH("temp_stage",[1]stages!$2:$2,0)+1,FALSE)</f>
        <v>土日クエスト</v>
      </c>
      <c r="I294" s="18">
        <v>0</v>
      </c>
      <c r="J294" s="5">
        <f>COUNTIF(C$1:C294,C294)</f>
        <v>29</v>
      </c>
      <c r="K294" s="34">
        <v>33</v>
      </c>
      <c r="L294" s="5" t="s">
        <v>17</v>
      </c>
      <c r="M294" s="38" t="str">
        <f>VLOOKUP(K294,[2]stage_hints!$A:$C,3,FALSE)</f>
        <v>敵のカウンター攻撃には</v>
      </c>
      <c r="N294" s="39" t="str">
        <f>VLOOKUP(K294,[2]stage_hints!$A:$D,4,FALSE)</f>
        <v>カウンターブレイクスキルを持っていれば
敵のカウンターを解除して攻撃ができます</v>
      </c>
      <c r="O294" s="20" t="s">
        <v>24</v>
      </c>
      <c r="P294">
        <v>33</v>
      </c>
    </row>
    <row r="295" spans="1:16" x14ac:dyDescent="0.15">
      <c r="A295" s="27" t="str">
        <f t="shared" si="50"/>
        <v>11006_3_30</v>
      </c>
      <c r="B295" s="25" t="s">
        <v>34</v>
      </c>
      <c r="C295" s="4">
        <v>11006</v>
      </c>
      <c r="D295" s="3" t="str">
        <f ca="1">VLOOKUP($C295,OFFSET([1]quests!$A$1,0,0,COUNTA([1]quests!$A:$A),MATCH(D$1,[1]quests!$1:$1,0)-MATCH($C$1,[1]quests!$1:$1,0)+1),MATCH(D$1,[1]quests!$1:$1,0)-MATCH($C$1,[1]quests!$1:$1,0)+1,FALSE)</f>
        <v>【土日限定】 ゴールドカジノ</v>
      </c>
      <c r="E295" s="3" t="str">
        <f ca="1">VLOOKUP($C295,OFFSET([1]quests!$A$1,0,0,COUNTA([1]quests!$A:$A),MATCH(E$1,[1]quests!$1:$1,0)-MATCH($C$1,[1]quests!$1:$1,0)+1),MATCH(E$1,[1]quests!$1:$1,0)-MATCH($C$1,[1]quests!$1:$1,0)+1,FALSE)</f>
        <v>土日クエスト</v>
      </c>
      <c r="F295" s="5">
        <v>3</v>
      </c>
      <c r="G295" s="3" t="str">
        <f ca="1">VLOOKUP($C295&amp;"_"&amp;$F295,OFFSET([1]stages!$A$1,0,0,COUNTA([1]stages!$A:$A),MATCH(G$1,[1]stages!$2:$2,0)-MATCH("temp_stage",[1]stages!$2:$2,0)+1),MATCH(G$1,[1]stages!$2:$2,0)-MATCH("temp_stage",[1]stages!$2:$2,0)+1,FALSE)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5" s="3" t="str">
        <f ca="1">VLOOKUP($C295&amp;"_"&amp;$F295,OFFSET([1]stages!$A$1,0,0,COUNTA([1]stages!$A:$A),MATCH(H$1,[1]stages!$2:$2,0)-MATCH("temp_stage",[1]stages!$2:$2,0)+1),MATCH(H$1,[1]stages!$2:$2,0)-MATCH("temp_stage",[1]stages!$2:$2,0)+1,FALSE)</f>
        <v>土日クエスト</v>
      </c>
      <c r="I295" s="18">
        <v>0</v>
      </c>
      <c r="J295" s="5">
        <f>COUNTIF(C$1:C295,C295)</f>
        <v>30</v>
      </c>
      <c r="K295" s="34">
        <v>34</v>
      </c>
      <c r="L295" s="5" t="s">
        <v>17</v>
      </c>
      <c r="M295" s="38" t="str">
        <f>VLOOKUP(K295,[2]stage_hints!$A:$C,3,FALSE)</f>
        <v>ステータスをスキルで下げられたら</v>
      </c>
      <c r="N295" s="39" t="str">
        <f>VLOOKUP(K295,[2]stage_hints!$A:$D,4,FALSE)</f>
        <v>ステータスダウンのスキルを受けたら
ステータスアップスキルで上書きしましょう</v>
      </c>
      <c r="O295" s="20" t="s">
        <v>24</v>
      </c>
      <c r="P295">
        <v>34</v>
      </c>
    </row>
    <row r="296" spans="1:16" x14ac:dyDescent="0.15">
      <c r="A296" s="27" t="str">
        <f t="shared" si="50"/>
        <v>11006_3_31</v>
      </c>
      <c r="B296" s="25" t="s">
        <v>34</v>
      </c>
      <c r="C296" s="4">
        <v>11006</v>
      </c>
      <c r="D296" s="3" t="str">
        <f ca="1">VLOOKUP($C296,OFFSET([1]quests!$A$1,0,0,COUNTA([1]quests!$A:$A),MATCH(D$1,[1]quests!$1:$1,0)-MATCH($C$1,[1]quests!$1:$1,0)+1),MATCH(D$1,[1]quests!$1:$1,0)-MATCH($C$1,[1]quests!$1:$1,0)+1,FALSE)</f>
        <v>【土日限定】 ゴールドカジノ</v>
      </c>
      <c r="E296" s="3" t="str">
        <f ca="1">VLOOKUP($C296,OFFSET([1]quests!$A$1,0,0,COUNTA([1]quests!$A:$A),MATCH(E$1,[1]quests!$1:$1,0)-MATCH($C$1,[1]quests!$1:$1,0)+1),MATCH(E$1,[1]quests!$1:$1,0)-MATCH($C$1,[1]quests!$1:$1,0)+1,FALSE)</f>
        <v>土日クエスト</v>
      </c>
      <c r="F296" s="5">
        <v>3</v>
      </c>
      <c r="G296" s="3" t="str">
        <f ca="1">VLOOKUP($C296&amp;"_"&amp;$F296,OFFSET([1]stages!$A$1,0,0,COUNTA([1]stages!$A:$A),MATCH(G$1,[1]stages!$2:$2,0)-MATCH("temp_stage",[1]stages!$2:$2,0)+1),MATCH(G$1,[1]stages!$2:$2,0)-MATCH("temp_stage",[1]stages!$2:$2,0)+1,FALSE)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6" s="3" t="str">
        <f ca="1">VLOOKUP($C296&amp;"_"&amp;$F296,OFFSET([1]stages!$A$1,0,0,COUNTA([1]stages!$A:$A),MATCH(H$1,[1]stages!$2:$2,0)-MATCH("temp_stage",[1]stages!$2:$2,0)+1),MATCH(H$1,[1]stages!$2:$2,0)-MATCH("temp_stage",[1]stages!$2:$2,0)+1,FALSE)</f>
        <v>土日クエスト</v>
      </c>
      <c r="I296" s="18">
        <v>0</v>
      </c>
      <c r="J296" s="5">
        <f>COUNTIF(C$1:C296,C296)</f>
        <v>31</v>
      </c>
      <c r="K296" s="34">
        <v>35</v>
      </c>
      <c r="L296" s="5" t="s">
        <v>17</v>
      </c>
      <c r="M296" s="38" t="str">
        <f>VLOOKUP(K296,[2]stage_hints!$A:$C,3,FALSE)</f>
        <v>敵のステータスがスキルで上がったら</v>
      </c>
      <c r="N296" s="39" t="str">
        <f>VLOOKUP(K296,[2]stage_hints!$A:$D,4,FALSE)</f>
        <v>敵のステータスがスキルでアップしたときは
ステータスダウンスキルで上書きしましょう</v>
      </c>
      <c r="O296" s="20" t="s">
        <v>24</v>
      </c>
      <c r="P296">
        <v>35</v>
      </c>
    </row>
    <row r="297" spans="1:16" x14ac:dyDescent="0.15">
      <c r="A297" s="27" t="str">
        <f t="shared" si="50"/>
        <v>11006_3_32</v>
      </c>
      <c r="B297" s="25" t="s">
        <v>34</v>
      </c>
      <c r="C297" s="4">
        <v>11006</v>
      </c>
      <c r="D297" s="3" t="str">
        <f ca="1">VLOOKUP($C297,OFFSET([1]quests!$A$1,0,0,COUNTA([1]quests!$A:$A),MATCH(D$1,[1]quests!$1:$1,0)-MATCH($C$1,[1]quests!$1:$1,0)+1),MATCH(D$1,[1]quests!$1:$1,0)-MATCH($C$1,[1]quests!$1:$1,0)+1,FALSE)</f>
        <v>【土日限定】 ゴールドカジノ</v>
      </c>
      <c r="E297" s="3" t="str">
        <f ca="1">VLOOKUP($C297,OFFSET([1]quests!$A$1,0,0,COUNTA([1]quests!$A:$A),MATCH(E$1,[1]quests!$1:$1,0)-MATCH($C$1,[1]quests!$1:$1,0)+1),MATCH(E$1,[1]quests!$1:$1,0)-MATCH($C$1,[1]quests!$1:$1,0)+1,FALSE)</f>
        <v>土日クエスト</v>
      </c>
      <c r="F297" s="5">
        <v>3</v>
      </c>
      <c r="G297" s="3" t="str">
        <f ca="1">VLOOKUP($C297&amp;"_"&amp;$F297,OFFSET([1]stages!$A$1,0,0,COUNTA([1]stages!$A:$A),MATCH(G$1,[1]stages!$2:$2,0)-MATCH("temp_stage",[1]stages!$2:$2,0)+1),MATCH(G$1,[1]stages!$2:$2,0)-MATCH("temp_stage",[1]stages!$2:$2,0)+1,FALSE)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7" s="3" t="str">
        <f ca="1">VLOOKUP($C297&amp;"_"&amp;$F297,OFFSET([1]stages!$A$1,0,0,COUNTA([1]stages!$A:$A),MATCH(H$1,[1]stages!$2:$2,0)-MATCH("temp_stage",[1]stages!$2:$2,0)+1),MATCH(H$1,[1]stages!$2:$2,0)-MATCH("temp_stage",[1]stages!$2:$2,0)+1,FALSE)</f>
        <v>土日クエスト</v>
      </c>
      <c r="I297" s="18">
        <v>0</v>
      </c>
      <c r="J297" s="5">
        <f>COUNTIF(C$1:C297,C297)</f>
        <v>32</v>
      </c>
      <c r="K297" s="34">
        <v>36</v>
      </c>
      <c r="L297" s="5" t="s">
        <v>17</v>
      </c>
      <c r="M297" s="38" t="str">
        <f>VLOOKUP(K297,[2]stage_hints!$A:$C,3,FALSE)</f>
        <v>チャレンジタワーのボス</v>
      </c>
      <c r="N297" s="39" t="str">
        <f>VLOOKUP(K297,[2]stage_hints!$A:$D,4,FALSE)</f>
        <v>チャレンジタワーでのみ登場するボスは
一定確率で獲得することができます</v>
      </c>
      <c r="O297" s="20" t="s">
        <v>24</v>
      </c>
      <c r="P297">
        <v>36</v>
      </c>
    </row>
    <row r="298" spans="1:16" x14ac:dyDescent="0.15">
      <c r="A298" s="27" t="str">
        <f t="shared" ref="A298:A299" si="51">C298&amp;"_"&amp;F298&amp;"_"&amp;J298</f>
        <v>11006_3_33</v>
      </c>
      <c r="B298" s="25" t="s">
        <v>34</v>
      </c>
      <c r="C298" s="4">
        <v>11006</v>
      </c>
      <c r="D298" s="3" t="str">
        <f ca="1">VLOOKUP($C298,OFFSET([1]quests!$A$1,0,0,COUNTA([1]quests!$A:$A),MATCH(D$1,[1]quests!$1:$1,0)-MATCH($C$1,[1]quests!$1:$1,0)+1),MATCH(D$1,[1]quests!$1:$1,0)-MATCH($C$1,[1]quests!$1:$1,0)+1,FALSE)</f>
        <v>【土日限定】 ゴールドカジノ</v>
      </c>
      <c r="E298" s="3" t="str">
        <f ca="1">VLOOKUP($C298,OFFSET([1]quests!$A$1,0,0,COUNTA([1]quests!$A:$A),MATCH(E$1,[1]quests!$1:$1,0)-MATCH($C$1,[1]quests!$1:$1,0)+1),MATCH(E$1,[1]quests!$1:$1,0)-MATCH($C$1,[1]quests!$1:$1,0)+1,FALSE)</f>
        <v>土日クエスト</v>
      </c>
      <c r="F298" s="5">
        <v>3</v>
      </c>
      <c r="G298" s="3" t="str">
        <f ca="1">VLOOKUP($C298&amp;"_"&amp;$F298,OFFSET([1]stages!$A$1,0,0,COUNTA([1]stages!$A:$A),MATCH(G$1,[1]stages!$2:$2,0)-MATCH("temp_stage",[1]stages!$2:$2,0)+1),MATCH(G$1,[1]stages!$2:$2,0)-MATCH("temp_stage",[1]stages!$2:$2,0)+1,FALSE)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8" s="3" t="str">
        <f ca="1">VLOOKUP($C298&amp;"_"&amp;$F298,OFFSET([1]stages!$A$1,0,0,COUNTA([1]stages!$A:$A),MATCH(H$1,[1]stages!$2:$2,0)-MATCH("temp_stage",[1]stages!$2:$2,0)+1),MATCH(H$1,[1]stages!$2:$2,0)-MATCH("temp_stage",[1]stages!$2:$2,0)+1,FALSE)</f>
        <v>土日クエスト</v>
      </c>
      <c r="I298" s="18">
        <v>0</v>
      </c>
      <c r="J298" s="5">
        <f>COUNTIF(C$1:C298,C298)</f>
        <v>33</v>
      </c>
      <c r="K298" s="34">
        <v>37</v>
      </c>
      <c r="L298" s="5" t="s">
        <v>17</v>
      </c>
      <c r="M298" s="38" t="str">
        <f>VLOOKUP(K298,[2]stage_hints!$A:$C,3,FALSE)</f>
        <v>限界突破値の引き継ぎ</v>
      </c>
      <c r="N298" s="39" t="str">
        <f>VLOOKUP(K298,[2]stage_hints!$A:$D,4,FALSE)</f>
        <v>同じユニットを強化で合成すると
限界突破値を引き継げます（覚醒前後も可）</v>
      </c>
      <c r="O298" s="20" t="s">
        <v>24</v>
      </c>
      <c r="P298">
        <v>37</v>
      </c>
    </row>
    <row r="299" spans="1:16" x14ac:dyDescent="0.15">
      <c r="A299" s="27" t="str">
        <f t="shared" si="51"/>
        <v>11106_3_1</v>
      </c>
      <c r="B299" s="25" t="s">
        <v>34</v>
      </c>
      <c r="C299" s="4">
        <v>11106</v>
      </c>
      <c r="D299" s="3" t="str">
        <f ca="1">VLOOKUP($C299,OFFSET([1]quests!$A$1,0,0,COUNTA([1]quests!$A:$A),MATCH(D$1,[1]quests!$1:$1,0)-MATCH($C$1,[1]quests!$1:$1,0)+1),MATCH(D$1,[1]quests!$1:$1,0)-MATCH($C$1,[1]quests!$1:$1,0)+1,FALSE)</f>
        <v>【キャンペーン限定】 ゴールドカジノ</v>
      </c>
      <c r="E299" s="3" t="str">
        <f ca="1">VLOOKUP($C299,OFFSET([1]quests!$A$1,0,0,COUNTA([1]quests!$A:$A),MATCH(E$1,[1]quests!$1:$1,0)-MATCH($C$1,[1]quests!$1:$1,0)+1),MATCH(E$1,[1]quests!$1:$1,0)-MATCH($C$1,[1]quests!$1:$1,0)+1,FALSE)</f>
        <v>土日クエスト1</v>
      </c>
      <c r="F299" s="5">
        <v>3</v>
      </c>
      <c r="G299" s="3" t="str">
        <f ca="1">VLOOKUP($C299&amp;"_"&amp;$F299,OFFSET([1]stages!$A$1,0,0,COUNTA([1]stages!$A:$A),MATCH(G$1,[1]stages!$2:$2,0)-MATCH("temp_stage",[1]stages!$2:$2,0)+1),MATCH(G$1,[1]stages!$2:$2,0)-MATCH("temp_stage",[1]stages!$2:$2,0)+1,FALSE)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299" s="3" t="str">
        <f ca="1">VLOOKUP($C299&amp;"_"&amp;$F299,OFFSET([1]stages!$A$1,0,0,COUNTA([1]stages!$A:$A),MATCH(H$1,[1]stages!$2:$2,0)-MATCH("temp_stage",[1]stages!$2:$2,0)+1),MATCH(H$1,[1]stages!$2:$2,0)-MATCH("temp_stage",[1]stages!$2:$2,0)+1,FALSE)</f>
        <v>土日クエスト1</v>
      </c>
      <c r="I299" s="18">
        <v>0</v>
      </c>
      <c r="J299" s="5">
        <f>COUNTIF(C$1:C299,C299)</f>
        <v>1</v>
      </c>
      <c r="K299" s="34">
        <v>3</v>
      </c>
      <c r="L299" s="5" t="s">
        <v>17</v>
      </c>
      <c r="M299" s="38" t="str">
        <f>VLOOKUP(K299,[2]stage_hints!$A:$C,3,FALSE)</f>
        <v>ターゲット</v>
      </c>
      <c r="N299" s="39" t="str">
        <f>VLOOKUP(K299,[2]stage_hints!$A:$D,4,FALSE)</f>
        <v>敵ユニットをタップすると
その敵を狙い撃ちできます</v>
      </c>
      <c r="O299" s="20" t="s">
        <v>24</v>
      </c>
      <c r="P299">
        <v>3</v>
      </c>
    </row>
    <row r="300" spans="1:16" x14ac:dyDescent="0.15">
      <c r="A300" s="27" t="str">
        <f t="shared" ref="A300:A312" si="52">C300&amp;"_"&amp;F300&amp;"_"&amp;J300</f>
        <v>11106_3_2</v>
      </c>
      <c r="B300" s="25" t="s">
        <v>34</v>
      </c>
      <c r="C300" s="4">
        <v>11106</v>
      </c>
      <c r="D300" s="3" t="str">
        <f ca="1">VLOOKUP($C300,OFFSET([1]quests!$A$1,0,0,COUNTA([1]quests!$A:$A),MATCH(D$1,[1]quests!$1:$1,0)-MATCH($C$1,[1]quests!$1:$1,0)+1),MATCH(D$1,[1]quests!$1:$1,0)-MATCH($C$1,[1]quests!$1:$1,0)+1,FALSE)</f>
        <v>【キャンペーン限定】 ゴールドカジノ</v>
      </c>
      <c r="E300" s="3" t="str">
        <f ca="1">VLOOKUP($C300,OFFSET([1]quests!$A$1,0,0,COUNTA([1]quests!$A:$A),MATCH(E$1,[1]quests!$1:$1,0)-MATCH($C$1,[1]quests!$1:$1,0)+1),MATCH(E$1,[1]quests!$1:$1,0)-MATCH($C$1,[1]quests!$1:$1,0)+1,FALSE)</f>
        <v>土日クエスト1</v>
      </c>
      <c r="F300" s="5">
        <v>3</v>
      </c>
      <c r="G300" s="3" t="str">
        <f ca="1">VLOOKUP($C300&amp;"_"&amp;$F300,OFFSET([1]stages!$A$1,0,0,COUNTA([1]stages!$A:$A),MATCH(G$1,[1]stages!$2:$2,0)-MATCH("temp_stage",[1]stages!$2:$2,0)+1),MATCH(G$1,[1]stages!$2:$2,0)-MATCH("temp_stage",[1]stages!$2:$2,0)+1,FALSE)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0" s="3" t="str">
        <f ca="1">VLOOKUP($C300&amp;"_"&amp;$F300,OFFSET([1]stages!$A$1,0,0,COUNTA([1]stages!$A:$A),MATCH(H$1,[1]stages!$2:$2,0)-MATCH("temp_stage",[1]stages!$2:$2,0)+1),MATCH(H$1,[1]stages!$2:$2,0)-MATCH("temp_stage",[1]stages!$2:$2,0)+1,FALSE)</f>
        <v>土日クエスト1</v>
      </c>
      <c r="I300" s="18">
        <v>0</v>
      </c>
      <c r="J300" s="5">
        <f>COUNTIF(C$1:C300,C300)</f>
        <v>2</v>
      </c>
      <c r="K300" s="34">
        <v>6</v>
      </c>
      <c r="L300" s="5" t="s">
        <v>17</v>
      </c>
      <c r="M300" s="38" t="str">
        <f>VLOOKUP(K300,[2]stage_hints!$A:$C,3,FALSE)</f>
        <v>ユニット強化の属性ボーナス</v>
      </c>
      <c r="N300" s="39" t="str">
        <f>VLOOKUP(K300,[2]stage_hints!$A:$D,4,FALSE)</f>
        <v>同属性ユニットを強化素材にすると
経験値が多くもらえます</v>
      </c>
      <c r="O300" s="20" t="s">
        <v>24</v>
      </c>
      <c r="P300">
        <v>6</v>
      </c>
    </row>
    <row r="301" spans="1:16" x14ac:dyDescent="0.15">
      <c r="A301" s="27" t="str">
        <f t="shared" si="52"/>
        <v>11106_3_3</v>
      </c>
      <c r="B301" s="25" t="s">
        <v>34</v>
      </c>
      <c r="C301" s="4">
        <v>11106</v>
      </c>
      <c r="D301" s="3" t="str">
        <f ca="1">VLOOKUP($C301,OFFSET([1]quests!$A$1,0,0,COUNTA([1]quests!$A:$A),MATCH(D$1,[1]quests!$1:$1,0)-MATCH($C$1,[1]quests!$1:$1,0)+1),MATCH(D$1,[1]quests!$1:$1,0)-MATCH($C$1,[1]quests!$1:$1,0)+1,FALSE)</f>
        <v>【キャンペーン限定】 ゴールドカジノ</v>
      </c>
      <c r="E301" s="3" t="str">
        <f ca="1">VLOOKUP($C301,OFFSET([1]quests!$A$1,0,0,COUNTA([1]quests!$A:$A),MATCH(E$1,[1]quests!$1:$1,0)-MATCH($C$1,[1]quests!$1:$1,0)+1),MATCH(E$1,[1]quests!$1:$1,0)-MATCH($C$1,[1]quests!$1:$1,0)+1,FALSE)</f>
        <v>土日クエスト1</v>
      </c>
      <c r="F301" s="5">
        <v>3</v>
      </c>
      <c r="G301" s="3" t="str">
        <f ca="1">VLOOKUP($C301&amp;"_"&amp;$F301,OFFSET([1]stages!$A$1,0,0,COUNTA([1]stages!$A:$A),MATCH(G$1,[1]stages!$2:$2,0)-MATCH("temp_stage",[1]stages!$2:$2,0)+1),MATCH(G$1,[1]stages!$2:$2,0)-MATCH("temp_stage",[1]stages!$2:$2,0)+1,FALSE)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1" s="3" t="str">
        <f ca="1">VLOOKUP($C301&amp;"_"&amp;$F301,OFFSET([1]stages!$A$1,0,0,COUNTA([1]stages!$A:$A),MATCH(H$1,[1]stages!$2:$2,0)-MATCH("temp_stage",[1]stages!$2:$2,0)+1),MATCH(H$1,[1]stages!$2:$2,0)-MATCH("temp_stage",[1]stages!$2:$2,0)+1,FALSE)</f>
        <v>土日クエスト1</v>
      </c>
      <c r="I301" s="18">
        <v>0</v>
      </c>
      <c r="J301" s="5">
        <f>COUNTIF(C$1:C301,C301)</f>
        <v>3</v>
      </c>
      <c r="K301" s="34">
        <v>7</v>
      </c>
      <c r="L301" s="5" t="s">
        <v>17</v>
      </c>
      <c r="M301" s="38" t="str">
        <f>VLOOKUP(K301,[2]stage_hints!$A:$C,3,FALSE)</f>
        <v>メタルダックで経験値を獲得</v>
      </c>
      <c r="N301" s="39" t="str">
        <f>VLOOKUP(K301,[2]stage_hints!$A:$D,4,FALSE)</f>
        <v>「メタルなアヒル」を強化素材にすると
大量の経験値がもらえます</v>
      </c>
      <c r="O301" s="20" t="s">
        <v>24</v>
      </c>
      <c r="P301">
        <v>7</v>
      </c>
    </row>
    <row r="302" spans="1:16" x14ac:dyDescent="0.15">
      <c r="A302" s="27" t="str">
        <f t="shared" si="52"/>
        <v>11106_3_4</v>
      </c>
      <c r="B302" s="25" t="s">
        <v>34</v>
      </c>
      <c r="C302" s="4">
        <v>11106</v>
      </c>
      <c r="D302" s="3" t="str">
        <f ca="1">VLOOKUP($C302,OFFSET([1]quests!$A$1,0,0,COUNTA([1]quests!$A:$A),MATCH(D$1,[1]quests!$1:$1,0)-MATCH($C$1,[1]quests!$1:$1,0)+1),MATCH(D$1,[1]quests!$1:$1,0)-MATCH($C$1,[1]quests!$1:$1,0)+1,FALSE)</f>
        <v>【キャンペーン限定】 ゴールドカジノ</v>
      </c>
      <c r="E302" s="3" t="str">
        <f ca="1">VLOOKUP($C302,OFFSET([1]quests!$A$1,0,0,COUNTA([1]quests!$A:$A),MATCH(E$1,[1]quests!$1:$1,0)-MATCH($C$1,[1]quests!$1:$1,0)+1),MATCH(E$1,[1]quests!$1:$1,0)-MATCH($C$1,[1]quests!$1:$1,0)+1,FALSE)</f>
        <v>土日クエスト1</v>
      </c>
      <c r="F302" s="5">
        <v>3</v>
      </c>
      <c r="G302" s="3" t="str">
        <f ca="1">VLOOKUP($C302&amp;"_"&amp;$F302,OFFSET([1]stages!$A$1,0,0,COUNTA([1]stages!$A:$A),MATCH(G$1,[1]stages!$2:$2,0)-MATCH("temp_stage",[1]stages!$2:$2,0)+1),MATCH(G$1,[1]stages!$2:$2,0)-MATCH("temp_stage",[1]stages!$2:$2,0)+1,FALSE)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2" s="3" t="str">
        <f ca="1">VLOOKUP($C302&amp;"_"&amp;$F302,OFFSET([1]stages!$A$1,0,0,COUNTA([1]stages!$A:$A),MATCH(H$1,[1]stages!$2:$2,0)-MATCH("temp_stage",[1]stages!$2:$2,0)+1),MATCH(H$1,[1]stages!$2:$2,0)-MATCH("temp_stage",[1]stages!$2:$2,0)+1,FALSE)</f>
        <v>土日クエスト1</v>
      </c>
      <c r="I302" s="18">
        <v>0</v>
      </c>
      <c r="J302" s="5">
        <f>COUNTIF(C$1:C302,C302)</f>
        <v>4</v>
      </c>
      <c r="K302" s="34">
        <v>8</v>
      </c>
      <c r="L302" s="5" t="s">
        <v>17</v>
      </c>
      <c r="M302" s="38" t="str">
        <f>VLOOKUP(K302,[2]stage_hints!$A:$C,3,FALSE)</f>
        <v>ゲリラクエストは要チェック</v>
      </c>
      <c r="N302" s="39" t="str">
        <f>VLOOKUP(K302,[2]stage_hints!$A:$D,4,FALSE)</f>
        <v>時間限定の「アヒル捕獲作戦」では
経験値素材ユニットが多く手に入ります</v>
      </c>
      <c r="O302" s="20" t="s">
        <v>24</v>
      </c>
      <c r="P302">
        <v>8</v>
      </c>
    </row>
    <row r="303" spans="1:16" x14ac:dyDescent="0.15">
      <c r="A303" s="27" t="str">
        <f t="shared" si="52"/>
        <v>11106_3_5</v>
      </c>
      <c r="B303" s="25" t="s">
        <v>34</v>
      </c>
      <c r="C303" s="4">
        <v>11106</v>
      </c>
      <c r="D303" s="3" t="str">
        <f ca="1">VLOOKUP($C303,OFFSET([1]quests!$A$1,0,0,COUNTA([1]quests!$A:$A),MATCH(D$1,[1]quests!$1:$1,0)-MATCH($C$1,[1]quests!$1:$1,0)+1),MATCH(D$1,[1]quests!$1:$1,0)-MATCH($C$1,[1]quests!$1:$1,0)+1,FALSE)</f>
        <v>【キャンペーン限定】 ゴールドカジノ</v>
      </c>
      <c r="E303" s="3" t="str">
        <f ca="1">VLOOKUP($C303,OFFSET([1]quests!$A$1,0,0,COUNTA([1]quests!$A:$A),MATCH(E$1,[1]quests!$1:$1,0)-MATCH($C$1,[1]quests!$1:$1,0)+1),MATCH(E$1,[1]quests!$1:$1,0)-MATCH($C$1,[1]quests!$1:$1,0)+1,FALSE)</f>
        <v>土日クエスト1</v>
      </c>
      <c r="F303" s="5">
        <v>3</v>
      </c>
      <c r="G303" s="3" t="str">
        <f ca="1">VLOOKUP($C303&amp;"_"&amp;$F303,OFFSET([1]stages!$A$1,0,0,COUNTA([1]stages!$A:$A),MATCH(G$1,[1]stages!$2:$2,0)-MATCH("temp_stage",[1]stages!$2:$2,0)+1),MATCH(G$1,[1]stages!$2:$2,0)-MATCH("temp_stage",[1]stages!$2:$2,0)+1,FALSE)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3" s="3" t="str">
        <f ca="1">VLOOKUP($C303&amp;"_"&amp;$F303,OFFSET([1]stages!$A$1,0,0,COUNTA([1]stages!$A:$A),MATCH(H$1,[1]stages!$2:$2,0)-MATCH("temp_stage",[1]stages!$2:$2,0)+1),MATCH(H$1,[1]stages!$2:$2,0)-MATCH("temp_stage",[1]stages!$2:$2,0)+1,FALSE)</f>
        <v>土日クエスト1</v>
      </c>
      <c r="I303" s="18">
        <v>0</v>
      </c>
      <c r="J303" s="5">
        <f>COUNTIF(C$1:C303,C303)</f>
        <v>5</v>
      </c>
      <c r="K303" s="34">
        <v>9</v>
      </c>
      <c r="L303" s="5" t="s">
        <v>17</v>
      </c>
      <c r="M303" s="38" t="str">
        <f>VLOOKUP(K303,[2]stage_hints!$A:$C,3,FALSE)</f>
        <v>ゴールドダックでビットを獲得</v>
      </c>
      <c r="N303" s="39" t="str">
        <f>VLOOKUP(K303,[2]stage_hints!$A:$D,4,FALSE)</f>
        <v>「ゴールドなアヒル」を売却すると
大量のビットがもらえます</v>
      </c>
      <c r="O303" s="20" t="s">
        <v>24</v>
      </c>
      <c r="P303">
        <v>9</v>
      </c>
    </row>
    <row r="304" spans="1:16" x14ac:dyDescent="0.15">
      <c r="A304" s="27" t="str">
        <f t="shared" si="52"/>
        <v>11106_3_6</v>
      </c>
      <c r="B304" s="25" t="s">
        <v>34</v>
      </c>
      <c r="C304" s="4">
        <v>11106</v>
      </c>
      <c r="D304" s="3" t="str">
        <f ca="1">VLOOKUP($C304,OFFSET([1]quests!$A$1,0,0,COUNTA([1]quests!$A:$A),MATCH(D$1,[1]quests!$1:$1,0)-MATCH($C$1,[1]quests!$1:$1,0)+1),MATCH(D$1,[1]quests!$1:$1,0)-MATCH($C$1,[1]quests!$1:$1,0)+1,FALSE)</f>
        <v>【キャンペーン限定】 ゴールドカジノ</v>
      </c>
      <c r="E304" s="3" t="str">
        <f ca="1">VLOOKUP($C304,OFFSET([1]quests!$A$1,0,0,COUNTA([1]quests!$A:$A),MATCH(E$1,[1]quests!$1:$1,0)-MATCH($C$1,[1]quests!$1:$1,0)+1),MATCH(E$1,[1]quests!$1:$1,0)-MATCH($C$1,[1]quests!$1:$1,0)+1,FALSE)</f>
        <v>土日クエスト1</v>
      </c>
      <c r="F304" s="5">
        <v>3</v>
      </c>
      <c r="G304" s="3" t="str">
        <f ca="1">VLOOKUP($C304&amp;"_"&amp;$F304,OFFSET([1]stages!$A$1,0,0,COUNTA([1]stages!$A:$A),MATCH(G$1,[1]stages!$2:$2,0)-MATCH("temp_stage",[1]stages!$2:$2,0)+1),MATCH(G$1,[1]stages!$2:$2,0)-MATCH("temp_stage",[1]stages!$2:$2,0)+1,FALSE)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4" s="3" t="str">
        <f ca="1">VLOOKUP($C304&amp;"_"&amp;$F304,OFFSET([1]stages!$A$1,0,0,COUNTA([1]stages!$A:$A),MATCH(H$1,[1]stages!$2:$2,0)-MATCH("temp_stage",[1]stages!$2:$2,0)+1),MATCH(H$1,[1]stages!$2:$2,0)-MATCH("temp_stage",[1]stages!$2:$2,0)+1,FALSE)</f>
        <v>土日クエスト1</v>
      </c>
      <c r="I304" s="18">
        <v>0</v>
      </c>
      <c r="J304" s="5">
        <f>COUNTIF(C$1:C304,C304)</f>
        <v>6</v>
      </c>
      <c r="K304" s="34">
        <v>10</v>
      </c>
      <c r="L304" s="5" t="s">
        <v>17</v>
      </c>
      <c r="M304" s="38" t="str">
        <f>VLOOKUP(K304,[2]stage_hints!$A:$C,3,FALSE)</f>
        <v>土日に大量のビットを獲得</v>
      </c>
      <c r="N304" s="39" t="str">
        <f>VLOOKUP(K304,[2]stage_hints!$A:$D,4,FALSE)</f>
        <v>土日限定の「ゴールドカジノ」では
売却素材ユニットが多く手に入ります</v>
      </c>
      <c r="O304" s="20" t="s">
        <v>24</v>
      </c>
      <c r="P304">
        <v>10</v>
      </c>
    </row>
    <row r="305" spans="1:16" x14ac:dyDescent="0.15">
      <c r="A305" s="27" t="str">
        <f t="shared" si="52"/>
        <v>11106_3_7</v>
      </c>
      <c r="B305" s="25" t="s">
        <v>34</v>
      </c>
      <c r="C305" s="4">
        <v>11106</v>
      </c>
      <c r="D305" s="3" t="str">
        <f ca="1">VLOOKUP($C305,OFFSET([1]quests!$A$1,0,0,COUNTA([1]quests!$A:$A),MATCH(D$1,[1]quests!$1:$1,0)-MATCH($C$1,[1]quests!$1:$1,0)+1),MATCH(D$1,[1]quests!$1:$1,0)-MATCH($C$1,[1]quests!$1:$1,0)+1,FALSE)</f>
        <v>【キャンペーン限定】 ゴールドカジノ</v>
      </c>
      <c r="E305" s="3" t="str">
        <f ca="1">VLOOKUP($C305,OFFSET([1]quests!$A$1,0,0,COUNTA([1]quests!$A:$A),MATCH(E$1,[1]quests!$1:$1,0)-MATCH($C$1,[1]quests!$1:$1,0)+1),MATCH(E$1,[1]quests!$1:$1,0)-MATCH($C$1,[1]quests!$1:$1,0)+1,FALSE)</f>
        <v>土日クエスト1</v>
      </c>
      <c r="F305" s="5">
        <v>3</v>
      </c>
      <c r="G305" s="3" t="str">
        <f ca="1">VLOOKUP($C305&amp;"_"&amp;$F305,OFFSET([1]stages!$A$1,0,0,COUNTA([1]stages!$A:$A),MATCH(G$1,[1]stages!$2:$2,0)-MATCH("temp_stage",[1]stages!$2:$2,0)+1),MATCH(G$1,[1]stages!$2:$2,0)-MATCH("temp_stage",[1]stages!$2:$2,0)+1,FALSE)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5" s="3" t="str">
        <f ca="1">VLOOKUP($C305&amp;"_"&amp;$F305,OFFSET([1]stages!$A$1,0,0,COUNTA([1]stages!$A:$A),MATCH(H$1,[1]stages!$2:$2,0)-MATCH("temp_stage",[1]stages!$2:$2,0)+1),MATCH(H$1,[1]stages!$2:$2,0)-MATCH("temp_stage",[1]stages!$2:$2,0)+1,FALSE)</f>
        <v>土日クエスト1</v>
      </c>
      <c r="I305" s="18">
        <v>0</v>
      </c>
      <c r="J305" s="5">
        <f>COUNTIF(C$1:C305,C305)</f>
        <v>7</v>
      </c>
      <c r="K305" s="34">
        <v>11</v>
      </c>
      <c r="L305" s="5" t="s">
        <v>17</v>
      </c>
      <c r="M305" s="38" t="str">
        <f>VLOOKUP(K305,[2]stage_hints!$A:$C,3,FALSE)</f>
        <v>ランク解放クエスト</v>
      </c>
      <c r="N305" s="39" t="str">
        <f>VLOOKUP(K305,[2]stage_hints!$A:$D,4,FALSE)</f>
        <v>一定ランクに到達すると
報酬付きのランク開放クエストが現れます</v>
      </c>
      <c r="O305" s="20" t="s">
        <v>24</v>
      </c>
      <c r="P305">
        <v>11</v>
      </c>
    </row>
    <row r="306" spans="1:16" x14ac:dyDescent="0.15">
      <c r="A306" s="27" t="str">
        <f t="shared" si="52"/>
        <v>11106_3_8</v>
      </c>
      <c r="B306" s="25" t="s">
        <v>34</v>
      </c>
      <c r="C306" s="4">
        <v>11106</v>
      </c>
      <c r="D306" s="3" t="str">
        <f ca="1">VLOOKUP($C306,OFFSET([1]quests!$A$1,0,0,COUNTA([1]quests!$A:$A),MATCH(D$1,[1]quests!$1:$1,0)-MATCH($C$1,[1]quests!$1:$1,0)+1),MATCH(D$1,[1]quests!$1:$1,0)-MATCH($C$1,[1]quests!$1:$1,0)+1,FALSE)</f>
        <v>【キャンペーン限定】 ゴールドカジノ</v>
      </c>
      <c r="E306" s="3" t="str">
        <f ca="1">VLOOKUP($C306,OFFSET([1]quests!$A$1,0,0,COUNTA([1]quests!$A:$A),MATCH(E$1,[1]quests!$1:$1,0)-MATCH($C$1,[1]quests!$1:$1,0)+1),MATCH(E$1,[1]quests!$1:$1,0)-MATCH($C$1,[1]quests!$1:$1,0)+1,FALSE)</f>
        <v>土日クエスト1</v>
      </c>
      <c r="F306" s="5">
        <v>3</v>
      </c>
      <c r="G306" s="3" t="str">
        <f ca="1">VLOOKUP($C306&amp;"_"&amp;$F306,OFFSET([1]stages!$A$1,0,0,COUNTA([1]stages!$A:$A),MATCH(G$1,[1]stages!$2:$2,0)-MATCH("temp_stage",[1]stages!$2:$2,0)+1),MATCH(G$1,[1]stages!$2:$2,0)-MATCH("temp_stage",[1]stages!$2:$2,0)+1,FALSE)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6" s="3" t="str">
        <f ca="1">VLOOKUP($C306&amp;"_"&amp;$F306,OFFSET([1]stages!$A$1,0,0,COUNTA([1]stages!$A:$A),MATCH(H$1,[1]stages!$2:$2,0)-MATCH("temp_stage",[1]stages!$2:$2,0)+1),MATCH(H$1,[1]stages!$2:$2,0)-MATCH("temp_stage",[1]stages!$2:$2,0)+1,FALSE)</f>
        <v>土日クエスト1</v>
      </c>
      <c r="I306" s="18">
        <v>0</v>
      </c>
      <c r="J306" s="5">
        <f>COUNTIF(C$1:C306,C306)</f>
        <v>8</v>
      </c>
      <c r="K306" s="34">
        <v>12</v>
      </c>
      <c r="L306" s="5" t="s">
        <v>17</v>
      </c>
      <c r="M306" s="38" t="str">
        <f>VLOOKUP(K306,[2]stage_hints!$A:$C,3,FALSE)</f>
        <v>ユニットのお気に入り登録</v>
      </c>
      <c r="N306" s="39" t="str">
        <f>VLOOKUP(K306,[2]stage_hints!$A:$D,4,FALSE)</f>
        <v>大事なユニットを誤って消さないように
フォルダから「お気に入り登録」しましょう</v>
      </c>
      <c r="O306" s="20" t="s">
        <v>24</v>
      </c>
      <c r="P306">
        <v>12</v>
      </c>
    </row>
    <row r="307" spans="1:16" x14ac:dyDescent="0.15">
      <c r="A307" s="27" t="str">
        <f t="shared" si="52"/>
        <v>11106_3_9</v>
      </c>
      <c r="B307" s="25" t="s">
        <v>34</v>
      </c>
      <c r="C307" s="4">
        <v>11106</v>
      </c>
      <c r="D307" s="3" t="str">
        <f ca="1">VLOOKUP($C307,OFFSET([1]quests!$A$1,0,0,COUNTA([1]quests!$A:$A),MATCH(D$1,[1]quests!$1:$1,0)-MATCH($C$1,[1]quests!$1:$1,0)+1),MATCH(D$1,[1]quests!$1:$1,0)-MATCH($C$1,[1]quests!$1:$1,0)+1,FALSE)</f>
        <v>【キャンペーン限定】 ゴールドカジノ</v>
      </c>
      <c r="E307" s="3" t="str">
        <f ca="1">VLOOKUP($C307,OFFSET([1]quests!$A$1,0,0,COUNTA([1]quests!$A:$A),MATCH(E$1,[1]quests!$1:$1,0)-MATCH($C$1,[1]quests!$1:$1,0)+1),MATCH(E$1,[1]quests!$1:$1,0)-MATCH($C$1,[1]quests!$1:$1,0)+1,FALSE)</f>
        <v>土日クエスト1</v>
      </c>
      <c r="F307" s="5">
        <v>3</v>
      </c>
      <c r="G307" s="3" t="str">
        <f ca="1">VLOOKUP($C307&amp;"_"&amp;$F307,OFFSET([1]stages!$A$1,0,0,COUNTA([1]stages!$A:$A),MATCH(G$1,[1]stages!$2:$2,0)-MATCH("temp_stage",[1]stages!$2:$2,0)+1),MATCH(G$1,[1]stages!$2:$2,0)-MATCH("temp_stage",[1]stages!$2:$2,0)+1,FALSE)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7" s="3" t="str">
        <f ca="1">VLOOKUP($C307&amp;"_"&amp;$F307,OFFSET([1]stages!$A$1,0,0,COUNTA([1]stages!$A:$A),MATCH(H$1,[1]stages!$2:$2,0)-MATCH("temp_stage",[1]stages!$2:$2,0)+1),MATCH(H$1,[1]stages!$2:$2,0)-MATCH("temp_stage",[1]stages!$2:$2,0)+1,FALSE)</f>
        <v>土日クエスト1</v>
      </c>
      <c r="I307" s="18">
        <v>0</v>
      </c>
      <c r="J307" s="5">
        <f>COUNTIF(C$1:C307,C307)</f>
        <v>9</v>
      </c>
      <c r="K307" s="34">
        <v>13</v>
      </c>
      <c r="L307" s="5" t="s">
        <v>17</v>
      </c>
      <c r="M307" s="38" t="str">
        <f>VLOOKUP(K307,[2]stage_hints!$A:$C,3,FALSE)</f>
        <v>ユニットの覚醒</v>
      </c>
      <c r="N307" s="39" t="str">
        <f>VLOOKUP(K307,[2]stage_hints!$A:$D,4,FALSE)</f>
        <v>ユニットを覚醒させると
比べものにならない強さが手に入ります</v>
      </c>
      <c r="O307" s="20" t="s">
        <v>24</v>
      </c>
      <c r="P307">
        <v>13</v>
      </c>
    </row>
    <row r="308" spans="1:16" x14ac:dyDescent="0.15">
      <c r="A308" s="27" t="str">
        <f t="shared" si="52"/>
        <v>11106_3_10</v>
      </c>
      <c r="B308" s="25" t="s">
        <v>34</v>
      </c>
      <c r="C308" s="4">
        <v>11106</v>
      </c>
      <c r="D308" s="3" t="str">
        <f ca="1">VLOOKUP($C308,OFFSET([1]quests!$A$1,0,0,COUNTA([1]quests!$A:$A),MATCH(D$1,[1]quests!$1:$1,0)-MATCH($C$1,[1]quests!$1:$1,0)+1),MATCH(D$1,[1]quests!$1:$1,0)-MATCH($C$1,[1]quests!$1:$1,0)+1,FALSE)</f>
        <v>【キャンペーン限定】 ゴールドカジノ</v>
      </c>
      <c r="E308" s="3" t="str">
        <f ca="1">VLOOKUP($C308,OFFSET([1]quests!$A$1,0,0,COUNTA([1]quests!$A:$A),MATCH(E$1,[1]quests!$1:$1,0)-MATCH($C$1,[1]quests!$1:$1,0)+1),MATCH(E$1,[1]quests!$1:$1,0)-MATCH($C$1,[1]quests!$1:$1,0)+1,FALSE)</f>
        <v>土日クエスト1</v>
      </c>
      <c r="F308" s="5">
        <v>3</v>
      </c>
      <c r="G308" s="3" t="str">
        <f ca="1">VLOOKUP($C308&amp;"_"&amp;$F308,OFFSET([1]stages!$A$1,0,0,COUNTA([1]stages!$A:$A),MATCH(G$1,[1]stages!$2:$2,0)-MATCH("temp_stage",[1]stages!$2:$2,0)+1),MATCH(G$1,[1]stages!$2:$2,0)-MATCH("temp_stage",[1]stages!$2:$2,0)+1,FALSE)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8" s="3" t="str">
        <f ca="1">VLOOKUP($C308&amp;"_"&amp;$F308,OFFSET([1]stages!$A$1,0,0,COUNTA([1]stages!$A:$A),MATCH(H$1,[1]stages!$2:$2,0)-MATCH("temp_stage",[1]stages!$2:$2,0)+1),MATCH(H$1,[1]stages!$2:$2,0)-MATCH("temp_stage",[1]stages!$2:$2,0)+1,FALSE)</f>
        <v>土日クエスト1</v>
      </c>
      <c r="I308" s="18">
        <v>0</v>
      </c>
      <c r="J308" s="5">
        <f>COUNTIF(C$1:C308,C308)</f>
        <v>10</v>
      </c>
      <c r="K308" s="34">
        <v>14</v>
      </c>
      <c r="L308" s="5" t="s">
        <v>17</v>
      </c>
      <c r="M308" s="38" t="str">
        <f>VLOOKUP(K308,[2]stage_hints!$A:$C,3,FALSE)</f>
        <v>覚醒するにはレベルを最大に</v>
      </c>
      <c r="N308" s="39" t="str">
        <f>VLOOKUP(K308,[2]stage_hints!$A:$D,4,FALSE)</f>
        <v>覚醒するにはユニットのレベルを
最大まで上げる必要があります</v>
      </c>
      <c r="O308" s="20" t="s">
        <v>24</v>
      </c>
      <c r="P308">
        <v>14</v>
      </c>
    </row>
    <row r="309" spans="1:16" x14ac:dyDescent="0.15">
      <c r="A309" s="27" t="str">
        <f t="shared" si="52"/>
        <v>11106_3_11</v>
      </c>
      <c r="B309" s="25" t="s">
        <v>34</v>
      </c>
      <c r="C309" s="4">
        <v>11106</v>
      </c>
      <c r="D309" s="3" t="str">
        <f ca="1">VLOOKUP($C309,OFFSET([1]quests!$A$1,0,0,COUNTA([1]quests!$A:$A),MATCH(D$1,[1]quests!$1:$1,0)-MATCH($C$1,[1]quests!$1:$1,0)+1),MATCH(D$1,[1]quests!$1:$1,0)-MATCH($C$1,[1]quests!$1:$1,0)+1,FALSE)</f>
        <v>【キャンペーン限定】 ゴールドカジノ</v>
      </c>
      <c r="E309" s="3" t="str">
        <f ca="1">VLOOKUP($C309,OFFSET([1]quests!$A$1,0,0,COUNTA([1]quests!$A:$A),MATCH(E$1,[1]quests!$1:$1,0)-MATCH($C$1,[1]quests!$1:$1,0)+1),MATCH(E$1,[1]quests!$1:$1,0)-MATCH($C$1,[1]quests!$1:$1,0)+1,FALSE)</f>
        <v>土日クエスト1</v>
      </c>
      <c r="F309" s="5">
        <v>3</v>
      </c>
      <c r="G309" s="3" t="str">
        <f ca="1">VLOOKUP($C309&amp;"_"&amp;$F309,OFFSET([1]stages!$A$1,0,0,COUNTA([1]stages!$A:$A),MATCH(G$1,[1]stages!$2:$2,0)-MATCH("temp_stage",[1]stages!$2:$2,0)+1),MATCH(G$1,[1]stages!$2:$2,0)-MATCH("temp_stage",[1]stages!$2:$2,0)+1,FALSE)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09" s="3" t="str">
        <f ca="1">VLOOKUP($C309&amp;"_"&amp;$F309,OFFSET([1]stages!$A$1,0,0,COUNTA([1]stages!$A:$A),MATCH(H$1,[1]stages!$2:$2,0)-MATCH("temp_stage",[1]stages!$2:$2,0)+1),MATCH(H$1,[1]stages!$2:$2,0)-MATCH("temp_stage",[1]stages!$2:$2,0)+1,FALSE)</f>
        <v>土日クエスト1</v>
      </c>
      <c r="I309" s="18">
        <v>0</v>
      </c>
      <c r="J309" s="5">
        <f>COUNTIF(C$1:C309,C309)</f>
        <v>11</v>
      </c>
      <c r="K309" s="34">
        <v>15</v>
      </c>
      <c r="L309" s="5" t="s">
        <v>17</v>
      </c>
      <c r="M309" s="38" t="str">
        <f>VLOOKUP(K309,[2]stage_hints!$A:$C,3,FALSE)</f>
        <v>覚醒素材を獲得</v>
      </c>
      <c r="N309" s="39" t="str">
        <f>VLOOKUP(K309,[2]stage_hints!$A:$D,4,FALSE)</f>
        <v>「曜日クエスト」では
ユニットの覚醒に必要な素材が手に入ります</v>
      </c>
      <c r="O309" s="20" t="s">
        <v>24</v>
      </c>
      <c r="P309">
        <v>15</v>
      </c>
    </row>
    <row r="310" spans="1:16" x14ac:dyDescent="0.15">
      <c r="A310" s="27" t="str">
        <f t="shared" si="52"/>
        <v>11106_3_12</v>
      </c>
      <c r="B310" s="25" t="s">
        <v>34</v>
      </c>
      <c r="C310" s="4">
        <v>11106</v>
      </c>
      <c r="D310" s="3" t="str">
        <f ca="1">VLOOKUP($C310,OFFSET([1]quests!$A$1,0,0,COUNTA([1]quests!$A:$A),MATCH(D$1,[1]quests!$1:$1,0)-MATCH($C$1,[1]quests!$1:$1,0)+1),MATCH(D$1,[1]quests!$1:$1,0)-MATCH($C$1,[1]quests!$1:$1,0)+1,FALSE)</f>
        <v>【キャンペーン限定】 ゴールドカジノ</v>
      </c>
      <c r="E310" s="3" t="str">
        <f ca="1">VLOOKUP($C310,OFFSET([1]quests!$A$1,0,0,COUNTA([1]quests!$A:$A),MATCH(E$1,[1]quests!$1:$1,0)-MATCH($C$1,[1]quests!$1:$1,0)+1),MATCH(E$1,[1]quests!$1:$1,0)-MATCH($C$1,[1]quests!$1:$1,0)+1,FALSE)</f>
        <v>土日クエスト1</v>
      </c>
      <c r="F310" s="5">
        <v>3</v>
      </c>
      <c r="G310" s="3" t="str">
        <f ca="1">VLOOKUP($C310&amp;"_"&amp;$F310,OFFSET([1]stages!$A$1,0,0,COUNTA([1]stages!$A:$A),MATCH(G$1,[1]stages!$2:$2,0)-MATCH("temp_stage",[1]stages!$2:$2,0)+1),MATCH(G$1,[1]stages!$2:$2,0)-MATCH("temp_stage",[1]stages!$2:$2,0)+1,FALSE)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0" s="3" t="str">
        <f ca="1">VLOOKUP($C310&amp;"_"&amp;$F310,OFFSET([1]stages!$A$1,0,0,COUNTA([1]stages!$A:$A),MATCH(H$1,[1]stages!$2:$2,0)-MATCH("temp_stage",[1]stages!$2:$2,0)+1),MATCH(H$1,[1]stages!$2:$2,0)-MATCH("temp_stage",[1]stages!$2:$2,0)+1,FALSE)</f>
        <v>土日クエスト1</v>
      </c>
      <c r="I310" s="18">
        <v>0</v>
      </c>
      <c r="J310" s="5">
        <f>COUNTIF(C$1:C310,C310)</f>
        <v>12</v>
      </c>
      <c r="K310" s="34">
        <v>16</v>
      </c>
      <c r="L310" s="5" t="s">
        <v>17</v>
      </c>
      <c r="M310" s="38" t="str">
        <f>VLOOKUP(K310,[2]stage_hints!$A:$C,3,FALSE)</f>
        <v>マルチプレイのメリット（その1）</v>
      </c>
      <c r="N310" s="39" t="str">
        <f>VLOOKUP(K310,[2]stage_hints!$A:$D,4,FALSE)</f>
        <v>他のプレイヤーとマルチプレイで遊ぶと
ポリゴンがもらえます（100人まで）</v>
      </c>
      <c r="O310" s="20" t="s">
        <v>24</v>
      </c>
      <c r="P310">
        <v>16</v>
      </c>
    </row>
    <row r="311" spans="1:16" x14ac:dyDescent="0.15">
      <c r="A311" s="27" t="str">
        <f t="shared" si="52"/>
        <v>11106_3_13</v>
      </c>
      <c r="B311" s="25" t="s">
        <v>34</v>
      </c>
      <c r="C311" s="4">
        <v>11106</v>
      </c>
      <c r="D311" s="3" t="str">
        <f ca="1">VLOOKUP($C311,OFFSET([1]quests!$A$1,0,0,COUNTA([1]quests!$A:$A),MATCH(D$1,[1]quests!$1:$1,0)-MATCH($C$1,[1]quests!$1:$1,0)+1),MATCH(D$1,[1]quests!$1:$1,0)-MATCH($C$1,[1]quests!$1:$1,0)+1,FALSE)</f>
        <v>【キャンペーン限定】 ゴールドカジノ</v>
      </c>
      <c r="E311" s="3" t="str">
        <f ca="1">VLOOKUP($C311,OFFSET([1]quests!$A$1,0,0,COUNTA([1]quests!$A:$A),MATCH(E$1,[1]quests!$1:$1,0)-MATCH($C$1,[1]quests!$1:$1,0)+1),MATCH(E$1,[1]quests!$1:$1,0)-MATCH($C$1,[1]quests!$1:$1,0)+1,FALSE)</f>
        <v>土日クエスト1</v>
      </c>
      <c r="F311" s="5">
        <v>3</v>
      </c>
      <c r="G311" s="3" t="str">
        <f ca="1">VLOOKUP($C311&amp;"_"&amp;$F311,OFFSET([1]stages!$A$1,0,0,COUNTA([1]stages!$A:$A),MATCH(G$1,[1]stages!$2:$2,0)-MATCH("temp_stage",[1]stages!$2:$2,0)+1),MATCH(G$1,[1]stages!$2:$2,0)-MATCH("temp_stage",[1]stages!$2:$2,0)+1,FALSE)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1" s="3" t="str">
        <f ca="1">VLOOKUP($C311&amp;"_"&amp;$F311,OFFSET([1]stages!$A$1,0,0,COUNTA([1]stages!$A:$A),MATCH(H$1,[1]stages!$2:$2,0)-MATCH("temp_stage",[1]stages!$2:$2,0)+1),MATCH(H$1,[1]stages!$2:$2,0)-MATCH("temp_stage",[1]stages!$2:$2,0)+1,FALSE)</f>
        <v>土日クエスト1</v>
      </c>
      <c r="I311" s="18">
        <v>0</v>
      </c>
      <c r="J311" s="5">
        <f>COUNTIF(C$1:C311,C311)</f>
        <v>13</v>
      </c>
      <c r="K311" s="34">
        <v>17</v>
      </c>
      <c r="L311" s="5" t="s">
        <v>17</v>
      </c>
      <c r="M311" s="38" t="str">
        <f>VLOOKUP(K311,[2]stage_hints!$A:$C,3,FALSE)</f>
        <v>リンクガチャ</v>
      </c>
      <c r="N311" s="39" t="str">
        <f>VLOOKUP(K311,[2]stage_hints!$A:$D,4,FALSE)</f>
        <v>無料のリンクガチャを回して
経験値素材や売却素材を獲得しましょう</v>
      </c>
      <c r="O311" s="20" t="s">
        <v>24</v>
      </c>
      <c r="P311">
        <v>17</v>
      </c>
    </row>
    <row r="312" spans="1:16" x14ac:dyDescent="0.15">
      <c r="A312" s="27" t="str">
        <f t="shared" si="52"/>
        <v>11106_3_14</v>
      </c>
      <c r="B312" s="25" t="s">
        <v>34</v>
      </c>
      <c r="C312" s="4">
        <v>11106</v>
      </c>
      <c r="D312" s="3" t="str">
        <f ca="1">VLOOKUP($C312,OFFSET([1]quests!$A$1,0,0,COUNTA([1]quests!$A:$A),MATCH(D$1,[1]quests!$1:$1,0)-MATCH($C$1,[1]quests!$1:$1,0)+1),MATCH(D$1,[1]quests!$1:$1,0)-MATCH($C$1,[1]quests!$1:$1,0)+1,FALSE)</f>
        <v>【キャンペーン限定】 ゴールドカジノ</v>
      </c>
      <c r="E312" s="3" t="str">
        <f ca="1">VLOOKUP($C312,OFFSET([1]quests!$A$1,0,0,COUNTA([1]quests!$A:$A),MATCH(E$1,[1]quests!$1:$1,0)-MATCH($C$1,[1]quests!$1:$1,0)+1),MATCH(E$1,[1]quests!$1:$1,0)-MATCH($C$1,[1]quests!$1:$1,0)+1,FALSE)</f>
        <v>土日クエスト1</v>
      </c>
      <c r="F312" s="5">
        <v>3</v>
      </c>
      <c r="G312" s="3" t="str">
        <f ca="1">VLOOKUP($C312&amp;"_"&amp;$F312,OFFSET([1]stages!$A$1,0,0,COUNTA([1]stages!$A:$A),MATCH(G$1,[1]stages!$2:$2,0)-MATCH("temp_stage",[1]stages!$2:$2,0)+1),MATCH(G$1,[1]stages!$2:$2,0)-MATCH("temp_stage",[1]stages!$2:$2,0)+1,FALSE)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2" s="3" t="str">
        <f ca="1">VLOOKUP($C312&amp;"_"&amp;$F312,OFFSET([1]stages!$A$1,0,0,COUNTA([1]stages!$A:$A),MATCH(H$1,[1]stages!$2:$2,0)-MATCH("temp_stage",[1]stages!$2:$2,0)+1),MATCH(H$1,[1]stages!$2:$2,0)-MATCH("temp_stage",[1]stages!$2:$2,0)+1,FALSE)</f>
        <v>土日クエスト1</v>
      </c>
      <c r="I312" s="18">
        <v>0</v>
      </c>
      <c r="J312" s="5">
        <f>COUNTIF(C$1:C312,C312)</f>
        <v>14</v>
      </c>
      <c r="K312" s="34">
        <v>18</v>
      </c>
      <c r="L312" s="5" t="s">
        <v>17</v>
      </c>
      <c r="M312" s="38" t="str">
        <f>VLOOKUP(K312,[2]stage_hints!$A:$C,3,FALSE)</f>
        <v>マルチプレイのメリット（その2）</v>
      </c>
      <c r="N312" s="39" t="str">
        <f>VLOOKUP(K312,[2]stage_hints!$A:$D,4,FALSE)</f>
        <v>マルチプレイならリンクが2倍もらえます
リンクガチャをたくさん回しましょう</v>
      </c>
      <c r="O312" s="20" t="s">
        <v>24</v>
      </c>
      <c r="P312">
        <v>18</v>
      </c>
    </row>
    <row r="313" spans="1:16" x14ac:dyDescent="0.15">
      <c r="A313" s="27" t="str">
        <f t="shared" ref="A313:A320" si="53">C313&amp;"_"&amp;F313&amp;"_"&amp;J313</f>
        <v>11106_3_15</v>
      </c>
      <c r="B313" s="25" t="s">
        <v>34</v>
      </c>
      <c r="C313" s="4">
        <v>11106</v>
      </c>
      <c r="D313" s="3" t="str">
        <f ca="1">VLOOKUP($C313,OFFSET([1]quests!$A$1,0,0,COUNTA([1]quests!$A:$A),MATCH(D$1,[1]quests!$1:$1,0)-MATCH($C$1,[1]quests!$1:$1,0)+1),MATCH(D$1,[1]quests!$1:$1,0)-MATCH($C$1,[1]quests!$1:$1,0)+1,FALSE)</f>
        <v>【キャンペーン限定】 ゴールドカジノ</v>
      </c>
      <c r="E313" s="3" t="str">
        <f ca="1">VLOOKUP($C313,OFFSET([1]quests!$A$1,0,0,COUNTA([1]quests!$A:$A),MATCH(E$1,[1]quests!$1:$1,0)-MATCH($C$1,[1]quests!$1:$1,0)+1),MATCH(E$1,[1]quests!$1:$1,0)-MATCH($C$1,[1]quests!$1:$1,0)+1,FALSE)</f>
        <v>土日クエスト1</v>
      </c>
      <c r="F313" s="5">
        <v>3</v>
      </c>
      <c r="G313" s="3" t="str">
        <f ca="1">VLOOKUP($C313&amp;"_"&amp;$F313,OFFSET([1]stages!$A$1,0,0,COUNTA([1]stages!$A:$A),MATCH(G$1,[1]stages!$2:$2,0)-MATCH("temp_stage",[1]stages!$2:$2,0)+1),MATCH(G$1,[1]stages!$2:$2,0)-MATCH("temp_stage",[1]stages!$2:$2,0)+1,FALSE)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3" s="3" t="str">
        <f ca="1">VLOOKUP($C313&amp;"_"&amp;$F313,OFFSET([1]stages!$A$1,0,0,COUNTA([1]stages!$A:$A),MATCH(H$1,[1]stages!$2:$2,0)-MATCH("temp_stage",[1]stages!$2:$2,0)+1),MATCH(H$1,[1]stages!$2:$2,0)-MATCH("temp_stage",[1]stages!$2:$2,0)+1,FALSE)</f>
        <v>土日クエスト1</v>
      </c>
      <c r="I313" s="18">
        <v>0</v>
      </c>
      <c r="J313" s="5">
        <f>COUNTIF(C$1:C313,C313)</f>
        <v>15</v>
      </c>
      <c r="K313" s="34">
        <v>19</v>
      </c>
      <c r="L313" s="5" t="s">
        <v>17</v>
      </c>
      <c r="M313" s="38" t="str">
        <f>VLOOKUP(K313,[2]stage_hints!$A:$C,3,FALSE)</f>
        <v>ソロ専用チャレンジタワー</v>
      </c>
      <c r="N313" s="39" t="str">
        <f>VLOOKUP(K313,[2]stage_hints!$A:$D,4,FALSE)</f>
        <v>ソロ専用の「チャレンジタワー」では
各フロアごとにクリア報酬がもらえます</v>
      </c>
      <c r="O313" s="20" t="s">
        <v>24</v>
      </c>
      <c r="P313">
        <v>19</v>
      </c>
    </row>
    <row r="314" spans="1:16" x14ac:dyDescent="0.15">
      <c r="A314" s="27" t="str">
        <f t="shared" si="53"/>
        <v>11106_3_16</v>
      </c>
      <c r="B314" s="25" t="s">
        <v>34</v>
      </c>
      <c r="C314" s="4">
        <v>11106</v>
      </c>
      <c r="D314" s="3" t="str">
        <f ca="1">VLOOKUP($C314,OFFSET([1]quests!$A$1,0,0,COUNTA([1]quests!$A:$A),MATCH(D$1,[1]quests!$1:$1,0)-MATCH($C$1,[1]quests!$1:$1,0)+1),MATCH(D$1,[1]quests!$1:$1,0)-MATCH($C$1,[1]quests!$1:$1,0)+1,FALSE)</f>
        <v>【キャンペーン限定】 ゴールドカジノ</v>
      </c>
      <c r="E314" s="3" t="str">
        <f ca="1">VLOOKUP($C314,OFFSET([1]quests!$A$1,0,0,COUNTA([1]quests!$A:$A),MATCH(E$1,[1]quests!$1:$1,0)-MATCH($C$1,[1]quests!$1:$1,0)+1),MATCH(E$1,[1]quests!$1:$1,0)-MATCH($C$1,[1]quests!$1:$1,0)+1,FALSE)</f>
        <v>土日クエスト1</v>
      </c>
      <c r="F314" s="5">
        <v>3</v>
      </c>
      <c r="G314" s="3" t="str">
        <f ca="1">VLOOKUP($C314&amp;"_"&amp;$F314,OFFSET([1]stages!$A$1,0,0,COUNTA([1]stages!$A:$A),MATCH(G$1,[1]stages!$2:$2,0)-MATCH("temp_stage",[1]stages!$2:$2,0)+1),MATCH(G$1,[1]stages!$2:$2,0)-MATCH("temp_stage",[1]stages!$2:$2,0)+1,FALSE)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4" s="3" t="str">
        <f ca="1">VLOOKUP($C314&amp;"_"&amp;$F314,OFFSET([1]stages!$A$1,0,0,COUNTA([1]stages!$A:$A),MATCH(H$1,[1]stages!$2:$2,0)-MATCH("temp_stage",[1]stages!$2:$2,0)+1),MATCH(H$1,[1]stages!$2:$2,0)-MATCH("temp_stage",[1]stages!$2:$2,0)+1,FALSE)</f>
        <v>土日クエスト1</v>
      </c>
      <c r="I314" s="18">
        <v>0</v>
      </c>
      <c r="J314" s="5">
        <f>COUNTIF(C$1:C314,C314)</f>
        <v>16</v>
      </c>
      <c r="K314" s="34">
        <v>20</v>
      </c>
      <c r="L314" s="5" t="s">
        <v>17</v>
      </c>
      <c r="M314" s="38" t="str">
        <f>VLOOKUP(K314,[2]stage_hints!$A:$C,3,FALSE)</f>
        <v>マルチプレイのメリット（その3）</v>
      </c>
      <c r="N314" s="39" t="str">
        <f>VLOOKUP(K314,[2]stage_hints!$A:$D,4,FALSE)</f>
        <v>マルチプレイへの参加はエナジー消費ゼロ
いつでも好きなだけ遊ぶことができます</v>
      </c>
      <c r="O314" s="20" t="s">
        <v>24</v>
      </c>
      <c r="P314">
        <v>20</v>
      </c>
    </row>
    <row r="315" spans="1:16" x14ac:dyDescent="0.15">
      <c r="A315" s="27" t="str">
        <f t="shared" si="53"/>
        <v>11106_3_17</v>
      </c>
      <c r="B315" s="25" t="s">
        <v>34</v>
      </c>
      <c r="C315" s="4">
        <v>11106</v>
      </c>
      <c r="D315" s="3" t="str">
        <f ca="1">VLOOKUP($C315,OFFSET([1]quests!$A$1,0,0,COUNTA([1]quests!$A:$A),MATCH(D$1,[1]quests!$1:$1,0)-MATCH($C$1,[1]quests!$1:$1,0)+1),MATCH(D$1,[1]quests!$1:$1,0)-MATCH($C$1,[1]quests!$1:$1,0)+1,FALSE)</f>
        <v>【キャンペーン限定】 ゴールドカジノ</v>
      </c>
      <c r="E315" s="3" t="str">
        <f ca="1">VLOOKUP($C315,OFFSET([1]quests!$A$1,0,0,COUNTA([1]quests!$A:$A),MATCH(E$1,[1]quests!$1:$1,0)-MATCH($C$1,[1]quests!$1:$1,0)+1),MATCH(E$1,[1]quests!$1:$1,0)-MATCH($C$1,[1]quests!$1:$1,0)+1,FALSE)</f>
        <v>土日クエスト1</v>
      </c>
      <c r="F315" s="5">
        <v>3</v>
      </c>
      <c r="G315" s="3" t="str">
        <f ca="1">VLOOKUP($C315&amp;"_"&amp;$F315,OFFSET([1]stages!$A$1,0,0,COUNTA([1]stages!$A:$A),MATCH(G$1,[1]stages!$2:$2,0)-MATCH("temp_stage",[1]stages!$2:$2,0)+1),MATCH(G$1,[1]stages!$2:$2,0)-MATCH("temp_stage",[1]stages!$2:$2,0)+1,FALSE)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5" s="3" t="str">
        <f ca="1">VLOOKUP($C315&amp;"_"&amp;$F315,OFFSET([1]stages!$A$1,0,0,COUNTA([1]stages!$A:$A),MATCH(H$1,[1]stages!$2:$2,0)-MATCH("temp_stage",[1]stages!$2:$2,0)+1),MATCH(H$1,[1]stages!$2:$2,0)-MATCH("temp_stage",[1]stages!$2:$2,0)+1,FALSE)</f>
        <v>土日クエスト1</v>
      </c>
      <c r="I315" s="18">
        <v>0</v>
      </c>
      <c r="J315" s="5">
        <f>COUNTIF(C$1:C315,C315)</f>
        <v>17</v>
      </c>
      <c r="K315" s="34">
        <v>21</v>
      </c>
      <c r="L315" s="5" t="s">
        <v>17</v>
      </c>
      <c r="M315" s="38" t="str">
        <f>VLOOKUP(K315,[2]stage_hints!$A:$C,3,FALSE)</f>
        <v>スキルを有効に</v>
      </c>
      <c r="N315" s="39" t="str">
        <f>VLOOKUP(K315,[2]stage_hints!$A:$D,4,FALSE)</f>
        <v>ターン経過でユニットのスキルが使えます
強力スキルでバトルを有利に進めましょう</v>
      </c>
      <c r="O315" s="20" t="s">
        <v>24</v>
      </c>
      <c r="P315">
        <v>21</v>
      </c>
    </row>
    <row r="316" spans="1:16" x14ac:dyDescent="0.15">
      <c r="A316" s="27" t="str">
        <f t="shared" si="53"/>
        <v>11106_3_18</v>
      </c>
      <c r="B316" s="25" t="s">
        <v>34</v>
      </c>
      <c r="C316" s="4">
        <v>11106</v>
      </c>
      <c r="D316" s="3" t="str">
        <f ca="1">VLOOKUP($C316,OFFSET([1]quests!$A$1,0,0,COUNTA([1]quests!$A:$A),MATCH(D$1,[1]quests!$1:$1,0)-MATCH($C$1,[1]quests!$1:$1,0)+1),MATCH(D$1,[1]quests!$1:$1,0)-MATCH($C$1,[1]quests!$1:$1,0)+1,FALSE)</f>
        <v>【キャンペーン限定】 ゴールドカジノ</v>
      </c>
      <c r="E316" s="3" t="str">
        <f ca="1">VLOOKUP($C316,OFFSET([1]quests!$A$1,0,0,COUNTA([1]quests!$A:$A),MATCH(E$1,[1]quests!$1:$1,0)-MATCH($C$1,[1]quests!$1:$1,0)+1),MATCH(E$1,[1]quests!$1:$1,0)-MATCH($C$1,[1]quests!$1:$1,0)+1,FALSE)</f>
        <v>土日クエスト1</v>
      </c>
      <c r="F316" s="5">
        <v>3</v>
      </c>
      <c r="G316" s="3" t="str">
        <f ca="1">VLOOKUP($C316&amp;"_"&amp;$F316,OFFSET([1]stages!$A$1,0,0,COUNTA([1]stages!$A:$A),MATCH(G$1,[1]stages!$2:$2,0)-MATCH("temp_stage",[1]stages!$2:$2,0)+1),MATCH(G$1,[1]stages!$2:$2,0)-MATCH("temp_stage",[1]stages!$2:$2,0)+1,FALSE)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6" s="3" t="str">
        <f ca="1">VLOOKUP($C316&amp;"_"&amp;$F316,OFFSET([1]stages!$A$1,0,0,COUNTA([1]stages!$A:$A),MATCH(H$1,[1]stages!$2:$2,0)-MATCH("temp_stage",[1]stages!$2:$2,0)+1),MATCH(H$1,[1]stages!$2:$2,0)-MATCH("temp_stage",[1]stages!$2:$2,0)+1,FALSE)</f>
        <v>土日クエスト1</v>
      </c>
      <c r="I316" s="18">
        <v>0</v>
      </c>
      <c r="J316" s="5">
        <f>COUNTIF(C$1:C316,C316)</f>
        <v>18</v>
      </c>
      <c r="K316" s="34">
        <v>22</v>
      </c>
      <c r="L316" s="5" t="s">
        <v>17</v>
      </c>
      <c r="M316" s="38" t="str">
        <f>VLOOKUP(K316,[2]stage_hints!$A:$C,3,FALSE)</f>
        <v>フィーバーで一発逆転（その1）</v>
      </c>
      <c r="N316" s="39" t="str">
        <f>VLOOKUP(K316,[2]stage_hints!$A:$D,4,FALSE)</f>
        <v>フィーバーは攻撃と回復を兼ね備えます
ピンチからの一発逆転を狙いましょう</v>
      </c>
      <c r="O316" s="20" t="s">
        <v>24</v>
      </c>
      <c r="P316">
        <v>22</v>
      </c>
    </row>
    <row r="317" spans="1:16" x14ac:dyDescent="0.15">
      <c r="A317" s="27" t="str">
        <f t="shared" si="53"/>
        <v>11106_3_19</v>
      </c>
      <c r="B317" s="25" t="s">
        <v>34</v>
      </c>
      <c r="C317" s="4">
        <v>11106</v>
      </c>
      <c r="D317" s="3" t="str">
        <f ca="1">VLOOKUP($C317,OFFSET([1]quests!$A$1,0,0,COUNTA([1]quests!$A:$A),MATCH(D$1,[1]quests!$1:$1,0)-MATCH($C$1,[1]quests!$1:$1,0)+1),MATCH(D$1,[1]quests!$1:$1,0)-MATCH($C$1,[1]quests!$1:$1,0)+1,FALSE)</f>
        <v>【キャンペーン限定】 ゴールドカジノ</v>
      </c>
      <c r="E317" s="3" t="str">
        <f ca="1">VLOOKUP($C317,OFFSET([1]quests!$A$1,0,0,COUNTA([1]quests!$A:$A),MATCH(E$1,[1]quests!$1:$1,0)-MATCH($C$1,[1]quests!$1:$1,0)+1),MATCH(E$1,[1]quests!$1:$1,0)-MATCH($C$1,[1]quests!$1:$1,0)+1,FALSE)</f>
        <v>土日クエスト1</v>
      </c>
      <c r="F317" s="5">
        <v>3</v>
      </c>
      <c r="G317" s="3" t="str">
        <f ca="1">VLOOKUP($C317&amp;"_"&amp;$F317,OFFSET([1]stages!$A$1,0,0,COUNTA([1]stages!$A:$A),MATCH(G$1,[1]stages!$2:$2,0)-MATCH("temp_stage",[1]stages!$2:$2,0)+1),MATCH(G$1,[1]stages!$2:$2,0)-MATCH("temp_stage",[1]stages!$2:$2,0)+1,FALSE)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7" s="3" t="str">
        <f ca="1">VLOOKUP($C317&amp;"_"&amp;$F317,OFFSET([1]stages!$A$1,0,0,COUNTA([1]stages!$A:$A),MATCH(H$1,[1]stages!$2:$2,0)-MATCH("temp_stage",[1]stages!$2:$2,0)+1),MATCH(H$1,[1]stages!$2:$2,0)-MATCH("temp_stage",[1]stages!$2:$2,0)+1,FALSE)</f>
        <v>土日クエスト1</v>
      </c>
      <c r="I317" s="18">
        <v>0</v>
      </c>
      <c r="J317" s="5">
        <f>COUNTIF(C$1:C317,C317)</f>
        <v>19</v>
      </c>
      <c r="K317" s="34">
        <v>23</v>
      </c>
      <c r="L317" s="5" t="s">
        <v>17</v>
      </c>
      <c r="M317" s="38" t="str">
        <f>VLOOKUP(K317,[2]stage_hints!$A:$C,3,FALSE)</f>
        <v>フィーバーで一発逆転（その2）</v>
      </c>
      <c r="N317" s="39" t="str">
        <f>VLOOKUP(K317,[2]stage_hints!$A:$D,4,FALSE)</f>
        <v>フィーバー中は虹色のボムパネルを狙って
画面上のパネルを一気に破壊しましょう</v>
      </c>
      <c r="O317" s="20" t="s">
        <v>24</v>
      </c>
      <c r="P317">
        <v>23</v>
      </c>
    </row>
    <row r="318" spans="1:16" x14ac:dyDescent="0.15">
      <c r="A318" s="27" t="str">
        <f t="shared" si="53"/>
        <v>11106_3_20</v>
      </c>
      <c r="B318" s="25" t="s">
        <v>34</v>
      </c>
      <c r="C318" s="4">
        <v>11106</v>
      </c>
      <c r="D318" s="3" t="str">
        <f ca="1">VLOOKUP($C318,OFFSET([1]quests!$A$1,0,0,COUNTA([1]quests!$A:$A),MATCH(D$1,[1]quests!$1:$1,0)-MATCH($C$1,[1]quests!$1:$1,0)+1),MATCH(D$1,[1]quests!$1:$1,0)-MATCH($C$1,[1]quests!$1:$1,0)+1,FALSE)</f>
        <v>【キャンペーン限定】 ゴールドカジノ</v>
      </c>
      <c r="E318" s="3" t="str">
        <f ca="1">VLOOKUP($C318,OFFSET([1]quests!$A$1,0,0,COUNTA([1]quests!$A:$A),MATCH(E$1,[1]quests!$1:$1,0)-MATCH($C$1,[1]quests!$1:$1,0)+1),MATCH(E$1,[1]quests!$1:$1,0)-MATCH($C$1,[1]quests!$1:$1,0)+1,FALSE)</f>
        <v>土日クエスト1</v>
      </c>
      <c r="F318" s="5">
        <v>3</v>
      </c>
      <c r="G318" s="3" t="str">
        <f ca="1">VLOOKUP($C318&amp;"_"&amp;$F318,OFFSET([1]stages!$A$1,0,0,COUNTA([1]stages!$A:$A),MATCH(G$1,[1]stages!$2:$2,0)-MATCH("temp_stage",[1]stages!$2:$2,0)+1),MATCH(G$1,[1]stages!$2:$2,0)-MATCH("temp_stage",[1]stages!$2:$2,0)+1,FALSE)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8" s="3" t="str">
        <f ca="1">VLOOKUP($C318&amp;"_"&amp;$F318,OFFSET([1]stages!$A$1,0,0,COUNTA([1]stages!$A:$A),MATCH(H$1,[1]stages!$2:$2,0)-MATCH("temp_stage",[1]stages!$2:$2,0)+1),MATCH(H$1,[1]stages!$2:$2,0)-MATCH("temp_stage",[1]stages!$2:$2,0)+1,FALSE)</f>
        <v>土日クエスト1</v>
      </c>
      <c r="I318" s="18">
        <v>0</v>
      </c>
      <c r="J318" s="5">
        <f>COUNTIF(C$1:C318,C318)</f>
        <v>20</v>
      </c>
      <c r="K318" s="34">
        <v>24</v>
      </c>
      <c r="L318" s="5" t="s">
        <v>17</v>
      </c>
      <c r="M318" s="38" t="str">
        <f>VLOOKUP(K318,[2]stage_hints!$A:$C,3,FALSE)</f>
        <v>りんごを使って限界突破</v>
      </c>
      <c r="N318" s="39" t="str">
        <f>VLOOKUP(K318,[2]stage_hints!$A:$D,4,FALSE)</f>
        <v>赤りんご(攻撃力) 青りんご(回復力)
緑りんご(体力)をユニット強化に使うと
ステータスが限界突破します（計99個迄）</v>
      </c>
      <c r="O318" s="20" t="s">
        <v>24</v>
      </c>
      <c r="P318">
        <v>24</v>
      </c>
    </row>
    <row r="319" spans="1:16" x14ac:dyDescent="0.15">
      <c r="A319" s="27" t="str">
        <f t="shared" si="53"/>
        <v>11106_3_21</v>
      </c>
      <c r="B319" s="25" t="s">
        <v>34</v>
      </c>
      <c r="C319" s="4">
        <v>11106</v>
      </c>
      <c r="D319" s="3" t="str">
        <f ca="1">VLOOKUP($C319,OFFSET([1]quests!$A$1,0,0,COUNTA([1]quests!$A:$A),MATCH(D$1,[1]quests!$1:$1,0)-MATCH($C$1,[1]quests!$1:$1,0)+1),MATCH(D$1,[1]quests!$1:$1,0)-MATCH($C$1,[1]quests!$1:$1,0)+1,FALSE)</f>
        <v>【キャンペーン限定】 ゴールドカジノ</v>
      </c>
      <c r="E319" s="3" t="str">
        <f ca="1">VLOOKUP($C319,OFFSET([1]quests!$A$1,0,0,COUNTA([1]quests!$A:$A),MATCH(E$1,[1]quests!$1:$1,0)-MATCH($C$1,[1]quests!$1:$1,0)+1),MATCH(E$1,[1]quests!$1:$1,0)-MATCH($C$1,[1]quests!$1:$1,0)+1,FALSE)</f>
        <v>土日クエスト1</v>
      </c>
      <c r="F319" s="5">
        <v>3</v>
      </c>
      <c r="G319" s="3" t="str">
        <f ca="1">VLOOKUP($C319&amp;"_"&amp;$F319,OFFSET([1]stages!$A$1,0,0,COUNTA([1]stages!$A:$A),MATCH(G$1,[1]stages!$2:$2,0)-MATCH("temp_stage",[1]stages!$2:$2,0)+1),MATCH(G$1,[1]stages!$2:$2,0)-MATCH("temp_stage",[1]stages!$2:$2,0)+1,FALSE)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19" s="3" t="str">
        <f ca="1">VLOOKUP($C319&amp;"_"&amp;$F319,OFFSET([1]stages!$A$1,0,0,COUNTA([1]stages!$A:$A),MATCH(H$1,[1]stages!$2:$2,0)-MATCH("temp_stage",[1]stages!$2:$2,0)+1),MATCH(H$1,[1]stages!$2:$2,0)-MATCH("temp_stage",[1]stages!$2:$2,0)+1,FALSE)</f>
        <v>土日クエスト1</v>
      </c>
      <c r="I319" s="18">
        <v>0</v>
      </c>
      <c r="J319" s="5">
        <f>COUNTIF(C$1:C319,C319)</f>
        <v>21</v>
      </c>
      <c r="K319" s="34">
        <v>25</v>
      </c>
      <c r="L319" s="5" t="s">
        <v>17</v>
      </c>
      <c r="M319" s="38" t="str">
        <f>VLOOKUP(K319,[2]stage_hints!$A:$C,3,FALSE)</f>
        <v>スキルレベルアップ</v>
      </c>
      <c r="N319" s="39" t="str">
        <f>VLOOKUP(K319,[2]stage_hints!$A:$D,4,FALSE)</f>
        <v>「クリスタルのりんご」を強化に使うと
スキルレベルを上げることができます</v>
      </c>
      <c r="O319" s="20" t="s">
        <v>24</v>
      </c>
      <c r="P319">
        <v>25</v>
      </c>
    </row>
    <row r="320" spans="1:16" x14ac:dyDescent="0.15">
      <c r="A320" s="27" t="str">
        <f t="shared" si="53"/>
        <v>11106_3_22</v>
      </c>
      <c r="B320" s="25" t="s">
        <v>34</v>
      </c>
      <c r="C320" s="4">
        <v>11106</v>
      </c>
      <c r="D320" s="3" t="str">
        <f ca="1">VLOOKUP($C320,OFFSET([1]quests!$A$1,0,0,COUNTA([1]quests!$A:$A),MATCH(D$1,[1]quests!$1:$1,0)-MATCH($C$1,[1]quests!$1:$1,0)+1),MATCH(D$1,[1]quests!$1:$1,0)-MATCH($C$1,[1]quests!$1:$1,0)+1,FALSE)</f>
        <v>【キャンペーン限定】 ゴールドカジノ</v>
      </c>
      <c r="E320" s="3" t="str">
        <f ca="1">VLOOKUP($C320,OFFSET([1]quests!$A$1,0,0,COUNTA([1]quests!$A:$A),MATCH(E$1,[1]quests!$1:$1,0)-MATCH($C$1,[1]quests!$1:$1,0)+1),MATCH(E$1,[1]quests!$1:$1,0)-MATCH($C$1,[1]quests!$1:$1,0)+1,FALSE)</f>
        <v>土日クエスト1</v>
      </c>
      <c r="F320" s="5">
        <v>3</v>
      </c>
      <c r="G320" s="3" t="str">
        <f ca="1">VLOOKUP($C320&amp;"_"&amp;$F320,OFFSET([1]stages!$A$1,0,0,COUNTA([1]stages!$A:$A),MATCH(G$1,[1]stages!$2:$2,0)-MATCH("temp_stage",[1]stages!$2:$2,0)+1),MATCH(G$1,[1]stages!$2:$2,0)-MATCH("temp_stage",[1]stages!$2:$2,0)+1,FALSE)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0" s="3" t="str">
        <f ca="1">VLOOKUP($C320&amp;"_"&amp;$F320,OFFSET([1]stages!$A$1,0,0,COUNTA([1]stages!$A:$A),MATCH(H$1,[1]stages!$2:$2,0)-MATCH("temp_stage",[1]stages!$2:$2,0)+1),MATCH(H$1,[1]stages!$2:$2,0)-MATCH("temp_stage",[1]stages!$2:$2,0)+1,FALSE)</f>
        <v>土日クエスト1</v>
      </c>
      <c r="I320" s="18">
        <v>0</v>
      </c>
      <c r="J320" s="5">
        <f>COUNTIF(C$1:C320,C320)</f>
        <v>22</v>
      </c>
      <c r="K320" s="34">
        <v>26</v>
      </c>
      <c r="L320" s="5" t="s">
        <v>17</v>
      </c>
      <c r="M320" s="38" t="str">
        <f>VLOOKUP(K320,[2]stage_hints!$A:$C,3,FALSE)</f>
        <v>スキルレベルの効果</v>
      </c>
      <c r="N320" s="39" t="str">
        <f>VLOOKUP(K320,[2]stage_hints!$A:$D,4,FALSE)</f>
        <v>スキルレベルが上がると
短いターンでスキルを使うことができます</v>
      </c>
      <c r="O320" s="20" t="s">
        <v>24</v>
      </c>
      <c r="P320">
        <v>26</v>
      </c>
    </row>
    <row r="321" spans="1:16" x14ac:dyDescent="0.15">
      <c r="A321" s="27" t="str">
        <f t="shared" ref="A321" si="54">C321&amp;"_"&amp;F321&amp;"_"&amp;J321</f>
        <v>11106_3_23</v>
      </c>
      <c r="B321" s="25" t="s">
        <v>34</v>
      </c>
      <c r="C321" s="4">
        <v>11106</v>
      </c>
      <c r="D321" s="3" t="str">
        <f ca="1">VLOOKUP($C321,OFFSET([1]quests!$A$1,0,0,COUNTA([1]quests!$A:$A),MATCH(D$1,[1]quests!$1:$1,0)-MATCH($C$1,[1]quests!$1:$1,0)+1),MATCH(D$1,[1]quests!$1:$1,0)-MATCH($C$1,[1]quests!$1:$1,0)+1,FALSE)</f>
        <v>【キャンペーン限定】 ゴールドカジノ</v>
      </c>
      <c r="E321" s="3" t="str">
        <f ca="1">VLOOKUP($C321,OFFSET([1]quests!$A$1,0,0,COUNTA([1]quests!$A:$A),MATCH(E$1,[1]quests!$1:$1,0)-MATCH($C$1,[1]quests!$1:$1,0)+1),MATCH(E$1,[1]quests!$1:$1,0)-MATCH($C$1,[1]quests!$1:$1,0)+1,FALSE)</f>
        <v>土日クエスト1</v>
      </c>
      <c r="F321" s="5">
        <v>3</v>
      </c>
      <c r="G321" s="3" t="str">
        <f ca="1">VLOOKUP($C321&amp;"_"&amp;$F321,OFFSET([1]stages!$A$1,0,0,COUNTA([1]stages!$A:$A),MATCH(G$1,[1]stages!$2:$2,0)-MATCH("temp_stage",[1]stages!$2:$2,0)+1),MATCH(G$1,[1]stages!$2:$2,0)-MATCH("temp_stage",[1]stages!$2:$2,0)+1,FALSE)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1" s="3" t="str">
        <f ca="1">VLOOKUP($C321&amp;"_"&amp;$F321,OFFSET([1]stages!$A$1,0,0,COUNTA([1]stages!$A:$A),MATCH(H$1,[1]stages!$2:$2,0)-MATCH("temp_stage",[1]stages!$2:$2,0)+1),MATCH(H$1,[1]stages!$2:$2,0)-MATCH("temp_stage",[1]stages!$2:$2,0)+1,FALSE)</f>
        <v>土日クエスト1</v>
      </c>
      <c r="I321" s="18">
        <v>0</v>
      </c>
      <c r="J321" s="5">
        <f>COUNTIF(C$1:C321,C321)</f>
        <v>23</v>
      </c>
      <c r="K321" s="34">
        <v>27</v>
      </c>
      <c r="L321" s="5" t="s">
        <v>17</v>
      </c>
      <c r="M321" s="38" t="str">
        <f>VLOOKUP(K321,[2]stage_hints!$A:$C,3,FALSE)</f>
        <v>ホーム画面からデッキを編成</v>
      </c>
      <c r="N321" s="39" t="str">
        <f>VLOOKUP(K321,[2]stage_hints!$A:$D,4,FALSE)</f>
        <v>ホーム画面でユニットを長押しすると
すぐにパーティ編成に移動できます</v>
      </c>
      <c r="O321" s="20" t="s">
        <v>24</v>
      </c>
      <c r="P321">
        <v>27</v>
      </c>
    </row>
    <row r="322" spans="1:16" x14ac:dyDescent="0.15">
      <c r="A322" s="27" t="str">
        <f t="shared" ref="A322:A335" si="55">C322&amp;"_"&amp;F322&amp;"_"&amp;J322</f>
        <v>11106_3_24</v>
      </c>
      <c r="B322" s="25" t="s">
        <v>34</v>
      </c>
      <c r="C322" s="4">
        <v>11106</v>
      </c>
      <c r="D322" s="3" t="str">
        <f ca="1">VLOOKUP($C322,OFFSET([1]quests!$A$1,0,0,COUNTA([1]quests!$A:$A),MATCH(D$1,[1]quests!$1:$1,0)-MATCH($C$1,[1]quests!$1:$1,0)+1),MATCH(D$1,[1]quests!$1:$1,0)-MATCH($C$1,[1]quests!$1:$1,0)+1,FALSE)</f>
        <v>【キャンペーン限定】 ゴールドカジノ</v>
      </c>
      <c r="E322" s="3" t="str">
        <f ca="1">VLOOKUP($C322,OFFSET([1]quests!$A$1,0,0,COUNTA([1]quests!$A:$A),MATCH(E$1,[1]quests!$1:$1,0)-MATCH($C$1,[1]quests!$1:$1,0)+1),MATCH(E$1,[1]quests!$1:$1,0)-MATCH($C$1,[1]quests!$1:$1,0)+1,FALSE)</f>
        <v>土日クエスト1</v>
      </c>
      <c r="F322" s="5">
        <v>3</v>
      </c>
      <c r="G322" s="3" t="str">
        <f ca="1">VLOOKUP($C322&amp;"_"&amp;$F322,OFFSET([1]stages!$A$1,0,0,COUNTA([1]stages!$A:$A),MATCH(G$1,[1]stages!$2:$2,0)-MATCH("temp_stage",[1]stages!$2:$2,0)+1),MATCH(G$1,[1]stages!$2:$2,0)-MATCH("temp_stage",[1]stages!$2:$2,0)+1,FALSE)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2" s="3" t="str">
        <f ca="1">VLOOKUP($C322&amp;"_"&amp;$F322,OFFSET([1]stages!$A$1,0,0,COUNTA([1]stages!$A:$A),MATCH(H$1,[1]stages!$2:$2,0)-MATCH("temp_stage",[1]stages!$2:$2,0)+1),MATCH(H$1,[1]stages!$2:$2,0)-MATCH("temp_stage",[1]stages!$2:$2,0)+1,FALSE)</f>
        <v>土日クエスト1</v>
      </c>
      <c r="I322" s="18">
        <v>0</v>
      </c>
      <c r="J322" s="5">
        <f>COUNTIF(C$1:C322,C322)</f>
        <v>24</v>
      </c>
      <c r="K322" s="34">
        <v>28</v>
      </c>
      <c r="L322" s="5" t="s">
        <v>17</v>
      </c>
      <c r="M322" s="38" t="str">
        <f>VLOOKUP(K322,[2]stage_hints!$A:$C,3,FALSE)</f>
        <v>ステータス情報は長押しで</v>
      </c>
      <c r="N322" s="39" t="str">
        <f>VLOOKUP(K322,[2]stage_hints!$A:$D,4,FALSE)</f>
        <v>ユニットのアイコンを長押しすると
ステータス情報を確認することができます</v>
      </c>
      <c r="O322" s="20" t="s">
        <v>24</v>
      </c>
      <c r="P322">
        <v>28</v>
      </c>
    </row>
    <row r="323" spans="1:16" x14ac:dyDescent="0.15">
      <c r="A323" s="27" t="str">
        <f t="shared" si="55"/>
        <v>11106_3_25</v>
      </c>
      <c r="B323" s="25" t="s">
        <v>34</v>
      </c>
      <c r="C323" s="4">
        <v>11106</v>
      </c>
      <c r="D323" s="3" t="str">
        <f ca="1">VLOOKUP($C323,OFFSET([1]quests!$A$1,0,0,COUNTA([1]quests!$A:$A),MATCH(D$1,[1]quests!$1:$1,0)-MATCH($C$1,[1]quests!$1:$1,0)+1),MATCH(D$1,[1]quests!$1:$1,0)-MATCH($C$1,[1]quests!$1:$1,0)+1,FALSE)</f>
        <v>【キャンペーン限定】 ゴールドカジノ</v>
      </c>
      <c r="E323" s="3" t="str">
        <f ca="1">VLOOKUP($C323,OFFSET([1]quests!$A$1,0,0,COUNTA([1]quests!$A:$A),MATCH(E$1,[1]quests!$1:$1,0)-MATCH($C$1,[1]quests!$1:$1,0)+1),MATCH(E$1,[1]quests!$1:$1,0)-MATCH($C$1,[1]quests!$1:$1,0)+1,FALSE)</f>
        <v>土日クエスト1</v>
      </c>
      <c r="F323" s="5">
        <v>3</v>
      </c>
      <c r="G323" s="3" t="str">
        <f ca="1">VLOOKUP($C323&amp;"_"&amp;$F323,OFFSET([1]stages!$A$1,0,0,COUNTA([1]stages!$A:$A),MATCH(G$1,[1]stages!$2:$2,0)-MATCH("temp_stage",[1]stages!$2:$2,0)+1),MATCH(G$1,[1]stages!$2:$2,0)-MATCH("temp_stage",[1]stages!$2:$2,0)+1,FALSE)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3" s="3" t="str">
        <f ca="1">VLOOKUP($C323&amp;"_"&amp;$F323,OFFSET([1]stages!$A$1,0,0,COUNTA([1]stages!$A:$A),MATCH(H$1,[1]stages!$2:$2,0)-MATCH("temp_stage",[1]stages!$2:$2,0)+1),MATCH(H$1,[1]stages!$2:$2,0)-MATCH("temp_stage",[1]stages!$2:$2,0)+1,FALSE)</f>
        <v>土日クエスト1</v>
      </c>
      <c r="I323" s="18">
        <v>0</v>
      </c>
      <c r="J323" s="5">
        <f>COUNTIF(C$1:C323,C323)</f>
        <v>25</v>
      </c>
      <c r="K323" s="34">
        <v>29</v>
      </c>
      <c r="L323" s="5" t="s">
        <v>17</v>
      </c>
      <c r="M323" s="38" t="str">
        <f>VLOOKUP(K323,[2]stage_hints!$A:$C,3,FALSE)</f>
        <v>「バグ」のメリット</v>
      </c>
      <c r="N323" s="39" t="str">
        <f>VLOOKUP(K323,[2]stage_hints!$A:$D,4,FALSE)</f>
        <v>ユニットの「バグ」を増やすと
報酬をもらえる確率がアップします</v>
      </c>
      <c r="O323" s="20" t="s">
        <v>24</v>
      </c>
      <c r="P323">
        <v>29</v>
      </c>
    </row>
    <row r="324" spans="1:16" x14ac:dyDescent="0.15">
      <c r="A324" s="27" t="str">
        <f t="shared" si="55"/>
        <v>11106_3_26</v>
      </c>
      <c r="B324" s="25" t="s">
        <v>34</v>
      </c>
      <c r="C324" s="4">
        <v>11106</v>
      </c>
      <c r="D324" s="3" t="str">
        <f ca="1">VLOOKUP($C324,OFFSET([1]quests!$A$1,0,0,COUNTA([1]quests!$A:$A),MATCH(D$1,[1]quests!$1:$1,0)-MATCH($C$1,[1]quests!$1:$1,0)+1),MATCH(D$1,[1]quests!$1:$1,0)-MATCH($C$1,[1]quests!$1:$1,0)+1,FALSE)</f>
        <v>【キャンペーン限定】 ゴールドカジノ</v>
      </c>
      <c r="E324" s="3" t="str">
        <f ca="1">VLOOKUP($C324,OFFSET([1]quests!$A$1,0,0,COUNTA([1]quests!$A:$A),MATCH(E$1,[1]quests!$1:$1,0)-MATCH($C$1,[1]quests!$1:$1,0)+1),MATCH(E$1,[1]quests!$1:$1,0)-MATCH($C$1,[1]quests!$1:$1,0)+1,FALSE)</f>
        <v>土日クエスト1</v>
      </c>
      <c r="F324" s="5">
        <v>3</v>
      </c>
      <c r="G324" s="3" t="str">
        <f ca="1">VLOOKUP($C324&amp;"_"&amp;$F324,OFFSET([1]stages!$A$1,0,0,COUNTA([1]stages!$A:$A),MATCH(G$1,[1]stages!$2:$2,0)-MATCH("temp_stage",[1]stages!$2:$2,0)+1),MATCH(G$1,[1]stages!$2:$2,0)-MATCH("temp_stage",[1]stages!$2:$2,0)+1,FALSE)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4" s="3" t="str">
        <f ca="1">VLOOKUP($C324&amp;"_"&amp;$F324,OFFSET([1]stages!$A$1,0,0,COUNTA([1]stages!$A:$A),MATCH(H$1,[1]stages!$2:$2,0)-MATCH("temp_stage",[1]stages!$2:$2,0)+1),MATCH(H$1,[1]stages!$2:$2,0)-MATCH("temp_stage",[1]stages!$2:$2,0)+1,FALSE)</f>
        <v>土日クエスト1</v>
      </c>
      <c r="I324" s="18">
        <v>0</v>
      </c>
      <c r="J324" s="5">
        <f>COUNTIF(C$1:C324,C324)</f>
        <v>26</v>
      </c>
      <c r="K324" s="34">
        <v>30</v>
      </c>
      <c r="L324" s="5" t="s">
        <v>17</v>
      </c>
      <c r="M324" s="38" t="str">
        <f>VLOOKUP(K324,[2]stage_hints!$A:$C,3,FALSE)</f>
        <v>「バグ」の増やし方</v>
      </c>
      <c r="N324" s="39" t="str">
        <f>VLOOKUP(K324,[2]stage_hints!$A:$D,4,FALSE)</f>
        <v>同じユニット同士を強化で合成すると
「バグ」を増やすことができます</v>
      </c>
      <c r="O324" s="20" t="s">
        <v>24</v>
      </c>
      <c r="P324">
        <v>30</v>
      </c>
    </row>
    <row r="325" spans="1:16" x14ac:dyDescent="0.15">
      <c r="A325" s="27" t="str">
        <f t="shared" si="55"/>
        <v>11106_3_27</v>
      </c>
      <c r="B325" s="25" t="s">
        <v>34</v>
      </c>
      <c r="C325" s="4">
        <v>11106</v>
      </c>
      <c r="D325" s="3" t="str">
        <f ca="1">VLOOKUP($C325,OFFSET([1]quests!$A$1,0,0,COUNTA([1]quests!$A:$A),MATCH(D$1,[1]quests!$1:$1,0)-MATCH($C$1,[1]quests!$1:$1,0)+1),MATCH(D$1,[1]quests!$1:$1,0)-MATCH($C$1,[1]quests!$1:$1,0)+1,FALSE)</f>
        <v>【キャンペーン限定】 ゴールドカジノ</v>
      </c>
      <c r="E325" s="3" t="str">
        <f ca="1">VLOOKUP($C325,OFFSET([1]quests!$A$1,0,0,COUNTA([1]quests!$A:$A),MATCH(E$1,[1]quests!$1:$1,0)-MATCH($C$1,[1]quests!$1:$1,0)+1),MATCH(E$1,[1]quests!$1:$1,0)-MATCH($C$1,[1]quests!$1:$1,0)+1,FALSE)</f>
        <v>土日クエスト1</v>
      </c>
      <c r="F325" s="5">
        <v>3</v>
      </c>
      <c r="G325" s="3" t="str">
        <f ca="1">VLOOKUP($C325&amp;"_"&amp;$F325,OFFSET([1]stages!$A$1,0,0,COUNTA([1]stages!$A:$A),MATCH(G$1,[1]stages!$2:$2,0)-MATCH("temp_stage",[1]stages!$2:$2,0)+1),MATCH(G$1,[1]stages!$2:$2,0)-MATCH("temp_stage",[1]stages!$2:$2,0)+1,FALSE)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5" s="3" t="str">
        <f ca="1">VLOOKUP($C325&amp;"_"&amp;$F325,OFFSET([1]stages!$A$1,0,0,COUNTA([1]stages!$A:$A),MATCH(H$1,[1]stages!$2:$2,0)-MATCH("temp_stage",[1]stages!$2:$2,0)+1),MATCH(H$1,[1]stages!$2:$2,0)-MATCH("temp_stage",[1]stages!$2:$2,0)+1,FALSE)</f>
        <v>土日クエスト1</v>
      </c>
      <c r="I325" s="18">
        <v>0</v>
      </c>
      <c r="J325" s="5">
        <f>COUNTIF(C$1:C325,C325)</f>
        <v>27</v>
      </c>
      <c r="K325" s="34">
        <v>31</v>
      </c>
      <c r="L325" s="5" t="s">
        <v>17</v>
      </c>
      <c r="M325" s="38" t="str">
        <f>VLOOKUP(K325,[2]stage_hints!$A:$C,3,FALSE)</f>
        <v>イベントはお知らせでチェック</v>
      </c>
      <c r="N325" s="39" t="str">
        <f>VLOOKUP(K325,[2]stage_hints!$A:$D,4,FALSE)</f>
        <v>イベント限定ユニットを取り忘れないように
お知らせをこまめにチェックしましょう</v>
      </c>
      <c r="O325" s="20" t="s">
        <v>24</v>
      </c>
      <c r="P325">
        <v>31</v>
      </c>
    </row>
    <row r="326" spans="1:16" x14ac:dyDescent="0.15">
      <c r="A326" s="27" t="str">
        <f t="shared" si="55"/>
        <v>11106_3_28</v>
      </c>
      <c r="B326" s="25" t="s">
        <v>34</v>
      </c>
      <c r="C326" s="4">
        <v>11106</v>
      </c>
      <c r="D326" s="3" t="str">
        <f ca="1">VLOOKUP($C326,OFFSET([1]quests!$A$1,0,0,COUNTA([1]quests!$A:$A),MATCH(D$1,[1]quests!$1:$1,0)-MATCH($C$1,[1]quests!$1:$1,0)+1),MATCH(D$1,[1]quests!$1:$1,0)-MATCH($C$1,[1]quests!$1:$1,0)+1,FALSE)</f>
        <v>【キャンペーン限定】 ゴールドカジノ</v>
      </c>
      <c r="E326" s="3" t="str">
        <f ca="1">VLOOKUP($C326,OFFSET([1]quests!$A$1,0,0,COUNTA([1]quests!$A:$A),MATCH(E$1,[1]quests!$1:$1,0)-MATCH($C$1,[1]quests!$1:$1,0)+1),MATCH(E$1,[1]quests!$1:$1,0)-MATCH($C$1,[1]quests!$1:$1,0)+1,FALSE)</f>
        <v>土日クエスト1</v>
      </c>
      <c r="F326" s="5">
        <v>3</v>
      </c>
      <c r="G326" s="3" t="str">
        <f ca="1">VLOOKUP($C326&amp;"_"&amp;$F326,OFFSET([1]stages!$A$1,0,0,COUNTA([1]stages!$A:$A),MATCH(G$1,[1]stages!$2:$2,0)-MATCH("temp_stage",[1]stages!$2:$2,0)+1),MATCH(G$1,[1]stages!$2:$2,0)-MATCH("temp_stage",[1]stages!$2:$2,0)+1,FALSE)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6" s="3" t="str">
        <f ca="1">VLOOKUP($C326&amp;"_"&amp;$F326,OFFSET([1]stages!$A$1,0,0,COUNTA([1]stages!$A:$A),MATCH(H$1,[1]stages!$2:$2,0)-MATCH("temp_stage",[1]stages!$2:$2,0)+1),MATCH(H$1,[1]stages!$2:$2,0)-MATCH("temp_stage",[1]stages!$2:$2,0)+1,FALSE)</f>
        <v>土日クエスト1</v>
      </c>
      <c r="I326" s="18">
        <v>0</v>
      </c>
      <c r="J326" s="5">
        <f>COUNTIF(C$1:C326,C326)</f>
        <v>28</v>
      </c>
      <c r="K326" s="34">
        <v>32</v>
      </c>
      <c r="L326" s="5" t="s">
        <v>17</v>
      </c>
      <c r="M326" s="38" t="str">
        <f>VLOOKUP(K326,[2]stage_hints!$A:$C,3,FALSE)</f>
        <v>敵の連続攻撃には</v>
      </c>
      <c r="N326" s="39" t="str">
        <f>VLOOKUP(K326,[2]stage_hints!$A:$D,4,FALSE)</f>
        <v>カウンタースキルを持つユニットがいれば
ダメージ回数分の反撃ができます</v>
      </c>
      <c r="O326" s="20" t="s">
        <v>24</v>
      </c>
      <c r="P326">
        <v>32</v>
      </c>
    </row>
    <row r="327" spans="1:16" x14ac:dyDescent="0.15">
      <c r="A327" s="27" t="str">
        <f t="shared" si="55"/>
        <v>11106_3_29</v>
      </c>
      <c r="B327" s="25" t="s">
        <v>34</v>
      </c>
      <c r="C327" s="4">
        <v>11106</v>
      </c>
      <c r="D327" s="3" t="str">
        <f ca="1">VLOOKUP($C327,OFFSET([1]quests!$A$1,0,0,COUNTA([1]quests!$A:$A),MATCH(D$1,[1]quests!$1:$1,0)-MATCH($C$1,[1]quests!$1:$1,0)+1),MATCH(D$1,[1]quests!$1:$1,0)-MATCH($C$1,[1]quests!$1:$1,0)+1,FALSE)</f>
        <v>【キャンペーン限定】 ゴールドカジノ</v>
      </c>
      <c r="E327" s="3" t="str">
        <f ca="1">VLOOKUP($C327,OFFSET([1]quests!$A$1,0,0,COUNTA([1]quests!$A:$A),MATCH(E$1,[1]quests!$1:$1,0)-MATCH($C$1,[1]quests!$1:$1,0)+1),MATCH(E$1,[1]quests!$1:$1,0)-MATCH($C$1,[1]quests!$1:$1,0)+1,FALSE)</f>
        <v>土日クエスト1</v>
      </c>
      <c r="F327" s="5">
        <v>3</v>
      </c>
      <c r="G327" s="3" t="str">
        <f ca="1">VLOOKUP($C327&amp;"_"&amp;$F327,OFFSET([1]stages!$A$1,0,0,COUNTA([1]stages!$A:$A),MATCH(G$1,[1]stages!$2:$2,0)-MATCH("temp_stage",[1]stages!$2:$2,0)+1),MATCH(G$1,[1]stages!$2:$2,0)-MATCH("temp_stage",[1]stages!$2:$2,0)+1,FALSE)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7" s="3" t="str">
        <f ca="1">VLOOKUP($C327&amp;"_"&amp;$F327,OFFSET([1]stages!$A$1,0,0,COUNTA([1]stages!$A:$A),MATCH(H$1,[1]stages!$2:$2,0)-MATCH("temp_stage",[1]stages!$2:$2,0)+1),MATCH(H$1,[1]stages!$2:$2,0)-MATCH("temp_stage",[1]stages!$2:$2,0)+1,FALSE)</f>
        <v>土日クエスト1</v>
      </c>
      <c r="I327" s="18">
        <v>0</v>
      </c>
      <c r="J327" s="5">
        <f>COUNTIF(C$1:C327,C327)</f>
        <v>29</v>
      </c>
      <c r="K327" s="34">
        <v>33</v>
      </c>
      <c r="L327" s="5" t="s">
        <v>17</v>
      </c>
      <c r="M327" s="38" t="str">
        <f>VLOOKUP(K327,[2]stage_hints!$A:$C,3,FALSE)</f>
        <v>敵のカウンター攻撃には</v>
      </c>
      <c r="N327" s="39" t="str">
        <f>VLOOKUP(K327,[2]stage_hints!$A:$D,4,FALSE)</f>
        <v>カウンターブレイクスキルを持っていれば
敵のカウンターを解除して攻撃ができます</v>
      </c>
      <c r="O327" s="20" t="s">
        <v>24</v>
      </c>
      <c r="P327">
        <v>33</v>
      </c>
    </row>
    <row r="328" spans="1:16" x14ac:dyDescent="0.15">
      <c r="A328" s="27" t="str">
        <f t="shared" si="55"/>
        <v>11106_3_30</v>
      </c>
      <c r="B328" s="25" t="s">
        <v>34</v>
      </c>
      <c r="C328" s="4">
        <v>11106</v>
      </c>
      <c r="D328" s="3" t="str">
        <f ca="1">VLOOKUP($C328,OFFSET([1]quests!$A$1,0,0,COUNTA([1]quests!$A:$A),MATCH(D$1,[1]quests!$1:$1,0)-MATCH($C$1,[1]quests!$1:$1,0)+1),MATCH(D$1,[1]quests!$1:$1,0)-MATCH($C$1,[1]quests!$1:$1,0)+1,FALSE)</f>
        <v>【キャンペーン限定】 ゴールドカジノ</v>
      </c>
      <c r="E328" s="3" t="str">
        <f ca="1">VLOOKUP($C328,OFFSET([1]quests!$A$1,0,0,COUNTA([1]quests!$A:$A),MATCH(E$1,[1]quests!$1:$1,0)-MATCH($C$1,[1]quests!$1:$1,0)+1),MATCH(E$1,[1]quests!$1:$1,0)-MATCH($C$1,[1]quests!$1:$1,0)+1,FALSE)</f>
        <v>土日クエスト1</v>
      </c>
      <c r="F328" s="5">
        <v>3</v>
      </c>
      <c r="G328" s="3" t="str">
        <f ca="1">VLOOKUP($C328&amp;"_"&amp;$F328,OFFSET([1]stages!$A$1,0,0,COUNTA([1]stages!$A:$A),MATCH(G$1,[1]stages!$2:$2,0)-MATCH("temp_stage",[1]stages!$2:$2,0)+1),MATCH(G$1,[1]stages!$2:$2,0)-MATCH("temp_stage",[1]stages!$2:$2,0)+1,FALSE)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8" s="3" t="str">
        <f ca="1">VLOOKUP($C328&amp;"_"&amp;$F328,OFFSET([1]stages!$A$1,0,0,COUNTA([1]stages!$A:$A),MATCH(H$1,[1]stages!$2:$2,0)-MATCH("temp_stage",[1]stages!$2:$2,0)+1),MATCH(H$1,[1]stages!$2:$2,0)-MATCH("temp_stage",[1]stages!$2:$2,0)+1,FALSE)</f>
        <v>土日クエスト1</v>
      </c>
      <c r="I328" s="18">
        <v>0</v>
      </c>
      <c r="J328" s="5">
        <f>COUNTIF(C$1:C328,C328)</f>
        <v>30</v>
      </c>
      <c r="K328" s="34">
        <v>34</v>
      </c>
      <c r="L328" s="5" t="s">
        <v>17</v>
      </c>
      <c r="M328" s="38" t="str">
        <f>VLOOKUP(K328,[2]stage_hints!$A:$C,3,FALSE)</f>
        <v>ステータスをスキルで下げられたら</v>
      </c>
      <c r="N328" s="39" t="str">
        <f>VLOOKUP(K328,[2]stage_hints!$A:$D,4,FALSE)</f>
        <v>ステータスダウンのスキルを受けたら
ステータスアップスキルで上書きしましょう</v>
      </c>
      <c r="O328" s="20" t="s">
        <v>24</v>
      </c>
      <c r="P328">
        <v>34</v>
      </c>
    </row>
    <row r="329" spans="1:16" x14ac:dyDescent="0.15">
      <c r="A329" s="27" t="str">
        <f t="shared" si="55"/>
        <v>11106_3_31</v>
      </c>
      <c r="B329" s="25" t="s">
        <v>34</v>
      </c>
      <c r="C329" s="4">
        <v>11106</v>
      </c>
      <c r="D329" s="3" t="str">
        <f ca="1">VLOOKUP($C329,OFFSET([1]quests!$A$1,0,0,COUNTA([1]quests!$A:$A),MATCH(D$1,[1]quests!$1:$1,0)-MATCH($C$1,[1]quests!$1:$1,0)+1),MATCH(D$1,[1]quests!$1:$1,0)-MATCH($C$1,[1]quests!$1:$1,0)+1,FALSE)</f>
        <v>【キャンペーン限定】 ゴールドカジノ</v>
      </c>
      <c r="E329" s="3" t="str">
        <f ca="1">VLOOKUP($C329,OFFSET([1]quests!$A$1,0,0,COUNTA([1]quests!$A:$A),MATCH(E$1,[1]quests!$1:$1,0)-MATCH($C$1,[1]quests!$1:$1,0)+1),MATCH(E$1,[1]quests!$1:$1,0)-MATCH($C$1,[1]quests!$1:$1,0)+1,FALSE)</f>
        <v>土日クエスト1</v>
      </c>
      <c r="F329" s="5">
        <v>3</v>
      </c>
      <c r="G329" s="3" t="str">
        <f ca="1">VLOOKUP($C329&amp;"_"&amp;$F329,OFFSET([1]stages!$A$1,0,0,COUNTA([1]stages!$A:$A),MATCH(G$1,[1]stages!$2:$2,0)-MATCH("temp_stage",[1]stages!$2:$2,0)+1),MATCH(G$1,[1]stages!$2:$2,0)-MATCH("temp_stage",[1]stages!$2:$2,0)+1,FALSE)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29" s="3" t="str">
        <f ca="1">VLOOKUP($C329&amp;"_"&amp;$F329,OFFSET([1]stages!$A$1,0,0,COUNTA([1]stages!$A:$A),MATCH(H$1,[1]stages!$2:$2,0)-MATCH("temp_stage",[1]stages!$2:$2,0)+1),MATCH(H$1,[1]stages!$2:$2,0)-MATCH("temp_stage",[1]stages!$2:$2,0)+1,FALSE)</f>
        <v>土日クエスト1</v>
      </c>
      <c r="I329" s="18">
        <v>0</v>
      </c>
      <c r="J329" s="5">
        <f>COUNTIF(C$1:C329,C329)</f>
        <v>31</v>
      </c>
      <c r="K329" s="34">
        <v>35</v>
      </c>
      <c r="L329" s="5" t="s">
        <v>17</v>
      </c>
      <c r="M329" s="38" t="str">
        <f>VLOOKUP(K329,[2]stage_hints!$A:$C,3,FALSE)</f>
        <v>敵のステータスがスキルで上がったら</v>
      </c>
      <c r="N329" s="39" t="str">
        <f>VLOOKUP(K329,[2]stage_hints!$A:$D,4,FALSE)</f>
        <v>敵のステータスがスキルでアップしたときは
ステータスダウンスキルで上書きしましょう</v>
      </c>
      <c r="O329" s="20" t="s">
        <v>24</v>
      </c>
      <c r="P329">
        <v>35</v>
      </c>
    </row>
    <row r="330" spans="1:16" x14ac:dyDescent="0.15">
      <c r="A330" s="27" t="str">
        <f t="shared" si="55"/>
        <v>11106_3_32</v>
      </c>
      <c r="B330" s="25" t="s">
        <v>34</v>
      </c>
      <c r="C330" s="4">
        <v>11106</v>
      </c>
      <c r="D330" s="3" t="str">
        <f ca="1">VLOOKUP($C330,OFFSET([1]quests!$A$1,0,0,COUNTA([1]quests!$A:$A),MATCH(D$1,[1]quests!$1:$1,0)-MATCH($C$1,[1]quests!$1:$1,0)+1),MATCH(D$1,[1]quests!$1:$1,0)-MATCH($C$1,[1]quests!$1:$1,0)+1,FALSE)</f>
        <v>【キャンペーン限定】 ゴールドカジノ</v>
      </c>
      <c r="E330" s="3" t="str">
        <f ca="1">VLOOKUP($C330,OFFSET([1]quests!$A$1,0,0,COUNTA([1]quests!$A:$A),MATCH(E$1,[1]quests!$1:$1,0)-MATCH($C$1,[1]quests!$1:$1,0)+1),MATCH(E$1,[1]quests!$1:$1,0)-MATCH($C$1,[1]quests!$1:$1,0)+1,FALSE)</f>
        <v>土日クエスト1</v>
      </c>
      <c r="F330" s="5">
        <v>3</v>
      </c>
      <c r="G330" s="3" t="str">
        <f ca="1">VLOOKUP($C330&amp;"_"&amp;$F330,OFFSET([1]stages!$A$1,0,0,COUNTA([1]stages!$A:$A),MATCH(G$1,[1]stages!$2:$2,0)-MATCH("temp_stage",[1]stages!$2:$2,0)+1),MATCH(G$1,[1]stages!$2:$2,0)-MATCH("temp_stage",[1]stages!$2:$2,0)+1,FALSE)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0" s="3" t="str">
        <f ca="1">VLOOKUP($C330&amp;"_"&amp;$F330,OFFSET([1]stages!$A$1,0,0,COUNTA([1]stages!$A:$A),MATCH(H$1,[1]stages!$2:$2,0)-MATCH("temp_stage",[1]stages!$2:$2,0)+1),MATCH(H$1,[1]stages!$2:$2,0)-MATCH("temp_stage",[1]stages!$2:$2,0)+1,FALSE)</f>
        <v>土日クエスト1</v>
      </c>
      <c r="I330" s="18">
        <v>0</v>
      </c>
      <c r="J330" s="5">
        <f>COUNTIF(C$1:C330,C330)</f>
        <v>32</v>
      </c>
      <c r="K330" s="34">
        <v>36</v>
      </c>
      <c r="L330" s="5" t="s">
        <v>17</v>
      </c>
      <c r="M330" s="38" t="str">
        <f>VLOOKUP(K330,[2]stage_hints!$A:$C,3,FALSE)</f>
        <v>チャレンジタワーのボス</v>
      </c>
      <c r="N330" s="39" t="str">
        <f>VLOOKUP(K330,[2]stage_hints!$A:$D,4,FALSE)</f>
        <v>チャレンジタワーでのみ登場するボスは
一定確率で獲得することができます</v>
      </c>
      <c r="O330" s="20" t="s">
        <v>24</v>
      </c>
      <c r="P330">
        <v>36</v>
      </c>
    </row>
    <row r="331" spans="1:16" x14ac:dyDescent="0.15">
      <c r="A331" s="27" t="str">
        <f t="shared" si="55"/>
        <v>11106_3_33</v>
      </c>
      <c r="B331" s="25" t="s">
        <v>34</v>
      </c>
      <c r="C331" s="4">
        <v>11106</v>
      </c>
      <c r="D331" s="3" t="str">
        <f ca="1">VLOOKUP($C331,OFFSET([1]quests!$A$1,0,0,COUNTA([1]quests!$A:$A),MATCH(D$1,[1]quests!$1:$1,0)-MATCH($C$1,[1]quests!$1:$1,0)+1),MATCH(D$1,[1]quests!$1:$1,0)-MATCH($C$1,[1]quests!$1:$1,0)+1,FALSE)</f>
        <v>【キャンペーン限定】 ゴールドカジノ</v>
      </c>
      <c r="E331" s="3" t="str">
        <f ca="1">VLOOKUP($C331,OFFSET([1]quests!$A$1,0,0,COUNTA([1]quests!$A:$A),MATCH(E$1,[1]quests!$1:$1,0)-MATCH($C$1,[1]quests!$1:$1,0)+1),MATCH(E$1,[1]quests!$1:$1,0)-MATCH($C$1,[1]quests!$1:$1,0)+1,FALSE)</f>
        <v>土日クエスト1</v>
      </c>
      <c r="F331" s="5">
        <v>3</v>
      </c>
      <c r="G331" s="3" t="str">
        <f ca="1">VLOOKUP($C331&amp;"_"&amp;$F331,OFFSET([1]stages!$A$1,0,0,COUNTA([1]stages!$A:$A),MATCH(G$1,[1]stages!$2:$2,0)-MATCH("temp_stage",[1]stages!$2:$2,0)+1),MATCH(G$1,[1]stages!$2:$2,0)-MATCH("temp_stage",[1]stages!$2:$2,0)+1,FALSE)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1" s="3" t="str">
        <f ca="1">VLOOKUP($C331&amp;"_"&amp;$F331,OFFSET([1]stages!$A$1,0,0,COUNTA([1]stages!$A:$A),MATCH(H$1,[1]stages!$2:$2,0)-MATCH("temp_stage",[1]stages!$2:$2,0)+1),MATCH(H$1,[1]stages!$2:$2,0)-MATCH("temp_stage",[1]stages!$2:$2,0)+1,FALSE)</f>
        <v>土日クエスト1</v>
      </c>
      <c r="I331" s="18">
        <v>0</v>
      </c>
      <c r="J331" s="5">
        <f>COUNTIF(C$1:C331,C331)</f>
        <v>33</v>
      </c>
      <c r="K331" s="34">
        <v>37</v>
      </c>
      <c r="L331" s="5" t="s">
        <v>17</v>
      </c>
      <c r="M331" s="38" t="str">
        <f>VLOOKUP(K331,[2]stage_hints!$A:$C,3,FALSE)</f>
        <v>限界突破値の引き継ぎ</v>
      </c>
      <c r="N331" s="39" t="str">
        <f>VLOOKUP(K331,[2]stage_hints!$A:$D,4,FALSE)</f>
        <v>同じユニットを強化で合成すると
限界突破値を引き継げます（覚醒前後も可）</v>
      </c>
      <c r="O331" s="20" t="s">
        <v>24</v>
      </c>
      <c r="P331">
        <v>37</v>
      </c>
    </row>
    <row r="332" spans="1:16" x14ac:dyDescent="0.15">
      <c r="A332" s="27" t="str">
        <f t="shared" si="55"/>
        <v>11016_1_1</v>
      </c>
      <c r="B332" s="25" t="s">
        <v>34</v>
      </c>
      <c r="C332" s="4">
        <v>11016</v>
      </c>
      <c r="D332" s="3" t="str">
        <f ca="1">VLOOKUP($C332,OFFSET([1]quests!$A$1,0,0,COUNTA([1]quests!$A:$A),MATCH(D$1,[1]quests!$1:$1,0)-MATCH($C$1,[1]quests!$1:$1,0)+1),MATCH(D$1,[1]quests!$1:$1,0)-MATCH($C$1,[1]quests!$1:$1,0)+1,FALSE)</f>
        <v>【マルチ専用1/2】 ゴールドカジノ</v>
      </c>
      <c r="E332" s="3" t="str">
        <f ca="1">VLOOKUP($C332,OFFSET([1]quests!$A$1,0,0,COUNTA([1]quests!$A:$A),MATCH(E$1,[1]quests!$1:$1,0)-MATCH($C$1,[1]quests!$1:$1,0)+1),MATCH(E$1,[1]quests!$1:$1,0)-MATCH($C$1,[1]quests!$1:$1,0)+1,FALSE)</f>
        <v>土日クエスト1</v>
      </c>
      <c r="F332" s="5">
        <v>1</v>
      </c>
      <c r="G332" s="3" t="str">
        <f ca="1">VLOOKUP($C332&amp;"_"&amp;$F332,OFFSET([1]stages!$A$1,0,0,COUNTA([1]stages!$A:$A),MATCH(G$1,[1]stages!$2:$2,0)-MATCH("temp_stage",[1]stages!$2:$2,0)+1),MATCH(G$1,[1]stages!$2:$2,0)-MATCH("temp_stage",[1]stages!$2:$2,0)+1,FALSE)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2" s="3" t="str">
        <f ca="1">VLOOKUP($C332&amp;"_"&amp;$F332,OFFSET([1]stages!$A$1,0,0,COUNTA([1]stages!$A:$A),MATCH(H$1,[1]stages!$2:$2,0)-MATCH("temp_stage",[1]stages!$2:$2,0)+1),MATCH(H$1,[1]stages!$2:$2,0)-MATCH("temp_stage",[1]stages!$2:$2,0)+1,FALSE)</f>
        <v>土日クエスト1</v>
      </c>
      <c r="I332" s="18">
        <v>0</v>
      </c>
      <c r="J332" s="5">
        <f>COUNTIF(C$1:C332,C332)</f>
        <v>1</v>
      </c>
      <c r="K332" s="34">
        <v>3</v>
      </c>
      <c r="L332" s="5" t="s">
        <v>17</v>
      </c>
      <c r="M332" s="38" t="str">
        <f>VLOOKUP(K332,[2]stage_hints!$A:$C,3,FALSE)</f>
        <v>ターゲット</v>
      </c>
      <c r="N332" s="39" t="str">
        <f>VLOOKUP(K332,[2]stage_hints!$A:$D,4,FALSE)</f>
        <v>敵ユニットをタップすると
その敵を狙い撃ちできます</v>
      </c>
      <c r="O332" s="20" t="s">
        <v>24</v>
      </c>
      <c r="P332">
        <v>3</v>
      </c>
    </row>
    <row r="333" spans="1:16" x14ac:dyDescent="0.15">
      <c r="A333" s="27" t="str">
        <f t="shared" si="55"/>
        <v>11016_1_2</v>
      </c>
      <c r="B333" s="25" t="s">
        <v>34</v>
      </c>
      <c r="C333" s="4">
        <v>11016</v>
      </c>
      <c r="D333" s="3" t="str">
        <f ca="1">VLOOKUP($C333,OFFSET([1]quests!$A$1,0,0,COUNTA([1]quests!$A:$A),MATCH(D$1,[1]quests!$1:$1,0)-MATCH($C$1,[1]quests!$1:$1,0)+1),MATCH(D$1,[1]quests!$1:$1,0)-MATCH($C$1,[1]quests!$1:$1,0)+1,FALSE)</f>
        <v>【マルチ専用1/2】 ゴールドカジノ</v>
      </c>
      <c r="E333" s="3" t="str">
        <f ca="1">VLOOKUP($C333,OFFSET([1]quests!$A$1,0,0,COUNTA([1]quests!$A:$A),MATCH(E$1,[1]quests!$1:$1,0)-MATCH($C$1,[1]quests!$1:$1,0)+1),MATCH(E$1,[1]quests!$1:$1,0)-MATCH($C$1,[1]quests!$1:$1,0)+1,FALSE)</f>
        <v>土日クエスト1</v>
      </c>
      <c r="F333" s="5">
        <v>1</v>
      </c>
      <c r="G333" s="3" t="str">
        <f ca="1">VLOOKUP($C333&amp;"_"&amp;$F333,OFFSET([1]stages!$A$1,0,0,COUNTA([1]stages!$A:$A),MATCH(G$1,[1]stages!$2:$2,0)-MATCH("temp_stage",[1]stages!$2:$2,0)+1),MATCH(G$1,[1]stages!$2:$2,0)-MATCH("temp_stage",[1]stages!$2:$2,0)+1,FALSE)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3" s="3" t="str">
        <f ca="1">VLOOKUP($C333&amp;"_"&amp;$F333,OFFSET([1]stages!$A$1,0,0,COUNTA([1]stages!$A:$A),MATCH(H$1,[1]stages!$2:$2,0)-MATCH("temp_stage",[1]stages!$2:$2,0)+1),MATCH(H$1,[1]stages!$2:$2,0)-MATCH("temp_stage",[1]stages!$2:$2,0)+1,FALSE)</f>
        <v>土日クエスト1</v>
      </c>
      <c r="I333" s="18">
        <v>0</v>
      </c>
      <c r="J333" s="5">
        <f>COUNTIF(C$1:C333,C333)</f>
        <v>2</v>
      </c>
      <c r="K333" s="34">
        <v>6</v>
      </c>
      <c r="L333" s="5" t="s">
        <v>17</v>
      </c>
      <c r="M333" s="38" t="str">
        <f>VLOOKUP(K333,[2]stage_hints!$A:$C,3,FALSE)</f>
        <v>ユニット強化の属性ボーナス</v>
      </c>
      <c r="N333" s="39" t="str">
        <f>VLOOKUP(K333,[2]stage_hints!$A:$D,4,FALSE)</f>
        <v>同属性ユニットを強化素材にすると
経験値が多くもらえます</v>
      </c>
      <c r="O333" s="20" t="s">
        <v>24</v>
      </c>
      <c r="P333">
        <v>6</v>
      </c>
    </row>
    <row r="334" spans="1:16" x14ac:dyDescent="0.15">
      <c r="A334" s="27" t="str">
        <f t="shared" si="55"/>
        <v>11016_1_3</v>
      </c>
      <c r="B334" s="25" t="s">
        <v>34</v>
      </c>
      <c r="C334" s="4">
        <v>11016</v>
      </c>
      <c r="D334" s="3" t="str">
        <f ca="1">VLOOKUP($C334,OFFSET([1]quests!$A$1,0,0,COUNTA([1]quests!$A:$A),MATCH(D$1,[1]quests!$1:$1,0)-MATCH($C$1,[1]quests!$1:$1,0)+1),MATCH(D$1,[1]quests!$1:$1,0)-MATCH($C$1,[1]quests!$1:$1,0)+1,FALSE)</f>
        <v>【マルチ専用1/2】 ゴールドカジノ</v>
      </c>
      <c r="E334" s="3" t="str">
        <f ca="1">VLOOKUP($C334,OFFSET([1]quests!$A$1,0,0,COUNTA([1]quests!$A:$A),MATCH(E$1,[1]quests!$1:$1,0)-MATCH($C$1,[1]quests!$1:$1,0)+1),MATCH(E$1,[1]quests!$1:$1,0)-MATCH($C$1,[1]quests!$1:$1,0)+1,FALSE)</f>
        <v>土日クエスト1</v>
      </c>
      <c r="F334" s="5">
        <v>1</v>
      </c>
      <c r="G334" s="3" t="str">
        <f ca="1">VLOOKUP($C334&amp;"_"&amp;$F334,OFFSET([1]stages!$A$1,0,0,COUNTA([1]stages!$A:$A),MATCH(G$1,[1]stages!$2:$2,0)-MATCH("temp_stage",[1]stages!$2:$2,0)+1),MATCH(G$1,[1]stages!$2:$2,0)-MATCH("temp_stage",[1]stages!$2:$2,0)+1,FALSE)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4" s="3" t="str">
        <f ca="1">VLOOKUP($C334&amp;"_"&amp;$F334,OFFSET([1]stages!$A$1,0,0,COUNTA([1]stages!$A:$A),MATCH(H$1,[1]stages!$2:$2,0)-MATCH("temp_stage",[1]stages!$2:$2,0)+1),MATCH(H$1,[1]stages!$2:$2,0)-MATCH("temp_stage",[1]stages!$2:$2,0)+1,FALSE)</f>
        <v>土日クエスト1</v>
      </c>
      <c r="I334" s="18">
        <v>0</v>
      </c>
      <c r="J334" s="5">
        <f>COUNTIF(C$1:C334,C334)</f>
        <v>3</v>
      </c>
      <c r="K334" s="34">
        <v>7</v>
      </c>
      <c r="L334" s="5" t="s">
        <v>17</v>
      </c>
      <c r="M334" s="38" t="str">
        <f>VLOOKUP(K334,[2]stage_hints!$A:$C,3,FALSE)</f>
        <v>メタルダックで経験値を獲得</v>
      </c>
      <c r="N334" s="39" t="str">
        <f>VLOOKUP(K334,[2]stage_hints!$A:$D,4,FALSE)</f>
        <v>「メタルなアヒル」を強化素材にすると
大量の経験値がもらえます</v>
      </c>
      <c r="O334" s="20" t="s">
        <v>24</v>
      </c>
      <c r="P334">
        <v>7</v>
      </c>
    </row>
    <row r="335" spans="1:16" x14ac:dyDescent="0.15">
      <c r="A335" s="27" t="str">
        <f t="shared" si="55"/>
        <v>11016_1_4</v>
      </c>
      <c r="B335" s="25" t="s">
        <v>34</v>
      </c>
      <c r="C335" s="4">
        <v>11016</v>
      </c>
      <c r="D335" s="3" t="str">
        <f ca="1">VLOOKUP($C335,OFFSET([1]quests!$A$1,0,0,COUNTA([1]quests!$A:$A),MATCH(D$1,[1]quests!$1:$1,0)-MATCH($C$1,[1]quests!$1:$1,0)+1),MATCH(D$1,[1]quests!$1:$1,0)-MATCH($C$1,[1]quests!$1:$1,0)+1,FALSE)</f>
        <v>【マルチ専用1/2】 ゴールドカジノ</v>
      </c>
      <c r="E335" s="3" t="str">
        <f ca="1">VLOOKUP($C335,OFFSET([1]quests!$A$1,0,0,COUNTA([1]quests!$A:$A),MATCH(E$1,[1]quests!$1:$1,0)-MATCH($C$1,[1]quests!$1:$1,0)+1),MATCH(E$1,[1]quests!$1:$1,0)-MATCH($C$1,[1]quests!$1:$1,0)+1,FALSE)</f>
        <v>土日クエスト1</v>
      </c>
      <c r="F335" s="5">
        <v>1</v>
      </c>
      <c r="G335" s="3" t="str">
        <f ca="1">VLOOKUP($C335&amp;"_"&amp;$F335,OFFSET([1]stages!$A$1,0,0,COUNTA([1]stages!$A:$A),MATCH(G$1,[1]stages!$2:$2,0)-MATCH("temp_stage",[1]stages!$2:$2,0)+1),MATCH(G$1,[1]stages!$2:$2,0)-MATCH("temp_stage",[1]stages!$2:$2,0)+1,FALSE)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5" s="3" t="str">
        <f ca="1">VLOOKUP($C335&amp;"_"&amp;$F335,OFFSET([1]stages!$A$1,0,0,COUNTA([1]stages!$A:$A),MATCH(H$1,[1]stages!$2:$2,0)-MATCH("temp_stage",[1]stages!$2:$2,0)+1),MATCH(H$1,[1]stages!$2:$2,0)-MATCH("temp_stage",[1]stages!$2:$2,0)+1,FALSE)</f>
        <v>土日クエスト1</v>
      </c>
      <c r="I335" s="18">
        <v>0</v>
      </c>
      <c r="J335" s="5">
        <f>COUNTIF(C$1:C335,C335)</f>
        <v>4</v>
      </c>
      <c r="K335" s="34">
        <v>8</v>
      </c>
      <c r="L335" s="5" t="s">
        <v>17</v>
      </c>
      <c r="M335" s="38" t="str">
        <f>VLOOKUP(K335,[2]stage_hints!$A:$C,3,FALSE)</f>
        <v>ゲリラクエストは要チェック</v>
      </c>
      <c r="N335" s="39" t="str">
        <f>VLOOKUP(K335,[2]stage_hints!$A:$D,4,FALSE)</f>
        <v>時間限定の「アヒル捕獲作戦」では
経験値素材ユニットが多く手に入ります</v>
      </c>
      <c r="O335" s="20" t="s">
        <v>24</v>
      </c>
      <c r="P335">
        <v>8</v>
      </c>
    </row>
    <row r="336" spans="1:16" x14ac:dyDescent="0.15">
      <c r="A336" s="27" t="str">
        <f t="shared" ref="A336:A345" si="56">C336&amp;"_"&amp;F336&amp;"_"&amp;J336</f>
        <v>11016_1_5</v>
      </c>
      <c r="B336" s="25" t="s">
        <v>34</v>
      </c>
      <c r="C336" s="4">
        <v>11016</v>
      </c>
      <c r="D336" s="3" t="str">
        <f ca="1">VLOOKUP($C336,OFFSET([1]quests!$A$1,0,0,COUNTA([1]quests!$A:$A),MATCH(D$1,[1]quests!$1:$1,0)-MATCH($C$1,[1]quests!$1:$1,0)+1),MATCH(D$1,[1]quests!$1:$1,0)-MATCH($C$1,[1]quests!$1:$1,0)+1,FALSE)</f>
        <v>【マルチ専用1/2】 ゴールドカジノ</v>
      </c>
      <c r="E336" s="3" t="str">
        <f ca="1">VLOOKUP($C336,OFFSET([1]quests!$A$1,0,0,COUNTA([1]quests!$A:$A),MATCH(E$1,[1]quests!$1:$1,0)-MATCH($C$1,[1]quests!$1:$1,0)+1),MATCH(E$1,[1]quests!$1:$1,0)-MATCH($C$1,[1]quests!$1:$1,0)+1,FALSE)</f>
        <v>土日クエスト1</v>
      </c>
      <c r="F336" s="5">
        <v>1</v>
      </c>
      <c r="G336" s="3" t="str">
        <f ca="1">VLOOKUP($C336&amp;"_"&amp;$F336,OFFSET([1]stages!$A$1,0,0,COUNTA([1]stages!$A:$A),MATCH(G$1,[1]stages!$2:$2,0)-MATCH("temp_stage",[1]stages!$2:$2,0)+1),MATCH(G$1,[1]stages!$2:$2,0)-MATCH("temp_stage",[1]stages!$2:$2,0)+1,FALSE)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6" s="3" t="str">
        <f ca="1">VLOOKUP($C336&amp;"_"&amp;$F336,OFFSET([1]stages!$A$1,0,0,COUNTA([1]stages!$A:$A),MATCH(H$1,[1]stages!$2:$2,0)-MATCH("temp_stage",[1]stages!$2:$2,0)+1),MATCH(H$1,[1]stages!$2:$2,0)-MATCH("temp_stage",[1]stages!$2:$2,0)+1,FALSE)</f>
        <v>土日クエスト1</v>
      </c>
      <c r="I336" s="18">
        <v>0</v>
      </c>
      <c r="J336" s="5">
        <f>COUNTIF(C$1:C336,C336)</f>
        <v>5</v>
      </c>
      <c r="K336" s="34">
        <v>9</v>
      </c>
      <c r="L336" s="5" t="s">
        <v>17</v>
      </c>
      <c r="M336" s="38" t="str">
        <f>VLOOKUP(K336,[2]stage_hints!$A:$C,3,FALSE)</f>
        <v>ゴールドダックでビットを獲得</v>
      </c>
      <c r="N336" s="39" t="str">
        <f>VLOOKUP(K336,[2]stage_hints!$A:$D,4,FALSE)</f>
        <v>「ゴールドなアヒル」を売却すると
大量のビットがもらえます</v>
      </c>
      <c r="O336" s="20" t="s">
        <v>24</v>
      </c>
      <c r="P336">
        <v>9</v>
      </c>
    </row>
    <row r="337" spans="1:16" x14ac:dyDescent="0.15">
      <c r="A337" s="27" t="str">
        <f t="shared" si="56"/>
        <v>11016_1_6</v>
      </c>
      <c r="B337" s="25" t="s">
        <v>34</v>
      </c>
      <c r="C337" s="4">
        <v>11016</v>
      </c>
      <c r="D337" s="3" t="str">
        <f ca="1">VLOOKUP($C337,OFFSET([1]quests!$A$1,0,0,COUNTA([1]quests!$A:$A),MATCH(D$1,[1]quests!$1:$1,0)-MATCH($C$1,[1]quests!$1:$1,0)+1),MATCH(D$1,[1]quests!$1:$1,0)-MATCH($C$1,[1]quests!$1:$1,0)+1,FALSE)</f>
        <v>【マルチ専用1/2】 ゴールドカジノ</v>
      </c>
      <c r="E337" s="3" t="str">
        <f ca="1">VLOOKUP($C337,OFFSET([1]quests!$A$1,0,0,COUNTA([1]quests!$A:$A),MATCH(E$1,[1]quests!$1:$1,0)-MATCH($C$1,[1]quests!$1:$1,0)+1),MATCH(E$1,[1]quests!$1:$1,0)-MATCH($C$1,[1]quests!$1:$1,0)+1,FALSE)</f>
        <v>土日クエスト1</v>
      </c>
      <c r="F337" s="5">
        <v>1</v>
      </c>
      <c r="G337" s="3" t="str">
        <f ca="1">VLOOKUP($C337&amp;"_"&amp;$F337,OFFSET([1]stages!$A$1,0,0,COUNTA([1]stages!$A:$A),MATCH(G$1,[1]stages!$2:$2,0)-MATCH("temp_stage",[1]stages!$2:$2,0)+1),MATCH(G$1,[1]stages!$2:$2,0)-MATCH("temp_stage",[1]stages!$2:$2,0)+1,FALSE)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7" s="3" t="str">
        <f ca="1">VLOOKUP($C337&amp;"_"&amp;$F337,OFFSET([1]stages!$A$1,0,0,COUNTA([1]stages!$A:$A),MATCH(H$1,[1]stages!$2:$2,0)-MATCH("temp_stage",[1]stages!$2:$2,0)+1),MATCH(H$1,[1]stages!$2:$2,0)-MATCH("temp_stage",[1]stages!$2:$2,0)+1,FALSE)</f>
        <v>土日クエスト1</v>
      </c>
      <c r="I337" s="18">
        <v>0</v>
      </c>
      <c r="J337" s="5">
        <f>COUNTIF(C$1:C337,C337)</f>
        <v>6</v>
      </c>
      <c r="K337" s="34">
        <v>10</v>
      </c>
      <c r="L337" s="5" t="s">
        <v>17</v>
      </c>
      <c r="M337" s="38" t="str">
        <f>VLOOKUP(K337,[2]stage_hints!$A:$C,3,FALSE)</f>
        <v>土日に大量のビットを獲得</v>
      </c>
      <c r="N337" s="39" t="str">
        <f>VLOOKUP(K337,[2]stage_hints!$A:$D,4,FALSE)</f>
        <v>土日限定の「ゴールドカジノ」では
売却素材ユニットが多く手に入ります</v>
      </c>
      <c r="O337" s="20" t="s">
        <v>24</v>
      </c>
      <c r="P337">
        <v>10</v>
      </c>
    </row>
    <row r="338" spans="1:16" x14ac:dyDescent="0.15">
      <c r="A338" s="27" t="str">
        <f t="shared" si="56"/>
        <v>11016_1_7</v>
      </c>
      <c r="B338" s="25" t="s">
        <v>34</v>
      </c>
      <c r="C338" s="4">
        <v>11016</v>
      </c>
      <c r="D338" s="3" t="str">
        <f ca="1">VLOOKUP($C338,OFFSET([1]quests!$A$1,0,0,COUNTA([1]quests!$A:$A),MATCH(D$1,[1]quests!$1:$1,0)-MATCH($C$1,[1]quests!$1:$1,0)+1),MATCH(D$1,[1]quests!$1:$1,0)-MATCH($C$1,[1]quests!$1:$1,0)+1,FALSE)</f>
        <v>【マルチ専用1/2】 ゴールドカジノ</v>
      </c>
      <c r="E338" s="3" t="str">
        <f ca="1">VLOOKUP($C338,OFFSET([1]quests!$A$1,0,0,COUNTA([1]quests!$A:$A),MATCH(E$1,[1]quests!$1:$1,0)-MATCH($C$1,[1]quests!$1:$1,0)+1),MATCH(E$1,[1]quests!$1:$1,0)-MATCH($C$1,[1]quests!$1:$1,0)+1,FALSE)</f>
        <v>土日クエスト1</v>
      </c>
      <c r="F338" s="5">
        <v>1</v>
      </c>
      <c r="G338" s="3" t="str">
        <f ca="1">VLOOKUP($C338&amp;"_"&amp;$F338,OFFSET([1]stages!$A$1,0,0,COUNTA([1]stages!$A:$A),MATCH(G$1,[1]stages!$2:$2,0)-MATCH("temp_stage",[1]stages!$2:$2,0)+1),MATCH(G$1,[1]stages!$2:$2,0)-MATCH("temp_stage",[1]stages!$2:$2,0)+1,FALSE)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8" s="3" t="str">
        <f ca="1">VLOOKUP($C338&amp;"_"&amp;$F338,OFFSET([1]stages!$A$1,0,0,COUNTA([1]stages!$A:$A),MATCH(H$1,[1]stages!$2:$2,0)-MATCH("temp_stage",[1]stages!$2:$2,0)+1),MATCH(H$1,[1]stages!$2:$2,0)-MATCH("temp_stage",[1]stages!$2:$2,0)+1,FALSE)</f>
        <v>土日クエスト1</v>
      </c>
      <c r="I338" s="18">
        <v>0</v>
      </c>
      <c r="J338" s="5">
        <f>COUNTIF(C$1:C338,C338)</f>
        <v>7</v>
      </c>
      <c r="K338" s="34">
        <v>11</v>
      </c>
      <c r="L338" s="5" t="s">
        <v>17</v>
      </c>
      <c r="M338" s="38" t="str">
        <f>VLOOKUP(K338,[2]stage_hints!$A:$C,3,FALSE)</f>
        <v>ランク解放クエスト</v>
      </c>
      <c r="N338" s="39" t="str">
        <f>VLOOKUP(K338,[2]stage_hints!$A:$D,4,FALSE)</f>
        <v>一定ランクに到達すると
報酬付きのランク開放クエストが現れます</v>
      </c>
      <c r="O338" s="20" t="s">
        <v>24</v>
      </c>
      <c r="P338">
        <v>11</v>
      </c>
    </row>
    <row r="339" spans="1:16" x14ac:dyDescent="0.15">
      <c r="A339" s="27" t="str">
        <f t="shared" si="56"/>
        <v>11016_1_8</v>
      </c>
      <c r="B339" s="25" t="s">
        <v>34</v>
      </c>
      <c r="C339" s="4">
        <v>11016</v>
      </c>
      <c r="D339" s="3" t="str">
        <f ca="1">VLOOKUP($C339,OFFSET([1]quests!$A$1,0,0,COUNTA([1]quests!$A:$A),MATCH(D$1,[1]quests!$1:$1,0)-MATCH($C$1,[1]quests!$1:$1,0)+1),MATCH(D$1,[1]quests!$1:$1,0)-MATCH($C$1,[1]quests!$1:$1,0)+1,FALSE)</f>
        <v>【マルチ専用1/2】 ゴールドカジノ</v>
      </c>
      <c r="E339" s="3" t="str">
        <f ca="1">VLOOKUP($C339,OFFSET([1]quests!$A$1,0,0,COUNTA([1]quests!$A:$A),MATCH(E$1,[1]quests!$1:$1,0)-MATCH($C$1,[1]quests!$1:$1,0)+1),MATCH(E$1,[1]quests!$1:$1,0)-MATCH($C$1,[1]quests!$1:$1,0)+1,FALSE)</f>
        <v>土日クエスト1</v>
      </c>
      <c r="F339" s="5">
        <v>1</v>
      </c>
      <c r="G339" s="3" t="str">
        <f ca="1">VLOOKUP($C339&amp;"_"&amp;$F339,OFFSET([1]stages!$A$1,0,0,COUNTA([1]stages!$A:$A),MATCH(G$1,[1]stages!$2:$2,0)-MATCH("temp_stage",[1]stages!$2:$2,0)+1),MATCH(G$1,[1]stages!$2:$2,0)-MATCH("temp_stage",[1]stages!$2:$2,0)+1,FALSE)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39" s="3" t="str">
        <f ca="1">VLOOKUP($C339&amp;"_"&amp;$F339,OFFSET([1]stages!$A$1,0,0,COUNTA([1]stages!$A:$A),MATCH(H$1,[1]stages!$2:$2,0)-MATCH("temp_stage",[1]stages!$2:$2,0)+1),MATCH(H$1,[1]stages!$2:$2,0)-MATCH("temp_stage",[1]stages!$2:$2,0)+1,FALSE)</f>
        <v>土日クエスト1</v>
      </c>
      <c r="I339" s="18">
        <v>0</v>
      </c>
      <c r="J339" s="5">
        <f>COUNTIF(C$1:C339,C339)</f>
        <v>8</v>
      </c>
      <c r="K339" s="34">
        <v>12</v>
      </c>
      <c r="L339" s="5" t="s">
        <v>17</v>
      </c>
      <c r="M339" s="38" t="str">
        <f>VLOOKUP(K339,[2]stage_hints!$A:$C,3,FALSE)</f>
        <v>ユニットのお気に入り登録</v>
      </c>
      <c r="N339" s="39" t="str">
        <f>VLOOKUP(K339,[2]stage_hints!$A:$D,4,FALSE)</f>
        <v>大事なユニットを誤って消さないように
フォルダから「お気に入り登録」しましょう</v>
      </c>
      <c r="O339" s="20" t="s">
        <v>24</v>
      </c>
      <c r="P339">
        <v>12</v>
      </c>
    </row>
    <row r="340" spans="1:16" x14ac:dyDescent="0.15">
      <c r="A340" s="27" t="str">
        <f t="shared" si="56"/>
        <v>11016_1_9</v>
      </c>
      <c r="B340" s="25" t="s">
        <v>34</v>
      </c>
      <c r="C340" s="4">
        <v>11016</v>
      </c>
      <c r="D340" s="3" t="str">
        <f ca="1">VLOOKUP($C340,OFFSET([1]quests!$A$1,0,0,COUNTA([1]quests!$A:$A),MATCH(D$1,[1]quests!$1:$1,0)-MATCH($C$1,[1]quests!$1:$1,0)+1),MATCH(D$1,[1]quests!$1:$1,0)-MATCH($C$1,[1]quests!$1:$1,0)+1,FALSE)</f>
        <v>【マルチ専用1/2】 ゴールドカジノ</v>
      </c>
      <c r="E340" s="3" t="str">
        <f ca="1">VLOOKUP($C340,OFFSET([1]quests!$A$1,0,0,COUNTA([1]quests!$A:$A),MATCH(E$1,[1]quests!$1:$1,0)-MATCH($C$1,[1]quests!$1:$1,0)+1),MATCH(E$1,[1]quests!$1:$1,0)-MATCH($C$1,[1]quests!$1:$1,0)+1,FALSE)</f>
        <v>土日クエスト1</v>
      </c>
      <c r="F340" s="5">
        <v>1</v>
      </c>
      <c r="G340" s="3" t="str">
        <f ca="1">VLOOKUP($C340&amp;"_"&amp;$F340,OFFSET([1]stages!$A$1,0,0,COUNTA([1]stages!$A:$A),MATCH(G$1,[1]stages!$2:$2,0)-MATCH("temp_stage",[1]stages!$2:$2,0)+1),MATCH(G$1,[1]stages!$2:$2,0)-MATCH("temp_stage",[1]stages!$2:$2,0)+1,FALSE)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0" s="3" t="str">
        <f ca="1">VLOOKUP($C340&amp;"_"&amp;$F340,OFFSET([1]stages!$A$1,0,0,COUNTA([1]stages!$A:$A),MATCH(H$1,[1]stages!$2:$2,0)-MATCH("temp_stage",[1]stages!$2:$2,0)+1),MATCH(H$1,[1]stages!$2:$2,0)-MATCH("temp_stage",[1]stages!$2:$2,0)+1,FALSE)</f>
        <v>土日クエスト1</v>
      </c>
      <c r="I340" s="18">
        <v>0</v>
      </c>
      <c r="J340" s="5">
        <f>COUNTIF(C$1:C340,C340)</f>
        <v>9</v>
      </c>
      <c r="K340" s="34">
        <v>13</v>
      </c>
      <c r="L340" s="5" t="s">
        <v>17</v>
      </c>
      <c r="M340" s="38" t="str">
        <f>VLOOKUP(K340,[2]stage_hints!$A:$C,3,FALSE)</f>
        <v>ユニットの覚醒</v>
      </c>
      <c r="N340" s="39" t="str">
        <f>VLOOKUP(K340,[2]stage_hints!$A:$D,4,FALSE)</f>
        <v>ユニットを覚醒させると
比べものにならない強さが手に入ります</v>
      </c>
      <c r="O340" s="20" t="s">
        <v>24</v>
      </c>
      <c r="P340">
        <v>13</v>
      </c>
    </row>
    <row r="341" spans="1:16" x14ac:dyDescent="0.15">
      <c r="A341" s="27" t="str">
        <f t="shared" si="56"/>
        <v>11016_1_10</v>
      </c>
      <c r="B341" s="25" t="s">
        <v>34</v>
      </c>
      <c r="C341" s="4">
        <v>11016</v>
      </c>
      <c r="D341" s="3" t="str">
        <f ca="1">VLOOKUP($C341,OFFSET([1]quests!$A$1,0,0,COUNTA([1]quests!$A:$A),MATCH(D$1,[1]quests!$1:$1,0)-MATCH($C$1,[1]quests!$1:$1,0)+1),MATCH(D$1,[1]quests!$1:$1,0)-MATCH($C$1,[1]quests!$1:$1,0)+1,FALSE)</f>
        <v>【マルチ専用1/2】 ゴールドカジノ</v>
      </c>
      <c r="E341" s="3" t="str">
        <f ca="1">VLOOKUP($C341,OFFSET([1]quests!$A$1,0,0,COUNTA([1]quests!$A:$A),MATCH(E$1,[1]quests!$1:$1,0)-MATCH($C$1,[1]quests!$1:$1,0)+1),MATCH(E$1,[1]quests!$1:$1,0)-MATCH($C$1,[1]quests!$1:$1,0)+1,FALSE)</f>
        <v>土日クエスト1</v>
      </c>
      <c r="F341" s="5">
        <v>1</v>
      </c>
      <c r="G341" s="3" t="str">
        <f ca="1">VLOOKUP($C341&amp;"_"&amp;$F341,OFFSET([1]stages!$A$1,0,0,COUNTA([1]stages!$A:$A),MATCH(G$1,[1]stages!$2:$2,0)-MATCH("temp_stage",[1]stages!$2:$2,0)+1),MATCH(G$1,[1]stages!$2:$2,0)-MATCH("temp_stage",[1]stages!$2:$2,0)+1,FALSE)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1" s="3" t="str">
        <f ca="1">VLOOKUP($C341&amp;"_"&amp;$F341,OFFSET([1]stages!$A$1,0,0,COUNTA([1]stages!$A:$A),MATCH(H$1,[1]stages!$2:$2,0)-MATCH("temp_stage",[1]stages!$2:$2,0)+1),MATCH(H$1,[1]stages!$2:$2,0)-MATCH("temp_stage",[1]stages!$2:$2,0)+1,FALSE)</f>
        <v>土日クエスト1</v>
      </c>
      <c r="I341" s="18">
        <v>0</v>
      </c>
      <c r="J341" s="5">
        <f>COUNTIF(C$1:C341,C341)</f>
        <v>10</v>
      </c>
      <c r="K341" s="34">
        <v>14</v>
      </c>
      <c r="L341" s="5" t="s">
        <v>17</v>
      </c>
      <c r="M341" s="38" t="str">
        <f>VLOOKUP(K341,[2]stage_hints!$A:$C,3,FALSE)</f>
        <v>覚醒するにはレベルを最大に</v>
      </c>
      <c r="N341" s="39" t="str">
        <f>VLOOKUP(K341,[2]stage_hints!$A:$D,4,FALSE)</f>
        <v>覚醒するにはユニットのレベルを
最大まで上げる必要があります</v>
      </c>
      <c r="O341" s="20" t="s">
        <v>24</v>
      </c>
      <c r="P341">
        <v>14</v>
      </c>
    </row>
    <row r="342" spans="1:16" x14ac:dyDescent="0.15">
      <c r="A342" s="27" t="str">
        <f t="shared" si="56"/>
        <v>11016_1_11</v>
      </c>
      <c r="B342" s="25" t="s">
        <v>34</v>
      </c>
      <c r="C342" s="4">
        <v>11016</v>
      </c>
      <c r="D342" s="3" t="str">
        <f ca="1">VLOOKUP($C342,OFFSET([1]quests!$A$1,0,0,COUNTA([1]quests!$A:$A),MATCH(D$1,[1]quests!$1:$1,0)-MATCH($C$1,[1]quests!$1:$1,0)+1),MATCH(D$1,[1]quests!$1:$1,0)-MATCH($C$1,[1]quests!$1:$1,0)+1,FALSE)</f>
        <v>【マルチ専用1/2】 ゴールドカジノ</v>
      </c>
      <c r="E342" s="3" t="str">
        <f ca="1">VLOOKUP($C342,OFFSET([1]quests!$A$1,0,0,COUNTA([1]quests!$A:$A),MATCH(E$1,[1]quests!$1:$1,0)-MATCH($C$1,[1]quests!$1:$1,0)+1),MATCH(E$1,[1]quests!$1:$1,0)-MATCH($C$1,[1]quests!$1:$1,0)+1,FALSE)</f>
        <v>土日クエスト1</v>
      </c>
      <c r="F342" s="5">
        <v>1</v>
      </c>
      <c r="G342" s="3" t="str">
        <f ca="1">VLOOKUP($C342&amp;"_"&amp;$F342,OFFSET([1]stages!$A$1,0,0,COUNTA([1]stages!$A:$A),MATCH(G$1,[1]stages!$2:$2,0)-MATCH("temp_stage",[1]stages!$2:$2,0)+1),MATCH(G$1,[1]stages!$2:$2,0)-MATCH("temp_stage",[1]stages!$2:$2,0)+1,FALSE)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2" s="3" t="str">
        <f ca="1">VLOOKUP($C342&amp;"_"&amp;$F342,OFFSET([1]stages!$A$1,0,0,COUNTA([1]stages!$A:$A),MATCH(H$1,[1]stages!$2:$2,0)-MATCH("temp_stage",[1]stages!$2:$2,0)+1),MATCH(H$1,[1]stages!$2:$2,0)-MATCH("temp_stage",[1]stages!$2:$2,0)+1,FALSE)</f>
        <v>土日クエスト1</v>
      </c>
      <c r="I342" s="18">
        <v>0</v>
      </c>
      <c r="J342" s="5">
        <f>COUNTIF(C$1:C342,C342)</f>
        <v>11</v>
      </c>
      <c r="K342" s="34">
        <v>15</v>
      </c>
      <c r="L342" s="5" t="s">
        <v>17</v>
      </c>
      <c r="M342" s="38" t="str">
        <f>VLOOKUP(K342,[2]stage_hints!$A:$C,3,FALSE)</f>
        <v>覚醒素材を獲得</v>
      </c>
      <c r="N342" s="39" t="str">
        <f>VLOOKUP(K342,[2]stage_hints!$A:$D,4,FALSE)</f>
        <v>「曜日クエスト」では
ユニットの覚醒に必要な素材が手に入ります</v>
      </c>
      <c r="O342" s="20" t="s">
        <v>24</v>
      </c>
      <c r="P342">
        <v>15</v>
      </c>
    </row>
    <row r="343" spans="1:16" x14ac:dyDescent="0.15">
      <c r="A343" s="27" t="str">
        <f t="shared" si="56"/>
        <v>11016_1_12</v>
      </c>
      <c r="B343" s="25" t="s">
        <v>34</v>
      </c>
      <c r="C343" s="4">
        <v>11016</v>
      </c>
      <c r="D343" s="3" t="str">
        <f ca="1">VLOOKUP($C343,OFFSET([1]quests!$A$1,0,0,COUNTA([1]quests!$A:$A),MATCH(D$1,[1]quests!$1:$1,0)-MATCH($C$1,[1]quests!$1:$1,0)+1),MATCH(D$1,[1]quests!$1:$1,0)-MATCH($C$1,[1]quests!$1:$1,0)+1,FALSE)</f>
        <v>【マルチ専用1/2】 ゴールドカジノ</v>
      </c>
      <c r="E343" s="3" t="str">
        <f ca="1">VLOOKUP($C343,OFFSET([1]quests!$A$1,0,0,COUNTA([1]quests!$A:$A),MATCH(E$1,[1]quests!$1:$1,0)-MATCH($C$1,[1]quests!$1:$1,0)+1),MATCH(E$1,[1]quests!$1:$1,0)-MATCH($C$1,[1]quests!$1:$1,0)+1,FALSE)</f>
        <v>土日クエスト1</v>
      </c>
      <c r="F343" s="5">
        <v>1</v>
      </c>
      <c r="G343" s="3" t="str">
        <f ca="1">VLOOKUP($C343&amp;"_"&amp;$F343,OFFSET([1]stages!$A$1,0,0,COUNTA([1]stages!$A:$A),MATCH(G$1,[1]stages!$2:$2,0)-MATCH("temp_stage",[1]stages!$2:$2,0)+1),MATCH(G$1,[1]stages!$2:$2,0)-MATCH("temp_stage",[1]stages!$2:$2,0)+1,FALSE)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3" s="3" t="str">
        <f ca="1">VLOOKUP($C343&amp;"_"&amp;$F343,OFFSET([1]stages!$A$1,0,0,COUNTA([1]stages!$A:$A),MATCH(H$1,[1]stages!$2:$2,0)-MATCH("temp_stage",[1]stages!$2:$2,0)+1),MATCH(H$1,[1]stages!$2:$2,0)-MATCH("temp_stage",[1]stages!$2:$2,0)+1,FALSE)</f>
        <v>土日クエスト1</v>
      </c>
      <c r="I343" s="18">
        <v>0</v>
      </c>
      <c r="J343" s="5">
        <f>COUNTIF(C$1:C343,C343)</f>
        <v>12</v>
      </c>
      <c r="K343" s="34">
        <v>16</v>
      </c>
      <c r="L343" s="5" t="s">
        <v>17</v>
      </c>
      <c r="M343" s="38" t="str">
        <f>VLOOKUP(K343,[2]stage_hints!$A:$C,3,FALSE)</f>
        <v>マルチプレイのメリット（その1）</v>
      </c>
      <c r="N343" s="39" t="str">
        <f>VLOOKUP(K343,[2]stage_hints!$A:$D,4,FALSE)</f>
        <v>他のプレイヤーとマルチプレイで遊ぶと
ポリゴンがもらえます（100人まで）</v>
      </c>
      <c r="O343" s="20" t="s">
        <v>24</v>
      </c>
      <c r="P343">
        <v>16</v>
      </c>
    </row>
    <row r="344" spans="1:16" x14ac:dyDescent="0.15">
      <c r="A344" s="27" t="str">
        <f t="shared" si="56"/>
        <v>11016_1_13</v>
      </c>
      <c r="B344" s="25" t="s">
        <v>34</v>
      </c>
      <c r="C344" s="4">
        <v>11016</v>
      </c>
      <c r="D344" s="3" t="str">
        <f ca="1">VLOOKUP($C344,OFFSET([1]quests!$A$1,0,0,COUNTA([1]quests!$A:$A),MATCH(D$1,[1]quests!$1:$1,0)-MATCH($C$1,[1]quests!$1:$1,0)+1),MATCH(D$1,[1]quests!$1:$1,0)-MATCH($C$1,[1]quests!$1:$1,0)+1,FALSE)</f>
        <v>【マルチ専用1/2】 ゴールドカジノ</v>
      </c>
      <c r="E344" s="3" t="str">
        <f ca="1">VLOOKUP($C344,OFFSET([1]quests!$A$1,0,0,COUNTA([1]quests!$A:$A),MATCH(E$1,[1]quests!$1:$1,0)-MATCH($C$1,[1]quests!$1:$1,0)+1),MATCH(E$1,[1]quests!$1:$1,0)-MATCH($C$1,[1]quests!$1:$1,0)+1,FALSE)</f>
        <v>土日クエスト1</v>
      </c>
      <c r="F344" s="5">
        <v>1</v>
      </c>
      <c r="G344" s="3" t="str">
        <f ca="1">VLOOKUP($C344&amp;"_"&amp;$F344,OFFSET([1]stages!$A$1,0,0,COUNTA([1]stages!$A:$A),MATCH(G$1,[1]stages!$2:$2,0)-MATCH("temp_stage",[1]stages!$2:$2,0)+1),MATCH(G$1,[1]stages!$2:$2,0)-MATCH("temp_stage",[1]stages!$2:$2,0)+1,FALSE)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4" s="3" t="str">
        <f ca="1">VLOOKUP($C344&amp;"_"&amp;$F344,OFFSET([1]stages!$A$1,0,0,COUNTA([1]stages!$A:$A),MATCH(H$1,[1]stages!$2:$2,0)-MATCH("temp_stage",[1]stages!$2:$2,0)+1),MATCH(H$1,[1]stages!$2:$2,0)-MATCH("temp_stage",[1]stages!$2:$2,0)+1,FALSE)</f>
        <v>土日クエスト1</v>
      </c>
      <c r="I344" s="18">
        <v>0</v>
      </c>
      <c r="J344" s="5">
        <f>COUNTIF(C$1:C344,C344)</f>
        <v>13</v>
      </c>
      <c r="K344" s="34">
        <v>17</v>
      </c>
      <c r="L344" s="5" t="s">
        <v>17</v>
      </c>
      <c r="M344" s="38" t="str">
        <f>VLOOKUP(K344,[2]stage_hints!$A:$C,3,FALSE)</f>
        <v>リンクガチャ</v>
      </c>
      <c r="N344" s="39" t="str">
        <f>VLOOKUP(K344,[2]stage_hints!$A:$D,4,FALSE)</f>
        <v>無料のリンクガチャを回して
経験値素材や売却素材を獲得しましょう</v>
      </c>
      <c r="O344" s="20" t="s">
        <v>24</v>
      </c>
      <c r="P344">
        <v>17</v>
      </c>
    </row>
    <row r="345" spans="1:16" x14ac:dyDescent="0.15">
      <c r="A345" s="27" t="str">
        <f t="shared" si="56"/>
        <v>11016_1_14</v>
      </c>
      <c r="B345" s="25" t="s">
        <v>34</v>
      </c>
      <c r="C345" s="4">
        <v>11016</v>
      </c>
      <c r="D345" s="3" t="str">
        <f ca="1">VLOOKUP($C345,OFFSET([1]quests!$A$1,0,0,COUNTA([1]quests!$A:$A),MATCH(D$1,[1]quests!$1:$1,0)-MATCH($C$1,[1]quests!$1:$1,0)+1),MATCH(D$1,[1]quests!$1:$1,0)-MATCH($C$1,[1]quests!$1:$1,0)+1,FALSE)</f>
        <v>【マルチ専用1/2】 ゴールドカジノ</v>
      </c>
      <c r="E345" s="3" t="str">
        <f ca="1">VLOOKUP($C345,OFFSET([1]quests!$A$1,0,0,COUNTA([1]quests!$A:$A),MATCH(E$1,[1]quests!$1:$1,0)-MATCH($C$1,[1]quests!$1:$1,0)+1),MATCH(E$1,[1]quests!$1:$1,0)-MATCH($C$1,[1]quests!$1:$1,0)+1,FALSE)</f>
        <v>土日クエスト1</v>
      </c>
      <c r="F345" s="5">
        <v>1</v>
      </c>
      <c r="G345" s="3" t="str">
        <f ca="1">VLOOKUP($C345&amp;"_"&amp;$F345,OFFSET([1]stages!$A$1,0,0,COUNTA([1]stages!$A:$A),MATCH(G$1,[1]stages!$2:$2,0)-MATCH("temp_stage",[1]stages!$2:$2,0)+1),MATCH(G$1,[1]stages!$2:$2,0)-MATCH("temp_stage",[1]stages!$2:$2,0)+1,FALSE)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5" s="3" t="str">
        <f ca="1">VLOOKUP($C345&amp;"_"&amp;$F345,OFFSET([1]stages!$A$1,0,0,COUNTA([1]stages!$A:$A),MATCH(H$1,[1]stages!$2:$2,0)-MATCH("temp_stage",[1]stages!$2:$2,0)+1),MATCH(H$1,[1]stages!$2:$2,0)-MATCH("temp_stage",[1]stages!$2:$2,0)+1,FALSE)</f>
        <v>土日クエスト1</v>
      </c>
      <c r="I345" s="18">
        <v>0</v>
      </c>
      <c r="J345" s="5">
        <f>COUNTIF(C$1:C345,C345)</f>
        <v>14</v>
      </c>
      <c r="K345" s="34">
        <v>18</v>
      </c>
      <c r="L345" s="5" t="s">
        <v>17</v>
      </c>
      <c r="M345" s="38" t="str">
        <f>VLOOKUP(K345,[2]stage_hints!$A:$C,3,FALSE)</f>
        <v>マルチプレイのメリット（その2）</v>
      </c>
      <c r="N345" s="39" t="str">
        <f>VLOOKUP(K345,[2]stage_hints!$A:$D,4,FALSE)</f>
        <v>マルチプレイならリンクが2倍もらえます
リンクガチャをたくさん回しましょう</v>
      </c>
      <c r="O345" s="20" t="s">
        <v>24</v>
      </c>
      <c r="P345">
        <v>18</v>
      </c>
    </row>
    <row r="346" spans="1:16" x14ac:dyDescent="0.15">
      <c r="A346" s="27" t="str">
        <f t="shared" ref="A346:A350" si="57">C346&amp;"_"&amp;F346&amp;"_"&amp;J346</f>
        <v>11016_1_15</v>
      </c>
      <c r="B346" s="25" t="s">
        <v>34</v>
      </c>
      <c r="C346" s="4">
        <v>11016</v>
      </c>
      <c r="D346" s="3" t="str">
        <f ca="1">VLOOKUP($C346,OFFSET([1]quests!$A$1,0,0,COUNTA([1]quests!$A:$A),MATCH(D$1,[1]quests!$1:$1,0)-MATCH($C$1,[1]quests!$1:$1,0)+1),MATCH(D$1,[1]quests!$1:$1,0)-MATCH($C$1,[1]quests!$1:$1,0)+1,FALSE)</f>
        <v>【マルチ専用1/2】 ゴールドカジノ</v>
      </c>
      <c r="E346" s="3" t="str">
        <f ca="1">VLOOKUP($C346,OFFSET([1]quests!$A$1,0,0,COUNTA([1]quests!$A:$A),MATCH(E$1,[1]quests!$1:$1,0)-MATCH($C$1,[1]quests!$1:$1,0)+1),MATCH(E$1,[1]quests!$1:$1,0)-MATCH($C$1,[1]quests!$1:$1,0)+1,FALSE)</f>
        <v>土日クエスト1</v>
      </c>
      <c r="F346" s="5">
        <v>1</v>
      </c>
      <c r="G346" s="3" t="str">
        <f ca="1">VLOOKUP($C346&amp;"_"&amp;$F346,OFFSET([1]stages!$A$1,0,0,COUNTA([1]stages!$A:$A),MATCH(G$1,[1]stages!$2:$2,0)-MATCH("temp_stage",[1]stages!$2:$2,0)+1),MATCH(G$1,[1]stages!$2:$2,0)-MATCH("temp_stage",[1]stages!$2:$2,0)+1,FALSE)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6" s="3" t="str">
        <f ca="1">VLOOKUP($C346&amp;"_"&amp;$F346,OFFSET([1]stages!$A$1,0,0,COUNTA([1]stages!$A:$A),MATCH(H$1,[1]stages!$2:$2,0)-MATCH("temp_stage",[1]stages!$2:$2,0)+1),MATCH(H$1,[1]stages!$2:$2,0)-MATCH("temp_stage",[1]stages!$2:$2,0)+1,FALSE)</f>
        <v>土日クエスト1</v>
      </c>
      <c r="I346" s="18">
        <v>0</v>
      </c>
      <c r="J346" s="5">
        <f>COUNTIF(C$1:C346,C346)</f>
        <v>15</v>
      </c>
      <c r="K346" s="34">
        <v>19</v>
      </c>
      <c r="L346" s="5" t="s">
        <v>17</v>
      </c>
      <c r="M346" s="38" t="str">
        <f>VLOOKUP(K346,[2]stage_hints!$A:$C,3,FALSE)</f>
        <v>ソロ専用チャレンジタワー</v>
      </c>
      <c r="N346" s="39" t="str">
        <f>VLOOKUP(K346,[2]stage_hints!$A:$D,4,FALSE)</f>
        <v>ソロ専用の「チャレンジタワー」では
各フロアごとにクリア報酬がもらえます</v>
      </c>
      <c r="O346" s="20" t="s">
        <v>24</v>
      </c>
      <c r="P346">
        <v>19</v>
      </c>
    </row>
    <row r="347" spans="1:16" x14ac:dyDescent="0.15">
      <c r="A347" s="27" t="str">
        <f t="shared" si="57"/>
        <v>11016_1_16</v>
      </c>
      <c r="B347" s="25" t="s">
        <v>34</v>
      </c>
      <c r="C347" s="4">
        <v>11016</v>
      </c>
      <c r="D347" s="3" t="str">
        <f ca="1">VLOOKUP($C347,OFFSET([1]quests!$A$1,0,0,COUNTA([1]quests!$A:$A),MATCH(D$1,[1]quests!$1:$1,0)-MATCH($C$1,[1]quests!$1:$1,0)+1),MATCH(D$1,[1]quests!$1:$1,0)-MATCH($C$1,[1]quests!$1:$1,0)+1,FALSE)</f>
        <v>【マルチ専用1/2】 ゴールドカジノ</v>
      </c>
      <c r="E347" s="3" t="str">
        <f ca="1">VLOOKUP($C347,OFFSET([1]quests!$A$1,0,0,COUNTA([1]quests!$A:$A),MATCH(E$1,[1]quests!$1:$1,0)-MATCH($C$1,[1]quests!$1:$1,0)+1),MATCH(E$1,[1]quests!$1:$1,0)-MATCH($C$1,[1]quests!$1:$1,0)+1,FALSE)</f>
        <v>土日クエスト1</v>
      </c>
      <c r="F347" s="5">
        <v>1</v>
      </c>
      <c r="G347" s="3" t="str">
        <f ca="1">VLOOKUP($C347&amp;"_"&amp;$F347,OFFSET([1]stages!$A$1,0,0,COUNTA([1]stages!$A:$A),MATCH(G$1,[1]stages!$2:$2,0)-MATCH("temp_stage",[1]stages!$2:$2,0)+1),MATCH(G$1,[1]stages!$2:$2,0)-MATCH("temp_stage",[1]stages!$2:$2,0)+1,FALSE)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7" s="3" t="str">
        <f ca="1">VLOOKUP($C347&amp;"_"&amp;$F347,OFFSET([1]stages!$A$1,0,0,COUNTA([1]stages!$A:$A),MATCH(H$1,[1]stages!$2:$2,0)-MATCH("temp_stage",[1]stages!$2:$2,0)+1),MATCH(H$1,[1]stages!$2:$2,0)-MATCH("temp_stage",[1]stages!$2:$2,0)+1,FALSE)</f>
        <v>土日クエスト1</v>
      </c>
      <c r="I347" s="18">
        <v>0</v>
      </c>
      <c r="J347" s="5">
        <f>COUNTIF(C$1:C347,C347)</f>
        <v>16</v>
      </c>
      <c r="K347" s="34">
        <v>20</v>
      </c>
      <c r="L347" s="5" t="s">
        <v>17</v>
      </c>
      <c r="M347" s="38" t="str">
        <f>VLOOKUP(K347,[2]stage_hints!$A:$C,3,FALSE)</f>
        <v>マルチプレイのメリット（その3）</v>
      </c>
      <c r="N347" s="39" t="str">
        <f>VLOOKUP(K347,[2]stage_hints!$A:$D,4,FALSE)</f>
        <v>マルチプレイへの参加はエナジー消費ゼロ
いつでも好きなだけ遊ぶことができます</v>
      </c>
      <c r="O347" s="20" t="s">
        <v>24</v>
      </c>
      <c r="P347">
        <v>20</v>
      </c>
    </row>
    <row r="348" spans="1:16" x14ac:dyDescent="0.15">
      <c r="A348" s="27" t="str">
        <f t="shared" si="57"/>
        <v>11016_1_17</v>
      </c>
      <c r="B348" s="25" t="s">
        <v>34</v>
      </c>
      <c r="C348" s="4">
        <v>11016</v>
      </c>
      <c r="D348" s="3" t="str">
        <f ca="1">VLOOKUP($C348,OFFSET([1]quests!$A$1,0,0,COUNTA([1]quests!$A:$A),MATCH(D$1,[1]quests!$1:$1,0)-MATCH($C$1,[1]quests!$1:$1,0)+1),MATCH(D$1,[1]quests!$1:$1,0)-MATCH($C$1,[1]quests!$1:$1,0)+1,FALSE)</f>
        <v>【マルチ専用1/2】 ゴールドカジノ</v>
      </c>
      <c r="E348" s="3" t="str">
        <f ca="1">VLOOKUP($C348,OFFSET([1]quests!$A$1,0,0,COUNTA([1]quests!$A:$A),MATCH(E$1,[1]quests!$1:$1,0)-MATCH($C$1,[1]quests!$1:$1,0)+1),MATCH(E$1,[1]quests!$1:$1,0)-MATCH($C$1,[1]quests!$1:$1,0)+1,FALSE)</f>
        <v>土日クエスト1</v>
      </c>
      <c r="F348" s="5">
        <v>1</v>
      </c>
      <c r="G348" s="3" t="str">
        <f ca="1">VLOOKUP($C348&amp;"_"&amp;$F348,OFFSET([1]stages!$A$1,0,0,COUNTA([1]stages!$A:$A),MATCH(G$1,[1]stages!$2:$2,0)-MATCH("temp_stage",[1]stages!$2:$2,0)+1),MATCH(G$1,[1]stages!$2:$2,0)-MATCH("temp_stage",[1]stages!$2:$2,0)+1,FALSE)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8" s="3" t="str">
        <f ca="1">VLOOKUP($C348&amp;"_"&amp;$F348,OFFSET([1]stages!$A$1,0,0,COUNTA([1]stages!$A:$A),MATCH(H$1,[1]stages!$2:$2,0)-MATCH("temp_stage",[1]stages!$2:$2,0)+1),MATCH(H$1,[1]stages!$2:$2,0)-MATCH("temp_stage",[1]stages!$2:$2,0)+1,FALSE)</f>
        <v>土日クエスト1</v>
      </c>
      <c r="I348" s="18">
        <v>0</v>
      </c>
      <c r="J348" s="5">
        <f>COUNTIF(C$1:C348,C348)</f>
        <v>17</v>
      </c>
      <c r="K348" s="34">
        <v>21</v>
      </c>
      <c r="L348" s="5" t="s">
        <v>17</v>
      </c>
      <c r="M348" s="38" t="str">
        <f>VLOOKUP(K348,[2]stage_hints!$A:$C,3,FALSE)</f>
        <v>スキルを有効に</v>
      </c>
      <c r="N348" s="39" t="str">
        <f>VLOOKUP(K348,[2]stage_hints!$A:$D,4,FALSE)</f>
        <v>ターン経過でユニットのスキルが使えます
強力スキルでバトルを有利に進めましょう</v>
      </c>
      <c r="O348" s="20" t="s">
        <v>24</v>
      </c>
      <c r="P348">
        <v>21</v>
      </c>
    </row>
    <row r="349" spans="1:16" x14ac:dyDescent="0.15">
      <c r="A349" s="27" t="str">
        <f t="shared" si="57"/>
        <v>11016_1_18</v>
      </c>
      <c r="B349" s="25" t="s">
        <v>34</v>
      </c>
      <c r="C349" s="4">
        <v>11016</v>
      </c>
      <c r="D349" s="3" t="str">
        <f ca="1">VLOOKUP($C349,OFFSET([1]quests!$A$1,0,0,COUNTA([1]quests!$A:$A),MATCH(D$1,[1]quests!$1:$1,0)-MATCH($C$1,[1]quests!$1:$1,0)+1),MATCH(D$1,[1]quests!$1:$1,0)-MATCH($C$1,[1]quests!$1:$1,0)+1,FALSE)</f>
        <v>【マルチ専用1/2】 ゴールドカジノ</v>
      </c>
      <c r="E349" s="3" t="str">
        <f ca="1">VLOOKUP($C349,OFFSET([1]quests!$A$1,0,0,COUNTA([1]quests!$A:$A),MATCH(E$1,[1]quests!$1:$1,0)-MATCH($C$1,[1]quests!$1:$1,0)+1),MATCH(E$1,[1]quests!$1:$1,0)-MATCH($C$1,[1]quests!$1:$1,0)+1,FALSE)</f>
        <v>土日クエスト1</v>
      </c>
      <c r="F349" s="5">
        <v>1</v>
      </c>
      <c r="G349" s="3" t="str">
        <f ca="1">VLOOKUP($C349&amp;"_"&amp;$F349,OFFSET([1]stages!$A$1,0,0,COUNTA([1]stages!$A:$A),MATCH(G$1,[1]stages!$2:$2,0)-MATCH("temp_stage",[1]stages!$2:$2,0)+1),MATCH(G$1,[1]stages!$2:$2,0)-MATCH("temp_stage",[1]stages!$2:$2,0)+1,FALSE)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49" s="3" t="str">
        <f ca="1">VLOOKUP($C349&amp;"_"&amp;$F349,OFFSET([1]stages!$A$1,0,0,COUNTA([1]stages!$A:$A),MATCH(H$1,[1]stages!$2:$2,0)-MATCH("temp_stage",[1]stages!$2:$2,0)+1),MATCH(H$1,[1]stages!$2:$2,0)-MATCH("temp_stage",[1]stages!$2:$2,0)+1,FALSE)</f>
        <v>土日クエスト1</v>
      </c>
      <c r="I349" s="18">
        <v>0</v>
      </c>
      <c r="J349" s="5">
        <f>COUNTIF(C$1:C349,C349)</f>
        <v>18</v>
      </c>
      <c r="K349" s="34">
        <v>22</v>
      </c>
      <c r="L349" s="5" t="s">
        <v>17</v>
      </c>
      <c r="M349" s="38" t="str">
        <f>VLOOKUP(K349,[2]stage_hints!$A:$C,3,FALSE)</f>
        <v>フィーバーで一発逆転（その1）</v>
      </c>
      <c r="N349" s="39" t="str">
        <f>VLOOKUP(K349,[2]stage_hints!$A:$D,4,FALSE)</f>
        <v>フィーバーは攻撃と回復を兼ね備えます
ピンチからの一発逆転を狙いましょう</v>
      </c>
      <c r="O349" s="20" t="s">
        <v>24</v>
      </c>
      <c r="P349">
        <v>22</v>
      </c>
    </row>
    <row r="350" spans="1:16" x14ac:dyDescent="0.15">
      <c r="A350" s="27" t="str">
        <f t="shared" si="57"/>
        <v>11016_1_19</v>
      </c>
      <c r="B350" s="25" t="s">
        <v>34</v>
      </c>
      <c r="C350" s="4">
        <v>11016</v>
      </c>
      <c r="D350" s="3" t="str">
        <f ca="1">VLOOKUP($C350,OFFSET([1]quests!$A$1,0,0,COUNTA([1]quests!$A:$A),MATCH(D$1,[1]quests!$1:$1,0)-MATCH($C$1,[1]quests!$1:$1,0)+1),MATCH(D$1,[1]quests!$1:$1,0)-MATCH($C$1,[1]quests!$1:$1,0)+1,FALSE)</f>
        <v>【マルチ専用1/2】 ゴールドカジノ</v>
      </c>
      <c r="E350" s="3" t="str">
        <f ca="1">VLOOKUP($C350,OFFSET([1]quests!$A$1,0,0,COUNTA([1]quests!$A:$A),MATCH(E$1,[1]quests!$1:$1,0)-MATCH($C$1,[1]quests!$1:$1,0)+1),MATCH(E$1,[1]quests!$1:$1,0)-MATCH($C$1,[1]quests!$1:$1,0)+1,FALSE)</f>
        <v>土日クエスト1</v>
      </c>
      <c r="F350" s="5">
        <v>1</v>
      </c>
      <c r="G350" s="3" t="str">
        <f ca="1">VLOOKUP($C350&amp;"_"&amp;$F350,OFFSET([1]stages!$A$1,0,0,COUNTA([1]stages!$A:$A),MATCH(G$1,[1]stages!$2:$2,0)-MATCH("temp_stage",[1]stages!$2:$2,0)+1),MATCH(G$1,[1]stages!$2:$2,0)-MATCH("temp_stage",[1]stages!$2:$2,0)+1,FALSE)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0" s="3" t="str">
        <f ca="1">VLOOKUP($C350&amp;"_"&amp;$F350,OFFSET([1]stages!$A$1,0,0,COUNTA([1]stages!$A:$A),MATCH(H$1,[1]stages!$2:$2,0)-MATCH("temp_stage",[1]stages!$2:$2,0)+1),MATCH(H$1,[1]stages!$2:$2,0)-MATCH("temp_stage",[1]stages!$2:$2,0)+1,FALSE)</f>
        <v>土日クエスト1</v>
      </c>
      <c r="I350" s="18">
        <v>0</v>
      </c>
      <c r="J350" s="5">
        <f>COUNTIF(C$1:C350,C350)</f>
        <v>19</v>
      </c>
      <c r="K350" s="34">
        <v>23</v>
      </c>
      <c r="L350" s="5" t="s">
        <v>17</v>
      </c>
      <c r="M350" s="38" t="str">
        <f>VLOOKUP(K350,[2]stage_hints!$A:$C,3,FALSE)</f>
        <v>フィーバーで一発逆転（その2）</v>
      </c>
      <c r="N350" s="39" t="str">
        <f>VLOOKUP(K350,[2]stage_hints!$A:$D,4,FALSE)</f>
        <v>フィーバー中は虹色のボムパネルを狙って
画面上のパネルを一気に破壊しましょう</v>
      </c>
      <c r="O350" s="20" t="s">
        <v>24</v>
      </c>
      <c r="P350">
        <v>23</v>
      </c>
    </row>
    <row r="351" spans="1:16" x14ac:dyDescent="0.15">
      <c r="A351" s="27" t="str">
        <f t="shared" ref="A351:A364" si="58">C351&amp;"_"&amp;F351&amp;"_"&amp;J351</f>
        <v>11016_1_20</v>
      </c>
      <c r="B351" s="25" t="s">
        <v>34</v>
      </c>
      <c r="C351" s="4">
        <v>11016</v>
      </c>
      <c r="D351" s="3" t="str">
        <f ca="1">VLOOKUP($C351,OFFSET([1]quests!$A$1,0,0,COUNTA([1]quests!$A:$A),MATCH(D$1,[1]quests!$1:$1,0)-MATCH($C$1,[1]quests!$1:$1,0)+1),MATCH(D$1,[1]quests!$1:$1,0)-MATCH($C$1,[1]quests!$1:$1,0)+1,FALSE)</f>
        <v>【マルチ専用1/2】 ゴールドカジノ</v>
      </c>
      <c r="E351" s="3" t="str">
        <f ca="1">VLOOKUP($C351,OFFSET([1]quests!$A$1,0,0,COUNTA([1]quests!$A:$A),MATCH(E$1,[1]quests!$1:$1,0)-MATCH($C$1,[1]quests!$1:$1,0)+1),MATCH(E$1,[1]quests!$1:$1,0)-MATCH($C$1,[1]quests!$1:$1,0)+1,FALSE)</f>
        <v>土日クエスト1</v>
      </c>
      <c r="F351" s="5">
        <v>1</v>
      </c>
      <c r="G351" s="3" t="str">
        <f ca="1">VLOOKUP($C351&amp;"_"&amp;$F351,OFFSET([1]stages!$A$1,0,0,COUNTA([1]stages!$A:$A),MATCH(G$1,[1]stages!$2:$2,0)-MATCH("temp_stage",[1]stages!$2:$2,0)+1),MATCH(G$1,[1]stages!$2:$2,0)-MATCH("temp_stage",[1]stages!$2:$2,0)+1,FALSE)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1" s="3" t="str">
        <f ca="1">VLOOKUP($C351&amp;"_"&amp;$F351,OFFSET([1]stages!$A$1,0,0,COUNTA([1]stages!$A:$A),MATCH(H$1,[1]stages!$2:$2,0)-MATCH("temp_stage",[1]stages!$2:$2,0)+1),MATCH(H$1,[1]stages!$2:$2,0)-MATCH("temp_stage",[1]stages!$2:$2,0)+1,FALSE)</f>
        <v>土日クエスト1</v>
      </c>
      <c r="I351" s="18">
        <v>0</v>
      </c>
      <c r="J351" s="5">
        <f>COUNTIF(C$1:C351,C351)</f>
        <v>20</v>
      </c>
      <c r="K351" s="34">
        <v>24</v>
      </c>
      <c r="L351" s="5" t="s">
        <v>17</v>
      </c>
      <c r="M351" s="38" t="str">
        <f>VLOOKUP(K351,[2]stage_hints!$A:$C,3,FALSE)</f>
        <v>りんごを使って限界突破</v>
      </c>
      <c r="N351" s="39" t="str">
        <f>VLOOKUP(K351,[2]stage_hints!$A:$D,4,FALSE)</f>
        <v>赤りんご(攻撃力) 青りんご(回復力)
緑りんご(体力)をユニット強化に使うと
ステータスが限界突破します（計99個迄）</v>
      </c>
      <c r="O351" s="20" t="s">
        <v>24</v>
      </c>
      <c r="P351">
        <v>24</v>
      </c>
    </row>
    <row r="352" spans="1:16" x14ac:dyDescent="0.15">
      <c r="A352" s="27" t="str">
        <f t="shared" si="58"/>
        <v>11016_1_21</v>
      </c>
      <c r="B352" s="25" t="s">
        <v>34</v>
      </c>
      <c r="C352" s="4">
        <v>11016</v>
      </c>
      <c r="D352" s="3" t="str">
        <f ca="1">VLOOKUP($C352,OFFSET([1]quests!$A$1,0,0,COUNTA([1]quests!$A:$A),MATCH(D$1,[1]quests!$1:$1,0)-MATCH($C$1,[1]quests!$1:$1,0)+1),MATCH(D$1,[1]quests!$1:$1,0)-MATCH($C$1,[1]quests!$1:$1,0)+1,FALSE)</f>
        <v>【マルチ専用1/2】 ゴールドカジノ</v>
      </c>
      <c r="E352" s="3" t="str">
        <f ca="1">VLOOKUP($C352,OFFSET([1]quests!$A$1,0,0,COUNTA([1]quests!$A:$A),MATCH(E$1,[1]quests!$1:$1,0)-MATCH($C$1,[1]quests!$1:$1,0)+1),MATCH(E$1,[1]quests!$1:$1,0)-MATCH($C$1,[1]quests!$1:$1,0)+1,FALSE)</f>
        <v>土日クエスト1</v>
      </c>
      <c r="F352" s="5">
        <v>1</v>
      </c>
      <c r="G352" s="3" t="str">
        <f ca="1">VLOOKUP($C352&amp;"_"&amp;$F352,OFFSET([1]stages!$A$1,0,0,COUNTA([1]stages!$A:$A),MATCH(G$1,[1]stages!$2:$2,0)-MATCH("temp_stage",[1]stages!$2:$2,0)+1),MATCH(G$1,[1]stages!$2:$2,0)-MATCH("temp_stage",[1]stages!$2:$2,0)+1,FALSE)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2" s="3" t="str">
        <f ca="1">VLOOKUP($C352&amp;"_"&amp;$F352,OFFSET([1]stages!$A$1,0,0,COUNTA([1]stages!$A:$A),MATCH(H$1,[1]stages!$2:$2,0)-MATCH("temp_stage",[1]stages!$2:$2,0)+1),MATCH(H$1,[1]stages!$2:$2,0)-MATCH("temp_stage",[1]stages!$2:$2,0)+1,FALSE)</f>
        <v>土日クエスト1</v>
      </c>
      <c r="I352" s="18">
        <v>0</v>
      </c>
      <c r="J352" s="5">
        <f>COUNTIF(C$1:C352,C352)</f>
        <v>21</v>
      </c>
      <c r="K352" s="34">
        <v>25</v>
      </c>
      <c r="L352" s="5" t="s">
        <v>17</v>
      </c>
      <c r="M352" s="38" t="str">
        <f>VLOOKUP(K352,[2]stage_hints!$A:$C,3,FALSE)</f>
        <v>スキルレベルアップ</v>
      </c>
      <c r="N352" s="39" t="str">
        <f>VLOOKUP(K352,[2]stage_hints!$A:$D,4,FALSE)</f>
        <v>「クリスタルのりんご」を強化に使うと
スキルレベルを上げることができます</v>
      </c>
      <c r="O352" s="20" t="s">
        <v>24</v>
      </c>
      <c r="P352">
        <v>25</v>
      </c>
    </row>
    <row r="353" spans="1:16" x14ac:dyDescent="0.15">
      <c r="A353" s="27" t="str">
        <f t="shared" si="58"/>
        <v>11016_1_22</v>
      </c>
      <c r="B353" s="25" t="s">
        <v>34</v>
      </c>
      <c r="C353" s="4">
        <v>11016</v>
      </c>
      <c r="D353" s="3" t="str">
        <f ca="1">VLOOKUP($C353,OFFSET([1]quests!$A$1,0,0,COUNTA([1]quests!$A:$A),MATCH(D$1,[1]quests!$1:$1,0)-MATCH($C$1,[1]quests!$1:$1,0)+1),MATCH(D$1,[1]quests!$1:$1,0)-MATCH($C$1,[1]quests!$1:$1,0)+1,FALSE)</f>
        <v>【マルチ専用1/2】 ゴールドカジノ</v>
      </c>
      <c r="E353" s="3" t="str">
        <f ca="1">VLOOKUP($C353,OFFSET([1]quests!$A$1,0,0,COUNTA([1]quests!$A:$A),MATCH(E$1,[1]quests!$1:$1,0)-MATCH($C$1,[1]quests!$1:$1,0)+1),MATCH(E$1,[1]quests!$1:$1,0)-MATCH($C$1,[1]quests!$1:$1,0)+1,FALSE)</f>
        <v>土日クエスト1</v>
      </c>
      <c r="F353" s="5">
        <v>1</v>
      </c>
      <c r="G353" s="3" t="str">
        <f ca="1">VLOOKUP($C353&amp;"_"&amp;$F353,OFFSET([1]stages!$A$1,0,0,COUNTA([1]stages!$A:$A),MATCH(G$1,[1]stages!$2:$2,0)-MATCH("temp_stage",[1]stages!$2:$2,0)+1),MATCH(G$1,[1]stages!$2:$2,0)-MATCH("temp_stage",[1]stages!$2:$2,0)+1,FALSE)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3" s="3" t="str">
        <f ca="1">VLOOKUP($C353&amp;"_"&amp;$F353,OFFSET([1]stages!$A$1,0,0,COUNTA([1]stages!$A:$A),MATCH(H$1,[1]stages!$2:$2,0)-MATCH("temp_stage",[1]stages!$2:$2,0)+1),MATCH(H$1,[1]stages!$2:$2,0)-MATCH("temp_stage",[1]stages!$2:$2,0)+1,FALSE)</f>
        <v>土日クエスト1</v>
      </c>
      <c r="I353" s="18">
        <v>0</v>
      </c>
      <c r="J353" s="5">
        <f>COUNTIF(C$1:C353,C353)</f>
        <v>22</v>
      </c>
      <c r="K353" s="34">
        <v>26</v>
      </c>
      <c r="L353" s="5" t="s">
        <v>17</v>
      </c>
      <c r="M353" s="38" t="str">
        <f>VLOOKUP(K353,[2]stage_hints!$A:$C,3,FALSE)</f>
        <v>スキルレベルの効果</v>
      </c>
      <c r="N353" s="39" t="str">
        <f>VLOOKUP(K353,[2]stage_hints!$A:$D,4,FALSE)</f>
        <v>スキルレベルが上がると
短いターンでスキルを使うことができます</v>
      </c>
      <c r="O353" s="20" t="s">
        <v>24</v>
      </c>
      <c r="P353">
        <v>26</v>
      </c>
    </row>
    <row r="354" spans="1:16" x14ac:dyDescent="0.15">
      <c r="A354" s="27" t="str">
        <f t="shared" si="58"/>
        <v>11016_1_23</v>
      </c>
      <c r="B354" s="25" t="s">
        <v>34</v>
      </c>
      <c r="C354" s="4">
        <v>11016</v>
      </c>
      <c r="D354" s="3" t="str">
        <f ca="1">VLOOKUP($C354,OFFSET([1]quests!$A$1,0,0,COUNTA([1]quests!$A:$A),MATCH(D$1,[1]quests!$1:$1,0)-MATCH($C$1,[1]quests!$1:$1,0)+1),MATCH(D$1,[1]quests!$1:$1,0)-MATCH($C$1,[1]quests!$1:$1,0)+1,FALSE)</f>
        <v>【マルチ専用1/2】 ゴールドカジノ</v>
      </c>
      <c r="E354" s="3" t="str">
        <f ca="1">VLOOKUP($C354,OFFSET([1]quests!$A$1,0,0,COUNTA([1]quests!$A:$A),MATCH(E$1,[1]quests!$1:$1,0)-MATCH($C$1,[1]quests!$1:$1,0)+1),MATCH(E$1,[1]quests!$1:$1,0)-MATCH($C$1,[1]quests!$1:$1,0)+1,FALSE)</f>
        <v>土日クエスト1</v>
      </c>
      <c r="F354" s="5">
        <v>1</v>
      </c>
      <c r="G354" s="3" t="str">
        <f ca="1">VLOOKUP($C354&amp;"_"&amp;$F354,OFFSET([1]stages!$A$1,0,0,COUNTA([1]stages!$A:$A),MATCH(G$1,[1]stages!$2:$2,0)-MATCH("temp_stage",[1]stages!$2:$2,0)+1),MATCH(G$1,[1]stages!$2:$2,0)-MATCH("temp_stage",[1]stages!$2:$2,0)+1,FALSE)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4" s="3" t="str">
        <f ca="1">VLOOKUP($C354&amp;"_"&amp;$F354,OFFSET([1]stages!$A$1,0,0,COUNTA([1]stages!$A:$A),MATCH(H$1,[1]stages!$2:$2,0)-MATCH("temp_stage",[1]stages!$2:$2,0)+1),MATCH(H$1,[1]stages!$2:$2,0)-MATCH("temp_stage",[1]stages!$2:$2,0)+1,FALSE)</f>
        <v>土日クエスト1</v>
      </c>
      <c r="I354" s="18">
        <v>0</v>
      </c>
      <c r="J354" s="5">
        <f>COUNTIF(C$1:C354,C354)</f>
        <v>23</v>
      </c>
      <c r="K354" s="34">
        <v>27</v>
      </c>
      <c r="L354" s="5" t="s">
        <v>17</v>
      </c>
      <c r="M354" s="38" t="str">
        <f>VLOOKUP(K354,[2]stage_hints!$A:$C,3,FALSE)</f>
        <v>ホーム画面からデッキを編成</v>
      </c>
      <c r="N354" s="39" t="str">
        <f>VLOOKUP(K354,[2]stage_hints!$A:$D,4,FALSE)</f>
        <v>ホーム画面でユニットを長押しすると
すぐにパーティ編成に移動できます</v>
      </c>
      <c r="O354" s="20" t="s">
        <v>24</v>
      </c>
      <c r="P354">
        <v>27</v>
      </c>
    </row>
    <row r="355" spans="1:16" x14ac:dyDescent="0.15">
      <c r="A355" s="27" t="str">
        <f t="shared" si="58"/>
        <v>11016_1_24</v>
      </c>
      <c r="B355" s="25" t="s">
        <v>34</v>
      </c>
      <c r="C355" s="4">
        <v>11016</v>
      </c>
      <c r="D355" s="3" t="str">
        <f ca="1">VLOOKUP($C355,OFFSET([1]quests!$A$1,0,0,COUNTA([1]quests!$A:$A),MATCH(D$1,[1]quests!$1:$1,0)-MATCH($C$1,[1]quests!$1:$1,0)+1),MATCH(D$1,[1]quests!$1:$1,0)-MATCH($C$1,[1]quests!$1:$1,0)+1,FALSE)</f>
        <v>【マルチ専用1/2】 ゴールドカジノ</v>
      </c>
      <c r="E355" s="3" t="str">
        <f ca="1">VLOOKUP($C355,OFFSET([1]quests!$A$1,0,0,COUNTA([1]quests!$A:$A),MATCH(E$1,[1]quests!$1:$1,0)-MATCH($C$1,[1]quests!$1:$1,0)+1),MATCH(E$1,[1]quests!$1:$1,0)-MATCH($C$1,[1]quests!$1:$1,0)+1,FALSE)</f>
        <v>土日クエスト1</v>
      </c>
      <c r="F355" s="5">
        <v>1</v>
      </c>
      <c r="G355" s="3" t="str">
        <f ca="1">VLOOKUP($C355&amp;"_"&amp;$F355,OFFSET([1]stages!$A$1,0,0,COUNTA([1]stages!$A:$A),MATCH(G$1,[1]stages!$2:$2,0)-MATCH("temp_stage",[1]stages!$2:$2,0)+1),MATCH(G$1,[1]stages!$2:$2,0)-MATCH("temp_stage",[1]stages!$2:$2,0)+1,FALSE)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5" s="3" t="str">
        <f ca="1">VLOOKUP($C355&amp;"_"&amp;$F355,OFFSET([1]stages!$A$1,0,0,COUNTA([1]stages!$A:$A),MATCH(H$1,[1]stages!$2:$2,0)-MATCH("temp_stage",[1]stages!$2:$2,0)+1),MATCH(H$1,[1]stages!$2:$2,0)-MATCH("temp_stage",[1]stages!$2:$2,0)+1,FALSE)</f>
        <v>土日クエスト1</v>
      </c>
      <c r="I355" s="18">
        <v>0</v>
      </c>
      <c r="J355" s="5">
        <f>COUNTIF(C$1:C355,C355)</f>
        <v>24</v>
      </c>
      <c r="K355" s="34">
        <v>28</v>
      </c>
      <c r="L355" s="5" t="s">
        <v>17</v>
      </c>
      <c r="M355" s="38" t="str">
        <f>VLOOKUP(K355,[2]stage_hints!$A:$C,3,FALSE)</f>
        <v>ステータス情報は長押しで</v>
      </c>
      <c r="N355" s="39" t="str">
        <f>VLOOKUP(K355,[2]stage_hints!$A:$D,4,FALSE)</f>
        <v>ユニットのアイコンを長押しすると
ステータス情報を確認することができます</v>
      </c>
      <c r="O355" s="20" t="s">
        <v>24</v>
      </c>
      <c r="P355">
        <v>28</v>
      </c>
    </row>
    <row r="356" spans="1:16" x14ac:dyDescent="0.15">
      <c r="A356" s="27" t="str">
        <f t="shared" si="58"/>
        <v>11016_1_25</v>
      </c>
      <c r="B356" s="25" t="s">
        <v>34</v>
      </c>
      <c r="C356" s="4">
        <v>11016</v>
      </c>
      <c r="D356" s="3" t="str">
        <f ca="1">VLOOKUP($C356,OFFSET([1]quests!$A$1,0,0,COUNTA([1]quests!$A:$A),MATCH(D$1,[1]quests!$1:$1,0)-MATCH($C$1,[1]quests!$1:$1,0)+1),MATCH(D$1,[1]quests!$1:$1,0)-MATCH($C$1,[1]quests!$1:$1,0)+1,FALSE)</f>
        <v>【マルチ専用1/2】 ゴールドカジノ</v>
      </c>
      <c r="E356" s="3" t="str">
        <f ca="1">VLOOKUP($C356,OFFSET([1]quests!$A$1,0,0,COUNTA([1]quests!$A:$A),MATCH(E$1,[1]quests!$1:$1,0)-MATCH($C$1,[1]quests!$1:$1,0)+1),MATCH(E$1,[1]quests!$1:$1,0)-MATCH($C$1,[1]quests!$1:$1,0)+1,FALSE)</f>
        <v>土日クエスト1</v>
      </c>
      <c r="F356" s="5">
        <v>1</v>
      </c>
      <c r="G356" s="3" t="str">
        <f ca="1">VLOOKUP($C356&amp;"_"&amp;$F356,OFFSET([1]stages!$A$1,0,0,COUNTA([1]stages!$A:$A),MATCH(G$1,[1]stages!$2:$2,0)-MATCH("temp_stage",[1]stages!$2:$2,0)+1),MATCH(G$1,[1]stages!$2:$2,0)-MATCH("temp_stage",[1]stages!$2:$2,0)+1,FALSE)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6" s="3" t="str">
        <f ca="1">VLOOKUP($C356&amp;"_"&amp;$F356,OFFSET([1]stages!$A$1,0,0,COUNTA([1]stages!$A:$A),MATCH(H$1,[1]stages!$2:$2,0)-MATCH("temp_stage",[1]stages!$2:$2,0)+1),MATCH(H$1,[1]stages!$2:$2,0)-MATCH("temp_stage",[1]stages!$2:$2,0)+1,FALSE)</f>
        <v>土日クエスト1</v>
      </c>
      <c r="I356" s="18">
        <v>0</v>
      </c>
      <c r="J356" s="5">
        <f>COUNTIF(C$1:C356,C356)</f>
        <v>25</v>
      </c>
      <c r="K356" s="34">
        <v>29</v>
      </c>
      <c r="L356" s="5" t="s">
        <v>17</v>
      </c>
      <c r="M356" s="38" t="str">
        <f>VLOOKUP(K356,[2]stage_hints!$A:$C,3,FALSE)</f>
        <v>「バグ」のメリット</v>
      </c>
      <c r="N356" s="39" t="str">
        <f>VLOOKUP(K356,[2]stage_hints!$A:$D,4,FALSE)</f>
        <v>ユニットの「バグ」を増やすと
報酬をもらえる確率がアップします</v>
      </c>
      <c r="O356" s="20" t="s">
        <v>24</v>
      </c>
      <c r="P356">
        <v>29</v>
      </c>
    </row>
    <row r="357" spans="1:16" x14ac:dyDescent="0.15">
      <c r="A357" s="27" t="str">
        <f t="shared" si="58"/>
        <v>11016_1_26</v>
      </c>
      <c r="B357" s="25" t="s">
        <v>34</v>
      </c>
      <c r="C357" s="4">
        <v>11016</v>
      </c>
      <c r="D357" s="3" t="str">
        <f ca="1">VLOOKUP($C357,OFFSET([1]quests!$A$1,0,0,COUNTA([1]quests!$A:$A),MATCH(D$1,[1]quests!$1:$1,0)-MATCH($C$1,[1]quests!$1:$1,0)+1),MATCH(D$1,[1]quests!$1:$1,0)-MATCH($C$1,[1]quests!$1:$1,0)+1,FALSE)</f>
        <v>【マルチ専用1/2】 ゴールドカジノ</v>
      </c>
      <c r="E357" s="3" t="str">
        <f ca="1">VLOOKUP($C357,OFFSET([1]quests!$A$1,0,0,COUNTA([1]quests!$A:$A),MATCH(E$1,[1]quests!$1:$1,0)-MATCH($C$1,[1]quests!$1:$1,0)+1),MATCH(E$1,[1]quests!$1:$1,0)-MATCH($C$1,[1]quests!$1:$1,0)+1,FALSE)</f>
        <v>土日クエスト1</v>
      </c>
      <c r="F357" s="5">
        <v>1</v>
      </c>
      <c r="G357" s="3" t="str">
        <f ca="1">VLOOKUP($C357&amp;"_"&amp;$F357,OFFSET([1]stages!$A$1,0,0,COUNTA([1]stages!$A:$A),MATCH(G$1,[1]stages!$2:$2,0)-MATCH("temp_stage",[1]stages!$2:$2,0)+1),MATCH(G$1,[1]stages!$2:$2,0)-MATCH("temp_stage",[1]stages!$2:$2,0)+1,FALSE)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7" s="3" t="str">
        <f ca="1">VLOOKUP($C357&amp;"_"&amp;$F357,OFFSET([1]stages!$A$1,0,0,COUNTA([1]stages!$A:$A),MATCH(H$1,[1]stages!$2:$2,0)-MATCH("temp_stage",[1]stages!$2:$2,0)+1),MATCH(H$1,[1]stages!$2:$2,0)-MATCH("temp_stage",[1]stages!$2:$2,0)+1,FALSE)</f>
        <v>土日クエスト1</v>
      </c>
      <c r="I357" s="18">
        <v>0</v>
      </c>
      <c r="J357" s="5">
        <f>COUNTIF(C$1:C357,C357)</f>
        <v>26</v>
      </c>
      <c r="K357" s="34">
        <v>30</v>
      </c>
      <c r="L357" s="5" t="s">
        <v>17</v>
      </c>
      <c r="M357" s="38" t="str">
        <f>VLOOKUP(K357,[2]stage_hints!$A:$C,3,FALSE)</f>
        <v>「バグ」の増やし方</v>
      </c>
      <c r="N357" s="39" t="str">
        <f>VLOOKUP(K357,[2]stage_hints!$A:$D,4,FALSE)</f>
        <v>同じユニット同士を強化で合成すると
「バグ」を増やすことができます</v>
      </c>
      <c r="O357" s="20" t="s">
        <v>24</v>
      </c>
      <c r="P357">
        <v>30</v>
      </c>
    </row>
    <row r="358" spans="1:16" x14ac:dyDescent="0.15">
      <c r="A358" s="27" t="str">
        <f t="shared" si="58"/>
        <v>11016_1_27</v>
      </c>
      <c r="B358" s="25" t="s">
        <v>34</v>
      </c>
      <c r="C358" s="4">
        <v>11016</v>
      </c>
      <c r="D358" s="3" t="str">
        <f ca="1">VLOOKUP($C358,OFFSET([1]quests!$A$1,0,0,COUNTA([1]quests!$A:$A),MATCH(D$1,[1]quests!$1:$1,0)-MATCH($C$1,[1]quests!$1:$1,0)+1),MATCH(D$1,[1]quests!$1:$1,0)-MATCH($C$1,[1]quests!$1:$1,0)+1,FALSE)</f>
        <v>【マルチ専用1/2】 ゴールドカジノ</v>
      </c>
      <c r="E358" s="3" t="str">
        <f ca="1">VLOOKUP($C358,OFFSET([1]quests!$A$1,0,0,COUNTA([1]quests!$A:$A),MATCH(E$1,[1]quests!$1:$1,0)-MATCH($C$1,[1]quests!$1:$1,0)+1),MATCH(E$1,[1]quests!$1:$1,0)-MATCH($C$1,[1]quests!$1:$1,0)+1,FALSE)</f>
        <v>土日クエスト1</v>
      </c>
      <c r="F358" s="5">
        <v>1</v>
      </c>
      <c r="G358" s="3" t="str">
        <f ca="1">VLOOKUP($C358&amp;"_"&amp;$F358,OFFSET([1]stages!$A$1,0,0,COUNTA([1]stages!$A:$A),MATCH(G$1,[1]stages!$2:$2,0)-MATCH("temp_stage",[1]stages!$2:$2,0)+1),MATCH(G$1,[1]stages!$2:$2,0)-MATCH("temp_stage",[1]stages!$2:$2,0)+1,FALSE)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8" s="3" t="str">
        <f ca="1">VLOOKUP($C358&amp;"_"&amp;$F358,OFFSET([1]stages!$A$1,0,0,COUNTA([1]stages!$A:$A),MATCH(H$1,[1]stages!$2:$2,0)-MATCH("temp_stage",[1]stages!$2:$2,0)+1),MATCH(H$1,[1]stages!$2:$2,0)-MATCH("temp_stage",[1]stages!$2:$2,0)+1,FALSE)</f>
        <v>土日クエスト1</v>
      </c>
      <c r="I358" s="18">
        <v>0</v>
      </c>
      <c r="J358" s="5">
        <f>COUNTIF(C$1:C358,C358)</f>
        <v>27</v>
      </c>
      <c r="K358" s="34">
        <v>31</v>
      </c>
      <c r="L358" s="5" t="s">
        <v>17</v>
      </c>
      <c r="M358" s="38" t="str">
        <f>VLOOKUP(K358,[2]stage_hints!$A:$C,3,FALSE)</f>
        <v>イベントはお知らせでチェック</v>
      </c>
      <c r="N358" s="39" t="str">
        <f>VLOOKUP(K358,[2]stage_hints!$A:$D,4,FALSE)</f>
        <v>イベント限定ユニットを取り忘れないように
お知らせをこまめにチェックしましょう</v>
      </c>
      <c r="O358" s="20" t="s">
        <v>24</v>
      </c>
      <c r="P358">
        <v>31</v>
      </c>
    </row>
    <row r="359" spans="1:16" x14ac:dyDescent="0.15">
      <c r="A359" s="27" t="str">
        <f t="shared" si="58"/>
        <v>11016_1_28</v>
      </c>
      <c r="B359" s="25" t="s">
        <v>34</v>
      </c>
      <c r="C359" s="4">
        <v>11016</v>
      </c>
      <c r="D359" s="3" t="str">
        <f ca="1">VLOOKUP($C359,OFFSET([1]quests!$A$1,0,0,COUNTA([1]quests!$A:$A),MATCH(D$1,[1]quests!$1:$1,0)-MATCH($C$1,[1]quests!$1:$1,0)+1),MATCH(D$1,[1]quests!$1:$1,0)-MATCH($C$1,[1]quests!$1:$1,0)+1,FALSE)</f>
        <v>【マルチ専用1/2】 ゴールドカジノ</v>
      </c>
      <c r="E359" s="3" t="str">
        <f ca="1">VLOOKUP($C359,OFFSET([1]quests!$A$1,0,0,COUNTA([1]quests!$A:$A),MATCH(E$1,[1]quests!$1:$1,0)-MATCH($C$1,[1]quests!$1:$1,0)+1),MATCH(E$1,[1]quests!$1:$1,0)-MATCH($C$1,[1]quests!$1:$1,0)+1,FALSE)</f>
        <v>土日クエスト1</v>
      </c>
      <c r="F359" s="5">
        <v>1</v>
      </c>
      <c r="G359" s="3" t="str">
        <f ca="1">VLOOKUP($C359&amp;"_"&amp;$F359,OFFSET([1]stages!$A$1,0,0,COUNTA([1]stages!$A:$A),MATCH(G$1,[1]stages!$2:$2,0)-MATCH("temp_stage",[1]stages!$2:$2,0)+1),MATCH(G$1,[1]stages!$2:$2,0)-MATCH("temp_stage",[1]stages!$2:$2,0)+1,FALSE)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59" s="3" t="str">
        <f ca="1">VLOOKUP($C359&amp;"_"&amp;$F359,OFFSET([1]stages!$A$1,0,0,COUNTA([1]stages!$A:$A),MATCH(H$1,[1]stages!$2:$2,0)-MATCH("temp_stage",[1]stages!$2:$2,0)+1),MATCH(H$1,[1]stages!$2:$2,0)-MATCH("temp_stage",[1]stages!$2:$2,0)+1,FALSE)</f>
        <v>土日クエスト1</v>
      </c>
      <c r="I359" s="18">
        <v>0</v>
      </c>
      <c r="J359" s="5">
        <f>COUNTIF(C$1:C359,C359)</f>
        <v>28</v>
      </c>
      <c r="K359" s="34">
        <v>32</v>
      </c>
      <c r="L359" s="5" t="s">
        <v>17</v>
      </c>
      <c r="M359" s="38" t="str">
        <f>VLOOKUP(K359,[2]stage_hints!$A:$C,3,FALSE)</f>
        <v>敵の連続攻撃には</v>
      </c>
      <c r="N359" s="39" t="str">
        <f>VLOOKUP(K359,[2]stage_hints!$A:$D,4,FALSE)</f>
        <v>カウンタースキルを持つユニットがいれば
ダメージ回数分の反撃ができます</v>
      </c>
      <c r="O359" s="20" t="s">
        <v>24</v>
      </c>
      <c r="P359">
        <v>32</v>
      </c>
    </row>
    <row r="360" spans="1:16" x14ac:dyDescent="0.15">
      <c r="A360" s="27" t="str">
        <f t="shared" si="58"/>
        <v>11016_1_29</v>
      </c>
      <c r="B360" s="25" t="s">
        <v>34</v>
      </c>
      <c r="C360" s="4">
        <v>11016</v>
      </c>
      <c r="D360" s="3" t="str">
        <f ca="1">VLOOKUP($C360,OFFSET([1]quests!$A$1,0,0,COUNTA([1]quests!$A:$A),MATCH(D$1,[1]quests!$1:$1,0)-MATCH($C$1,[1]quests!$1:$1,0)+1),MATCH(D$1,[1]quests!$1:$1,0)-MATCH($C$1,[1]quests!$1:$1,0)+1,FALSE)</f>
        <v>【マルチ専用1/2】 ゴールドカジノ</v>
      </c>
      <c r="E360" s="3" t="str">
        <f ca="1">VLOOKUP($C360,OFFSET([1]quests!$A$1,0,0,COUNTA([1]quests!$A:$A),MATCH(E$1,[1]quests!$1:$1,0)-MATCH($C$1,[1]quests!$1:$1,0)+1),MATCH(E$1,[1]quests!$1:$1,0)-MATCH($C$1,[1]quests!$1:$1,0)+1,FALSE)</f>
        <v>土日クエスト1</v>
      </c>
      <c r="F360" s="5">
        <v>1</v>
      </c>
      <c r="G360" s="3" t="str">
        <f ca="1">VLOOKUP($C360&amp;"_"&amp;$F360,OFFSET([1]stages!$A$1,0,0,COUNTA([1]stages!$A:$A),MATCH(G$1,[1]stages!$2:$2,0)-MATCH("temp_stage",[1]stages!$2:$2,0)+1),MATCH(G$1,[1]stages!$2:$2,0)-MATCH("temp_stage",[1]stages!$2:$2,0)+1,FALSE)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60" s="3" t="str">
        <f ca="1">VLOOKUP($C360&amp;"_"&amp;$F360,OFFSET([1]stages!$A$1,0,0,COUNTA([1]stages!$A:$A),MATCH(H$1,[1]stages!$2:$2,0)-MATCH("temp_stage",[1]stages!$2:$2,0)+1),MATCH(H$1,[1]stages!$2:$2,0)-MATCH("temp_stage",[1]stages!$2:$2,0)+1,FALSE)</f>
        <v>土日クエスト1</v>
      </c>
      <c r="I360" s="18">
        <v>0</v>
      </c>
      <c r="J360" s="5">
        <f>COUNTIF(C$1:C360,C360)</f>
        <v>29</v>
      </c>
      <c r="K360" s="34">
        <v>33</v>
      </c>
      <c r="L360" s="5" t="s">
        <v>17</v>
      </c>
      <c r="M360" s="38" t="str">
        <f>VLOOKUP(K360,[2]stage_hints!$A:$C,3,FALSE)</f>
        <v>敵のカウンター攻撃には</v>
      </c>
      <c r="N360" s="39" t="str">
        <f>VLOOKUP(K360,[2]stage_hints!$A:$D,4,FALSE)</f>
        <v>カウンターブレイクスキルを持っていれば
敵のカウンターを解除して攻撃ができます</v>
      </c>
      <c r="O360" s="20" t="s">
        <v>24</v>
      </c>
      <c r="P360">
        <v>33</v>
      </c>
    </row>
    <row r="361" spans="1:16" x14ac:dyDescent="0.15">
      <c r="A361" s="27" t="str">
        <f t="shared" si="58"/>
        <v>11016_1_30</v>
      </c>
      <c r="B361" s="25" t="s">
        <v>34</v>
      </c>
      <c r="C361" s="4">
        <v>11016</v>
      </c>
      <c r="D361" s="3" t="str">
        <f ca="1">VLOOKUP($C361,OFFSET([1]quests!$A$1,0,0,COUNTA([1]quests!$A:$A),MATCH(D$1,[1]quests!$1:$1,0)-MATCH($C$1,[1]quests!$1:$1,0)+1),MATCH(D$1,[1]quests!$1:$1,0)-MATCH($C$1,[1]quests!$1:$1,0)+1,FALSE)</f>
        <v>【マルチ専用1/2】 ゴールドカジノ</v>
      </c>
      <c r="E361" s="3" t="str">
        <f ca="1">VLOOKUP($C361,OFFSET([1]quests!$A$1,0,0,COUNTA([1]quests!$A:$A),MATCH(E$1,[1]quests!$1:$1,0)-MATCH($C$1,[1]quests!$1:$1,0)+1),MATCH(E$1,[1]quests!$1:$1,0)-MATCH($C$1,[1]quests!$1:$1,0)+1,FALSE)</f>
        <v>土日クエスト1</v>
      </c>
      <c r="F361" s="5">
        <v>1</v>
      </c>
      <c r="G361" s="3" t="str">
        <f ca="1">VLOOKUP($C361&amp;"_"&amp;$F361,OFFSET([1]stages!$A$1,0,0,COUNTA([1]stages!$A:$A),MATCH(G$1,[1]stages!$2:$2,0)-MATCH("temp_stage",[1]stages!$2:$2,0)+1),MATCH(G$1,[1]stages!$2:$2,0)-MATCH("temp_stage",[1]stages!$2:$2,0)+1,FALSE)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61" s="3" t="str">
        <f ca="1">VLOOKUP($C361&amp;"_"&amp;$F361,OFFSET([1]stages!$A$1,0,0,COUNTA([1]stages!$A:$A),MATCH(H$1,[1]stages!$2:$2,0)-MATCH("temp_stage",[1]stages!$2:$2,0)+1),MATCH(H$1,[1]stages!$2:$2,0)-MATCH("temp_stage",[1]stages!$2:$2,0)+1,FALSE)</f>
        <v>土日クエスト1</v>
      </c>
      <c r="I361" s="18">
        <v>0</v>
      </c>
      <c r="J361" s="5">
        <f>COUNTIF(C$1:C361,C361)</f>
        <v>30</v>
      </c>
      <c r="K361" s="34">
        <v>34</v>
      </c>
      <c r="L361" s="5" t="s">
        <v>17</v>
      </c>
      <c r="M361" s="38" t="str">
        <f>VLOOKUP(K361,[2]stage_hints!$A:$C,3,FALSE)</f>
        <v>ステータスをスキルで下げられたら</v>
      </c>
      <c r="N361" s="39" t="str">
        <f>VLOOKUP(K361,[2]stage_hints!$A:$D,4,FALSE)</f>
        <v>ステータスダウンのスキルを受けたら
ステータスアップスキルで上書きしましょう</v>
      </c>
      <c r="O361" s="20" t="s">
        <v>24</v>
      </c>
      <c r="P361">
        <v>34</v>
      </c>
    </row>
    <row r="362" spans="1:16" x14ac:dyDescent="0.15">
      <c r="A362" s="27" t="str">
        <f t="shared" si="58"/>
        <v>11016_1_31</v>
      </c>
      <c r="B362" s="25" t="s">
        <v>34</v>
      </c>
      <c r="C362" s="4">
        <v>11016</v>
      </c>
      <c r="D362" s="3" t="str">
        <f ca="1">VLOOKUP($C362,OFFSET([1]quests!$A$1,0,0,COUNTA([1]quests!$A:$A),MATCH(D$1,[1]quests!$1:$1,0)-MATCH($C$1,[1]quests!$1:$1,0)+1),MATCH(D$1,[1]quests!$1:$1,0)-MATCH($C$1,[1]quests!$1:$1,0)+1,FALSE)</f>
        <v>【マルチ専用1/2】 ゴールドカジノ</v>
      </c>
      <c r="E362" s="3" t="str">
        <f ca="1">VLOOKUP($C362,OFFSET([1]quests!$A$1,0,0,COUNTA([1]quests!$A:$A),MATCH(E$1,[1]quests!$1:$1,0)-MATCH($C$1,[1]quests!$1:$1,0)+1),MATCH(E$1,[1]quests!$1:$1,0)-MATCH($C$1,[1]quests!$1:$1,0)+1,FALSE)</f>
        <v>土日クエスト1</v>
      </c>
      <c r="F362" s="5">
        <v>1</v>
      </c>
      <c r="G362" s="3" t="str">
        <f ca="1">VLOOKUP($C362&amp;"_"&amp;$F362,OFFSET([1]stages!$A$1,0,0,COUNTA([1]stages!$A:$A),MATCH(G$1,[1]stages!$2:$2,0)-MATCH("temp_stage",[1]stages!$2:$2,0)+1),MATCH(G$1,[1]stages!$2:$2,0)-MATCH("temp_stage",[1]stages!$2:$2,0)+1,FALSE)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62" s="3" t="str">
        <f ca="1">VLOOKUP($C362&amp;"_"&amp;$F362,OFFSET([1]stages!$A$1,0,0,COUNTA([1]stages!$A:$A),MATCH(H$1,[1]stages!$2:$2,0)-MATCH("temp_stage",[1]stages!$2:$2,0)+1),MATCH(H$1,[1]stages!$2:$2,0)-MATCH("temp_stage",[1]stages!$2:$2,0)+1,FALSE)</f>
        <v>土日クエスト1</v>
      </c>
      <c r="I362" s="18">
        <v>0</v>
      </c>
      <c r="J362" s="5">
        <f>COUNTIF(C$1:C362,C362)</f>
        <v>31</v>
      </c>
      <c r="K362" s="34">
        <v>35</v>
      </c>
      <c r="L362" s="5" t="s">
        <v>17</v>
      </c>
      <c r="M362" s="38" t="str">
        <f>VLOOKUP(K362,[2]stage_hints!$A:$C,3,FALSE)</f>
        <v>敵のステータスがスキルで上がったら</v>
      </c>
      <c r="N362" s="39" t="str">
        <f>VLOOKUP(K362,[2]stage_hints!$A:$D,4,FALSE)</f>
        <v>敵のステータスがスキルでアップしたときは
ステータスダウンスキルで上書きしましょう</v>
      </c>
      <c r="O362" s="20" t="s">
        <v>24</v>
      </c>
      <c r="P362">
        <v>35</v>
      </c>
    </row>
    <row r="363" spans="1:16" x14ac:dyDescent="0.15">
      <c r="A363" s="27" t="str">
        <f t="shared" si="58"/>
        <v>11016_1_32</v>
      </c>
      <c r="B363" s="25" t="s">
        <v>34</v>
      </c>
      <c r="C363" s="4">
        <v>11016</v>
      </c>
      <c r="D363" s="3" t="str">
        <f ca="1">VLOOKUP($C363,OFFSET([1]quests!$A$1,0,0,COUNTA([1]quests!$A:$A),MATCH(D$1,[1]quests!$1:$1,0)-MATCH($C$1,[1]quests!$1:$1,0)+1),MATCH(D$1,[1]quests!$1:$1,0)-MATCH($C$1,[1]quests!$1:$1,0)+1,FALSE)</f>
        <v>【マルチ専用1/2】 ゴールドカジノ</v>
      </c>
      <c r="E363" s="3" t="str">
        <f ca="1">VLOOKUP($C363,OFFSET([1]quests!$A$1,0,0,COUNTA([1]quests!$A:$A),MATCH(E$1,[1]quests!$1:$1,0)-MATCH($C$1,[1]quests!$1:$1,0)+1),MATCH(E$1,[1]quests!$1:$1,0)-MATCH($C$1,[1]quests!$1:$1,0)+1,FALSE)</f>
        <v>土日クエスト1</v>
      </c>
      <c r="F363" s="5">
        <v>1</v>
      </c>
      <c r="G363" s="3" t="str">
        <f ca="1">VLOOKUP($C363&amp;"_"&amp;$F363,OFFSET([1]stages!$A$1,0,0,COUNTA([1]stages!$A:$A),MATCH(G$1,[1]stages!$2:$2,0)-MATCH("temp_stage",[1]stages!$2:$2,0)+1),MATCH(G$1,[1]stages!$2:$2,0)-MATCH("temp_stage",[1]stages!$2:$2,0)+1,FALSE)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63" s="3" t="str">
        <f ca="1">VLOOKUP($C363&amp;"_"&amp;$F363,OFFSET([1]stages!$A$1,0,0,COUNTA([1]stages!$A:$A),MATCH(H$1,[1]stages!$2:$2,0)-MATCH("temp_stage",[1]stages!$2:$2,0)+1),MATCH(H$1,[1]stages!$2:$2,0)-MATCH("temp_stage",[1]stages!$2:$2,0)+1,FALSE)</f>
        <v>土日クエスト1</v>
      </c>
      <c r="I363" s="18">
        <v>0</v>
      </c>
      <c r="J363" s="5">
        <f>COUNTIF(C$1:C363,C363)</f>
        <v>32</v>
      </c>
      <c r="K363" s="34">
        <v>36</v>
      </c>
      <c r="L363" s="5" t="s">
        <v>17</v>
      </c>
      <c r="M363" s="38" t="str">
        <f>VLOOKUP(K363,[2]stage_hints!$A:$C,3,FALSE)</f>
        <v>チャレンジタワーのボス</v>
      </c>
      <c r="N363" s="39" t="str">
        <f>VLOOKUP(K363,[2]stage_hints!$A:$D,4,FALSE)</f>
        <v>チャレンジタワーでのみ登場するボスは
一定確率で獲得することができます</v>
      </c>
      <c r="O363" s="20" t="s">
        <v>24</v>
      </c>
      <c r="P363">
        <v>36</v>
      </c>
    </row>
    <row r="364" spans="1:16" x14ac:dyDescent="0.15">
      <c r="A364" s="27" t="str">
        <f t="shared" si="58"/>
        <v>11016_1_33</v>
      </c>
      <c r="B364" s="25" t="s">
        <v>34</v>
      </c>
      <c r="C364" s="4">
        <v>11016</v>
      </c>
      <c r="D364" s="3" t="str">
        <f ca="1">VLOOKUP($C364,OFFSET([1]quests!$A$1,0,0,COUNTA([1]quests!$A:$A),MATCH(D$1,[1]quests!$1:$1,0)-MATCH($C$1,[1]quests!$1:$1,0)+1),MATCH(D$1,[1]quests!$1:$1,0)-MATCH($C$1,[1]quests!$1:$1,0)+1,FALSE)</f>
        <v>【マルチ専用1/2】 ゴールドカジノ</v>
      </c>
      <c r="E364" s="3" t="str">
        <f ca="1">VLOOKUP($C364,OFFSET([1]quests!$A$1,0,0,COUNTA([1]quests!$A:$A),MATCH(E$1,[1]quests!$1:$1,0)-MATCH($C$1,[1]quests!$1:$1,0)+1),MATCH(E$1,[1]quests!$1:$1,0)-MATCH($C$1,[1]quests!$1:$1,0)+1,FALSE)</f>
        <v>土日クエスト1</v>
      </c>
      <c r="F364" s="5">
        <v>1</v>
      </c>
      <c r="G364" s="3" t="str">
        <f ca="1">VLOOKUP($C364&amp;"_"&amp;$F364,OFFSET([1]stages!$A$1,0,0,COUNTA([1]stages!$A:$A),MATCH(G$1,[1]stages!$2:$2,0)-MATCH("temp_stage",[1]stages!$2:$2,0)+1),MATCH(G$1,[1]stages!$2:$2,0)-MATCH("temp_stage",[1]stages!$2:$2,0)+1,FALSE)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364" s="3" t="str">
        <f ca="1">VLOOKUP($C364&amp;"_"&amp;$F364,OFFSET([1]stages!$A$1,0,0,COUNTA([1]stages!$A:$A),MATCH(H$1,[1]stages!$2:$2,0)-MATCH("temp_stage",[1]stages!$2:$2,0)+1),MATCH(H$1,[1]stages!$2:$2,0)-MATCH("temp_stage",[1]stages!$2:$2,0)+1,FALSE)</f>
        <v>土日クエスト1</v>
      </c>
      <c r="I364" s="18">
        <v>0</v>
      </c>
      <c r="J364" s="5">
        <f>COUNTIF(C$1:C364,C364)</f>
        <v>33</v>
      </c>
      <c r="K364" s="34">
        <v>37</v>
      </c>
      <c r="L364" s="5" t="s">
        <v>17</v>
      </c>
      <c r="M364" s="38" t="str">
        <f>VLOOKUP(K364,[2]stage_hints!$A:$C,3,FALSE)</f>
        <v>限界突破値の引き継ぎ</v>
      </c>
      <c r="N364" s="39" t="str">
        <f>VLOOKUP(K364,[2]stage_hints!$A:$D,4,FALSE)</f>
        <v>同じユニットを強化で合成すると
限界突破値を引き継げます（覚醒前後も可）</v>
      </c>
      <c r="O364" s="20" t="s">
        <v>24</v>
      </c>
      <c r="P364">
        <v>37</v>
      </c>
    </row>
    <row r="365" spans="1:16" x14ac:dyDescent="0.15">
      <c r="A365" s="27" t="str">
        <f t="shared" ref="A365:A379" si="59">C365&amp;"_"&amp;F365&amp;"_"&amp;J365</f>
        <v>12001_2_1</v>
      </c>
      <c r="B365" s="25" t="s">
        <v>34</v>
      </c>
      <c r="C365" s="4">
        <v>12001</v>
      </c>
      <c r="D365" s="3" t="str">
        <f ca="1">VLOOKUP($C365,OFFSET([1]quests!$A$1,0,0,COUNTA([1]quests!$A:$A),MATCH(D$1,[1]quests!$1:$1,0)-MATCH($C$1,[1]quests!$1:$1,0)+1),MATCH(D$1,[1]quests!$1:$1,0)-MATCH($C$1,[1]quests!$1:$1,0)+1,FALSE)</f>
        <v>【緊急！！】 アヒル捕獲作戦</v>
      </c>
      <c r="E365" s="3" t="str">
        <f ca="1">VLOOKUP($C365,OFFSET([1]quests!$A$1,0,0,COUNTA([1]quests!$A:$A),MATCH(E$1,[1]quests!$1:$1,0)-MATCH($C$1,[1]quests!$1:$1,0)+1),MATCH(E$1,[1]quests!$1:$1,0)-MATCH($C$1,[1]quests!$1:$1,0)+1,FALSE)</f>
        <v>ゲリラクエスト</v>
      </c>
      <c r="F365" s="5">
        <v>2</v>
      </c>
      <c r="G365" s="3" t="str">
        <f ca="1">VLOOKUP($C365&amp;"_"&amp;$F365,OFFSET([1]stages!$A$1,0,0,COUNTA([1]stages!$A:$A),MATCH(G$1,[1]stages!$2:$2,0)-MATCH("temp_stage",[1]stages!$2:$2,0)+1),MATCH(G$1,[1]stages!$2:$2,0)-MATCH("temp_stage",[1]stages!$2:$2,0)+1,FALSE)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65" s="3" t="str">
        <f ca="1">VLOOKUP($C365&amp;"_"&amp;$F365,OFFSET([1]stages!$A$1,0,0,COUNTA([1]stages!$A:$A),MATCH(H$1,[1]stages!$2:$2,0)-MATCH("temp_stage",[1]stages!$2:$2,0)+1),MATCH(H$1,[1]stages!$2:$2,0)-MATCH("temp_stage",[1]stages!$2:$2,0)+1,FALSE)</f>
        <v>ゲリラクエスト</v>
      </c>
      <c r="I365" s="18">
        <v>0</v>
      </c>
      <c r="J365" s="5">
        <f>COUNTIF(C$1:C365,C365)</f>
        <v>1</v>
      </c>
      <c r="K365" s="34">
        <v>3</v>
      </c>
      <c r="L365" s="5" t="s">
        <v>17</v>
      </c>
      <c r="M365" s="38" t="str">
        <f>VLOOKUP(K365,[2]stage_hints!$A:$C,3,FALSE)</f>
        <v>ターゲット</v>
      </c>
      <c r="N365" s="39" t="str">
        <f>VLOOKUP(K365,[2]stage_hints!$A:$D,4,FALSE)</f>
        <v>敵ユニットをタップすると
その敵を狙い撃ちできます</v>
      </c>
      <c r="O365" s="20" t="s">
        <v>24</v>
      </c>
      <c r="P365">
        <v>3</v>
      </c>
    </row>
    <row r="366" spans="1:16" x14ac:dyDescent="0.15">
      <c r="A366" s="27" t="str">
        <f t="shared" si="59"/>
        <v>12001_2_2</v>
      </c>
      <c r="B366" s="25" t="s">
        <v>34</v>
      </c>
      <c r="C366" s="4">
        <v>12001</v>
      </c>
      <c r="D366" s="3" t="str">
        <f ca="1">VLOOKUP($C366,OFFSET([1]quests!$A$1,0,0,COUNTA([1]quests!$A:$A),MATCH(D$1,[1]quests!$1:$1,0)-MATCH($C$1,[1]quests!$1:$1,0)+1),MATCH(D$1,[1]quests!$1:$1,0)-MATCH($C$1,[1]quests!$1:$1,0)+1,FALSE)</f>
        <v>【緊急！！】 アヒル捕獲作戦</v>
      </c>
      <c r="E366" s="3" t="str">
        <f ca="1">VLOOKUP($C366,OFFSET([1]quests!$A$1,0,0,COUNTA([1]quests!$A:$A),MATCH(E$1,[1]quests!$1:$1,0)-MATCH($C$1,[1]quests!$1:$1,0)+1),MATCH(E$1,[1]quests!$1:$1,0)-MATCH($C$1,[1]quests!$1:$1,0)+1,FALSE)</f>
        <v>ゲリラクエスト</v>
      </c>
      <c r="F366" s="5">
        <v>2</v>
      </c>
      <c r="G366" s="3" t="str">
        <f ca="1">VLOOKUP($C366&amp;"_"&amp;$F366,OFFSET([1]stages!$A$1,0,0,COUNTA([1]stages!$A:$A),MATCH(G$1,[1]stages!$2:$2,0)-MATCH("temp_stage",[1]stages!$2:$2,0)+1),MATCH(G$1,[1]stages!$2:$2,0)-MATCH("temp_stage",[1]stages!$2:$2,0)+1,FALSE)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66" s="3" t="str">
        <f ca="1">VLOOKUP($C366&amp;"_"&amp;$F366,OFFSET([1]stages!$A$1,0,0,COUNTA([1]stages!$A:$A),MATCH(H$1,[1]stages!$2:$2,0)-MATCH("temp_stage",[1]stages!$2:$2,0)+1),MATCH(H$1,[1]stages!$2:$2,0)-MATCH("temp_stage",[1]stages!$2:$2,0)+1,FALSE)</f>
        <v>ゲリラクエスト</v>
      </c>
      <c r="I366" s="18">
        <v>0</v>
      </c>
      <c r="J366" s="5">
        <f>COUNTIF(C$1:C366,C366)</f>
        <v>2</v>
      </c>
      <c r="K366" s="34">
        <v>6</v>
      </c>
      <c r="L366" s="5" t="s">
        <v>17</v>
      </c>
      <c r="M366" s="38" t="str">
        <f>VLOOKUP(K366,[2]stage_hints!$A:$C,3,FALSE)</f>
        <v>ユニット強化の属性ボーナス</v>
      </c>
      <c r="N366" s="39" t="str">
        <f>VLOOKUP(K366,[2]stage_hints!$A:$D,4,FALSE)</f>
        <v>同属性ユニットを強化素材にすると
経験値が多くもらえます</v>
      </c>
      <c r="O366" s="20" t="s">
        <v>24</v>
      </c>
      <c r="P366">
        <v>6</v>
      </c>
    </row>
    <row r="367" spans="1:16" x14ac:dyDescent="0.15">
      <c r="A367" s="27" t="str">
        <f t="shared" si="59"/>
        <v>12001_2_3</v>
      </c>
      <c r="B367" s="25" t="s">
        <v>34</v>
      </c>
      <c r="C367" s="4">
        <v>12001</v>
      </c>
      <c r="D367" s="3" t="str">
        <f ca="1">VLOOKUP($C367,OFFSET([1]quests!$A$1,0,0,COUNTA([1]quests!$A:$A),MATCH(D$1,[1]quests!$1:$1,0)-MATCH($C$1,[1]quests!$1:$1,0)+1),MATCH(D$1,[1]quests!$1:$1,0)-MATCH($C$1,[1]quests!$1:$1,0)+1,FALSE)</f>
        <v>【緊急！！】 アヒル捕獲作戦</v>
      </c>
      <c r="E367" s="3" t="str">
        <f ca="1">VLOOKUP($C367,OFFSET([1]quests!$A$1,0,0,COUNTA([1]quests!$A:$A),MATCH(E$1,[1]quests!$1:$1,0)-MATCH($C$1,[1]quests!$1:$1,0)+1),MATCH(E$1,[1]quests!$1:$1,0)-MATCH($C$1,[1]quests!$1:$1,0)+1,FALSE)</f>
        <v>ゲリラクエスト</v>
      </c>
      <c r="F367" s="5">
        <v>2</v>
      </c>
      <c r="G367" s="3" t="str">
        <f ca="1">VLOOKUP($C367&amp;"_"&amp;$F367,OFFSET([1]stages!$A$1,0,0,COUNTA([1]stages!$A:$A),MATCH(G$1,[1]stages!$2:$2,0)-MATCH("temp_stage",[1]stages!$2:$2,0)+1),MATCH(G$1,[1]stages!$2:$2,0)-MATCH("temp_stage",[1]stages!$2:$2,0)+1,FALSE)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67" s="3" t="str">
        <f ca="1">VLOOKUP($C367&amp;"_"&amp;$F367,OFFSET([1]stages!$A$1,0,0,COUNTA([1]stages!$A:$A),MATCH(H$1,[1]stages!$2:$2,0)-MATCH("temp_stage",[1]stages!$2:$2,0)+1),MATCH(H$1,[1]stages!$2:$2,0)-MATCH("temp_stage",[1]stages!$2:$2,0)+1,FALSE)</f>
        <v>ゲリラクエスト</v>
      </c>
      <c r="I367" s="18">
        <v>0</v>
      </c>
      <c r="J367" s="5">
        <f>COUNTIF(C$1:C367,C367)</f>
        <v>3</v>
      </c>
      <c r="K367" s="34">
        <v>7</v>
      </c>
      <c r="L367" s="5" t="s">
        <v>17</v>
      </c>
      <c r="M367" s="38" t="str">
        <f>VLOOKUP(K367,[2]stage_hints!$A:$C,3,FALSE)</f>
        <v>メタルダックで経験値を獲得</v>
      </c>
      <c r="N367" s="39" t="str">
        <f>VLOOKUP(K367,[2]stage_hints!$A:$D,4,FALSE)</f>
        <v>「メタルなアヒル」を強化素材にすると
大量の経験値がもらえます</v>
      </c>
      <c r="O367" s="20" t="s">
        <v>24</v>
      </c>
      <c r="P367">
        <v>7</v>
      </c>
    </row>
    <row r="368" spans="1:16" x14ac:dyDescent="0.15">
      <c r="A368" s="27" t="str">
        <f t="shared" si="59"/>
        <v>12001_2_4</v>
      </c>
      <c r="B368" s="25" t="s">
        <v>34</v>
      </c>
      <c r="C368" s="4">
        <v>12001</v>
      </c>
      <c r="D368" s="3" t="str">
        <f ca="1">VLOOKUP($C368,OFFSET([1]quests!$A$1,0,0,COUNTA([1]quests!$A:$A),MATCH(D$1,[1]quests!$1:$1,0)-MATCH($C$1,[1]quests!$1:$1,0)+1),MATCH(D$1,[1]quests!$1:$1,0)-MATCH($C$1,[1]quests!$1:$1,0)+1,FALSE)</f>
        <v>【緊急！！】 アヒル捕獲作戦</v>
      </c>
      <c r="E368" s="3" t="str">
        <f ca="1">VLOOKUP($C368,OFFSET([1]quests!$A$1,0,0,COUNTA([1]quests!$A:$A),MATCH(E$1,[1]quests!$1:$1,0)-MATCH($C$1,[1]quests!$1:$1,0)+1),MATCH(E$1,[1]quests!$1:$1,0)-MATCH($C$1,[1]quests!$1:$1,0)+1,FALSE)</f>
        <v>ゲリラクエスト</v>
      </c>
      <c r="F368" s="5">
        <v>2</v>
      </c>
      <c r="G368" s="3" t="str">
        <f ca="1">VLOOKUP($C368&amp;"_"&amp;$F368,OFFSET([1]stages!$A$1,0,0,COUNTA([1]stages!$A:$A),MATCH(G$1,[1]stages!$2:$2,0)-MATCH("temp_stage",[1]stages!$2:$2,0)+1),MATCH(G$1,[1]stages!$2:$2,0)-MATCH("temp_stage",[1]stages!$2:$2,0)+1,FALSE)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68" s="3" t="str">
        <f ca="1">VLOOKUP($C368&amp;"_"&amp;$F368,OFFSET([1]stages!$A$1,0,0,COUNTA([1]stages!$A:$A),MATCH(H$1,[1]stages!$2:$2,0)-MATCH("temp_stage",[1]stages!$2:$2,0)+1),MATCH(H$1,[1]stages!$2:$2,0)-MATCH("temp_stage",[1]stages!$2:$2,0)+1,FALSE)</f>
        <v>ゲリラクエスト</v>
      </c>
      <c r="I368" s="18">
        <v>0</v>
      </c>
      <c r="J368" s="5">
        <f>COUNTIF(C$1:C368,C368)</f>
        <v>4</v>
      </c>
      <c r="K368" s="34">
        <v>8</v>
      </c>
      <c r="L368" s="5" t="s">
        <v>17</v>
      </c>
      <c r="M368" s="38" t="str">
        <f>VLOOKUP(K368,[2]stage_hints!$A:$C,3,FALSE)</f>
        <v>ゲリラクエストは要チェック</v>
      </c>
      <c r="N368" s="39" t="str">
        <f>VLOOKUP(K368,[2]stage_hints!$A:$D,4,FALSE)</f>
        <v>時間限定の「アヒル捕獲作戦」では
経験値素材ユニットが多く手に入ります</v>
      </c>
      <c r="O368" s="20" t="s">
        <v>24</v>
      </c>
      <c r="P368">
        <v>8</v>
      </c>
    </row>
    <row r="369" spans="1:16" x14ac:dyDescent="0.15">
      <c r="A369" s="27" t="str">
        <f t="shared" si="59"/>
        <v>12001_2_5</v>
      </c>
      <c r="B369" s="25" t="s">
        <v>34</v>
      </c>
      <c r="C369" s="4">
        <v>12001</v>
      </c>
      <c r="D369" s="3" t="str">
        <f ca="1">VLOOKUP($C369,OFFSET([1]quests!$A$1,0,0,COUNTA([1]quests!$A:$A),MATCH(D$1,[1]quests!$1:$1,0)-MATCH($C$1,[1]quests!$1:$1,0)+1),MATCH(D$1,[1]quests!$1:$1,0)-MATCH($C$1,[1]quests!$1:$1,0)+1,FALSE)</f>
        <v>【緊急！！】 アヒル捕獲作戦</v>
      </c>
      <c r="E369" s="3" t="str">
        <f ca="1">VLOOKUP($C369,OFFSET([1]quests!$A$1,0,0,COUNTA([1]quests!$A:$A),MATCH(E$1,[1]quests!$1:$1,0)-MATCH($C$1,[1]quests!$1:$1,0)+1),MATCH(E$1,[1]quests!$1:$1,0)-MATCH($C$1,[1]quests!$1:$1,0)+1,FALSE)</f>
        <v>ゲリラクエスト</v>
      </c>
      <c r="F369" s="5">
        <v>2</v>
      </c>
      <c r="G369" s="3" t="str">
        <f ca="1">VLOOKUP($C369&amp;"_"&amp;$F369,OFFSET([1]stages!$A$1,0,0,COUNTA([1]stages!$A:$A),MATCH(G$1,[1]stages!$2:$2,0)-MATCH("temp_stage",[1]stages!$2:$2,0)+1),MATCH(G$1,[1]stages!$2:$2,0)-MATCH("temp_stage",[1]stages!$2:$2,0)+1,FALSE)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69" s="3" t="str">
        <f ca="1">VLOOKUP($C369&amp;"_"&amp;$F369,OFFSET([1]stages!$A$1,0,0,COUNTA([1]stages!$A:$A),MATCH(H$1,[1]stages!$2:$2,0)-MATCH("temp_stage",[1]stages!$2:$2,0)+1),MATCH(H$1,[1]stages!$2:$2,0)-MATCH("temp_stage",[1]stages!$2:$2,0)+1,FALSE)</f>
        <v>ゲリラクエスト</v>
      </c>
      <c r="I369" s="18">
        <v>0</v>
      </c>
      <c r="J369" s="5">
        <f>COUNTIF(C$1:C369,C369)</f>
        <v>5</v>
      </c>
      <c r="K369" s="34">
        <v>9</v>
      </c>
      <c r="L369" s="5" t="s">
        <v>17</v>
      </c>
      <c r="M369" s="38" t="str">
        <f>VLOOKUP(K369,[2]stage_hints!$A:$C,3,FALSE)</f>
        <v>ゴールドダックでビットを獲得</v>
      </c>
      <c r="N369" s="39" t="str">
        <f>VLOOKUP(K369,[2]stage_hints!$A:$D,4,FALSE)</f>
        <v>「ゴールドなアヒル」を売却すると
大量のビットがもらえます</v>
      </c>
      <c r="O369" s="20" t="s">
        <v>24</v>
      </c>
      <c r="P369">
        <v>9</v>
      </c>
    </row>
    <row r="370" spans="1:16" x14ac:dyDescent="0.15">
      <c r="A370" s="27" t="str">
        <f t="shared" si="59"/>
        <v>12001_2_6</v>
      </c>
      <c r="B370" s="25" t="s">
        <v>34</v>
      </c>
      <c r="C370" s="4">
        <v>12001</v>
      </c>
      <c r="D370" s="3" t="str">
        <f ca="1">VLOOKUP($C370,OFFSET([1]quests!$A$1,0,0,COUNTA([1]quests!$A:$A),MATCH(D$1,[1]quests!$1:$1,0)-MATCH($C$1,[1]quests!$1:$1,0)+1),MATCH(D$1,[1]quests!$1:$1,0)-MATCH($C$1,[1]quests!$1:$1,0)+1,FALSE)</f>
        <v>【緊急！！】 アヒル捕獲作戦</v>
      </c>
      <c r="E370" s="3" t="str">
        <f ca="1">VLOOKUP($C370,OFFSET([1]quests!$A$1,0,0,COUNTA([1]quests!$A:$A),MATCH(E$1,[1]quests!$1:$1,0)-MATCH($C$1,[1]quests!$1:$1,0)+1),MATCH(E$1,[1]quests!$1:$1,0)-MATCH($C$1,[1]quests!$1:$1,0)+1,FALSE)</f>
        <v>ゲリラクエスト</v>
      </c>
      <c r="F370" s="5">
        <v>2</v>
      </c>
      <c r="G370" s="3" t="str">
        <f ca="1">VLOOKUP($C370&amp;"_"&amp;$F370,OFFSET([1]stages!$A$1,0,0,COUNTA([1]stages!$A:$A),MATCH(G$1,[1]stages!$2:$2,0)-MATCH("temp_stage",[1]stages!$2:$2,0)+1),MATCH(G$1,[1]stages!$2:$2,0)-MATCH("temp_stage",[1]stages!$2:$2,0)+1,FALSE)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0" s="3" t="str">
        <f ca="1">VLOOKUP($C370&amp;"_"&amp;$F370,OFFSET([1]stages!$A$1,0,0,COUNTA([1]stages!$A:$A),MATCH(H$1,[1]stages!$2:$2,0)-MATCH("temp_stage",[1]stages!$2:$2,0)+1),MATCH(H$1,[1]stages!$2:$2,0)-MATCH("temp_stage",[1]stages!$2:$2,0)+1,FALSE)</f>
        <v>ゲリラクエスト</v>
      </c>
      <c r="I370" s="18">
        <v>0</v>
      </c>
      <c r="J370" s="5">
        <f>COUNTIF(C$1:C370,C370)</f>
        <v>6</v>
      </c>
      <c r="K370" s="34">
        <v>10</v>
      </c>
      <c r="L370" s="5" t="s">
        <v>17</v>
      </c>
      <c r="M370" s="38" t="str">
        <f>VLOOKUP(K370,[2]stage_hints!$A:$C,3,FALSE)</f>
        <v>土日に大量のビットを獲得</v>
      </c>
      <c r="N370" s="39" t="str">
        <f>VLOOKUP(K370,[2]stage_hints!$A:$D,4,FALSE)</f>
        <v>土日限定の「ゴールドカジノ」では
売却素材ユニットが多く手に入ります</v>
      </c>
      <c r="O370" s="20" t="s">
        <v>24</v>
      </c>
      <c r="P370">
        <v>10</v>
      </c>
    </row>
    <row r="371" spans="1:16" x14ac:dyDescent="0.15">
      <c r="A371" s="27" t="str">
        <f t="shared" si="59"/>
        <v>12001_2_7</v>
      </c>
      <c r="B371" s="25" t="s">
        <v>34</v>
      </c>
      <c r="C371" s="4">
        <v>12001</v>
      </c>
      <c r="D371" s="3" t="str">
        <f ca="1">VLOOKUP($C371,OFFSET([1]quests!$A$1,0,0,COUNTA([1]quests!$A:$A),MATCH(D$1,[1]quests!$1:$1,0)-MATCH($C$1,[1]quests!$1:$1,0)+1),MATCH(D$1,[1]quests!$1:$1,0)-MATCH($C$1,[1]quests!$1:$1,0)+1,FALSE)</f>
        <v>【緊急！！】 アヒル捕獲作戦</v>
      </c>
      <c r="E371" s="3" t="str">
        <f ca="1">VLOOKUP($C371,OFFSET([1]quests!$A$1,0,0,COUNTA([1]quests!$A:$A),MATCH(E$1,[1]quests!$1:$1,0)-MATCH($C$1,[1]quests!$1:$1,0)+1),MATCH(E$1,[1]quests!$1:$1,0)-MATCH($C$1,[1]quests!$1:$1,0)+1,FALSE)</f>
        <v>ゲリラクエスト</v>
      </c>
      <c r="F371" s="5">
        <v>2</v>
      </c>
      <c r="G371" s="3" t="str">
        <f ca="1">VLOOKUP($C371&amp;"_"&amp;$F371,OFFSET([1]stages!$A$1,0,0,COUNTA([1]stages!$A:$A),MATCH(G$1,[1]stages!$2:$2,0)-MATCH("temp_stage",[1]stages!$2:$2,0)+1),MATCH(G$1,[1]stages!$2:$2,0)-MATCH("temp_stage",[1]stages!$2:$2,0)+1,FALSE)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1" s="3" t="str">
        <f ca="1">VLOOKUP($C371&amp;"_"&amp;$F371,OFFSET([1]stages!$A$1,0,0,COUNTA([1]stages!$A:$A),MATCH(H$1,[1]stages!$2:$2,0)-MATCH("temp_stage",[1]stages!$2:$2,0)+1),MATCH(H$1,[1]stages!$2:$2,0)-MATCH("temp_stage",[1]stages!$2:$2,0)+1,FALSE)</f>
        <v>ゲリラクエスト</v>
      </c>
      <c r="I371" s="18">
        <v>0</v>
      </c>
      <c r="J371" s="5">
        <f>COUNTIF(C$1:C371,C371)</f>
        <v>7</v>
      </c>
      <c r="K371" s="34">
        <v>11</v>
      </c>
      <c r="L371" s="5" t="s">
        <v>17</v>
      </c>
      <c r="M371" s="38" t="str">
        <f>VLOOKUP(K371,[2]stage_hints!$A:$C,3,FALSE)</f>
        <v>ランク解放クエスト</v>
      </c>
      <c r="N371" s="39" t="str">
        <f>VLOOKUP(K371,[2]stage_hints!$A:$D,4,FALSE)</f>
        <v>一定ランクに到達すると
報酬付きのランク開放クエストが現れます</v>
      </c>
      <c r="O371" s="20" t="s">
        <v>24</v>
      </c>
      <c r="P371">
        <v>11</v>
      </c>
    </row>
    <row r="372" spans="1:16" x14ac:dyDescent="0.15">
      <c r="A372" s="27" t="str">
        <f t="shared" si="59"/>
        <v>12001_2_8</v>
      </c>
      <c r="B372" s="25" t="s">
        <v>34</v>
      </c>
      <c r="C372" s="4">
        <v>12001</v>
      </c>
      <c r="D372" s="3" t="str">
        <f ca="1">VLOOKUP($C372,OFFSET([1]quests!$A$1,0,0,COUNTA([1]quests!$A:$A),MATCH(D$1,[1]quests!$1:$1,0)-MATCH($C$1,[1]quests!$1:$1,0)+1),MATCH(D$1,[1]quests!$1:$1,0)-MATCH($C$1,[1]quests!$1:$1,0)+1,FALSE)</f>
        <v>【緊急！！】 アヒル捕獲作戦</v>
      </c>
      <c r="E372" s="3" t="str">
        <f ca="1">VLOOKUP($C372,OFFSET([1]quests!$A$1,0,0,COUNTA([1]quests!$A:$A),MATCH(E$1,[1]quests!$1:$1,0)-MATCH($C$1,[1]quests!$1:$1,0)+1),MATCH(E$1,[1]quests!$1:$1,0)-MATCH($C$1,[1]quests!$1:$1,0)+1,FALSE)</f>
        <v>ゲリラクエスト</v>
      </c>
      <c r="F372" s="5">
        <v>2</v>
      </c>
      <c r="G372" s="3" t="str">
        <f ca="1">VLOOKUP($C372&amp;"_"&amp;$F372,OFFSET([1]stages!$A$1,0,0,COUNTA([1]stages!$A:$A),MATCH(G$1,[1]stages!$2:$2,0)-MATCH("temp_stage",[1]stages!$2:$2,0)+1),MATCH(G$1,[1]stages!$2:$2,0)-MATCH("temp_stage",[1]stages!$2:$2,0)+1,FALSE)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2" s="3" t="str">
        <f ca="1">VLOOKUP($C372&amp;"_"&amp;$F372,OFFSET([1]stages!$A$1,0,0,COUNTA([1]stages!$A:$A),MATCH(H$1,[1]stages!$2:$2,0)-MATCH("temp_stage",[1]stages!$2:$2,0)+1),MATCH(H$1,[1]stages!$2:$2,0)-MATCH("temp_stage",[1]stages!$2:$2,0)+1,FALSE)</f>
        <v>ゲリラクエスト</v>
      </c>
      <c r="I372" s="18">
        <v>0</v>
      </c>
      <c r="J372" s="5">
        <f>COUNTIF(C$1:C372,C372)</f>
        <v>8</v>
      </c>
      <c r="K372" s="34">
        <v>12</v>
      </c>
      <c r="L372" s="5" t="s">
        <v>17</v>
      </c>
      <c r="M372" s="38" t="str">
        <f>VLOOKUP(K372,[2]stage_hints!$A:$C,3,FALSE)</f>
        <v>ユニットのお気に入り登録</v>
      </c>
      <c r="N372" s="39" t="str">
        <f>VLOOKUP(K372,[2]stage_hints!$A:$D,4,FALSE)</f>
        <v>大事なユニットを誤って消さないように
フォルダから「お気に入り登録」しましょう</v>
      </c>
      <c r="O372" s="20" t="s">
        <v>24</v>
      </c>
      <c r="P372">
        <v>12</v>
      </c>
    </row>
    <row r="373" spans="1:16" x14ac:dyDescent="0.15">
      <c r="A373" s="27" t="str">
        <f t="shared" si="59"/>
        <v>12001_2_9</v>
      </c>
      <c r="B373" s="25" t="s">
        <v>34</v>
      </c>
      <c r="C373" s="4">
        <v>12001</v>
      </c>
      <c r="D373" s="3" t="str">
        <f ca="1">VLOOKUP($C373,OFFSET([1]quests!$A$1,0,0,COUNTA([1]quests!$A:$A),MATCH(D$1,[1]quests!$1:$1,0)-MATCH($C$1,[1]quests!$1:$1,0)+1),MATCH(D$1,[1]quests!$1:$1,0)-MATCH($C$1,[1]quests!$1:$1,0)+1,FALSE)</f>
        <v>【緊急！！】 アヒル捕獲作戦</v>
      </c>
      <c r="E373" s="3" t="str">
        <f ca="1">VLOOKUP($C373,OFFSET([1]quests!$A$1,0,0,COUNTA([1]quests!$A:$A),MATCH(E$1,[1]quests!$1:$1,0)-MATCH($C$1,[1]quests!$1:$1,0)+1),MATCH(E$1,[1]quests!$1:$1,0)-MATCH($C$1,[1]quests!$1:$1,0)+1,FALSE)</f>
        <v>ゲリラクエスト</v>
      </c>
      <c r="F373" s="5">
        <v>2</v>
      </c>
      <c r="G373" s="3" t="str">
        <f ca="1">VLOOKUP($C373&amp;"_"&amp;$F373,OFFSET([1]stages!$A$1,0,0,COUNTA([1]stages!$A:$A),MATCH(G$1,[1]stages!$2:$2,0)-MATCH("temp_stage",[1]stages!$2:$2,0)+1),MATCH(G$1,[1]stages!$2:$2,0)-MATCH("temp_stage",[1]stages!$2:$2,0)+1,FALSE)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3" s="3" t="str">
        <f ca="1">VLOOKUP($C373&amp;"_"&amp;$F373,OFFSET([1]stages!$A$1,0,0,COUNTA([1]stages!$A:$A),MATCH(H$1,[1]stages!$2:$2,0)-MATCH("temp_stage",[1]stages!$2:$2,0)+1),MATCH(H$1,[1]stages!$2:$2,0)-MATCH("temp_stage",[1]stages!$2:$2,0)+1,FALSE)</f>
        <v>ゲリラクエスト</v>
      </c>
      <c r="I373" s="18">
        <v>0</v>
      </c>
      <c r="J373" s="5">
        <f>COUNTIF(C$1:C373,C373)</f>
        <v>9</v>
      </c>
      <c r="K373" s="34">
        <v>13</v>
      </c>
      <c r="L373" s="5" t="s">
        <v>17</v>
      </c>
      <c r="M373" s="38" t="str">
        <f>VLOOKUP(K373,[2]stage_hints!$A:$C,3,FALSE)</f>
        <v>ユニットの覚醒</v>
      </c>
      <c r="N373" s="39" t="str">
        <f>VLOOKUP(K373,[2]stage_hints!$A:$D,4,FALSE)</f>
        <v>ユニットを覚醒させると
比べものにならない強さが手に入ります</v>
      </c>
      <c r="O373" s="20" t="s">
        <v>24</v>
      </c>
      <c r="P373">
        <v>13</v>
      </c>
    </row>
    <row r="374" spans="1:16" x14ac:dyDescent="0.15">
      <c r="A374" s="27" t="str">
        <f t="shared" si="59"/>
        <v>12001_2_10</v>
      </c>
      <c r="B374" s="25" t="s">
        <v>34</v>
      </c>
      <c r="C374" s="4">
        <v>12001</v>
      </c>
      <c r="D374" s="3" t="str">
        <f ca="1">VLOOKUP($C374,OFFSET([1]quests!$A$1,0,0,COUNTA([1]quests!$A:$A),MATCH(D$1,[1]quests!$1:$1,0)-MATCH($C$1,[1]quests!$1:$1,0)+1),MATCH(D$1,[1]quests!$1:$1,0)-MATCH($C$1,[1]quests!$1:$1,0)+1,FALSE)</f>
        <v>【緊急！！】 アヒル捕獲作戦</v>
      </c>
      <c r="E374" s="3" t="str">
        <f ca="1">VLOOKUP($C374,OFFSET([1]quests!$A$1,0,0,COUNTA([1]quests!$A:$A),MATCH(E$1,[1]quests!$1:$1,0)-MATCH($C$1,[1]quests!$1:$1,0)+1),MATCH(E$1,[1]quests!$1:$1,0)-MATCH($C$1,[1]quests!$1:$1,0)+1,FALSE)</f>
        <v>ゲリラクエスト</v>
      </c>
      <c r="F374" s="5">
        <v>2</v>
      </c>
      <c r="G374" s="3" t="str">
        <f ca="1">VLOOKUP($C374&amp;"_"&amp;$F374,OFFSET([1]stages!$A$1,0,0,COUNTA([1]stages!$A:$A),MATCH(G$1,[1]stages!$2:$2,0)-MATCH("temp_stage",[1]stages!$2:$2,0)+1),MATCH(G$1,[1]stages!$2:$2,0)-MATCH("temp_stage",[1]stages!$2:$2,0)+1,FALSE)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4" s="3" t="str">
        <f ca="1">VLOOKUP($C374&amp;"_"&amp;$F374,OFFSET([1]stages!$A$1,0,0,COUNTA([1]stages!$A:$A),MATCH(H$1,[1]stages!$2:$2,0)-MATCH("temp_stage",[1]stages!$2:$2,0)+1),MATCH(H$1,[1]stages!$2:$2,0)-MATCH("temp_stage",[1]stages!$2:$2,0)+1,FALSE)</f>
        <v>ゲリラクエスト</v>
      </c>
      <c r="I374" s="18">
        <v>0</v>
      </c>
      <c r="J374" s="5">
        <f>COUNTIF(C$1:C374,C374)</f>
        <v>10</v>
      </c>
      <c r="K374" s="34">
        <v>14</v>
      </c>
      <c r="L374" s="5" t="s">
        <v>17</v>
      </c>
      <c r="M374" s="38" t="str">
        <f>VLOOKUP(K374,[2]stage_hints!$A:$C,3,FALSE)</f>
        <v>覚醒するにはレベルを最大に</v>
      </c>
      <c r="N374" s="39" t="str">
        <f>VLOOKUP(K374,[2]stage_hints!$A:$D,4,FALSE)</f>
        <v>覚醒するにはユニットのレベルを
最大まで上げる必要があります</v>
      </c>
      <c r="O374" s="20" t="s">
        <v>24</v>
      </c>
      <c r="P374">
        <v>14</v>
      </c>
    </row>
    <row r="375" spans="1:16" x14ac:dyDescent="0.15">
      <c r="A375" s="27" t="str">
        <f t="shared" si="59"/>
        <v>12001_2_11</v>
      </c>
      <c r="B375" s="25" t="s">
        <v>34</v>
      </c>
      <c r="C375" s="4">
        <v>12001</v>
      </c>
      <c r="D375" s="3" t="str">
        <f ca="1">VLOOKUP($C375,OFFSET([1]quests!$A$1,0,0,COUNTA([1]quests!$A:$A),MATCH(D$1,[1]quests!$1:$1,0)-MATCH($C$1,[1]quests!$1:$1,0)+1),MATCH(D$1,[1]quests!$1:$1,0)-MATCH($C$1,[1]quests!$1:$1,0)+1,FALSE)</f>
        <v>【緊急！！】 アヒル捕獲作戦</v>
      </c>
      <c r="E375" s="3" t="str">
        <f ca="1">VLOOKUP($C375,OFFSET([1]quests!$A$1,0,0,COUNTA([1]quests!$A:$A),MATCH(E$1,[1]quests!$1:$1,0)-MATCH($C$1,[1]quests!$1:$1,0)+1),MATCH(E$1,[1]quests!$1:$1,0)-MATCH($C$1,[1]quests!$1:$1,0)+1,FALSE)</f>
        <v>ゲリラクエスト</v>
      </c>
      <c r="F375" s="5">
        <v>2</v>
      </c>
      <c r="G375" s="3" t="str">
        <f ca="1">VLOOKUP($C375&amp;"_"&amp;$F375,OFFSET([1]stages!$A$1,0,0,COUNTA([1]stages!$A:$A),MATCH(G$1,[1]stages!$2:$2,0)-MATCH("temp_stage",[1]stages!$2:$2,0)+1),MATCH(G$1,[1]stages!$2:$2,0)-MATCH("temp_stage",[1]stages!$2:$2,0)+1,FALSE)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5" s="3" t="str">
        <f ca="1">VLOOKUP($C375&amp;"_"&amp;$F375,OFFSET([1]stages!$A$1,0,0,COUNTA([1]stages!$A:$A),MATCH(H$1,[1]stages!$2:$2,0)-MATCH("temp_stage",[1]stages!$2:$2,0)+1),MATCH(H$1,[1]stages!$2:$2,0)-MATCH("temp_stage",[1]stages!$2:$2,0)+1,FALSE)</f>
        <v>ゲリラクエスト</v>
      </c>
      <c r="I375" s="18">
        <v>0</v>
      </c>
      <c r="J375" s="5">
        <f>COUNTIF(C$1:C375,C375)</f>
        <v>11</v>
      </c>
      <c r="K375" s="34">
        <v>15</v>
      </c>
      <c r="L375" s="5" t="s">
        <v>17</v>
      </c>
      <c r="M375" s="38" t="str">
        <f>VLOOKUP(K375,[2]stage_hints!$A:$C,3,FALSE)</f>
        <v>覚醒素材を獲得</v>
      </c>
      <c r="N375" s="39" t="str">
        <f>VLOOKUP(K375,[2]stage_hints!$A:$D,4,FALSE)</f>
        <v>「曜日クエスト」では
ユニットの覚醒に必要な素材が手に入ります</v>
      </c>
      <c r="O375" s="20" t="s">
        <v>24</v>
      </c>
      <c r="P375">
        <v>15</v>
      </c>
    </row>
    <row r="376" spans="1:16" x14ac:dyDescent="0.15">
      <c r="A376" s="27" t="str">
        <f t="shared" si="59"/>
        <v>12001_2_12</v>
      </c>
      <c r="B376" s="25" t="s">
        <v>34</v>
      </c>
      <c r="C376" s="4">
        <v>12001</v>
      </c>
      <c r="D376" s="3" t="str">
        <f ca="1">VLOOKUP($C376,OFFSET([1]quests!$A$1,0,0,COUNTA([1]quests!$A:$A),MATCH(D$1,[1]quests!$1:$1,0)-MATCH($C$1,[1]quests!$1:$1,0)+1),MATCH(D$1,[1]quests!$1:$1,0)-MATCH($C$1,[1]quests!$1:$1,0)+1,FALSE)</f>
        <v>【緊急！！】 アヒル捕獲作戦</v>
      </c>
      <c r="E376" s="3" t="str">
        <f ca="1">VLOOKUP($C376,OFFSET([1]quests!$A$1,0,0,COUNTA([1]quests!$A:$A),MATCH(E$1,[1]quests!$1:$1,0)-MATCH($C$1,[1]quests!$1:$1,0)+1),MATCH(E$1,[1]quests!$1:$1,0)-MATCH($C$1,[1]quests!$1:$1,0)+1,FALSE)</f>
        <v>ゲリラクエスト</v>
      </c>
      <c r="F376" s="5">
        <v>2</v>
      </c>
      <c r="G376" s="3" t="str">
        <f ca="1">VLOOKUP($C376&amp;"_"&amp;$F376,OFFSET([1]stages!$A$1,0,0,COUNTA([1]stages!$A:$A),MATCH(G$1,[1]stages!$2:$2,0)-MATCH("temp_stage",[1]stages!$2:$2,0)+1),MATCH(G$1,[1]stages!$2:$2,0)-MATCH("temp_stage",[1]stages!$2:$2,0)+1,FALSE)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6" s="3" t="str">
        <f ca="1">VLOOKUP($C376&amp;"_"&amp;$F376,OFFSET([1]stages!$A$1,0,0,COUNTA([1]stages!$A:$A),MATCH(H$1,[1]stages!$2:$2,0)-MATCH("temp_stage",[1]stages!$2:$2,0)+1),MATCH(H$1,[1]stages!$2:$2,0)-MATCH("temp_stage",[1]stages!$2:$2,0)+1,FALSE)</f>
        <v>ゲリラクエスト</v>
      </c>
      <c r="I376" s="18">
        <v>0</v>
      </c>
      <c r="J376" s="5">
        <f>COUNTIF(C$1:C376,C376)</f>
        <v>12</v>
      </c>
      <c r="K376" s="34">
        <v>16</v>
      </c>
      <c r="L376" s="5" t="s">
        <v>17</v>
      </c>
      <c r="M376" s="38" t="str">
        <f>VLOOKUP(K376,[2]stage_hints!$A:$C,3,FALSE)</f>
        <v>マルチプレイのメリット（その1）</v>
      </c>
      <c r="N376" s="39" t="str">
        <f>VLOOKUP(K376,[2]stage_hints!$A:$D,4,FALSE)</f>
        <v>他のプレイヤーとマルチプレイで遊ぶと
ポリゴンがもらえます（100人まで）</v>
      </c>
      <c r="O376" s="20" t="s">
        <v>24</v>
      </c>
      <c r="P376">
        <v>16</v>
      </c>
    </row>
    <row r="377" spans="1:16" x14ac:dyDescent="0.15">
      <c r="A377" s="27" t="str">
        <f t="shared" si="59"/>
        <v>12001_2_13</v>
      </c>
      <c r="B377" s="25" t="s">
        <v>34</v>
      </c>
      <c r="C377" s="4">
        <v>12001</v>
      </c>
      <c r="D377" s="3" t="str">
        <f ca="1">VLOOKUP($C377,OFFSET([1]quests!$A$1,0,0,COUNTA([1]quests!$A:$A),MATCH(D$1,[1]quests!$1:$1,0)-MATCH($C$1,[1]quests!$1:$1,0)+1),MATCH(D$1,[1]quests!$1:$1,0)-MATCH($C$1,[1]quests!$1:$1,0)+1,FALSE)</f>
        <v>【緊急！！】 アヒル捕獲作戦</v>
      </c>
      <c r="E377" s="3" t="str">
        <f ca="1">VLOOKUP($C377,OFFSET([1]quests!$A$1,0,0,COUNTA([1]quests!$A:$A),MATCH(E$1,[1]quests!$1:$1,0)-MATCH($C$1,[1]quests!$1:$1,0)+1),MATCH(E$1,[1]quests!$1:$1,0)-MATCH($C$1,[1]quests!$1:$1,0)+1,FALSE)</f>
        <v>ゲリラクエスト</v>
      </c>
      <c r="F377" s="5">
        <v>2</v>
      </c>
      <c r="G377" s="3" t="str">
        <f ca="1">VLOOKUP($C377&amp;"_"&amp;$F377,OFFSET([1]stages!$A$1,0,0,COUNTA([1]stages!$A:$A),MATCH(G$1,[1]stages!$2:$2,0)-MATCH("temp_stage",[1]stages!$2:$2,0)+1),MATCH(G$1,[1]stages!$2:$2,0)-MATCH("temp_stage",[1]stages!$2:$2,0)+1,FALSE)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7" s="3" t="str">
        <f ca="1">VLOOKUP($C377&amp;"_"&amp;$F377,OFFSET([1]stages!$A$1,0,0,COUNTA([1]stages!$A:$A),MATCH(H$1,[1]stages!$2:$2,0)-MATCH("temp_stage",[1]stages!$2:$2,0)+1),MATCH(H$1,[1]stages!$2:$2,0)-MATCH("temp_stage",[1]stages!$2:$2,0)+1,FALSE)</f>
        <v>ゲリラクエスト</v>
      </c>
      <c r="I377" s="18">
        <v>0</v>
      </c>
      <c r="J377" s="5">
        <f>COUNTIF(C$1:C377,C377)</f>
        <v>13</v>
      </c>
      <c r="K377" s="34">
        <v>17</v>
      </c>
      <c r="L377" s="5" t="s">
        <v>17</v>
      </c>
      <c r="M377" s="38" t="str">
        <f>VLOOKUP(K377,[2]stage_hints!$A:$C,3,FALSE)</f>
        <v>リンクガチャ</v>
      </c>
      <c r="N377" s="39" t="str">
        <f>VLOOKUP(K377,[2]stage_hints!$A:$D,4,FALSE)</f>
        <v>無料のリンクガチャを回して
経験値素材や売却素材を獲得しましょう</v>
      </c>
      <c r="O377" s="20" t="s">
        <v>24</v>
      </c>
      <c r="P377">
        <v>17</v>
      </c>
    </row>
    <row r="378" spans="1:16" x14ac:dyDescent="0.15">
      <c r="A378" s="27" t="str">
        <f t="shared" si="59"/>
        <v>12001_2_14</v>
      </c>
      <c r="B378" s="25" t="s">
        <v>34</v>
      </c>
      <c r="C378" s="4">
        <v>12001</v>
      </c>
      <c r="D378" s="3" t="str">
        <f ca="1">VLOOKUP($C378,OFFSET([1]quests!$A$1,0,0,COUNTA([1]quests!$A:$A),MATCH(D$1,[1]quests!$1:$1,0)-MATCH($C$1,[1]quests!$1:$1,0)+1),MATCH(D$1,[1]quests!$1:$1,0)-MATCH($C$1,[1]quests!$1:$1,0)+1,FALSE)</f>
        <v>【緊急！！】 アヒル捕獲作戦</v>
      </c>
      <c r="E378" s="3" t="str">
        <f ca="1">VLOOKUP($C378,OFFSET([1]quests!$A$1,0,0,COUNTA([1]quests!$A:$A),MATCH(E$1,[1]quests!$1:$1,0)-MATCH($C$1,[1]quests!$1:$1,0)+1),MATCH(E$1,[1]quests!$1:$1,0)-MATCH($C$1,[1]quests!$1:$1,0)+1,FALSE)</f>
        <v>ゲリラクエスト</v>
      </c>
      <c r="F378" s="5">
        <v>2</v>
      </c>
      <c r="G378" s="3" t="str">
        <f ca="1">VLOOKUP($C378&amp;"_"&amp;$F378,OFFSET([1]stages!$A$1,0,0,COUNTA([1]stages!$A:$A),MATCH(G$1,[1]stages!$2:$2,0)-MATCH("temp_stage",[1]stages!$2:$2,0)+1),MATCH(G$1,[1]stages!$2:$2,0)-MATCH("temp_stage",[1]stages!$2:$2,0)+1,FALSE)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8" s="3" t="str">
        <f ca="1">VLOOKUP($C378&amp;"_"&amp;$F378,OFFSET([1]stages!$A$1,0,0,COUNTA([1]stages!$A:$A),MATCH(H$1,[1]stages!$2:$2,0)-MATCH("temp_stage",[1]stages!$2:$2,0)+1),MATCH(H$1,[1]stages!$2:$2,0)-MATCH("temp_stage",[1]stages!$2:$2,0)+1,FALSE)</f>
        <v>ゲリラクエスト</v>
      </c>
      <c r="I378" s="18">
        <v>0</v>
      </c>
      <c r="J378" s="5">
        <f>COUNTIF(C$1:C378,C378)</f>
        <v>14</v>
      </c>
      <c r="K378" s="34">
        <v>18</v>
      </c>
      <c r="L378" s="5" t="s">
        <v>17</v>
      </c>
      <c r="M378" s="38" t="str">
        <f>VLOOKUP(K378,[2]stage_hints!$A:$C,3,FALSE)</f>
        <v>マルチプレイのメリット（その2）</v>
      </c>
      <c r="N378" s="39" t="str">
        <f>VLOOKUP(K378,[2]stage_hints!$A:$D,4,FALSE)</f>
        <v>マルチプレイならリンクが2倍もらえます
リンクガチャをたくさん回しましょう</v>
      </c>
      <c r="O378" s="20" t="s">
        <v>24</v>
      </c>
      <c r="P378">
        <v>18</v>
      </c>
    </row>
    <row r="379" spans="1:16" x14ac:dyDescent="0.15">
      <c r="A379" s="27" t="str">
        <f t="shared" si="59"/>
        <v>12001_2_15</v>
      </c>
      <c r="B379" s="25" t="s">
        <v>34</v>
      </c>
      <c r="C379" s="4">
        <v>12001</v>
      </c>
      <c r="D379" s="3" t="str">
        <f ca="1">VLOOKUP($C379,OFFSET([1]quests!$A$1,0,0,COUNTA([1]quests!$A:$A),MATCH(D$1,[1]quests!$1:$1,0)-MATCH($C$1,[1]quests!$1:$1,0)+1),MATCH(D$1,[1]quests!$1:$1,0)-MATCH($C$1,[1]quests!$1:$1,0)+1,FALSE)</f>
        <v>【緊急！！】 アヒル捕獲作戦</v>
      </c>
      <c r="E379" s="3" t="str">
        <f ca="1">VLOOKUP($C379,OFFSET([1]quests!$A$1,0,0,COUNTA([1]quests!$A:$A),MATCH(E$1,[1]quests!$1:$1,0)-MATCH($C$1,[1]quests!$1:$1,0)+1),MATCH(E$1,[1]quests!$1:$1,0)-MATCH($C$1,[1]quests!$1:$1,0)+1,FALSE)</f>
        <v>ゲリラクエスト</v>
      </c>
      <c r="F379" s="5">
        <v>2</v>
      </c>
      <c r="G379" s="3" t="str">
        <f ca="1">VLOOKUP($C379&amp;"_"&amp;$F379,OFFSET([1]stages!$A$1,0,0,COUNTA([1]stages!$A:$A),MATCH(G$1,[1]stages!$2:$2,0)-MATCH("temp_stage",[1]stages!$2:$2,0)+1),MATCH(G$1,[1]stages!$2:$2,0)-MATCH("temp_stage",[1]stages!$2:$2,0)+1,FALSE)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79" s="3" t="str">
        <f ca="1">VLOOKUP($C379&amp;"_"&amp;$F379,OFFSET([1]stages!$A$1,0,0,COUNTA([1]stages!$A:$A),MATCH(H$1,[1]stages!$2:$2,0)-MATCH("temp_stage",[1]stages!$2:$2,0)+1),MATCH(H$1,[1]stages!$2:$2,0)-MATCH("temp_stage",[1]stages!$2:$2,0)+1,FALSE)</f>
        <v>ゲリラクエスト</v>
      </c>
      <c r="I379" s="18">
        <v>0</v>
      </c>
      <c r="J379" s="5">
        <f>COUNTIF(C$1:C379,C379)</f>
        <v>15</v>
      </c>
      <c r="K379" s="34">
        <v>19</v>
      </c>
      <c r="L379" s="5" t="s">
        <v>17</v>
      </c>
      <c r="M379" s="38" t="str">
        <f>VLOOKUP(K379,[2]stage_hints!$A:$C,3,FALSE)</f>
        <v>ソロ専用チャレンジタワー</v>
      </c>
      <c r="N379" s="39" t="str">
        <f>VLOOKUP(K379,[2]stage_hints!$A:$D,4,FALSE)</f>
        <v>ソロ専用の「チャレンジタワー」では
各フロアごとにクリア報酬がもらえます</v>
      </c>
      <c r="O379" s="20" t="s">
        <v>24</v>
      </c>
      <c r="P379">
        <v>19</v>
      </c>
    </row>
    <row r="380" spans="1:16" x14ac:dyDescent="0.15">
      <c r="A380" s="27" t="str">
        <f t="shared" ref="A380:A393" si="60">C380&amp;"_"&amp;F380&amp;"_"&amp;J380</f>
        <v>12001_2_16</v>
      </c>
      <c r="B380" s="25" t="s">
        <v>34</v>
      </c>
      <c r="C380" s="4">
        <v>12001</v>
      </c>
      <c r="D380" s="3" t="str">
        <f ca="1">VLOOKUP($C380,OFFSET([1]quests!$A$1,0,0,COUNTA([1]quests!$A:$A),MATCH(D$1,[1]quests!$1:$1,0)-MATCH($C$1,[1]quests!$1:$1,0)+1),MATCH(D$1,[1]quests!$1:$1,0)-MATCH($C$1,[1]quests!$1:$1,0)+1,FALSE)</f>
        <v>【緊急！！】 アヒル捕獲作戦</v>
      </c>
      <c r="E380" s="3" t="str">
        <f ca="1">VLOOKUP($C380,OFFSET([1]quests!$A$1,0,0,COUNTA([1]quests!$A:$A),MATCH(E$1,[1]quests!$1:$1,0)-MATCH($C$1,[1]quests!$1:$1,0)+1),MATCH(E$1,[1]quests!$1:$1,0)-MATCH($C$1,[1]quests!$1:$1,0)+1,FALSE)</f>
        <v>ゲリラクエスト</v>
      </c>
      <c r="F380" s="5">
        <v>2</v>
      </c>
      <c r="G380" s="3" t="str">
        <f ca="1">VLOOKUP($C380&amp;"_"&amp;$F380,OFFSET([1]stages!$A$1,0,0,COUNTA([1]stages!$A:$A),MATCH(G$1,[1]stages!$2:$2,0)-MATCH("temp_stage",[1]stages!$2:$2,0)+1),MATCH(G$1,[1]stages!$2:$2,0)-MATCH("temp_stage",[1]stages!$2:$2,0)+1,FALSE)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0" s="3" t="str">
        <f ca="1">VLOOKUP($C380&amp;"_"&amp;$F380,OFFSET([1]stages!$A$1,0,0,COUNTA([1]stages!$A:$A),MATCH(H$1,[1]stages!$2:$2,0)-MATCH("temp_stage",[1]stages!$2:$2,0)+1),MATCH(H$1,[1]stages!$2:$2,0)-MATCH("temp_stage",[1]stages!$2:$2,0)+1,FALSE)</f>
        <v>ゲリラクエスト</v>
      </c>
      <c r="I380" s="18">
        <v>0</v>
      </c>
      <c r="J380" s="5">
        <f>COUNTIF(C$1:C380,C380)</f>
        <v>16</v>
      </c>
      <c r="K380" s="34">
        <v>20</v>
      </c>
      <c r="L380" s="5" t="s">
        <v>17</v>
      </c>
      <c r="M380" s="38" t="str">
        <f>VLOOKUP(K380,[2]stage_hints!$A:$C,3,FALSE)</f>
        <v>マルチプレイのメリット（その3）</v>
      </c>
      <c r="N380" s="39" t="str">
        <f>VLOOKUP(K380,[2]stage_hints!$A:$D,4,FALSE)</f>
        <v>マルチプレイへの参加はエナジー消費ゼロ
いつでも好きなだけ遊ぶことができます</v>
      </c>
      <c r="O380" s="20" t="s">
        <v>24</v>
      </c>
      <c r="P380">
        <v>20</v>
      </c>
    </row>
    <row r="381" spans="1:16" x14ac:dyDescent="0.15">
      <c r="A381" s="27" t="str">
        <f t="shared" si="60"/>
        <v>12001_2_17</v>
      </c>
      <c r="B381" s="25" t="s">
        <v>34</v>
      </c>
      <c r="C381" s="4">
        <v>12001</v>
      </c>
      <c r="D381" s="3" t="str">
        <f ca="1">VLOOKUP($C381,OFFSET([1]quests!$A$1,0,0,COUNTA([1]quests!$A:$A),MATCH(D$1,[1]quests!$1:$1,0)-MATCH($C$1,[1]quests!$1:$1,0)+1),MATCH(D$1,[1]quests!$1:$1,0)-MATCH($C$1,[1]quests!$1:$1,0)+1,FALSE)</f>
        <v>【緊急！！】 アヒル捕獲作戦</v>
      </c>
      <c r="E381" s="3" t="str">
        <f ca="1">VLOOKUP($C381,OFFSET([1]quests!$A$1,0,0,COUNTA([1]quests!$A:$A),MATCH(E$1,[1]quests!$1:$1,0)-MATCH($C$1,[1]quests!$1:$1,0)+1),MATCH(E$1,[1]quests!$1:$1,0)-MATCH($C$1,[1]quests!$1:$1,0)+1,FALSE)</f>
        <v>ゲリラクエスト</v>
      </c>
      <c r="F381" s="5">
        <v>2</v>
      </c>
      <c r="G381" s="3" t="str">
        <f ca="1">VLOOKUP($C381&amp;"_"&amp;$F381,OFFSET([1]stages!$A$1,0,0,COUNTA([1]stages!$A:$A),MATCH(G$1,[1]stages!$2:$2,0)-MATCH("temp_stage",[1]stages!$2:$2,0)+1),MATCH(G$1,[1]stages!$2:$2,0)-MATCH("temp_stage",[1]stages!$2:$2,0)+1,FALSE)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1" s="3" t="str">
        <f ca="1">VLOOKUP($C381&amp;"_"&amp;$F381,OFFSET([1]stages!$A$1,0,0,COUNTA([1]stages!$A:$A),MATCH(H$1,[1]stages!$2:$2,0)-MATCH("temp_stage",[1]stages!$2:$2,0)+1),MATCH(H$1,[1]stages!$2:$2,0)-MATCH("temp_stage",[1]stages!$2:$2,0)+1,FALSE)</f>
        <v>ゲリラクエスト</v>
      </c>
      <c r="I381" s="18">
        <v>0</v>
      </c>
      <c r="J381" s="5">
        <f>COUNTIF(C$1:C381,C381)</f>
        <v>17</v>
      </c>
      <c r="K381" s="34">
        <v>21</v>
      </c>
      <c r="L381" s="5" t="s">
        <v>17</v>
      </c>
      <c r="M381" s="38" t="str">
        <f>VLOOKUP(K381,[2]stage_hints!$A:$C,3,FALSE)</f>
        <v>スキルを有効に</v>
      </c>
      <c r="N381" s="39" t="str">
        <f>VLOOKUP(K381,[2]stage_hints!$A:$D,4,FALSE)</f>
        <v>ターン経過でユニットのスキルが使えます
強力スキルでバトルを有利に進めましょう</v>
      </c>
      <c r="O381" s="20" t="s">
        <v>24</v>
      </c>
      <c r="P381">
        <v>21</v>
      </c>
    </row>
    <row r="382" spans="1:16" x14ac:dyDescent="0.15">
      <c r="A382" s="27" t="str">
        <f t="shared" si="60"/>
        <v>12001_2_18</v>
      </c>
      <c r="B382" s="25" t="s">
        <v>34</v>
      </c>
      <c r="C382" s="4">
        <v>12001</v>
      </c>
      <c r="D382" s="3" t="str">
        <f ca="1">VLOOKUP($C382,OFFSET([1]quests!$A$1,0,0,COUNTA([1]quests!$A:$A),MATCH(D$1,[1]quests!$1:$1,0)-MATCH($C$1,[1]quests!$1:$1,0)+1),MATCH(D$1,[1]quests!$1:$1,0)-MATCH($C$1,[1]quests!$1:$1,0)+1,FALSE)</f>
        <v>【緊急！！】 アヒル捕獲作戦</v>
      </c>
      <c r="E382" s="3" t="str">
        <f ca="1">VLOOKUP($C382,OFFSET([1]quests!$A$1,0,0,COUNTA([1]quests!$A:$A),MATCH(E$1,[1]quests!$1:$1,0)-MATCH($C$1,[1]quests!$1:$1,0)+1),MATCH(E$1,[1]quests!$1:$1,0)-MATCH($C$1,[1]quests!$1:$1,0)+1,FALSE)</f>
        <v>ゲリラクエスト</v>
      </c>
      <c r="F382" s="5">
        <v>2</v>
      </c>
      <c r="G382" s="3" t="str">
        <f ca="1">VLOOKUP($C382&amp;"_"&amp;$F382,OFFSET([1]stages!$A$1,0,0,COUNTA([1]stages!$A:$A),MATCH(G$1,[1]stages!$2:$2,0)-MATCH("temp_stage",[1]stages!$2:$2,0)+1),MATCH(G$1,[1]stages!$2:$2,0)-MATCH("temp_stage",[1]stages!$2:$2,0)+1,FALSE)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2" s="3" t="str">
        <f ca="1">VLOOKUP($C382&amp;"_"&amp;$F382,OFFSET([1]stages!$A$1,0,0,COUNTA([1]stages!$A:$A),MATCH(H$1,[1]stages!$2:$2,0)-MATCH("temp_stage",[1]stages!$2:$2,0)+1),MATCH(H$1,[1]stages!$2:$2,0)-MATCH("temp_stage",[1]stages!$2:$2,0)+1,FALSE)</f>
        <v>ゲリラクエスト</v>
      </c>
      <c r="I382" s="18">
        <v>0</v>
      </c>
      <c r="J382" s="5">
        <f>COUNTIF(C$1:C382,C382)</f>
        <v>18</v>
      </c>
      <c r="K382" s="34">
        <v>22</v>
      </c>
      <c r="L382" s="5" t="s">
        <v>17</v>
      </c>
      <c r="M382" s="38" t="str">
        <f>VLOOKUP(K382,[2]stage_hints!$A:$C,3,FALSE)</f>
        <v>フィーバーで一発逆転（その1）</v>
      </c>
      <c r="N382" s="39" t="str">
        <f>VLOOKUP(K382,[2]stage_hints!$A:$D,4,FALSE)</f>
        <v>フィーバーは攻撃と回復を兼ね備えます
ピンチからの一発逆転を狙いましょう</v>
      </c>
      <c r="O382" s="20" t="s">
        <v>24</v>
      </c>
      <c r="P382">
        <v>22</v>
      </c>
    </row>
    <row r="383" spans="1:16" x14ac:dyDescent="0.15">
      <c r="A383" s="27" t="str">
        <f t="shared" si="60"/>
        <v>12001_2_19</v>
      </c>
      <c r="B383" s="25" t="s">
        <v>34</v>
      </c>
      <c r="C383" s="4">
        <v>12001</v>
      </c>
      <c r="D383" s="3" t="str">
        <f ca="1">VLOOKUP($C383,OFFSET([1]quests!$A$1,0,0,COUNTA([1]quests!$A:$A),MATCH(D$1,[1]quests!$1:$1,0)-MATCH($C$1,[1]quests!$1:$1,0)+1),MATCH(D$1,[1]quests!$1:$1,0)-MATCH($C$1,[1]quests!$1:$1,0)+1,FALSE)</f>
        <v>【緊急！！】 アヒル捕獲作戦</v>
      </c>
      <c r="E383" s="3" t="str">
        <f ca="1">VLOOKUP($C383,OFFSET([1]quests!$A$1,0,0,COUNTA([1]quests!$A:$A),MATCH(E$1,[1]quests!$1:$1,0)-MATCH($C$1,[1]quests!$1:$1,0)+1),MATCH(E$1,[1]quests!$1:$1,0)-MATCH($C$1,[1]quests!$1:$1,0)+1,FALSE)</f>
        <v>ゲリラクエスト</v>
      </c>
      <c r="F383" s="5">
        <v>2</v>
      </c>
      <c r="G383" s="3" t="str">
        <f ca="1">VLOOKUP($C383&amp;"_"&amp;$F383,OFFSET([1]stages!$A$1,0,0,COUNTA([1]stages!$A:$A),MATCH(G$1,[1]stages!$2:$2,0)-MATCH("temp_stage",[1]stages!$2:$2,0)+1),MATCH(G$1,[1]stages!$2:$2,0)-MATCH("temp_stage",[1]stages!$2:$2,0)+1,FALSE)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3" s="3" t="str">
        <f ca="1">VLOOKUP($C383&amp;"_"&amp;$F383,OFFSET([1]stages!$A$1,0,0,COUNTA([1]stages!$A:$A),MATCH(H$1,[1]stages!$2:$2,0)-MATCH("temp_stage",[1]stages!$2:$2,0)+1),MATCH(H$1,[1]stages!$2:$2,0)-MATCH("temp_stage",[1]stages!$2:$2,0)+1,FALSE)</f>
        <v>ゲリラクエスト</v>
      </c>
      <c r="I383" s="18">
        <v>0</v>
      </c>
      <c r="J383" s="5">
        <f>COUNTIF(C$1:C383,C383)</f>
        <v>19</v>
      </c>
      <c r="K383" s="34">
        <v>23</v>
      </c>
      <c r="L383" s="5" t="s">
        <v>17</v>
      </c>
      <c r="M383" s="38" t="str">
        <f>VLOOKUP(K383,[2]stage_hints!$A:$C,3,FALSE)</f>
        <v>フィーバーで一発逆転（その2）</v>
      </c>
      <c r="N383" s="39" t="str">
        <f>VLOOKUP(K383,[2]stage_hints!$A:$D,4,FALSE)</f>
        <v>フィーバー中は虹色のボムパネルを狙って
画面上のパネルを一気に破壊しましょう</v>
      </c>
      <c r="O383" s="20" t="s">
        <v>24</v>
      </c>
      <c r="P383">
        <v>23</v>
      </c>
    </row>
    <row r="384" spans="1:16" x14ac:dyDescent="0.15">
      <c r="A384" s="27" t="str">
        <f t="shared" si="60"/>
        <v>12001_2_20</v>
      </c>
      <c r="B384" s="25" t="s">
        <v>34</v>
      </c>
      <c r="C384" s="4">
        <v>12001</v>
      </c>
      <c r="D384" s="3" t="str">
        <f ca="1">VLOOKUP($C384,OFFSET([1]quests!$A$1,0,0,COUNTA([1]quests!$A:$A),MATCH(D$1,[1]quests!$1:$1,0)-MATCH($C$1,[1]quests!$1:$1,0)+1),MATCH(D$1,[1]quests!$1:$1,0)-MATCH($C$1,[1]quests!$1:$1,0)+1,FALSE)</f>
        <v>【緊急！！】 アヒル捕獲作戦</v>
      </c>
      <c r="E384" s="3" t="str">
        <f ca="1">VLOOKUP($C384,OFFSET([1]quests!$A$1,0,0,COUNTA([1]quests!$A:$A),MATCH(E$1,[1]quests!$1:$1,0)-MATCH($C$1,[1]quests!$1:$1,0)+1),MATCH(E$1,[1]quests!$1:$1,0)-MATCH($C$1,[1]quests!$1:$1,0)+1,FALSE)</f>
        <v>ゲリラクエスト</v>
      </c>
      <c r="F384" s="5">
        <v>2</v>
      </c>
      <c r="G384" s="3" t="str">
        <f ca="1">VLOOKUP($C384&amp;"_"&amp;$F384,OFFSET([1]stages!$A$1,0,0,COUNTA([1]stages!$A:$A),MATCH(G$1,[1]stages!$2:$2,0)-MATCH("temp_stage",[1]stages!$2:$2,0)+1),MATCH(G$1,[1]stages!$2:$2,0)-MATCH("temp_stage",[1]stages!$2:$2,0)+1,FALSE)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4" s="3" t="str">
        <f ca="1">VLOOKUP($C384&amp;"_"&amp;$F384,OFFSET([1]stages!$A$1,0,0,COUNTA([1]stages!$A:$A),MATCH(H$1,[1]stages!$2:$2,0)-MATCH("temp_stage",[1]stages!$2:$2,0)+1),MATCH(H$1,[1]stages!$2:$2,0)-MATCH("temp_stage",[1]stages!$2:$2,0)+1,FALSE)</f>
        <v>ゲリラクエスト</v>
      </c>
      <c r="I384" s="18">
        <v>0</v>
      </c>
      <c r="J384" s="5">
        <f>COUNTIF(C$1:C384,C384)</f>
        <v>20</v>
      </c>
      <c r="K384" s="34">
        <v>24</v>
      </c>
      <c r="L384" s="5" t="s">
        <v>17</v>
      </c>
      <c r="M384" s="38" t="str">
        <f>VLOOKUP(K384,[2]stage_hints!$A:$C,3,FALSE)</f>
        <v>りんごを使って限界突破</v>
      </c>
      <c r="N384" s="39" t="str">
        <f>VLOOKUP(K384,[2]stage_hints!$A:$D,4,FALSE)</f>
        <v>赤りんご(攻撃力) 青りんご(回復力)
緑りんご(体力)をユニット強化に使うと
ステータスが限界突破します（計99個迄）</v>
      </c>
      <c r="O384" s="20" t="s">
        <v>24</v>
      </c>
      <c r="P384">
        <v>24</v>
      </c>
    </row>
    <row r="385" spans="1:16" x14ac:dyDescent="0.15">
      <c r="A385" s="27" t="str">
        <f t="shared" si="60"/>
        <v>12001_2_21</v>
      </c>
      <c r="B385" s="25" t="s">
        <v>34</v>
      </c>
      <c r="C385" s="4">
        <v>12001</v>
      </c>
      <c r="D385" s="3" t="str">
        <f ca="1">VLOOKUP($C385,OFFSET([1]quests!$A$1,0,0,COUNTA([1]quests!$A:$A),MATCH(D$1,[1]quests!$1:$1,0)-MATCH($C$1,[1]quests!$1:$1,0)+1),MATCH(D$1,[1]quests!$1:$1,0)-MATCH($C$1,[1]quests!$1:$1,0)+1,FALSE)</f>
        <v>【緊急！！】 アヒル捕獲作戦</v>
      </c>
      <c r="E385" s="3" t="str">
        <f ca="1">VLOOKUP($C385,OFFSET([1]quests!$A$1,0,0,COUNTA([1]quests!$A:$A),MATCH(E$1,[1]quests!$1:$1,0)-MATCH($C$1,[1]quests!$1:$1,0)+1),MATCH(E$1,[1]quests!$1:$1,0)-MATCH($C$1,[1]quests!$1:$1,0)+1,FALSE)</f>
        <v>ゲリラクエスト</v>
      </c>
      <c r="F385" s="5">
        <v>2</v>
      </c>
      <c r="G385" s="3" t="str">
        <f ca="1">VLOOKUP($C385&amp;"_"&amp;$F385,OFFSET([1]stages!$A$1,0,0,COUNTA([1]stages!$A:$A),MATCH(G$1,[1]stages!$2:$2,0)-MATCH("temp_stage",[1]stages!$2:$2,0)+1),MATCH(G$1,[1]stages!$2:$2,0)-MATCH("temp_stage",[1]stages!$2:$2,0)+1,FALSE)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5" s="3" t="str">
        <f ca="1">VLOOKUP($C385&amp;"_"&amp;$F385,OFFSET([1]stages!$A$1,0,0,COUNTA([1]stages!$A:$A),MATCH(H$1,[1]stages!$2:$2,0)-MATCH("temp_stage",[1]stages!$2:$2,0)+1),MATCH(H$1,[1]stages!$2:$2,0)-MATCH("temp_stage",[1]stages!$2:$2,0)+1,FALSE)</f>
        <v>ゲリラクエスト</v>
      </c>
      <c r="I385" s="18">
        <v>0</v>
      </c>
      <c r="J385" s="5">
        <f>COUNTIF(C$1:C385,C385)</f>
        <v>21</v>
      </c>
      <c r="K385" s="34">
        <v>25</v>
      </c>
      <c r="L385" s="5" t="s">
        <v>17</v>
      </c>
      <c r="M385" s="38" t="str">
        <f>VLOOKUP(K385,[2]stage_hints!$A:$C,3,FALSE)</f>
        <v>スキルレベルアップ</v>
      </c>
      <c r="N385" s="39" t="str">
        <f>VLOOKUP(K385,[2]stage_hints!$A:$D,4,FALSE)</f>
        <v>「クリスタルのりんご」を強化に使うと
スキルレベルを上げることができます</v>
      </c>
      <c r="O385" s="20" t="s">
        <v>24</v>
      </c>
      <c r="P385">
        <v>25</v>
      </c>
    </row>
    <row r="386" spans="1:16" x14ac:dyDescent="0.15">
      <c r="A386" s="27" t="str">
        <f t="shared" si="60"/>
        <v>12001_2_22</v>
      </c>
      <c r="B386" s="25" t="s">
        <v>34</v>
      </c>
      <c r="C386" s="4">
        <v>12001</v>
      </c>
      <c r="D386" s="3" t="str">
        <f ca="1">VLOOKUP($C386,OFFSET([1]quests!$A$1,0,0,COUNTA([1]quests!$A:$A),MATCH(D$1,[1]quests!$1:$1,0)-MATCH($C$1,[1]quests!$1:$1,0)+1),MATCH(D$1,[1]quests!$1:$1,0)-MATCH($C$1,[1]quests!$1:$1,0)+1,FALSE)</f>
        <v>【緊急！！】 アヒル捕獲作戦</v>
      </c>
      <c r="E386" s="3" t="str">
        <f ca="1">VLOOKUP($C386,OFFSET([1]quests!$A$1,0,0,COUNTA([1]quests!$A:$A),MATCH(E$1,[1]quests!$1:$1,0)-MATCH($C$1,[1]quests!$1:$1,0)+1),MATCH(E$1,[1]quests!$1:$1,0)-MATCH($C$1,[1]quests!$1:$1,0)+1,FALSE)</f>
        <v>ゲリラクエスト</v>
      </c>
      <c r="F386" s="5">
        <v>2</v>
      </c>
      <c r="G386" s="3" t="str">
        <f ca="1">VLOOKUP($C386&amp;"_"&amp;$F386,OFFSET([1]stages!$A$1,0,0,COUNTA([1]stages!$A:$A),MATCH(G$1,[1]stages!$2:$2,0)-MATCH("temp_stage",[1]stages!$2:$2,0)+1),MATCH(G$1,[1]stages!$2:$2,0)-MATCH("temp_stage",[1]stages!$2:$2,0)+1,FALSE)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6" s="3" t="str">
        <f ca="1">VLOOKUP($C386&amp;"_"&amp;$F386,OFFSET([1]stages!$A$1,0,0,COUNTA([1]stages!$A:$A),MATCH(H$1,[1]stages!$2:$2,0)-MATCH("temp_stage",[1]stages!$2:$2,0)+1),MATCH(H$1,[1]stages!$2:$2,0)-MATCH("temp_stage",[1]stages!$2:$2,0)+1,FALSE)</f>
        <v>ゲリラクエスト</v>
      </c>
      <c r="I386" s="18">
        <v>0</v>
      </c>
      <c r="J386" s="5">
        <f>COUNTIF(C$1:C386,C386)</f>
        <v>22</v>
      </c>
      <c r="K386" s="34">
        <v>26</v>
      </c>
      <c r="L386" s="5" t="s">
        <v>17</v>
      </c>
      <c r="M386" s="38" t="str">
        <f>VLOOKUP(K386,[2]stage_hints!$A:$C,3,FALSE)</f>
        <v>スキルレベルの効果</v>
      </c>
      <c r="N386" s="39" t="str">
        <f>VLOOKUP(K386,[2]stage_hints!$A:$D,4,FALSE)</f>
        <v>スキルレベルが上がると
短いターンでスキルを使うことができます</v>
      </c>
      <c r="O386" s="20" t="s">
        <v>24</v>
      </c>
      <c r="P386">
        <v>26</v>
      </c>
    </row>
    <row r="387" spans="1:16" x14ac:dyDescent="0.15">
      <c r="A387" s="27" t="str">
        <f t="shared" si="60"/>
        <v>12001_2_23</v>
      </c>
      <c r="B387" s="25" t="s">
        <v>34</v>
      </c>
      <c r="C387" s="4">
        <v>12001</v>
      </c>
      <c r="D387" s="3" t="str">
        <f ca="1">VLOOKUP($C387,OFFSET([1]quests!$A$1,0,0,COUNTA([1]quests!$A:$A),MATCH(D$1,[1]quests!$1:$1,0)-MATCH($C$1,[1]quests!$1:$1,0)+1),MATCH(D$1,[1]quests!$1:$1,0)-MATCH($C$1,[1]quests!$1:$1,0)+1,FALSE)</f>
        <v>【緊急！！】 アヒル捕獲作戦</v>
      </c>
      <c r="E387" s="3" t="str">
        <f ca="1">VLOOKUP($C387,OFFSET([1]quests!$A$1,0,0,COUNTA([1]quests!$A:$A),MATCH(E$1,[1]quests!$1:$1,0)-MATCH($C$1,[1]quests!$1:$1,0)+1),MATCH(E$1,[1]quests!$1:$1,0)-MATCH($C$1,[1]quests!$1:$1,0)+1,FALSE)</f>
        <v>ゲリラクエスト</v>
      </c>
      <c r="F387" s="5">
        <v>2</v>
      </c>
      <c r="G387" s="3" t="str">
        <f ca="1">VLOOKUP($C387&amp;"_"&amp;$F387,OFFSET([1]stages!$A$1,0,0,COUNTA([1]stages!$A:$A),MATCH(G$1,[1]stages!$2:$2,0)-MATCH("temp_stage",[1]stages!$2:$2,0)+1),MATCH(G$1,[1]stages!$2:$2,0)-MATCH("temp_stage",[1]stages!$2:$2,0)+1,FALSE)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7" s="3" t="str">
        <f ca="1">VLOOKUP($C387&amp;"_"&amp;$F387,OFFSET([1]stages!$A$1,0,0,COUNTA([1]stages!$A:$A),MATCH(H$1,[1]stages!$2:$2,0)-MATCH("temp_stage",[1]stages!$2:$2,0)+1),MATCH(H$1,[1]stages!$2:$2,0)-MATCH("temp_stage",[1]stages!$2:$2,0)+1,FALSE)</f>
        <v>ゲリラクエスト</v>
      </c>
      <c r="I387" s="18">
        <v>0</v>
      </c>
      <c r="J387" s="5">
        <f>COUNTIF(C$1:C387,C387)</f>
        <v>23</v>
      </c>
      <c r="K387" s="34">
        <v>27</v>
      </c>
      <c r="L387" s="5" t="s">
        <v>17</v>
      </c>
      <c r="M387" s="38" t="str">
        <f>VLOOKUP(K387,[2]stage_hints!$A:$C,3,FALSE)</f>
        <v>ホーム画面からデッキを編成</v>
      </c>
      <c r="N387" s="39" t="str">
        <f>VLOOKUP(K387,[2]stage_hints!$A:$D,4,FALSE)</f>
        <v>ホーム画面でユニットを長押しすると
すぐにパーティ編成に移動できます</v>
      </c>
      <c r="O387" s="20" t="s">
        <v>24</v>
      </c>
      <c r="P387">
        <v>27</v>
      </c>
    </row>
    <row r="388" spans="1:16" x14ac:dyDescent="0.15">
      <c r="A388" s="27" t="str">
        <f t="shared" si="60"/>
        <v>12001_2_24</v>
      </c>
      <c r="B388" s="25" t="s">
        <v>34</v>
      </c>
      <c r="C388" s="4">
        <v>12001</v>
      </c>
      <c r="D388" s="3" t="str">
        <f ca="1">VLOOKUP($C388,OFFSET([1]quests!$A$1,0,0,COUNTA([1]quests!$A:$A),MATCH(D$1,[1]quests!$1:$1,0)-MATCH($C$1,[1]quests!$1:$1,0)+1),MATCH(D$1,[1]quests!$1:$1,0)-MATCH($C$1,[1]quests!$1:$1,0)+1,FALSE)</f>
        <v>【緊急！！】 アヒル捕獲作戦</v>
      </c>
      <c r="E388" s="3" t="str">
        <f ca="1">VLOOKUP($C388,OFFSET([1]quests!$A$1,0,0,COUNTA([1]quests!$A:$A),MATCH(E$1,[1]quests!$1:$1,0)-MATCH($C$1,[1]quests!$1:$1,0)+1),MATCH(E$1,[1]quests!$1:$1,0)-MATCH($C$1,[1]quests!$1:$1,0)+1,FALSE)</f>
        <v>ゲリラクエスト</v>
      </c>
      <c r="F388" s="5">
        <v>2</v>
      </c>
      <c r="G388" s="3" t="str">
        <f ca="1">VLOOKUP($C388&amp;"_"&amp;$F388,OFFSET([1]stages!$A$1,0,0,COUNTA([1]stages!$A:$A),MATCH(G$1,[1]stages!$2:$2,0)-MATCH("temp_stage",[1]stages!$2:$2,0)+1),MATCH(G$1,[1]stages!$2:$2,0)-MATCH("temp_stage",[1]stages!$2:$2,0)+1,FALSE)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8" s="3" t="str">
        <f ca="1">VLOOKUP($C388&amp;"_"&amp;$F388,OFFSET([1]stages!$A$1,0,0,COUNTA([1]stages!$A:$A),MATCH(H$1,[1]stages!$2:$2,0)-MATCH("temp_stage",[1]stages!$2:$2,0)+1),MATCH(H$1,[1]stages!$2:$2,0)-MATCH("temp_stage",[1]stages!$2:$2,0)+1,FALSE)</f>
        <v>ゲリラクエスト</v>
      </c>
      <c r="I388" s="18">
        <v>0</v>
      </c>
      <c r="J388" s="5">
        <f>COUNTIF(C$1:C388,C388)</f>
        <v>24</v>
      </c>
      <c r="K388" s="34">
        <v>28</v>
      </c>
      <c r="L388" s="5" t="s">
        <v>17</v>
      </c>
      <c r="M388" s="38" t="str">
        <f>VLOOKUP(K388,[2]stage_hints!$A:$C,3,FALSE)</f>
        <v>ステータス情報は長押しで</v>
      </c>
      <c r="N388" s="39" t="str">
        <f>VLOOKUP(K388,[2]stage_hints!$A:$D,4,FALSE)</f>
        <v>ユニットのアイコンを長押しすると
ステータス情報を確認することができます</v>
      </c>
      <c r="O388" s="20" t="s">
        <v>24</v>
      </c>
      <c r="P388">
        <v>28</v>
      </c>
    </row>
    <row r="389" spans="1:16" x14ac:dyDescent="0.15">
      <c r="A389" s="27" t="str">
        <f t="shared" si="60"/>
        <v>12001_2_25</v>
      </c>
      <c r="B389" s="25" t="s">
        <v>34</v>
      </c>
      <c r="C389" s="4">
        <v>12001</v>
      </c>
      <c r="D389" s="3" t="str">
        <f ca="1">VLOOKUP($C389,OFFSET([1]quests!$A$1,0,0,COUNTA([1]quests!$A:$A),MATCH(D$1,[1]quests!$1:$1,0)-MATCH($C$1,[1]quests!$1:$1,0)+1),MATCH(D$1,[1]quests!$1:$1,0)-MATCH($C$1,[1]quests!$1:$1,0)+1,FALSE)</f>
        <v>【緊急！！】 アヒル捕獲作戦</v>
      </c>
      <c r="E389" s="3" t="str">
        <f ca="1">VLOOKUP($C389,OFFSET([1]quests!$A$1,0,0,COUNTA([1]quests!$A:$A),MATCH(E$1,[1]quests!$1:$1,0)-MATCH($C$1,[1]quests!$1:$1,0)+1),MATCH(E$1,[1]quests!$1:$1,0)-MATCH($C$1,[1]quests!$1:$1,0)+1,FALSE)</f>
        <v>ゲリラクエスト</v>
      </c>
      <c r="F389" s="5">
        <v>2</v>
      </c>
      <c r="G389" s="3" t="str">
        <f ca="1">VLOOKUP($C389&amp;"_"&amp;$F389,OFFSET([1]stages!$A$1,0,0,COUNTA([1]stages!$A:$A),MATCH(G$1,[1]stages!$2:$2,0)-MATCH("temp_stage",[1]stages!$2:$2,0)+1),MATCH(G$1,[1]stages!$2:$2,0)-MATCH("temp_stage",[1]stages!$2:$2,0)+1,FALSE)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89" s="3" t="str">
        <f ca="1">VLOOKUP($C389&amp;"_"&amp;$F389,OFFSET([1]stages!$A$1,0,0,COUNTA([1]stages!$A:$A),MATCH(H$1,[1]stages!$2:$2,0)-MATCH("temp_stage",[1]stages!$2:$2,0)+1),MATCH(H$1,[1]stages!$2:$2,0)-MATCH("temp_stage",[1]stages!$2:$2,0)+1,FALSE)</f>
        <v>ゲリラクエスト</v>
      </c>
      <c r="I389" s="18">
        <v>0</v>
      </c>
      <c r="J389" s="5">
        <f>COUNTIF(C$1:C389,C389)</f>
        <v>25</v>
      </c>
      <c r="K389" s="34">
        <v>29</v>
      </c>
      <c r="L389" s="5" t="s">
        <v>17</v>
      </c>
      <c r="M389" s="38" t="str">
        <f>VLOOKUP(K389,[2]stage_hints!$A:$C,3,FALSE)</f>
        <v>「バグ」のメリット</v>
      </c>
      <c r="N389" s="39" t="str">
        <f>VLOOKUP(K389,[2]stage_hints!$A:$D,4,FALSE)</f>
        <v>ユニットの「バグ」を増やすと
報酬をもらえる確率がアップします</v>
      </c>
      <c r="O389" s="20" t="s">
        <v>24</v>
      </c>
      <c r="P389">
        <v>29</v>
      </c>
    </row>
    <row r="390" spans="1:16" x14ac:dyDescent="0.15">
      <c r="A390" s="27" t="str">
        <f t="shared" si="60"/>
        <v>12001_2_26</v>
      </c>
      <c r="B390" s="25" t="s">
        <v>34</v>
      </c>
      <c r="C390" s="4">
        <v>12001</v>
      </c>
      <c r="D390" s="3" t="str">
        <f ca="1">VLOOKUP($C390,OFFSET([1]quests!$A$1,0,0,COUNTA([1]quests!$A:$A),MATCH(D$1,[1]quests!$1:$1,0)-MATCH($C$1,[1]quests!$1:$1,0)+1),MATCH(D$1,[1]quests!$1:$1,0)-MATCH($C$1,[1]quests!$1:$1,0)+1,FALSE)</f>
        <v>【緊急！！】 アヒル捕獲作戦</v>
      </c>
      <c r="E390" s="3" t="str">
        <f ca="1">VLOOKUP($C390,OFFSET([1]quests!$A$1,0,0,COUNTA([1]quests!$A:$A),MATCH(E$1,[1]quests!$1:$1,0)-MATCH($C$1,[1]quests!$1:$1,0)+1),MATCH(E$1,[1]quests!$1:$1,0)-MATCH($C$1,[1]quests!$1:$1,0)+1,FALSE)</f>
        <v>ゲリラクエスト</v>
      </c>
      <c r="F390" s="5">
        <v>2</v>
      </c>
      <c r="G390" s="3" t="str">
        <f ca="1">VLOOKUP($C390&amp;"_"&amp;$F390,OFFSET([1]stages!$A$1,0,0,COUNTA([1]stages!$A:$A),MATCH(G$1,[1]stages!$2:$2,0)-MATCH("temp_stage",[1]stages!$2:$2,0)+1),MATCH(G$1,[1]stages!$2:$2,0)-MATCH("temp_stage",[1]stages!$2:$2,0)+1,FALSE)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90" s="3" t="str">
        <f ca="1">VLOOKUP($C390&amp;"_"&amp;$F390,OFFSET([1]stages!$A$1,0,0,COUNTA([1]stages!$A:$A),MATCH(H$1,[1]stages!$2:$2,0)-MATCH("temp_stage",[1]stages!$2:$2,0)+1),MATCH(H$1,[1]stages!$2:$2,0)-MATCH("temp_stage",[1]stages!$2:$2,0)+1,FALSE)</f>
        <v>ゲリラクエスト</v>
      </c>
      <c r="I390" s="18">
        <v>0</v>
      </c>
      <c r="J390" s="5">
        <f>COUNTIF(C$1:C390,C390)</f>
        <v>26</v>
      </c>
      <c r="K390" s="34">
        <v>30</v>
      </c>
      <c r="L390" s="5" t="s">
        <v>17</v>
      </c>
      <c r="M390" s="38" t="str">
        <f>VLOOKUP(K390,[2]stage_hints!$A:$C,3,FALSE)</f>
        <v>「バグ」の増やし方</v>
      </c>
      <c r="N390" s="39" t="str">
        <f>VLOOKUP(K390,[2]stage_hints!$A:$D,4,FALSE)</f>
        <v>同じユニット同士を強化で合成すると
「バグ」を増やすことができます</v>
      </c>
      <c r="O390" s="20" t="s">
        <v>24</v>
      </c>
      <c r="P390">
        <v>30</v>
      </c>
    </row>
    <row r="391" spans="1:16" x14ac:dyDescent="0.15">
      <c r="A391" s="27" t="str">
        <f t="shared" si="60"/>
        <v>12001_2_27</v>
      </c>
      <c r="B391" s="25" t="s">
        <v>34</v>
      </c>
      <c r="C391" s="4">
        <v>12001</v>
      </c>
      <c r="D391" s="3" t="str">
        <f ca="1">VLOOKUP($C391,OFFSET([1]quests!$A$1,0,0,COUNTA([1]quests!$A:$A),MATCH(D$1,[1]quests!$1:$1,0)-MATCH($C$1,[1]quests!$1:$1,0)+1),MATCH(D$1,[1]quests!$1:$1,0)-MATCH($C$1,[1]quests!$1:$1,0)+1,FALSE)</f>
        <v>【緊急！！】 アヒル捕獲作戦</v>
      </c>
      <c r="E391" s="3" t="str">
        <f ca="1">VLOOKUP($C391,OFFSET([1]quests!$A$1,0,0,COUNTA([1]quests!$A:$A),MATCH(E$1,[1]quests!$1:$1,0)-MATCH($C$1,[1]quests!$1:$1,0)+1),MATCH(E$1,[1]quests!$1:$1,0)-MATCH($C$1,[1]quests!$1:$1,0)+1,FALSE)</f>
        <v>ゲリラクエスト</v>
      </c>
      <c r="F391" s="5">
        <v>2</v>
      </c>
      <c r="G391" s="3" t="str">
        <f ca="1">VLOOKUP($C391&amp;"_"&amp;$F391,OFFSET([1]stages!$A$1,0,0,COUNTA([1]stages!$A:$A),MATCH(G$1,[1]stages!$2:$2,0)-MATCH("temp_stage",[1]stages!$2:$2,0)+1),MATCH(G$1,[1]stages!$2:$2,0)-MATCH("temp_stage",[1]stages!$2:$2,0)+1,FALSE)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91" s="3" t="str">
        <f ca="1">VLOOKUP($C391&amp;"_"&amp;$F391,OFFSET([1]stages!$A$1,0,0,COUNTA([1]stages!$A:$A),MATCH(H$1,[1]stages!$2:$2,0)-MATCH("temp_stage",[1]stages!$2:$2,0)+1),MATCH(H$1,[1]stages!$2:$2,0)-MATCH("temp_stage",[1]stages!$2:$2,0)+1,FALSE)</f>
        <v>ゲリラクエスト</v>
      </c>
      <c r="I391" s="18">
        <v>0</v>
      </c>
      <c r="J391" s="5">
        <f>COUNTIF(C$1:C391,C391)</f>
        <v>27</v>
      </c>
      <c r="K391" s="34">
        <v>31</v>
      </c>
      <c r="L391" s="5" t="s">
        <v>17</v>
      </c>
      <c r="M391" s="38" t="str">
        <f>VLOOKUP(K391,[2]stage_hints!$A:$C,3,FALSE)</f>
        <v>イベントはお知らせでチェック</v>
      </c>
      <c r="N391" s="39" t="str">
        <f>VLOOKUP(K391,[2]stage_hints!$A:$D,4,FALSE)</f>
        <v>イベント限定ユニットを取り忘れないように
お知らせをこまめにチェックしましょう</v>
      </c>
      <c r="O391" s="20" t="s">
        <v>24</v>
      </c>
      <c r="P391">
        <v>31</v>
      </c>
    </row>
    <row r="392" spans="1:16" x14ac:dyDescent="0.15">
      <c r="A392" s="27" t="str">
        <f t="shared" si="60"/>
        <v>12001_2_28</v>
      </c>
      <c r="B392" s="25" t="s">
        <v>34</v>
      </c>
      <c r="C392" s="4">
        <v>12001</v>
      </c>
      <c r="D392" s="3" t="str">
        <f ca="1">VLOOKUP($C392,OFFSET([1]quests!$A$1,0,0,COUNTA([1]quests!$A:$A),MATCH(D$1,[1]quests!$1:$1,0)-MATCH($C$1,[1]quests!$1:$1,0)+1),MATCH(D$1,[1]quests!$1:$1,0)-MATCH($C$1,[1]quests!$1:$1,0)+1,FALSE)</f>
        <v>【緊急！！】 アヒル捕獲作戦</v>
      </c>
      <c r="E392" s="3" t="str">
        <f ca="1">VLOOKUP($C392,OFFSET([1]quests!$A$1,0,0,COUNTA([1]quests!$A:$A),MATCH(E$1,[1]quests!$1:$1,0)-MATCH($C$1,[1]quests!$1:$1,0)+1),MATCH(E$1,[1]quests!$1:$1,0)-MATCH($C$1,[1]quests!$1:$1,0)+1,FALSE)</f>
        <v>ゲリラクエスト</v>
      </c>
      <c r="F392" s="5">
        <v>2</v>
      </c>
      <c r="G392" s="3" t="str">
        <f ca="1">VLOOKUP($C392&amp;"_"&amp;$F392,OFFSET([1]stages!$A$1,0,0,COUNTA([1]stages!$A:$A),MATCH(G$1,[1]stages!$2:$2,0)-MATCH("temp_stage",[1]stages!$2:$2,0)+1),MATCH(G$1,[1]stages!$2:$2,0)-MATCH("temp_stage",[1]stages!$2:$2,0)+1,FALSE)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92" s="3" t="str">
        <f ca="1">VLOOKUP($C392&amp;"_"&amp;$F392,OFFSET([1]stages!$A$1,0,0,COUNTA([1]stages!$A:$A),MATCH(H$1,[1]stages!$2:$2,0)-MATCH("temp_stage",[1]stages!$2:$2,0)+1),MATCH(H$1,[1]stages!$2:$2,0)-MATCH("temp_stage",[1]stages!$2:$2,0)+1,FALSE)</f>
        <v>ゲリラクエスト</v>
      </c>
      <c r="I392" s="18">
        <v>0</v>
      </c>
      <c r="J392" s="5">
        <f>COUNTIF(C$1:C392,C392)</f>
        <v>28</v>
      </c>
      <c r="K392" s="34">
        <v>32</v>
      </c>
      <c r="L392" s="5" t="s">
        <v>17</v>
      </c>
      <c r="M392" s="38" t="str">
        <f>VLOOKUP(K392,[2]stage_hints!$A:$C,3,FALSE)</f>
        <v>敵の連続攻撃には</v>
      </c>
      <c r="N392" s="39" t="str">
        <f>VLOOKUP(K392,[2]stage_hints!$A:$D,4,FALSE)</f>
        <v>カウンタースキルを持つユニットがいれば
ダメージ回数分の反撃ができます</v>
      </c>
      <c r="O392" s="20" t="s">
        <v>24</v>
      </c>
      <c r="P392">
        <v>32</v>
      </c>
    </row>
    <row r="393" spans="1:16" x14ac:dyDescent="0.15">
      <c r="A393" s="27" t="str">
        <f t="shared" si="60"/>
        <v>12001_2_29</v>
      </c>
      <c r="B393" s="25" t="s">
        <v>34</v>
      </c>
      <c r="C393" s="4">
        <v>12001</v>
      </c>
      <c r="D393" s="3" t="str">
        <f ca="1">VLOOKUP($C393,OFFSET([1]quests!$A$1,0,0,COUNTA([1]quests!$A:$A),MATCH(D$1,[1]quests!$1:$1,0)-MATCH($C$1,[1]quests!$1:$1,0)+1),MATCH(D$1,[1]quests!$1:$1,0)-MATCH($C$1,[1]quests!$1:$1,0)+1,FALSE)</f>
        <v>【緊急！！】 アヒル捕獲作戦</v>
      </c>
      <c r="E393" s="3" t="str">
        <f ca="1">VLOOKUP($C393,OFFSET([1]quests!$A$1,0,0,COUNTA([1]quests!$A:$A),MATCH(E$1,[1]quests!$1:$1,0)-MATCH($C$1,[1]quests!$1:$1,0)+1),MATCH(E$1,[1]quests!$1:$1,0)-MATCH($C$1,[1]quests!$1:$1,0)+1,FALSE)</f>
        <v>ゲリラクエスト</v>
      </c>
      <c r="F393" s="5">
        <v>2</v>
      </c>
      <c r="G393" s="3" t="str">
        <f ca="1">VLOOKUP($C393&amp;"_"&amp;$F393,OFFSET([1]stages!$A$1,0,0,COUNTA([1]stages!$A:$A),MATCH(G$1,[1]stages!$2:$2,0)-MATCH("temp_stage",[1]stages!$2:$2,0)+1),MATCH(G$1,[1]stages!$2:$2,0)-MATCH("temp_stage",[1]stages!$2:$2,0)+1,FALSE)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93" s="3" t="str">
        <f ca="1">VLOOKUP($C393&amp;"_"&amp;$F393,OFFSET([1]stages!$A$1,0,0,COUNTA([1]stages!$A:$A),MATCH(H$1,[1]stages!$2:$2,0)-MATCH("temp_stage",[1]stages!$2:$2,0)+1),MATCH(H$1,[1]stages!$2:$2,0)-MATCH("temp_stage",[1]stages!$2:$2,0)+1,FALSE)</f>
        <v>ゲリラクエスト</v>
      </c>
      <c r="I393" s="18">
        <v>0</v>
      </c>
      <c r="J393" s="5">
        <f>COUNTIF(C$1:C393,C393)</f>
        <v>29</v>
      </c>
      <c r="K393" s="34">
        <v>33</v>
      </c>
      <c r="L393" s="5" t="s">
        <v>17</v>
      </c>
      <c r="M393" s="38" t="str">
        <f>VLOOKUP(K393,[2]stage_hints!$A:$C,3,FALSE)</f>
        <v>敵のカウンター攻撃には</v>
      </c>
      <c r="N393" s="39" t="str">
        <f>VLOOKUP(K393,[2]stage_hints!$A:$D,4,FALSE)</f>
        <v>カウンターブレイクスキルを持っていれば
敵のカウンターを解除して攻撃ができます</v>
      </c>
      <c r="O393" s="20" t="s">
        <v>24</v>
      </c>
      <c r="P393">
        <v>33</v>
      </c>
    </row>
    <row r="394" spans="1:16" x14ac:dyDescent="0.15">
      <c r="A394" s="27" t="str">
        <f t="shared" ref="A394:A408" si="61">C394&amp;"_"&amp;F394&amp;"_"&amp;J394</f>
        <v>12001_2_30</v>
      </c>
      <c r="B394" s="25" t="s">
        <v>34</v>
      </c>
      <c r="C394" s="4">
        <v>12001</v>
      </c>
      <c r="D394" s="3" t="str">
        <f ca="1">VLOOKUP($C394,OFFSET([1]quests!$A$1,0,0,COUNTA([1]quests!$A:$A),MATCH(D$1,[1]quests!$1:$1,0)-MATCH($C$1,[1]quests!$1:$1,0)+1),MATCH(D$1,[1]quests!$1:$1,0)-MATCH($C$1,[1]quests!$1:$1,0)+1,FALSE)</f>
        <v>【緊急！！】 アヒル捕獲作戦</v>
      </c>
      <c r="E394" s="3" t="str">
        <f ca="1">VLOOKUP($C394,OFFSET([1]quests!$A$1,0,0,COUNTA([1]quests!$A:$A),MATCH(E$1,[1]quests!$1:$1,0)-MATCH($C$1,[1]quests!$1:$1,0)+1),MATCH(E$1,[1]quests!$1:$1,0)-MATCH($C$1,[1]quests!$1:$1,0)+1,FALSE)</f>
        <v>ゲリラクエスト</v>
      </c>
      <c r="F394" s="5">
        <v>2</v>
      </c>
      <c r="G394" s="3" t="str">
        <f ca="1">VLOOKUP($C394&amp;"_"&amp;$F394,OFFSET([1]stages!$A$1,0,0,COUNTA([1]stages!$A:$A),MATCH(G$1,[1]stages!$2:$2,0)-MATCH("temp_stage",[1]stages!$2:$2,0)+1),MATCH(G$1,[1]stages!$2:$2,0)-MATCH("temp_stage",[1]stages!$2:$2,0)+1,FALSE)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94" s="3" t="str">
        <f ca="1">VLOOKUP($C394&amp;"_"&amp;$F394,OFFSET([1]stages!$A$1,0,0,COUNTA([1]stages!$A:$A),MATCH(H$1,[1]stages!$2:$2,0)-MATCH("temp_stage",[1]stages!$2:$2,0)+1),MATCH(H$1,[1]stages!$2:$2,0)-MATCH("temp_stage",[1]stages!$2:$2,0)+1,FALSE)</f>
        <v>ゲリラクエスト</v>
      </c>
      <c r="I394" s="18">
        <v>0</v>
      </c>
      <c r="J394" s="5">
        <f>COUNTIF(C$1:C394,C394)</f>
        <v>30</v>
      </c>
      <c r="K394" s="34">
        <v>34</v>
      </c>
      <c r="L394" s="5" t="s">
        <v>17</v>
      </c>
      <c r="M394" s="38" t="str">
        <f>VLOOKUP(K394,[2]stage_hints!$A:$C,3,FALSE)</f>
        <v>ステータスをスキルで下げられたら</v>
      </c>
      <c r="N394" s="39" t="str">
        <f>VLOOKUP(K394,[2]stage_hints!$A:$D,4,FALSE)</f>
        <v>ステータスダウンのスキルを受けたら
ステータスアップスキルで上書きしましょう</v>
      </c>
      <c r="O394" s="20" t="s">
        <v>24</v>
      </c>
      <c r="P394">
        <v>34</v>
      </c>
    </row>
    <row r="395" spans="1:16" x14ac:dyDescent="0.15">
      <c r="A395" s="27" t="str">
        <f t="shared" si="61"/>
        <v>12001_2_31</v>
      </c>
      <c r="B395" s="25" t="s">
        <v>34</v>
      </c>
      <c r="C395" s="4">
        <v>12001</v>
      </c>
      <c r="D395" s="3" t="str">
        <f ca="1">VLOOKUP($C395,OFFSET([1]quests!$A$1,0,0,COUNTA([1]quests!$A:$A),MATCH(D$1,[1]quests!$1:$1,0)-MATCH($C$1,[1]quests!$1:$1,0)+1),MATCH(D$1,[1]quests!$1:$1,0)-MATCH($C$1,[1]quests!$1:$1,0)+1,FALSE)</f>
        <v>【緊急！！】 アヒル捕獲作戦</v>
      </c>
      <c r="E395" s="3" t="str">
        <f ca="1">VLOOKUP($C395,OFFSET([1]quests!$A$1,0,0,COUNTA([1]quests!$A:$A),MATCH(E$1,[1]quests!$1:$1,0)-MATCH($C$1,[1]quests!$1:$1,0)+1),MATCH(E$1,[1]quests!$1:$1,0)-MATCH($C$1,[1]quests!$1:$1,0)+1,FALSE)</f>
        <v>ゲリラクエスト</v>
      </c>
      <c r="F395" s="5">
        <v>2</v>
      </c>
      <c r="G395" s="3" t="str">
        <f ca="1">VLOOKUP($C395&amp;"_"&amp;$F395,OFFSET([1]stages!$A$1,0,0,COUNTA([1]stages!$A:$A),MATCH(G$1,[1]stages!$2:$2,0)-MATCH("temp_stage",[1]stages!$2:$2,0)+1),MATCH(G$1,[1]stages!$2:$2,0)-MATCH("temp_stage",[1]stages!$2:$2,0)+1,FALSE)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95" s="3" t="str">
        <f ca="1">VLOOKUP($C395&amp;"_"&amp;$F395,OFFSET([1]stages!$A$1,0,0,COUNTA([1]stages!$A:$A),MATCH(H$1,[1]stages!$2:$2,0)-MATCH("temp_stage",[1]stages!$2:$2,0)+1),MATCH(H$1,[1]stages!$2:$2,0)-MATCH("temp_stage",[1]stages!$2:$2,0)+1,FALSE)</f>
        <v>ゲリラクエスト</v>
      </c>
      <c r="I395" s="18">
        <v>0</v>
      </c>
      <c r="J395" s="5">
        <f>COUNTIF(C$1:C395,C395)</f>
        <v>31</v>
      </c>
      <c r="K395" s="34">
        <v>35</v>
      </c>
      <c r="L395" s="5" t="s">
        <v>17</v>
      </c>
      <c r="M395" s="38" t="str">
        <f>VLOOKUP(K395,[2]stage_hints!$A:$C,3,FALSE)</f>
        <v>敵のステータスがスキルで上がったら</v>
      </c>
      <c r="N395" s="39" t="str">
        <f>VLOOKUP(K395,[2]stage_hints!$A:$D,4,FALSE)</f>
        <v>敵のステータスがスキルでアップしたときは
ステータスダウンスキルで上書きしましょう</v>
      </c>
      <c r="O395" s="20" t="s">
        <v>24</v>
      </c>
      <c r="P395">
        <v>35</v>
      </c>
    </row>
    <row r="396" spans="1:16" x14ac:dyDescent="0.15">
      <c r="A396" s="27" t="str">
        <f t="shared" si="61"/>
        <v>12001_2_32</v>
      </c>
      <c r="B396" s="25" t="s">
        <v>34</v>
      </c>
      <c r="C396" s="4">
        <v>12001</v>
      </c>
      <c r="D396" s="3" t="str">
        <f ca="1">VLOOKUP($C396,OFFSET([1]quests!$A$1,0,0,COUNTA([1]quests!$A:$A),MATCH(D$1,[1]quests!$1:$1,0)-MATCH($C$1,[1]quests!$1:$1,0)+1),MATCH(D$1,[1]quests!$1:$1,0)-MATCH($C$1,[1]quests!$1:$1,0)+1,FALSE)</f>
        <v>【緊急！！】 アヒル捕獲作戦</v>
      </c>
      <c r="E396" s="3" t="str">
        <f ca="1">VLOOKUP($C396,OFFSET([1]quests!$A$1,0,0,COUNTA([1]quests!$A:$A),MATCH(E$1,[1]quests!$1:$1,0)-MATCH($C$1,[1]quests!$1:$1,0)+1),MATCH(E$1,[1]quests!$1:$1,0)-MATCH($C$1,[1]quests!$1:$1,0)+1,FALSE)</f>
        <v>ゲリラクエスト</v>
      </c>
      <c r="F396" s="5">
        <v>2</v>
      </c>
      <c r="G396" s="3" t="str">
        <f ca="1">VLOOKUP($C396&amp;"_"&amp;$F396,OFFSET([1]stages!$A$1,0,0,COUNTA([1]stages!$A:$A),MATCH(G$1,[1]stages!$2:$2,0)-MATCH("temp_stage",[1]stages!$2:$2,0)+1),MATCH(G$1,[1]stages!$2:$2,0)-MATCH("temp_stage",[1]stages!$2:$2,0)+1,FALSE)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96" s="3" t="str">
        <f ca="1">VLOOKUP($C396&amp;"_"&amp;$F396,OFFSET([1]stages!$A$1,0,0,COUNTA([1]stages!$A:$A),MATCH(H$1,[1]stages!$2:$2,0)-MATCH("temp_stage",[1]stages!$2:$2,0)+1),MATCH(H$1,[1]stages!$2:$2,0)-MATCH("temp_stage",[1]stages!$2:$2,0)+1,FALSE)</f>
        <v>ゲリラクエスト</v>
      </c>
      <c r="I396" s="18">
        <v>0</v>
      </c>
      <c r="J396" s="5">
        <f>COUNTIF(C$1:C396,C396)</f>
        <v>32</v>
      </c>
      <c r="K396" s="34">
        <v>36</v>
      </c>
      <c r="L396" s="5" t="s">
        <v>17</v>
      </c>
      <c r="M396" s="38" t="str">
        <f>VLOOKUP(K396,[2]stage_hints!$A:$C,3,FALSE)</f>
        <v>チャレンジタワーのボス</v>
      </c>
      <c r="N396" s="39" t="str">
        <f>VLOOKUP(K396,[2]stage_hints!$A:$D,4,FALSE)</f>
        <v>チャレンジタワーでのみ登場するボスは
一定確率で獲得することができます</v>
      </c>
      <c r="O396" s="20" t="s">
        <v>24</v>
      </c>
      <c r="P396">
        <v>36</v>
      </c>
    </row>
    <row r="397" spans="1:16" x14ac:dyDescent="0.15">
      <c r="A397" s="27" t="str">
        <f t="shared" si="61"/>
        <v>12001_2_33</v>
      </c>
      <c r="B397" s="25" t="s">
        <v>34</v>
      </c>
      <c r="C397" s="4">
        <v>12001</v>
      </c>
      <c r="D397" s="3" t="str">
        <f ca="1">VLOOKUP($C397,OFFSET([1]quests!$A$1,0,0,COUNTA([1]quests!$A:$A),MATCH(D$1,[1]quests!$1:$1,0)-MATCH($C$1,[1]quests!$1:$1,0)+1),MATCH(D$1,[1]quests!$1:$1,0)-MATCH($C$1,[1]quests!$1:$1,0)+1,FALSE)</f>
        <v>【緊急！！】 アヒル捕獲作戦</v>
      </c>
      <c r="E397" s="3" t="str">
        <f ca="1">VLOOKUP($C397,OFFSET([1]quests!$A$1,0,0,COUNTA([1]quests!$A:$A),MATCH(E$1,[1]quests!$1:$1,0)-MATCH($C$1,[1]quests!$1:$1,0)+1),MATCH(E$1,[1]quests!$1:$1,0)-MATCH($C$1,[1]quests!$1:$1,0)+1,FALSE)</f>
        <v>ゲリラクエスト</v>
      </c>
      <c r="F397" s="5">
        <v>2</v>
      </c>
      <c r="G397" s="3" t="str">
        <f ca="1">VLOOKUP($C397&amp;"_"&amp;$F397,OFFSET([1]stages!$A$1,0,0,COUNTA([1]stages!$A:$A),MATCH(G$1,[1]stages!$2:$2,0)-MATCH("temp_stage",[1]stages!$2:$2,0)+1),MATCH(G$1,[1]stages!$2:$2,0)-MATCH("temp_stage",[1]stages!$2:$2,0)+1,FALSE)</f>
        <v xml:space="preserve">【上級】メタルダックを捕獲せよ！ </v>
      </c>
      <c r="H397" s="3" t="str">
        <f ca="1">VLOOKUP($C397&amp;"_"&amp;$F397,OFFSET([1]stages!$A$1,0,0,COUNTA([1]stages!$A:$A),MATCH(H$1,[1]stages!$2:$2,0)-MATCH("temp_stage",[1]stages!$2:$2,0)+1),MATCH(H$1,[1]stages!$2:$2,0)-MATCH("temp_stage",[1]stages!$2:$2,0)+1,FALSE)</f>
        <v>ゲリラクエスト</v>
      </c>
      <c r="I397" s="18">
        <v>0</v>
      </c>
      <c r="J397" s="5">
        <f>COUNTIF(C$1:C397,C397)</f>
        <v>33</v>
      </c>
      <c r="K397" s="34">
        <v>37</v>
      </c>
      <c r="L397" s="5" t="s">
        <v>17</v>
      </c>
      <c r="M397" s="38" t="str">
        <f>VLOOKUP(K397,[2]stage_hints!$A:$C,3,FALSE)</f>
        <v>限界突破値の引き継ぎ</v>
      </c>
      <c r="N397" s="39" t="str">
        <f>VLOOKUP(K397,[2]stage_hints!$A:$D,4,FALSE)</f>
        <v>同じユニットを強化で合成すると
限界突破値を引き継げます（覚醒前後も可）</v>
      </c>
      <c r="O397" s="20" t="s">
        <v>24</v>
      </c>
      <c r="P397">
        <v>37</v>
      </c>
    </row>
    <row r="398" spans="1:16" x14ac:dyDescent="0.15">
      <c r="A398" s="27" t="str">
        <f t="shared" si="61"/>
        <v>12002_1_1</v>
      </c>
      <c r="B398" s="25" t="s">
        <v>34</v>
      </c>
      <c r="C398" s="4">
        <v>12002</v>
      </c>
      <c r="D398" s="3" t="str">
        <f ca="1">VLOOKUP($C398,OFFSET([1]quests!$A$1,0,0,COUNTA([1]quests!$A:$A),MATCH(D$1,[1]quests!$1:$1,0)-MATCH($C$1,[1]quests!$1:$1,0)+1),MATCH(D$1,[1]quests!$1:$1,0)-MATCH($C$1,[1]quests!$1:$1,0)+1,FALSE)</f>
        <v>【マルチ専用1/2】 アヒル捕獲作戦</v>
      </c>
      <c r="E398" s="3" t="str">
        <f ca="1">VLOOKUP($C398,OFFSET([1]quests!$A$1,0,0,COUNTA([1]quests!$A:$A),MATCH(E$1,[1]quests!$1:$1,0)-MATCH($C$1,[1]quests!$1:$1,0)+1),MATCH(E$1,[1]quests!$1:$1,0)-MATCH($C$1,[1]quests!$1:$1,0)+1,FALSE)</f>
        <v>ゲリラクエスト</v>
      </c>
      <c r="F398" s="5">
        <v>1</v>
      </c>
      <c r="G398" s="3" t="str">
        <f ca="1">VLOOKUP($C398&amp;"_"&amp;$F398,OFFSET([1]stages!$A$1,0,0,COUNTA([1]stages!$A:$A),MATCH(G$1,[1]stages!$2:$2,0)-MATCH("temp_stage",[1]stages!$2:$2,0)+1),MATCH(G$1,[1]stages!$2:$2,0)-MATCH("temp_stage",[1]stages!$2:$2,0)+1,FALSE)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398" s="3" t="str">
        <f ca="1">VLOOKUP($C398&amp;"_"&amp;$F398,OFFSET([1]stages!$A$1,0,0,COUNTA([1]stages!$A:$A),MATCH(H$1,[1]stages!$2:$2,0)-MATCH("temp_stage",[1]stages!$2:$2,0)+1),MATCH(H$1,[1]stages!$2:$2,0)-MATCH("temp_stage",[1]stages!$2:$2,0)+1,FALSE)</f>
        <v>ゲリラクエスト</v>
      </c>
      <c r="I398" s="18">
        <v>0</v>
      </c>
      <c r="J398" s="5">
        <f>COUNTIF(C$1:C398,C398)</f>
        <v>1</v>
      </c>
      <c r="K398" s="34">
        <v>3</v>
      </c>
      <c r="L398" s="5" t="s">
        <v>17</v>
      </c>
      <c r="M398" s="38" t="str">
        <f>VLOOKUP(K398,[2]stage_hints!$A:$C,3,FALSE)</f>
        <v>ターゲット</v>
      </c>
      <c r="N398" s="39" t="str">
        <f>VLOOKUP(K398,[2]stage_hints!$A:$D,4,FALSE)</f>
        <v>敵ユニットをタップすると
その敵を狙い撃ちできます</v>
      </c>
      <c r="O398" s="20" t="s">
        <v>24</v>
      </c>
      <c r="P398">
        <v>3</v>
      </c>
    </row>
    <row r="399" spans="1:16" x14ac:dyDescent="0.15">
      <c r="A399" s="27" t="str">
        <f t="shared" si="61"/>
        <v>12002_1_2</v>
      </c>
      <c r="B399" s="25" t="s">
        <v>34</v>
      </c>
      <c r="C399" s="4">
        <v>12002</v>
      </c>
      <c r="D399" s="3" t="str">
        <f ca="1">VLOOKUP($C399,OFFSET([1]quests!$A$1,0,0,COUNTA([1]quests!$A:$A),MATCH(D$1,[1]quests!$1:$1,0)-MATCH($C$1,[1]quests!$1:$1,0)+1),MATCH(D$1,[1]quests!$1:$1,0)-MATCH($C$1,[1]quests!$1:$1,0)+1,FALSE)</f>
        <v>【マルチ専用1/2】 アヒル捕獲作戦</v>
      </c>
      <c r="E399" s="3" t="str">
        <f ca="1">VLOOKUP($C399,OFFSET([1]quests!$A$1,0,0,COUNTA([1]quests!$A:$A),MATCH(E$1,[1]quests!$1:$1,0)-MATCH($C$1,[1]quests!$1:$1,0)+1),MATCH(E$1,[1]quests!$1:$1,0)-MATCH($C$1,[1]quests!$1:$1,0)+1,FALSE)</f>
        <v>ゲリラクエスト</v>
      </c>
      <c r="F399" s="5">
        <v>1</v>
      </c>
      <c r="G399" s="3" t="str">
        <f ca="1">VLOOKUP($C399&amp;"_"&amp;$F399,OFFSET([1]stages!$A$1,0,0,COUNTA([1]stages!$A:$A),MATCH(G$1,[1]stages!$2:$2,0)-MATCH("temp_stage",[1]stages!$2:$2,0)+1),MATCH(G$1,[1]stages!$2:$2,0)-MATCH("temp_stage",[1]stages!$2:$2,0)+1,FALSE)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399" s="3" t="str">
        <f ca="1">VLOOKUP($C399&amp;"_"&amp;$F399,OFFSET([1]stages!$A$1,0,0,COUNTA([1]stages!$A:$A),MATCH(H$1,[1]stages!$2:$2,0)-MATCH("temp_stage",[1]stages!$2:$2,0)+1),MATCH(H$1,[1]stages!$2:$2,0)-MATCH("temp_stage",[1]stages!$2:$2,0)+1,FALSE)</f>
        <v>ゲリラクエスト</v>
      </c>
      <c r="I399" s="18">
        <v>0</v>
      </c>
      <c r="J399" s="5">
        <f>COUNTIF(C$1:C399,C399)</f>
        <v>2</v>
      </c>
      <c r="K399" s="34">
        <v>6</v>
      </c>
      <c r="L399" s="5" t="s">
        <v>17</v>
      </c>
      <c r="M399" s="38" t="str">
        <f>VLOOKUP(K399,[2]stage_hints!$A:$C,3,FALSE)</f>
        <v>ユニット強化の属性ボーナス</v>
      </c>
      <c r="N399" s="39" t="str">
        <f>VLOOKUP(K399,[2]stage_hints!$A:$D,4,FALSE)</f>
        <v>同属性ユニットを強化素材にすると
経験値が多くもらえます</v>
      </c>
      <c r="O399" s="20" t="s">
        <v>24</v>
      </c>
      <c r="P399">
        <v>6</v>
      </c>
    </row>
    <row r="400" spans="1:16" x14ac:dyDescent="0.15">
      <c r="A400" s="27" t="str">
        <f t="shared" si="61"/>
        <v>12002_1_3</v>
      </c>
      <c r="B400" s="25" t="s">
        <v>34</v>
      </c>
      <c r="C400" s="4">
        <v>12002</v>
      </c>
      <c r="D400" s="3" t="str">
        <f ca="1">VLOOKUP($C400,OFFSET([1]quests!$A$1,0,0,COUNTA([1]quests!$A:$A),MATCH(D$1,[1]quests!$1:$1,0)-MATCH($C$1,[1]quests!$1:$1,0)+1),MATCH(D$1,[1]quests!$1:$1,0)-MATCH($C$1,[1]quests!$1:$1,0)+1,FALSE)</f>
        <v>【マルチ専用1/2】 アヒル捕獲作戦</v>
      </c>
      <c r="E400" s="3" t="str">
        <f ca="1">VLOOKUP($C400,OFFSET([1]quests!$A$1,0,0,COUNTA([1]quests!$A:$A),MATCH(E$1,[1]quests!$1:$1,0)-MATCH($C$1,[1]quests!$1:$1,0)+1),MATCH(E$1,[1]quests!$1:$1,0)-MATCH($C$1,[1]quests!$1:$1,0)+1,FALSE)</f>
        <v>ゲリラクエスト</v>
      </c>
      <c r="F400" s="5">
        <v>1</v>
      </c>
      <c r="G400" s="3" t="str">
        <f ca="1">VLOOKUP($C400&amp;"_"&amp;$F400,OFFSET([1]stages!$A$1,0,0,COUNTA([1]stages!$A:$A),MATCH(G$1,[1]stages!$2:$2,0)-MATCH("temp_stage",[1]stages!$2:$2,0)+1),MATCH(G$1,[1]stages!$2:$2,0)-MATCH("temp_stage",[1]stages!$2:$2,0)+1,FALSE)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0" s="3" t="str">
        <f ca="1">VLOOKUP($C400&amp;"_"&amp;$F400,OFFSET([1]stages!$A$1,0,0,COUNTA([1]stages!$A:$A),MATCH(H$1,[1]stages!$2:$2,0)-MATCH("temp_stage",[1]stages!$2:$2,0)+1),MATCH(H$1,[1]stages!$2:$2,0)-MATCH("temp_stage",[1]stages!$2:$2,0)+1,FALSE)</f>
        <v>ゲリラクエスト</v>
      </c>
      <c r="I400" s="18">
        <v>0</v>
      </c>
      <c r="J400" s="5">
        <f>COUNTIF(C$1:C400,C400)</f>
        <v>3</v>
      </c>
      <c r="K400" s="34">
        <v>7</v>
      </c>
      <c r="L400" s="5" t="s">
        <v>17</v>
      </c>
      <c r="M400" s="38" t="str">
        <f>VLOOKUP(K400,[2]stage_hints!$A:$C,3,FALSE)</f>
        <v>メタルダックで経験値を獲得</v>
      </c>
      <c r="N400" s="39" t="str">
        <f>VLOOKUP(K400,[2]stage_hints!$A:$D,4,FALSE)</f>
        <v>「メタルなアヒル」を強化素材にすると
大量の経験値がもらえます</v>
      </c>
      <c r="O400" s="20" t="s">
        <v>24</v>
      </c>
      <c r="P400">
        <v>7</v>
      </c>
    </row>
    <row r="401" spans="1:16" x14ac:dyDescent="0.15">
      <c r="A401" s="27" t="str">
        <f t="shared" si="61"/>
        <v>12002_1_4</v>
      </c>
      <c r="B401" s="25" t="s">
        <v>34</v>
      </c>
      <c r="C401" s="4">
        <v>12002</v>
      </c>
      <c r="D401" s="3" t="str">
        <f ca="1">VLOOKUP($C401,OFFSET([1]quests!$A$1,0,0,COUNTA([1]quests!$A:$A),MATCH(D$1,[1]quests!$1:$1,0)-MATCH($C$1,[1]quests!$1:$1,0)+1),MATCH(D$1,[1]quests!$1:$1,0)-MATCH($C$1,[1]quests!$1:$1,0)+1,FALSE)</f>
        <v>【マルチ専用1/2】 アヒル捕獲作戦</v>
      </c>
      <c r="E401" s="3" t="str">
        <f ca="1">VLOOKUP($C401,OFFSET([1]quests!$A$1,0,0,COUNTA([1]quests!$A:$A),MATCH(E$1,[1]quests!$1:$1,0)-MATCH($C$1,[1]quests!$1:$1,0)+1),MATCH(E$1,[1]quests!$1:$1,0)-MATCH($C$1,[1]quests!$1:$1,0)+1,FALSE)</f>
        <v>ゲリラクエスト</v>
      </c>
      <c r="F401" s="5">
        <v>1</v>
      </c>
      <c r="G401" s="3" t="str">
        <f ca="1">VLOOKUP($C401&amp;"_"&amp;$F401,OFFSET([1]stages!$A$1,0,0,COUNTA([1]stages!$A:$A),MATCH(G$1,[1]stages!$2:$2,0)-MATCH("temp_stage",[1]stages!$2:$2,0)+1),MATCH(G$1,[1]stages!$2:$2,0)-MATCH("temp_stage",[1]stages!$2:$2,0)+1,FALSE)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1" s="3" t="str">
        <f ca="1">VLOOKUP($C401&amp;"_"&amp;$F401,OFFSET([1]stages!$A$1,0,0,COUNTA([1]stages!$A:$A),MATCH(H$1,[1]stages!$2:$2,0)-MATCH("temp_stage",[1]stages!$2:$2,0)+1),MATCH(H$1,[1]stages!$2:$2,0)-MATCH("temp_stage",[1]stages!$2:$2,0)+1,FALSE)</f>
        <v>ゲリラクエスト</v>
      </c>
      <c r="I401" s="18">
        <v>0</v>
      </c>
      <c r="J401" s="5">
        <f>COUNTIF(C$1:C401,C401)</f>
        <v>4</v>
      </c>
      <c r="K401" s="34">
        <v>8</v>
      </c>
      <c r="L401" s="5" t="s">
        <v>17</v>
      </c>
      <c r="M401" s="38" t="str">
        <f>VLOOKUP(K401,[2]stage_hints!$A:$C,3,FALSE)</f>
        <v>ゲリラクエストは要チェック</v>
      </c>
      <c r="N401" s="39" t="str">
        <f>VLOOKUP(K401,[2]stage_hints!$A:$D,4,FALSE)</f>
        <v>時間限定の「アヒル捕獲作戦」では
経験値素材ユニットが多く手に入ります</v>
      </c>
      <c r="O401" s="20" t="s">
        <v>24</v>
      </c>
      <c r="P401">
        <v>8</v>
      </c>
    </row>
    <row r="402" spans="1:16" x14ac:dyDescent="0.15">
      <c r="A402" s="27" t="str">
        <f t="shared" si="61"/>
        <v>12002_1_5</v>
      </c>
      <c r="B402" s="25" t="s">
        <v>34</v>
      </c>
      <c r="C402" s="4">
        <v>12002</v>
      </c>
      <c r="D402" s="3" t="str">
        <f ca="1">VLOOKUP($C402,OFFSET([1]quests!$A$1,0,0,COUNTA([1]quests!$A:$A),MATCH(D$1,[1]quests!$1:$1,0)-MATCH($C$1,[1]quests!$1:$1,0)+1),MATCH(D$1,[1]quests!$1:$1,0)-MATCH($C$1,[1]quests!$1:$1,0)+1,FALSE)</f>
        <v>【マルチ専用1/2】 アヒル捕獲作戦</v>
      </c>
      <c r="E402" s="3" t="str">
        <f ca="1">VLOOKUP($C402,OFFSET([1]quests!$A$1,0,0,COUNTA([1]quests!$A:$A),MATCH(E$1,[1]quests!$1:$1,0)-MATCH($C$1,[1]quests!$1:$1,0)+1),MATCH(E$1,[1]quests!$1:$1,0)-MATCH($C$1,[1]quests!$1:$1,0)+1,FALSE)</f>
        <v>ゲリラクエスト</v>
      </c>
      <c r="F402" s="5">
        <v>1</v>
      </c>
      <c r="G402" s="3" t="str">
        <f ca="1">VLOOKUP($C402&amp;"_"&amp;$F402,OFFSET([1]stages!$A$1,0,0,COUNTA([1]stages!$A:$A),MATCH(G$1,[1]stages!$2:$2,0)-MATCH("temp_stage",[1]stages!$2:$2,0)+1),MATCH(G$1,[1]stages!$2:$2,0)-MATCH("temp_stage",[1]stages!$2:$2,0)+1,FALSE)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2" s="3" t="str">
        <f ca="1">VLOOKUP($C402&amp;"_"&amp;$F402,OFFSET([1]stages!$A$1,0,0,COUNTA([1]stages!$A:$A),MATCH(H$1,[1]stages!$2:$2,0)-MATCH("temp_stage",[1]stages!$2:$2,0)+1),MATCH(H$1,[1]stages!$2:$2,0)-MATCH("temp_stage",[1]stages!$2:$2,0)+1,FALSE)</f>
        <v>ゲリラクエスト</v>
      </c>
      <c r="I402" s="18">
        <v>0</v>
      </c>
      <c r="J402" s="5">
        <f>COUNTIF(C$1:C402,C402)</f>
        <v>5</v>
      </c>
      <c r="K402" s="34">
        <v>9</v>
      </c>
      <c r="L402" s="5" t="s">
        <v>17</v>
      </c>
      <c r="M402" s="38" t="str">
        <f>VLOOKUP(K402,[2]stage_hints!$A:$C,3,FALSE)</f>
        <v>ゴールドダックでビットを獲得</v>
      </c>
      <c r="N402" s="39" t="str">
        <f>VLOOKUP(K402,[2]stage_hints!$A:$D,4,FALSE)</f>
        <v>「ゴールドなアヒル」を売却すると
大量のビットがもらえます</v>
      </c>
      <c r="O402" s="20" t="s">
        <v>24</v>
      </c>
      <c r="P402">
        <v>9</v>
      </c>
    </row>
    <row r="403" spans="1:16" x14ac:dyDescent="0.15">
      <c r="A403" s="27" t="str">
        <f t="shared" si="61"/>
        <v>12002_1_6</v>
      </c>
      <c r="B403" s="25" t="s">
        <v>34</v>
      </c>
      <c r="C403" s="4">
        <v>12002</v>
      </c>
      <c r="D403" s="3" t="str">
        <f ca="1">VLOOKUP($C403,OFFSET([1]quests!$A$1,0,0,COUNTA([1]quests!$A:$A),MATCH(D$1,[1]quests!$1:$1,0)-MATCH($C$1,[1]quests!$1:$1,0)+1),MATCH(D$1,[1]quests!$1:$1,0)-MATCH($C$1,[1]quests!$1:$1,0)+1,FALSE)</f>
        <v>【マルチ専用1/2】 アヒル捕獲作戦</v>
      </c>
      <c r="E403" s="3" t="str">
        <f ca="1">VLOOKUP($C403,OFFSET([1]quests!$A$1,0,0,COUNTA([1]quests!$A:$A),MATCH(E$1,[1]quests!$1:$1,0)-MATCH($C$1,[1]quests!$1:$1,0)+1),MATCH(E$1,[1]quests!$1:$1,0)-MATCH($C$1,[1]quests!$1:$1,0)+1,FALSE)</f>
        <v>ゲリラクエスト</v>
      </c>
      <c r="F403" s="5">
        <v>1</v>
      </c>
      <c r="G403" s="3" t="str">
        <f ca="1">VLOOKUP($C403&amp;"_"&amp;$F403,OFFSET([1]stages!$A$1,0,0,COUNTA([1]stages!$A:$A),MATCH(G$1,[1]stages!$2:$2,0)-MATCH("temp_stage",[1]stages!$2:$2,0)+1),MATCH(G$1,[1]stages!$2:$2,0)-MATCH("temp_stage",[1]stages!$2:$2,0)+1,FALSE)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3" s="3" t="str">
        <f ca="1">VLOOKUP($C403&amp;"_"&amp;$F403,OFFSET([1]stages!$A$1,0,0,COUNTA([1]stages!$A:$A),MATCH(H$1,[1]stages!$2:$2,0)-MATCH("temp_stage",[1]stages!$2:$2,0)+1),MATCH(H$1,[1]stages!$2:$2,0)-MATCH("temp_stage",[1]stages!$2:$2,0)+1,FALSE)</f>
        <v>ゲリラクエスト</v>
      </c>
      <c r="I403" s="18">
        <v>0</v>
      </c>
      <c r="J403" s="5">
        <f>COUNTIF(C$1:C403,C403)</f>
        <v>6</v>
      </c>
      <c r="K403" s="34">
        <v>10</v>
      </c>
      <c r="L403" s="5" t="s">
        <v>17</v>
      </c>
      <c r="M403" s="38" t="str">
        <f>VLOOKUP(K403,[2]stage_hints!$A:$C,3,FALSE)</f>
        <v>土日に大量のビットを獲得</v>
      </c>
      <c r="N403" s="39" t="str">
        <f>VLOOKUP(K403,[2]stage_hints!$A:$D,4,FALSE)</f>
        <v>土日限定の「ゴールドカジノ」では
売却素材ユニットが多く手に入ります</v>
      </c>
      <c r="O403" s="20" t="s">
        <v>24</v>
      </c>
      <c r="P403">
        <v>10</v>
      </c>
    </row>
    <row r="404" spans="1:16" x14ac:dyDescent="0.15">
      <c r="A404" s="27" t="str">
        <f t="shared" si="61"/>
        <v>12002_1_7</v>
      </c>
      <c r="B404" s="25" t="s">
        <v>34</v>
      </c>
      <c r="C404" s="4">
        <v>12002</v>
      </c>
      <c r="D404" s="3" t="str">
        <f ca="1">VLOOKUP($C404,OFFSET([1]quests!$A$1,0,0,COUNTA([1]quests!$A:$A),MATCH(D$1,[1]quests!$1:$1,0)-MATCH($C$1,[1]quests!$1:$1,0)+1),MATCH(D$1,[1]quests!$1:$1,0)-MATCH($C$1,[1]quests!$1:$1,0)+1,FALSE)</f>
        <v>【マルチ専用1/2】 アヒル捕獲作戦</v>
      </c>
      <c r="E404" s="3" t="str">
        <f ca="1">VLOOKUP($C404,OFFSET([1]quests!$A$1,0,0,COUNTA([1]quests!$A:$A),MATCH(E$1,[1]quests!$1:$1,0)-MATCH($C$1,[1]quests!$1:$1,0)+1),MATCH(E$1,[1]quests!$1:$1,0)-MATCH($C$1,[1]quests!$1:$1,0)+1,FALSE)</f>
        <v>ゲリラクエスト</v>
      </c>
      <c r="F404" s="5">
        <v>1</v>
      </c>
      <c r="G404" s="3" t="str">
        <f ca="1">VLOOKUP($C404&amp;"_"&amp;$F404,OFFSET([1]stages!$A$1,0,0,COUNTA([1]stages!$A:$A),MATCH(G$1,[1]stages!$2:$2,0)-MATCH("temp_stage",[1]stages!$2:$2,0)+1),MATCH(G$1,[1]stages!$2:$2,0)-MATCH("temp_stage",[1]stages!$2:$2,0)+1,FALSE)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4" s="3" t="str">
        <f ca="1">VLOOKUP($C404&amp;"_"&amp;$F404,OFFSET([1]stages!$A$1,0,0,COUNTA([1]stages!$A:$A),MATCH(H$1,[1]stages!$2:$2,0)-MATCH("temp_stage",[1]stages!$2:$2,0)+1),MATCH(H$1,[1]stages!$2:$2,0)-MATCH("temp_stage",[1]stages!$2:$2,0)+1,FALSE)</f>
        <v>ゲリラクエスト</v>
      </c>
      <c r="I404" s="18">
        <v>0</v>
      </c>
      <c r="J404" s="5">
        <f>COUNTIF(C$1:C404,C404)</f>
        <v>7</v>
      </c>
      <c r="K404" s="34">
        <v>11</v>
      </c>
      <c r="L404" s="5" t="s">
        <v>17</v>
      </c>
      <c r="M404" s="38" t="str">
        <f>VLOOKUP(K404,[2]stage_hints!$A:$C,3,FALSE)</f>
        <v>ランク解放クエスト</v>
      </c>
      <c r="N404" s="39" t="str">
        <f>VLOOKUP(K404,[2]stage_hints!$A:$D,4,FALSE)</f>
        <v>一定ランクに到達すると
報酬付きのランク開放クエストが現れます</v>
      </c>
      <c r="O404" s="20" t="s">
        <v>24</v>
      </c>
      <c r="P404">
        <v>11</v>
      </c>
    </row>
    <row r="405" spans="1:16" x14ac:dyDescent="0.15">
      <c r="A405" s="27" t="str">
        <f t="shared" si="61"/>
        <v>12002_1_8</v>
      </c>
      <c r="B405" s="25" t="s">
        <v>34</v>
      </c>
      <c r="C405" s="4">
        <v>12002</v>
      </c>
      <c r="D405" s="3" t="str">
        <f ca="1">VLOOKUP($C405,OFFSET([1]quests!$A$1,0,0,COUNTA([1]quests!$A:$A),MATCH(D$1,[1]quests!$1:$1,0)-MATCH($C$1,[1]quests!$1:$1,0)+1),MATCH(D$1,[1]quests!$1:$1,0)-MATCH($C$1,[1]quests!$1:$1,0)+1,FALSE)</f>
        <v>【マルチ専用1/2】 アヒル捕獲作戦</v>
      </c>
      <c r="E405" s="3" t="str">
        <f ca="1">VLOOKUP($C405,OFFSET([1]quests!$A$1,0,0,COUNTA([1]quests!$A:$A),MATCH(E$1,[1]quests!$1:$1,0)-MATCH($C$1,[1]quests!$1:$1,0)+1),MATCH(E$1,[1]quests!$1:$1,0)-MATCH($C$1,[1]quests!$1:$1,0)+1,FALSE)</f>
        <v>ゲリラクエスト</v>
      </c>
      <c r="F405" s="5">
        <v>1</v>
      </c>
      <c r="G405" s="3" t="str">
        <f ca="1">VLOOKUP($C405&amp;"_"&amp;$F405,OFFSET([1]stages!$A$1,0,0,COUNTA([1]stages!$A:$A),MATCH(G$1,[1]stages!$2:$2,0)-MATCH("temp_stage",[1]stages!$2:$2,0)+1),MATCH(G$1,[1]stages!$2:$2,0)-MATCH("temp_stage",[1]stages!$2:$2,0)+1,FALSE)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5" s="3" t="str">
        <f ca="1">VLOOKUP($C405&amp;"_"&amp;$F405,OFFSET([1]stages!$A$1,0,0,COUNTA([1]stages!$A:$A),MATCH(H$1,[1]stages!$2:$2,0)-MATCH("temp_stage",[1]stages!$2:$2,0)+1),MATCH(H$1,[1]stages!$2:$2,0)-MATCH("temp_stage",[1]stages!$2:$2,0)+1,FALSE)</f>
        <v>ゲリラクエスト</v>
      </c>
      <c r="I405" s="18">
        <v>0</v>
      </c>
      <c r="J405" s="5">
        <f>COUNTIF(C$1:C405,C405)</f>
        <v>8</v>
      </c>
      <c r="K405" s="34">
        <v>12</v>
      </c>
      <c r="L405" s="5" t="s">
        <v>17</v>
      </c>
      <c r="M405" s="38" t="str">
        <f>VLOOKUP(K405,[2]stage_hints!$A:$C,3,FALSE)</f>
        <v>ユニットのお気に入り登録</v>
      </c>
      <c r="N405" s="39" t="str">
        <f>VLOOKUP(K405,[2]stage_hints!$A:$D,4,FALSE)</f>
        <v>大事なユニットを誤って消さないように
フォルダから「お気に入り登録」しましょう</v>
      </c>
      <c r="O405" s="20" t="s">
        <v>24</v>
      </c>
      <c r="P405">
        <v>12</v>
      </c>
    </row>
    <row r="406" spans="1:16" x14ac:dyDescent="0.15">
      <c r="A406" s="27" t="str">
        <f t="shared" si="61"/>
        <v>12002_1_9</v>
      </c>
      <c r="B406" s="25" t="s">
        <v>34</v>
      </c>
      <c r="C406" s="4">
        <v>12002</v>
      </c>
      <c r="D406" s="3" t="str">
        <f ca="1">VLOOKUP($C406,OFFSET([1]quests!$A$1,0,0,COUNTA([1]quests!$A:$A),MATCH(D$1,[1]quests!$1:$1,0)-MATCH($C$1,[1]quests!$1:$1,0)+1),MATCH(D$1,[1]quests!$1:$1,0)-MATCH($C$1,[1]quests!$1:$1,0)+1,FALSE)</f>
        <v>【マルチ専用1/2】 アヒル捕獲作戦</v>
      </c>
      <c r="E406" s="3" t="str">
        <f ca="1">VLOOKUP($C406,OFFSET([1]quests!$A$1,0,0,COUNTA([1]quests!$A:$A),MATCH(E$1,[1]quests!$1:$1,0)-MATCH($C$1,[1]quests!$1:$1,0)+1),MATCH(E$1,[1]quests!$1:$1,0)-MATCH($C$1,[1]quests!$1:$1,0)+1,FALSE)</f>
        <v>ゲリラクエスト</v>
      </c>
      <c r="F406" s="5">
        <v>1</v>
      </c>
      <c r="G406" s="3" t="str">
        <f ca="1">VLOOKUP($C406&amp;"_"&amp;$F406,OFFSET([1]stages!$A$1,0,0,COUNTA([1]stages!$A:$A),MATCH(G$1,[1]stages!$2:$2,0)-MATCH("temp_stage",[1]stages!$2:$2,0)+1),MATCH(G$1,[1]stages!$2:$2,0)-MATCH("temp_stage",[1]stages!$2:$2,0)+1,FALSE)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6" s="3" t="str">
        <f ca="1">VLOOKUP($C406&amp;"_"&amp;$F406,OFFSET([1]stages!$A$1,0,0,COUNTA([1]stages!$A:$A),MATCH(H$1,[1]stages!$2:$2,0)-MATCH("temp_stage",[1]stages!$2:$2,0)+1),MATCH(H$1,[1]stages!$2:$2,0)-MATCH("temp_stage",[1]stages!$2:$2,0)+1,FALSE)</f>
        <v>ゲリラクエスト</v>
      </c>
      <c r="I406" s="18">
        <v>0</v>
      </c>
      <c r="J406" s="5">
        <f>COUNTIF(C$1:C406,C406)</f>
        <v>9</v>
      </c>
      <c r="K406" s="34">
        <v>13</v>
      </c>
      <c r="L406" s="5" t="s">
        <v>17</v>
      </c>
      <c r="M406" s="38" t="str">
        <f>VLOOKUP(K406,[2]stage_hints!$A:$C,3,FALSE)</f>
        <v>ユニットの覚醒</v>
      </c>
      <c r="N406" s="39" t="str">
        <f>VLOOKUP(K406,[2]stage_hints!$A:$D,4,FALSE)</f>
        <v>ユニットを覚醒させると
比べものにならない強さが手に入ります</v>
      </c>
      <c r="O406" s="20" t="s">
        <v>24</v>
      </c>
      <c r="P406">
        <v>13</v>
      </c>
    </row>
    <row r="407" spans="1:16" x14ac:dyDescent="0.15">
      <c r="A407" s="27" t="str">
        <f t="shared" si="61"/>
        <v>12002_1_10</v>
      </c>
      <c r="B407" s="25" t="s">
        <v>34</v>
      </c>
      <c r="C407" s="4">
        <v>12002</v>
      </c>
      <c r="D407" s="3" t="str">
        <f ca="1">VLOOKUP($C407,OFFSET([1]quests!$A$1,0,0,COUNTA([1]quests!$A:$A),MATCH(D$1,[1]quests!$1:$1,0)-MATCH($C$1,[1]quests!$1:$1,0)+1),MATCH(D$1,[1]quests!$1:$1,0)-MATCH($C$1,[1]quests!$1:$1,0)+1,FALSE)</f>
        <v>【マルチ専用1/2】 アヒル捕獲作戦</v>
      </c>
      <c r="E407" s="3" t="str">
        <f ca="1">VLOOKUP($C407,OFFSET([1]quests!$A$1,0,0,COUNTA([1]quests!$A:$A),MATCH(E$1,[1]quests!$1:$1,0)-MATCH($C$1,[1]quests!$1:$1,0)+1),MATCH(E$1,[1]quests!$1:$1,0)-MATCH($C$1,[1]quests!$1:$1,0)+1,FALSE)</f>
        <v>ゲリラクエスト</v>
      </c>
      <c r="F407" s="5">
        <v>1</v>
      </c>
      <c r="G407" s="3" t="str">
        <f ca="1">VLOOKUP($C407&amp;"_"&amp;$F407,OFFSET([1]stages!$A$1,0,0,COUNTA([1]stages!$A:$A),MATCH(G$1,[1]stages!$2:$2,0)-MATCH("temp_stage",[1]stages!$2:$2,0)+1),MATCH(G$1,[1]stages!$2:$2,0)-MATCH("temp_stage",[1]stages!$2:$2,0)+1,FALSE)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7" s="3" t="str">
        <f ca="1">VLOOKUP($C407&amp;"_"&amp;$F407,OFFSET([1]stages!$A$1,0,0,COUNTA([1]stages!$A:$A),MATCH(H$1,[1]stages!$2:$2,0)-MATCH("temp_stage",[1]stages!$2:$2,0)+1),MATCH(H$1,[1]stages!$2:$2,0)-MATCH("temp_stage",[1]stages!$2:$2,0)+1,FALSE)</f>
        <v>ゲリラクエスト</v>
      </c>
      <c r="I407" s="18">
        <v>0</v>
      </c>
      <c r="J407" s="5">
        <f>COUNTIF(C$1:C407,C407)</f>
        <v>10</v>
      </c>
      <c r="K407" s="34">
        <v>14</v>
      </c>
      <c r="L407" s="5" t="s">
        <v>17</v>
      </c>
      <c r="M407" s="38" t="str">
        <f>VLOOKUP(K407,[2]stage_hints!$A:$C,3,FALSE)</f>
        <v>覚醒するにはレベルを最大に</v>
      </c>
      <c r="N407" s="39" t="str">
        <f>VLOOKUP(K407,[2]stage_hints!$A:$D,4,FALSE)</f>
        <v>覚醒するにはユニットのレベルを
最大まで上げる必要があります</v>
      </c>
      <c r="O407" s="20" t="s">
        <v>24</v>
      </c>
      <c r="P407">
        <v>14</v>
      </c>
    </row>
    <row r="408" spans="1:16" x14ac:dyDescent="0.15">
      <c r="A408" s="27" t="str">
        <f t="shared" si="61"/>
        <v>12002_1_11</v>
      </c>
      <c r="B408" s="25" t="s">
        <v>34</v>
      </c>
      <c r="C408" s="4">
        <v>12002</v>
      </c>
      <c r="D408" s="3" t="str">
        <f ca="1">VLOOKUP($C408,OFFSET([1]quests!$A$1,0,0,COUNTA([1]quests!$A:$A),MATCH(D$1,[1]quests!$1:$1,0)-MATCH($C$1,[1]quests!$1:$1,0)+1),MATCH(D$1,[1]quests!$1:$1,0)-MATCH($C$1,[1]quests!$1:$1,0)+1,FALSE)</f>
        <v>【マルチ専用1/2】 アヒル捕獲作戦</v>
      </c>
      <c r="E408" s="3" t="str">
        <f ca="1">VLOOKUP($C408,OFFSET([1]quests!$A$1,0,0,COUNTA([1]quests!$A:$A),MATCH(E$1,[1]quests!$1:$1,0)-MATCH($C$1,[1]quests!$1:$1,0)+1),MATCH(E$1,[1]quests!$1:$1,0)-MATCH($C$1,[1]quests!$1:$1,0)+1,FALSE)</f>
        <v>ゲリラクエスト</v>
      </c>
      <c r="F408" s="5">
        <v>1</v>
      </c>
      <c r="G408" s="3" t="str">
        <f ca="1">VLOOKUP($C408&amp;"_"&amp;$F408,OFFSET([1]stages!$A$1,0,0,COUNTA([1]stages!$A:$A),MATCH(G$1,[1]stages!$2:$2,0)-MATCH("temp_stage",[1]stages!$2:$2,0)+1),MATCH(G$1,[1]stages!$2:$2,0)-MATCH("temp_stage",[1]stages!$2:$2,0)+1,FALSE)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8" s="3" t="str">
        <f ca="1">VLOOKUP($C408&amp;"_"&amp;$F408,OFFSET([1]stages!$A$1,0,0,COUNTA([1]stages!$A:$A),MATCH(H$1,[1]stages!$2:$2,0)-MATCH("temp_stage",[1]stages!$2:$2,0)+1),MATCH(H$1,[1]stages!$2:$2,0)-MATCH("temp_stage",[1]stages!$2:$2,0)+1,FALSE)</f>
        <v>ゲリラクエスト</v>
      </c>
      <c r="I408" s="18">
        <v>0</v>
      </c>
      <c r="J408" s="5">
        <f>COUNTIF(C$1:C408,C408)</f>
        <v>11</v>
      </c>
      <c r="K408" s="34">
        <v>15</v>
      </c>
      <c r="L408" s="5" t="s">
        <v>17</v>
      </c>
      <c r="M408" s="38" t="str">
        <f>VLOOKUP(K408,[2]stage_hints!$A:$C,3,FALSE)</f>
        <v>覚醒素材を獲得</v>
      </c>
      <c r="N408" s="39" t="str">
        <f>VLOOKUP(K408,[2]stage_hints!$A:$D,4,FALSE)</f>
        <v>「曜日クエスト」では
ユニットの覚醒に必要な素材が手に入ります</v>
      </c>
      <c r="O408" s="20" t="s">
        <v>24</v>
      </c>
      <c r="P408">
        <v>15</v>
      </c>
    </row>
    <row r="409" spans="1:16" x14ac:dyDescent="0.15">
      <c r="A409" s="27" t="str">
        <f t="shared" ref="A409:A422" si="62">C409&amp;"_"&amp;F409&amp;"_"&amp;J409</f>
        <v>12002_1_12</v>
      </c>
      <c r="B409" s="25" t="s">
        <v>34</v>
      </c>
      <c r="C409" s="4">
        <v>12002</v>
      </c>
      <c r="D409" s="3" t="str">
        <f ca="1">VLOOKUP($C409,OFFSET([1]quests!$A$1,0,0,COUNTA([1]quests!$A:$A),MATCH(D$1,[1]quests!$1:$1,0)-MATCH($C$1,[1]quests!$1:$1,0)+1),MATCH(D$1,[1]quests!$1:$1,0)-MATCH($C$1,[1]quests!$1:$1,0)+1,FALSE)</f>
        <v>【マルチ専用1/2】 アヒル捕獲作戦</v>
      </c>
      <c r="E409" s="3" t="str">
        <f ca="1">VLOOKUP($C409,OFFSET([1]quests!$A$1,0,0,COUNTA([1]quests!$A:$A),MATCH(E$1,[1]quests!$1:$1,0)-MATCH($C$1,[1]quests!$1:$1,0)+1),MATCH(E$1,[1]quests!$1:$1,0)-MATCH($C$1,[1]quests!$1:$1,0)+1,FALSE)</f>
        <v>ゲリラクエスト</v>
      </c>
      <c r="F409" s="5">
        <v>1</v>
      </c>
      <c r="G409" s="3" t="str">
        <f ca="1">VLOOKUP($C409&amp;"_"&amp;$F409,OFFSET([1]stages!$A$1,0,0,COUNTA([1]stages!$A:$A),MATCH(G$1,[1]stages!$2:$2,0)-MATCH("temp_stage",[1]stages!$2:$2,0)+1),MATCH(G$1,[1]stages!$2:$2,0)-MATCH("temp_stage",[1]stages!$2:$2,0)+1,FALSE)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09" s="3" t="str">
        <f ca="1">VLOOKUP($C409&amp;"_"&amp;$F409,OFFSET([1]stages!$A$1,0,0,COUNTA([1]stages!$A:$A),MATCH(H$1,[1]stages!$2:$2,0)-MATCH("temp_stage",[1]stages!$2:$2,0)+1),MATCH(H$1,[1]stages!$2:$2,0)-MATCH("temp_stage",[1]stages!$2:$2,0)+1,FALSE)</f>
        <v>ゲリラクエスト</v>
      </c>
      <c r="I409" s="18">
        <v>0</v>
      </c>
      <c r="J409" s="5">
        <f>COUNTIF(C$1:C409,C409)</f>
        <v>12</v>
      </c>
      <c r="K409" s="34">
        <v>16</v>
      </c>
      <c r="L409" s="5" t="s">
        <v>17</v>
      </c>
      <c r="M409" s="38" t="str">
        <f>VLOOKUP(K409,[2]stage_hints!$A:$C,3,FALSE)</f>
        <v>マルチプレイのメリット（その1）</v>
      </c>
      <c r="N409" s="39" t="str">
        <f>VLOOKUP(K409,[2]stage_hints!$A:$D,4,FALSE)</f>
        <v>他のプレイヤーとマルチプレイで遊ぶと
ポリゴンがもらえます（100人まで）</v>
      </c>
      <c r="O409" s="20" t="s">
        <v>24</v>
      </c>
      <c r="P409">
        <v>16</v>
      </c>
    </row>
    <row r="410" spans="1:16" x14ac:dyDescent="0.15">
      <c r="A410" s="27" t="str">
        <f t="shared" si="62"/>
        <v>12002_1_13</v>
      </c>
      <c r="B410" s="25" t="s">
        <v>34</v>
      </c>
      <c r="C410" s="4">
        <v>12002</v>
      </c>
      <c r="D410" s="3" t="str">
        <f ca="1">VLOOKUP($C410,OFFSET([1]quests!$A$1,0,0,COUNTA([1]quests!$A:$A),MATCH(D$1,[1]quests!$1:$1,0)-MATCH($C$1,[1]quests!$1:$1,0)+1),MATCH(D$1,[1]quests!$1:$1,0)-MATCH($C$1,[1]quests!$1:$1,0)+1,FALSE)</f>
        <v>【マルチ専用1/2】 アヒル捕獲作戦</v>
      </c>
      <c r="E410" s="3" t="str">
        <f ca="1">VLOOKUP($C410,OFFSET([1]quests!$A$1,0,0,COUNTA([1]quests!$A:$A),MATCH(E$1,[1]quests!$1:$1,0)-MATCH($C$1,[1]quests!$1:$1,0)+1),MATCH(E$1,[1]quests!$1:$1,0)-MATCH($C$1,[1]quests!$1:$1,0)+1,FALSE)</f>
        <v>ゲリラクエスト</v>
      </c>
      <c r="F410" s="5">
        <v>1</v>
      </c>
      <c r="G410" s="3" t="str">
        <f ca="1">VLOOKUP($C410&amp;"_"&amp;$F410,OFFSET([1]stages!$A$1,0,0,COUNTA([1]stages!$A:$A),MATCH(G$1,[1]stages!$2:$2,0)-MATCH("temp_stage",[1]stages!$2:$2,0)+1),MATCH(G$1,[1]stages!$2:$2,0)-MATCH("temp_stage",[1]stages!$2:$2,0)+1,FALSE)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0" s="3" t="str">
        <f ca="1">VLOOKUP($C410&amp;"_"&amp;$F410,OFFSET([1]stages!$A$1,0,0,COUNTA([1]stages!$A:$A),MATCH(H$1,[1]stages!$2:$2,0)-MATCH("temp_stage",[1]stages!$2:$2,0)+1),MATCH(H$1,[1]stages!$2:$2,0)-MATCH("temp_stage",[1]stages!$2:$2,0)+1,FALSE)</f>
        <v>ゲリラクエスト</v>
      </c>
      <c r="I410" s="18">
        <v>0</v>
      </c>
      <c r="J410" s="5">
        <f>COUNTIF(C$1:C410,C410)</f>
        <v>13</v>
      </c>
      <c r="K410" s="34">
        <v>17</v>
      </c>
      <c r="L410" s="5" t="s">
        <v>17</v>
      </c>
      <c r="M410" s="38" t="str">
        <f>VLOOKUP(K410,[2]stage_hints!$A:$C,3,FALSE)</f>
        <v>リンクガチャ</v>
      </c>
      <c r="N410" s="39" t="str">
        <f>VLOOKUP(K410,[2]stage_hints!$A:$D,4,FALSE)</f>
        <v>無料のリンクガチャを回して
経験値素材や売却素材を獲得しましょう</v>
      </c>
      <c r="O410" s="20" t="s">
        <v>24</v>
      </c>
      <c r="P410">
        <v>17</v>
      </c>
    </row>
    <row r="411" spans="1:16" x14ac:dyDescent="0.15">
      <c r="A411" s="27" t="str">
        <f t="shared" si="62"/>
        <v>12002_1_14</v>
      </c>
      <c r="B411" s="25" t="s">
        <v>34</v>
      </c>
      <c r="C411" s="4">
        <v>12002</v>
      </c>
      <c r="D411" s="3" t="str">
        <f ca="1">VLOOKUP($C411,OFFSET([1]quests!$A$1,0,0,COUNTA([1]quests!$A:$A),MATCH(D$1,[1]quests!$1:$1,0)-MATCH($C$1,[1]quests!$1:$1,0)+1),MATCH(D$1,[1]quests!$1:$1,0)-MATCH($C$1,[1]quests!$1:$1,0)+1,FALSE)</f>
        <v>【マルチ専用1/2】 アヒル捕獲作戦</v>
      </c>
      <c r="E411" s="3" t="str">
        <f ca="1">VLOOKUP($C411,OFFSET([1]quests!$A$1,0,0,COUNTA([1]quests!$A:$A),MATCH(E$1,[1]quests!$1:$1,0)-MATCH($C$1,[1]quests!$1:$1,0)+1),MATCH(E$1,[1]quests!$1:$1,0)-MATCH($C$1,[1]quests!$1:$1,0)+1,FALSE)</f>
        <v>ゲリラクエスト</v>
      </c>
      <c r="F411" s="5">
        <v>1</v>
      </c>
      <c r="G411" s="3" t="str">
        <f ca="1">VLOOKUP($C411&amp;"_"&amp;$F411,OFFSET([1]stages!$A$1,0,0,COUNTA([1]stages!$A:$A),MATCH(G$1,[1]stages!$2:$2,0)-MATCH("temp_stage",[1]stages!$2:$2,0)+1),MATCH(G$1,[1]stages!$2:$2,0)-MATCH("temp_stage",[1]stages!$2:$2,0)+1,FALSE)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1" s="3" t="str">
        <f ca="1">VLOOKUP($C411&amp;"_"&amp;$F411,OFFSET([1]stages!$A$1,0,0,COUNTA([1]stages!$A:$A),MATCH(H$1,[1]stages!$2:$2,0)-MATCH("temp_stage",[1]stages!$2:$2,0)+1),MATCH(H$1,[1]stages!$2:$2,0)-MATCH("temp_stage",[1]stages!$2:$2,0)+1,FALSE)</f>
        <v>ゲリラクエスト</v>
      </c>
      <c r="I411" s="18">
        <v>0</v>
      </c>
      <c r="J411" s="5">
        <f>COUNTIF(C$1:C411,C411)</f>
        <v>14</v>
      </c>
      <c r="K411" s="34">
        <v>18</v>
      </c>
      <c r="L411" s="5" t="s">
        <v>17</v>
      </c>
      <c r="M411" s="38" t="str">
        <f>VLOOKUP(K411,[2]stage_hints!$A:$C,3,FALSE)</f>
        <v>マルチプレイのメリット（その2）</v>
      </c>
      <c r="N411" s="39" t="str">
        <f>VLOOKUP(K411,[2]stage_hints!$A:$D,4,FALSE)</f>
        <v>マルチプレイならリンクが2倍もらえます
リンクガチャをたくさん回しましょう</v>
      </c>
      <c r="O411" s="20" t="s">
        <v>24</v>
      </c>
      <c r="P411">
        <v>18</v>
      </c>
    </row>
    <row r="412" spans="1:16" x14ac:dyDescent="0.15">
      <c r="A412" s="27" t="str">
        <f t="shared" si="62"/>
        <v>12002_1_15</v>
      </c>
      <c r="B412" s="25" t="s">
        <v>34</v>
      </c>
      <c r="C412" s="4">
        <v>12002</v>
      </c>
      <c r="D412" s="3" t="str">
        <f ca="1">VLOOKUP($C412,OFFSET([1]quests!$A$1,0,0,COUNTA([1]quests!$A:$A),MATCH(D$1,[1]quests!$1:$1,0)-MATCH($C$1,[1]quests!$1:$1,0)+1),MATCH(D$1,[1]quests!$1:$1,0)-MATCH($C$1,[1]quests!$1:$1,0)+1,FALSE)</f>
        <v>【マルチ専用1/2】 アヒル捕獲作戦</v>
      </c>
      <c r="E412" s="3" t="str">
        <f ca="1">VLOOKUP($C412,OFFSET([1]quests!$A$1,0,0,COUNTA([1]quests!$A:$A),MATCH(E$1,[1]quests!$1:$1,0)-MATCH($C$1,[1]quests!$1:$1,0)+1),MATCH(E$1,[1]quests!$1:$1,0)-MATCH($C$1,[1]quests!$1:$1,0)+1,FALSE)</f>
        <v>ゲリラクエスト</v>
      </c>
      <c r="F412" s="5">
        <v>1</v>
      </c>
      <c r="G412" s="3" t="str">
        <f ca="1">VLOOKUP($C412&amp;"_"&amp;$F412,OFFSET([1]stages!$A$1,0,0,COUNTA([1]stages!$A:$A),MATCH(G$1,[1]stages!$2:$2,0)-MATCH("temp_stage",[1]stages!$2:$2,0)+1),MATCH(G$1,[1]stages!$2:$2,0)-MATCH("temp_stage",[1]stages!$2:$2,0)+1,FALSE)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2" s="3" t="str">
        <f ca="1">VLOOKUP($C412&amp;"_"&amp;$F412,OFFSET([1]stages!$A$1,0,0,COUNTA([1]stages!$A:$A),MATCH(H$1,[1]stages!$2:$2,0)-MATCH("temp_stage",[1]stages!$2:$2,0)+1),MATCH(H$1,[1]stages!$2:$2,0)-MATCH("temp_stage",[1]stages!$2:$2,0)+1,FALSE)</f>
        <v>ゲリラクエスト</v>
      </c>
      <c r="I412" s="18">
        <v>0</v>
      </c>
      <c r="J412" s="5">
        <f>COUNTIF(C$1:C412,C412)</f>
        <v>15</v>
      </c>
      <c r="K412" s="34">
        <v>19</v>
      </c>
      <c r="L412" s="5" t="s">
        <v>17</v>
      </c>
      <c r="M412" s="38" t="str">
        <f>VLOOKUP(K412,[2]stage_hints!$A:$C,3,FALSE)</f>
        <v>ソロ専用チャレンジタワー</v>
      </c>
      <c r="N412" s="39" t="str">
        <f>VLOOKUP(K412,[2]stage_hints!$A:$D,4,FALSE)</f>
        <v>ソロ専用の「チャレンジタワー」では
各フロアごとにクリア報酬がもらえます</v>
      </c>
      <c r="O412" s="20" t="s">
        <v>24</v>
      </c>
      <c r="P412">
        <v>19</v>
      </c>
    </row>
    <row r="413" spans="1:16" x14ac:dyDescent="0.15">
      <c r="A413" s="27" t="str">
        <f t="shared" si="62"/>
        <v>12002_1_16</v>
      </c>
      <c r="B413" s="25" t="s">
        <v>34</v>
      </c>
      <c r="C413" s="4">
        <v>12002</v>
      </c>
      <c r="D413" s="3" t="str">
        <f ca="1">VLOOKUP($C413,OFFSET([1]quests!$A$1,0,0,COUNTA([1]quests!$A:$A),MATCH(D$1,[1]quests!$1:$1,0)-MATCH($C$1,[1]quests!$1:$1,0)+1),MATCH(D$1,[1]quests!$1:$1,0)-MATCH($C$1,[1]quests!$1:$1,0)+1,FALSE)</f>
        <v>【マルチ専用1/2】 アヒル捕獲作戦</v>
      </c>
      <c r="E413" s="3" t="str">
        <f ca="1">VLOOKUP($C413,OFFSET([1]quests!$A$1,0,0,COUNTA([1]quests!$A:$A),MATCH(E$1,[1]quests!$1:$1,0)-MATCH($C$1,[1]quests!$1:$1,0)+1),MATCH(E$1,[1]quests!$1:$1,0)-MATCH($C$1,[1]quests!$1:$1,0)+1,FALSE)</f>
        <v>ゲリラクエスト</v>
      </c>
      <c r="F413" s="5">
        <v>1</v>
      </c>
      <c r="G413" s="3" t="str">
        <f ca="1">VLOOKUP($C413&amp;"_"&amp;$F413,OFFSET([1]stages!$A$1,0,0,COUNTA([1]stages!$A:$A),MATCH(G$1,[1]stages!$2:$2,0)-MATCH("temp_stage",[1]stages!$2:$2,0)+1),MATCH(G$1,[1]stages!$2:$2,0)-MATCH("temp_stage",[1]stages!$2:$2,0)+1,FALSE)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3" s="3" t="str">
        <f ca="1">VLOOKUP($C413&amp;"_"&amp;$F413,OFFSET([1]stages!$A$1,0,0,COUNTA([1]stages!$A:$A),MATCH(H$1,[1]stages!$2:$2,0)-MATCH("temp_stage",[1]stages!$2:$2,0)+1),MATCH(H$1,[1]stages!$2:$2,0)-MATCH("temp_stage",[1]stages!$2:$2,0)+1,FALSE)</f>
        <v>ゲリラクエスト</v>
      </c>
      <c r="I413" s="18">
        <v>0</v>
      </c>
      <c r="J413" s="5">
        <f>COUNTIF(C$1:C413,C413)</f>
        <v>16</v>
      </c>
      <c r="K413" s="34">
        <v>20</v>
      </c>
      <c r="L413" s="5" t="s">
        <v>17</v>
      </c>
      <c r="M413" s="38" t="str">
        <f>VLOOKUP(K413,[2]stage_hints!$A:$C,3,FALSE)</f>
        <v>マルチプレイのメリット（その3）</v>
      </c>
      <c r="N413" s="39" t="str">
        <f>VLOOKUP(K413,[2]stage_hints!$A:$D,4,FALSE)</f>
        <v>マルチプレイへの参加はエナジー消費ゼロ
いつでも好きなだけ遊ぶことができます</v>
      </c>
      <c r="O413" s="20" t="s">
        <v>24</v>
      </c>
      <c r="P413">
        <v>20</v>
      </c>
    </row>
    <row r="414" spans="1:16" x14ac:dyDescent="0.15">
      <c r="A414" s="27" t="str">
        <f t="shared" si="62"/>
        <v>12002_1_17</v>
      </c>
      <c r="B414" s="25" t="s">
        <v>34</v>
      </c>
      <c r="C414" s="4">
        <v>12002</v>
      </c>
      <c r="D414" s="3" t="str">
        <f ca="1">VLOOKUP($C414,OFFSET([1]quests!$A$1,0,0,COUNTA([1]quests!$A:$A),MATCH(D$1,[1]quests!$1:$1,0)-MATCH($C$1,[1]quests!$1:$1,0)+1),MATCH(D$1,[1]quests!$1:$1,0)-MATCH($C$1,[1]quests!$1:$1,0)+1,FALSE)</f>
        <v>【マルチ専用1/2】 アヒル捕獲作戦</v>
      </c>
      <c r="E414" s="3" t="str">
        <f ca="1">VLOOKUP($C414,OFFSET([1]quests!$A$1,0,0,COUNTA([1]quests!$A:$A),MATCH(E$1,[1]quests!$1:$1,0)-MATCH($C$1,[1]quests!$1:$1,0)+1),MATCH(E$1,[1]quests!$1:$1,0)-MATCH($C$1,[1]quests!$1:$1,0)+1,FALSE)</f>
        <v>ゲリラクエスト</v>
      </c>
      <c r="F414" s="5">
        <v>1</v>
      </c>
      <c r="G414" s="3" t="str">
        <f ca="1">VLOOKUP($C414&amp;"_"&amp;$F414,OFFSET([1]stages!$A$1,0,0,COUNTA([1]stages!$A:$A),MATCH(G$1,[1]stages!$2:$2,0)-MATCH("temp_stage",[1]stages!$2:$2,0)+1),MATCH(G$1,[1]stages!$2:$2,0)-MATCH("temp_stage",[1]stages!$2:$2,0)+1,FALSE)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4" s="3" t="str">
        <f ca="1">VLOOKUP($C414&amp;"_"&amp;$F414,OFFSET([1]stages!$A$1,0,0,COUNTA([1]stages!$A:$A),MATCH(H$1,[1]stages!$2:$2,0)-MATCH("temp_stage",[1]stages!$2:$2,0)+1),MATCH(H$1,[1]stages!$2:$2,0)-MATCH("temp_stage",[1]stages!$2:$2,0)+1,FALSE)</f>
        <v>ゲリラクエスト</v>
      </c>
      <c r="I414" s="18">
        <v>0</v>
      </c>
      <c r="J414" s="5">
        <f>COUNTIF(C$1:C414,C414)</f>
        <v>17</v>
      </c>
      <c r="K414" s="34">
        <v>21</v>
      </c>
      <c r="L414" s="5" t="s">
        <v>17</v>
      </c>
      <c r="M414" s="38" t="str">
        <f>VLOOKUP(K414,[2]stage_hints!$A:$C,3,FALSE)</f>
        <v>スキルを有効に</v>
      </c>
      <c r="N414" s="39" t="str">
        <f>VLOOKUP(K414,[2]stage_hints!$A:$D,4,FALSE)</f>
        <v>ターン経過でユニットのスキルが使えます
強力スキルでバトルを有利に進めましょう</v>
      </c>
      <c r="O414" s="20" t="s">
        <v>24</v>
      </c>
      <c r="P414">
        <v>21</v>
      </c>
    </row>
    <row r="415" spans="1:16" x14ac:dyDescent="0.15">
      <c r="A415" s="27" t="str">
        <f t="shared" si="62"/>
        <v>12002_1_18</v>
      </c>
      <c r="B415" s="25" t="s">
        <v>34</v>
      </c>
      <c r="C415" s="4">
        <v>12002</v>
      </c>
      <c r="D415" s="3" t="str">
        <f ca="1">VLOOKUP($C415,OFFSET([1]quests!$A$1,0,0,COUNTA([1]quests!$A:$A),MATCH(D$1,[1]quests!$1:$1,0)-MATCH($C$1,[1]quests!$1:$1,0)+1),MATCH(D$1,[1]quests!$1:$1,0)-MATCH($C$1,[1]quests!$1:$1,0)+1,FALSE)</f>
        <v>【マルチ専用1/2】 アヒル捕獲作戦</v>
      </c>
      <c r="E415" s="3" t="str">
        <f ca="1">VLOOKUP($C415,OFFSET([1]quests!$A$1,0,0,COUNTA([1]quests!$A:$A),MATCH(E$1,[1]quests!$1:$1,0)-MATCH($C$1,[1]quests!$1:$1,0)+1),MATCH(E$1,[1]quests!$1:$1,0)-MATCH($C$1,[1]quests!$1:$1,0)+1,FALSE)</f>
        <v>ゲリラクエスト</v>
      </c>
      <c r="F415" s="5">
        <v>1</v>
      </c>
      <c r="G415" s="3" t="str">
        <f ca="1">VLOOKUP($C415&amp;"_"&amp;$F415,OFFSET([1]stages!$A$1,0,0,COUNTA([1]stages!$A:$A),MATCH(G$1,[1]stages!$2:$2,0)-MATCH("temp_stage",[1]stages!$2:$2,0)+1),MATCH(G$1,[1]stages!$2:$2,0)-MATCH("temp_stage",[1]stages!$2:$2,0)+1,FALSE)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5" s="3" t="str">
        <f ca="1">VLOOKUP($C415&amp;"_"&amp;$F415,OFFSET([1]stages!$A$1,0,0,COUNTA([1]stages!$A:$A),MATCH(H$1,[1]stages!$2:$2,0)-MATCH("temp_stage",[1]stages!$2:$2,0)+1),MATCH(H$1,[1]stages!$2:$2,0)-MATCH("temp_stage",[1]stages!$2:$2,0)+1,FALSE)</f>
        <v>ゲリラクエスト</v>
      </c>
      <c r="I415" s="18">
        <v>0</v>
      </c>
      <c r="J415" s="5">
        <f>COUNTIF(C$1:C415,C415)</f>
        <v>18</v>
      </c>
      <c r="K415" s="34">
        <v>22</v>
      </c>
      <c r="L415" s="5" t="s">
        <v>17</v>
      </c>
      <c r="M415" s="38" t="str">
        <f>VLOOKUP(K415,[2]stage_hints!$A:$C,3,FALSE)</f>
        <v>フィーバーで一発逆転（その1）</v>
      </c>
      <c r="N415" s="39" t="str">
        <f>VLOOKUP(K415,[2]stage_hints!$A:$D,4,FALSE)</f>
        <v>フィーバーは攻撃と回復を兼ね備えます
ピンチからの一発逆転を狙いましょう</v>
      </c>
      <c r="O415" s="20" t="s">
        <v>24</v>
      </c>
      <c r="P415">
        <v>22</v>
      </c>
    </row>
    <row r="416" spans="1:16" x14ac:dyDescent="0.15">
      <c r="A416" s="27" t="str">
        <f t="shared" si="62"/>
        <v>12002_1_19</v>
      </c>
      <c r="B416" s="25" t="s">
        <v>34</v>
      </c>
      <c r="C416" s="4">
        <v>12002</v>
      </c>
      <c r="D416" s="3" t="str">
        <f ca="1">VLOOKUP($C416,OFFSET([1]quests!$A$1,0,0,COUNTA([1]quests!$A:$A),MATCH(D$1,[1]quests!$1:$1,0)-MATCH($C$1,[1]quests!$1:$1,0)+1),MATCH(D$1,[1]quests!$1:$1,0)-MATCH($C$1,[1]quests!$1:$1,0)+1,FALSE)</f>
        <v>【マルチ専用1/2】 アヒル捕獲作戦</v>
      </c>
      <c r="E416" s="3" t="str">
        <f ca="1">VLOOKUP($C416,OFFSET([1]quests!$A$1,0,0,COUNTA([1]quests!$A:$A),MATCH(E$1,[1]quests!$1:$1,0)-MATCH($C$1,[1]quests!$1:$1,0)+1),MATCH(E$1,[1]quests!$1:$1,0)-MATCH($C$1,[1]quests!$1:$1,0)+1,FALSE)</f>
        <v>ゲリラクエスト</v>
      </c>
      <c r="F416" s="5">
        <v>1</v>
      </c>
      <c r="G416" s="3" t="str">
        <f ca="1">VLOOKUP($C416&amp;"_"&amp;$F416,OFFSET([1]stages!$A$1,0,0,COUNTA([1]stages!$A:$A),MATCH(G$1,[1]stages!$2:$2,0)-MATCH("temp_stage",[1]stages!$2:$2,0)+1),MATCH(G$1,[1]stages!$2:$2,0)-MATCH("temp_stage",[1]stages!$2:$2,0)+1,FALSE)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6" s="3" t="str">
        <f ca="1">VLOOKUP($C416&amp;"_"&amp;$F416,OFFSET([1]stages!$A$1,0,0,COUNTA([1]stages!$A:$A),MATCH(H$1,[1]stages!$2:$2,0)-MATCH("temp_stage",[1]stages!$2:$2,0)+1),MATCH(H$1,[1]stages!$2:$2,0)-MATCH("temp_stage",[1]stages!$2:$2,0)+1,FALSE)</f>
        <v>ゲリラクエスト</v>
      </c>
      <c r="I416" s="18">
        <v>0</v>
      </c>
      <c r="J416" s="5">
        <f>COUNTIF(C$1:C416,C416)</f>
        <v>19</v>
      </c>
      <c r="K416" s="34">
        <v>23</v>
      </c>
      <c r="L416" s="5" t="s">
        <v>17</v>
      </c>
      <c r="M416" s="38" t="str">
        <f>VLOOKUP(K416,[2]stage_hints!$A:$C,3,FALSE)</f>
        <v>フィーバーで一発逆転（その2）</v>
      </c>
      <c r="N416" s="39" t="str">
        <f>VLOOKUP(K416,[2]stage_hints!$A:$D,4,FALSE)</f>
        <v>フィーバー中は虹色のボムパネルを狙って
画面上のパネルを一気に破壊しましょう</v>
      </c>
      <c r="O416" s="20" t="s">
        <v>24</v>
      </c>
      <c r="P416">
        <v>23</v>
      </c>
    </row>
    <row r="417" spans="1:16" x14ac:dyDescent="0.15">
      <c r="A417" s="27" t="str">
        <f t="shared" si="62"/>
        <v>12002_1_20</v>
      </c>
      <c r="B417" s="25" t="s">
        <v>34</v>
      </c>
      <c r="C417" s="4">
        <v>12002</v>
      </c>
      <c r="D417" s="3" t="str">
        <f ca="1">VLOOKUP($C417,OFFSET([1]quests!$A$1,0,0,COUNTA([1]quests!$A:$A),MATCH(D$1,[1]quests!$1:$1,0)-MATCH($C$1,[1]quests!$1:$1,0)+1),MATCH(D$1,[1]quests!$1:$1,0)-MATCH($C$1,[1]quests!$1:$1,0)+1,FALSE)</f>
        <v>【マルチ専用1/2】 アヒル捕獲作戦</v>
      </c>
      <c r="E417" s="3" t="str">
        <f ca="1">VLOOKUP($C417,OFFSET([1]quests!$A$1,0,0,COUNTA([1]quests!$A:$A),MATCH(E$1,[1]quests!$1:$1,0)-MATCH($C$1,[1]quests!$1:$1,0)+1),MATCH(E$1,[1]quests!$1:$1,0)-MATCH($C$1,[1]quests!$1:$1,0)+1,FALSE)</f>
        <v>ゲリラクエスト</v>
      </c>
      <c r="F417" s="5">
        <v>1</v>
      </c>
      <c r="G417" s="3" t="str">
        <f ca="1">VLOOKUP($C417&amp;"_"&amp;$F417,OFFSET([1]stages!$A$1,0,0,COUNTA([1]stages!$A:$A),MATCH(G$1,[1]stages!$2:$2,0)-MATCH("temp_stage",[1]stages!$2:$2,0)+1),MATCH(G$1,[1]stages!$2:$2,0)-MATCH("temp_stage",[1]stages!$2:$2,0)+1,FALSE)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7" s="3" t="str">
        <f ca="1">VLOOKUP($C417&amp;"_"&amp;$F417,OFFSET([1]stages!$A$1,0,0,COUNTA([1]stages!$A:$A),MATCH(H$1,[1]stages!$2:$2,0)-MATCH("temp_stage",[1]stages!$2:$2,0)+1),MATCH(H$1,[1]stages!$2:$2,0)-MATCH("temp_stage",[1]stages!$2:$2,0)+1,FALSE)</f>
        <v>ゲリラクエスト</v>
      </c>
      <c r="I417" s="18">
        <v>0</v>
      </c>
      <c r="J417" s="5">
        <f>COUNTIF(C$1:C417,C417)</f>
        <v>20</v>
      </c>
      <c r="K417" s="34">
        <v>24</v>
      </c>
      <c r="L417" s="5" t="s">
        <v>17</v>
      </c>
      <c r="M417" s="38" t="str">
        <f>VLOOKUP(K417,[2]stage_hints!$A:$C,3,FALSE)</f>
        <v>りんごを使って限界突破</v>
      </c>
      <c r="N417" s="39" t="str">
        <f>VLOOKUP(K417,[2]stage_hints!$A:$D,4,FALSE)</f>
        <v>赤りんご(攻撃力) 青りんご(回復力)
緑りんご(体力)をユニット強化に使うと
ステータスが限界突破します（計99個迄）</v>
      </c>
      <c r="O417" s="20" t="s">
        <v>24</v>
      </c>
      <c r="P417">
        <v>24</v>
      </c>
    </row>
    <row r="418" spans="1:16" x14ac:dyDescent="0.15">
      <c r="A418" s="27" t="str">
        <f t="shared" si="62"/>
        <v>12002_1_21</v>
      </c>
      <c r="B418" s="25" t="s">
        <v>34</v>
      </c>
      <c r="C418" s="4">
        <v>12002</v>
      </c>
      <c r="D418" s="3" t="str">
        <f ca="1">VLOOKUP($C418,OFFSET([1]quests!$A$1,0,0,COUNTA([1]quests!$A:$A),MATCH(D$1,[1]quests!$1:$1,0)-MATCH($C$1,[1]quests!$1:$1,0)+1),MATCH(D$1,[1]quests!$1:$1,0)-MATCH($C$1,[1]quests!$1:$1,0)+1,FALSE)</f>
        <v>【マルチ専用1/2】 アヒル捕獲作戦</v>
      </c>
      <c r="E418" s="3" t="str">
        <f ca="1">VLOOKUP($C418,OFFSET([1]quests!$A$1,0,0,COUNTA([1]quests!$A:$A),MATCH(E$1,[1]quests!$1:$1,0)-MATCH($C$1,[1]quests!$1:$1,0)+1),MATCH(E$1,[1]quests!$1:$1,0)-MATCH($C$1,[1]quests!$1:$1,0)+1,FALSE)</f>
        <v>ゲリラクエスト</v>
      </c>
      <c r="F418" s="5">
        <v>1</v>
      </c>
      <c r="G418" s="3" t="str">
        <f ca="1">VLOOKUP($C418&amp;"_"&amp;$F418,OFFSET([1]stages!$A$1,0,0,COUNTA([1]stages!$A:$A),MATCH(G$1,[1]stages!$2:$2,0)-MATCH("temp_stage",[1]stages!$2:$2,0)+1),MATCH(G$1,[1]stages!$2:$2,0)-MATCH("temp_stage",[1]stages!$2:$2,0)+1,FALSE)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8" s="3" t="str">
        <f ca="1">VLOOKUP($C418&amp;"_"&amp;$F418,OFFSET([1]stages!$A$1,0,0,COUNTA([1]stages!$A:$A),MATCH(H$1,[1]stages!$2:$2,0)-MATCH("temp_stage",[1]stages!$2:$2,0)+1),MATCH(H$1,[1]stages!$2:$2,0)-MATCH("temp_stage",[1]stages!$2:$2,0)+1,FALSE)</f>
        <v>ゲリラクエスト</v>
      </c>
      <c r="I418" s="18">
        <v>0</v>
      </c>
      <c r="J418" s="5">
        <f>COUNTIF(C$1:C418,C418)</f>
        <v>21</v>
      </c>
      <c r="K418" s="34">
        <v>25</v>
      </c>
      <c r="L418" s="5" t="s">
        <v>17</v>
      </c>
      <c r="M418" s="38" t="str">
        <f>VLOOKUP(K418,[2]stage_hints!$A:$C,3,FALSE)</f>
        <v>スキルレベルアップ</v>
      </c>
      <c r="N418" s="39" t="str">
        <f>VLOOKUP(K418,[2]stage_hints!$A:$D,4,FALSE)</f>
        <v>「クリスタルのりんご」を強化に使うと
スキルレベルを上げることができます</v>
      </c>
      <c r="O418" s="20" t="s">
        <v>24</v>
      </c>
      <c r="P418">
        <v>25</v>
      </c>
    </row>
    <row r="419" spans="1:16" x14ac:dyDescent="0.15">
      <c r="A419" s="27" t="str">
        <f t="shared" si="62"/>
        <v>12002_1_22</v>
      </c>
      <c r="B419" s="25" t="s">
        <v>34</v>
      </c>
      <c r="C419" s="4">
        <v>12002</v>
      </c>
      <c r="D419" s="3" t="str">
        <f ca="1">VLOOKUP($C419,OFFSET([1]quests!$A$1,0,0,COUNTA([1]quests!$A:$A),MATCH(D$1,[1]quests!$1:$1,0)-MATCH($C$1,[1]quests!$1:$1,0)+1),MATCH(D$1,[1]quests!$1:$1,0)-MATCH($C$1,[1]quests!$1:$1,0)+1,FALSE)</f>
        <v>【マルチ専用1/2】 アヒル捕獲作戦</v>
      </c>
      <c r="E419" s="3" t="str">
        <f ca="1">VLOOKUP($C419,OFFSET([1]quests!$A$1,0,0,COUNTA([1]quests!$A:$A),MATCH(E$1,[1]quests!$1:$1,0)-MATCH($C$1,[1]quests!$1:$1,0)+1),MATCH(E$1,[1]quests!$1:$1,0)-MATCH($C$1,[1]quests!$1:$1,0)+1,FALSE)</f>
        <v>ゲリラクエスト</v>
      </c>
      <c r="F419" s="5">
        <v>1</v>
      </c>
      <c r="G419" s="3" t="str">
        <f ca="1">VLOOKUP($C419&amp;"_"&amp;$F419,OFFSET([1]stages!$A$1,0,0,COUNTA([1]stages!$A:$A),MATCH(G$1,[1]stages!$2:$2,0)-MATCH("temp_stage",[1]stages!$2:$2,0)+1),MATCH(G$1,[1]stages!$2:$2,0)-MATCH("temp_stage",[1]stages!$2:$2,0)+1,FALSE)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19" s="3" t="str">
        <f ca="1">VLOOKUP($C419&amp;"_"&amp;$F419,OFFSET([1]stages!$A$1,0,0,COUNTA([1]stages!$A:$A),MATCH(H$1,[1]stages!$2:$2,0)-MATCH("temp_stage",[1]stages!$2:$2,0)+1),MATCH(H$1,[1]stages!$2:$2,0)-MATCH("temp_stage",[1]stages!$2:$2,0)+1,FALSE)</f>
        <v>ゲリラクエスト</v>
      </c>
      <c r="I419" s="18">
        <v>0</v>
      </c>
      <c r="J419" s="5">
        <f>COUNTIF(C$1:C419,C419)</f>
        <v>22</v>
      </c>
      <c r="K419" s="34">
        <v>26</v>
      </c>
      <c r="L419" s="5" t="s">
        <v>17</v>
      </c>
      <c r="M419" s="38" t="str">
        <f>VLOOKUP(K419,[2]stage_hints!$A:$C,3,FALSE)</f>
        <v>スキルレベルの効果</v>
      </c>
      <c r="N419" s="39" t="str">
        <f>VLOOKUP(K419,[2]stage_hints!$A:$D,4,FALSE)</f>
        <v>スキルレベルが上がると
短いターンでスキルを使うことができます</v>
      </c>
      <c r="O419" s="20" t="s">
        <v>24</v>
      </c>
      <c r="P419">
        <v>26</v>
      </c>
    </row>
    <row r="420" spans="1:16" x14ac:dyDescent="0.15">
      <c r="A420" s="27" t="str">
        <f t="shared" si="62"/>
        <v>12002_1_23</v>
      </c>
      <c r="B420" s="25" t="s">
        <v>34</v>
      </c>
      <c r="C420" s="4">
        <v>12002</v>
      </c>
      <c r="D420" s="3" t="str">
        <f ca="1">VLOOKUP($C420,OFFSET([1]quests!$A$1,0,0,COUNTA([1]quests!$A:$A),MATCH(D$1,[1]quests!$1:$1,0)-MATCH($C$1,[1]quests!$1:$1,0)+1),MATCH(D$1,[1]quests!$1:$1,0)-MATCH($C$1,[1]quests!$1:$1,0)+1,FALSE)</f>
        <v>【マルチ専用1/2】 アヒル捕獲作戦</v>
      </c>
      <c r="E420" s="3" t="str">
        <f ca="1">VLOOKUP($C420,OFFSET([1]quests!$A$1,0,0,COUNTA([1]quests!$A:$A),MATCH(E$1,[1]quests!$1:$1,0)-MATCH($C$1,[1]quests!$1:$1,0)+1),MATCH(E$1,[1]quests!$1:$1,0)-MATCH($C$1,[1]quests!$1:$1,0)+1,FALSE)</f>
        <v>ゲリラクエスト</v>
      </c>
      <c r="F420" s="5">
        <v>1</v>
      </c>
      <c r="G420" s="3" t="str">
        <f ca="1">VLOOKUP($C420&amp;"_"&amp;$F420,OFFSET([1]stages!$A$1,0,0,COUNTA([1]stages!$A:$A),MATCH(G$1,[1]stages!$2:$2,0)-MATCH("temp_stage",[1]stages!$2:$2,0)+1),MATCH(G$1,[1]stages!$2:$2,0)-MATCH("temp_stage",[1]stages!$2:$2,0)+1,FALSE)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0" s="3" t="str">
        <f ca="1">VLOOKUP($C420&amp;"_"&amp;$F420,OFFSET([1]stages!$A$1,0,0,COUNTA([1]stages!$A:$A),MATCH(H$1,[1]stages!$2:$2,0)-MATCH("temp_stage",[1]stages!$2:$2,0)+1),MATCH(H$1,[1]stages!$2:$2,0)-MATCH("temp_stage",[1]stages!$2:$2,0)+1,FALSE)</f>
        <v>ゲリラクエスト</v>
      </c>
      <c r="I420" s="18">
        <v>0</v>
      </c>
      <c r="J420" s="5">
        <f>COUNTIF(C$1:C420,C420)</f>
        <v>23</v>
      </c>
      <c r="K420" s="34">
        <v>27</v>
      </c>
      <c r="L420" s="5" t="s">
        <v>17</v>
      </c>
      <c r="M420" s="38" t="str">
        <f>VLOOKUP(K420,[2]stage_hints!$A:$C,3,FALSE)</f>
        <v>ホーム画面からデッキを編成</v>
      </c>
      <c r="N420" s="39" t="str">
        <f>VLOOKUP(K420,[2]stage_hints!$A:$D,4,FALSE)</f>
        <v>ホーム画面でユニットを長押しすると
すぐにパーティ編成に移動できます</v>
      </c>
      <c r="O420" s="20" t="s">
        <v>24</v>
      </c>
      <c r="P420">
        <v>27</v>
      </c>
    </row>
    <row r="421" spans="1:16" x14ac:dyDescent="0.15">
      <c r="A421" s="27" t="str">
        <f t="shared" si="62"/>
        <v>12002_1_24</v>
      </c>
      <c r="B421" s="25" t="s">
        <v>34</v>
      </c>
      <c r="C421" s="4">
        <v>12002</v>
      </c>
      <c r="D421" s="3" t="str">
        <f ca="1">VLOOKUP($C421,OFFSET([1]quests!$A$1,0,0,COUNTA([1]quests!$A:$A),MATCH(D$1,[1]quests!$1:$1,0)-MATCH($C$1,[1]quests!$1:$1,0)+1),MATCH(D$1,[1]quests!$1:$1,0)-MATCH($C$1,[1]quests!$1:$1,0)+1,FALSE)</f>
        <v>【マルチ専用1/2】 アヒル捕獲作戦</v>
      </c>
      <c r="E421" s="3" t="str">
        <f ca="1">VLOOKUP($C421,OFFSET([1]quests!$A$1,0,0,COUNTA([1]quests!$A:$A),MATCH(E$1,[1]quests!$1:$1,0)-MATCH($C$1,[1]quests!$1:$1,0)+1),MATCH(E$1,[1]quests!$1:$1,0)-MATCH($C$1,[1]quests!$1:$1,0)+1,FALSE)</f>
        <v>ゲリラクエスト</v>
      </c>
      <c r="F421" s="5">
        <v>1</v>
      </c>
      <c r="G421" s="3" t="str">
        <f ca="1">VLOOKUP($C421&amp;"_"&amp;$F421,OFFSET([1]stages!$A$1,0,0,COUNTA([1]stages!$A:$A),MATCH(G$1,[1]stages!$2:$2,0)-MATCH("temp_stage",[1]stages!$2:$2,0)+1),MATCH(G$1,[1]stages!$2:$2,0)-MATCH("temp_stage",[1]stages!$2:$2,0)+1,FALSE)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1" s="3" t="str">
        <f ca="1">VLOOKUP($C421&amp;"_"&amp;$F421,OFFSET([1]stages!$A$1,0,0,COUNTA([1]stages!$A:$A),MATCH(H$1,[1]stages!$2:$2,0)-MATCH("temp_stage",[1]stages!$2:$2,0)+1),MATCH(H$1,[1]stages!$2:$2,0)-MATCH("temp_stage",[1]stages!$2:$2,0)+1,FALSE)</f>
        <v>ゲリラクエスト</v>
      </c>
      <c r="I421" s="18">
        <v>0</v>
      </c>
      <c r="J421" s="5">
        <f>COUNTIF(C$1:C421,C421)</f>
        <v>24</v>
      </c>
      <c r="K421" s="34">
        <v>28</v>
      </c>
      <c r="L421" s="5" t="s">
        <v>17</v>
      </c>
      <c r="M421" s="38" t="str">
        <f>VLOOKUP(K421,[2]stage_hints!$A:$C,3,FALSE)</f>
        <v>ステータス情報は長押しで</v>
      </c>
      <c r="N421" s="39" t="str">
        <f>VLOOKUP(K421,[2]stage_hints!$A:$D,4,FALSE)</f>
        <v>ユニットのアイコンを長押しすると
ステータス情報を確認することができます</v>
      </c>
      <c r="O421" s="20" t="s">
        <v>24</v>
      </c>
      <c r="P421">
        <v>28</v>
      </c>
    </row>
    <row r="422" spans="1:16" x14ac:dyDescent="0.15">
      <c r="A422" s="27" t="str">
        <f t="shared" si="62"/>
        <v>12002_1_25</v>
      </c>
      <c r="B422" s="25" t="s">
        <v>34</v>
      </c>
      <c r="C422" s="4">
        <v>12002</v>
      </c>
      <c r="D422" s="3" t="str">
        <f ca="1">VLOOKUP($C422,OFFSET([1]quests!$A$1,0,0,COUNTA([1]quests!$A:$A),MATCH(D$1,[1]quests!$1:$1,0)-MATCH($C$1,[1]quests!$1:$1,0)+1),MATCH(D$1,[1]quests!$1:$1,0)-MATCH($C$1,[1]quests!$1:$1,0)+1,FALSE)</f>
        <v>【マルチ専用1/2】 アヒル捕獲作戦</v>
      </c>
      <c r="E422" s="3" t="str">
        <f ca="1">VLOOKUP($C422,OFFSET([1]quests!$A$1,0,0,COUNTA([1]quests!$A:$A),MATCH(E$1,[1]quests!$1:$1,0)-MATCH($C$1,[1]quests!$1:$1,0)+1),MATCH(E$1,[1]quests!$1:$1,0)-MATCH($C$1,[1]quests!$1:$1,0)+1,FALSE)</f>
        <v>ゲリラクエスト</v>
      </c>
      <c r="F422" s="5">
        <v>1</v>
      </c>
      <c r="G422" s="3" t="str">
        <f ca="1">VLOOKUP($C422&amp;"_"&amp;$F422,OFFSET([1]stages!$A$1,0,0,COUNTA([1]stages!$A:$A),MATCH(G$1,[1]stages!$2:$2,0)-MATCH("temp_stage",[1]stages!$2:$2,0)+1),MATCH(G$1,[1]stages!$2:$2,0)-MATCH("temp_stage",[1]stages!$2:$2,0)+1,FALSE)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2" s="3" t="str">
        <f ca="1">VLOOKUP($C422&amp;"_"&amp;$F422,OFFSET([1]stages!$A$1,0,0,COUNTA([1]stages!$A:$A),MATCH(H$1,[1]stages!$2:$2,0)-MATCH("temp_stage",[1]stages!$2:$2,0)+1),MATCH(H$1,[1]stages!$2:$2,0)-MATCH("temp_stage",[1]stages!$2:$2,0)+1,FALSE)</f>
        <v>ゲリラクエスト</v>
      </c>
      <c r="I422" s="18">
        <v>0</v>
      </c>
      <c r="J422" s="5">
        <f>COUNTIF(C$1:C422,C422)</f>
        <v>25</v>
      </c>
      <c r="K422" s="34">
        <v>29</v>
      </c>
      <c r="L422" s="5" t="s">
        <v>17</v>
      </c>
      <c r="M422" s="38" t="str">
        <f>VLOOKUP(K422,[2]stage_hints!$A:$C,3,FALSE)</f>
        <v>「バグ」のメリット</v>
      </c>
      <c r="N422" s="39" t="str">
        <f>VLOOKUP(K422,[2]stage_hints!$A:$D,4,FALSE)</f>
        <v>ユニットの「バグ」を増やすと
報酬をもらえる確率がアップします</v>
      </c>
      <c r="O422" s="20" t="s">
        <v>24</v>
      </c>
      <c r="P422">
        <v>29</v>
      </c>
    </row>
    <row r="423" spans="1:16" x14ac:dyDescent="0.15">
      <c r="A423" s="27" t="str">
        <f t="shared" ref="A423:A437" si="63">C423&amp;"_"&amp;F423&amp;"_"&amp;J423</f>
        <v>12002_1_26</v>
      </c>
      <c r="B423" s="25" t="s">
        <v>34</v>
      </c>
      <c r="C423" s="4">
        <v>12002</v>
      </c>
      <c r="D423" s="3" t="str">
        <f ca="1">VLOOKUP($C423,OFFSET([1]quests!$A$1,0,0,COUNTA([1]quests!$A:$A),MATCH(D$1,[1]quests!$1:$1,0)-MATCH($C$1,[1]quests!$1:$1,0)+1),MATCH(D$1,[1]quests!$1:$1,0)-MATCH($C$1,[1]quests!$1:$1,0)+1,FALSE)</f>
        <v>【マルチ専用1/2】 アヒル捕獲作戦</v>
      </c>
      <c r="E423" s="3" t="str">
        <f ca="1">VLOOKUP($C423,OFFSET([1]quests!$A$1,0,0,COUNTA([1]quests!$A:$A),MATCH(E$1,[1]quests!$1:$1,0)-MATCH($C$1,[1]quests!$1:$1,0)+1),MATCH(E$1,[1]quests!$1:$1,0)-MATCH($C$1,[1]quests!$1:$1,0)+1,FALSE)</f>
        <v>ゲリラクエスト</v>
      </c>
      <c r="F423" s="5">
        <v>1</v>
      </c>
      <c r="G423" s="3" t="str">
        <f ca="1">VLOOKUP($C423&amp;"_"&amp;$F423,OFFSET([1]stages!$A$1,0,0,COUNTA([1]stages!$A:$A),MATCH(G$1,[1]stages!$2:$2,0)-MATCH("temp_stage",[1]stages!$2:$2,0)+1),MATCH(G$1,[1]stages!$2:$2,0)-MATCH("temp_stage",[1]stages!$2:$2,0)+1,FALSE)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3" s="3" t="str">
        <f ca="1">VLOOKUP($C423&amp;"_"&amp;$F423,OFFSET([1]stages!$A$1,0,0,COUNTA([1]stages!$A:$A),MATCH(H$1,[1]stages!$2:$2,0)-MATCH("temp_stage",[1]stages!$2:$2,0)+1),MATCH(H$1,[1]stages!$2:$2,0)-MATCH("temp_stage",[1]stages!$2:$2,0)+1,FALSE)</f>
        <v>ゲリラクエスト</v>
      </c>
      <c r="I423" s="18">
        <v>0</v>
      </c>
      <c r="J423" s="5">
        <f>COUNTIF(C$1:C423,C423)</f>
        <v>26</v>
      </c>
      <c r="K423" s="34">
        <v>30</v>
      </c>
      <c r="L423" s="5" t="s">
        <v>17</v>
      </c>
      <c r="M423" s="38" t="str">
        <f>VLOOKUP(K423,[2]stage_hints!$A:$C,3,FALSE)</f>
        <v>「バグ」の増やし方</v>
      </c>
      <c r="N423" s="39" t="str">
        <f>VLOOKUP(K423,[2]stage_hints!$A:$D,4,FALSE)</f>
        <v>同じユニット同士を強化で合成すると
「バグ」を増やすことができます</v>
      </c>
      <c r="O423" s="20" t="s">
        <v>24</v>
      </c>
      <c r="P423">
        <v>30</v>
      </c>
    </row>
    <row r="424" spans="1:16" x14ac:dyDescent="0.15">
      <c r="A424" s="27" t="str">
        <f t="shared" si="63"/>
        <v>12002_1_27</v>
      </c>
      <c r="B424" s="25" t="s">
        <v>34</v>
      </c>
      <c r="C424" s="4">
        <v>12002</v>
      </c>
      <c r="D424" s="3" t="str">
        <f ca="1">VLOOKUP($C424,OFFSET([1]quests!$A$1,0,0,COUNTA([1]quests!$A:$A),MATCH(D$1,[1]quests!$1:$1,0)-MATCH($C$1,[1]quests!$1:$1,0)+1),MATCH(D$1,[1]quests!$1:$1,0)-MATCH($C$1,[1]quests!$1:$1,0)+1,FALSE)</f>
        <v>【マルチ専用1/2】 アヒル捕獲作戦</v>
      </c>
      <c r="E424" s="3" t="str">
        <f ca="1">VLOOKUP($C424,OFFSET([1]quests!$A$1,0,0,COUNTA([1]quests!$A:$A),MATCH(E$1,[1]quests!$1:$1,0)-MATCH($C$1,[1]quests!$1:$1,0)+1),MATCH(E$1,[1]quests!$1:$1,0)-MATCH($C$1,[1]quests!$1:$1,0)+1,FALSE)</f>
        <v>ゲリラクエスト</v>
      </c>
      <c r="F424" s="5">
        <v>1</v>
      </c>
      <c r="G424" s="3" t="str">
        <f ca="1">VLOOKUP($C424&amp;"_"&amp;$F424,OFFSET([1]stages!$A$1,0,0,COUNTA([1]stages!$A:$A),MATCH(G$1,[1]stages!$2:$2,0)-MATCH("temp_stage",[1]stages!$2:$2,0)+1),MATCH(G$1,[1]stages!$2:$2,0)-MATCH("temp_stage",[1]stages!$2:$2,0)+1,FALSE)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4" s="3" t="str">
        <f ca="1">VLOOKUP($C424&amp;"_"&amp;$F424,OFFSET([1]stages!$A$1,0,0,COUNTA([1]stages!$A:$A),MATCH(H$1,[1]stages!$2:$2,0)-MATCH("temp_stage",[1]stages!$2:$2,0)+1),MATCH(H$1,[1]stages!$2:$2,0)-MATCH("temp_stage",[1]stages!$2:$2,0)+1,FALSE)</f>
        <v>ゲリラクエスト</v>
      </c>
      <c r="I424" s="18">
        <v>0</v>
      </c>
      <c r="J424" s="5">
        <f>COUNTIF(C$1:C424,C424)</f>
        <v>27</v>
      </c>
      <c r="K424" s="34">
        <v>31</v>
      </c>
      <c r="L424" s="5" t="s">
        <v>17</v>
      </c>
      <c r="M424" s="38" t="str">
        <f>VLOOKUP(K424,[2]stage_hints!$A:$C,3,FALSE)</f>
        <v>イベントはお知らせでチェック</v>
      </c>
      <c r="N424" s="39" t="str">
        <f>VLOOKUP(K424,[2]stage_hints!$A:$D,4,FALSE)</f>
        <v>イベント限定ユニットを取り忘れないように
お知らせをこまめにチェックしましょう</v>
      </c>
      <c r="O424" s="20" t="s">
        <v>24</v>
      </c>
      <c r="P424">
        <v>31</v>
      </c>
    </row>
    <row r="425" spans="1:16" x14ac:dyDescent="0.15">
      <c r="A425" s="27" t="str">
        <f t="shared" si="63"/>
        <v>12002_1_28</v>
      </c>
      <c r="B425" s="25" t="s">
        <v>34</v>
      </c>
      <c r="C425" s="4">
        <v>12002</v>
      </c>
      <c r="D425" s="3" t="str">
        <f ca="1">VLOOKUP($C425,OFFSET([1]quests!$A$1,0,0,COUNTA([1]quests!$A:$A),MATCH(D$1,[1]quests!$1:$1,0)-MATCH($C$1,[1]quests!$1:$1,0)+1),MATCH(D$1,[1]quests!$1:$1,0)-MATCH($C$1,[1]quests!$1:$1,0)+1,FALSE)</f>
        <v>【マルチ専用1/2】 アヒル捕獲作戦</v>
      </c>
      <c r="E425" s="3" t="str">
        <f ca="1">VLOOKUP($C425,OFFSET([1]quests!$A$1,0,0,COUNTA([1]quests!$A:$A),MATCH(E$1,[1]quests!$1:$1,0)-MATCH($C$1,[1]quests!$1:$1,0)+1),MATCH(E$1,[1]quests!$1:$1,0)-MATCH($C$1,[1]quests!$1:$1,0)+1,FALSE)</f>
        <v>ゲリラクエスト</v>
      </c>
      <c r="F425" s="5">
        <v>1</v>
      </c>
      <c r="G425" s="3" t="str">
        <f ca="1">VLOOKUP($C425&amp;"_"&amp;$F425,OFFSET([1]stages!$A$1,0,0,COUNTA([1]stages!$A:$A),MATCH(G$1,[1]stages!$2:$2,0)-MATCH("temp_stage",[1]stages!$2:$2,0)+1),MATCH(G$1,[1]stages!$2:$2,0)-MATCH("temp_stage",[1]stages!$2:$2,0)+1,FALSE)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5" s="3" t="str">
        <f ca="1">VLOOKUP($C425&amp;"_"&amp;$F425,OFFSET([1]stages!$A$1,0,0,COUNTA([1]stages!$A:$A),MATCH(H$1,[1]stages!$2:$2,0)-MATCH("temp_stage",[1]stages!$2:$2,0)+1),MATCH(H$1,[1]stages!$2:$2,0)-MATCH("temp_stage",[1]stages!$2:$2,0)+1,FALSE)</f>
        <v>ゲリラクエスト</v>
      </c>
      <c r="I425" s="18">
        <v>0</v>
      </c>
      <c r="J425" s="5">
        <f>COUNTIF(C$1:C425,C425)</f>
        <v>28</v>
      </c>
      <c r="K425" s="34">
        <v>32</v>
      </c>
      <c r="L425" s="5" t="s">
        <v>17</v>
      </c>
      <c r="M425" s="38" t="str">
        <f>VLOOKUP(K425,[2]stage_hints!$A:$C,3,FALSE)</f>
        <v>敵の連続攻撃には</v>
      </c>
      <c r="N425" s="39" t="str">
        <f>VLOOKUP(K425,[2]stage_hints!$A:$D,4,FALSE)</f>
        <v>カウンタースキルを持つユニットがいれば
ダメージ回数分の反撃ができます</v>
      </c>
      <c r="O425" s="20" t="s">
        <v>24</v>
      </c>
      <c r="P425">
        <v>32</v>
      </c>
    </row>
    <row r="426" spans="1:16" x14ac:dyDescent="0.15">
      <c r="A426" s="27" t="str">
        <f t="shared" si="63"/>
        <v>12002_1_29</v>
      </c>
      <c r="B426" s="25" t="s">
        <v>34</v>
      </c>
      <c r="C426" s="4">
        <v>12002</v>
      </c>
      <c r="D426" s="3" t="str">
        <f ca="1">VLOOKUP($C426,OFFSET([1]quests!$A$1,0,0,COUNTA([1]quests!$A:$A),MATCH(D$1,[1]quests!$1:$1,0)-MATCH($C$1,[1]quests!$1:$1,0)+1),MATCH(D$1,[1]quests!$1:$1,0)-MATCH($C$1,[1]quests!$1:$1,0)+1,FALSE)</f>
        <v>【マルチ専用1/2】 アヒル捕獲作戦</v>
      </c>
      <c r="E426" s="3" t="str">
        <f ca="1">VLOOKUP($C426,OFFSET([1]quests!$A$1,0,0,COUNTA([1]quests!$A:$A),MATCH(E$1,[1]quests!$1:$1,0)-MATCH($C$1,[1]quests!$1:$1,0)+1),MATCH(E$1,[1]quests!$1:$1,0)-MATCH($C$1,[1]quests!$1:$1,0)+1,FALSE)</f>
        <v>ゲリラクエスト</v>
      </c>
      <c r="F426" s="5">
        <v>1</v>
      </c>
      <c r="G426" s="3" t="str">
        <f ca="1">VLOOKUP($C426&amp;"_"&amp;$F426,OFFSET([1]stages!$A$1,0,0,COUNTA([1]stages!$A:$A),MATCH(G$1,[1]stages!$2:$2,0)-MATCH("temp_stage",[1]stages!$2:$2,0)+1),MATCH(G$1,[1]stages!$2:$2,0)-MATCH("temp_stage",[1]stages!$2:$2,0)+1,FALSE)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6" s="3" t="str">
        <f ca="1">VLOOKUP($C426&amp;"_"&amp;$F426,OFFSET([1]stages!$A$1,0,0,COUNTA([1]stages!$A:$A),MATCH(H$1,[1]stages!$2:$2,0)-MATCH("temp_stage",[1]stages!$2:$2,0)+1),MATCH(H$1,[1]stages!$2:$2,0)-MATCH("temp_stage",[1]stages!$2:$2,0)+1,FALSE)</f>
        <v>ゲリラクエスト</v>
      </c>
      <c r="I426" s="18">
        <v>0</v>
      </c>
      <c r="J426" s="5">
        <f>COUNTIF(C$1:C426,C426)</f>
        <v>29</v>
      </c>
      <c r="K426" s="34">
        <v>33</v>
      </c>
      <c r="L426" s="5" t="s">
        <v>17</v>
      </c>
      <c r="M426" s="38" t="str">
        <f>VLOOKUP(K426,[2]stage_hints!$A:$C,3,FALSE)</f>
        <v>敵のカウンター攻撃には</v>
      </c>
      <c r="N426" s="39" t="str">
        <f>VLOOKUP(K426,[2]stage_hints!$A:$D,4,FALSE)</f>
        <v>カウンターブレイクスキルを持っていれば
敵のカウンターを解除して攻撃ができます</v>
      </c>
      <c r="O426" s="20" t="s">
        <v>24</v>
      </c>
      <c r="P426">
        <v>33</v>
      </c>
    </row>
    <row r="427" spans="1:16" x14ac:dyDescent="0.15">
      <c r="A427" s="27" t="str">
        <f t="shared" si="63"/>
        <v>12002_1_30</v>
      </c>
      <c r="B427" s="25" t="s">
        <v>34</v>
      </c>
      <c r="C427" s="4">
        <v>12002</v>
      </c>
      <c r="D427" s="3" t="str">
        <f ca="1">VLOOKUP($C427,OFFSET([1]quests!$A$1,0,0,COUNTA([1]quests!$A:$A),MATCH(D$1,[1]quests!$1:$1,0)-MATCH($C$1,[1]quests!$1:$1,0)+1),MATCH(D$1,[1]quests!$1:$1,0)-MATCH($C$1,[1]quests!$1:$1,0)+1,FALSE)</f>
        <v>【マルチ専用1/2】 アヒル捕獲作戦</v>
      </c>
      <c r="E427" s="3" t="str">
        <f ca="1">VLOOKUP($C427,OFFSET([1]quests!$A$1,0,0,COUNTA([1]quests!$A:$A),MATCH(E$1,[1]quests!$1:$1,0)-MATCH($C$1,[1]quests!$1:$1,0)+1),MATCH(E$1,[1]quests!$1:$1,0)-MATCH($C$1,[1]quests!$1:$1,0)+1,FALSE)</f>
        <v>ゲリラクエスト</v>
      </c>
      <c r="F427" s="5">
        <v>1</v>
      </c>
      <c r="G427" s="3" t="str">
        <f ca="1">VLOOKUP($C427&amp;"_"&amp;$F427,OFFSET([1]stages!$A$1,0,0,COUNTA([1]stages!$A:$A),MATCH(G$1,[1]stages!$2:$2,0)-MATCH("temp_stage",[1]stages!$2:$2,0)+1),MATCH(G$1,[1]stages!$2:$2,0)-MATCH("temp_stage",[1]stages!$2:$2,0)+1,FALSE)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7" s="3" t="str">
        <f ca="1">VLOOKUP($C427&amp;"_"&amp;$F427,OFFSET([1]stages!$A$1,0,0,COUNTA([1]stages!$A:$A),MATCH(H$1,[1]stages!$2:$2,0)-MATCH("temp_stage",[1]stages!$2:$2,0)+1),MATCH(H$1,[1]stages!$2:$2,0)-MATCH("temp_stage",[1]stages!$2:$2,0)+1,FALSE)</f>
        <v>ゲリラクエスト</v>
      </c>
      <c r="I427" s="18">
        <v>0</v>
      </c>
      <c r="J427" s="5">
        <f>COUNTIF(C$1:C427,C427)</f>
        <v>30</v>
      </c>
      <c r="K427" s="34">
        <v>34</v>
      </c>
      <c r="L427" s="5" t="s">
        <v>17</v>
      </c>
      <c r="M427" s="38" t="str">
        <f>VLOOKUP(K427,[2]stage_hints!$A:$C,3,FALSE)</f>
        <v>ステータスをスキルで下げられたら</v>
      </c>
      <c r="N427" s="39" t="str">
        <f>VLOOKUP(K427,[2]stage_hints!$A:$D,4,FALSE)</f>
        <v>ステータスダウンのスキルを受けたら
ステータスアップスキルで上書きしましょう</v>
      </c>
      <c r="O427" s="20" t="s">
        <v>24</v>
      </c>
      <c r="P427">
        <v>34</v>
      </c>
    </row>
    <row r="428" spans="1:16" x14ac:dyDescent="0.15">
      <c r="A428" s="27" t="str">
        <f t="shared" si="63"/>
        <v>12002_1_31</v>
      </c>
      <c r="B428" s="25" t="s">
        <v>34</v>
      </c>
      <c r="C428" s="4">
        <v>12002</v>
      </c>
      <c r="D428" s="3" t="str">
        <f ca="1">VLOOKUP($C428,OFFSET([1]quests!$A$1,0,0,COUNTA([1]quests!$A:$A),MATCH(D$1,[1]quests!$1:$1,0)-MATCH($C$1,[1]quests!$1:$1,0)+1),MATCH(D$1,[1]quests!$1:$1,0)-MATCH($C$1,[1]quests!$1:$1,0)+1,FALSE)</f>
        <v>【マルチ専用1/2】 アヒル捕獲作戦</v>
      </c>
      <c r="E428" s="3" t="str">
        <f ca="1">VLOOKUP($C428,OFFSET([1]quests!$A$1,0,0,COUNTA([1]quests!$A:$A),MATCH(E$1,[1]quests!$1:$1,0)-MATCH($C$1,[1]quests!$1:$1,0)+1),MATCH(E$1,[1]quests!$1:$1,0)-MATCH($C$1,[1]quests!$1:$1,0)+1,FALSE)</f>
        <v>ゲリラクエスト</v>
      </c>
      <c r="F428" s="5">
        <v>1</v>
      </c>
      <c r="G428" s="3" t="str">
        <f ca="1">VLOOKUP($C428&amp;"_"&amp;$F428,OFFSET([1]stages!$A$1,0,0,COUNTA([1]stages!$A:$A),MATCH(G$1,[1]stages!$2:$2,0)-MATCH("temp_stage",[1]stages!$2:$2,0)+1),MATCH(G$1,[1]stages!$2:$2,0)-MATCH("temp_stage",[1]stages!$2:$2,0)+1,FALSE)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8" s="3" t="str">
        <f ca="1">VLOOKUP($C428&amp;"_"&amp;$F428,OFFSET([1]stages!$A$1,0,0,COUNTA([1]stages!$A:$A),MATCH(H$1,[1]stages!$2:$2,0)-MATCH("temp_stage",[1]stages!$2:$2,0)+1),MATCH(H$1,[1]stages!$2:$2,0)-MATCH("temp_stage",[1]stages!$2:$2,0)+1,FALSE)</f>
        <v>ゲリラクエスト</v>
      </c>
      <c r="I428" s="18">
        <v>0</v>
      </c>
      <c r="J428" s="5">
        <f>COUNTIF(C$1:C428,C428)</f>
        <v>31</v>
      </c>
      <c r="K428" s="34">
        <v>35</v>
      </c>
      <c r="L428" s="5" t="s">
        <v>17</v>
      </c>
      <c r="M428" s="38" t="str">
        <f>VLOOKUP(K428,[2]stage_hints!$A:$C,3,FALSE)</f>
        <v>敵のステータスがスキルで上がったら</v>
      </c>
      <c r="N428" s="39" t="str">
        <f>VLOOKUP(K428,[2]stage_hints!$A:$D,4,FALSE)</f>
        <v>敵のステータスがスキルでアップしたときは
ステータスダウンスキルで上書きしましょう</v>
      </c>
      <c r="O428" s="20" t="s">
        <v>24</v>
      </c>
      <c r="P428">
        <v>35</v>
      </c>
    </row>
    <row r="429" spans="1:16" x14ac:dyDescent="0.15">
      <c r="A429" s="27" t="str">
        <f t="shared" si="63"/>
        <v>12002_1_32</v>
      </c>
      <c r="B429" s="25" t="s">
        <v>34</v>
      </c>
      <c r="C429" s="4">
        <v>12002</v>
      </c>
      <c r="D429" s="3" t="str">
        <f ca="1">VLOOKUP($C429,OFFSET([1]quests!$A$1,0,0,COUNTA([1]quests!$A:$A),MATCH(D$1,[1]quests!$1:$1,0)-MATCH($C$1,[1]quests!$1:$1,0)+1),MATCH(D$1,[1]quests!$1:$1,0)-MATCH($C$1,[1]quests!$1:$1,0)+1,FALSE)</f>
        <v>【マルチ専用1/2】 アヒル捕獲作戦</v>
      </c>
      <c r="E429" s="3" t="str">
        <f ca="1">VLOOKUP($C429,OFFSET([1]quests!$A$1,0,0,COUNTA([1]quests!$A:$A),MATCH(E$1,[1]quests!$1:$1,0)-MATCH($C$1,[1]quests!$1:$1,0)+1),MATCH(E$1,[1]quests!$1:$1,0)-MATCH($C$1,[1]quests!$1:$1,0)+1,FALSE)</f>
        <v>ゲリラクエスト</v>
      </c>
      <c r="F429" s="5">
        <v>1</v>
      </c>
      <c r="G429" s="3" t="str">
        <f ca="1">VLOOKUP($C429&amp;"_"&amp;$F429,OFFSET([1]stages!$A$1,0,0,COUNTA([1]stages!$A:$A),MATCH(G$1,[1]stages!$2:$2,0)-MATCH("temp_stage",[1]stages!$2:$2,0)+1),MATCH(G$1,[1]stages!$2:$2,0)-MATCH("temp_stage",[1]stages!$2:$2,0)+1,FALSE)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29" s="3" t="str">
        <f ca="1">VLOOKUP($C429&amp;"_"&amp;$F429,OFFSET([1]stages!$A$1,0,0,COUNTA([1]stages!$A:$A),MATCH(H$1,[1]stages!$2:$2,0)-MATCH("temp_stage",[1]stages!$2:$2,0)+1),MATCH(H$1,[1]stages!$2:$2,0)-MATCH("temp_stage",[1]stages!$2:$2,0)+1,FALSE)</f>
        <v>ゲリラクエスト</v>
      </c>
      <c r="I429" s="18">
        <v>0</v>
      </c>
      <c r="J429" s="5">
        <f>COUNTIF(C$1:C429,C429)</f>
        <v>32</v>
      </c>
      <c r="K429" s="34">
        <v>36</v>
      </c>
      <c r="L429" s="5" t="s">
        <v>17</v>
      </c>
      <c r="M429" s="38" t="str">
        <f>VLOOKUP(K429,[2]stage_hints!$A:$C,3,FALSE)</f>
        <v>チャレンジタワーのボス</v>
      </c>
      <c r="N429" s="39" t="str">
        <f>VLOOKUP(K429,[2]stage_hints!$A:$D,4,FALSE)</f>
        <v>チャレンジタワーでのみ登場するボスは
一定確率で獲得することができます</v>
      </c>
      <c r="O429" s="20" t="s">
        <v>24</v>
      </c>
      <c r="P429">
        <v>36</v>
      </c>
    </row>
    <row r="430" spans="1:16" x14ac:dyDescent="0.15">
      <c r="A430" s="27" t="str">
        <f t="shared" si="63"/>
        <v>12002_1_33</v>
      </c>
      <c r="B430" s="25" t="s">
        <v>34</v>
      </c>
      <c r="C430" s="4">
        <v>12002</v>
      </c>
      <c r="D430" s="3" t="str">
        <f ca="1">VLOOKUP($C430,OFFSET([1]quests!$A$1,0,0,COUNTA([1]quests!$A:$A),MATCH(D$1,[1]quests!$1:$1,0)-MATCH($C$1,[1]quests!$1:$1,0)+1),MATCH(D$1,[1]quests!$1:$1,0)-MATCH($C$1,[1]quests!$1:$1,0)+1,FALSE)</f>
        <v>【マルチ専用1/2】 アヒル捕獲作戦</v>
      </c>
      <c r="E430" s="3" t="str">
        <f ca="1">VLOOKUP($C430,OFFSET([1]quests!$A$1,0,0,COUNTA([1]quests!$A:$A),MATCH(E$1,[1]quests!$1:$1,0)-MATCH($C$1,[1]quests!$1:$1,0)+1),MATCH(E$1,[1]quests!$1:$1,0)-MATCH($C$1,[1]quests!$1:$1,0)+1,FALSE)</f>
        <v>ゲリラクエスト</v>
      </c>
      <c r="F430" s="5">
        <v>1</v>
      </c>
      <c r="G430" s="3" t="str">
        <f ca="1">VLOOKUP($C430&amp;"_"&amp;$F430,OFFSET([1]stages!$A$1,0,0,COUNTA([1]stages!$A:$A),MATCH(G$1,[1]stages!$2:$2,0)-MATCH("temp_stage",[1]stages!$2:$2,0)+1),MATCH(G$1,[1]stages!$2:$2,0)-MATCH("temp_stage",[1]stages!$2:$2,0)+1,FALSE)</f>
        <v>【上級】メタルダックを捕獲せよ！</v>
      </c>
      <c r="H430" s="3" t="str">
        <f ca="1">VLOOKUP($C430&amp;"_"&amp;$F430,OFFSET([1]stages!$A$1,0,0,COUNTA([1]stages!$A:$A),MATCH(H$1,[1]stages!$2:$2,0)-MATCH("temp_stage",[1]stages!$2:$2,0)+1),MATCH(H$1,[1]stages!$2:$2,0)-MATCH("temp_stage",[1]stages!$2:$2,0)+1,FALSE)</f>
        <v>ゲリラクエスト</v>
      </c>
      <c r="I430" s="18">
        <v>0</v>
      </c>
      <c r="J430" s="5">
        <f>COUNTIF(C$1:C430,C430)</f>
        <v>33</v>
      </c>
      <c r="K430" s="34">
        <v>37</v>
      </c>
      <c r="L430" s="5" t="s">
        <v>17</v>
      </c>
      <c r="M430" s="38" t="str">
        <f>VLOOKUP(K430,[2]stage_hints!$A:$C,3,FALSE)</f>
        <v>限界突破値の引き継ぎ</v>
      </c>
      <c r="N430" s="39" t="str">
        <f>VLOOKUP(K430,[2]stage_hints!$A:$D,4,FALSE)</f>
        <v>同じユニットを強化で合成すると
限界突破値を引き継げます（覚醒前後も可）</v>
      </c>
      <c r="O430" s="20" t="s">
        <v>24</v>
      </c>
      <c r="P430">
        <v>37</v>
      </c>
    </row>
    <row r="431" spans="1:16" x14ac:dyDescent="0.15">
      <c r="A431" s="27" t="str">
        <f t="shared" si="63"/>
        <v>20001_3_1</v>
      </c>
      <c r="B431" s="25" t="s">
        <v>34</v>
      </c>
      <c r="C431" s="4">
        <v>20001</v>
      </c>
      <c r="D431" s="3" t="str">
        <f ca="1">VLOOKUP($C431,OFFSET([1]quests!$A$1,0,0,COUNTA([1]quests!$A:$A),MATCH(D$1,[1]quests!$1:$1,0)-MATCH($C$1,[1]quests!$1:$1,0)+1),MATCH(D$1,[1]quests!$1:$1,0)-MATCH($C$1,[1]quests!$1:$1,0)+1,FALSE)</f>
        <v>紅き執行者</v>
      </c>
      <c r="E431" s="3" t="str">
        <f ca="1">VLOOKUP($C431,OFFSET([1]quests!$A$1,0,0,COUNTA([1]quests!$A:$A),MATCH(E$1,[1]quests!$1:$1,0)-MATCH($C$1,[1]quests!$1:$1,0)+1),MATCH(E$1,[1]quests!$1:$1,0)-MATCH($C$1,[1]quests!$1:$1,0)+1,FALSE)</f>
        <v>ドロップイベント1-1</v>
      </c>
      <c r="F431" s="5">
        <v>3</v>
      </c>
      <c r="G431" s="3" t="str">
        <f ca="1">VLOOKUP($C431&amp;"_"&amp;$F431,OFFSET([1]stages!$A$1,0,0,COUNTA([1]stages!$A:$A),MATCH(G$1,[1]stages!$2:$2,0)-MATCH("temp_stage",[1]stages!$2:$2,0)+1),MATCH(G$1,[1]stages!$2:$2,0)-MATCH("temp_stage",[1]stages!$2:$2,0)+1,FALSE)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31" s="3" t="str">
        <f ca="1">VLOOKUP($C431&amp;"_"&amp;$F431,OFFSET([1]stages!$A$1,0,0,COUNTA([1]stages!$A:$A),MATCH(H$1,[1]stages!$2:$2,0)-MATCH("temp_stage",[1]stages!$2:$2,0)+1),MATCH(H$1,[1]stages!$2:$2,0)-MATCH("temp_stage",[1]stages!$2:$2,0)+1,FALSE)</f>
        <v>ドロップイベント1-1</v>
      </c>
      <c r="I431" s="18">
        <v>0</v>
      </c>
      <c r="J431" s="5">
        <f>COUNTIF(C$1:C431,C431)</f>
        <v>1</v>
      </c>
      <c r="K431" s="34">
        <v>3</v>
      </c>
      <c r="L431" s="5" t="s">
        <v>17</v>
      </c>
      <c r="M431" s="38" t="str">
        <f>VLOOKUP(K431,[2]stage_hints!$A:$C,3,FALSE)</f>
        <v>ターゲット</v>
      </c>
      <c r="N431" s="39" t="str">
        <f>VLOOKUP(K431,[2]stage_hints!$A:$D,4,FALSE)</f>
        <v>敵ユニットをタップすると
その敵を狙い撃ちできます</v>
      </c>
      <c r="O431" s="20" t="s">
        <v>24</v>
      </c>
      <c r="P431">
        <v>3</v>
      </c>
    </row>
    <row r="432" spans="1:16" x14ac:dyDescent="0.15">
      <c r="A432" s="27" t="str">
        <f t="shared" si="63"/>
        <v>20001_3_2</v>
      </c>
      <c r="B432" s="25" t="s">
        <v>34</v>
      </c>
      <c r="C432" s="4">
        <v>20001</v>
      </c>
      <c r="D432" s="3" t="str">
        <f ca="1">VLOOKUP($C432,OFFSET([1]quests!$A$1,0,0,COUNTA([1]quests!$A:$A),MATCH(D$1,[1]quests!$1:$1,0)-MATCH($C$1,[1]quests!$1:$1,0)+1),MATCH(D$1,[1]quests!$1:$1,0)-MATCH($C$1,[1]quests!$1:$1,0)+1,FALSE)</f>
        <v>紅き執行者</v>
      </c>
      <c r="E432" s="3" t="str">
        <f ca="1">VLOOKUP($C432,OFFSET([1]quests!$A$1,0,0,COUNTA([1]quests!$A:$A),MATCH(E$1,[1]quests!$1:$1,0)-MATCH($C$1,[1]quests!$1:$1,0)+1),MATCH(E$1,[1]quests!$1:$1,0)-MATCH($C$1,[1]quests!$1:$1,0)+1,FALSE)</f>
        <v>ドロップイベント1-1</v>
      </c>
      <c r="F432" s="5">
        <v>3</v>
      </c>
      <c r="G432" s="3" t="str">
        <f ca="1">VLOOKUP($C432&amp;"_"&amp;$F432,OFFSET([1]stages!$A$1,0,0,COUNTA([1]stages!$A:$A),MATCH(G$1,[1]stages!$2:$2,0)-MATCH("temp_stage",[1]stages!$2:$2,0)+1),MATCH(G$1,[1]stages!$2:$2,0)-MATCH("temp_stage",[1]stages!$2:$2,0)+1,FALSE)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32" s="3" t="str">
        <f ca="1">VLOOKUP($C432&amp;"_"&amp;$F432,OFFSET([1]stages!$A$1,0,0,COUNTA([1]stages!$A:$A),MATCH(H$1,[1]stages!$2:$2,0)-MATCH("temp_stage",[1]stages!$2:$2,0)+1),MATCH(H$1,[1]stages!$2:$2,0)-MATCH("temp_stage",[1]stages!$2:$2,0)+1,FALSE)</f>
        <v>ドロップイベント1-1</v>
      </c>
      <c r="I432" s="18">
        <v>0</v>
      </c>
      <c r="J432" s="5">
        <f>COUNTIF(C$1:C432,C432)</f>
        <v>2</v>
      </c>
      <c r="K432" s="34">
        <v>6</v>
      </c>
      <c r="L432" s="5" t="s">
        <v>17</v>
      </c>
      <c r="M432" s="38" t="str">
        <f>VLOOKUP(K432,[2]stage_hints!$A:$C,3,FALSE)</f>
        <v>ユニット強化の属性ボーナス</v>
      </c>
      <c r="N432" s="39" t="str">
        <f>VLOOKUP(K432,[2]stage_hints!$A:$D,4,FALSE)</f>
        <v>同属性ユニットを強化素材にすると
経験値が多くもらえます</v>
      </c>
      <c r="O432" s="20" t="s">
        <v>24</v>
      </c>
      <c r="P432">
        <v>6</v>
      </c>
    </row>
    <row r="433" spans="1:16" x14ac:dyDescent="0.15">
      <c r="A433" s="27" t="str">
        <f t="shared" si="63"/>
        <v>20001_3_3</v>
      </c>
      <c r="B433" s="25" t="s">
        <v>34</v>
      </c>
      <c r="C433" s="4">
        <v>20001</v>
      </c>
      <c r="D433" s="3" t="str">
        <f ca="1">VLOOKUP($C433,OFFSET([1]quests!$A$1,0,0,COUNTA([1]quests!$A:$A),MATCH(D$1,[1]quests!$1:$1,0)-MATCH($C$1,[1]quests!$1:$1,0)+1),MATCH(D$1,[1]quests!$1:$1,0)-MATCH($C$1,[1]quests!$1:$1,0)+1,FALSE)</f>
        <v>紅き執行者</v>
      </c>
      <c r="E433" s="3" t="str">
        <f ca="1">VLOOKUP($C433,OFFSET([1]quests!$A$1,0,0,COUNTA([1]quests!$A:$A),MATCH(E$1,[1]quests!$1:$1,0)-MATCH($C$1,[1]quests!$1:$1,0)+1),MATCH(E$1,[1]quests!$1:$1,0)-MATCH($C$1,[1]quests!$1:$1,0)+1,FALSE)</f>
        <v>ドロップイベント1-1</v>
      </c>
      <c r="F433" s="5">
        <v>3</v>
      </c>
      <c r="G433" s="3" t="str">
        <f ca="1">VLOOKUP($C433&amp;"_"&amp;$F433,OFFSET([1]stages!$A$1,0,0,COUNTA([1]stages!$A:$A),MATCH(G$1,[1]stages!$2:$2,0)-MATCH("temp_stage",[1]stages!$2:$2,0)+1),MATCH(G$1,[1]stages!$2:$2,0)-MATCH("temp_stage",[1]stages!$2:$2,0)+1,FALSE)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33" s="3" t="str">
        <f ca="1">VLOOKUP($C433&amp;"_"&amp;$F433,OFFSET([1]stages!$A$1,0,0,COUNTA([1]stages!$A:$A),MATCH(H$1,[1]stages!$2:$2,0)-MATCH("temp_stage",[1]stages!$2:$2,0)+1),MATCH(H$1,[1]stages!$2:$2,0)-MATCH("temp_stage",[1]stages!$2:$2,0)+1,FALSE)</f>
        <v>ドロップイベント1-1</v>
      </c>
      <c r="I433" s="18">
        <v>0</v>
      </c>
      <c r="J433" s="5">
        <f>COUNTIF(C$1:C433,C433)</f>
        <v>3</v>
      </c>
      <c r="K433" s="34">
        <v>7</v>
      </c>
      <c r="L433" s="5" t="s">
        <v>17</v>
      </c>
      <c r="M433" s="38" t="str">
        <f>VLOOKUP(K433,[2]stage_hints!$A:$C,3,FALSE)</f>
        <v>メタルダックで経験値を獲得</v>
      </c>
      <c r="N433" s="39" t="str">
        <f>VLOOKUP(K433,[2]stage_hints!$A:$D,4,FALSE)</f>
        <v>「メタルなアヒル」を強化素材にすると
大量の経験値がもらえます</v>
      </c>
      <c r="O433" s="20" t="s">
        <v>24</v>
      </c>
      <c r="P433">
        <v>7</v>
      </c>
    </row>
    <row r="434" spans="1:16" x14ac:dyDescent="0.15">
      <c r="A434" s="27" t="str">
        <f t="shared" si="63"/>
        <v>20001_3_4</v>
      </c>
      <c r="B434" s="25" t="s">
        <v>34</v>
      </c>
      <c r="C434" s="4">
        <v>20001</v>
      </c>
      <c r="D434" s="3" t="str">
        <f ca="1">VLOOKUP($C434,OFFSET([1]quests!$A$1,0,0,COUNTA([1]quests!$A:$A),MATCH(D$1,[1]quests!$1:$1,0)-MATCH($C$1,[1]quests!$1:$1,0)+1),MATCH(D$1,[1]quests!$1:$1,0)-MATCH($C$1,[1]quests!$1:$1,0)+1,FALSE)</f>
        <v>紅き執行者</v>
      </c>
      <c r="E434" s="3" t="str">
        <f ca="1">VLOOKUP($C434,OFFSET([1]quests!$A$1,0,0,COUNTA([1]quests!$A:$A),MATCH(E$1,[1]quests!$1:$1,0)-MATCH($C$1,[1]quests!$1:$1,0)+1),MATCH(E$1,[1]quests!$1:$1,0)-MATCH($C$1,[1]quests!$1:$1,0)+1,FALSE)</f>
        <v>ドロップイベント1-1</v>
      </c>
      <c r="F434" s="5">
        <v>3</v>
      </c>
      <c r="G434" s="3" t="str">
        <f ca="1">VLOOKUP($C434&amp;"_"&amp;$F434,OFFSET([1]stages!$A$1,0,0,COUNTA([1]stages!$A:$A),MATCH(G$1,[1]stages!$2:$2,0)-MATCH("temp_stage",[1]stages!$2:$2,0)+1),MATCH(G$1,[1]stages!$2:$2,0)-MATCH("temp_stage",[1]stages!$2:$2,0)+1,FALSE)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34" s="3" t="str">
        <f ca="1">VLOOKUP($C434&amp;"_"&amp;$F434,OFFSET([1]stages!$A$1,0,0,COUNTA([1]stages!$A:$A),MATCH(H$1,[1]stages!$2:$2,0)-MATCH("temp_stage",[1]stages!$2:$2,0)+1),MATCH(H$1,[1]stages!$2:$2,0)-MATCH("temp_stage",[1]stages!$2:$2,0)+1,FALSE)</f>
        <v>ドロップイベント1-1</v>
      </c>
      <c r="I434" s="18">
        <v>0</v>
      </c>
      <c r="J434" s="5">
        <f>COUNTIF(C$1:C434,C434)</f>
        <v>4</v>
      </c>
      <c r="K434" s="34">
        <v>8</v>
      </c>
      <c r="L434" s="5" t="s">
        <v>17</v>
      </c>
      <c r="M434" s="38" t="str">
        <f>VLOOKUP(K434,[2]stage_hints!$A:$C,3,FALSE)</f>
        <v>ゲリラクエストは要チェック</v>
      </c>
      <c r="N434" s="39" t="str">
        <f>VLOOKUP(K434,[2]stage_hints!$A:$D,4,FALSE)</f>
        <v>時間限定の「アヒル捕獲作戦」では
経験値素材ユニットが多く手に入ります</v>
      </c>
      <c r="O434" s="20" t="s">
        <v>24</v>
      </c>
      <c r="P434">
        <v>8</v>
      </c>
    </row>
    <row r="435" spans="1:16" x14ac:dyDescent="0.15">
      <c r="A435" s="27" t="str">
        <f t="shared" si="63"/>
        <v>20001_3_5</v>
      </c>
      <c r="B435" s="25" t="s">
        <v>34</v>
      </c>
      <c r="C435" s="4">
        <v>20001</v>
      </c>
      <c r="D435" s="3" t="str">
        <f ca="1">VLOOKUP($C435,OFFSET([1]quests!$A$1,0,0,COUNTA([1]quests!$A:$A),MATCH(D$1,[1]quests!$1:$1,0)-MATCH($C$1,[1]quests!$1:$1,0)+1),MATCH(D$1,[1]quests!$1:$1,0)-MATCH($C$1,[1]quests!$1:$1,0)+1,FALSE)</f>
        <v>紅き執行者</v>
      </c>
      <c r="E435" s="3" t="str">
        <f ca="1">VLOOKUP($C435,OFFSET([1]quests!$A$1,0,0,COUNTA([1]quests!$A:$A),MATCH(E$1,[1]quests!$1:$1,0)-MATCH($C$1,[1]quests!$1:$1,0)+1),MATCH(E$1,[1]quests!$1:$1,0)-MATCH($C$1,[1]quests!$1:$1,0)+1,FALSE)</f>
        <v>ドロップイベント1-1</v>
      </c>
      <c r="F435" s="5">
        <v>3</v>
      </c>
      <c r="G435" s="3" t="str">
        <f ca="1">VLOOKUP($C435&amp;"_"&amp;$F435,OFFSET([1]stages!$A$1,0,0,COUNTA([1]stages!$A:$A),MATCH(G$1,[1]stages!$2:$2,0)-MATCH("temp_stage",[1]stages!$2:$2,0)+1),MATCH(G$1,[1]stages!$2:$2,0)-MATCH("temp_stage",[1]stages!$2:$2,0)+1,FALSE)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35" s="3" t="str">
        <f ca="1">VLOOKUP($C435&amp;"_"&amp;$F435,OFFSET([1]stages!$A$1,0,0,COUNTA([1]stages!$A:$A),MATCH(H$1,[1]stages!$2:$2,0)-MATCH("temp_stage",[1]stages!$2:$2,0)+1),MATCH(H$1,[1]stages!$2:$2,0)-MATCH("temp_stage",[1]stages!$2:$2,0)+1,FALSE)</f>
        <v>ドロップイベント1-1</v>
      </c>
      <c r="I435" s="18">
        <v>0</v>
      </c>
      <c r="J435" s="5">
        <f>COUNTIF(C$1:C435,C435)</f>
        <v>5</v>
      </c>
      <c r="K435" s="34">
        <v>9</v>
      </c>
      <c r="L435" s="5" t="s">
        <v>17</v>
      </c>
      <c r="M435" s="38" t="str">
        <f>VLOOKUP(K435,[2]stage_hints!$A:$C,3,FALSE)</f>
        <v>ゴールドダックでビットを獲得</v>
      </c>
      <c r="N435" s="39" t="str">
        <f>VLOOKUP(K435,[2]stage_hints!$A:$D,4,FALSE)</f>
        <v>「ゴールドなアヒル」を売却すると
大量のビットがもらえます</v>
      </c>
      <c r="O435" s="20" t="s">
        <v>24</v>
      </c>
      <c r="P435">
        <v>9</v>
      </c>
    </row>
    <row r="436" spans="1:16" x14ac:dyDescent="0.15">
      <c r="A436" s="27" t="str">
        <f t="shared" si="63"/>
        <v>20001_3_6</v>
      </c>
      <c r="B436" s="25" t="s">
        <v>34</v>
      </c>
      <c r="C436" s="4">
        <v>20001</v>
      </c>
      <c r="D436" s="3" t="str">
        <f ca="1">VLOOKUP($C436,OFFSET([1]quests!$A$1,0,0,COUNTA([1]quests!$A:$A),MATCH(D$1,[1]quests!$1:$1,0)-MATCH($C$1,[1]quests!$1:$1,0)+1),MATCH(D$1,[1]quests!$1:$1,0)-MATCH($C$1,[1]quests!$1:$1,0)+1,FALSE)</f>
        <v>紅き執行者</v>
      </c>
      <c r="E436" s="3" t="str">
        <f ca="1">VLOOKUP($C436,OFFSET([1]quests!$A$1,0,0,COUNTA([1]quests!$A:$A),MATCH(E$1,[1]quests!$1:$1,0)-MATCH($C$1,[1]quests!$1:$1,0)+1),MATCH(E$1,[1]quests!$1:$1,0)-MATCH($C$1,[1]quests!$1:$1,0)+1,FALSE)</f>
        <v>ドロップイベント1-1</v>
      </c>
      <c r="F436" s="5">
        <v>3</v>
      </c>
      <c r="G436" s="3" t="str">
        <f ca="1">VLOOKUP($C436&amp;"_"&amp;$F436,OFFSET([1]stages!$A$1,0,0,COUNTA([1]stages!$A:$A),MATCH(G$1,[1]stages!$2:$2,0)-MATCH("temp_stage",[1]stages!$2:$2,0)+1),MATCH(G$1,[1]stages!$2:$2,0)-MATCH("temp_stage",[1]stages!$2:$2,0)+1,FALSE)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36" s="3" t="str">
        <f ca="1">VLOOKUP($C436&amp;"_"&amp;$F436,OFFSET([1]stages!$A$1,0,0,COUNTA([1]stages!$A:$A),MATCH(H$1,[1]stages!$2:$2,0)-MATCH("temp_stage",[1]stages!$2:$2,0)+1),MATCH(H$1,[1]stages!$2:$2,0)-MATCH("temp_stage",[1]stages!$2:$2,0)+1,FALSE)</f>
        <v>ドロップイベント1-1</v>
      </c>
      <c r="I436" s="18">
        <v>0</v>
      </c>
      <c r="J436" s="5">
        <f>COUNTIF(C$1:C436,C436)</f>
        <v>6</v>
      </c>
      <c r="K436" s="34">
        <v>10</v>
      </c>
      <c r="L436" s="5" t="s">
        <v>17</v>
      </c>
      <c r="M436" s="38" t="str">
        <f>VLOOKUP(K436,[2]stage_hints!$A:$C,3,FALSE)</f>
        <v>土日に大量のビットを獲得</v>
      </c>
      <c r="N436" s="39" t="str">
        <f>VLOOKUP(K436,[2]stage_hints!$A:$D,4,FALSE)</f>
        <v>土日限定の「ゴールドカジノ」では
売却素材ユニットが多く手に入ります</v>
      </c>
      <c r="O436" s="20" t="s">
        <v>24</v>
      </c>
      <c r="P436">
        <v>10</v>
      </c>
    </row>
    <row r="437" spans="1:16" x14ac:dyDescent="0.15">
      <c r="A437" s="27" t="str">
        <f t="shared" si="63"/>
        <v>20001_3_7</v>
      </c>
      <c r="B437" s="25" t="s">
        <v>34</v>
      </c>
      <c r="C437" s="4">
        <v>20001</v>
      </c>
      <c r="D437" s="3" t="str">
        <f ca="1">VLOOKUP($C437,OFFSET([1]quests!$A$1,0,0,COUNTA([1]quests!$A:$A),MATCH(D$1,[1]quests!$1:$1,0)-MATCH($C$1,[1]quests!$1:$1,0)+1),MATCH(D$1,[1]quests!$1:$1,0)-MATCH($C$1,[1]quests!$1:$1,0)+1,FALSE)</f>
        <v>紅き執行者</v>
      </c>
      <c r="E437" s="3" t="str">
        <f ca="1">VLOOKUP($C437,OFFSET([1]quests!$A$1,0,0,COUNTA([1]quests!$A:$A),MATCH(E$1,[1]quests!$1:$1,0)-MATCH($C$1,[1]quests!$1:$1,0)+1),MATCH(E$1,[1]quests!$1:$1,0)-MATCH($C$1,[1]quests!$1:$1,0)+1,FALSE)</f>
        <v>ドロップイベント1-1</v>
      </c>
      <c r="F437" s="5">
        <v>3</v>
      </c>
      <c r="G437" s="3" t="str">
        <f ca="1">VLOOKUP($C437&amp;"_"&amp;$F437,OFFSET([1]stages!$A$1,0,0,COUNTA([1]stages!$A:$A),MATCH(G$1,[1]stages!$2:$2,0)-MATCH("temp_stage",[1]stages!$2:$2,0)+1),MATCH(G$1,[1]stages!$2:$2,0)-MATCH("temp_stage",[1]stages!$2:$2,0)+1,FALSE)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37" s="3" t="str">
        <f ca="1">VLOOKUP($C437&amp;"_"&amp;$F437,OFFSET([1]stages!$A$1,0,0,COUNTA([1]stages!$A:$A),MATCH(H$1,[1]stages!$2:$2,0)-MATCH("temp_stage",[1]stages!$2:$2,0)+1),MATCH(H$1,[1]stages!$2:$2,0)-MATCH("temp_stage",[1]stages!$2:$2,0)+1,FALSE)</f>
        <v>ドロップイベント1-1</v>
      </c>
      <c r="I437" s="18">
        <v>0</v>
      </c>
      <c r="J437" s="5">
        <f>COUNTIF(C$1:C437,C437)</f>
        <v>7</v>
      </c>
      <c r="K437" s="34">
        <v>11</v>
      </c>
      <c r="L437" s="5" t="s">
        <v>17</v>
      </c>
      <c r="M437" s="38" t="str">
        <f>VLOOKUP(K437,[2]stage_hints!$A:$C,3,FALSE)</f>
        <v>ランク解放クエスト</v>
      </c>
      <c r="N437" s="39" t="str">
        <f>VLOOKUP(K437,[2]stage_hints!$A:$D,4,FALSE)</f>
        <v>一定ランクに到達すると
報酬付きのランク開放クエストが現れます</v>
      </c>
      <c r="O437" s="20" t="s">
        <v>24</v>
      </c>
      <c r="P437">
        <v>11</v>
      </c>
    </row>
    <row r="438" spans="1:16" x14ac:dyDescent="0.15">
      <c r="A438" s="27" t="str">
        <f t="shared" ref="A438:A451" si="64">C438&amp;"_"&amp;F438&amp;"_"&amp;J438</f>
        <v>20001_3_8</v>
      </c>
      <c r="B438" s="25" t="s">
        <v>34</v>
      </c>
      <c r="C438" s="4">
        <v>20001</v>
      </c>
      <c r="D438" s="3" t="str">
        <f ca="1">VLOOKUP($C438,OFFSET([1]quests!$A$1,0,0,COUNTA([1]quests!$A:$A),MATCH(D$1,[1]quests!$1:$1,0)-MATCH($C$1,[1]quests!$1:$1,0)+1),MATCH(D$1,[1]quests!$1:$1,0)-MATCH($C$1,[1]quests!$1:$1,0)+1,FALSE)</f>
        <v>紅き執行者</v>
      </c>
      <c r="E438" s="3" t="str">
        <f ca="1">VLOOKUP($C438,OFFSET([1]quests!$A$1,0,0,COUNTA([1]quests!$A:$A),MATCH(E$1,[1]quests!$1:$1,0)-MATCH($C$1,[1]quests!$1:$1,0)+1),MATCH(E$1,[1]quests!$1:$1,0)-MATCH($C$1,[1]quests!$1:$1,0)+1,FALSE)</f>
        <v>ドロップイベント1-1</v>
      </c>
      <c r="F438" s="5">
        <v>3</v>
      </c>
      <c r="G438" s="3" t="str">
        <f ca="1">VLOOKUP($C438&amp;"_"&amp;$F438,OFFSET([1]stages!$A$1,0,0,COUNTA([1]stages!$A:$A),MATCH(G$1,[1]stages!$2:$2,0)-MATCH("temp_stage",[1]stages!$2:$2,0)+1),MATCH(G$1,[1]stages!$2:$2,0)-MATCH("temp_stage",[1]stages!$2:$2,0)+1,FALSE)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38" s="3" t="str">
        <f ca="1">VLOOKUP($C438&amp;"_"&amp;$F438,OFFSET([1]stages!$A$1,0,0,COUNTA([1]stages!$A:$A),MATCH(H$1,[1]stages!$2:$2,0)-MATCH("temp_stage",[1]stages!$2:$2,0)+1),MATCH(H$1,[1]stages!$2:$2,0)-MATCH("temp_stage",[1]stages!$2:$2,0)+1,FALSE)</f>
        <v>ドロップイベント1-1</v>
      </c>
      <c r="I438" s="18">
        <v>0</v>
      </c>
      <c r="J438" s="5">
        <f>COUNTIF(C$1:C438,C438)</f>
        <v>8</v>
      </c>
      <c r="K438" s="34">
        <v>12</v>
      </c>
      <c r="L438" s="5" t="s">
        <v>17</v>
      </c>
      <c r="M438" s="38" t="str">
        <f>VLOOKUP(K438,[2]stage_hints!$A:$C,3,FALSE)</f>
        <v>ユニットのお気に入り登録</v>
      </c>
      <c r="N438" s="39" t="str">
        <f>VLOOKUP(K438,[2]stage_hints!$A:$D,4,FALSE)</f>
        <v>大事なユニットを誤って消さないように
フォルダから「お気に入り登録」しましょう</v>
      </c>
      <c r="O438" s="20" t="s">
        <v>24</v>
      </c>
      <c r="P438">
        <v>12</v>
      </c>
    </row>
    <row r="439" spans="1:16" x14ac:dyDescent="0.15">
      <c r="A439" s="27" t="str">
        <f t="shared" si="64"/>
        <v>20001_3_9</v>
      </c>
      <c r="B439" s="25" t="s">
        <v>34</v>
      </c>
      <c r="C439" s="4">
        <v>20001</v>
      </c>
      <c r="D439" s="3" t="str">
        <f ca="1">VLOOKUP($C439,OFFSET([1]quests!$A$1,0,0,COUNTA([1]quests!$A:$A),MATCH(D$1,[1]quests!$1:$1,0)-MATCH($C$1,[1]quests!$1:$1,0)+1),MATCH(D$1,[1]quests!$1:$1,0)-MATCH($C$1,[1]quests!$1:$1,0)+1,FALSE)</f>
        <v>紅き執行者</v>
      </c>
      <c r="E439" s="3" t="str">
        <f ca="1">VLOOKUP($C439,OFFSET([1]quests!$A$1,0,0,COUNTA([1]quests!$A:$A),MATCH(E$1,[1]quests!$1:$1,0)-MATCH($C$1,[1]quests!$1:$1,0)+1),MATCH(E$1,[1]quests!$1:$1,0)-MATCH($C$1,[1]quests!$1:$1,0)+1,FALSE)</f>
        <v>ドロップイベント1-1</v>
      </c>
      <c r="F439" s="5">
        <v>3</v>
      </c>
      <c r="G439" s="3" t="str">
        <f ca="1">VLOOKUP($C439&amp;"_"&amp;$F439,OFFSET([1]stages!$A$1,0,0,COUNTA([1]stages!$A:$A),MATCH(G$1,[1]stages!$2:$2,0)-MATCH("temp_stage",[1]stages!$2:$2,0)+1),MATCH(G$1,[1]stages!$2:$2,0)-MATCH("temp_stage",[1]stages!$2:$2,0)+1,FALSE)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39" s="3" t="str">
        <f ca="1">VLOOKUP($C439&amp;"_"&amp;$F439,OFFSET([1]stages!$A$1,0,0,COUNTA([1]stages!$A:$A),MATCH(H$1,[1]stages!$2:$2,0)-MATCH("temp_stage",[1]stages!$2:$2,0)+1),MATCH(H$1,[1]stages!$2:$2,0)-MATCH("temp_stage",[1]stages!$2:$2,0)+1,FALSE)</f>
        <v>ドロップイベント1-1</v>
      </c>
      <c r="I439" s="18">
        <v>0</v>
      </c>
      <c r="J439" s="5">
        <f>COUNTIF(C$1:C439,C439)</f>
        <v>9</v>
      </c>
      <c r="K439" s="34">
        <v>13</v>
      </c>
      <c r="L439" s="5" t="s">
        <v>17</v>
      </c>
      <c r="M439" s="38" t="str">
        <f>VLOOKUP(K439,[2]stage_hints!$A:$C,3,FALSE)</f>
        <v>ユニットの覚醒</v>
      </c>
      <c r="N439" s="39" t="str">
        <f>VLOOKUP(K439,[2]stage_hints!$A:$D,4,FALSE)</f>
        <v>ユニットを覚醒させると
比べものにならない強さが手に入ります</v>
      </c>
      <c r="O439" s="20" t="s">
        <v>24</v>
      </c>
      <c r="P439">
        <v>13</v>
      </c>
    </row>
    <row r="440" spans="1:16" x14ac:dyDescent="0.15">
      <c r="A440" s="27" t="str">
        <f t="shared" si="64"/>
        <v>20001_3_10</v>
      </c>
      <c r="B440" s="25" t="s">
        <v>34</v>
      </c>
      <c r="C440" s="4">
        <v>20001</v>
      </c>
      <c r="D440" s="3" t="str">
        <f ca="1">VLOOKUP($C440,OFFSET([1]quests!$A$1,0,0,COUNTA([1]quests!$A:$A),MATCH(D$1,[1]quests!$1:$1,0)-MATCH($C$1,[1]quests!$1:$1,0)+1),MATCH(D$1,[1]quests!$1:$1,0)-MATCH($C$1,[1]quests!$1:$1,0)+1,FALSE)</f>
        <v>紅き執行者</v>
      </c>
      <c r="E440" s="3" t="str">
        <f ca="1">VLOOKUP($C440,OFFSET([1]quests!$A$1,0,0,COUNTA([1]quests!$A:$A),MATCH(E$1,[1]quests!$1:$1,0)-MATCH($C$1,[1]quests!$1:$1,0)+1),MATCH(E$1,[1]quests!$1:$1,0)-MATCH($C$1,[1]quests!$1:$1,0)+1,FALSE)</f>
        <v>ドロップイベント1-1</v>
      </c>
      <c r="F440" s="5">
        <v>3</v>
      </c>
      <c r="G440" s="3" t="str">
        <f ca="1">VLOOKUP($C440&amp;"_"&amp;$F440,OFFSET([1]stages!$A$1,0,0,COUNTA([1]stages!$A:$A),MATCH(G$1,[1]stages!$2:$2,0)-MATCH("temp_stage",[1]stages!$2:$2,0)+1),MATCH(G$1,[1]stages!$2:$2,0)-MATCH("temp_stage",[1]stages!$2:$2,0)+1,FALSE)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0" s="3" t="str">
        <f ca="1">VLOOKUP($C440&amp;"_"&amp;$F440,OFFSET([1]stages!$A$1,0,0,COUNTA([1]stages!$A:$A),MATCH(H$1,[1]stages!$2:$2,0)-MATCH("temp_stage",[1]stages!$2:$2,0)+1),MATCH(H$1,[1]stages!$2:$2,0)-MATCH("temp_stage",[1]stages!$2:$2,0)+1,FALSE)</f>
        <v>ドロップイベント1-1</v>
      </c>
      <c r="I440" s="18">
        <v>0</v>
      </c>
      <c r="J440" s="5">
        <f>COUNTIF(C$1:C440,C440)</f>
        <v>10</v>
      </c>
      <c r="K440" s="34">
        <v>14</v>
      </c>
      <c r="L440" s="5" t="s">
        <v>17</v>
      </c>
      <c r="M440" s="38" t="str">
        <f>VLOOKUP(K440,[2]stage_hints!$A:$C,3,FALSE)</f>
        <v>覚醒するにはレベルを最大に</v>
      </c>
      <c r="N440" s="39" t="str">
        <f>VLOOKUP(K440,[2]stage_hints!$A:$D,4,FALSE)</f>
        <v>覚醒するにはユニットのレベルを
最大まで上げる必要があります</v>
      </c>
      <c r="O440" s="20" t="s">
        <v>24</v>
      </c>
      <c r="P440">
        <v>14</v>
      </c>
    </row>
    <row r="441" spans="1:16" x14ac:dyDescent="0.15">
      <c r="A441" s="27" t="str">
        <f t="shared" si="64"/>
        <v>20001_3_11</v>
      </c>
      <c r="B441" s="25" t="s">
        <v>34</v>
      </c>
      <c r="C441" s="4">
        <v>20001</v>
      </c>
      <c r="D441" s="3" t="str">
        <f ca="1">VLOOKUP($C441,OFFSET([1]quests!$A$1,0,0,COUNTA([1]quests!$A:$A),MATCH(D$1,[1]quests!$1:$1,0)-MATCH($C$1,[1]quests!$1:$1,0)+1),MATCH(D$1,[1]quests!$1:$1,0)-MATCH($C$1,[1]quests!$1:$1,0)+1,FALSE)</f>
        <v>紅き執行者</v>
      </c>
      <c r="E441" s="3" t="str">
        <f ca="1">VLOOKUP($C441,OFFSET([1]quests!$A$1,0,0,COUNTA([1]quests!$A:$A),MATCH(E$1,[1]quests!$1:$1,0)-MATCH($C$1,[1]quests!$1:$1,0)+1),MATCH(E$1,[1]quests!$1:$1,0)-MATCH($C$1,[1]quests!$1:$1,0)+1,FALSE)</f>
        <v>ドロップイベント1-1</v>
      </c>
      <c r="F441" s="5">
        <v>3</v>
      </c>
      <c r="G441" s="3" t="str">
        <f ca="1">VLOOKUP($C441&amp;"_"&amp;$F441,OFFSET([1]stages!$A$1,0,0,COUNTA([1]stages!$A:$A),MATCH(G$1,[1]stages!$2:$2,0)-MATCH("temp_stage",[1]stages!$2:$2,0)+1),MATCH(G$1,[1]stages!$2:$2,0)-MATCH("temp_stage",[1]stages!$2:$2,0)+1,FALSE)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1" s="3" t="str">
        <f ca="1">VLOOKUP($C441&amp;"_"&amp;$F441,OFFSET([1]stages!$A$1,0,0,COUNTA([1]stages!$A:$A),MATCH(H$1,[1]stages!$2:$2,0)-MATCH("temp_stage",[1]stages!$2:$2,0)+1),MATCH(H$1,[1]stages!$2:$2,0)-MATCH("temp_stage",[1]stages!$2:$2,0)+1,FALSE)</f>
        <v>ドロップイベント1-1</v>
      </c>
      <c r="I441" s="18">
        <v>0</v>
      </c>
      <c r="J441" s="5">
        <f>COUNTIF(C$1:C441,C441)</f>
        <v>11</v>
      </c>
      <c r="K441" s="34">
        <v>15</v>
      </c>
      <c r="L441" s="5" t="s">
        <v>17</v>
      </c>
      <c r="M441" s="38" t="str">
        <f>VLOOKUP(K441,[2]stage_hints!$A:$C,3,FALSE)</f>
        <v>覚醒素材を獲得</v>
      </c>
      <c r="N441" s="39" t="str">
        <f>VLOOKUP(K441,[2]stage_hints!$A:$D,4,FALSE)</f>
        <v>「曜日クエスト」では
ユニットの覚醒に必要な素材が手に入ります</v>
      </c>
      <c r="O441" s="20" t="s">
        <v>24</v>
      </c>
      <c r="P441">
        <v>15</v>
      </c>
    </row>
    <row r="442" spans="1:16" x14ac:dyDescent="0.15">
      <c r="A442" s="27" t="str">
        <f t="shared" si="64"/>
        <v>20001_3_12</v>
      </c>
      <c r="B442" s="25" t="s">
        <v>34</v>
      </c>
      <c r="C442" s="4">
        <v>20001</v>
      </c>
      <c r="D442" s="3" t="str">
        <f ca="1">VLOOKUP($C442,OFFSET([1]quests!$A$1,0,0,COUNTA([1]quests!$A:$A),MATCH(D$1,[1]quests!$1:$1,0)-MATCH($C$1,[1]quests!$1:$1,0)+1),MATCH(D$1,[1]quests!$1:$1,0)-MATCH($C$1,[1]quests!$1:$1,0)+1,FALSE)</f>
        <v>紅き執行者</v>
      </c>
      <c r="E442" s="3" t="str">
        <f ca="1">VLOOKUP($C442,OFFSET([1]quests!$A$1,0,0,COUNTA([1]quests!$A:$A),MATCH(E$1,[1]quests!$1:$1,0)-MATCH($C$1,[1]quests!$1:$1,0)+1),MATCH(E$1,[1]quests!$1:$1,0)-MATCH($C$1,[1]quests!$1:$1,0)+1,FALSE)</f>
        <v>ドロップイベント1-1</v>
      </c>
      <c r="F442" s="5">
        <v>3</v>
      </c>
      <c r="G442" s="3" t="str">
        <f ca="1">VLOOKUP($C442&amp;"_"&amp;$F442,OFFSET([1]stages!$A$1,0,0,COUNTA([1]stages!$A:$A),MATCH(G$1,[1]stages!$2:$2,0)-MATCH("temp_stage",[1]stages!$2:$2,0)+1),MATCH(G$1,[1]stages!$2:$2,0)-MATCH("temp_stage",[1]stages!$2:$2,0)+1,FALSE)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2" s="3" t="str">
        <f ca="1">VLOOKUP($C442&amp;"_"&amp;$F442,OFFSET([1]stages!$A$1,0,0,COUNTA([1]stages!$A:$A),MATCH(H$1,[1]stages!$2:$2,0)-MATCH("temp_stage",[1]stages!$2:$2,0)+1),MATCH(H$1,[1]stages!$2:$2,0)-MATCH("temp_stage",[1]stages!$2:$2,0)+1,FALSE)</f>
        <v>ドロップイベント1-1</v>
      </c>
      <c r="I442" s="18">
        <v>0</v>
      </c>
      <c r="J442" s="5">
        <f>COUNTIF(C$1:C442,C442)</f>
        <v>12</v>
      </c>
      <c r="K442" s="34">
        <v>16</v>
      </c>
      <c r="L442" s="5" t="s">
        <v>17</v>
      </c>
      <c r="M442" s="38" t="str">
        <f>VLOOKUP(K442,[2]stage_hints!$A:$C,3,FALSE)</f>
        <v>マルチプレイのメリット（その1）</v>
      </c>
      <c r="N442" s="39" t="str">
        <f>VLOOKUP(K442,[2]stage_hints!$A:$D,4,FALSE)</f>
        <v>他のプレイヤーとマルチプレイで遊ぶと
ポリゴンがもらえます（100人まで）</v>
      </c>
      <c r="O442" s="20" t="s">
        <v>24</v>
      </c>
      <c r="P442">
        <v>16</v>
      </c>
    </row>
    <row r="443" spans="1:16" x14ac:dyDescent="0.15">
      <c r="A443" s="27" t="str">
        <f t="shared" si="64"/>
        <v>20001_3_13</v>
      </c>
      <c r="B443" s="25" t="s">
        <v>34</v>
      </c>
      <c r="C443" s="4">
        <v>20001</v>
      </c>
      <c r="D443" s="3" t="str">
        <f ca="1">VLOOKUP($C443,OFFSET([1]quests!$A$1,0,0,COUNTA([1]quests!$A:$A),MATCH(D$1,[1]quests!$1:$1,0)-MATCH($C$1,[1]quests!$1:$1,0)+1),MATCH(D$1,[1]quests!$1:$1,0)-MATCH($C$1,[1]quests!$1:$1,0)+1,FALSE)</f>
        <v>紅き執行者</v>
      </c>
      <c r="E443" s="3" t="str">
        <f ca="1">VLOOKUP($C443,OFFSET([1]quests!$A$1,0,0,COUNTA([1]quests!$A:$A),MATCH(E$1,[1]quests!$1:$1,0)-MATCH($C$1,[1]quests!$1:$1,0)+1),MATCH(E$1,[1]quests!$1:$1,0)-MATCH($C$1,[1]quests!$1:$1,0)+1,FALSE)</f>
        <v>ドロップイベント1-1</v>
      </c>
      <c r="F443" s="5">
        <v>3</v>
      </c>
      <c r="G443" s="3" t="str">
        <f ca="1">VLOOKUP($C443&amp;"_"&amp;$F443,OFFSET([1]stages!$A$1,0,0,COUNTA([1]stages!$A:$A),MATCH(G$1,[1]stages!$2:$2,0)-MATCH("temp_stage",[1]stages!$2:$2,0)+1),MATCH(G$1,[1]stages!$2:$2,0)-MATCH("temp_stage",[1]stages!$2:$2,0)+1,FALSE)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3" s="3" t="str">
        <f ca="1">VLOOKUP($C443&amp;"_"&amp;$F443,OFFSET([1]stages!$A$1,0,0,COUNTA([1]stages!$A:$A),MATCH(H$1,[1]stages!$2:$2,0)-MATCH("temp_stage",[1]stages!$2:$2,0)+1),MATCH(H$1,[1]stages!$2:$2,0)-MATCH("temp_stage",[1]stages!$2:$2,0)+1,FALSE)</f>
        <v>ドロップイベント1-1</v>
      </c>
      <c r="I443" s="18">
        <v>0</v>
      </c>
      <c r="J443" s="5">
        <f>COUNTIF(C$1:C443,C443)</f>
        <v>13</v>
      </c>
      <c r="K443" s="34">
        <v>17</v>
      </c>
      <c r="L443" s="5" t="s">
        <v>17</v>
      </c>
      <c r="M443" s="38" t="str">
        <f>VLOOKUP(K443,[2]stage_hints!$A:$C,3,FALSE)</f>
        <v>リンクガチャ</v>
      </c>
      <c r="N443" s="39" t="str">
        <f>VLOOKUP(K443,[2]stage_hints!$A:$D,4,FALSE)</f>
        <v>無料のリンクガチャを回して
経験値素材や売却素材を獲得しましょう</v>
      </c>
      <c r="O443" s="20" t="s">
        <v>24</v>
      </c>
      <c r="P443">
        <v>17</v>
      </c>
    </row>
    <row r="444" spans="1:16" x14ac:dyDescent="0.15">
      <c r="A444" s="27" t="str">
        <f t="shared" si="64"/>
        <v>20001_3_14</v>
      </c>
      <c r="B444" s="25" t="s">
        <v>34</v>
      </c>
      <c r="C444" s="4">
        <v>20001</v>
      </c>
      <c r="D444" s="3" t="str">
        <f ca="1">VLOOKUP($C444,OFFSET([1]quests!$A$1,0,0,COUNTA([1]quests!$A:$A),MATCH(D$1,[1]quests!$1:$1,0)-MATCH($C$1,[1]quests!$1:$1,0)+1),MATCH(D$1,[1]quests!$1:$1,0)-MATCH($C$1,[1]quests!$1:$1,0)+1,FALSE)</f>
        <v>紅き執行者</v>
      </c>
      <c r="E444" s="3" t="str">
        <f ca="1">VLOOKUP($C444,OFFSET([1]quests!$A$1,0,0,COUNTA([1]quests!$A:$A),MATCH(E$1,[1]quests!$1:$1,0)-MATCH($C$1,[1]quests!$1:$1,0)+1),MATCH(E$1,[1]quests!$1:$1,0)-MATCH($C$1,[1]quests!$1:$1,0)+1,FALSE)</f>
        <v>ドロップイベント1-1</v>
      </c>
      <c r="F444" s="5">
        <v>3</v>
      </c>
      <c r="G444" s="3" t="str">
        <f ca="1">VLOOKUP($C444&amp;"_"&amp;$F444,OFFSET([1]stages!$A$1,0,0,COUNTA([1]stages!$A:$A),MATCH(G$1,[1]stages!$2:$2,0)-MATCH("temp_stage",[1]stages!$2:$2,0)+1),MATCH(G$1,[1]stages!$2:$2,0)-MATCH("temp_stage",[1]stages!$2:$2,0)+1,FALSE)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4" s="3" t="str">
        <f ca="1">VLOOKUP($C444&amp;"_"&amp;$F444,OFFSET([1]stages!$A$1,0,0,COUNTA([1]stages!$A:$A),MATCH(H$1,[1]stages!$2:$2,0)-MATCH("temp_stage",[1]stages!$2:$2,0)+1),MATCH(H$1,[1]stages!$2:$2,0)-MATCH("temp_stage",[1]stages!$2:$2,0)+1,FALSE)</f>
        <v>ドロップイベント1-1</v>
      </c>
      <c r="I444" s="18">
        <v>0</v>
      </c>
      <c r="J444" s="5">
        <f>COUNTIF(C$1:C444,C444)</f>
        <v>14</v>
      </c>
      <c r="K444" s="34">
        <v>18</v>
      </c>
      <c r="L444" s="5" t="s">
        <v>17</v>
      </c>
      <c r="M444" s="38" t="str">
        <f>VLOOKUP(K444,[2]stage_hints!$A:$C,3,FALSE)</f>
        <v>マルチプレイのメリット（その2）</v>
      </c>
      <c r="N444" s="39" t="str">
        <f>VLOOKUP(K444,[2]stage_hints!$A:$D,4,FALSE)</f>
        <v>マルチプレイならリンクが2倍もらえます
リンクガチャをたくさん回しましょう</v>
      </c>
      <c r="O444" s="20" t="s">
        <v>24</v>
      </c>
      <c r="P444">
        <v>18</v>
      </c>
    </row>
    <row r="445" spans="1:16" x14ac:dyDescent="0.15">
      <c r="A445" s="27" t="str">
        <f t="shared" si="64"/>
        <v>20001_3_15</v>
      </c>
      <c r="B445" s="25" t="s">
        <v>34</v>
      </c>
      <c r="C445" s="4">
        <v>20001</v>
      </c>
      <c r="D445" s="3" t="str">
        <f ca="1">VLOOKUP($C445,OFFSET([1]quests!$A$1,0,0,COUNTA([1]quests!$A:$A),MATCH(D$1,[1]quests!$1:$1,0)-MATCH($C$1,[1]quests!$1:$1,0)+1),MATCH(D$1,[1]quests!$1:$1,0)-MATCH($C$1,[1]quests!$1:$1,0)+1,FALSE)</f>
        <v>紅き執行者</v>
      </c>
      <c r="E445" s="3" t="str">
        <f ca="1">VLOOKUP($C445,OFFSET([1]quests!$A$1,0,0,COUNTA([1]quests!$A:$A),MATCH(E$1,[1]quests!$1:$1,0)-MATCH($C$1,[1]quests!$1:$1,0)+1),MATCH(E$1,[1]quests!$1:$1,0)-MATCH($C$1,[1]quests!$1:$1,0)+1,FALSE)</f>
        <v>ドロップイベント1-1</v>
      </c>
      <c r="F445" s="5">
        <v>3</v>
      </c>
      <c r="G445" s="3" t="str">
        <f ca="1">VLOOKUP($C445&amp;"_"&amp;$F445,OFFSET([1]stages!$A$1,0,0,COUNTA([1]stages!$A:$A),MATCH(G$1,[1]stages!$2:$2,0)-MATCH("temp_stage",[1]stages!$2:$2,0)+1),MATCH(G$1,[1]stages!$2:$2,0)-MATCH("temp_stage",[1]stages!$2:$2,0)+1,FALSE)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5" s="3" t="str">
        <f ca="1">VLOOKUP($C445&amp;"_"&amp;$F445,OFFSET([1]stages!$A$1,0,0,COUNTA([1]stages!$A:$A),MATCH(H$1,[1]stages!$2:$2,0)-MATCH("temp_stage",[1]stages!$2:$2,0)+1),MATCH(H$1,[1]stages!$2:$2,0)-MATCH("temp_stage",[1]stages!$2:$2,0)+1,FALSE)</f>
        <v>ドロップイベント1-1</v>
      </c>
      <c r="I445" s="18">
        <v>0</v>
      </c>
      <c r="J445" s="5">
        <f>COUNTIF(C$1:C445,C445)</f>
        <v>15</v>
      </c>
      <c r="K445" s="34">
        <v>19</v>
      </c>
      <c r="L445" s="5" t="s">
        <v>17</v>
      </c>
      <c r="M445" s="38" t="str">
        <f>VLOOKUP(K445,[2]stage_hints!$A:$C,3,FALSE)</f>
        <v>ソロ専用チャレンジタワー</v>
      </c>
      <c r="N445" s="39" t="str">
        <f>VLOOKUP(K445,[2]stage_hints!$A:$D,4,FALSE)</f>
        <v>ソロ専用の「チャレンジタワー」では
各フロアごとにクリア報酬がもらえます</v>
      </c>
      <c r="O445" s="20" t="s">
        <v>24</v>
      </c>
      <c r="P445">
        <v>19</v>
      </c>
    </row>
    <row r="446" spans="1:16" x14ac:dyDescent="0.15">
      <c r="A446" s="27" t="str">
        <f t="shared" si="64"/>
        <v>20001_3_16</v>
      </c>
      <c r="B446" s="25" t="s">
        <v>34</v>
      </c>
      <c r="C446" s="4">
        <v>20001</v>
      </c>
      <c r="D446" s="3" t="str">
        <f ca="1">VLOOKUP($C446,OFFSET([1]quests!$A$1,0,0,COUNTA([1]quests!$A:$A),MATCH(D$1,[1]quests!$1:$1,0)-MATCH($C$1,[1]quests!$1:$1,0)+1),MATCH(D$1,[1]quests!$1:$1,0)-MATCH($C$1,[1]quests!$1:$1,0)+1,FALSE)</f>
        <v>紅き執行者</v>
      </c>
      <c r="E446" s="3" t="str">
        <f ca="1">VLOOKUP($C446,OFFSET([1]quests!$A$1,0,0,COUNTA([1]quests!$A:$A),MATCH(E$1,[1]quests!$1:$1,0)-MATCH($C$1,[1]quests!$1:$1,0)+1),MATCH(E$1,[1]quests!$1:$1,0)-MATCH($C$1,[1]quests!$1:$1,0)+1,FALSE)</f>
        <v>ドロップイベント1-1</v>
      </c>
      <c r="F446" s="5">
        <v>3</v>
      </c>
      <c r="G446" s="3" t="str">
        <f ca="1">VLOOKUP($C446&amp;"_"&amp;$F446,OFFSET([1]stages!$A$1,0,0,COUNTA([1]stages!$A:$A),MATCH(G$1,[1]stages!$2:$2,0)-MATCH("temp_stage",[1]stages!$2:$2,0)+1),MATCH(G$1,[1]stages!$2:$2,0)-MATCH("temp_stage",[1]stages!$2:$2,0)+1,FALSE)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6" s="3" t="str">
        <f ca="1">VLOOKUP($C446&amp;"_"&amp;$F446,OFFSET([1]stages!$A$1,0,0,COUNTA([1]stages!$A:$A),MATCH(H$1,[1]stages!$2:$2,0)-MATCH("temp_stage",[1]stages!$2:$2,0)+1),MATCH(H$1,[1]stages!$2:$2,0)-MATCH("temp_stage",[1]stages!$2:$2,0)+1,FALSE)</f>
        <v>ドロップイベント1-1</v>
      </c>
      <c r="I446" s="18">
        <v>0</v>
      </c>
      <c r="J446" s="5">
        <f>COUNTIF(C$1:C446,C446)</f>
        <v>16</v>
      </c>
      <c r="K446" s="34">
        <v>20</v>
      </c>
      <c r="L446" s="5" t="s">
        <v>17</v>
      </c>
      <c r="M446" s="38" t="str">
        <f>VLOOKUP(K446,[2]stage_hints!$A:$C,3,FALSE)</f>
        <v>マルチプレイのメリット（その3）</v>
      </c>
      <c r="N446" s="39" t="str">
        <f>VLOOKUP(K446,[2]stage_hints!$A:$D,4,FALSE)</f>
        <v>マルチプレイへの参加はエナジー消費ゼロ
いつでも好きなだけ遊ぶことができます</v>
      </c>
      <c r="O446" s="20" t="s">
        <v>24</v>
      </c>
      <c r="P446">
        <v>20</v>
      </c>
    </row>
    <row r="447" spans="1:16" x14ac:dyDescent="0.15">
      <c r="A447" s="27" t="str">
        <f t="shared" si="64"/>
        <v>20001_3_17</v>
      </c>
      <c r="B447" s="25" t="s">
        <v>34</v>
      </c>
      <c r="C447" s="4">
        <v>20001</v>
      </c>
      <c r="D447" s="3" t="str">
        <f ca="1">VLOOKUP($C447,OFFSET([1]quests!$A$1,0,0,COUNTA([1]quests!$A:$A),MATCH(D$1,[1]quests!$1:$1,0)-MATCH($C$1,[1]quests!$1:$1,0)+1),MATCH(D$1,[1]quests!$1:$1,0)-MATCH($C$1,[1]quests!$1:$1,0)+1,FALSE)</f>
        <v>紅き執行者</v>
      </c>
      <c r="E447" s="3" t="str">
        <f ca="1">VLOOKUP($C447,OFFSET([1]quests!$A$1,0,0,COUNTA([1]quests!$A:$A),MATCH(E$1,[1]quests!$1:$1,0)-MATCH($C$1,[1]quests!$1:$1,0)+1),MATCH(E$1,[1]quests!$1:$1,0)-MATCH($C$1,[1]quests!$1:$1,0)+1,FALSE)</f>
        <v>ドロップイベント1-1</v>
      </c>
      <c r="F447" s="5">
        <v>3</v>
      </c>
      <c r="G447" s="3" t="str">
        <f ca="1">VLOOKUP($C447&amp;"_"&amp;$F447,OFFSET([1]stages!$A$1,0,0,COUNTA([1]stages!$A:$A),MATCH(G$1,[1]stages!$2:$2,0)-MATCH("temp_stage",[1]stages!$2:$2,0)+1),MATCH(G$1,[1]stages!$2:$2,0)-MATCH("temp_stage",[1]stages!$2:$2,0)+1,FALSE)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7" s="3" t="str">
        <f ca="1">VLOOKUP($C447&amp;"_"&amp;$F447,OFFSET([1]stages!$A$1,0,0,COUNTA([1]stages!$A:$A),MATCH(H$1,[1]stages!$2:$2,0)-MATCH("temp_stage",[1]stages!$2:$2,0)+1),MATCH(H$1,[1]stages!$2:$2,0)-MATCH("temp_stage",[1]stages!$2:$2,0)+1,FALSE)</f>
        <v>ドロップイベント1-1</v>
      </c>
      <c r="I447" s="18">
        <v>0</v>
      </c>
      <c r="J447" s="5">
        <f>COUNTIF(C$1:C447,C447)</f>
        <v>17</v>
      </c>
      <c r="K447" s="34">
        <v>21</v>
      </c>
      <c r="L447" s="5" t="s">
        <v>17</v>
      </c>
      <c r="M447" s="38" t="str">
        <f>VLOOKUP(K447,[2]stage_hints!$A:$C,3,FALSE)</f>
        <v>スキルを有効に</v>
      </c>
      <c r="N447" s="39" t="str">
        <f>VLOOKUP(K447,[2]stage_hints!$A:$D,4,FALSE)</f>
        <v>ターン経過でユニットのスキルが使えます
強力スキルでバトルを有利に進めましょう</v>
      </c>
      <c r="O447" s="20" t="s">
        <v>24</v>
      </c>
      <c r="P447">
        <v>21</v>
      </c>
    </row>
    <row r="448" spans="1:16" x14ac:dyDescent="0.15">
      <c r="A448" s="27" t="str">
        <f t="shared" si="64"/>
        <v>20001_3_18</v>
      </c>
      <c r="B448" s="25" t="s">
        <v>34</v>
      </c>
      <c r="C448" s="4">
        <v>20001</v>
      </c>
      <c r="D448" s="3" t="str">
        <f ca="1">VLOOKUP($C448,OFFSET([1]quests!$A$1,0,0,COUNTA([1]quests!$A:$A),MATCH(D$1,[1]quests!$1:$1,0)-MATCH($C$1,[1]quests!$1:$1,0)+1),MATCH(D$1,[1]quests!$1:$1,0)-MATCH($C$1,[1]quests!$1:$1,0)+1,FALSE)</f>
        <v>紅き執行者</v>
      </c>
      <c r="E448" s="3" t="str">
        <f ca="1">VLOOKUP($C448,OFFSET([1]quests!$A$1,0,0,COUNTA([1]quests!$A:$A),MATCH(E$1,[1]quests!$1:$1,0)-MATCH($C$1,[1]quests!$1:$1,0)+1),MATCH(E$1,[1]quests!$1:$1,0)-MATCH($C$1,[1]quests!$1:$1,0)+1,FALSE)</f>
        <v>ドロップイベント1-1</v>
      </c>
      <c r="F448" s="5">
        <v>3</v>
      </c>
      <c r="G448" s="3" t="str">
        <f ca="1">VLOOKUP($C448&amp;"_"&amp;$F448,OFFSET([1]stages!$A$1,0,0,COUNTA([1]stages!$A:$A),MATCH(G$1,[1]stages!$2:$2,0)-MATCH("temp_stage",[1]stages!$2:$2,0)+1),MATCH(G$1,[1]stages!$2:$2,0)-MATCH("temp_stage",[1]stages!$2:$2,0)+1,FALSE)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8" s="3" t="str">
        <f ca="1">VLOOKUP($C448&amp;"_"&amp;$F448,OFFSET([1]stages!$A$1,0,0,COUNTA([1]stages!$A:$A),MATCH(H$1,[1]stages!$2:$2,0)-MATCH("temp_stage",[1]stages!$2:$2,0)+1),MATCH(H$1,[1]stages!$2:$2,0)-MATCH("temp_stage",[1]stages!$2:$2,0)+1,FALSE)</f>
        <v>ドロップイベント1-1</v>
      </c>
      <c r="I448" s="18">
        <v>0</v>
      </c>
      <c r="J448" s="5">
        <f>COUNTIF(C$1:C448,C448)</f>
        <v>18</v>
      </c>
      <c r="K448" s="34">
        <v>22</v>
      </c>
      <c r="L448" s="5" t="s">
        <v>17</v>
      </c>
      <c r="M448" s="38" t="str">
        <f>VLOOKUP(K448,[2]stage_hints!$A:$C,3,FALSE)</f>
        <v>フィーバーで一発逆転（その1）</v>
      </c>
      <c r="N448" s="39" t="str">
        <f>VLOOKUP(K448,[2]stage_hints!$A:$D,4,FALSE)</f>
        <v>フィーバーは攻撃と回復を兼ね備えます
ピンチからの一発逆転を狙いましょう</v>
      </c>
      <c r="O448" s="20" t="s">
        <v>24</v>
      </c>
      <c r="P448">
        <v>22</v>
      </c>
    </row>
    <row r="449" spans="1:16" x14ac:dyDescent="0.15">
      <c r="A449" s="27" t="str">
        <f t="shared" si="64"/>
        <v>20001_3_19</v>
      </c>
      <c r="B449" s="25" t="s">
        <v>34</v>
      </c>
      <c r="C449" s="4">
        <v>20001</v>
      </c>
      <c r="D449" s="3" t="str">
        <f ca="1">VLOOKUP($C449,OFFSET([1]quests!$A$1,0,0,COUNTA([1]quests!$A:$A),MATCH(D$1,[1]quests!$1:$1,0)-MATCH($C$1,[1]quests!$1:$1,0)+1),MATCH(D$1,[1]quests!$1:$1,0)-MATCH($C$1,[1]quests!$1:$1,0)+1,FALSE)</f>
        <v>紅き執行者</v>
      </c>
      <c r="E449" s="3" t="str">
        <f ca="1">VLOOKUP($C449,OFFSET([1]quests!$A$1,0,0,COUNTA([1]quests!$A:$A),MATCH(E$1,[1]quests!$1:$1,0)-MATCH($C$1,[1]quests!$1:$1,0)+1),MATCH(E$1,[1]quests!$1:$1,0)-MATCH($C$1,[1]quests!$1:$1,0)+1,FALSE)</f>
        <v>ドロップイベント1-1</v>
      </c>
      <c r="F449" s="5">
        <v>3</v>
      </c>
      <c r="G449" s="3" t="str">
        <f ca="1">VLOOKUP($C449&amp;"_"&amp;$F449,OFFSET([1]stages!$A$1,0,0,COUNTA([1]stages!$A:$A),MATCH(G$1,[1]stages!$2:$2,0)-MATCH("temp_stage",[1]stages!$2:$2,0)+1),MATCH(G$1,[1]stages!$2:$2,0)-MATCH("temp_stage",[1]stages!$2:$2,0)+1,FALSE)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49" s="3" t="str">
        <f ca="1">VLOOKUP($C449&amp;"_"&amp;$F449,OFFSET([1]stages!$A$1,0,0,COUNTA([1]stages!$A:$A),MATCH(H$1,[1]stages!$2:$2,0)-MATCH("temp_stage",[1]stages!$2:$2,0)+1),MATCH(H$1,[1]stages!$2:$2,0)-MATCH("temp_stage",[1]stages!$2:$2,0)+1,FALSE)</f>
        <v>ドロップイベント1-1</v>
      </c>
      <c r="I449" s="18">
        <v>0</v>
      </c>
      <c r="J449" s="5">
        <f>COUNTIF(C$1:C449,C449)</f>
        <v>19</v>
      </c>
      <c r="K449" s="34">
        <v>23</v>
      </c>
      <c r="L449" s="5" t="s">
        <v>17</v>
      </c>
      <c r="M449" s="38" t="str">
        <f>VLOOKUP(K449,[2]stage_hints!$A:$C,3,FALSE)</f>
        <v>フィーバーで一発逆転（その2）</v>
      </c>
      <c r="N449" s="39" t="str">
        <f>VLOOKUP(K449,[2]stage_hints!$A:$D,4,FALSE)</f>
        <v>フィーバー中は虹色のボムパネルを狙って
画面上のパネルを一気に破壊しましょう</v>
      </c>
      <c r="O449" s="20" t="s">
        <v>24</v>
      </c>
      <c r="P449">
        <v>23</v>
      </c>
    </row>
    <row r="450" spans="1:16" x14ac:dyDescent="0.15">
      <c r="A450" s="27" t="str">
        <f t="shared" si="64"/>
        <v>20001_3_20</v>
      </c>
      <c r="B450" s="25" t="s">
        <v>34</v>
      </c>
      <c r="C450" s="4">
        <v>20001</v>
      </c>
      <c r="D450" s="3" t="str">
        <f ca="1">VLOOKUP($C450,OFFSET([1]quests!$A$1,0,0,COUNTA([1]quests!$A:$A),MATCH(D$1,[1]quests!$1:$1,0)-MATCH($C$1,[1]quests!$1:$1,0)+1),MATCH(D$1,[1]quests!$1:$1,0)-MATCH($C$1,[1]quests!$1:$1,0)+1,FALSE)</f>
        <v>紅き執行者</v>
      </c>
      <c r="E450" s="3" t="str">
        <f ca="1">VLOOKUP($C450,OFFSET([1]quests!$A$1,0,0,COUNTA([1]quests!$A:$A),MATCH(E$1,[1]quests!$1:$1,0)-MATCH($C$1,[1]quests!$1:$1,0)+1),MATCH(E$1,[1]quests!$1:$1,0)-MATCH($C$1,[1]quests!$1:$1,0)+1,FALSE)</f>
        <v>ドロップイベント1-1</v>
      </c>
      <c r="F450" s="5">
        <v>3</v>
      </c>
      <c r="G450" s="3" t="str">
        <f ca="1">VLOOKUP($C450&amp;"_"&amp;$F450,OFFSET([1]stages!$A$1,0,0,COUNTA([1]stages!$A:$A),MATCH(G$1,[1]stages!$2:$2,0)-MATCH("temp_stage",[1]stages!$2:$2,0)+1),MATCH(G$1,[1]stages!$2:$2,0)-MATCH("temp_stage",[1]stages!$2:$2,0)+1,FALSE)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0" s="3" t="str">
        <f ca="1">VLOOKUP($C450&amp;"_"&amp;$F450,OFFSET([1]stages!$A$1,0,0,COUNTA([1]stages!$A:$A),MATCH(H$1,[1]stages!$2:$2,0)-MATCH("temp_stage",[1]stages!$2:$2,0)+1),MATCH(H$1,[1]stages!$2:$2,0)-MATCH("temp_stage",[1]stages!$2:$2,0)+1,FALSE)</f>
        <v>ドロップイベント1-1</v>
      </c>
      <c r="I450" s="18">
        <v>0</v>
      </c>
      <c r="J450" s="5">
        <f>COUNTIF(C$1:C450,C450)</f>
        <v>20</v>
      </c>
      <c r="K450" s="34">
        <v>24</v>
      </c>
      <c r="L450" s="5" t="s">
        <v>17</v>
      </c>
      <c r="M450" s="38" t="str">
        <f>VLOOKUP(K450,[2]stage_hints!$A:$C,3,FALSE)</f>
        <v>りんごを使って限界突破</v>
      </c>
      <c r="N450" s="39" t="str">
        <f>VLOOKUP(K450,[2]stage_hints!$A:$D,4,FALSE)</f>
        <v>赤りんご(攻撃力) 青りんご(回復力)
緑りんご(体力)をユニット強化に使うと
ステータスが限界突破します（計99個迄）</v>
      </c>
      <c r="O450" s="20" t="s">
        <v>24</v>
      </c>
      <c r="P450">
        <v>24</v>
      </c>
    </row>
    <row r="451" spans="1:16" x14ac:dyDescent="0.15">
      <c r="A451" s="27" t="str">
        <f t="shared" si="64"/>
        <v>20001_3_21</v>
      </c>
      <c r="B451" s="25" t="s">
        <v>34</v>
      </c>
      <c r="C451" s="4">
        <v>20001</v>
      </c>
      <c r="D451" s="3" t="str">
        <f ca="1">VLOOKUP($C451,OFFSET([1]quests!$A$1,0,0,COUNTA([1]quests!$A:$A),MATCH(D$1,[1]quests!$1:$1,0)-MATCH($C$1,[1]quests!$1:$1,0)+1),MATCH(D$1,[1]quests!$1:$1,0)-MATCH($C$1,[1]quests!$1:$1,0)+1,FALSE)</f>
        <v>紅き執行者</v>
      </c>
      <c r="E451" s="3" t="str">
        <f ca="1">VLOOKUP($C451,OFFSET([1]quests!$A$1,0,0,COUNTA([1]quests!$A:$A),MATCH(E$1,[1]quests!$1:$1,0)-MATCH($C$1,[1]quests!$1:$1,0)+1),MATCH(E$1,[1]quests!$1:$1,0)-MATCH($C$1,[1]quests!$1:$1,0)+1,FALSE)</f>
        <v>ドロップイベント1-1</v>
      </c>
      <c r="F451" s="5">
        <v>3</v>
      </c>
      <c r="G451" s="3" t="str">
        <f ca="1">VLOOKUP($C451&amp;"_"&amp;$F451,OFFSET([1]stages!$A$1,0,0,COUNTA([1]stages!$A:$A),MATCH(G$1,[1]stages!$2:$2,0)-MATCH("temp_stage",[1]stages!$2:$2,0)+1),MATCH(G$1,[1]stages!$2:$2,0)-MATCH("temp_stage",[1]stages!$2:$2,0)+1,FALSE)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1" s="3" t="str">
        <f ca="1">VLOOKUP($C451&amp;"_"&amp;$F451,OFFSET([1]stages!$A$1,0,0,COUNTA([1]stages!$A:$A),MATCH(H$1,[1]stages!$2:$2,0)-MATCH("temp_stage",[1]stages!$2:$2,0)+1),MATCH(H$1,[1]stages!$2:$2,0)-MATCH("temp_stage",[1]stages!$2:$2,0)+1,FALSE)</f>
        <v>ドロップイベント1-1</v>
      </c>
      <c r="I451" s="18">
        <v>0</v>
      </c>
      <c r="J451" s="5">
        <f>COUNTIF(C$1:C451,C451)</f>
        <v>21</v>
      </c>
      <c r="K451" s="34">
        <v>25</v>
      </c>
      <c r="L451" s="5" t="s">
        <v>17</v>
      </c>
      <c r="M451" s="38" t="str">
        <f>VLOOKUP(K451,[2]stage_hints!$A:$C,3,FALSE)</f>
        <v>スキルレベルアップ</v>
      </c>
      <c r="N451" s="39" t="str">
        <f>VLOOKUP(K451,[2]stage_hints!$A:$D,4,FALSE)</f>
        <v>「クリスタルのりんご」を強化に使うと
スキルレベルを上げることができます</v>
      </c>
      <c r="O451" s="20" t="s">
        <v>24</v>
      </c>
      <c r="P451">
        <v>25</v>
      </c>
    </row>
    <row r="452" spans="1:16" x14ac:dyDescent="0.15">
      <c r="A452" s="27" t="str">
        <f t="shared" ref="A452:A466" si="65">C452&amp;"_"&amp;F452&amp;"_"&amp;J452</f>
        <v>20001_3_22</v>
      </c>
      <c r="B452" s="25" t="s">
        <v>34</v>
      </c>
      <c r="C452" s="4">
        <v>20001</v>
      </c>
      <c r="D452" s="3" t="str">
        <f ca="1">VLOOKUP($C452,OFFSET([1]quests!$A$1,0,0,COUNTA([1]quests!$A:$A),MATCH(D$1,[1]quests!$1:$1,0)-MATCH($C$1,[1]quests!$1:$1,0)+1),MATCH(D$1,[1]quests!$1:$1,0)-MATCH($C$1,[1]quests!$1:$1,0)+1,FALSE)</f>
        <v>紅き執行者</v>
      </c>
      <c r="E452" s="3" t="str">
        <f ca="1">VLOOKUP($C452,OFFSET([1]quests!$A$1,0,0,COUNTA([1]quests!$A:$A),MATCH(E$1,[1]quests!$1:$1,0)-MATCH($C$1,[1]quests!$1:$1,0)+1),MATCH(E$1,[1]quests!$1:$1,0)-MATCH($C$1,[1]quests!$1:$1,0)+1,FALSE)</f>
        <v>ドロップイベント1-1</v>
      </c>
      <c r="F452" s="5">
        <v>3</v>
      </c>
      <c r="G452" s="3" t="str">
        <f ca="1">VLOOKUP($C452&amp;"_"&amp;$F452,OFFSET([1]stages!$A$1,0,0,COUNTA([1]stages!$A:$A),MATCH(G$1,[1]stages!$2:$2,0)-MATCH("temp_stage",[1]stages!$2:$2,0)+1),MATCH(G$1,[1]stages!$2:$2,0)-MATCH("temp_stage",[1]stages!$2:$2,0)+1,FALSE)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2" s="3" t="str">
        <f ca="1">VLOOKUP($C452&amp;"_"&amp;$F452,OFFSET([1]stages!$A$1,0,0,COUNTA([1]stages!$A:$A),MATCH(H$1,[1]stages!$2:$2,0)-MATCH("temp_stage",[1]stages!$2:$2,0)+1),MATCH(H$1,[1]stages!$2:$2,0)-MATCH("temp_stage",[1]stages!$2:$2,0)+1,FALSE)</f>
        <v>ドロップイベント1-1</v>
      </c>
      <c r="I452" s="18">
        <v>0</v>
      </c>
      <c r="J452" s="5">
        <f>COUNTIF(C$1:C452,C452)</f>
        <v>22</v>
      </c>
      <c r="K452" s="34">
        <v>26</v>
      </c>
      <c r="L452" s="5" t="s">
        <v>17</v>
      </c>
      <c r="M452" s="38" t="str">
        <f>VLOOKUP(K452,[2]stage_hints!$A:$C,3,FALSE)</f>
        <v>スキルレベルの効果</v>
      </c>
      <c r="N452" s="39" t="str">
        <f>VLOOKUP(K452,[2]stage_hints!$A:$D,4,FALSE)</f>
        <v>スキルレベルが上がると
短いターンでスキルを使うことができます</v>
      </c>
      <c r="O452" s="20" t="s">
        <v>24</v>
      </c>
      <c r="P452">
        <v>26</v>
      </c>
    </row>
    <row r="453" spans="1:16" x14ac:dyDescent="0.15">
      <c r="A453" s="27" t="str">
        <f t="shared" si="65"/>
        <v>20001_3_23</v>
      </c>
      <c r="B453" s="25" t="s">
        <v>34</v>
      </c>
      <c r="C453" s="4">
        <v>20001</v>
      </c>
      <c r="D453" s="3" t="str">
        <f ca="1">VLOOKUP($C453,OFFSET([1]quests!$A$1,0,0,COUNTA([1]quests!$A:$A),MATCH(D$1,[1]quests!$1:$1,0)-MATCH($C$1,[1]quests!$1:$1,0)+1),MATCH(D$1,[1]quests!$1:$1,0)-MATCH($C$1,[1]quests!$1:$1,0)+1,FALSE)</f>
        <v>紅き執行者</v>
      </c>
      <c r="E453" s="3" t="str">
        <f ca="1">VLOOKUP($C453,OFFSET([1]quests!$A$1,0,0,COUNTA([1]quests!$A:$A),MATCH(E$1,[1]quests!$1:$1,0)-MATCH($C$1,[1]quests!$1:$1,0)+1),MATCH(E$1,[1]quests!$1:$1,0)-MATCH($C$1,[1]quests!$1:$1,0)+1,FALSE)</f>
        <v>ドロップイベント1-1</v>
      </c>
      <c r="F453" s="5">
        <v>3</v>
      </c>
      <c r="G453" s="3" t="str">
        <f ca="1">VLOOKUP($C453&amp;"_"&amp;$F453,OFFSET([1]stages!$A$1,0,0,COUNTA([1]stages!$A:$A),MATCH(G$1,[1]stages!$2:$2,0)-MATCH("temp_stage",[1]stages!$2:$2,0)+1),MATCH(G$1,[1]stages!$2:$2,0)-MATCH("temp_stage",[1]stages!$2:$2,0)+1,FALSE)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3" s="3" t="str">
        <f ca="1">VLOOKUP($C453&amp;"_"&amp;$F453,OFFSET([1]stages!$A$1,0,0,COUNTA([1]stages!$A:$A),MATCH(H$1,[1]stages!$2:$2,0)-MATCH("temp_stage",[1]stages!$2:$2,0)+1),MATCH(H$1,[1]stages!$2:$2,0)-MATCH("temp_stage",[1]stages!$2:$2,0)+1,FALSE)</f>
        <v>ドロップイベント1-1</v>
      </c>
      <c r="I453" s="18">
        <v>0</v>
      </c>
      <c r="J453" s="5">
        <f>COUNTIF(C$1:C453,C453)</f>
        <v>23</v>
      </c>
      <c r="K453" s="34">
        <v>27</v>
      </c>
      <c r="L453" s="5" t="s">
        <v>17</v>
      </c>
      <c r="M453" s="38" t="str">
        <f>VLOOKUP(K453,[2]stage_hints!$A:$C,3,FALSE)</f>
        <v>ホーム画面からデッキを編成</v>
      </c>
      <c r="N453" s="39" t="str">
        <f>VLOOKUP(K453,[2]stage_hints!$A:$D,4,FALSE)</f>
        <v>ホーム画面でユニットを長押しすると
すぐにパーティ編成に移動できます</v>
      </c>
      <c r="O453" s="20" t="s">
        <v>24</v>
      </c>
      <c r="P453">
        <v>27</v>
      </c>
    </row>
    <row r="454" spans="1:16" x14ac:dyDescent="0.15">
      <c r="A454" s="27" t="str">
        <f t="shared" si="65"/>
        <v>20001_3_24</v>
      </c>
      <c r="B454" s="25" t="s">
        <v>34</v>
      </c>
      <c r="C454" s="4">
        <v>20001</v>
      </c>
      <c r="D454" s="3" t="str">
        <f ca="1">VLOOKUP($C454,OFFSET([1]quests!$A$1,0,0,COUNTA([1]quests!$A:$A),MATCH(D$1,[1]quests!$1:$1,0)-MATCH($C$1,[1]quests!$1:$1,0)+1),MATCH(D$1,[1]quests!$1:$1,0)-MATCH($C$1,[1]quests!$1:$1,0)+1,FALSE)</f>
        <v>紅き執行者</v>
      </c>
      <c r="E454" s="3" t="str">
        <f ca="1">VLOOKUP($C454,OFFSET([1]quests!$A$1,0,0,COUNTA([1]quests!$A:$A),MATCH(E$1,[1]quests!$1:$1,0)-MATCH($C$1,[1]quests!$1:$1,0)+1),MATCH(E$1,[1]quests!$1:$1,0)-MATCH($C$1,[1]quests!$1:$1,0)+1,FALSE)</f>
        <v>ドロップイベント1-1</v>
      </c>
      <c r="F454" s="5">
        <v>3</v>
      </c>
      <c r="G454" s="3" t="str">
        <f ca="1">VLOOKUP($C454&amp;"_"&amp;$F454,OFFSET([1]stages!$A$1,0,0,COUNTA([1]stages!$A:$A),MATCH(G$1,[1]stages!$2:$2,0)-MATCH("temp_stage",[1]stages!$2:$2,0)+1),MATCH(G$1,[1]stages!$2:$2,0)-MATCH("temp_stage",[1]stages!$2:$2,0)+1,FALSE)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4" s="3" t="str">
        <f ca="1">VLOOKUP($C454&amp;"_"&amp;$F454,OFFSET([1]stages!$A$1,0,0,COUNTA([1]stages!$A:$A),MATCH(H$1,[1]stages!$2:$2,0)-MATCH("temp_stage",[1]stages!$2:$2,0)+1),MATCH(H$1,[1]stages!$2:$2,0)-MATCH("temp_stage",[1]stages!$2:$2,0)+1,FALSE)</f>
        <v>ドロップイベント1-1</v>
      </c>
      <c r="I454" s="18">
        <v>0</v>
      </c>
      <c r="J454" s="5">
        <f>COUNTIF(C$1:C454,C454)</f>
        <v>24</v>
      </c>
      <c r="K454" s="34">
        <v>28</v>
      </c>
      <c r="L454" s="5" t="s">
        <v>17</v>
      </c>
      <c r="M454" s="38" t="str">
        <f>VLOOKUP(K454,[2]stage_hints!$A:$C,3,FALSE)</f>
        <v>ステータス情報は長押しで</v>
      </c>
      <c r="N454" s="39" t="str">
        <f>VLOOKUP(K454,[2]stage_hints!$A:$D,4,FALSE)</f>
        <v>ユニットのアイコンを長押しすると
ステータス情報を確認することができます</v>
      </c>
      <c r="O454" s="20" t="s">
        <v>24</v>
      </c>
      <c r="P454">
        <v>28</v>
      </c>
    </row>
    <row r="455" spans="1:16" x14ac:dyDescent="0.15">
      <c r="A455" s="27" t="str">
        <f t="shared" si="65"/>
        <v>20001_3_25</v>
      </c>
      <c r="B455" s="25" t="s">
        <v>34</v>
      </c>
      <c r="C455" s="4">
        <v>20001</v>
      </c>
      <c r="D455" s="3" t="str">
        <f ca="1">VLOOKUP($C455,OFFSET([1]quests!$A$1,0,0,COUNTA([1]quests!$A:$A),MATCH(D$1,[1]quests!$1:$1,0)-MATCH($C$1,[1]quests!$1:$1,0)+1),MATCH(D$1,[1]quests!$1:$1,0)-MATCH($C$1,[1]quests!$1:$1,0)+1,FALSE)</f>
        <v>紅き執行者</v>
      </c>
      <c r="E455" s="3" t="str">
        <f ca="1">VLOOKUP($C455,OFFSET([1]quests!$A$1,0,0,COUNTA([1]quests!$A:$A),MATCH(E$1,[1]quests!$1:$1,0)-MATCH($C$1,[1]quests!$1:$1,0)+1),MATCH(E$1,[1]quests!$1:$1,0)-MATCH($C$1,[1]quests!$1:$1,0)+1,FALSE)</f>
        <v>ドロップイベント1-1</v>
      </c>
      <c r="F455" s="5">
        <v>3</v>
      </c>
      <c r="G455" s="3" t="str">
        <f ca="1">VLOOKUP($C455&amp;"_"&amp;$F455,OFFSET([1]stages!$A$1,0,0,COUNTA([1]stages!$A:$A),MATCH(G$1,[1]stages!$2:$2,0)-MATCH("temp_stage",[1]stages!$2:$2,0)+1),MATCH(G$1,[1]stages!$2:$2,0)-MATCH("temp_stage",[1]stages!$2:$2,0)+1,FALSE)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5" s="3" t="str">
        <f ca="1">VLOOKUP($C455&amp;"_"&amp;$F455,OFFSET([1]stages!$A$1,0,0,COUNTA([1]stages!$A:$A),MATCH(H$1,[1]stages!$2:$2,0)-MATCH("temp_stage",[1]stages!$2:$2,0)+1),MATCH(H$1,[1]stages!$2:$2,0)-MATCH("temp_stage",[1]stages!$2:$2,0)+1,FALSE)</f>
        <v>ドロップイベント1-1</v>
      </c>
      <c r="I455" s="18">
        <v>0</v>
      </c>
      <c r="J455" s="5">
        <f>COUNTIF(C$1:C455,C455)</f>
        <v>25</v>
      </c>
      <c r="K455" s="34">
        <v>29</v>
      </c>
      <c r="L455" s="5" t="s">
        <v>17</v>
      </c>
      <c r="M455" s="38" t="str">
        <f>VLOOKUP(K455,[2]stage_hints!$A:$C,3,FALSE)</f>
        <v>「バグ」のメリット</v>
      </c>
      <c r="N455" s="39" t="str">
        <f>VLOOKUP(K455,[2]stage_hints!$A:$D,4,FALSE)</f>
        <v>ユニットの「バグ」を増やすと
報酬をもらえる確率がアップします</v>
      </c>
      <c r="O455" s="20" t="s">
        <v>24</v>
      </c>
      <c r="P455">
        <v>29</v>
      </c>
    </row>
    <row r="456" spans="1:16" x14ac:dyDescent="0.15">
      <c r="A456" s="27" t="str">
        <f t="shared" si="65"/>
        <v>20001_3_26</v>
      </c>
      <c r="B456" s="25" t="s">
        <v>34</v>
      </c>
      <c r="C456" s="4">
        <v>20001</v>
      </c>
      <c r="D456" s="3" t="str">
        <f ca="1">VLOOKUP($C456,OFFSET([1]quests!$A$1,0,0,COUNTA([1]quests!$A:$A),MATCH(D$1,[1]quests!$1:$1,0)-MATCH($C$1,[1]quests!$1:$1,0)+1),MATCH(D$1,[1]quests!$1:$1,0)-MATCH($C$1,[1]quests!$1:$1,0)+1,FALSE)</f>
        <v>紅き執行者</v>
      </c>
      <c r="E456" s="3" t="str">
        <f ca="1">VLOOKUP($C456,OFFSET([1]quests!$A$1,0,0,COUNTA([1]quests!$A:$A),MATCH(E$1,[1]quests!$1:$1,0)-MATCH($C$1,[1]quests!$1:$1,0)+1),MATCH(E$1,[1]quests!$1:$1,0)-MATCH($C$1,[1]quests!$1:$1,0)+1,FALSE)</f>
        <v>ドロップイベント1-1</v>
      </c>
      <c r="F456" s="5">
        <v>3</v>
      </c>
      <c r="G456" s="3" t="str">
        <f ca="1">VLOOKUP($C456&amp;"_"&amp;$F456,OFFSET([1]stages!$A$1,0,0,COUNTA([1]stages!$A:$A),MATCH(G$1,[1]stages!$2:$2,0)-MATCH("temp_stage",[1]stages!$2:$2,0)+1),MATCH(G$1,[1]stages!$2:$2,0)-MATCH("temp_stage",[1]stages!$2:$2,0)+1,FALSE)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6" s="3" t="str">
        <f ca="1">VLOOKUP($C456&amp;"_"&amp;$F456,OFFSET([1]stages!$A$1,0,0,COUNTA([1]stages!$A:$A),MATCH(H$1,[1]stages!$2:$2,0)-MATCH("temp_stage",[1]stages!$2:$2,0)+1),MATCH(H$1,[1]stages!$2:$2,0)-MATCH("temp_stage",[1]stages!$2:$2,0)+1,FALSE)</f>
        <v>ドロップイベント1-1</v>
      </c>
      <c r="I456" s="18">
        <v>0</v>
      </c>
      <c r="J456" s="5">
        <f>COUNTIF(C$1:C456,C456)</f>
        <v>26</v>
      </c>
      <c r="K456" s="34">
        <v>30</v>
      </c>
      <c r="L456" s="5" t="s">
        <v>17</v>
      </c>
      <c r="M456" s="38" t="str">
        <f>VLOOKUP(K456,[2]stage_hints!$A:$C,3,FALSE)</f>
        <v>「バグ」の増やし方</v>
      </c>
      <c r="N456" s="39" t="str">
        <f>VLOOKUP(K456,[2]stage_hints!$A:$D,4,FALSE)</f>
        <v>同じユニット同士を強化で合成すると
「バグ」を増やすことができます</v>
      </c>
      <c r="O456" s="20" t="s">
        <v>24</v>
      </c>
      <c r="P456">
        <v>30</v>
      </c>
    </row>
    <row r="457" spans="1:16" x14ac:dyDescent="0.15">
      <c r="A457" s="27" t="str">
        <f t="shared" si="65"/>
        <v>20001_3_27</v>
      </c>
      <c r="B457" s="25" t="s">
        <v>34</v>
      </c>
      <c r="C457" s="4">
        <v>20001</v>
      </c>
      <c r="D457" s="3" t="str">
        <f ca="1">VLOOKUP($C457,OFFSET([1]quests!$A$1,0,0,COUNTA([1]quests!$A:$A),MATCH(D$1,[1]quests!$1:$1,0)-MATCH($C$1,[1]quests!$1:$1,0)+1),MATCH(D$1,[1]quests!$1:$1,0)-MATCH($C$1,[1]quests!$1:$1,0)+1,FALSE)</f>
        <v>紅き執行者</v>
      </c>
      <c r="E457" s="3" t="str">
        <f ca="1">VLOOKUP($C457,OFFSET([1]quests!$A$1,0,0,COUNTA([1]quests!$A:$A),MATCH(E$1,[1]quests!$1:$1,0)-MATCH($C$1,[1]quests!$1:$1,0)+1),MATCH(E$1,[1]quests!$1:$1,0)-MATCH($C$1,[1]quests!$1:$1,0)+1,FALSE)</f>
        <v>ドロップイベント1-1</v>
      </c>
      <c r="F457" s="5">
        <v>3</v>
      </c>
      <c r="G457" s="3" t="str">
        <f ca="1">VLOOKUP($C457&amp;"_"&amp;$F457,OFFSET([1]stages!$A$1,0,0,COUNTA([1]stages!$A:$A),MATCH(G$1,[1]stages!$2:$2,0)-MATCH("temp_stage",[1]stages!$2:$2,0)+1),MATCH(G$1,[1]stages!$2:$2,0)-MATCH("temp_stage",[1]stages!$2:$2,0)+1,FALSE)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7" s="3" t="str">
        <f ca="1">VLOOKUP($C457&amp;"_"&amp;$F457,OFFSET([1]stages!$A$1,0,0,COUNTA([1]stages!$A:$A),MATCH(H$1,[1]stages!$2:$2,0)-MATCH("temp_stage",[1]stages!$2:$2,0)+1),MATCH(H$1,[1]stages!$2:$2,0)-MATCH("temp_stage",[1]stages!$2:$2,0)+1,FALSE)</f>
        <v>ドロップイベント1-1</v>
      </c>
      <c r="I457" s="18">
        <v>0</v>
      </c>
      <c r="J457" s="5">
        <f>COUNTIF(C$1:C457,C457)</f>
        <v>27</v>
      </c>
      <c r="K457" s="34">
        <v>31</v>
      </c>
      <c r="L457" s="5" t="s">
        <v>17</v>
      </c>
      <c r="M457" s="38" t="str">
        <f>VLOOKUP(K457,[2]stage_hints!$A:$C,3,FALSE)</f>
        <v>イベントはお知らせでチェック</v>
      </c>
      <c r="N457" s="39" t="str">
        <f>VLOOKUP(K457,[2]stage_hints!$A:$D,4,FALSE)</f>
        <v>イベント限定ユニットを取り忘れないように
お知らせをこまめにチェックしましょう</v>
      </c>
      <c r="O457" s="20" t="s">
        <v>24</v>
      </c>
      <c r="P457">
        <v>31</v>
      </c>
    </row>
    <row r="458" spans="1:16" x14ac:dyDescent="0.15">
      <c r="A458" s="27" t="str">
        <f t="shared" si="65"/>
        <v>20001_3_28</v>
      </c>
      <c r="B458" s="25" t="s">
        <v>34</v>
      </c>
      <c r="C458" s="4">
        <v>20001</v>
      </c>
      <c r="D458" s="3" t="str">
        <f ca="1">VLOOKUP($C458,OFFSET([1]quests!$A$1,0,0,COUNTA([1]quests!$A:$A),MATCH(D$1,[1]quests!$1:$1,0)-MATCH($C$1,[1]quests!$1:$1,0)+1),MATCH(D$1,[1]quests!$1:$1,0)-MATCH($C$1,[1]quests!$1:$1,0)+1,FALSE)</f>
        <v>紅き執行者</v>
      </c>
      <c r="E458" s="3" t="str">
        <f ca="1">VLOOKUP($C458,OFFSET([1]quests!$A$1,0,0,COUNTA([1]quests!$A:$A),MATCH(E$1,[1]quests!$1:$1,0)-MATCH($C$1,[1]quests!$1:$1,0)+1),MATCH(E$1,[1]quests!$1:$1,0)-MATCH($C$1,[1]quests!$1:$1,0)+1,FALSE)</f>
        <v>ドロップイベント1-1</v>
      </c>
      <c r="F458" s="5">
        <v>3</v>
      </c>
      <c r="G458" s="3" t="str">
        <f ca="1">VLOOKUP($C458&amp;"_"&amp;$F458,OFFSET([1]stages!$A$1,0,0,COUNTA([1]stages!$A:$A),MATCH(G$1,[1]stages!$2:$2,0)-MATCH("temp_stage",[1]stages!$2:$2,0)+1),MATCH(G$1,[1]stages!$2:$2,0)-MATCH("temp_stage",[1]stages!$2:$2,0)+1,FALSE)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8" s="3" t="str">
        <f ca="1">VLOOKUP($C458&amp;"_"&amp;$F458,OFFSET([1]stages!$A$1,0,0,COUNTA([1]stages!$A:$A),MATCH(H$1,[1]stages!$2:$2,0)-MATCH("temp_stage",[1]stages!$2:$2,0)+1),MATCH(H$1,[1]stages!$2:$2,0)-MATCH("temp_stage",[1]stages!$2:$2,0)+1,FALSE)</f>
        <v>ドロップイベント1-1</v>
      </c>
      <c r="I458" s="18">
        <v>0</v>
      </c>
      <c r="J458" s="5">
        <f>COUNTIF(C$1:C458,C458)</f>
        <v>28</v>
      </c>
      <c r="K458" s="34">
        <v>32</v>
      </c>
      <c r="L458" s="5" t="s">
        <v>17</v>
      </c>
      <c r="M458" s="38" t="str">
        <f>VLOOKUP(K458,[2]stage_hints!$A:$C,3,FALSE)</f>
        <v>敵の連続攻撃には</v>
      </c>
      <c r="N458" s="39" t="str">
        <f>VLOOKUP(K458,[2]stage_hints!$A:$D,4,FALSE)</f>
        <v>カウンタースキルを持つユニットがいれば
ダメージ回数分の反撃ができます</v>
      </c>
      <c r="O458" s="20" t="s">
        <v>24</v>
      </c>
      <c r="P458">
        <v>32</v>
      </c>
    </row>
    <row r="459" spans="1:16" x14ac:dyDescent="0.15">
      <c r="A459" s="27" t="str">
        <f t="shared" si="65"/>
        <v>20001_3_29</v>
      </c>
      <c r="B459" s="25" t="s">
        <v>34</v>
      </c>
      <c r="C459" s="4">
        <v>20001</v>
      </c>
      <c r="D459" s="3" t="str">
        <f ca="1">VLOOKUP($C459,OFFSET([1]quests!$A$1,0,0,COUNTA([1]quests!$A:$A),MATCH(D$1,[1]quests!$1:$1,0)-MATCH($C$1,[1]quests!$1:$1,0)+1),MATCH(D$1,[1]quests!$1:$1,0)-MATCH($C$1,[1]quests!$1:$1,0)+1,FALSE)</f>
        <v>紅き執行者</v>
      </c>
      <c r="E459" s="3" t="str">
        <f ca="1">VLOOKUP($C459,OFFSET([1]quests!$A$1,0,0,COUNTA([1]quests!$A:$A),MATCH(E$1,[1]quests!$1:$1,0)-MATCH($C$1,[1]quests!$1:$1,0)+1),MATCH(E$1,[1]quests!$1:$1,0)-MATCH($C$1,[1]quests!$1:$1,0)+1,FALSE)</f>
        <v>ドロップイベント1-1</v>
      </c>
      <c r="F459" s="5">
        <v>3</v>
      </c>
      <c r="G459" s="3" t="str">
        <f ca="1">VLOOKUP($C459&amp;"_"&amp;$F459,OFFSET([1]stages!$A$1,0,0,COUNTA([1]stages!$A:$A),MATCH(G$1,[1]stages!$2:$2,0)-MATCH("temp_stage",[1]stages!$2:$2,0)+1),MATCH(G$1,[1]stages!$2:$2,0)-MATCH("temp_stage",[1]stages!$2:$2,0)+1,FALSE)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59" s="3" t="str">
        <f ca="1">VLOOKUP($C459&amp;"_"&amp;$F459,OFFSET([1]stages!$A$1,0,0,COUNTA([1]stages!$A:$A),MATCH(H$1,[1]stages!$2:$2,0)-MATCH("temp_stage",[1]stages!$2:$2,0)+1),MATCH(H$1,[1]stages!$2:$2,0)-MATCH("temp_stage",[1]stages!$2:$2,0)+1,FALSE)</f>
        <v>ドロップイベント1-1</v>
      </c>
      <c r="I459" s="18">
        <v>0</v>
      </c>
      <c r="J459" s="5">
        <f>COUNTIF(C$1:C459,C459)</f>
        <v>29</v>
      </c>
      <c r="K459" s="34">
        <v>33</v>
      </c>
      <c r="L459" s="5" t="s">
        <v>17</v>
      </c>
      <c r="M459" s="38" t="str">
        <f>VLOOKUP(K459,[2]stage_hints!$A:$C,3,FALSE)</f>
        <v>敵のカウンター攻撃には</v>
      </c>
      <c r="N459" s="39" t="str">
        <f>VLOOKUP(K459,[2]stage_hints!$A:$D,4,FALSE)</f>
        <v>カウンターブレイクスキルを持っていれば
敵のカウンターを解除して攻撃ができます</v>
      </c>
      <c r="O459" s="20" t="s">
        <v>24</v>
      </c>
      <c r="P459">
        <v>33</v>
      </c>
    </row>
    <row r="460" spans="1:16" x14ac:dyDescent="0.15">
      <c r="A460" s="27" t="str">
        <f t="shared" si="65"/>
        <v>20001_3_30</v>
      </c>
      <c r="B460" s="25" t="s">
        <v>34</v>
      </c>
      <c r="C460" s="4">
        <v>20001</v>
      </c>
      <c r="D460" s="3" t="str">
        <f ca="1">VLOOKUP($C460,OFFSET([1]quests!$A$1,0,0,COUNTA([1]quests!$A:$A),MATCH(D$1,[1]quests!$1:$1,0)-MATCH($C$1,[1]quests!$1:$1,0)+1),MATCH(D$1,[1]quests!$1:$1,0)-MATCH($C$1,[1]quests!$1:$1,0)+1,FALSE)</f>
        <v>紅き執行者</v>
      </c>
      <c r="E460" s="3" t="str">
        <f ca="1">VLOOKUP($C460,OFFSET([1]quests!$A$1,0,0,COUNTA([1]quests!$A:$A),MATCH(E$1,[1]quests!$1:$1,0)-MATCH($C$1,[1]quests!$1:$1,0)+1),MATCH(E$1,[1]quests!$1:$1,0)-MATCH($C$1,[1]quests!$1:$1,0)+1,FALSE)</f>
        <v>ドロップイベント1-1</v>
      </c>
      <c r="F460" s="5">
        <v>3</v>
      </c>
      <c r="G460" s="3" t="str">
        <f ca="1">VLOOKUP($C460&amp;"_"&amp;$F460,OFFSET([1]stages!$A$1,0,0,COUNTA([1]stages!$A:$A),MATCH(G$1,[1]stages!$2:$2,0)-MATCH("temp_stage",[1]stages!$2:$2,0)+1),MATCH(G$1,[1]stages!$2:$2,0)-MATCH("temp_stage",[1]stages!$2:$2,0)+1,FALSE)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60" s="3" t="str">
        <f ca="1">VLOOKUP($C460&amp;"_"&amp;$F460,OFFSET([1]stages!$A$1,0,0,COUNTA([1]stages!$A:$A),MATCH(H$1,[1]stages!$2:$2,0)-MATCH("temp_stage",[1]stages!$2:$2,0)+1),MATCH(H$1,[1]stages!$2:$2,0)-MATCH("temp_stage",[1]stages!$2:$2,0)+1,FALSE)</f>
        <v>ドロップイベント1-1</v>
      </c>
      <c r="I460" s="18">
        <v>0</v>
      </c>
      <c r="J460" s="5">
        <f>COUNTIF(C$1:C460,C460)</f>
        <v>30</v>
      </c>
      <c r="K460" s="34">
        <v>34</v>
      </c>
      <c r="L460" s="5" t="s">
        <v>17</v>
      </c>
      <c r="M460" s="38" t="str">
        <f>VLOOKUP(K460,[2]stage_hints!$A:$C,3,FALSE)</f>
        <v>ステータスをスキルで下げられたら</v>
      </c>
      <c r="N460" s="39" t="str">
        <f>VLOOKUP(K460,[2]stage_hints!$A:$D,4,FALSE)</f>
        <v>ステータスダウンのスキルを受けたら
ステータスアップスキルで上書きしましょう</v>
      </c>
      <c r="O460" s="20" t="s">
        <v>24</v>
      </c>
      <c r="P460">
        <v>34</v>
      </c>
    </row>
    <row r="461" spans="1:16" x14ac:dyDescent="0.15">
      <c r="A461" s="27" t="str">
        <f t="shared" si="65"/>
        <v>20001_3_31</v>
      </c>
      <c r="B461" s="25" t="s">
        <v>34</v>
      </c>
      <c r="C461" s="4">
        <v>20001</v>
      </c>
      <c r="D461" s="3" t="str">
        <f ca="1">VLOOKUP($C461,OFFSET([1]quests!$A$1,0,0,COUNTA([1]quests!$A:$A),MATCH(D$1,[1]quests!$1:$1,0)-MATCH($C$1,[1]quests!$1:$1,0)+1),MATCH(D$1,[1]quests!$1:$1,0)-MATCH($C$1,[1]quests!$1:$1,0)+1,FALSE)</f>
        <v>紅き執行者</v>
      </c>
      <c r="E461" s="3" t="str">
        <f ca="1">VLOOKUP($C461,OFFSET([1]quests!$A$1,0,0,COUNTA([1]quests!$A:$A),MATCH(E$1,[1]quests!$1:$1,0)-MATCH($C$1,[1]quests!$1:$1,0)+1),MATCH(E$1,[1]quests!$1:$1,0)-MATCH($C$1,[1]quests!$1:$1,0)+1,FALSE)</f>
        <v>ドロップイベント1-1</v>
      </c>
      <c r="F461" s="5">
        <v>3</v>
      </c>
      <c r="G461" s="3" t="str">
        <f ca="1">VLOOKUP($C461&amp;"_"&amp;$F461,OFFSET([1]stages!$A$1,0,0,COUNTA([1]stages!$A:$A),MATCH(G$1,[1]stages!$2:$2,0)-MATCH("temp_stage",[1]stages!$2:$2,0)+1),MATCH(G$1,[1]stages!$2:$2,0)-MATCH("temp_stage",[1]stages!$2:$2,0)+1,FALSE)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61" s="3" t="str">
        <f ca="1">VLOOKUP($C461&amp;"_"&amp;$F461,OFFSET([1]stages!$A$1,0,0,COUNTA([1]stages!$A:$A),MATCH(H$1,[1]stages!$2:$2,0)-MATCH("temp_stage",[1]stages!$2:$2,0)+1),MATCH(H$1,[1]stages!$2:$2,0)-MATCH("temp_stage",[1]stages!$2:$2,0)+1,FALSE)</f>
        <v>ドロップイベント1-1</v>
      </c>
      <c r="I461" s="18">
        <v>0</v>
      </c>
      <c r="J461" s="5">
        <f>COUNTIF(C$1:C461,C461)</f>
        <v>31</v>
      </c>
      <c r="K461" s="34">
        <v>35</v>
      </c>
      <c r="L461" s="5" t="s">
        <v>17</v>
      </c>
      <c r="M461" s="38" t="str">
        <f>VLOOKUP(K461,[2]stage_hints!$A:$C,3,FALSE)</f>
        <v>敵のステータスがスキルで上がったら</v>
      </c>
      <c r="N461" s="39" t="str">
        <f>VLOOKUP(K461,[2]stage_hints!$A:$D,4,FALSE)</f>
        <v>敵のステータスがスキルでアップしたときは
ステータスダウンスキルで上書きしましょう</v>
      </c>
      <c r="O461" s="20" t="s">
        <v>24</v>
      </c>
      <c r="P461">
        <v>35</v>
      </c>
    </row>
    <row r="462" spans="1:16" x14ac:dyDescent="0.15">
      <c r="A462" s="27" t="str">
        <f t="shared" si="65"/>
        <v>20001_3_32</v>
      </c>
      <c r="B462" s="25" t="s">
        <v>34</v>
      </c>
      <c r="C462" s="4">
        <v>20001</v>
      </c>
      <c r="D462" s="3" t="str">
        <f ca="1">VLOOKUP($C462,OFFSET([1]quests!$A$1,0,0,COUNTA([1]quests!$A:$A),MATCH(D$1,[1]quests!$1:$1,0)-MATCH($C$1,[1]quests!$1:$1,0)+1),MATCH(D$1,[1]quests!$1:$1,0)-MATCH($C$1,[1]quests!$1:$1,0)+1,FALSE)</f>
        <v>紅き執行者</v>
      </c>
      <c r="E462" s="3" t="str">
        <f ca="1">VLOOKUP($C462,OFFSET([1]quests!$A$1,0,0,COUNTA([1]quests!$A:$A),MATCH(E$1,[1]quests!$1:$1,0)-MATCH($C$1,[1]quests!$1:$1,0)+1),MATCH(E$1,[1]quests!$1:$1,0)-MATCH($C$1,[1]quests!$1:$1,0)+1,FALSE)</f>
        <v>ドロップイベント1-1</v>
      </c>
      <c r="F462" s="5">
        <v>3</v>
      </c>
      <c r="G462" s="3" t="str">
        <f ca="1">VLOOKUP($C462&amp;"_"&amp;$F462,OFFSET([1]stages!$A$1,0,0,COUNTA([1]stages!$A:$A),MATCH(G$1,[1]stages!$2:$2,0)-MATCH("temp_stage",[1]stages!$2:$2,0)+1),MATCH(G$1,[1]stages!$2:$2,0)-MATCH("temp_stage",[1]stages!$2:$2,0)+1,FALSE)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62" s="3" t="str">
        <f ca="1">VLOOKUP($C462&amp;"_"&amp;$F462,OFFSET([1]stages!$A$1,0,0,COUNTA([1]stages!$A:$A),MATCH(H$1,[1]stages!$2:$2,0)-MATCH("temp_stage",[1]stages!$2:$2,0)+1),MATCH(H$1,[1]stages!$2:$2,0)-MATCH("temp_stage",[1]stages!$2:$2,0)+1,FALSE)</f>
        <v>ドロップイベント1-1</v>
      </c>
      <c r="I462" s="18">
        <v>0</v>
      </c>
      <c r="J462" s="5">
        <f>COUNTIF(C$1:C462,C462)</f>
        <v>32</v>
      </c>
      <c r="K462" s="34">
        <v>36</v>
      </c>
      <c r="L462" s="5" t="s">
        <v>17</v>
      </c>
      <c r="M462" s="38" t="str">
        <f>VLOOKUP(K462,[2]stage_hints!$A:$C,3,FALSE)</f>
        <v>チャレンジタワーのボス</v>
      </c>
      <c r="N462" s="39" t="str">
        <f>VLOOKUP(K462,[2]stage_hints!$A:$D,4,FALSE)</f>
        <v>チャレンジタワーでのみ登場するボスは
一定確率で獲得することができます</v>
      </c>
      <c r="O462" s="20" t="s">
        <v>24</v>
      </c>
      <c r="P462">
        <v>36</v>
      </c>
    </row>
    <row r="463" spans="1:16" x14ac:dyDescent="0.15">
      <c r="A463" s="27" t="str">
        <f t="shared" si="65"/>
        <v>20001_3_33</v>
      </c>
      <c r="B463" s="25" t="s">
        <v>34</v>
      </c>
      <c r="C463" s="4">
        <v>20001</v>
      </c>
      <c r="D463" s="3" t="str">
        <f ca="1">VLOOKUP($C463,OFFSET([1]quests!$A$1,0,0,COUNTA([1]quests!$A:$A),MATCH(D$1,[1]quests!$1:$1,0)-MATCH($C$1,[1]quests!$1:$1,0)+1),MATCH(D$1,[1]quests!$1:$1,0)-MATCH($C$1,[1]quests!$1:$1,0)+1,FALSE)</f>
        <v>紅き執行者</v>
      </c>
      <c r="E463" s="3" t="str">
        <f ca="1">VLOOKUP($C463,OFFSET([1]quests!$A$1,0,0,COUNTA([1]quests!$A:$A),MATCH(E$1,[1]quests!$1:$1,0)-MATCH($C$1,[1]quests!$1:$1,0)+1),MATCH(E$1,[1]quests!$1:$1,0)-MATCH($C$1,[1]quests!$1:$1,0)+1,FALSE)</f>
        <v>ドロップイベント1-1</v>
      </c>
      <c r="F463" s="5">
        <v>3</v>
      </c>
      <c r="G463" s="3" t="str">
        <f ca="1">VLOOKUP($C463&amp;"_"&amp;$F463,OFFSET([1]stages!$A$1,0,0,COUNTA([1]stages!$A:$A),MATCH(G$1,[1]stages!$2:$2,0)-MATCH("temp_stage",[1]stages!$2:$2,0)+1),MATCH(G$1,[1]stages!$2:$2,0)-MATCH("temp_stage",[1]stages!$2:$2,0)+1,FALSE)</f>
        <v xml:space="preserve">【上級】紅き執行者 </v>
      </c>
      <c r="H463" s="3" t="str">
        <f ca="1">VLOOKUP($C463&amp;"_"&amp;$F463,OFFSET([1]stages!$A$1,0,0,COUNTA([1]stages!$A:$A),MATCH(H$1,[1]stages!$2:$2,0)-MATCH("temp_stage",[1]stages!$2:$2,0)+1),MATCH(H$1,[1]stages!$2:$2,0)-MATCH("temp_stage",[1]stages!$2:$2,0)+1,FALSE)</f>
        <v>ドロップイベント1-1</v>
      </c>
      <c r="I463" s="18">
        <v>0</v>
      </c>
      <c r="J463" s="5">
        <f>COUNTIF(C$1:C463,C463)</f>
        <v>33</v>
      </c>
      <c r="K463" s="34">
        <v>37</v>
      </c>
      <c r="L463" s="5" t="s">
        <v>17</v>
      </c>
      <c r="M463" s="38" t="str">
        <f>VLOOKUP(K463,[2]stage_hints!$A:$C,3,FALSE)</f>
        <v>限界突破値の引き継ぎ</v>
      </c>
      <c r="N463" s="39" t="str">
        <f>VLOOKUP(K463,[2]stage_hints!$A:$D,4,FALSE)</f>
        <v>同じユニットを強化で合成すると
限界突破値を引き継げます（覚醒前後も可）</v>
      </c>
      <c r="O463" s="20" t="s">
        <v>24</v>
      </c>
      <c r="P463">
        <v>37</v>
      </c>
    </row>
    <row r="464" spans="1:16" x14ac:dyDescent="0.15">
      <c r="A464" s="27" t="str">
        <f t="shared" si="65"/>
        <v>20002_3_1</v>
      </c>
      <c r="B464" s="25" t="s">
        <v>34</v>
      </c>
      <c r="C464" s="4">
        <v>20002</v>
      </c>
      <c r="D464" s="3" t="str">
        <f ca="1">VLOOKUP($C464,OFFSET([1]quests!$A$1,0,0,COUNTA([1]quests!$A:$A),MATCH(D$1,[1]quests!$1:$1,0)-MATCH($C$1,[1]quests!$1:$1,0)+1),MATCH(D$1,[1]quests!$1:$1,0)-MATCH($C$1,[1]quests!$1:$1,0)+1,FALSE)</f>
        <v>孤高の一角獣</v>
      </c>
      <c r="E464" s="3" t="str">
        <f ca="1">VLOOKUP($C464,OFFSET([1]quests!$A$1,0,0,COUNTA([1]quests!$A:$A),MATCH(E$1,[1]quests!$1:$1,0)-MATCH($C$1,[1]quests!$1:$1,0)+1),MATCH(E$1,[1]quests!$1:$1,0)-MATCH($C$1,[1]quests!$1:$1,0)+1,FALSE)</f>
        <v>ドロップイベント1-2</v>
      </c>
      <c r="F464" s="5">
        <v>3</v>
      </c>
      <c r="G464" s="3" t="str">
        <f ca="1">VLOOKUP($C464&amp;"_"&amp;$F464,OFFSET([1]stages!$A$1,0,0,COUNTA([1]stages!$A:$A),MATCH(G$1,[1]stages!$2:$2,0)-MATCH("temp_stage",[1]stages!$2:$2,0)+1),MATCH(G$1,[1]stages!$2:$2,0)-MATCH("temp_stage",[1]stages!$2:$2,0)+1,FALSE)</f>
        <v>【上級】孤高の一角獣</v>
      </c>
      <c r="H464" s="3" t="str">
        <f ca="1">VLOOKUP($C464&amp;"_"&amp;$F464,OFFSET([1]stages!$A$1,0,0,COUNTA([1]stages!$A:$A),MATCH(H$1,[1]stages!$2:$2,0)-MATCH("temp_stage",[1]stages!$2:$2,0)+1),MATCH(H$1,[1]stages!$2:$2,0)-MATCH("temp_stage",[1]stages!$2:$2,0)+1,FALSE)</f>
        <v>ドロップイベント1-2</v>
      </c>
      <c r="I464" s="18">
        <v>0</v>
      </c>
      <c r="J464" s="5">
        <f>COUNTIF(C$1:C464,C464)</f>
        <v>1</v>
      </c>
      <c r="K464" s="34">
        <v>3</v>
      </c>
      <c r="L464" s="5" t="s">
        <v>17</v>
      </c>
      <c r="M464" s="38" t="str">
        <f>VLOOKUP(K464,[2]stage_hints!$A:$C,3,FALSE)</f>
        <v>ターゲット</v>
      </c>
      <c r="N464" s="39" t="str">
        <f>VLOOKUP(K464,[2]stage_hints!$A:$D,4,FALSE)</f>
        <v>敵ユニットをタップすると
その敵を狙い撃ちできます</v>
      </c>
      <c r="O464" s="20" t="s">
        <v>24</v>
      </c>
      <c r="P464">
        <v>3</v>
      </c>
    </row>
    <row r="465" spans="1:16" x14ac:dyDescent="0.15">
      <c r="A465" s="27" t="str">
        <f t="shared" si="65"/>
        <v>20002_3_2</v>
      </c>
      <c r="B465" s="25" t="s">
        <v>34</v>
      </c>
      <c r="C465" s="4">
        <v>20002</v>
      </c>
      <c r="D465" s="3" t="str">
        <f ca="1">VLOOKUP($C465,OFFSET([1]quests!$A$1,0,0,COUNTA([1]quests!$A:$A),MATCH(D$1,[1]quests!$1:$1,0)-MATCH($C$1,[1]quests!$1:$1,0)+1),MATCH(D$1,[1]quests!$1:$1,0)-MATCH($C$1,[1]quests!$1:$1,0)+1,FALSE)</f>
        <v>孤高の一角獣</v>
      </c>
      <c r="E465" s="3" t="str">
        <f ca="1">VLOOKUP($C465,OFFSET([1]quests!$A$1,0,0,COUNTA([1]quests!$A:$A),MATCH(E$1,[1]quests!$1:$1,0)-MATCH($C$1,[1]quests!$1:$1,0)+1),MATCH(E$1,[1]quests!$1:$1,0)-MATCH($C$1,[1]quests!$1:$1,0)+1,FALSE)</f>
        <v>ドロップイベント1-2</v>
      </c>
      <c r="F465" s="5">
        <v>3</v>
      </c>
      <c r="G465" s="3" t="str">
        <f ca="1">VLOOKUP($C465&amp;"_"&amp;$F465,OFFSET([1]stages!$A$1,0,0,COUNTA([1]stages!$A:$A),MATCH(G$1,[1]stages!$2:$2,0)-MATCH("temp_stage",[1]stages!$2:$2,0)+1),MATCH(G$1,[1]stages!$2:$2,0)-MATCH("temp_stage",[1]stages!$2:$2,0)+1,FALSE)</f>
        <v>【上級】孤高の一角獣</v>
      </c>
      <c r="H465" s="3" t="str">
        <f ca="1">VLOOKUP($C465&amp;"_"&amp;$F465,OFFSET([1]stages!$A$1,0,0,COUNTA([1]stages!$A:$A),MATCH(H$1,[1]stages!$2:$2,0)-MATCH("temp_stage",[1]stages!$2:$2,0)+1),MATCH(H$1,[1]stages!$2:$2,0)-MATCH("temp_stage",[1]stages!$2:$2,0)+1,FALSE)</f>
        <v>ドロップイベント1-2</v>
      </c>
      <c r="I465" s="18">
        <v>0</v>
      </c>
      <c r="J465" s="5">
        <f>COUNTIF(C$1:C465,C465)</f>
        <v>2</v>
      </c>
      <c r="K465" s="34">
        <v>6</v>
      </c>
      <c r="L465" s="5" t="s">
        <v>17</v>
      </c>
      <c r="M465" s="38" t="str">
        <f>VLOOKUP(K465,[2]stage_hints!$A:$C,3,FALSE)</f>
        <v>ユニット強化の属性ボーナス</v>
      </c>
      <c r="N465" s="39" t="str">
        <f>VLOOKUP(K465,[2]stage_hints!$A:$D,4,FALSE)</f>
        <v>同属性ユニットを強化素材にすると
経験値が多くもらえます</v>
      </c>
      <c r="O465" s="20" t="s">
        <v>24</v>
      </c>
      <c r="P465">
        <v>6</v>
      </c>
    </row>
    <row r="466" spans="1:16" x14ac:dyDescent="0.15">
      <c r="A466" s="27" t="str">
        <f t="shared" si="65"/>
        <v>20002_3_3</v>
      </c>
      <c r="B466" s="25" t="s">
        <v>34</v>
      </c>
      <c r="C466" s="4">
        <v>20002</v>
      </c>
      <c r="D466" s="3" t="str">
        <f ca="1">VLOOKUP($C466,OFFSET([1]quests!$A$1,0,0,COUNTA([1]quests!$A:$A),MATCH(D$1,[1]quests!$1:$1,0)-MATCH($C$1,[1]quests!$1:$1,0)+1),MATCH(D$1,[1]quests!$1:$1,0)-MATCH($C$1,[1]quests!$1:$1,0)+1,FALSE)</f>
        <v>孤高の一角獣</v>
      </c>
      <c r="E466" s="3" t="str">
        <f ca="1">VLOOKUP($C466,OFFSET([1]quests!$A$1,0,0,COUNTA([1]quests!$A:$A),MATCH(E$1,[1]quests!$1:$1,0)-MATCH($C$1,[1]quests!$1:$1,0)+1),MATCH(E$1,[1]quests!$1:$1,0)-MATCH($C$1,[1]quests!$1:$1,0)+1,FALSE)</f>
        <v>ドロップイベント1-2</v>
      </c>
      <c r="F466" s="5">
        <v>3</v>
      </c>
      <c r="G466" s="3" t="str">
        <f ca="1">VLOOKUP($C466&amp;"_"&amp;$F466,OFFSET([1]stages!$A$1,0,0,COUNTA([1]stages!$A:$A),MATCH(G$1,[1]stages!$2:$2,0)-MATCH("temp_stage",[1]stages!$2:$2,0)+1),MATCH(G$1,[1]stages!$2:$2,0)-MATCH("temp_stage",[1]stages!$2:$2,0)+1,FALSE)</f>
        <v>【上級】孤高の一角獣</v>
      </c>
      <c r="H466" s="3" t="str">
        <f ca="1">VLOOKUP($C466&amp;"_"&amp;$F466,OFFSET([1]stages!$A$1,0,0,COUNTA([1]stages!$A:$A),MATCH(H$1,[1]stages!$2:$2,0)-MATCH("temp_stage",[1]stages!$2:$2,0)+1),MATCH(H$1,[1]stages!$2:$2,0)-MATCH("temp_stage",[1]stages!$2:$2,0)+1,FALSE)</f>
        <v>ドロップイベント1-2</v>
      </c>
      <c r="I466" s="18">
        <v>0</v>
      </c>
      <c r="J466" s="5">
        <f>COUNTIF(C$1:C466,C466)</f>
        <v>3</v>
      </c>
      <c r="K466" s="34">
        <v>7</v>
      </c>
      <c r="L466" s="5" t="s">
        <v>17</v>
      </c>
      <c r="M466" s="38" t="str">
        <f>VLOOKUP(K466,[2]stage_hints!$A:$C,3,FALSE)</f>
        <v>メタルダックで経験値を獲得</v>
      </c>
      <c r="N466" s="39" t="str">
        <f>VLOOKUP(K466,[2]stage_hints!$A:$D,4,FALSE)</f>
        <v>「メタルなアヒル」を強化素材にすると
大量の経験値がもらえます</v>
      </c>
      <c r="O466" s="20" t="s">
        <v>24</v>
      </c>
      <c r="P466">
        <v>7</v>
      </c>
    </row>
    <row r="467" spans="1:16" x14ac:dyDescent="0.15">
      <c r="A467" s="27" t="str">
        <f t="shared" ref="A467:A480" si="66">C467&amp;"_"&amp;F467&amp;"_"&amp;J467</f>
        <v>20002_3_4</v>
      </c>
      <c r="B467" s="25" t="s">
        <v>34</v>
      </c>
      <c r="C467" s="4">
        <v>20002</v>
      </c>
      <c r="D467" s="3" t="str">
        <f ca="1">VLOOKUP($C467,OFFSET([1]quests!$A$1,0,0,COUNTA([1]quests!$A:$A),MATCH(D$1,[1]quests!$1:$1,0)-MATCH($C$1,[1]quests!$1:$1,0)+1),MATCH(D$1,[1]quests!$1:$1,0)-MATCH($C$1,[1]quests!$1:$1,0)+1,FALSE)</f>
        <v>孤高の一角獣</v>
      </c>
      <c r="E467" s="3" t="str">
        <f ca="1">VLOOKUP($C467,OFFSET([1]quests!$A$1,0,0,COUNTA([1]quests!$A:$A),MATCH(E$1,[1]quests!$1:$1,0)-MATCH($C$1,[1]quests!$1:$1,0)+1),MATCH(E$1,[1]quests!$1:$1,0)-MATCH($C$1,[1]quests!$1:$1,0)+1,FALSE)</f>
        <v>ドロップイベント1-2</v>
      </c>
      <c r="F467" s="5">
        <v>3</v>
      </c>
      <c r="G467" s="3" t="str">
        <f ca="1">VLOOKUP($C467&amp;"_"&amp;$F467,OFFSET([1]stages!$A$1,0,0,COUNTA([1]stages!$A:$A),MATCH(G$1,[1]stages!$2:$2,0)-MATCH("temp_stage",[1]stages!$2:$2,0)+1),MATCH(G$1,[1]stages!$2:$2,0)-MATCH("temp_stage",[1]stages!$2:$2,0)+1,FALSE)</f>
        <v>【上級】孤高の一角獣</v>
      </c>
      <c r="H467" s="3" t="str">
        <f ca="1">VLOOKUP($C467&amp;"_"&amp;$F467,OFFSET([1]stages!$A$1,0,0,COUNTA([1]stages!$A:$A),MATCH(H$1,[1]stages!$2:$2,0)-MATCH("temp_stage",[1]stages!$2:$2,0)+1),MATCH(H$1,[1]stages!$2:$2,0)-MATCH("temp_stage",[1]stages!$2:$2,0)+1,FALSE)</f>
        <v>ドロップイベント1-2</v>
      </c>
      <c r="I467" s="18">
        <v>0</v>
      </c>
      <c r="J467" s="5">
        <f>COUNTIF(C$1:C467,C467)</f>
        <v>4</v>
      </c>
      <c r="K467" s="34">
        <v>8</v>
      </c>
      <c r="L467" s="5" t="s">
        <v>17</v>
      </c>
      <c r="M467" s="38" t="str">
        <f>VLOOKUP(K467,[2]stage_hints!$A:$C,3,FALSE)</f>
        <v>ゲリラクエストは要チェック</v>
      </c>
      <c r="N467" s="39" t="str">
        <f>VLOOKUP(K467,[2]stage_hints!$A:$D,4,FALSE)</f>
        <v>時間限定の「アヒル捕獲作戦」では
経験値素材ユニットが多く手に入ります</v>
      </c>
      <c r="O467" s="20" t="s">
        <v>24</v>
      </c>
      <c r="P467">
        <v>8</v>
      </c>
    </row>
    <row r="468" spans="1:16" x14ac:dyDescent="0.15">
      <c r="A468" s="27" t="str">
        <f t="shared" si="66"/>
        <v>20002_3_5</v>
      </c>
      <c r="B468" s="25" t="s">
        <v>34</v>
      </c>
      <c r="C468" s="4">
        <v>20002</v>
      </c>
      <c r="D468" s="3" t="str">
        <f ca="1">VLOOKUP($C468,OFFSET([1]quests!$A$1,0,0,COUNTA([1]quests!$A:$A),MATCH(D$1,[1]quests!$1:$1,0)-MATCH($C$1,[1]quests!$1:$1,0)+1),MATCH(D$1,[1]quests!$1:$1,0)-MATCH($C$1,[1]quests!$1:$1,0)+1,FALSE)</f>
        <v>孤高の一角獣</v>
      </c>
      <c r="E468" s="3" t="str">
        <f ca="1">VLOOKUP($C468,OFFSET([1]quests!$A$1,0,0,COUNTA([1]quests!$A:$A),MATCH(E$1,[1]quests!$1:$1,0)-MATCH($C$1,[1]quests!$1:$1,0)+1),MATCH(E$1,[1]quests!$1:$1,0)-MATCH($C$1,[1]quests!$1:$1,0)+1,FALSE)</f>
        <v>ドロップイベント1-2</v>
      </c>
      <c r="F468" s="5">
        <v>3</v>
      </c>
      <c r="G468" s="3" t="str">
        <f ca="1">VLOOKUP($C468&amp;"_"&amp;$F468,OFFSET([1]stages!$A$1,0,0,COUNTA([1]stages!$A:$A),MATCH(G$1,[1]stages!$2:$2,0)-MATCH("temp_stage",[1]stages!$2:$2,0)+1),MATCH(G$1,[1]stages!$2:$2,0)-MATCH("temp_stage",[1]stages!$2:$2,0)+1,FALSE)</f>
        <v>【上級】孤高の一角獣</v>
      </c>
      <c r="H468" s="3" t="str">
        <f ca="1">VLOOKUP($C468&amp;"_"&amp;$F468,OFFSET([1]stages!$A$1,0,0,COUNTA([1]stages!$A:$A),MATCH(H$1,[1]stages!$2:$2,0)-MATCH("temp_stage",[1]stages!$2:$2,0)+1),MATCH(H$1,[1]stages!$2:$2,0)-MATCH("temp_stage",[1]stages!$2:$2,0)+1,FALSE)</f>
        <v>ドロップイベント1-2</v>
      </c>
      <c r="I468" s="18">
        <v>0</v>
      </c>
      <c r="J468" s="5">
        <f>COUNTIF(C$1:C468,C468)</f>
        <v>5</v>
      </c>
      <c r="K468" s="34">
        <v>9</v>
      </c>
      <c r="L468" s="5" t="s">
        <v>17</v>
      </c>
      <c r="M468" s="38" t="str">
        <f>VLOOKUP(K468,[2]stage_hints!$A:$C,3,FALSE)</f>
        <v>ゴールドダックでビットを獲得</v>
      </c>
      <c r="N468" s="39" t="str">
        <f>VLOOKUP(K468,[2]stage_hints!$A:$D,4,FALSE)</f>
        <v>「ゴールドなアヒル」を売却すると
大量のビットがもらえます</v>
      </c>
      <c r="O468" s="20" t="s">
        <v>24</v>
      </c>
      <c r="P468">
        <v>9</v>
      </c>
    </row>
    <row r="469" spans="1:16" x14ac:dyDescent="0.15">
      <c r="A469" s="27" t="str">
        <f t="shared" si="66"/>
        <v>20002_3_6</v>
      </c>
      <c r="B469" s="25" t="s">
        <v>34</v>
      </c>
      <c r="C469" s="4">
        <v>20002</v>
      </c>
      <c r="D469" s="3" t="str">
        <f ca="1">VLOOKUP($C469,OFFSET([1]quests!$A$1,0,0,COUNTA([1]quests!$A:$A),MATCH(D$1,[1]quests!$1:$1,0)-MATCH($C$1,[1]quests!$1:$1,0)+1),MATCH(D$1,[1]quests!$1:$1,0)-MATCH($C$1,[1]quests!$1:$1,0)+1,FALSE)</f>
        <v>孤高の一角獣</v>
      </c>
      <c r="E469" s="3" t="str">
        <f ca="1">VLOOKUP($C469,OFFSET([1]quests!$A$1,0,0,COUNTA([1]quests!$A:$A),MATCH(E$1,[1]quests!$1:$1,0)-MATCH($C$1,[1]quests!$1:$1,0)+1),MATCH(E$1,[1]quests!$1:$1,0)-MATCH($C$1,[1]quests!$1:$1,0)+1,FALSE)</f>
        <v>ドロップイベント1-2</v>
      </c>
      <c r="F469" s="5">
        <v>3</v>
      </c>
      <c r="G469" s="3" t="str">
        <f ca="1">VLOOKUP($C469&amp;"_"&amp;$F469,OFFSET([1]stages!$A$1,0,0,COUNTA([1]stages!$A:$A),MATCH(G$1,[1]stages!$2:$2,0)-MATCH("temp_stage",[1]stages!$2:$2,0)+1),MATCH(G$1,[1]stages!$2:$2,0)-MATCH("temp_stage",[1]stages!$2:$2,0)+1,FALSE)</f>
        <v>【上級】孤高の一角獣</v>
      </c>
      <c r="H469" s="3" t="str">
        <f ca="1">VLOOKUP($C469&amp;"_"&amp;$F469,OFFSET([1]stages!$A$1,0,0,COUNTA([1]stages!$A:$A),MATCH(H$1,[1]stages!$2:$2,0)-MATCH("temp_stage",[1]stages!$2:$2,0)+1),MATCH(H$1,[1]stages!$2:$2,0)-MATCH("temp_stage",[1]stages!$2:$2,0)+1,FALSE)</f>
        <v>ドロップイベント1-2</v>
      </c>
      <c r="I469" s="18">
        <v>0</v>
      </c>
      <c r="J469" s="5">
        <f>COUNTIF(C$1:C469,C469)</f>
        <v>6</v>
      </c>
      <c r="K469" s="34">
        <v>10</v>
      </c>
      <c r="L469" s="5" t="s">
        <v>17</v>
      </c>
      <c r="M469" s="38" t="str">
        <f>VLOOKUP(K469,[2]stage_hints!$A:$C,3,FALSE)</f>
        <v>土日に大量のビットを獲得</v>
      </c>
      <c r="N469" s="39" t="str">
        <f>VLOOKUP(K469,[2]stage_hints!$A:$D,4,FALSE)</f>
        <v>土日限定の「ゴールドカジノ」では
売却素材ユニットが多く手に入ります</v>
      </c>
      <c r="O469" s="20" t="s">
        <v>24</v>
      </c>
      <c r="P469">
        <v>10</v>
      </c>
    </row>
    <row r="470" spans="1:16" x14ac:dyDescent="0.15">
      <c r="A470" s="27" t="str">
        <f t="shared" si="66"/>
        <v>20002_3_7</v>
      </c>
      <c r="B470" s="25" t="s">
        <v>34</v>
      </c>
      <c r="C470" s="4">
        <v>20002</v>
      </c>
      <c r="D470" s="3" t="str">
        <f ca="1">VLOOKUP($C470,OFFSET([1]quests!$A$1,0,0,COUNTA([1]quests!$A:$A),MATCH(D$1,[1]quests!$1:$1,0)-MATCH($C$1,[1]quests!$1:$1,0)+1),MATCH(D$1,[1]quests!$1:$1,0)-MATCH($C$1,[1]quests!$1:$1,0)+1,FALSE)</f>
        <v>孤高の一角獣</v>
      </c>
      <c r="E470" s="3" t="str">
        <f ca="1">VLOOKUP($C470,OFFSET([1]quests!$A$1,0,0,COUNTA([1]quests!$A:$A),MATCH(E$1,[1]quests!$1:$1,0)-MATCH($C$1,[1]quests!$1:$1,0)+1),MATCH(E$1,[1]quests!$1:$1,0)-MATCH($C$1,[1]quests!$1:$1,0)+1,FALSE)</f>
        <v>ドロップイベント1-2</v>
      </c>
      <c r="F470" s="5">
        <v>3</v>
      </c>
      <c r="G470" s="3" t="str">
        <f ca="1">VLOOKUP($C470&amp;"_"&amp;$F470,OFFSET([1]stages!$A$1,0,0,COUNTA([1]stages!$A:$A),MATCH(G$1,[1]stages!$2:$2,0)-MATCH("temp_stage",[1]stages!$2:$2,0)+1),MATCH(G$1,[1]stages!$2:$2,0)-MATCH("temp_stage",[1]stages!$2:$2,0)+1,FALSE)</f>
        <v>【上級】孤高の一角獣</v>
      </c>
      <c r="H470" s="3" t="str">
        <f ca="1">VLOOKUP($C470&amp;"_"&amp;$F470,OFFSET([1]stages!$A$1,0,0,COUNTA([1]stages!$A:$A),MATCH(H$1,[1]stages!$2:$2,0)-MATCH("temp_stage",[1]stages!$2:$2,0)+1),MATCH(H$1,[1]stages!$2:$2,0)-MATCH("temp_stage",[1]stages!$2:$2,0)+1,FALSE)</f>
        <v>ドロップイベント1-2</v>
      </c>
      <c r="I470" s="18">
        <v>0</v>
      </c>
      <c r="J470" s="5">
        <f>COUNTIF(C$1:C470,C470)</f>
        <v>7</v>
      </c>
      <c r="K470" s="34">
        <v>11</v>
      </c>
      <c r="L470" s="5" t="s">
        <v>17</v>
      </c>
      <c r="M470" s="38" t="str">
        <f>VLOOKUP(K470,[2]stage_hints!$A:$C,3,FALSE)</f>
        <v>ランク解放クエスト</v>
      </c>
      <c r="N470" s="39" t="str">
        <f>VLOOKUP(K470,[2]stage_hints!$A:$D,4,FALSE)</f>
        <v>一定ランクに到達すると
報酬付きのランク開放クエストが現れます</v>
      </c>
      <c r="O470" s="20" t="s">
        <v>24</v>
      </c>
      <c r="P470">
        <v>11</v>
      </c>
    </row>
    <row r="471" spans="1:16" x14ac:dyDescent="0.15">
      <c r="A471" s="27" t="str">
        <f t="shared" si="66"/>
        <v>20002_3_8</v>
      </c>
      <c r="B471" s="25" t="s">
        <v>34</v>
      </c>
      <c r="C471" s="4">
        <v>20002</v>
      </c>
      <c r="D471" s="3" t="str">
        <f ca="1">VLOOKUP($C471,OFFSET([1]quests!$A$1,0,0,COUNTA([1]quests!$A:$A),MATCH(D$1,[1]quests!$1:$1,0)-MATCH($C$1,[1]quests!$1:$1,0)+1),MATCH(D$1,[1]quests!$1:$1,0)-MATCH($C$1,[1]quests!$1:$1,0)+1,FALSE)</f>
        <v>孤高の一角獣</v>
      </c>
      <c r="E471" s="3" t="str">
        <f ca="1">VLOOKUP($C471,OFFSET([1]quests!$A$1,0,0,COUNTA([1]quests!$A:$A),MATCH(E$1,[1]quests!$1:$1,0)-MATCH($C$1,[1]quests!$1:$1,0)+1),MATCH(E$1,[1]quests!$1:$1,0)-MATCH($C$1,[1]quests!$1:$1,0)+1,FALSE)</f>
        <v>ドロップイベント1-2</v>
      </c>
      <c r="F471" s="5">
        <v>3</v>
      </c>
      <c r="G471" s="3" t="str">
        <f ca="1">VLOOKUP($C471&amp;"_"&amp;$F471,OFFSET([1]stages!$A$1,0,0,COUNTA([1]stages!$A:$A),MATCH(G$1,[1]stages!$2:$2,0)-MATCH("temp_stage",[1]stages!$2:$2,0)+1),MATCH(G$1,[1]stages!$2:$2,0)-MATCH("temp_stage",[1]stages!$2:$2,0)+1,FALSE)</f>
        <v>【上級】孤高の一角獣</v>
      </c>
      <c r="H471" s="3" t="str">
        <f ca="1">VLOOKUP($C471&amp;"_"&amp;$F471,OFFSET([1]stages!$A$1,0,0,COUNTA([1]stages!$A:$A),MATCH(H$1,[1]stages!$2:$2,0)-MATCH("temp_stage",[1]stages!$2:$2,0)+1),MATCH(H$1,[1]stages!$2:$2,0)-MATCH("temp_stage",[1]stages!$2:$2,0)+1,FALSE)</f>
        <v>ドロップイベント1-2</v>
      </c>
      <c r="I471" s="18">
        <v>0</v>
      </c>
      <c r="J471" s="5">
        <f>COUNTIF(C$1:C471,C471)</f>
        <v>8</v>
      </c>
      <c r="K471" s="34">
        <v>12</v>
      </c>
      <c r="L471" s="5" t="s">
        <v>17</v>
      </c>
      <c r="M471" s="38" t="str">
        <f>VLOOKUP(K471,[2]stage_hints!$A:$C,3,FALSE)</f>
        <v>ユニットのお気に入り登録</v>
      </c>
      <c r="N471" s="39" t="str">
        <f>VLOOKUP(K471,[2]stage_hints!$A:$D,4,FALSE)</f>
        <v>大事なユニットを誤って消さないように
フォルダから「お気に入り登録」しましょう</v>
      </c>
      <c r="O471" s="20" t="s">
        <v>24</v>
      </c>
      <c r="P471">
        <v>12</v>
      </c>
    </row>
    <row r="472" spans="1:16" x14ac:dyDescent="0.15">
      <c r="A472" s="27" t="str">
        <f t="shared" si="66"/>
        <v>20002_3_9</v>
      </c>
      <c r="B472" s="25" t="s">
        <v>34</v>
      </c>
      <c r="C472" s="4">
        <v>20002</v>
      </c>
      <c r="D472" s="3" t="str">
        <f ca="1">VLOOKUP($C472,OFFSET([1]quests!$A$1,0,0,COUNTA([1]quests!$A:$A),MATCH(D$1,[1]quests!$1:$1,0)-MATCH($C$1,[1]quests!$1:$1,0)+1),MATCH(D$1,[1]quests!$1:$1,0)-MATCH($C$1,[1]quests!$1:$1,0)+1,FALSE)</f>
        <v>孤高の一角獣</v>
      </c>
      <c r="E472" s="3" t="str">
        <f ca="1">VLOOKUP($C472,OFFSET([1]quests!$A$1,0,0,COUNTA([1]quests!$A:$A),MATCH(E$1,[1]quests!$1:$1,0)-MATCH($C$1,[1]quests!$1:$1,0)+1),MATCH(E$1,[1]quests!$1:$1,0)-MATCH($C$1,[1]quests!$1:$1,0)+1,FALSE)</f>
        <v>ドロップイベント1-2</v>
      </c>
      <c r="F472" s="5">
        <v>3</v>
      </c>
      <c r="G472" s="3" t="str">
        <f ca="1">VLOOKUP($C472&amp;"_"&amp;$F472,OFFSET([1]stages!$A$1,0,0,COUNTA([1]stages!$A:$A),MATCH(G$1,[1]stages!$2:$2,0)-MATCH("temp_stage",[1]stages!$2:$2,0)+1),MATCH(G$1,[1]stages!$2:$2,0)-MATCH("temp_stage",[1]stages!$2:$2,0)+1,FALSE)</f>
        <v>【上級】孤高の一角獣</v>
      </c>
      <c r="H472" s="3" t="str">
        <f ca="1">VLOOKUP($C472&amp;"_"&amp;$F472,OFFSET([1]stages!$A$1,0,0,COUNTA([1]stages!$A:$A),MATCH(H$1,[1]stages!$2:$2,0)-MATCH("temp_stage",[1]stages!$2:$2,0)+1),MATCH(H$1,[1]stages!$2:$2,0)-MATCH("temp_stage",[1]stages!$2:$2,0)+1,FALSE)</f>
        <v>ドロップイベント1-2</v>
      </c>
      <c r="I472" s="18">
        <v>0</v>
      </c>
      <c r="J472" s="5">
        <f>COUNTIF(C$1:C472,C472)</f>
        <v>9</v>
      </c>
      <c r="K472" s="34">
        <v>13</v>
      </c>
      <c r="L472" s="5" t="s">
        <v>17</v>
      </c>
      <c r="M472" s="38" t="str">
        <f>VLOOKUP(K472,[2]stage_hints!$A:$C,3,FALSE)</f>
        <v>ユニットの覚醒</v>
      </c>
      <c r="N472" s="39" t="str">
        <f>VLOOKUP(K472,[2]stage_hints!$A:$D,4,FALSE)</f>
        <v>ユニットを覚醒させると
比べものにならない強さが手に入ります</v>
      </c>
      <c r="O472" s="20" t="s">
        <v>24</v>
      </c>
      <c r="P472">
        <v>13</v>
      </c>
    </row>
    <row r="473" spans="1:16" x14ac:dyDescent="0.15">
      <c r="A473" s="27" t="str">
        <f t="shared" si="66"/>
        <v>20002_3_10</v>
      </c>
      <c r="B473" s="25" t="s">
        <v>34</v>
      </c>
      <c r="C473" s="4">
        <v>20002</v>
      </c>
      <c r="D473" s="3" t="str">
        <f ca="1">VLOOKUP($C473,OFFSET([1]quests!$A$1,0,0,COUNTA([1]quests!$A:$A),MATCH(D$1,[1]quests!$1:$1,0)-MATCH($C$1,[1]quests!$1:$1,0)+1),MATCH(D$1,[1]quests!$1:$1,0)-MATCH($C$1,[1]quests!$1:$1,0)+1,FALSE)</f>
        <v>孤高の一角獣</v>
      </c>
      <c r="E473" s="3" t="str">
        <f ca="1">VLOOKUP($C473,OFFSET([1]quests!$A$1,0,0,COUNTA([1]quests!$A:$A),MATCH(E$1,[1]quests!$1:$1,0)-MATCH($C$1,[1]quests!$1:$1,0)+1),MATCH(E$1,[1]quests!$1:$1,0)-MATCH($C$1,[1]quests!$1:$1,0)+1,FALSE)</f>
        <v>ドロップイベント1-2</v>
      </c>
      <c r="F473" s="5">
        <v>3</v>
      </c>
      <c r="G473" s="3" t="str">
        <f ca="1">VLOOKUP($C473&amp;"_"&amp;$F473,OFFSET([1]stages!$A$1,0,0,COUNTA([1]stages!$A:$A),MATCH(G$1,[1]stages!$2:$2,0)-MATCH("temp_stage",[1]stages!$2:$2,0)+1),MATCH(G$1,[1]stages!$2:$2,0)-MATCH("temp_stage",[1]stages!$2:$2,0)+1,FALSE)</f>
        <v>【上級】孤高の一角獣</v>
      </c>
      <c r="H473" s="3" t="str">
        <f ca="1">VLOOKUP($C473&amp;"_"&amp;$F473,OFFSET([1]stages!$A$1,0,0,COUNTA([1]stages!$A:$A),MATCH(H$1,[1]stages!$2:$2,0)-MATCH("temp_stage",[1]stages!$2:$2,0)+1),MATCH(H$1,[1]stages!$2:$2,0)-MATCH("temp_stage",[1]stages!$2:$2,0)+1,FALSE)</f>
        <v>ドロップイベント1-2</v>
      </c>
      <c r="I473" s="18">
        <v>0</v>
      </c>
      <c r="J473" s="5">
        <f>COUNTIF(C$1:C473,C473)</f>
        <v>10</v>
      </c>
      <c r="K473" s="34">
        <v>14</v>
      </c>
      <c r="L473" s="5" t="s">
        <v>17</v>
      </c>
      <c r="M473" s="38" t="str">
        <f>VLOOKUP(K473,[2]stage_hints!$A:$C,3,FALSE)</f>
        <v>覚醒するにはレベルを最大に</v>
      </c>
      <c r="N473" s="39" t="str">
        <f>VLOOKUP(K473,[2]stage_hints!$A:$D,4,FALSE)</f>
        <v>覚醒するにはユニットのレベルを
最大まで上げる必要があります</v>
      </c>
      <c r="O473" s="20" t="s">
        <v>24</v>
      </c>
      <c r="P473">
        <v>14</v>
      </c>
    </row>
    <row r="474" spans="1:16" x14ac:dyDescent="0.15">
      <c r="A474" s="27" t="str">
        <f t="shared" si="66"/>
        <v>20002_3_11</v>
      </c>
      <c r="B474" s="25" t="s">
        <v>34</v>
      </c>
      <c r="C474" s="4">
        <v>20002</v>
      </c>
      <c r="D474" s="3" t="str">
        <f ca="1">VLOOKUP($C474,OFFSET([1]quests!$A$1,0,0,COUNTA([1]quests!$A:$A),MATCH(D$1,[1]quests!$1:$1,0)-MATCH($C$1,[1]quests!$1:$1,0)+1),MATCH(D$1,[1]quests!$1:$1,0)-MATCH($C$1,[1]quests!$1:$1,0)+1,FALSE)</f>
        <v>孤高の一角獣</v>
      </c>
      <c r="E474" s="3" t="str">
        <f ca="1">VLOOKUP($C474,OFFSET([1]quests!$A$1,0,0,COUNTA([1]quests!$A:$A),MATCH(E$1,[1]quests!$1:$1,0)-MATCH($C$1,[1]quests!$1:$1,0)+1),MATCH(E$1,[1]quests!$1:$1,0)-MATCH($C$1,[1]quests!$1:$1,0)+1,FALSE)</f>
        <v>ドロップイベント1-2</v>
      </c>
      <c r="F474" s="5">
        <v>3</v>
      </c>
      <c r="G474" s="3" t="str">
        <f ca="1">VLOOKUP($C474&amp;"_"&amp;$F474,OFFSET([1]stages!$A$1,0,0,COUNTA([1]stages!$A:$A),MATCH(G$1,[1]stages!$2:$2,0)-MATCH("temp_stage",[1]stages!$2:$2,0)+1),MATCH(G$1,[1]stages!$2:$2,0)-MATCH("temp_stage",[1]stages!$2:$2,0)+1,FALSE)</f>
        <v>【上級】孤高の一角獣</v>
      </c>
      <c r="H474" s="3" t="str">
        <f ca="1">VLOOKUP($C474&amp;"_"&amp;$F474,OFFSET([1]stages!$A$1,0,0,COUNTA([1]stages!$A:$A),MATCH(H$1,[1]stages!$2:$2,0)-MATCH("temp_stage",[1]stages!$2:$2,0)+1),MATCH(H$1,[1]stages!$2:$2,0)-MATCH("temp_stage",[1]stages!$2:$2,0)+1,FALSE)</f>
        <v>ドロップイベント1-2</v>
      </c>
      <c r="I474" s="18">
        <v>0</v>
      </c>
      <c r="J474" s="5">
        <f>COUNTIF(C$1:C474,C474)</f>
        <v>11</v>
      </c>
      <c r="K474" s="34">
        <v>15</v>
      </c>
      <c r="L474" s="5" t="s">
        <v>17</v>
      </c>
      <c r="M474" s="38" t="str">
        <f>VLOOKUP(K474,[2]stage_hints!$A:$C,3,FALSE)</f>
        <v>覚醒素材を獲得</v>
      </c>
      <c r="N474" s="39" t="str">
        <f>VLOOKUP(K474,[2]stage_hints!$A:$D,4,FALSE)</f>
        <v>「曜日クエスト」では
ユニットの覚醒に必要な素材が手に入ります</v>
      </c>
      <c r="O474" s="20" t="s">
        <v>24</v>
      </c>
      <c r="P474">
        <v>15</v>
      </c>
    </row>
    <row r="475" spans="1:16" x14ac:dyDescent="0.15">
      <c r="A475" s="27" t="str">
        <f t="shared" si="66"/>
        <v>20002_3_12</v>
      </c>
      <c r="B475" s="25" t="s">
        <v>34</v>
      </c>
      <c r="C475" s="4">
        <v>20002</v>
      </c>
      <c r="D475" s="3" t="str">
        <f ca="1">VLOOKUP($C475,OFFSET([1]quests!$A$1,0,0,COUNTA([1]quests!$A:$A),MATCH(D$1,[1]quests!$1:$1,0)-MATCH($C$1,[1]quests!$1:$1,0)+1),MATCH(D$1,[1]quests!$1:$1,0)-MATCH($C$1,[1]quests!$1:$1,0)+1,FALSE)</f>
        <v>孤高の一角獣</v>
      </c>
      <c r="E475" s="3" t="str">
        <f ca="1">VLOOKUP($C475,OFFSET([1]quests!$A$1,0,0,COUNTA([1]quests!$A:$A),MATCH(E$1,[1]quests!$1:$1,0)-MATCH($C$1,[1]quests!$1:$1,0)+1),MATCH(E$1,[1]quests!$1:$1,0)-MATCH($C$1,[1]quests!$1:$1,0)+1,FALSE)</f>
        <v>ドロップイベント1-2</v>
      </c>
      <c r="F475" s="5">
        <v>3</v>
      </c>
      <c r="G475" s="3" t="str">
        <f ca="1">VLOOKUP($C475&amp;"_"&amp;$F475,OFFSET([1]stages!$A$1,0,0,COUNTA([1]stages!$A:$A),MATCH(G$1,[1]stages!$2:$2,0)-MATCH("temp_stage",[1]stages!$2:$2,0)+1),MATCH(G$1,[1]stages!$2:$2,0)-MATCH("temp_stage",[1]stages!$2:$2,0)+1,FALSE)</f>
        <v>【上級】孤高の一角獣</v>
      </c>
      <c r="H475" s="3" t="str">
        <f ca="1">VLOOKUP($C475&amp;"_"&amp;$F475,OFFSET([1]stages!$A$1,0,0,COUNTA([1]stages!$A:$A),MATCH(H$1,[1]stages!$2:$2,0)-MATCH("temp_stage",[1]stages!$2:$2,0)+1),MATCH(H$1,[1]stages!$2:$2,0)-MATCH("temp_stage",[1]stages!$2:$2,0)+1,FALSE)</f>
        <v>ドロップイベント1-2</v>
      </c>
      <c r="I475" s="18">
        <v>0</v>
      </c>
      <c r="J475" s="5">
        <f>COUNTIF(C$1:C475,C475)</f>
        <v>12</v>
      </c>
      <c r="K475" s="34">
        <v>16</v>
      </c>
      <c r="L475" s="5" t="s">
        <v>17</v>
      </c>
      <c r="M475" s="38" t="str">
        <f>VLOOKUP(K475,[2]stage_hints!$A:$C,3,FALSE)</f>
        <v>マルチプレイのメリット（その1）</v>
      </c>
      <c r="N475" s="39" t="str">
        <f>VLOOKUP(K475,[2]stage_hints!$A:$D,4,FALSE)</f>
        <v>他のプレイヤーとマルチプレイで遊ぶと
ポリゴンがもらえます（100人まで）</v>
      </c>
      <c r="O475" s="20" t="s">
        <v>24</v>
      </c>
      <c r="P475">
        <v>16</v>
      </c>
    </row>
    <row r="476" spans="1:16" x14ac:dyDescent="0.15">
      <c r="A476" s="27" t="str">
        <f t="shared" si="66"/>
        <v>20002_3_13</v>
      </c>
      <c r="B476" s="25" t="s">
        <v>34</v>
      </c>
      <c r="C476" s="4">
        <v>20002</v>
      </c>
      <c r="D476" s="3" t="str">
        <f ca="1">VLOOKUP($C476,OFFSET([1]quests!$A$1,0,0,COUNTA([1]quests!$A:$A),MATCH(D$1,[1]quests!$1:$1,0)-MATCH($C$1,[1]quests!$1:$1,0)+1),MATCH(D$1,[1]quests!$1:$1,0)-MATCH($C$1,[1]quests!$1:$1,0)+1,FALSE)</f>
        <v>孤高の一角獣</v>
      </c>
      <c r="E476" s="3" t="str">
        <f ca="1">VLOOKUP($C476,OFFSET([1]quests!$A$1,0,0,COUNTA([1]quests!$A:$A),MATCH(E$1,[1]quests!$1:$1,0)-MATCH($C$1,[1]quests!$1:$1,0)+1),MATCH(E$1,[1]quests!$1:$1,0)-MATCH($C$1,[1]quests!$1:$1,0)+1,FALSE)</f>
        <v>ドロップイベント1-2</v>
      </c>
      <c r="F476" s="5">
        <v>3</v>
      </c>
      <c r="G476" s="3" t="str">
        <f ca="1">VLOOKUP($C476&amp;"_"&amp;$F476,OFFSET([1]stages!$A$1,0,0,COUNTA([1]stages!$A:$A),MATCH(G$1,[1]stages!$2:$2,0)-MATCH("temp_stage",[1]stages!$2:$2,0)+1),MATCH(G$1,[1]stages!$2:$2,0)-MATCH("temp_stage",[1]stages!$2:$2,0)+1,FALSE)</f>
        <v>【上級】孤高の一角獣</v>
      </c>
      <c r="H476" s="3" t="str">
        <f ca="1">VLOOKUP($C476&amp;"_"&amp;$F476,OFFSET([1]stages!$A$1,0,0,COUNTA([1]stages!$A:$A),MATCH(H$1,[1]stages!$2:$2,0)-MATCH("temp_stage",[1]stages!$2:$2,0)+1),MATCH(H$1,[1]stages!$2:$2,0)-MATCH("temp_stage",[1]stages!$2:$2,0)+1,FALSE)</f>
        <v>ドロップイベント1-2</v>
      </c>
      <c r="I476" s="18">
        <v>0</v>
      </c>
      <c r="J476" s="5">
        <f>COUNTIF(C$1:C476,C476)</f>
        <v>13</v>
      </c>
      <c r="K476" s="34">
        <v>17</v>
      </c>
      <c r="L476" s="5" t="s">
        <v>17</v>
      </c>
      <c r="M476" s="38" t="str">
        <f>VLOOKUP(K476,[2]stage_hints!$A:$C,3,FALSE)</f>
        <v>リンクガチャ</v>
      </c>
      <c r="N476" s="39" t="str">
        <f>VLOOKUP(K476,[2]stage_hints!$A:$D,4,FALSE)</f>
        <v>無料のリンクガチャを回して
経験値素材や売却素材を獲得しましょう</v>
      </c>
      <c r="O476" s="20" t="s">
        <v>24</v>
      </c>
      <c r="P476">
        <v>17</v>
      </c>
    </row>
    <row r="477" spans="1:16" x14ac:dyDescent="0.15">
      <c r="A477" s="27" t="str">
        <f t="shared" si="66"/>
        <v>20002_3_14</v>
      </c>
      <c r="B477" s="25" t="s">
        <v>34</v>
      </c>
      <c r="C477" s="4">
        <v>20002</v>
      </c>
      <c r="D477" s="3" t="str">
        <f ca="1">VLOOKUP($C477,OFFSET([1]quests!$A$1,0,0,COUNTA([1]quests!$A:$A),MATCH(D$1,[1]quests!$1:$1,0)-MATCH($C$1,[1]quests!$1:$1,0)+1),MATCH(D$1,[1]quests!$1:$1,0)-MATCH($C$1,[1]quests!$1:$1,0)+1,FALSE)</f>
        <v>孤高の一角獣</v>
      </c>
      <c r="E477" s="3" t="str">
        <f ca="1">VLOOKUP($C477,OFFSET([1]quests!$A$1,0,0,COUNTA([1]quests!$A:$A),MATCH(E$1,[1]quests!$1:$1,0)-MATCH($C$1,[1]quests!$1:$1,0)+1),MATCH(E$1,[1]quests!$1:$1,0)-MATCH($C$1,[1]quests!$1:$1,0)+1,FALSE)</f>
        <v>ドロップイベント1-2</v>
      </c>
      <c r="F477" s="5">
        <v>3</v>
      </c>
      <c r="G477" s="3" t="str">
        <f ca="1">VLOOKUP($C477&amp;"_"&amp;$F477,OFFSET([1]stages!$A$1,0,0,COUNTA([1]stages!$A:$A),MATCH(G$1,[1]stages!$2:$2,0)-MATCH("temp_stage",[1]stages!$2:$2,0)+1),MATCH(G$1,[1]stages!$2:$2,0)-MATCH("temp_stage",[1]stages!$2:$2,0)+1,FALSE)</f>
        <v>【上級】孤高の一角獣</v>
      </c>
      <c r="H477" s="3" t="str">
        <f ca="1">VLOOKUP($C477&amp;"_"&amp;$F477,OFFSET([1]stages!$A$1,0,0,COUNTA([1]stages!$A:$A),MATCH(H$1,[1]stages!$2:$2,0)-MATCH("temp_stage",[1]stages!$2:$2,0)+1),MATCH(H$1,[1]stages!$2:$2,0)-MATCH("temp_stage",[1]stages!$2:$2,0)+1,FALSE)</f>
        <v>ドロップイベント1-2</v>
      </c>
      <c r="I477" s="18">
        <v>0</v>
      </c>
      <c r="J477" s="5">
        <f>COUNTIF(C$1:C477,C477)</f>
        <v>14</v>
      </c>
      <c r="K477" s="34">
        <v>18</v>
      </c>
      <c r="L477" s="5" t="s">
        <v>17</v>
      </c>
      <c r="M477" s="38" t="str">
        <f>VLOOKUP(K477,[2]stage_hints!$A:$C,3,FALSE)</f>
        <v>マルチプレイのメリット（その2）</v>
      </c>
      <c r="N477" s="39" t="str">
        <f>VLOOKUP(K477,[2]stage_hints!$A:$D,4,FALSE)</f>
        <v>マルチプレイならリンクが2倍もらえます
リンクガチャをたくさん回しましょう</v>
      </c>
      <c r="O477" s="20" t="s">
        <v>24</v>
      </c>
      <c r="P477">
        <v>18</v>
      </c>
    </row>
    <row r="478" spans="1:16" x14ac:dyDescent="0.15">
      <c r="A478" s="27" t="str">
        <f t="shared" si="66"/>
        <v>20002_3_15</v>
      </c>
      <c r="B478" s="25" t="s">
        <v>34</v>
      </c>
      <c r="C478" s="4">
        <v>20002</v>
      </c>
      <c r="D478" s="3" t="str">
        <f ca="1">VLOOKUP($C478,OFFSET([1]quests!$A$1,0,0,COUNTA([1]quests!$A:$A),MATCH(D$1,[1]quests!$1:$1,0)-MATCH($C$1,[1]quests!$1:$1,0)+1),MATCH(D$1,[1]quests!$1:$1,0)-MATCH($C$1,[1]quests!$1:$1,0)+1,FALSE)</f>
        <v>孤高の一角獣</v>
      </c>
      <c r="E478" s="3" t="str">
        <f ca="1">VLOOKUP($C478,OFFSET([1]quests!$A$1,0,0,COUNTA([1]quests!$A:$A),MATCH(E$1,[1]quests!$1:$1,0)-MATCH($C$1,[1]quests!$1:$1,0)+1),MATCH(E$1,[1]quests!$1:$1,0)-MATCH($C$1,[1]quests!$1:$1,0)+1,FALSE)</f>
        <v>ドロップイベント1-2</v>
      </c>
      <c r="F478" s="5">
        <v>3</v>
      </c>
      <c r="G478" s="3" t="str">
        <f ca="1">VLOOKUP($C478&amp;"_"&amp;$F478,OFFSET([1]stages!$A$1,0,0,COUNTA([1]stages!$A:$A),MATCH(G$1,[1]stages!$2:$2,0)-MATCH("temp_stage",[1]stages!$2:$2,0)+1),MATCH(G$1,[1]stages!$2:$2,0)-MATCH("temp_stage",[1]stages!$2:$2,0)+1,FALSE)</f>
        <v>【上級】孤高の一角獣</v>
      </c>
      <c r="H478" s="3" t="str">
        <f ca="1">VLOOKUP($C478&amp;"_"&amp;$F478,OFFSET([1]stages!$A$1,0,0,COUNTA([1]stages!$A:$A),MATCH(H$1,[1]stages!$2:$2,0)-MATCH("temp_stage",[1]stages!$2:$2,0)+1),MATCH(H$1,[1]stages!$2:$2,0)-MATCH("temp_stage",[1]stages!$2:$2,0)+1,FALSE)</f>
        <v>ドロップイベント1-2</v>
      </c>
      <c r="I478" s="18">
        <v>0</v>
      </c>
      <c r="J478" s="5">
        <f>COUNTIF(C$1:C478,C478)</f>
        <v>15</v>
      </c>
      <c r="K478" s="34">
        <v>19</v>
      </c>
      <c r="L478" s="5" t="s">
        <v>17</v>
      </c>
      <c r="M478" s="38" t="str">
        <f>VLOOKUP(K478,[2]stage_hints!$A:$C,3,FALSE)</f>
        <v>ソロ専用チャレンジタワー</v>
      </c>
      <c r="N478" s="39" t="str">
        <f>VLOOKUP(K478,[2]stage_hints!$A:$D,4,FALSE)</f>
        <v>ソロ専用の「チャレンジタワー」では
各フロアごとにクリア報酬がもらえます</v>
      </c>
      <c r="O478" s="20" t="s">
        <v>24</v>
      </c>
      <c r="P478">
        <v>19</v>
      </c>
    </row>
    <row r="479" spans="1:16" x14ac:dyDescent="0.15">
      <c r="A479" s="27" t="str">
        <f t="shared" si="66"/>
        <v>20002_3_16</v>
      </c>
      <c r="B479" s="25" t="s">
        <v>34</v>
      </c>
      <c r="C479" s="4">
        <v>20002</v>
      </c>
      <c r="D479" s="3" t="str">
        <f ca="1">VLOOKUP($C479,OFFSET([1]quests!$A$1,0,0,COUNTA([1]quests!$A:$A),MATCH(D$1,[1]quests!$1:$1,0)-MATCH($C$1,[1]quests!$1:$1,0)+1),MATCH(D$1,[1]quests!$1:$1,0)-MATCH($C$1,[1]quests!$1:$1,0)+1,FALSE)</f>
        <v>孤高の一角獣</v>
      </c>
      <c r="E479" s="3" t="str">
        <f ca="1">VLOOKUP($C479,OFFSET([1]quests!$A$1,0,0,COUNTA([1]quests!$A:$A),MATCH(E$1,[1]quests!$1:$1,0)-MATCH($C$1,[1]quests!$1:$1,0)+1),MATCH(E$1,[1]quests!$1:$1,0)-MATCH($C$1,[1]quests!$1:$1,0)+1,FALSE)</f>
        <v>ドロップイベント1-2</v>
      </c>
      <c r="F479" s="5">
        <v>3</v>
      </c>
      <c r="G479" s="3" t="str">
        <f ca="1">VLOOKUP($C479&amp;"_"&amp;$F479,OFFSET([1]stages!$A$1,0,0,COUNTA([1]stages!$A:$A),MATCH(G$1,[1]stages!$2:$2,0)-MATCH("temp_stage",[1]stages!$2:$2,0)+1),MATCH(G$1,[1]stages!$2:$2,0)-MATCH("temp_stage",[1]stages!$2:$2,0)+1,FALSE)</f>
        <v>【上級】孤高の一角獣</v>
      </c>
      <c r="H479" s="3" t="str">
        <f ca="1">VLOOKUP($C479&amp;"_"&amp;$F479,OFFSET([1]stages!$A$1,0,0,COUNTA([1]stages!$A:$A),MATCH(H$1,[1]stages!$2:$2,0)-MATCH("temp_stage",[1]stages!$2:$2,0)+1),MATCH(H$1,[1]stages!$2:$2,0)-MATCH("temp_stage",[1]stages!$2:$2,0)+1,FALSE)</f>
        <v>ドロップイベント1-2</v>
      </c>
      <c r="I479" s="18">
        <v>0</v>
      </c>
      <c r="J479" s="5">
        <f>COUNTIF(C$1:C479,C479)</f>
        <v>16</v>
      </c>
      <c r="K479" s="34">
        <v>20</v>
      </c>
      <c r="L479" s="5" t="s">
        <v>17</v>
      </c>
      <c r="M479" s="38" t="str">
        <f>VLOOKUP(K479,[2]stage_hints!$A:$C,3,FALSE)</f>
        <v>マルチプレイのメリット（その3）</v>
      </c>
      <c r="N479" s="39" t="str">
        <f>VLOOKUP(K479,[2]stage_hints!$A:$D,4,FALSE)</f>
        <v>マルチプレイへの参加はエナジー消費ゼロ
いつでも好きなだけ遊ぶことができます</v>
      </c>
      <c r="O479" s="20" t="s">
        <v>24</v>
      </c>
      <c r="P479">
        <v>20</v>
      </c>
    </row>
    <row r="480" spans="1:16" x14ac:dyDescent="0.15">
      <c r="A480" s="27" t="str">
        <f t="shared" si="66"/>
        <v>20002_3_17</v>
      </c>
      <c r="B480" s="25" t="s">
        <v>34</v>
      </c>
      <c r="C480" s="4">
        <v>20002</v>
      </c>
      <c r="D480" s="3" t="str">
        <f ca="1">VLOOKUP($C480,OFFSET([1]quests!$A$1,0,0,COUNTA([1]quests!$A:$A),MATCH(D$1,[1]quests!$1:$1,0)-MATCH($C$1,[1]quests!$1:$1,0)+1),MATCH(D$1,[1]quests!$1:$1,0)-MATCH($C$1,[1]quests!$1:$1,0)+1,FALSE)</f>
        <v>孤高の一角獣</v>
      </c>
      <c r="E480" s="3" t="str">
        <f ca="1">VLOOKUP($C480,OFFSET([1]quests!$A$1,0,0,COUNTA([1]quests!$A:$A),MATCH(E$1,[1]quests!$1:$1,0)-MATCH($C$1,[1]quests!$1:$1,0)+1),MATCH(E$1,[1]quests!$1:$1,0)-MATCH($C$1,[1]quests!$1:$1,0)+1,FALSE)</f>
        <v>ドロップイベント1-2</v>
      </c>
      <c r="F480" s="5">
        <v>3</v>
      </c>
      <c r="G480" s="3" t="str">
        <f ca="1">VLOOKUP($C480&amp;"_"&amp;$F480,OFFSET([1]stages!$A$1,0,0,COUNTA([1]stages!$A:$A),MATCH(G$1,[1]stages!$2:$2,0)-MATCH("temp_stage",[1]stages!$2:$2,0)+1),MATCH(G$1,[1]stages!$2:$2,0)-MATCH("temp_stage",[1]stages!$2:$2,0)+1,FALSE)</f>
        <v>【上級】孤高の一角獣</v>
      </c>
      <c r="H480" s="3" t="str">
        <f ca="1">VLOOKUP($C480&amp;"_"&amp;$F480,OFFSET([1]stages!$A$1,0,0,COUNTA([1]stages!$A:$A),MATCH(H$1,[1]stages!$2:$2,0)-MATCH("temp_stage",[1]stages!$2:$2,0)+1),MATCH(H$1,[1]stages!$2:$2,0)-MATCH("temp_stage",[1]stages!$2:$2,0)+1,FALSE)</f>
        <v>ドロップイベント1-2</v>
      </c>
      <c r="I480" s="18">
        <v>0</v>
      </c>
      <c r="J480" s="5">
        <f>COUNTIF(C$1:C480,C480)</f>
        <v>17</v>
      </c>
      <c r="K480" s="34">
        <v>21</v>
      </c>
      <c r="L480" s="5" t="s">
        <v>17</v>
      </c>
      <c r="M480" s="38" t="str">
        <f>VLOOKUP(K480,[2]stage_hints!$A:$C,3,FALSE)</f>
        <v>スキルを有効に</v>
      </c>
      <c r="N480" s="39" t="str">
        <f>VLOOKUP(K480,[2]stage_hints!$A:$D,4,FALSE)</f>
        <v>ターン経過でユニットのスキルが使えます
強力スキルでバトルを有利に進めましょう</v>
      </c>
      <c r="O480" s="20" t="s">
        <v>24</v>
      </c>
      <c r="P480">
        <v>21</v>
      </c>
    </row>
    <row r="481" spans="1:16" x14ac:dyDescent="0.15">
      <c r="A481" s="27" t="str">
        <f t="shared" ref="A481:A495" si="67">C481&amp;"_"&amp;F481&amp;"_"&amp;J481</f>
        <v>20002_3_18</v>
      </c>
      <c r="B481" s="25" t="s">
        <v>34</v>
      </c>
      <c r="C481" s="4">
        <v>20002</v>
      </c>
      <c r="D481" s="3" t="str">
        <f ca="1">VLOOKUP($C481,OFFSET([1]quests!$A$1,0,0,COUNTA([1]quests!$A:$A),MATCH(D$1,[1]quests!$1:$1,0)-MATCH($C$1,[1]quests!$1:$1,0)+1),MATCH(D$1,[1]quests!$1:$1,0)-MATCH($C$1,[1]quests!$1:$1,0)+1,FALSE)</f>
        <v>孤高の一角獣</v>
      </c>
      <c r="E481" s="3" t="str">
        <f ca="1">VLOOKUP($C481,OFFSET([1]quests!$A$1,0,0,COUNTA([1]quests!$A:$A),MATCH(E$1,[1]quests!$1:$1,0)-MATCH($C$1,[1]quests!$1:$1,0)+1),MATCH(E$1,[1]quests!$1:$1,0)-MATCH($C$1,[1]quests!$1:$1,0)+1,FALSE)</f>
        <v>ドロップイベント1-2</v>
      </c>
      <c r="F481" s="5">
        <v>3</v>
      </c>
      <c r="G481" s="3" t="str">
        <f ca="1">VLOOKUP($C481&amp;"_"&amp;$F481,OFFSET([1]stages!$A$1,0,0,COUNTA([1]stages!$A:$A),MATCH(G$1,[1]stages!$2:$2,0)-MATCH("temp_stage",[1]stages!$2:$2,0)+1),MATCH(G$1,[1]stages!$2:$2,0)-MATCH("temp_stage",[1]stages!$2:$2,0)+1,FALSE)</f>
        <v>【上級】孤高の一角獣</v>
      </c>
      <c r="H481" s="3" t="str">
        <f ca="1">VLOOKUP($C481&amp;"_"&amp;$F481,OFFSET([1]stages!$A$1,0,0,COUNTA([1]stages!$A:$A),MATCH(H$1,[1]stages!$2:$2,0)-MATCH("temp_stage",[1]stages!$2:$2,0)+1),MATCH(H$1,[1]stages!$2:$2,0)-MATCH("temp_stage",[1]stages!$2:$2,0)+1,FALSE)</f>
        <v>ドロップイベント1-2</v>
      </c>
      <c r="I481" s="18">
        <v>0</v>
      </c>
      <c r="J481" s="5">
        <f>COUNTIF(C$1:C481,C481)</f>
        <v>18</v>
      </c>
      <c r="K481" s="34">
        <v>22</v>
      </c>
      <c r="L481" s="5" t="s">
        <v>17</v>
      </c>
      <c r="M481" s="38" t="str">
        <f>VLOOKUP(K481,[2]stage_hints!$A:$C,3,FALSE)</f>
        <v>フィーバーで一発逆転（その1）</v>
      </c>
      <c r="N481" s="39" t="str">
        <f>VLOOKUP(K481,[2]stage_hints!$A:$D,4,FALSE)</f>
        <v>フィーバーは攻撃と回復を兼ね備えます
ピンチからの一発逆転を狙いましょう</v>
      </c>
      <c r="O481" s="20" t="s">
        <v>24</v>
      </c>
      <c r="P481">
        <v>22</v>
      </c>
    </row>
    <row r="482" spans="1:16" x14ac:dyDescent="0.15">
      <c r="A482" s="27" t="str">
        <f t="shared" si="67"/>
        <v>20002_3_19</v>
      </c>
      <c r="B482" s="25" t="s">
        <v>34</v>
      </c>
      <c r="C482" s="4">
        <v>20002</v>
      </c>
      <c r="D482" s="3" t="str">
        <f ca="1">VLOOKUP($C482,OFFSET([1]quests!$A$1,0,0,COUNTA([1]quests!$A:$A),MATCH(D$1,[1]quests!$1:$1,0)-MATCH($C$1,[1]quests!$1:$1,0)+1),MATCH(D$1,[1]quests!$1:$1,0)-MATCH($C$1,[1]quests!$1:$1,0)+1,FALSE)</f>
        <v>孤高の一角獣</v>
      </c>
      <c r="E482" s="3" t="str">
        <f ca="1">VLOOKUP($C482,OFFSET([1]quests!$A$1,0,0,COUNTA([1]quests!$A:$A),MATCH(E$1,[1]quests!$1:$1,0)-MATCH($C$1,[1]quests!$1:$1,0)+1),MATCH(E$1,[1]quests!$1:$1,0)-MATCH($C$1,[1]quests!$1:$1,0)+1,FALSE)</f>
        <v>ドロップイベント1-2</v>
      </c>
      <c r="F482" s="5">
        <v>3</v>
      </c>
      <c r="G482" s="3" t="str">
        <f ca="1">VLOOKUP($C482&amp;"_"&amp;$F482,OFFSET([1]stages!$A$1,0,0,COUNTA([1]stages!$A:$A),MATCH(G$1,[1]stages!$2:$2,0)-MATCH("temp_stage",[1]stages!$2:$2,0)+1),MATCH(G$1,[1]stages!$2:$2,0)-MATCH("temp_stage",[1]stages!$2:$2,0)+1,FALSE)</f>
        <v>【上級】孤高の一角獣</v>
      </c>
      <c r="H482" s="3" t="str">
        <f ca="1">VLOOKUP($C482&amp;"_"&amp;$F482,OFFSET([1]stages!$A$1,0,0,COUNTA([1]stages!$A:$A),MATCH(H$1,[1]stages!$2:$2,0)-MATCH("temp_stage",[1]stages!$2:$2,0)+1),MATCH(H$1,[1]stages!$2:$2,0)-MATCH("temp_stage",[1]stages!$2:$2,0)+1,FALSE)</f>
        <v>ドロップイベント1-2</v>
      </c>
      <c r="I482" s="18">
        <v>0</v>
      </c>
      <c r="J482" s="5">
        <f>COUNTIF(C$1:C482,C482)</f>
        <v>19</v>
      </c>
      <c r="K482" s="34">
        <v>23</v>
      </c>
      <c r="L482" s="5" t="s">
        <v>17</v>
      </c>
      <c r="M482" s="38" t="str">
        <f>VLOOKUP(K482,[2]stage_hints!$A:$C,3,FALSE)</f>
        <v>フィーバーで一発逆転（その2）</v>
      </c>
      <c r="N482" s="39" t="str">
        <f>VLOOKUP(K482,[2]stage_hints!$A:$D,4,FALSE)</f>
        <v>フィーバー中は虹色のボムパネルを狙って
画面上のパネルを一気に破壊しましょう</v>
      </c>
      <c r="O482" s="20" t="s">
        <v>24</v>
      </c>
      <c r="P482">
        <v>23</v>
      </c>
    </row>
    <row r="483" spans="1:16" x14ac:dyDescent="0.15">
      <c r="A483" s="27" t="str">
        <f t="shared" si="67"/>
        <v>20002_3_20</v>
      </c>
      <c r="B483" s="25" t="s">
        <v>34</v>
      </c>
      <c r="C483" s="4">
        <v>20002</v>
      </c>
      <c r="D483" s="3" t="str">
        <f ca="1">VLOOKUP($C483,OFFSET([1]quests!$A$1,0,0,COUNTA([1]quests!$A:$A),MATCH(D$1,[1]quests!$1:$1,0)-MATCH($C$1,[1]quests!$1:$1,0)+1),MATCH(D$1,[1]quests!$1:$1,0)-MATCH($C$1,[1]quests!$1:$1,0)+1,FALSE)</f>
        <v>孤高の一角獣</v>
      </c>
      <c r="E483" s="3" t="str">
        <f ca="1">VLOOKUP($C483,OFFSET([1]quests!$A$1,0,0,COUNTA([1]quests!$A:$A),MATCH(E$1,[1]quests!$1:$1,0)-MATCH($C$1,[1]quests!$1:$1,0)+1),MATCH(E$1,[1]quests!$1:$1,0)-MATCH($C$1,[1]quests!$1:$1,0)+1,FALSE)</f>
        <v>ドロップイベント1-2</v>
      </c>
      <c r="F483" s="5">
        <v>3</v>
      </c>
      <c r="G483" s="3" t="str">
        <f ca="1">VLOOKUP($C483&amp;"_"&amp;$F483,OFFSET([1]stages!$A$1,0,0,COUNTA([1]stages!$A:$A),MATCH(G$1,[1]stages!$2:$2,0)-MATCH("temp_stage",[1]stages!$2:$2,0)+1),MATCH(G$1,[1]stages!$2:$2,0)-MATCH("temp_stage",[1]stages!$2:$2,0)+1,FALSE)</f>
        <v>【上級】孤高の一角獣</v>
      </c>
      <c r="H483" s="3" t="str">
        <f ca="1">VLOOKUP($C483&amp;"_"&amp;$F483,OFFSET([1]stages!$A$1,0,0,COUNTA([1]stages!$A:$A),MATCH(H$1,[1]stages!$2:$2,0)-MATCH("temp_stage",[1]stages!$2:$2,0)+1),MATCH(H$1,[1]stages!$2:$2,0)-MATCH("temp_stage",[1]stages!$2:$2,0)+1,FALSE)</f>
        <v>ドロップイベント1-2</v>
      </c>
      <c r="I483" s="18">
        <v>0</v>
      </c>
      <c r="J483" s="5">
        <f>COUNTIF(C$1:C483,C483)</f>
        <v>20</v>
      </c>
      <c r="K483" s="34">
        <v>24</v>
      </c>
      <c r="L483" s="5" t="s">
        <v>17</v>
      </c>
      <c r="M483" s="38" t="str">
        <f>VLOOKUP(K483,[2]stage_hints!$A:$C,3,FALSE)</f>
        <v>りんごを使って限界突破</v>
      </c>
      <c r="N483" s="39" t="str">
        <f>VLOOKUP(K483,[2]stage_hints!$A:$D,4,FALSE)</f>
        <v>赤りんご(攻撃力) 青りんご(回復力)
緑りんご(体力)をユニット強化に使うと
ステータスが限界突破します（計99個迄）</v>
      </c>
      <c r="O483" s="20" t="s">
        <v>24</v>
      </c>
      <c r="P483">
        <v>24</v>
      </c>
    </row>
    <row r="484" spans="1:16" x14ac:dyDescent="0.15">
      <c r="A484" s="27" t="str">
        <f t="shared" si="67"/>
        <v>20002_3_21</v>
      </c>
      <c r="B484" s="25" t="s">
        <v>34</v>
      </c>
      <c r="C484" s="4">
        <v>20002</v>
      </c>
      <c r="D484" s="3" t="str">
        <f ca="1">VLOOKUP($C484,OFFSET([1]quests!$A$1,0,0,COUNTA([1]quests!$A:$A),MATCH(D$1,[1]quests!$1:$1,0)-MATCH($C$1,[1]quests!$1:$1,0)+1),MATCH(D$1,[1]quests!$1:$1,0)-MATCH($C$1,[1]quests!$1:$1,0)+1,FALSE)</f>
        <v>孤高の一角獣</v>
      </c>
      <c r="E484" s="3" t="str">
        <f ca="1">VLOOKUP($C484,OFFSET([1]quests!$A$1,0,0,COUNTA([1]quests!$A:$A),MATCH(E$1,[1]quests!$1:$1,0)-MATCH($C$1,[1]quests!$1:$1,0)+1),MATCH(E$1,[1]quests!$1:$1,0)-MATCH($C$1,[1]quests!$1:$1,0)+1,FALSE)</f>
        <v>ドロップイベント1-2</v>
      </c>
      <c r="F484" s="5">
        <v>3</v>
      </c>
      <c r="G484" s="3" t="str">
        <f ca="1">VLOOKUP($C484&amp;"_"&amp;$F484,OFFSET([1]stages!$A$1,0,0,COUNTA([1]stages!$A:$A),MATCH(G$1,[1]stages!$2:$2,0)-MATCH("temp_stage",[1]stages!$2:$2,0)+1),MATCH(G$1,[1]stages!$2:$2,0)-MATCH("temp_stage",[1]stages!$2:$2,0)+1,FALSE)</f>
        <v>【上級】孤高の一角獣</v>
      </c>
      <c r="H484" s="3" t="str">
        <f ca="1">VLOOKUP($C484&amp;"_"&amp;$F484,OFFSET([1]stages!$A$1,0,0,COUNTA([1]stages!$A:$A),MATCH(H$1,[1]stages!$2:$2,0)-MATCH("temp_stage",[1]stages!$2:$2,0)+1),MATCH(H$1,[1]stages!$2:$2,0)-MATCH("temp_stage",[1]stages!$2:$2,0)+1,FALSE)</f>
        <v>ドロップイベント1-2</v>
      </c>
      <c r="I484" s="18">
        <v>0</v>
      </c>
      <c r="J484" s="5">
        <f>COUNTIF(C$1:C484,C484)</f>
        <v>21</v>
      </c>
      <c r="K484" s="34">
        <v>25</v>
      </c>
      <c r="L484" s="5" t="s">
        <v>17</v>
      </c>
      <c r="M484" s="38" t="str">
        <f>VLOOKUP(K484,[2]stage_hints!$A:$C,3,FALSE)</f>
        <v>スキルレベルアップ</v>
      </c>
      <c r="N484" s="39" t="str">
        <f>VLOOKUP(K484,[2]stage_hints!$A:$D,4,FALSE)</f>
        <v>「クリスタルのりんご」を強化に使うと
スキルレベルを上げることができます</v>
      </c>
      <c r="O484" s="20" t="s">
        <v>24</v>
      </c>
      <c r="P484">
        <v>25</v>
      </c>
    </row>
    <row r="485" spans="1:16" x14ac:dyDescent="0.15">
      <c r="A485" s="27" t="str">
        <f t="shared" si="67"/>
        <v>20002_3_22</v>
      </c>
      <c r="B485" s="25" t="s">
        <v>34</v>
      </c>
      <c r="C485" s="4">
        <v>20002</v>
      </c>
      <c r="D485" s="3" t="str">
        <f ca="1">VLOOKUP($C485,OFFSET([1]quests!$A$1,0,0,COUNTA([1]quests!$A:$A),MATCH(D$1,[1]quests!$1:$1,0)-MATCH($C$1,[1]quests!$1:$1,0)+1),MATCH(D$1,[1]quests!$1:$1,0)-MATCH($C$1,[1]quests!$1:$1,0)+1,FALSE)</f>
        <v>孤高の一角獣</v>
      </c>
      <c r="E485" s="3" t="str">
        <f ca="1">VLOOKUP($C485,OFFSET([1]quests!$A$1,0,0,COUNTA([1]quests!$A:$A),MATCH(E$1,[1]quests!$1:$1,0)-MATCH($C$1,[1]quests!$1:$1,0)+1),MATCH(E$1,[1]quests!$1:$1,0)-MATCH($C$1,[1]quests!$1:$1,0)+1,FALSE)</f>
        <v>ドロップイベント1-2</v>
      </c>
      <c r="F485" s="5">
        <v>3</v>
      </c>
      <c r="G485" s="3" t="str">
        <f ca="1">VLOOKUP($C485&amp;"_"&amp;$F485,OFFSET([1]stages!$A$1,0,0,COUNTA([1]stages!$A:$A),MATCH(G$1,[1]stages!$2:$2,0)-MATCH("temp_stage",[1]stages!$2:$2,0)+1),MATCH(G$1,[1]stages!$2:$2,0)-MATCH("temp_stage",[1]stages!$2:$2,0)+1,FALSE)</f>
        <v>【上級】孤高の一角獣</v>
      </c>
      <c r="H485" s="3" t="str">
        <f ca="1">VLOOKUP($C485&amp;"_"&amp;$F485,OFFSET([1]stages!$A$1,0,0,COUNTA([1]stages!$A:$A),MATCH(H$1,[1]stages!$2:$2,0)-MATCH("temp_stage",[1]stages!$2:$2,0)+1),MATCH(H$1,[1]stages!$2:$2,0)-MATCH("temp_stage",[1]stages!$2:$2,0)+1,FALSE)</f>
        <v>ドロップイベント1-2</v>
      </c>
      <c r="I485" s="18">
        <v>0</v>
      </c>
      <c r="J485" s="5">
        <f>COUNTIF(C$1:C485,C485)</f>
        <v>22</v>
      </c>
      <c r="K485" s="34">
        <v>26</v>
      </c>
      <c r="L485" s="5" t="s">
        <v>17</v>
      </c>
      <c r="M485" s="38" t="str">
        <f>VLOOKUP(K485,[2]stage_hints!$A:$C,3,FALSE)</f>
        <v>スキルレベルの効果</v>
      </c>
      <c r="N485" s="39" t="str">
        <f>VLOOKUP(K485,[2]stage_hints!$A:$D,4,FALSE)</f>
        <v>スキルレベルが上がると
短いターンでスキルを使うことができます</v>
      </c>
      <c r="O485" s="20" t="s">
        <v>24</v>
      </c>
      <c r="P485">
        <v>26</v>
      </c>
    </row>
    <row r="486" spans="1:16" x14ac:dyDescent="0.15">
      <c r="A486" s="27" t="str">
        <f t="shared" si="67"/>
        <v>20002_3_23</v>
      </c>
      <c r="B486" s="25" t="s">
        <v>34</v>
      </c>
      <c r="C486" s="4">
        <v>20002</v>
      </c>
      <c r="D486" s="3" t="str">
        <f ca="1">VLOOKUP($C486,OFFSET([1]quests!$A$1,0,0,COUNTA([1]quests!$A:$A),MATCH(D$1,[1]quests!$1:$1,0)-MATCH($C$1,[1]quests!$1:$1,0)+1),MATCH(D$1,[1]quests!$1:$1,0)-MATCH($C$1,[1]quests!$1:$1,0)+1,FALSE)</f>
        <v>孤高の一角獣</v>
      </c>
      <c r="E486" s="3" t="str">
        <f ca="1">VLOOKUP($C486,OFFSET([1]quests!$A$1,0,0,COUNTA([1]quests!$A:$A),MATCH(E$1,[1]quests!$1:$1,0)-MATCH($C$1,[1]quests!$1:$1,0)+1),MATCH(E$1,[1]quests!$1:$1,0)-MATCH($C$1,[1]quests!$1:$1,0)+1,FALSE)</f>
        <v>ドロップイベント1-2</v>
      </c>
      <c r="F486" s="5">
        <v>3</v>
      </c>
      <c r="G486" s="3" t="str">
        <f ca="1">VLOOKUP($C486&amp;"_"&amp;$F486,OFFSET([1]stages!$A$1,0,0,COUNTA([1]stages!$A:$A),MATCH(G$1,[1]stages!$2:$2,0)-MATCH("temp_stage",[1]stages!$2:$2,0)+1),MATCH(G$1,[1]stages!$2:$2,0)-MATCH("temp_stage",[1]stages!$2:$2,0)+1,FALSE)</f>
        <v>【上級】孤高の一角獣</v>
      </c>
      <c r="H486" s="3" t="str">
        <f ca="1">VLOOKUP($C486&amp;"_"&amp;$F486,OFFSET([1]stages!$A$1,0,0,COUNTA([1]stages!$A:$A),MATCH(H$1,[1]stages!$2:$2,0)-MATCH("temp_stage",[1]stages!$2:$2,0)+1),MATCH(H$1,[1]stages!$2:$2,0)-MATCH("temp_stage",[1]stages!$2:$2,0)+1,FALSE)</f>
        <v>ドロップイベント1-2</v>
      </c>
      <c r="I486" s="18">
        <v>0</v>
      </c>
      <c r="J486" s="5">
        <f>COUNTIF(C$1:C486,C486)</f>
        <v>23</v>
      </c>
      <c r="K486" s="34">
        <v>27</v>
      </c>
      <c r="L486" s="5" t="s">
        <v>17</v>
      </c>
      <c r="M486" s="38" t="str">
        <f>VLOOKUP(K486,[2]stage_hints!$A:$C,3,FALSE)</f>
        <v>ホーム画面からデッキを編成</v>
      </c>
      <c r="N486" s="39" t="str">
        <f>VLOOKUP(K486,[2]stage_hints!$A:$D,4,FALSE)</f>
        <v>ホーム画面でユニットを長押しすると
すぐにパーティ編成に移動できます</v>
      </c>
      <c r="O486" s="20" t="s">
        <v>24</v>
      </c>
      <c r="P486">
        <v>27</v>
      </c>
    </row>
    <row r="487" spans="1:16" x14ac:dyDescent="0.15">
      <c r="A487" s="27" t="str">
        <f t="shared" si="67"/>
        <v>20002_3_24</v>
      </c>
      <c r="B487" s="25" t="s">
        <v>34</v>
      </c>
      <c r="C487" s="4">
        <v>20002</v>
      </c>
      <c r="D487" s="3" t="str">
        <f ca="1">VLOOKUP($C487,OFFSET([1]quests!$A$1,0,0,COUNTA([1]quests!$A:$A),MATCH(D$1,[1]quests!$1:$1,0)-MATCH($C$1,[1]quests!$1:$1,0)+1),MATCH(D$1,[1]quests!$1:$1,0)-MATCH($C$1,[1]quests!$1:$1,0)+1,FALSE)</f>
        <v>孤高の一角獣</v>
      </c>
      <c r="E487" s="3" t="str">
        <f ca="1">VLOOKUP($C487,OFFSET([1]quests!$A$1,0,0,COUNTA([1]quests!$A:$A),MATCH(E$1,[1]quests!$1:$1,0)-MATCH($C$1,[1]quests!$1:$1,0)+1),MATCH(E$1,[1]quests!$1:$1,0)-MATCH($C$1,[1]quests!$1:$1,0)+1,FALSE)</f>
        <v>ドロップイベント1-2</v>
      </c>
      <c r="F487" s="5">
        <v>3</v>
      </c>
      <c r="G487" s="3" t="str">
        <f ca="1">VLOOKUP($C487&amp;"_"&amp;$F487,OFFSET([1]stages!$A$1,0,0,COUNTA([1]stages!$A:$A),MATCH(G$1,[1]stages!$2:$2,0)-MATCH("temp_stage",[1]stages!$2:$2,0)+1),MATCH(G$1,[1]stages!$2:$2,0)-MATCH("temp_stage",[1]stages!$2:$2,0)+1,FALSE)</f>
        <v>【上級】孤高の一角獣</v>
      </c>
      <c r="H487" s="3" t="str">
        <f ca="1">VLOOKUP($C487&amp;"_"&amp;$F487,OFFSET([1]stages!$A$1,0,0,COUNTA([1]stages!$A:$A),MATCH(H$1,[1]stages!$2:$2,0)-MATCH("temp_stage",[1]stages!$2:$2,0)+1),MATCH(H$1,[1]stages!$2:$2,0)-MATCH("temp_stage",[1]stages!$2:$2,0)+1,FALSE)</f>
        <v>ドロップイベント1-2</v>
      </c>
      <c r="I487" s="18">
        <v>0</v>
      </c>
      <c r="J487" s="5">
        <f>COUNTIF(C$1:C487,C487)</f>
        <v>24</v>
      </c>
      <c r="K487" s="34">
        <v>28</v>
      </c>
      <c r="L487" s="5" t="s">
        <v>17</v>
      </c>
      <c r="M487" s="38" t="str">
        <f>VLOOKUP(K487,[2]stage_hints!$A:$C,3,FALSE)</f>
        <v>ステータス情報は長押しで</v>
      </c>
      <c r="N487" s="39" t="str">
        <f>VLOOKUP(K487,[2]stage_hints!$A:$D,4,FALSE)</f>
        <v>ユニットのアイコンを長押しすると
ステータス情報を確認することができます</v>
      </c>
      <c r="O487" s="20" t="s">
        <v>24</v>
      </c>
      <c r="P487">
        <v>28</v>
      </c>
    </row>
    <row r="488" spans="1:16" x14ac:dyDescent="0.15">
      <c r="A488" s="27" t="str">
        <f t="shared" si="67"/>
        <v>20002_3_25</v>
      </c>
      <c r="B488" s="25" t="s">
        <v>34</v>
      </c>
      <c r="C488" s="4">
        <v>20002</v>
      </c>
      <c r="D488" s="3" t="str">
        <f ca="1">VLOOKUP($C488,OFFSET([1]quests!$A$1,0,0,COUNTA([1]quests!$A:$A),MATCH(D$1,[1]quests!$1:$1,0)-MATCH($C$1,[1]quests!$1:$1,0)+1),MATCH(D$1,[1]quests!$1:$1,0)-MATCH($C$1,[1]quests!$1:$1,0)+1,FALSE)</f>
        <v>孤高の一角獣</v>
      </c>
      <c r="E488" s="3" t="str">
        <f ca="1">VLOOKUP($C488,OFFSET([1]quests!$A$1,0,0,COUNTA([1]quests!$A:$A),MATCH(E$1,[1]quests!$1:$1,0)-MATCH($C$1,[1]quests!$1:$1,0)+1),MATCH(E$1,[1]quests!$1:$1,0)-MATCH($C$1,[1]quests!$1:$1,0)+1,FALSE)</f>
        <v>ドロップイベント1-2</v>
      </c>
      <c r="F488" s="5">
        <v>3</v>
      </c>
      <c r="G488" s="3" t="str">
        <f ca="1">VLOOKUP($C488&amp;"_"&amp;$F488,OFFSET([1]stages!$A$1,0,0,COUNTA([1]stages!$A:$A),MATCH(G$1,[1]stages!$2:$2,0)-MATCH("temp_stage",[1]stages!$2:$2,0)+1),MATCH(G$1,[1]stages!$2:$2,0)-MATCH("temp_stage",[1]stages!$2:$2,0)+1,FALSE)</f>
        <v>【上級】孤高の一角獣</v>
      </c>
      <c r="H488" s="3" t="str">
        <f ca="1">VLOOKUP($C488&amp;"_"&amp;$F488,OFFSET([1]stages!$A$1,0,0,COUNTA([1]stages!$A:$A),MATCH(H$1,[1]stages!$2:$2,0)-MATCH("temp_stage",[1]stages!$2:$2,0)+1),MATCH(H$1,[1]stages!$2:$2,0)-MATCH("temp_stage",[1]stages!$2:$2,0)+1,FALSE)</f>
        <v>ドロップイベント1-2</v>
      </c>
      <c r="I488" s="18">
        <v>0</v>
      </c>
      <c r="J488" s="5">
        <f>COUNTIF(C$1:C488,C488)</f>
        <v>25</v>
      </c>
      <c r="K488" s="34">
        <v>29</v>
      </c>
      <c r="L488" s="5" t="s">
        <v>17</v>
      </c>
      <c r="M488" s="38" t="str">
        <f>VLOOKUP(K488,[2]stage_hints!$A:$C,3,FALSE)</f>
        <v>「バグ」のメリット</v>
      </c>
      <c r="N488" s="39" t="str">
        <f>VLOOKUP(K488,[2]stage_hints!$A:$D,4,FALSE)</f>
        <v>ユニットの「バグ」を増やすと
報酬をもらえる確率がアップします</v>
      </c>
      <c r="O488" s="20" t="s">
        <v>24</v>
      </c>
      <c r="P488">
        <v>29</v>
      </c>
    </row>
    <row r="489" spans="1:16" x14ac:dyDescent="0.15">
      <c r="A489" s="27" t="str">
        <f t="shared" si="67"/>
        <v>20002_3_26</v>
      </c>
      <c r="B489" s="25" t="s">
        <v>34</v>
      </c>
      <c r="C489" s="4">
        <v>20002</v>
      </c>
      <c r="D489" s="3" t="str">
        <f ca="1">VLOOKUP($C489,OFFSET([1]quests!$A$1,0,0,COUNTA([1]quests!$A:$A),MATCH(D$1,[1]quests!$1:$1,0)-MATCH($C$1,[1]quests!$1:$1,0)+1),MATCH(D$1,[1]quests!$1:$1,0)-MATCH($C$1,[1]quests!$1:$1,0)+1,FALSE)</f>
        <v>孤高の一角獣</v>
      </c>
      <c r="E489" s="3" t="str">
        <f ca="1">VLOOKUP($C489,OFFSET([1]quests!$A$1,0,0,COUNTA([1]quests!$A:$A),MATCH(E$1,[1]quests!$1:$1,0)-MATCH($C$1,[1]quests!$1:$1,0)+1),MATCH(E$1,[1]quests!$1:$1,0)-MATCH($C$1,[1]quests!$1:$1,0)+1,FALSE)</f>
        <v>ドロップイベント1-2</v>
      </c>
      <c r="F489" s="5">
        <v>3</v>
      </c>
      <c r="G489" s="3" t="str">
        <f ca="1">VLOOKUP($C489&amp;"_"&amp;$F489,OFFSET([1]stages!$A$1,0,0,COUNTA([1]stages!$A:$A),MATCH(G$1,[1]stages!$2:$2,0)-MATCH("temp_stage",[1]stages!$2:$2,0)+1),MATCH(G$1,[1]stages!$2:$2,0)-MATCH("temp_stage",[1]stages!$2:$2,0)+1,FALSE)</f>
        <v>【上級】孤高の一角獣</v>
      </c>
      <c r="H489" s="3" t="str">
        <f ca="1">VLOOKUP($C489&amp;"_"&amp;$F489,OFFSET([1]stages!$A$1,0,0,COUNTA([1]stages!$A:$A),MATCH(H$1,[1]stages!$2:$2,0)-MATCH("temp_stage",[1]stages!$2:$2,0)+1),MATCH(H$1,[1]stages!$2:$2,0)-MATCH("temp_stage",[1]stages!$2:$2,0)+1,FALSE)</f>
        <v>ドロップイベント1-2</v>
      </c>
      <c r="I489" s="18">
        <v>0</v>
      </c>
      <c r="J489" s="5">
        <f>COUNTIF(C$1:C489,C489)</f>
        <v>26</v>
      </c>
      <c r="K489" s="34">
        <v>30</v>
      </c>
      <c r="L489" s="5" t="s">
        <v>17</v>
      </c>
      <c r="M489" s="38" t="str">
        <f>VLOOKUP(K489,[2]stage_hints!$A:$C,3,FALSE)</f>
        <v>「バグ」の増やし方</v>
      </c>
      <c r="N489" s="39" t="str">
        <f>VLOOKUP(K489,[2]stage_hints!$A:$D,4,FALSE)</f>
        <v>同じユニット同士を強化で合成すると
「バグ」を増やすことができます</v>
      </c>
      <c r="O489" s="20" t="s">
        <v>24</v>
      </c>
      <c r="P489">
        <v>30</v>
      </c>
    </row>
    <row r="490" spans="1:16" x14ac:dyDescent="0.15">
      <c r="A490" s="27" t="str">
        <f t="shared" si="67"/>
        <v>20002_3_27</v>
      </c>
      <c r="B490" s="25" t="s">
        <v>34</v>
      </c>
      <c r="C490" s="4">
        <v>20002</v>
      </c>
      <c r="D490" s="3" t="str">
        <f ca="1">VLOOKUP($C490,OFFSET([1]quests!$A$1,0,0,COUNTA([1]quests!$A:$A),MATCH(D$1,[1]quests!$1:$1,0)-MATCH($C$1,[1]quests!$1:$1,0)+1),MATCH(D$1,[1]quests!$1:$1,0)-MATCH($C$1,[1]quests!$1:$1,0)+1,FALSE)</f>
        <v>孤高の一角獣</v>
      </c>
      <c r="E490" s="3" t="str">
        <f ca="1">VLOOKUP($C490,OFFSET([1]quests!$A$1,0,0,COUNTA([1]quests!$A:$A),MATCH(E$1,[1]quests!$1:$1,0)-MATCH($C$1,[1]quests!$1:$1,0)+1),MATCH(E$1,[1]quests!$1:$1,0)-MATCH($C$1,[1]quests!$1:$1,0)+1,FALSE)</f>
        <v>ドロップイベント1-2</v>
      </c>
      <c r="F490" s="5">
        <v>3</v>
      </c>
      <c r="G490" s="3" t="str">
        <f ca="1">VLOOKUP($C490&amp;"_"&amp;$F490,OFFSET([1]stages!$A$1,0,0,COUNTA([1]stages!$A:$A),MATCH(G$1,[1]stages!$2:$2,0)-MATCH("temp_stage",[1]stages!$2:$2,0)+1),MATCH(G$1,[1]stages!$2:$2,0)-MATCH("temp_stage",[1]stages!$2:$2,0)+1,FALSE)</f>
        <v>【上級】孤高の一角獣</v>
      </c>
      <c r="H490" s="3" t="str">
        <f ca="1">VLOOKUP($C490&amp;"_"&amp;$F490,OFFSET([1]stages!$A$1,0,0,COUNTA([1]stages!$A:$A),MATCH(H$1,[1]stages!$2:$2,0)-MATCH("temp_stage",[1]stages!$2:$2,0)+1),MATCH(H$1,[1]stages!$2:$2,0)-MATCH("temp_stage",[1]stages!$2:$2,0)+1,FALSE)</f>
        <v>ドロップイベント1-2</v>
      </c>
      <c r="I490" s="18">
        <v>0</v>
      </c>
      <c r="J490" s="5">
        <f>COUNTIF(C$1:C490,C490)</f>
        <v>27</v>
      </c>
      <c r="K490" s="34">
        <v>31</v>
      </c>
      <c r="L490" s="5" t="s">
        <v>17</v>
      </c>
      <c r="M490" s="38" t="str">
        <f>VLOOKUP(K490,[2]stage_hints!$A:$C,3,FALSE)</f>
        <v>イベントはお知らせでチェック</v>
      </c>
      <c r="N490" s="39" t="str">
        <f>VLOOKUP(K490,[2]stage_hints!$A:$D,4,FALSE)</f>
        <v>イベント限定ユニットを取り忘れないように
お知らせをこまめにチェックしましょう</v>
      </c>
      <c r="O490" s="20" t="s">
        <v>24</v>
      </c>
      <c r="P490">
        <v>31</v>
      </c>
    </row>
    <row r="491" spans="1:16" x14ac:dyDescent="0.15">
      <c r="A491" s="27" t="str">
        <f t="shared" si="67"/>
        <v>20002_3_28</v>
      </c>
      <c r="B491" s="25" t="s">
        <v>34</v>
      </c>
      <c r="C491" s="4">
        <v>20002</v>
      </c>
      <c r="D491" s="3" t="str">
        <f ca="1">VLOOKUP($C491,OFFSET([1]quests!$A$1,0,0,COUNTA([1]quests!$A:$A),MATCH(D$1,[1]quests!$1:$1,0)-MATCH($C$1,[1]quests!$1:$1,0)+1),MATCH(D$1,[1]quests!$1:$1,0)-MATCH($C$1,[1]quests!$1:$1,0)+1,FALSE)</f>
        <v>孤高の一角獣</v>
      </c>
      <c r="E491" s="3" t="str">
        <f ca="1">VLOOKUP($C491,OFFSET([1]quests!$A$1,0,0,COUNTA([1]quests!$A:$A),MATCH(E$1,[1]quests!$1:$1,0)-MATCH($C$1,[1]quests!$1:$1,0)+1),MATCH(E$1,[1]quests!$1:$1,0)-MATCH($C$1,[1]quests!$1:$1,0)+1,FALSE)</f>
        <v>ドロップイベント1-2</v>
      </c>
      <c r="F491" s="5">
        <v>3</v>
      </c>
      <c r="G491" s="3" t="str">
        <f ca="1">VLOOKUP($C491&amp;"_"&amp;$F491,OFFSET([1]stages!$A$1,0,0,COUNTA([1]stages!$A:$A),MATCH(G$1,[1]stages!$2:$2,0)-MATCH("temp_stage",[1]stages!$2:$2,0)+1),MATCH(G$1,[1]stages!$2:$2,0)-MATCH("temp_stage",[1]stages!$2:$2,0)+1,FALSE)</f>
        <v>【上級】孤高の一角獣</v>
      </c>
      <c r="H491" s="3" t="str">
        <f ca="1">VLOOKUP($C491&amp;"_"&amp;$F491,OFFSET([1]stages!$A$1,0,0,COUNTA([1]stages!$A:$A),MATCH(H$1,[1]stages!$2:$2,0)-MATCH("temp_stage",[1]stages!$2:$2,0)+1),MATCH(H$1,[1]stages!$2:$2,0)-MATCH("temp_stage",[1]stages!$2:$2,0)+1,FALSE)</f>
        <v>ドロップイベント1-2</v>
      </c>
      <c r="I491" s="18">
        <v>0</v>
      </c>
      <c r="J491" s="5">
        <f>COUNTIF(C$1:C491,C491)</f>
        <v>28</v>
      </c>
      <c r="K491" s="34">
        <v>32</v>
      </c>
      <c r="L491" s="5" t="s">
        <v>17</v>
      </c>
      <c r="M491" s="38" t="str">
        <f>VLOOKUP(K491,[2]stage_hints!$A:$C,3,FALSE)</f>
        <v>敵の連続攻撃には</v>
      </c>
      <c r="N491" s="39" t="str">
        <f>VLOOKUP(K491,[2]stage_hints!$A:$D,4,FALSE)</f>
        <v>カウンタースキルを持つユニットがいれば
ダメージ回数分の反撃ができます</v>
      </c>
      <c r="O491" s="20" t="s">
        <v>24</v>
      </c>
      <c r="P491">
        <v>32</v>
      </c>
    </row>
    <row r="492" spans="1:16" x14ac:dyDescent="0.15">
      <c r="A492" s="27" t="str">
        <f t="shared" si="67"/>
        <v>20002_3_29</v>
      </c>
      <c r="B492" s="25" t="s">
        <v>34</v>
      </c>
      <c r="C492" s="4">
        <v>20002</v>
      </c>
      <c r="D492" s="3" t="str">
        <f ca="1">VLOOKUP($C492,OFFSET([1]quests!$A$1,0,0,COUNTA([1]quests!$A:$A),MATCH(D$1,[1]quests!$1:$1,0)-MATCH($C$1,[1]quests!$1:$1,0)+1),MATCH(D$1,[1]quests!$1:$1,0)-MATCH($C$1,[1]quests!$1:$1,0)+1,FALSE)</f>
        <v>孤高の一角獣</v>
      </c>
      <c r="E492" s="3" t="str">
        <f ca="1">VLOOKUP($C492,OFFSET([1]quests!$A$1,0,0,COUNTA([1]quests!$A:$A),MATCH(E$1,[1]quests!$1:$1,0)-MATCH($C$1,[1]quests!$1:$1,0)+1),MATCH(E$1,[1]quests!$1:$1,0)-MATCH($C$1,[1]quests!$1:$1,0)+1,FALSE)</f>
        <v>ドロップイベント1-2</v>
      </c>
      <c r="F492" s="5">
        <v>3</v>
      </c>
      <c r="G492" s="3" t="str">
        <f ca="1">VLOOKUP($C492&amp;"_"&amp;$F492,OFFSET([1]stages!$A$1,0,0,COUNTA([1]stages!$A:$A),MATCH(G$1,[1]stages!$2:$2,0)-MATCH("temp_stage",[1]stages!$2:$2,0)+1),MATCH(G$1,[1]stages!$2:$2,0)-MATCH("temp_stage",[1]stages!$2:$2,0)+1,FALSE)</f>
        <v>【上級】孤高の一角獣</v>
      </c>
      <c r="H492" s="3" t="str">
        <f ca="1">VLOOKUP($C492&amp;"_"&amp;$F492,OFFSET([1]stages!$A$1,0,0,COUNTA([1]stages!$A:$A),MATCH(H$1,[1]stages!$2:$2,0)-MATCH("temp_stage",[1]stages!$2:$2,0)+1),MATCH(H$1,[1]stages!$2:$2,0)-MATCH("temp_stage",[1]stages!$2:$2,0)+1,FALSE)</f>
        <v>ドロップイベント1-2</v>
      </c>
      <c r="I492" s="18">
        <v>0</v>
      </c>
      <c r="J492" s="5">
        <f>COUNTIF(C$1:C492,C492)</f>
        <v>29</v>
      </c>
      <c r="K492" s="34">
        <v>33</v>
      </c>
      <c r="L492" s="5" t="s">
        <v>17</v>
      </c>
      <c r="M492" s="38" t="str">
        <f>VLOOKUP(K492,[2]stage_hints!$A:$C,3,FALSE)</f>
        <v>敵のカウンター攻撃には</v>
      </c>
      <c r="N492" s="39" t="str">
        <f>VLOOKUP(K492,[2]stage_hints!$A:$D,4,FALSE)</f>
        <v>カウンターブレイクスキルを持っていれば
敵のカウンターを解除して攻撃ができます</v>
      </c>
      <c r="O492" s="20" t="s">
        <v>24</v>
      </c>
      <c r="P492">
        <v>33</v>
      </c>
    </row>
    <row r="493" spans="1:16" x14ac:dyDescent="0.15">
      <c r="A493" s="27" t="str">
        <f t="shared" si="67"/>
        <v>20002_3_30</v>
      </c>
      <c r="B493" s="25" t="s">
        <v>34</v>
      </c>
      <c r="C493" s="4">
        <v>20002</v>
      </c>
      <c r="D493" s="3" t="str">
        <f ca="1">VLOOKUP($C493,OFFSET([1]quests!$A$1,0,0,COUNTA([1]quests!$A:$A),MATCH(D$1,[1]quests!$1:$1,0)-MATCH($C$1,[1]quests!$1:$1,0)+1),MATCH(D$1,[1]quests!$1:$1,0)-MATCH($C$1,[1]quests!$1:$1,0)+1,FALSE)</f>
        <v>孤高の一角獣</v>
      </c>
      <c r="E493" s="3" t="str">
        <f ca="1">VLOOKUP($C493,OFFSET([1]quests!$A$1,0,0,COUNTA([1]quests!$A:$A),MATCH(E$1,[1]quests!$1:$1,0)-MATCH($C$1,[1]quests!$1:$1,0)+1),MATCH(E$1,[1]quests!$1:$1,0)-MATCH($C$1,[1]quests!$1:$1,0)+1,FALSE)</f>
        <v>ドロップイベント1-2</v>
      </c>
      <c r="F493" s="5">
        <v>3</v>
      </c>
      <c r="G493" s="3" t="str">
        <f ca="1">VLOOKUP($C493&amp;"_"&amp;$F493,OFFSET([1]stages!$A$1,0,0,COUNTA([1]stages!$A:$A),MATCH(G$1,[1]stages!$2:$2,0)-MATCH("temp_stage",[1]stages!$2:$2,0)+1),MATCH(G$1,[1]stages!$2:$2,0)-MATCH("temp_stage",[1]stages!$2:$2,0)+1,FALSE)</f>
        <v>【上級】孤高の一角獣</v>
      </c>
      <c r="H493" s="3" t="str">
        <f ca="1">VLOOKUP($C493&amp;"_"&amp;$F493,OFFSET([1]stages!$A$1,0,0,COUNTA([1]stages!$A:$A),MATCH(H$1,[1]stages!$2:$2,0)-MATCH("temp_stage",[1]stages!$2:$2,0)+1),MATCH(H$1,[1]stages!$2:$2,0)-MATCH("temp_stage",[1]stages!$2:$2,0)+1,FALSE)</f>
        <v>ドロップイベント1-2</v>
      </c>
      <c r="I493" s="18">
        <v>0</v>
      </c>
      <c r="J493" s="5">
        <f>COUNTIF(C$1:C493,C493)</f>
        <v>30</v>
      </c>
      <c r="K493" s="34">
        <v>34</v>
      </c>
      <c r="L493" s="5" t="s">
        <v>17</v>
      </c>
      <c r="M493" s="38" t="str">
        <f>VLOOKUP(K493,[2]stage_hints!$A:$C,3,FALSE)</f>
        <v>ステータスをスキルで下げられたら</v>
      </c>
      <c r="N493" s="39" t="str">
        <f>VLOOKUP(K493,[2]stage_hints!$A:$D,4,FALSE)</f>
        <v>ステータスダウンのスキルを受けたら
ステータスアップスキルで上書きしましょう</v>
      </c>
      <c r="O493" s="20" t="s">
        <v>24</v>
      </c>
      <c r="P493">
        <v>34</v>
      </c>
    </row>
    <row r="494" spans="1:16" x14ac:dyDescent="0.15">
      <c r="A494" s="27" t="str">
        <f t="shared" si="67"/>
        <v>20002_3_31</v>
      </c>
      <c r="B494" s="25" t="s">
        <v>34</v>
      </c>
      <c r="C494" s="4">
        <v>20002</v>
      </c>
      <c r="D494" s="3" t="str">
        <f ca="1">VLOOKUP($C494,OFFSET([1]quests!$A$1,0,0,COUNTA([1]quests!$A:$A),MATCH(D$1,[1]quests!$1:$1,0)-MATCH($C$1,[1]quests!$1:$1,0)+1),MATCH(D$1,[1]quests!$1:$1,0)-MATCH($C$1,[1]quests!$1:$1,0)+1,FALSE)</f>
        <v>孤高の一角獣</v>
      </c>
      <c r="E494" s="3" t="str">
        <f ca="1">VLOOKUP($C494,OFFSET([1]quests!$A$1,0,0,COUNTA([1]quests!$A:$A),MATCH(E$1,[1]quests!$1:$1,0)-MATCH($C$1,[1]quests!$1:$1,0)+1),MATCH(E$1,[1]quests!$1:$1,0)-MATCH($C$1,[1]quests!$1:$1,0)+1,FALSE)</f>
        <v>ドロップイベント1-2</v>
      </c>
      <c r="F494" s="5">
        <v>3</v>
      </c>
      <c r="G494" s="3" t="str">
        <f ca="1">VLOOKUP($C494&amp;"_"&amp;$F494,OFFSET([1]stages!$A$1,0,0,COUNTA([1]stages!$A:$A),MATCH(G$1,[1]stages!$2:$2,0)-MATCH("temp_stage",[1]stages!$2:$2,0)+1),MATCH(G$1,[1]stages!$2:$2,0)-MATCH("temp_stage",[1]stages!$2:$2,0)+1,FALSE)</f>
        <v>【上級】孤高の一角獣</v>
      </c>
      <c r="H494" s="3" t="str">
        <f ca="1">VLOOKUP($C494&amp;"_"&amp;$F494,OFFSET([1]stages!$A$1,0,0,COUNTA([1]stages!$A:$A),MATCH(H$1,[1]stages!$2:$2,0)-MATCH("temp_stage",[1]stages!$2:$2,0)+1),MATCH(H$1,[1]stages!$2:$2,0)-MATCH("temp_stage",[1]stages!$2:$2,0)+1,FALSE)</f>
        <v>ドロップイベント1-2</v>
      </c>
      <c r="I494" s="18">
        <v>0</v>
      </c>
      <c r="J494" s="5">
        <f>COUNTIF(C$1:C494,C494)</f>
        <v>31</v>
      </c>
      <c r="K494" s="34">
        <v>35</v>
      </c>
      <c r="L494" s="5" t="s">
        <v>17</v>
      </c>
      <c r="M494" s="38" t="str">
        <f>VLOOKUP(K494,[2]stage_hints!$A:$C,3,FALSE)</f>
        <v>敵のステータスがスキルで上がったら</v>
      </c>
      <c r="N494" s="39" t="str">
        <f>VLOOKUP(K494,[2]stage_hints!$A:$D,4,FALSE)</f>
        <v>敵のステータスがスキルでアップしたときは
ステータスダウンスキルで上書きしましょう</v>
      </c>
      <c r="O494" s="20" t="s">
        <v>24</v>
      </c>
      <c r="P494">
        <v>35</v>
      </c>
    </row>
    <row r="495" spans="1:16" x14ac:dyDescent="0.15">
      <c r="A495" s="27" t="str">
        <f t="shared" si="67"/>
        <v>20002_3_32</v>
      </c>
      <c r="B495" s="25" t="s">
        <v>34</v>
      </c>
      <c r="C495" s="4">
        <v>20002</v>
      </c>
      <c r="D495" s="3" t="str">
        <f ca="1">VLOOKUP($C495,OFFSET([1]quests!$A$1,0,0,COUNTA([1]quests!$A:$A),MATCH(D$1,[1]quests!$1:$1,0)-MATCH($C$1,[1]quests!$1:$1,0)+1),MATCH(D$1,[1]quests!$1:$1,0)-MATCH($C$1,[1]quests!$1:$1,0)+1,FALSE)</f>
        <v>孤高の一角獣</v>
      </c>
      <c r="E495" s="3" t="str">
        <f ca="1">VLOOKUP($C495,OFFSET([1]quests!$A$1,0,0,COUNTA([1]quests!$A:$A),MATCH(E$1,[1]quests!$1:$1,0)-MATCH($C$1,[1]quests!$1:$1,0)+1),MATCH(E$1,[1]quests!$1:$1,0)-MATCH($C$1,[1]quests!$1:$1,0)+1,FALSE)</f>
        <v>ドロップイベント1-2</v>
      </c>
      <c r="F495" s="5">
        <v>3</v>
      </c>
      <c r="G495" s="3" t="str">
        <f ca="1">VLOOKUP($C495&amp;"_"&amp;$F495,OFFSET([1]stages!$A$1,0,0,COUNTA([1]stages!$A:$A),MATCH(G$1,[1]stages!$2:$2,0)-MATCH("temp_stage",[1]stages!$2:$2,0)+1),MATCH(G$1,[1]stages!$2:$2,0)-MATCH("temp_stage",[1]stages!$2:$2,0)+1,FALSE)</f>
        <v>【上級】孤高の一角獣</v>
      </c>
      <c r="H495" s="3" t="str">
        <f ca="1">VLOOKUP($C495&amp;"_"&amp;$F495,OFFSET([1]stages!$A$1,0,0,COUNTA([1]stages!$A:$A),MATCH(H$1,[1]stages!$2:$2,0)-MATCH("temp_stage",[1]stages!$2:$2,0)+1),MATCH(H$1,[1]stages!$2:$2,0)-MATCH("temp_stage",[1]stages!$2:$2,0)+1,FALSE)</f>
        <v>ドロップイベント1-2</v>
      </c>
      <c r="I495" s="18">
        <v>0</v>
      </c>
      <c r="J495" s="5">
        <f>COUNTIF(C$1:C495,C495)</f>
        <v>32</v>
      </c>
      <c r="K495" s="34">
        <v>36</v>
      </c>
      <c r="L495" s="5" t="s">
        <v>17</v>
      </c>
      <c r="M495" s="38" t="str">
        <f>VLOOKUP(K495,[2]stage_hints!$A:$C,3,FALSE)</f>
        <v>チャレンジタワーのボス</v>
      </c>
      <c r="N495" s="39" t="str">
        <f>VLOOKUP(K495,[2]stage_hints!$A:$D,4,FALSE)</f>
        <v>チャレンジタワーでのみ登場するボスは
一定確率で獲得することができます</v>
      </c>
      <c r="O495" s="20" t="s">
        <v>24</v>
      </c>
      <c r="P495">
        <v>36</v>
      </c>
    </row>
    <row r="496" spans="1:16" x14ac:dyDescent="0.15">
      <c r="A496" s="27" t="str">
        <f t="shared" ref="A496:A509" si="68">C496&amp;"_"&amp;F496&amp;"_"&amp;J496</f>
        <v>20002_3_33</v>
      </c>
      <c r="B496" s="25" t="s">
        <v>34</v>
      </c>
      <c r="C496" s="4">
        <v>20002</v>
      </c>
      <c r="D496" s="3" t="str">
        <f ca="1">VLOOKUP($C496,OFFSET([1]quests!$A$1,0,0,COUNTA([1]quests!$A:$A),MATCH(D$1,[1]quests!$1:$1,0)-MATCH($C$1,[1]quests!$1:$1,0)+1),MATCH(D$1,[1]quests!$1:$1,0)-MATCH($C$1,[1]quests!$1:$1,0)+1,FALSE)</f>
        <v>孤高の一角獣</v>
      </c>
      <c r="E496" s="3" t="str">
        <f ca="1">VLOOKUP($C496,OFFSET([1]quests!$A$1,0,0,COUNTA([1]quests!$A:$A),MATCH(E$1,[1]quests!$1:$1,0)-MATCH($C$1,[1]quests!$1:$1,0)+1),MATCH(E$1,[1]quests!$1:$1,0)-MATCH($C$1,[1]quests!$1:$1,0)+1,FALSE)</f>
        <v>ドロップイベント1-2</v>
      </c>
      <c r="F496" s="5">
        <v>3</v>
      </c>
      <c r="G496" s="3" t="str">
        <f ca="1">VLOOKUP($C496&amp;"_"&amp;$F496,OFFSET([1]stages!$A$1,0,0,COUNTA([1]stages!$A:$A),MATCH(G$1,[1]stages!$2:$2,0)-MATCH("temp_stage",[1]stages!$2:$2,0)+1),MATCH(G$1,[1]stages!$2:$2,0)-MATCH("temp_stage",[1]stages!$2:$2,0)+1,FALSE)</f>
        <v>【上級】孤高の一角獣</v>
      </c>
      <c r="H496" s="3" t="str">
        <f ca="1">VLOOKUP($C496&amp;"_"&amp;$F496,OFFSET([1]stages!$A$1,0,0,COUNTA([1]stages!$A:$A),MATCH(H$1,[1]stages!$2:$2,0)-MATCH("temp_stage",[1]stages!$2:$2,0)+1),MATCH(H$1,[1]stages!$2:$2,0)-MATCH("temp_stage",[1]stages!$2:$2,0)+1,FALSE)</f>
        <v>ドロップイベント1-2</v>
      </c>
      <c r="I496" s="18">
        <v>0</v>
      </c>
      <c r="J496" s="5">
        <f>COUNTIF(C$1:C496,C496)</f>
        <v>33</v>
      </c>
      <c r="K496" s="34">
        <v>37</v>
      </c>
      <c r="L496" s="5" t="s">
        <v>17</v>
      </c>
      <c r="M496" s="38" t="str">
        <f>VLOOKUP(K496,[2]stage_hints!$A:$C,3,FALSE)</f>
        <v>限界突破値の引き継ぎ</v>
      </c>
      <c r="N496" s="39" t="str">
        <f>VLOOKUP(K496,[2]stage_hints!$A:$D,4,FALSE)</f>
        <v>同じユニットを強化で合成すると
限界突破値を引き継げます（覚醒前後も可）</v>
      </c>
      <c r="O496" s="20" t="s">
        <v>24</v>
      </c>
      <c r="P496">
        <v>37</v>
      </c>
    </row>
    <row r="497" spans="1:16" x14ac:dyDescent="0.15">
      <c r="A497" s="27" t="str">
        <f t="shared" si="68"/>
        <v>20003_3_1</v>
      </c>
      <c r="B497" s="25" t="s">
        <v>34</v>
      </c>
      <c r="C497" s="4">
        <v>20003</v>
      </c>
      <c r="D497" s="3" t="str">
        <f ca="1">VLOOKUP($C497,OFFSET([1]quests!$A$1,0,0,COUNTA([1]quests!$A:$A),MATCH(D$1,[1]quests!$1:$1,0)-MATCH($C$1,[1]quests!$1:$1,0)+1),MATCH(D$1,[1]quests!$1:$1,0)-MATCH($C$1,[1]quests!$1:$1,0)+1,FALSE)</f>
        <v>忍び寄る短剣</v>
      </c>
      <c r="E497" s="3" t="str">
        <f ca="1">VLOOKUP($C497,OFFSET([1]quests!$A$1,0,0,COUNTA([1]quests!$A:$A),MATCH(E$1,[1]quests!$1:$1,0)-MATCH($C$1,[1]quests!$1:$1,0)+1),MATCH(E$1,[1]quests!$1:$1,0)-MATCH($C$1,[1]quests!$1:$1,0)+1,FALSE)</f>
        <v>ドロップイベント1-3</v>
      </c>
      <c r="F497" s="5">
        <v>3</v>
      </c>
      <c r="G497" s="3" t="str">
        <f ca="1">VLOOKUP($C497&amp;"_"&amp;$F497,OFFSET([1]stages!$A$1,0,0,COUNTA([1]stages!$A:$A),MATCH(G$1,[1]stages!$2:$2,0)-MATCH("temp_stage",[1]stages!$2:$2,0)+1),MATCH(G$1,[1]stages!$2:$2,0)-MATCH("temp_stage",[1]stages!$2:$2,0)+1,FALSE)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497" s="3" t="str">
        <f ca="1">VLOOKUP($C497&amp;"_"&amp;$F497,OFFSET([1]stages!$A$1,0,0,COUNTA([1]stages!$A:$A),MATCH(H$1,[1]stages!$2:$2,0)-MATCH("temp_stage",[1]stages!$2:$2,0)+1),MATCH(H$1,[1]stages!$2:$2,0)-MATCH("temp_stage",[1]stages!$2:$2,0)+1,FALSE)</f>
        <v>ドロップイベント1-3</v>
      </c>
      <c r="I497" s="18">
        <v>0</v>
      </c>
      <c r="J497" s="5">
        <f>COUNTIF(C$1:C497,C497)</f>
        <v>1</v>
      </c>
      <c r="K497" s="34">
        <v>3</v>
      </c>
      <c r="L497" s="5" t="s">
        <v>17</v>
      </c>
      <c r="M497" s="38" t="str">
        <f>VLOOKUP(K497,[2]stage_hints!$A:$C,3,FALSE)</f>
        <v>ターゲット</v>
      </c>
      <c r="N497" s="39" t="str">
        <f>VLOOKUP(K497,[2]stage_hints!$A:$D,4,FALSE)</f>
        <v>敵ユニットをタップすると
その敵を狙い撃ちできます</v>
      </c>
      <c r="O497" s="20" t="s">
        <v>24</v>
      </c>
      <c r="P497">
        <v>3</v>
      </c>
    </row>
    <row r="498" spans="1:16" x14ac:dyDescent="0.15">
      <c r="A498" s="27" t="str">
        <f t="shared" si="68"/>
        <v>20003_3_2</v>
      </c>
      <c r="B498" s="25" t="s">
        <v>34</v>
      </c>
      <c r="C498" s="4">
        <v>20003</v>
      </c>
      <c r="D498" s="3" t="str">
        <f ca="1">VLOOKUP($C498,OFFSET([1]quests!$A$1,0,0,COUNTA([1]quests!$A:$A),MATCH(D$1,[1]quests!$1:$1,0)-MATCH($C$1,[1]quests!$1:$1,0)+1),MATCH(D$1,[1]quests!$1:$1,0)-MATCH($C$1,[1]quests!$1:$1,0)+1,FALSE)</f>
        <v>忍び寄る短剣</v>
      </c>
      <c r="E498" s="3" t="str">
        <f ca="1">VLOOKUP($C498,OFFSET([1]quests!$A$1,0,0,COUNTA([1]quests!$A:$A),MATCH(E$1,[1]quests!$1:$1,0)-MATCH($C$1,[1]quests!$1:$1,0)+1),MATCH(E$1,[1]quests!$1:$1,0)-MATCH($C$1,[1]quests!$1:$1,0)+1,FALSE)</f>
        <v>ドロップイベント1-3</v>
      </c>
      <c r="F498" s="5">
        <v>3</v>
      </c>
      <c r="G498" s="3" t="str">
        <f ca="1">VLOOKUP($C498&amp;"_"&amp;$F498,OFFSET([1]stages!$A$1,0,0,COUNTA([1]stages!$A:$A),MATCH(G$1,[1]stages!$2:$2,0)-MATCH("temp_stage",[1]stages!$2:$2,0)+1),MATCH(G$1,[1]stages!$2:$2,0)-MATCH("temp_stage",[1]stages!$2:$2,0)+1,FALSE)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498" s="3" t="str">
        <f ca="1">VLOOKUP($C498&amp;"_"&amp;$F498,OFFSET([1]stages!$A$1,0,0,COUNTA([1]stages!$A:$A),MATCH(H$1,[1]stages!$2:$2,0)-MATCH("temp_stage",[1]stages!$2:$2,0)+1),MATCH(H$1,[1]stages!$2:$2,0)-MATCH("temp_stage",[1]stages!$2:$2,0)+1,FALSE)</f>
        <v>ドロップイベント1-3</v>
      </c>
      <c r="I498" s="18">
        <v>0</v>
      </c>
      <c r="J498" s="5">
        <f>COUNTIF(C$1:C498,C498)</f>
        <v>2</v>
      </c>
      <c r="K498" s="34">
        <v>6</v>
      </c>
      <c r="L498" s="5" t="s">
        <v>17</v>
      </c>
      <c r="M498" s="38" t="str">
        <f>VLOOKUP(K498,[2]stage_hints!$A:$C,3,FALSE)</f>
        <v>ユニット強化の属性ボーナス</v>
      </c>
      <c r="N498" s="39" t="str">
        <f>VLOOKUP(K498,[2]stage_hints!$A:$D,4,FALSE)</f>
        <v>同属性ユニットを強化素材にすると
経験値が多くもらえます</v>
      </c>
      <c r="O498" s="20" t="s">
        <v>24</v>
      </c>
      <c r="P498">
        <v>6</v>
      </c>
    </row>
    <row r="499" spans="1:16" x14ac:dyDescent="0.15">
      <c r="A499" s="27" t="str">
        <f t="shared" si="68"/>
        <v>20003_3_3</v>
      </c>
      <c r="B499" s="25" t="s">
        <v>34</v>
      </c>
      <c r="C499" s="4">
        <v>20003</v>
      </c>
      <c r="D499" s="3" t="str">
        <f ca="1">VLOOKUP($C499,OFFSET([1]quests!$A$1,0,0,COUNTA([1]quests!$A:$A),MATCH(D$1,[1]quests!$1:$1,0)-MATCH($C$1,[1]quests!$1:$1,0)+1),MATCH(D$1,[1]quests!$1:$1,0)-MATCH($C$1,[1]quests!$1:$1,0)+1,FALSE)</f>
        <v>忍び寄る短剣</v>
      </c>
      <c r="E499" s="3" t="str">
        <f ca="1">VLOOKUP($C499,OFFSET([1]quests!$A$1,0,0,COUNTA([1]quests!$A:$A),MATCH(E$1,[1]quests!$1:$1,0)-MATCH($C$1,[1]quests!$1:$1,0)+1),MATCH(E$1,[1]quests!$1:$1,0)-MATCH($C$1,[1]quests!$1:$1,0)+1,FALSE)</f>
        <v>ドロップイベント1-3</v>
      </c>
      <c r="F499" s="5">
        <v>3</v>
      </c>
      <c r="G499" s="3" t="str">
        <f ca="1">VLOOKUP($C499&amp;"_"&amp;$F499,OFFSET([1]stages!$A$1,0,0,COUNTA([1]stages!$A:$A),MATCH(G$1,[1]stages!$2:$2,0)-MATCH("temp_stage",[1]stages!$2:$2,0)+1),MATCH(G$1,[1]stages!$2:$2,0)-MATCH("temp_stage",[1]stages!$2:$2,0)+1,FALSE)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499" s="3" t="str">
        <f ca="1">VLOOKUP($C499&amp;"_"&amp;$F499,OFFSET([1]stages!$A$1,0,0,COUNTA([1]stages!$A:$A),MATCH(H$1,[1]stages!$2:$2,0)-MATCH("temp_stage",[1]stages!$2:$2,0)+1),MATCH(H$1,[1]stages!$2:$2,0)-MATCH("temp_stage",[1]stages!$2:$2,0)+1,FALSE)</f>
        <v>ドロップイベント1-3</v>
      </c>
      <c r="I499" s="18">
        <v>0</v>
      </c>
      <c r="J499" s="5">
        <f>COUNTIF(C$1:C499,C499)</f>
        <v>3</v>
      </c>
      <c r="K499" s="34">
        <v>7</v>
      </c>
      <c r="L499" s="5" t="s">
        <v>17</v>
      </c>
      <c r="M499" s="38" t="str">
        <f>VLOOKUP(K499,[2]stage_hints!$A:$C,3,FALSE)</f>
        <v>メタルダックで経験値を獲得</v>
      </c>
      <c r="N499" s="39" t="str">
        <f>VLOOKUP(K499,[2]stage_hints!$A:$D,4,FALSE)</f>
        <v>「メタルなアヒル」を強化素材にすると
大量の経験値がもらえます</v>
      </c>
      <c r="O499" s="20" t="s">
        <v>24</v>
      </c>
      <c r="P499">
        <v>7</v>
      </c>
    </row>
    <row r="500" spans="1:16" x14ac:dyDescent="0.15">
      <c r="A500" s="27" t="str">
        <f t="shared" si="68"/>
        <v>20003_3_4</v>
      </c>
      <c r="B500" s="25" t="s">
        <v>34</v>
      </c>
      <c r="C500" s="4">
        <v>20003</v>
      </c>
      <c r="D500" s="3" t="str">
        <f ca="1">VLOOKUP($C500,OFFSET([1]quests!$A$1,0,0,COUNTA([1]quests!$A:$A),MATCH(D$1,[1]quests!$1:$1,0)-MATCH($C$1,[1]quests!$1:$1,0)+1),MATCH(D$1,[1]quests!$1:$1,0)-MATCH($C$1,[1]quests!$1:$1,0)+1,FALSE)</f>
        <v>忍び寄る短剣</v>
      </c>
      <c r="E500" s="3" t="str">
        <f ca="1">VLOOKUP($C500,OFFSET([1]quests!$A$1,0,0,COUNTA([1]quests!$A:$A),MATCH(E$1,[1]quests!$1:$1,0)-MATCH($C$1,[1]quests!$1:$1,0)+1),MATCH(E$1,[1]quests!$1:$1,0)-MATCH($C$1,[1]quests!$1:$1,0)+1,FALSE)</f>
        <v>ドロップイベント1-3</v>
      </c>
      <c r="F500" s="5">
        <v>3</v>
      </c>
      <c r="G500" s="3" t="str">
        <f ca="1">VLOOKUP($C500&amp;"_"&amp;$F500,OFFSET([1]stages!$A$1,0,0,COUNTA([1]stages!$A:$A),MATCH(G$1,[1]stages!$2:$2,0)-MATCH("temp_stage",[1]stages!$2:$2,0)+1),MATCH(G$1,[1]stages!$2:$2,0)-MATCH("temp_stage",[1]stages!$2:$2,0)+1,FALSE)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0" s="3" t="str">
        <f ca="1">VLOOKUP($C500&amp;"_"&amp;$F500,OFFSET([1]stages!$A$1,0,0,COUNTA([1]stages!$A:$A),MATCH(H$1,[1]stages!$2:$2,0)-MATCH("temp_stage",[1]stages!$2:$2,0)+1),MATCH(H$1,[1]stages!$2:$2,0)-MATCH("temp_stage",[1]stages!$2:$2,0)+1,FALSE)</f>
        <v>ドロップイベント1-3</v>
      </c>
      <c r="I500" s="18">
        <v>0</v>
      </c>
      <c r="J500" s="5">
        <f>COUNTIF(C$1:C500,C500)</f>
        <v>4</v>
      </c>
      <c r="K500" s="34">
        <v>8</v>
      </c>
      <c r="L500" s="5" t="s">
        <v>17</v>
      </c>
      <c r="M500" s="38" t="str">
        <f>VLOOKUP(K500,[2]stage_hints!$A:$C,3,FALSE)</f>
        <v>ゲリラクエストは要チェック</v>
      </c>
      <c r="N500" s="39" t="str">
        <f>VLOOKUP(K500,[2]stage_hints!$A:$D,4,FALSE)</f>
        <v>時間限定の「アヒル捕獲作戦」では
経験値素材ユニットが多く手に入ります</v>
      </c>
      <c r="O500" s="20" t="s">
        <v>24</v>
      </c>
      <c r="P500">
        <v>8</v>
      </c>
    </row>
    <row r="501" spans="1:16" x14ac:dyDescent="0.15">
      <c r="A501" s="27" t="str">
        <f t="shared" si="68"/>
        <v>20003_3_5</v>
      </c>
      <c r="B501" s="25" t="s">
        <v>34</v>
      </c>
      <c r="C501" s="4">
        <v>20003</v>
      </c>
      <c r="D501" s="3" t="str">
        <f ca="1">VLOOKUP($C501,OFFSET([1]quests!$A$1,0,0,COUNTA([1]quests!$A:$A),MATCH(D$1,[1]quests!$1:$1,0)-MATCH($C$1,[1]quests!$1:$1,0)+1),MATCH(D$1,[1]quests!$1:$1,0)-MATCH($C$1,[1]quests!$1:$1,0)+1,FALSE)</f>
        <v>忍び寄る短剣</v>
      </c>
      <c r="E501" s="3" t="str">
        <f ca="1">VLOOKUP($C501,OFFSET([1]quests!$A$1,0,0,COUNTA([1]quests!$A:$A),MATCH(E$1,[1]quests!$1:$1,0)-MATCH($C$1,[1]quests!$1:$1,0)+1),MATCH(E$1,[1]quests!$1:$1,0)-MATCH($C$1,[1]quests!$1:$1,0)+1,FALSE)</f>
        <v>ドロップイベント1-3</v>
      </c>
      <c r="F501" s="5">
        <v>3</v>
      </c>
      <c r="G501" s="3" t="str">
        <f ca="1">VLOOKUP($C501&amp;"_"&amp;$F501,OFFSET([1]stages!$A$1,0,0,COUNTA([1]stages!$A:$A),MATCH(G$1,[1]stages!$2:$2,0)-MATCH("temp_stage",[1]stages!$2:$2,0)+1),MATCH(G$1,[1]stages!$2:$2,0)-MATCH("temp_stage",[1]stages!$2:$2,0)+1,FALSE)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1" s="3" t="str">
        <f ca="1">VLOOKUP($C501&amp;"_"&amp;$F501,OFFSET([1]stages!$A$1,0,0,COUNTA([1]stages!$A:$A),MATCH(H$1,[1]stages!$2:$2,0)-MATCH("temp_stage",[1]stages!$2:$2,0)+1),MATCH(H$1,[1]stages!$2:$2,0)-MATCH("temp_stage",[1]stages!$2:$2,0)+1,FALSE)</f>
        <v>ドロップイベント1-3</v>
      </c>
      <c r="I501" s="18">
        <v>0</v>
      </c>
      <c r="J501" s="5">
        <f>COUNTIF(C$1:C501,C501)</f>
        <v>5</v>
      </c>
      <c r="K501" s="34">
        <v>9</v>
      </c>
      <c r="L501" s="5" t="s">
        <v>17</v>
      </c>
      <c r="M501" s="38" t="str">
        <f>VLOOKUP(K501,[2]stage_hints!$A:$C,3,FALSE)</f>
        <v>ゴールドダックでビットを獲得</v>
      </c>
      <c r="N501" s="39" t="str">
        <f>VLOOKUP(K501,[2]stage_hints!$A:$D,4,FALSE)</f>
        <v>「ゴールドなアヒル」を売却すると
大量のビットがもらえます</v>
      </c>
      <c r="O501" s="20" t="s">
        <v>24</v>
      </c>
      <c r="P501">
        <v>9</v>
      </c>
    </row>
    <row r="502" spans="1:16" x14ac:dyDescent="0.15">
      <c r="A502" s="27" t="str">
        <f t="shared" si="68"/>
        <v>20003_3_6</v>
      </c>
      <c r="B502" s="25" t="s">
        <v>34</v>
      </c>
      <c r="C502" s="4">
        <v>20003</v>
      </c>
      <c r="D502" s="3" t="str">
        <f ca="1">VLOOKUP($C502,OFFSET([1]quests!$A$1,0,0,COUNTA([1]quests!$A:$A),MATCH(D$1,[1]quests!$1:$1,0)-MATCH($C$1,[1]quests!$1:$1,0)+1),MATCH(D$1,[1]quests!$1:$1,0)-MATCH($C$1,[1]quests!$1:$1,0)+1,FALSE)</f>
        <v>忍び寄る短剣</v>
      </c>
      <c r="E502" s="3" t="str">
        <f ca="1">VLOOKUP($C502,OFFSET([1]quests!$A$1,0,0,COUNTA([1]quests!$A:$A),MATCH(E$1,[1]quests!$1:$1,0)-MATCH($C$1,[1]quests!$1:$1,0)+1),MATCH(E$1,[1]quests!$1:$1,0)-MATCH($C$1,[1]quests!$1:$1,0)+1,FALSE)</f>
        <v>ドロップイベント1-3</v>
      </c>
      <c r="F502" s="5">
        <v>3</v>
      </c>
      <c r="G502" s="3" t="str">
        <f ca="1">VLOOKUP($C502&amp;"_"&amp;$F502,OFFSET([1]stages!$A$1,0,0,COUNTA([1]stages!$A:$A),MATCH(G$1,[1]stages!$2:$2,0)-MATCH("temp_stage",[1]stages!$2:$2,0)+1),MATCH(G$1,[1]stages!$2:$2,0)-MATCH("temp_stage",[1]stages!$2:$2,0)+1,FALSE)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2" s="3" t="str">
        <f ca="1">VLOOKUP($C502&amp;"_"&amp;$F502,OFFSET([1]stages!$A$1,0,0,COUNTA([1]stages!$A:$A),MATCH(H$1,[1]stages!$2:$2,0)-MATCH("temp_stage",[1]stages!$2:$2,0)+1),MATCH(H$1,[1]stages!$2:$2,0)-MATCH("temp_stage",[1]stages!$2:$2,0)+1,FALSE)</f>
        <v>ドロップイベント1-3</v>
      </c>
      <c r="I502" s="18">
        <v>0</v>
      </c>
      <c r="J502" s="5">
        <f>COUNTIF(C$1:C502,C502)</f>
        <v>6</v>
      </c>
      <c r="K502" s="34">
        <v>10</v>
      </c>
      <c r="L502" s="5" t="s">
        <v>17</v>
      </c>
      <c r="M502" s="38" t="str">
        <f>VLOOKUP(K502,[2]stage_hints!$A:$C,3,FALSE)</f>
        <v>土日に大量のビットを獲得</v>
      </c>
      <c r="N502" s="39" t="str">
        <f>VLOOKUP(K502,[2]stage_hints!$A:$D,4,FALSE)</f>
        <v>土日限定の「ゴールドカジノ」では
売却素材ユニットが多く手に入ります</v>
      </c>
      <c r="O502" s="20" t="s">
        <v>24</v>
      </c>
      <c r="P502">
        <v>10</v>
      </c>
    </row>
    <row r="503" spans="1:16" x14ac:dyDescent="0.15">
      <c r="A503" s="27" t="str">
        <f t="shared" si="68"/>
        <v>20003_3_7</v>
      </c>
      <c r="B503" s="25" t="s">
        <v>34</v>
      </c>
      <c r="C503" s="4">
        <v>20003</v>
      </c>
      <c r="D503" s="3" t="str">
        <f ca="1">VLOOKUP($C503,OFFSET([1]quests!$A$1,0,0,COUNTA([1]quests!$A:$A),MATCH(D$1,[1]quests!$1:$1,0)-MATCH($C$1,[1]quests!$1:$1,0)+1),MATCH(D$1,[1]quests!$1:$1,0)-MATCH($C$1,[1]quests!$1:$1,0)+1,FALSE)</f>
        <v>忍び寄る短剣</v>
      </c>
      <c r="E503" s="3" t="str">
        <f ca="1">VLOOKUP($C503,OFFSET([1]quests!$A$1,0,0,COUNTA([1]quests!$A:$A),MATCH(E$1,[1]quests!$1:$1,0)-MATCH($C$1,[1]quests!$1:$1,0)+1),MATCH(E$1,[1]quests!$1:$1,0)-MATCH($C$1,[1]quests!$1:$1,0)+1,FALSE)</f>
        <v>ドロップイベント1-3</v>
      </c>
      <c r="F503" s="5">
        <v>3</v>
      </c>
      <c r="G503" s="3" t="str">
        <f ca="1">VLOOKUP($C503&amp;"_"&amp;$F503,OFFSET([1]stages!$A$1,0,0,COUNTA([1]stages!$A:$A),MATCH(G$1,[1]stages!$2:$2,0)-MATCH("temp_stage",[1]stages!$2:$2,0)+1),MATCH(G$1,[1]stages!$2:$2,0)-MATCH("temp_stage",[1]stages!$2:$2,0)+1,FALSE)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3" s="3" t="str">
        <f ca="1">VLOOKUP($C503&amp;"_"&amp;$F503,OFFSET([1]stages!$A$1,0,0,COUNTA([1]stages!$A:$A),MATCH(H$1,[1]stages!$2:$2,0)-MATCH("temp_stage",[1]stages!$2:$2,0)+1),MATCH(H$1,[1]stages!$2:$2,0)-MATCH("temp_stage",[1]stages!$2:$2,0)+1,FALSE)</f>
        <v>ドロップイベント1-3</v>
      </c>
      <c r="I503" s="18">
        <v>0</v>
      </c>
      <c r="J503" s="5">
        <f>COUNTIF(C$1:C503,C503)</f>
        <v>7</v>
      </c>
      <c r="K503" s="34">
        <v>11</v>
      </c>
      <c r="L503" s="5" t="s">
        <v>17</v>
      </c>
      <c r="M503" s="38" t="str">
        <f>VLOOKUP(K503,[2]stage_hints!$A:$C,3,FALSE)</f>
        <v>ランク解放クエスト</v>
      </c>
      <c r="N503" s="39" t="str">
        <f>VLOOKUP(K503,[2]stage_hints!$A:$D,4,FALSE)</f>
        <v>一定ランクに到達すると
報酬付きのランク開放クエストが現れます</v>
      </c>
      <c r="O503" s="20" t="s">
        <v>24</v>
      </c>
      <c r="P503">
        <v>11</v>
      </c>
    </row>
    <row r="504" spans="1:16" x14ac:dyDescent="0.15">
      <c r="A504" s="27" t="str">
        <f t="shared" si="68"/>
        <v>20003_3_8</v>
      </c>
      <c r="B504" s="25" t="s">
        <v>34</v>
      </c>
      <c r="C504" s="4">
        <v>20003</v>
      </c>
      <c r="D504" s="3" t="str">
        <f ca="1">VLOOKUP($C504,OFFSET([1]quests!$A$1,0,0,COUNTA([1]quests!$A:$A),MATCH(D$1,[1]quests!$1:$1,0)-MATCH($C$1,[1]quests!$1:$1,0)+1),MATCH(D$1,[1]quests!$1:$1,0)-MATCH($C$1,[1]quests!$1:$1,0)+1,FALSE)</f>
        <v>忍び寄る短剣</v>
      </c>
      <c r="E504" s="3" t="str">
        <f ca="1">VLOOKUP($C504,OFFSET([1]quests!$A$1,0,0,COUNTA([1]quests!$A:$A),MATCH(E$1,[1]quests!$1:$1,0)-MATCH($C$1,[1]quests!$1:$1,0)+1),MATCH(E$1,[1]quests!$1:$1,0)-MATCH($C$1,[1]quests!$1:$1,0)+1,FALSE)</f>
        <v>ドロップイベント1-3</v>
      </c>
      <c r="F504" s="5">
        <v>3</v>
      </c>
      <c r="G504" s="3" t="str">
        <f ca="1">VLOOKUP($C504&amp;"_"&amp;$F504,OFFSET([1]stages!$A$1,0,0,COUNTA([1]stages!$A:$A),MATCH(G$1,[1]stages!$2:$2,0)-MATCH("temp_stage",[1]stages!$2:$2,0)+1),MATCH(G$1,[1]stages!$2:$2,0)-MATCH("temp_stage",[1]stages!$2:$2,0)+1,FALSE)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4" s="3" t="str">
        <f ca="1">VLOOKUP($C504&amp;"_"&amp;$F504,OFFSET([1]stages!$A$1,0,0,COUNTA([1]stages!$A:$A),MATCH(H$1,[1]stages!$2:$2,0)-MATCH("temp_stage",[1]stages!$2:$2,0)+1),MATCH(H$1,[1]stages!$2:$2,0)-MATCH("temp_stage",[1]stages!$2:$2,0)+1,FALSE)</f>
        <v>ドロップイベント1-3</v>
      </c>
      <c r="I504" s="18">
        <v>0</v>
      </c>
      <c r="J504" s="5">
        <f>COUNTIF(C$1:C504,C504)</f>
        <v>8</v>
      </c>
      <c r="K504" s="34">
        <v>12</v>
      </c>
      <c r="L504" s="5" t="s">
        <v>17</v>
      </c>
      <c r="M504" s="38" t="str">
        <f>VLOOKUP(K504,[2]stage_hints!$A:$C,3,FALSE)</f>
        <v>ユニットのお気に入り登録</v>
      </c>
      <c r="N504" s="39" t="str">
        <f>VLOOKUP(K504,[2]stage_hints!$A:$D,4,FALSE)</f>
        <v>大事なユニットを誤って消さないように
フォルダから「お気に入り登録」しましょう</v>
      </c>
      <c r="O504" s="20" t="s">
        <v>24</v>
      </c>
      <c r="P504">
        <v>12</v>
      </c>
    </row>
    <row r="505" spans="1:16" x14ac:dyDescent="0.15">
      <c r="A505" s="27" t="str">
        <f t="shared" si="68"/>
        <v>20003_3_9</v>
      </c>
      <c r="B505" s="25" t="s">
        <v>34</v>
      </c>
      <c r="C505" s="4">
        <v>20003</v>
      </c>
      <c r="D505" s="3" t="str">
        <f ca="1">VLOOKUP($C505,OFFSET([1]quests!$A$1,0,0,COUNTA([1]quests!$A:$A),MATCH(D$1,[1]quests!$1:$1,0)-MATCH($C$1,[1]quests!$1:$1,0)+1),MATCH(D$1,[1]quests!$1:$1,0)-MATCH($C$1,[1]quests!$1:$1,0)+1,FALSE)</f>
        <v>忍び寄る短剣</v>
      </c>
      <c r="E505" s="3" t="str">
        <f ca="1">VLOOKUP($C505,OFFSET([1]quests!$A$1,0,0,COUNTA([1]quests!$A:$A),MATCH(E$1,[1]quests!$1:$1,0)-MATCH($C$1,[1]quests!$1:$1,0)+1),MATCH(E$1,[1]quests!$1:$1,0)-MATCH($C$1,[1]quests!$1:$1,0)+1,FALSE)</f>
        <v>ドロップイベント1-3</v>
      </c>
      <c r="F505" s="5">
        <v>3</v>
      </c>
      <c r="G505" s="3" t="str">
        <f ca="1">VLOOKUP($C505&amp;"_"&amp;$F505,OFFSET([1]stages!$A$1,0,0,COUNTA([1]stages!$A:$A),MATCH(G$1,[1]stages!$2:$2,0)-MATCH("temp_stage",[1]stages!$2:$2,0)+1),MATCH(G$1,[1]stages!$2:$2,0)-MATCH("temp_stage",[1]stages!$2:$2,0)+1,FALSE)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5" s="3" t="str">
        <f ca="1">VLOOKUP($C505&amp;"_"&amp;$F505,OFFSET([1]stages!$A$1,0,0,COUNTA([1]stages!$A:$A),MATCH(H$1,[1]stages!$2:$2,0)-MATCH("temp_stage",[1]stages!$2:$2,0)+1),MATCH(H$1,[1]stages!$2:$2,0)-MATCH("temp_stage",[1]stages!$2:$2,0)+1,FALSE)</f>
        <v>ドロップイベント1-3</v>
      </c>
      <c r="I505" s="18">
        <v>0</v>
      </c>
      <c r="J505" s="5">
        <f>COUNTIF(C$1:C505,C505)</f>
        <v>9</v>
      </c>
      <c r="K505" s="34">
        <v>13</v>
      </c>
      <c r="L505" s="5" t="s">
        <v>17</v>
      </c>
      <c r="M505" s="38" t="str">
        <f>VLOOKUP(K505,[2]stage_hints!$A:$C,3,FALSE)</f>
        <v>ユニットの覚醒</v>
      </c>
      <c r="N505" s="39" t="str">
        <f>VLOOKUP(K505,[2]stage_hints!$A:$D,4,FALSE)</f>
        <v>ユニットを覚醒させると
比べものにならない強さが手に入ります</v>
      </c>
      <c r="O505" s="20" t="s">
        <v>24</v>
      </c>
      <c r="P505">
        <v>13</v>
      </c>
    </row>
    <row r="506" spans="1:16" x14ac:dyDescent="0.15">
      <c r="A506" s="27" t="str">
        <f t="shared" si="68"/>
        <v>20003_3_10</v>
      </c>
      <c r="B506" s="25" t="s">
        <v>34</v>
      </c>
      <c r="C506" s="4">
        <v>20003</v>
      </c>
      <c r="D506" s="3" t="str">
        <f ca="1">VLOOKUP($C506,OFFSET([1]quests!$A$1,0,0,COUNTA([1]quests!$A:$A),MATCH(D$1,[1]quests!$1:$1,0)-MATCH($C$1,[1]quests!$1:$1,0)+1),MATCH(D$1,[1]quests!$1:$1,0)-MATCH($C$1,[1]quests!$1:$1,0)+1,FALSE)</f>
        <v>忍び寄る短剣</v>
      </c>
      <c r="E506" s="3" t="str">
        <f ca="1">VLOOKUP($C506,OFFSET([1]quests!$A$1,0,0,COUNTA([1]quests!$A:$A),MATCH(E$1,[1]quests!$1:$1,0)-MATCH($C$1,[1]quests!$1:$1,0)+1),MATCH(E$1,[1]quests!$1:$1,0)-MATCH($C$1,[1]quests!$1:$1,0)+1,FALSE)</f>
        <v>ドロップイベント1-3</v>
      </c>
      <c r="F506" s="5">
        <v>3</v>
      </c>
      <c r="G506" s="3" t="str">
        <f ca="1">VLOOKUP($C506&amp;"_"&amp;$F506,OFFSET([1]stages!$A$1,0,0,COUNTA([1]stages!$A:$A),MATCH(G$1,[1]stages!$2:$2,0)-MATCH("temp_stage",[1]stages!$2:$2,0)+1),MATCH(G$1,[1]stages!$2:$2,0)-MATCH("temp_stage",[1]stages!$2:$2,0)+1,FALSE)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6" s="3" t="str">
        <f ca="1">VLOOKUP($C506&amp;"_"&amp;$F506,OFFSET([1]stages!$A$1,0,0,COUNTA([1]stages!$A:$A),MATCH(H$1,[1]stages!$2:$2,0)-MATCH("temp_stage",[1]stages!$2:$2,0)+1),MATCH(H$1,[1]stages!$2:$2,0)-MATCH("temp_stage",[1]stages!$2:$2,0)+1,FALSE)</f>
        <v>ドロップイベント1-3</v>
      </c>
      <c r="I506" s="18">
        <v>0</v>
      </c>
      <c r="J506" s="5">
        <f>COUNTIF(C$1:C506,C506)</f>
        <v>10</v>
      </c>
      <c r="K506" s="34">
        <v>14</v>
      </c>
      <c r="L506" s="5" t="s">
        <v>17</v>
      </c>
      <c r="M506" s="38" t="str">
        <f>VLOOKUP(K506,[2]stage_hints!$A:$C,3,FALSE)</f>
        <v>覚醒するにはレベルを最大に</v>
      </c>
      <c r="N506" s="39" t="str">
        <f>VLOOKUP(K506,[2]stage_hints!$A:$D,4,FALSE)</f>
        <v>覚醒するにはユニットのレベルを
最大まで上げる必要があります</v>
      </c>
      <c r="O506" s="20" t="s">
        <v>24</v>
      </c>
      <c r="P506">
        <v>14</v>
      </c>
    </row>
    <row r="507" spans="1:16" x14ac:dyDescent="0.15">
      <c r="A507" s="27" t="str">
        <f t="shared" si="68"/>
        <v>20003_3_11</v>
      </c>
      <c r="B507" s="25" t="s">
        <v>34</v>
      </c>
      <c r="C507" s="4">
        <v>20003</v>
      </c>
      <c r="D507" s="3" t="str">
        <f ca="1">VLOOKUP($C507,OFFSET([1]quests!$A$1,0,0,COUNTA([1]quests!$A:$A),MATCH(D$1,[1]quests!$1:$1,0)-MATCH($C$1,[1]quests!$1:$1,0)+1),MATCH(D$1,[1]quests!$1:$1,0)-MATCH($C$1,[1]quests!$1:$1,0)+1,FALSE)</f>
        <v>忍び寄る短剣</v>
      </c>
      <c r="E507" s="3" t="str">
        <f ca="1">VLOOKUP($C507,OFFSET([1]quests!$A$1,0,0,COUNTA([1]quests!$A:$A),MATCH(E$1,[1]quests!$1:$1,0)-MATCH($C$1,[1]quests!$1:$1,0)+1),MATCH(E$1,[1]quests!$1:$1,0)-MATCH($C$1,[1]quests!$1:$1,0)+1,FALSE)</f>
        <v>ドロップイベント1-3</v>
      </c>
      <c r="F507" s="5">
        <v>3</v>
      </c>
      <c r="G507" s="3" t="str">
        <f ca="1">VLOOKUP($C507&amp;"_"&amp;$F507,OFFSET([1]stages!$A$1,0,0,COUNTA([1]stages!$A:$A),MATCH(G$1,[1]stages!$2:$2,0)-MATCH("temp_stage",[1]stages!$2:$2,0)+1),MATCH(G$1,[1]stages!$2:$2,0)-MATCH("temp_stage",[1]stages!$2:$2,0)+1,FALSE)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7" s="3" t="str">
        <f ca="1">VLOOKUP($C507&amp;"_"&amp;$F507,OFFSET([1]stages!$A$1,0,0,COUNTA([1]stages!$A:$A),MATCH(H$1,[1]stages!$2:$2,0)-MATCH("temp_stage",[1]stages!$2:$2,0)+1),MATCH(H$1,[1]stages!$2:$2,0)-MATCH("temp_stage",[1]stages!$2:$2,0)+1,FALSE)</f>
        <v>ドロップイベント1-3</v>
      </c>
      <c r="I507" s="18">
        <v>0</v>
      </c>
      <c r="J507" s="5">
        <f>COUNTIF(C$1:C507,C507)</f>
        <v>11</v>
      </c>
      <c r="K507" s="34">
        <v>15</v>
      </c>
      <c r="L507" s="5" t="s">
        <v>17</v>
      </c>
      <c r="M507" s="38" t="str">
        <f>VLOOKUP(K507,[2]stage_hints!$A:$C,3,FALSE)</f>
        <v>覚醒素材を獲得</v>
      </c>
      <c r="N507" s="39" t="str">
        <f>VLOOKUP(K507,[2]stage_hints!$A:$D,4,FALSE)</f>
        <v>「曜日クエスト」では
ユニットの覚醒に必要な素材が手に入ります</v>
      </c>
      <c r="O507" s="20" t="s">
        <v>24</v>
      </c>
      <c r="P507">
        <v>15</v>
      </c>
    </row>
    <row r="508" spans="1:16" x14ac:dyDescent="0.15">
      <c r="A508" s="27" t="str">
        <f t="shared" si="68"/>
        <v>20003_3_12</v>
      </c>
      <c r="B508" s="25" t="s">
        <v>34</v>
      </c>
      <c r="C508" s="4">
        <v>20003</v>
      </c>
      <c r="D508" s="3" t="str">
        <f ca="1">VLOOKUP($C508,OFFSET([1]quests!$A$1,0,0,COUNTA([1]quests!$A:$A),MATCH(D$1,[1]quests!$1:$1,0)-MATCH($C$1,[1]quests!$1:$1,0)+1),MATCH(D$1,[1]quests!$1:$1,0)-MATCH($C$1,[1]quests!$1:$1,0)+1,FALSE)</f>
        <v>忍び寄る短剣</v>
      </c>
      <c r="E508" s="3" t="str">
        <f ca="1">VLOOKUP($C508,OFFSET([1]quests!$A$1,0,0,COUNTA([1]quests!$A:$A),MATCH(E$1,[1]quests!$1:$1,0)-MATCH($C$1,[1]quests!$1:$1,0)+1),MATCH(E$1,[1]quests!$1:$1,0)-MATCH($C$1,[1]quests!$1:$1,0)+1,FALSE)</f>
        <v>ドロップイベント1-3</v>
      </c>
      <c r="F508" s="5">
        <v>3</v>
      </c>
      <c r="G508" s="3" t="str">
        <f ca="1">VLOOKUP($C508&amp;"_"&amp;$F508,OFFSET([1]stages!$A$1,0,0,COUNTA([1]stages!$A:$A),MATCH(G$1,[1]stages!$2:$2,0)-MATCH("temp_stage",[1]stages!$2:$2,0)+1),MATCH(G$1,[1]stages!$2:$2,0)-MATCH("temp_stage",[1]stages!$2:$2,0)+1,FALSE)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8" s="3" t="str">
        <f ca="1">VLOOKUP($C508&amp;"_"&amp;$F508,OFFSET([1]stages!$A$1,0,0,COUNTA([1]stages!$A:$A),MATCH(H$1,[1]stages!$2:$2,0)-MATCH("temp_stage",[1]stages!$2:$2,0)+1),MATCH(H$1,[1]stages!$2:$2,0)-MATCH("temp_stage",[1]stages!$2:$2,0)+1,FALSE)</f>
        <v>ドロップイベント1-3</v>
      </c>
      <c r="I508" s="18">
        <v>0</v>
      </c>
      <c r="J508" s="5">
        <f>COUNTIF(C$1:C508,C508)</f>
        <v>12</v>
      </c>
      <c r="K508" s="34">
        <v>16</v>
      </c>
      <c r="L508" s="5" t="s">
        <v>17</v>
      </c>
      <c r="M508" s="38" t="str">
        <f>VLOOKUP(K508,[2]stage_hints!$A:$C,3,FALSE)</f>
        <v>マルチプレイのメリット（その1）</v>
      </c>
      <c r="N508" s="39" t="str">
        <f>VLOOKUP(K508,[2]stage_hints!$A:$D,4,FALSE)</f>
        <v>他のプレイヤーとマルチプレイで遊ぶと
ポリゴンがもらえます（100人まで）</v>
      </c>
      <c r="O508" s="20" t="s">
        <v>24</v>
      </c>
      <c r="P508">
        <v>16</v>
      </c>
    </row>
    <row r="509" spans="1:16" x14ac:dyDescent="0.15">
      <c r="A509" s="27" t="str">
        <f t="shared" si="68"/>
        <v>20003_3_13</v>
      </c>
      <c r="B509" s="25" t="s">
        <v>34</v>
      </c>
      <c r="C509" s="4">
        <v>20003</v>
      </c>
      <c r="D509" s="3" t="str">
        <f ca="1">VLOOKUP($C509,OFFSET([1]quests!$A$1,0,0,COUNTA([1]quests!$A:$A),MATCH(D$1,[1]quests!$1:$1,0)-MATCH($C$1,[1]quests!$1:$1,0)+1),MATCH(D$1,[1]quests!$1:$1,0)-MATCH($C$1,[1]quests!$1:$1,0)+1,FALSE)</f>
        <v>忍び寄る短剣</v>
      </c>
      <c r="E509" s="3" t="str">
        <f ca="1">VLOOKUP($C509,OFFSET([1]quests!$A$1,0,0,COUNTA([1]quests!$A:$A),MATCH(E$1,[1]quests!$1:$1,0)-MATCH($C$1,[1]quests!$1:$1,0)+1),MATCH(E$1,[1]quests!$1:$1,0)-MATCH($C$1,[1]quests!$1:$1,0)+1,FALSE)</f>
        <v>ドロップイベント1-3</v>
      </c>
      <c r="F509" s="5">
        <v>3</v>
      </c>
      <c r="G509" s="3" t="str">
        <f ca="1">VLOOKUP($C509&amp;"_"&amp;$F509,OFFSET([1]stages!$A$1,0,0,COUNTA([1]stages!$A:$A),MATCH(G$1,[1]stages!$2:$2,0)-MATCH("temp_stage",[1]stages!$2:$2,0)+1),MATCH(G$1,[1]stages!$2:$2,0)-MATCH("temp_stage",[1]stages!$2:$2,0)+1,FALSE)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09" s="3" t="str">
        <f ca="1">VLOOKUP($C509&amp;"_"&amp;$F509,OFFSET([1]stages!$A$1,0,0,COUNTA([1]stages!$A:$A),MATCH(H$1,[1]stages!$2:$2,0)-MATCH("temp_stage",[1]stages!$2:$2,0)+1),MATCH(H$1,[1]stages!$2:$2,0)-MATCH("temp_stage",[1]stages!$2:$2,0)+1,FALSE)</f>
        <v>ドロップイベント1-3</v>
      </c>
      <c r="I509" s="18">
        <v>0</v>
      </c>
      <c r="J509" s="5">
        <f>COUNTIF(C$1:C509,C509)</f>
        <v>13</v>
      </c>
      <c r="K509" s="34">
        <v>17</v>
      </c>
      <c r="L509" s="5" t="s">
        <v>17</v>
      </c>
      <c r="M509" s="38" t="str">
        <f>VLOOKUP(K509,[2]stage_hints!$A:$C,3,FALSE)</f>
        <v>リンクガチャ</v>
      </c>
      <c r="N509" s="39" t="str">
        <f>VLOOKUP(K509,[2]stage_hints!$A:$D,4,FALSE)</f>
        <v>無料のリンクガチャを回して
経験値素材や売却素材を獲得しましょう</v>
      </c>
      <c r="O509" s="20" t="s">
        <v>24</v>
      </c>
      <c r="P509">
        <v>17</v>
      </c>
    </row>
    <row r="510" spans="1:16" x14ac:dyDescent="0.15">
      <c r="A510" s="27" t="str">
        <f t="shared" ref="A510:A524" si="69">C510&amp;"_"&amp;F510&amp;"_"&amp;J510</f>
        <v>20003_3_14</v>
      </c>
      <c r="B510" s="25" t="s">
        <v>34</v>
      </c>
      <c r="C510" s="4">
        <v>20003</v>
      </c>
      <c r="D510" s="3" t="str">
        <f ca="1">VLOOKUP($C510,OFFSET([1]quests!$A$1,0,0,COUNTA([1]quests!$A:$A),MATCH(D$1,[1]quests!$1:$1,0)-MATCH($C$1,[1]quests!$1:$1,0)+1),MATCH(D$1,[1]quests!$1:$1,0)-MATCH($C$1,[1]quests!$1:$1,0)+1,FALSE)</f>
        <v>忍び寄る短剣</v>
      </c>
      <c r="E510" s="3" t="str">
        <f ca="1">VLOOKUP($C510,OFFSET([1]quests!$A$1,0,0,COUNTA([1]quests!$A:$A),MATCH(E$1,[1]quests!$1:$1,0)-MATCH($C$1,[1]quests!$1:$1,0)+1),MATCH(E$1,[1]quests!$1:$1,0)-MATCH($C$1,[1]quests!$1:$1,0)+1,FALSE)</f>
        <v>ドロップイベント1-3</v>
      </c>
      <c r="F510" s="5">
        <v>3</v>
      </c>
      <c r="G510" s="3" t="str">
        <f ca="1">VLOOKUP($C510&amp;"_"&amp;$F510,OFFSET([1]stages!$A$1,0,0,COUNTA([1]stages!$A:$A),MATCH(G$1,[1]stages!$2:$2,0)-MATCH("temp_stage",[1]stages!$2:$2,0)+1),MATCH(G$1,[1]stages!$2:$2,0)-MATCH("temp_stage",[1]stages!$2:$2,0)+1,FALSE)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0" s="3" t="str">
        <f ca="1">VLOOKUP($C510&amp;"_"&amp;$F510,OFFSET([1]stages!$A$1,0,0,COUNTA([1]stages!$A:$A),MATCH(H$1,[1]stages!$2:$2,0)-MATCH("temp_stage",[1]stages!$2:$2,0)+1),MATCH(H$1,[1]stages!$2:$2,0)-MATCH("temp_stage",[1]stages!$2:$2,0)+1,FALSE)</f>
        <v>ドロップイベント1-3</v>
      </c>
      <c r="I510" s="18">
        <v>0</v>
      </c>
      <c r="J510" s="5">
        <f>COUNTIF(C$1:C510,C510)</f>
        <v>14</v>
      </c>
      <c r="K510" s="34">
        <v>18</v>
      </c>
      <c r="L510" s="5" t="s">
        <v>17</v>
      </c>
      <c r="M510" s="38" t="str">
        <f>VLOOKUP(K510,[2]stage_hints!$A:$C,3,FALSE)</f>
        <v>マルチプレイのメリット（その2）</v>
      </c>
      <c r="N510" s="39" t="str">
        <f>VLOOKUP(K510,[2]stage_hints!$A:$D,4,FALSE)</f>
        <v>マルチプレイならリンクが2倍もらえます
リンクガチャをたくさん回しましょう</v>
      </c>
      <c r="O510" s="20" t="s">
        <v>24</v>
      </c>
      <c r="P510">
        <v>18</v>
      </c>
    </row>
    <row r="511" spans="1:16" x14ac:dyDescent="0.15">
      <c r="A511" s="27" t="str">
        <f t="shared" si="69"/>
        <v>20003_3_15</v>
      </c>
      <c r="B511" s="25" t="s">
        <v>34</v>
      </c>
      <c r="C511" s="4">
        <v>20003</v>
      </c>
      <c r="D511" s="3" t="str">
        <f ca="1">VLOOKUP($C511,OFFSET([1]quests!$A$1,0,0,COUNTA([1]quests!$A:$A),MATCH(D$1,[1]quests!$1:$1,0)-MATCH($C$1,[1]quests!$1:$1,0)+1),MATCH(D$1,[1]quests!$1:$1,0)-MATCH($C$1,[1]quests!$1:$1,0)+1,FALSE)</f>
        <v>忍び寄る短剣</v>
      </c>
      <c r="E511" s="3" t="str">
        <f ca="1">VLOOKUP($C511,OFFSET([1]quests!$A$1,0,0,COUNTA([1]quests!$A:$A),MATCH(E$1,[1]quests!$1:$1,0)-MATCH($C$1,[1]quests!$1:$1,0)+1),MATCH(E$1,[1]quests!$1:$1,0)-MATCH($C$1,[1]quests!$1:$1,0)+1,FALSE)</f>
        <v>ドロップイベント1-3</v>
      </c>
      <c r="F511" s="5">
        <v>3</v>
      </c>
      <c r="G511" s="3" t="str">
        <f ca="1">VLOOKUP($C511&amp;"_"&amp;$F511,OFFSET([1]stages!$A$1,0,0,COUNTA([1]stages!$A:$A),MATCH(G$1,[1]stages!$2:$2,0)-MATCH("temp_stage",[1]stages!$2:$2,0)+1),MATCH(G$1,[1]stages!$2:$2,0)-MATCH("temp_stage",[1]stages!$2:$2,0)+1,FALSE)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1" s="3" t="str">
        <f ca="1">VLOOKUP($C511&amp;"_"&amp;$F511,OFFSET([1]stages!$A$1,0,0,COUNTA([1]stages!$A:$A),MATCH(H$1,[1]stages!$2:$2,0)-MATCH("temp_stage",[1]stages!$2:$2,0)+1),MATCH(H$1,[1]stages!$2:$2,0)-MATCH("temp_stage",[1]stages!$2:$2,0)+1,FALSE)</f>
        <v>ドロップイベント1-3</v>
      </c>
      <c r="I511" s="18">
        <v>0</v>
      </c>
      <c r="J511" s="5">
        <f>COUNTIF(C$1:C511,C511)</f>
        <v>15</v>
      </c>
      <c r="K511" s="34">
        <v>19</v>
      </c>
      <c r="L511" s="5" t="s">
        <v>17</v>
      </c>
      <c r="M511" s="38" t="str">
        <f>VLOOKUP(K511,[2]stage_hints!$A:$C,3,FALSE)</f>
        <v>ソロ専用チャレンジタワー</v>
      </c>
      <c r="N511" s="39" t="str">
        <f>VLOOKUP(K511,[2]stage_hints!$A:$D,4,FALSE)</f>
        <v>ソロ専用の「チャレンジタワー」では
各フロアごとにクリア報酬がもらえます</v>
      </c>
      <c r="O511" s="20" t="s">
        <v>24</v>
      </c>
      <c r="P511">
        <v>19</v>
      </c>
    </row>
    <row r="512" spans="1:16" x14ac:dyDescent="0.15">
      <c r="A512" s="27" t="str">
        <f t="shared" si="69"/>
        <v>20003_3_16</v>
      </c>
      <c r="B512" s="25" t="s">
        <v>34</v>
      </c>
      <c r="C512" s="4">
        <v>20003</v>
      </c>
      <c r="D512" s="3" t="str">
        <f ca="1">VLOOKUP($C512,OFFSET([1]quests!$A$1,0,0,COUNTA([1]quests!$A:$A),MATCH(D$1,[1]quests!$1:$1,0)-MATCH($C$1,[1]quests!$1:$1,0)+1),MATCH(D$1,[1]quests!$1:$1,0)-MATCH($C$1,[1]quests!$1:$1,0)+1,FALSE)</f>
        <v>忍び寄る短剣</v>
      </c>
      <c r="E512" s="3" t="str">
        <f ca="1">VLOOKUP($C512,OFFSET([1]quests!$A$1,0,0,COUNTA([1]quests!$A:$A),MATCH(E$1,[1]quests!$1:$1,0)-MATCH($C$1,[1]quests!$1:$1,0)+1),MATCH(E$1,[1]quests!$1:$1,0)-MATCH($C$1,[1]quests!$1:$1,0)+1,FALSE)</f>
        <v>ドロップイベント1-3</v>
      </c>
      <c r="F512" s="5">
        <v>3</v>
      </c>
      <c r="G512" s="3" t="str">
        <f ca="1">VLOOKUP($C512&amp;"_"&amp;$F512,OFFSET([1]stages!$A$1,0,0,COUNTA([1]stages!$A:$A),MATCH(G$1,[1]stages!$2:$2,0)-MATCH("temp_stage",[1]stages!$2:$2,0)+1),MATCH(G$1,[1]stages!$2:$2,0)-MATCH("temp_stage",[1]stages!$2:$2,0)+1,FALSE)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2" s="3" t="str">
        <f ca="1">VLOOKUP($C512&amp;"_"&amp;$F512,OFFSET([1]stages!$A$1,0,0,COUNTA([1]stages!$A:$A),MATCH(H$1,[1]stages!$2:$2,0)-MATCH("temp_stage",[1]stages!$2:$2,0)+1),MATCH(H$1,[1]stages!$2:$2,0)-MATCH("temp_stage",[1]stages!$2:$2,0)+1,FALSE)</f>
        <v>ドロップイベント1-3</v>
      </c>
      <c r="I512" s="18">
        <v>0</v>
      </c>
      <c r="J512" s="5">
        <f>COUNTIF(C$1:C512,C512)</f>
        <v>16</v>
      </c>
      <c r="K512" s="34">
        <v>20</v>
      </c>
      <c r="L512" s="5" t="s">
        <v>17</v>
      </c>
      <c r="M512" s="38" t="str">
        <f>VLOOKUP(K512,[2]stage_hints!$A:$C,3,FALSE)</f>
        <v>マルチプレイのメリット（その3）</v>
      </c>
      <c r="N512" s="39" t="str">
        <f>VLOOKUP(K512,[2]stage_hints!$A:$D,4,FALSE)</f>
        <v>マルチプレイへの参加はエナジー消費ゼロ
いつでも好きなだけ遊ぶことができます</v>
      </c>
      <c r="O512" s="20" t="s">
        <v>24</v>
      </c>
      <c r="P512">
        <v>20</v>
      </c>
    </row>
    <row r="513" spans="1:16" x14ac:dyDescent="0.15">
      <c r="A513" s="27" t="str">
        <f t="shared" si="69"/>
        <v>20003_3_17</v>
      </c>
      <c r="B513" s="25" t="s">
        <v>34</v>
      </c>
      <c r="C513" s="4">
        <v>20003</v>
      </c>
      <c r="D513" s="3" t="str">
        <f ca="1">VLOOKUP($C513,OFFSET([1]quests!$A$1,0,0,COUNTA([1]quests!$A:$A),MATCH(D$1,[1]quests!$1:$1,0)-MATCH($C$1,[1]quests!$1:$1,0)+1),MATCH(D$1,[1]quests!$1:$1,0)-MATCH($C$1,[1]quests!$1:$1,0)+1,FALSE)</f>
        <v>忍び寄る短剣</v>
      </c>
      <c r="E513" s="3" t="str">
        <f ca="1">VLOOKUP($C513,OFFSET([1]quests!$A$1,0,0,COUNTA([1]quests!$A:$A),MATCH(E$1,[1]quests!$1:$1,0)-MATCH($C$1,[1]quests!$1:$1,0)+1),MATCH(E$1,[1]quests!$1:$1,0)-MATCH($C$1,[1]quests!$1:$1,0)+1,FALSE)</f>
        <v>ドロップイベント1-3</v>
      </c>
      <c r="F513" s="5">
        <v>3</v>
      </c>
      <c r="G513" s="3" t="str">
        <f ca="1">VLOOKUP($C513&amp;"_"&amp;$F513,OFFSET([1]stages!$A$1,0,0,COUNTA([1]stages!$A:$A),MATCH(G$1,[1]stages!$2:$2,0)-MATCH("temp_stage",[1]stages!$2:$2,0)+1),MATCH(G$1,[1]stages!$2:$2,0)-MATCH("temp_stage",[1]stages!$2:$2,0)+1,FALSE)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3" s="3" t="str">
        <f ca="1">VLOOKUP($C513&amp;"_"&amp;$F513,OFFSET([1]stages!$A$1,0,0,COUNTA([1]stages!$A:$A),MATCH(H$1,[1]stages!$2:$2,0)-MATCH("temp_stage",[1]stages!$2:$2,0)+1),MATCH(H$1,[1]stages!$2:$2,0)-MATCH("temp_stage",[1]stages!$2:$2,0)+1,FALSE)</f>
        <v>ドロップイベント1-3</v>
      </c>
      <c r="I513" s="18">
        <v>0</v>
      </c>
      <c r="J513" s="5">
        <f>COUNTIF(C$1:C513,C513)</f>
        <v>17</v>
      </c>
      <c r="K513" s="34">
        <v>21</v>
      </c>
      <c r="L513" s="5" t="s">
        <v>17</v>
      </c>
      <c r="M513" s="38" t="str">
        <f>VLOOKUP(K513,[2]stage_hints!$A:$C,3,FALSE)</f>
        <v>スキルを有効に</v>
      </c>
      <c r="N513" s="39" t="str">
        <f>VLOOKUP(K513,[2]stage_hints!$A:$D,4,FALSE)</f>
        <v>ターン経過でユニットのスキルが使えます
強力スキルでバトルを有利に進めましょう</v>
      </c>
      <c r="O513" s="20" t="s">
        <v>24</v>
      </c>
      <c r="P513">
        <v>21</v>
      </c>
    </row>
    <row r="514" spans="1:16" x14ac:dyDescent="0.15">
      <c r="A514" s="27" t="str">
        <f t="shared" si="69"/>
        <v>20003_3_18</v>
      </c>
      <c r="B514" s="25" t="s">
        <v>34</v>
      </c>
      <c r="C514" s="4">
        <v>20003</v>
      </c>
      <c r="D514" s="3" t="str">
        <f ca="1">VLOOKUP($C514,OFFSET([1]quests!$A$1,0,0,COUNTA([1]quests!$A:$A),MATCH(D$1,[1]quests!$1:$1,0)-MATCH($C$1,[1]quests!$1:$1,0)+1),MATCH(D$1,[1]quests!$1:$1,0)-MATCH($C$1,[1]quests!$1:$1,0)+1,FALSE)</f>
        <v>忍び寄る短剣</v>
      </c>
      <c r="E514" s="3" t="str">
        <f ca="1">VLOOKUP($C514,OFFSET([1]quests!$A$1,0,0,COUNTA([1]quests!$A:$A),MATCH(E$1,[1]quests!$1:$1,0)-MATCH($C$1,[1]quests!$1:$1,0)+1),MATCH(E$1,[1]quests!$1:$1,0)-MATCH($C$1,[1]quests!$1:$1,0)+1,FALSE)</f>
        <v>ドロップイベント1-3</v>
      </c>
      <c r="F514" s="5">
        <v>3</v>
      </c>
      <c r="G514" s="3" t="str">
        <f ca="1">VLOOKUP($C514&amp;"_"&amp;$F514,OFFSET([1]stages!$A$1,0,0,COUNTA([1]stages!$A:$A),MATCH(G$1,[1]stages!$2:$2,0)-MATCH("temp_stage",[1]stages!$2:$2,0)+1),MATCH(G$1,[1]stages!$2:$2,0)-MATCH("temp_stage",[1]stages!$2:$2,0)+1,FALSE)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4" s="3" t="str">
        <f ca="1">VLOOKUP($C514&amp;"_"&amp;$F514,OFFSET([1]stages!$A$1,0,0,COUNTA([1]stages!$A:$A),MATCH(H$1,[1]stages!$2:$2,0)-MATCH("temp_stage",[1]stages!$2:$2,0)+1),MATCH(H$1,[1]stages!$2:$2,0)-MATCH("temp_stage",[1]stages!$2:$2,0)+1,FALSE)</f>
        <v>ドロップイベント1-3</v>
      </c>
      <c r="I514" s="18">
        <v>0</v>
      </c>
      <c r="J514" s="5">
        <f>COUNTIF(C$1:C514,C514)</f>
        <v>18</v>
      </c>
      <c r="K514" s="34">
        <v>22</v>
      </c>
      <c r="L514" s="5" t="s">
        <v>17</v>
      </c>
      <c r="M514" s="38" t="str">
        <f>VLOOKUP(K514,[2]stage_hints!$A:$C,3,FALSE)</f>
        <v>フィーバーで一発逆転（その1）</v>
      </c>
      <c r="N514" s="39" t="str">
        <f>VLOOKUP(K514,[2]stage_hints!$A:$D,4,FALSE)</f>
        <v>フィーバーは攻撃と回復を兼ね備えます
ピンチからの一発逆転を狙いましょう</v>
      </c>
      <c r="O514" s="20" t="s">
        <v>24</v>
      </c>
      <c r="P514">
        <v>22</v>
      </c>
    </row>
    <row r="515" spans="1:16" x14ac:dyDescent="0.15">
      <c r="A515" s="27" t="str">
        <f t="shared" si="69"/>
        <v>20003_3_19</v>
      </c>
      <c r="B515" s="25" t="s">
        <v>34</v>
      </c>
      <c r="C515" s="4">
        <v>20003</v>
      </c>
      <c r="D515" s="3" t="str">
        <f ca="1">VLOOKUP($C515,OFFSET([1]quests!$A$1,0,0,COUNTA([1]quests!$A:$A),MATCH(D$1,[1]quests!$1:$1,0)-MATCH($C$1,[1]quests!$1:$1,0)+1),MATCH(D$1,[1]quests!$1:$1,0)-MATCH($C$1,[1]quests!$1:$1,0)+1,FALSE)</f>
        <v>忍び寄る短剣</v>
      </c>
      <c r="E515" s="3" t="str">
        <f ca="1">VLOOKUP($C515,OFFSET([1]quests!$A$1,0,0,COUNTA([1]quests!$A:$A),MATCH(E$1,[1]quests!$1:$1,0)-MATCH($C$1,[1]quests!$1:$1,0)+1),MATCH(E$1,[1]quests!$1:$1,0)-MATCH($C$1,[1]quests!$1:$1,0)+1,FALSE)</f>
        <v>ドロップイベント1-3</v>
      </c>
      <c r="F515" s="5">
        <v>3</v>
      </c>
      <c r="G515" s="3" t="str">
        <f ca="1">VLOOKUP($C515&amp;"_"&amp;$F515,OFFSET([1]stages!$A$1,0,0,COUNTA([1]stages!$A:$A),MATCH(G$1,[1]stages!$2:$2,0)-MATCH("temp_stage",[1]stages!$2:$2,0)+1),MATCH(G$1,[1]stages!$2:$2,0)-MATCH("temp_stage",[1]stages!$2:$2,0)+1,FALSE)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5" s="3" t="str">
        <f ca="1">VLOOKUP($C515&amp;"_"&amp;$F515,OFFSET([1]stages!$A$1,0,0,COUNTA([1]stages!$A:$A),MATCH(H$1,[1]stages!$2:$2,0)-MATCH("temp_stage",[1]stages!$2:$2,0)+1),MATCH(H$1,[1]stages!$2:$2,0)-MATCH("temp_stage",[1]stages!$2:$2,0)+1,FALSE)</f>
        <v>ドロップイベント1-3</v>
      </c>
      <c r="I515" s="18">
        <v>0</v>
      </c>
      <c r="J515" s="5">
        <f>COUNTIF(C$1:C515,C515)</f>
        <v>19</v>
      </c>
      <c r="K515" s="34">
        <v>23</v>
      </c>
      <c r="L515" s="5" t="s">
        <v>17</v>
      </c>
      <c r="M515" s="38" t="str">
        <f>VLOOKUP(K515,[2]stage_hints!$A:$C,3,FALSE)</f>
        <v>フィーバーで一発逆転（その2）</v>
      </c>
      <c r="N515" s="39" t="str">
        <f>VLOOKUP(K515,[2]stage_hints!$A:$D,4,FALSE)</f>
        <v>フィーバー中は虹色のボムパネルを狙って
画面上のパネルを一気に破壊しましょう</v>
      </c>
      <c r="O515" s="20" t="s">
        <v>24</v>
      </c>
      <c r="P515">
        <v>23</v>
      </c>
    </row>
    <row r="516" spans="1:16" x14ac:dyDescent="0.15">
      <c r="A516" s="27" t="str">
        <f t="shared" si="69"/>
        <v>20003_3_20</v>
      </c>
      <c r="B516" s="25" t="s">
        <v>34</v>
      </c>
      <c r="C516" s="4">
        <v>20003</v>
      </c>
      <c r="D516" s="3" t="str">
        <f ca="1">VLOOKUP($C516,OFFSET([1]quests!$A$1,0,0,COUNTA([1]quests!$A:$A),MATCH(D$1,[1]quests!$1:$1,0)-MATCH($C$1,[1]quests!$1:$1,0)+1),MATCH(D$1,[1]quests!$1:$1,0)-MATCH($C$1,[1]quests!$1:$1,0)+1,FALSE)</f>
        <v>忍び寄る短剣</v>
      </c>
      <c r="E516" s="3" t="str">
        <f ca="1">VLOOKUP($C516,OFFSET([1]quests!$A$1,0,0,COUNTA([1]quests!$A:$A),MATCH(E$1,[1]quests!$1:$1,0)-MATCH($C$1,[1]quests!$1:$1,0)+1),MATCH(E$1,[1]quests!$1:$1,0)-MATCH($C$1,[1]quests!$1:$1,0)+1,FALSE)</f>
        <v>ドロップイベント1-3</v>
      </c>
      <c r="F516" s="5">
        <v>3</v>
      </c>
      <c r="G516" s="3" t="str">
        <f ca="1">VLOOKUP($C516&amp;"_"&amp;$F516,OFFSET([1]stages!$A$1,0,0,COUNTA([1]stages!$A:$A),MATCH(G$1,[1]stages!$2:$2,0)-MATCH("temp_stage",[1]stages!$2:$2,0)+1),MATCH(G$1,[1]stages!$2:$2,0)-MATCH("temp_stage",[1]stages!$2:$2,0)+1,FALSE)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6" s="3" t="str">
        <f ca="1">VLOOKUP($C516&amp;"_"&amp;$F516,OFFSET([1]stages!$A$1,0,0,COUNTA([1]stages!$A:$A),MATCH(H$1,[1]stages!$2:$2,0)-MATCH("temp_stage",[1]stages!$2:$2,0)+1),MATCH(H$1,[1]stages!$2:$2,0)-MATCH("temp_stage",[1]stages!$2:$2,0)+1,FALSE)</f>
        <v>ドロップイベント1-3</v>
      </c>
      <c r="I516" s="18">
        <v>0</v>
      </c>
      <c r="J516" s="5">
        <f>COUNTIF(C$1:C516,C516)</f>
        <v>20</v>
      </c>
      <c r="K516" s="34">
        <v>24</v>
      </c>
      <c r="L516" s="5" t="s">
        <v>17</v>
      </c>
      <c r="M516" s="38" t="str">
        <f>VLOOKUP(K516,[2]stage_hints!$A:$C,3,FALSE)</f>
        <v>りんごを使って限界突破</v>
      </c>
      <c r="N516" s="39" t="str">
        <f>VLOOKUP(K516,[2]stage_hints!$A:$D,4,FALSE)</f>
        <v>赤りんご(攻撃力) 青りんご(回復力)
緑りんご(体力)をユニット強化に使うと
ステータスが限界突破します（計99個迄）</v>
      </c>
      <c r="O516" s="20" t="s">
        <v>24</v>
      </c>
      <c r="P516">
        <v>24</v>
      </c>
    </row>
    <row r="517" spans="1:16" x14ac:dyDescent="0.15">
      <c r="A517" s="27" t="str">
        <f t="shared" si="69"/>
        <v>20003_3_21</v>
      </c>
      <c r="B517" s="25" t="s">
        <v>34</v>
      </c>
      <c r="C517" s="4">
        <v>20003</v>
      </c>
      <c r="D517" s="3" t="str">
        <f ca="1">VLOOKUP($C517,OFFSET([1]quests!$A$1,0,0,COUNTA([1]quests!$A:$A),MATCH(D$1,[1]quests!$1:$1,0)-MATCH($C$1,[1]quests!$1:$1,0)+1),MATCH(D$1,[1]quests!$1:$1,0)-MATCH($C$1,[1]quests!$1:$1,0)+1,FALSE)</f>
        <v>忍び寄る短剣</v>
      </c>
      <c r="E517" s="3" t="str">
        <f ca="1">VLOOKUP($C517,OFFSET([1]quests!$A$1,0,0,COUNTA([1]quests!$A:$A),MATCH(E$1,[1]quests!$1:$1,0)-MATCH($C$1,[1]quests!$1:$1,0)+1),MATCH(E$1,[1]quests!$1:$1,0)-MATCH($C$1,[1]quests!$1:$1,0)+1,FALSE)</f>
        <v>ドロップイベント1-3</v>
      </c>
      <c r="F517" s="5">
        <v>3</v>
      </c>
      <c r="G517" s="3" t="str">
        <f ca="1">VLOOKUP($C517&amp;"_"&amp;$F517,OFFSET([1]stages!$A$1,0,0,COUNTA([1]stages!$A:$A),MATCH(G$1,[1]stages!$2:$2,0)-MATCH("temp_stage",[1]stages!$2:$2,0)+1),MATCH(G$1,[1]stages!$2:$2,0)-MATCH("temp_stage",[1]stages!$2:$2,0)+1,FALSE)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7" s="3" t="str">
        <f ca="1">VLOOKUP($C517&amp;"_"&amp;$F517,OFFSET([1]stages!$A$1,0,0,COUNTA([1]stages!$A:$A),MATCH(H$1,[1]stages!$2:$2,0)-MATCH("temp_stage",[1]stages!$2:$2,0)+1),MATCH(H$1,[1]stages!$2:$2,0)-MATCH("temp_stage",[1]stages!$2:$2,0)+1,FALSE)</f>
        <v>ドロップイベント1-3</v>
      </c>
      <c r="I517" s="18">
        <v>0</v>
      </c>
      <c r="J517" s="5">
        <f>COUNTIF(C$1:C517,C517)</f>
        <v>21</v>
      </c>
      <c r="K517" s="34">
        <v>25</v>
      </c>
      <c r="L517" s="5" t="s">
        <v>17</v>
      </c>
      <c r="M517" s="38" t="str">
        <f>VLOOKUP(K517,[2]stage_hints!$A:$C,3,FALSE)</f>
        <v>スキルレベルアップ</v>
      </c>
      <c r="N517" s="39" t="str">
        <f>VLOOKUP(K517,[2]stage_hints!$A:$D,4,FALSE)</f>
        <v>「クリスタルのりんご」を強化に使うと
スキルレベルを上げることができます</v>
      </c>
      <c r="O517" s="20" t="s">
        <v>24</v>
      </c>
      <c r="P517">
        <v>25</v>
      </c>
    </row>
    <row r="518" spans="1:16" x14ac:dyDescent="0.15">
      <c r="A518" s="27" t="str">
        <f t="shared" si="69"/>
        <v>20003_3_22</v>
      </c>
      <c r="B518" s="25" t="s">
        <v>34</v>
      </c>
      <c r="C518" s="4">
        <v>20003</v>
      </c>
      <c r="D518" s="3" t="str">
        <f ca="1">VLOOKUP($C518,OFFSET([1]quests!$A$1,0,0,COUNTA([1]quests!$A:$A),MATCH(D$1,[1]quests!$1:$1,0)-MATCH($C$1,[1]quests!$1:$1,0)+1),MATCH(D$1,[1]quests!$1:$1,0)-MATCH($C$1,[1]quests!$1:$1,0)+1,FALSE)</f>
        <v>忍び寄る短剣</v>
      </c>
      <c r="E518" s="3" t="str">
        <f ca="1">VLOOKUP($C518,OFFSET([1]quests!$A$1,0,0,COUNTA([1]quests!$A:$A),MATCH(E$1,[1]quests!$1:$1,0)-MATCH($C$1,[1]quests!$1:$1,0)+1),MATCH(E$1,[1]quests!$1:$1,0)-MATCH($C$1,[1]quests!$1:$1,0)+1,FALSE)</f>
        <v>ドロップイベント1-3</v>
      </c>
      <c r="F518" s="5">
        <v>3</v>
      </c>
      <c r="G518" s="3" t="str">
        <f ca="1">VLOOKUP($C518&amp;"_"&amp;$F518,OFFSET([1]stages!$A$1,0,0,COUNTA([1]stages!$A:$A),MATCH(G$1,[1]stages!$2:$2,0)-MATCH("temp_stage",[1]stages!$2:$2,0)+1),MATCH(G$1,[1]stages!$2:$2,0)-MATCH("temp_stage",[1]stages!$2:$2,0)+1,FALSE)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8" s="3" t="str">
        <f ca="1">VLOOKUP($C518&amp;"_"&amp;$F518,OFFSET([1]stages!$A$1,0,0,COUNTA([1]stages!$A:$A),MATCH(H$1,[1]stages!$2:$2,0)-MATCH("temp_stage",[1]stages!$2:$2,0)+1),MATCH(H$1,[1]stages!$2:$2,0)-MATCH("temp_stage",[1]stages!$2:$2,0)+1,FALSE)</f>
        <v>ドロップイベント1-3</v>
      </c>
      <c r="I518" s="18">
        <v>0</v>
      </c>
      <c r="J518" s="5">
        <f>COUNTIF(C$1:C518,C518)</f>
        <v>22</v>
      </c>
      <c r="K518" s="34">
        <v>26</v>
      </c>
      <c r="L518" s="5" t="s">
        <v>17</v>
      </c>
      <c r="M518" s="38" t="str">
        <f>VLOOKUP(K518,[2]stage_hints!$A:$C,3,FALSE)</f>
        <v>スキルレベルの効果</v>
      </c>
      <c r="N518" s="39" t="str">
        <f>VLOOKUP(K518,[2]stage_hints!$A:$D,4,FALSE)</f>
        <v>スキルレベルが上がると
短いターンでスキルを使うことができます</v>
      </c>
      <c r="O518" s="20" t="s">
        <v>24</v>
      </c>
      <c r="P518">
        <v>26</v>
      </c>
    </row>
    <row r="519" spans="1:16" x14ac:dyDescent="0.15">
      <c r="A519" s="27" t="str">
        <f t="shared" si="69"/>
        <v>20003_3_23</v>
      </c>
      <c r="B519" s="25" t="s">
        <v>34</v>
      </c>
      <c r="C519" s="4">
        <v>20003</v>
      </c>
      <c r="D519" s="3" t="str">
        <f ca="1">VLOOKUP($C519,OFFSET([1]quests!$A$1,0,0,COUNTA([1]quests!$A:$A),MATCH(D$1,[1]quests!$1:$1,0)-MATCH($C$1,[1]quests!$1:$1,0)+1),MATCH(D$1,[1]quests!$1:$1,0)-MATCH($C$1,[1]quests!$1:$1,0)+1,FALSE)</f>
        <v>忍び寄る短剣</v>
      </c>
      <c r="E519" s="3" t="str">
        <f ca="1">VLOOKUP($C519,OFFSET([1]quests!$A$1,0,0,COUNTA([1]quests!$A:$A),MATCH(E$1,[1]quests!$1:$1,0)-MATCH($C$1,[1]quests!$1:$1,0)+1),MATCH(E$1,[1]quests!$1:$1,0)-MATCH($C$1,[1]quests!$1:$1,0)+1,FALSE)</f>
        <v>ドロップイベント1-3</v>
      </c>
      <c r="F519" s="5">
        <v>3</v>
      </c>
      <c r="G519" s="3" t="str">
        <f ca="1">VLOOKUP($C519&amp;"_"&amp;$F519,OFFSET([1]stages!$A$1,0,0,COUNTA([1]stages!$A:$A),MATCH(G$1,[1]stages!$2:$2,0)-MATCH("temp_stage",[1]stages!$2:$2,0)+1),MATCH(G$1,[1]stages!$2:$2,0)-MATCH("temp_stage",[1]stages!$2:$2,0)+1,FALSE)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19" s="3" t="str">
        <f ca="1">VLOOKUP($C519&amp;"_"&amp;$F519,OFFSET([1]stages!$A$1,0,0,COUNTA([1]stages!$A:$A),MATCH(H$1,[1]stages!$2:$2,0)-MATCH("temp_stage",[1]stages!$2:$2,0)+1),MATCH(H$1,[1]stages!$2:$2,0)-MATCH("temp_stage",[1]stages!$2:$2,0)+1,FALSE)</f>
        <v>ドロップイベント1-3</v>
      </c>
      <c r="I519" s="18">
        <v>0</v>
      </c>
      <c r="J519" s="5">
        <f>COUNTIF(C$1:C519,C519)</f>
        <v>23</v>
      </c>
      <c r="K519" s="34">
        <v>27</v>
      </c>
      <c r="L519" s="5" t="s">
        <v>17</v>
      </c>
      <c r="M519" s="38" t="str">
        <f>VLOOKUP(K519,[2]stage_hints!$A:$C,3,FALSE)</f>
        <v>ホーム画面からデッキを編成</v>
      </c>
      <c r="N519" s="39" t="str">
        <f>VLOOKUP(K519,[2]stage_hints!$A:$D,4,FALSE)</f>
        <v>ホーム画面でユニットを長押しすると
すぐにパーティ編成に移動できます</v>
      </c>
      <c r="O519" s="20" t="s">
        <v>24</v>
      </c>
      <c r="P519">
        <v>27</v>
      </c>
    </row>
    <row r="520" spans="1:16" x14ac:dyDescent="0.15">
      <c r="A520" s="27" t="str">
        <f t="shared" si="69"/>
        <v>20003_3_24</v>
      </c>
      <c r="B520" s="25" t="s">
        <v>34</v>
      </c>
      <c r="C520" s="4">
        <v>20003</v>
      </c>
      <c r="D520" s="3" t="str">
        <f ca="1">VLOOKUP($C520,OFFSET([1]quests!$A$1,0,0,COUNTA([1]quests!$A:$A),MATCH(D$1,[1]quests!$1:$1,0)-MATCH($C$1,[1]quests!$1:$1,0)+1),MATCH(D$1,[1]quests!$1:$1,0)-MATCH($C$1,[1]quests!$1:$1,0)+1,FALSE)</f>
        <v>忍び寄る短剣</v>
      </c>
      <c r="E520" s="3" t="str">
        <f ca="1">VLOOKUP($C520,OFFSET([1]quests!$A$1,0,0,COUNTA([1]quests!$A:$A),MATCH(E$1,[1]quests!$1:$1,0)-MATCH($C$1,[1]quests!$1:$1,0)+1),MATCH(E$1,[1]quests!$1:$1,0)-MATCH($C$1,[1]quests!$1:$1,0)+1,FALSE)</f>
        <v>ドロップイベント1-3</v>
      </c>
      <c r="F520" s="5">
        <v>3</v>
      </c>
      <c r="G520" s="3" t="str">
        <f ca="1">VLOOKUP($C520&amp;"_"&amp;$F520,OFFSET([1]stages!$A$1,0,0,COUNTA([1]stages!$A:$A),MATCH(G$1,[1]stages!$2:$2,0)-MATCH("temp_stage",[1]stages!$2:$2,0)+1),MATCH(G$1,[1]stages!$2:$2,0)-MATCH("temp_stage",[1]stages!$2:$2,0)+1,FALSE)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0" s="3" t="str">
        <f ca="1">VLOOKUP($C520&amp;"_"&amp;$F520,OFFSET([1]stages!$A$1,0,0,COUNTA([1]stages!$A:$A),MATCH(H$1,[1]stages!$2:$2,0)-MATCH("temp_stage",[1]stages!$2:$2,0)+1),MATCH(H$1,[1]stages!$2:$2,0)-MATCH("temp_stage",[1]stages!$2:$2,0)+1,FALSE)</f>
        <v>ドロップイベント1-3</v>
      </c>
      <c r="I520" s="18">
        <v>0</v>
      </c>
      <c r="J520" s="5">
        <f>COUNTIF(C$1:C520,C520)</f>
        <v>24</v>
      </c>
      <c r="K520" s="34">
        <v>28</v>
      </c>
      <c r="L520" s="5" t="s">
        <v>17</v>
      </c>
      <c r="M520" s="38" t="str">
        <f>VLOOKUP(K520,[2]stage_hints!$A:$C,3,FALSE)</f>
        <v>ステータス情報は長押しで</v>
      </c>
      <c r="N520" s="39" t="str">
        <f>VLOOKUP(K520,[2]stage_hints!$A:$D,4,FALSE)</f>
        <v>ユニットのアイコンを長押しすると
ステータス情報を確認することができます</v>
      </c>
      <c r="O520" s="20" t="s">
        <v>24</v>
      </c>
      <c r="P520">
        <v>28</v>
      </c>
    </row>
    <row r="521" spans="1:16" x14ac:dyDescent="0.15">
      <c r="A521" s="27" t="str">
        <f t="shared" si="69"/>
        <v>20003_3_25</v>
      </c>
      <c r="B521" s="25" t="s">
        <v>34</v>
      </c>
      <c r="C521" s="4">
        <v>20003</v>
      </c>
      <c r="D521" s="3" t="str">
        <f ca="1">VLOOKUP($C521,OFFSET([1]quests!$A$1,0,0,COUNTA([1]quests!$A:$A),MATCH(D$1,[1]quests!$1:$1,0)-MATCH($C$1,[1]quests!$1:$1,0)+1),MATCH(D$1,[1]quests!$1:$1,0)-MATCH($C$1,[1]quests!$1:$1,0)+1,FALSE)</f>
        <v>忍び寄る短剣</v>
      </c>
      <c r="E521" s="3" t="str">
        <f ca="1">VLOOKUP($C521,OFFSET([1]quests!$A$1,0,0,COUNTA([1]quests!$A:$A),MATCH(E$1,[1]quests!$1:$1,0)-MATCH($C$1,[1]quests!$1:$1,0)+1),MATCH(E$1,[1]quests!$1:$1,0)-MATCH($C$1,[1]quests!$1:$1,0)+1,FALSE)</f>
        <v>ドロップイベント1-3</v>
      </c>
      <c r="F521" s="5">
        <v>3</v>
      </c>
      <c r="G521" s="3" t="str">
        <f ca="1">VLOOKUP($C521&amp;"_"&amp;$F521,OFFSET([1]stages!$A$1,0,0,COUNTA([1]stages!$A:$A),MATCH(G$1,[1]stages!$2:$2,0)-MATCH("temp_stage",[1]stages!$2:$2,0)+1),MATCH(G$1,[1]stages!$2:$2,0)-MATCH("temp_stage",[1]stages!$2:$2,0)+1,FALSE)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1" s="3" t="str">
        <f ca="1">VLOOKUP($C521&amp;"_"&amp;$F521,OFFSET([1]stages!$A$1,0,0,COUNTA([1]stages!$A:$A),MATCH(H$1,[1]stages!$2:$2,0)-MATCH("temp_stage",[1]stages!$2:$2,0)+1),MATCH(H$1,[1]stages!$2:$2,0)-MATCH("temp_stage",[1]stages!$2:$2,0)+1,FALSE)</f>
        <v>ドロップイベント1-3</v>
      </c>
      <c r="I521" s="18">
        <v>0</v>
      </c>
      <c r="J521" s="5">
        <f>COUNTIF(C$1:C521,C521)</f>
        <v>25</v>
      </c>
      <c r="K521" s="34">
        <v>29</v>
      </c>
      <c r="L521" s="5" t="s">
        <v>17</v>
      </c>
      <c r="M521" s="38" t="str">
        <f>VLOOKUP(K521,[2]stage_hints!$A:$C,3,FALSE)</f>
        <v>「バグ」のメリット</v>
      </c>
      <c r="N521" s="39" t="str">
        <f>VLOOKUP(K521,[2]stage_hints!$A:$D,4,FALSE)</f>
        <v>ユニットの「バグ」を増やすと
報酬をもらえる確率がアップします</v>
      </c>
      <c r="O521" s="20" t="s">
        <v>24</v>
      </c>
      <c r="P521">
        <v>29</v>
      </c>
    </row>
    <row r="522" spans="1:16" x14ac:dyDescent="0.15">
      <c r="A522" s="27" t="str">
        <f t="shared" si="69"/>
        <v>20003_3_26</v>
      </c>
      <c r="B522" s="25" t="s">
        <v>34</v>
      </c>
      <c r="C522" s="4">
        <v>20003</v>
      </c>
      <c r="D522" s="3" t="str">
        <f ca="1">VLOOKUP($C522,OFFSET([1]quests!$A$1,0,0,COUNTA([1]quests!$A:$A),MATCH(D$1,[1]quests!$1:$1,0)-MATCH($C$1,[1]quests!$1:$1,0)+1),MATCH(D$1,[1]quests!$1:$1,0)-MATCH($C$1,[1]quests!$1:$1,0)+1,FALSE)</f>
        <v>忍び寄る短剣</v>
      </c>
      <c r="E522" s="3" t="str">
        <f ca="1">VLOOKUP($C522,OFFSET([1]quests!$A$1,0,0,COUNTA([1]quests!$A:$A),MATCH(E$1,[1]quests!$1:$1,0)-MATCH($C$1,[1]quests!$1:$1,0)+1),MATCH(E$1,[1]quests!$1:$1,0)-MATCH($C$1,[1]quests!$1:$1,0)+1,FALSE)</f>
        <v>ドロップイベント1-3</v>
      </c>
      <c r="F522" s="5">
        <v>3</v>
      </c>
      <c r="G522" s="3" t="str">
        <f ca="1">VLOOKUP($C522&amp;"_"&amp;$F522,OFFSET([1]stages!$A$1,0,0,COUNTA([1]stages!$A:$A),MATCH(G$1,[1]stages!$2:$2,0)-MATCH("temp_stage",[1]stages!$2:$2,0)+1),MATCH(G$1,[1]stages!$2:$2,0)-MATCH("temp_stage",[1]stages!$2:$2,0)+1,FALSE)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2" s="3" t="str">
        <f ca="1">VLOOKUP($C522&amp;"_"&amp;$F522,OFFSET([1]stages!$A$1,0,0,COUNTA([1]stages!$A:$A),MATCH(H$1,[1]stages!$2:$2,0)-MATCH("temp_stage",[1]stages!$2:$2,0)+1),MATCH(H$1,[1]stages!$2:$2,0)-MATCH("temp_stage",[1]stages!$2:$2,0)+1,FALSE)</f>
        <v>ドロップイベント1-3</v>
      </c>
      <c r="I522" s="18">
        <v>0</v>
      </c>
      <c r="J522" s="5">
        <f>COUNTIF(C$1:C522,C522)</f>
        <v>26</v>
      </c>
      <c r="K522" s="34">
        <v>30</v>
      </c>
      <c r="L522" s="5" t="s">
        <v>17</v>
      </c>
      <c r="M522" s="38" t="str">
        <f>VLOOKUP(K522,[2]stage_hints!$A:$C,3,FALSE)</f>
        <v>「バグ」の増やし方</v>
      </c>
      <c r="N522" s="39" t="str">
        <f>VLOOKUP(K522,[2]stage_hints!$A:$D,4,FALSE)</f>
        <v>同じユニット同士を強化で合成すると
「バグ」を増やすことができます</v>
      </c>
      <c r="O522" s="20" t="s">
        <v>24</v>
      </c>
      <c r="P522">
        <v>30</v>
      </c>
    </row>
    <row r="523" spans="1:16" x14ac:dyDescent="0.15">
      <c r="A523" s="27" t="str">
        <f t="shared" si="69"/>
        <v>20003_3_27</v>
      </c>
      <c r="B523" s="25" t="s">
        <v>34</v>
      </c>
      <c r="C523" s="4">
        <v>20003</v>
      </c>
      <c r="D523" s="3" t="str">
        <f ca="1">VLOOKUP($C523,OFFSET([1]quests!$A$1,0,0,COUNTA([1]quests!$A:$A),MATCH(D$1,[1]quests!$1:$1,0)-MATCH($C$1,[1]quests!$1:$1,0)+1),MATCH(D$1,[1]quests!$1:$1,0)-MATCH($C$1,[1]quests!$1:$1,0)+1,FALSE)</f>
        <v>忍び寄る短剣</v>
      </c>
      <c r="E523" s="3" t="str">
        <f ca="1">VLOOKUP($C523,OFFSET([1]quests!$A$1,0,0,COUNTA([1]quests!$A:$A),MATCH(E$1,[1]quests!$1:$1,0)-MATCH($C$1,[1]quests!$1:$1,0)+1),MATCH(E$1,[1]quests!$1:$1,0)-MATCH($C$1,[1]quests!$1:$1,0)+1,FALSE)</f>
        <v>ドロップイベント1-3</v>
      </c>
      <c r="F523" s="5">
        <v>3</v>
      </c>
      <c r="G523" s="3" t="str">
        <f ca="1">VLOOKUP($C523&amp;"_"&amp;$F523,OFFSET([1]stages!$A$1,0,0,COUNTA([1]stages!$A:$A),MATCH(G$1,[1]stages!$2:$2,0)-MATCH("temp_stage",[1]stages!$2:$2,0)+1),MATCH(G$1,[1]stages!$2:$2,0)-MATCH("temp_stage",[1]stages!$2:$2,0)+1,FALSE)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3" s="3" t="str">
        <f ca="1">VLOOKUP($C523&amp;"_"&amp;$F523,OFFSET([1]stages!$A$1,0,0,COUNTA([1]stages!$A:$A),MATCH(H$1,[1]stages!$2:$2,0)-MATCH("temp_stage",[1]stages!$2:$2,0)+1),MATCH(H$1,[1]stages!$2:$2,0)-MATCH("temp_stage",[1]stages!$2:$2,0)+1,FALSE)</f>
        <v>ドロップイベント1-3</v>
      </c>
      <c r="I523" s="18">
        <v>0</v>
      </c>
      <c r="J523" s="5">
        <f>COUNTIF(C$1:C523,C523)</f>
        <v>27</v>
      </c>
      <c r="K523" s="34">
        <v>31</v>
      </c>
      <c r="L523" s="5" t="s">
        <v>17</v>
      </c>
      <c r="M523" s="38" t="str">
        <f>VLOOKUP(K523,[2]stage_hints!$A:$C,3,FALSE)</f>
        <v>イベントはお知らせでチェック</v>
      </c>
      <c r="N523" s="39" t="str">
        <f>VLOOKUP(K523,[2]stage_hints!$A:$D,4,FALSE)</f>
        <v>イベント限定ユニットを取り忘れないように
お知らせをこまめにチェックしましょう</v>
      </c>
      <c r="O523" s="20" t="s">
        <v>24</v>
      </c>
      <c r="P523">
        <v>31</v>
      </c>
    </row>
    <row r="524" spans="1:16" x14ac:dyDescent="0.15">
      <c r="A524" s="27" t="str">
        <f t="shared" si="69"/>
        <v>20003_3_28</v>
      </c>
      <c r="B524" s="25" t="s">
        <v>34</v>
      </c>
      <c r="C524" s="4">
        <v>20003</v>
      </c>
      <c r="D524" s="3" t="str">
        <f ca="1">VLOOKUP($C524,OFFSET([1]quests!$A$1,0,0,COUNTA([1]quests!$A:$A),MATCH(D$1,[1]quests!$1:$1,0)-MATCH($C$1,[1]quests!$1:$1,0)+1),MATCH(D$1,[1]quests!$1:$1,0)-MATCH($C$1,[1]quests!$1:$1,0)+1,FALSE)</f>
        <v>忍び寄る短剣</v>
      </c>
      <c r="E524" s="3" t="str">
        <f ca="1">VLOOKUP($C524,OFFSET([1]quests!$A$1,0,0,COUNTA([1]quests!$A:$A),MATCH(E$1,[1]quests!$1:$1,0)-MATCH($C$1,[1]quests!$1:$1,0)+1),MATCH(E$1,[1]quests!$1:$1,0)-MATCH($C$1,[1]quests!$1:$1,0)+1,FALSE)</f>
        <v>ドロップイベント1-3</v>
      </c>
      <c r="F524" s="5">
        <v>3</v>
      </c>
      <c r="G524" s="3" t="str">
        <f ca="1">VLOOKUP($C524&amp;"_"&amp;$F524,OFFSET([1]stages!$A$1,0,0,COUNTA([1]stages!$A:$A),MATCH(G$1,[1]stages!$2:$2,0)-MATCH("temp_stage",[1]stages!$2:$2,0)+1),MATCH(G$1,[1]stages!$2:$2,0)-MATCH("temp_stage",[1]stages!$2:$2,0)+1,FALSE)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4" s="3" t="str">
        <f ca="1">VLOOKUP($C524&amp;"_"&amp;$F524,OFFSET([1]stages!$A$1,0,0,COUNTA([1]stages!$A:$A),MATCH(H$1,[1]stages!$2:$2,0)-MATCH("temp_stage",[1]stages!$2:$2,0)+1),MATCH(H$1,[1]stages!$2:$2,0)-MATCH("temp_stage",[1]stages!$2:$2,0)+1,FALSE)</f>
        <v>ドロップイベント1-3</v>
      </c>
      <c r="I524" s="18">
        <v>0</v>
      </c>
      <c r="J524" s="5">
        <f>COUNTIF(C$1:C524,C524)</f>
        <v>28</v>
      </c>
      <c r="K524" s="34">
        <v>32</v>
      </c>
      <c r="L524" s="5" t="s">
        <v>17</v>
      </c>
      <c r="M524" s="38" t="str">
        <f>VLOOKUP(K524,[2]stage_hints!$A:$C,3,FALSE)</f>
        <v>敵の連続攻撃には</v>
      </c>
      <c r="N524" s="39" t="str">
        <f>VLOOKUP(K524,[2]stage_hints!$A:$D,4,FALSE)</f>
        <v>カウンタースキルを持つユニットがいれば
ダメージ回数分の反撃ができます</v>
      </c>
      <c r="O524" s="20" t="s">
        <v>24</v>
      </c>
      <c r="P524">
        <v>32</v>
      </c>
    </row>
    <row r="525" spans="1:16" x14ac:dyDescent="0.15">
      <c r="A525" s="27" t="str">
        <f t="shared" ref="A525:A538" si="70">C525&amp;"_"&amp;F525&amp;"_"&amp;J525</f>
        <v>20003_3_29</v>
      </c>
      <c r="B525" s="25" t="s">
        <v>34</v>
      </c>
      <c r="C525" s="4">
        <v>20003</v>
      </c>
      <c r="D525" s="3" t="str">
        <f ca="1">VLOOKUP($C525,OFFSET([1]quests!$A$1,0,0,COUNTA([1]quests!$A:$A),MATCH(D$1,[1]quests!$1:$1,0)-MATCH($C$1,[1]quests!$1:$1,0)+1),MATCH(D$1,[1]quests!$1:$1,0)-MATCH($C$1,[1]quests!$1:$1,0)+1,FALSE)</f>
        <v>忍び寄る短剣</v>
      </c>
      <c r="E525" s="3" t="str">
        <f ca="1">VLOOKUP($C525,OFFSET([1]quests!$A$1,0,0,COUNTA([1]quests!$A:$A),MATCH(E$1,[1]quests!$1:$1,0)-MATCH($C$1,[1]quests!$1:$1,0)+1),MATCH(E$1,[1]quests!$1:$1,0)-MATCH($C$1,[1]quests!$1:$1,0)+1,FALSE)</f>
        <v>ドロップイベント1-3</v>
      </c>
      <c r="F525" s="5">
        <v>3</v>
      </c>
      <c r="G525" s="3" t="str">
        <f ca="1">VLOOKUP($C525&amp;"_"&amp;$F525,OFFSET([1]stages!$A$1,0,0,COUNTA([1]stages!$A:$A),MATCH(G$1,[1]stages!$2:$2,0)-MATCH("temp_stage",[1]stages!$2:$2,0)+1),MATCH(G$1,[1]stages!$2:$2,0)-MATCH("temp_stage",[1]stages!$2:$2,0)+1,FALSE)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5" s="3" t="str">
        <f ca="1">VLOOKUP($C525&amp;"_"&amp;$F525,OFFSET([1]stages!$A$1,0,0,COUNTA([1]stages!$A:$A),MATCH(H$1,[1]stages!$2:$2,0)-MATCH("temp_stage",[1]stages!$2:$2,0)+1),MATCH(H$1,[1]stages!$2:$2,0)-MATCH("temp_stage",[1]stages!$2:$2,0)+1,FALSE)</f>
        <v>ドロップイベント1-3</v>
      </c>
      <c r="I525" s="18">
        <v>0</v>
      </c>
      <c r="J525" s="5">
        <f>COUNTIF(C$1:C525,C525)</f>
        <v>29</v>
      </c>
      <c r="K525" s="34">
        <v>33</v>
      </c>
      <c r="L525" s="5" t="s">
        <v>17</v>
      </c>
      <c r="M525" s="38" t="str">
        <f>VLOOKUP(K525,[2]stage_hints!$A:$C,3,FALSE)</f>
        <v>敵のカウンター攻撃には</v>
      </c>
      <c r="N525" s="39" t="str">
        <f>VLOOKUP(K525,[2]stage_hints!$A:$D,4,FALSE)</f>
        <v>カウンターブレイクスキルを持っていれば
敵のカウンターを解除して攻撃ができます</v>
      </c>
      <c r="O525" s="20" t="s">
        <v>24</v>
      </c>
      <c r="P525">
        <v>33</v>
      </c>
    </row>
    <row r="526" spans="1:16" x14ac:dyDescent="0.15">
      <c r="A526" s="27" t="str">
        <f t="shared" si="70"/>
        <v>20003_3_30</v>
      </c>
      <c r="B526" s="25" t="s">
        <v>34</v>
      </c>
      <c r="C526" s="4">
        <v>20003</v>
      </c>
      <c r="D526" s="3" t="str">
        <f ca="1">VLOOKUP($C526,OFFSET([1]quests!$A$1,0,0,COUNTA([1]quests!$A:$A),MATCH(D$1,[1]quests!$1:$1,0)-MATCH($C$1,[1]quests!$1:$1,0)+1),MATCH(D$1,[1]quests!$1:$1,0)-MATCH($C$1,[1]quests!$1:$1,0)+1,FALSE)</f>
        <v>忍び寄る短剣</v>
      </c>
      <c r="E526" s="3" t="str">
        <f ca="1">VLOOKUP($C526,OFFSET([1]quests!$A$1,0,0,COUNTA([1]quests!$A:$A),MATCH(E$1,[1]quests!$1:$1,0)-MATCH($C$1,[1]quests!$1:$1,0)+1),MATCH(E$1,[1]quests!$1:$1,0)-MATCH($C$1,[1]quests!$1:$1,0)+1,FALSE)</f>
        <v>ドロップイベント1-3</v>
      </c>
      <c r="F526" s="5">
        <v>3</v>
      </c>
      <c r="G526" s="3" t="str">
        <f ca="1">VLOOKUP($C526&amp;"_"&amp;$F526,OFFSET([1]stages!$A$1,0,0,COUNTA([1]stages!$A:$A),MATCH(G$1,[1]stages!$2:$2,0)-MATCH("temp_stage",[1]stages!$2:$2,0)+1),MATCH(G$1,[1]stages!$2:$2,0)-MATCH("temp_stage",[1]stages!$2:$2,0)+1,FALSE)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6" s="3" t="str">
        <f ca="1">VLOOKUP($C526&amp;"_"&amp;$F526,OFFSET([1]stages!$A$1,0,0,COUNTA([1]stages!$A:$A),MATCH(H$1,[1]stages!$2:$2,0)-MATCH("temp_stage",[1]stages!$2:$2,0)+1),MATCH(H$1,[1]stages!$2:$2,0)-MATCH("temp_stage",[1]stages!$2:$2,0)+1,FALSE)</f>
        <v>ドロップイベント1-3</v>
      </c>
      <c r="I526" s="18">
        <v>0</v>
      </c>
      <c r="J526" s="5">
        <f>COUNTIF(C$1:C526,C526)</f>
        <v>30</v>
      </c>
      <c r="K526" s="34">
        <v>34</v>
      </c>
      <c r="L526" s="5" t="s">
        <v>17</v>
      </c>
      <c r="M526" s="38" t="str">
        <f>VLOOKUP(K526,[2]stage_hints!$A:$C,3,FALSE)</f>
        <v>ステータスをスキルで下げられたら</v>
      </c>
      <c r="N526" s="39" t="str">
        <f>VLOOKUP(K526,[2]stage_hints!$A:$D,4,FALSE)</f>
        <v>ステータスダウンのスキルを受けたら
ステータスアップスキルで上書きしましょう</v>
      </c>
      <c r="O526" s="20" t="s">
        <v>24</v>
      </c>
      <c r="P526">
        <v>34</v>
      </c>
    </row>
    <row r="527" spans="1:16" x14ac:dyDescent="0.15">
      <c r="A527" s="27" t="str">
        <f t="shared" si="70"/>
        <v>20003_3_31</v>
      </c>
      <c r="B527" s="25" t="s">
        <v>34</v>
      </c>
      <c r="C527" s="4">
        <v>20003</v>
      </c>
      <c r="D527" s="3" t="str">
        <f ca="1">VLOOKUP($C527,OFFSET([1]quests!$A$1,0,0,COUNTA([1]quests!$A:$A),MATCH(D$1,[1]quests!$1:$1,0)-MATCH($C$1,[1]quests!$1:$1,0)+1),MATCH(D$1,[1]quests!$1:$1,0)-MATCH($C$1,[1]quests!$1:$1,0)+1,FALSE)</f>
        <v>忍び寄る短剣</v>
      </c>
      <c r="E527" s="3" t="str">
        <f ca="1">VLOOKUP($C527,OFFSET([1]quests!$A$1,0,0,COUNTA([1]quests!$A:$A),MATCH(E$1,[1]quests!$1:$1,0)-MATCH($C$1,[1]quests!$1:$1,0)+1),MATCH(E$1,[1]quests!$1:$1,0)-MATCH($C$1,[1]quests!$1:$1,0)+1,FALSE)</f>
        <v>ドロップイベント1-3</v>
      </c>
      <c r="F527" s="5">
        <v>3</v>
      </c>
      <c r="G527" s="3" t="str">
        <f ca="1">VLOOKUP($C527&amp;"_"&amp;$F527,OFFSET([1]stages!$A$1,0,0,COUNTA([1]stages!$A:$A),MATCH(G$1,[1]stages!$2:$2,0)-MATCH("temp_stage",[1]stages!$2:$2,0)+1),MATCH(G$1,[1]stages!$2:$2,0)-MATCH("temp_stage",[1]stages!$2:$2,0)+1,FALSE)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7" s="3" t="str">
        <f ca="1">VLOOKUP($C527&amp;"_"&amp;$F527,OFFSET([1]stages!$A$1,0,0,COUNTA([1]stages!$A:$A),MATCH(H$1,[1]stages!$2:$2,0)-MATCH("temp_stage",[1]stages!$2:$2,0)+1),MATCH(H$1,[1]stages!$2:$2,0)-MATCH("temp_stage",[1]stages!$2:$2,0)+1,FALSE)</f>
        <v>ドロップイベント1-3</v>
      </c>
      <c r="I527" s="18">
        <v>0</v>
      </c>
      <c r="J527" s="5">
        <f>COUNTIF(C$1:C527,C527)</f>
        <v>31</v>
      </c>
      <c r="K527" s="34">
        <v>35</v>
      </c>
      <c r="L527" s="5" t="s">
        <v>17</v>
      </c>
      <c r="M527" s="38" t="str">
        <f>VLOOKUP(K527,[2]stage_hints!$A:$C,3,FALSE)</f>
        <v>敵のステータスがスキルで上がったら</v>
      </c>
      <c r="N527" s="39" t="str">
        <f>VLOOKUP(K527,[2]stage_hints!$A:$D,4,FALSE)</f>
        <v>敵のステータスがスキルでアップしたときは
ステータスダウンスキルで上書きしましょう</v>
      </c>
      <c r="O527" s="20" t="s">
        <v>24</v>
      </c>
      <c r="P527">
        <v>35</v>
      </c>
    </row>
    <row r="528" spans="1:16" x14ac:dyDescent="0.15">
      <c r="A528" s="27" t="str">
        <f t="shared" si="70"/>
        <v>20003_3_32</v>
      </c>
      <c r="B528" s="25" t="s">
        <v>34</v>
      </c>
      <c r="C528" s="4">
        <v>20003</v>
      </c>
      <c r="D528" s="3" t="str">
        <f ca="1">VLOOKUP($C528,OFFSET([1]quests!$A$1,0,0,COUNTA([1]quests!$A:$A),MATCH(D$1,[1]quests!$1:$1,0)-MATCH($C$1,[1]quests!$1:$1,0)+1),MATCH(D$1,[1]quests!$1:$1,0)-MATCH($C$1,[1]quests!$1:$1,0)+1,FALSE)</f>
        <v>忍び寄る短剣</v>
      </c>
      <c r="E528" s="3" t="str">
        <f ca="1">VLOOKUP($C528,OFFSET([1]quests!$A$1,0,0,COUNTA([1]quests!$A:$A),MATCH(E$1,[1]quests!$1:$1,0)-MATCH($C$1,[1]quests!$1:$1,0)+1),MATCH(E$1,[1]quests!$1:$1,0)-MATCH($C$1,[1]quests!$1:$1,0)+1,FALSE)</f>
        <v>ドロップイベント1-3</v>
      </c>
      <c r="F528" s="5">
        <v>3</v>
      </c>
      <c r="G528" s="3" t="str">
        <f ca="1">VLOOKUP($C528&amp;"_"&amp;$F528,OFFSET([1]stages!$A$1,0,0,COUNTA([1]stages!$A:$A),MATCH(G$1,[1]stages!$2:$2,0)-MATCH("temp_stage",[1]stages!$2:$2,0)+1),MATCH(G$1,[1]stages!$2:$2,0)-MATCH("temp_stage",[1]stages!$2:$2,0)+1,FALSE)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8" s="3" t="str">
        <f ca="1">VLOOKUP($C528&amp;"_"&amp;$F528,OFFSET([1]stages!$A$1,0,0,COUNTA([1]stages!$A:$A),MATCH(H$1,[1]stages!$2:$2,0)-MATCH("temp_stage",[1]stages!$2:$2,0)+1),MATCH(H$1,[1]stages!$2:$2,0)-MATCH("temp_stage",[1]stages!$2:$2,0)+1,FALSE)</f>
        <v>ドロップイベント1-3</v>
      </c>
      <c r="I528" s="18">
        <v>0</v>
      </c>
      <c r="J528" s="5">
        <f>COUNTIF(C$1:C528,C528)</f>
        <v>32</v>
      </c>
      <c r="K528" s="34">
        <v>36</v>
      </c>
      <c r="L528" s="5" t="s">
        <v>17</v>
      </c>
      <c r="M528" s="38" t="str">
        <f>VLOOKUP(K528,[2]stage_hints!$A:$C,3,FALSE)</f>
        <v>チャレンジタワーのボス</v>
      </c>
      <c r="N528" s="39" t="str">
        <f>VLOOKUP(K528,[2]stage_hints!$A:$D,4,FALSE)</f>
        <v>チャレンジタワーでのみ登場するボスは
一定確率で獲得することができます</v>
      </c>
      <c r="O528" s="20" t="s">
        <v>24</v>
      </c>
      <c r="P528">
        <v>36</v>
      </c>
    </row>
    <row r="529" spans="1:16" x14ac:dyDescent="0.15">
      <c r="A529" s="27" t="str">
        <f t="shared" si="70"/>
        <v>20003_3_33</v>
      </c>
      <c r="B529" s="25" t="s">
        <v>34</v>
      </c>
      <c r="C529" s="4">
        <v>20003</v>
      </c>
      <c r="D529" s="3" t="str">
        <f ca="1">VLOOKUP($C529,OFFSET([1]quests!$A$1,0,0,COUNTA([1]quests!$A:$A),MATCH(D$1,[1]quests!$1:$1,0)-MATCH($C$1,[1]quests!$1:$1,0)+1),MATCH(D$1,[1]quests!$1:$1,0)-MATCH($C$1,[1]quests!$1:$1,0)+1,FALSE)</f>
        <v>忍び寄る短剣</v>
      </c>
      <c r="E529" s="3" t="str">
        <f ca="1">VLOOKUP($C529,OFFSET([1]quests!$A$1,0,0,COUNTA([1]quests!$A:$A),MATCH(E$1,[1]quests!$1:$1,0)-MATCH($C$1,[1]quests!$1:$1,0)+1),MATCH(E$1,[1]quests!$1:$1,0)-MATCH($C$1,[1]quests!$1:$1,0)+1,FALSE)</f>
        <v>ドロップイベント1-3</v>
      </c>
      <c r="F529" s="5">
        <v>3</v>
      </c>
      <c r="G529" s="3" t="str">
        <f ca="1">VLOOKUP($C529&amp;"_"&amp;$F529,OFFSET([1]stages!$A$1,0,0,COUNTA([1]stages!$A:$A),MATCH(G$1,[1]stages!$2:$2,0)-MATCH("temp_stage",[1]stages!$2:$2,0)+1),MATCH(G$1,[1]stages!$2:$2,0)-MATCH("temp_stage",[1]stages!$2:$2,0)+1,FALSE)</f>
        <v xml:space="preserve">【上級】忍び寄る短剣 </v>
      </c>
      <c r="H529" s="3" t="str">
        <f ca="1">VLOOKUP($C529&amp;"_"&amp;$F529,OFFSET([1]stages!$A$1,0,0,COUNTA([1]stages!$A:$A),MATCH(H$1,[1]stages!$2:$2,0)-MATCH("temp_stage",[1]stages!$2:$2,0)+1),MATCH(H$1,[1]stages!$2:$2,0)-MATCH("temp_stage",[1]stages!$2:$2,0)+1,FALSE)</f>
        <v>ドロップイベント1-3</v>
      </c>
      <c r="I529" s="18">
        <v>0</v>
      </c>
      <c r="J529" s="5">
        <f>COUNTIF(C$1:C529,C529)</f>
        <v>33</v>
      </c>
      <c r="K529" s="34">
        <v>37</v>
      </c>
      <c r="L529" s="5" t="s">
        <v>17</v>
      </c>
      <c r="M529" s="38" t="str">
        <f>VLOOKUP(K529,[2]stage_hints!$A:$C,3,FALSE)</f>
        <v>限界突破値の引き継ぎ</v>
      </c>
      <c r="N529" s="39" t="str">
        <f>VLOOKUP(K529,[2]stage_hints!$A:$D,4,FALSE)</f>
        <v>同じユニットを強化で合成すると
限界突破値を引き継げます（覚醒前後も可）</v>
      </c>
      <c r="O529" s="20" t="s">
        <v>24</v>
      </c>
      <c r="P529">
        <v>37</v>
      </c>
    </row>
    <row r="530" spans="1:16" x14ac:dyDescent="0.15">
      <c r="A530" s="27" t="str">
        <f t="shared" si="70"/>
        <v>20004_3_1</v>
      </c>
      <c r="B530" s="25" t="s">
        <v>34</v>
      </c>
      <c r="C530" s="4">
        <v>20004</v>
      </c>
      <c r="D530" s="3" t="str">
        <f ca="1">VLOOKUP($C530,OFFSET([1]quests!$A$1,0,0,COUNTA([1]quests!$A:$A),MATCH(D$1,[1]quests!$1:$1,0)-MATCH($C$1,[1]quests!$1:$1,0)+1),MATCH(D$1,[1]quests!$1:$1,0)-MATCH($C$1,[1]quests!$1:$1,0)+1,FALSE)</f>
        <v>雷雲からの刺客</v>
      </c>
      <c r="E530" s="3" t="str">
        <f ca="1">VLOOKUP($C530,OFFSET([1]quests!$A$1,0,0,COUNTA([1]quests!$A:$A),MATCH(E$1,[1]quests!$1:$1,0)-MATCH($C$1,[1]quests!$1:$1,0)+1),MATCH(E$1,[1]quests!$1:$1,0)-MATCH($C$1,[1]quests!$1:$1,0)+1,FALSE)</f>
        <v>ドロップイベント1-4</v>
      </c>
      <c r="F530" s="5">
        <v>3</v>
      </c>
      <c r="G530" s="3" t="str">
        <f ca="1">VLOOKUP($C530&amp;"_"&amp;$F530,OFFSET([1]stages!$A$1,0,0,COUNTA([1]stages!$A:$A),MATCH(G$1,[1]stages!$2:$2,0)-MATCH("temp_stage",[1]stages!$2:$2,0)+1),MATCH(G$1,[1]stages!$2:$2,0)-MATCH("temp_stage",[1]stages!$2:$2,0)+1,FALSE)</f>
        <v>【上級】雷雲からの刺客</v>
      </c>
      <c r="H530" s="3" t="str">
        <f ca="1">VLOOKUP($C530&amp;"_"&amp;$F530,OFFSET([1]stages!$A$1,0,0,COUNTA([1]stages!$A:$A),MATCH(H$1,[1]stages!$2:$2,0)-MATCH("temp_stage",[1]stages!$2:$2,0)+1),MATCH(H$1,[1]stages!$2:$2,0)-MATCH("temp_stage",[1]stages!$2:$2,0)+1,FALSE)</f>
        <v>ドロップイベント1-4</v>
      </c>
      <c r="I530" s="18">
        <v>0</v>
      </c>
      <c r="J530" s="5">
        <f>COUNTIF(C$1:C530,C530)</f>
        <v>1</v>
      </c>
      <c r="K530" s="34">
        <v>3</v>
      </c>
      <c r="L530" s="5" t="s">
        <v>17</v>
      </c>
      <c r="M530" s="38" t="str">
        <f>VLOOKUP(K530,[2]stage_hints!$A:$C,3,FALSE)</f>
        <v>ターゲット</v>
      </c>
      <c r="N530" s="39" t="str">
        <f>VLOOKUP(K530,[2]stage_hints!$A:$D,4,FALSE)</f>
        <v>敵ユニットをタップすると
その敵を狙い撃ちできます</v>
      </c>
      <c r="O530" s="20" t="s">
        <v>24</v>
      </c>
      <c r="P530">
        <v>3</v>
      </c>
    </row>
    <row r="531" spans="1:16" x14ac:dyDescent="0.15">
      <c r="A531" s="27" t="str">
        <f t="shared" si="70"/>
        <v>20004_3_2</v>
      </c>
      <c r="B531" s="25" t="s">
        <v>34</v>
      </c>
      <c r="C531" s="4">
        <v>20004</v>
      </c>
      <c r="D531" s="3" t="str">
        <f ca="1">VLOOKUP($C531,OFFSET([1]quests!$A$1,0,0,COUNTA([1]quests!$A:$A),MATCH(D$1,[1]quests!$1:$1,0)-MATCH($C$1,[1]quests!$1:$1,0)+1),MATCH(D$1,[1]quests!$1:$1,0)-MATCH($C$1,[1]quests!$1:$1,0)+1,FALSE)</f>
        <v>雷雲からの刺客</v>
      </c>
      <c r="E531" s="3" t="str">
        <f ca="1">VLOOKUP($C531,OFFSET([1]quests!$A$1,0,0,COUNTA([1]quests!$A:$A),MATCH(E$1,[1]quests!$1:$1,0)-MATCH($C$1,[1]quests!$1:$1,0)+1),MATCH(E$1,[1]quests!$1:$1,0)-MATCH($C$1,[1]quests!$1:$1,0)+1,FALSE)</f>
        <v>ドロップイベント1-4</v>
      </c>
      <c r="F531" s="5">
        <v>3</v>
      </c>
      <c r="G531" s="3" t="str">
        <f ca="1">VLOOKUP($C531&amp;"_"&amp;$F531,OFFSET([1]stages!$A$1,0,0,COUNTA([1]stages!$A:$A),MATCH(G$1,[1]stages!$2:$2,0)-MATCH("temp_stage",[1]stages!$2:$2,0)+1),MATCH(G$1,[1]stages!$2:$2,0)-MATCH("temp_stage",[1]stages!$2:$2,0)+1,FALSE)</f>
        <v>【上級】雷雲からの刺客</v>
      </c>
      <c r="H531" s="3" t="str">
        <f ca="1">VLOOKUP($C531&amp;"_"&amp;$F531,OFFSET([1]stages!$A$1,0,0,COUNTA([1]stages!$A:$A),MATCH(H$1,[1]stages!$2:$2,0)-MATCH("temp_stage",[1]stages!$2:$2,0)+1),MATCH(H$1,[1]stages!$2:$2,0)-MATCH("temp_stage",[1]stages!$2:$2,0)+1,FALSE)</f>
        <v>ドロップイベント1-4</v>
      </c>
      <c r="I531" s="18">
        <v>0</v>
      </c>
      <c r="J531" s="5">
        <f>COUNTIF(C$1:C531,C531)</f>
        <v>2</v>
      </c>
      <c r="K531" s="34">
        <v>6</v>
      </c>
      <c r="L531" s="5" t="s">
        <v>17</v>
      </c>
      <c r="M531" s="38" t="str">
        <f>VLOOKUP(K531,[2]stage_hints!$A:$C,3,FALSE)</f>
        <v>ユニット強化の属性ボーナス</v>
      </c>
      <c r="N531" s="39" t="str">
        <f>VLOOKUP(K531,[2]stage_hints!$A:$D,4,FALSE)</f>
        <v>同属性ユニットを強化素材にすると
経験値が多くもらえます</v>
      </c>
      <c r="O531" s="20" t="s">
        <v>24</v>
      </c>
      <c r="P531">
        <v>6</v>
      </c>
    </row>
    <row r="532" spans="1:16" x14ac:dyDescent="0.15">
      <c r="A532" s="27" t="str">
        <f t="shared" si="70"/>
        <v>20004_3_3</v>
      </c>
      <c r="B532" s="25" t="s">
        <v>34</v>
      </c>
      <c r="C532" s="4">
        <v>20004</v>
      </c>
      <c r="D532" s="3" t="str">
        <f ca="1">VLOOKUP($C532,OFFSET([1]quests!$A$1,0,0,COUNTA([1]quests!$A:$A),MATCH(D$1,[1]quests!$1:$1,0)-MATCH($C$1,[1]quests!$1:$1,0)+1),MATCH(D$1,[1]quests!$1:$1,0)-MATCH($C$1,[1]quests!$1:$1,0)+1,FALSE)</f>
        <v>雷雲からの刺客</v>
      </c>
      <c r="E532" s="3" t="str">
        <f ca="1">VLOOKUP($C532,OFFSET([1]quests!$A$1,0,0,COUNTA([1]quests!$A:$A),MATCH(E$1,[1]quests!$1:$1,0)-MATCH($C$1,[1]quests!$1:$1,0)+1),MATCH(E$1,[1]quests!$1:$1,0)-MATCH($C$1,[1]quests!$1:$1,0)+1,FALSE)</f>
        <v>ドロップイベント1-4</v>
      </c>
      <c r="F532" s="5">
        <v>3</v>
      </c>
      <c r="G532" s="3" t="str">
        <f ca="1">VLOOKUP($C532&amp;"_"&amp;$F532,OFFSET([1]stages!$A$1,0,0,COUNTA([1]stages!$A:$A),MATCH(G$1,[1]stages!$2:$2,0)-MATCH("temp_stage",[1]stages!$2:$2,0)+1),MATCH(G$1,[1]stages!$2:$2,0)-MATCH("temp_stage",[1]stages!$2:$2,0)+1,FALSE)</f>
        <v>【上級】雷雲からの刺客</v>
      </c>
      <c r="H532" s="3" t="str">
        <f ca="1">VLOOKUP($C532&amp;"_"&amp;$F532,OFFSET([1]stages!$A$1,0,0,COUNTA([1]stages!$A:$A),MATCH(H$1,[1]stages!$2:$2,0)-MATCH("temp_stage",[1]stages!$2:$2,0)+1),MATCH(H$1,[1]stages!$2:$2,0)-MATCH("temp_stage",[1]stages!$2:$2,0)+1,FALSE)</f>
        <v>ドロップイベント1-4</v>
      </c>
      <c r="I532" s="18">
        <v>0</v>
      </c>
      <c r="J532" s="5">
        <f>COUNTIF(C$1:C532,C532)</f>
        <v>3</v>
      </c>
      <c r="K532" s="34">
        <v>7</v>
      </c>
      <c r="L532" s="5" t="s">
        <v>17</v>
      </c>
      <c r="M532" s="38" t="str">
        <f>VLOOKUP(K532,[2]stage_hints!$A:$C,3,FALSE)</f>
        <v>メタルダックで経験値を獲得</v>
      </c>
      <c r="N532" s="39" t="str">
        <f>VLOOKUP(K532,[2]stage_hints!$A:$D,4,FALSE)</f>
        <v>「メタルなアヒル」を強化素材にすると
大量の経験値がもらえます</v>
      </c>
      <c r="O532" s="20" t="s">
        <v>24</v>
      </c>
      <c r="P532">
        <v>7</v>
      </c>
    </row>
    <row r="533" spans="1:16" x14ac:dyDescent="0.15">
      <c r="A533" s="27" t="str">
        <f t="shared" si="70"/>
        <v>20004_3_4</v>
      </c>
      <c r="B533" s="25" t="s">
        <v>34</v>
      </c>
      <c r="C533" s="4">
        <v>20004</v>
      </c>
      <c r="D533" s="3" t="str">
        <f ca="1">VLOOKUP($C533,OFFSET([1]quests!$A$1,0,0,COUNTA([1]quests!$A:$A),MATCH(D$1,[1]quests!$1:$1,0)-MATCH($C$1,[1]quests!$1:$1,0)+1),MATCH(D$1,[1]quests!$1:$1,0)-MATCH($C$1,[1]quests!$1:$1,0)+1,FALSE)</f>
        <v>雷雲からの刺客</v>
      </c>
      <c r="E533" s="3" t="str">
        <f ca="1">VLOOKUP($C533,OFFSET([1]quests!$A$1,0,0,COUNTA([1]quests!$A:$A),MATCH(E$1,[1]quests!$1:$1,0)-MATCH($C$1,[1]quests!$1:$1,0)+1),MATCH(E$1,[1]quests!$1:$1,0)-MATCH($C$1,[1]quests!$1:$1,0)+1,FALSE)</f>
        <v>ドロップイベント1-4</v>
      </c>
      <c r="F533" s="5">
        <v>3</v>
      </c>
      <c r="G533" s="3" t="str">
        <f ca="1">VLOOKUP($C533&amp;"_"&amp;$F533,OFFSET([1]stages!$A$1,0,0,COUNTA([1]stages!$A:$A),MATCH(G$1,[1]stages!$2:$2,0)-MATCH("temp_stage",[1]stages!$2:$2,0)+1),MATCH(G$1,[1]stages!$2:$2,0)-MATCH("temp_stage",[1]stages!$2:$2,0)+1,FALSE)</f>
        <v>【上級】雷雲からの刺客</v>
      </c>
      <c r="H533" s="3" t="str">
        <f ca="1">VLOOKUP($C533&amp;"_"&amp;$F533,OFFSET([1]stages!$A$1,0,0,COUNTA([1]stages!$A:$A),MATCH(H$1,[1]stages!$2:$2,0)-MATCH("temp_stage",[1]stages!$2:$2,0)+1),MATCH(H$1,[1]stages!$2:$2,0)-MATCH("temp_stage",[1]stages!$2:$2,0)+1,FALSE)</f>
        <v>ドロップイベント1-4</v>
      </c>
      <c r="I533" s="18">
        <v>0</v>
      </c>
      <c r="J533" s="5">
        <f>COUNTIF(C$1:C533,C533)</f>
        <v>4</v>
      </c>
      <c r="K533" s="34">
        <v>8</v>
      </c>
      <c r="L533" s="5" t="s">
        <v>17</v>
      </c>
      <c r="M533" s="38" t="str">
        <f>VLOOKUP(K533,[2]stage_hints!$A:$C,3,FALSE)</f>
        <v>ゲリラクエストは要チェック</v>
      </c>
      <c r="N533" s="39" t="str">
        <f>VLOOKUP(K533,[2]stage_hints!$A:$D,4,FALSE)</f>
        <v>時間限定の「アヒル捕獲作戦」では
経験値素材ユニットが多く手に入ります</v>
      </c>
      <c r="O533" s="20" t="s">
        <v>24</v>
      </c>
      <c r="P533">
        <v>8</v>
      </c>
    </row>
    <row r="534" spans="1:16" x14ac:dyDescent="0.15">
      <c r="A534" s="27" t="str">
        <f t="shared" si="70"/>
        <v>20004_3_5</v>
      </c>
      <c r="B534" s="25" t="s">
        <v>34</v>
      </c>
      <c r="C534" s="4">
        <v>20004</v>
      </c>
      <c r="D534" s="3" t="str">
        <f ca="1">VLOOKUP($C534,OFFSET([1]quests!$A$1,0,0,COUNTA([1]quests!$A:$A),MATCH(D$1,[1]quests!$1:$1,0)-MATCH($C$1,[1]quests!$1:$1,0)+1),MATCH(D$1,[1]quests!$1:$1,0)-MATCH($C$1,[1]quests!$1:$1,0)+1,FALSE)</f>
        <v>雷雲からの刺客</v>
      </c>
      <c r="E534" s="3" t="str">
        <f ca="1">VLOOKUP($C534,OFFSET([1]quests!$A$1,0,0,COUNTA([1]quests!$A:$A),MATCH(E$1,[1]quests!$1:$1,0)-MATCH($C$1,[1]quests!$1:$1,0)+1),MATCH(E$1,[1]quests!$1:$1,0)-MATCH($C$1,[1]quests!$1:$1,0)+1,FALSE)</f>
        <v>ドロップイベント1-4</v>
      </c>
      <c r="F534" s="5">
        <v>3</v>
      </c>
      <c r="G534" s="3" t="str">
        <f ca="1">VLOOKUP($C534&amp;"_"&amp;$F534,OFFSET([1]stages!$A$1,0,0,COUNTA([1]stages!$A:$A),MATCH(G$1,[1]stages!$2:$2,0)-MATCH("temp_stage",[1]stages!$2:$2,0)+1),MATCH(G$1,[1]stages!$2:$2,0)-MATCH("temp_stage",[1]stages!$2:$2,0)+1,FALSE)</f>
        <v>【上級】雷雲からの刺客</v>
      </c>
      <c r="H534" s="3" t="str">
        <f ca="1">VLOOKUP($C534&amp;"_"&amp;$F534,OFFSET([1]stages!$A$1,0,0,COUNTA([1]stages!$A:$A),MATCH(H$1,[1]stages!$2:$2,0)-MATCH("temp_stage",[1]stages!$2:$2,0)+1),MATCH(H$1,[1]stages!$2:$2,0)-MATCH("temp_stage",[1]stages!$2:$2,0)+1,FALSE)</f>
        <v>ドロップイベント1-4</v>
      </c>
      <c r="I534" s="18">
        <v>0</v>
      </c>
      <c r="J534" s="5">
        <f>COUNTIF(C$1:C534,C534)</f>
        <v>5</v>
      </c>
      <c r="K534" s="34">
        <v>9</v>
      </c>
      <c r="L534" s="5" t="s">
        <v>17</v>
      </c>
      <c r="M534" s="38" t="str">
        <f>VLOOKUP(K534,[2]stage_hints!$A:$C,3,FALSE)</f>
        <v>ゴールドダックでビットを獲得</v>
      </c>
      <c r="N534" s="39" t="str">
        <f>VLOOKUP(K534,[2]stage_hints!$A:$D,4,FALSE)</f>
        <v>「ゴールドなアヒル」を売却すると
大量のビットがもらえます</v>
      </c>
      <c r="O534" s="20" t="s">
        <v>24</v>
      </c>
      <c r="P534">
        <v>9</v>
      </c>
    </row>
    <row r="535" spans="1:16" x14ac:dyDescent="0.15">
      <c r="A535" s="27" t="str">
        <f t="shared" si="70"/>
        <v>20004_3_6</v>
      </c>
      <c r="B535" s="25" t="s">
        <v>34</v>
      </c>
      <c r="C535" s="4">
        <v>20004</v>
      </c>
      <c r="D535" s="3" t="str">
        <f ca="1">VLOOKUP($C535,OFFSET([1]quests!$A$1,0,0,COUNTA([1]quests!$A:$A),MATCH(D$1,[1]quests!$1:$1,0)-MATCH($C$1,[1]quests!$1:$1,0)+1),MATCH(D$1,[1]quests!$1:$1,0)-MATCH($C$1,[1]quests!$1:$1,0)+1,FALSE)</f>
        <v>雷雲からの刺客</v>
      </c>
      <c r="E535" s="3" t="str">
        <f ca="1">VLOOKUP($C535,OFFSET([1]quests!$A$1,0,0,COUNTA([1]quests!$A:$A),MATCH(E$1,[1]quests!$1:$1,0)-MATCH($C$1,[1]quests!$1:$1,0)+1),MATCH(E$1,[1]quests!$1:$1,0)-MATCH($C$1,[1]quests!$1:$1,0)+1,FALSE)</f>
        <v>ドロップイベント1-4</v>
      </c>
      <c r="F535" s="5">
        <v>3</v>
      </c>
      <c r="G535" s="3" t="str">
        <f ca="1">VLOOKUP($C535&amp;"_"&amp;$F535,OFFSET([1]stages!$A$1,0,0,COUNTA([1]stages!$A:$A),MATCH(G$1,[1]stages!$2:$2,0)-MATCH("temp_stage",[1]stages!$2:$2,0)+1),MATCH(G$1,[1]stages!$2:$2,0)-MATCH("temp_stage",[1]stages!$2:$2,0)+1,FALSE)</f>
        <v>【上級】雷雲からの刺客</v>
      </c>
      <c r="H535" s="3" t="str">
        <f ca="1">VLOOKUP($C535&amp;"_"&amp;$F535,OFFSET([1]stages!$A$1,0,0,COUNTA([1]stages!$A:$A),MATCH(H$1,[1]stages!$2:$2,0)-MATCH("temp_stage",[1]stages!$2:$2,0)+1),MATCH(H$1,[1]stages!$2:$2,0)-MATCH("temp_stage",[1]stages!$2:$2,0)+1,FALSE)</f>
        <v>ドロップイベント1-4</v>
      </c>
      <c r="I535" s="18">
        <v>0</v>
      </c>
      <c r="J535" s="5">
        <f>COUNTIF(C$1:C535,C535)</f>
        <v>6</v>
      </c>
      <c r="K535" s="34">
        <v>10</v>
      </c>
      <c r="L535" s="5" t="s">
        <v>17</v>
      </c>
      <c r="M535" s="38" t="str">
        <f>VLOOKUP(K535,[2]stage_hints!$A:$C,3,FALSE)</f>
        <v>土日に大量のビットを獲得</v>
      </c>
      <c r="N535" s="39" t="str">
        <f>VLOOKUP(K535,[2]stage_hints!$A:$D,4,FALSE)</f>
        <v>土日限定の「ゴールドカジノ」では
売却素材ユニットが多く手に入ります</v>
      </c>
      <c r="O535" s="20" t="s">
        <v>24</v>
      </c>
      <c r="P535">
        <v>10</v>
      </c>
    </row>
    <row r="536" spans="1:16" x14ac:dyDescent="0.15">
      <c r="A536" s="27" t="str">
        <f t="shared" si="70"/>
        <v>20004_3_7</v>
      </c>
      <c r="B536" s="25" t="s">
        <v>34</v>
      </c>
      <c r="C536" s="4">
        <v>20004</v>
      </c>
      <c r="D536" s="3" t="str">
        <f ca="1">VLOOKUP($C536,OFFSET([1]quests!$A$1,0,0,COUNTA([1]quests!$A:$A),MATCH(D$1,[1]quests!$1:$1,0)-MATCH($C$1,[1]quests!$1:$1,0)+1),MATCH(D$1,[1]quests!$1:$1,0)-MATCH($C$1,[1]quests!$1:$1,0)+1,FALSE)</f>
        <v>雷雲からの刺客</v>
      </c>
      <c r="E536" s="3" t="str">
        <f ca="1">VLOOKUP($C536,OFFSET([1]quests!$A$1,0,0,COUNTA([1]quests!$A:$A),MATCH(E$1,[1]quests!$1:$1,0)-MATCH($C$1,[1]quests!$1:$1,0)+1),MATCH(E$1,[1]quests!$1:$1,0)-MATCH($C$1,[1]quests!$1:$1,0)+1,FALSE)</f>
        <v>ドロップイベント1-4</v>
      </c>
      <c r="F536" s="5">
        <v>3</v>
      </c>
      <c r="G536" s="3" t="str">
        <f ca="1">VLOOKUP($C536&amp;"_"&amp;$F536,OFFSET([1]stages!$A$1,0,0,COUNTA([1]stages!$A:$A),MATCH(G$1,[1]stages!$2:$2,0)-MATCH("temp_stage",[1]stages!$2:$2,0)+1),MATCH(G$1,[1]stages!$2:$2,0)-MATCH("temp_stage",[1]stages!$2:$2,0)+1,FALSE)</f>
        <v>【上級】雷雲からの刺客</v>
      </c>
      <c r="H536" s="3" t="str">
        <f ca="1">VLOOKUP($C536&amp;"_"&amp;$F536,OFFSET([1]stages!$A$1,0,0,COUNTA([1]stages!$A:$A),MATCH(H$1,[1]stages!$2:$2,0)-MATCH("temp_stage",[1]stages!$2:$2,0)+1),MATCH(H$1,[1]stages!$2:$2,0)-MATCH("temp_stage",[1]stages!$2:$2,0)+1,FALSE)</f>
        <v>ドロップイベント1-4</v>
      </c>
      <c r="I536" s="18">
        <v>0</v>
      </c>
      <c r="J536" s="5">
        <f>COUNTIF(C$1:C536,C536)</f>
        <v>7</v>
      </c>
      <c r="K536" s="34">
        <v>11</v>
      </c>
      <c r="L536" s="5" t="s">
        <v>17</v>
      </c>
      <c r="M536" s="38" t="str">
        <f>VLOOKUP(K536,[2]stage_hints!$A:$C,3,FALSE)</f>
        <v>ランク解放クエスト</v>
      </c>
      <c r="N536" s="39" t="str">
        <f>VLOOKUP(K536,[2]stage_hints!$A:$D,4,FALSE)</f>
        <v>一定ランクに到達すると
報酬付きのランク開放クエストが現れます</v>
      </c>
      <c r="O536" s="20" t="s">
        <v>24</v>
      </c>
      <c r="P536">
        <v>11</v>
      </c>
    </row>
    <row r="537" spans="1:16" x14ac:dyDescent="0.15">
      <c r="A537" s="27" t="str">
        <f t="shared" si="70"/>
        <v>20004_3_8</v>
      </c>
      <c r="B537" s="25" t="s">
        <v>34</v>
      </c>
      <c r="C537" s="4">
        <v>20004</v>
      </c>
      <c r="D537" s="3" t="str">
        <f ca="1">VLOOKUP($C537,OFFSET([1]quests!$A$1,0,0,COUNTA([1]quests!$A:$A),MATCH(D$1,[1]quests!$1:$1,0)-MATCH($C$1,[1]quests!$1:$1,0)+1),MATCH(D$1,[1]quests!$1:$1,0)-MATCH($C$1,[1]quests!$1:$1,0)+1,FALSE)</f>
        <v>雷雲からの刺客</v>
      </c>
      <c r="E537" s="3" t="str">
        <f ca="1">VLOOKUP($C537,OFFSET([1]quests!$A$1,0,0,COUNTA([1]quests!$A:$A),MATCH(E$1,[1]quests!$1:$1,0)-MATCH($C$1,[1]quests!$1:$1,0)+1),MATCH(E$1,[1]quests!$1:$1,0)-MATCH($C$1,[1]quests!$1:$1,0)+1,FALSE)</f>
        <v>ドロップイベント1-4</v>
      </c>
      <c r="F537" s="5">
        <v>3</v>
      </c>
      <c r="G537" s="3" t="str">
        <f ca="1">VLOOKUP($C537&amp;"_"&amp;$F537,OFFSET([1]stages!$A$1,0,0,COUNTA([1]stages!$A:$A),MATCH(G$1,[1]stages!$2:$2,0)-MATCH("temp_stage",[1]stages!$2:$2,0)+1),MATCH(G$1,[1]stages!$2:$2,0)-MATCH("temp_stage",[1]stages!$2:$2,0)+1,FALSE)</f>
        <v>【上級】雷雲からの刺客</v>
      </c>
      <c r="H537" s="3" t="str">
        <f ca="1">VLOOKUP($C537&amp;"_"&amp;$F537,OFFSET([1]stages!$A$1,0,0,COUNTA([1]stages!$A:$A),MATCH(H$1,[1]stages!$2:$2,0)-MATCH("temp_stage",[1]stages!$2:$2,0)+1),MATCH(H$1,[1]stages!$2:$2,0)-MATCH("temp_stage",[1]stages!$2:$2,0)+1,FALSE)</f>
        <v>ドロップイベント1-4</v>
      </c>
      <c r="I537" s="18">
        <v>0</v>
      </c>
      <c r="J537" s="5">
        <f>COUNTIF(C$1:C537,C537)</f>
        <v>8</v>
      </c>
      <c r="K537" s="34">
        <v>12</v>
      </c>
      <c r="L537" s="5" t="s">
        <v>17</v>
      </c>
      <c r="M537" s="38" t="str">
        <f>VLOOKUP(K537,[2]stage_hints!$A:$C,3,FALSE)</f>
        <v>ユニットのお気に入り登録</v>
      </c>
      <c r="N537" s="39" t="str">
        <f>VLOOKUP(K537,[2]stage_hints!$A:$D,4,FALSE)</f>
        <v>大事なユニットを誤って消さないように
フォルダから「お気に入り登録」しましょう</v>
      </c>
      <c r="O537" s="20" t="s">
        <v>24</v>
      </c>
      <c r="P537">
        <v>12</v>
      </c>
    </row>
    <row r="538" spans="1:16" x14ac:dyDescent="0.15">
      <c r="A538" s="27" t="str">
        <f t="shared" si="70"/>
        <v>20004_3_9</v>
      </c>
      <c r="B538" s="25" t="s">
        <v>34</v>
      </c>
      <c r="C538" s="4">
        <v>20004</v>
      </c>
      <c r="D538" s="3" t="str">
        <f ca="1">VLOOKUP($C538,OFFSET([1]quests!$A$1,0,0,COUNTA([1]quests!$A:$A),MATCH(D$1,[1]quests!$1:$1,0)-MATCH($C$1,[1]quests!$1:$1,0)+1),MATCH(D$1,[1]quests!$1:$1,0)-MATCH($C$1,[1]quests!$1:$1,0)+1,FALSE)</f>
        <v>雷雲からの刺客</v>
      </c>
      <c r="E538" s="3" t="str">
        <f ca="1">VLOOKUP($C538,OFFSET([1]quests!$A$1,0,0,COUNTA([1]quests!$A:$A),MATCH(E$1,[1]quests!$1:$1,0)-MATCH($C$1,[1]quests!$1:$1,0)+1),MATCH(E$1,[1]quests!$1:$1,0)-MATCH($C$1,[1]quests!$1:$1,0)+1,FALSE)</f>
        <v>ドロップイベント1-4</v>
      </c>
      <c r="F538" s="5">
        <v>3</v>
      </c>
      <c r="G538" s="3" t="str">
        <f ca="1">VLOOKUP($C538&amp;"_"&amp;$F538,OFFSET([1]stages!$A$1,0,0,COUNTA([1]stages!$A:$A),MATCH(G$1,[1]stages!$2:$2,0)-MATCH("temp_stage",[1]stages!$2:$2,0)+1),MATCH(G$1,[1]stages!$2:$2,0)-MATCH("temp_stage",[1]stages!$2:$2,0)+1,FALSE)</f>
        <v>【上級】雷雲からの刺客</v>
      </c>
      <c r="H538" s="3" t="str">
        <f ca="1">VLOOKUP($C538&amp;"_"&amp;$F538,OFFSET([1]stages!$A$1,0,0,COUNTA([1]stages!$A:$A),MATCH(H$1,[1]stages!$2:$2,0)-MATCH("temp_stage",[1]stages!$2:$2,0)+1),MATCH(H$1,[1]stages!$2:$2,0)-MATCH("temp_stage",[1]stages!$2:$2,0)+1,FALSE)</f>
        <v>ドロップイベント1-4</v>
      </c>
      <c r="I538" s="18">
        <v>0</v>
      </c>
      <c r="J538" s="5">
        <f>COUNTIF(C$1:C538,C538)</f>
        <v>9</v>
      </c>
      <c r="K538" s="34">
        <v>13</v>
      </c>
      <c r="L538" s="5" t="s">
        <v>17</v>
      </c>
      <c r="M538" s="38" t="str">
        <f>VLOOKUP(K538,[2]stage_hints!$A:$C,3,FALSE)</f>
        <v>ユニットの覚醒</v>
      </c>
      <c r="N538" s="39" t="str">
        <f>VLOOKUP(K538,[2]stage_hints!$A:$D,4,FALSE)</f>
        <v>ユニットを覚醒させると
比べものにならない強さが手に入ります</v>
      </c>
      <c r="O538" s="20" t="s">
        <v>24</v>
      </c>
      <c r="P538">
        <v>13</v>
      </c>
    </row>
    <row r="539" spans="1:16" x14ac:dyDescent="0.15">
      <c r="A539" s="27" t="str">
        <f t="shared" ref="A539:A551" si="71">C539&amp;"_"&amp;F539&amp;"_"&amp;J539</f>
        <v>20004_3_10</v>
      </c>
      <c r="B539" s="25" t="s">
        <v>34</v>
      </c>
      <c r="C539" s="4">
        <v>20004</v>
      </c>
      <c r="D539" s="3" t="str">
        <f ca="1">VLOOKUP($C539,OFFSET([1]quests!$A$1,0,0,COUNTA([1]quests!$A:$A),MATCH(D$1,[1]quests!$1:$1,0)-MATCH($C$1,[1]quests!$1:$1,0)+1),MATCH(D$1,[1]quests!$1:$1,0)-MATCH($C$1,[1]quests!$1:$1,0)+1,FALSE)</f>
        <v>雷雲からの刺客</v>
      </c>
      <c r="E539" s="3" t="str">
        <f ca="1">VLOOKUP($C539,OFFSET([1]quests!$A$1,0,0,COUNTA([1]quests!$A:$A),MATCH(E$1,[1]quests!$1:$1,0)-MATCH($C$1,[1]quests!$1:$1,0)+1),MATCH(E$1,[1]quests!$1:$1,0)-MATCH($C$1,[1]quests!$1:$1,0)+1,FALSE)</f>
        <v>ドロップイベント1-4</v>
      </c>
      <c r="F539" s="5">
        <v>3</v>
      </c>
      <c r="G539" s="3" t="str">
        <f ca="1">VLOOKUP($C539&amp;"_"&amp;$F539,OFFSET([1]stages!$A$1,0,0,COUNTA([1]stages!$A:$A),MATCH(G$1,[1]stages!$2:$2,0)-MATCH("temp_stage",[1]stages!$2:$2,0)+1),MATCH(G$1,[1]stages!$2:$2,0)-MATCH("temp_stage",[1]stages!$2:$2,0)+1,FALSE)</f>
        <v>【上級】雷雲からの刺客</v>
      </c>
      <c r="H539" s="3" t="str">
        <f ca="1">VLOOKUP($C539&amp;"_"&amp;$F539,OFFSET([1]stages!$A$1,0,0,COUNTA([1]stages!$A:$A),MATCH(H$1,[1]stages!$2:$2,0)-MATCH("temp_stage",[1]stages!$2:$2,0)+1),MATCH(H$1,[1]stages!$2:$2,0)-MATCH("temp_stage",[1]stages!$2:$2,0)+1,FALSE)</f>
        <v>ドロップイベント1-4</v>
      </c>
      <c r="I539" s="18">
        <v>0</v>
      </c>
      <c r="J539" s="5">
        <f>COUNTIF(C$1:C539,C539)</f>
        <v>10</v>
      </c>
      <c r="K539" s="34">
        <v>14</v>
      </c>
      <c r="L539" s="5" t="s">
        <v>17</v>
      </c>
      <c r="M539" s="38" t="str">
        <f>VLOOKUP(K539,[2]stage_hints!$A:$C,3,FALSE)</f>
        <v>覚醒するにはレベルを最大に</v>
      </c>
      <c r="N539" s="39" t="str">
        <f>VLOOKUP(K539,[2]stage_hints!$A:$D,4,FALSE)</f>
        <v>覚醒するにはユニットのレベルを
最大まで上げる必要があります</v>
      </c>
      <c r="O539" s="20" t="s">
        <v>24</v>
      </c>
      <c r="P539">
        <v>14</v>
      </c>
    </row>
    <row r="540" spans="1:16" x14ac:dyDescent="0.15">
      <c r="A540" s="27" t="str">
        <f t="shared" si="71"/>
        <v>20004_3_11</v>
      </c>
      <c r="B540" s="25" t="s">
        <v>34</v>
      </c>
      <c r="C540" s="4">
        <v>20004</v>
      </c>
      <c r="D540" s="3" t="str">
        <f ca="1">VLOOKUP($C540,OFFSET([1]quests!$A$1,0,0,COUNTA([1]quests!$A:$A),MATCH(D$1,[1]quests!$1:$1,0)-MATCH($C$1,[1]quests!$1:$1,0)+1),MATCH(D$1,[1]quests!$1:$1,0)-MATCH($C$1,[1]quests!$1:$1,0)+1,FALSE)</f>
        <v>雷雲からの刺客</v>
      </c>
      <c r="E540" s="3" t="str">
        <f ca="1">VLOOKUP($C540,OFFSET([1]quests!$A$1,0,0,COUNTA([1]quests!$A:$A),MATCH(E$1,[1]quests!$1:$1,0)-MATCH($C$1,[1]quests!$1:$1,0)+1),MATCH(E$1,[1]quests!$1:$1,0)-MATCH($C$1,[1]quests!$1:$1,0)+1,FALSE)</f>
        <v>ドロップイベント1-4</v>
      </c>
      <c r="F540" s="5">
        <v>3</v>
      </c>
      <c r="G540" s="3" t="str">
        <f ca="1">VLOOKUP($C540&amp;"_"&amp;$F540,OFFSET([1]stages!$A$1,0,0,COUNTA([1]stages!$A:$A),MATCH(G$1,[1]stages!$2:$2,0)-MATCH("temp_stage",[1]stages!$2:$2,0)+1),MATCH(G$1,[1]stages!$2:$2,0)-MATCH("temp_stage",[1]stages!$2:$2,0)+1,FALSE)</f>
        <v>【上級】雷雲からの刺客</v>
      </c>
      <c r="H540" s="3" t="str">
        <f ca="1">VLOOKUP($C540&amp;"_"&amp;$F540,OFFSET([1]stages!$A$1,0,0,COUNTA([1]stages!$A:$A),MATCH(H$1,[1]stages!$2:$2,0)-MATCH("temp_stage",[1]stages!$2:$2,0)+1),MATCH(H$1,[1]stages!$2:$2,0)-MATCH("temp_stage",[1]stages!$2:$2,0)+1,FALSE)</f>
        <v>ドロップイベント1-4</v>
      </c>
      <c r="I540" s="18">
        <v>0</v>
      </c>
      <c r="J540" s="5">
        <f>COUNTIF(C$1:C540,C540)</f>
        <v>11</v>
      </c>
      <c r="K540" s="34">
        <v>15</v>
      </c>
      <c r="L540" s="5" t="s">
        <v>17</v>
      </c>
      <c r="M540" s="38" t="str">
        <f>VLOOKUP(K540,[2]stage_hints!$A:$C,3,FALSE)</f>
        <v>覚醒素材を獲得</v>
      </c>
      <c r="N540" s="39" t="str">
        <f>VLOOKUP(K540,[2]stage_hints!$A:$D,4,FALSE)</f>
        <v>「曜日クエスト」では
ユニットの覚醒に必要な素材が手に入ります</v>
      </c>
      <c r="O540" s="20" t="s">
        <v>24</v>
      </c>
      <c r="P540">
        <v>15</v>
      </c>
    </row>
    <row r="541" spans="1:16" x14ac:dyDescent="0.15">
      <c r="A541" s="27" t="str">
        <f t="shared" si="71"/>
        <v>20004_3_12</v>
      </c>
      <c r="B541" s="25" t="s">
        <v>34</v>
      </c>
      <c r="C541" s="4">
        <v>20004</v>
      </c>
      <c r="D541" s="3" t="str">
        <f ca="1">VLOOKUP($C541,OFFSET([1]quests!$A$1,0,0,COUNTA([1]quests!$A:$A),MATCH(D$1,[1]quests!$1:$1,0)-MATCH($C$1,[1]quests!$1:$1,0)+1),MATCH(D$1,[1]quests!$1:$1,0)-MATCH($C$1,[1]quests!$1:$1,0)+1,FALSE)</f>
        <v>雷雲からの刺客</v>
      </c>
      <c r="E541" s="3" t="str">
        <f ca="1">VLOOKUP($C541,OFFSET([1]quests!$A$1,0,0,COUNTA([1]quests!$A:$A),MATCH(E$1,[1]quests!$1:$1,0)-MATCH($C$1,[1]quests!$1:$1,0)+1),MATCH(E$1,[1]quests!$1:$1,0)-MATCH($C$1,[1]quests!$1:$1,0)+1,FALSE)</f>
        <v>ドロップイベント1-4</v>
      </c>
      <c r="F541" s="5">
        <v>3</v>
      </c>
      <c r="G541" s="3" t="str">
        <f ca="1">VLOOKUP($C541&amp;"_"&amp;$F541,OFFSET([1]stages!$A$1,0,0,COUNTA([1]stages!$A:$A),MATCH(G$1,[1]stages!$2:$2,0)-MATCH("temp_stage",[1]stages!$2:$2,0)+1),MATCH(G$1,[1]stages!$2:$2,0)-MATCH("temp_stage",[1]stages!$2:$2,0)+1,FALSE)</f>
        <v>【上級】雷雲からの刺客</v>
      </c>
      <c r="H541" s="3" t="str">
        <f ca="1">VLOOKUP($C541&amp;"_"&amp;$F541,OFFSET([1]stages!$A$1,0,0,COUNTA([1]stages!$A:$A),MATCH(H$1,[1]stages!$2:$2,0)-MATCH("temp_stage",[1]stages!$2:$2,0)+1),MATCH(H$1,[1]stages!$2:$2,0)-MATCH("temp_stage",[1]stages!$2:$2,0)+1,FALSE)</f>
        <v>ドロップイベント1-4</v>
      </c>
      <c r="I541" s="18">
        <v>0</v>
      </c>
      <c r="J541" s="5">
        <f>COUNTIF(C$1:C541,C541)</f>
        <v>12</v>
      </c>
      <c r="K541" s="34">
        <v>16</v>
      </c>
      <c r="L541" s="5" t="s">
        <v>17</v>
      </c>
      <c r="M541" s="38" t="str">
        <f>VLOOKUP(K541,[2]stage_hints!$A:$C,3,FALSE)</f>
        <v>マルチプレイのメリット（その1）</v>
      </c>
      <c r="N541" s="39" t="str">
        <f>VLOOKUP(K541,[2]stage_hints!$A:$D,4,FALSE)</f>
        <v>他のプレイヤーとマルチプレイで遊ぶと
ポリゴンがもらえます（100人まで）</v>
      </c>
      <c r="O541" s="20" t="s">
        <v>24</v>
      </c>
      <c r="P541">
        <v>16</v>
      </c>
    </row>
    <row r="542" spans="1:16" x14ac:dyDescent="0.15">
      <c r="A542" s="27" t="str">
        <f t="shared" si="71"/>
        <v>20004_3_13</v>
      </c>
      <c r="B542" s="25" t="s">
        <v>34</v>
      </c>
      <c r="C542" s="4">
        <v>20004</v>
      </c>
      <c r="D542" s="3" t="str">
        <f ca="1">VLOOKUP($C542,OFFSET([1]quests!$A$1,0,0,COUNTA([1]quests!$A:$A),MATCH(D$1,[1]quests!$1:$1,0)-MATCH($C$1,[1]quests!$1:$1,0)+1),MATCH(D$1,[1]quests!$1:$1,0)-MATCH($C$1,[1]quests!$1:$1,0)+1,FALSE)</f>
        <v>雷雲からの刺客</v>
      </c>
      <c r="E542" s="3" t="str">
        <f ca="1">VLOOKUP($C542,OFFSET([1]quests!$A$1,0,0,COUNTA([1]quests!$A:$A),MATCH(E$1,[1]quests!$1:$1,0)-MATCH($C$1,[1]quests!$1:$1,0)+1),MATCH(E$1,[1]quests!$1:$1,0)-MATCH($C$1,[1]quests!$1:$1,0)+1,FALSE)</f>
        <v>ドロップイベント1-4</v>
      </c>
      <c r="F542" s="5">
        <v>3</v>
      </c>
      <c r="G542" s="3" t="str">
        <f ca="1">VLOOKUP($C542&amp;"_"&amp;$F542,OFFSET([1]stages!$A$1,0,0,COUNTA([1]stages!$A:$A),MATCH(G$1,[1]stages!$2:$2,0)-MATCH("temp_stage",[1]stages!$2:$2,0)+1),MATCH(G$1,[1]stages!$2:$2,0)-MATCH("temp_stage",[1]stages!$2:$2,0)+1,FALSE)</f>
        <v>【上級】雷雲からの刺客</v>
      </c>
      <c r="H542" s="3" t="str">
        <f ca="1">VLOOKUP($C542&amp;"_"&amp;$F542,OFFSET([1]stages!$A$1,0,0,COUNTA([1]stages!$A:$A),MATCH(H$1,[1]stages!$2:$2,0)-MATCH("temp_stage",[1]stages!$2:$2,0)+1),MATCH(H$1,[1]stages!$2:$2,0)-MATCH("temp_stage",[1]stages!$2:$2,0)+1,FALSE)</f>
        <v>ドロップイベント1-4</v>
      </c>
      <c r="I542" s="18">
        <v>0</v>
      </c>
      <c r="J542" s="5">
        <f>COUNTIF(C$1:C542,C542)</f>
        <v>13</v>
      </c>
      <c r="K542" s="34">
        <v>17</v>
      </c>
      <c r="L542" s="5" t="s">
        <v>17</v>
      </c>
      <c r="M542" s="38" t="str">
        <f>VLOOKUP(K542,[2]stage_hints!$A:$C,3,FALSE)</f>
        <v>リンクガチャ</v>
      </c>
      <c r="N542" s="39" t="str">
        <f>VLOOKUP(K542,[2]stage_hints!$A:$D,4,FALSE)</f>
        <v>無料のリンクガチャを回して
経験値素材や売却素材を獲得しましょう</v>
      </c>
      <c r="O542" s="20" t="s">
        <v>24</v>
      </c>
      <c r="P542">
        <v>17</v>
      </c>
    </row>
    <row r="543" spans="1:16" x14ac:dyDescent="0.15">
      <c r="A543" s="27" t="str">
        <f t="shared" si="71"/>
        <v>20004_3_14</v>
      </c>
      <c r="B543" s="25" t="s">
        <v>34</v>
      </c>
      <c r="C543" s="4">
        <v>20004</v>
      </c>
      <c r="D543" s="3" t="str">
        <f ca="1">VLOOKUP($C543,OFFSET([1]quests!$A$1,0,0,COUNTA([1]quests!$A:$A),MATCH(D$1,[1]quests!$1:$1,0)-MATCH($C$1,[1]quests!$1:$1,0)+1),MATCH(D$1,[1]quests!$1:$1,0)-MATCH($C$1,[1]quests!$1:$1,0)+1,FALSE)</f>
        <v>雷雲からの刺客</v>
      </c>
      <c r="E543" s="3" t="str">
        <f ca="1">VLOOKUP($C543,OFFSET([1]quests!$A$1,0,0,COUNTA([1]quests!$A:$A),MATCH(E$1,[1]quests!$1:$1,0)-MATCH($C$1,[1]quests!$1:$1,0)+1),MATCH(E$1,[1]quests!$1:$1,0)-MATCH($C$1,[1]quests!$1:$1,0)+1,FALSE)</f>
        <v>ドロップイベント1-4</v>
      </c>
      <c r="F543" s="5">
        <v>3</v>
      </c>
      <c r="G543" s="3" t="str">
        <f ca="1">VLOOKUP($C543&amp;"_"&amp;$F543,OFFSET([1]stages!$A$1,0,0,COUNTA([1]stages!$A:$A),MATCH(G$1,[1]stages!$2:$2,0)-MATCH("temp_stage",[1]stages!$2:$2,0)+1),MATCH(G$1,[1]stages!$2:$2,0)-MATCH("temp_stage",[1]stages!$2:$2,0)+1,FALSE)</f>
        <v>【上級】雷雲からの刺客</v>
      </c>
      <c r="H543" s="3" t="str">
        <f ca="1">VLOOKUP($C543&amp;"_"&amp;$F543,OFFSET([1]stages!$A$1,0,0,COUNTA([1]stages!$A:$A),MATCH(H$1,[1]stages!$2:$2,0)-MATCH("temp_stage",[1]stages!$2:$2,0)+1),MATCH(H$1,[1]stages!$2:$2,0)-MATCH("temp_stage",[1]stages!$2:$2,0)+1,FALSE)</f>
        <v>ドロップイベント1-4</v>
      </c>
      <c r="I543" s="18">
        <v>0</v>
      </c>
      <c r="J543" s="5">
        <f>COUNTIF(C$1:C543,C543)</f>
        <v>14</v>
      </c>
      <c r="K543" s="34">
        <v>18</v>
      </c>
      <c r="L543" s="5" t="s">
        <v>17</v>
      </c>
      <c r="M543" s="38" t="str">
        <f>VLOOKUP(K543,[2]stage_hints!$A:$C,3,FALSE)</f>
        <v>マルチプレイのメリット（その2）</v>
      </c>
      <c r="N543" s="39" t="str">
        <f>VLOOKUP(K543,[2]stage_hints!$A:$D,4,FALSE)</f>
        <v>マルチプレイならリンクが2倍もらえます
リンクガチャをたくさん回しましょう</v>
      </c>
      <c r="O543" s="20" t="s">
        <v>24</v>
      </c>
      <c r="P543">
        <v>18</v>
      </c>
    </row>
    <row r="544" spans="1:16" x14ac:dyDescent="0.15">
      <c r="A544" s="27" t="str">
        <f t="shared" si="71"/>
        <v>20004_3_15</v>
      </c>
      <c r="B544" s="25" t="s">
        <v>34</v>
      </c>
      <c r="C544" s="4">
        <v>20004</v>
      </c>
      <c r="D544" s="3" t="str">
        <f ca="1">VLOOKUP($C544,OFFSET([1]quests!$A$1,0,0,COUNTA([1]quests!$A:$A),MATCH(D$1,[1]quests!$1:$1,0)-MATCH($C$1,[1]quests!$1:$1,0)+1),MATCH(D$1,[1]quests!$1:$1,0)-MATCH($C$1,[1]quests!$1:$1,0)+1,FALSE)</f>
        <v>雷雲からの刺客</v>
      </c>
      <c r="E544" s="3" t="str">
        <f ca="1">VLOOKUP($C544,OFFSET([1]quests!$A$1,0,0,COUNTA([1]quests!$A:$A),MATCH(E$1,[1]quests!$1:$1,0)-MATCH($C$1,[1]quests!$1:$1,0)+1),MATCH(E$1,[1]quests!$1:$1,0)-MATCH($C$1,[1]quests!$1:$1,0)+1,FALSE)</f>
        <v>ドロップイベント1-4</v>
      </c>
      <c r="F544" s="5">
        <v>3</v>
      </c>
      <c r="G544" s="3" t="str">
        <f ca="1">VLOOKUP($C544&amp;"_"&amp;$F544,OFFSET([1]stages!$A$1,0,0,COUNTA([1]stages!$A:$A),MATCH(G$1,[1]stages!$2:$2,0)-MATCH("temp_stage",[1]stages!$2:$2,0)+1),MATCH(G$1,[1]stages!$2:$2,0)-MATCH("temp_stage",[1]stages!$2:$2,0)+1,FALSE)</f>
        <v>【上級】雷雲からの刺客</v>
      </c>
      <c r="H544" s="3" t="str">
        <f ca="1">VLOOKUP($C544&amp;"_"&amp;$F544,OFFSET([1]stages!$A$1,0,0,COUNTA([1]stages!$A:$A),MATCH(H$1,[1]stages!$2:$2,0)-MATCH("temp_stage",[1]stages!$2:$2,0)+1),MATCH(H$1,[1]stages!$2:$2,0)-MATCH("temp_stage",[1]stages!$2:$2,0)+1,FALSE)</f>
        <v>ドロップイベント1-4</v>
      </c>
      <c r="I544" s="18">
        <v>0</v>
      </c>
      <c r="J544" s="5">
        <f>COUNTIF(C$1:C544,C544)</f>
        <v>15</v>
      </c>
      <c r="K544" s="34">
        <v>19</v>
      </c>
      <c r="L544" s="5" t="s">
        <v>17</v>
      </c>
      <c r="M544" s="38" t="str">
        <f>VLOOKUP(K544,[2]stage_hints!$A:$C,3,FALSE)</f>
        <v>ソロ専用チャレンジタワー</v>
      </c>
      <c r="N544" s="39" t="str">
        <f>VLOOKUP(K544,[2]stage_hints!$A:$D,4,FALSE)</f>
        <v>ソロ専用の「チャレンジタワー」では
各フロアごとにクリア報酬がもらえます</v>
      </c>
      <c r="O544" s="20" t="s">
        <v>24</v>
      </c>
      <c r="P544">
        <v>19</v>
      </c>
    </row>
    <row r="545" spans="1:16" x14ac:dyDescent="0.15">
      <c r="A545" s="27" t="str">
        <f t="shared" si="71"/>
        <v>20004_3_16</v>
      </c>
      <c r="B545" s="25" t="s">
        <v>34</v>
      </c>
      <c r="C545" s="4">
        <v>20004</v>
      </c>
      <c r="D545" s="3" t="str">
        <f ca="1">VLOOKUP($C545,OFFSET([1]quests!$A$1,0,0,COUNTA([1]quests!$A:$A),MATCH(D$1,[1]quests!$1:$1,0)-MATCH($C$1,[1]quests!$1:$1,0)+1),MATCH(D$1,[1]quests!$1:$1,0)-MATCH($C$1,[1]quests!$1:$1,0)+1,FALSE)</f>
        <v>雷雲からの刺客</v>
      </c>
      <c r="E545" s="3" t="str">
        <f ca="1">VLOOKUP($C545,OFFSET([1]quests!$A$1,0,0,COUNTA([1]quests!$A:$A),MATCH(E$1,[1]quests!$1:$1,0)-MATCH($C$1,[1]quests!$1:$1,0)+1),MATCH(E$1,[1]quests!$1:$1,0)-MATCH($C$1,[1]quests!$1:$1,0)+1,FALSE)</f>
        <v>ドロップイベント1-4</v>
      </c>
      <c r="F545" s="5">
        <v>3</v>
      </c>
      <c r="G545" s="3" t="str">
        <f ca="1">VLOOKUP($C545&amp;"_"&amp;$F545,OFFSET([1]stages!$A$1,0,0,COUNTA([1]stages!$A:$A),MATCH(G$1,[1]stages!$2:$2,0)-MATCH("temp_stage",[1]stages!$2:$2,0)+1),MATCH(G$1,[1]stages!$2:$2,0)-MATCH("temp_stage",[1]stages!$2:$2,0)+1,FALSE)</f>
        <v>【上級】雷雲からの刺客</v>
      </c>
      <c r="H545" s="3" t="str">
        <f ca="1">VLOOKUP($C545&amp;"_"&amp;$F545,OFFSET([1]stages!$A$1,0,0,COUNTA([1]stages!$A:$A),MATCH(H$1,[1]stages!$2:$2,0)-MATCH("temp_stage",[1]stages!$2:$2,0)+1),MATCH(H$1,[1]stages!$2:$2,0)-MATCH("temp_stage",[1]stages!$2:$2,0)+1,FALSE)</f>
        <v>ドロップイベント1-4</v>
      </c>
      <c r="I545" s="18">
        <v>0</v>
      </c>
      <c r="J545" s="5">
        <f>COUNTIF(C$1:C545,C545)</f>
        <v>16</v>
      </c>
      <c r="K545" s="34">
        <v>20</v>
      </c>
      <c r="L545" s="5" t="s">
        <v>17</v>
      </c>
      <c r="M545" s="38" t="str">
        <f>VLOOKUP(K545,[2]stage_hints!$A:$C,3,FALSE)</f>
        <v>マルチプレイのメリット（その3）</v>
      </c>
      <c r="N545" s="39" t="str">
        <f>VLOOKUP(K545,[2]stage_hints!$A:$D,4,FALSE)</f>
        <v>マルチプレイへの参加はエナジー消費ゼロ
いつでも好きなだけ遊ぶことができます</v>
      </c>
      <c r="O545" s="20" t="s">
        <v>24</v>
      </c>
      <c r="P545">
        <v>20</v>
      </c>
    </row>
    <row r="546" spans="1:16" x14ac:dyDescent="0.15">
      <c r="A546" s="27" t="str">
        <f t="shared" si="71"/>
        <v>20004_3_17</v>
      </c>
      <c r="B546" s="25" t="s">
        <v>34</v>
      </c>
      <c r="C546" s="4">
        <v>20004</v>
      </c>
      <c r="D546" s="3" t="str">
        <f ca="1">VLOOKUP($C546,OFFSET([1]quests!$A$1,0,0,COUNTA([1]quests!$A:$A),MATCH(D$1,[1]quests!$1:$1,0)-MATCH($C$1,[1]quests!$1:$1,0)+1),MATCH(D$1,[1]quests!$1:$1,0)-MATCH($C$1,[1]quests!$1:$1,0)+1,FALSE)</f>
        <v>雷雲からの刺客</v>
      </c>
      <c r="E546" s="3" t="str">
        <f ca="1">VLOOKUP($C546,OFFSET([1]quests!$A$1,0,0,COUNTA([1]quests!$A:$A),MATCH(E$1,[1]quests!$1:$1,0)-MATCH($C$1,[1]quests!$1:$1,0)+1),MATCH(E$1,[1]quests!$1:$1,0)-MATCH($C$1,[1]quests!$1:$1,0)+1,FALSE)</f>
        <v>ドロップイベント1-4</v>
      </c>
      <c r="F546" s="5">
        <v>3</v>
      </c>
      <c r="G546" s="3" t="str">
        <f ca="1">VLOOKUP($C546&amp;"_"&amp;$F546,OFFSET([1]stages!$A$1,0,0,COUNTA([1]stages!$A:$A),MATCH(G$1,[1]stages!$2:$2,0)-MATCH("temp_stage",[1]stages!$2:$2,0)+1),MATCH(G$1,[1]stages!$2:$2,0)-MATCH("temp_stage",[1]stages!$2:$2,0)+1,FALSE)</f>
        <v>【上級】雷雲からの刺客</v>
      </c>
      <c r="H546" s="3" t="str">
        <f ca="1">VLOOKUP($C546&amp;"_"&amp;$F546,OFFSET([1]stages!$A$1,0,0,COUNTA([1]stages!$A:$A),MATCH(H$1,[1]stages!$2:$2,0)-MATCH("temp_stage",[1]stages!$2:$2,0)+1),MATCH(H$1,[1]stages!$2:$2,0)-MATCH("temp_stage",[1]stages!$2:$2,0)+1,FALSE)</f>
        <v>ドロップイベント1-4</v>
      </c>
      <c r="I546" s="18">
        <v>0</v>
      </c>
      <c r="J546" s="5">
        <f>COUNTIF(C$1:C546,C546)</f>
        <v>17</v>
      </c>
      <c r="K546" s="34">
        <v>21</v>
      </c>
      <c r="L546" s="5" t="s">
        <v>17</v>
      </c>
      <c r="M546" s="38" t="str">
        <f>VLOOKUP(K546,[2]stage_hints!$A:$C,3,FALSE)</f>
        <v>スキルを有効に</v>
      </c>
      <c r="N546" s="39" t="str">
        <f>VLOOKUP(K546,[2]stage_hints!$A:$D,4,FALSE)</f>
        <v>ターン経過でユニットのスキルが使えます
強力スキルでバトルを有利に進めましょう</v>
      </c>
      <c r="O546" s="20" t="s">
        <v>24</v>
      </c>
      <c r="P546">
        <v>21</v>
      </c>
    </row>
    <row r="547" spans="1:16" x14ac:dyDescent="0.15">
      <c r="A547" s="27" t="str">
        <f t="shared" si="71"/>
        <v>20004_3_18</v>
      </c>
      <c r="B547" s="25" t="s">
        <v>34</v>
      </c>
      <c r="C547" s="4">
        <v>20004</v>
      </c>
      <c r="D547" s="3" t="str">
        <f ca="1">VLOOKUP($C547,OFFSET([1]quests!$A$1,0,0,COUNTA([1]quests!$A:$A),MATCH(D$1,[1]quests!$1:$1,0)-MATCH($C$1,[1]quests!$1:$1,0)+1),MATCH(D$1,[1]quests!$1:$1,0)-MATCH($C$1,[1]quests!$1:$1,0)+1,FALSE)</f>
        <v>雷雲からの刺客</v>
      </c>
      <c r="E547" s="3" t="str">
        <f ca="1">VLOOKUP($C547,OFFSET([1]quests!$A$1,0,0,COUNTA([1]quests!$A:$A),MATCH(E$1,[1]quests!$1:$1,0)-MATCH($C$1,[1]quests!$1:$1,0)+1),MATCH(E$1,[1]quests!$1:$1,0)-MATCH($C$1,[1]quests!$1:$1,0)+1,FALSE)</f>
        <v>ドロップイベント1-4</v>
      </c>
      <c r="F547" s="5">
        <v>3</v>
      </c>
      <c r="G547" s="3" t="str">
        <f ca="1">VLOOKUP($C547&amp;"_"&amp;$F547,OFFSET([1]stages!$A$1,0,0,COUNTA([1]stages!$A:$A),MATCH(G$1,[1]stages!$2:$2,0)-MATCH("temp_stage",[1]stages!$2:$2,0)+1),MATCH(G$1,[1]stages!$2:$2,0)-MATCH("temp_stage",[1]stages!$2:$2,0)+1,FALSE)</f>
        <v>【上級】雷雲からの刺客</v>
      </c>
      <c r="H547" s="3" t="str">
        <f ca="1">VLOOKUP($C547&amp;"_"&amp;$F547,OFFSET([1]stages!$A$1,0,0,COUNTA([1]stages!$A:$A),MATCH(H$1,[1]stages!$2:$2,0)-MATCH("temp_stage",[1]stages!$2:$2,0)+1),MATCH(H$1,[1]stages!$2:$2,0)-MATCH("temp_stage",[1]stages!$2:$2,0)+1,FALSE)</f>
        <v>ドロップイベント1-4</v>
      </c>
      <c r="I547" s="18">
        <v>0</v>
      </c>
      <c r="J547" s="5">
        <f>COUNTIF(C$1:C547,C547)</f>
        <v>18</v>
      </c>
      <c r="K547" s="34">
        <v>22</v>
      </c>
      <c r="L547" s="5" t="s">
        <v>17</v>
      </c>
      <c r="M547" s="38" t="str">
        <f>VLOOKUP(K547,[2]stage_hints!$A:$C,3,FALSE)</f>
        <v>フィーバーで一発逆転（その1）</v>
      </c>
      <c r="N547" s="39" t="str">
        <f>VLOOKUP(K547,[2]stage_hints!$A:$D,4,FALSE)</f>
        <v>フィーバーは攻撃と回復を兼ね備えます
ピンチからの一発逆転を狙いましょう</v>
      </c>
      <c r="O547" s="20" t="s">
        <v>24</v>
      </c>
      <c r="P547">
        <v>22</v>
      </c>
    </row>
    <row r="548" spans="1:16" x14ac:dyDescent="0.15">
      <c r="A548" s="27" t="str">
        <f t="shared" si="71"/>
        <v>20004_3_19</v>
      </c>
      <c r="B548" s="25" t="s">
        <v>34</v>
      </c>
      <c r="C548" s="4">
        <v>20004</v>
      </c>
      <c r="D548" s="3" t="str">
        <f ca="1">VLOOKUP($C548,OFFSET([1]quests!$A$1,0,0,COUNTA([1]quests!$A:$A),MATCH(D$1,[1]quests!$1:$1,0)-MATCH($C$1,[1]quests!$1:$1,0)+1),MATCH(D$1,[1]quests!$1:$1,0)-MATCH($C$1,[1]quests!$1:$1,0)+1,FALSE)</f>
        <v>雷雲からの刺客</v>
      </c>
      <c r="E548" s="3" t="str">
        <f ca="1">VLOOKUP($C548,OFFSET([1]quests!$A$1,0,0,COUNTA([1]quests!$A:$A),MATCH(E$1,[1]quests!$1:$1,0)-MATCH($C$1,[1]quests!$1:$1,0)+1),MATCH(E$1,[1]quests!$1:$1,0)-MATCH($C$1,[1]quests!$1:$1,0)+1,FALSE)</f>
        <v>ドロップイベント1-4</v>
      </c>
      <c r="F548" s="5">
        <v>3</v>
      </c>
      <c r="G548" s="3" t="str">
        <f ca="1">VLOOKUP($C548&amp;"_"&amp;$F548,OFFSET([1]stages!$A$1,0,0,COUNTA([1]stages!$A:$A),MATCH(G$1,[1]stages!$2:$2,0)-MATCH("temp_stage",[1]stages!$2:$2,0)+1),MATCH(G$1,[1]stages!$2:$2,0)-MATCH("temp_stage",[1]stages!$2:$2,0)+1,FALSE)</f>
        <v>【上級】雷雲からの刺客</v>
      </c>
      <c r="H548" s="3" t="str">
        <f ca="1">VLOOKUP($C548&amp;"_"&amp;$F548,OFFSET([1]stages!$A$1,0,0,COUNTA([1]stages!$A:$A),MATCH(H$1,[1]stages!$2:$2,0)-MATCH("temp_stage",[1]stages!$2:$2,0)+1),MATCH(H$1,[1]stages!$2:$2,0)-MATCH("temp_stage",[1]stages!$2:$2,0)+1,FALSE)</f>
        <v>ドロップイベント1-4</v>
      </c>
      <c r="I548" s="18">
        <v>0</v>
      </c>
      <c r="J548" s="5">
        <f>COUNTIF(C$1:C548,C548)</f>
        <v>19</v>
      </c>
      <c r="K548" s="34">
        <v>23</v>
      </c>
      <c r="L548" s="5" t="s">
        <v>17</v>
      </c>
      <c r="M548" s="38" t="str">
        <f>VLOOKUP(K548,[2]stage_hints!$A:$C,3,FALSE)</f>
        <v>フィーバーで一発逆転（その2）</v>
      </c>
      <c r="N548" s="39" t="str">
        <f>VLOOKUP(K548,[2]stage_hints!$A:$D,4,FALSE)</f>
        <v>フィーバー中は虹色のボムパネルを狙って
画面上のパネルを一気に破壊しましょう</v>
      </c>
      <c r="O548" s="20" t="s">
        <v>24</v>
      </c>
      <c r="P548">
        <v>23</v>
      </c>
    </row>
    <row r="549" spans="1:16" x14ac:dyDescent="0.15">
      <c r="A549" s="27" t="str">
        <f t="shared" si="71"/>
        <v>20004_3_20</v>
      </c>
      <c r="B549" s="25" t="s">
        <v>34</v>
      </c>
      <c r="C549" s="4">
        <v>20004</v>
      </c>
      <c r="D549" s="3" t="str">
        <f ca="1">VLOOKUP($C549,OFFSET([1]quests!$A$1,0,0,COUNTA([1]quests!$A:$A),MATCH(D$1,[1]quests!$1:$1,0)-MATCH($C$1,[1]quests!$1:$1,0)+1),MATCH(D$1,[1]quests!$1:$1,0)-MATCH($C$1,[1]quests!$1:$1,0)+1,FALSE)</f>
        <v>雷雲からの刺客</v>
      </c>
      <c r="E549" s="3" t="str">
        <f ca="1">VLOOKUP($C549,OFFSET([1]quests!$A$1,0,0,COUNTA([1]quests!$A:$A),MATCH(E$1,[1]quests!$1:$1,0)-MATCH($C$1,[1]quests!$1:$1,0)+1),MATCH(E$1,[1]quests!$1:$1,0)-MATCH($C$1,[1]quests!$1:$1,0)+1,FALSE)</f>
        <v>ドロップイベント1-4</v>
      </c>
      <c r="F549" s="5">
        <v>3</v>
      </c>
      <c r="G549" s="3" t="str">
        <f ca="1">VLOOKUP($C549&amp;"_"&amp;$F549,OFFSET([1]stages!$A$1,0,0,COUNTA([1]stages!$A:$A),MATCH(G$1,[1]stages!$2:$2,0)-MATCH("temp_stage",[1]stages!$2:$2,0)+1),MATCH(G$1,[1]stages!$2:$2,0)-MATCH("temp_stage",[1]stages!$2:$2,0)+1,FALSE)</f>
        <v>【上級】雷雲からの刺客</v>
      </c>
      <c r="H549" s="3" t="str">
        <f ca="1">VLOOKUP($C549&amp;"_"&amp;$F549,OFFSET([1]stages!$A$1,0,0,COUNTA([1]stages!$A:$A),MATCH(H$1,[1]stages!$2:$2,0)-MATCH("temp_stage",[1]stages!$2:$2,0)+1),MATCH(H$1,[1]stages!$2:$2,0)-MATCH("temp_stage",[1]stages!$2:$2,0)+1,FALSE)</f>
        <v>ドロップイベント1-4</v>
      </c>
      <c r="I549" s="18">
        <v>0</v>
      </c>
      <c r="J549" s="5">
        <f>COUNTIF(C$1:C549,C549)</f>
        <v>20</v>
      </c>
      <c r="K549" s="34">
        <v>24</v>
      </c>
      <c r="L549" s="5" t="s">
        <v>17</v>
      </c>
      <c r="M549" s="38" t="str">
        <f>VLOOKUP(K549,[2]stage_hints!$A:$C,3,FALSE)</f>
        <v>りんごを使って限界突破</v>
      </c>
      <c r="N549" s="39" t="str">
        <f>VLOOKUP(K549,[2]stage_hints!$A:$D,4,FALSE)</f>
        <v>赤りんご(攻撃力) 青りんご(回復力)
緑りんご(体力)をユニット強化に使うと
ステータスが限界突破します（計99個迄）</v>
      </c>
      <c r="O549" s="20" t="s">
        <v>24</v>
      </c>
      <c r="P549">
        <v>24</v>
      </c>
    </row>
    <row r="550" spans="1:16" x14ac:dyDescent="0.15">
      <c r="A550" s="27" t="str">
        <f t="shared" si="71"/>
        <v>20004_3_21</v>
      </c>
      <c r="B550" s="25" t="s">
        <v>34</v>
      </c>
      <c r="C550" s="4">
        <v>20004</v>
      </c>
      <c r="D550" s="3" t="str">
        <f ca="1">VLOOKUP($C550,OFFSET([1]quests!$A$1,0,0,COUNTA([1]quests!$A:$A),MATCH(D$1,[1]quests!$1:$1,0)-MATCH($C$1,[1]quests!$1:$1,0)+1),MATCH(D$1,[1]quests!$1:$1,0)-MATCH($C$1,[1]quests!$1:$1,0)+1,FALSE)</f>
        <v>雷雲からの刺客</v>
      </c>
      <c r="E550" s="3" t="str">
        <f ca="1">VLOOKUP($C550,OFFSET([1]quests!$A$1,0,0,COUNTA([1]quests!$A:$A),MATCH(E$1,[1]quests!$1:$1,0)-MATCH($C$1,[1]quests!$1:$1,0)+1),MATCH(E$1,[1]quests!$1:$1,0)-MATCH($C$1,[1]quests!$1:$1,0)+1,FALSE)</f>
        <v>ドロップイベント1-4</v>
      </c>
      <c r="F550" s="5">
        <v>3</v>
      </c>
      <c r="G550" s="3" t="str">
        <f ca="1">VLOOKUP($C550&amp;"_"&amp;$F550,OFFSET([1]stages!$A$1,0,0,COUNTA([1]stages!$A:$A),MATCH(G$1,[1]stages!$2:$2,0)-MATCH("temp_stage",[1]stages!$2:$2,0)+1),MATCH(G$1,[1]stages!$2:$2,0)-MATCH("temp_stage",[1]stages!$2:$2,0)+1,FALSE)</f>
        <v>【上級】雷雲からの刺客</v>
      </c>
      <c r="H550" s="3" t="str">
        <f ca="1">VLOOKUP($C550&amp;"_"&amp;$F550,OFFSET([1]stages!$A$1,0,0,COUNTA([1]stages!$A:$A),MATCH(H$1,[1]stages!$2:$2,0)-MATCH("temp_stage",[1]stages!$2:$2,0)+1),MATCH(H$1,[1]stages!$2:$2,0)-MATCH("temp_stage",[1]stages!$2:$2,0)+1,FALSE)</f>
        <v>ドロップイベント1-4</v>
      </c>
      <c r="I550" s="18">
        <v>0</v>
      </c>
      <c r="J550" s="5">
        <f>COUNTIF(C$1:C550,C550)</f>
        <v>21</v>
      </c>
      <c r="K550" s="34">
        <v>25</v>
      </c>
      <c r="L550" s="5" t="s">
        <v>17</v>
      </c>
      <c r="M550" s="38" t="str">
        <f>VLOOKUP(K550,[2]stage_hints!$A:$C,3,FALSE)</f>
        <v>スキルレベルアップ</v>
      </c>
      <c r="N550" s="39" t="str">
        <f>VLOOKUP(K550,[2]stage_hints!$A:$D,4,FALSE)</f>
        <v>「クリスタルのりんご」を強化に使うと
スキルレベルを上げることができます</v>
      </c>
      <c r="O550" s="20" t="s">
        <v>24</v>
      </c>
      <c r="P550">
        <v>25</v>
      </c>
    </row>
    <row r="551" spans="1:16" x14ac:dyDescent="0.15">
      <c r="A551" s="27" t="str">
        <f t="shared" si="71"/>
        <v>20004_3_22</v>
      </c>
      <c r="B551" s="25" t="s">
        <v>34</v>
      </c>
      <c r="C551" s="4">
        <v>20004</v>
      </c>
      <c r="D551" s="3" t="str">
        <f ca="1">VLOOKUP($C551,OFFSET([1]quests!$A$1,0,0,COUNTA([1]quests!$A:$A),MATCH(D$1,[1]quests!$1:$1,0)-MATCH($C$1,[1]quests!$1:$1,0)+1),MATCH(D$1,[1]quests!$1:$1,0)-MATCH($C$1,[1]quests!$1:$1,0)+1,FALSE)</f>
        <v>雷雲からの刺客</v>
      </c>
      <c r="E551" s="3" t="str">
        <f ca="1">VLOOKUP($C551,OFFSET([1]quests!$A$1,0,0,COUNTA([1]quests!$A:$A),MATCH(E$1,[1]quests!$1:$1,0)-MATCH($C$1,[1]quests!$1:$1,0)+1),MATCH(E$1,[1]quests!$1:$1,0)-MATCH($C$1,[1]quests!$1:$1,0)+1,FALSE)</f>
        <v>ドロップイベント1-4</v>
      </c>
      <c r="F551" s="5">
        <v>3</v>
      </c>
      <c r="G551" s="3" t="str">
        <f ca="1">VLOOKUP($C551&amp;"_"&amp;$F551,OFFSET([1]stages!$A$1,0,0,COUNTA([1]stages!$A:$A),MATCH(G$1,[1]stages!$2:$2,0)-MATCH("temp_stage",[1]stages!$2:$2,0)+1),MATCH(G$1,[1]stages!$2:$2,0)-MATCH("temp_stage",[1]stages!$2:$2,0)+1,FALSE)</f>
        <v>【上級】雷雲からの刺客</v>
      </c>
      <c r="H551" s="3" t="str">
        <f ca="1">VLOOKUP($C551&amp;"_"&amp;$F551,OFFSET([1]stages!$A$1,0,0,COUNTA([1]stages!$A:$A),MATCH(H$1,[1]stages!$2:$2,0)-MATCH("temp_stage",[1]stages!$2:$2,0)+1),MATCH(H$1,[1]stages!$2:$2,0)-MATCH("temp_stage",[1]stages!$2:$2,0)+1,FALSE)</f>
        <v>ドロップイベント1-4</v>
      </c>
      <c r="I551" s="18">
        <v>0</v>
      </c>
      <c r="J551" s="5">
        <f>COUNTIF(C$1:C551,C551)</f>
        <v>22</v>
      </c>
      <c r="K551" s="34">
        <v>26</v>
      </c>
      <c r="L551" s="5" t="s">
        <v>17</v>
      </c>
      <c r="M551" s="38" t="str">
        <f>VLOOKUP(K551,[2]stage_hints!$A:$C,3,FALSE)</f>
        <v>スキルレベルの効果</v>
      </c>
      <c r="N551" s="39" t="str">
        <f>VLOOKUP(K551,[2]stage_hints!$A:$D,4,FALSE)</f>
        <v>スキルレベルが上がると
短いターンでスキルを使うことができます</v>
      </c>
      <c r="O551" s="20" t="s">
        <v>24</v>
      </c>
      <c r="P551">
        <v>26</v>
      </c>
    </row>
    <row r="552" spans="1:16" x14ac:dyDescent="0.15">
      <c r="A552" s="27" t="str">
        <f t="shared" ref="A552:A615" si="72">C552&amp;"_"&amp;F552&amp;"_"&amp;J552</f>
        <v>20004_3_23</v>
      </c>
      <c r="B552" s="25" t="s">
        <v>34</v>
      </c>
      <c r="C552" s="4">
        <v>20004</v>
      </c>
      <c r="D552" s="3" t="str">
        <f ca="1">VLOOKUP($C552,OFFSET([1]quests!$A$1,0,0,COUNTA([1]quests!$A:$A),MATCH(D$1,[1]quests!$1:$1,0)-MATCH($C$1,[1]quests!$1:$1,0)+1),MATCH(D$1,[1]quests!$1:$1,0)-MATCH($C$1,[1]quests!$1:$1,0)+1,FALSE)</f>
        <v>雷雲からの刺客</v>
      </c>
      <c r="E552" s="3" t="str">
        <f ca="1">VLOOKUP($C552,OFFSET([1]quests!$A$1,0,0,COUNTA([1]quests!$A:$A),MATCH(E$1,[1]quests!$1:$1,0)-MATCH($C$1,[1]quests!$1:$1,0)+1),MATCH(E$1,[1]quests!$1:$1,0)-MATCH($C$1,[1]quests!$1:$1,0)+1,FALSE)</f>
        <v>ドロップイベント1-4</v>
      </c>
      <c r="F552" s="5">
        <v>3</v>
      </c>
      <c r="G552" s="3" t="str">
        <f ca="1">VLOOKUP($C552&amp;"_"&amp;$F552,OFFSET([1]stages!$A$1,0,0,COUNTA([1]stages!$A:$A),MATCH(G$1,[1]stages!$2:$2,0)-MATCH("temp_stage",[1]stages!$2:$2,0)+1),MATCH(G$1,[1]stages!$2:$2,0)-MATCH("temp_stage",[1]stages!$2:$2,0)+1,FALSE)</f>
        <v>【上級】雷雲からの刺客</v>
      </c>
      <c r="H552" s="3" t="str">
        <f ca="1">VLOOKUP($C552&amp;"_"&amp;$F552,OFFSET([1]stages!$A$1,0,0,COUNTA([1]stages!$A:$A),MATCH(H$1,[1]stages!$2:$2,0)-MATCH("temp_stage",[1]stages!$2:$2,0)+1),MATCH(H$1,[1]stages!$2:$2,0)-MATCH("temp_stage",[1]stages!$2:$2,0)+1,FALSE)</f>
        <v>ドロップイベント1-4</v>
      </c>
      <c r="I552" s="18">
        <v>0</v>
      </c>
      <c r="J552" s="5">
        <f>COUNTIF(C$1:C552,C552)</f>
        <v>23</v>
      </c>
      <c r="K552" s="34">
        <v>27</v>
      </c>
      <c r="L552" s="5" t="s">
        <v>17</v>
      </c>
      <c r="M552" s="38" t="str">
        <f>VLOOKUP(K552,[2]stage_hints!$A:$C,3,FALSE)</f>
        <v>ホーム画面からデッキを編成</v>
      </c>
      <c r="N552" s="39" t="str">
        <f>VLOOKUP(K552,[2]stage_hints!$A:$D,4,FALSE)</f>
        <v>ホーム画面でユニットを長押しすると
すぐにパーティ編成に移動できます</v>
      </c>
      <c r="O552" s="20" t="s">
        <v>24</v>
      </c>
      <c r="P552">
        <v>27</v>
      </c>
    </row>
    <row r="553" spans="1:16" x14ac:dyDescent="0.15">
      <c r="A553" s="27" t="str">
        <f t="shared" si="72"/>
        <v>20004_3_24</v>
      </c>
      <c r="B553" s="25" t="s">
        <v>34</v>
      </c>
      <c r="C553" s="4">
        <v>20004</v>
      </c>
      <c r="D553" s="3" t="str">
        <f ca="1">VLOOKUP($C553,OFFSET([1]quests!$A$1,0,0,COUNTA([1]quests!$A:$A),MATCH(D$1,[1]quests!$1:$1,0)-MATCH($C$1,[1]quests!$1:$1,0)+1),MATCH(D$1,[1]quests!$1:$1,0)-MATCH($C$1,[1]quests!$1:$1,0)+1,FALSE)</f>
        <v>雷雲からの刺客</v>
      </c>
      <c r="E553" s="3" t="str">
        <f ca="1">VLOOKUP($C553,OFFSET([1]quests!$A$1,0,0,COUNTA([1]quests!$A:$A),MATCH(E$1,[1]quests!$1:$1,0)-MATCH($C$1,[1]quests!$1:$1,0)+1),MATCH(E$1,[1]quests!$1:$1,0)-MATCH($C$1,[1]quests!$1:$1,0)+1,FALSE)</f>
        <v>ドロップイベント1-4</v>
      </c>
      <c r="F553" s="5">
        <v>3</v>
      </c>
      <c r="G553" s="3" t="str">
        <f ca="1">VLOOKUP($C553&amp;"_"&amp;$F553,OFFSET([1]stages!$A$1,0,0,COUNTA([1]stages!$A:$A),MATCH(G$1,[1]stages!$2:$2,0)-MATCH("temp_stage",[1]stages!$2:$2,0)+1),MATCH(G$1,[1]stages!$2:$2,0)-MATCH("temp_stage",[1]stages!$2:$2,0)+1,FALSE)</f>
        <v>【上級】雷雲からの刺客</v>
      </c>
      <c r="H553" s="3" t="str">
        <f ca="1">VLOOKUP($C553&amp;"_"&amp;$F553,OFFSET([1]stages!$A$1,0,0,COUNTA([1]stages!$A:$A),MATCH(H$1,[1]stages!$2:$2,0)-MATCH("temp_stage",[1]stages!$2:$2,0)+1),MATCH(H$1,[1]stages!$2:$2,0)-MATCH("temp_stage",[1]stages!$2:$2,0)+1,FALSE)</f>
        <v>ドロップイベント1-4</v>
      </c>
      <c r="I553" s="18">
        <v>0</v>
      </c>
      <c r="J553" s="5">
        <f>COUNTIF(C$1:C553,C553)</f>
        <v>24</v>
      </c>
      <c r="K553" s="34">
        <v>28</v>
      </c>
      <c r="L553" s="5" t="s">
        <v>17</v>
      </c>
      <c r="M553" s="38" t="str">
        <f>VLOOKUP(K553,[2]stage_hints!$A:$C,3,FALSE)</f>
        <v>ステータス情報は長押しで</v>
      </c>
      <c r="N553" s="39" t="str">
        <f>VLOOKUP(K553,[2]stage_hints!$A:$D,4,FALSE)</f>
        <v>ユニットのアイコンを長押しすると
ステータス情報を確認することができます</v>
      </c>
      <c r="O553" s="20" t="s">
        <v>24</v>
      </c>
      <c r="P553">
        <v>28</v>
      </c>
    </row>
    <row r="554" spans="1:16" x14ac:dyDescent="0.15">
      <c r="A554" s="27" t="str">
        <f t="shared" si="72"/>
        <v>20004_3_25</v>
      </c>
      <c r="B554" s="25" t="s">
        <v>34</v>
      </c>
      <c r="C554" s="4">
        <v>20004</v>
      </c>
      <c r="D554" s="3" t="str">
        <f ca="1">VLOOKUP($C554,OFFSET([1]quests!$A$1,0,0,COUNTA([1]quests!$A:$A),MATCH(D$1,[1]quests!$1:$1,0)-MATCH($C$1,[1]quests!$1:$1,0)+1),MATCH(D$1,[1]quests!$1:$1,0)-MATCH($C$1,[1]quests!$1:$1,0)+1,FALSE)</f>
        <v>雷雲からの刺客</v>
      </c>
      <c r="E554" s="3" t="str">
        <f ca="1">VLOOKUP($C554,OFFSET([1]quests!$A$1,0,0,COUNTA([1]quests!$A:$A),MATCH(E$1,[1]quests!$1:$1,0)-MATCH($C$1,[1]quests!$1:$1,0)+1),MATCH(E$1,[1]quests!$1:$1,0)-MATCH($C$1,[1]quests!$1:$1,0)+1,FALSE)</f>
        <v>ドロップイベント1-4</v>
      </c>
      <c r="F554" s="5">
        <v>3</v>
      </c>
      <c r="G554" s="3" t="str">
        <f ca="1">VLOOKUP($C554&amp;"_"&amp;$F554,OFFSET([1]stages!$A$1,0,0,COUNTA([1]stages!$A:$A),MATCH(G$1,[1]stages!$2:$2,0)-MATCH("temp_stage",[1]stages!$2:$2,0)+1),MATCH(G$1,[1]stages!$2:$2,0)-MATCH("temp_stage",[1]stages!$2:$2,0)+1,FALSE)</f>
        <v>【上級】雷雲からの刺客</v>
      </c>
      <c r="H554" s="3" t="str">
        <f ca="1">VLOOKUP($C554&amp;"_"&amp;$F554,OFFSET([1]stages!$A$1,0,0,COUNTA([1]stages!$A:$A),MATCH(H$1,[1]stages!$2:$2,0)-MATCH("temp_stage",[1]stages!$2:$2,0)+1),MATCH(H$1,[1]stages!$2:$2,0)-MATCH("temp_stage",[1]stages!$2:$2,0)+1,FALSE)</f>
        <v>ドロップイベント1-4</v>
      </c>
      <c r="I554" s="18">
        <v>0</v>
      </c>
      <c r="J554" s="5">
        <f>COUNTIF(C$1:C554,C554)</f>
        <v>25</v>
      </c>
      <c r="K554" s="34">
        <v>29</v>
      </c>
      <c r="L554" s="5" t="s">
        <v>17</v>
      </c>
      <c r="M554" s="38" t="str">
        <f>VLOOKUP(K554,[2]stage_hints!$A:$C,3,FALSE)</f>
        <v>「バグ」のメリット</v>
      </c>
      <c r="N554" s="39" t="str">
        <f>VLOOKUP(K554,[2]stage_hints!$A:$D,4,FALSE)</f>
        <v>ユニットの「バグ」を増やすと
報酬をもらえる確率がアップします</v>
      </c>
      <c r="O554" s="20" t="s">
        <v>24</v>
      </c>
      <c r="P554">
        <v>29</v>
      </c>
    </row>
    <row r="555" spans="1:16" x14ac:dyDescent="0.15">
      <c r="A555" s="27" t="str">
        <f t="shared" si="72"/>
        <v>20004_3_26</v>
      </c>
      <c r="B555" s="25" t="s">
        <v>34</v>
      </c>
      <c r="C555" s="4">
        <v>20004</v>
      </c>
      <c r="D555" s="3" t="str">
        <f ca="1">VLOOKUP($C555,OFFSET([1]quests!$A$1,0,0,COUNTA([1]quests!$A:$A),MATCH(D$1,[1]quests!$1:$1,0)-MATCH($C$1,[1]quests!$1:$1,0)+1),MATCH(D$1,[1]quests!$1:$1,0)-MATCH($C$1,[1]quests!$1:$1,0)+1,FALSE)</f>
        <v>雷雲からの刺客</v>
      </c>
      <c r="E555" s="3" t="str">
        <f ca="1">VLOOKUP($C555,OFFSET([1]quests!$A$1,0,0,COUNTA([1]quests!$A:$A),MATCH(E$1,[1]quests!$1:$1,0)-MATCH($C$1,[1]quests!$1:$1,0)+1),MATCH(E$1,[1]quests!$1:$1,0)-MATCH($C$1,[1]quests!$1:$1,0)+1,FALSE)</f>
        <v>ドロップイベント1-4</v>
      </c>
      <c r="F555" s="5">
        <v>3</v>
      </c>
      <c r="G555" s="3" t="str">
        <f ca="1">VLOOKUP($C555&amp;"_"&amp;$F555,OFFSET([1]stages!$A$1,0,0,COUNTA([1]stages!$A:$A),MATCH(G$1,[1]stages!$2:$2,0)-MATCH("temp_stage",[1]stages!$2:$2,0)+1),MATCH(G$1,[1]stages!$2:$2,0)-MATCH("temp_stage",[1]stages!$2:$2,0)+1,FALSE)</f>
        <v>【上級】雷雲からの刺客</v>
      </c>
      <c r="H555" s="3" t="str">
        <f ca="1">VLOOKUP($C555&amp;"_"&amp;$F555,OFFSET([1]stages!$A$1,0,0,COUNTA([1]stages!$A:$A),MATCH(H$1,[1]stages!$2:$2,0)-MATCH("temp_stage",[1]stages!$2:$2,0)+1),MATCH(H$1,[1]stages!$2:$2,0)-MATCH("temp_stage",[1]stages!$2:$2,0)+1,FALSE)</f>
        <v>ドロップイベント1-4</v>
      </c>
      <c r="I555" s="18">
        <v>0</v>
      </c>
      <c r="J555" s="5">
        <f>COUNTIF(C$1:C555,C555)</f>
        <v>26</v>
      </c>
      <c r="K555" s="34">
        <v>30</v>
      </c>
      <c r="L555" s="5" t="s">
        <v>17</v>
      </c>
      <c r="M555" s="38" t="str">
        <f>VLOOKUP(K555,[2]stage_hints!$A:$C,3,FALSE)</f>
        <v>「バグ」の増やし方</v>
      </c>
      <c r="N555" s="39" t="str">
        <f>VLOOKUP(K555,[2]stage_hints!$A:$D,4,FALSE)</f>
        <v>同じユニット同士を強化で合成すると
「バグ」を増やすことができます</v>
      </c>
      <c r="O555" s="20" t="s">
        <v>24</v>
      </c>
      <c r="P555">
        <v>30</v>
      </c>
    </row>
    <row r="556" spans="1:16" x14ac:dyDescent="0.15">
      <c r="A556" s="27" t="str">
        <f t="shared" si="72"/>
        <v>20004_3_27</v>
      </c>
      <c r="B556" s="25" t="s">
        <v>34</v>
      </c>
      <c r="C556" s="4">
        <v>20004</v>
      </c>
      <c r="D556" s="3" t="str">
        <f ca="1">VLOOKUP($C556,OFFSET([1]quests!$A$1,0,0,COUNTA([1]quests!$A:$A),MATCH(D$1,[1]quests!$1:$1,0)-MATCH($C$1,[1]quests!$1:$1,0)+1),MATCH(D$1,[1]quests!$1:$1,0)-MATCH($C$1,[1]quests!$1:$1,0)+1,FALSE)</f>
        <v>雷雲からの刺客</v>
      </c>
      <c r="E556" s="3" t="str">
        <f ca="1">VLOOKUP($C556,OFFSET([1]quests!$A$1,0,0,COUNTA([1]quests!$A:$A),MATCH(E$1,[1]quests!$1:$1,0)-MATCH($C$1,[1]quests!$1:$1,0)+1),MATCH(E$1,[1]quests!$1:$1,0)-MATCH($C$1,[1]quests!$1:$1,0)+1,FALSE)</f>
        <v>ドロップイベント1-4</v>
      </c>
      <c r="F556" s="5">
        <v>3</v>
      </c>
      <c r="G556" s="3" t="str">
        <f ca="1">VLOOKUP($C556&amp;"_"&amp;$F556,OFFSET([1]stages!$A$1,0,0,COUNTA([1]stages!$A:$A),MATCH(G$1,[1]stages!$2:$2,0)-MATCH("temp_stage",[1]stages!$2:$2,0)+1),MATCH(G$1,[1]stages!$2:$2,0)-MATCH("temp_stage",[1]stages!$2:$2,0)+1,FALSE)</f>
        <v>【上級】雷雲からの刺客</v>
      </c>
      <c r="H556" s="3" t="str">
        <f ca="1">VLOOKUP($C556&amp;"_"&amp;$F556,OFFSET([1]stages!$A$1,0,0,COUNTA([1]stages!$A:$A),MATCH(H$1,[1]stages!$2:$2,0)-MATCH("temp_stage",[1]stages!$2:$2,0)+1),MATCH(H$1,[1]stages!$2:$2,0)-MATCH("temp_stage",[1]stages!$2:$2,0)+1,FALSE)</f>
        <v>ドロップイベント1-4</v>
      </c>
      <c r="I556" s="18">
        <v>0</v>
      </c>
      <c r="J556" s="5">
        <f>COUNTIF(C$1:C556,C556)</f>
        <v>27</v>
      </c>
      <c r="K556" s="34">
        <v>31</v>
      </c>
      <c r="L556" s="5" t="s">
        <v>17</v>
      </c>
      <c r="M556" s="38" t="str">
        <f>VLOOKUP(K556,[2]stage_hints!$A:$C,3,FALSE)</f>
        <v>イベントはお知らせでチェック</v>
      </c>
      <c r="N556" s="39" t="str">
        <f>VLOOKUP(K556,[2]stage_hints!$A:$D,4,FALSE)</f>
        <v>イベント限定ユニットを取り忘れないように
お知らせをこまめにチェックしましょう</v>
      </c>
      <c r="O556" s="20" t="s">
        <v>24</v>
      </c>
      <c r="P556">
        <v>31</v>
      </c>
    </row>
    <row r="557" spans="1:16" x14ac:dyDescent="0.15">
      <c r="A557" s="27" t="str">
        <f t="shared" si="72"/>
        <v>20004_3_28</v>
      </c>
      <c r="B557" s="25" t="s">
        <v>34</v>
      </c>
      <c r="C557" s="4">
        <v>20004</v>
      </c>
      <c r="D557" s="3" t="str">
        <f ca="1">VLOOKUP($C557,OFFSET([1]quests!$A$1,0,0,COUNTA([1]quests!$A:$A),MATCH(D$1,[1]quests!$1:$1,0)-MATCH($C$1,[1]quests!$1:$1,0)+1),MATCH(D$1,[1]quests!$1:$1,0)-MATCH($C$1,[1]quests!$1:$1,0)+1,FALSE)</f>
        <v>雷雲からの刺客</v>
      </c>
      <c r="E557" s="3" t="str">
        <f ca="1">VLOOKUP($C557,OFFSET([1]quests!$A$1,0,0,COUNTA([1]quests!$A:$A),MATCH(E$1,[1]quests!$1:$1,0)-MATCH($C$1,[1]quests!$1:$1,0)+1),MATCH(E$1,[1]quests!$1:$1,0)-MATCH($C$1,[1]quests!$1:$1,0)+1,FALSE)</f>
        <v>ドロップイベント1-4</v>
      </c>
      <c r="F557" s="5">
        <v>3</v>
      </c>
      <c r="G557" s="3" t="str">
        <f ca="1">VLOOKUP($C557&amp;"_"&amp;$F557,OFFSET([1]stages!$A$1,0,0,COUNTA([1]stages!$A:$A),MATCH(G$1,[1]stages!$2:$2,0)-MATCH("temp_stage",[1]stages!$2:$2,0)+1),MATCH(G$1,[1]stages!$2:$2,0)-MATCH("temp_stage",[1]stages!$2:$2,0)+1,FALSE)</f>
        <v>【上級】雷雲からの刺客</v>
      </c>
      <c r="H557" s="3" t="str">
        <f ca="1">VLOOKUP($C557&amp;"_"&amp;$F557,OFFSET([1]stages!$A$1,0,0,COUNTA([1]stages!$A:$A),MATCH(H$1,[1]stages!$2:$2,0)-MATCH("temp_stage",[1]stages!$2:$2,0)+1),MATCH(H$1,[1]stages!$2:$2,0)-MATCH("temp_stage",[1]stages!$2:$2,0)+1,FALSE)</f>
        <v>ドロップイベント1-4</v>
      </c>
      <c r="I557" s="18">
        <v>0</v>
      </c>
      <c r="J557" s="5">
        <f>COUNTIF(C$1:C557,C557)</f>
        <v>28</v>
      </c>
      <c r="K557" s="34">
        <v>32</v>
      </c>
      <c r="L557" s="5" t="s">
        <v>17</v>
      </c>
      <c r="M557" s="38" t="str">
        <f>VLOOKUP(K557,[2]stage_hints!$A:$C,3,FALSE)</f>
        <v>敵の連続攻撃には</v>
      </c>
      <c r="N557" s="39" t="str">
        <f>VLOOKUP(K557,[2]stage_hints!$A:$D,4,FALSE)</f>
        <v>カウンタースキルを持つユニットがいれば
ダメージ回数分の反撃ができます</v>
      </c>
      <c r="O557" s="20" t="s">
        <v>24</v>
      </c>
      <c r="P557">
        <v>32</v>
      </c>
    </row>
    <row r="558" spans="1:16" x14ac:dyDescent="0.15">
      <c r="A558" s="27" t="str">
        <f t="shared" si="72"/>
        <v>20004_3_29</v>
      </c>
      <c r="B558" s="25" t="s">
        <v>34</v>
      </c>
      <c r="C558" s="4">
        <v>20004</v>
      </c>
      <c r="D558" s="3" t="str">
        <f ca="1">VLOOKUP($C558,OFFSET([1]quests!$A$1,0,0,COUNTA([1]quests!$A:$A),MATCH(D$1,[1]quests!$1:$1,0)-MATCH($C$1,[1]quests!$1:$1,0)+1),MATCH(D$1,[1]quests!$1:$1,0)-MATCH($C$1,[1]quests!$1:$1,0)+1,FALSE)</f>
        <v>雷雲からの刺客</v>
      </c>
      <c r="E558" s="3" t="str">
        <f ca="1">VLOOKUP($C558,OFFSET([1]quests!$A$1,0,0,COUNTA([1]quests!$A:$A),MATCH(E$1,[1]quests!$1:$1,0)-MATCH($C$1,[1]quests!$1:$1,0)+1),MATCH(E$1,[1]quests!$1:$1,0)-MATCH($C$1,[1]quests!$1:$1,0)+1,FALSE)</f>
        <v>ドロップイベント1-4</v>
      </c>
      <c r="F558" s="5">
        <v>3</v>
      </c>
      <c r="G558" s="3" t="str">
        <f ca="1">VLOOKUP($C558&amp;"_"&amp;$F558,OFFSET([1]stages!$A$1,0,0,COUNTA([1]stages!$A:$A),MATCH(G$1,[1]stages!$2:$2,0)-MATCH("temp_stage",[1]stages!$2:$2,0)+1),MATCH(G$1,[1]stages!$2:$2,0)-MATCH("temp_stage",[1]stages!$2:$2,0)+1,FALSE)</f>
        <v>【上級】雷雲からの刺客</v>
      </c>
      <c r="H558" s="3" t="str">
        <f ca="1">VLOOKUP($C558&amp;"_"&amp;$F558,OFFSET([1]stages!$A$1,0,0,COUNTA([1]stages!$A:$A),MATCH(H$1,[1]stages!$2:$2,0)-MATCH("temp_stage",[1]stages!$2:$2,0)+1),MATCH(H$1,[1]stages!$2:$2,0)-MATCH("temp_stage",[1]stages!$2:$2,0)+1,FALSE)</f>
        <v>ドロップイベント1-4</v>
      </c>
      <c r="I558" s="18">
        <v>0</v>
      </c>
      <c r="J558" s="5">
        <f>COUNTIF(C$1:C558,C558)</f>
        <v>29</v>
      </c>
      <c r="K558" s="34">
        <v>33</v>
      </c>
      <c r="L558" s="5" t="s">
        <v>17</v>
      </c>
      <c r="M558" s="38" t="str">
        <f>VLOOKUP(K558,[2]stage_hints!$A:$C,3,FALSE)</f>
        <v>敵のカウンター攻撃には</v>
      </c>
      <c r="N558" s="39" t="str">
        <f>VLOOKUP(K558,[2]stage_hints!$A:$D,4,FALSE)</f>
        <v>カウンターブレイクスキルを持っていれば
敵のカウンターを解除して攻撃ができます</v>
      </c>
      <c r="O558" s="20" t="s">
        <v>24</v>
      </c>
      <c r="P558">
        <v>33</v>
      </c>
    </row>
    <row r="559" spans="1:16" x14ac:dyDescent="0.15">
      <c r="A559" s="27" t="str">
        <f t="shared" si="72"/>
        <v>20004_3_30</v>
      </c>
      <c r="B559" s="25" t="s">
        <v>34</v>
      </c>
      <c r="C559" s="4">
        <v>20004</v>
      </c>
      <c r="D559" s="3" t="str">
        <f ca="1">VLOOKUP($C559,OFFSET([1]quests!$A$1,0,0,COUNTA([1]quests!$A:$A),MATCH(D$1,[1]quests!$1:$1,0)-MATCH($C$1,[1]quests!$1:$1,0)+1),MATCH(D$1,[1]quests!$1:$1,0)-MATCH($C$1,[1]quests!$1:$1,0)+1,FALSE)</f>
        <v>雷雲からの刺客</v>
      </c>
      <c r="E559" s="3" t="str">
        <f ca="1">VLOOKUP($C559,OFFSET([1]quests!$A$1,0,0,COUNTA([1]quests!$A:$A),MATCH(E$1,[1]quests!$1:$1,0)-MATCH($C$1,[1]quests!$1:$1,0)+1),MATCH(E$1,[1]quests!$1:$1,0)-MATCH($C$1,[1]quests!$1:$1,0)+1,FALSE)</f>
        <v>ドロップイベント1-4</v>
      </c>
      <c r="F559" s="5">
        <v>3</v>
      </c>
      <c r="G559" s="3" t="str">
        <f ca="1">VLOOKUP($C559&amp;"_"&amp;$F559,OFFSET([1]stages!$A$1,0,0,COUNTA([1]stages!$A:$A),MATCH(G$1,[1]stages!$2:$2,0)-MATCH("temp_stage",[1]stages!$2:$2,0)+1),MATCH(G$1,[1]stages!$2:$2,0)-MATCH("temp_stage",[1]stages!$2:$2,0)+1,FALSE)</f>
        <v>【上級】雷雲からの刺客</v>
      </c>
      <c r="H559" s="3" t="str">
        <f ca="1">VLOOKUP($C559&amp;"_"&amp;$F559,OFFSET([1]stages!$A$1,0,0,COUNTA([1]stages!$A:$A),MATCH(H$1,[1]stages!$2:$2,0)-MATCH("temp_stage",[1]stages!$2:$2,0)+1),MATCH(H$1,[1]stages!$2:$2,0)-MATCH("temp_stage",[1]stages!$2:$2,0)+1,FALSE)</f>
        <v>ドロップイベント1-4</v>
      </c>
      <c r="I559" s="18">
        <v>0</v>
      </c>
      <c r="J559" s="5">
        <f>COUNTIF(C$1:C559,C559)</f>
        <v>30</v>
      </c>
      <c r="K559" s="34">
        <v>34</v>
      </c>
      <c r="L559" s="5" t="s">
        <v>17</v>
      </c>
      <c r="M559" s="38" t="str">
        <f>VLOOKUP(K559,[2]stage_hints!$A:$C,3,FALSE)</f>
        <v>ステータスをスキルで下げられたら</v>
      </c>
      <c r="N559" s="39" t="str">
        <f>VLOOKUP(K559,[2]stage_hints!$A:$D,4,FALSE)</f>
        <v>ステータスダウンのスキルを受けたら
ステータスアップスキルで上書きしましょう</v>
      </c>
      <c r="O559" s="20" t="s">
        <v>24</v>
      </c>
      <c r="P559">
        <v>34</v>
      </c>
    </row>
    <row r="560" spans="1:16" x14ac:dyDescent="0.15">
      <c r="A560" s="27" t="str">
        <f t="shared" si="72"/>
        <v>20004_3_31</v>
      </c>
      <c r="B560" s="25" t="s">
        <v>34</v>
      </c>
      <c r="C560" s="4">
        <v>20004</v>
      </c>
      <c r="D560" s="3" t="str">
        <f ca="1">VLOOKUP($C560,OFFSET([1]quests!$A$1,0,0,COUNTA([1]quests!$A:$A),MATCH(D$1,[1]quests!$1:$1,0)-MATCH($C$1,[1]quests!$1:$1,0)+1),MATCH(D$1,[1]quests!$1:$1,0)-MATCH($C$1,[1]quests!$1:$1,0)+1,FALSE)</f>
        <v>雷雲からの刺客</v>
      </c>
      <c r="E560" s="3" t="str">
        <f ca="1">VLOOKUP($C560,OFFSET([1]quests!$A$1,0,0,COUNTA([1]quests!$A:$A),MATCH(E$1,[1]quests!$1:$1,0)-MATCH($C$1,[1]quests!$1:$1,0)+1),MATCH(E$1,[1]quests!$1:$1,0)-MATCH($C$1,[1]quests!$1:$1,0)+1,FALSE)</f>
        <v>ドロップイベント1-4</v>
      </c>
      <c r="F560" s="5">
        <v>3</v>
      </c>
      <c r="G560" s="3" t="str">
        <f ca="1">VLOOKUP($C560&amp;"_"&amp;$F560,OFFSET([1]stages!$A$1,0,0,COUNTA([1]stages!$A:$A),MATCH(G$1,[1]stages!$2:$2,0)-MATCH("temp_stage",[1]stages!$2:$2,0)+1),MATCH(G$1,[1]stages!$2:$2,0)-MATCH("temp_stage",[1]stages!$2:$2,0)+1,FALSE)</f>
        <v>【上級】雷雲からの刺客</v>
      </c>
      <c r="H560" s="3" t="str">
        <f ca="1">VLOOKUP($C560&amp;"_"&amp;$F560,OFFSET([1]stages!$A$1,0,0,COUNTA([1]stages!$A:$A),MATCH(H$1,[1]stages!$2:$2,0)-MATCH("temp_stage",[1]stages!$2:$2,0)+1),MATCH(H$1,[1]stages!$2:$2,0)-MATCH("temp_stage",[1]stages!$2:$2,0)+1,FALSE)</f>
        <v>ドロップイベント1-4</v>
      </c>
      <c r="I560" s="18">
        <v>0</v>
      </c>
      <c r="J560" s="5">
        <f>COUNTIF(C$1:C560,C560)</f>
        <v>31</v>
      </c>
      <c r="K560" s="34">
        <v>35</v>
      </c>
      <c r="L560" s="5" t="s">
        <v>17</v>
      </c>
      <c r="M560" s="38" t="str">
        <f>VLOOKUP(K560,[2]stage_hints!$A:$C,3,FALSE)</f>
        <v>敵のステータスがスキルで上がったら</v>
      </c>
      <c r="N560" s="39" t="str">
        <f>VLOOKUP(K560,[2]stage_hints!$A:$D,4,FALSE)</f>
        <v>敵のステータスがスキルでアップしたときは
ステータスダウンスキルで上書きしましょう</v>
      </c>
      <c r="O560" s="20" t="s">
        <v>24</v>
      </c>
      <c r="P560">
        <v>35</v>
      </c>
    </row>
    <row r="561" spans="1:16" x14ac:dyDescent="0.15">
      <c r="A561" s="27" t="str">
        <f t="shared" si="72"/>
        <v>20004_3_32</v>
      </c>
      <c r="B561" s="25" t="s">
        <v>34</v>
      </c>
      <c r="C561" s="4">
        <v>20004</v>
      </c>
      <c r="D561" s="3" t="str">
        <f ca="1">VLOOKUP($C561,OFFSET([1]quests!$A$1,0,0,COUNTA([1]quests!$A:$A),MATCH(D$1,[1]quests!$1:$1,0)-MATCH($C$1,[1]quests!$1:$1,0)+1),MATCH(D$1,[1]quests!$1:$1,0)-MATCH($C$1,[1]quests!$1:$1,0)+1,FALSE)</f>
        <v>雷雲からの刺客</v>
      </c>
      <c r="E561" s="3" t="str">
        <f ca="1">VLOOKUP($C561,OFFSET([1]quests!$A$1,0,0,COUNTA([1]quests!$A:$A),MATCH(E$1,[1]quests!$1:$1,0)-MATCH($C$1,[1]quests!$1:$1,0)+1),MATCH(E$1,[1]quests!$1:$1,0)-MATCH($C$1,[1]quests!$1:$1,0)+1,FALSE)</f>
        <v>ドロップイベント1-4</v>
      </c>
      <c r="F561" s="5">
        <v>3</v>
      </c>
      <c r="G561" s="3" t="str">
        <f ca="1">VLOOKUP($C561&amp;"_"&amp;$F561,OFFSET([1]stages!$A$1,0,0,COUNTA([1]stages!$A:$A),MATCH(G$1,[1]stages!$2:$2,0)-MATCH("temp_stage",[1]stages!$2:$2,0)+1),MATCH(G$1,[1]stages!$2:$2,0)-MATCH("temp_stage",[1]stages!$2:$2,0)+1,FALSE)</f>
        <v>【上級】雷雲からの刺客</v>
      </c>
      <c r="H561" s="3" t="str">
        <f ca="1">VLOOKUP($C561&amp;"_"&amp;$F561,OFFSET([1]stages!$A$1,0,0,COUNTA([1]stages!$A:$A),MATCH(H$1,[1]stages!$2:$2,0)-MATCH("temp_stage",[1]stages!$2:$2,0)+1),MATCH(H$1,[1]stages!$2:$2,0)-MATCH("temp_stage",[1]stages!$2:$2,0)+1,FALSE)</f>
        <v>ドロップイベント1-4</v>
      </c>
      <c r="I561" s="18">
        <v>0</v>
      </c>
      <c r="J561" s="5">
        <f>COUNTIF(C$1:C561,C561)</f>
        <v>32</v>
      </c>
      <c r="K561" s="34">
        <v>36</v>
      </c>
      <c r="L561" s="5" t="s">
        <v>17</v>
      </c>
      <c r="M561" s="38" t="str">
        <f>VLOOKUP(K561,[2]stage_hints!$A:$C,3,FALSE)</f>
        <v>チャレンジタワーのボス</v>
      </c>
      <c r="N561" s="39" t="str">
        <f>VLOOKUP(K561,[2]stage_hints!$A:$D,4,FALSE)</f>
        <v>チャレンジタワーでのみ登場するボスは
一定確率で獲得することができます</v>
      </c>
      <c r="O561" s="20" t="s">
        <v>24</v>
      </c>
      <c r="P561">
        <v>36</v>
      </c>
    </row>
    <row r="562" spans="1:16" x14ac:dyDescent="0.15">
      <c r="A562" s="27" t="str">
        <f t="shared" si="72"/>
        <v>20004_3_33</v>
      </c>
      <c r="B562" s="25" t="s">
        <v>34</v>
      </c>
      <c r="C562" s="4">
        <v>20004</v>
      </c>
      <c r="D562" s="3" t="str">
        <f ca="1">VLOOKUP($C562,OFFSET([1]quests!$A$1,0,0,COUNTA([1]quests!$A:$A),MATCH(D$1,[1]quests!$1:$1,0)-MATCH($C$1,[1]quests!$1:$1,0)+1),MATCH(D$1,[1]quests!$1:$1,0)-MATCH($C$1,[1]quests!$1:$1,0)+1,FALSE)</f>
        <v>雷雲からの刺客</v>
      </c>
      <c r="E562" s="3" t="str">
        <f ca="1">VLOOKUP($C562,OFFSET([1]quests!$A$1,0,0,COUNTA([1]quests!$A:$A),MATCH(E$1,[1]quests!$1:$1,0)-MATCH($C$1,[1]quests!$1:$1,0)+1),MATCH(E$1,[1]quests!$1:$1,0)-MATCH($C$1,[1]quests!$1:$1,0)+1,FALSE)</f>
        <v>ドロップイベント1-4</v>
      </c>
      <c r="F562" s="5">
        <v>3</v>
      </c>
      <c r="G562" s="3" t="str">
        <f ca="1">VLOOKUP($C562&amp;"_"&amp;$F562,OFFSET([1]stages!$A$1,0,0,COUNTA([1]stages!$A:$A),MATCH(G$1,[1]stages!$2:$2,0)-MATCH("temp_stage",[1]stages!$2:$2,0)+1),MATCH(G$1,[1]stages!$2:$2,0)-MATCH("temp_stage",[1]stages!$2:$2,0)+1,FALSE)</f>
        <v>【上級】雷雲からの刺客</v>
      </c>
      <c r="H562" s="3" t="str">
        <f ca="1">VLOOKUP($C562&amp;"_"&amp;$F562,OFFSET([1]stages!$A$1,0,0,COUNTA([1]stages!$A:$A),MATCH(H$1,[1]stages!$2:$2,0)-MATCH("temp_stage",[1]stages!$2:$2,0)+1),MATCH(H$1,[1]stages!$2:$2,0)-MATCH("temp_stage",[1]stages!$2:$2,0)+1,FALSE)</f>
        <v>ドロップイベント1-4</v>
      </c>
      <c r="I562" s="18">
        <v>0</v>
      </c>
      <c r="J562" s="5">
        <f>COUNTIF(C$1:C562,C562)</f>
        <v>33</v>
      </c>
      <c r="K562" s="34">
        <v>37</v>
      </c>
      <c r="L562" s="5" t="s">
        <v>17</v>
      </c>
      <c r="M562" s="38" t="str">
        <f>VLOOKUP(K562,[2]stage_hints!$A:$C,3,FALSE)</f>
        <v>限界突破値の引き継ぎ</v>
      </c>
      <c r="N562" s="39" t="str">
        <f>VLOOKUP(K562,[2]stage_hints!$A:$D,4,FALSE)</f>
        <v>同じユニットを強化で合成すると
限界突破値を引き継げます（覚醒前後も可）</v>
      </c>
      <c r="O562" s="20" t="s">
        <v>24</v>
      </c>
      <c r="P562">
        <v>37</v>
      </c>
    </row>
    <row r="563" spans="1:16" x14ac:dyDescent="0.15">
      <c r="A563" s="27" t="str">
        <f t="shared" si="72"/>
        <v>20005_3_1</v>
      </c>
      <c r="B563" s="25" t="s">
        <v>34</v>
      </c>
      <c r="C563" s="4">
        <v>20005</v>
      </c>
      <c r="D563" s="3" t="str">
        <f ca="1">VLOOKUP($C563,OFFSET([1]quests!$A$1,0,0,COUNTA([1]quests!$A:$A),MATCH(D$1,[1]quests!$1:$1,0)-MATCH($C$1,[1]quests!$1:$1,0)+1),MATCH(D$1,[1]quests!$1:$1,0)-MATCH($C$1,[1]quests!$1:$1,0)+1,FALSE)</f>
        <v>ザ・キャノン</v>
      </c>
      <c r="E563" s="3" t="str">
        <f ca="1">VLOOKUP($C563,OFFSET([1]quests!$A$1,0,0,COUNTA([1]quests!$A:$A),MATCH(E$1,[1]quests!$1:$1,0)-MATCH($C$1,[1]quests!$1:$1,0)+1),MATCH(E$1,[1]quests!$1:$1,0)-MATCH($C$1,[1]quests!$1:$1,0)+1,FALSE)</f>
        <v>ドロップイベント2-2</v>
      </c>
      <c r="F563" s="5">
        <v>3</v>
      </c>
      <c r="G563" s="3" t="str">
        <f ca="1">VLOOKUP($C563&amp;"_"&amp;$F563,OFFSET([1]stages!$A$1,0,0,COUNTA([1]stages!$A:$A),MATCH(G$1,[1]stages!$2:$2,0)-MATCH("temp_stage",[1]stages!$2:$2,0)+1),MATCH(G$1,[1]stages!$2:$2,0)-MATCH("temp_stage",[1]stages!$2:$2,0)+1,FALSE)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63" s="3" t="str">
        <f ca="1">VLOOKUP($C563&amp;"_"&amp;$F563,OFFSET([1]stages!$A$1,0,0,COUNTA([1]stages!$A:$A),MATCH(H$1,[1]stages!$2:$2,0)-MATCH("temp_stage",[1]stages!$2:$2,0)+1),MATCH(H$1,[1]stages!$2:$2,0)-MATCH("temp_stage",[1]stages!$2:$2,0)+1,FALSE)</f>
        <v>ドロップイベント2-2</v>
      </c>
      <c r="I563" s="18">
        <v>0</v>
      </c>
      <c r="J563" s="5">
        <f>COUNTIF(C$1:C563,C563)</f>
        <v>1</v>
      </c>
      <c r="K563" s="34">
        <v>3</v>
      </c>
      <c r="L563" s="5" t="s">
        <v>17</v>
      </c>
      <c r="M563" s="38" t="str">
        <f>VLOOKUP(K563,[2]stage_hints!$A:$C,3,FALSE)</f>
        <v>ターゲット</v>
      </c>
      <c r="N563" s="39" t="str">
        <f>VLOOKUP(K563,[2]stage_hints!$A:$D,4,FALSE)</f>
        <v>敵ユニットをタップすると
その敵を狙い撃ちできます</v>
      </c>
      <c r="O563" s="20" t="s">
        <v>24</v>
      </c>
      <c r="P563">
        <v>3</v>
      </c>
    </row>
    <row r="564" spans="1:16" x14ac:dyDescent="0.15">
      <c r="A564" s="27" t="str">
        <f t="shared" si="72"/>
        <v>20005_3_2</v>
      </c>
      <c r="B564" s="25" t="s">
        <v>34</v>
      </c>
      <c r="C564" s="4">
        <v>20005</v>
      </c>
      <c r="D564" s="3" t="str">
        <f ca="1">VLOOKUP($C564,OFFSET([1]quests!$A$1,0,0,COUNTA([1]quests!$A:$A),MATCH(D$1,[1]quests!$1:$1,0)-MATCH($C$1,[1]quests!$1:$1,0)+1),MATCH(D$1,[1]quests!$1:$1,0)-MATCH($C$1,[1]quests!$1:$1,0)+1,FALSE)</f>
        <v>ザ・キャノン</v>
      </c>
      <c r="E564" s="3" t="str">
        <f ca="1">VLOOKUP($C564,OFFSET([1]quests!$A$1,0,0,COUNTA([1]quests!$A:$A),MATCH(E$1,[1]quests!$1:$1,0)-MATCH($C$1,[1]quests!$1:$1,0)+1),MATCH(E$1,[1]quests!$1:$1,0)-MATCH($C$1,[1]quests!$1:$1,0)+1,FALSE)</f>
        <v>ドロップイベント2-2</v>
      </c>
      <c r="F564" s="5">
        <v>3</v>
      </c>
      <c r="G564" s="3" t="str">
        <f ca="1">VLOOKUP($C564&amp;"_"&amp;$F564,OFFSET([1]stages!$A$1,0,0,COUNTA([1]stages!$A:$A),MATCH(G$1,[1]stages!$2:$2,0)-MATCH("temp_stage",[1]stages!$2:$2,0)+1),MATCH(G$1,[1]stages!$2:$2,0)-MATCH("temp_stage",[1]stages!$2:$2,0)+1,FALSE)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64" s="3" t="str">
        <f ca="1">VLOOKUP($C564&amp;"_"&amp;$F564,OFFSET([1]stages!$A$1,0,0,COUNTA([1]stages!$A:$A),MATCH(H$1,[1]stages!$2:$2,0)-MATCH("temp_stage",[1]stages!$2:$2,0)+1),MATCH(H$1,[1]stages!$2:$2,0)-MATCH("temp_stage",[1]stages!$2:$2,0)+1,FALSE)</f>
        <v>ドロップイベント2-2</v>
      </c>
      <c r="I564" s="18">
        <v>0</v>
      </c>
      <c r="J564" s="5">
        <f>COUNTIF(C$1:C564,C564)</f>
        <v>2</v>
      </c>
      <c r="K564" s="34">
        <v>6</v>
      </c>
      <c r="L564" s="5" t="s">
        <v>17</v>
      </c>
      <c r="M564" s="38" t="str">
        <f>VLOOKUP(K564,[2]stage_hints!$A:$C,3,FALSE)</f>
        <v>ユニット強化の属性ボーナス</v>
      </c>
      <c r="N564" s="39" t="str">
        <f>VLOOKUP(K564,[2]stage_hints!$A:$D,4,FALSE)</f>
        <v>同属性ユニットを強化素材にすると
経験値が多くもらえます</v>
      </c>
      <c r="O564" s="20" t="s">
        <v>24</v>
      </c>
      <c r="P564">
        <v>6</v>
      </c>
    </row>
    <row r="565" spans="1:16" x14ac:dyDescent="0.15">
      <c r="A565" s="27" t="str">
        <f t="shared" si="72"/>
        <v>20005_3_3</v>
      </c>
      <c r="B565" s="25" t="s">
        <v>34</v>
      </c>
      <c r="C565" s="4">
        <v>20005</v>
      </c>
      <c r="D565" s="3" t="str">
        <f ca="1">VLOOKUP($C565,OFFSET([1]quests!$A$1,0,0,COUNTA([1]quests!$A:$A),MATCH(D$1,[1]quests!$1:$1,0)-MATCH($C$1,[1]quests!$1:$1,0)+1),MATCH(D$1,[1]quests!$1:$1,0)-MATCH($C$1,[1]quests!$1:$1,0)+1,FALSE)</f>
        <v>ザ・キャノン</v>
      </c>
      <c r="E565" s="3" t="str">
        <f ca="1">VLOOKUP($C565,OFFSET([1]quests!$A$1,0,0,COUNTA([1]quests!$A:$A),MATCH(E$1,[1]quests!$1:$1,0)-MATCH($C$1,[1]quests!$1:$1,0)+1),MATCH(E$1,[1]quests!$1:$1,0)-MATCH($C$1,[1]quests!$1:$1,0)+1,FALSE)</f>
        <v>ドロップイベント2-2</v>
      </c>
      <c r="F565" s="5">
        <v>3</v>
      </c>
      <c r="G565" s="3" t="str">
        <f ca="1">VLOOKUP($C565&amp;"_"&amp;$F565,OFFSET([1]stages!$A$1,0,0,COUNTA([1]stages!$A:$A),MATCH(G$1,[1]stages!$2:$2,0)-MATCH("temp_stage",[1]stages!$2:$2,0)+1),MATCH(G$1,[1]stages!$2:$2,0)-MATCH("temp_stage",[1]stages!$2:$2,0)+1,FALSE)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65" s="3" t="str">
        <f ca="1">VLOOKUP($C565&amp;"_"&amp;$F565,OFFSET([1]stages!$A$1,0,0,COUNTA([1]stages!$A:$A),MATCH(H$1,[1]stages!$2:$2,0)-MATCH("temp_stage",[1]stages!$2:$2,0)+1),MATCH(H$1,[1]stages!$2:$2,0)-MATCH("temp_stage",[1]stages!$2:$2,0)+1,FALSE)</f>
        <v>ドロップイベント2-2</v>
      </c>
      <c r="I565" s="18">
        <v>0</v>
      </c>
      <c r="J565" s="5">
        <f>COUNTIF(C$1:C565,C565)</f>
        <v>3</v>
      </c>
      <c r="K565" s="34">
        <v>7</v>
      </c>
      <c r="L565" s="5" t="s">
        <v>17</v>
      </c>
      <c r="M565" s="38" t="str">
        <f>VLOOKUP(K565,[2]stage_hints!$A:$C,3,FALSE)</f>
        <v>メタルダックで経験値を獲得</v>
      </c>
      <c r="N565" s="39" t="str">
        <f>VLOOKUP(K565,[2]stage_hints!$A:$D,4,FALSE)</f>
        <v>「メタルなアヒル」を強化素材にすると
大量の経験値がもらえます</v>
      </c>
      <c r="O565" s="20" t="s">
        <v>24</v>
      </c>
      <c r="P565">
        <v>7</v>
      </c>
    </row>
    <row r="566" spans="1:16" x14ac:dyDescent="0.15">
      <c r="A566" s="27" t="str">
        <f t="shared" si="72"/>
        <v>20005_3_4</v>
      </c>
      <c r="B566" s="25" t="s">
        <v>34</v>
      </c>
      <c r="C566" s="4">
        <v>20005</v>
      </c>
      <c r="D566" s="3" t="str">
        <f ca="1">VLOOKUP($C566,OFFSET([1]quests!$A$1,0,0,COUNTA([1]quests!$A:$A),MATCH(D$1,[1]quests!$1:$1,0)-MATCH($C$1,[1]quests!$1:$1,0)+1),MATCH(D$1,[1]quests!$1:$1,0)-MATCH($C$1,[1]quests!$1:$1,0)+1,FALSE)</f>
        <v>ザ・キャノン</v>
      </c>
      <c r="E566" s="3" t="str">
        <f ca="1">VLOOKUP($C566,OFFSET([1]quests!$A$1,0,0,COUNTA([1]quests!$A:$A),MATCH(E$1,[1]quests!$1:$1,0)-MATCH($C$1,[1]quests!$1:$1,0)+1),MATCH(E$1,[1]quests!$1:$1,0)-MATCH($C$1,[1]quests!$1:$1,0)+1,FALSE)</f>
        <v>ドロップイベント2-2</v>
      </c>
      <c r="F566" s="5">
        <v>3</v>
      </c>
      <c r="G566" s="3" t="str">
        <f ca="1">VLOOKUP($C566&amp;"_"&amp;$F566,OFFSET([1]stages!$A$1,0,0,COUNTA([1]stages!$A:$A),MATCH(G$1,[1]stages!$2:$2,0)-MATCH("temp_stage",[1]stages!$2:$2,0)+1),MATCH(G$1,[1]stages!$2:$2,0)-MATCH("temp_stage",[1]stages!$2:$2,0)+1,FALSE)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66" s="3" t="str">
        <f ca="1">VLOOKUP($C566&amp;"_"&amp;$F566,OFFSET([1]stages!$A$1,0,0,COUNTA([1]stages!$A:$A),MATCH(H$1,[1]stages!$2:$2,0)-MATCH("temp_stage",[1]stages!$2:$2,0)+1),MATCH(H$1,[1]stages!$2:$2,0)-MATCH("temp_stage",[1]stages!$2:$2,0)+1,FALSE)</f>
        <v>ドロップイベント2-2</v>
      </c>
      <c r="I566" s="18">
        <v>0</v>
      </c>
      <c r="J566" s="5">
        <f>COUNTIF(C$1:C566,C566)</f>
        <v>4</v>
      </c>
      <c r="K566" s="34">
        <v>8</v>
      </c>
      <c r="L566" s="5" t="s">
        <v>17</v>
      </c>
      <c r="M566" s="38" t="str">
        <f>VLOOKUP(K566,[2]stage_hints!$A:$C,3,FALSE)</f>
        <v>ゲリラクエストは要チェック</v>
      </c>
      <c r="N566" s="39" t="str">
        <f>VLOOKUP(K566,[2]stage_hints!$A:$D,4,FALSE)</f>
        <v>時間限定の「アヒル捕獲作戦」では
経験値素材ユニットが多く手に入ります</v>
      </c>
      <c r="O566" s="20" t="s">
        <v>24</v>
      </c>
      <c r="P566">
        <v>8</v>
      </c>
    </row>
    <row r="567" spans="1:16" x14ac:dyDescent="0.15">
      <c r="A567" s="27" t="str">
        <f t="shared" si="72"/>
        <v>20005_3_5</v>
      </c>
      <c r="B567" s="25" t="s">
        <v>34</v>
      </c>
      <c r="C567" s="4">
        <v>20005</v>
      </c>
      <c r="D567" s="3" t="str">
        <f ca="1">VLOOKUP($C567,OFFSET([1]quests!$A$1,0,0,COUNTA([1]quests!$A:$A),MATCH(D$1,[1]quests!$1:$1,0)-MATCH($C$1,[1]quests!$1:$1,0)+1),MATCH(D$1,[1]quests!$1:$1,0)-MATCH($C$1,[1]quests!$1:$1,0)+1,FALSE)</f>
        <v>ザ・キャノン</v>
      </c>
      <c r="E567" s="3" t="str">
        <f ca="1">VLOOKUP($C567,OFFSET([1]quests!$A$1,0,0,COUNTA([1]quests!$A:$A),MATCH(E$1,[1]quests!$1:$1,0)-MATCH($C$1,[1]quests!$1:$1,0)+1),MATCH(E$1,[1]quests!$1:$1,0)-MATCH($C$1,[1]quests!$1:$1,0)+1,FALSE)</f>
        <v>ドロップイベント2-2</v>
      </c>
      <c r="F567" s="5">
        <v>3</v>
      </c>
      <c r="G567" s="3" t="str">
        <f ca="1">VLOOKUP($C567&amp;"_"&amp;$F567,OFFSET([1]stages!$A$1,0,0,COUNTA([1]stages!$A:$A),MATCH(G$1,[1]stages!$2:$2,0)-MATCH("temp_stage",[1]stages!$2:$2,0)+1),MATCH(G$1,[1]stages!$2:$2,0)-MATCH("temp_stage",[1]stages!$2:$2,0)+1,FALSE)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67" s="3" t="str">
        <f ca="1">VLOOKUP($C567&amp;"_"&amp;$F567,OFFSET([1]stages!$A$1,0,0,COUNTA([1]stages!$A:$A),MATCH(H$1,[1]stages!$2:$2,0)-MATCH("temp_stage",[1]stages!$2:$2,0)+1),MATCH(H$1,[1]stages!$2:$2,0)-MATCH("temp_stage",[1]stages!$2:$2,0)+1,FALSE)</f>
        <v>ドロップイベント2-2</v>
      </c>
      <c r="I567" s="18">
        <v>0</v>
      </c>
      <c r="J567" s="5">
        <f>COUNTIF(C$1:C567,C567)</f>
        <v>5</v>
      </c>
      <c r="K567" s="34">
        <v>9</v>
      </c>
      <c r="L567" s="5" t="s">
        <v>17</v>
      </c>
      <c r="M567" s="38" t="str">
        <f>VLOOKUP(K567,[2]stage_hints!$A:$C,3,FALSE)</f>
        <v>ゴールドダックでビットを獲得</v>
      </c>
      <c r="N567" s="39" t="str">
        <f>VLOOKUP(K567,[2]stage_hints!$A:$D,4,FALSE)</f>
        <v>「ゴールドなアヒル」を売却すると
大量のビットがもらえます</v>
      </c>
      <c r="O567" s="20" t="s">
        <v>24</v>
      </c>
      <c r="P567">
        <v>9</v>
      </c>
    </row>
    <row r="568" spans="1:16" x14ac:dyDescent="0.15">
      <c r="A568" s="27" t="str">
        <f t="shared" si="72"/>
        <v>20005_3_6</v>
      </c>
      <c r="B568" s="25" t="s">
        <v>34</v>
      </c>
      <c r="C568" s="4">
        <v>20005</v>
      </c>
      <c r="D568" s="3" t="str">
        <f ca="1">VLOOKUP($C568,OFFSET([1]quests!$A$1,0,0,COUNTA([1]quests!$A:$A),MATCH(D$1,[1]quests!$1:$1,0)-MATCH($C$1,[1]quests!$1:$1,0)+1),MATCH(D$1,[1]quests!$1:$1,0)-MATCH($C$1,[1]quests!$1:$1,0)+1,FALSE)</f>
        <v>ザ・キャノン</v>
      </c>
      <c r="E568" s="3" t="str">
        <f ca="1">VLOOKUP($C568,OFFSET([1]quests!$A$1,0,0,COUNTA([1]quests!$A:$A),MATCH(E$1,[1]quests!$1:$1,0)-MATCH($C$1,[1]quests!$1:$1,0)+1),MATCH(E$1,[1]quests!$1:$1,0)-MATCH($C$1,[1]quests!$1:$1,0)+1,FALSE)</f>
        <v>ドロップイベント2-2</v>
      </c>
      <c r="F568" s="5">
        <v>3</v>
      </c>
      <c r="G568" s="3" t="str">
        <f ca="1">VLOOKUP($C568&amp;"_"&amp;$F568,OFFSET([1]stages!$A$1,0,0,COUNTA([1]stages!$A:$A),MATCH(G$1,[1]stages!$2:$2,0)-MATCH("temp_stage",[1]stages!$2:$2,0)+1),MATCH(G$1,[1]stages!$2:$2,0)-MATCH("temp_stage",[1]stages!$2:$2,0)+1,FALSE)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68" s="3" t="str">
        <f ca="1">VLOOKUP($C568&amp;"_"&amp;$F568,OFFSET([1]stages!$A$1,0,0,COUNTA([1]stages!$A:$A),MATCH(H$1,[1]stages!$2:$2,0)-MATCH("temp_stage",[1]stages!$2:$2,0)+1),MATCH(H$1,[1]stages!$2:$2,0)-MATCH("temp_stage",[1]stages!$2:$2,0)+1,FALSE)</f>
        <v>ドロップイベント2-2</v>
      </c>
      <c r="I568" s="18">
        <v>0</v>
      </c>
      <c r="J568" s="5">
        <f>COUNTIF(C$1:C568,C568)</f>
        <v>6</v>
      </c>
      <c r="K568" s="34">
        <v>10</v>
      </c>
      <c r="L568" s="5" t="s">
        <v>17</v>
      </c>
      <c r="M568" s="38" t="str">
        <f>VLOOKUP(K568,[2]stage_hints!$A:$C,3,FALSE)</f>
        <v>土日に大量のビットを獲得</v>
      </c>
      <c r="N568" s="39" t="str">
        <f>VLOOKUP(K568,[2]stage_hints!$A:$D,4,FALSE)</f>
        <v>土日限定の「ゴールドカジノ」では
売却素材ユニットが多く手に入ります</v>
      </c>
      <c r="O568" s="20" t="s">
        <v>24</v>
      </c>
      <c r="P568">
        <v>10</v>
      </c>
    </row>
    <row r="569" spans="1:16" x14ac:dyDescent="0.15">
      <c r="A569" s="27" t="str">
        <f t="shared" si="72"/>
        <v>20005_3_7</v>
      </c>
      <c r="B569" s="25" t="s">
        <v>34</v>
      </c>
      <c r="C569" s="4">
        <v>20005</v>
      </c>
      <c r="D569" s="3" t="str">
        <f ca="1">VLOOKUP($C569,OFFSET([1]quests!$A$1,0,0,COUNTA([1]quests!$A:$A),MATCH(D$1,[1]quests!$1:$1,0)-MATCH($C$1,[1]quests!$1:$1,0)+1),MATCH(D$1,[1]quests!$1:$1,0)-MATCH($C$1,[1]quests!$1:$1,0)+1,FALSE)</f>
        <v>ザ・キャノン</v>
      </c>
      <c r="E569" s="3" t="str">
        <f ca="1">VLOOKUP($C569,OFFSET([1]quests!$A$1,0,0,COUNTA([1]quests!$A:$A),MATCH(E$1,[1]quests!$1:$1,0)-MATCH($C$1,[1]quests!$1:$1,0)+1),MATCH(E$1,[1]quests!$1:$1,0)-MATCH($C$1,[1]quests!$1:$1,0)+1,FALSE)</f>
        <v>ドロップイベント2-2</v>
      </c>
      <c r="F569" s="5">
        <v>3</v>
      </c>
      <c r="G569" s="3" t="str">
        <f ca="1">VLOOKUP($C569&amp;"_"&amp;$F569,OFFSET([1]stages!$A$1,0,0,COUNTA([1]stages!$A:$A),MATCH(G$1,[1]stages!$2:$2,0)-MATCH("temp_stage",[1]stages!$2:$2,0)+1),MATCH(G$1,[1]stages!$2:$2,0)-MATCH("temp_stage",[1]stages!$2:$2,0)+1,FALSE)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69" s="3" t="str">
        <f ca="1">VLOOKUP($C569&amp;"_"&amp;$F569,OFFSET([1]stages!$A$1,0,0,COUNTA([1]stages!$A:$A),MATCH(H$1,[1]stages!$2:$2,0)-MATCH("temp_stage",[1]stages!$2:$2,0)+1),MATCH(H$1,[1]stages!$2:$2,0)-MATCH("temp_stage",[1]stages!$2:$2,0)+1,FALSE)</f>
        <v>ドロップイベント2-2</v>
      </c>
      <c r="I569" s="18">
        <v>0</v>
      </c>
      <c r="J569" s="5">
        <f>COUNTIF(C$1:C569,C569)</f>
        <v>7</v>
      </c>
      <c r="K569" s="34">
        <v>11</v>
      </c>
      <c r="L569" s="5" t="s">
        <v>17</v>
      </c>
      <c r="M569" s="38" t="str">
        <f>VLOOKUP(K569,[2]stage_hints!$A:$C,3,FALSE)</f>
        <v>ランク解放クエスト</v>
      </c>
      <c r="N569" s="39" t="str">
        <f>VLOOKUP(K569,[2]stage_hints!$A:$D,4,FALSE)</f>
        <v>一定ランクに到達すると
報酬付きのランク開放クエストが現れます</v>
      </c>
      <c r="O569" s="20" t="s">
        <v>24</v>
      </c>
      <c r="P569">
        <v>11</v>
      </c>
    </row>
    <row r="570" spans="1:16" x14ac:dyDescent="0.15">
      <c r="A570" s="27" t="str">
        <f t="shared" si="72"/>
        <v>20005_3_8</v>
      </c>
      <c r="B570" s="25" t="s">
        <v>34</v>
      </c>
      <c r="C570" s="4">
        <v>20005</v>
      </c>
      <c r="D570" s="3" t="str">
        <f ca="1">VLOOKUP($C570,OFFSET([1]quests!$A$1,0,0,COUNTA([1]quests!$A:$A),MATCH(D$1,[1]quests!$1:$1,0)-MATCH($C$1,[1]quests!$1:$1,0)+1),MATCH(D$1,[1]quests!$1:$1,0)-MATCH($C$1,[1]quests!$1:$1,0)+1,FALSE)</f>
        <v>ザ・キャノン</v>
      </c>
      <c r="E570" s="3" t="str">
        <f ca="1">VLOOKUP($C570,OFFSET([1]quests!$A$1,0,0,COUNTA([1]quests!$A:$A),MATCH(E$1,[1]quests!$1:$1,0)-MATCH($C$1,[1]quests!$1:$1,0)+1),MATCH(E$1,[1]quests!$1:$1,0)-MATCH($C$1,[1]quests!$1:$1,0)+1,FALSE)</f>
        <v>ドロップイベント2-2</v>
      </c>
      <c r="F570" s="5">
        <v>3</v>
      </c>
      <c r="G570" s="3" t="str">
        <f ca="1">VLOOKUP($C570&amp;"_"&amp;$F570,OFFSET([1]stages!$A$1,0,0,COUNTA([1]stages!$A:$A),MATCH(G$1,[1]stages!$2:$2,0)-MATCH("temp_stage",[1]stages!$2:$2,0)+1),MATCH(G$1,[1]stages!$2:$2,0)-MATCH("temp_stage",[1]stages!$2:$2,0)+1,FALSE)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0" s="3" t="str">
        <f ca="1">VLOOKUP($C570&amp;"_"&amp;$F570,OFFSET([1]stages!$A$1,0,0,COUNTA([1]stages!$A:$A),MATCH(H$1,[1]stages!$2:$2,0)-MATCH("temp_stage",[1]stages!$2:$2,0)+1),MATCH(H$1,[1]stages!$2:$2,0)-MATCH("temp_stage",[1]stages!$2:$2,0)+1,FALSE)</f>
        <v>ドロップイベント2-2</v>
      </c>
      <c r="I570" s="18">
        <v>0</v>
      </c>
      <c r="J570" s="5">
        <f>COUNTIF(C$1:C570,C570)</f>
        <v>8</v>
      </c>
      <c r="K570" s="34">
        <v>12</v>
      </c>
      <c r="L570" s="5" t="s">
        <v>17</v>
      </c>
      <c r="M570" s="38" t="str">
        <f>VLOOKUP(K570,[2]stage_hints!$A:$C,3,FALSE)</f>
        <v>ユニットのお気に入り登録</v>
      </c>
      <c r="N570" s="39" t="str">
        <f>VLOOKUP(K570,[2]stage_hints!$A:$D,4,FALSE)</f>
        <v>大事なユニットを誤って消さないように
フォルダから「お気に入り登録」しましょう</v>
      </c>
      <c r="O570" s="20" t="s">
        <v>24</v>
      </c>
      <c r="P570">
        <v>12</v>
      </c>
    </row>
    <row r="571" spans="1:16" x14ac:dyDescent="0.15">
      <c r="A571" s="27" t="str">
        <f t="shared" si="72"/>
        <v>20005_3_9</v>
      </c>
      <c r="B571" s="25" t="s">
        <v>34</v>
      </c>
      <c r="C571" s="4">
        <v>20005</v>
      </c>
      <c r="D571" s="3" t="str">
        <f ca="1">VLOOKUP($C571,OFFSET([1]quests!$A$1,0,0,COUNTA([1]quests!$A:$A),MATCH(D$1,[1]quests!$1:$1,0)-MATCH($C$1,[1]quests!$1:$1,0)+1),MATCH(D$1,[1]quests!$1:$1,0)-MATCH($C$1,[1]quests!$1:$1,0)+1,FALSE)</f>
        <v>ザ・キャノン</v>
      </c>
      <c r="E571" s="3" t="str">
        <f ca="1">VLOOKUP($C571,OFFSET([1]quests!$A$1,0,0,COUNTA([1]quests!$A:$A),MATCH(E$1,[1]quests!$1:$1,0)-MATCH($C$1,[1]quests!$1:$1,0)+1),MATCH(E$1,[1]quests!$1:$1,0)-MATCH($C$1,[1]quests!$1:$1,0)+1,FALSE)</f>
        <v>ドロップイベント2-2</v>
      </c>
      <c r="F571" s="5">
        <v>3</v>
      </c>
      <c r="G571" s="3" t="str">
        <f ca="1">VLOOKUP($C571&amp;"_"&amp;$F571,OFFSET([1]stages!$A$1,0,0,COUNTA([1]stages!$A:$A),MATCH(G$1,[1]stages!$2:$2,0)-MATCH("temp_stage",[1]stages!$2:$2,0)+1),MATCH(G$1,[1]stages!$2:$2,0)-MATCH("temp_stage",[1]stages!$2:$2,0)+1,FALSE)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1" s="3" t="str">
        <f ca="1">VLOOKUP($C571&amp;"_"&amp;$F571,OFFSET([1]stages!$A$1,0,0,COUNTA([1]stages!$A:$A),MATCH(H$1,[1]stages!$2:$2,0)-MATCH("temp_stage",[1]stages!$2:$2,0)+1),MATCH(H$1,[1]stages!$2:$2,0)-MATCH("temp_stage",[1]stages!$2:$2,0)+1,FALSE)</f>
        <v>ドロップイベント2-2</v>
      </c>
      <c r="I571" s="18">
        <v>0</v>
      </c>
      <c r="J571" s="5">
        <f>COUNTIF(C$1:C571,C571)</f>
        <v>9</v>
      </c>
      <c r="K571" s="34">
        <v>13</v>
      </c>
      <c r="L571" s="5" t="s">
        <v>17</v>
      </c>
      <c r="M571" s="38" t="str">
        <f>VLOOKUP(K571,[2]stage_hints!$A:$C,3,FALSE)</f>
        <v>ユニットの覚醒</v>
      </c>
      <c r="N571" s="39" t="str">
        <f>VLOOKUP(K571,[2]stage_hints!$A:$D,4,FALSE)</f>
        <v>ユニットを覚醒させると
比べものにならない強さが手に入ります</v>
      </c>
      <c r="O571" s="20" t="s">
        <v>24</v>
      </c>
      <c r="P571">
        <v>13</v>
      </c>
    </row>
    <row r="572" spans="1:16" x14ac:dyDescent="0.15">
      <c r="A572" s="27" t="str">
        <f t="shared" si="72"/>
        <v>20005_3_10</v>
      </c>
      <c r="B572" s="25" t="s">
        <v>34</v>
      </c>
      <c r="C572" s="4">
        <v>20005</v>
      </c>
      <c r="D572" s="3" t="str">
        <f ca="1">VLOOKUP($C572,OFFSET([1]quests!$A$1,0,0,COUNTA([1]quests!$A:$A),MATCH(D$1,[1]quests!$1:$1,0)-MATCH($C$1,[1]quests!$1:$1,0)+1),MATCH(D$1,[1]quests!$1:$1,0)-MATCH($C$1,[1]quests!$1:$1,0)+1,FALSE)</f>
        <v>ザ・キャノン</v>
      </c>
      <c r="E572" s="3" t="str">
        <f ca="1">VLOOKUP($C572,OFFSET([1]quests!$A$1,0,0,COUNTA([1]quests!$A:$A),MATCH(E$1,[1]quests!$1:$1,0)-MATCH($C$1,[1]quests!$1:$1,0)+1),MATCH(E$1,[1]quests!$1:$1,0)-MATCH($C$1,[1]quests!$1:$1,0)+1,FALSE)</f>
        <v>ドロップイベント2-2</v>
      </c>
      <c r="F572" s="5">
        <v>3</v>
      </c>
      <c r="G572" s="3" t="str">
        <f ca="1">VLOOKUP($C572&amp;"_"&amp;$F572,OFFSET([1]stages!$A$1,0,0,COUNTA([1]stages!$A:$A),MATCH(G$1,[1]stages!$2:$2,0)-MATCH("temp_stage",[1]stages!$2:$2,0)+1),MATCH(G$1,[1]stages!$2:$2,0)-MATCH("temp_stage",[1]stages!$2:$2,0)+1,FALSE)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2" s="3" t="str">
        <f ca="1">VLOOKUP($C572&amp;"_"&amp;$F572,OFFSET([1]stages!$A$1,0,0,COUNTA([1]stages!$A:$A),MATCH(H$1,[1]stages!$2:$2,0)-MATCH("temp_stage",[1]stages!$2:$2,0)+1),MATCH(H$1,[1]stages!$2:$2,0)-MATCH("temp_stage",[1]stages!$2:$2,0)+1,FALSE)</f>
        <v>ドロップイベント2-2</v>
      </c>
      <c r="I572" s="18">
        <v>0</v>
      </c>
      <c r="J572" s="5">
        <f>COUNTIF(C$1:C572,C572)</f>
        <v>10</v>
      </c>
      <c r="K572" s="34">
        <v>14</v>
      </c>
      <c r="L572" s="5" t="s">
        <v>17</v>
      </c>
      <c r="M572" s="38" t="str">
        <f>VLOOKUP(K572,[2]stage_hints!$A:$C,3,FALSE)</f>
        <v>覚醒するにはレベルを最大に</v>
      </c>
      <c r="N572" s="39" t="str">
        <f>VLOOKUP(K572,[2]stage_hints!$A:$D,4,FALSE)</f>
        <v>覚醒するにはユニットのレベルを
最大まで上げる必要があります</v>
      </c>
      <c r="O572" s="20" t="s">
        <v>24</v>
      </c>
      <c r="P572">
        <v>14</v>
      </c>
    </row>
    <row r="573" spans="1:16" x14ac:dyDescent="0.15">
      <c r="A573" s="27" t="str">
        <f t="shared" si="72"/>
        <v>20005_3_11</v>
      </c>
      <c r="B573" s="25" t="s">
        <v>34</v>
      </c>
      <c r="C573" s="4">
        <v>20005</v>
      </c>
      <c r="D573" s="3" t="str">
        <f ca="1">VLOOKUP($C573,OFFSET([1]quests!$A$1,0,0,COUNTA([1]quests!$A:$A),MATCH(D$1,[1]quests!$1:$1,0)-MATCH($C$1,[1]quests!$1:$1,0)+1),MATCH(D$1,[1]quests!$1:$1,0)-MATCH($C$1,[1]quests!$1:$1,0)+1,FALSE)</f>
        <v>ザ・キャノン</v>
      </c>
      <c r="E573" s="3" t="str">
        <f ca="1">VLOOKUP($C573,OFFSET([1]quests!$A$1,0,0,COUNTA([1]quests!$A:$A),MATCH(E$1,[1]quests!$1:$1,0)-MATCH($C$1,[1]quests!$1:$1,0)+1),MATCH(E$1,[1]quests!$1:$1,0)-MATCH($C$1,[1]quests!$1:$1,0)+1,FALSE)</f>
        <v>ドロップイベント2-2</v>
      </c>
      <c r="F573" s="5">
        <v>3</v>
      </c>
      <c r="G573" s="3" t="str">
        <f ca="1">VLOOKUP($C573&amp;"_"&amp;$F573,OFFSET([1]stages!$A$1,0,0,COUNTA([1]stages!$A:$A),MATCH(G$1,[1]stages!$2:$2,0)-MATCH("temp_stage",[1]stages!$2:$2,0)+1),MATCH(G$1,[1]stages!$2:$2,0)-MATCH("temp_stage",[1]stages!$2:$2,0)+1,FALSE)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3" s="3" t="str">
        <f ca="1">VLOOKUP($C573&amp;"_"&amp;$F573,OFFSET([1]stages!$A$1,0,0,COUNTA([1]stages!$A:$A),MATCH(H$1,[1]stages!$2:$2,0)-MATCH("temp_stage",[1]stages!$2:$2,0)+1),MATCH(H$1,[1]stages!$2:$2,0)-MATCH("temp_stage",[1]stages!$2:$2,0)+1,FALSE)</f>
        <v>ドロップイベント2-2</v>
      </c>
      <c r="I573" s="18">
        <v>0</v>
      </c>
      <c r="J573" s="5">
        <f>COUNTIF(C$1:C573,C573)</f>
        <v>11</v>
      </c>
      <c r="K573" s="34">
        <v>15</v>
      </c>
      <c r="L573" s="5" t="s">
        <v>17</v>
      </c>
      <c r="M573" s="38" t="str">
        <f>VLOOKUP(K573,[2]stage_hints!$A:$C,3,FALSE)</f>
        <v>覚醒素材を獲得</v>
      </c>
      <c r="N573" s="39" t="str">
        <f>VLOOKUP(K573,[2]stage_hints!$A:$D,4,FALSE)</f>
        <v>「曜日クエスト」では
ユニットの覚醒に必要な素材が手に入ります</v>
      </c>
      <c r="O573" s="20" t="s">
        <v>24</v>
      </c>
      <c r="P573">
        <v>15</v>
      </c>
    </row>
    <row r="574" spans="1:16" x14ac:dyDescent="0.15">
      <c r="A574" s="27" t="str">
        <f t="shared" si="72"/>
        <v>20005_3_12</v>
      </c>
      <c r="B574" s="25" t="s">
        <v>34</v>
      </c>
      <c r="C574" s="4">
        <v>20005</v>
      </c>
      <c r="D574" s="3" t="str">
        <f ca="1">VLOOKUP($C574,OFFSET([1]quests!$A$1,0,0,COUNTA([1]quests!$A:$A),MATCH(D$1,[1]quests!$1:$1,0)-MATCH($C$1,[1]quests!$1:$1,0)+1),MATCH(D$1,[1]quests!$1:$1,0)-MATCH($C$1,[1]quests!$1:$1,0)+1,FALSE)</f>
        <v>ザ・キャノン</v>
      </c>
      <c r="E574" s="3" t="str">
        <f ca="1">VLOOKUP($C574,OFFSET([1]quests!$A$1,0,0,COUNTA([1]quests!$A:$A),MATCH(E$1,[1]quests!$1:$1,0)-MATCH($C$1,[1]quests!$1:$1,0)+1),MATCH(E$1,[1]quests!$1:$1,0)-MATCH($C$1,[1]quests!$1:$1,0)+1,FALSE)</f>
        <v>ドロップイベント2-2</v>
      </c>
      <c r="F574" s="5">
        <v>3</v>
      </c>
      <c r="G574" s="3" t="str">
        <f ca="1">VLOOKUP($C574&amp;"_"&amp;$F574,OFFSET([1]stages!$A$1,0,0,COUNTA([1]stages!$A:$A),MATCH(G$1,[1]stages!$2:$2,0)-MATCH("temp_stage",[1]stages!$2:$2,0)+1),MATCH(G$1,[1]stages!$2:$2,0)-MATCH("temp_stage",[1]stages!$2:$2,0)+1,FALSE)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4" s="3" t="str">
        <f ca="1">VLOOKUP($C574&amp;"_"&amp;$F574,OFFSET([1]stages!$A$1,0,0,COUNTA([1]stages!$A:$A),MATCH(H$1,[1]stages!$2:$2,0)-MATCH("temp_stage",[1]stages!$2:$2,0)+1),MATCH(H$1,[1]stages!$2:$2,0)-MATCH("temp_stage",[1]stages!$2:$2,0)+1,FALSE)</f>
        <v>ドロップイベント2-2</v>
      </c>
      <c r="I574" s="18">
        <v>0</v>
      </c>
      <c r="J574" s="5">
        <f>COUNTIF(C$1:C574,C574)</f>
        <v>12</v>
      </c>
      <c r="K574" s="34">
        <v>16</v>
      </c>
      <c r="L574" s="5" t="s">
        <v>17</v>
      </c>
      <c r="M574" s="38" t="str">
        <f>VLOOKUP(K574,[2]stage_hints!$A:$C,3,FALSE)</f>
        <v>マルチプレイのメリット（その1）</v>
      </c>
      <c r="N574" s="39" t="str">
        <f>VLOOKUP(K574,[2]stage_hints!$A:$D,4,FALSE)</f>
        <v>他のプレイヤーとマルチプレイで遊ぶと
ポリゴンがもらえます（100人まで）</v>
      </c>
      <c r="O574" s="20" t="s">
        <v>24</v>
      </c>
      <c r="P574">
        <v>16</v>
      </c>
    </row>
    <row r="575" spans="1:16" x14ac:dyDescent="0.15">
      <c r="A575" s="27" t="str">
        <f t="shared" si="72"/>
        <v>20005_3_13</v>
      </c>
      <c r="B575" s="25" t="s">
        <v>34</v>
      </c>
      <c r="C575" s="4">
        <v>20005</v>
      </c>
      <c r="D575" s="3" t="str">
        <f ca="1">VLOOKUP($C575,OFFSET([1]quests!$A$1,0,0,COUNTA([1]quests!$A:$A),MATCH(D$1,[1]quests!$1:$1,0)-MATCH($C$1,[1]quests!$1:$1,0)+1),MATCH(D$1,[1]quests!$1:$1,0)-MATCH($C$1,[1]quests!$1:$1,0)+1,FALSE)</f>
        <v>ザ・キャノン</v>
      </c>
      <c r="E575" s="3" t="str">
        <f ca="1">VLOOKUP($C575,OFFSET([1]quests!$A$1,0,0,COUNTA([1]quests!$A:$A),MATCH(E$1,[1]quests!$1:$1,0)-MATCH($C$1,[1]quests!$1:$1,0)+1),MATCH(E$1,[1]quests!$1:$1,0)-MATCH($C$1,[1]quests!$1:$1,0)+1,FALSE)</f>
        <v>ドロップイベント2-2</v>
      </c>
      <c r="F575" s="5">
        <v>3</v>
      </c>
      <c r="G575" s="3" t="str">
        <f ca="1">VLOOKUP($C575&amp;"_"&amp;$F575,OFFSET([1]stages!$A$1,0,0,COUNTA([1]stages!$A:$A),MATCH(G$1,[1]stages!$2:$2,0)-MATCH("temp_stage",[1]stages!$2:$2,0)+1),MATCH(G$1,[1]stages!$2:$2,0)-MATCH("temp_stage",[1]stages!$2:$2,0)+1,FALSE)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5" s="3" t="str">
        <f ca="1">VLOOKUP($C575&amp;"_"&amp;$F575,OFFSET([1]stages!$A$1,0,0,COUNTA([1]stages!$A:$A),MATCH(H$1,[1]stages!$2:$2,0)-MATCH("temp_stage",[1]stages!$2:$2,0)+1),MATCH(H$1,[1]stages!$2:$2,0)-MATCH("temp_stage",[1]stages!$2:$2,0)+1,FALSE)</f>
        <v>ドロップイベント2-2</v>
      </c>
      <c r="I575" s="18">
        <v>0</v>
      </c>
      <c r="J575" s="5">
        <f>COUNTIF(C$1:C575,C575)</f>
        <v>13</v>
      </c>
      <c r="K575" s="34">
        <v>17</v>
      </c>
      <c r="L575" s="5" t="s">
        <v>17</v>
      </c>
      <c r="M575" s="38" t="str">
        <f>VLOOKUP(K575,[2]stage_hints!$A:$C,3,FALSE)</f>
        <v>リンクガチャ</v>
      </c>
      <c r="N575" s="39" t="str">
        <f>VLOOKUP(K575,[2]stage_hints!$A:$D,4,FALSE)</f>
        <v>無料のリンクガチャを回して
経験値素材や売却素材を獲得しましょう</v>
      </c>
      <c r="O575" s="20" t="s">
        <v>24</v>
      </c>
      <c r="P575">
        <v>17</v>
      </c>
    </row>
    <row r="576" spans="1:16" x14ac:dyDescent="0.15">
      <c r="A576" s="27" t="str">
        <f t="shared" si="72"/>
        <v>20005_3_14</v>
      </c>
      <c r="B576" s="25" t="s">
        <v>34</v>
      </c>
      <c r="C576" s="4">
        <v>20005</v>
      </c>
      <c r="D576" s="3" t="str">
        <f ca="1">VLOOKUP($C576,OFFSET([1]quests!$A$1,0,0,COUNTA([1]quests!$A:$A),MATCH(D$1,[1]quests!$1:$1,0)-MATCH($C$1,[1]quests!$1:$1,0)+1),MATCH(D$1,[1]quests!$1:$1,0)-MATCH($C$1,[1]quests!$1:$1,0)+1,FALSE)</f>
        <v>ザ・キャノン</v>
      </c>
      <c r="E576" s="3" t="str">
        <f ca="1">VLOOKUP($C576,OFFSET([1]quests!$A$1,0,0,COUNTA([1]quests!$A:$A),MATCH(E$1,[1]quests!$1:$1,0)-MATCH($C$1,[1]quests!$1:$1,0)+1),MATCH(E$1,[1]quests!$1:$1,0)-MATCH($C$1,[1]quests!$1:$1,0)+1,FALSE)</f>
        <v>ドロップイベント2-2</v>
      </c>
      <c r="F576" s="5">
        <v>3</v>
      </c>
      <c r="G576" s="3" t="str">
        <f ca="1">VLOOKUP($C576&amp;"_"&amp;$F576,OFFSET([1]stages!$A$1,0,0,COUNTA([1]stages!$A:$A),MATCH(G$1,[1]stages!$2:$2,0)-MATCH("temp_stage",[1]stages!$2:$2,0)+1),MATCH(G$1,[1]stages!$2:$2,0)-MATCH("temp_stage",[1]stages!$2:$2,0)+1,FALSE)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6" s="3" t="str">
        <f ca="1">VLOOKUP($C576&amp;"_"&amp;$F576,OFFSET([1]stages!$A$1,0,0,COUNTA([1]stages!$A:$A),MATCH(H$1,[1]stages!$2:$2,0)-MATCH("temp_stage",[1]stages!$2:$2,0)+1),MATCH(H$1,[1]stages!$2:$2,0)-MATCH("temp_stage",[1]stages!$2:$2,0)+1,FALSE)</f>
        <v>ドロップイベント2-2</v>
      </c>
      <c r="I576" s="18">
        <v>0</v>
      </c>
      <c r="J576" s="5">
        <f>COUNTIF(C$1:C576,C576)</f>
        <v>14</v>
      </c>
      <c r="K576" s="34">
        <v>18</v>
      </c>
      <c r="L576" s="5" t="s">
        <v>17</v>
      </c>
      <c r="M576" s="38" t="str">
        <f>VLOOKUP(K576,[2]stage_hints!$A:$C,3,FALSE)</f>
        <v>マルチプレイのメリット（その2）</v>
      </c>
      <c r="N576" s="39" t="str">
        <f>VLOOKUP(K576,[2]stage_hints!$A:$D,4,FALSE)</f>
        <v>マルチプレイならリンクが2倍もらえます
リンクガチャをたくさん回しましょう</v>
      </c>
      <c r="O576" s="20" t="s">
        <v>24</v>
      </c>
      <c r="P576">
        <v>18</v>
      </c>
    </row>
    <row r="577" spans="1:16" x14ac:dyDescent="0.15">
      <c r="A577" s="27" t="str">
        <f t="shared" si="72"/>
        <v>20005_3_15</v>
      </c>
      <c r="B577" s="25" t="s">
        <v>34</v>
      </c>
      <c r="C577" s="4">
        <v>20005</v>
      </c>
      <c r="D577" s="3" t="str">
        <f ca="1">VLOOKUP($C577,OFFSET([1]quests!$A$1,0,0,COUNTA([1]quests!$A:$A),MATCH(D$1,[1]quests!$1:$1,0)-MATCH($C$1,[1]quests!$1:$1,0)+1),MATCH(D$1,[1]quests!$1:$1,0)-MATCH($C$1,[1]quests!$1:$1,0)+1,FALSE)</f>
        <v>ザ・キャノン</v>
      </c>
      <c r="E577" s="3" t="str">
        <f ca="1">VLOOKUP($C577,OFFSET([1]quests!$A$1,0,0,COUNTA([1]quests!$A:$A),MATCH(E$1,[1]quests!$1:$1,0)-MATCH($C$1,[1]quests!$1:$1,0)+1),MATCH(E$1,[1]quests!$1:$1,0)-MATCH($C$1,[1]quests!$1:$1,0)+1,FALSE)</f>
        <v>ドロップイベント2-2</v>
      </c>
      <c r="F577" s="5">
        <v>3</v>
      </c>
      <c r="G577" s="3" t="str">
        <f ca="1">VLOOKUP($C577&amp;"_"&amp;$F577,OFFSET([1]stages!$A$1,0,0,COUNTA([1]stages!$A:$A),MATCH(G$1,[1]stages!$2:$2,0)-MATCH("temp_stage",[1]stages!$2:$2,0)+1),MATCH(G$1,[1]stages!$2:$2,0)-MATCH("temp_stage",[1]stages!$2:$2,0)+1,FALSE)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7" s="3" t="str">
        <f ca="1">VLOOKUP($C577&amp;"_"&amp;$F577,OFFSET([1]stages!$A$1,0,0,COUNTA([1]stages!$A:$A),MATCH(H$1,[1]stages!$2:$2,0)-MATCH("temp_stage",[1]stages!$2:$2,0)+1),MATCH(H$1,[1]stages!$2:$2,0)-MATCH("temp_stage",[1]stages!$2:$2,0)+1,FALSE)</f>
        <v>ドロップイベント2-2</v>
      </c>
      <c r="I577" s="18">
        <v>0</v>
      </c>
      <c r="J577" s="5">
        <f>COUNTIF(C$1:C577,C577)</f>
        <v>15</v>
      </c>
      <c r="K577" s="34">
        <v>19</v>
      </c>
      <c r="L577" s="5" t="s">
        <v>17</v>
      </c>
      <c r="M577" s="38" t="str">
        <f>VLOOKUP(K577,[2]stage_hints!$A:$C,3,FALSE)</f>
        <v>ソロ専用チャレンジタワー</v>
      </c>
      <c r="N577" s="39" t="str">
        <f>VLOOKUP(K577,[2]stage_hints!$A:$D,4,FALSE)</f>
        <v>ソロ専用の「チャレンジタワー」では
各フロアごとにクリア報酬がもらえます</v>
      </c>
      <c r="O577" s="20" t="s">
        <v>24</v>
      </c>
      <c r="P577">
        <v>19</v>
      </c>
    </row>
    <row r="578" spans="1:16" x14ac:dyDescent="0.15">
      <c r="A578" s="27" t="str">
        <f t="shared" si="72"/>
        <v>20005_3_16</v>
      </c>
      <c r="B578" s="25" t="s">
        <v>34</v>
      </c>
      <c r="C578" s="4">
        <v>20005</v>
      </c>
      <c r="D578" s="3" t="str">
        <f ca="1">VLOOKUP($C578,OFFSET([1]quests!$A$1,0,0,COUNTA([1]quests!$A:$A),MATCH(D$1,[1]quests!$1:$1,0)-MATCH($C$1,[1]quests!$1:$1,0)+1),MATCH(D$1,[1]quests!$1:$1,0)-MATCH($C$1,[1]quests!$1:$1,0)+1,FALSE)</f>
        <v>ザ・キャノン</v>
      </c>
      <c r="E578" s="3" t="str">
        <f ca="1">VLOOKUP($C578,OFFSET([1]quests!$A$1,0,0,COUNTA([1]quests!$A:$A),MATCH(E$1,[1]quests!$1:$1,0)-MATCH($C$1,[1]quests!$1:$1,0)+1),MATCH(E$1,[1]quests!$1:$1,0)-MATCH($C$1,[1]quests!$1:$1,0)+1,FALSE)</f>
        <v>ドロップイベント2-2</v>
      </c>
      <c r="F578" s="5">
        <v>3</v>
      </c>
      <c r="G578" s="3" t="str">
        <f ca="1">VLOOKUP($C578&amp;"_"&amp;$F578,OFFSET([1]stages!$A$1,0,0,COUNTA([1]stages!$A:$A),MATCH(G$1,[1]stages!$2:$2,0)-MATCH("temp_stage",[1]stages!$2:$2,0)+1),MATCH(G$1,[1]stages!$2:$2,0)-MATCH("temp_stage",[1]stages!$2:$2,0)+1,FALSE)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8" s="3" t="str">
        <f ca="1">VLOOKUP($C578&amp;"_"&amp;$F578,OFFSET([1]stages!$A$1,0,0,COUNTA([1]stages!$A:$A),MATCH(H$1,[1]stages!$2:$2,0)-MATCH("temp_stage",[1]stages!$2:$2,0)+1),MATCH(H$1,[1]stages!$2:$2,0)-MATCH("temp_stage",[1]stages!$2:$2,0)+1,FALSE)</f>
        <v>ドロップイベント2-2</v>
      </c>
      <c r="I578" s="18">
        <v>0</v>
      </c>
      <c r="J578" s="5">
        <f>COUNTIF(C$1:C578,C578)</f>
        <v>16</v>
      </c>
      <c r="K578" s="34">
        <v>20</v>
      </c>
      <c r="L578" s="5" t="s">
        <v>17</v>
      </c>
      <c r="M578" s="38" t="str">
        <f>VLOOKUP(K578,[2]stage_hints!$A:$C,3,FALSE)</f>
        <v>マルチプレイのメリット（その3）</v>
      </c>
      <c r="N578" s="39" t="str">
        <f>VLOOKUP(K578,[2]stage_hints!$A:$D,4,FALSE)</f>
        <v>マルチプレイへの参加はエナジー消費ゼロ
いつでも好きなだけ遊ぶことができます</v>
      </c>
      <c r="O578" s="20" t="s">
        <v>24</v>
      </c>
      <c r="P578">
        <v>20</v>
      </c>
    </row>
    <row r="579" spans="1:16" x14ac:dyDescent="0.15">
      <c r="A579" s="27" t="str">
        <f t="shared" si="72"/>
        <v>20005_3_17</v>
      </c>
      <c r="B579" s="25" t="s">
        <v>34</v>
      </c>
      <c r="C579" s="4">
        <v>20005</v>
      </c>
      <c r="D579" s="3" t="str">
        <f ca="1">VLOOKUP($C579,OFFSET([1]quests!$A$1,0,0,COUNTA([1]quests!$A:$A),MATCH(D$1,[1]quests!$1:$1,0)-MATCH($C$1,[1]quests!$1:$1,0)+1),MATCH(D$1,[1]quests!$1:$1,0)-MATCH($C$1,[1]quests!$1:$1,0)+1,FALSE)</f>
        <v>ザ・キャノン</v>
      </c>
      <c r="E579" s="3" t="str">
        <f ca="1">VLOOKUP($C579,OFFSET([1]quests!$A$1,0,0,COUNTA([1]quests!$A:$A),MATCH(E$1,[1]quests!$1:$1,0)-MATCH($C$1,[1]quests!$1:$1,0)+1),MATCH(E$1,[1]quests!$1:$1,0)-MATCH($C$1,[1]quests!$1:$1,0)+1,FALSE)</f>
        <v>ドロップイベント2-2</v>
      </c>
      <c r="F579" s="5">
        <v>3</v>
      </c>
      <c r="G579" s="3" t="str">
        <f ca="1">VLOOKUP($C579&amp;"_"&amp;$F579,OFFSET([1]stages!$A$1,0,0,COUNTA([1]stages!$A:$A),MATCH(G$1,[1]stages!$2:$2,0)-MATCH("temp_stage",[1]stages!$2:$2,0)+1),MATCH(G$1,[1]stages!$2:$2,0)-MATCH("temp_stage",[1]stages!$2:$2,0)+1,FALSE)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79" s="3" t="str">
        <f ca="1">VLOOKUP($C579&amp;"_"&amp;$F579,OFFSET([1]stages!$A$1,0,0,COUNTA([1]stages!$A:$A),MATCH(H$1,[1]stages!$2:$2,0)-MATCH("temp_stage",[1]stages!$2:$2,0)+1),MATCH(H$1,[1]stages!$2:$2,0)-MATCH("temp_stage",[1]stages!$2:$2,0)+1,FALSE)</f>
        <v>ドロップイベント2-2</v>
      </c>
      <c r="I579" s="18">
        <v>0</v>
      </c>
      <c r="J579" s="5">
        <f>COUNTIF(C$1:C579,C579)</f>
        <v>17</v>
      </c>
      <c r="K579" s="34">
        <v>21</v>
      </c>
      <c r="L579" s="5" t="s">
        <v>17</v>
      </c>
      <c r="M579" s="38" t="str">
        <f>VLOOKUP(K579,[2]stage_hints!$A:$C,3,FALSE)</f>
        <v>スキルを有効に</v>
      </c>
      <c r="N579" s="39" t="str">
        <f>VLOOKUP(K579,[2]stage_hints!$A:$D,4,FALSE)</f>
        <v>ターン経過でユニットのスキルが使えます
強力スキルでバトルを有利に進めましょう</v>
      </c>
      <c r="O579" s="20" t="s">
        <v>24</v>
      </c>
      <c r="P579">
        <v>21</v>
      </c>
    </row>
    <row r="580" spans="1:16" x14ac:dyDescent="0.15">
      <c r="A580" s="27" t="str">
        <f t="shared" si="72"/>
        <v>20005_3_18</v>
      </c>
      <c r="B580" s="25" t="s">
        <v>34</v>
      </c>
      <c r="C580" s="4">
        <v>20005</v>
      </c>
      <c r="D580" s="3" t="str">
        <f ca="1">VLOOKUP($C580,OFFSET([1]quests!$A$1,0,0,COUNTA([1]quests!$A:$A),MATCH(D$1,[1]quests!$1:$1,0)-MATCH($C$1,[1]quests!$1:$1,0)+1),MATCH(D$1,[1]quests!$1:$1,0)-MATCH($C$1,[1]quests!$1:$1,0)+1,FALSE)</f>
        <v>ザ・キャノン</v>
      </c>
      <c r="E580" s="3" t="str">
        <f ca="1">VLOOKUP($C580,OFFSET([1]quests!$A$1,0,0,COUNTA([1]quests!$A:$A),MATCH(E$1,[1]quests!$1:$1,0)-MATCH($C$1,[1]quests!$1:$1,0)+1),MATCH(E$1,[1]quests!$1:$1,0)-MATCH($C$1,[1]quests!$1:$1,0)+1,FALSE)</f>
        <v>ドロップイベント2-2</v>
      </c>
      <c r="F580" s="5">
        <v>3</v>
      </c>
      <c r="G580" s="3" t="str">
        <f ca="1">VLOOKUP($C580&amp;"_"&amp;$F580,OFFSET([1]stages!$A$1,0,0,COUNTA([1]stages!$A:$A),MATCH(G$1,[1]stages!$2:$2,0)-MATCH("temp_stage",[1]stages!$2:$2,0)+1),MATCH(G$1,[1]stages!$2:$2,0)-MATCH("temp_stage",[1]stages!$2:$2,0)+1,FALSE)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0" s="3" t="str">
        <f ca="1">VLOOKUP($C580&amp;"_"&amp;$F580,OFFSET([1]stages!$A$1,0,0,COUNTA([1]stages!$A:$A),MATCH(H$1,[1]stages!$2:$2,0)-MATCH("temp_stage",[1]stages!$2:$2,0)+1),MATCH(H$1,[1]stages!$2:$2,0)-MATCH("temp_stage",[1]stages!$2:$2,0)+1,FALSE)</f>
        <v>ドロップイベント2-2</v>
      </c>
      <c r="I580" s="18">
        <v>0</v>
      </c>
      <c r="J580" s="5">
        <f>COUNTIF(C$1:C580,C580)</f>
        <v>18</v>
      </c>
      <c r="K580" s="34">
        <v>22</v>
      </c>
      <c r="L580" s="5" t="s">
        <v>17</v>
      </c>
      <c r="M580" s="38" t="str">
        <f>VLOOKUP(K580,[2]stage_hints!$A:$C,3,FALSE)</f>
        <v>フィーバーで一発逆転（その1）</v>
      </c>
      <c r="N580" s="39" t="str">
        <f>VLOOKUP(K580,[2]stage_hints!$A:$D,4,FALSE)</f>
        <v>フィーバーは攻撃と回復を兼ね備えます
ピンチからの一発逆転を狙いましょう</v>
      </c>
      <c r="O580" s="20" t="s">
        <v>24</v>
      </c>
      <c r="P580">
        <v>22</v>
      </c>
    </row>
    <row r="581" spans="1:16" x14ac:dyDescent="0.15">
      <c r="A581" s="27" t="str">
        <f t="shared" si="72"/>
        <v>20005_3_19</v>
      </c>
      <c r="B581" s="25" t="s">
        <v>34</v>
      </c>
      <c r="C581" s="4">
        <v>20005</v>
      </c>
      <c r="D581" s="3" t="str">
        <f ca="1">VLOOKUP($C581,OFFSET([1]quests!$A$1,0,0,COUNTA([1]quests!$A:$A),MATCH(D$1,[1]quests!$1:$1,0)-MATCH($C$1,[1]quests!$1:$1,0)+1),MATCH(D$1,[1]quests!$1:$1,0)-MATCH($C$1,[1]quests!$1:$1,0)+1,FALSE)</f>
        <v>ザ・キャノン</v>
      </c>
      <c r="E581" s="3" t="str">
        <f ca="1">VLOOKUP($C581,OFFSET([1]quests!$A$1,0,0,COUNTA([1]quests!$A:$A),MATCH(E$1,[1]quests!$1:$1,0)-MATCH($C$1,[1]quests!$1:$1,0)+1),MATCH(E$1,[1]quests!$1:$1,0)-MATCH($C$1,[1]quests!$1:$1,0)+1,FALSE)</f>
        <v>ドロップイベント2-2</v>
      </c>
      <c r="F581" s="5">
        <v>3</v>
      </c>
      <c r="G581" s="3" t="str">
        <f ca="1">VLOOKUP($C581&amp;"_"&amp;$F581,OFFSET([1]stages!$A$1,0,0,COUNTA([1]stages!$A:$A),MATCH(G$1,[1]stages!$2:$2,0)-MATCH("temp_stage",[1]stages!$2:$2,0)+1),MATCH(G$1,[1]stages!$2:$2,0)-MATCH("temp_stage",[1]stages!$2:$2,0)+1,FALSE)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1" s="3" t="str">
        <f ca="1">VLOOKUP($C581&amp;"_"&amp;$F581,OFFSET([1]stages!$A$1,0,0,COUNTA([1]stages!$A:$A),MATCH(H$1,[1]stages!$2:$2,0)-MATCH("temp_stage",[1]stages!$2:$2,0)+1),MATCH(H$1,[1]stages!$2:$2,0)-MATCH("temp_stage",[1]stages!$2:$2,0)+1,FALSE)</f>
        <v>ドロップイベント2-2</v>
      </c>
      <c r="I581" s="18">
        <v>0</v>
      </c>
      <c r="J581" s="5">
        <f>COUNTIF(C$1:C581,C581)</f>
        <v>19</v>
      </c>
      <c r="K581" s="34">
        <v>23</v>
      </c>
      <c r="L581" s="5" t="s">
        <v>17</v>
      </c>
      <c r="M581" s="38" t="str">
        <f>VLOOKUP(K581,[2]stage_hints!$A:$C,3,FALSE)</f>
        <v>フィーバーで一発逆転（その2）</v>
      </c>
      <c r="N581" s="39" t="str">
        <f>VLOOKUP(K581,[2]stage_hints!$A:$D,4,FALSE)</f>
        <v>フィーバー中は虹色のボムパネルを狙って
画面上のパネルを一気に破壊しましょう</v>
      </c>
      <c r="O581" s="20" t="s">
        <v>24</v>
      </c>
      <c r="P581">
        <v>23</v>
      </c>
    </row>
    <row r="582" spans="1:16" x14ac:dyDescent="0.15">
      <c r="A582" s="27" t="str">
        <f t="shared" si="72"/>
        <v>20005_3_20</v>
      </c>
      <c r="B582" s="25" t="s">
        <v>34</v>
      </c>
      <c r="C582" s="4">
        <v>20005</v>
      </c>
      <c r="D582" s="3" t="str">
        <f ca="1">VLOOKUP($C582,OFFSET([1]quests!$A$1,0,0,COUNTA([1]quests!$A:$A),MATCH(D$1,[1]quests!$1:$1,0)-MATCH($C$1,[1]quests!$1:$1,0)+1),MATCH(D$1,[1]quests!$1:$1,0)-MATCH($C$1,[1]quests!$1:$1,0)+1,FALSE)</f>
        <v>ザ・キャノン</v>
      </c>
      <c r="E582" s="3" t="str">
        <f ca="1">VLOOKUP($C582,OFFSET([1]quests!$A$1,0,0,COUNTA([1]quests!$A:$A),MATCH(E$1,[1]quests!$1:$1,0)-MATCH($C$1,[1]quests!$1:$1,0)+1),MATCH(E$1,[1]quests!$1:$1,0)-MATCH($C$1,[1]quests!$1:$1,0)+1,FALSE)</f>
        <v>ドロップイベント2-2</v>
      </c>
      <c r="F582" s="5">
        <v>3</v>
      </c>
      <c r="G582" s="3" t="str">
        <f ca="1">VLOOKUP($C582&amp;"_"&amp;$F582,OFFSET([1]stages!$A$1,0,0,COUNTA([1]stages!$A:$A),MATCH(G$1,[1]stages!$2:$2,0)-MATCH("temp_stage",[1]stages!$2:$2,0)+1),MATCH(G$1,[1]stages!$2:$2,0)-MATCH("temp_stage",[1]stages!$2:$2,0)+1,FALSE)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2" s="3" t="str">
        <f ca="1">VLOOKUP($C582&amp;"_"&amp;$F582,OFFSET([1]stages!$A$1,0,0,COUNTA([1]stages!$A:$A),MATCH(H$1,[1]stages!$2:$2,0)-MATCH("temp_stage",[1]stages!$2:$2,0)+1),MATCH(H$1,[1]stages!$2:$2,0)-MATCH("temp_stage",[1]stages!$2:$2,0)+1,FALSE)</f>
        <v>ドロップイベント2-2</v>
      </c>
      <c r="I582" s="18">
        <v>0</v>
      </c>
      <c r="J582" s="5">
        <f>COUNTIF(C$1:C582,C582)</f>
        <v>20</v>
      </c>
      <c r="K582" s="34">
        <v>24</v>
      </c>
      <c r="L582" s="5" t="s">
        <v>17</v>
      </c>
      <c r="M582" s="38" t="str">
        <f>VLOOKUP(K582,[2]stage_hints!$A:$C,3,FALSE)</f>
        <v>りんごを使って限界突破</v>
      </c>
      <c r="N582" s="39" t="str">
        <f>VLOOKUP(K582,[2]stage_hints!$A:$D,4,FALSE)</f>
        <v>赤りんご(攻撃力) 青りんご(回復力)
緑りんご(体力)をユニット強化に使うと
ステータスが限界突破します（計99個迄）</v>
      </c>
      <c r="O582" s="20" t="s">
        <v>24</v>
      </c>
      <c r="P582">
        <v>24</v>
      </c>
    </row>
    <row r="583" spans="1:16" x14ac:dyDescent="0.15">
      <c r="A583" s="27" t="str">
        <f t="shared" si="72"/>
        <v>20005_3_21</v>
      </c>
      <c r="B583" s="25" t="s">
        <v>34</v>
      </c>
      <c r="C583" s="4">
        <v>20005</v>
      </c>
      <c r="D583" s="3" t="str">
        <f ca="1">VLOOKUP($C583,OFFSET([1]quests!$A$1,0,0,COUNTA([1]quests!$A:$A),MATCH(D$1,[1]quests!$1:$1,0)-MATCH($C$1,[1]quests!$1:$1,0)+1),MATCH(D$1,[1]quests!$1:$1,0)-MATCH($C$1,[1]quests!$1:$1,0)+1,FALSE)</f>
        <v>ザ・キャノン</v>
      </c>
      <c r="E583" s="3" t="str">
        <f ca="1">VLOOKUP($C583,OFFSET([1]quests!$A$1,0,0,COUNTA([1]quests!$A:$A),MATCH(E$1,[1]quests!$1:$1,0)-MATCH($C$1,[1]quests!$1:$1,0)+1),MATCH(E$1,[1]quests!$1:$1,0)-MATCH($C$1,[1]quests!$1:$1,0)+1,FALSE)</f>
        <v>ドロップイベント2-2</v>
      </c>
      <c r="F583" s="5">
        <v>3</v>
      </c>
      <c r="G583" s="3" t="str">
        <f ca="1">VLOOKUP($C583&amp;"_"&amp;$F583,OFFSET([1]stages!$A$1,0,0,COUNTA([1]stages!$A:$A),MATCH(G$1,[1]stages!$2:$2,0)-MATCH("temp_stage",[1]stages!$2:$2,0)+1),MATCH(G$1,[1]stages!$2:$2,0)-MATCH("temp_stage",[1]stages!$2:$2,0)+1,FALSE)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3" s="3" t="str">
        <f ca="1">VLOOKUP($C583&amp;"_"&amp;$F583,OFFSET([1]stages!$A$1,0,0,COUNTA([1]stages!$A:$A),MATCH(H$1,[1]stages!$2:$2,0)-MATCH("temp_stage",[1]stages!$2:$2,0)+1),MATCH(H$1,[1]stages!$2:$2,0)-MATCH("temp_stage",[1]stages!$2:$2,0)+1,FALSE)</f>
        <v>ドロップイベント2-2</v>
      </c>
      <c r="I583" s="18">
        <v>0</v>
      </c>
      <c r="J583" s="5">
        <f>COUNTIF(C$1:C583,C583)</f>
        <v>21</v>
      </c>
      <c r="K583" s="34">
        <v>25</v>
      </c>
      <c r="L583" s="5" t="s">
        <v>17</v>
      </c>
      <c r="M583" s="38" t="str">
        <f>VLOOKUP(K583,[2]stage_hints!$A:$C,3,FALSE)</f>
        <v>スキルレベルアップ</v>
      </c>
      <c r="N583" s="39" t="str">
        <f>VLOOKUP(K583,[2]stage_hints!$A:$D,4,FALSE)</f>
        <v>「クリスタルのりんご」を強化に使うと
スキルレベルを上げることができます</v>
      </c>
      <c r="O583" s="20" t="s">
        <v>24</v>
      </c>
      <c r="P583">
        <v>25</v>
      </c>
    </row>
    <row r="584" spans="1:16" x14ac:dyDescent="0.15">
      <c r="A584" s="27" t="str">
        <f t="shared" si="72"/>
        <v>20005_3_22</v>
      </c>
      <c r="B584" s="25" t="s">
        <v>34</v>
      </c>
      <c r="C584" s="4">
        <v>20005</v>
      </c>
      <c r="D584" s="3" t="str">
        <f ca="1">VLOOKUP($C584,OFFSET([1]quests!$A$1,0,0,COUNTA([1]quests!$A:$A),MATCH(D$1,[1]quests!$1:$1,0)-MATCH($C$1,[1]quests!$1:$1,0)+1),MATCH(D$1,[1]quests!$1:$1,0)-MATCH($C$1,[1]quests!$1:$1,0)+1,FALSE)</f>
        <v>ザ・キャノン</v>
      </c>
      <c r="E584" s="3" t="str">
        <f ca="1">VLOOKUP($C584,OFFSET([1]quests!$A$1,0,0,COUNTA([1]quests!$A:$A),MATCH(E$1,[1]quests!$1:$1,0)-MATCH($C$1,[1]quests!$1:$1,0)+1),MATCH(E$1,[1]quests!$1:$1,0)-MATCH($C$1,[1]quests!$1:$1,0)+1,FALSE)</f>
        <v>ドロップイベント2-2</v>
      </c>
      <c r="F584" s="5">
        <v>3</v>
      </c>
      <c r="G584" s="3" t="str">
        <f ca="1">VLOOKUP($C584&amp;"_"&amp;$F584,OFFSET([1]stages!$A$1,0,0,COUNTA([1]stages!$A:$A),MATCH(G$1,[1]stages!$2:$2,0)-MATCH("temp_stage",[1]stages!$2:$2,0)+1),MATCH(G$1,[1]stages!$2:$2,0)-MATCH("temp_stage",[1]stages!$2:$2,0)+1,FALSE)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4" s="3" t="str">
        <f ca="1">VLOOKUP($C584&amp;"_"&amp;$F584,OFFSET([1]stages!$A$1,0,0,COUNTA([1]stages!$A:$A),MATCH(H$1,[1]stages!$2:$2,0)-MATCH("temp_stage",[1]stages!$2:$2,0)+1),MATCH(H$1,[1]stages!$2:$2,0)-MATCH("temp_stage",[1]stages!$2:$2,0)+1,FALSE)</f>
        <v>ドロップイベント2-2</v>
      </c>
      <c r="I584" s="18">
        <v>0</v>
      </c>
      <c r="J584" s="5">
        <f>COUNTIF(C$1:C584,C584)</f>
        <v>22</v>
      </c>
      <c r="K584" s="34">
        <v>26</v>
      </c>
      <c r="L584" s="5" t="s">
        <v>17</v>
      </c>
      <c r="M584" s="38" t="str">
        <f>VLOOKUP(K584,[2]stage_hints!$A:$C,3,FALSE)</f>
        <v>スキルレベルの効果</v>
      </c>
      <c r="N584" s="39" t="str">
        <f>VLOOKUP(K584,[2]stage_hints!$A:$D,4,FALSE)</f>
        <v>スキルレベルが上がると
短いターンでスキルを使うことができます</v>
      </c>
      <c r="O584" s="20" t="s">
        <v>24</v>
      </c>
      <c r="P584">
        <v>26</v>
      </c>
    </row>
    <row r="585" spans="1:16" x14ac:dyDescent="0.15">
      <c r="A585" s="27" t="str">
        <f t="shared" si="72"/>
        <v>20005_3_23</v>
      </c>
      <c r="B585" s="25" t="s">
        <v>34</v>
      </c>
      <c r="C585" s="4">
        <v>20005</v>
      </c>
      <c r="D585" s="3" t="str">
        <f ca="1">VLOOKUP($C585,OFFSET([1]quests!$A$1,0,0,COUNTA([1]quests!$A:$A),MATCH(D$1,[1]quests!$1:$1,0)-MATCH($C$1,[1]quests!$1:$1,0)+1),MATCH(D$1,[1]quests!$1:$1,0)-MATCH($C$1,[1]quests!$1:$1,0)+1,FALSE)</f>
        <v>ザ・キャノン</v>
      </c>
      <c r="E585" s="3" t="str">
        <f ca="1">VLOOKUP($C585,OFFSET([1]quests!$A$1,0,0,COUNTA([1]quests!$A:$A),MATCH(E$1,[1]quests!$1:$1,0)-MATCH($C$1,[1]quests!$1:$1,0)+1),MATCH(E$1,[1]quests!$1:$1,0)-MATCH($C$1,[1]quests!$1:$1,0)+1,FALSE)</f>
        <v>ドロップイベント2-2</v>
      </c>
      <c r="F585" s="5">
        <v>3</v>
      </c>
      <c r="G585" s="3" t="str">
        <f ca="1">VLOOKUP($C585&amp;"_"&amp;$F585,OFFSET([1]stages!$A$1,0,0,COUNTA([1]stages!$A:$A),MATCH(G$1,[1]stages!$2:$2,0)-MATCH("temp_stage",[1]stages!$2:$2,0)+1),MATCH(G$1,[1]stages!$2:$2,0)-MATCH("temp_stage",[1]stages!$2:$2,0)+1,FALSE)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5" s="3" t="str">
        <f ca="1">VLOOKUP($C585&amp;"_"&amp;$F585,OFFSET([1]stages!$A$1,0,0,COUNTA([1]stages!$A:$A),MATCH(H$1,[1]stages!$2:$2,0)-MATCH("temp_stage",[1]stages!$2:$2,0)+1),MATCH(H$1,[1]stages!$2:$2,0)-MATCH("temp_stage",[1]stages!$2:$2,0)+1,FALSE)</f>
        <v>ドロップイベント2-2</v>
      </c>
      <c r="I585" s="18">
        <v>0</v>
      </c>
      <c r="J585" s="5">
        <f>COUNTIF(C$1:C585,C585)</f>
        <v>23</v>
      </c>
      <c r="K585" s="34">
        <v>27</v>
      </c>
      <c r="L585" s="5" t="s">
        <v>17</v>
      </c>
      <c r="M585" s="38" t="str">
        <f>VLOOKUP(K585,[2]stage_hints!$A:$C,3,FALSE)</f>
        <v>ホーム画面からデッキを編成</v>
      </c>
      <c r="N585" s="39" t="str">
        <f>VLOOKUP(K585,[2]stage_hints!$A:$D,4,FALSE)</f>
        <v>ホーム画面でユニットを長押しすると
すぐにパーティ編成に移動できます</v>
      </c>
      <c r="O585" s="20" t="s">
        <v>24</v>
      </c>
      <c r="P585">
        <v>27</v>
      </c>
    </row>
    <row r="586" spans="1:16" x14ac:dyDescent="0.15">
      <c r="A586" s="27" t="str">
        <f t="shared" si="72"/>
        <v>20005_3_24</v>
      </c>
      <c r="B586" s="25" t="s">
        <v>34</v>
      </c>
      <c r="C586" s="4">
        <v>20005</v>
      </c>
      <c r="D586" s="3" t="str">
        <f ca="1">VLOOKUP($C586,OFFSET([1]quests!$A$1,0,0,COUNTA([1]quests!$A:$A),MATCH(D$1,[1]quests!$1:$1,0)-MATCH($C$1,[1]quests!$1:$1,0)+1),MATCH(D$1,[1]quests!$1:$1,0)-MATCH($C$1,[1]quests!$1:$1,0)+1,FALSE)</f>
        <v>ザ・キャノン</v>
      </c>
      <c r="E586" s="3" t="str">
        <f ca="1">VLOOKUP($C586,OFFSET([1]quests!$A$1,0,0,COUNTA([1]quests!$A:$A),MATCH(E$1,[1]quests!$1:$1,0)-MATCH($C$1,[1]quests!$1:$1,0)+1),MATCH(E$1,[1]quests!$1:$1,0)-MATCH($C$1,[1]quests!$1:$1,0)+1,FALSE)</f>
        <v>ドロップイベント2-2</v>
      </c>
      <c r="F586" s="5">
        <v>3</v>
      </c>
      <c r="G586" s="3" t="str">
        <f ca="1">VLOOKUP($C586&amp;"_"&amp;$F586,OFFSET([1]stages!$A$1,0,0,COUNTA([1]stages!$A:$A),MATCH(G$1,[1]stages!$2:$2,0)-MATCH("temp_stage",[1]stages!$2:$2,0)+1),MATCH(G$1,[1]stages!$2:$2,0)-MATCH("temp_stage",[1]stages!$2:$2,0)+1,FALSE)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6" s="3" t="str">
        <f ca="1">VLOOKUP($C586&amp;"_"&amp;$F586,OFFSET([1]stages!$A$1,0,0,COUNTA([1]stages!$A:$A),MATCH(H$1,[1]stages!$2:$2,0)-MATCH("temp_stage",[1]stages!$2:$2,0)+1),MATCH(H$1,[1]stages!$2:$2,0)-MATCH("temp_stage",[1]stages!$2:$2,0)+1,FALSE)</f>
        <v>ドロップイベント2-2</v>
      </c>
      <c r="I586" s="18">
        <v>0</v>
      </c>
      <c r="J586" s="5">
        <f>COUNTIF(C$1:C586,C586)</f>
        <v>24</v>
      </c>
      <c r="K586" s="34">
        <v>28</v>
      </c>
      <c r="L586" s="5" t="s">
        <v>17</v>
      </c>
      <c r="M586" s="38" t="str">
        <f>VLOOKUP(K586,[2]stage_hints!$A:$C,3,FALSE)</f>
        <v>ステータス情報は長押しで</v>
      </c>
      <c r="N586" s="39" t="str">
        <f>VLOOKUP(K586,[2]stage_hints!$A:$D,4,FALSE)</f>
        <v>ユニットのアイコンを長押しすると
ステータス情報を確認することができます</v>
      </c>
      <c r="O586" s="20" t="s">
        <v>24</v>
      </c>
      <c r="P586">
        <v>28</v>
      </c>
    </row>
    <row r="587" spans="1:16" x14ac:dyDescent="0.15">
      <c r="A587" s="27" t="str">
        <f t="shared" si="72"/>
        <v>20005_3_25</v>
      </c>
      <c r="B587" s="25" t="s">
        <v>34</v>
      </c>
      <c r="C587" s="4">
        <v>20005</v>
      </c>
      <c r="D587" s="3" t="str">
        <f ca="1">VLOOKUP($C587,OFFSET([1]quests!$A$1,0,0,COUNTA([1]quests!$A:$A),MATCH(D$1,[1]quests!$1:$1,0)-MATCH($C$1,[1]quests!$1:$1,0)+1),MATCH(D$1,[1]quests!$1:$1,0)-MATCH($C$1,[1]quests!$1:$1,0)+1,FALSE)</f>
        <v>ザ・キャノン</v>
      </c>
      <c r="E587" s="3" t="str">
        <f ca="1">VLOOKUP($C587,OFFSET([1]quests!$A$1,0,0,COUNTA([1]quests!$A:$A),MATCH(E$1,[1]quests!$1:$1,0)-MATCH($C$1,[1]quests!$1:$1,0)+1),MATCH(E$1,[1]quests!$1:$1,0)-MATCH($C$1,[1]quests!$1:$1,0)+1,FALSE)</f>
        <v>ドロップイベント2-2</v>
      </c>
      <c r="F587" s="5">
        <v>3</v>
      </c>
      <c r="G587" s="3" t="str">
        <f ca="1">VLOOKUP($C587&amp;"_"&amp;$F587,OFFSET([1]stages!$A$1,0,0,COUNTA([1]stages!$A:$A),MATCH(G$1,[1]stages!$2:$2,0)-MATCH("temp_stage",[1]stages!$2:$2,0)+1),MATCH(G$1,[1]stages!$2:$2,0)-MATCH("temp_stage",[1]stages!$2:$2,0)+1,FALSE)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7" s="3" t="str">
        <f ca="1">VLOOKUP($C587&amp;"_"&amp;$F587,OFFSET([1]stages!$A$1,0,0,COUNTA([1]stages!$A:$A),MATCH(H$1,[1]stages!$2:$2,0)-MATCH("temp_stage",[1]stages!$2:$2,0)+1),MATCH(H$1,[1]stages!$2:$2,0)-MATCH("temp_stage",[1]stages!$2:$2,0)+1,FALSE)</f>
        <v>ドロップイベント2-2</v>
      </c>
      <c r="I587" s="18">
        <v>0</v>
      </c>
      <c r="J587" s="5">
        <f>COUNTIF(C$1:C587,C587)</f>
        <v>25</v>
      </c>
      <c r="K587" s="34">
        <v>29</v>
      </c>
      <c r="L587" s="5" t="s">
        <v>17</v>
      </c>
      <c r="M587" s="38" t="str">
        <f>VLOOKUP(K587,[2]stage_hints!$A:$C,3,FALSE)</f>
        <v>「バグ」のメリット</v>
      </c>
      <c r="N587" s="39" t="str">
        <f>VLOOKUP(K587,[2]stage_hints!$A:$D,4,FALSE)</f>
        <v>ユニットの「バグ」を増やすと
報酬をもらえる確率がアップします</v>
      </c>
      <c r="O587" s="20" t="s">
        <v>24</v>
      </c>
      <c r="P587">
        <v>29</v>
      </c>
    </row>
    <row r="588" spans="1:16" x14ac:dyDescent="0.15">
      <c r="A588" s="27" t="str">
        <f t="shared" si="72"/>
        <v>20005_3_26</v>
      </c>
      <c r="B588" s="25" t="s">
        <v>34</v>
      </c>
      <c r="C588" s="4">
        <v>20005</v>
      </c>
      <c r="D588" s="3" t="str">
        <f ca="1">VLOOKUP($C588,OFFSET([1]quests!$A$1,0,0,COUNTA([1]quests!$A:$A),MATCH(D$1,[1]quests!$1:$1,0)-MATCH($C$1,[1]quests!$1:$1,0)+1),MATCH(D$1,[1]quests!$1:$1,0)-MATCH($C$1,[1]quests!$1:$1,0)+1,FALSE)</f>
        <v>ザ・キャノン</v>
      </c>
      <c r="E588" s="3" t="str">
        <f ca="1">VLOOKUP($C588,OFFSET([1]quests!$A$1,0,0,COUNTA([1]quests!$A:$A),MATCH(E$1,[1]quests!$1:$1,0)-MATCH($C$1,[1]quests!$1:$1,0)+1),MATCH(E$1,[1]quests!$1:$1,0)-MATCH($C$1,[1]quests!$1:$1,0)+1,FALSE)</f>
        <v>ドロップイベント2-2</v>
      </c>
      <c r="F588" s="5">
        <v>3</v>
      </c>
      <c r="G588" s="3" t="str">
        <f ca="1">VLOOKUP($C588&amp;"_"&amp;$F588,OFFSET([1]stages!$A$1,0,0,COUNTA([1]stages!$A:$A),MATCH(G$1,[1]stages!$2:$2,0)-MATCH("temp_stage",[1]stages!$2:$2,0)+1),MATCH(G$1,[1]stages!$2:$2,0)-MATCH("temp_stage",[1]stages!$2:$2,0)+1,FALSE)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8" s="3" t="str">
        <f ca="1">VLOOKUP($C588&amp;"_"&amp;$F588,OFFSET([1]stages!$A$1,0,0,COUNTA([1]stages!$A:$A),MATCH(H$1,[1]stages!$2:$2,0)-MATCH("temp_stage",[1]stages!$2:$2,0)+1),MATCH(H$1,[1]stages!$2:$2,0)-MATCH("temp_stage",[1]stages!$2:$2,0)+1,FALSE)</f>
        <v>ドロップイベント2-2</v>
      </c>
      <c r="I588" s="18">
        <v>0</v>
      </c>
      <c r="J588" s="5">
        <f>COUNTIF(C$1:C588,C588)</f>
        <v>26</v>
      </c>
      <c r="K588" s="34">
        <v>30</v>
      </c>
      <c r="L588" s="5" t="s">
        <v>17</v>
      </c>
      <c r="M588" s="38" t="str">
        <f>VLOOKUP(K588,[2]stage_hints!$A:$C,3,FALSE)</f>
        <v>「バグ」の増やし方</v>
      </c>
      <c r="N588" s="39" t="str">
        <f>VLOOKUP(K588,[2]stage_hints!$A:$D,4,FALSE)</f>
        <v>同じユニット同士を強化で合成すると
「バグ」を増やすことができます</v>
      </c>
      <c r="O588" s="20" t="s">
        <v>24</v>
      </c>
      <c r="P588">
        <v>30</v>
      </c>
    </row>
    <row r="589" spans="1:16" x14ac:dyDescent="0.15">
      <c r="A589" s="27" t="str">
        <f t="shared" si="72"/>
        <v>20005_3_27</v>
      </c>
      <c r="B589" s="25" t="s">
        <v>34</v>
      </c>
      <c r="C589" s="4">
        <v>20005</v>
      </c>
      <c r="D589" s="3" t="str">
        <f ca="1">VLOOKUP($C589,OFFSET([1]quests!$A$1,0,0,COUNTA([1]quests!$A:$A),MATCH(D$1,[1]quests!$1:$1,0)-MATCH($C$1,[1]quests!$1:$1,0)+1),MATCH(D$1,[1]quests!$1:$1,0)-MATCH($C$1,[1]quests!$1:$1,0)+1,FALSE)</f>
        <v>ザ・キャノン</v>
      </c>
      <c r="E589" s="3" t="str">
        <f ca="1">VLOOKUP($C589,OFFSET([1]quests!$A$1,0,0,COUNTA([1]quests!$A:$A),MATCH(E$1,[1]quests!$1:$1,0)-MATCH($C$1,[1]quests!$1:$1,0)+1),MATCH(E$1,[1]quests!$1:$1,0)-MATCH($C$1,[1]quests!$1:$1,0)+1,FALSE)</f>
        <v>ドロップイベント2-2</v>
      </c>
      <c r="F589" s="5">
        <v>3</v>
      </c>
      <c r="G589" s="3" t="str">
        <f ca="1">VLOOKUP($C589&amp;"_"&amp;$F589,OFFSET([1]stages!$A$1,0,0,COUNTA([1]stages!$A:$A),MATCH(G$1,[1]stages!$2:$2,0)-MATCH("temp_stage",[1]stages!$2:$2,0)+1),MATCH(G$1,[1]stages!$2:$2,0)-MATCH("temp_stage",[1]stages!$2:$2,0)+1,FALSE)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89" s="3" t="str">
        <f ca="1">VLOOKUP($C589&amp;"_"&amp;$F589,OFFSET([1]stages!$A$1,0,0,COUNTA([1]stages!$A:$A),MATCH(H$1,[1]stages!$2:$2,0)-MATCH("temp_stage",[1]stages!$2:$2,0)+1),MATCH(H$1,[1]stages!$2:$2,0)-MATCH("temp_stage",[1]stages!$2:$2,0)+1,FALSE)</f>
        <v>ドロップイベント2-2</v>
      </c>
      <c r="I589" s="18">
        <v>0</v>
      </c>
      <c r="J589" s="5">
        <f>COUNTIF(C$1:C589,C589)</f>
        <v>27</v>
      </c>
      <c r="K589" s="34">
        <v>31</v>
      </c>
      <c r="L589" s="5" t="s">
        <v>17</v>
      </c>
      <c r="M589" s="38" t="str">
        <f>VLOOKUP(K589,[2]stage_hints!$A:$C,3,FALSE)</f>
        <v>イベントはお知らせでチェック</v>
      </c>
      <c r="N589" s="39" t="str">
        <f>VLOOKUP(K589,[2]stage_hints!$A:$D,4,FALSE)</f>
        <v>イベント限定ユニットを取り忘れないように
お知らせをこまめにチェックしましょう</v>
      </c>
      <c r="O589" s="20" t="s">
        <v>24</v>
      </c>
      <c r="P589">
        <v>31</v>
      </c>
    </row>
    <row r="590" spans="1:16" x14ac:dyDescent="0.15">
      <c r="A590" s="27" t="str">
        <f t="shared" si="72"/>
        <v>20005_3_28</v>
      </c>
      <c r="B590" s="25" t="s">
        <v>34</v>
      </c>
      <c r="C590" s="4">
        <v>20005</v>
      </c>
      <c r="D590" s="3" t="str">
        <f ca="1">VLOOKUP($C590,OFFSET([1]quests!$A$1,0,0,COUNTA([1]quests!$A:$A),MATCH(D$1,[1]quests!$1:$1,0)-MATCH($C$1,[1]quests!$1:$1,0)+1),MATCH(D$1,[1]quests!$1:$1,0)-MATCH($C$1,[1]quests!$1:$1,0)+1,FALSE)</f>
        <v>ザ・キャノン</v>
      </c>
      <c r="E590" s="3" t="str">
        <f ca="1">VLOOKUP($C590,OFFSET([1]quests!$A$1,0,0,COUNTA([1]quests!$A:$A),MATCH(E$1,[1]quests!$1:$1,0)-MATCH($C$1,[1]quests!$1:$1,0)+1),MATCH(E$1,[1]quests!$1:$1,0)-MATCH($C$1,[1]quests!$1:$1,0)+1,FALSE)</f>
        <v>ドロップイベント2-2</v>
      </c>
      <c r="F590" s="5">
        <v>3</v>
      </c>
      <c r="G590" s="3" t="str">
        <f ca="1">VLOOKUP($C590&amp;"_"&amp;$F590,OFFSET([1]stages!$A$1,0,0,COUNTA([1]stages!$A:$A),MATCH(G$1,[1]stages!$2:$2,0)-MATCH("temp_stage",[1]stages!$2:$2,0)+1),MATCH(G$1,[1]stages!$2:$2,0)-MATCH("temp_stage",[1]stages!$2:$2,0)+1,FALSE)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90" s="3" t="str">
        <f ca="1">VLOOKUP($C590&amp;"_"&amp;$F590,OFFSET([1]stages!$A$1,0,0,COUNTA([1]stages!$A:$A),MATCH(H$1,[1]stages!$2:$2,0)-MATCH("temp_stage",[1]stages!$2:$2,0)+1),MATCH(H$1,[1]stages!$2:$2,0)-MATCH("temp_stage",[1]stages!$2:$2,0)+1,FALSE)</f>
        <v>ドロップイベント2-2</v>
      </c>
      <c r="I590" s="18">
        <v>0</v>
      </c>
      <c r="J590" s="5">
        <f>COUNTIF(C$1:C590,C590)</f>
        <v>28</v>
      </c>
      <c r="K590" s="34">
        <v>32</v>
      </c>
      <c r="L590" s="5" t="s">
        <v>17</v>
      </c>
      <c r="M590" s="38" t="str">
        <f>VLOOKUP(K590,[2]stage_hints!$A:$C,3,FALSE)</f>
        <v>敵の連続攻撃には</v>
      </c>
      <c r="N590" s="39" t="str">
        <f>VLOOKUP(K590,[2]stage_hints!$A:$D,4,FALSE)</f>
        <v>カウンタースキルを持つユニットがいれば
ダメージ回数分の反撃ができます</v>
      </c>
      <c r="O590" s="20" t="s">
        <v>24</v>
      </c>
      <c r="P590">
        <v>32</v>
      </c>
    </row>
    <row r="591" spans="1:16" x14ac:dyDescent="0.15">
      <c r="A591" s="27" t="str">
        <f t="shared" si="72"/>
        <v>20005_3_29</v>
      </c>
      <c r="B591" s="25" t="s">
        <v>34</v>
      </c>
      <c r="C591" s="4">
        <v>20005</v>
      </c>
      <c r="D591" s="3" t="str">
        <f ca="1">VLOOKUP($C591,OFFSET([1]quests!$A$1,0,0,COUNTA([1]quests!$A:$A),MATCH(D$1,[1]quests!$1:$1,0)-MATCH($C$1,[1]quests!$1:$1,0)+1),MATCH(D$1,[1]quests!$1:$1,0)-MATCH($C$1,[1]quests!$1:$1,0)+1,FALSE)</f>
        <v>ザ・キャノン</v>
      </c>
      <c r="E591" s="3" t="str">
        <f ca="1">VLOOKUP($C591,OFFSET([1]quests!$A$1,0,0,COUNTA([1]quests!$A:$A),MATCH(E$1,[1]quests!$1:$1,0)-MATCH($C$1,[1]quests!$1:$1,0)+1),MATCH(E$1,[1]quests!$1:$1,0)-MATCH($C$1,[1]quests!$1:$1,0)+1,FALSE)</f>
        <v>ドロップイベント2-2</v>
      </c>
      <c r="F591" s="5">
        <v>3</v>
      </c>
      <c r="G591" s="3" t="str">
        <f ca="1">VLOOKUP($C591&amp;"_"&amp;$F591,OFFSET([1]stages!$A$1,0,0,COUNTA([1]stages!$A:$A),MATCH(G$1,[1]stages!$2:$2,0)-MATCH("temp_stage",[1]stages!$2:$2,0)+1),MATCH(G$1,[1]stages!$2:$2,0)-MATCH("temp_stage",[1]stages!$2:$2,0)+1,FALSE)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91" s="3" t="str">
        <f ca="1">VLOOKUP($C591&amp;"_"&amp;$F591,OFFSET([1]stages!$A$1,0,0,COUNTA([1]stages!$A:$A),MATCH(H$1,[1]stages!$2:$2,0)-MATCH("temp_stage",[1]stages!$2:$2,0)+1),MATCH(H$1,[1]stages!$2:$2,0)-MATCH("temp_stage",[1]stages!$2:$2,0)+1,FALSE)</f>
        <v>ドロップイベント2-2</v>
      </c>
      <c r="I591" s="18">
        <v>0</v>
      </c>
      <c r="J591" s="5">
        <f>COUNTIF(C$1:C591,C591)</f>
        <v>29</v>
      </c>
      <c r="K591" s="34">
        <v>33</v>
      </c>
      <c r="L591" s="5" t="s">
        <v>17</v>
      </c>
      <c r="M591" s="38" t="str">
        <f>VLOOKUP(K591,[2]stage_hints!$A:$C,3,FALSE)</f>
        <v>敵のカウンター攻撃には</v>
      </c>
      <c r="N591" s="39" t="str">
        <f>VLOOKUP(K591,[2]stage_hints!$A:$D,4,FALSE)</f>
        <v>カウンターブレイクスキルを持っていれば
敵のカウンターを解除して攻撃ができます</v>
      </c>
      <c r="O591" s="20" t="s">
        <v>24</v>
      </c>
      <c r="P591">
        <v>33</v>
      </c>
    </row>
    <row r="592" spans="1:16" x14ac:dyDescent="0.15">
      <c r="A592" s="27" t="str">
        <f t="shared" si="72"/>
        <v>20005_3_30</v>
      </c>
      <c r="B592" s="25" t="s">
        <v>34</v>
      </c>
      <c r="C592" s="4">
        <v>20005</v>
      </c>
      <c r="D592" s="3" t="str">
        <f ca="1">VLOOKUP($C592,OFFSET([1]quests!$A$1,0,0,COUNTA([1]quests!$A:$A),MATCH(D$1,[1]quests!$1:$1,0)-MATCH($C$1,[1]quests!$1:$1,0)+1),MATCH(D$1,[1]quests!$1:$1,0)-MATCH($C$1,[1]quests!$1:$1,0)+1,FALSE)</f>
        <v>ザ・キャノン</v>
      </c>
      <c r="E592" s="3" t="str">
        <f ca="1">VLOOKUP($C592,OFFSET([1]quests!$A$1,0,0,COUNTA([1]quests!$A:$A),MATCH(E$1,[1]quests!$1:$1,0)-MATCH($C$1,[1]quests!$1:$1,0)+1),MATCH(E$1,[1]quests!$1:$1,0)-MATCH($C$1,[1]quests!$1:$1,0)+1,FALSE)</f>
        <v>ドロップイベント2-2</v>
      </c>
      <c r="F592" s="5">
        <v>3</v>
      </c>
      <c r="G592" s="3" t="str">
        <f ca="1">VLOOKUP($C592&amp;"_"&amp;$F592,OFFSET([1]stages!$A$1,0,0,COUNTA([1]stages!$A:$A),MATCH(G$1,[1]stages!$2:$2,0)-MATCH("temp_stage",[1]stages!$2:$2,0)+1),MATCH(G$1,[1]stages!$2:$2,0)-MATCH("temp_stage",[1]stages!$2:$2,0)+1,FALSE)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92" s="3" t="str">
        <f ca="1">VLOOKUP($C592&amp;"_"&amp;$F592,OFFSET([1]stages!$A$1,0,0,COUNTA([1]stages!$A:$A),MATCH(H$1,[1]stages!$2:$2,0)-MATCH("temp_stage",[1]stages!$2:$2,0)+1),MATCH(H$1,[1]stages!$2:$2,0)-MATCH("temp_stage",[1]stages!$2:$2,0)+1,FALSE)</f>
        <v>ドロップイベント2-2</v>
      </c>
      <c r="I592" s="18">
        <v>0</v>
      </c>
      <c r="J592" s="5">
        <f>COUNTIF(C$1:C592,C592)</f>
        <v>30</v>
      </c>
      <c r="K592" s="34">
        <v>34</v>
      </c>
      <c r="L592" s="5" t="s">
        <v>17</v>
      </c>
      <c r="M592" s="38" t="str">
        <f>VLOOKUP(K592,[2]stage_hints!$A:$C,3,FALSE)</f>
        <v>ステータスをスキルで下げられたら</v>
      </c>
      <c r="N592" s="39" t="str">
        <f>VLOOKUP(K592,[2]stage_hints!$A:$D,4,FALSE)</f>
        <v>ステータスダウンのスキルを受けたら
ステータスアップスキルで上書きしましょう</v>
      </c>
      <c r="O592" s="20" t="s">
        <v>24</v>
      </c>
      <c r="P592">
        <v>34</v>
      </c>
    </row>
    <row r="593" spans="1:16" x14ac:dyDescent="0.15">
      <c r="A593" s="27" t="str">
        <f t="shared" si="72"/>
        <v>20005_3_31</v>
      </c>
      <c r="B593" s="25" t="s">
        <v>34</v>
      </c>
      <c r="C593" s="4">
        <v>20005</v>
      </c>
      <c r="D593" s="3" t="str">
        <f ca="1">VLOOKUP($C593,OFFSET([1]quests!$A$1,0,0,COUNTA([1]quests!$A:$A),MATCH(D$1,[1]quests!$1:$1,0)-MATCH($C$1,[1]quests!$1:$1,0)+1),MATCH(D$1,[1]quests!$1:$1,0)-MATCH($C$1,[1]quests!$1:$1,0)+1,FALSE)</f>
        <v>ザ・キャノン</v>
      </c>
      <c r="E593" s="3" t="str">
        <f ca="1">VLOOKUP($C593,OFFSET([1]quests!$A$1,0,0,COUNTA([1]quests!$A:$A),MATCH(E$1,[1]quests!$1:$1,0)-MATCH($C$1,[1]quests!$1:$1,0)+1),MATCH(E$1,[1]quests!$1:$1,0)-MATCH($C$1,[1]quests!$1:$1,0)+1,FALSE)</f>
        <v>ドロップイベント2-2</v>
      </c>
      <c r="F593" s="5">
        <v>3</v>
      </c>
      <c r="G593" s="3" t="str">
        <f ca="1">VLOOKUP($C593&amp;"_"&amp;$F593,OFFSET([1]stages!$A$1,0,0,COUNTA([1]stages!$A:$A),MATCH(G$1,[1]stages!$2:$2,0)-MATCH("temp_stage",[1]stages!$2:$2,0)+1),MATCH(G$1,[1]stages!$2:$2,0)-MATCH("temp_stage",[1]stages!$2:$2,0)+1,FALSE)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93" s="3" t="str">
        <f ca="1">VLOOKUP($C593&amp;"_"&amp;$F593,OFFSET([1]stages!$A$1,0,0,COUNTA([1]stages!$A:$A),MATCH(H$1,[1]stages!$2:$2,0)-MATCH("temp_stage",[1]stages!$2:$2,0)+1),MATCH(H$1,[1]stages!$2:$2,0)-MATCH("temp_stage",[1]stages!$2:$2,0)+1,FALSE)</f>
        <v>ドロップイベント2-2</v>
      </c>
      <c r="I593" s="18">
        <v>0</v>
      </c>
      <c r="J593" s="5">
        <f>COUNTIF(C$1:C593,C593)</f>
        <v>31</v>
      </c>
      <c r="K593" s="34">
        <v>35</v>
      </c>
      <c r="L593" s="5" t="s">
        <v>17</v>
      </c>
      <c r="M593" s="38" t="str">
        <f>VLOOKUP(K593,[2]stage_hints!$A:$C,3,FALSE)</f>
        <v>敵のステータスがスキルで上がったら</v>
      </c>
      <c r="N593" s="39" t="str">
        <f>VLOOKUP(K593,[2]stage_hints!$A:$D,4,FALSE)</f>
        <v>敵のステータスがスキルでアップしたときは
ステータスダウンスキルで上書きしましょう</v>
      </c>
      <c r="O593" s="20" t="s">
        <v>24</v>
      </c>
      <c r="P593">
        <v>35</v>
      </c>
    </row>
    <row r="594" spans="1:16" x14ac:dyDescent="0.15">
      <c r="A594" s="27" t="str">
        <f t="shared" si="72"/>
        <v>20005_3_32</v>
      </c>
      <c r="B594" s="25" t="s">
        <v>34</v>
      </c>
      <c r="C594" s="4">
        <v>20005</v>
      </c>
      <c r="D594" s="3" t="str">
        <f ca="1">VLOOKUP($C594,OFFSET([1]quests!$A$1,0,0,COUNTA([1]quests!$A:$A),MATCH(D$1,[1]quests!$1:$1,0)-MATCH($C$1,[1]quests!$1:$1,0)+1),MATCH(D$1,[1]quests!$1:$1,0)-MATCH($C$1,[1]quests!$1:$1,0)+1,FALSE)</f>
        <v>ザ・キャノン</v>
      </c>
      <c r="E594" s="3" t="str">
        <f ca="1">VLOOKUP($C594,OFFSET([1]quests!$A$1,0,0,COUNTA([1]quests!$A:$A),MATCH(E$1,[1]quests!$1:$1,0)-MATCH($C$1,[1]quests!$1:$1,0)+1),MATCH(E$1,[1]quests!$1:$1,0)-MATCH($C$1,[1]quests!$1:$1,0)+1,FALSE)</f>
        <v>ドロップイベント2-2</v>
      </c>
      <c r="F594" s="5">
        <v>3</v>
      </c>
      <c r="G594" s="3" t="str">
        <f ca="1">VLOOKUP($C594&amp;"_"&amp;$F594,OFFSET([1]stages!$A$1,0,0,COUNTA([1]stages!$A:$A),MATCH(G$1,[1]stages!$2:$2,0)-MATCH("temp_stage",[1]stages!$2:$2,0)+1),MATCH(G$1,[1]stages!$2:$2,0)-MATCH("temp_stage",[1]stages!$2:$2,0)+1,FALSE)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94" s="3" t="str">
        <f ca="1">VLOOKUP($C594&amp;"_"&amp;$F594,OFFSET([1]stages!$A$1,0,0,COUNTA([1]stages!$A:$A),MATCH(H$1,[1]stages!$2:$2,0)-MATCH("temp_stage",[1]stages!$2:$2,0)+1),MATCH(H$1,[1]stages!$2:$2,0)-MATCH("temp_stage",[1]stages!$2:$2,0)+1,FALSE)</f>
        <v>ドロップイベント2-2</v>
      </c>
      <c r="I594" s="18">
        <v>0</v>
      </c>
      <c r="J594" s="5">
        <f>COUNTIF(C$1:C594,C594)</f>
        <v>32</v>
      </c>
      <c r="K594" s="34">
        <v>36</v>
      </c>
      <c r="L594" s="5" t="s">
        <v>17</v>
      </c>
      <c r="M594" s="38" t="str">
        <f>VLOOKUP(K594,[2]stage_hints!$A:$C,3,FALSE)</f>
        <v>チャレンジタワーのボス</v>
      </c>
      <c r="N594" s="39" t="str">
        <f>VLOOKUP(K594,[2]stage_hints!$A:$D,4,FALSE)</f>
        <v>チャレンジタワーでのみ登場するボスは
一定確率で獲得することができます</v>
      </c>
      <c r="O594" s="20" t="s">
        <v>24</v>
      </c>
      <c r="P594">
        <v>36</v>
      </c>
    </row>
    <row r="595" spans="1:16" x14ac:dyDescent="0.15">
      <c r="A595" s="27" t="str">
        <f t="shared" si="72"/>
        <v>20005_3_33</v>
      </c>
      <c r="B595" s="25" t="s">
        <v>34</v>
      </c>
      <c r="C595" s="4">
        <v>20005</v>
      </c>
      <c r="D595" s="3" t="str">
        <f ca="1">VLOOKUP($C595,OFFSET([1]quests!$A$1,0,0,COUNTA([1]quests!$A:$A),MATCH(D$1,[1]quests!$1:$1,0)-MATCH($C$1,[1]quests!$1:$1,0)+1),MATCH(D$1,[1]quests!$1:$1,0)-MATCH($C$1,[1]quests!$1:$1,0)+1,FALSE)</f>
        <v>ザ・キャノン</v>
      </c>
      <c r="E595" s="3" t="str">
        <f ca="1">VLOOKUP($C595,OFFSET([1]quests!$A$1,0,0,COUNTA([1]quests!$A:$A),MATCH(E$1,[1]quests!$1:$1,0)-MATCH($C$1,[1]quests!$1:$1,0)+1),MATCH(E$1,[1]quests!$1:$1,0)-MATCH($C$1,[1]quests!$1:$1,0)+1,FALSE)</f>
        <v>ドロップイベント2-2</v>
      </c>
      <c r="F595" s="5">
        <v>3</v>
      </c>
      <c r="G595" s="3" t="str">
        <f ca="1">VLOOKUP($C595&amp;"_"&amp;$F595,OFFSET([1]stages!$A$1,0,0,COUNTA([1]stages!$A:$A),MATCH(G$1,[1]stages!$2:$2,0)-MATCH("temp_stage",[1]stages!$2:$2,0)+1),MATCH(G$1,[1]stages!$2:$2,0)-MATCH("temp_stage",[1]stages!$2:$2,0)+1,FALSE)</f>
        <v>【上級】ザ・キャノン(4タップ)</v>
      </c>
      <c r="H595" s="3" t="str">
        <f ca="1">VLOOKUP($C595&amp;"_"&amp;$F595,OFFSET([1]stages!$A$1,0,0,COUNTA([1]stages!$A:$A),MATCH(H$1,[1]stages!$2:$2,0)-MATCH("temp_stage",[1]stages!$2:$2,0)+1),MATCH(H$1,[1]stages!$2:$2,0)-MATCH("temp_stage",[1]stages!$2:$2,0)+1,FALSE)</f>
        <v>ドロップイベント2-2</v>
      </c>
      <c r="I595" s="18">
        <v>0</v>
      </c>
      <c r="J595" s="5">
        <f>COUNTIF(C$1:C595,C595)</f>
        <v>33</v>
      </c>
      <c r="K595" s="34">
        <v>37</v>
      </c>
      <c r="L595" s="5" t="s">
        <v>17</v>
      </c>
      <c r="M595" s="38" t="str">
        <f>VLOOKUP(K595,[2]stage_hints!$A:$C,3,FALSE)</f>
        <v>限界突破値の引き継ぎ</v>
      </c>
      <c r="N595" s="39" t="str">
        <f>VLOOKUP(K595,[2]stage_hints!$A:$D,4,FALSE)</f>
        <v>同じユニットを強化で合成すると
限界突破値を引き継げます（覚醒前後も可）</v>
      </c>
      <c r="O595" s="20" t="s">
        <v>24</v>
      </c>
      <c r="P595">
        <v>37</v>
      </c>
    </row>
    <row r="596" spans="1:16" x14ac:dyDescent="0.15">
      <c r="A596" s="27" t="str">
        <f t="shared" si="72"/>
        <v>20006_3_1</v>
      </c>
      <c r="B596" s="25" t="s">
        <v>34</v>
      </c>
      <c r="C596" s="4">
        <v>20006</v>
      </c>
      <c r="D596" s="3" t="str">
        <f ca="1">VLOOKUP($C596,OFFSET([1]quests!$A$1,0,0,COUNTA([1]quests!$A:$A),MATCH(D$1,[1]quests!$1:$1,0)-MATCH($C$1,[1]quests!$1:$1,0)+1),MATCH(D$1,[1]quests!$1:$1,0)-MATCH($C$1,[1]quests!$1:$1,0)+1,FALSE)</f>
        <v>スチール・プレデター</v>
      </c>
      <c r="E596" s="3" t="str">
        <f ca="1">VLOOKUP($C596,OFFSET([1]quests!$A$1,0,0,COUNTA([1]quests!$A:$A),MATCH(E$1,[1]quests!$1:$1,0)-MATCH($C$1,[1]quests!$1:$1,0)+1),MATCH(E$1,[1]quests!$1:$1,0)-MATCH($C$1,[1]quests!$1:$1,0)+1,FALSE)</f>
        <v>ドロップイベント2-3</v>
      </c>
      <c r="F596" s="5">
        <v>3</v>
      </c>
      <c r="G596" s="3" t="str">
        <f ca="1">VLOOKUP($C596&amp;"_"&amp;$F596,OFFSET([1]stages!$A$1,0,0,COUNTA([1]stages!$A:$A),MATCH(G$1,[1]stages!$2:$2,0)-MATCH("temp_stage",[1]stages!$2:$2,0)+1),MATCH(G$1,[1]stages!$2:$2,0)-MATCH("temp_stage",[1]stages!$2:$2,0)+1,FALSE)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596" s="3" t="str">
        <f ca="1">VLOOKUP($C596&amp;"_"&amp;$F596,OFFSET([1]stages!$A$1,0,0,COUNTA([1]stages!$A:$A),MATCH(H$1,[1]stages!$2:$2,0)-MATCH("temp_stage",[1]stages!$2:$2,0)+1),MATCH(H$1,[1]stages!$2:$2,0)-MATCH("temp_stage",[1]stages!$2:$2,0)+1,FALSE)</f>
        <v>ドロップイベント2-3</v>
      </c>
      <c r="I596" s="18">
        <v>0</v>
      </c>
      <c r="J596" s="5">
        <f>COUNTIF(C$1:C596,C596)</f>
        <v>1</v>
      </c>
      <c r="K596" s="34">
        <v>3</v>
      </c>
      <c r="L596" s="5" t="s">
        <v>17</v>
      </c>
      <c r="M596" s="38" t="str">
        <f>VLOOKUP(K596,[2]stage_hints!$A:$C,3,FALSE)</f>
        <v>ターゲット</v>
      </c>
      <c r="N596" s="39" t="str">
        <f>VLOOKUP(K596,[2]stage_hints!$A:$D,4,FALSE)</f>
        <v>敵ユニットをタップすると
その敵を狙い撃ちできます</v>
      </c>
      <c r="O596" s="20" t="s">
        <v>24</v>
      </c>
      <c r="P596">
        <v>3</v>
      </c>
    </row>
    <row r="597" spans="1:16" x14ac:dyDescent="0.15">
      <c r="A597" s="27" t="str">
        <f t="shared" si="72"/>
        <v>20006_3_2</v>
      </c>
      <c r="B597" s="25" t="s">
        <v>34</v>
      </c>
      <c r="C597" s="4">
        <v>20006</v>
      </c>
      <c r="D597" s="3" t="str">
        <f ca="1">VLOOKUP($C597,OFFSET([1]quests!$A$1,0,0,COUNTA([1]quests!$A:$A),MATCH(D$1,[1]quests!$1:$1,0)-MATCH($C$1,[1]quests!$1:$1,0)+1),MATCH(D$1,[1]quests!$1:$1,0)-MATCH($C$1,[1]quests!$1:$1,0)+1,FALSE)</f>
        <v>スチール・プレデター</v>
      </c>
      <c r="E597" s="3" t="str">
        <f ca="1">VLOOKUP($C597,OFFSET([1]quests!$A$1,0,0,COUNTA([1]quests!$A:$A),MATCH(E$1,[1]quests!$1:$1,0)-MATCH($C$1,[1]quests!$1:$1,0)+1),MATCH(E$1,[1]quests!$1:$1,0)-MATCH($C$1,[1]quests!$1:$1,0)+1,FALSE)</f>
        <v>ドロップイベント2-3</v>
      </c>
      <c r="F597" s="5">
        <v>3</v>
      </c>
      <c r="G597" s="3" t="str">
        <f ca="1">VLOOKUP($C597&amp;"_"&amp;$F597,OFFSET([1]stages!$A$1,0,0,COUNTA([1]stages!$A:$A),MATCH(G$1,[1]stages!$2:$2,0)-MATCH("temp_stage",[1]stages!$2:$2,0)+1),MATCH(G$1,[1]stages!$2:$2,0)-MATCH("temp_stage",[1]stages!$2:$2,0)+1,FALSE)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597" s="3" t="str">
        <f ca="1">VLOOKUP($C597&amp;"_"&amp;$F597,OFFSET([1]stages!$A$1,0,0,COUNTA([1]stages!$A:$A),MATCH(H$1,[1]stages!$2:$2,0)-MATCH("temp_stage",[1]stages!$2:$2,0)+1),MATCH(H$1,[1]stages!$2:$2,0)-MATCH("temp_stage",[1]stages!$2:$2,0)+1,FALSE)</f>
        <v>ドロップイベント2-3</v>
      </c>
      <c r="I597" s="18">
        <v>0</v>
      </c>
      <c r="J597" s="5">
        <f>COUNTIF(C$1:C597,C597)</f>
        <v>2</v>
      </c>
      <c r="K597" s="34">
        <v>6</v>
      </c>
      <c r="L597" s="5" t="s">
        <v>17</v>
      </c>
      <c r="M597" s="38" t="str">
        <f>VLOOKUP(K597,[2]stage_hints!$A:$C,3,FALSE)</f>
        <v>ユニット強化の属性ボーナス</v>
      </c>
      <c r="N597" s="39" t="str">
        <f>VLOOKUP(K597,[2]stage_hints!$A:$D,4,FALSE)</f>
        <v>同属性ユニットを強化素材にすると
経験値が多くもらえます</v>
      </c>
      <c r="O597" s="20" t="s">
        <v>24</v>
      </c>
      <c r="P597">
        <v>6</v>
      </c>
    </row>
    <row r="598" spans="1:16" x14ac:dyDescent="0.15">
      <c r="A598" s="27" t="str">
        <f t="shared" si="72"/>
        <v>20006_3_3</v>
      </c>
      <c r="B598" s="25" t="s">
        <v>34</v>
      </c>
      <c r="C598" s="4">
        <v>20006</v>
      </c>
      <c r="D598" s="3" t="str">
        <f ca="1">VLOOKUP($C598,OFFSET([1]quests!$A$1,0,0,COUNTA([1]quests!$A:$A),MATCH(D$1,[1]quests!$1:$1,0)-MATCH($C$1,[1]quests!$1:$1,0)+1),MATCH(D$1,[1]quests!$1:$1,0)-MATCH($C$1,[1]quests!$1:$1,0)+1,FALSE)</f>
        <v>スチール・プレデター</v>
      </c>
      <c r="E598" s="3" t="str">
        <f ca="1">VLOOKUP($C598,OFFSET([1]quests!$A$1,0,0,COUNTA([1]quests!$A:$A),MATCH(E$1,[1]quests!$1:$1,0)-MATCH($C$1,[1]quests!$1:$1,0)+1),MATCH(E$1,[1]quests!$1:$1,0)-MATCH($C$1,[1]quests!$1:$1,0)+1,FALSE)</f>
        <v>ドロップイベント2-3</v>
      </c>
      <c r="F598" s="5">
        <v>3</v>
      </c>
      <c r="G598" s="3" t="str">
        <f ca="1">VLOOKUP($C598&amp;"_"&amp;$F598,OFFSET([1]stages!$A$1,0,0,COUNTA([1]stages!$A:$A),MATCH(G$1,[1]stages!$2:$2,0)-MATCH("temp_stage",[1]stages!$2:$2,0)+1),MATCH(G$1,[1]stages!$2:$2,0)-MATCH("temp_stage",[1]stages!$2:$2,0)+1,FALSE)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598" s="3" t="str">
        <f ca="1">VLOOKUP($C598&amp;"_"&amp;$F598,OFFSET([1]stages!$A$1,0,0,COUNTA([1]stages!$A:$A),MATCH(H$1,[1]stages!$2:$2,0)-MATCH("temp_stage",[1]stages!$2:$2,0)+1),MATCH(H$1,[1]stages!$2:$2,0)-MATCH("temp_stage",[1]stages!$2:$2,0)+1,FALSE)</f>
        <v>ドロップイベント2-3</v>
      </c>
      <c r="I598" s="18">
        <v>0</v>
      </c>
      <c r="J598" s="5">
        <f>COUNTIF(C$1:C598,C598)</f>
        <v>3</v>
      </c>
      <c r="K598" s="34">
        <v>7</v>
      </c>
      <c r="L598" s="5" t="s">
        <v>17</v>
      </c>
      <c r="M598" s="38" t="str">
        <f>VLOOKUP(K598,[2]stage_hints!$A:$C,3,FALSE)</f>
        <v>メタルダックで経験値を獲得</v>
      </c>
      <c r="N598" s="39" t="str">
        <f>VLOOKUP(K598,[2]stage_hints!$A:$D,4,FALSE)</f>
        <v>「メタルなアヒル」を強化素材にすると
大量の経験値がもらえます</v>
      </c>
      <c r="O598" s="20" t="s">
        <v>24</v>
      </c>
      <c r="P598">
        <v>7</v>
      </c>
    </row>
    <row r="599" spans="1:16" x14ac:dyDescent="0.15">
      <c r="A599" s="27" t="str">
        <f t="shared" si="72"/>
        <v>20006_3_4</v>
      </c>
      <c r="B599" s="25" t="s">
        <v>34</v>
      </c>
      <c r="C599" s="4">
        <v>20006</v>
      </c>
      <c r="D599" s="3" t="str">
        <f ca="1">VLOOKUP($C599,OFFSET([1]quests!$A$1,0,0,COUNTA([1]quests!$A:$A),MATCH(D$1,[1]quests!$1:$1,0)-MATCH($C$1,[1]quests!$1:$1,0)+1),MATCH(D$1,[1]quests!$1:$1,0)-MATCH($C$1,[1]quests!$1:$1,0)+1,FALSE)</f>
        <v>スチール・プレデター</v>
      </c>
      <c r="E599" s="3" t="str">
        <f ca="1">VLOOKUP($C599,OFFSET([1]quests!$A$1,0,0,COUNTA([1]quests!$A:$A),MATCH(E$1,[1]quests!$1:$1,0)-MATCH($C$1,[1]quests!$1:$1,0)+1),MATCH(E$1,[1]quests!$1:$1,0)-MATCH($C$1,[1]quests!$1:$1,0)+1,FALSE)</f>
        <v>ドロップイベント2-3</v>
      </c>
      <c r="F599" s="5">
        <v>3</v>
      </c>
      <c r="G599" s="3" t="str">
        <f ca="1">VLOOKUP($C599&amp;"_"&amp;$F599,OFFSET([1]stages!$A$1,0,0,COUNTA([1]stages!$A:$A),MATCH(G$1,[1]stages!$2:$2,0)-MATCH("temp_stage",[1]stages!$2:$2,0)+1),MATCH(G$1,[1]stages!$2:$2,0)-MATCH("temp_stage",[1]stages!$2:$2,0)+1,FALSE)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599" s="3" t="str">
        <f ca="1">VLOOKUP($C599&amp;"_"&amp;$F599,OFFSET([1]stages!$A$1,0,0,COUNTA([1]stages!$A:$A),MATCH(H$1,[1]stages!$2:$2,0)-MATCH("temp_stage",[1]stages!$2:$2,0)+1),MATCH(H$1,[1]stages!$2:$2,0)-MATCH("temp_stage",[1]stages!$2:$2,0)+1,FALSE)</f>
        <v>ドロップイベント2-3</v>
      </c>
      <c r="I599" s="18">
        <v>0</v>
      </c>
      <c r="J599" s="5">
        <f>COUNTIF(C$1:C599,C599)</f>
        <v>4</v>
      </c>
      <c r="K599" s="34">
        <v>8</v>
      </c>
      <c r="L599" s="5" t="s">
        <v>17</v>
      </c>
      <c r="M599" s="38" t="str">
        <f>VLOOKUP(K599,[2]stage_hints!$A:$C,3,FALSE)</f>
        <v>ゲリラクエストは要チェック</v>
      </c>
      <c r="N599" s="39" t="str">
        <f>VLOOKUP(K599,[2]stage_hints!$A:$D,4,FALSE)</f>
        <v>時間限定の「アヒル捕獲作戦」では
経験値素材ユニットが多く手に入ります</v>
      </c>
      <c r="O599" s="20" t="s">
        <v>24</v>
      </c>
      <c r="P599">
        <v>8</v>
      </c>
    </row>
    <row r="600" spans="1:16" x14ac:dyDescent="0.15">
      <c r="A600" s="27" t="str">
        <f t="shared" si="72"/>
        <v>20006_3_5</v>
      </c>
      <c r="B600" s="25" t="s">
        <v>34</v>
      </c>
      <c r="C600" s="4">
        <v>20006</v>
      </c>
      <c r="D600" s="3" t="str">
        <f ca="1">VLOOKUP($C600,OFFSET([1]quests!$A$1,0,0,COUNTA([1]quests!$A:$A),MATCH(D$1,[1]quests!$1:$1,0)-MATCH($C$1,[1]quests!$1:$1,0)+1),MATCH(D$1,[1]quests!$1:$1,0)-MATCH($C$1,[1]quests!$1:$1,0)+1,FALSE)</f>
        <v>スチール・プレデター</v>
      </c>
      <c r="E600" s="3" t="str">
        <f ca="1">VLOOKUP($C600,OFFSET([1]quests!$A$1,0,0,COUNTA([1]quests!$A:$A),MATCH(E$1,[1]quests!$1:$1,0)-MATCH($C$1,[1]quests!$1:$1,0)+1),MATCH(E$1,[1]quests!$1:$1,0)-MATCH($C$1,[1]quests!$1:$1,0)+1,FALSE)</f>
        <v>ドロップイベント2-3</v>
      </c>
      <c r="F600" s="5">
        <v>3</v>
      </c>
      <c r="G600" s="3" t="str">
        <f ca="1">VLOOKUP($C600&amp;"_"&amp;$F600,OFFSET([1]stages!$A$1,0,0,COUNTA([1]stages!$A:$A),MATCH(G$1,[1]stages!$2:$2,0)-MATCH("temp_stage",[1]stages!$2:$2,0)+1),MATCH(G$1,[1]stages!$2:$2,0)-MATCH("temp_stage",[1]stages!$2:$2,0)+1,FALSE)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0" s="3" t="str">
        <f ca="1">VLOOKUP($C600&amp;"_"&amp;$F600,OFFSET([1]stages!$A$1,0,0,COUNTA([1]stages!$A:$A),MATCH(H$1,[1]stages!$2:$2,0)-MATCH("temp_stage",[1]stages!$2:$2,0)+1),MATCH(H$1,[1]stages!$2:$2,0)-MATCH("temp_stage",[1]stages!$2:$2,0)+1,FALSE)</f>
        <v>ドロップイベント2-3</v>
      </c>
      <c r="I600" s="18">
        <v>0</v>
      </c>
      <c r="J600" s="5">
        <f>COUNTIF(C$1:C600,C600)</f>
        <v>5</v>
      </c>
      <c r="K600" s="34">
        <v>9</v>
      </c>
      <c r="L600" s="5" t="s">
        <v>17</v>
      </c>
      <c r="M600" s="38" t="str">
        <f>VLOOKUP(K600,[2]stage_hints!$A:$C,3,FALSE)</f>
        <v>ゴールドダックでビットを獲得</v>
      </c>
      <c r="N600" s="39" t="str">
        <f>VLOOKUP(K600,[2]stage_hints!$A:$D,4,FALSE)</f>
        <v>「ゴールドなアヒル」を売却すると
大量のビットがもらえます</v>
      </c>
      <c r="O600" s="20" t="s">
        <v>24</v>
      </c>
      <c r="P600">
        <v>9</v>
      </c>
    </row>
    <row r="601" spans="1:16" x14ac:dyDescent="0.15">
      <c r="A601" s="27" t="str">
        <f t="shared" si="72"/>
        <v>20006_3_6</v>
      </c>
      <c r="B601" s="25" t="s">
        <v>34</v>
      </c>
      <c r="C601" s="4">
        <v>20006</v>
      </c>
      <c r="D601" s="3" t="str">
        <f ca="1">VLOOKUP($C601,OFFSET([1]quests!$A$1,0,0,COUNTA([1]quests!$A:$A),MATCH(D$1,[1]quests!$1:$1,0)-MATCH($C$1,[1]quests!$1:$1,0)+1),MATCH(D$1,[1]quests!$1:$1,0)-MATCH($C$1,[1]quests!$1:$1,0)+1,FALSE)</f>
        <v>スチール・プレデター</v>
      </c>
      <c r="E601" s="3" t="str">
        <f ca="1">VLOOKUP($C601,OFFSET([1]quests!$A$1,0,0,COUNTA([1]quests!$A:$A),MATCH(E$1,[1]quests!$1:$1,0)-MATCH($C$1,[1]quests!$1:$1,0)+1),MATCH(E$1,[1]quests!$1:$1,0)-MATCH($C$1,[1]quests!$1:$1,0)+1,FALSE)</f>
        <v>ドロップイベント2-3</v>
      </c>
      <c r="F601" s="5">
        <v>3</v>
      </c>
      <c r="G601" s="3" t="str">
        <f ca="1">VLOOKUP($C601&amp;"_"&amp;$F601,OFFSET([1]stages!$A$1,0,0,COUNTA([1]stages!$A:$A),MATCH(G$1,[1]stages!$2:$2,0)-MATCH("temp_stage",[1]stages!$2:$2,0)+1),MATCH(G$1,[1]stages!$2:$2,0)-MATCH("temp_stage",[1]stages!$2:$2,0)+1,FALSE)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1" s="3" t="str">
        <f ca="1">VLOOKUP($C601&amp;"_"&amp;$F601,OFFSET([1]stages!$A$1,0,0,COUNTA([1]stages!$A:$A),MATCH(H$1,[1]stages!$2:$2,0)-MATCH("temp_stage",[1]stages!$2:$2,0)+1),MATCH(H$1,[1]stages!$2:$2,0)-MATCH("temp_stage",[1]stages!$2:$2,0)+1,FALSE)</f>
        <v>ドロップイベント2-3</v>
      </c>
      <c r="I601" s="18">
        <v>0</v>
      </c>
      <c r="J601" s="5">
        <f>COUNTIF(C$1:C601,C601)</f>
        <v>6</v>
      </c>
      <c r="K601" s="34">
        <v>10</v>
      </c>
      <c r="L601" s="5" t="s">
        <v>17</v>
      </c>
      <c r="M601" s="38" t="str">
        <f>VLOOKUP(K601,[2]stage_hints!$A:$C,3,FALSE)</f>
        <v>土日に大量のビットを獲得</v>
      </c>
      <c r="N601" s="39" t="str">
        <f>VLOOKUP(K601,[2]stage_hints!$A:$D,4,FALSE)</f>
        <v>土日限定の「ゴールドカジノ」では
売却素材ユニットが多く手に入ります</v>
      </c>
      <c r="O601" s="20" t="s">
        <v>24</v>
      </c>
      <c r="P601">
        <v>10</v>
      </c>
    </row>
    <row r="602" spans="1:16" x14ac:dyDescent="0.15">
      <c r="A602" s="27" t="str">
        <f t="shared" si="72"/>
        <v>20006_3_7</v>
      </c>
      <c r="B602" s="25" t="s">
        <v>34</v>
      </c>
      <c r="C602" s="4">
        <v>20006</v>
      </c>
      <c r="D602" s="3" t="str">
        <f ca="1">VLOOKUP($C602,OFFSET([1]quests!$A$1,0,0,COUNTA([1]quests!$A:$A),MATCH(D$1,[1]quests!$1:$1,0)-MATCH($C$1,[1]quests!$1:$1,0)+1),MATCH(D$1,[1]quests!$1:$1,0)-MATCH($C$1,[1]quests!$1:$1,0)+1,FALSE)</f>
        <v>スチール・プレデター</v>
      </c>
      <c r="E602" s="3" t="str">
        <f ca="1">VLOOKUP($C602,OFFSET([1]quests!$A$1,0,0,COUNTA([1]quests!$A:$A),MATCH(E$1,[1]quests!$1:$1,0)-MATCH($C$1,[1]quests!$1:$1,0)+1),MATCH(E$1,[1]quests!$1:$1,0)-MATCH($C$1,[1]quests!$1:$1,0)+1,FALSE)</f>
        <v>ドロップイベント2-3</v>
      </c>
      <c r="F602" s="5">
        <v>3</v>
      </c>
      <c r="G602" s="3" t="str">
        <f ca="1">VLOOKUP($C602&amp;"_"&amp;$F602,OFFSET([1]stages!$A$1,0,0,COUNTA([1]stages!$A:$A),MATCH(G$1,[1]stages!$2:$2,0)-MATCH("temp_stage",[1]stages!$2:$2,0)+1),MATCH(G$1,[1]stages!$2:$2,0)-MATCH("temp_stage",[1]stages!$2:$2,0)+1,FALSE)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2" s="3" t="str">
        <f ca="1">VLOOKUP($C602&amp;"_"&amp;$F602,OFFSET([1]stages!$A$1,0,0,COUNTA([1]stages!$A:$A),MATCH(H$1,[1]stages!$2:$2,0)-MATCH("temp_stage",[1]stages!$2:$2,0)+1),MATCH(H$1,[1]stages!$2:$2,0)-MATCH("temp_stage",[1]stages!$2:$2,0)+1,FALSE)</f>
        <v>ドロップイベント2-3</v>
      </c>
      <c r="I602" s="18">
        <v>0</v>
      </c>
      <c r="J602" s="5">
        <f>COUNTIF(C$1:C602,C602)</f>
        <v>7</v>
      </c>
      <c r="K602" s="34">
        <v>11</v>
      </c>
      <c r="L602" s="5" t="s">
        <v>17</v>
      </c>
      <c r="M602" s="38" t="str">
        <f>VLOOKUP(K602,[2]stage_hints!$A:$C,3,FALSE)</f>
        <v>ランク解放クエスト</v>
      </c>
      <c r="N602" s="39" t="str">
        <f>VLOOKUP(K602,[2]stage_hints!$A:$D,4,FALSE)</f>
        <v>一定ランクに到達すると
報酬付きのランク開放クエストが現れます</v>
      </c>
      <c r="O602" s="20" t="s">
        <v>24</v>
      </c>
      <c r="P602">
        <v>11</v>
      </c>
    </row>
    <row r="603" spans="1:16" x14ac:dyDescent="0.15">
      <c r="A603" s="27" t="str">
        <f t="shared" si="72"/>
        <v>20006_3_8</v>
      </c>
      <c r="B603" s="25" t="s">
        <v>34</v>
      </c>
      <c r="C603" s="4">
        <v>20006</v>
      </c>
      <c r="D603" s="3" t="str">
        <f ca="1">VLOOKUP($C603,OFFSET([1]quests!$A$1,0,0,COUNTA([1]quests!$A:$A),MATCH(D$1,[1]quests!$1:$1,0)-MATCH($C$1,[1]quests!$1:$1,0)+1),MATCH(D$1,[1]quests!$1:$1,0)-MATCH($C$1,[1]quests!$1:$1,0)+1,FALSE)</f>
        <v>スチール・プレデター</v>
      </c>
      <c r="E603" s="3" t="str">
        <f ca="1">VLOOKUP($C603,OFFSET([1]quests!$A$1,0,0,COUNTA([1]quests!$A:$A),MATCH(E$1,[1]quests!$1:$1,0)-MATCH($C$1,[1]quests!$1:$1,0)+1),MATCH(E$1,[1]quests!$1:$1,0)-MATCH($C$1,[1]quests!$1:$1,0)+1,FALSE)</f>
        <v>ドロップイベント2-3</v>
      </c>
      <c r="F603" s="5">
        <v>3</v>
      </c>
      <c r="G603" s="3" t="str">
        <f ca="1">VLOOKUP($C603&amp;"_"&amp;$F603,OFFSET([1]stages!$A$1,0,0,COUNTA([1]stages!$A:$A),MATCH(G$1,[1]stages!$2:$2,0)-MATCH("temp_stage",[1]stages!$2:$2,0)+1),MATCH(G$1,[1]stages!$2:$2,0)-MATCH("temp_stage",[1]stages!$2:$2,0)+1,FALSE)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3" s="3" t="str">
        <f ca="1">VLOOKUP($C603&amp;"_"&amp;$F603,OFFSET([1]stages!$A$1,0,0,COUNTA([1]stages!$A:$A),MATCH(H$1,[1]stages!$2:$2,0)-MATCH("temp_stage",[1]stages!$2:$2,0)+1),MATCH(H$1,[1]stages!$2:$2,0)-MATCH("temp_stage",[1]stages!$2:$2,0)+1,FALSE)</f>
        <v>ドロップイベント2-3</v>
      </c>
      <c r="I603" s="18">
        <v>0</v>
      </c>
      <c r="J603" s="5">
        <f>COUNTIF(C$1:C603,C603)</f>
        <v>8</v>
      </c>
      <c r="K603" s="34">
        <v>12</v>
      </c>
      <c r="L603" s="5" t="s">
        <v>17</v>
      </c>
      <c r="M603" s="38" t="str">
        <f>VLOOKUP(K603,[2]stage_hints!$A:$C,3,FALSE)</f>
        <v>ユニットのお気に入り登録</v>
      </c>
      <c r="N603" s="39" t="str">
        <f>VLOOKUP(K603,[2]stage_hints!$A:$D,4,FALSE)</f>
        <v>大事なユニットを誤って消さないように
フォルダから「お気に入り登録」しましょう</v>
      </c>
      <c r="O603" s="20" t="s">
        <v>24</v>
      </c>
      <c r="P603">
        <v>12</v>
      </c>
    </row>
    <row r="604" spans="1:16" x14ac:dyDescent="0.15">
      <c r="A604" s="27" t="str">
        <f t="shared" si="72"/>
        <v>20006_3_9</v>
      </c>
      <c r="B604" s="25" t="s">
        <v>34</v>
      </c>
      <c r="C604" s="4">
        <v>20006</v>
      </c>
      <c r="D604" s="3" t="str">
        <f ca="1">VLOOKUP($C604,OFFSET([1]quests!$A$1,0,0,COUNTA([1]quests!$A:$A),MATCH(D$1,[1]quests!$1:$1,0)-MATCH($C$1,[1]quests!$1:$1,0)+1),MATCH(D$1,[1]quests!$1:$1,0)-MATCH($C$1,[1]quests!$1:$1,0)+1,FALSE)</f>
        <v>スチール・プレデター</v>
      </c>
      <c r="E604" s="3" t="str">
        <f ca="1">VLOOKUP($C604,OFFSET([1]quests!$A$1,0,0,COUNTA([1]quests!$A:$A),MATCH(E$1,[1]quests!$1:$1,0)-MATCH($C$1,[1]quests!$1:$1,0)+1),MATCH(E$1,[1]quests!$1:$1,0)-MATCH($C$1,[1]quests!$1:$1,0)+1,FALSE)</f>
        <v>ドロップイベント2-3</v>
      </c>
      <c r="F604" s="5">
        <v>3</v>
      </c>
      <c r="G604" s="3" t="str">
        <f ca="1">VLOOKUP($C604&amp;"_"&amp;$F604,OFFSET([1]stages!$A$1,0,0,COUNTA([1]stages!$A:$A),MATCH(G$1,[1]stages!$2:$2,0)-MATCH("temp_stage",[1]stages!$2:$2,0)+1),MATCH(G$1,[1]stages!$2:$2,0)-MATCH("temp_stage",[1]stages!$2:$2,0)+1,FALSE)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4" s="3" t="str">
        <f ca="1">VLOOKUP($C604&amp;"_"&amp;$F604,OFFSET([1]stages!$A$1,0,0,COUNTA([1]stages!$A:$A),MATCH(H$1,[1]stages!$2:$2,0)-MATCH("temp_stage",[1]stages!$2:$2,0)+1),MATCH(H$1,[1]stages!$2:$2,0)-MATCH("temp_stage",[1]stages!$2:$2,0)+1,FALSE)</f>
        <v>ドロップイベント2-3</v>
      </c>
      <c r="I604" s="18">
        <v>0</v>
      </c>
      <c r="J604" s="5">
        <f>COUNTIF(C$1:C604,C604)</f>
        <v>9</v>
      </c>
      <c r="K604" s="34">
        <v>13</v>
      </c>
      <c r="L604" s="5" t="s">
        <v>17</v>
      </c>
      <c r="M604" s="38" t="str">
        <f>VLOOKUP(K604,[2]stage_hints!$A:$C,3,FALSE)</f>
        <v>ユニットの覚醒</v>
      </c>
      <c r="N604" s="39" t="str">
        <f>VLOOKUP(K604,[2]stage_hints!$A:$D,4,FALSE)</f>
        <v>ユニットを覚醒させると
比べものにならない強さが手に入ります</v>
      </c>
      <c r="O604" s="20" t="s">
        <v>24</v>
      </c>
      <c r="P604">
        <v>13</v>
      </c>
    </row>
    <row r="605" spans="1:16" x14ac:dyDescent="0.15">
      <c r="A605" s="27" t="str">
        <f t="shared" si="72"/>
        <v>20006_3_10</v>
      </c>
      <c r="B605" s="25" t="s">
        <v>34</v>
      </c>
      <c r="C605" s="4">
        <v>20006</v>
      </c>
      <c r="D605" s="3" t="str">
        <f ca="1">VLOOKUP($C605,OFFSET([1]quests!$A$1,0,0,COUNTA([1]quests!$A:$A),MATCH(D$1,[1]quests!$1:$1,0)-MATCH($C$1,[1]quests!$1:$1,0)+1),MATCH(D$1,[1]quests!$1:$1,0)-MATCH($C$1,[1]quests!$1:$1,0)+1,FALSE)</f>
        <v>スチール・プレデター</v>
      </c>
      <c r="E605" s="3" t="str">
        <f ca="1">VLOOKUP($C605,OFFSET([1]quests!$A$1,0,0,COUNTA([1]quests!$A:$A),MATCH(E$1,[1]quests!$1:$1,0)-MATCH($C$1,[1]quests!$1:$1,0)+1),MATCH(E$1,[1]quests!$1:$1,0)-MATCH($C$1,[1]quests!$1:$1,0)+1,FALSE)</f>
        <v>ドロップイベント2-3</v>
      </c>
      <c r="F605" s="5">
        <v>3</v>
      </c>
      <c r="G605" s="3" t="str">
        <f ca="1">VLOOKUP($C605&amp;"_"&amp;$F605,OFFSET([1]stages!$A$1,0,0,COUNTA([1]stages!$A:$A),MATCH(G$1,[1]stages!$2:$2,0)-MATCH("temp_stage",[1]stages!$2:$2,0)+1),MATCH(G$1,[1]stages!$2:$2,0)-MATCH("temp_stage",[1]stages!$2:$2,0)+1,FALSE)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5" s="3" t="str">
        <f ca="1">VLOOKUP($C605&amp;"_"&amp;$F605,OFFSET([1]stages!$A$1,0,0,COUNTA([1]stages!$A:$A),MATCH(H$1,[1]stages!$2:$2,0)-MATCH("temp_stage",[1]stages!$2:$2,0)+1),MATCH(H$1,[1]stages!$2:$2,0)-MATCH("temp_stage",[1]stages!$2:$2,0)+1,FALSE)</f>
        <v>ドロップイベント2-3</v>
      </c>
      <c r="I605" s="18">
        <v>0</v>
      </c>
      <c r="J605" s="5">
        <f>COUNTIF(C$1:C605,C605)</f>
        <v>10</v>
      </c>
      <c r="K605" s="34">
        <v>14</v>
      </c>
      <c r="L605" s="5" t="s">
        <v>17</v>
      </c>
      <c r="M605" s="38" t="str">
        <f>VLOOKUP(K605,[2]stage_hints!$A:$C,3,FALSE)</f>
        <v>覚醒するにはレベルを最大に</v>
      </c>
      <c r="N605" s="39" t="str">
        <f>VLOOKUP(K605,[2]stage_hints!$A:$D,4,FALSE)</f>
        <v>覚醒するにはユニットのレベルを
最大まで上げる必要があります</v>
      </c>
      <c r="O605" s="20" t="s">
        <v>24</v>
      </c>
      <c r="P605">
        <v>14</v>
      </c>
    </row>
    <row r="606" spans="1:16" x14ac:dyDescent="0.15">
      <c r="A606" s="27" t="str">
        <f t="shared" si="72"/>
        <v>20006_3_11</v>
      </c>
      <c r="B606" s="25" t="s">
        <v>34</v>
      </c>
      <c r="C606" s="4">
        <v>20006</v>
      </c>
      <c r="D606" s="3" t="str">
        <f ca="1">VLOOKUP($C606,OFFSET([1]quests!$A$1,0,0,COUNTA([1]quests!$A:$A),MATCH(D$1,[1]quests!$1:$1,0)-MATCH($C$1,[1]quests!$1:$1,0)+1),MATCH(D$1,[1]quests!$1:$1,0)-MATCH($C$1,[1]quests!$1:$1,0)+1,FALSE)</f>
        <v>スチール・プレデター</v>
      </c>
      <c r="E606" s="3" t="str">
        <f ca="1">VLOOKUP($C606,OFFSET([1]quests!$A$1,0,0,COUNTA([1]quests!$A:$A),MATCH(E$1,[1]quests!$1:$1,0)-MATCH($C$1,[1]quests!$1:$1,0)+1),MATCH(E$1,[1]quests!$1:$1,0)-MATCH($C$1,[1]quests!$1:$1,0)+1,FALSE)</f>
        <v>ドロップイベント2-3</v>
      </c>
      <c r="F606" s="5">
        <v>3</v>
      </c>
      <c r="G606" s="3" t="str">
        <f ca="1">VLOOKUP($C606&amp;"_"&amp;$F606,OFFSET([1]stages!$A$1,0,0,COUNTA([1]stages!$A:$A),MATCH(G$1,[1]stages!$2:$2,0)-MATCH("temp_stage",[1]stages!$2:$2,0)+1),MATCH(G$1,[1]stages!$2:$2,0)-MATCH("temp_stage",[1]stages!$2:$2,0)+1,FALSE)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6" s="3" t="str">
        <f ca="1">VLOOKUP($C606&amp;"_"&amp;$F606,OFFSET([1]stages!$A$1,0,0,COUNTA([1]stages!$A:$A),MATCH(H$1,[1]stages!$2:$2,0)-MATCH("temp_stage",[1]stages!$2:$2,0)+1),MATCH(H$1,[1]stages!$2:$2,0)-MATCH("temp_stage",[1]stages!$2:$2,0)+1,FALSE)</f>
        <v>ドロップイベント2-3</v>
      </c>
      <c r="I606" s="18">
        <v>0</v>
      </c>
      <c r="J606" s="5">
        <f>COUNTIF(C$1:C606,C606)</f>
        <v>11</v>
      </c>
      <c r="K606" s="34">
        <v>15</v>
      </c>
      <c r="L606" s="5" t="s">
        <v>17</v>
      </c>
      <c r="M606" s="38" t="str">
        <f>VLOOKUP(K606,[2]stage_hints!$A:$C,3,FALSE)</f>
        <v>覚醒素材を獲得</v>
      </c>
      <c r="N606" s="39" t="str">
        <f>VLOOKUP(K606,[2]stage_hints!$A:$D,4,FALSE)</f>
        <v>「曜日クエスト」では
ユニットの覚醒に必要な素材が手に入ります</v>
      </c>
      <c r="O606" s="20" t="s">
        <v>24</v>
      </c>
      <c r="P606">
        <v>15</v>
      </c>
    </row>
    <row r="607" spans="1:16" x14ac:dyDescent="0.15">
      <c r="A607" s="27" t="str">
        <f t="shared" si="72"/>
        <v>20006_3_12</v>
      </c>
      <c r="B607" s="25" t="s">
        <v>34</v>
      </c>
      <c r="C607" s="4">
        <v>20006</v>
      </c>
      <c r="D607" s="3" t="str">
        <f ca="1">VLOOKUP($C607,OFFSET([1]quests!$A$1,0,0,COUNTA([1]quests!$A:$A),MATCH(D$1,[1]quests!$1:$1,0)-MATCH($C$1,[1]quests!$1:$1,0)+1),MATCH(D$1,[1]quests!$1:$1,0)-MATCH($C$1,[1]quests!$1:$1,0)+1,FALSE)</f>
        <v>スチール・プレデター</v>
      </c>
      <c r="E607" s="3" t="str">
        <f ca="1">VLOOKUP($C607,OFFSET([1]quests!$A$1,0,0,COUNTA([1]quests!$A:$A),MATCH(E$1,[1]quests!$1:$1,0)-MATCH($C$1,[1]quests!$1:$1,0)+1),MATCH(E$1,[1]quests!$1:$1,0)-MATCH($C$1,[1]quests!$1:$1,0)+1,FALSE)</f>
        <v>ドロップイベント2-3</v>
      </c>
      <c r="F607" s="5">
        <v>3</v>
      </c>
      <c r="G607" s="3" t="str">
        <f ca="1">VLOOKUP($C607&amp;"_"&amp;$F607,OFFSET([1]stages!$A$1,0,0,COUNTA([1]stages!$A:$A),MATCH(G$1,[1]stages!$2:$2,0)-MATCH("temp_stage",[1]stages!$2:$2,0)+1),MATCH(G$1,[1]stages!$2:$2,0)-MATCH("temp_stage",[1]stages!$2:$2,0)+1,FALSE)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7" s="3" t="str">
        <f ca="1">VLOOKUP($C607&amp;"_"&amp;$F607,OFFSET([1]stages!$A$1,0,0,COUNTA([1]stages!$A:$A),MATCH(H$1,[1]stages!$2:$2,0)-MATCH("temp_stage",[1]stages!$2:$2,0)+1),MATCH(H$1,[1]stages!$2:$2,0)-MATCH("temp_stage",[1]stages!$2:$2,0)+1,FALSE)</f>
        <v>ドロップイベント2-3</v>
      </c>
      <c r="I607" s="18">
        <v>0</v>
      </c>
      <c r="J607" s="5">
        <f>COUNTIF(C$1:C607,C607)</f>
        <v>12</v>
      </c>
      <c r="K607" s="34">
        <v>16</v>
      </c>
      <c r="L607" s="5" t="s">
        <v>17</v>
      </c>
      <c r="M607" s="38" t="str">
        <f>VLOOKUP(K607,[2]stage_hints!$A:$C,3,FALSE)</f>
        <v>マルチプレイのメリット（その1）</v>
      </c>
      <c r="N607" s="39" t="str">
        <f>VLOOKUP(K607,[2]stage_hints!$A:$D,4,FALSE)</f>
        <v>他のプレイヤーとマルチプレイで遊ぶと
ポリゴンがもらえます（100人まで）</v>
      </c>
      <c r="O607" s="20" t="s">
        <v>24</v>
      </c>
      <c r="P607">
        <v>16</v>
      </c>
    </row>
    <row r="608" spans="1:16" x14ac:dyDescent="0.15">
      <c r="A608" s="27" t="str">
        <f t="shared" si="72"/>
        <v>20006_3_13</v>
      </c>
      <c r="B608" s="25" t="s">
        <v>34</v>
      </c>
      <c r="C608" s="4">
        <v>20006</v>
      </c>
      <c r="D608" s="3" t="str">
        <f ca="1">VLOOKUP($C608,OFFSET([1]quests!$A$1,0,0,COUNTA([1]quests!$A:$A),MATCH(D$1,[1]quests!$1:$1,0)-MATCH($C$1,[1]quests!$1:$1,0)+1),MATCH(D$1,[1]quests!$1:$1,0)-MATCH($C$1,[1]quests!$1:$1,0)+1,FALSE)</f>
        <v>スチール・プレデター</v>
      </c>
      <c r="E608" s="3" t="str">
        <f ca="1">VLOOKUP($C608,OFFSET([1]quests!$A$1,0,0,COUNTA([1]quests!$A:$A),MATCH(E$1,[1]quests!$1:$1,0)-MATCH($C$1,[1]quests!$1:$1,0)+1),MATCH(E$1,[1]quests!$1:$1,0)-MATCH($C$1,[1]quests!$1:$1,0)+1,FALSE)</f>
        <v>ドロップイベント2-3</v>
      </c>
      <c r="F608" s="5">
        <v>3</v>
      </c>
      <c r="G608" s="3" t="str">
        <f ca="1">VLOOKUP($C608&amp;"_"&amp;$F608,OFFSET([1]stages!$A$1,0,0,COUNTA([1]stages!$A:$A),MATCH(G$1,[1]stages!$2:$2,0)-MATCH("temp_stage",[1]stages!$2:$2,0)+1),MATCH(G$1,[1]stages!$2:$2,0)-MATCH("temp_stage",[1]stages!$2:$2,0)+1,FALSE)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8" s="3" t="str">
        <f ca="1">VLOOKUP($C608&amp;"_"&amp;$F608,OFFSET([1]stages!$A$1,0,0,COUNTA([1]stages!$A:$A),MATCH(H$1,[1]stages!$2:$2,0)-MATCH("temp_stage",[1]stages!$2:$2,0)+1),MATCH(H$1,[1]stages!$2:$2,0)-MATCH("temp_stage",[1]stages!$2:$2,0)+1,FALSE)</f>
        <v>ドロップイベント2-3</v>
      </c>
      <c r="I608" s="18">
        <v>0</v>
      </c>
      <c r="J608" s="5">
        <f>COUNTIF(C$1:C608,C608)</f>
        <v>13</v>
      </c>
      <c r="K608" s="34">
        <v>17</v>
      </c>
      <c r="L608" s="5" t="s">
        <v>17</v>
      </c>
      <c r="M608" s="38" t="str">
        <f>VLOOKUP(K608,[2]stage_hints!$A:$C,3,FALSE)</f>
        <v>リンクガチャ</v>
      </c>
      <c r="N608" s="39" t="str">
        <f>VLOOKUP(K608,[2]stage_hints!$A:$D,4,FALSE)</f>
        <v>無料のリンクガチャを回して
経験値素材や売却素材を獲得しましょう</v>
      </c>
      <c r="O608" s="20" t="s">
        <v>24</v>
      </c>
      <c r="P608">
        <v>17</v>
      </c>
    </row>
    <row r="609" spans="1:16" x14ac:dyDescent="0.15">
      <c r="A609" s="27" t="str">
        <f t="shared" si="72"/>
        <v>20006_3_14</v>
      </c>
      <c r="B609" s="25" t="s">
        <v>34</v>
      </c>
      <c r="C609" s="4">
        <v>20006</v>
      </c>
      <c r="D609" s="3" t="str">
        <f ca="1">VLOOKUP($C609,OFFSET([1]quests!$A$1,0,0,COUNTA([1]quests!$A:$A),MATCH(D$1,[1]quests!$1:$1,0)-MATCH($C$1,[1]quests!$1:$1,0)+1),MATCH(D$1,[1]quests!$1:$1,0)-MATCH($C$1,[1]quests!$1:$1,0)+1,FALSE)</f>
        <v>スチール・プレデター</v>
      </c>
      <c r="E609" s="3" t="str">
        <f ca="1">VLOOKUP($C609,OFFSET([1]quests!$A$1,0,0,COUNTA([1]quests!$A:$A),MATCH(E$1,[1]quests!$1:$1,0)-MATCH($C$1,[1]quests!$1:$1,0)+1),MATCH(E$1,[1]quests!$1:$1,0)-MATCH($C$1,[1]quests!$1:$1,0)+1,FALSE)</f>
        <v>ドロップイベント2-3</v>
      </c>
      <c r="F609" s="5">
        <v>3</v>
      </c>
      <c r="G609" s="3" t="str">
        <f ca="1">VLOOKUP($C609&amp;"_"&amp;$F609,OFFSET([1]stages!$A$1,0,0,COUNTA([1]stages!$A:$A),MATCH(G$1,[1]stages!$2:$2,0)-MATCH("temp_stage",[1]stages!$2:$2,0)+1),MATCH(G$1,[1]stages!$2:$2,0)-MATCH("temp_stage",[1]stages!$2:$2,0)+1,FALSE)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09" s="3" t="str">
        <f ca="1">VLOOKUP($C609&amp;"_"&amp;$F609,OFFSET([1]stages!$A$1,0,0,COUNTA([1]stages!$A:$A),MATCH(H$1,[1]stages!$2:$2,0)-MATCH("temp_stage",[1]stages!$2:$2,0)+1),MATCH(H$1,[1]stages!$2:$2,0)-MATCH("temp_stage",[1]stages!$2:$2,0)+1,FALSE)</f>
        <v>ドロップイベント2-3</v>
      </c>
      <c r="I609" s="18">
        <v>0</v>
      </c>
      <c r="J609" s="5">
        <f>COUNTIF(C$1:C609,C609)</f>
        <v>14</v>
      </c>
      <c r="K609" s="34">
        <v>18</v>
      </c>
      <c r="L609" s="5" t="s">
        <v>17</v>
      </c>
      <c r="M609" s="38" t="str">
        <f>VLOOKUP(K609,[2]stage_hints!$A:$C,3,FALSE)</f>
        <v>マルチプレイのメリット（その2）</v>
      </c>
      <c r="N609" s="39" t="str">
        <f>VLOOKUP(K609,[2]stage_hints!$A:$D,4,FALSE)</f>
        <v>マルチプレイならリンクが2倍もらえます
リンクガチャをたくさん回しましょう</v>
      </c>
      <c r="O609" s="20" t="s">
        <v>24</v>
      </c>
      <c r="P609">
        <v>18</v>
      </c>
    </row>
    <row r="610" spans="1:16" x14ac:dyDescent="0.15">
      <c r="A610" s="27" t="str">
        <f t="shared" si="72"/>
        <v>20006_3_15</v>
      </c>
      <c r="B610" s="25" t="s">
        <v>34</v>
      </c>
      <c r="C610" s="4">
        <v>20006</v>
      </c>
      <c r="D610" s="3" t="str">
        <f ca="1">VLOOKUP($C610,OFFSET([1]quests!$A$1,0,0,COUNTA([1]quests!$A:$A),MATCH(D$1,[1]quests!$1:$1,0)-MATCH($C$1,[1]quests!$1:$1,0)+1),MATCH(D$1,[1]quests!$1:$1,0)-MATCH($C$1,[1]quests!$1:$1,0)+1,FALSE)</f>
        <v>スチール・プレデター</v>
      </c>
      <c r="E610" s="3" t="str">
        <f ca="1">VLOOKUP($C610,OFFSET([1]quests!$A$1,0,0,COUNTA([1]quests!$A:$A),MATCH(E$1,[1]quests!$1:$1,0)-MATCH($C$1,[1]quests!$1:$1,0)+1),MATCH(E$1,[1]quests!$1:$1,0)-MATCH($C$1,[1]quests!$1:$1,0)+1,FALSE)</f>
        <v>ドロップイベント2-3</v>
      </c>
      <c r="F610" s="5">
        <v>3</v>
      </c>
      <c r="G610" s="3" t="str">
        <f ca="1">VLOOKUP($C610&amp;"_"&amp;$F610,OFFSET([1]stages!$A$1,0,0,COUNTA([1]stages!$A:$A),MATCH(G$1,[1]stages!$2:$2,0)-MATCH("temp_stage",[1]stages!$2:$2,0)+1),MATCH(G$1,[1]stages!$2:$2,0)-MATCH("temp_stage",[1]stages!$2:$2,0)+1,FALSE)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0" s="3" t="str">
        <f ca="1">VLOOKUP($C610&amp;"_"&amp;$F610,OFFSET([1]stages!$A$1,0,0,COUNTA([1]stages!$A:$A),MATCH(H$1,[1]stages!$2:$2,0)-MATCH("temp_stage",[1]stages!$2:$2,0)+1),MATCH(H$1,[1]stages!$2:$2,0)-MATCH("temp_stage",[1]stages!$2:$2,0)+1,FALSE)</f>
        <v>ドロップイベント2-3</v>
      </c>
      <c r="I610" s="18">
        <v>0</v>
      </c>
      <c r="J610" s="5">
        <f>COUNTIF(C$1:C610,C610)</f>
        <v>15</v>
      </c>
      <c r="K610" s="34">
        <v>19</v>
      </c>
      <c r="L610" s="5" t="s">
        <v>17</v>
      </c>
      <c r="M610" s="38" t="str">
        <f>VLOOKUP(K610,[2]stage_hints!$A:$C,3,FALSE)</f>
        <v>ソロ専用チャレンジタワー</v>
      </c>
      <c r="N610" s="39" t="str">
        <f>VLOOKUP(K610,[2]stage_hints!$A:$D,4,FALSE)</f>
        <v>ソロ専用の「チャレンジタワー」では
各フロアごとにクリア報酬がもらえます</v>
      </c>
      <c r="O610" s="20" t="s">
        <v>24</v>
      </c>
      <c r="P610">
        <v>19</v>
      </c>
    </row>
    <row r="611" spans="1:16" x14ac:dyDescent="0.15">
      <c r="A611" s="27" t="str">
        <f t="shared" si="72"/>
        <v>20006_3_16</v>
      </c>
      <c r="B611" s="25" t="s">
        <v>34</v>
      </c>
      <c r="C611" s="4">
        <v>20006</v>
      </c>
      <c r="D611" s="3" t="str">
        <f ca="1">VLOOKUP($C611,OFFSET([1]quests!$A$1,0,0,COUNTA([1]quests!$A:$A),MATCH(D$1,[1]quests!$1:$1,0)-MATCH($C$1,[1]quests!$1:$1,0)+1),MATCH(D$1,[1]quests!$1:$1,0)-MATCH($C$1,[1]quests!$1:$1,0)+1,FALSE)</f>
        <v>スチール・プレデター</v>
      </c>
      <c r="E611" s="3" t="str">
        <f ca="1">VLOOKUP($C611,OFFSET([1]quests!$A$1,0,0,COUNTA([1]quests!$A:$A),MATCH(E$1,[1]quests!$1:$1,0)-MATCH($C$1,[1]quests!$1:$1,0)+1),MATCH(E$1,[1]quests!$1:$1,0)-MATCH($C$1,[1]quests!$1:$1,0)+1,FALSE)</f>
        <v>ドロップイベント2-3</v>
      </c>
      <c r="F611" s="5">
        <v>3</v>
      </c>
      <c r="G611" s="3" t="str">
        <f ca="1">VLOOKUP($C611&amp;"_"&amp;$F611,OFFSET([1]stages!$A$1,0,0,COUNTA([1]stages!$A:$A),MATCH(G$1,[1]stages!$2:$2,0)-MATCH("temp_stage",[1]stages!$2:$2,0)+1),MATCH(G$1,[1]stages!$2:$2,0)-MATCH("temp_stage",[1]stages!$2:$2,0)+1,FALSE)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1" s="3" t="str">
        <f ca="1">VLOOKUP($C611&amp;"_"&amp;$F611,OFFSET([1]stages!$A$1,0,0,COUNTA([1]stages!$A:$A),MATCH(H$1,[1]stages!$2:$2,0)-MATCH("temp_stage",[1]stages!$2:$2,0)+1),MATCH(H$1,[1]stages!$2:$2,0)-MATCH("temp_stage",[1]stages!$2:$2,0)+1,FALSE)</f>
        <v>ドロップイベント2-3</v>
      </c>
      <c r="I611" s="18">
        <v>0</v>
      </c>
      <c r="J611" s="5">
        <f>COUNTIF(C$1:C611,C611)</f>
        <v>16</v>
      </c>
      <c r="K611" s="34">
        <v>20</v>
      </c>
      <c r="L611" s="5" t="s">
        <v>17</v>
      </c>
      <c r="M611" s="38" t="str">
        <f>VLOOKUP(K611,[2]stage_hints!$A:$C,3,FALSE)</f>
        <v>マルチプレイのメリット（その3）</v>
      </c>
      <c r="N611" s="39" t="str">
        <f>VLOOKUP(K611,[2]stage_hints!$A:$D,4,FALSE)</f>
        <v>マルチプレイへの参加はエナジー消費ゼロ
いつでも好きなだけ遊ぶことができます</v>
      </c>
      <c r="O611" s="20" t="s">
        <v>24</v>
      </c>
      <c r="P611">
        <v>20</v>
      </c>
    </row>
    <row r="612" spans="1:16" x14ac:dyDescent="0.15">
      <c r="A612" s="27" t="str">
        <f t="shared" si="72"/>
        <v>20006_3_17</v>
      </c>
      <c r="B612" s="25" t="s">
        <v>34</v>
      </c>
      <c r="C612" s="4">
        <v>20006</v>
      </c>
      <c r="D612" s="3" t="str">
        <f ca="1">VLOOKUP($C612,OFFSET([1]quests!$A$1,0,0,COUNTA([1]quests!$A:$A),MATCH(D$1,[1]quests!$1:$1,0)-MATCH($C$1,[1]quests!$1:$1,0)+1),MATCH(D$1,[1]quests!$1:$1,0)-MATCH($C$1,[1]quests!$1:$1,0)+1,FALSE)</f>
        <v>スチール・プレデター</v>
      </c>
      <c r="E612" s="3" t="str">
        <f ca="1">VLOOKUP($C612,OFFSET([1]quests!$A$1,0,0,COUNTA([1]quests!$A:$A),MATCH(E$1,[1]quests!$1:$1,0)-MATCH($C$1,[1]quests!$1:$1,0)+1),MATCH(E$1,[1]quests!$1:$1,0)-MATCH($C$1,[1]quests!$1:$1,0)+1,FALSE)</f>
        <v>ドロップイベント2-3</v>
      </c>
      <c r="F612" s="5">
        <v>3</v>
      </c>
      <c r="G612" s="3" t="str">
        <f ca="1">VLOOKUP($C612&amp;"_"&amp;$F612,OFFSET([1]stages!$A$1,0,0,COUNTA([1]stages!$A:$A),MATCH(G$1,[1]stages!$2:$2,0)-MATCH("temp_stage",[1]stages!$2:$2,0)+1),MATCH(G$1,[1]stages!$2:$2,0)-MATCH("temp_stage",[1]stages!$2:$2,0)+1,FALSE)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2" s="3" t="str">
        <f ca="1">VLOOKUP($C612&amp;"_"&amp;$F612,OFFSET([1]stages!$A$1,0,0,COUNTA([1]stages!$A:$A),MATCH(H$1,[1]stages!$2:$2,0)-MATCH("temp_stage",[1]stages!$2:$2,0)+1),MATCH(H$1,[1]stages!$2:$2,0)-MATCH("temp_stage",[1]stages!$2:$2,0)+1,FALSE)</f>
        <v>ドロップイベント2-3</v>
      </c>
      <c r="I612" s="18">
        <v>0</v>
      </c>
      <c r="J612" s="5">
        <f>COUNTIF(C$1:C612,C612)</f>
        <v>17</v>
      </c>
      <c r="K612" s="34">
        <v>21</v>
      </c>
      <c r="L612" s="5" t="s">
        <v>17</v>
      </c>
      <c r="M612" s="38" t="str">
        <f>VLOOKUP(K612,[2]stage_hints!$A:$C,3,FALSE)</f>
        <v>スキルを有効に</v>
      </c>
      <c r="N612" s="39" t="str">
        <f>VLOOKUP(K612,[2]stage_hints!$A:$D,4,FALSE)</f>
        <v>ターン経過でユニットのスキルが使えます
強力スキルでバトルを有利に進めましょう</v>
      </c>
      <c r="O612" s="20" t="s">
        <v>24</v>
      </c>
      <c r="P612">
        <v>21</v>
      </c>
    </row>
    <row r="613" spans="1:16" x14ac:dyDescent="0.15">
      <c r="A613" s="27" t="str">
        <f t="shared" si="72"/>
        <v>20006_3_18</v>
      </c>
      <c r="B613" s="25" t="s">
        <v>34</v>
      </c>
      <c r="C613" s="4">
        <v>20006</v>
      </c>
      <c r="D613" s="3" t="str">
        <f ca="1">VLOOKUP($C613,OFFSET([1]quests!$A$1,0,0,COUNTA([1]quests!$A:$A),MATCH(D$1,[1]quests!$1:$1,0)-MATCH($C$1,[1]quests!$1:$1,0)+1),MATCH(D$1,[1]quests!$1:$1,0)-MATCH($C$1,[1]quests!$1:$1,0)+1,FALSE)</f>
        <v>スチール・プレデター</v>
      </c>
      <c r="E613" s="3" t="str">
        <f ca="1">VLOOKUP($C613,OFFSET([1]quests!$A$1,0,0,COUNTA([1]quests!$A:$A),MATCH(E$1,[1]quests!$1:$1,0)-MATCH($C$1,[1]quests!$1:$1,0)+1),MATCH(E$1,[1]quests!$1:$1,0)-MATCH($C$1,[1]quests!$1:$1,0)+1,FALSE)</f>
        <v>ドロップイベント2-3</v>
      </c>
      <c r="F613" s="5">
        <v>3</v>
      </c>
      <c r="G613" s="3" t="str">
        <f ca="1">VLOOKUP($C613&amp;"_"&amp;$F613,OFFSET([1]stages!$A$1,0,0,COUNTA([1]stages!$A:$A),MATCH(G$1,[1]stages!$2:$2,0)-MATCH("temp_stage",[1]stages!$2:$2,0)+1),MATCH(G$1,[1]stages!$2:$2,0)-MATCH("temp_stage",[1]stages!$2:$2,0)+1,FALSE)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3" s="3" t="str">
        <f ca="1">VLOOKUP($C613&amp;"_"&amp;$F613,OFFSET([1]stages!$A$1,0,0,COUNTA([1]stages!$A:$A),MATCH(H$1,[1]stages!$2:$2,0)-MATCH("temp_stage",[1]stages!$2:$2,0)+1),MATCH(H$1,[1]stages!$2:$2,0)-MATCH("temp_stage",[1]stages!$2:$2,0)+1,FALSE)</f>
        <v>ドロップイベント2-3</v>
      </c>
      <c r="I613" s="18">
        <v>0</v>
      </c>
      <c r="J613" s="5">
        <f>COUNTIF(C$1:C613,C613)</f>
        <v>18</v>
      </c>
      <c r="K613" s="34">
        <v>22</v>
      </c>
      <c r="L613" s="5" t="s">
        <v>17</v>
      </c>
      <c r="M613" s="38" t="str">
        <f>VLOOKUP(K613,[2]stage_hints!$A:$C,3,FALSE)</f>
        <v>フィーバーで一発逆転（その1）</v>
      </c>
      <c r="N613" s="39" t="str">
        <f>VLOOKUP(K613,[2]stage_hints!$A:$D,4,FALSE)</f>
        <v>フィーバーは攻撃と回復を兼ね備えます
ピンチからの一発逆転を狙いましょう</v>
      </c>
      <c r="O613" s="20" t="s">
        <v>24</v>
      </c>
      <c r="P613">
        <v>22</v>
      </c>
    </row>
    <row r="614" spans="1:16" x14ac:dyDescent="0.15">
      <c r="A614" s="27" t="str">
        <f t="shared" si="72"/>
        <v>20006_3_19</v>
      </c>
      <c r="B614" s="25" t="s">
        <v>34</v>
      </c>
      <c r="C614" s="4">
        <v>20006</v>
      </c>
      <c r="D614" s="3" t="str">
        <f ca="1">VLOOKUP($C614,OFFSET([1]quests!$A$1,0,0,COUNTA([1]quests!$A:$A),MATCH(D$1,[1]quests!$1:$1,0)-MATCH($C$1,[1]quests!$1:$1,0)+1),MATCH(D$1,[1]quests!$1:$1,0)-MATCH($C$1,[1]quests!$1:$1,0)+1,FALSE)</f>
        <v>スチール・プレデター</v>
      </c>
      <c r="E614" s="3" t="str">
        <f ca="1">VLOOKUP($C614,OFFSET([1]quests!$A$1,0,0,COUNTA([1]quests!$A:$A),MATCH(E$1,[1]quests!$1:$1,0)-MATCH($C$1,[1]quests!$1:$1,0)+1),MATCH(E$1,[1]quests!$1:$1,0)-MATCH($C$1,[1]quests!$1:$1,0)+1,FALSE)</f>
        <v>ドロップイベント2-3</v>
      </c>
      <c r="F614" s="5">
        <v>3</v>
      </c>
      <c r="G614" s="3" t="str">
        <f ca="1">VLOOKUP($C614&amp;"_"&amp;$F614,OFFSET([1]stages!$A$1,0,0,COUNTA([1]stages!$A:$A),MATCH(G$1,[1]stages!$2:$2,0)-MATCH("temp_stage",[1]stages!$2:$2,0)+1),MATCH(G$1,[1]stages!$2:$2,0)-MATCH("temp_stage",[1]stages!$2:$2,0)+1,FALSE)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4" s="3" t="str">
        <f ca="1">VLOOKUP($C614&amp;"_"&amp;$F614,OFFSET([1]stages!$A$1,0,0,COUNTA([1]stages!$A:$A),MATCH(H$1,[1]stages!$2:$2,0)-MATCH("temp_stage",[1]stages!$2:$2,0)+1),MATCH(H$1,[1]stages!$2:$2,0)-MATCH("temp_stage",[1]stages!$2:$2,0)+1,FALSE)</f>
        <v>ドロップイベント2-3</v>
      </c>
      <c r="I614" s="18">
        <v>0</v>
      </c>
      <c r="J614" s="5">
        <f>COUNTIF(C$1:C614,C614)</f>
        <v>19</v>
      </c>
      <c r="K614" s="34">
        <v>23</v>
      </c>
      <c r="L614" s="5" t="s">
        <v>17</v>
      </c>
      <c r="M614" s="38" t="str">
        <f>VLOOKUP(K614,[2]stage_hints!$A:$C,3,FALSE)</f>
        <v>フィーバーで一発逆転（その2）</v>
      </c>
      <c r="N614" s="39" t="str">
        <f>VLOOKUP(K614,[2]stage_hints!$A:$D,4,FALSE)</f>
        <v>フィーバー中は虹色のボムパネルを狙って
画面上のパネルを一気に破壊しましょう</v>
      </c>
      <c r="O614" s="20" t="s">
        <v>24</v>
      </c>
      <c r="P614">
        <v>23</v>
      </c>
    </row>
    <row r="615" spans="1:16" x14ac:dyDescent="0.15">
      <c r="A615" s="27" t="str">
        <f t="shared" si="72"/>
        <v>20006_3_20</v>
      </c>
      <c r="B615" s="25" t="s">
        <v>34</v>
      </c>
      <c r="C615" s="4">
        <v>20006</v>
      </c>
      <c r="D615" s="3" t="str">
        <f ca="1">VLOOKUP($C615,OFFSET([1]quests!$A$1,0,0,COUNTA([1]quests!$A:$A),MATCH(D$1,[1]quests!$1:$1,0)-MATCH($C$1,[1]quests!$1:$1,0)+1),MATCH(D$1,[1]quests!$1:$1,0)-MATCH($C$1,[1]quests!$1:$1,0)+1,FALSE)</f>
        <v>スチール・プレデター</v>
      </c>
      <c r="E615" s="3" t="str">
        <f ca="1">VLOOKUP($C615,OFFSET([1]quests!$A$1,0,0,COUNTA([1]quests!$A:$A),MATCH(E$1,[1]quests!$1:$1,0)-MATCH($C$1,[1]quests!$1:$1,0)+1),MATCH(E$1,[1]quests!$1:$1,0)-MATCH($C$1,[1]quests!$1:$1,0)+1,FALSE)</f>
        <v>ドロップイベント2-3</v>
      </c>
      <c r="F615" s="5">
        <v>3</v>
      </c>
      <c r="G615" s="3" t="str">
        <f ca="1">VLOOKUP($C615&amp;"_"&amp;$F615,OFFSET([1]stages!$A$1,0,0,COUNTA([1]stages!$A:$A),MATCH(G$1,[1]stages!$2:$2,0)-MATCH("temp_stage",[1]stages!$2:$2,0)+1),MATCH(G$1,[1]stages!$2:$2,0)-MATCH("temp_stage",[1]stages!$2:$2,0)+1,FALSE)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5" s="3" t="str">
        <f ca="1">VLOOKUP($C615&amp;"_"&amp;$F615,OFFSET([1]stages!$A$1,0,0,COUNTA([1]stages!$A:$A),MATCH(H$1,[1]stages!$2:$2,0)-MATCH("temp_stage",[1]stages!$2:$2,0)+1),MATCH(H$1,[1]stages!$2:$2,0)-MATCH("temp_stage",[1]stages!$2:$2,0)+1,FALSE)</f>
        <v>ドロップイベント2-3</v>
      </c>
      <c r="I615" s="18">
        <v>0</v>
      </c>
      <c r="J615" s="5">
        <f>COUNTIF(C$1:C615,C615)</f>
        <v>20</v>
      </c>
      <c r="K615" s="34">
        <v>24</v>
      </c>
      <c r="L615" s="5" t="s">
        <v>17</v>
      </c>
      <c r="M615" s="38" t="str">
        <f>VLOOKUP(K615,[2]stage_hints!$A:$C,3,FALSE)</f>
        <v>りんごを使って限界突破</v>
      </c>
      <c r="N615" s="39" t="str">
        <f>VLOOKUP(K615,[2]stage_hints!$A:$D,4,FALSE)</f>
        <v>赤りんご(攻撃力) 青りんご(回復力)
緑りんご(体力)をユニット強化に使うと
ステータスが限界突破します（計99個迄）</v>
      </c>
      <c r="O615" s="20" t="s">
        <v>24</v>
      </c>
      <c r="P615">
        <v>24</v>
      </c>
    </row>
    <row r="616" spans="1:16" x14ac:dyDescent="0.15">
      <c r="A616" s="27" t="str">
        <f t="shared" ref="A616:A679" si="73">C616&amp;"_"&amp;F616&amp;"_"&amp;J616</f>
        <v>20006_3_21</v>
      </c>
      <c r="B616" s="25" t="s">
        <v>34</v>
      </c>
      <c r="C616" s="4">
        <v>20006</v>
      </c>
      <c r="D616" s="3" t="str">
        <f ca="1">VLOOKUP($C616,OFFSET([1]quests!$A$1,0,0,COUNTA([1]quests!$A:$A),MATCH(D$1,[1]quests!$1:$1,0)-MATCH($C$1,[1]quests!$1:$1,0)+1),MATCH(D$1,[1]quests!$1:$1,0)-MATCH($C$1,[1]quests!$1:$1,0)+1,FALSE)</f>
        <v>スチール・プレデター</v>
      </c>
      <c r="E616" s="3" t="str">
        <f ca="1">VLOOKUP($C616,OFFSET([1]quests!$A$1,0,0,COUNTA([1]quests!$A:$A),MATCH(E$1,[1]quests!$1:$1,0)-MATCH($C$1,[1]quests!$1:$1,0)+1),MATCH(E$1,[1]quests!$1:$1,0)-MATCH($C$1,[1]quests!$1:$1,0)+1,FALSE)</f>
        <v>ドロップイベント2-3</v>
      </c>
      <c r="F616" s="5">
        <v>3</v>
      </c>
      <c r="G616" s="3" t="str">
        <f ca="1">VLOOKUP($C616&amp;"_"&amp;$F616,OFFSET([1]stages!$A$1,0,0,COUNTA([1]stages!$A:$A),MATCH(G$1,[1]stages!$2:$2,0)-MATCH("temp_stage",[1]stages!$2:$2,0)+1),MATCH(G$1,[1]stages!$2:$2,0)-MATCH("temp_stage",[1]stages!$2:$2,0)+1,FALSE)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6" s="3" t="str">
        <f ca="1">VLOOKUP($C616&amp;"_"&amp;$F616,OFFSET([1]stages!$A$1,0,0,COUNTA([1]stages!$A:$A),MATCH(H$1,[1]stages!$2:$2,0)-MATCH("temp_stage",[1]stages!$2:$2,0)+1),MATCH(H$1,[1]stages!$2:$2,0)-MATCH("temp_stage",[1]stages!$2:$2,0)+1,FALSE)</f>
        <v>ドロップイベント2-3</v>
      </c>
      <c r="I616" s="18">
        <v>0</v>
      </c>
      <c r="J616" s="5">
        <f>COUNTIF(C$1:C616,C616)</f>
        <v>21</v>
      </c>
      <c r="K616" s="34">
        <v>25</v>
      </c>
      <c r="L616" s="5" t="s">
        <v>17</v>
      </c>
      <c r="M616" s="38" t="str">
        <f>VLOOKUP(K616,[2]stage_hints!$A:$C,3,FALSE)</f>
        <v>スキルレベルアップ</v>
      </c>
      <c r="N616" s="39" t="str">
        <f>VLOOKUP(K616,[2]stage_hints!$A:$D,4,FALSE)</f>
        <v>「クリスタルのりんご」を強化に使うと
スキルレベルを上げることができます</v>
      </c>
      <c r="O616" s="20" t="s">
        <v>24</v>
      </c>
      <c r="P616">
        <v>25</v>
      </c>
    </row>
    <row r="617" spans="1:16" x14ac:dyDescent="0.15">
      <c r="A617" s="27" t="str">
        <f t="shared" si="73"/>
        <v>20006_3_22</v>
      </c>
      <c r="B617" s="25" t="s">
        <v>34</v>
      </c>
      <c r="C617" s="4">
        <v>20006</v>
      </c>
      <c r="D617" s="3" t="str">
        <f ca="1">VLOOKUP($C617,OFFSET([1]quests!$A$1,0,0,COUNTA([1]quests!$A:$A),MATCH(D$1,[1]quests!$1:$1,0)-MATCH($C$1,[1]quests!$1:$1,0)+1),MATCH(D$1,[1]quests!$1:$1,0)-MATCH($C$1,[1]quests!$1:$1,0)+1,FALSE)</f>
        <v>スチール・プレデター</v>
      </c>
      <c r="E617" s="3" t="str">
        <f ca="1">VLOOKUP($C617,OFFSET([1]quests!$A$1,0,0,COUNTA([1]quests!$A:$A),MATCH(E$1,[1]quests!$1:$1,0)-MATCH($C$1,[1]quests!$1:$1,0)+1),MATCH(E$1,[1]quests!$1:$1,0)-MATCH($C$1,[1]quests!$1:$1,0)+1,FALSE)</f>
        <v>ドロップイベント2-3</v>
      </c>
      <c r="F617" s="5">
        <v>3</v>
      </c>
      <c r="G617" s="3" t="str">
        <f ca="1">VLOOKUP($C617&amp;"_"&amp;$F617,OFFSET([1]stages!$A$1,0,0,COUNTA([1]stages!$A:$A),MATCH(G$1,[1]stages!$2:$2,0)-MATCH("temp_stage",[1]stages!$2:$2,0)+1),MATCH(G$1,[1]stages!$2:$2,0)-MATCH("temp_stage",[1]stages!$2:$2,0)+1,FALSE)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7" s="3" t="str">
        <f ca="1">VLOOKUP($C617&amp;"_"&amp;$F617,OFFSET([1]stages!$A$1,0,0,COUNTA([1]stages!$A:$A),MATCH(H$1,[1]stages!$2:$2,0)-MATCH("temp_stage",[1]stages!$2:$2,0)+1),MATCH(H$1,[1]stages!$2:$2,0)-MATCH("temp_stage",[1]stages!$2:$2,0)+1,FALSE)</f>
        <v>ドロップイベント2-3</v>
      </c>
      <c r="I617" s="18">
        <v>0</v>
      </c>
      <c r="J617" s="5">
        <f>COUNTIF(C$1:C617,C617)</f>
        <v>22</v>
      </c>
      <c r="K617" s="34">
        <v>26</v>
      </c>
      <c r="L617" s="5" t="s">
        <v>17</v>
      </c>
      <c r="M617" s="38" t="str">
        <f>VLOOKUP(K617,[2]stage_hints!$A:$C,3,FALSE)</f>
        <v>スキルレベルの効果</v>
      </c>
      <c r="N617" s="39" t="str">
        <f>VLOOKUP(K617,[2]stage_hints!$A:$D,4,FALSE)</f>
        <v>スキルレベルが上がると
短いターンでスキルを使うことができます</v>
      </c>
      <c r="O617" s="20" t="s">
        <v>24</v>
      </c>
      <c r="P617">
        <v>26</v>
      </c>
    </row>
    <row r="618" spans="1:16" x14ac:dyDescent="0.15">
      <c r="A618" s="27" t="str">
        <f t="shared" si="73"/>
        <v>20006_3_23</v>
      </c>
      <c r="B618" s="25" t="s">
        <v>34</v>
      </c>
      <c r="C618" s="4">
        <v>20006</v>
      </c>
      <c r="D618" s="3" t="str">
        <f ca="1">VLOOKUP($C618,OFFSET([1]quests!$A$1,0,0,COUNTA([1]quests!$A:$A),MATCH(D$1,[1]quests!$1:$1,0)-MATCH($C$1,[1]quests!$1:$1,0)+1),MATCH(D$1,[1]quests!$1:$1,0)-MATCH($C$1,[1]quests!$1:$1,0)+1,FALSE)</f>
        <v>スチール・プレデター</v>
      </c>
      <c r="E618" s="3" t="str">
        <f ca="1">VLOOKUP($C618,OFFSET([1]quests!$A$1,0,0,COUNTA([1]quests!$A:$A),MATCH(E$1,[1]quests!$1:$1,0)-MATCH($C$1,[1]quests!$1:$1,0)+1),MATCH(E$1,[1]quests!$1:$1,0)-MATCH($C$1,[1]quests!$1:$1,0)+1,FALSE)</f>
        <v>ドロップイベント2-3</v>
      </c>
      <c r="F618" s="5">
        <v>3</v>
      </c>
      <c r="G618" s="3" t="str">
        <f ca="1">VLOOKUP($C618&amp;"_"&amp;$F618,OFFSET([1]stages!$A$1,0,0,COUNTA([1]stages!$A:$A),MATCH(G$1,[1]stages!$2:$2,0)-MATCH("temp_stage",[1]stages!$2:$2,0)+1),MATCH(G$1,[1]stages!$2:$2,0)-MATCH("temp_stage",[1]stages!$2:$2,0)+1,FALSE)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8" s="3" t="str">
        <f ca="1">VLOOKUP($C618&amp;"_"&amp;$F618,OFFSET([1]stages!$A$1,0,0,COUNTA([1]stages!$A:$A),MATCH(H$1,[1]stages!$2:$2,0)-MATCH("temp_stage",[1]stages!$2:$2,0)+1),MATCH(H$1,[1]stages!$2:$2,0)-MATCH("temp_stage",[1]stages!$2:$2,0)+1,FALSE)</f>
        <v>ドロップイベント2-3</v>
      </c>
      <c r="I618" s="18">
        <v>0</v>
      </c>
      <c r="J618" s="5">
        <f>COUNTIF(C$1:C618,C618)</f>
        <v>23</v>
      </c>
      <c r="K618" s="34">
        <v>27</v>
      </c>
      <c r="L618" s="5" t="s">
        <v>17</v>
      </c>
      <c r="M618" s="38" t="str">
        <f>VLOOKUP(K618,[2]stage_hints!$A:$C,3,FALSE)</f>
        <v>ホーム画面からデッキを編成</v>
      </c>
      <c r="N618" s="39" t="str">
        <f>VLOOKUP(K618,[2]stage_hints!$A:$D,4,FALSE)</f>
        <v>ホーム画面でユニットを長押しすると
すぐにパーティ編成に移動できます</v>
      </c>
      <c r="O618" s="20" t="s">
        <v>24</v>
      </c>
      <c r="P618">
        <v>27</v>
      </c>
    </row>
    <row r="619" spans="1:16" x14ac:dyDescent="0.15">
      <c r="A619" s="27" t="str">
        <f t="shared" si="73"/>
        <v>20006_3_24</v>
      </c>
      <c r="B619" s="25" t="s">
        <v>34</v>
      </c>
      <c r="C619" s="4">
        <v>20006</v>
      </c>
      <c r="D619" s="3" t="str">
        <f ca="1">VLOOKUP($C619,OFFSET([1]quests!$A$1,0,0,COUNTA([1]quests!$A:$A),MATCH(D$1,[1]quests!$1:$1,0)-MATCH($C$1,[1]quests!$1:$1,0)+1),MATCH(D$1,[1]quests!$1:$1,0)-MATCH($C$1,[1]quests!$1:$1,0)+1,FALSE)</f>
        <v>スチール・プレデター</v>
      </c>
      <c r="E619" s="3" t="str">
        <f ca="1">VLOOKUP($C619,OFFSET([1]quests!$A$1,0,0,COUNTA([1]quests!$A:$A),MATCH(E$1,[1]quests!$1:$1,0)-MATCH($C$1,[1]quests!$1:$1,0)+1),MATCH(E$1,[1]quests!$1:$1,0)-MATCH($C$1,[1]quests!$1:$1,0)+1,FALSE)</f>
        <v>ドロップイベント2-3</v>
      </c>
      <c r="F619" s="5">
        <v>3</v>
      </c>
      <c r="G619" s="3" t="str">
        <f ca="1">VLOOKUP($C619&amp;"_"&amp;$F619,OFFSET([1]stages!$A$1,0,0,COUNTA([1]stages!$A:$A),MATCH(G$1,[1]stages!$2:$2,0)-MATCH("temp_stage",[1]stages!$2:$2,0)+1),MATCH(G$1,[1]stages!$2:$2,0)-MATCH("temp_stage",[1]stages!$2:$2,0)+1,FALSE)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19" s="3" t="str">
        <f ca="1">VLOOKUP($C619&amp;"_"&amp;$F619,OFFSET([1]stages!$A$1,0,0,COUNTA([1]stages!$A:$A),MATCH(H$1,[1]stages!$2:$2,0)-MATCH("temp_stage",[1]stages!$2:$2,0)+1),MATCH(H$1,[1]stages!$2:$2,0)-MATCH("temp_stage",[1]stages!$2:$2,0)+1,FALSE)</f>
        <v>ドロップイベント2-3</v>
      </c>
      <c r="I619" s="18">
        <v>0</v>
      </c>
      <c r="J619" s="5">
        <f>COUNTIF(C$1:C619,C619)</f>
        <v>24</v>
      </c>
      <c r="K619" s="34">
        <v>28</v>
      </c>
      <c r="L619" s="5" t="s">
        <v>17</v>
      </c>
      <c r="M619" s="38" t="str">
        <f>VLOOKUP(K619,[2]stage_hints!$A:$C,3,FALSE)</f>
        <v>ステータス情報は長押しで</v>
      </c>
      <c r="N619" s="39" t="str">
        <f>VLOOKUP(K619,[2]stage_hints!$A:$D,4,FALSE)</f>
        <v>ユニットのアイコンを長押しすると
ステータス情報を確認することができます</v>
      </c>
      <c r="O619" s="20" t="s">
        <v>24</v>
      </c>
      <c r="P619">
        <v>28</v>
      </c>
    </row>
    <row r="620" spans="1:16" x14ac:dyDescent="0.15">
      <c r="A620" s="27" t="str">
        <f t="shared" si="73"/>
        <v>20006_3_25</v>
      </c>
      <c r="B620" s="25" t="s">
        <v>34</v>
      </c>
      <c r="C620" s="4">
        <v>20006</v>
      </c>
      <c r="D620" s="3" t="str">
        <f ca="1">VLOOKUP($C620,OFFSET([1]quests!$A$1,0,0,COUNTA([1]quests!$A:$A),MATCH(D$1,[1]quests!$1:$1,0)-MATCH($C$1,[1]quests!$1:$1,0)+1),MATCH(D$1,[1]quests!$1:$1,0)-MATCH($C$1,[1]quests!$1:$1,0)+1,FALSE)</f>
        <v>スチール・プレデター</v>
      </c>
      <c r="E620" s="3" t="str">
        <f ca="1">VLOOKUP($C620,OFFSET([1]quests!$A$1,0,0,COUNTA([1]quests!$A:$A),MATCH(E$1,[1]quests!$1:$1,0)-MATCH($C$1,[1]quests!$1:$1,0)+1),MATCH(E$1,[1]quests!$1:$1,0)-MATCH($C$1,[1]quests!$1:$1,0)+1,FALSE)</f>
        <v>ドロップイベント2-3</v>
      </c>
      <c r="F620" s="5">
        <v>3</v>
      </c>
      <c r="G620" s="3" t="str">
        <f ca="1">VLOOKUP($C620&amp;"_"&amp;$F620,OFFSET([1]stages!$A$1,0,0,COUNTA([1]stages!$A:$A),MATCH(G$1,[1]stages!$2:$2,0)-MATCH("temp_stage",[1]stages!$2:$2,0)+1),MATCH(G$1,[1]stages!$2:$2,0)-MATCH("temp_stage",[1]stages!$2:$2,0)+1,FALSE)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20" s="3" t="str">
        <f ca="1">VLOOKUP($C620&amp;"_"&amp;$F620,OFFSET([1]stages!$A$1,0,0,COUNTA([1]stages!$A:$A),MATCH(H$1,[1]stages!$2:$2,0)-MATCH("temp_stage",[1]stages!$2:$2,0)+1),MATCH(H$1,[1]stages!$2:$2,0)-MATCH("temp_stage",[1]stages!$2:$2,0)+1,FALSE)</f>
        <v>ドロップイベント2-3</v>
      </c>
      <c r="I620" s="18">
        <v>0</v>
      </c>
      <c r="J620" s="5">
        <f>COUNTIF(C$1:C620,C620)</f>
        <v>25</v>
      </c>
      <c r="K620" s="34">
        <v>29</v>
      </c>
      <c r="L620" s="5" t="s">
        <v>17</v>
      </c>
      <c r="M620" s="38" t="str">
        <f>VLOOKUP(K620,[2]stage_hints!$A:$C,3,FALSE)</f>
        <v>「バグ」のメリット</v>
      </c>
      <c r="N620" s="39" t="str">
        <f>VLOOKUP(K620,[2]stage_hints!$A:$D,4,FALSE)</f>
        <v>ユニットの「バグ」を増やすと
報酬をもらえる確率がアップします</v>
      </c>
      <c r="O620" s="20" t="s">
        <v>24</v>
      </c>
      <c r="P620">
        <v>29</v>
      </c>
    </row>
    <row r="621" spans="1:16" x14ac:dyDescent="0.15">
      <c r="A621" s="27" t="str">
        <f t="shared" si="73"/>
        <v>20006_3_26</v>
      </c>
      <c r="B621" s="25" t="s">
        <v>34</v>
      </c>
      <c r="C621" s="4">
        <v>20006</v>
      </c>
      <c r="D621" s="3" t="str">
        <f ca="1">VLOOKUP($C621,OFFSET([1]quests!$A$1,0,0,COUNTA([1]quests!$A:$A),MATCH(D$1,[1]quests!$1:$1,0)-MATCH($C$1,[1]quests!$1:$1,0)+1),MATCH(D$1,[1]quests!$1:$1,0)-MATCH($C$1,[1]quests!$1:$1,0)+1,FALSE)</f>
        <v>スチール・プレデター</v>
      </c>
      <c r="E621" s="3" t="str">
        <f ca="1">VLOOKUP($C621,OFFSET([1]quests!$A$1,0,0,COUNTA([1]quests!$A:$A),MATCH(E$1,[1]quests!$1:$1,0)-MATCH($C$1,[1]quests!$1:$1,0)+1),MATCH(E$1,[1]quests!$1:$1,0)-MATCH($C$1,[1]quests!$1:$1,0)+1,FALSE)</f>
        <v>ドロップイベント2-3</v>
      </c>
      <c r="F621" s="5">
        <v>3</v>
      </c>
      <c r="G621" s="3" t="str">
        <f ca="1">VLOOKUP($C621&amp;"_"&amp;$F621,OFFSET([1]stages!$A$1,0,0,COUNTA([1]stages!$A:$A),MATCH(G$1,[1]stages!$2:$2,0)-MATCH("temp_stage",[1]stages!$2:$2,0)+1),MATCH(G$1,[1]stages!$2:$2,0)-MATCH("temp_stage",[1]stages!$2:$2,0)+1,FALSE)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21" s="3" t="str">
        <f ca="1">VLOOKUP($C621&amp;"_"&amp;$F621,OFFSET([1]stages!$A$1,0,0,COUNTA([1]stages!$A:$A),MATCH(H$1,[1]stages!$2:$2,0)-MATCH("temp_stage",[1]stages!$2:$2,0)+1),MATCH(H$1,[1]stages!$2:$2,0)-MATCH("temp_stage",[1]stages!$2:$2,0)+1,FALSE)</f>
        <v>ドロップイベント2-3</v>
      </c>
      <c r="I621" s="18">
        <v>0</v>
      </c>
      <c r="J621" s="5">
        <f>COUNTIF(C$1:C621,C621)</f>
        <v>26</v>
      </c>
      <c r="K621" s="34">
        <v>30</v>
      </c>
      <c r="L621" s="5" t="s">
        <v>17</v>
      </c>
      <c r="M621" s="38" t="str">
        <f>VLOOKUP(K621,[2]stage_hints!$A:$C,3,FALSE)</f>
        <v>「バグ」の増やし方</v>
      </c>
      <c r="N621" s="39" t="str">
        <f>VLOOKUP(K621,[2]stage_hints!$A:$D,4,FALSE)</f>
        <v>同じユニット同士を強化で合成すると
「バグ」を増やすことができます</v>
      </c>
      <c r="O621" s="20" t="s">
        <v>24</v>
      </c>
      <c r="P621">
        <v>30</v>
      </c>
    </row>
    <row r="622" spans="1:16" x14ac:dyDescent="0.15">
      <c r="A622" s="27" t="str">
        <f t="shared" si="73"/>
        <v>20006_3_27</v>
      </c>
      <c r="B622" s="25" t="s">
        <v>34</v>
      </c>
      <c r="C622" s="4">
        <v>20006</v>
      </c>
      <c r="D622" s="3" t="str">
        <f ca="1">VLOOKUP($C622,OFFSET([1]quests!$A$1,0,0,COUNTA([1]quests!$A:$A),MATCH(D$1,[1]quests!$1:$1,0)-MATCH($C$1,[1]quests!$1:$1,0)+1),MATCH(D$1,[1]quests!$1:$1,0)-MATCH($C$1,[1]quests!$1:$1,0)+1,FALSE)</f>
        <v>スチール・プレデター</v>
      </c>
      <c r="E622" s="3" t="str">
        <f ca="1">VLOOKUP($C622,OFFSET([1]quests!$A$1,0,0,COUNTA([1]quests!$A:$A),MATCH(E$1,[1]quests!$1:$1,0)-MATCH($C$1,[1]quests!$1:$1,0)+1),MATCH(E$1,[1]quests!$1:$1,0)-MATCH($C$1,[1]quests!$1:$1,0)+1,FALSE)</f>
        <v>ドロップイベント2-3</v>
      </c>
      <c r="F622" s="5">
        <v>3</v>
      </c>
      <c r="G622" s="3" t="str">
        <f ca="1">VLOOKUP($C622&amp;"_"&amp;$F622,OFFSET([1]stages!$A$1,0,0,COUNTA([1]stages!$A:$A),MATCH(G$1,[1]stages!$2:$2,0)-MATCH("temp_stage",[1]stages!$2:$2,0)+1),MATCH(G$1,[1]stages!$2:$2,0)-MATCH("temp_stage",[1]stages!$2:$2,0)+1,FALSE)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22" s="3" t="str">
        <f ca="1">VLOOKUP($C622&amp;"_"&amp;$F622,OFFSET([1]stages!$A$1,0,0,COUNTA([1]stages!$A:$A),MATCH(H$1,[1]stages!$2:$2,0)-MATCH("temp_stage",[1]stages!$2:$2,0)+1),MATCH(H$1,[1]stages!$2:$2,0)-MATCH("temp_stage",[1]stages!$2:$2,0)+1,FALSE)</f>
        <v>ドロップイベント2-3</v>
      </c>
      <c r="I622" s="18">
        <v>0</v>
      </c>
      <c r="J622" s="5">
        <f>COUNTIF(C$1:C622,C622)</f>
        <v>27</v>
      </c>
      <c r="K622" s="34">
        <v>31</v>
      </c>
      <c r="L622" s="5" t="s">
        <v>17</v>
      </c>
      <c r="M622" s="38" t="str">
        <f>VLOOKUP(K622,[2]stage_hints!$A:$C,3,FALSE)</f>
        <v>イベントはお知らせでチェック</v>
      </c>
      <c r="N622" s="39" t="str">
        <f>VLOOKUP(K622,[2]stage_hints!$A:$D,4,FALSE)</f>
        <v>イベント限定ユニットを取り忘れないように
お知らせをこまめにチェックしましょう</v>
      </c>
      <c r="O622" s="20" t="s">
        <v>24</v>
      </c>
      <c r="P622">
        <v>31</v>
      </c>
    </row>
    <row r="623" spans="1:16" x14ac:dyDescent="0.15">
      <c r="A623" s="27" t="str">
        <f t="shared" si="73"/>
        <v>20006_3_28</v>
      </c>
      <c r="B623" s="25" t="s">
        <v>34</v>
      </c>
      <c r="C623" s="4">
        <v>20006</v>
      </c>
      <c r="D623" s="3" t="str">
        <f ca="1">VLOOKUP($C623,OFFSET([1]quests!$A$1,0,0,COUNTA([1]quests!$A:$A),MATCH(D$1,[1]quests!$1:$1,0)-MATCH($C$1,[1]quests!$1:$1,0)+1),MATCH(D$1,[1]quests!$1:$1,0)-MATCH($C$1,[1]quests!$1:$1,0)+1,FALSE)</f>
        <v>スチール・プレデター</v>
      </c>
      <c r="E623" s="3" t="str">
        <f ca="1">VLOOKUP($C623,OFFSET([1]quests!$A$1,0,0,COUNTA([1]quests!$A:$A),MATCH(E$1,[1]quests!$1:$1,0)-MATCH($C$1,[1]quests!$1:$1,0)+1),MATCH(E$1,[1]quests!$1:$1,0)-MATCH($C$1,[1]quests!$1:$1,0)+1,FALSE)</f>
        <v>ドロップイベント2-3</v>
      </c>
      <c r="F623" s="5">
        <v>3</v>
      </c>
      <c r="G623" s="3" t="str">
        <f ca="1">VLOOKUP($C623&amp;"_"&amp;$F623,OFFSET([1]stages!$A$1,0,0,COUNTA([1]stages!$A:$A),MATCH(G$1,[1]stages!$2:$2,0)-MATCH("temp_stage",[1]stages!$2:$2,0)+1),MATCH(G$1,[1]stages!$2:$2,0)-MATCH("temp_stage",[1]stages!$2:$2,0)+1,FALSE)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23" s="3" t="str">
        <f ca="1">VLOOKUP($C623&amp;"_"&amp;$F623,OFFSET([1]stages!$A$1,0,0,COUNTA([1]stages!$A:$A),MATCH(H$1,[1]stages!$2:$2,0)-MATCH("temp_stage",[1]stages!$2:$2,0)+1),MATCH(H$1,[1]stages!$2:$2,0)-MATCH("temp_stage",[1]stages!$2:$2,0)+1,FALSE)</f>
        <v>ドロップイベント2-3</v>
      </c>
      <c r="I623" s="18">
        <v>0</v>
      </c>
      <c r="J623" s="5">
        <f>COUNTIF(C$1:C623,C623)</f>
        <v>28</v>
      </c>
      <c r="K623" s="34">
        <v>32</v>
      </c>
      <c r="L623" s="5" t="s">
        <v>17</v>
      </c>
      <c r="M623" s="38" t="str">
        <f>VLOOKUP(K623,[2]stage_hints!$A:$C,3,FALSE)</f>
        <v>敵の連続攻撃には</v>
      </c>
      <c r="N623" s="39" t="str">
        <f>VLOOKUP(K623,[2]stage_hints!$A:$D,4,FALSE)</f>
        <v>カウンタースキルを持つユニットがいれば
ダメージ回数分の反撃ができます</v>
      </c>
      <c r="O623" s="20" t="s">
        <v>24</v>
      </c>
      <c r="P623">
        <v>32</v>
      </c>
    </row>
    <row r="624" spans="1:16" x14ac:dyDescent="0.15">
      <c r="A624" s="27" t="str">
        <f t="shared" si="73"/>
        <v>20006_3_29</v>
      </c>
      <c r="B624" s="25" t="s">
        <v>34</v>
      </c>
      <c r="C624" s="4">
        <v>20006</v>
      </c>
      <c r="D624" s="3" t="str">
        <f ca="1">VLOOKUP($C624,OFFSET([1]quests!$A$1,0,0,COUNTA([1]quests!$A:$A),MATCH(D$1,[1]quests!$1:$1,0)-MATCH($C$1,[1]quests!$1:$1,0)+1),MATCH(D$1,[1]quests!$1:$1,0)-MATCH($C$1,[1]quests!$1:$1,0)+1,FALSE)</f>
        <v>スチール・プレデター</v>
      </c>
      <c r="E624" s="3" t="str">
        <f ca="1">VLOOKUP($C624,OFFSET([1]quests!$A$1,0,0,COUNTA([1]quests!$A:$A),MATCH(E$1,[1]quests!$1:$1,0)-MATCH($C$1,[1]quests!$1:$1,0)+1),MATCH(E$1,[1]quests!$1:$1,0)-MATCH($C$1,[1]quests!$1:$1,0)+1,FALSE)</f>
        <v>ドロップイベント2-3</v>
      </c>
      <c r="F624" s="5">
        <v>3</v>
      </c>
      <c r="G624" s="3" t="str">
        <f ca="1">VLOOKUP($C624&amp;"_"&amp;$F624,OFFSET([1]stages!$A$1,0,0,COUNTA([1]stages!$A:$A),MATCH(G$1,[1]stages!$2:$2,0)-MATCH("temp_stage",[1]stages!$2:$2,0)+1),MATCH(G$1,[1]stages!$2:$2,0)-MATCH("temp_stage",[1]stages!$2:$2,0)+1,FALSE)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24" s="3" t="str">
        <f ca="1">VLOOKUP($C624&amp;"_"&amp;$F624,OFFSET([1]stages!$A$1,0,0,COUNTA([1]stages!$A:$A),MATCH(H$1,[1]stages!$2:$2,0)-MATCH("temp_stage",[1]stages!$2:$2,0)+1),MATCH(H$1,[1]stages!$2:$2,0)-MATCH("temp_stage",[1]stages!$2:$2,0)+1,FALSE)</f>
        <v>ドロップイベント2-3</v>
      </c>
      <c r="I624" s="18">
        <v>0</v>
      </c>
      <c r="J624" s="5">
        <f>COUNTIF(C$1:C624,C624)</f>
        <v>29</v>
      </c>
      <c r="K624" s="34">
        <v>33</v>
      </c>
      <c r="L624" s="5" t="s">
        <v>17</v>
      </c>
      <c r="M624" s="38" t="str">
        <f>VLOOKUP(K624,[2]stage_hints!$A:$C,3,FALSE)</f>
        <v>敵のカウンター攻撃には</v>
      </c>
      <c r="N624" s="39" t="str">
        <f>VLOOKUP(K624,[2]stage_hints!$A:$D,4,FALSE)</f>
        <v>カウンターブレイクスキルを持っていれば
敵のカウンターを解除して攻撃ができます</v>
      </c>
      <c r="O624" s="20" t="s">
        <v>24</v>
      </c>
      <c r="P624">
        <v>33</v>
      </c>
    </row>
    <row r="625" spans="1:16" x14ac:dyDescent="0.15">
      <c r="A625" s="27" t="str">
        <f t="shared" si="73"/>
        <v>20006_3_30</v>
      </c>
      <c r="B625" s="25" t="s">
        <v>34</v>
      </c>
      <c r="C625" s="4">
        <v>20006</v>
      </c>
      <c r="D625" s="3" t="str">
        <f ca="1">VLOOKUP($C625,OFFSET([1]quests!$A$1,0,0,COUNTA([1]quests!$A:$A),MATCH(D$1,[1]quests!$1:$1,0)-MATCH($C$1,[1]quests!$1:$1,0)+1),MATCH(D$1,[1]quests!$1:$1,0)-MATCH($C$1,[1]quests!$1:$1,0)+1,FALSE)</f>
        <v>スチール・プレデター</v>
      </c>
      <c r="E625" s="3" t="str">
        <f ca="1">VLOOKUP($C625,OFFSET([1]quests!$A$1,0,0,COUNTA([1]quests!$A:$A),MATCH(E$1,[1]quests!$1:$1,0)-MATCH($C$1,[1]quests!$1:$1,0)+1),MATCH(E$1,[1]quests!$1:$1,0)-MATCH($C$1,[1]quests!$1:$1,0)+1,FALSE)</f>
        <v>ドロップイベント2-3</v>
      </c>
      <c r="F625" s="5">
        <v>3</v>
      </c>
      <c r="G625" s="3" t="str">
        <f ca="1">VLOOKUP($C625&amp;"_"&amp;$F625,OFFSET([1]stages!$A$1,0,0,COUNTA([1]stages!$A:$A),MATCH(G$1,[1]stages!$2:$2,0)-MATCH("temp_stage",[1]stages!$2:$2,0)+1),MATCH(G$1,[1]stages!$2:$2,0)-MATCH("temp_stage",[1]stages!$2:$2,0)+1,FALSE)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25" s="3" t="str">
        <f ca="1">VLOOKUP($C625&amp;"_"&amp;$F625,OFFSET([1]stages!$A$1,0,0,COUNTA([1]stages!$A:$A),MATCH(H$1,[1]stages!$2:$2,0)-MATCH("temp_stage",[1]stages!$2:$2,0)+1),MATCH(H$1,[1]stages!$2:$2,0)-MATCH("temp_stage",[1]stages!$2:$2,0)+1,FALSE)</f>
        <v>ドロップイベント2-3</v>
      </c>
      <c r="I625" s="18">
        <v>0</v>
      </c>
      <c r="J625" s="5">
        <f>COUNTIF(C$1:C625,C625)</f>
        <v>30</v>
      </c>
      <c r="K625" s="34">
        <v>34</v>
      </c>
      <c r="L625" s="5" t="s">
        <v>17</v>
      </c>
      <c r="M625" s="38" t="str">
        <f>VLOOKUP(K625,[2]stage_hints!$A:$C,3,FALSE)</f>
        <v>ステータスをスキルで下げられたら</v>
      </c>
      <c r="N625" s="39" t="str">
        <f>VLOOKUP(K625,[2]stage_hints!$A:$D,4,FALSE)</f>
        <v>ステータスダウンのスキルを受けたら
ステータスアップスキルで上書きしましょう</v>
      </c>
      <c r="O625" s="20" t="s">
        <v>24</v>
      </c>
      <c r="P625">
        <v>34</v>
      </c>
    </row>
    <row r="626" spans="1:16" x14ac:dyDescent="0.15">
      <c r="A626" s="27" t="str">
        <f t="shared" si="73"/>
        <v>20006_3_31</v>
      </c>
      <c r="B626" s="25" t="s">
        <v>34</v>
      </c>
      <c r="C626" s="4">
        <v>20006</v>
      </c>
      <c r="D626" s="3" t="str">
        <f ca="1">VLOOKUP($C626,OFFSET([1]quests!$A$1,0,0,COUNTA([1]quests!$A:$A),MATCH(D$1,[1]quests!$1:$1,0)-MATCH($C$1,[1]quests!$1:$1,0)+1),MATCH(D$1,[1]quests!$1:$1,0)-MATCH($C$1,[1]quests!$1:$1,0)+1,FALSE)</f>
        <v>スチール・プレデター</v>
      </c>
      <c r="E626" s="3" t="str">
        <f ca="1">VLOOKUP($C626,OFFSET([1]quests!$A$1,0,0,COUNTA([1]quests!$A:$A),MATCH(E$1,[1]quests!$1:$1,0)-MATCH($C$1,[1]quests!$1:$1,0)+1),MATCH(E$1,[1]quests!$1:$1,0)-MATCH($C$1,[1]quests!$1:$1,0)+1,FALSE)</f>
        <v>ドロップイベント2-3</v>
      </c>
      <c r="F626" s="5">
        <v>3</v>
      </c>
      <c r="G626" s="3" t="str">
        <f ca="1">VLOOKUP($C626&amp;"_"&amp;$F626,OFFSET([1]stages!$A$1,0,0,COUNTA([1]stages!$A:$A),MATCH(G$1,[1]stages!$2:$2,0)-MATCH("temp_stage",[1]stages!$2:$2,0)+1),MATCH(G$1,[1]stages!$2:$2,0)-MATCH("temp_stage",[1]stages!$2:$2,0)+1,FALSE)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26" s="3" t="str">
        <f ca="1">VLOOKUP($C626&amp;"_"&amp;$F626,OFFSET([1]stages!$A$1,0,0,COUNTA([1]stages!$A:$A),MATCH(H$1,[1]stages!$2:$2,0)-MATCH("temp_stage",[1]stages!$2:$2,0)+1),MATCH(H$1,[1]stages!$2:$2,0)-MATCH("temp_stage",[1]stages!$2:$2,0)+1,FALSE)</f>
        <v>ドロップイベント2-3</v>
      </c>
      <c r="I626" s="18">
        <v>0</v>
      </c>
      <c r="J626" s="5">
        <f>COUNTIF(C$1:C626,C626)</f>
        <v>31</v>
      </c>
      <c r="K626" s="34">
        <v>35</v>
      </c>
      <c r="L626" s="5" t="s">
        <v>17</v>
      </c>
      <c r="M626" s="38" t="str">
        <f>VLOOKUP(K626,[2]stage_hints!$A:$C,3,FALSE)</f>
        <v>敵のステータスがスキルで上がったら</v>
      </c>
      <c r="N626" s="39" t="str">
        <f>VLOOKUP(K626,[2]stage_hints!$A:$D,4,FALSE)</f>
        <v>敵のステータスがスキルでアップしたときは
ステータスダウンスキルで上書きしましょう</v>
      </c>
      <c r="O626" s="20" t="s">
        <v>24</v>
      </c>
      <c r="P626">
        <v>35</v>
      </c>
    </row>
    <row r="627" spans="1:16" x14ac:dyDescent="0.15">
      <c r="A627" s="27" t="str">
        <f t="shared" si="73"/>
        <v>20006_3_32</v>
      </c>
      <c r="B627" s="25" t="s">
        <v>34</v>
      </c>
      <c r="C627" s="4">
        <v>20006</v>
      </c>
      <c r="D627" s="3" t="str">
        <f ca="1">VLOOKUP($C627,OFFSET([1]quests!$A$1,0,0,COUNTA([1]quests!$A:$A),MATCH(D$1,[1]quests!$1:$1,0)-MATCH($C$1,[1]quests!$1:$1,0)+1),MATCH(D$1,[1]quests!$1:$1,0)-MATCH($C$1,[1]quests!$1:$1,0)+1,FALSE)</f>
        <v>スチール・プレデター</v>
      </c>
      <c r="E627" s="3" t="str">
        <f ca="1">VLOOKUP($C627,OFFSET([1]quests!$A$1,0,0,COUNTA([1]quests!$A:$A),MATCH(E$1,[1]quests!$1:$1,0)-MATCH($C$1,[1]quests!$1:$1,0)+1),MATCH(E$1,[1]quests!$1:$1,0)-MATCH($C$1,[1]quests!$1:$1,0)+1,FALSE)</f>
        <v>ドロップイベント2-3</v>
      </c>
      <c r="F627" s="5">
        <v>3</v>
      </c>
      <c r="G627" s="3" t="str">
        <f ca="1">VLOOKUP($C627&amp;"_"&amp;$F627,OFFSET([1]stages!$A$1,0,0,COUNTA([1]stages!$A:$A),MATCH(G$1,[1]stages!$2:$2,0)-MATCH("temp_stage",[1]stages!$2:$2,0)+1),MATCH(G$1,[1]stages!$2:$2,0)-MATCH("temp_stage",[1]stages!$2:$2,0)+1,FALSE)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27" s="3" t="str">
        <f ca="1">VLOOKUP($C627&amp;"_"&amp;$F627,OFFSET([1]stages!$A$1,0,0,COUNTA([1]stages!$A:$A),MATCH(H$1,[1]stages!$2:$2,0)-MATCH("temp_stage",[1]stages!$2:$2,0)+1),MATCH(H$1,[1]stages!$2:$2,0)-MATCH("temp_stage",[1]stages!$2:$2,0)+1,FALSE)</f>
        <v>ドロップイベント2-3</v>
      </c>
      <c r="I627" s="18">
        <v>0</v>
      </c>
      <c r="J627" s="5">
        <f>COUNTIF(C$1:C627,C627)</f>
        <v>32</v>
      </c>
      <c r="K627" s="34">
        <v>36</v>
      </c>
      <c r="L627" s="5" t="s">
        <v>17</v>
      </c>
      <c r="M627" s="38" t="str">
        <f>VLOOKUP(K627,[2]stage_hints!$A:$C,3,FALSE)</f>
        <v>チャレンジタワーのボス</v>
      </c>
      <c r="N627" s="39" t="str">
        <f>VLOOKUP(K627,[2]stage_hints!$A:$D,4,FALSE)</f>
        <v>チャレンジタワーでのみ登場するボスは
一定確率で獲得することができます</v>
      </c>
      <c r="O627" s="20" t="s">
        <v>24</v>
      </c>
      <c r="P627">
        <v>36</v>
      </c>
    </row>
    <row r="628" spans="1:16" x14ac:dyDescent="0.15">
      <c r="A628" s="27" t="str">
        <f t="shared" si="73"/>
        <v>20006_3_33</v>
      </c>
      <c r="B628" s="25" t="s">
        <v>34</v>
      </c>
      <c r="C628" s="4">
        <v>20006</v>
      </c>
      <c r="D628" s="3" t="str">
        <f ca="1">VLOOKUP($C628,OFFSET([1]quests!$A$1,0,0,COUNTA([1]quests!$A:$A),MATCH(D$1,[1]quests!$1:$1,0)-MATCH($C$1,[1]quests!$1:$1,0)+1),MATCH(D$1,[1]quests!$1:$1,0)-MATCH($C$1,[1]quests!$1:$1,0)+1,FALSE)</f>
        <v>スチール・プレデター</v>
      </c>
      <c r="E628" s="3" t="str">
        <f ca="1">VLOOKUP($C628,OFFSET([1]quests!$A$1,0,0,COUNTA([1]quests!$A:$A),MATCH(E$1,[1]quests!$1:$1,0)-MATCH($C$1,[1]quests!$1:$1,0)+1),MATCH(E$1,[1]quests!$1:$1,0)-MATCH($C$1,[1]quests!$1:$1,0)+1,FALSE)</f>
        <v>ドロップイベント2-3</v>
      </c>
      <c r="F628" s="5">
        <v>3</v>
      </c>
      <c r="G628" s="3" t="str">
        <f ca="1">VLOOKUP($C628&amp;"_"&amp;$F628,OFFSET([1]stages!$A$1,0,0,COUNTA([1]stages!$A:$A),MATCH(G$1,[1]stages!$2:$2,0)-MATCH("temp_stage",[1]stages!$2:$2,0)+1),MATCH(G$1,[1]stages!$2:$2,0)-MATCH("temp_stage",[1]stages!$2:$2,0)+1,FALSE)</f>
        <v>【上級】スチール・プレデター</v>
      </c>
      <c r="H628" s="3" t="str">
        <f ca="1">VLOOKUP($C628&amp;"_"&amp;$F628,OFFSET([1]stages!$A$1,0,0,COUNTA([1]stages!$A:$A),MATCH(H$1,[1]stages!$2:$2,0)-MATCH("temp_stage",[1]stages!$2:$2,0)+1),MATCH(H$1,[1]stages!$2:$2,0)-MATCH("temp_stage",[1]stages!$2:$2,0)+1,FALSE)</f>
        <v>ドロップイベント2-3</v>
      </c>
      <c r="I628" s="18">
        <v>0</v>
      </c>
      <c r="J628" s="5">
        <f>COUNTIF(C$1:C628,C628)</f>
        <v>33</v>
      </c>
      <c r="K628" s="34">
        <v>37</v>
      </c>
      <c r="L628" s="5" t="s">
        <v>17</v>
      </c>
      <c r="M628" s="38" t="str">
        <f>VLOOKUP(K628,[2]stage_hints!$A:$C,3,FALSE)</f>
        <v>限界突破値の引き継ぎ</v>
      </c>
      <c r="N628" s="39" t="str">
        <f>VLOOKUP(K628,[2]stage_hints!$A:$D,4,FALSE)</f>
        <v>同じユニットを強化で合成すると
限界突破値を引き継げます（覚醒前後も可）</v>
      </c>
      <c r="O628" s="20" t="s">
        <v>24</v>
      </c>
      <c r="P628">
        <v>37</v>
      </c>
    </row>
    <row r="629" spans="1:16" x14ac:dyDescent="0.15">
      <c r="A629" s="27" t="str">
        <f t="shared" si="73"/>
        <v>20007_3_1</v>
      </c>
      <c r="B629" s="25" t="s">
        <v>34</v>
      </c>
      <c r="C629" s="4">
        <v>20007</v>
      </c>
      <c r="D629" s="3" t="str">
        <f ca="1">VLOOKUP($C629,OFFSET([1]quests!$A$1,0,0,COUNTA([1]quests!$A:$A),MATCH(D$1,[1]quests!$1:$1,0)-MATCH($C$1,[1]quests!$1:$1,0)+1),MATCH(D$1,[1]quests!$1:$1,0)-MATCH($C$1,[1]quests!$1:$1,0)+1,FALSE)</f>
        <v>女王陛下の処刑龍</v>
      </c>
      <c r="E629" s="3" t="str">
        <f ca="1">VLOOKUP($C629,OFFSET([1]quests!$A$1,0,0,COUNTA([1]quests!$A:$A),MATCH(E$1,[1]quests!$1:$1,0)-MATCH($C$1,[1]quests!$1:$1,0)+1),MATCH(E$1,[1]quests!$1:$1,0)-MATCH($C$1,[1]quests!$1:$1,0)+1,FALSE)</f>
        <v>ドロップイベント2-1</v>
      </c>
      <c r="F629" s="5">
        <v>3</v>
      </c>
      <c r="G629" s="3" t="str">
        <f ca="1">VLOOKUP($C629&amp;"_"&amp;$F629,OFFSET([1]stages!$A$1,0,0,COUNTA([1]stages!$A:$A),MATCH(G$1,[1]stages!$2:$2,0)-MATCH("temp_stage",[1]stages!$2:$2,0)+1),MATCH(G$1,[1]stages!$2:$2,0)-MATCH("temp_stage",[1]stages!$2:$2,0)+1,FALSE)</f>
        <v>【上級】女王陛下の処刑龍</v>
      </c>
      <c r="H629" s="3" t="str">
        <f ca="1">VLOOKUP($C629&amp;"_"&amp;$F629,OFFSET([1]stages!$A$1,0,0,COUNTA([1]stages!$A:$A),MATCH(H$1,[1]stages!$2:$2,0)-MATCH("temp_stage",[1]stages!$2:$2,0)+1),MATCH(H$1,[1]stages!$2:$2,0)-MATCH("temp_stage",[1]stages!$2:$2,0)+1,FALSE)</f>
        <v>ドロップイベント2-1</v>
      </c>
      <c r="I629" s="18">
        <v>0</v>
      </c>
      <c r="J629" s="5">
        <f>COUNTIF(C$1:C629,C629)</f>
        <v>1</v>
      </c>
      <c r="K629" s="34">
        <v>3</v>
      </c>
      <c r="L629" s="5" t="s">
        <v>17</v>
      </c>
      <c r="M629" s="38" t="str">
        <f>VLOOKUP(K629,[2]stage_hints!$A:$C,3,FALSE)</f>
        <v>ターゲット</v>
      </c>
      <c r="N629" s="39" t="str">
        <f>VLOOKUP(K629,[2]stage_hints!$A:$D,4,FALSE)</f>
        <v>敵ユニットをタップすると
その敵を狙い撃ちできます</v>
      </c>
      <c r="O629" s="20" t="s">
        <v>24</v>
      </c>
      <c r="P629">
        <v>3</v>
      </c>
    </row>
    <row r="630" spans="1:16" x14ac:dyDescent="0.15">
      <c r="A630" s="27" t="str">
        <f t="shared" si="73"/>
        <v>20007_3_2</v>
      </c>
      <c r="B630" s="25" t="s">
        <v>34</v>
      </c>
      <c r="C630" s="4">
        <v>20007</v>
      </c>
      <c r="D630" s="3" t="str">
        <f ca="1">VLOOKUP($C630,OFFSET([1]quests!$A$1,0,0,COUNTA([1]quests!$A:$A),MATCH(D$1,[1]quests!$1:$1,0)-MATCH($C$1,[1]quests!$1:$1,0)+1),MATCH(D$1,[1]quests!$1:$1,0)-MATCH($C$1,[1]quests!$1:$1,0)+1,FALSE)</f>
        <v>女王陛下の処刑龍</v>
      </c>
      <c r="E630" s="3" t="str">
        <f ca="1">VLOOKUP($C630,OFFSET([1]quests!$A$1,0,0,COUNTA([1]quests!$A:$A),MATCH(E$1,[1]quests!$1:$1,0)-MATCH($C$1,[1]quests!$1:$1,0)+1),MATCH(E$1,[1]quests!$1:$1,0)-MATCH($C$1,[1]quests!$1:$1,0)+1,FALSE)</f>
        <v>ドロップイベント2-1</v>
      </c>
      <c r="F630" s="5">
        <v>3</v>
      </c>
      <c r="G630" s="3" t="str">
        <f ca="1">VLOOKUP($C630&amp;"_"&amp;$F630,OFFSET([1]stages!$A$1,0,0,COUNTA([1]stages!$A:$A),MATCH(G$1,[1]stages!$2:$2,0)-MATCH("temp_stage",[1]stages!$2:$2,0)+1),MATCH(G$1,[1]stages!$2:$2,0)-MATCH("temp_stage",[1]stages!$2:$2,0)+1,FALSE)</f>
        <v>【上級】女王陛下の処刑龍</v>
      </c>
      <c r="H630" s="3" t="str">
        <f ca="1">VLOOKUP($C630&amp;"_"&amp;$F630,OFFSET([1]stages!$A$1,0,0,COUNTA([1]stages!$A:$A),MATCH(H$1,[1]stages!$2:$2,0)-MATCH("temp_stage",[1]stages!$2:$2,0)+1),MATCH(H$1,[1]stages!$2:$2,0)-MATCH("temp_stage",[1]stages!$2:$2,0)+1,FALSE)</f>
        <v>ドロップイベント2-1</v>
      </c>
      <c r="I630" s="18">
        <v>0</v>
      </c>
      <c r="J630" s="5">
        <f>COUNTIF(C$1:C630,C630)</f>
        <v>2</v>
      </c>
      <c r="K630" s="34">
        <v>6</v>
      </c>
      <c r="L630" s="5" t="s">
        <v>17</v>
      </c>
      <c r="M630" s="38" t="str">
        <f>VLOOKUP(K630,[2]stage_hints!$A:$C,3,FALSE)</f>
        <v>ユニット強化の属性ボーナス</v>
      </c>
      <c r="N630" s="39" t="str">
        <f>VLOOKUP(K630,[2]stage_hints!$A:$D,4,FALSE)</f>
        <v>同属性ユニットを強化素材にすると
経験値が多くもらえます</v>
      </c>
      <c r="O630" s="20" t="s">
        <v>24</v>
      </c>
      <c r="P630">
        <v>6</v>
      </c>
    </row>
    <row r="631" spans="1:16" x14ac:dyDescent="0.15">
      <c r="A631" s="27" t="str">
        <f t="shared" si="73"/>
        <v>20007_3_3</v>
      </c>
      <c r="B631" s="25" t="s">
        <v>34</v>
      </c>
      <c r="C631" s="4">
        <v>20007</v>
      </c>
      <c r="D631" s="3" t="str">
        <f ca="1">VLOOKUP($C631,OFFSET([1]quests!$A$1,0,0,COUNTA([1]quests!$A:$A),MATCH(D$1,[1]quests!$1:$1,0)-MATCH($C$1,[1]quests!$1:$1,0)+1),MATCH(D$1,[1]quests!$1:$1,0)-MATCH($C$1,[1]quests!$1:$1,0)+1,FALSE)</f>
        <v>女王陛下の処刑龍</v>
      </c>
      <c r="E631" s="3" t="str">
        <f ca="1">VLOOKUP($C631,OFFSET([1]quests!$A$1,0,0,COUNTA([1]quests!$A:$A),MATCH(E$1,[1]quests!$1:$1,0)-MATCH($C$1,[1]quests!$1:$1,0)+1),MATCH(E$1,[1]quests!$1:$1,0)-MATCH($C$1,[1]quests!$1:$1,0)+1,FALSE)</f>
        <v>ドロップイベント2-1</v>
      </c>
      <c r="F631" s="5">
        <v>3</v>
      </c>
      <c r="G631" s="3" t="str">
        <f ca="1">VLOOKUP($C631&amp;"_"&amp;$F631,OFFSET([1]stages!$A$1,0,0,COUNTA([1]stages!$A:$A),MATCH(G$1,[1]stages!$2:$2,0)-MATCH("temp_stage",[1]stages!$2:$2,0)+1),MATCH(G$1,[1]stages!$2:$2,0)-MATCH("temp_stage",[1]stages!$2:$2,0)+1,FALSE)</f>
        <v>【上級】女王陛下の処刑龍</v>
      </c>
      <c r="H631" s="3" t="str">
        <f ca="1">VLOOKUP($C631&amp;"_"&amp;$F631,OFFSET([1]stages!$A$1,0,0,COUNTA([1]stages!$A:$A),MATCH(H$1,[1]stages!$2:$2,0)-MATCH("temp_stage",[1]stages!$2:$2,0)+1),MATCH(H$1,[1]stages!$2:$2,0)-MATCH("temp_stage",[1]stages!$2:$2,0)+1,FALSE)</f>
        <v>ドロップイベント2-1</v>
      </c>
      <c r="I631" s="18">
        <v>0</v>
      </c>
      <c r="J631" s="5">
        <f>COUNTIF(C$1:C631,C631)</f>
        <v>3</v>
      </c>
      <c r="K631" s="34">
        <v>7</v>
      </c>
      <c r="L631" s="5" t="s">
        <v>17</v>
      </c>
      <c r="M631" s="38" t="str">
        <f>VLOOKUP(K631,[2]stage_hints!$A:$C,3,FALSE)</f>
        <v>メタルダックで経験値を獲得</v>
      </c>
      <c r="N631" s="39" t="str">
        <f>VLOOKUP(K631,[2]stage_hints!$A:$D,4,FALSE)</f>
        <v>「メタルなアヒル」を強化素材にすると
大量の経験値がもらえます</v>
      </c>
      <c r="O631" s="20" t="s">
        <v>24</v>
      </c>
      <c r="P631">
        <v>7</v>
      </c>
    </row>
    <row r="632" spans="1:16" x14ac:dyDescent="0.15">
      <c r="A632" s="27" t="str">
        <f t="shared" si="73"/>
        <v>20007_3_4</v>
      </c>
      <c r="B632" s="25" t="s">
        <v>34</v>
      </c>
      <c r="C632" s="4">
        <v>20007</v>
      </c>
      <c r="D632" s="3" t="str">
        <f ca="1">VLOOKUP($C632,OFFSET([1]quests!$A$1,0,0,COUNTA([1]quests!$A:$A),MATCH(D$1,[1]quests!$1:$1,0)-MATCH($C$1,[1]quests!$1:$1,0)+1),MATCH(D$1,[1]quests!$1:$1,0)-MATCH($C$1,[1]quests!$1:$1,0)+1,FALSE)</f>
        <v>女王陛下の処刑龍</v>
      </c>
      <c r="E632" s="3" t="str">
        <f ca="1">VLOOKUP($C632,OFFSET([1]quests!$A$1,0,0,COUNTA([1]quests!$A:$A),MATCH(E$1,[1]quests!$1:$1,0)-MATCH($C$1,[1]quests!$1:$1,0)+1),MATCH(E$1,[1]quests!$1:$1,0)-MATCH($C$1,[1]quests!$1:$1,0)+1,FALSE)</f>
        <v>ドロップイベント2-1</v>
      </c>
      <c r="F632" s="5">
        <v>3</v>
      </c>
      <c r="G632" s="3" t="str">
        <f ca="1">VLOOKUP($C632&amp;"_"&amp;$F632,OFFSET([1]stages!$A$1,0,0,COUNTA([1]stages!$A:$A),MATCH(G$1,[1]stages!$2:$2,0)-MATCH("temp_stage",[1]stages!$2:$2,0)+1),MATCH(G$1,[1]stages!$2:$2,0)-MATCH("temp_stage",[1]stages!$2:$2,0)+1,FALSE)</f>
        <v>【上級】女王陛下の処刑龍</v>
      </c>
      <c r="H632" s="3" t="str">
        <f ca="1">VLOOKUP($C632&amp;"_"&amp;$F632,OFFSET([1]stages!$A$1,0,0,COUNTA([1]stages!$A:$A),MATCH(H$1,[1]stages!$2:$2,0)-MATCH("temp_stage",[1]stages!$2:$2,0)+1),MATCH(H$1,[1]stages!$2:$2,0)-MATCH("temp_stage",[1]stages!$2:$2,0)+1,FALSE)</f>
        <v>ドロップイベント2-1</v>
      </c>
      <c r="I632" s="18">
        <v>0</v>
      </c>
      <c r="J632" s="5">
        <f>COUNTIF(C$1:C632,C632)</f>
        <v>4</v>
      </c>
      <c r="K632" s="34">
        <v>8</v>
      </c>
      <c r="L632" s="5" t="s">
        <v>17</v>
      </c>
      <c r="M632" s="38" t="str">
        <f>VLOOKUP(K632,[2]stage_hints!$A:$C,3,FALSE)</f>
        <v>ゲリラクエストは要チェック</v>
      </c>
      <c r="N632" s="39" t="str">
        <f>VLOOKUP(K632,[2]stage_hints!$A:$D,4,FALSE)</f>
        <v>時間限定の「アヒル捕獲作戦」では
経験値素材ユニットが多く手に入ります</v>
      </c>
      <c r="O632" s="20" t="s">
        <v>24</v>
      </c>
      <c r="P632">
        <v>8</v>
      </c>
    </row>
    <row r="633" spans="1:16" x14ac:dyDescent="0.15">
      <c r="A633" s="27" t="str">
        <f t="shared" si="73"/>
        <v>20007_3_5</v>
      </c>
      <c r="B633" s="25" t="s">
        <v>34</v>
      </c>
      <c r="C633" s="4">
        <v>20007</v>
      </c>
      <c r="D633" s="3" t="str">
        <f ca="1">VLOOKUP($C633,OFFSET([1]quests!$A$1,0,0,COUNTA([1]quests!$A:$A),MATCH(D$1,[1]quests!$1:$1,0)-MATCH($C$1,[1]quests!$1:$1,0)+1),MATCH(D$1,[1]quests!$1:$1,0)-MATCH($C$1,[1]quests!$1:$1,0)+1,FALSE)</f>
        <v>女王陛下の処刑龍</v>
      </c>
      <c r="E633" s="3" t="str">
        <f ca="1">VLOOKUP($C633,OFFSET([1]quests!$A$1,0,0,COUNTA([1]quests!$A:$A),MATCH(E$1,[1]quests!$1:$1,0)-MATCH($C$1,[1]quests!$1:$1,0)+1),MATCH(E$1,[1]quests!$1:$1,0)-MATCH($C$1,[1]quests!$1:$1,0)+1,FALSE)</f>
        <v>ドロップイベント2-1</v>
      </c>
      <c r="F633" s="5">
        <v>3</v>
      </c>
      <c r="G633" s="3" t="str">
        <f ca="1">VLOOKUP($C633&amp;"_"&amp;$F633,OFFSET([1]stages!$A$1,0,0,COUNTA([1]stages!$A:$A),MATCH(G$1,[1]stages!$2:$2,0)-MATCH("temp_stage",[1]stages!$2:$2,0)+1),MATCH(G$1,[1]stages!$2:$2,0)-MATCH("temp_stage",[1]stages!$2:$2,0)+1,FALSE)</f>
        <v>【上級】女王陛下の処刑龍</v>
      </c>
      <c r="H633" s="3" t="str">
        <f ca="1">VLOOKUP($C633&amp;"_"&amp;$F633,OFFSET([1]stages!$A$1,0,0,COUNTA([1]stages!$A:$A),MATCH(H$1,[1]stages!$2:$2,0)-MATCH("temp_stage",[1]stages!$2:$2,0)+1),MATCH(H$1,[1]stages!$2:$2,0)-MATCH("temp_stage",[1]stages!$2:$2,0)+1,FALSE)</f>
        <v>ドロップイベント2-1</v>
      </c>
      <c r="I633" s="18">
        <v>0</v>
      </c>
      <c r="J633" s="5">
        <f>COUNTIF(C$1:C633,C633)</f>
        <v>5</v>
      </c>
      <c r="K633" s="34">
        <v>9</v>
      </c>
      <c r="L633" s="5" t="s">
        <v>17</v>
      </c>
      <c r="M633" s="38" t="str">
        <f>VLOOKUP(K633,[2]stage_hints!$A:$C,3,FALSE)</f>
        <v>ゴールドダックでビットを獲得</v>
      </c>
      <c r="N633" s="39" t="str">
        <f>VLOOKUP(K633,[2]stage_hints!$A:$D,4,FALSE)</f>
        <v>「ゴールドなアヒル」を売却すると
大量のビットがもらえます</v>
      </c>
      <c r="O633" s="20" t="s">
        <v>24</v>
      </c>
      <c r="P633">
        <v>9</v>
      </c>
    </row>
    <row r="634" spans="1:16" x14ac:dyDescent="0.15">
      <c r="A634" s="27" t="str">
        <f t="shared" si="73"/>
        <v>20007_3_6</v>
      </c>
      <c r="B634" s="25" t="s">
        <v>34</v>
      </c>
      <c r="C634" s="4">
        <v>20007</v>
      </c>
      <c r="D634" s="3" t="str">
        <f ca="1">VLOOKUP($C634,OFFSET([1]quests!$A$1,0,0,COUNTA([1]quests!$A:$A),MATCH(D$1,[1]quests!$1:$1,0)-MATCH($C$1,[1]quests!$1:$1,0)+1),MATCH(D$1,[1]quests!$1:$1,0)-MATCH($C$1,[1]quests!$1:$1,0)+1,FALSE)</f>
        <v>女王陛下の処刑龍</v>
      </c>
      <c r="E634" s="3" t="str">
        <f ca="1">VLOOKUP($C634,OFFSET([1]quests!$A$1,0,0,COUNTA([1]quests!$A:$A),MATCH(E$1,[1]quests!$1:$1,0)-MATCH($C$1,[1]quests!$1:$1,0)+1),MATCH(E$1,[1]quests!$1:$1,0)-MATCH($C$1,[1]quests!$1:$1,0)+1,FALSE)</f>
        <v>ドロップイベント2-1</v>
      </c>
      <c r="F634" s="5">
        <v>3</v>
      </c>
      <c r="G634" s="3" t="str">
        <f ca="1">VLOOKUP($C634&amp;"_"&amp;$F634,OFFSET([1]stages!$A$1,0,0,COUNTA([1]stages!$A:$A),MATCH(G$1,[1]stages!$2:$2,0)-MATCH("temp_stage",[1]stages!$2:$2,0)+1),MATCH(G$1,[1]stages!$2:$2,0)-MATCH("temp_stage",[1]stages!$2:$2,0)+1,FALSE)</f>
        <v>【上級】女王陛下の処刑龍</v>
      </c>
      <c r="H634" s="3" t="str">
        <f ca="1">VLOOKUP($C634&amp;"_"&amp;$F634,OFFSET([1]stages!$A$1,0,0,COUNTA([1]stages!$A:$A),MATCH(H$1,[1]stages!$2:$2,0)-MATCH("temp_stage",[1]stages!$2:$2,0)+1),MATCH(H$1,[1]stages!$2:$2,0)-MATCH("temp_stage",[1]stages!$2:$2,0)+1,FALSE)</f>
        <v>ドロップイベント2-1</v>
      </c>
      <c r="I634" s="18">
        <v>0</v>
      </c>
      <c r="J634" s="5">
        <f>COUNTIF(C$1:C634,C634)</f>
        <v>6</v>
      </c>
      <c r="K634" s="34">
        <v>10</v>
      </c>
      <c r="L634" s="5" t="s">
        <v>17</v>
      </c>
      <c r="M634" s="38" t="str">
        <f>VLOOKUP(K634,[2]stage_hints!$A:$C,3,FALSE)</f>
        <v>土日に大量のビットを獲得</v>
      </c>
      <c r="N634" s="39" t="str">
        <f>VLOOKUP(K634,[2]stage_hints!$A:$D,4,FALSE)</f>
        <v>土日限定の「ゴールドカジノ」では
売却素材ユニットが多く手に入ります</v>
      </c>
      <c r="O634" s="20" t="s">
        <v>24</v>
      </c>
      <c r="P634">
        <v>10</v>
      </c>
    </row>
    <row r="635" spans="1:16" x14ac:dyDescent="0.15">
      <c r="A635" s="27" t="str">
        <f t="shared" si="73"/>
        <v>20007_3_7</v>
      </c>
      <c r="B635" s="25" t="s">
        <v>34</v>
      </c>
      <c r="C635" s="4">
        <v>20007</v>
      </c>
      <c r="D635" s="3" t="str">
        <f ca="1">VLOOKUP($C635,OFFSET([1]quests!$A$1,0,0,COUNTA([1]quests!$A:$A),MATCH(D$1,[1]quests!$1:$1,0)-MATCH($C$1,[1]quests!$1:$1,0)+1),MATCH(D$1,[1]quests!$1:$1,0)-MATCH($C$1,[1]quests!$1:$1,0)+1,FALSE)</f>
        <v>女王陛下の処刑龍</v>
      </c>
      <c r="E635" s="3" t="str">
        <f ca="1">VLOOKUP($C635,OFFSET([1]quests!$A$1,0,0,COUNTA([1]quests!$A:$A),MATCH(E$1,[1]quests!$1:$1,0)-MATCH($C$1,[1]quests!$1:$1,0)+1),MATCH(E$1,[1]quests!$1:$1,0)-MATCH($C$1,[1]quests!$1:$1,0)+1,FALSE)</f>
        <v>ドロップイベント2-1</v>
      </c>
      <c r="F635" s="5">
        <v>3</v>
      </c>
      <c r="G635" s="3" t="str">
        <f ca="1">VLOOKUP($C635&amp;"_"&amp;$F635,OFFSET([1]stages!$A$1,0,0,COUNTA([1]stages!$A:$A),MATCH(G$1,[1]stages!$2:$2,0)-MATCH("temp_stage",[1]stages!$2:$2,0)+1),MATCH(G$1,[1]stages!$2:$2,0)-MATCH("temp_stage",[1]stages!$2:$2,0)+1,FALSE)</f>
        <v>【上級】女王陛下の処刑龍</v>
      </c>
      <c r="H635" s="3" t="str">
        <f ca="1">VLOOKUP($C635&amp;"_"&amp;$F635,OFFSET([1]stages!$A$1,0,0,COUNTA([1]stages!$A:$A),MATCH(H$1,[1]stages!$2:$2,0)-MATCH("temp_stage",[1]stages!$2:$2,0)+1),MATCH(H$1,[1]stages!$2:$2,0)-MATCH("temp_stage",[1]stages!$2:$2,0)+1,FALSE)</f>
        <v>ドロップイベント2-1</v>
      </c>
      <c r="I635" s="18">
        <v>0</v>
      </c>
      <c r="J635" s="5">
        <f>COUNTIF(C$1:C635,C635)</f>
        <v>7</v>
      </c>
      <c r="K635" s="34">
        <v>11</v>
      </c>
      <c r="L635" s="5" t="s">
        <v>17</v>
      </c>
      <c r="M635" s="38" t="str">
        <f>VLOOKUP(K635,[2]stage_hints!$A:$C,3,FALSE)</f>
        <v>ランク解放クエスト</v>
      </c>
      <c r="N635" s="39" t="str">
        <f>VLOOKUP(K635,[2]stage_hints!$A:$D,4,FALSE)</f>
        <v>一定ランクに到達すると
報酬付きのランク開放クエストが現れます</v>
      </c>
      <c r="O635" s="20" t="s">
        <v>24</v>
      </c>
      <c r="P635">
        <v>11</v>
      </c>
    </row>
    <row r="636" spans="1:16" x14ac:dyDescent="0.15">
      <c r="A636" s="27" t="str">
        <f t="shared" si="73"/>
        <v>20007_3_8</v>
      </c>
      <c r="B636" s="25" t="s">
        <v>34</v>
      </c>
      <c r="C636" s="4">
        <v>20007</v>
      </c>
      <c r="D636" s="3" t="str">
        <f ca="1">VLOOKUP($C636,OFFSET([1]quests!$A$1,0,0,COUNTA([1]quests!$A:$A),MATCH(D$1,[1]quests!$1:$1,0)-MATCH($C$1,[1]quests!$1:$1,0)+1),MATCH(D$1,[1]quests!$1:$1,0)-MATCH($C$1,[1]quests!$1:$1,0)+1,FALSE)</f>
        <v>女王陛下の処刑龍</v>
      </c>
      <c r="E636" s="3" t="str">
        <f ca="1">VLOOKUP($C636,OFFSET([1]quests!$A$1,0,0,COUNTA([1]quests!$A:$A),MATCH(E$1,[1]quests!$1:$1,0)-MATCH($C$1,[1]quests!$1:$1,0)+1),MATCH(E$1,[1]quests!$1:$1,0)-MATCH($C$1,[1]quests!$1:$1,0)+1,FALSE)</f>
        <v>ドロップイベント2-1</v>
      </c>
      <c r="F636" s="5">
        <v>3</v>
      </c>
      <c r="G636" s="3" t="str">
        <f ca="1">VLOOKUP($C636&amp;"_"&amp;$F636,OFFSET([1]stages!$A$1,0,0,COUNTA([1]stages!$A:$A),MATCH(G$1,[1]stages!$2:$2,0)-MATCH("temp_stage",[1]stages!$2:$2,0)+1),MATCH(G$1,[1]stages!$2:$2,0)-MATCH("temp_stage",[1]stages!$2:$2,0)+1,FALSE)</f>
        <v>【上級】女王陛下の処刑龍</v>
      </c>
      <c r="H636" s="3" t="str">
        <f ca="1">VLOOKUP($C636&amp;"_"&amp;$F636,OFFSET([1]stages!$A$1,0,0,COUNTA([1]stages!$A:$A),MATCH(H$1,[1]stages!$2:$2,0)-MATCH("temp_stage",[1]stages!$2:$2,0)+1),MATCH(H$1,[1]stages!$2:$2,0)-MATCH("temp_stage",[1]stages!$2:$2,0)+1,FALSE)</f>
        <v>ドロップイベント2-1</v>
      </c>
      <c r="I636" s="18">
        <v>0</v>
      </c>
      <c r="J636" s="5">
        <f>COUNTIF(C$1:C636,C636)</f>
        <v>8</v>
      </c>
      <c r="K636" s="34">
        <v>12</v>
      </c>
      <c r="L636" s="5" t="s">
        <v>17</v>
      </c>
      <c r="M636" s="38" t="str">
        <f>VLOOKUP(K636,[2]stage_hints!$A:$C,3,FALSE)</f>
        <v>ユニットのお気に入り登録</v>
      </c>
      <c r="N636" s="39" t="str">
        <f>VLOOKUP(K636,[2]stage_hints!$A:$D,4,FALSE)</f>
        <v>大事なユニットを誤って消さないように
フォルダから「お気に入り登録」しましょう</v>
      </c>
      <c r="O636" s="20" t="s">
        <v>24</v>
      </c>
      <c r="P636">
        <v>12</v>
      </c>
    </row>
    <row r="637" spans="1:16" x14ac:dyDescent="0.15">
      <c r="A637" s="27" t="str">
        <f t="shared" si="73"/>
        <v>20007_3_9</v>
      </c>
      <c r="B637" s="25" t="s">
        <v>34</v>
      </c>
      <c r="C637" s="4">
        <v>20007</v>
      </c>
      <c r="D637" s="3" t="str">
        <f ca="1">VLOOKUP($C637,OFFSET([1]quests!$A$1,0,0,COUNTA([1]quests!$A:$A),MATCH(D$1,[1]quests!$1:$1,0)-MATCH($C$1,[1]quests!$1:$1,0)+1),MATCH(D$1,[1]quests!$1:$1,0)-MATCH($C$1,[1]quests!$1:$1,0)+1,FALSE)</f>
        <v>女王陛下の処刑龍</v>
      </c>
      <c r="E637" s="3" t="str">
        <f ca="1">VLOOKUP($C637,OFFSET([1]quests!$A$1,0,0,COUNTA([1]quests!$A:$A),MATCH(E$1,[1]quests!$1:$1,0)-MATCH($C$1,[1]quests!$1:$1,0)+1),MATCH(E$1,[1]quests!$1:$1,0)-MATCH($C$1,[1]quests!$1:$1,0)+1,FALSE)</f>
        <v>ドロップイベント2-1</v>
      </c>
      <c r="F637" s="5">
        <v>3</v>
      </c>
      <c r="G637" s="3" t="str">
        <f ca="1">VLOOKUP($C637&amp;"_"&amp;$F637,OFFSET([1]stages!$A$1,0,0,COUNTA([1]stages!$A:$A),MATCH(G$1,[1]stages!$2:$2,0)-MATCH("temp_stage",[1]stages!$2:$2,0)+1),MATCH(G$1,[1]stages!$2:$2,0)-MATCH("temp_stage",[1]stages!$2:$2,0)+1,FALSE)</f>
        <v>【上級】女王陛下の処刑龍</v>
      </c>
      <c r="H637" s="3" t="str">
        <f ca="1">VLOOKUP($C637&amp;"_"&amp;$F637,OFFSET([1]stages!$A$1,0,0,COUNTA([1]stages!$A:$A),MATCH(H$1,[1]stages!$2:$2,0)-MATCH("temp_stage",[1]stages!$2:$2,0)+1),MATCH(H$1,[1]stages!$2:$2,0)-MATCH("temp_stage",[1]stages!$2:$2,0)+1,FALSE)</f>
        <v>ドロップイベント2-1</v>
      </c>
      <c r="I637" s="18">
        <v>0</v>
      </c>
      <c r="J637" s="5">
        <f>COUNTIF(C$1:C637,C637)</f>
        <v>9</v>
      </c>
      <c r="K637" s="34">
        <v>13</v>
      </c>
      <c r="L637" s="5" t="s">
        <v>17</v>
      </c>
      <c r="M637" s="38" t="str">
        <f>VLOOKUP(K637,[2]stage_hints!$A:$C,3,FALSE)</f>
        <v>ユニットの覚醒</v>
      </c>
      <c r="N637" s="39" t="str">
        <f>VLOOKUP(K637,[2]stage_hints!$A:$D,4,FALSE)</f>
        <v>ユニットを覚醒させると
比べものにならない強さが手に入ります</v>
      </c>
      <c r="O637" s="20" t="s">
        <v>24</v>
      </c>
      <c r="P637">
        <v>13</v>
      </c>
    </row>
    <row r="638" spans="1:16" x14ac:dyDescent="0.15">
      <c r="A638" s="27" t="str">
        <f t="shared" si="73"/>
        <v>20007_3_10</v>
      </c>
      <c r="B638" s="25" t="s">
        <v>34</v>
      </c>
      <c r="C638" s="4">
        <v>20007</v>
      </c>
      <c r="D638" s="3" t="str">
        <f ca="1">VLOOKUP($C638,OFFSET([1]quests!$A$1,0,0,COUNTA([1]quests!$A:$A),MATCH(D$1,[1]quests!$1:$1,0)-MATCH($C$1,[1]quests!$1:$1,0)+1),MATCH(D$1,[1]quests!$1:$1,0)-MATCH($C$1,[1]quests!$1:$1,0)+1,FALSE)</f>
        <v>女王陛下の処刑龍</v>
      </c>
      <c r="E638" s="3" t="str">
        <f ca="1">VLOOKUP($C638,OFFSET([1]quests!$A$1,0,0,COUNTA([1]quests!$A:$A),MATCH(E$1,[1]quests!$1:$1,0)-MATCH($C$1,[1]quests!$1:$1,0)+1),MATCH(E$1,[1]quests!$1:$1,0)-MATCH($C$1,[1]quests!$1:$1,0)+1,FALSE)</f>
        <v>ドロップイベント2-1</v>
      </c>
      <c r="F638" s="5">
        <v>3</v>
      </c>
      <c r="G638" s="3" t="str">
        <f ca="1">VLOOKUP($C638&amp;"_"&amp;$F638,OFFSET([1]stages!$A$1,0,0,COUNTA([1]stages!$A:$A),MATCH(G$1,[1]stages!$2:$2,0)-MATCH("temp_stage",[1]stages!$2:$2,0)+1),MATCH(G$1,[1]stages!$2:$2,0)-MATCH("temp_stage",[1]stages!$2:$2,0)+1,FALSE)</f>
        <v>【上級】女王陛下の処刑龍</v>
      </c>
      <c r="H638" s="3" t="str">
        <f ca="1">VLOOKUP($C638&amp;"_"&amp;$F638,OFFSET([1]stages!$A$1,0,0,COUNTA([1]stages!$A:$A),MATCH(H$1,[1]stages!$2:$2,0)-MATCH("temp_stage",[1]stages!$2:$2,0)+1),MATCH(H$1,[1]stages!$2:$2,0)-MATCH("temp_stage",[1]stages!$2:$2,0)+1,FALSE)</f>
        <v>ドロップイベント2-1</v>
      </c>
      <c r="I638" s="18">
        <v>0</v>
      </c>
      <c r="J638" s="5">
        <f>COUNTIF(C$1:C638,C638)</f>
        <v>10</v>
      </c>
      <c r="K638" s="34">
        <v>14</v>
      </c>
      <c r="L638" s="5" t="s">
        <v>17</v>
      </c>
      <c r="M638" s="38" t="str">
        <f>VLOOKUP(K638,[2]stage_hints!$A:$C,3,FALSE)</f>
        <v>覚醒するにはレベルを最大に</v>
      </c>
      <c r="N638" s="39" t="str">
        <f>VLOOKUP(K638,[2]stage_hints!$A:$D,4,FALSE)</f>
        <v>覚醒するにはユニットのレベルを
最大まで上げる必要があります</v>
      </c>
      <c r="O638" s="20" t="s">
        <v>24</v>
      </c>
      <c r="P638">
        <v>14</v>
      </c>
    </row>
    <row r="639" spans="1:16" x14ac:dyDescent="0.15">
      <c r="A639" s="27" t="str">
        <f t="shared" si="73"/>
        <v>20007_3_11</v>
      </c>
      <c r="B639" s="25" t="s">
        <v>34</v>
      </c>
      <c r="C639" s="4">
        <v>20007</v>
      </c>
      <c r="D639" s="3" t="str">
        <f ca="1">VLOOKUP($C639,OFFSET([1]quests!$A$1,0,0,COUNTA([1]quests!$A:$A),MATCH(D$1,[1]quests!$1:$1,0)-MATCH($C$1,[1]quests!$1:$1,0)+1),MATCH(D$1,[1]quests!$1:$1,0)-MATCH($C$1,[1]quests!$1:$1,0)+1,FALSE)</f>
        <v>女王陛下の処刑龍</v>
      </c>
      <c r="E639" s="3" t="str">
        <f ca="1">VLOOKUP($C639,OFFSET([1]quests!$A$1,0,0,COUNTA([1]quests!$A:$A),MATCH(E$1,[1]quests!$1:$1,0)-MATCH($C$1,[1]quests!$1:$1,0)+1),MATCH(E$1,[1]quests!$1:$1,0)-MATCH($C$1,[1]quests!$1:$1,0)+1,FALSE)</f>
        <v>ドロップイベント2-1</v>
      </c>
      <c r="F639" s="5">
        <v>3</v>
      </c>
      <c r="G639" s="3" t="str">
        <f ca="1">VLOOKUP($C639&amp;"_"&amp;$F639,OFFSET([1]stages!$A$1,0,0,COUNTA([1]stages!$A:$A),MATCH(G$1,[1]stages!$2:$2,0)-MATCH("temp_stage",[1]stages!$2:$2,0)+1),MATCH(G$1,[1]stages!$2:$2,0)-MATCH("temp_stage",[1]stages!$2:$2,0)+1,FALSE)</f>
        <v>【上級】女王陛下の処刑龍</v>
      </c>
      <c r="H639" s="3" t="str">
        <f ca="1">VLOOKUP($C639&amp;"_"&amp;$F639,OFFSET([1]stages!$A$1,0,0,COUNTA([1]stages!$A:$A),MATCH(H$1,[1]stages!$2:$2,0)-MATCH("temp_stage",[1]stages!$2:$2,0)+1),MATCH(H$1,[1]stages!$2:$2,0)-MATCH("temp_stage",[1]stages!$2:$2,0)+1,FALSE)</f>
        <v>ドロップイベント2-1</v>
      </c>
      <c r="I639" s="18">
        <v>0</v>
      </c>
      <c r="J639" s="5">
        <f>COUNTIF(C$1:C639,C639)</f>
        <v>11</v>
      </c>
      <c r="K639" s="34">
        <v>15</v>
      </c>
      <c r="L639" s="5" t="s">
        <v>17</v>
      </c>
      <c r="M639" s="38" t="str">
        <f>VLOOKUP(K639,[2]stage_hints!$A:$C,3,FALSE)</f>
        <v>覚醒素材を獲得</v>
      </c>
      <c r="N639" s="39" t="str">
        <f>VLOOKUP(K639,[2]stage_hints!$A:$D,4,FALSE)</f>
        <v>「曜日クエスト」では
ユニットの覚醒に必要な素材が手に入ります</v>
      </c>
      <c r="O639" s="20" t="s">
        <v>24</v>
      </c>
      <c r="P639">
        <v>15</v>
      </c>
    </row>
    <row r="640" spans="1:16" x14ac:dyDescent="0.15">
      <c r="A640" s="27" t="str">
        <f t="shared" si="73"/>
        <v>20007_3_12</v>
      </c>
      <c r="B640" s="25" t="s">
        <v>34</v>
      </c>
      <c r="C640" s="4">
        <v>20007</v>
      </c>
      <c r="D640" s="3" t="str">
        <f ca="1">VLOOKUP($C640,OFFSET([1]quests!$A$1,0,0,COUNTA([1]quests!$A:$A),MATCH(D$1,[1]quests!$1:$1,0)-MATCH($C$1,[1]quests!$1:$1,0)+1),MATCH(D$1,[1]quests!$1:$1,0)-MATCH($C$1,[1]quests!$1:$1,0)+1,FALSE)</f>
        <v>女王陛下の処刑龍</v>
      </c>
      <c r="E640" s="3" t="str">
        <f ca="1">VLOOKUP($C640,OFFSET([1]quests!$A$1,0,0,COUNTA([1]quests!$A:$A),MATCH(E$1,[1]quests!$1:$1,0)-MATCH($C$1,[1]quests!$1:$1,0)+1),MATCH(E$1,[1]quests!$1:$1,0)-MATCH($C$1,[1]quests!$1:$1,0)+1,FALSE)</f>
        <v>ドロップイベント2-1</v>
      </c>
      <c r="F640" s="5">
        <v>3</v>
      </c>
      <c r="G640" s="3" t="str">
        <f ca="1">VLOOKUP($C640&amp;"_"&amp;$F640,OFFSET([1]stages!$A$1,0,0,COUNTA([1]stages!$A:$A),MATCH(G$1,[1]stages!$2:$2,0)-MATCH("temp_stage",[1]stages!$2:$2,0)+1),MATCH(G$1,[1]stages!$2:$2,0)-MATCH("temp_stage",[1]stages!$2:$2,0)+1,FALSE)</f>
        <v>【上級】女王陛下の処刑龍</v>
      </c>
      <c r="H640" s="3" t="str">
        <f ca="1">VLOOKUP($C640&amp;"_"&amp;$F640,OFFSET([1]stages!$A$1,0,0,COUNTA([1]stages!$A:$A),MATCH(H$1,[1]stages!$2:$2,0)-MATCH("temp_stage",[1]stages!$2:$2,0)+1),MATCH(H$1,[1]stages!$2:$2,0)-MATCH("temp_stage",[1]stages!$2:$2,0)+1,FALSE)</f>
        <v>ドロップイベント2-1</v>
      </c>
      <c r="I640" s="18">
        <v>0</v>
      </c>
      <c r="J640" s="5">
        <f>COUNTIF(C$1:C640,C640)</f>
        <v>12</v>
      </c>
      <c r="K640" s="34">
        <v>16</v>
      </c>
      <c r="L640" s="5" t="s">
        <v>17</v>
      </c>
      <c r="M640" s="38" t="str">
        <f>VLOOKUP(K640,[2]stage_hints!$A:$C,3,FALSE)</f>
        <v>マルチプレイのメリット（その1）</v>
      </c>
      <c r="N640" s="39" t="str">
        <f>VLOOKUP(K640,[2]stage_hints!$A:$D,4,FALSE)</f>
        <v>他のプレイヤーとマルチプレイで遊ぶと
ポリゴンがもらえます（100人まで）</v>
      </c>
      <c r="O640" s="20" t="s">
        <v>24</v>
      </c>
      <c r="P640">
        <v>16</v>
      </c>
    </row>
    <row r="641" spans="1:16" x14ac:dyDescent="0.15">
      <c r="A641" s="27" t="str">
        <f t="shared" si="73"/>
        <v>20007_3_13</v>
      </c>
      <c r="B641" s="25" t="s">
        <v>34</v>
      </c>
      <c r="C641" s="4">
        <v>20007</v>
      </c>
      <c r="D641" s="3" t="str">
        <f ca="1">VLOOKUP($C641,OFFSET([1]quests!$A$1,0,0,COUNTA([1]quests!$A:$A),MATCH(D$1,[1]quests!$1:$1,0)-MATCH($C$1,[1]quests!$1:$1,0)+1),MATCH(D$1,[1]quests!$1:$1,0)-MATCH($C$1,[1]quests!$1:$1,0)+1,FALSE)</f>
        <v>女王陛下の処刑龍</v>
      </c>
      <c r="E641" s="3" t="str">
        <f ca="1">VLOOKUP($C641,OFFSET([1]quests!$A$1,0,0,COUNTA([1]quests!$A:$A),MATCH(E$1,[1]quests!$1:$1,0)-MATCH($C$1,[1]quests!$1:$1,0)+1),MATCH(E$1,[1]quests!$1:$1,0)-MATCH($C$1,[1]quests!$1:$1,0)+1,FALSE)</f>
        <v>ドロップイベント2-1</v>
      </c>
      <c r="F641" s="5">
        <v>3</v>
      </c>
      <c r="G641" s="3" t="str">
        <f ca="1">VLOOKUP($C641&amp;"_"&amp;$F641,OFFSET([1]stages!$A$1,0,0,COUNTA([1]stages!$A:$A),MATCH(G$1,[1]stages!$2:$2,0)-MATCH("temp_stage",[1]stages!$2:$2,0)+1),MATCH(G$1,[1]stages!$2:$2,0)-MATCH("temp_stage",[1]stages!$2:$2,0)+1,FALSE)</f>
        <v>【上級】女王陛下の処刑龍</v>
      </c>
      <c r="H641" s="3" t="str">
        <f ca="1">VLOOKUP($C641&amp;"_"&amp;$F641,OFFSET([1]stages!$A$1,0,0,COUNTA([1]stages!$A:$A),MATCH(H$1,[1]stages!$2:$2,0)-MATCH("temp_stage",[1]stages!$2:$2,0)+1),MATCH(H$1,[1]stages!$2:$2,0)-MATCH("temp_stage",[1]stages!$2:$2,0)+1,FALSE)</f>
        <v>ドロップイベント2-1</v>
      </c>
      <c r="I641" s="18">
        <v>0</v>
      </c>
      <c r="J641" s="5">
        <f>COUNTIF(C$1:C641,C641)</f>
        <v>13</v>
      </c>
      <c r="K641" s="34">
        <v>17</v>
      </c>
      <c r="L641" s="5" t="s">
        <v>17</v>
      </c>
      <c r="M641" s="38" t="str">
        <f>VLOOKUP(K641,[2]stage_hints!$A:$C,3,FALSE)</f>
        <v>リンクガチャ</v>
      </c>
      <c r="N641" s="39" t="str">
        <f>VLOOKUP(K641,[2]stage_hints!$A:$D,4,FALSE)</f>
        <v>無料のリンクガチャを回して
経験値素材や売却素材を獲得しましょう</v>
      </c>
      <c r="O641" s="20" t="s">
        <v>24</v>
      </c>
      <c r="P641">
        <v>17</v>
      </c>
    </row>
    <row r="642" spans="1:16" x14ac:dyDescent="0.15">
      <c r="A642" s="27" t="str">
        <f t="shared" si="73"/>
        <v>20007_3_14</v>
      </c>
      <c r="B642" s="25" t="s">
        <v>34</v>
      </c>
      <c r="C642" s="4">
        <v>20007</v>
      </c>
      <c r="D642" s="3" t="str">
        <f ca="1">VLOOKUP($C642,OFFSET([1]quests!$A$1,0,0,COUNTA([1]quests!$A:$A),MATCH(D$1,[1]quests!$1:$1,0)-MATCH($C$1,[1]quests!$1:$1,0)+1),MATCH(D$1,[1]quests!$1:$1,0)-MATCH($C$1,[1]quests!$1:$1,0)+1,FALSE)</f>
        <v>女王陛下の処刑龍</v>
      </c>
      <c r="E642" s="3" t="str">
        <f ca="1">VLOOKUP($C642,OFFSET([1]quests!$A$1,0,0,COUNTA([1]quests!$A:$A),MATCH(E$1,[1]quests!$1:$1,0)-MATCH($C$1,[1]quests!$1:$1,0)+1),MATCH(E$1,[1]quests!$1:$1,0)-MATCH($C$1,[1]quests!$1:$1,0)+1,FALSE)</f>
        <v>ドロップイベント2-1</v>
      </c>
      <c r="F642" s="5">
        <v>3</v>
      </c>
      <c r="G642" s="3" t="str">
        <f ca="1">VLOOKUP($C642&amp;"_"&amp;$F642,OFFSET([1]stages!$A$1,0,0,COUNTA([1]stages!$A:$A),MATCH(G$1,[1]stages!$2:$2,0)-MATCH("temp_stage",[1]stages!$2:$2,0)+1),MATCH(G$1,[1]stages!$2:$2,0)-MATCH("temp_stage",[1]stages!$2:$2,0)+1,FALSE)</f>
        <v>【上級】女王陛下の処刑龍</v>
      </c>
      <c r="H642" s="3" t="str">
        <f ca="1">VLOOKUP($C642&amp;"_"&amp;$F642,OFFSET([1]stages!$A$1,0,0,COUNTA([1]stages!$A:$A),MATCH(H$1,[1]stages!$2:$2,0)-MATCH("temp_stage",[1]stages!$2:$2,0)+1),MATCH(H$1,[1]stages!$2:$2,0)-MATCH("temp_stage",[1]stages!$2:$2,0)+1,FALSE)</f>
        <v>ドロップイベント2-1</v>
      </c>
      <c r="I642" s="18">
        <v>0</v>
      </c>
      <c r="J642" s="5">
        <f>COUNTIF(C$1:C642,C642)</f>
        <v>14</v>
      </c>
      <c r="K642" s="34">
        <v>18</v>
      </c>
      <c r="L642" s="5" t="s">
        <v>17</v>
      </c>
      <c r="M642" s="38" t="str">
        <f>VLOOKUP(K642,[2]stage_hints!$A:$C,3,FALSE)</f>
        <v>マルチプレイのメリット（その2）</v>
      </c>
      <c r="N642" s="39" t="str">
        <f>VLOOKUP(K642,[2]stage_hints!$A:$D,4,FALSE)</f>
        <v>マルチプレイならリンクが2倍もらえます
リンクガチャをたくさん回しましょう</v>
      </c>
      <c r="O642" s="20" t="s">
        <v>24</v>
      </c>
      <c r="P642">
        <v>18</v>
      </c>
    </row>
    <row r="643" spans="1:16" x14ac:dyDescent="0.15">
      <c r="A643" s="27" t="str">
        <f t="shared" si="73"/>
        <v>20007_3_15</v>
      </c>
      <c r="B643" s="25" t="s">
        <v>34</v>
      </c>
      <c r="C643" s="4">
        <v>20007</v>
      </c>
      <c r="D643" s="3" t="str">
        <f ca="1">VLOOKUP($C643,OFFSET([1]quests!$A$1,0,0,COUNTA([1]quests!$A:$A),MATCH(D$1,[1]quests!$1:$1,0)-MATCH($C$1,[1]quests!$1:$1,0)+1),MATCH(D$1,[1]quests!$1:$1,0)-MATCH($C$1,[1]quests!$1:$1,0)+1,FALSE)</f>
        <v>女王陛下の処刑龍</v>
      </c>
      <c r="E643" s="3" t="str">
        <f ca="1">VLOOKUP($C643,OFFSET([1]quests!$A$1,0,0,COUNTA([1]quests!$A:$A),MATCH(E$1,[1]quests!$1:$1,0)-MATCH($C$1,[1]quests!$1:$1,0)+1),MATCH(E$1,[1]quests!$1:$1,0)-MATCH($C$1,[1]quests!$1:$1,0)+1,FALSE)</f>
        <v>ドロップイベント2-1</v>
      </c>
      <c r="F643" s="5">
        <v>3</v>
      </c>
      <c r="G643" s="3" t="str">
        <f ca="1">VLOOKUP($C643&amp;"_"&amp;$F643,OFFSET([1]stages!$A$1,0,0,COUNTA([1]stages!$A:$A),MATCH(G$1,[1]stages!$2:$2,0)-MATCH("temp_stage",[1]stages!$2:$2,0)+1),MATCH(G$1,[1]stages!$2:$2,0)-MATCH("temp_stage",[1]stages!$2:$2,0)+1,FALSE)</f>
        <v>【上級】女王陛下の処刑龍</v>
      </c>
      <c r="H643" s="3" t="str">
        <f ca="1">VLOOKUP($C643&amp;"_"&amp;$F643,OFFSET([1]stages!$A$1,0,0,COUNTA([1]stages!$A:$A),MATCH(H$1,[1]stages!$2:$2,0)-MATCH("temp_stage",[1]stages!$2:$2,0)+1),MATCH(H$1,[1]stages!$2:$2,0)-MATCH("temp_stage",[1]stages!$2:$2,0)+1,FALSE)</f>
        <v>ドロップイベント2-1</v>
      </c>
      <c r="I643" s="18">
        <v>0</v>
      </c>
      <c r="J643" s="5">
        <f>COUNTIF(C$1:C643,C643)</f>
        <v>15</v>
      </c>
      <c r="K643" s="34">
        <v>19</v>
      </c>
      <c r="L643" s="5" t="s">
        <v>17</v>
      </c>
      <c r="M643" s="38" t="str">
        <f>VLOOKUP(K643,[2]stage_hints!$A:$C,3,FALSE)</f>
        <v>ソロ専用チャレンジタワー</v>
      </c>
      <c r="N643" s="39" t="str">
        <f>VLOOKUP(K643,[2]stage_hints!$A:$D,4,FALSE)</f>
        <v>ソロ専用の「チャレンジタワー」では
各フロアごとにクリア報酬がもらえます</v>
      </c>
      <c r="O643" s="20" t="s">
        <v>24</v>
      </c>
      <c r="P643">
        <v>19</v>
      </c>
    </row>
    <row r="644" spans="1:16" x14ac:dyDescent="0.15">
      <c r="A644" s="27" t="str">
        <f t="shared" si="73"/>
        <v>20007_3_16</v>
      </c>
      <c r="B644" s="25" t="s">
        <v>34</v>
      </c>
      <c r="C644" s="4">
        <v>20007</v>
      </c>
      <c r="D644" s="3" t="str">
        <f ca="1">VLOOKUP($C644,OFFSET([1]quests!$A$1,0,0,COUNTA([1]quests!$A:$A),MATCH(D$1,[1]quests!$1:$1,0)-MATCH($C$1,[1]quests!$1:$1,0)+1),MATCH(D$1,[1]quests!$1:$1,0)-MATCH($C$1,[1]quests!$1:$1,0)+1,FALSE)</f>
        <v>女王陛下の処刑龍</v>
      </c>
      <c r="E644" s="3" t="str">
        <f ca="1">VLOOKUP($C644,OFFSET([1]quests!$A$1,0,0,COUNTA([1]quests!$A:$A),MATCH(E$1,[1]quests!$1:$1,0)-MATCH($C$1,[1]quests!$1:$1,0)+1),MATCH(E$1,[1]quests!$1:$1,0)-MATCH($C$1,[1]quests!$1:$1,0)+1,FALSE)</f>
        <v>ドロップイベント2-1</v>
      </c>
      <c r="F644" s="5">
        <v>3</v>
      </c>
      <c r="G644" s="3" t="str">
        <f ca="1">VLOOKUP($C644&amp;"_"&amp;$F644,OFFSET([1]stages!$A$1,0,0,COUNTA([1]stages!$A:$A),MATCH(G$1,[1]stages!$2:$2,0)-MATCH("temp_stage",[1]stages!$2:$2,0)+1),MATCH(G$1,[1]stages!$2:$2,0)-MATCH("temp_stage",[1]stages!$2:$2,0)+1,FALSE)</f>
        <v>【上級】女王陛下の処刑龍</v>
      </c>
      <c r="H644" s="3" t="str">
        <f ca="1">VLOOKUP($C644&amp;"_"&amp;$F644,OFFSET([1]stages!$A$1,0,0,COUNTA([1]stages!$A:$A),MATCH(H$1,[1]stages!$2:$2,0)-MATCH("temp_stage",[1]stages!$2:$2,0)+1),MATCH(H$1,[1]stages!$2:$2,0)-MATCH("temp_stage",[1]stages!$2:$2,0)+1,FALSE)</f>
        <v>ドロップイベント2-1</v>
      </c>
      <c r="I644" s="18">
        <v>0</v>
      </c>
      <c r="J644" s="5">
        <f>COUNTIF(C$1:C644,C644)</f>
        <v>16</v>
      </c>
      <c r="K644" s="34">
        <v>20</v>
      </c>
      <c r="L644" s="5" t="s">
        <v>17</v>
      </c>
      <c r="M644" s="38" t="str">
        <f>VLOOKUP(K644,[2]stage_hints!$A:$C,3,FALSE)</f>
        <v>マルチプレイのメリット（その3）</v>
      </c>
      <c r="N644" s="39" t="str">
        <f>VLOOKUP(K644,[2]stage_hints!$A:$D,4,FALSE)</f>
        <v>マルチプレイへの参加はエナジー消費ゼロ
いつでも好きなだけ遊ぶことができます</v>
      </c>
      <c r="O644" s="20" t="s">
        <v>24</v>
      </c>
      <c r="P644">
        <v>20</v>
      </c>
    </row>
    <row r="645" spans="1:16" x14ac:dyDescent="0.15">
      <c r="A645" s="27" t="str">
        <f t="shared" si="73"/>
        <v>20007_3_17</v>
      </c>
      <c r="B645" s="25" t="s">
        <v>34</v>
      </c>
      <c r="C645" s="4">
        <v>20007</v>
      </c>
      <c r="D645" s="3" t="str">
        <f ca="1">VLOOKUP($C645,OFFSET([1]quests!$A$1,0,0,COUNTA([1]quests!$A:$A),MATCH(D$1,[1]quests!$1:$1,0)-MATCH($C$1,[1]quests!$1:$1,0)+1),MATCH(D$1,[1]quests!$1:$1,0)-MATCH($C$1,[1]quests!$1:$1,0)+1,FALSE)</f>
        <v>女王陛下の処刑龍</v>
      </c>
      <c r="E645" s="3" t="str">
        <f ca="1">VLOOKUP($C645,OFFSET([1]quests!$A$1,0,0,COUNTA([1]quests!$A:$A),MATCH(E$1,[1]quests!$1:$1,0)-MATCH($C$1,[1]quests!$1:$1,0)+1),MATCH(E$1,[1]quests!$1:$1,0)-MATCH($C$1,[1]quests!$1:$1,0)+1,FALSE)</f>
        <v>ドロップイベント2-1</v>
      </c>
      <c r="F645" s="5">
        <v>3</v>
      </c>
      <c r="G645" s="3" t="str">
        <f ca="1">VLOOKUP($C645&amp;"_"&amp;$F645,OFFSET([1]stages!$A$1,0,0,COUNTA([1]stages!$A:$A),MATCH(G$1,[1]stages!$2:$2,0)-MATCH("temp_stage",[1]stages!$2:$2,0)+1),MATCH(G$1,[1]stages!$2:$2,0)-MATCH("temp_stage",[1]stages!$2:$2,0)+1,FALSE)</f>
        <v>【上級】女王陛下の処刑龍</v>
      </c>
      <c r="H645" s="3" t="str">
        <f ca="1">VLOOKUP($C645&amp;"_"&amp;$F645,OFFSET([1]stages!$A$1,0,0,COUNTA([1]stages!$A:$A),MATCH(H$1,[1]stages!$2:$2,0)-MATCH("temp_stage",[1]stages!$2:$2,0)+1),MATCH(H$1,[1]stages!$2:$2,0)-MATCH("temp_stage",[1]stages!$2:$2,0)+1,FALSE)</f>
        <v>ドロップイベント2-1</v>
      </c>
      <c r="I645" s="18">
        <v>0</v>
      </c>
      <c r="J645" s="5">
        <f>COUNTIF(C$1:C645,C645)</f>
        <v>17</v>
      </c>
      <c r="K645" s="34">
        <v>21</v>
      </c>
      <c r="L645" s="5" t="s">
        <v>17</v>
      </c>
      <c r="M645" s="38" t="str">
        <f>VLOOKUP(K645,[2]stage_hints!$A:$C,3,FALSE)</f>
        <v>スキルを有効に</v>
      </c>
      <c r="N645" s="39" t="str">
        <f>VLOOKUP(K645,[2]stage_hints!$A:$D,4,FALSE)</f>
        <v>ターン経過でユニットのスキルが使えます
強力スキルでバトルを有利に進めましょう</v>
      </c>
      <c r="O645" s="20" t="s">
        <v>24</v>
      </c>
      <c r="P645">
        <v>21</v>
      </c>
    </row>
    <row r="646" spans="1:16" x14ac:dyDescent="0.15">
      <c r="A646" s="27" t="str">
        <f t="shared" si="73"/>
        <v>20007_3_18</v>
      </c>
      <c r="B646" s="25" t="s">
        <v>34</v>
      </c>
      <c r="C646" s="4">
        <v>20007</v>
      </c>
      <c r="D646" s="3" t="str">
        <f ca="1">VLOOKUP($C646,OFFSET([1]quests!$A$1,0,0,COUNTA([1]quests!$A:$A),MATCH(D$1,[1]quests!$1:$1,0)-MATCH($C$1,[1]quests!$1:$1,0)+1),MATCH(D$1,[1]quests!$1:$1,0)-MATCH($C$1,[1]quests!$1:$1,0)+1,FALSE)</f>
        <v>女王陛下の処刑龍</v>
      </c>
      <c r="E646" s="3" t="str">
        <f ca="1">VLOOKUP($C646,OFFSET([1]quests!$A$1,0,0,COUNTA([1]quests!$A:$A),MATCH(E$1,[1]quests!$1:$1,0)-MATCH($C$1,[1]quests!$1:$1,0)+1),MATCH(E$1,[1]quests!$1:$1,0)-MATCH($C$1,[1]quests!$1:$1,0)+1,FALSE)</f>
        <v>ドロップイベント2-1</v>
      </c>
      <c r="F646" s="5">
        <v>3</v>
      </c>
      <c r="G646" s="3" t="str">
        <f ca="1">VLOOKUP($C646&amp;"_"&amp;$F646,OFFSET([1]stages!$A$1,0,0,COUNTA([1]stages!$A:$A),MATCH(G$1,[1]stages!$2:$2,0)-MATCH("temp_stage",[1]stages!$2:$2,0)+1),MATCH(G$1,[1]stages!$2:$2,0)-MATCH("temp_stage",[1]stages!$2:$2,0)+1,FALSE)</f>
        <v>【上級】女王陛下の処刑龍</v>
      </c>
      <c r="H646" s="3" t="str">
        <f ca="1">VLOOKUP($C646&amp;"_"&amp;$F646,OFFSET([1]stages!$A$1,0,0,COUNTA([1]stages!$A:$A),MATCH(H$1,[1]stages!$2:$2,0)-MATCH("temp_stage",[1]stages!$2:$2,0)+1),MATCH(H$1,[1]stages!$2:$2,0)-MATCH("temp_stage",[1]stages!$2:$2,0)+1,FALSE)</f>
        <v>ドロップイベント2-1</v>
      </c>
      <c r="I646" s="18">
        <v>0</v>
      </c>
      <c r="J646" s="5">
        <f>COUNTIF(C$1:C646,C646)</f>
        <v>18</v>
      </c>
      <c r="K646" s="34">
        <v>22</v>
      </c>
      <c r="L646" s="5" t="s">
        <v>17</v>
      </c>
      <c r="M646" s="38" t="str">
        <f>VLOOKUP(K646,[2]stage_hints!$A:$C,3,FALSE)</f>
        <v>フィーバーで一発逆転（その1）</v>
      </c>
      <c r="N646" s="39" t="str">
        <f>VLOOKUP(K646,[2]stage_hints!$A:$D,4,FALSE)</f>
        <v>フィーバーは攻撃と回復を兼ね備えます
ピンチからの一発逆転を狙いましょう</v>
      </c>
      <c r="O646" s="20" t="s">
        <v>24</v>
      </c>
      <c r="P646">
        <v>22</v>
      </c>
    </row>
    <row r="647" spans="1:16" x14ac:dyDescent="0.15">
      <c r="A647" s="27" t="str">
        <f t="shared" si="73"/>
        <v>20007_3_19</v>
      </c>
      <c r="B647" s="25" t="s">
        <v>34</v>
      </c>
      <c r="C647" s="4">
        <v>20007</v>
      </c>
      <c r="D647" s="3" t="str">
        <f ca="1">VLOOKUP($C647,OFFSET([1]quests!$A$1,0,0,COUNTA([1]quests!$A:$A),MATCH(D$1,[1]quests!$1:$1,0)-MATCH($C$1,[1]quests!$1:$1,0)+1),MATCH(D$1,[1]quests!$1:$1,0)-MATCH($C$1,[1]quests!$1:$1,0)+1,FALSE)</f>
        <v>女王陛下の処刑龍</v>
      </c>
      <c r="E647" s="3" t="str">
        <f ca="1">VLOOKUP($C647,OFFSET([1]quests!$A$1,0,0,COUNTA([1]quests!$A:$A),MATCH(E$1,[1]quests!$1:$1,0)-MATCH($C$1,[1]quests!$1:$1,0)+1),MATCH(E$1,[1]quests!$1:$1,0)-MATCH($C$1,[1]quests!$1:$1,0)+1,FALSE)</f>
        <v>ドロップイベント2-1</v>
      </c>
      <c r="F647" s="5">
        <v>3</v>
      </c>
      <c r="G647" s="3" t="str">
        <f ca="1">VLOOKUP($C647&amp;"_"&amp;$F647,OFFSET([1]stages!$A$1,0,0,COUNTA([1]stages!$A:$A),MATCH(G$1,[1]stages!$2:$2,0)-MATCH("temp_stage",[1]stages!$2:$2,0)+1),MATCH(G$1,[1]stages!$2:$2,0)-MATCH("temp_stage",[1]stages!$2:$2,0)+1,FALSE)</f>
        <v>【上級】女王陛下の処刑龍</v>
      </c>
      <c r="H647" s="3" t="str">
        <f ca="1">VLOOKUP($C647&amp;"_"&amp;$F647,OFFSET([1]stages!$A$1,0,0,COUNTA([1]stages!$A:$A),MATCH(H$1,[1]stages!$2:$2,0)-MATCH("temp_stage",[1]stages!$2:$2,0)+1),MATCH(H$1,[1]stages!$2:$2,0)-MATCH("temp_stage",[1]stages!$2:$2,0)+1,FALSE)</f>
        <v>ドロップイベント2-1</v>
      </c>
      <c r="I647" s="18">
        <v>0</v>
      </c>
      <c r="J647" s="5">
        <f>COUNTIF(C$1:C647,C647)</f>
        <v>19</v>
      </c>
      <c r="K647" s="34">
        <v>23</v>
      </c>
      <c r="L647" s="5" t="s">
        <v>17</v>
      </c>
      <c r="M647" s="38" t="str">
        <f>VLOOKUP(K647,[2]stage_hints!$A:$C,3,FALSE)</f>
        <v>フィーバーで一発逆転（その2）</v>
      </c>
      <c r="N647" s="39" t="str">
        <f>VLOOKUP(K647,[2]stage_hints!$A:$D,4,FALSE)</f>
        <v>フィーバー中は虹色のボムパネルを狙って
画面上のパネルを一気に破壊しましょう</v>
      </c>
      <c r="O647" s="20" t="s">
        <v>24</v>
      </c>
      <c r="P647">
        <v>23</v>
      </c>
    </row>
    <row r="648" spans="1:16" x14ac:dyDescent="0.15">
      <c r="A648" s="27" t="str">
        <f t="shared" si="73"/>
        <v>20007_3_20</v>
      </c>
      <c r="B648" s="25" t="s">
        <v>34</v>
      </c>
      <c r="C648" s="4">
        <v>20007</v>
      </c>
      <c r="D648" s="3" t="str">
        <f ca="1">VLOOKUP($C648,OFFSET([1]quests!$A$1,0,0,COUNTA([1]quests!$A:$A),MATCH(D$1,[1]quests!$1:$1,0)-MATCH($C$1,[1]quests!$1:$1,0)+1),MATCH(D$1,[1]quests!$1:$1,0)-MATCH($C$1,[1]quests!$1:$1,0)+1,FALSE)</f>
        <v>女王陛下の処刑龍</v>
      </c>
      <c r="E648" s="3" t="str">
        <f ca="1">VLOOKUP($C648,OFFSET([1]quests!$A$1,0,0,COUNTA([1]quests!$A:$A),MATCH(E$1,[1]quests!$1:$1,0)-MATCH($C$1,[1]quests!$1:$1,0)+1),MATCH(E$1,[1]quests!$1:$1,0)-MATCH($C$1,[1]quests!$1:$1,0)+1,FALSE)</f>
        <v>ドロップイベント2-1</v>
      </c>
      <c r="F648" s="5">
        <v>3</v>
      </c>
      <c r="G648" s="3" t="str">
        <f ca="1">VLOOKUP($C648&amp;"_"&amp;$F648,OFFSET([1]stages!$A$1,0,0,COUNTA([1]stages!$A:$A),MATCH(G$1,[1]stages!$2:$2,0)-MATCH("temp_stage",[1]stages!$2:$2,0)+1),MATCH(G$1,[1]stages!$2:$2,0)-MATCH("temp_stage",[1]stages!$2:$2,0)+1,FALSE)</f>
        <v>【上級】女王陛下の処刑龍</v>
      </c>
      <c r="H648" s="3" t="str">
        <f ca="1">VLOOKUP($C648&amp;"_"&amp;$F648,OFFSET([1]stages!$A$1,0,0,COUNTA([1]stages!$A:$A),MATCH(H$1,[1]stages!$2:$2,0)-MATCH("temp_stage",[1]stages!$2:$2,0)+1),MATCH(H$1,[1]stages!$2:$2,0)-MATCH("temp_stage",[1]stages!$2:$2,0)+1,FALSE)</f>
        <v>ドロップイベント2-1</v>
      </c>
      <c r="I648" s="18">
        <v>0</v>
      </c>
      <c r="J648" s="5">
        <f>COUNTIF(C$1:C648,C648)</f>
        <v>20</v>
      </c>
      <c r="K648" s="34">
        <v>24</v>
      </c>
      <c r="L648" s="5" t="s">
        <v>17</v>
      </c>
      <c r="M648" s="38" t="str">
        <f>VLOOKUP(K648,[2]stage_hints!$A:$C,3,FALSE)</f>
        <v>りんごを使って限界突破</v>
      </c>
      <c r="N648" s="39" t="str">
        <f>VLOOKUP(K648,[2]stage_hints!$A:$D,4,FALSE)</f>
        <v>赤りんご(攻撃力) 青りんご(回復力)
緑りんご(体力)をユニット強化に使うと
ステータスが限界突破します（計99個迄）</v>
      </c>
      <c r="O648" s="20" t="s">
        <v>24</v>
      </c>
      <c r="P648">
        <v>24</v>
      </c>
    </row>
    <row r="649" spans="1:16" x14ac:dyDescent="0.15">
      <c r="A649" s="27" t="str">
        <f t="shared" si="73"/>
        <v>20007_3_21</v>
      </c>
      <c r="B649" s="25" t="s">
        <v>34</v>
      </c>
      <c r="C649" s="4">
        <v>20007</v>
      </c>
      <c r="D649" s="3" t="str">
        <f ca="1">VLOOKUP($C649,OFFSET([1]quests!$A$1,0,0,COUNTA([1]quests!$A:$A),MATCH(D$1,[1]quests!$1:$1,0)-MATCH($C$1,[1]quests!$1:$1,0)+1),MATCH(D$1,[1]quests!$1:$1,0)-MATCH($C$1,[1]quests!$1:$1,0)+1,FALSE)</f>
        <v>女王陛下の処刑龍</v>
      </c>
      <c r="E649" s="3" t="str">
        <f ca="1">VLOOKUP($C649,OFFSET([1]quests!$A$1,0,0,COUNTA([1]quests!$A:$A),MATCH(E$1,[1]quests!$1:$1,0)-MATCH($C$1,[1]quests!$1:$1,0)+1),MATCH(E$1,[1]quests!$1:$1,0)-MATCH($C$1,[1]quests!$1:$1,0)+1,FALSE)</f>
        <v>ドロップイベント2-1</v>
      </c>
      <c r="F649" s="5">
        <v>3</v>
      </c>
      <c r="G649" s="3" t="str">
        <f ca="1">VLOOKUP($C649&amp;"_"&amp;$F649,OFFSET([1]stages!$A$1,0,0,COUNTA([1]stages!$A:$A),MATCH(G$1,[1]stages!$2:$2,0)-MATCH("temp_stage",[1]stages!$2:$2,0)+1),MATCH(G$1,[1]stages!$2:$2,0)-MATCH("temp_stage",[1]stages!$2:$2,0)+1,FALSE)</f>
        <v>【上級】女王陛下の処刑龍</v>
      </c>
      <c r="H649" s="3" t="str">
        <f ca="1">VLOOKUP($C649&amp;"_"&amp;$F649,OFFSET([1]stages!$A$1,0,0,COUNTA([1]stages!$A:$A),MATCH(H$1,[1]stages!$2:$2,0)-MATCH("temp_stage",[1]stages!$2:$2,0)+1),MATCH(H$1,[1]stages!$2:$2,0)-MATCH("temp_stage",[1]stages!$2:$2,0)+1,FALSE)</f>
        <v>ドロップイベント2-1</v>
      </c>
      <c r="I649" s="18">
        <v>0</v>
      </c>
      <c r="J649" s="5">
        <f>COUNTIF(C$1:C649,C649)</f>
        <v>21</v>
      </c>
      <c r="K649" s="34">
        <v>25</v>
      </c>
      <c r="L649" s="5" t="s">
        <v>17</v>
      </c>
      <c r="M649" s="38" t="str">
        <f>VLOOKUP(K649,[2]stage_hints!$A:$C,3,FALSE)</f>
        <v>スキルレベルアップ</v>
      </c>
      <c r="N649" s="39" t="str">
        <f>VLOOKUP(K649,[2]stage_hints!$A:$D,4,FALSE)</f>
        <v>「クリスタルのりんご」を強化に使うと
スキルレベルを上げることができます</v>
      </c>
      <c r="O649" s="20" t="s">
        <v>24</v>
      </c>
      <c r="P649">
        <v>25</v>
      </c>
    </row>
    <row r="650" spans="1:16" x14ac:dyDescent="0.15">
      <c r="A650" s="27" t="str">
        <f t="shared" si="73"/>
        <v>20007_3_22</v>
      </c>
      <c r="B650" s="25" t="s">
        <v>34</v>
      </c>
      <c r="C650" s="4">
        <v>20007</v>
      </c>
      <c r="D650" s="3" t="str">
        <f ca="1">VLOOKUP($C650,OFFSET([1]quests!$A$1,0,0,COUNTA([1]quests!$A:$A),MATCH(D$1,[1]quests!$1:$1,0)-MATCH($C$1,[1]quests!$1:$1,0)+1),MATCH(D$1,[1]quests!$1:$1,0)-MATCH($C$1,[1]quests!$1:$1,0)+1,FALSE)</f>
        <v>女王陛下の処刑龍</v>
      </c>
      <c r="E650" s="3" t="str">
        <f ca="1">VLOOKUP($C650,OFFSET([1]quests!$A$1,0,0,COUNTA([1]quests!$A:$A),MATCH(E$1,[1]quests!$1:$1,0)-MATCH($C$1,[1]quests!$1:$1,0)+1),MATCH(E$1,[1]quests!$1:$1,0)-MATCH($C$1,[1]quests!$1:$1,0)+1,FALSE)</f>
        <v>ドロップイベント2-1</v>
      </c>
      <c r="F650" s="5">
        <v>3</v>
      </c>
      <c r="G650" s="3" t="str">
        <f ca="1">VLOOKUP($C650&amp;"_"&amp;$F650,OFFSET([1]stages!$A$1,0,0,COUNTA([1]stages!$A:$A),MATCH(G$1,[1]stages!$2:$2,0)-MATCH("temp_stage",[1]stages!$2:$2,0)+1),MATCH(G$1,[1]stages!$2:$2,0)-MATCH("temp_stage",[1]stages!$2:$2,0)+1,FALSE)</f>
        <v>【上級】女王陛下の処刑龍</v>
      </c>
      <c r="H650" s="3" t="str">
        <f ca="1">VLOOKUP($C650&amp;"_"&amp;$F650,OFFSET([1]stages!$A$1,0,0,COUNTA([1]stages!$A:$A),MATCH(H$1,[1]stages!$2:$2,0)-MATCH("temp_stage",[1]stages!$2:$2,0)+1),MATCH(H$1,[1]stages!$2:$2,0)-MATCH("temp_stage",[1]stages!$2:$2,0)+1,FALSE)</f>
        <v>ドロップイベント2-1</v>
      </c>
      <c r="I650" s="18">
        <v>0</v>
      </c>
      <c r="J650" s="5">
        <f>COUNTIF(C$1:C650,C650)</f>
        <v>22</v>
      </c>
      <c r="K650" s="34">
        <v>26</v>
      </c>
      <c r="L650" s="5" t="s">
        <v>17</v>
      </c>
      <c r="M650" s="38" t="str">
        <f>VLOOKUP(K650,[2]stage_hints!$A:$C,3,FALSE)</f>
        <v>スキルレベルの効果</v>
      </c>
      <c r="N650" s="39" t="str">
        <f>VLOOKUP(K650,[2]stage_hints!$A:$D,4,FALSE)</f>
        <v>スキルレベルが上がると
短いターンでスキルを使うことができます</v>
      </c>
      <c r="O650" s="20" t="s">
        <v>24</v>
      </c>
      <c r="P650">
        <v>26</v>
      </c>
    </row>
    <row r="651" spans="1:16" x14ac:dyDescent="0.15">
      <c r="A651" s="27" t="str">
        <f t="shared" si="73"/>
        <v>20007_3_23</v>
      </c>
      <c r="B651" s="25" t="s">
        <v>34</v>
      </c>
      <c r="C651" s="4">
        <v>20007</v>
      </c>
      <c r="D651" s="3" t="str">
        <f ca="1">VLOOKUP($C651,OFFSET([1]quests!$A$1,0,0,COUNTA([1]quests!$A:$A),MATCH(D$1,[1]quests!$1:$1,0)-MATCH($C$1,[1]quests!$1:$1,0)+1),MATCH(D$1,[1]quests!$1:$1,0)-MATCH($C$1,[1]quests!$1:$1,0)+1,FALSE)</f>
        <v>女王陛下の処刑龍</v>
      </c>
      <c r="E651" s="3" t="str">
        <f ca="1">VLOOKUP($C651,OFFSET([1]quests!$A$1,0,0,COUNTA([1]quests!$A:$A),MATCH(E$1,[1]quests!$1:$1,0)-MATCH($C$1,[1]quests!$1:$1,0)+1),MATCH(E$1,[1]quests!$1:$1,0)-MATCH($C$1,[1]quests!$1:$1,0)+1,FALSE)</f>
        <v>ドロップイベント2-1</v>
      </c>
      <c r="F651" s="5">
        <v>3</v>
      </c>
      <c r="G651" s="3" t="str">
        <f ca="1">VLOOKUP($C651&amp;"_"&amp;$F651,OFFSET([1]stages!$A$1,0,0,COUNTA([1]stages!$A:$A),MATCH(G$1,[1]stages!$2:$2,0)-MATCH("temp_stage",[1]stages!$2:$2,0)+1),MATCH(G$1,[1]stages!$2:$2,0)-MATCH("temp_stage",[1]stages!$2:$2,0)+1,FALSE)</f>
        <v>【上級】女王陛下の処刑龍</v>
      </c>
      <c r="H651" s="3" t="str">
        <f ca="1">VLOOKUP($C651&amp;"_"&amp;$F651,OFFSET([1]stages!$A$1,0,0,COUNTA([1]stages!$A:$A),MATCH(H$1,[1]stages!$2:$2,0)-MATCH("temp_stage",[1]stages!$2:$2,0)+1),MATCH(H$1,[1]stages!$2:$2,0)-MATCH("temp_stage",[1]stages!$2:$2,0)+1,FALSE)</f>
        <v>ドロップイベント2-1</v>
      </c>
      <c r="I651" s="18">
        <v>0</v>
      </c>
      <c r="J651" s="5">
        <f>COUNTIF(C$1:C651,C651)</f>
        <v>23</v>
      </c>
      <c r="K651" s="34">
        <v>27</v>
      </c>
      <c r="L651" s="5" t="s">
        <v>17</v>
      </c>
      <c r="M651" s="38" t="str">
        <f>VLOOKUP(K651,[2]stage_hints!$A:$C,3,FALSE)</f>
        <v>ホーム画面からデッキを編成</v>
      </c>
      <c r="N651" s="39" t="str">
        <f>VLOOKUP(K651,[2]stage_hints!$A:$D,4,FALSE)</f>
        <v>ホーム画面でユニットを長押しすると
すぐにパーティ編成に移動できます</v>
      </c>
      <c r="O651" s="20" t="s">
        <v>24</v>
      </c>
      <c r="P651">
        <v>27</v>
      </c>
    </row>
    <row r="652" spans="1:16" x14ac:dyDescent="0.15">
      <c r="A652" s="27" t="str">
        <f t="shared" si="73"/>
        <v>20007_3_24</v>
      </c>
      <c r="B652" s="25" t="s">
        <v>34</v>
      </c>
      <c r="C652" s="4">
        <v>20007</v>
      </c>
      <c r="D652" s="3" t="str">
        <f ca="1">VLOOKUP($C652,OFFSET([1]quests!$A$1,0,0,COUNTA([1]quests!$A:$A),MATCH(D$1,[1]quests!$1:$1,0)-MATCH($C$1,[1]quests!$1:$1,0)+1),MATCH(D$1,[1]quests!$1:$1,0)-MATCH($C$1,[1]quests!$1:$1,0)+1,FALSE)</f>
        <v>女王陛下の処刑龍</v>
      </c>
      <c r="E652" s="3" t="str">
        <f ca="1">VLOOKUP($C652,OFFSET([1]quests!$A$1,0,0,COUNTA([1]quests!$A:$A),MATCH(E$1,[1]quests!$1:$1,0)-MATCH($C$1,[1]quests!$1:$1,0)+1),MATCH(E$1,[1]quests!$1:$1,0)-MATCH($C$1,[1]quests!$1:$1,0)+1,FALSE)</f>
        <v>ドロップイベント2-1</v>
      </c>
      <c r="F652" s="5">
        <v>3</v>
      </c>
      <c r="G652" s="3" t="str">
        <f ca="1">VLOOKUP($C652&amp;"_"&amp;$F652,OFFSET([1]stages!$A$1,0,0,COUNTA([1]stages!$A:$A),MATCH(G$1,[1]stages!$2:$2,0)-MATCH("temp_stage",[1]stages!$2:$2,0)+1),MATCH(G$1,[1]stages!$2:$2,0)-MATCH("temp_stage",[1]stages!$2:$2,0)+1,FALSE)</f>
        <v>【上級】女王陛下の処刑龍</v>
      </c>
      <c r="H652" s="3" t="str">
        <f ca="1">VLOOKUP($C652&amp;"_"&amp;$F652,OFFSET([1]stages!$A$1,0,0,COUNTA([1]stages!$A:$A),MATCH(H$1,[1]stages!$2:$2,0)-MATCH("temp_stage",[1]stages!$2:$2,0)+1),MATCH(H$1,[1]stages!$2:$2,0)-MATCH("temp_stage",[1]stages!$2:$2,0)+1,FALSE)</f>
        <v>ドロップイベント2-1</v>
      </c>
      <c r="I652" s="18">
        <v>0</v>
      </c>
      <c r="J652" s="5">
        <f>COUNTIF(C$1:C652,C652)</f>
        <v>24</v>
      </c>
      <c r="K652" s="34">
        <v>28</v>
      </c>
      <c r="L652" s="5" t="s">
        <v>17</v>
      </c>
      <c r="M652" s="38" t="str">
        <f>VLOOKUP(K652,[2]stage_hints!$A:$C,3,FALSE)</f>
        <v>ステータス情報は長押しで</v>
      </c>
      <c r="N652" s="39" t="str">
        <f>VLOOKUP(K652,[2]stage_hints!$A:$D,4,FALSE)</f>
        <v>ユニットのアイコンを長押しすると
ステータス情報を確認することができます</v>
      </c>
      <c r="O652" s="20" t="s">
        <v>24</v>
      </c>
      <c r="P652">
        <v>28</v>
      </c>
    </row>
    <row r="653" spans="1:16" x14ac:dyDescent="0.15">
      <c r="A653" s="27" t="str">
        <f t="shared" si="73"/>
        <v>20007_3_25</v>
      </c>
      <c r="B653" s="25" t="s">
        <v>34</v>
      </c>
      <c r="C653" s="4">
        <v>20007</v>
      </c>
      <c r="D653" s="3" t="str">
        <f ca="1">VLOOKUP($C653,OFFSET([1]quests!$A$1,0,0,COUNTA([1]quests!$A:$A),MATCH(D$1,[1]quests!$1:$1,0)-MATCH($C$1,[1]quests!$1:$1,0)+1),MATCH(D$1,[1]quests!$1:$1,0)-MATCH($C$1,[1]quests!$1:$1,0)+1,FALSE)</f>
        <v>女王陛下の処刑龍</v>
      </c>
      <c r="E653" s="3" t="str">
        <f ca="1">VLOOKUP($C653,OFFSET([1]quests!$A$1,0,0,COUNTA([1]quests!$A:$A),MATCH(E$1,[1]quests!$1:$1,0)-MATCH($C$1,[1]quests!$1:$1,0)+1),MATCH(E$1,[1]quests!$1:$1,0)-MATCH($C$1,[1]quests!$1:$1,0)+1,FALSE)</f>
        <v>ドロップイベント2-1</v>
      </c>
      <c r="F653" s="5">
        <v>3</v>
      </c>
      <c r="G653" s="3" t="str">
        <f ca="1">VLOOKUP($C653&amp;"_"&amp;$F653,OFFSET([1]stages!$A$1,0,0,COUNTA([1]stages!$A:$A),MATCH(G$1,[1]stages!$2:$2,0)-MATCH("temp_stage",[1]stages!$2:$2,0)+1),MATCH(G$1,[1]stages!$2:$2,0)-MATCH("temp_stage",[1]stages!$2:$2,0)+1,FALSE)</f>
        <v>【上級】女王陛下の処刑龍</v>
      </c>
      <c r="H653" s="3" t="str">
        <f ca="1">VLOOKUP($C653&amp;"_"&amp;$F653,OFFSET([1]stages!$A$1,0,0,COUNTA([1]stages!$A:$A),MATCH(H$1,[1]stages!$2:$2,0)-MATCH("temp_stage",[1]stages!$2:$2,0)+1),MATCH(H$1,[1]stages!$2:$2,0)-MATCH("temp_stage",[1]stages!$2:$2,0)+1,FALSE)</f>
        <v>ドロップイベント2-1</v>
      </c>
      <c r="I653" s="18">
        <v>0</v>
      </c>
      <c r="J653" s="5">
        <f>COUNTIF(C$1:C653,C653)</f>
        <v>25</v>
      </c>
      <c r="K653" s="34">
        <v>29</v>
      </c>
      <c r="L653" s="5" t="s">
        <v>17</v>
      </c>
      <c r="M653" s="38" t="str">
        <f>VLOOKUP(K653,[2]stage_hints!$A:$C,3,FALSE)</f>
        <v>「バグ」のメリット</v>
      </c>
      <c r="N653" s="39" t="str">
        <f>VLOOKUP(K653,[2]stage_hints!$A:$D,4,FALSE)</f>
        <v>ユニットの「バグ」を増やすと
報酬をもらえる確率がアップします</v>
      </c>
      <c r="O653" s="20" t="s">
        <v>24</v>
      </c>
      <c r="P653">
        <v>29</v>
      </c>
    </row>
    <row r="654" spans="1:16" x14ac:dyDescent="0.15">
      <c r="A654" s="27" t="str">
        <f t="shared" si="73"/>
        <v>20007_3_26</v>
      </c>
      <c r="B654" s="25" t="s">
        <v>34</v>
      </c>
      <c r="C654" s="4">
        <v>20007</v>
      </c>
      <c r="D654" s="3" t="str">
        <f ca="1">VLOOKUP($C654,OFFSET([1]quests!$A$1,0,0,COUNTA([1]quests!$A:$A),MATCH(D$1,[1]quests!$1:$1,0)-MATCH($C$1,[1]quests!$1:$1,0)+1),MATCH(D$1,[1]quests!$1:$1,0)-MATCH($C$1,[1]quests!$1:$1,0)+1,FALSE)</f>
        <v>女王陛下の処刑龍</v>
      </c>
      <c r="E654" s="3" t="str">
        <f ca="1">VLOOKUP($C654,OFFSET([1]quests!$A$1,0,0,COUNTA([1]quests!$A:$A),MATCH(E$1,[1]quests!$1:$1,0)-MATCH($C$1,[1]quests!$1:$1,0)+1),MATCH(E$1,[1]quests!$1:$1,0)-MATCH($C$1,[1]quests!$1:$1,0)+1,FALSE)</f>
        <v>ドロップイベント2-1</v>
      </c>
      <c r="F654" s="5">
        <v>3</v>
      </c>
      <c r="G654" s="3" t="str">
        <f ca="1">VLOOKUP($C654&amp;"_"&amp;$F654,OFFSET([1]stages!$A$1,0,0,COUNTA([1]stages!$A:$A),MATCH(G$1,[1]stages!$2:$2,0)-MATCH("temp_stage",[1]stages!$2:$2,0)+1),MATCH(G$1,[1]stages!$2:$2,0)-MATCH("temp_stage",[1]stages!$2:$2,0)+1,FALSE)</f>
        <v>【上級】女王陛下の処刑龍</v>
      </c>
      <c r="H654" s="3" t="str">
        <f ca="1">VLOOKUP($C654&amp;"_"&amp;$F654,OFFSET([1]stages!$A$1,0,0,COUNTA([1]stages!$A:$A),MATCH(H$1,[1]stages!$2:$2,0)-MATCH("temp_stage",[1]stages!$2:$2,0)+1),MATCH(H$1,[1]stages!$2:$2,0)-MATCH("temp_stage",[1]stages!$2:$2,0)+1,FALSE)</f>
        <v>ドロップイベント2-1</v>
      </c>
      <c r="I654" s="18">
        <v>0</v>
      </c>
      <c r="J654" s="5">
        <f>COUNTIF(C$1:C654,C654)</f>
        <v>26</v>
      </c>
      <c r="K654" s="34">
        <v>30</v>
      </c>
      <c r="L654" s="5" t="s">
        <v>17</v>
      </c>
      <c r="M654" s="38" t="str">
        <f>VLOOKUP(K654,[2]stage_hints!$A:$C,3,FALSE)</f>
        <v>「バグ」の増やし方</v>
      </c>
      <c r="N654" s="39" t="str">
        <f>VLOOKUP(K654,[2]stage_hints!$A:$D,4,FALSE)</f>
        <v>同じユニット同士を強化で合成すると
「バグ」を増やすことができます</v>
      </c>
      <c r="O654" s="20" t="s">
        <v>24</v>
      </c>
      <c r="P654">
        <v>30</v>
      </c>
    </row>
    <row r="655" spans="1:16" x14ac:dyDescent="0.15">
      <c r="A655" s="27" t="str">
        <f t="shared" si="73"/>
        <v>20007_3_27</v>
      </c>
      <c r="B655" s="25" t="s">
        <v>34</v>
      </c>
      <c r="C655" s="4">
        <v>20007</v>
      </c>
      <c r="D655" s="3" t="str">
        <f ca="1">VLOOKUP($C655,OFFSET([1]quests!$A$1,0,0,COUNTA([1]quests!$A:$A),MATCH(D$1,[1]quests!$1:$1,0)-MATCH($C$1,[1]quests!$1:$1,0)+1),MATCH(D$1,[1]quests!$1:$1,0)-MATCH($C$1,[1]quests!$1:$1,0)+1,FALSE)</f>
        <v>女王陛下の処刑龍</v>
      </c>
      <c r="E655" s="3" t="str">
        <f ca="1">VLOOKUP($C655,OFFSET([1]quests!$A$1,0,0,COUNTA([1]quests!$A:$A),MATCH(E$1,[1]quests!$1:$1,0)-MATCH($C$1,[1]quests!$1:$1,0)+1),MATCH(E$1,[1]quests!$1:$1,0)-MATCH($C$1,[1]quests!$1:$1,0)+1,FALSE)</f>
        <v>ドロップイベント2-1</v>
      </c>
      <c r="F655" s="5">
        <v>3</v>
      </c>
      <c r="G655" s="3" t="str">
        <f ca="1">VLOOKUP($C655&amp;"_"&amp;$F655,OFFSET([1]stages!$A$1,0,0,COUNTA([1]stages!$A:$A),MATCH(G$1,[1]stages!$2:$2,0)-MATCH("temp_stage",[1]stages!$2:$2,0)+1),MATCH(G$1,[1]stages!$2:$2,0)-MATCH("temp_stage",[1]stages!$2:$2,0)+1,FALSE)</f>
        <v>【上級】女王陛下の処刑龍</v>
      </c>
      <c r="H655" s="3" t="str">
        <f ca="1">VLOOKUP($C655&amp;"_"&amp;$F655,OFFSET([1]stages!$A$1,0,0,COUNTA([1]stages!$A:$A),MATCH(H$1,[1]stages!$2:$2,0)-MATCH("temp_stage",[1]stages!$2:$2,0)+1),MATCH(H$1,[1]stages!$2:$2,0)-MATCH("temp_stage",[1]stages!$2:$2,0)+1,FALSE)</f>
        <v>ドロップイベント2-1</v>
      </c>
      <c r="I655" s="18">
        <v>0</v>
      </c>
      <c r="J655" s="5">
        <f>COUNTIF(C$1:C655,C655)</f>
        <v>27</v>
      </c>
      <c r="K655" s="34">
        <v>31</v>
      </c>
      <c r="L655" s="5" t="s">
        <v>17</v>
      </c>
      <c r="M655" s="38" t="str">
        <f>VLOOKUP(K655,[2]stage_hints!$A:$C,3,FALSE)</f>
        <v>イベントはお知らせでチェック</v>
      </c>
      <c r="N655" s="39" t="str">
        <f>VLOOKUP(K655,[2]stage_hints!$A:$D,4,FALSE)</f>
        <v>イベント限定ユニットを取り忘れないように
お知らせをこまめにチェックしましょう</v>
      </c>
      <c r="O655" s="20" t="s">
        <v>24</v>
      </c>
      <c r="P655">
        <v>31</v>
      </c>
    </row>
    <row r="656" spans="1:16" x14ac:dyDescent="0.15">
      <c r="A656" s="27" t="str">
        <f t="shared" si="73"/>
        <v>20007_3_28</v>
      </c>
      <c r="B656" s="25" t="s">
        <v>34</v>
      </c>
      <c r="C656" s="4">
        <v>20007</v>
      </c>
      <c r="D656" s="3" t="str">
        <f ca="1">VLOOKUP($C656,OFFSET([1]quests!$A$1,0,0,COUNTA([1]quests!$A:$A),MATCH(D$1,[1]quests!$1:$1,0)-MATCH($C$1,[1]quests!$1:$1,0)+1),MATCH(D$1,[1]quests!$1:$1,0)-MATCH($C$1,[1]quests!$1:$1,0)+1,FALSE)</f>
        <v>女王陛下の処刑龍</v>
      </c>
      <c r="E656" s="3" t="str">
        <f ca="1">VLOOKUP($C656,OFFSET([1]quests!$A$1,0,0,COUNTA([1]quests!$A:$A),MATCH(E$1,[1]quests!$1:$1,0)-MATCH($C$1,[1]quests!$1:$1,0)+1),MATCH(E$1,[1]quests!$1:$1,0)-MATCH($C$1,[1]quests!$1:$1,0)+1,FALSE)</f>
        <v>ドロップイベント2-1</v>
      </c>
      <c r="F656" s="5">
        <v>3</v>
      </c>
      <c r="G656" s="3" t="str">
        <f ca="1">VLOOKUP($C656&amp;"_"&amp;$F656,OFFSET([1]stages!$A$1,0,0,COUNTA([1]stages!$A:$A),MATCH(G$1,[1]stages!$2:$2,0)-MATCH("temp_stage",[1]stages!$2:$2,0)+1),MATCH(G$1,[1]stages!$2:$2,0)-MATCH("temp_stage",[1]stages!$2:$2,0)+1,FALSE)</f>
        <v>【上級】女王陛下の処刑龍</v>
      </c>
      <c r="H656" s="3" t="str">
        <f ca="1">VLOOKUP($C656&amp;"_"&amp;$F656,OFFSET([1]stages!$A$1,0,0,COUNTA([1]stages!$A:$A),MATCH(H$1,[1]stages!$2:$2,0)-MATCH("temp_stage",[1]stages!$2:$2,0)+1),MATCH(H$1,[1]stages!$2:$2,0)-MATCH("temp_stage",[1]stages!$2:$2,0)+1,FALSE)</f>
        <v>ドロップイベント2-1</v>
      </c>
      <c r="I656" s="18">
        <v>0</v>
      </c>
      <c r="J656" s="5">
        <f>COUNTIF(C$1:C656,C656)</f>
        <v>28</v>
      </c>
      <c r="K656" s="34">
        <v>32</v>
      </c>
      <c r="L656" s="5" t="s">
        <v>17</v>
      </c>
      <c r="M656" s="38" t="str">
        <f>VLOOKUP(K656,[2]stage_hints!$A:$C,3,FALSE)</f>
        <v>敵の連続攻撃には</v>
      </c>
      <c r="N656" s="39" t="str">
        <f>VLOOKUP(K656,[2]stage_hints!$A:$D,4,FALSE)</f>
        <v>カウンタースキルを持つユニットがいれば
ダメージ回数分の反撃ができます</v>
      </c>
      <c r="O656" s="20" t="s">
        <v>24</v>
      </c>
      <c r="P656">
        <v>32</v>
      </c>
    </row>
    <row r="657" spans="1:16" x14ac:dyDescent="0.15">
      <c r="A657" s="27" t="str">
        <f t="shared" si="73"/>
        <v>20007_3_29</v>
      </c>
      <c r="B657" s="25" t="s">
        <v>34</v>
      </c>
      <c r="C657" s="4">
        <v>20007</v>
      </c>
      <c r="D657" s="3" t="str">
        <f ca="1">VLOOKUP($C657,OFFSET([1]quests!$A$1,0,0,COUNTA([1]quests!$A:$A),MATCH(D$1,[1]quests!$1:$1,0)-MATCH($C$1,[1]quests!$1:$1,0)+1),MATCH(D$1,[1]quests!$1:$1,0)-MATCH($C$1,[1]quests!$1:$1,0)+1,FALSE)</f>
        <v>女王陛下の処刑龍</v>
      </c>
      <c r="E657" s="3" t="str">
        <f ca="1">VLOOKUP($C657,OFFSET([1]quests!$A$1,0,0,COUNTA([1]quests!$A:$A),MATCH(E$1,[1]quests!$1:$1,0)-MATCH($C$1,[1]quests!$1:$1,0)+1),MATCH(E$1,[1]quests!$1:$1,0)-MATCH($C$1,[1]quests!$1:$1,0)+1,FALSE)</f>
        <v>ドロップイベント2-1</v>
      </c>
      <c r="F657" s="5">
        <v>3</v>
      </c>
      <c r="G657" s="3" t="str">
        <f ca="1">VLOOKUP($C657&amp;"_"&amp;$F657,OFFSET([1]stages!$A$1,0,0,COUNTA([1]stages!$A:$A),MATCH(G$1,[1]stages!$2:$2,0)-MATCH("temp_stage",[1]stages!$2:$2,0)+1),MATCH(G$1,[1]stages!$2:$2,0)-MATCH("temp_stage",[1]stages!$2:$2,0)+1,FALSE)</f>
        <v>【上級】女王陛下の処刑龍</v>
      </c>
      <c r="H657" s="3" t="str">
        <f ca="1">VLOOKUP($C657&amp;"_"&amp;$F657,OFFSET([1]stages!$A$1,0,0,COUNTA([1]stages!$A:$A),MATCH(H$1,[1]stages!$2:$2,0)-MATCH("temp_stage",[1]stages!$2:$2,0)+1),MATCH(H$1,[1]stages!$2:$2,0)-MATCH("temp_stage",[1]stages!$2:$2,0)+1,FALSE)</f>
        <v>ドロップイベント2-1</v>
      </c>
      <c r="I657" s="18">
        <v>0</v>
      </c>
      <c r="J657" s="5">
        <f>COUNTIF(C$1:C657,C657)</f>
        <v>29</v>
      </c>
      <c r="K657" s="34">
        <v>33</v>
      </c>
      <c r="L657" s="5" t="s">
        <v>17</v>
      </c>
      <c r="M657" s="38" t="str">
        <f>VLOOKUP(K657,[2]stage_hints!$A:$C,3,FALSE)</f>
        <v>敵のカウンター攻撃には</v>
      </c>
      <c r="N657" s="39" t="str">
        <f>VLOOKUP(K657,[2]stage_hints!$A:$D,4,FALSE)</f>
        <v>カウンターブレイクスキルを持っていれば
敵のカウンターを解除して攻撃ができます</v>
      </c>
      <c r="O657" s="20" t="s">
        <v>24</v>
      </c>
      <c r="P657">
        <v>33</v>
      </c>
    </row>
    <row r="658" spans="1:16" x14ac:dyDescent="0.15">
      <c r="A658" s="27" t="str">
        <f t="shared" si="73"/>
        <v>20007_3_30</v>
      </c>
      <c r="B658" s="25" t="s">
        <v>34</v>
      </c>
      <c r="C658" s="4">
        <v>20007</v>
      </c>
      <c r="D658" s="3" t="str">
        <f ca="1">VLOOKUP($C658,OFFSET([1]quests!$A$1,0,0,COUNTA([1]quests!$A:$A),MATCH(D$1,[1]quests!$1:$1,0)-MATCH($C$1,[1]quests!$1:$1,0)+1),MATCH(D$1,[1]quests!$1:$1,0)-MATCH($C$1,[1]quests!$1:$1,0)+1,FALSE)</f>
        <v>女王陛下の処刑龍</v>
      </c>
      <c r="E658" s="3" t="str">
        <f ca="1">VLOOKUP($C658,OFFSET([1]quests!$A$1,0,0,COUNTA([1]quests!$A:$A),MATCH(E$1,[1]quests!$1:$1,0)-MATCH($C$1,[1]quests!$1:$1,0)+1),MATCH(E$1,[1]quests!$1:$1,0)-MATCH($C$1,[1]quests!$1:$1,0)+1,FALSE)</f>
        <v>ドロップイベント2-1</v>
      </c>
      <c r="F658" s="5">
        <v>3</v>
      </c>
      <c r="G658" s="3" t="str">
        <f ca="1">VLOOKUP($C658&amp;"_"&amp;$F658,OFFSET([1]stages!$A$1,0,0,COUNTA([1]stages!$A:$A),MATCH(G$1,[1]stages!$2:$2,0)-MATCH("temp_stage",[1]stages!$2:$2,0)+1),MATCH(G$1,[1]stages!$2:$2,0)-MATCH("temp_stage",[1]stages!$2:$2,0)+1,FALSE)</f>
        <v>【上級】女王陛下の処刑龍</v>
      </c>
      <c r="H658" s="3" t="str">
        <f ca="1">VLOOKUP($C658&amp;"_"&amp;$F658,OFFSET([1]stages!$A$1,0,0,COUNTA([1]stages!$A:$A),MATCH(H$1,[1]stages!$2:$2,0)-MATCH("temp_stage",[1]stages!$2:$2,0)+1),MATCH(H$1,[1]stages!$2:$2,0)-MATCH("temp_stage",[1]stages!$2:$2,0)+1,FALSE)</f>
        <v>ドロップイベント2-1</v>
      </c>
      <c r="I658" s="18">
        <v>0</v>
      </c>
      <c r="J658" s="5">
        <f>COUNTIF(C$1:C658,C658)</f>
        <v>30</v>
      </c>
      <c r="K658" s="34">
        <v>34</v>
      </c>
      <c r="L658" s="5" t="s">
        <v>17</v>
      </c>
      <c r="M658" s="38" t="str">
        <f>VLOOKUP(K658,[2]stage_hints!$A:$C,3,FALSE)</f>
        <v>ステータスをスキルで下げられたら</v>
      </c>
      <c r="N658" s="39" t="str">
        <f>VLOOKUP(K658,[2]stage_hints!$A:$D,4,FALSE)</f>
        <v>ステータスダウンのスキルを受けたら
ステータスアップスキルで上書きしましょう</v>
      </c>
      <c r="O658" s="20" t="s">
        <v>24</v>
      </c>
      <c r="P658">
        <v>34</v>
      </c>
    </row>
    <row r="659" spans="1:16" x14ac:dyDescent="0.15">
      <c r="A659" s="27" t="str">
        <f t="shared" si="73"/>
        <v>20007_3_31</v>
      </c>
      <c r="B659" s="25" t="s">
        <v>34</v>
      </c>
      <c r="C659" s="4">
        <v>20007</v>
      </c>
      <c r="D659" s="3" t="str">
        <f ca="1">VLOOKUP($C659,OFFSET([1]quests!$A$1,0,0,COUNTA([1]quests!$A:$A),MATCH(D$1,[1]quests!$1:$1,0)-MATCH($C$1,[1]quests!$1:$1,0)+1),MATCH(D$1,[1]quests!$1:$1,0)-MATCH($C$1,[1]quests!$1:$1,0)+1,FALSE)</f>
        <v>女王陛下の処刑龍</v>
      </c>
      <c r="E659" s="3" t="str">
        <f ca="1">VLOOKUP($C659,OFFSET([1]quests!$A$1,0,0,COUNTA([1]quests!$A:$A),MATCH(E$1,[1]quests!$1:$1,0)-MATCH($C$1,[1]quests!$1:$1,0)+1),MATCH(E$1,[1]quests!$1:$1,0)-MATCH($C$1,[1]quests!$1:$1,0)+1,FALSE)</f>
        <v>ドロップイベント2-1</v>
      </c>
      <c r="F659" s="5">
        <v>3</v>
      </c>
      <c r="G659" s="3" t="str">
        <f ca="1">VLOOKUP($C659&amp;"_"&amp;$F659,OFFSET([1]stages!$A$1,0,0,COUNTA([1]stages!$A:$A),MATCH(G$1,[1]stages!$2:$2,0)-MATCH("temp_stage",[1]stages!$2:$2,0)+1),MATCH(G$1,[1]stages!$2:$2,0)-MATCH("temp_stage",[1]stages!$2:$2,0)+1,FALSE)</f>
        <v>【上級】女王陛下の処刑龍</v>
      </c>
      <c r="H659" s="3" t="str">
        <f ca="1">VLOOKUP($C659&amp;"_"&amp;$F659,OFFSET([1]stages!$A$1,0,0,COUNTA([1]stages!$A:$A),MATCH(H$1,[1]stages!$2:$2,0)-MATCH("temp_stage",[1]stages!$2:$2,0)+1),MATCH(H$1,[1]stages!$2:$2,0)-MATCH("temp_stage",[1]stages!$2:$2,0)+1,FALSE)</f>
        <v>ドロップイベント2-1</v>
      </c>
      <c r="I659" s="18">
        <v>0</v>
      </c>
      <c r="J659" s="5">
        <f>COUNTIF(C$1:C659,C659)</f>
        <v>31</v>
      </c>
      <c r="K659" s="34">
        <v>35</v>
      </c>
      <c r="L659" s="5" t="s">
        <v>17</v>
      </c>
      <c r="M659" s="38" t="str">
        <f>VLOOKUP(K659,[2]stage_hints!$A:$C,3,FALSE)</f>
        <v>敵のステータスがスキルで上がったら</v>
      </c>
      <c r="N659" s="39" t="str">
        <f>VLOOKUP(K659,[2]stage_hints!$A:$D,4,FALSE)</f>
        <v>敵のステータスがスキルでアップしたときは
ステータスダウンスキルで上書きしましょう</v>
      </c>
      <c r="O659" s="20" t="s">
        <v>24</v>
      </c>
      <c r="P659">
        <v>35</v>
      </c>
    </row>
    <row r="660" spans="1:16" x14ac:dyDescent="0.15">
      <c r="A660" s="27" t="str">
        <f t="shared" si="73"/>
        <v>20007_3_32</v>
      </c>
      <c r="B660" s="25" t="s">
        <v>34</v>
      </c>
      <c r="C660" s="4">
        <v>20007</v>
      </c>
      <c r="D660" s="3" t="str">
        <f ca="1">VLOOKUP($C660,OFFSET([1]quests!$A$1,0,0,COUNTA([1]quests!$A:$A),MATCH(D$1,[1]quests!$1:$1,0)-MATCH($C$1,[1]quests!$1:$1,0)+1),MATCH(D$1,[1]quests!$1:$1,0)-MATCH($C$1,[1]quests!$1:$1,0)+1,FALSE)</f>
        <v>女王陛下の処刑龍</v>
      </c>
      <c r="E660" s="3" t="str">
        <f ca="1">VLOOKUP($C660,OFFSET([1]quests!$A$1,0,0,COUNTA([1]quests!$A:$A),MATCH(E$1,[1]quests!$1:$1,0)-MATCH($C$1,[1]quests!$1:$1,0)+1),MATCH(E$1,[1]quests!$1:$1,0)-MATCH($C$1,[1]quests!$1:$1,0)+1,FALSE)</f>
        <v>ドロップイベント2-1</v>
      </c>
      <c r="F660" s="5">
        <v>3</v>
      </c>
      <c r="G660" s="3" t="str">
        <f ca="1">VLOOKUP($C660&amp;"_"&amp;$F660,OFFSET([1]stages!$A$1,0,0,COUNTA([1]stages!$A:$A),MATCH(G$1,[1]stages!$2:$2,0)-MATCH("temp_stage",[1]stages!$2:$2,0)+1),MATCH(G$1,[1]stages!$2:$2,0)-MATCH("temp_stage",[1]stages!$2:$2,0)+1,FALSE)</f>
        <v>【上級】女王陛下の処刑龍</v>
      </c>
      <c r="H660" s="3" t="str">
        <f ca="1">VLOOKUP($C660&amp;"_"&amp;$F660,OFFSET([1]stages!$A$1,0,0,COUNTA([1]stages!$A:$A),MATCH(H$1,[1]stages!$2:$2,0)-MATCH("temp_stage",[1]stages!$2:$2,0)+1),MATCH(H$1,[1]stages!$2:$2,0)-MATCH("temp_stage",[1]stages!$2:$2,0)+1,FALSE)</f>
        <v>ドロップイベント2-1</v>
      </c>
      <c r="I660" s="18">
        <v>0</v>
      </c>
      <c r="J660" s="5">
        <f>COUNTIF(C$1:C660,C660)</f>
        <v>32</v>
      </c>
      <c r="K660" s="34">
        <v>36</v>
      </c>
      <c r="L660" s="5" t="s">
        <v>17</v>
      </c>
      <c r="M660" s="38" t="str">
        <f>VLOOKUP(K660,[2]stage_hints!$A:$C,3,FALSE)</f>
        <v>チャレンジタワーのボス</v>
      </c>
      <c r="N660" s="39" t="str">
        <f>VLOOKUP(K660,[2]stage_hints!$A:$D,4,FALSE)</f>
        <v>チャレンジタワーでのみ登場するボスは
一定確率で獲得することができます</v>
      </c>
      <c r="O660" s="20" t="s">
        <v>24</v>
      </c>
      <c r="P660">
        <v>36</v>
      </c>
    </row>
    <row r="661" spans="1:16" x14ac:dyDescent="0.15">
      <c r="A661" s="27" t="str">
        <f t="shared" si="73"/>
        <v>20007_3_33</v>
      </c>
      <c r="B661" s="25" t="s">
        <v>34</v>
      </c>
      <c r="C661" s="4">
        <v>20007</v>
      </c>
      <c r="D661" s="3" t="str">
        <f ca="1">VLOOKUP($C661,OFFSET([1]quests!$A$1,0,0,COUNTA([1]quests!$A:$A),MATCH(D$1,[1]quests!$1:$1,0)-MATCH($C$1,[1]quests!$1:$1,0)+1),MATCH(D$1,[1]quests!$1:$1,0)-MATCH($C$1,[1]quests!$1:$1,0)+1,FALSE)</f>
        <v>女王陛下の処刑龍</v>
      </c>
      <c r="E661" s="3" t="str">
        <f ca="1">VLOOKUP($C661,OFFSET([1]quests!$A$1,0,0,COUNTA([1]quests!$A:$A),MATCH(E$1,[1]quests!$1:$1,0)-MATCH($C$1,[1]quests!$1:$1,0)+1),MATCH(E$1,[1]quests!$1:$1,0)-MATCH($C$1,[1]quests!$1:$1,0)+1,FALSE)</f>
        <v>ドロップイベント2-1</v>
      </c>
      <c r="F661" s="5">
        <v>3</v>
      </c>
      <c r="G661" s="3" t="str">
        <f ca="1">VLOOKUP($C661&amp;"_"&amp;$F661,OFFSET([1]stages!$A$1,0,0,COUNTA([1]stages!$A:$A),MATCH(G$1,[1]stages!$2:$2,0)-MATCH("temp_stage",[1]stages!$2:$2,0)+1),MATCH(G$1,[1]stages!$2:$2,0)-MATCH("temp_stage",[1]stages!$2:$2,0)+1,FALSE)</f>
        <v>【上級】女王陛下の処刑龍</v>
      </c>
      <c r="H661" s="3" t="str">
        <f ca="1">VLOOKUP($C661&amp;"_"&amp;$F661,OFFSET([1]stages!$A$1,0,0,COUNTA([1]stages!$A:$A),MATCH(H$1,[1]stages!$2:$2,0)-MATCH("temp_stage",[1]stages!$2:$2,0)+1),MATCH(H$1,[1]stages!$2:$2,0)-MATCH("temp_stage",[1]stages!$2:$2,0)+1,FALSE)</f>
        <v>ドロップイベント2-1</v>
      </c>
      <c r="I661" s="18">
        <v>0</v>
      </c>
      <c r="J661" s="5">
        <f>COUNTIF(C$1:C661,C661)</f>
        <v>33</v>
      </c>
      <c r="K661" s="34">
        <v>37</v>
      </c>
      <c r="L661" s="5" t="s">
        <v>17</v>
      </c>
      <c r="M661" s="38" t="str">
        <f>VLOOKUP(K661,[2]stage_hints!$A:$C,3,FALSE)</f>
        <v>限界突破値の引き継ぎ</v>
      </c>
      <c r="N661" s="39" t="str">
        <f>VLOOKUP(K661,[2]stage_hints!$A:$D,4,FALSE)</f>
        <v>同じユニットを強化で合成すると
限界突破値を引き継げます（覚醒前後も可）</v>
      </c>
      <c r="O661" s="20" t="s">
        <v>24</v>
      </c>
      <c r="P661">
        <v>37</v>
      </c>
    </row>
    <row r="662" spans="1:16" x14ac:dyDescent="0.15">
      <c r="A662" s="27" t="str">
        <f t="shared" si="73"/>
        <v>20008_3_1</v>
      </c>
      <c r="B662" s="25" t="s">
        <v>34</v>
      </c>
      <c r="C662" s="4">
        <v>20008</v>
      </c>
      <c r="D662" s="3" t="str">
        <f ca="1">VLOOKUP($C662,OFFSET([1]quests!$A$1,0,0,COUNTA([1]quests!$A:$A),MATCH(D$1,[1]quests!$1:$1,0)-MATCH($C$1,[1]quests!$1:$1,0)+1),MATCH(D$1,[1]quests!$1:$1,0)-MATCH($C$1,[1]quests!$1:$1,0)+1,FALSE)</f>
        <v>天翔ける金轟機龍</v>
      </c>
      <c r="E662" s="3" t="str">
        <f ca="1">VLOOKUP($C662,OFFSET([1]quests!$A$1,0,0,COUNTA([1]quests!$A:$A),MATCH(E$1,[1]quests!$1:$1,0)-MATCH($C$1,[1]quests!$1:$1,0)+1),MATCH(E$1,[1]quests!$1:$1,0)-MATCH($C$1,[1]quests!$1:$1,0)+1,FALSE)</f>
        <v>ドロップイベント2-4</v>
      </c>
      <c r="F662" s="5">
        <v>3</v>
      </c>
      <c r="G662" s="3" t="str">
        <f ca="1">VLOOKUP($C662&amp;"_"&amp;$F662,OFFSET([1]stages!$A$1,0,0,COUNTA([1]stages!$A:$A),MATCH(G$1,[1]stages!$2:$2,0)-MATCH("temp_stage",[1]stages!$2:$2,0)+1),MATCH(G$1,[1]stages!$2:$2,0)-MATCH("temp_stage",[1]stages!$2:$2,0)+1,FALSE)</f>
        <v>【上級】天翔ける金轟機龍</v>
      </c>
      <c r="H662" s="3" t="str">
        <f ca="1">VLOOKUP($C662&amp;"_"&amp;$F662,OFFSET([1]stages!$A$1,0,0,COUNTA([1]stages!$A:$A),MATCH(H$1,[1]stages!$2:$2,0)-MATCH("temp_stage",[1]stages!$2:$2,0)+1),MATCH(H$1,[1]stages!$2:$2,0)-MATCH("temp_stage",[1]stages!$2:$2,0)+1,FALSE)</f>
        <v>ドロップイベント2-4</v>
      </c>
      <c r="I662" s="18">
        <v>0</v>
      </c>
      <c r="J662" s="5">
        <f>COUNTIF(C$1:C662,C662)</f>
        <v>1</v>
      </c>
      <c r="K662" s="34">
        <v>3</v>
      </c>
      <c r="L662" s="5" t="s">
        <v>17</v>
      </c>
      <c r="M662" s="38" t="str">
        <f>VLOOKUP(K662,[2]stage_hints!$A:$C,3,FALSE)</f>
        <v>ターゲット</v>
      </c>
      <c r="N662" s="39" t="str">
        <f>VLOOKUP(K662,[2]stage_hints!$A:$D,4,FALSE)</f>
        <v>敵ユニットをタップすると
その敵を狙い撃ちできます</v>
      </c>
      <c r="O662" s="20" t="s">
        <v>24</v>
      </c>
      <c r="P662">
        <v>3</v>
      </c>
    </row>
    <row r="663" spans="1:16" x14ac:dyDescent="0.15">
      <c r="A663" s="27" t="str">
        <f t="shared" si="73"/>
        <v>20008_3_2</v>
      </c>
      <c r="B663" s="25" t="s">
        <v>34</v>
      </c>
      <c r="C663" s="4">
        <v>20008</v>
      </c>
      <c r="D663" s="3" t="str">
        <f ca="1">VLOOKUP($C663,OFFSET([1]quests!$A$1,0,0,COUNTA([1]quests!$A:$A),MATCH(D$1,[1]quests!$1:$1,0)-MATCH($C$1,[1]quests!$1:$1,0)+1),MATCH(D$1,[1]quests!$1:$1,0)-MATCH($C$1,[1]quests!$1:$1,0)+1,FALSE)</f>
        <v>天翔ける金轟機龍</v>
      </c>
      <c r="E663" s="3" t="str">
        <f ca="1">VLOOKUP($C663,OFFSET([1]quests!$A$1,0,0,COUNTA([1]quests!$A:$A),MATCH(E$1,[1]quests!$1:$1,0)-MATCH($C$1,[1]quests!$1:$1,0)+1),MATCH(E$1,[1]quests!$1:$1,0)-MATCH($C$1,[1]quests!$1:$1,0)+1,FALSE)</f>
        <v>ドロップイベント2-4</v>
      </c>
      <c r="F663" s="5">
        <v>3</v>
      </c>
      <c r="G663" s="3" t="str">
        <f ca="1">VLOOKUP($C663&amp;"_"&amp;$F663,OFFSET([1]stages!$A$1,0,0,COUNTA([1]stages!$A:$A),MATCH(G$1,[1]stages!$2:$2,0)-MATCH("temp_stage",[1]stages!$2:$2,0)+1),MATCH(G$1,[1]stages!$2:$2,0)-MATCH("temp_stage",[1]stages!$2:$2,0)+1,FALSE)</f>
        <v>【上級】天翔ける金轟機龍</v>
      </c>
      <c r="H663" s="3" t="str">
        <f ca="1">VLOOKUP($C663&amp;"_"&amp;$F663,OFFSET([1]stages!$A$1,0,0,COUNTA([1]stages!$A:$A),MATCH(H$1,[1]stages!$2:$2,0)-MATCH("temp_stage",[1]stages!$2:$2,0)+1),MATCH(H$1,[1]stages!$2:$2,0)-MATCH("temp_stage",[1]stages!$2:$2,0)+1,FALSE)</f>
        <v>ドロップイベント2-4</v>
      </c>
      <c r="I663" s="18">
        <v>0</v>
      </c>
      <c r="J663" s="5">
        <f>COUNTIF(C$1:C663,C663)</f>
        <v>2</v>
      </c>
      <c r="K663" s="34">
        <v>6</v>
      </c>
      <c r="L663" s="5" t="s">
        <v>17</v>
      </c>
      <c r="M663" s="38" t="str">
        <f>VLOOKUP(K663,[2]stage_hints!$A:$C,3,FALSE)</f>
        <v>ユニット強化の属性ボーナス</v>
      </c>
      <c r="N663" s="39" t="str">
        <f>VLOOKUP(K663,[2]stage_hints!$A:$D,4,FALSE)</f>
        <v>同属性ユニットを強化素材にすると
経験値が多くもらえます</v>
      </c>
      <c r="O663" s="20" t="s">
        <v>24</v>
      </c>
      <c r="P663">
        <v>6</v>
      </c>
    </row>
    <row r="664" spans="1:16" x14ac:dyDescent="0.15">
      <c r="A664" s="27" t="str">
        <f t="shared" si="73"/>
        <v>20008_3_3</v>
      </c>
      <c r="B664" s="25" t="s">
        <v>34</v>
      </c>
      <c r="C664" s="4">
        <v>20008</v>
      </c>
      <c r="D664" s="3" t="str">
        <f ca="1">VLOOKUP($C664,OFFSET([1]quests!$A$1,0,0,COUNTA([1]quests!$A:$A),MATCH(D$1,[1]quests!$1:$1,0)-MATCH($C$1,[1]quests!$1:$1,0)+1),MATCH(D$1,[1]quests!$1:$1,0)-MATCH($C$1,[1]quests!$1:$1,0)+1,FALSE)</f>
        <v>天翔ける金轟機龍</v>
      </c>
      <c r="E664" s="3" t="str">
        <f ca="1">VLOOKUP($C664,OFFSET([1]quests!$A$1,0,0,COUNTA([1]quests!$A:$A),MATCH(E$1,[1]quests!$1:$1,0)-MATCH($C$1,[1]quests!$1:$1,0)+1),MATCH(E$1,[1]quests!$1:$1,0)-MATCH($C$1,[1]quests!$1:$1,0)+1,FALSE)</f>
        <v>ドロップイベント2-4</v>
      </c>
      <c r="F664" s="5">
        <v>3</v>
      </c>
      <c r="G664" s="3" t="str">
        <f ca="1">VLOOKUP($C664&amp;"_"&amp;$F664,OFFSET([1]stages!$A$1,0,0,COUNTA([1]stages!$A:$A),MATCH(G$1,[1]stages!$2:$2,0)-MATCH("temp_stage",[1]stages!$2:$2,0)+1),MATCH(G$1,[1]stages!$2:$2,0)-MATCH("temp_stage",[1]stages!$2:$2,0)+1,FALSE)</f>
        <v>【上級】天翔ける金轟機龍</v>
      </c>
      <c r="H664" s="3" t="str">
        <f ca="1">VLOOKUP($C664&amp;"_"&amp;$F664,OFFSET([1]stages!$A$1,0,0,COUNTA([1]stages!$A:$A),MATCH(H$1,[1]stages!$2:$2,0)-MATCH("temp_stage",[1]stages!$2:$2,0)+1),MATCH(H$1,[1]stages!$2:$2,0)-MATCH("temp_stage",[1]stages!$2:$2,0)+1,FALSE)</f>
        <v>ドロップイベント2-4</v>
      </c>
      <c r="I664" s="18">
        <v>0</v>
      </c>
      <c r="J664" s="5">
        <f>COUNTIF(C$1:C664,C664)</f>
        <v>3</v>
      </c>
      <c r="K664" s="34">
        <v>7</v>
      </c>
      <c r="L664" s="5" t="s">
        <v>17</v>
      </c>
      <c r="M664" s="38" t="str">
        <f>VLOOKUP(K664,[2]stage_hints!$A:$C,3,FALSE)</f>
        <v>メタルダックで経験値を獲得</v>
      </c>
      <c r="N664" s="39" t="str">
        <f>VLOOKUP(K664,[2]stage_hints!$A:$D,4,FALSE)</f>
        <v>「メタルなアヒル」を強化素材にすると
大量の経験値がもらえます</v>
      </c>
      <c r="O664" s="20" t="s">
        <v>24</v>
      </c>
      <c r="P664">
        <v>7</v>
      </c>
    </row>
    <row r="665" spans="1:16" x14ac:dyDescent="0.15">
      <c r="A665" s="27" t="str">
        <f t="shared" si="73"/>
        <v>20008_3_4</v>
      </c>
      <c r="B665" s="25" t="s">
        <v>34</v>
      </c>
      <c r="C665" s="4">
        <v>20008</v>
      </c>
      <c r="D665" s="3" t="str">
        <f ca="1">VLOOKUP($C665,OFFSET([1]quests!$A$1,0,0,COUNTA([1]quests!$A:$A),MATCH(D$1,[1]quests!$1:$1,0)-MATCH($C$1,[1]quests!$1:$1,0)+1),MATCH(D$1,[1]quests!$1:$1,0)-MATCH($C$1,[1]quests!$1:$1,0)+1,FALSE)</f>
        <v>天翔ける金轟機龍</v>
      </c>
      <c r="E665" s="3" t="str">
        <f ca="1">VLOOKUP($C665,OFFSET([1]quests!$A$1,0,0,COUNTA([1]quests!$A:$A),MATCH(E$1,[1]quests!$1:$1,0)-MATCH($C$1,[1]quests!$1:$1,0)+1),MATCH(E$1,[1]quests!$1:$1,0)-MATCH($C$1,[1]quests!$1:$1,0)+1,FALSE)</f>
        <v>ドロップイベント2-4</v>
      </c>
      <c r="F665" s="5">
        <v>3</v>
      </c>
      <c r="G665" s="3" t="str">
        <f ca="1">VLOOKUP($C665&amp;"_"&amp;$F665,OFFSET([1]stages!$A$1,0,0,COUNTA([1]stages!$A:$A),MATCH(G$1,[1]stages!$2:$2,0)-MATCH("temp_stage",[1]stages!$2:$2,0)+1),MATCH(G$1,[1]stages!$2:$2,0)-MATCH("temp_stage",[1]stages!$2:$2,0)+1,FALSE)</f>
        <v>【上級】天翔ける金轟機龍</v>
      </c>
      <c r="H665" s="3" t="str">
        <f ca="1">VLOOKUP($C665&amp;"_"&amp;$F665,OFFSET([1]stages!$A$1,0,0,COUNTA([1]stages!$A:$A),MATCH(H$1,[1]stages!$2:$2,0)-MATCH("temp_stage",[1]stages!$2:$2,0)+1),MATCH(H$1,[1]stages!$2:$2,0)-MATCH("temp_stage",[1]stages!$2:$2,0)+1,FALSE)</f>
        <v>ドロップイベント2-4</v>
      </c>
      <c r="I665" s="18">
        <v>0</v>
      </c>
      <c r="J665" s="5">
        <f>COUNTIF(C$1:C665,C665)</f>
        <v>4</v>
      </c>
      <c r="K665" s="34">
        <v>8</v>
      </c>
      <c r="L665" s="5" t="s">
        <v>17</v>
      </c>
      <c r="M665" s="38" t="str">
        <f>VLOOKUP(K665,[2]stage_hints!$A:$C,3,FALSE)</f>
        <v>ゲリラクエストは要チェック</v>
      </c>
      <c r="N665" s="39" t="str">
        <f>VLOOKUP(K665,[2]stage_hints!$A:$D,4,FALSE)</f>
        <v>時間限定の「アヒル捕獲作戦」では
経験値素材ユニットが多く手に入ります</v>
      </c>
      <c r="O665" s="20" t="s">
        <v>24</v>
      </c>
      <c r="P665">
        <v>8</v>
      </c>
    </row>
    <row r="666" spans="1:16" x14ac:dyDescent="0.15">
      <c r="A666" s="27" t="str">
        <f t="shared" si="73"/>
        <v>20008_3_5</v>
      </c>
      <c r="B666" s="25" t="s">
        <v>34</v>
      </c>
      <c r="C666" s="4">
        <v>20008</v>
      </c>
      <c r="D666" s="3" t="str">
        <f ca="1">VLOOKUP($C666,OFFSET([1]quests!$A$1,0,0,COUNTA([1]quests!$A:$A),MATCH(D$1,[1]quests!$1:$1,0)-MATCH($C$1,[1]quests!$1:$1,0)+1),MATCH(D$1,[1]quests!$1:$1,0)-MATCH($C$1,[1]quests!$1:$1,0)+1,FALSE)</f>
        <v>天翔ける金轟機龍</v>
      </c>
      <c r="E666" s="3" t="str">
        <f ca="1">VLOOKUP($C666,OFFSET([1]quests!$A$1,0,0,COUNTA([1]quests!$A:$A),MATCH(E$1,[1]quests!$1:$1,0)-MATCH($C$1,[1]quests!$1:$1,0)+1),MATCH(E$1,[1]quests!$1:$1,0)-MATCH($C$1,[1]quests!$1:$1,0)+1,FALSE)</f>
        <v>ドロップイベント2-4</v>
      </c>
      <c r="F666" s="5">
        <v>3</v>
      </c>
      <c r="G666" s="3" t="str">
        <f ca="1">VLOOKUP($C666&amp;"_"&amp;$F666,OFFSET([1]stages!$A$1,0,0,COUNTA([1]stages!$A:$A),MATCH(G$1,[1]stages!$2:$2,0)-MATCH("temp_stage",[1]stages!$2:$2,0)+1),MATCH(G$1,[1]stages!$2:$2,0)-MATCH("temp_stage",[1]stages!$2:$2,0)+1,FALSE)</f>
        <v>【上級】天翔ける金轟機龍</v>
      </c>
      <c r="H666" s="3" t="str">
        <f ca="1">VLOOKUP($C666&amp;"_"&amp;$F666,OFFSET([1]stages!$A$1,0,0,COUNTA([1]stages!$A:$A),MATCH(H$1,[1]stages!$2:$2,0)-MATCH("temp_stage",[1]stages!$2:$2,0)+1),MATCH(H$1,[1]stages!$2:$2,0)-MATCH("temp_stage",[1]stages!$2:$2,0)+1,FALSE)</f>
        <v>ドロップイベント2-4</v>
      </c>
      <c r="I666" s="18">
        <v>0</v>
      </c>
      <c r="J666" s="5">
        <f>COUNTIF(C$1:C666,C666)</f>
        <v>5</v>
      </c>
      <c r="K666" s="34">
        <v>9</v>
      </c>
      <c r="L666" s="5" t="s">
        <v>17</v>
      </c>
      <c r="M666" s="38" t="str">
        <f>VLOOKUP(K666,[2]stage_hints!$A:$C,3,FALSE)</f>
        <v>ゴールドダックでビットを獲得</v>
      </c>
      <c r="N666" s="39" t="str">
        <f>VLOOKUP(K666,[2]stage_hints!$A:$D,4,FALSE)</f>
        <v>「ゴールドなアヒル」を売却すると
大量のビットがもらえます</v>
      </c>
      <c r="O666" s="20" t="s">
        <v>24</v>
      </c>
      <c r="P666">
        <v>9</v>
      </c>
    </row>
    <row r="667" spans="1:16" x14ac:dyDescent="0.15">
      <c r="A667" s="27" t="str">
        <f t="shared" si="73"/>
        <v>20008_3_6</v>
      </c>
      <c r="B667" s="25" t="s">
        <v>34</v>
      </c>
      <c r="C667" s="4">
        <v>20008</v>
      </c>
      <c r="D667" s="3" t="str">
        <f ca="1">VLOOKUP($C667,OFFSET([1]quests!$A$1,0,0,COUNTA([1]quests!$A:$A),MATCH(D$1,[1]quests!$1:$1,0)-MATCH($C$1,[1]quests!$1:$1,0)+1),MATCH(D$1,[1]quests!$1:$1,0)-MATCH($C$1,[1]quests!$1:$1,0)+1,FALSE)</f>
        <v>天翔ける金轟機龍</v>
      </c>
      <c r="E667" s="3" t="str">
        <f ca="1">VLOOKUP($C667,OFFSET([1]quests!$A$1,0,0,COUNTA([1]quests!$A:$A),MATCH(E$1,[1]quests!$1:$1,0)-MATCH($C$1,[1]quests!$1:$1,0)+1),MATCH(E$1,[1]quests!$1:$1,0)-MATCH($C$1,[1]quests!$1:$1,0)+1,FALSE)</f>
        <v>ドロップイベント2-4</v>
      </c>
      <c r="F667" s="5">
        <v>3</v>
      </c>
      <c r="G667" s="3" t="str">
        <f ca="1">VLOOKUP($C667&amp;"_"&amp;$F667,OFFSET([1]stages!$A$1,0,0,COUNTA([1]stages!$A:$A),MATCH(G$1,[1]stages!$2:$2,0)-MATCH("temp_stage",[1]stages!$2:$2,0)+1),MATCH(G$1,[1]stages!$2:$2,0)-MATCH("temp_stage",[1]stages!$2:$2,0)+1,FALSE)</f>
        <v>【上級】天翔ける金轟機龍</v>
      </c>
      <c r="H667" s="3" t="str">
        <f ca="1">VLOOKUP($C667&amp;"_"&amp;$F667,OFFSET([1]stages!$A$1,0,0,COUNTA([1]stages!$A:$A),MATCH(H$1,[1]stages!$2:$2,0)-MATCH("temp_stage",[1]stages!$2:$2,0)+1),MATCH(H$1,[1]stages!$2:$2,0)-MATCH("temp_stage",[1]stages!$2:$2,0)+1,FALSE)</f>
        <v>ドロップイベント2-4</v>
      </c>
      <c r="I667" s="18">
        <v>0</v>
      </c>
      <c r="J667" s="5">
        <f>COUNTIF(C$1:C667,C667)</f>
        <v>6</v>
      </c>
      <c r="K667" s="34">
        <v>10</v>
      </c>
      <c r="L667" s="5" t="s">
        <v>17</v>
      </c>
      <c r="M667" s="38" t="str">
        <f>VLOOKUP(K667,[2]stage_hints!$A:$C,3,FALSE)</f>
        <v>土日に大量のビットを獲得</v>
      </c>
      <c r="N667" s="39" t="str">
        <f>VLOOKUP(K667,[2]stage_hints!$A:$D,4,FALSE)</f>
        <v>土日限定の「ゴールドカジノ」では
売却素材ユニットが多く手に入ります</v>
      </c>
      <c r="O667" s="20" t="s">
        <v>24</v>
      </c>
      <c r="P667">
        <v>10</v>
      </c>
    </row>
    <row r="668" spans="1:16" x14ac:dyDescent="0.15">
      <c r="A668" s="27" t="str">
        <f t="shared" si="73"/>
        <v>20008_3_7</v>
      </c>
      <c r="B668" s="25" t="s">
        <v>34</v>
      </c>
      <c r="C668" s="4">
        <v>20008</v>
      </c>
      <c r="D668" s="3" t="str">
        <f ca="1">VLOOKUP($C668,OFFSET([1]quests!$A$1,0,0,COUNTA([1]quests!$A:$A),MATCH(D$1,[1]quests!$1:$1,0)-MATCH($C$1,[1]quests!$1:$1,0)+1),MATCH(D$1,[1]quests!$1:$1,0)-MATCH($C$1,[1]quests!$1:$1,0)+1,FALSE)</f>
        <v>天翔ける金轟機龍</v>
      </c>
      <c r="E668" s="3" t="str">
        <f ca="1">VLOOKUP($C668,OFFSET([1]quests!$A$1,0,0,COUNTA([1]quests!$A:$A),MATCH(E$1,[1]quests!$1:$1,0)-MATCH($C$1,[1]quests!$1:$1,0)+1),MATCH(E$1,[1]quests!$1:$1,0)-MATCH($C$1,[1]quests!$1:$1,0)+1,FALSE)</f>
        <v>ドロップイベント2-4</v>
      </c>
      <c r="F668" s="5">
        <v>3</v>
      </c>
      <c r="G668" s="3" t="str">
        <f ca="1">VLOOKUP($C668&amp;"_"&amp;$F668,OFFSET([1]stages!$A$1,0,0,COUNTA([1]stages!$A:$A),MATCH(G$1,[1]stages!$2:$2,0)-MATCH("temp_stage",[1]stages!$2:$2,0)+1),MATCH(G$1,[1]stages!$2:$2,0)-MATCH("temp_stage",[1]stages!$2:$2,0)+1,FALSE)</f>
        <v>【上級】天翔ける金轟機龍</v>
      </c>
      <c r="H668" s="3" t="str">
        <f ca="1">VLOOKUP($C668&amp;"_"&amp;$F668,OFFSET([1]stages!$A$1,0,0,COUNTA([1]stages!$A:$A),MATCH(H$1,[1]stages!$2:$2,0)-MATCH("temp_stage",[1]stages!$2:$2,0)+1),MATCH(H$1,[1]stages!$2:$2,0)-MATCH("temp_stage",[1]stages!$2:$2,0)+1,FALSE)</f>
        <v>ドロップイベント2-4</v>
      </c>
      <c r="I668" s="18">
        <v>0</v>
      </c>
      <c r="J668" s="5">
        <f>COUNTIF(C$1:C668,C668)</f>
        <v>7</v>
      </c>
      <c r="K668" s="34">
        <v>11</v>
      </c>
      <c r="L668" s="5" t="s">
        <v>17</v>
      </c>
      <c r="M668" s="38" t="str">
        <f>VLOOKUP(K668,[2]stage_hints!$A:$C,3,FALSE)</f>
        <v>ランク解放クエスト</v>
      </c>
      <c r="N668" s="39" t="str">
        <f>VLOOKUP(K668,[2]stage_hints!$A:$D,4,FALSE)</f>
        <v>一定ランクに到達すると
報酬付きのランク開放クエストが現れます</v>
      </c>
      <c r="O668" s="20" t="s">
        <v>24</v>
      </c>
      <c r="P668">
        <v>11</v>
      </c>
    </row>
    <row r="669" spans="1:16" x14ac:dyDescent="0.15">
      <c r="A669" s="27" t="str">
        <f t="shared" si="73"/>
        <v>20008_3_8</v>
      </c>
      <c r="B669" s="25" t="s">
        <v>34</v>
      </c>
      <c r="C669" s="4">
        <v>20008</v>
      </c>
      <c r="D669" s="3" t="str">
        <f ca="1">VLOOKUP($C669,OFFSET([1]quests!$A$1,0,0,COUNTA([1]quests!$A:$A),MATCH(D$1,[1]quests!$1:$1,0)-MATCH($C$1,[1]quests!$1:$1,0)+1),MATCH(D$1,[1]quests!$1:$1,0)-MATCH($C$1,[1]quests!$1:$1,0)+1,FALSE)</f>
        <v>天翔ける金轟機龍</v>
      </c>
      <c r="E669" s="3" t="str">
        <f ca="1">VLOOKUP($C669,OFFSET([1]quests!$A$1,0,0,COUNTA([1]quests!$A:$A),MATCH(E$1,[1]quests!$1:$1,0)-MATCH($C$1,[1]quests!$1:$1,0)+1),MATCH(E$1,[1]quests!$1:$1,0)-MATCH($C$1,[1]quests!$1:$1,0)+1,FALSE)</f>
        <v>ドロップイベント2-4</v>
      </c>
      <c r="F669" s="5">
        <v>3</v>
      </c>
      <c r="G669" s="3" t="str">
        <f ca="1">VLOOKUP($C669&amp;"_"&amp;$F669,OFFSET([1]stages!$A$1,0,0,COUNTA([1]stages!$A:$A),MATCH(G$1,[1]stages!$2:$2,0)-MATCH("temp_stage",[1]stages!$2:$2,0)+1),MATCH(G$1,[1]stages!$2:$2,0)-MATCH("temp_stage",[1]stages!$2:$2,0)+1,FALSE)</f>
        <v>【上級】天翔ける金轟機龍</v>
      </c>
      <c r="H669" s="3" t="str">
        <f ca="1">VLOOKUP($C669&amp;"_"&amp;$F669,OFFSET([1]stages!$A$1,0,0,COUNTA([1]stages!$A:$A),MATCH(H$1,[1]stages!$2:$2,0)-MATCH("temp_stage",[1]stages!$2:$2,0)+1),MATCH(H$1,[1]stages!$2:$2,0)-MATCH("temp_stage",[1]stages!$2:$2,0)+1,FALSE)</f>
        <v>ドロップイベント2-4</v>
      </c>
      <c r="I669" s="18">
        <v>0</v>
      </c>
      <c r="J669" s="5">
        <f>COUNTIF(C$1:C669,C669)</f>
        <v>8</v>
      </c>
      <c r="K669" s="34">
        <v>12</v>
      </c>
      <c r="L669" s="5" t="s">
        <v>17</v>
      </c>
      <c r="M669" s="38" t="str">
        <f>VLOOKUP(K669,[2]stage_hints!$A:$C,3,FALSE)</f>
        <v>ユニットのお気に入り登録</v>
      </c>
      <c r="N669" s="39" t="str">
        <f>VLOOKUP(K669,[2]stage_hints!$A:$D,4,FALSE)</f>
        <v>大事なユニットを誤って消さないように
フォルダから「お気に入り登録」しましょう</v>
      </c>
      <c r="O669" s="20" t="s">
        <v>24</v>
      </c>
      <c r="P669">
        <v>12</v>
      </c>
    </row>
    <row r="670" spans="1:16" x14ac:dyDescent="0.15">
      <c r="A670" s="27" t="str">
        <f t="shared" si="73"/>
        <v>20008_3_9</v>
      </c>
      <c r="B670" s="25" t="s">
        <v>34</v>
      </c>
      <c r="C670" s="4">
        <v>20008</v>
      </c>
      <c r="D670" s="3" t="str">
        <f ca="1">VLOOKUP($C670,OFFSET([1]quests!$A$1,0,0,COUNTA([1]quests!$A:$A),MATCH(D$1,[1]quests!$1:$1,0)-MATCH($C$1,[1]quests!$1:$1,0)+1),MATCH(D$1,[1]quests!$1:$1,0)-MATCH($C$1,[1]quests!$1:$1,0)+1,FALSE)</f>
        <v>天翔ける金轟機龍</v>
      </c>
      <c r="E670" s="3" t="str">
        <f ca="1">VLOOKUP($C670,OFFSET([1]quests!$A$1,0,0,COUNTA([1]quests!$A:$A),MATCH(E$1,[1]quests!$1:$1,0)-MATCH($C$1,[1]quests!$1:$1,0)+1),MATCH(E$1,[1]quests!$1:$1,0)-MATCH($C$1,[1]quests!$1:$1,0)+1,FALSE)</f>
        <v>ドロップイベント2-4</v>
      </c>
      <c r="F670" s="5">
        <v>3</v>
      </c>
      <c r="G670" s="3" t="str">
        <f ca="1">VLOOKUP($C670&amp;"_"&amp;$F670,OFFSET([1]stages!$A$1,0,0,COUNTA([1]stages!$A:$A),MATCH(G$1,[1]stages!$2:$2,0)-MATCH("temp_stage",[1]stages!$2:$2,0)+1),MATCH(G$1,[1]stages!$2:$2,0)-MATCH("temp_stage",[1]stages!$2:$2,0)+1,FALSE)</f>
        <v>【上級】天翔ける金轟機龍</v>
      </c>
      <c r="H670" s="3" t="str">
        <f ca="1">VLOOKUP($C670&amp;"_"&amp;$F670,OFFSET([1]stages!$A$1,0,0,COUNTA([1]stages!$A:$A),MATCH(H$1,[1]stages!$2:$2,0)-MATCH("temp_stage",[1]stages!$2:$2,0)+1),MATCH(H$1,[1]stages!$2:$2,0)-MATCH("temp_stage",[1]stages!$2:$2,0)+1,FALSE)</f>
        <v>ドロップイベント2-4</v>
      </c>
      <c r="I670" s="18">
        <v>0</v>
      </c>
      <c r="J670" s="5">
        <f>COUNTIF(C$1:C670,C670)</f>
        <v>9</v>
      </c>
      <c r="K670" s="34">
        <v>13</v>
      </c>
      <c r="L670" s="5" t="s">
        <v>17</v>
      </c>
      <c r="M670" s="38" t="str">
        <f>VLOOKUP(K670,[2]stage_hints!$A:$C,3,FALSE)</f>
        <v>ユニットの覚醒</v>
      </c>
      <c r="N670" s="39" t="str">
        <f>VLOOKUP(K670,[2]stage_hints!$A:$D,4,FALSE)</f>
        <v>ユニットを覚醒させると
比べものにならない強さが手に入ります</v>
      </c>
      <c r="O670" s="20" t="s">
        <v>24</v>
      </c>
      <c r="P670">
        <v>13</v>
      </c>
    </row>
    <row r="671" spans="1:16" x14ac:dyDescent="0.15">
      <c r="A671" s="27" t="str">
        <f t="shared" si="73"/>
        <v>20008_3_10</v>
      </c>
      <c r="B671" s="25" t="s">
        <v>34</v>
      </c>
      <c r="C671" s="4">
        <v>20008</v>
      </c>
      <c r="D671" s="3" t="str">
        <f ca="1">VLOOKUP($C671,OFFSET([1]quests!$A$1,0,0,COUNTA([1]quests!$A:$A),MATCH(D$1,[1]quests!$1:$1,0)-MATCH($C$1,[1]quests!$1:$1,0)+1),MATCH(D$1,[1]quests!$1:$1,0)-MATCH($C$1,[1]quests!$1:$1,0)+1,FALSE)</f>
        <v>天翔ける金轟機龍</v>
      </c>
      <c r="E671" s="3" t="str">
        <f ca="1">VLOOKUP($C671,OFFSET([1]quests!$A$1,0,0,COUNTA([1]quests!$A:$A),MATCH(E$1,[1]quests!$1:$1,0)-MATCH($C$1,[1]quests!$1:$1,0)+1),MATCH(E$1,[1]quests!$1:$1,0)-MATCH($C$1,[1]quests!$1:$1,0)+1,FALSE)</f>
        <v>ドロップイベント2-4</v>
      </c>
      <c r="F671" s="5">
        <v>3</v>
      </c>
      <c r="G671" s="3" t="str">
        <f ca="1">VLOOKUP($C671&amp;"_"&amp;$F671,OFFSET([1]stages!$A$1,0,0,COUNTA([1]stages!$A:$A),MATCH(G$1,[1]stages!$2:$2,0)-MATCH("temp_stage",[1]stages!$2:$2,0)+1),MATCH(G$1,[1]stages!$2:$2,0)-MATCH("temp_stage",[1]stages!$2:$2,0)+1,FALSE)</f>
        <v>【上級】天翔ける金轟機龍</v>
      </c>
      <c r="H671" s="3" t="str">
        <f ca="1">VLOOKUP($C671&amp;"_"&amp;$F671,OFFSET([1]stages!$A$1,0,0,COUNTA([1]stages!$A:$A),MATCH(H$1,[1]stages!$2:$2,0)-MATCH("temp_stage",[1]stages!$2:$2,0)+1),MATCH(H$1,[1]stages!$2:$2,0)-MATCH("temp_stage",[1]stages!$2:$2,0)+1,FALSE)</f>
        <v>ドロップイベント2-4</v>
      </c>
      <c r="I671" s="18">
        <v>0</v>
      </c>
      <c r="J671" s="5">
        <f>COUNTIF(C$1:C671,C671)</f>
        <v>10</v>
      </c>
      <c r="K671" s="34">
        <v>14</v>
      </c>
      <c r="L671" s="5" t="s">
        <v>17</v>
      </c>
      <c r="M671" s="38" t="str">
        <f>VLOOKUP(K671,[2]stage_hints!$A:$C,3,FALSE)</f>
        <v>覚醒するにはレベルを最大に</v>
      </c>
      <c r="N671" s="39" t="str">
        <f>VLOOKUP(K671,[2]stage_hints!$A:$D,4,FALSE)</f>
        <v>覚醒するにはユニットのレベルを
最大まで上げる必要があります</v>
      </c>
      <c r="O671" s="20" t="s">
        <v>24</v>
      </c>
      <c r="P671">
        <v>14</v>
      </c>
    </row>
    <row r="672" spans="1:16" x14ac:dyDescent="0.15">
      <c r="A672" s="27" t="str">
        <f t="shared" si="73"/>
        <v>20008_3_11</v>
      </c>
      <c r="B672" s="25" t="s">
        <v>34</v>
      </c>
      <c r="C672" s="4">
        <v>20008</v>
      </c>
      <c r="D672" s="3" t="str">
        <f ca="1">VLOOKUP($C672,OFFSET([1]quests!$A$1,0,0,COUNTA([1]quests!$A:$A),MATCH(D$1,[1]quests!$1:$1,0)-MATCH($C$1,[1]quests!$1:$1,0)+1),MATCH(D$1,[1]quests!$1:$1,0)-MATCH($C$1,[1]quests!$1:$1,0)+1,FALSE)</f>
        <v>天翔ける金轟機龍</v>
      </c>
      <c r="E672" s="3" t="str">
        <f ca="1">VLOOKUP($C672,OFFSET([1]quests!$A$1,0,0,COUNTA([1]quests!$A:$A),MATCH(E$1,[1]quests!$1:$1,0)-MATCH($C$1,[1]quests!$1:$1,0)+1),MATCH(E$1,[1]quests!$1:$1,0)-MATCH($C$1,[1]quests!$1:$1,0)+1,FALSE)</f>
        <v>ドロップイベント2-4</v>
      </c>
      <c r="F672" s="5">
        <v>3</v>
      </c>
      <c r="G672" s="3" t="str">
        <f ca="1">VLOOKUP($C672&amp;"_"&amp;$F672,OFFSET([1]stages!$A$1,0,0,COUNTA([1]stages!$A:$A),MATCH(G$1,[1]stages!$2:$2,0)-MATCH("temp_stage",[1]stages!$2:$2,0)+1),MATCH(G$1,[1]stages!$2:$2,0)-MATCH("temp_stage",[1]stages!$2:$2,0)+1,FALSE)</f>
        <v>【上級】天翔ける金轟機龍</v>
      </c>
      <c r="H672" s="3" t="str">
        <f ca="1">VLOOKUP($C672&amp;"_"&amp;$F672,OFFSET([1]stages!$A$1,0,0,COUNTA([1]stages!$A:$A),MATCH(H$1,[1]stages!$2:$2,0)-MATCH("temp_stage",[1]stages!$2:$2,0)+1),MATCH(H$1,[1]stages!$2:$2,0)-MATCH("temp_stage",[1]stages!$2:$2,0)+1,FALSE)</f>
        <v>ドロップイベント2-4</v>
      </c>
      <c r="I672" s="18">
        <v>0</v>
      </c>
      <c r="J672" s="5">
        <f>COUNTIF(C$1:C672,C672)</f>
        <v>11</v>
      </c>
      <c r="K672" s="34">
        <v>15</v>
      </c>
      <c r="L672" s="5" t="s">
        <v>17</v>
      </c>
      <c r="M672" s="38" t="str">
        <f>VLOOKUP(K672,[2]stage_hints!$A:$C,3,FALSE)</f>
        <v>覚醒素材を獲得</v>
      </c>
      <c r="N672" s="39" t="str">
        <f>VLOOKUP(K672,[2]stage_hints!$A:$D,4,FALSE)</f>
        <v>「曜日クエスト」では
ユニットの覚醒に必要な素材が手に入ります</v>
      </c>
      <c r="O672" s="20" t="s">
        <v>24</v>
      </c>
      <c r="P672">
        <v>15</v>
      </c>
    </row>
    <row r="673" spans="1:16" x14ac:dyDescent="0.15">
      <c r="A673" s="27" t="str">
        <f t="shared" si="73"/>
        <v>20008_3_12</v>
      </c>
      <c r="B673" s="25" t="s">
        <v>34</v>
      </c>
      <c r="C673" s="4">
        <v>20008</v>
      </c>
      <c r="D673" s="3" t="str">
        <f ca="1">VLOOKUP($C673,OFFSET([1]quests!$A$1,0,0,COUNTA([1]quests!$A:$A),MATCH(D$1,[1]quests!$1:$1,0)-MATCH($C$1,[1]quests!$1:$1,0)+1),MATCH(D$1,[1]quests!$1:$1,0)-MATCH($C$1,[1]quests!$1:$1,0)+1,FALSE)</f>
        <v>天翔ける金轟機龍</v>
      </c>
      <c r="E673" s="3" t="str">
        <f ca="1">VLOOKUP($C673,OFFSET([1]quests!$A$1,0,0,COUNTA([1]quests!$A:$A),MATCH(E$1,[1]quests!$1:$1,0)-MATCH($C$1,[1]quests!$1:$1,0)+1),MATCH(E$1,[1]quests!$1:$1,0)-MATCH($C$1,[1]quests!$1:$1,0)+1,FALSE)</f>
        <v>ドロップイベント2-4</v>
      </c>
      <c r="F673" s="5">
        <v>3</v>
      </c>
      <c r="G673" s="3" t="str">
        <f ca="1">VLOOKUP($C673&amp;"_"&amp;$F673,OFFSET([1]stages!$A$1,0,0,COUNTA([1]stages!$A:$A),MATCH(G$1,[1]stages!$2:$2,0)-MATCH("temp_stage",[1]stages!$2:$2,0)+1),MATCH(G$1,[1]stages!$2:$2,0)-MATCH("temp_stage",[1]stages!$2:$2,0)+1,FALSE)</f>
        <v>【上級】天翔ける金轟機龍</v>
      </c>
      <c r="H673" s="3" t="str">
        <f ca="1">VLOOKUP($C673&amp;"_"&amp;$F673,OFFSET([1]stages!$A$1,0,0,COUNTA([1]stages!$A:$A),MATCH(H$1,[1]stages!$2:$2,0)-MATCH("temp_stage",[1]stages!$2:$2,0)+1),MATCH(H$1,[1]stages!$2:$2,0)-MATCH("temp_stage",[1]stages!$2:$2,0)+1,FALSE)</f>
        <v>ドロップイベント2-4</v>
      </c>
      <c r="I673" s="18">
        <v>0</v>
      </c>
      <c r="J673" s="5">
        <f>COUNTIF(C$1:C673,C673)</f>
        <v>12</v>
      </c>
      <c r="K673" s="34">
        <v>16</v>
      </c>
      <c r="L673" s="5" t="s">
        <v>17</v>
      </c>
      <c r="M673" s="38" t="str">
        <f>VLOOKUP(K673,[2]stage_hints!$A:$C,3,FALSE)</f>
        <v>マルチプレイのメリット（その1）</v>
      </c>
      <c r="N673" s="39" t="str">
        <f>VLOOKUP(K673,[2]stage_hints!$A:$D,4,FALSE)</f>
        <v>他のプレイヤーとマルチプレイで遊ぶと
ポリゴンがもらえます（100人まで）</v>
      </c>
      <c r="O673" s="20" t="s">
        <v>24</v>
      </c>
      <c r="P673">
        <v>16</v>
      </c>
    </row>
    <row r="674" spans="1:16" x14ac:dyDescent="0.15">
      <c r="A674" s="27" t="str">
        <f t="shared" si="73"/>
        <v>20008_3_13</v>
      </c>
      <c r="B674" s="25" t="s">
        <v>34</v>
      </c>
      <c r="C674" s="4">
        <v>20008</v>
      </c>
      <c r="D674" s="3" t="str">
        <f ca="1">VLOOKUP($C674,OFFSET([1]quests!$A$1,0,0,COUNTA([1]quests!$A:$A),MATCH(D$1,[1]quests!$1:$1,0)-MATCH($C$1,[1]quests!$1:$1,0)+1),MATCH(D$1,[1]quests!$1:$1,0)-MATCH($C$1,[1]quests!$1:$1,0)+1,FALSE)</f>
        <v>天翔ける金轟機龍</v>
      </c>
      <c r="E674" s="3" t="str">
        <f ca="1">VLOOKUP($C674,OFFSET([1]quests!$A$1,0,0,COUNTA([1]quests!$A:$A),MATCH(E$1,[1]quests!$1:$1,0)-MATCH($C$1,[1]quests!$1:$1,0)+1),MATCH(E$1,[1]quests!$1:$1,0)-MATCH($C$1,[1]quests!$1:$1,0)+1,FALSE)</f>
        <v>ドロップイベント2-4</v>
      </c>
      <c r="F674" s="5">
        <v>3</v>
      </c>
      <c r="G674" s="3" t="str">
        <f ca="1">VLOOKUP($C674&amp;"_"&amp;$F674,OFFSET([1]stages!$A$1,0,0,COUNTA([1]stages!$A:$A),MATCH(G$1,[1]stages!$2:$2,0)-MATCH("temp_stage",[1]stages!$2:$2,0)+1),MATCH(G$1,[1]stages!$2:$2,0)-MATCH("temp_stage",[1]stages!$2:$2,0)+1,FALSE)</f>
        <v>【上級】天翔ける金轟機龍</v>
      </c>
      <c r="H674" s="3" t="str">
        <f ca="1">VLOOKUP($C674&amp;"_"&amp;$F674,OFFSET([1]stages!$A$1,0,0,COUNTA([1]stages!$A:$A),MATCH(H$1,[1]stages!$2:$2,0)-MATCH("temp_stage",[1]stages!$2:$2,0)+1),MATCH(H$1,[1]stages!$2:$2,0)-MATCH("temp_stage",[1]stages!$2:$2,0)+1,FALSE)</f>
        <v>ドロップイベント2-4</v>
      </c>
      <c r="I674" s="18">
        <v>0</v>
      </c>
      <c r="J674" s="5">
        <f>COUNTIF(C$1:C674,C674)</f>
        <v>13</v>
      </c>
      <c r="K674" s="34">
        <v>17</v>
      </c>
      <c r="L674" s="5" t="s">
        <v>17</v>
      </c>
      <c r="M674" s="38" t="str">
        <f>VLOOKUP(K674,[2]stage_hints!$A:$C,3,FALSE)</f>
        <v>リンクガチャ</v>
      </c>
      <c r="N674" s="39" t="str">
        <f>VLOOKUP(K674,[2]stage_hints!$A:$D,4,FALSE)</f>
        <v>無料のリンクガチャを回して
経験値素材や売却素材を獲得しましょう</v>
      </c>
      <c r="O674" s="20" t="s">
        <v>24</v>
      </c>
      <c r="P674">
        <v>17</v>
      </c>
    </row>
    <row r="675" spans="1:16" x14ac:dyDescent="0.15">
      <c r="A675" s="27" t="str">
        <f t="shared" si="73"/>
        <v>20008_3_14</v>
      </c>
      <c r="B675" s="25" t="s">
        <v>34</v>
      </c>
      <c r="C675" s="4">
        <v>20008</v>
      </c>
      <c r="D675" s="3" t="str">
        <f ca="1">VLOOKUP($C675,OFFSET([1]quests!$A$1,0,0,COUNTA([1]quests!$A:$A),MATCH(D$1,[1]quests!$1:$1,0)-MATCH($C$1,[1]quests!$1:$1,0)+1),MATCH(D$1,[1]quests!$1:$1,0)-MATCH($C$1,[1]quests!$1:$1,0)+1,FALSE)</f>
        <v>天翔ける金轟機龍</v>
      </c>
      <c r="E675" s="3" t="str">
        <f ca="1">VLOOKUP($C675,OFFSET([1]quests!$A$1,0,0,COUNTA([1]quests!$A:$A),MATCH(E$1,[1]quests!$1:$1,0)-MATCH($C$1,[1]quests!$1:$1,0)+1),MATCH(E$1,[1]quests!$1:$1,0)-MATCH($C$1,[1]quests!$1:$1,0)+1,FALSE)</f>
        <v>ドロップイベント2-4</v>
      </c>
      <c r="F675" s="5">
        <v>3</v>
      </c>
      <c r="G675" s="3" t="str">
        <f ca="1">VLOOKUP($C675&amp;"_"&amp;$F675,OFFSET([1]stages!$A$1,0,0,COUNTA([1]stages!$A:$A),MATCH(G$1,[1]stages!$2:$2,0)-MATCH("temp_stage",[1]stages!$2:$2,0)+1),MATCH(G$1,[1]stages!$2:$2,0)-MATCH("temp_stage",[1]stages!$2:$2,0)+1,FALSE)</f>
        <v>【上級】天翔ける金轟機龍</v>
      </c>
      <c r="H675" s="3" t="str">
        <f ca="1">VLOOKUP($C675&amp;"_"&amp;$F675,OFFSET([1]stages!$A$1,0,0,COUNTA([1]stages!$A:$A),MATCH(H$1,[1]stages!$2:$2,0)-MATCH("temp_stage",[1]stages!$2:$2,0)+1),MATCH(H$1,[1]stages!$2:$2,0)-MATCH("temp_stage",[1]stages!$2:$2,0)+1,FALSE)</f>
        <v>ドロップイベント2-4</v>
      </c>
      <c r="I675" s="18">
        <v>0</v>
      </c>
      <c r="J675" s="5">
        <f>COUNTIF(C$1:C675,C675)</f>
        <v>14</v>
      </c>
      <c r="K675" s="34">
        <v>18</v>
      </c>
      <c r="L675" s="5" t="s">
        <v>17</v>
      </c>
      <c r="M675" s="38" t="str">
        <f>VLOOKUP(K675,[2]stage_hints!$A:$C,3,FALSE)</f>
        <v>マルチプレイのメリット（その2）</v>
      </c>
      <c r="N675" s="39" t="str">
        <f>VLOOKUP(K675,[2]stage_hints!$A:$D,4,FALSE)</f>
        <v>マルチプレイならリンクが2倍もらえます
リンクガチャをたくさん回しましょう</v>
      </c>
      <c r="O675" s="20" t="s">
        <v>24</v>
      </c>
      <c r="P675">
        <v>18</v>
      </c>
    </row>
    <row r="676" spans="1:16" x14ac:dyDescent="0.15">
      <c r="A676" s="27" t="str">
        <f t="shared" si="73"/>
        <v>20008_3_15</v>
      </c>
      <c r="B676" s="25" t="s">
        <v>34</v>
      </c>
      <c r="C676" s="4">
        <v>20008</v>
      </c>
      <c r="D676" s="3" t="str">
        <f ca="1">VLOOKUP($C676,OFFSET([1]quests!$A$1,0,0,COUNTA([1]quests!$A:$A),MATCH(D$1,[1]quests!$1:$1,0)-MATCH($C$1,[1]quests!$1:$1,0)+1),MATCH(D$1,[1]quests!$1:$1,0)-MATCH($C$1,[1]quests!$1:$1,0)+1,FALSE)</f>
        <v>天翔ける金轟機龍</v>
      </c>
      <c r="E676" s="3" t="str">
        <f ca="1">VLOOKUP($C676,OFFSET([1]quests!$A$1,0,0,COUNTA([1]quests!$A:$A),MATCH(E$1,[1]quests!$1:$1,0)-MATCH($C$1,[1]quests!$1:$1,0)+1),MATCH(E$1,[1]quests!$1:$1,0)-MATCH($C$1,[1]quests!$1:$1,0)+1,FALSE)</f>
        <v>ドロップイベント2-4</v>
      </c>
      <c r="F676" s="5">
        <v>3</v>
      </c>
      <c r="G676" s="3" t="str">
        <f ca="1">VLOOKUP($C676&amp;"_"&amp;$F676,OFFSET([1]stages!$A$1,0,0,COUNTA([1]stages!$A:$A),MATCH(G$1,[1]stages!$2:$2,0)-MATCH("temp_stage",[1]stages!$2:$2,0)+1),MATCH(G$1,[1]stages!$2:$2,0)-MATCH("temp_stage",[1]stages!$2:$2,0)+1,FALSE)</f>
        <v>【上級】天翔ける金轟機龍</v>
      </c>
      <c r="H676" s="3" t="str">
        <f ca="1">VLOOKUP($C676&amp;"_"&amp;$F676,OFFSET([1]stages!$A$1,0,0,COUNTA([1]stages!$A:$A),MATCH(H$1,[1]stages!$2:$2,0)-MATCH("temp_stage",[1]stages!$2:$2,0)+1),MATCH(H$1,[1]stages!$2:$2,0)-MATCH("temp_stage",[1]stages!$2:$2,0)+1,FALSE)</f>
        <v>ドロップイベント2-4</v>
      </c>
      <c r="I676" s="18">
        <v>0</v>
      </c>
      <c r="J676" s="5">
        <f>COUNTIF(C$1:C676,C676)</f>
        <v>15</v>
      </c>
      <c r="K676" s="34">
        <v>19</v>
      </c>
      <c r="L676" s="5" t="s">
        <v>17</v>
      </c>
      <c r="M676" s="38" t="str">
        <f>VLOOKUP(K676,[2]stage_hints!$A:$C,3,FALSE)</f>
        <v>ソロ専用チャレンジタワー</v>
      </c>
      <c r="N676" s="39" t="str">
        <f>VLOOKUP(K676,[2]stage_hints!$A:$D,4,FALSE)</f>
        <v>ソロ専用の「チャレンジタワー」では
各フロアごとにクリア報酬がもらえます</v>
      </c>
      <c r="O676" s="20" t="s">
        <v>24</v>
      </c>
      <c r="P676">
        <v>19</v>
      </c>
    </row>
    <row r="677" spans="1:16" x14ac:dyDescent="0.15">
      <c r="A677" s="27" t="str">
        <f t="shared" si="73"/>
        <v>20008_3_16</v>
      </c>
      <c r="B677" s="25" t="s">
        <v>34</v>
      </c>
      <c r="C677" s="4">
        <v>20008</v>
      </c>
      <c r="D677" s="3" t="str">
        <f ca="1">VLOOKUP($C677,OFFSET([1]quests!$A$1,0,0,COUNTA([1]quests!$A:$A),MATCH(D$1,[1]quests!$1:$1,0)-MATCH($C$1,[1]quests!$1:$1,0)+1),MATCH(D$1,[1]quests!$1:$1,0)-MATCH($C$1,[1]quests!$1:$1,0)+1,FALSE)</f>
        <v>天翔ける金轟機龍</v>
      </c>
      <c r="E677" s="3" t="str">
        <f ca="1">VLOOKUP($C677,OFFSET([1]quests!$A$1,0,0,COUNTA([1]quests!$A:$A),MATCH(E$1,[1]quests!$1:$1,0)-MATCH($C$1,[1]quests!$1:$1,0)+1),MATCH(E$1,[1]quests!$1:$1,0)-MATCH($C$1,[1]quests!$1:$1,0)+1,FALSE)</f>
        <v>ドロップイベント2-4</v>
      </c>
      <c r="F677" s="5">
        <v>3</v>
      </c>
      <c r="G677" s="3" t="str">
        <f ca="1">VLOOKUP($C677&amp;"_"&amp;$F677,OFFSET([1]stages!$A$1,0,0,COUNTA([1]stages!$A:$A),MATCH(G$1,[1]stages!$2:$2,0)-MATCH("temp_stage",[1]stages!$2:$2,0)+1),MATCH(G$1,[1]stages!$2:$2,0)-MATCH("temp_stage",[1]stages!$2:$2,0)+1,FALSE)</f>
        <v>【上級】天翔ける金轟機龍</v>
      </c>
      <c r="H677" s="3" t="str">
        <f ca="1">VLOOKUP($C677&amp;"_"&amp;$F677,OFFSET([1]stages!$A$1,0,0,COUNTA([1]stages!$A:$A),MATCH(H$1,[1]stages!$2:$2,0)-MATCH("temp_stage",[1]stages!$2:$2,0)+1),MATCH(H$1,[1]stages!$2:$2,0)-MATCH("temp_stage",[1]stages!$2:$2,0)+1,FALSE)</f>
        <v>ドロップイベント2-4</v>
      </c>
      <c r="I677" s="18">
        <v>0</v>
      </c>
      <c r="J677" s="5">
        <f>COUNTIF(C$1:C677,C677)</f>
        <v>16</v>
      </c>
      <c r="K677" s="34">
        <v>20</v>
      </c>
      <c r="L677" s="5" t="s">
        <v>17</v>
      </c>
      <c r="M677" s="38" t="str">
        <f>VLOOKUP(K677,[2]stage_hints!$A:$C,3,FALSE)</f>
        <v>マルチプレイのメリット（その3）</v>
      </c>
      <c r="N677" s="39" t="str">
        <f>VLOOKUP(K677,[2]stage_hints!$A:$D,4,FALSE)</f>
        <v>マルチプレイへの参加はエナジー消費ゼロ
いつでも好きなだけ遊ぶことができます</v>
      </c>
      <c r="O677" s="20" t="s">
        <v>24</v>
      </c>
      <c r="P677">
        <v>20</v>
      </c>
    </row>
    <row r="678" spans="1:16" x14ac:dyDescent="0.15">
      <c r="A678" s="27" t="str">
        <f t="shared" si="73"/>
        <v>20008_3_17</v>
      </c>
      <c r="B678" s="25" t="s">
        <v>34</v>
      </c>
      <c r="C678" s="4">
        <v>20008</v>
      </c>
      <c r="D678" s="3" t="str">
        <f ca="1">VLOOKUP($C678,OFFSET([1]quests!$A$1,0,0,COUNTA([1]quests!$A:$A),MATCH(D$1,[1]quests!$1:$1,0)-MATCH($C$1,[1]quests!$1:$1,0)+1),MATCH(D$1,[1]quests!$1:$1,0)-MATCH($C$1,[1]quests!$1:$1,0)+1,FALSE)</f>
        <v>天翔ける金轟機龍</v>
      </c>
      <c r="E678" s="3" t="str">
        <f ca="1">VLOOKUP($C678,OFFSET([1]quests!$A$1,0,0,COUNTA([1]quests!$A:$A),MATCH(E$1,[1]quests!$1:$1,0)-MATCH($C$1,[1]quests!$1:$1,0)+1),MATCH(E$1,[1]quests!$1:$1,0)-MATCH($C$1,[1]quests!$1:$1,0)+1,FALSE)</f>
        <v>ドロップイベント2-4</v>
      </c>
      <c r="F678" s="5">
        <v>3</v>
      </c>
      <c r="G678" s="3" t="str">
        <f ca="1">VLOOKUP($C678&amp;"_"&amp;$F678,OFFSET([1]stages!$A$1,0,0,COUNTA([1]stages!$A:$A),MATCH(G$1,[1]stages!$2:$2,0)-MATCH("temp_stage",[1]stages!$2:$2,0)+1),MATCH(G$1,[1]stages!$2:$2,0)-MATCH("temp_stage",[1]stages!$2:$2,0)+1,FALSE)</f>
        <v>【上級】天翔ける金轟機龍</v>
      </c>
      <c r="H678" s="3" t="str">
        <f ca="1">VLOOKUP($C678&amp;"_"&amp;$F678,OFFSET([1]stages!$A$1,0,0,COUNTA([1]stages!$A:$A),MATCH(H$1,[1]stages!$2:$2,0)-MATCH("temp_stage",[1]stages!$2:$2,0)+1),MATCH(H$1,[1]stages!$2:$2,0)-MATCH("temp_stage",[1]stages!$2:$2,0)+1,FALSE)</f>
        <v>ドロップイベント2-4</v>
      </c>
      <c r="I678" s="18">
        <v>0</v>
      </c>
      <c r="J678" s="5">
        <f>COUNTIF(C$1:C678,C678)</f>
        <v>17</v>
      </c>
      <c r="K678" s="34">
        <v>21</v>
      </c>
      <c r="L678" s="5" t="s">
        <v>17</v>
      </c>
      <c r="M678" s="38" t="str">
        <f>VLOOKUP(K678,[2]stage_hints!$A:$C,3,FALSE)</f>
        <v>スキルを有効に</v>
      </c>
      <c r="N678" s="39" t="str">
        <f>VLOOKUP(K678,[2]stage_hints!$A:$D,4,FALSE)</f>
        <v>ターン経過でユニットのスキルが使えます
強力スキルでバトルを有利に進めましょう</v>
      </c>
      <c r="O678" s="20" t="s">
        <v>24</v>
      </c>
      <c r="P678">
        <v>21</v>
      </c>
    </row>
    <row r="679" spans="1:16" x14ac:dyDescent="0.15">
      <c r="A679" s="27" t="str">
        <f t="shared" si="73"/>
        <v>20008_3_18</v>
      </c>
      <c r="B679" s="25" t="s">
        <v>34</v>
      </c>
      <c r="C679" s="4">
        <v>20008</v>
      </c>
      <c r="D679" s="3" t="str">
        <f ca="1">VLOOKUP($C679,OFFSET([1]quests!$A$1,0,0,COUNTA([1]quests!$A:$A),MATCH(D$1,[1]quests!$1:$1,0)-MATCH($C$1,[1]quests!$1:$1,0)+1),MATCH(D$1,[1]quests!$1:$1,0)-MATCH($C$1,[1]quests!$1:$1,0)+1,FALSE)</f>
        <v>天翔ける金轟機龍</v>
      </c>
      <c r="E679" s="3" t="str">
        <f ca="1">VLOOKUP($C679,OFFSET([1]quests!$A$1,0,0,COUNTA([1]quests!$A:$A),MATCH(E$1,[1]quests!$1:$1,0)-MATCH($C$1,[1]quests!$1:$1,0)+1),MATCH(E$1,[1]quests!$1:$1,0)-MATCH($C$1,[1]quests!$1:$1,0)+1,FALSE)</f>
        <v>ドロップイベント2-4</v>
      </c>
      <c r="F679" s="5">
        <v>3</v>
      </c>
      <c r="G679" s="3" t="str">
        <f ca="1">VLOOKUP($C679&amp;"_"&amp;$F679,OFFSET([1]stages!$A$1,0,0,COUNTA([1]stages!$A:$A),MATCH(G$1,[1]stages!$2:$2,0)-MATCH("temp_stage",[1]stages!$2:$2,0)+1),MATCH(G$1,[1]stages!$2:$2,0)-MATCH("temp_stage",[1]stages!$2:$2,0)+1,FALSE)</f>
        <v>【上級】天翔ける金轟機龍</v>
      </c>
      <c r="H679" s="3" t="str">
        <f ca="1">VLOOKUP($C679&amp;"_"&amp;$F679,OFFSET([1]stages!$A$1,0,0,COUNTA([1]stages!$A:$A),MATCH(H$1,[1]stages!$2:$2,0)-MATCH("temp_stage",[1]stages!$2:$2,0)+1),MATCH(H$1,[1]stages!$2:$2,0)-MATCH("temp_stage",[1]stages!$2:$2,0)+1,FALSE)</f>
        <v>ドロップイベント2-4</v>
      </c>
      <c r="I679" s="18">
        <v>0</v>
      </c>
      <c r="J679" s="5">
        <f>COUNTIF(C$1:C679,C679)</f>
        <v>18</v>
      </c>
      <c r="K679" s="34">
        <v>22</v>
      </c>
      <c r="L679" s="5" t="s">
        <v>17</v>
      </c>
      <c r="M679" s="38" t="str">
        <f>VLOOKUP(K679,[2]stage_hints!$A:$C,3,FALSE)</f>
        <v>フィーバーで一発逆転（その1）</v>
      </c>
      <c r="N679" s="39" t="str">
        <f>VLOOKUP(K679,[2]stage_hints!$A:$D,4,FALSE)</f>
        <v>フィーバーは攻撃と回復を兼ね備えます
ピンチからの一発逆転を狙いましょう</v>
      </c>
      <c r="O679" s="20" t="s">
        <v>24</v>
      </c>
      <c r="P679">
        <v>22</v>
      </c>
    </row>
    <row r="680" spans="1:16" x14ac:dyDescent="0.15">
      <c r="A680" s="27" t="str">
        <f t="shared" ref="A680:A743" si="74">C680&amp;"_"&amp;F680&amp;"_"&amp;J680</f>
        <v>20008_3_19</v>
      </c>
      <c r="B680" s="25" t="s">
        <v>34</v>
      </c>
      <c r="C680" s="4">
        <v>20008</v>
      </c>
      <c r="D680" s="3" t="str">
        <f ca="1">VLOOKUP($C680,OFFSET([1]quests!$A$1,0,0,COUNTA([1]quests!$A:$A),MATCH(D$1,[1]quests!$1:$1,0)-MATCH($C$1,[1]quests!$1:$1,0)+1),MATCH(D$1,[1]quests!$1:$1,0)-MATCH($C$1,[1]quests!$1:$1,0)+1,FALSE)</f>
        <v>天翔ける金轟機龍</v>
      </c>
      <c r="E680" s="3" t="str">
        <f ca="1">VLOOKUP($C680,OFFSET([1]quests!$A$1,0,0,COUNTA([1]quests!$A:$A),MATCH(E$1,[1]quests!$1:$1,0)-MATCH($C$1,[1]quests!$1:$1,0)+1),MATCH(E$1,[1]quests!$1:$1,0)-MATCH($C$1,[1]quests!$1:$1,0)+1,FALSE)</f>
        <v>ドロップイベント2-4</v>
      </c>
      <c r="F680" s="5">
        <v>3</v>
      </c>
      <c r="G680" s="3" t="str">
        <f ca="1">VLOOKUP($C680&amp;"_"&amp;$F680,OFFSET([1]stages!$A$1,0,0,COUNTA([1]stages!$A:$A),MATCH(G$1,[1]stages!$2:$2,0)-MATCH("temp_stage",[1]stages!$2:$2,0)+1),MATCH(G$1,[1]stages!$2:$2,0)-MATCH("temp_stage",[1]stages!$2:$2,0)+1,FALSE)</f>
        <v>【上級】天翔ける金轟機龍</v>
      </c>
      <c r="H680" s="3" t="str">
        <f ca="1">VLOOKUP($C680&amp;"_"&amp;$F680,OFFSET([1]stages!$A$1,0,0,COUNTA([1]stages!$A:$A),MATCH(H$1,[1]stages!$2:$2,0)-MATCH("temp_stage",[1]stages!$2:$2,0)+1),MATCH(H$1,[1]stages!$2:$2,0)-MATCH("temp_stage",[1]stages!$2:$2,0)+1,FALSE)</f>
        <v>ドロップイベント2-4</v>
      </c>
      <c r="I680" s="18">
        <v>0</v>
      </c>
      <c r="J680" s="5">
        <f>COUNTIF(C$1:C680,C680)</f>
        <v>19</v>
      </c>
      <c r="K680" s="34">
        <v>23</v>
      </c>
      <c r="L680" s="5" t="s">
        <v>17</v>
      </c>
      <c r="M680" s="38" t="str">
        <f>VLOOKUP(K680,[2]stage_hints!$A:$C,3,FALSE)</f>
        <v>フィーバーで一発逆転（その2）</v>
      </c>
      <c r="N680" s="39" t="str">
        <f>VLOOKUP(K680,[2]stage_hints!$A:$D,4,FALSE)</f>
        <v>フィーバー中は虹色のボムパネルを狙って
画面上のパネルを一気に破壊しましょう</v>
      </c>
      <c r="O680" s="20" t="s">
        <v>24</v>
      </c>
      <c r="P680">
        <v>23</v>
      </c>
    </row>
    <row r="681" spans="1:16" x14ac:dyDescent="0.15">
      <c r="A681" s="27" t="str">
        <f t="shared" si="74"/>
        <v>20008_3_20</v>
      </c>
      <c r="B681" s="25" t="s">
        <v>34</v>
      </c>
      <c r="C681" s="4">
        <v>20008</v>
      </c>
      <c r="D681" s="3" t="str">
        <f ca="1">VLOOKUP($C681,OFFSET([1]quests!$A$1,0,0,COUNTA([1]quests!$A:$A),MATCH(D$1,[1]quests!$1:$1,0)-MATCH($C$1,[1]quests!$1:$1,0)+1),MATCH(D$1,[1]quests!$1:$1,0)-MATCH($C$1,[1]quests!$1:$1,0)+1,FALSE)</f>
        <v>天翔ける金轟機龍</v>
      </c>
      <c r="E681" s="3" t="str">
        <f ca="1">VLOOKUP($C681,OFFSET([1]quests!$A$1,0,0,COUNTA([1]quests!$A:$A),MATCH(E$1,[1]quests!$1:$1,0)-MATCH($C$1,[1]quests!$1:$1,0)+1),MATCH(E$1,[1]quests!$1:$1,0)-MATCH($C$1,[1]quests!$1:$1,0)+1,FALSE)</f>
        <v>ドロップイベント2-4</v>
      </c>
      <c r="F681" s="5">
        <v>3</v>
      </c>
      <c r="G681" s="3" t="str">
        <f ca="1">VLOOKUP($C681&amp;"_"&amp;$F681,OFFSET([1]stages!$A$1,0,0,COUNTA([1]stages!$A:$A),MATCH(G$1,[1]stages!$2:$2,0)-MATCH("temp_stage",[1]stages!$2:$2,0)+1),MATCH(G$1,[1]stages!$2:$2,0)-MATCH("temp_stage",[1]stages!$2:$2,0)+1,FALSE)</f>
        <v>【上級】天翔ける金轟機龍</v>
      </c>
      <c r="H681" s="3" t="str">
        <f ca="1">VLOOKUP($C681&amp;"_"&amp;$F681,OFFSET([1]stages!$A$1,0,0,COUNTA([1]stages!$A:$A),MATCH(H$1,[1]stages!$2:$2,0)-MATCH("temp_stage",[1]stages!$2:$2,0)+1),MATCH(H$1,[1]stages!$2:$2,0)-MATCH("temp_stage",[1]stages!$2:$2,0)+1,FALSE)</f>
        <v>ドロップイベント2-4</v>
      </c>
      <c r="I681" s="18">
        <v>0</v>
      </c>
      <c r="J681" s="5">
        <f>COUNTIF(C$1:C681,C681)</f>
        <v>20</v>
      </c>
      <c r="K681" s="34">
        <v>24</v>
      </c>
      <c r="L681" s="5" t="s">
        <v>17</v>
      </c>
      <c r="M681" s="38" t="str">
        <f>VLOOKUP(K681,[2]stage_hints!$A:$C,3,FALSE)</f>
        <v>りんごを使って限界突破</v>
      </c>
      <c r="N681" s="39" t="str">
        <f>VLOOKUP(K681,[2]stage_hints!$A:$D,4,FALSE)</f>
        <v>赤りんご(攻撃力) 青りんご(回復力)
緑りんご(体力)をユニット強化に使うと
ステータスが限界突破します（計99個迄）</v>
      </c>
      <c r="O681" s="20" t="s">
        <v>24</v>
      </c>
      <c r="P681">
        <v>24</v>
      </c>
    </row>
    <row r="682" spans="1:16" x14ac:dyDescent="0.15">
      <c r="A682" s="27" t="str">
        <f t="shared" si="74"/>
        <v>20008_3_21</v>
      </c>
      <c r="B682" s="25" t="s">
        <v>34</v>
      </c>
      <c r="C682" s="4">
        <v>20008</v>
      </c>
      <c r="D682" s="3" t="str">
        <f ca="1">VLOOKUP($C682,OFFSET([1]quests!$A$1,0,0,COUNTA([1]quests!$A:$A),MATCH(D$1,[1]quests!$1:$1,0)-MATCH($C$1,[1]quests!$1:$1,0)+1),MATCH(D$1,[1]quests!$1:$1,0)-MATCH($C$1,[1]quests!$1:$1,0)+1,FALSE)</f>
        <v>天翔ける金轟機龍</v>
      </c>
      <c r="E682" s="3" t="str">
        <f ca="1">VLOOKUP($C682,OFFSET([1]quests!$A$1,0,0,COUNTA([1]quests!$A:$A),MATCH(E$1,[1]quests!$1:$1,0)-MATCH($C$1,[1]quests!$1:$1,0)+1),MATCH(E$1,[1]quests!$1:$1,0)-MATCH($C$1,[1]quests!$1:$1,0)+1,FALSE)</f>
        <v>ドロップイベント2-4</v>
      </c>
      <c r="F682" s="5">
        <v>3</v>
      </c>
      <c r="G682" s="3" t="str">
        <f ca="1">VLOOKUP($C682&amp;"_"&amp;$F682,OFFSET([1]stages!$A$1,0,0,COUNTA([1]stages!$A:$A),MATCH(G$1,[1]stages!$2:$2,0)-MATCH("temp_stage",[1]stages!$2:$2,0)+1),MATCH(G$1,[1]stages!$2:$2,0)-MATCH("temp_stage",[1]stages!$2:$2,0)+1,FALSE)</f>
        <v>【上級】天翔ける金轟機龍</v>
      </c>
      <c r="H682" s="3" t="str">
        <f ca="1">VLOOKUP($C682&amp;"_"&amp;$F682,OFFSET([1]stages!$A$1,0,0,COUNTA([1]stages!$A:$A),MATCH(H$1,[1]stages!$2:$2,0)-MATCH("temp_stage",[1]stages!$2:$2,0)+1),MATCH(H$1,[1]stages!$2:$2,0)-MATCH("temp_stage",[1]stages!$2:$2,0)+1,FALSE)</f>
        <v>ドロップイベント2-4</v>
      </c>
      <c r="I682" s="18">
        <v>0</v>
      </c>
      <c r="J682" s="5">
        <f>COUNTIF(C$1:C682,C682)</f>
        <v>21</v>
      </c>
      <c r="K682" s="34">
        <v>25</v>
      </c>
      <c r="L682" s="5" t="s">
        <v>17</v>
      </c>
      <c r="M682" s="38" t="str">
        <f>VLOOKUP(K682,[2]stage_hints!$A:$C,3,FALSE)</f>
        <v>スキルレベルアップ</v>
      </c>
      <c r="N682" s="39" t="str">
        <f>VLOOKUP(K682,[2]stage_hints!$A:$D,4,FALSE)</f>
        <v>「クリスタルのりんご」を強化に使うと
スキルレベルを上げることができます</v>
      </c>
      <c r="O682" s="20" t="s">
        <v>24</v>
      </c>
      <c r="P682">
        <v>25</v>
      </c>
    </row>
    <row r="683" spans="1:16" x14ac:dyDescent="0.15">
      <c r="A683" s="27" t="str">
        <f t="shared" si="74"/>
        <v>20008_3_22</v>
      </c>
      <c r="B683" s="25" t="s">
        <v>34</v>
      </c>
      <c r="C683" s="4">
        <v>20008</v>
      </c>
      <c r="D683" s="3" t="str">
        <f ca="1">VLOOKUP($C683,OFFSET([1]quests!$A$1,0,0,COUNTA([1]quests!$A:$A),MATCH(D$1,[1]quests!$1:$1,0)-MATCH($C$1,[1]quests!$1:$1,0)+1),MATCH(D$1,[1]quests!$1:$1,0)-MATCH($C$1,[1]quests!$1:$1,0)+1,FALSE)</f>
        <v>天翔ける金轟機龍</v>
      </c>
      <c r="E683" s="3" t="str">
        <f ca="1">VLOOKUP($C683,OFFSET([1]quests!$A$1,0,0,COUNTA([1]quests!$A:$A),MATCH(E$1,[1]quests!$1:$1,0)-MATCH($C$1,[1]quests!$1:$1,0)+1),MATCH(E$1,[1]quests!$1:$1,0)-MATCH($C$1,[1]quests!$1:$1,0)+1,FALSE)</f>
        <v>ドロップイベント2-4</v>
      </c>
      <c r="F683" s="5">
        <v>3</v>
      </c>
      <c r="G683" s="3" t="str">
        <f ca="1">VLOOKUP($C683&amp;"_"&amp;$F683,OFFSET([1]stages!$A$1,0,0,COUNTA([1]stages!$A:$A),MATCH(G$1,[1]stages!$2:$2,0)-MATCH("temp_stage",[1]stages!$2:$2,0)+1),MATCH(G$1,[1]stages!$2:$2,0)-MATCH("temp_stage",[1]stages!$2:$2,0)+1,FALSE)</f>
        <v>【上級】天翔ける金轟機龍</v>
      </c>
      <c r="H683" s="3" t="str">
        <f ca="1">VLOOKUP($C683&amp;"_"&amp;$F683,OFFSET([1]stages!$A$1,0,0,COUNTA([1]stages!$A:$A),MATCH(H$1,[1]stages!$2:$2,0)-MATCH("temp_stage",[1]stages!$2:$2,0)+1),MATCH(H$1,[1]stages!$2:$2,0)-MATCH("temp_stage",[1]stages!$2:$2,0)+1,FALSE)</f>
        <v>ドロップイベント2-4</v>
      </c>
      <c r="I683" s="18">
        <v>0</v>
      </c>
      <c r="J683" s="5">
        <f>COUNTIF(C$1:C683,C683)</f>
        <v>22</v>
      </c>
      <c r="K683" s="34">
        <v>26</v>
      </c>
      <c r="L683" s="5" t="s">
        <v>17</v>
      </c>
      <c r="M683" s="38" t="str">
        <f>VLOOKUP(K683,[2]stage_hints!$A:$C,3,FALSE)</f>
        <v>スキルレベルの効果</v>
      </c>
      <c r="N683" s="39" t="str">
        <f>VLOOKUP(K683,[2]stage_hints!$A:$D,4,FALSE)</f>
        <v>スキルレベルが上がると
短いターンでスキルを使うことができます</v>
      </c>
      <c r="O683" s="20" t="s">
        <v>24</v>
      </c>
      <c r="P683">
        <v>26</v>
      </c>
    </row>
    <row r="684" spans="1:16" x14ac:dyDescent="0.15">
      <c r="A684" s="27" t="str">
        <f t="shared" si="74"/>
        <v>20008_3_23</v>
      </c>
      <c r="B684" s="25" t="s">
        <v>34</v>
      </c>
      <c r="C684" s="4">
        <v>20008</v>
      </c>
      <c r="D684" s="3" t="str">
        <f ca="1">VLOOKUP($C684,OFFSET([1]quests!$A$1,0,0,COUNTA([1]quests!$A:$A),MATCH(D$1,[1]quests!$1:$1,0)-MATCH($C$1,[1]quests!$1:$1,0)+1),MATCH(D$1,[1]quests!$1:$1,0)-MATCH($C$1,[1]quests!$1:$1,0)+1,FALSE)</f>
        <v>天翔ける金轟機龍</v>
      </c>
      <c r="E684" s="3" t="str">
        <f ca="1">VLOOKUP($C684,OFFSET([1]quests!$A$1,0,0,COUNTA([1]quests!$A:$A),MATCH(E$1,[1]quests!$1:$1,0)-MATCH($C$1,[1]quests!$1:$1,0)+1),MATCH(E$1,[1]quests!$1:$1,0)-MATCH($C$1,[1]quests!$1:$1,0)+1,FALSE)</f>
        <v>ドロップイベント2-4</v>
      </c>
      <c r="F684" s="5">
        <v>3</v>
      </c>
      <c r="G684" s="3" t="str">
        <f ca="1">VLOOKUP($C684&amp;"_"&amp;$F684,OFFSET([1]stages!$A$1,0,0,COUNTA([1]stages!$A:$A),MATCH(G$1,[1]stages!$2:$2,0)-MATCH("temp_stage",[1]stages!$2:$2,0)+1),MATCH(G$1,[1]stages!$2:$2,0)-MATCH("temp_stage",[1]stages!$2:$2,0)+1,FALSE)</f>
        <v>【上級】天翔ける金轟機龍</v>
      </c>
      <c r="H684" s="3" t="str">
        <f ca="1">VLOOKUP($C684&amp;"_"&amp;$F684,OFFSET([1]stages!$A$1,0,0,COUNTA([1]stages!$A:$A),MATCH(H$1,[1]stages!$2:$2,0)-MATCH("temp_stage",[1]stages!$2:$2,0)+1),MATCH(H$1,[1]stages!$2:$2,0)-MATCH("temp_stage",[1]stages!$2:$2,0)+1,FALSE)</f>
        <v>ドロップイベント2-4</v>
      </c>
      <c r="I684" s="18">
        <v>0</v>
      </c>
      <c r="J684" s="5">
        <f>COUNTIF(C$1:C684,C684)</f>
        <v>23</v>
      </c>
      <c r="K684" s="34">
        <v>27</v>
      </c>
      <c r="L684" s="5" t="s">
        <v>17</v>
      </c>
      <c r="M684" s="38" t="str">
        <f>VLOOKUP(K684,[2]stage_hints!$A:$C,3,FALSE)</f>
        <v>ホーム画面からデッキを編成</v>
      </c>
      <c r="N684" s="39" t="str">
        <f>VLOOKUP(K684,[2]stage_hints!$A:$D,4,FALSE)</f>
        <v>ホーム画面でユニットを長押しすると
すぐにパーティ編成に移動できます</v>
      </c>
      <c r="O684" s="20" t="s">
        <v>24</v>
      </c>
      <c r="P684">
        <v>27</v>
      </c>
    </row>
    <row r="685" spans="1:16" x14ac:dyDescent="0.15">
      <c r="A685" s="27" t="str">
        <f t="shared" si="74"/>
        <v>20008_3_24</v>
      </c>
      <c r="B685" s="25" t="s">
        <v>34</v>
      </c>
      <c r="C685" s="4">
        <v>20008</v>
      </c>
      <c r="D685" s="3" t="str">
        <f ca="1">VLOOKUP($C685,OFFSET([1]quests!$A$1,0,0,COUNTA([1]quests!$A:$A),MATCH(D$1,[1]quests!$1:$1,0)-MATCH($C$1,[1]quests!$1:$1,0)+1),MATCH(D$1,[1]quests!$1:$1,0)-MATCH($C$1,[1]quests!$1:$1,0)+1,FALSE)</f>
        <v>天翔ける金轟機龍</v>
      </c>
      <c r="E685" s="3" t="str">
        <f ca="1">VLOOKUP($C685,OFFSET([1]quests!$A$1,0,0,COUNTA([1]quests!$A:$A),MATCH(E$1,[1]quests!$1:$1,0)-MATCH($C$1,[1]quests!$1:$1,0)+1),MATCH(E$1,[1]quests!$1:$1,0)-MATCH($C$1,[1]quests!$1:$1,0)+1,FALSE)</f>
        <v>ドロップイベント2-4</v>
      </c>
      <c r="F685" s="5">
        <v>3</v>
      </c>
      <c r="G685" s="3" t="str">
        <f ca="1">VLOOKUP($C685&amp;"_"&amp;$F685,OFFSET([1]stages!$A$1,0,0,COUNTA([1]stages!$A:$A),MATCH(G$1,[1]stages!$2:$2,0)-MATCH("temp_stage",[1]stages!$2:$2,0)+1),MATCH(G$1,[1]stages!$2:$2,0)-MATCH("temp_stage",[1]stages!$2:$2,0)+1,FALSE)</f>
        <v>【上級】天翔ける金轟機龍</v>
      </c>
      <c r="H685" s="3" t="str">
        <f ca="1">VLOOKUP($C685&amp;"_"&amp;$F685,OFFSET([1]stages!$A$1,0,0,COUNTA([1]stages!$A:$A),MATCH(H$1,[1]stages!$2:$2,0)-MATCH("temp_stage",[1]stages!$2:$2,0)+1),MATCH(H$1,[1]stages!$2:$2,0)-MATCH("temp_stage",[1]stages!$2:$2,0)+1,FALSE)</f>
        <v>ドロップイベント2-4</v>
      </c>
      <c r="I685" s="18">
        <v>0</v>
      </c>
      <c r="J685" s="5">
        <f>COUNTIF(C$1:C685,C685)</f>
        <v>24</v>
      </c>
      <c r="K685" s="34">
        <v>28</v>
      </c>
      <c r="L685" s="5" t="s">
        <v>17</v>
      </c>
      <c r="M685" s="38" t="str">
        <f>VLOOKUP(K685,[2]stage_hints!$A:$C,3,FALSE)</f>
        <v>ステータス情報は長押しで</v>
      </c>
      <c r="N685" s="39" t="str">
        <f>VLOOKUP(K685,[2]stage_hints!$A:$D,4,FALSE)</f>
        <v>ユニットのアイコンを長押しすると
ステータス情報を確認することができます</v>
      </c>
      <c r="O685" s="20" t="s">
        <v>24</v>
      </c>
      <c r="P685">
        <v>28</v>
      </c>
    </row>
    <row r="686" spans="1:16" x14ac:dyDescent="0.15">
      <c r="A686" s="27" t="str">
        <f t="shared" si="74"/>
        <v>20008_3_25</v>
      </c>
      <c r="B686" s="25" t="s">
        <v>34</v>
      </c>
      <c r="C686" s="4">
        <v>20008</v>
      </c>
      <c r="D686" s="3" t="str">
        <f ca="1">VLOOKUP($C686,OFFSET([1]quests!$A$1,0,0,COUNTA([1]quests!$A:$A),MATCH(D$1,[1]quests!$1:$1,0)-MATCH($C$1,[1]quests!$1:$1,0)+1),MATCH(D$1,[1]quests!$1:$1,0)-MATCH($C$1,[1]quests!$1:$1,0)+1,FALSE)</f>
        <v>天翔ける金轟機龍</v>
      </c>
      <c r="E686" s="3" t="str">
        <f ca="1">VLOOKUP($C686,OFFSET([1]quests!$A$1,0,0,COUNTA([1]quests!$A:$A),MATCH(E$1,[1]quests!$1:$1,0)-MATCH($C$1,[1]quests!$1:$1,0)+1),MATCH(E$1,[1]quests!$1:$1,0)-MATCH($C$1,[1]quests!$1:$1,0)+1,FALSE)</f>
        <v>ドロップイベント2-4</v>
      </c>
      <c r="F686" s="5">
        <v>3</v>
      </c>
      <c r="G686" s="3" t="str">
        <f ca="1">VLOOKUP($C686&amp;"_"&amp;$F686,OFFSET([1]stages!$A$1,0,0,COUNTA([1]stages!$A:$A),MATCH(G$1,[1]stages!$2:$2,0)-MATCH("temp_stage",[1]stages!$2:$2,0)+1),MATCH(G$1,[1]stages!$2:$2,0)-MATCH("temp_stage",[1]stages!$2:$2,0)+1,FALSE)</f>
        <v>【上級】天翔ける金轟機龍</v>
      </c>
      <c r="H686" s="3" t="str">
        <f ca="1">VLOOKUP($C686&amp;"_"&amp;$F686,OFFSET([1]stages!$A$1,0,0,COUNTA([1]stages!$A:$A),MATCH(H$1,[1]stages!$2:$2,0)-MATCH("temp_stage",[1]stages!$2:$2,0)+1),MATCH(H$1,[1]stages!$2:$2,0)-MATCH("temp_stage",[1]stages!$2:$2,0)+1,FALSE)</f>
        <v>ドロップイベント2-4</v>
      </c>
      <c r="I686" s="18">
        <v>0</v>
      </c>
      <c r="J686" s="5">
        <f>COUNTIF(C$1:C686,C686)</f>
        <v>25</v>
      </c>
      <c r="K686" s="34">
        <v>29</v>
      </c>
      <c r="L686" s="5" t="s">
        <v>17</v>
      </c>
      <c r="M686" s="38" t="str">
        <f>VLOOKUP(K686,[2]stage_hints!$A:$C,3,FALSE)</f>
        <v>「バグ」のメリット</v>
      </c>
      <c r="N686" s="39" t="str">
        <f>VLOOKUP(K686,[2]stage_hints!$A:$D,4,FALSE)</f>
        <v>ユニットの「バグ」を増やすと
報酬をもらえる確率がアップします</v>
      </c>
      <c r="O686" s="20" t="s">
        <v>24</v>
      </c>
      <c r="P686">
        <v>29</v>
      </c>
    </row>
    <row r="687" spans="1:16" x14ac:dyDescent="0.15">
      <c r="A687" s="27" t="str">
        <f t="shared" si="74"/>
        <v>20008_3_26</v>
      </c>
      <c r="B687" s="25" t="s">
        <v>34</v>
      </c>
      <c r="C687" s="4">
        <v>20008</v>
      </c>
      <c r="D687" s="3" t="str">
        <f ca="1">VLOOKUP($C687,OFFSET([1]quests!$A$1,0,0,COUNTA([1]quests!$A:$A),MATCH(D$1,[1]quests!$1:$1,0)-MATCH($C$1,[1]quests!$1:$1,0)+1),MATCH(D$1,[1]quests!$1:$1,0)-MATCH($C$1,[1]quests!$1:$1,0)+1,FALSE)</f>
        <v>天翔ける金轟機龍</v>
      </c>
      <c r="E687" s="3" t="str">
        <f ca="1">VLOOKUP($C687,OFFSET([1]quests!$A$1,0,0,COUNTA([1]quests!$A:$A),MATCH(E$1,[1]quests!$1:$1,0)-MATCH($C$1,[1]quests!$1:$1,0)+1),MATCH(E$1,[1]quests!$1:$1,0)-MATCH($C$1,[1]quests!$1:$1,0)+1,FALSE)</f>
        <v>ドロップイベント2-4</v>
      </c>
      <c r="F687" s="5">
        <v>3</v>
      </c>
      <c r="G687" s="3" t="str">
        <f ca="1">VLOOKUP($C687&amp;"_"&amp;$F687,OFFSET([1]stages!$A$1,0,0,COUNTA([1]stages!$A:$A),MATCH(G$1,[1]stages!$2:$2,0)-MATCH("temp_stage",[1]stages!$2:$2,0)+1),MATCH(G$1,[1]stages!$2:$2,0)-MATCH("temp_stage",[1]stages!$2:$2,0)+1,FALSE)</f>
        <v>【上級】天翔ける金轟機龍</v>
      </c>
      <c r="H687" s="3" t="str">
        <f ca="1">VLOOKUP($C687&amp;"_"&amp;$F687,OFFSET([1]stages!$A$1,0,0,COUNTA([1]stages!$A:$A),MATCH(H$1,[1]stages!$2:$2,0)-MATCH("temp_stage",[1]stages!$2:$2,0)+1),MATCH(H$1,[1]stages!$2:$2,0)-MATCH("temp_stage",[1]stages!$2:$2,0)+1,FALSE)</f>
        <v>ドロップイベント2-4</v>
      </c>
      <c r="I687" s="18">
        <v>0</v>
      </c>
      <c r="J687" s="5">
        <f>COUNTIF(C$1:C687,C687)</f>
        <v>26</v>
      </c>
      <c r="K687" s="34">
        <v>30</v>
      </c>
      <c r="L687" s="5" t="s">
        <v>17</v>
      </c>
      <c r="M687" s="38" t="str">
        <f>VLOOKUP(K687,[2]stage_hints!$A:$C,3,FALSE)</f>
        <v>「バグ」の増やし方</v>
      </c>
      <c r="N687" s="39" t="str">
        <f>VLOOKUP(K687,[2]stage_hints!$A:$D,4,FALSE)</f>
        <v>同じユニット同士を強化で合成すると
「バグ」を増やすことができます</v>
      </c>
      <c r="O687" s="20" t="s">
        <v>24</v>
      </c>
      <c r="P687">
        <v>30</v>
      </c>
    </row>
    <row r="688" spans="1:16" x14ac:dyDescent="0.15">
      <c r="A688" s="27" t="str">
        <f t="shared" si="74"/>
        <v>20008_3_27</v>
      </c>
      <c r="B688" s="25" t="s">
        <v>34</v>
      </c>
      <c r="C688" s="4">
        <v>20008</v>
      </c>
      <c r="D688" s="3" t="str">
        <f ca="1">VLOOKUP($C688,OFFSET([1]quests!$A$1,0,0,COUNTA([1]quests!$A:$A),MATCH(D$1,[1]quests!$1:$1,0)-MATCH($C$1,[1]quests!$1:$1,0)+1),MATCH(D$1,[1]quests!$1:$1,0)-MATCH($C$1,[1]quests!$1:$1,0)+1,FALSE)</f>
        <v>天翔ける金轟機龍</v>
      </c>
      <c r="E688" s="3" t="str">
        <f ca="1">VLOOKUP($C688,OFFSET([1]quests!$A$1,0,0,COUNTA([1]quests!$A:$A),MATCH(E$1,[1]quests!$1:$1,0)-MATCH($C$1,[1]quests!$1:$1,0)+1),MATCH(E$1,[1]quests!$1:$1,0)-MATCH($C$1,[1]quests!$1:$1,0)+1,FALSE)</f>
        <v>ドロップイベント2-4</v>
      </c>
      <c r="F688" s="5">
        <v>3</v>
      </c>
      <c r="G688" s="3" t="str">
        <f ca="1">VLOOKUP($C688&amp;"_"&amp;$F688,OFFSET([1]stages!$A$1,0,0,COUNTA([1]stages!$A:$A),MATCH(G$1,[1]stages!$2:$2,0)-MATCH("temp_stage",[1]stages!$2:$2,0)+1),MATCH(G$1,[1]stages!$2:$2,0)-MATCH("temp_stage",[1]stages!$2:$2,0)+1,FALSE)</f>
        <v>【上級】天翔ける金轟機龍</v>
      </c>
      <c r="H688" s="3" t="str">
        <f ca="1">VLOOKUP($C688&amp;"_"&amp;$F688,OFFSET([1]stages!$A$1,0,0,COUNTA([1]stages!$A:$A),MATCH(H$1,[1]stages!$2:$2,0)-MATCH("temp_stage",[1]stages!$2:$2,0)+1),MATCH(H$1,[1]stages!$2:$2,0)-MATCH("temp_stage",[1]stages!$2:$2,0)+1,FALSE)</f>
        <v>ドロップイベント2-4</v>
      </c>
      <c r="I688" s="18">
        <v>0</v>
      </c>
      <c r="J688" s="5">
        <f>COUNTIF(C$1:C688,C688)</f>
        <v>27</v>
      </c>
      <c r="K688" s="34">
        <v>31</v>
      </c>
      <c r="L688" s="5" t="s">
        <v>17</v>
      </c>
      <c r="M688" s="38" t="str">
        <f>VLOOKUP(K688,[2]stage_hints!$A:$C,3,FALSE)</f>
        <v>イベントはお知らせでチェック</v>
      </c>
      <c r="N688" s="39" t="str">
        <f>VLOOKUP(K688,[2]stage_hints!$A:$D,4,FALSE)</f>
        <v>イベント限定ユニットを取り忘れないように
お知らせをこまめにチェックしましょう</v>
      </c>
      <c r="O688" s="20" t="s">
        <v>24</v>
      </c>
      <c r="P688">
        <v>31</v>
      </c>
    </row>
    <row r="689" spans="1:16" x14ac:dyDescent="0.15">
      <c r="A689" s="27" t="str">
        <f t="shared" si="74"/>
        <v>20008_3_28</v>
      </c>
      <c r="B689" s="25" t="s">
        <v>34</v>
      </c>
      <c r="C689" s="4">
        <v>20008</v>
      </c>
      <c r="D689" s="3" t="str">
        <f ca="1">VLOOKUP($C689,OFFSET([1]quests!$A$1,0,0,COUNTA([1]quests!$A:$A),MATCH(D$1,[1]quests!$1:$1,0)-MATCH($C$1,[1]quests!$1:$1,0)+1),MATCH(D$1,[1]quests!$1:$1,0)-MATCH($C$1,[1]quests!$1:$1,0)+1,FALSE)</f>
        <v>天翔ける金轟機龍</v>
      </c>
      <c r="E689" s="3" t="str">
        <f ca="1">VLOOKUP($C689,OFFSET([1]quests!$A$1,0,0,COUNTA([1]quests!$A:$A),MATCH(E$1,[1]quests!$1:$1,0)-MATCH($C$1,[1]quests!$1:$1,0)+1),MATCH(E$1,[1]quests!$1:$1,0)-MATCH($C$1,[1]quests!$1:$1,0)+1,FALSE)</f>
        <v>ドロップイベント2-4</v>
      </c>
      <c r="F689" s="5">
        <v>3</v>
      </c>
      <c r="G689" s="3" t="str">
        <f ca="1">VLOOKUP($C689&amp;"_"&amp;$F689,OFFSET([1]stages!$A$1,0,0,COUNTA([1]stages!$A:$A),MATCH(G$1,[1]stages!$2:$2,0)-MATCH("temp_stage",[1]stages!$2:$2,0)+1),MATCH(G$1,[1]stages!$2:$2,0)-MATCH("temp_stage",[1]stages!$2:$2,0)+1,FALSE)</f>
        <v>【上級】天翔ける金轟機龍</v>
      </c>
      <c r="H689" s="3" t="str">
        <f ca="1">VLOOKUP($C689&amp;"_"&amp;$F689,OFFSET([1]stages!$A$1,0,0,COUNTA([1]stages!$A:$A),MATCH(H$1,[1]stages!$2:$2,0)-MATCH("temp_stage",[1]stages!$2:$2,0)+1),MATCH(H$1,[1]stages!$2:$2,0)-MATCH("temp_stage",[1]stages!$2:$2,0)+1,FALSE)</f>
        <v>ドロップイベント2-4</v>
      </c>
      <c r="I689" s="18">
        <v>0</v>
      </c>
      <c r="J689" s="5">
        <f>COUNTIF(C$1:C689,C689)</f>
        <v>28</v>
      </c>
      <c r="K689" s="34">
        <v>32</v>
      </c>
      <c r="L689" s="5" t="s">
        <v>17</v>
      </c>
      <c r="M689" s="38" t="str">
        <f>VLOOKUP(K689,[2]stage_hints!$A:$C,3,FALSE)</f>
        <v>敵の連続攻撃には</v>
      </c>
      <c r="N689" s="39" t="str">
        <f>VLOOKUP(K689,[2]stage_hints!$A:$D,4,FALSE)</f>
        <v>カウンタースキルを持つユニットがいれば
ダメージ回数分の反撃ができます</v>
      </c>
      <c r="O689" s="20" t="s">
        <v>24</v>
      </c>
      <c r="P689">
        <v>32</v>
      </c>
    </row>
    <row r="690" spans="1:16" x14ac:dyDescent="0.15">
      <c r="A690" s="27" t="str">
        <f t="shared" si="74"/>
        <v>20008_3_29</v>
      </c>
      <c r="B690" s="25" t="s">
        <v>34</v>
      </c>
      <c r="C690" s="4">
        <v>20008</v>
      </c>
      <c r="D690" s="3" t="str">
        <f ca="1">VLOOKUP($C690,OFFSET([1]quests!$A$1,0,0,COUNTA([1]quests!$A:$A),MATCH(D$1,[1]quests!$1:$1,0)-MATCH($C$1,[1]quests!$1:$1,0)+1),MATCH(D$1,[1]quests!$1:$1,0)-MATCH($C$1,[1]quests!$1:$1,0)+1,FALSE)</f>
        <v>天翔ける金轟機龍</v>
      </c>
      <c r="E690" s="3" t="str">
        <f ca="1">VLOOKUP($C690,OFFSET([1]quests!$A$1,0,0,COUNTA([1]quests!$A:$A),MATCH(E$1,[1]quests!$1:$1,0)-MATCH($C$1,[1]quests!$1:$1,0)+1),MATCH(E$1,[1]quests!$1:$1,0)-MATCH($C$1,[1]quests!$1:$1,0)+1,FALSE)</f>
        <v>ドロップイベント2-4</v>
      </c>
      <c r="F690" s="5">
        <v>3</v>
      </c>
      <c r="G690" s="3" t="str">
        <f ca="1">VLOOKUP($C690&amp;"_"&amp;$F690,OFFSET([1]stages!$A$1,0,0,COUNTA([1]stages!$A:$A),MATCH(G$1,[1]stages!$2:$2,0)-MATCH("temp_stage",[1]stages!$2:$2,0)+1),MATCH(G$1,[1]stages!$2:$2,0)-MATCH("temp_stage",[1]stages!$2:$2,0)+1,FALSE)</f>
        <v>【上級】天翔ける金轟機龍</v>
      </c>
      <c r="H690" s="3" t="str">
        <f ca="1">VLOOKUP($C690&amp;"_"&amp;$F690,OFFSET([1]stages!$A$1,0,0,COUNTA([1]stages!$A:$A),MATCH(H$1,[1]stages!$2:$2,0)-MATCH("temp_stage",[1]stages!$2:$2,0)+1),MATCH(H$1,[1]stages!$2:$2,0)-MATCH("temp_stage",[1]stages!$2:$2,0)+1,FALSE)</f>
        <v>ドロップイベント2-4</v>
      </c>
      <c r="I690" s="18">
        <v>0</v>
      </c>
      <c r="J690" s="5">
        <f>COUNTIF(C$1:C690,C690)</f>
        <v>29</v>
      </c>
      <c r="K690" s="34">
        <v>33</v>
      </c>
      <c r="L690" s="5" t="s">
        <v>17</v>
      </c>
      <c r="M690" s="38" t="str">
        <f>VLOOKUP(K690,[2]stage_hints!$A:$C,3,FALSE)</f>
        <v>敵のカウンター攻撃には</v>
      </c>
      <c r="N690" s="39" t="str">
        <f>VLOOKUP(K690,[2]stage_hints!$A:$D,4,FALSE)</f>
        <v>カウンターブレイクスキルを持っていれば
敵のカウンターを解除して攻撃ができます</v>
      </c>
      <c r="O690" s="20" t="s">
        <v>24</v>
      </c>
      <c r="P690">
        <v>33</v>
      </c>
    </row>
    <row r="691" spans="1:16" x14ac:dyDescent="0.15">
      <c r="A691" s="27" t="str">
        <f t="shared" si="74"/>
        <v>20008_3_30</v>
      </c>
      <c r="B691" s="25" t="s">
        <v>34</v>
      </c>
      <c r="C691" s="4">
        <v>20008</v>
      </c>
      <c r="D691" s="3" t="str">
        <f ca="1">VLOOKUP($C691,OFFSET([1]quests!$A$1,0,0,COUNTA([1]quests!$A:$A),MATCH(D$1,[1]quests!$1:$1,0)-MATCH($C$1,[1]quests!$1:$1,0)+1),MATCH(D$1,[1]quests!$1:$1,0)-MATCH($C$1,[1]quests!$1:$1,0)+1,FALSE)</f>
        <v>天翔ける金轟機龍</v>
      </c>
      <c r="E691" s="3" t="str">
        <f ca="1">VLOOKUP($C691,OFFSET([1]quests!$A$1,0,0,COUNTA([1]quests!$A:$A),MATCH(E$1,[1]quests!$1:$1,0)-MATCH($C$1,[1]quests!$1:$1,0)+1),MATCH(E$1,[1]quests!$1:$1,0)-MATCH($C$1,[1]quests!$1:$1,0)+1,FALSE)</f>
        <v>ドロップイベント2-4</v>
      </c>
      <c r="F691" s="5">
        <v>3</v>
      </c>
      <c r="G691" s="3" t="str">
        <f ca="1">VLOOKUP($C691&amp;"_"&amp;$F691,OFFSET([1]stages!$A$1,0,0,COUNTA([1]stages!$A:$A),MATCH(G$1,[1]stages!$2:$2,0)-MATCH("temp_stage",[1]stages!$2:$2,0)+1),MATCH(G$1,[1]stages!$2:$2,0)-MATCH("temp_stage",[1]stages!$2:$2,0)+1,FALSE)</f>
        <v>【上級】天翔ける金轟機龍</v>
      </c>
      <c r="H691" s="3" t="str">
        <f ca="1">VLOOKUP($C691&amp;"_"&amp;$F691,OFFSET([1]stages!$A$1,0,0,COUNTA([1]stages!$A:$A),MATCH(H$1,[1]stages!$2:$2,0)-MATCH("temp_stage",[1]stages!$2:$2,0)+1),MATCH(H$1,[1]stages!$2:$2,0)-MATCH("temp_stage",[1]stages!$2:$2,0)+1,FALSE)</f>
        <v>ドロップイベント2-4</v>
      </c>
      <c r="I691" s="18">
        <v>0</v>
      </c>
      <c r="J691" s="5">
        <f>COUNTIF(C$1:C691,C691)</f>
        <v>30</v>
      </c>
      <c r="K691" s="34">
        <v>34</v>
      </c>
      <c r="L691" s="5" t="s">
        <v>17</v>
      </c>
      <c r="M691" s="38" t="str">
        <f>VLOOKUP(K691,[2]stage_hints!$A:$C,3,FALSE)</f>
        <v>ステータスをスキルで下げられたら</v>
      </c>
      <c r="N691" s="39" t="str">
        <f>VLOOKUP(K691,[2]stage_hints!$A:$D,4,FALSE)</f>
        <v>ステータスダウンのスキルを受けたら
ステータスアップスキルで上書きしましょう</v>
      </c>
      <c r="O691" s="20" t="s">
        <v>24</v>
      </c>
      <c r="P691">
        <v>34</v>
      </c>
    </row>
    <row r="692" spans="1:16" x14ac:dyDescent="0.15">
      <c r="A692" s="27" t="str">
        <f t="shared" si="74"/>
        <v>20008_3_31</v>
      </c>
      <c r="B692" s="25" t="s">
        <v>34</v>
      </c>
      <c r="C692" s="4">
        <v>20008</v>
      </c>
      <c r="D692" s="3" t="str">
        <f ca="1">VLOOKUP($C692,OFFSET([1]quests!$A$1,0,0,COUNTA([1]quests!$A:$A),MATCH(D$1,[1]quests!$1:$1,0)-MATCH($C$1,[1]quests!$1:$1,0)+1),MATCH(D$1,[1]quests!$1:$1,0)-MATCH($C$1,[1]quests!$1:$1,0)+1,FALSE)</f>
        <v>天翔ける金轟機龍</v>
      </c>
      <c r="E692" s="3" t="str">
        <f ca="1">VLOOKUP($C692,OFFSET([1]quests!$A$1,0,0,COUNTA([1]quests!$A:$A),MATCH(E$1,[1]quests!$1:$1,0)-MATCH($C$1,[1]quests!$1:$1,0)+1),MATCH(E$1,[1]quests!$1:$1,0)-MATCH($C$1,[1]quests!$1:$1,0)+1,FALSE)</f>
        <v>ドロップイベント2-4</v>
      </c>
      <c r="F692" s="5">
        <v>3</v>
      </c>
      <c r="G692" s="3" t="str">
        <f ca="1">VLOOKUP($C692&amp;"_"&amp;$F692,OFFSET([1]stages!$A$1,0,0,COUNTA([1]stages!$A:$A),MATCH(G$1,[1]stages!$2:$2,0)-MATCH("temp_stage",[1]stages!$2:$2,0)+1),MATCH(G$1,[1]stages!$2:$2,0)-MATCH("temp_stage",[1]stages!$2:$2,0)+1,FALSE)</f>
        <v>【上級】天翔ける金轟機龍</v>
      </c>
      <c r="H692" s="3" t="str">
        <f ca="1">VLOOKUP($C692&amp;"_"&amp;$F692,OFFSET([1]stages!$A$1,0,0,COUNTA([1]stages!$A:$A),MATCH(H$1,[1]stages!$2:$2,0)-MATCH("temp_stage",[1]stages!$2:$2,0)+1),MATCH(H$1,[1]stages!$2:$2,0)-MATCH("temp_stage",[1]stages!$2:$2,0)+1,FALSE)</f>
        <v>ドロップイベント2-4</v>
      </c>
      <c r="I692" s="18">
        <v>0</v>
      </c>
      <c r="J692" s="5">
        <f>COUNTIF(C$1:C692,C692)</f>
        <v>31</v>
      </c>
      <c r="K692" s="34">
        <v>35</v>
      </c>
      <c r="L692" s="5" t="s">
        <v>17</v>
      </c>
      <c r="M692" s="38" t="str">
        <f>VLOOKUP(K692,[2]stage_hints!$A:$C,3,FALSE)</f>
        <v>敵のステータスがスキルで上がったら</v>
      </c>
      <c r="N692" s="39" t="str">
        <f>VLOOKUP(K692,[2]stage_hints!$A:$D,4,FALSE)</f>
        <v>敵のステータスがスキルでアップしたときは
ステータスダウンスキルで上書きしましょう</v>
      </c>
      <c r="O692" s="20" t="s">
        <v>24</v>
      </c>
      <c r="P692">
        <v>35</v>
      </c>
    </row>
    <row r="693" spans="1:16" x14ac:dyDescent="0.15">
      <c r="A693" s="27" t="str">
        <f t="shared" si="74"/>
        <v>20008_3_32</v>
      </c>
      <c r="B693" s="25" t="s">
        <v>34</v>
      </c>
      <c r="C693" s="4">
        <v>20008</v>
      </c>
      <c r="D693" s="3" t="str">
        <f ca="1">VLOOKUP($C693,OFFSET([1]quests!$A$1,0,0,COUNTA([1]quests!$A:$A),MATCH(D$1,[1]quests!$1:$1,0)-MATCH($C$1,[1]quests!$1:$1,0)+1),MATCH(D$1,[1]quests!$1:$1,0)-MATCH($C$1,[1]quests!$1:$1,0)+1,FALSE)</f>
        <v>天翔ける金轟機龍</v>
      </c>
      <c r="E693" s="3" t="str">
        <f ca="1">VLOOKUP($C693,OFFSET([1]quests!$A$1,0,0,COUNTA([1]quests!$A:$A),MATCH(E$1,[1]quests!$1:$1,0)-MATCH($C$1,[1]quests!$1:$1,0)+1),MATCH(E$1,[1]quests!$1:$1,0)-MATCH($C$1,[1]quests!$1:$1,0)+1,FALSE)</f>
        <v>ドロップイベント2-4</v>
      </c>
      <c r="F693" s="5">
        <v>3</v>
      </c>
      <c r="G693" s="3" t="str">
        <f ca="1">VLOOKUP($C693&amp;"_"&amp;$F693,OFFSET([1]stages!$A$1,0,0,COUNTA([1]stages!$A:$A),MATCH(G$1,[1]stages!$2:$2,0)-MATCH("temp_stage",[1]stages!$2:$2,0)+1),MATCH(G$1,[1]stages!$2:$2,0)-MATCH("temp_stage",[1]stages!$2:$2,0)+1,FALSE)</f>
        <v>【上級】天翔ける金轟機龍</v>
      </c>
      <c r="H693" s="3" t="str">
        <f ca="1">VLOOKUP($C693&amp;"_"&amp;$F693,OFFSET([1]stages!$A$1,0,0,COUNTA([1]stages!$A:$A),MATCH(H$1,[1]stages!$2:$2,0)-MATCH("temp_stage",[1]stages!$2:$2,0)+1),MATCH(H$1,[1]stages!$2:$2,0)-MATCH("temp_stage",[1]stages!$2:$2,0)+1,FALSE)</f>
        <v>ドロップイベント2-4</v>
      </c>
      <c r="I693" s="18">
        <v>0</v>
      </c>
      <c r="J693" s="5">
        <f>COUNTIF(C$1:C693,C693)</f>
        <v>32</v>
      </c>
      <c r="K693" s="34">
        <v>36</v>
      </c>
      <c r="L693" s="5" t="s">
        <v>17</v>
      </c>
      <c r="M693" s="38" t="str">
        <f>VLOOKUP(K693,[2]stage_hints!$A:$C,3,FALSE)</f>
        <v>チャレンジタワーのボス</v>
      </c>
      <c r="N693" s="39" t="str">
        <f>VLOOKUP(K693,[2]stage_hints!$A:$D,4,FALSE)</f>
        <v>チャレンジタワーでのみ登場するボスは
一定確率で獲得することができます</v>
      </c>
      <c r="O693" s="20" t="s">
        <v>24</v>
      </c>
      <c r="P693">
        <v>36</v>
      </c>
    </row>
    <row r="694" spans="1:16" x14ac:dyDescent="0.15">
      <c r="A694" s="27" t="str">
        <f t="shared" si="74"/>
        <v>20008_3_33</v>
      </c>
      <c r="B694" s="25" t="s">
        <v>34</v>
      </c>
      <c r="C694" s="4">
        <v>20008</v>
      </c>
      <c r="D694" s="3" t="str">
        <f ca="1">VLOOKUP($C694,OFFSET([1]quests!$A$1,0,0,COUNTA([1]quests!$A:$A),MATCH(D$1,[1]quests!$1:$1,0)-MATCH($C$1,[1]quests!$1:$1,0)+1),MATCH(D$1,[1]quests!$1:$1,0)-MATCH($C$1,[1]quests!$1:$1,0)+1,FALSE)</f>
        <v>天翔ける金轟機龍</v>
      </c>
      <c r="E694" s="3" t="str">
        <f ca="1">VLOOKUP($C694,OFFSET([1]quests!$A$1,0,0,COUNTA([1]quests!$A:$A),MATCH(E$1,[1]quests!$1:$1,0)-MATCH($C$1,[1]quests!$1:$1,0)+1),MATCH(E$1,[1]quests!$1:$1,0)-MATCH($C$1,[1]quests!$1:$1,0)+1,FALSE)</f>
        <v>ドロップイベント2-4</v>
      </c>
      <c r="F694" s="5">
        <v>3</v>
      </c>
      <c r="G694" s="3" t="str">
        <f ca="1">VLOOKUP($C694&amp;"_"&amp;$F694,OFFSET([1]stages!$A$1,0,0,COUNTA([1]stages!$A:$A),MATCH(G$1,[1]stages!$2:$2,0)-MATCH("temp_stage",[1]stages!$2:$2,0)+1),MATCH(G$1,[1]stages!$2:$2,0)-MATCH("temp_stage",[1]stages!$2:$2,0)+1,FALSE)</f>
        <v>【上級】天翔ける金轟機龍</v>
      </c>
      <c r="H694" s="3" t="str">
        <f ca="1">VLOOKUP($C694&amp;"_"&amp;$F694,OFFSET([1]stages!$A$1,0,0,COUNTA([1]stages!$A:$A),MATCH(H$1,[1]stages!$2:$2,0)-MATCH("temp_stage",[1]stages!$2:$2,0)+1),MATCH(H$1,[1]stages!$2:$2,0)-MATCH("temp_stage",[1]stages!$2:$2,0)+1,FALSE)</f>
        <v>ドロップイベント2-4</v>
      </c>
      <c r="I694" s="18">
        <v>0</v>
      </c>
      <c r="J694" s="5">
        <f>COUNTIF(C$1:C694,C694)</f>
        <v>33</v>
      </c>
      <c r="K694" s="34">
        <v>37</v>
      </c>
      <c r="L694" s="5" t="s">
        <v>17</v>
      </c>
      <c r="M694" s="38" t="str">
        <f>VLOOKUP(K694,[2]stage_hints!$A:$C,3,FALSE)</f>
        <v>限界突破値の引き継ぎ</v>
      </c>
      <c r="N694" s="39" t="str">
        <f>VLOOKUP(K694,[2]stage_hints!$A:$D,4,FALSE)</f>
        <v>同じユニットを強化で合成すると
限界突破値を引き継げます（覚醒前後も可）</v>
      </c>
      <c r="O694" s="20" t="s">
        <v>24</v>
      </c>
      <c r="P694">
        <v>37</v>
      </c>
    </row>
    <row r="695" spans="1:16" x14ac:dyDescent="0.15">
      <c r="A695" s="27" t="str">
        <f t="shared" si="74"/>
        <v>20009_3_1</v>
      </c>
      <c r="B695" s="25" t="s">
        <v>34</v>
      </c>
      <c r="C695" s="4">
        <v>20009</v>
      </c>
      <c r="D695" s="3" t="str">
        <f ca="1">VLOOKUP($C695,OFFSET([1]quests!$A$1,0,0,COUNTA([1]quests!$A:$A),MATCH(D$1,[1]quests!$1:$1,0)-MATCH($C$1,[1]quests!$1:$1,0)+1),MATCH(D$1,[1]quests!$1:$1,0)-MATCH($C$1,[1]quests!$1:$1,0)+1,FALSE)</f>
        <v>迫り来る窒息</v>
      </c>
      <c r="E695" s="3" t="str">
        <f ca="1">VLOOKUP($C695,OFFSET([1]quests!$A$1,0,0,COUNTA([1]quests!$A:$A),MATCH(E$1,[1]quests!$1:$1,0)-MATCH($C$1,[1]quests!$1:$1,0)+1),MATCH(E$1,[1]quests!$1:$1,0)-MATCH($C$1,[1]quests!$1:$1,0)+1,FALSE)</f>
        <v>ドロップイベント3</v>
      </c>
      <c r="F695" s="5">
        <v>3</v>
      </c>
      <c r="G695" s="3" t="str">
        <f ca="1">VLOOKUP($C695&amp;"_"&amp;$F695,OFFSET([1]stages!$A$1,0,0,COUNTA([1]stages!$A:$A),MATCH(G$1,[1]stages!$2:$2,0)-MATCH("temp_stage",[1]stages!$2:$2,0)+1),MATCH(G$1,[1]stages!$2:$2,0)-MATCH("temp_stage",[1]stages!$2:$2,0)+1,FALSE)</f>
        <v>【上級】迫り来る窒息</v>
      </c>
      <c r="H695" s="3" t="str">
        <f ca="1">VLOOKUP($C695&amp;"_"&amp;$F695,OFFSET([1]stages!$A$1,0,0,COUNTA([1]stages!$A:$A),MATCH(H$1,[1]stages!$2:$2,0)-MATCH("temp_stage",[1]stages!$2:$2,0)+1),MATCH(H$1,[1]stages!$2:$2,0)-MATCH("temp_stage",[1]stages!$2:$2,0)+1,FALSE)</f>
        <v>ドロップイベント3</v>
      </c>
      <c r="I695" s="18">
        <v>0</v>
      </c>
      <c r="J695" s="5">
        <f>COUNTIF(C$1:C695,C695)</f>
        <v>1</v>
      </c>
      <c r="K695" s="34">
        <v>3</v>
      </c>
      <c r="L695" s="5" t="s">
        <v>17</v>
      </c>
      <c r="M695" s="38" t="str">
        <f>VLOOKUP(K695,[2]stage_hints!$A:$C,3,FALSE)</f>
        <v>ターゲット</v>
      </c>
      <c r="N695" s="39" t="str">
        <f>VLOOKUP(K695,[2]stage_hints!$A:$D,4,FALSE)</f>
        <v>敵ユニットをタップすると
その敵を狙い撃ちできます</v>
      </c>
      <c r="O695" s="20" t="s">
        <v>24</v>
      </c>
      <c r="P695">
        <v>3</v>
      </c>
    </row>
    <row r="696" spans="1:16" x14ac:dyDescent="0.15">
      <c r="A696" s="27" t="str">
        <f t="shared" si="74"/>
        <v>20009_3_2</v>
      </c>
      <c r="B696" s="25" t="s">
        <v>34</v>
      </c>
      <c r="C696" s="4">
        <v>20009</v>
      </c>
      <c r="D696" s="3" t="str">
        <f ca="1">VLOOKUP($C696,OFFSET([1]quests!$A$1,0,0,COUNTA([1]quests!$A:$A),MATCH(D$1,[1]quests!$1:$1,0)-MATCH($C$1,[1]quests!$1:$1,0)+1),MATCH(D$1,[1]quests!$1:$1,0)-MATCH($C$1,[1]quests!$1:$1,0)+1,FALSE)</f>
        <v>迫り来る窒息</v>
      </c>
      <c r="E696" s="3" t="str">
        <f ca="1">VLOOKUP($C696,OFFSET([1]quests!$A$1,0,0,COUNTA([1]quests!$A:$A),MATCH(E$1,[1]quests!$1:$1,0)-MATCH($C$1,[1]quests!$1:$1,0)+1),MATCH(E$1,[1]quests!$1:$1,0)-MATCH($C$1,[1]quests!$1:$1,0)+1,FALSE)</f>
        <v>ドロップイベント3</v>
      </c>
      <c r="F696" s="5">
        <v>3</v>
      </c>
      <c r="G696" s="3" t="str">
        <f ca="1">VLOOKUP($C696&amp;"_"&amp;$F696,OFFSET([1]stages!$A$1,0,0,COUNTA([1]stages!$A:$A),MATCH(G$1,[1]stages!$2:$2,0)-MATCH("temp_stage",[1]stages!$2:$2,0)+1),MATCH(G$1,[1]stages!$2:$2,0)-MATCH("temp_stage",[1]stages!$2:$2,0)+1,FALSE)</f>
        <v>【上級】迫り来る窒息</v>
      </c>
      <c r="H696" s="3" t="str">
        <f ca="1">VLOOKUP($C696&amp;"_"&amp;$F696,OFFSET([1]stages!$A$1,0,0,COUNTA([1]stages!$A:$A),MATCH(H$1,[1]stages!$2:$2,0)-MATCH("temp_stage",[1]stages!$2:$2,0)+1),MATCH(H$1,[1]stages!$2:$2,0)-MATCH("temp_stage",[1]stages!$2:$2,0)+1,FALSE)</f>
        <v>ドロップイベント3</v>
      </c>
      <c r="I696" s="18">
        <v>0</v>
      </c>
      <c r="J696" s="5">
        <f>COUNTIF(C$1:C696,C696)</f>
        <v>2</v>
      </c>
      <c r="K696" s="34">
        <v>6</v>
      </c>
      <c r="L696" s="5" t="s">
        <v>17</v>
      </c>
      <c r="M696" s="38" t="str">
        <f>VLOOKUP(K696,[2]stage_hints!$A:$C,3,FALSE)</f>
        <v>ユニット強化の属性ボーナス</v>
      </c>
      <c r="N696" s="39" t="str">
        <f>VLOOKUP(K696,[2]stage_hints!$A:$D,4,FALSE)</f>
        <v>同属性ユニットを強化素材にすると
経験値が多くもらえます</v>
      </c>
      <c r="O696" s="20" t="s">
        <v>24</v>
      </c>
      <c r="P696">
        <v>6</v>
      </c>
    </row>
    <row r="697" spans="1:16" x14ac:dyDescent="0.15">
      <c r="A697" s="27" t="str">
        <f t="shared" si="74"/>
        <v>20009_3_3</v>
      </c>
      <c r="B697" s="25" t="s">
        <v>34</v>
      </c>
      <c r="C697" s="4">
        <v>20009</v>
      </c>
      <c r="D697" s="3" t="str">
        <f ca="1">VLOOKUP($C697,OFFSET([1]quests!$A$1,0,0,COUNTA([1]quests!$A:$A),MATCH(D$1,[1]quests!$1:$1,0)-MATCH($C$1,[1]quests!$1:$1,0)+1),MATCH(D$1,[1]quests!$1:$1,0)-MATCH($C$1,[1]quests!$1:$1,0)+1,FALSE)</f>
        <v>迫り来る窒息</v>
      </c>
      <c r="E697" s="3" t="str">
        <f ca="1">VLOOKUP($C697,OFFSET([1]quests!$A$1,0,0,COUNTA([1]quests!$A:$A),MATCH(E$1,[1]quests!$1:$1,0)-MATCH($C$1,[1]quests!$1:$1,0)+1),MATCH(E$1,[1]quests!$1:$1,0)-MATCH($C$1,[1]quests!$1:$1,0)+1,FALSE)</f>
        <v>ドロップイベント3</v>
      </c>
      <c r="F697" s="5">
        <v>3</v>
      </c>
      <c r="G697" s="3" t="str">
        <f ca="1">VLOOKUP($C697&amp;"_"&amp;$F697,OFFSET([1]stages!$A$1,0,0,COUNTA([1]stages!$A:$A),MATCH(G$1,[1]stages!$2:$2,0)-MATCH("temp_stage",[1]stages!$2:$2,0)+1),MATCH(G$1,[1]stages!$2:$2,0)-MATCH("temp_stage",[1]stages!$2:$2,0)+1,FALSE)</f>
        <v>【上級】迫り来る窒息</v>
      </c>
      <c r="H697" s="3" t="str">
        <f ca="1">VLOOKUP($C697&amp;"_"&amp;$F697,OFFSET([1]stages!$A$1,0,0,COUNTA([1]stages!$A:$A),MATCH(H$1,[1]stages!$2:$2,0)-MATCH("temp_stage",[1]stages!$2:$2,0)+1),MATCH(H$1,[1]stages!$2:$2,0)-MATCH("temp_stage",[1]stages!$2:$2,0)+1,FALSE)</f>
        <v>ドロップイベント3</v>
      </c>
      <c r="I697" s="18">
        <v>0</v>
      </c>
      <c r="J697" s="5">
        <f>COUNTIF(C$1:C697,C697)</f>
        <v>3</v>
      </c>
      <c r="K697" s="34">
        <v>7</v>
      </c>
      <c r="L697" s="5" t="s">
        <v>17</v>
      </c>
      <c r="M697" s="38" t="str">
        <f>VLOOKUP(K697,[2]stage_hints!$A:$C,3,FALSE)</f>
        <v>メタルダックで経験値を獲得</v>
      </c>
      <c r="N697" s="39" t="str">
        <f>VLOOKUP(K697,[2]stage_hints!$A:$D,4,FALSE)</f>
        <v>「メタルなアヒル」を強化素材にすると
大量の経験値がもらえます</v>
      </c>
      <c r="O697" s="20" t="s">
        <v>24</v>
      </c>
      <c r="P697">
        <v>7</v>
      </c>
    </row>
    <row r="698" spans="1:16" x14ac:dyDescent="0.15">
      <c r="A698" s="27" t="str">
        <f t="shared" si="74"/>
        <v>20009_3_4</v>
      </c>
      <c r="B698" s="25" t="s">
        <v>34</v>
      </c>
      <c r="C698" s="4">
        <v>20009</v>
      </c>
      <c r="D698" s="3" t="str">
        <f ca="1">VLOOKUP($C698,OFFSET([1]quests!$A$1,0,0,COUNTA([1]quests!$A:$A),MATCH(D$1,[1]quests!$1:$1,0)-MATCH($C$1,[1]quests!$1:$1,0)+1),MATCH(D$1,[1]quests!$1:$1,0)-MATCH($C$1,[1]quests!$1:$1,0)+1,FALSE)</f>
        <v>迫り来る窒息</v>
      </c>
      <c r="E698" s="3" t="str">
        <f ca="1">VLOOKUP($C698,OFFSET([1]quests!$A$1,0,0,COUNTA([1]quests!$A:$A),MATCH(E$1,[1]quests!$1:$1,0)-MATCH($C$1,[1]quests!$1:$1,0)+1),MATCH(E$1,[1]quests!$1:$1,0)-MATCH($C$1,[1]quests!$1:$1,0)+1,FALSE)</f>
        <v>ドロップイベント3</v>
      </c>
      <c r="F698" s="5">
        <v>3</v>
      </c>
      <c r="G698" s="3" t="str">
        <f ca="1">VLOOKUP($C698&amp;"_"&amp;$F698,OFFSET([1]stages!$A$1,0,0,COUNTA([1]stages!$A:$A),MATCH(G$1,[1]stages!$2:$2,0)-MATCH("temp_stage",[1]stages!$2:$2,0)+1),MATCH(G$1,[1]stages!$2:$2,0)-MATCH("temp_stage",[1]stages!$2:$2,0)+1,FALSE)</f>
        <v>【上級】迫り来る窒息</v>
      </c>
      <c r="H698" s="3" t="str">
        <f ca="1">VLOOKUP($C698&amp;"_"&amp;$F698,OFFSET([1]stages!$A$1,0,0,COUNTA([1]stages!$A:$A),MATCH(H$1,[1]stages!$2:$2,0)-MATCH("temp_stage",[1]stages!$2:$2,0)+1),MATCH(H$1,[1]stages!$2:$2,0)-MATCH("temp_stage",[1]stages!$2:$2,0)+1,FALSE)</f>
        <v>ドロップイベント3</v>
      </c>
      <c r="I698" s="18">
        <v>0</v>
      </c>
      <c r="J698" s="5">
        <f>COUNTIF(C$1:C698,C698)</f>
        <v>4</v>
      </c>
      <c r="K698" s="34">
        <v>8</v>
      </c>
      <c r="L698" s="5" t="s">
        <v>17</v>
      </c>
      <c r="M698" s="38" t="str">
        <f>VLOOKUP(K698,[2]stage_hints!$A:$C,3,FALSE)</f>
        <v>ゲリラクエストは要チェック</v>
      </c>
      <c r="N698" s="39" t="str">
        <f>VLOOKUP(K698,[2]stage_hints!$A:$D,4,FALSE)</f>
        <v>時間限定の「アヒル捕獲作戦」では
経験値素材ユニットが多く手に入ります</v>
      </c>
      <c r="O698" s="20" t="s">
        <v>24</v>
      </c>
      <c r="P698">
        <v>8</v>
      </c>
    </row>
    <row r="699" spans="1:16" x14ac:dyDescent="0.15">
      <c r="A699" s="27" t="str">
        <f t="shared" si="74"/>
        <v>20009_3_5</v>
      </c>
      <c r="B699" s="25" t="s">
        <v>34</v>
      </c>
      <c r="C699" s="4">
        <v>20009</v>
      </c>
      <c r="D699" s="3" t="str">
        <f ca="1">VLOOKUP($C699,OFFSET([1]quests!$A$1,0,0,COUNTA([1]quests!$A:$A),MATCH(D$1,[1]quests!$1:$1,0)-MATCH($C$1,[1]quests!$1:$1,0)+1),MATCH(D$1,[1]quests!$1:$1,0)-MATCH($C$1,[1]quests!$1:$1,0)+1,FALSE)</f>
        <v>迫り来る窒息</v>
      </c>
      <c r="E699" s="3" t="str">
        <f ca="1">VLOOKUP($C699,OFFSET([1]quests!$A$1,0,0,COUNTA([1]quests!$A:$A),MATCH(E$1,[1]quests!$1:$1,0)-MATCH($C$1,[1]quests!$1:$1,0)+1),MATCH(E$1,[1]quests!$1:$1,0)-MATCH($C$1,[1]quests!$1:$1,0)+1,FALSE)</f>
        <v>ドロップイベント3</v>
      </c>
      <c r="F699" s="5">
        <v>3</v>
      </c>
      <c r="G699" s="3" t="str">
        <f ca="1">VLOOKUP($C699&amp;"_"&amp;$F699,OFFSET([1]stages!$A$1,0,0,COUNTA([1]stages!$A:$A),MATCH(G$1,[1]stages!$2:$2,0)-MATCH("temp_stage",[1]stages!$2:$2,0)+1),MATCH(G$1,[1]stages!$2:$2,0)-MATCH("temp_stage",[1]stages!$2:$2,0)+1,FALSE)</f>
        <v>【上級】迫り来る窒息</v>
      </c>
      <c r="H699" s="3" t="str">
        <f ca="1">VLOOKUP($C699&amp;"_"&amp;$F699,OFFSET([1]stages!$A$1,0,0,COUNTA([1]stages!$A:$A),MATCH(H$1,[1]stages!$2:$2,0)-MATCH("temp_stage",[1]stages!$2:$2,0)+1),MATCH(H$1,[1]stages!$2:$2,0)-MATCH("temp_stage",[1]stages!$2:$2,0)+1,FALSE)</f>
        <v>ドロップイベント3</v>
      </c>
      <c r="I699" s="18">
        <v>0</v>
      </c>
      <c r="J699" s="5">
        <f>COUNTIF(C$1:C699,C699)</f>
        <v>5</v>
      </c>
      <c r="K699" s="34">
        <v>9</v>
      </c>
      <c r="L699" s="5" t="s">
        <v>17</v>
      </c>
      <c r="M699" s="38" t="str">
        <f>VLOOKUP(K699,[2]stage_hints!$A:$C,3,FALSE)</f>
        <v>ゴールドダックでビットを獲得</v>
      </c>
      <c r="N699" s="39" t="str">
        <f>VLOOKUP(K699,[2]stage_hints!$A:$D,4,FALSE)</f>
        <v>「ゴールドなアヒル」を売却すると
大量のビットがもらえます</v>
      </c>
      <c r="O699" s="20" t="s">
        <v>24</v>
      </c>
      <c r="P699">
        <v>9</v>
      </c>
    </row>
    <row r="700" spans="1:16" x14ac:dyDescent="0.15">
      <c r="A700" s="27" t="str">
        <f t="shared" si="74"/>
        <v>20009_3_6</v>
      </c>
      <c r="B700" s="25" t="s">
        <v>34</v>
      </c>
      <c r="C700" s="4">
        <v>20009</v>
      </c>
      <c r="D700" s="3" t="str">
        <f ca="1">VLOOKUP($C700,OFFSET([1]quests!$A$1,0,0,COUNTA([1]quests!$A:$A),MATCH(D$1,[1]quests!$1:$1,0)-MATCH($C$1,[1]quests!$1:$1,0)+1),MATCH(D$1,[1]quests!$1:$1,0)-MATCH($C$1,[1]quests!$1:$1,0)+1,FALSE)</f>
        <v>迫り来る窒息</v>
      </c>
      <c r="E700" s="3" t="str">
        <f ca="1">VLOOKUP($C700,OFFSET([1]quests!$A$1,0,0,COUNTA([1]quests!$A:$A),MATCH(E$1,[1]quests!$1:$1,0)-MATCH($C$1,[1]quests!$1:$1,0)+1),MATCH(E$1,[1]quests!$1:$1,0)-MATCH($C$1,[1]quests!$1:$1,0)+1,FALSE)</f>
        <v>ドロップイベント3</v>
      </c>
      <c r="F700" s="5">
        <v>3</v>
      </c>
      <c r="G700" s="3" t="str">
        <f ca="1">VLOOKUP($C700&amp;"_"&amp;$F700,OFFSET([1]stages!$A$1,0,0,COUNTA([1]stages!$A:$A),MATCH(G$1,[1]stages!$2:$2,0)-MATCH("temp_stage",[1]stages!$2:$2,0)+1),MATCH(G$1,[1]stages!$2:$2,0)-MATCH("temp_stage",[1]stages!$2:$2,0)+1,FALSE)</f>
        <v>【上級】迫り来る窒息</v>
      </c>
      <c r="H700" s="3" t="str">
        <f ca="1">VLOOKUP($C700&amp;"_"&amp;$F700,OFFSET([1]stages!$A$1,0,0,COUNTA([1]stages!$A:$A),MATCH(H$1,[1]stages!$2:$2,0)-MATCH("temp_stage",[1]stages!$2:$2,0)+1),MATCH(H$1,[1]stages!$2:$2,0)-MATCH("temp_stage",[1]stages!$2:$2,0)+1,FALSE)</f>
        <v>ドロップイベント3</v>
      </c>
      <c r="I700" s="18">
        <v>0</v>
      </c>
      <c r="J700" s="5">
        <f>COUNTIF(C$1:C700,C700)</f>
        <v>6</v>
      </c>
      <c r="K700" s="34">
        <v>10</v>
      </c>
      <c r="L700" s="5" t="s">
        <v>17</v>
      </c>
      <c r="M700" s="38" t="str">
        <f>VLOOKUP(K700,[2]stage_hints!$A:$C,3,FALSE)</f>
        <v>土日に大量のビットを獲得</v>
      </c>
      <c r="N700" s="39" t="str">
        <f>VLOOKUP(K700,[2]stage_hints!$A:$D,4,FALSE)</f>
        <v>土日限定の「ゴールドカジノ」では
売却素材ユニットが多く手に入ります</v>
      </c>
      <c r="O700" s="20" t="s">
        <v>24</v>
      </c>
      <c r="P700">
        <v>10</v>
      </c>
    </row>
    <row r="701" spans="1:16" x14ac:dyDescent="0.15">
      <c r="A701" s="27" t="str">
        <f t="shared" si="74"/>
        <v>20009_3_7</v>
      </c>
      <c r="B701" s="25" t="s">
        <v>34</v>
      </c>
      <c r="C701" s="4">
        <v>20009</v>
      </c>
      <c r="D701" s="3" t="str">
        <f ca="1">VLOOKUP($C701,OFFSET([1]quests!$A$1,0,0,COUNTA([1]quests!$A:$A),MATCH(D$1,[1]quests!$1:$1,0)-MATCH($C$1,[1]quests!$1:$1,0)+1),MATCH(D$1,[1]quests!$1:$1,0)-MATCH($C$1,[1]quests!$1:$1,0)+1,FALSE)</f>
        <v>迫り来る窒息</v>
      </c>
      <c r="E701" s="3" t="str">
        <f ca="1">VLOOKUP($C701,OFFSET([1]quests!$A$1,0,0,COUNTA([1]quests!$A:$A),MATCH(E$1,[1]quests!$1:$1,0)-MATCH($C$1,[1]quests!$1:$1,0)+1),MATCH(E$1,[1]quests!$1:$1,0)-MATCH($C$1,[1]quests!$1:$1,0)+1,FALSE)</f>
        <v>ドロップイベント3</v>
      </c>
      <c r="F701" s="5">
        <v>3</v>
      </c>
      <c r="G701" s="3" t="str">
        <f ca="1">VLOOKUP($C701&amp;"_"&amp;$F701,OFFSET([1]stages!$A$1,0,0,COUNTA([1]stages!$A:$A),MATCH(G$1,[1]stages!$2:$2,0)-MATCH("temp_stage",[1]stages!$2:$2,0)+1),MATCH(G$1,[1]stages!$2:$2,0)-MATCH("temp_stage",[1]stages!$2:$2,0)+1,FALSE)</f>
        <v>【上級】迫り来る窒息</v>
      </c>
      <c r="H701" s="3" t="str">
        <f ca="1">VLOOKUP($C701&amp;"_"&amp;$F701,OFFSET([1]stages!$A$1,0,0,COUNTA([1]stages!$A:$A),MATCH(H$1,[1]stages!$2:$2,0)-MATCH("temp_stage",[1]stages!$2:$2,0)+1),MATCH(H$1,[1]stages!$2:$2,0)-MATCH("temp_stage",[1]stages!$2:$2,0)+1,FALSE)</f>
        <v>ドロップイベント3</v>
      </c>
      <c r="I701" s="18">
        <v>0</v>
      </c>
      <c r="J701" s="5">
        <f>COUNTIF(C$1:C701,C701)</f>
        <v>7</v>
      </c>
      <c r="K701" s="34">
        <v>11</v>
      </c>
      <c r="L701" s="5" t="s">
        <v>17</v>
      </c>
      <c r="M701" s="38" t="str">
        <f>VLOOKUP(K701,[2]stage_hints!$A:$C,3,FALSE)</f>
        <v>ランク解放クエスト</v>
      </c>
      <c r="N701" s="39" t="str">
        <f>VLOOKUP(K701,[2]stage_hints!$A:$D,4,FALSE)</f>
        <v>一定ランクに到達すると
報酬付きのランク開放クエストが現れます</v>
      </c>
      <c r="O701" s="20" t="s">
        <v>24</v>
      </c>
      <c r="P701">
        <v>11</v>
      </c>
    </row>
    <row r="702" spans="1:16" x14ac:dyDescent="0.15">
      <c r="A702" s="27" t="str">
        <f t="shared" si="74"/>
        <v>20009_3_8</v>
      </c>
      <c r="B702" s="25" t="s">
        <v>34</v>
      </c>
      <c r="C702" s="4">
        <v>20009</v>
      </c>
      <c r="D702" s="3" t="str">
        <f ca="1">VLOOKUP($C702,OFFSET([1]quests!$A$1,0,0,COUNTA([1]quests!$A:$A),MATCH(D$1,[1]quests!$1:$1,0)-MATCH($C$1,[1]quests!$1:$1,0)+1),MATCH(D$1,[1]quests!$1:$1,0)-MATCH($C$1,[1]quests!$1:$1,0)+1,FALSE)</f>
        <v>迫り来る窒息</v>
      </c>
      <c r="E702" s="3" t="str">
        <f ca="1">VLOOKUP($C702,OFFSET([1]quests!$A$1,0,0,COUNTA([1]quests!$A:$A),MATCH(E$1,[1]quests!$1:$1,0)-MATCH($C$1,[1]quests!$1:$1,0)+1),MATCH(E$1,[1]quests!$1:$1,0)-MATCH($C$1,[1]quests!$1:$1,0)+1,FALSE)</f>
        <v>ドロップイベント3</v>
      </c>
      <c r="F702" s="5">
        <v>3</v>
      </c>
      <c r="G702" s="3" t="str">
        <f ca="1">VLOOKUP($C702&amp;"_"&amp;$F702,OFFSET([1]stages!$A$1,0,0,COUNTA([1]stages!$A:$A),MATCH(G$1,[1]stages!$2:$2,0)-MATCH("temp_stage",[1]stages!$2:$2,0)+1),MATCH(G$1,[1]stages!$2:$2,0)-MATCH("temp_stage",[1]stages!$2:$2,0)+1,FALSE)</f>
        <v>【上級】迫り来る窒息</v>
      </c>
      <c r="H702" s="3" t="str">
        <f ca="1">VLOOKUP($C702&amp;"_"&amp;$F702,OFFSET([1]stages!$A$1,0,0,COUNTA([1]stages!$A:$A),MATCH(H$1,[1]stages!$2:$2,0)-MATCH("temp_stage",[1]stages!$2:$2,0)+1),MATCH(H$1,[1]stages!$2:$2,0)-MATCH("temp_stage",[1]stages!$2:$2,0)+1,FALSE)</f>
        <v>ドロップイベント3</v>
      </c>
      <c r="I702" s="18">
        <v>0</v>
      </c>
      <c r="J702" s="5">
        <f>COUNTIF(C$1:C702,C702)</f>
        <v>8</v>
      </c>
      <c r="K702" s="34">
        <v>12</v>
      </c>
      <c r="L702" s="5" t="s">
        <v>17</v>
      </c>
      <c r="M702" s="38" t="str">
        <f>VLOOKUP(K702,[2]stage_hints!$A:$C,3,FALSE)</f>
        <v>ユニットのお気に入り登録</v>
      </c>
      <c r="N702" s="39" t="str">
        <f>VLOOKUP(K702,[2]stage_hints!$A:$D,4,FALSE)</f>
        <v>大事なユニットを誤って消さないように
フォルダから「お気に入り登録」しましょう</v>
      </c>
      <c r="O702" s="20" t="s">
        <v>24</v>
      </c>
      <c r="P702">
        <v>12</v>
      </c>
    </row>
    <row r="703" spans="1:16" x14ac:dyDescent="0.15">
      <c r="A703" s="27" t="str">
        <f t="shared" si="74"/>
        <v>20009_3_9</v>
      </c>
      <c r="B703" s="25" t="s">
        <v>34</v>
      </c>
      <c r="C703" s="4">
        <v>20009</v>
      </c>
      <c r="D703" s="3" t="str">
        <f ca="1">VLOOKUP($C703,OFFSET([1]quests!$A$1,0,0,COUNTA([1]quests!$A:$A),MATCH(D$1,[1]quests!$1:$1,0)-MATCH($C$1,[1]quests!$1:$1,0)+1),MATCH(D$1,[1]quests!$1:$1,0)-MATCH($C$1,[1]quests!$1:$1,0)+1,FALSE)</f>
        <v>迫り来る窒息</v>
      </c>
      <c r="E703" s="3" t="str">
        <f ca="1">VLOOKUP($C703,OFFSET([1]quests!$A$1,0,0,COUNTA([1]quests!$A:$A),MATCH(E$1,[1]quests!$1:$1,0)-MATCH($C$1,[1]quests!$1:$1,0)+1),MATCH(E$1,[1]quests!$1:$1,0)-MATCH($C$1,[1]quests!$1:$1,0)+1,FALSE)</f>
        <v>ドロップイベント3</v>
      </c>
      <c r="F703" s="5">
        <v>3</v>
      </c>
      <c r="G703" s="3" t="str">
        <f ca="1">VLOOKUP($C703&amp;"_"&amp;$F703,OFFSET([1]stages!$A$1,0,0,COUNTA([1]stages!$A:$A),MATCH(G$1,[1]stages!$2:$2,0)-MATCH("temp_stage",[1]stages!$2:$2,0)+1),MATCH(G$1,[1]stages!$2:$2,0)-MATCH("temp_stage",[1]stages!$2:$2,0)+1,FALSE)</f>
        <v>【上級】迫り来る窒息</v>
      </c>
      <c r="H703" s="3" t="str">
        <f ca="1">VLOOKUP($C703&amp;"_"&amp;$F703,OFFSET([1]stages!$A$1,0,0,COUNTA([1]stages!$A:$A),MATCH(H$1,[1]stages!$2:$2,0)-MATCH("temp_stage",[1]stages!$2:$2,0)+1),MATCH(H$1,[1]stages!$2:$2,0)-MATCH("temp_stage",[1]stages!$2:$2,0)+1,FALSE)</f>
        <v>ドロップイベント3</v>
      </c>
      <c r="I703" s="18">
        <v>0</v>
      </c>
      <c r="J703" s="5">
        <f>COUNTIF(C$1:C703,C703)</f>
        <v>9</v>
      </c>
      <c r="K703" s="34">
        <v>13</v>
      </c>
      <c r="L703" s="5" t="s">
        <v>17</v>
      </c>
      <c r="M703" s="38" t="str">
        <f>VLOOKUP(K703,[2]stage_hints!$A:$C,3,FALSE)</f>
        <v>ユニットの覚醒</v>
      </c>
      <c r="N703" s="39" t="str">
        <f>VLOOKUP(K703,[2]stage_hints!$A:$D,4,FALSE)</f>
        <v>ユニットを覚醒させると
比べものにならない強さが手に入ります</v>
      </c>
      <c r="O703" s="20" t="s">
        <v>24</v>
      </c>
      <c r="P703">
        <v>13</v>
      </c>
    </row>
    <row r="704" spans="1:16" x14ac:dyDescent="0.15">
      <c r="A704" s="27" t="str">
        <f t="shared" si="74"/>
        <v>20009_3_10</v>
      </c>
      <c r="B704" s="25" t="s">
        <v>34</v>
      </c>
      <c r="C704" s="4">
        <v>20009</v>
      </c>
      <c r="D704" s="3" t="str">
        <f ca="1">VLOOKUP($C704,OFFSET([1]quests!$A$1,0,0,COUNTA([1]quests!$A:$A),MATCH(D$1,[1]quests!$1:$1,0)-MATCH($C$1,[1]quests!$1:$1,0)+1),MATCH(D$1,[1]quests!$1:$1,0)-MATCH($C$1,[1]quests!$1:$1,0)+1,FALSE)</f>
        <v>迫り来る窒息</v>
      </c>
      <c r="E704" s="3" t="str">
        <f ca="1">VLOOKUP($C704,OFFSET([1]quests!$A$1,0,0,COUNTA([1]quests!$A:$A),MATCH(E$1,[1]quests!$1:$1,0)-MATCH($C$1,[1]quests!$1:$1,0)+1),MATCH(E$1,[1]quests!$1:$1,0)-MATCH($C$1,[1]quests!$1:$1,0)+1,FALSE)</f>
        <v>ドロップイベント3</v>
      </c>
      <c r="F704" s="5">
        <v>3</v>
      </c>
      <c r="G704" s="3" t="str">
        <f ca="1">VLOOKUP($C704&amp;"_"&amp;$F704,OFFSET([1]stages!$A$1,0,0,COUNTA([1]stages!$A:$A),MATCH(G$1,[1]stages!$2:$2,0)-MATCH("temp_stage",[1]stages!$2:$2,0)+1),MATCH(G$1,[1]stages!$2:$2,0)-MATCH("temp_stage",[1]stages!$2:$2,0)+1,FALSE)</f>
        <v>【上級】迫り来る窒息</v>
      </c>
      <c r="H704" s="3" t="str">
        <f ca="1">VLOOKUP($C704&amp;"_"&amp;$F704,OFFSET([1]stages!$A$1,0,0,COUNTA([1]stages!$A:$A),MATCH(H$1,[1]stages!$2:$2,0)-MATCH("temp_stage",[1]stages!$2:$2,0)+1),MATCH(H$1,[1]stages!$2:$2,0)-MATCH("temp_stage",[1]stages!$2:$2,0)+1,FALSE)</f>
        <v>ドロップイベント3</v>
      </c>
      <c r="I704" s="18">
        <v>0</v>
      </c>
      <c r="J704" s="5">
        <f>COUNTIF(C$1:C704,C704)</f>
        <v>10</v>
      </c>
      <c r="K704" s="34">
        <v>14</v>
      </c>
      <c r="L704" s="5" t="s">
        <v>17</v>
      </c>
      <c r="M704" s="38" t="str">
        <f>VLOOKUP(K704,[2]stage_hints!$A:$C,3,FALSE)</f>
        <v>覚醒するにはレベルを最大に</v>
      </c>
      <c r="N704" s="39" t="str">
        <f>VLOOKUP(K704,[2]stage_hints!$A:$D,4,FALSE)</f>
        <v>覚醒するにはユニットのレベルを
最大まで上げる必要があります</v>
      </c>
      <c r="O704" s="20" t="s">
        <v>24</v>
      </c>
      <c r="P704">
        <v>14</v>
      </c>
    </row>
    <row r="705" spans="1:16" x14ac:dyDescent="0.15">
      <c r="A705" s="27" t="str">
        <f t="shared" si="74"/>
        <v>20009_3_11</v>
      </c>
      <c r="B705" s="25" t="s">
        <v>34</v>
      </c>
      <c r="C705" s="4">
        <v>20009</v>
      </c>
      <c r="D705" s="3" t="str">
        <f ca="1">VLOOKUP($C705,OFFSET([1]quests!$A$1,0,0,COUNTA([1]quests!$A:$A),MATCH(D$1,[1]quests!$1:$1,0)-MATCH($C$1,[1]quests!$1:$1,0)+1),MATCH(D$1,[1]quests!$1:$1,0)-MATCH($C$1,[1]quests!$1:$1,0)+1,FALSE)</f>
        <v>迫り来る窒息</v>
      </c>
      <c r="E705" s="3" t="str">
        <f ca="1">VLOOKUP($C705,OFFSET([1]quests!$A$1,0,0,COUNTA([1]quests!$A:$A),MATCH(E$1,[1]quests!$1:$1,0)-MATCH($C$1,[1]quests!$1:$1,0)+1),MATCH(E$1,[1]quests!$1:$1,0)-MATCH($C$1,[1]quests!$1:$1,0)+1,FALSE)</f>
        <v>ドロップイベント3</v>
      </c>
      <c r="F705" s="5">
        <v>3</v>
      </c>
      <c r="G705" s="3" t="str">
        <f ca="1">VLOOKUP($C705&amp;"_"&amp;$F705,OFFSET([1]stages!$A$1,0,0,COUNTA([1]stages!$A:$A),MATCH(G$1,[1]stages!$2:$2,0)-MATCH("temp_stage",[1]stages!$2:$2,0)+1),MATCH(G$1,[1]stages!$2:$2,0)-MATCH("temp_stage",[1]stages!$2:$2,0)+1,FALSE)</f>
        <v>【上級】迫り来る窒息</v>
      </c>
      <c r="H705" s="3" t="str">
        <f ca="1">VLOOKUP($C705&amp;"_"&amp;$F705,OFFSET([1]stages!$A$1,0,0,COUNTA([1]stages!$A:$A),MATCH(H$1,[1]stages!$2:$2,0)-MATCH("temp_stage",[1]stages!$2:$2,0)+1),MATCH(H$1,[1]stages!$2:$2,0)-MATCH("temp_stage",[1]stages!$2:$2,0)+1,FALSE)</f>
        <v>ドロップイベント3</v>
      </c>
      <c r="I705" s="18">
        <v>0</v>
      </c>
      <c r="J705" s="5">
        <f>COUNTIF(C$1:C705,C705)</f>
        <v>11</v>
      </c>
      <c r="K705" s="34">
        <v>15</v>
      </c>
      <c r="L705" s="5" t="s">
        <v>17</v>
      </c>
      <c r="M705" s="38" t="str">
        <f>VLOOKUP(K705,[2]stage_hints!$A:$C,3,FALSE)</f>
        <v>覚醒素材を獲得</v>
      </c>
      <c r="N705" s="39" t="str">
        <f>VLOOKUP(K705,[2]stage_hints!$A:$D,4,FALSE)</f>
        <v>「曜日クエスト」では
ユニットの覚醒に必要な素材が手に入ります</v>
      </c>
      <c r="O705" s="20" t="s">
        <v>24</v>
      </c>
      <c r="P705">
        <v>15</v>
      </c>
    </row>
    <row r="706" spans="1:16" x14ac:dyDescent="0.15">
      <c r="A706" s="27" t="str">
        <f t="shared" si="74"/>
        <v>20009_3_12</v>
      </c>
      <c r="B706" s="25" t="s">
        <v>34</v>
      </c>
      <c r="C706" s="4">
        <v>20009</v>
      </c>
      <c r="D706" s="3" t="str">
        <f ca="1">VLOOKUP($C706,OFFSET([1]quests!$A$1,0,0,COUNTA([1]quests!$A:$A),MATCH(D$1,[1]quests!$1:$1,0)-MATCH($C$1,[1]quests!$1:$1,0)+1),MATCH(D$1,[1]quests!$1:$1,0)-MATCH($C$1,[1]quests!$1:$1,0)+1,FALSE)</f>
        <v>迫り来る窒息</v>
      </c>
      <c r="E706" s="3" t="str">
        <f ca="1">VLOOKUP($C706,OFFSET([1]quests!$A$1,0,0,COUNTA([1]quests!$A:$A),MATCH(E$1,[1]quests!$1:$1,0)-MATCH($C$1,[1]quests!$1:$1,0)+1),MATCH(E$1,[1]quests!$1:$1,0)-MATCH($C$1,[1]quests!$1:$1,0)+1,FALSE)</f>
        <v>ドロップイベント3</v>
      </c>
      <c r="F706" s="5">
        <v>3</v>
      </c>
      <c r="G706" s="3" t="str">
        <f ca="1">VLOOKUP($C706&amp;"_"&amp;$F706,OFFSET([1]stages!$A$1,0,0,COUNTA([1]stages!$A:$A),MATCH(G$1,[1]stages!$2:$2,0)-MATCH("temp_stage",[1]stages!$2:$2,0)+1),MATCH(G$1,[1]stages!$2:$2,0)-MATCH("temp_stage",[1]stages!$2:$2,0)+1,FALSE)</f>
        <v>【上級】迫り来る窒息</v>
      </c>
      <c r="H706" s="3" t="str">
        <f ca="1">VLOOKUP($C706&amp;"_"&amp;$F706,OFFSET([1]stages!$A$1,0,0,COUNTA([1]stages!$A:$A),MATCH(H$1,[1]stages!$2:$2,0)-MATCH("temp_stage",[1]stages!$2:$2,0)+1),MATCH(H$1,[1]stages!$2:$2,0)-MATCH("temp_stage",[1]stages!$2:$2,0)+1,FALSE)</f>
        <v>ドロップイベント3</v>
      </c>
      <c r="I706" s="18">
        <v>0</v>
      </c>
      <c r="J706" s="5">
        <f>COUNTIF(C$1:C706,C706)</f>
        <v>12</v>
      </c>
      <c r="K706" s="34">
        <v>16</v>
      </c>
      <c r="L706" s="5" t="s">
        <v>17</v>
      </c>
      <c r="M706" s="38" t="str">
        <f>VLOOKUP(K706,[2]stage_hints!$A:$C,3,FALSE)</f>
        <v>マルチプレイのメリット（その1）</v>
      </c>
      <c r="N706" s="39" t="str">
        <f>VLOOKUP(K706,[2]stage_hints!$A:$D,4,FALSE)</f>
        <v>他のプレイヤーとマルチプレイで遊ぶと
ポリゴンがもらえます（100人まで）</v>
      </c>
      <c r="O706" s="20" t="s">
        <v>24</v>
      </c>
      <c r="P706">
        <v>16</v>
      </c>
    </row>
    <row r="707" spans="1:16" x14ac:dyDescent="0.15">
      <c r="A707" s="27" t="str">
        <f t="shared" si="74"/>
        <v>20009_3_13</v>
      </c>
      <c r="B707" s="25" t="s">
        <v>34</v>
      </c>
      <c r="C707" s="4">
        <v>20009</v>
      </c>
      <c r="D707" s="3" t="str">
        <f ca="1">VLOOKUP($C707,OFFSET([1]quests!$A$1,0,0,COUNTA([1]quests!$A:$A),MATCH(D$1,[1]quests!$1:$1,0)-MATCH($C$1,[1]quests!$1:$1,0)+1),MATCH(D$1,[1]quests!$1:$1,0)-MATCH($C$1,[1]quests!$1:$1,0)+1,FALSE)</f>
        <v>迫り来る窒息</v>
      </c>
      <c r="E707" s="3" t="str">
        <f ca="1">VLOOKUP($C707,OFFSET([1]quests!$A$1,0,0,COUNTA([1]quests!$A:$A),MATCH(E$1,[1]quests!$1:$1,0)-MATCH($C$1,[1]quests!$1:$1,0)+1),MATCH(E$1,[1]quests!$1:$1,0)-MATCH($C$1,[1]quests!$1:$1,0)+1,FALSE)</f>
        <v>ドロップイベント3</v>
      </c>
      <c r="F707" s="5">
        <v>3</v>
      </c>
      <c r="G707" s="3" t="str">
        <f ca="1">VLOOKUP($C707&amp;"_"&amp;$F707,OFFSET([1]stages!$A$1,0,0,COUNTA([1]stages!$A:$A),MATCH(G$1,[1]stages!$2:$2,0)-MATCH("temp_stage",[1]stages!$2:$2,0)+1),MATCH(G$1,[1]stages!$2:$2,0)-MATCH("temp_stage",[1]stages!$2:$2,0)+1,FALSE)</f>
        <v>【上級】迫り来る窒息</v>
      </c>
      <c r="H707" s="3" t="str">
        <f ca="1">VLOOKUP($C707&amp;"_"&amp;$F707,OFFSET([1]stages!$A$1,0,0,COUNTA([1]stages!$A:$A),MATCH(H$1,[1]stages!$2:$2,0)-MATCH("temp_stage",[1]stages!$2:$2,0)+1),MATCH(H$1,[1]stages!$2:$2,0)-MATCH("temp_stage",[1]stages!$2:$2,0)+1,FALSE)</f>
        <v>ドロップイベント3</v>
      </c>
      <c r="I707" s="18">
        <v>0</v>
      </c>
      <c r="J707" s="5">
        <f>COUNTIF(C$1:C707,C707)</f>
        <v>13</v>
      </c>
      <c r="K707" s="34">
        <v>17</v>
      </c>
      <c r="L707" s="5" t="s">
        <v>17</v>
      </c>
      <c r="M707" s="38" t="str">
        <f>VLOOKUP(K707,[2]stage_hints!$A:$C,3,FALSE)</f>
        <v>リンクガチャ</v>
      </c>
      <c r="N707" s="39" t="str">
        <f>VLOOKUP(K707,[2]stage_hints!$A:$D,4,FALSE)</f>
        <v>無料のリンクガチャを回して
経験値素材や売却素材を獲得しましょう</v>
      </c>
      <c r="O707" s="20" t="s">
        <v>24</v>
      </c>
      <c r="P707">
        <v>17</v>
      </c>
    </row>
    <row r="708" spans="1:16" x14ac:dyDescent="0.15">
      <c r="A708" s="27" t="str">
        <f t="shared" si="74"/>
        <v>20009_3_14</v>
      </c>
      <c r="B708" s="25" t="s">
        <v>34</v>
      </c>
      <c r="C708" s="4">
        <v>20009</v>
      </c>
      <c r="D708" s="3" t="str">
        <f ca="1">VLOOKUP($C708,OFFSET([1]quests!$A$1,0,0,COUNTA([1]quests!$A:$A),MATCH(D$1,[1]quests!$1:$1,0)-MATCH($C$1,[1]quests!$1:$1,0)+1),MATCH(D$1,[1]quests!$1:$1,0)-MATCH($C$1,[1]quests!$1:$1,0)+1,FALSE)</f>
        <v>迫り来る窒息</v>
      </c>
      <c r="E708" s="3" t="str">
        <f ca="1">VLOOKUP($C708,OFFSET([1]quests!$A$1,0,0,COUNTA([1]quests!$A:$A),MATCH(E$1,[1]quests!$1:$1,0)-MATCH($C$1,[1]quests!$1:$1,0)+1),MATCH(E$1,[1]quests!$1:$1,0)-MATCH($C$1,[1]quests!$1:$1,0)+1,FALSE)</f>
        <v>ドロップイベント3</v>
      </c>
      <c r="F708" s="5">
        <v>3</v>
      </c>
      <c r="G708" s="3" t="str">
        <f ca="1">VLOOKUP($C708&amp;"_"&amp;$F708,OFFSET([1]stages!$A$1,0,0,COUNTA([1]stages!$A:$A),MATCH(G$1,[1]stages!$2:$2,0)-MATCH("temp_stage",[1]stages!$2:$2,0)+1),MATCH(G$1,[1]stages!$2:$2,0)-MATCH("temp_stage",[1]stages!$2:$2,0)+1,FALSE)</f>
        <v>【上級】迫り来る窒息</v>
      </c>
      <c r="H708" s="3" t="str">
        <f ca="1">VLOOKUP($C708&amp;"_"&amp;$F708,OFFSET([1]stages!$A$1,0,0,COUNTA([1]stages!$A:$A),MATCH(H$1,[1]stages!$2:$2,0)-MATCH("temp_stage",[1]stages!$2:$2,0)+1),MATCH(H$1,[1]stages!$2:$2,0)-MATCH("temp_stage",[1]stages!$2:$2,0)+1,FALSE)</f>
        <v>ドロップイベント3</v>
      </c>
      <c r="I708" s="18">
        <v>0</v>
      </c>
      <c r="J708" s="5">
        <f>COUNTIF(C$1:C708,C708)</f>
        <v>14</v>
      </c>
      <c r="K708" s="34">
        <v>18</v>
      </c>
      <c r="L708" s="5" t="s">
        <v>17</v>
      </c>
      <c r="M708" s="38" t="str">
        <f>VLOOKUP(K708,[2]stage_hints!$A:$C,3,FALSE)</f>
        <v>マルチプレイのメリット（その2）</v>
      </c>
      <c r="N708" s="39" t="str">
        <f>VLOOKUP(K708,[2]stage_hints!$A:$D,4,FALSE)</f>
        <v>マルチプレイならリンクが2倍もらえます
リンクガチャをたくさん回しましょう</v>
      </c>
      <c r="O708" s="20" t="s">
        <v>24</v>
      </c>
      <c r="P708">
        <v>18</v>
      </c>
    </row>
    <row r="709" spans="1:16" x14ac:dyDescent="0.15">
      <c r="A709" s="27" t="str">
        <f t="shared" si="74"/>
        <v>20009_3_15</v>
      </c>
      <c r="B709" s="25" t="s">
        <v>34</v>
      </c>
      <c r="C709" s="4">
        <v>20009</v>
      </c>
      <c r="D709" s="3" t="str">
        <f ca="1">VLOOKUP($C709,OFFSET([1]quests!$A$1,0,0,COUNTA([1]quests!$A:$A),MATCH(D$1,[1]quests!$1:$1,0)-MATCH($C$1,[1]quests!$1:$1,0)+1),MATCH(D$1,[1]quests!$1:$1,0)-MATCH($C$1,[1]quests!$1:$1,0)+1,FALSE)</f>
        <v>迫り来る窒息</v>
      </c>
      <c r="E709" s="3" t="str">
        <f ca="1">VLOOKUP($C709,OFFSET([1]quests!$A$1,0,0,COUNTA([1]quests!$A:$A),MATCH(E$1,[1]quests!$1:$1,0)-MATCH($C$1,[1]quests!$1:$1,0)+1),MATCH(E$1,[1]quests!$1:$1,0)-MATCH($C$1,[1]quests!$1:$1,0)+1,FALSE)</f>
        <v>ドロップイベント3</v>
      </c>
      <c r="F709" s="5">
        <v>3</v>
      </c>
      <c r="G709" s="3" t="str">
        <f ca="1">VLOOKUP($C709&amp;"_"&amp;$F709,OFFSET([1]stages!$A$1,0,0,COUNTA([1]stages!$A:$A),MATCH(G$1,[1]stages!$2:$2,0)-MATCH("temp_stage",[1]stages!$2:$2,0)+1),MATCH(G$1,[1]stages!$2:$2,0)-MATCH("temp_stage",[1]stages!$2:$2,0)+1,FALSE)</f>
        <v>【上級】迫り来る窒息</v>
      </c>
      <c r="H709" s="3" t="str">
        <f ca="1">VLOOKUP($C709&amp;"_"&amp;$F709,OFFSET([1]stages!$A$1,0,0,COUNTA([1]stages!$A:$A),MATCH(H$1,[1]stages!$2:$2,0)-MATCH("temp_stage",[1]stages!$2:$2,0)+1),MATCH(H$1,[1]stages!$2:$2,0)-MATCH("temp_stage",[1]stages!$2:$2,0)+1,FALSE)</f>
        <v>ドロップイベント3</v>
      </c>
      <c r="I709" s="18">
        <v>0</v>
      </c>
      <c r="J709" s="5">
        <f>COUNTIF(C$1:C709,C709)</f>
        <v>15</v>
      </c>
      <c r="K709" s="34">
        <v>19</v>
      </c>
      <c r="L709" s="5" t="s">
        <v>17</v>
      </c>
      <c r="M709" s="38" t="str">
        <f>VLOOKUP(K709,[2]stage_hints!$A:$C,3,FALSE)</f>
        <v>ソロ専用チャレンジタワー</v>
      </c>
      <c r="N709" s="39" t="str">
        <f>VLOOKUP(K709,[2]stage_hints!$A:$D,4,FALSE)</f>
        <v>ソロ専用の「チャレンジタワー」では
各フロアごとにクリア報酬がもらえます</v>
      </c>
      <c r="O709" s="20" t="s">
        <v>24</v>
      </c>
      <c r="P709">
        <v>19</v>
      </c>
    </row>
    <row r="710" spans="1:16" x14ac:dyDescent="0.15">
      <c r="A710" s="27" t="str">
        <f t="shared" si="74"/>
        <v>20009_3_16</v>
      </c>
      <c r="B710" s="25" t="s">
        <v>34</v>
      </c>
      <c r="C710" s="4">
        <v>20009</v>
      </c>
      <c r="D710" s="3" t="str">
        <f ca="1">VLOOKUP($C710,OFFSET([1]quests!$A$1,0,0,COUNTA([1]quests!$A:$A),MATCH(D$1,[1]quests!$1:$1,0)-MATCH($C$1,[1]quests!$1:$1,0)+1),MATCH(D$1,[1]quests!$1:$1,0)-MATCH($C$1,[1]quests!$1:$1,0)+1,FALSE)</f>
        <v>迫り来る窒息</v>
      </c>
      <c r="E710" s="3" t="str">
        <f ca="1">VLOOKUP($C710,OFFSET([1]quests!$A$1,0,0,COUNTA([1]quests!$A:$A),MATCH(E$1,[1]quests!$1:$1,0)-MATCH($C$1,[1]quests!$1:$1,0)+1),MATCH(E$1,[1]quests!$1:$1,0)-MATCH($C$1,[1]quests!$1:$1,0)+1,FALSE)</f>
        <v>ドロップイベント3</v>
      </c>
      <c r="F710" s="5">
        <v>3</v>
      </c>
      <c r="G710" s="3" t="str">
        <f ca="1">VLOOKUP($C710&amp;"_"&amp;$F710,OFFSET([1]stages!$A$1,0,0,COUNTA([1]stages!$A:$A),MATCH(G$1,[1]stages!$2:$2,0)-MATCH("temp_stage",[1]stages!$2:$2,0)+1),MATCH(G$1,[1]stages!$2:$2,0)-MATCH("temp_stage",[1]stages!$2:$2,0)+1,FALSE)</f>
        <v>【上級】迫り来る窒息</v>
      </c>
      <c r="H710" s="3" t="str">
        <f ca="1">VLOOKUP($C710&amp;"_"&amp;$F710,OFFSET([1]stages!$A$1,0,0,COUNTA([1]stages!$A:$A),MATCH(H$1,[1]stages!$2:$2,0)-MATCH("temp_stage",[1]stages!$2:$2,0)+1),MATCH(H$1,[1]stages!$2:$2,0)-MATCH("temp_stage",[1]stages!$2:$2,0)+1,FALSE)</f>
        <v>ドロップイベント3</v>
      </c>
      <c r="I710" s="18">
        <v>0</v>
      </c>
      <c r="J710" s="5">
        <f>COUNTIF(C$1:C710,C710)</f>
        <v>16</v>
      </c>
      <c r="K710" s="34">
        <v>20</v>
      </c>
      <c r="L710" s="5" t="s">
        <v>17</v>
      </c>
      <c r="M710" s="38" t="str">
        <f>VLOOKUP(K710,[2]stage_hints!$A:$C,3,FALSE)</f>
        <v>マルチプレイのメリット（その3）</v>
      </c>
      <c r="N710" s="39" t="str">
        <f>VLOOKUP(K710,[2]stage_hints!$A:$D,4,FALSE)</f>
        <v>マルチプレイへの参加はエナジー消費ゼロ
いつでも好きなだけ遊ぶことができます</v>
      </c>
      <c r="O710" s="20" t="s">
        <v>24</v>
      </c>
      <c r="P710">
        <v>20</v>
      </c>
    </row>
    <row r="711" spans="1:16" x14ac:dyDescent="0.15">
      <c r="A711" s="27" t="str">
        <f t="shared" si="74"/>
        <v>20009_3_17</v>
      </c>
      <c r="B711" s="25" t="s">
        <v>34</v>
      </c>
      <c r="C711" s="4">
        <v>20009</v>
      </c>
      <c r="D711" s="3" t="str">
        <f ca="1">VLOOKUP($C711,OFFSET([1]quests!$A$1,0,0,COUNTA([1]quests!$A:$A),MATCH(D$1,[1]quests!$1:$1,0)-MATCH($C$1,[1]quests!$1:$1,0)+1),MATCH(D$1,[1]quests!$1:$1,0)-MATCH($C$1,[1]quests!$1:$1,0)+1,FALSE)</f>
        <v>迫り来る窒息</v>
      </c>
      <c r="E711" s="3" t="str">
        <f ca="1">VLOOKUP($C711,OFFSET([1]quests!$A$1,0,0,COUNTA([1]quests!$A:$A),MATCH(E$1,[1]quests!$1:$1,0)-MATCH($C$1,[1]quests!$1:$1,0)+1),MATCH(E$1,[1]quests!$1:$1,0)-MATCH($C$1,[1]quests!$1:$1,0)+1,FALSE)</f>
        <v>ドロップイベント3</v>
      </c>
      <c r="F711" s="5">
        <v>3</v>
      </c>
      <c r="G711" s="3" t="str">
        <f ca="1">VLOOKUP($C711&amp;"_"&amp;$F711,OFFSET([1]stages!$A$1,0,0,COUNTA([1]stages!$A:$A),MATCH(G$1,[1]stages!$2:$2,0)-MATCH("temp_stage",[1]stages!$2:$2,0)+1),MATCH(G$1,[1]stages!$2:$2,0)-MATCH("temp_stage",[1]stages!$2:$2,0)+1,FALSE)</f>
        <v>【上級】迫り来る窒息</v>
      </c>
      <c r="H711" s="3" t="str">
        <f ca="1">VLOOKUP($C711&amp;"_"&amp;$F711,OFFSET([1]stages!$A$1,0,0,COUNTA([1]stages!$A:$A),MATCH(H$1,[1]stages!$2:$2,0)-MATCH("temp_stage",[1]stages!$2:$2,0)+1),MATCH(H$1,[1]stages!$2:$2,0)-MATCH("temp_stage",[1]stages!$2:$2,0)+1,FALSE)</f>
        <v>ドロップイベント3</v>
      </c>
      <c r="I711" s="18">
        <v>0</v>
      </c>
      <c r="J711" s="5">
        <f>COUNTIF(C$1:C711,C711)</f>
        <v>17</v>
      </c>
      <c r="K711" s="34">
        <v>21</v>
      </c>
      <c r="L711" s="5" t="s">
        <v>17</v>
      </c>
      <c r="M711" s="38" t="str">
        <f>VLOOKUP(K711,[2]stage_hints!$A:$C,3,FALSE)</f>
        <v>スキルを有効に</v>
      </c>
      <c r="N711" s="39" t="str">
        <f>VLOOKUP(K711,[2]stage_hints!$A:$D,4,FALSE)</f>
        <v>ターン経過でユニットのスキルが使えます
強力スキルでバトルを有利に進めましょう</v>
      </c>
      <c r="O711" s="20" t="s">
        <v>24</v>
      </c>
      <c r="P711">
        <v>21</v>
      </c>
    </row>
    <row r="712" spans="1:16" x14ac:dyDescent="0.15">
      <c r="A712" s="27" t="str">
        <f t="shared" si="74"/>
        <v>20009_3_18</v>
      </c>
      <c r="B712" s="25" t="s">
        <v>34</v>
      </c>
      <c r="C712" s="4">
        <v>20009</v>
      </c>
      <c r="D712" s="3" t="str">
        <f ca="1">VLOOKUP($C712,OFFSET([1]quests!$A$1,0,0,COUNTA([1]quests!$A:$A),MATCH(D$1,[1]quests!$1:$1,0)-MATCH($C$1,[1]quests!$1:$1,0)+1),MATCH(D$1,[1]quests!$1:$1,0)-MATCH($C$1,[1]quests!$1:$1,0)+1,FALSE)</f>
        <v>迫り来る窒息</v>
      </c>
      <c r="E712" s="3" t="str">
        <f ca="1">VLOOKUP($C712,OFFSET([1]quests!$A$1,0,0,COUNTA([1]quests!$A:$A),MATCH(E$1,[1]quests!$1:$1,0)-MATCH($C$1,[1]quests!$1:$1,0)+1),MATCH(E$1,[1]quests!$1:$1,0)-MATCH($C$1,[1]quests!$1:$1,0)+1,FALSE)</f>
        <v>ドロップイベント3</v>
      </c>
      <c r="F712" s="5">
        <v>3</v>
      </c>
      <c r="G712" s="3" t="str">
        <f ca="1">VLOOKUP($C712&amp;"_"&amp;$F712,OFFSET([1]stages!$A$1,0,0,COUNTA([1]stages!$A:$A),MATCH(G$1,[1]stages!$2:$2,0)-MATCH("temp_stage",[1]stages!$2:$2,0)+1),MATCH(G$1,[1]stages!$2:$2,0)-MATCH("temp_stage",[1]stages!$2:$2,0)+1,FALSE)</f>
        <v>【上級】迫り来る窒息</v>
      </c>
      <c r="H712" s="3" t="str">
        <f ca="1">VLOOKUP($C712&amp;"_"&amp;$F712,OFFSET([1]stages!$A$1,0,0,COUNTA([1]stages!$A:$A),MATCH(H$1,[1]stages!$2:$2,0)-MATCH("temp_stage",[1]stages!$2:$2,0)+1),MATCH(H$1,[1]stages!$2:$2,0)-MATCH("temp_stage",[1]stages!$2:$2,0)+1,FALSE)</f>
        <v>ドロップイベント3</v>
      </c>
      <c r="I712" s="18">
        <v>0</v>
      </c>
      <c r="J712" s="5">
        <f>COUNTIF(C$1:C712,C712)</f>
        <v>18</v>
      </c>
      <c r="K712" s="34">
        <v>22</v>
      </c>
      <c r="L712" s="5" t="s">
        <v>17</v>
      </c>
      <c r="M712" s="38" t="str">
        <f>VLOOKUP(K712,[2]stage_hints!$A:$C,3,FALSE)</f>
        <v>フィーバーで一発逆転（その1）</v>
      </c>
      <c r="N712" s="39" t="str">
        <f>VLOOKUP(K712,[2]stage_hints!$A:$D,4,FALSE)</f>
        <v>フィーバーは攻撃と回復を兼ね備えます
ピンチからの一発逆転を狙いましょう</v>
      </c>
      <c r="O712" s="20" t="s">
        <v>24</v>
      </c>
      <c r="P712">
        <v>22</v>
      </c>
    </row>
    <row r="713" spans="1:16" x14ac:dyDescent="0.15">
      <c r="A713" s="27" t="str">
        <f t="shared" si="74"/>
        <v>20009_3_19</v>
      </c>
      <c r="B713" s="25" t="s">
        <v>34</v>
      </c>
      <c r="C713" s="4">
        <v>20009</v>
      </c>
      <c r="D713" s="3" t="str">
        <f ca="1">VLOOKUP($C713,OFFSET([1]quests!$A$1,0,0,COUNTA([1]quests!$A:$A),MATCH(D$1,[1]quests!$1:$1,0)-MATCH($C$1,[1]quests!$1:$1,0)+1),MATCH(D$1,[1]quests!$1:$1,0)-MATCH($C$1,[1]quests!$1:$1,0)+1,FALSE)</f>
        <v>迫り来る窒息</v>
      </c>
      <c r="E713" s="3" t="str">
        <f ca="1">VLOOKUP($C713,OFFSET([1]quests!$A$1,0,0,COUNTA([1]quests!$A:$A),MATCH(E$1,[1]quests!$1:$1,0)-MATCH($C$1,[1]quests!$1:$1,0)+1),MATCH(E$1,[1]quests!$1:$1,0)-MATCH($C$1,[1]quests!$1:$1,0)+1,FALSE)</f>
        <v>ドロップイベント3</v>
      </c>
      <c r="F713" s="5">
        <v>3</v>
      </c>
      <c r="G713" s="3" t="str">
        <f ca="1">VLOOKUP($C713&amp;"_"&amp;$F713,OFFSET([1]stages!$A$1,0,0,COUNTA([1]stages!$A:$A),MATCH(G$1,[1]stages!$2:$2,0)-MATCH("temp_stage",[1]stages!$2:$2,0)+1),MATCH(G$1,[1]stages!$2:$2,0)-MATCH("temp_stage",[1]stages!$2:$2,0)+1,FALSE)</f>
        <v>【上級】迫り来る窒息</v>
      </c>
      <c r="H713" s="3" t="str">
        <f ca="1">VLOOKUP($C713&amp;"_"&amp;$F713,OFFSET([1]stages!$A$1,0,0,COUNTA([1]stages!$A:$A),MATCH(H$1,[1]stages!$2:$2,0)-MATCH("temp_stage",[1]stages!$2:$2,0)+1),MATCH(H$1,[1]stages!$2:$2,0)-MATCH("temp_stage",[1]stages!$2:$2,0)+1,FALSE)</f>
        <v>ドロップイベント3</v>
      </c>
      <c r="I713" s="18">
        <v>0</v>
      </c>
      <c r="J713" s="5">
        <f>COUNTIF(C$1:C713,C713)</f>
        <v>19</v>
      </c>
      <c r="K713" s="34">
        <v>23</v>
      </c>
      <c r="L713" s="5" t="s">
        <v>17</v>
      </c>
      <c r="M713" s="38" t="str">
        <f>VLOOKUP(K713,[2]stage_hints!$A:$C,3,FALSE)</f>
        <v>フィーバーで一発逆転（その2）</v>
      </c>
      <c r="N713" s="39" t="str">
        <f>VLOOKUP(K713,[2]stage_hints!$A:$D,4,FALSE)</f>
        <v>フィーバー中は虹色のボムパネルを狙って
画面上のパネルを一気に破壊しましょう</v>
      </c>
      <c r="O713" s="20" t="s">
        <v>24</v>
      </c>
      <c r="P713">
        <v>23</v>
      </c>
    </row>
    <row r="714" spans="1:16" x14ac:dyDescent="0.15">
      <c r="A714" s="27" t="str">
        <f t="shared" si="74"/>
        <v>20009_3_20</v>
      </c>
      <c r="B714" s="25" t="s">
        <v>34</v>
      </c>
      <c r="C714" s="4">
        <v>20009</v>
      </c>
      <c r="D714" s="3" t="str">
        <f ca="1">VLOOKUP($C714,OFFSET([1]quests!$A$1,0,0,COUNTA([1]quests!$A:$A),MATCH(D$1,[1]quests!$1:$1,0)-MATCH($C$1,[1]quests!$1:$1,0)+1),MATCH(D$1,[1]quests!$1:$1,0)-MATCH($C$1,[1]quests!$1:$1,0)+1,FALSE)</f>
        <v>迫り来る窒息</v>
      </c>
      <c r="E714" s="3" t="str">
        <f ca="1">VLOOKUP($C714,OFFSET([1]quests!$A$1,0,0,COUNTA([1]quests!$A:$A),MATCH(E$1,[1]quests!$1:$1,0)-MATCH($C$1,[1]quests!$1:$1,0)+1),MATCH(E$1,[1]quests!$1:$1,0)-MATCH($C$1,[1]quests!$1:$1,0)+1,FALSE)</f>
        <v>ドロップイベント3</v>
      </c>
      <c r="F714" s="5">
        <v>3</v>
      </c>
      <c r="G714" s="3" t="str">
        <f ca="1">VLOOKUP($C714&amp;"_"&amp;$F714,OFFSET([1]stages!$A$1,0,0,COUNTA([1]stages!$A:$A),MATCH(G$1,[1]stages!$2:$2,0)-MATCH("temp_stage",[1]stages!$2:$2,0)+1),MATCH(G$1,[1]stages!$2:$2,0)-MATCH("temp_stage",[1]stages!$2:$2,0)+1,FALSE)</f>
        <v>【上級】迫り来る窒息</v>
      </c>
      <c r="H714" s="3" t="str">
        <f ca="1">VLOOKUP($C714&amp;"_"&amp;$F714,OFFSET([1]stages!$A$1,0,0,COUNTA([1]stages!$A:$A),MATCH(H$1,[1]stages!$2:$2,0)-MATCH("temp_stage",[1]stages!$2:$2,0)+1),MATCH(H$1,[1]stages!$2:$2,0)-MATCH("temp_stage",[1]stages!$2:$2,0)+1,FALSE)</f>
        <v>ドロップイベント3</v>
      </c>
      <c r="I714" s="18">
        <v>0</v>
      </c>
      <c r="J714" s="5">
        <f>COUNTIF(C$1:C714,C714)</f>
        <v>20</v>
      </c>
      <c r="K714" s="34">
        <v>24</v>
      </c>
      <c r="L714" s="5" t="s">
        <v>17</v>
      </c>
      <c r="M714" s="38" t="str">
        <f>VLOOKUP(K714,[2]stage_hints!$A:$C,3,FALSE)</f>
        <v>りんごを使って限界突破</v>
      </c>
      <c r="N714" s="39" t="str">
        <f>VLOOKUP(K714,[2]stage_hints!$A:$D,4,FALSE)</f>
        <v>赤りんご(攻撃力) 青りんご(回復力)
緑りんご(体力)をユニット強化に使うと
ステータスが限界突破します（計99個迄）</v>
      </c>
      <c r="O714" s="20" t="s">
        <v>24</v>
      </c>
      <c r="P714">
        <v>24</v>
      </c>
    </row>
    <row r="715" spans="1:16" x14ac:dyDescent="0.15">
      <c r="A715" s="27" t="str">
        <f t="shared" si="74"/>
        <v>20009_3_21</v>
      </c>
      <c r="B715" s="25" t="s">
        <v>34</v>
      </c>
      <c r="C715" s="4">
        <v>20009</v>
      </c>
      <c r="D715" s="3" t="str">
        <f ca="1">VLOOKUP($C715,OFFSET([1]quests!$A$1,0,0,COUNTA([1]quests!$A:$A),MATCH(D$1,[1]quests!$1:$1,0)-MATCH($C$1,[1]quests!$1:$1,0)+1),MATCH(D$1,[1]quests!$1:$1,0)-MATCH($C$1,[1]quests!$1:$1,0)+1,FALSE)</f>
        <v>迫り来る窒息</v>
      </c>
      <c r="E715" s="3" t="str">
        <f ca="1">VLOOKUP($C715,OFFSET([1]quests!$A$1,0,0,COUNTA([1]quests!$A:$A),MATCH(E$1,[1]quests!$1:$1,0)-MATCH($C$1,[1]quests!$1:$1,0)+1),MATCH(E$1,[1]quests!$1:$1,0)-MATCH($C$1,[1]quests!$1:$1,0)+1,FALSE)</f>
        <v>ドロップイベント3</v>
      </c>
      <c r="F715" s="5">
        <v>3</v>
      </c>
      <c r="G715" s="3" t="str">
        <f ca="1">VLOOKUP($C715&amp;"_"&amp;$F715,OFFSET([1]stages!$A$1,0,0,COUNTA([1]stages!$A:$A),MATCH(G$1,[1]stages!$2:$2,0)-MATCH("temp_stage",[1]stages!$2:$2,0)+1),MATCH(G$1,[1]stages!$2:$2,0)-MATCH("temp_stage",[1]stages!$2:$2,0)+1,FALSE)</f>
        <v>【上級】迫り来る窒息</v>
      </c>
      <c r="H715" s="3" t="str">
        <f ca="1">VLOOKUP($C715&amp;"_"&amp;$F715,OFFSET([1]stages!$A$1,0,0,COUNTA([1]stages!$A:$A),MATCH(H$1,[1]stages!$2:$2,0)-MATCH("temp_stage",[1]stages!$2:$2,0)+1),MATCH(H$1,[1]stages!$2:$2,0)-MATCH("temp_stage",[1]stages!$2:$2,0)+1,FALSE)</f>
        <v>ドロップイベント3</v>
      </c>
      <c r="I715" s="18">
        <v>0</v>
      </c>
      <c r="J715" s="5">
        <f>COUNTIF(C$1:C715,C715)</f>
        <v>21</v>
      </c>
      <c r="K715" s="34">
        <v>25</v>
      </c>
      <c r="L715" s="5" t="s">
        <v>17</v>
      </c>
      <c r="M715" s="38" t="str">
        <f>VLOOKUP(K715,[2]stage_hints!$A:$C,3,FALSE)</f>
        <v>スキルレベルアップ</v>
      </c>
      <c r="N715" s="39" t="str">
        <f>VLOOKUP(K715,[2]stage_hints!$A:$D,4,FALSE)</f>
        <v>「クリスタルのりんご」を強化に使うと
スキルレベルを上げることができます</v>
      </c>
      <c r="O715" s="20" t="s">
        <v>24</v>
      </c>
      <c r="P715">
        <v>25</v>
      </c>
    </row>
    <row r="716" spans="1:16" x14ac:dyDescent="0.15">
      <c r="A716" s="27" t="str">
        <f t="shared" si="74"/>
        <v>20009_3_22</v>
      </c>
      <c r="B716" s="25" t="s">
        <v>34</v>
      </c>
      <c r="C716" s="4">
        <v>20009</v>
      </c>
      <c r="D716" s="3" t="str">
        <f ca="1">VLOOKUP($C716,OFFSET([1]quests!$A$1,0,0,COUNTA([1]quests!$A:$A),MATCH(D$1,[1]quests!$1:$1,0)-MATCH($C$1,[1]quests!$1:$1,0)+1),MATCH(D$1,[1]quests!$1:$1,0)-MATCH($C$1,[1]quests!$1:$1,0)+1,FALSE)</f>
        <v>迫り来る窒息</v>
      </c>
      <c r="E716" s="3" t="str">
        <f ca="1">VLOOKUP($C716,OFFSET([1]quests!$A$1,0,0,COUNTA([1]quests!$A:$A),MATCH(E$1,[1]quests!$1:$1,0)-MATCH($C$1,[1]quests!$1:$1,0)+1),MATCH(E$1,[1]quests!$1:$1,0)-MATCH($C$1,[1]quests!$1:$1,0)+1,FALSE)</f>
        <v>ドロップイベント3</v>
      </c>
      <c r="F716" s="5">
        <v>3</v>
      </c>
      <c r="G716" s="3" t="str">
        <f ca="1">VLOOKUP($C716&amp;"_"&amp;$F716,OFFSET([1]stages!$A$1,0,0,COUNTA([1]stages!$A:$A),MATCH(G$1,[1]stages!$2:$2,0)-MATCH("temp_stage",[1]stages!$2:$2,0)+1),MATCH(G$1,[1]stages!$2:$2,0)-MATCH("temp_stage",[1]stages!$2:$2,0)+1,FALSE)</f>
        <v>【上級】迫り来る窒息</v>
      </c>
      <c r="H716" s="3" t="str">
        <f ca="1">VLOOKUP($C716&amp;"_"&amp;$F716,OFFSET([1]stages!$A$1,0,0,COUNTA([1]stages!$A:$A),MATCH(H$1,[1]stages!$2:$2,0)-MATCH("temp_stage",[1]stages!$2:$2,0)+1),MATCH(H$1,[1]stages!$2:$2,0)-MATCH("temp_stage",[1]stages!$2:$2,0)+1,FALSE)</f>
        <v>ドロップイベント3</v>
      </c>
      <c r="I716" s="18">
        <v>0</v>
      </c>
      <c r="J716" s="5">
        <f>COUNTIF(C$1:C716,C716)</f>
        <v>22</v>
      </c>
      <c r="K716" s="34">
        <v>26</v>
      </c>
      <c r="L716" s="5" t="s">
        <v>17</v>
      </c>
      <c r="M716" s="38" t="str">
        <f>VLOOKUP(K716,[2]stage_hints!$A:$C,3,FALSE)</f>
        <v>スキルレベルの効果</v>
      </c>
      <c r="N716" s="39" t="str">
        <f>VLOOKUP(K716,[2]stage_hints!$A:$D,4,FALSE)</f>
        <v>スキルレベルが上がると
短いターンでスキルを使うことができます</v>
      </c>
      <c r="O716" s="20" t="s">
        <v>24</v>
      </c>
      <c r="P716">
        <v>26</v>
      </c>
    </row>
    <row r="717" spans="1:16" x14ac:dyDescent="0.15">
      <c r="A717" s="27" t="str">
        <f t="shared" si="74"/>
        <v>20009_3_23</v>
      </c>
      <c r="B717" s="25" t="s">
        <v>34</v>
      </c>
      <c r="C717" s="4">
        <v>20009</v>
      </c>
      <c r="D717" s="3" t="str">
        <f ca="1">VLOOKUP($C717,OFFSET([1]quests!$A$1,0,0,COUNTA([1]quests!$A:$A),MATCH(D$1,[1]quests!$1:$1,0)-MATCH($C$1,[1]quests!$1:$1,0)+1),MATCH(D$1,[1]quests!$1:$1,0)-MATCH($C$1,[1]quests!$1:$1,0)+1,FALSE)</f>
        <v>迫り来る窒息</v>
      </c>
      <c r="E717" s="3" t="str">
        <f ca="1">VLOOKUP($C717,OFFSET([1]quests!$A$1,0,0,COUNTA([1]quests!$A:$A),MATCH(E$1,[1]quests!$1:$1,0)-MATCH($C$1,[1]quests!$1:$1,0)+1),MATCH(E$1,[1]quests!$1:$1,0)-MATCH($C$1,[1]quests!$1:$1,0)+1,FALSE)</f>
        <v>ドロップイベント3</v>
      </c>
      <c r="F717" s="5">
        <v>3</v>
      </c>
      <c r="G717" s="3" t="str">
        <f ca="1">VLOOKUP($C717&amp;"_"&amp;$F717,OFFSET([1]stages!$A$1,0,0,COUNTA([1]stages!$A:$A),MATCH(G$1,[1]stages!$2:$2,0)-MATCH("temp_stage",[1]stages!$2:$2,0)+1),MATCH(G$1,[1]stages!$2:$2,0)-MATCH("temp_stage",[1]stages!$2:$2,0)+1,FALSE)</f>
        <v>【上級】迫り来る窒息</v>
      </c>
      <c r="H717" s="3" t="str">
        <f ca="1">VLOOKUP($C717&amp;"_"&amp;$F717,OFFSET([1]stages!$A$1,0,0,COUNTA([1]stages!$A:$A),MATCH(H$1,[1]stages!$2:$2,0)-MATCH("temp_stage",[1]stages!$2:$2,0)+1),MATCH(H$1,[1]stages!$2:$2,0)-MATCH("temp_stage",[1]stages!$2:$2,0)+1,FALSE)</f>
        <v>ドロップイベント3</v>
      </c>
      <c r="I717" s="18">
        <v>0</v>
      </c>
      <c r="J717" s="5">
        <f>COUNTIF(C$1:C717,C717)</f>
        <v>23</v>
      </c>
      <c r="K717" s="34">
        <v>27</v>
      </c>
      <c r="L717" s="5" t="s">
        <v>17</v>
      </c>
      <c r="M717" s="38" t="str">
        <f>VLOOKUP(K717,[2]stage_hints!$A:$C,3,FALSE)</f>
        <v>ホーム画面からデッキを編成</v>
      </c>
      <c r="N717" s="39" t="str">
        <f>VLOOKUP(K717,[2]stage_hints!$A:$D,4,FALSE)</f>
        <v>ホーム画面でユニットを長押しすると
すぐにパーティ編成に移動できます</v>
      </c>
      <c r="O717" s="20" t="s">
        <v>24</v>
      </c>
      <c r="P717">
        <v>27</v>
      </c>
    </row>
    <row r="718" spans="1:16" x14ac:dyDescent="0.15">
      <c r="A718" s="27" t="str">
        <f t="shared" si="74"/>
        <v>20009_3_24</v>
      </c>
      <c r="B718" s="25" t="s">
        <v>34</v>
      </c>
      <c r="C718" s="4">
        <v>20009</v>
      </c>
      <c r="D718" s="3" t="str">
        <f ca="1">VLOOKUP($C718,OFFSET([1]quests!$A$1,0,0,COUNTA([1]quests!$A:$A),MATCH(D$1,[1]quests!$1:$1,0)-MATCH($C$1,[1]quests!$1:$1,0)+1),MATCH(D$1,[1]quests!$1:$1,0)-MATCH($C$1,[1]quests!$1:$1,0)+1,FALSE)</f>
        <v>迫り来る窒息</v>
      </c>
      <c r="E718" s="3" t="str">
        <f ca="1">VLOOKUP($C718,OFFSET([1]quests!$A$1,0,0,COUNTA([1]quests!$A:$A),MATCH(E$1,[1]quests!$1:$1,0)-MATCH($C$1,[1]quests!$1:$1,0)+1),MATCH(E$1,[1]quests!$1:$1,0)-MATCH($C$1,[1]quests!$1:$1,0)+1,FALSE)</f>
        <v>ドロップイベント3</v>
      </c>
      <c r="F718" s="5">
        <v>3</v>
      </c>
      <c r="G718" s="3" t="str">
        <f ca="1">VLOOKUP($C718&amp;"_"&amp;$F718,OFFSET([1]stages!$A$1,0,0,COUNTA([1]stages!$A:$A),MATCH(G$1,[1]stages!$2:$2,0)-MATCH("temp_stage",[1]stages!$2:$2,0)+1),MATCH(G$1,[1]stages!$2:$2,0)-MATCH("temp_stage",[1]stages!$2:$2,0)+1,FALSE)</f>
        <v>【上級】迫り来る窒息</v>
      </c>
      <c r="H718" s="3" t="str">
        <f ca="1">VLOOKUP($C718&amp;"_"&amp;$F718,OFFSET([1]stages!$A$1,0,0,COUNTA([1]stages!$A:$A),MATCH(H$1,[1]stages!$2:$2,0)-MATCH("temp_stage",[1]stages!$2:$2,0)+1),MATCH(H$1,[1]stages!$2:$2,0)-MATCH("temp_stage",[1]stages!$2:$2,0)+1,FALSE)</f>
        <v>ドロップイベント3</v>
      </c>
      <c r="I718" s="18">
        <v>0</v>
      </c>
      <c r="J718" s="5">
        <f>COUNTIF(C$1:C718,C718)</f>
        <v>24</v>
      </c>
      <c r="K718" s="34">
        <v>28</v>
      </c>
      <c r="L718" s="5" t="s">
        <v>17</v>
      </c>
      <c r="M718" s="38" t="str">
        <f>VLOOKUP(K718,[2]stage_hints!$A:$C,3,FALSE)</f>
        <v>ステータス情報は長押しで</v>
      </c>
      <c r="N718" s="39" t="str">
        <f>VLOOKUP(K718,[2]stage_hints!$A:$D,4,FALSE)</f>
        <v>ユニットのアイコンを長押しすると
ステータス情報を確認することができます</v>
      </c>
      <c r="O718" s="20" t="s">
        <v>24</v>
      </c>
      <c r="P718">
        <v>28</v>
      </c>
    </row>
    <row r="719" spans="1:16" x14ac:dyDescent="0.15">
      <c r="A719" s="27" t="str">
        <f t="shared" si="74"/>
        <v>20009_3_25</v>
      </c>
      <c r="B719" s="25" t="s">
        <v>34</v>
      </c>
      <c r="C719" s="4">
        <v>20009</v>
      </c>
      <c r="D719" s="3" t="str">
        <f ca="1">VLOOKUP($C719,OFFSET([1]quests!$A$1,0,0,COUNTA([1]quests!$A:$A),MATCH(D$1,[1]quests!$1:$1,0)-MATCH($C$1,[1]quests!$1:$1,0)+1),MATCH(D$1,[1]quests!$1:$1,0)-MATCH($C$1,[1]quests!$1:$1,0)+1,FALSE)</f>
        <v>迫り来る窒息</v>
      </c>
      <c r="E719" s="3" t="str">
        <f ca="1">VLOOKUP($C719,OFFSET([1]quests!$A$1,0,0,COUNTA([1]quests!$A:$A),MATCH(E$1,[1]quests!$1:$1,0)-MATCH($C$1,[1]quests!$1:$1,0)+1),MATCH(E$1,[1]quests!$1:$1,0)-MATCH($C$1,[1]quests!$1:$1,0)+1,FALSE)</f>
        <v>ドロップイベント3</v>
      </c>
      <c r="F719" s="5">
        <v>3</v>
      </c>
      <c r="G719" s="3" t="str">
        <f ca="1">VLOOKUP($C719&amp;"_"&amp;$F719,OFFSET([1]stages!$A$1,0,0,COUNTA([1]stages!$A:$A),MATCH(G$1,[1]stages!$2:$2,0)-MATCH("temp_stage",[1]stages!$2:$2,0)+1),MATCH(G$1,[1]stages!$2:$2,0)-MATCH("temp_stage",[1]stages!$2:$2,0)+1,FALSE)</f>
        <v>【上級】迫り来る窒息</v>
      </c>
      <c r="H719" s="3" t="str">
        <f ca="1">VLOOKUP($C719&amp;"_"&amp;$F719,OFFSET([1]stages!$A$1,0,0,COUNTA([1]stages!$A:$A),MATCH(H$1,[1]stages!$2:$2,0)-MATCH("temp_stage",[1]stages!$2:$2,0)+1),MATCH(H$1,[1]stages!$2:$2,0)-MATCH("temp_stage",[1]stages!$2:$2,0)+1,FALSE)</f>
        <v>ドロップイベント3</v>
      </c>
      <c r="I719" s="18">
        <v>0</v>
      </c>
      <c r="J719" s="5">
        <f>COUNTIF(C$1:C719,C719)</f>
        <v>25</v>
      </c>
      <c r="K719" s="34">
        <v>29</v>
      </c>
      <c r="L719" s="5" t="s">
        <v>17</v>
      </c>
      <c r="M719" s="38" t="str">
        <f>VLOOKUP(K719,[2]stage_hints!$A:$C,3,FALSE)</f>
        <v>「バグ」のメリット</v>
      </c>
      <c r="N719" s="39" t="str">
        <f>VLOOKUP(K719,[2]stage_hints!$A:$D,4,FALSE)</f>
        <v>ユニットの「バグ」を増やすと
報酬をもらえる確率がアップします</v>
      </c>
      <c r="O719" s="20" t="s">
        <v>24</v>
      </c>
      <c r="P719">
        <v>29</v>
      </c>
    </row>
    <row r="720" spans="1:16" x14ac:dyDescent="0.15">
      <c r="A720" s="27" t="str">
        <f t="shared" si="74"/>
        <v>20009_3_26</v>
      </c>
      <c r="B720" s="25" t="s">
        <v>34</v>
      </c>
      <c r="C720" s="4">
        <v>20009</v>
      </c>
      <c r="D720" s="3" t="str">
        <f ca="1">VLOOKUP($C720,OFFSET([1]quests!$A$1,0,0,COUNTA([1]quests!$A:$A),MATCH(D$1,[1]quests!$1:$1,0)-MATCH($C$1,[1]quests!$1:$1,0)+1),MATCH(D$1,[1]quests!$1:$1,0)-MATCH($C$1,[1]quests!$1:$1,0)+1,FALSE)</f>
        <v>迫り来る窒息</v>
      </c>
      <c r="E720" s="3" t="str">
        <f ca="1">VLOOKUP($C720,OFFSET([1]quests!$A$1,0,0,COUNTA([1]quests!$A:$A),MATCH(E$1,[1]quests!$1:$1,0)-MATCH($C$1,[1]quests!$1:$1,0)+1),MATCH(E$1,[1]quests!$1:$1,0)-MATCH($C$1,[1]quests!$1:$1,0)+1,FALSE)</f>
        <v>ドロップイベント3</v>
      </c>
      <c r="F720" s="5">
        <v>3</v>
      </c>
      <c r="G720" s="3" t="str">
        <f ca="1">VLOOKUP($C720&amp;"_"&amp;$F720,OFFSET([1]stages!$A$1,0,0,COUNTA([1]stages!$A:$A),MATCH(G$1,[1]stages!$2:$2,0)-MATCH("temp_stage",[1]stages!$2:$2,0)+1),MATCH(G$1,[1]stages!$2:$2,0)-MATCH("temp_stage",[1]stages!$2:$2,0)+1,FALSE)</f>
        <v>【上級】迫り来る窒息</v>
      </c>
      <c r="H720" s="3" t="str">
        <f ca="1">VLOOKUP($C720&amp;"_"&amp;$F720,OFFSET([1]stages!$A$1,0,0,COUNTA([1]stages!$A:$A),MATCH(H$1,[1]stages!$2:$2,0)-MATCH("temp_stage",[1]stages!$2:$2,0)+1),MATCH(H$1,[1]stages!$2:$2,0)-MATCH("temp_stage",[1]stages!$2:$2,0)+1,FALSE)</f>
        <v>ドロップイベント3</v>
      </c>
      <c r="I720" s="18">
        <v>0</v>
      </c>
      <c r="J720" s="5">
        <f>COUNTIF(C$1:C720,C720)</f>
        <v>26</v>
      </c>
      <c r="K720" s="34">
        <v>30</v>
      </c>
      <c r="L720" s="5" t="s">
        <v>17</v>
      </c>
      <c r="M720" s="38" t="str">
        <f>VLOOKUP(K720,[2]stage_hints!$A:$C,3,FALSE)</f>
        <v>「バグ」の増やし方</v>
      </c>
      <c r="N720" s="39" t="str">
        <f>VLOOKUP(K720,[2]stage_hints!$A:$D,4,FALSE)</f>
        <v>同じユニット同士を強化で合成すると
「バグ」を増やすことができます</v>
      </c>
      <c r="O720" s="20" t="s">
        <v>24</v>
      </c>
      <c r="P720">
        <v>30</v>
      </c>
    </row>
    <row r="721" spans="1:16" x14ac:dyDescent="0.15">
      <c r="A721" s="27" t="str">
        <f t="shared" si="74"/>
        <v>20009_3_27</v>
      </c>
      <c r="B721" s="25" t="s">
        <v>34</v>
      </c>
      <c r="C721" s="4">
        <v>20009</v>
      </c>
      <c r="D721" s="3" t="str">
        <f ca="1">VLOOKUP($C721,OFFSET([1]quests!$A$1,0,0,COUNTA([1]quests!$A:$A),MATCH(D$1,[1]quests!$1:$1,0)-MATCH($C$1,[1]quests!$1:$1,0)+1),MATCH(D$1,[1]quests!$1:$1,0)-MATCH($C$1,[1]quests!$1:$1,0)+1,FALSE)</f>
        <v>迫り来る窒息</v>
      </c>
      <c r="E721" s="3" t="str">
        <f ca="1">VLOOKUP($C721,OFFSET([1]quests!$A$1,0,0,COUNTA([1]quests!$A:$A),MATCH(E$1,[1]quests!$1:$1,0)-MATCH($C$1,[1]quests!$1:$1,0)+1),MATCH(E$1,[1]quests!$1:$1,0)-MATCH($C$1,[1]quests!$1:$1,0)+1,FALSE)</f>
        <v>ドロップイベント3</v>
      </c>
      <c r="F721" s="5">
        <v>3</v>
      </c>
      <c r="G721" s="3" t="str">
        <f ca="1">VLOOKUP($C721&amp;"_"&amp;$F721,OFFSET([1]stages!$A$1,0,0,COUNTA([1]stages!$A:$A),MATCH(G$1,[1]stages!$2:$2,0)-MATCH("temp_stage",[1]stages!$2:$2,0)+1),MATCH(G$1,[1]stages!$2:$2,0)-MATCH("temp_stage",[1]stages!$2:$2,0)+1,FALSE)</f>
        <v>【上級】迫り来る窒息</v>
      </c>
      <c r="H721" s="3" t="str">
        <f ca="1">VLOOKUP($C721&amp;"_"&amp;$F721,OFFSET([1]stages!$A$1,0,0,COUNTA([1]stages!$A:$A),MATCH(H$1,[1]stages!$2:$2,0)-MATCH("temp_stage",[1]stages!$2:$2,0)+1),MATCH(H$1,[1]stages!$2:$2,0)-MATCH("temp_stage",[1]stages!$2:$2,0)+1,FALSE)</f>
        <v>ドロップイベント3</v>
      </c>
      <c r="I721" s="18">
        <v>0</v>
      </c>
      <c r="J721" s="5">
        <f>COUNTIF(C$1:C721,C721)</f>
        <v>27</v>
      </c>
      <c r="K721" s="34">
        <v>31</v>
      </c>
      <c r="L721" s="5" t="s">
        <v>17</v>
      </c>
      <c r="M721" s="38" t="str">
        <f>VLOOKUP(K721,[2]stage_hints!$A:$C,3,FALSE)</f>
        <v>イベントはお知らせでチェック</v>
      </c>
      <c r="N721" s="39" t="str">
        <f>VLOOKUP(K721,[2]stage_hints!$A:$D,4,FALSE)</f>
        <v>イベント限定ユニットを取り忘れないように
お知らせをこまめにチェックしましょう</v>
      </c>
      <c r="O721" s="20" t="s">
        <v>24</v>
      </c>
      <c r="P721">
        <v>31</v>
      </c>
    </row>
    <row r="722" spans="1:16" x14ac:dyDescent="0.15">
      <c r="A722" s="27" t="str">
        <f t="shared" si="74"/>
        <v>20009_3_28</v>
      </c>
      <c r="B722" s="25" t="s">
        <v>34</v>
      </c>
      <c r="C722" s="4">
        <v>20009</v>
      </c>
      <c r="D722" s="3" t="str">
        <f ca="1">VLOOKUP($C722,OFFSET([1]quests!$A$1,0,0,COUNTA([1]quests!$A:$A),MATCH(D$1,[1]quests!$1:$1,0)-MATCH($C$1,[1]quests!$1:$1,0)+1),MATCH(D$1,[1]quests!$1:$1,0)-MATCH($C$1,[1]quests!$1:$1,0)+1,FALSE)</f>
        <v>迫り来る窒息</v>
      </c>
      <c r="E722" s="3" t="str">
        <f ca="1">VLOOKUP($C722,OFFSET([1]quests!$A$1,0,0,COUNTA([1]quests!$A:$A),MATCH(E$1,[1]quests!$1:$1,0)-MATCH($C$1,[1]quests!$1:$1,0)+1),MATCH(E$1,[1]quests!$1:$1,0)-MATCH($C$1,[1]quests!$1:$1,0)+1,FALSE)</f>
        <v>ドロップイベント3</v>
      </c>
      <c r="F722" s="5">
        <v>3</v>
      </c>
      <c r="G722" s="3" t="str">
        <f ca="1">VLOOKUP($C722&amp;"_"&amp;$F722,OFFSET([1]stages!$A$1,0,0,COUNTA([1]stages!$A:$A),MATCH(G$1,[1]stages!$2:$2,0)-MATCH("temp_stage",[1]stages!$2:$2,0)+1),MATCH(G$1,[1]stages!$2:$2,0)-MATCH("temp_stage",[1]stages!$2:$2,0)+1,FALSE)</f>
        <v>【上級】迫り来る窒息</v>
      </c>
      <c r="H722" s="3" t="str">
        <f ca="1">VLOOKUP($C722&amp;"_"&amp;$F722,OFFSET([1]stages!$A$1,0,0,COUNTA([1]stages!$A:$A),MATCH(H$1,[1]stages!$2:$2,0)-MATCH("temp_stage",[1]stages!$2:$2,0)+1),MATCH(H$1,[1]stages!$2:$2,0)-MATCH("temp_stage",[1]stages!$2:$2,0)+1,FALSE)</f>
        <v>ドロップイベント3</v>
      </c>
      <c r="I722" s="18">
        <v>0</v>
      </c>
      <c r="J722" s="5">
        <f>COUNTIF(C$1:C722,C722)</f>
        <v>28</v>
      </c>
      <c r="K722" s="34">
        <v>32</v>
      </c>
      <c r="L722" s="5" t="s">
        <v>17</v>
      </c>
      <c r="M722" s="38" t="str">
        <f>VLOOKUP(K722,[2]stage_hints!$A:$C,3,FALSE)</f>
        <v>敵の連続攻撃には</v>
      </c>
      <c r="N722" s="39" t="str">
        <f>VLOOKUP(K722,[2]stage_hints!$A:$D,4,FALSE)</f>
        <v>カウンタースキルを持つユニットがいれば
ダメージ回数分の反撃ができます</v>
      </c>
      <c r="O722" s="20" t="s">
        <v>24</v>
      </c>
      <c r="P722">
        <v>32</v>
      </c>
    </row>
    <row r="723" spans="1:16" x14ac:dyDescent="0.15">
      <c r="A723" s="27" t="str">
        <f t="shared" si="74"/>
        <v>20009_3_29</v>
      </c>
      <c r="B723" s="25" t="s">
        <v>34</v>
      </c>
      <c r="C723" s="4">
        <v>20009</v>
      </c>
      <c r="D723" s="3" t="str">
        <f ca="1">VLOOKUP($C723,OFFSET([1]quests!$A$1,0,0,COUNTA([1]quests!$A:$A),MATCH(D$1,[1]quests!$1:$1,0)-MATCH($C$1,[1]quests!$1:$1,0)+1),MATCH(D$1,[1]quests!$1:$1,0)-MATCH($C$1,[1]quests!$1:$1,0)+1,FALSE)</f>
        <v>迫り来る窒息</v>
      </c>
      <c r="E723" s="3" t="str">
        <f ca="1">VLOOKUP($C723,OFFSET([1]quests!$A$1,0,0,COUNTA([1]quests!$A:$A),MATCH(E$1,[1]quests!$1:$1,0)-MATCH($C$1,[1]quests!$1:$1,0)+1),MATCH(E$1,[1]quests!$1:$1,0)-MATCH($C$1,[1]quests!$1:$1,0)+1,FALSE)</f>
        <v>ドロップイベント3</v>
      </c>
      <c r="F723" s="5">
        <v>3</v>
      </c>
      <c r="G723" s="3" t="str">
        <f ca="1">VLOOKUP($C723&amp;"_"&amp;$F723,OFFSET([1]stages!$A$1,0,0,COUNTA([1]stages!$A:$A),MATCH(G$1,[1]stages!$2:$2,0)-MATCH("temp_stage",[1]stages!$2:$2,0)+1),MATCH(G$1,[1]stages!$2:$2,0)-MATCH("temp_stage",[1]stages!$2:$2,0)+1,FALSE)</f>
        <v>【上級】迫り来る窒息</v>
      </c>
      <c r="H723" s="3" t="str">
        <f ca="1">VLOOKUP($C723&amp;"_"&amp;$F723,OFFSET([1]stages!$A$1,0,0,COUNTA([1]stages!$A:$A),MATCH(H$1,[1]stages!$2:$2,0)-MATCH("temp_stage",[1]stages!$2:$2,0)+1),MATCH(H$1,[1]stages!$2:$2,0)-MATCH("temp_stage",[1]stages!$2:$2,0)+1,FALSE)</f>
        <v>ドロップイベント3</v>
      </c>
      <c r="I723" s="18">
        <v>0</v>
      </c>
      <c r="J723" s="5">
        <f>COUNTIF(C$1:C723,C723)</f>
        <v>29</v>
      </c>
      <c r="K723" s="34">
        <v>33</v>
      </c>
      <c r="L723" s="5" t="s">
        <v>17</v>
      </c>
      <c r="M723" s="38" t="str">
        <f>VLOOKUP(K723,[2]stage_hints!$A:$C,3,FALSE)</f>
        <v>敵のカウンター攻撃には</v>
      </c>
      <c r="N723" s="39" t="str">
        <f>VLOOKUP(K723,[2]stage_hints!$A:$D,4,FALSE)</f>
        <v>カウンターブレイクスキルを持っていれば
敵のカウンターを解除して攻撃ができます</v>
      </c>
      <c r="O723" s="20" t="s">
        <v>24</v>
      </c>
      <c r="P723">
        <v>33</v>
      </c>
    </row>
    <row r="724" spans="1:16" x14ac:dyDescent="0.15">
      <c r="A724" s="27" t="str">
        <f t="shared" si="74"/>
        <v>20009_3_30</v>
      </c>
      <c r="B724" s="25" t="s">
        <v>34</v>
      </c>
      <c r="C724" s="4">
        <v>20009</v>
      </c>
      <c r="D724" s="3" t="str">
        <f ca="1">VLOOKUP($C724,OFFSET([1]quests!$A$1,0,0,COUNTA([1]quests!$A:$A),MATCH(D$1,[1]quests!$1:$1,0)-MATCH($C$1,[1]quests!$1:$1,0)+1),MATCH(D$1,[1]quests!$1:$1,0)-MATCH($C$1,[1]quests!$1:$1,0)+1,FALSE)</f>
        <v>迫り来る窒息</v>
      </c>
      <c r="E724" s="3" t="str">
        <f ca="1">VLOOKUP($C724,OFFSET([1]quests!$A$1,0,0,COUNTA([1]quests!$A:$A),MATCH(E$1,[1]quests!$1:$1,0)-MATCH($C$1,[1]quests!$1:$1,0)+1),MATCH(E$1,[1]quests!$1:$1,0)-MATCH($C$1,[1]quests!$1:$1,0)+1,FALSE)</f>
        <v>ドロップイベント3</v>
      </c>
      <c r="F724" s="5">
        <v>3</v>
      </c>
      <c r="G724" s="3" t="str">
        <f ca="1">VLOOKUP($C724&amp;"_"&amp;$F724,OFFSET([1]stages!$A$1,0,0,COUNTA([1]stages!$A:$A),MATCH(G$1,[1]stages!$2:$2,0)-MATCH("temp_stage",[1]stages!$2:$2,0)+1),MATCH(G$1,[1]stages!$2:$2,0)-MATCH("temp_stage",[1]stages!$2:$2,0)+1,FALSE)</f>
        <v>【上級】迫り来る窒息</v>
      </c>
      <c r="H724" s="3" t="str">
        <f ca="1">VLOOKUP($C724&amp;"_"&amp;$F724,OFFSET([1]stages!$A$1,0,0,COUNTA([1]stages!$A:$A),MATCH(H$1,[1]stages!$2:$2,0)-MATCH("temp_stage",[1]stages!$2:$2,0)+1),MATCH(H$1,[1]stages!$2:$2,0)-MATCH("temp_stage",[1]stages!$2:$2,0)+1,FALSE)</f>
        <v>ドロップイベント3</v>
      </c>
      <c r="I724" s="18">
        <v>0</v>
      </c>
      <c r="J724" s="5">
        <f>COUNTIF(C$1:C724,C724)</f>
        <v>30</v>
      </c>
      <c r="K724" s="34">
        <v>34</v>
      </c>
      <c r="L724" s="5" t="s">
        <v>17</v>
      </c>
      <c r="M724" s="38" t="str">
        <f>VLOOKUP(K724,[2]stage_hints!$A:$C,3,FALSE)</f>
        <v>ステータスをスキルで下げられたら</v>
      </c>
      <c r="N724" s="39" t="str">
        <f>VLOOKUP(K724,[2]stage_hints!$A:$D,4,FALSE)</f>
        <v>ステータスダウンのスキルを受けたら
ステータスアップスキルで上書きしましょう</v>
      </c>
      <c r="O724" s="20" t="s">
        <v>24</v>
      </c>
      <c r="P724">
        <v>34</v>
      </c>
    </row>
    <row r="725" spans="1:16" x14ac:dyDescent="0.15">
      <c r="A725" s="27" t="str">
        <f t="shared" si="74"/>
        <v>20009_3_31</v>
      </c>
      <c r="B725" s="25" t="s">
        <v>34</v>
      </c>
      <c r="C725" s="4">
        <v>20009</v>
      </c>
      <c r="D725" s="3" t="str">
        <f ca="1">VLOOKUP($C725,OFFSET([1]quests!$A$1,0,0,COUNTA([1]quests!$A:$A),MATCH(D$1,[1]quests!$1:$1,0)-MATCH($C$1,[1]quests!$1:$1,0)+1),MATCH(D$1,[1]quests!$1:$1,0)-MATCH($C$1,[1]quests!$1:$1,0)+1,FALSE)</f>
        <v>迫り来る窒息</v>
      </c>
      <c r="E725" s="3" t="str">
        <f ca="1">VLOOKUP($C725,OFFSET([1]quests!$A$1,0,0,COUNTA([1]quests!$A:$A),MATCH(E$1,[1]quests!$1:$1,0)-MATCH($C$1,[1]quests!$1:$1,0)+1),MATCH(E$1,[1]quests!$1:$1,0)-MATCH($C$1,[1]quests!$1:$1,0)+1,FALSE)</f>
        <v>ドロップイベント3</v>
      </c>
      <c r="F725" s="5">
        <v>3</v>
      </c>
      <c r="G725" s="3" t="str">
        <f ca="1">VLOOKUP($C725&amp;"_"&amp;$F725,OFFSET([1]stages!$A$1,0,0,COUNTA([1]stages!$A:$A),MATCH(G$1,[1]stages!$2:$2,0)-MATCH("temp_stage",[1]stages!$2:$2,0)+1),MATCH(G$1,[1]stages!$2:$2,0)-MATCH("temp_stage",[1]stages!$2:$2,0)+1,FALSE)</f>
        <v>【上級】迫り来る窒息</v>
      </c>
      <c r="H725" s="3" t="str">
        <f ca="1">VLOOKUP($C725&amp;"_"&amp;$F725,OFFSET([1]stages!$A$1,0,0,COUNTA([1]stages!$A:$A),MATCH(H$1,[1]stages!$2:$2,0)-MATCH("temp_stage",[1]stages!$2:$2,0)+1),MATCH(H$1,[1]stages!$2:$2,0)-MATCH("temp_stage",[1]stages!$2:$2,0)+1,FALSE)</f>
        <v>ドロップイベント3</v>
      </c>
      <c r="I725" s="18">
        <v>0</v>
      </c>
      <c r="J725" s="5">
        <f>COUNTIF(C$1:C725,C725)</f>
        <v>31</v>
      </c>
      <c r="K725" s="34">
        <v>35</v>
      </c>
      <c r="L725" s="5" t="s">
        <v>17</v>
      </c>
      <c r="M725" s="38" t="str">
        <f>VLOOKUP(K725,[2]stage_hints!$A:$C,3,FALSE)</f>
        <v>敵のステータスがスキルで上がったら</v>
      </c>
      <c r="N725" s="39" t="str">
        <f>VLOOKUP(K725,[2]stage_hints!$A:$D,4,FALSE)</f>
        <v>敵のステータスがスキルでアップしたときは
ステータスダウンスキルで上書きしましょう</v>
      </c>
      <c r="O725" s="20" t="s">
        <v>24</v>
      </c>
      <c r="P725">
        <v>35</v>
      </c>
    </row>
    <row r="726" spans="1:16" x14ac:dyDescent="0.15">
      <c r="A726" s="27" t="str">
        <f t="shared" si="74"/>
        <v>20009_3_32</v>
      </c>
      <c r="B726" s="25" t="s">
        <v>34</v>
      </c>
      <c r="C726" s="4">
        <v>20009</v>
      </c>
      <c r="D726" s="3" t="str">
        <f ca="1">VLOOKUP($C726,OFFSET([1]quests!$A$1,0,0,COUNTA([1]quests!$A:$A),MATCH(D$1,[1]quests!$1:$1,0)-MATCH($C$1,[1]quests!$1:$1,0)+1),MATCH(D$1,[1]quests!$1:$1,0)-MATCH($C$1,[1]quests!$1:$1,0)+1,FALSE)</f>
        <v>迫り来る窒息</v>
      </c>
      <c r="E726" s="3" t="str">
        <f ca="1">VLOOKUP($C726,OFFSET([1]quests!$A$1,0,0,COUNTA([1]quests!$A:$A),MATCH(E$1,[1]quests!$1:$1,0)-MATCH($C$1,[1]quests!$1:$1,0)+1),MATCH(E$1,[1]quests!$1:$1,0)-MATCH($C$1,[1]quests!$1:$1,0)+1,FALSE)</f>
        <v>ドロップイベント3</v>
      </c>
      <c r="F726" s="5">
        <v>3</v>
      </c>
      <c r="G726" s="3" t="str">
        <f ca="1">VLOOKUP($C726&amp;"_"&amp;$F726,OFFSET([1]stages!$A$1,0,0,COUNTA([1]stages!$A:$A),MATCH(G$1,[1]stages!$2:$2,0)-MATCH("temp_stage",[1]stages!$2:$2,0)+1),MATCH(G$1,[1]stages!$2:$2,0)-MATCH("temp_stage",[1]stages!$2:$2,0)+1,FALSE)</f>
        <v>【上級】迫り来る窒息</v>
      </c>
      <c r="H726" s="3" t="str">
        <f ca="1">VLOOKUP($C726&amp;"_"&amp;$F726,OFFSET([1]stages!$A$1,0,0,COUNTA([1]stages!$A:$A),MATCH(H$1,[1]stages!$2:$2,0)-MATCH("temp_stage",[1]stages!$2:$2,0)+1),MATCH(H$1,[1]stages!$2:$2,0)-MATCH("temp_stage",[1]stages!$2:$2,0)+1,FALSE)</f>
        <v>ドロップイベント3</v>
      </c>
      <c r="I726" s="18">
        <v>0</v>
      </c>
      <c r="J726" s="5">
        <f>COUNTIF(C$1:C726,C726)</f>
        <v>32</v>
      </c>
      <c r="K726" s="34">
        <v>36</v>
      </c>
      <c r="L726" s="5" t="s">
        <v>17</v>
      </c>
      <c r="M726" s="38" t="str">
        <f>VLOOKUP(K726,[2]stage_hints!$A:$C,3,FALSE)</f>
        <v>チャレンジタワーのボス</v>
      </c>
      <c r="N726" s="39" t="str">
        <f>VLOOKUP(K726,[2]stage_hints!$A:$D,4,FALSE)</f>
        <v>チャレンジタワーでのみ登場するボスは
一定確率で獲得することができます</v>
      </c>
      <c r="O726" s="20" t="s">
        <v>24</v>
      </c>
      <c r="P726">
        <v>36</v>
      </c>
    </row>
    <row r="727" spans="1:16" x14ac:dyDescent="0.15">
      <c r="A727" s="27" t="str">
        <f t="shared" si="74"/>
        <v>20009_3_33</v>
      </c>
      <c r="B727" s="25" t="s">
        <v>34</v>
      </c>
      <c r="C727" s="4">
        <v>20009</v>
      </c>
      <c r="D727" s="3" t="str">
        <f ca="1">VLOOKUP($C727,OFFSET([1]quests!$A$1,0,0,COUNTA([1]quests!$A:$A),MATCH(D$1,[1]quests!$1:$1,0)-MATCH($C$1,[1]quests!$1:$1,0)+1),MATCH(D$1,[1]quests!$1:$1,0)-MATCH($C$1,[1]quests!$1:$1,0)+1,FALSE)</f>
        <v>迫り来る窒息</v>
      </c>
      <c r="E727" s="3" t="str">
        <f ca="1">VLOOKUP($C727,OFFSET([1]quests!$A$1,0,0,COUNTA([1]quests!$A:$A),MATCH(E$1,[1]quests!$1:$1,0)-MATCH($C$1,[1]quests!$1:$1,0)+1),MATCH(E$1,[1]quests!$1:$1,0)-MATCH($C$1,[1]quests!$1:$1,0)+1,FALSE)</f>
        <v>ドロップイベント3</v>
      </c>
      <c r="F727" s="5">
        <v>3</v>
      </c>
      <c r="G727" s="3" t="str">
        <f ca="1">VLOOKUP($C727&amp;"_"&amp;$F727,OFFSET([1]stages!$A$1,0,0,COUNTA([1]stages!$A:$A),MATCH(G$1,[1]stages!$2:$2,0)-MATCH("temp_stage",[1]stages!$2:$2,0)+1),MATCH(G$1,[1]stages!$2:$2,0)-MATCH("temp_stage",[1]stages!$2:$2,0)+1,FALSE)</f>
        <v>【上級】迫り来る窒息</v>
      </c>
      <c r="H727" s="3" t="str">
        <f ca="1">VLOOKUP($C727&amp;"_"&amp;$F727,OFFSET([1]stages!$A$1,0,0,COUNTA([1]stages!$A:$A),MATCH(H$1,[1]stages!$2:$2,0)-MATCH("temp_stage",[1]stages!$2:$2,0)+1),MATCH(H$1,[1]stages!$2:$2,0)-MATCH("temp_stage",[1]stages!$2:$2,0)+1,FALSE)</f>
        <v>ドロップイベント3</v>
      </c>
      <c r="I727" s="18">
        <v>0</v>
      </c>
      <c r="J727" s="5">
        <f>COUNTIF(C$1:C727,C727)</f>
        <v>33</v>
      </c>
      <c r="K727" s="34">
        <v>37</v>
      </c>
      <c r="L727" s="5" t="s">
        <v>17</v>
      </c>
      <c r="M727" s="38" t="str">
        <f>VLOOKUP(K727,[2]stage_hints!$A:$C,3,FALSE)</f>
        <v>限界突破値の引き継ぎ</v>
      </c>
      <c r="N727" s="39" t="str">
        <f>VLOOKUP(K727,[2]stage_hints!$A:$D,4,FALSE)</f>
        <v>同じユニットを強化で合成すると
限界突破値を引き継げます（覚醒前後も可）</v>
      </c>
      <c r="O727" s="20" t="s">
        <v>24</v>
      </c>
      <c r="P727">
        <v>37</v>
      </c>
    </row>
    <row r="728" spans="1:16" x14ac:dyDescent="0.15">
      <c r="A728" s="27" t="str">
        <f t="shared" si="74"/>
        <v>20010_3_1</v>
      </c>
      <c r="B728" s="25" t="s">
        <v>34</v>
      </c>
      <c r="C728" s="4">
        <v>20010</v>
      </c>
      <c r="D728" s="3" t="str">
        <f ca="1">VLOOKUP($C728,OFFSET([1]quests!$A$1,0,0,COUNTA([1]quests!$A:$A),MATCH(D$1,[1]quests!$1:$1,0)-MATCH($C$1,[1]quests!$1:$1,0)+1),MATCH(D$1,[1]quests!$1:$1,0)-MATCH($C$1,[1]quests!$1:$1,0)+1,FALSE)</f>
        <v>悪夢の一目惚れ</v>
      </c>
      <c r="E728" s="3" t="str">
        <f ca="1">VLOOKUP($C728,OFFSET([1]quests!$A$1,0,0,COUNTA([1]quests!$A:$A),MATCH(E$1,[1]quests!$1:$1,0)-MATCH($C$1,[1]quests!$1:$1,0)+1),MATCH(E$1,[1]quests!$1:$1,0)-MATCH($C$1,[1]quests!$1:$1,0)+1,FALSE)</f>
        <v>ドロップイベント3</v>
      </c>
      <c r="F728" s="5">
        <v>3</v>
      </c>
      <c r="G728" s="3" t="str">
        <f ca="1">VLOOKUP($C728&amp;"_"&amp;$F728,OFFSET([1]stages!$A$1,0,0,COUNTA([1]stages!$A:$A),MATCH(G$1,[1]stages!$2:$2,0)-MATCH("temp_stage",[1]stages!$2:$2,0)+1),MATCH(G$1,[1]stages!$2:$2,0)-MATCH("temp_stage",[1]stages!$2:$2,0)+1,FALSE)</f>
        <v>【上級】悪夢の一目惚れ</v>
      </c>
      <c r="H728" s="3" t="str">
        <f ca="1">VLOOKUP($C728&amp;"_"&amp;$F728,OFFSET([1]stages!$A$1,0,0,COUNTA([1]stages!$A:$A),MATCH(H$1,[1]stages!$2:$2,0)-MATCH("temp_stage",[1]stages!$2:$2,0)+1),MATCH(H$1,[1]stages!$2:$2,0)-MATCH("temp_stage",[1]stages!$2:$2,0)+1,FALSE)</f>
        <v>ドロップイベント3</v>
      </c>
      <c r="I728" s="18">
        <v>0</v>
      </c>
      <c r="J728" s="5">
        <f>COUNTIF(C$1:C728,C728)</f>
        <v>1</v>
      </c>
      <c r="K728" s="34">
        <v>3</v>
      </c>
      <c r="L728" s="5" t="s">
        <v>17</v>
      </c>
      <c r="M728" s="38" t="str">
        <f>VLOOKUP(K728,[2]stage_hints!$A:$C,3,FALSE)</f>
        <v>ターゲット</v>
      </c>
      <c r="N728" s="39" t="str">
        <f>VLOOKUP(K728,[2]stage_hints!$A:$D,4,FALSE)</f>
        <v>敵ユニットをタップすると
その敵を狙い撃ちできます</v>
      </c>
      <c r="O728" s="20" t="s">
        <v>24</v>
      </c>
      <c r="P728">
        <v>3</v>
      </c>
    </row>
    <row r="729" spans="1:16" x14ac:dyDescent="0.15">
      <c r="A729" s="27" t="str">
        <f t="shared" si="74"/>
        <v>20010_3_2</v>
      </c>
      <c r="B729" s="25" t="s">
        <v>34</v>
      </c>
      <c r="C729" s="4">
        <v>20010</v>
      </c>
      <c r="D729" s="3" t="str">
        <f ca="1">VLOOKUP($C729,OFFSET([1]quests!$A$1,0,0,COUNTA([1]quests!$A:$A),MATCH(D$1,[1]quests!$1:$1,0)-MATCH($C$1,[1]quests!$1:$1,0)+1),MATCH(D$1,[1]quests!$1:$1,0)-MATCH($C$1,[1]quests!$1:$1,0)+1,FALSE)</f>
        <v>悪夢の一目惚れ</v>
      </c>
      <c r="E729" s="3" t="str">
        <f ca="1">VLOOKUP($C729,OFFSET([1]quests!$A$1,0,0,COUNTA([1]quests!$A:$A),MATCH(E$1,[1]quests!$1:$1,0)-MATCH($C$1,[1]quests!$1:$1,0)+1),MATCH(E$1,[1]quests!$1:$1,0)-MATCH($C$1,[1]quests!$1:$1,0)+1,FALSE)</f>
        <v>ドロップイベント3</v>
      </c>
      <c r="F729" s="5">
        <v>3</v>
      </c>
      <c r="G729" s="3" t="str">
        <f ca="1">VLOOKUP($C729&amp;"_"&amp;$F729,OFFSET([1]stages!$A$1,0,0,COUNTA([1]stages!$A:$A),MATCH(G$1,[1]stages!$2:$2,0)-MATCH("temp_stage",[1]stages!$2:$2,0)+1),MATCH(G$1,[1]stages!$2:$2,0)-MATCH("temp_stage",[1]stages!$2:$2,0)+1,FALSE)</f>
        <v>【上級】悪夢の一目惚れ</v>
      </c>
      <c r="H729" s="3" t="str">
        <f ca="1">VLOOKUP($C729&amp;"_"&amp;$F729,OFFSET([1]stages!$A$1,0,0,COUNTA([1]stages!$A:$A),MATCH(H$1,[1]stages!$2:$2,0)-MATCH("temp_stage",[1]stages!$2:$2,0)+1),MATCH(H$1,[1]stages!$2:$2,0)-MATCH("temp_stage",[1]stages!$2:$2,0)+1,FALSE)</f>
        <v>ドロップイベント3</v>
      </c>
      <c r="I729" s="18">
        <v>0</v>
      </c>
      <c r="J729" s="5">
        <f>COUNTIF(C$1:C729,C729)</f>
        <v>2</v>
      </c>
      <c r="K729" s="34">
        <v>6</v>
      </c>
      <c r="L729" s="5" t="s">
        <v>17</v>
      </c>
      <c r="M729" s="38" t="str">
        <f>VLOOKUP(K729,[2]stage_hints!$A:$C,3,FALSE)</f>
        <v>ユニット強化の属性ボーナス</v>
      </c>
      <c r="N729" s="39" t="str">
        <f>VLOOKUP(K729,[2]stage_hints!$A:$D,4,FALSE)</f>
        <v>同属性ユニットを強化素材にすると
経験値が多くもらえます</v>
      </c>
      <c r="O729" s="20" t="s">
        <v>24</v>
      </c>
      <c r="P729">
        <v>6</v>
      </c>
    </row>
    <row r="730" spans="1:16" x14ac:dyDescent="0.15">
      <c r="A730" s="27" t="str">
        <f t="shared" si="74"/>
        <v>20010_3_3</v>
      </c>
      <c r="B730" s="25" t="s">
        <v>34</v>
      </c>
      <c r="C730" s="4">
        <v>20010</v>
      </c>
      <c r="D730" s="3" t="str">
        <f ca="1">VLOOKUP($C730,OFFSET([1]quests!$A$1,0,0,COUNTA([1]quests!$A:$A),MATCH(D$1,[1]quests!$1:$1,0)-MATCH($C$1,[1]quests!$1:$1,0)+1),MATCH(D$1,[1]quests!$1:$1,0)-MATCH($C$1,[1]quests!$1:$1,0)+1,FALSE)</f>
        <v>悪夢の一目惚れ</v>
      </c>
      <c r="E730" s="3" t="str">
        <f ca="1">VLOOKUP($C730,OFFSET([1]quests!$A$1,0,0,COUNTA([1]quests!$A:$A),MATCH(E$1,[1]quests!$1:$1,0)-MATCH($C$1,[1]quests!$1:$1,0)+1),MATCH(E$1,[1]quests!$1:$1,0)-MATCH($C$1,[1]quests!$1:$1,0)+1,FALSE)</f>
        <v>ドロップイベント3</v>
      </c>
      <c r="F730" s="5">
        <v>3</v>
      </c>
      <c r="G730" s="3" t="str">
        <f ca="1">VLOOKUP($C730&amp;"_"&amp;$F730,OFFSET([1]stages!$A$1,0,0,COUNTA([1]stages!$A:$A),MATCH(G$1,[1]stages!$2:$2,0)-MATCH("temp_stage",[1]stages!$2:$2,0)+1),MATCH(G$1,[1]stages!$2:$2,0)-MATCH("temp_stage",[1]stages!$2:$2,0)+1,FALSE)</f>
        <v>【上級】悪夢の一目惚れ</v>
      </c>
      <c r="H730" s="3" t="str">
        <f ca="1">VLOOKUP($C730&amp;"_"&amp;$F730,OFFSET([1]stages!$A$1,0,0,COUNTA([1]stages!$A:$A),MATCH(H$1,[1]stages!$2:$2,0)-MATCH("temp_stage",[1]stages!$2:$2,0)+1),MATCH(H$1,[1]stages!$2:$2,0)-MATCH("temp_stage",[1]stages!$2:$2,0)+1,FALSE)</f>
        <v>ドロップイベント3</v>
      </c>
      <c r="I730" s="18">
        <v>0</v>
      </c>
      <c r="J730" s="5">
        <f>COUNTIF(C$1:C730,C730)</f>
        <v>3</v>
      </c>
      <c r="K730" s="34">
        <v>7</v>
      </c>
      <c r="L730" s="5" t="s">
        <v>17</v>
      </c>
      <c r="M730" s="38" t="str">
        <f>VLOOKUP(K730,[2]stage_hints!$A:$C,3,FALSE)</f>
        <v>メタルダックで経験値を獲得</v>
      </c>
      <c r="N730" s="39" t="str">
        <f>VLOOKUP(K730,[2]stage_hints!$A:$D,4,FALSE)</f>
        <v>「メタルなアヒル」を強化素材にすると
大量の経験値がもらえます</v>
      </c>
      <c r="O730" s="20" t="s">
        <v>24</v>
      </c>
      <c r="P730">
        <v>7</v>
      </c>
    </row>
    <row r="731" spans="1:16" x14ac:dyDescent="0.15">
      <c r="A731" s="27" t="str">
        <f t="shared" si="74"/>
        <v>20010_3_4</v>
      </c>
      <c r="B731" s="25" t="s">
        <v>34</v>
      </c>
      <c r="C731" s="4">
        <v>20010</v>
      </c>
      <c r="D731" s="3" t="str">
        <f ca="1">VLOOKUP($C731,OFFSET([1]quests!$A$1,0,0,COUNTA([1]quests!$A:$A),MATCH(D$1,[1]quests!$1:$1,0)-MATCH($C$1,[1]quests!$1:$1,0)+1),MATCH(D$1,[1]quests!$1:$1,0)-MATCH($C$1,[1]quests!$1:$1,0)+1,FALSE)</f>
        <v>悪夢の一目惚れ</v>
      </c>
      <c r="E731" s="3" t="str">
        <f ca="1">VLOOKUP($C731,OFFSET([1]quests!$A$1,0,0,COUNTA([1]quests!$A:$A),MATCH(E$1,[1]quests!$1:$1,0)-MATCH($C$1,[1]quests!$1:$1,0)+1),MATCH(E$1,[1]quests!$1:$1,0)-MATCH($C$1,[1]quests!$1:$1,0)+1,FALSE)</f>
        <v>ドロップイベント3</v>
      </c>
      <c r="F731" s="5">
        <v>3</v>
      </c>
      <c r="G731" s="3" t="str">
        <f ca="1">VLOOKUP($C731&amp;"_"&amp;$F731,OFFSET([1]stages!$A$1,0,0,COUNTA([1]stages!$A:$A),MATCH(G$1,[1]stages!$2:$2,0)-MATCH("temp_stage",[1]stages!$2:$2,0)+1),MATCH(G$1,[1]stages!$2:$2,0)-MATCH("temp_stage",[1]stages!$2:$2,0)+1,FALSE)</f>
        <v>【上級】悪夢の一目惚れ</v>
      </c>
      <c r="H731" s="3" t="str">
        <f ca="1">VLOOKUP($C731&amp;"_"&amp;$F731,OFFSET([1]stages!$A$1,0,0,COUNTA([1]stages!$A:$A),MATCH(H$1,[1]stages!$2:$2,0)-MATCH("temp_stage",[1]stages!$2:$2,0)+1),MATCH(H$1,[1]stages!$2:$2,0)-MATCH("temp_stage",[1]stages!$2:$2,0)+1,FALSE)</f>
        <v>ドロップイベント3</v>
      </c>
      <c r="I731" s="18">
        <v>0</v>
      </c>
      <c r="J731" s="5">
        <f>COUNTIF(C$1:C731,C731)</f>
        <v>4</v>
      </c>
      <c r="K731" s="34">
        <v>8</v>
      </c>
      <c r="L731" s="5" t="s">
        <v>17</v>
      </c>
      <c r="M731" s="38" t="str">
        <f>VLOOKUP(K731,[2]stage_hints!$A:$C,3,FALSE)</f>
        <v>ゲリラクエストは要チェック</v>
      </c>
      <c r="N731" s="39" t="str">
        <f>VLOOKUP(K731,[2]stage_hints!$A:$D,4,FALSE)</f>
        <v>時間限定の「アヒル捕獲作戦」では
経験値素材ユニットが多く手に入ります</v>
      </c>
      <c r="O731" s="20" t="s">
        <v>24</v>
      </c>
      <c r="P731">
        <v>8</v>
      </c>
    </row>
    <row r="732" spans="1:16" x14ac:dyDescent="0.15">
      <c r="A732" s="27" t="str">
        <f t="shared" si="74"/>
        <v>20010_3_5</v>
      </c>
      <c r="B732" s="25" t="s">
        <v>34</v>
      </c>
      <c r="C732" s="4">
        <v>20010</v>
      </c>
      <c r="D732" s="3" t="str">
        <f ca="1">VLOOKUP($C732,OFFSET([1]quests!$A$1,0,0,COUNTA([1]quests!$A:$A),MATCH(D$1,[1]quests!$1:$1,0)-MATCH($C$1,[1]quests!$1:$1,0)+1),MATCH(D$1,[1]quests!$1:$1,0)-MATCH($C$1,[1]quests!$1:$1,0)+1,FALSE)</f>
        <v>悪夢の一目惚れ</v>
      </c>
      <c r="E732" s="3" t="str">
        <f ca="1">VLOOKUP($C732,OFFSET([1]quests!$A$1,0,0,COUNTA([1]quests!$A:$A),MATCH(E$1,[1]quests!$1:$1,0)-MATCH($C$1,[1]quests!$1:$1,0)+1),MATCH(E$1,[1]quests!$1:$1,0)-MATCH($C$1,[1]quests!$1:$1,0)+1,FALSE)</f>
        <v>ドロップイベント3</v>
      </c>
      <c r="F732" s="5">
        <v>3</v>
      </c>
      <c r="G732" s="3" t="str">
        <f ca="1">VLOOKUP($C732&amp;"_"&amp;$F732,OFFSET([1]stages!$A$1,0,0,COUNTA([1]stages!$A:$A),MATCH(G$1,[1]stages!$2:$2,0)-MATCH("temp_stage",[1]stages!$2:$2,0)+1),MATCH(G$1,[1]stages!$2:$2,0)-MATCH("temp_stage",[1]stages!$2:$2,0)+1,FALSE)</f>
        <v>【上級】悪夢の一目惚れ</v>
      </c>
      <c r="H732" s="3" t="str">
        <f ca="1">VLOOKUP($C732&amp;"_"&amp;$F732,OFFSET([1]stages!$A$1,0,0,COUNTA([1]stages!$A:$A),MATCH(H$1,[1]stages!$2:$2,0)-MATCH("temp_stage",[1]stages!$2:$2,0)+1),MATCH(H$1,[1]stages!$2:$2,0)-MATCH("temp_stage",[1]stages!$2:$2,0)+1,FALSE)</f>
        <v>ドロップイベント3</v>
      </c>
      <c r="I732" s="18">
        <v>0</v>
      </c>
      <c r="J732" s="5">
        <f>COUNTIF(C$1:C732,C732)</f>
        <v>5</v>
      </c>
      <c r="K732" s="34">
        <v>9</v>
      </c>
      <c r="L732" s="5" t="s">
        <v>17</v>
      </c>
      <c r="M732" s="38" t="str">
        <f>VLOOKUP(K732,[2]stage_hints!$A:$C,3,FALSE)</f>
        <v>ゴールドダックでビットを獲得</v>
      </c>
      <c r="N732" s="39" t="str">
        <f>VLOOKUP(K732,[2]stage_hints!$A:$D,4,FALSE)</f>
        <v>「ゴールドなアヒル」を売却すると
大量のビットがもらえます</v>
      </c>
      <c r="O732" s="20" t="s">
        <v>24</v>
      </c>
      <c r="P732">
        <v>9</v>
      </c>
    </row>
    <row r="733" spans="1:16" x14ac:dyDescent="0.15">
      <c r="A733" s="27" t="str">
        <f t="shared" si="74"/>
        <v>20010_3_6</v>
      </c>
      <c r="B733" s="25" t="s">
        <v>34</v>
      </c>
      <c r="C733" s="4">
        <v>20010</v>
      </c>
      <c r="D733" s="3" t="str">
        <f ca="1">VLOOKUP($C733,OFFSET([1]quests!$A$1,0,0,COUNTA([1]quests!$A:$A),MATCH(D$1,[1]quests!$1:$1,0)-MATCH($C$1,[1]quests!$1:$1,0)+1),MATCH(D$1,[1]quests!$1:$1,0)-MATCH($C$1,[1]quests!$1:$1,0)+1,FALSE)</f>
        <v>悪夢の一目惚れ</v>
      </c>
      <c r="E733" s="3" t="str">
        <f ca="1">VLOOKUP($C733,OFFSET([1]quests!$A$1,0,0,COUNTA([1]quests!$A:$A),MATCH(E$1,[1]quests!$1:$1,0)-MATCH($C$1,[1]quests!$1:$1,0)+1),MATCH(E$1,[1]quests!$1:$1,0)-MATCH($C$1,[1]quests!$1:$1,0)+1,FALSE)</f>
        <v>ドロップイベント3</v>
      </c>
      <c r="F733" s="5">
        <v>3</v>
      </c>
      <c r="G733" s="3" t="str">
        <f ca="1">VLOOKUP($C733&amp;"_"&amp;$F733,OFFSET([1]stages!$A$1,0,0,COUNTA([1]stages!$A:$A),MATCH(G$1,[1]stages!$2:$2,0)-MATCH("temp_stage",[1]stages!$2:$2,0)+1),MATCH(G$1,[1]stages!$2:$2,0)-MATCH("temp_stage",[1]stages!$2:$2,0)+1,FALSE)</f>
        <v>【上級】悪夢の一目惚れ</v>
      </c>
      <c r="H733" s="3" t="str">
        <f ca="1">VLOOKUP($C733&amp;"_"&amp;$F733,OFFSET([1]stages!$A$1,0,0,COUNTA([1]stages!$A:$A),MATCH(H$1,[1]stages!$2:$2,0)-MATCH("temp_stage",[1]stages!$2:$2,0)+1),MATCH(H$1,[1]stages!$2:$2,0)-MATCH("temp_stage",[1]stages!$2:$2,0)+1,FALSE)</f>
        <v>ドロップイベント3</v>
      </c>
      <c r="I733" s="18">
        <v>0</v>
      </c>
      <c r="J733" s="5">
        <f>COUNTIF(C$1:C733,C733)</f>
        <v>6</v>
      </c>
      <c r="K733" s="34">
        <v>10</v>
      </c>
      <c r="L733" s="5" t="s">
        <v>17</v>
      </c>
      <c r="M733" s="38" t="str">
        <f>VLOOKUP(K733,[2]stage_hints!$A:$C,3,FALSE)</f>
        <v>土日に大量のビットを獲得</v>
      </c>
      <c r="N733" s="39" t="str">
        <f>VLOOKUP(K733,[2]stage_hints!$A:$D,4,FALSE)</f>
        <v>土日限定の「ゴールドカジノ」では
売却素材ユニットが多く手に入ります</v>
      </c>
      <c r="O733" s="20" t="s">
        <v>24</v>
      </c>
      <c r="P733">
        <v>10</v>
      </c>
    </row>
    <row r="734" spans="1:16" x14ac:dyDescent="0.15">
      <c r="A734" s="27" t="str">
        <f t="shared" si="74"/>
        <v>20010_3_7</v>
      </c>
      <c r="B734" s="25" t="s">
        <v>34</v>
      </c>
      <c r="C734" s="4">
        <v>20010</v>
      </c>
      <c r="D734" s="3" t="str">
        <f ca="1">VLOOKUP($C734,OFFSET([1]quests!$A$1,0,0,COUNTA([1]quests!$A:$A),MATCH(D$1,[1]quests!$1:$1,0)-MATCH($C$1,[1]quests!$1:$1,0)+1),MATCH(D$1,[1]quests!$1:$1,0)-MATCH($C$1,[1]quests!$1:$1,0)+1,FALSE)</f>
        <v>悪夢の一目惚れ</v>
      </c>
      <c r="E734" s="3" t="str">
        <f ca="1">VLOOKUP($C734,OFFSET([1]quests!$A$1,0,0,COUNTA([1]quests!$A:$A),MATCH(E$1,[1]quests!$1:$1,0)-MATCH($C$1,[1]quests!$1:$1,0)+1),MATCH(E$1,[1]quests!$1:$1,0)-MATCH($C$1,[1]quests!$1:$1,0)+1,FALSE)</f>
        <v>ドロップイベント3</v>
      </c>
      <c r="F734" s="5">
        <v>3</v>
      </c>
      <c r="G734" s="3" t="str">
        <f ca="1">VLOOKUP($C734&amp;"_"&amp;$F734,OFFSET([1]stages!$A$1,0,0,COUNTA([1]stages!$A:$A),MATCH(G$1,[1]stages!$2:$2,0)-MATCH("temp_stage",[1]stages!$2:$2,0)+1),MATCH(G$1,[1]stages!$2:$2,0)-MATCH("temp_stage",[1]stages!$2:$2,0)+1,FALSE)</f>
        <v>【上級】悪夢の一目惚れ</v>
      </c>
      <c r="H734" s="3" t="str">
        <f ca="1">VLOOKUP($C734&amp;"_"&amp;$F734,OFFSET([1]stages!$A$1,0,0,COUNTA([1]stages!$A:$A),MATCH(H$1,[1]stages!$2:$2,0)-MATCH("temp_stage",[1]stages!$2:$2,0)+1),MATCH(H$1,[1]stages!$2:$2,0)-MATCH("temp_stage",[1]stages!$2:$2,0)+1,FALSE)</f>
        <v>ドロップイベント3</v>
      </c>
      <c r="I734" s="18">
        <v>0</v>
      </c>
      <c r="J734" s="5">
        <f>COUNTIF(C$1:C734,C734)</f>
        <v>7</v>
      </c>
      <c r="K734" s="34">
        <v>11</v>
      </c>
      <c r="L734" s="5" t="s">
        <v>17</v>
      </c>
      <c r="M734" s="38" t="str">
        <f>VLOOKUP(K734,[2]stage_hints!$A:$C,3,FALSE)</f>
        <v>ランク解放クエスト</v>
      </c>
      <c r="N734" s="39" t="str">
        <f>VLOOKUP(K734,[2]stage_hints!$A:$D,4,FALSE)</f>
        <v>一定ランクに到達すると
報酬付きのランク開放クエストが現れます</v>
      </c>
      <c r="O734" s="20" t="s">
        <v>24</v>
      </c>
      <c r="P734">
        <v>11</v>
      </c>
    </row>
    <row r="735" spans="1:16" x14ac:dyDescent="0.15">
      <c r="A735" s="27" t="str">
        <f t="shared" si="74"/>
        <v>20010_3_8</v>
      </c>
      <c r="B735" s="25" t="s">
        <v>34</v>
      </c>
      <c r="C735" s="4">
        <v>20010</v>
      </c>
      <c r="D735" s="3" t="str">
        <f ca="1">VLOOKUP($C735,OFFSET([1]quests!$A$1,0,0,COUNTA([1]quests!$A:$A),MATCH(D$1,[1]quests!$1:$1,0)-MATCH($C$1,[1]quests!$1:$1,0)+1),MATCH(D$1,[1]quests!$1:$1,0)-MATCH($C$1,[1]quests!$1:$1,0)+1,FALSE)</f>
        <v>悪夢の一目惚れ</v>
      </c>
      <c r="E735" s="3" t="str">
        <f ca="1">VLOOKUP($C735,OFFSET([1]quests!$A$1,0,0,COUNTA([1]quests!$A:$A),MATCH(E$1,[1]quests!$1:$1,0)-MATCH($C$1,[1]quests!$1:$1,0)+1),MATCH(E$1,[1]quests!$1:$1,0)-MATCH($C$1,[1]quests!$1:$1,0)+1,FALSE)</f>
        <v>ドロップイベント3</v>
      </c>
      <c r="F735" s="5">
        <v>3</v>
      </c>
      <c r="G735" s="3" t="str">
        <f ca="1">VLOOKUP($C735&amp;"_"&amp;$F735,OFFSET([1]stages!$A$1,0,0,COUNTA([1]stages!$A:$A),MATCH(G$1,[1]stages!$2:$2,0)-MATCH("temp_stage",[1]stages!$2:$2,0)+1),MATCH(G$1,[1]stages!$2:$2,0)-MATCH("temp_stage",[1]stages!$2:$2,0)+1,FALSE)</f>
        <v>【上級】悪夢の一目惚れ</v>
      </c>
      <c r="H735" s="3" t="str">
        <f ca="1">VLOOKUP($C735&amp;"_"&amp;$F735,OFFSET([1]stages!$A$1,0,0,COUNTA([1]stages!$A:$A),MATCH(H$1,[1]stages!$2:$2,0)-MATCH("temp_stage",[1]stages!$2:$2,0)+1),MATCH(H$1,[1]stages!$2:$2,0)-MATCH("temp_stage",[1]stages!$2:$2,0)+1,FALSE)</f>
        <v>ドロップイベント3</v>
      </c>
      <c r="I735" s="18">
        <v>0</v>
      </c>
      <c r="J735" s="5">
        <f>COUNTIF(C$1:C735,C735)</f>
        <v>8</v>
      </c>
      <c r="K735" s="34">
        <v>12</v>
      </c>
      <c r="L735" s="5" t="s">
        <v>17</v>
      </c>
      <c r="M735" s="38" t="str">
        <f>VLOOKUP(K735,[2]stage_hints!$A:$C,3,FALSE)</f>
        <v>ユニットのお気に入り登録</v>
      </c>
      <c r="N735" s="39" t="str">
        <f>VLOOKUP(K735,[2]stage_hints!$A:$D,4,FALSE)</f>
        <v>大事なユニットを誤って消さないように
フォルダから「お気に入り登録」しましょう</v>
      </c>
      <c r="O735" s="20" t="s">
        <v>24</v>
      </c>
      <c r="P735">
        <v>12</v>
      </c>
    </row>
    <row r="736" spans="1:16" x14ac:dyDescent="0.15">
      <c r="A736" s="27" t="str">
        <f t="shared" si="74"/>
        <v>20010_3_9</v>
      </c>
      <c r="B736" s="25" t="s">
        <v>34</v>
      </c>
      <c r="C736" s="4">
        <v>20010</v>
      </c>
      <c r="D736" s="3" t="str">
        <f ca="1">VLOOKUP($C736,OFFSET([1]quests!$A$1,0,0,COUNTA([1]quests!$A:$A),MATCH(D$1,[1]quests!$1:$1,0)-MATCH($C$1,[1]quests!$1:$1,0)+1),MATCH(D$1,[1]quests!$1:$1,0)-MATCH($C$1,[1]quests!$1:$1,0)+1,FALSE)</f>
        <v>悪夢の一目惚れ</v>
      </c>
      <c r="E736" s="3" t="str">
        <f ca="1">VLOOKUP($C736,OFFSET([1]quests!$A$1,0,0,COUNTA([1]quests!$A:$A),MATCH(E$1,[1]quests!$1:$1,0)-MATCH($C$1,[1]quests!$1:$1,0)+1),MATCH(E$1,[1]quests!$1:$1,0)-MATCH($C$1,[1]quests!$1:$1,0)+1,FALSE)</f>
        <v>ドロップイベント3</v>
      </c>
      <c r="F736" s="5">
        <v>3</v>
      </c>
      <c r="G736" s="3" t="str">
        <f ca="1">VLOOKUP($C736&amp;"_"&amp;$F736,OFFSET([1]stages!$A$1,0,0,COUNTA([1]stages!$A:$A),MATCH(G$1,[1]stages!$2:$2,0)-MATCH("temp_stage",[1]stages!$2:$2,0)+1),MATCH(G$1,[1]stages!$2:$2,0)-MATCH("temp_stage",[1]stages!$2:$2,0)+1,FALSE)</f>
        <v>【上級】悪夢の一目惚れ</v>
      </c>
      <c r="H736" s="3" t="str">
        <f ca="1">VLOOKUP($C736&amp;"_"&amp;$F736,OFFSET([1]stages!$A$1,0,0,COUNTA([1]stages!$A:$A),MATCH(H$1,[1]stages!$2:$2,0)-MATCH("temp_stage",[1]stages!$2:$2,0)+1),MATCH(H$1,[1]stages!$2:$2,0)-MATCH("temp_stage",[1]stages!$2:$2,0)+1,FALSE)</f>
        <v>ドロップイベント3</v>
      </c>
      <c r="I736" s="18">
        <v>0</v>
      </c>
      <c r="J736" s="5">
        <f>COUNTIF(C$1:C736,C736)</f>
        <v>9</v>
      </c>
      <c r="K736" s="34">
        <v>13</v>
      </c>
      <c r="L736" s="5" t="s">
        <v>17</v>
      </c>
      <c r="M736" s="38" t="str">
        <f>VLOOKUP(K736,[2]stage_hints!$A:$C,3,FALSE)</f>
        <v>ユニットの覚醒</v>
      </c>
      <c r="N736" s="39" t="str">
        <f>VLOOKUP(K736,[2]stage_hints!$A:$D,4,FALSE)</f>
        <v>ユニットを覚醒させると
比べものにならない強さが手に入ります</v>
      </c>
      <c r="O736" s="20" t="s">
        <v>24</v>
      </c>
      <c r="P736">
        <v>13</v>
      </c>
    </row>
    <row r="737" spans="1:16" x14ac:dyDescent="0.15">
      <c r="A737" s="27" t="str">
        <f t="shared" si="74"/>
        <v>20010_3_10</v>
      </c>
      <c r="B737" s="25" t="s">
        <v>34</v>
      </c>
      <c r="C737" s="4">
        <v>20010</v>
      </c>
      <c r="D737" s="3" t="str">
        <f ca="1">VLOOKUP($C737,OFFSET([1]quests!$A$1,0,0,COUNTA([1]quests!$A:$A),MATCH(D$1,[1]quests!$1:$1,0)-MATCH($C$1,[1]quests!$1:$1,0)+1),MATCH(D$1,[1]quests!$1:$1,0)-MATCH($C$1,[1]quests!$1:$1,0)+1,FALSE)</f>
        <v>悪夢の一目惚れ</v>
      </c>
      <c r="E737" s="3" t="str">
        <f ca="1">VLOOKUP($C737,OFFSET([1]quests!$A$1,0,0,COUNTA([1]quests!$A:$A),MATCH(E$1,[1]quests!$1:$1,0)-MATCH($C$1,[1]quests!$1:$1,0)+1),MATCH(E$1,[1]quests!$1:$1,0)-MATCH($C$1,[1]quests!$1:$1,0)+1,FALSE)</f>
        <v>ドロップイベント3</v>
      </c>
      <c r="F737" s="5">
        <v>3</v>
      </c>
      <c r="G737" s="3" t="str">
        <f ca="1">VLOOKUP($C737&amp;"_"&amp;$F737,OFFSET([1]stages!$A$1,0,0,COUNTA([1]stages!$A:$A),MATCH(G$1,[1]stages!$2:$2,0)-MATCH("temp_stage",[1]stages!$2:$2,0)+1),MATCH(G$1,[1]stages!$2:$2,0)-MATCH("temp_stage",[1]stages!$2:$2,0)+1,FALSE)</f>
        <v>【上級】悪夢の一目惚れ</v>
      </c>
      <c r="H737" s="3" t="str">
        <f ca="1">VLOOKUP($C737&amp;"_"&amp;$F737,OFFSET([1]stages!$A$1,0,0,COUNTA([1]stages!$A:$A),MATCH(H$1,[1]stages!$2:$2,0)-MATCH("temp_stage",[1]stages!$2:$2,0)+1),MATCH(H$1,[1]stages!$2:$2,0)-MATCH("temp_stage",[1]stages!$2:$2,0)+1,FALSE)</f>
        <v>ドロップイベント3</v>
      </c>
      <c r="I737" s="18">
        <v>0</v>
      </c>
      <c r="J737" s="5">
        <f>COUNTIF(C$1:C737,C737)</f>
        <v>10</v>
      </c>
      <c r="K737" s="34">
        <v>14</v>
      </c>
      <c r="L737" s="5" t="s">
        <v>17</v>
      </c>
      <c r="M737" s="38" t="str">
        <f>VLOOKUP(K737,[2]stage_hints!$A:$C,3,FALSE)</f>
        <v>覚醒するにはレベルを最大に</v>
      </c>
      <c r="N737" s="39" t="str">
        <f>VLOOKUP(K737,[2]stage_hints!$A:$D,4,FALSE)</f>
        <v>覚醒するにはユニットのレベルを
最大まで上げる必要があります</v>
      </c>
      <c r="O737" s="20" t="s">
        <v>24</v>
      </c>
      <c r="P737">
        <v>14</v>
      </c>
    </row>
    <row r="738" spans="1:16" x14ac:dyDescent="0.15">
      <c r="A738" s="27" t="str">
        <f t="shared" si="74"/>
        <v>20010_3_11</v>
      </c>
      <c r="B738" s="25" t="s">
        <v>34</v>
      </c>
      <c r="C738" s="4">
        <v>20010</v>
      </c>
      <c r="D738" s="3" t="str">
        <f ca="1">VLOOKUP($C738,OFFSET([1]quests!$A$1,0,0,COUNTA([1]quests!$A:$A),MATCH(D$1,[1]quests!$1:$1,0)-MATCH($C$1,[1]quests!$1:$1,0)+1),MATCH(D$1,[1]quests!$1:$1,0)-MATCH($C$1,[1]quests!$1:$1,0)+1,FALSE)</f>
        <v>悪夢の一目惚れ</v>
      </c>
      <c r="E738" s="3" t="str">
        <f ca="1">VLOOKUP($C738,OFFSET([1]quests!$A$1,0,0,COUNTA([1]quests!$A:$A),MATCH(E$1,[1]quests!$1:$1,0)-MATCH($C$1,[1]quests!$1:$1,0)+1),MATCH(E$1,[1]quests!$1:$1,0)-MATCH($C$1,[1]quests!$1:$1,0)+1,FALSE)</f>
        <v>ドロップイベント3</v>
      </c>
      <c r="F738" s="5">
        <v>3</v>
      </c>
      <c r="G738" s="3" t="str">
        <f ca="1">VLOOKUP($C738&amp;"_"&amp;$F738,OFFSET([1]stages!$A$1,0,0,COUNTA([1]stages!$A:$A),MATCH(G$1,[1]stages!$2:$2,0)-MATCH("temp_stage",[1]stages!$2:$2,0)+1),MATCH(G$1,[1]stages!$2:$2,0)-MATCH("temp_stage",[1]stages!$2:$2,0)+1,FALSE)</f>
        <v>【上級】悪夢の一目惚れ</v>
      </c>
      <c r="H738" s="3" t="str">
        <f ca="1">VLOOKUP($C738&amp;"_"&amp;$F738,OFFSET([1]stages!$A$1,0,0,COUNTA([1]stages!$A:$A),MATCH(H$1,[1]stages!$2:$2,0)-MATCH("temp_stage",[1]stages!$2:$2,0)+1),MATCH(H$1,[1]stages!$2:$2,0)-MATCH("temp_stage",[1]stages!$2:$2,0)+1,FALSE)</f>
        <v>ドロップイベント3</v>
      </c>
      <c r="I738" s="18">
        <v>0</v>
      </c>
      <c r="J738" s="5">
        <f>COUNTIF(C$1:C738,C738)</f>
        <v>11</v>
      </c>
      <c r="K738" s="34">
        <v>15</v>
      </c>
      <c r="L738" s="5" t="s">
        <v>17</v>
      </c>
      <c r="M738" s="38" t="str">
        <f>VLOOKUP(K738,[2]stage_hints!$A:$C,3,FALSE)</f>
        <v>覚醒素材を獲得</v>
      </c>
      <c r="N738" s="39" t="str">
        <f>VLOOKUP(K738,[2]stage_hints!$A:$D,4,FALSE)</f>
        <v>「曜日クエスト」では
ユニットの覚醒に必要な素材が手に入ります</v>
      </c>
      <c r="O738" s="20" t="s">
        <v>24</v>
      </c>
      <c r="P738">
        <v>15</v>
      </c>
    </row>
    <row r="739" spans="1:16" x14ac:dyDescent="0.15">
      <c r="A739" s="27" t="str">
        <f t="shared" si="74"/>
        <v>20010_3_12</v>
      </c>
      <c r="B739" s="25" t="s">
        <v>34</v>
      </c>
      <c r="C739" s="4">
        <v>20010</v>
      </c>
      <c r="D739" s="3" t="str">
        <f ca="1">VLOOKUP($C739,OFFSET([1]quests!$A$1,0,0,COUNTA([1]quests!$A:$A),MATCH(D$1,[1]quests!$1:$1,0)-MATCH($C$1,[1]quests!$1:$1,0)+1),MATCH(D$1,[1]quests!$1:$1,0)-MATCH($C$1,[1]quests!$1:$1,0)+1,FALSE)</f>
        <v>悪夢の一目惚れ</v>
      </c>
      <c r="E739" s="3" t="str">
        <f ca="1">VLOOKUP($C739,OFFSET([1]quests!$A$1,0,0,COUNTA([1]quests!$A:$A),MATCH(E$1,[1]quests!$1:$1,0)-MATCH($C$1,[1]quests!$1:$1,0)+1),MATCH(E$1,[1]quests!$1:$1,0)-MATCH($C$1,[1]quests!$1:$1,0)+1,FALSE)</f>
        <v>ドロップイベント3</v>
      </c>
      <c r="F739" s="5">
        <v>3</v>
      </c>
      <c r="G739" s="3" t="str">
        <f ca="1">VLOOKUP($C739&amp;"_"&amp;$F739,OFFSET([1]stages!$A$1,0,0,COUNTA([1]stages!$A:$A),MATCH(G$1,[1]stages!$2:$2,0)-MATCH("temp_stage",[1]stages!$2:$2,0)+1),MATCH(G$1,[1]stages!$2:$2,0)-MATCH("temp_stage",[1]stages!$2:$2,0)+1,FALSE)</f>
        <v>【上級】悪夢の一目惚れ</v>
      </c>
      <c r="H739" s="3" t="str">
        <f ca="1">VLOOKUP($C739&amp;"_"&amp;$F739,OFFSET([1]stages!$A$1,0,0,COUNTA([1]stages!$A:$A),MATCH(H$1,[1]stages!$2:$2,0)-MATCH("temp_stage",[1]stages!$2:$2,0)+1),MATCH(H$1,[1]stages!$2:$2,0)-MATCH("temp_stage",[1]stages!$2:$2,0)+1,FALSE)</f>
        <v>ドロップイベント3</v>
      </c>
      <c r="I739" s="18">
        <v>0</v>
      </c>
      <c r="J739" s="5">
        <f>COUNTIF(C$1:C739,C739)</f>
        <v>12</v>
      </c>
      <c r="K739" s="34">
        <v>16</v>
      </c>
      <c r="L739" s="5" t="s">
        <v>17</v>
      </c>
      <c r="M739" s="38" t="str">
        <f>VLOOKUP(K739,[2]stage_hints!$A:$C,3,FALSE)</f>
        <v>マルチプレイのメリット（その1）</v>
      </c>
      <c r="N739" s="39" t="str">
        <f>VLOOKUP(K739,[2]stage_hints!$A:$D,4,FALSE)</f>
        <v>他のプレイヤーとマルチプレイで遊ぶと
ポリゴンがもらえます（100人まで）</v>
      </c>
      <c r="O739" s="20" t="s">
        <v>24</v>
      </c>
      <c r="P739">
        <v>16</v>
      </c>
    </row>
    <row r="740" spans="1:16" x14ac:dyDescent="0.15">
      <c r="A740" s="27" t="str">
        <f t="shared" si="74"/>
        <v>20010_3_13</v>
      </c>
      <c r="B740" s="25" t="s">
        <v>34</v>
      </c>
      <c r="C740" s="4">
        <v>20010</v>
      </c>
      <c r="D740" s="3" t="str">
        <f ca="1">VLOOKUP($C740,OFFSET([1]quests!$A$1,0,0,COUNTA([1]quests!$A:$A),MATCH(D$1,[1]quests!$1:$1,0)-MATCH($C$1,[1]quests!$1:$1,0)+1),MATCH(D$1,[1]quests!$1:$1,0)-MATCH($C$1,[1]quests!$1:$1,0)+1,FALSE)</f>
        <v>悪夢の一目惚れ</v>
      </c>
      <c r="E740" s="3" t="str">
        <f ca="1">VLOOKUP($C740,OFFSET([1]quests!$A$1,0,0,COUNTA([1]quests!$A:$A),MATCH(E$1,[1]quests!$1:$1,0)-MATCH($C$1,[1]quests!$1:$1,0)+1),MATCH(E$1,[1]quests!$1:$1,0)-MATCH($C$1,[1]quests!$1:$1,0)+1,FALSE)</f>
        <v>ドロップイベント3</v>
      </c>
      <c r="F740" s="5">
        <v>3</v>
      </c>
      <c r="G740" s="3" t="str">
        <f ca="1">VLOOKUP($C740&amp;"_"&amp;$F740,OFFSET([1]stages!$A$1,0,0,COUNTA([1]stages!$A:$A),MATCH(G$1,[1]stages!$2:$2,0)-MATCH("temp_stage",[1]stages!$2:$2,0)+1),MATCH(G$1,[1]stages!$2:$2,0)-MATCH("temp_stage",[1]stages!$2:$2,0)+1,FALSE)</f>
        <v>【上級】悪夢の一目惚れ</v>
      </c>
      <c r="H740" s="3" t="str">
        <f ca="1">VLOOKUP($C740&amp;"_"&amp;$F740,OFFSET([1]stages!$A$1,0,0,COUNTA([1]stages!$A:$A),MATCH(H$1,[1]stages!$2:$2,0)-MATCH("temp_stage",[1]stages!$2:$2,0)+1),MATCH(H$1,[1]stages!$2:$2,0)-MATCH("temp_stage",[1]stages!$2:$2,0)+1,FALSE)</f>
        <v>ドロップイベント3</v>
      </c>
      <c r="I740" s="18">
        <v>0</v>
      </c>
      <c r="J740" s="5">
        <f>COUNTIF(C$1:C740,C740)</f>
        <v>13</v>
      </c>
      <c r="K740" s="34">
        <v>17</v>
      </c>
      <c r="L740" s="5" t="s">
        <v>17</v>
      </c>
      <c r="M740" s="38" t="str">
        <f>VLOOKUP(K740,[2]stage_hints!$A:$C,3,FALSE)</f>
        <v>リンクガチャ</v>
      </c>
      <c r="N740" s="39" t="str">
        <f>VLOOKUP(K740,[2]stage_hints!$A:$D,4,FALSE)</f>
        <v>無料のリンクガチャを回して
経験値素材や売却素材を獲得しましょう</v>
      </c>
      <c r="O740" s="20" t="s">
        <v>24</v>
      </c>
      <c r="P740">
        <v>17</v>
      </c>
    </row>
    <row r="741" spans="1:16" x14ac:dyDescent="0.15">
      <c r="A741" s="27" t="str">
        <f t="shared" si="74"/>
        <v>20010_3_14</v>
      </c>
      <c r="B741" s="25" t="s">
        <v>34</v>
      </c>
      <c r="C741" s="4">
        <v>20010</v>
      </c>
      <c r="D741" s="3" t="str">
        <f ca="1">VLOOKUP($C741,OFFSET([1]quests!$A$1,0,0,COUNTA([1]quests!$A:$A),MATCH(D$1,[1]quests!$1:$1,0)-MATCH($C$1,[1]quests!$1:$1,0)+1),MATCH(D$1,[1]quests!$1:$1,0)-MATCH($C$1,[1]quests!$1:$1,0)+1,FALSE)</f>
        <v>悪夢の一目惚れ</v>
      </c>
      <c r="E741" s="3" t="str">
        <f ca="1">VLOOKUP($C741,OFFSET([1]quests!$A$1,0,0,COUNTA([1]quests!$A:$A),MATCH(E$1,[1]quests!$1:$1,0)-MATCH($C$1,[1]quests!$1:$1,0)+1),MATCH(E$1,[1]quests!$1:$1,0)-MATCH($C$1,[1]quests!$1:$1,0)+1,FALSE)</f>
        <v>ドロップイベント3</v>
      </c>
      <c r="F741" s="5">
        <v>3</v>
      </c>
      <c r="G741" s="3" t="str">
        <f ca="1">VLOOKUP($C741&amp;"_"&amp;$F741,OFFSET([1]stages!$A$1,0,0,COUNTA([1]stages!$A:$A),MATCH(G$1,[1]stages!$2:$2,0)-MATCH("temp_stage",[1]stages!$2:$2,0)+1),MATCH(G$1,[1]stages!$2:$2,0)-MATCH("temp_stage",[1]stages!$2:$2,0)+1,FALSE)</f>
        <v>【上級】悪夢の一目惚れ</v>
      </c>
      <c r="H741" s="3" t="str">
        <f ca="1">VLOOKUP($C741&amp;"_"&amp;$F741,OFFSET([1]stages!$A$1,0,0,COUNTA([1]stages!$A:$A),MATCH(H$1,[1]stages!$2:$2,0)-MATCH("temp_stage",[1]stages!$2:$2,0)+1),MATCH(H$1,[1]stages!$2:$2,0)-MATCH("temp_stage",[1]stages!$2:$2,0)+1,FALSE)</f>
        <v>ドロップイベント3</v>
      </c>
      <c r="I741" s="18">
        <v>0</v>
      </c>
      <c r="J741" s="5">
        <f>COUNTIF(C$1:C741,C741)</f>
        <v>14</v>
      </c>
      <c r="K741" s="34">
        <v>18</v>
      </c>
      <c r="L741" s="5" t="s">
        <v>17</v>
      </c>
      <c r="M741" s="38" t="str">
        <f>VLOOKUP(K741,[2]stage_hints!$A:$C,3,FALSE)</f>
        <v>マルチプレイのメリット（その2）</v>
      </c>
      <c r="N741" s="39" t="str">
        <f>VLOOKUP(K741,[2]stage_hints!$A:$D,4,FALSE)</f>
        <v>マルチプレイならリンクが2倍もらえます
リンクガチャをたくさん回しましょう</v>
      </c>
      <c r="O741" s="20" t="s">
        <v>24</v>
      </c>
      <c r="P741">
        <v>18</v>
      </c>
    </row>
    <row r="742" spans="1:16" x14ac:dyDescent="0.15">
      <c r="A742" s="27" t="str">
        <f t="shared" si="74"/>
        <v>20010_3_15</v>
      </c>
      <c r="B742" s="25" t="s">
        <v>34</v>
      </c>
      <c r="C742" s="4">
        <v>20010</v>
      </c>
      <c r="D742" s="3" t="str">
        <f ca="1">VLOOKUP($C742,OFFSET([1]quests!$A$1,0,0,COUNTA([1]quests!$A:$A),MATCH(D$1,[1]quests!$1:$1,0)-MATCH($C$1,[1]quests!$1:$1,0)+1),MATCH(D$1,[1]quests!$1:$1,0)-MATCH($C$1,[1]quests!$1:$1,0)+1,FALSE)</f>
        <v>悪夢の一目惚れ</v>
      </c>
      <c r="E742" s="3" t="str">
        <f ca="1">VLOOKUP($C742,OFFSET([1]quests!$A$1,0,0,COUNTA([1]quests!$A:$A),MATCH(E$1,[1]quests!$1:$1,0)-MATCH($C$1,[1]quests!$1:$1,0)+1),MATCH(E$1,[1]quests!$1:$1,0)-MATCH($C$1,[1]quests!$1:$1,0)+1,FALSE)</f>
        <v>ドロップイベント3</v>
      </c>
      <c r="F742" s="5">
        <v>3</v>
      </c>
      <c r="G742" s="3" t="str">
        <f ca="1">VLOOKUP($C742&amp;"_"&amp;$F742,OFFSET([1]stages!$A$1,0,0,COUNTA([1]stages!$A:$A),MATCH(G$1,[1]stages!$2:$2,0)-MATCH("temp_stage",[1]stages!$2:$2,0)+1),MATCH(G$1,[1]stages!$2:$2,0)-MATCH("temp_stage",[1]stages!$2:$2,0)+1,FALSE)</f>
        <v>【上級】悪夢の一目惚れ</v>
      </c>
      <c r="H742" s="3" t="str">
        <f ca="1">VLOOKUP($C742&amp;"_"&amp;$F742,OFFSET([1]stages!$A$1,0,0,COUNTA([1]stages!$A:$A),MATCH(H$1,[1]stages!$2:$2,0)-MATCH("temp_stage",[1]stages!$2:$2,0)+1),MATCH(H$1,[1]stages!$2:$2,0)-MATCH("temp_stage",[1]stages!$2:$2,0)+1,FALSE)</f>
        <v>ドロップイベント3</v>
      </c>
      <c r="I742" s="18">
        <v>0</v>
      </c>
      <c r="J742" s="5">
        <f>COUNTIF(C$1:C742,C742)</f>
        <v>15</v>
      </c>
      <c r="K742" s="34">
        <v>19</v>
      </c>
      <c r="L742" s="5" t="s">
        <v>17</v>
      </c>
      <c r="M742" s="38" t="str">
        <f>VLOOKUP(K742,[2]stage_hints!$A:$C,3,FALSE)</f>
        <v>ソロ専用チャレンジタワー</v>
      </c>
      <c r="N742" s="39" t="str">
        <f>VLOOKUP(K742,[2]stage_hints!$A:$D,4,FALSE)</f>
        <v>ソロ専用の「チャレンジタワー」では
各フロアごとにクリア報酬がもらえます</v>
      </c>
      <c r="O742" s="20" t="s">
        <v>24</v>
      </c>
      <c r="P742">
        <v>19</v>
      </c>
    </row>
    <row r="743" spans="1:16" x14ac:dyDescent="0.15">
      <c r="A743" s="27" t="str">
        <f t="shared" si="74"/>
        <v>20010_3_16</v>
      </c>
      <c r="B743" s="25" t="s">
        <v>34</v>
      </c>
      <c r="C743" s="4">
        <v>20010</v>
      </c>
      <c r="D743" s="3" t="str">
        <f ca="1">VLOOKUP($C743,OFFSET([1]quests!$A$1,0,0,COUNTA([1]quests!$A:$A),MATCH(D$1,[1]quests!$1:$1,0)-MATCH($C$1,[1]quests!$1:$1,0)+1),MATCH(D$1,[1]quests!$1:$1,0)-MATCH($C$1,[1]quests!$1:$1,0)+1,FALSE)</f>
        <v>悪夢の一目惚れ</v>
      </c>
      <c r="E743" s="3" t="str">
        <f ca="1">VLOOKUP($C743,OFFSET([1]quests!$A$1,0,0,COUNTA([1]quests!$A:$A),MATCH(E$1,[1]quests!$1:$1,0)-MATCH($C$1,[1]quests!$1:$1,0)+1),MATCH(E$1,[1]quests!$1:$1,0)-MATCH($C$1,[1]quests!$1:$1,0)+1,FALSE)</f>
        <v>ドロップイベント3</v>
      </c>
      <c r="F743" s="5">
        <v>3</v>
      </c>
      <c r="G743" s="3" t="str">
        <f ca="1">VLOOKUP($C743&amp;"_"&amp;$F743,OFFSET([1]stages!$A$1,0,0,COUNTA([1]stages!$A:$A),MATCH(G$1,[1]stages!$2:$2,0)-MATCH("temp_stage",[1]stages!$2:$2,0)+1),MATCH(G$1,[1]stages!$2:$2,0)-MATCH("temp_stage",[1]stages!$2:$2,0)+1,FALSE)</f>
        <v>【上級】悪夢の一目惚れ</v>
      </c>
      <c r="H743" s="3" t="str">
        <f ca="1">VLOOKUP($C743&amp;"_"&amp;$F743,OFFSET([1]stages!$A$1,0,0,COUNTA([1]stages!$A:$A),MATCH(H$1,[1]stages!$2:$2,0)-MATCH("temp_stage",[1]stages!$2:$2,0)+1),MATCH(H$1,[1]stages!$2:$2,0)-MATCH("temp_stage",[1]stages!$2:$2,0)+1,FALSE)</f>
        <v>ドロップイベント3</v>
      </c>
      <c r="I743" s="18">
        <v>0</v>
      </c>
      <c r="J743" s="5">
        <f>COUNTIF(C$1:C743,C743)</f>
        <v>16</v>
      </c>
      <c r="K743" s="34">
        <v>20</v>
      </c>
      <c r="L743" s="5" t="s">
        <v>17</v>
      </c>
      <c r="M743" s="38" t="str">
        <f>VLOOKUP(K743,[2]stage_hints!$A:$C,3,FALSE)</f>
        <v>マルチプレイのメリット（その3）</v>
      </c>
      <c r="N743" s="39" t="str">
        <f>VLOOKUP(K743,[2]stage_hints!$A:$D,4,FALSE)</f>
        <v>マルチプレイへの参加はエナジー消費ゼロ
いつでも好きなだけ遊ぶことができます</v>
      </c>
      <c r="O743" s="20" t="s">
        <v>24</v>
      </c>
      <c r="P743">
        <v>20</v>
      </c>
    </row>
    <row r="744" spans="1:16" x14ac:dyDescent="0.15">
      <c r="A744" s="27" t="str">
        <f t="shared" ref="A744:A807" si="75">C744&amp;"_"&amp;F744&amp;"_"&amp;J744</f>
        <v>20010_3_17</v>
      </c>
      <c r="B744" s="25" t="s">
        <v>34</v>
      </c>
      <c r="C744" s="4">
        <v>20010</v>
      </c>
      <c r="D744" s="3" t="str">
        <f ca="1">VLOOKUP($C744,OFFSET([1]quests!$A$1,0,0,COUNTA([1]quests!$A:$A),MATCH(D$1,[1]quests!$1:$1,0)-MATCH($C$1,[1]quests!$1:$1,0)+1),MATCH(D$1,[1]quests!$1:$1,0)-MATCH($C$1,[1]quests!$1:$1,0)+1,FALSE)</f>
        <v>悪夢の一目惚れ</v>
      </c>
      <c r="E744" s="3" t="str">
        <f ca="1">VLOOKUP($C744,OFFSET([1]quests!$A$1,0,0,COUNTA([1]quests!$A:$A),MATCH(E$1,[1]quests!$1:$1,0)-MATCH($C$1,[1]quests!$1:$1,0)+1),MATCH(E$1,[1]quests!$1:$1,0)-MATCH($C$1,[1]quests!$1:$1,0)+1,FALSE)</f>
        <v>ドロップイベント3</v>
      </c>
      <c r="F744" s="5">
        <v>3</v>
      </c>
      <c r="G744" s="3" t="str">
        <f ca="1">VLOOKUP($C744&amp;"_"&amp;$F744,OFFSET([1]stages!$A$1,0,0,COUNTA([1]stages!$A:$A),MATCH(G$1,[1]stages!$2:$2,0)-MATCH("temp_stage",[1]stages!$2:$2,0)+1),MATCH(G$1,[1]stages!$2:$2,0)-MATCH("temp_stage",[1]stages!$2:$2,0)+1,FALSE)</f>
        <v>【上級】悪夢の一目惚れ</v>
      </c>
      <c r="H744" s="3" t="str">
        <f ca="1">VLOOKUP($C744&amp;"_"&amp;$F744,OFFSET([1]stages!$A$1,0,0,COUNTA([1]stages!$A:$A),MATCH(H$1,[1]stages!$2:$2,0)-MATCH("temp_stage",[1]stages!$2:$2,0)+1),MATCH(H$1,[1]stages!$2:$2,0)-MATCH("temp_stage",[1]stages!$2:$2,0)+1,FALSE)</f>
        <v>ドロップイベント3</v>
      </c>
      <c r="I744" s="18">
        <v>0</v>
      </c>
      <c r="J744" s="5">
        <f>COUNTIF(C$1:C744,C744)</f>
        <v>17</v>
      </c>
      <c r="K744" s="34">
        <v>21</v>
      </c>
      <c r="L744" s="5" t="s">
        <v>17</v>
      </c>
      <c r="M744" s="38" t="str">
        <f>VLOOKUP(K744,[2]stage_hints!$A:$C,3,FALSE)</f>
        <v>スキルを有効に</v>
      </c>
      <c r="N744" s="39" t="str">
        <f>VLOOKUP(K744,[2]stage_hints!$A:$D,4,FALSE)</f>
        <v>ターン経過でユニットのスキルが使えます
強力スキルでバトルを有利に進めましょう</v>
      </c>
      <c r="O744" s="20" t="s">
        <v>24</v>
      </c>
      <c r="P744">
        <v>21</v>
      </c>
    </row>
    <row r="745" spans="1:16" x14ac:dyDescent="0.15">
      <c r="A745" s="27" t="str">
        <f t="shared" si="75"/>
        <v>20010_3_18</v>
      </c>
      <c r="B745" s="25" t="s">
        <v>34</v>
      </c>
      <c r="C745" s="4">
        <v>20010</v>
      </c>
      <c r="D745" s="3" t="str">
        <f ca="1">VLOOKUP($C745,OFFSET([1]quests!$A$1,0,0,COUNTA([1]quests!$A:$A),MATCH(D$1,[1]quests!$1:$1,0)-MATCH($C$1,[1]quests!$1:$1,0)+1),MATCH(D$1,[1]quests!$1:$1,0)-MATCH($C$1,[1]quests!$1:$1,0)+1,FALSE)</f>
        <v>悪夢の一目惚れ</v>
      </c>
      <c r="E745" s="3" t="str">
        <f ca="1">VLOOKUP($C745,OFFSET([1]quests!$A$1,0,0,COUNTA([1]quests!$A:$A),MATCH(E$1,[1]quests!$1:$1,0)-MATCH($C$1,[1]quests!$1:$1,0)+1),MATCH(E$1,[1]quests!$1:$1,0)-MATCH($C$1,[1]quests!$1:$1,0)+1,FALSE)</f>
        <v>ドロップイベント3</v>
      </c>
      <c r="F745" s="5">
        <v>3</v>
      </c>
      <c r="G745" s="3" t="str">
        <f ca="1">VLOOKUP($C745&amp;"_"&amp;$F745,OFFSET([1]stages!$A$1,0,0,COUNTA([1]stages!$A:$A),MATCH(G$1,[1]stages!$2:$2,0)-MATCH("temp_stage",[1]stages!$2:$2,0)+1),MATCH(G$1,[1]stages!$2:$2,0)-MATCH("temp_stage",[1]stages!$2:$2,0)+1,FALSE)</f>
        <v>【上級】悪夢の一目惚れ</v>
      </c>
      <c r="H745" s="3" t="str">
        <f ca="1">VLOOKUP($C745&amp;"_"&amp;$F745,OFFSET([1]stages!$A$1,0,0,COUNTA([1]stages!$A:$A),MATCH(H$1,[1]stages!$2:$2,0)-MATCH("temp_stage",[1]stages!$2:$2,0)+1),MATCH(H$1,[1]stages!$2:$2,0)-MATCH("temp_stage",[1]stages!$2:$2,0)+1,FALSE)</f>
        <v>ドロップイベント3</v>
      </c>
      <c r="I745" s="18">
        <v>0</v>
      </c>
      <c r="J745" s="5">
        <f>COUNTIF(C$1:C745,C745)</f>
        <v>18</v>
      </c>
      <c r="K745" s="34">
        <v>22</v>
      </c>
      <c r="L745" s="5" t="s">
        <v>17</v>
      </c>
      <c r="M745" s="38" t="str">
        <f>VLOOKUP(K745,[2]stage_hints!$A:$C,3,FALSE)</f>
        <v>フィーバーで一発逆転（その1）</v>
      </c>
      <c r="N745" s="39" t="str">
        <f>VLOOKUP(K745,[2]stage_hints!$A:$D,4,FALSE)</f>
        <v>フィーバーは攻撃と回復を兼ね備えます
ピンチからの一発逆転を狙いましょう</v>
      </c>
      <c r="O745" s="20" t="s">
        <v>24</v>
      </c>
      <c r="P745">
        <v>22</v>
      </c>
    </row>
    <row r="746" spans="1:16" x14ac:dyDescent="0.15">
      <c r="A746" s="27" t="str">
        <f t="shared" si="75"/>
        <v>20010_3_19</v>
      </c>
      <c r="B746" s="25" t="s">
        <v>34</v>
      </c>
      <c r="C746" s="4">
        <v>20010</v>
      </c>
      <c r="D746" s="3" t="str">
        <f ca="1">VLOOKUP($C746,OFFSET([1]quests!$A$1,0,0,COUNTA([1]quests!$A:$A),MATCH(D$1,[1]quests!$1:$1,0)-MATCH($C$1,[1]quests!$1:$1,0)+1),MATCH(D$1,[1]quests!$1:$1,0)-MATCH($C$1,[1]quests!$1:$1,0)+1,FALSE)</f>
        <v>悪夢の一目惚れ</v>
      </c>
      <c r="E746" s="3" t="str">
        <f ca="1">VLOOKUP($C746,OFFSET([1]quests!$A$1,0,0,COUNTA([1]quests!$A:$A),MATCH(E$1,[1]quests!$1:$1,0)-MATCH($C$1,[1]quests!$1:$1,0)+1),MATCH(E$1,[1]quests!$1:$1,0)-MATCH($C$1,[1]quests!$1:$1,0)+1,FALSE)</f>
        <v>ドロップイベント3</v>
      </c>
      <c r="F746" s="5">
        <v>3</v>
      </c>
      <c r="G746" s="3" t="str">
        <f ca="1">VLOOKUP($C746&amp;"_"&amp;$F746,OFFSET([1]stages!$A$1,0,0,COUNTA([1]stages!$A:$A),MATCH(G$1,[1]stages!$2:$2,0)-MATCH("temp_stage",[1]stages!$2:$2,0)+1),MATCH(G$1,[1]stages!$2:$2,0)-MATCH("temp_stage",[1]stages!$2:$2,0)+1,FALSE)</f>
        <v>【上級】悪夢の一目惚れ</v>
      </c>
      <c r="H746" s="3" t="str">
        <f ca="1">VLOOKUP($C746&amp;"_"&amp;$F746,OFFSET([1]stages!$A$1,0,0,COUNTA([1]stages!$A:$A),MATCH(H$1,[1]stages!$2:$2,0)-MATCH("temp_stage",[1]stages!$2:$2,0)+1),MATCH(H$1,[1]stages!$2:$2,0)-MATCH("temp_stage",[1]stages!$2:$2,0)+1,FALSE)</f>
        <v>ドロップイベント3</v>
      </c>
      <c r="I746" s="18">
        <v>0</v>
      </c>
      <c r="J746" s="5">
        <f>COUNTIF(C$1:C746,C746)</f>
        <v>19</v>
      </c>
      <c r="K746" s="34">
        <v>23</v>
      </c>
      <c r="L746" s="5" t="s">
        <v>17</v>
      </c>
      <c r="M746" s="38" t="str">
        <f>VLOOKUP(K746,[2]stage_hints!$A:$C,3,FALSE)</f>
        <v>フィーバーで一発逆転（その2）</v>
      </c>
      <c r="N746" s="39" t="str">
        <f>VLOOKUP(K746,[2]stage_hints!$A:$D,4,FALSE)</f>
        <v>フィーバー中は虹色のボムパネルを狙って
画面上のパネルを一気に破壊しましょう</v>
      </c>
      <c r="O746" s="20" t="s">
        <v>24</v>
      </c>
      <c r="P746">
        <v>23</v>
      </c>
    </row>
    <row r="747" spans="1:16" x14ac:dyDescent="0.15">
      <c r="A747" s="27" t="str">
        <f t="shared" si="75"/>
        <v>20010_3_20</v>
      </c>
      <c r="B747" s="25" t="s">
        <v>34</v>
      </c>
      <c r="C747" s="4">
        <v>20010</v>
      </c>
      <c r="D747" s="3" t="str">
        <f ca="1">VLOOKUP($C747,OFFSET([1]quests!$A$1,0,0,COUNTA([1]quests!$A:$A),MATCH(D$1,[1]quests!$1:$1,0)-MATCH($C$1,[1]quests!$1:$1,0)+1),MATCH(D$1,[1]quests!$1:$1,0)-MATCH($C$1,[1]quests!$1:$1,0)+1,FALSE)</f>
        <v>悪夢の一目惚れ</v>
      </c>
      <c r="E747" s="3" t="str">
        <f ca="1">VLOOKUP($C747,OFFSET([1]quests!$A$1,0,0,COUNTA([1]quests!$A:$A),MATCH(E$1,[1]quests!$1:$1,0)-MATCH($C$1,[1]quests!$1:$1,0)+1),MATCH(E$1,[1]quests!$1:$1,0)-MATCH($C$1,[1]quests!$1:$1,0)+1,FALSE)</f>
        <v>ドロップイベント3</v>
      </c>
      <c r="F747" s="5">
        <v>3</v>
      </c>
      <c r="G747" s="3" t="str">
        <f ca="1">VLOOKUP($C747&amp;"_"&amp;$F747,OFFSET([1]stages!$A$1,0,0,COUNTA([1]stages!$A:$A),MATCH(G$1,[1]stages!$2:$2,0)-MATCH("temp_stage",[1]stages!$2:$2,0)+1),MATCH(G$1,[1]stages!$2:$2,0)-MATCH("temp_stage",[1]stages!$2:$2,0)+1,FALSE)</f>
        <v>【上級】悪夢の一目惚れ</v>
      </c>
      <c r="H747" s="3" t="str">
        <f ca="1">VLOOKUP($C747&amp;"_"&amp;$F747,OFFSET([1]stages!$A$1,0,0,COUNTA([1]stages!$A:$A),MATCH(H$1,[1]stages!$2:$2,0)-MATCH("temp_stage",[1]stages!$2:$2,0)+1),MATCH(H$1,[1]stages!$2:$2,0)-MATCH("temp_stage",[1]stages!$2:$2,0)+1,FALSE)</f>
        <v>ドロップイベント3</v>
      </c>
      <c r="I747" s="18">
        <v>0</v>
      </c>
      <c r="J747" s="5">
        <f>COUNTIF(C$1:C747,C747)</f>
        <v>20</v>
      </c>
      <c r="K747" s="34">
        <v>24</v>
      </c>
      <c r="L747" s="5" t="s">
        <v>17</v>
      </c>
      <c r="M747" s="38" t="str">
        <f>VLOOKUP(K747,[2]stage_hints!$A:$C,3,FALSE)</f>
        <v>りんごを使って限界突破</v>
      </c>
      <c r="N747" s="39" t="str">
        <f>VLOOKUP(K747,[2]stage_hints!$A:$D,4,FALSE)</f>
        <v>赤りんご(攻撃力) 青りんご(回復力)
緑りんご(体力)をユニット強化に使うと
ステータスが限界突破します（計99個迄）</v>
      </c>
      <c r="O747" s="20" t="s">
        <v>24</v>
      </c>
      <c r="P747">
        <v>24</v>
      </c>
    </row>
    <row r="748" spans="1:16" x14ac:dyDescent="0.15">
      <c r="A748" s="27" t="str">
        <f t="shared" si="75"/>
        <v>20010_3_21</v>
      </c>
      <c r="B748" s="25" t="s">
        <v>34</v>
      </c>
      <c r="C748" s="4">
        <v>20010</v>
      </c>
      <c r="D748" s="3" t="str">
        <f ca="1">VLOOKUP($C748,OFFSET([1]quests!$A$1,0,0,COUNTA([1]quests!$A:$A),MATCH(D$1,[1]quests!$1:$1,0)-MATCH($C$1,[1]quests!$1:$1,0)+1),MATCH(D$1,[1]quests!$1:$1,0)-MATCH($C$1,[1]quests!$1:$1,0)+1,FALSE)</f>
        <v>悪夢の一目惚れ</v>
      </c>
      <c r="E748" s="3" t="str">
        <f ca="1">VLOOKUP($C748,OFFSET([1]quests!$A$1,0,0,COUNTA([1]quests!$A:$A),MATCH(E$1,[1]quests!$1:$1,0)-MATCH($C$1,[1]quests!$1:$1,0)+1),MATCH(E$1,[1]quests!$1:$1,0)-MATCH($C$1,[1]quests!$1:$1,0)+1,FALSE)</f>
        <v>ドロップイベント3</v>
      </c>
      <c r="F748" s="5">
        <v>3</v>
      </c>
      <c r="G748" s="3" t="str">
        <f ca="1">VLOOKUP($C748&amp;"_"&amp;$F748,OFFSET([1]stages!$A$1,0,0,COUNTA([1]stages!$A:$A),MATCH(G$1,[1]stages!$2:$2,0)-MATCH("temp_stage",[1]stages!$2:$2,0)+1),MATCH(G$1,[1]stages!$2:$2,0)-MATCH("temp_stage",[1]stages!$2:$2,0)+1,FALSE)</f>
        <v>【上級】悪夢の一目惚れ</v>
      </c>
      <c r="H748" s="3" t="str">
        <f ca="1">VLOOKUP($C748&amp;"_"&amp;$F748,OFFSET([1]stages!$A$1,0,0,COUNTA([1]stages!$A:$A),MATCH(H$1,[1]stages!$2:$2,0)-MATCH("temp_stage",[1]stages!$2:$2,0)+1),MATCH(H$1,[1]stages!$2:$2,0)-MATCH("temp_stage",[1]stages!$2:$2,0)+1,FALSE)</f>
        <v>ドロップイベント3</v>
      </c>
      <c r="I748" s="18">
        <v>0</v>
      </c>
      <c r="J748" s="5">
        <f>COUNTIF(C$1:C748,C748)</f>
        <v>21</v>
      </c>
      <c r="K748" s="34">
        <v>25</v>
      </c>
      <c r="L748" s="5" t="s">
        <v>17</v>
      </c>
      <c r="M748" s="38" t="str">
        <f>VLOOKUP(K748,[2]stage_hints!$A:$C,3,FALSE)</f>
        <v>スキルレベルアップ</v>
      </c>
      <c r="N748" s="39" t="str">
        <f>VLOOKUP(K748,[2]stage_hints!$A:$D,4,FALSE)</f>
        <v>「クリスタルのりんご」を強化に使うと
スキルレベルを上げることができます</v>
      </c>
      <c r="O748" s="20" t="s">
        <v>24</v>
      </c>
      <c r="P748">
        <v>25</v>
      </c>
    </row>
    <row r="749" spans="1:16" x14ac:dyDescent="0.15">
      <c r="A749" s="27" t="str">
        <f t="shared" si="75"/>
        <v>20010_3_22</v>
      </c>
      <c r="B749" s="25" t="s">
        <v>34</v>
      </c>
      <c r="C749" s="4">
        <v>20010</v>
      </c>
      <c r="D749" s="3" t="str">
        <f ca="1">VLOOKUP($C749,OFFSET([1]quests!$A$1,0,0,COUNTA([1]quests!$A:$A),MATCH(D$1,[1]quests!$1:$1,0)-MATCH($C$1,[1]quests!$1:$1,0)+1),MATCH(D$1,[1]quests!$1:$1,0)-MATCH($C$1,[1]quests!$1:$1,0)+1,FALSE)</f>
        <v>悪夢の一目惚れ</v>
      </c>
      <c r="E749" s="3" t="str">
        <f ca="1">VLOOKUP($C749,OFFSET([1]quests!$A$1,0,0,COUNTA([1]quests!$A:$A),MATCH(E$1,[1]quests!$1:$1,0)-MATCH($C$1,[1]quests!$1:$1,0)+1),MATCH(E$1,[1]quests!$1:$1,0)-MATCH($C$1,[1]quests!$1:$1,0)+1,FALSE)</f>
        <v>ドロップイベント3</v>
      </c>
      <c r="F749" s="5">
        <v>3</v>
      </c>
      <c r="G749" s="3" t="str">
        <f ca="1">VLOOKUP($C749&amp;"_"&amp;$F749,OFFSET([1]stages!$A$1,0,0,COUNTA([1]stages!$A:$A),MATCH(G$1,[1]stages!$2:$2,0)-MATCH("temp_stage",[1]stages!$2:$2,0)+1),MATCH(G$1,[1]stages!$2:$2,0)-MATCH("temp_stage",[1]stages!$2:$2,0)+1,FALSE)</f>
        <v>【上級】悪夢の一目惚れ</v>
      </c>
      <c r="H749" s="3" t="str">
        <f ca="1">VLOOKUP($C749&amp;"_"&amp;$F749,OFFSET([1]stages!$A$1,0,0,COUNTA([1]stages!$A:$A),MATCH(H$1,[1]stages!$2:$2,0)-MATCH("temp_stage",[1]stages!$2:$2,0)+1),MATCH(H$1,[1]stages!$2:$2,0)-MATCH("temp_stage",[1]stages!$2:$2,0)+1,FALSE)</f>
        <v>ドロップイベント3</v>
      </c>
      <c r="I749" s="18">
        <v>0</v>
      </c>
      <c r="J749" s="5">
        <f>COUNTIF(C$1:C749,C749)</f>
        <v>22</v>
      </c>
      <c r="K749" s="34">
        <v>26</v>
      </c>
      <c r="L749" s="5" t="s">
        <v>17</v>
      </c>
      <c r="M749" s="38" t="str">
        <f>VLOOKUP(K749,[2]stage_hints!$A:$C,3,FALSE)</f>
        <v>スキルレベルの効果</v>
      </c>
      <c r="N749" s="39" t="str">
        <f>VLOOKUP(K749,[2]stage_hints!$A:$D,4,FALSE)</f>
        <v>スキルレベルが上がると
短いターンでスキルを使うことができます</v>
      </c>
      <c r="O749" s="20" t="s">
        <v>24</v>
      </c>
      <c r="P749">
        <v>26</v>
      </c>
    </row>
    <row r="750" spans="1:16" x14ac:dyDescent="0.15">
      <c r="A750" s="27" t="str">
        <f t="shared" si="75"/>
        <v>20010_3_23</v>
      </c>
      <c r="B750" s="25" t="s">
        <v>34</v>
      </c>
      <c r="C750" s="4">
        <v>20010</v>
      </c>
      <c r="D750" s="3" t="str">
        <f ca="1">VLOOKUP($C750,OFFSET([1]quests!$A$1,0,0,COUNTA([1]quests!$A:$A),MATCH(D$1,[1]quests!$1:$1,0)-MATCH($C$1,[1]quests!$1:$1,0)+1),MATCH(D$1,[1]quests!$1:$1,0)-MATCH($C$1,[1]quests!$1:$1,0)+1,FALSE)</f>
        <v>悪夢の一目惚れ</v>
      </c>
      <c r="E750" s="3" t="str">
        <f ca="1">VLOOKUP($C750,OFFSET([1]quests!$A$1,0,0,COUNTA([1]quests!$A:$A),MATCH(E$1,[1]quests!$1:$1,0)-MATCH($C$1,[1]quests!$1:$1,0)+1),MATCH(E$1,[1]quests!$1:$1,0)-MATCH($C$1,[1]quests!$1:$1,0)+1,FALSE)</f>
        <v>ドロップイベント3</v>
      </c>
      <c r="F750" s="5">
        <v>3</v>
      </c>
      <c r="G750" s="3" t="str">
        <f ca="1">VLOOKUP($C750&amp;"_"&amp;$F750,OFFSET([1]stages!$A$1,0,0,COUNTA([1]stages!$A:$A),MATCH(G$1,[1]stages!$2:$2,0)-MATCH("temp_stage",[1]stages!$2:$2,0)+1),MATCH(G$1,[1]stages!$2:$2,0)-MATCH("temp_stage",[1]stages!$2:$2,0)+1,FALSE)</f>
        <v>【上級】悪夢の一目惚れ</v>
      </c>
      <c r="H750" s="3" t="str">
        <f ca="1">VLOOKUP($C750&amp;"_"&amp;$F750,OFFSET([1]stages!$A$1,0,0,COUNTA([1]stages!$A:$A),MATCH(H$1,[1]stages!$2:$2,0)-MATCH("temp_stage",[1]stages!$2:$2,0)+1),MATCH(H$1,[1]stages!$2:$2,0)-MATCH("temp_stage",[1]stages!$2:$2,0)+1,FALSE)</f>
        <v>ドロップイベント3</v>
      </c>
      <c r="I750" s="18">
        <v>0</v>
      </c>
      <c r="J750" s="5">
        <f>COUNTIF(C$1:C750,C750)</f>
        <v>23</v>
      </c>
      <c r="K750" s="34">
        <v>27</v>
      </c>
      <c r="L750" s="5" t="s">
        <v>17</v>
      </c>
      <c r="M750" s="38" t="str">
        <f>VLOOKUP(K750,[2]stage_hints!$A:$C,3,FALSE)</f>
        <v>ホーム画面からデッキを編成</v>
      </c>
      <c r="N750" s="39" t="str">
        <f>VLOOKUP(K750,[2]stage_hints!$A:$D,4,FALSE)</f>
        <v>ホーム画面でユニットを長押しすると
すぐにパーティ編成に移動できます</v>
      </c>
      <c r="O750" s="20" t="s">
        <v>24</v>
      </c>
      <c r="P750">
        <v>27</v>
      </c>
    </row>
    <row r="751" spans="1:16" x14ac:dyDescent="0.15">
      <c r="A751" s="27" t="str">
        <f t="shared" si="75"/>
        <v>20010_3_24</v>
      </c>
      <c r="B751" s="25" t="s">
        <v>34</v>
      </c>
      <c r="C751" s="4">
        <v>20010</v>
      </c>
      <c r="D751" s="3" t="str">
        <f ca="1">VLOOKUP($C751,OFFSET([1]quests!$A$1,0,0,COUNTA([1]quests!$A:$A),MATCH(D$1,[1]quests!$1:$1,0)-MATCH($C$1,[1]quests!$1:$1,0)+1),MATCH(D$1,[1]quests!$1:$1,0)-MATCH($C$1,[1]quests!$1:$1,0)+1,FALSE)</f>
        <v>悪夢の一目惚れ</v>
      </c>
      <c r="E751" s="3" t="str">
        <f ca="1">VLOOKUP($C751,OFFSET([1]quests!$A$1,0,0,COUNTA([1]quests!$A:$A),MATCH(E$1,[1]quests!$1:$1,0)-MATCH($C$1,[1]quests!$1:$1,0)+1),MATCH(E$1,[1]quests!$1:$1,0)-MATCH($C$1,[1]quests!$1:$1,0)+1,FALSE)</f>
        <v>ドロップイベント3</v>
      </c>
      <c r="F751" s="5">
        <v>3</v>
      </c>
      <c r="G751" s="3" t="str">
        <f ca="1">VLOOKUP($C751&amp;"_"&amp;$F751,OFFSET([1]stages!$A$1,0,0,COUNTA([1]stages!$A:$A),MATCH(G$1,[1]stages!$2:$2,0)-MATCH("temp_stage",[1]stages!$2:$2,0)+1),MATCH(G$1,[1]stages!$2:$2,0)-MATCH("temp_stage",[1]stages!$2:$2,0)+1,FALSE)</f>
        <v>【上級】悪夢の一目惚れ</v>
      </c>
      <c r="H751" s="3" t="str">
        <f ca="1">VLOOKUP($C751&amp;"_"&amp;$F751,OFFSET([1]stages!$A$1,0,0,COUNTA([1]stages!$A:$A),MATCH(H$1,[1]stages!$2:$2,0)-MATCH("temp_stage",[1]stages!$2:$2,0)+1),MATCH(H$1,[1]stages!$2:$2,0)-MATCH("temp_stage",[1]stages!$2:$2,0)+1,FALSE)</f>
        <v>ドロップイベント3</v>
      </c>
      <c r="I751" s="18">
        <v>0</v>
      </c>
      <c r="J751" s="5">
        <f>COUNTIF(C$1:C751,C751)</f>
        <v>24</v>
      </c>
      <c r="K751" s="34">
        <v>28</v>
      </c>
      <c r="L751" s="5" t="s">
        <v>17</v>
      </c>
      <c r="M751" s="38" t="str">
        <f>VLOOKUP(K751,[2]stage_hints!$A:$C,3,FALSE)</f>
        <v>ステータス情報は長押しで</v>
      </c>
      <c r="N751" s="39" t="str">
        <f>VLOOKUP(K751,[2]stage_hints!$A:$D,4,FALSE)</f>
        <v>ユニットのアイコンを長押しすると
ステータス情報を確認することができます</v>
      </c>
      <c r="O751" s="20" t="s">
        <v>24</v>
      </c>
      <c r="P751">
        <v>28</v>
      </c>
    </row>
    <row r="752" spans="1:16" x14ac:dyDescent="0.15">
      <c r="A752" s="27" t="str">
        <f t="shared" si="75"/>
        <v>20010_3_25</v>
      </c>
      <c r="B752" s="25" t="s">
        <v>34</v>
      </c>
      <c r="C752" s="4">
        <v>20010</v>
      </c>
      <c r="D752" s="3" t="str">
        <f ca="1">VLOOKUP($C752,OFFSET([1]quests!$A$1,0,0,COUNTA([1]quests!$A:$A),MATCH(D$1,[1]quests!$1:$1,0)-MATCH($C$1,[1]quests!$1:$1,0)+1),MATCH(D$1,[1]quests!$1:$1,0)-MATCH($C$1,[1]quests!$1:$1,0)+1,FALSE)</f>
        <v>悪夢の一目惚れ</v>
      </c>
      <c r="E752" s="3" t="str">
        <f ca="1">VLOOKUP($C752,OFFSET([1]quests!$A$1,0,0,COUNTA([1]quests!$A:$A),MATCH(E$1,[1]quests!$1:$1,0)-MATCH($C$1,[1]quests!$1:$1,0)+1),MATCH(E$1,[1]quests!$1:$1,0)-MATCH($C$1,[1]quests!$1:$1,0)+1,FALSE)</f>
        <v>ドロップイベント3</v>
      </c>
      <c r="F752" s="5">
        <v>3</v>
      </c>
      <c r="G752" s="3" t="str">
        <f ca="1">VLOOKUP($C752&amp;"_"&amp;$F752,OFFSET([1]stages!$A$1,0,0,COUNTA([1]stages!$A:$A),MATCH(G$1,[1]stages!$2:$2,0)-MATCH("temp_stage",[1]stages!$2:$2,0)+1),MATCH(G$1,[1]stages!$2:$2,0)-MATCH("temp_stage",[1]stages!$2:$2,0)+1,FALSE)</f>
        <v>【上級】悪夢の一目惚れ</v>
      </c>
      <c r="H752" s="3" t="str">
        <f ca="1">VLOOKUP($C752&amp;"_"&amp;$F752,OFFSET([1]stages!$A$1,0,0,COUNTA([1]stages!$A:$A),MATCH(H$1,[1]stages!$2:$2,0)-MATCH("temp_stage",[1]stages!$2:$2,0)+1),MATCH(H$1,[1]stages!$2:$2,0)-MATCH("temp_stage",[1]stages!$2:$2,0)+1,FALSE)</f>
        <v>ドロップイベント3</v>
      </c>
      <c r="I752" s="18">
        <v>0</v>
      </c>
      <c r="J752" s="5">
        <f>COUNTIF(C$1:C752,C752)</f>
        <v>25</v>
      </c>
      <c r="K752" s="34">
        <v>29</v>
      </c>
      <c r="L752" s="5" t="s">
        <v>17</v>
      </c>
      <c r="M752" s="38" t="str">
        <f>VLOOKUP(K752,[2]stage_hints!$A:$C,3,FALSE)</f>
        <v>「バグ」のメリット</v>
      </c>
      <c r="N752" s="39" t="str">
        <f>VLOOKUP(K752,[2]stage_hints!$A:$D,4,FALSE)</f>
        <v>ユニットの「バグ」を増やすと
報酬をもらえる確率がアップします</v>
      </c>
      <c r="O752" s="20" t="s">
        <v>24</v>
      </c>
      <c r="P752">
        <v>29</v>
      </c>
    </row>
    <row r="753" spans="1:16" x14ac:dyDescent="0.15">
      <c r="A753" s="27" t="str">
        <f t="shared" si="75"/>
        <v>20010_3_26</v>
      </c>
      <c r="B753" s="25" t="s">
        <v>34</v>
      </c>
      <c r="C753" s="4">
        <v>20010</v>
      </c>
      <c r="D753" s="3" t="str">
        <f ca="1">VLOOKUP($C753,OFFSET([1]quests!$A$1,0,0,COUNTA([1]quests!$A:$A),MATCH(D$1,[1]quests!$1:$1,0)-MATCH($C$1,[1]quests!$1:$1,0)+1),MATCH(D$1,[1]quests!$1:$1,0)-MATCH($C$1,[1]quests!$1:$1,0)+1,FALSE)</f>
        <v>悪夢の一目惚れ</v>
      </c>
      <c r="E753" s="3" t="str">
        <f ca="1">VLOOKUP($C753,OFFSET([1]quests!$A$1,0,0,COUNTA([1]quests!$A:$A),MATCH(E$1,[1]quests!$1:$1,0)-MATCH($C$1,[1]quests!$1:$1,0)+1),MATCH(E$1,[1]quests!$1:$1,0)-MATCH($C$1,[1]quests!$1:$1,0)+1,FALSE)</f>
        <v>ドロップイベント3</v>
      </c>
      <c r="F753" s="5">
        <v>3</v>
      </c>
      <c r="G753" s="3" t="str">
        <f ca="1">VLOOKUP($C753&amp;"_"&amp;$F753,OFFSET([1]stages!$A$1,0,0,COUNTA([1]stages!$A:$A),MATCH(G$1,[1]stages!$2:$2,0)-MATCH("temp_stage",[1]stages!$2:$2,0)+1),MATCH(G$1,[1]stages!$2:$2,0)-MATCH("temp_stage",[1]stages!$2:$2,0)+1,FALSE)</f>
        <v>【上級】悪夢の一目惚れ</v>
      </c>
      <c r="H753" s="3" t="str">
        <f ca="1">VLOOKUP($C753&amp;"_"&amp;$F753,OFFSET([1]stages!$A$1,0,0,COUNTA([1]stages!$A:$A),MATCH(H$1,[1]stages!$2:$2,0)-MATCH("temp_stage",[1]stages!$2:$2,0)+1),MATCH(H$1,[1]stages!$2:$2,0)-MATCH("temp_stage",[1]stages!$2:$2,0)+1,FALSE)</f>
        <v>ドロップイベント3</v>
      </c>
      <c r="I753" s="18">
        <v>0</v>
      </c>
      <c r="J753" s="5">
        <f>COUNTIF(C$1:C753,C753)</f>
        <v>26</v>
      </c>
      <c r="K753" s="34">
        <v>30</v>
      </c>
      <c r="L753" s="5" t="s">
        <v>17</v>
      </c>
      <c r="M753" s="38" t="str">
        <f>VLOOKUP(K753,[2]stage_hints!$A:$C,3,FALSE)</f>
        <v>「バグ」の増やし方</v>
      </c>
      <c r="N753" s="39" t="str">
        <f>VLOOKUP(K753,[2]stage_hints!$A:$D,4,FALSE)</f>
        <v>同じユニット同士を強化で合成すると
「バグ」を増やすことができます</v>
      </c>
      <c r="O753" s="20" t="s">
        <v>24</v>
      </c>
      <c r="P753">
        <v>30</v>
      </c>
    </row>
    <row r="754" spans="1:16" x14ac:dyDescent="0.15">
      <c r="A754" s="27" t="str">
        <f t="shared" si="75"/>
        <v>20010_3_27</v>
      </c>
      <c r="B754" s="25" t="s">
        <v>34</v>
      </c>
      <c r="C754" s="4">
        <v>20010</v>
      </c>
      <c r="D754" s="3" t="str">
        <f ca="1">VLOOKUP($C754,OFFSET([1]quests!$A$1,0,0,COUNTA([1]quests!$A:$A),MATCH(D$1,[1]quests!$1:$1,0)-MATCH($C$1,[1]quests!$1:$1,0)+1),MATCH(D$1,[1]quests!$1:$1,0)-MATCH($C$1,[1]quests!$1:$1,0)+1,FALSE)</f>
        <v>悪夢の一目惚れ</v>
      </c>
      <c r="E754" s="3" t="str">
        <f ca="1">VLOOKUP($C754,OFFSET([1]quests!$A$1,0,0,COUNTA([1]quests!$A:$A),MATCH(E$1,[1]quests!$1:$1,0)-MATCH($C$1,[1]quests!$1:$1,0)+1),MATCH(E$1,[1]quests!$1:$1,0)-MATCH($C$1,[1]quests!$1:$1,0)+1,FALSE)</f>
        <v>ドロップイベント3</v>
      </c>
      <c r="F754" s="5">
        <v>3</v>
      </c>
      <c r="G754" s="3" t="str">
        <f ca="1">VLOOKUP($C754&amp;"_"&amp;$F754,OFFSET([1]stages!$A$1,0,0,COUNTA([1]stages!$A:$A),MATCH(G$1,[1]stages!$2:$2,0)-MATCH("temp_stage",[1]stages!$2:$2,0)+1),MATCH(G$1,[1]stages!$2:$2,0)-MATCH("temp_stage",[1]stages!$2:$2,0)+1,FALSE)</f>
        <v>【上級】悪夢の一目惚れ</v>
      </c>
      <c r="H754" s="3" t="str">
        <f ca="1">VLOOKUP($C754&amp;"_"&amp;$F754,OFFSET([1]stages!$A$1,0,0,COUNTA([1]stages!$A:$A),MATCH(H$1,[1]stages!$2:$2,0)-MATCH("temp_stage",[1]stages!$2:$2,0)+1),MATCH(H$1,[1]stages!$2:$2,0)-MATCH("temp_stage",[1]stages!$2:$2,0)+1,FALSE)</f>
        <v>ドロップイベント3</v>
      </c>
      <c r="I754" s="18">
        <v>0</v>
      </c>
      <c r="J754" s="5">
        <f>COUNTIF(C$1:C754,C754)</f>
        <v>27</v>
      </c>
      <c r="K754" s="34">
        <v>31</v>
      </c>
      <c r="L754" s="5" t="s">
        <v>17</v>
      </c>
      <c r="M754" s="38" t="str">
        <f>VLOOKUP(K754,[2]stage_hints!$A:$C,3,FALSE)</f>
        <v>イベントはお知らせでチェック</v>
      </c>
      <c r="N754" s="39" t="str">
        <f>VLOOKUP(K754,[2]stage_hints!$A:$D,4,FALSE)</f>
        <v>イベント限定ユニットを取り忘れないように
お知らせをこまめにチェックしましょう</v>
      </c>
      <c r="O754" s="20" t="s">
        <v>24</v>
      </c>
      <c r="P754">
        <v>31</v>
      </c>
    </row>
    <row r="755" spans="1:16" x14ac:dyDescent="0.15">
      <c r="A755" s="27" t="str">
        <f t="shared" si="75"/>
        <v>20010_3_28</v>
      </c>
      <c r="B755" s="25" t="s">
        <v>34</v>
      </c>
      <c r="C755" s="4">
        <v>20010</v>
      </c>
      <c r="D755" s="3" t="str">
        <f ca="1">VLOOKUP($C755,OFFSET([1]quests!$A$1,0,0,COUNTA([1]quests!$A:$A),MATCH(D$1,[1]quests!$1:$1,0)-MATCH($C$1,[1]quests!$1:$1,0)+1),MATCH(D$1,[1]quests!$1:$1,0)-MATCH($C$1,[1]quests!$1:$1,0)+1,FALSE)</f>
        <v>悪夢の一目惚れ</v>
      </c>
      <c r="E755" s="3" t="str">
        <f ca="1">VLOOKUP($C755,OFFSET([1]quests!$A$1,0,0,COUNTA([1]quests!$A:$A),MATCH(E$1,[1]quests!$1:$1,0)-MATCH($C$1,[1]quests!$1:$1,0)+1),MATCH(E$1,[1]quests!$1:$1,0)-MATCH($C$1,[1]quests!$1:$1,0)+1,FALSE)</f>
        <v>ドロップイベント3</v>
      </c>
      <c r="F755" s="5">
        <v>3</v>
      </c>
      <c r="G755" s="3" t="str">
        <f ca="1">VLOOKUP($C755&amp;"_"&amp;$F755,OFFSET([1]stages!$A$1,0,0,COUNTA([1]stages!$A:$A),MATCH(G$1,[1]stages!$2:$2,0)-MATCH("temp_stage",[1]stages!$2:$2,0)+1),MATCH(G$1,[1]stages!$2:$2,0)-MATCH("temp_stage",[1]stages!$2:$2,0)+1,FALSE)</f>
        <v>【上級】悪夢の一目惚れ</v>
      </c>
      <c r="H755" s="3" t="str">
        <f ca="1">VLOOKUP($C755&amp;"_"&amp;$F755,OFFSET([1]stages!$A$1,0,0,COUNTA([1]stages!$A:$A),MATCH(H$1,[1]stages!$2:$2,0)-MATCH("temp_stage",[1]stages!$2:$2,0)+1),MATCH(H$1,[1]stages!$2:$2,0)-MATCH("temp_stage",[1]stages!$2:$2,0)+1,FALSE)</f>
        <v>ドロップイベント3</v>
      </c>
      <c r="I755" s="18">
        <v>0</v>
      </c>
      <c r="J755" s="5">
        <f>COUNTIF(C$1:C755,C755)</f>
        <v>28</v>
      </c>
      <c r="K755" s="34">
        <v>32</v>
      </c>
      <c r="L755" s="5" t="s">
        <v>17</v>
      </c>
      <c r="M755" s="38" t="str">
        <f>VLOOKUP(K755,[2]stage_hints!$A:$C,3,FALSE)</f>
        <v>敵の連続攻撃には</v>
      </c>
      <c r="N755" s="39" t="str">
        <f>VLOOKUP(K755,[2]stage_hints!$A:$D,4,FALSE)</f>
        <v>カウンタースキルを持つユニットがいれば
ダメージ回数分の反撃ができます</v>
      </c>
      <c r="O755" s="20" t="s">
        <v>24</v>
      </c>
      <c r="P755">
        <v>32</v>
      </c>
    </row>
    <row r="756" spans="1:16" x14ac:dyDescent="0.15">
      <c r="A756" s="27" t="str">
        <f t="shared" si="75"/>
        <v>20010_3_29</v>
      </c>
      <c r="B756" s="25" t="s">
        <v>34</v>
      </c>
      <c r="C756" s="4">
        <v>20010</v>
      </c>
      <c r="D756" s="3" t="str">
        <f ca="1">VLOOKUP($C756,OFFSET([1]quests!$A$1,0,0,COUNTA([1]quests!$A:$A),MATCH(D$1,[1]quests!$1:$1,0)-MATCH($C$1,[1]quests!$1:$1,0)+1),MATCH(D$1,[1]quests!$1:$1,0)-MATCH($C$1,[1]quests!$1:$1,0)+1,FALSE)</f>
        <v>悪夢の一目惚れ</v>
      </c>
      <c r="E756" s="3" t="str">
        <f ca="1">VLOOKUP($C756,OFFSET([1]quests!$A$1,0,0,COUNTA([1]quests!$A:$A),MATCH(E$1,[1]quests!$1:$1,0)-MATCH($C$1,[1]quests!$1:$1,0)+1),MATCH(E$1,[1]quests!$1:$1,0)-MATCH($C$1,[1]quests!$1:$1,0)+1,FALSE)</f>
        <v>ドロップイベント3</v>
      </c>
      <c r="F756" s="5">
        <v>3</v>
      </c>
      <c r="G756" s="3" t="str">
        <f ca="1">VLOOKUP($C756&amp;"_"&amp;$F756,OFFSET([1]stages!$A$1,0,0,COUNTA([1]stages!$A:$A),MATCH(G$1,[1]stages!$2:$2,0)-MATCH("temp_stage",[1]stages!$2:$2,0)+1),MATCH(G$1,[1]stages!$2:$2,0)-MATCH("temp_stage",[1]stages!$2:$2,0)+1,FALSE)</f>
        <v>【上級】悪夢の一目惚れ</v>
      </c>
      <c r="H756" s="3" t="str">
        <f ca="1">VLOOKUP($C756&amp;"_"&amp;$F756,OFFSET([1]stages!$A$1,0,0,COUNTA([1]stages!$A:$A),MATCH(H$1,[1]stages!$2:$2,0)-MATCH("temp_stage",[1]stages!$2:$2,0)+1),MATCH(H$1,[1]stages!$2:$2,0)-MATCH("temp_stage",[1]stages!$2:$2,0)+1,FALSE)</f>
        <v>ドロップイベント3</v>
      </c>
      <c r="I756" s="18">
        <v>0</v>
      </c>
      <c r="J756" s="5">
        <f>COUNTIF(C$1:C756,C756)</f>
        <v>29</v>
      </c>
      <c r="K756" s="34">
        <v>33</v>
      </c>
      <c r="L756" s="5" t="s">
        <v>17</v>
      </c>
      <c r="M756" s="38" t="str">
        <f>VLOOKUP(K756,[2]stage_hints!$A:$C,3,FALSE)</f>
        <v>敵のカウンター攻撃には</v>
      </c>
      <c r="N756" s="39" t="str">
        <f>VLOOKUP(K756,[2]stage_hints!$A:$D,4,FALSE)</f>
        <v>カウンターブレイクスキルを持っていれば
敵のカウンターを解除して攻撃ができます</v>
      </c>
      <c r="O756" s="20" t="s">
        <v>24</v>
      </c>
      <c r="P756">
        <v>33</v>
      </c>
    </row>
    <row r="757" spans="1:16" x14ac:dyDescent="0.15">
      <c r="A757" s="27" t="str">
        <f t="shared" si="75"/>
        <v>20010_3_30</v>
      </c>
      <c r="B757" s="25" t="s">
        <v>34</v>
      </c>
      <c r="C757" s="4">
        <v>20010</v>
      </c>
      <c r="D757" s="3" t="str">
        <f ca="1">VLOOKUP($C757,OFFSET([1]quests!$A$1,0,0,COUNTA([1]quests!$A:$A),MATCH(D$1,[1]quests!$1:$1,0)-MATCH($C$1,[1]quests!$1:$1,0)+1),MATCH(D$1,[1]quests!$1:$1,0)-MATCH($C$1,[1]quests!$1:$1,0)+1,FALSE)</f>
        <v>悪夢の一目惚れ</v>
      </c>
      <c r="E757" s="3" t="str">
        <f ca="1">VLOOKUP($C757,OFFSET([1]quests!$A$1,0,0,COUNTA([1]quests!$A:$A),MATCH(E$1,[1]quests!$1:$1,0)-MATCH($C$1,[1]quests!$1:$1,0)+1),MATCH(E$1,[1]quests!$1:$1,0)-MATCH($C$1,[1]quests!$1:$1,0)+1,FALSE)</f>
        <v>ドロップイベント3</v>
      </c>
      <c r="F757" s="5">
        <v>3</v>
      </c>
      <c r="G757" s="3" t="str">
        <f ca="1">VLOOKUP($C757&amp;"_"&amp;$F757,OFFSET([1]stages!$A$1,0,0,COUNTA([1]stages!$A:$A),MATCH(G$1,[1]stages!$2:$2,0)-MATCH("temp_stage",[1]stages!$2:$2,0)+1),MATCH(G$1,[1]stages!$2:$2,0)-MATCH("temp_stage",[1]stages!$2:$2,0)+1,FALSE)</f>
        <v>【上級】悪夢の一目惚れ</v>
      </c>
      <c r="H757" s="3" t="str">
        <f ca="1">VLOOKUP($C757&amp;"_"&amp;$F757,OFFSET([1]stages!$A$1,0,0,COUNTA([1]stages!$A:$A),MATCH(H$1,[1]stages!$2:$2,0)-MATCH("temp_stage",[1]stages!$2:$2,0)+1),MATCH(H$1,[1]stages!$2:$2,0)-MATCH("temp_stage",[1]stages!$2:$2,0)+1,FALSE)</f>
        <v>ドロップイベント3</v>
      </c>
      <c r="I757" s="18">
        <v>0</v>
      </c>
      <c r="J757" s="5">
        <f>COUNTIF(C$1:C757,C757)</f>
        <v>30</v>
      </c>
      <c r="K757" s="34">
        <v>34</v>
      </c>
      <c r="L757" s="5" t="s">
        <v>17</v>
      </c>
      <c r="M757" s="38" t="str">
        <f>VLOOKUP(K757,[2]stage_hints!$A:$C,3,FALSE)</f>
        <v>ステータスをスキルで下げられたら</v>
      </c>
      <c r="N757" s="39" t="str">
        <f>VLOOKUP(K757,[2]stage_hints!$A:$D,4,FALSE)</f>
        <v>ステータスダウンのスキルを受けたら
ステータスアップスキルで上書きしましょう</v>
      </c>
      <c r="O757" s="20" t="s">
        <v>24</v>
      </c>
      <c r="P757">
        <v>34</v>
      </c>
    </row>
    <row r="758" spans="1:16" x14ac:dyDescent="0.15">
      <c r="A758" s="27" t="str">
        <f t="shared" si="75"/>
        <v>20010_3_31</v>
      </c>
      <c r="B758" s="25" t="s">
        <v>34</v>
      </c>
      <c r="C758" s="4">
        <v>20010</v>
      </c>
      <c r="D758" s="3" t="str">
        <f ca="1">VLOOKUP($C758,OFFSET([1]quests!$A$1,0,0,COUNTA([1]quests!$A:$A),MATCH(D$1,[1]quests!$1:$1,0)-MATCH($C$1,[1]quests!$1:$1,0)+1),MATCH(D$1,[1]quests!$1:$1,0)-MATCH($C$1,[1]quests!$1:$1,0)+1,FALSE)</f>
        <v>悪夢の一目惚れ</v>
      </c>
      <c r="E758" s="3" t="str">
        <f ca="1">VLOOKUP($C758,OFFSET([1]quests!$A$1,0,0,COUNTA([1]quests!$A:$A),MATCH(E$1,[1]quests!$1:$1,0)-MATCH($C$1,[1]quests!$1:$1,0)+1),MATCH(E$1,[1]quests!$1:$1,0)-MATCH($C$1,[1]quests!$1:$1,0)+1,FALSE)</f>
        <v>ドロップイベント3</v>
      </c>
      <c r="F758" s="5">
        <v>3</v>
      </c>
      <c r="G758" s="3" t="str">
        <f ca="1">VLOOKUP($C758&amp;"_"&amp;$F758,OFFSET([1]stages!$A$1,0,0,COUNTA([1]stages!$A:$A),MATCH(G$1,[1]stages!$2:$2,0)-MATCH("temp_stage",[1]stages!$2:$2,0)+1),MATCH(G$1,[1]stages!$2:$2,0)-MATCH("temp_stage",[1]stages!$2:$2,0)+1,FALSE)</f>
        <v>【上級】悪夢の一目惚れ</v>
      </c>
      <c r="H758" s="3" t="str">
        <f ca="1">VLOOKUP($C758&amp;"_"&amp;$F758,OFFSET([1]stages!$A$1,0,0,COUNTA([1]stages!$A:$A),MATCH(H$1,[1]stages!$2:$2,0)-MATCH("temp_stage",[1]stages!$2:$2,0)+1),MATCH(H$1,[1]stages!$2:$2,0)-MATCH("temp_stage",[1]stages!$2:$2,0)+1,FALSE)</f>
        <v>ドロップイベント3</v>
      </c>
      <c r="I758" s="18">
        <v>0</v>
      </c>
      <c r="J758" s="5">
        <f>COUNTIF(C$1:C758,C758)</f>
        <v>31</v>
      </c>
      <c r="K758" s="34">
        <v>35</v>
      </c>
      <c r="L758" s="5" t="s">
        <v>17</v>
      </c>
      <c r="M758" s="38" t="str">
        <f>VLOOKUP(K758,[2]stage_hints!$A:$C,3,FALSE)</f>
        <v>敵のステータスがスキルで上がったら</v>
      </c>
      <c r="N758" s="39" t="str">
        <f>VLOOKUP(K758,[2]stage_hints!$A:$D,4,FALSE)</f>
        <v>敵のステータスがスキルでアップしたときは
ステータスダウンスキルで上書きしましょう</v>
      </c>
      <c r="O758" s="20" t="s">
        <v>24</v>
      </c>
      <c r="P758">
        <v>35</v>
      </c>
    </row>
    <row r="759" spans="1:16" x14ac:dyDescent="0.15">
      <c r="A759" s="27" t="str">
        <f t="shared" si="75"/>
        <v>20010_3_32</v>
      </c>
      <c r="B759" s="25" t="s">
        <v>34</v>
      </c>
      <c r="C759" s="4">
        <v>20010</v>
      </c>
      <c r="D759" s="3" t="str">
        <f ca="1">VLOOKUP($C759,OFFSET([1]quests!$A$1,0,0,COUNTA([1]quests!$A:$A),MATCH(D$1,[1]quests!$1:$1,0)-MATCH($C$1,[1]quests!$1:$1,0)+1),MATCH(D$1,[1]quests!$1:$1,0)-MATCH($C$1,[1]quests!$1:$1,0)+1,FALSE)</f>
        <v>悪夢の一目惚れ</v>
      </c>
      <c r="E759" s="3" t="str">
        <f ca="1">VLOOKUP($C759,OFFSET([1]quests!$A$1,0,0,COUNTA([1]quests!$A:$A),MATCH(E$1,[1]quests!$1:$1,0)-MATCH($C$1,[1]quests!$1:$1,0)+1),MATCH(E$1,[1]quests!$1:$1,0)-MATCH($C$1,[1]quests!$1:$1,0)+1,FALSE)</f>
        <v>ドロップイベント3</v>
      </c>
      <c r="F759" s="5">
        <v>3</v>
      </c>
      <c r="G759" s="3" t="str">
        <f ca="1">VLOOKUP($C759&amp;"_"&amp;$F759,OFFSET([1]stages!$A$1,0,0,COUNTA([1]stages!$A:$A),MATCH(G$1,[1]stages!$2:$2,0)-MATCH("temp_stage",[1]stages!$2:$2,0)+1),MATCH(G$1,[1]stages!$2:$2,0)-MATCH("temp_stage",[1]stages!$2:$2,0)+1,FALSE)</f>
        <v>【上級】悪夢の一目惚れ</v>
      </c>
      <c r="H759" s="3" t="str">
        <f ca="1">VLOOKUP($C759&amp;"_"&amp;$F759,OFFSET([1]stages!$A$1,0,0,COUNTA([1]stages!$A:$A),MATCH(H$1,[1]stages!$2:$2,0)-MATCH("temp_stage",[1]stages!$2:$2,0)+1),MATCH(H$1,[1]stages!$2:$2,0)-MATCH("temp_stage",[1]stages!$2:$2,0)+1,FALSE)</f>
        <v>ドロップイベント3</v>
      </c>
      <c r="I759" s="18">
        <v>0</v>
      </c>
      <c r="J759" s="5">
        <f>COUNTIF(C$1:C759,C759)</f>
        <v>32</v>
      </c>
      <c r="K759" s="34">
        <v>36</v>
      </c>
      <c r="L759" s="5" t="s">
        <v>17</v>
      </c>
      <c r="M759" s="38" t="str">
        <f>VLOOKUP(K759,[2]stage_hints!$A:$C,3,FALSE)</f>
        <v>チャレンジタワーのボス</v>
      </c>
      <c r="N759" s="39" t="str">
        <f>VLOOKUP(K759,[2]stage_hints!$A:$D,4,FALSE)</f>
        <v>チャレンジタワーでのみ登場するボスは
一定確率で獲得することができます</v>
      </c>
      <c r="O759" s="20" t="s">
        <v>24</v>
      </c>
      <c r="P759">
        <v>36</v>
      </c>
    </row>
    <row r="760" spans="1:16" x14ac:dyDescent="0.15">
      <c r="A760" s="27" t="str">
        <f t="shared" si="75"/>
        <v>20010_3_33</v>
      </c>
      <c r="B760" s="25" t="s">
        <v>34</v>
      </c>
      <c r="C760" s="4">
        <v>20010</v>
      </c>
      <c r="D760" s="3" t="str">
        <f ca="1">VLOOKUP($C760,OFFSET([1]quests!$A$1,0,0,COUNTA([1]quests!$A:$A),MATCH(D$1,[1]quests!$1:$1,0)-MATCH($C$1,[1]quests!$1:$1,0)+1),MATCH(D$1,[1]quests!$1:$1,0)-MATCH($C$1,[1]quests!$1:$1,0)+1,FALSE)</f>
        <v>悪夢の一目惚れ</v>
      </c>
      <c r="E760" s="3" t="str">
        <f ca="1">VLOOKUP($C760,OFFSET([1]quests!$A$1,0,0,COUNTA([1]quests!$A:$A),MATCH(E$1,[1]quests!$1:$1,0)-MATCH($C$1,[1]quests!$1:$1,0)+1),MATCH(E$1,[1]quests!$1:$1,0)-MATCH($C$1,[1]quests!$1:$1,0)+1,FALSE)</f>
        <v>ドロップイベント3</v>
      </c>
      <c r="F760" s="5">
        <v>3</v>
      </c>
      <c r="G760" s="3" t="str">
        <f ca="1">VLOOKUP($C760&amp;"_"&amp;$F760,OFFSET([1]stages!$A$1,0,0,COUNTA([1]stages!$A:$A),MATCH(G$1,[1]stages!$2:$2,0)-MATCH("temp_stage",[1]stages!$2:$2,0)+1),MATCH(G$1,[1]stages!$2:$2,0)-MATCH("temp_stage",[1]stages!$2:$2,0)+1,FALSE)</f>
        <v>【上級】悪夢の一目惚れ</v>
      </c>
      <c r="H760" s="3" t="str">
        <f ca="1">VLOOKUP($C760&amp;"_"&amp;$F760,OFFSET([1]stages!$A$1,0,0,COUNTA([1]stages!$A:$A),MATCH(H$1,[1]stages!$2:$2,0)-MATCH("temp_stage",[1]stages!$2:$2,0)+1),MATCH(H$1,[1]stages!$2:$2,0)-MATCH("temp_stage",[1]stages!$2:$2,0)+1,FALSE)</f>
        <v>ドロップイベント3</v>
      </c>
      <c r="I760" s="18">
        <v>0</v>
      </c>
      <c r="J760" s="5">
        <f>COUNTIF(C$1:C760,C760)</f>
        <v>33</v>
      </c>
      <c r="K760" s="34">
        <v>37</v>
      </c>
      <c r="L760" s="5" t="s">
        <v>17</v>
      </c>
      <c r="M760" s="38" t="str">
        <f>VLOOKUP(K760,[2]stage_hints!$A:$C,3,FALSE)</f>
        <v>限界突破値の引き継ぎ</v>
      </c>
      <c r="N760" s="39" t="str">
        <f>VLOOKUP(K760,[2]stage_hints!$A:$D,4,FALSE)</f>
        <v>同じユニットを強化で合成すると
限界突破値を引き継げます（覚醒前後も可）</v>
      </c>
      <c r="O760" s="20" t="s">
        <v>24</v>
      </c>
      <c r="P760">
        <v>37</v>
      </c>
    </row>
    <row r="761" spans="1:16" x14ac:dyDescent="0.15">
      <c r="A761" s="27" t="str">
        <f t="shared" si="75"/>
        <v>20011_3_1</v>
      </c>
      <c r="B761" s="25" t="s">
        <v>34</v>
      </c>
      <c r="C761" s="4">
        <v>20011</v>
      </c>
      <c r="D761" s="3" t="str">
        <f ca="1">VLOOKUP($C761,OFFSET([1]quests!$A$1,0,0,COUNTA([1]quests!$A:$A),MATCH(D$1,[1]quests!$1:$1,0)-MATCH($C$1,[1]quests!$1:$1,0)+1),MATCH(D$1,[1]quests!$1:$1,0)-MATCH($C$1,[1]quests!$1:$1,0)+1,FALSE)</f>
        <v>すべてが灰になる</v>
      </c>
      <c r="E761" s="3" t="str">
        <f ca="1">VLOOKUP($C761,OFFSET([1]quests!$A$1,0,0,COUNTA([1]quests!$A:$A),MATCH(E$1,[1]quests!$1:$1,0)-MATCH($C$1,[1]quests!$1:$1,0)+1),MATCH(E$1,[1]quests!$1:$1,0)-MATCH($C$1,[1]quests!$1:$1,0)+1,FALSE)</f>
        <v>ドロップイベント3</v>
      </c>
      <c r="F761" s="5">
        <v>3</v>
      </c>
      <c r="G761" s="3" t="str">
        <f ca="1">VLOOKUP($C761&amp;"_"&amp;$F761,OFFSET([1]stages!$A$1,0,0,COUNTA([1]stages!$A:$A),MATCH(G$1,[1]stages!$2:$2,0)-MATCH("temp_stage",[1]stages!$2:$2,0)+1),MATCH(G$1,[1]stages!$2:$2,0)-MATCH("temp_stage",[1]stages!$2:$2,0)+1,FALSE)</f>
        <v>【上級】すべてが灰になる</v>
      </c>
      <c r="H761" s="3" t="str">
        <f ca="1">VLOOKUP($C761&amp;"_"&amp;$F761,OFFSET([1]stages!$A$1,0,0,COUNTA([1]stages!$A:$A),MATCH(H$1,[1]stages!$2:$2,0)-MATCH("temp_stage",[1]stages!$2:$2,0)+1),MATCH(H$1,[1]stages!$2:$2,0)-MATCH("temp_stage",[1]stages!$2:$2,0)+1,FALSE)</f>
        <v>ドロップイベント3</v>
      </c>
      <c r="I761" s="18">
        <v>0</v>
      </c>
      <c r="J761" s="5">
        <f>COUNTIF(C$1:C761,C761)</f>
        <v>1</v>
      </c>
      <c r="K761" s="34">
        <v>3</v>
      </c>
      <c r="L761" s="5" t="s">
        <v>17</v>
      </c>
      <c r="M761" s="38" t="str">
        <f>VLOOKUP(K761,[2]stage_hints!$A:$C,3,FALSE)</f>
        <v>ターゲット</v>
      </c>
      <c r="N761" s="39" t="str">
        <f>VLOOKUP(K761,[2]stage_hints!$A:$D,4,FALSE)</f>
        <v>敵ユニットをタップすると
その敵を狙い撃ちできます</v>
      </c>
      <c r="O761" s="20" t="s">
        <v>24</v>
      </c>
      <c r="P761">
        <v>3</v>
      </c>
    </row>
    <row r="762" spans="1:16" x14ac:dyDescent="0.15">
      <c r="A762" s="27" t="str">
        <f t="shared" si="75"/>
        <v>20011_3_2</v>
      </c>
      <c r="B762" s="25" t="s">
        <v>34</v>
      </c>
      <c r="C762" s="4">
        <v>20011</v>
      </c>
      <c r="D762" s="3" t="str">
        <f ca="1">VLOOKUP($C762,OFFSET([1]quests!$A$1,0,0,COUNTA([1]quests!$A:$A),MATCH(D$1,[1]quests!$1:$1,0)-MATCH($C$1,[1]quests!$1:$1,0)+1),MATCH(D$1,[1]quests!$1:$1,0)-MATCH($C$1,[1]quests!$1:$1,0)+1,FALSE)</f>
        <v>すべてが灰になる</v>
      </c>
      <c r="E762" s="3" t="str">
        <f ca="1">VLOOKUP($C762,OFFSET([1]quests!$A$1,0,0,COUNTA([1]quests!$A:$A),MATCH(E$1,[1]quests!$1:$1,0)-MATCH($C$1,[1]quests!$1:$1,0)+1),MATCH(E$1,[1]quests!$1:$1,0)-MATCH($C$1,[1]quests!$1:$1,0)+1,FALSE)</f>
        <v>ドロップイベント3</v>
      </c>
      <c r="F762" s="5">
        <v>3</v>
      </c>
      <c r="G762" s="3" t="str">
        <f ca="1">VLOOKUP($C762&amp;"_"&amp;$F762,OFFSET([1]stages!$A$1,0,0,COUNTA([1]stages!$A:$A),MATCH(G$1,[1]stages!$2:$2,0)-MATCH("temp_stage",[1]stages!$2:$2,0)+1),MATCH(G$1,[1]stages!$2:$2,0)-MATCH("temp_stage",[1]stages!$2:$2,0)+1,FALSE)</f>
        <v>【上級】すべてが灰になる</v>
      </c>
      <c r="H762" s="3" t="str">
        <f ca="1">VLOOKUP($C762&amp;"_"&amp;$F762,OFFSET([1]stages!$A$1,0,0,COUNTA([1]stages!$A:$A),MATCH(H$1,[1]stages!$2:$2,0)-MATCH("temp_stage",[1]stages!$2:$2,0)+1),MATCH(H$1,[1]stages!$2:$2,0)-MATCH("temp_stage",[1]stages!$2:$2,0)+1,FALSE)</f>
        <v>ドロップイベント3</v>
      </c>
      <c r="I762" s="18">
        <v>0</v>
      </c>
      <c r="J762" s="5">
        <f>COUNTIF(C$1:C762,C762)</f>
        <v>2</v>
      </c>
      <c r="K762" s="34">
        <v>6</v>
      </c>
      <c r="L762" s="5" t="s">
        <v>17</v>
      </c>
      <c r="M762" s="38" t="str">
        <f>VLOOKUP(K762,[2]stage_hints!$A:$C,3,FALSE)</f>
        <v>ユニット強化の属性ボーナス</v>
      </c>
      <c r="N762" s="39" t="str">
        <f>VLOOKUP(K762,[2]stage_hints!$A:$D,4,FALSE)</f>
        <v>同属性ユニットを強化素材にすると
経験値が多くもらえます</v>
      </c>
      <c r="O762" s="20" t="s">
        <v>24</v>
      </c>
      <c r="P762">
        <v>6</v>
      </c>
    </row>
    <row r="763" spans="1:16" x14ac:dyDescent="0.15">
      <c r="A763" s="27" t="str">
        <f t="shared" si="75"/>
        <v>20011_3_3</v>
      </c>
      <c r="B763" s="25" t="s">
        <v>34</v>
      </c>
      <c r="C763" s="4">
        <v>20011</v>
      </c>
      <c r="D763" s="3" t="str">
        <f ca="1">VLOOKUP($C763,OFFSET([1]quests!$A$1,0,0,COUNTA([1]quests!$A:$A),MATCH(D$1,[1]quests!$1:$1,0)-MATCH($C$1,[1]quests!$1:$1,0)+1),MATCH(D$1,[1]quests!$1:$1,0)-MATCH($C$1,[1]quests!$1:$1,0)+1,FALSE)</f>
        <v>すべてが灰になる</v>
      </c>
      <c r="E763" s="3" t="str">
        <f ca="1">VLOOKUP($C763,OFFSET([1]quests!$A$1,0,0,COUNTA([1]quests!$A:$A),MATCH(E$1,[1]quests!$1:$1,0)-MATCH($C$1,[1]quests!$1:$1,0)+1),MATCH(E$1,[1]quests!$1:$1,0)-MATCH($C$1,[1]quests!$1:$1,0)+1,FALSE)</f>
        <v>ドロップイベント3</v>
      </c>
      <c r="F763" s="5">
        <v>3</v>
      </c>
      <c r="G763" s="3" t="str">
        <f ca="1">VLOOKUP($C763&amp;"_"&amp;$F763,OFFSET([1]stages!$A$1,0,0,COUNTA([1]stages!$A:$A),MATCH(G$1,[1]stages!$2:$2,0)-MATCH("temp_stage",[1]stages!$2:$2,0)+1),MATCH(G$1,[1]stages!$2:$2,0)-MATCH("temp_stage",[1]stages!$2:$2,0)+1,FALSE)</f>
        <v>【上級】すべてが灰になる</v>
      </c>
      <c r="H763" s="3" t="str">
        <f ca="1">VLOOKUP($C763&amp;"_"&amp;$F763,OFFSET([1]stages!$A$1,0,0,COUNTA([1]stages!$A:$A),MATCH(H$1,[1]stages!$2:$2,0)-MATCH("temp_stage",[1]stages!$2:$2,0)+1),MATCH(H$1,[1]stages!$2:$2,0)-MATCH("temp_stage",[1]stages!$2:$2,0)+1,FALSE)</f>
        <v>ドロップイベント3</v>
      </c>
      <c r="I763" s="18">
        <v>0</v>
      </c>
      <c r="J763" s="5">
        <f>COUNTIF(C$1:C763,C763)</f>
        <v>3</v>
      </c>
      <c r="K763" s="34">
        <v>7</v>
      </c>
      <c r="L763" s="5" t="s">
        <v>17</v>
      </c>
      <c r="M763" s="38" t="str">
        <f>VLOOKUP(K763,[2]stage_hints!$A:$C,3,FALSE)</f>
        <v>メタルダックで経験値を獲得</v>
      </c>
      <c r="N763" s="39" t="str">
        <f>VLOOKUP(K763,[2]stage_hints!$A:$D,4,FALSE)</f>
        <v>「メタルなアヒル」を強化素材にすると
大量の経験値がもらえます</v>
      </c>
      <c r="O763" s="20" t="s">
        <v>24</v>
      </c>
      <c r="P763">
        <v>7</v>
      </c>
    </row>
    <row r="764" spans="1:16" x14ac:dyDescent="0.15">
      <c r="A764" s="27" t="str">
        <f t="shared" si="75"/>
        <v>20011_3_4</v>
      </c>
      <c r="B764" s="25" t="s">
        <v>34</v>
      </c>
      <c r="C764" s="4">
        <v>20011</v>
      </c>
      <c r="D764" s="3" t="str">
        <f ca="1">VLOOKUP($C764,OFFSET([1]quests!$A$1,0,0,COUNTA([1]quests!$A:$A),MATCH(D$1,[1]quests!$1:$1,0)-MATCH($C$1,[1]quests!$1:$1,0)+1),MATCH(D$1,[1]quests!$1:$1,0)-MATCH($C$1,[1]quests!$1:$1,0)+1,FALSE)</f>
        <v>すべてが灰になる</v>
      </c>
      <c r="E764" s="3" t="str">
        <f ca="1">VLOOKUP($C764,OFFSET([1]quests!$A$1,0,0,COUNTA([1]quests!$A:$A),MATCH(E$1,[1]quests!$1:$1,0)-MATCH($C$1,[1]quests!$1:$1,0)+1),MATCH(E$1,[1]quests!$1:$1,0)-MATCH($C$1,[1]quests!$1:$1,0)+1,FALSE)</f>
        <v>ドロップイベント3</v>
      </c>
      <c r="F764" s="5">
        <v>3</v>
      </c>
      <c r="G764" s="3" t="str">
        <f ca="1">VLOOKUP($C764&amp;"_"&amp;$F764,OFFSET([1]stages!$A$1,0,0,COUNTA([1]stages!$A:$A),MATCH(G$1,[1]stages!$2:$2,0)-MATCH("temp_stage",[1]stages!$2:$2,0)+1),MATCH(G$1,[1]stages!$2:$2,0)-MATCH("temp_stage",[1]stages!$2:$2,0)+1,FALSE)</f>
        <v>【上級】すべてが灰になる</v>
      </c>
      <c r="H764" s="3" t="str">
        <f ca="1">VLOOKUP($C764&amp;"_"&amp;$F764,OFFSET([1]stages!$A$1,0,0,COUNTA([1]stages!$A:$A),MATCH(H$1,[1]stages!$2:$2,0)-MATCH("temp_stage",[1]stages!$2:$2,0)+1),MATCH(H$1,[1]stages!$2:$2,0)-MATCH("temp_stage",[1]stages!$2:$2,0)+1,FALSE)</f>
        <v>ドロップイベント3</v>
      </c>
      <c r="I764" s="18">
        <v>0</v>
      </c>
      <c r="J764" s="5">
        <f>COUNTIF(C$1:C764,C764)</f>
        <v>4</v>
      </c>
      <c r="K764" s="34">
        <v>8</v>
      </c>
      <c r="L764" s="5" t="s">
        <v>17</v>
      </c>
      <c r="M764" s="38" t="str">
        <f>VLOOKUP(K764,[2]stage_hints!$A:$C,3,FALSE)</f>
        <v>ゲリラクエストは要チェック</v>
      </c>
      <c r="N764" s="39" t="str">
        <f>VLOOKUP(K764,[2]stage_hints!$A:$D,4,FALSE)</f>
        <v>時間限定の「アヒル捕獲作戦」では
経験値素材ユニットが多く手に入ります</v>
      </c>
      <c r="O764" s="20" t="s">
        <v>24</v>
      </c>
      <c r="P764">
        <v>8</v>
      </c>
    </row>
    <row r="765" spans="1:16" x14ac:dyDescent="0.15">
      <c r="A765" s="27" t="str">
        <f t="shared" si="75"/>
        <v>20011_3_5</v>
      </c>
      <c r="B765" s="25" t="s">
        <v>34</v>
      </c>
      <c r="C765" s="4">
        <v>20011</v>
      </c>
      <c r="D765" s="3" t="str">
        <f ca="1">VLOOKUP($C765,OFFSET([1]quests!$A$1,0,0,COUNTA([1]quests!$A:$A),MATCH(D$1,[1]quests!$1:$1,0)-MATCH($C$1,[1]quests!$1:$1,0)+1),MATCH(D$1,[1]quests!$1:$1,0)-MATCH($C$1,[1]quests!$1:$1,0)+1,FALSE)</f>
        <v>すべてが灰になる</v>
      </c>
      <c r="E765" s="3" t="str">
        <f ca="1">VLOOKUP($C765,OFFSET([1]quests!$A$1,0,0,COUNTA([1]quests!$A:$A),MATCH(E$1,[1]quests!$1:$1,0)-MATCH($C$1,[1]quests!$1:$1,0)+1),MATCH(E$1,[1]quests!$1:$1,0)-MATCH($C$1,[1]quests!$1:$1,0)+1,FALSE)</f>
        <v>ドロップイベント3</v>
      </c>
      <c r="F765" s="5">
        <v>3</v>
      </c>
      <c r="G765" s="3" t="str">
        <f ca="1">VLOOKUP($C765&amp;"_"&amp;$F765,OFFSET([1]stages!$A$1,0,0,COUNTA([1]stages!$A:$A),MATCH(G$1,[1]stages!$2:$2,0)-MATCH("temp_stage",[1]stages!$2:$2,0)+1),MATCH(G$1,[1]stages!$2:$2,0)-MATCH("temp_stage",[1]stages!$2:$2,0)+1,FALSE)</f>
        <v>【上級】すべてが灰になる</v>
      </c>
      <c r="H765" s="3" t="str">
        <f ca="1">VLOOKUP($C765&amp;"_"&amp;$F765,OFFSET([1]stages!$A$1,0,0,COUNTA([1]stages!$A:$A),MATCH(H$1,[1]stages!$2:$2,0)-MATCH("temp_stage",[1]stages!$2:$2,0)+1),MATCH(H$1,[1]stages!$2:$2,0)-MATCH("temp_stage",[1]stages!$2:$2,0)+1,FALSE)</f>
        <v>ドロップイベント3</v>
      </c>
      <c r="I765" s="18">
        <v>0</v>
      </c>
      <c r="J765" s="5">
        <f>COUNTIF(C$1:C765,C765)</f>
        <v>5</v>
      </c>
      <c r="K765" s="34">
        <v>9</v>
      </c>
      <c r="L765" s="5" t="s">
        <v>17</v>
      </c>
      <c r="M765" s="38" t="str">
        <f>VLOOKUP(K765,[2]stage_hints!$A:$C,3,FALSE)</f>
        <v>ゴールドダックでビットを獲得</v>
      </c>
      <c r="N765" s="39" t="str">
        <f>VLOOKUP(K765,[2]stage_hints!$A:$D,4,FALSE)</f>
        <v>「ゴールドなアヒル」を売却すると
大量のビットがもらえます</v>
      </c>
      <c r="O765" s="20" t="s">
        <v>24</v>
      </c>
      <c r="P765">
        <v>9</v>
      </c>
    </row>
    <row r="766" spans="1:16" x14ac:dyDescent="0.15">
      <c r="A766" s="27" t="str">
        <f t="shared" si="75"/>
        <v>20011_3_6</v>
      </c>
      <c r="B766" s="25" t="s">
        <v>34</v>
      </c>
      <c r="C766" s="4">
        <v>20011</v>
      </c>
      <c r="D766" s="3" t="str">
        <f ca="1">VLOOKUP($C766,OFFSET([1]quests!$A$1,0,0,COUNTA([1]quests!$A:$A),MATCH(D$1,[1]quests!$1:$1,0)-MATCH($C$1,[1]quests!$1:$1,0)+1),MATCH(D$1,[1]quests!$1:$1,0)-MATCH($C$1,[1]quests!$1:$1,0)+1,FALSE)</f>
        <v>すべてが灰になる</v>
      </c>
      <c r="E766" s="3" t="str">
        <f ca="1">VLOOKUP($C766,OFFSET([1]quests!$A$1,0,0,COUNTA([1]quests!$A:$A),MATCH(E$1,[1]quests!$1:$1,0)-MATCH($C$1,[1]quests!$1:$1,0)+1),MATCH(E$1,[1]quests!$1:$1,0)-MATCH($C$1,[1]quests!$1:$1,0)+1,FALSE)</f>
        <v>ドロップイベント3</v>
      </c>
      <c r="F766" s="5">
        <v>3</v>
      </c>
      <c r="G766" s="3" t="str">
        <f ca="1">VLOOKUP($C766&amp;"_"&amp;$F766,OFFSET([1]stages!$A$1,0,0,COUNTA([1]stages!$A:$A),MATCH(G$1,[1]stages!$2:$2,0)-MATCH("temp_stage",[1]stages!$2:$2,0)+1),MATCH(G$1,[1]stages!$2:$2,0)-MATCH("temp_stage",[1]stages!$2:$2,0)+1,FALSE)</f>
        <v>【上級】すべてが灰になる</v>
      </c>
      <c r="H766" s="3" t="str">
        <f ca="1">VLOOKUP($C766&amp;"_"&amp;$F766,OFFSET([1]stages!$A$1,0,0,COUNTA([1]stages!$A:$A),MATCH(H$1,[1]stages!$2:$2,0)-MATCH("temp_stage",[1]stages!$2:$2,0)+1),MATCH(H$1,[1]stages!$2:$2,0)-MATCH("temp_stage",[1]stages!$2:$2,0)+1,FALSE)</f>
        <v>ドロップイベント3</v>
      </c>
      <c r="I766" s="18">
        <v>0</v>
      </c>
      <c r="J766" s="5">
        <f>COUNTIF(C$1:C766,C766)</f>
        <v>6</v>
      </c>
      <c r="K766" s="34">
        <v>10</v>
      </c>
      <c r="L766" s="5" t="s">
        <v>17</v>
      </c>
      <c r="M766" s="38" t="str">
        <f>VLOOKUP(K766,[2]stage_hints!$A:$C,3,FALSE)</f>
        <v>土日に大量のビットを獲得</v>
      </c>
      <c r="N766" s="39" t="str">
        <f>VLOOKUP(K766,[2]stage_hints!$A:$D,4,FALSE)</f>
        <v>土日限定の「ゴールドカジノ」では
売却素材ユニットが多く手に入ります</v>
      </c>
      <c r="O766" s="20" t="s">
        <v>24</v>
      </c>
      <c r="P766">
        <v>10</v>
      </c>
    </row>
    <row r="767" spans="1:16" x14ac:dyDescent="0.15">
      <c r="A767" s="27" t="str">
        <f t="shared" si="75"/>
        <v>20011_3_7</v>
      </c>
      <c r="B767" s="25" t="s">
        <v>34</v>
      </c>
      <c r="C767" s="4">
        <v>20011</v>
      </c>
      <c r="D767" s="3" t="str">
        <f ca="1">VLOOKUP($C767,OFFSET([1]quests!$A$1,0,0,COUNTA([1]quests!$A:$A),MATCH(D$1,[1]quests!$1:$1,0)-MATCH($C$1,[1]quests!$1:$1,0)+1),MATCH(D$1,[1]quests!$1:$1,0)-MATCH($C$1,[1]quests!$1:$1,0)+1,FALSE)</f>
        <v>すべてが灰になる</v>
      </c>
      <c r="E767" s="3" t="str">
        <f ca="1">VLOOKUP($C767,OFFSET([1]quests!$A$1,0,0,COUNTA([1]quests!$A:$A),MATCH(E$1,[1]quests!$1:$1,0)-MATCH($C$1,[1]quests!$1:$1,0)+1),MATCH(E$1,[1]quests!$1:$1,0)-MATCH($C$1,[1]quests!$1:$1,0)+1,FALSE)</f>
        <v>ドロップイベント3</v>
      </c>
      <c r="F767" s="5">
        <v>3</v>
      </c>
      <c r="G767" s="3" t="str">
        <f ca="1">VLOOKUP($C767&amp;"_"&amp;$F767,OFFSET([1]stages!$A$1,0,0,COUNTA([1]stages!$A:$A),MATCH(G$1,[1]stages!$2:$2,0)-MATCH("temp_stage",[1]stages!$2:$2,0)+1),MATCH(G$1,[1]stages!$2:$2,0)-MATCH("temp_stage",[1]stages!$2:$2,0)+1,FALSE)</f>
        <v>【上級】すべてが灰になる</v>
      </c>
      <c r="H767" s="3" t="str">
        <f ca="1">VLOOKUP($C767&amp;"_"&amp;$F767,OFFSET([1]stages!$A$1,0,0,COUNTA([1]stages!$A:$A),MATCH(H$1,[1]stages!$2:$2,0)-MATCH("temp_stage",[1]stages!$2:$2,0)+1),MATCH(H$1,[1]stages!$2:$2,0)-MATCH("temp_stage",[1]stages!$2:$2,0)+1,FALSE)</f>
        <v>ドロップイベント3</v>
      </c>
      <c r="I767" s="18">
        <v>0</v>
      </c>
      <c r="J767" s="5">
        <f>COUNTIF(C$1:C767,C767)</f>
        <v>7</v>
      </c>
      <c r="K767" s="34">
        <v>11</v>
      </c>
      <c r="L767" s="5" t="s">
        <v>17</v>
      </c>
      <c r="M767" s="38" t="str">
        <f>VLOOKUP(K767,[2]stage_hints!$A:$C,3,FALSE)</f>
        <v>ランク解放クエスト</v>
      </c>
      <c r="N767" s="39" t="str">
        <f>VLOOKUP(K767,[2]stage_hints!$A:$D,4,FALSE)</f>
        <v>一定ランクに到達すると
報酬付きのランク開放クエストが現れます</v>
      </c>
      <c r="O767" s="20" t="s">
        <v>24</v>
      </c>
      <c r="P767">
        <v>11</v>
      </c>
    </row>
    <row r="768" spans="1:16" x14ac:dyDescent="0.15">
      <c r="A768" s="27" t="str">
        <f t="shared" si="75"/>
        <v>20011_3_8</v>
      </c>
      <c r="B768" s="25" t="s">
        <v>34</v>
      </c>
      <c r="C768" s="4">
        <v>20011</v>
      </c>
      <c r="D768" s="3" t="str">
        <f ca="1">VLOOKUP($C768,OFFSET([1]quests!$A$1,0,0,COUNTA([1]quests!$A:$A),MATCH(D$1,[1]quests!$1:$1,0)-MATCH($C$1,[1]quests!$1:$1,0)+1),MATCH(D$1,[1]quests!$1:$1,0)-MATCH($C$1,[1]quests!$1:$1,0)+1,FALSE)</f>
        <v>すべてが灰になる</v>
      </c>
      <c r="E768" s="3" t="str">
        <f ca="1">VLOOKUP($C768,OFFSET([1]quests!$A$1,0,0,COUNTA([1]quests!$A:$A),MATCH(E$1,[1]quests!$1:$1,0)-MATCH($C$1,[1]quests!$1:$1,0)+1),MATCH(E$1,[1]quests!$1:$1,0)-MATCH($C$1,[1]quests!$1:$1,0)+1,FALSE)</f>
        <v>ドロップイベント3</v>
      </c>
      <c r="F768" s="5">
        <v>3</v>
      </c>
      <c r="G768" s="3" t="str">
        <f ca="1">VLOOKUP($C768&amp;"_"&amp;$F768,OFFSET([1]stages!$A$1,0,0,COUNTA([1]stages!$A:$A),MATCH(G$1,[1]stages!$2:$2,0)-MATCH("temp_stage",[1]stages!$2:$2,0)+1),MATCH(G$1,[1]stages!$2:$2,0)-MATCH("temp_stage",[1]stages!$2:$2,0)+1,FALSE)</f>
        <v>【上級】すべてが灰になる</v>
      </c>
      <c r="H768" s="3" t="str">
        <f ca="1">VLOOKUP($C768&amp;"_"&amp;$F768,OFFSET([1]stages!$A$1,0,0,COUNTA([1]stages!$A:$A),MATCH(H$1,[1]stages!$2:$2,0)-MATCH("temp_stage",[1]stages!$2:$2,0)+1),MATCH(H$1,[1]stages!$2:$2,0)-MATCH("temp_stage",[1]stages!$2:$2,0)+1,FALSE)</f>
        <v>ドロップイベント3</v>
      </c>
      <c r="I768" s="18">
        <v>0</v>
      </c>
      <c r="J768" s="5">
        <f>COUNTIF(C$1:C768,C768)</f>
        <v>8</v>
      </c>
      <c r="K768" s="34">
        <v>12</v>
      </c>
      <c r="L768" s="5" t="s">
        <v>17</v>
      </c>
      <c r="M768" s="38" t="str">
        <f>VLOOKUP(K768,[2]stage_hints!$A:$C,3,FALSE)</f>
        <v>ユニットのお気に入り登録</v>
      </c>
      <c r="N768" s="39" t="str">
        <f>VLOOKUP(K768,[2]stage_hints!$A:$D,4,FALSE)</f>
        <v>大事なユニットを誤って消さないように
フォルダから「お気に入り登録」しましょう</v>
      </c>
      <c r="O768" s="20" t="s">
        <v>24</v>
      </c>
      <c r="P768">
        <v>12</v>
      </c>
    </row>
    <row r="769" spans="1:16" x14ac:dyDescent="0.15">
      <c r="A769" s="27" t="str">
        <f t="shared" si="75"/>
        <v>20011_3_9</v>
      </c>
      <c r="B769" s="25" t="s">
        <v>34</v>
      </c>
      <c r="C769" s="4">
        <v>20011</v>
      </c>
      <c r="D769" s="3" t="str">
        <f ca="1">VLOOKUP($C769,OFFSET([1]quests!$A$1,0,0,COUNTA([1]quests!$A:$A),MATCH(D$1,[1]quests!$1:$1,0)-MATCH($C$1,[1]quests!$1:$1,0)+1),MATCH(D$1,[1]quests!$1:$1,0)-MATCH($C$1,[1]quests!$1:$1,0)+1,FALSE)</f>
        <v>すべてが灰になる</v>
      </c>
      <c r="E769" s="3" t="str">
        <f ca="1">VLOOKUP($C769,OFFSET([1]quests!$A$1,0,0,COUNTA([1]quests!$A:$A),MATCH(E$1,[1]quests!$1:$1,0)-MATCH($C$1,[1]quests!$1:$1,0)+1),MATCH(E$1,[1]quests!$1:$1,0)-MATCH($C$1,[1]quests!$1:$1,0)+1,FALSE)</f>
        <v>ドロップイベント3</v>
      </c>
      <c r="F769" s="5">
        <v>3</v>
      </c>
      <c r="G769" s="3" t="str">
        <f ca="1">VLOOKUP($C769&amp;"_"&amp;$F769,OFFSET([1]stages!$A$1,0,0,COUNTA([1]stages!$A:$A),MATCH(G$1,[1]stages!$2:$2,0)-MATCH("temp_stage",[1]stages!$2:$2,0)+1),MATCH(G$1,[1]stages!$2:$2,0)-MATCH("temp_stage",[1]stages!$2:$2,0)+1,FALSE)</f>
        <v>【上級】すべてが灰になる</v>
      </c>
      <c r="H769" s="3" t="str">
        <f ca="1">VLOOKUP($C769&amp;"_"&amp;$F769,OFFSET([1]stages!$A$1,0,0,COUNTA([1]stages!$A:$A),MATCH(H$1,[1]stages!$2:$2,0)-MATCH("temp_stage",[1]stages!$2:$2,0)+1),MATCH(H$1,[1]stages!$2:$2,0)-MATCH("temp_stage",[1]stages!$2:$2,0)+1,FALSE)</f>
        <v>ドロップイベント3</v>
      </c>
      <c r="I769" s="18">
        <v>0</v>
      </c>
      <c r="J769" s="5">
        <f>COUNTIF(C$1:C769,C769)</f>
        <v>9</v>
      </c>
      <c r="K769" s="34">
        <v>13</v>
      </c>
      <c r="L769" s="5" t="s">
        <v>17</v>
      </c>
      <c r="M769" s="38" t="str">
        <f>VLOOKUP(K769,[2]stage_hints!$A:$C,3,FALSE)</f>
        <v>ユニットの覚醒</v>
      </c>
      <c r="N769" s="39" t="str">
        <f>VLOOKUP(K769,[2]stage_hints!$A:$D,4,FALSE)</f>
        <v>ユニットを覚醒させると
比べものにならない強さが手に入ります</v>
      </c>
      <c r="O769" s="20" t="s">
        <v>24</v>
      </c>
      <c r="P769">
        <v>13</v>
      </c>
    </row>
    <row r="770" spans="1:16" x14ac:dyDescent="0.15">
      <c r="A770" s="27" t="str">
        <f t="shared" si="75"/>
        <v>20011_3_10</v>
      </c>
      <c r="B770" s="25" t="s">
        <v>34</v>
      </c>
      <c r="C770" s="4">
        <v>20011</v>
      </c>
      <c r="D770" s="3" t="str">
        <f ca="1">VLOOKUP($C770,OFFSET([1]quests!$A$1,0,0,COUNTA([1]quests!$A:$A),MATCH(D$1,[1]quests!$1:$1,0)-MATCH($C$1,[1]quests!$1:$1,0)+1),MATCH(D$1,[1]quests!$1:$1,0)-MATCH($C$1,[1]quests!$1:$1,0)+1,FALSE)</f>
        <v>すべてが灰になる</v>
      </c>
      <c r="E770" s="3" t="str">
        <f ca="1">VLOOKUP($C770,OFFSET([1]quests!$A$1,0,0,COUNTA([1]quests!$A:$A),MATCH(E$1,[1]quests!$1:$1,0)-MATCH($C$1,[1]quests!$1:$1,0)+1),MATCH(E$1,[1]quests!$1:$1,0)-MATCH($C$1,[1]quests!$1:$1,0)+1,FALSE)</f>
        <v>ドロップイベント3</v>
      </c>
      <c r="F770" s="5">
        <v>3</v>
      </c>
      <c r="G770" s="3" t="str">
        <f ca="1">VLOOKUP($C770&amp;"_"&amp;$F770,OFFSET([1]stages!$A$1,0,0,COUNTA([1]stages!$A:$A),MATCH(G$1,[1]stages!$2:$2,0)-MATCH("temp_stage",[1]stages!$2:$2,0)+1),MATCH(G$1,[1]stages!$2:$2,0)-MATCH("temp_stage",[1]stages!$2:$2,0)+1,FALSE)</f>
        <v>【上級】すべてが灰になる</v>
      </c>
      <c r="H770" s="3" t="str">
        <f ca="1">VLOOKUP($C770&amp;"_"&amp;$F770,OFFSET([1]stages!$A$1,0,0,COUNTA([1]stages!$A:$A),MATCH(H$1,[1]stages!$2:$2,0)-MATCH("temp_stage",[1]stages!$2:$2,0)+1),MATCH(H$1,[1]stages!$2:$2,0)-MATCH("temp_stage",[1]stages!$2:$2,0)+1,FALSE)</f>
        <v>ドロップイベント3</v>
      </c>
      <c r="I770" s="18">
        <v>0</v>
      </c>
      <c r="J770" s="5">
        <f>COUNTIF(C$1:C770,C770)</f>
        <v>10</v>
      </c>
      <c r="K770" s="34">
        <v>14</v>
      </c>
      <c r="L770" s="5" t="s">
        <v>17</v>
      </c>
      <c r="M770" s="38" t="str">
        <f>VLOOKUP(K770,[2]stage_hints!$A:$C,3,FALSE)</f>
        <v>覚醒するにはレベルを最大に</v>
      </c>
      <c r="N770" s="39" t="str">
        <f>VLOOKUP(K770,[2]stage_hints!$A:$D,4,FALSE)</f>
        <v>覚醒するにはユニットのレベルを
最大まで上げる必要があります</v>
      </c>
      <c r="O770" s="20" t="s">
        <v>24</v>
      </c>
      <c r="P770">
        <v>14</v>
      </c>
    </row>
    <row r="771" spans="1:16" x14ac:dyDescent="0.15">
      <c r="A771" s="27" t="str">
        <f t="shared" si="75"/>
        <v>20011_3_11</v>
      </c>
      <c r="B771" s="25" t="s">
        <v>34</v>
      </c>
      <c r="C771" s="4">
        <v>20011</v>
      </c>
      <c r="D771" s="3" t="str">
        <f ca="1">VLOOKUP($C771,OFFSET([1]quests!$A$1,0,0,COUNTA([1]quests!$A:$A),MATCH(D$1,[1]quests!$1:$1,0)-MATCH($C$1,[1]quests!$1:$1,0)+1),MATCH(D$1,[1]quests!$1:$1,0)-MATCH($C$1,[1]quests!$1:$1,0)+1,FALSE)</f>
        <v>すべてが灰になる</v>
      </c>
      <c r="E771" s="3" t="str">
        <f ca="1">VLOOKUP($C771,OFFSET([1]quests!$A$1,0,0,COUNTA([1]quests!$A:$A),MATCH(E$1,[1]quests!$1:$1,0)-MATCH($C$1,[1]quests!$1:$1,0)+1),MATCH(E$1,[1]quests!$1:$1,0)-MATCH($C$1,[1]quests!$1:$1,0)+1,FALSE)</f>
        <v>ドロップイベント3</v>
      </c>
      <c r="F771" s="5">
        <v>3</v>
      </c>
      <c r="G771" s="3" t="str">
        <f ca="1">VLOOKUP($C771&amp;"_"&amp;$F771,OFFSET([1]stages!$A$1,0,0,COUNTA([1]stages!$A:$A),MATCH(G$1,[1]stages!$2:$2,0)-MATCH("temp_stage",[1]stages!$2:$2,0)+1),MATCH(G$1,[1]stages!$2:$2,0)-MATCH("temp_stage",[1]stages!$2:$2,0)+1,FALSE)</f>
        <v>【上級】すべてが灰になる</v>
      </c>
      <c r="H771" s="3" t="str">
        <f ca="1">VLOOKUP($C771&amp;"_"&amp;$F771,OFFSET([1]stages!$A$1,0,0,COUNTA([1]stages!$A:$A),MATCH(H$1,[1]stages!$2:$2,0)-MATCH("temp_stage",[1]stages!$2:$2,0)+1),MATCH(H$1,[1]stages!$2:$2,0)-MATCH("temp_stage",[1]stages!$2:$2,0)+1,FALSE)</f>
        <v>ドロップイベント3</v>
      </c>
      <c r="I771" s="18">
        <v>0</v>
      </c>
      <c r="J771" s="5">
        <f>COUNTIF(C$1:C771,C771)</f>
        <v>11</v>
      </c>
      <c r="K771" s="34">
        <v>15</v>
      </c>
      <c r="L771" s="5" t="s">
        <v>17</v>
      </c>
      <c r="M771" s="38" t="str">
        <f>VLOOKUP(K771,[2]stage_hints!$A:$C,3,FALSE)</f>
        <v>覚醒素材を獲得</v>
      </c>
      <c r="N771" s="39" t="str">
        <f>VLOOKUP(K771,[2]stage_hints!$A:$D,4,FALSE)</f>
        <v>「曜日クエスト」では
ユニットの覚醒に必要な素材が手に入ります</v>
      </c>
      <c r="O771" s="20" t="s">
        <v>24</v>
      </c>
      <c r="P771">
        <v>15</v>
      </c>
    </row>
    <row r="772" spans="1:16" x14ac:dyDescent="0.15">
      <c r="A772" s="27" t="str">
        <f t="shared" si="75"/>
        <v>20011_3_12</v>
      </c>
      <c r="B772" s="25" t="s">
        <v>34</v>
      </c>
      <c r="C772" s="4">
        <v>20011</v>
      </c>
      <c r="D772" s="3" t="str">
        <f ca="1">VLOOKUP($C772,OFFSET([1]quests!$A$1,0,0,COUNTA([1]quests!$A:$A),MATCH(D$1,[1]quests!$1:$1,0)-MATCH($C$1,[1]quests!$1:$1,0)+1),MATCH(D$1,[1]quests!$1:$1,0)-MATCH($C$1,[1]quests!$1:$1,0)+1,FALSE)</f>
        <v>すべてが灰になる</v>
      </c>
      <c r="E772" s="3" t="str">
        <f ca="1">VLOOKUP($C772,OFFSET([1]quests!$A$1,0,0,COUNTA([1]quests!$A:$A),MATCH(E$1,[1]quests!$1:$1,0)-MATCH($C$1,[1]quests!$1:$1,0)+1),MATCH(E$1,[1]quests!$1:$1,0)-MATCH($C$1,[1]quests!$1:$1,0)+1,FALSE)</f>
        <v>ドロップイベント3</v>
      </c>
      <c r="F772" s="5">
        <v>3</v>
      </c>
      <c r="G772" s="3" t="str">
        <f ca="1">VLOOKUP($C772&amp;"_"&amp;$F772,OFFSET([1]stages!$A$1,0,0,COUNTA([1]stages!$A:$A),MATCH(G$1,[1]stages!$2:$2,0)-MATCH("temp_stage",[1]stages!$2:$2,0)+1),MATCH(G$1,[1]stages!$2:$2,0)-MATCH("temp_stage",[1]stages!$2:$2,0)+1,FALSE)</f>
        <v>【上級】すべてが灰になる</v>
      </c>
      <c r="H772" s="3" t="str">
        <f ca="1">VLOOKUP($C772&amp;"_"&amp;$F772,OFFSET([1]stages!$A$1,0,0,COUNTA([1]stages!$A:$A),MATCH(H$1,[1]stages!$2:$2,0)-MATCH("temp_stage",[1]stages!$2:$2,0)+1),MATCH(H$1,[1]stages!$2:$2,0)-MATCH("temp_stage",[1]stages!$2:$2,0)+1,FALSE)</f>
        <v>ドロップイベント3</v>
      </c>
      <c r="I772" s="18">
        <v>0</v>
      </c>
      <c r="J772" s="5">
        <f>COUNTIF(C$1:C772,C772)</f>
        <v>12</v>
      </c>
      <c r="K772" s="34">
        <v>16</v>
      </c>
      <c r="L772" s="5" t="s">
        <v>17</v>
      </c>
      <c r="M772" s="38" t="str">
        <f>VLOOKUP(K772,[2]stage_hints!$A:$C,3,FALSE)</f>
        <v>マルチプレイのメリット（その1）</v>
      </c>
      <c r="N772" s="39" t="str">
        <f>VLOOKUP(K772,[2]stage_hints!$A:$D,4,FALSE)</f>
        <v>他のプレイヤーとマルチプレイで遊ぶと
ポリゴンがもらえます（100人まで）</v>
      </c>
      <c r="O772" s="20" t="s">
        <v>24</v>
      </c>
      <c r="P772">
        <v>16</v>
      </c>
    </row>
    <row r="773" spans="1:16" x14ac:dyDescent="0.15">
      <c r="A773" s="27" t="str">
        <f t="shared" si="75"/>
        <v>20011_3_13</v>
      </c>
      <c r="B773" s="25" t="s">
        <v>34</v>
      </c>
      <c r="C773" s="4">
        <v>20011</v>
      </c>
      <c r="D773" s="3" t="str">
        <f ca="1">VLOOKUP($C773,OFFSET([1]quests!$A$1,0,0,COUNTA([1]quests!$A:$A),MATCH(D$1,[1]quests!$1:$1,0)-MATCH($C$1,[1]quests!$1:$1,0)+1),MATCH(D$1,[1]quests!$1:$1,0)-MATCH($C$1,[1]quests!$1:$1,0)+1,FALSE)</f>
        <v>すべてが灰になる</v>
      </c>
      <c r="E773" s="3" t="str">
        <f ca="1">VLOOKUP($C773,OFFSET([1]quests!$A$1,0,0,COUNTA([1]quests!$A:$A),MATCH(E$1,[1]quests!$1:$1,0)-MATCH($C$1,[1]quests!$1:$1,0)+1),MATCH(E$1,[1]quests!$1:$1,0)-MATCH($C$1,[1]quests!$1:$1,0)+1,FALSE)</f>
        <v>ドロップイベント3</v>
      </c>
      <c r="F773" s="5">
        <v>3</v>
      </c>
      <c r="G773" s="3" t="str">
        <f ca="1">VLOOKUP($C773&amp;"_"&amp;$F773,OFFSET([1]stages!$A$1,0,0,COUNTA([1]stages!$A:$A),MATCH(G$1,[1]stages!$2:$2,0)-MATCH("temp_stage",[1]stages!$2:$2,0)+1),MATCH(G$1,[1]stages!$2:$2,0)-MATCH("temp_stage",[1]stages!$2:$2,0)+1,FALSE)</f>
        <v>【上級】すべてが灰になる</v>
      </c>
      <c r="H773" s="3" t="str">
        <f ca="1">VLOOKUP($C773&amp;"_"&amp;$F773,OFFSET([1]stages!$A$1,0,0,COUNTA([1]stages!$A:$A),MATCH(H$1,[1]stages!$2:$2,0)-MATCH("temp_stage",[1]stages!$2:$2,0)+1),MATCH(H$1,[1]stages!$2:$2,0)-MATCH("temp_stage",[1]stages!$2:$2,0)+1,FALSE)</f>
        <v>ドロップイベント3</v>
      </c>
      <c r="I773" s="18">
        <v>0</v>
      </c>
      <c r="J773" s="5">
        <f>COUNTIF(C$1:C773,C773)</f>
        <v>13</v>
      </c>
      <c r="K773" s="34">
        <v>17</v>
      </c>
      <c r="L773" s="5" t="s">
        <v>17</v>
      </c>
      <c r="M773" s="38" t="str">
        <f>VLOOKUP(K773,[2]stage_hints!$A:$C,3,FALSE)</f>
        <v>リンクガチャ</v>
      </c>
      <c r="N773" s="39" t="str">
        <f>VLOOKUP(K773,[2]stage_hints!$A:$D,4,FALSE)</f>
        <v>無料のリンクガチャを回して
経験値素材や売却素材を獲得しましょう</v>
      </c>
      <c r="O773" s="20" t="s">
        <v>24</v>
      </c>
      <c r="P773">
        <v>17</v>
      </c>
    </row>
    <row r="774" spans="1:16" x14ac:dyDescent="0.15">
      <c r="A774" s="27" t="str">
        <f t="shared" si="75"/>
        <v>20011_3_14</v>
      </c>
      <c r="B774" s="25" t="s">
        <v>34</v>
      </c>
      <c r="C774" s="4">
        <v>20011</v>
      </c>
      <c r="D774" s="3" t="str">
        <f ca="1">VLOOKUP($C774,OFFSET([1]quests!$A$1,0,0,COUNTA([1]quests!$A:$A),MATCH(D$1,[1]quests!$1:$1,0)-MATCH($C$1,[1]quests!$1:$1,0)+1),MATCH(D$1,[1]quests!$1:$1,0)-MATCH($C$1,[1]quests!$1:$1,0)+1,FALSE)</f>
        <v>すべてが灰になる</v>
      </c>
      <c r="E774" s="3" t="str">
        <f ca="1">VLOOKUP($C774,OFFSET([1]quests!$A$1,0,0,COUNTA([1]quests!$A:$A),MATCH(E$1,[1]quests!$1:$1,0)-MATCH($C$1,[1]quests!$1:$1,0)+1),MATCH(E$1,[1]quests!$1:$1,0)-MATCH($C$1,[1]quests!$1:$1,0)+1,FALSE)</f>
        <v>ドロップイベント3</v>
      </c>
      <c r="F774" s="5">
        <v>3</v>
      </c>
      <c r="G774" s="3" t="str">
        <f ca="1">VLOOKUP($C774&amp;"_"&amp;$F774,OFFSET([1]stages!$A$1,0,0,COUNTA([1]stages!$A:$A),MATCH(G$1,[1]stages!$2:$2,0)-MATCH("temp_stage",[1]stages!$2:$2,0)+1),MATCH(G$1,[1]stages!$2:$2,0)-MATCH("temp_stage",[1]stages!$2:$2,0)+1,FALSE)</f>
        <v>【上級】すべてが灰になる</v>
      </c>
      <c r="H774" s="3" t="str">
        <f ca="1">VLOOKUP($C774&amp;"_"&amp;$F774,OFFSET([1]stages!$A$1,0,0,COUNTA([1]stages!$A:$A),MATCH(H$1,[1]stages!$2:$2,0)-MATCH("temp_stage",[1]stages!$2:$2,0)+1),MATCH(H$1,[1]stages!$2:$2,0)-MATCH("temp_stage",[1]stages!$2:$2,0)+1,FALSE)</f>
        <v>ドロップイベント3</v>
      </c>
      <c r="I774" s="18">
        <v>0</v>
      </c>
      <c r="J774" s="5">
        <f>COUNTIF(C$1:C774,C774)</f>
        <v>14</v>
      </c>
      <c r="K774" s="34">
        <v>18</v>
      </c>
      <c r="L774" s="5" t="s">
        <v>17</v>
      </c>
      <c r="M774" s="38" t="str">
        <f>VLOOKUP(K774,[2]stage_hints!$A:$C,3,FALSE)</f>
        <v>マルチプレイのメリット（その2）</v>
      </c>
      <c r="N774" s="39" t="str">
        <f>VLOOKUP(K774,[2]stage_hints!$A:$D,4,FALSE)</f>
        <v>マルチプレイならリンクが2倍もらえます
リンクガチャをたくさん回しましょう</v>
      </c>
      <c r="O774" s="20" t="s">
        <v>24</v>
      </c>
      <c r="P774">
        <v>18</v>
      </c>
    </row>
    <row r="775" spans="1:16" x14ac:dyDescent="0.15">
      <c r="A775" s="27" t="str">
        <f t="shared" si="75"/>
        <v>20011_3_15</v>
      </c>
      <c r="B775" s="25" t="s">
        <v>34</v>
      </c>
      <c r="C775" s="4">
        <v>20011</v>
      </c>
      <c r="D775" s="3" t="str">
        <f ca="1">VLOOKUP($C775,OFFSET([1]quests!$A$1,0,0,COUNTA([1]quests!$A:$A),MATCH(D$1,[1]quests!$1:$1,0)-MATCH($C$1,[1]quests!$1:$1,0)+1),MATCH(D$1,[1]quests!$1:$1,0)-MATCH($C$1,[1]quests!$1:$1,0)+1,FALSE)</f>
        <v>すべてが灰になる</v>
      </c>
      <c r="E775" s="3" t="str">
        <f ca="1">VLOOKUP($C775,OFFSET([1]quests!$A$1,0,0,COUNTA([1]quests!$A:$A),MATCH(E$1,[1]quests!$1:$1,0)-MATCH($C$1,[1]quests!$1:$1,0)+1),MATCH(E$1,[1]quests!$1:$1,0)-MATCH($C$1,[1]quests!$1:$1,0)+1,FALSE)</f>
        <v>ドロップイベント3</v>
      </c>
      <c r="F775" s="5">
        <v>3</v>
      </c>
      <c r="G775" s="3" t="str">
        <f ca="1">VLOOKUP($C775&amp;"_"&amp;$F775,OFFSET([1]stages!$A$1,0,0,COUNTA([1]stages!$A:$A),MATCH(G$1,[1]stages!$2:$2,0)-MATCH("temp_stage",[1]stages!$2:$2,0)+1),MATCH(G$1,[1]stages!$2:$2,0)-MATCH("temp_stage",[1]stages!$2:$2,0)+1,FALSE)</f>
        <v>【上級】すべてが灰になる</v>
      </c>
      <c r="H775" s="3" t="str">
        <f ca="1">VLOOKUP($C775&amp;"_"&amp;$F775,OFFSET([1]stages!$A$1,0,0,COUNTA([1]stages!$A:$A),MATCH(H$1,[1]stages!$2:$2,0)-MATCH("temp_stage",[1]stages!$2:$2,0)+1),MATCH(H$1,[1]stages!$2:$2,0)-MATCH("temp_stage",[1]stages!$2:$2,0)+1,FALSE)</f>
        <v>ドロップイベント3</v>
      </c>
      <c r="I775" s="18">
        <v>0</v>
      </c>
      <c r="J775" s="5">
        <f>COUNTIF(C$1:C775,C775)</f>
        <v>15</v>
      </c>
      <c r="K775" s="34">
        <v>19</v>
      </c>
      <c r="L775" s="5" t="s">
        <v>17</v>
      </c>
      <c r="M775" s="38" t="str">
        <f>VLOOKUP(K775,[2]stage_hints!$A:$C,3,FALSE)</f>
        <v>ソロ専用チャレンジタワー</v>
      </c>
      <c r="N775" s="39" t="str">
        <f>VLOOKUP(K775,[2]stage_hints!$A:$D,4,FALSE)</f>
        <v>ソロ専用の「チャレンジタワー」では
各フロアごとにクリア報酬がもらえます</v>
      </c>
      <c r="O775" s="20" t="s">
        <v>24</v>
      </c>
      <c r="P775">
        <v>19</v>
      </c>
    </row>
    <row r="776" spans="1:16" x14ac:dyDescent="0.15">
      <c r="A776" s="27" t="str">
        <f t="shared" si="75"/>
        <v>20011_3_16</v>
      </c>
      <c r="B776" s="25" t="s">
        <v>34</v>
      </c>
      <c r="C776" s="4">
        <v>20011</v>
      </c>
      <c r="D776" s="3" t="str">
        <f ca="1">VLOOKUP($C776,OFFSET([1]quests!$A$1,0,0,COUNTA([1]quests!$A:$A),MATCH(D$1,[1]quests!$1:$1,0)-MATCH($C$1,[1]quests!$1:$1,0)+1),MATCH(D$1,[1]quests!$1:$1,0)-MATCH($C$1,[1]quests!$1:$1,0)+1,FALSE)</f>
        <v>すべてが灰になる</v>
      </c>
      <c r="E776" s="3" t="str">
        <f ca="1">VLOOKUP($C776,OFFSET([1]quests!$A$1,0,0,COUNTA([1]quests!$A:$A),MATCH(E$1,[1]quests!$1:$1,0)-MATCH($C$1,[1]quests!$1:$1,0)+1),MATCH(E$1,[1]quests!$1:$1,0)-MATCH($C$1,[1]quests!$1:$1,0)+1,FALSE)</f>
        <v>ドロップイベント3</v>
      </c>
      <c r="F776" s="5">
        <v>3</v>
      </c>
      <c r="G776" s="3" t="str">
        <f ca="1">VLOOKUP($C776&amp;"_"&amp;$F776,OFFSET([1]stages!$A$1,0,0,COUNTA([1]stages!$A:$A),MATCH(G$1,[1]stages!$2:$2,0)-MATCH("temp_stage",[1]stages!$2:$2,0)+1),MATCH(G$1,[1]stages!$2:$2,0)-MATCH("temp_stage",[1]stages!$2:$2,0)+1,FALSE)</f>
        <v>【上級】すべてが灰になる</v>
      </c>
      <c r="H776" s="3" t="str">
        <f ca="1">VLOOKUP($C776&amp;"_"&amp;$F776,OFFSET([1]stages!$A$1,0,0,COUNTA([1]stages!$A:$A),MATCH(H$1,[1]stages!$2:$2,0)-MATCH("temp_stage",[1]stages!$2:$2,0)+1),MATCH(H$1,[1]stages!$2:$2,0)-MATCH("temp_stage",[1]stages!$2:$2,0)+1,FALSE)</f>
        <v>ドロップイベント3</v>
      </c>
      <c r="I776" s="18">
        <v>0</v>
      </c>
      <c r="J776" s="5">
        <f>COUNTIF(C$1:C776,C776)</f>
        <v>16</v>
      </c>
      <c r="K776" s="34">
        <v>20</v>
      </c>
      <c r="L776" s="5" t="s">
        <v>17</v>
      </c>
      <c r="M776" s="38" t="str">
        <f>VLOOKUP(K776,[2]stage_hints!$A:$C,3,FALSE)</f>
        <v>マルチプレイのメリット（その3）</v>
      </c>
      <c r="N776" s="39" t="str">
        <f>VLOOKUP(K776,[2]stage_hints!$A:$D,4,FALSE)</f>
        <v>マルチプレイへの参加はエナジー消費ゼロ
いつでも好きなだけ遊ぶことができます</v>
      </c>
      <c r="O776" s="20" t="s">
        <v>24</v>
      </c>
      <c r="P776">
        <v>20</v>
      </c>
    </row>
    <row r="777" spans="1:16" x14ac:dyDescent="0.15">
      <c r="A777" s="27" t="str">
        <f t="shared" si="75"/>
        <v>20011_3_17</v>
      </c>
      <c r="B777" s="25" t="s">
        <v>34</v>
      </c>
      <c r="C777" s="4">
        <v>20011</v>
      </c>
      <c r="D777" s="3" t="str">
        <f ca="1">VLOOKUP($C777,OFFSET([1]quests!$A$1,0,0,COUNTA([1]quests!$A:$A),MATCH(D$1,[1]quests!$1:$1,0)-MATCH($C$1,[1]quests!$1:$1,0)+1),MATCH(D$1,[1]quests!$1:$1,0)-MATCH($C$1,[1]quests!$1:$1,0)+1,FALSE)</f>
        <v>すべてが灰になる</v>
      </c>
      <c r="E777" s="3" t="str">
        <f ca="1">VLOOKUP($C777,OFFSET([1]quests!$A$1,0,0,COUNTA([1]quests!$A:$A),MATCH(E$1,[1]quests!$1:$1,0)-MATCH($C$1,[1]quests!$1:$1,0)+1),MATCH(E$1,[1]quests!$1:$1,0)-MATCH($C$1,[1]quests!$1:$1,0)+1,FALSE)</f>
        <v>ドロップイベント3</v>
      </c>
      <c r="F777" s="5">
        <v>3</v>
      </c>
      <c r="G777" s="3" t="str">
        <f ca="1">VLOOKUP($C777&amp;"_"&amp;$F777,OFFSET([1]stages!$A$1,0,0,COUNTA([1]stages!$A:$A),MATCH(G$1,[1]stages!$2:$2,0)-MATCH("temp_stage",[1]stages!$2:$2,0)+1),MATCH(G$1,[1]stages!$2:$2,0)-MATCH("temp_stage",[1]stages!$2:$2,0)+1,FALSE)</f>
        <v>【上級】すべてが灰になる</v>
      </c>
      <c r="H777" s="3" t="str">
        <f ca="1">VLOOKUP($C777&amp;"_"&amp;$F777,OFFSET([1]stages!$A$1,0,0,COUNTA([1]stages!$A:$A),MATCH(H$1,[1]stages!$2:$2,0)-MATCH("temp_stage",[1]stages!$2:$2,0)+1),MATCH(H$1,[1]stages!$2:$2,0)-MATCH("temp_stage",[1]stages!$2:$2,0)+1,FALSE)</f>
        <v>ドロップイベント3</v>
      </c>
      <c r="I777" s="18">
        <v>0</v>
      </c>
      <c r="J777" s="5">
        <f>COUNTIF(C$1:C777,C777)</f>
        <v>17</v>
      </c>
      <c r="K777" s="34">
        <v>21</v>
      </c>
      <c r="L777" s="5" t="s">
        <v>17</v>
      </c>
      <c r="M777" s="38" t="str">
        <f>VLOOKUP(K777,[2]stage_hints!$A:$C,3,FALSE)</f>
        <v>スキルを有効に</v>
      </c>
      <c r="N777" s="39" t="str">
        <f>VLOOKUP(K777,[2]stage_hints!$A:$D,4,FALSE)</f>
        <v>ターン経過でユニットのスキルが使えます
強力スキルでバトルを有利に進めましょう</v>
      </c>
      <c r="O777" s="20" t="s">
        <v>24</v>
      </c>
      <c r="P777">
        <v>21</v>
      </c>
    </row>
    <row r="778" spans="1:16" x14ac:dyDescent="0.15">
      <c r="A778" s="27" t="str">
        <f t="shared" si="75"/>
        <v>20011_3_18</v>
      </c>
      <c r="B778" s="25" t="s">
        <v>34</v>
      </c>
      <c r="C778" s="4">
        <v>20011</v>
      </c>
      <c r="D778" s="3" t="str">
        <f ca="1">VLOOKUP($C778,OFFSET([1]quests!$A$1,0,0,COUNTA([1]quests!$A:$A),MATCH(D$1,[1]quests!$1:$1,0)-MATCH($C$1,[1]quests!$1:$1,0)+1),MATCH(D$1,[1]quests!$1:$1,0)-MATCH($C$1,[1]quests!$1:$1,0)+1,FALSE)</f>
        <v>すべてが灰になる</v>
      </c>
      <c r="E778" s="3" t="str">
        <f ca="1">VLOOKUP($C778,OFFSET([1]quests!$A$1,0,0,COUNTA([1]quests!$A:$A),MATCH(E$1,[1]quests!$1:$1,0)-MATCH($C$1,[1]quests!$1:$1,0)+1),MATCH(E$1,[1]quests!$1:$1,0)-MATCH($C$1,[1]quests!$1:$1,0)+1,FALSE)</f>
        <v>ドロップイベント3</v>
      </c>
      <c r="F778" s="5">
        <v>3</v>
      </c>
      <c r="G778" s="3" t="str">
        <f ca="1">VLOOKUP($C778&amp;"_"&amp;$F778,OFFSET([1]stages!$A$1,0,0,COUNTA([1]stages!$A:$A),MATCH(G$1,[1]stages!$2:$2,0)-MATCH("temp_stage",[1]stages!$2:$2,0)+1),MATCH(G$1,[1]stages!$2:$2,0)-MATCH("temp_stage",[1]stages!$2:$2,0)+1,FALSE)</f>
        <v>【上級】すべてが灰になる</v>
      </c>
      <c r="H778" s="3" t="str">
        <f ca="1">VLOOKUP($C778&amp;"_"&amp;$F778,OFFSET([1]stages!$A$1,0,0,COUNTA([1]stages!$A:$A),MATCH(H$1,[1]stages!$2:$2,0)-MATCH("temp_stage",[1]stages!$2:$2,0)+1),MATCH(H$1,[1]stages!$2:$2,0)-MATCH("temp_stage",[1]stages!$2:$2,0)+1,FALSE)</f>
        <v>ドロップイベント3</v>
      </c>
      <c r="I778" s="18">
        <v>0</v>
      </c>
      <c r="J778" s="5">
        <f>COUNTIF(C$1:C778,C778)</f>
        <v>18</v>
      </c>
      <c r="K778" s="34">
        <v>22</v>
      </c>
      <c r="L778" s="5" t="s">
        <v>17</v>
      </c>
      <c r="M778" s="38" t="str">
        <f>VLOOKUP(K778,[2]stage_hints!$A:$C,3,FALSE)</f>
        <v>フィーバーで一発逆転（その1）</v>
      </c>
      <c r="N778" s="39" t="str">
        <f>VLOOKUP(K778,[2]stage_hints!$A:$D,4,FALSE)</f>
        <v>フィーバーは攻撃と回復を兼ね備えます
ピンチからの一発逆転を狙いましょう</v>
      </c>
      <c r="O778" s="20" t="s">
        <v>24</v>
      </c>
      <c r="P778">
        <v>22</v>
      </c>
    </row>
    <row r="779" spans="1:16" x14ac:dyDescent="0.15">
      <c r="A779" s="27" t="str">
        <f t="shared" si="75"/>
        <v>20011_3_19</v>
      </c>
      <c r="B779" s="25" t="s">
        <v>34</v>
      </c>
      <c r="C779" s="4">
        <v>20011</v>
      </c>
      <c r="D779" s="3" t="str">
        <f ca="1">VLOOKUP($C779,OFFSET([1]quests!$A$1,0,0,COUNTA([1]quests!$A:$A),MATCH(D$1,[1]quests!$1:$1,0)-MATCH($C$1,[1]quests!$1:$1,0)+1),MATCH(D$1,[1]quests!$1:$1,0)-MATCH($C$1,[1]quests!$1:$1,0)+1,FALSE)</f>
        <v>すべてが灰になる</v>
      </c>
      <c r="E779" s="3" t="str">
        <f ca="1">VLOOKUP($C779,OFFSET([1]quests!$A$1,0,0,COUNTA([1]quests!$A:$A),MATCH(E$1,[1]quests!$1:$1,0)-MATCH($C$1,[1]quests!$1:$1,0)+1),MATCH(E$1,[1]quests!$1:$1,0)-MATCH($C$1,[1]quests!$1:$1,0)+1,FALSE)</f>
        <v>ドロップイベント3</v>
      </c>
      <c r="F779" s="5">
        <v>3</v>
      </c>
      <c r="G779" s="3" t="str">
        <f ca="1">VLOOKUP($C779&amp;"_"&amp;$F779,OFFSET([1]stages!$A$1,0,0,COUNTA([1]stages!$A:$A),MATCH(G$1,[1]stages!$2:$2,0)-MATCH("temp_stage",[1]stages!$2:$2,0)+1),MATCH(G$1,[1]stages!$2:$2,0)-MATCH("temp_stage",[1]stages!$2:$2,0)+1,FALSE)</f>
        <v>【上級】すべてが灰になる</v>
      </c>
      <c r="H779" s="3" t="str">
        <f ca="1">VLOOKUP($C779&amp;"_"&amp;$F779,OFFSET([1]stages!$A$1,0,0,COUNTA([1]stages!$A:$A),MATCH(H$1,[1]stages!$2:$2,0)-MATCH("temp_stage",[1]stages!$2:$2,0)+1),MATCH(H$1,[1]stages!$2:$2,0)-MATCH("temp_stage",[1]stages!$2:$2,0)+1,FALSE)</f>
        <v>ドロップイベント3</v>
      </c>
      <c r="I779" s="18">
        <v>0</v>
      </c>
      <c r="J779" s="5">
        <f>COUNTIF(C$1:C779,C779)</f>
        <v>19</v>
      </c>
      <c r="K779" s="34">
        <v>23</v>
      </c>
      <c r="L779" s="5" t="s">
        <v>17</v>
      </c>
      <c r="M779" s="38" t="str">
        <f>VLOOKUP(K779,[2]stage_hints!$A:$C,3,FALSE)</f>
        <v>フィーバーで一発逆転（その2）</v>
      </c>
      <c r="N779" s="39" t="str">
        <f>VLOOKUP(K779,[2]stage_hints!$A:$D,4,FALSE)</f>
        <v>フィーバー中は虹色のボムパネルを狙って
画面上のパネルを一気に破壊しましょう</v>
      </c>
      <c r="O779" s="20" t="s">
        <v>24</v>
      </c>
      <c r="P779">
        <v>23</v>
      </c>
    </row>
    <row r="780" spans="1:16" x14ac:dyDescent="0.15">
      <c r="A780" s="27" t="str">
        <f t="shared" si="75"/>
        <v>20011_3_20</v>
      </c>
      <c r="B780" s="25" t="s">
        <v>34</v>
      </c>
      <c r="C780" s="4">
        <v>20011</v>
      </c>
      <c r="D780" s="3" t="str">
        <f ca="1">VLOOKUP($C780,OFFSET([1]quests!$A$1,0,0,COUNTA([1]quests!$A:$A),MATCH(D$1,[1]quests!$1:$1,0)-MATCH($C$1,[1]quests!$1:$1,0)+1),MATCH(D$1,[1]quests!$1:$1,0)-MATCH($C$1,[1]quests!$1:$1,0)+1,FALSE)</f>
        <v>すべてが灰になる</v>
      </c>
      <c r="E780" s="3" t="str">
        <f ca="1">VLOOKUP($C780,OFFSET([1]quests!$A$1,0,0,COUNTA([1]quests!$A:$A),MATCH(E$1,[1]quests!$1:$1,0)-MATCH($C$1,[1]quests!$1:$1,0)+1),MATCH(E$1,[1]quests!$1:$1,0)-MATCH($C$1,[1]quests!$1:$1,0)+1,FALSE)</f>
        <v>ドロップイベント3</v>
      </c>
      <c r="F780" s="5">
        <v>3</v>
      </c>
      <c r="G780" s="3" t="str">
        <f ca="1">VLOOKUP($C780&amp;"_"&amp;$F780,OFFSET([1]stages!$A$1,0,0,COUNTA([1]stages!$A:$A),MATCH(G$1,[1]stages!$2:$2,0)-MATCH("temp_stage",[1]stages!$2:$2,0)+1),MATCH(G$1,[1]stages!$2:$2,0)-MATCH("temp_stage",[1]stages!$2:$2,0)+1,FALSE)</f>
        <v>【上級】すべてが灰になる</v>
      </c>
      <c r="H780" s="3" t="str">
        <f ca="1">VLOOKUP($C780&amp;"_"&amp;$F780,OFFSET([1]stages!$A$1,0,0,COUNTA([1]stages!$A:$A),MATCH(H$1,[1]stages!$2:$2,0)-MATCH("temp_stage",[1]stages!$2:$2,0)+1),MATCH(H$1,[1]stages!$2:$2,0)-MATCH("temp_stage",[1]stages!$2:$2,0)+1,FALSE)</f>
        <v>ドロップイベント3</v>
      </c>
      <c r="I780" s="18">
        <v>0</v>
      </c>
      <c r="J780" s="5">
        <f>COUNTIF(C$1:C780,C780)</f>
        <v>20</v>
      </c>
      <c r="K780" s="34">
        <v>24</v>
      </c>
      <c r="L780" s="5" t="s">
        <v>17</v>
      </c>
      <c r="M780" s="38" t="str">
        <f>VLOOKUP(K780,[2]stage_hints!$A:$C,3,FALSE)</f>
        <v>りんごを使って限界突破</v>
      </c>
      <c r="N780" s="39" t="str">
        <f>VLOOKUP(K780,[2]stage_hints!$A:$D,4,FALSE)</f>
        <v>赤りんご(攻撃力) 青りんご(回復力)
緑りんご(体力)をユニット強化に使うと
ステータスが限界突破します（計99個迄）</v>
      </c>
      <c r="O780" s="20" t="s">
        <v>24</v>
      </c>
      <c r="P780">
        <v>24</v>
      </c>
    </row>
    <row r="781" spans="1:16" x14ac:dyDescent="0.15">
      <c r="A781" s="27" t="str">
        <f t="shared" si="75"/>
        <v>20011_3_21</v>
      </c>
      <c r="B781" s="25" t="s">
        <v>34</v>
      </c>
      <c r="C781" s="4">
        <v>20011</v>
      </c>
      <c r="D781" s="3" t="str">
        <f ca="1">VLOOKUP($C781,OFFSET([1]quests!$A$1,0,0,COUNTA([1]quests!$A:$A),MATCH(D$1,[1]quests!$1:$1,0)-MATCH($C$1,[1]quests!$1:$1,0)+1),MATCH(D$1,[1]quests!$1:$1,0)-MATCH($C$1,[1]quests!$1:$1,0)+1,FALSE)</f>
        <v>すべてが灰になる</v>
      </c>
      <c r="E781" s="3" t="str">
        <f ca="1">VLOOKUP($C781,OFFSET([1]quests!$A$1,0,0,COUNTA([1]quests!$A:$A),MATCH(E$1,[1]quests!$1:$1,0)-MATCH($C$1,[1]quests!$1:$1,0)+1),MATCH(E$1,[1]quests!$1:$1,0)-MATCH($C$1,[1]quests!$1:$1,0)+1,FALSE)</f>
        <v>ドロップイベント3</v>
      </c>
      <c r="F781" s="5">
        <v>3</v>
      </c>
      <c r="G781" s="3" t="str">
        <f ca="1">VLOOKUP($C781&amp;"_"&amp;$F781,OFFSET([1]stages!$A$1,0,0,COUNTA([1]stages!$A:$A),MATCH(G$1,[1]stages!$2:$2,0)-MATCH("temp_stage",[1]stages!$2:$2,0)+1),MATCH(G$1,[1]stages!$2:$2,0)-MATCH("temp_stage",[1]stages!$2:$2,0)+1,FALSE)</f>
        <v>【上級】すべてが灰になる</v>
      </c>
      <c r="H781" s="3" t="str">
        <f ca="1">VLOOKUP($C781&amp;"_"&amp;$F781,OFFSET([1]stages!$A$1,0,0,COUNTA([1]stages!$A:$A),MATCH(H$1,[1]stages!$2:$2,0)-MATCH("temp_stage",[1]stages!$2:$2,0)+1),MATCH(H$1,[1]stages!$2:$2,0)-MATCH("temp_stage",[1]stages!$2:$2,0)+1,FALSE)</f>
        <v>ドロップイベント3</v>
      </c>
      <c r="I781" s="18">
        <v>0</v>
      </c>
      <c r="J781" s="5">
        <f>COUNTIF(C$1:C781,C781)</f>
        <v>21</v>
      </c>
      <c r="K781" s="34">
        <v>25</v>
      </c>
      <c r="L781" s="5" t="s">
        <v>17</v>
      </c>
      <c r="M781" s="38" t="str">
        <f>VLOOKUP(K781,[2]stage_hints!$A:$C,3,FALSE)</f>
        <v>スキルレベルアップ</v>
      </c>
      <c r="N781" s="39" t="str">
        <f>VLOOKUP(K781,[2]stage_hints!$A:$D,4,FALSE)</f>
        <v>「クリスタルのりんご」を強化に使うと
スキルレベルを上げることができます</v>
      </c>
      <c r="O781" s="20" t="s">
        <v>24</v>
      </c>
      <c r="P781">
        <v>25</v>
      </c>
    </row>
    <row r="782" spans="1:16" x14ac:dyDescent="0.15">
      <c r="A782" s="27" t="str">
        <f t="shared" si="75"/>
        <v>20011_3_22</v>
      </c>
      <c r="B782" s="25" t="s">
        <v>34</v>
      </c>
      <c r="C782" s="4">
        <v>20011</v>
      </c>
      <c r="D782" s="3" t="str">
        <f ca="1">VLOOKUP($C782,OFFSET([1]quests!$A$1,0,0,COUNTA([1]quests!$A:$A),MATCH(D$1,[1]quests!$1:$1,0)-MATCH($C$1,[1]quests!$1:$1,0)+1),MATCH(D$1,[1]quests!$1:$1,0)-MATCH($C$1,[1]quests!$1:$1,0)+1,FALSE)</f>
        <v>すべてが灰になる</v>
      </c>
      <c r="E782" s="3" t="str">
        <f ca="1">VLOOKUP($C782,OFFSET([1]quests!$A$1,0,0,COUNTA([1]quests!$A:$A),MATCH(E$1,[1]quests!$1:$1,0)-MATCH($C$1,[1]quests!$1:$1,0)+1),MATCH(E$1,[1]quests!$1:$1,0)-MATCH($C$1,[1]quests!$1:$1,0)+1,FALSE)</f>
        <v>ドロップイベント3</v>
      </c>
      <c r="F782" s="5">
        <v>3</v>
      </c>
      <c r="G782" s="3" t="str">
        <f ca="1">VLOOKUP($C782&amp;"_"&amp;$F782,OFFSET([1]stages!$A$1,0,0,COUNTA([1]stages!$A:$A),MATCH(G$1,[1]stages!$2:$2,0)-MATCH("temp_stage",[1]stages!$2:$2,0)+1),MATCH(G$1,[1]stages!$2:$2,0)-MATCH("temp_stage",[1]stages!$2:$2,0)+1,FALSE)</f>
        <v>【上級】すべてが灰になる</v>
      </c>
      <c r="H782" s="3" t="str">
        <f ca="1">VLOOKUP($C782&amp;"_"&amp;$F782,OFFSET([1]stages!$A$1,0,0,COUNTA([1]stages!$A:$A),MATCH(H$1,[1]stages!$2:$2,0)-MATCH("temp_stage",[1]stages!$2:$2,0)+1),MATCH(H$1,[1]stages!$2:$2,0)-MATCH("temp_stage",[1]stages!$2:$2,0)+1,FALSE)</f>
        <v>ドロップイベント3</v>
      </c>
      <c r="I782" s="18">
        <v>0</v>
      </c>
      <c r="J782" s="5">
        <f>COUNTIF(C$1:C782,C782)</f>
        <v>22</v>
      </c>
      <c r="K782" s="34">
        <v>26</v>
      </c>
      <c r="L782" s="5" t="s">
        <v>17</v>
      </c>
      <c r="M782" s="38" t="str">
        <f>VLOOKUP(K782,[2]stage_hints!$A:$C,3,FALSE)</f>
        <v>スキルレベルの効果</v>
      </c>
      <c r="N782" s="39" t="str">
        <f>VLOOKUP(K782,[2]stage_hints!$A:$D,4,FALSE)</f>
        <v>スキルレベルが上がると
短いターンでスキルを使うことができます</v>
      </c>
      <c r="O782" s="20" t="s">
        <v>24</v>
      </c>
      <c r="P782">
        <v>26</v>
      </c>
    </row>
    <row r="783" spans="1:16" x14ac:dyDescent="0.15">
      <c r="A783" s="27" t="str">
        <f t="shared" si="75"/>
        <v>20011_3_23</v>
      </c>
      <c r="B783" s="25" t="s">
        <v>34</v>
      </c>
      <c r="C783" s="4">
        <v>20011</v>
      </c>
      <c r="D783" s="3" t="str">
        <f ca="1">VLOOKUP($C783,OFFSET([1]quests!$A$1,0,0,COUNTA([1]quests!$A:$A),MATCH(D$1,[1]quests!$1:$1,0)-MATCH($C$1,[1]quests!$1:$1,0)+1),MATCH(D$1,[1]quests!$1:$1,0)-MATCH($C$1,[1]quests!$1:$1,0)+1,FALSE)</f>
        <v>すべてが灰になる</v>
      </c>
      <c r="E783" s="3" t="str">
        <f ca="1">VLOOKUP($C783,OFFSET([1]quests!$A$1,0,0,COUNTA([1]quests!$A:$A),MATCH(E$1,[1]quests!$1:$1,0)-MATCH($C$1,[1]quests!$1:$1,0)+1),MATCH(E$1,[1]quests!$1:$1,0)-MATCH($C$1,[1]quests!$1:$1,0)+1,FALSE)</f>
        <v>ドロップイベント3</v>
      </c>
      <c r="F783" s="5">
        <v>3</v>
      </c>
      <c r="G783" s="3" t="str">
        <f ca="1">VLOOKUP($C783&amp;"_"&amp;$F783,OFFSET([1]stages!$A$1,0,0,COUNTA([1]stages!$A:$A),MATCH(G$1,[1]stages!$2:$2,0)-MATCH("temp_stage",[1]stages!$2:$2,0)+1),MATCH(G$1,[1]stages!$2:$2,0)-MATCH("temp_stage",[1]stages!$2:$2,0)+1,FALSE)</f>
        <v>【上級】すべてが灰になる</v>
      </c>
      <c r="H783" s="3" t="str">
        <f ca="1">VLOOKUP($C783&amp;"_"&amp;$F783,OFFSET([1]stages!$A$1,0,0,COUNTA([1]stages!$A:$A),MATCH(H$1,[1]stages!$2:$2,0)-MATCH("temp_stage",[1]stages!$2:$2,0)+1),MATCH(H$1,[1]stages!$2:$2,0)-MATCH("temp_stage",[1]stages!$2:$2,0)+1,FALSE)</f>
        <v>ドロップイベント3</v>
      </c>
      <c r="I783" s="18">
        <v>0</v>
      </c>
      <c r="J783" s="5">
        <f>COUNTIF(C$1:C783,C783)</f>
        <v>23</v>
      </c>
      <c r="K783" s="34">
        <v>27</v>
      </c>
      <c r="L783" s="5" t="s">
        <v>17</v>
      </c>
      <c r="M783" s="38" t="str">
        <f>VLOOKUP(K783,[2]stage_hints!$A:$C,3,FALSE)</f>
        <v>ホーム画面からデッキを編成</v>
      </c>
      <c r="N783" s="39" t="str">
        <f>VLOOKUP(K783,[2]stage_hints!$A:$D,4,FALSE)</f>
        <v>ホーム画面でユニットを長押しすると
すぐにパーティ編成に移動できます</v>
      </c>
      <c r="O783" s="20" t="s">
        <v>24</v>
      </c>
      <c r="P783">
        <v>27</v>
      </c>
    </row>
    <row r="784" spans="1:16" x14ac:dyDescent="0.15">
      <c r="A784" s="27" t="str">
        <f t="shared" si="75"/>
        <v>20011_3_24</v>
      </c>
      <c r="B784" s="25" t="s">
        <v>34</v>
      </c>
      <c r="C784" s="4">
        <v>20011</v>
      </c>
      <c r="D784" s="3" t="str">
        <f ca="1">VLOOKUP($C784,OFFSET([1]quests!$A$1,0,0,COUNTA([1]quests!$A:$A),MATCH(D$1,[1]quests!$1:$1,0)-MATCH($C$1,[1]quests!$1:$1,0)+1),MATCH(D$1,[1]quests!$1:$1,0)-MATCH($C$1,[1]quests!$1:$1,0)+1,FALSE)</f>
        <v>すべてが灰になる</v>
      </c>
      <c r="E784" s="3" t="str">
        <f ca="1">VLOOKUP($C784,OFFSET([1]quests!$A$1,0,0,COUNTA([1]quests!$A:$A),MATCH(E$1,[1]quests!$1:$1,0)-MATCH($C$1,[1]quests!$1:$1,0)+1),MATCH(E$1,[1]quests!$1:$1,0)-MATCH($C$1,[1]quests!$1:$1,0)+1,FALSE)</f>
        <v>ドロップイベント3</v>
      </c>
      <c r="F784" s="5">
        <v>3</v>
      </c>
      <c r="G784" s="3" t="str">
        <f ca="1">VLOOKUP($C784&amp;"_"&amp;$F784,OFFSET([1]stages!$A$1,0,0,COUNTA([1]stages!$A:$A),MATCH(G$1,[1]stages!$2:$2,0)-MATCH("temp_stage",[1]stages!$2:$2,0)+1),MATCH(G$1,[1]stages!$2:$2,0)-MATCH("temp_stage",[1]stages!$2:$2,0)+1,FALSE)</f>
        <v>【上級】すべてが灰になる</v>
      </c>
      <c r="H784" s="3" t="str">
        <f ca="1">VLOOKUP($C784&amp;"_"&amp;$F784,OFFSET([1]stages!$A$1,0,0,COUNTA([1]stages!$A:$A),MATCH(H$1,[1]stages!$2:$2,0)-MATCH("temp_stage",[1]stages!$2:$2,0)+1),MATCH(H$1,[1]stages!$2:$2,0)-MATCH("temp_stage",[1]stages!$2:$2,0)+1,FALSE)</f>
        <v>ドロップイベント3</v>
      </c>
      <c r="I784" s="18">
        <v>0</v>
      </c>
      <c r="J784" s="5">
        <f>COUNTIF(C$1:C784,C784)</f>
        <v>24</v>
      </c>
      <c r="K784" s="34">
        <v>28</v>
      </c>
      <c r="L784" s="5" t="s">
        <v>17</v>
      </c>
      <c r="M784" s="38" t="str">
        <f>VLOOKUP(K784,[2]stage_hints!$A:$C,3,FALSE)</f>
        <v>ステータス情報は長押しで</v>
      </c>
      <c r="N784" s="39" t="str">
        <f>VLOOKUP(K784,[2]stage_hints!$A:$D,4,FALSE)</f>
        <v>ユニットのアイコンを長押しすると
ステータス情報を確認することができます</v>
      </c>
      <c r="O784" s="20" t="s">
        <v>24</v>
      </c>
      <c r="P784">
        <v>28</v>
      </c>
    </row>
    <row r="785" spans="1:16" x14ac:dyDescent="0.15">
      <c r="A785" s="27" t="str">
        <f t="shared" si="75"/>
        <v>20011_3_25</v>
      </c>
      <c r="B785" s="25" t="s">
        <v>34</v>
      </c>
      <c r="C785" s="4">
        <v>20011</v>
      </c>
      <c r="D785" s="3" t="str">
        <f ca="1">VLOOKUP($C785,OFFSET([1]quests!$A$1,0,0,COUNTA([1]quests!$A:$A),MATCH(D$1,[1]quests!$1:$1,0)-MATCH($C$1,[1]quests!$1:$1,0)+1),MATCH(D$1,[1]quests!$1:$1,0)-MATCH($C$1,[1]quests!$1:$1,0)+1,FALSE)</f>
        <v>すべてが灰になる</v>
      </c>
      <c r="E785" s="3" t="str">
        <f ca="1">VLOOKUP($C785,OFFSET([1]quests!$A$1,0,0,COUNTA([1]quests!$A:$A),MATCH(E$1,[1]quests!$1:$1,0)-MATCH($C$1,[1]quests!$1:$1,0)+1),MATCH(E$1,[1]quests!$1:$1,0)-MATCH($C$1,[1]quests!$1:$1,0)+1,FALSE)</f>
        <v>ドロップイベント3</v>
      </c>
      <c r="F785" s="5">
        <v>3</v>
      </c>
      <c r="G785" s="3" t="str">
        <f ca="1">VLOOKUP($C785&amp;"_"&amp;$F785,OFFSET([1]stages!$A$1,0,0,COUNTA([1]stages!$A:$A),MATCH(G$1,[1]stages!$2:$2,0)-MATCH("temp_stage",[1]stages!$2:$2,0)+1),MATCH(G$1,[1]stages!$2:$2,0)-MATCH("temp_stage",[1]stages!$2:$2,0)+1,FALSE)</f>
        <v>【上級】すべてが灰になる</v>
      </c>
      <c r="H785" s="3" t="str">
        <f ca="1">VLOOKUP($C785&amp;"_"&amp;$F785,OFFSET([1]stages!$A$1,0,0,COUNTA([1]stages!$A:$A),MATCH(H$1,[1]stages!$2:$2,0)-MATCH("temp_stage",[1]stages!$2:$2,0)+1),MATCH(H$1,[1]stages!$2:$2,0)-MATCH("temp_stage",[1]stages!$2:$2,0)+1,FALSE)</f>
        <v>ドロップイベント3</v>
      </c>
      <c r="I785" s="18">
        <v>0</v>
      </c>
      <c r="J785" s="5">
        <f>COUNTIF(C$1:C785,C785)</f>
        <v>25</v>
      </c>
      <c r="K785" s="34">
        <v>29</v>
      </c>
      <c r="L785" s="5" t="s">
        <v>17</v>
      </c>
      <c r="M785" s="38" t="str">
        <f>VLOOKUP(K785,[2]stage_hints!$A:$C,3,FALSE)</f>
        <v>「バグ」のメリット</v>
      </c>
      <c r="N785" s="39" t="str">
        <f>VLOOKUP(K785,[2]stage_hints!$A:$D,4,FALSE)</f>
        <v>ユニットの「バグ」を増やすと
報酬をもらえる確率がアップします</v>
      </c>
      <c r="O785" s="20" t="s">
        <v>24</v>
      </c>
      <c r="P785">
        <v>29</v>
      </c>
    </row>
    <row r="786" spans="1:16" x14ac:dyDescent="0.15">
      <c r="A786" s="27" t="str">
        <f t="shared" si="75"/>
        <v>20011_3_26</v>
      </c>
      <c r="B786" s="25" t="s">
        <v>34</v>
      </c>
      <c r="C786" s="4">
        <v>20011</v>
      </c>
      <c r="D786" s="3" t="str">
        <f ca="1">VLOOKUP($C786,OFFSET([1]quests!$A$1,0,0,COUNTA([1]quests!$A:$A),MATCH(D$1,[1]quests!$1:$1,0)-MATCH($C$1,[1]quests!$1:$1,0)+1),MATCH(D$1,[1]quests!$1:$1,0)-MATCH($C$1,[1]quests!$1:$1,0)+1,FALSE)</f>
        <v>すべてが灰になる</v>
      </c>
      <c r="E786" s="3" t="str">
        <f ca="1">VLOOKUP($C786,OFFSET([1]quests!$A$1,0,0,COUNTA([1]quests!$A:$A),MATCH(E$1,[1]quests!$1:$1,0)-MATCH($C$1,[1]quests!$1:$1,0)+1),MATCH(E$1,[1]quests!$1:$1,0)-MATCH($C$1,[1]quests!$1:$1,0)+1,FALSE)</f>
        <v>ドロップイベント3</v>
      </c>
      <c r="F786" s="5">
        <v>3</v>
      </c>
      <c r="G786" s="3" t="str">
        <f ca="1">VLOOKUP($C786&amp;"_"&amp;$F786,OFFSET([1]stages!$A$1,0,0,COUNTA([1]stages!$A:$A),MATCH(G$1,[1]stages!$2:$2,0)-MATCH("temp_stage",[1]stages!$2:$2,0)+1),MATCH(G$1,[1]stages!$2:$2,0)-MATCH("temp_stage",[1]stages!$2:$2,0)+1,FALSE)</f>
        <v>【上級】すべてが灰になる</v>
      </c>
      <c r="H786" s="3" t="str">
        <f ca="1">VLOOKUP($C786&amp;"_"&amp;$F786,OFFSET([1]stages!$A$1,0,0,COUNTA([1]stages!$A:$A),MATCH(H$1,[1]stages!$2:$2,0)-MATCH("temp_stage",[1]stages!$2:$2,0)+1),MATCH(H$1,[1]stages!$2:$2,0)-MATCH("temp_stage",[1]stages!$2:$2,0)+1,FALSE)</f>
        <v>ドロップイベント3</v>
      </c>
      <c r="I786" s="18">
        <v>0</v>
      </c>
      <c r="J786" s="5">
        <f>COUNTIF(C$1:C786,C786)</f>
        <v>26</v>
      </c>
      <c r="K786" s="34">
        <v>30</v>
      </c>
      <c r="L786" s="5" t="s">
        <v>17</v>
      </c>
      <c r="M786" s="38" t="str">
        <f>VLOOKUP(K786,[2]stage_hints!$A:$C,3,FALSE)</f>
        <v>「バグ」の増やし方</v>
      </c>
      <c r="N786" s="39" t="str">
        <f>VLOOKUP(K786,[2]stage_hints!$A:$D,4,FALSE)</f>
        <v>同じユニット同士を強化で合成すると
「バグ」を増やすことができます</v>
      </c>
      <c r="O786" s="20" t="s">
        <v>24</v>
      </c>
      <c r="P786">
        <v>30</v>
      </c>
    </row>
    <row r="787" spans="1:16" x14ac:dyDescent="0.15">
      <c r="A787" s="27" t="str">
        <f t="shared" si="75"/>
        <v>20011_3_27</v>
      </c>
      <c r="B787" s="25" t="s">
        <v>34</v>
      </c>
      <c r="C787" s="4">
        <v>20011</v>
      </c>
      <c r="D787" s="3" t="str">
        <f ca="1">VLOOKUP($C787,OFFSET([1]quests!$A$1,0,0,COUNTA([1]quests!$A:$A),MATCH(D$1,[1]quests!$1:$1,0)-MATCH($C$1,[1]quests!$1:$1,0)+1),MATCH(D$1,[1]quests!$1:$1,0)-MATCH($C$1,[1]quests!$1:$1,0)+1,FALSE)</f>
        <v>すべてが灰になる</v>
      </c>
      <c r="E787" s="3" t="str">
        <f ca="1">VLOOKUP($C787,OFFSET([1]quests!$A$1,0,0,COUNTA([1]quests!$A:$A),MATCH(E$1,[1]quests!$1:$1,0)-MATCH($C$1,[1]quests!$1:$1,0)+1),MATCH(E$1,[1]quests!$1:$1,0)-MATCH($C$1,[1]quests!$1:$1,0)+1,FALSE)</f>
        <v>ドロップイベント3</v>
      </c>
      <c r="F787" s="5">
        <v>3</v>
      </c>
      <c r="G787" s="3" t="str">
        <f ca="1">VLOOKUP($C787&amp;"_"&amp;$F787,OFFSET([1]stages!$A$1,0,0,COUNTA([1]stages!$A:$A),MATCH(G$1,[1]stages!$2:$2,0)-MATCH("temp_stage",[1]stages!$2:$2,0)+1),MATCH(G$1,[1]stages!$2:$2,0)-MATCH("temp_stage",[1]stages!$2:$2,0)+1,FALSE)</f>
        <v>【上級】すべてが灰になる</v>
      </c>
      <c r="H787" s="3" t="str">
        <f ca="1">VLOOKUP($C787&amp;"_"&amp;$F787,OFFSET([1]stages!$A$1,0,0,COUNTA([1]stages!$A:$A),MATCH(H$1,[1]stages!$2:$2,0)-MATCH("temp_stage",[1]stages!$2:$2,0)+1),MATCH(H$1,[1]stages!$2:$2,0)-MATCH("temp_stage",[1]stages!$2:$2,0)+1,FALSE)</f>
        <v>ドロップイベント3</v>
      </c>
      <c r="I787" s="18">
        <v>0</v>
      </c>
      <c r="J787" s="5">
        <f>COUNTIF(C$1:C787,C787)</f>
        <v>27</v>
      </c>
      <c r="K787" s="34">
        <v>31</v>
      </c>
      <c r="L787" s="5" t="s">
        <v>17</v>
      </c>
      <c r="M787" s="38" t="str">
        <f>VLOOKUP(K787,[2]stage_hints!$A:$C,3,FALSE)</f>
        <v>イベントはお知らせでチェック</v>
      </c>
      <c r="N787" s="39" t="str">
        <f>VLOOKUP(K787,[2]stage_hints!$A:$D,4,FALSE)</f>
        <v>イベント限定ユニットを取り忘れないように
お知らせをこまめにチェックしましょう</v>
      </c>
      <c r="O787" s="20" t="s">
        <v>24</v>
      </c>
      <c r="P787">
        <v>31</v>
      </c>
    </row>
    <row r="788" spans="1:16" x14ac:dyDescent="0.15">
      <c r="A788" s="27" t="str">
        <f t="shared" si="75"/>
        <v>20011_3_28</v>
      </c>
      <c r="B788" s="25" t="s">
        <v>34</v>
      </c>
      <c r="C788" s="4">
        <v>20011</v>
      </c>
      <c r="D788" s="3" t="str">
        <f ca="1">VLOOKUP($C788,OFFSET([1]quests!$A$1,0,0,COUNTA([1]quests!$A:$A),MATCH(D$1,[1]quests!$1:$1,0)-MATCH($C$1,[1]quests!$1:$1,0)+1),MATCH(D$1,[1]quests!$1:$1,0)-MATCH($C$1,[1]quests!$1:$1,0)+1,FALSE)</f>
        <v>すべてが灰になる</v>
      </c>
      <c r="E788" s="3" t="str">
        <f ca="1">VLOOKUP($C788,OFFSET([1]quests!$A$1,0,0,COUNTA([1]quests!$A:$A),MATCH(E$1,[1]quests!$1:$1,0)-MATCH($C$1,[1]quests!$1:$1,0)+1),MATCH(E$1,[1]quests!$1:$1,0)-MATCH($C$1,[1]quests!$1:$1,0)+1,FALSE)</f>
        <v>ドロップイベント3</v>
      </c>
      <c r="F788" s="5">
        <v>3</v>
      </c>
      <c r="G788" s="3" t="str">
        <f ca="1">VLOOKUP($C788&amp;"_"&amp;$F788,OFFSET([1]stages!$A$1,0,0,COUNTA([1]stages!$A:$A),MATCH(G$1,[1]stages!$2:$2,0)-MATCH("temp_stage",[1]stages!$2:$2,0)+1),MATCH(G$1,[1]stages!$2:$2,0)-MATCH("temp_stage",[1]stages!$2:$2,0)+1,FALSE)</f>
        <v>【上級】すべてが灰になる</v>
      </c>
      <c r="H788" s="3" t="str">
        <f ca="1">VLOOKUP($C788&amp;"_"&amp;$F788,OFFSET([1]stages!$A$1,0,0,COUNTA([1]stages!$A:$A),MATCH(H$1,[1]stages!$2:$2,0)-MATCH("temp_stage",[1]stages!$2:$2,0)+1),MATCH(H$1,[1]stages!$2:$2,0)-MATCH("temp_stage",[1]stages!$2:$2,0)+1,FALSE)</f>
        <v>ドロップイベント3</v>
      </c>
      <c r="I788" s="18">
        <v>0</v>
      </c>
      <c r="J788" s="5">
        <f>COUNTIF(C$1:C788,C788)</f>
        <v>28</v>
      </c>
      <c r="K788" s="34">
        <v>32</v>
      </c>
      <c r="L788" s="5" t="s">
        <v>17</v>
      </c>
      <c r="M788" s="38" t="str">
        <f>VLOOKUP(K788,[2]stage_hints!$A:$C,3,FALSE)</f>
        <v>敵の連続攻撃には</v>
      </c>
      <c r="N788" s="39" t="str">
        <f>VLOOKUP(K788,[2]stage_hints!$A:$D,4,FALSE)</f>
        <v>カウンタースキルを持つユニットがいれば
ダメージ回数分の反撃ができます</v>
      </c>
      <c r="O788" s="20" t="s">
        <v>24</v>
      </c>
      <c r="P788">
        <v>32</v>
      </c>
    </row>
    <row r="789" spans="1:16" x14ac:dyDescent="0.15">
      <c r="A789" s="27" t="str">
        <f t="shared" si="75"/>
        <v>20011_3_29</v>
      </c>
      <c r="B789" s="25" t="s">
        <v>34</v>
      </c>
      <c r="C789" s="4">
        <v>20011</v>
      </c>
      <c r="D789" s="3" t="str">
        <f ca="1">VLOOKUP($C789,OFFSET([1]quests!$A$1,0,0,COUNTA([1]quests!$A:$A),MATCH(D$1,[1]quests!$1:$1,0)-MATCH($C$1,[1]quests!$1:$1,0)+1),MATCH(D$1,[1]quests!$1:$1,0)-MATCH($C$1,[1]quests!$1:$1,0)+1,FALSE)</f>
        <v>すべてが灰になる</v>
      </c>
      <c r="E789" s="3" t="str">
        <f ca="1">VLOOKUP($C789,OFFSET([1]quests!$A$1,0,0,COUNTA([1]quests!$A:$A),MATCH(E$1,[1]quests!$1:$1,0)-MATCH($C$1,[1]quests!$1:$1,0)+1),MATCH(E$1,[1]quests!$1:$1,0)-MATCH($C$1,[1]quests!$1:$1,0)+1,FALSE)</f>
        <v>ドロップイベント3</v>
      </c>
      <c r="F789" s="5">
        <v>3</v>
      </c>
      <c r="G789" s="3" t="str">
        <f ca="1">VLOOKUP($C789&amp;"_"&amp;$F789,OFFSET([1]stages!$A$1,0,0,COUNTA([1]stages!$A:$A),MATCH(G$1,[1]stages!$2:$2,0)-MATCH("temp_stage",[1]stages!$2:$2,0)+1),MATCH(G$1,[1]stages!$2:$2,0)-MATCH("temp_stage",[1]stages!$2:$2,0)+1,FALSE)</f>
        <v>【上級】すべてが灰になる</v>
      </c>
      <c r="H789" s="3" t="str">
        <f ca="1">VLOOKUP($C789&amp;"_"&amp;$F789,OFFSET([1]stages!$A$1,0,0,COUNTA([1]stages!$A:$A),MATCH(H$1,[1]stages!$2:$2,0)-MATCH("temp_stage",[1]stages!$2:$2,0)+1),MATCH(H$1,[1]stages!$2:$2,0)-MATCH("temp_stage",[1]stages!$2:$2,0)+1,FALSE)</f>
        <v>ドロップイベント3</v>
      </c>
      <c r="I789" s="18">
        <v>0</v>
      </c>
      <c r="J789" s="5">
        <f>COUNTIF(C$1:C789,C789)</f>
        <v>29</v>
      </c>
      <c r="K789" s="34">
        <v>33</v>
      </c>
      <c r="L789" s="5" t="s">
        <v>17</v>
      </c>
      <c r="M789" s="38" t="str">
        <f>VLOOKUP(K789,[2]stage_hints!$A:$C,3,FALSE)</f>
        <v>敵のカウンター攻撃には</v>
      </c>
      <c r="N789" s="39" t="str">
        <f>VLOOKUP(K789,[2]stage_hints!$A:$D,4,FALSE)</f>
        <v>カウンターブレイクスキルを持っていれば
敵のカウンターを解除して攻撃ができます</v>
      </c>
      <c r="O789" s="20" t="s">
        <v>24</v>
      </c>
      <c r="P789">
        <v>33</v>
      </c>
    </row>
    <row r="790" spans="1:16" x14ac:dyDescent="0.15">
      <c r="A790" s="27" t="str">
        <f t="shared" si="75"/>
        <v>20011_3_30</v>
      </c>
      <c r="B790" s="25" t="s">
        <v>34</v>
      </c>
      <c r="C790" s="4">
        <v>20011</v>
      </c>
      <c r="D790" s="3" t="str">
        <f ca="1">VLOOKUP($C790,OFFSET([1]quests!$A$1,0,0,COUNTA([1]quests!$A:$A),MATCH(D$1,[1]quests!$1:$1,0)-MATCH($C$1,[1]quests!$1:$1,0)+1),MATCH(D$1,[1]quests!$1:$1,0)-MATCH($C$1,[1]quests!$1:$1,0)+1,FALSE)</f>
        <v>すべてが灰になる</v>
      </c>
      <c r="E790" s="3" t="str">
        <f ca="1">VLOOKUP($C790,OFFSET([1]quests!$A$1,0,0,COUNTA([1]quests!$A:$A),MATCH(E$1,[1]quests!$1:$1,0)-MATCH($C$1,[1]quests!$1:$1,0)+1),MATCH(E$1,[1]quests!$1:$1,0)-MATCH($C$1,[1]quests!$1:$1,0)+1,FALSE)</f>
        <v>ドロップイベント3</v>
      </c>
      <c r="F790" s="5">
        <v>3</v>
      </c>
      <c r="G790" s="3" t="str">
        <f ca="1">VLOOKUP($C790&amp;"_"&amp;$F790,OFFSET([1]stages!$A$1,0,0,COUNTA([1]stages!$A:$A),MATCH(G$1,[1]stages!$2:$2,0)-MATCH("temp_stage",[1]stages!$2:$2,0)+1),MATCH(G$1,[1]stages!$2:$2,0)-MATCH("temp_stage",[1]stages!$2:$2,0)+1,FALSE)</f>
        <v>【上級】すべてが灰になる</v>
      </c>
      <c r="H790" s="3" t="str">
        <f ca="1">VLOOKUP($C790&amp;"_"&amp;$F790,OFFSET([1]stages!$A$1,0,0,COUNTA([1]stages!$A:$A),MATCH(H$1,[1]stages!$2:$2,0)-MATCH("temp_stage",[1]stages!$2:$2,0)+1),MATCH(H$1,[1]stages!$2:$2,0)-MATCH("temp_stage",[1]stages!$2:$2,0)+1,FALSE)</f>
        <v>ドロップイベント3</v>
      </c>
      <c r="I790" s="18">
        <v>0</v>
      </c>
      <c r="J790" s="5">
        <f>COUNTIF(C$1:C790,C790)</f>
        <v>30</v>
      </c>
      <c r="K790" s="34">
        <v>34</v>
      </c>
      <c r="L790" s="5" t="s">
        <v>17</v>
      </c>
      <c r="M790" s="38" t="str">
        <f>VLOOKUP(K790,[2]stage_hints!$A:$C,3,FALSE)</f>
        <v>ステータスをスキルで下げられたら</v>
      </c>
      <c r="N790" s="39" t="str">
        <f>VLOOKUP(K790,[2]stage_hints!$A:$D,4,FALSE)</f>
        <v>ステータスダウンのスキルを受けたら
ステータスアップスキルで上書きしましょう</v>
      </c>
      <c r="O790" s="20" t="s">
        <v>24</v>
      </c>
      <c r="P790">
        <v>34</v>
      </c>
    </row>
    <row r="791" spans="1:16" x14ac:dyDescent="0.15">
      <c r="A791" s="27" t="str">
        <f t="shared" si="75"/>
        <v>20011_3_31</v>
      </c>
      <c r="B791" s="25" t="s">
        <v>34</v>
      </c>
      <c r="C791" s="4">
        <v>20011</v>
      </c>
      <c r="D791" s="3" t="str">
        <f ca="1">VLOOKUP($C791,OFFSET([1]quests!$A$1,0,0,COUNTA([1]quests!$A:$A),MATCH(D$1,[1]quests!$1:$1,0)-MATCH($C$1,[1]quests!$1:$1,0)+1),MATCH(D$1,[1]quests!$1:$1,0)-MATCH($C$1,[1]quests!$1:$1,0)+1,FALSE)</f>
        <v>すべてが灰になる</v>
      </c>
      <c r="E791" s="3" t="str">
        <f ca="1">VLOOKUP($C791,OFFSET([1]quests!$A$1,0,0,COUNTA([1]quests!$A:$A),MATCH(E$1,[1]quests!$1:$1,0)-MATCH($C$1,[1]quests!$1:$1,0)+1),MATCH(E$1,[1]quests!$1:$1,0)-MATCH($C$1,[1]quests!$1:$1,0)+1,FALSE)</f>
        <v>ドロップイベント3</v>
      </c>
      <c r="F791" s="5">
        <v>3</v>
      </c>
      <c r="G791" s="3" t="str">
        <f ca="1">VLOOKUP($C791&amp;"_"&amp;$F791,OFFSET([1]stages!$A$1,0,0,COUNTA([1]stages!$A:$A),MATCH(G$1,[1]stages!$2:$2,0)-MATCH("temp_stage",[1]stages!$2:$2,0)+1),MATCH(G$1,[1]stages!$2:$2,0)-MATCH("temp_stage",[1]stages!$2:$2,0)+1,FALSE)</f>
        <v>【上級】すべてが灰になる</v>
      </c>
      <c r="H791" s="3" t="str">
        <f ca="1">VLOOKUP($C791&amp;"_"&amp;$F791,OFFSET([1]stages!$A$1,0,0,COUNTA([1]stages!$A:$A),MATCH(H$1,[1]stages!$2:$2,0)-MATCH("temp_stage",[1]stages!$2:$2,0)+1),MATCH(H$1,[1]stages!$2:$2,0)-MATCH("temp_stage",[1]stages!$2:$2,0)+1,FALSE)</f>
        <v>ドロップイベント3</v>
      </c>
      <c r="I791" s="18">
        <v>0</v>
      </c>
      <c r="J791" s="5">
        <f>COUNTIF(C$1:C791,C791)</f>
        <v>31</v>
      </c>
      <c r="K791" s="34">
        <v>35</v>
      </c>
      <c r="L791" s="5" t="s">
        <v>17</v>
      </c>
      <c r="M791" s="38" t="str">
        <f>VLOOKUP(K791,[2]stage_hints!$A:$C,3,FALSE)</f>
        <v>敵のステータスがスキルで上がったら</v>
      </c>
      <c r="N791" s="39" t="str">
        <f>VLOOKUP(K791,[2]stage_hints!$A:$D,4,FALSE)</f>
        <v>敵のステータスがスキルでアップしたときは
ステータスダウンスキルで上書きしましょう</v>
      </c>
      <c r="O791" s="20" t="s">
        <v>24</v>
      </c>
      <c r="P791">
        <v>35</v>
      </c>
    </row>
    <row r="792" spans="1:16" x14ac:dyDescent="0.15">
      <c r="A792" s="27" t="str">
        <f t="shared" si="75"/>
        <v>20011_3_32</v>
      </c>
      <c r="B792" s="25" t="s">
        <v>34</v>
      </c>
      <c r="C792" s="4">
        <v>20011</v>
      </c>
      <c r="D792" s="3" t="str">
        <f ca="1">VLOOKUP($C792,OFFSET([1]quests!$A$1,0,0,COUNTA([1]quests!$A:$A),MATCH(D$1,[1]quests!$1:$1,0)-MATCH($C$1,[1]quests!$1:$1,0)+1),MATCH(D$1,[1]quests!$1:$1,0)-MATCH($C$1,[1]quests!$1:$1,0)+1,FALSE)</f>
        <v>すべてが灰になる</v>
      </c>
      <c r="E792" s="3" t="str">
        <f ca="1">VLOOKUP($C792,OFFSET([1]quests!$A$1,0,0,COUNTA([1]quests!$A:$A),MATCH(E$1,[1]quests!$1:$1,0)-MATCH($C$1,[1]quests!$1:$1,0)+1),MATCH(E$1,[1]quests!$1:$1,0)-MATCH($C$1,[1]quests!$1:$1,0)+1,FALSE)</f>
        <v>ドロップイベント3</v>
      </c>
      <c r="F792" s="5">
        <v>3</v>
      </c>
      <c r="G792" s="3" t="str">
        <f ca="1">VLOOKUP($C792&amp;"_"&amp;$F792,OFFSET([1]stages!$A$1,0,0,COUNTA([1]stages!$A:$A),MATCH(G$1,[1]stages!$2:$2,0)-MATCH("temp_stage",[1]stages!$2:$2,0)+1),MATCH(G$1,[1]stages!$2:$2,0)-MATCH("temp_stage",[1]stages!$2:$2,0)+1,FALSE)</f>
        <v>【上級】すべてが灰になる</v>
      </c>
      <c r="H792" s="3" t="str">
        <f ca="1">VLOOKUP($C792&amp;"_"&amp;$F792,OFFSET([1]stages!$A$1,0,0,COUNTA([1]stages!$A:$A),MATCH(H$1,[1]stages!$2:$2,0)-MATCH("temp_stage",[1]stages!$2:$2,0)+1),MATCH(H$1,[1]stages!$2:$2,0)-MATCH("temp_stage",[1]stages!$2:$2,0)+1,FALSE)</f>
        <v>ドロップイベント3</v>
      </c>
      <c r="I792" s="18">
        <v>0</v>
      </c>
      <c r="J792" s="5">
        <f>COUNTIF(C$1:C792,C792)</f>
        <v>32</v>
      </c>
      <c r="K792" s="34">
        <v>36</v>
      </c>
      <c r="L792" s="5" t="s">
        <v>17</v>
      </c>
      <c r="M792" s="38" t="str">
        <f>VLOOKUP(K792,[2]stage_hints!$A:$C,3,FALSE)</f>
        <v>チャレンジタワーのボス</v>
      </c>
      <c r="N792" s="39" t="str">
        <f>VLOOKUP(K792,[2]stage_hints!$A:$D,4,FALSE)</f>
        <v>チャレンジタワーでのみ登場するボスは
一定確率で獲得することができます</v>
      </c>
      <c r="O792" s="20" t="s">
        <v>24</v>
      </c>
      <c r="P792">
        <v>36</v>
      </c>
    </row>
    <row r="793" spans="1:16" x14ac:dyDescent="0.15">
      <c r="A793" s="27" t="str">
        <f t="shared" si="75"/>
        <v>20011_3_33</v>
      </c>
      <c r="B793" s="25" t="s">
        <v>34</v>
      </c>
      <c r="C793" s="4">
        <v>20011</v>
      </c>
      <c r="D793" s="3" t="str">
        <f ca="1">VLOOKUP($C793,OFFSET([1]quests!$A$1,0,0,COUNTA([1]quests!$A:$A),MATCH(D$1,[1]quests!$1:$1,0)-MATCH($C$1,[1]quests!$1:$1,0)+1),MATCH(D$1,[1]quests!$1:$1,0)-MATCH($C$1,[1]quests!$1:$1,0)+1,FALSE)</f>
        <v>すべてが灰になる</v>
      </c>
      <c r="E793" s="3" t="str">
        <f ca="1">VLOOKUP($C793,OFFSET([1]quests!$A$1,0,0,COUNTA([1]quests!$A:$A),MATCH(E$1,[1]quests!$1:$1,0)-MATCH($C$1,[1]quests!$1:$1,0)+1),MATCH(E$1,[1]quests!$1:$1,0)-MATCH($C$1,[1]quests!$1:$1,0)+1,FALSE)</f>
        <v>ドロップイベント3</v>
      </c>
      <c r="F793" s="5">
        <v>3</v>
      </c>
      <c r="G793" s="3" t="str">
        <f ca="1">VLOOKUP($C793&amp;"_"&amp;$F793,OFFSET([1]stages!$A$1,0,0,COUNTA([1]stages!$A:$A),MATCH(G$1,[1]stages!$2:$2,0)-MATCH("temp_stage",[1]stages!$2:$2,0)+1),MATCH(G$1,[1]stages!$2:$2,0)-MATCH("temp_stage",[1]stages!$2:$2,0)+1,FALSE)</f>
        <v>【上級】すべてが灰になる</v>
      </c>
      <c r="H793" s="3" t="str">
        <f ca="1">VLOOKUP($C793&amp;"_"&amp;$F793,OFFSET([1]stages!$A$1,0,0,COUNTA([1]stages!$A:$A),MATCH(H$1,[1]stages!$2:$2,0)-MATCH("temp_stage",[1]stages!$2:$2,0)+1),MATCH(H$1,[1]stages!$2:$2,0)-MATCH("temp_stage",[1]stages!$2:$2,0)+1,FALSE)</f>
        <v>ドロップイベント3</v>
      </c>
      <c r="I793" s="18">
        <v>0</v>
      </c>
      <c r="J793" s="5">
        <f>COUNTIF(C$1:C793,C793)</f>
        <v>33</v>
      </c>
      <c r="K793" s="34">
        <v>37</v>
      </c>
      <c r="L793" s="5" t="s">
        <v>17</v>
      </c>
      <c r="M793" s="38" t="str">
        <f>VLOOKUP(K793,[2]stage_hints!$A:$C,3,FALSE)</f>
        <v>限界突破値の引き継ぎ</v>
      </c>
      <c r="N793" s="39" t="str">
        <f>VLOOKUP(K793,[2]stage_hints!$A:$D,4,FALSE)</f>
        <v>同じユニットを強化で合成すると
限界突破値を引き継げます（覚醒前後も可）</v>
      </c>
      <c r="O793" s="20" t="s">
        <v>24</v>
      </c>
      <c r="P793">
        <v>37</v>
      </c>
    </row>
    <row r="794" spans="1:16" x14ac:dyDescent="0.15">
      <c r="A794" s="27" t="str">
        <f t="shared" si="75"/>
        <v>20012_3_1</v>
      </c>
      <c r="B794" s="25" t="s">
        <v>34</v>
      </c>
      <c r="C794" s="4">
        <v>20012</v>
      </c>
      <c r="D794" s="3" t="str">
        <f ca="1">VLOOKUP($C794,OFFSET([1]quests!$A$1,0,0,COUNTA([1]quests!$A:$A),MATCH(D$1,[1]quests!$1:$1,0)-MATCH($C$1,[1]quests!$1:$1,0)+1),MATCH(D$1,[1]quests!$1:$1,0)-MATCH($C$1,[1]quests!$1:$1,0)+1,FALSE)</f>
        <v>罪と劇薬</v>
      </c>
      <c r="E794" s="3" t="str">
        <f ca="1">VLOOKUP($C794,OFFSET([1]quests!$A$1,0,0,COUNTA([1]quests!$A:$A),MATCH(E$1,[1]quests!$1:$1,0)-MATCH($C$1,[1]quests!$1:$1,0)+1),MATCH(E$1,[1]quests!$1:$1,0)-MATCH($C$1,[1]quests!$1:$1,0)+1,FALSE)</f>
        <v>ドロップイベント3</v>
      </c>
      <c r="F794" s="5">
        <v>3</v>
      </c>
      <c r="G794" s="3" t="str">
        <f ca="1">VLOOKUP($C794&amp;"_"&amp;$F794,OFFSET([1]stages!$A$1,0,0,COUNTA([1]stages!$A:$A),MATCH(G$1,[1]stages!$2:$2,0)-MATCH("temp_stage",[1]stages!$2:$2,0)+1),MATCH(G$1,[1]stages!$2:$2,0)-MATCH("temp_stage",[1]stages!$2:$2,0)+1,FALSE)</f>
        <v>【上級】罪と劇薬</v>
      </c>
      <c r="H794" s="3" t="str">
        <f ca="1">VLOOKUP($C794&amp;"_"&amp;$F794,OFFSET([1]stages!$A$1,0,0,COUNTA([1]stages!$A:$A),MATCH(H$1,[1]stages!$2:$2,0)-MATCH("temp_stage",[1]stages!$2:$2,0)+1),MATCH(H$1,[1]stages!$2:$2,0)-MATCH("temp_stage",[1]stages!$2:$2,0)+1,FALSE)</f>
        <v>ドロップイベント3</v>
      </c>
      <c r="I794" s="18">
        <v>0</v>
      </c>
      <c r="J794" s="5">
        <f>COUNTIF(C$1:C794,C794)</f>
        <v>1</v>
      </c>
      <c r="K794" s="34">
        <v>3</v>
      </c>
      <c r="L794" s="5" t="s">
        <v>17</v>
      </c>
      <c r="M794" s="38" t="str">
        <f>VLOOKUP(K794,[2]stage_hints!$A:$C,3,FALSE)</f>
        <v>ターゲット</v>
      </c>
      <c r="N794" s="39" t="str">
        <f>VLOOKUP(K794,[2]stage_hints!$A:$D,4,FALSE)</f>
        <v>敵ユニットをタップすると
その敵を狙い撃ちできます</v>
      </c>
      <c r="O794" s="20" t="s">
        <v>24</v>
      </c>
      <c r="P794">
        <v>3</v>
      </c>
    </row>
    <row r="795" spans="1:16" x14ac:dyDescent="0.15">
      <c r="A795" s="27" t="str">
        <f t="shared" si="75"/>
        <v>20012_3_2</v>
      </c>
      <c r="B795" s="25" t="s">
        <v>34</v>
      </c>
      <c r="C795" s="4">
        <v>20012</v>
      </c>
      <c r="D795" s="3" t="str">
        <f ca="1">VLOOKUP($C795,OFFSET([1]quests!$A$1,0,0,COUNTA([1]quests!$A:$A),MATCH(D$1,[1]quests!$1:$1,0)-MATCH($C$1,[1]quests!$1:$1,0)+1),MATCH(D$1,[1]quests!$1:$1,0)-MATCH($C$1,[1]quests!$1:$1,0)+1,FALSE)</f>
        <v>罪と劇薬</v>
      </c>
      <c r="E795" s="3" t="str">
        <f ca="1">VLOOKUP($C795,OFFSET([1]quests!$A$1,0,0,COUNTA([1]quests!$A:$A),MATCH(E$1,[1]quests!$1:$1,0)-MATCH($C$1,[1]quests!$1:$1,0)+1),MATCH(E$1,[1]quests!$1:$1,0)-MATCH($C$1,[1]quests!$1:$1,0)+1,FALSE)</f>
        <v>ドロップイベント3</v>
      </c>
      <c r="F795" s="5">
        <v>3</v>
      </c>
      <c r="G795" s="3" t="str">
        <f ca="1">VLOOKUP($C795&amp;"_"&amp;$F795,OFFSET([1]stages!$A$1,0,0,COUNTA([1]stages!$A:$A),MATCH(G$1,[1]stages!$2:$2,0)-MATCH("temp_stage",[1]stages!$2:$2,0)+1),MATCH(G$1,[1]stages!$2:$2,0)-MATCH("temp_stage",[1]stages!$2:$2,0)+1,FALSE)</f>
        <v>【上級】罪と劇薬</v>
      </c>
      <c r="H795" s="3" t="str">
        <f ca="1">VLOOKUP($C795&amp;"_"&amp;$F795,OFFSET([1]stages!$A$1,0,0,COUNTA([1]stages!$A:$A),MATCH(H$1,[1]stages!$2:$2,0)-MATCH("temp_stage",[1]stages!$2:$2,0)+1),MATCH(H$1,[1]stages!$2:$2,0)-MATCH("temp_stage",[1]stages!$2:$2,0)+1,FALSE)</f>
        <v>ドロップイベント3</v>
      </c>
      <c r="I795" s="18">
        <v>0</v>
      </c>
      <c r="J795" s="5">
        <f>COUNTIF(C$1:C795,C795)</f>
        <v>2</v>
      </c>
      <c r="K795" s="34">
        <v>6</v>
      </c>
      <c r="L795" s="5" t="s">
        <v>17</v>
      </c>
      <c r="M795" s="38" t="str">
        <f>VLOOKUP(K795,[2]stage_hints!$A:$C,3,FALSE)</f>
        <v>ユニット強化の属性ボーナス</v>
      </c>
      <c r="N795" s="39" t="str">
        <f>VLOOKUP(K795,[2]stage_hints!$A:$D,4,FALSE)</f>
        <v>同属性ユニットを強化素材にすると
経験値が多くもらえます</v>
      </c>
      <c r="O795" s="20" t="s">
        <v>24</v>
      </c>
      <c r="P795">
        <v>6</v>
      </c>
    </row>
    <row r="796" spans="1:16" x14ac:dyDescent="0.15">
      <c r="A796" s="27" t="str">
        <f t="shared" si="75"/>
        <v>20012_3_3</v>
      </c>
      <c r="B796" s="25" t="s">
        <v>34</v>
      </c>
      <c r="C796" s="4">
        <v>20012</v>
      </c>
      <c r="D796" s="3" t="str">
        <f ca="1">VLOOKUP($C796,OFFSET([1]quests!$A$1,0,0,COUNTA([1]quests!$A:$A),MATCH(D$1,[1]quests!$1:$1,0)-MATCH($C$1,[1]quests!$1:$1,0)+1),MATCH(D$1,[1]quests!$1:$1,0)-MATCH($C$1,[1]quests!$1:$1,0)+1,FALSE)</f>
        <v>罪と劇薬</v>
      </c>
      <c r="E796" s="3" t="str">
        <f ca="1">VLOOKUP($C796,OFFSET([1]quests!$A$1,0,0,COUNTA([1]quests!$A:$A),MATCH(E$1,[1]quests!$1:$1,0)-MATCH($C$1,[1]quests!$1:$1,0)+1),MATCH(E$1,[1]quests!$1:$1,0)-MATCH($C$1,[1]quests!$1:$1,0)+1,FALSE)</f>
        <v>ドロップイベント3</v>
      </c>
      <c r="F796" s="5">
        <v>3</v>
      </c>
      <c r="G796" s="3" t="str">
        <f ca="1">VLOOKUP($C796&amp;"_"&amp;$F796,OFFSET([1]stages!$A$1,0,0,COUNTA([1]stages!$A:$A),MATCH(G$1,[1]stages!$2:$2,0)-MATCH("temp_stage",[1]stages!$2:$2,0)+1),MATCH(G$1,[1]stages!$2:$2,0)-MATCH("temp_stage",[1]stages!$2:$2,0)+1,FALSE)</f>
        <v>【上級】罪と劇薬</v>
      </c>
      <c r="H796" s="3" t="str">
        <f ca="1">VLOOKUP($C796&amp;"_"&amp;$F796,OFFSET([1]stages!$A$1,0,0,COUNTA([1]stages!$A:$A),MATCH(H$1,[1]stages!$2:$2,0)-MATCH("temp_stage",[1]stages!$2:$2,0)+1),MATCH(H$1,[1]stages!$2:$2,0)-MATCH("temp_stage",[1]stages!$2:$2,0)+1,FALSE)</f>
        <v>ドロップイベント3</v>
      </c>
      <c r="I796" s="18">
        <v>0</v>
      </c>
      <c r="J796" s="5">
        <f>COUNTIF(C$1:C796,C796)</f>
        <v>3</v>
      </c>
      <c r="K796" s="34">
        <v>7</v>
      </c>
      <c r="L796" s="5" t="s">
        <v>17</v>
      </c>
      <c r="M796" s="38" t="str">
        <f>VLOOKUP(K796,[2]stage_hints!$A:$C,3,FALSE)</f>
        <v>メタルダックで経験値を獲得</v>
      </c>
      <c r="N796" s="39" t="str">
        <f>VLOOKUP(K796,[2]stage_hints!$A:$D,4,FALSE)</f>
        <v>「メタルなアヒル」を強化素材にすると
大量の経験値がもらえます</v>
      </c>
      <c r="O796" s="20" t="s">
        <v>24</v>
      </c>
      <c r="P796">
        <v>7</v>
      </c>
    </row>
    <row r="797" spans="1:16" x14ac:dyDescent="0.15">
      <c r="A797" s="27" t="str">
        <f t="shared" si="75"/>
        <v>20012_3_4</v>
      </c>
      <c r="B797" s="25" t="s">
        <v>34</v>
      </c>
      <c r="C797" s="4">
        <v>20012</v>
      </c>
      <c r="D797" s="3" t="str">
        <f ca="1">VLOOKUP($C797,OFFSET([1]quests!$A$1,0,0,COUNTA([1]quests!$A:$A),MATCH(D$1,[1]quests!$1:$1,0)-MATCH($C$1,[1]quests!$1:$1,0)+1),MATCH(D$1,[1]quests!$1:$1,0)-MATCH($C$1,[1]quests!$1:$1,0)+1,FALSE)</f>
        <v>罪と劇薬</v>
      </c>
      <c r="E797" s="3" t="str">
        <f ca="1">VLOOKUP($C797,OFFSET([1]quests!$A$1,0,0,COUNTA([1]quests!$A:$A),MATCH(E$1,[1]quests!$1:$1,0)-MATCH($C$1,[1]quests!$1:$1,0)+1),MATCH(E$1,[1]quests!$1:$1,0)-MATCH($C$1,[1]quests!$1:$1,0)+1,FALSE)</f>
        <v>ドロップイベント3</v>
      </c>
      <c r="F797" s="5">
        <v>3</v>
      </c>
      <c r="G797" s="3" t="str">
        <f ca="1">VLOOKUP($C797&amp;"_"&amp;$F797,OFFSET([1]stages!$A$1,0,0,COUNTA([1]stages!$A:$A),MATCH(G$1,[1]stages!$2:$2,0)-MATCH("temp_stage",[1]stages!$2:$2,0)+1),MATCH(G$1,[1]stages!$2:$2,0)-MATCH("temp_stage",[1]stages!$2:$2,0)+1,FALSE)</f>
        <v>【上級】罪と劇薬</v>
      </c>
      <c r="H797" s="3" t="str">
        <f ca="1">VLOOKUP($C797&amp;"_"&amp;$F797,OFFSET([1]stages!$A$1,0,0,COUNTA([1]stages!$A:$A),MATCH(H$1,[1]stages!$2:$2,0)-MATCH("temp_stage",[1]stages!$2:$2,0)+1),MATCH(H$1,[1]stages!$2:$2,0)-MATCH("temp_stage",[1]stages!$2:$2,0)+1,FALSE)</f>
        <v>ドロップイベント3</v>
      </c>
      <c r="I797" s="18">
        <v>0</v>
      </c>
      <c r="J797" s="5">
        <f>COUNTIF(C$1:C797,C797)</f>
        <v>4</v>
      </c>
      <c r="K797" s="34">
        <v>8</v>
      </c>
      <c r="L797" s="5" t="s">
        <v>17</v>
      </c>
      <c r="M797" s="38" t="str">
        <f>VLOOKUP(K797,[2]stage_hints!$A:$C,3,FALSE)</f>
        <v>ゲリラクエストは要チェック</v>
      </c>
      <c r="N797" s="39" t="str">
        <f>VLOOKUP(K797,[2]stage_hints!$A:$D,4,FALSE)</f>
        <v>時間限定の「アヒル捕獲作戦」では
経験値素材ユニットが多く手に入ります</v>
      </c>
      <c r="O797" s="20" t="s">
        <v>24</v>
      </c>
      <c r="P797">
        <v>8</v>
      </c>
    </row>
    <row r="798" spans="1:16" x14ac:dyDescent="0.15">
      <c r="A798" s="27" t="str">
        <f t="shared" si="75"/>
        <v>20012_3_5</v>
      </c>
      <c r="B798" s="25" t="s">
        <v>34</v>
      </c>
      <c r="C798" s="4">
        <v>20012</v>
      </c>
      <c r="D798" s="3" t="str">
        <f ca="1">VLOOKUP($C798,OFFSET([1]quests!$A$1,0,0,COUNTA([1]quests!$A:$A),MATCH(D$1,[1]quests!$1:$1,0)-MATCH($C$1,[1]quests!$1:$1,0)+1),MATCH(D$1,[1]quests!$1:$1,0)-MATCH($C$1,[1]quests!$1:$1,0)+1,FALSE)</f>
        <v>罪と劇薬</v>
      </c>
      <c r="E798" s="3" t="str">
        <f ca="1">VLOOKUP($C798,OFFSET([1]quests!$A$1,0,0,COUNTA([1]quests!$A:$A),MATCH(E$1,[1]quests!$1:$1,0)-MATCH($C$1,[1]quests!$1:$1,0)+1),MATCH(E$1,[1]quests!$1:$1,0)-MATCH($C$1,[1]quests!$1:$1,0)+1,FALSE)</f>
        <v>ドロップイベント3</v>
      </c>
      <c r="F798" s="5">
        <v>3</v>
      </c>
      <c r="G798" s="3" t="str">
        <f ca="1">VLOOKUP($C798&amp;"_"&amp;$F798,OFFSET([1]stages!$A$1,0,0,COUNTA([1]stages!$A:$A),MATCH(G$1,[1]stages!$2:$2,0)-MATCH("temp_stage",[1]stages!$2:$2,0)+1),MATCH(G$1,[1]stages!$2:$2,0)-MATCH("temp_stage",[1]stages!$2:$2,0)+1,FALSE)</f>
        <v>【上級】罪と劇薬</v>
      </c>
      <c r="H798" s="3" t="str">
        <f ca="1">VLOOKUP($C798&amp;"_"&amp;$F798,OFFSET([1]stages!$A$1,0,0,COUNTA([1]stages!$A:$A),MATCH(H$1,[1]stages!$2:$2,0)-MATCH("temp_stage",[1]stages!$2:$2,0)+1),MATCH(H$1,[1]stages!$2:$2,0)-MATCH("temp_stage",[1]stages!$2:$2,0)+1,FALSE)</f>
        <v>ドロップイベント3</v>
      </c>
      <c r="I798" s="18">
        <v>0</v>
      </c>
      <c r="J798" s="5">
        <f>COUNTIF(C$1:C798,C798)</f>
        <v>5</v>
      </c>
      <c r="K798" s="34">
        <v>9</v>
      </c>
      <c r="L798" s="5" t="s">
        <v>17</v>
      </c>
      <c r="M798" s="38" t="str">
        <f>VLOOKUP(K798,[2]stage_hints!$A:$C,3,FALSE)</f>
        <v>ゴールドダックでビットを獲得</v>
      </c>
      <c r="N798" s="39" t="str">
        <f>VLOOKUP(K798,[2]stage_hints!$A:$D,4,FALSE)</f>
        <v>「ゴールドなアヒル」を売却すると
大量のビットがもらえます</v>
      </c>
      <c r="O798" s="20" t="s">
        <v>24</v>
      </c>
      <c r="P798">
        <v>9</v>
      </c>
    </row>
    <row r="799" spans="1:16" x14ac:dyDescent="0.15">
      <c r="A799" s="27" t="str">
        <f t="shared" si="75"/>
        <v>20012_3_6</v>
      </c>
      <c r="B799" s="25" t="s">
        <v>34</v>
      </c>
      <c r="C799" s="4">
        <v>20012</v>
      </c>
      <c r="D799" s="3" t="str">
        <f ca="1">VLOOKUP($C799,OFFSET([1]quests!$A$1,0,0,COUNTA([1]quests!$A:$A),MATCH(D$1,[1]quests!$1:$1,0)-MATCH($C$1,[1]quests!$1:$1,0)+1),MATCH(D$1,[1]quests!$1:$1,0)-MATCH($C$1,[1]quests!$1:$1,0)+1,FALSE)</f>
        <v>罪と劇薬</v>
      </c>
      <c r="E799" s="3" t="str">
        <f ca="1">VLOOKUP($C799,OFFSET([1]quests!$A$1,0,0,COUNTA([1]quests!$A:$A),MATCH(E$1,[1]quests!$1:$1,0)-MATCH($C$1,[1]quests!$1:$1,0)+1),MATCH(E$1,[1]quests!$1:$1,0)-MATCH($C$1,[1]quests!$1:$1,0)+1,FALSE)</f>
        <v>ドロップイベント3</v>
      </c>
      <c r="F799" s="5">
        <v>3</v>
      </c>
      <c r="G799" s="3" t="str">
        <f ca="1">VLOOKUP($C799&amp;"_"&amp;$F799,OFFSET([1]stages!$A$1,0,0,COUNTA([1]stages!$A:$A),MATCH(G$1,[1]stages!$2:$2,0)-MATCH("temp_stage",[1]stages!$2:$2,0)+1),MATCH(G$1,[1]stages!$2:$2,0)-MATCH("temp_stage",[1]stages!$2:$2,0)+1,FALSE)</f>
        <v>【上級】罪と劇薬</v>
      </c>
      <c r="H799" s="3" t="str">
        <f ca="1">VLOOKUP($C799&amp;"_"&amp;$F799,OFFSET([1]stages!$A$1,0,0,COUNTA([1]stages!$A:$A),MATCH(H$1,[1]stages!$2:$2,0)-MATCH("temp_stage",[1]stages!$2:$2,0)+1),MATCH(H$1,[1]stages!$2:$2,0)-MATCH("temp_stage",[1]stages!$2:$2,0)+1,FALSE)</f>
        <v>ドロップイベント3</v>
      </c>
      <c r="I799" s="18">
        <v>0</v>
      </c>
      <c r="J799" s="5">
        <f>COUNTIF(C$1:C799,C799)</f>
        <v>6</v>
      </c>
      <c r="K799" s="34">
        <v>10</v>
      </c>
      <c r="L799" s="5" t="s">
        <v>17</v>
      </c>
      <c r="M799" s="38" t="str">
        <f>VLOOKUP(K799,[2]stage_hints!$A:$C,3,FALSE)</f>
        <v>土日に大量のビットを獲得</v>
      </c>
      <c r="N799" s="39" t="str">
        <f>VLOOKUP(K799,[2]stage_hints!$A:$D,4,FALSE)</f>
        <v>土日限定の「ゴールドカジノ」では
売却素材ユニットが多く手に入ります</v>
      </c>
      <c r="O799" s="20" t="s">
        <v>24</v>
      </c>
      <c r="P799">
        <v>10</v>
      </c>
    </row>
    <row r="800" spans="1:16" x14ac:dyDescent="0.15">
      <c r="A800" s="27" t="str">
        <f t="shared" si="75"/>
        <v>20012_3_7</v>
      </c>
      <c r="B800" s="25" t="s">
        <v>34</v>
      </c>
      <c r="C800" s="4">
        <v>20012</v>
      </c>
      <c r="D800" s="3" t="str">
        <f ca="1">VLOOKUP($C800,OFFSET([1]quests!$A$1,0,0,COUNTA([1]quests!$A:$A),MATCH(D$1,[1]quests!$1:$1,0)-MATCH($C$1,[1]quests!$1:$1,0)+1),MATCH(D$1,[1]quests!$1:$1,0)-MATCH($C$1,[1]quests!$1:$1,0)+1,FALSE)</f>
        <v>罪と劇薬</v>
      </c>
      <c r="E800" s="3" t="str">
        <f ca="1">VLOOKUP($C800,OFFSET([1]quests!$A$1,0,0,COUNTA([1]quests!$A:$A),MATCH(E$1,[1]quests!$1:$1,0)-MATCH($C$1,[1]quests!$1:$1,0)+1),MATCH(E$1,[1]quests!$1:$1,0)-MATCH($C$1,[1]quests!$1:$1,0)+1,FALSE)</f>
        <v>ドロップイベント3</v>
      </c>
      <c r="F800" s="5">
        <v>3</v>
      </c>
      <c r="G800" s="3" t="str">
        <f ca="1">VLOOKUP($C800&amp;"_"&amp;$F800,OFFSET([1]stages!$A$1,0,0,COUNTA([1]stages!$A:$A),MATCH(G$1,[1]stages!$2:$2,0)-MATCH("temp_stage",[1]stages!$2:$2,0)+1),MATCH(G$1,[1]stages!$2:$2,0)-MATCH("temp_stage",[1]stages!$2:$2,0)+1,FALSE)</f>
        <v>【上級】罪と劇薬</v>
      </c>
      <c r="H800" s="3" t="str">
        <f ca="1">VLOOKUP($C800&amp;"_"&amp;$F800,OFFSET([1]stages!$A$1,0,0,COUNTA([1]stages!$A:$A),MATCH(H$1,[1]stages!$2:$2,0)-MATCH("temp_stage",[1]stages!$2:$2,0)+1),MATCH(H$1,[1]stages!$2:$2,0)-MATCH("temp_stage",[1]stages!$2:$2,0)+1,FALSE)</f>
        <v>ドロップイベント3</v>
      </c>
      <c r="I800" s="18">
        <v>0</v>
      </c>
      <c r="J800" s="5">
        <f>COUNTIF(C$1:C800,C800)</f>
        <v>7</v>
      </c>
      <c r="K800" s="34">
        <v>11</v>
      </c>
      <c r="L800" s="5" t="s">
        <v>17</v>
      </c>
      <c r="M800" s="38" t="str">
        <f>VLOOKUP(K800,[2]stage_hints!$A:$C,3,FALSE)</f>
        <v>ランク解放クエスト</v>
      </c>
      <c r="N800" s="39" t="str">
        <f>VLOOKUP(K800,[2]stage_hints!$A:$D,4,FALSE)</f>
        <v>一定ランクに到達すると
報酬付きのランク開放クエストが現れます</v>
      </c>
      <c r="O800" s="20" t="s">
        <v>24</v>
      </c>
      <c r="P800">
        <v>11</v>
      </c>
    </row>
    <row r="801" spans="1:16" x14ac:dyDescent="0.15">
      <c r="A801" s="27" t="str">
        <f t="shared" si="75"/>
        <v>20012_3_8</v>
      </c>
      <c r="B801" s="25" t="s">
        <v>34</v>
      </c>
      <c r="C801" s="4">
        <v>20012</v>
      </c>
      <c r="D801" s="3" t="str">
        <f ca="1">VLOOKUP($C801,OFFSET([1]quests!$A$1,0,0,COUNTA([1]quests!$A:$A),MATCH(D$1,[1]quests!$1:$1,0)-MATCH($C$1,[1]quests!$1:$1,0)+1),MATCH(D$1,[1]quests!$1:$1,0)-MATCH($C$1,[1]quests!$1:$1,0)+1,FALSE)</f>
        <v>罪と劇薬</v>
      </c>
      <c r="E801" s="3" t="str">
        <f ca="1">VLOOKUP($C801,OFFSET([1]quests!$A$1,0,0,COUNTA([1]quests!$A:$A),MATCH(E$1,[1]quests!$1:$1,0)-MATCH($C$1,[1]quests!$1:$1,0)+1),MATCH(E$1,[1]quests!$1:$1,0)-MATCH($C$1,[1]quests!$1:$1,0)+1,FALSE)</f>
        <v>ドロップイベント3</v>
      </c>
      <c r="F801" s="5">
        <v>3</v>
      </c>
      <c r="G801" s="3" t="str">
        <f ca="1">VLOOKUP($C801&amp;"_"&amp;$F801,OFFSET([1]stages!$A$1,0,0,COUNTA([1]stages!$A:$A),MATCH(G$1,[1]stages!$2:$2,0)-MATCH("temp_stage",[1]stages!$2:$2,0)+1),MATCH(G$1,[1]stages!$2:$2,0)-MATCH("temp_stage",[1]stages!$2:$2,0)+1,FALSE)</f>
        <v>【上級】罪と劇薬</v>
      </c>
      <c r="H801" s="3" t="str">
        <f ca="1">VLOOKUP($C801&amp;"_"&amp;$F801,OFFSET([1]stages!$A$1,0,0,COUNTA([1]stages!$A:$A),MATCH(H$1,[1]stages!$2:$2,0)-MATCH("temp_stage",[1]stages!$2:$2,0)+1),MATCH(H$1,[1]stages!$2:$2,0)-MATCH("temp_stage",[1]stages!$2:$2,0)+1,FALSE)</f>
        <v>ドロップイベント3</v>
      </c>
      <c r="I801" s="18">
        <v>0</v>
      </c>
      <c r="J801" s="5">
        <f>COUNTIF(C$1:C801,C801)</f>
        <v>8</v>
      </c>
      <c r="K801" s="34">
        <v>12</v>
      </c>
      <c r="L801" s="5" t="s">
        <v>17</v>
      </c>
      <c r="M801" s="38" t="str">
        <f>VLOOKUP(K801,[2]stage_hints!$A:$C,3,FALSE)</f>
        <v>ユニットのお気に入り登録</v>
      </c>
      <c r="N801" s="39" t="str">
        <f>VLOOKUP(K801,[2]stage_hints!$A:$D,4,FALSE)</f>
        <v>大事なユニットを誤って消さないように
フォルダから「お気に入り登録」しましょう</v>
      </c>
      <c r="O801" s="20" t="s">
        <v>24</v>
      </c>
      <c r="P801">
        <v>12</v>
      </c>
    </row>
    <row r="802" spans="1:16" x14ac:dyDescent="0.15">
      <c r="A802" s="27" t="str">
        <f t="shared" si="75"/>
        <v>20012_3_9</v>
      </c>
      <c r="B802" s="25" t="s">
        <v>34</v>
      </c>
      <c r="C802" s="4">
        <v>20012</v>
      </c>
      <c r="D802" s="3" t="str">
        <f ca="1">VLOOKUP($C802,OFFSET([1]quests!$A$1,0,0,COUNTA([1]quests!$A:$A),MATCH(D$1,[1]quests!$1:$1,0)-MATCH($C$1,[1]quests!$1:$1,0)+1),MATCH(D$1,[1]quests!$1:$1,0)-MATCH($C$1,[1]quests!$1:$1,0)+1,FALSE)</f>
        <v>罪と劇薬</v>
      </c>
      <c r="E802" s="3" t="str">
        <f ca="1">VLOOKUP($C802,OFFSET([1]quests!$A$1,0,0,COUNTA([1]quests!$A:$A),MATCH(E$1,[1]quests!$1:$1,0)-MATCH($C$1,[1]quests!$1:$1,0)+1),MATCH(E$1,[1]quests!$1:$1,0)-MATCH($C$1,[1]quests!$1:$1,0)+1,FALSE)</f>
        <v>ドロップイベント3</v>
      </c>
      <c r="F802" s="5">
        <v>3</v>
      </c>
      <c r="G802" s="3" t="str">
        <f ca="1">VLOOKUP($C802&amp;"_"&amp;$F802,OFFSET([1]stages!$A$1,0,0,COUNTA([1]stages!$A:$A),MATCH(G$1,[1]stages!$2:$2,0)-MATCH("temp_stage",[1]stages!$2:$2,0)+1),MATCH(G$1,[1]stages!$2:$2,0)-MATCH("temp_stage",[1]stages!$2:$2,0)+1,FALSE)</f>
        <v>【上級】罪と劇薬</v>
      </c>
      <c r="H802" s="3" t="str">
        <f ca="1">VLOOKUP($C802&amp;"_"&amp;$F802,OFFSET([1]stages!$A$1,0,0,COUNTA([1]stages!$A:$A),MATCH(H$1,[1]stages!$2:$2,0)-MATCH("temp_stage",[1]stages!$2:$2,0)+1),MATCH(H$1,[1]stages!$2:$2,0)-MATCH("temp_stage",[1]stages!$2:$2,0)+1,FALSE)</f>
        <v>ドロップイベント3</v>
      </c>
      <c r="I802" s="18">
        <v>0</v>
      </c>
      <c r="J802" s="5">
        <f>COUNTIF(C$1:C802,C802)</f>
        <v>9</v>
      </c>
      <c r="K802" s="34">
        <v>13</v>
      </c>
      <c r="L802" s="5" t="s">
        <v>17</v>
      </c>
      <c r="M802" s="38" t="str">
        <f>VLOOKUP(K802,[2]stage_hints!$A:$C,3,FALSE)</f>
        <v>ユニットの覚醒</v>
      </c>
      <c r="N802" s="39" t="str">
        <f>VLOOKUP(K802,[2]stage_hints!$A:$D,4,FALSE)</f>
        <v>ユニットを覚醒させると
比べものにならない強さが手に入ります</v>
      </c>
      <c r="O802" s="20" t="s">
        <v>24</v>
      </c>
      <c r="P802">
        <v>13</v>
      </c>
    </row>
    <row r="803" spans="1:16" x14ac:dyDescent="0.15">
      <c r="A803" s="27" t="str">
        <f t="shared" si="75"/>
        <v>20012_3_10</v>
      </c>
      <c r="B803" s="25" t="s">
        <v>34</v>
      </c>
      <c r="C803" s="4">
        <v>20012</v>
      </c>
      <c r="D803" s="3" t="str">
        <f ca="1">VLOOKUP($C803,OFFSET([1]quests!$A$1,0,0,COUNTA([1]quests!$A:$A),MATCH(D$1,[1]quests!$1:$1,0)-MATCH($C$1,[1]quests!$1:$1,0)+1),MATCH(D$1,[1]quests!$1:$1,0)-MATCH($C$1,[1]quests!$1:$1,0)+1,FALSE)</f>
        <v>罪と劇薬</v>
      </c>
      <c r="E803" s="3" t="str">
        <f ca="1">VLOOKUP($C803,OFFSET([1]quests!$A$1,0,0,COUNTA([1]quests!$A:$A),MATCH(E$1,[1]quests!$1:$1,0)-MATCH($C$1,[1]quests!$1:$1,0)+1),MATCH(E$1,[1]quests!$1:$1,0)-MATCH($C$1,[1]quests!$1:$1,0)+1,FALSE)</f>
        <v>ドロップイベント3</v>
      </c>
      <c r="F803" s="5">
        <v>3</v>
      </c>
      <c r="G803" s="3" t="str">
        <f ca="1">VLOOKUP($C803&amp;"_"&amp;$F803,OFFSET([1]stages!$A$1,0,0,COUNTA([1]stages!$A:$A),MATCH(G$1,[1]stages!$2:$2,0)-MATCH("temp_stage",[1]stages!$2:$2,0)+1),MATCH(G$1,[1]stages!$2:$2,0)-MATCH("temp_stage",[1]stages!$2:$2,0)+1,FALSE)</f>
        <v>【上級】罪と劇薬</v>
      </c>
      <c r="H803" s="3" t="str">
        <f ca="1">VLOOKUP($C803&amp;"_"&amp;$F803,OFFSET([1]stages!$A$1,0,0,COUNTA([1]stages!$A:$A),MATCH(H$1,[1]stages!$2:$2,0)-MATCH("temp_stage",[1]stages!$2:$2,0)+1),MATCH(H$1,[1]stages!$2:$2,0)-MATCH("temp_stage",[1]stages!$2:$2,0)+1,FALSE)</f>
        <v>ドロップイベント3</v>
      </c>
      <c r="I803" s="18">
        <v>0</v>
      </c>
      <c r="J803" s="5">
        <f>COUNTIF(C$1:C803,C803)</f>
        <v>10</v>
      </c>
      <c r="K803" s="34">
        <v>14</v>
      </c>
      <c r="L803" s="5" t="s">
        <v>17</v>
      </c>
      <c r="M803" s="38" t="str">
        <f>VLOOKUP(K803,[2]stage_hints!$A:$C,3,FALSE)</f>
        <v>覚醒するにはレベルを最大に</v>
      </c>
      <c r="N803" s="39" t="str">
        <f>VLOOKUP(K803,[2]stage_hints!$A:$D,4,FALSE)</f>
        <v>覚醒するにはユニットのレベルを
最大まで上げる必要があります</v>
      </c>
      <c r="O803" s="20" t="s">
        <v>24</v>
      </c>
      <c r="P803">
        <v>14</v>
      </c>
    </row>
    <row r="804" spans="1:16" x14ac:dyDescent="0.15">
      <c r="A804" s="27" t="str">
        <f t="shared" si="75"/>
        <v>20012_3_11</v>
      </c>
      <c r="B804" s="25" t="s">
        <v>34</v>
      </c>
      <c r="C804" s="4">
        <v>20012</v>
      </c>
      <c r="D804" s="3" t="str">
        <f ca="1">VLOOKUP($C804,OFFSET([1]quests!$A$1,0,0,COUNTA([1]quests!$A:$A),MATCH(D$1,[1]quests!$1:$1,0)-MATCH($C$1,[1]quests!$1:$1,0)+1),MATCH(D$1,[1]quests!$1:$1,0)-MATCH($C$1,[1]quests!$1:$1,0)+1,FALSE)</f>
        <v>罪と劇薬</v>
      </c>
      <c r="E804" s="3" t="str">
        <f ca="1">VLOOKUP($C804,OFFSET([1]quests!$A$1,0,0,COUNTA([1]quests!$A:$A),MATCH(E$1,[1]quests!$1:$1,0)-MATCH($C$1,[1]quests!$1:$1,0)+1),MATCH(E$1,[1]quests!$1:$1,0)-MATCH($C$1,[1]quests!$1:$1,0)+1,FALSE)</f>
        <v>ドロップイベント3</v>
      </c>
      <c r="F804" s="5">
        <v>3</v>
      </c>
      <c r="G804" s="3" t="str">
        <f ca="1">VLOOKUP($C804&amp;"_"&amp;$F804,OFFSET([1]stages!$A$1,0,0,COUNTA([1]stages!$A:$A),MATCH(G$1,[1]stages!$2:$2,0)-MATCH("temp_stage",[1]stages!$2:$2,0)+1),MATCH(G$1,[1]stages!$2:$2,0)-MATCH("temp_stage",[1]stages!$2:$2,0)+1,FALSE)</f>
        <v>【上級】罪と劇薬</v>
      </c>
      <c r="H804" s="3" t="str">
        <f ca="1">VLOOKUP($C804&amp;"_"&amp;$F804,OFFSET([1]stages!$A$1,0,0,COUNTA([1]stages!$A:$A),MATCH(H$1,[1]stages!$2:$2,0)-MATCH("temp_stage",[1]stages!$2:$2,0)+1),MATCH(H$1,[1]stages!$2:$2,0)-MATCH("temp_stage",[1]stages!$2:$2,0)+1,FALSE)</f>
        <v>ドロップイベント3</v>
      </c>
      <c r="I804" s="18">
        <v>0</v>
      </c>
      <c r="J804" s="5">
        <f>COUNTIF(C$1:C804,C804)</f>
        <v>11</v>
      </c>
      <c r="K804" s="34">
        <v>15</v>
      </c>
      <c r="L804" s="5" t="s">
        <v>17</v>
      </c>
      <c r="M804" s="38" t="str">
        <f>VLOOKUP(K804,[2]stage_hints!$A:$C,3,FALSE)</f>
        <v>覚醒素材を獲得</v>
      </c>
      <c r="N804" s="39" t="str">
        <f>VLOOKUP(K804,[2]stage_hints!$A:$D,4,FALSE)</f>
        <v>「曜日クエスト」では
ユニットの覚醒に必要な素材が手に入ります</v>
      </c>
      <c r="O804" s="20" t="s">
        <v>24</v>
      </c>
      <c r="P804">
        <v>15</v>
      </c>
    </row>
    <row r="805" spans="1:16" x14ac:dyDescent="0.15">
      <c r="A805" s="27" t="str">
        <f t="shared" si="75"/>
        <v>20012_3_12</v>
      </c>
      <c r="B805" s="25" t="s">
        <v>34</v>
      </c>
      <c r="C805" s="4">
        <v>20012</v>
      </c>
      <c r="D805" s="3" t="str">
        <f ca="1">VLOOKUP($C805,OFFSET([1]quests!$A$1,0,0,COUNTA([1]quests!$A:$A),MATCH(D$1,[1]quests!$1:$1,0)-MATCH($C$1,[1]quests!$1:$1,0)+1),MATCH(D$1,[1]quests!$1:$1,0)-MATCH($C$1,[1]quests!$1:$1,0)+1,FALSE)</f>
        <v>罪と劇薬</v>
      </c>
      <c r="E805" s="3" t="str">
        <f ca="1">VLOOKUP($C805,OFFSET([1]quests!$A$1,0,0,COUNTA([1]quests!$A:$A),MATCH(E$1,[1]quests!$1:$1,0)-MATCH($C$1,[1]quests!$1:$1,0)+1),MATCH(E$1,[1]quests!$1:$1,0)-MATCH($C$1,[1]quests!$1:$1,0)+1,FALSE)</f>
        <v>ドロップイベント3</v>
      </c>
      <c r="F805" s="5">
        <v>3</v>
      </c>
      <c r="G805" s="3" t="str">
        <f ca="1">VLOOKUP($C805&amp;"_"&amp;$F805,OFFSET([1]stages!$A$1,0,0,COUNTA([1]stages!$A:$A),MATCH(G$1,[1]stages!$2:$2,0)-MATCH("temp_stage",[1]stages!$2:$2,0)+1),MATCH(G$1,[1]stages!$2:$2,0)-MATCH("temp_stage",[1]stages!$2:$2,0)+1,FALSE)</f>
        <v>【上級】罪と劇薬</v>
      </c>
      <c r="H805" s="3" t="str">
        <f ca="1">VLOOKUP($C805&amp;"_"&amp;$F805,OFFSET([1]stages!$A$1,0,0,COUNTA([1]stages!$A:$A),MATCH(H$1,[1]stages!$2:$2,0)-MATCH("temp_stage",[1]stages!$2:$2,0)+1),MATCH(H$1,[1]stages!$2:$2,0)-MATCH("temp_stage",[1]stages!$2:$2,0)+1,FALSE)</f>
        <v>ドロップイベント3</v>
      </c>
      <c r="I805" s="18">
        <v>0</v>
      </c>
      <c r="J805" s="5">
        <f>COUNTIF(C$1:C805,C805)</f>
        <v>12</v>
      </c>
      <c r="K805" s="34">
        <v>16</v>
      </c>
      <c r="L805" s="5" t="s">
        <v>17</v>
      </c>
      <c r="M805" s="38" t="str">
        <f>VLOOKUP(K805,[2]stage_hints!$A:$C,3,FALSE)</f>
        <v>マルチプレイのメリット（その1）</v>
      </c>
      <c r="N805" s="39" t="str">
        <f>VLOOKUP(K805,[2]stage_hints!$A:$D,4,FALSE)</f>
        <v>他のプレイヤーとマルチプレイで遊ぶと
ポリゴンがもらえます（100人まで）</v>
      </c>
      <c r="O805" s="20" t="s">
        <v>24</v>
      </c>
      <c r="P805">
        <v>16</v>
      </c>
    </row>
    <row r="806" spans="1:16" x14ac:dyDescent="0.15">
      <c r="A806" s="27" t="str">
        <f t="shared" si="75"/>
        <v>20012_3_13</v>
      </c>
      <c r="B806" s="25" t="s">
        <v>34</v>
      </c>
      <c r="C806" s="4">
        <v>20012</v>
      </c>
      <c r="D806" s="3" t="str">
        <f ca="1">VLOOKUP($C806,OFFSET([1]quests!$A$1,0,0,COUNTA([1]quests!$A:$A),MATCH(D$1,[1]quests!$1:$1,0)-MATCH($C$1,[1]quests!$1:$1,0)+1),MATCH(D$1,[1]quests!$1:$1,0)-MATCH($C$1,[1]quests!$1:$1,0)+1,FALSE)</f>
        <v>罪と劇薬</v>
      </c>
      <c r="E806" s="3" t="str">
        <f ca="1">VLOOKUP($C806,OFFSET([1]quests!$A$1,0,0,COUNTA([1]quests!$A:$A),MATCH(E$1,[1]quests!$1:$1,0)-MATCH($C$1,[1]quests!$1:$1,0)+1),MATCH(E$1,[1]quests!$1:$1,0)-MATCH($C$1,[1]quests!$1:$1,0)+1,FALSE)</f>
        <v>ドロップイベント3</v>
      </c>
      <c r="F806" s="5">
        <v>3</v>
      </c>
      <c r="G806" s="3" t="str">
        <f ca="1">VLOOKUP($C806&amp;"_"&amp;$F806,OFFSET([1]stages!$A$1,0,0,COUNTA([1]stages!$A:$A),MATCH(G$1,[1]stages!$2:$2,0)-MATCH("temp_stage",[1]stages!$2:$2,0)+1),MATCH(G$1,[1]stages!$2:$2,0)-MATCH("temp_stage",[1]stages!$2:$2,0)+1,FALSE)</f>
        <v>【上級】罪と劇薬</v>
      </c>
      <c r="H806" s="3" t="str">
        <f ca="1">VLOOKUP($C806&amp;"_"&amp;$F806,OFFSET([1]stages!$A$1,0,0,COUNTA([1]stages!$A:$A),MATCH(H$1,[1]stages!$2:$2,0)-MATCH("temp_stage",[1]stages!$2:$2,0)+1),MATCH(H$1,[1]stages!$2:$2,0)-MATCH("temp_stage",[1]stages!$2:$2,0)+1,FALSE)</f>
        <v>ドロップイベント3</v>
      </c>
      <c r="I806" s="18">
        <v>0</v>
      </c>
      <c r="J806" s="5">
        <f>COUNTIF(C$1:C806,C806)</f>
        <v>13</v>
      </c>
      <c r="K806" s="34">
        <v>17</v>
      </c>
      <c r="L806" s="5" t="s">
        <v>17</v>
      </c>
      <c r="M806" s="38" t="str">
        <f>VLOOKUP(K806,[2]stage_hints!$A:$C,3,FALSE)</f>
        <v>リンクガチャ</v>
      </c>
      <c r="N806" s="39" t="str">
        <f>VLOOKUP(K806,[2]stage_hints!$A:$D,4,FALSE)</f>
        <v>無料のリンクガチャを回して
経験値素材や売却素材を獲得しましょう</v>
      </c>
      <c r="O806" s="20" t="s">
        <v>24</v>
      </c>
      <c r="P806">
        <v>17</v>
      </c>
    </row>
    <row r="807" spans="1:16" x14ac:dyDescent="0.15">
      <c r="A807" s="27" t="str">
        <f t="shared" si="75"/>
        <v>20012_3_14</v>
      </c>
      <c r="B807" s="25" t="s">
        <v>34</v>
      </c>
      <c r="C807" s="4">
        <v>20012</v>
      </c>
      <c r="D807" s="3" t="str">
        <f ca="1">VLOOKUP($C807,OFFSET([1]quests!$A$1,0,0,COUNTA([1]quests!$A:$A),MATCH(D$1,[1]quests!$1:$1,0)-MATCH($C$1,[1]quests!$1:$1,0)+1),MATCH(D$1,[1]quests!$1:$1,0)-MATCH($C$1,[1]quests!$1:$1,0)+1,FALSE)</f>
        <v>罪と劇薬</v>
      </c>
      <c r="E807" s="3" t="str">
        <f ca="1">VLOOKUP($C807,OFFSET([1]quests!$A$1,0,0,COUNTA([1]quests!$A:$A),MATCH(E$1,[1]quests!$1:$1,0)-MATCH($C$1,[1]quests!$1:$1,0)+1),MATCH(E$1,[1]quests!$1:$1,0)-MATCH($C$1,[1]quests!$1:$1,0)+1,FALSE)</f>
        <v>ドロップイベント3</v>
      </c>
      <c r="F807" s="5">
        <v>3</v>
      </c>
      <c r="G807" s="3" t="str">
        <f ca="1">VLOOKUP($C807&amp;"_"&amp;$F807,OFFSET([1]stages!$A$1,0,0,COUNTA([1]stages!$A:$A),MATCH(G$1,[1]stages!$2:$2,0)-MATCH("temp_stage",[1]stages!$2:$2,0)+1),MATCH(G$1,[1]stages!$2:$2,0)-MATCH("temp_stage",[1]stages!$2:$2,0)+1,FALSE)</f>
        <v>【上級】罪と劇薬</v>
      </c>
      <c r="H807" s="3" t="str">
        <f ca="1">VLOOKUP($C807&amp;"_"&amp;$F807,OFFSET([1]stages!$A$1,0,0,COUNTA([1]stages!$A:$A),MATCH(H$1,[1]stages!$2:$2,0)-MATCH("temp_stage",[1]stages!$2:$2,0)+1),MATCH(H$1,[1]stages!$2:$2,0)-MATCH("temp_stage",[1]stages!$2:$2,0)+1,FALSE)</f>
        <v>ドロップイベント3</v>
      </c>
      <c r="I807" s="18">
        <v>0</v>
      </c>
      <c r="J807" s="5">
        <f>COUNTIF(C$1:C807,C807)</f>
        <v>14</v>
      </c>
      <c r="K807" s="34">
        <v>18</v>
      </c>
      <c r="L807" s="5" t="s">
        <v>17</v>
      </c>
      <c r="M807" s="38" t="str">
        <f>VLOOKUP(K807,[2]stage_hints!$A:$C,3,FALSE)</f>
        <v>マルチプレイのメリット（その2）</v>
      </c>
      <c r="N807" s="39" t="str">
        <f>VLOOKUP(K807,[2]stage_hints!$A:$D,4,FALSE)</f>
        <v>マルチプレイならリンクが2倍もらえます
リンクガチャをたくさん回しましょう</v>
      </c>
      <c r="O807" s="20" t="s">
        <v>24</v>
      </c>
      <c r="P807">
        <v>18</v>
      </c>
    </row>
    <row r="808" spans="1:16" x14ac:dyDescent="0.15">
      <c r="A808" s="27" t="str">
        <f t="shared" ref="A808:A871" si="76">C808&amp;"_"&amp;F808&amp;"_"&amp;J808</f>
        <v>20012_3_15</v>
      </c>
      <c r="B808" s="25" t="s">
        <v>34</v>
      </c>
      <c r="C808" s="4">
        <v>20012</v>
      </c>
      <c r="D808" s="3" t="str">
        <f ca="1">VLOOKUP($C808,OFFSET([1]quests!$A$1,0,0,COUNTA([1]quests!$A:$A),MATCH(D$1,[1]quests!$1:$1,0)-MATCH($C$1,[1]quests!$1:$1,0)+1),MATCH(D$1,[1]quests!$1:$1,0)-MATCH($C$1,[1]quests!$1:$1,0)+1,FALSE)</f>
        <v>罪と劇薬</v>
      </c>
      <c r="E808" s="3" t="str">
        <f ca="1">VLOOKUP($C808,OFFSET([1]quests!$A$1,0,0,COUNTA([1]quests!$A:$A),MATCH(E$1,[1]quests!$1:$1,0)-MATCH($C$1,[1]quests!$1:$1,0)+1),MATCH(E$1,[1]quests!$1:$1,0)-MATCH($C$1,[1]quests!$1:$1,0)+1,FALSE)</f>
        <v>ドロップイベント3</v>
      </c>
      <c r="F808" s="5">
        <v>3</v>
      </c>
      <c r="G808" s="3" t="str">
        <f ca="1">VLOOKUP($C808&amp;"_"&amp;$F808,OFFSET([1]stages!$A$1,0,0,COUNTA([1]stages!$A:$A),MATCH(G$1,[1]stages!$2:$2,0)-MATCH("temp_stage",[1]stages!$2:$2,0)+1),MATCH(G$1,[1]stages!$2:$2,0)-MATCH("temp_stage",[1]stages!$2:$2,0)+1,FALSE)</f>
        <v>【上級】罪と劇薬</v>
      </c>
      <c r="H808" s="3" t="str">
        <f ca="1">VLOOKUP($C808&amp;"_"&amp;$F808,OFFSET([1]stages!$A$1,0,0,COUNTA([1]stages!$A:$A),MATCH(H$1,[1]stages!$2:$2,0)-MATCH("temp_stage",[1]stages!$2:$2,0)+1),MATCH(H$1,[1]stages!$2:$2,0)-MATCH("temp_stage",[1]stages!$2:$2,0)+1,FALSE)</f>
        <v>ドロップイベント3</v>
      </c>
      <c r="I808" s="18">
        <v>0</v>
      </c>
      <c r="J808" s="5">
        <f>COUNTIF(C$1:C808,C808)</f>
        <v>15</v>
      </c>
      <c r="K808" s="34">
        <v>19</v>
      </c>
      <c r="L808" s="5" t="s">
        <v>17</v>
      </c>
      <c r="M808" s="38" t="str">
        <f>VLOOKUP(K808,[2]stage_hints!$A:$C,3,FALSE)</f>
        <v>ソロ専用チャレンジタワー</v>
      </c>
      <c r="N808" s="39" t="str">
        <f>VLOOKUP(K808,[2]stage_hints!$A:$D,4,FALSE)</f>
        <v>ソロ専用の「チャレンジタワー」では
各フロアごとにクリア報酬がもらえます</v>
      </c>
      <c r="O808" s="20" t="s">
        <v>24</v>
      </c>
      <c r="P808">
        <v>19</v>
      </c>
    </row>
    <row r="809" spans="1:16" x14ac:dyDescent="0.15">
      <c r="A809" s="27" t="str">
        <f t="shared" si="76"/>
        <v>20012_3_16</v>
      </c>
      <c r="B809" s="25" t="s">
        <v>34</v>
      </c>
      <c r="C809" s="4">
        <v>20012</v>
      </c>
      <c r="D809" s="3" t="str">
        <f ca="1">VLOOKUP($C809,OFFSET([1]quests!$A$1,0,0,COUNTA([1]quests!$A:$A),MATCH(D$1,[1]quests!$1:$1,0)-MATCH($C$1,[1]quests!$1:$1,0)+1),MATCH(D$1,[1]quests!$1:$1,0)-MATCH($C$1,[1]quests!$1:$1,0)+1,FALSE)</f>
        <v>罪と劇薬</v>
      </c>
      <c r="E809" s="3" t="str">
        <f ca="1">VLOOKUP($C809,OFFSET([1]quests!$A$1,0,0,COUNTA([1]quests!$A:$A),MATCH(E$1,[1]quests!$1:$1,0)-MATCH($C$1,[1]quests!$1:$1,0)+1),MATCH(E$1,[1]quests!$1:$1,0)-MATCH($C$1,[1]quests!$1:$1,0)+1,FALSE)</f>
        <v>ドロップイベント3</v>
      </c>
      <c r="F809" s="5">
        <v>3</v>
      </c>
      <c r="G809" s="3" t="str">
        <f ca="1">VLOOKUP($C809&amp;"_"&amp;$F809,OFFSET([1]stages!$A$1,0,0,COUNTA([1]stages!$A:$A),MATCH(G$1,[1]stages!$2:$2,0)-MATCH("temp_stage",[1]stages!$2:$2,0)+1),MATCH(G$1,[1]stages!$2:$2,0)-MATCH("temp_stage",[1]stages!$2:$2,0)+1,FALSE)</f>
        <v>【上級】罪と劇薬</v>
      </c>
      <c r="H809" s="3" t="str">
        <f ca="1">VLOOKUP($C809&amp;"_"&amp;$F809,OFFSET([1]stages!$A$1,0,0,COUNTA([1]stages!$A:$A),MATCH(H$1,[1]stages!$2:$2,0)-MATCH("temp_stage",[1]stages!$2:$2,0)+1),MATCH(H$1,[1]stages!$2:$2,0)-MATCH("temp_stage",[1]stages!$2:$2,0)+1,FALSE)</f>
        <v>ドロップイベント3</v>
      </c>
      <c r="I809" s="18">
        <v>0</v>
      </c>
      <c r="J809" s="5">
        <f>COUNTIF(C$1:C809,C809)</f>
        <v>16</v>
      </c>
      <c r="K809" s="34">
        <v>20</v>
      </c>
      <c r="L809" s="5" t="s">
        <v>17</v>
      </c>
      <c r="M809" s="38" t="str">
        <f>VLOOKUP(K809,[2]stage_hints!$A:$C,3,FALSE)</f>
        <v>マルチプレイのメリット（その3）</v>
      </c>
      <c r="N809" s="39" t="str">
        <f>VLOOKUP(K809,[2]stage_hints!$A:$D,4,FALSE)</f>
        <v>マルチプレイへの参加はエナジー消費ゼロ
いつでも好きなだけ遊ぶことができます</v>
      </c>
      <c r="O809" s="20" t="s">
        <v>24</v>
      </c>
      <c r="P809">
        <v>20</v>
      </c>
    </row>
    <row r="810" spans="1:16" x14ac:dyDescent="0.15">
      <c r="A810" s="27" t="str">
        <f t="shared" si="76"/>
        <v>20012_3_17</v>
      </c>
      <c r="B810" s="25" t="s">
        <v>34</v>
      </c>
      <c r="C810" s="4">
        <v>20012</v>
      </c>
      <c r="D810" s="3" t="str">
        <f ca="1">VLOOKUP($C810,OFFSET([1]quests!$A$1,0,0,COUNTA([1]quests!$A:$A),MATCH(D$1,[1]quests!$1:$1,0)-MATCH($C$1,[1]quests!$1:$1,0)+1),MATCH(D$1,[1]quests!$1:$1,0)-MATCH($C$1,[1]quests!$1:$1,0)+1,FALSE)</f>
        <v>罪と劇薬</v>
      </c>
      <c r="E810" s="3" t="str">
        <f ca="1">VLOOKUP($C810,OFFSET([1]quests!$A$1,0,0,COUNTA([1]quests!$A:$A),MATCH(E$1,[1]quests!$1:$1,0)-MATCH($C$1,[1]quests!$1:$1,0)+1),MATCH(E$1,[1]quests!$1:$1,0)-MATCH($C$1,[1]quests!$1:$1,0)+1,FALSE)</f>
        <v>ドロップイベント3</v>
      </c>
      <c r="F810" s="5">
        <v>3</v>
      </c>
      <c r="G810" s="3" t="str">
        <f ca="1">VLOOKUP($C810&amp;"_"&amp;$F810,OFFSET([1]stages!$A$1,0,0,COUNTA([1]stages!$A:$A),MATCH(G$1,[1]stages!$2:$2,0)-MATCH("temp_stage",[1]stages!$2:$2,0)+1),MATCH(G$1,[1]stages!$2:$2,0)-MATCH("temp_stage",[1]stages!$2:$2,0)+1,FALSE)</f>
        <v>【上級】罪と劇薬</v>
      </c>
      <c r="H810" s="3" t="str">
        <f ca="1">VLOOKUP($C810&amp;"_"&amp;$F810,OFFSET([1]stages!$A$1,0,0,COUNTA([1]stages!$A:$A),MATCH(H$1,[1]stages!$2:$2,0)-MATCH("temp_stage",[1]stages!$2:$2,0)+1),MATCH(H$1,[1]stages!$2:$2,0)-MATCH("temp_stage",[1]stages!$2:$2,0)+1,FALSE)</f>
        <v>ドロップイベント3</v>
      </c>
      <c r="I810" s="18">
        <v>0</v>
      </c>
      <c r="J810" s="5">
        <f>COUNTIF(C$1:C810,C810)</f>
        <v>17</v>
      </c>
      <c r="K810" s="34">
        <v>21</v>
      </c>
      <c r="L810" s="5" t="s">
        <v>17</v>
      </c>
      <c r="M810" s="38" t="str">
        <f>VLOOKUP(K810,[2]stage_hints!$A:$C,3,FALSE)</f>
        <v>スキルを有効に</v>
      </c>
      <c r="N810" s="39" t="str">
        <f>VLOOKUP(K810,[2]stage_hints!$A:$D,4,FALSE)</f>
        <v>ターン経過でユニットのスキルが使えます
強力スキルでバトルを有利に進めましょう</v>
      </c>
      <c r="O810" s="20" t="s">
        <v>24</v>
      </c>
      <c r="P810">
        <v>21</v>
      </c>
    </row>
    <row r="811" spans="1:16" x14ac:dyDescent="0.15">
      <c r="A811" s="27" t="str">
        <f t="shared" si="76"/>
        <v>20012_3_18</v>
      </c>
      <c r="B811" s="25" t="s">
        <v>34</v>
      </c>
      <c r="C811" s="4">
        <v>20012</v>
      </c>
      <c r="D811" s="3" t="str">
        <f ca="1">VLOOKUP($C811,OFFSET([1]quests!$A$1,0,0,COUNTA([1]quests!$A:$A),MATCH(D$1,[1]quests!$1:$1,0)-MATCH($C$1,[1]quests!$1:$1,0)+1),MATCH(D$1,[1]quests!$1:$1,0)-MATCH($C$1,[1]quests!$1:$1,0)+1,FALSE)</f>
        <v>罪と劇薬</v>
      </c>
      <c r="E811" s="3" t="str">
        <f ca="1">VLOOKUP($C811,OFFSET([1]quests!$A$1,0,0,COUNTA([1]quests!$A:$A),MATCH(E$1,[1]quests!$1:$1,0)-MATCH($C$1,[1]quests!$1:$1,0)+1),MATCH(E$1,[1]quests!$1:$1,0)-MATCH($C$1,[1]quests!$1:$1,0)+1,FALSE)</f>
        <v>ドロップイベント3</v>
      </c>
      <c r="F811" s="5">
        <v>3</v>
      </c>
      <c r="G811" s="3" t="str">
        <f ca="1">VLOOKUP($C811&amp;"_"&amp;$F811,OFFSET([1]stages!$A$1,0,0,COUNTA([1]stages!$A:$A),MATCH(G$1,[1]stages!$2:$2,0)-MATCH("temp_stage",[1]stages!$2:$2,0)+1),MATCH(G$1,[1]stages!$2:$2,0)-MATCH("temp_stage",[1]stages!$2:$2,0)+1,FALSE)</f>
        <v>【上級】罪と劇薬</v>
      </c>
      <c r="H811" s="3" t="str">
        <f ca="1">VLOOKUP($C811&amp;"_"&amp;$F811,OFFSET([1]stages!$A$1,0,0,COUNTA([1]stages!$A:$A),MATCH(H$1,[1]stages!$2:$2,0)-MATCH("temp_stage",[1]stages!$2:$2,0)+1),MATCH(H$1,[1]stages!$2:$2,0)-MATCH("temp_stage",[1]stages!$2:$2,0)+1,FALSE)</f>
        <v>ドロップイベント3</v>
      </c>
      <c r="I811" s="18">
        <v>0</v>
      </c>
      <c r="J811" s="5">
        <f>COUNTIF(C$1:C811,C811)</f>
        <v>18</v>
      </c>
      <c r="K811" s="34">
        <v>22</v>
      </c>
      <c r="L811" s="5" t="s">
        <v>17</v>
      </c>
      <c r="M811" s="38" t="str">
        <f>VLOOKUP(K811,[2]stage_hints!$A:$C,3,FALSE)</f>
        <v>フィーバーで一発逆転（その1）</v>
      </c>
      <c r="N811" s="39" t="str">
        <f>VLOOKUP(K811,[2]stage_hints!$A:$D,4,FALSE)</f>
        <v>フィーバーは攻撃と回復を兼ね備えます
ピンチからの一発逆転を狙いましょう</v>
      </c>
      <c r="O811" s="20" t="s">
        <v>24</v>
      </c>
      <c r="P811">
        <v>22</v>
      </c>
    </row>
    <row r="812" spans="1:16" x14ac:dyDescent="0.15">
      <c r="A812" s="27" t="str">
        <f t="shared" si="76"/>
        <v>20012_3_19</v>
      </c>
      <c r="B812" s="25" t="s">
        <v>34</v>
      </c>
      <c r="C812" s="4">
        <v>20012</v>
      </c>
      <c r="D812" s="3" t="str">
        <f ca="1">VLOOKUP($C812,OFFSET([1]quests!$A$1,0,0,COUNTA([1]quests!$A:$A),MATCH(D$1,[1]quests!$1:$1,0)-MATCH($C$1,[1]quests!$1:$1,0)+1),MATCH(D$1,[1]quests!$1:$1,0)-MATCH($C$1,[1]quests!$1:$1,0)+1,FALSE)</f>
        <v>罪と劇薬</v>
      </c>
      <c r="E812" s="3" t="str">
        <f ca="1">VLOOKUP($C812,OFFSET([1]quests!$A$1,0,0,COUNTA([1]quests!$A:$A),MATCH(E$1,[1]quests!$1:$1,0)-MATCH($C$1,[1]quests!$1:$1,0)+1),MATCH(E$1,[1]quests!$1:$1,0)-MATCH($C$1,[1]quests!$1:$1,0)+1,FALSE)</f>
        <v>ドロップイベント3</v>
      </c>
      <c r="F812" s="5">
        <v>3</v>
      </c>
      <c r="G812" s="3" t="str">
        <f ca="1">VLOOKUP($C812&amp;"_"&amp;$F812,OFFSET([1]stages!$A$1,0,0,COUNTA([1]stages!$A:$A),MATCH(G$1,[1]stages!$2:$2,0)-MATCH("temp_stage",[1]stages!$2:$2,0)+1),MATCH(G$1,[1]stages!$2:$2,0)-MATCH("temp_stage",[1]stages!$2:$2,0)+1,FALSE)</f>
        <v>【上級】罪と劇薬</v>
      </c>
      <c r="H812" s="3" t="str">
        <f ca="1">VLOOKUP($C812&amp;"_"&amp;$F812,OFFSET([1]stages!$A$1,0,0,COUNTA([1]stages!$A:$A),MATCH(H$1,[1]stages!$2:$2,0)-MATCH("temp_stage",[1]stages!$2:$2,0)+1),MATCH(H$1,[1]stages!$2:$2,0)-MATCH("temp_stage",[1]stages!$2:$2,0)+1,FALSE)</f>
        <v>ドロップイベント3</v>
      </c>
      <c r="I812" s="18">
        <v>0</v>
      </c>
      <c r="J812" s="5">
        <f>COUNTIF(C$1:C812,C812)</f>
        <v>19</v>
      </c>
      <c r="K812" s="34">
        <v>23</v>
      </c>
      <c r="L812" s="5" t="s">
        <v>17</v>
      </c>
      <c r="M812" s="38" t="str">
        <f>VLOOKUP(K812,[2]stage_hints!$A:$C,3,FALSE)</f>
        <v>フィーバーで一発逆転（その2）</v>
      </c>
      <c r="N812" s="39" t="str">
        <f>VLOOKUP(K812,[2]stage_hints!$A:$D,4,FALSE)</f>
        <v>フィーバー中は虹色のボムパネルを狙って
画面上のパネルを一気に破壊しましょう</v>
      </c>
      <c r="O812" s="20" t="s">
        <v>24</v>
      </c>
      <c r="P812">
        <v>23</v>
      </c>
    </row>
    <row r="813" spans="1:16" x14ac:dyDescent="0.15">
      <c r="A813" s="27" t="str">
        <f t="shared" si="76"/>
        <v>20012_3_20</v>
      </c>
      <c r="B813" s="25" t="s">
        <v>34</v>
      </c>
      <c r="C813" s="4">
        <v>20012</v>
      </c>
      <c r="D813" s="3" t="str">
        <f ca="1">VLOOKUP($C813,OFFSET([1]quests!$A$1,0,0,COUNTA([1]quests!$A:$A),MATCH(D$1,[1]quests!$1:$1,0)-MATCH($C$1,[1]quests!$1:$1,0)+1),MATCH(D$1,[1]quests!$1:$1,0)-MATCH($C$1,[1]quests!$1:$1,0)+1,FALSE)</f>
        <v>罪と劇薬</v>
      </c>
      <c r="E813" s="3" t="str">
        <f ca="1">VLOOKUP($C813,OFFSET([1]quests!$A$1,0,0,COUNTA([1]quests!$A:$A),MATCH(E$1,[1]quests!$1:$1,0)-MATCH($C$1,[1]quests!$1:$1,0)+1),MATCH(E$1,[1]quests!$1:$1,0)-MATCH($C$1,[1]quests!$1:$1,0)+1,FALSE)</f>
        <v>ドロップイベント3</v>
      </c>
      <c r="F813" s="5">
        <v>3</v>
      </c>
      <c r="G813" s="3" t="str">
        <f ca="1">VLOOKUP($C813&amp;"_"&amp;$F813,OFFSET([1]stages!$A$1,0,0,COUNTA([1]stages!$A:$A),MATCH(G$1,[1]stages!$2:$2,0)-MATCH("temp_stage",[1]stages!$2:$2,0)+1),MATCH(G$1,[1]stages!$2:$2,0)-MATCH("temp_stage",[1]stages!$2:$2,0)+1,FALSE)</f>
        <v>【上級】罪と劇薬</v>
      </c>
      <c r="H813" s="3" t="str">
        <f ca="1">VLOOKUP($C813&amp;"_"&amp;$F813,OFFSET([1]stages!$A$1,0,0,COUNTA([1]stages!$A:$A),MATCH(H$1,[1]stages!$2:$2,0)-MATCH("temp_stage",[1]stages!$2:$2,0)+1),MATCH(H$1,[1]stages!$2:$2,0)-MATCH("temp_stage",[1]stages!$2:$2,0)+1,FALSE)</f>
        <v>ドロップイベント3</v>
      </c>
      <c r="I813" s="18">
        <v>0</v>
      </c>
      <c r="J813" s="5">
        <f>COUNTIF(C$1:C813,C813)</f>
        <v>20</v>
      </c>
      <c r="K813" s="34">
        <v>24</v>
      </c>
      <c r="L813" s="5" t="s">
        <v>17</v>
      </c>
      <c r="M813" s="38" t="str">
        <f>VLOOKUP(K813,[2]stage_hints!$A:$C,3,FALSE)</f>
        <v>りんごを使って限界突破</v>
      </c>
      <c r="N813" s="39" t="str">
        <f>VLOOKUP(K813,[2]stage_hints!$A:$D,4,FALSE)</f>
        <v>赤りんご(攻撃力) 青りんご(回復力)
緑りんご(体力)をユニット強化に使うと
ステータスが限界突破します（計99個迄）</v>
      </c>
      <c r="O813" s="20" t="s">
        <v>24</v>
      </c>
      <c r="P813">
        <v>24</v>
      </c>
    </row>
    <row r="814" spans="1:16" x14ac:dyDescent="0.15">
      <c r="A814" s="27" t="str">
        <f t="shared" si="76"/>
        <v>20012_3_21</v>
      </c>
      <c r="B814" s="25" t="s">
        <v>34</v>
      </c>
      <c r="C814" s="4">
        <v>20012</v>
      </c>
      <c r="D814" s="3" t="str">
        <f ca="1">VLOOKUP($C814,OFFSET([1]quests!$A$1,0,0,COUNTA([1]quests!$A:$A),MATCH(D$1,[1]quests!$1:$1,0)-MATCH($C$1,[1]quests!$1:$1,0)+1),MATCH(D$1,[1]quests!$1:$1,0)-MATCH($C$1,[1]quests!$1:$1,0)+1,FALSE)</f>
        <v>罪と劇薬</v>
      </c>
      <c r="E814" s="3" t="str">
        <f ca="1">VLOOKUP($C814,OFFSET([1]quests!$A$1,0,0,COUNTA([1]quests!$A:$A),MATCH(E$1,[1]quests!$1:$1,0)-MATCH($C$1,[1]quests!$1:$1,0)+1),MATCH(E$1,[1]quests!$1:$1,0)-MATCH($C$1,[1]quests!$1:$1,0)+1,FALSE)</f>
        <v>ドロップイベント3</v>
      </c>
      <c r="F814" s="5">
        <v>3</v>
      </c>
      <c r="G814" s="3" t="str">
        <f ca="1">VLOOKUP($C814&amp;"_"&amp;$F814,OFFSET([1]stages!$A$1,0,0,COUNTA([1]stages!$A:$A),MATCH(G$1,[1]stages!$2:$2,0)-MATCH("temp_stage",[1]stages!$2:$2,0)+1),MATCH(G$1,[1]stages!$2:$2,0)-MATCH("temp_stage",[1]stages!$2:$2,0)+1,FALSE)</f>
        <v>【上級】罪と劇薬</v>
      </c>
      <c r="H814" s="3" t="str">
        <f ca="1">VLOOKUP($C814&amp;"_"&amp;$F814,OFFSET([1]stages!$A$1,0,0,COUNTA([1]stages!$A:$A),MATCH(H$1,[1]stages!$2:$2,0)-MATCH("temp_stage",[1]stages!$2:$2,0)+1),MATCH(H$1,[1]stages!$2:$2,0)-MATCH("temp_stage",[1]stages!$2:$2,0)+1,FALSE)</f>
        <v>ドロップイベント3</v>
      </c>
      <c r="I814" s="18">
        <v>0</v>
      </c>
      <c r="J814" s="5">
        <f>COUNTIF(C$1:C814,C814)</f>
        <v>21</v>
      </c>
      <c r="K814" s="34">
        <v>25</v>
      </c>
      <c r="L814" s="5" t="s">
        <v>17</v>
      </c>
      <c r="M814" s="38" t="str">
        <f>VLOOKUP(K814,[2]stage_hints!$A:$C,3,FALSE)</f>
        <v>スキルレベルアップ</v>
      </c>
      <c r="N814" s="39" t="str">
        <f>VLOOKUP(K814,[2]stage_hints!$A:$D,4,FALSE)</f>
        <v>「クリスタルのりんご」を強化に使うと
スキルレベルを上げることができます</v>
      </c>
      <c r="O814" s="20" t="s">
        <v>24</v>
      </c>
      <c r="P814">
        <v>25</v>
      </c>
    </row>
    <row r="815" spans="1:16" x14ac:dyDescent="0.15">
      <c r="A815" s="27" t="str">
        <f t="shared" si="76"/>
        <v>20012_3_22</v>
      </c>
      <c r="B815" s="25" t="s">
        <v>34</v>
      </c>
      <c r="C815" s="4">
        <v>20012</v>
      </c>
      <c r="D815" s="3" t="str">
        <f ca="1">VLOOKUP($C815,OFFSET([1]quests!$A$1,0,0,COUNTA([1]quests!$A:$A),MATCH(D$1,[1]quests!$1:$1,0)-MATCH($C$1,[1]quests!$1:$1,0)+1),MATCH(D$1,[1]quests!$1:$1,0)-MATCH($C$1,[1]quests!$1:$1,0)+1,FALSE)</f>
        <v>罪と劇薬</v>
      </c>
      <c r="E815" s="3" t="str">
        <f ca="1">VLOOKUP($C815,OFFSET([1]quests!$A$1,0,0,COUNTA([1]quests!$A:$A),MATCH(E$1,[1]quests!$1:$1,0)-MATCH($C$1,[1]quests!$1:$1,0)+1),MATCH(E$1,[1]quests!$1:$1,0)-MATCH($C$1,[1]quests!$1:$1,0)+1,FALSE)</f>
        <v>ドロップイベント3</v>
      </c>
      <c r="F815" s="5">
        <v>3</v>
      </c>
      <c r="G815" s="3" t="str">
        <f ca="1">VLOOKUP($C815&amp;"_"&amp;$F815,OFFSET([1]stages!$A$1,0,0,COUNTA([1]stages!$A:$A),MATCH(G$1,[1]stages!$2:$2,0)-MATCH("temp_stage",[1]stages!$2:$2,0)+1),MATCH(G$1,[1]stages!$2:$2,0)-MATCH("temp_stage",[1]stages!$2:$2,0)+1,FALSE)</f>
        <v>【上級】罪と劇薬</v>
      </c>
      <c r="H815" s="3" t="str">
        <f ca="1">VLOOKUP($C815&amp;"_"&amp;$F815,OFFSET([1]stages!$A$1,0,0,COUNTA([1]stages!$A:$A),MATCH(H$1,[1]stages!$2:$2,0)-MATCH("temp_stage",[1]stages!$2:$2,0)+1),MATCH(H$1,[1]stages!$2:$2,0)-MATCH("temp_stage",[1]stages!$2:$2,0)+1,FALSE)</f>
        <v>ドロップイベント3</v>
      </c>
      <c r="I815" s="18">
        <v>0</v>
      </c>
      <c r="J815" s="5">
        <f>COUNTIF(C$1:C815,C815)</f>
        <v>22</v>
      </c>
      <c r="K815" s="34">
        <v>26</v>
      </c>
      <c r="L815" s="5" t="s">
        <v>17</v>
      </c>
      <c r="M815" s="38" t="str">
        <f>VLOOKUP(K815,[2]stage_hints!$A:$C,3,FALSE)</f>
        <v>スキルレベルの効果</v>
      </c>
      <c r="N815" s="39" t="str">
        <f>VLOOKUP(K815,[2]stage_hints!$A:$D,4,FALSE)</f>
        <v>スキルレベルが上がると
短いターンでスキルを使うことができます</v>
      </c>
      <c r="O815" s="20" t="s">
        <v>24</v>
      </c>
      <c r="P815">
        <v>26</v>
      </c>
    </row>
    <row r="816" spans="1:16" x14ac:dyDescent="0.15">
      <c r="A816" s="27" t="str">
        <f t="shared" si="76"/>
        <v>20012_3_23</v>
      </c>
      <c r="B816" s="25" t="s">
        <v>34</v>
      </c>
      <c r="C816" s="4">
        <v>20012</v>
      </c>
      <c r="D816" s="3" t="str">
        <f ca="1">VLOOKUP($C816,OFFSET([1]quests!$A$1,0,0,COUNTA([1]quests!$A:$A),MATCH(D$1,[1]quests!$1:$1,0)-MATCH($C$1,[1]quests!$1:$1,0)+1),MATCH(D$1,[1]quests!$1:$1,0)-MATCH($C$1,[1]quests!$1:$1,0)+1,FALSE)</f>
        <v>罪と劇薬</v>
      </c>
      <c r="E816" s="3" t="str">
        <f ca="1">VLOOKUP($C816,OFFSET([1]quests!$A$1,0,0,COUNTA([1]quests!$A:$A),MATCH(E$1,[1]quests!$1:$1,0)-MATCH($C$1,[1]quests!$1:$1,0)+1),MATCH(E$1,[1]quests!$1:$1,0)-MATCH($C$1,[1]quests!$1:$1,0)+1,FALSE)</f>
        <v>ドロップイベント3</v>
      </c>
      <c r="F816" s="5">
        <v>3</v>
      </c>
      <c r="G816" s="3" t="str">
        <f ca="1">VLOOKUP($C816&amp;"_"&amp;$F816,OFFSET([1]stages!$A$1,0,0,COUNTA([1]stages!$A:$A),MATCH(G$1,[1]stages!$2:$2,0)-MATCH("temp_stage",[1]stages!$2:$2,0)+1),MATCH(G$1,[1]stages!$2:$2,0)-MATCH("temp_stage",[1]stages!$2:$2,0)+1,FALSE)</f>
        <v>【上級】罪と劇薬</v>
      </c>
      <c r="H816" s="3" t="str">
        <f ca="1">VLOOKUP($C816&amp;"_"&amp;$F816,OFFSET([1]stages!$A$1,0,0,COUNTA([1]stages!$A:$A),MATCH(H$1,[1]stages!$2:$2,0)-MATCH("temp_stage",[1]stages!$2:$2,0)+1),MATCH(H$1,[1]stages!$2:$2,0)-MATCH("temp_stage",[1]stages!$2:$2,0)+1,FALSE)</f>
        <v>ドロップイベント3</v>
      </c>
      <c r="I816" s="18">
        <v>0</v>
      </c>
      <c r="J816" s="5">
        <f>COUNTIF(C$1:C816,C816)</f>
        <v>23</v>
      </c>
      <c r="K816" s="34">
        <v>27</v>
      </c>
      <c r="L816" s="5" t="s">
        <v>17</v>
      </c>
      <c r="M816" s="38" t="str">
        <f>VLOOKUP(K816,[2]stage_hints!$A:$C,3,FALSE)</f>
        <v>ホーム画面からデッキを編成</v>
      </c>
      <c r="N816" s="39" t="str">
        <f>VLOOKUP(K816,[2]stage_hints!$A:$D,4,FALSE)</f>
        <v>ホーム画面でユニットを長押しすると
すぐにパーティ編成に移動できます</v>
      </c>
      <c r="O816" s="20" t="s">
        <v>24</v>
      </c>
      <c r="P816">
        <v>27</v>
      </c>
    </row>
    <row r="817" spans="1:16" x14ac:dyDescent="0.15">
      <c r="A817" s="27" t="str">
        <f t="shared" si="76"/>
        <v>20012_3_24</v>
      </c>
      <c r="B817" s="25" t="s">
        <v>34</v>
      </c>
      <c r="C817" s="4">
        <v>20012</v>
      </c>
      <c r="D817" s="3" t="str">
        <f ca="1">VLOOKUP($C817,OFFSET([1]quests!$A$1,0,0,COUNTA([1]quests!$A:$A),MATCH(D$1,[1]quests!$1:$1,0)-MATCH($C$1,[1]quests!$1:$1,0)+1),MATCH(D$1,[1]quests!$1:$1,0)-MATCH($C$1,[1]quests!$1:$1,0)+1,FALSE)</f>
        <v>罪と劇薬</v>
      </c>
      <c r="E817" s="3" t="str">
        <f ca="1">VLOOKUP($C817,OFFSET([1]quests!$A$1,0,0,COUNTA([1]quests!$A:$A),MATCH(E$1,[1]quests!$1:$1,0)-MATCH($C$1,[1]quests!$1:$1,0)+1),MATCH(E$1,[1]quests!$1:$1,0)-MATCH($C$1,[1]quests!$1:$1,0)+1,FALSE)</f>
        <v>ドロップイベント3</v>
      </c>
      <c r="F817" s="5">
        <v>3</v>
      </c>
      <c r="G817" s="3" t="str">
        <f ca="1">VLOOKUP($C817&amp;"_"&amp;$F817,OFFSET([1]stages!$A$1,0,0,COUNTA([1]stages!$A:$A),MATCH(G$1,[1]stages!$2:$2,0)-MATCH("temp_stage",[1]stages!$2:$2,0)+1),MATCH(G$1,[1]stages!$2:$2,0)-MATCH("temp_stage",[1]stages!$2:$2,0)+1,FALSE)</f>
        <v>【上級】罪と劇薬</v>
      </c>
      <c r="H817" s="3" t="str">
        <f ca="1">VLOOKUP($C817&amp;"_"&amp;$F817,OFFSET([1]stages!$A$1,0,0,COUNTA([1]stages!$A:$A),MATCH(H$1,[1]stages!$2:$2,0)-MATCH("temp_stage",[1]stages!$2:$2,0)+1),MATCH(H$1,[1]stages!$2:$2,0)-MATCH("temp_stage",[1]stages!$2:$2,0)+1,FALSE)</f>
        <v>ドロップイベント3</v>
      </c>
      <c r="I817" s="18">
        <v>0</v>
      </c>
      <c r="J817" s="5">
        <f>COUNTIF(C$1:C817,C817)</f>
        <v>24</v>
      </c>
      <c r="K817" s="34">
        <v>28</v>
      </c>
      <c r="L817" s="5" t="s">
        <v>17</v>
      </c>
      <c r="M817" s="38" t="str">
        <f>VLOOKUP(K817,[2]stage_hints!$A:$C,3,FALSE)</f>
        <v>ステータス情報は長押しで</v>
      </c>
      <c r="N817" s="39" t="str">
        <f>VLOOKUP(K817,[2]stage_hints!$A:$D,4,FALSE)</f>
        <v>ユニットのアイコンを長押しすると
ステータス情報を確認することができます</v>
      </c>
      <c r="O817" s="20" t="s">
        <v>24</v>
      </c>
      <c r="P817">
        <v>28</v>
      </c>
    </row>
    <row r="818" spans="1:16" x14ac:dyDescent="0.15">
      <c r="A818" s="27" t="str">
        <f t="shared" si="76"/>
        <v>20012_3_25</v>
      </c>
      <c r="B818" s="25" t="s">
        <v>34</v>
      </c>
      <c r="C818" s="4">
        <v>20012</v>
      </c>
      <c r="D818" s="3" t="str">
        <f ca="1">VLOOKUP($C818,OFFSET([1]quests!$A$1,0,0,COUNTA([1]quests!$A:$A),MATCH(D$1,[1]quests!$1:$1,0)-MATCH($C$1,[1]quests!$1:$1,0)+1),MATCH(D$1,[1]quests!$1:$1,0)-MATCH($C$1,[1]quests!$1:$1,0)+1,FALSE)</f>
        <v>罪と劇薬</v>
      </c>
      <c r="E818" s="3" t="str">
        <f ca="1">VLOOKUP($C818,OFFSET([1]quests!$A$1,0,0,COUNTA([1]quests!$A:$A),MATCH(E$1,[1]quests!$1:$1,0)-MATCH($C$1,[1]quests!$1:$1,0)+1),MATCH(E$1,[1]quests!$1:$1,0)-MATCH($C$1,[1]quests!$1:$1,0)+1,FALSE)</f>
        <v>ドロップイベント3</v>
      </c>
      <c r="F818" s="5">
        <v>3</v>
      </c>
      <c r="G818" s="3" t="str">
        <f ca="1">VLOOKUP($C818&amp;"_"&amp;$F818,OFFSET([1]stages!$A$1,0,0,COUNTA([1]stages!$A:$A),MATCH(G$1,[1]stages!$2:$2,0)-MATCH("temp_stage",[1]stages!$2:$2,0)+1),MATCH(G$1,[1]stages!$2:$2,0)-MATCH("temp_stage",[1]stages!$2:$2,0)+1,FALSE)</f>
        <v>【上級】罪と劇薬</v>
      </c>
      <c r="H818" s="3" t="str">
        <f ca="1">VLOOKUP($C818&amp;"_"&amp;$F818,OFFSET([1]stages!$A$1,0,0,COUNTA([1]stages!$A:$A),MATCH(H$1,[1]stages!$2:$2,0)-MATCH("temp_stage",[1]stages!$2:$2,0)+1),MATCH(H$1,[1]stages!$2:$2,0)-MATCH("temp_stage",[1]stages!$2:$2,0)+1,FALSE)</f>
        <v>ドロップイベント3</v>
      </c>
      <c r="I818" s="18">
        <v>0</v>
      </c>
      <c r="J818" s="5">
        <f>COUNTIF(C$1:C818,C818)</f>
        <v>25</v>
      </c>
      <c r="K818" s="34">
        <v>29</v>
      </c>
      <c r="L818" s="5" t="s">
        <v>17</v>
      </c>
      <c r="M818" s="38" t="str">
        <f>VLOOKUP(K818,[2]stage_hints!$A:$C,3,FALSE)</f>
        <v>「バグ」のメリット</v>
      </c>
      <c r="N818" s="39" t="str">
        <f>VLOOKUP(K818,[2]stage_hints!$A:$D,4,FALSE)</f>
        <v>ユニットの「バグ」を増やすと
報酬をもらえる確率がアップします</v>
      </c>
      <c r="O818" s="20" t="s">
        <v>24</v>
      </c>
      <c r="P818">
        <v>29</v>
      </c>
    </row>
    <row r="819" spans="1:16" x14ac:dyDescent="0.15">
      <c r="A819" s="27" t="str">
        <f t="shared" si="76"/>
        <v>20012_3_26</v>
      </c>
      <c r="B819" s="25" t="s">
        <v>34</v>
      </c>
      <c r="C819" s="4">
        <v>20012</v>
      </c>
      <c r="D819" s="3" t="str">
        <f ca="1">VLOOKUP($C819,OFFSET([1]quests!$A$1,0,0,COUNTA([1]quests!$A:$A),MATCH(D$1,[1]quests!$1:$1,0)-MATCH($C$1,[1]quests!$1:$1,0)+1),MATCH(D$1,[1]quests!$1:$1,0)-MATCH($C$1,[1]quests!$1:$1,0)+1,FALSE)</f>
        <v>罪と劇薬</v>
      </c>
      <c r="E819" s="3" t="str">
        <f ca="1">VLOOKUP($C819,OFFSET([1]quests!$A$1,0,0,COUNTA([1]quests!$A:$A),MATCH(E$1,[1]quests!$1:$1,0)-MATCH($C$1,[1]quests!$1:$1,0)+1),MATCH(E$1,[1]quests!$1:$1,0)-MATCH($C$1,[1]quests!$1:$1,0)+1,FALSE)</f>
        <v>ドロップイベント3</v>
      </c>
      <c r="F819" s="5">
        <v>3</v>
      </c>
      <c r="G819" s="3" t="str">
        <f ca="1">VLOOKUP($C819&amp;"_"&amp;$F819,OFFSET([1]stages!$A$1,0,0,COUNTA([1]stages!$A:$A),MATCH(G$1,[1]stages!$2:$2,0)-MATCH("temp_stage",[1]stages!$2:$2,0)+1),MATCH(G$1,[1]stages!$2:$2,0)-MATCH("temp_stage",[1]stages!$2:$2,0)+1,FALSE)</f>
        <v>【上級】罪と劇薬</v>
      </c>
      <c r="H819" s="3" t="str">
        <f ca="1">VLOOKUP($C819&amp;"_"&amp;$F819,OFFSET([1]stages!$A$1,0,0,COUNTA([1]stages!$A:$A),MATCH(H$1,[1]stages!$2:$2,0)-MATCH("temp_stage",[1]stages!$2:$2,0)+1),MATCH(H$1,[1]stages!$2:$2,0)-MATCH("temp_stage",[1]stages!$2:$2,0)+1,FALSE)</f>
        <v>ドロップイベント3</v>
      </c>
      <c r="I819" s="18">
        <v>0</v>
      </c>
      <c r="J819" s="5">
        <f>COUNTIF(C$1:C819,C819)</f>
        <v>26</v>
      </c>
      <c r="K819" s="34">
        <v>30</v>
      </c>
      <c r="L819" s="5" t="s">
        <v>17</v>
      </c>
      <c r="M819" s="38" t="str">
        <f>VLOOKUP(K819,[2]stage_hints!$A:$C,3,FALSE)</f>
        <v>「バグ」の増やし方</v>
      </c>
      <c r="N819" s="39" t="str">
        <f>VLOOKUP(K819,[2]stage_hints!$A:$D,4,FALSE)</f>
        <v>同じユニット同士を強化で合成すると
「バグ」を増やすことができます</v>
      </c>
      <c r="O819" s="20" t="s">
        <v>24</v>
      </c>
      <c r="P819">
        <v>30</v>
      </c>
    </row>
    <row r="820" spans="1:16" x14ac:dyDescent="0.15">
      <c r="A820" s="27" t="str">
        <f t="shared" si="76"/>
        <v>20012_3_27</v>
      </c>
      <c r="B820" s="25" t="s">
        <v>34</v>
      </c>
      <c r="C820" s="4">
        <v>20012</v>
      </c>
      <c r="D820" s="3" t="str">
        <f ca="1">VLOOKUP($C820,OFFSET([1]quests!$A$1,0,0,COUNTA([1]quests!$A:$A),MATCH(D$1,[1]quests!$1:$1,0)-MATCH($C$1,[1]quests!$1:$1,0)+1),MATCH(D$1,[1]quests!$1:$1,0)-MATCH($C$1,[1]quests!$1:$1,0)+1,FALSE)</f>
        <v>罪と劇薬</v>
      </c>
      <c r="E820" s="3" t="str">
        <f ca="1">VLOOKUP($C820,OFFSET([1]quests!$A$1,0,0,COUNTA([1]quests!$A:$A),MATCH(E$1,[1]quests!$1:$1,0)-MATCH($C$1,[1]quests!$1:$1,0)+1),MATCH(E$1,[1]quests!$1:$1,0)-MATCH($C$1,[1]quests!$1:$1,0)+1,FALSE)</f>
        <v>ドロップイベント3</v>
      </c>
      <c r="F820" s="5">
        <v>3</v>
      </c>
      <c r="G820" s="3" t="str">
        <f ca="1">VLOOKUP($C820&amp;"_"&amp;$F820,OFFSET([1]stages!$A$1,0,0,COUNTA([1]stages!$A:$A),MATCH(G$1,[1]stages!$2:$2,0)-MATCH("temp_stage",[1]stages!$2:$2,0)+1),MATCH(G$1,[1]stages!$2:$2,0)-MATCH("temp_stage",[1]stages!$2:$2,0)+1,FALSE)</f>
        <v>【上級】罪と劇薬</v>
      </c>
      <c r="H820" s="3" t="str">
        <f ca="1">VLOOKUP($C820&amp;"_"&amp;$F820,OFFSET([1]stages!$A$1,0,0,COUNTA([1]stages!$A:$A),MATCH(H$1,[1]stages!$2:$2,0)-MATCH("temp_stage",[1]stages!$2:$2,0)+1),MATCH(H$1,[1]stages!$2:$2,0)-MATCH("temp_stage",[1]stages!$2:$2,0)+1,FALSE)</f>
        <v>ドロップイベント3</v>
      </c>
      <c r="I820" s="18">
        <v>0</v>
      </c>
      <c r="J820" s="5">
        <f>COUNTIF(C$1:C820,C820)</f>
        <v>27</v>
      </c>
      <c r="K820" s="34">
        <v>31</v>
      </c>
      <c r="L820" s="5" t="s">
        <v>17</v>
      </c>
      <c r="M820" s="38" t="str">
        <f>VLOOKUP(K820,[2]stage_hints!$A:$C,3,FALSE)</f>
        <v>イベントはお知らせでチェック</v>
      </c>
      <c r="N820" s="39" t="str">
        <f>VLOOKUP(K820,[2]stage_hints!$A:$D,4,FALSE)</f>
        <v>イベント限定ユニットを取り忘れないように
お知らせをこまめにチェックしましょう</v>
      </c>
      <c r="O820" s="20" t="s">
        <v>24</v>
      </c>
      <c r="P820">
        <v>31</v>
      </c>
    </row>
    <row r="821" spans="1:16" x14ac:dyDescent="0.15">
      <c r="A821" s="27" t="str">
        <f t="shared" si="76"/>
        <v>20012_3_28</v>
      </c>
      <c r="B821" s="25" t="s">
        <v>34</v>
      </c>
      <c r="C821" s="4">
        <v>20012</v>
      </c>
      <c r="D821" s="3" t="str">
        <f ca="1">VLOOKUP($C821,OFFSET([1]quests!$A$1,0,0,COUNTA([1]quests!$A:$A),MATCH(D$1,[1]quests!$1:$1,0)-MATCH($C$1,[1]quests!$1:$1,0)+1),MATCH(D$1,[1]quests!$1:$1,0)-MATCH($C$1,[1]quests!$1:$1,0)+1,FALSE)</f>
        <v>罪と劇薬</v>
      </c>
      <c r="E821" s="3" t="str">
        <f ca="1">VLOOKUP($C821,OFFSET([1]quests!$A$1,0,0,COUNTA([1]quests!$A:$A),MATCH(E$1,[1]quests!$1:$1,0)-MATCH($C$1,[1]quests!$1:$1,0)+1),MATCH(E$1,[1]quests!$1:$1,0)-MATCH($C$1,[1]quests!$1:$1,0)+1,FALSE)</f>
        <v>ドロップイベント3</v>
      </c>
      <c r="F821" s="5">
        <v>3</v>
      </c>
      <c r="G821" s="3" t="str">
        <f ca="1">VLOOKUP($C821&amp;"_"&amp;$F821,OFFSET([1]stages!$A$1,0,0,COUNTA([1]stages!$A:$A),MATCH(G$1,[1]stages!$2:$2,0)-MATCH("temp_stage",[1]stages!$2:$2,0)+1),MATCH(G$1,[1]stages!$2:$2,0)-MATCH("temp_stage",[1]stages!$2:$2,0)+1,FALSE)</f>
        <v>【上級】罪と劇薬</v>
      </c>
      <c r="H821" s="3" t="str">
        <f ca="1">VLOOKUP($C821&amp;"_"&amp;$F821,OFFSET([1]stages!$A$1,0,0,COUNTA([1]stages!$A:$A),MATCH(H$1,[1]stages!$2:$2,0)-MATCH("temp_stage",[1]stages!$2:$2,0)+1),MATCH(H$1,[1]stages!$2:$2,0)-MATCH("temp_stage",[1]stages!$2:$2,0)+1,FALSE)</f>
        <v>ドロップイベント3</v>
      </c>
      <c r="I821" s="18">
        <v>0</v>
      </c>
      <c r="J821" s="5">
        <f>COUNTIF(C$1:C821,C821)</f>
        <v>28</v>
      </c>
      <c r="K821" s="34">
        <v>32</v>
      </c>
      <c r="L821" s="5" t="s">
        <v>17</v>
      </c>
      <c r="M821" s="38" t="str">
        <f>VLOOKUP(K821,[2]stage_hints!$A:$C,3,FALSE)</f>
        <v>敵の連続攻撃には</v>
      </c>
      <c r="N821" s="39" t="str">
        <f>VLOOKUP(K821,[2]stage_hints!$A:$D,4,FALSE)</f>
        <v>カウンタースキルを持つユニットがいれば
ダメージ回数分の反撃ができます</v>
      </c>
      <c r="O821" s="20" t="s">
        <v>24</v>
      </c>
      <c r="P821">
        <v>32</v>
      </c>
    </row>
    <row r="822" spans="1:16" x14ac:dyDescent="0.15">
      <c r="A822" s="27" t="str">
        <f t="shared" si="76"/>
        <v>20012_3_29</v>
      </c>
      <c r="B822" s="25" t="s">
        <v>34</v>
      </c>
      <c r="C822" s="4">
        <v>20012</v>
      </c>
      <c r="D822" s="3" t="str">
        <f ca="1">VLOOKUP($C822,OFFSET([1]quests!$A$1,0,0,COUNTA([1]quests!$A:$A),MATCH(D$1,[1]quests!$1:$1,0)-MATCH($C$1,[1]quests!$1:$1,0)+1),MATCH(D$1,[1]quests!$1:$1,0)-MATCH($C$1,[1]quests!$1:$1,0)+1,FALSE)</f>
        <v>罪と劇薬</v>
      </c>
      <c r="E822" s="3" t="str">
        <f ca="1">VLOOKUP($C822,OFFSET([1]quests!$A$1,0,0,COUNTA([1]quests!$A:$A),MATCH(E$1,[1]quests!$1:$1,0)-MATCH($C$1,[1]quests!$1:$1,0)+1),MATCH(E$1,[1]quests!$1:$1,0)-MATCH($C$1,[1]quests!$1:$1,0)+1,FALSE)</f>
        <v>ドロップイベント3</v>
      </c>
      <c r="F822" s="5">
        <v>3</v>
      </c>
      <c r="G822" s="3" t="str">
        <f ca="1">VLOOKUP($C822&amp;"_"&amp;$F822,OFFSET([1]stages!$A$1,0,0,COUNTA([1]stages!$A:$A),MATCH(G$1,[1]stages!$2:$2,0)-MATCH("temp_stage",[1]stages!$2:$2,0)+1),MATCH(G$1,[1]stages!$2:$2,0)-MATCH("temp_stage",[1]stages!$2:$2,0)+1,FALSE)</f>
        <v>【上級】罪と劇薬</v>
      </c>
      <c r="H822" s="3" t="str">
        <f ca="1">VLOOKUP($C822&amp;"_"&amp;$F822,OFFSET([1]stages!$A$1,0,0,COUNTA([1]stages!$A:$A),MATCH(H$1,[1]stages!$2:$2,0)-MATCH("temp_stage",[1]stages!$2:$2,0)+1),MATCH(H$1,[1]stages!$2:$2,0)-MATCH("temp_stage",[1]stages!$2:$2,0)+1,FALSE)</f>
        <v>ドロップイベント3</v>
      </c>
      <c r="I822" s="18">
        <v>0</v>
      </c>
      <c r="J822" s="5">
        <f>COUNTIF(C$1:C822,C822)</f>
        <v>29</v>
      </c>
      <c r="K822" s="34">
        <v>33</v>
      </c>
      <c r="L822" s="5" t="s">
        <v>17</v>
      </c>
      <c r="M822" s="38" t="str">
        <f>VLOOKUP(K822,[2]stage_hints!$A:$C,3,FALSE)</f>
        <v>敵のカウンター攻撃には</v>
      </c>
      <c r="N822" s="39" t="str">
        <f>VLOOKUP(K822,[2]stage_hints!$A:$D,4,FALSE)</f>
        <v>カウンターブレイクスキルを持っていれば
敵のカウンターを解除して攻撃ができます</v>
      </c>
      <c r="O822" s="20" t="s">
        <v>24</v>
      </c>
      <c r="P822">
        <v>33</v>
      </c>
    </row>
    <row r="823" spans="1:16" x14ac:dyDescent="0.15">
      <c r="A823" s="27" t="str">
        <f t="shared" si="76"/>
        <v>20012_3_30</v>
      </c>
      <c r="B823" s="25" t="s">
        <v>34</v>
      </c>
      <c r="C823" s="4">
        <v>20012</v>
      </c>
      <c r="D823" s="3" t="str">
        <f ca="1">VLOOKUP($C823,OFFSET([1]quests!$A$1,0,0,COUNTA([1]quests!$A:$A),MATCH(D$1,[1]quests!$1:$1,0)-MATCH($C$1,[1]quests!$1:$1,0)+1),MATCH(D$1,[1]quests!$1:$1,0)-MATCH($C$1,[1]quests!$1:$1,0)+1,FALSE)</f>
        <v>罪と劇薬</v>
      </c>
      <c r="E823" s="3" t="str">
        <f ca="1">VLOOKUP($C823,OFFSET([1]quests!$A$1,0,0,COUNTA([1]quests!$A:$A),MATCH(E$1,[1]quests!$1:$1,0)-MATCH($C$1,[1]quests!$1:$1,0)+1),MATCH(E$1,[1]quests!$1:$1,0)-MATCH($C$1,[1]quests!$1:$1,0)+1,FALSE)</f>
        <v>ドロップイベント3</v>
      </c>
      <c r="F823" s="5">
        <v>3</v>
      </c>
      <c r="G823" s="3" t="str">
        <f ca="1">VLOOKUP($C823&amp;"_"&amp;$F823,OFFSET([1]stages!$A$1,0,0,COUNTA([1]stages!$A:$A),MATCH(G$1,[1]stages!$2:$2,0)-MATCH("temp_stage",[1]stages!$2:$2,0)+1),MATCH(G$1,[1]stages!$2:$2,0)-MATCH("temp_stage",[1]stages!$2:$2,0)+1,FALSE)</f>
        <v>【上級】罪と劇薬</v>
      </c>
      <c r="H823" s="3" t="str">
        <f ca="1">VLOOKUP($C823&amp;"_"&amp;$F823,OFFSET([1]stages!$A$1,0,0,COUNTA([1]stages!$A:$A),MATCH(H$1,[1]stages!$2:$2,0)-MATCH("temp_stage",[1]stages!$2:$2,0)+1),MATCH(H$1,[1]stages!$2:$2,0)-MATCH("temp_stage",[1]stages!$2:$2,0)+1,FALSE)</f>
        <v>ドロップイベント3</v>
      </c>
      <c r="I823" s="18">
        <v>0</v>
      </c>
      <c r="J823" s="5">
        <f>COUNTIF(C$1:C823,C823)</f>
        <v>30</v>
      </c>
      <c r="K823" s="34">
        <v>34</v>
      </c>
      <c r="L823" s="5" t="s">
        <v>17</v>
      </c>
      <c r="M823" s="38" t="str">
        <f>VLOOKUP(K823,[2]stage_hints!$A:$C,3,FALSE)</f>
        <v>ステータスをスキルで下げられたら</v>
      </c>
      <c r="N823" s="39" t="str">
        <f>VLOOKUP(K823,[2]stage_hints!$A:$D,4,FALSE)</f>
        <v>ステータスダウンのスキルを受けたら
ステータスアップスキルで上書きしましょう</v>
      </c>
      <c r="O823" s="20" t="s">
        <v>24</v>
      </c>
      <c r="P823">
        <v>34</v>
      </c>
    </row>
    <row r="824" spans="1:16" x14ac:dyDescent="0.15">
      <c r="A824" s="27" t="str">
        <f t="shared" si="76"/>
        <v>20012_3_31</v>
      </c>
      <c r="B824" s="25" t="s">
        <v>34</v>
      </c>
      <c r="C824" s="4">
        <v>20012</v>
      </c>
      <c r="D824" s="3" t="str">
        <f ca="1">VLOOKUP($C824,OFFSET([1]quests!$A$1,0,0,COUNTA([1]quests!$A:$A),MATCH(D$1,[1]quests!$1:$1,0)-MATCH($C$1,[1]quests!$1:$1,0)+1),MATCH(D$1,[1]quests!$1:$1,0)-MATCH($C$1,[1]quests!$1:$1,0)+1,FALSE)</f>
        <v>罪と劇薬</v>
      </c>
      <c r="E824" s="3" t="str">
        <f ca="1">VLOOKUP($C824,OFFSET([1]quests!$A$1,0,0,COUNTA([1]quests!$A:$A),MATCH(E$1,[1]quests!$1:$1,0)-MATCH($C$1,[1]quests!$1:$1,0)+1),MATCH(E$1,[1]quests!$1:$1,0)-MATCH($C$1,[1]quests!$1:$1,0)+1,FALSE)</f>
        <v>ドロップイベント3</v>
      </c>
      <c r="F824" s="5">
        <v>3</v>
      </c>
      <c r="G824" s="3" t="str">
        <f ca="1">VLOOKUP($C824&amp;"_"&amp;$F824,OFFSET([1]stages!$A$1,0,0,COUNTA([1]stages!$A:$A),MATCH(G$1,[1]stages!$2:$2,0)-MATCH("temp_stage",[1]stages!$2:$2,0)+1),MATCH(G$1,[1]stages!$2:$2,0)-MATCH("temp_stage",[1]stages!$2:$2,0)+1,FALSE)</f>
        <v>【上級】罪と劇薬</v>
      </c>
      <c r="H824" s="3" t="str">
        <f ca="1">VLOOKUP($C824&amp;"_"&amp;$F824,OFFSET([1]stages!$A$1,0,0,COUNTA([1]stages!$A:$A),MATCH(H$1,[1]stages!$2:$2,0)-MATCH("temp_stage",[1]stages!$2:$2,0)+1),MATCH(H$1,[1]stages!$2:$2,0)-MATCH("temp_stage",[1]stages!$2:$2,0)+1,FALSE)</f>
        <v>ドロップイベント3</v>
      </c>
      <c r="I824" s="18">
        <v>0</v>
      </c>
      <c r="J824" s="5">
        <f>COUNTIF(C$1:C824,C824)</f>
        <v>31</v>
      </c>
      <c r="K824" s="34">
        <v>35</v>
      </c>
      <c r="L824" s="5" t="s">
        <v>17</v>
      </c>
      <c r="M824" s="38" t="str">
        <f>VLOOKUP(K824,[2]stage_hints!$A:$C,3,FALSE)</f>
        <v>敵のステータスがスキルで上がったら</v>
      </c>
      <c r="N824" s="39" t="str">
        <f>VLOOKUP(K824,[2]stage_hints!$A:$D,4,FALSE)</f>
        <v>敵のステータスがスキルでアップしたときは
ステータスダウンスキルで上書きしましょう</v>
      </c>
      <c r="O824" s="20" t="s">
        <v>24</v>
      </c>
      <c r="P824">
        <v>35</v>
      </c>
    </row>
    <row r="825" spans="1:16" x14ac:dyDescent="0.15">
      <c r="A825" s="27" t="str">
        <f t="shared" si="76"/>
        <v>20012_3_32</v>
      </c>
      <c r="B825" s="25" t="s">
        <v>34</v>
      </c>
      <c r="C825" s="4">
        <v>20012</v>
      </c>
      <c r="D825" s="3" t="str">
        <f ca="1">VLOOKUP($C825,OFFSET([1]quests!$A$1,0,0,COUNTA([1]quests!$A:$A),MATCH(D$1,[1]quests!$1:$1,0)-MATCH($C$1,[1]quests!$1:$1,0)+1),MATCH(D$1,[1]quests!$1:$1,0)-MATCH($C$1,[1]quests!$1:$1,0)+1,FALSE)</f>
        <v>罪と劇薬</v>
      </c>
      <c r="E825" s="3" t="str">
        <f ca="1">VLOOKUP($C825,OFFSET([1]quests!$A$1,0,0,COUNTA([1]quests!$A:$A),MATCH(E$1,[1]quests!$1:$1,0)-MATCH($C$1,[1]quests!$1:$1,0)+1),MATCH(E$1,[1]quests!$1:$1,0)-MATCH($C$1,[1]quests!$1:$1,0)+1,FALSE)</f>
        <v>ドロップイベント3</v>
      </c>
      <c r="F825" s="5">
        <v>3</v>
      </c>
      <c r="G825" s="3" t="str">
        <f ca="1">VLOOKUP($C825&amp;"_"&amp;$F825,OFFSET([1]stages!$A$1,0,0,COUNTA([1]stages!$A:$A),MATCH(G$1,[1]stages!$2:$2,0)-MATCH("temp_stage",[1]stages!$2:$2,0)+1),MATCH(G$1,[1]stages!$2:$2,0)-MATCH("temp_stage",[1]stages!$2:$2,0)+1,FALSE)</f>
        <v>【上級】罪と劇薬</v>
      </c>
      <c r="H825" s="3" t="str">
        <f ca="1">VLOOKUP($C825&amp;"_"&amp;$F825,OFFSET([1]stages!$A$1,0,0,COUNTA([1]stages!$A:$A),MATCH(H$1,[1]stages!$2:$2,0)-MATCH("temp_stage",[1]stages!$2:$2,0)+1),MATCH(H$1,[1]stages!$2:$2,0)-MATCH("temp_stage",[1]stages!$2:$2,0)+1,FALSE)</f>
        <v>ドロップイベント3</v>
      </c>
      <c r="I825" s="18">
        <v>0</v>
      </c>
      <c r="J825" s="5">
        <f>COUNTIF(C$1:C825,C825)</f>
        <v>32</v>
      </c>
      <c r="K825" s="34">
        <v>36</v>
      </c>
      <c r="L825" s="5" t="s">
        <v>17</v>
      </c>
      <c r="M825" s="38" t="str">
        <f>VLOOKUP(K825,[2]stage_hints!$A:$C,3,FALSE)</f>
        <v>チャレンジタワーのボス</v>
      </c>
      <c r="N825" s="39" t="str">
        <f>VLOOKUP(K825,[2]stage_hints!$A:$D,4,FALSE)</f>
        <v>チャレンジタワーでのみ登場するボスは
一定確率で獲得することができます</v>
      </c>
      <c r="O825" s="20" t="s">
        <v>24</v>
      </c>
      <c r="P825">
        <v>36</v>
      </c>
    </row>
    <row r="826" spans="1:16" x14ac:dyDescent="0.15">
      <c r="A826" s="27" t="str">
        <f t="shared" si="76"/>
        <v>20012_3_33</v>
      </c>
      <c r="B826" s="25" t="s">
        <v>34</v>
      </c>
      <c r="C826" s="4">
        <v>20012</v>
      </c>
      <c r="D826" s="3" t="str">
        <f ca="1">VLOOKUP($C826,OFFSET([1]quests!$A$1,0,0,COUNTA([1]quests!$A:$A),MATCH(D$1,[1]quests!$1:$1,0)-MATCH($C$1,[1]quests!$1:$1,0)+1),MATCH(D$1,[1]quests!$1:$1,0)-MATCH($C$1,[1]quests!$1:$1,0)+1,FALSE)</f>
        <v>罪と劇薬</v>
      </c>
      <c r="E826" s="3" t="str">
        <f ca="1">VLOOKUP($C826,OFFSET([1]quests!$A$1,0,0,COUNTA([1]quests!$A:$A),MATCH(E$1,[1]quests!$1:$1,0)-MATCH($C$1,[1]quests!$1:$1,0)+1),MATCH(E$1,[1]quests!$1:$1,0)-MATCH($C$1,[1]quests!$1:$1,0)+1,FALSE)</f>
        <v>ドロップイベント3</v>
      </c>
      <c r="F826" s="5">
        <v>3</v>
      </c>
      <c r="G826" s="3" t="str">
        <f ca="1">VLOOKUP($C826&amp;"_"&amp;$F826,OFFSET([1]stages!$A$1,0,0,COUNTA([1]stages!$A:$A),MATCH(G$1,[1]stages!$2:$2,0)-MATCH("temp_stage",[1]stages!$2:$2,0)+1),MATCH(G$1,[1]stages!$2:$2,0)-MATCH("temp_stage",[1]stages!$2:$2,0)+1,FALSE)</f>
        <v>【上級】罪と劇薬</v>
      </c>
      <c r="H826" s="3" t="str">
        <f ca="1">VLOOKUP($C826&amp;"_"&amp;$F826,OFFSET([1]stages!$A$1,0,0,COUNTA([1]stages!$A:$A),MATCH(H$1,[1]stages!$2:$2,0)-MATCH("temp_stage",[1]stages!$2:$2,0)+1),MATCH(H$1,[1]stages!$2:$2,0)-MATCH("temp_stage",[1]stages!$2:$2,0)+1,FALSE)</f>
        <v>ドロップイベント3</v>
      </c>
      <c r="I826" s="18">
        <v>0</v>
      </c>
      <c r="J826" s="5">
        <f>COUNTIF(C$1:C826,C826)</f>
        <v>33</v>
      </c>
      <c r="K826" s="34">
        <v>37</v>
      </c>
      <c r="L826" s="5" t="s">
        <v>17</v>
      </c>
      <c r="M826" s="38" t="str">
        <f>VLOOKUP(K826,[2]stage_hints!$A:$C,3,FALSE)</f>
        <v>限界突破値の引き継ぎ</v>
      </c>
      <c r="N826" s="39" t="str">
        <f>VLOOKUP(K826,[2]stage_hints!$A:$D,4,FALSE)</f>
        <v>同じユニットを強化で合成すると
限界突破値を引き継げます（覚醒前後も可）</v>
      </c>
      <c r="O826" s="20" t="s">
        <v>24</v>
      </c>
      <c r="P826">
        <v>37</v>
      </c>
    </row>
    <row r="827" spans="1:16" x14ac:dyDescent="0.15">
      <c r="A827" s="27" t="str">
        <f t="shared" si="76"/>
        <v>30001_2_1</v>
      </c>
      <c r="B827" s="25" t="s">
        <v>34</v>
      </c>
      <c r="C827" s="4">
        <v>30001</v>
      </c>
      <c r="D827" s="3" t="str">
        <f ca="1">VLOOKUP($C827,OFFSET([1]quests!$A$1,0,0,COUNTA([1]quests!$A:$A),MATCH(D$1,[1]quests!$1:$1,0)-MATCH($C$1,[1]quests!$1:$1,0)+1),MATCH(D$1,[1]quests!$1:$1,0)-MATCH($C$1,[1]quests!$1:$1,0)+1,FALSE)</f>
        <v>ハンター・オブ・ハンター</v>
      </c>
      <c r="E827" s="3" t="str">
        <f ca="1">VLOOKUP($C827,OFFSET([1]quests!$A$1,0,0,COUNTA([1]quests!$A:$A),MATCH(E$1,[1]quests!$1:$1,0)-MATCH($C$1,[1]quests!$1:$1,0)+1),MATCH(E$1,[1]quests!$1:$1,0)-MATCH($C$1,[1]quests!$1:$1,0)+1,FALSE)</f>
        <v>ドロップイベント1-1（マルチ専用）</v>
      </c>
      <c r="F827" s="5">
        <v>2</v>
      </c>
      <c r="G827" s="3" t="str">
        <f ca="1">VLOOKUP($C827&amp;"_"&amp;$F827,OFFSET([1]stages!$A$1,0,0,COUNTA([1]stages!$A:$A),MATCH(G$1,[1]stages!$2:$2,0)-MATCH("temp_stage",[1]stages!$2:$2,0)+1),MATCH(G$1,[1]stages!$2:$2,0)-MATCH("temp_stage",[1]stages!$2:$2,0)+1,FALSE)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27" s="3" t="str">
        <f ca="1">VLOOKUP($C827&amp;"_"&amp;$F827,OFFSET([1]stages!$A$1,0,0,COUNTA([1]stages!$A:$A),MATCH(H$1,[1]stages!$2:$2,0)-MATCH("temp_stage",[1]stages!$2:$2,0)+1),MATCH(H$1,[1]stages!$2:$2,0)-MATCH("temp_stage",[1]stages!$2:$2,0)+1,FALSE)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27" s="18">
        <v>0</v>
      </c>
      <c r="J827" s="5">
        <f>COUNTIF(C$1:C827,C827)</f>
        <v>1</v>
      </c>
      <c r="K827" s="34">
        <v>3</v>
      </c>
      <c r="L827" s="5" t="s">
        <v>17</v>
      </c>
      <c r="M827" s="38" t="str">
        <f>VLOOKUP(K827,[2]stage_hints!$A:$C,3,FALSE)</f>
        <v>ターゲット</v>
      </c>
      <c r="N827" s="39" t="str">
        <f>VLOOKUP(K827,[2]stage_hints!$A:$D,4,FALSE)</f>
        <v>敵ユニットをタップすると
その敵を狙い撃ちできます</v>
      </c>
      <c r="O827" s="20" t="s">
        <v>24</v>
      </c>
      <c r="P827">
        <v>3</v>
      </c>
    </row>
    <row r="828" spans="1:16" x14ac:dyDescent="0.15">
      <c r="A828" s="27" t="str">
        <f t="shared" si="76"/>
        <v>30001_2_2</v>
      </c>
      <c r="B828" s="25" t="s">
        <v>34</v>
      </c>
      <c r="C828" s="4">
        <v>30001</v>
      </c>
      <c r="D828" s="3" t="str">
        <f ca="1">VLOOKUP($C828,OFFSET([1]quests!$A$1,0,0,COUNTA([1]quests!$A:$A),MATCH(D$1,[1]quests!$1:$1,0)-MATCH($C$1,[1]quests!$1:$1,0)+1),MATCH(D$1,[1]quests!$1:$1,0)-MATCH($C$1,[1]quests!$1:$1,0)+1,FALSE)</f>
        <v>ハンター・オブ・ハンター</v>
      </c>
      <c r="E828" s="3" t="str">
        <f ca="1">VLOOKUP($C828,OFFSET([1]quests!$A$1,0,0,COUNTA([1]quests!$A:$A),MATCH(E$1,[1]quests!$1:$1,0)-MATCH($C$1,[1]quests!$1:$1,0)+1),MATCH(E$1,[1]quests!$1:$1,0)-MATCH($C$1,[1]quests!$1:$1,0)+1,FALSE)</f>
        <v>ドロップイベント1-1（マルチ専用）</v>
      </c>
      <c r="F828" s="5">
        <v>2</v>
      </c>
      <c r="G828" s="3" t="str">
        <f ca="1">VLOOKUP($C828&amp;"_"&amp;$F828,OFFSET([1]stages!$A$1,0,0,COUNTA([1]stages!$A:$A),MATCH(G$1,[1]stages!$2:$2,0)-MATCH("temp_stage",[1]stages!$2:$2,0)+1),MATCH(G$1,[1]stages!$2:$2,0)-MATCH("temp_stage",[1]stages!$2:$2,0)+1,FALSE)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28" s="3" t="str">
        <f ca="1">VLOOKUP($C828&amp;"_"&amp;$F828,OFFSET([1]stages!$A$1,0,0,COUNTA([1]stages!$A:$A),MATCH(H$1,[1]stages!$2:$2,0)-MATCH("temp_stage",[1]stages!$2:$2,0)+1),MATCH(H$1,[1]stages!$2:$2,0)-MATCH("temp_stage",[1]stages!$2:$2,0)+1,FALSE)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28" s="18">
        <v>0</v>
      </c>
      <c r="J828" s="5">
        <f>COUNTIF(C$1:C828,C828)</f>
        <v>2</v>
      </c>
      <c r="K828" s="34">
        <v>6</v>
      </c>
      <c r="L828" s="5" t="s">
        <v>17</v>
      </c>
      <c r="M828" s="38" t="str">
        <f>VLOOKUP(K828,[2]stage_hints!$A:$C,3,FALSE)</f>
        <v>ユニット強化の属性ボーナス</v>
      </c>
      <c r="N828" s="39" t="str">
        <f>VLOOKUP(K828,[2]stage_hints!$A:$D,4,FALSE)</f>
        <v>同属性ユニットを強化素材にすると
経験値が多くもらえます</v>
      </c>
      <c r="O828" s="20" t="s">
        <v>24</v>
      </c>
      <c r="P828">
        <v>6</v>
      </c>
    </row>
    <row r="829" spans="1:16" x14ac:dyDescent="0.15">
      <c r="A829" s="27" t="str">
        <f t="shared" si="76"/>
        <v>30001_2_3</v>
      </c>
      <c r="B829" s="25" t="s">
        <v>34</v>
      </c>
      <c r="C829" s="4">
        <v>30001</v>
      </c>
      <c r="D829" s="3" t="str">
        <f ca="1">VLOOKUP($C829,OFFSET([1]quests!$A$1,0,0,COUNTA([1]quests!$A:$A),MATCH(D$1,[1]quests!$1:$1,0)-MATCH($C$1,[1]quests!$1:$1,0)+1),MATCH(D$1,[1]quests!$1:$1,0)-MATCH($C$1,[1]quests!$1:$1,0)+1,FALSE)</f>
        <v>ハンター・オブ・ハンター</v>
      </c>
      <c r="E829" s="3" t="str">
        <f ca="1">VLOOKUP($C829,OFFSET([1]quests!$A$1,0,0,COUNTA([1]quests!$A:$A),MATCH(E$1,[1]quests!$1:$1,0)-MATCH($C$1,[1]quests!$1:$1,0)+1),MATCH(E$1,[1]quests!$1:$1,0)-MATCH($C$1,[1]quests!$1:$1,0)+1,FALSE)</f>
        <v>ドロップイベント1-1（マルチ専用）</v>
      </c>
      <c r="F829" s="5">
        <v>2</v>
      </c>
      <c r="G829" s="3" t="str">
        <f ca="1">VLOOKUP($C829&amp;"_"&amp;$F829,OFFSET([1]stages!$A$1,0,0,COUNTA([1]stages!$A:$A),MATCH(G$1,[1]stages!$2:$2,0)-MATCH("temp_stage",[1]stages!$2:$2,0)+1),MATCH(G$1,[1]stages!$2:$2,0)-MATCH("temp_stage",[1]stages!$2:$2,0)+1,FALSE)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29" s="3" t="str">
        <f ca="1">VLOOKUP($C829&amp;"_"&amp;$F829,OFFSET([1]stages!$A$1,0,0,COUNTA([1]stages!$A:$A),MATCH(H$1,[1]stages!$2:$2,0)-MATCH("temp_stage",[1]stages!$2:$2,0)+1),MATCH(H$1,[1]stages!$2:$2,0)-MATCH("temp_stage",[1]stages!$2:$2,0)+1,FALSE)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29" s="18">
        <v>0</v>
      </c>
      <c r="J829" s="5">
        <f>COUNTIF(C$1:C829,C829)</f>
        <v>3</v>
      </c>
      <c r="K829" s="34">
        <v>7</v>
      </c>
      <c r="L829" s="5" t="s">
        <v>17</v>
      </c>
      <c r="M829" s="38" t="str">
        <f>VLOOKUP(K829,[2]stage_hints!$A:$C,3,FALSE)</f>
        <v>メタルダックで経験値を獲得</v>
      </c>
      <c r="N829" s="39" t="str">
        <f>VLOOKUP(K829,[2]stage_hints!$A:$D,4,FALSE)</f>
        <v>「メタルなアヒル」を強化素材にすると
大量の経験値がもらえます</v>
      </c>
      <c r="O829" s="20" t="s">
        <v>24</v>
      </c>
      <c r="P829">
        <v>7</v>
      </c>
    </row>
    <row r="830" spans="1:16" x14ac:dyDescent="0.15">
      <c r="A830" s="27" t="str">
        <f t="shared" si="76"/>
        <v>30001_2_4</v>
      </c>
      <c r="B830" s="25" t="s">
        <v>34</v>
      </c>
      <c r="C830" s="4">
        <v>30001</v>
      </c>
      <c r="D830" s="3" t="str">
        <f ca="1">VLOOKUP($C830,OFFSET([1]quests!$A$1,0,0,COUNTA([1]quests!$A:$A),MATCH(D$1,[1]quests!$1:$1,0)-MATCH($C$1,[1]quests!$1:$1,0)+1),MATCH(D$1,[1]quests!$1:$1,0)-MATCH($C$1,[1]quests!$1:$1,0)+1,FALSE)</f>
        <v>ハンター・オブ・ハンター</v>
      </c>
      <c r="E830" s="3" t="str">
        <f ca="1">VLOOKUP($C830,OFFSET([1]quests!$A$1,0,0,COUNTA([1]quests!$A:$A),MATCH(E$1,[1]quests!$1:$1,0)-MATCH($C$1,[1]quests!$1:$1,0)+1),MATCH(E$1,[1]quests!$1:$1,0)-MATCH($C$1,[1]quests!$1:$1,0)+1,FALSE)</f>
        <v>ドロップイベント1-1（マルチ専用）</v>
      </c>
      <c r="F830" s="5">
        <v>2</v>
      </c>
      <c r="G830" s="3" t="str">
        <f ca="1">VLOOKUP($C830&amp;"_"&amp;$F830,OFFSET([1]stages!$A$1,0,0,COUNTA([1]stages!$A:$A),MATCH(G$1,[1]stages!$2:$2,0)-MATCH("temp_stage",[1]stages!$2:$2,0)+1),MATCH(G$1,[1]stages!$2:$2,0)-MATCH("temp_stage",[1]stages!$2:$2,0)+1,FALSE)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0" s="3" t="str">
        <f ca="1">VLOOKUP($C830&amp;"_"&amp;$F830,OFFSET([1]stages!$A$1,0,0,COUNTA([1]stages!$A:$A),MATCH(H$1,[1]stages!$2:$2,0)-MATCH("temp_stage",[1]stages!$2:$2,0)+1),MATCH(H$1,[1]stages!$2:$2,0)-MATCH("temp_stage",[1]stages!$2:$2,0)+1,FALSE)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0" s="18">
        <v>0</v>
      </c>
      <c r="J830" s="5">
        <f>COUNTIF(C$1:C830,C830)</f>
        <v>4</v>
      </c>
      <c r="K830" s="34">
        <v>8</v>
      </c>
      <c r="L830" s="5" t="s">
        <v>17</v>
      </c>
      <c r="M830" s="38" t="str">
        <f>VLOOKUP(K830,[2]stage_hints!$A:$C,3,FALSE)</f>
        <v>ゲリラクエストは要チェック</v>
      </c>
      <c r="N830" s="39" t="str">
        <f>VLOOKUP(K830,[2]stage_hints!$A:$D,4,FALSE)</f>
        <v>時間限定の「アヒル捕獲作戦」では
経験値素材ユニットが多く手に入ります</v>
      </c>
      <c r="O830" s="20" t="s">
        <v>24</v>
      </c>
      <c r="P830">
        <v>8</v>
      </c>
    </row>
    <row r="831" spans="1:16" x14ac:dyDescent="0.15">
      <c r="A831" s="27" t="str">
        <f t="shared" si="76"/>
        <v>30001_2_5</v>
      </c>
      <c r="B831" s="25" t="s">
        <v>34</v>
      </c>
      <c r="C831" s="4">
        <v>30001</v>
      </c>
      <c r="D831" s="3" t="str">
        <f ca="1">VLOOKUP($C831,OFFSET([1]quests!$A$1,0,0,COUNTA([1]quests!$A:$A),MATCH(D$1,[1]quests!$1:$1,0)-MATCH($C$1,[1]quests!$1:$1,0)+1),MATCH(D$1,[1]quests!$1:$1,0)-MATCH($C$1,[1]quests!$1:$1,0)+1,FALSE)</f>
        <v>ハンター・オブ・ハンター</v>
      </c>
      <c r="E831" s="3" t="str">
        <f ca="1">VLOOKUP($C831,OFFSET([1]quests!$A$1,0,0,COUNTA([1]quests!$A:$A),MATCH(E$1,[1]quests!$1:$1,0)-MATCH($C$1,[1]quests!$1:$1,0)+1),MATCH(E$1,[1]quests!$1:$1,0)-MATCH($C$1,[1]quests!$1:$1,0)+1,FALSE)</f>
        <v>ドロップイベント1-1（マルチ専用）</v>
      </c>
      <c r="F831" s="5">
        <v>2</v>
      </c>
      <c r="G831" s="3" t="str">
        <f ca="1">VLOOKUP($C831&amp;"_"&amp;$F831,OFFSET([1]stages!$A$1,0,0,COUNTA([1]stages!$A:$A),MATCH(G$1,[1]stages!$2:$2,0)-MATCH("temp_stage",[1]stages!$2:$2,0)+1),MATCH(G$1,[1]stages!$2:$2,0)-MATCH("temp_stage",[1]stages!$2:$2,0)+1,FALSE)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1" s="3" t="str">
        <f ca="1">VLOOKUP($C831&amp;"_"&amp;$F831,OFFSET([1]stages!$A$1,0,0,COUNTA([1]stages!$A:$A),MATCH(H$1,[1]stages!$2:$2,0)-MATCH("temp_stage",[1]stages!$2:$2,0)+1),MATCH(H$1,[1]stages!$2:$2,0)-MATCH("temp_stage",[1]stages!$2:$2,0)+1,FALSE)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1" s="18">
        <v>0</v>
      </c>
      <c r="J831" s="5">
        <f>COUNTIF(C$1:C831,C831)</f>
        <v>5</v>
      </c>
      <c r="K831" s="34">
        <v>9</v>
      </c>
      <c r="L831" s="5" t="s">
        <v>17</v>
      </c>
      <c r="M831" s="38" t="str">
        <f>VLOOKUP(K831,[2]stage_hints!$A:$C,3,FALSE)</f>
        <v>ゴールドダックでビットを獲得</v>
      </c>
      <c r="N831" s="39" t="str">
        <f>VLOOKUP(K831,[2]stage_hints!$A:$D,4,FALSE)</f>
        <v>「ゴールドなアヒル」を売却すると
大量のビットがもらえます</v>
      </c>
      <c r="O831" s="20" t="s">
        <v>24</v>
      </c>
      <c r="P831">
        <v>9</v>
      </c>
    </row>
    <row r="832" spans="1:16" x14ac:dyDescent="0.15">
      <c r="A832" s="27" t="str">
        <f t="shared" si="76"/>
        <v>30001_2_6</v>
      </c>
      <c r="B832" s="25" t="s">
        <v>34</v>
      </c>
      <c r="C832" s="4">
        <v>30001</v>
      </c>
      <c r="D832" s="3" t="str">
        <f ca="1">VLOOKUP($C832,OFFSET([1]quests!$A$1,0,0,COUNTA([1]quests!$A:$A),MATCH(D$1,[1]quests!$1:$1,0)-MATCH($C$1,[1]quests!$1:$1,0)+1),MATCH(D$1,[1]quests!$1:$1,0)-MATCH($C$1,[1]quests!$1:$1,0)+1,FALSE)</f>
        <v>ハンター・オブ・ハンター</v>
      </c>
      <c r="E832" s="3" t="str">
        <f ca="1">VLOOKUP($C832,OFFSET([1]quests!$A$1,0,0,COUNTA([1]quests!$A:$A),MATCH(E$1,[1]quests!$1:$1,0)-MATCH($C$1,[1]quests!$1:$1,0)+1),MATCH(E$1,[1]quests!$1:$1,0)-MATCH($C$1,[1]quests!$1:$1,0)+1,FALSE)</f>
        <v>ドロップイベント1-1（マルチ専用）</v>
      </c>
      <c r="F832" s="5">
        <v>2</v>
      </c>
      <c r="G832" s="3" t="str">
        <f ca="1">VLOOKUP($C832&amp;"_"&amp;$F832,OFFSET([1]stages!$A$1,0,0,COUNTA([1]stages!$A:$A),MATCH(G$1,[1]stages!$2:$2,0)-MATCH("temp_stage",[1]stages!$2:$2,0)+1),MATCH(G$1,[1]stages!$2:$2,0)-MATCH("temp_stage",[1]stages!$2:$2,0)+1,FALSE)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2" s="3" t="str">
        <f ca="1">VLOOKUP($C832&amp;"_"&amp;$F832,OFFSET([1]stages!$A$1,0,0,COUNTA([1]stages!$A:$A),MATCH(H$1,[1]stages!$2:$2,0)-MATCH("temp_stage",[1]stages!$2:$2,0)+1),MATCH(H$1,[1]stages!$2:$2,0)-MATCH("temp_stage",[1]stages!$2:$2,0)+1,FALSE)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2" s="18">
        <v>0</v>
      </c>
      <c r="J832" s="5">
        <f>COUNTIF(C$1:C832,C832)</f>
        <v>6</v>
      </c>
      <c r="K832" s="34">
        <v>10</v>
      </c>
      <c r="L832" s="5" t="s">
        <v>17</v>
      </c>
      <c r="M832" s="38" t="str">
        <f>VLOOKUP(K832,[2]stage_hints!$A:$C,3,FALSE)</f>
        <v>土日に大量のビットを獲得</v>
      </c>
      <c r="N832" s="39" t="str">
        <f>VLOOKUP(K832,[2]stage_hints!$A:$D,4,FALSE)</f>
        <v>土日限定の「ゴールドカジノ」では
売却素材ユニットが多く手に入ります</v>
      </c>
      <c r="O832" s="20" t="s">
        <v>24</v>
      </c>
      <c r="P832">
        <v>10</v>
      </c>
    </row>
    <row r="833" spans="1:16" x14ac:dyDescent="0.15">
      <c r="A833" s="27" t="str">
        <f t="shared" si="76"/>
        <v>30001_2_7</v>
      </c>
      <c r="B833" s="25" t="s">
        <v>34</v>
      </c>
      <c r="C833" s="4">
        <v>30001</v>
      </c>
      <c r="D833" s="3" t="str">
        <f ca="1">VLOOKUP($C833,OFFSET([1]quests!$A$1,0,0,COUNTA([1]quests!$A:$A),MATCH(D$1,[1]quests!$1:$1,0)-MATCH($C$1,[1]quests!$1:$1,0)+1),MATCH(D$1,[1]quests!$1:$1,0)-MATCH($C$1,[1]quests!$1:$1,0)+1,FALSE)</f>
        <v>ハンター・オブ・ハンター</v>
      </c>
      <c r="E833" s="3" t="str">
        <f ca="1">VLOOKUP($C833,OFFSET([1]quests!$A$1,0,0,COUNTA([1]quests!$A:$A),MATCH(E$1,[1]quests!$1:$1,0)-MATCH($C$1,[1]quests!$1:$1,0)+1),MATCH(E$1,[1]quests!$1:$1,0)-MATCH($C$1,[1]quests!$1:$1,0)+1,FALSE)</f>
        <v>ドロップイベント1-1（マルチ専用）</v>
      </c>
      <c r="F833" s="5">
        <v>2</v>
      </c>
      <c r="G833" s="3" t="str">
        <f ca="1">VLOOKUP($C833&amp;"_"&amp;$F833,OFFSET([1]stages!$A$1,0,0,COUNTA([1]stages!$A:$A),MATCH(G$1,[1]stages!$2:$2,0)-MATCH("temp_stage",[1]stages!$2:$2,0)+1),MATCH(G$1,[1]stages!$2:$2,0)-MATCH("temp_stage",[1]stages!$2:$2,0)+1,FALSE)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3" s="3" t="str">
        <f ca="1">VLOOKUP($C833&amp;"_"&amp;$F833,OFFSET([1]stages!$A$1,0,0,COUNTA([1]stages!$A:$A),MATCH(H$1,[1]stages!$2:$2,0)-MATCH("temp_stage",[1]stages!$2:$2,0)+1),MATCH(H$1,[1]stages!$2:$2,0)-MATCH("temp_stage",[1]stages!$2:$2,0)+1,FALSE)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3" s="18">
        <v>0</v>
      </c>
      <c r="J833" s="5">
        <f>COUNTIF(C$1:C833,C833)</f>
        <v>7</v>
      </c>
      <c r="K833" s="34">
        <v>11</v>
      </c>
      <c r="L833" s="5" t="s">
        <v>17</v>
      </c>
      <c r="M833" s="38" t="str">
        <f>VLOOKUP(K833,[2]stage_hints!$A:$C,3,FALSE)</f>
        <v>ランク解放クエスト</v>
      </c>
      <c r="N833" s="39" t="str">
        <f>VLOOKUP(K833,[2]stage_hints!$A:$D,4,FALSE)</f>
        <v>一定ランクに到達すると
報酬付きのランク開放クエストが現れます</v>
      </c>
      <c r="O833" s="20" t="s">
        <v>24</v>
      </c>
      <c r="P833">
        <v>11</v>
      </c>
    </row>
    <row r="834" spans="1:16" x14ac:dyDescent="0.15">
      <c r="A834" s="27" t="str">
        <f t="shared" si="76"/>
        <v>30001_2_8</v>
      </c>
      <c r="B834" s="25" t="s">
        <v>34</v>
      </c>
      <c r="C834" s="4">
        <v>30001</v>
      </c>
      <c r="D834" s="3" t="str">
        <f ca="1">VLOOKUP($C834,OFFSET([1]quests!$A$1,0,0,COUNTA([1]quests!$A:$A),MATCH(D$1,[1]quests!$1:$1,0)-MATCH($C$1,[1]quests!$1:$1,0)+1),MATCH(D$1,[1]quests!$1:$1,0)-MATCH($C$1,[1]quests!$1:$1,0)+1,FALSE)</f>
        <v>ハンター・オブ・ハンター</v>
      </c>
      <c r="E834" s="3" t="str">
        <f ca="1">VLOOKUP($C834,OFFSET([1]quests!$A$1,0,0,COUNTA([1]quests!$A:$A),MATCH(E$1,[1]quests!$1:$1,0)-MATCH($C$1,[1]quests!$1:$1,0)+1),MATCH(E$1,[1]quests!$1:$1,0)-MATCH($C$1,[1]quests!$1:$1,0)+1,FALSE)</f>
        <v>ドロップイベント1-1（マルチ専用）</v>
      </c>
      <c r="F834" s="5">
        <v>2</v>
      </c>
      <c r="G834" s="3" t="str">
        <f ca="1">VLOOKUP($C834&amp;"_"&amp;$F834,OFFSET([1]stages!$A$1,0,0,COUNTA([1]stages!$A:$A),MATCH(G$1,[1]stages!$2:$2,0)-MATCH("temp_stage",[1]stages!$2:$2,0)+1),MATCH(G$1,[1]stages!$2:$2,0)-MATCH("temp_stage",[1]stages!$2:$2,0)+1,FALSE)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4" s="3" t="str">
        <f ca="1">VLOOKUP($C834&amp;"_"&amp;$F834,OFFSET([1]stages!$A$1,0,0,COUNTA([1]stages!$A:$A),MATCH(H$1,[1]stages!$2:$2,0)-MATCH("temp_stage",[1]stages!$2:$2,0)+1),MATCH(H$1,[1]stages!$2:$2,0)-MATCH("temp_stage",[1]stages!$2:$2,0)+1,FALSE)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4" s="18">
        <v>0</v>
      </c>
      <c r="J834" s="5">
        <f>COUNTIF(C$1:C834,C834)</f>
        <v>8</v>
      </c>
      <c r="K834" s="34">
        <v>12</v>
      </c>
      <c r="L834" s="5" t="s">
        <v>17</v>
      </c>
      <c r="M834" s="38" t="str">
        <f>VLOOKUP(K834,[2]stage_hints!$A:$C,3,FALSE)</f>
        <v>ユニットのお気に入り登録</v>
      </c>
      <c r="N834" s="39" t="str">
        <f>VLOOKUP(K834,[2]stage_hints!$A:$D,4,FALSE)</f>
        <v>大事なユニットを誤って消さないように
フォルダから「お気に入り登録」しましょう</v>
      </c>
      <c r="O834" s="20" t="s">
        <v>24</v>
      </c>
      <c r="P834">
        <v>12</v>
      </c>
    </row>
    <row r="835" spans="1:16" x14ac:dyDescent="0.15">
      <c r="A835" s="27" t="str">
        <f t="shared" si="76"/>
        <v>30001_2_9</v>
      </c>
      <c r="B835" s="25" t="s">
        <v>34</v>
      </c>
      <c r="C835" s="4">
        <v>30001</v>
      </c>
      <c r="D835" s="3" t="str">
        <f ca="1">VLOOKUP($C835,OFFSET([1]quests!$A$1,0,0,COUNTA([1]quests!$A:$A),MATCH(D$1,[1]quests!$1:$1,0)-MATCH($C$1,[1]quests!$1:$1,0)+1),MATCH(D$1,[1]quests!$1:$1,0)-MATCH($C$1,[1]quests!$1:$1,0)+1,FALSE)</f>
        <v>ハンター・オブ・ハンター</v>
      </c>
      <c r="E835" s="3" t="str">
        <f ca="1">VLOOKUP($C835,OFFSET([1]quests!$A$1,0,0,COUNTA([1]quests!$A:$A),MATCH(E$1,[1]quests!$1:$1,0)-MATCH($C$1,[1]quests!$1:$1,0)+1),MATCH(E$1,[1]quests!$1:$1,0)-MATCH($C$1,[1]quests!$1:$1,0)+1,FALSE)</f>
        <v>ドロップイベント1-1（マルチ専用）</v>
      </c>
      <c r="F835" s="5">
        <v>2</v>
      </c>
      <c r="G835" s="3" t="str">
        <f ca="1">VLOOKUP($C835&amp;"_"&amp;$F835,OFFSET([1]stages!$A$1,0,0,COUNTA([1]stages!$A:$A),MATCH(G$1,[1]stages!$2:$2,0)-MATCH("temp_stage",[1]stages!$2:$2,0)+1),MATCH(G$1,[1]stages!$2:$2,0)-MATCH("temp_stage",[1]stages!$2:$2,0)+1,FALSE)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5" s="3" t="str">
        <f ca="1">VLOOKUP($C835&amp;"_"&amp;$F835,OFFSET([1]stages!$A$1,0,0,COUNTA([1]stages!$A:$A),MATCH(H$1,[1]stages!$2:$2,0)-MATCH("temp_stage",[1]stages!$2:$2,0)+1),MATCH(H$1,[1]stages!$2:$2,0)-MATCH("temp_stage",[1]stages!$2:$2,0)+1,FALSE)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5" s="18">
        <v>0</v>
      </c>
      <c r="J835" s="5">
        <f>COUNTIF(C$1:C835,C835)</f>
        <v>9</v>
      </c>
      <c r="K835" s="34">
        <v>13</v>
      </c>
      <c r="L835" s="5" t="s">
        <v>17</v>
      </c>
      <c r="M835" s="38" t="str">
        <f>VLOOKUP(K835,[2]stage_hints!$A:$C,3,FALSE)</f>
        <v>ユニットの覚醒</v>
      </c>
      <c r="N835" s="39" t="str">
        <f>VLOOKUP(K835,[2]stage_hints!$A:$D,4,FALSE)</f>
        <v>ユニットを覚醒させると
比べものにならない強さが手に入ります</v>
      </c>
      <c r="O835" s="20" t="s">
        <v>24</v>
      </c>
      <c r="P835">
        <v>13</v>
      </c>
    </row>
    <row r="836" spans="1:16" x14ac:dyDescent="0.15">
      <c r="A836" s="27" t="str">
        <f t="shared" si="76"/>
        <v>30001_2_10</v>
      </c>
      <c r="B836" s="25" t="s">
        <v>34</v>
      </c>
      <c r="C836" s="4">
        <v>30001</v>
      </c>
      <c r="D836" s="3" t="str">
        <f ca="1">VLOOKUP($C836,OFFSET([1]quests!$A$1,0,0,COUNTA([1]quests!$A:$A),MATCH(D$1,[1]quests!$1:$1,0)-MATCH($C$1,[1]quests!$1:$1,0)+1),MATCH(D$1,[1]quests!$1:$1,0)-MATCH($C$1,[1]quests!$1:$1,0)+1,FALSE)</f>
        <v>ハンター・オブ・ハンター</v>
      </c>
      <c r="E836" s="3" t="str">
        <f ca="1">VLOOKUP($C836,OFFSET([1]quests!$A$1,0,0,COUNTA([1]quests!$A:$A),MATCH(E$1,[1]quests!$1:$1,0)-MATCH($C$1,[1]quests!$1:$1,0)+1),MATCH(E$1,[1]quests!$1:$1,0)-MATCH($C$1,[1]quests!$1:$1,0)+1,FALSE)</f>
        <v>ドロップイベント1-1（マルチ専用）</v>
      </c>
      <c r="F836" s="5">
        <v>2</v>
      </c>
      <c r="G836" s="3" t="str">
        <f ca="1">VLOOKUP($C836&amp;"_"&amp;$F836,OFFSET([1]stages!$A$1,0,0,COUNTA([1]stages!$A:$A),MATCH(G$1,[1]stages!$2:$2,0)-MATCH("temp_stage",[1]stages!$2:$2,0)+1),MATCH(G$1,[1]stages!$2:$2,0)-MATCH("temp_stage",[1]stages!$2:$2,0)+1,FALSE)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6" s="3" t="str">
        <f ca="1">VLOOKUP($C836&amp;"_"&amp;$F836,OFFSET([1]stages!$A$1,0,0,COUNTA([1]stages!$A:$A),MATCH(H$1,[1]stages!$2:$2,0)-MATCH("temp_stage",[1]stages!$2:$2,0)+1),MATCH(H$1,[1]stages!$2:$2,0)-MATCH("temp_stage",[1]stages!$2:$2,0)+1,FALSE)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6" s="18">
        <v>0</v>
      </c>
      <c r="J836" s="5">
        <f>COUNTIF(C$1:C836,C836)</f>
        <v>10</v>
      </c>
      <c r="K836" s="34">
        <v>14</v>
      </c>
      <c r="L836" s="5" t="s">
        <v>17</v>
      </c>
      <c r="M836" s="38" t="str">
        <f>VLOOKUP(K836,[2]stage_hints!$A:$C,3,FALSE)</f>
        <v>覚醒するにはレベルを最大に</v>
      </c>
      <c r="N836" s="39" t="str">
        <f>VLOOKUP(K836,[2]stage_hints!$A:$D,4,FALSE)</f>
        <v>覚醒するにはユニットのレベルを
最大まで上げる必要があります</v>
      </c>
      <c r="O836" s="20" t="s">
        <v>24</v>
      </c>
      <c r="P836">
        <v>14</v>
      </c>
    </row>
    <row r="837" spans="1:16" x14ac:dyDescent="0.15">
      <c r="A837" s="27" t="str">
        <f t="shared" si="76"/>
        <v>30001_2_11</v>
      </c>
      <c r="B837" s="25" t="s">
        <v>34</v>
      </c>
      <c r="C837" s="4">
        <v>30001</v>
      </c>
      <c r="D837" s="3" t="str">
        <f ca="1">VLOOKUP($C837,OFFSET([1]quests!$A$1,0,0,COUNTA([1]quests!$A:$A),MATCH(D$1,[1]quests!$1:$1,0)-MATCH($C$1,[1]quests!$1:$1,0)+1),MATCH(D$1,[1]quests!$1:$1,0)-MATCH($C$1,[1]quests!$1:$1,0)+1,FALSE)</f>
        <v>ハンター・オブ・ハンター</v>
      </c>
      <c r="E837" s="3" t="str">
        <f ca="1">VLOOKUP($C837,OFFSET([1]quests!$A$1,0,0,COUNTA([1]quests!$A:$A),MATCH(E$1,[1]quests!$1:$1,0)-MATCH($C$1,[1]quests!$1:$1,0)+1),MATCH(E$1,[1]quests!$1:$1,0)-MATCH($C$1,[1]quests!$1:$1,0)+1,FALSE)</f>
        <v>ドロップイベント1-1（マルチ専用）</v>
      </c>
      <c r="F837" s="5">
        <v>2</v>
      </c>
      <c r="G837" s="3" t="str">
        <f ca="1">VLOOKUP($C837&amp;"_"&amp;$F837,OFFSET([1]stages!$A$1,0,0,COUNTA([1]stages!$A:$A),MATCH(G$1,[1]stages!$2:$2,0)-MATCH("temp_stage",[1]stages!$2:$2,0)+1),MATCH(G$1,[1]stages!$2:$2,0)-MATCH("temp_stage",[1]stages!$2:$2,0)+1,FALSE)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7" s="3" t="str">
        <f ca="1">VLOOKUP($C837&amp;"_"&amp;$F837,OFFSET([1]stages!$A$1,0,0,COUNTA([1]stages!$A:$A),MATCH(H$1,[1]stages!$2:$2,0)-MATCH("temp_stage",[1]stages!$2:$2,0)+1),MATCH(H$1,[1]stages!$2:$2,0)-MATCH("temp_stage",[1]stages!$2:$2,0)+1,FALSE)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7" s="18">
        <v>0</v>
      </c>
      <c r="J837" s="5">
        <f>COUNTIF(C$1:C837,C837)</f>
        <v>11</v>
      </c>
      <c r="K837" s="34">
        <v>15</v>
      </c>
      <c r="L837" s="5" t="s">
        <v>17</v>
      </c>
      <c r="M837" s="38" t="str">
        <f>VLOOKUP(K837,[2]stage_hints!$A:$C,3,FALSE)</f>
        <v>覚醒素材を獲得</v>
      </c>
      <c r="N837" s="39" t="str">
        <f>VLOOKUP(K837,[2]stage_hints!$A:$D,4,FALSE)</f>
        <v>「曜日クエスト」では
ユニットの覚醒に必要な素材が手に入ります</v>
      </c>
      <c r="O837" s="20" t="s">
        <v>24</v>
      </c>
      <c r="P837">
        <v>15</v>
      </c>
    </row>
    <row r="838" spans="1:16" x14ac:dyDescent="0.15">
      <c r="A838" s="27" t="str">
        <f t="shared" si="76"/>
        <v>30001_2_12</v>
      </c>
      <c r="B838" s="25" t="s">
        <v>34</v>
      </c>
      <c r="C838" s="4">
        <v>30001</v>
      </c>
      <c r="D838" s="3" t="str">
        <f ca="1">VLOOKUP($C838,OFFSET([1]quests!$A$1,0,0,COUNTA([1]quests!$A:$A),MATCH(D$1,[1]quests!$1:$1,0)-MATCH($C$1,[1]quests!$1:$1,0)+1),MATCH(D$1,[1]quests!$1:$1,0)-MATCH($C$1,[1]quests!$1:$1,0)+1,FALSE)</f>
        <v>ハンター・オブ・ハンター</v>
      </c>
      <c r="E838" s="3" t="str">
        <f ca="1">VLOOKUP($C838,OFFSET([1]quests!$A$1,0,0,COUNTA([1]quests!$A:$A),MATCH(E$1,[1]quests!$1:$1,0)-MATCH($C$1,[1]quests!$1:$1,0)+1),MATCH(E$1,[1]quests!$1:$1,0)-MATCH($C$1,[1]quests!$1:$1,0)+1,FALSE)</f>
        <v>ドロップイベント1-1（マルチ専用）</v>
      </c>
      <c r="F838" s="5">
        <v>2</v>
      </c>
      <c r="G838" s="3" t="str">
        <f ca="1">VLOOKUP($C838&amp;"_"&amp;$F838,OFFSET([1]stages!$A$1,0,0,COUNTA([1]stages!$A:$A),MATCH(G$1,[1]stages!$2:$2,0)-MATCH("temp_stage",[1]stages!$2:$2,0)+1),MATCH(G$1,[1]stages!$2:$2,0)-MATCH("temp_stage",[1]stages!$2:$2,0)+1,FALSE)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8" s="3" t="str">
        <f ca="1">VLOOKUP($C838&amp;"_"&amp;$F838,OFFSET([1]stages!$A$1,0,0,COUNTA([1]stages!$A:$A),MATCH(H$1,[1]stages!$2:$2,0)-MATCH("temp_stage",[1]stages!$2:$2,0)+1),MATCH(H$1,[1]stages!$2:$2,0)-MATCH("temp_stage",[1]stages!$2:$2,0)+1,FALSE)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8" s="18">
        <v>0</v>
      </c>
      <c r="J838" s="5">
        <f>COUNTIF(C$1:C838,C838)</f>
        <v>12</v>
      </c>
      <c r="K838" s="34">
        <v>16</v>
      </c>
      <c r="L838" s="5" t="s">
        <v>17</v>
      </c>
      <c r="M838" s="38" t="str">
        <f>VLOOKUP(K838,[2]stage_hints!$A:$C,3,FALSE)</f>
        <v>マルチプレイのメリット（その1）</v>
      </c>
      <c r="N838" s="39" t="str">
        <f>VLOOKUP(K838,[2]stage_hints!$A:$D,4,FALSE)</f>
        <v>他のプレイヤーとマルチプレイで遊ぶと
ポリゴンがもらえます（100人まで）</v>
      </c>
      <c r="O838" s="20" t="s">
        <v>24</v>
      </c>
      <c r="P838">
        <v>16</v>
      </c>
    </row>
    <row r="839" spans="1:16" x14ac:dyDescent="0.15">
      <c r="A839" s="27" t="str">
        <f t="shared" si="76"/>
        <v>30001_2_13</v>
      </c>
      <c r="B839" s="25" t="s">
        <v>34</v>
      </c>
      <c r="C839" s="4">
        <v>30001</v>
      </c>
      <c r="D839" s="3" t="str">
        <f ca="1">VLOOKUP($C839,OFFSET([1]quests!$A$1,0,0,COUNTA([1]quests!$A:$A),MATCH(D$1,[1]quests!$1:$1,0)-MATCH($C$1,[1]quests!$1:$1,0)+1),MATCH(D$1,[1]quests!$1:$1,0)-MATCH($C$1,[1]quests!$1:$1,0)+1,FALSE)</f>
        <v>ハンター・オブ・ハンター</v>
      </c>
      <c r="E839" s="3" t="str">
        <f ca="1">VLOOKUP($C839,OFFSET([1]quests!$A$1,0,0,COUNTA([1]quests!$A:$A),MATCH(E$1,[1]quests!$1:$1,0)-MATCH($C$1,[1]quests!$1:$1,0)+1),MATCH(E$1,[1]quests!$1:$1,0)-MATCH($C$1,[1]quests!$1:$1,0)+1,FALSE)</f>
        <v>ドロップイベント1-1（マルチ専用）</v>
      </c>
      <c r="F839" s="5">
        <v>2</v>
      </c>
      <c r="G839" s="3" t="str">
        <f ca="1">VLOOKUP($C839&amp;"_"&amp;$F839,OFFSET([1]stages!$A$1,0,0,COUNTA([1]stages!$A:$A),MATCH(G$1,[1]stages!$2:$2,0)-MATCH("temp_stage",[1]stages!$2:$2,0)+1),MATCH(G$1,[1]stages!$2:$2,0)-MATCH("temp_stage",[1]stages!$2:$2,0)+1,FALSE)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39" s="3" t="str">
        <f ca="1">VLOOKUP($C839&amp;"_"&amp;$F839,OFFSET([1]stages!$A$1,0,0,COUNTA([1]stages!$A:$A),MATCH(H$1,[1]stages!$2:$2,0)-MATCH("temp_stage",[1]stages!$2:$2,0)+1),MATCH(H$1,[1]stages!$2:$2,0)-MATCH("temp_stage",[1]stages!$2:$2,0)+1,FALSE)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39" s="18">
        <v>0</v>
      </c>
      <c r="J839" s="5">
        <f>COUNTIF(C$1:C839,C839)</f>
        <v>13</v>
      </c>
      <c r="K839" s="34">
        <v>17</v>
      </c>
      <c r="L839" s="5" t="s">
        <v>17</v>
      </c>
      <c r="M839" s="38" t="str">
        <f>VLOOKUP(K839,[2]stage_hints!$A:$C,3,FALSE)</f>
        <v>リンクガチャ</v>
      </c>
      <c r="N839" s="39" t="str">
        <f>VLOOKUP(K839,[2]stage_hints!$A:$D,4,FALSE)</f>
        <v>無料のリンクガチャを回して
経験値素材や売却素材を獲得しましょう</v>
      </c>
      <c r="O839" s="20" t="s">
        <v>24</v>
      </c>
      <c r="P839">
        <v>17</v>
      </c>
    </row>
    <row r="840" spans="1:16" x14ac:dyDescent="0.15">
      <c r="A840" s="27" t="str">
        <f t="shared" si="76"/>
        <v>30001_2_14</v>
      </c>
      <c r="B840" s="25" t="s">
        <v>34</v>
      </c>
      <c r="C840" s="4">
        <v>30001</v>
      </c>
      <c r="D840" s="3" t="str">
        <f ca="1">VLOOKUP($C840,OFFSET([1]quests!$A$1,0,0,COUNTA([1]quests!$A:$A),MATCH(D$1,[1]quests!$1:$1,0)-MATCH($C$1,[1]quests!$1:$1,0)+1),MATCH(D$1,[1]quests!$1:$1,0)-MATCH($C$1,[1]quests!$1:$1,0)+1,FALSE)</f>
        <v>ハンター・オブ・ハンター</v>
      </c>
      <c r="E840" s="3" t="str">
        <f ca="1">VLOOKUP($C840,OFFSET([1]quests!$A$1,0,0,COUNTA([1]quests!$A:$A),MATCH(E$1,[1]quests!$1:$1,0)-MATCH($C$1,[1]quests!$1:$1,0)+1),MATCH(E$1,[1]quests!$1:$1,0)-MATCH($C$1,[1]quests!$1:$1,0)+1,FALSE)</f>
        <v>ドロップイベント1-1（マルチ専用）</v>
      </c>
      <c r="F840" s="5">
        <v>2</v>
      </c>
      <c r="G840" s="3" t="str">
        <f ca="1">VLOOKUP($C840&amp;"_"&amp;$F840,OFFSET([1]stages!$A$1,0,0,COUNTA([1]stages!$A:$A),MATCH(G$1,[1]stages!$2:$2,0)-MATCH("temp_stage",[1]stages!$2:$2,0)+1),MATCH(G$1,[1]stages!$2:$2,0)-MATCH("temp_stage",[1]stages!$2:$2,0)+1,FALSE)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0" s="3" t="str">
        <f ca="1">VLOOKUP($C840&amp;"_"&amp;$F840,OFFSET([1]stages!$A$1,0,0,COUNTA([1]stages!$A:$A),MATCH(H$1,[1]stages!$2:$2,0)-MATCH("temp_stage",[1]stages!$2:$2,0)+1),MATCH(H$1,[1]stages!$2:$2,0)-MATCH("temp_stage",[1]stages!$2:$2,0)+1,FALSE)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0" s="18">
        <v>0</v>
      </c>
      <c r="J840" s="5">
        <f>COUNTIF(C$1:C840,C840)</f>
        <v>14</v>
      </c>
      <c r="K840" s="34">
        <v>18</v>
      </c>
      <c r="L840" s="5" t="s">
        <v>17</v>
      </c>
      <c r="M840" s="38" t="str">
        <f>VLOOKUP(K840,[2]stage_hints!$A:$C,3,FALSE)</f>
        <v>マルチプレイのメリット（その2）</v>
      </c>
      <c r="N840" s="39" t="str">
        <f>VLOOKUP(K840,[2]stage_hints!$A:$D,4,FALSE)</f>
        <v>マルチプレイならリンクが2倍もらえます
リンクガチャをたくさん回しましょう</v>
      </c>
      <c r="O840" s="20" t="s">
        <v>24</v>
      </c>
      <c r="P840">
        <v>18</v>
      </c>
    </row>
    <row r="841" spans="1:16" x14ac:dyDescent="0.15">
      <c r="A841" s="27" t="str">
        <f t="shared" si="76"/>
        <v>30001_2_15</v>
      </c>
      <c r="B841" s="25" t="s">
        <v>34</v>
      </c>
      <c r="C841" s="4">
        <v>30001</v>
      </c>
      <c r="D841" s="3" t="str">
        <f ca="1">VLOOKUP($C841,OFFSET([1]quests!$A$1,0,0,COUNTA([1]quests!$A:$A),MATCH(D$1,[1]quests!$1:$1,0)-MATCH($C$1,[1]quests!$1:$1,0)+1),MATCH(D$1,[1]quests!$1:$1,0)-MATCH($C$1,[1]quests!$1:$1,0)+1,FALSE)</f>
        <v>ハンター・オブ・ハンター</v>
      </c>
      <c r="E841" s="3" t="str">
        <f ca="1">VLOOKUP($C841,OFFSET([1]quests!$A$1,0,0,COUNTA([1]quests!$A:$A),MATCH(E$1,[1]quests!$1:$1,0)-MATCH($C$1,[1]quests!$1:$1,0)+1),MATCH(E$1,[1]quests!$1:$1,0)-MATCH($C$1,[1]quests!$1:$1,0)+1,FALSE)</f>
        <v>ドロップイベント1-1（マルチ専用）</v>
      </c>
      <c r="F841" s="5">
        <v>2</v>
      </c>
      <c r="G841" s="3" t="str">
        <f ca="1">VLOOKUP($C841&amp;"_"&amp;$F841,OFFSET([1]stages!$A$1,0,0,COUNTA([1]stages!$A:$A),MATCH(G$1,[1]stages!$2:$2,0)-MATCH("temp_stage",[1]stages!$2:$2,0)+1),MATCH(G$1,[1]stages!$2:$2,0)-MATCH("temp_stage",[1]stages!$2:$2,0)+1,FALSE)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1" s="3" t="str">
        <f ca="1">VLOOKUP($C841&amp;"_"&amp;$F841,OFFSET([1]stages!$A$1,0,0,COUNTA([1]stages!$A:$A),MATCH(H$1,[1]stages!$2:$2,0)-MATCH("temp_stage",[1]stages!$2:$2,0)+1),MATCH(H$1,[1]stages!$2:$2,0)-MATCH("temp_stage",[1]stages!$2:$2,0)+1,FALSE)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1" s="18">
        <v>0</v>
      </c>
      <c r="J841" s="5">
        <f>COUNTIF(C$1:C841,C841)</f>
        <v>15</v>
      </c>
      <c r="K841" s="34">
        <v>19</v>
      </c>
      <c r="L841" s="5" t="s">
        <v>17</v>
      </c>
      <c r="M841" s="38" t="str">
        <f>VLOOKUP(K841,[2]stage_hints!$A:$C,3,FALSE)</f>
        <v>ソロ専用チャレンジタワー</v>
      </c>
      <c r="N841" s="39" t="str">
        <f>VLOOKUP(K841,[2]stage_hints!$A:$D,4,FALSE)</f>
        <v>ソロ専用の「チャレンジタワー」では
各フロアごとにクリア報酬がもらえます</v>
      </c>
      <c r="O841" s="20" t="s">
        <v>24</v>
      </c>
      <c r="P841">
        <v>19</v>
      </c>
    </row>
    <row r="842" spans="1:16" x14ac:dyDescent="0.15">
      <c r="A842" s="27" t="str">
        <f t="shared" si="76"/>
        <v>30001_2_16</v>
      </c>
      <c r="B842" s="25" t="s">
        <v>34</v>
      </c>
      <c r="C842" s="4">
        <v>30001</v>
      </c>
      <c r="D842" s="3" t="str">
        <f ca="1">VLOOKUP($C842,OFFSET([1]quests!$A$1,0,0,COUNTA([1]quests!$A:$A),MATCH(D$1,[1]quests!$1:$1,0)-MATCH($C$1,[1]quests!$1:$1,0)+1),MATCH(D$1,[1]quests!$1:$1,0)-MATCH($C$1,[1]quests!$1:$1,0)+1,FALSE)</f>
        <v>ハンター・オブ・ハンター</v>
      </c>
      <c r="E842" s="3" t="str">
        <f ca="1">VLOOKUP($C842,OFFSET([1]quests!$A$1,0,0,COUNTA([1]quests!$A:$A),MATCH(E$1,[1]quests!$1:$1,0)-MATCH($C$1,[1]quests!$1:$1,0)+1),MATCH(E$1,[1]quests!$1:$1,0)-MATCH($C$1,[1]quests!$1:$1,0)+1,FALSE)</f>
        <v>ドロップイベント1-1（マルチ専用）</v>
      </c>
      <c r="F842" s="5">
        <v>2</v>
      </c>
      <c r="G842" s="3" t="str">
        <f ca="1">VLOOKUP($C842&amp;"_"&amp;$F842,OFFSET([1]stages!$A$1,0,0,COUNTA([1]stages!$A:$A),MATCH(G$1,[1]stages!$2:$2,0)-MATCH("temp_stage",[1]stages!$2:$2,0)+1),MATCH(G$1,[1]stages!$2:$2,0)-MATCH("temp_stage",[1]stages!$2:$2,0)+1,FALSE)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2" s="3" t="str">
        <f ca="1">VLOOKUP($C842&amp;"_"&amp;$F842,OFFSET([1]stages!$A$1,0,0,COUNTA([1]stages!$A:$A),MATCH(H$1,[1]stages!$2:$2,0)-MATCH("temp_stage",[1]stages!$2:$2,0)+1),MATCH(H$1,[1]stages!$2:$2,0)-MATCH("temp_stage",[1]stages!$2:$2,0)+1,FALSE)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2" s="18">
        <v>0</v>
      </c>
      <c r="J842" s="5">
        <f>COUNTIF(C$1:C842,C842)</f>
        <v>16</v>
      </c>
      <c r="K842" s="34">
        <v>20</v>
      </c>
      <c r="L842" s="5" t="s">
        <v>17</v>
      </c>
      <c r="M842" s="38" t="str">
        <f>VLOOKUP(K842,[2]stage_hints!$A:$C,3,FALSE)</f>
        <v>マルチプレイのメリット（その3）</v>
      </c>
      <c r="N842" s="39" t="str">
        <f>VLOOKUP(K842,[2]stage_hints!$A:$D,4,FALSE)</f>
        <v>マルチプレイへの参加はエナジー消費ゼロ
いつでも好きなだけ遊ぶことができます</v>
      </c>
      <c r="O842" s="20" t="s">
        <v>24</v>
      </c>
      <c r="P842">
        <v>20</v>
      </c>
    </row>
    <row r="843" spans="1:16" x14ac:dyDescent="0.15">
      <c r="A843" s="27" t="str">
        <f t="shared" si="76"/>
        <v>30001_2_17</v>
      </c>
      <c r="B843" s="25" t="s">
        <v>34</v>
      </c>
      <c r="C843" s="4">
        <v>30001</v>
      </c>
      <c r="D843" s="3" t="str">
        <f ca="1">VLOOKUP($C843,OFFSET([1]quests!$A$1,0,0,COUNTA([1]quests!$A:$A),MATCH(D$1,[1]quests!$1:$1,0)-MATCH($C$1,[1]quests!$1:$1,0)+1),MATCH(D$1,[1]quests!$1:$1,0)-MATCH($C$1,[1]quests!$1:$1,0)+1,FALSE)</f>
        <v>ハンター・オブ・ハンター</v>
      </c>
      <c r="E843" s="3" t="str">
        <f ca="1">VLOOKUP($C843,OFFSET([1]quests!$A$1,0,0,COUNTA([1]quests!$A:$A),MATCH(E$1,[1]quests!$1:$1,0)-MATCH($C$1,[1]quests!$1:$1,0)+1),MATCH(E$1,[1]quests!$1:$1,0)-MATCH($C$1,[1]quests!$1:$1,0)+1,FALSE)</f>
        <v>ドロップイベント1-1（マルチ専用）</v>
      </c>
      <c r="F843" s="5">
        <v>2</v>
      </c>
      <c r="G843" s="3" t="str">
        <f ca="1">VLOOKUP($C843&amp;"_"&amp;$F843,OFFSET([1]stages!$A$1,0,0,COUNTA([1]stages!$A:$A),MATCH(G$1,[1]stages!$2:$2,0)-MATCH("temp_stage",[1]stages!$2:$2,0)+1),MATCH(G$1,[1]stages!$2:$2,0)-MATCH("temp_stage",[1]stages!$2:$2,0)+1,FALSE)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3" s="3" t="str">
        <f ca="1">VLOOKUP($C843&amp;"_"&amp;$F843,OFFSET([1]stages!$A$1,0,0,COUNTA([1]stages!$A:$A),MATCH(H$1,[1]stages!$2:$2,0)-MATCH("temp_stage",[1]stages!$2:$2,0)+1),MATCH(H$1,[1]stages!$2:$2,0)-MATCH("temp_stage",[1]stages!$2:$2,0)+1,FALSE)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3" s="18">
        <v>0</v>
      </c>
      <c r="J843" s="5">
        <f>COUNTIF(C$1:C843,C843)</f>
        <v>17</v>
      </c>
      <c r="K843" s="34">
        <v>21</v>
      </c>
      <c r="L843" s="5" t="s">
        <v>17</v>
      </c>
      <c r="M843" s="38" t="str">
        <f>VLOOKUP(K843,[2]stage_hints!$A:$C,3,FALSE)</f>
        <v>スキルを有効に</v>
      </c>
      <c r="N843" s="39" t="str">
        <f>VLOOKUP(K843,[2]stage_hints!$A:$D,4,FALSE)</f>
        <v>ターン経過でユニットのスキルが使えます
強力スキルでバトルを有利に進めましょう</v>
      </c>
      <c r="O843" s="20" t="s">
        <v>24</v>
      </c>
      <c r="P843">
        <v>21</v>
      </c>
    </row>
    <row r="844" spans="1:16" x14ac:dyDescent="0.15">
      <c r="A844" s="27" t="str">
        <f t="shared" si="76"/>
        <v>30001_2_18</v>
      </c>
      <c r="B844" s="25" t="s">
        <v>34</v>
      </c>
      <c r="C844" s="4">
        <v>30001</v>
      </c>
      <c r="D844" s="3" t="str">
        <f ca="1">VLOOKUP($C844,OFFSET([1]quests!$A$1,0,0,COUNTA([1]quests!$A:$A),MATCH(D$1,[1]quests!$1:$1,0)-MATCH($C$1,[1]quests!$1:$1,0)+1),MATCH(D$1,[1]quests!$1:$1,0)-MATCH($C$1,[1]quests!$1:$1,0)+1,FALSE)</f>
        <v>ハンター・オブ・ハンター</v>
      </c>
      <c r="E844" s="3" t="str">
        <f ca="1">VLOOKUP($C844,OFFSET([1]quests!$A$1,0,0,COUNTA([1]quests!$A:$A),MATCH(E$1,[1]quests!$1:$1,0)-MATCH($C$1,[1]quests!$1:$1,0)+1),MATCH(E$1,[1]quests!$1:$1,0)-MATCH($C$1,[1]quests!$1:$1,0)+1,FALSE)</f>
        <v>ドロップイベント1-1（マルチ専用）</v>
      </c>
      <c r="F844" s="5">
        <v>2</v>
      </c>
      <c r="G844" s="3" t="str">
        <f ca="1">VLOOKUP($C844&amp;"_"&amp;$F844,OFFSET([1]stages!$A$1,0,0,COUNTA([1]stages!$A:$A),MATCH(G$1,[1]stages!$2:$2,0)-MATCH("temp_stage",[1]stages!$2:$2,0)+1),MATCH(G$1,[1]stages!$2:$2,0)-MATCH("temp_stage",[1]stages!$2:$2,0)+1,FALSE)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4" s="3" t="str">
        <f ca="1">VLOOKUP($C844&amp;"_"&amp;$F844,OFFSET([1]stages!$A$1,0,0,COUNTA([1]stages!$A:$A),MATCH(H$1,[1]stages!$2:$2,0)-MATCH("temp_stage",[1]stages!$2:$2,0)+1),MATCH(H$1,[1]stages!$2:$2,0)-MATCH("temp_stage",[1]stages!$2:$2,0)+1,FALSE)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4" s="18">
        <v>0</v>
      </c>
      <c r="J844" s="5">
        <f>COUNTIF(C$1:C844,C844)</f>
        <v>18</v>
      </c>
      <c r="K844" s="34">
        <v>22</v>
      </c>
      <c r="L844" s="5" t="s">
        <v>17</v>
      </c>
      <c r="M844" s="38" t="str">
        <f>VLOOKUP(K844,[2]stage_hints!$A:$C,3,FALSE)</f>
        <v>フィーバーで一発逆転（その1）</v>
      </c>
      <c r="N844" s="39" t="str">
        <f>VLOOKUP(K844,[2]stage_hints!$A:$D,4,FALSE)</f>
        <v>フィーバーは攻撃と回復を兼ね備えます
ピンチからの一発逆転を狙いましょう</v>
      </c>
      <c r="O844" s="20" t="s">
        <v>24</v>
      </c>
      <c r="P844">
        <v>22</v>
      </c>
    </row>
    <row r="845" spans="1:16" x14ac:dyDescent="0.15">
      <c r="A845" s="27" t="str">
        <f t="shared" si="76"/>
        <v>30001_2_19</v>
      </c>
      <c r="B845" s="25" t="s">
        <v>34</v>
      </c>
      <c r="C845" s="4">
        <v>30001</v>
      </c>
      <c r="D845" s="3" t="str">
        <f ca="1">VLOOKUP($C845,OFFSET([1]quests!$A$1,0,0,COUNTA([1]quests!$A:$A),MATCH(D$1,[1]quests!$1:$1,0)-MATCH($C$1,[1]quests!$1:$1,0)+1),MATCH(D$1,[1]quests!$1:$1,0)-MATCH($C$1,[1]quests!$1:$1,0)+1,FALSE)</f>
        <v>ハンター・オブ・ハンター</v>
      </c>
      <c r="E845" s="3" t="str">
        <f ca="1">VLOOKUP($C845,OFFSET([1]quests!$A$1,0,0,COUNTA([1]quests!$A:$A),MATCH(E$1,[1]quests!$1:$1,0)-MATCH($C$1,[1]quests!$1:$1,0)+1),MATCH(E$1,[1]quests!$1:$1,0)-MATCH($C$1,[1]quests!$1:$1,0)+1,FALSE)</f>
        <v>ドロップイベント1-1（マルチ専用）</v>
      </c>
      <c r="F845" s="5">
        <v>2</v>
      </c>
      <c r="G845" s="3" t="str">
        <f ca="1">VLOOKUP($C845&amp;"_"&amp;$F845,OFFSET([1]stages!$A$1,0,0,COUNTA([1]stages!$A:$A),MATCH(G$1,[1]stages!$2:$2,0)-MATCH("temp_stage",[1]stages!$2:$2,0)+1),MATCH(G$1,[1]stages!$2:$2,0)-MATCH("temp_stage",[1]stages!$2:$2,0)+1,FALSE)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5" s="3" t="str">
        <f ca="1">VLOOKUP($C845&amp;"_"&amp;$F845,OFFSET([1]stages!$A$1,0,0,COUNTA([1]stages!$A:$A),MATCH(H$1,[1]stages!$2:$2,0)-MATCH("temp_stage",[1]stages!$2:$2,0)+1),MATCH(H$1,[1]stages!$2:$2,0)-MATCH("temp_stage",[1]stages!$2:$2,0)+1,FALSE)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5" s="18">
        <v>0</v>
      </c>
      <c r="J845" s="5">
        <f>COUNTIF(C$1:C845,C845)</f>
        <v>19</v>
      </c>
      <c r="K845" s="34">
        <v>23</v>
      </c>
      <c r="L845" s="5" t="s">
        <v>17</v>
      </c>
      <c r="M845" s="38" t="str">
        <f>VLOOKUP(K845,[2]stage_hints!$A:$C,3,FALSE)</f>
        <v>フィーバーで一発逆転（その2）</v>
      </c>
      <c r="N845" s="39" t="str">
        <f>VLOOKUP(K845,[2]stage_hints!$A:$D,4,FALSE)</f>
        <v>フィーバー中は虹色のボムパネルを狙って
画面上のパネルを一気に破壊しましょう</v>
      </c>
      <c r="O845" s="20" t="s">
        <v>24</v>
      </c>
      <c r="P845">
        <v>23</v>
      </c>
    </row>
    <row r="846" spans="1:16" x14ac:dyDescent="0.15">
      <c r="A846" s="27" t="str">
        <f t="shared" si="76"/>
        <v>30001_2_20</v>
      </c>
      <c r="B846" s="25" t="s">
        <v>34</v>
      </c>
      <c r="C846" s="4">
        <v>30001</v>
      </c>
      <c r="D846" s="3" t="str">
        <f ca="1">VLOOKUP($C846,OFFSET([1]quests!$A$1,0,0,COUNTA([1]quests!$A:$A),MATCH(D$1,[1]quests!$1:$1,0)-MATCH($C$1,[1]quests!$1:$1,0)+1),MATCH(D$1,[1]quests!$1:$1,0)-MATCH($C$1,[1]quests!$1:$1,0)+1,FALSE)</f>
        <v>ハンター・オブ・ハンター</v>
      </c>
      <c r="E846" s="3" t="str">
        <f ca="1">VLOOKUP($C846,OFFSET([1]quests!$A$1,0,0,COUNTA([1]quests!$A:$A),MATCH(E$1,[1]quests!$1:$1,0)-MATCH($C$1,[1]quests!$1:$1,0)+1),MATCH(E$1,[1]quests!$1:$1,0)-MATCH($C$1,[1]quests!$1:$1,0)+1,FALSE)</f>
        <v>ドロップイベント1-1（マルチ専用）</v>
      </c>
      <c r="F846" s="5">
        <v>2</v>
      </c>
      <c r="G846" s="3" t="str">
        <f ca="1">VLOOKUP($C846&amp;"_"&amp;$F846,OFFSET([1]stages!$A$1,0,0,COUNTA([1]stages!$A:$A),MATCH(G$1,[1]stages!$2:$2,0)-MATCH("temp_stage",[1]stages!$2:$2,0)+1),MATCH(G$1,[1]stages!$2:$2,0)-MATCH("temp_stage",[1]stages!$2:$2,0)+1,FALSE)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6" s="3" t="str">
        <f ca="1">VLOOKUP($C846&amp;"_"&amp;$F846,OFFSET([1]stages!$A$1,0,0,COUNTA([1]stages!$A:$A),MATCH(H$1,[1]stages!$2:$2,0)-MATCH("temp_stage",[1]stages!$2:$2,0)+1),MATCH(H$1,[1]stages!$2:$2,0)-MATCH("temp_stage",[1]stages!$2:$2,0)+1,FALSE)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6" s="18">
        <v>0</v>
      </c>
      <c r="J846" s="5">
        <f>COUNTIF(C$1:C846,C846)</f>
        <v>20</v>
      </c>
      <c r="K846" s="34">
        <v>24</v>
      </c>
      <c r="L846" s="5" t="s">
        <v>17</v>
      </c>
      <c r="M846" s="38" t="str">
        <f>VLOOKUP(K846,[2]stage_hints!$A:$C,3,FALSE)</f>
        <v>りんごを使って限界突破</v>
      </c>
      <c r="N846" s="39" t="str">
        <f>VLOOKUP(K846,[2]stage_hints!$A:$D,4,FALSE)</f>
        <v>赤りんご(攻撃力) 青りんご(回復力)
緑りんご(体力)をユニット強化に使うと
ステータスが限界突破します（計99個迄）</v>
      </c>
      <c r="O846" s="20" t="s">
        <v>24</v>
      </c>
      <c r="P846">
        <v>24</v>
      </c>
    </row>
    <row r="847" spans="1:16" x14ac:dyDescent="0.15">
      <c r="A847" s="27" t="str">
        <f t="shared" si="76"/>
        <v>30001_2_21</v>
      </c>
      <c r="B847" s="25" t="s">
        <v>34</v>
      </c>
      <c r="C847" s="4">
        <v>30001</v>
      </c>
      <c r="D847" s="3" t="str">
        <f ca="1">VLOOKUP($C847,OFFSET([1]quests!$A$1,0,0,COUNTA([1]quests!$A:$A),MATCH(D$1,[1]quests!$1:$1,0)-MATCH($C$1,[1]quests!$1:$1,0)+1),MATCH(D$1,[1]quests!$1:$1,0)-MATCH($C$1,[1]quests!$1:$1,0)+1,FALSE)</f>
        <v>ハンター・オブ・ハンター</v>
      </c>
      <c r="E847" s="3" t="str">
        <f ca="1">VLOOKUP($C847,OFFSET([1]quests!$A$1,0,0,COUNTA([1]quests!$A:$A),MATCH(E$1,[1]quests!$1:$1,0)-MATCH($C$1,[1]quests!$1:$1,0)+1),MATCH(E$1,[1]quests!$1:$1,0)-MATCH($C$1,[1]quests!$1:$1,0)+1,FALSE)</f>
        <v>ドロップイベント1-1（マルチ専用）</v>
      </c>
      <c r="F847" s="5">
        <v>2</v>
      </c>
      <c r="G847" s="3" t="str">
        <f ca="1">VLOOKUP($C847&amp;"_"&amp;$F847,OFFSET([1]stages!$A$1,0,0,COUNTA([1]stages!$A:$A),MATCH(G$1,[1]stages!$2:$2,0)-MATCH("temp_stage",[1]stages!$2:$2,0)+1),MATCH(G$1,[1]stages!$2:$2,0)-MATCH("temp_stage",[1]stages!$2:$2,0)+1,FALSE)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7" s="3" t="str">
        <f ca="1">VLOOKUP($C847&amp;"_"&amp;$F847,OFFSET([1]stages!$A$1,0,0,COUNTA([1]stages!$A:$A),MATCH(H$1,[1]stages!$2:$2,0)-MATCH("temp_stage",[1]stages!$2:$2,0)+1),MATCH(H$1,[1]stages!$2:$2,0)-MATCH("temp_stage",[1]stages!$2:$2,0)+1,FALSE)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7" s="18">
        <v>0</v>
      </c>
      <c r="J847" s="5">
        <f>COUNTIF(C$1:C847,C847)</f>
        <v>21</v>
      </c>
      <c r="K847" s="34">
        <v>25</v>
      </c>
      <c r="L847" s="5" t="s">
        <v>17</v>
      </c>
      <c r="M847" s="38" t="str">
        <f>VLOOKUP(K847,[2]stage_hints!$A:$C,3,FALSE)</f>
        <v>スキルレベルアップ</v>
      </c>
      <c r="N847" s="39" t="str">
        <f>VLOOKUP(K847,[2]stage_hints!$A:$D,4,FALSE)</f>
        <v>「クリスタルのりんご」を強化に使うと
スキルレベルを上げることができます</v>
      </c>
      <c r="O847" s="20" t="s">
        <v>24</v>
      </c>
      <c r="P847">
        <v>25</v>
      </c>
    </row>
    <row r="848" spans="1:16" x14ac:dyDescent="0.15">
      <c r="A848" s="27" t="str">
        <f t="shared" si="76"/>
        <v>30001_2_22</v>
      </c>
      <c r="B848" s="25" t="s">
        <v>34</v>
      </c>
      <c r="C848" s="4">
        <v>30001</v>
      </c>
      <c r="D848" s="3" t="str">
        <f ca="1">VLOOKUP($C848,OFFSET([1]quests!$A$1,0,0,COUNTA([1]quests!$A:$A),MATCH(D$1,[1]quests!$1:$1,0)-MATCH($C$1,[1]quests!$1:$1,0)+1),MATCH(D$1,[1]quests!$1:$1,0)-MATCH($C$1,[1]quests!$1:$1,0)+1,FALSE)</f>
        <v>ハンター・オブ・ハンター</v>
      </c>
      <c r="E848" s="3" t="str">
        <f ca="1">VLOOKUP($C848,OFFSET([1]quests!$A$1,0,0,COUNTA([1]quests!$A:$A),MATCH(E$1,[1]quests!$1:$1,0)-MATCH($C$1,[1]quests!$1:$1,0)+1),MATCH(E$1,[1]quests!$1:$1,0)-MATCH($C$1,[1]quests!$1:$1,0)+1,FALSE)</f>
        <v>ドロップイベント1-1（マルチ専用）</v>
      </c>
      <c r="F848" s="5">
        <v>2</v>
      </c>
      <c r="G848" s="3" t="str">
        <f ca="1">VLOOKUP($C848&amp;"_"&amp;$F848,OFFSET([1]stages!$A$1,0,0,COUNTA([1]stages!$A:$A),MATCH(G$1,[1]stages!$2:$2,0)-MATCH("temp_stage",[1]stages!$2:$2,0)+1),MATCH(G$1,[1]stages!$2:$2,0)-MATCH("temp_stage",[1]stages!$2:$2,0)+1,FALSE)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8" s="3" t="str">
        <f ca="1">VLOOKUP($C848&amp;"_"&amp;$F848,OFFSET([1]stages!$A$1,0,0,COUNTA([1]stages!$A:$A),MATCH(H$1,[1]stages!$2:$2,0)-MATCH("temp_stage",[1]stages!$2:$2,0)+1),MATCH(H$1,[1]stages!$2:$2,0)-MATCH("temp_stage",[1]stages!$2:$2,0)+1,FALSE)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8" s="18">
        <v>0</v>
      </c>
      <c r="J848" s="5">
        <f>COUNTIF(C$1:C848,C848)</f>
        <v>22</v>
      </c>
      <c r="K848" s="34">
        <v>26</v>
      </c>
      <c r="L848" s="5" t="s">
        <v>17</v>
      </c>
      <c r="M848" s="38" t="str">
        <f>VLOOKUP(K848,[2]stage_hints!$A:$C,3,FALSE)</f>
        <v>スキルレベルの効果</v>
      </c>
      <c r="N848" s="39" t="str">
        <f>VLOOKUP(K848,[2]stage_hints!$A:$D,4,FALSE)</f>
        <v>スキルレベルが上がると
短いターンでスキルを使うことができます</v>
      </c>
      <c r="O848" s="20" t="s">
        <v>24</v>
      </c>
      <c r="P848">
        <v>26</v>
      </c>
    </row>
    <row r="849" spans="1:16" x14ac:dyDescent="0.15">
      <c r="A849" s="27" t="str">
        <f t="shared" si="76"/>
        <v>30001_2_23</v>
      </c>
      <c r="B849" s="25" t="s">
        <v>34</v>
      </c>
      <c r="C849" s="4">
        <v>30001</v>
      </c>
      <c r="D849" s="3" t="str">
        <f ca="1">VLOOKUP($C849,OFFSET([1]quests!$A$1,0,0,COUNTA([1]quests!$A:$A),MATCH(D$1,[1]quests!$1:$1,0)-MATCH($C$1,[1]quests!$1:$1,0)+1),MATCH(D$1,[1]quests!$1:$1,0)-MATCH($C$1,[1]quests!$1:$1,0)+1,FALSE)</f>
        <v>ハンター・オブ・ハンター</v>
      </c>
      <c r="E849" s="3" t="str">
        <f ca="1">VLOOKUP($C849,OFFSET([1]quests!$A$1,0,0,COUNTA([1]quests!$A:$A),MATCH(E$1,[1]quests!$1:$1,0)-MATCH($C$1,[1]quests!$1:$1,0)+1),MATCH(E$1,[1]quests!$1:$1,0)-MATCH($C$1,[1]quests!$1:$1,0)+1,FALSE)</f>
        <v>ドロップイベント1-1（マルチ専用）</v>
      </c>
      <c r="F849" s="5">
        <v>2</v>
      </c>
      <c r="G849" s="3" t="str">
        <f ca="1">VLOOKUP($C849&amp;"_"&amp;$F849,OFFSET([1]stages!$A$1,0,0,COUNTA([1]stages!$A:$A),MATCH(G$1,[1]stages!$2:$2,0)-MATCH("temp_stage",[1]stages!$2:$2,0)+1),MATCH(G$1,[1]stages!$2:$2,0)-MATCH("temp_stage",[1]stages!$2:$2,0)+1,FALSE)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49" s="3" t="str">
        <f ca="1">VLOOKUP($C849&amp;"_"&amp;$F849,OFFSET([1]stages!$A$1,0,0,COUNTA([1]stages!$A:$A),MATCH(H$1,[1]stages!$2:$2,0)-MATCH("temp_stage",[1]stages!$2:$2,0)+1),MATCH(H$1,[1]stages!$2:$2,0)-MATCH("temp_stage",[1]stages!$2:$2,0)+1,FALSE)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49" s="18">
        <v>0</v>
      </c>
      <c r="J849" s="5">
        <f>COUNTIF(C$1:C849,C849)</f>
        <v>23</v>
      </c>
      <c r="K849" s="34">
        <v>27</v>
      </c>
      <c r="L849" s="5" t="s">
        <v>17</v>
      </c>
      <c r="M849" s="38" t="str">
        <f>VLOOKUP(K849,[2]stage_hints!$A:$C,3,FALSE)</f>
        <v>ホーム画面からデッキを編成</v>
      </c>
      <c r="N849" s="39" t="str">
        <f>VLOOKUP(K849,[2]stage_hints!$A:$D,4,FALSE)</f>
        <v>ホーム画面でユニットを長押しすると
すぐにパーティ編成に移動できます</v>
      </c>
      <c r="O849" s="20" t="s">
        <v>24</v>
      </c>
      <c r="P849">
        <v>27</v>
      </c>
    </row>
    <row r="850" spans="1:16" x14ac:dyDescent="0.15">
      <c r="A850" s="27" t="str">
        <f t="shared" si="76"/>
        <v>30001_2_24</v>
      </c>
      <c r="B850" s="25" t="s">
        <v>34</v>
      </c>
      <c r="C850" s="4">
        <v>30001</v>
      </c>
      <c r="D850" s="3" t="str">
        <f ca="1">VLOOKUP($C850,OFFSET([1]quests!$A$1,0,0,COUNTA([1]quests!$A:$A),MATCH(D$1,[1]quests!$1:$1,0)-MATCH($C$1,[1]quests!$1:$1,0)+1),MATCH(D$1,[1]quests!$1:$1,0)-MATCH($C$1,[1]quests!$1:$1,0)+1,FALSE)</f>
        <v>ハンター・オブ・ハンター</v>
      </c>
      <c r="E850" s="3" t="str">
        <f ca="1">VLOOKUP($C850,OFFSET([1]quests!$A$1,0,0,COUNTA([1]quests!$A:$A),MATCH(E$1,[1]quests!$1:$1,0)-MATCH($C$1,[1]quests!$1:$1,0)+1),MATCH(E$1,[1]quests!$1:$1,0)-MATCH($C$1,[1]quests!$1:$1,0)+1,FALSE)</f>
        <v>ドロップイベント1-1（マルチ専用）</v>
      </c>
      <c r="F850" s="5">
        <v>2</v>
      </c>
      <c r="G850" s="3" t="str">
        <f ca="1">VLOOKUP($C850&amp;"_"&amp;$F850,OFFSET([1]stages!$A$1,0,0,COUNTA([1]stages!$A:$A),MATCH(G$1,[1]stages!$2:$2,0)-MATCH("temp_stage",[1]stages!$2:$2,0)+1),MATCH(G$1,[1]stages!$2:$2,0)-MATCH("temp_stage",[1]stages!$2:$2,0)+1,FALSE)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0" s="3" t="str">
        <f ca="1">VLOOKUP($C850&amp;"_"&amp;$F850,OFFSET([1]stages!$A$1,0,0,COUNTA([1]stages!$A:$A),MATCH(H$1,[1]stages!$2:$2,0)-MATCH("temp_stage",[1]stages!$2:$2,0)+1),MATCH(H$1,[1]stages!$2:$2,0)-MATCH("temp_stage",[1]stages!$2:$2,0)+1,FALSE)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0" s="18">
        <v>0</v>
      </c>
      <c r="J850" s="5">
        <f>COUNTIF(C$1:C850,C850)</f>
        <v>24</v>
      </c>
      <c r="K850" s="34">
        <v>28</v>
      </c>
      <c r="L850" s="5" t="s">
        <v>17</v>
      </c>
      <c r="M850" s="38" t="str">
        <f>VLOOKUP(K850,[2]stage_hints!$A:$C,3,FALSE)</f>
        <v>ステータス情報は長押しで</v>
      </c>
      <c r="N850" s="39" t="str">
        <f>VLOOKUP(K850,[2]stage_hints!$A:$D,4,FALSE)</f>
        <v>ユニットのアイコンを長押しすると
ステータス情報を確認することができます</v>
      </c>
      <c r="O850" s="20" t="s">
        <v>24</v>
      </c>
      <c r="P850">
        <v>28</v>
      </c>
    </row>
    <row r="851" spans="1:16" x14ac:dyDescent="0.15">
      <c r="A851" s="27" t="str">
        <f t="shared" si="76"/>
        <v>30001_2_25</v>
      </c>
      <c r="B851" s="25" t="s">
        <v>34</v>
      </c>
      <c r="C851" s="4">
        <v>30001</v>
      </c>
      <c r="D851" s="3" t="str">
        <f ca="1">VLOOKUP($C851,OFFSET([1]quests!$A$1,0,0,COUNTA([1]quests!$A:$A),MATCH(D$1,[1]quests!$1:$1,0)-MATCH($C$1,[1]quests!$1:$1,0)+1),MATCH(D$1,[1]quests!$1:$1,0)-MATCH($C$1,[1]quests!$1:$1,0)+1,FALSE)</f>
        <v>ハンター・オブ・ハンター</v>
      </c>
      <c r="E851" s="3" t="str">
        <f ca="1">VLOOKUP($C851,OFFSET([1]quests!$A$1,0,0,COUNTA([1]quests!$A:$A),MATCH(E$1,[1]quests!$1:$1,0)-MATCH($C$1,[1]quests!$1:$1,0)+1),MATCH(E$1,[1]quests!$1:$1,0)-MATCH($C$1,[1]quests!$1:$1,0)+1,FALSE)</f>
        <v>ドロップイベント1-1（マルチ専用）</v>
      </c>
      <c r="F851" s="5">
        <v>2</v>
      </c>
      <c r="G851" s="3" t="str">
        <f ca="1">VLOOKUP($C851&amp;"_"&amp;$F851,OFFSET([1]stages!$A$1,0,0,COUNTA([1]stages!$A:$A),MATCH(G$1,[1]stages!$2:$2,0)-MATCH("temp_stage",[1]stages!$2:$2,0)+1),MATCH(G$1,[1]stages!$2:$2,0)-MATCH("temp_stage",[1]stages!$2:$2,0)+1,FALSE)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1" s="3" t="str">
        <f ca="1">VLOOKUP($C851&amp;"_"&amp;$F851,OFFSET([1]stages!$A$1,0,0,COUNTA([1]stages!$A:$A),MATCH(H$1,[1]stages!$2:$2,0)-MATCH("temp_stage",[1]stages!$2:$2,0)+1),MATCH(H$1,[1]stages!$2:$2,0)-MATCH("temp_stage",[1]stages!$2:$2,0)+1,FALSE)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1" s="18">
        <v>0</v>
      </c>
      <c r="J851" s="5">
        <f>COUNTIF(C$1:C851,C851)</f>
        <v>25</v>
      </c>
      <c r="K851" s="34">
        <v>29</v>
      </c>
      <c r="L851" s="5" t="s">
        <v>17</v>
      </c>
      <c r="M851" s="38" t="str">
        <f>VLOOKUP(K851,[2]stage_hints!$A:$C,3,FALSE)</f>
        <v>「バグ」のメリット</v>
      </c>
      <c r="N851" s="39" t="str">
        <f>VLOOKUP(K851,[2]stage_hints!$A:$D,4,FALSE)</f>
        <v>ユニットの「バグ」を増やすと
報酬をもらえる確率がアップします</v>
      </c>
      <c r="O851" s="20" t="s">
        <v>24</v>
      </c>
      <c r="P851">
        <v>29</v>
      </c>
    </row>
    <row r="852" spans="1:16" x14ac:dyDescent="0.15">
      <c r="A852" s="27" t="str">
        <f t="shared" si="76"/>
        <v>30001_2_26</v>
      </c>
      <c r="B852" s="25" t="s">
        <v>34</v>
      </c>
      <c r="C852" s="4">
        <v>30001</v>
      </c>
      <c r="D852" s="3" t="str">
        <f ca="1">VLOOKUP($C852,OFFSET([1]quests!$A$1,0,0,COUNTA([1]quests!$A:$A),MATCH(D$1,[1]quests!$1:$1,0)-MATCH($C$1,[1]quests!$1:$1,0)+1),MATCH(D$1,[1]quests!$1:$1,0)-MATCH($C$1,[1]quests!$1:$1,0)+1,FALSE)</f>
        <v>ハンター・オブ・ハンター</v>
      </c>
      <c r="E852" s="3" t="str">
        <f ca="1">VLOOKUP($C852,OFFSET([1]quests!$A$1,0,0,COUNTA([1]quests!$A:$A),MATCH(E$1,[1]quests!$1:$1,0)-MATCH($C$1,[1]quests!$1:$1,0)+1),MATCH(E$1,[1]quests!$1:$1,0)-MATCH($C$1,[1]quests!$1:$1,0)+1,FALSE)</f>
        <v>ドロップイベント1-1（マルチ専用）</v>
      </c>
      <c r="F852" s="5">
        <v>2</v>
      </c>
      <c r="G852" s="3" t="str">
        <f ca="1">VLOOKUP($C852&amp;"_"&amp;$F852,OFFSET([1]stages!$A$1,0,0,COUNTA([1]stages!$A:$A),MATCH(G$1,[1]stages!$2:$2,0)-MATCH("temp_stage",[1]stages!$2:$2,0)+1),MATCH(G$1,[1]stages!$2:$2,0)-MATCH("temp_stage",[1]stages!$2:$2,0)+1,FALSE)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2" s="3" t="str">
        <f ca="1">VLOOKUP($C852&amp;"_"&amp;$F852,OFFSET([1]stages!$A$1,0,0,COUNTA([1]stages!$A:$A),MATCH(H$1,[1]stages!$2:$2,0)-MATCH("temp_stage",[1]stages!$2:$2,0)+1),MATCH(H$1,[1]stages!$2:$2,0)-MATCH("temp_stage",[1]stages!$2:$2,0)+1,FALSE)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2" s="18">
        <v>0</v>
      </c>
      <c r="J852" s="5">
        <f>COUNTIF(C$1:C852,C852)</f>
        <v>26</v>
      </c>
      <c r="K852" s="34">
        <v>30</v>
      </c>
      <c r="L852" s="5" t="s">
        <v>17</v>
      </c>
      <c r="M852" s="38" t="str">
        <f>VLOOKUP(K852,[2]stage_hints!$A:$C,3,FALSE)</f>
        <v>「バグ」の増やし方</v>
      </c>
      <c r="N852" s="39" t="str">
        <f>VLOOKUP(K852,[2]stage_hints!$A:$D,4,FALSE)</f>
        <v>同じユニット同士を強化で合成すると
「バグ」を増やすことができます</v>
      </c>
      <c r="O852" s="20" t="s">
        <v>24</v>
      </c>
      <c r="P852">
        <v>30</v>
      </c>
    </row>
    <row r="853" spans="1:16" x14ac:dyDescent="0.15">
      <c r="A853" s="27" t="str">
        <f t="shared" si="76"/>
        <v>30001_2_27</v>
      </c>
      <c r="B853" s="25" t="s">
        <v>34</v>
      </c>
      <c r="C853" s="4">
        <v>30001</v>
      </c>
      <c r="D853" s="3" t="str">
        <f ca="1">VLOOKUP($C853,OFFSET([1]quests!$A$1,0,0,COUNTA([1]quests!$A:$A),MATCH(D$1,[1]quests!$1:$1,0)-MATCH($C$1,[1]quests!$1:$1,0)+1),MATCH(D$1,[1]quests!$1:$1,0)-MATCH($C$1,[1]quests!$1:$1,0)+1,FALSE)</f>
        <v>ハンター・オブ・ハンター</v>
      </c>
      <c r="E853" s="3" t="str">
        <f ca="1">VLOOKUP($C853,OFFSET([1]quests!$A$1,0,0,COUNTA([1]quests!$A:$A),MATCH(E$1,[1]quests!$1:$1,0)-MATCH($C$1,[1]quests!$1:$1,0)+1),MATCH(E$1,[1]quests!$1:$1,0)-MATCH($C$1,[1]quests!$1:$1,0)+1,FALSE)</f>
        <v>ドロップイベント1-1（マルチ専用）</v>
      </c>
      <c r="F853" s="5">
        <v>2</v>
      </c>
      <c r="G853" s="3" t="str">
        <f ca="1">VLOOKUP($C853&amp;"_"&amp;$F853,OFFSET([1]stages!$A$1,0,0,COUNTA([1]stages!$A:$A),MATCH(G$1,[1]stages!$2:$2,0)-MATCH("temp_stage",[1]stages!$2:$2,0)+1),MATCH(G$1,[1]stages!$2:$2,0)-MATCH("temp_stage",[1]stages!$2:$2,0)+1,FALSE)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3" s="3" t="str">
        <f ca="1">VLOOKUP($C853&amp;"_"&amp;$F853,OFFSET([1]stages!$A$1,0,0,COUNTA([1]stages!$A:$A),MATCH(H$1,[1]stages!$2:$2,0)-MATCH("temp_stage",[1]stages!$2:$2,0)+1),MATCH(H$1,[1]stages!$2:$2,0)-MATCH("temp_stage",[1]stages!$2:$2,0)+1,FALSE)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3" s="18">
        <v>0</v>
      </c>
      <c r="J853" s="5">
        <f>COUNTIF(C$1:C853,C853)</f>
        <v>27</v>
      </c>
      <c r="K853" s="34">
        <v>31</v>
      </c>
      <c r="L853" s="5" t="s">
        <v>17</v>
      </c>
      <c r="M853" s="38" t="str">
        <f>VLOOKUP(K853,[2]stage_hints!$A:$C,3,FALSE)</f>
        <v>イベントはお知らせでチェック</v>
      </c>
      <c r="N853" s="39" t="str">
        <f>VLOOKUP(K853,[2]stage_hints!$A:$D,4,FALSE)</f>
        <v>イベント限定ユニットを取り忘れないように
お知らせをこまめにチェックしましょう</v>
      </c>
      <c r="O853" s="20" t="s">
        <v>24</v>
      </c>
      <c r="P853">
        <v>31</v>
      </c>
    </row>
    <row r="854" spans="1:16" x14ac:dyDescent="0.15">
      <c r="A854" s="27" t="str">
        <f t="shared" si="76"/>
        <v>30001_2_28</v>
      </c>
      <c r="B854" s="25" t="s">
        <v>34</v>
      </c>
      <c r="C854" s="4">
        <v>30001</v>
      </c>
      <c r="D854" s="3" t="str">
        <f ca="1">VLOOKUP($C854,OFFSET([1]quests!$A$1,0,0,COUNTA([1]quests!$A:$A),MATCH(D$1,[1]quests!$1:$1,0)-MATCH($C$1,[1]quests!$1:$1,0)+1),MATCH(D$1,[1]quests!$1:$1,0)-MATCH($C$1,[1]quests!$1:$1,0)+1,FALSE)</f>
        <v>ハンター・オブ・ハンター</v>
      </c>
      <c r="E854" s="3" t="str">
        <f ca="1">VLOOKUP($C854,OFFSET([1]quests!$A$1,0,0,COUNTA([1]quests!$A:$A),MATCH(E$1,[1]quests!$1:$1,0)-MATCH($C$1,[1]quests!$1:$1,0)+1),MATCH(E$1,[1]quests!$1:$1,0)-MATCH($C$1,[1]quests!$1:$1,0)+1,FALSE)</f>
        <v>ドロップイベント1-1（マルチ専用）</v>
      </c>
      <c r="F854" s="5">
        <v>2</v>
      </c>
      <c r="G854" s="3" t="str">
        <f ca="1">VLOOKUP($C854&amp;"_"&amp;$F854,OFFSET([1]stages!$A$1,0,0,COUNTA([1]stages!$A:$A),MATCH(G$1,[1]stages!$2:$2,0)-MATCH("temp_stage",[1]stages!$2:$2,0)+1),MATCH(G$1,[1]stages!$2:$2,0)-MATCH("temp_stage",[1]stages!$2:$2,0)+1,FALSE)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4" s="3" t="str">
        <f ca="1">VLOOKUP($C854&amp;"_"&amp;$F854,OFFSET([1]stages!$A$1,0,0,COUNTA([1]stages!$A:$A),MATCH(H$1,[1]stages!$2:$2,0)-MATCH("temp_stage",[1]stages!$2:$2,0)+1),MATCH(H$1,[1]stages!$2:$2,0)-MATCH("temp_stage",[1]stages!$2:$2,0)+1,FALSE)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4" s="18">
        <v>0</v>
      </c>
      <c r="J854" s="5">
        <f>COUNTIF(C$1:C854,C854)</f>
        <v>28</v>
      </c>
      <c r="K854" s="34">
        <v>32</v>
      </c>
      <c r="L854" s="5" t="s">
        <v>17</v>
      </c>
      <c r="M854" s="38" t="str">
        <f>VLOOKUP(K854,[2]stage_hints!$A:$C,3,FALSE)</f>
        <v>敵の連続攻撃には</v>
      </c>
      <c r="N854" s="39" t="str">
        <f>VLOOKUP(K854,[2]stage_hints!$A:$D,4,FALSE)</f>
        <v>カウンタースキルを持つユニットがいれば
ダメージ回数分の反撃ができます</v>
      </c>
      <c r="O854" s="20" t="s">
        <v>24</v>
      </c>
      <c r="P854">
        <v>32</v>
      </c>
    </row>
    <row r="855" spans="1:16" x14ac:dyDescent="0.15">
      <c r="A855" s="27" t="str">
        <f t="shared" si="76"/>
        <v>30001_2_29</v>
      </c>
      <c r="B855" s="25" t="s">
        <v>34</v>
      </c>
      <c r="C855" s="4">
        <v>30001</v>
      </c>
      <c r="D855" s="3" t="str">
        <f ca="1">VLOOKUP($C855,OFFSET([1]quests!$A$1,0,0,COUNTA([1]quests!$A:$A),MATCH(D$1,[1]quests!$1:$1,0)-MATCH($C$1,[1]quests!$1:$1,0)+1),MATCH(D$1,[1]quests!$1:$1,0)-MATCH($C$1,[1]quests!$1:$1,0)+1,FALSE)</f>
        <v>ハンター・オブ・ハンター</v>
      </c>
      <c r="E855" s="3" t="str">
        <f ca="1">VLOOKUP($C855,OFFSET([1]quests!$A$1,0,0,COUNTA([1]quests!$A:$A),MATCH(E$1,[1]quests!$1:$1,0)-MATCH($C$1,[1]quests!$1:$1,0)+1),MATCH(E$1,[1]quests!$1:$1,0)-MATCH($C$1,[1]quests!$1:$1,0)+1,FALSE)</f>
        <v>ドロップイベント1-1（マルチ専用）</v>
      </c>
      <c r="F855" s="5">
        <v>2</v>
      </c>
      <c r="G855" s="3" t="str">
        <f ca="1">VLOOKUP($C855&amp;"_"&amp;$F855,OFFSET([1]stages!$A$1,0,0,COUNTA([1]stages!$A:$A),MATCH(G$1,[1]stages!$2:$2,0)-MATCH("temp_stage",[1]stages!$2:$2,0)+1),MATCH(G$1,[1]stages!$2:$2,0)-MATCH("temp_stage",[1]stages!$2:$2,0)+1,FALSE)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5" s="3" t="str">
        <f ca="1">VLOOKUP($C855&amp;"_"&amp;$F855,OFFSET([1]stages!$A$1,0,0,COUNTA([1]stages!$A:$A),MATCH(H$1,[1]stages!$2:$2,0)-MATCH("temp_stage",[1]stages!$2:$2,0)+1),MATCH(H$1,[1]stages!$2:$2,0)-MATCH("temp_stage",[1]stages!$2:$2,0)+1,FALSE)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5" s="18">
        <v>0</v>
      </c>
      <c r="J855" s="5">
        <f>COUNTIF(C$1:C855,C855)</f>
        <v>29</v>
      </c>
      <c r="K855" s="34">
        <v>33</v>
      </c>
      <c r="L855" s="5" t="s">
        <v>17</v>
      </c>
      <c r="M855" s="38" t="str">
        <f>VLOOKUP(K855,[2]stage_hints!$A:$C,3,FALSE)</f>
        <v>敵のカウンター攻撃には</v>
      </c>
      <c r="N855" s="39" t="str">
        <f>VLOOKUP(K855,[2]stage_hints!$A:$D,4,FALSE)</f>
        <v>カウンターブレイクスキルを持っていれば
敵のカウンターを解除して攻撃ができます</v>
      </c>
      <c r="O855" s="20" t="s">
        <v>24</v>
      </c>
      <c r="P855">
        <v>33</v>
      </c>
    </row>
    <row r="856" spans="1:16" x14ac:dyDescent="0.15">
      <c r="A856" s="27" t="str">
        <f t="shared" si="76"/>
        <v>30001_2_30</v>
      </c>
      <c r="B856" s="25" t="s">
        <v>34</v>
      </c>
      <c r="C856" s="4">
        <v>30001</v>
      </c>
      <c r="D856" s="3" t="str">
        <f ca="1">VLOOKUP($C856,OFFSET([1]quests!$A$1,0,0,COUNTA([1]quests!$A:$A),MATCH(D$1,[1]quests!$1:$1,0)-MATCH($C$1,[1]quests!$1:$1,0)+1),MATCH(D$1,[1]quests!$1:$1,0)-MATCH($C$1,[1]quests!$1:$1,0)+1,FALSE)</f>
        <v>ハンター・オブ・ハンター</v>
      </c>
      <c r="E856" s="3" t="str">
        <f ca="1">VLOOKUP($C856,OFFSET([1]quests!$A$1,0,0,COUNTA([1]quests!$A:$A),MATCH(E$1,[1]quests!$1:$1,0)-MATCH($C$1,[1]quests!$1:$1,0)+1),MATCH(E$1,[1]quests!$1:$1,0)-MATCH($C$1,[1]quests!$1:$1,0)+1,FALSE)</f>
        <v>ドロップイベント1-1（マルチ専用）</v>
      </c>
      <c r="F856" s="5">
        <v>2</v>
      </c>
      <c r="G856" s="3" t="str">
        <f ca="1">VLOOKUP($C856&amp;"_"&amp;$F856,OFFSET([1]stages!$A$1,0,0,COUNTA([1]stages!$A:$A),MATCH(G$1,[1]stages!$2:$2,0)-MATCH("temp_stage",[1]stages!$2:$2,0)+1),MATCH(G$1,[1]stages!$2:$2,0)-MATCH("temp_stage",[1]stages!$2:$2,0)+1,FALSE)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6" s="3" t="str">
        <f ca="1">VLOOKUP($C856&amp;"_"&amp;$F856,OFFSET([1]stages!$A$1,0,0,COUNTA([1]stages!$A:$A),MATCH(H$1,[1]stages!$2:$2,0)-MATCH("temp_stage",[1]stages!$2:$2,0)+1),MATCH(H$1,[1]stages!$2:$2,0)-MATCH("temp_stage",[1]stages!$2:$2,0)+1,FALSE)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6" s="18">
        <v>0</v>
      </c>
      <c r="J856" s="5">
        <f>COUNTIF(C$1:C856,C856)</f>
        <v>30</v>
      </c>
      <c r="K856" s="34">
        <v>34</v>
      </c>
      <c r="L856" s="5" t="s">
        <v>17</v>
      </c>
      <c r="M856" s="38" t="str">
        <f>VLOOKUP(K856,[2]stage_hints!$A:$C,3,FALSE)</f>
        <v>ステータスをスキルで下げられたら</v>
      </c>
      <c r="N856" s="39" t="str">
        <f>VLOOKUP(K856,[2]stage_hints!$A:$D,4,FALSE)</f>
        <v>ステータスダウンのスキルを受けたら
ステータスアップスキルで上書きしましょう</v>
      </c>
      <c r="O856" s="20" t="s">
        <v>24</v>
      </c>
      <c r="P856">
        <v>34</v>
      </c>
    </row>
    <row r="857" spans="1:16" x14ac:dyDescent="0.15">
      <c r="A857" s="27" t="str">
        <f t="shared" si="76"/>
        <v>30001_2_31</v>
      </c>
      <c r="B857" s="25" t="s">
        <v>34</v>
      </c>
      <c r="C857" s="4">
        <v>30001</v>
      </c>
      <c r="D857" s="3" t="str">
        <f ca="1">VLOOKUP($C857,OFFSET([1]quests!$A$1,0,0,COUNTA([1]quests!$A:$A),MATCH(D$1,[1]quests!$1:$1,0)-MATCH($C$1,[1]quests!$1:$1,0)+1),MATCH(D$1,[1]quests!$1:$1,0)-MATCH($C$1,[1]quests!$1:$1,0)+1,FALSE)</f>
        <v>ハンター・オブ・ハンター</v>
      </c>
      <c r="E857" s="3" t="str">
        <f ca="1">VLOOKUP($C857,OFFSET([1]quests!$A$1,0,0,COUNTA([1]quests!$A:$A),MATCH(E$1,[1]quests!$1:$1,0)-MATCH($C$1,[1]quests!$1:$1,0)+1),MATCH(E$1,[1]quests!$1:$1,0)-MATCH($C$1,[1]quests!$1:$1,0)+1,FALSE)</f>
        <v>ドロップイベント1-1（マルチ専用）</v>
      </c>
      <c r="F857" s="5">
        <v>2</v>
      </c>
      <c r="G857" s="3" t="str">
        <f ca="1">VLOOKUP($C857&amp;"_"&amp;$F857,OFFSET([1]stages!$A$1,0,0,COUNTA([1]stages!$A:$A),MATCH(G$1,[1]stages!$2:$2,0)-MATCH("temp_stage",[1]stages!$2:$2,0)+1),MATCH(G$1,[1]stages!$2:$2,0)-MATCH("temp_stage",[1]stages!$2:$2,0)+1,FALSE)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7" s="3" t="str">
        <f ca="1">VLOOKUP($C857&amp;"_"&amp;$F857,OFFSET([1]stages!$A$1,0,0,COUNTA([1]stages!$A:$A),MATCH(H$1,[1]stages!$2:$2,0)-MATCH("temp_stage",[1]stages!$2:$2,0)+1),MATCH(H$1,[1]stages!$2:$2,0)-MATCH("temp_stage",[1]stages!$2:$2,0)+1,FALSE)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7" s="18">
        <v>0</v>
      </c>
      <c r="J857" s="5">
        <f>COUNTIF(C$1:C857,C857)</f>
        <v>31</v>
      </c>
      <c r="K857" s="34">
        <v>35</v>
      </c>
      <c r="L857" s="5" t="s">
        <v>17</v>
      </c>
      <c r="M857" s="38" t="str">
        <f>VLOOKUP(K857,[2]stage_hints!$A:$C,3,FALSE)</f>
        <v>敵のステータスがスキルで上がったら</v>
      </c>
      <c r="N857" s="39" t="str">
        <f>VLOOKUP(K857,[2]stage_hints!$A:$D,4,FALSE)</f>
        <v>敵のステータスがスキルでアップしたときは
ステータスダウンスキルで上書きしましょう</v>
      </c>
      <c r="O857" s="20" t="s">
        <v>24</v>
      </c>
      <c r="P857">
        <v>35</v>
      </c>
    </row>
    <row r="858" spans="1:16" x14ac:dyDescent="0.15">
      <c r="A858" s="27" t="str">
        <f t="shared" si="76"/>
        <v>30001_2_32</v>
      </c>
      <c r="B858" s="25" t="s">
        <v>34</v>
      </c>
      <c r="C858" s="4">
        <v>30001</v>
      </c>
      <c r="D858" s="3" t="str">
        <f ca="1">VLOOKUP($C858,OFFSET([1]quests!$A$1,0,0,COUNTA([1]quests!$A:$A),MATCH(D$1,[1]quests!$1:$1,0)-MATCH($C$1,[1]quests!$1:$1,0)+1),MATCH(D$1,[1]quests!$1:$1,0)-MATCH($C$1,[1]quests!$1:$1,0)+1,FALSE)</f>
        <v>ハンター・オブ・ハンター</v>
      </c>
      <c r="E858" s="3" t="str">
        <f ca="1">VLOOKUP($C858,OFFSET([1]quests!$A$1,0,0,COUNTA([1]quests!$A:$A),MATCH(E$1,[1]quests!$1:$1,0)-MATCH($C$1,[1]quests!$1:$1,0)+1),MATCH(E$1,[1]quests!$1:$1,0)-MATCH($C$1,[1]quests!$1:$1,0)+1,FALSE)</f>
        <v>ドロップイベント1-1（マルチ専用）</v>
      </c>
      <c r="F858" s="5">
        <v>2</v>
      </c>
      <c r="G858" s="3" t="str">
        <f ca="1">VLOOKUP($C858&amp;"_"&amp;$F858,OFFSET([1]stages!$A$1,0,0,COUNTA([1]stages!$A:$A),MATCH(G$1,[1]stages!$2:$2,0)-MATCH("temp_stage",[1]stages!$2:$2,0)+1),MATCH(G$1,[1]stages!$2:$2,0)-MATCH("temp_stage",[1]stages!$2:$2,0)+1,FALSE)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8" s="3" t="str">
        <f ca="1">VLOOKUP($C858&amp;"_"&amp;$F858,OFFSET([1]stages!$A$1,0,0,COUNTA([1]stages!$A:$A),MATCH(H$1,[1]stages!$2:$2,0)-MATCH("temp_stage",[1]stages!$2:$2,0)+1),MATCH(H$1,[1]stages!$2:$2,0)-MATCH("temp_stage",[1]stages!$2:$2,0)+1,FALSE)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8" s="18">
        <v>0</v>
      </c>
      <c r="J858" s="5">
        <f>COUNTIF(C$1:C858,C858)</f>
        <v>32</v>
      </c>
      <c r="K858" s="34">
        <v>36</v>
      </c>
      <c r="L858" s="5" t="s">
        <v>17</v>
      </c>
      <c r="M858" s="38" t="str">
        <f>VLOOKUP(K858,[2]stage_hints!$A:$C,3,FALSE)</f>
        <v>チャレンジタワーのボス</v>
      </c>
      <c r="N858" s="39" t="str">
        <f>VLOOKUP(K858,[2]stage_hints!$A:$D,4,FALSE)</f>
        <v>チャレンジタワーでのみ登場するボスは
一定確率で獲得することができます</v>
      </c>
      <c r="O858" s="20" t="s">
        <v>24</v>
      </c>
      <c r="P858">
        <v>36</v>
      </c>
    </row>
    <row r="859" spans="1:16" x14ac:dyDescent="0.15">
      <c r="A859" s="27" t="str">
        <f t="shared" si="76"/>
        <v>30001_2_33</v>
      </c>
      <c r="B859" s="25" t="s">
        <v>34</v>
      </c>
      <c r="C859" s="4">
        <v>30001</v>
      </c>
      <c r="D859" s="3" t="str">
        <f ca="1">VLOOKUP($C859,OFFSET([1]quests!$A$1,0,0,COUNTA([1]quests!$A:$A),MATCH(D$1,[1]quests!$1:$1,0)-MATCH($C$1,[1]quests!$1:$1,0)+1),MATCH(D$1,[1]quests!$1:$1,0)-MATCH($C$1,[1]quests!$1:$1,0)+1,FALSE)</f>
        <v>ハンター・オブ・ハンター</v>
      </c>
      <c r="E859" s="3" t="str">
        <f ca="1">VLOOKUP($C859,OFFSET([1]quests!$A$1,0,0,COUNTA([1]quests!$A:$A),MATCH(E$1,[1]quests!$1:$1,0)-MATCH($C$1,[1]quests!$1:$1,0)+1),MATCH(E$1,[1]quests!$1:$1,0)-MATCH($C$1,[1]quests!$1:$1,0)+1,FALSE)</f>
        <v>ドロップイベント1-1（マルチ専用）</v>
      </c>
      <c r="F859" s="5">
        <v>2</v>
      </c>
      <c r="G859" s="3" t="str">
        <f ca="1">VLOOKUP($C859&amp;"_"&amp;$F859,OFFSET([1]stages!$A$1,0,0,COUNTA([1]stages!$A:$A),MATCH(G$1,[1]stages!$2:$2,0)-MATCH("temp_stage",[1]stages!$2:$2,0)+1),MATCH(G$1,[1]stages!$2:$2,0)-MATCH("temp_stage",[1]stages!$2:$2,0)+1,FALSE)</f>
        <v xml:space="preserve">【上級】ハンター・オブ・ハンター </v>
      </c>
      <c r="H859" s="3" t="str">
        <f ca="1">VLOOKUP($C859&amp;"_"&amp;$F859,OFFSET([1]stages!$A$1,0,0,COUNTA([1]stages!$A:$A),MATCH(H$1,[1]stages!$2:$2,0)-MATCH("temp_stage",[1]stages!$2:$2,0)+1),MATCH(H$1,[1]stages!$2:$2,0)-MATCH("temp_stage",[1]stages!$2:$2,0)+1,FALSE)</f>
        <v>ドロップイベント1-1（マルチ専用）</v>
      </c>
      <c r="I859" s="18">
        <v>0</v>
      </c>
      <c r="J859" s="5">
        <f>COUNTIF(C$1:C859,C859)</f>
        <v>33</v>
      </c>
      <c r="K859" s="34">
        <v>37</v>
      </c>
      <c r="L859" s="5" t="s">
        <v>17</v>
      </c>
      <c r="M859" s="38" t="str">
        <f>VLOOKUP(K859,[2]stage_hints!$A:$C,3,FALSE)</f>
        <v>限界突破値の引き継ぎ</v>
      </c>
      <c r="N859" s="39" t="str">
        <f>VLOOKUP(K859,[2]stage_hints!$A:$D,4,FALSE)</f>
        <v>同じユニットを強化で合成すると
限界突破値を引き継げます（覚醒前後も可）</v>
      </c>
      <c r="O859" s="20" t="s">
        <v>24</v>
      </c>
      <c r="P859">
        <v>37</v>
      </c>
    </row>
    <row r="860" spans="1:16" x14ac:dyDescent="0.15">
      <c r="A860" s="27" t="str">
        <f t="shared" si="76"/>
        <v>30002_2_1</v>
      </c>
      <c r="B860" s="25" t="s">
        <v>34</v>
      </c>
      <c r="C860" s="4">
        <v>30002</v>
      </c>
      <c r="D860" s="3" t="str">
        <f ca="1">VLOOKUP($C860,OFFSET([1]quests!$A$1,0,0,COUNTA([1]quests!$A:$A),MATCH(D$1,[1]quests!$1:$1,0)-MATCH($C$1,[1]quests!$1:$1,0)+1),MATCH(D$1,[1]quests!$1:$1,0)-MATCH($C$1,[1]quests!$1:$1,0)+1,FALSE)</f>
        <v>トリックスター</v>
      </c>
      <c r="E860" s="3" t="str">
        <f ca="1">VLOOKUP($C860,OFFSET([1]quests!$A$1,0,0,COUNTA([1]quests!$A:$A),MATCH(E$1,[1]quests!$1:$1,0)-MATCH($C$1,[1]quests!$1:$1,0)+1),MATCH(E$1,[1]quests!$1:$1,0)-MATCH($C$1,[1]quests!$1:$1,0)+1,FALSE)</f>
        <v>ドロップイベント1-2（マルチ専用）</v>
      </c>
      <c r="F860" s="5">
        <v>2</v>
      </c>
      <c r="G860" s="3" t="str">
        <f ca="1">VLOOKUP($C860&amp;"_"&amp;$F860,OFFSET([1]stages!$A$1,0,0,COUNTA([1]stages!$A:$A),MATCH(G$1,[1]stages!$2:$2,0)-MATCH("temp_stage",[1]stages!$2:$2,0)+1),MATCH(G$1,[1]stages!$2:$2,0)-MATCH("temp_stage",[1]stages!$2:$2,0)+1,FALSE)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0" s="3" t="str">
        <f ca="1">VLOOKUP($C860&amp;"_"&amp;$F860,OFFSET([1]stages!$A$1,0,0,COUNTA([1]stages!$A:$A),MATCH(H$1,[1]stages!$2:$2,0)-MATCH("temp_stage",[1]stages!$2:$2,0)+1),MATCH(H$1,[1]stages!$2:$2,0)-MATCH("temp_stage",[1]stages!$2:$2,0)+1,FALSE)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0" s="18">
        <v>0</v>
      </c>
      <c r="J860" s="5">
        <f>COUNTIF(C$1:C860,C860)</f>
        <v>1</v>
      </c>
      <c r="K860" s="34">
        <v>3</v>
      </c>
      <c r="L860" s="5" t="s">
        <v>17</v>
      </c>
      <c r="M860" s="38" t="str">
        <f>VLOOKUP(K860,[2]stage_hints!$A:$C,3,FALSE)</f>
        <v>ターゲット</v>
      </c>
      <c r="N860" s="39" t="str">
        <f>VLOOKUP(K860,[2]stage_hints!$A:$D,4,FALSE)</f>
        <v>敵ユニットをタップすると
その敵を狙い撃ちできます</v>
      </c>
      <c r="O860" s="20" t="s">
        <v>24</v>
      </c>
      <c r="P860">
        <v>3</v>
      </c>
    </row>
    <row r="861" spans="1:16" x14ac:dyDescent="0.15">
      <c r="A861" s="27" t="str">
        <f t="shared" si="76"/>
        <v>30002_2_2</v>
      </c>
      <c r="B861" s="25" t="s">
        <v>34</v>
      </c>
      <c r="C861" s="4">
        <v>30002</v>
      </c>
      <c r="D861" s="3" t="str">
        <f ca="1">VLOOKUP($C861,OFFSET([1]quests!$A$1,0,0,COUNTA([1]quests!$A:$A),MATCH(D$1,[1]quests!$1:$1,0)-MATCH($C$1,[1]quests!$1:$1,0)+1),MATCH(D$1,[1]quests!$1:$1,0)-MATCH($C$1,[1]quests!$1:$1,0)+1,FALSE)</f>
        <v>トリックスター</v>
      </c>
      <c r="E861" s="3" t="str">
        <f ca="1">VLOOKUP($C861,OFFSET([1]quests!$A$1,0,0,COUNTA([1]quests!$A:$A),MATCH(E$1,[1]quests!$1:$1,0)-MATCH($C$1,[1]quests!$1:$1,0)+1),MATCH(E$1,[1]quests!$1:$1,0)-MATCH($C$1,[1]quests!$1:$1,0)+1,FALSE)</f>
        <v>ドロップイベント1-2（マルチ専用）</v>
      </c>
      <c r="F861" s="5">
        <v>2</v>
      </c>
      <c r="G861" s="3" t="str">
        <f ca="1">VLOOKUP($C861&amp;"_"&amp;$F861,OFFSET([1]stages!$A$1,0,0,COUNTA([1]stages!$A:$A),MATCH(G$1,[1]stages!$2:$2,0)-MATCH("temp_stage",[1]stages!$2:$2,0)+1),MATCH(G$1,[1]stages!$2:$2,0)-MATCH("temp_stage",[1]stages!$2:$2,0)+1,FALSE)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1" s="3" t="str">
        <f ca="1">VLOOKUP($C861&amp;"_"&amp;$F861,OFFSET([1]stages!$A$1,0,0,COUNTA([1]stages!$A:$A),MATCH(H$1,[1]stages!$2:$2,0)-MATCH("temp_stage",[1]stages!$2:$2,0)+1),MATCH(H$1,[1]stages!$2:$2,0)-MATCH("temp_stage",[1]stages!$2:$2,0)+1,FALSE)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1" s="18">
        <v>0</v>
      </c>
      <c r="J861" s="5">
        <f>COUNTIF(C$1:C861,C861)</f>
        <v>2</v>
      </c>
      <c r="K861" s="34">
        <v>6</v>
      </c>
      <c r="L861" s="5" t="s">
        <v>17</v>
      </c>
      <c r="M861" s="38" t="str">
        <f>VLOOKUP(K861,[2]stage_hints!$A:$C,3,FALSE)</f>
        <v>ユニット強化の属性ボーナス</v>
      </c>
      <c r="N861" s="39" t="str">
        <f>VLOOKUP(K861,[2]stage_hints!$A:$D,4,FALSE)</f>
        <v>同属性ユニットを強化素材にすると
経験値が多くもらえます</v>
      </c>
      <c r="O861" s="20" t="s">
        <v>24</v>
      </c>
      <c r="P861">
        <v>6</v>
      </c>
    </row>
    <row r="862" spans="1:16" x14ac:dyDescent="0.15">
      <c r="A862" s="27" t="str">
        <f t="shared" si="76"/>
        <v>30002_2_3</v>
      </c>
      <c r="B862" s="25" t="s">
        <v>34</v>
      </c>
      <c r="C862" s="4">
        <v>30002</v>
      </c>
      <c r="D862" s="3" t="str">
        <f ca="1">VLOOKUP($C862,OFFSET([1]quests!$A$1,0,0,COUNTA([1]quests!$A:$A),MATCH(D$1,[1]quests!$1:$1,0)-MATCH($C$1,[1]quests!$1:$1,0)+1),MATCH(D$1,[1]quests!$1:$1,0)-MATCH($C$1,[1]quests!$1:$1,0)+1,FALSE)</f>
        <v>トリックスター</v>
      </c>
      <c r="E862" s="3" t="str">
        <f ca="1">VLOOKUP($C862,OFFSET([1]quests!$A$1,0,0,COUNTA([1]quests!$A:$A),MATCH(E$1,[1]quests!$1:$1,0)-MATCH($C$1,[1]quests!$1:$1,0)+1),MATCH(E$1,[1]quests!$1:$1,0)-MATCH($C$1,[1]quests!$1:$1,0)+1,FALSE)</f>
        <v>ドロップイベント1-2（マルチ専用）</v>
      </c>
      <c r="F862" s="5">
        <v>2</v>
      </c>
      <c r="G862" s="3" t="str">
        <f ca="1">VLOOKUP($C862&amp;"_"&amp;$F862,OFFSET([1]stages!$A$1,0,0,COUNTA([1]stages!$A:$A),MATCH(G$1,[1]stages!$2:$2,0)-MATCH("temp_stage",[1]stages!$2:$2,0)+1),MATCH(G$1,[1]stages!$2:$2,0)-MATCH("temp_stage",[1]stages!$2:$2,0)+1,FALSE)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2" s="3" t="str">
        <f ca="1">VLOOKUP($C862&amp;"_"&amp;$F862,OFFSET([1]stages!$A$1,0,0,COUNTA([1]stages!$A:$A),MATCH(H$1,[1]stages!$2:$2,0)-MATCH("temp_stage",[1]stages!$2:$2,0)+1),MATCH(H$1,[1]stages!$2:$2,0)-MATCH("temp_stage",[1]stages!$2:$2,0)+1,FALSE)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2" s="18">
        <v>0</v>
      </c>
      <c r="J862" s="5">
        <f>COUNTIF(C$1:C862,C862)</f>
        <v>3</v>
      </c>
      <c r="K862" s="34">
        <v>7</v>
      </c>
      <c r="L862" s="5" t="s">
        <v>17</v>
      </c>
      <c r="M862" s="38" t="str">
        <f>VLOOKUP(K862,[2]stage_hints!$A:$C,3,FALSE)</f>
        <v>メタルダックで経験値を獲得</v>
      </c>
      <c r="N862" s="39" t="str">
        <f>VLOOKUP(K862,[2]stage_hints!$A:$D,4,FALSE)</f>
        <v>「メタルなアヒル」を強化素材にすると
大量の経験値がもらえます</v>
      </c>
      <c r="O862" s="20" t="s">
        <v>24</v>
      </c>
      <c r="P862">
        <v>7</v>
      </c>
    </row>
    <row r="863" spans="1:16" x14ac:dyDescent="0.15">
      <c r="A863" s="27" t="str">
        <f t="shared" si="76"/>
        <v>30002_2_4</v>
      </c>
      <c r="B863" s="25" t="s">
        <v>34</v>
      </c>
      <c r="C863" s="4">
        <v>30002</v>
      </c>
      <c r="D863" s="3" t="str">
        <f ca="1">VLOOKUP($C863,OFFSET([1]quests!$A$1,0,0,COUNTA([1]quests!$A:$A),MATCH(D$1,[1]quests!$1:$1,0)-MATCH($C$1,[1]quests!$1:$1,0)+1),MATCH(D$1,[1]quests!$1:$1,0)-MATCH($C$1,[1]quests!$1:$1,0)+1,FALSE)</f>
        <v>トリックスター</v>
      </c>
      <c r="E863" s="3" t="str">
        <f ca="1">VLOOKUP($C863,OFFSET([1]quests!$A$1,0,0,COUNTA([1]quests!$A:$A),MATCH(E$1,[1]quests!$1:$1,0)-MATCH($C$1,[1]quests!$1:$1,0)+1),MATCH(E$1,[1]quests!$1:$1,0)-MATCH($C$1,[1]quests!$1:$1,0)+1,FALSE)</f>
        <v>ドロップイベント1-2（マルチ専用）</v>
      </c>
      <c r="F863" s="5">
        <v>2</v>
      </c>
      <c r="G863" s="3" t="str">
        <f ca="1">VLOOKUP($C863&amp;"_"&amp;$F863,OFFSET([1]stages!$A$1,0,0,COUNTA([1]stages!$A:$A),MATCH(G$1,[1]stages!$2:$2,0)-MATCH("temp_stage",[1]stages!$2:$2,0)+1),MATCH(G$1,[1]stages!$2:$2,0)-MATCH("temp_stage",[1]stages!$2:$2,0)+1,FALSE)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3" s="3" t="str">
        <f ca="1">VLOOKUP($C863&amp;"_"&amp;$F863,OFFSET([1]stages!$A$1,0,0,COUNTA([1]stages!$A:$A),MATCH(H$1,[1]stages!$2:$2,0)-MATCH("temp_stage",[1]stages!$2:$2,0)+1),MATCH(H$1,[1]stages!$2:$2,0)-MATCH("temp_stage",[1]stages!$2:$2,0)+1,FALSE)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3" s="18">
        <v>0</v>
      </c>
      <c r="J863" s="5">
        <f>COUNTIF(C$1:C863,C863)</f>
        <v>4</v>
      </c>
      <c r="K863" s="34">
        <v>8</v>
      </c>
      <c r="L863" s="5" t="s">
        <v>17</v>
      </c>
      <c r="M863" s="38" t="str">
        <f>VLOOKUP(K863,[2]stage_hints!$A:$C,3,FALSE)</f>
        <v>ゲリラクエストは要チェック</v>
      </c>
      <c r="N863" s="39" t="str">
        <f>VLOOKUP(K863,[2]stage_hints!$A:$D,4,FALSE)</f>
        <v>時間限定の「アヒル捕獲作戦」では
経験値素材ユニットが多く手に入ります</v>
      </c>
      <c r="O863" s="20" t="s">
        <v>24</v>
      </c>
      <c r="P863">
        <v>8</v>
      </c>
    </row>
    <row r="864" spans="1:16" x14ac:dyDescent="0.15">
      <c r="A864" s="27" t="str">
        <f t="shared" si="76"/>
        <v>30002_2_5</v>
      </c>
      <c r="B864" s="25" t="s">
        <v>34</v>
      </c>
      <c r="C864" s="4">
        <v>30002</v>
      </c>
      <c r="D864" s="3" t="str">
        <f ca="1">VLOOKUP($C864,OFFSET([1]quests!$A$1,0,0,COUNTA([1]quests!$A:$A),MATCH(D$1,[1]quests!$1:$1,0)-MATCH($C$1,[1]quests!$1:$1,0)+1),MATCH(D$1,[1]quests!$1:$1,0)-MATCH($C$1,[1]quests!$1:$1,0)+1,FALSE)</f>
        <v>トリックスター</v>
      </c>
      <c r="E864" s="3" t="str">
        <f ca="1">VLOOKUP($C864,OFFSET([1]quests!$A$1,0,0,COUNTA([1]quests!$A:$A),MATCH(E$1,[1]quests!$1:$1,0)-MATCH($C$1,[1]quests!$1:$1,0)+1),MATCH(E$1,[1]quests!$1:$1,0)-MATCH($C$1,[1]quests!$1:$1,0)+1,FALSE)</f>
        <v>ドロップイベント1-2（マルチ専用）</v>
      </c>
      <c r="F864" s="5">
        <v>2</v>
      </c>
      <c r="G864" s="3" t="str">
        <f ca="1">VLOOKUP($C864&amp;"_"&amp;$F864,OFFSET([1]stages!$A$1,0,0,COUNTA([1]stages!$A:$A),MATCH(G$1,[1]stages!$2:$2,0)-MATCH("temp_stage",[1]stages!$2:$2,0)+1),MATCH(G$1,[1]stages!$2:$2,0)-MATCH("temp_stage",[1]stages!$2:$2,0)+1,FALSE)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4" s="3" t="str">
        <f ca="1">VLOOKUP($C864&amp;"_"&amp;$F864,OFFSET([1]stages!$A$1,0,0,COUNTA([1]stages!$A:$A),MATCH(H$1,[1]stages!$2:$2,0)-MATCH("temp_stage",[1]stages!$2:$2,0)+1),MATCH(H$1,[1]stages!$2:$2,0)-MATCH("temp_stage",[1]stages!$2:$2,0)+1,FALSE)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4" s="18">
        <v>0</v>
      </c>
      <c r="J864" s="5">
        <f>COUNTIF(C$1:C864,C864)</f>
        <v>5</v>
      </c>
      <c r="K864" s="34">
        <v>9</v>
      </c>
      <c r="L864" s="5" t="s">
        <v>17</v>
      </c>
      <c r="M864" s="38" t="str">
        <f>VLOOKUP(K864,[2]stage_hints!$A:$C,3,FALSE)</f>
        <v>ゴールドダックでビットを獲得</v>
      </c>
      <c r="N864" s="39" t="str">
        <f>VLOOKUP(K864,[2]stage_hints!$A:$D,4,FALSE)</f>
        <v>「ゴールドなアヒル」を売却すると
大量のビットがもらえます</v>
      </c>
      <c r="O864" s="20" t="s">
        <v>24</v>
      </c>
      <c r="P864">
        <v>9</v>
      </c>
    </row>
    <row r="865" spans="1:16" x14ac:dyDescent="0.15">
      <c r="A865" s="27" t="str">
        <f t="shared" si="76"/>
        <v>30002_2_6</v>
      </c>
      <c r="B865" s="25" t="s">
        <v>34</v>
      </c>
      <c r="C865" s="4">
        <v>30002</v>
      </c>
      <c r="D865" s="3" t="str">
        <f ca="1">VLOOKUP($C865,OFFSET([1]quests!$A$1,0,0,COUNTA([1]quests!$A:$A),MATCH(D$1,[1]quests!$1:$1,0)-MATCH($C$1,[1]quests!$1:$1,0)+1),MATCH(D$1,[1]quests!$1:$1,0)-MATCH($C$1,[1]quests!$1:$1,0)+1,FALSE)</f>
        <v>トリックスター</v>
      </c>
      <c r="E865" s="3" t="str">
        <f ca="1">VLOOKUP($C865,OFFSET([1]quests!$A$1,0,0,COUNTA([1]quests!$A:$A),MATCH(E$1,[1]quests!$1:$1,0)-MATCH($C$1,[1]quests!$1:$1,0)+1),MATCH(E$1,[1]quests!$1:$1,0)-MATCH($C$1,[1]quests!$1:$1,0)+1,FALSE)</f>
        <v>ドロップイベント1-2（マルチ専用）</v>
      </c>
      <c r="F865" s="5">
        <v>2</v>
      </c>
      <c r="G865" s="3" t="str">
        <f ca="1">VLOOKUP($C865&amp;"_"&amp;$F865,OFFSET([1]stages!$A$1,0,0,COUNTA([1]stages!$A:$A),MATCH(G$1,[1]stages!$2:$2,0)-MATCH("temp_stage",[1]stages!$2:$2,0)+1),MATCH(G$1,[1]stages!$2:$2,0)-MATCH("temp_stage",[1]stages!$2:$2,0)+1,FALSE)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5" s="3" t="str">
        <f ca="1">VLOOKUP($C865&amp;"_"&amp;$F865,OFFSET([1]stages!$A$1,0,0,COUNTA([1]stages!$A:$A),MATCH(H$1,[1]stages!$2:$2,0)-MATCH("temp_stage",[1]stages!$2:$2,0)+1),MATCH(H$1,[1]stages!$2:$2,0)-MATCH("temp_stage",[1]stages!$2:$2,0)+1,FALSE)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5" s="18">
        <v>0</v>
      </c>
      <c r="J865" s="5">
        <f>COUNTIF(C$1:C865,C865)</f>
        <v>6</v>
      </c>
      <c r="K865" s="34">
        <v>10</v>
      </c>
      <c r="L865" s="5" t="s">
        <v>17</v>
      </c>
      <c r="M865" s="38" t="str">
        <f>VLOOKUP(K865,[2]stage_hints!$A:$C,3,FALSE)</f>
        <v>土日に大量のビットを獲得</v>
      </c>
      <c r="N865" s="39" t="str">
        <f>VLOOKUP(K865,[2]stage_hints!$A:$D,4,FALSE)</f>
        <v>土日限定の「ゴールドカジノ」では
売却素材ユニットが多く手に入ります</v>
      </c>
      <c r="O865" s="20" t="s">
        <v>24</v>
      </c>
      <c r="P865">
        <v>10</v>
      </c>
    </row>
    <row r="866" spans="1:16" x14ac:dyDescent="0.15">
      <c r="A866" s="27" t="str">
        <f t="shared" si="76"/>
        <v>30002_2_7</v>
      </c>
      <c r="B866" s="25" t="s">
        <v>34</v>
      </c>
      <c r="C866" s="4">
        <v>30002</v>
      </c>
      <c r="D866" s="3" t="str">
        <f ca="1">VLOOKUP($C866,OFFSET([1]quests!$A$1,0,0,COUNTA([1]quests!$A:$A),MATCH(D$1,[1]quests!$1:$1,0)-MATCH($C$1,[1]quests!$1:$1,0)+1),MATCH(D$1,[1]quests!$1:$1,0)-MATCH($C$1,[1]quests!$1:$1,0)+1,FALSE)</f>
        <v>トリックスター</v>
      </c>
      <c r="E866" s="3" t="str">
        <f ca="1">VLOOKUP($C866,OFFSET([1]quests!$A$1,0,0,COUNTA([1]quests!$A:$A),MATCH(E$1,[1]quests!$1:$1,0)-MATCH($C$1,[1]quests!$1:$1,0)+1),MATCH(E$1,[1]quests!$1:$1,0)-MATCH($C$1,[1]quests!$1:$1,0)+1,FALSE)</f>
        <v>ドロップイベント1-2（マルチ専用）</v>
      </c>
      <c r="F866" s="5">
        <v>2</v>
      </c>
      <c r="G866" s="3" t="str">
        <f ca="1">VLOOKUP($C866&amp;"_"&amp;$F866,OFFSET([1]stages!$A$1,0,0,COUNTA([1]stages!$A:$A),MATCH(G$1,[1]stages!$2:$2,0)-MATCH("temp_stage",[1]stages!$2:$2,0)+1),MATCH(G$1,[1]stages!$2:$2,0)-MATCH("temp_stage",[1]stages!$2:$2,0)+1,FALSE)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6" s="3" t="str">
        <f ca="1">VLOOKUP($C866&amp;"_"&amp;$F866,OFFSET([1]stages!$A$1,0,0,COUNTA([1]stages!$A:$A),MATCH(H$1,[1]stages!$2:$2,0)-MATCH("temp_stage",[1]stages!$2:$2,0)+1),MATCH(H$1,[1]stages!$2:$2,0)-MATCH("temp_stage",[1]stages!$2:$2,0)+1,FALSE)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6" s="18">
        <v>0</v>
      </c>
      <c r="J866" s="5">
        <f>COUNTIF(C$1:C866,C866)</f>
        <v>7</v>
      </c>
      <c r="K866" s="34">
        <v>11</v>
      </c>
      <c r="L866" s="5" t="s">
        <v>17</v>
      </c>
      <c r="M866" s="38" t="str">
        <f>VLOOKUP(K866,[2]stage_hints!$A:$C,3,FALSE)</f>
        <v>ランク解放クエスト</v>
      </c>
      <c r="N866" s="39" t="str">
        <f>VLOOKUP(K866,[2]stage_hints!$A:$D,4,FALSE)</f>
        <v>一定ランクに到達すると
報酬付きのランク開放クエストが現れます</v>
      </c>
      <c r="O866" s="20" t="s">
        <v>24</v>
      </c>
      <c r="P866">
        <v>11</v>
      </c>
    </row>
    <row r="867" spans="1:16" x14ac:dyDescent="0.15">
      <c r="A867" s="27" t="str">
        <f t="shared" si="76"/>
        <v>30002_2_8</v>
      </c>
      <c r="B867" s="25" t="s">
        <v>34</v>
      </c>
      <c r="C867" s="4">
        <v>30002</v>
      </c>
      <c r="D867" s="3" t="str">
        <f ca="1">VLOOKUP($C867,OFFSET([1]quests!$A$1,0,0,COUNTA([1]quests!$A:$A),MATCH(D$1,[1]quests!$1:$1,0)-MATCH($C$1,[1]quests!$1:$1,0)+1),MATCH(D$1,[1]quests!$1:$1,0)-MATCH($C$1,[1]quests!$1:$1,0)+1,FALSE)</f>
        <v>トリックスター</v>
      </c>
      <c r="E867" s="3" t="str">
        <f ca="1">VLOOKUP($C867,OFFSET([1]quests!$A$1,0,0,COUNTA([1]quests!$A:$A),MATCH(E$1,[1]quests!$1:$1,0)-MATCH($C$1,[1]quests!$1:$1,0)+1),MATCH(E$1,[1]quests!$1:$1,0)-MATCH($C$1,[1]quests!$1:$1,0)+1,FALSE)</f>
        <v>ドロップイベント1-2（マルチ専用）</v>
      </c>
      <c r="F867" s="5">
        <v>2</v>
      </c>
      <c r="G867" s="3" t="str">
        <f ca="1">VLOOKUP($C867&amp;"_"&amp;$F867,OFFSET([1]stages!$A$1,0,0,COUNTA([1]stages!$A:$A),MATCH(G$1,[1]stages!$2:$2,0)-MATCH("temp_stage",[1]stages!$2:$2,0)+1),MATCH(G$1,[1]stages!$2:$2,0)-MATCH("temp_stage",[1]stages!$2:$2,0)+1,FALSE)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7" s="3" t="str">
        <f ca="1">VLOOKUP($C867&amp;"_"&amp;$F867,OFFSET([1]stages!$A$1,0,0,COUNTA([1]stages!$A:$A),MATCH(H$1,[1]stages!$2:$2,0)-MATCH("temp_stage",[1]stages!$2:$2,0)+1),MATCH(H$1,[1]stages!$2:$2,0)-MATCH("temp_stage",[1]stages!$2:$2,0)+1,FALSE)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7" s="18">
        <v>0</v>
      </c>
      <c r="J867" s="5">
        <f>COUNTIF(C$1:C867,C867)</f>
        <v>8</v>
      </c>
      <c r="K867" s="34">
        <v>12</v>
      </c>
      <c r="L867" s="5" t="s">
        <v>17</v>
      </c>
      <c r="M867" s="38" t="str">
        <f>VLOOKUP(K867,[2]stage_hints!$A:$C,3,FALSE)</f>
        <v>ユニットのお気に入り登録</v>
      </c>
      <c r="N867" s="39" t="str">
        <f>VLOOKUP(K867,[2]stage_hints!$A:$D,4,FALSE)</f>
        <v>大事なユニットを誤って消さないように
フォルダから「お気に入り登録」しましょう</v>
      </c>
      <c r="O867" s="20" t="s">
        <v>24</v>
      </c>
      <c r="P867">
        <v>12</v>
      </c>
    </row>
    <row r="868" spans="1:16" x14ac:dyDescent="0.15">
      <c r="A868" s="27" t="str">
        <f t="shared" si="76"/>
        <v>30002_2_9</v>
      </c>
      <c r="B868" s="25" t="s">
        <v>34</v>
      </c>
      <c r="C868" s="4">
        <v>30002</v>
      </c>
      <c r="D868" s="3" t="str">
        <f ca="1">VLOOKUP($C868,OFFSET([1]quests!$A$1,0,0,COUNTA([1]quests!$A:$A),MATCH(D$1,[1]quests!$1:$1,0)-MATCH($C$1,[1]quests!$1:$1,0)+1),MATCH(D$1,[1]quests!$1:$1,0)-MATCH($C$1,[1]quests!$1:$1,0)+1,FALSE)</f>
        <v>トリックスター</v>
      </c>
      <c r="E868" s="3" t="str">
        <f ca="1">VLOOKUP($C868,OFFSET([1]quests!$A$1,0,0,COUNTA([1]quests!$A:$A),MATCH(E$1,[1]quests!$1:$1,0)-MATCH($C$1,[1]quests!$1:$1,0)+1),MATCH(E$1,[1]quests!$1:$1,0)-MATCH($C$1,[1]quests!$1:$1,0)+1,FALSE)</f>
        <v>ドロップイベント1-2（マルチ専用）</v>
      </c>
      <c r="F868" s="5">
        <v>2</v>
      </c>
      <c r="G868" s="3" t="str">
        <f ca="1">VLOOKUP($C868&amp;"_"&amp;$F868,OFFSET([1]stages!$A$1,0,0,COUNTA([1]stages!$A:$A),MATCH(G$1,[1]stages!$2:$2,0)-MATCH("temp_stage",[1]stages!$2:$2,0)+1),MATCH(G$1,[1]stages!$2:$2,0)-MATCH("temp_stage",[1]stages!$2:$2,0)+1,FALSE)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8" s="3" t="str">
        <f ca="1">VLOOKUP($C868&amp;"_"&amp;$F868,OFFSET([1]stages!$A$1,0,0,COUNTA([1]stages!$A:$A),MATCH(H$1,[1]stages!$2:$2,0)-MATCH("temp_stage",[1]stages!$2:$2,0)+1),MATCH(H$1,[1]stages!$2:$2,0)-MATCH("temp_stage",[1]stages!$2:$2,0)+1,FALSE)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8" s="18">
        <v>0</v>
      </c>
      <c r="J868" s="5">
        <f>COUNTIF(C$1:C868,C868)</f>
        <v>9</v>
      </c>
      <c r="K868" s="34">
        <v>13</v>
      </c>
      <c r="L868" s="5" t="s">
        <v>17</v>
      </c>
      <c r="M868" s="38" t="str">
        <f>VLOOKUP(K868,[2]stage_hints!$A:$C,3,FALSE)</f>
        <v>ユニットの覚醒</v>
      </c>
      <c r="N868" s="39" t="str">
        <f>VLOOKUP(K868,[2]stage_hints!$A:$D,4,FALSE)</f>
        <v>ユニットを覚醒させると
比べものにならない強さが手に入ります</v>
      </c>
      <c r="O868" s="20" t="s">
        <v>24</v>
      </c>
      <c r="P868">
        <v>13</v>
      </c>
    </row>
    <row r="869" spans="1:16" x14ac:dyDescent="0.15">
      <c r="A869" s="27" t="str">
        <f t="shared" si="76"/>
        <v>30002_2_10</v>
      </c>
      <c r="B869" s="25" t="s">
        <v>34</v>
      </c>
      <c r="C869" s="4">
        <v>30002</v>
      </c>
      <c r="D869" s="3" t="str">
        <f ca="1">VLOOKUP($C869,OFFSET([1]quests!$A$1,0,0,COUNTA([1]quests!$A:$A),MATCH(D$1,[1]quests!$1:$1,0)-MATCH($C$1,[1]quests!$1:$1,0)+1),MATCH(D$1,[1]quests!$1:$1,0)-MATCH($C$1,[1]quests!$1:$1,0)+1,FALSE)</f>
        <v>トリックスター</v>
      </c>
      <c r="E869" s="3" t="str">
        <f ca="1">VLOOKUP($C869,OFFSET([1]quests!$A$1,0,0,COUNTA([1]quests!$A:$A),MATCH(E$1,[1]quests!$1:$1,0)-MATCH($C$1,[1]quests!$1:$1,0)+1),MATCH(E$1,[1]quests!$1:$1,0)-MATCH($C$1,[1]quests!$1:$1,0)+1,FALSE)</f>
        <v>ドロップイベント1-2（マルチ専用）</v>
      </c>
      <c r="F869" s="5">
        <v>2</v>
      </c>
      <c r="G869" s="3" t="str">
        <f ca="1">VLOOKUP($C869&amp;"_"&amp;$F869,OFFSET([1]stages!$A$1,0,0,COUNTA([1]stages!$A:$A),MATCH(G$1,[1]stages!$2:$2,0)-MATCH("temp_stage",[1]stages!$2:$2,0)+1),MATCH(G$1,[1]stages!$2:$2,0)-MATCH("temp_stage",[1]stages!$2:$2,0)+1,FALSE)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69" s="3" t="str">
        <f ca="1">VLOOKUP($C869&amp;"_"&amp;$F869,OFFSET([1]stages!$A$1,0,0,COUNTA([1]stages!$A:$A),MATCH(H$1,[1]stages!$2:$2,0)-MATCH("temp_stage",[1]stages!$2:$2,0)+1),MATCH(H$1,[1]stages!$2:$2,0)-MATCH("temp_stage",[1]stages!$2:$2,0)+1,FALSE)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69" s="18">
        <v>0</v>
      </c>
      <c r="J869" s="5">
        <f>COUNTIF(C$1:C869,C869)</f>
        <v>10</v>
      </c>
      <c r="K869" s="34">
        <v>14</v>
      </c>
      <c r="L869" s="5" t="s">
        <v>17</v>
      </c>
      <c r="M869" s="38" t="str">
        <f>VLOOKUP(K869,[2]stage_hints!$A:$C,3,FALSE)</f>
        <v>覚醒するにはレベルを最大に</v>
      </c>
      <c r="N869" s="39" t="str">
        <f>VLOOKUP(K869,[2]stage_hints!$A:$D,4,FALSE)</f>
        <v>覚醒するにはユニットのレベルを
最大まで上げる必要があります</v>
      </c>
      <c r="O869" s="20" t="s">
        <v>24</v>
      </c>
      <c r="P869">
        <v>14</v>
      </c>
    </row>
    <row r="870" spans="1:16" x14ac:dyDescent="0.15">
      <c r="A870" s="27" t="str">
        <f t="shared" si="76"/>
        <v>30002_2_11</v>
      </c>
      <c r="B870" s="25" t="s">
        <v>34</v>
      </c>
      <c r="C870" s="4">
        <v>30002</v>
      </c>
      <c r="D870" s="3" t="str">
        <f ca="1">VLOOKUP($C870,OFFSET([1]quests!$A$1,0,0,COUNTA([1]quests!$A:$A),MATCH(D$1,[1]quests!$1:$1,0)-MATCH($C$1,[1]quests!$1:$1,0)+1),MATCH(D$1,[1]quests!$1:$1,0)-MATCH($C$1,[1]quests!$1:$1,0)+1,FALSE)</f>
        <v>トリックスター</v>
      </c>
      <c r="E870" s="3" t="str">
        <f ca="1">VLOOKUP($C870,OFFSET([1]quests!$A$1,0,0,COUNTA([1]quests!$A:$A),MATCH(E$1,[1]quests!$1:$1,0)-MATCH($C$1,[1]quests!$1:$1,0)+1),MATCH(E$1,[1]quests!$1:$1,0)-MATCH($C$1,[1]quests!$1:$1,0)+1,FALSE)</f>
        <v>ドロップイベント1-2（マルチ専用）</v>
      </c>
      <c r="F870" s="5">
        <v>2</v>
      </c>
      <c r="G870" s="3" t="str">
        <f ca="1">VLOOKUP($C870&amp;"_"&amp;$F870,OFFSET([1]stages!$A$1,0,0,COUNTA([1]stages!$A:$A),MATCH(G$1,[1]stages!$2:$2,0)-MATCH("temp_stage",[1]stages!$2:$2,0)+1),MATCH(G$1,[1]stages!$2:$2,0)-MATCH("temp_stage",[1]stages!$2:$2,0)+1,FALSE)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0" s="3" t="str">
        <f ca="1">VLOOKUP($C870&amp;"_"&amp;$F870,OFFSET([1]stages!$A$1,0,0,COUNTA([1]stages!$A:$A),MATCH(H$1,[1]stages!$2:$2,0)-MATCH("temp_stage",[1]stages!$2:$2,0)+1),MATCH(H$1,[1]stages!$2:$2,0)-MATCH("temp_stage",[1]stages!$2:$2,0)+1,FALSE)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0" s="18">
        <v>0</v>
      </c>
      <c r="J870" s="5">
        <f>COUNTIF(C$1:C870,C870)</f>
        <v>11</v>
      </c>
      <c r="K870" s="34">
        <v>15</v>
      </c>
      <c r="L870" s="5" t="s">
        <v>17</v>
      </c>
      <c r="M870" s="38" t="str">
        <f>VLOOKUP(K870,[2]stage_hints!$A:$C,3,FALSE)</f>
        <v>覚醒素材を獲得</v>
      </c>
      <c r="N870" s="39" t="str">
        <f>VLOOKUP(K870,[2]stage_hints!$A:$D,4,FALSE)</f>
        <v>「曜日クエスト」では
ユニットの覚醒に必要な素材が手に入ります</v>
      </c>
      <c r="O870" s="20" t="s">
        <v>24</v>
      </c>
      <c r="P870">
        <v>15</v>
      </c>
    </row>
    <row r="871" spans="1:16" x14ac:dyDescent="0.15">
      <c r="A871" s="27" t="str">
        <f t="shared" si="76"/>
        <v>30002_2_12</v>
      </c>
      <c r="B871" s="25" t="s">
        <v>34</v>
      </c>
      <c r="C871" s="4">
        <v>30002</v>
      </c>
      <c r="D871" s="3" t="str">
        <f ca="1">VLOOKUP($C871,OFFSET([1]quests!$A$1,0,0,COUNTA([1]quests!$A:$A),MATCH(D$1,[1]quests!$1:$1,0)-MATCH($C$1,[1]quests!$1:$1,0)+1),MATCH(D$1,[1]quests!$1:$1,0)-MATCH($C$1,[1]quests!$1:$1,0)+1,FALSE)</f>
        <v>トリックスター</v>
      </c>
      <c r="E871" s="3" t="str">
        <f ca="1">VLOOKUP($C871,OFFSET([1]quests!$A$1,0,0,COUNTA([1]quests!$A:$A),MATCH(E$1,[1]quests!$1:$1,0)-MATCH($C$1,[1]quests!$1:$1,0)+1),MATCH(E$1,[1]quests!$1:$1,0)-MATCH($C$1,[1]quests!$1:$1,0)+1,FALSE)</f>
        <v>ドロップイベント1-2（マルチ専用）</v>
      </c>
      <c r="F871" s="5">
        <v>2</v>
      </c>
      <c r="G871" s="3" t="str">
        <f ca="1">VLOOKUP($C871&amp;"_"&amp;$F871,OFFSET([1]stages!$A$1,0,0,COUNTA([1]stages!$A:$A),MATCH(G$1,[1]stages!$2:$2,0)-MATCH("temp_stage",[1]stages!$2:$2,0)+1),MATCH(G$1,[1]stages!$2:$2,0)-MATCH("temp_stage",[1]stages!$2:$2,0)+1,FALSE)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1" s="3" t="str">
        <f ca="1">VLOOKUP($C871&amp;"_"&amp;$F871,OFFSET([1]stages!$A$1,0,0,COUNTA([1]stages!$A:$A),MATCH(H$1,[1]stages!$2:$2,0)-MATCH("temp_stage",[1]stages!$2:$2,0)+1),MATCH(H$1,[1]stages!$2:$2,0)-MATCH("temp_stage",[1]stages!$2:$2,0)+1,FALSE)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1" s="18">
        <v>0</v>
      </c>
      <c r="J871" s="5">
        <f>COUNTIF(C$1:C871,C871)</f>
        <v>12</v>
      </c>
      <c r="K871" s="34">
        <v>16</v>
      </c>
      <c r="L871" s="5" t="s">
        <v>17</v>
      </c>
      <c r="M871" s="38" t="str">
        <f>VLOOKUP(K871,[2]stage_hints!$A:$C,3,FALSE)</f>
        <v>マルチプレイのメリット（その1）</v>
      </c>
      <c r="N871" s="39" t="str">
        <f>VLOOKUP(K871,[2]stage_hints!$A:$D,4,FALSE)</f>
        <v>他のプレイヤーとマルチプレイで遊ぶと
ポリゴンがもらえます（100人まで）</v>
      </c>
      <c r="O871" s="20" t="s">
        <v>24</v>
      </c>
      <c r="P871">
        <v>16</v>
      </c>
    </row>
    <row r="872" spans="1:16" x14ac:dyDescent="0.15">
      <c r="A872" s="27" t="str">
        <f t="shared" ref="A872:A931" si="77">C872&amp;"_"&amp;F872&amp;"_"&amp;J872</f>
        <v>30002_2_13</v>
      </c>
      <c r="B872" s="25" t="s">
        <v>34</v>
      </c>
      <c r="C872" s="4">
        <v>30002</v>
      </c>
      <c r="D872" s="3" t="str">
        <f ca="1">VLOOKUP($C872,OFFSET([1]quests!$A$1,0,0,COUNTA([1]quests!$A:$A),MATCH(D$1,[1]quests!$1:$1,0)-MATCH($C$1,[1]quests!$1:$1,0)+1),MATCH(D$1,[1]quests!$1:$1,0)-MATCH($C$1,[1]quests!$1:$1,0)+1,FALSE)</f>
        <v>トリックスター</v>
      </c>
      <c r="E872" s="3" t="str">
        <f ca="1">VLOOKUP($C872,OFFSET([1]quests!$A$1,0,0,COUNTA([1]quests!$A:$A),MATCH(E$1,[1]quests!$1:$1,0)-MATCH($C$1,[1]quests!$1:$1,0)+1),MATCH(E$1,[1]quests!$1:$1,0)-MATCH($C$1,[1]quests!$1:$1,0)+1,FALSE)</f>
        <v>ドロップイベント1-2（マルチ専用）</v>
      </c>
      <c r="F872" s="5">
        <v>2</v>
      </c>
      <c r="G872" s="3" t="str">
        <f ca="1">VLOOKUP($C872&amp;"_"&amp;$F872,OFFSET([1]stages!$A$1,0,0,COUNTA([1]stages!$A:$A),MATCH(G$1,[1]stages!$2:$2,0)-MATCH("temp_stage",[1]stages!$2:$2,0)+1),MATCH(G$1,[1]stages!$2:$2,0)-MATCH("temp_stage",[1]stages!$2:$2,0)+1,FALSE)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2" s="3" t="str">
        <f ca="1">VLOOKUP($C872&amp;"_"&amp;$F872,OFFSET([1]stages!$A$1,0,0,COUNTA([1]stages!$A:$A),MATCH(H$1,[1]stages!$2:$2,0)-MATCH("temp_stage",[1]stages!$2:$2,0)+1),MATCH(H$1,[1]stages!$2:$2,0)-MATCH("temp_stage",[1]stages!$2:$2,0)+1,FALSE)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2" s="18">
        <v>0</v>
      </c>
      <c r="J872" s="5">
        <f>COUNTIF(C$1:C872,C872)</f>
        <v>13</v>
      </c>
      <c r="K872" s="34">
        <v>17</v>
      </c>
      <c r="L872" s="5" t="s">
        <v>17</v>
      </c>
      <c r="M872" s="38" t="str">
        <f>VLOOKUP(K872,[2]stage_hints!$A:$C,3,FALSE)</f>
        <v>リンクガチャ</v>
      </c>
      <c r="N872" s="39" t="str">
        <f>VLOOKUP(K872,[2]stage_hints!$A:$D,4,FALSE)</f>
        <v>無料のリンクガチャを回して
経験値素材や売却素材を獲得しましょう</v>
      </c>
      <c r="O872" s="20" t="s">
        <v>24</v>
      </c>
      <c r="P872">
        <v>17</v>
      </c>
    </row>
    <row r="873" spans="1:16" x14ac:dyDescent="0.15">
      <c r="A873" s="27" t="str">
        <f t="shared" si="77"/>
        <v>30002_2_14</v>
      </c>
      <c r="B873" s="25" t="s">
        <v>34</v>
      </c>
      <c r="C873" s="4">
        <v>30002</v>
      </c>
      <c r="D873" s="3" t="str">
        <f ca="1">VLOOKUP($C873,OFFSET([1]quests!$A$1,0,0,COUNTA([1]quests!$A:$A),MATCH(D$1,[1]quests!$1:$1,0)-MATCH($C$1,[1]quests!$1:$1,0)+1),MATCH(D$1,[1]quests!$1:$1,0)-MATCH($C$1,[1]quests!$1:$1,0)+1,FALSE)</f>
        <v>トリックスター</v>
      </c>
      <c r="E873" s="3" t="str">
        <f ca="1">VLOOKUP($C873,OFFSET([1]quests!$A$1,0,0,COUNTA([1]quests!$A:$A),MATCH(E$1,[1]quests!$1:$1,0)-MATCH($C$1,[1]quests!$1:$1,0)+1),MATCH(E$1,[1]quests!$1:$1,0)-MATCH($C$1,[1]quests!$1:$1,0)+1,FALSE)</f>
        <v>ドロップイベント1-2（マルチ専用）</v>
      </c>
      <c r="F873" s="5">
        <v>2</v>
      </c>
      <c r="G873" s="3" t="str">
        <f ca="1">VLOOKUP($C873&amp;"_"&amp;$F873,OFFSET([1]stages!$A$1,0,0,COUNTA([1]stages!$A:$A),MATCH(G$1,[1]stages!$2:$2,0)-MATCH("temp_stage",[1]stages!$2:$2,0)+1),MATCH(G$1,[1]stages!$2:$2,0)-MATCH("temp_stage",[1]stages!$2:$2,0)+1,FALSE)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3" s="3" t="str">
        <f ca="1">VLOOKUP($C873&amp;"_"&amp;$F873,OFFSET([1]stages!$A$1,0,0,COUNTA([1]stages!$A:$A),MATCH(H$1,[1]stages!$2:$2,0)-MATCH("temp_stage",[1]stages!$2:$2,0)+1),MATCH(H$1,[1]stages!$2:$2,0)-MATCH("temp_stage",[1]stages!$2:$2,0)+1,FALSE)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3" s="18">
        <v>0</v>
      </c>
      <c r="J873" s="5">
        <f>COUNTIF(C$1:C873,C873)</f>
        <v>14</v>
      </c>
      <c r="K873" s="34">
        <v>18</v>
      </c>
      <c r="L873" s="5" t="s">
        <v>17</v>
      </c>
      <c r="M873" s="38" t="str">
        <f>VLOOKUP(K873,[2]stage_hints!$A:$C,3,FALSE)</f>
        <v>マルチプレイのメリット（その2）</v>
      </c>
      <c r="N873" s="39" t="str">
        <f>VLOOKUP(K873,[2]stage_hints!$A:$D,4,FALSE)</f>
        <v>マルチプレイならリンクが2倍もらえます
リンクガチャをたくさん回しましょう</v>
      </c>
      <c r="O873" s="20" t="s">
        <v>24</v>
      </c>
      <c r="P873">
        <v>18</v>
      </c>
    </row>
    <row r="874" spans="1:16" x14ac:dyDescent="0.15">
      <c r="A874" s="27" t="str">
        <f t="shared" si="77"/>
        <v>30002_2_15</v>
      </c>
      <c r="B874" s="25" t="s">
        <v>34</v>
      </c>
      <c r="C874" s="4">
        <v>30002</v>
      </c>
      <c r="D874" s="3" t="str">
        <f ca="1">VLOOKUP($C874,OFFSET([1]quests!$A$1,0,0,COUNTA([1]quests!$A:$A),MATCH(D$1,[1]quests!$1:$1,0)-MATCH($C$1,[1]quests!$1:$1,0)+1),MATCH(D$1,[1]quests!$1:$1,0)-MATCH($C$1,[1]quests!$1:$1,0)+1,FALSE)</f>
        <v>トリックスター</v>
      </c>
      <c r="E874" s="3" t="str">
        <f ca="1">VLOOKUP($C874,OFFSET([1]quests!$A$1,0,0,COUNTA([1]quests!$A:$A),MATCH(E$1,[1]quests!$1:$1,0)-MATCH($C$1,[1]quests!$1:$1,0)+1),MATCH(E$1,[1]quests!$1:$1,0)-MATCH($C$1,[1]quests!$1:$1,0)+1,FALSE)</f>
        <v>ドロップイベント1-2（マルチ専用）</v>
      </c>
      <c r="F874" s="5">
        <v>2</v>
      </c>
      <c r="G874" s="3" t="str">
        <f ca="1">VLOOKUP($C874&amp;"_"&amp;$F874,OFFSET([1]stages!$A$1,0,0,COUNTA([1]stages!$A:$A),MATCH(G$1,[1]stages!$2:$2,0)-MATCH("temp_stage",[1]stages!$2:$2,0)+1),MATCH(G$1,[1]stages!$2:$2,0)-MATCH("temp_stage",[1]stages!$2:$2,0)+1,FALSE)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4" s="3" t="str">
        <f ca="1">VLOOKUP($C874&amp;"_"&amp;$F874,OFFSET([1]stages!$A$1,0,0,COUNTA([1]stages!$A:$A),MATCH(H$1,[1]stages!$2:$2,0)-MATCH("temp_stage",[1]stages!$2:$2,0)+1),MATCH(H$1,[1]stages!$2:$2,0)-MATCH("temp_stage",[1]stages!$2:$2,0)+1,FALSE)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4" s="18">
        <v>0</v>
      </c>
      <c r="J874" s="5">
        <f>COUNTIF(C$1:C874,C874)</f>
        <v>15</v>
      </c>
      <c r="K874" s="34">
        <v>19</v>
      </c>
      <c r="L874" s="5" t="s">
        <v>17</v>
      </c>
      <c r="M874" s="38" t="str">
        <f>VLOOKUP(K874,[2]stage_hints!$A:$C,3,FALSE)</f>
        <v>ソロ専用チャレンジタワー</v>
      </c>
      <c r="N874" s="39" t="str">
        <f>VLOOKUP(K874,[2]stage_hints!$A:$D,4,FALSE)</f>
        <v>ソロ専用の「チャレンジタワー」では
各フロアごとにクリア報酬がもらえます</v>
      </c>
      <c r="O874" s="20" t="s">
        <v>24</v>
      </c>
      <c r="P874">
        <v>19</v>
      </c>
    </row>
    <row r="875" spans="1:16" x14ac:dyDescent="0.15">
      <c r="A875" s="27" t="str">
        <f t="shared" si="77"/>
        <v>30002_2_16</v>
      </c>
      <c r="B875" s="25" t="s">
        <v>34</v>
      </c>
      <c r="C875" s="4">
        <v>30002</v>
      </c>
      <c r="D875" s="3" t="str">
        <f ca="1">VLOOKUP($C875,OFFSET([1]quests!$A$1,0,0,COUNTA([1]quests!$A:$A),MATCH(D$1,[1]quests!$1:$1,0)-MATCH($C$1,[1]quests!$1:$1,0)+1),MATCH(D$1,[1]quests!$1:$1,0)-MATCH($C$1,[1]quests!$1:$1,0)+1,FALSE)</f>
        <v>トリックスター</v>
      </c>
      <c r="E875" s="3" t="str">
        <f ca="1">VLOOKUP($C875,OFFSET([1]quests!$A$1,0,0,COUNTA([1]quests!$A:$A),MATCH(E$1,[1]quests!$1:$1,0)-MATCH($C$1,[1]quests!$1:$1,0)+1),MATCH(E$1,[1]quests!$1:$1,0)-MATCH($C$1,[1]quests!$1:$1,0)+1,FALSE)</f>
        <v>ドロップイベント1-2（マルチ専用）</v>
      </c>
      <c r="F875" s="5">
        <v>2</v>
      </c>
      <c r="G875" s="3" t="str">
        <f ca="1">VLOOKUP($C875&amp;"_"&amp;$F875,OFFSET([1]stages!$A$1,0,0,COUNTA([1]stages!$A:$A),MATCH(G$1,[1]stages!$2:$2,0)-MATCH("temp_stage",[1]stages!$2:$2,0)+1),MATCH(G$1,[1]stages!$2:$2,0)-MATCH("temp_stage",[1]stages!$2:$2,0)+1,FALSE)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5" s="3" t="str">
        <f ca="1">VLOOKUP($C875&amp;"_"&amp;$F875,OFFSET([1]stages!$A$1,0,0,COUNTA([1]stages!$A:$A),MATCH(H$1,[1]stages!$2:$2,0)-MATCH("temp_stage",[1]stages!$2:$2,0)+1),MATCH(H$1,[1]stages!$2:$2,0)-MATCH("temp_stage",[1]stages!$2:$2,0)+1,FALSE)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5" s="18">
        <v>0</v>
      </c>
      <c r="J875" s="5">
        <f>COUNTIF(C$1:C875,C875)</f>
        <v>16</v>
      </c>
      <c r="K875" s="34">
        <v>20</v>
      </c>
      <c r="L875" s="5" t="s">
        <v>17</v>
      </c>
      <c r="M875" s="38" t="str">
        <f>VLOOKUP(K875,[2]stage_hints!$A:$C,3,FALSE)</f>
        <v>マルチプレイのメリット（その3）</v>
      </c>
      <c r="N875" s="39" t="str">
        <f>VLOOKUP(K875,[2]stage_hints!$A:$D,4,FALSE)</f>
        <v>マルチプレイへの参加はエナジー消費ゼロ
いつでも好きなだけ遊ぶことができます</v>
      </c>
      <c r="O875" s="20" t="s">
        <v>24</v>
      </c>
      <c r="P875">
        <v>20</v>
      </c>
    </row>
    <row r="876" spans="1:16" x14ac:dyDescent="0.15">
      <c r="A876" s="27" t="str">
        <f t="shared" si="77"/>
        <v>30002_2_17</v>
      </c>
      <c r="B876" s="25" t="s">
        <v>34</v>
      </c>
      <c r="C876" s="4">
        <v>30002</v>
      </c>
      <c r="D876" s="3" t="str">
        <f ca="1">VLOOKUP($C876,OFFSET([1]quests!$A$1,0,0,COUNTA([1]quests!$A:$A),MATCH(D$1,[1]quests!$1:$1,0)-MATCH($C$1,[1]quests!$1:$1,0)+1),MATCH(D$1,[1]quests!$1:$1,0)-MATCH($C$1,[1]quests!$1:$1,0)+1,FALSE)</f>
        <v>トリックスター</v>
      </c>
      <c r="E876" s="3" t="str">
        <f ca="1">VLOOKUP($C876,OFFSET([1]quests!$A$1,0,0,COUNTA([1]quests!$A:$A),MATCH(E$1,[1]quests!$1:$1,0)-MATCH($C$1,[1]quests!$1:$1,0)+1),MATCH(E$1,[1]quests!$1:$1,0)-MATCH($C$1,[1]quests!$1:$1,0)+1,FALSE)</f>
        <v>ドロップイベント1-2（マルチ専用）</v>
      </c>
      <c r="F876" s="5">
        <v>2</v>
      </c>
      <c r="G876" s="3" t="str">
        <f ca="1">VLOOKUP($C876&amp;"_"&amp;$F876,OFFSET([1]stages!$A$1,0,0,COUNTA([1]stages!$A:$A),MATCH(G$1,[1]stages!$2:$2,0)-MATCH("temp_stage",[1]stages!$2:$2,0)+1),MATCH(G$1,[1]stages!$2:$2,0)-MATCH("temp_stage",[1]stages!$2:$2,0)+1,FALSE)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6" s="3" t="str">
        <f ca="1">VLOOKUP($C876&amp;"_"&amp;$F876,OFFSET([1]stages!$A$1,0,0,COUNTA([1]stages!$A:$A),MATCH(H$1,[1]stages!$2:$2,0)-MATCH("temp_stage",[1]stages!$2:$2,0)+1),MATCH(H$1,[1]stages!$2:$2,0)-MATCH("temp_stage",[1]stages!$2:$2,0)+1,FALSE)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6" s="18">
        <v>0</v>
      </c>
      <c r="J876" s="5">
        <f>COUNTIF(C$1:C876,C876)</f>
        <v>17</v>
      </c>
      <c r="K876" s="34">
        <v>21</v>
      </c>
      <c r="L876" s="5" t="s">
        <v>17</v>
      </c>
      <c r="M876" s="38" t="str">
        <f>VLOOKUP(K876,[2]stage_hints!$A:$C,3,FALSE)</f>
        <v>スキルを有効に</v>
      </c>
      <c r="N876" s="39" t="str">
        <f>VLOOKUP(K876,[2]stage_hints!$A:$D,4,FALSE)</f>
        <v>ターン経過でユニットのスキルが使えます
強力スキルでバトルを有利に進めましょう</v>
      </c>
      <c r="O876" s="20" t="s">
        <v>24</v>
      </c>
      <c r="P876">
        <v>21</v>
      </c>
    </row>
    <row r="877" spans="1:16" x14ac:dyDescent="0.15">
      <c r="A877" s="27" t="str">
        <f t="shared" si="77"/>
        <v>30002_2_18</v>
      </c>
      <c r="B877" s="25" t="s">
        <v>34</v>
      </c>
      <c r="C877" s="4">
        <v>30002</v>
      </c>
      <c r="D877" s="3" t="str">
        <f ca="1">VLOOKUP($C877,OFFSET([1]quests!$A$1,0,0,COUNTA([1]quests!$A:$A),MATCH(D$1,[1]quests!$1:$1,0)-MATCH($C$1,[1]quests!$1:$1,0)+1),MATCH(D$1,[1]quests!$1:$1,0)-MATCH($C$1,[1]quests!$1:$1,0)+1,FALSE)</f>
        <v>トリックスター</v>
      </c>
      <c r="E877" s="3" t="str">
        <f ca="1">VLOOKUP($C877,OFFSET([1]quests!$A$1,0,0,COUNTA([1]quests!$A:$A),MATCH(E$1,[1]quests!$1:$1,0)-MATCH($C$1,[1]quests!$1:$1,0)+1),MATCH(E$1,[1]quests!$1:$1,0)-MATCH($C$1,[1]quests!$1:$1,0)+1,FALSE)</f>
        <v>ドロップイベント1-2（マルチ専用）</v>
      </c>
      <c r="F877" s="5">
        <v>2</v>
      </c>
      <c r="G877" s="3" t="str">
        <f ca="1">VLOOKUP($C877&amp;"_"&amp;$F877,OFFSET([1]stages!$A$1,0,0,COUNTA([1]stages!$A:$A),MATCH(G$1,[1]stages!$2:$2,0)-MATCH("temp_stage",[1]stages!$2:$2,0)+1),MATCH(G$1,[1]stages!$2:$2,0)-MATCH("temp_stage",[1]stages!$2:$2,0)+1,FALSE)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7" s="3" t="str">
        <f ca="1">VLOOKUP($C877&amp;"_"&amp;$F877,OFFSET([1]stages!$A$1,0,0,COUNTA([1]stages!$A:$A),MATCH(H$1,[1]stages!$2:$2,0)-MATCH("temp_stage",[1]stages!$2:$2,0)+1),MATCH(H$1,[1]stages!$2:$2,0)-MATCH("temp_stage",[1]stages!$2:$2,0)+1,FALSE)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7" s="18">
        <v>0</v>
      </c>
      <c r="J877" s="5">
        <f>COUNTIF(C$1:C877,C877)</f>
        <v>18</v>
      </c>
      <c r="K877" s="34">
        <v>22</v>
      </c>
      <c r="L877" s="5" t="s">
        <v>17</v>
      </c>
      <c r="M877" s="38" t="str">
        <f>VLOOKUP(K877,[2]stage_hints!$A:$C,3,FALSE)</f>
        <v>フィーバーで一発逆転（その1）</v>
      </c>
      <c r="N877" s="39" t="str">
        <f>VLOOKUP(K877,[2]stage_hints!$A:$D,4,FALSE)</f>
        <v>フィーバーは攻撃と回復を兼ね備えます
ピンチからの一発逆転を狙いましょう</v>
      </c>
      <c r="O877" s="20" t="s">
        <v>24</v>
      </c>
      <c r="P877">
        <v>22</v>
      </c>
    </row>
    <row r="878" spans="1:16" x14ac:dyDescent="0.15">
      <c r="A878" s="27" t="str">
        <f t="shared" si="77"/>
        <v>30002_2_19</v>
      </c>
      <c r="B878" s="25" t="s">
        <v>34</v>
      </c>
      <c r="C878" s="4">
        <v>30002</v>
      </c>
      <c r="D878" s="3" t="str">
        <f ca="1">VLOOKUP($C878,OFFSET([1]quests!$A$1,0,0,COUNTA([1]quests!$A:$A),MATCH(D$1,[1]quests!$1:$1,0)-MATCH($C$1,[1]quests!$1:$1,0)+1),MATCH(D$1,[1]quests!$1:$1,0)-MATCH($C$1,[1]quests!$1:$1,0)+1,FALSE)</f>
        <v>トリックスター</v>
      </c>
      <c r="E878" s="3" t="str">
        <f ca="1">VLOOKUP($C878,OFFSET([1]quests!$A$1,0,0,COUNTA([1]quests!$A:$A),MATCH(E$1,[1]quests!$1:$1,0)-MATCH($C$1,[1]quests!$1:$1,0)+1),MATCH(E$1,[1]quests!$1:$1,0)-MATCH($C$1,[1]quests!$1:$1,0)+1,FALSE)</f>
        <v>ドロップイベント1-2（マルチ専用）</v>
      </c>
      <c r="F878" s="5">
        <v>2</v>
      </c>
      <c r="G878" s="3" t="str">
        <f ca="1">VLOOKUP($C878&amp;"_"&amp;$F878,OFFSET([1]stages!$A$1,0,0,COUNTA([1]stages!$A:$A),MATCH(G$1,[1]stages!$2:$2,0)-MATCH("temp_stage",[1]stages!$2:$2,0)+1),MATCH(G$1,[1]stages!$2:$2,0)-MATCH("temp_stage",[1]stages!$2:$2,0)+1,FALSE)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8" s="3" t="str">
        <f ca="1">VLOOKUP($C878&amp;"_"&amp;$F878,OFFSET([1]stages!$A$1,0,0,COUNTA([1]stages!$A:$A),MATCH(H$1,[1]stages!$2:$2,0)-MATCH("temp_stage",[1]stages!$2:$2,0)+1),MATCH(H$1,[1]stages!$2:$2,0)-MATCH("temp_stage",[1]stages!$2:$2,0)+1,FALSE)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8" s="18">
        <v>0</v>
      </c>
      <c r="J878" s="5">
        <f>COUNTIF(C$1:C878,C878)</f>
        <v>19</v>
      </c>
      <c r="K878" s="34">
        <v>23</v>
      </c>
      <c r="L878" s="5" t="s">
        <v>17</v>
      </c>
      <c r="M878" s="38" t="str">
        <f>VLOOKUP(K878,[2]stage_hints!$A:$C,3,FALSE)</f>
        <v>フィーバーで一発逆転（その2）</v>
      </c>
      <c r="N878" s="39" t="str">
        <f>VLOOKUP(K878,[2]stage_hints!$A:$D,4,FALSE)</f>
        <v>フィーバー中は虹色のボムパネルを狙って
画面上のパネルを一気に破壊しましょう</v>
      </c>
      <c r="O878" s="20" t="s">
        <v>24</v>
      </c>
      <c r="P878">
        <v>23</v>
      </c>
    </row>
    <row r="879" spans="1:16" x14ac:dyDescent="0.15">
      <c r="A879" s="27" t="str">
        <f t="shared" si="77"/>
        <v>30002_2_20</v>
      </c>
      <c r="B879" s="25" t="s">
        <v>34</v>
      </c>
      <c r="C879" s="4">
        <v>30002</v>
      </c>
      <c r="D879" s="3" t="str">
        <f ca="1">VLOOKUP($C879,OFFSET([1]quests!$A$1,0,0,COUNTA([1]quests!$A:$A),MATCH(D$1,[1]quests!$1:$1,0)-MATCH($C$1,[1]quests!$1:$1,0)+1),MATCH(D$1,[1]quests!$1:$1,0)-MATCH($C$1,[1]quests!$1:$1,0)+1,FALSE)</f>
        <v>トリックスター</v>
      </c>
      <c r="E879" s="3" t="str">
        <f ca="1">VLOOKUP($C879,OFFSET([1]quests!$A$1,0,0,COUNTA([1]quests!$A:$A),MATCH(E$1,[1]quests!$1:$1,0)-MATCH($C$1,[1]quests!$1:$1,0)+1),MATCH(E$1,[1]quests!$1:$1,0)-MATCH($C$1,[1]quests!$1:$1,0)+1,FALSE)</f>
        <v>ドロップイベント1-2（マルチ専用）</v>
      </c>
      <c r="F879" s="5">
        <v>2</v>
      </c>
      <c r="G879" s="3" t="str">
        <f ca="1">VLOOKUP($C879&amp;"_"&amp;$F879,OFFSET([1]stages!$A$1,0,0,COUNTA([1]stages!$A:$A),MATCH(G$1,[1]stages!$2:$2,0)-MATCH("temp_stage",[1]stages!$2:$2,0)+1),MATCH(G$1,[1]stages!$2:$2,0)-MATCH("temp_stage",[1]stages!$2:$2,0)+1,FALSE)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79" s="3" t="str">
        <f ca="1">VLOOKUP($C879&amp;"_"&amp;$F879,OFFSET([1]stages!$A$1,0,0,COUNTA([1]stages!$A:$A),MATCH(H$1,[1]stages!$2:$2,0)-MATCH("temp_stage",[1]stages!$2:$2,0)+1),MATCH(H$1,[1]stages!$2:$2,0)-MATCH("temp_stage",[1]stages!$2:$2,0)+1,FALSE)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79" s="18">
        <v>0</v>
      </c>
      <c r="J879" s="5">
        <f>COUNTIF(C$1:C879,C879)</f>
        <v>20</v>
      </c>
      <c r="K879" s="34">
        <v>24</v>
      </c>
      <c r="L879" s="5" t="s">
        <v>17</v>
      </c>
      <c r="M879" s="38" t="str">
        <f>VLOOKUP(K879,[2]stage_hints!$A:$C,3,FALSE)</f>
        <v>りんごを使って限界突破</v>
      </c>
      <c r="N879" s="39" t="str">
        <f>VLOOKUP(K879,[2]stage_hints!$A:$D,4,FALSE)</f>
        <v>赤りんご(攻撃力) 青りんご(回復力)
緑りんご(体力)をユニット強化に使うと
ステータスが限界突破します（計99個迄）</v>
      </c>
      <c r="O879" s="20" t="s">
        <v>24</v>
      </c>
      <c r="P879">
        <v>24</v>
      </c>
    </row>
    <row r="880" spans="1:16" x14ac:dyDescent="0.15">
      <c r="A880" s="27" t="str">
        <f t="shared" si="77"/>
        <v>30002_2_21</v>
      </c>
      <c r="B880" s="25" t="s">
        <v>34</v>
      </c>
      <c r="C880" s="4">
        <v>30002</v>
      </c>
      <c r="D880" s="3" t="str">
        <f ca="1">VLOOKUP($C880,OFFSET([1]quests!$A$1,0,0,COUNTA([1]quests!$A:$A),MATCH(D$1,[1]quests!$1:$1,0)-MATCH($C$1,[1]quests!$1:$1,0)+1),MATCH(D$1,[1]quests!$1:$1,0)-MATCH($C$1,[1]quests!$1:$1,0)+1,FALSE)</f>
        <v>トリックスター</v>
      </c>
      <c r="E880" s="3" t="str">
        <f ca="1">VLOOKUP($C880,OFFSET([1]quests!$A$1,0,0,COUNTA([1]quests!$A:$A),MATCH(E$1,[1]quests!$1:$1,0)-MATCH($C$1,[1]quests!$1:$1,0)+1),MATCH(E$1,[1]quests!$1:$1,0)-MATCH($C$1,[1]quests!$1:$1,0)+1,FALSE)</f>
        <v>ドロップイベント1-2（マルチ専用）</v>
      </c>
      <c r="F880" s="5">
        <v>2</v>
      </c>
      <c r="G880" s="3" t="str">
        <f ca="1">VLOOKUP($C880&amp;"_"&amp;$F880,OFFSET([1]stages!$A$1,0,0,COUNTA([1]stages!$A:$A),MATCH(G$1,[1]stages!$2:$2,0)-MATCH("temp_stage",[1]stages!$2:$2,0)+1),MATCH(G$1,[1]stages!$2:$2,0)-MATCH("temp_stage",[1]stages!$2:$2,0)+1,FALSE)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0" s="3" t="str">
        <f ca="1">VLOOKUP($C880&amp;"_"&amp;$F880,OFFSET([1]stages!$A$1,0,0,COUNTA([1]stages!$A:$A),MATCH(H$1,[1]stages!$2:$2,0)-MATCH("temp_stage",[1]stages!$2:$2,0)+1),MATCH(H$1,[1]stages!$2:$2,0)-MATCH("temp_stage",[1]stages!$2:$2,0)+1,FALSE)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0" s="18">
        <v>0</v>
      </c>
      <c r="J880" s="5">
        <f>COUNTIF(C$1:C880,C880)</f>
        <v>21</v>
      </c>
      <c r="K880" s="34">
        <v>25</v>
      </c>
      <c r="L880" s="5" t="s">
        <v>17</v>
      </c>
      <c r="M880" s="38" t="str">
        <f>VLOOKUP(K880,[2]stage_hints!$A:$C,3,FALSE)</f>
        <v>スキルレベルアップ</v>
      </c>
      <c r="N880" s="39" t="str">
        <f>VLOOKUP(K880,[2]stage_hints!$A:$D,4,FALSE)</f>
        <v>「クリスタルのりんご」を強化に使うと
スキルレベルを上げることができます</v>
      </c>
      <c r="O880" s="20" t="s">
        <v>24</v>
      </c>
      <c r="P880">
        <v>25</v>
      </c>
    </row>
    <row r="881" spans="1:16" x14ac:dyDescent="0.15">
      <c r="A881" s="27" t="str">
        <f t="shared" si="77"/>
        <v>30002_2_22</v>
      </c>
      <c r="B881" s="25" t="s">
        <v>34</v>
      </c>
      <c r="C881" s="4">
        <v>30002</v>
      </c>
      <c r="D881" s="3" t="str">
        <f ca="1">VLOOKUP($C881,OFFSET([1]quests!$A$1,0,0,COUNTA([1]quests!$A:$A),MATCH(D$1,[1]quests!$1:$1,0)-MATCH($C$1,[1]quests!$1:$1,0)+1),MATCH(D$1,[1]quests!$1:$1,0)-MATCH($C$1,[1]quests!$1:$1,0)+1,FALSE)</f>
        <v>トリックスター</v>
      </c>
      <c r="E881" s="3" t="str">
        <f ca="1">VLOOKUP($C881,OFFSET([1]quests!$A$1,0,0,COUNTA([1]quests!$A:$A),MATCH(E$1,[1]quests!$1:$1,0)-MATCH($C$1,[1]quests!$1:$1,0)+1),MATCH(E$1,[1]quests!$1:$1,0)-MATCH($C$1,[1]quests!$1:$1,0)+1,FALSE)</f>
        <v>ドロップイベント1-2（マルチ専用）</v>
      </c>
      <c r="F881" s="5">
        <v>2</v>
      </c>
      <c r="G881" s="3" t="str">
        <f ca="1">VLOOKUP($C881&amp;"_"&amp;$F881,OFFSET([1]stages!$A$1,0,0,COUNTA([1]stages!$A:$A),MATCH(G$1,[1]stages!$2:$2,0)-MATCH("temp_stage",[1]stages!$2:$2,0)+1),MATCH(G$1,[1]stages!$2:$2,0)-MATCH("temp_stage",[1]stages!$2:$2,0)+1,FALSE)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1" s="3" t="str">
        <f ca="1">VLOOKUP($C881&amp;"_"&amp;$F881,OFFSET([1]stages!$A$1,0,0,COUNTA([1]stages!$A:$A),MATCH(H$1,[1]stages!$2:$2,0)-MATCH("temp_stage",[1]stages!$2:$2,0)+1),MATCH(H$1,[1]stages!$2:$2,0)-MATCH("temp_stage",[1]stages!$2:$2,0)+1,FALSE)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1" s="18">
        <v>0</v>
      </c>
      <c r="J881" s="5">
        <f>COUNTIF(C$1:C881,C881)</f>
        <v>22</v>
      </c>
      <c r="K881" s="34">
        <v>26</v>
      </c>
      <c r="L881" s="5" t="s">
        <v>17</v>
      </c>
      <c r="M881" s="38" t="str">
        <f>VLOOKUP(K881,[2]stage_hints!$A:$C,3,FALSE)</f>
        <v>スキルレベルの効果</v>
      </c>
      <c r="N881" s="39" t="str">
        <f>VLOOKUP(K881,[2]stage_hints!$A:$D,4,FALSE)</f>
        <v>スキルレベルが上がると
短いターンでスキルを使うことができます</v>
      </c>
      <c r="O881" s="20" t="s">
        <v>24</v>
      </c>
      <c r="P881">
        <v>26</v>
      </c>
    </row>
    <row r="882" spans="1:16" x14ac:dyDescent="0.15">
      <c r="A882" s="27" t="str">
        <f t="shared" si="77"/>
        <v>30002_2_23</v>
      </c>
      <c r="B882" s="25" t="s">
        <v>34</v>
      </c>
      <c r="C882" s="4">
        <v>30002</v>
      </c>
      <c r="D882" s="3" t="str">
        <f ca="1">VLOOKUP($C882,OFFSET([1]quests!$A$1,0,0,COUNTA([1]quests!$A:$A),MATCH(D$1,[1]quests!$1:$1,0)-MATCH($C$1,[1]quests!$1:$1,0)+1),MATCH(D$1,[1]quests!$1:$1,0)-MATCH($C$1,[1]quests!$1:$1,0)+1,FALSE)</f>
        <v>トリックスター</v>
      </c>
      <c r="E882" s="3" t="str">
        <f ca="1">VLOOKUP($C882,OFFSET([1]quests!$A$1,0,0,COUNTA([1]quests!$A:$A),MATCH(E$1,[1]quests!$1:$1,0)-MATCH($C$1,[1]quests!$1:$1,0)+1),MATCH(E$1,[1]quests!$1:$1,0)-MATCH($C$1,[1]quests!$1:$1,0)+1,FALSE)</f>
        <v>ドロップイベント1-2（マルチ専用）</v>
      </c>
      <c r="F882" s="5">
        <v>2</v>
      </c>
      <c r="G882" s="3" t="str">
        <f ca="1">VLOOKUP($C882&amp;"_"&amp;$F882,OFFSET([1]stages!$A$1,0,0,COUNTA([1]stages!$A:$A),MATCH(G$1,[1]stages!$2:$2,0)-MATCH("temp_stage",[1]stages!$2:$2,0)+1),MATCH(G$1,[1]stages!$2:$2,0)-MATCH("temp_stage",[1]stages!$2:$2,0)+1,FALSE)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2" s="3" t="str">
        <f ca="1">VLOOKUP($C882&amp;"_"&amp;$F882,OFFSET([1]stages!$A$1,0,0,COUNTA([1]stages!$A:$A),MATCH(H$1,[1]stages!$2:$2,0)-MATCH("temp_stage",[1]stages!$2:$2,0)+1),MATCH(H$1,[1]stages!$2:$2,0)-MATCH("temp_stage",[1]stages!$2:$2,0)+1,FALSE)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2" s="18">
        <v>0</v>
      </c>
      <c r="J882" s="5">
        <f>COUNTIF(C$1:C882,C882)</f>
        <v>23</v>
      </c>
      <c r="K882" s="34">
        <v>27</v>
      </c>
      <c r="L882" s="5" t="s">
        <v>17</v>
      </c>
      <c r="M882" s="38" t="str">
        <f>VLOOKUP(K882,[2]stage_hints!$A:$C,3,FALSE)</f>
        <v>ホーム画面からデッキを編成</v>
      </c>
      <c r="N882" s="39" t="str">
        <f>VLOOKUP(K882,[2]stage_hints!$A:$D,4,FALSE)</f>
        <v>ホーム画面でユニットを長押しすると
すぐにパーティ編成に移動できます</v>
      </c>
      <c r="O882" s="20" t="s">
        <v>24</v>
      </c>
      <c r="P882">
        <v>27</v>
      </c>
    </row>
    <row r="883" spans="1:16" x14ac:dyDescent="0.15">
      <c r="A883" s="27" t="str">
        <f t="shared" si="77"/>
        <v>30002_2_24</v>
      </c>
      <c r="B883" s="25" t="s">
        <v>34</v>
      </c>
      <c r="C883" s="4">
        <v>30002</v>
      </c>
      <c r="D883" s="3" t="str">
        <f ca="1">VLOOKUP($C883,OFFSET([1]quests!$A$1,0,0,COUNTA([1]quests!$A:$A),MATCH(D$1,[1]quests!$1:$1,0)-MATCH($C$1,[1]quests!$1:$1,0)+1),MATCH(D$1,[1]quests!$1:$1,0)-MATCH($C$1,[1]quests!$1:$1,0)+1,FALSE)</f>
        <v>トリックスター</v>
      </c>
      <c r="E883" s="3" t="str">
        <f ca="1">VLOOKUP($C883,OFFSET([1]quests!$A$1,0,0,COUNTA([1]quests!$A:$A),MATCH(E$1,[1]quests!$1:$1,0)-MATCH($C$1,[1]quests!$1:$1,0)+1),MATCH(E$1,[1]quests!$1:$1,0)-MATCH($C$1,[1]quests!$1:$1,0)+1,FALSE)</f>
        <v>ドロップイベント1-2（マルチ専用）</v>
      </c>
      <c r="F883" s="5">
        <v>2</v>
      </c>
      <c r="G883" s="3" t="str">
        <f ca="1">VLOOKUP($C883&amp;"_"&amp;$F883,OFFSET([1]stages!$A$1,0,0,COUNTA([1]stages!$A:$A),MATCH(G$1,[1]stages!$2:$2,0)-MATCH("temp_stage",[1]stages!$2:$2,0)+1),MATCH(G$1,[1]stages!$2:$2,0)-MATCH("temp_stage",[1]stages!$2:$2,0)+1,FALSE)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3" s="3" t="str">
        <f ca="1">VLOOKUP($C883&amp;"_"&amp;$F883,OFFSET([1]stages!$A$1,0,0,COUNTA([1]stages!$A:$A),MATCH(H$1,[1]stages!$2:$2,0)-MATCH("temp_stage",[1]stages!$2:$2,0)+1),MATCH(H$1,[1]stages!$2:$2,0)-MATCH("temp_stage",[1]stages!$2:$2,0)+1,FALSE)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3" s="18">
        <v>0</v>
      </c>
      <c r="J883" s="5">
        <f>COUNTIF(C$1:C883,C883)</f>
        <v>24</v>
      </c>
      <c r="K883" s="34">
        <v>28</v>
      </c>
      <c r="L883" s="5" t="s">
        <v>17</v>
      </c>
      <c r="M883" s="38" t="str">
        <f>VLOOKUP(K883,[2]stage_hints!$A:$C,3,FALSE)</f>
        <v>ステータス情報は長押しで</v>
      </c>
      <c r="N883" s="39" t="str">
        <f>VLOOKUP(K883,[2]stage_hints!$A:$D,4,FALSE)</f>
        <v>ユニットのアイコンを長押しすると
ステータス情報を確認することができます</v>
      </c>
      <c r="O883" s="20" t="s">
        <v>24</v>
      </c>
      <c r="P883">
        <v>28</v>
      </c>
    </row>
    <row r="884" spans="1:16" x14ac:dyDescent="0.15">
      <c r="A884" s="27" t="str">
        <f t="shared" si="77"/>
        <v>30002_2_25</v>
      </c>
      <c r="B884" s="25" t="s">
        <v>34</v>
      </c>
      <c r="C884" s="4">
        <v>30002</v>
      </c>
      <c r="D884" s="3" t="str">
        <f ca="1">VLOOKUP($C884,OFFSET([1]quests!$A$1,0,0,COUNTA([1]quests!$A:$A),MATCH(D$1,[1]quests!$1:$1,0)-MATCH($C$1,[1]quests!$1:$1,0)+1),MATCH(D$1,[1]quests!$1:$1,0)-MATCH($C$1,[1]quests!$1:$1,0)+1,FALSE)</f>
        <v>トリックスター</v>
      </c>
      <c r="E884" s="3" t="str">
        <f ca="1">VLOOKUP($C884,OFFSET([1]quests!$A$1,0,0,COUNTA([1]quests!$A:$A),MATCH(E$1,[1]quests!$1:$1,0)-MATCH($C$1,[1]quests!$1:$1,0)+1),MATCH(E$1,[1]quests!$1:$1,0)-MATCH($C$1,[1]quests!$1:$1,0)+1,FALSE)</f>
        <v>ドロップイベント1-2（マルチ専用）</v>
      </c>
      <c r="F884" s="5">
        <v>2</v>
      </c>
      <c r="G884" s="3" t="str">
        <f ca="1">VLOOKUP($C884&amp;"_"&amp;$F884,OFFSET([1]stages!$A$1,0,0,COUNTA([1]stages!$A:$A),MATCH(G$1,[1]stages!$2:$2,0)-MATCH("temp_stage",[1]stages!$2:$2,0)+1),MATCH(G$1,[1]stages!$2:$2,0)-MATCH("temp_stage",[1]stages!$2:$2,0)+1,FALSE)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4" s="3" t="str">
        <f ca="1">VLOOKUP($C884&amp;"_"&amp;$F884,OFFSET([1]stages!$A$1,0,0,COUNTA([1]stages!$A:$A),MATCH(H$1,[1]stages!$2:$2,0)-MATCH("temp_stage",[1]stages!$2:$2,0)+1),MATCH(H$1,[1]stages!$2:$2,0)-MATCH("temp_stage",[1]stages!$2:$2,0)+1,FALSE)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4" s="18">
        <v>0</v>
      </c>
      <c r="J884" s="5">
        <f>COUNTIF(C$1:C884,C884)</f>
        <v>25</v>
      </c>
      <c r="K884" s="34">
        <v>29</v>
      </c>
      <c r="L884" s="5" t="s">
        <v>17</v>
      </c>
      <c r="M884" s="38" t="str">
        <f>VLOOKUP(K884,[2]stage_hints!$A:$C,3,FALSE)</f>
        <v>「バグ」のメリット</v>
      </c>
      <c r="N884" s="39" t="str">
        <f>VLOOKUP(K884,[2]stage_hints!$A:$D,4,FALSE)</f>
        <v>ユニットの「バグ」を増やすと
報酬をもらえる確率がアップします</v>
      </c>
      <c r="O884" s="20" t="s">
        <v>24</v>
      </c>
      <c r="P884">
        <v>29</v>
      </c>
    </row>
    <row r="885" spans="1:16" x14ac:dyDescent="0.15">
      <c r="A885" s="27" t="str">
        <f t="shared" si="77"/>
        <v>30002_2_26</v>
      </c>
      <c r="B885" s="25" t="s">
        <v>34</v>
      </c>
      <c r="C885" s="4">
        <v>30002</v>
      </c>
      <c r="D885" s="3" t="str">
        <f ca="1">VLOOKUP($C885,OFFSET([1]quests!$A$1,0,0,COUNTA([1]quests!$A:$A),MATCH(D$1,[1]quests!$1:$1,0)-MATCH($C$1,[1]quests!$1:$1,0)+1),MATCH(D$1,[1]quests!$1:$1,0)-MATCH($C$1,[1]quests!$1:$1,0)+1,FALSE)</f>
        <v>トリックスター</v>
      </c>
      <c r="E885" s="3" t="str">
        <f ca="1">VLOOKUP($C885,OFFSET([1]quests!$A$1,0,0,COUNTA([1]quests!$A:$A),MATCH(E$1,[1]quests!$1:$1,0)-MATCH($C$1,[1]quests!$1:$1,0)+1),MATCH(E$1,[1]quests!$1:$1,0)-MATCH($C$1,[1]quests!$1:$1,0)+1,FALSE)</f>
        <v>ドロップイベント1-2（マルチ専用）</v>
      </c>
      <c r="F885" s="5">
        <v>2</v>
      </c>
      <c r="G885" s="3" t="str">
        <f ca="1">VLOOKUP($C885&amp;"_"&amp;$F885,OFFSET([1]stages!$A$1,0,0,COUNTA([1]stages!$A:$A),MATCH(G$1,[1]stages!$2:$2,0)-MATCH("temp_stage",[1]stages!$2:$2,0)+1),MATCH(G$1,[1]stages!$2:$2,0)-MATCH("temp_stage",[1]stages!$2:$2,0)+1,FALSE)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5" s="3" t="str">
        <f ca="1">VLOOKUP($C885&amp;"_"&amp;$F885,OFFSET([1]stages!$A$1,0,0,COUNTA([1]stages!$A:$A),MATCH(H$1,[1]stages!$2:$2,0)-MATCH("temp_stage",[1]stages!$2:$2,0)+1),MATCH(H$1,[1]stages!$2:$2,0)-MATCH("temp_stage",[1]stages!$2:$2,0)+1,FALSE)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5" s="18">
        <v>0</v>
      </c>
      <c r="J885" s="5">
        <f>COUNTIF(C$1:C885,C885)</f>
        <v>26</v>
      </c>
      <c r="K885" s="34">
        <v>30</v>
      </c>
      <c r="L885" s="5" t="s">
        <v>17</v>
      </c>
      <c r="M885" s="38" t="str">
        <f>VLOOKUP(K885,[2]stage_hints!$A:$C,3,FALSE)</f>
        <v>「バグ」の増やし方</v>
      </c>
      <c r="N885" s="39" t="str">
        <f>VLOOKUP(K885,[2]stage_hints!$A:$D,4,FALSE)</f>
        <v>同じユニット同士を強化で合成すると
「バグ」を増やすことができます</v>
      </c>
      <c r="O885" s="20" t="s">
        <v>24</v>
      </c>
      <c r="P885">
        <v>30</v>
      </c>
    </row>
    <row r="886" spans="1:16" x14ac:dyDescent="0.15">
      <c r="A886" s="27" t="str">
        <f t="shared" si="77"/>
        <v>30002_2_27</v>
      </c>
      <c r="B886" s="25" t="s">
        <v>34</v>
      </c>
      <c r="C886" s="4">
        <v>30002</v>
      </c>
      <c r="D886" s="3" t="str">
        <f ca="1">VLOOKUP($C886,OFFSET([1]quests!$A$1,0,0,COUNTA([1]quests!$A:$A),MATCH(D$1,[1]quests!$1:$1,0)-MATCH($C$1,[1]quests!$1:$1,0)+1),MATCH(D$1,[1]quests!$1:$1,0)-MATCH($C$1,[1]quests!$1:$1,0)+1,FALSE)</f>
        <v>トリックスター</v>
      </c>
      <c r="E886" s="3" t="str">
        <f ca="1">VLOOKUP($C886,OFFSET([1]quests!$A$1,0,0,COUNTA([1]quests!$A:$A),MATCH(E$1,[1]quests!$1:$1,0)-MATCH($C$1,[1]quests!$1:$1,0)+1),MATCH(E$1,[1]quests!$1:$1,0)-MATCH($C$1,[1]quests!$1:$1,0)+1,FALSE)</f>
        <v>ドロップイベント1-2（マルチ専用）</v>
      </c>
      <c r="F886" s="5">
        <v>2</v>
      </c>
      <c r="G886" s="3" t="str">
        <f ca="1">VLOOKUP($C886&amp;"_"&amp;$F886,OFFSET([1]stages!$A$1,0,0,COUNTA([1]stages!$A:$A),MATCH(G$1,[1]stages!$2:$2,0)-MATCH("temp_stage",[1]stages!$2:$2,0)+1),MATCH(G$1,[1]stages!$2:$2,0)-MATCH("temp_stage",[1]stages!$2:$2,0)+1,FALSE)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6" s="3" t="str">
        <f ca="1">VLOOKUP($C886&amp;"_"&amp;$F886,OFFSET([1]stages!$A$1,0,0,COUNTA([1]stages!$A:$A),MATCH(H$1,[1]stages!$2:$2,0)-MATCH("temp_stage",[1]stages!$2:$2,0)+1),MATCH(H$1,[1]stages!$2:$2,0)-MATCH("temp_stage",[1]stages!$2:$2,0)+1,FALSE)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6" s="18">
        <v>0</v>
      </c>
      <c r="J886" s="5">
        <f>COUNTIF(C$1:C886,C886)</f>
        <v>27</v>
      </c>
      <c r="K886" s="34">
        <v>31</v>
      </c>
      <c r="L886" s="5" t="s">
        <v>17</v>
      </c>
      <c r="M886" s="38" t="str">
        <f>VLOOKUP(K886,[2]stage_hints!$A:$C,3,FALSE)</f>
        <v>イベントはお知らせでチェック</v>
      </c>
      <c r="N886" s="39" t="str">
        <f>VLOOKUP(K886,[2]stage_hints!$A:$D,4,FALSE)</f>
        <v>イベント限定ユニットを取り忘れないように
お知らせをこまめにチェックしましょう</v>
      </c>
      <c r="O886" s="20" t="s">
        <v>24</v>
      </c>
      <c r="P886">
        <v>31</v>
      </c>
    </row>
    <row r="887" spans="1:16" x14ac:dyDescent="0.15">
      <c r="A887" s="27" t="str">
        <f t="shared" si="77"/>
        <v>30002_2_28</v>
      </c>
      <c r="B887" s="25" t="s">
        <v>34</v>
      </c>
      <c r="C887" s="4">
        <v>30002</v>
      </c>
      <c r="D887" s="3" t="str">
        <f ca="1">VLOOKUP($C887,OFFSET([1]quests!$A$1,0,0,COUNTA([1]quests!$A:$A),MATCH(D$1,[1]quests!$1:$1,0)-MATCH($C$1,[1]quests!$1:$1,0)+1),MATCH(D$1,[1]quests!$1:$1,0)-MATCH($C$1,[1]quests!$1:$1,0)+1,FALSE)</f>
        <v>トリックスター</v>
      </c>
      <c r="E887" s="3" t="str">
        <f ca="1">VLOOKUP($C887,OFFSET([1]quests!$A$1,0,0,COUNTA([1]quests!$A:$A),MATCH(E$1,[1]quests!$1:$1,0)-MATCH($C$1,[1]quests!$1:$1,0)+1),MATCH(E$1,[1]quests!$1:$1,0)-MATCH($C$1,[1]quests!$1:$1,0)+1,FALSE)</f>
        <v>ドロップイベント1-2（マルチ専用）</v>
      </c>
      <c r="F887" s="5">
        <v>2</v>
      </c>
      <c r="G887" s="3" t="str">
        <f ca="1">VLOOKUP($C887&amp;"_"&amp;$F887,OFFSET([1]stages!$A$1,0,0,COUNTA([1]stages!$A:$A),MATCH(G$1,[1]stages!$2:$2,0)-MATCH("temp_stage",[1]stages!$2:$2,0)+1),MATCH(G$1,[1]stages!$2:$2,0)-MATCH("temp_stage",[1]stages!$2:$2,0)+1,FALSE)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7" s="3" t="str">
        <f ca="1">VLOOKUP($C887&amp;"_"&amp;$F887,OFFSET([1]stages!$A$1,0,0,COUNTA([1]stages!$A:$A),MATCH(H$1,[1]stages!$2:$2,0)-MATCH("temp_stage",[1]stages!$2:$2,0)+1),MATCH(H$1,[1]stages!$2:$2,0)-MATCH("temp_stage",[1]stages!$2:$2,0)+1,FALSE)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7" s="18">
        <v>0</v>
      </c>
      <c r="J887" s="5">
        <f>COUNTIF(C$1:C887,C887)</f>
        <v>28</v>
      </c>
      <c r="K887" s="34">
        <v>32</v>
      </c>
      <c r="L887" s="5" t="s">
        <v>17</v>
      </c>
      <c r="M887" s="38" t="str">
        <f>VLOOKUP(K887,[2]stage_hints!$A:$C,3,FALSE)</f>
        <v>敵の連続攻撃には</v>
      </c>
      <c r="N887" s="39" t="str">
        <f>VLOOKUP(K887,[2]stage_hints!$A:$D,4,FALSE)</f>
        <v>カウンタースキルを持つユニットがいれば
ダメージ回数分の反撃ができます</v>
      </c>
      <c r="O887" s="20" t="s">
        <v>24</v>
      </c>
      <c r="P887">
        <v>32</v>
      </c>
    </row>
    <row r="888" spans="1:16" x14ac:dyDescent="0.15">
      <c r="A888" s="27" t="str">
        <f t="shared" si="77"/>
        <v>30002_2_29</v>
      </c>
      <c r="B888" s="25" t="s">
        <v>34</v>
      </c>
      <c r="C888" s="4">
        <v>30002</v>
      </c>
      <c r="D888" s="3" t="str">
        <f ca="1">VLOOKUP($C888,OFFSET([1]quests!$A$1,0,0,COUNTA([1]quests!$A:$A),MATCH(D$1,[1]quests!$1:$1,0)-MATCH($C$1,[1]quests!$1:$1,0)+1),MATCH(D$1,[1]quests!$1:$1,0)-MATCH($C$1,[1]quests!$1:$1,0)+1,FALSE)</f>
        <v>トリックスター</v>
      </c>
      <c r="E888" s="3" t="str">
        <f ca="1">VLOOKUP($C888,OFFSET([1]quests!$A$1,0,0,COUNTA([1]quests!$A:$A),MATCH(E$1,[1]quests!$1:$1,0)-MATCH($C$1,[1]quests!$1:$1,0)+1),MATCH(E$1,[1]quests!$1:$1,0)-MATCH($C$1,[1]quests!$1:$1,0)+1,FALSE)</f>
        <v>ドロップイベント1-2（マルチ専用）</v>
      </c>
      <c r="F888" s="5">
        <v>2</v>
      </c>
      <c r="G888" s="3" t="str">
        <f ca="1">VLOOKUP($C888&amp;"_"&amp;$F888,OFFSET([1]stages!$A$1,0,0,COUNTA([1]stages!$A:$A),MATCH(G$1,[1]stages!$2:$2,0)-MATCH("temp_stage",[1]stages!$2:$2,0)+1),MATCH(G$1,[1]stages!$2:$2,0)-MATCH("temp_stage",[1]stages!$2:$2,0)+1,FALSE)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8" s="3" t="str">
        <f ca="1">VLOOKUP($C888&amp;"_"&amp;$F888,OFFSET([1]stages!$A$1,0,0,COUNTA([1]stages!$A:$A),MATCH(H$1,[1]stages!$2:$2,0)-MATCH("temp_stage",[1]stages!$2:$2,0)+1),MATCH(H$1,[1]stages!$2:$2,0)-MATCH("temp_stage",[1]stages!$2:$2,0)+1,FALSE)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8" s="18">
        <v>0</v>
      </c>
      <c r="J888" s="5">
        <f>COUNTIF(C$1:C888,C888)</f>
        <v>29</v>
      </c>
      <c r="K888" s="34">
        <v>33</v>
      </c>
      <c r="L888" s="5" t="s">
        <v>17</v>
      </c>
      <c r="M888" s="38" t="str">
        <f>VLOOKUP(K888,[2]stage_hints!$A:$C,3,FALSE)</f>
        <v>敵のカウンター攻撃には</v>
      </c>
      <c r="N888" s="39" t="str">
        <f>VLOOKUP(K888,[2]stage_hints!$A:$D,4,FALSE)</f>
        <v>カウンターブレイクスキルを持っていれば
敵のカウンターを解除して攻撃ができます</v>
      </c>
      <c r="O888" s="20" t="s">
        <v>24</v>
      </c>
      <c r="P888">
        <v>33</v>
      </c>
    </row>
    <row r="889" spans="1:16" x14ac:dyDescent="0.15">
      <c r="A889" s="27" t="str">
        <f t="shared" si="77"/>
        <v>30002_2_30</v>
      </c>
      <c r="B889" s="25" t="s">
        <v>34</v>
      </c>
      <c r="C889" s="4">
        <v>30002</v>
      </c>
      <c r="D889" s="3" t="str">
        <f ca="1">VLOOKUP($C889,OFFSET([1]quests!$A$1,0,0,COUNTA([1]quests!$A:$A),MATCH(D$1,[1]quests!$1:$1,0)-MATCH($C$1,[1]quests!$1:$1,0)+1),MATCH(D$1,[1]quests!$1:$1,0)-MATCH($C$1,[1]quests!$1:$1,0)+1,FALSE)</f>
        <v>トリックスター</v>
      </c>
      <c r="E889" s="3" t="str">
        <f ca="1">VLOOKUP($C889,OFFSET([1]quests!$A$1,0,0,COUNTA([1]quests!$A:$A),MATCH(E$1,[1]quests!$1:$1,0)-MATCH($C$1,[1]quests!$1:$1,0)+1),MATCH(E$1,[1]quests!$1:$1,0)-MATCH($C$1,[1]quests!$1:$1,0)+1,FALSE)</f>
        <v>ドロップイベント1-2（マルチ専用）</v>
      </c>
      <c r="F889" s="5">
        <v>2</v>
      </c>
      <c r="G889" s="3" t="str">
        <f ca="1">VLOOKUP($C889&amp;"_"&amp;$F889,OFFSET([1]stages!$A$1,0,0,COUNTA([1]stages!$A:$A),MATCH(G$1,[1]stages!$2:$2,0)-MATCH("temp_stage",[1]stages!$2:$2,0)+1),MATCH(G$1,[1]stages!$2:$2,0)-MATCH("temp_stage",[1]stages!$2:$2,0)+1,FALSE)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89" s="3" t="str">
        <f ca="1">VLOOKUP($C889&amp;"_"&amp;$F889,OFFSET([1]stages!$A$1,0,0,COUNTA([1]stages!$A:$A),MATCH(H$1,[1]stages!$2:$2,0)-MATCH("temp_stage",[1]stages!$2:$2,0)+1),MATCH(H$1,[1]stages!$2:$2,0)-MATCH("temp_stage",[1]stages!$2:$2,0)+1,FALSE)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89" s="18">
        <v>0</v>
      </c>
      <c r="J889" s="5">
        <f>COUNTIF(C$1:C889,C889)</f>
        <v>30</v>
      </c>
      <c r="K889" s="34">
        <v>34</v>
      </c>
      <c r="L889" s="5" t="s">
        <v>17</v>
      </c>
      <c r="M889" s="38" t="str">
        <f>VLOOKUP(K889,[2]stage_hints!$A:$C,3,FALSE)</f>
        <v>ステータスをスキルで下げられたら</v>
      </c>
      <c r="N889" s="39" t="str">
        <f>VLOOKUP(K889,[2]stage_hints!$A:$D,4,FALSE)</f>
        <v>ステータスダウンのスキルを受けたら
ステータスアップスキルで上書きしましょう</v>
      </c>
      <c r="O889" s="20" t="s">
        <v>24</v>
      </c>
      <c r="P889">
        <v>34</v>
      </c>
    </row>
    <row r="890" spans="1:16" x14ac:dyDescent="0.15">
      <c r="A890" s="27" t="str">
        <f t="shared" si="77"/>
        <v>30002_2_31</v>
      </c>
      <c r="B890" s="25" t="s">
        <v>34</v>
      </c>
      <c r="C890" s="4">
        <v>30002</v>
      </c>
      <c r="D890" s="3" t="str">
        <f ca="1">VLOOKUP($C890,OFFSET([1]quests!$A$1,0,0,COUNTA([1]quests!$A:$A),MATCH(D$1,[1]quests!$1:$1,0)-MATCH($C$1,[1]quests!$1:$1,0)+1),MATCH(D$1,[1]quests!$1:$1,0)-MATCH($C$1,[1]quests!$1:$1,0)+1,FALSE)</f>
        <v>トリックスター</v>
      </c>
      <c r="E890" s="3" t="str">
        <f ca="1">VLOOKUP($C890,OFFSET([1]quests!$A$1,0,0,COUNTA([1]quests!$A:$A),MATCH(E$1,[1]quests!$1:$1,0)-MATCH($C$1,[1]quests!$1:$1,0)+1),MATCH(E$1,[1]quests!$1:$1,0)-MATCH($C$1,[1]quests!$1:$1,0)+1,FALSE)</f>
        <v>ドロップイベント1-2（マルチ専用）</v>
      </c>
      <c r="F890" s="5">
        <v>2</v>
      </c>
      <c r="G890" s="3" t="str">
        <f ca="1">VLOOKUP($C890&amp;"_"&amp;$F890,OFFSET([1]stages!$A$1,0,0,COUNTA([1]stages!$A:$A),MATCH(G$1,[1]stages!$2:$2,0)-MATCH("temp_stage",[1]stages!$2:$2,0)+1),MATCH(G$1,[1]stages!$2:$2,0)-MATCH("temp_stage",[1]stages!$2:$2,0)+1,FALSE)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90" s="3" t="str">
        <f ca="1">VLOOKUP($C890&amp;"_"&amp;$F890,OFFSET([1]stages!$A$1,0,0,COUNTA([1]stages!$A:$A),MATCH(H$1,[1]stages!$2:$2,0)-MATCH("temp_stage",[1]stages!$2:$2,0)+1),MATCH(H$1,[1]stages!$2:$2,0)-MATCH("temp_stage",[1]stages!$2:$2,0)+1,FALSE)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90" s="18">
        <v>0</v>
      </c>
      <c r="J890" s="5">
        <f>COUNTIF(C$1:C890,C890)</f>
        <v>31</v>
      </c>
      <c r="K890" s="34">
        <v>35</v>
      </c>
      <c r="L890" s="5" t="s">
        <v>17</v>
      </c>
      <c r="M890" s="38" t="str">
        <f>VLOOKUP(K890,[2]stage_hints!$A:$C,3,FALSE)</f>
        <v>敵のステータスがスキルで上がったら</v>
      </c>
      <c r="N890" s="39" t="str">
        <f>VLOOKUP(K890,[2]stage_hints!$A:$D,4,FALSE)</f>
        <v>敵のステータスがスキルでアップしたときは
ステータスダウンスキルで上書きしましょう</v>
      </c>
      <c r="O890" s="20" t="s">
        <v>24</v>
      </c>
      <c r="P890">
        <v>35</v>
      </c>
    </row>
    <row r="891" spans="1:16" x14ac:dyDescent="0.15">
      <c r="A891" s="27" t="str">
        <f t="shared" si="77"/>
        <v>30002_2_32</v>
      </c>
      <c r="B891" s="25" t="s">
        <v>34</v>
      </c>
      <c r="C891" s="4">
        <v>30002</v>
      </c>
      <c r="D891" s="3" t="str">
        <f ca="1">VLOOKUP($C891,OFFSET([1]quests!$A$1,0,0,COUNTA([1]quests!$A:$A),MATCH(D$1,[1]quests!$1:$1,0)-MATCH($C$1,[1]quests!$1:$1,0)+1),MATCH(D$1,[1]quests!$1:$1,0)-MATCH($C$1,[1]quests!$1:$1,0)+1,FALSE)</f>
        <v>トリックスター</v>
      </c>
      <c r="E891" s="3" t="str">
        <f ca="1">VLOOKUP($C891,OFFSET([1]quests!$A$1,0,0,COUNTA([1]quests!$A:$A),MATCH(E$1,[1]quests!$1:$1,0)-MATCH($C$1,[1]quests!$1:$1,0)+1),MATCH(E$1,[1]quests!$1:$1,0)-MATCH($C$1,[1]quests!$1:$1,0)+1,FALSE)</f>
        <v>ドロップイベント1-2（マルチ専用）</v>
      </c>
      <c r="F891" s="5">
        <v>2</v>
      </c>
      <c r="G891" s="3" t="str">
        <f ca="1">VLOOKUP($C891&amp;"_"&amp;$F891,OFFSET([1]stages!$A$1,0,0,COUNTA([1]stages!$A:$A),MATCH(G$1,[1]stages!$2:$2,0)-MATCH("temp_stage",[1]stages!$2:$2,0)+1),MATCH(G$1,[1]stages!$2:$2,0)-MATCH("temp_stage",[1]stages!$2:$2,0)+1,FALSE)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91" s="3" t="str">
        <f ca="1">VLOOKUP($C891&amp;"_"&amp;$F891,OFFSET([1]stages!$A$1,0,0,COUNTA([1]stages!$A:$A),MATCH(H$1,[1]stages!$2:$2,0)-MATCH("temp_stage",[1]stages!$2:$2,0)+1),MATCH(H$1,[1]stages!$2:$2,0)-MATCH("temp_stage",[1]stages!$2:$2,0)+1,FALSE)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91" s="18">
        <v>0</v>
      </c>
      <c r="J891" s="5">
        <f>COUNTIF(C$1:C891,C891)</f>
        <v>32</v>
      </c>
      <c r="K891" s="34">
        <v>36</v>
      </c>
      <c r="L891" s="5" t="s">
        <v>17</v>
      </c>
      <c r="M891" s="38" t="str">
        <f>VLOOKUP(K891,[2]stage_hints!$A:$C,3,FALSE)</f>
        <v>チャレンジタワーのボス</v>
      </c>
      <c r="N891" s="39" t="str">
        <f>VLOOKUP(K891,[2]stage_hints!$A:$D,4,FALSE)</f>
        <v>チャレンジタワーでのみ登場するボスは
一定確率で獲得することができます</v>
      </c>
      <c r="O891" s="20" t="s">
        <v>24</v>
      </c>
      <c r="P891">
        <v>36</v>
      </c>
    </row>
    <row r="892" spans="1:16" x14ac:dyDescent="0.15">
      <c r="A892" s="27" t="str">
        <f t="shared" si="77"/>
        <v>30002_2_33</v>
      </c>
      <c r="B892" s="25" t="s">
        <v>34</v>
      </c>
      <c r="C892" s="4">
        <v>30002</v>
      </c>
      <c r="D892" s="3" t="str">
        <f ca="1">VLOOKUP($C892,OFFSET([1]quests!$A$1,0,0,COUNTA([1]quests!$A:$A),MATCH(D$1,[1]quests!$1:$1,0)-MATCH($C$1,[1]quests!$1:$1,0)+1),MATCH(D$1,[1]quests!$1:$1,0)-MATCH($C$1,[1]quests!$1:$1,0)+1,FALSE)</f>
        <v>トリックスター</v>
      </c>
      <c r="E892" s="3" t="str">
        <f ca="1">VLOOKUP($C892,OFFSET([1]quests!$A$1,0,0,COUNTA([1]quests!$A:$A),MATCH(E$1,[1]quests!$1:$1,0)-MATCH($C$1,[1]quests!$1:$1,0)+1),MATCH(E$1,[1]quests!$1:$1,0)-MATCH($C$1,[1]quests!$1:$1,0)+1,FALSE)</f>
        <v>ドロップイベント1-2（マルチ専用）</v>
      </c>
      <c r="F892" s="5">
        <v>2</v>
      </c>
      <c r="G892" s="3" t="str">
        <f ca="1">VLOOKUP($C892&amp;"_"&amp;$F892,OFFSET([1]stages!$A$1,0,0,COUNTA([1]stages!$A:$A),MATCH(G$1,[1]stages!$2:$2,0)-MATCH("temp_stage",[1]stages!$2:$2,0)+1),MATCH(G$1,[1]stages!$2:$2,0)-MATCH("temp_stage",[1]stages!$2:$2,0)+1,FALSE)</f>
        <v xml:space="preserve">【上級】トリックスター </v>
      </c>
      <c r="H892" s="3" t="str">
        <f ca="1">VLOOKUP($C892&amp;"_"&amp;$F892,OFFSET([1]stages!$A$1,0,0,COUNTA([1]stages!$A:$A),MATCH(H$1,[1]stages!$2:$2,0)-MATCH("temp_stage",[1]stages!$2:$2,0)+1),MATCH(H$1,[1]stages!$2:$2,0)-MATCH("temp_stage",[1]stages!$2:$2,0)+1,FALSE)</f>
        <v>ドロップイベント1-2（マルチ専用）</v>
      </c>
      <c r="I892" s="18">
        <v>0</v>
      </c>
      <c r="J892" s="5">
        <f>COUNTIF(C$1:C892,C892)</f>
        <v>33</v>
      </c>
      <c r="K892" s="34">
        <v>37</v>
      </c>
      <c r="L892" s="5" t="s">
        <v>17</v>
      </c>
      <c r="M892" s="38" t="str">
        <f>VLOOKUP(K892,[2]stage_hints!$A:$C,3,FALSE)</f>
        <v>限界突破値の引き継ぎ</v>
      </c>
      <c r="N892" s="39" t="str">
        <f>VLOOKUP(K892,[2]stage_hints!$A:$D,4,FALSE)</f>
        <v>同じユニットを強化で合成すると
限界突破値を引き継げます（覚醒前後も可）</v>
      </c>
      <c r="O892" s="20" t="s">
        <v>24</v>
      </c>
      <c r="P892">
        <v>37</v>
      </c>
    </row>
    <row r="893" spans="1:16" x14ac:dyDescent="0.15">
      <c r="A893" s="27" t="str">
        <f t="shared" si="77"/>
        <v>30003_2_1</v>
      </c>
      <c r="B893" s="25" t="s">
        <v>34</v>
      </c>
      <c r="C893" s="4">
        <v>30003</v>
      </c>
      <c r="D893" s="3" t="str">
        <f ca="1">VLOOKUP($C893,OFFSET([1]quests!$A$1,0,0,COUNTA([1]quests!$A:$A),MATCH(D$1,[1]quests!$1:$1,0)-MATCH($C$1,[1]quests!$1:$1,0)+1),MATCH(D$1,[1]quests!$1:$1,0)-MATCH($C$1,[1]quests!$1:$1,0)+1,FALSE)</f>
        <v>打ち下ろされる砕棒</v>
      </c>
      <c r="E893" s="3" t="str">
        <f ca="1">VLOOKUP($C893,OFFSET([1]quests!$A$1,0,0,COUNTA([1]quests!$A:$A),MATCH(E$1,[1]quests!$1:$1,0)-MATCH($C$1,[1]quests!$1:$1,0)+1),MATCH(E$1,[1]quests!$1:$1,0)-MATCH($C$1,[1]quests!$1:$1,0)+1,FALSE)</f>
        <v>ドロップイベント1-3（マルチ専用）</v>
      </c>
      <c r="F893" s="5">
        <v>2</v>
      </c>
      <c r="G893" s="3" t="str">
        <f ca="1">VLOOKUP($C893&amp;"_"&amp;$F893,OFFSET([1]stages!$A$1,0,0,COUNTA([1]stages!$A:$A),MATCH(G$1,[1]stages!$2:$2,0)-MATCH("temp_stage",[1]stages!$2:$2,0)+1),MATCH(G$1,[1]stages!$2:$2,0)-MATCH("temp_stage",[1]stages!$2:$2,0)+1,FALSE)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893" s="3" t="str">
        <f ca="1">VLOOKUP($C893&amp;"_"&amp;$F893,OFFSET([1]stages!$A$1,0,0,COUNTA([1]stages!$A:$A),MATCH(H$1,[1]stages!$2:$2,0)-MATCH("temp_stage",[1]stages!$2:$2,0)+1),MATCH(H$1,[1]stages!$2:$2,0)-MATCH("temp_stage",[1]stages!$2:$2,0)+1,FALSE)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893" s="18">
        <v>0</v>
      </c>
      <c r="J893" s="5">
        <f>COUNTIF(C$1:C893,C893)</f>
        <v>1</v>
      </c>
      <c r="K893" s="34">
        <v>3</v>
      </c>
      <c r="L893" s="5" t="s">
        <v>17</v>
      </c>
      <c r="M893" s="38" t="str">
        <f>VLOOKUP(K893,[2]stage_hints!$A:$C,3,FALSE)</f>
        <v>ターゲット</v>
      </c>
      <c r="N893" s="39" t="str">
        <f>VLOOKUP(K893,[2]stage_hints!$A:$D,4,FALSE)</f>
        <v>敵ユニットをタップすると
その敵を狙い撃ちできます</v>
      </c>
      <c r="O893" s="20" t="s">
        <v>24</v>
      </c>
      <c r="P893">
        <v>3</v>
      </c>
    </row>
    <row r="894" spans="1:16" x14ac:dyDescent="0.15">
      <c r="A894" s="27" t="str">
        <f t="shared" si="77"/>
        <v>30003_2_2</v>
      </c>
      <c r="B894" s="25" t="s">
        <v>34</v>
      </c>
      <c r="C894" s="4">
        <v>30003</v>
      </c>
      <c r="D894" s="3" t="str">
        <f ca="1">VLOOKUP($C894,OFFSET([1]quests!$A$1,0,0,COUNTA([1]quests!$A:$A),MATCH(D$1,[1]quests!$1:$1,0)-MATCH($C$1,[1]quests!$1:$1,0)+1),MATCH(D$1,[1]quests!$1:$1,0)-MATCH($C$1,[1]quests!$1:$1,0)+1,FALSE)</f>
        <v>打ち下ろされる砕棒</v>
      </c>
      <c r="E894" s="3" t="str">
        <f ca="1">VLOOKUP($C894,OFFSET([1]quests!$A$1,0,0,COUNTA([1]quests!$A:$A),MATCH(E$1,[1]quests!$1:$1,0)-MATCH($C$1,[1]quests!$1:$1,0)+1),MATCH(E$1,[1]quests!$1:$1,0)-MATCH($C$1,[1]quests!$1:$1,0)+1,FALSE)</f>
        <v>ドロップイベント1-3（マルチ専用）</v>
      </c>
      <c r="F894" s="5">
        <v>2</v>
      </c>
      <c r="G894" s="3" t="str">
        <f ca="1">VLOOKUP($C894&amp;"_"&amp;$F894,OFFSET([1]stages!$A$1,0,0,COUNTA([1]stages!$A:$A),MATCH(G$1,[1]stages!$2:$2,0)-MATCH("temp_stage",[1]stages!$2:$2,0)+1),MATCH(G$1,[1]stages!$2:$2,0)-MATCH("temp_stage",[1]stages!$2:$2,0)+1,FALSE)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894" s="3" t="str">
        <f ca="1">VLOOKUP($C894&amp;"_"&amp;$F894,OFFSET([1]stages!$A$1,0,0,COUNTA([1]stages!$A:$A),MATCH(H$1,[1]stages!$2:$2,0)-MATCH("temp_stage",[1]stages!$2:$2,0)+1),MATCH(H$1,[1]stages!$2:$2,0)-MATCH("temp_stage",[1]stages!$2:$2,0)+1,FALSE)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894" s="18">
        <v>0</v>
      </c>
      <c r="J894" s="5">
        <f>COUNTIF(C$1:C894,C894)</f>
        <v>2</v>
      </c>
      <c r="K894" s="34">
        <v>6</v>
      </c>
      <c r="L894" s="5" t="s">
        <v>17</v>
      </c>
      <c r="M894" s="38" t="str">
        <f>VLOOKUP(K894,[2]stage_hints!$A:$C,3,FALSE)</f>
        <v>ユニット強化の属性ボーナス</v>
      </c>
      <c r="N894" s="39" t="str">
        <f>VLOOKUP(K894,[2]stage_hints!$A:$D,4,FALSE)</f>
        <v>同属性ユニットを強化素材にすると
経験値が多くもらえます</v>
      </c>
      <c r="O894" s="20" t="s">
        <v>24</v>
      </c>
      <c r="P894">
        <v>6</v>
      </c>
    </row>
    <row r="895" spans="1:16" x14ac:dyDescent="0.15">
      <c r="A895" s="27" t="str">
        <f t="shared" si="77"/>
        <v>30003_2_3</v>
      </c>
      <c r="B895" s="25" t="s">
        <v>34</v>
      </c>
      <c r="C895" s="4">
        <v>30003</v>
      </c>
      <c r="D895" s="3" t="str">
        <f ca="1">VLOOKUP($C895,OFFSET([1]quests!$A$1,0,0,COUNTA([1]quests!$A:$A),MATCH(D$1,[1]quests!$1:$1,0)-MATCH($C$1,[1]quests!$1:$1,0)+1),MATCH(D$1,[1]quests!$1:$1,0)-MATCH($C$1,[1]quests!$1:$1,0)+1,FALSE)</f>
        <v>打ち下ろされる砕棒</v>
      </c>
      <c r="E895" s="3" t="str">
        <f ca="1">VLOOKUP($C895,OFFSET([1]quests!$A$1,0,0,COUNTA([1]quests!$A:$A),MATCH(E$1,[1]quests!$1:$1,0)-MATCH($C$1,[1]quests!$1:$1,0)+1),MATCH(E$1,[1]quests!$1:$1,0)-MATCH($C$1,[1]quests!$1:$1,0)+1,FALSE)</f>
        <v>ドロップイベント1-3（マルチ専用）</v>
      </c>
      <c r="F895" s="5">
        <v>2</v>
      </c>
      <c r="G895" s="3" t="str">
        <f ca="1">VLOOKUP($C895&amp;"_"&amp;$F895,OFFSET([1]stages!$A$1,0,0,COUNTA([1]stages!$A:$A),MATCH(G$1,[1]stages!$2:$2,0)-MATCH("temp_stage",[1]stages!$2:$2,0)+1),MATCH(G$1,[1]stages!$2:$2,0)-MATCH("temp_stage",[1]stages!$2:$2,0)+1,FALSE)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895" s="3" t="str">
        <f ca="1">VLOOKUP($C895&amp;"_"&amp;$F895,OFFSET([1]stages!$A$1,0,0,COUNTA([1]stages!$A:$A),MATCH(H$1,[1]stages!$2:$2,0)-MATCH("temp_stage",[1]stages!$2:$2,0)+1),MATCH(H$1,[1]stages!$2:$2,0)-MATCH("temp_stage",[1]stages!$2:$2,0)+1,FALSE)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895" s="18">
        <v>0</v>
      </c>
      <c r="J895" s="5">
        <f>COUNTIF(C$1:C895,C895)</f>
        <v>3</v>
      </c>
      <c r="K895" s="34">
        <v>7</v>
      </c>
      <c r="L895" s="5" t="s">
        <v>17</v>
      </c>
      <c r="M895" s="38" t="str">
        <f>VLOOKUP(K895,[2]stage_hints!$A:$C,3,FALSE)</f>
        <v>メタルダックで経験値を獲得</v>
      </c>
      <c r="N895" s="39" t="str">
        <f>VLOOKUP(K895,[2]stage_hints!$A:$D,4,FALSE)</f>
        <v>「メタルなアヒル」を強化素材にすると
大量の経験値がもらえます</v>
      </c>
      <c r="O895" s="20" t="s">
        <v>24</v>
      </c>
      <c r="P895">
        <v>7</v>
      </c>
    </row>
    <row r="896" spans="1:16" x14ac:dyDescent="0.15">
      <c r="A896" s="27" t="str">
        <f t="shared" si="77"/>
        <v>30003_2_4</v>
      </c>
      <c r="B896" s="25" t="s">
        <v>34</v>
      </c>
      <c r="C896" s="4">
        <v>30003</v>
      </c>
      <c r="D896" s="3" t="str">
        <f ca="1">VLOOKUP($C896,OFFSET([1]quests!$A$1,0,0,COUNTA([1]quests!$A:$A),MATCH(D$1,[1]quests!$1:$1,0)-MATCH($C$1,[1]quests!$1:$1,0)+1),MATCH(D$1,[1]quests!$1:$1,0)-MATCH($C$1,[1]quests!$1:$1,0)+1,FALSE)</f>
        <v>打ち下ろされる砕棒</v>
      </c>
      <c r="E896" s="3" t="str">
        <f ca="1">VLOOKUP($C896,OFFSET([1]quests!$A$1,0,0,COUNTA([1]quests!$A:$A),MATCH(E$1,[1]quests!$1:$1,0)-MATCH($C$1,[1]quests!$1:$1,0)+1),MATCH(E$1,[1]quests!$1:$1,0)-MATCH($C$1,[1]quests!$1:$1,0)+1,FALSE)</f>
        <v>ドロップイベント1-3（マルチ専用）</v>
      </c>
      <c r="F896" s="5">
        <v>2</v>
      </c>
      <c r="G896" s="3" t="str">
        <f ca="1">VLOOKUP($C896&amp;"_"&amp;$F896,OFFSET([1]stages!$A$1,0,0,COUNTA([1]stages!$A:$A),MATCH(G$1,[1]stages!$2:$2,0)-MATCH("temp_stage",[1]stages!$2:$2,0)+1),MATCH(G$1,[1]stages!$2:$2,0)-MATCH("temp_stage",[1]stages!$2:$2,0)+1,FALSE)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896" s="3" t="str">
        <f ca="1">VLOOKUP($C896&amp;"_"&amp;$F896,OFFSET([1]stages!$A$1,0,0,COUNTA([1]stages!$A:$A),MATCH(H$1,[1]stages!$2:$2,0)-MATCH("temp_stage",[1]stages!$2:$2,0)+1),MATCH(H$1,[1]stages!$2:$2,0)-MATCH("temp_stage",[1]stages!$2:$2,0)+1,FALSE)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896" s="18">
        <v>0</v>
      </c>
      <c r="J896" s="5">
        <f>COUNTIF(C$1:C896,C896)</f>
        <v>4</v>
      </c>
      <c r="K896" s="34">
        <v>8</v>
      </c>
      <c r="L896" s="5" t="s">
        <v>17</v>
      </c>
      <c r="M896" s="38" t="str">
        <f>VLOOKUP(K896,[2]stage_hints!$A:$C,3,FALSE)</f>
        <v>ゲリラクエストは要チェック</v>
      </c>
      <c r="N896" s="39" t="str">
        <f>VLOOKUP(K896,[2]stage_hints!$A:$D,4,FALSE)</f>
        <v>時間限定の「アヒル捕獲作戦」では
経験値素材ユニットが多く手に入ります</v>
      </c>
      <c r="O896" s="20" t="s">
        <v>24</v>
      </c>
      <c r="P896">
        <v>8</v>
      </c>
    </row>
    <row r="897" spans="1:16" x14ac:dyDescent="0.15">
      <c r="A897" s="27" t="str">
        <f t="shared" si="77"/>
        <v>30003_2_5</v>
      </c>
      <c r="B897" s="25" t="s">
        <v>34</v>
      </c>
      <c r="C897" s="4">
        <v>30003</v>
      </c>
      <c r="D897" s="3" t="str">
        <f ca="1">VLOOKUP($C897,OFFSET([1]quests!$A$1,0,0,COUNTA([1]quests!$A:$A),MATCH(D$1,[1]quests!$1:$1,0)-MATCH($C$1,[1]quests!$1:$1,0)+1),MATCH(D$1,[1]quests!$1:$1,0)-MATCH($C$1,[1]quests!$1:$1,0)+1,FALSE)</f>
        <v>打ち下ろされる砕棒</v>
      </c>
      <c r="E897" s="3" t="str">
        <f ca="1">VLOOKUP($C897,OFFSET([1]quests!$A$1,0,0,COUNTA([1]quests!$A:$A),MATCH(E$1,[1]quests!$1:$1,0)-MATCH($C$1,[1]quests!$1:$1,0)+1),MATCH(E$1,[1]quests!$1:$1,0)-MATCH($C$1,[1]quests!$1:$1,0)+1,FALSE)</f>
        <v>ドロップイベント1-3（マルチ専用）</v>
      </c>
      <c r="F897" s="5">
        <v>2</v>
      </c>
      <c r="G897" s="3" t="str">
        <f ca="1">VLOOKUP($C897&amp;"_"&amp;$F897,OFFSET([1]stages!$A$1,0,0,COUNTA([1]stages!$A:$A),MATCH(G$1,[1]stages!$2:$2,0)-MATCH("temp_stage",[1]stages!$2:$2,0)+1),MATCH(G$1,[1]stages!$2:$2,0)-MATCH("temp_stage",[1]stages!$2:$2,0)+1,FALSE)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897" s="3" t="str">
        <f ca="1">VLOOKUP($C897&amp;"_"&amp;$F897,OFFSET([1]stages!$A$1,0,0,COUNTA([1]stages!$A:$A),MATCH(H$1,[1]stages!$2:$2,0)-MATCH("temp_stage",[1]stages!$2:$2,0)+1),MATCH(H$1,[1]stages!$2:$2,0)-MATCH("temp_stage",[1]stages!$2:$2,0)+1,FALSE)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897" s="18">
        <v>0</v>
      </c>
      <c r="J897" s="5">
        <f>COUNTIF(C$1:C897,C897)</f>
        <v>5</v>
      </c>
      <c r="K897" s="34">
        <v>9</v>
      </c>
      <c r="L897" s="5" t="s">
        <v>17</v>
      </c>
      <c r="M897" s="38" t="str">
        <f>VLOOKUP(K897,[2]stage_hints!$A:$C,3,FALSE)</f>
        <v>ゴールドダックでビットを獲得</v>
      </c>
      <c r="N897" s="39" t="str">
        <f>VLOOKUP(K897,[2]stage_hints!$A:$D,4,FALSE)</f>
        <v>「ゴールドなアヒル」を売却すると
大量のビットがもらえます</v>
      </c>
      <c r="O897" s="20" t="s">
        <v>24</v>
      </c>
      <c r="P897">
        <v>9</v>
      </c>
    </row>
    <row r="898" spans="1:16" x14ac:dyDescent="0.15">
      <c r="A898" s="27" t="str">
        <f t="shared" si="77"/>
        <v>30003_2_6</v>
      </c>
      <c r="B898" s="25" t="s">
        <v>34</v>
      </c>
      <c r="C898" s="4">
        <v>30003</v>
      </c>
      <c r="D898" s="3" t="str">
        <f ca="1">VLOOKUP($C898,OFFSET([1]quests!$A$1,0,0,COUNTA([1]quests!$A:$A),MATCH(D$1,[1]quests!$1:$1,0)-MATCH($C$1,[1]quests!$1:$1,0)+1),MATCH(D$1,[1]quests!$1:$1,0)-MATCH($C$1,[1]quests!$1:$1,0)+1,FALSE)</f>
        <v>打ち下ろされる砕棒</v>
      </c>
      <c r="E898" s="3" t="str">
        <f ca="1">VLOOKUP($C898,OFFSET([1]quests!$A$1,0,0,COUNTA([1]quests!$A:$A),MATCH(E$1,[1]quests!$1:$1,0)-MATCH($C$1,[1]quests!$1:$1,0)+1),MATCH(E$1,[1]quests!$1:$1,0)-MATCH($C$1,[1]quests!$1:$1,0)+1,FALSE)</f>
        <v>ドロップイベント1-3（マルチ専用）</v>
      </c>
      <c r="F898" s="5">
        <v>2</v>
      </c>
      <c r="G898" s="3" t="str">
        <f ca="1">VLOOKUP($C898&amp;"_"&amp;$F898,OFFSET([1]stages!$A$1,0,0,COUNTA([1]stages!$A:$A),MATCH(G$1,[1]stages!$2:$2,0)-MATCH("temp_stage",[1]stages!$2:$2,0)+1),MATCH(G$1,[1]stages!$2:$2,0)-MATCH("temp_stage",[1]stages!$2:$2,0)+1,FALSE)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898" s="3" t="str">
        <f ca="1">VLOOKUP($C898&amp;"_"&amp;$F898,OFFSET([1]stages!$A$1,0,0,COUNTA([1]stages!$A:$A),MATCH(H$1,[1]stages!$2:$2,0)-MATCH("temp_stage",[1]stages!$2:$2,0)+1),MATCH(H$1,[1]stages!$2:$2,0)-MATCH("temp_stage",[1]stages!$2:$2,0)+1,FALSE)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898" s="18">
        <v>0</v>
      </c>
      <c r="J898" s="5">
        <f>COUNTIF(C$1:C898,C898)</f>
        <v>6</v>
      </c>
      <c r="K898" s="34">
        <v>10</v>
      </c>
      <c r="L898" s="5" t="s">
        <v>17</v>
      </c>
      <c r="M898" s="38" t="str">
        <f>VLOOKUP(K898,[2]stage_hints!$A:$C,3,FALSE)</f>
        <v>土日に大量のビットを獲得</v>
      </c>
      <c r="N898" s="39" t="str">
        <f>VLOOKUP(K898,[2]stage_hints!$A:$D,4,FALSE)</f>
        <v>土日限定の「ゴールドカジノ」では
売却素材ユニットが多く手に入ります</v>
      </c>
      <c r="O898" s="20" t="s">
        <v>24</v>
      </c>
      <c r="P898">
        <v>10</v>
      </c>
    </row>
    <row r="899" spans="1:16" x14ac:dyDescent="0.15">
      <c r="A899" s="27" t="str">
        <f t="shared" si="77"/>
        <v>30003_2_7</v>
      </c>
      <c r="B899" s="25" t="s">
        <v>34</v>
      </c>
      <c r="C899" s="4">
        <v>30003</v>
      </c>
      <c r="D899" s="3" t="str">
        <f ca="1">VLOOKUP($C899,OFFSET([1]quests!$A$1,0,0,COUNTA([1]quests!$A:$A),MATCH(D$1,[1]quests!$1:$1,0)-MATCH($C$1,[1]quests!$1:$1,0)+1),MATCH(D$1,[1]quests!$1:$1,0)-MATCH($C$1,[1]quests!$1:$1,0)+1,FALSE)</f>
        <v>打ち下ろされる砕棒</v>
      </c>
      <c r="E899" s="3" t="str">
        <f ca="1">VLOOKUP($C899,OFFSET([1]quests!$A$1,0,0,COUNTA([1]quests!$A:$A),MATCH(E$1,[1]quests!$1:$1,0)-MATCH($C$1,[1]quests!$1:$1,0)+1),MATCH(E$1,[1]quests!$1:$1,0)-MATCH($C$1,[1]quests!$1:$1,0)+1,FALSE)</f>
        <v>ドロップイベント1-3（マルチ専用）</v>
      </c>
      <c r="F899" s="5">
        <v>2</v>
      </c>
      <c r="G899" s="3" t="str">
        <f ca="1">VLOOKUP($C899&amp;"_"&amp;$F899,OFFSET([1]stages!$A$1,0,0,COUNTA([1]stages!$A:$A),MATCH(G$1,[1]stages!$2:$2,0)-MATCH("temp_stage",[1]stages!$2:$2,0)+1),MATCH(G$1,[1]stages!$2:$2,0)-MATCH("temp_stage",[1]stages!$2:$2,0)+1,FALSE)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899" s="3" t="str">
        <f ca="1">VLOOKUP($C899&amp;"_"&amp;$F899,OFFSET([1]stages!$A$1,0,0,COUNTA([1]stages!$A:$A),MATCH(H$1,[1]stages!$2:$2,0)-MATCH("temp_stage",[1]stages!$2:$2,0)+1),MATCH(H$1,[1]stages!$2:$2,0)-MATCH("temp_stage",[1]stages!$2:$2,0)+1,FALSE)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899" s="18">
        <v>0</v>
      </c>
      <c r="J899" s="5">
        <f>COUNTIF(C$1:C899,C899)</f>
        <v>7</v>
      </c>
      <c r="K899" s="34">
        <v>11</v>
      </c>
      <c r="L899" s="5" t="s">
        <v>17</v>
      </c>
      <c r="M899" s="38" t="str">
        <f>VLOOKUP(K899,[2]stage_hints!$A:$C,3,FALSE)</f>
        <v>ランク解放クエスト</v>
      </c>
      <c r="N899" s="39" t="str">
        <f>VLOOKUP(K899,[2]stage_hints!$A:$D,4,FALSE)</f>
        <v>一定ランクに到達すると
報酬付きのランク開放クエストが現れます</v>
      </c>
      <c r="O899" s="20" t="s">
        <v>24</v>
      </c>
      <c r="P899">
        <v>11</v>
      </c>
    </row>
    <row r="900" spans="1:16" x14ac:dyDescent="0.15">
      <c r="A900" s="27" t="str">
        <f t="shared" si="77"/>
        <v>30003_2_8</v>
      </c>
      <c r="B900" s="25" t="s">
        <v>34</v>
      </c>
      <c r="C900" s="4">
        <v>30003</v>
      </c>
      <c r="D900" s="3" t="str">
        <f ca="1">VLOOKUP($C900,OFFSET([1]quests!$A$1,0,0,COUNTA([1]quests!$A:$A),MATCH(D$1,[1]quests!$1:$1,0)-MATCH($C$1,[1]quests!$1:$1,0)+1),MATCH(D$1,[1]quests!$1:$1,0)-MATCH($C$1,[1]quests!$1:$1,0)+1,FALSE)</f>
        <v>打ち下ろされる砕棒</v>
      </c>
      <c r="E900" s="3" t="str">
        <f ca="1">VLOOKUP($C900,OFFSET([1]quests!$A$1,0,0,COUNTA([1]quests!$A:$A),MATCH(E$1,[1]quests!$1:$1,0)-MATCH($C$1,[1]quests!$1:$1,0)+1),MATCH(E$1,[1]quests!$1:$1,0)-MATCH($C$1,[1]quests!$1:$1,0)+1,FALSE)</f>
        <v>ドロップイベント1-3（マルチ専用）</v>
      </c>
      <c r="F900" s="5">
        <v>2</v>
      </c>
      <c r="G900" s="3" t="str">
        <f ca="1">VLOOKUP($C900&amp;"_"&amp;$F900,OFFSET([1]stages!$A$1,0,0,COUNTA([1]stages!$A:$A),MATCH(G$1,[1]stages!$2:$2,0)-MATCH("temp_stage",[1]stages!$2:$2,0)+1),MATCH(G$1,[1]stages!$2:$2,0)-MATCH("temp_stage",[1]stages!$2:$2,0)+1,FALSE)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0" s="3" t="str">
        <f ca="1">VLOOKUP($C900&amp;"_"&amp;$F900,OFFSET([1]stages!$A$1,0,0,COUNTA([1]stages!$A:$A),MATCH(H$1,[1]stages!$2:$2,0)-MATCH("temp_stage",[1]stages!$2:$2,0)+1),MATCH(H$1,[1]stages!$2:$2,0)-MATCH("temp_stage",[1]stages!$2:$2,0)+1,FALSE)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0" s="18">
        <v>0</v>
      </c>
      <c r="J900" s="5">
        <f>COUNTIF(C$1:C900,C900)</f>
        <v>8</v>
      </c>
      <c r="K900" s="34">
        <v>12</v>
      </c>
      <c r="L900" s="5" t="s">
        <v>17</v>
      </c>
      <c r="M900" s="38" t="str">
        <f>VLOOKUP(K900,[2]stage_hints!$A:$C,3,FALSE)</f>
        <v>ユニットのお気に入り登録</v>
      </c>
      <c r="N900" s="39" t="str">
        <f>VLOOKUP(K900,[2]stage_hints!$A:$D,4,FALSE)</f>
        <v>大事なユニットを誤って消さないように
フォルダから「お気に入り登録」しましょう</v>
      </c>
      <c r="O900" s="20" t="s">
        <v>24</v>
      </c>
      <c r="P900">
        <v>12</v>
      </c>
    </row>
    <row r="901" spans="1:16" x14ac:dyDescent="0.15">
      <c r="A901" s="27" t="str">
        <f t="shared" si="77"/>
        <v>30003_2_9</v>
      </c>
      <c r="B901" s="25" t="s">
        <v>34</v>
      </c>
      <c r="C901" s="4">
        <v>30003</v>
      </c>
      <c r="D901" s="3" t="str">
        <f ca="1">VLOOKUP($C901,OFFSET([1]quests!$A$1,0,0,COUNTA([1]quests!$A:$A),MATCH(D$1,[1]quests!$1:$1,0)-MATCH($C$1,[1]quests!$1:$1,0)+1),MATCH(D$1,[1]quests!$1:$1,0)-MATCH($C$1,[1]quests!$1:$1,0)+1,FALSE)</f>
        <v>打ち下ろされる砕棒</v>
      </c>
      <c r="E901" s="3" t="str">
        <f ca="1">VLOOKUP($C901,OFFSET([1]quests!$A$1,0,0,COUNTA([1]quests!$A:$A),MATCH(E$1,[1]quests!$1:$1,0)-MATCH($C$1,[1]quests!$1:$1,0)+1),MATCH(E$1,[1]quests!$1:$1,0)-MATCH($C$1,[1]quests!$1:$1,0)+1,FALSE)</f>
        <v>ドロップイベント1-3（マルチ専用）</v>
      </c>
      <c r="F901" s="5">
        <v>2</v>
      </c>
      <c r="G901" s="3" t="str">
        <f ca="1">VLOOKUP($C901&amp;"_"&amp;$F901,OFFSET([1]stages!$A$1,0,0,COUNTA([1]stages!$A:$A),MATCH(G$1,[1]stages!$2:$2,0)-MATCH("temp_stage",[1]stages!$2:$2,0)+1),MATCH(G$1,[1]stages!$2:$2,0)-MATCH("temp_stage",[1]stages!$2:$2,0)+1,FALSE)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1" s="3" t="str">
        <f ca="1">VLOOKUP($C901&amp;"_"&amp;$F901,OFFSET([1]stages!$A$1,0,0,COUNTA([1]stages!$A:$A),MATCH(H$1,[1]stages!$2:$2,0)-MATCH("temp_stage",[1]stages!$2:$2,0)+1),MATCH(H$1,[1]stages!$2:$2,0)-MATCH("temp_stage",[1]stages!$2:$2,0)+1,FALSE)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1" s="18">
        <v>0</v>
      </c>
      <c r="J901" s="5">
        <f>COUNTIF(C$1:C901,C901)</f>
        <v>9</v>
      </c>
      <c r="K901" s="34">
        <v>13</v>
      </c>
      <c r="L901" s="5" t="s">
        <v>17</v>
      </c>
      <c r="M901" s="38" t="str">
        <f>VLOOKUP(K901,[2]stage_hints!$A:$C,3,FALSE)</f>
        <v>ユニットの覚醒</v>
      </c>
      <c r="N901" s="39" t="str">
        <f>VLOOKUP(K901,[2]stage_hints!$A:$D,4,FALSE)</f>
        <v>ユニットを覚醒させると
比べものにならない強さが手に入ります</v>
      </c>
      <c r="O901" s="20" t="s">
        <v>24</v>
      </c>
      <c r="P901">
        <v>13</v>
      </c>
    </row>
    <row r="902" spans="1:16" x14ac:dyDescent="0.15">
      <c r="A902" s="27" t="str">
        <f t="shared" si="77"/>
        <v>30003_2_10</v>
      </c>
      <c r="B902" s="25" t="s">
        <v>34</v>
      </c>
      <c r="C902" s="4">
        <v>30003</v>
      </c>
      <c r="D902" s="3" t="str">
        <f ca="1">VLOOKUP($C902,OFFSET([1]quests!$A$1,0,0,COUNTA([1]quests!$A:$A),MATCH(D$1,[1]quests!$1:$1,0)-MATCH($C$1,[1]quests!$1:$1,0)+1),MATCH(D$1,[1]quests!$1:$1,0)-MATCH($C$1,[1]quests!$1:$1,0)+1,FALSE)</f>
        <v>打ち下ろされる砕棒</v>
      </c>
      <c r="E902" s="3" t="str">
        <f ca="1">VLOOKUP($C902,OFFSET([1]quests!$A$1,0,0,COUNTA([1]quests!$A:$A),MATCH(E$1,[1]quests!$1:$1,0)-MATCH($C$1,[1]quests!$1:$1,0)+1),MATCH(E$1,[1]quests!$1:$1,0)-MATCH($C$1,[1]quests!$1:$1,0)+1,FALSE)</f>
        <v>ドロップイベント1-3（マルチ専用）</v>
      </c>
      <c r="F902" s="5">
        <v>2</v>
      </c>
      <c r="G902" s="3" t="str">
        <f ca="1">VLOOKUP($C902&amp;"_"&amp;$F902,OFFSET([1]stages!$A$1,0,0,COUNTA([1]stages!$A:$A),MATCH(G$1,[1]stages!$2:$2,0)-MATCH("temp_stage",[1]stages!$2:$2,0)+1),MATCH(G$1,[1]stages!$2:$2,0)-MATCH("temp_stage",[1]stages!$2:$2,0)+1,FALSE)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2" s="3" t="str">
        <f ca="1">VLOOKUP($C902&amp;"_"&amp;$F902,OFFSET([1]stages!$A$1,0,0,COUNTA([1]stages!$A:$A),MATCH(H$1,[1]stages!$2:$2,0)-MATCH("temp_stage",[1]stages!$2:$2,0)+1),MATCH(H$1,[1]stages!$2:$2,0)-MATCH("temp_stage",[1]stages!$2:$2,0)+1,FALSE)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2" s="18">
        <v>0</v>
      </c>
      <c r="J902" s="5">
        <f>COUNTIF(C$1:C902,C902)</f>
        <v>10</v>
      </c>
      <c r="K902" s="34">
        <v>14</v>
      </c>
      <c r="L902" s="5" t="s">
        <v>17</v>
      </c>
      <c r="M902" s="38" t="str">
        <f>VLOOKUP(K902,[2]stage_hints!$A:$C,3,FALSE)</f>
        <v>覚醒するにはレベルを最大に</v>
      </c>
      <c r="N902" s="39" t="str">
        <f>VLOOKUP(K902,[2]stage_hints!$A:$D,4,FALSE)</f>
        <v>覚醒するにはユニットのレベルを
最大まで上げる必要があります</v>
      </c>
      <c r="O902" s="20" t="s">
        <v>24</v>
      </c>
      <c r="P902">
        <v>14</v>
      </c>
    </row>
    <row r="903" spans="1:16" x14ac:dyDescent="0.15">
      <c r="A903" s="27" t="str">
        <f t="shared" si="77"/>
        <v>30003_2_11</v>
      </c>
      <c r="B903" s="25" t="s">
        <v>34</v>
      </c>
      <c r="C903" s="4">
        <v>30003</v>
      </c>
      <c r="D903" s="3" t="str">
        <f ca="1">VLOOKUP($C903,OFFSET([1]quests!$A$1,0,0,COUNTA([1]quests!$A:$A),MATCH(D$1,[1]quests!$1:$1,0)-MATCH($C$1,[1]quests!$1:$1,0)+1),MATCH(D$1,[1]quests!$1:$1,0)-MATCH($C$1,[1]quests!$1:$1,0)+1,FALSE)</f>
        <v>打ち下ろされる砕棒</v>
      </c>
      <c r="E903" s="3" t="str">
        <f ca="1">VLOOKUP($C903,OFFSET([1]quests!$A$1,0,0,COUNTA([1]quests!$A:$A),MATCH(E$1,[1]quests!$1:$1,0)-MATCH($C$1,[1]quests!$1:$1,0)+1),MATCH(E$1,[1]quests!$1:$1,0)-MATCH($C$1,[1]quests!$1:$1,0)+1,FALSE)</f>
        <v>ドロップイベント1-3（マルチ専用）</v>
      </c>
      <c r="F903" s="5">
        <v>2</v>
      </c>
      <c r="G903" s="3" t="str">
        <f ca="1">VLOOKUP($C903&amp;"_"&amp;$F903,OFFSET([1]stages!$A$1,0,0,COUNTA([1]stages!$A:$A),MATCH(G$1,[1]stages!$2:$2,0)-MATCH("temp_stage",[1]stages!$2:$2,0)+1),MATCH(G$1,[1]stages!$2:$2,0)-MATCH("temp_stage",[1]stages!$2:$2,0)+1,FALSE)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3" s="3" t="str">
        <f ca="1">VLOOKUP($C903&amp;"_"&amp;$F903,OFFSET([1]stages!$A$1,0,0,COUNTA([1]stages!$A:$A),MATCH(H$1,[1]stages!$2:$2,0)-MATCH("temp_stage",[1]stages!$2:$2,0)+1),MATCH(H$1,[1]stages!$2:$2,0)-MATCH("temp_stage",[1]stages!$2:$2,0)+1,FALSE)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3" s="18">
        <v>0</v>
      </c>
      <c r="J903" s="5">
        <f>COUNTIF(C$1:C903,C903)</f>
        <v>11</v>
      </c>
      <c r="K903" s="34">
        <v>15</v>
      </c>
      <c r="L903" s="5" t="s">
        <v>17</v>
      </c>
      <c r="M903" s="38" t="str">
        <f>VLOOKUP(K903,[2]stage_hints!$A:$C,3,FALSE)</f>
        <v>覚醒素材を獲得</v>
      </c>
      <c r="N903" s="39" t="str">
        <f>VLOOKUP(K903,[2]stage_hints!$A:$D,4,FALSE)</f>
        <v>「曜日クエスト」では
ユニットの覚醒に必要な素材が手に入ります</v>
      </c>
      <c r="O903" s="20" t="s">
        <v>24</v>
      </c>
      <c r="P903">
        <v>15</v>
      </c>
    </row>
    <row r="904" spans="1:16" x14ac:dyDescent="0.15">
      <c r="A904" s="27" t="str">
        <f t="shared" si="77"/>
        <v>30003_2_12</v>
      </c>
      <c r="B904" s="25" t="s">
        <v>34</v>
      </c>
      <c r="C904" s="4">
        <v>30003</v>
      </c>
      <c r="D904" s="3" t="str">
        <f ca="1">VLOOKUP($C904,OFFSET([1]quests!$A$1,0,0,COUNTA([1]quests!$A:$A),MATCH(D$1,[1]quests!$1:$1,0)-MATCH($C$1,[1]quests!$1:$1,0)+1),MATCH(D$1,[1]quests!$1:$1,0)-MATCH($C$1,[1]quests!$1:$1,0)+1,FALSE)</f>
        <v>打ち下ろされる砕棒</v>
      </c>
      <c r="E904" s="3" t="str">
        <f ca="1">VLOOKUP($C904,OFFSET([1]quests!$A$1,0,0,COUNTA([1]quests!$A:$A),MATCH(E$1,[1]quests!$1:$1,0)-MATCH($C$1,[1]quests!$1:$1,0)+1),MATCH(E$1,[1]quests!$1:$1,0)-MATCH($C$1,[1]quests!$1:$1,0)+1,FALSE)</f>
        <v>ドロップイベント1-3（マルチ専用）</v>
      </c>
      <c r="F904" s="5">
        <v>2</v>
      </c>
      <c r="G904" s="3" t="str">
        <f ca="1">VLOOKUP($C904&amp;"_"&amp;$F904,OFFSET([1]stages!$A$1,0,0,COUNTA([1]stages!$A:$A),MATCH(G$1,[1]stages!$2:$2,0)-MATCH("temp_stage",[1]stages!$2:$2,0)+1),MATCH(G$1,[1]stages!$2:$2,0)-MATCH("temp_stage",[1]stages!$2:$2,0)+1,FALSE)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4" s="3" t="str">
        <f ca="1">VLOOKUP($C904&amp;"_"&amp;$F904,OFFSET([1]stages!$A$1,0,0,COUNTA([1]stages!$A:$A),MATCH(H$1,[1]stages!$2:$2,0)-MATCH("temp_stage",[1]stages!$2:$2,0)+1),MATCH(H$1,[1]stages!$2:$2,0)-MATCH("temp_stage",[1]stages!$2:$2,0)+1,FALSE)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4" s="18">
        <v>0</v>
      </c>
      <c r="J904" s="5">
        <f>COUNTIF(C$1:C904,C904)</f>
        <v>12</v>
      </c>
      <c r="K904" s="34">
        <v>16</v>
      </c>
      <c r="L904" s="5" t="s">
        <v>17</v>
      </c>
      <c r="M904" s="38" t="str">
        <f>VLOOKUP(K904,[2]stage_hints!$A:$C,3,FALSE)</f>
        <v>マルチプレイのメリット（その1）</v>
      </c>
      <c r="N904" s="39" t="str">
        <f>VLOOKUP(K904,[2]stage_hints!$A:$D,4,FALSE)</f>
        <v>他のプレイヤーとマルチプレイで遊ぶと
ポリゴンがもらえます（100人まで）</v>
      </c>
      <c r="O904" s="20" t="s">
        <v>24</v>
      </c>
      <c r="P904">
        <v>16</v>
      </c>
    </row>
    <row r="905" spans="1:16" x14ac:dyDescent="0.15">
      <c r="A905" s="27" t="str">
        <f t="shared" si="77"/>
        <v>30003_2_13</v>
      </c>
      <c r="B905" s="25" t="s">
        <v>34</v>
      </c>
      <c r="C905" s="4">
        <v>30003</v>
      </c>
      <c r="D905" s="3" t="str">
        <f ca="1">VLOOKUP($C905,OFFSET([1]quests!$A$1,0,0,COUNTA([1]quests!$A:$A),MATCH(D$1,[1]quests!$1:$1,0)-MATCH($C$1,[1]quests!$1:$1,0)+1),MATCH(D$1,[1]quests!$1:$1,0)-MATCH($C$1,[1]quests!$1:$1,0)+1,FALSE)</f>
        <v>打ち下ろされる砕棒</v>
      </c>
      <c r="E905" s="3" t="str">
        <f ca="1">VLOOKUP($C905,OFFSET([1]quests!$A$1,0,0,COUNTA([1]quests!$A:$A),MATCH(E$1,[1]quests!$1:$1,0)-MATCH($C$1,[1]quests!$1:$1,0)+1),MATCH(E$1,[1]quests!$1:$1,0)-MATCH($C$1,[1]quests!$1:$1,0)+1,FALSE)</f>
        <v>ドロップイベント1-3（マルチ専用）</v>
      </c>
      <c r="F905" s="5">
        <v>2</v>
      </c>
      <c r="G905" s="3" t="str">
        <f ca="1">VLOOKUP($C905&amp;"_"&amp;$F905,OFFSET([1]stages!$A$1,0,0,COUNTA([1]stages!$A:$A),MATCH(G$1,[1]stages!$2:$2,0)-MATCH("temp_stage",[1]stages!$2:$2,0)+1),MATCH(G$1,[1]stages!$2:$2,0)-MATCH("temp_stage",[1]stages!$2:$2,0)+1,FALSE)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5" s="3" t="str">
        <f ca="1">VLOOKUP($C905&amp;"_"&amp;$F905,OFFSET([1]stages!$A$1,0,0,COUNTA([1]stages!$A:$A),MATCH(H$1,[1]stages!$2:$2,0)-MATCH("temp_stage",[1]stages!$2:$2,0)+1),MATCH(H$1,[1]stages!$2:$2,0)-MATCH("temp_stage",[1]stages!$2:$2,0)+1,FALSE)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5" s="18">
        <v>0</v>
      </c>
      <c r="J905" s="5">
        <f>COUNTIF(C$1:C905,C905)</f>
        <v>13</v>
      </c>
      <c r="K905" s="34">
        <v>17</v>
      </c>
      <c r="L905" s="5" t="s">
        <v>17</v>
      </c>
      <c r="M905" s="38" t="str">
        <f>VLOOKUP(K905,[2]stage_hints!$A:$C,3,FALSE)</f>
        <v>リンクガチャ</v>
      </c>
      <c r="N905" s="39" t="str">
        <f>VLOOKUP(K905,[2]stage_hints!$A:$D,4,FALSE)</f>
        <v>無料のリンクガチャを回して
経験値素材や売却素材を獲得しましょう</v>
      </c>
      <c r="O905" s="20" t="s">
        <v>24</v>
      </c>
      <c r="P905">
        <v>17</v>
      </c>
    </row>
    <row r="906" spans="1:16" x14ac:dyDescent="0.15">
      <c r="A906" s="27" t="str">
        <f t="shared" si="77"/>
        <v>30003_2_14</v>
      </c>
      <c r="B906" s="25" t="s">
        <v>34</v>
      </c>
      <c r="C906" s="4">
        <v>30003</v>
      </c>
      <c r="D906" s="3" t="str">
        <f ca="1">VLOOKUP($C906,OFFSET([1]quests!$A$1,0,0,COUNTA([1]quests!$A:$A),MATCH(D$1,[1]quests!$1:$1,0)-MATCH($C$1,[1]quests!$1:$1,0)+1),MATCH(D$1,[1]quests!$1:$1,0)-MATCH($C$1,[1]quests!$1:$1,0)+1,FALSE)</f>
        <v>打ち下ろされる砕棒</v>
      </c>
      <c r="E906" s="3" t="str">
        <f ca="1">VLOOKUP($C906,OFFSET([1]quests!$A$1,0,0,COUNTA([1]quests!$A:$A),MATCH(E$1,[1]quests!$1:$1,0)-MATCH($C$1,[1]quests!$1:$1,0)+1),MATCH(E$1,[1]quests!$1:$1,0)-MATCH($C$1,[1]quests!$1:$1,0)+1,FALSE)</f>
        <v>ドロップイベント1-3（マルチ専用）</v>
      </c>
      <c r="F906" s="5">
        <v>2</v>
      </c>
      <c r="G906" s="3" t="str">
        <f ca="1">VLOOKUP($C906&amp;"_"&amp;$F906,OFFSET([1]stages!$A$1,0,0,COUNTA([1]stages!$A:$A),MATCH(G$1,[1]stages!$2:$2,0)-MATCH("temp_stage",[1]stages!$2:$2,0)+1),MATCH(G$1,[1]stages!$2:$2,0)-MATCH("temp_stage",[1]stages!$2:$2,0)+1,FALSE)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6" s="3" t="str">
        <f ca="1">VLOOKUP($C906&amp;"_"&amp;$F906,OFFSET([1]stages!$A$1,0,0,COUNTA([1]stages!$A:$A),MATCH(H$1,[1]stages!$2:$2,0)-MATCH("temp_stage",[1]stages!$2:$2,0)+1),MATCH(H$1,[1]stages!$2:$2,0)-MATCH("temp_stage",[1]stages!$2:$2,0)+1,FALSE)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6" s="18">
        <v>0</v>
      </c>
      <c r="J906" s="5">
        <f>COUNTIF(C$1:C906,C906)</f>
        <v>14</v>
      </c>
      <c r="K906" s="34">
        <v>18</v>
      </c>
      <c r="L906" s="5" t="s">
        <v>17</v>
      </c>
      <c r="M906" s="38" t="str">
        <f>VLOOKUP(K906,[2]stage_hints!$A:$C,3,FALSE)</f>
        <v>マルチプレイのメリット（その2）</v>
      </c>
      <c r="N906" s="39" t="str">
        <f>VLOOKUP(K906,[2]stage_hints!$A:$D,4,FALSE)</f>
        <v>マルチプレイならリンクが2倍もらえます
リンクガチャをたくさん回しましょう</v>
      </c>
      <c r="O906" s="20" t="s">
        <v>24</v>
      </c>
      <c r="P906">
        <v>18</v>
      </c>
    </row>
    <row r="907" spans="1:16" x14ac:dyDescent="0.15">
      <c r="A907" s="27" t="str">
        <f t="shared" si="77"/>
        <v>30003_2_15</v>
      </c>
      <c r="B907" s="25" t="s">
        <v>34</v>
      </c>
      <c r="C907" s="4">
        <v>30003</v>
      </c>
      <c r="D907" s="3" t="str">
        <f ca="1">VLOOKUP($C907,OFFSET([1]quests!$A$1,0,0,COUNTA([1]quests!$A:$A),MATCH(D$1,[1]quests!$1:$1,0)-MATCH($C$1,[1]quests!$1:$1,0)+1),MATCH(D$1,[1]quests!$1:$1,0)-MATCH($C$1,[1]quests!$1:$1,0)+1,FALSE)</f>
        <v>打ち下ろされる砕棒</v>
      </c>
      <c r="E907" s="3" t="str">
        <f ca="1">VLOOKUP($C907,OFFSET([1]quests!$A$1,0,0,COUNTA([1]quests!$A:$A),MATCH(E$1,[1]quests!$1:$1,0)-MATCH($C$1,[1]quests!$1:$1,0)+1),MATCH(E$1,[1]quests!$1:$1,0)-MATCH($C$1,[1]quests!$1:$1,0)+1,FALSE)</f>
        <v>ドロップイベント1-3（マルチ専用）</v>
      </c>
      <c r="F907" s="5">
        <v>2</v>
      </c>
      <c r="G907" s="3" t="str">
        <f ca="1">VLOOKUP($C907&amp;"_"&amp;$F907,OFFSET([1]stages!$A$1,0,0,COUNTA([1]stages!$A:$A),MATCH(G$1,[1]stages!$2:$2,0)-MATCH("temp_stage",[1]stages!$2:$2,0)+1),MATCH(G$1,[1]stages!$2:$2,0)-MATCH("temp_stage",[1]stages!$2:$2,0)+1,FALSE)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7" s="3" t="str">
        <f ca="1">VLOOKUP($C907&amp;"_"&amp;$F907,OFFSET([1]stages!$A$1,0,0,COUNTA([1]stages!$A:$A),MATCH(H$1,[1]stages!$2:$2,0)-MATCH("temp_stage",[1]stages!$2:$2,0)+1),MATCH(H$1,[1]stages!$2:$2,0)-MATCH("temp_stage",[1]stages!$2:$2,0)+1,FALSE)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7" s="18">
        <v>0</v>
      </c>
      <c r="J907" s="5">
        <f>COUNTIF(C$1:C907,C907)</f>
        <v>15</v>
      </c>
      <c r="K907" s="34">
        <v>19</v>
      </c>
      <c r="L907" s="5" t="s">
        <v>17</v>
      </c>
      <c r="M907" s="38" t="str">
        <f>VLOOKUP(K907,[2]stage_hints!$A:$C,3,FALSE)</f>
        <v>ソロ専用チャレンジタワー</v>
      </c>
      <c r="N907" s="39" t="str">
        <f>VLOOKUP(K907,[2]stage_hints!$A:$D,4,FALSE)</f>
        <v>ソロ専用の「チャレンジタワー」では
各フロアごとにクリア報酬がもらえます</v>
      </c>
      <c r="O907" s="20" t="s">
        <v>24</v>
      </c>
      <c r="P907">
        <v>19</v>
      </c>
    </row>
    <row r="908" spans="1:16" x14ac:dyDescent="0.15">
      <c r="A908" s="27" t="str">
        <f t="shared" si="77"/>
        <v>30003_2_16</v>
      </c>
      <c r="B908" s="25" t="s">
        <v>34</v>
      </c>
      <c r="C908" s="4">
        <v>30003</v>
      </c>
      <c r="D908" s="3" t="str">
        <f ca="1">VLOOKUP($C908,OFFSET([1]quests!$A$1,0,0,COUNTA([1]quests!$A:$A),MATCH(D$1,[1]quests!$1:$1,0)-MATCH($C$1,[1]quests!$1:$1,0)+1),MATCH(D$1,[1]quests!$1:$1,0)-MATCH($C$1,[1]quests!$1:$1,0)+1,FALSE)</f>
        <v>打ち下ろされる砕棒</v>
      </c>
      <c r="E908" s="3" t="str">
        <f ca="1">VLOOKUP($C908,OFFSET([1]quests!$A$1,0,0,COUNTA([1]quests!$A:$A),MATCH(E$1,[1]quests!$1:$1,0)-MATCH($C$1,[1]quests!$1:$1,0)+1),MATCH(E$1,[1]quests!$1:$1,0)-MATCH($C$1,[1]quests!$1:$1,0)+1,FALSE)</f>
        <v>ドロップイベント1-3（マルチ専用）</v>
      </c>
      <c r="F908" s="5">
        <v>2</v>
      </c>
      <c r="G908" s="3" t="str">
        <f ca="1">VLOOKUP($C908&amp;"_"&amp;$F908,OFFSET([1]stages!$A$1,0,0,COUNTA([1]stages!$A:$A),MATCH(G$1,[1]stages!$2:$2,0)-MATCH("temp_stage",[1]stages!$2:$2,0)+1),MATCH(G$1,[1]stages!$2:$2,0)-MATCH("temp_stage",[1]stages!$2:$2,0)+1,FALSE)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8" s="3" t="str">
        <f ca="1">VLOOKUP($C908&amp;"_"&amp;$F908,OFFSET([1]stages!$A$1,0,0,COUNTA([1]stages!$A:$A),MATCH(H$1,[1]stages!$2:$2,0)-MATCH("temp_stage",[1]stages!$2:$2,0)+1),MATCH(H$1,[1]stages!$2:$2,0)-MATCH("temp_stage",[1]stages!$2:$2,0)+1,FALSE)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8" s="18">
        <v>0</v>
      </c>
      <c r="J908" s="5">
        <f>COUNTIF(C$1:C908,C908)</f>
        <v>16</v>
      </c>
      <c r="K908" s="34">
        <v>20</v>
      </c>
      <c r="L908" s="5" t="s">
        <v>17</v>
      </c>
      <c r="M908" s="38" t="str">
        <f>VLOOKUP(K908,[2]stage_hints!$A:$C,3,FALSE)</f>
        <v>マルチプレイのメリット（その3）</v>
      </c>
      <c r="N908" s="39" t="str">
        <f>VLOOKUP(K908,[2]stage_hints!$A:$D,4,FALSE)</f>
        <v>マルチプレイへの参加はエナジー消費ゼロ
いつでも好きなだけ遊ぶことができます</v>
      </c>
      <c r="O908" s="20" t="s">
        <v>24</v>
      </c>
      <c r="P908">
        <v>20</v>
      </c>
    </row>
    <row r="909" spans="1:16" x14ac:dyDescent="0.15">
      <c r="A909" s="27" t="str">
        <f t="shared" si="77"/>
        <v>30003_2_17</v>
      </c>
      <c r="B909" s="25" t="s">
        <v>34</v>
      </c>
      <c r="C909" s="4">
        <v>30003</v>
      </c>
      <c r="D909" s="3" t="str">
        <f ca="1">VLOOKUP($C909,OFFSET([1]quests!$A$1,0,0,COUNTA([1]quests!$A:$A),MATCH(D$1,[1]quests!$1:$1,0)-MATCH($C$1,[1]quests!$1:$1,0)+1),MATCH(D$1,[1]quests!$1:$1,0)-MATCH($C$1,[1]quests!$1:$1,0)+1,FALSE)</f>
        <v>打ち下ろされる砕棒</v>
      </c>
      <c r="E909" s="3" t="str">
        <f ca="1">VLOOKUP($C909,OFFSET([1]quests!$A$1,0,0,COUNTA([1]quests!$A:$A),MATCH(E$1,[1]quests!$1:$1,0)-MATCH($C$1,[1]quests!$1:$1,0)+1),MATCH(E$1,[1]quests!$1:$1,0)-MATCH($C$1,[1]quests!$1:$1,0)+1,FALSE)</f>
        <v>ドロップイベント1-3（マルチ専用）</v>
      </c>
      <c r="F909" s="5">
        <v>2</v>
      </c>
      <c r="G909" s="3" t="str">
        <f ca="1">VLOOKUP($C909&amp;"_"&amp;$F909,OFFSET([1]stages!$A$1,0,0,COUNTA([1]stages!$A:$A),MATCH(G$1,[1]stages!$2:$2,0)-MATCH("temp_stage",[1]stages!$2:$2,0)+1),MATCH(G$1,[1]stages!$2:$2,0)-MATCH("temp_stage",[1]stages!$2:$2,0)+1,FALSE)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09" s="3" t="str">
        <f ca="1">VLOOKUP($C909&amp;"_"&amp;$F909,OFFSET([1]stages!$A$1,0,0,COUNTA([1]stages!$A:$A),MATCH(H$1,[1]stages!$2:$2,0)-MATCH("temp_stage",[1]stages!$2:$2,0)+1),MATCH(H$1,[1]stages!$2:$2,0)-MATCH("temp_stage",[1]stages!$2:$2,0)+1,FALSE)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09" s="18">
        <v>0</v>
      </c>
      <c r="J909" s="5">
        <f>COUNTIF(C$1:C909,C909)</f>
        <v>17</v>
      </c>
      <c r="K909" s="34">
        <v>21</v>
      </c>
      <c r="L909" s="5" t="s">
        <v>17</v>
      </c>
      <c r="M909" s="38" t="str">
        <f>VLOOKUP(K909,[2]stage_hints!$A:$C,3,FALSE)</f>
        <v>スキルを有効に</v>
      </c>
      <c r="N909" s="39" t="str">
        <f>VLOOKUP(K909,[2]stage_hints!$A:$D,4,FALSE)</f>
        <v>ターン経過でユニットのスキルが使えます
強力スキルでバトルを有利に進めましょう</v>
      </c>
      <c r="O909" s="20" t="s">
        <v>24</v>
      </c>
      <c r="P909">
        <v>21</v>
      </c>
    </row>
    <row r="910" spans="1:16" x14ac:dyDescent="0.15">
      <c r="A910" s="27" t="str">
        <f t="shared" si="77"/>
        <v>30003_2_18</v>
      </c>
      <c r="B910" s="25" t="s">
        <v>34</v>
      </c>
      <c r="C910" s="4">
        <v>30003</v>
      </c>
      <c r="D910" s="3" t="str">
        <f ca="1">VLOOKUP($C910,OFFSET([1]quests!$A$1,0,0,COUNTA([1]quests!$A:$A),MATCH(D$1,[1]quests!$1:$1,0)-MATCH($C$1,[1]quests!$1:$1,0)+1),MATCH(D$1,[1]quests!$1:$1,0)-MATCH($C$1,[1]quests!$1:$1,0)+1,FALSE)</f>
        <v>打ち下ろされる砕棒</v>
      </c>
      <c r="E910" s="3" t="str">
        <f ca="1">VLOOKUP($C910,OFFSET([1]quests!$A$1,0,0,COUNTA([1]quests!$A:$A),MATCH(E$1,[1]quests!$1:$1,0)-MATCH($C$1,[1]quests!$1:$1,0)+1),MATCH(E$1,[1]quests!$1:$1,0)-MATCH($C$1,[1]quests!$1:$1,0)+1,FALSE)</f>
        <v>ドロップイベント1-3（マルチ専用）</v>
      </c>
      <c r="F910" s="5">
        <v>2</v>
      </c>
      <c r="G910" s="3" t="str">
        <f ca="1">VLOOKUP($C910&amp;"_"&amp;$F910,OFFSET([1]stages!$A$1,0,0,COUNTA([1]stages!$A:$A),MATCH(G$1,[1]stages!$2:$2,0)-MATCH("temp_stage",[1]stages!$2:$2,0)+1),MATCH(G$1,[1]stages!$2:$2,0)-MATCH("temp_stage",[1]stages!$2:$2,0)+1,FALSE)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0" s="3" t="str">
        <f ca="1">VLOOKUP($C910&amp;"_"&amp;$F910,OFFSET([1]stages!$A$1,0,0,COUNTA([1]stages!$A:$A),MATCH(H$1,[1]stages!$2:$2,0)-MATCH("temp_stage",[1]stages!$2:$2,0)+1),MATCH(H$1,[1]stages!$2:$2,0)-MATCH("temp_stage",[1]stages!$2:$2,0)+1,FALSE)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0" s="18">
        <v>0</v>
      </c>
      <c r="J910" s="5">
        <f>COUNTIF(C$1:C910,C910)</f>
        <v>18</v>
      </c>
      <c r="K910" s="34">
        <v>22</v>
      </c>
      <c r="L910" s="5" t="s">
        <v>17</v>
      </c>
      <c r="M910" s="38" t="str">
        <f>VLOOKUP(K910,[2]stage_hints!$A:$C,3,FALSE)</f>
        <v>フィーバーで一発逆転（その1）</v>
      </c>
      <c r="N910" s="39" t="str">
        <f>VLOOKUP(K910,[2]stage_hints!$A:$D,4,FALSE)</f>
        <v>フィーバーは攻撃と回復を兼ね備えます
ピンチからの一発逆転を狙いましょう</v>
      </c>
      <c r="O910" s="20" t="s">
        <v>24</v>
      </c>
      <c r="P910">
        <v>22</v>
      </c>
    </row>
    <row r="911" spans="1:16" x14ac:dyDescent="0.15">
      <c r="A911" s="27" t="str">
        <f t="shared" si="77"/>
        <v>30003_2_19</v>
      </c>
      <c r="B911" s="25" t="s">
        <v>34</v>
      </c>
      <c r="C911" s="4">
        <v>30003</v>
      </c>
      <c r="D911" s="3" t="str">
        <f ca="1">VLOOKUP($C911,OFFSET([1]quests!$A$1,0,0,COUNTA([1]quests!$A:$A),MATCH(D$1,[1]quests!$1:$1,0)-MATCH($C$1,[1]quests!$1:$1,0)+1),MATCH(D$1,[1]quests!$1:$1,0)-MATCH($C$1,[1]quests!$1:$1,0)+1,FALSE)</f>
        <v>打ち下ろされる砕棒</v>
      </c>
      <c r="E911" s="3" t="str">
        <f ca="1">VLOOKUP($C911,OFFSET([1]quests!$A$1,0,0,COUNTA([1]quests!$A:$A),MATCH(E$1,[1]quests!$1:$1,0)-MATCH($C$1,[1]quests!$1:$1,0)+1),MATCH(E$1,[1]quests!$1:$1,0)-MATCH($C$1,[1]quests!$1:$1,0)+1,FALSE)</f>
        <v>ドロップイベント1-3（マルチ専用）</v>
      </c>
      <c r="F911" s="5">
        <v>2</v>
      </c>
      <c r="G911" s="3" t="str">
        <f ca="1">VLOOKUP($C911&amp;"_"&amp;$F911,OFFSET([1]stages!$A$1,0,0,COUNTA([1]stages!$A:$A),MATCH(G$1,[1]stages!$2:$2,0)-MATCH("temp_stage",[1]stages!$2:$2,0)+1),MATCH(G$1,[1]stages!$2:$2,0)-MATCH("temp_stage",[1]stages!$2:$2,0)+1,FALSE)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1" s="3" t="str">
        <f ca="1">VLOOKUP($C911&amp;"_"&amp;$F911,OFFSET([1]stages!$A$1,0,0,COUNTA([1]stages!$A:$A),MATCH(H$1,[1]stages!$2:$2,0)-MATCH("temp_stage",[1]stages!$2:$2,0)+1),MATCH(H$1,[1]stages!$2:$2,0)-MATCH("temp_stage",[1]stages!$2:$2,0)+1,FALSE)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1" s="18">
        <v>0</v>
      </c>
      <c r="J911" s="5">
        <f>COUNTIF(C$1:C911,C911)</f>
        <v>19</v>
      </c>
      <c r="K911" s="34">
        <v>23</v>
      </c>
      <c r="L911" s="5" t="s">
        <v>17</v>
      </c>
      <c r="M911" s="38" t="str">
        <f>VLOOKUP(K911,[2]stage_hints!$A:$C,3,FALSE)</f>
        <v>フィーバーで一発逆転（その2）</v>
      </c>
      <c r="N911" s="39" t="str">
        <f>VLOOKUP(K911,[2]stage_hints!$A:$D,4,FALSE)</f>
        <v>フィーバー中は虹色のボムパネルを狙って
画面上のパネルを一気に破壊しましょう</v>
      </c>
      <c r="O911" s="20" t="s">
        <v>24</v>
      </c>
      <c r="P911">
        <v>23</v>
      </c>
    </row>
    <row r="912" spans="1:16" x14ac:dyDescent="0.15">
      <c r="A912" s="27" t="str">
        <f t="shared" si="77"/>
        <v>30003_2_20</v>
      </c>
      <c r="B912" s="25" t="s">
        <v>34</v>
      </c>
      <c r="C912" s="4">
        <v>30003</v>
      </c>
      <c r="D912" s="3" t="str">
        <f ca="1">VLOOKUP($C912,OFFSET([1]quests!$A$1,0,0,COUNTA([1]quests!$A:$A),MATCH(D$1,[1]quests!$1:$1,0)-MATCH($C$1,[1]quests!$1:$1,0)+1),MATCH(D$1,[1]quests!$1:$1,0)-MATCH($C$1,[1]quests!$1:$1,0)+1,FALSE)</f>
        <v>打ち下ろされる砕棒</v>
      </c>
      <c r="E912" s="3" t="str">
        <f ca="1">VLOOKUP($C912,OFFSET([1]quests!$A$1,0,0,COUNTA([1]quests!$A:$A),MATCH(E$1,[1]quests!$1:$1,0)-MATCH($C$1,[1]quests!$1:$1,0)+1),MATCH(E$1,[1]quests!$1:$1,0)-MATCH($C$1,[1]quests!$1:$1,0)+1,FALSE)</f>
        <v>ドロップイベント1-3（マルチ専用）</v>
      </c>
      <c r="F912" s="5">
        <v>2</v>
      </c>
      <c r="G912" s="3" t="str">
        <f ca="1">VLOOKUP($C912&amp;"_"&amp;$F912,OFFSET([1]stages!$A$1,0,0,COUNTA([1]stages!$A:$A),MATCH(G$1,[1]stages!$2:$2,0)-MATCH("temp_stage",[1]stages!$2:$2,0)+1),MATCH(G$1,[1]stages!$2:$2,0)-MATCH("temp_stage",[1]stages!$2:$2,0)+1,FALSE)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2" s="3" t="str">
        <f ca="1">VLOOKUP($C912&amp;"_"&amp;$F912,OFFSET([1]stages!$A$1,0,0,COUNTA([1]stages!$A:$A),MATCH(H$1,[1]stages!$2:$2,0)-MATCH("temp_stage",[1]stages!$2:$2,0)+1),MATCH(H$1,[1]stages!$2:$2,0)-MATCH("temp_stage",[1]stages!$2:$2,0)+1,FALSE)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2" s="18">
        <v>0</v>
      </c>
      <c r="J912" s="5">
        <f>COUNTIF(C$1:C912,C912)</f>
        <v>20</v>
      </c>
      <c r="K912" s="34">
        <v>24</v>
      </c>
      <c r="L912" s="5" t="s">
        <v>17</v>
      </c>
      <c r="M912" s="38" t="str">
        <f>VLOOKUP(K912,[2]stage_hints!$A:$C,3,FALSE)</f>
        <v>りんごを使って限界突破</v>
      </c>
      <c r="N912" s="39" t="str">
        <f>VLOOKUP(K912,[2]stage_hints!$A:$D,4,FALSE)</f>
        <v>赤りんご(攻撃力) 青りんご(回復力)
緑りんご(体力)をユニット強化に使うと
ステータスが限界突破します（計99個迄）</v>
      </c>
      <c r="O912" s="20" t="s">
        <v>24</v>
      </c>
      <c r="P912">
        <v>24</v>
      </c>
    </row>
    <row r="913" spans="1:16" x14ac:dyDescent="0.15">
      <c r="A913" s="27" t="str">
        <f t="shared" si="77"/>
        <v>30003_2_21</v>
      </c>
      <c r="B913" s="25" t="s">
        <v>34</v>
      </c>
      <c r="C913" s="4">
        <v>30003</v>
      </c>
      <c r="D913" s="3" t="str">
        <f ca="1">VLOOKUP($C913,OFFSET([1]quests!$A$1,0,0,COUNTA([1]quests!$A:$A),MATCH(D$1,[1]quests!$1:$1,0)-MATCH($C$1,[1]quests!$1:$1,0)+1),MATCH(D$1,[1]quests!$1:$1,0)-MATCH($C$1,[1]quests!$1:$1,0)+1,FALSE)</f>
        <v>打ち下ろされる砕棒</v>
      </c>
      <c r="E913" s="3" t="str">
        <f ca="1">VLOOKUP($C913,OFFSET([1]quests!$A$1,0,0,COUNTA([1]quests!$A:$A),MATCH(E$1,[1]quests!$1:$1,0)-MATCH($C$1,[1]quests!$1:$1,0)+1),MATCH(E$1,[1]quests!$1:$1,0)-MATCH($C$1,[1]quests!$1:$1,0)+1,FALSE)</f>
        <v>ドロップイベント1-3（マルチ専用）</v>
      </c>
      <c r="F913" s="5">
        <v>2</v>
      </c>
      <c r="G913" s="3" t="str">
        <f ca="1">VLOOKUP($C913&amp;"_"&amp;$F913,OFFSET([1]stages!$A$1,0,0,COUNTA([1]stages!$A:$A),MATCH(G$1,[1]stages!$2:$2,0)-MATCH("temp_stage",[1]stages!$2:$2,0)+1),MATCH(G$1,[1]stages!$2:$2,0)-MATCH("temp_stage",[1]stages!$2:$2,0)+1,FALSE)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3" s="3" t="str">
        <f ca="1">VLOOKUP($C913&amp;"_"&amp;$F913,OFFSET([1]stages!$A$1,0,0,COUNTA([1]stages!$A:$A),MATCH(H$1,[1]stages!$2:$2,0)-MATCH("temp_stage",[1]stages!$2:$2,0)+1),MATCH(H$1,[1]stages!$2:$2,0)-MATCH("temp_stage",[1]stages!$2:$2,0)+1,FALSE)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3" s="18">
        <v>0</v>
      </c>
      <c r="J913" s="5">
        <f>COUNTIF(C$1:C913,C913)</f>
        <v>21</v>
      </c>
      <c r="K913" s="34">
        <v>25</v>
      </c>
      <c r="L913" s="5" t="s">
        <v>17</v>
      </c>
      <c r="M913" s="38" t="str">
        <f>VLOOKUP(K913,[2]stage_hints!$A:$C,3,FALSE)</f>
        <v>スキルレベルアップ</v>
      </c>
      <c r="N913" s="39" t="str">
        <f>VLOOKUP(K913,[2]stage_hints!$A:$D,4,FALSE)</f>
        <v>「クリスタルのりんご」を強化に使うと
スキルレベルを上げることができます</v>
      </c>
      <c r="O913" s="20" t="s">
        <v>24</v>
      </c>
      <c r="P913">
        <v>25</v>
      </c>
    </row>
    <row r="914" spans="1:16" x14ac:dyDescent="0.15">
      <c r="A914" s="27" t="str">
        <f t="shared" si="77"/>
        <v>30003_2_22</v>
      </c>
      <c r="B914" s="25" t="s">
        <v>34</v>
      </c>
      <c r="C914" s="4">
        <v>30003</v>
      </c>
      <c r="D914" s="3" t="str">
        <f ca="1">VLOOKUP($C914,OFFSET([1]quests!$A$1,0,0,COUNTA([1]quests!$A:$A),MATCH(D$1,[1]quests!$1:$1,0)-MATCH($C$1,[1]quests!$1:$1,0)+1),MATCH(D$1,[1]quests!$1:$1,0)-MATCH($C$1,[1]quests!$1:$1,0)+1,FALSE)</f>
        <v>打ち下ろされる砕棒</v>
      </c>
      <c r="E914" s="3" t="str">
        <f ca="1">VLOOKUP($C914,OFFSET([1]quests!$A$1,0,0,COUNTA([1]quests!$A:$A),MATCH(E$1,[1]quests!$1:$1,0)-MATCH($C$1,[1]quests!$1:$1,0)+1),MATCH(E$1,[1]quests!$1:$1,0)-MATCH($C$1,[1]quests!$1:$1,0)+1,FALSE)</f>
        <v>ドロップイベント1-3（マルチ専用）</v>
      </c>
      <c r="F914" s="5">
        <v>2</v>
      </c>
      <c r="G914" s="3" t="str">
        <f ca="1">VLOOKUP($C914&amp;"_"&amp;$F914,OFFSET([1]stages!$A$1,0,0,COUNTA([1]stages!$A:$A),MATCH(G$1,[1]stages!$2:$2,0)-MATCH("temp_stage",[1]stages!$2:$2,0)+1),MATCH(G$1,[1]stages!$2:$2,0)-MATCH("temp_stage",[1]stages!$2:$2,0)+1,FALSE)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4" s="3" t="str">
        <f ca="1">VLOOKUP($C914&amp;"_"&amp;$F914,OFFSET([1]stages!$A$1,0,0,COUNTA([1]stages!$A:$A),MATCH(H$1,[1]stages!$2:$2,0)-MATCH("temp_stage",[1]stages!$2:$2,0)+1),MATCH(H$1,[1]stages!$2:$2,0)-MATCH("temp_stage",[1]stages!$2:$2,0)+1,FALSE)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4" s="18">
        <v>0</v>
      </c>
      <c r="J914" s="5">
        <f>COUNTIF(C$1:C914,C914)</f>
        <v>22</v>
      </c>
      <c r="K914" s="34">
        <v>26</v>
      </c>
      <c r="L914" s="5" t="s">
        <v>17</v>
      </c>
      <c r="M914" s="38" t="str">
        <f>VLOOKUP(K914,[2]stage_hints!$A:$C,3,FALSE)</f>
        <v>スキルレベルの効果</v>
      </c>
      <c r="N914" s="39" t="str">
        <f>VLOOKUP(K914,[2]stage_hints!$A:$D,4,FALSE)</f>
        <v>スキルレベルが上がると
短いターンでスキルを使うことができます</v>
      </c>
      <c r="O914" s="20" t="s">
        <v>24</v>
      </c>
      <c r="P914">
        <v>26</v>
      </c>
    </row>
    <row r="915" spans="1:16" x14ac:dyDescent="0.15">
      <c r="A915" s="27" t="str">
        <f t="shared" si="77"/>
        <v>30003_2_23</v>
      </c>
      <c r="B915" s="25" t="s">
        <v>34</v>
      </c>
      <c r="C915" s="4">
        <v>30003</v>
      </c>
      <c r="D915" s="3" t="str">
        <f ca="1">VLOOKUP($C915,OFFSET([1]quests!$A$1,0,0,COUNTA([1]quests!$A:$A),MATCH(D$1,[1]quests!$1:$1,0)-MATCH($C$1,[1]quests!$1:$1,0)+1),MATCH(D$1,[1]quests!$1:$1,0)-MATCH($C$1,[1]quests!$1:$1,0)+1,FALSE)</f>
        <v>打ち下ろされる砕棒</v>
      </c>
      <c r="E915" s="3" t="str">
        <f ca="1">VLOOKUP($C915,OFFSET([1]quests!$A$1,0,0,COUNTA([1]quests!$A:$A),MATCH(E$1,[1]quests!$1:$1,0)-MATCH($C$1,[1]quests!$1:$1,0)+1),MATCH(E$1,[1]quests!$1:$1,0)-MATCH($C$1,[1]quests!$1:$1,0)+1,FALSE)</f>
        <v>ドロップイベント1-3（マルチ専用）</v>
      </c>
      <c r="F915" s="5">
        <v>2</v>
      </c>
      <c r="G915" s="3" t="str">
        <f ca="1">VLOOKUP($C915&amp;"_"&amp;$F915,OFFSET([1]stages!$A$1,0,0,COUNTA([1]stages!$A:$A),MATCH(G$1,[1]stages!$2:$2,0)-MATCH("temp_stage",[1]stages!$2:$2,0)+1),MATCH(G$1,[1]stages!$2:$2,0)-MATCH("temp_stage",[1]stages!$2:$2,0)+1,FALSE)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5" s="3" t="str">
        <f ca="1">VLOOKUP($C915&amp;"_"&amp;$F915,OFFSET([1]stages!$A$1,0,0,COUNTA([1]stages!$A:$A),MATCH(H$1,[1]stages!$2:$2,0)-MATCH("temp_stage",[1]stages!$2:$2,0)+1),MATCH(H$1,[1]stages!$2:$2,0)-MATCH("temp_stage",[1]stages!$2:$2,0)+1,FALSE)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5" s="18">
        <v>0</v>
      </c>
      <c r="J915" s="5">
        <f>COUNTIF(C$1:C915,C915)</f>
        <v>23</v>
      </c>
      <c r="K915" s="34">
        <v>27</v>
      </c>
      <c r="L915" s="5" t="s">
        <v>17</v>
      </c>
      <c r="M915" s="38" t="str">
        <f>VLOOKUP(K915,[2]stage_hints!$A:$C,3,FALSE)</f>
        <v>ホーム画面からデッキを編成</v>
      </c>
      <c r="N915" s="39" t="str">
        <f>VLOOKUP(K915,[2]stage_hints!$A:$D,4,FALSE)</f>
        <v>ホーム画面でユニットを長押しすると
すぐにパーティ編成に移動できます</v>
      </c>
      <c r="O915" s="20" t="s">
        <v>24</v>
      </c>
      <c r="P915">
        <v>27</v>
      </c>
    </row>
    <row r="916" spans="1:16" x14ac:dyDescent="0.15">
      <c r="A916" s="27" t="str">
        <f t="shared" si="77"/>
        <v>30003_2_24</v>
      </c>
      <c r="B916" s="25" t="s">
        <v>34</v>
      </c>
      <c r="C916" s="4">
        <v>30003</v>
      </c>
      <c r="D916" s="3" t="str">
        <f ca="1">VLOOKUP($C916,OFFSET([1]quests!$A$1,0,0,COUNTA([1]quests!$A:$A),MATCH(D$1,[1]quests!$1:$1,0)-MATCH($C$1,[1]quests!$1:$1,0)+1),MATCH(D$1,[1]quests!$1:$1,0)-MATCH($C$1,[1]quests!$1:$1,0)+1,FALSE)</f>
        <v>打ち下ろされる砕棒</v>
      </c>
      <c r="E916" s="3" t="str">
        <f ca="1">VLOOKUP($C916,OFFSET([1]quests!$A$1,0,0,COUNTA([1]quests!$A:$A),MATCH(E$1,[1]quests!$1:$1,0)-MATCH($C$1,[1]quests!$1:$1,0)+1),MATCH(E$1,[1]quests!$1:$1,0)-MATCH($C$1,[1]quests!$1:$1,0)+1,FALSE)</f>
        <v>ドロップイベント1-3（マルチ専用）</v>
      </c>
      <c r="F916" s="5">
        <v>2</v>
      </c>
      <c r="G916" s="3" t="str">
        <f ca="1">VLOOKUP($C916&amp;"_"&amp;$F916,OFFSET([1]stages!$A$1,0,0,COUNTA([1]stages!$A:$A),MATCH(G$1,[1]stages!$2:$2,0)-MATCH("temp_stage",[1]stages!$2:$2,0)+1),MATCH(G$1,[1]stages!$2:$2,0)-MATCH("temp_stage",[1]stages!$2:$2,0)+1,FALSE)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6" s="3" t="str">
        <f ca="1">VLOOKUP($C916&amp;"_"&amp;$F916,OFFSET([1]stages!$A$1,0,0,COUNTA([1]stages!$A:$A),MATCH(H$1,[1]stages!$2:$2,0)-MATCH("temp_stage",[1]stages!$2:$2,0)+1),MATCH(H$1,[1]stages!$2:$2,0)-MATCH("temp_stage",[1]stages!$2:$2,0)+1,FALSE)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6" s="18">
        <v>0</v>
      </c>
      <c r="J916" s="5">
        <f>COUNTIF(C$1:C916,C916)</f>
        <v>24</v>
      </c>
      <c r="K916" s="34">
        <v>28</v>
      </c>
      <c r="L916" s="5" t="s">
        <v>17</v>
      </c>
      <c r="M916" s="38" t="str">
        <f>VLOOKUP(K916,[2]stage_hints!$A:$C,3,FALSE)</f>
        <v>ステータス情報は長押しで</v>
      </c>
      <c r="N916" s="39" t="str">
        <f>VLOOKUP(K916,[2]stage_hints!$A:$D,4,FALSE)</f>
        <v>ユニットのアイコンを長押しすると
ステータス情報を確認することができます</v>
      </c>
      <c r="O916" s="20" t="s">
        <v>24</v>
      </c>
      <c r="P916">
        <v>28</v>
      </c>
    </row>
    <row r="917" spans="1:16" x14ac:dyDescent="0.15">
      <c r="A917" s="27" t="str">
        <f t="shared" si="77"/>
        <v>30003_2_25</v>
      </c>
      <c r="B917" s="25" t="s">
        <v>34</v>
      </c>
      <c r="C917" s="4">
        <v>30003</v>
      </c>
      <c r="D917" s="3" t="str">
        <f ca="1">VLOOKUP($C917,OFFSET([1]quests!$A$1,0,0,COUNTA([1]quests!$A:$A),MATCH(D$1,[1]quests!$1:$1,0)-MATCH($C$1,[1]quests!$1:$1,0)+1),MATCH(D$1,[1]quests!$1:$1,0)-MATCH($C$1,[1]quests!$1:$1,0)+1,FALSE)</f>
        <v>打ち下ろされる砕棒</v>
      </c>
      <c r="E917" s="3" t="str">
        <f ca="1">VLOOKUP($C917,OFFSET([1]quests!$A$1,0,0,COUNTA([1]quests!$A:$A),MATCH(E$1,[1]quests!$1:$1,0)-MATCH($C$1,[1]quests!$1:$1,0)+1),MATCH(E$1,[1]quests!$1:$1,0)-MATCH($C$1,[1]quests!$1:$1,0)+1,FALSE)</f>
        <v>ドロップイベント1-3（マルチ専用）</v>
      </c>
      <c r="F917" s="5">
        <v>2</v>
      </c>
      <c r="G917" s="3" t="str">
        <f ca="1">VLOOKUP($C917&amp;"_"&amp;$F917,OFFSET([1]stages!$A$1,0,0,COUNTA([1]stages!$A:$A),MATCH(G$1,[1]stages!$2:$2,0)-MATCH("temp_stage",[1]stages!$2:$2,0)+1),MATCH(G$1,[1]stages!$2:$2,0)-MATCH("temp_stage",[1]stages!$2:$2,0)+1,FALSE)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7" s="3" t="str">
        <f ca="1">VLOOKUP($C917&amp;"_"&amp;$F917,OFFSET([1]stages!$A$1,0,0,COUNTA([1]stages!$A:$A),MATCH(H$1,[1]stages!$2:$2,0)-MATCH("temp_stage",[1]stages!$2:$2,0)+1),MATCH(H$1,[1]stages!$2:$2,0)-MATCH("temp_stage",[1]stages!$2:$2,0)+1,FALSE)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7" s="18">
        <v>0</v>
      </c>
      <c r="J917" s="5">
        <f>COUNTIF(C$1:C917,C917)</f>
        <v>25</v>
      </c>
      <c r="K917" s="34">
        <v>29</v>
      </c>
      <c r="L917" s="5" t="s">
        <v>17</v>
      </c>
      <c r="M917" s="38" t="str">
        <f>VLOOKUP(K917,[2]stage_hints!$A:$C,3,FALSE)</f>
        <v>「バグ」のメリット</v>
      </c>
      <c r="N917" s="39" t="str">
        <f>VLOOKUP(K917,[2]stage_hints!$A:$D,4,FALSE)</f>
        <v>ユニットの「バグ」を増やすと
報酬をもらえる確率がアップします</v>
      </c>
      <c r="O917" s="20" t="s">
        <v>24</v>
      </c>
      <c r="P917">
        <v>29</v>
      </c>
    </row>
    <row r="918" spans="1:16" x14ac:dyDescent="0.15">
      <c r="A918" s="27" t="str">
        <f t="shared" si="77"/>
        <v>30003_2_26</v>
      </c>
      <c r="B918" s="25" t="s">
        <v>34</v>
      </c>
      <c r="C918" s="4">
        <v>30003</v>
      </c>
      <c r="D918" s="3" t="str">
        <f ca="1">VLOOKUP($C918,OFFSET([1]quests!$A$1,0,0,COUNTA([1]quests!$A:$A),MATCH(D$1,[1]quests!$1:$1,0)-MATCH($C$1,[1]quests!$1:$1,0)+1),MATCH(D$1,[1]quests!$1:$1,0)-MATCH($C$1,[1]quests!$1:$1,0)+1,FALSE)</f>
        <v>打ち下ろされる砕棒</v>
      </c>
      <c r="E918" s="3" t="str">
        <f ca="1">VLOOKUP($C918,OFFSET([1]quests!$A$1,0,0,COUNTA([1]quests!$A:$A),MATCH(E$1,[1]quests!$1:$1,0)-MATCH($C$1,[1]quests!$1:$1,0)+1),MATCH(E$1,[1]quests!$1:$1,0)-MATCH($C$1,[1]quests!$1:$1,0)+1,FALSE)</f>
        <v>ドロップイベント1-3（マルチ専用）</v>
      </c>
      <c r="F918" s="5">
        <v>2</v>
      </c>
      <c r="G918" s="3" t="str">
        <f ca="1">VLOOKUP($C918&amp;"_"&amp;$F918,OFFSET([1]stages!$A$1,0,0,COUNTA([1]stages!$A:$A),MATCH(G$1,[1]stages!$2:$2,0)-MATCH("temp_stage",[1]stages!$2:$2,0)+1),MATCH(G$1,[1]stages!$2:$2,0)-MATCH("temp_stage",[1]stages!$2:$2,0)+1,FALSE)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8" s="3" t="str">
        <f ca="1">VLOOKUP($C918&amp;"_"&amp;$F918,OFFSET([1]stages!$A$1,0,0,COUNTA([1]stages!$A:$A),MATCH(H$1,[1]stages!$2:$2,0)-MATCH("temp_stage",[1]stages!$2:$2,0)+1),MATCH(H$1,[1]stages!$2:$2,0)-MATCH("temp_stage",[1]stages!$2:$2,0)+1,FALSE)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8" s="18">
        <v>0</v>
      </c>
      <c r="J918" s="5">
        <f>COUNTIF(C$1:C918,C918)</f>
        <v>26</v>
      </c>
      <c r="K918" s="34">
        <v>30</v>
      </c>
      <c r="L918" s="5" t="s">
        <v>17</v>
      </c>
      <c r="M918" s="38" t="str">
        <f>VLOOKUP(K918,[2]stage_hints!$A:$C,3,FALSE)</f>
        <v>「バグ」の増やし方</v>
      </c>
      <c r="N918" s="39" t="str">
        <f>VLOOKUP(K918,[2]stage_hints!$A:$D,4,FALSE)</f>
        <v>同じユニット同士を強化で合成すると
「バグ」を増やすことができます</v>
      </c>
      <c r="O918" s="20" t="s">
        <v>24</v>
      </c>
      <c r="P918">
        <v>30</v>
      </c>
    </row>
    <row r="919" spans="1:16" x14ac:dyDescent="0.15">
      <c r="A919" s="27" t="str">
        <f t="shared" si="77"/>
        <v>30003_2_27</v>
      </c>
      <c r="B919" s="25" t="s">
        <v>34</v>
      </c>
      <c r="C919" s="4">
        <v>30003</v>
      </c>
      <c r="D919" s="3" t="str">
        <f ca="1">VLOOKUP($C919,OFFSET([1]quests!$A$1,0,0,COUNTA([1]quests!$A:$A),MATCH(D$1,[1]quests!$1:$1,0)-MATCH($C$1,[1]quests!$1:$1,0)+1),MATCH(D$1,[1]quests!$1:$1,0)-MATCH($C$1,[1]quests!$1:$1,0)+1,FALSE)</f>
        <v>打ち下ろされる砕棒</v>
      </c>
      <c r="E919" s="3" t="str">
        <f ca="1">VLOOKUP($C919,OFFSET([1]quests!$A$1,0,0,COUNTA([1]quests!$A:$A),MATCH(E$1,[1]quests!$1:$1,0)-MATCH($C$1,[1]quests!$1:$1,0)+1),MATCH(E$1,[1]quests!$1:$1,0)-MATCH($C$1,[1]quests!$1:$1,0)+1,FALSE)</f>
        <v>ドロップイベント1-3（マルチ専用）</v>
      </c>
      <c r="F919" s="5">
        <v>2</v>
      </c>
      <c r="G919" s="3" t="str">
        <f ca="1">VLOOKUP($C919&amp;"_"&amp;$F919,OFFSET([1]stages!$A$1,0,0,COUNTA([1]stages!$A:$A),MATCH(G$1,[1]stages!$2:$2,0)-MATCH("temp_stage",[1]stages!$2:$2,0)+1),MATCH(G$1,[1]stages!$2:$2,0)-MATCH("temp_stage",[1]stages!$2:$2,0)+1,FALSE)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19" s="3" t="str">
        <f ca="1">VLOOKUP($C919&amp;"_"&amp;$F919,OFFSET([1]stages!$A$1,0,0,COUNTA([1]stages!$A:$A),MATCH(H$1,[1]stages!$2:$2,0)-MATCH("temp_stage",[1]stages!$2:$2,0)+1),MATCH(H$1,[1]stages!$2:$2,0)-MATCH("temp_stage",[1]stages!$2:$2,0)+1,FALSE)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19" s="18">
        <v>0</v>
      </c>
      <c r="J919" s="5">
        <f>COUNTIF(C$1:C919,C919)</f>
        <v>27</v>
      </c>
      <c r="K919" s="34">
        <v>31</v>
      </c>
      <c r="L919" s="5" t="s">
        <v>17</v>
      </c>
      <c r="M919" s="38" t="str">
        <f>VLOOKUP(K919,[2]stage_hints!$A:$C,3,FALSE)</f>
        <v>イベントはお知らせでチェック</v>
      </c>
      <c r="N919" s="39" t="str">
        <f>VLOOKUP(K919,[2]stage_hints!$A:$D,4,FALSE)</f>
        <v>イベント限定ユニットを取り忘れないように
お知らせをこまめにチェックしましょう</v>
      </c>
      <c r="O919" s="20" t="s">
        <v>24</v>
      </c>
      <c r="P919">
        <v>31</v>
      </c>
    </row>
    <row r="920" spans="1:16" x14ac:dyDescent="0.15">
      <c r="A920" s="27" t="str">
        <f t="shared" si="77"/>
        <v>30003_2_28</v>
      </c>
      <c r="B920" s="25" t="s">
        <v>34</v>
      </c>
      <c r="C920" s="4">
        <v>30003</v>
      </c>
      <c r="D920" s="3" t="str">
        <f ca="1">VLOOKUP($C920,OFFSET([1]quests!$A$1,0,0,COUNTA([1]quests!$A:$A),MATCH(D$1,[1]quests!$1:$1,0)-MATCH($C$1,[1]quests!$1:$1,0)+1),MATCH(D$1,[1]quests!$1:$1,0)-MATCH($C$1,[1]quests!$1:$1,0)+1,FALSE)</f>
        <v>打ち下ろされる砕棒</v>
      </c>
      <c r="E920" s="3" t="str">
        <f ca="1">VLOOKUP($C920,OFFSET([1]quests!$A$1,0,0,COUNTA([1]quests!$A:$A),MATCH(E$1,[1]quests!$1:$1,0)-MATCH($C$1,[1]quests!$1:$1,0)+1),MATCH(E$1,[1]quests!$1:$1,0)-MATCH($C$1,[1]quests!$1:$1,0)+1,FALSE)</f>
        <v>ドロップイベント1-3（マルチ専用）</v>
      </c>
      <c r="F920" s="5">
        <v>2</v>
      </c>
      <c r="G920" s="3" t="str">
        <f ca="1">VLOOKUP($C920&amp;"_"&amp;$F920,OFFSET([1]stages!$A$1,0,0,COUNTA([1]stages!$A:$A),MATCH(G$1,[1]stages!$2:$2,0)-MATCH("temp_stage",[1]stages!$2:$2,0)+1),MATCH(G$1,[1]stages!$2:$2,0)-MATCH("temp_stage",[1]stages!$2:$2,0)+1,FALSE)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20" s="3" t="str">
        <f ca="1">VLOOKUP($C920&amp;"_"&amp;$F920,OFFSET([1]stages!$A$1,0,0,COUNTA([1]stages!$A:$A),MATCH(H$1,[1]stages!$2:$2,0)-MATCH("temp_stage",[1]stages!$2:$2,0)+1),MATCH(H$1,[1]stages!$2:$2,0)-MATCH("temp_stage",[1]stages!$2:$2,0)+1,FALSE)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20" s="18">
        <v>0</v>
      </c>
      <c r="J920" s="5">
        <f>COUNTIF(C$1:C920,C920)</f>
        <v>28</v>
      </c>
      <c r="K920" s="34">
        <v>32</v>
      </c>
      <c r="L920" s="5" t="s">
        <v>17</v>
      </c>
      <c r="M920" s="38" t="str">
        <f>VLOOKUP(K920,[2]stage_hints!$A:$C,3,FALSE)</f>
        <v>敵の連続攻撃には</v>
      </c>
      <c r="N920" s="39" t="str">
        <f>VLOOKUP(K920,[2]stage_hints!$A:$D,4,FALSE)</f>
        <v>カウンタースキルを持つユニットがいれば
ダメージ回数分の反撃ができます</v>
      </c>
      <c r="O920" s="20" t="s">
        <v>24</v>
      </c>
      <c r="P920">
        <v>32</v>
      </c>
    </row>
    <row r="921" spans="1:16" x14ac:dyDescent="0.15">
      <c r="A921" s="27" t="str">
        <f t="shared" si="77"/>
        <v>30003_2_29</v>
      </c>
      <c r="B921" s="25" t="s">
        <v>34</v>
      </c>
      <c r="C921" s="4">
        <v>30003</v>
      </c>
      <c r="D921" s="3" t="str">
        <f ca="1">VLOOKUP($C921,OFFSET([1]quests!$A$1,0,0,COUNTA([1]quests!$A:$A),MATCH(D$1,[1]quests!$1:$1,0)-MATCH($C$1,[1]quests!$1:$1,0)+1),MATCH(D$1,[1]quests!$1:$1,0)-MATCH($C$1,[1]quests!$1:$1,0)+1,FALSE)</f>
        <v>打ち下ろされる砕棒</v>
      </c>
      <c r="E921" s="3" t="str">
        <f ca="1">VLOOKUP($C921,OFFSET([1]quests!$A$1,0,0,COUNTA([1]quests!$A:$A),MATCH(E$1,[1]quests!$1:$1,0)-MATCH($C$1,[1]quests!$1:$1,0)+1),MATCH(E$1,[1]quests!$1:$1,0)-MATCH($C$1,[1]quests!$1:$1,0)+1,FALSE)</f>
        <v>ドロップイベント1-3（マルチ専用）</v>
      </c>
      <c r="F921" s="5">
        <v>2</v>
      </c>
      <c r="G921" s="3" t="str">
        <f ca="1">VLOOKUP($C921&amp;"_"&amp;$F921,OFFSET([1]stages!$A$1,0,0,COUNTA([1]stages!$A:$A),MATCH(G$1,[1]stages!$2:$2,0)-MATCH("temp_stage",[1]stages!$2:$2,0)+1),MATCH(G$1,[1]stages!$2:$2,0)-MATCH("temp_stage",[1]stages!$2:$2,0)+1,FALSE)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21" s="3" t="str">
        <f ca="1">VLOOKUP($C921&amp;"_"&amp;$F921,OFFSET([1]stages!$A$1,0,0,COUNTA([1]stages!$A:$A),MATCH(H$1,[1]stages!$2:$2,0)-MATCH("temp_stage",[1]stages!$2:$2,0)+1),MATCH(H$1,[1]stages!$2:$2,0)-MATCH("temp_stage",[1]stages!$2:$2,0)+1,FALSE)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21" s="18">
        <v>0</v>
      </c>
      <c r="J921" s="5">
        <f>COUNTIF(C$1:C921,C921)</f>
        <v>29</v>
      </c>
      <c r="K921" s="34">
        <v>33</v>
      </c>
      <c r="L921" s="5" t="s">
        <v>17</v>
      </c>
      <c r="M921" s="38" t="str">
        <f>VLOOKUP(K921,[2]stage_hints!$A:$C,3,FALSE)</f>
        <v>敵のカウンター攻撃には</v>
      </c>
      <c r="N921" s="39" t="str">
        <f>VLOOKUP(K921,[2]stage_hints!$A:$D,4,FALSE)</f>
        <v>カウンターブレイクスキルを持っていれば
敵のカウンターを解除して攻撃ができます</v>
      </c>
      <c r="O921" s="20" t="s">
        <v>24</v>
      </c>
      <c r="P921">
        <v>33</v>
      </c>
    </row>
    <row r="922" spans="1:16" x14ac:dyDescent="0.15">
      <c r="A922" s="27" t="str">
        <f t="shared" si="77"/>
        <v>30003_2_30</v>
      </c>
      <c r="B922" s="25" t="s">
        <v>34</v>
      </c>
      <c r="C922" s="4">
        <v>30003</v>
      </c>
      <c r="D922" s="3" t="str">
        <f ca="1">VLOOKUP($C922,OFFSET([1]quests!$A$1,0,0,COUNTA([1]quests!$A:$A),MATCH(D$1,[1]quests!$1:$1,0)-MATCH($C$1,[1]quests!$1:$1,0)+1),MATCH(D$1,[1]quests!$1:$1,0)-MATCH($C$1,[1]quests!$1:$1,0)+1,FALSE)</f>
        <v>打ち下ろされる砕棒</v>
      </c>
      <c r="E922" s="3" t="str">
        <f ca="1">VLOOKUP($C922,OFFSET([1]quests!$A$1,0,0,COUNTA([1]quests!$A:$A),MATCH(E$1,[1]quests!$1:$1,0)-MATCH($C$1,[1]quests!$1:$1,0)+1),MATCH(E$1,[1]quests!$1:$1,0)-MATCH($C$1,[1]quests!$1:$1,0)+1,FALSE)</f>
        <v>ドロップイベント1-3（マルチ専用）</v>
      </c>
      <c r="F922" s="5">
        <v>2</v>
      </c>
      <c r="G922" s="3" t="str">
        <f ca="1">VLOOKUP($C922&amp;"_"&amp;$F922,OFFSET([1]stages!$A$1,0,0,COUNTA([1]stages!$A:$A),MATCH(G$1,[1]stages!$2:$2,0)-MATCH("temp_stage",[1]stages!$2:$2,0)+1),MATCH(G$1,[1]stages!$2:$2,0)-MATCH("temp_stage",[1]stages!$2:$2,0)+1,FALSE)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22" s="3" t="str">
        <f ca="1">VLOOKUP($C922&amp;"_"&amp;$F922,OFFSET([1]stages!$A$1,0,0,COUNTA([1]stages!$A:$A),MATCH(H$1,[1]stages!$2:$2,0)-MATCH("temp_stage",[1]stages!$2:$2,0)+1),MATCH(H$1,[1]stages!$2:$2,0)-MATCH("temp_stage",[1]stages!$2:$2,0)+1,FALSE)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22" s="18">
        <v>0</v>
      </c>
      <c r="J922" s="5">
        <f>COUNTIF(C$1:C922,C922)</f>
        <v>30</v>
      </c>
      <c r="K922" s="34">
        <v>34</v>
      </c>
      <c r="L922" s="5" t="s">
        <v>17</v>
      </c>
      <c r="M922" s="38" t="str">
        <f>VLOOKUP(K922,[2]stage_hints!$A:$C,3,FALSE)</f>
        <v>ステータスをスキルで下げられたら</v>
      </c>
      <c r="N922" s="39" t="str">
        <f>VLOOKUP(K922,[2]stage_hints!$A:$D,4,FALSE)</f>
        <v>ステータスダウンのスキルを受けたら
ステータスアップスキルで上書きしましょう</v>
      </c>
      <c r="O922" s="20" t="s">
        <v>24</v>
      </c>
      <c r="P922">
        <v>34</v>
      </c>
    </row>
    <row r="923" spans="1:16" x14ac:dyDescent="0.15">
      <c r="A923" s="27" t="str">
        <f t="shared" si="77"/>
        <v>30003_2_31</v>
      </c>
      <c r="B923" s="25" t="s">
        <v>34</v>
      </c>
      <c r="C923" s="4">
        <v>30003</v>
      </c>
      <c r="D923" s="3" t="str">
        <f ca="1">VLOOKUP($C923,OFFSET([1]quests!$A$1,0,0,COUNTA([1]quests!$A:$A),MATCH(D$1,[1]quests!$1:$1,0)-MATCH($C$1,[1]quests!$1:$1,0)+1),MATCH(D$1,[1]quests!$1:$1,0)-MATCH($C$1,[1]quests!$1:$1,0)+1,FALSE)</f>
        <v>打ち下ろされる砕棒</v>
      </c>
      <c r="E923" s="3" t="str">
        <f ca="1">VLOOKUP($C923,OFFSET([1]quests!$A$1,0,0,COUNTA([1]quests!$A:$A),MATCH(E$1,[1]quests!$1:$1,0)-MATCH($C$1,[1]quests!$1:$1,0)+1),MATCH(E$1,[1]quests!$1:$1,0)-MATCH($C$1,[1]quests!$1:$1,0)+1,FALSE)</f>
        <v>ドロップイベント1-3（マルチ専用）</v>
      </c>
      <c r="F923" s="5">
        <v>2</v>
      </c>
      <c r="G923" s="3" t="str">
        <f ca="1">VLOOKUP($C923&amp;"_"&amp;$F923,OFFSET([1]stages!$A$1,0,0,COUNTA([1]stages!$A:$A),MATCH(G$1,[1]stages!$2:$2,0)-MATCH("temp_stage",[1]stages!$2:$2,0)+1),MATCH(G$1,[1]stages!$2:$2,0)-MATCH("temp_stage",[1]stages!$2:$2,0)+1,FALSE)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23" s="3" t="str">
        <f ca="1">VLOOKUP($C923&amp;"_"&amp;$F923,OFFSET([1]stages!$A$1,0,0,COUNTA([1]stages!$A:$A),MATCH(H$1,[1]stages!$2:$2,0)-MATCH("temp_stage",[1]stages!$2:$2,0)+1),MATCH(H$1,[1]stages!$2:$2,0)-MATCH("temp_stage",[1]stages!$2:$2,0)+1,FALSE)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23" s="18">
        <v>0</v>
      </c>
      <c r="J923" s="5">
        <f>COUNTIF(C$1:C923,C923)</f>
        <v>31</v>
      </c>
      <c r="K923" s="34">
        <v>35</v>
      </c>
      <c r="L923" s="5" t="s">
        <v>17</v>
      </c>
      <c r="M923" s="38" t="str">
        <f>VLOOKUP(K923,[2]stage_hints!$A:$C,3,FALSE)</f>
        <v>敵のステータスがスキルで上がったら</v>
      </c>
      <c r="N923" s="39" t="str">
        <f>VLOOKUP(K923,[2]stage_hints!$A:$D,4,FALSE)</f>
        <v>敵のステータスがスキルでアップしたときは
ステータスダウンスキルで上書きしましょう</v>
      </c>
      <c r="O923" s="20" t="s">
        <v>24</v>
      </c>
      <c r="P923">
        <v>35</v>
      </c>
    </row>
    <row r="924" spans="1:16" x14ac:dyDescent="0.15">
      <c r="A924" s="27" t="str">
        <f t="shared" si="77"/>
        <v>30003_2_32</v>
      </c>
      <c r="B924" s="25" t="s">
        <v>34</v>
      </c>
      <c r="C924" s="4">
        <v>30003</v>
      </c>
      <c r="D924" s="3" t="str">
        <f ca="1">VLOOKUP($C924,OFFSET([1]quests!$A$1,0,0,COUNTA([1]quests!$A:$A),MATCH(D$1,[1]quests!$1:$1,0)-MATCH($C$1,[1]quests!$1:$1,0)+1),MATCH(D$1,[1]quests!$1:$1,0)-MATCH($C$1,[1]quests!$1:$1,0)+1,FALSE)</f>
        <v>打ち下ろされる砕棒</v>
      </c>
      <c r="E924" s="3" t="str">
        <f ca="1">VLOOKUP($C924,OFFSET([1]quests!$A$1,0,0,COUNTA([1]quests!$A:$A),MATCH(E$1,[1]quests!$1:$1,0)-MATCH($C$1,[1]quests!$1:$1,0)+1),MATCH(E$1,[1]quests!$1:$1,0)-MATCH($C$1,[1]quests!$1:$1,0)+1,FALSE)</f>
        <v>ドロップイベント1-3（マルチ専用）</v>
      </c>
      <c r="F924" s="5">
        <v>2</v>
      </c>
      <c r="G924" s="3" t="str">
        <f ca="1">VLOOKUP($C924&amp;"_"&amp;$F924,OFFSET([1]stages!$A$1,0,0,COUNTA([1]stages!$A:$A),MATCH(G$1,[1]stages!$2:$2,0)-MATCH("temp_stage",[1]stages!$2:$2,0)+1),MATCH(G$1,[1]stages!$2:$2,0)-MATCH("temp_stage",[1]stages!$2:$2,0)+1,FALSE)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24" s="3" t="str">
        <f ca="1">VLOOKUP($C924&amp;"_"&amp;$F924,OFFSET([1]stages!$A$1,0,0,COUNTA([1]stages!$A:$A),MATCH(H$1,[1]stages!$2:$2,0)-MATCH("temp_stage",[1]stages!$2:$2,0)+1),MATCH(H$1,[1]stages!$2:$2,0)-MATCH("temp_stage",[1]stages!$2:$2,0)+1,FALSE)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24" s="18">
        <v>0</v>
      </c>
      <c r="J924" s="5">
        <f>COUNTIF(C$1:C924,C924)</f>
        <v>32</v>
      </c>
      <c r="K924" s="34">
        <v>36</v>
      </c>
      <c r="L924" s="5" t="s">
        <v>17</v>
      </c>
      <c r="M924" s="38" t="str">
        <f>VLOOKUP(K924,[2]stage_hints!$A:$C,3,FALSE)</f>
        <v>チャレンジタワーのボス</v>
      </c>
      <c r="N924" s="39" t="str">
        <f>VLOOKUP(K924,[2]stage_hints!$A:$D,4,FALSE)</f>
        <v>チャレンジタワーでのみ登場するボスは
一定確率で獲得することができます</v>
      </c>
      <c r="O924" s="20" t="s">
        <v>24</v>
      </c>
      <c r="P924">
        <v>36</v>
      </c>
    </row>
    <row r="925" spans="1:16" x14ac:dyDescent="0.15">
      <c r="A925" s="27" t="str">
        <f t="shared" si="77"/>
        <v>30003_2_33</v>
      </c>
      <c r="B925" s="25" t="s">
        <v>34</v>
      </c>
      <c r="C925" s="4">
        <v>30003</v>
      </c>
      <c r="D925" s="3" t="str">
        <f ca="1">VLOOKUP($C925,OFFSET([1]quests!$A$1,0,0,COUNTA([1]quests!$A:$A),MATCH(D$1,[1]quests!$1:$1,0)-MATCH($C$1,[1]quests!$1:$1,0)+1),MATCH(D$1,[1]quests!$1:$1,0)-MATCH($C$1,[1]quests!$1:$1,0)+1,FALSE)</f>
        <v>打ち下ろされる砕棒</v>
      </c>
      <c r="E925" s="3" t="str">
        <f ca="1">VLOOKUP($C925,OFFSET([1]quests!$A$1,0,0,COUNTA([1]quests!$A:$A),MATCH(E$1,[1]quests!$1:$1,0)-MATCH($C$1,[1]quests!$1:$1,0)+1),MATCH(E$1,[1]quests!$1:$1,0)-MATCH($C$1,[1]quests!$1:$1,0)+1,FALSE)</f>
        <v>ドロップイベント1-3（マルチ専用）</v>
      </c>
      <c r="F925" s="5">
        <v>2</v>
      </c>
      <c r="G925" s="3" t="str">
        <f ca="1">VLOOKUP($C925&amp;"_"&amp;$F925,OFFSET([1]stages!$A$1,0,0,COUNTA([1]stages!$A:$A),MATCH(G$1,[1]stages!$2:$2,0)-MATCH("temp_stage",[1]stages!$2:$2,0)+1),MATCH(G$1,[1]stages!$2:$2,0)-MATCH("temp_stage",[1]stages!$2:$2,0)+1,FALSE)</f>
        <v>【上級】打ち下ろされる砕棒</v>
      </c>
      <c r="H925" s="3" t="str">
        <f ca="1">VLOOKUP($C925&amp;"_"&amp;$F925,OFFSET([1]stages!$A$1,0,0,COUNTA([1]stages!$A:$A),MATCH(H$1,[1]stages!$2:$2,0)-MATCH("temp_stage",[1]stages!$2:$2,0)+1),MATCH(H$1,[1]stages!$2:$2,0)-MATCH("temp_stage",[1]stages!$2:$2,0)+1,FALSE)</f>
        <v>ドロップイベント1-3（マルチ専用）</v>
      </c>
      <c r="I925" s="18">
        <v>0</v>
      </c>
      <c r="J925" s="5">
        <f>COUNTIF(C$1:C925,C925)</f>
        <v>33</v>
      </c>
      <c r="K925" s="34">
        <v>37</v>
      </c>
      <c r="L925" s="5" t="s">
        <v>17</v>
      </c>
      <c r="M925" s="38" t="str">
        <f>VLOOKUP(K925,[2]stage_hints!$A:$C,3,FALSE)</f>
        <v>限界突破値の引き継ぎ</v>
      </c>
      <c r="N925" s="39" t="str">
        <f>VLOOKUP(K925,[2]stage_hints!$A:$D,4,FALSE)</f>
        <v>同じユニットを強化で合成すると
限界突破値を引き継げます（覚醒前後も可）</v>
      </c>
      <c r="O925" s="20" t="s">
        <v>24</v>
      </c>
      <c r="P925">
        <v>37</v>
      </c>
    </row>
    <row r="926" spans="1:16" x14ac:dyDescent="0.15">
      <c r="A926" s="27" t="str">
        <f t="shared" si="77"/>
        <v>30004_2_1</v>
      </c>
      <c r="B926" s="25" t="s">
        <v>34</v>
      </c>
      <c r="C926" s="4">
        <v>30004</v>
      </c>
      <c r="D926" s="3" t="str">
        <f ca="1">VLOOKUP($C926,OFFSET([1]quests!$A$1,0,0,COUNTA([1]quests!$A:$A),MATCH(D$1,[1]quests!$1:$1,0)-MATCH($C$1,[1]quests!$1:$1,0)+1),MATCH(D$1,[1]quests!$1:$1,0)-MATCH($C$1,[1]quests!$1:$1,0)+1,FALSE)</f>
        <v>危険な仲裁者</v>
      </c>
      <c r="E926" s="3" t="str">
        <f ca="1">VLOOKUP($C926,OFFSET([1]quests!$A$1,0,0,COUNTA([1]quests!$A:$A),MATCH(E$1,[1]quests!$1:$1,0)-MATCH($C$1,[1]quests!$1:$1,0)+1),MATCH(E$1,[1]quests!$1:$1,0)-MATCH($C$1,[1]quests!$1:$1,0)+1,FALSE)</f>
        <v>ドロップイベント1-4（マルチ専用）</v>
      </c>
      <c r="F926" s="5">
        <v>2</v>
      </c>
      <c r="G926" s="3" t="str">
        <f ca="1">VLOOKUP($C926&amp;"_"&amp;$F926,OFFSET([1]stages!$A$1,0,0,COUNTA([1]stages!$A:$A),MATCH(G$1,[1]stages!$2:$2,0)-MATCH("temp_stage",[1]stages!$2:$2,0)+1),MATCH(G$1,[1]stages!$2:$2,0)-MATCH("temp_stage",[1]stages!$2:$2,0)+1,FALSE)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26" s="3" t="str">
        <f ca="1">VLOOKUP($C926&amp;"_"&amp;$F926,OFFSET([1]stages!$A$1,0,0,COUNTA([1]stages!$A:$A),MATCH(H$1,[1]stages!$2:$2,0)-MATCH("temp_stage",[1]stages!$2:$2,0)+1),MATCH(H$1,[1]stages!$2:$2,0)-MATCH("temp_stage",[1]stages!$2:$2,0)+1,FALSE)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26" s="18">
        <v>0</v>
      </c>
      <c r="J926" s="5">
        <f>COUNTIF(C$1:C926,C926)</f>
        <v>1</v>
      </c>
      <c r="K926" s="34">
        <v>3</v>
      </c>
      <c r="L926" s="5" t="s">
        <v>17</v>
      </c>
      <c r="M926" s="38" t="str">
        <f>VLOOKUP(K926,[2]stage_hints!$A:$C,3,FALSE)</f>
        <v>ターゲット</v>
      </c>
      <c r="N926" s="39" t="str">
        <f>VLOOKUP(K926,[2]stage_hints!$A:$D,4,FALSE)</f>
        <v>敵ユニットをタップすると
その敵を狙い撃ちできます</v>
      </c>
      <c r="O926" s="20" t="s">
        <v>24</v>
      </c>
      <c r="P926">
        <v>3</v>
      </c>
    </row>
    <row r="927" spans="1:16" x14ac:dyDescent="0.15">
      <c r="A927" s="27" t="str">
        <f t="shared" si="77"/>
        <v>30004_2_2</v>
      </c>
      <c r="B927" s="25" t="s">
        <v>34</v>
      </c>
      <c r="C927" s="4">
        <v>30004</v>
      </c>
      <c r="D927" s="3" t="str">
        <f ca="1">VLOOKUP($C927,OFFSET([1]quests!$A$1,0,0,COUNTA([1]quests!$A:$A),MATCH(D$1,[1]quests!$1:$1,0)-MATCH($C$1,[1]quests!$1:$1,0)+1),MATCH(D$1,[1]quests!$1:$1,0)-MATCH($C$1,[1]quests!$1:$1,0)+1,FALSE)</f>
        <v>危険な仲裁者</v>
      </c>
      <c r="E927" s="3" t="str">
        <f ca="1">VLOOKUP($C927,OFFSET([1]quests!$A$1,0,0,COUNTA([1]quests!$A:$A),MATCH(E$1,[1]quests!$1:$1,0)-MATCH($C$1,[1]quests!$1:$1,0)+1),MATCH(E$1,[1]quests!$1:$1,0)-MATCH($C$1,[1]quests!$1:$1,0)+1,FALSE)</f>
        <v>ドロップイベント1-4（マルチ専用）</v>
      </c>
      <c r="F927" s="5">
        <v>2</v>
      </c>
      <c r="G927" s="3" t="str">
        <f ca="1">VLOOKUP($C927&amp;"_"&amp;$F927,OFFSET([1]stages!$A$1,0,0,COUNTA([1]stages!$A:$A),MATCH(G$1,[1]stages!$2:$2,0)-MATCH("temp_stage",[1]stages!$2:$2,0)+1),MATCH(G$1,[1]stages!$2:$2,0)-MATCH("temp_stage",[1]stages!$2:$2,0)+1,FALSE)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27" s="3" t="str">
        <f ca="1">VLOOKUP($C927&amp;"_"&amp;$F927,OFFSET([1]stages!$A$1,0,0,COUNTA([1]stages!$A:$A),MATCH(H$1,[1]stages!$2:$2,0)-MATCH("temp_stage",[1]stages!$2:$2,0)+1),MATCH(H$1,[1]stages!$2:$2,0)-MATCH("temp_stage",[1]stages!$2:$2,0)+1,FALSE)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27" s="18">
        <v>0</v>
      </c>
      <c r="J927" s="5">
        <f>COUNTIF(C$1:C927,C927)</f>
        <v>2</v>
      </c>
      <c r="K927" s="34">
        <v>6</v>
      </c>
      <c r="L927" s="5" t="s">
        <v>17</v>
      </c>
      <c r="M927" s="38" t="str">
        <f>VLOOKUP(K927,[2]stage_hints!$A:$C,3,FALSE)</f>
        <v>ユニット強化の属性ボーナス</v>
      </c>
      <c r="N927" s="39" t="str">
        <f>VLOOKUP(K927,[2]stage_hints!$A:$D,4,FALSE)</f>
        <v>同属性ユニットを強化素材にすると
経験値が多くもらえます</v>
      </c>
      <c r="O927" s="20" t="s">
        <v>24</v>
      </c>
      <c r="P927">
        <v>6</v>
      </c>
    </row>
    <row r="928" spans="1:16" x14ac:dyDescent="0.15">
      <c r="A928" s="27" t="str">
        <f t="shared" si="77"/>
        <v>30004_2_3</v>
      </c>
      <c r="B928" s="25" t="s">
        <v>34</v>
      </c>
      <c r="C928" s="4">
        <v>30004</v>
      </c>
      <c r="D928" s="3" t="str">
        <f ca="1">VLOOKUP($C928,OFFSET([1]quests!$A$1,0,0,COUNTA([1]quests!$A:$A),MATCH(D$1,[1]quests!$1:$1,0)-MATCH($C$1,[1]quests!$1:$1,0)+1),MATCH(D$1,[1]quests!$1:$1,0)-MATCH($C$1,[1]quests!$1:$1,0)+1,FALSE)</f>
        <v>危険な仲裁者</v>
      </c>
      <c r="E928" s="3" t="str">
        <f ca="1">VLOOKUP($C928,OFFSET([1]quests!$A$1,0,0,COUNTA([1]quests!$A:$A),MATCH(E$1,[1]quests!$1:$1,0)-MATCH($C$1,[1]quests!$1:$1,0)+1),MATCH(E$1,[1]quests!$1:$1,0)-MATCH($C$1,[1]quests!$1:$1,0)+1,FALSE)</f>
        <v>ドロップイベント1-4（マルチ専用）</v>
      </c>
      <c r="F928" s="5">
        <v>2</v>
      </c>
      <c r="G928" s="3" t="str">
        <f ca="1">VLOOKUP($C928&amp;"_"&amp;$F928,OFFSET([1]stages!$A$1,0,0,COUNTA([1]stages!$A:$A),MATCH(G$1,[1]stages!$2:$2,0)-MATCH("temp_stage",[1]stages!$2:$2,0)+1),MATCH(G$1,[1]stages!$2:$2,0)-MATCH("temp_stage",[1]stages!$2:$2,0)+1,FALSE)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28" s="3" t="str">
        <f ca="1">VLOOKUP($C928&amp;"_"&amp;$F928,OFFSET([1]stages!$A$1,0,0,COUNTA([1]stages!$A:$A),MATCH(H$1,[1]stages!$2:$2,0)-MATCH("temp_stage",[1]stages!$2:$2,0)+1),MATCH(H$1,[1]stages!$2:$2,0)-MATCH("temp_stage",[1]stages!$2:$2,0)+1,FALSE)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28" s="18">
        <v>0</v>
      </c>
      <c r="J928" s="5">
        <f>COUNTIF(C$1:C928,C928)</f>
        <v>3</v>
      </c>
      <c r="K928" s="34">
        <v>7</v>
      </c>
      <c r="L928" s="5" t="s">
        <v>17</v>
      </c>
      <c r="M928" s="38" t="str">
        <f>VLOOKUP(K928,[2]stage_hints!$A:$C,3,FALSE)</f>
        <v>メタルダックで経験値を獲得</v>
      </c>
      <c r="N928" s="39" t="str">
        <f>VLOOKUP(K928,[2]stage_hints!$A:$D,4,FALSE)</f>
        <v>「メタルなアヒル」を強化素材にすると
大量の経験値がもらえます</v>
      </c>
      <c r="O928" s="20" t="s">
        <v>24</v>
      </c>
      <c r="P928">
        <v>7</v>
      </c>
    </row>
    <row r="929" spans="1:16" x14ac:dyDescent="0.15">
      <c r="A929" s="27" t="str">
        <f t="shared" si="77"/>
        <v>30004_2_4</v>
      </c>
      <c r="B929" s="25" t="s">
        <v>34</v>
      </c>
      <c r="C929" s="4">
        <v>30004</v>
      </c>
      <c r="D929" s="3" t="str">
        <f ca="1">VLOOKUP($C929,OFFSET([1]quests!$A$1,0,0,COUNTA([1]quests!$A:$A),MATCH(D$1,[1]quests!$1:$1,0)-MATCH($C$1,[1]quests!$1:$1,0)+1),MATCH(D$1,[1]quests!$1:$1,0)-MATCH($C$1,[1]quests!$1:$1,0)+1,FALSE)</f>
        <v>危険な仲裁者</v>
      </c>
      <c r="E929" s="3" t="str">
        <f ca="1">VLOOKUP($C929,OFFSET([1]quests!$A$1,0,0,COUNTA([1]quests!$A:$A),MATCH(E$1,[1]quests!$1:$1,0)-MATCH($C$1,[1]quests!$1:$1,0)+1),MATCH(E$1,[1]quests!$1:$1,0)-MATCH($C$1,[1]quests!$1:$1,0)+1,FALSE)</f>
        <v>ドロップイベント1-4（マルチ専用）</v>
      </c>
      <c r="F929" s="5">
        <v>2</v>
      </c>
      <c r="G929" s="3" t="str">
        <f ca="1">VLOOKUP($C929&amp;"_"&amp;$F929,OFFSET([1]stages!$A$1,0,0,COUNTA([1]stages!$A:$A),MATCH(G$1,[1]stages!$2:$2,0)-MATCH("temp_stage",[1]stages!$2:$2,0)+1),MATCH(G$1,[1]stages!$2:$2,0)-MATCH("temp_stage",[1]stages!$2:$2,0)+1,FALSE)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29" s="3" t="str">
        <f ca="1">VLOOKUP($C929&amp;"_"&amp;$F929,OFFSET([1]stages!$A$1,0,0,COUNTA([1]stages!$A:$A),MATCH(H$1,[1]stages!$2:$2,0)-MATCH("temp_stage",[1]stages!$2:$2,0)+1),MATCH(H$1,[1]stages!$2:$2,0)-MATCH("temp_stage",[1]stages!$2:$2,0)+1,FALSE)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29" s="18">
        <v>0</v>
      </c>
      <c r="J929" s="5">
        <f>COUNTIF(C$1:C929,C929)</f>
        <v>4</v>
      </c>
      <c r="K929" s="34">
        <v>8</v>
      </c>
      <c r="L929" s="5" t="s">
        <v>17</v>
      </c>
      <c r="M929" s="38" t="str">
        <f>VLOOKUP(K929,[2]stage_hints!$A:$C,3,FALSE)</f>
        <v>ゲリラクエストは要チェック</v>
      </c>
      <c r="N929" s="39" t="str">
        <f>VLOOKUP(K929,[2]stage_hints!$A:$D,4,FALSE)</f>
        <v>時間限定の「アヒル捕獲作戦」では
経験値素材ユニットが多く手に入ります</v>
      </c>
      <c r="O929" s="20" t="s">
        <v>24</v>
      </c>
      <c r="P929">
        <v>8</v>
      </c>
    </row>
    <row r="930" spans="1:16" x14ac:dyDescent="0.15">
      <c r="A930" s="27" t="str">
        <f t="shared" si="77"/>
        <v>30004_2_5</v>
      </c>
      <c r="B930" s="25" t="s">
        <v>34</v>
      </c>
      <c r="C930" s="4">
        <v>30004</v>
      </c>
      <c r="D930" s="3" t="str">
        <f ca="1">VLOOKUP($C930,OFFSET([1]quests!$A$1,0,0,COUNTA([1]quests!$A:$A),MATCH(D$1,[1]quests!$1:$1,0)-MATCH($C$1,[1]quests!$1:$1,0)+1),MATCH(D$1,[1]quests!$1:$1,0)-MATCH($C$1,[1]quests!$1:$1,0)+1,FALSE)</f>
        <v>危険な仲裁者</v>
      </c>
      <c r="E930" s="3" t="str">
        <f ca="1">VLOOKUP($C930,OFFSET([1]quests!$A$1,0,0,COUNTA([1]quests!$A:$A),MATCH(E$1,[1]quests!$1:$1,0)-MATCH($C$1,[1]quests!$1:$1,0)+1),MATCH(E$1,[1]quests!$1:$1,0)-MATCH($C$1,[1]quests!$1:$1,0)+1,FALSE)</f>
        <v>ドロップイベント1-4（マルチ専用）</v>
      </c>
      <c r="F930" s="5">
        <v>2</v>
      </c>
      <c r="G930" s="3" t="str">
        <f ca="1">VLOOKUP($C930&amp;"_"&amp;$F930,OFFSET([1]stages!$A$1,0,0,COUNTA([1]stages!$A:$A),MATCH(G$1,[1]stages!$2:$2,0)-MATCH("temp_stage",[1]stages!$2:$2,0)+1),MATCH(G$1,[1]stages!$2:$2,0)-MATCH("temp_stage",[1]stages!$2:$2,0)+1,FALSE)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0" s="3" t="str">
        <f ca="1">VLOOKUP($C930&amp;"_"&amp;$F930,OFFSET([1]stages!$A$1,0,0,COUNTA([1]stages!$A:$A),MATCH(H$1,[1]stages!$2:$2,0)-MATCH("temp_stage",[1]stages!$2:$2,0)+1),MATCH(H$1,[1]stages!$2:$2,0)-MATCH("temp_stage",[1]stages!$2:$2,0)+1,FALSE)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0" s="18">
        <v>0</v>
      </c>
      <c r="J930" s="5">
        <f>COUNTIF(C$1:C930,C930)</f>
        <v>5</v>
      </c>
      <c r="K930" s="34">
        <v>9</v>
      </c>
      <c r="L930" s="5" t="s">
        <v>17</v>
      </c>
      <c r="M930" s="38" t="str">
        <f>VLOOKUP(K930,[2]stage_hints!$A:$C,3,FALSE)</f>
        <v>ゴールドダックでビットを獲得</v>
      </c>
      <c r="N930" s="39" t="str">
        <f>VLOOKUP(K930,[2]stage_hints!$A:$D,4,FALSE)</f>
        <v>「ゴールドなアヒル」を売却すると
大量のビットがもらえます</v>
      </c>
      <c r="O930" s="20" t="s">
        <v>24</v>
      </c>
      <c r="P930">
        <v>9</v>
      </c>
    </row>
    <row r="931" spans="1:16" x14ac:dyDescent="0.15">
      <c r="A931" s="27" t="str">
        <f t="shared" si="77"/>
        <v>30004_2_6</v>
      </c>
      <c r="B931" s="25" t="s">
        <v>34</v>
      </c>
      <c r="C931" s="4">
        <v>30004</v>
      </c>
      <c r="D931" s="3" t="str">
        <f ca="1">VLOOKUP($C931,OFFSET([1]quests!$A$1,0,0,COUNTA([1]quests!$A:$A),MATCH(D$1,[1]quests!$1:$1,0)-MATCH($C$1,[1]quests!$1:$1,0)+1),MATCH(D$1,[1]quests!$1:$1,0)-MATCH($C$1,[1]quests!$1:$1,0)+1,FALSE)</f>
        <v>危険な仲裁者</v>
      </c>
      <c r="E931" s="3" t="str">
        <f ca="1">VLOOKUP($C931,OFFSET([1]quests!$A$1,0,0,COUNTA([1]quests!$A:$A),MATCH(E$1,[1]quests!$1:$1,0)-MATCH($C$1,[1]quests!$1:$1,0)+1),MATCH(E$1,[1]quests!$1:$1,0)-MATCH($C$1,[1]quests!$1:$1,0)+1,FALSE)</f>
        <v>ドロップイベント1-4（マルチ専用）</v>
      </c>
      <c r="F931" s="5">
        <v>2</v>
      </c>
      <c r="G931" s="3" t="str">
        <f ca="1">VLOOKUP($C931&amp;"_"&amp;$F931,OFFSET([1]stages!$A$1,0,0,COUNTA([1]stages!$A:$A),MATCH(G$1,[1]stages!$2:$2,0)-MATCH("temp_stage",[1]stages!$2:$2,0)+1),MATCH(G$1,[1]stages!$2:$2,0)-MATCH("temp_stage",[1]stages!$2:$2,0)+1,FALSE)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1" s="3" t="str">
        <f ca="1">VLOOKUP($C931&amp;"_"&amp;$F931,OFFSET([1]stages!$A$1,0,0,COUNTA([1]stages!$A:$A),MATCH(H$1,[1]stages!$2:$2,0)-MATCH("temp_stage",[1]stages!$2:$2,0)+1),MATCH(H$1,[1]stages!$2:$2,0)-MATCH("temp_stage",[1]stages!$2:$2,0)+1,FALSE)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1" s="18">
        <v>0</v>
      </c>
      <c r="J931" s="5">
        <f>COUNTIF(C$1:C931,C931)</f>
        <v>6</v>
      </c>
      <c r="K931" s="34">
        <v>10</v>
      </c>
      <c r="L931" s="5" t="s">
        <v>17</v>
      </c>
      <c r="M931" s="38" t="str">
        <f>VLOOKUP(K931,[2]stage_hints!$A:$C,3,FALSE)</f>
        <v>土日に大量のビットを獲得</v>
      </c>
      <c r="N931" s="39" t="str">
        <f>VLOOKUP(K931,[2]stage_hints!$A:$D,4,FALSE)</f>
        <v>土日限定の「ゴールドカジノ」では
売却素材ユニットが多く手に入ります</v>
      </c>
      <c r="O931" s="20" t="s">
        <v>24</v>
      </c>
      <c r="P931">
        <v>10</v>
      </c>
    </row>
    <row r="932" spans="1:16" x14ac:dyDescent="0.15">
      <c r="A932" s="27" t="str">
        <f t="shared" ref="A932:A995" si="78">C932&amp;"_"&amp;F932&amp;"_"&amp;J932</f>
        <v>30004_2_7</v>
      </c>
      <c r="B932" s="25" t="s">
        <v>34</v>
      </c>
      <c r="C932" s="4">
        <v>30004</v>
      </c>
      <c r="D932" s="3" t="str">
        <f ca="1">VLOOKUP($C932,OFFSET([1]quests!$A$1,0,0,COUNTA([1]quests!$A:$A),MATCH(D$1,[1]quests!$1:$1,0)-MATCH($C$1,[1]quests!$1:$1,0)+1),MATCH(D$1,[1]quests!$1:$1,0)-MATCH($C$1,[1]quests!$1:$1,0)+1,FALSE)</f>
        <v>危険な仲裁者</v>
      </c>
      <c r="E932" s="3" t="str">
        <f ca="1">VLOOKUP($C932,OFFSET([1]quests!$A$1,0,0,COUNTA([1]quests!$A:$A),MATCH(E$1,[1]quests!$1:$1,0)-MATCH($C$1,[1]quests!$1:$1,0)+1),MATCH(E$1,[1]quests!$1:$1,0)-MATCH($C$1,[1]quests!$1:$1,0)+1,FALSE)</f>
        <v>ドロップイベント1-4（マルチ専用）</v>
      </c>
      <c r="F932" s="5">
        <v>2</v>
      </c>
      <c r="G932" s="3" t="str">
        <f ca="1">VLOOKUP($C932&amp;"_"&amp;$F932,OFFSET([1]stages!$A$1,0,0,COUNTA([1]stages!$A:$A),MATCH(G$1,[1]stages!$2:$2,0)-MATCH("temp_stage",[1]stages!$2:$2,0)+1),MATCH(G$1,[1]stages!$2:$2,0)-MATCH("temp_stage",[1]stages!$2:$2,0)+1,FALSE)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2" s="3" t="str">
        <f ca="1">VLOOKUP($C932&amp;"_"&amp;$F932,OFFSET([1]stages!$A$1,0,0,COUNTA([1]stages!$A:$A),MATCH(H$1,[1]stages!$2:$2,0)-MATCH("temp_stage",[1]stages!$2:$2,0)+1),MATCH(H$1,[1]stages!$2:$2,0)-MATCH("temp_stage",[1]stages!$2:$2,0)+1,FALSE)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2" s="18">
        <v>0</v>
      </c>
      <c r="J932" s="5">
        <f>COUNTIF(C$1:C932,C932)</f>
        <v>7</v>
      </c>
      <c r="K932" s="34">
        <v>11</v>
      </c>
      <c r="L932" s="5" t="s">
        <v>17</v>
      </c>
      <c r="M932" s="38" t="str">
        <f>VLOOKUP(K932,[2]stage_hints!$A:$C,3,FALSE)</f>
        <v>ランク解放クエスト</v>
      </c>
      <c r="N932" s="39" t="str">
        <f>VLOOKUP(K932,[2]stage_hints!$A:$D,4,FALSE)</f>
        <v>一定ランクに到達すると
報酬付きのランク開放クエストが現れます</v>
      </c>
      <c r="O932" s="20" t="s">
        <v>24</v>
      </c>
      <c r="P932">
        <v>11</v>
      </c>
    </row>
    <row r="933" spans="1:16" x14ac:dyDescent="0.15">
      <c r="A933" s="27" t="str">
        <f t="shared" si="78"/>
        <v>30004_2_8</v>
      </c>
      <c r="B933" s="25" t="s">
        <v>34</v>
      </c>
      <c r="C933" s="4">
        <v>30004</v>
      </c>
      <c r="D933" s="3" t="str">
        <f ca="1">VLOOKUP($C933,OFFSET([1]quests!$A$1,0,0,COUNTA([1]quests!$A:$A),MATCH(D$1,[1]quests!$1:$1,0)-MATCH($C$1,[1]quests!$1:$1,0)+1),MATCH(D$1,[1]quests!$1:$1,0)-MATCH($C$1,[1]quests!$1:$1,0)+1,FALSE)</f>
        <v>危険な仲裁者</v>
      </c>
      <c r="E933" s="3" t="str">
        <f ca="1">VLOOKUP($C933,OFFSET([1]quests!$A$1,0,0,COUNTA([1]quests!$A:$A),MATCH(E$1,[1]quests!$1:$1,0)-MATCH($C$1,[1]quests!$1:$1,0)+1),MATCH(E$1,[1]quests!$1:$1,0)-MATCH($C$1,[1]quests!$1:$1,0)+1,FALSE)</f>
        <v>ドロップイベント1-4（マルチ専用）</v>
      </c>
      <c r="F933" s="5">
        <v>2</v>
      </c>
      <c r="G933" s="3" t="str">
        <f ca="1">VLOOKUP($C933&amp;"_"&amp;$F933,OFFSET([1]stages!$A$1,0,0,COUNTA([1]stages!$A:$A),MATCH(G$1,[1]stages!$2:$2,0)-MATCH("temp_stage",[1]stages!$2:$2,0)+1),MATCH(G$1,[1]stages!$2:$2,0)-MATCH("temp_stage",[1]stages!$2:$2,0)+1,FALSE)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3" s="3" t="str">
        <f ca="1">VLOOKUP($C933&amp;"_"&amp;$F933,OFFSET([1]stages!$A$1,0,0,COUNTA([1]stages!$A:$A),MATCH(H$1,[1]stages!$2:$2,0)-MATCH("temp_stage",[1]stages!$2:$2,0)+1),MATCH(H$1,[1]stages!$2:$2,0)-MATCH("temp_stage",[1]stages!$2:$2,0)+1,FALSE)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3" s="18">
        <v>0</v>
      </c>
      <c r="J933" s="5">
        <f>COUNTIF(C$1:C933,C933)</f>
        <v>8</v>
      </c>
      <c r="K933" s="34">
        <v>12</v>
      </c>
      <c r="L933" s="5" t="s">
        <v>17</v>
      </c>
      <c r="M933" s="38" t="str">
        <f>VLOOKUP(K933,[2]stage_hints!$A:$C,3,FALSE)</f>
        <v>ユニットのお気に入り登録</v>
      </c>
      <c r="N933" s="39" t="str">
        <f>VLOOKUP(K933,[2]stage_hints!$A:$D,4,FALSE)</f>
        <v>大事なユニットを誤って消さないように
フォルダから「お気に入り登録」しましょう</v>
      </c>
      <c r="O933" s="20" t="s">
        <v>24</v>
      </c>
      <c r="P933">
        <v>12</v>
      </c>
    </row>
    <row r="934" spans="1:16" x14ac:dyDescent="0.15">
      <c r="A934" s="27" t="str">
        <f t="shared" si="78"/>
        <v>30004_2_9</v>
      </c>
      <c r="B934" s="25" t="s">
        <v>34</v>
      </c>
      <c r="C934" s="4">
        <v>30004</v>
      </c>
      <c r="D934" s="3" t="str">
        <f ca="1">VLOOKUP($C934,OFFSET([1]quests!$A$1,0,0,COUNTA([1]quests!$A:$A),MATCH(D$1,[1]quests!$1:$1,0)-MATCH($C$1,[1]quests!$1:$1,0)+1),MATCH(D$1,[1]quests!$1:$1,0)-MATCH($C$1,[1]quests!$1:$1,0)+1,FALSE)</f>
        <v>危険な仲裁者</v>
      </c>
      <c r="E934" s="3" t="str">
        <f ca="1">VLOOKUP($C934,OFFSET([1]quests!$A$1,0,0,COUNTA([1]quests!$A:$A),MATCH(E$1,[1]quests!$1:$1,0)-MATCH($C$1,[1]quests!$1:$1,0)+1),MATCH(E$1,[1]quests!$1:$1,0)-MATCH($C$1,[1]quests!$1:$1,0)+1,FALSE)</f>
        <v>ドロップイベント1-4（マルチ専用）</v>
      </c>
      <c r="F934" s="5">
        <v>2</v>
      </c>
      <c r="G934" s="3" t="str">
        <f ca="1">VLOOKUP($C934&amp;"_"&amp;$F934,OFFSET([1]stages!$A$1,0,0,COUNTA([1]stages!$A:$A),MATCH(G$1,[1]stages!$2:$2,0)-MATCH("temp_stage",[1]stages!$2:$2,0)+1),MATCH(G$1,[1]stages!$2:$2,0)-MATCH("temp_stage",[1]stages!$2:$2,0)+1,FALSE)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4" s="3" t="str">
        <f ca="1">VLOOKUP($C934&amp;"_"&amp;$F934,OFFSET([1]stages!$A$1,0,0,COUNTA([1]stages!$A:$A),MATCH(H$1,[1]stages!$2:$2,0)-MATCH("temp_stage",[1]stages!$2:$2,0)+1),MATCH(H$1,[1]stages!$2:$2,0)-MATCH("temp_stage",[1]stages!$2:$2,0)+1,FALSE)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4" s="18">
        <v>0</v>
      </c>
      <c r="J934" s="5">
        <f>COUNTIF(C$1:C934,C934)</f>
        <v>9</v>
      </c>
      <c r="K934" s="34">
        <v>13</v>
      </c>
      <c r="L934" s="5" t="s">
        <v>17</v>
      </c>
      <c r="M934" s="38" t="str">
        <f>VLOOKUP(K934,[2]stage_hints!$A:$C,3,FALSE)</f>
        <v>ユニットの覚醒</v>
      </c>
      <c r="N934" s="39" t="str">
        <f>VLOOKUP(K934,[2]stage_hints!$A:$D,4,FALSE)</f>
        <v>ユニットを覚醒させると
比べものにならない強さが手に入ります</v>
      </c>
      <c r="O934" s="20" t="s">
        <v>24</v>
      </c>
      <c r="P934">
        <v>13</v>
      </c>
    </row>
    <row r="935" spans="1:16" x14ac:dyDescent="0.15">
      <c r="A935" s="27" t="str">
        <f t="shared" si="78"/>
        <v>30004_2_10</v>
      </c>
      <c r="B935" s="25" t="s">
        <v>34</v>
      </c>
      <c r="C935" s="4">
        <v>30004</v>
      </c>
      <c r="D935" s="3" t="str">
        <f ca="1">VLOOKUP($C935,OFFSET([1]quests!$A$1,0,0,COUNTA([1]quests!$A:$A),MATCH(D$1,[1]quests!$1:$1,0)-MATCH($C$1,[1]quests!$1:$1,0)+1),MATCH(D$1,[1]quests!$1:$1,0)-MATCH($C$1,[1]quests!$1:$1,0)+1,FALSE)</f>
        <v>危険な仲裁者</v>
      </c>
      <c r="E935" s="3" t="str">
        <f ca="1">VLOOKUP($C935,OFFSET([1]quests!$A$1,0,0,COUNTA([1]quests!$A:$A),MATCH(E$1,[1]quests!$1:$1,0)-MATCH($C$1,[1]quests!$1:$1,0)+1),MATCH(E$1,[1]quests!$1:$1,0)-MATCH($C$1,[1]quests!$1:$1,0)+1,FALSE)</f>
        <v>ドロップイベント1-4（マルチ専用）</v>
      </c>
      <c r="F935" s="5">
        <v>2</v>
      </c>
      <c r="G935" s="3" t="str">
        <f ca="1">VLOOKUP($C935&amp;"_"&amp;$F935,OFFSET([1]stages!$A$1,0,0,COUNTA([1]stages!$A:$A),MATCH(G$1,[1]stages!$2:$2,0)-MATCH("temp_stage",[1]stages!$2:$2,0)+1),MATCH(G$1,[1]stages!$2:$2,0)-MATCH("temp_stage",[1]stages!$2:$2,0)+1,FALSE)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5" s="3" t="str">
        <f ca="1">VLOOKUP($C935&amp;"_"&amp;$F935,OFFSET([1]stages!$A$1,0,0,COUNTA([1]stages!$A:$A),MATCH(H$1,[1]stages!$2:$2,0)-MATCH("temp_stage",[1]stages!$2:$2,0)+1),MATCH(H$1,[1]stages!$2:$2,0)-MATCH("temp_stage",[1]stages!$2:$2,0)+1,FALSE)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5" s="18">
        <v>0</v>
      </c>
      <c r="J935" s="5">
        <f>COUNTIF(C$1:C935,C935)</f>
        <v>10</v>
      </c>
      <c r="K935" s="34">
        <v>14</v>
      </c>
      <c r="L935" s="5" t="s">
        <v>17</v>
      </c>
      <c r="M935" s="38" t="str">
        <f>VLOOKUP(K935,[2]stage_hints!$A:$C,3,FALSE)</f>
        <v>覚醒するにはレベルを最大に</v>
      </c>
      <c r="N935" s="39" t="str">
        <f>VLOOKUP(K935,[2]stage_hints!$A:$D,4,FALSE)</f>
        <v>覚醒するにはユニットのレベルを
最大まで上げる必要があります</v>
      </c>
      <c r="O935" s="20" t="s">
        <v>24</v>
      </c>
      <c r="P935">
        <v>14</v>
      </c>
    </row>
    <row r="936" spans="1:16" x14ac:dyDescent="0.15">
      <c r="A936" s="27" t="str">
        <f t="shared" si="78"/>
        <v>30004_2_11</v>
      </c>
      <c r="B936" s="25" t="s">
        <v>34</v>
      </c>
      <c r="C936" s="4">
        <v>30004</v>
      </c>
      <c r="D936" s="3" t="str">
        <f ca="1">VLOOKUP($C936,OFFSET([1]quests!$A$1,0,0,COUNTA([1]quests!$A:$A),MATCH(D$1,[1]quests!$1:$1,0)-MATCH($C$1,[1]quests!$1:$1,0)+1),MATCH(D$1,[1]quests!$1:$1,0)-MATCH($C$1,[1]quests!$1:$1,0)+1,FALSE)</f>
        <v>危険な仲裁者</v>
      </c>
      <c r="E936" s="3" t="str">
        <f ca="1">VLOOKUP($C936,OFFSET([1]quests!$A$1,0,0,COUNTA([1]quests!$A:$A),MATCH(E$1,[1]quests!$1:$1,0)-MATCH($C$1,[1]quests!$1:$1,0)+1),MATCH(E$1,[1]quests!$1:$1,0)-MATCH($C$1,[1]quests!$1:$1,0)+1,FALSE)</f>
        <v>ドロップイベント1-4（マルチ専用）</v>
      </c>
      <c r="F936" s="5">
        <v>2</v>
      </c>
      <c r="G936" s="3" t="str">
        <f ca="1">VLOOKUP($C936&amp;"_"&amp;$F936,OFFSET([1]stages!$A$1,0,0,COUNTA([1]stages!$A:$A),MATCH(G$1,[1]stages!$2:$2,0)-MATCH("temp_stage",[1]stages!$2:$2,0)+1),MATCH(G$1,[1]stages!$2:$2,0)-MATCH("temp_stage",[1]stages!$2:$2,0)+1,FALSE)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6" s="3" t="str">
        <f ca="1">VLOOKUP($C936&amp;"_"&amp;$F936,OFFSET([1]stages!$A$1,0,0,COUNTA([1]stages!$A:$A),MATCH(H$1,[1]stages!$2:$2,0)-MATCH("temp_stage",[1]stages!$2:$2,0)+1),MATCH(H$1,[1]stages!$2:$2,0)-MATCH("temp_stage",[1]stages!$2:$2,0)+1,FALSE)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6" s="18">
        <v>0</v>
      </c>
      <c r="J936" s="5">
        <f>COUNTIF(C$1:C936,C936)</f>
        <v>11</v>
      </c>
      <c r="K936" s="34">
        <v>15</v>
      </c>
      <c r="L936" s="5" t="s">
        <v>17</v>
      </c>
      <c r="M936" s="38" t="str">
        <f>VLOOKUP(K936,[2]stage_hints!$A:$C,3,FALSE)</f>
        <v>覚醒素材を獲得</v>
      </c>
      <c r="N936" s="39" t="str">
        <f>VLOOKUP(K936,[2]stage_hints!$A:$D,4,FALSE)</f>
        <v>「曜日クエスト」では
ユニットの覚醒に必要な素材が手に入ります</v>
      </c>
      <c r="O936" s="20" t="s">
        <v>24</v>
      </c>
      <c r="P936">
        <v>15</v>
      </c>
    </row>
    <row r="937" spans="1:16" x14ac:dyDescent="0.15">
      <c r="A937" s="27" t="str">
        <f t="shared" si="78"/>
        <v>30004_2_12</v>
      </c>
      <c r="B937" s="25" t="s">
        <v>34</v>
      </c>
      <c r="C937" s="4">
        <v>30004</v>
      </c>
      <c r="D937" s="3" t="str">
        <f ca="1">VLOOKUP($C937,OFFSET([1]quests!$A$1,0,0,COUNTA([1]quests!$A:$A),MATCH(D$1,[1]quests!$1:$1,0)-MATCH($C$1,[1]quests!$1:$1,0)+1),MATCH(D$1,[1]quests!$1:$1,0)-MATCH($C$1,[1]quests!$1:$1,0)+1,FALSE)</f>
        <v>危険な仲裁者</v>
      </c>
      <c r="E937" s="3" t="str">
        <f ca="1">VLOOKUP($C937,OFFSET([1]quests!$A$1,0,0,COUNTA([1]quests!$A:$A),MATCH(E$1,[1]quests!$1:$1,0)-MATCH($C$1,[1]quests!$1:$1,0)+1),MATCH(E$1,[1]quests!$1:$1,0)-MATCH($C$1,[1]quests!$1:$1,0)+1,FALSE)</f>
        <v>ドロップイベント1-4（マルチ専用）</v>
      </c>
      <c r="F937" s="5">
        <v>2</v>
      </c>
      <c r="G937" s="3" t="str">
        <f ca="1">VLOOKUP($C937&amp;"_"&amp;$F937,OFFSET([1]stages!$A$1,0,0,COUNTA([1]stages!$A:$A),MATCH(G$1,[1]stages!$2:$2,0)-MATCH("temp_stage",[1]stages!$2:$2,0)+1),MATCH(G$1,[1]stages!$2:$2,0)-MATCH("temp_stage",[1]stages!$2:$2,0)+1,FALSE)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7" s="3" t="str">
        <f ca="1">VLOOKUP($C937&amp;"_"&amp;$F937,OFFSET([1]stages!$A$1,0,0,COUNTA([1]stages!$A:$A),MATCH(H$1,[1]stages!$2:$2,0)-MATCH("temp_stage",[1]stages!$2:$2,0)+1),MATCH(H$1,[1]stages!$2:$2,0)-MATCH("temp_stage",[1]stages!$2:$2,0)+1,FALSE)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7" s="18">
        <v>0</v>
      </c>
      <c r="J937" s="5">
        <f>COUNTIF(C$1:C937,C937)</f>
        <v>12</v>
      </c>
      <c r="K937" s="34">
        <v>16</v>
      </c>
      <c r="L937" s="5" t="s">
        <v>17</v>
      </c>
      <c r="M937" s="38" t="str">
        <f>VLOOKUP(K937,[2]stage_hints!$A:$C,3,FALSE)</f>
        <v>マルチプレイのメリット（その1）</v>
      </c>
      <c r="N937" s="39" t="str">
        <f>VLOOKUP(K937,[2]stage_hints!$A:$D,4,FALSE)</f>
        <v>他のプレイヤーとマルチプレイで遊ぶと
ポリゴンがもらえます（100人まで）</v>
      </c>
      <c r="O937" s="20" t="s">
        <v>24</v>
      </c>
      <c r="P937">
        <v>16</v>
      </c>
    </row>
    <row r="938" spans="1:16" x14ac:dyDescent="0.15">
      <c r="A938" s="27" t="str">
        <f t="shared" si="78"/>
        <v>30004_2_13</v>
      </c>
      <c r="B938" s="25" t="s">
        <v>34</v>
      </c>
      <c r="C938" s="4">
        <v>30004</v>
      </c>
      <c r="D938" s="3" t="str">
        <f ca="1">VLOOKUP($C938,OFFSET([1]quests!$A$1,0,0,COUNTA([1]quests!$A:$A),MATCH(D$1,[1]quests!$1:$1,0)-MATCH($C$1,[1]quests!$1:$1,0)+1),MATCH(D$1,[1]quests!$1:$1,0)-MATCH($C$1,[1]quests!$1:$1,0)+1,FALSE)</f>
        <v>危険な仲裁者</v>
      </c>
      <c r="E938" s="3" t="str">
        <f ca="1">VLOOKUP($C938,OFFSET([1]quests!$A$1,0,0,COUNTA([1]quests!$A:$A),MATCH(E$1,[1]quests!$1:$1,0)-MATCH($C$1,[1]quests!$1:$1,0)+1),MATCH(E$1,[1]quests!$1:$1,0)-MATCH($C$1,[1]quests!$1:$1,0)+1,FALSE)</f>
        <v>ドロップイベント1-4（マルチ専用）</v>
      </c>
      <c r="F938" s="5">
        <v>2</v>
      </c>
      <c r="G938" s="3" t="str">
        <f ca="1">VLOOKUP($C938&amp;"_"&amp;$F938,OFFSET([1]stages!$A$1,0,0,COUNTA([1]stages!$A:$A),MATCH(G$1,[1]stages!$2:$2,0)-MATCH("temp_stage",[1]stages!$2:$2,0)+1),MATCH(G$1,[1]stages!$2:$2,0)-MATCH("temp_stage",[1]stages!$2:$2,0)+1,FALSE)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8" s="3" t="str">
        <f ca="1">VLOOKUP($C938&amp;"_"&amp;$F938,OFFSET([1]stages!$A$1,0,0,COUNTA([1]stages!$A:$A),MATCH(H$1,[1]stages!$2:$2,0)-MATCH("temp_stage",[1]stages!$2:$2,0)+1),MATCH(H$1,[1]stages!$2:$2,0)-MATCH("temp_stage",[1]stages!$2:$2,0)+1,FALSE)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8" s="18">
        <v>0</v>
      </c>
      <c r="J938" s="5">
        <f>COUNTIF(C$1:C938,C938)</f>
        <v>13</v>
      </c>
      <c r="K938" s="34">
        <v>17</v>
      </c>
      <c r="L938" s="5" t="s">
        <v>17</v>
      </c>
      <c r="M938" s="38" t="str">
        <f>VLOOKUP(K938,[2]stage_hints!$A:$C,3,FALSE)</f>
        <v>リンクガチャ</v>
      </c>
      <c r="N938" s="39" t="str">
        <f>VLOOKUP(K938,[2]stage_hints!$A:$D,4,FALSE)</f>
        <v>無料のリンクガチャを回して
経験値素材や売却素材を獲得しましょう</v>
      </c>
      <c r="O938" s="20" t="s">
        <v>24</v>
      </c>
      <c r="P938">
        <v>17</v>
      </c>
    </row>
    <row r="939" spans="1:16" x14ac:dyDescent="0.15">
      <c r="A939" s="27" t="str">
        <f t="shared" si="78"/>
        <v>30004_2_14</v>
      </c>
      <c r="B939" s="25" t="s">
        <v>34</v>
      </c>
      <c r="C939" s="4">
        <v>30004</v>
      </c>
      <c r="D939" s="3" t="str">
        <f ca="1">VLOOKUP($C939,OFFSET([1]quests!$A$1,0,0,COUNTA([1]quests!$A:$A),MATCH(D$1,[1]quests!$1:$1,0)-MATCH($C$1,[1]quests!$1:$1,0)+1),MATCH(D$1,[1]quests!$1:$1,0)-MATCH($C$1,[1]quests!$1:$1,0)+1,FALSE)</f>
        <v>危険な仲裁者</v>
      </c>
      <c r="E939" s="3" t="str">
        <f ca="1">VLOOKUP($C939,OFFSET([1]quests!$A$1,0,0,COUNTA([1]quests!$A:$A),MATCH(E$1,[1]quests!$1:$1,0)-MATCH($C$1,[1]quests!$1:$1,0)+1),MATCH(E$1,[1]quests!$1:$1,0)-MATCH($C$1,[1]quests!$1:$1,0)+1,FALSE)</f>
        <v>ドロップイベント1-4（マルチ専用）</v>
      </c>
      <c r="F939" s="5">
        <v>2</v>
      </c>
      <c r="G939" s="3" t="str">
        <f ca="1">VLOOKUP($C939&amp;"_"&amp;$F939,OFFSET([1]stages!$A$1,0,0,COUNTA([1]stages!$A:$A),MATCH(G$1,[1]stages!$2:$2,0)-MATCH("temp_stage",[1]stages!$2:$2,0)+1),MATCH(G$1,[1]stages!$2:$2,0)-MATCH("temp_stage",[1]stages!$2:$2,0)+1,FALSE)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39" s="3" t="str">
        <f ca="1">VLOOKUP($C939&amp;"_"&amp;$F939,OFFSET([1]stages!$A$1,0,0,COUNTA([1]stages!$A:$A),MATCH(H$1,[1]stages!$2:$2,0)-MATCH("temp_stage",[1]stages!$2:$2,0)+1),MATCH(H$1,[1]stages!$2:$2,0)-MATCH("temp_stage",[1]stages!$2:$2,0)+1,FALSE)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39" s="18">
        <v>0</v>
      </c>
      <c r="J939" s="5">
        <f>COUNTIF(C$1:C939,C939)</f>
        <v>14</v>
      </c>
      <c r="K939" s="34">
        <v>18</v>
      </c>
      <c r="L939" s="5" t="s">
        <v>17</v>
      </c>
      <c r="M939" s="38" t="str">
        <f>VLOOKUP(K939,[2]stage_hints!$A:$C,3,FALSE)</f>
        <v>マルチプレイのメリット（その2）</v>
      </c>
      <c r="N939" s="39" t="str">
        <f>VLOOKUP(K939,[2]stage_hints!$A:$D,4,FALSE)</f>
        <v>マルチプレイならリンクが2倍もらえます
リンクガチャをたくさん回しましょう</v>
      </c>
      <c r="O939" s="20" t="s">
        <v>24</v>
      </c>
      <c r="P939">
        <v>18</v>
      </c>
    </row>
    <row r="940" spans="1:16" x14ac:dyDescent="0.15">
      <c r="A940" s="27" t="str">
        <f t="shared" si="78"/>
        <v>30004_2_15</v>
      </c>
      <c r="B940" s="25" t="s">
        <v>34</v>
      </c>
      <c r="C940" s="4">
        <v>30004</v>
      </c>
      <c r="D940" s="3" t="str">
        <f ca="1">VLOOKUP($C940,OFFSET([1]quests!$A$1,0,0,COUNTA([1]quests!$A:$A),MATCH(D$1,[1]quests!$1:$1,0)-MATCH($C$1,[1]quests!$1:$1,0)+1),MATCH(D$1,[1]quests!$1:$1,0)-MATCH($C$1,[1]quests!$1:$1,0)+1,FALSE)</f>
        <v>危険な仲裁者</v>
      </c>
      <c r="E940" s="3" t="str">
        <f ca="1">VLOOKUP($C940,OFFSET([1]quests!$A$1,0,0,COUNTA([1]quests!$A:$A),MATCH(E$1,[1]quests!$1:$1,0)-MATCH($C$1,[1]quests!$1:$1,0)+1),MATCH(E$1,[1]quests!$1:$1,0)-MATCH($C$1,[1]quests!$1:$1,0)+1,FALSE)</f>
        <v>ドロップイベント1-4（マルチ専用）</v>
      </c>
      <c r="F940" s="5">
        <v>2</v>
      </c>
      <c r="G940" s="3" t="str">
        <f ca="1">VLOOKUP($C940&amp;"_"&amp;$F940,OFFSET([1]stages!$A$1,0,0,COUNTA([1]stages!$A:$A),MATCH(G$1,[1]stages!$2:$2,0)-MATCH("temp_stage",[1]stages!$2:$2,0)+1),MATCH(G$1,[1]stages!$2:$2,0)-MATCH("temp_stage",[1]stages!$2:$2,0)+1,FALSE)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0" s="3" t="str">
        <f ca="1">VLOOKUP($C940&amp;"_"&amp;$F940,OFFSET([1]stages!$A$1,0,0,COUNTA([1]stages!$A:$A),MATCH(H$1,[1]stages!$2:$2,0)-MATCH("temp_stage",[1]stages!$2:$2,0)+1),MATCH(H$1,[1]stages!$2:$2,0)-MATCH("temp_stage",[1]stages!$2:$2,0)+1,FALSE)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0" s="18">
        <v>0</v>
      </c>
      <c r="J940" s="5">
        <f>COUNTIF(C$1:C940,C940)</f>
        <v>15</v>
      </c>
      <c r="K940" s="34">
        <v>19</v>
      </c>
      <c r="L940" s="5" t="s">
        <v>17</v>
      </c>
      <c r="M940" s="38" t="str">
        <f>VLOOKUP(K940,[2]stage_hints!$A:$C,3,FALSE)</f>
        <v>ソロ専用チャレンジタワー</v>
      </c>
      <c r="N940" s="39" t="str">
        <f>VLOOKUP(K940,[2]stage_hints!$A:$D,4,FALSE)</f>
        <v>ソロ専用の「チャレンジタワー」では
各フロアごとにクリア報酬がもらえます</v>
      </c>
      <c r="O940" s="20" t="s">
        <v>24</v>
      </c>
      <c r="P940">
        <v>19</v>
      </c>
    </row>
    <row r="941" spans="1:16" x14ac:dyDescent="0.15">
      <c r="A941" s="27" t="str">
        <f t="shared" si="78"/>
        <v>30004_2_16</v>
      </c>
      <c r="B941" s="25" t="s">
        <v>34</v>
      </c>
      <c r="C941" s="4">
        <v>30004</v>
      </c>
      <c r="D941" s="3" t="str">
        <f ca="1">VLOOKUP($C941,OFFSET([1]quests!$A$1,0,0,COUNTA([1]quests!$A:$A),MATCH(D$1,[1]quests!$1:$1,0)-MATCH($C$1,[1]quests!$1:$1,0)+1),MATCH(D$1,[1]quests!$1:$1,0)-MATCH($C$1,[1]quests!$1:$1,0)+1,FALSE)</f>
        <v>危険な仲裁者</v>
      </c>
      <c r="E941" s="3" t="str">
        <f ca="1">VLOOKUP($C941,OFFSET([1]quests!$A$1,0,0,COUNTA([1]quests!$A:$A),MATCH(E$1,[1]quests!$1:$1,0)-MATCH($C$1,[1]quests!$1:$1,0)+1),MATCH(E$1,[1]quests!$1:$1,0)-MATCH($C$1,[1]quests!$1:$1,0)+1,FALSE)</f>
        <v>ドロップイベント1-4（マルチ専用）</v>
      </c>
      <c r="F941" s="5">
        <v>2</v>
      </c>
      <c r="G941" s="3" t="str">
        <f ca="1">VLOOKUP($C941&amp;"_"&amp;$F941,OFFSET([1]stages!$A$1,0,0,COUNTA([1]stages!$A:$A),MATCH(G$1,[1]stages!$2:$2,0)-MATCH("temp_stage",[1]stages!$2:$2,0)+1),MATCH(G$1,[1]stages!$2:$2,0)-MATCH("temp_stage",[1]stages!$2:$2,0)+1,FALSE)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1" s="3" t="str">
        <f ca="1">VLOOKUP($C941&amp;"_"&amp;$F941,OFFSET([1]stages!$A$1,0,0,COUNTA([1]stages!$A:$A),MATCH(H$1,[1]stages!$2:$2,0)-MATCH("temp_stage",[1]stages!$2:$2,0)+1),MATCH(H$1,[1]stages!$2:$2,0)-MATCH("temp_stage",[1]stages!$2:$2,0)+1,FALSE)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1" s="18">
        <v>0</v>
      </c>
      <c r="J941" s="5">
        <f>COUNTIF(C$1:C941,C941)</f>
        <v>16</v>
      </c>
      <c r="K941" s="34">
        <v>20</v>
      </c>
      <c r="L941" s="5" t="s">
        <v>17</v>
      </c>
      <c r="M941" s="38" t="str">
        <f>VLOOKUP(K941,[2]stage_hints!$A:$C,3,FALSE)</f>
        <v>マルチプレイのメリット（その3）</v>
      </c>
      <c r="N941" s="39" t="str">
        <f>VLOOKUP(K941,[2]stage_hints!$A:$D,4,FALSE)</f>
        <v>マルチプレイへの参加はエナジー消費ゼロ
いつでも好きなだけ遊ぶことができます</v>
      </c>
      <c r="O941" s="20" t="s">
        <v>24</v>
      </c>
      <c r="P941">
        <v>20</v>
      </c>
    </row>
    <row r="942" spans="1:16" x14ac:dyDescent="0.15">
      <c r="A942" s="27" t="str">
        <f t="shared" si="78"/>
        <v>30004_2_17</v>
      </c>
      <c r="B942" s="25" t="s">
        <v>34</v>
      </c>
      <c r="C942" s="4">
        <v>30004</v>
      </c>
      <c r="D942" s="3" t="str">
        <f ca="1">VLOOKUP($C942,OFFSET([1]quests!$A$1,0,0,COUNTA([1]quests!$A:$A),MATCH(D$1,[1]quests!$1:$1,0)-MATCH($C$1,[1]quests!$1:$1,0)+1),MATCH(D$1,[1]quests!$1:$1,0)-MATCH($C$1,[1]quests!$1:$1,0)+1,FALSE)</f>
        <v>危険な仲裁者</v>
      </c>
      <c r="E942" s="3" t="str">
        <f ca="1">VLOOKUP($C942,OFFSET([1]quests!$A$1,0,0,COUNTA([1]quests!$A:$A),MATCH(E$1,[1]quests!$1:$1,0)-MATCH($C$1,[1]quests!$1:$1,0)+1),MATCH(E$1,[1]quests!$1:$1,0)-MATCH($C$1,[1]quests!$1:$1,0)+1,FALSE)</f>
        <v>ドロップイベント1-4（マルチ専用）</v>
      </c>
      <c r="F942" s="5">
        <v>2</v>
      </c>
      <c r="G942" s="3" t="str">
        <f ca="1">VLOOKUP($C942&amp;"_"&amp;$F942,OFFSET([1]stages!$A$1,0,0,COUNTA([1]stages!$A:$A),MATCH(G$1,[1]stages!$2:$2,0)-MATCH("temp_stage",[1]stages!$2:$2,0)+1),MATCH(G$1,[1]stages!$2:$2,0)-MATCH("temp_stage",[1]stages!$2:$2,0)+1,FALSE)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2" s="3" t="str">
        <f ca="1">VLOOKUP($C942&amp;"_"&amp;$F942,OFFSET([1]stages!$A$1,0,0,COUNTA([1]stages!$A:$A),MATCH(H$1,[1]stages!$2:$2,0)-MATCH("temp_stage",[1]stages!$2:$2,0)+1),MATCH(H$1,[1]stages!$2:$2,0)-MATCH("temp_stage",[1]stages!$2:$2,0)+1,FALSE)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2" s="18">
        <v>0</v>
      </c>
      <c r="J942" s="5">
        <f>COUNTIF(C$1:C942,C942)</f>
        <v>17</v>
      </c>
      <c r="K942" s="34">
        <v>21</v>
      </c>
      <c r="L942" s="5" t="s">
        <v>17</v>
      </c>
      <c r="M942" s="38" t="str">
        <f>VLOOKUP(K942,[2]stage_hints!$A:$C,3,FALSE)</f>
        <v>スキルを有効に</v>
      </c>
      <c r="N942" s="39" t="str">
        <f>VLOOKUP(K942,[2]stage_hints!$A:$D,4,FALSE)</f>
        <v>ターン経過でユニットのスキルが使えます
強力スキルでバトルを有利に進めましょう</v>
      </c>
      <c r="O942" s="20" t="s">
        <v>24</v>
      </c>
      <c r="P942">
        <v>21</v>
      </c>
    </row>
    <row r="943" spans="1:16" x14ac:dyDescent="0.15">
      <c r="A943" s="27" t="str">
        <f t="shared" si="78"/>
        <v>30004_2_18</v>
      </c>
      <c r="B943" s="25" t="s">
        <v>34</v>
      </c>
      <c r="C943" s="4">
        <v>30004</v>
      </c>
      <c r="D943" s="3" t="str">
        <f ca="1">VLOOKUP($C943,OFFSET([1]quests!$A$1,0,0,COUNTA([1]quests!$A:$A),MATCH(D$1,[1]quests!$1:$1,0)-MATCH($C$1,[1]quests!$1:$1,0)+1),MATCH(D$1,[1]quests!$1:$1,0)-MATCH($C$1,[1]quests!$1:$1,0)+1,FALSE)</f>
        <v>危険な仲裁者</v>
      </c>
      <c r="E943" s="3" t="str">
        <f ca="1">VLOOKUP($C943,OFFSET([1]quests!$A$1,0,0,COUNTA([1]quests!$A:$A),MATCH(E$1,[1]quests!$1:$1,0)-MATCH($C$1,[1]quests!$1:$1,0)+1),MATCH(E$1,[1]quests!$1:$1,0)-MATCH($C$1,[1]quests!$1:$1,0)+1,FALSE)</f>
        <v>ドロップイベント1-4（マルチ専用）</v>
      </c>
      <c r="F943" s="5">
        <v>2</v>
      </c>
      <c r="G943" s="3" t="str">
        <f ca="1">VLOOKUP($C943&amp;"_"&amp;$F943,OFFSET([1]stages!$A$1,0,0,COUNTA([1]stages!$A:$A),MATCH(G$1,[1]stages!$2:$2,0)-MATCH("temp_stage",[1]stages!$2:$2,0)+1),MATCH(G$1,[1]stages!$2:$2,0)-MATCH("temp_stage",[1]stages!$2:$2,0)+1,FALSE)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3" s="3" t="str">
        <f ca="1">VLOOKUP($C943&amp;"_"&amp;$F943,OFFSET([1]stages!$A$1,0,0,COUNTA([1]stages!$A:$A),MATCH(H$1,[1]stages!$2:$2,0)-MATCH("temp_stage",[1]stages!$2:$2,0)+1),MATCH(H$1,[1]stages!$2:$2,0)-MATCH("temp_stage",[1]stages!$2:$2,0)+1,FALSE)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3" s="18">
        <v>0</v>
      </c>
      <c r="J943" s="5">
        <f>COUNTIF(C$1:C943,C943)</f>
        <v>18</v>
      </c>
      <c r="K943" s="34">
        <v>22</v>
      </c>
      <c r="L943" s="5" t="s">
        <v>17</v>
      </c>
      <c r="M943" s="38" t="str">
        <f>VLOOKUP(K943,[2]stage_hints!$A:$C,3,FALSE)</f>
        <v>フィーバーで一発逆転（その1）</v>
      </c>
      <c r="N943" s="39" t="str">
        <f>VLOOKUP(K943,[2]stage_hints!$A:$D,4,FALSE)</f>
        <v>フィーバーは攻撃と回復を兼ね備えます
ピンチからの一発逆転を狙いましょう</v>
      </c>
      <c r="O943" s="20" t="s">
        <v>24</v>
      </c>
      <c r="P943">
        <v>22</v>
      </c>
    </row>
    <row r="944" spans="1:16" x14ac:dyDescent="0.15">
      <c r="A944" s="27" t="str">
        <f t="shared" si="78"/>
        <v>30004_2_19</v>
      </c>
      <c r="B944" s="25" t="s">
        <v>34</v>
      </c>
      <c r="C944" s="4">
        <v>30004</v>
      </c>
      <c r="D944" s="3" t="str">
        <f ca="1">VLOOKUP($C944,OFFSET([1]quests!$A$1,0,0,COUNTA([1]quests!$A:$A),MATCH(D$1,[1]quests!$1:$1,0)-MATCH($C$1,[1]quests!$1:$1,0)+1),MATCH(D$1,[1]quests!$1:$1,0)-MATCH($C$1,[1]quests!$1:$1,0)+1,FALSE)</f>
        <v>危険な仲裁者</v>
      </c>
      <c r="E944" s="3" t="str">
        <f ca="1">VLOOKUP($C944,OFFSET([1]quests!$A$1,0,0,COUNTA([1]quests!$A:$A),MATCH(E$1,[1]quests!$1:$1,0)-MATCH($C$1,[1]quests!$1:$1,0)+1),MATCH(E$1,[1]quests!$1:$1,0)-MATCH($C$1,[1]quests!$1:$1,0)+1,FALSE)</f>
        <v>ドロップイベント1-4（マルチ専用）</v>
      </c>
      <c r="F944" s="5">
        <v>2</v>
      </c>
      <c r="G944" s="3" t="str">
        <f ca="1">VLOOKUP($C944&amp;"_"&amp;$F944,OFFSET([1]stages!$A$1,0,0,COUNTA([1]stages!$A:$A),MATCH(G$1,[1]stages!$2:$2,0)-MATCH("temp_stage",[1]stages!$2:$2,0)+1),MATCH(G$1,[1]stages!$2:$2,0)-MATCH("temp_stage",[1]stages!$2:$2,0)+1,FALSE)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4" s="3" t="str">
        <f ca="1">VLOOKUP($C944&amp;"_"&amp;$F944,OFFSET([1]stages!$A$1,0,0,COUNTA([1]stages!$A:$A),MATCH(H$1,[1]stages!$2:$2,0)-MATCH("temp_stage",[1]stages!$2:$2,0)+1),MATCH(H$1,[1]stages!$2:$2,0)-MATCH("temp_stage",[1]stages!$2:$2,0)+1,FALSE)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4" s="18">
        <v>0</v>
      </c>
      <c r="J944" s="5">
        <f>COUNTIF(C$1:C944,C944)</f>
        <v>19</v>
      </c>
      <c r="K944" s="34">
        <v>23</v>
      </c>
      <c r="L944" s="5" t="s">
        <v>17</v>
      </c>
      <c r="M944" s="38" t="str">
        <f>VLOOKUP(K944,[2]stage_hints!$A:$C,3,FALSE)</f>
        <v>フィーバーで一発逆転（その2）</v>
      </c>
      <c r="N944" s="39" t="str">
        <f>VLOOKUP(K944,[2]stage_hints!$A:$D,4,FALSE)</f>
        <v>フィーバー中は虹色のボムパネルを狙って
画面上のパネルを一気に破壊しましょう</v>
      </c>
      <c r="O944" s="20" t="s">
        <v>24</v>
      </c>
      <c r="P944">
        <v>23</v>
      </c>
    </row>
    <row r="945" spans="1:16" x14ac:dyDescent="0.15">
      <c r="A945" s="27" t="str">
        <f t="shared" si="78"/>
        <v>30004_2_20</v>
      </c>
      <c r="B945" s="25" t="s">
        <v>34</v>
      </c>
      <c r="C945" s="4">
        <v>30004</v>
      </c>
      <c r="D945" s="3" t="str">
        <f ca="1">VLOOKUP($C945,OFFSET([1]quests!$A$1,0,0,COUNTA([1]quests!$A:$A),MATCH(D$1,[1]quests!$1:$1,0)-MATCH($C$1,[1]quests!$1:$1,0)+1),MATCH(D$1,[1]quests!$1:$1,0)-MATCH($C$1,[1]quests!$1:$1,0)+1,FALSE)</f>
        <v>危険な仲裁者</v>
      </c>
      <c r="E945" s="3" t="str">
        <f ca="1">VLOOKUP($C945,OFFSET([1]quests!$A$1,0,0,COUNTA([1]quests!$A:$A),MATCH(E$1,[1]quests!$1:$1,0)-MATCH($C$1,[1]quests!$1:$1,0)+1),MATCH(E$1,[1]quests!$1:$1,0)-MATCH($C$1,[1]quests!$1:$1,0)+1,FALSE)</f>
        <v>ドロップイベント1-4（マルチ専用）</v>
      </c>
      <c r="F945" s="5">
        <v>2</v>
      </c>
      <c r="G945" s="3" t="str">
        <f ca="1">VLOOKUP($C945&amp;"_"&amp;$F945,OFFSET([1]stages!$A$1,0,0,COUNTA([1]stages!$A:$A),MATCH(G$1,[1]stages!$2:$2,0)-MATCH("temp_stage",[1]stages!$2:$2,0)+1),MATCH(G$1,[1]stages!$2:$2,0)-MATCH("temp_stage",[1]stages!$2:$2,0)+1,FALSE)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5" s="3" t="str">
        <f ca="1">VLOOKUP($C945&amp;"_"&amp;$F945,OFFSET([1]stages!$A$1,0,0,COUNTA([1]stages!$A:$A),MATCH(H$1,[1]stages!$2:$2,0)-MATCH("temp_stage",[1]stages!$2:$2,0)+1),MATCH(H$1,[1]stages!$2:$2,0)-MATCH("temp_stage",[1]stages!$2:$2,0)+1,FALSE)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5" s="18">
        <v>0</v>
      </c>
      <c r="J945" s="5">
        <f>COUNTIF(C$1:C945,C945)</f>
        <v>20</v>
      </c>
      <c r="K945" s="34">
        <v>24</v>
      </c>
      <c r="L945" s="5" t="s">
        <v>17</v>
      </c>
      <c r="M945" s="38" t="str">
        <f>VLOOKUP(K945,[2]stage_hints!$A:$C,3,FALSE)</f>
        <v>りんごを使って限界突破</v>
      </c>
      <c r="N945" s="39" t="str">
        <f>VLOOKUP(K945,[2]stage_hints!$A:$D,4,FALSE)</f>
        <v>赤りんご(攻撃力) 青りんご(回復力)
緑りんご(体力)をユニット強化に使うと
ステータスが限界突破します（計99個迄）</v>
      </c>
      <c r="O945" s="20" t="s">
        <v>24</v>
      </c>
      <c r="P945">
        <v>24</v>
      </c>
    </row>
    <row r="946" spans="1:16" x14ac:dyDescent="0.15">
      <c r="A946" s="27" t="str">
        <f t="shared" si="78"/>
        <v>30004_2_21</v>
      </c>
      <c r="B946" s="25" t="s">
        <v>34</v>
      </c>
      <c r="C946" s="4">
        <v>30004</v>
      </c>
      <c r="D946" s="3" t="str">
        <f ca="1">VLOOKUP($C946,OFFSET([1]quests!$A$1,0,0,COUNTA([1]quests!$A:$A),MATCH(D$1,[1]quests!$1:$1,0)-MATCH($C$1,[1]quests!$1:$1,0)+1),MATCH(D$1,[1]quests!$1:$1,0)-MATCH($C$1,[1]quests!$1:$1,0)+1,FALSE)</f>
        <v>危険な仲裁者</v>
      </c>
      <c r="E946" s="3" t="str">
        <f ca="1">VLOOKUP($C946,OFFSET([1]quests!$A$1,0,0,COUNTA([1]quests!$A:$A),MATCH(E$1,[1]quests!$1:$1,0)-MATCH($C$1,[1]quests!$1:$1,0)+1),MATCH(E$1,[1]quests!$1:$1,0)-MATCH($C$1,[1]quests!$1:$1,0)+1,FALSE)</f>
        <v>ドロップイベント1-4（マルチ専用）</v>
      </c>
      <c r="F946" s="5">
        <v>2</v>
      </c>
      <c r="G946" s="3" t="str">
        <f ca="1">VLOOKUP($C946&amp;"_"&amp;$F946,OFFSET([1]stages!$A$1,0,0,COUNTA([1]stages!$A:$A),MATCH(G$1,[1]stages!$2:$2,0)-MATCH("temp_stage",[1]stages!$2:$2,0)+1),MATCH(G$1,[1]stages!$2:$2,0)-MATCH("temp_stage",[1]stages!$2:$2,0)+1,FALSE)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6" s="3" t="str">
        <f ca="1">VLOOKUP($C946&amp;"_"&amp;$F946,OFFSET([1]stages!$A$1,0,0,COUNTA([1]stages!$A:$A),MATCH(H$1,[1]stages!$2:$2,0)-MATCH("temp_stage",[1]stages!$2:$2,0)+1),MATCH(H$1,[1]stages!$2:$2,0)-MATCH("temp_stage",[1]stages!$2:$2,0)+1,FALSE)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6" s="18">
        <v>0</v>
      </c>
      <c r="J946" s="5">
        <f>COUNTIF(C$1:C946,C946)</f>
        <v>21</v>
      </c>
      <c r="K946" s="34">
        <v>25</v>
      </c>
      <c r="L946" s="5" t="s">
        <v>17</v>
      </c>
      <c r="M946" s="38" t="str">
        <f>VLOOKUP(K946,[2]stage_hints!$A:$C,3,FALSE)</f>
        <v>スキルレベルアップ</v>
      </c>
      <c r="N946" s="39" t="str">
        <f>VLOOKUP(K946,[2]stage_hints!$A:$D,4,FALSE)</f>
        <v>「クリスタルのりんご」を強化に使うと
スキルレベルを上げることができます</v>
      </c>
      <c r="O946" s="20" t="s">
        <v>24</v>
      </c>
      <c r="P946">
        <v>25</v>
      </c>
    </row>
    <row r="947" spans="1:16" x14ac:dyDescent="0.15">
      <c r="A947" s="27" t="str">
        <f t="shared" si="78"/>
        <v>30004_2_22</v>
      </c>
      <c r="B947" s="25" t="s">
        <v>34</v>
      </c>
      <c r="C947" s="4">
        <v>30004</v>
      </c>
      <c r="D947" s="3" t="str">
        <f ca="1">VLOOKUP($C947,OFFSET([1]quests!$A$1,0,0,COUNTA([1]quests!$A:$A),MATCH(D$1,[1]quests!$1:$1,0)-MATCH($C$1,[1]quests!$1:$1,0)+1),MATCH(D$1,[1]quests!$1:$1,0)-MATCH($C$1,[1]quests!$1:$1,0)+1,FALSE)</f>
        <v>危険な仲裁者</v>
      </c>
      <c r="E947" s="3" t="str">
        <f ca="1">VLOOKUP($C947,OFFSET([1]quests!$A$1,0,0,COUNTA([1]quests!$A:$A),MATCH(E$1,[1]quests!$1:$1,0)-MATCH($C$1,[1]quests!$1:$1,0)+1),MATCH(E$1,[1]quests!$1:$1,0)-MATCH($C$1,[1]quests!$1:$1,0)+1,FALSE)</f>
        <v>ドロップイベント1-4（マルチ専用）</v>
      </c>
      <c r="F947" s="5">
        <v>2</v>
      </c>
      <c r="G947" s="3" t="str">
        <f ca="1">VLOOKUP($C947&amp;"_"&amp;$F947,OFFSET([1]stages!$A$1,0,0,COUNTA([1]stages!$A:$A),MATCH(G$1,[1]stages!$2:$2,0)-MATCH("temp_stage",[1]stages!$2:$2,0)+1),MATCH(G$1,[1]stages!$2:$2,0)-MATCH("temp_stage",[1]stages!$2:$2,0)+1,FALSE)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7" s="3" t="str">
        <f ca="1">VLOOKUP($C947&amp;"_"&amp;$F947,OFFSET([1]stages!$A$1,0,0,COUNTA([1]stages!$A:$A),MATCH(H$1,[1]stages!$2:$2,0)-MATCH("temp_stage",[1]stages!$2:$2,0)+1),MATCH(H$1,[1]stages!$2:$2,0)-MATCH("temp_stage",[1]stages!$2:$2,0)+1,FALSE)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7" s="18">
        <v>0</v>
      </c>
      <c r="J947" s="5">
        <f>COUNTIF(C$1:C947,C947)</f>
        <v>22</v>
      </c>
      <c r="K947" s="34">
        <v>26</v>
      </c>
      <c r="L947" s="5" t="s">
        <v>17</v>
      </c>
      <c r="M947" s="38" t="str">
        <f>VLOOKUP(K947,[2]stage_hints!$A:$C,3,FALSE)</f>
        <v>スキルレベルの効果</v>
      </c>
      <c r="N947" s="39" t="str">
        <f>VLOOKUP(K947,[2]stage_hints!$A:$D,4,FALSE)</f>
        <v>スキルレベルが上がると
短いターンでスキルを使うことができます</v>
      </c>
      <c r="O947" s="20" t="s">
        <v>24</v>
      </c>
      <c r="P947">
        <v>26</v>
      </c>
    </row>
    <row r="948" spans="1:16" x14ac:dyDescent="0.15">
      <c r="A948" s="27" t="str">
        <f t="shared" si="78"/>
        <v>30004_2_23</v>
      </c>
      <c r="B948" s="25" t="s">
        <v>34</v>
      </c>
      <c r="C948" s="4">
        <v>30004</v>
      </c>
      <c r="D948" s="3" t="str">
        <f ca="1">VLOOKUP($C948,OFFSET([1]quests!$A$1,0,0,COUNTA([1]quests!$A:$A),MATCH(D$1,[1]quests!$1:$1,0)-MATCH($C$1,[1]quests!$1:$1,0)+1),MATCH(D$1,[1]quests!$1:$1,0)-MATCH($C$1,[1]quests!$1:$1,0)+1,FALSE)</f>
        <v>危険な仲裁者</v>
      </c>
      <c r="E948" s="3" t="str">
        <f ca="1">VLOOKUP($C948,OFFSET([1]quests!$A$1,0,0,COUNTA([1]quests!$A:$A),MATCH(E$1,[1]quests!$1:$1,0)-MATCH($C$1,[1]quests!$1:$1,0)+1),MATCH(E$1,[1]quests!$1:$1,0)-MATCH($C$1,[1]quests!$1:$1,0)+1,FALSE)</f>
        <v>ドロップイベント1-4（マルチ専用）</v>
      </c>
      <c r="F948" s="5">
        <v>2</v>
      </c>
      <c r="G948" s="3" t="str">
        <f ca="1">VLOOKUP($C948&amp;"_"&amp;$F948,OFFSET([1]stages!$A$1,0,0,COUNTA([1]stages!$A:$A),MATCH(G$1,[1]stages!$2:$2,0)-MATCH("temp_stage",[1]stages!$2:$2,0)+1),MATCH(G$1,[1]stages!$2:$2,0)-MATCH("temp_stage",[1]stages!$2:$2,0)+1,FALSE)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8" s="3" t="str">
        <f ca="1">VLOOKUP($C948&amp;"_"&amp;$F948,OFFSET([1]stages!$A$1,0,0,COUNTA([1]stages!$A:$A),MATCH(H$1,[1]stages!$2:$2,0)-MATCH("temp_stage",[1]stages!$2:$2,0)+1),MATCH(H$1,[1]stages!$2:$2,0)-MATCH("temp_stage",[1]stages!$2:$2,0)+1,FALSE)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8" s="18">
        <v>0</v>
      </c>
      <c r="J948" s="5">
        <f>COUNTIF(C$1:C948,C948)</f>
        <v>23</v>
      </c>
      <c r="K948" s="34">
        <v>27</v>
      </c>
      <c r="L948" s="5" t="s">
        <v>17</v>
      </c>
      <c r="M948" s="38" t="str">
        <f>VLOOKUP(K948,[2]stage_hints!$A:$C,3,FALSE)</f>
        <v>ホーム画面からデッキを編成</v>
      </c>
      <c r="N948" s="39" t="str">
        <f>VLOOKUP(K948,[2]stage_hints!$A:$D,4,FALSE)</f>
        <v>ホーム画面でユニットを長押しすると
すぐにパーティ編成に移動できます</v>
      </c>
      <c r="O948" s="20" t="s">
        <v>24</v>
      </c>
      <c r="P948">
        <v>27</v>
      </c>
    </row>
    <row r="949" spans="1:16" x14ac:dyDescent="0.15">
      <c r="A949" s="27" t="str">
        <f t="shared" si="78"/>
        <v>30004_2_24</v>
      </c>
      <c r="B949" s="25" t="s">
        <v>34</v>
      </c>
      <c r="C949" s="4">
        <v>30004</v>
      </c>
      <c r="D949" s="3" t="str">
        <f ca="1">VLOOKUP($C949,OFFSET([1]quests!$A$1,0,0,COUNTA([1]quests!$A:$A),MATCH(D$1,[1]quests!$1:$1,0)-MATCH($C$1,[1]quests!$1:$1,0)+1),MATCH(D$1,[1]quests!$1:$1,0)-MATCH($C$1,[1]quests!$1:$1,0)+1,FALSE)</f>
        <v>危険な仲裁者</v>
      </c>
      <c r="E949" s="3" t="str">
        <f ca="1">VLOOKUP($C949,OFFSET([1]quests!$A$1,0,0,COUNTA([1]quests!$A:$A),MATCH(E$1,[1]quests!$1:$1,0)-MATCH($C$1,[1]quests!$1:$1,0)+1),MATCH(E$1,[1]quests!$1:$1,0)-MATCH($C$1,[1]quests!$1:$1,0)+1,FALSE)</f>
        <v>ドロップイベント1-4（マルチ専用）</v>
      </c>
      <c r="F949" s="5">
        <v>2</v>
      </c>
      <c r="G949" s="3" t="str">
        <f ca="1">VLOOKUP($C949&amp;"_"&amp;$F949,OFFSET([1]stages!$A$1,0,0,COUNTA([1]stages!$A:$A),MATCH(G$1,[1]stages!$2:$2,0)-MATCH("temp_stage",[1]stages!$2:$2,0)+1),MATCH(G$1,[1]stages!$2:$2,0)-MATCH("temp_stage",[1]stages!$2:$2,0)+1,FALSE)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49" s="3" t="str">
        <f ca="1">VLOOKUP($C949&amp;"_"&amp;$F949,OFFSET([1]stages!$A$1,0,0,COUNTA([1]stages!$A:$A),MATCH(H$1,[1]stages!$2:$2,0)-MATCH("temp_stage",[1]stages!$2:$2,0)+1),MATCH(H$1,[1]stages!$2:$2,0)-MATCH("temp_stage",[1]stages!$2:$2,0)+1,FALSE)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49" s="18">
        <v>0</v>
      </c>
      <c r="J949" s="5">
        <f>COUNTIF(C$1:C949,C949)</f>
        <v>24</v>
      </c>
      <c r="K949" s="34">
        <v>28</v>
      </c>
      <c r="L949" s="5" t="s">
        <v>17</v>
      </c>
      <c r="M949" s="38" t="str">
        <f>VLOOKUP(K949,[2]stage_hints!$A:$C,3,FALSE)</f>
        <v>ステータス情報は長押しで</v>
      </c>
      <c r="N949" s="39" t="str">
        <f>VLOOKUP(K949,[2]stage_hints!$A:$D,4,FALSE)</f>
        <v>ユニットのアイコンを長押しすると
ステータス情報を確認することができます</v>
      </c>
      <c r="O949" s="20" t="s">
        <v>24</v>
      </c>
      <c r="P949">
        <v>28</v>
      </c>
    </row>
    <row r="950" spans="1:16" x14ac:dyDescent="0.15">
      <c r="A950" s="27" t="str">
        <f t="shared" si="78"/>
        <v>30004_2_25</v>
      </c>
      <c r="B950" s="25" t="s">
        <v>34</v>
      </c>
      <c r="C950" s="4">
        <v>30004</v>
      </c>
      <c r="D950" s="3" t="str">
        <f ca="1">VLOOKUP($C950,OFFSET([1]quests!$A$1,0,0,COUNTA([1]quests!$A:$A),MATCH(D$1,[1]quests!$1:$1,0)-MATCH($C$1,[1]quests!$1:$1,0)+1),MATCH(D$1,[1]quests!$1:$1,0)-MATCH($C$1,[1]quests!$1:$1,0)+1,FALSE)</f>
        <v>危険な仲裁者</v>
      </c>
      <c r="E950" s="3" t="str">
        <f ca="1">VLOOKUP($C950,OFFSET([1]quests!$A$1,0,0,COUNTA([1]quests!$A:$A),MATCH(E$1,[1]quests!$1:$1,0)-MATCH($C$1,[1]quests!$1:$1,0)+1),MATCH(E$1,[1]quests!$1:$1,0)-MATCH($C$1,[1]quests!$1:$1,0)+1,FALSE)</f>
        <v>ドロップイベント1-4（マルチ専用）</v>
      </c>
      <c r="F950" s="5">
        <v>2</v>
      </c>
      <c r="G950" s="3" t="str">
        <f ca="1">VLOOKUP($C950&amp;"_"&amp;$F950,OFFSET([1]stages!$A$1,0,0,COUNTA([1]stages!$A:$A),MATCH(G$1,[1]stages!$2:$2,0)-MATCH("temp_stage",[1]stages!$2:$2,0)+1),MATCH(G$1,[1]stages!$2:$2,0)-MATCH("temp_stage",[1]stages!$2:$2,0)+1,FALSE)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50" s="3" t="str">
        <f ca="1">VLOOKUP($C950&amp;"_"&amp;$F950,OFFSET([1]stages!$A$1,0,0,COUNTA([1]stages!$A:$A),MATCH(H$1,[1]stages!$2:$2,0)-MATCH("temp_stage",[1]stages!$2:$2,0)+1),MATCH(H$1,[1]stages!$2:$2,0)-MATCH("temp_stage",[1]stages!$2:$2,0)+1,FALSE)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50" s="18">
        <v>0</v>
      </c>
      <c r="J950" s="5">
        <f>COUNTIF(C$1:C950,C950)</f>
        <v>25</v>
      </c>
      <c r="K950" s="34">
        <v>29</v>
      </c>
      <c r="L950" s="5" t="s">
        <v>17</v>
      </c>
      <c r="M950" s="38" t="str">
        <f>VLOOKUP(K950,[2]stage_hints!$A:$C,3,FALSE)</f>
        <v>「バグ」のメリット</v>
      </c>
      <c r="N950" s="39" t="str">
        <f>VLOOKUP(K950,[2]stage_hints!$A:$D,4,FALSE)</f>
        <v>ユニットの「バグ」を増やすと
報酬をもらえる確率がアップします</v>
      </c>
      <c r="O950" s="20" t="s">
        <v>24</v>
      </c>
      <c r="P950">
        <v>29</v>
      </c>
    </row>
    <row r="951" spans="1:16" x14ac:dyDescent="0.15">
      <c r="A951" s="27" t="str">
        <f t="shared" si="78"/>
        <v>30004_2_26</v>
      </c>
      <c r="B951" s="25" t="s">
        <v>34</v>
      </c>
      <c r="C951" s="4">
        <v>30004</v>
      </c>
      <c r="D951" s="3" t="str">
        <f ca="1">VLOOKUP($C951,OFFSET([1]quests!$A$1,0,0,COUNTA([1]quests!$A:$A),MATCH(D$1,[1]quests!$1:$1,0)-MATCH($C$1,[1]quests!$1:$1,0)+1),MATCH(D$1,[1]quests!$1:$1,0)-MATCH($C$1,[1]quests!$1:$1,0)+1,FALSE)</f>
        <v>危険な仲裁者</v>
      </c>
      <c r="E951" s="3" t="str">
        <f ca="1">VLOOKUP($C951,OFFSET([1]quests!$A$1,0,0,COUNTA([1]quests!$A:$A),MATCH(E$1,[1]quests!$1:$1,0)-MATCH($C$1,[1]quests!$1:$1,0)+1),MATCH(E$1,[1]quests!$1:$1,0)-MATCH($C$1,[1]quests!$1:$1,0)+1,FALSE)</f>
        <v>ドロップイベント1-4（マルチ専用）</v>
      </c>
      <c r="F951" s="5">
        <v>2</v>
      </c>
      <c r="G951" s="3" t="str">
        <f ca="1">VLOOKUP($C951&amp;"_"&amp;$F951,OFFSET([1]stages!$A$1,0,0,COUNTA([1]stages!$A:$A),MATCH(G$1,[1]stages!$2:$2,0)-MATCH("temp_stage",[1]stages!$2:$2,0)+1),MATCH(G$1,[1]stages!$2:$2,0)-MATCH("temp_stage",[1]stages!$2:$2,0)+1,FALSE)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51" s="3" t="str">
        <f ca="1">VLOOKUP($C951&amp;"_"&amp;$F951,OFFSET([1]stages!$A$1,0,0,COUNTA([1]stages!$A:$A),MATCH(H$1,[1]stages!$2:$2,0)-MATCH("temp_stage",[1]stages!$2:$2,0)+1),MATCH(H$1,[1]stages!$2:$2,0)-MATCH("temp_stage",[1]stages!$2:$2,0)+1,FALSE)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51" s="18">
        <v>0</v>
      </c>
      <c r="J951" s="5">
        <f>COUNTIF(C$1:C951,C951)</f>
        <v>26</v>
      </c>
      <c r="K951" s="34">
        <v>30</v>
      </c>
      <c r="L951" s="5" t="s">
        <v>17</v>
      </c>
      <c r="M951" s="38" t="str">
        <f>VLOOKUP(K951,[2]stage_hints!$A:$C,3,FALSE)</f>
        <v>「バグ」の増やし方</v>
      </c>
      <c r="N951" s="39" t="str">
        <f>VLOOKUP(K951,[2]stage_hints!$A:$D,4,FALSE)</f>
        <v>同じユニット同士を強化で合成すると
「バグ」を増やすことができます</v>
      </c>
      <c r="O951" s="20" t="s">
        <v>24</v>
      </c>
      <c r="P951">
        <v>30</v>
      </c>
    </row>
    <row r="952" spans="1:16" x14ac:dyDescent="0.15">
      <c r="A952" s="27" t="str">
        <f t="shared" si="78"/>
        <v>30004_2_27</v>
      </c>
      <c r="B952" s="25" t="s">
        <v>34</v>
      </c>
      <c r="C952" s="4">
        <v>30004</v>
      </c>
      <c r="D952" s="3" t="str">
        <f ca="1">VLOOKUP($C952,OFFSET([1]quests!$A$1,0,0,COUNTA([1]quests!$A:$A),MATCH(D$1,[1]quests!$1:$1,0)-MATCH($C$1,[1]quests!$1:$1,0)+1),MATCH(D$1,[1]quests!$1:$1,0)-MATCH($C$1,[1]quests!$1:$1,0)+1,FALSE)</f>
        <v>危険な仲裁者</v>
      </c>
      <c r="E952" s="3" t="str">
        <f ca="1">VLOOKUP($C952,OFFSET([1]quests!$A$1,0,0,COUNTA([1]quests!$A:$A),MATCH(E$1,[1]quests!$1:$1,0)-MATCH($C$1,[1]quests!$1:$1,0)+1),MATCH(E$1,[1]quests!$1:$1,0)-MATCH($C$1,[1]quests!$1:$1,0)+1,FALSE)</f>
        <v>ドロップイベント1-4（マルチ専用）</v>
      </c>
      <c r="F952" s="5">
        <v>2</v>
      </c>
      <c r="G952" s="3" t="str">
        <f ca="1">VLOOKUP($C952&amp;"_"&amp;$F952,OFFSET([1]stages!$A$1,0,0,COUNTA([1]stages!$A:$A),MATCH(G$1,[1]stages!$2:$2,0)-MATCH("temp_stage",[1]stages!$2:$2,0)+1),MATCH(G$1,[1]stages!$2:$2,0)-MATCH("temp_stage",[1]stages!$2:$2,0)+1,FALSE)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52" s="3" t="str">
        <f ca="1">VLOOKUP($C952&amp;"_"&amp;$F952,OFFSET([1]stages!$A$1,0,0,COUNTA([1]stages!$A:$A),MATCH(H$1,[1]stages!$2:$2,0)-MATCH("temp_stage",[1]stages!$2:$2,0)+1),MATCH(H$1,[1]stages!$2:$2,0)-MATCH("temp_stage",[1]stages!$2:$2,0)+1,FALSE)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52" s="18">
        <v>0</v>
      </c>
      <c r="J952" s="5">
        <f>COUNTIF(C$1:C952,C952)</f>
        <v>27</v>
      </c>
      <c r="K952" s="34">
        <v>31</v>
      </c>
      <c r="L952" s="5" t="s">
        <v>17</v>
      </c>
      <c r="M952" s="38" t="str">
        <f>VLOOKUP(K952,[2]stage_hints!$A:$C,3,FALSE)</f>
        <v>イベントはお知らせでチェック</v>
      </c>
      <c r="N952" s="39" t="str">
        <f>VLOOKUP(K952,[2]stage_hints!$A:$D,4,FALSE)</f>
        <v>イベント限定ユニットを取り忘れないように
お知らせをこまめにチェックしましょう</v>
      </c>
      <c r="O952" s="20" t="s">
        <v>24</v>
      </c>
      <c r="P952">
        <v>31</v>
      </c>
    </row>
    <row r="953" spans="1:16" x14ac:dyDescent="0.15">
      <c r="A953" s="27" t="str">
        <f t="shared" si="78"/>
        <v>30004_2_28</v>
      </c>
      <c r="B953" s="25" t="s">
        <v>34</v>
      </c>
      <c r="C953" s="4">
        <v>30004</v>
      </c>
      <c r="D953" s="3" t="str">
        <f ca="1">VLOOKUP($C953,OFFSET([1]quests!$A$1,0,0,COUNTA([1]quests!$A:$A),MATCH(D$1,[1]quests!$1:$1,0)-MATCH($C$1,[1]quests!$1:$1,0)+1),MATCH(D$1,[1]quests!$1:$1,0)-MATCH($C$1,[1]quests!$1:$1,0)+1,FALSE)</f>
        <v>危険な仲裁者</v>
      </c>
      <c r="E953" s="3" t="str">
        <f ca="1">VLOOKUP($C953,OFFSET([1]quests!$A$1,0,0,COUNTA([1]quests!$A:$A),MATCH(E$1,[1]quests!$1:$1,0)-MATCH($C$1,[1]quests!$1:$1,0)+1),MATCH(E$1,[1]quests!$1:$1,0)-MATCH($C$1,[1]quests!$1:$1,0)+1,FALSE)</f>
        <v>ドロップイベント1-4（マルチ専用）</v>
      </c>
      <c r="F953" s="5">
        <v>2</v>
      </c>
      <c r="G953" s="3" t="str">
        <f ca="1">VLOOKUP($C953&amp;"_"&amp;$F953,OFFSET([1]stages!$A$1,0,0,COUNTA([1]stages!$A:$A),MATCH(G$1,[1]stages!$2:$2,0)-MATCH("temp_stage",[1]stages!$2:$2,0)+1),MATCH(G$1,[1]stages!$2:$2,0)-MATCH("temp_stage",[1]stages!$2:$2,0)+1,FALSE)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53" s="3" t="str">
        <f ca="1">VLOOKUP($C953&amp;"_"&amp;$F953,OFFSET([1]stages!$A$1,0,0,COUNTA([1]stages!$A:$A),MATCH(H$1,[1]stages!$2:$2,0)-MATCH("temp_stage",[1]stages!$2:$2,0)+1),MATCH(H$1,[1]stages!$2:$2,0)-MATCH("temp_stage",[1]stages!$2:$2,0)+1,FALSE)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53" s="18">
        <v>0</v>
      </c>
      <c r="J953" s="5">
        <f>COUNTIF(C$1:C953,C953)</f>
        <v>28</v>
      </c>
      <c r="K953" s="34">
        <v>32</v>
      </c>
      <c r="L953" s="5" t="s">
        <v>17</v>
      </c>
      <c r="M953" s="38" t="str">
        <f>VLOOKUP(K953,[2]stage_hints!$A:$C,3,FALSE)</f>
        <v>敵の連続攻撃には</v>
      </c>
      <c r="N953" s="39" t="str">
        <f>VLOOKUP(K953,[2]stage_hints!$A:$D,4,FALSE)</f>
        <v>カウンタースキルを持つユニットがいれば
ダメージ回数分の反撃ができます</v>
      </c>
      <c r="O953" s="20" t="s">
        <v>24</v>
      </c>
      <c r="P953">
        <v>32</v>
      </c>
    </row>
    <row r="954" spans="1:16" x14ac:dyDescent="0.15">
      <c r="A954" s="27" t="str">
        <f t="shared" si="78"/>
        <v>30004_2_29</v>
      </c>
      <c r="B954" s="25" t="s">
        <v>34</v>
      </c>
      <c r="C954" s="4">
        <v>30004</v>
      </c>
      <c r="D954" s="3" t="str">
        <f ca="1">VLOOKUP($C954,OFFSET([1]quests!$A$1,0,0,COUNTA([1]quests!$A:$A),MATCH(D$1,[1]quests!$1:$1,0)-MATCH($C$1,[1]quests!$1:$1,0)+1),MATCH(D$1,[1]quests!$1:$1,0)-MATCH($C$1,[1]quests!$1:$1,0)+1,FALSE)</f>
        <v>危険な仲裁者</v>
      </c>
      <c r="E954" s="3" t="str">
        <f ca="1">VLOOKUP($C954,OFFSET([1]quests!$A$1,0,0,COUNTA([1]quests!$A:$A),MATCH(E$1,[1]quests!$1:$1,0)-MATCH($C$1,[1]quests!$1:$1,0)+1),MATCH(E$1,[1]quests!$1:$1,0)-MATCH($C$1,[1]quests!$1:$1,0)+1,FALSE)</f>
        <v>ドロップイベント1-4（マルチ専用）</v>
      </c>
      <c r="F954" s="5">
        <v>2</v>
      </c>
      <c r="G954" s="3" t="str">
        <f ca="1">VLOOKUP($C954&amp;"_"&amp;$F954,OFFSET([1]stages!$A$1,0,0,COUNTA([1]stages!$A:$A),MATCH(G$1,[1]stages!$2:$2,0)-MATCH("temp_stage",[1]stages!$2:$2,0)+1),MATCH(G$1,[1]stages!$2:$2,0)-MATCH("temp_stage",[1]stages!$2:$2,0)+1,FALSE)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54" s="3" t="str">
        <f ca="1">VLOOKUP($C954&amp;"_"&amp;$F954,OFFSET([1]stages!$A$1,0,0,COUNTA([1]stages!$A:$A),MATCH(H$1,[1]stages!$2:$2,0)-MATCH("temp_stage",[1]stages!$2:$2,0)+1),MATCH(H$1,[1]stages!$2:$2,0)-MATCH("temp_stage",[1]stages!$2:$2,0)+1,FALSE)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54" s="18">
        <v>0</v>
      </c>
      <c r="J954" s="5">
        <f>COUNTIF(C$1:C954,C954)</f>
        <v>29</v>
      </c>
      <c r="K954" s="34">
        <v>33</v>
      </c>
      <c r="L954" s="5" t="s">
        <v>17</v>
      </c>
      <c r="M954" s="38" t="str">
        <f>VLOOKUP(K954,[2]stage_hints!$A:$C,3,FALSE)</f>
        <v>敵のカウンター攻撃には</v>
      </c>
      <c r="N954" s="39" t="str">
        <f>VLOOKUP(K954,[2]stage_hints!$A:$D,4,FALSE)</f>
        <v>カウンターブレイクスキルを持っていれば
敵のカウンターを解除して攻撃ができます</v>
      </c>
      <c r="O954" s="20" t="s">
        <v>24</v>
      </c>
      <c r="P954">
        <v>33</v>
      </c>
    </row>
    <row r="955" spans="1:16" x14ac:dyDescent="0.15">
      <c r="A955" s="27" t="str">
        <f t="shared" si="78"/>
        <v>30004_2_30</v>
      </c>
      <c r="B955" s="25" t="s">
        <v>34</v>
      </c>
      <c r="C955" s="4">
        <v>30004</v>
      </c>
      <c r="D955" s="3" t="str">
        <f ca="1">VLOOKUP($C955,OFFSET([1]quests!$A$1,0,0,COUNTA([1]quests!$A:$A),MATCH(D$1,[1]quests!$1:$1,0)-MATCH($C$1,[1]quests!$1:$1,0)+1),MATCH(D$1,[1]quests!$1:$1,0)-MATCH($C$1,[1]quests!$1:$1,0)+1,FALSE)</f>
        <v>危険な仲裁者</v>
      </c>
      <c r="E955" s="3" t="str">
        <f ca="1">VLOOKUP($C955,OFFSET([1]quests!$A$1,0,0,COUNTA([1]quests!$A:$A),MATCH(E$1,[1]quests!$1:$1,0)-MATCH($C$1,[1]quests!$1:$1,0)+1),MATCH(E$1,[1]quests!$1:$1,0)-MATCH($C$1,[1]quests!$1:$1,0)+1,FALSE)</f>
        <v>ドロップイベント1-4（マルチ専用）</v>
      </c>
      <c r="F955" s="5">
        <v>2</v>
      </c>
      <c r="G955" s="3" t="str">
        <f ca="1">VLOOKUP($C955&amp;"_"&amp;$F955,OFFSET([1]stages!$A$1,0,0,COUNTA([1]stages!$A:$A),MATCH(G$1,[1]stages!$2:$2,0)-MATCH("temp_stage",[1]stages!$2:$2,0)+1),MATCH(G$1,[1]stages!$2:$2,0)-MATCH("temp_stage",[1]stages!$2:$2,0)+1,FALSE)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55" s="3" t="str">
        <f ca="1">VLOOKUP($C955&amp;"_"&amp;$F955,OFFSET([1]stages!$A$1,0,0,COUNTA([1]stages!$A:$A),MATCH(H$1,[1]stages!$2:$2,0)-MATCH("temp_stage",[1]stages!$2:$2,0)+1),MATCH(H$1,[1]stages!$2:$2,0)-MATCH("temp_stage",[1]stages!$2:$2,0)+1,FALSE)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55" s="18">
        <v>0</v>
      </c>
      <c r="J955" s="5">
        <f>COUNTIF(C$1:C955,C955)</f>
        <v>30</v>
      </c>
      <c r="K955" s="34">
        <v>34</v>
      </c>
      <c r="L955" s="5" t="s">
        <v>17</v>
      </c>
      <c r="M955" s="38" t="str">
        <f>VLOOKUP(K955,[2]stage_hints!$A:$C,3,FALSE)</f>
        <v>ステータスをスキルで下げられたら</v>
      </c>
      <c r="N955" s="39" t="str">
        <f>VLOOKUP(K955,[2]stage_hints!$A:$D,4,FALSE)</f>
        <v>ステータスダウンのスキルを受けたら
ステータスアップスキルで上書きしましょう</v>
      </c>
      <c r="O955" s="20" t="s">
        <v>24</v>
      </c>
      <c r="P955">
        <v>34</v>
      </c>
    </row>
    <row r="956" spans="1:16" x14ac:dyDescent="0.15">
      <c r="A956" s="27" t="str">
        <f t="shared" si="78"/>
        <v>30004_2_31</v>
      </c>
      <c r="B956" s="25" t="s">
        <v>34</v>
      </c>
      <c r="C956" s="4">
        <v>30004</v>
      </c>
      <c r="D956" s="3" t="str">
        <f ca="1">VLOOKUP($C956,OFFSET([1]quests!$A$1,0,0,COUNTA([1]quests!$A:$A),MATCH(D$1,[1]quests!$1:$1,0)-MATCH($C$1,[1]quests!$1:$1,0)+1),MATCH(D$1,[1]quests!$1:$1,0)-MATCH($C$1,[1]quests!$1:$1,0)+1,FALSE)</f>
        <v>危険な仲裁者</v>
      </c>
      <c r="E956" s="3" t="str">
        <f ca="1">VLOOKUP($C956,OFFSET([1]quests!$A$1,0,0,COUNTA([1]quests!$A:$A),MATCH(E$1,[1]quests!$1:$1,0)-MATCH($C$1,[1]quests!$1:$1,0)+1),MATCH(E$1,[1]quests!$1:$1,0)-MATCH($C$1,[1]quests!$1:$1,0)+1,FALSE)</f>
        <v>ドロップイベント1-4（マルチ専用）</v>
      </c>
      <c r="F956" s="5">
        <v>2</v>
      </c>
      <c r="G956" s="3" t="str">
        <f ca="1">VLOOKUP($C956&amp;"_"&amp;$F956,OFFSET([1]stages!$A$1,0,0,COUNTA([1]stages!$A:$A),MATCH(G$1,[1]stages!$2:$2,0)-MATCH("temp_stage",[1]stages!$2:$2,0)+1),MATCH(G$1,[1]stages!$2:$2,0)-MATCH("temp_stage",[1]stages!$2:$2,0)+1,FALSE)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56" s="3" t="str">
        <f ca="1">VLOOKUP($C956&amp;"_"&amp;$F956,OFFSET([1]stages!$A$1,0,0,COUNTA([1]stages!$A:$A),MATCH(H$1,[1]stages!$2:$2,0)-MATCH("temp_stage",[1]stages!$2:$2,0)+1),MATCH(H$1,[1]stages!$2:$2,0)-MATCH("temp_stage",[1]stages!$2:$2,0)+1,FALSE)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56" s="18">
        <v>0</v>
      </c>
      <c r="J956" s="5">
        <f>COUNTIF(C$1:C956,C956)</f>
        <v>31</v>
      </c>
      <c r="K956" s="34">
        <v>35</v>
      </c>
      <c r="L956" s="5" t="s">
        <v>17</v>
      </c>
      <c r="M956" s="38" t="str">
        <f>VLOOKUP(K956,[2]stage_hints!$A:$C,3,FALSE)</f>
        <v>敵のステータスがスキルで上がったら</v>
      </c>
      <c r="N956" s="39" t="str">
        <f>VLOOKUP(K956,[2]stage_hints!$A:$D,4,FALSE)</f>
        <v>敵のステータスがスキルでアップしたときは
ステータスダウンスキルで上書きしましょう</v>
      </c>
      <c r="O956" s="20" t="s">
        <v>24</v>
      </c>
      <c r="P956">
        <v>35</v>
      </c>
    </row>
    <row r="957" spans="1:16" x14ac:dyDescent="0.15">
      <c r="A957" s="27" t="str">
        <f t="shared" si="78"/>
        <v>30004_2_32</v>
      </c>
      <c r="B957" s="25" t="s">
        <v>34</v>
      </c>
      <c r="C957" s="4">
        <v>30004</v>
      </c>
      <c r="D957" s="3" t="str">
        <f ca="1">VLOOKUP($C957,OFFSET([1]quests!$A$1,0,0,COUNTA([1]quests!$A:$A),MATCH(D$1,[1]quests!$1:$1,0)-MATCH($C$1,[1]quests!$1:$1,0)+1),MATCH(D$1,[1]quests!$1:$1,0)-MATCH($C$1,[1]quests!$1:$1,0)+1,FALSE)</f>
        <v>危険な仲裁者</v>
      </c>
      <c r="E957" s="3" t="str">
        <f ca="1">VLOOKUP($C957,OFFSET([1]quests!$A$1,0,0,COUNTA([1]quests!$A:$A),MATCH(E$1,[1]quests!$1:$1,0)-MATCH($C$1,[1]quests!$1:$1,0)+1),MATCH(E$1,[1]quests!$1:$1,0)-MATCH($C$1,[1]quests!$1:$1,0)+1,FALSE)</f>
        <v>ドロップイベント1-4（マルチ専用）</v>
      </c>
      <c r="F957" s="5">
        <v>2</v>
      </c>
      <c r="G957" s="3" t="str">
        <f ca="1">VLOOKUP($C957&amp;"_"&amp;$F957,OFFSET([1]stages!$A$1,0,0,COUNTA([1]stages!$A:$A),MATCH(G$1,[1]stages!$2:$2,0)-MATCH("temp_stage",[1]stages!$2:$2,0)+1),MATCH(G$1,[1]stages!$2:$2,0)-MATCH("temp_stage",[1]stages!$2:$2,0)+1,FALSE)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57" s="3" t="str">
        <f ca="1">VLOOKUP($C957&amp;"_"&amp;$F957,OFFSET([1]stages!$A$1,0,0,COUNTA([1]stages!$A:$A),MATCH(H$1,[1]stages!$2:$2,0)-MATCH("temp_stage",[1]stages!$2:$2,0)+1),MATCH(H$1,[1]stages!$2:$2,0)-MATCH("temp_stage",[1]stages!$2:$2,0)+1,FALSE)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57" s="18">
        <v>0</v>
      </c>
      <c r="J957" s="5">
        <f>COUNTIF(C$1:C957,C957)</f>
        <v>32</v>
      </c>
      <c r="K957" s="34">
        <v>36</v>
      </c>
      <c r="L957" s="5" t="s">
        <v>17</v>
      </c>
      <c r="M957" s="38" t="str">
        <f>VLOOKUP(K957,[2]stage_hints!$A:$C,3,FALSE)</f>
        <v>チャレンジタワーのボス</v>
      </c>
      <c r="N957" s="39" t="str">
        <f>VLOOKUP(K957,[2]stage_hints!$A:$D,4,FALSE)</f>
        <v>チャレンジタワーでのみ登場するボスは
一定確率で獲得することができます</v>
      </c>
      <c r="O957" s="20" t="s">
        <v>24</v>
      </c>
      <c r="P957">
        <v>36</v>
      </c>
    </row>
    <row r="958" spans="1:16" x14ac:dyDescent="0.15">
      <c r="A958" s="27" t="str">
        <f t="shared" si="78"/>
        <v>30004_2_33</v>
      </c>
      <c r="B958" s="25" t="s">
        <v>34</v>
      </c>
      <c r="C958" s="4">
        <v>30004</v>
      </c>
      <c r="D958" s="3" t="str">
        <f ca="1">VLOOKUP($C958,OFFSET([1]quests!$A$1,0,0,COUNTA([1]quests!$A:$A),MATCH(D$1,[1]quests!$1:$1,0)-MATCH($C$1,[1]quests!$1:$1,0)+1),MATCH(D$1,[1]quests!$1:$1,0)-MATCH($C$1,[1]quests!$1:$1,0)+1,FALSE)</f>
        <v>危険な仲裁者</v>
      </c>
      <c r="E958" s="3" t="str">
        <f ca="1">VLOOKUP($C958,OFFSET([1]quests!$A$1,0,0,COUNTA([1]quests!$A:$A),MATCH(E$1,[1]quests!$1:$1,0)-MATCH($C$1,[1]quests!$1:$1,0)+1),MATCH(E$1,[1]quests!$1:$1,0)-MATCH($C$1,[1]quests!$1:$1,0)+1,FALSE)</f>
        <v>ドロップイベント1-4（マルチ専用）</v>
      </c>
      <c r="F958" s="5">
        <v>2</v>
      </c>
      <c r="G958" s="3" t="str">
        <f ca="1">VLOOKUP($C958&amp;"_"&amp;$F958,OFFSET([1]stages!$A$1,0,0,COUNTA([1]stages!$A:$A),MATCH(G$1,[1]stages!$2:$2,0)-MATCH("temp_stage",[1]stages!$2:$2,0)+1),MATCH(G$1,[1]stages!$2:$2,0)-MATCH("temp_stage",[1]stages!$2:$2,0)+1,FALSE)</f>
        <v xml:space="preserve">【上級】危険な仲裁者 </v>
      </c>
      <c r="H958" s="3" t="str">
        <f ca="1">VLOOKUP($C958&amp;"_"&amp;$F958,OFFSET([1]stages!$A$1,0,0,COUNTA([1]stages!$A:$A),MATCH(H$1,[1]stages!$2:$2,0)-MATCH("temp_stage",[1]stages!$2:$2,0)+1),MATCH(H$1,[1]stages!$2:$2,0)-MATCH("temp_stage",[1]stages!$2:$2,0)+1,FALSE)</f>
        <v>ドロップイベント1-4（マルチ専用）</v>
      </c>
      <c r="I958" s="18">
        <v>0</v>
      </c>
      <c r="J958" s="5">
        <f>COUNTIF(C$1:C958,C958)</f>
        <v>33</v>
      </c>
      <c r="K958" s="34">
        <v>37</v>
      </c>
      <c r="L958" s="5" t="s">
        <v>17</v>
      </c>
      <c r="M958" s="38" t="str">
        <f>VLOOKUP(K958,[2]stage_hints!$A:$C,3,FALSE)</f>
        <v>限界突破値の引き継ぎ</v>
      </c>
      <c r="N958" s="39" t="str">
        <f>VLOOKUP(K958,[2]stage_hints!$A:$D,4,FALSE)</f>
        <v>同じユニットを強化で合成すると
限界突破値を引き継げます（覚醒前後も可）</v>
      </c>
      <c r="O958" s="20" t="s">
        <v>24</v>
      </c>
      <c r="P958">
        <v>37</v>
      </c>
    </row>
    <row r="959" spans="1:16" x14ac:dyDescent="0.15">
      <c r="A959" s="27" t="str">
        <f t="shared" si="78"/>
        <v>30005_2_1</v>
      </c>
      <c r="B959" s="25" t="s">
        <v>34</v>
      </c>
      <c r="C959" s="4">
        <v>30005</v>
      </c>
      <c r="D959" s="3" t="str">
        <f ca="1">VLOOKUP($C959,OFFSET([1]quests!$A$1,0,0,COUNTA([1]quests!$A:$A),MATCH(D$1,[1]quests!$1:$1,0)-MATCH($C$1,[1]quests!$1:$1,0)+1),MATCH(D$1,[1]quests!$1:$1,0)-MATCH($C$1,[1]quests!$1:$1,0)+1,FALSE)</f>
        <v>ニンゲンにしてあげる☆</v>
      </c>
      <c r="E959" s="3" t="str">
        <f ca="1">VLOOKUP($C959,OFFSET([1]quests!$A$1,0,0,COUNTA([1]quests!$A:$A),MATCH(E$1,[1]quests!$1:$1,0)-MATCH($C$1,[1]quests!$1:$1,0)+1),MATCH(E$1,[1]quests!$1:$1,0)-MATCH($C$1,[1]quests!$1:$1,0)+1,FALSE)</f>
        <v>ドロップイベント2-1（マルチ専用）</v>
      </c>
      <c r="F959" s="5">
        <v>2</v>
      </c>
      <c r="G959" s="3" t="str">
        <f ca="1">VLOOKUP($C959&amp;"_"&amp;$F959,OFFSET([1]stages!$A$1,0,0,COUNTA([1]stages!$A:$A),MATCH(G$1,[1]stages!$2:$2,0)-MATCH("temp_stage",[1]stages!$2:$2,0)+1),MATCH(G$1,[1]stages!$2:$2,0)-MATCH("temp_stage",[1]stages!$2:$2,0)+1,FALSE)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59" s="3" t="str">
        <f ca="1">VLOOKUP($C959&amp;"_"&amp;$F959,OFFSET([1]stages!$A$1,0,0,COUNTA([1]stages!$A:$A),MATCH(H$1,[1]stages!$2:$2,0)-MATCH("temp_stage",[1]stages!$2:$2,0)+1),MATCH(H$1,[1]stages!$2:$2,0)-MATCH("temp_stage",[1]stages!$2:$2,0)+1,FALSE)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59" s="18">
        <v>0</v>
      </c>
      <c r="J959" s="5">
        <f>COUNTIF(C$1:C959,C959)</f>
        <v>1</v>
      </c>
      <c r="K959" s="34">
        <v>3</v>
      </c>
      <c r="L959" s="5" t="s">
        <v>17</v>
      </c>
      <c r="M959" s="38" t="str">
        <f>VLOOKUP(K959,[2]stage_hints!$A:$C,3,FALSE)</f>
        <v>ターゲット</v>
      </c>
      <c r="N959" s="39" t="str">
        <f>VLOOKUP(K959,[2]stage_hints!$A:$D,4,FALSE)</f>
        <v>敵ユニットをタップすると
その敵を狙い撃ちできます</v>
      </c>
      <c r="O959" s="20" t="s">
        <v>24</v>
      </c>
      <c r="P959">
        <v>3</v>
      </c>
    </row>
    <row r="960" spans="1:16" x14ac:dyDescent="0.15">
      <c r="A960" s="27" t="str">
        <f t="shared" si="78"/>
        <v>30005_2_2</v>
      </c>
      <c r="B960" s="25" t="s">
        <v>34</v>
      </c>
      <c r="C960" s="4">
        <v>30005</v>
      </c>
      <c r="D960" s="3" t="str">
        <f ca="1">VLOOKUP($C960,OFFSET([1]quests!$A$1,0,0,COUNTA([1]quests!$A:$A),MATCH(D$1,[1]quests!$1:$1,0)-MATCH($C$1,[1]quests!$1:$1,0)+1),MATCH(D$1,[1]quests!$1:$1,0)-MATCH($C$1,[1]quests!$1:$1,0)+1,FALSE)</f>
        <v>ニンゲンにしてあげる☆</v>
      </c>
      <c r="E960" s="3" t="str">
        <f ca="1">VLOOKUP($C960,OFFSET([1]quests!$A$1,0,0,COUNTA([1]quests!$A:$A),MATCH(E$1,[1]quests!$1:$1,0)-MATCH($C$1,[1]quests!$1:$1,0)+1),MATCH(E$1,[1]quests!$1:$1,0)-MATCH($C$1,[1]quests!$1:$1,0)+1,FALSE)</f>
        <v>ドロップイベント2-1（マルチ専用）</v>
      </c>
      <c r="F960" s="5">
        <v>2</v>
      </c>
      <c r="G960" s="3" t="str">
        <f ca="1">VLOOKUP($C960&amp;"_"&amp;$F960,OFFSET([1]stages!$A$1,0,0,COUNTA([1]stages!$A:$A),MATCH(G$1,[1]stages!$2:$2,0)-MATCH("temp_stage",[1]stages!$2:$2,0)+1),MATCH(G$1,[1]stages!$2:$2,0)-MATCH("temp_stage",[1]stages!$2:$2,0)+1,FALSE)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0" s="3" t="str">
        <f ca="1">VLOOKUP($C960&amp;"_"&amp;$F960,OFFSET([1]stages!$A$1,0,0,COUNTA([1]stages!$A:$A),MATCH(H$1,[1]stages!$2:$2,0)-MATCH("temp_stage",[1]stages!$2:$2,0)+1),MATCH(H$1,[1]stages!$2:$2,0)-MATCH("temp_stage",[1]stages!$2:$2,0)+1,FALSE)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0" s="18">
        <v>0</v>
      </c>
      <c r="J960" s="5">
        <f>COUNTIF(C$1:C960,C960)</f>
        <v>2</v>
      </c>
      <c r="K960" s="34">
        <v>6</v>
      </c>
      <c r="L960" s="5" t="s">
        <v>17</v>
      </c>
      <c r="M960" s="38" t="str">
        <f>VLOOKUP(K960,[2]stage_hints!$A:$C,3,FALSE)</f>
        <v>ユニット強化の属性ボーナス</v>
      </c>
      <c r="N960" s="39" t="str">
        <f>VLOOKUP(K960,[2]stage_hints!$A:$D,4,FALSE)</f>
        <v>同属性ユニットを強化素材にすると
経験値が多くもらえます</v>
      </c>
      <c r="O960" s="20" t="s">
        <v>24</v>
      </c>
      <c r="P960">
        <v>6</v>
      </c>
    </row>
    <row r="961" spans="1:16" x14ac:dyDescent="0.15">
      <c r="A961" s="27" t="str">
        <f t="shared" si="78"/>
        <v>30005_2_3</v>
      </c>
      <c r="B961" s="25" t="s">
        <v>34</v>
      </c>
      <c r="C961" s="4">
        <v>30005</v>
      </c>
      <c r="D961" s="3" t="str">
        <f ca="1">VLOOKUP($C961,OFFSET([1]quests!$A$1,0,0,COUNTA([1]quests!$A:$A),MATCH(D$1,[1]quests!$1:$1,0)-MATCH($C$1,[1]quests!$1:$1,0)+1),MATCH(D$1,[1]quests!$1:$1,0)-MATCH($C$1,[1]quests!$1:$1,0)+1,FALSE)</f>
        <v>ニンゲンにしてあげる☆</v>
      </c>
      <c r="E961" s="3" t="str">
        <f ca="1">VLOOKUP($C961,OFFSET([1]quests!$A$1,0,0,COUNTA([1]quests!$A:$A),MATCH(E$1,[1]quests!$1:$1,0)-MATCH($C$1,[1]quests!$1:$1,0)+1),MATCH(E$1,[1]quests!$1:$1,0)-MATCH($C$1,[1]quests!$1:$1,0)+1,FALSE)</f>
        <v>ドロップイベント2-1（マルチ専用）</v>
      </c>
      <c r="F961" s="5">
        <v>2</v>
      </c>
      <c r="G961" s="3" t="str">
        <f ca="1">VLOOKUP($C961&amp;"_"&amp;$F961,OFFSET([1]stages!$A$1,0,0,COUNTA([1]stages!$A:$A),MATCH(G$1,[1]stages!$2:$2,0)-MATCH("temp_stage",[1]stages!$2:$2,0)+1),MATCH(G$1,[1]stages!$2:$2,0)-MATCH("temp_stage",[1]stages!$2:$2,0)+1,FALSE)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1" s="3" t="str">
        <f ca="1">VLOOKUP($C961&amp;"_"&amp;$F961,OFFSET([1]stages!$A$1,0,0,COUNTA([1]stages!$A:$A),MATCH(H$1,[1]stages!$2:$2,0)-MATCH("temp_stage",[1]stages!$2:$2,0)+1),MATCH(H$1,[1]stages!$2:$2,0)-MATCH("temp_stage",[1]stages!$2:$2,0)+1,FALSE)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1" s="18">
        <v>0</v>
      </c>
      <c r="J961" s="5">
        <f>COUNTIF(C$1:C961,C961)</f>
        <v>3</v>
      </c>
      <c r="K961" s="34">
        <v>7</v>
      </c>
      <c r="L961" s="5" t="s">
        <v>17</v>
      </c>
      <c r="M961" s="38" t="str">
        <f>VLOOKUP(K961,[2]stage_hints!$A:$C,3,FALSE)</f>
        <v>メタルダックで経験値を獲得</v>
      </c>
      <c r="N961" s="39" t="str">
        <f>VLOOKUP(K961,[2]stage_hints!$A:$D,4,FALSE)</f>
        <v>「メタルなアヒル」を強化素材にすると
大量の経験値がもらえます</v>
      </c>
      <c r="O961" s="20" t="s">
        <v>24</v>
      </c>
      <c r="P961">
        <v>7</v>
      </c>
    </row>
    <row r="962" spans="1:16" x14ac:dyDescent="0.15">
      <c r="A962" s="27" t="str">
        <f t="shared" si="78"/>
        <v>30005_2_4</v>
      </c>
      <c r="B962" s="25" t="s">
        <v>34</v>
      </c>
      <c r="C962" s="4">
        <v>30005</v>
      </c>
      <c r="D962" s="3" t="str">
        <f ca="1">VLOOKUP($C962,OFFSET([1]quests!$A$1,0,0,COUNTA([1]quests!$A:$A),MATCH(D$1,[1]quests!$1:$1,0)-MATCH($C$1,[1]quests!$1:$1,0)+1),MATCH(D$1,[1]quests!$1:$1,0)-MATCH($C$1,[1]quests!$1:$1,0)+1,FALSE)</f>
        <v>ニンゲンにしてあげる☆</v>
      </c>
      <c r="E962" s="3" t="str">
        <f ca="1">VLOOKUP($C962,OFFSET([1]quests!$A$1,0,0,COUNTA([1]quests!$A:$A),MATCH(E$1,[1]quests!$1:$1,0)-MATCH($C$1,[1]quests!$1:$1,0)+1),MATCH(E$1,[1]quests!$1:$1,0)-MATCH($C$1,[1]quests!$1:$1,0)+1,FALSE)</f>
        <v>ドロップイベント2-1（マルチ専用）</v>
      </c>
      <c r="F962" s="5">
        <v>2</v>
      </c>
      <c r="G962" s="3" t="str">
        <f ca="1">VLOOKUP($C962&amp;"_"&amp;$F962,OFFSET([1]stages!$A$1,0,0,COUNTA([1]stages!$A:$A),MATCH(G$1,[1]stages!$2:$2,0)-MATCH("temp_stage",[1]stages!$2:$2,0)+1),MATCH(G$1,[1]stages!$2:$2,0)-MATCH("temp_stage",[1]stages!$2:$2,0)+1,FALSE)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2" s="3" t="str">
        <f ca="1">VLOOKUP($C962&amp;"_"&amp;$F962,OFFSET([1]stages!$A$1,0,0,COUNTA([1]stages!$A:$A),MATCH(H$1,[1]stages!$2:$2,0)-MATCH("temp_stage",[1]stages!$2:$2,0)+1),MATCH(H$1,[1]stages!$2:$2,0)-MATCH("temp_stage",[1]stages!$2:$2,0)+1,FALSE)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2" s="18">
        <v>0</v>
      </c>
      <c r="J962" s="5">
        <f>COUNTIF(C$1:C962,C962)</f>
        <v>4</v>
      </c>
      <c r="K962" s="34">
        <v>8</v>
      </c>
      <c r="L962" s="5" t="s">
        <v>17</v>
      </c>
      <c r="M962" s="38" t="str">
        <f>VLOOKUP(K962,[2]stage_hints!$A:$C,3,FALSE)</f>
        <v>ゲリラクエストは要チェック</v>
      </c>
      <c r="N962" s="39" t="str">
        <f>VLOOKUP(K962,[2]stage_hints!$A:$D,4,FALSE)</f>
        <v>時間限定の「アヒル捕獲作戦」では
経験値素材ユニットが多く手に入ります</v>
      </c>
      <c r="O962" s="20" t="s">
        <v>24</v>
      </c>
      <c r="P962">
        <v>8</v>
      </c>
    </row>
    <row r="963" spans="1:16" x14ac:dyDescent="0.15">
      <c r="A963" s="27" t="str">
        <f t="shared" si="78"/>
        <v>30005_2_5</v>
      </c>
      <c r="B963" s="25" t="s">
        <v>34</v>
      </c>
      <c r="C963" s="4">
        <v>30005</v>
      </c>
      <c r="D963" s="3" t="str">
        <f ca="1">VLOOKUP($C963,OFFSET([1]quests!$A$1,0,0,COUNTA([1]quests!$A:$A),MATCH(D$1,[1]quests!$1:$1,0)-MATCH($C$1,[1]quests!$1:$1,0)+1),MATCH(D$1,[1]quests!$1:$1,0)-MATCH($C$1,[1]quests!$1:$1,0)+1,FALSE)</f>
        <v>ニンゲンにしてあげる☆</v>
      </c>
      <c r="E963" s="3" t="str">
        <f ca="1">VLOOKUP($C963,OFFSET([1]quests!$A$1,0,0,COUNTA([1]quests!$A:$A),MATCH(E$1,[1]quests!$1:$1,0)-MATCH($C$1,[1]quests!$1:$1,0)+1),MATCH(E$1,[1]quests!$1:$1,0)-MATCH($C$1,[1]quests!$1:$1,0)+1,FALSE)</f>
        <v>ドロップイベント2-1（マルチ専用）</v>
      </c>
      <c r="F963" s="5">
        <v>2</v>
      </c>
      <c r="G963" s="3" t="str">
        <f ca="1">VLOOKUP($C963&amp;"_"&amp;$F963,OFFSET([1]stages!$A$1,0,0,COUNTA([1]stages!$A:$A),MATCH(G$1,[1]stages!$2:$2,0)-MATCH("temp_stage",[1]stages!$2:$2,0)+1),MATCH(G$1,[1]stages!$2:$2,0)-MATCH("temp_stage",[1]stages!$2:$2,0)+1,FALSE)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3" s="3" t="str">
        <f ca="1">VLOOKUP($C963&amp;"_"&amp;$F963,OFFSET([1]stages!$A$1,0,0,COUNTA([1]stages!$A:$A),MATCH(H$1,[1]stages!$2:$2,0)-MATCH("temp_stage",[1]stages!$2:$2,0)+1),MATCH(H$1,[1]stages!$2:$2,0)-MATCH("temp_stage",[1]stages!$2:$2,0)+1,FALSE)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3" s="18">
        <v>0</v>
      </c>
      <c r="J963" s="5">
        <f>COUNTIF(C$1:C963,C963)</f>
        <v>5</v>
      </c>
      <c r="K963" s="34">
        <v>9</v>
      </c>
      <c r="L963" s="5" t="s">
        <v>17</v>
      </c>
      <c r="M963" s="38" t="str">
        <f>VLOOKUP(K963,[2]stage_hints!$A:$C,3,FALSE)</f>
        <v>ゴールドダックでビットを獲得</v>
      </c>
      <c r="N963" s="39" t="str">
        <f>VLOOKUP(K963,[2]stage_hints!$A:$D,4,FALSE)</f>
        <v>「ゴールドなアヒル」を売却すると
大量のビットがもらえます</v>
      </c>
      <c r="O963" s="20" t="s">
        <v>24</v>
      </c>
      <c r="P963">
        <v>9</v>
      </c>
    </row>
    <row r="964" spans="1:16" x14ac:dyDescent="0.15">
      <c r="A964" s="27" t="str">
        <f t="shared" si="78"/>
        <v>30005_2_6</v>
      </c>
      <c r="B964" s="25" t="s">
        <v>34</v>
      </c>
      <c r="C964" s="4">
        <v>30005</v>
      </c>
      <c r="D964" s="3" t="str">
        <f ca="1">VLOOKUP($C964,OFFSET([1]quests!$A$1,0,0,COUNTA([1]quests!$A:$A),MATCH(D$1,[1]quests!$1:$1,0)-MATCH($C$1,[1]quests!$1:$1,0)+1),MATCH(D$1,[1]quests!$1:$1,0)-MATCH($C$1,[1]quests!$1:$1,0)+1,FALSE)</f>
        <v>ニンゲンにしてあげる☆</v>
      </c>
      <c r="E964" s="3" t="str">
        <f ca="1">VLOOKUP($C964,OFFSET([1]quests!$A$1,0,0,COUNTA([1]quests!$A:$A),MATCH(E$1,[1]quests!$1:$1,0)-MATCH($C$1,[1]quests!$1:$1,0)+1),MATCH(E$1,[1]quests!$1:$1,0)-MATCH($C$1,[1]quests!$1:$1,0)+1,FALSE)</f>
        <v>ドロップイベント2-1（マルチ専用）</v>
      </c>
      <c r="F964" s="5">
        <v>2</v>
      </c>
      <c r="G964" s="3" t="str">
        <f ca="1">VLOOKUP($C964&amp;"_"&amp;$F964,OFFSET([1]stages!$A$1,0,0,COUNTA([1]stages!$A:$A),MATCH(G$1,[1]stages!$2:$2,0)-MATCH("temp_stage",[1]stages!$2:$2,0)+1),MATCH(G$1,[1]stages!$2:$2,0)-MATCH("temp_stage",[1]stages!$2:$2,0)+1,FALSE)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4" s="3" t="str">
        <f ca="1">VLOOKUP($C964&amp;"_"&amp;$F964,OFFSET([1]stages!$A$1,0,0,COUNTA([1]stages!$A:$A),MATCH(H$1,[1]stages!$2:$2,0)-MATCH("temp_stage",[1]stages!$2:$2,0)+1),MATCH(H$1,[1]stages!$2:$2,0)-MATCH("temp_stage",[1]stages!$2:$2,0)+1,FALSE)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4" s="18">
        <v>0</v>
      </c>
      <c r="J964" s="5">
        <f>COUNTIF(C$1:C964,C964)</f>
        <v>6</v>
      </c>
      <c r="K964" s="34">
        <v>10</v>
      </c>
      <c r="L964" s="5" t="s">
        <v>17</v>
      </c>
      <c r="M964" s="38" t="str">
        <f>VLOOKUP(K964,[2]stage_hints!$A:$C,3,FALSE)</f>
        <v>土日に大量のビットを獲得</v>
      </c>
      <c r="N964" s="39" t="str">
        <f>VLOOKUP(K964,[2]stage_hints!$A:$D,4,FALSE)</f>
        <v>土日限定の「ゴールドカジノ」では
売却素材ユニットが多く手に入ります</v>
      </c>
      <c r="O964" s="20" t="s">
        <v>24</v>
      </c>
      <c r="P964">
        <v>10</v>
      </c>
    </row>
    <row r="965" spans="1:16" x14ac:dyDescent="0.15">
      <c r="A965" s="27" t="str">
        <f t="shared" si="78"/>
        <v>30005_2_7</v>
      </c>
      <c r="B965" s="25" t="s">
        <v>34</v>
      </c>
      <c r="C965" s="4">
        <v>30005</v>
      </c>
      <c r="D965" s="3" t="str">
        <f ca="1">VLOOKUP($C965,OFFSET([1]quests!$A$1,0,0,COUNTA([1]quests!$A:$A),MATCH(D$1,[1]quests!$1:$1,0)-MATCH($C$1,[1]quests!$1:$1,0)+1),MATCH(D$1,[1]quests!$1:$1,0)-MATCH($C$1,[1]quests!$1:$1,0)+1,FALSE)</f>
        <v>ニンゲンにしてあげる☆</v>
      </c>
      <c r="E965" s="3" t="str">
        <f ca="1">VLOOKUP($C965,OFFSET([1]quests!$A$1,0,0,COUNTA([1]quests!$A:$A),MATCH(E$1,[1]quests!$1:$1,0)-MATCH($C$1,[1]quests!$1:$1,0)+1),MATCH(E$1,[1]quests!$1:$1,0)-MATCH($C$1,[1]quests!$1:$1,0)+1,FALSE)</f>
        <v>ドロップイベント2-1（マルチ専用）</v>
      </c>
      <c r="F965" s="5">
        <v>2</v>
      </c>
      <c r="G965" s="3" t="str">
        <f ca="1">VLOOKUP($C965&amp;"_"&amp;$F965,OFFSET([1]stages!$A$1,0,0,COUNTA([1]stages!$A:$A),MATCH(G$1,[1]stages!$2:$2,0)-MATCH("temp_stage",[1]stages!$2:$2,0)+1),MATCH(G$1,[1]stages!$2:$2,0)-MATCH("temp_stage",[1]stages!$2:$2,0)+1,FALSE)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5" s="3" t="str">
        <f ca="1">VLOOKUP($C965&amp;"_"&amp;$F965,OFFSET([1]stages!$A$1,0,0,COUNTA([1]stages!$A:$A),MATCH(H$1,[1]stages!$2:$2,0)-MATCH("temp_stage",[1]stages!$2:$2,0)+1),MATCH(H$1,[1]stages!$2:$2,0)-MATCH("temp_stage",[1]stages!$2:$2,0)+1,FALSE)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5" s="18">
        <v>0</v>
      </c>
      <c r="J965" s="5">
        <f>COUNTIF(C$1:C965,C965)</f>
        <v>7</v>
      </c>
      <c r="K965" s="34">
        <v>11</v>
      </c>
      <c r="L965" s="5" t="s">
        <v>17</v>
      </c>
      <c r="M965" s="38" t="str">
        <f>VLOOKUP(K965,[2]stage_hints!$A:$C,3,FALSE)</f>
        <v>ランク解放クエスト</v>
      </c>
      <c r="N965" s="39" t="str">
        <f>VLOOKUP(K965,[2]stage_hints!$A:$D,4,FALSE)</f>
        <v>一定ランクに到達すると
報酬付きのランク開放クエストが現れます</v>
      </c>
      <c r="O965" s="20" t="s">
        <v>24</v>
      </c>
      <c r="P965">
        <v>11</v>
      </c>
    </row>
    <row r="966" spans="1:16" x14ac:dyDescent="0.15">
      <c r="A966" s="27" t="str">
        <f t="shared" si="78"/>
        <v>30005_2_8</v>
      </c>
      <c r="B966" s="25" t="s">
        <v>34</v>
      </c>
      <c r="C966" s="4">
        <v>30005</v>
      </c>
      <c r="D966" s="3" t="str">
        <f ca="1">VLOOKUP($C966,OFFSET([1]quests!$A$1,0,0,COUNTA([1]quests!$A:$A),MATCH(D$1,[1]quests!$1:$1,0)-MATCH($C$1,[1]quests!$1:$1,0)+1),MATCH(D$1,[1]quests!$1:$1,0)-MATCH($C$1,[1]quests!$1:$1,0)+1,FALSE)</f>
        <v>ニンゲンにしてあげる☆</v>
      </c>
      <c r="E966" s="3" t="str">
        <f ca="1">VLOOKUP($C966,OFFSET([1]quests!$A$1,0,0,COUNTA([1]quests!$A:$A),MATCH(E$1,[1]quests!$1:$1,0)-MATCH($C$1,[1]quests!$1:$1,0)+1),MATCH(E$1,[1]quests!$1:$1,0)-MATCH($C$1,[1]quests!$1:$1,0)+1,FALSE)</f>
        <v>ドロップイベント2-1（マルチ専用）</v>
      </c>
      <c r="F966" s="5">
        <v>2</v>
      </c>
      <c r="G966" s="3" t="str">
        <f ca="1">VLOOKUP($C966&amp;"_"&amp;$F966,OFFSET([1]stages!$A$1,0,0,COUNTA([1]stages!$A:$A),MATCH(G$1,[1]stages!$2:$2,0)-MATCH("temp_stage",[1]stages!$2:$2,0)+1),MATCH(G$1,[1]stages!$2:$2,0)-MATCH("temp_stage",[1]stages!$2:$2,0)+1,FALSE)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6" s="3" t="str">
        <f ca="1">VLOOKUP($C966&amp;"_"&amp;$F966,OFFSET([1]stages!$A$1,0,0,COUNTA([1]stages!$A:$A),MATCH(H$1,[1]stages!$2:$2,0)-MATCH("temp_stage",[1]stages!$2:$2,0)+1),MATCH(H$1,[1]stages!$2:$2,0)-MATCH("temp_stage",[1]stages!$2:$2,0)+1,FALSE)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6" s="18">
        <v>0</v>
      </c>
      <c r="J966" s="5">
        <f>COUNTIF(C$1:C966,C966)</f>
        <v>8</v>
      </c>
      <c r="K966" s="34">
        <v>12</v>
      </c>
      <c r="L966" s="5" t="s">
        <v>17</v>
      </c>
      <c r="M966" s="38" t="str">
        <f>VLOOKUP(K966,[2]stage_hints!$A:$C,3,FALSE)</f>
        <v>ユニットのお気に入り登録</v>
      </c>
      <c r="N966" s="39" t="str">
        <f>VLOOKUP(K966,[2]stage_hints!$A:$D,4,FALSE)</f>
        <v>大事なユニットを誤って消さないように
フォルダから「お気に入り登録」しましょう</v>
      </c>
      <c r="O966" s="20" t="s">
        <v>24</v>
      </c>
      <c r="P966">
        <v>12</v>
      </c>
    </row>
    <row r="967" spans="1:16" x14ac:dyDescent="0.15">
      <c r="A967" s="27" t="str">
        <f t="shared" si="78"/>
        <v>30005_2_9</v>
      </c>
      <c r="B967" s="25" t="s">
        <v>34</v>
      </c>
      <c r="C967" s="4">
        <v>30005</v>
      </c>
      <c r="D967" s="3" t="str">
        <f ca="1">VLOOKUP($C967,OFFSET([1]quests!$A$1,0,0,COUNTA([1]quests!$A:$A),MATCH(D$1,[1]quests!$1:$1,0)-MATCH($C$1,[1]quests!$1:$1,0)+1),MATCH(D$1,[1]quests!$1:$1,0)-MATCH($C$1,[1]quests!$1:$1,0)+1,FALSE)</f>
        <v>ニンゲンにしてあげる☆</v>
      </c>
      <c r="E967" s="3" t="str">
        <f ca="1">VLOOKUP($C967,OFFSET([1]quests!$A$1,0,0,COUNTA([1]quests!$A:$A),MATCH(E$1,[1]quests!$1:$1,0)-MATCH($C$1,[1]quests!$1:$1,0)+1),MATCH(E$1,[1]quests!$1:$1,0)-MATCH($C$1,[1]quests!$1:$1,0)+1,FALSE)</f>
        <v>ドロップイベント2-1（マルチ専用）</v>
      </c>
      <c r="F967" s="5">
        <v>2</v>
      </c>
      <c r="G967" s="3" t="str">
        <f ca="1">VLOOKUP($C967&amp;"_"&amp;$F967,OFFSET([1]stages!$A$1,0,0,COUNTA([1]stages!$A:$A),MATCH(G$1,[1]stages!$2:$2,0)-MATCH("temp_stage",[1]stages!$2:$2,0)+1),MATCH(G$1,[1]stages!$2:$2,0)-MATCH("temp_stage",[1]stages!$2:$2,0)+1,FALSE)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7" s="3" t="str">
        <f ca="1">VLOOKUP($C967&amp;"_"&amp;$F967,OFFSET([1]stages!$A$1,0,0,COUNTA([1]stages!$A:$A),MATCH(H$1,[1]stages!$2:$2,0)-MATCH("temp_stage",[1]stages!$2:$2,0)+1),MATCH(H$1,[1]stages!$2:$2,0)-MATCH("temp_stage",[1]stages!$2:$2,0)+1,FALSE)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7" s="18">
        <v>0</v>
      </c>
      <c r="J967" s="5">
        <f>COUNTIF(C$1:C967,C967)</f>
        <v>9</v>
      </c>
      <c r="K967" s="34">
        <v>13</v>
      </c>
      <c r="L967" s="5" t="s">
        <v>17</v>
      </c>
      <c r="M967" s="38" t="str">
        <f>VLOOKUP(K967,[2]stage_hints!$A:$C,3,FALSE)</f>
        <v>ユニットの覚醒</v>
      </c>
      <c r="N967" s="39" t="str">
        <f>VLOOKUP(K967,[2]stage_hints!$A:$D,4,FALSE)</f>
        <v>ユニットを覚醒させると
比べものにならない強さが手に入ります</v>
      </c>
      <c r="O967" s="20" t="s">
        <v>24</v>
      </c>
      <c r="P967">
        <v>13</v>
      </c>
    </row>
    <row r="968" spans="1:16" x14ac:dyDescent="0.15">
      <c r="A968" s="27" t="str">
        <f t="shared" si="78"/>
        <v>30005_2_10</v>
      </c>
      <c r="B968" s="25" t="s">
        <v>34</v>
      </c>
      <c r="C968" s="4">
        <v>30005</v>
      </c>
      <c r="D968" s="3" t="str">
        <f ca="1">VLOOKUP($C968,OFFSET([1]quests!$A$1,0,0,COUNTA([1]quests!$A:$A),MATCH(D$1,[1]quests!$1:$1,0)-MATCH($C$1,[1]quests!$1:$1,0)+1),MATCH(D$1,[1]quests!$1:$1,0)-MATCH($C$1,[1]quests!$1:$1,0)+1,FALSE)</f>
        <v>ニンゲンにしてあげる☆</v>
      </c>
      <c r="E968" s="3" t="str">
        <f ca="1">VLOOKUP($C968,OFFSET([1]quests!$A$1,0,0,COUNTA([1]quests!$A:$A),MATCH(E$1,[1]quests!$1:$1,0)-MATCH($C$1,[1]quests!$1:$1,0)+1),MATCH(E$1,[1]quests!$1:$1,0)-MATCH($C$1,[1]quests!$1:$1,0)+1,FALSE)</f>
        <v>ドロップイベント2-1（マルチ専用）</v>
      </c>
      <c r="F968" s="5">
        <v>2</v>
      </c>
      <c r="G968" s="3" t="str">
        <f ca="1">VLOOKUP($C968&amp;"_"&amp;$F968,OFFSET([1]stages!$A$1,0,0,COUNTA([1]stages!$A:$A),MATCH(G$1,[1]stages!$2:$2,0)-MATCH("temp_stage",[1]stages!$2:$2,0)+1),MATCH(G$1,[1]stages!$2:$2,0)-MATCH("temp_stage",[1]stages!$2:$2,0)+1,FALSE)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8" s="3" t="str">
        <f ca="1">VLOOKUP($C968&amp;"_"&amp;$F968,OFFSET([1]stages!$A$1,0,0,COUNTA([1]stages!$A:$A),MATCH(H$1,[1]stages!$2:$2,0)-MATCH("temp_stage",[1]stages!$2:$2,0)+1),MATCH(H$1,[1]stages!$2:$2,0)-MATCH("temp_stage",[1]stages!$2:$2,0)+1,FALSE)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8" s="18">
        <v>0</v>
      </c>
      <c r="J968" s="5">
        <f>COUNTIF(C$1:C968,C968)</f>
        <v>10</v>
      </c>
      <c r="K968" s="34">
        <v>14</v>
      </c>
      <c r="L968" s="5" t="s">
        <v>17</v>
      </c>
      <c r="M968" s="38" t="str">
        <f>VLOOKUP(K968,[2]stage_hints!$A:$C,3,FALSE)</f>
        <v>覚醒するにはレベルを最大に</v>
      </c>
      <c r="N968" s="39" t="str">
        <f>VLOOKUP(K968,[2]stage_hints!$A:$D,4,FALSE)</f>
        <v>覚醒するにはユニットのレベルを
最大まで上げる必要があります</v>
      </c>
      <c r="O968" s="20" t="s">
        <v>24</v>
      </c>
      <c r="P968">
        <v>14</v>
      </c>
    </row>
    <row r="969" spans="1:16" x14ac:dyDescent="0.15">
      <c r="A969" s="27" t="str">
        <f t="shared" si="78"/>
        <v>30005_2_11</v>
      </c>
      <c r="B969" s="25" t="s">
        <v>34</v>
      </c>
      <c r="C969" s="4">
        <v>30005</v>
      </c>
      <c r="D969" s="3" t="str">
        <f ca="1">VLOOKUP($C969,OFFSET([1]quests!$A$1,0,0,COUNTA([1]quests!$A:$A),MATCH(D$1,[1]quests!$1:$1,0)-MATCH($C$1,[1]quests!$1:$1,0)+1),MATCH(D$1,[1]quests!$1:$1,0)-MATCH($C$1,[1]quests!$1:$1,0)+1,FALSE)</f>
        <v>ニンゲンにしてあげる☆</v>
      </c>
      <c r="E969" s="3" t="str">
        <f ca="1">VLOOKUP($C969,OFFSET([1]quests!$A$1,0,0,COUNTA([1]quests!$A:$A),MATCH(E$1,[1]quests!$1:$1,0)-MATCH($C$1,[1]quests!$1:$1,0)+1),MATCH(E$1,[1]quests!$1:$1,0)-MATCH($C$1,[1]quests!$1:$1,0)+1,FALSE)</f>
        <v>ドロップイベント2-1（マルチ専用）</v>
      </c>
      <c r="F969" s="5">
        <v>2</v>
      </c>
      <c r="G969" s="3" t="str">
        <f ca="1">VLOOKUP($C969&amp;"_"&amp;$F969,OFFSET([1]stages!$A$1,0,0,COUNTA([1]stages!$A:$A),MATCH(G$1,[1]stages!$2:$2,0)-MATCH("temp_stage",[1]stages!$2:$2,0)+1),MATCH(G$1,[1]stages!$2:$2,0)-MATCH("temp_stage",[1]stages!$2:$2,0)+1,FALSE)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69" s="3" t="str">
        <f ca="1">VLOOKUP($C969&amp;"_"&amp;$F969,OFFSET([1]stages!$A$1,0,0,COUNTA([1]stages!$A:$A),MATCH(H$1,[1]stages!$2:$2,0)-MATCH("temp_stage",[1]stages!$2:$2,0)+1),MATCH(H$1,[1]stages!$2:$2,0)-MATCH("temp_stage",[1]stages!$2:$2,0)+1,FALSE)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69" s="18">
        <v>0</v>
      </c>
      <c r="J969" s="5">
        <f>COUNTIF(C$1:C969,C969)</f>
        <v>11</v>
      </c>
      <c r="K969" s="34">
        <v>15</v>
      </c>
      <c r="L969" s="5" t="s">
        <v>17</v>
      </c>
      <c r="M969" s="38" t="str">
        <f>VLOOKUP(K969,[2]stage_hints!$A:$C,3,FALSE)</f>
        <v>覚醒素材を獲得</v>
      </c>
      <c r="N969" s="39" t="str">
        <f>VLOOKUP(K969,[2]stage_hints!$A:$D,4,FALSE)</f>
        <v>「曜日クエスト」では
ユニットの覚醒に必要な素材が手に入ります</v>
      </c>
      <c r="O969" s="20" t="s">
        <v>24</v>
      </c>
      <c r="P969">
        <v>15</v>
      </c>
    </row>
    <row r="970" spans="1:16" x14ac:dyDescent="0.15">
      <c r="A970" s="27" t="str">
        <f t="shared" si="78"/>
        <v>30005_2_12</v>
      </c>
      <c r="B970" s="25" t="s">
        <v>34</v>
      </c>
      <c r="C970" s="4">
        <v>30005</v>
      </c>
      <c r="D970" s="3" t="str">
        <f ca="1">VLOOKUP($C970,OFFSET([1]quests!$A$1,0,0,COUNTA([1]quests!$A:$A),MATCH(D$1,[1]quests!$1:$1,0)-MATCH($C$1,[1]quests!$1:$1,0)+1),MATCH(D$1,[1]quests!$1:$1,0)-MATCH($C$1,[1]quests!$1:$1,0)+1,FALSE)</f>
        <v>ニンゲンにしてあげる☆</v>
      </c>
      <c r="E970" s="3" t="str">
        <f ca="1">VLOOKUP($C970,OFFSET([1]quests!$A$1,0,0,COUNTA([1]quests!$A:$A),MATCH(E$1,[1]quests!$1:$1,0)-MATCH($C$1,[1]quests!$1:$1,0)+1),MATCH(E$1,[1]quests!$1:$1,0)-MATCH($C$1,[1]quests!$1:$1,0)+1,FALSE)</f>
        <v>ドロップイベント2-1（マルチ専用）</v>
      </c>
      <c r="F970" s="5">
        <v>2</v>
      </c>
      <c r="G970" s="3" t="str">
        <f ca="1">VLOOKUP($C970&amp;"_"&amp;$F970,OFFSET([1]stages!$A$1,0,0,COUNTA([1]stages!$A:$A),MATCH(G$1,[1]stages!$2:$2,0)-MATCH("temp_stage",[1]stages!$2:$2,0)+1),MATCH(G$1,[1]stages!$2:$2,0)-MATCH("temp_stage",[1]stages!$2:$2,0)+1,FALSE)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0" s="3" t="str">
        <f ca="1">VLOOKUP($C970&amp;"_"&amp;$F970,OFFSET([1]stages!$A$1,0,0,COUNTA([1]stages!$A:$A),MATCH(H$1,[1]stages!$2:$2,0)-MATCH("temp_stage",[1]stages!$2:$2,0)+1),MATCH(H$1,[1]stages!$2:$2,0)-MATCH("temp_stage",[1]stages!$2:$2,0)+1,FALSE)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0" s="18">
        <v>0</v>
      </c>
      <c r="J970" s="5">
        <f>COUNTIF(C$1:C970,C970)</f>
        <v>12</v>
      </c>
      <c r="K970" s="34">
        <v>16</v>
      </c>
      <c r="L970" s="5" t="s">
        <v>17</v>
      </c>
      <c r="M970" s="38" t="str">
        <f>VLOOKUP(K970,[2]stage_hints!$A:$C,3,FALSE)</f>
        <v>マルチプレイのメリット（その1）</v>
      </c>
      <c r="N970" s="39" t="str">
        <f>VLOOKUP(K970,[2]stage_hints!$A:$D,4,FALSE)</f>
        <v>他のプレイヤーとマルチプレイで遊ぶと
ポリゴンがもらえます（100人まで）</v>
      </c>
      <c r="O970" s="20" t="s">
        <v>24</v>
      </c>
      <c r="P970">
        <v>16</v>
      </c>
    </row>
    <row r="971" spans="1:16" x14ac:dyDescent="0.15">
      <c r="A971" s="27" t="str">
        <f t="shared" si="78"/>
        <v>30005_2_13</v>
      </c>
      <c r="B971" s="25" t="s">
        <v>34</v>
      </c>
      <c r="C971" s="4">
        <v>30005</v>
      </c>
      <c r="D971" s="3" t="str">
        <f ca="1">VLOOKUP($C971,OFFSET([1]quests!$A$1,0,0,COUNTA([1]quests!$A:$A),MATCH(D$1,[1]quests!$1:$1,0)-MATCH($C$1,[1]quests!$1:$1,0)+1),MATCH(D$1,[1]quests!$1:$1,0)-MATCH($C$1,[1]quests!$1:$1,0)+1,FALSE)</f>
        <v>ニンゲンにしてあげる☆</v>
      </c>
      <c r="E971" s="3" t="str">
        <f ca="1">VLOOKUP($C971,OFFSET([1]quests!$A$1,0,0,COUNTA([1]quests!$A:$A),MATCH(E$1,[1]quests!$1:$1,0)-MATCH($C$1,[1]quests!$1:$1,0)+1),MATCH(E$1,[1]quests!$1:$1,0)-MATCH($C$1,[1]quests!$1:$1,0)+1,FALSE)</f>
        <v>ドロップイベント2-1（マルチ専用）</v>
      </c>
      <c r="F971" s="5">
        <v>2</v>
      </c>
      <c r="G971" s="3" t="str">
        <f ca="1">VLOOKUP($C971&amp;"_"&amp;$F971,OFFSET([1]stages!$A$1,0,0,COUNTA([1]stages!$A:$A),MATCH(G$1,[1]stages!$2:$2,0)-MATCH("temp_stage",[1]stages!$2:$2,0)+1),MATCH(G$1,[1]stages!$2:$2,0)-MATCH("temp_stage",[1]stages!$2:$2,0)+1,FALSE)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1" s="3" t="str">
        <f ca="1">VLOOKUP($C971&amp;"_"&amp;$F971,OFFSET([1]stages!$A$1,0,0,COUNTA([1]stages!$A:$A),MATCH(H$1,[1]stages!$2:$2,0)-MATCH("temp_stage",[1]stages!$2:$2,0)+1),MATCH(H$1,[1]stages!$2:$2,0)-MATCH("temp_stage",[1]stages!$2:$2,0)+1,FALSE)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1" s="18">
        <v>0</v>
      </c>
      <c r="J971" s="5">
        <f>COUNTIF(C$1:C971,C971)</f>
        <v>13</v>
      </c>
      <c r="K971" s="34">
        <v>17</v>
      </c>
      <c r="L971" s="5" t="s">
        <v>17</v>
      </c>
      <c r="M971" s="38" t="str">
        <f>VLOOKUP(K971,[2]stage_hints!$A:$C,3,FALSE)</f>
        <v>リンクガチャ</v>
      </c>
      <c r="N971" s="39" t="str">
        <f>VLOOKUP(K971,[2]stage_hints!$A:$D,4,FALSE)</f>
        <v>無料のリンクガチャを回して
経験値素材や売却素材を獲得しましょう</v>
      </c>
      <c r="O971" s="20" t="s">
        <v>24</v>
      </c>
      <c r="P971">
        <v>17</v>
      </c>
    </row>
    <row r="972" spans="1:16" x14ac:dyDescent="0.15">
      <c r="A972" s="27" t="str">
        <f t="shared" si="78"/>
        <v>30005_2_14</v>
      </c>
      <c r="B972" s="25" t="s">
        <v>34</v>
      </c>
      <c r="C972" s="4">
        <v>30005</v>
      </c>
      <c r="D972" s="3" t="str">
        <f ca="1">VLOOKUP($C972,OFFSET([1]quests!$A$1,0,0,COUNTA([1]quests!$A:$A),MATCH(D$1,[1]quests!$1:$1,0)-MATCH($C$1,[1]quests!$1:$1,0)+1),MATCH(D$1,[1]quests!$1:$1,0)-MATCH($C$1,[1]quests!$1:$1,0)+1,FALSE)</f>
        <v>ニンゲンにしてあげる☆</v>
      </c>
      <c r="E972" s="3" t="str">
        <f ca="1">VLOOKUP($C972,OFFSET([1]quests!$A$1,0,0,COUNTA([1]quests!$A:$A),MATCH(E$1,[1]quests!$1:$1,0)-MATCH($C$1,[1]quests!$1:$1,0)+1),MATCH(E$1,[1]quests!$1:$1,0)-MATCH($C$1,[1]quests!$1:$1,0)+1,FALSE)</f>
        <v>ドロップイベント2-1（マルチ専用）</v>
      </c>
      <c r="F972" s="5">
        <v>2</v>
      </c>
      <c r="G972" s="3" t="str">
        <f ca="1">VLOOKUP($C972&amp;"_"&amp;$F972,OFFSET([1]stages!$A$1,0,0,COUNTA([1]stages!$A:$A),MATCH(G$1,[1]stages!$2:$2,0)-MATCH("temp_stage",[1]stages!$2:$2,0)+1),MATCH(G$1,[1]stages!$2:$2,0)-MATCH("temp_stage",[1]stages!$2:$2,0)+1,FALSE)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2" s="3" t="str">
        <f ca="1">VLOOKUP($C972&amp;"_"&amp;$F972,OFFSET([1]stages!$A$1,0,0,COUNTA([1]stages!$A:$A),MATCH(H$1,[1]stages!$2:$2,0)-MATCH("temp_stage",[1]stages!$2:$2,0)+1),MATCH(H$1,[1]stages!$2:$2,0)-MATCH("temp_stage",[1]stages!$2:$2,0)+1,FALSE)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2" s="18">
        <v>0</v>
      </c>
      <c r="J972" s="5">
        <f>COUNTIF(C$1:C972,C972)</f>
        <v>14</v>
      </c>
      <c r="K972" s="34">
        <v>18</v>
      </c>
      <c r="L972" s="5" t="s">
        <v>17</v>
      </c>
      <c r="M972" s="38" t="str">
        <f>VLOOKUP(K972,[2]stage_hints!$A:$C,3,FALSE)</f>
        <v>マルチプレイのメリット（その2）</v>
      </c>
      <c r="N972" s="39" t="str">
        <f>VLOOKUP(K972,[2]stage_hints!$A:$D,4,FALSE)</f>
        <v>マルチプレイならリンクが2倍もらえます
リンクガチャをたくさん回しましょう</v>
      </c>
      <c r="O972" s="20" t="s">
        <v>24</v>
      </c>
      <c r="P972">
        <v>18</v>
      </c>
    </row>
    <row r="973" spans="1:16" x14ac:dyDescent="0.15">
      <c r="A973" s="27" t="str">
        <f t="shared" si="78"/>
        <v>30005_2_15</v>
      </c>
      <c r="B973" s="25" t="s">
        <v>34</v>
      </c>
      <c r="C973" s="4">
        <v>30005</v>
      </c>
      <c r="D973" s="3" t="str">
        <f ca="1">VLOOKUP($C973,OFFSET([1]quests!$A$1,0,0,COUNTA([1]quests!$A:$A),MATCH(D$1,[1]quests!$1:$1,0)-MATCH($C$1,[1]quests!$1:$1,0)+1),MATCH(D$1,[1]quests!$1:$1,0)-MATCH($C$1,[1]quests!$1:$1,0)+1,FALSE)</f>
        <v>ニンゲンにしてあげる☆</v>
      </c>
      <c r="E973" s="3" t="str">
        <f ca="1">VLOOKUP($C973,OFFSET([1]quests!$A$1,0,0,COUNTA([1]quests!$A:$A),MATCH(E$1,[1]quests!$1:$1,0)-MATCH($C$1,[1]quests!$1:$1,0)+1),MATCH(E$1,[1]quests!$1:$1,0)-MATCH($C$1,[1]quests!$1:$1,0)+1,FALSE)</f>
        <v>ドロップイベント2-1（マルチ専用）</v>
      </c>
      <c r="F973" s="5">
        <v>2</v>
      </c>
      <c r="G973" s="3" t="str">
        <f ca="1">VLOOKUP($C973&amp;"_"&amp;$F973,OFFSET([1]stages!$A$1,0,0,COUNTA([1]stages!$A:$A),MATCH(G$1,[1]stages!$2:$2,0)-MATCH("temp_stage",[1]stages!$2:$2,0)+1),MATCH(G$1,[1]stages!$2:$2,0)-MATCH("temp_stage",[1]stages!$2:$2,0)+1,FALSE)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3" s="3" t="str">
        <f ca="1">VLOOKUP($C973&amp;"_"&amp;$F973,OFFSET([1]stages!$A$1,0,0,COUNTA([1]stages!$A:$A),MATCH(H$1,[1]stages!$2:$2,0)-MATCH("temp_stage",[1]stages!$2:$2,0)+1),MATCH(H$1,[1]stages!$2:$2,0)-MATCH("temp_stage",[1]stages!$2:$2,0)+1,FALSE)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3" s="18">
        <v>0</v>
      </c>
      <c r="J973" s="5">
        <f>COUNTIF(C$1:C973,C973)</f>
        <v>15</v>
      </c>
      <c r="K973" s="34">
        <v>19</v>
      </c>
      <c r="L973" s="5" t="s">
        <v>17</v>
      </c>
      <c r="M973" s="38" t="str">
        <f>VLOOKUP(K973,[2]stage_hints!$A:$C,3,FALSE)</f>
        <v>ソロ専用チャレンジタワー</v>
      </c>
      <c r="N973" s="39" t="str">
        <f>VLOOKUP(K973,[2]stage_hints!$A:$D,4,FALSE)</f>
        <v>ソロ専用の「チャレンジタワー」では
各フロアごとにクリア報酬がもらえます</v>
      </c>
      <c r="O973" s="20" t="s">
        <v>24</v>
      </c>
      <c r="P973">
        <v>19</v>
      </c>
    </row>
    <row r="974" spans="1:16" x14ac:dyDescent="0.15">
      <c r="A974" s="27" t="str">
        <f t="shared" si="78"/>
        <v>30005_2_16</v>
      </c>
      <c r="B974" s="25" t="s">
        <v>34</v>
      </c>
      <c r="C974" s="4">
        <v>30005</v>
      </c>
      <c r="D974" s="3" t="str">
        <f ca="1">VLOOKUP($C974,OFFSET([1]quests!$A$1,0,0,COUNTA([1]quests!$A:$A),MATCH(D$1,[1]quests!$1:$1,0)-MATCH($C$1,[1]quests!$1:$1,0)+1),MATCH(D$1,[1]quests!$1:$1,0)-MATCH($C$1,[1]quests!$1:$1,0)+1,FALSE)</f>
        <v>ニンゲンにしてあげる☆</v>
      </c>
      <c r="E974" s="3" t="str">
        <f ca="1">VLOOKUP($C974,OFFSET([1]quests!$A$1,0,0,COUNTA([1]quests!$A:$A),MATCH(E$1,[1]quests!$1:$1,0)-MATCH($C$1,[1]quests!$1:$1,0)+1),MATCH(E$1,[1]quests!$1:$1,0)-MATCH($C$1,[1]quests!$1:$1,0)+1,FALSE)</f>
        <v>ドロップイベント2-1（マルチ専用）</v>
      </c>
      <c r="F974" s="5">
        <v>2</v>
      </c>
      <c r="G974" s="3" t="str">
        <f ca="1">VLOOKUP($C974&amp;"_"&amp;$F974,OFFSET([1]stages!$A$1,0,0,COUNTA([1]stages!$A:$A),MATCH(G$1,[1]stages!$2:$2,0)-MATCH("temp_stage",[1]stages!$2:$2,0)+1),MATCH(G$1,[1]stages!$2:$2,0)-MATCH("temp_stage",[1]stages!$2:$2,0)+1,FALSE)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4" s="3" t="str">
        <f ca="1">VLOOKUP($C974&amp;"_"&amp;$F974,OFFSET([1]stages!$A$1,0,0,COUNTA([1]stages!$A:$A),MATCH(H$1,[1]stages!$2:$2,0)-MATCH("temp_stage",[1]stages!$2:$2,0)+1),MATCH(H$1,[1]stages!$2:$2,0)-MATCH("temp_stage",[1]stages!$2:$2,0)+1,FALSE)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4" s="18">
        <v>0</v>
      </c>
      <c r="J974" s="5">
        <f>COUNTIF(C$1:C974,C974)</f>
        <v>16</v>
      </c>
      <c r="K974" s="34">
        <v>20</v>
      </c>
      <c r="L974" s="5" t="s">
        <v>17</v>
      </c>
      <c r="M974" s="38" t="str">
        <f>VLOOKUP(K974,[2]stage_hints!$A:$C,3,FALSE)</f>
        <v>マルチプレイのメリット（その3）</v>
      </c>
      <c r="N974" s="39" t="str">
        <f>VLOOKUP(K974,[2]stage_hints!$A:$D,4,FALSE)</f>
        <v>マルチプレイへの参加はエナジー消費ゼロ
いつでも好きなだけ遊ぶことができます</v>
      </c>
      <c r="O974" s="20" t="s">
        <v>24</v>
      </c>
      <c r="P974">
        <v>20</v>
      </c>
    </row>
    <row r="975" spans="1:16" x14ac:dyDescent="0.15">
      <c r="A975" s="27" t="str">
        <f t="shared" si="78"/>
        <v>30005_2_17</v>
      </c>
      <c r="B975" s="25" t="s">
        <v>34</v>
      </c>
      <c r="C975" s="4">
        <v>30005</v>
      </c>
      <c r="D975" s="3" t="str">
        <f ca="1">VLOOKUP($C975,OFFSET([1]quests!$A$1,0,0,COUNTA([1]quests!$A:$A),MATCH(D$1,[1]quests!$1:$1,0)-MATCH($C$1,[1]quests!$1:$1,0)+1),MATCH(D$1,[1]quests!$1:$1,0)-MATCH($C$1,[1]quests!$1:$1,0)+1,FALSE)</f>
        <v>ニンゲンにしてあげる☆</v>
      </c>
      <c r="E975" s="3" t="str">
        <f ca="1">VLOOKUP($C975,OFFSET([1]quests!$A$1,0,0,COUNTA([1]quests!$A:$A),MATCH(E$1,[1]quests!$1:$1,0)-MATCH($C$1,[1]quests!$1:$1,0)+1),MATCH(E$1,[1]quests!$1:$1,0)-MATCH($C$1,[1]quests!$1:$1,0)+1,FALSE)</f>
        <v>ドロップイベント2-1（マルチ専用）</v>
      </c>
      <c r="F975" s="5">
        <v>2</v>
      </c>
      <c r="G975" s="3" t="str">
        <f ca="1">VLOOKUP($C975&amp;"_"&amp;$F975,OFFSET([1]stages!$A$1,0,0,COUNTA([1]stages!$A:$A),MATCH(G$1,[1]stages!$2:$2,0)-MATCH("temp_stage",[1]stages!$2:$2,0)+1),MATCH(G$1,[1]stages!$2:$2,0)-MATCH("temp_stage",[1]stages!$2:$2,0)+1,FALSE)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5" s="3" t="str">
        <f ca="1">VLOOKUP($C975&amp;"_"&amp;$F975,OFFSET([1]stages!$A$1,0,0,COUNTA([1]stages!$A:$A),MATCH(H$1,[1]stages!$2:$2,0)-MATCH("temp_stage",[1]stages!$2:$2,0)+1),MATCH(H$1,[1]stages!$2:$2,0)-MATCH("temp_stage",[1]stages!$2:$2,0)+1,FALSE)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5" s="18">
        <v>0</v>
      </c>
      <c r="J975" s="5">
        <f>COUNTIF(C$1:C975,C975)</f>
        <v>17</v>
      </c>
      <c r="K975" s="34">
        <v>21</v>
      </c>
      <c r="L975" s="5" t="s">
        <v>17</v>
      </c>
      <c r="M975" s="38" t="str">
        <f>VLOOKUP(K975,[2]stage_hints!$A:$C,3,FALSE)</f>
        <v>スキルを有効に</v>
      </c>
      <c r="N975" s="39" t="str">
        <f>VLOOKUP(K975,[2]stage_hints!$A:$D,4,FALSE)</f>
        <v>ターン経過でユニットのスキルが使えます
強力スキルでバトルを有利に進めましょう</v>
      </c>
      <c r="O975" s="20" t="s">
        <v>24</v>
      </c>
      <c r="P975">
        <v>21</v>
      </c>
    </row>
    <row r="976" spans="1:16" x14ac:dyDescent="0.15">
      <c r="A976" s="27" t="str">
        <f t="shared" si="78"/>
        <v>30005_2_18</v>
      </c>
      <c r="B976" s="25" t="s">
        <v>34</v>
      </c>
      <c r="C976" s="4">
        <v>30005</v>
      </c>
      <c r="D976" s="3" t="str">
        <f ca="1">VLOOKUP($C976,OFFSET([1]quests!$A$1,0,0,COUNTA([1]quests!$A:$A),MATCH(D$1,[1]quests!$1:$1,0)-MATCH($C$1,[1]quests!$1:$1,0)+1),MATCH(D$1,[1]quests!$1:$1,0)-MATCH($C$1,[1]quests!$1:$1,0)+1,FALSE)</f>
        <v>ニンゲンにしてあげる☆</v>
      </c>
      <c r="E976" s="3" t="str">
        <f ca="1">VLOOKUP($C976,OFFSET([1]quests!$A$1,0,0,COUNTA([1]quests!$A:$A),MATCH(E$1,[1]quests!$1:$1,0)-MATCH($C$1,[1]quests!$1:$1,0)+1),MATCH(E$1,[1]quests!$1:$1,0)-MATCH($C$1,[1]quests!$1:$1,0)+1,FALSE)</f>
        <v>ドロップイベント2-1（マルチ専用）</v>
      </c>
      <c r="F976" s="5">
        <v>2</v>
      </c>
      <c r="G976" s="3" t="str">
        <f ca="1">VLOOKUP($C976&amp;"_"&amp;$F976,OFFSET([1]stages!$A$1,0,0,COUNTA([1]stages!$A:$A),MATCH(G$1,[1]stages!$2:$2,0)-MATCH("temp_stage",[1]stages!$2:$2,0)+1),MATCH(G$1,[1]stages!$2:$2,0)-MATCH("temp_stage",[1]stages!$2:$2,0)+1,FALSE)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6" s="3" t="str">
        <f ca="1">VLOOKUP($C976&amp;"_"&amp;$F976,OFFSET([1]stages!$A$1,0,0,COUNTA([1]stages!$A:$A),MATCH(H$1,[1]stages!$2:$2,0)-MATCH("temp_stage",[1]stages!$2:$2,0)+1),MATCH(H$1,[1]stages!$2:$2,0)-MATCH("temp_stage",[1]stages!$2:$2,0)+1,FALSE)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6" s="18">
        <v>0</v>
      </c>
      <c r="J976" s="5">
        <f>COUNTIF(C$1:C976,C976)</f>
        <v>18</v>
      </c>
      <c r="K976" s="34">
        <v>22</v>
      </c>
      <c r="L976" s="5" t="s">
        <v>17</v>
      </c>
      <c r="M976" s="38" t="str">
        <f>VLOOKUP(K976,[2]stage_hints!$A:$C,3,FALSE)</f>
        <v>フィーバーで一発逆転（その1）</v>
      </c>
      <c r="N976" s="39" t="str">
        <f>VLOOKUP(K976,[2]stage_hints!$A:$D,4,FALSE)</f>
        <v>フィーバーは攻撃と回復を兼ね備えます
ピンチからの一発逆転を狙いましょう</v>
      </c>
      <c r="O976" s="20" t="s">
        <v>24</v>
      </c>
      <c r="P976">
        <v>22</v>
      </c>
    </row>
    <row r="977" spans="1:16" x14ac:dyDescent="0.15">
      <c r="A977" s="27" t="str">
        <f t="shared" si="78"/>
        <v>30005_2_19</v>
      </c>
      <c r="B977" s="25" t="s">
        <v>34</v>
      </c>
      <c r="C977" s="4">
        <v>30005</v>
      </c>
      <c r="D977" s="3" t="str">
        <f ca="1">VLOOKUP($C977,OFFSET([1]quests!$A$1,0,0,COUNTA([1]quests!$A:$A),MATCH(D$1,[1]quests!$1:$1,0)-MATCH($C$1,[1]quests!$1:$1,0)+1),MATCH(D$1,[1]quests!$1:$1,0)-MATCH($C$1,[1]quests!$1:$1,0)+1,FALSE)</f>
        <v>ニンゲンにしてあげる☆</v>
      </c>
      <c r="E977" s="3" t="str">
        <f ca="1">VLOOKUP($C977,OFFSET([1]quests!$A$1,0,0,COUNTA([1]quests!$A:$A),MATCH(E$1,[1]quests!$1:$1,0)-MATCH($C$1,[1]quests!$1:$1,0)+1),MATCH(E$1,[1]quests!$1:$1,0)-MATCH($C$1,[1]quests!$1:$1,0)+1,FALSE)</f>
        <v>ドロップイベント2-1（マルチ専用）</v>
      </c>
      <c r="F977" s="5">
        <v>2</v>
      </c>
      <c r="G977" s="3" t="str">
        <f ca="1">VLOOKUP($C977&amp;"_"&amp;$F977,OFFSET([1]stages!$A$1,0,0,COUNTA([1]stages!$A:$A),MATCH(G$1,[1]stages!$2:$2,0)-MATCH("temp_stage",[1]stages!$2:$2,0)+1),MATCH(G$1,[1]stages!$2:$2,0)-MATCH("temp_stage",[1]stages!$2:$2,0)+1,FALSE)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7" s="3" t="str">
        <f ca="1">VLOOKUP($C977&amp;"_"&amp;$F977,OFFSET([1]stages!$A$1,0,0,COUNTA([1]stages!$A:$A),MATCH(H$1,[1]stages!$2:$2,0)-MATCH("temp_stage",[1]stages!$2:$2,0)+1),MATCH(H$1,[1]stages!$2:$2,0)-MATCH("temp_stage",[1]stages!$2:$2,0)+1,FALSE)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7" s="18">
        <v>0</v>
      </c>
      <c r="J977" s="5">
        <f>COUNTIF(C$1:C977,C977)</f>
        <v>19</v>
      </c>
      <c r="K977" s="34">
        <v>23</v>
      </c>
      <c r="L977" s="5" t="s">
        <v>17</v>
      </c>
      <c r="M977" s="38" t="str">
        <f>VLOOKUP(K977,[2]stage_hints!$A:$C,3,FALSE)</f>
        <v>フィーバーで一発逆転（その2）</v>
      </c>
      <c r="N977" s="39" t="str">
        <f>VLOOKUP(K977,[2]stage_hints!$A:$D,4,FALSE)</f>
        <v>フィーバー中は虹色のボムパネルを狙って
画面上のパネルを一気に破壊しましょう</v>
      </c>
      <c r="O977" s="20" t="s">
        <v>24</v>
      </c>
      <c r="P977">
        <v>23</v>
      </c>
    </row>
    <row r="978" spans="1:16" x14ac:dyDescent="0.15">
      <c r="A978" s="27" t="str">
        <f t="shared" si="78"/>
        <v>30005_2_20</v>
      </c>
      <c r="B978" s="25" t="s">
        <v>34</v>
      </c>
      <c r="C978" s="4">
        <v>30005</v>
      </c>
      <c r="D978" s="3" t="str">
        <f ca="1">VLOOKUP($C978,OFFSET([1]quests!$A$1,0,0,COUNTA([1]quests!$A:$A),MATCH(D$1,[1]quests!$1:$1,0)-MATCH($C$1,[1]quests!$1:$1,0)+1),MATCH(D$1,[1]quests!$1:$1,0)-MATCH($C$1,[1]quests!$1:$1,0)+1,FALSE)</f>
        <v>ニンゲンにしてあげる☆</v>
      </c>
      <c r="E978" s="3" t="str">
        <f ca="1">VLOOKUP($C978,OFFSET([1]quests!$A$1,0,0,COUNTA([1]quests!$A:$A),MATCH(E$1,[1]quests!$1:$1,0)-MATCH($C$1,[1]quests!$1:$1,0)+1),MATCH(E$1,[1]quests!$1:$1,0)-MATCH($C$1,[1]quests!$1:$1,0)+1,FALSE)</f>
        <v>ドロップイベント2-1（マルチ専用）</v>
      </c>
      <c r="F978" s="5">
        <v>2</v>
      </c>
      <c r="G978" s="3" t="str">
        <f ca="1">VLOOKUP($C978&amp;"_"&amp;$F978,OFFSET([1]stages!$A$1,0,0,COUNTA([1]stages!$A:$A),MATCH(G$1,[1]stages!$2:$2,0)-MATCH("temp_stage",[1]stages!$2:$2,0)+1),MATCH(G$1,[1]stages!$2:$2,0)-MATCH("temp_stage",[1]stages!$2:$2,0)+1,FALSE)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8" s="3" t="str">
        <f ca="1">VLOOKUP($C978&amp;"_"&amp;$F978,OFFSET([1]stages!$A$1,0,0,COUNTA([1]stages!$A:$A),MATCH(H$1,[1]stages!$2:$2,0)-MATCH("temp_stage",[1]stages!$2:$2,0)+1),MATCH(H$1,[1]stages!$2:$2,0)-MATCH("temp_stage",[1]stages!$2:$2,0)+1,FALSE)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8" s="18">
        <v>0</v>
      </c>
      <c r="J978" s="5">
        <f>COUNTIF(C$1:C978,C978)</f>
        <v>20</v>
      </c>
      <c r="K978" s="34">
        <v>24</v>
      </c>
      <c r="L978" s="5" t="s">
        <v>17</v>
      </c>
      <c r="M978" s="38" t="str">
        <f>VLOOKUP(K978,[2]stage_hints!$A:$C,3,FALSE)</f>
        <v>りんごを使って限界突破</v>
      </c>
      <c r="N978" s="39" t="str">
        <f>VLOOKUP(K978,[2]stage_hints!$A:$D,4,FALSE)</f>
        <v>赤りんご(攻撃力) 青りんご(回復力)
緑りんご(体力)をユニット強化に使うと
ステータスが限界突破します（計99個迄）</v>
      </c>
      <c r="O978" s="20" t="s">
        <v>24</v>
      </c>
      <c r="P978">
        <v>24</v>
      </c>
    </row>
    <row r="979" spans="1:16" x14ac:dyDescent="0.15">
      <c r="A979" s="27" t="str">
        <f t="shared" si="78"/>
        <v>30005_2_21</v>
      </c>
      <c r="B979" s="25" t="s">
        <v>34</v>
      </c>
      <c r="C979" s="4">
        <v>30005</v>
      </c>
      <c r="D979" s="3" t="str">
        <f ca="1">VLOOKUP($C979,OFFSET([1]quests!$A$1,0,0,COUNTA([1]quests!$A:$A),MATCH(D$1,[1]quests!$1:$1,0)-MATCH($C$1,[1]quests!$1:$1,0)+1),MATCH(D$1,[1]quests!$1:$1,0)-MATCH($C$1,[1]quests!$1:$1,0)+1,FALSE)</f>
        <v>ニンゲンにしてあげる☆</v>
      </c>
      <c r="E979" s="3" t="str">
        <f ca="1">VLOOKUP($C979,OFFSET([1]quests!$A$1,0,0,COUNTA([1]quests!$A:$A),MATCH(E$1,[1]quests!$1:$1,0)-MATCH($C$1,[1]quests!$1:$1,0)+1),MATCH(E$1,[1]quests!$1:$1,0)-MATCH($C$1,[1]quests!$1:$1,0)+1,FALSE)</f>
        <v>ドロップイベント2-1（マルチ専用）</v>
      </c>
      <c r="F979" s="5">
        <v>2</v>
      </c>
      <c r="G979" s="3" t="str">
        <f ca="1">VLOOKUP($C979&amp;"_"&amp;$F979,OFFSET([1]stages!$A$1,0,0,COUNTA([1]stages!$A:$A),MATCH(G$1,[1]stages!$2:$2,0)-MATCH("temp_stage",[1]stages!$2:$2,0)+1),MATCH(G$1,[1]stages!$2:$2,0)-MATCH("temp_stage",[1]stages!$2:$2,0)+1,FALSE)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79" s="3" t="str">
        <f ca="1">VLOOKUP($C979&amp;"_"&amp;$F979,OFFSET([1]stages!$A$1,0,0,COUNTA([1]stages!$A:$A),MATCH(H$1,[1]stages!$2:$2,0)-MATCH("temp_stage",[1]stages!$2:$2,0)+1),MATCH(H$1,[1]stages!$2:$2,0)-MATCH("temp_stage",[1]stages!$2:$2,0)+1,FALSE)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79" s="18">
        <v>0</v>
      </c>
      <c r="J979" s="5">
        <f>COUNTIF(C$1:C979,C979)</f>
        <v>21</v>
      </c>
      <c r="K979" s="34">
        <v>25</v>
      </c>
      <c r="L979" s="5" t="s">
        <v>17</v>
      </c>
      <c r="M979" s="38" t="str">
        <f>VLOOKUP(K979,[2]stage_hints!$A:$C,3,FALSE)</f>
        <v>スキルレベルアップ</v>
      </c>
      <c r="N979" s="39" t="str">
        <f>VLOOKUP(K979,[2]stage_hints!$A:$D,4,FALSE)</f>
        <v>「クリスタルのりんご」を強化に使うと
スキルレベルを上げることができます</v>
      </c>
      <c r="O979" s="20" t="s">
        <v>24</v>
      </c>
      <c r="P979">
        <v>25</v>
      </c>
    </row>
    <row r="980" spans="1:16" x14ac:dyDescent="0.15">
      <c r="A980" s="27" t="str">
        <f t="shared" si="78"/>
        <v>30005_2_22</v>
      </c>
      <c r="B980" s="25" t="s">
        <v>34</v>
      </c>
      <c r="C980" s="4">
        <v>30005</v>
      </c>
      <c r="D980" s="3" t="str">
        <f ca="1">VLOOKUP($C980,OFFSET([1]quests!$A$1,0,0,COUNTA([1]quests!$A:$A),MATCH(D$1,[1]quests!$1:$1,0)-MATCH($C$1,[1]quests!$1:$1,0)+1),MATCH(D$1,[1]quests!$1:$1,0)-MATCH($C$1,[1]quests!$1:$1,0)+1,FALSE)</f>
        <v>ニンゲンにしてあげる☆</v>
      </c>
      <c r="E980" s="3" t="str">
        <f ca="1">VLOOKUP($C980,OFFSET([1]quests!$A$1,0,0,COUNTA([1]quests!$A:$A),MATCH(E$1,[1]quests!$1:$1,0)-MATCH($C$1,[1]quests!$1:$1,0)+1),MATCH(E$1,[1]quests!$1:$1,0)-MATCH($C$1,[1]quests!$1:$1,0)+1,FALSE)</f>
        <v>ドロップイベント2-1（マルチ専用）</v>
      </c>
      <c r="F980" s="5">
        <v>2</v>
      </c>
      <c r="G980" s="3" t="str">
        <f ca="1">VLOOKUP($C980&amp;"_"&amp;$F980,OFFSET([1]stages!$A$1,0,0,COUNTA([1]stages!$A:$A),MATCH(G$1,[1]stages!$2:$2,0)-MATCH("temp_stage",[1]stages!$2:$2,0)+1),MATCH(G$1,[1]stages!$2:$2,0)-MATCH("temp_stage",[1]stages!$2:$2,0)+1,FALSE)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0" s="3" t="str">
        <f ca="1">VLOOKUP($C980&amp;"_"&amp;$F980,OFFSET([1]stages!$A$1,0,0,COUNTA([1]stages!$A:$A),MATCH(H$1,[1]stages!$2:$2,0)-MATCH("temp_stage",[1]stages!$2:$2,0)+1),MATCH(H$1,[1]stages!$2:$2,0)-MATCH("temp_stage",[1]stages!$2:$2,0)+1,FALSE)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0" s="18">
        <v>0</v>
      </c>
      <c r="J980" s="5">
        <f>COUNTIF(C$1:C980,C980)</f>
        <v>22</v>
      </c>
      <c r="K980" s="34">
        <v>26</v>
      </c>
      <c r="L980" s="5" t="s">
        <v>17</v>
      </c>
      <c r="M980" s="38" t="str">
        <f>VLOOKUP(K980,[2]stage_hints!$A:$C,3,FALSE)</f>
        <v>スキルレベルの効果</v>
      </c>
      <c r="N980" s="39" t="str">
        <f>VLOOKUP(K980,[2]stage_hints!$A:$D,4,FALSE)</f>
        <v>スキルレベルが上がると
短いターンでスキルを使うことができます</v>
      </c>
      <c r="O980" s="20" t="s">
        <v>24</v>
      </c>
      <c r="P980">
        <v>26</v>
      </c>
    </row>
    <row r="981" spans="1:16" x14ac:dyDescent="0.15">
      <c r="A981" s="27" t="str">
        <f t="shared" si="78"/>
        <v>30005_2_23</v>
      </c>
      <c r="B981" s="25" t="s">
        <v>34</v>
      </c>
      <c r="C981" s="4">
        <v>30005</v>
      </c>
      <c r="D981" s="3" t="str">
        <f ca="1">VLOOKUP($C981,OFFSET([1]quests!$A$1,0,0,COUNTA([1]quests!$A:$A),MATCH(D$1,[1]quests!$1:$1,0)-MATCH($C$1,[1]quests!$1:$1,0)+1),MATCH(D$1,[1]quests!$1:$1,0)-MATCH($C$1,[1]quests!$1:$1,0)+1,FALSE)</f>
        <v>ニンゲンにしてあげる☆</v>
      </c>
      <c r="E981" s="3" t="str">
        <f ca="1">VLOOKUP($C981,OFFSET([1]quests!$A$1,0,0,COUNTA([1]quests!$A:$A),MATCH(E$1,[1]quests!$1:$1,0)-MATCH($C$1,[1]quests!$1:$1,0)+1),MATCH(E$1,[1]quests!$1:$1,0)-MATCH($C$1,[1]quests!$1:$1,0)+1,FALSE)</f>
        <v>ドロップイベント2-1（マルチ専用）</v>
      </c>
      <c r="F981" s="5">
        <v>2</v>
      </c>
      <c r="G981" s="3" t="str">
        <f ca="1">VLOOKUP($C981&amp;"_"&amp;$F981,OFFSET([1]stages!$A$1,0,0,COUNTA([1]stages!$A:$A),MATCH(G$1,[1]stages!$2:$2,0)-MATCH("temp_stage",[1]stages!$2:$2,0)+1),MATCH(G$1,[1]stages!$2:$2,0)-MATCH("temp_stage",[1]stages!$2:$2,0)+1,FALSE)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1" s="3" t="str">
        <f ca="1">VLOOKUP($C981&amp;"_"&amp;$F981,OFFSET([1]stages!$A$1,0,0,COUNTA([1]stages!$A:$A),MATCH(H$1,[1]stages!$2:$2,0)-MATCH("temp_stage",[1]stages!$2:$2,0)+1),MATCH(H$1,[1]stages!$2:$2,0)-MATCH("temp_stage",[1]stages!$2:$2,0)+1,FALSE)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1" s="18">
        <v>0</v>
      </c>
      <c r="J981" s="5">
        <f>COUNTIF(C$1:C981,C981)</f>
        <v>23</v>
      </c>
      <c r="K981" s="34">
        <v>27</v>
      </c>
      <c r="L981" s="5" t="s">
        <v>17</v>
      </c>
      <c r="M981" s="38" t="str">
        <f>VLOOKUP(K981,[2]stage_hints!$A:$C,3,FALSE)</f>
        <v>ホーム画面からデッキを編成</v>
      </c>
      <c r="N981" s="39" t="str">
        <f>VLOOKUP(K981,[2]stage_hints!$A:$D,4,FALSE)</f>
        <v>ホーム画面でユニットを長押しすると
すぐにパーティ編成に移動できます</v>
      </c>
      <c r="O981" s="20" t="s">
        <v>24</v>
      </c>
      <c r="P981">
        <v>27</v>
      </c>
    </row>
    <row r="982" spans="1:16" x14ac:dyDescent="0.15">
      <c r="A982" s="27" t="str">
        <f t="shared" si="78"/>
        <v>30005_2_24</v>
      </c>
      <c r="B982" s="25" t="s">
        <v>34</v>
      </c>
      <c r="C982" s="4">
        <v>30005</v>
      </c>
      <c r="D982" s="3" t="str">
        <f ca="1">VLOOKUP($C982,OFFSET([1]quests!$A$1,0,0,COUNTA([1]quests!$A:$A),MATCH(D$1,[1]quests!$1:$1,0)-MATCH($C$1,[1]quests!$1:$1,0)+1),MATCH(D$1,[1]quests!$1:$1,0)-MATCH($C$1,[1]quests!$1:$1,0)+1,FALSE)</f>
        <v>ニンゲンにしてあげる☆</v>
      </c>
      <c r="E982" s="3" t="str">
        <f ca="1">VLOOKUP($C982,OFFSET([1]quests!$A$1,0,0,COUNTA([1]quests!$A:$A),MATCH(E$1,[1]quests!$1:$1,0)-MATCH($C$1,[1]quests!$1:$1,0)+1),MATCH(E$1,[1]quests!$1:$1,0)-MATCH($C$1,[1]quests!$1:$1,0)+1,FALSE)</f>
        <v>ドロップイベント2-1（マルチ専用）</v>
      </c>
      <c r="F982" s="5">
        <v>2</v>
      </c>
      <c r="G982" s="3" t="str">
        <f ca="1">VLOOKUP($C982&amp;"_"&amp;$F982,OFFSET([1]stages!$A$1,0,0,COUNTA([1]stages!$A:$A),MATCH(G$1,[1]stages!$2:$2,0)-MATCH("temp_stage",[1]stages!$2:$2,0)+1),MATCH(G$1,[1]stages!$2:$2,0)-MATCH("temp_stage",[1]stages!$2:$2,0)+1,FALSE)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2" s="3" t="str">
        <f ca="1">VLOOKUP($C982&amp;"_"&amp;$F982,OFFSET([1]stages!$A$1,0,0,COUNTA([1]stages!$A:$A),MATCH(H$1,[1]stages!$2:$2,0)-MATCH("temp_stage",[1]stages!$2:$2,0)+1),MATCH(H$1,[1]stages!$2:$2,0)-MATCH("temp_stage",[1]stages!$2:$2,0)+1,FALSE)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2" s="18">
        <v>0</v>
      </c>
      <c r="J982" s="5">
        <f>COUNTIF(C$1:C982,C982)</f>
        <v>24</v>
      </c>
      <c r="K982" s="34">
        <v>28</v>
      </c>
      <c r="L982" s="5" t="s">
        <v>17</v>
      </c>
      <c r="M982" s="38" t="str">
        <f>VLOOKUP(K982,[2]stage_hints!$A:$C,3,FALSE)</f>
        <v>ステータス情報は長押しで</v>
      </c>
      <c r="N982" s="39" t="str">
        <f>VLOOKUP(K982,[2]stage_hints!$A:$D,4,FALSE)</f>
        <v>ユニットのアイコンを長押しすると
ステータス情報を確認することができます</v>
      </c>
      <c r="O982" s="20" t="s">
        <v>24</v>
      </c>
      <c r="P982">
        <v>28</v>
      </c>
    </row>
    <row r="983" spans="1:16" x14ac:dyDescent="0.15">
      <c r="A983" s="27" t="str">
        <f t="shared" si="78"/>
        <v>30005_2_25</v>
      </c>
      <c r="B983" s="25" t="s">
        <v>34</v>
      </c>
      <c r="C983" s="4">
        <v>30005</v>
      </c>
      <c r="D983" s="3" t="str">
        <f ca="1">VLOOKUP($C983,OFFSET([1]quests!$A$1,0,0,COUNTA([1]quests!$A:$A),MATCH(D$1,[1]quests!$1:$1,0)-MATCH($C$1,[1]quests!$1:$1,0)+1),MATCH(D$1,[1]quests!$1:$1,0)-MATCH($C$1,[1]quests!$1:$1,0)+1,FALSE)</f>
        <v>ニンゲンにしてあげる☆</v>
      </c>
      <c r="E983" s="3" t="str">
        <f ca="1">VLOOKUP($C983,OFFSET([1]quests!$A$1,0,0,COUNTA([1]quests!$A:$A),MATCH(E$1,[1]quests!$1:$1,0)-MATCH($C$1,[1]quests!$1:$1,0)+1),MATCH(E$1,[1]quests!$1:$1,0)-MATCH($C$1,[1]quests!$1:$1,0)+1,FALSE)</f>
        <v>ドロップイベント2-1（マルチ専用）</v>
      </c>
      <c r="F983" s="5">
        <v>2</v>
      </c>
      <c r="G983" s="3" t="str">
        <f ca="1">VLOOKUP($C983&amp;"_"&amp;$F983,OFFSET([1]stages!$A$1,0,0,COUNTA([1]stages!$A:$A),MATCH(G$1,[1]stages!$2:$2,0)-MATCH("temp_stage",[1]stages!$2:$2,0)+1),MATCH(G$1,[1]stages!$2:$2,0)-MATCH("temp_stage",[1]stages!$2:$2,0)+1,FALSE)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3" s="3" t="str">
        <f ca="1">VLOOKUP($C983&amp;"_"&amp;$F983,OFFSET([1]stages!$A$1,0,0,COUNTA([1]stages!$A:$A),MATCH(H$1,[1]stages!$2:$2,0)-MATCH("temp_stage",[1]stages!$2:$2,0)+1),MATCH(H$1,[1]stages!$2:$2,0)-MATCH("temp_stage",[1]stages!$2:$2,0)+1,FALSE)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3" s="18">
        <v>0</v>
      </c>
      <c r="J983" s="5">
        <f>COUNTIF(C$1:C983,C983)</f>
        <v>25</v>
      </c>
      <c r="K983" s="34">
        <v>29</v>
      </c>
      <c r="L983" s="5" t="s">
        <v>17</v>
      </c>
      <c r="M983" s="38" t="str">
        <f>VLOOKUP(K983,[2]stage_hints!$A:$C,3,FALSE)</f>
        <v>「バグ」のメリット</v>
      </c>
      <c r="N983" s="39" t="str">
        <f>VLOOKUP(K983,[2]stage_hints!$A:$D,4,FALSE)</f>
        <v>ユニットの「バグ」を増やすと
報酬をもらえる確率がアップします</v>
      </c>
      <c r="O983" s="20" t="s">
        <v>24</v>
      </c>
      <c r="P983">
        <v>29</v>
      </c>
    </row>
    <row r="984" spans="1:16" x14ac:dyDescent="0.15">
      <c r="A984" s="27" t="str">
        <f t="shared" si="78"/>
        <v>30005_2_26</v>
      </c>
      <c r="B984" s="25" t="s">
        <v>34</v>
      </c>
      <c r="C984" s="4">
        <v>30005</v>
      </c>
      <c r="D984" s="3" t="str">
        <f ca="1">VLOOKUP($C984,OFFSET([1]quests!$A$1,0,0,COUNTA([1]quests!$A:$A),MATCH(D$1,[1]quests!$1:$1,0)-MATCH($C$1,[1]quests!$1:$1,0)+1),MATCH(D$1,[1]quests!$1:$1,0)-MATCH($C$1,[1]quests!$1:$1,0)+1,FALSE)</f>
        <v>ニンゲンにしてあげる☆</v>
      </c>
      <c r="E984" s="3" t="str">
        <f ca="1">VLOOKUP($C984,OFFSET([1]quests!$A$1,0,0,COUNTA([1]quests!$A:$A),MATCH(E$1,[1]quests!$1:$1,0)-MATCH($C$1,[1]quests!$1:$1,0)+1),MATCH(E$1,[1]quests!$1:$1,0)-MATCH($C$1,[1]quests!$1:$1,0)+1,FALSE)</f>
        <v>ドロップイベント2-1（マルチ専用）</v>
      </c>
      <c r="F984" s="5">
        <v>2</v>
      </c>
      <c r="G984" s="3" t="str">
        <f ca="1">VLOOKUP($C984&amp;"_"&amp;$F984,OFFSET([1]stages!$A$1,0,0,COUNTA([1]stages!$A:$A),MATCH(G$1,[1]stages!$2:$2,0)-MATCH("temp_stage",[1]stages!$2:$2,0)+1),MATCH(G$1,[1]stages!$2:$2,0)-MATCH("temp_stage",[1]stages!$2:$2,0)+1,FALSE)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4" s="3" t="str">
        <f ca="1">VLOOKUP($C984&amp;"_"&amp;$F984,OFFSET([1]stages!$A$1,0,0,COUNTA([1]stages!$A:$A),MATCH(H$1,[1]stages!$2:$2,0)-MATCH("temp_stage",[1]stages!$2:$2,0)+1),MATCH(H$1,[1]stages!$2:$2,0)-MATCH("temp_stage",[1]stages!$2:$2,0)+1,FALSE)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4" s="18">
        <v>0</v>
      </c>
      <c r="J984" s="5">
        <f>COUNTIF(C$1:C984,C984)</f>
        <v>26</v>
      </c>
      <c r="K984" s="34">
        <v>30</v>
      </c>
      <c r="L984" s="5" t="s">
        <v>17</v>
      </c>
      <c r="M984" s="38" t="str">
        <f>VLOOKUP(K984,[2]stage_hints!$A:$C,3,FALSE)</f>
        <v>「バグ」の増やし方</v>
      </c>
      <c r="N984" s="39" t="str">
        <f>VLOOKUP(K984,[2]stage_hints!$A:$D,4,FALSE)</f>
        <v>同じユニット同士を強化で合成すると
「バグ」を増やすことができます</v>
      </c>
      <c r="O984" s="20" t="s">
        <v>24</v>
      </c>
      <c r="P984">
        <v>30</v>
      </c>
    </row>
    <row r="985" spans="1:16" x14ac:dyDescent="0.15">
      <c r="A985" s="27" t="str">
        <f t="shared" si="78"/>
        <v>30005_2_27</v>
      </c>
      <c r="B985" s="25" t="s">
        <v>34</v>
      </c>
      <c r="C985" s="4">
        <v>30005</v>
      </c>
      <c r="D985" s="3" t="str">
        <f ca="1">VLOOKUP($C985,OFFSET([1]quests!$A$1,0,0,COUNTA([1]quests!$A:$A),MATCH(D$1,[1]quests!$1:$1,0)-MATCH($C$1,[1]quests!$1:$1,0)+1),MATCH(D$1,[1]quests!$1:$1,0)-MATCH($C$1,[1]quests!$1:$1,0)+1,FALSE)</f>
        <v>ニンゲンにしてあげる☆</v>
      </c>
      <c r="E985" s="3" t="str">
        <f ca="1">VLOOKUP($C985,OFFSET([1]quests!$A$1,0,0,COUNTA([1]quests!$A:$A),MATCH(E$1,[1]quests!$1:$1,0)-MATCH($C$1,[1]quests!$1:$1,0)+1),MATCH(E$1,[1]quests!$1:$1,0)-MATCH($C$1,[1]quests!$1:$1,0)+1,FALSE)</f>
        <v>ドロップイベント2-1（マルチ専用）</v>
      </c>
      <c r="F985" s="5">
        <v>2</v>
      </c>
      <c r="G985" s="3" t="str">
        <f ca="1">VLOOKUP($C985&amp;"_"&amp;$F985,OFFSET([1]stages!$A$1,0,0,COUNTA([1]stages!$A:$A),MATCH(G$1,[1]stages!$2:$2,0)-MATCH("temp_stage",[1]stages!$2:$2,0)+1),MATCH(G$1,[1]stages!$2:$2,0)-MATCH("temp_stage",[1]stages!$2:$2,0)+1,FALSE)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5" s="3" t="str">
        <f ca="1">VLOOKUP($C985&amp;"_"&amp;$F985,OFFSET([1]stages!$A$1,0,0,COUNTA([1]stages!$A:$A),MATCH(H$1,[1]stages!$2:$2,0)-MATCH("temp_stage",[1]stages!$2:$2,0)+1),MATCH(H$1,[1]stages!$2:$2,0)-MATCH("temp_stage",[1]stages!$2:$2,0)+1,FALSE)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5" s="18">
        <v>0</v>
      </c>
      <c r="J985" s="5">
        <f>COUNTIF(C$1:C985,C985)</f>
        <v>27</v>
      </c>
      <c r="K985" s="34">
        <v>31</v>
      </c>
      <c r="L985" s="5" t="s">
        <v>17</v>
      </c>
      <c r="M985" s="38" t="str">
        <f>VLOOKUP(K985,[2]stage_hints!$A:$C,3,FALSE)</f>
        <v>イベントはお知らせでチェック</v>
      </c>
      <c r="N985" s="39" t="str">
        <f>VLOOKUP(K985,[2]stage_hints!$A:$D,4,FALSE)</f>
        <v>イベント限定ユニットを取り忘れないように
お知らせをこまめにチェックしましょう</v>
      </c>
      <c r="O985" s="20" t="s">
        <v>24</v>
      </c>
      <c r="P985">
        <v>31</v>
      </c>
    </row>
    <row r="986" spans="1:16" x14ac:dyDescent="0.15">
      <c r="A986" s="27" t="str">
        <f t="shared" si="78"/>
        <v>30005_2_28</v>
      </c>
      <c r="B986" s="25" t="s">
        <v>34</v>
      </c>
      <c r="C986" s="4">
        <v>30005</v>
      </c>
      <c r="D986" s="3" t="str">
        <f ca="1">VLOOKUP($C986,OFFSET([1]quests!$A$1,0,0,COUNTA([1]quests!$A:$A),MATCH(D$1,[1]quests!$1:$1,0)-MATCH($C$1,[1]quests!$1:$1,0)+1),MATCH(D$1,[1]quests!$1:$1,0)-MATCH($C$1,[1]quests!$1:$1,0)+1,FALSE)</f>
        <v>ニンゲンにしてあげる☆</v>
      </c>
      <c r="E986" s="3" t="str">
        <f ca="1">VLOOKUP($C986,OFFSET([1]quests!$A$1,0,0,COUNTA([1]quests!$A:$A),MATCH(E$1,[1]quests!$1:$1,0)-MATCH($C$1,[1]quests!$1:$1,0)+1),MATCH(E$1,[1]quests!$1:$1,0)-MATCH($C$1,[1]quests!$1:$1,0)+1,FALSE)</f>
        <v>ドロップイベント2-1（マルチ専用）</v>
      </c>
      <c r="F986" s="5">
        <v>2</v>
      </c>
      <c r="G986" s="3" t="str">
        <f ca="1">VLOOKUP($C986&amp;"_"&amp;$F986,OFFSET([1]stages!$A$1,0,0,COUNTA([1]stages!$A:$A),MATCH(G$1,[1]stages!$2:$2,0)-MATCH("temp_stage",[1]stages!$2:$2,0)+1),MATCH(G$1,[1]stages!$2:$2,0)-MATCH("temp_stage",[1]stages!$2:$2,0)+1,FALSE)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6" s="3" t="str">
        <f ca="1">VLOOKUP($C986&amp;"_"&amp;$F986,OFFSET([1]stages!$A$1,0,0,COUNTA([1]stages!$A:$A),MATCH(H$1,[1]stages!$2:$2,0)-MATCH("temp_stage",[1]stages!$2:$2,0)+1),MATCH(H$1,[1]stages!$2:$2,0)-MATCH("temp_stage",[1]stages!$2:$2,0)+1,FALSE)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6" s="18">
        <v>0</v>
      </c>
      <c r="J986" s="5">
        <f>COUNTIF(C$1:C986,C986)</f>
        <v>28</v>
      </c>
      <c r="K986" s="34">
        <v>32</v>
      </c>
      <c r="L986" s="5" t="s">
        <v>17</v>
      </c>
      <c r="M986" s="38" t="str">
        <f>VLOOKUP(K986,[2]stage_hints!$A:$C,3,FALSE)</f>
        <v>敵の連続攻撃には</v>
      </c>
      <c r="N986" s="39" t="str">
        <f>VLOOKUP(K986,[2]stage_hints!$A:$D,4,FALSE)</f>
        <v>カウンタースキルを持つユニットがいれば
ダメージ回数分の反撃ができます</v>
      </c>
      <c r="O986" s="20" t="s">
        <v>24</v>
      </c>
      <c r="P986">
        <v>32</v>
      </c>
    </row>
    <row r="987" spans="1:16" x14ac:dyDescent="0.15">
      <c r="A987" s="27" t="str">
        <f t="shared" si="78"/>
        <v>30005_2_29</v>
      </c>
      <c r="B987" s="25" t="s">
        <v>34</v>
      </c>
      <c r="C987" s="4">
        <v>30005</v>
      </c>
      <c r="D987" s="3" t="str">
        <f ca="1">VLOOKUP($C987,OFFSET([1]quests!$A$1,0,0,COUNTA([1]quests!$A:$A),MATCH(D$1,[1]quests!$1:$1,0)-MATCH($C$1,[1]quests!$1:$1,0)+1),MATCH(D$1,[1]quests!$1:$1,0)-MATCH($C$1,[1]quests!$1:$1,0)+1,FALSE)</f>
        <v>ニンゲンにしてあげる☆</v>
      </c>
      <c r="E987" s="3" t="str">
        <f ca="1">VLOOKUP($C987,OFFSET([1]quests!$A$1,0,0,COUNTA([1]quests!$A:$A),MATCH(E$1,[1]quests!$1:$1,0)-MATCH($C$1,[1]quests!$1:$1,0)+1),MATCH(E$1,[1]quests!$1:$1,0)-MATCH($C$1,[1]quests!$1:$1,0)+1,FALSE)</f>
        <v>ドロップイベント2-1（マルチ専用）</v>
      </c>
      <c r="F987" s="5">
        <v>2</v>
      </c>
      <c r="G987" s="3" t="str">
        <f ca="1">VLOOKUP($C987&amp;"_"&amp;$F987,OFFSET([1]stages!$A$1,0,0,COUNTA([1]stages!$A:$A),MATCH(G$1,[1]stages!$2:$2,0)-MATCH("temp_stage",[1]stages!$2:$2,0)+1),MATCH(G$1,[1]stages!$2:$2,0)-MATCH("temp_stage",[1]stages!$2:$2,0)+1,FALSE)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7" s="3" t="str">
        <f ca="1">VLOOKUP($C987&amp;"_"&amp;$F987,OFFSET([1]stages!$A$1,0,0,COUNTA([1]stages!$A:$A),MATCH(H$1,[1]stages!$2:$2,0)-MATCH("temp_stage",[1]stages!$2:$2,0)+1),MATCH(H$1,[1]stages!$2:$2,0)-MATCH("temp_stage",[1]stages!$2:$2,0)+1,FALSE)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7" s="18">
        <v>0</v>
      </c>
      <c r="J987" s="5">
        <f>COUNTIF(C$1:C987,C987)</f>
        <v>29</v>
      </c>
      <c r="K987" s="34">
        <v>33</v>
      </c>
      <c r="L987" s="5" t="s">
        <v>17</v>
      </c>
      <c r="M987" s="38" t="str">
        <f>VLOOKUP(K987,[2]stage_hints!$A:$C,3,FALSE)</f>
        <v>敵のカウンター攻撃には</v>
      </c>
      <c r="N987" s="39" t="str">
        <f>VLOOKUP(K987,[2]stage_hints!$A:$D,4,FALSE)</f>
        <v>カウンターブレイクスキルを持っていれば
敵のカウンターを解除して攻撃ができます</v>
      </c>
      <c r="O987" s="20" t="s">
        <v>24</v>
      </c>
      <c r="P987">
        <v>33</v>
      </c>
    </row>
    <row r="988" spans="1:16" x14ac:dyDescent="0.15">
      <c r="A988" s="27" t="str">
        <f t="shared" si="78"/>
        <v>30005_2_30</v>
      </c>
      <c r="B988" s="25" t="s">
        <v>34</v>
      </c>
      <c r="C988" s="4">
        <v>30005</v>
      </c>
      <c r="D988" s="3" t="str">
        <f ca="1">VLOOKUP($C988,OFFSET([1]quests!$A$1,0,0,COUNTA([1]quests!$A:$A),MATCH(D$1,[1]quests!$1:$1,0)-MATCH($C$1,[1]quests!$1:$1,0)+1),MATCH(D$1,[1]quests!$1:$1,0)-MATCH($C$1,[1]quests!$1:$1,0)+1,FALSE)</f>
        <v>ニンゲンにしてあげる☆</v>
      </c>
      <c r="E988" s="3" t="str">
        <f ca="1">VLOOKUP($C988,OFFSET([1]quests!$A$1,0,0,COUNTA([1]quests!$A:$A),MATCH(E$1,[1]quests!$1:$1,0)-MATCH($C$1,[1]quests!$1:$1,0)+1),MATCH(E$1,[1]quests!$1:$1,0)-MATCH($C$1,[1]quests!$1:$1,0)+1,FALSE)</f>
        <v>ドロップイベント2-1（マルチ専用）</v>
      </c>
      <c r="F988" s="5">
        <v>2</v>
      </c>
      <c r="G988" s="3" t="str">
        <f ca="1">VLOOKUP($C988&amp;"_"&amp;$F988,OFFSET([1]stages!$A$1,0,0,COUNTA([1]stages!$A:$A),MATCH(G$1,[1]stages!$2:$2,0)-MATCH("temp_stage",[1]stages!$2:$2,0)+1),MATCH(G$1,[1]stages!$2:$2,0)-MATCH("temp_stage",[1]stages!$2:$2,0)+1,FALSE)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8" s="3" t="str">
        <f ca="1">VLOOKUP($C988&amp;"_"&amp;$F988,OFFSET([1]stages!$A$1,0,0,COUNTA([1]stages!$A:$A),MATCH(H$1,[1]stages!$2:$2,0)-MATCH("temp_stage",[1]stages!$2:$2,0)+1),MATCH(H$1,[1]stages!$2:$2,0)-MATCH("temp_stage",[1]stages!$2:$2,0)+1,FALSE)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8" s="18">
        <v>0</v>
      </c>
      <c r="J988" s="5">
        <f>COUNTIF(C$1:C988,C988)</f>
        <v>30</v>
      </c>
      <c r="K988" s="34">
        <v>34</v>
      </c>
      <c r="L988" s="5" t="s">
        <v>17</v>
      </c>
      <c r="M988" s="38" t="str">
        <f>VLOOKUP(K988,[2]stage_hints!$A:$C,3,FALSE)</f>
        <v>ステータスをスキルで下げられたら</v>
      </c>
      <c r="N988" s="39" t="str">
        <f>VLOOKUP(K988,[2]stage_hints!$A:$D,4,FALSE)</f>
        <v>ステータスダウンのスキルを受けたら
ステータスアップスキルで上書きしましょう</v>
      </c>
      <c r="O988" s="20" t="s">
        <v>24</v>
      </c>
      <c r="P988">
        <v>34</v>
      </c>
    </row>
    <row r="989" spans="1:16" x14ac:dyDescent="0.15">
      <c r="A989" s="27" t="str">
        <f t="shared" si="78"/>
        <v>30005_2_31</v>
      </c>
      <c r="B989" s="25" t="s">
        <v>34</v>
      </c>
      <c r="C989" s="4">
        <v>30005</v>
      </c>
      <c r="D989" s="3" t="str">
        <f ca="1">VLOOKUP($C989,OFFSET([1]quests!$A$1,0,0,COUNTA([1]quests!$A:$A),MATCH(D$1,[1]quests!$1:$1,0)-MATCH($C$1,[1]quests!$1:$1,0)+1),MATCH(D$1,[1]quests!$1:$1,0)-MATCH($C$1,[1]quests!$1:$1,0)+1,FALSE)</f>
        <v>ニンゲンにしてあげる☆</v>
      </c>
      <c r="E989" s="3" t="str">
        <f ca="1">VLOOKUP($C989,OFFSET([1]quests!$A$1,0,0,COUNTA([1]quests!$A:$A),MATCH(E$1,[1]quests!$1:$1,0)-MATCH($C$1,[1]quests!$1:$1,0)+1),MATCH(E$1,[1]quests!$1:$1,0)-MATCH($C$1,[1]quests!$1:$1,0)+1,FALSE)</f>
        <v>ドロップイベント2-1（マルチ専用）</v>
      </c>
      <c r="F989" s="5">
        <v>2</v>
      </c>
      <c r="G989" s="3" t="str">
        <f ca="1">VLOOKUP($C989&amp;"_"&amp;$F989,OFFSET([1]stages!$A$1,0,0,COUNTA([1]stages!$A:$A),MATCH(G$1,[1]stages!$2:$2,0)-MATCH("temp_stage",[1]stages!$2:$2,0)+1),MATCH(G$1,[1]stages!$2:$2,0)-MATCH("temp_stage",[1]stages!$2:$2,0)+1,FALSE)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89" s="3" t="str">
        <f ca="1">VLOOKUP($C989&amp;"_"&amp;$F989,OFFSET([1]stages!$A$1,0,0,COUNTA([1]stages!$A:$A),MATCH(H$1,[1]stages!$2:$2,0)-MATCH("temp_stage",[1]stages!$2:$2,0)+1),MATCH(H$1,[1]stages!$2:$2,0)-MATCH("temp_stage",[1]stages!$2:$2,0)+1,FALSE)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89" s="18">
        <v>0</v>
      </c>
      <c r="J989" s="5">
        <f>COUNTIF(C$1:C989,C989)</f>
        <v>31</v>
      </c>
      <c r="K989" s="34">
        <v>35</v>
      </c>
      <c r="L989" s="5" t="s">
        <v>17</v>
      </c>
      <c r="M989" s="38" t="str">
        <f>VLOOKUP(K989,[2]stage_hints!$A:$C,3,FALSE)</f>
        <v>敵のステータスがスキルで上がったら</v>
      </c>
      <c r="N989" s="39" t="str">
        <f>VLOOKUP(K989,[2]stage_hints!$A:$D,4,FALSE)</f>
        <v>敵のステータスがスキルでアップしたときは
ステータスダウンスキルで上書きしましょう</v>
      </c>
      <c r="O989" s="20" t="s">
        <v>24</v>
      </c>
      <c r="P989">
        <v>35</v>
      </c>
    </row>
    <row r="990" spans="1:16" x14ac:dyDescent="0.15">
      <c r="A990" s="27" t="str">
        <f t="shared" si="78"/>
        <v>30005_2_32</v>
      </c>
      <c r="B990" s="25" t="s">
        <v>34</v>
      </c>
      <c r="C990" s="4">
        <v>30005</v>
      </c>
      <c r="D990" s="3" t="str">
        <f ca="1">VLOOKUP($C990,OFFSET([1]quests!$A$1,0,0,COUNTA([1]quests!$A:$A),MATCH(D$1,[1]quests!$1:$1,0)-MATCH($C$1,[1]quests!$1:$1,0)+1),MATCH(D$1,[1]quests!$1:$1,0)-MATCH($C$1,[1]quests!$1:$1,0)+1,FALSE)</f>
        <v>ニンゲンにしてあげる☆</v>
      </c>
      <c r="E990" s="3" t="str">
        <f ca="1">VLOOKUP($C990,OFFSET([1]quests!$A$1,0,0,COUNTA([1]quests!$A:$A),MATCH(E$1,[1]quests!$1:$1,0)-MATCH($C$1,[1]quests!$1:$1,0)+1),MATCH(E$1,[1]quests!$1:$1,0)-MATCH($C$1,[1]quests!$1:$1,0)+1,FALSE)</f>
        <v>ドロップイベント2-1（マルチ専用）</v>
      </c>
      <c r="F990" s="5">
        <v>2</v>
      </c>
      <c r="G990" s="3" t="str">
        <f ca="1">VLOOKUP($C990&amp;"_"&amp;$F990,OFFSET([1]stages!$A$1,0,0,COUNTA([1]stages!$A:$A),MATCH(G$1,[1]stages!$2:$2,0)-MATCH("temp_stage",[1]stages!$2:$2,0)+1),MATCH(G$1,[1]stages!$2:$2,0)-MATCH("temp_stage",[1]stages!$2:$2,0)+1,FALSE)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90" s="3" t="str">
        <f ca="1">VLOOKUP($C990&amp;"_"&amp;$F990,OFFSET([1]stages!$A$1,0,0,COUNTA([1]stages!$A:$A),MATCH(H$1,[1]stages!$2:$2,0)-MATCH("temp_stage",[1]stages!$2:$2,0)+1),MATCH(H$1,[1]stages!$2:$2,0)-MATCH("temp_stage",[1]stages!$2:$2,0)+1,FALSE)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90" s="18">
        <v>0</v>
      </c>
      <c r="J990" s="5">
        <f>COUNTIF(C$1:C990,C990)</f>
        <v>32</v>
      </c>
      <c r="K990" s="34">
        <v>36</v>
      </c>
      <c r="L990" s="5" t="s">
        <v>17</v>
      </c>
      <c r="M990" s="38" t="str">
        <f>VLOOKUP(K990,[2]stage_hints!$A:$C,3,FALSE)</f>
        <v>チャレンジタワーのボス</v>
      </c>
      <c r="N990" s="39" t="str">
        <f>VLOOKUP(K990,[2]stage_hints!$A:$D,4,FALSE)</f>
        <v>チャレンジタワーでのみ登場するボスは
一定確率で獲得することができます</v>
      </c>
      <c r="O990" s="20" t="s">
        <v>24</v>
      </c>
      <c r="P990">
        <v>36</v>
      </c>
    </row>
    <row r="991" spans="1:16" x14ac:dyDescent="0.15">
      <c r="A991" s="27" t="str">
        <f t="shared" si="78"/>
        <v>30005_2_33</v>
      </c>
      <c r="B991" s="25" t="s">
        <v>34</v>
      </c>
      <c r="C991" s="4">
        <v>30005</v>
      </c>
      <c r="D991" s="3" t="str">
        <f ca="1">VLOOKUP($C991,OFFSET([1]quests!$A$1,0,0,COUNTA([1]quests!$A:$A),MATCH(D$1,[1]quests!$1:$1,0)-MATCH($C$1,[1]quests!$1:$1,0)+1),MATCH(D$1,[1]quests!$1:$1,0)-MATCH($C$1,[1]quests!$1:$1,0)+1,FALSE)</f>
        <v>ニンゲンにしてあげる☆</v>
      </c>
      <c r="E991" s="3" t="str">
        <f ca="1">VLOOKUP($C991,OFFSET([1]quests!$A$1,0,0,COUNTA([1]quests!$A:$A),MATCH(E$1,[1]quests!$1:$1,0)-MATCH($C$1,[1]quests!$1:$1,0)+1),MATCH(E$1,[1]quests!$1:$1,0)-MATCH($C$1,[1]quests!$1:$1,0)+1,FALSE)</f>
        <v>ドロップイベント2-1（マルチ専用）</v>
      </c>
      <c r="F991" s="5">
        <v>2</v>
      </c>
      <c r="G991" s="3" t="str">
        <f ca="1">VLOOKUP($C991&amp;"_"&amp;$F991,OFFSET([1]stages!$A$1,0,0,COUNTA([1]stages!$A:$A),MATCH(G$1,[1]stages!$2:$2,0)-MATCH("temp_stage",[1]stages!$2:$2,0)+1),MATCH(G$1,[1]stages!$2:$2,0)-MATCH("temp_stage",[1]stages!$2:$2,0)+1,FALSE)</f>
        <v xml:space="preserve">【上級】ニンゲンにしてあげる </v>
      </c>
      <c r="H991" s="3" t="str">
        <f ca="1">VLOOKUP($C991&amp;"_"&amp;$F991,OFFSET([1]stages!$A$1,0,0,COUNTA([1]stages!$A:$A),MATCH(H$1,[1]stages!$2:$2,0)-MATCH("temp_stage",[1]stages!$2:$2,0)+1),MATCH(H$1,[1]stages!$2:$2,0)-MATCH("temp_stage",[1]stages!$2:$2,0)+1,FALSE)</f>
        <v>ドロップイベント2-1（マルチ専用）</v>
      </c>
      <c r="I991" s="18">
        <v>0</v>
      </c>
      <c r="J991" s="5">
        <f>COUNTIF(C$1:C991,C991)</f>
        <v>33</v>
      </c>
      <c r="K991" s="34">
        <v>37</v>
      </c>
      <c r="L991" s="5" t="s">
        <v>17</v>
      </c>
      <c r="M991" s="38" t="str">
        <f>VLOOKUP(K991,[2]stage_hints!$A:$C,3,FALSE)</f>
        <v>限界突破値の引き継ぎ</v>
      </c>
      <c r="N991" s="39" t="str">
        <f>VLOOKUP(K991,[2]stage_hints!$A:$D,4,FALSE)</f>
        <v>同じユニットを強化で合成すると
限界突破値を引き継げます（覚醒前後も可）</v>
      </c>
      <c r="O991" s="20" t="s">
        <v>24</v>
      </c>
      <c r="P991">
        <v>37</v>
      </c>
    </row>
    <row r="992" spans="1:16" x14ac:dyDescent="0.15">
      <c r="A992" s="27" t="str">
        <f t="shared" si="78"/>
        <v>30006_2_1</v>
      </c>
      <c r="B992" s="25" t="s">
        <v>34</v>
      </c>
      <c r="C992" s="4">
        <v>30006</v>
      </c>
      <c r="D992" s="3" t="str">
        <f ca="1">VLOOKUP($C992,OFFSET([1]quests!$A$1,0,0,COUNTA([1]quests!$A:$A),MATCH(D$1,[1]quests!$1:$1,0)-MATCH($C$1,[1]quests!$1:$1,0)+1),MATCH(D$1,[1]quests!$1:$1,0)-MATCH($C$1,[1]quests!$1:$1,0)+1,FALSE)</f>
        <v>それはお前を食べるためさ</v>
      </c>
      <c r="E992" s="3" t="str">
        <f ca="1">VLOOKUP($C992,OFFSET([1]quests!$A$1,0,0,COUNTA([1]quests!$A:$A),MATCH(E$1,[1]quests!$1:$1,0)-MATCH($C$1,[1]quests!$1:$1,0)+1),MATCH(E$1,[1]quests!$1:$1,0)-MATCH($C$1,[1]quests!$1:$1,0)+1,FALSE)</f>
        <v>ドロップイベント2-3（マルチ専用）</v>
      </c>
      <c r="F992" s="5">
        <v>2</v>
      </c>
      <c r="G992" s="3" t="str">
        <f ca="1">VLOOKUP($C992&amp;"_"&amp;$F992,OFFSET([1]stages!$A$1,0,0,COUNTA([1]stages!$A:$A),MATCH(G$1,[1]stages!$2:$2,0)-MATCH("temp_stage",[1]stages!$2:$2,0)+1),MATCH(G$1,[1]stages!$2:$2,0)-MATCH("temp_stage",[1]stages!$2:$2,0)+1,FALSE)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992" s="3" t="str">
        <f ca="1">VLOOKUP($C992&amp;"_"&amp;$F992,OFFSET([1]stages!$A$1,0,0,COUNTA([1]stages!$A:$A),MATCH(H$1,[1]stages!$2:$2,0)-MATCH("temp_stage",[1]stages!$2:$2,0)+1),MATCH(H$1,[1]stages!$2:$2,0)-MATCH("temp_stage",[1]stages!$2:$2,0)+1,FALSE)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992" s="18">
        <v>0</v>
      </c>
      <c r="J992" s="5">
        <f>COUNTIF(C$1:C992,C992)</f>
        <v>1</v>
      </c>
      <c r="K992" s="34">
        <v>3</v>
      </c>
      <c r="L992" s="5" t="s">
        <v>17</v>
      </c>
      <c r="M992" s="38" t="str">
        <f>VLOOKUP(K992,[2]stage_hints!$A:$C,3,FALSE)</f>
        <v>ターゲット</v>
      </c>
      <c r="N992" s="39" t="str">
        <f>VLOOKUP(K992,[2]stage_hints!$A:$D,4,FALSE)</f>
        <v>敵ユニットをタップすると
その敵を狙い撃ちできます</v>
      </c>
      <c r="O992" s="20" t="s">
        <v>24</v>
      </c>
      <c r="P992">
        <v>3</v>
      </c>
    </row>
    <row r="993" spans="1:16" x14ac:dyDescent="0.15">
      <c r="A993" s="27" t="str">
        <f t="shared" si="78"/>
        <v>30006_2_2</v>
      </c>
      <c r="B993" s="25" t="s">
        <v>34</v>
      </c>
      <c r="C993" s="4">
        <v>30006</v>
      </c>
      <c r="D993" s="3" t="str">
        <f ca="1">VLOOKUP($C993,OFFSET([1]quests!$A$1,0,0,COUNTA([1]quests!$A:$A),MATCH(D$1,[1]quests!$1:$1,0)-MATCH($C$1,[1]quests!$1:$1,0)+1),MATCH(D$1,[1]quests!$1:$1,0)-MATCH($C$1,[1]quests!$1:$1,0)+1,FALSE)</f>
        <v>それはお前を食べるためさ</v>
      </c>
      <c r="E993" s="3" t="str">
        <f ca="1">VLOOKUP($C993,OFFSET([1]quests!$A$1,0,0,COUNTA([1]quests!$A:$A),MATCH(E$1,[1]quests!$1:$1,0)-MATCH($C$1,[1]quests!$1:$1,0)+1),MATCH(E$1,[1]quests!$1:$1,0)-MATCH($C$1,[1]quests!$1:$1,0)+1,FALSE)</f>
        <v>ドロップイベント2-3（マルチ専用）</v>
      </c>
      <c r="F993" s="5">
        <v>2</v>
      </c>
      <c r="G993" s="3" t="str">
        <f ca="1">VLOOKUP($C993&amp;"_"&amp;$F993,OFFSET([1]stages!$A$1,0,0,COUNTA([1]stages!$A:$A),MATCH(G$1,[1]stages!$2:$2,0)-MATCH("temp_stage",[1]stages!$2:$2,0)+1),MATCH(G$1,[1]stages!$2:$2,0)-MATCH("temp_stage",[1]stages!$2:$2,0)+1,FALSE)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993" s="3" t="str">
        <f ca="1">VLOOKUP($C993&amp;"_"&amp;$F993,OFFSET([1]stages!$A$1,0,0,COUNTA([1]stages!$A:$A),MATCH(H$1,[1]stages!$2:$2,0)-MATCH("temp_stage",[1]stages!$2:$2,0)+1),MATCH(H$1,[1]stages!$2:$2,0)-MATCH("temp_stage",[1]stages!$2:$2,0)+1,FALSE)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993" s="18">
        <v>0</v>
      </c>
      <c r="J993" s="5">
        <f>COUNTIF(C$1:C993,C993)</f>
        <v>2</v>
      </c>
      <c r="K993" s="34">
        <v>6</v>
      </c>
      <c r="L993" s="5" t="s">
        <v>17</v>
      </c>
      <c r="M993" s="38" t="str">
        <f>VLOOKUP(K993,[2]stage_hints!$A:$C,3,FALSE)</f>
        <v>ユニット強化の属性ボーナス</v>
      </c>
      <c r="N993" s="39" t="str">
        <f>VLOOKUP(K993,[2]stage_hints!$A:$D,4,FALSE)</f>
        <v>同属性ユニットを強化素材にすると
経験値が多くもらえます</v>
      </c>
      <c r="O993" s="20" t="s">
        <v>24</v>
      </c>
      <c r="P993">
        <v>6</v>
      </c>
    </row>
    <row r="994" spans="1:16" x14ac:dyDescent="0.15">
      <c r="A994" s="27" t="str">
        <f t="shared" si="78"/>
        <v>30006_2_3</v>
      </c>
      <c r="B994" s="25" t="s">
        <v>34</v>
      </c>
      <c r="C994" s="4">
        <v>30006</v>
      </c>
      <c r="D994" s="3" t="str">
        <f ca="1">VLOOKUP($C994,OFFSET([1]quests!$A$1,0,0,COUNTA([1]quests!$A:$A),MATCH(D$1,[1]quests!$1:$1,0)-MATCH($C$1,[1]quests!$1:$1,0)+1),MATCH(D$1,[1]quests!$1:$1,0)-MATCH($C$1,[1]quests!$1:$1,0)+1,FALSE)</f>
        <v>それはお前を食べるためさ</v>
      </c>
      <c r="E994" s="3" t="str">
        <f ca="1">VLOOKUP($C994,OFFSET([1]quests!$A$1,0,0,COUNTA([1]quests!$A:$A),MATCH(E$1,[1]quests!$1:$1,0)-MATCH($C$1,[1]quests!$1:$1,0)+1),MATCH(E$1,[1]quests!$1:$1,0)-MATCH($C$1,[1]quests!$1:$1,0)+1,FALSE)</f>
        <v>ドロップイベント2-3（マルチ専用）</v>
      </c>
      <c r="F994" s="5">
        <v>2</v>
      </c>
      <c r="G994" s="3" t="str">
        <f ca="1">VLOOKUP($C994&amp;"_"&amp;$F994,OFFSET([1]stages!$A$1,0,0,COUNTA([1]stages!$A:$A),MATCH(G$1,[1]stages!$2:$2,0)-MATCH("temp_stage",[1]stages!$2:$2,0)+1),MATCH(G$1,[1]stages!$2:$2,0)-MATCH("temp_stage",[1]stages!$2:$2,0)+1,FALSE)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994" s="3" t="str">
        <f ca="1">VLOOKUP($C994&amp;"_"&amp;$F994,OFFSET([1]stages!$A$1,0,0,COUNTA([1]stages!$A:$A),MATCH(H$1,[1]stages!$2:$2,0)-MATCH("temp_stage",[1]stages!$2:$2,0)+1),MATCH(H$1,[1]stages!$2:$2,0)-MATCH("temp_stage",[1]stages!$2:$2,0)+1,FALSE)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994" s="18">
        <v>0</v>
      </c>
      <c r="J994" s="5">
        <f>COUNTIF(C$1:C994,C994)</f>
        <v>3</v>
      </c>
      <c r="K994" s="34">
        <v>7</v>
      </c>
      <c r="L994" s="5" t="s">
        <v>17</v>
      </c>
      <c r="M994" s="38" t="str">
        <f>VLOOKUP(K994,[2]stage_hints!$A:$C,3,FALSE)</f>
        <v>メタルダックで経験値を獲得</v>
      </c>
      <c r="N994" s="39" t="str">
        <f>VLOOKUP(K994,[2]stage_hints!$A:$D,4,FALSE)</f>
        <v>「メタルなアヒル」を強化素材にすると
大量の経験値がもらえます</v>
      </c>
      <c r="O994" s="20" t="s">
        <v>24</v>
      </c>
      <c r="P994">
        <v>7</v>
      </c>
    </row>
    <row r="995" spans="1:16" x14ac:dyDescent="0.15">
      <c r="A995" s="27" t="str">
        <f t="shared" si="78"/>
        <v>30006_2_4</v>
      </c>
      <c r="B995" s="25" t="s">
        <v>34</v>
      </c>
      <c r="C995" s="4">
        <v>30006</v>
      </c>
      <c r="D995" s="3" t="str">
        <f ca="1">VLOOKUP($C995,OFFSET([1]quests!$A$1,0,0,COUNTA([1]quests!$A:$A),MATCH(D$1,[1]quests!$1:$1,0)-MATCH($C$1,[1]quests!$1:$1,0)+1),MATCH(D$1,[1]quests!$1:$1,0)-MATCH($C$1,[1]quests!$1:$1,0)+1,FALSE)</f>
        <v>それはお前を食べるためさ</v>
      </c>
      <c r="E995" s="3" t="str">
        <f ca="1">VLOOKUP($C995,OFFSET([1]quests!$A$1,0,0,COUNTA([1]quests!$A:$A),MATCH(E$1,[1]quests!$1:$1,0)-MATCH($C$1,[1]quests!$1:$1,0)+1),MATCH(E$1,[1]quests!$1:$1,0)-MATCH($C$1,[1]quests!$1:$1,0)+1,FALSE)</f>
        <v>ドロップイベント2-3（マルチ専用）</v>
      </c>
      <c r="F995" s="5">
        <v>2</v>
      </c>
      <c r="G995" s="3" t="str">
        <f ca="1">VLOOKUP($C995&amp;"_"&amp;$F995,OFFSET([1]stages!$A$1,0,0,COUNTA([1]stages!$A:$A),MATCH(G$1,[1]stages!$2:$2,0)-MATCH("temp_stage",[1]stages!$2:$2,0)+1),MATCH(G$1,[1]stages!$2:$2,0)-MATCH("temp_stage",[1]stages!$2:$2,0)+1,FALSE)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995" s="3" t="str">
        <f ca="1">VLOOKUP($C995&amp;"_"&amp;$F995,OFFSET([1]stages!$A$1,0,0,COUNTA([1]stages!$A:$A),MATCH(H$1,[1]stages!$2:$2,0)-MATCH("temp_stage",[1]stages!$2:$2,0)+1),MATCH(H$1,[1]stages!$2:$2,0)-MATCH("temp_stage",[1]stages!$2:$2,0)+1,FALSE)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995" s="18">
        <v>0</v>
      </c>
      <c r="J995" s="5">
        <f>COUNTIF(C$1:C995,C995)</f>
        <v>4</v>
      </c>
      <c r="K995" s="34">
        <v>8</v>
      </c>
      <c r="L995" s="5" t="s">
        <v>17</v>
      </c>
      <c r="M995" s="38" t="str">
        <f>VLOOKUP(K995,[2]stage_hints!$A:$C,3,FALSE)</f>
        <v>ゲリラクエストは要チェック</v>
      </c>
      <c r="N995" s="39" t="str">
        <f>VLOOKUP(K995,[2]stage_hints!$A:$D,4,FALSE)</f>
        <v>時間限定の「アヒル捕獲作戦」では
経験値素材ユニットが多く手に入ります</v>
      </c>
      <c r="O995" s="20" t="s">
        <v>24</v>
      </c>
      <c r="P995">
        <v>8</v>
      </c>
    </row>
    <row r="996" spans="1:16" x14ac:dyDescent="0.15">
      <c r="A996" s="27" t="str">
        <f t="shared" ref="A996:A1059" si="79">C996&amp;"_"&amp;F996&amp;"_"&amp;J996</f>
        <v>30006_2_5</v>
      </c>
      <c r="B996" s="25" t="s">
        <v>34</v>
      </c>
      <c r="C996" s="4">
        <v>30006</v>
      </c>
      <c r="D996" s="3" t="str">
        <f ca="1">VLOOKUP($C996,OFFSET([1]quests!$A$1,0,0,COUNTA([1]quests!$A:$A),MATCH(D$1,[1]quests!$1:$1,0)-MATCH($C$1,[1]quests!$1:$1,0)+1),MATCH(D$1,[1]quests!$1:$1,0)-MATCH($C$1,[1]quests!$1:$1,0)+1,FALSE)</f>
        <v>それはお前を食べるためさ</v>
      </c>
      <c r="E996" s="3" t="str">
        <f ca="1">VLOOKUP($C996,OFFSET([1]quests!$A$1,0,0,COUNTA([1]quests!$A:$A),MATCH(E$1,[1]quests!$1:$1,0)-MATCH($C$1,[1]quests!$1:$1,0)+1),MATCH(E$1,[1]quests!$1:$1,0)-MATCH($C$1,[1]quests!$1:$1,0)+1,FALSE)</f>
        <v>ドロップイベント2-3（マルチ専用）</v>
      </c>
      <c r="F996" s="5">
        <v>2</v>
      </c>
      <c r="G996" s="3" t="str">
        <f ca="1">VLOOKUP($C996&amp;"_"&amp;$F996,OFFSET([1]stages!$A$1,0,0,COUNTA([1]stages!$A:$A),MATCH(G$1,[1]stages!$2:$2,0)-MATCH("temp_stage",[1]stages!$2:$2,0)+1),MATCH(G$1,[1]stages!$2:$2,0)-MATCH("temp_stage",[1]stages!$2:$2,0)+1,FALSE)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996" s="3" t="str">
        <f ca="1">VLOOKUP($C996&amp;"_"&amp;$F996,OFFSET([1]stages!$A$1,0,0,COUNTA([1]stages!$A:$A),MATCH(H$1,[1]stages!$2:$2,0)-MATCH("temp_stage",[1]stages!$2:$2,0)+1),MATCH(H$1,[1]stages!$2:$2,0)-MATCH("temp_stage",[1]stages!$2:$2,0)+1,FALSE)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996" s="18">
        <v>0</v>
      </c>
      <c r="J996" s="5">
        <f>COUNTIF(C$1:C996,C996)</f>
        <v>5</v>
      </c>
      <c r="K996" s="34">
        <v>9</v>
      </c>
      <c r="L996" s="5" t="s">
        <v>17</v>
      </c>
      <c r="M996" s="38" t="str">
        <f>VLOOKUP(K996,[2]stage_hints!$A:$C,3,FALSE)</f>
        <v>ゴールドダックでビットを獲得</v>
      </c>
      <c r="N996" s="39" t="str">
        <f>VLOOKUP(K996,[2]stage_hints!$A:$D,4,FALSE)</f>
        <v>「ゴールドなアヒル」を売却すると
大量のビットがもらえます</v>
      </c>
      <c r="O996" s="20" t="s">
        <v>24</v>
      </c>
      <c r="P996">
        <v>9</v>
      </c>
    </row>
    <row r="997" spans="1:16" x14ac:dyDescent="0.15">
      <c r="A997" s="27" t="str">
        <f t="shared" si="79"/>
        <v>30006_2_6</v>
      </c>
      <c r="B997" s="25" t="s">
        <v>34</v>
      </c>
      <c r="C997" s="4">
        <v>30006</v>
      </c>
      <c r="D997" s="3" t="str">
        <f ca="1">VLOOKUP($C997,OFFSET([1]quests!$A$1,0,0,COUNTA([1]quests!$A:$A),MATCH(D$1,[1]quests!$1:$1,0)-MATCH($C$1,[1]quests!$1:$1,0)+1),MATCH(D$1,[1]quests!$1:$1,0)-MATCH($C$1,[1]quests!$1:$1,0)+1,FALSE)</f>
        <v>それはお前を食べるためさ</v>
      </c>
      <c r="E997" s="3" t="str">
        <f ca="1">VLOOKUP($C997,OFFSET([1]quests!$A$1,0,0,COUNTA([1]quests!$A:$A),MATCH(E$1,[1]quests!$1:$1,0)-MATCH($C$1,[1]quests!$1:$1,0)+1),MATCH(E$1,[1]quests!$1:$1,0)-MATCH($C$1,[1]quests!$1:$1,0)+1,FALSE)</f>
        <v>ドロップイベント2-3（マルチ専用）</v>
      </c>
      <c r="F997" s="5">
        <v>2</v>
      </c>
      <c r="G997" s="3" t="str">
        <f ca="1">VLOOKUP($C997&amp;"_"&amp;$F997,OFFSET([1]stages!$A$1,0,0,COUNTA([1]stages!$A:$A),MATCH(G$1,[1]stages!$2:$2,0)-MATCH("temp_stage",[1]stages!$2:$2,0)+1),MATCH(G$1,[1]stages!$2:$2,0)-MATCH("temp_stage",[1]stages!$2:$2,0)+1,FALSE)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997" s="3" t="str">
        <f ca="1">VLOOKUP($C997&amp;"_"&amp;$F997,OFFSET([1]stages!$A$1,0,0,COUNTA([1]stages!$A:$A),MATCH(H$1,[1]stages!$2:$2,0)-MATCH("temp_stage",[1]stages!$2:$2,0)+1),MATCH(H$1,[1]stages!$2:$2,0)-MATCH("temp_stage",[1]stages!$2:$2,0)+1,FALSE)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997" s="18">
        <v>0</v>
      </c>
      <c r="J997" s="5">
        <f>COUNTIF(C$1:C997,C997)</f>
        <v>6</v>
      </c>
      <c r="K997" s="34">
        <v>10</v>
      </c>
      <c r="L997" s="5" t="s">
        <v>17</v>
      </c>
      <c r="M997" s="38" t="str">
        <f>VLOOKUP(K997,[2]stage_hints!$A:$C,3,FALSE)</f>
        <v>土日に大量のビットを獲得</v>
      </c>
      <c r="N997" s="39" t="str">
        <f>VLOOKUP(K997,[2]stage_hints!$A:$D,4,FALSE)</f>
        <v>土日限定の「ゴールドカジノ」では
売却素材ユニットが多く手に入ります</v>
      </c>
      <c r="O997" s="20" t="s">
        <v>24</v>
      </c>
      <c r="P997">
        <v>10</v>
      </c>
    </row>
    <row r="998" spans="1:16" x14ac:dyDescent="0.15">
      <c r="A998" s="27" t="str">
        <f t="shared" si="79"/>
        <v>30006_2_7</v>
      </c>
      <c r="B998" s="25" t="s">
        <v>34</v>
      </c>
      <c r="C998" s="4">
        <v>30006</v>
      </c>
      <c r="D998" s="3" t="str">
        <f ca="1">VLOOKUP($C998,OFFSET([1]quests!$A$1,0,0,COUNTA([1]quests!$A:$A),MATCH(D$1,[1]quests!$1:$1,0)-MATCH($C$1,[1]quests!$1:$1,0)+1),MATCH(D$1,[1]quests!$1:$1,0)-MATCH($C$1,[1]quests!$1:$1,0)+1,FALSE)</f>
        <v>それはお前を食べるためさ</v>
      </c>
      <c r="E998" s="3" t="str">
        <f ca="1">VLOOKUP($C998,OFFSET([1]quests!$A$1,0,0,COUNTA([1]quests!$A:$A),MATCH(E$1,[1]quests!$1:$1,0)-MATCH($C$1,[1]quests!$1:$1,0)+1),MATCH(E$1,[1]quests!$1:$1,0)-MATCH($C$1,[1]quests!$1:$1,0)+1,FALSE)</f>
        <v>ドロップイベント2-3（マルチ専用）</v>
      </c>
      <c r="F998" s="5">
        <v>2</v>
      </c>
      <c r="G998" s="3" t="str">
        <f ca="1">VLOOKUP($C998&amp;"_"&amp;$F998,OFFSET([1]stages!$A$1,0,0,COUNTA([1]stages!$A:$A),MATCH(G$1,[1]stages!$2:$2,0)-MATCH("temp_stage",[1]stages!$2:$2,0)+1),MATCH(G$1,[1]stages!$2:$2,0)-MATCH("temp_stage",[1]stages!$2:$2,0)+1,FALSE)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998" s="3" t="str">
        <f ca="1">VLOOKUP($C998&amp;"_"&amp;$F998,OFFSET([1]stages!$A$1,0,0,COUNTA([1]stages!$A:$A),MATCH(H$1,[1]stages!$2:$2,0)-MATCH("temp_stage",[1]stages!$2:$2,0)+1),MATCH(H$1,[1]stages!$2:$2,0)-MATCH("temp_stage",[1]stages!$2:$2,0)+1,FALSE)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998" s="18">
        <v>0</v>
      </c>
      <c r="J998" s="5">
        <f>COUNTIF(C$1:C998,C998)</f>
        <v>7</v>
      </c>
      <c r="K998" s="34">
        <v>11</v>
      </c>
      <c r="L998" s="5" t="s">
        <v>17</v>
      </c>
      <c r="M998" s="38" t="str">
        <f>VLOOKUP(K998,[2]stage_hints!$A:$C,3,FALSE)</f>
        <v>ランク解放クエスト</v>
      </c>
      <c r="N998" s="39" t="str">
        <f>VLOOKUP(K998,[2]stage_hints!$A:$D,4,FALSE)</f>
        <v>一定ランクに到達すると
報酬付きのランク開放クエストが現れます</v>
      </c>
      <c r="O998" s="20" t="s">
        <v>24</v>
      </c>
      <c r="P998">
        <v>11</v>
      </c>
    </row>
    <row r="999" spans="1:16" x14ac:dyDescent="0.15">
      <c r="A999" s="27" t="str">
        <f t="shared" si="79"/>
        <v>30006_2_8</v>
      </c>
      <c r="B999" s="25" t="s">
        <v>34</v>
      </c>
      <c r="C999" s="4">
        <v>30006</v>
      </c>
      <c r="D999" s="3" t="str">
        <f ca="1">VLOOKUP($C999,OFFSET([1]quests!$A$1,0,0,COUNTA([1]quests!$A:$A),MATCH(D$1,[1]quests!$1:$1,0)-MATCH($C$1,[1]quests!$1:$1,0)+1),MATCH(D$1,[1]quests!$1:$1,0)-MATCH($C$1,[1]quests!$1:$1,0)+1,FALSE)</f>
        <v>それはお前を食べるためさ</v>
      </c>
      <c r="E999" s="3" t="str">
        <f ca="1">VLOOKUP($C999,OFFSET([1]quests!$A$1,0,0,COUNTA([1]quests!$A:$A),MATCH(E$1,[1]quests!$1:$1,0)-MATCH($C$1,[1]quests!$1:$1,0)+1),MATCH(E$1,[1]quests!$1:$1,0)-MATCH($C$1,[1]quests!$1:$1,0)+1,FALSE)</f>
        <v>ドロップイベント2-3（マルチ専用）</v>
      </c>
      <c r="F999" s="5">
        <v>2</v>
      </c>
      <c r="G999" s="3" t="str">
        <f ca="1">VLOOKUP($C999&amp;"_"&amp;$F999,OFFSET([1]stages!$A$1,0,0,COUNTA([1]stages!$A:$A),MATCH(G$1,[1]stages!$2:$2,0)-MATCH("temp_stage",[1]stages!$2:$2,0)+1),MATCH(G$1,[1]stages!$2:$2,0)-MATCH("temp_stage",[1]stages!$2:$2,0)+1,FALSE)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999" s="3" t="str">
        <f ca="1">VLOOKUP($C999&amp;"_"&amp;$F999,OFFSET([1]stages!$A$1,0,0,COUNTA([1]stages!$A:$A),MATCH(H$1,[1]stages!$2:$2,0)-MATCH("temp_stage",[1]stages!$2:$2,0)+1),MATCH(H$1,[1]stages!$2:$2,0)-MATCH("temp_stage",[1]stages!$2:$2,0)+1,FALSE)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999" s="18">
        <v>0</v>
      </c>
      <c r="J999" s="5">
        <f>COUNTIF(C$1:C999,C999)</f>
        <v>8</v>
      </c>
      <c r="K999" s="34">
        <v>12</v>
      </c>
      <c r="L999" s="5" t="s">
        <v>17</v>
      </c>
      <c r="M999" s="38" t="str">
        <f>VLOOKUP(K999,[2]stage_hints!$A:$C,3,FALSE)</f>
        <v>ユニットのお気に入り登録</v>
      </c>
      <c r="N999" s="39" t="str">
        <f>VLOOKUP(K999,[2]stage_hints!$A:$D,4,FALSE)</f>
        <v>大事なユニットを誤って消さないように
フォルダから「お気に入り登録」しましょう</v>
      </c>
      <c r="O999" s="20" t="s">
        <v>24</v>
      </c>
      <c r="P999">
        <v>12</v>
      </c>
    </row>
    <row r="1000" spans="1:16" x14ac:dyDescent="0.15">
      <c r="A1000" s="27" t="str">
        <f t="shared" si="79"/>
        <v>30006_2_9</v>
      </c>
      <c r="B1000" s="25" t="s">
        <v>34</v>
      </c>
      <c r="C1000" s="4">
        <v>30006</v>
      </c>
      <c r="D1000" s="3" t="str">
        <f ca="1">VLOOKUP($C1000,OFFSET([1]quests!$A$1,0,0,COUNTA([1]quests!$A:$A),MATCH(D$1,[1]quests!$1:$1,0)-MATCH($C$1,[1]quests!$1:$1,0)+1),MATCH(D$1,[1]quests!$1:$1,0)-MATCH($C$1,[1]quests!$1:$1,0)+1,FALSE)</f>
        <v>それはお前を食べるためさ</v>
      </c>
      <c r="E1000" s="3" t="str">
        <f ca="1">VLOOKUP($C1000,OFFSET([1]quests!$A$1,0,0,COUNTA([1]quests!$A:$A),MATCH(E$1,[1]quests!$1:$1,0)-MATCH($C$1,[1]quests!$1:$1,0)+1),MATCH(E$1,[1]quests!$1:$1,0)-MATCH($C$1,[1]quests!$1:$1,0)+1,FALSE)</f>
        <v>ドロップイベント2-3（マルチ専用）</v>
      </c>
      <c r="F1000" s="5">
        <v>2</v>
      </c>
      <c r="G1000" s="3" t="str">
        <f ca="1">VLOOKUP($C1000&amp;"_"&amp;$F1000,OFFSET([1]stages!$A$1,0,0,COUNTA([1]stages!$A:$A),MATCH(G$1,[1]stages!$2:$2,0)-MATCH("temp_stage",[1]stages!$2:$2,0)+1),MATCH(G$1,[1]stages!$2:$2,0)-MATCH("temp_stage",[1]stages!$2:$2,0)+1,FALSE)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0" s="3" t="str">
        <f ca="1">VLOOKUP($C1000&amp;"_"&amp;$F1000,OFFSET([1]stages!$A$1,0,0,COUNTA([1]stages!$A:$A),MATCH(H$1,[1]stages!$2:$2,0)-MATCH("temp_stage",[1]stages!$2:$2,0)+1),MATCH(H$1,[1]stages!$2:$2,0)-MATCH("temp_stage",[1]stages!$2:$2,0)+1,FALSE)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0" s="18">
        <v>0</v>
      </c>
      <c r="J1000" s="5">
        <f>COUNTIF(C$1:C1000,C1000)</f>
        <v>9</v>
      </c>
      <c r="K1000" s="34">
        <v>13</v>
      </c>
      <c r="L1000" s="5" t="s">
        <v>17</v>
      </c>
      <c r="M1000" s="38" t="str">
        <f>VLOOKUP(K1000,[2]stage_hints!$A:$C,3,FALSE)</f>
        <v>ユニットの覚醒</v>
      </c>
      <c r="N1000" s="39" t="str">
        <f>VLOOKUP(K1000,[2]stage_hints!$A:$D,4,FALSE)</f>
        <v>ユニットを覚醒させると
比べものにならない強さが手に入ります</v>
      </c>
      <c r="O1000" s="20" t="s">
        <v>24</v>
      </c>
      <c r="P1000">
        <v>13</v>
      </c>
    </row>
    <row r="1001" spans="1:16" x14ac:dyDescent="0.15">
      <c r="A1001" s="27" t="str">
        <f t="shared" si="79"/>
        <v>30006_2_10</v>
      </c>
      <c r="B1001" s="25" t="s">
        <v>34</v>
      </c>
      <c r="C1001" s="4">
        <v>30006</v>
      </c>
      <c r="D1001" s="3" t="str">
        <f ca="1">VLOOKUP($C1001,OFFSET([1]quests!$A$1,0,0,COUNTA([1]quests!$A:$A),MATCH(D$1,[1]quests!$1:$1,0)-MATCH($C$1,[1]quests!$1:$1,0)+1),MATCH(D$1,[1]quests!$1:$1,0)-MATCH($C$1,[1]quests!$1:$1,0)+1,FALSE)</f>
        <v>それはお前を食べるためさ</v>
      </c>
      <c r="E1001" s="3" t="str">
        <f ca="1">VLOOKUP($C1001,OFFSET([1]quests!$A$1,0,0,COUNTA([1]quests!$A:$A),MATCH(E$1,[1]quests!$1:$1,0)-MATCH($C$1,[1]quests!$1:$1,0)+1),MATCH(E$1,[1]quests!$1:$1,0)-MATCH($C$1,[1]quests!$1:$1,0)+1,FALSE)</f>
        <v>ドロップイベント2-3（マルチ専用）</v>
      </c>
      <c r="F1001" s="5">
        <v>2</v>
      </c>
      <c r="G1001" s="3" t="str">
        <f ca="1">VLOOKUP($C1001&amp;"_"&amp;$F1001,OFFSET([1]stages!$A$1,0,0,COUNTA([1]stages!$A:$A),MATCH(G$1,[1]stages!$2:$2,0)-MATCH("temp_stage",[1]stages!$2:$2,0)+1),MATCH(G$1,[1]stages!$2:$2,0)-MATCH("temp_stage",[1]stages!$2:$2,0)+1,FALSE)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1" s="3" t="str">
        <f ca="1">VLOOKUP($C1001&amp;"_"&amp;$F1001,OFFSET([1]stages!$A$1,0,0,COUNTA([1]stages!$A:$A),MATCH(H$1,[1]stages!$2:$2,0)-MATCH("temp_stage",[1]stages!$2:$2,0)+1),MATCH(H$1,[1]stages!$2:$2,0)-MATCH("temp_stage",[1]stages!$2:$2,0)+1,FALSE)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1" s="18">
        <v>0</v>
      </c>
      <c r="J1001" s="5">
        <f>COUNTIF(C$1:C1001,C1001)</f>
        <v>10</v>
      </c>
      <c r="K1001" s="34">
        <v>14</v>
      </c>
      <c r="L1001" s="5" t="s">
        <v>17</v>
      </c>
      <c r="M1001" s="38" t="str">
        <f>VLOOKUP(K1001,[2]stage_hints!$A:$C,3,FALSE)</f>
        <v>覚醒するにはレベルを最大に</v>
      </c>
      <c r="N1001" s="39" t="str">
        <f>VLOOKUP(K1001,[2]stage_hints!$A:$D,4,FALSE)</f>
        <v>覚醒するにはユニットのレベルを
最大まで上げる必要があります</v>
      </c>
      <c r="O1001" s="20" t="s">
        <v>24</v>
      </c>
      <c r="P1001">
        <v>14</v>
      </c>
    </row>
    <row r="1002" spans="1:16" x14ac:dyDescent="0.15">
      <c r="A1002" s="27" t="str">
        <f t="shared" si="79"/>
        <v>30006_2_11</v>
      </c>
      <c r="B1002" s="25" t="s">
        <v>34</v>
      </c>
      <c r="C1002" s="4">
        <v>30006</v>
      </c>
      <c r="D1002" s="3" t="str">
        <f ca="1">VLOOKUP($C1002,OFFSET([1]quests!$A$1,0,0,COUNTA([1]quests!$A:$A),MATCH(D$1,[1]quests!$1:$1,0)-MATCH($C$1,[1]quests!$1:$1,0)+1),MATCH(D$1,[1]quests!$1:$1,0)-MATCH($C$1,[1]quests!$1:$1,0)+1,FALSE)</f>
        <v>それはお前を食べるためさ</v>
      </c>
      <c r="E1002" s="3" t="str">
        <f ca="1">VLOOKUP($C1002,OFFSET([1]quests!$A$1,0,0,COUNTA([1]quests!$A:$A),MATCH(E$1,[1]quests!$1:$1,0)-MATCH($C$1,[1]quests!$1:$1,0)+1),MATCH(E$1,[1]quests!$1:$1,0)-MATCH($C$1,[1]quests!$1:$1,0)+1,FALSE)</f>
        <v>ドロップイベント2-3（マルチ専用）</v>
      </c>
      <c r="F1002" s="5">
        <v>2</v>
      </c>
      <c r="G1002" s="3" t="str">
        <f ca="1">VLOOKUP($C1002&amp;"_"&amp;$F1002,OFFSET([1]stages!$A$1,0,0,COUNTA([1]stages!$A:$A),MATCH(G$1,[1]stages!$2:$2,0)-MATCH("temp_stage",[1]stages!$2:$2,0)+1),MATCH(G$1,[1]stages!$2:$2,0)-MATCH("temp_stage",[1]stages!$2:$2,0)+1,FALSE)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2" s="3" t="str">
        <f ca="1">VLOOKUP($C1002&amp;"_"&amp;$F1002,OFFSET([1]stages!$A$1,0,0,COUNTA([1]stages!$A:$A),MATCH(H$1,[1]stages!$2:$2,0)-MATCH("temp_stage",[1]stages!$2:$2,0)+1),MATCH(H$1,[1]stages!$2:$2,0)-MATCH("temp_stage",[1]stages!$2:$2,0)+1,FALSE)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2" s="18">
        <v>0</v>
      </c>
      <c r="J1002" s="5">
        <f>COUNTIF(C$1:C1002,C1002)</f>
        <v>11</v>
      </c>
      <c r="K1002" s="34">
        <v>15</v>
      </c>
      <c r="L1002" s="5" t="s">
        <v>17</v>
      </c>
      <c r="M1002" s="38" t="str">
        <f>VLOOKUP(K1002,[2]stage_hints!$A:$C,3,FALSE)</f>
        <v>覚醒素材を獲得</v>
      </c>
      <c r="N1002" s="39" t="str">
        <f>VLOOKUP(K1002,[2]stage_hints!$A:$D,4,FALSE)</f>
        <v>「曜日クエスト」では
ユニットの覚醒に必要な素材が手に入ります</v>
      </c>
      <c r="O1002" s="20" t="s">
        <v>24</v>
      </c>
      <c r="P1002">
        <v>15</v>
      </c>
    </row>
    <row r="1003" spans="1:16" x14ac:dyDescent="0.15">
      <c r="A1003" s="27" t="str">
        <f t="shared" si="79"/>
        <v>30006_2_12</v>
      </c>
      <c r="B1003" s="25" t="s">
        <v>34</v>
      </c>
      <c r="C1003" s="4">
        <v>30006</v>
      </c>
      <c r="D1003" s="3" t="str">
        <f ca="1">VLOOKUP($C1003,OFFSET([1]quests!$A$1,0,0,COUNTA([1]quests!$A:$A),MATCH(D$1,[1]quests!$1:$1,0)-MATCH($C$1,[1]quests!$1:$1,0)+1),MATCH(D$1,[1]quests!$1:$1,0)-MATCH($C$1,[1]quests!$1:$1,0)+1,FALSE)</f>
        <v>それはお前を食べるためさ</v>
      </c>
      <c r="E1003" s="3" t="str">
        <f ca="1">VLOOKUP($C1003,OFFSET([1]quests!$A$1,0,0,COUNTA([1]quests!$A:$A),MATCH(E$1,[1]quests!$1:$1,0)-MATCH($C$1,[1]quests!$1:$1,0)+1),MATCH(E$1,[1]quests!$1:$1,0)-MATCH($C$1,[1]quests!$1:$1,0)+1,FALSE)</f>
        <v>ドロップイベント2-3（マルチ専用）</v>
      </c>
      <c r="F1003" s="5">
        <v>2</v>
      </c>
      <c r="G1003" s="3" t="str">
        <f ca="1">VLOOKUP($C1003&amp;"_"&amp;$F1003,OFFSET([1]stages!$A$1,0,0,COUNTA([1]stages!$A:$A),MATCH(G$1,[1]stages!$2:$2,0)-MATCH("temp_stage",[1]stages!$2:$2,0)+1),MATCH(G$1,[1]stages!$2:$2,0)-MATCH("temp_stage",[1]stages!$2:$2,0)+1,FALSE)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3" s="3" t="str">
        <f ca="1">VLOOKUP($C1003&amp;"_"&amp;$F1003,OFFSET([1]stages!$A$1,0,0,COUNTA([1]stages!$A:$A),MATCH(H$1,[1]stages!$2:$2,0)-MATCH("temp_stage",[1]stages!$2:$2,0)+1),MATCH(H$1,[1]stages!$2:$2,0)-MATCH("temp_stage",[1]stages!$2:$2,0)+1,FALSE)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3" s="18">
        <v>0</v>
      </c>
      <c r="J1003" s="5">
        <f>COUNTIF(C$1:C1003,C1003)</f>
        <v>12</v>
      </c>
      <c r="K1003" s="34">
        <v>16</v>
      </c>
      <c r="L1003" s="5" t="s">
        <v>17</v>
      </c>
      <c r="M1003" s="38" t="str">
        <f>VLOOKUP(K1003,[2]stage_hints!$A:$C,3,FALSE)</f>
        <v>マルチプレイのメリット（その1）</v>
      </c>
      <c r="N1003" s="39" t="str">
        <f>VLOOKUP(K1003,[2]stage_hints!$A:$D,4,FALSE)</f>
        <v>他のプレイヤーとマルチプレイで遊ぶと
ポリゴンがもらえます（100人まで）</v>
      </c>
      <c r="O1003" s="20" t="s">
        <v>24</v>
      </c>
      <c r="P1003">
        <v>16</v>
      </c>
    </row>
    <row r="1004" spans="1:16" x14ac:dyDescent="0.15">
      <c r="A1004" s="27" t="str">
        <f t="shared" si="79"/>
        <v>30006_2_13</v>
      </c>
      <c r="B1004" s="25" t="s">
        <v>34</v>
      </c>
      <c r="C1004" s="4">
        <v>30006</v>
      </c>
      <c r="D1004" s="3" t="str">
        <f ca="1">VLOOKUP($C1004,OFFSET([1]quests!$A$1,0,0,COUNTA([1]quests!$A:$A),MATCH(D$1,[1]quests!$1:$1,0)-MATCH($C$1,[1]quests!$1:$1,0)+1),MATCH(D$1,[1]quests!$1:$1,0)-MATCH($C$1,[1]quests!$1:$1,0)+1,FALSE)</f>
        <v>それはお前を食べるためさ</v>
      </c>
      <c r="E1004" s="3" t="str">
        <f ca="1">VLOOKUP($C1004,OFFSET([1]quests!$A$1,0,0,COUNTA([1]quests!$A:$A),MATCH(E$1,[1]quests!$1:$1,0)-MATCH($C$1,[1]quests!$1:$1,0)+1),MATCH(E$1,[1]quests!$1:$1,0)-MATCH($C$1,[1]quests!$1:$1,0)+1,FALSE)</f>
        <v>ドロップイベント2-3（マルチ専用）</v>
      </c>
      <c r="F1004" s="5">
        <v>2</v>
      </c>
      <c r="G1004" s="3" t="str">
        <f ca="1">VLOOKUP($C1004&amp;"_"&amp;$F1004,OFFSET([1]stages!$A$1,0,0,COUNTA([1]stages!$A:$A),MATCH(G$1,[1]stages!$2:$2,0)-MATCH("temp_stage",[1]stages!$2:$2,0)+1),MATCH(G$1,[1]stages!$2:$2,0)-MATCH("temp_stage",[1]stages!$2:$2,0)+1,FALSE)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4" s="3" t="str">
        <f ca="1">VLOOKUP($C1004&amp;"_"&amp;$F1004,OFFSET([1]stages!$A$1,0,0,COUNTA([1]stages!$A:$A),MATCH(H$1,[1]stages!$2:$2,0)-MATCH("temp_stage",[1]stages!$2:$2,0)+1),MATCH(H$1,[1]stages!$2:$2,0)-MATCH("temp_stage",[1]stages!$2:$2,0)+1,FALSE)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4" s="18">
        <v>0</v>
      </c>
      <c r="J1004" s="5">
        <f>COUNTIF(C$1:C1004,C1004)</f>
        <v>13</v>
      </c>
      <c r="K1004" s="34">
        <v>17</v>
      </c>
      <c r="L1004" s="5" t="s">
        <v>17</v>
      </c>
      <c r="M1004" s="38" t="str">
        <f>VLOOKUP(K1004,[2]stage_hints!$A:$C,3,FALSE)</f>
        <v>リンクガチャ</v>
      </c>
      <c r="N1004" s="39" t="str">
        <f>VLOOKUP(K1004,[2]stage_hints!$A:$D,4,FALSE)</f>
        <v>無料のリンクガチャを回して
経験値素材や売却素材を獲得しましょう</v>
      </c>
      <c r="O1004" s="20" t="s">
        <v>24</v>
      </c>
      <c r="P1004">
        <v>17</v>
      </c>
    </row>
    <row r="1005" spans="1:16" x14ac:dyDescent="0.15">
      <c r="A1005" s="27" t="str">
        <f t="shared" si="79"/>
        <v>30006_2_14</v>
      </c>
      <c r="B1005" s="25" t="s">
        <v>34</v>
      </c>
      <c r="C1005" s="4">
        <v>30006</v>
      </c>
      <c r="D1005" s="3" t="str">
        <f ca="1">VLOOKUP($C1005,OFFSET([1]quests!$A$1,0,0,COUNTA([1]quests!$A:$A),MATCH(D$1,[1]quests!$1:$1,0)-MATCH($C$1,[1]quests!$1:$1,0)+1),MATCH(D$1,[1]quests!$1:$1,0)-MATCH($C$1,[1]quests!$1:$1,0)+1,FALSE)</f>
        <v>それはお前を食べるためさ</v>
      </c>
      <c r="E1005" s="3" t="str">
        <f ca="1">VLOOKUP($C1005,OFFSET([1]quests!$A$1,0,0,COUNTA([1]quests!$A:$A),MATCH(E$1,[1]quests!$1:$1,0)-MATCH($C$1,[1]quests!$1:$1,0)+1),MATCH(E$1,[1]quests!$1:$1,0)-MATCH($C$1,[1]quests!$1:$1,0)+1,FALSE)</f>
        <v>ドロップイベント2-3（マルチ専用）</v>
      </c>
      <c r="F1005" s="5">
        <v>2</v>
      </c>
      <c r="G1005" s="3" t="str">
        <f ca="1">VLOOKUP($C1005&amp;"_"&amp;$F1005,OFFSET([1]stages!$A$1,0,0,COUNTA([1]stages!$A:$A),MATCH(G$1,[1]stages!$2:$2,0)-MATCH("temp_stage",[1]stages!$2:$2,0)+1),MATCH(G$1,[1]stages!$2:$2,0)-MATCH("temp_stage",[1]stages!$2:$2,0)+1,FALSE)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5" s="3" t="str">
        <f ca="1">VLOOKUP($C1005&amp;"_"&amp;$F1005,OFFSET([1]stages!$A$1,0,0,COUNTA([1]stages!$A:$A),MATCH(H$1,[1]stages!$2:$2,0)-MATCH("temp_stage",[1]stages!$2:$2,0)+1),MATCH(H$1,[1]stages!$2:$2,0)-MATCH("temp_stage",[1]stages!$2:$2,0)+1,FALSE)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5" s="18">
        <v>0</v>
      </c>
      <c r="J1005" s="5">
        <f>COUNTIF(C$1:C1005,C1005)</f>
        <v>14</v>
      </c>
      <c r="K1005" s="34">
        <v>18</v>
      </c>
      <c r="L1005" s="5" t="s">
        <v>17</v>
      </c>
      <c r="M1005" s="38" t="str">
        <f>VLOOKUP(K1005,[2]stage_hints!$A:$C,3,FALSE)</f>
        <v>マルチプレイのメリット（その2）</v>
      </c>
      <c r="N1005" s="39" t="str">
        <f>VLOOKUP(K1005,[2]stage_hints!$A:$D,4,FALSE)</f>
        <v>マルチプレイならリンクが2倍もらえます
リンクガチャをたくさん回しましょう</v>
      </c>
      <c r="O1005" s="20" t="s">
        <v>24</v>
      </c>
      <c r="P1005">
        <v>18</v>
      </c>
    </row>
    <row r="1006" spans="1:16" x14ac:dyDescent="0.15">
      <c r="A1006" s="27" t="str">
        <f t="shared" si="79"/>
        <v>30006_2_15</v>
      </c>
      <c r="B1006" s="25" t="s">
        <v>34</v>
      </c>
      <c r="C1006" s="4">
        <v>30006</v>
      </c>
      <c r="D1006" s="3" t="str">
        <f ca="1">VLOOKUP($C1006,OFFSET([1]quests!$A$1,0,0,COUNTA([1]quests!$A:$A),MATCH(D$1,[1]quests!$1:$1,0)-MATCH($C$1,[1]quests!$1:$1,0)+1),MATCH(D$1,[1]quests!$1:$1,0)-MATCH($C$1,[1]quests!$1:$1,0)+1,FALSE)</f>
        <v>それはお前を食べるためさ</v>
      </c>
      <c r="E1006" s="3" t="str">
        <f ca="1">VLOOKUP($C1006,OFFSET([1]quests!$A$1,0,0,COUNTA([1]quests!$A:$A),MATCH(E$1,[1]quests!$1:$1,0)-MATCH($C$1,[1]quests!$1:$1,0)+1),MATCH(E$1,[1]quests!$1:$1,0)-MATCH($C$1,[1]quests!$1:$1,0)+1,FALSE)</f>
        <v>ドロップイベント2-3（マルチ専用）</v>
      </c>
      <c r="F1006" s="5">
        <v>2</v>
      </c>
      <c r="G1006" s="3" t="str">
        <f ca="1">VLOOKUP($C1006&amp;"_"&amp;$F1006,OFFSET([1]stages!$A$1,0,0,COUNTA([1]stages!$A:$A),MATCH(G$1,[1]stages!$2:$2,0)-MATCH("temp_stage",[1]stages!$2:$2,0)+1),MATCH(G$1,[1]stages!$2:$2,0)-MATCH("temp_stage",[1]stages!$2:$2,0)+1,FALSE)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6" s="3" t="str">
        <f ca="1">VLOOKUP($C1006&amp;"_"&amp;$F1006,OFFSET([1]stages!$A$1,0,0,COUNTA([1]stages!$A:$A),MATCH(H$1,[1]stages!$2:$2,0)-MATCH("temp_stage",[1]stages!$2:$2,0)+1),MATCH(H$1,[1]stages!$2:$2,0)-MATCH("temp_stage",[1]stages!$2:$2,0)+1,FALSE)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6" s="18">
        <v>0</v>
      </c>
      <c r="J1006" s="5">
        <f>COUNTIF(C$1:C1006,C1006)</f>
        <v>15</v>
      </c>
      <c r="K1006" s="34">
        <v>19</v>
      </c>
      <c r="L1006" s="5" t="s">
        <v>17</v>
      </c>
      <c r="M1006" s="38" t="str">
        <f>VLOOKUP(K1006,[2]stage_hints!$A:$C,3,FALSE)</f>
        <v>ソロ専用チャレンジタワー</v>
      </c>
      <c r="N1006" s="39" t="str">
        <f>VLOOKUP(K1006,[2]stage_hints!$A:$D,4,FALSE)</f>
        <v>ソロ専用の「チャレンジタワー」では
各フロアごとにクリア報酬がもらえます</v>
      </c>
      <c r="O1006" s="20" t="s">
        <v>24</v>
      </c>
      <c r="P1006">
        <v>19</v>
      </c>
    </row>
    <row r="1007" spans="1:16" x14ac:dyDescent="0.15">
      <c r="A1007" s="27" t="str">
        <f t="shared" si="79"/>
        <v>30006_2_16</v>
      </c>
      <c r="B1007" s="25" t="s">
        <v>34</v>
      </c>
      <c r="C1007" s="4">
        <v>30006</v>
      </c>
      <c r="D1007" s="3" t="str">
        <f ca="1">VLOOKUP($C1007,OFFSET([1]quests!$A$1,0,0,COUNTA([1]quests!$A:$A),MATCH(D$1,[1]quests!$1:$1,0)-MATCH($C$1,[1]quests!$1:$1,0)+1),MATCH(D$1,[1]quests!$1:$1,0)-MATCH($C$1,[1]quests!$1:$1,0)+1,FALSE)</f>
        <v>それはお前を食べるためさ</v>
      </c>
      <c r="E1007" s="3" t="str">
        <f ca="1">VLOOKUP($C1007,OFFSET([1]quests!$A$1,0,0,COUNTA([1]quests!$A:$A),MATCH(E$1,[1]quests!$1:$1,0)-MATCH($C$1,[1]quests!$1:$1,0)+1),MATCH(E$1,[1]quests!$1:$1,0)-MATCH($C$1,[1]quests!$1:$1,0)+1,FALSE)</f>
        <v>ドロップイベント2-3（マルチ専用）</v>
      </c>
      <c r="F1007" s="5">
        <v>2</v>
      </c>
      <c r="G1007" s="3" t="str">
        <f ca="1">VLOOKUP($C1007&amp;"_"&amp;$F1007,OFFSET([1]stages!$A$1,0,0,COUNTA([1]stages!$A:$A),MATCH(G$1,[1]stages!$2:$2,0)-MATCH("temp_stage",[1]stages!$2:$2,0)+1),MATCH(G$1,[1]stages!$2:$2,0)-MATCH("temp_stage",[1]stages!$2:$2,0)+1,FALSE)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7" s="3" t="str">
        <f ca="1">VLOOKUP($C1007&amp;"_"&amp;$F1007,OFFSET([1]stages!$A$1,0,0,COUNTA([1]stages!$A:$A),MATCH(H$1,[1]stages!$2:$2,0)-MATCH("temp_stage",[1]stages!$2:$2,0)+1),MATCH(H$1,[1]stages!$2:$2,0)-MATCH("temp_stage",[1]stages!$2:$2,0)+1,FALSE)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7" s="18">
        <v>0</v>
      </c>
      <c r="J1007" s="5">
        <f>COUNTIF(C$1:C1007,C1007)</f>
        <v>16</v>
      </c>
      <c r="K1007" s="34">
        <v>20</v>
      </c>
      <c r="L1007" s="5" t="s">
        <v>17</v>
      </c>
      <c r="M1007" s="38" t="str">
        <f>VLOOKUP(K1007,[2]stage_hints!$A:$C,3,FALSE)</f>
        <v>マルチプレイのメリット（その3）</v>
      </c>
      <c r="N1007" s="39" t="str">
        <f>VLOOKUP(K1007,[2]stage_hints!$A:$D,4,FALSE)</f>
        <v>マルチプレイへの参加はエナジー消費ゼロ
いつでも好きなだけ遊ぶことができます</v>
      </c>
      <c r="O1007" s="20" t="s">
        <v>24</v>
      </c>
      <c r="P1007">
        <v>20</v>
      </c>
    </row>
    <row r="1008" spans="1:16" x14ac:dyDescent="0.15">
      <c r="A1008" s="27" t="str">
        <f t="shared" si="79"/>
        <v>30006_2_17</v>
      </c>
      <c r="B1008" s="25" t="s">
        <v>34</v>
      </c>
      <c r="C1008" s="4">
        <v>30006</v>
      </c>
      <c r="D1008" s="3" t="str">
        <f ca="1">VLOOKUP($C1008,OFFSET([1]quests!$A$1,0,0,COUNTA([1]quests!$A:$A),MATCH(D$1,[1]quests!$1:$1,0)-MATCH($C$1,[1]quests!$1:$1,0)+1),MATCH(D$1,[1]quests!$1:$1,0)-MATCH($C$1,[1]quests!$1:$1,0)+1,FALSE)</f>
        <v>それはお前を食べるためさ</v>
      </c>
      <c r="E1008" s="3" t="str">
        <f ca="1">VLOOKUP($C1008,OFFSET([1]quests!$A$1,0,0,COUNTA([1]quests!$A:$A),MATCH(E$1,[1]quests!$1:$1,0)-MATCH($C$1,[1]quests!$1:$1,0)+1),MATCH(E$1,[1]quests!$1:$1,0)-MATCH($C$1,[1]quests!$1:$1,0)+1,FALSE)</f>
        <v>ドロップイベント2-3（マルチ専用）</v>
      </c>
      <c r="F1008" s="5">
        <v>2</v>
      </c>
      <c r="G1008" s="3" t="str">
        <f ca="1">VLOOKUP($C1008&amp;"_"&amp;$F1008,OFFSET([1]stages!$A$1,0,0,COUNTA([1]stages!$A:$A),MATCH(G$1,[1]stages!$2:$2,0)-MATCH("temp_stage",[1]stages!$2:$2,0)+1),MATCH(G$1,[1]stages!$2:$2,0)-MATCH("temp_stage",[1]stages!$2:$2,0)+1,FALSE)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8" s="3" t="str">
        <f ca="1">VLOOKUP($C1008&amp;"_"&amp;$F1008,OFFSET([1]stages!$A$1,0,0,COUNTA([1]stages!$A:$A),MATCH(H$1,[1]stages!$2:$2,0)-MATCH("temp_stage",[1]stages!$2:$2,0)+1),MATCH(H$1,[1]stages!$2:$2,0)-MATCH("temp_stage",[1]stages!$2:$2,0)+1,FALSE)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8" s="18">
        <v>0</v>
      </c>
      <c r="J1008" s="5">
        <f>COUNTIF(C$1:C1008,C1008)</f>
        <v>17</v>
      </c>
      <c r="K1008" s="34">
        <v>21</v>
      </c>
      <c r="L1008" s="5" t="s">
        <v>17</v>
      </c>
      <c r="M1008" s="38" t="str">
        <f>VLOOKUP(K1008,[2]stage_hints!$A:$C,3,FALSE)</f>
        <v>スキルを有効に</v>
      </c>
      <c r="N1008" s="39" t="str">
        <f>VLOOKUP(K1008,[2]stage_hints!$A:$D,4,FALSE)</f>
        <v>ターン経過でユニットのスキルが使えます
強力スキルでバトルを有利に進めましょう</v>
      </c>
      <c r="O1008" s="20" t="s">
        <v>24</v>
      </c>
      <c r="P1008">
        <v>21</v>
      </c>
    </row>
    <row r="1009" spans="1:16" x14ac:dyDescent="0.15">
      <c r="A1009" s="27" t="str">
        <f t="shared" si="79"/>
        <v>30006_2_18</v>
      </c>
      <c r="B1009" s="25" t="s">
        <v>34</v>
      </c>
      <c r="C1009" s="4">
        <v>30006</v>
      </c>
      <c r="D1009" s="3" t="str">
        <f ca="1">VLOOKUP($C1009,OFFSET([1]quests!$A$1,0,0,COUNTA([1]quests!$A:$A),MATCH(D$1,[1]quests!$1:$1,0)-MATCH($C$1,[1]quests!$1:$1,0)+1),MATCH(D$1,[1]quests!$1:$1,0)-MATCH($C$1,[1]quests!$1:$1,0)+1,FALSE)</f>
        <v>それはお前を食べるためさ</v>
      </c>
      <c r="E1009" s="3" t="str">
        <f ca="1">VLOOKUP($C1009,OFFSET([1]quests!$A$1,0,0,COUNTA([1]quests!$A:$A),MATCH(E$1,[1]quests!$1:$1,0)-MATCH($C$1,[1]quests!$1:$1,0)+1),MATCH(E$1,[1]quests!$1:$1,0)-MATCH($C$1,[1]quests!$1:$1,0)+1,FALSE)</f>
        <v>ドロップイベント2-3（マルチ専用）</v>
      </c>
      <c r="F1009" s="5">
        <v>2</v>
      </c>
      <c r="G1009" s="3" t="str">
        <f ca="1">VLOOKUP($C1009&amp;"_"&amp;$F1009,OFFSET([1]stages!$A$1,0,0,COUNTA([1]stages!$A:$A),MATCH(G$1,[1]stages!$2:$2,0)-MATCH("temp_stage",[1]stages!$2:$2,0)+1),MATCH(G$1,[1]stages!$2:$2,0)-MATCH("temp_stage",[1]stages!$2:$2,0)+1,FALSE)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09" s="3" t="str">
        <f ca="1">VLOOKUP($C1009&amp;"_"&amp;$F1009,OFFSET([1]stages!$A$1,0,0,COUNTA([1]stages!$A:$A),MATCH(H$1,[1]stages!$2:$2,0)-MATCH("temp_stage",[1]stages!$2:$2,0)+1),MATCH(H$1,[1]stages!$2:$2,0)-MATCH("temp_stage",[1]stages!$2:$2,0)+1,FALSE)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09" s="18">
        <v>0</v>
      </c>
      <c r="J1009" s="5">
        <f>COUNTIF(C$1:C1009,C1009)</f>
        <v>18</v>
      </c>
      <c r="K1009" s="34">
        <v>22</v>
      </c>
      <c r="L1009" s="5" t="s">
        <v>17</v>
      </c>
      <c r="M1009" s="38" t="str">
        <f>VLOOKUP(K1009,[2]stage_hints!$A:$C,3,FALSE)</f>
        <v>フィーバーで一発逆転（その1）</v>
      </c>
      <c r="N1009" s="39" t="str">
        <f>VLOOKUP(K1009,[2]stage_hints!$A:$D,4,FALSE)</f>
        <v>フィーバーは攻撃と回復を兼ね備えます
ピンチからの一発逆転を狙いましょう</v>
      </c>
      <c r="O1009" s="20" t="s">
        <v>24</v>
      </c>
      <c r="P1009">
        <v>22</v>
      </c>
    </row>
    <row r="1010" spans="1:16" x14ac:dyDescent="0.15">
      <c r="A1010" s="27" t="str">
        <f t="shared" si="79"/>
        <v>30006_2_19</v>
      </c>
      <c r="B1010" s="25" t="s">
        <v>34</v>
      </c>
      <c r="C1010" s="4">
        <v>30006</v>
      </c>
      <c r="D1010" s="3" t="str">
        <f ca="1">VLOOKUP($C1010,OFFSET([1]quests!$A$1,0,0,COUNTA([1]quests!$A:$A),MATCH(D$1,[1]quests!$1:$1,0)-MATCH($C$1,[1]quests!$1:$1,0)+1),MATCH(D$1,[1]quests!$1:$1,0)-MATCH($C$1,[1]quests!$1:$1,0)+1,FALSE)</f>
        <v>それはお前を食べるためさ</v>
      </c>
      <c r="E1010" s="3" t="str">
        <f ca="1">VLOOKUP($C1010,OFFSET([1]quests!$A$1,0,0,COUNTA([1]quests!$A:$A),MATCH(E$1,[1]quests!$1:$1,0)-MATCH($C$1,[1]quests!$1:$1,0)+1),MATCH(E$1,[1]quests!$1:$1,0)-MATCH($C$1,[1]quests!$1:$1,0)+1,FALSE)</f>
        <v>ドロップイベント2-3（マルチ専用）</v>
      </c>
      <c r="F1010" s="5">
        <v>2</v>
      </c>
      <c r="G1010" s="3" t="str">
        <f ca="1">VLOOKUP($C1010&amp;"_"&amp;$F1010,OFFSET([1]stages!$A$1,0,0,COUNTA([1]stages!$A:$A),MATCH(G$1,[1]stages!$2:$2,0)-MATCH("temp_stage",[1]stages!$2:$2,0)+1),MATCH(G$1,[1]stages!$2:$2,0)-MATCH("temp_stage",[1]stages!$2:$2,0)+1,FALSE)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0" s="3" t="str">
        <f ca="1">VLOOKUP($C1010&amp;"_"&amp;$F1010,OFFSET([1]stages!$A$1,0,0,COUNTA([1]stages!$A:$A),MATCH(H$1,[1]stages!$2:$2,0)-MATCH("temp_stage",[1]stages!$2:$2,0)+1),MATCH(H$1,[1]stages!$2:$2,0)-MATCH("temp_stage",[1]stages!$2:$2,0)+1,FALSE)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0" s="18">
        <v>0</v>
      </c>
      <c r="J1010" s="5">
        <f>COUNTIF(C$1:C1010,C1010)</f>
        <v>19</v>
      </c>
      <c r="K1010" s="34">
        <v>23</v>
      </c>
      <c r="L1010" s="5" t="s">
        <v>17</v>
      </c>
      <c r="M1010" s="38" t="str">
        <f>VLOOKUP(K1010,[2]stage_hints!$A:$C,3,FALSE)</f>
        <v>フィーバーで一発逆転（その2）</v>
      </c>
      <c r="N1010" s="39" t="str">
        <f>VLOOKUP(K1010,[2]stage_hints!$A:$D,4,FALSE)</f>
        <v>フィーバー中は虹色のボムパネルを狙って
画面上のパネルを一気に破壊しましょう</v>
      </c>
      <c r="O1010" s="20" t="s">
        <v>24</v>
      </c>
      <c r="P1010">
        <v>23</v>
      </c>
    </row>
    <row r="1011" spans="1:16" x14ac:dyDescent="0.15">
      <c r="A1011" s="27" t="str">
        <f t="shared" si="79"/>
        <v>30006_2_20</v>
      </c>
      <c r="B1011" s="25" t="s">
        <v>34</v>
      </c>
      <c r="C1011" s="4">
        <v>30006</v>
      </c>
      <c r="D1011" s="3" t="str">
        <f ca="1">VLOOKUP($C1011,OFFSET([1]quests!$A$1,0,0,COUNTA([1]quests!$A:$A),MATCH(D$1,[1]quests!$1:$1,0)-MATCH($C$1,[1]quests!$1:$1,0)+1),MATCH(D$1,[1]quests!$1:$1,0)-MATCH($C$1,[1]quests!$1:$1,0)+1,FALSE)</f>
        <v>それはお前を食べるためさ</v>
      </c>
      <c r="E1011" s="3" t="str">
        <f ca="1">VLOOKUP($C1011,OFFSET([1]quests!$A$1,0,0,COUNTA([1]quests!$A:$A),MATCH(E$1,[1]quests!$1:$1,0)-MATCH($C$1,[1]quests!$1:$1,0)+1),MATCH(E$1,[1]quests!$1:$1,0)-MATCH($C$1,[1]quests!$1:$1,0)+1,FALSE)</f>
        <v>ドロップイベント2-3（マルチ専用）</v>
      </c>
      <c r="F1011" s="5">
        <v>2</v>
      </c>
      <c r="G1011" s="3" t="str">
        <f ca="1">VLOOKUP($C1011&amp;"_"&amp;$F1011,OFFSET([1]stages!$A$1,0,0,COUNTA([1]stages!$A:$A),MATCH(G$1,[1]stages!$2:$2,0)-MATCH("temp_stage",[1]stages!$2:$2,0)+1),MATCH(G$1,[1]stages!$2:$2,0)-MATCH("temp_stage",[1]stages!$2:$2,0)+1,FALSE)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1" s="3" t="str">
        <f ca="1">VLOOKUP($C1011&amp;"_"&amp;$F1011,OFFSET([1]stages!$A$1,0,0,COUNTA([1]stages!$A:$A),MATCH(H$1,[1]stages!$2:$2,0)-MATCH("temp_stage",[1]stages!$2:$2,0)+1),MATCH(H$1,[1]stages!$2:$2,0)-MATCH("temp_stage",[1]stages!$2:$2,0)+1,FALSE)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1" s="18">
        <v>0</v>
      </c>
      <c r="J1011" s="5">
        <f>COUNTIF(C$1:C1011,C1011)</f>
        <v>20</v>
      </c>
      <c r="K1011" s="34">
        <v>24</v>
      </c>
      <c r="L1011" s="5" t="s">
        <v>17</v>
      </c>
      <c r="M1011" s="38" t="str">
        <f>VLOOKUP(K1011,[2]stage_hints!$A:$C,3,FALSE)</f>
        <v>りんごを使って限界突破</v>
      </c>
      <c r="N1011" s="39" t="str">
        <f>VLOOKUP(K1011,[2]stage_hints!$A:$D,4,FALSE)</f>
        <v>赤りんご(攻撃力) 青りんご(回復力)
緑りんご(体力)をユニット強化に使うと
ステータスが限界突破します（計99個迄）</v>
      </c>
      <c r="O1011" s="20" t="s">
        <v>24</v>
      </c>
      <c r="P1011">
        <v>24</v>
      </c>
    </row>
    <row r="1012" spans="1:16" x14ac:dyDescent="0.15">
      <c r="A1012" s="27" t="str">
        <f t="shared" si="79"/>
        <v>30006_2_21</v>
      </c>
      <c r="B1012" s="25" t="s">
        <v>34</v>
      </c>
      <c r="C1012" s="4">
        <v>30006</v>
      </c>
      <c r="D1012" s="3" t="str">
        <f ca="1">VLOOKUP($C1012,OFFSET([1]quests!$A$1,0,0,COUNTA([1]quests!$A:$A),MATCH(D$1,[1]quests!$1:$1,0)-MATCH($C$1,[1]quests!$1:$1,0)+1),MATCH(D$1,[1]quests!$1:$1,0)-MATCH($C$1,[1]quests!$1:$1,0)+1,FALSE)</f>
        <v>それはお前を食べるためさ</v>
      </c>
      <c r="E1012" s="3" t="str">
        <f ca="1">VLOOKUP($C1012,OFFSET([1]quests!$A$1,0,0,COUNTA([1]quests!$A:$A),MATCH(E$1,[1]quests!$1:$1,0)-MATCH($C$1,[1]quests!$1:$1,0)+1),MATCH(E$1,[1]quests!$1:$1,0)-MATCH($C$1,[1]quests!$1:$1,0)+1,FALSE)</f>
        <v>ドロップイベント2-3（マルチ専用）</v>
      </c>
      <c r="F1012" s="5">
        <v>2</v>
      </c>
      <c r="G1012" s="3" t="str">
        <f ca="1">VLOOKUP($C1012&amp;"_"&amp;$F1012,OFFSET([1]stages!$A$1,0,0,COUNTA([1]stages!$A:$A),MATCH(G$1,[1]stages!$2:$2,0)-MATCH("temp_stage",[1]stages!$2:$2,0)+1),MATCH(G$1,[1]stages!$2:$2,0)-MATCH("temp_stage",[1]stages!$2:$2,0)+1,FALSE)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2" s="3" t="str">
        <f ca="1">VLOOKUP($C1012&amp;"_"&amp;$F1012,OFFSET([1]stages!$A$1,0,0,COUNTA([1]stages!$A:$A),MATCH(H$1,[1]stages!$2:$2,0)-MATCH("temp_stage",[1]stages!$2:$2,0)+1),MATCH(H$1,[1]stages!$2:$2,0)-MATCH("temp_stage",[1]stages!$2:$2,0)+1,FALSE)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2" s="18">
        <v>0</v>
      </c>
      <c r="J1012" s="5">
        <f>COUNTIF(C$1:C1012,C1012)</f>
        <v>21</v>
      </c>
      <c r="K1012" s="34">
        <v>25</v>
      </c>
      <c r="L1012" s="5" t="s">
        <v>17</v>
      </c>
      <c r="M1012" s="38" t="str">
        <f>VLOOKUP(K1012,[2]stage_hints!$A:$C,3,FALSE)</f>
        <v>スキルレベルアップ</v>
      </c>
      <c r="N1012" s="39" t="str">
        <f>VLOOKUP(K1012,[2]stage_hints!$A:$D,4,FALSE)</f>
        <v>「クリスタルのりんご」を強化に使うと
スキルレベルを上げることができます</v>
      </c>
      <c r="O1012" s="20" t="s">
        <v>24</v>
      </c>
      <c r="P1012">
        <v>25</v>
      </c>
    </row>
    <row r="1013" spans="1:16" x14ac:dyDescent="0.15">
      <c r="A1013" s="27" t="str">
        <f t="shared" si="79"/>
        <v>30006_2_22</v>
      </c>
      <c r="B1013" s="25" t="s">
        <v>34</v>
      </c>
      <c r="C1013" s="4">
        <v>30006</v>
      </c>
      <c r="D1013" s="3" t="str">
        <f ca="1">VLOOKUP($C1013,OFFSET([1]quests!$A$1,0,0,COUNTA([1]quests!$A:$A),MATCH(D$1,[1]quests!$1:$1,0)-MATCH($C$1,[1]quests!$1:$1,0)+1),MATCH(D$1,[1]quests!$1:$1,0)-MATCH($C$1,[1]quests!$1:$1,0)+1,FALSE)</f>
        <v>それはお前を食べるためさ</v>
      </c>
      <c r="E1013" s="3" t="str">
        <f ca="1">VLOOKUP($C1013,OFFSET([1]quests!$A$1,0,0,COUNTA([1]quests!$A:$A),MATCH(E$1,[1]quests!$1:$1,0)-MATCH($C$1,[1]quests!$1:$1,0)+1),MATCH(E$1,[1]quests!$1:$1,0)-MATCH($C$1,[1]quests!$1:$1,0)+1,FALSE)</f>
        <v>ドロップイベント2-3（マルチ専用）</v>
      </c>
      <c r="F1013" s="5">
        <v>2</v>
      </c>
      <c r="G1013" s="3" t="str">
        <f ca="1">VLOOKUP($C1013&amp;"_"&amp;$F1013,OFFSET([1]stages!$A$1,0,0,COUNTA([1]stages!$A:$A),MATCH(G$1,[1]stages!$2:$2,0)-MATCH("temp_stage",[1]stages!$2:$2,0)+1),MATCH(G$1,[1]stages!$2:$2,0)-MATCH("temp_stage",[1]stages!$2:$2,0)+1,FALSE)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3" s="3" t="str">
        <f ca="1">VLOOKUP($C1013&amp;"_"&amp;$F1013,OFFSET([1]stages!$A$1,0,0,COUNTA([1]stages!$A:$A),MATCH(H$1,[1]stages!$2:$2,0)-MATCH("temp_stage",[1]stages!$2:$2,0)+1),MATCH(H$1,[1]stages!$2:$2,0)-MATCH("temp_stage",[1]stages!$2:$2,0)+1,FALSE)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3" s="18">
        <v>0</v>
      </c>
      <c r="J1013" s="5">
        <f>COUNTIF(C$1:C1013,C1013)</f>
        <v>22</v>
      </c>
      <c r="K1013" s="34">
        <v>26</v>
      </c>
      <c r="L1013" s="5" t="s">
        <v>17</v>
      </c>
      <c r="M1013" s="38" t="str">
        <f>VLOOKUP(K1013,[2]stage_hints!$A:$C,3,FALSE)</f>
        <v>スキルレベルの効果</v>
      </c>
      <c r="N1013" s="39" t="str">
        <f>VLOOKUP(K1013,[2]stage_hints!$A:$D,4,FALSE)</f>
        <v>スキルレベルが上がると
短いターンでスキルを使うことができます</v>
      </c>
      <c r="O1013" s="20" t="s">
        <v>24</v>
      </c>
      <c r="P1013">
        <v>26</v>
      </c>
    </row>
    <row r="1014" spans="1:16" x14ac:dyDescent="0.15">
      <c r="A1014" s="27" t="str">
        <f t="shared" si="79"/>
        <v>30006_2_23</v>
      </c>
      <c r="B1014" s="25" t="s">
        <v>34</v>
      </c>
      <c r="C1014" s="4">
        <v>30006</v>
      </c>
      <c r="D1014" s="3" t="str">
        <f ca="1">VLOOKUP($C1014,OFFSET([1]quests!$A$1,0,0,COUNTA([1]quests!$A:$A),MATCH(D$1,[1]quests!$1:$1,0)-MATCH($C$1,[1]quests!$1:$1,0)+1),MATCH(D$1,[1]quests!$1:$1,0)-MATCH($C$1,[1]quests!$1:$1,0)+1,FALSE)</f>
        <v>それはお前を食べるためさ</v>
      </c>
      <c r="E1014" s="3" t="str">
        <f ca="1">VLOOKUP($C1014,OFFSET([1]quests!$A$1,0,0,COUNTA([1]quests!$A:$A),MATCH(E$1,[1]quests!$1:$1,0)-MATCH($C$1,[1]quests!$1:$1,0)+1),MATCH(E$1,[1]quests!$1:$1,0)-MATCH($C$1,[1]quests!$1:$1,0)+1,FALSE)</f>
        <v>ドロップイベント2-3（マルチ専用）</v>
      </c>
      <c r="F1014" s="5">
        <v>2</v>
      </c>
      <c r="G1014" s="3" t="str">
        <f ca="1">VLOOKUP($C1014&amp;"_"&amp;$F1014,OFFSET([1]stages!$A$1,0,0,COUNTA([1]stages!$A:$A),MATCH(G$1,[1]stages!$2:$2,0)-MATCH("temp_stage",[1]stages!$2:$2,0)+1),MATCH(G$1,[1]stages!$2:$2,0)-MATCH("temp_stage",[1]stages!$2:$2,0)+1,FALSE)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4" s="3" t="str">
        <f ca="1">VLOOKUP($C1014&amp;"_"&amp;$F1014,OFFSET([1]stages!$A$1,0,0,COUNTA([1]stages!$A:$A),MATCH(H$1,[1]stages!$2:$2,0)-MATCH("temp_stage",[1]stages!$2:$2,0)+1),MATCH(H$1,[1]stages!$2:$2,0)-MATCH("temp_stage",[1]stages!$2:$2,0)+1,FALSE)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4" s="18">
        <v>0</v>
      </c>
      <c r="J1014" s="5">
        <f>COUNTIF(C$1:C1014,C1014)</f>
        <v>23</v>
      </c>
      <c r="K1014" s="34">
        <v>27</v>
      </c>
      <c r="L1014" s="5" t="s">
        <v>17</v>
      </c>
      <c r="M1014" s="38" t="str">
        <f>VLOOKUP(K1014,[2]stage_hints!$A:$C,3,FALSE)</f>
        <v>ホーム画面からデッキを編成</v>
      </c>
      <c r="N1014" s="39" t="str">
        <f>VLOOKUP(K1014,[2]stage_hints!$A:$D,4,FALSE)</f>
        <v>ホーム画面でユニットを長押しすると
すぐにパーティ編成に移動できます</v>
      </c>
      <c r="O1014" s="20" t="s">
        <v>24</v>
      </c>
      <c r="P1014">
        <v>27</v>
      </c>
    </row>
    <row r="1015" spans="1:16" x14ac:dyDescent="0.15">
      <c r="A1015" s="27" t="str">
        <f t="shared" si="79"/>
        <v>30006_2_24</v>
      </c>
      <c r="B1015" s="25" t="s">
        <v>34</v>
      </c>
      <c r="C1015" s="4">
        <v>30006</v>
      </c>
      <c r="D1015" s="3" t="str">
        <f ca="1">VLOOKUP($C1015,OFFSET([1]quests!$A$1,0,0,COUNTA([1]quests!$A:$A),MATCH(D$1,[1]quests!$1:$1,0)-MATCH($C$1,[1]quests!$1:$1,0)+1),MATCH(D$1,[1]quests!$1:$1,0)-MATCH($C$1,[1]quests!$1:$1,0)+1,FALSE)</f>
        <v>それはお前を食べるためさ</v>
      </c>
      <c r="E1015" s="3" t="str">
        <f ca="1">VLOOKUP($C1015,OFFSET([1]quests!$A$1,0,0,COUNTA([1]quests!$A:$A),MATCH(E$1,[1]quests!$1:$1,0)-MATCH($C$1,[1]quests!$1:$1,0)+1),MATCH(E$1,[1]quests!$1:$1,0)-MATCH($C$1,[1]quests!$1:$1,0)+1,FALSE)</f>
        <v>ドロップイベント2-3（マルチ専用）</v>
      </c>
      <c r="F1015" s="5">
        <v>2</v>
      </c>
      <c r="G1015" s="3" t="str">
        <f ca="1">VLOOKUP($C1015&amp;"_"&amp;$F1015,OFFSET([1]stages!$A$1,0,0,COUNTA([1]stages!$A:$A),MATCH(G$1,[1]stages!$2:$2,0)-MATCH("temp_stage",[1]stages!$2:$2,0)+1),MATCH(G$1,[1]stages!$2:$2,0)-MATCH("temp_stage",[1]stages!$2:$2,0)+1,FALSE)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5" s="3" t="str">
        <f ca="1">VLOOKUP($C1015&amp;"_"&amp;$F1015,OFFSET([1]stages!$A$1,0,0,COUNTA([1]stages!$A:$A),MATCH(H$1,[1]stages!$2:$2,0)-MATCH("temp_stage",[1]stages!$2:$2,0)+1),MATCH(H$1,[1]stages!$2:$2,0)-MATCH("temp_stage",[1]stages!$2:$2,0)+1,FALSE)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5" s="18">
        <v>0</v>
      </c>
      <c r="J1015" s="5">
        <f>COUNTIF(C$1:C1015,C1015)</f>
        <v>24</v>
      </c>
      <c r="K1015" s="34">
        <v>28</v>
      </c>
      <c r="L1015" s="5" t="s">
        <v>17</v>
      </c>
      <c r="M1015" s="38" t="str">
        <f>VLOOKUP(K1015,[2]stage_hints!$A:$C,3,FALSE)</f>
        <v>ステータス情報は長押しで</v>
      </c>
      <c r="N1015" s="39" t="str">
        <f>VLOOKUP(K1015,[2]stage_hints!$A:$D,4,FALSE)</f>
        <v>ユニットのアイコンを長押しすると
ステータス情報を確認することができます</v>
      </c>
      <c r="O1015" s="20" t="s">
        <v>24</v>
      </c>
      <c r="P1015">
        <v>28</v>
      </c>
    </row>
    <row r="1016" spans="1:16" x14ac:dyDescent="0.15">
      <c r="A1016" s="27" t="str">
        <f t="shared" si="79"/>
        <v>30006_2_25</v>
      </c>
      <c r="B1016" s="25" t="s">
        <v>34</v>
      </c>
      <c r="C1016" s="4">
        <v>30006</v>
      </c>
      <c r="D1016" s="3" t="str">
        <f ca="1">VLOOKUP($C1016,OFFSET([1]quests!$A$1,0,0,COUNTA([1]quests!$A:$A),MATCH(D$1,[1]quests!$1:$1,0)-MATCH($C$1,[1]quests!$1:$1,0)+1),MATCH(D$1,[1]quests!$1:$1,0)-MATCH($C$1,[1]quests!$1:$1,0)+1,FALSE)</f>
        <v>それはお前を食べるためさ</v>
      </c>
      <c r="E1016" s="3" t="str">
        <f ca="1">VLOOKUP($C1016,OFFSET([1]quests!$A$1,0,0,COUNTA([1]quests!$A:$A),MATCH(E$1,[1]quests!$1:$1,0)-MATCH($C$1,[1]quests!$1:$1,0)+1),MATCH(E$1,[1]quests!$1:$1,0)-MATCH($C$1,[1]quests!$1:$1,0)+1,FALSE)</f>
        <v>ドロップイベント2-3（マルチ専用）</v>
      </c>
      <c r="F1016" s="5">
        <v>2</v>
      </c>
      <c r="G1016" s="3" t="str">
        <f ca="1">VLOOKUP($C1016&amp;"_"&amp;$F1016,OFFSET([1]stages!$A$1,0,0,COUNTA([1]stages!$A:$A),MATCH(G$1,[1]stages!$2:$2,0)-MATCH("temp_stage",[1]stages!$2:$2,0)+1),MATCH(G$1,[1]stages!$2:$2,0)-MATCH("temp_stage",[1]stages!$2:$2,0)+1,FALSE)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6" s="3" t="str">
        <f ca="1">VLOOKUP($C1016&amp;"_"&amp;$F1016,OFFSET([1]stages!$A$1,0,0,COUNTA([1]stages!$A:$A),MATCH(H$1,[1]stages!$2:$2,0)-MATCH("temp_stage",[1]stages!$2:$2,0)+1),MATCH(H$1,[1]stages!$2:$2,0)-MATCH("temp_stage",[1]stages!$2:$2,0)+1,FALSE)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6" s="18">
        <v>0</v>
      </c>
      <c r="J1016" s="5">
        <f>COUNTIF(C$1:C1016,C1016)</f>
        <v>25</v>
      </c>
      <c r="K1016" s="34">
        <v>29</v>
      </c>
      <c r="L1016" s="5" t="s">
        <v>17</v>
      </c>
      <c r="M1016" s="38" t="str">
        <f>VLOOKUP(K1016,[2]stage_hints!$A:$C,3,FALSE)</f>
        <v>「バグ」のメリット</v>
      </c>
      <c r="N1016" s="39" t="str">
        <f>VLOOKUP(K1016,[2]stage_hints!$A:$D,4,FALSE)</f>
        <v>ユニットの「バグ」を増やすと
報酬をもらえる確率がアップします</v>
      </c>
      <c r="O1016" s="20" t="s">
        <v>24</v>
      </c>
      <c r="P1016">
        <v>29</v>
      </c>
    </row>
    <row r="1017" spans="1:16" x14ac:dyDescent="0.15">
      <c r="A1017" s="27" t="str">
        <f t="shared" si="79"/>
        <v>30006_2_26</v>
      </c>
      <c r="B1017" s="25" t="s">
        <v>34</v>
      </c>
      <c r="C1017" s="4">
        <v>30006</v>
      </c>
      <c r="D1017" s="3" t="str">
        <f ca="1">VLOOKUP($C1017,OFFSET([1]quests!$A$1,0,0,COUNTA([1]quests!$A:$A),MATCH(D$1,[1]quests!$1:$1,0)-MATCH($C$1,[1]quests!$1:$1,0)+1),MATCH(D$1,[1]quests!$1:$1,0)-MATCH($C$1,[1]quests!$1:$1,0)+1,FALSE)</f>
        <v>それはお前を食べるためさ</v>
      </c>
      <c r="E1017" s="3" t="str">
        <f ca="1">VLOOKUP($C1017,OFFSET([1]quests!$A$1,0,0,COUNTA([1]quests!$A:$A),MATCH(E$1,[1]quests!$1:$1,0)-MATCH($C$1,[1]quests!$1:$1,0)+1),MATCH(E$1,[1]quests!$1:$1,0)-MATCH($C$1,[1]quests!$1:$1,0)+1,FALSE)</f>
        <v>ドロップイベント2-3（マルチ専用）</v>
      </c>
      <c r="F1017" s="5">
        <v>2</v>
      </c>
      <c r="G1017" s="3" t="str">
        <f ca="1">VLOOKUP($C1017&amp;"_"&amp;$F1017,OFFSET([1]stages!$A$1,0,0,COUNTA([1]stages!$A:$A),MATCH(G$1,[1]stages!$2:$2,0)-MATCH("temp_stage",[1]stages!$2:$2,0)+1),MATCH(G$1,[1]stages!$2:$2,0)-MATCH("temp_stage",[1]stages!$2:$2,0)+1,FALSE)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7" s="3" t="str">
        <f ca="1">VLOOKUP($C1017&amp;"_"&amp;$F1017,OFFSET([1]stages!$A$1,0,0,COUNTA([1]stages!$A:$A),MATCH(H$1,[1]stages!$2:$2,0)-MATCH("temp_stage",[1]stages!$2:$2,0)+1),MATCH(H$1,[1]stages!$2:$2,0)-MATCH("temp_stage",[1]stages!$2:$2,0)+1,FALSE)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7" s="18">
        <v>0</v>
      </c>
      <c r="J1017" s="5">
        <f>COUNTIF(C$1:C1017,C1017)</f>
        <v>26</v>
      </c>
      <c r="K1017" s="34">
        <v>30</v>
      </c>
      <c r="L1017" s="5" t="s">
        <v>17</v>
      </c>
      <c r="M1017" s="38" t="str">
        <f>VLOOKUP(K1017,[2]stage_hints!$A:$C,3,FALSE)</f>
        <v>「バグ」の増やし方</v>
      </c>
      <c r="N1017" s="39" t="str">
        <f>VLOOKUP(K1017,[2]stage_hints!$A:$D,4,FALSE)</f>
        <v>同じユニット同士を強化で合成すると
「バグ」を増やすことができます</v>
      </c>
      <c r="O1017" s="20" t="s">
        <v>24</v>
      </c>
      <c r="P1017">
        <v>30</v>
      </c>
    </row>
    <row r="1018" spans="1:16" x14ac:dyDescent="0.15">
      <c r="A1018" s="27" t="str">
        <f t="shared" si="79"/>
        <v>30006_2_27</v>
      </c>
      <c r="B1018" s="25" t="s">
        <v>34</v>
      </c>
      <c r="C1018" s="4">
        <v>30006</v>
      </c>
      <c r="D1018" s="3" t="str">
        <f ca="1">VLOOKUP($C1018,OFFSET([1]quests!$A$1,0,0,COUNTA([1]quests!$A:$A),MATCH(D$1,[1]quests!$1:$1,0)-MATCH($C$1,[1]quests!$1:$1,0)+1),MATCH(D$1,[1]quests!$1:$1,0)-MATCH($C$1,[1]quests!$1:$1,0)+1,FALSE)</f>
        <v>それはお前を食べるためさ</v>
      </c>
      <c r="E1018" s="3" t="str">
        <f ca="1">VLOOKUP($C1018,OFFSET([1]quests!$A$1,0,0,COUNTA([1]quests!$A:$A),MATCH(E$1,[1]quests!$1:$1,0)-MATCH($C$1,[1]quests!$1:$1,0)+1),MATCH(E$1,[1]quests!$1:$1,0)-MATCH($C$1,[1]quests!$1:$1,0)+1,FALSE)</f>
        <v>ドロップイベント2-3（マルチ専用）</v>
      </c>
      <c r="F1018" s="5">
        <v>2</v>
      </c>
      <c r="G1018" s="3" t="str">
        <f ca="1">VLOOKUP($C1018&amp;"_"&amp;$F1018,OFFSET([1]stages!$A$1,0,0,COUNTA([1]stages!$A:$A),MATCH(G$1,[1]stages!$2:$2,0)-MATCH("temp_stage",[1]stages!$2:$2,0)+1),MATCH(G$1,[1]stages!$2:$2,0)-MATCH("temp_stage",[1]stages!$2:$2,0)+1,FALSE)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8" s="3" t="str">
        <f ca="1">VLOOKUP($C1018&amp;"_"&amp;$F1018,OFFSET([1]stages!$A$1,0,0,COUNTA([1]stages!$A:$A),MATCH(H$1,[1]stages!$2:$2,0)-MATCH("temp_stage",[1]stages!$2:$2,0)+1),MATCH(H$1,[1]stages!$2:$2,0)-MATCH("temp_stage",[1]stages!$2:$2,0)+1,FALSE)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8" s="18">
        <v>0</v>
      </c>
      <c r="J1018" s="5">
        <f>COUNTIF(C$1:C1018,C1018)</f>
        <v>27</v>
      </c>
      <c r="K1018" s="34">
        <v>31</v>
      </c>
      <c r="L1018" s="5" t="s">
        <v>17</v>
      </c>
      <c r="M1018" s="38" t="str">
        <f>VLOOKUP(K1018,[2]stage_hints!$A:$C,3,FALSE)</f>
        <v>イベントはお知らせでチェック</v>
      </c>
      <c r="N1018" s="39" t="str">
        <f>VLOOKUP(K1018,[2]stage_hints!$A:$D,4,FALSE)</f>
        <v>イベント限定ユニットを取り忘れないように
お知らせをこまめにチェックしましょう</v>
      </c>
      <c r="O1018" s="20" t="s">
        <v>24</v>
      </c>
      <c r="P1018">
        <v>31</v>
      </c>
    </row>
    <row r="1019" spans="1:16" x14ac:dyDescent="0.15">
      <c r="A1019" s="27" t="str">
        <f t="shared" si="79"/>
        <v>30006_2_28</v>
      </c>
      <c r="B1019" s="25" t="s">
        <v>34</v>
      </c>
      <c r="C1019" s="4">
        <v>30006</v>
      </c>
      <c r="D1019" s="3" t="str">
        <f ca="1">VLOOKUP($C1019,OFFSET([1]quests!$A$1,0,0,COUNTA([1]quests!$A:$A),MATCH(D$1,[1]quests!$1:$1,0)-MATCH($C$1,[1]quests!$1:$1,0)+1),MATCH(D$1,[1]quests!$1:$1,0)-MATCH($C$1,[1]quests!$1:$1,0)+1,FALSE)</f>
        <v>それはお前を食べるためさ</v>
      </c>
      <c r="E1019" s="3" t="str">
        <f ca="1">VLOOKUP($C1019,OFFSET([1]quests!$A$1,0,0,COUNTA([1]quests!$A:$A),MATCH(E$1,[1]quests!$1:$1,0)-MATCH($C$1,[1]quests!$1:$1,0)+1),MATCH(E$1,[1]quests!$1:$1,0)-MATCH($C$1,[1]quests!$1:$1,0)+1,FALSE)</f>
        <v>ドロップイベント2-3（マルチ専用）</v>
      </c>
      <c r="F1019" s="5">
        <v>2</v>
      </c>
      <c r="G1019" s="3" t="str">
        <f ca="1">VLOOKUP($C1019&amp;"_"&amp;$F1019,OFFSET([1]stages!$A$1,0,0,COUNTA([1]stages!$A:$A),MATCH(G$1,[1]stages!$2:$2,0)-MATCH("temp_stage",[1]stages!$2:$2,0)+1),MATCH(G$1,[1]stages!$2:$2,0)-MATCH("temp_stage",[1]stages!$2:$2,0)+1,FALSE)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19" s="3" t="str">
        <f ca="1">VLOOKUP($C1019&amp;"_"&amp;$F1019,OFFSET([1]stages!$A$1,0,0,COUNTA([1]stages!$A:$A),MATCH(H$1,[1]stages!$2:$2,0)-MATCH("temp_stage",[1]stages!$2:$2,0)+1),MATCH(H$1,[1]stages!$2:$2,0)-MATCH("temp_stage",[1]stages!$2:$2,0)+1,FALSE)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19" s="18">
        <v>0</v>
      </c>
      <c r="J1019" s="5">
        <f>COUNTIF(C$1:C1019,C1019)</f>
        <v>28</v>
      </c>
      <c r="K1019" s="34">
        <v>32</v>
      </c>
      <c r="L1019" s="5" t="s">
        <v>17</v>
      </c>
      <c r="M1019" s="38" t="str">
        <f>VLOOKUP(K1019,[2]stage_hints!$A:$C,3,FALSE)</f>
        <v>敵の連続攻撃には</v>
      </c>
      <c r="N1019" s="39" t="str">
        <f>VLOOKUP(K1019,[2]stage_hints!$A:$D,4,FALSE)</f>
        <v>カウンタースキルを持つユニットがいれば
ダメージ回数分の反撃ができます</v>
      </c>
      <c r="O1019" s="20" t="s">
        <v>24</v>
      </c>
      <c r="P1019">
        <v>32</v>
      </c>
    </row>
    <row r="1020" spans="1:16" x14ac:dyDescent="0.15">
      <c r="A1020" s="27" t="str">
        <f t="shared" si="79"/>
        <v>30006_2_29</v>
      </c>
      <c r="B1020" s="25" t="s">
        <v>34</v>
      </c>
      <c r="C1020" s="4">
        <v>30006</v>
      </c>
      <c r="D1020" s="3" t="str">
        <f ca="1">VLOOKUP($C1020,OFFSET([1]quests!$A$1,0,0,COUNTA([1]quests!$A:$A),MATCH(D$1,[1]quests!$1:$1,0)-MATCH($C$1,[1]quests!$1:$1,0)+1),MATCH(D$1,[1]quests!$1:$1,0)-MATCH($C$1,[1]quests!$1:$1,0)+1,FALSE)</f>
        <v>それはお前を食べるためさ</v>
      </c>
      <c r="E1020" s="3" t="str">
        <f ca="1">VLOOKUP($C1020,OFFSET([1]quests!$A$1,0,0,COUNTA([1]quests!$A:$A),MATCH(E$1,[1]quests!$1:$1,0)-MATCH($C$1,[1]quests!$1:$1,0)+1),MATCH(E$1,[1]quests!$1:$1,0)-MATCH($C$1,[1]quests!$1:$1,0)+1,FALSE)</f>
        <v>ドロップイベント2-3（マルチ専用）</v>
      </c>
      <c r="F1020" s="5">
        <v>2</v>
      </c>
      <c r="G1020" s="3" t="str">
        <f ca="1">VLOOKUP($C1020&amp;"_"&amp;$F1020,OFFSET([1]stages!$A$1,0,0,COUNTA([1]stages!$A:$A),MATCH(G$1,[1]stages!$2:$2,0)-MATCH("temp_stage",[1]stages!$2:$2,0)+1),MATCH(G$1,[1]stages!$2:$2,0)-MATCH("temp_stage",[1]stages!$2:$2,0)+1,FALSE)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20" s="3" t="str">
        <f ca="1">VLOOKUP($C1020&amp;"_"&amp;$F1020,OFFSET([1]stages!$A$1,0,0,COUNTA([1]stages!$A:$A),MATCH(H$1,[1]stages!$2:$2,0)-MATCH("temp_stage",[1]stages!$2:$2,0)+1),MATCH(H$1,[1]stages!$2:$2,0)-MATCH("temp_stage",[1]stages!$2:$2,0)+1,FALSE)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20" s="18">
        <v>0</v>
      </c>
      <c r="J1020" s="5">
        <f>COUNTIF(C$1:C1020,C1020)</f>
        <v>29</v>
      </c>
      <c r="K1020" s="34">
        <v>33</v>
      </c>
      <c r="L1020" s="5" t="s">
        <v>17</v>
      </c>
      <c r="M1020" s="38" t="str">
        <f>VLOOKUP(K1020,[2]stage_hints!$A:$C,3,FALSE)</f>
        <v>敵のカウンター攻撃には</v>
      </c>
      <c r="N1020" s="39" t="str">
        <f>VLOOKUP(K1020,[2]stage_hints!$A:$D,4,FALSE)</f>
        <v>カウンターブレイクスキルを持っていれば
敵のカウンターを解除して攻撃ができます</v>
      </c>
      <c r="O1020" s="20" t="s">
        <v>24</v>
      </c>
      <c r="P1020">
        <v>33</v>
      </c>
    </row>
    <row r="1021" spans="1:16" x14ac:dyDescent="0.15">
      <c r="A1021" s="27" t="str">
        <f t="shared" si="79"/>
        <v>30006_2_30</v>
      </c>
      <c r="B1021" s="25" t="s">
        <v>34</v>
      </c>
      <c r="C1021" s="4">
        <v>30006</v>
      </c>
      <c r="D1021" s="3" t="str">
        <f ca="1">VLOOKUP($C1021,OFFSET([1]quests!$A$1,0,0,COUNTA([1]quests!$A:$A),MATCH(D$1,[1]quests!$1:$1,0)-MATCH($C$1,[1]quests!$1:$1,0)+1),MATCH(D$1,[1]quests!$1:$1,0)-MATCH($C$1,[1]quests!$1:$1,0)+1,FALSE)</f>
        <v>それはお前を食べるためさ</v>
      </c>
      <c r="E1021" s="3" t="str">
        <f ca="1">VLOOKUP($C1021,OFFSET([1]quests!$A$1,0,0,COUNTA([1]quests!$A:$A),MATCH(E$1,[1]quests!$1:$1,0)-MATCH($C$1,[1]quests!$1:$1,0)+1),MATCH(E$1,[1]quests!$1:$1,0)-MATCH($C$1,[1]quests!$1:$1,0)+1,FALSE)</f>
        <v>ドロップイベント2-3（マルチ専用）</v>
      </c>
      <c r="F1021" s="5">
        <v>2</v>
      </c>
      <c r="G1021" s="3" t="str">
        <f ca="1">VLOOKUP($C1021&amp;"_"&amp;$F1021,OFFSET([1]stages!$A$1,0,0,COUNTA([1]stages!$A:$A),MATCH(G$1,[1]stages!$2:$2,0)-MATCH("temp_stage",[1]stages!$2:$2,0)+1),MATCH(G$1,[1]stages!$2:$2,0)-MATCH("temp_stage",[1]stages!$2:$2,0)+1,FALSE)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21" s="3" t="str">
        <f ca="1">VLOOKUP($C1021&amp;"_"&amp;$F1021,OFFSET([1]stages!$A$1,0,0,COUNTA([1]stages!$A:$A),MATCH(H$1,[1]stages!$2:$2,0)-MATCH("temp_stage",[1]stages!$2:$2,0)+1),MATCH(H$1,[1]stages!$2:$2,0)-MATCH("temp_stage",[1]stages!$2:$2,0)+1,FALSE)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21" s="18">
        <v>0</v>
      </c>
      <c r="J1021" s="5">
        <f>COUNTIF(C$1:C1021,C1021)</f>
        <v>30</v>
      </c>
      <c r="K1021" s="34">
        <v>34</v>
      </c>
      <c r="L1021" s="5" t="s">
        <v>17</v>
      </c>
      <c r="M1021" s="38" t="str">
        <f>VLOOKUP(K1021,[2]stage_hints!$A:$C,3,FALSE)</f>
        <v>ステータスをスキルで下げられたら</v>
      </c>
      <c r="N1021" s="39" t="str">
        <f>VLOOKUP(K1021,[2]stage_hints!$A:$D,4,FALSE)</f>
        <v>ステータスダウンのスキルを受けたら
ステータスアップスキルで上書きしましょう</v>
      </c>
      <c r="O1021" s="20" t="s">
        <v>24</v>
      </c>
      <c r="P1021">
        <v>34</v>
      </c>
    </row>
    <row r="1022" spans="1:16" x14ac:dyDescent="0.15">
      <c r="A1022" s="27" t="str">
        <f t="shared" si="79"/>
        <v>30006_2_31</v>
      </c>
      <c r="B1022" s="25" t="s">
        <v>34</v>
      </c>
      <c r="C1022" s="4">
        <v>30006</v>
      </c>
      <c r="D1022" s="3" t="str">
        <f ca="1">VLOOKUP($C1022,OFFSET([1]quests!$A$1,0,0,COUNTA([1]quests!$A:$A),MATCH(D$1,[1]quests!$1:$1,0)-MATCH($C$1,[1]quests!$1:$1,0)+1),MATCH(D$1,[1]quests!$1:$1,0)-MATCH($C$1,[1]quests!$1:$1,0)+1,FALSE)</f>
        <v>それはお前を食べるためさ</v>
      </c>
      <c r="E1022" s="3" t="str">
        <f ca="1">VLOOKUP($C1022,OFFSET([1]quests!$A$1,0,0,COUNTA([1]quests!$A:$A),MATCH(E$1,[1]quests!$1:$1,0)-MATCH($C$1,[1]quests!$1:$1,0)+1),MATCH(E$1,[1]quests!$1:$1,0)-MATCH($C$1,[1]quests!$1:$1,0)+1,FALSE)</f>
        <v>ドロップイベント2-3（マルチ専用）</v>
      </c>
      <c r="F1022" s="5">
        <v>2</v>
      </c>
      <c r="G1022" s="3" t="str">
        <f ca="1">VLOOKUP($C1022&amp;"_"&amp;$F1022,OFFSET([1]stages!$A$1,0,0,COUNTA([1]stages!$A:$A),MATCH(G$1,[1]stages!$2:$2,0)-MATCH("temp_stage",[1]stages!$2:$2,0)+1),MATCH(G$1,[1]stages!$2:$2,0)-MATCH("temp_stage",[1]stages!$2:$2,0)+1,FALSE)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22" s="3" t="str">
        <f ca="1">VLOOKUP($C1022&amp;"_"&amp;$F1022,OFFSET([1]stages!$A$1,0,0,COUNTA([1]stages!$A:$A),MATCH(H$1,[1]stages!$2:$2,0)-MATCH("temp_stage",[1]stages!$2:$2,0)+1),MATCH(H$1,[1]stages!$2:$2,0)-MATCH("temp_stage",[1]stages!$2:$2,0)+1,FALSE)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22" s="18">
        <v>0</v>
      </c>
      <c r="J1022" s="5">
        <f>COUNTIF(C$1:C1022,C1022)</f>
        <v>31</v>
      </c>
      <c r="K1022" s="34">
        <v>35</v>
      </c>
      <c r="L1022" s="5" t="s">
        <v>17</v>
      </c>
      <c r="M1022" s="38" t="str">
        <f>VLOOKUP(K1022,[2]stage_hints!$A:$C,3,FALSE)</f>
        <v>敵のステータスがスキルで上がったら</v>
      </c>
      <c r="N1022" s="39" t="str">
        <f>VLOOKUP(K1022,[2]stage_hints!$A:$D,4,FALSE)</f>
        <v>敵のステータスがスキルでアップしたときは
ステータスダウンスキルで上書きしましょう</v>
      </c>
      <c r="O1022" s="20" t="s">
        <v>24</v>
      </c>
      <c r="P1022">
        <v>35</v>
      </c>
    </row>
    <row r="1023" spans="1:16" x14ac:dyDescent="0.15">
      <c r="A1023" s="27" t="str">
        <f t="shared" si="79"/>
        <v>30006_2_32</v>
      </c>
      <c r="B1023" s="25" t="s">
        <v>34</v>
      </c>
      <c r="C1023" s="4">
        <v>30006</v>
      </c>
      <c r="D1023" s="3" t="str">
        <f ca="1">VLOOKUP($C1023,OFFSET([1]quests!$A$1,0,0,COUNTA([1]quests!$A:$A),MATCH(D$1,[1]quests!$1:$1,0)-MATCH($C$1,[1]quests!$1:$1,0)+1),MATCH(D$1,[1]quests!$1:$1,0)-MATCH($C$1,[1]quests!$1:$1,0)+1,FALSE)</f>
        <v>それはお前を食べるためさ</v>
      </c>
      <c r="E1023" s="3" t="str">
        <f ca="1">VLOOKUP($C1023,OFFSET([1]quests!$A$1,0,0,COUNTA([1]quests!$A:$A),MATCH(E$1,[1]quests!$1:$1,0)-MATCH($C$1,[1]quests!$1:$1,0)+1),MATCH(E$1,[1]quests!$1:$1,0)-MATCH($C$1,[1]quests!$1:$1,0)+1,FALSE)</f>
        <v>ドロップイベント2-3（マルチ専用）</v>
      </c>
      <c r="F1023" s="5">
        <v>2</v>
      </c>
      <c r="G1023" s="3" t="str">
        <f ca="1">VLOOKUP($C1023&amp;"_"&amp;$F1023,OFFSET([1]stages!$A$1,0,0,COUNTA([1]stages!$A:$A),MATCH(G$1,[1]stages!$2:$2,0)-MATCH("temp_stage",[1]stages!$2:$2,0)+1),MATCH(G$1,[1]stages!$2:$2,0)-MATCH("temp_stage",[1]stages!$2:$2,0)+1,FALSE)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23" s="3" t="str">
        <f ca="1">VLOOKUP($C1023&amp;"_"&amp;$F1023,OFFSET([1]stages!$A$1,0,0,COUNTA([1]stages!$A:$A),MATCH(H$1,[1]stages!$2:$2,0)-MATCH("temp_stage",[1]stages!$2:$2,0)+1),MATCH(H$1,[1]stages!$2:$2,0)-MATCH("temp_stage",[1]stages!$2:$2,0)+1,FALSE)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23" s="18">
        <v>0</v>
      </c>
      <c r="J1023" s="5">
        <f>COUNTIF(C$1:C1023,C1023)</f>
        <v>32</v>
      </c>
      <c r="K1023" s="34">
        <v>36</v>
      </c>
      <c r="L1023" s="5" t="s">
        <v>17</v>
      </c>
      <c r="M1023" s="38" t="str">
        <f>VLOOKUP(K1023,[2]stage_hints!$A:$C,3,FALSE)</f>
        <v>チャレンジタワーのボス</v>
      </c>
      <c r="N1023" s="39" t="str">
        <f>VLOOKUP(K1023,[2]stage_hints!$A:$D,4,FALSE)</f>
        <v>チャレンジタワーでのみ登場するボスは
一定確率で獲得することができます</v>
      </c>
      <c r="O1023" s="20" t="s">
        <v>24</v>
      </c>
      <c r="P1023">
        <v>36</v>
      </c>
    </row>
    <row r="1024" spans="1:16" x14ac:dyDescent="0.15">
      <c r="A1024" s="27" t="str">
        <f t="shared" si="79"/>
        <v>30006_2_33</v>
      </c>
      <c r="B1024" s="25" t="s">
        <v>34</v>
      </c>
      <c r="C1024" s="4">
        <v>30006</v>
      </c>
      <c r="D1024" s="3" t="str">
        <f ca="1">VLOOKUP($C1024,OFFSET([1]quests!$A$1,0,0,COUNTA([1]quests!$A:$A),MATCH(D$1,[1]quests!$1:$1,0)-MATCH($C$1,[1]quests!$1:$1,0)+1),MATCH(D$1,[1]quests!$1:$1,0)-MATCH($C$1,[1]quests!$1:$1,0)+1,FALSE)</f>
        <v>それはお前を食べるためさ</v>
      </c>
      <c r="E1024" s="3" t="str">
        <f ca="1">VLOOKUP($C1024,OFFSET([1]quests!$A$1,0,0,COUNTA([1]quests!$A:$A),MATCH(E$1,[1]quests!$1:$1,0)-MATCH($C$1,[1]quests!$1:$1,0)+1),MATCH(E$1,[1]quests!$1:$1,0)-MATCH($C$1,[1]quests!$1:$1,0)+1,FALSE)</f>
        <v>ドロップイベント2-3（マルチ専用）</v>
      </c>
      <c r="F1024" s="5">
        <v>2</v>
      </c>
      <c r="G1024" s="3" t="str">
        <f ca="1">VLOOKUP($C1024&amp;"_"&amp;$F1024,OFFSET([1]stages!$A$1,0,0,COUNTA([1]stages!$A:$A),MATCH(G$1,[1]stages!$2:$2,0)-MATCH("temp_stage",[1]stages!$2:$2,0)+1),MATCH(G$1,[1]stages!$2:$2,0)-MATCH("temp_stage",[1]stages!$2:$2,0)+1,FALSE)</f>
        <v>【上級】それはお前を食べるためさ</v>
      </c>
      <c r="H1024" s="3" t="str">
        <f ca="1">VLOOKUP($C1024&amp;"_"&amp;$F1024,OFFSET([1]stages!$A$1,0,0,COUNTA([1]stages!$A:$A),MATCH(H$1,[1]stages!$2:$2,0)-MATCH("temp_stage",[1]stages!$2:$2,0)+1),MATCH(H$1,[1]stages!$2:$2,0)-MATCH("temp_stage",[1]stages!$2:$2,0)+1,FALSE)</f>
        <v>ドロップイベント2-3（マルチ専用）</v>
      </c>
      <c r="I1024" s="18">
        <v>0</v>
      </c>
      <c r="J1024" s="5">
        <f>COUNTIF(C$1:C1024,C1024)</f>
        <v>33</v>
      </c>
      <c r="K1024" s="34">
        <v>37</v>
      </c>
      <c r="L1024" s="5" t="s">
        <v>17</v>
      </c>
      <c r="M1024" s="38" t="str">
        <f>VLOOKUP(K1024,[2]stage_hints!$A:$C,3,FALSE)</f>
        <v>限界突破値の引き継ぎ</v>
      </c>
      <c r="N1024" s="39" t="str">
        <f>VLOOKUP(K1024,[2]stage_hints!$A:$D,4,FALSE)</f>
        <v>同じユニットを強化で合成すると
限界突破値を引き継げます（覚醒前後も可）</v>
      </c>
      <c r="O1024" s="20" t="s">
        <v>24</v>
      </c>
      <c r="P1024">
        <v>37</v>
      </c>
    </row>
    <row r="1025" spans="1:16" x14ac:dyDescent="0.15">
      <c r="A1025" s="27" t="str">
        <f t="shared" si="79"/>
        <v>30007_2_1</v>
      </c>
      <c r="B1025" s="25" t="s">
        <v>34</v>
      </c>
      <c r="C1025" s="4">
        <v>30007</v>
      </c>
      <c r="D1025" s="3" t="str">
        <f ca="1">VLOOKUP($C1025,OFFSET([1]quests!$A$1,0,0,COUNTA([1]quests!$A:$A),MATCH(D$1,[1]quests!$1:$1,0)-MATCH($C$1,[1]quests!$1:$1,0)+1),MATCH(D$1,[1]quests!$1:$1,0)-MATCH($C$1,[1]quests!$1:$1,0)+1,FALSE)</f>
        <v>ガラスの靴は私のもの</v>
      </c>
      <c r="E1025" s="3" t="str">
        <f ca="1">VLOOKUP($C1025,OFFSET([1]quests!$A$1,0,0,COUNTA([1]quests!$A:$A),MATCH(E$1,[1]quests!$1:$1,0)-MATCH($C$1,[1]quests!$1:$1,0)+1),MATCH(E$1,[1]quests!$1:$1,0)-MATCH($C$1,[1]quests!$1:$1,0)+1,FALSE)</f>
        <v>ドロップイベント2-2（マルチ専用）</v>
      </c>
      <c r="F1025" s="5">
        <v>2</v>
      </c>
      <c r="G1025" s="3" t="str">
        <f ca="1">VLOOKUP($C1025&amp;"_"&amp;$F1025,OFFSET([1]stages!$A$1,0,0,COUNTA([1]stages!$A:$A),MATCH(G$1,[1]stages!$2:$2,0)-MATCH("temp_stage",[1]stages!$2:$2,0)+1),MATCH(G$1,[1]stages!$2:$2,0)-MATCH("temp_stage",[1]stages!$2:$2,0)+1,FALSE)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25" s="3" t="str">
        <f ca="1">VLOOKUP($C1025&amp;"_"&amp;$F1025,OFFSET([1]stages!$A$1,0,0,COUNTA([1]stages!$A:$A),MATCH(H$1,[1]stages!$2:$2,0)-MATCH("temp_stage",[1]stages!$2:$2,0)+1),MATCH(H$1,[1]stages!$2:$2,0)-MATCH("temp_stage",[1]stages!$2:$2,0)+1,FALSE)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25" s="18">
        <v>0</v>
      </c>
      <c r="J1025" s="5">
        <f>COUNTIF(C$1:C1025,C1025)</f>
        <v>1</v>
      </c>
      <c r="K1025" s="34">
        <v>3</v>
      </c>
      <c r="L1025" s="5" t="s">
        <v>17</v>
      </c>
      <c r="M1025" s="38" t="str">
        <f>VLOOKUP(K1025,[2]stage_hints!$A:$C,3,FALSE)</f>
        <v>ターゲット</v>
      </c>
      <c r="N1025" s="39" t="str">
        <f>VLOOKUP(K1025,[2]stage_hints!$A:$D,4,FALSE)</f>
        <v>敵ユニットをタップすると
その敵を狙い撃ちできます</v>
      </c>
      <c r="O1025" s="20" t="s">
        <v>24</v>
      </c>
      <c r="P1025">
        <v>3</v>
      </c>
    </row>
    <row r="1026" spans="1:16" x14ac:dyDescent="0.15">
      <c r="A1026" s="27" t="str">
        <f t="shared" si="79"/>
        <v>30007_2_2</v>
      </c>
      <c r="B1026" s="25" t="s">
        <v>34</v>
      </c>
      <c r="C1026" s="4">
        <v>30007</v>
      </c>
      <c r="D1026" s="3" t="str">
        <f ca="1">VLOOKUP($C1026,OFFSET([1]quests!$A$1,0,0,COUNTA([1]quests!$A:$A),MATCH(D$1,[1]quests!$1:$1,0)-MATCH($C$1,[1]quests!$1:$1,0)+1),MATCH(D$1,[1]quests!$1:$1,0)-MATCH($C$1,[1]quests!$1:$1,0)+1,FALSE)</f>
        <v>ガラスの靴は私のもの</v>
      </c>
      <c r="E1026" s="3" t="str">
        <f ca="1">VLOOKUP($C1026,OFFSET([1]quests!$A$1,0,0,COUNTA([1]quests!$A:$A),MATCH(E$1,[1]quests!$1:$1,0)-MATCH($C$1,[1]quests!$1:$1,0)+1),MATCH(E$1,[1]quests!$1:$1,0)-MATCH($C$1,[1]quests!$1:$1,0)+1,FALSE)</f>
        <v>ドロップイベント2-2（マルチ専用）</v>
      </c>
      <c r="F1026" s="5">
        <v>2</v>
      </c>
      <c r="G1026" s="3" t="str">
        <f ca="1">VLOOKUP($C1026&amp;"_"&amp;$F1026,OFFSET([1]stages!$A$1,0,0,COUNTA([1]stages!$A:$A),MATCH(G$1,[1]stages!$2:$2,0)-MATCH("temp_stage",[1]stages!$2:$2,0)+1),MATCH(G$1,[1]stages!$2:$2,0)-MATCH("temp_stage",[1]stages!$2:$2,0)+1,FALSE)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26" s="3" t="str">
        <f ca="1">VLOOKUP($C1026&amp;"_"&amp;$F1026,OFFSET([1]stages!$A$1,0,0,COUNTA([1]stages!$A:$A),MATCH(H$1,[1]stages!$2:$2,0)-MATCH("temp_stage",[1]stages!$2:$2,0)+1),MATCH(H$1,[1]stages!$2:$2,0)-MATCH("temp_stage",[1]stages!$2:$2,0)+1,FALSE)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26" s="18">
        <v>0</v>
      </c>
      <c r="J1026" s="5">
        <f>COUNTIF(C$1:C1026,C1026)</f>
        <v>2</v>
      </c>
      <c r="K1026" s="34">
        <v>6</v>
      </c>
      <c r="L1026" s="5" t="s">
        <v>17</v>
      </c>
      <c r="M1026" s="38" t="str">
        <f>VLOOKUP(K1026,[2]stage_hints!$A:$C,3,FALSE)</f>
        <v>ユニット強化の属性ボーナス</v>
      </c>
      <c r="N1026" s="39" t="str">
        <f>VLOOKUP(K1026,[2]stage_hints!$A:$D,4,FALSE)</f>
        <v>同属性ユニットを強化素材にすると
経験値が多くもらえます</v>
      </c>
      <c r="O1026" s="20" t="s">
        <v>24</v>
      </c>
      <c r="P1026">
        <v>6</v>
      </c>
    </row>
    <row r="1027" spans="1:16" x14ac:dyDescent="0.15">
      <c r="A1027" s="27" t="str">
        <f t="shared" si="79"/>
        <v>30007_2_3</v>
      </c>
      <c r="B1027" s="25" t="s">
        <v>34</v>
      </c>
      <c r="C1027" s="4">
        <v>30007</v>
      </c>
      <c r="D1027" s="3" t="str">
        <f ca="1">VLOOKUP($C1027,OFFSET([1]quests!$A$1,0,0,COUNTA([1]quests!$A:$A),MATCH(D$1,[1]quests!$1:$1,0)-MATCH($C$1,[1]quests!$1:$1,0)+1),MATCH(D$1,[1]quests!$1:$1,0)-MATCH($C$1,[1]quests!$1:$1,0)+1,FALSE)</f>
        <v>ガラスの靴は私のもの</v>
      </c>
      <c r="E1027" s="3" t="str">
        <f ca="1">VLOOKUP($C1027,OFFSET([1]quests!$A$1,0,0,COUNTA([1]quests!$A:$A),MATCH(E$1,[1]quests!$1:$1,0)-MATCH($C$1,[1]quests!$1:$1,0)+1),MATCH(E$1,[1]quests!$1:$1,0)-MATCH($C$1,[1]quests!$1:$1,0)+1,FALSE)</f>
        <v>ドロップイベント2-2（マルチ専用）</v>
      </c>
      <c r="F1027" s="5">
        <v>2</v>
      </c>
      <c r="G1027" s="3" t="str">
        <f ca="1">VLOOKUP($C1027&amp;"_"&amp;$F1027,OFFSET([1]stages!$A$1,0,0,COUNTA([1]stages!$A:$A),MATCH(G$1,[1]stages!$2:$2,0)-MATCH("temp_stage",[1]stages!$2:$2,0)+1),MATCH(G$1,[1]stages!$2:$2,0)-MATCH("temp_stage",[1]stages!$2:$2,0)+1,FALSE)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27" s="3" t="str">
        <f ca="1">VLOOKUP($C1027&amp;"_"&amp;$F1027,OFFSET([1]stages!$A$1,0,0,COUNTA([1]stages!$A:$A),MATCH(H$1,[1]stages!$2:$2,0)-MATCH("temp_stage",[1]stages!$2:$2,0)+1),MATCH(H$1,[1]stages!$2:$2,0)-MATCH("temp_stage",[1]stages!$2:$2,0)+1,FALSE)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27" s="18">
        <v>0</v>
      </c>
      <c r="J1027" s="5">
        <f>COUNTIF(C$1:C1027,C1027)</f>
        <v>3</v>
      </c>
      <c r="K1027" s="34">
        <v>7</v>
      </c>
      <c r="L1027" s="5" t="s">
        <v>17</v>
      </c>
      <c r="M1027" s="38" t="str">
        <f>VLOOKUP(K1027,[2]stage_hints!$A:$C,3,FALSE)</f>
        <v>メタルダックで経験値を獲得</v>
      </c>
      <c r="N1027" s="39" t="str">
        <f>VLOOKUP(K1027,[2]stage_hints!$A:$D,4,FALSE)</f>
        <v>「メタルなアヒル」を強化素材にすると
大量の経験値がもらえます</v>
      </c>
      <c r="O1027" s="20" t="s">
        <v>24</v>
      </c>
      <c r="P1027">
        <v>7</v>
      </c>
    </row>
    <row r="1028" spans="1:16" x14ac:dyDescent="0.15">
      <c r="A1028" s="27" t="str">
        <f t="shared" si="79"/>
        <v>30007_2_4</v>
      </c>
      <c r="B1028" s="25" t="s">
        <v>34</v>
      </c>
      <c r="C1028" s="4">
        <v>30007</v>
      </c>
      <c r="D1028" s="3" t="str">
        <f ca="1">VLOOKUP($C1028,OFFSET([1]quests!$A$1,0,0,COUNTA([1]quests!$A:$A),MATCH(D$1,[1]quests!$1:$1,0)-MATCH($C$1,[1]quests!$1:$1,0)+1),MATCH(D$1,[1]quests!$1:$1,0)-MATCH($C$1,[1]quests!$1:$1,0)+1,FALSE)</f>
        <v>ガラスの靴は私のもの</v>
      </c>
      <c r="E1028" s="3" t="str">
        <f ca="1">VLOOKUP($C1028,OFFSET([1]quests!$A$1,0,0,COUNTA([1]quests!$A:$A),MATCH(E$1,[1]quests!$1:$1,0)-MATCH($C$1,[1]quests!$1:$1,0)+1),MATCH(E$1,[1]quests!$1:$1,0)-MATCH($C$1,[1]quests!$1:$1,0)+1,FALSE)</f>
        <v>ドロップイベント2-2（マルチ専用）</v>
      </c>
      <c r="F1028" s="5">
        <v>2</v>
      </c>
      <c r="G1028" s="3" t="str">
        <f ca="1">VLOOKUP($C1028&amp;"_"&amp;$F1028,OFFSET([1]stages!$A$1,0,0,COUNTA([1]stages!$A:$A),MATCH(G$1,[1]stages!$2:$2,0)-MATCH("temp_stage",[1]stages!$2:$2,0)+1),MATCH(G$1,[1]stages!$2:$2,0)-MATCH("temp_stage",[1]stages!$2:$2,0)+1,FALSE)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28" s="3" t="str">
        <f ca="1">VLOOKUP($C1028&amp;"_"&amp;$F1028,OFFSET([1]stages!$A$1,0,0,COUNTA([1]stages!$A:$A),MATCH(H$1,[1]stages!$2:$2,0)-MATCH("temp_stage",[1]stages!$2:$2,0)+1),MATCH(H$1,[1]stages!$2:$2,0)-MATCH("temp_stage",[1]stages!$2:$2,0)+1,FALSE)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28" s="18">
        <v>0</v>
      </c>
      <c r="J1028" s="5">
        <f>COUNTIF(C$1:C1028,C1028)</f>
        <v>4</v>
      </c>
      <c r="K1028" s="34">
        <v>8</v>
      </c>
      <c r="L1028" s="5" t="s">
        <v>17</v>
      </c>
      <c r="M1028" s="38" t="str">
        <f>VLOOKUP(K1028,[2]stage_hints!$A:$C,3,FALSE)</f>
        <v>ゲリラクエストは要チェック</v>
      </c>
      <c r="N1028" s="39" t="str">
        <f>VLOOKUP(K1028,[2]stage_hints!$A:$D,4,FALSE)</f>
        <v>時間限定の「アヒル捕獲作戦」では
経験値素材ユニットが多く手に入ります</v>
      </c>
      <c r="O1028" s="20" t="s">
        <v>24</v>
      </c>
      <c r="P1028">
        <v>8</v>
      </c>
    </row>
    <row r="1029" spans="1:16" x14ac:dyDescent="0.15">
      <c r="A1029" s="27" t="str">
        <f t="shared" si="79"/>
        <v>30007_2_5</v>
      </c>
      <c r="B1029" s="25" t="s">
        <v>34</v>
      </c>
      <c r="C1029" s="4">
        <v>30007</v>
      </c>
      <c r="D1029" s="3" t="str">
        <f ca="1">VLOOKUP($C1029,OFFSET([1]quests!$A$1,0,0,COUNTA([1]quests!$A:$A),MATCH(D$1,[1]quests!$1:$1,0)-MATCH($C$1,[1]quests!$1:$1,0)+1),MATCH(D$1,[1]quests!$1:$1,0)-MATCH($C$1,[1]quests!$1:$1,0)+1,FALSE)</f>
        <v>ガラスの靴は私のもの</v>
      </c>
      <c r="E1029" s="3" t="str">
        <f ca="1">VLOOKUP($C1029,OFFSET([1]quests!$A$1,0,0,COUNTA([1]quests!$A:$A),MATCH(E$1,[1]quests!$1:$1,0)-MATCH($C$1,[1]quests!$1:$1,0)+1),MATCH(E$1,[1]quests!$1:$1,0)-MATCH($C$1,[1]quests!$1:$1,0)+1,FALSE)</f>
        <v>ドロップイベント2-2（マルチ専用）</v>
      </c>
      <c r="F1029" s="5">
        <v>2</v>
      </c>
      <c r="G1029" s="3" t="str">
        <f ca="1">VLOOKUP($C1029&amp;"_"&amp;$F1029,OFFSET([1]stages!$A$1,0,0,COUNTA([1]stages!$A:$A),MATCH(G$1,[1]stages!$2:$2,0)-MATCH("temp_stage",[1]stages!$2:$2,0)+1),MATCH(G$1,[1]stages!$2:$2,0)-MATCH("temp_stage",[1]stages!$2:$2,0)+1,FALSE)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29" s="3" t="str">
        <f ca="1">VLOOKUP($C1029&amp;"_"&amp;$F1029,OFFSET([1]stages!$A$1,0,0,COUNTA([1]stages!$A:$A),MATCH(H$1,[1]stages!$2:$2,0)-MATCH("temp_stage",[1]stages!$2:$2,0)+1),MATCH(H$1,[1]stages!$2:$2,0)-MATCH("temp_stage",[1]stages!$2:$2,0)+1,FALSE)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29" s="18">
        <v>0</v>
      </c>
      <c r="J1029" s="5">
        <f>COUNTIF(C$1:C1029,C1029)</f>
        <v>5</v>
      </c>
      <c r="K1029" s="34">
        <v>9</v>
      </c>
      <c r="L1029" s="5" t="s">
        <v>17</v>
      </c>
      <c r="M1029" s="38" t="str">
        <f>VLOOKUP(K1029,[2]stage_hints!$A:$C,3,FALSE)</f>
        <v>ゴールドダックでビットを獲得</v>
      </c>
      <c r="N1029" s="39" t="str">
        <f>VLOOKUP(K1029,[2]stage_hints!$A:$D,4,FALSE)</f>
        <v>「ゴールドなアヒル」を売却すると
大量のビットがもらえます</v>
      </c>
      <c r="O1029" s="20" t="s">
        <v>24</v>
      </c>
      <c r="P1029">
        <v>9</v>
      </c>
    </row>
    <row r="1030" spans="1:16" x14ac:dyDescent="0.15">
      <c r="A1030" s="27" t="str">
        <f t="shared" si="79"/>
        <v>30007_2_6</v>
      </c>
      <c r="B1030" s="25" t="s">
        <v>34</v>
      </c>
      <c r="C1030" s="4">
        <v>30007</v>
      </c>
      <c r="D1030" s="3" t="str">
        <f ca="1">VLOOKUP($C1030,OFFSET([1]quests!$A$1,0,0,COUNTA([1]quests!$A:$A),MATCH(D$1,[1]quests!$1:$1,0)-MATCH($C$1,[1]quests!$1:$1,0)+1),MATCH(D$1,[1]quests!$1:$1,0)-MATCH($C$1,[1]quests!$1:$1,0)+1,FALSE)</f>
        <v>ガラスの靴は私のもの</v>
      </c>
      <c r="E1030" s="3" t="str">
        <f ca="1">VLOOKUP($C1030,OFFSET([1]quests!$A$1,0,0,COUNTA([1]quests!$A:$A),MATCH(E$1,[1]quests!$1:$1,0)-MATCH($C$1,[1]quests!$1:$1,0)+1),MATCH(E$1,[1]quests!$1:$1,0)-MATCH($C$1,[1]quests!$1:$1,0)+1,FALSE)</f>
        <v>ドロップイベント2-2（マルチ専用）</v>
      </c>
      <c r="F1030" s="5">
        <v>2</v>
      </c>
      <c r="G1030" s="3" t="str">
        <f ca="1">VLOOKUP($C1030&amp;"_"&amp;$F1030,OFFSET([1]stages!$A$1,0,0,COUNTA([1]stages!$A:$A),MATCH(G$1,[1]stages!$2:$2,0)-MATCH("temp_stage",[1]stages!$2:$2,0)+1),MATCH(G$1,[1]stages!$2:$2,0)-MATCH("temp_stage",[1]stages!$2:$2,0)+1,FALSE)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0" s="3" t="str">
        <f ca="1">VLOOKUP($C1030&amp;"_"&amp;$F1030,OFFSET([1]stages!$A$1,0,0,COUNTA([1]stages!$A:$A),MATCH(H$1,[1]stages!$2:$2,0)-MATCH("temp_stage",[1]stages!$2:$2,0)+1),MATCH(H$1,[1]stages!$2:$2,0)-MATCH("temp_stage",[1]stages!$2:$2,0)+1,FALSE)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0" s="18">
        <v>0</v>
      </c>
      <c r="J1030" s="5">
        <f>COUNTIF(C$1:C1030,C1030)</f>
        <v>6</v>
      </c>
      <c r="K1030" s="34">
        <v>10</v>
      </c>
      <c r="L1030" s="5" t="s">
        <v>17</v>
      </c>
      <c r="M1030" s="38" t="str">
        <f>VLOOKUP(K1030,[2]stage_hints!$A:$C,3,FALSE)</f>
        <v>土日に大量のビットを獲得</v>
      </c>
      <c r="N1030" s="39" t="str">
        <f>VLOOKUP(K1030,[2]stage_hints!$A:$D,4,FALSE)</f>
        <v>土日限定の「ゴールドカジノ」では
売却素材ユニットが多く手に入ります</v>
      </c>
      <c r="O1030" s="20" t="s">
        <v>24</v>
      </c>
      <c r="P1030">
        <v>10</v>
      </c>
    </row>
    <row r="1031" spans="1:16" x14ac:dyDescent="0.15">
      <c r="A1031" s="27" t="str">
        <f t="shared" si="79"/>
        <v>30007_2_7</v>
      </c>
      <c r="B1031" s="25" t="s">
        <v>34</v>
      </c>
      <c r="C1031" s="4">
        <v>30007</v>
      </c>
      <c r="D1031" s="3" t="str">
        <f ca="1">VLOOKUP($C1031,OFFSET([1]quests!$A$1,0,0,COUNTA([1]quests!$A:$A),MATCH(D$1,[1]quests!$1:$1,0)-MATCH($C$1,[1]quests!$1:$1,0)+1),MATCH(D$1,[1]quests!$1:$1,0)-MATCH($C$1,[1]quests!$1:$1,0)+1,FALSE)</f>
        <v>ガラスの靴は私のもの</v>
      </c>
      <c r="E1031" s="3" t="str">
        <f ca="1">VLOOKUP($C1031,OFFSET([1]quests!$A$1,0,0,COUNTA([1]quests!$A:$A),MATCH(E$1,[1]quests!$1:$1,0)-MATCH($C$1,[1]quests!$1:$1,0)+1),MATCH(E$1,[1]quests!$1:$1,0)-MATCH($C$1,[1]quests!$1:$1,0)+1,FALSE)</f>
        <v>ドロップイベント2-2（マルチ専用）</v>
      </c>
      <c r="F1031" s="5">
        <v>2</v>
      </c>
      <c r="G1031" s="3" t="str">
        <f ca="1">VLOOKUP($C1031&amp;"_"&amp;$F1031,OFFSET([1]stages!$A$1,0,0,COUNTA([1]stages!$A:$A),MATCH(G$1,[1]stages!$2:$2,0)-MATCH("temp_stage",[1]stages!$2:$2,0)+1),MATCH(G$1,[1]stages!$2:$2,0)-MATCH("temp_stage",[1]stages!$2:$2,0)+1,FALSE)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1" s="3" t="str">
        <f ca="1">VLOOKUP($C1031&amp;"_"&amp;$F1031,OFFSET([1]stages!$A$1,0,0,COUNTA([1]stages!$A:$A),MATCH(H$1,[1]stages!$2:$2,0)-MATCH("temp_stage",[1]stages!$2:$2,0)+1),MATCH(H$1,[1]stages!$2:$2,0)-MATCH("temp_stage",[1]stages!$2:$2,0)+1,FALSE)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1" s="18">
        <v>0</v>
      </c>
      <c r="J1031" s="5">
        <f>COUNTIF(C$1:C1031,C1031)</f>
        <v>7</v>
      </c>
      <c r="K1031" s="34">
        <v>11</v>
      </c>
      <c r="L1031" s="5" t="s">
        <v>17</v>
      </c>
      <c r="M1031" s="38" t="str">
        <f>VLOOKUP(K1031,[2]stage_hints!$A:$C,3,FALSE)</f>
        <v>ランク解放クエスト</v>
      </c>
      <c r="N1031" s="39" t="str">
        <f>VLOOKUP(K1031,[2]stage_hints!$A:$D,4,FALSE)</f>
        <v>一定ランクに到達すると
報酬付きのランク開放クエストが現れます</v>
      </c>
      <c r="O1031" s="20" t="s">
        <v>24</v>
      </c>
      <c r="P1031">
        <v>11</v>
      </c>
    </row>
    <row r="1032" spans="1:16" x14ac:dyDescent="0.15">
      <c r="A1032" s="27" t="str">
        <f t="shared" si="79"/>
        <v>30007_2_8</v>
      </c>
      <c r="B1032" s="25" t="s">
        <v>34</v>
      </c>
      <c r="C1032" s="4">
        <v>30007</v>
      </c>
      <c r="D1032" s="3" t="str">
        <f ca="1">VLOOKUP($C1032,OFFSET([1]quests!$A$1,0,0,COUNTA([1]quests!$A:$A),MATCH(D$1,[1]quests!$1:$1,0)-MATCH($C$1,[1]quests!$1:$1,0)+1),MATCH(D$1,[1]quests!$1:$1,0)-MATCH($C$1,[1]quests!$1:$1,0)+1,FALSE)</f>
        <v>ガラスの靴は私のもの</v>
      </c>
      <c r="E1032" s="3" t="str">
        <f ca="1">VLOOKUP($C1032,OFFSET([1]quests!$A$1,0,0,COUNTA([1]quests!$A:$A),MATCH(E$1,[1]quests!$1:$1,0)-MATCH($C$1,[1]quests!$1:$1,0)+1),MATCH(E$1,[1]quests!$1:$1,0)-MATCH($C$1,[1]quests!$1:$1,0)+1,FALSE)</f>
        <v>ドロップイベント2-2（マルチ専用）</v>
      </c>
      <c r="F1032" s="5">
        <v>2</v>
      </c>
      <c r="G1032" s="3" t="str">
        <f ca="1">VLOOKUP($C1032&amp;"_"&amp;$F1032,OFFSET([1]stages!$A$1,0,0,COUNTA([1]stages!$A:$A),MATCH(G$1,[1]stages!$2:$2,0)-MATCH("temp_stage",[1]stages!$2:$2,0)+1),MATCH(G$1,[1]stages!$2:$2,0)-MATCH("temp_stage",[1]stages!$2:$2,0)+1,FALSE)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2" s="3" t="str">
        <f ca="1">VLOOKUP($C1032&amp;"_"&amp;$F1032,OFFSET([1]stages!$A$1,0,0,COUNTA([1]stages!$A:$A),MATCH(H$1,[1]stages!$2:$2,0)-MATCH("temp_stage",[1]stages!$2:$2,0)+1),MATCH(H$1,[1]stages!$2:$2,0)-MATCH("temp_stage",[1]stages!$2:$2,0)+1,FALSE)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2" s="18">
        <v>0</v>
      </c>
      <c r="J1032" s="5">
        <f>COUNTIF(C$1:C1032,C1032)</f>
        <v>8</v>
      </c>
      <c r="K1032" s="34">
        <v>12</v>
      </c>
      <c r="L1032" s="5" t="s">
        <v>17</v>
      </c>
      <c r="M1032" s="38" t="str">
        <f>VLOOKUP(K1032,[2]stage_hints!$A:$C,3,FALSE)</f>
        <v>ユニットのお気に入り登録</v>
      </c>
      <c r="N1032" s="39" t="str">
        <f>VLOOKUP(K1032,[2]stage_hints!$A:$D,4,FALSE)</f>
        <v>大事なユニットを誤って消さないように
フォルダから「お気に入り登録」しましょう</v>
      </c>
      <c r="O1032" s="20" t="s">
        <v>24</v>
      </c>
      <c r="P1032">
        <v>12</v>
      </c>
    </row>
    <row r="1033" spans="1:16" x14ac:dyDescent="0.15">
      <c r="A1033" s="27" t="str">
        <f t="shared" si="79"/>
        <v>30007_2_9</v>
      </c>
      <c r="B1033" s="25" t="s">
        <v>34</v>
      </c>
      <c r="C1033" s="4">
        <v>30007</v>
      </c>
      <c r="D1033" s="3" t="str">
        <f ca="1">VLOOKUP($C1033,OFFSET([1]quests!$A$1,0,0,COUNTA([1]quests!$A:$A),MATCH(D$1,[1]quests!$1:$1,0)-MATCH($C$1,[1]quests!$1:$1,0)+1),MATCH(D$1,[1]quests!$1:$1,0)-MATCH($C$1,[1]quests!$1:$1,0)+1,FALSE)</f>
        <v>ガラスの靴は私のもの</v>
      </c>
      <c r="E1033" s="3" t="str">
        <f ca="1">VLOOKUP($C1033,OFFSET([1]quests!$A$1,0,0,COUNTA([1]quests!$A:$A),MATCH(E$1,[1]quests!$1:$1,0)-MATCH($C$1,[1]quests!$1:$1,0)+1),MATCH(E$1,[1]quests!$1:$1,0)-MATCH($C$1,[1]quests!$1:$1,0)+1,FALSE)</f>
        <v>ドロップイベント2-2（マルチ専用）</v>
      </c>
      <c r="F1033" s="5">
        <v>2</v>
      </c>
      <c r="G1033" s="3" t="str">
        <f ca="1">VLOOKUP($C1033&amp;"_"&amp;$F1033,OFFSET([1]stages!$A$1,0,0,COUNTA([1]stages!$A:$A),MATCH(G$1,[1]stages!$2:$2,0)-MATCH("temp_stage",[1]stages!$2:$2,0)+1),MATCH(G$1,[1]stages!$2:$2,0)-MATCH("temp_stage",[1]stages!$2:$2,0)+1,FALSE)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3" s="3" t="str">
        <f ca="1">VLOOKUP($C1033&amp;"_"&amp;$F1033,OFFSET([1]stages!$A$1,0,0,COUNTA([1]stages!$A:$A),MATCH(H$1,[1]stages!$2:$2,0)-MATCH("temp_stage",[1]stages!$2:$2,0)+1),MATCH(H$1,[1]stages!$2:$2,0)-MATCH("temp_stage",[1]stages!$2:$2,0)+1,FALSE)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3" s="18">
        <v>0</v>
      </c>
      <c r="J1033" s="5">
        <f>COUNTIF(C$1:C1033,C1033)</f>
        <v>9</v>
      </c>
      <c r="K1033" s="34">
        <v>13</v>
      </c>
      <c r="L1033" s="5" t="s">
        <v>17</v>
      </c>
      <c r="M1033" s="38" t="str">
        <f>VLOOKUP(K1033,[2]stage_hints!$A:$C,3,FALSE)</f>
        <v>ユニットの覚醒</v>
      </c>
      <c r="N1033" s="39" t="str">
        <f>VLOOKUP(K1033,[2]stage_hints!$A:$D,4,FALSE)</f>
        <v>ユニットを覚醒させると
比べものにならない強さが手に入ります</v>
      </c>
      <c r="O1033" s="20" t="s">
        <v>24</v>
      </c>
      <c r="P1033">
        <v>13</v>
      </c>
    </row>
    <row r="1034" spans="1:16" x14ac:dyDescent="0.15">
      <c r="A1034" s="27" t="str">
        <f t="shared" si="79"/>
        <v>30007_2_10</v>
      </c>
      <c r="B1034" s="25" t="s">
        <v>34</v>
      </c>
      <c r="C1034" s="4">
        <v>30007</v>
      </c>
      <c r="D1034" s="3" t="str">
        <f ca="1">VLOOKUP($C1034,OFFSET([1]quests!$A$1,0,0,COUNTA([1]quests!$A:$A),MATCH(D$1,[1]quests!$1:$1,0)-MATCH($C$1,[1]quests!$1:$1,0)+1),MATCH(D$1,[1]quests!$1:$1,0)-MATCH($C$1,[1]quests!$1:$1,0)+1,FALSE)</f>
        <v>ガラスの靴は私のもの</v>
      </c>
      <c r="E1034" s="3" t="str">
        <f ca="1">VLOOKUP($C1034,OFFSET([1]quests!$A$1,0,0,COUNTA([1]quests!$A:$A),MATCH(E$1,[1]quests!$1:$1,0)-MATCH($C$1,[1]quests!$1:$1,0)+1),MATCH(E$1,[1]quests!$1:$1,0)-MATCH($C$1,[1]quests!$1:$1,0)+1,FALSE)</f>
        <v>ドロップイベント2-2（マルチ専用）</v>
      </c>
      <c r="F1034" s="5">
        <v>2</v>
      </c>
      <c r="G1034" s="3" t="str">
        <f ca="1">VLOOKUP($C1034&amp;"_"&amp;$F1034,OFFSET([1]stages!$A$1,0,0,COUNTA([1]stages!$A:$A),MATCH(G$1,[1]stages!$2:$2,0)-MATCH("temp_stage",[1]stages!$2:$2,0)+1),MATCH(G$1,[1]stages!$2:$2,0)-MATCH("temp_stage",[1]stages!$2:$2,0)+1,FALSE)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4" s="3" t="str">
        <f ca="1">VLOOKUP($C1034&amp;"_"&amp;$F1034,OFFSET([1]stages!$A$1,0,0,COUNTA([1]stages!$A:$A),MATCH(H$1,[1]stages!$2:$2,0)-MATCH("temp_stage",[1]stages!$2:$2,0)+1),MATCH(H$1,[1]stages!$2:$2,0)-MATCH("temp_stage",[1]stages!$2:$2,0)+1,FALSE)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4" s="18">
        <v>0</v>
      </c>
      <c r="J1034" s="5">
        <f>COUNTIF(C$1:C1034,C1034)</f>
        <v>10</v>
      </c>
      <c r="K1034" s="34">
        <v>14</v>
      </c>
      <c r="L1034" s="5" t="s">
        <v>17</v>
      </c>
      <c r="M1034" s="38" t="str">
        <f>VLOOKUP(K1034,[2]stage_hints!$A:$C,3,FALSE)</f>
        <v>覚醒するにはレベルを最大に</v>
      </c>
      <c r="N1034" s="39" t="str">
        <f>VLOOKUP(K1034,[2]stage_hints!$A:$D,4,FALSE)</f>
        <v>覚醒するにはユニットのレベルを
最大まで上げる必要があります</v>
      </c>
      <c r="O1034" s="20" t="s">
        <v>24</v>
      </c>
      <c r="P1034">
        <v>14</v>
      </c>
    </row>
    <row r="1035" spans="1:16" x14ac:dyDescent="0.15">
      <c r="A1035" s="27" t="str">
        <f t="shared" si="79"/>
        <v>30007_2_11</v>
      </c>
      <c r="B1035" s="25" t="s">
        <v>34</v>
      </c>
      <c r="C1035" s="4">
        <v>30007</v>
      </c>
      <c r="D1035" s="3" t="str">
        <f ca="1">VLOOKUP($C1035,OFFSET([1]quests!$A$1,0,0,COUNTA([1]quests!$A:$A),MATCH(D$1,[1]quests!$1:$1,0)-MATCH($C$1,[1]quests!$1:$1,0)+1),MATCH(D$1,[1]quests!$1:$1,0)-MATCH($C$1,[1]quests!$1:$1,0)+1,FALSE)</f>
        <v>ガラスの靴は私のもの</v>
      </c>
      <c r="E1035" s="3" t="str">
        <f ca="1">VLOOKUP($C1035,OFFSET([1]quests!$A$1,0,0,COUNTA([1]quests!$A:$A),MATCH(E$1,[1]quests!$1:$1,0)-MATCH($C$1,[1]quests!$1:$1,0)+1),MATCH(E$1,[1]quests!$1:$1,0)-MATCH($C$1,[1]quests!$1:$1,0)+1,FALSE)</f>
        <v>ドロップイベント2-2（マルチ専用）</v>
      </c>
      <c r="F1035" s="5">
        <v>2</v>
      </c>
      <c r="G1035" s="3" t="str">
        <f ca="1">VLOOKUP($C1035&amp;"_"&amp;$F1035,OFFSET([1]stages!$A$1,0,0,COUNTA([1]stages!$A:$A),MATCH(G$1,[1]stages!$2:$2,0)-MATCH("temp_stage",[1]stages!$2:$2,0)+1),MATCH(G$1,[1]stages!$2:$2,0)-MATCH("temp_stage",[1]stages!$2:$2,0)+1,FALSE)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5" s="3" t="str">
        <f ca="1">VLOOKUP($C1035&amp;"_"&amp;$F1035,OFFSET([1]stages!$A$1,0,0,COUNTA([1]stages!$A:$A),MATCH(H$1,[1]stages!$2:$2,0)-MATCH("temp_stage",[1]stages!$2:$2,0)+1),MATCH(H$1,[1]stages!$2:$2,0)-MATCH("temp_stage",[1]stages!$2:$2,0)+1,FALSE)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5" s="18">
        <v>0</v>
      </c>
      <c r="J1035" s="5">
        <f>COUNTIF(C$1:C1035,C1035)</f>
        <v>11</v>
      </c>
      <c r="K1035" s="34">
        <v>15</v>
      </c>
      <c r="L1035" s="5" t="s">
        <v>17</v>
      </c>
      <c r="M1035" s="38" t="str">
        <f>VLOOKUP(K1035,[2]stage_hints!$A:$C,3,FALSE)</f>
        <v>覚醒素材を獲得</v>
      </c>
      <c r="N1035" s="39" t="str">
        <f>VLOOKUP(K1035,[2]stage_hints!$A:$D,4,FALSE)</f>
        <v>「曜日クエスト」では
ユニットの覚醒に必要な素材が手に入ります</v>
      </c>
      <c r="O1035" s="20" t="s">
        <v>24</v>
      </c>
      <c r="P1035">
        <v>15</v>
      </c>
    </row>
    <row r="1036" spans="1:16" x14ac:dyDescent="0.15">
      <c r="A1036" s="27" t="str">
        <f t="shared" si="79"/>
        <v>30007_2_12</v>
      </c>
      <c r="B1036" s="25" t="s">
        <v>34</v>
      </c>
      <c r="C1036" s="4">
        <v>30007</v>
      </c>
      <c r="D1036" s="3" t="str">
        <f ca="1">VLOOKUP($C1036,OFFSET([1]quests!$A$1,0,0,COUNTA([1]quests!$A:$A),MATCH(D$1,[1]quests!$1:$1,0)-MATCH($C$1,[1]quests!$1:$1,0)+1),MATCH(D$1,[1]quests!$1:$1,0)-MATCH($C$1,[1]quests!$1:$1,0)+1,FALSE)</f>
        <v>ガラスの靴は私のもの</v>
      </c>
      <c r="E1036" s="3" t="str">
        <f ca="1">VLOOKUP($C1036,OFFSET([1]quests!$A$1,0,0,COUNTA([1]quests!$A:$A),MATCH(E$1,[1]quests!$1:$1,0)-MATCH($C$1,[1]quests!$1:$1,0)+1),MATCH(E$1,[1]quests!$1:$1,0)-MATCH($C$1,[1]quests!$1:$1,0)+1,FALSE)</f>
        <v>ドロップイベント2-2（マルチ専用）</v>
      </c>
      <c r="F1036" s="5">
        <v>2</v>
      </c>
      <c r="G1036" s="3" t="str">
        <f ca="1">VLOOKUP($C1036&amp;"_"&amp;$F1036,OFFSET([1]stages!$A$1,0,0,COUNTA([1]stages!$A:$A),MATCH(G$1,[1]stages!$2:$2,0)-MATCH("temp_stage",[1]stages!$2:$2,0)+1),MATCH(G$1,[1]stages!$2:$2,0)-MATCH("temp_stage",[1]stages!$2:$2,0)+1,FALSE)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6" s="3" t="str">
        <f ca="1">VLOOKUP($C1036&amp;"_"&amp;$F1036,OFFSET([1]stages!$A$1,0,0,COUNTA([1]stages!$A:$A),MATCH(H$1,[1]stages!$2:$2,0)-MATCH("temp_stage",[1]stages!$2:$2,0)+1),MATCH(H$1,[1]stages!$2:$2,0)-MATCH("temp_stage",[1]stages!$2:$2,0)+1,FALSE)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6" s="18">
        <v>0</v>
      </c>
      <c r="J1036" s="5">
        <f>COUNTIF(C$1:C1036,C1036)</f>
        <v>12</v>
      </c>
      <c r="K1036" s="34">
        <v>16</v>
      </c>
      <c r="L1036" s="5" t="s">
        <v>17</v>
      </c>
      <c r="M1036" s="38" t="str">
        <f>VLOOKUP(K1036,[2]stage_hints!$A:$C,3,FALSE)</f>
        <v>マルチプレイのメリット（その1）</v>
      </c>
      <c r="N1036" s="39" t="str">
        <f>VLOOKUP(K1036,[2]stage_hints!$A:$D,4,FALSE)</f>
        <v>他のプレイヤーとマルチプレイで遊ぶと
ポリゴンがもらえます（100人まで）</v>
      </c>
      <c r="O1036" s="20" t="s">
        <v>24</v>
      </c>
      <c r="P1036">
        <v>16</v>
      </c>
    </row>
    <row r="1037" spans="1:16" x14ac:dyDescent="0.15">
      <c r="A1037" s="27" t="str">
        <f t="shared" si="79"/>
        <v>30007_2_13</v>
      </c>
      <c r="B1037" s="25" t="s">
        <v>34</v>
      </c>
      <c r="C1037" s="4">
        <v>30007</v>
      </c>
      <c r="D1037" s="3" t="str">
        <f ca="1">VLOOKUP($C1037,OFFSET([1]quests!$A$1,0,0,COUNTA([1]quests!$A:$A),MATCH(D$1,[1]quests!$1:$1,0)-MATCH($C$1,[1]quests!$1:$1,0)+1),MATCH(D$1,[1]quests!$1:$1,0)-MATCH($C$1,[1]quests!$1:$1,0)+1,FALSE)</f>
        <v>ガラスの靴は私のもの</v>
      </c>
      <c r="E1037" s="3" t="str">
        <f ca="1">VLOOKUP($C1037,OFFSET([1]quests!$A$1,0,0,COUNTA([1]quests!$A:$A),MATCH(E$1,[1]quests!$1:$1,0)-MATCH($C$1,[1]quests!$1:$1,0)+1),MATCH(E$1,[1]quests!$1:$1,0)-MATCH($C$1,[1]quests!$1:$1,0)+1,FALSE)</f>
        <v>ドロップイベント2-2（マルチ専用）</v>
      </c>
      <c r="F1037" s="5">
        <v>2</v>
      </c>
      <c r="G1037" s="3" t="str">
        <f ca="1">VLOOKUP($C1037&amp;"_"&amp;$F1037,OFFSET([1]stages!$A$1,0,0,COUNTA([1]stages!$A:$A),MATCH(G$1,[1]stages!$2:$2,0)-MATCH("temp_stage",[1]stages!$2:$2,0)+1),MATCH(G$1,[1]stages!$2:$2,0)-MATCH("temp_stage",[1]stages!$2:$2,0)+1,FALSE)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7" s="3" t="str">
        <f ca="1">VLOOKUP($C1037&amp;"_"&amp;$F1037,OFFSET([1]stages!$A$1,0,0,COUNTA([1]stages!$A:$A),MATCH(H$1,[1]stages!$2:$2,0)-MATCH("temp_stage",[1]stages!$2:$2,0)+1),MATCH(H$1,[1]stages!$2:$2,0)-MATCH("temp_stage",[1]stages!$2:$2,0)+1,FALSE)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7" s="18">
        <v>0</v>
      </c>
      <c r="J1037" s="5">
        <f>COUNTIF(C$1:C1037,C1037)</f>
        <v>13</v>
      </c>
      <c r="K1037" s="34">
        <v>17</v>
      </c>
      <c r="L1037" s="5" t="s">
        <v>17</v>
      </c>
      <c r="M1037" s="38" t="str">
        <f>VLOOKUP(K1037,[2]stage_hints!$A:$C,3,FALSE)</f>
        <v>リンクガチャ</v>
      </c>
      <c r="N1037" s="39" t="str">
        <f>VLOOKUP(K1037,[2]stage_hints!$A:$D,4,FALSE)</f>
        <v>無料のリンクガチャを回して
経験値素材や売却素材を獲得しましょう</v>
      </c>
      <c r="O1037" s="20" t="s">
        <v>24</v>
      </c>
      <c r="P1037">
        <v>17</v>
      </c>
    </row>
    <row r="1038" spans="1:16" x14ac:dyDescent="0.15">
      <c r="A1038" s="27" t="str">
        <f t="shared" si="79"/>
        <v>30007_2_14</v>
      </c>
      <c r="B1038" s="25" t="s">
        <v>34</v>
      </c>
      <c r="C1038" s="4">
        <v>30007</v>
      </c>
      <c r="D1038" s="3" t="str">
        <f ca="1">VLOOKUP($C1038,OFFSET([1]quests!$A$1,0,0,COUNTA([1]quests!$A:$A),MATCH(D$1,[1]quests!$1:$1,0)-MATCH($C$1,[1]quests!$1:$1,0)+1),MATCH(D$1,[1]quests!$1:$1,0)-MATCH($C$1,[1]quests!$1:$1,0)+1,FALSE)</f>
        <v>ガラスの靴は私のもの</v>
      </c>
      <c r="E1038" s="3" t="str">
        <f ca="1">VLOOKUP($C1038,OFFSET([1]quests!$A$1,0,0,COUNTA([1]quests!$A:$A),MATCH(E$1,[1]quests!$1:$1,0)-MATCH($C$1,[1]quests!$1:$1,0)+1),MATCH(E$1,[1]quests!$1:$1,0)-MATCH($C$1,[1]quests!$1:$1,0)+1,FALSE)</f>
        <v>ドロップイベント2-2（マルチ専用）</v>
      </c>
      <c r="F1038" s="5">
        <v>2</v>
      </c>
      <c r="G1038" s="3" t="str">
        <f ca="1">VLOOKUP($C1038&amp;"_"&amp;$F1038,OFFSET([1]stages!$A$1,0,0,COUNTA([1]stages!$A:$A),MATCH(G$1,[1]stages!$2:$2,0)-MATCH("temp_stage",[1]stages!$2:$2,0)+1),MATCH(G$1,[1]stages!$2:$2,0)-MATCH("temp_stage",[1]stages!$2:$2,0)+1,FALSE)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8" s="3" t="str">
        <f ca="1">VLOOKUP($C1038&amp;"_"&amp;$F1038,OFFSET([1]stages!$A$1,0,0,COUNTA([1]stages!$A:$A),MATCH(H$1,[1]stages!$2:$2,0)-MATCH("temp_stage",[1]stages!$2:$2,0)+1),MATCH(H$1,[1]stages!$2:$2,0)-MATCH("temp_stage",[1]stages!$2:$2,0)+1,FALSE)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8" s="18">
        <v>0</v>
      </c>
      <c r="J1038" s="5">
        <f>COUNTIF(C$1:C1038,C1038)</f>
        <v>14</v>
      </c>
      <c r="K1038" s="34">
        <v>18</v>
      </c>
      <c r="L1038" s="5" t="s">
        <v>17</v>
      </c>
      <c r="M1038" s="38" t="str">
        <f>VLOOKUP(K1038,[2]stage_hints!$A:$C,3,FALSE)</f>
        <v>マルチプレイのメリット（その2）</v>
      </c>
      <c r="N1038" s="39" t="str">
        <f>VLOOKUP(K1038,[2]stage_hints!$A:$D,4,FALSE)</f>
        <v>マルチプレイならリンクが2倍もらえます
リンクガチャをたくさん回しましょう</v>
      </c>
      <c r="O1038" s="20" t="s">
        <v>24</v>
      </c>
      <c r="P1038">
        <v>18</v>
      </c>
    </row>
    <row r="1039" spans="1:16" x14ac:dyDescent="0.15">
      <c r="A1039" s="27" t="str">
        <f t="shared" si="79"/>
        <v>30007_2_15</v>
      </c>
      <c r="B1039" s="25" t="s">
        <v>34</v>
      </c>
      <c r="C1039" s="4">
        <v>30007</v>
      </c>
      <c r="D1039" s="3" t="str">
        <f ca="1">VLOOKUP($C1039,OFFSET([1]quests!$A$1,0,0,COUNTA([1]quests!$A:$A),MATCH(D$1,[1]quests!$1:$1,0)-MATCH($C$1,[1]quests!$1:$1,0)+1),MATCH(D$1,[1]quests!$1:$1,0)-MATCH($C$1,[1]quests!$1:$1,0)+1,FALSE)</f>
        <v>ガラスの靴は私のもの</v>
      </c>
      <c r="E1039" s="3" t="str">
        <f ca="1">VLOOKUP($C1039,OFFSET([1]quests!$A$1,0,0,COUNTA([1]quests!$A:$A),MATCH(E$1,[1]quests!$1:$1,0)-MATCH($C$1,[1]quests!$1:$1,0)+1),MATCH(E$1,[1]quests!$1:$1,0)-MATCH($C$1,[1]quests!$1:$1,0)+1,FALSE)</f>
        <v>ドロップイベント2-2（マルチ専用）</v>
      </c>
      <c r="F1039" s="5">
        <v>2</v>
      </c>
      <c r="G1039" s="3" t="str">
        <f ca="1">VLOOKUP($C1039&amp;"_"&amp;$F1039,OFFSET([1]stages!$A$1,0,0,COUNTA([1]stages!$A:$A),MATCH(G$1,[1]stages!$2:$2,0)-MATCH("temp_stage",[1]stages!$2:$2,0)+1),MATCH(G$1,[1]stages!$2:$2,0)-MATCH("temp_stage",[1]stages!$2:$2,0)+1,FALSE)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39" s="3" t="str">
        <f ca="1">VLOOKUP($C1039&amp;"_"&amp;$F1039,OFFSET([1]stages!$A$1,0,0,COUNTA([1]stages!$A:$A),MATCH(H$1,[1]stages!$2:$2,0)-MATCH("temp_stage",[1]stages!$2:$2,0)+1),MATCH(H$1,[1]stages!$2:$2,0)-MATCH("temp_stage",[1]stages!$2:$2,0)+1,FALSE)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39" s="18">
        <v>0</v>
      </c>
      <c r="J1039" s="5">
        <f>COUNTIF(C$1:C1039,C1039)</f>
        <v>15</v>
      </c>
      <c r="K1039" s="34">
        <v>19</v>
      </c>
      <c r="L1039" s="5" t="s">
        <v>17</v>
      </c>
      <c r="M1039" s="38" t="str">
        <f>VLOOKUP(K1039,[2]stage_hints!$A:$C,3,FALSE)</f>
        <v>ソロ専用チャレンジタワー</v>
      </c>
      <c r="N1039" s="39" t="str">
        <f>VLOOKUP(K1039,[2]stage_hints!$A:$D,4,FALSE)</f>
        <v>ソロ専用の「チャレンジタワー」では
各フロアごとにクリア報酬がもらえます</v>
      </c>
      <c r="O1039" s="20" t="s">
        <v>24</v>
      </c>
      <c r="P1039">
        <v>19</v>
      </c>
    </row>
    <row r="1040" spans="1:16" x14ac:dyDescent="0.15">
      <c r="A1040" s="27" t="str">
        <f t="shared" si="79"/>
        <v>30007_2_16</v>
      </c>
      <c r="B1040" s="25" t="s">
        <v>34</v>
      </c>
      <c r="C1040" s="4">
        <v>30007</v>
      </c>
      <c r="D1040" s="3" t="str">
        <f ca="1">VLOOKUP($C1040,OFFSET([1]quests!$A$1,0,0,COUNTA([1]quests!$A:$A),MATCH(D$1,[1]quests!$1:$1,0)-MATCH($C$1,[1]quests!$1:$1,0)+1),MATCH(D$1,[1]quests!$1:$1,0)-MATCH($C$1,[1]quests!$1:$1,0)+1,FALSE)</f>
        <v>ガラスの靴は私のもの</v>
      </c>
      <c r="E1040" s="3" t="str">
        <f ca="1">VLOOKUP($C1040,OFFSET([1]quests!$A$1,0,0,COUNTA([1]quests!$A:$A),MATCH(E$1,[1]quests!$1:$1,0)-MATCH($C$1,[1]quests!$1:$1,0)+1),MATCH(E$1,[1]quests!$1:$1,0)-MATCH($C$1,[1]quests!$1:$1,0)+1,FALSE)</f>
        <v>ドロップイベント2-2（マルチ専用）</v>
      </c>
      <c r="F1040" s="5">
        <v>2</v>
      </c>
      <c r="G1040" s="3" t="str">
        <f ca="1">VLOOKUP($C1040&amp;"_"&amp;$F1040,OFFSET([1]stages!$A$1,0,0,COUNTA([1]stages!$A:$A),MATCH(G$1,[1]stages!$2:$2,0)-MATCH("temp_stage",[1]stages!$2:$2,0)+1),MATCH(G$1,[1]stages!$2:$2,0)-MATCH("temp_stage",[1]stages!$2:$2,0)+1,FALSE)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0" s="3" t="str">
        <f ca="1">VLOOKUP($C1040&amp;"_"&amp;$F1040,OFFSET([1]stages!$A$1,0,0,COUNTA([1]stages!$A:$A),MATCH(H$1,[1]stages!$2:$2,0)-MATCH("temp_stage",[1]stages!$2:$2,0)+1),MATCH(H$1,[1]stages!$2:$2,0)-MATCH("temp_stage",[1]stages!$2:$2,0)+1,FALSE)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0" s="18">
        <v>0</v>
      </c>
      <c r="J1040" s="5">
        <f>COUNTIF(C$1:C1040,C1040)</f>
        <v>16</v>
      </c>
      <c r="K1040" s="34">
        <v>20</v>
      </c>
      <c r="L1040" s="5" t="s">
        <v>17</v>
      </c>
      <c r="M1040" s="38" t="str">
        <f>VLOOKUP(K1040,[2]stage_hints!$A:$C,3,FALSE)</f>
        <v>マルチプレイのメリット（その3）</v>
      </c>
      <c r="N1040" s="39" t="str">
        <f>VLOOKUP(K1040,[2]stage_hints!$A:$D,4,FALSE)</f>
        <v>マルチプレイへの参加はエナジー消費ゼロ
いつでも好きなだけ遊ぶことができます</v>
      </c>
      <c r="O1040" s="20" t="s">
        <v>24</v>
      </c>
      <c r="P1040">
        <v>20</v>
      </c>
    </row>
    <row r="1041" spans="1:16" x14ac:dyDescent="0.15">
      <c r="A1041" s="27" t="str">
        <f t="shared" si="79"/>
        <v>30007_2_17</v>
      </c>
      <c r="B1041" s="25" t="s">
        <v>34</v>
      </c>
      <c r="C1041" s="4">
        <v>30007</v>
      </c>
      <c r="D1041" s="3" t="str">
        <f ca="1">VLOOKUP($C1041,OFFSET([1]quests!$A$1,0,0,COUNTA([1]quests!$A:$A),MATCH(D$1,[1]quests!$1:$1,0)-MATCH($C$1,[1]quests!$1:$1,0)+1),MATCH(D$1,[1]quests!$1:$1,0)-MATCH($C$1,[1]quests!$1:$1,0)+1,FALSE)</f>
        <v>ガラスの靴は私のもの</v>
      </c>
      <c r="E1041" s="3" t="str">
        <f ca="1">VLOOKUP($C1041,OFFSET([1]quests!$A$1,0,0,COUNTA([1]quests!$A:$A),MATCH(E$1,[1]quests!$1:$1,0)-MATCH($C$1,[1]quests!$1:$1,0)+1),MATCH(E$1,[1]quests!$1:$1,0)-MATCH($C$1,[1]quests!$1:$1,0)+1,FALSE)</f>
        <v>ドロップイベント2-2（マルチ専用）</v>
      </c>
      <c r="F1041" s="5">
        <v>2</v>
      </c>
      <c r="G1041" s="3" t="str">
        <f ca="1">VLOOKUP($C1041&amp;"_"&amp;$F1041,OFFSET([1]stages!$A$1,0,0,COUNTA([1]stages!$A:$A),MATCH(G$1,[1]stages!$2:$2,0)-MATCH("temp_stage",[1]stages!$2:$2,0)+1),MATCH(G$1,[1]stages!$2:$2,0)-MATCH("temp_stage",[1]stages!$2:$2,0)+1,FALSE)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1" s="3" t="str">
        <f ca="1">VLOOKUP($C1041&amp;"_"&amp;$F1041,OFFSET([1]stages!$A$1,0,0,COUNTA([1]stages!$A:$A),MATCH(H$1,[1]stages!$2:$2,0)-MATCH("temp_stage",[1]stages!$2:$2,0)+1),MATCH(H$1,[1]stages!$2:$2,0)-MATCH("temp_stage",[1]stages!$2:$2,0)+1,FALSE)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1" s="18">
        <v>0</v>
      </c>
      <c r="J1041" s="5">
        <f>COUNTIF(C$1:C1041,C1041)</f>
        <v>17</v>
      </c>
      <c r="K1041" s="34">
        <v>21</v>
      </c>
      <c r="L1041" s="5" t="s">
        <v>17</v>
      </c>
      <c r="M1041" s="38" t="str">
        <f>VLOOKUP(K1041,[2]stage_hints!$A:$C,3,FALSE)</f>
        <v>スキルを有効に</v>
      </c>
      <c r="N1041" s="39" t="str">
        <f>VLOOKUP(K1041,[2]stage_hints!$A:$D,4,FALSE)</f>
        <v>ターン経過でユニットのスキルが使えます
強力スキルでバトルを有利に進めましょう</v>
      </c>
      <c r="O1041" s="20" t="s">
        <v>24</v>
      </c>
      <c r="P1041">
        <v>21</v>
      </c>
    </row>
    <row r="1042" spans="1:16" x14ac:dyDescent="0.15">
      <c r="A1042" s="27" t="str">
        <f t="shared" si="79"/>
        <v>30007_2_18</v>
      </c>
      <c r="B1042" s="25" t="s">
        <v>34</v>
      </c>
      <c r="C1042" s="4">
        <v>30007</v>
      </c>
      <c r="D1042" s="3" t="str">
        <f ca="1">VLOOKUP($C1042,OFFSET([1]quests!$A$1,0,0,COUNTA([1]quests!$A:$A),MATCH(D$1,[1]quests!$1:$1,0)-MATCH($C$1,[1]quests!$1:$1,0)+1),MATCH(D$1,[1]quests!$1:$1,0)-MATCH($C$1,[1]quests!$1:$1,0)+1,FALSE)</f>
        <v>ガラスの靴は私のもの</v>
      </c>
      <c r="E1042" s="3" t="str">
        <f ca="1">VLOOKUP($C1042,OFFSET([1]quests!$A$1,0,0,COUNTA([1]quests!$A:$A),MATCH(E$1,[1]quests!$1:$1,0)-MATCH($C$1,[1]quests!$1:$1,0)+1),MATCH(E$1,[1]quests!$1:$1,0)-MATCH($C$1,[1]quests!$1:$1,0)+1,FALSE)</f>
        <v>ドロップイベント2-2（マルチ専用）</v>
      </c>
      <c r="F1042" s="5">
        <v>2</v>
      </c>
      <c r="G1042" s="3" t="str">
        <f ca="1">VLOOKUP($C1042&amp;"_"&amp;$F1042,OFFSET([1]stages!$A$1,0,0,COUNTA([1]stages!$A:$A),MATCH(G$1,[1]stages!$2:$2,0)-MATCH("temp_stage",[1]stages!$2:$2,0)+1),MATCH(G$1,[1]stages!$2:$2,0)-MATCH("temp_stage",[1]stages!$2:$2,0)+1,FALSE)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2" s="3" t="str">
        <f ca="1">VLOOKUP($C1042&amp;"_"&amp;$F1042,OFFSET([1]stages!$A$1,0,0,COUNTA([1]stages!$A:$A),MATCH(H$1,[1]stages!$2:$2,0)-MATCH("temp_stage",[1]stages!$2:$2,0)+1),MATCH(H$1,[1]stages!$2:$2,0)-MATCH("temp_stage",[1]stages!$2:$2,0)+1,FALSE)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2" s="18">
        <v>0</v>
      </c>
      <c r="J1042" s="5">
        <f>COUNTIF(C$1:C1042,C1042)</f>
        <v>18</v>
      </c>
      <c r="K1042" s="34">
        <v>22</v>
      </c>
      <c r="L1042" s="5" t="s">
        <v>17</v>
      </c>
      <c r="M1042" s="38" t="str">
        <f>VLOOKUP(K1042,[2]stage_hints!$A:$C,3,FALSE)</f>
        <v>フィーバーで一発逆転（その1）</v>
      </c>
      <c r="N1042" s="39" t="str">
        <f>VLOOKUP(K1042,[2]stage_hints!$A:$D,4,FALSE)</f>
        <v>フィーバーは攻撃と回復を兼ね備えます
ピンチからの一発逆転を狙いましょう</v>
      </c>
      <c r="O1042" s="20" t="s">
        <v>24</v>
      </c>
      <c r="P1042">
        <v>22</v>
      </c>
    </row>
    <row r="1043" spans="1:16" x14ac:dyDescent="0.15">
      <c r="A1043" s="27" t="str">
        <f t="shared" si="79"/>
        <v>30007_2_19</v>
      </c>
      <c r="B1043" s="25" t="s">
        <v>34</v>
      </c>
      <c r="C1043" s="4">
        <v>30007</v>
      </c>
      <c r="D1043" s="3" t="str">
        <f ca="1">VLOOKUP($C1043,OFFSET([1]quests!$A$1,0,0,COUNTA([1]quests!$A:$A),MATCH(D$1,[1]quests!$1:$1,0)-MATCH($C$1,[1]quests!$1:$1,0)+1),MATCH(D$1,[1]quests!$1:$1,0)-MATCH($C$1,[1]quests!$1:$1,0)+1,FALSE)</f>
        <v>ガラスの靴は私のもの</v>
      </c>
      <c r="E1043" s="3" t="str">
        <f ca="1">VLOOKUP($C1043,OFFSET([1]quests!$A$1,0,0,COUNTA([1]quests!$A:$A),MATCH(E$1,[1]quests!$1:$1,0)-MATCH($C$1,[1]quests!$1:$1,0)+1),MATCH(E$1,[1]quests!$1:$1,0)-MATCH($C$1,[1]quests!$1:$1,0)+1,FALSE)</f>
        <v>ドロップイベント2-2（マルチ専用）</v>
      </c>
      <c r="F1043" s="5">
        <v>2</v>
      </c>
      <c r="G1043" s="3" t="str">
        <f ca="1">VLOOKUP($C1043&amp;"_"&amp;$F1043,OFFSET([1]stages!$A$1,0,0,COUNTA([1]stages!$A:$A),MATCH(G$1,[1]stages!$2:$2,0)-MATCH("temp_stage",[1]stages!$2:$2,0)+1),MATCH(G$1,[1]stages!$2:$2,0)-MATCH("temp_stage",[1]stages!$2:$2,0)+1,FALSE)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3" s="3" t="str">
        <f ca="1">VLOOKUP($C1043&amp;"_"&amp;$F1043,OFFSET([1]stages!$A$1,0,0,COUNTA([1]stages!$A:$A),MATCH(H$1,[1]stages!$2:$2,0)-MATCH("temp_stage",[1]stages!$2:$2,0)+1),MATCH(H$1,[1]stages!$2:$2,0)-MATCH("temp_stage",[1]stages!$2:$2,0)+1,FALSE)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3" s="18">
        <v>0</v>
      </c>
      <c r="J1043" s="5">
        <f>COUNTIF(C$1:C1043,C1043)</f>
        <v>19</v>
      </c>
      <c r="K1043" s="34">
        <v>23</v>
      </c>
      <c r="L1043" s="5" t="s">
        <v>17</v>
      </c>
      <c r="M1043" s="38" t="str">
        <f>VLOOKUP(K1043,[2]stage_hints!$A:$C,3,FALSE)</f>
        <v>フィーバーで一発逆転（その2）</v>
      </c>
      <c r="N1043" s="39" t="str">
        <f>VLOOKUP(K1043,[2]stage_hints!$A:$D,4,FALSE)</f>
        <v>フィーバー中は虹色のボムパネルを狙って
画面上のパネルを一気に破壊しましょう</v>
      </c>
      <c r="O1043" s="20" t="s">
        <v>24</v>
      </c>
      <c r="P1043">
        <v>23</v>
      </c>
    </row>
    <row r="1044" spans="1:16" x14ac:dyDescent="0.15">
      <c r="A1044" s="27" t="str">
        <f t="shared" si="79"/>
        <v>30007_2_20</v>
      </c>
      <c r="B1044" s="25" t="s">
        <v>34</v>
      </c>
      <c r="C1044" s="4">
        <v>30007</v>
      </c>
      <c r="D1044" s="3" t="str">
        <f ca="1">VLOOKUP($C1044,OFFSET([1]quests!$A$1,0,0,COUNTA([1]quests!$A:$A),MATCH(D$1,[1]quests!$1:$1,0)-MATCH($C$1,[1]quests!$1:$1,0)+1),MATCH(D$1,[1]quests!$1:$1,0)-MATCH($C$1,[1]quests!$1:$1,0)+1,FALSE)</f>
        <v>ガラスの靴は私のもの</v>
      </c>
      <c r="E1044" s="3" t="str">
        <f ca="1">VLOOKUP($C1044,OFFSET([1]quests!$A$1,0,0,COUNTA([1]quests!$A:$A),MATCH(E$1,[1]quests!$1:$1,0)-MATCH($C$1,[1]quests!$1:$1,0)+1),MATCH(E$1,[1]quests!$1:$1,0)-MATCH($C$1,[1]quests!$1:$1,0)+1,FALSE)</f>
        <v>ドロップイベント2-2（マルチ専用）</v>
      </c>
      <c r="F1044" s="5">
        <v>2</v>
      </c>
      <c r="G1044" s="3" t="str">
        <f ca="1">VLOOKUP($C1044&amp;"_"&amp;$F1044,OFFSET([1]stages!$A$1,0,0,COUNTA([1]stages!$A:$A),MATCH(G$1,[1]stages!$2:$2,0)-MATCH("temp_stage",[1]stages!$2:$2,0)+1),MATCH(G$1,[1]stages!$2:$2,0)-MATCH("temp_stage",[1]stages!$2:$2,0)+1,FALSE)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4" s="3" t="str">
        <f ca="1">VLOOKUP($C1044&amp;"_"&amp;$F1044,OFFSET([1]stages!$A$1,0,0,COUNTA([1]stages!$A:$A),MATCH(H$1,[1]stages!$2:$2,0)-MATCH("temp_stage",[1]stages!$2:$2,0)+1),MATCH(H$1,[1]stages!$2:$2,0)-MATCH("temp_stage",[1]stages!$2:$2,0)+1,FALSE)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4" s="18">
        <v>0</v>
      </c>
      <c r="J1044" s="5">
        <f>COUNTIF(C$1:C1044,C1044)</f>
        <v>20</v>
      </c>
      <c r="K1044" s="34">
        <v>24</v>
      </c>
      <c r="L1044" s="5" t="s">
        <v>17</v>
      </c>
      <c r="M1044" s="38" t="str">
        <f>VLOOKUP(K1044,[2]stage_hints!$A:$C,3,FALSE)</f>
        <v>りんごを使って限界突破</v>
      </c>
      <c r="N1044" s="39" t="str">
        <f>VLOOKUP(K1044,[2]stage_hints!$A:$D,4,FALSE)</f>
        <v>赤りんご(攻撃力) 青りんご(回復力)
緑りんご(体力)をユニット強化に使うと
ステータスが限界突破します（計99個迄）</v>
      </c>
      <c r="O1044" s="20" t="s">
        <v>24</v>
      </c>
      <c r="P1044">
        <v>24</v>
      </c>
    </row>
    <row r="1045" spans="1:16" x14ac:dyDescent="0.15">
      <c r="A1045" s="27" t="str">
        <f t="shared" si="79"/>
        <v>30007_2_21</v>
      </c>
      <c r="B1045" s="25" t="s">
        <v>34</v>
      </c>
      <c r="C1045" s="4">
        <v>30007</v>
      </c>
      <c r="D1045" s="3" t="str">
        <f ca="1">VLOOKUP($C1045,OFFSET([1]quests!$A$1,0,0,COUNTA([1]quests!$A:$A),MATCH(D$1,[1]quests!$1:$1,0)-MATCH($C$1,[1]quests!$1:$1,0)+1),MATCH(D$1,[1]quests!$1:$1,0)-MATCH($C$1,[1]quests!$1:$1,0)+1,FALSE)</f>
        <v>ガラスの靴は私のもの</v>
      </c>
      <c r="E1045" s="3" t="str">
        <f ca="1">VLOOKUP($C1045,OFFSET([1]quests!$A$1,0,0,COUNTA([1]quests!$A:$A),MATCH(E$1,[1]quests!$1:$1,0)-MATCH($C$1,[1]quests!$1:$1,0)+1),MATCH(E$1,[1]quests!$1:$1,0)-MATCH($C$1,[1]quests!$1:$1,0)+1,FALSE)</f>
        <v>ドロップイベント2-2（マルチ専用）</v>
      </c>
      <c r="F1045" s="5">
        <v>2</v>
      </c>
      <c r="G1045" s="3" t="str">
        <f ca="1">VLOOKUP($C1045&amp;"_"&amp;$F1045,OFFSET([1]stages!$A$1,0,0,COUNTA([1]stages!$A:$A),MATCH(G$1,[1]stages!$2:$2,0)-MATCH("temp_stage",[1]stages!$2:$2,0)+1),MATCH(G$1,[1]stages!$2:$2,0)-MATCH("temp_stage",[1]stages!$2:$2,0)+1,FALSE)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5" s="3" t="str">
        <f ca="1">VLOOKUP($C1045&amp;"_"&amp;$F1045,OFFSET([1]stages!$A$1,0,0,COUNTA([1]stages!$A:$A),MATCH(H$1,[1]stages!$2:$2,0)-MATCH("temp_stage",[1]stages!$2:$2,0)+1),MATCH(H$1,[1]stages!$2:$2,0)-MATCH("temp_stage",[1]stages!$2:$2,0)+1,FALSE)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5" s="18">
        <v>0</v>
      </c>
      <c r="J1045" s="5">
        <f>COUNTIF(C$1:C1045,C1045)</f>
        <v>21</v>
      </c>
      <c r="K1045" s="34">
        <v>25</v>
      </c>
      <c r="L1045" s="5" t="s">
        <v>17</v>
      </c>
      <c r="M1045" s="38" t="str">
        <f>VLOOKUP(K1045,[2]stage_hints!$A:$C,3,FALSE)</f>
        <v>スキルレベルアップ</v>
      </c>
      <c r="N1045" s="39" t="str">
        <f>VLOOKUP(K1045,[2]stage_hints!$A:$D,4,FALSE)</f>
        <v>「クリスタルのりんご」を強化に使うと
スキルレベルを上げることができます</v>
      </c>
      <c r="O1045" s="20" t="s">
        <v>24</v>
      </c>
      <c r="P1045">
        <v>25</v>
      </c>
    </row>
    <row r="1046" spans="1:16" x14ac:dyDescent="0.15">
      <c r="A1046" s="27" t="str">
        <f t="shared" si="79"/>
        <v>30007_2_22</v>
      </c>
      <c r="B1046" s="25" t="s">
        <v>34</v>
      </c>
      <c r="C1046" s="4">
        <v>30007</v>
      </c>
      <c r="D1046" s="3" t="str">
        <f ca="1">VLOOKUP($C1046,OFFSET([1]quests!$A$1,0,0,COUNTA([1]quests!$A:$A),MATCH(D$1,[1]quests!$1:$1,0)-MATCH($C$1,[1]quests!$1:$1,0)+1),MATCH(D$1,[1]quests!$1:$1,0)-MATCH($C$1,[1]quests!$1:$1,0)+1,FALSE)</f>
        <v>ガラスの靴は私のもの</v>
      </c>
      <c r="E1046" s="3" t="str">
        <f ca="1">VLOOKUP($C1046,OFFSET([1]quests!$A$1,0,0,COUNTA([1]quests!$A:$A),MATCH(E$1,[1]quests!$1:$1,0)-MATCH($C$1,[1]quests!$1:$1,0)+1),MATCH(E$1,[1]quests!$1:$1,0)-MATCH($C$1,[1]quests!$1:$1,0)+1,FALSE)</f>
        <v>ドロップイベント2-2（マルチ専用）</v>
      </c>
      <c r="F1046" s="5">
        <v>2</v>
      </c>
      <c r="G1046" s="3" t="str">
        <f ca="1">VLOOKUP($C1046&amp;"_"&amp;$F1046,OFFSET([1]stages!$A$1,0,0,COUNTA([1]stages!$A:$A),MATCH(G$1,[1]stages!$2:$2,0)-MATCH("temp_stage",[1]stages!$2:$2,0)+1),MATCH(G$1,[1]stages!$2:$2,0)-MATCH("temp_stage",[1]stages!$2:$2,0)+1,FALSE)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6" s="3" t="str">
        <f ca="1">VLOOKUP($C1046&amp;"_"&amp;$F1046,OFFSET([1]stages!$A$1,0,0,COUNTA([1]stages!$A:$A),MATCH(H$1,[1]stages!$2:$2,0)-MATCH("temp_stage",[1]stages!$2:$2,0)+1),MATCH(H$1,[1]stages!$2:$2,0)-MATCH("temp_stage",[1]stages!$2:$2,0)+1,FALSE)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6" s="18">
        <v>0</v>
      </c>
      <c r="J1046" s="5">
        <f>COUNTIF(C$1:C1046,C1046)</f>
        <v>22</v>
      </c>
      <c r="K1046" s="34">
        <v>26</v>
      </c>
      <c r="L1046" s="5" t="s">
        <v>17</v>
      </c>
      <c r="M1046" s="38" t="str">
        <f>VLOOKUP(K1046,[2]stage_hints!$A:$C,3,FALSE)</f>
        <v>スキルレベルの効果</v>
      </c>
      <c r="N1046" s="39" t="str">
        <f>VLOOKUP(K1046,[2]stage_hints!$A:$D,4,FALSE)</f>
        <v>スキルレベルが上がると
短いターンでスキルを使うことができます</v>
      </c>
      <c r="O1046" s="20" t="s">
        <v>24</v>
      </c>
      <c r="P1046">
        <v>26</v>
      </c>
    </row>
    <row r="1047" spans="1:16" x14ac:dyDescent="0.15">
      <c r="A1047" s="27" t="str">
        <f t="shared" si="79"/>
        <v>30007_2_23</v>
      </c>
      <c r="B1047" s="25" t="s">
        <v>34</v>
      </c>
      <c r="C1047" s="4">
        <v>30007</v>
      </c>
      <c r="D1047" s="3" t="str">
        <f ca="1">VLOOKUP($C1047,OFFSET([1]quests!$A$1,0,0,COUNTA([1]quests!$A:$A),MATCH(D$1,[1]quests!$1:$1,0)-MATCH($C$1,[1]quests!$1:$1,0)+1),MATCH(D$1,[1]quests!$1:$1,0)-MATCH($C$1,[1]quests!$1:$1,0)+1,FALSE)</f>
        <v>ガラスの靴は私のもの</v>
      </c>
      <c r="E1047" s="3" t="str">
        <f ca="1">VLOOKUP($C1047,OFFSET([1]quests!$A$1,0,0,COUNTA([1]quests!$A:$A),MATCH(E$1,[1]quests!$1:$1,0)-MATCH($C$1,[1]quests!$1:$1,0)+1),MATCH(E$1,[1]quests!$1:$1,0)-MATCH($C$1,[1]quests!$1:$1,0)+1,FALSE)</f>
        <v>ドロップイベント2-2（マルチ専用）</v>
      </c>
      <c r="F1047" s="5">
        <v>2</v>
      </c>
      <c r="G1047" s="3" t="str">
        <f ca="1">VLOOKUP($C1047&amp;"_"&amp;$F1047,OFFSET([1]stages!$A$1,0,0,COUNTA([1]stages!$A:$A),MATCH(G$1,[1]stages!$2:$2,0)-MATCH("temp_stage",[1]stages!$2:$2,0)+1),MATCH(G$1,[1]stages!$2:$2,0)-MATCH("temp_stage",[1]stages!$2:$2,0)+1,FALSE)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7" s="3" t="str">
        <f ca="1">VLOOKUP($C1047&amp;"_"&amp;$F1047,OFFSET([1]stages!$A$1,0,0,COUNTA([1]stages!$A:$A),MATCH(H$1,[1]stages!$2:$2,0)-MATCH("temp_stage",[1]stages!$2:$2,0)+1),MATCH(H$1,[1]stages!$2:$2,0)-MATCH("temp_stage",[1]stages!$2:$2,0)+1,FALSE)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7" s="18">
        <v>0</v>
      </c>
      <c r="J1047" s="5">
        <f>COUNTIF(C$1:C1047,C1047)</f>
        <v>23</v>
      </c>
      <c r="K1047" s="34">
        <v>27</v>
      </c>
      <c r="L1047" s="5" t="s">
        <v>17</v>
      </c>
      <c r="M1047" s="38" t="str">
        <f>VLOOKUP(K1047,[2]stage_hints!$A:$C,3,FALSE)</f>
        <v>ホーム画面からデッキを編成</v>
      </c>
      <c r="N1047" s="39" t="str">
        <f>VLOOKUP(K1047,[2]stage_hints!$A:$D,4,FALSE)</f>
        <v>ホーム画面でユニットを長押しすると
すぐにパーティ編成に移動できます</v>
      </c>
      <c r="O1047" s="20" t="s">
        <v>24</v>
      </c>
      <c r="P1047">
        <v>27</v>
      </c>
    </row>
    <row r="1048" spans="1:16" x14ac:dyDescent="0.15">
      <c r="A1048" s="27" t="str">
        <f t="shared" si="79"/>
        <v>30007_2_24</v>
      </c>
      <c r="B1048" s="25" t="s">
        <v>34</v>
      </c>
      <c r="C1048" s="4">
        <v>30007</v>
      </c>
      <c r="D1048" s="3" t="str">
        <f ca="1">VLOOKUP($C1048,OFFSET([1]quests!$A$1,0,0,COUNTA([1]quests!$A:$A),MATCH(D$1,[1]quests!$1:$1,0)-MATCH($C$1,[1]quests!$1:$1,0)+1),MATCH(D$1,[1]quests!$1:$1,0)-MATCH($C$1,[1]quests!$1:$1,0)+1,FALSE)</f>
        <v>ガラスの靴は私のもの</v>
      </c>
      <c r="E1048" s="3" t="str">
        <f ca="1">VLOOKUP($C1048,OFFSET([1]quests!$A$1,0,0,COUNTA([1]quests!$A:$A),MATCH(E$1,[1]quests!$1:$1,0)-MATCH($C$1,[1]quests!$1:$1,0)+1),MATCH(E$1,[1]quests!$1:$1,0)-MATCH($C$1,[1]quests!$1:$1,0)+1,FALSE)</f>
        <v>ドロップイベント2-2（マルチ専用）</v>
      </c>
      <c r="F1048" s="5">
        <v>2</v>
      </c>
      <c r="G1048" s="3" t="str">
        <f ca="1">VLOOKUP($C1048&amp;"_"&amp;$F1048,OFFSET([1]stages!$A$1,0,0,COUNTA([1]stages!$A:$A),MATCH(G$1,[1]stages!$2:$2,0)-MATCH("temp_stage",[1]stages!$2:$2,0)+1),MATCH(G$1,[1]stages!$2:$2,0)-MATCH("temp_stage",[1]stages!$2:$2,0)+1,FALSE)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8" s="3" t="str">
        <f ca="1">VLOOKUP($C1048&amp;"_"&amp;$F1048,OFFSET([1]stages!$A$1,0,0,COUNTA([1]stages!$A:$A),MATCH(H$1,[1]stages!$2:$2,0)-MATCH("temp_stage",[1]stages!$2:$2,0)+1),MATCH(H$1,[1]stages!$2:$2,0)-MATCH("temp_stage",[1]stages!$2:$2,0)+1,FALSE)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8" s="18">
        <v>0</v>
      </c>
      <c r="J1048" s="5">
        <f>COUNTIF(C$1:C1048,C1048)</f>
        <v>24</v>
      </c>
      <c r="K1048" s="34">
        <v>28</v>
      </c>
      <c r="L1048" s="5" t="s">
        <v>17</v>
      </c>
      <c r="M1048" s="38" t="str">
        <f>VLOOKUP(K1048,[2]stage_hints!$A:$C,3,FALSE)</f>
        <v>ステータス情報は長押しで</v>
      </c>
      <c r="N1048" s="39" t="str">
        <f>VLOOKUP(K1048,[2]stage_hints!$A:$D,4,FALSE)</f>
        <v>ユニットのアイコンを長押しすると
ステータス情報を確認することができます</v>
      </c>
      <c r="O1048" s="20" t="s">
        <v>24</v>
      </c>
      <c r="P1048">
        <v>28</v>
      </c>
    </row>
    <row r="1049" spans="1:16" x14ac:dyDescent="0.15">
      <c r="A1049" s="27" t="str">
        <f t="shared" si="79"/>
        <v>30007_2_25</v>
      </c>
      <c r="B1049" s="25" t="s">
        <v>34</v>
      </c>
      <c r="C1049" s="4">
        <v>30007</v>
      </c>
      <c r="D1049" s="3" t="str">
        <f ca="1">VLOOKUP($C1049,OFFSET([1]quests!$A$1,0,0,COUNTA([1]quests!$A:$A),MATCH(D$1,[1]quests!$1:$1,0)-MATCH($C$1,[1]quests!$1:$1,0)+1),MATCH(D$1,[1]quests!$1:$1,0)-MATCH($C$1,[1]quests!$1:$1,0)+1,FALSE)</f>
        <v>ガラスの靴は私のもの</v>
      </c>
      <c r="E1049" s="3" t="str">
        <f ca="1">VLOOKUP($C1049,OFFSET([1]quests!$A$1,0,0,COUNTA([1]quests!$A:$A),MATCH(E$1,[1]quests!$1:$1,0)-MATCH($C$1,[1]quests!$1:$1,0)+1),MATCH(E$1,[1]quests!$1:$1,0)-MATCH($C$1,[1]quests!$1:$1,0)+1,FALSE)</f>
        <v>ドロップイベント2-2（マルチ専用）</v>
      </c>
      <c r="F1049" s="5">
        <v>2</v>
      </c>
      <c r="G1049" s="3" t="str">
        <f ca="1">VLOOKUP($C1049&amp;"_"&amp;$F1049,OFFSET([1]stages!$A$1,0,0,COUNTA([1]stages!$A:$A),MATCH(G$1,[1]stages!$2:$2,0)-MATCH("temp_stage",[1]stages!$2:$2,0)+1),MATCH(G$1,[1]stages!$2:$2,0)-MATCH("temp_stage",[1]stages!$2:$2,0)+1,FALSE)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49" s="3" t="str">
        <f ca="1">VLOOKUP($C1049&amp;"_"&amp;$F1049,OFFSET([1]stages!$A$1,0,0,COUNTA([1]stages!$A:$A),MATCH(H$1,[1]stages!$2:$2,0)-MATCH("temp_stage",[1]stages!$2:$2,0)+1),MATCH(H$1,[1]stages!$2:$2,0)-MATCH("temp_stage",[1]stages!$2:$2,0)+1,FALSE)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49" s="18">
        <v>0</v>
      </c>
      <c r="J1049" s="5">
        <f>COUNTIF(C$1:C1049,C1049)</f>
        <v>25</v>
      </c>
      <c r="K1049" s="34">
        <v>29</v>
      </c>
      <c r="L1049" s="5" t="s">
        <v>17</v>
      </c>
      <c r="M1049" s="38" t="str">
        <f>VLOOKUP(K1049,[2]stage_hints!$A:$C,3,FALSE)</f>
        <v>「バグ」のメリット</v>
      </c>
      <c r="N1049" s="39" t="str">
        <f>VLOOKUP(K1049,[2]stage_hints!$A:$D,4,FALSE)</f>
        <v>ユニットの「バグ」を増やすと
報酬をもらえる確率がアップします</v>
      </c>
      <c r="O1049" s="20" t="s">
        <v>24</v>
      </c>
      <c r="P1049">
        <v>29</v>
      </c>
    </row>
    <row r="1050" spans="1:16" x14ac:dyDescent="0.15">
      <c r="A1050" s="27" t="str">
        <f t="shared" si="79"/>
        <v>30007_2_26</v>
      </c>
      <c r="B1050" s="25" t="s">
        <v>34</v>
      </c>
      <c r="C1050" s="4">
        <v>30007</v>
      </c>
      <c r="D1050" s="3" t="str">
        <f ca="1">VLOOKUP($C1050,OFFSET([1]quests!$A$1,0,0,COUNTA([1]quests!$A:$A),MATCH(D$1,[1]quests!$1:$1,0)-MATCH($C$1,[1]quests!$1:$1,0)+1),MATCH(D$1,[1]quests!$1:$1,0)-MATCH($C$1,[1]quests!$1:$1,0)+1,FALSE)</f>
        <v>ガラスの靴は私のもの</v>
      </c>
      <c r="E1050" s="3" t="str">
        <f ca="1">VLOOKUP($C1050,OFFSET([1]quests!$A$1,0,0,COUNTA([1]quests!$A:$A),MATCH(E$1,[1]quests!$1:$1,0)-MATCH($C$1,[1]quests!$1:$1,0)+1),MATCH(E$1,[1]quests!$1:$1,0)-MATCH($C$1,[1]quests!$1:$1,0)+1,FALSE)</f>
        <v>ドロップイベント2-2（マルチ専用）</v>
      </c>
      <c r="F1050" s="5">
        <v>2</v>
      </c>
      <c r="G1050" s="3" t="str">
        <f ca="1">VLOOKUP($C1050&amp;"_"&amp;$F1050,OFFSET([1]stages!$A$1,0,0,COUNTA([1]stages!$A:$A),MATCH(G$1,[1]stages!$2:$2,0)-MATCH("temp_stage",[1]stages!$2:$2,0)+1),MATCH(G$1,[1]stages!$2:$2,0)-MATCH("temp_stage",[1]stages!$2:$2,0)+1,FALSE)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50" s="3" t="str">
        <f ca="1">VLOOKUP($C1050&amp;"_"&amp;$F1050,OFFSET([1]stages!$A$1,0,0,COUNTA([1]stages!$A:$A),MATCH(H$1,[1]stages!$2:$2,0)-MATCH("temp_stage",[1]stages!$2:$2,0)+1),MATCH(H$1,[1]stages!$2:$2,0)-MATCH("temp_stage",[1]stages!$2:$2,0)+1,FALSE)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50" s="18">
        <v>0</v>
      </c>
      <c r="J1050" s="5">
        <f>COUNTIF(C$1:C1050,C1050)</f>
        <v>26</v>
      </c>
      <c r="K1050" s="34">
        <v>30</v>
      </c>
      <c r="L1050" s="5" t="s">
        <v>17</v>
      </c>
      <c r="M1050" s="38" t="str">
        <f>VLOOKUP(K1050,[2]stage_hints!$A:$C,3,FALSE)</f>
        <v>「バグ」の増やし方</v>
      </c>
      <c r="N1050" s="39" t="str">
        <f>VLOOKUP(K1050,[2]stage_hints!$A:$D,4,FALSE)</f>
        <v>同じユニット同士を強化で合成すると
「バグ」を増やすことができます</v>
      </c>
      <c r="O1050" s="20" t="s">
        <v>24</v>
      </c>
      <c r="P1050">
        <v>30</v>
      </c>
    </row>
    <row r="1051" spans="1:16" x14ac:dyDescent="0.15">
      <c r="A1051" s="27" t="str">
        <f t="shared" si="79"/>
        <v>30007_2_27</v>
      </c>
      <c r="B1051" s="25" t="s">
        <v>34</v>
      </c>
      <c r="C1051" s="4">
        <v>30007</v>
      </c>
      <c r="D1051" s="3" t="str">
        <f ca="1">VLOOKUP($C1051,OFFSET([1]quests!$A$1,0,0,COUNTA([1]quests!$A:$A),MATCH(D$1,[1]quests!$1:$1,0)-MATCH($C$1,[1]quests!$1:$1,0)+1),MATCH(D$1,[1]quests!$1:$1,0)-MATCH($C$1,[1]quests!$1:$1,0)+1,FALSE)</f>
        <v>ガラスの靴は私のもの</v>
      </c>
      <c r="E1051" s="3" t="str">
        <f ca="1">VLOOKUP($C1051,OFFSET([1]quests!$A$1,0,0,COUNTA([1]quests!$A:$A),MATCH(E$1,[1]quests!$1:$1,0)-MATCH($C$1,[1]quests!$1:$1,0)+1),MATCH(E$1,[1]quests!$1:$1,0)-MATCH($C$1,[1]quests!$1:$1,0)+1,FALSE)</f>
        <v>ドロップイベント2-2（マルチ専用）</v>
      </c>
      <c r="F1051" s="5">
        <v>2</v>
      </c>
      <c r="G1051" s="3" t="str">
        <f ca="1">VLOOKUP($C1051&amp;"_"&amp;$F1051,OFFSET([1]stages!$A$1,0,0,COUNTA([1]stages!$A:$A),MATCH(G$1,[1]stages!$2:$2,0)-MATCH("temp_stage",[1]stages!$2:$2,0)+1),MATCH(G$1,[1]stages!$2:$2,0)-MATCH("temp_stage",[1]stages!$2:$2,0)+1,FALSE)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51" s="3" t="str">
        <f ca="1">VLOOKUP($C1051&amp;"_"&amp;$F1051,OFFSET([1]stages!$A$1,0,0,COUNTA([1]stages!$A:$A),MATCH(H$1,[1]stages!$2:$2,0)-MATCH("temp_stage",[1]stages!$2:$2,0)+1),MATCH(H$1,[1]stages!$2:$2,0)-MATCH("temp_stage",[1]stages!$2:$2,0)+1,FALSE)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51" s="18">
        <v>0</v>
      </c>
      <c r="J1051" s="5">
        <f>COUNTIF(C$1:C1051,C1051)</f>
        <v>27</v>
      </c>
      <c r="K1051" s="34">
        <v>31</v>
      </c>
      <c r="L1051" s="5" t="s">
        <v>17</v>
      </c>
      <c r="M1051" s="38" t="str">
        <f>VLOOKUP(K1051,[2]stage_hints!$A:$C,3,FALSE)</f>
        <v>イベントはお知らせでチェック</v>
      </c>
      <c r="N1051" s="39" t="str">
        <f>VLOOKUP(K1051,[2]stage_hints!$A:$D,4,FALSE)</f>
        <v>イベント限定ユニットを取り忘れないように
お知らせをこまめにチェックしましょう</v>
      </c>
      <c r="O1051" s="20" t="s">
        <v>24</v>
      </c>
      <c r="P1051">
        <v>31</v>
      </c>
    </row>
    <row r="1052" spans="1:16" x14ac:dyDescent="0.15">
      <c r="A1052" s="27" t="str">
        <f t="shared" si="79"/>
        <v>30007_2_28</v>
      </c>
      <c r="B1052" s="25" t="s">
        <v>34</v>
      </c>
      <c r="C1052" s="4">
        <v>30007</v>
      </c>
      <c r="D1052" s="3" t="str">
        <f ca="1">VLOOKUP($C1052,OFFSET([1]quests!$A$1,0,0,COUNTA([1]quests!$A:$A),MATCH(D$1,[1]quests!$1:$1,0)-MATCH($C$1,[1]quests!$1:$1,0)+1),MATCH(D$1,[1]quests!$1:$1,0)-MATCH($C$1,[1]quests!$1:$1,0)+1,FALSE)</f>
        <v>ガラスの靴は私のもの</v>
      </c>
      <c r="E1052" s="3" t="str">
        <f ca="1">VLOOKUP($C1052,OFFSET([1]quests!$A$1,0,0,COUNTA([1]quests!$A:$A),MATCH(E$1,[1]quests!$1:$1,0)-MATCH($C$1,[1]quests!$1:$1,0)+1),MATCH(E$1,[1]quests!$1:$1,0)-MATCH($C$1,[1]quests!$1:$1,0)+1,FALSE)</f>
        <v>ドロップイベント2-2（マルチ専用）</v>
      </c>
      <c r="F1052" s="5">
        <v>2</v>
      </c>
      <c r="G1052" s="3" t="str">
        <f ca="1">VLOOKUP($C1052&amp;"_"&amp;$F1052,OFFSET([1]stages!$A$1,0,0,COUNTA([1]stages!$A:$A),MATCH(G$1,[1]stages!$2:$2,0)-MATCH("temp_stage",[1]stages!$2:$2,0)+1),MATCH(G$1,[1]stages!$2:$2,0)-MATCH("temp_stage",[1]stages!$2:$2,0)+1,FALSE)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52" s="3" t="str">
        <f ca="1">VLOOKUP($C1052&amp;"_"&amp;$F1052,OFFSET([1]stages!$A$1,0,0,COUNTA([1]stages!$A:$A),MATCH(H$1,[1]stages!$2:$2,0)-MATCH("temp_stage",[1]stages!$2:$2,0)+1),MATCH(H$1,[1]stages!$2:$2,0)-MATCH("temp_stage",[1]stages!$2:$2,0)+1,FALSE)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52" s="18">
        <v>0</v>
      </c>
      <c r="J1052" s="5">
        <f>COUNTIF(C$1:C1052,C1052)</f>
        <v>28</v>
      </c>
      <c r="K1052" s="34">
        <v>32</v>
      </c>
      <c r="L1052" s="5" t="s">
        <v>17</v>
      </c>
      <c r="M1052" s="38" t="str">
        <f>VLOOKUP(K1052,[2]stage_hints!$A:$C,3,FALSE)</f>
        <v>敵の連続攻撃には</v>
      </c>
      <c r="N1052" s="39" t="str">
        <f>VLOOKUP(K1052,[2]stage_hints!$A:$D,4,FALSE)</f>
        <v>カウンタースキルを持つユニットがいれば
ダメージ回数分の反撃ができます</v>
      </c>
      <c r="O1052" s="20" t="s">
        <v>24</v>
      </c>
      <c r="P1052">
        <v>32</v>
      </c>
    </row>
    <row r="1053" spans="1:16" x14ac:dyDescent="0.15">
      <c r="A1053" s="27" t="str">
        <f t="shared" si="79"/>
        <v>30007_2_29</v>
      </c>
      <c r="B1053" s="25" t="s">
        <v>34</v>
      </c>
      <c r="C1053" s="4">
        <v>30007</v>
      </c>
      <c r="D1053" s="3" t="str">
        <f ca="1">VLOOKUP($C1053,OFFSET([1]quests!$A$1,0,0,COUNTA([1]quests!$A:$A),MATCH(D$1,[1]quests!$1:$1,0)-MATCH($C$1,[1]quests!$1:$1,0)+1),MATCH(D$1,[1]quests!$1:$1,0)-MATCH($C$1,[1]quests!$1:$1,0)+1,FALSE)</f>
        <v>ガラスの靴は私のもの</v>
      </c>
      <c r="E1053" s="3" t="str">
        <f ca="1">VLOOKUP($C1053,OFFSET([1]quests!$A$1,0,0,COUNTA([1]quests!$A:$A),MATCH(E$1,[1]quests!$1:$1,0)-MATCH($C$1,[1]quests!$1:$1,0)+1),MATCH(E$1,[1]quests!$1:$1,0)-MATCH($C$1,[1]quests!$1:$1,0)+1,FALSE)</f>
        <v>ドロップイベント2-2（マルチ専用）</v>
      </c>
      <c r="F1053" s="5">
        <v>2</v>
      </c>
      <c r="G1053" s="3" t="str">
        <f ca="1">VLOOKUP($C1053&amp;"_"&amp;$F1053,OFFSET([1]stages!$A$1,0,0,COUNTA([1]stages!$A:$A),MATCH(G$1,[1]stages!$2:$2,0)-MATCH("temp_stage",[1]stages!$2:$2,0)+1),MATCH(G$1,[1]stages!$2:$2,0)-MATCH("temp_stage",[1]stages!$2:$2,0)+1,FALSE)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53" s="3" t="str">
        <f ca="1">VLOOKUP($C1053&amp;"_"&amp;$F1053,OFFSET([1]stages!$A$1,0,0,COUNTA([1]stages!$A:$A),MATCH(H$1,[1]stages!$2:$2,0)-MATCH("temp_stage",[1]stages!$2:$2,0)+1),MATCH(H$1,[1]stages!$2:$2,0)-MATCH("temp_stage",[1]stages!$2:$2,0)+1,FALSE)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53" s="18">
        <v>0</v>
      </c>
      <c r="J1053" s="5">
        <f>COUNTIF(C$1:C1053,C1053)</f>
        <v>29</v>
      </c>
      <c r="K1053" s="34">
        <v>33</v>
      </c>
      <c r="L1053" s="5" t="s">
        <v>17</v>
      </c>
      <c r="M1053" s="38" t="str">
        <f>VLOOKUP(K1053,[2]stage_hints!$A:$C,3,FALSE)</f>
        <v>敵のカウンター攻撃には</v>
      </c>
      <c r="N1053" s="39" t="str">
        <f>VLOOKUP(K1053,[2]stage_hints!$A:$D,4,FALSE)</f>
        <v>カウンターブレイクスキルを持っていれば
敵のカウンターを解除して攻撃ができます</v>
      </c>
      <c r="O1053" s="20" t="s">
        <v>24</v>
      </c>
      <c r="P1053">
        <v>33</v>
      </c>
    </row>
    <row r="1054" spans="1:16" x14ac:dyDescent="0.15">
      <c r="A1054" s="27" t="str">
        <f t="shared" si="79"/>
        <v>30007_2_30</v>
      </c>
      <c r="B1054" s="25" t="s">
        <v>34</v>
      </c>
      <c r="C1054" s="4">
        <v>30007</v>
      </c>
      <c r="D1054" s="3" t="str">
        <f ca="1">VLOOKUP($C1054,OFFSET([1]quests!$A$1,0,0,COUNTA([1]quests!$A:$A),MATCH(D$1,[1]quests!$1:$1,0)-MATCH($C$1,[1]quests!$1:$1,0)+1),MATCH(D$1,[1]quests!$1:$1,0)-MATCH($C$1,[1]quests!$1:$1,0)+1,FALSE)</f>
        <v>ガラスの靴は私のもの</v>
      </c>
      <c r="E1054" s="3" t="str">
        <f ca="1">VLOOKUP($C1054,OFFSET([1]quests!$A$1,0,0,COUNTA([1]quests!$A:$A),MATCH(E$1,[1]quests!$1:$1,0)-MATCH($C$1,[1]quests!$1:$1,0)+1),MATCH(E$1,[1]quests!$1:$1,0)-MATCH($C$1,[1]quests!$1:$1,0)+1,FALSE)</f>
        <v>ドロップイベント2-2（マルチ専用）</v>
      </c>
      <c r="F1054" s="5">
        <v>2</v>
      </c>
      <c r="G1054" s="3" t="str">
        <f ca="1">VLOOKUP($C1054&amp;"_"&amp;$F1054,OFFSET([1]stages!$A$1,0,0,COUNTA([1]stages!$A:$A),MATCH(G$1,[1]stages!$2:$2,0)-MATCH("temp_stage",[1]stages!$2:$2,0)+1),MATCH(G$1,[1]stages!$2:$2,0)-MATCH("temp_stage",[1]stages!$2:$2,0)+1,FALSE)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54" s="3" t="str">
        <f ca="1">VLOOKUP($C1054&amp;"_"&amp;$F1054,OFFSET([1]stages!$A$1,0,0,COUNTA([1]stages!$A:$A),MATCH(H$1,[1]stages!$2:$2,0)-MATCH("temp_stage",[1]stages!$2:$2,0)+1),MATCH(H$1,[1]stages!$2:$2,0)-MATCH("temp_stage",[1]stages!$2:$2,0)+1,FALSE)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54" s="18">
        <v>0</v>
      </c>
      <c r="J1054" s="5">
        <f>COUNTIF(C$1:C1054,C1054)</f>
        <v>30</v>
      </c>
      <c r="K1054" s="34">
        <v>34</v>
      </c>
      <c r="L1054" s="5" t="s">
        <v>17</v>
      </c>
      <c r="M1054" s="38" t="str">
        <f>VLOOKUP(K1054,[2]stage_hints!$A:$C,3,FALSE)</f>
        <v>ステータスをスキルで下げられたら</v>
      </c>
      <c r="N1054" s="39" t="str">
        <f>VLOOKUP(K1054,[2]stage_hints!$A:$D,4,FALSE)</f>
        <v>ステータスダウンのスキルを受けたら
ステータスアップスキルで上書きしましょう</v>
      </c>
      <c r="O1054" s="20" t="s">
        <v>24</v>
      </c>
      <c r="P1054">
        <v>34</v>
      </c>
    </row>
    <row r="1055" spans="1:16" x14ac:dyDescent="0.15">
      <c r="A1055" s="27" t="str">
        <f t="shared" si="79"/>
        <v>30007_2_31</v>
      </c>
      <c r="B1055" s="25" t="s">
        <v>34</v>
      </c>
      <c r="C1055" s="4">
        <v>30007</v>
      </c>
      <c r="D1055" s="3" t="str">
        <f ca="1">VLOOKUP($C1055,OFFSET([1]quests!$A$1,0,0,COUNTA([1]quests!$A:$A),MATCH(D$1,[1]quests!$1:$1,0)-MATCH($C$1,[1]quests!$1:$1,0)+1),MATCH(D$1,[1]quests!$1:$1,0)-MATCH($C$1,[1]quests!$1:$1,0)+1,FALSE)</f>
        <v>ガラスの靴は私のもの</v>
      </c>
      <c r="E1055" s="3" t="str">
        <f ca="1">VLOOKUP($C1055,OFFSET([1]quests!$A$1,0,0,COUNTA([1]quests!$A:$A),MATCH(E$1,[1]quests!$1:$1,0)-MATCH($C$1,[1]quests!$1:$1,0)+1),MATCH(E$1,[1]quests!$1:$1,0)-MATCH($C$1,[1]quests!$1:$1,0)+1,FALSE)</f>
        <v>ドロップイベント2-2（マルチ専用）</v>
      </c>
      <c r="F1055" s="5">
        <v>2</v>
      </c>
      <c r="G1055" s="3" t="str">
        <f ca="1">VLOOKUP($C1055&amp;"_"&amp;$F1055,OFFSET([1]stages!$A$1,0,0,COUNTA([1]stages!$A:$A),MATCH(G$1,[1]stages!$2:$2,0)-MATCH("temp_stage",[1]stages!$2:$2,0)+1),MATCH(G$1,[1]stages!$2:$2,0)-MATCH("temp_stage",[1]stages!$2:$2,0)+1,FALSE)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55" s="3" t="str">
        <f ca="1">VLOOKUP($C1055&amp;"_"&amp;$F1055,OFFSET([1]stages!$A$1,0,0,COUNTA([1]stages!$A:$A),MATCH(H$1,[1]stages!$2:$2,0)-MATCH("temp_stage",[1]stages!$2:$2,0)+1),MATCH(H$1,[1]stages!$2:$2,0)-MATCH("temp_stage",[1]stages!$2:$2,0)+1,FALSE)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55" s="18">
        <v>0</v>
      </c>
      <c r="J1055" s="5">
        <f>COUNTIF(C$1:C1055,C1055)</f>
        <v>31</v>
      </c>
      <c r="K1055" s="34">
        <v>35</v>
      </c>
      <c r="L1055" s="5" t="s">
        <v>17</v>
      </c>
      <c r="M1055" s="38" t="str">
        <f>VLOOKUP(K1055,[2]stage_hints!$A:$C,3,FALSE)</f>
        <v>敵のステータスがスキルで上がったら</v>
      </c>
      <c r="N1055" s="39" t="str">
        <f>VLOOKUP(K1055,[2]stage_hints!$A:$D,4,FALSE)</f>
        <v>敵のステータスがスキルでアップしたときは
ステータスダウンスキルで上書きしましょう</v>
      </c>
      <c r="O1055" s="20" t="s">
        <v>24</v>
      </c>
      <c r="P1055">
        <v>35</v>
      </c>
    </row>
    <row r="1056" spans="1:16" x14ac:dyDescent="0.15">
      <c r="A1056" s="27" t="str">
        <f t="shared" si="79"/>
        <v>30007_2_32</v>
      </c>
      <c r="B1056" s="25" t="s">
        <v>34</v>
      </c>
      <c r="C1056" s="4">
        <v>30007</v>
      </c>
      <c r="D1056" s="3" t="str">
        <f ca="1">VLOOKUP($C1056,OFFSET([1]quests!$A$1,0,0,COUNTA([1]quests!$A:$A),MATCH(D$1,[1]quests!$1:$1,0)-MATCH($C$1,[1]quests!$1:$1,0)+1),MATCH(D$1,[1]quests!$1:$1,0)-MATCH($C$1,[1]quests!$1:$1,0)+1,FALSE)</f>
        <v>ガラスの靴は私のもの</v>
      </c>
      <c r="E1056" s="3" t="str">
        <f ca="1">VLOOKUP($C1056,OFFSET([1]quests!$A$1,0,0,COUNTA([1]quests!$A:$A),MATCH(E$1,[1]quests!$1:$1,0)-MATCH($C$1,[1]quests!$1:$1,0)+1),MATCH(E$1,[1]quests!$1:$1,0)-MATCH($C$1,[1]quests!$1:$1,0)+1,FALSE)</f>
        <v>ドロップイベント2-2（マルチ専用）</v>
      </c>
      <c r="F1056" s="5">
        <v>2</v>
      </c>
      <c r="G1056" s="3" t="str">
        <f ca="1">VLOOKUP($C1056&amp;"_"&amp;$F1056,OFFSET([1]stages!$A$1,0,0,COUNTA([1]stages!$A:$A),MATCH(G$1,[1]stages!$2:$2,0)-MATCH("temp_stage",[1]stages!$2:$2,0)+1),MATCH(G$1,[1]stages!$2:$2,0)-MATCH("temp_stage",[1]stages!$2:$2,0)+1,FALSE)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56" s="3" t="str">
        <f ca="1">VLOOKUP($C1056&amp;"_"&amp;$F1056,OFFSET([1]stages!$A$1,0,0,COUNTA([1]stages!$A:$A),MATCH(H$1,[1]stages!$2:$2,0)-MATCH("temp_stage",[1]stages!$2:$2,0)+1),MATCH(H$1,[1]stages!$2:$2,0)-MATCH("temp_stage",[1]stages!$2:$2,0)+1,FALSE)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56" s="18">
        <v>0</v>
      </c>
      <c r="J1056" s="5">
        <f>COUNTIF(C$1:C1056,C1056)</f>
        <v>32</v>
      </c>
      <c r="K1056" s="34">
        <v>36</v>
      </c>
      <c r="L1056" s="5" t="s">
        <v>17</v>
      </c>
      <c r="M1056" s="38" t="str">
        <f>VLOOKUP(K1056,[2]stage_hints!$A:$C,3,FALSE)</f>
        <v>チャレンジタワーのボス</v>
      </c>
      <c r="N1056" s="39" t="str">
        <f>VLOOKUP(K1056,[2]stage_hints!$A:$D,4,FALSE)</f>
        <v>チャレンジタワーでのみ登場するボスは
一定確率で獲得することができます</v>
      </c>
      <c r="O1056" s="20" t="s">
        <v>24</v>
      </c>
      <c r="P1056">
        <v>36</v>
      </c>
    </row>
    <row r="1057" spans="1:16" x14ac:dyDescent="0.15">
      <c r="A1057" s="27" t="str">
        <f t="shared" si="79"/>
        <v>30007_2_33</v>
      </c>
      <c r="B1057" s="25" t="s">
        <v>34</v>
      </c>
      <c r="C1057" s="4">
        <v>30007</v>
      </c>
      <c r="D1057" s="3" t="str">
        <f ca="1">VLOOKUP($C1057,OFFSET([1]quests!$A$1,0,0,COUNTA([1]quests!$A:$A),MATCH(D$1,[1]quests!$1:$1,0)-MATCH($C$1,[1]quests!$1:$1,0)+1),MATCH(D$1,[1]quests!$1:$1,0)-MATCH($C$1,[1]quests!$1:$1,0)+1,FALSE)</f>
        <v>ガラスの靴は私のもの</v>
      </c>
      <c r="E1057" s="3" t="str">
        <f ca="1">VLOOKUP($C1057,OFFSET([1]quests!$A$1,0,0,COUNTA([1]quests!$A:$A),MATCH(E$1,[1]quests!$1:$1,0)-MATCH($C$1,[1]quests!$1:$1,0)+1),MATCH(E$1,[1]quests!$1:$1,0)-MATCH($C$1,[1]quests!$1:$1,0)+1,FALSE)</f>
        <v>ドロップイベント2-2（マルチ専用）</v>
      </c>
      <c r="F1057" s="5">
        <v>2</v>
      </c>
      <c r="G1057" s="3" t="str">
        <f ca="1">VLOOKUP($C1057&amp;"_"&amp;$F1057,OFFSET([1]stages!$A$1,0,0,COUNTA([1]stages!$A:$A),MATCH(G$1,[1]stages!$2:$2,0)-MATCH("temp_stage",[1]stages!$2:$2,0)+1),MATCH(G$1,[1]stages!$2:$2,0)-MATCH("temp_stage",[1]stages!$2:$2,0)+1,FALSE)</f>
        <v>【上級】ガラスの靴は私のもの</v>
      </c>
      <c r="H1057" s="3" t="str">
        <f ca="1">VLOOKUP($C1057&amp;"_"&amp;$F1057,OFFSET([1]stages!$A$1,0,0,COUNTA([1]stages!$A:$A),MATCH(H$1,[1]stages!$2:$2,0)-MATCH("temp_stage",[1]stages!$2:$2,0)+1),MATCH(H$1,[1]stages!$2:$2,0)-MATCH("temp_stage",[1]stages!$2:$2,0)+1,FALSE)</f>
        <v>ドロップイベント2-2（マルチ専用）</v>
      </c>
      <c r="I1057" s="18">
        <v>0</v>
      </c>
      <c r="J1057" s="5">
        <f>COUNTIF(C$1:C1057,C1057)</f>
        <v>33</v>
      </c>
      <c r="K1057" s="34">
        <v>37</v>
      </c>
      <c r="L1057" s="5" t="s">
        <v>17</v>
      </c>
      <c r="M1057" s="38" t="str">
        <f>VLOOKUP(K1057,[2]stage_hints!$A:$C,3,FALSE)</f>
        <v>限界突破値の引き継ぎ</v>
      </c>
      <c r="N1057" s="39" t="str">
        <f>VLOOKUP(K1057,[2]stage_hints!$A:$D,4,FALSE)</f>
        <v>同じユニットを強化で合成すると
限界突破値を引き継げます（覚醒前後も可）</v>
      </c>
      <c r="O1057" s="20" t="s">
        <v>24</v>
      </c>
      <c r="P1057">
        <v>37</v>
      </c>
    </row>
    <row r="1058" spans="1:16" x14ac:dyDescent="0.15">
      <c r="A1058" s="27" t="str">
        <f t="shared" si="79"/>
        <v>30008_2_1</v>
      </c>
      <c r="B1058" s="25" t="s">
        <v>34</v>
      </c>
      <c r="C1058" s="4">
        <v>30008</v>
      </c>
      <c r="D1058" s="3" t="str">
        <f ca="1">VLOOKUP($C1058,OFFSET([1]quests!$A$1,0,0,COUNTA([1]quests!$A:$A),MATCH(D$1,[1]quests!$1:$1,0)-MATCH($C$1,[1]quests!$1:$1,0)+1),MATCH(D$1,[1]quests!$1:$1,0)-MATCH($C$1,[1]quests!$1:$1,0)+1,FALSE)</f>
        <v>わたしの嫁を返してもらおう</v>
      </c>
      <c r="E1058" s="3" t="str">
        <f ca="1">VLOOKUP($C1058,OFFSET([1]quests!$A$1,0,0,COUNTA([1]quests!$A:$A),MATCH(E$1,[1]quests!$1:$1,0)-MATCH($C$1,[1]quests!$1:$1,0)+1),MATCH(E$1,[1]quests!$1:$1,0)-MATCH($C$1,[1]quests!$1:$1,0)+1,FALSE)</f>
        <v>ドロップイベント2-4（マルチ専用）</v>
      </c>
      <c r="F1058" s="5">
        <v>2</v>
      </c>
      <c r="G1058" s="3" t="str">
        <f ca="1">VLOOKUP($C1058&amp;"_"&amp;$F1058,OFFSET([1]stages!$A$1,0,0,COUNTA([1]stages!$A:$A),MATCH(G$1,[1]stages!$2:$2,0)-MATCH("temp_stage",[1]stages!$2:$2,0)+1),MATCH(G$1,[1]stages!$2:$2,0)-MATCH("temp_stage",[1]stages!$2:$2,0)+1,FALSE)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58" s="3" t="str">
        <f ca="1">VLOOKUP($C1058&amp;"_"&amp;$F1058,OFFSET([1]stages!$A$1,0,0,COUNTA([1]stages!$A:$A),MATCH(H$1,[1]stages!$2:$2,0)-MATCH("temp_stage",[1]stages!$2:$2,0)+1),MATCH(H$1,[1]stages!$2:$2,0)-MATCH("temp_stage",[1]stages!$2:$2,0)+1,FALSE)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58" s="18">
        <v>0</v>
      </c>
      <c r="J1058" s="5">
        <f>COUNTIF(C$1:C1058,C1058)</f>
        <v>1</v>
      </c>
      <c r="K1058" s="34">
        <v>3</v>
      </c>
      <c r="L1058" s="5" t="s">
        <v>17</v>
      </c>
      <c r="M1058" s="38" t="str">
        <f>VLOOKUP(K1058,[2]stage_hints!$A:$C,3,FALSE)</f>
        <v>ターゲット</v>
      </c>
      <c r="N1058" s="39" t="str">
        <f>VLOOKUP(K1058,[2]stage_hints!$A:$D,4,FALSE)</f>
        <v>敵ユニットをタップすると
その敵を狙い撃ちできます</v>
      </c>
      <c r="O1058" s="20" t="s">
        <v>24</v>
      </c>
      <c r="P1058">
        <v>3</v>
      </c>
    </row>
    <row r="1059" spans="1:16" x14ac:dyDescent="0.15">
      <c r="A1059" s="27" t="str">
        <f t="shared" si="79"/>
        <v>30008_2_2</v>
      </c>
      <c r="B1059" s="25" t="s">
        <v>34</v>
      </c>
      <c r="C1059" s="4">
        <v>30008</v>
      </c>
      <c r="D1059" s="3" t="str">
        <f ca="1">VLOOKUP($C1059,OFFSET([1]quests!$A$1,0,0,COUNTA([1]quests!$A:$A),MATCH(D$1,[1]quests!$1:$1,0)-MATCH($C$1,[1]quests!$1:$1,0)+1),MATCH(D$1,[1]quests!$1:$1,0)-MATCH($C$1,[1]quests!$1:$1,0)+1,FALSE)</f>
        <v>わたしの嫁を返してもらおう</v>
      </c>
      <c r="E1059" s="3" t="str">
        <f ca="1">VLOOKUP($C1059,OFFSET([1]quests!$A$1,0,0,COUNTA([1]quests!$A:$A),MATCH(E$1,[1]quests!$1:$1,0)-MATCH($C$1,[1]quests!$1:$1,0)+1),MATCH(E$1,[1]quests!$1:$1,0)-MATCH($C$1,[1]quests!$1:$1,0)+1,FALSE)</f>
        <v>ドロップイベント2-4（マルチ専用）</v>
      </c>
      <c r="F1059" s="5">
        <v>2</v>
      </c>
      <c r="G1059" s="3" t="str">
        <f ca="1">VLOOKUP($C1059&amp;"_"&amp;$F1059,OFFSET([1]stages!$A$1,0,0,COUNTA([1]stages!$A:$A),MATCH(G$1,[1]stages!$2:$2,0)-MATCH("temp_stage",[1]stages!$2:$2,0)+1),MATCH(G$1,[1]stages!$2:$2,0)-MATCH("temp_stage",[1]stages!$2:$2,0)+1,FALSE)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59" s="3" t="str">
        <f ca="1">VLOOKUP($C1059&amp;"_"&amp;$F1059,OFFSET([1]stages!$A$1,0,0,COUNTA([1]stages!$A:$A),MATCH(H$1,[1]stages!$2:$2,0)-MATCH("temp_stage",[1]stages!$2:$2,0)+1),MATCH(H$1,[1]stages!$2:$2,0)-MATCH("temp_stage",[1]stages!$2:$2,0)+1,FALSE)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59" s="18">
        <v>0</v>
      </c>
      <c r="J1059" s="5">
        <f>COUNTIF(C$1:C1059,C1059)</f>
        <v>2</v>
      </c>
      <c r="K1059" s="34">
        <v>6</v>
      </c>
      <c r="L1059" s="5" t="s">
        <v>17</v>
      </c>
      <c r="M1059" s="38" t="str">
        <f>VLOOKUP(K1059,[2]stage_hints!$A:$C,3,FALSE)</f>
        <v>ユニット強化の属性ボーナス</v>
      </c>
      <c r="N1059" s="39" t="str">
        <f>VLOOKUP(K1059,[2]stage_hints!$A:$D,4,FALSE)</f>
        <v>同属性ユニットを強化素材にすると
経験値が多くもらえます</v>
      </c>
      <c r="O1059" s="20" t="s">
        <v>24</v>
      </c>
      <c r="P1059">
        <v>6</v>
      </c>
    </row>
    <row r="1060" spans="1:16" x14ac:dyDescent="0.15">
      <c r="A1060" s="27" t="str">
        <f t="shared" ref="A1060:A1123" si="80">C1060&amp;"_"&amp;F1060&amp;"_"&amp;J1060</f>
        <v>30008_2_3</v>
      </c>
      <c r="B1060" s="25" t="s">
        <v>34</v>
      </c>
      <c r="C1060" s="4">
        <v>30008</v>
      </c>
      <c r="D1060" s="3" t="str">
        <f ca="1">VLOOKUP($C1060,OFFSET([1]quests!$A$1,0,0,COUNTA([1]quests!$A:$A),MATCH(D$1,[1]quests!$1:$1,0)-MATCH($C$1,[1]quests!$1:$1,0)+1),MATCH(D$1,[1]quests!$1:$1,0)-MATCH($C$1,[1]quests!$1:$1,0)+1,FALSE)</f>
        <v>わたしの嫁を返してもらおう</v>
      </c>
      <c r="E1060" s="3" t="str">
        <f ca="1">VLOOKUP($C1060,OFFSET([1]quests!$A$1,0,0,COUNTA([1]quests!$A:$A),MATCH(E$1,[1]quests!$1:$1,0)-MATCH($C$1,[1]quests!$1:$1,0)+1),MATCH(E$1,[1]quests!$1:$1,0)-MATCH($C$1,[1]quests!$1:$1,0)+1,FALSE)</f>
        <v>ドロップイベント2-4（マルチ専用）</v>
      </c>
      <c r="F1060" s="5">
        <v>2</v>
      </c>
      <c r="G1060" s="3" t="str">
        <f ca="1">VLOOKUP($C1060&amp;"_"&amp;$F1060,OFFSET([1]stages!$A$1,0,0,COUNTA([1]stages!$A:$A),MATCH(G$1,[1]stages!$2:$2,0)-MATCH("temp_stage",[1]stages!$2:$2,0)+1),MATCH(G$1,[1]stages!$2:$2,0)-MATCH("temp_stage",[1]stages!$2:$2,0)+1,FALSE)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0" s="3" t="str">
        <f ca="1">VLOOKUP($C1060&amp;"_"&amp;$F1060,OFFSET([1]stages!$A$1,0,0,COUNTA([1]stages!$A:$A),MATCH(H$1,[1]stages!$2:$2,0)-MATCH("temp_stage",[1]stages!$2:$2,0)+1),MATCH(H$1,[1]stages!$2:$2,0)-MATCH("temp_stage",[1]stages!$2:$2,0)+1,FALSE)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0" s="18">
        <v>0</v>
      </c>
      <c r="J1060" s="5">
        <f>COUNTIF(C$1:C1060,C1060)</f>
        <v>3</v>
      </c>
      <c r="K1060" s="34">
        <v>7</v>
      </c>
      <c r="L1060" s="5" t="s">
        <v>17</v>
      </c>
      <c r="M1060" s="38" t="str">
        <f>VLOOKUP(K1060,[2]stage_hints!$A:$C,3,FALSE)</f>
        <v>メタルダックで経験値を獲得</v>
      </c>
      <c r="N1060" s="39" t="str">
        <f>VLOOKUP(K1060,[2]stage_hints!$A:$D,4,FALSE)</f>
        <v>「メタルなアヒル」を強化素材にすると
大量の経験値がもらえます</v>
      </c>
      <c r="O1060" s="20" t="s">
        <v>24</v>
      </c>
      <c r="P1060">
        <v>7</v>
      </c>
    </row>
    <row r="1061" spans="1:16" x14ac:dyDescent="0.15">
      <c r="A1061" s="27" t="str">
        <f t="shared" si="80"/>
        <v>30008_2_4</v>
      </c>
      <c r="B1061" s="25" t="s">
        <v>34</v>
      </c>
      <c r="C1061" s="4">
        <v>30008</v>
      </c>
      <c r="D1061" s="3" t="str">
        <f ca="1">VLOOKUP($C1061,OFFSET([1]quests!$A$1,0,0,COUNTA([1]quests!$A:$A),MATCH(D$1,[1]quests!$1:$1,0)-MATCH($C$1,[1]quests!$1:$1,0)+1),MATCH(D$1,[1]quests!$1:$1,0)-MATCH($C$1,[1]quests!$1:$1,0)+1,FALSE)</f>
        <v>わたしの嫁を返してもらおう</v>
      </c>
      <c r="E1061" s="3" t="str">
        <f ca="1">VLOOKUP($C1061,OFFSET([1]quests!$A$1,0,0,COUNTA([1]quests!$A:$A),MATCH(E$1,[1]quests!$1:$1,0)-MATCH($C$1,[1]quests!$1:$1,0)+1),MATCH(E$1,[1]quests!$1:$1,0)-MATCH($C$1,[1]quests!$1:$1,0)+1,FALSE)</f>
        <v>ドロップイベント2-4（マルチ専用）</v>
      </c>
      <c r="F1061" s="5">
        <v>2</v>
      </c>
      <c r="G1061" s="3" t="str">
        <f ca="1">VLOOKUP($C1061&amp;"_"&amp;$F1061,OFFSET([1]stages!$A$1,0,0,COUNTA([1]stages!$A:$A),MATCH(G$1,[1]stages!$2:$2,0)-MATCH("temp_stage",[1]stages!$2:$2,0)+1),MATCH(G$1,[1]stages!$2:$2,0)-MATCH("temp_stage",[1]stages!$2:$2,0)+1,FALSE)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1" s="3" t="str">
        <f ca="1">VLOOKUP($C1061&amp;"_"&amp;$F1061,OFFSET([1]stages!$A$1,0,0,COUNTA([1]stages!$A:$A),MATCH(H$1,[1]stages!$2:$2,0)-MATCH("temp_stage",[1]stages!$2:$2,0)+1),MATCH(H$1,[1]stages!$2:$2,0)-MATCH("temp_stage",[1]stages!$2:$2,0)+1,FALSE)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1" s="18">
        <v>0</v>
      </c>
      <c r="J1061" s="5">
        <f>COUNTIF(C$1:C1061,C1061)</f>
        <v>4</v>
      </c>
      <c r="K1061" s="34">
        <v>8</v>
      </c>
      <c r="L1061" s="5" t="s">
        <v>17</v>
      </c>
      <c r="M1061" s="38" t="str">
        <f>VLOOKUP(K1061,[2]stage_hints!$A:$C,3,FALSE)</f>
        <v>ゲリラクエストは要チェック</v>
      </c>
      <c r="N1061" s="39" t="str">
        <f>VLOOKUP(K1061,[2]stage_hints!$A:$D,4,FALSE)</f>
        <v>時間限定の「アヒル捕獲作戦」では
経験値素材ユニットが多く手に入ります</v>
      </c>
      <c r="O1061" s="20" t="s">
        <v>24</v>
      </c>
      <c r="P1061">
        <v>8</v>
      </c>
    </row>
    <row r="1062" spans="1:16" x14ac:dyDescent="0.15">
      <c r="A1062" s="27" t="str">
        <f t="shared" si="80"/>
        <v>30008_2_5</v>
      </c>
      <c r="B1062" s="25" t="s">
        <v>34</v>
      </c>
      <c r="C1062" s="4">
        <v>30008</v>
      </c>
      <c r="D1062" s="3" t="str">
        <f ca="1">VLOOKUP($C1062,OFFSET([1]quests!$A$1,0,0,COUNTA([1]quests!$A:$A),MATCH(D$1,[1]quests!$1:$1,0)-MATCH($C$1,[1]quests!$1:$1,0)+1),MATCH(D$1,[1]quests!$1:$1,0)-MATCH($C$1,[1]quests!$1:$1,0)+1,FALSE)</f>
        <v>わたしの嫁を返してもらおう</v>
      </c>
      <c r="E1062" s="3" t="str">
        <f ca="1">VLOOKUP($C1062,OFFSET([1]quests!$A$1,0,0,COUNTA([1]quests!$A:$A),MATCH(E$1,[1]quests!$1:$1,0)-MATCH($C$1,[1]quests!$1:$1,0)+1),MATCH(E$1,[1]quests!$1:$1,0)-MATCH($C$1,[1]quests!$1:$1,0)+1,FALSE)</f>
        <v>ドロップイベント2-4（マルチ専用）</v>
      </c>
      <c r="F1062" s="5">
        <v>2</v>
      </c>
      <c r="G1062" s="3" t="str">
        <f ca="1">VLOOKUP($C1062&amp;"_"&amp;$F1062,OFFSET([1]stages!$A$1,0,0,COUNTA([1]stages!$A:$A),MATCH(G$1,[1]stages!$2:$2,0)-MATCH("temp_stage",[1]stages!$2:$2,0)+1),MATCH(G$1,[1]stages!$2:$2,0)-MATCH("temp_stage",[1]stages!$2:$2,0)+1,FALSE)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2" s="3" t="str">
        <f ca="1">VLOOKUP($C1062&amp;"_"&amp;$F1062,OFFSET([1]stages!$A$1,0,0,COUNTA([1]stages!$A:$A),MATCH(H$1,[1]stages!$2:$2,0)-MATCH("temp_stage",[1]stages!$2:$2,0)+1),MATCH(H$1,[1]stages!$2:$2,0)-MATCH("temp_stage",[1]stages!$2:$2,0)+1,FALSE)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2" s="18">
        <v>0</v>
      </c>
      <c r="J1062" s="5">
        <f>COUNTIF(C$1:C1062,C1062)</f>
        <v>5</v>
      </c>
      <c r="K1062" s="34">
        <v>9</v>
      </c>
      <c r="L1062" s="5" t="s">
        <v>17</v>
      </c>
      <c r="M1062" s="38" t="str">
        <f>VLOOKUP(K1062,[2]stage_hints!$A:$C,3,FALSE)</f>
        <v>ゴールドダックでビットを獲得</v>
      </c>
      <c r="N1062" s="39" t="str">
        <f>VLOOKUP(K1062,[2]stage_hints!$A:$D,4,FALSE)</f>
        <v>「ゴールドなアヒル」を売却すると
大量のビットがもらえます</v>
      </c>
      <c r="O1062" s="20" t="s">
        <v>24</v>
      </c>
      <c r="P1062">
        <v>9</v>
      </c>
    </row>
    <row r="1063" spans="1:16" x14ac:dyDescent="0.15">
      <c r="A1063" s="27" t="str">
        <f t="shared" si="80"/>
        <v>30008_2_6</v>
      </c>
      <c r="B1063" s="25" t="s">
        <v>34</v>
      </c>
      <c r="C1063" s="4">
        <v>30008</v>
      </c>
      <c r="D1063" s="3" t="str">
        <f ca="1">VLOOKUP($C1063,OFFSET([1]quests!$A$1,0,0,COUNTA([1]quests!$A:$A),MATCH(D$1,[1]quests!$1:$1,0)-MATCH($C$1,[1]quests!$1:$1,0)+1),MATCH(D$1,[1]quests!$1:$1,0)-MATCH($C$1,[1]quests!$1:$1,0)+1,FALSE)</f>
        <v>わたしの嫁を返してもらおう</v>
      </c>
      <c r="E1063" s="3" t="str">
        <f ca="1">VLOOKUP($C1063,OFFSET([1]quests!$A$1,0,0,COUNTA([1]quests!$A:$A),MATCH(E$1,[1]quests!$1:$1,0)-MATCH($C$1,[1]quests!$1:$1,0)+1),MATCH(E$1,[1]quests!$1:$1,0)-MATCH($C$1,[1]quests!$1:$1,0)+1,FALSE)</f>
        <v>ドロップイベント2-4（マルチ専用）</v>
      </c>
      <c r="F1063" s="5">
        <v>2</v>
      </c>
      <c r="G1063" s="3" t="str">
        <f ca="1">VLOOKUP($C1063&amp;"_"&amp;$F1063,OFFSET([1]stages!$A$1,0,0,COUNTA([1]stages!$A:$A),MATCH(G$1,[1]stages!$2:$2,0)-MATCH("temp_stage",[1]stages!$2:$2,0)+1),MATCH(G$1,[1]stages!$2:$2,0)-MATCH("temp_stage",[1]stages!$2:$2,0)+1,FALSE)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3" s="3" t="str">
        <f ca="1">VLOOKUP($C1063&amp;"_"&amp;$F1063,OFFSET([1]stages!$A$1,0,0,COUNTA([1]stages!$A:$A),MATCH(H$1,[1]stages!$2:$2,0)-MATCH("temp_stage",[1]stages!$2:$2,0)+1),MATCH(H$1,[1]stages!$2:$2,0)-MATCH("temp_stage",[1]stages!$2:$2,0)+1,FALSE)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3" s="18">
        <v>0</v>
      </c>
      <c r="J1063" s="5">
        <f>COUNTIF(C$1:C1063,C1063)</f>
        <v>6</v>
      </c>
      <c r="K1063" s="34">
        <v>10</v>
      </c>
      <c r="L1063" s="5" t="s">
        <v>17</v>
      </c>
      <c r="M1063" s="38" t="str">
        <f>VLOOKUP(K1063,[2]stage_hints!$A:$C,3,FALSE)</f>
        <v>土日に大量のビットを獲得</v>
      </c>
      <c r="N1063" s="39" t="str">
        <f>VLOOKUP(K1063,[2]stage_hints!$A:$D,4,FALSE)</f>
        <v>土日限定の「ゴールドカジノ」では
売却素材ユニットが多く手に入ります</v>
      </c>
      <c r="O1063" s="20" t="s">
        <v>24</v>
      </c>
      <c r="P1063">
        <v>10</v>
      </c>
    </row>
    <row r="1064" spans="1:16" x14ac:dyDescent="0.15">
      <c r="A1064" s="27" t="str">
        <f t="shared" si="80"/>
        <v>30008_2_7</v>
      </c>
      <c r="B1064" s="25" t="s">
        <v>34</v>
      </c>
      <c r="C1064" s="4">
        <v>30008</v>
      </c>
      <c r="D1064" s="3" t="str">
        <f ca="1">VLOOKUP($C1064,OFFSET([1]quests!$A$1,0,0,COUNTA([1]quests!$A:$A),MATCH(D$1,[1]quests!$1:$1,0)-MATCH($C$1,[1]quests!$1:$1,0)+1),MATCH(D$1,[1]quests!$1:$1,0)-MATCH($C$1,[1]quests!$1:$1,0)+1,FALSE)</f>
        <v>わたしの嫁を返してもらおう</v>
      </c>
      <c r="E1064" s="3" t="str">
        <f ca="1">VLOOKUP($C1064,OFFSET([1]quests!$A$1,0,0,COUNTA([1]quests!$A:$A),MATCH(E$1,[1]quests!$1:$1,0)-MATCH($C$1,[1]quests!$1:$1,0)+1),MATCH(E$1,[1]quests!$1:$1,0)-MATCH($C$1,[1]quests!$1:$1,0)+1,FALSE)</f>
        <v>ドロップイベント2-4（マルチ専用）</v>
      </c>
      <c r="F1064" s="5">
        <v>2</v>
      </c>
      <c r="G1064" s="3" t="str">
        <f ca="1">VLOOKUP($C1064&amp;"_"&amp;$F1064,OFFSET([1]stages!$A$1,0,0,COUNTA([1]stages!$A:$A),MATCH(G$1,[1]stages!$2:$2,0)-MATCH("temp_stage",[1]stages!$2:$2,0)+1),MATCH(G$1,[1]stages!$2:$2,0)-MATCH("temp_stage",[1]stages!$2:$2,0)+1,FALSE)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4" s="3" t="str">
        <f ca="1">VLOOKUP($C1064&amp;"_"&amp;$F1064,OFFSET([1]stages!$A$1,0,0,COUNTA([1]stages!$A:$A),MATCH(H$1,[1]stages!$2:$2,0)-MATCH("temp_stage",[1]stages!$2:$2,0)+1),MATCH(H$1,[1]stages!$2:$2,0)-MATCH("temp_stage",[1]stages!$2:$2,0)+1,FALSE)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4" s="18">
        <v>0</v>
      </c>
      <c r="J1064" s="5">
        <f>COUNTIF(C$1:C1064,C1064)</f>
        <v>7</v>
      </c>
      <c r="K1064" s="34">
        <v>11</v>
      </c>
      <c r="L1064" s="5" t="s">
        <v>17</v>
      </c>
      <c r="M1064" s="38" t="str">
        <f>VLOOKUP(K1064,[2]stage_hints!$A:$C,3,FALSE)</f>
        <v>ランク解放クエスト</v>
      </c>
      <c r="N1064" s="39" t="str">
        <f>VLOOKUP(K1064,[2]stage_hints!$A:$D,4,FALSE)</f>
        <v>一定ランクに到達すると
報酬付きのランク開放クエストが現れます</v>
      </c>
      <c r="O1064" s="20" t="s">
        <v>24</v>
      </c>
      <c r="P1064">
        <v>11</v>
      </c>
    </row>
    <row r="1065" spans="1:16" x14ac:dyDescent="0.15">
      <c r="A1065" s="27" t="str">
        <f t="shared" si="80"/>
        <v>30008_2_8</v>
      </c>
      <c r="B1065" s="25" t="s">
        <v>34</v>
      </c>
      <c r="C1065" s="4">
        <v>30008</v>
      </c>
      <c r="D1065" s="3" t="str">
        <f ca="1">VLOOKUP($C1065,OFFSET([1]quests!$A$1,0,0,COUNTA([1]quests!$A:$A),MATCH(D$1,[1]quests!$1:$1,0)-MATCH($C$1,[1]quests!$1:$1,0)+1),MATCH(D$1,[1]quests!$1:$1,0)-MATCH($C$1,[1]quests!$1:$1,0)+1,FALSE)</f>
        <v>わたしの嫁を返してもらおう</v>
      </c>
      <c r="E1065" s="3" t="str">
        <f ca="1">VLOOKUP($C1065,OFFSET([1]quests!$A$1,0,0,COUNTA([1]quests!$A:$A),MATCH(E$1,[1]quests!$1:$1,0)-MATCH($C$1,[1]quests!$1:$1,0)+1),MATCH(E$1,[1]quests!$1:$1,0)-MATCH($C$1,[1]quests!$1:$1,0)+1,FALSE)</f>
        <v>ドロップイベント2-4（マルチ専用）</v>
      </c>
      <c r="F1065" s="5">
        <v>2</v>
      </c>
      <c r="G1065" s="3" t="str">
        <f ca="1">VLOOKUP($C1065&amp;"_"&amp;$F1065,OFFSET([1]stages!$A$1,0,0,COUNTA([1]stages!$A:$A),MATCH(G$1,[1]stages!$2:$2,0)-MATCH("temp_stage",[1]stages!$2:$2,0)+1),MATCH(G$1,[1]stages!$2:$2,0)-MATCH("temp_stage",[1]stages!$2:$2,0)+1,FALSE)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5" s="3" t="str">
        <f ca="1">VLOOKUP($C1065&amp;"_"&amp;$F1065,OFFSET([1]stages!$A$1,0,0,COUNTA([1]stages!$A:$A),MATCH(H$1,[1]stages!$2:$2,0)-MATCH("temp_stage",[1]stages!$2:$2,0)+1),MATCH(H$1,[1]stages!$2:$2,0)-MATCH("temp_stage",[1]stages!$2:$2,0)+1,FALSE)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5" s="18">
        <v>0</v>
      </c>
      <c r="J1065" s="5">
        <f>COUNTIF(C$1:C1065,C1065)</f>
        <v>8</v>
      </c>
      <c r="K1065" s="34">
        <v>12</v>
      </c>
      <c r="L1065" s="5" t="s">
        <v>17</v>
      </c>
      <c r="M1065" s="38" t="str">
        <f>VLOOKUP(K1065,[2]stage_hints!$A:$C,3,FALSE)</f>
        <v>ユニットのお気に入り登録</v>
      </c>
      <c r="N1065" s="39" t="str">
        <f>VLOOKUP(K1065,[2]stage_hints!$A:$D,4,FALSE)</f>
        <v>大事なユニットを誤って消さないように
フォルダから「お気に入り登録」しましょう</v>
      </c>
      <c r="O1065" s="20" t="s">
        <v>24</v>
      </c>
      <c r="P1065">
        <v>12</v>
      </c>
    </row>
    <row r="1066" spans="1:16" x14ac:dyDescent="0.15">
      <c r="A1066" s="27" t="str">
        <f t="shared" si="80"/>
        <v>30008_2_9</v>
      </c>
      <c r="B1066" s="25" t="s">
        <v>34</v>
      </c>
      <c r="C1066" s="4">
        <v>30008</v>
      </c>
      <c r="D1066" s="3" t="str">
        <f ca="1">VLOOKUP($C1066,OFFSET([1]quests!$A$1,0,0,COUNTA([1]quests!$A:$A),MATCH(D$1,[1]quests!$1:$1,0)-MATCH($C$1,[1]quests!$1:$1,0)+1),MATCH(D$1,[1]quests!$1:$1,0)-MATCH($C$1,[1]quests!$1:$1,0)+1,FALSE)</f>
        <v>わたしの嫁を返してもらおう</v>
      </c>
      <c r="E1066" s="3" t="str">
        <f ca="1">VLOOKUP($C1066,OFFSET([1]quests!$A$1,0,0,COUNTA([1]quests!$A:$A),MATCH(E$1,[1]quests!$1:$1,0)-MATCH($C$1,[1]quests!$1:$1,0)+1),MATCH(E$1,[1]quests!$1:$1,0)-MATCH($C$1,[1]quests!$1:$1,0)+1,FALSE)</f>
        <v>ドロップイベント2-4（マルチ専用）</v>
      </c>
      <c r="F1066" s="5">
        <v>2</v>
      </c>
      <c r="G1066" s="3" t="str">
        <f ca="1">VLOOKUP($C1066&amp;"_"&amp;$F1066,OFFSET([1]stages!$A$1,0,0,COUNTA([1]stages!$A:$A),MATCH(G$1,[1]stages!$2:$2,0)-MATCH("temp_stage",[1]stages!$2:$2,0)+1),MATCH(G$1,[1]stages!$2:$2,0)-MATCH("temp_stage",[1]stages!$2:$2,0)+1,FALSE)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6" s="3" t="str">
        <f ca="1">VLOOKUP($C1066&amp;"_"&amp;$F1066,OFFSET([1]stages!$A$1,0,0,COUNTA([1]stages!$A:$A),MATCH(H$1,[1]stages!$2:$2,0)-MATCH("temp_stage",[1]stages!$2:$2,0)+1),MATCH(H$1,[1]stages!$2:$2,0)-MATCH("temp_stage",[1]stages!$2:$2,0)+1,FALSE)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6" s="18">
        <v>0</v>
      </c>
      <c r="J1066" s="5">
        <f>COUNTIF(C$1:C1066,C1066)</f>
        <v>9</v>
      </c>
      <c r="K1066" s="34">
        <v>13</v>
      </c>
      <c r="L1066" s="5" t="s">
        <v>17</v>
      </c>
      <c r="M1066" s="38" t="str">
        <f>VLOOKUP(K1066,[2]stage_hints!$A:$C,3,FALSE)</f>
        <v>ユニットの覚醒</v>
      </c>
      <c r="N1066" s="39" t="str">
        <f>VLOOKUP(K1066,[2]stage_hints!$A:$D,4,FALSE)</f>
        <v>ユニットを覚醒させると
比べものにならない強さが手に入ります</v>
      </c>
      <c r="O1066" s="20" t="s">
        <v>24</v>
      </c>
      <c r="P1066">
        <v>13</v>
      </c>
    </row>
    <row r="1067" spans="1:16" x14ac:dyDescent="0.15">
      <c r="A1067" s="27" t="str">
        <f t="shared" si="80"/>
        <v>30008_2_10</v>
      </c>
      <c r="B1067" s="25" t="s">
        <v>34</v>
      </c>
      <c r="C1067" s="4">
        <v>30008</v>
      </c>
      <c r="D1067" s="3" t="str">
        <f ca="1">VLOOKUP($C1067,OFFSET([1]quests!$A$1,0,0,COUNTA([1]quests!$A:$A),MATCH(D$1,[1]quests!$1:$1,0)-MATCH($C$1,[1]quests!$1:$1,0)+1),MATCH(D$1,[1]quests!$1:$1,0)-MATCH($C$1,[1]quests!$1:$1,0)+1,FALSE)</f>
        <v>わたしの嫁を返してもらおう</v>
      </c>
      <c r="E1067" s="3" t="str">
        <f ca="1">VLOOKUP($C1067,OFFSET([1]quests!$A$1,0,0,COUNTA([1]quests!$A:$A),MATCH(E$1,[1]quests!$1:$1,0)-MATCH($C$1,[1]quests!$1:$1,0)+1),MATCH(E$1,[1]quests!$1:$1,0)-MATCH($C$1,[1]quests!$1:$1,0)+1,FALSE)</f>
        <v>ドロップイベント2-4（マルチ専用）</v>
      </c>
      <c r="F1067" s="5">
        <v>2</v>
      </c>
      <c r="G1067" s="3" t="str">
        <f ca="1">VLOOKUP($C1067&amp;"_"&amp;$F1067,OFFSET([1]stages!$A$1,0,0,COUNTA([1]stages!$A:$A),MATCH(G$1,[1]stages!$2:$2,0)-MATCH("temp_stage",[1]stages!$2:$2,0)+1),MATCH(G$1,[1]stages!$2:$2,0)-MATCH("temp_stage",[1]stages!$2:$2,0)+1,FALSE)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7" s="3" t="str">
        <f ca="1">VLOOKUP($C1067&amp;"_"&amp;$F1067,OFFSET([1]stages!$A$1,0,0,COUNTA([1]stages!$A:$A),MATCH(H$1,[1]stages!$2:$2,0)-MATCH("temp_stage",[1]stages!$2:$2,0)+1),MATCH(H$1,[1]stages!$2:$2,0)-MATCH("temp_stage",[1]stages!$2:$2,0)+1,FALSE)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7" s="18">
        <v>0</v>
      </c>
      <c r="J1067" s="5">
        <f>COUNTIF(C$1:C1067,C1067)</f>
        <v>10</v>
      </c>
      <c r="K1067" s="34">
        <v>14</v>
      </c>
      <c r="L1067" s="5" t="s">
        <v>17</v>
      </c>
      <c r="M1067" s="38" t="str">
        <f>VLOOKUP(K1067,[2]stage_hints!$A:$C,3,FALSE)</f>
        <v>覚醒するにはレベルを最大に</v>
      </c>
      <c r="N1067" s="39" t="str">
        <f>VLOOKUP(K1067,[2]stage_hints!$A:$D,4,FALSE)</f>
        <v>覚醒するにはユニットのレベルを
最大まで上げる必要があります</v>
      </c>
      <c r="O1067" s="20" t="s">
        <v>24</v>
      </c>
      <c r="P1067">
        <v>14</v>
      </c>
    </row>
    <row r="1068" spans="1:16" x14ac:dyDescent="0.15">
      <c r="A1068" s="27" t="str">
        <f t="shared" si="80"/>
        <v>30008_2_11</v>
      </c>
      <c r="B1068" s="25" t="s">
        <v>34</v>
      </c>
      <c r="C1068" s="4">
        <v>30008</v>
      </c>
      <c r="D1068" s="3" t="str">
        <f ca="1">VLOOKUP($C1068,OFFSET([1]quests!$A$1,0,0,COUNTA([1]quests!$A:$A),MATCH(D$1,[1]quests!$1:$1,0)-MATCH($C$1,[1]quests!$1:$1,0)+1),MATCH(D$1,[1]quests!$1:$1,0)-MATCH($C$1,[1]quests!$1:$1,0)+1,FALSE)</f>
        <v>わたしの嫁を返してもらおう</v>
      </c>
      <c r="E1068" s="3" t="str">
        <f ca="1">VLOOKUP($C1068,OFFSET([1]quests!$A$1,0,0,COUNTA([1]quests!$A:$A),MATCH(E$1,[1]quests!$1:$1,0)-MATCH($C$1,[1]quests!$1:$1,0)+1),MATCH(E$1,[1]quests!$1:$1,0)-MATCH($C$1,[1]quests!$1:$1,0)+1,FALSE)</f>
        <v>ドロップイベント2-4（マルチ専用）</v>
      </c>
      <c r="F1068" s="5">
        <v>2</v>
      </c>
      <c r="G1068" s="3" t="str">
        <f ca="1">VLOOKUP($C1068&amp;"_"&amp;$F1068,OFFSET([1]stages!$A$1,0,0,COUNTA([1]stages!$A:$A),MATCH(G$1,[1]stages!$2:$2,0)-MATCH("temp_stage",[1]stages!$2:$2,0)+1),MATCH(G$1,[1]stages!$2:$2,0)-MATCH("temp_stage",[1]stages!$2:$2,0)+1,FALSE)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8" s="3" t="str">
        <f ca="1">VLOOKUP($C1068&amp;"_"&amp;$F1068,OFFSET([1]stages!$A$1,0,0,COUNTA([1]stages!$A:$A),MATCH(H$1,[1]stages!$2:$2,0)-MATCH("temp_stage",[1]stages!$2:$2,0)+1),MATCH(H$1,[1]stages!$2:$2,0)-MATCH("temp_stage",[1]stages!$2:$2,0)+1,FALSE)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8" s="18">
        <v>0</v>
      </c>
      <c r="J1068" s="5">
        <f>COUNTIF(C$1:C1068,C1068)</f>
        <v>11</v>
      </c>
      <c r="K1068" s="34">
        <v>15</v>
      </c>
      <c r="L1068" s="5" t="s">
        <v>17</v>
      </c>
      <c r="M1068" s="38" t="str">
        <f>VLOOKUP(K1068,[2]stage_hints!$A:$C,3,FALSE)</f>
        <v>覚醒素材を獲得</v>
      </c>
      <c r="N1068" s="39" t="str">
        <f>VLOOKUP(K1068,[2]stage_hints!$A:$D,4,FALSE)</f>
        <v>「曜日クエスト」では
ユニットの覚醒に必要な素材が手に入ります</v>
      </c>
      <c r="O1068" s="20" t="s">
        <v>24</v>
      </c>
      <c r="P1068">
        <v>15</v>
      </c>
    </row>
    <row r="1069" spans="1:16" x14ac:dyDescent="0.15">
      <c r="A1069" s="27" t="str">
        <f t="shared" si="80"/>
        <v>30008_2_12</v>
      </c>
      <c r="B1069" s="25" t="s">
        <v>34</v>
      </c>
      <c r="C1069" s="4">
        <v>30008</v>
      </c>
      <c r="D1069" s="3" t="str">
        <f ca="1">VLOOKUP($C1069,OFFSET([1]quests!$A$1,0,0,COUNTA([1]quests!$A:$A),MATCH(D$1,[1]quests!$1:$1,0)-MATCH($C$1,[1]quests!$1:$1,0)+1),MATCH(D$1,[1]quests!$1:$1,0)-MATCH($C$1,[1]quests!$1:$1,0)+1,FALSE)</f>
        <v>わたしの嫁を返してもらおう</v>
      </c>
      <c r="E1069" s="3" t="str">
        <f ca="1">VLOOKUP($C1069,OFFSET([1]quests!$A$1,0,0,COUNTA([1]quests!$A:$A),MATCH(E$1,[1]quests!$1:$1,0)-MATCH($C$1,[1]quests!$1:$1,0)+1),MATCH(E$1,[1]quests!$1:$1,0)-MATCH($C$1,[1]quests!$1:$1,0)+1,FALSE)</f>
        <v>ドロップイベント2-4（マルチ専用）</v>
      </c>
      <c r="F1069" s="5">
        <v>2</v>
      </c>
      <c r="G1069" s="3" t="str">
        <f ca="1">VLOOKUP($C1069&amp;"_"&amp;$F1069,OFFSET([1]stages!$A$1,0,0,COUNTA([1]stages!$A:$A),MATCH(G$1,[1]stages!$2:$2,0)-MATCH("temp_stage",[1]stages!$2:$2,0)+1),MATCH(G$1,[1]stages!$2:$2,0)-MATCH("temp_stage",[1]stages!$2:$2,0)+1,FALSE)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69" s="3" t="str">
        <f ca="1">VLOOKUP($C1069&amp;"_"&amp;$F1069,OFFSET([1]stages!$A$1,0,0,COUNTA([1]stages!$A:$A),MATCH(H$1,[1]stages!$2:$2,0)-MATCH("temp_stage",[1]stages!$2:$2,0)+1),MATCH(H$1,[1]stages!$2:$2,0)-MATCH("temp_stage",[1]stages!$2:$2,0)+1,FALSE)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69" s="18">
        <v>0</v>
      </c>
      <c r="J1069" s="5">
        <f>COUNTIF(C$1:C1069,C1069)</f>
        <v>12</v>
      </c>
      <c r="K1069" s="34">
        <v>16</v>
      </c>
      <c r="L1069" s="5" t="s">
        <v>17</v>
      </c>
      <c r="M1069" s="38" t="str">
        <f>VLOOKUP(K1069,[2]stage_hints!$A:$C,3,FALSE)</f>
        <v>マルチプレイのメリット（その1）</v>
      </c>
      <c r="N1069" s="39" t="str">
        <f>VLOOKUP(K1069,[2]stage_hints!$A:$D,4,FALSE)</f>
        <v>他のプレイヤーとマルチプレイで遊ぶと
ポリゴンがもらえます（100人まで）</v>
      </c>
      <c r="O1069" s="20" t="s">
        <v>24</v>
      </c>
      <c r="P1069">
        <v>16</v>
      </c>
    </row>
    <row r="1070" spans="1:16" x14ac:dyDescent="0.15">
      <c r="A1070" s="27" t="str">
        <f t="shared" si="80"/>
        <v>30008_2_13</v>
      </c>
      <c r="B1070" s="25" t="s">
        <v>34</v>
      </c>
      <c r="C1070" s="4">
        <v>30008</v>
      </c>
      <c r="D1070" s="3" t="str">
        <f ca="1">VLOOKUP($C1070,OFFSET([1]quests!$A$1,0,0,COUNTA([1]quests!$A:$A),MATCH(D$1,[1]quests!$1:$1,0)-MATCH($C$1,[1]quests!$1:$1,0)+1),MATCH(D$1,[1]quests!$1:$1,0)-MATCH($C$1,[1]quests!$1:$1,0)+1,FALSE)</f>
        <v>わたしの嫁を返してもらおう</v>
      </c>
      <c r="E1070" s="3" t="str">
        <f ca="1">VLOOKUP($C1070,OFFSET([1]quests!$A$1,0,0,COUNTA([1]quests!$A:$A),MATCH(E$1,[1]quests!$1:$1,0)-MATCH($C$1,[1]quests!$1:$1,0)+1),MATCH(E$1,[1]quests!$1:$1,0)-MATCH($C$1,[1]quests!$1:$1,0)+1,FALSE)</f>
        <v>ドロップイベント2-4（マルチ専用）</v>
      </c>
      <c r="F1070" s="5">
        <v>2</v>
      </c>
      <c r="G1070" s="3" t="str">
        <f ca="1">VLOOKUP($C1070&amp;"_"&amp;$F1070,OFFSET([1]stages!$A$1,0,0,COUNTA([1]stages!$A:$A),MATCH(G$1,[1]stages!$2:$2,0)-MATCH("temp_stage",[1]stages!$2:$2,0)+1),MATCH(G$1,[1]stages!$2:$2,0)-MATCH("temp_stage",[1]stages!$2:$2,0)+1,FALSE)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0" s="3" t="str">
        <f ca="1">VLOOKUP($C1070&amp;"_"&amp;$F1070,OFFSET([1]stages!$A$1,0,0,COUNTA([1]stages!$A:$A),MATCH(H$1,[1]stages!$2:$2,0)-MATCH("temp_stage",[1]stages!$2:$2,0)+1),MATCH(H$1,[1]stages!$2:$2,0)-MATCH("temp_stage",[1]stages!$2:$2,0)+1,FALSE)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0" s="18">
        <v>0</v>
      </c>
      <c r="J1070" s="5">
        <f>COUNTIF(C$1:C1070,C1070)</f>
        <v>13</v>
      </c>
      <c r="K1070" s="34">
        <v>17</v>
      </c>
      <c r="L1070" s="5" t="s">
        <v>17</v>
      </c>
      <c r="M1070" s="38" t="str">
        <f>VLOOKUP(K1070,[2]stage_hints!$A:$C,3,FALSE)</f>
        <v>リンクガチャ</v>
      </c>
      <c r="N1070" s="39" t="str">
        <f>VLOOKUP(K1070,[2]stage_hints!$A:$D,4,FALSE)</f>
        <v>無料のリンクガチャを回して
経験値素材や売却素材を獲得しましょう</v>
      </c>
      <c r="O1070" s="20" t="s">
        <v>24</v>
      </c>
      <c r="P1070">
        <v>17</v>
      </c>
    </row>
    <row r="1071" spans="1:16" x14ac:dyDescent="0.15">
      <c r="A1071" s="27" t="str">
        <f t="shared" si="80"/>
        <v>30008_2_14</v>
      </c>
      <c r="B1071" s="25" t="s">
        <v>34</v>
      </c>
      <c r="C1071" s="4">
        <v>30008</v>
      </c>
      <c r="D1071" s="3" t="str">
        <f ca="1">VLOOKUP($C1071,OFFSET([1]quests!$A$1,0,0,COUNTA([1]quests!$A:$A),MATCH(D$1,[1]quests!$1:$1,0)-MATCH($C$1,[1]quests!$1:$1,0)+1),MATCH(D$1,[1]quests!$1:$1,0)-MATCH($C$1,[1]quests!$1:$1,0)+1,FALSE)</f>
        <v>わたしの嫁を返してもらおう</v>
      </c>
      <c r="E1071" s="3" t="str">
        <f ca="1">VLOOKUP($C1071,OFFSET([1]quests!$A$1,0,0,COUNTA([1]quests!$A:$A),MATCH(E$1,[1]quests!$1:$1,0)-MATCH($C$1,[1]quests!$1:$1,0)+1),MATCH(E$1,[1]quests!$1:$1,0)-MATCH($C$1,[1]quests!$1:$1,0)+1,FALSE)</f>
        <v>ドロップイベント2-4（マルチ専用）</v>
      </c>
      <c r="F1071" s="5">
        <v>2</v>
      </c>
      <c r="G1071" s="3" t="str">
        <f ca="1">VLOOKUP($C1071&amp;"_"&amp;$F1071,OFFSET([1]stages!$A$1,0,0,COUNTA([1]stages!$A:$A),MATCH(G$1,[1]stages!$2:$2,0)-MATCH("temp_stage",[1]stages!$2:$2,0)+1),MATCH(G$1,[1]stages!$2:$2,0)-MATCH("temp_stage",[1]stages!$2:$2,0)+1,FALSE)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1" s="3" t="str">
        <f ca="1">VLOOKUP($C1071&amp;"_"&amp;$F1071,OFFSET([1]stages!$A$1,0,0,COUNTA([1]stages!$A:$A),MATCH(H$1,[1]stages!$2:$2,0)-MATCH("temp_stage",[1]stages!$2:$2,0)+1),MATCH(H$1,[1]stages!$2:$2,0)-MATCH("temp_stage",[1]stages!$2:$2,0)+1,FALSE)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1" s="18">
        <v>0</v>
      </c>
      <c r="J1071" s="5">
        <f>COUNTIF(C$1:C1071,C1071)</f>
        <v>14</v>
      </c>
      <c r="K1071" s="34">
        <v>18</v>
      </c>
      <c r="L1071" s="5" t="s">
        <v>17</v>
      </c>
      <c r="M1071" s="38" t="str">
        <f>VLOOKUP(K1071,[2]stage_hints!$A:$C,3,FALSE)</f>
        <v>マルチプレイのメリット（その2）</v>
      </c>
      <c r="N1071" s="39" t="str">
        <f>VLOOKUP(K1071,[2]stage_hints!$A:$D,4,FALSE)</f>
        <v>マルチプレイならリンクが2倍もらえます
リンクガチャをたくさん回しましょう</v>
      </c>
      <c r="O1071" s="20" t="s">
        <v>24</v>
      </c>
      <c r="P1071">
        <v>18</v>
      </c>
    </row>
    <row r="1072" spans="1:16" x14ac:dyDescent="0.15">
      <c r="A1072" s="27" t="str">
        <f t="shared" si="80"/>
        <v>30008_2_15</v>
      </c>
      <c r="B1072" s="25" t="s">
        <v>34</v>
      </c>
      <c r="C1072" s="4">
        <v>30008</v>
      </c>
      <c r="D1072" s="3" t="str">
        <f ca="1">VLOOKUP($C1072,OFFSET([1]quests!$A$1,0,0,COUNTA([1]quests!$A:$A),MATCH(D$1,[1]quests!$1:$1,0)-MATCH($C$1,[1]quests!$1:$1,0)+1),MATCH(D$1,[1]quests!$1:$1,0)-MATCH($C$1,[1]quests!$1:$1,0)+1,FALSE)</f>
        <v>わたしの嫁を返してもらおう</v>
      </c>
      <c r="E1072" s="3" t="str">
        <f ca="1">VLOOKUP($C1072,OFFSET([1]quests!$A$1,0,0,COUNTA([1]quests!$A:$A),MATCH(E$1,[1]quests!$1:$1,0)-MATCH($C$1,[1]quests!$1:$1,0)+1),MATCH(E$1,[1]quests!$1:$1,0)-MATCH($C$1,[1]quests!$1:$1,0)+1,FALSE)</f>
        <v>ドロップイベント2-4（マルチ専用）</v>
      </c>
      <c r="F1072" s="5">
        <v>2</v>
      </c>
      <c r="G1072" s="3" t="str">
        <f ca="1">VLOOKUP($C1072&amp;"_"&amp;$F1072,OFFSET([1]stages!$A$1,0,0,COUNTA([1]stages!$A:$A),MATCH(G$1,[1]stages!$2:$2,0)-MATCH("temp_stage",[1]stages!$2:$2,0)+1),MATCH(G$1,[1]stages!$2:$2,0)-MATCH("temp_stage",[1]stages!$2:$2,0)+1,FALSE)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2" s="3" t="str">
        <f ca="1">VLOOKUP($C1072&amp;"_"&amp;$F1072,OFFSET([1]stages!$A$1,0,0,COUNTA([1]stages!$A:$A),MATCH(H$1,[1]stages!$2:$2,0)-MATCH("temp_stage",[1]stages!$2:$2,0)+1),MATCH(H$1,[1]stages!$2:$2,0)-MATCH("temp_stage",[1]stages!$2:$2,0)+1,FALSE)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2" s="18">
        <v>0</v>
      </c>
      <c r="J1072" s="5">
        <f>COUNTIF(C$1:C1072,C1072)</f>
        <v>15</v>
      </c>
      <c r="K1072" s="34">
        <v>19</v>
      </c>
      <c r="L1072" s="5" t="s">
        <v>17</v>
      </c>
      <c r="M1072" s="38" t="str">
        <f>VLOOKUP(K1072,[2]stage_hints!$A:$C,3,FALSE)</f>
        <v>ソロ専用チャレンジタワー</v>
      </c>
      <c r="N1072" s="39" t="str">
        <f>VLOOKUP(K1072,[2]stage_hints!$A:$D,4,FALSE)</f>
        <v>ソロ専用の「チャレンジタワー」では
各フロアごとにクリア報酬がもらえます</v>
      </c>
      <c r="O1072" s="20" t="s">
        <v>24</v>
      </c>
      <c r="P1072">
        <v>19</v>
      </c>
    </row>
    <row r="1073" spans="1:16" x14ac:dyDescent="0.15">
      <c r="A1073" s="27" t="str">
        <f t="shared" si="80"/>
        <v>30008_2_16</v>
      </c>
      <c r="B1073" s="25" t="s">
        <v>34</v>
      </c>
      <c r="C1073" s="4">
        <v>30008</v>
      </c>
      <c r="D1073" s="3" t="str">
        <f ca="1">VLOOKUP($C1073,OFFSET([1]quests!$A$1,0,0,COUNTA([1]quests!$A:$A),MATCH(D$1,[1]quests!$1:$1,0)-MATCH($C$1,[1]quests!$1:$1,0)+1),MATCH(D$1,[1]quests!$1:$1,0)-MATCH($C$1,[1]quests!$1:$1,0)+1,FALSE)</f>
        <v>わたしの嫁を返してもらおう</v>
      </c>
      <c r="E1073" s="3" t="str">
        <f ca="1">VLOOKUP($C1073,OFFSET([1]quests!$A$1,0,0,COUNTA([1]quests!$A:$A),MATCH(E$1,[1]quests!$1:$1,0)-MATCH($C$1,[1]quests!$1:$1,0)+1),MATCH(E$1,[1]quests!$1:$1,0)-MATCH($C$1,[1]quests!$1:$1,0)+1,FALSE)</f>
        <v>ドロップイベント2-4（マルチ専用）</v>
      </c>
      <c r="F1073" s="5">
        <v>2</v>
      </c>
      <c r="G1073" s="3" t="str">
        <f ca="1">VLOOKUP($C1073&amp;"_"&amp;$F1073,OFFSET([1]stages!$A$1,0,0,COUNTA([1]stages!$A:$A),MATCH(G$1,[1]stages!$2:$2,0)-MATCH("temp_stage",[1]stages!$2:$2,0)+1),MATCH(G$1,[1]stages!$2:$2,0)-MATCH("temp_stage",[1]stages!$2:$2,0)+1,FALSE)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3" s="3" t="str">
        <f ca="1">VLOOKUP($C1073&amp;"_"&amp;$F1073,OFFSET([1]stages!$A$1,0,0,COUNTA([1]stages!$A:$A),MATCH(H$1,[1]stages!$2:$2,0)-MATCH("temp_stage",[1]stages!$2:$2,0)+1),MATCH(H$1,[1]stages!$2:$2,0)-MATCH("temp_stage",[1]stages!$2:$2,0)+1,FALSE)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3" s="18">
        <v>0</v>
      </c>
      <c r="J1073" s="5">
        <f>COUNTIF(C$1:C1073,C1073)</f>
        <v>16</v>
      </c>
      <c r="K1073" s="34">
        <v>20</v>
      </c>
      <c r="L1073" s="5" t="s">
        <v>17</v>
      </c>
      <c r="M1073" s="38" t="str">
        <f>VLOOKUP(K1073,[2]stage_hints!$A:$C,3,FALSE)</f>
        <v>マルチプレイのメリット（その3）</v>
      </c>
      <c r="N1073" s="39" t="str">
        <f>VLOOKUP(K1073,[2]stage_hints!$A:$D,4,FALSE)</f>
        <v>マルチプレイへの参加はエナジー消費ゼロ
いつでも好きなだけ遊ぶことができます</v>
      </c>
      <c r="O1073" s="20" t="s">
        <v>24</v>
      </c>
      <c r="P1073">
        <v>20</v>
      </c>
    </row>
    <row r="1074" spans="1:16" x14ac:dyDescent="0.15">
      <c r="A1074" s="27" t="str">
        <f t="shared" si="80"/>
        <v>30008_2_17</v>
      </c>
      <c r="B1074" s="25" t="s">
        <v>34</v>
      </c>
      <c r="C1074" s="4">
        <v>30008</v>
      </c>
      <c r="D1074" s="3" t="str">
        <f ca="1">VLOOKUP($C1074,OFFSET([1]quests!$A$1,0,0,COUNTA([1]quests!$A:$A),MATCH(D$1,[1]quests!$1:$1,0)-MATCH($C$1,[1]quests!$1:$1,0)+1),MATCH(D$1,[1]quests!$1:$1,0)-MATCH($C$1,[1]quests!$1:$1,0)+1,FALSE)</f>
        <v>わたしの嫁を返してもらおう</v>
      </c>
      <c r="E1074" s="3" t="str">
        <f ca="1">VLOOKUP($C1074,OFFSET([1]quests!$A$1,0,0,COUNTA([1]quests!$A:$A),MATCH(E$1,[1]quests!$1:$1,0)-MATCH($C$1,[1]quests!$1:$1,0)+1),MATCH(E$1,[1]quests!$1:$1,0)-MATCH($C$1,[1]quests!$1:$1,0)+1,FALSE)</f>
        <v>ドロップイベント2-4（マルチ専用）</v>
      </c>
      <c r="F1074" s="5">
        <v>2</v>
      </c>
      <c r="G1074" s="3" t="str">
        <f ca="1">VLOOKUP($C1074&amp;"_"&amp;$F1074,OFFSET([1]stages!$A$1,0,0,COUNTA([1]stages!$A:$A),MATCH(G$1,[1]stages!$2:$2,0)-MATCH("temp_stage",[1]stages!$2:$2,0)+1),MATCH(G$1,[1]stages!$2:$2,0)-MATCH("temp_stage",[1]stages!$2:$2,0)+1,FALSE)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4" s="3" t="str">
        <f ca="1">VLOOKUP($C1074&amp;"_"&amp;$F1074,OFFSET([1]stages!$A$1,0,0,COUNTA([1]stages!$A:$A),MATCH(H$1,[1]stages!$2:$2,0)-MATCH("temp_stage",[1]stages!$2:$2,0)+1),MATCH(H$1,[1]stages!$2:$2,0)-MATCH("temp_stage",[1]stages!$2:$2,0)+1,FALSE)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4" s="18">
        <v>0</v>
      </c>
      <c r="J1074" s="5">
        <f>COUNTIF(C$1:C1074,C1074)</f>
        <v>17</v>
      </c>
      <c r="K1074" s="34">
        <v>21</v>
      </c>
      <c r="L1074" s="5" t="s">
        <v>17</v>
      </c>
      <c r="M1074" s="38" t="str">
        <f>VLOOKUP(K1074,[2]stage_hints!$A:$C,3,FALSE)</f>
        <v>スキルを有効に</v>
      </c>
      <c r="N1074" s="39" t="str">
        <f>VLOOKUP(K1074,[2]stage_hints!$A:$D,4,FALSE)</f>
        <v>ターン経過でユニットのスキルが使えます
強力スキルでバトルを有利に進めましょう</v>
      </c>
      <c r="O1074" s="20" t="s">
        <v>24</v>
      </c>
      <c r="P1074">
        <v>21</v>
      </c>
    </row>
    <row r="1075" spans="1:16" x14ac:dyDescent="0.15">
      <c r="A1075" s="27" t="str">
        <f t="shared" si="80"/>
        <v>30008_2_18</v>
      </c>
      <c r="B1075" s="25" t="s">
        <v>34</v>
      </c>
      <c r="C1075" s="4">
        <v>30008</v>
      </c>
      <c r="D1075" s="3" t="str">
        <f ca="1">VLOOKUP($C1075,OFFSET([1]quests!$A$1,0,0,COUNTA([1]quests!$A:$A),MATCH(D$1,[1]quests!$1:$1,0)-MATCH($C$1,[1]quests!$1:$1,0)+1),MATCH(D$1,[1]quests!$1:$1,0)-MATCH($C$1,[1]quests!$1:$1,0)+1,FALSE)</f>
        <v>わたしの嫁を返してもらおう</v>
      </c>
      <c r="E1075" s="3" t="str">
        <f ca="1">VLOOKUP($C1075,OFFSET([1]quests!$A$1,0,0,COUNTA([1]quests!$A:$A),MATCH(E$1,[1]quests!$1:$1,0)-MATCH($C$1,[1]quests!$1:$1,0)+1),MATCH(E$1,[1]quests!$1:$1,0)-MATCH($C$1,[1]quests!$1:$1,0)+1,FALSE)</f>
        <v>ドロップイベント2-4（マルチ専用）</v>
      </c>
      <c r="F1075" s="5">
        <v>2</v>
      </c>
      <c r="G1075" s="3" t="str">
        <f ca="1">VLOOKUP($C1075&amp;"_"&amp;$F1075,OFFSET([1]stages!$A$1,0,0,COUNTA([1]stages!$A:$A),MATCH(G$1,[1]stages!$2:$2,0)-MATCH("temp_stage",[1]stages!$2:$2,0)+1),MATCH(G$1,[1]stages!$2:$2,0)-MATCH("temp_stage",[1]stages!$2:$2,0)+1,FALSE)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5" s="3" t="str">
        <f ca="1">VLOOKUP($C1075&amp;"_"&amp;$F1075,OFFSET([1]stages!$A$1,0,0,COUNTA([1]stages!$A:$A),MATCH(H$1,[1]stages!$2:$2,0)-MATCH("temp_stage",[1]stages!$2:$2,0)+1),MATCH(H$1,[1]stages!$2:$2,0)-MATCH("temp_stage",[1]stages!$2:$2,0)+1,FALSE)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5" s="18">
        <v>0</v>
      </c>
      <c r="J1075" s="5">
        <f>COUNTIF(C$1:C1075,C1075)</f>
        <v>18</v>
      </c>
      <c r="K1075" s="34">
        <v>22</v>
      </c>
      <c r="L1075" s="5" t="s">
        <v>17</v>
      </c>
      <c r="M1075" s="38" t="str">
        <f>VLOOKUP(K1075,[2]stage_hints!$A:$C,3,FALSE)</f>
        <v>フィーバーで一発逆転（その1）</v>
      </c>
      <c r="N1075" s="39" t="str">
        <f>VLOOKUP(K1075,[2]stage_hints!$A:$D,4,FALSE)</f>
        <v>フィーバーは攻撃と回復を兼ね備えます
ピンチからの一発逆転を狙いましょう</v>
      </c>
      <c r="O1075" s="20" t="s">
        <v>24</v>
      </c>
      <c r="P1075">
        <v>22</v>
      </c>
    </row>
    <row r="1076" spans="1:16" x14ac:dyDescent="0.15">
      <c r="A1076" s="27" t="str">
        <f t="shared" si="80"/>
        <v>30008_2_19</v>
      </c>
      <c r="B1076" s="25" t="s">
        <v>34</v>
      </c>
      <c r="C1076" s="4">
        <v>30008</v>
      </c>
      <c r="D1076" s="3" t="str">
        <f ca="1">VLOOKUP($C1076,OFFSET([1]quests!$A$1,0,0,COUNTA([1]quests!$A:$A),MATCH(D$1,[1]quests!$1:$1,0)-MATCH($C$1,[1]quests!$1:$1,0)+1),MATCH(D$1,[1]quests!$1:$1,0)-MATCH($C$1,[1]quests!$1:$1,0)+1,FALSE)</f>
        <v>わたしの嫁を返してもらおう</v>
      </c>
      <c r="E1076" s="3" t="str">
        <f ca="1">VLOOKUP($C1076,OFFSET([1]quests!$A$1,0,0,COUNTA([1]quests!$A:$A),MATCH(E$1,[1]quests!$1:$1,0)-MATCH($C$1,[1]quests!$1:$1,0)+1),MATCH(E$1,[1]quests!$1:$1,0)-MATCH($C$1,[1]quests!$1:$1,0)+1,FALSE)</f>
        <v>ドロップイベント2-4（マルチ専用）</v>
      </c>
      <c r="F1076" s="5">
        <v>2</v>
      </c>
      <c r="G1076" s="3" t="str">
        <f ca="1">VLOOKUP($C1076&amp;"_"&amp;$F1076,OFFSET([1]stages!$A$1,0,0,COUNTA([1]stages!$A:$A),MATCH(G$1,[1]stages!$2:$2,0)-MATCH("temp_stage",[1]stages!$2:$2,0)+1),MATCH(G$1,[1]stages!$2:$2,0)-MATCH("temp_stage",[1]stages!$2:$2,0)+1,FALSE)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6" s="3" t="str">
        <f ca="1">VLOOKUP($C1076&amp;"_"&amp;$F1076,OFFSET([1]stages!$A$1,0,0,COUNTA([1]stages!$A:$A),MATCH(H$1,[1]stages!$2:$2,0)-MATCH("temp_stage",[1]stages!$2:$2,0)+1),MATCH(H$1,[1]stages!$2:$2,0)-MATCH("temp_stage",[1]stages!$2:$2,0)+1,FALSE)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6" s="18">
        <v>0</v>
      </c>
      <c r="J1076" s="5">
        <f>COUNTIF(C$1:C1076,C1076)</f>
        <v>19</v>
      </c>
      <c r="K1076" s="34">
        <v>23</v>
      </c>
      <c r="L1076" s="5" t="s">
        <v>17</v>
      </c>
      <c r="M1076" s="38" t="str">
        <f>VLOOKUP(K1076,[2]stage_hints!$A:$C,3,FALSE)</f>
        <v>フィーバーで一発逆転（その2）</v>
      </c>
      <c r="N1076" s="39" t="str">
        <f>VLOOKUP(K1076,[2]stage_hints!$A:$D,4,FALSE)</f>
        <v>フィーバー中は虹色のボムパネルを狙って
画面上のパネルを一気に破壊しましょう</v>
      </c>
      <c r="O1076" s="20" t="s">
        <v>24</v>
      </c>
      <c r="P1076">
        <v>23</v>
      </c>
    </row>
    <row r="1077" spans="1:16" x14ac:dyDescent="0.15">
      <c r="A1077" s="27" t="str">
        <f t="shared" si="80"/>
        <v>30008_2_20</v>
      </c>
      <c r="B1077" s="25" t="s">
        <v>34</v>
      </c>
      <c r="C1077" s="4">
        <v>30008</v>
      </c>
      <c r="D1077" s="3" t="str">
        <f ca="1">VLOOKUP($C1077,OFFSET([1]quests!$A$1,0,0,COUNTA([1]quests!$A:$A),MATCH(D$1,[1]quests!$1:$1,0)-MATCH($C$1,[1]quests!$1:$1,0)+1),MATCH(D$1,[1]quests!$1:$1,0)-MATCH($C$1,[1]quests!$1:$1,0)+1,FALSE)</f>
        <v>わたしの嫁を返してもらおう</v>
      </c>
      <c r="E1077" s="3" t="str">
        <f ca="1">VLOOKUP($C1077,OFFSET([1]quests!$A$1,0,0,COUNTA([1]quests!$A:$A),MATCH(E$1,[1]quests!$1:$1,0)-MATCH($C$1,[1]quests!$1:$1,0)+1),MATCH(E$1,[1]quests!$1:$1,0)-MATCH($C$1,[1]quests!$1:$1,0)+1,FALSE)</f>
        <v>ドロップイベント2-4（マルチ専用）</v>
      </c>
      <c r="F1077" s="5">
        <v>2</v>
      </c>
      <c r="G1077" s="3" t="str">
        <f ca="1">VLOOKUP($C1077&amp;"_"&amp;$F1077,OFFSET([1]stages!$A$1,0,0,COUNTA([1]stages!$A:$A),MATCH(G$1,[1]stages!$2:$2,0)-MATCH("temp_stage",[1]stages!$2:$2,0)+1),MATCH(G$1,[1]stages!$2:$2,0)-MATCH("temp_stage",[1]stages!$2:$2,0)+1,FALSE)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7" s="3" t="str">
        <f ca="1">VLOOKUP($C1077&amp;"_"&amp;$F1077,OFFSET([1]stages!$A$1,0,0,COUNTA([1]stages!$A:$A),MATCH(H$1,[1]stages!$2:$2,0)-MATCH("temp_stage",[1]stages!$2:$2,0)+1),MATCH(H$1,[1]stages!$2:$2,0)-MATCH("temp_stage",[1]stages!$2:$2,0)+1,FALSE)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7" s="18">
        <v>0</v>
      </c>
      <c r="J1077" s="5">
        <f>COUNTIF(C$1:C1077,C1077)</f>
        <v>20</v>
      </c>
      <c r="K1077" s="34">
        <v>24</v>
      </c>
      <c r="L1077" s="5" t="s">
        <v>17</v>
      </c>
      <c r="M1077" s="38" t="str">
        <f>VLOOKUP(K1077,[2]stage_hints!$A:$C,3,FALSE)</f>
        <v>りんごを使って限界突破</v>
      </c>
      <c r="N1077" s="39" t="str">
        <f>VLOOKUP(K1077,[2]stage_hints!$A:$D,4,FALSE)</f>
        <v>赤りんご(攻撃力) 青りんご(回復力)
緑りんご(体力)をユニット強化に使うと
ステータスが限界突破します（計99個迄）</v>
      </c>
      <c r="O1077" s="20" t="s">
        <v>24</v>
      </c>
      <c r="P1077">
        <v>24</v>
      </c>
    </row>
    <row r="1078" spans="1:16" x14ac:dyDescent="0.15">
      <c r="A1078" s="27" t="str">
        <f t="shared" si="80"/>
        <v>30008_2_21</v>
      </c>
      <c r="B1078" s="25" t="s">
        <v>34</v>
      </c>
      <c r="C1078" s="4">
        <v>30008</v>
      </c>
      <c r="D1078" s="3" t="str">
        <f ca="1">VLOOKUP($C1078,OFFSET([1]quests!$A$1,0,0,COUNTA([1]quests!$A:$A),MATCH(D$1,[1]quests!$1:$1,0)-MATCH($C$1,[1]quests!$1:$1,0)+1),MATCH(D$1,[1]quests!$1:$1,0)-MATCH($C$1,[1]quests!$1:$1,0)+1,FALSE)</f>
        <v>わたしの嫁を返してもらおう</v>
      </c>
      <c r="E1078" s="3" t="str">
        <f ca="1">VLOOKUP($C1078,OFFSET([1]quests!$A$1,0,0,COUNTA([1]quests!$A:$A),MATCH(E$1,[1]quests!$1:$1,0)-MATCH($C$1,[1]quests!$1:$1,0)+1),MATCH(E$1,[1]quests!$1:$1,0)-MATCH($C$1,[1]quests!$1:$1,0)+1,FALSE)</f>
        <v>ドロップイベント2-4（マルチ専用）</v>
      </c>
      <c r="F1078" s="5">
        <v>2</v>
      </c>
      <c r="G1078" s="3" t="str">
        <f ca="1">VLOOKUP($C1078&amp;"_"&amp;$F1078,OFFSET([1]stages!$A$1,0,0,COUNTA([1]stages!$A:$A),MATCH(G$1,[1]stages!$2:$2,0)-MATCH("temp_stage",[1]stages!$2:$2,0)+1),MATCH(G$1,[1]stages!$2:$2,0)-MATCH("temp_stage",[1]stages!$2:$2,0)+1,FALSE)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8" s="3" t="str">
        <f ca="1">VLOOKUP($C1078&amp;"_"&amp;$F1078,OFFSET([1]stages!$A$1,0,0,COUNTA([1]stages!$A:$A),MATCH(H$1,[1]stages!$2:$2,0)-MATCH("temp_stage",[1]stages!$2:$2,0)+1),MATCH(H$1,[1]stages!$2:$2,0)-MATCH("temp_stage",[1]stages!$2:$2,0)+1,FALSE)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8" s="18">
        <v>0</v>
      </c>
      <c r="J1078" s="5">
        <f>COUNTIF(C$1:C1078,C1078)</f>
        <v>21</v>
      </c>
      <c r="K1078" s="34">
        <v>25</v>
      </c>
      <c r="L1078" s="5" t="s">
        <v>17</v>
      </c>
      <c r="M1078" s="38" t="str">
        <f>VLOOKUP(K1078,[2]stage_hints!$A:$C,3,FALSE)</f>
        <v>スキルレベルアップ</v>
      </c>
      <c r="N1078" s="39" t="str">
        <f>VLOOKUP(K1078,[2]stage_hints!$A:$D,4,FALSE)</f>
        <v>「クリスタルのりんご」を強化に使うと
スキルレベルを上げることができます</v>
      </c>
      <c r="O1078" s="20" t="s">
        <v>24</v>
      </c>
      <c r="P1078">
        <v>25</v>
      </c>
    </row>
    <row r="1079" spans="1:16" x14ac:dyDescent="0.15">
      <c r="A1079" s="27" t="str">
        <f t="shared" si="80"/>
        <v>30008_2_22</v>
      </c>
      <c r="B1079" s="25" t="s">
        <v>34</v>
      </c>
      <c r="C1079" s="4">
        <v>30008</v>
      </c>
      <c r="D1079" s="3" t="str">
        <f ca="1">VLOOKUP($C1079,OFFSET([1]quests!$A$1,0,0,COUNTA([1]quests!$A:$A),MATCH(D$1,[1]quests!$1:$1,0)-MATCH($C$1,[1]quests!$1:$1,0)+1),MATCH(D$1,[1]quests!$1:$1,0)-MATCH($C$1,[1]quests!$1:$1,0)+1,FALSE)</f>
        <v>わたしの嫁を返してもらおう</v>
      </c>
      <c r="E1079" s="3" t="str">
        <f ca="1">VLOOKUP($C1079,OFFSET([1]quests!$A$1,0,0,COUNTA([1]quests!$A:$A),MATCH(E$1,[1]quests!$1:$1,0)-MATCH($C$1,[1]quests!$1:$1,0)+1),MATCH(E$1,[1]quests!$1:$1,0)-MATCH($C$1,[1]quests!$1:$1,0)+1,FALSE)</f>
        <v>ドロップイベント2-4（マルチ専用）</v>
      </c>
      <c r="F1079" s="5">
        <v>2</v>
      </c>
      <c r="G1079" s="3" t="str">
        <f ca="1">VLOOKUP($C1079&amp;"_"&amp;$F1079,OFFSET([1]stages!$A$1,0,0,COUNTA([1]stages!$A:$A),MATCH(G$1,[1]stages!$2:$2,0)-MATCH("temp_stage",[1]stages!$2:$2,0)+1),MATCH(G$1,[1]stages!$2:$2,0)-MATCH("temp_stage",[1]stages!$2:$2,0)+1,FALSE)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79" s="3" t="str">
        <f ca="1">VLOOKUP($C1079&amp;"_"&amp;$F1079,OFFSET([1]stages!$A$1,0,0,COUNTA([1]stages!$A:$A),MATCH(H$1,[1]stages!$2:$2,0)-MATCH("temp_stage",[1]stages!$2:$2,0)+1),MATCH(H$1,[1]stages!$2:$2,0)-MATCH("temp_stage",[1]stages!$2:$2,0)+1,FALSE)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79" s="18">
        <v>0</v>
      </c>
      <c r="J1079" s="5">
        <f>COUNTIF(C$1:C1079,C1079)</f>
        <v>22</v>
      </c>
      <c r="K1079" s="34">
        <v>26</v>
      </c>
      <c r="L1079" s="5" t="s">
        <v>17</v>
      </c>
      <c r="M1079" s="38" t="str">
        <f>VLOOKUP(K1079,[2]stage_hints!$A:$C,3,FALSE)</f>
        <v>スキルレベルの効果</v>
      </c>
      <c r="N1079" s="39" t="str">
        <f>VLOOKUP(K1079,[2]stage_hints!$A:$D,4,FALSE)</f>
        <v>スキルレベルが上がると
短いターンでスキルを使うことができます</v>
      </c>
      <c r="O1079" s="20" t="s">
        <v>24</v>
      </c>
      <c r="P1079">
        <v>26</v>
      </c>
    </row>
    <row r="1080" spans="1:16" x14ac:dyDescent="0.15">
      <c r="A1080" s="27" t="str">
        <f t="shared" si="80"/>
        <v>30008_2_23</v>
      </c>
      <c r="B1080" s="25" t="s">
        <v>34</v>
      </c>
      <c r="C1080" s="4">
        <v>30008</v>
      </c>
      <c r="D1080" s="3" t="str">
        <f ca="1">VLOOKUP($C1080,OFFSET([1]quests!$A$1,0,0,COUNTA([1]quests!$A:$A),MATCH(D$1,[1]quests!$1:$1,0)-MATCH($C$1,[1]quests!$1:$1,0)+1),MATCH(D$1,[1]quests!$1:$1,0)-MATCH($C$1,[1]quests!$1:$1,0)+1,FALSE)</f>
        <v>わたしの嫁を返してもらおう</v>
      </c>
      <c r="E1080" s="3" t="str">
        <f ca="1">VLOOKUP($C1080,OFFSET([1]quests!$A$1,0,0,COUNTA([1]quests!$A:$A),MATCH(E$1,[1]quests!$1:$1,0)-MATCH($C$1,[1]quests!$1:$1,0)+1),MATCH(E$1,[1]quests!$1:$1,0)-MATCH($C$1,[1]quests!$1:$1,0)+1,FALSE)</f>
        <v>ドロップイベント2-4（マルチ専用）</v>
      </c>
      <c r="F1080" s="5">
        <v>2</v>
      </c>
      <c r="G1080" s="3" t="str">
        <f ca="1">VLOOKUP($C1080&amp;"_"&amp;$F1080,OFFSET([1]stages!$A$1,0,0,COUNTA([1]stages!$A:$A),MATCH(G$1,[1]stages!$2:$2,0)-MATCH("temp_stage",[1]stages!$2:$2,0)+1),MATCH(G$1,[1]stages!$2:$2,0)-MATCH("temp_stage",[1]stages!$2:$2,0)+1,FALSE)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0" s="3" t="str">
        <f ca="1">VLOOKUP($C1080&amp;"_"&amp;$F1080,OFFSET([1]stages!$A$1,0,0,COUNTA([1]stages!$A:$A),MATCH(H$1,[1]stages!$2:$2,0)-MATCH("temp_stage",[1]stages!$2:$2,0)+1),MATCH(H$1,[1]stages!$2:$2,0)-MATCH("temp_stage",[1]stages!$2:$2,0)+1,FALSE)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0" s="18">
        <v>0</v>
      </c>
      <c r="J1080" s="5">
        <f>COUNTIF(C$1:C1080,C1080)</f>
        <v>23</v>
      </c>
      <c r="K1080" s="34">
        <v>27</v>
      </c>
      <c r="L1080" s="5" t="s">
        <v>17</v>
      </c>
      <c r="M1080" s="38" t="str">
        <f>VLOOKUP(K1080,[2]stage_hints!$A:$C,3,FALSE)</f>
        <v>ホーム画面からデッキを編成</v>
      </c>
      <c r="N1080" s="39" t="str">
        <f>VLOOKUP(K1080,[2]stage_hints!$A:$D,4,FALSE)</f>
        <v>ホーム画面でユニットを長押しすると
すぐにパーティ編成に移動できます</v>
      </c>
      <c r="O1080" s="20" t="s">
        <v>24</v>
      </c>
      <c r="P1080">
        <v>27</v>
      </c>
    </row>
    <row r="1081" spans="1:16" x14ac:dyDescent="0.15">
      <c r="A1081" s="27" t="str">
        <f t="shared" si="80"/>
        <v>30008_2_24</v>
      </c>
      <c r="B1081" s="25" t="s">
        <v>34</v>
      </c>
      <c r="C1081" s="4">
        <v>30008</v>
      </c>
      <c r="D1081" s="3" t="str">
        <f ca="1">VLOOKUP($C1081,OFFSET([1]quests!$A$1,0,0,COUNTA([1]quests!$A:$A),MATCH(D$1,[1]quests!$1:$1,0)-MATCH($C$1,[1]quests!$1:$1,0)+1),MATCH(D$1,[1]quests!$1:$1,0)-MATCH($C$1,[1]quests!$1:$1,0)+1,FALSE)</f>
        <v>わたしの嫁を返してもらおう</v>
      </c>
      <c r="E1081" s="3" t="str">
        <f ca="1">VLOOKUP($C1081,OFFSET([1]quests!$A$1,0,0,COUNTA([1]quests!$A:$A),MATCH(E$1,[1]quests!$1:$1,0)-MATCH($C$1,[1]quests!$1:$1,0)+1),MATCH(E$1,[1]quests!$1:$1,0)-MATCH($C$1,[1]quests!$1:$1,0)+1,FALSE)</f>
        <v>ドロップイベント2-4（マルチ専用）</v>
      </c>
      <c r="F1081" s="5">
        <v>2</v>
      </c>
      <c r="G1081" s="3" t="str">
        <f ca="1">VLOOKUP($C1081&amp;"_"&amp;$F1081,OFFSET([1]stages!$A$1,0,0,COUNTA([1]stages!$A:$A),MATCH(G$1,[1]stages!$2:$2,0)-MATCH("temp_stage",[1]stages!$2:$2,0)+1),MATCH(G$1,[1]stages!$2:$2,0)-MATCH("temp_stage",[1]stages!$2:$2,0)+1,FALSE)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1" s="3" t="str">
        <f ca="1">VLOOKUP($C1081&amp;"_"&amp;$F1081,OFFSET([1]stages!$A$1,0,0,COUNTA([1]stages!$A:$A),MATCH(H$1,[1]stages!$2:$2,0)-MATCH("temp_stage",[1]stages!$2:$2,0)+1),MATCH(H$1,[1]stages!$2:$2,0)-MATCH("temp_stage",[1]stages!$2:$2,0)+1,FALSE)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1" s="18">
        <v>0</v>
      </c>
      <c r="J1081" s="5">
        <f>COUNTIF(C$1:C1081,C1081)</f>
        <v>24</v>
      </c>
      <c r="K1081" s="34">
        <v>28</v>
      </c>
      <c r="L1081" s="5" t="s">
        <v>17</v>
      </c>
      <c r="M1081" s="38" t="str">
        <f>VLOOKUP(K1081,[2]stage_hints!$A:$C,3,FALSE)</f>
        <v>ステータス情報は長押しで</v>
      </c>
      <c r="N1081" s="39" t="str">
        <f>VLOOKUP(K1081,[2]stage_hints!$A:$D,4,FALSE)</f>
        <v>ユニットのアイコンを長押しすると
ステータス情報を確認することができます</v>
      </c>
      <c r="O1081" s="20" t="s">
        <v>24</v>
      </c>
      <c r="P1081">
        <v>28</v>
      </c>
    </row>
    <row r="1082" spans="1:16" x14ac:dyDescent="0.15">
      <c r="A1082" s="27" t="str">
        <f t="shared" si="80"/>
        <v>30008_2_25</v>
      </c>
      <c r="B1082" s="25" t="s">
        <v>34</v>
      </c>
      <c r="C1082" s="4">
        <v>30008</v>
      </c>
      <c r="D1082" s="3" t="str">
        <f ca="1">VLOOKUP($C1082,OFFSET([1]quests!$A$1,0,0,COUNTA([1]quests!$A:$A),MATCH(D$1,[1]quests!$1:$1,0)-MATCH($C$1,[1]quests!$1:$1,0)+1),MATCH(D$1,[1]quests!$1:$1,0)-MATCH($C$1,[1]quests!$1:$1,0)+1,FALSE)</f>
        <v>わたしの嫁を返してもらおう</v>
      </c>
      <c r="E1082" s="3" t="str">
        <f ca="1">VLOOKUP($C1082,OFFSET([1]quests!$A$1,0,0,COUNTA([1]quests!$A:$A),MATCH(E$1,[1]quests!$1:$1,0)-MATCH($C$1,[1]quests!$1:$1,0)+1),MATCH(E$1,[1]quests!$1:$1,0)-MATCH($C$1,[1]quests!$1:$1,0)+1,FALSE)</f>
        <v>ドロップイベント2-4（マルチ専用）</v>
      </c>
      <c r="F1082" s="5">
        <v>2</v>
      </c>
      <c r="G1082" s="3" t="str">
        <f ca="1">VLOOKUP($C1082&amp;"_"&amp;$F1082,OFFSET([1]stages!$A$1,0,0,COUNTA([1]stages!$A:$A),MATCH(G$1,[1]stages!$2:$2,0)-MATCH("temp_stage",[1]stages!$2:$2,0)+1),MATCH(G$1,[1]stages!$2:$2,0)-MATCH("temp_stage",[1]stages!$2:$2,0)+1,FALSE)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2" s="3" t="str">
        <f ca="1">VLOOKUP($C1082&amp;"_"&amp;$F1082,OFFSET([1]stages!$A$1,0,0,COUNTA([1]stages!$A:$A),MATCH(H$1,[1]stages!$2:$2,0)-MATCH("temp_stage",[1]stages!$2:$2,0)+1),MATCH(H$1,[1]stages!$2:$2,0)-MATCH("temp_stage",[1]stages!$2:$2,0)+1,FALSE)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2" s="18">
        <v>0</v>
      </c>
      <c r="J1082" s="5">
        <f>COUNTIF(C$1:C1082,C1082)</f>
        <v>25</v>
      </c>
      <c r="K1082" s="34">
        <v>29</v>
      </c>
      <c r="L1082" s="5" t="s">
        <v>17</v>
      </c>
      <c r="M1082" s="38" t="str">
        <f>VLOOKUP(K1082,[2]stage_hints!$A:$C,3,FALSE)</f>
        <v>「バグ」のメリット</v>
      </c>
      <c r="N1082" s="39" t="str">
        <f>VLOOKUP(K1082,[2]stage_hints!$A:$D,4,FALSE)</f>
        <v>ユニットの「バグ」を増やすと
報酬をもらえる確率がアップします</v>
      </c>
      <c r="O1082" s="20" t="s">
        <v>24</v>
      </c>
      <c r="P1082">
        <v>29</v>
      </c>
    </row>
    <row r="1083" spans="1:16" x14ac:dyDescent="0.15">
      <c r="A1083" s="27" t="str">
        <f t="shared" si="80"/>
        <v>30008_2_26</v>
      </c>
      <c r="B1083" s="25" t="s">
        <v>34</v>
      </c>
      <c r="C1083" s="4">
        <v>30008</v>
      </c>
      <c r="D1083" s="3" t="str">
        <f ca="1">VLOOKUP($C1083,OFFSET([1]quests!$A$1,0,0,COUNTA([1]quests!$A:$A),MATCH(D$1,[1]quests!$1:$1,0)-MATCH($C$1,[1]quests!$1:$1,0)+1),MATCH(D$1,[1]quests!$1:$1,0)-MATCH($C$1,[1]quests!$1:$1,0)+1,FALSE)</f>
        <v>わたしの嫁を返してもらおう</v>
      </c>
      <c r="E1083" s="3" t="str">
        <f ca="1">VLOOKUP($C1083,OFFSET([1]quests!$A$1,0,0,COUNTA([1]quests!$A:$A),MATCH(E$1,[1]quests!$1:$1,0)-MATCH($C$1,[1]quests!$1:$1,0)+1),MATCH(E$1,[1]quests!$1:$1,0)-MATCH($C$1,[1]quests!$1:$1,0)+1,FALSE)</f>
        <v>ドロップイベント2-4（マルチ専用）</v>
      </c>
      <c r="F1083" s="5">
        <v>2</v>
      </c>
      <c r="G1083" s="3" t="str">
        <f ca="1">VLOOKUP($C1083&amp;"_"&amp;$F1083,OFFSET([1]stages!$A$1,0,0,COUNTA([1]stages!$A:$A),MATCH(G$1,[1]stages!$2:$2,0)-MATCH("temp_stage",[1]stages!$2:$2,0)+1),MATCH(G$1,[1]stages!$2:$2,0)-MATCH("temp_stage",[1]stages!$2:$2,0)+1,FALSE)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3" s="3" t="str">
        <f ca="1">VLOOKUP($C1083&amp;"_"&amp;$F1083,OFFSET([1]stages!$A$1,0,0,COUNTA([1]stages!$A:$A),MATCH(H$1,[1]stages!$2:$2,0)-MATCH("temp_stage",[1]stages!$2:$2,0)+1),MATCH(H$1,[1]stages!$2:$2,0)-MATCH("temp_stage",[1]stages!$2:$2,0)+1,FALSE)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3" s="18">
        <v>0</v>
      </c>
      <c r="J1083" s="5">
        <f>COUNTIF(C$1:C1083,C1083)</f>
        <v>26</v>
      </c>
      <c r="K1083" s="34">
        <v>30</v>
      </c>
      <c r="L1083" s="5" t="s">
        <v>17</v>
      </c>
      <c r="M1083" s="38" t="str">
        <f>VLOOKUP(K1083,[2]stage_hints!$A:$C,3,FALSE)</f>
        <v>「バグ」の増やし方</v>
      </c>
      <c r="N1083" s="39" t="str">
        <f>VLOOKUP(K1083,[2]stage_hints!$A:$D,4,FALSE)</f>
        <v>同じユニット同士を強化で合成すると
「バグ」を増やすことができます</v>
      </c>
      <c r="O1083" s="20" t="s">
        <v>24</v>
      </c>
      <c r="P1083">
        <v>30</v>
      </c>
    </row>
    <row r="1084" spans="1:16" x14ac:dyDescent="0.15">
      <c r="A1084" s="27" t="str">
        <f t="shared" si="80"/>
        <v>30008_2_27</v>
      </c>
      <c r="B1084" s="25" t="s">
        <v>34</v>
      </c>
      <c r="C1084" s="4">
        <v>30008</v>
      </c>
      <c r="D1084" s="3" t="str">
        <f ca="1">VLOOKUP($C1084,OFFSET([1]quests!$A$1,0,0,COUNTA([1]quests!$A:$A),MATCH(D$1,[1]quests!$1:$1,0)-MATCH($C$1,[1]quests!$1:$1,0)+1),MATCH(D$1,[1]quests!$1:$1,0)-MATCH($C$1,[1]quests!$1:$1,0)+1,FALSE)</f>
        <v>わたしの嫁を返してもらおう</v>
      </c>
      <c r="E1084" s="3" t="str">
        <f ca="1">VLOOKUP($C1084,OFFSET([1]quests!$A$1,0,0,COUNTA([1]quests!$A:$A),MATCH(E$1,[1]quests!$1:$1,0)-MATCH($C$1,[1]quests!$1:$1,0)+1),MATCH(E$1,[1]quests!$1:$1,0)-MATCH($C$1,[1]quests!$1:$1,0)+1,FALSE)</f>
        <v>ドロップイベント2-4（マルチ専用）</v>
      </c>
      <c r="F1084" s="5">
        <v>2</v>
      </c>
      <c r="G1084" s="3" t="str">
        <f ca="1">VLOOKUP($C1084&amp;"_"&amp;$F1084,OFFSET([1]stages!$A$1,0,0,COUNTA([1]stages!$A:$A),MATCH(G$1,[1]stages!$2:$2,0)-MATCH("temp_stage",[1]stages!$2:$2,0)+1),MATCH(G$1,[1]stages!$2:$2,0)-MATCH("temp_stage",[1]stages!$2:$2,0)+1,FALSE)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4" s="3" t="str">
        <f ca="1">VLOOKUP($C1084&amp;"_"&amp;$F1084,OFFSET([1]stages!$A$1,0,0,COUNTA([1]stages!$A:$A),MATCH(H$1,[1]stages!$2:$2,0)-MATCH("temp_stage",[1]stages!$2:$2,0)+1),MATCH(H$1,[1]stages!$2:$2,0)-MATCH("temp_stage",[1]stages!$2:$2,0)+1,FALSE)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4" s="18">
        <v>0</v>
      </c>
      <c r="J1084" s="5">
        <f>COUNTIF(C$1:C1084,C1084)</f>
        <v>27</v>
      </c>
      <c r="K1084" s="34">
        <v>31</v>
      </c>
      <c r="L1084" s="5" t="s">
        <v>17</v>
      </c>
      <c r="M1084" s="38" t="str">
        <f>VLOOKUP(K1084,[2]stage_hints!$A:$C,3,FALSE)</f>
        <v>イベントはお知らせでチェック</v>
      </c>
      <c r="N1084" s="39" t="str">
        <f>VLOOKUP(K1084,[2]stage_hints!$A:$D,4,FALSE)</f>
        <v>イベント限定ユニットを取り忘れないように
お知らせをこまめにチェックしましょう</v>
      </c>
      <c r="O1084" s="20" t="s">
        <v>24</v>
      </c>
      <c r="P1084">
        <v>31</v>
      </c>
    </row>
    <row r="1085" spans="1:16" x14ac:dyDescent="0.15">
      <c r="A1085" s="27" t="str">
        <f t="shared" si="80"/>
        <v>30008_2_28</v>
      </c>
      <c r="B1085" s="25" t="s">
        <v>34</v>
      </c>
      <c r="C1085" s="4">
        <v>30008</v>
      </c>
      <c r="D1085" s="3" t="str">
        <f ca="1">VLOOKUP($C1085,OFFSET([1]quests!$A$1,0,0,COUNTA([1]quests!$A:$A),MATCH(D$1,[1]quests!$1:$1,0)-MATCH($C$1,[1]quests!$1:$1,0)+1),MATCH(D$1,[1]quests!$1:$1,0)-MATCH($C$1,[1]quests!$1:$1,0)+1,FALSE)</f>
        <v>わたしの嫁を返してもらおう</v>
      </c>
      <c r="E1085" s="3" t="str">
        <f ca="1">VLOOKUP($C1085,OFFSET([1]quests!$A$1,0,0,COUNTA([1]quests!$A:$A),MATCH(E$1,[1]quests!$1:$1,0)-MATCH($C$1,[1]quests!$1:$1,0)+1),MATCH(E$1,[1]quests!$1:$1,0)-MATCH($C$1,[1]quests!$1:$1,0)+1,FALSE)</f>
        <v>ドロップイベント2-4（マルチ専用）</v>
      </c>
      <c r="F1085" s="5">
        <v>2</v>
      </c>
      <c r="G1085" s="3" t="str">
        <f ca="1">VLOOKUP($C1085&amp;"_"&amp;$F1085,OFFSET([1]stages!$A$1,0,0,COUNTA([1]stages!$A:$A),MATCH(G$1,[1]stages!$2:$2,0)-MATCH("temp_stage",[1]stages!$2:$2,0)+1),MATCH(G$1,[1]stages!$2:$2,0)-MATCH("temp_stage",[1]stages!$2:$2,0)+1,FALSE)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5" s="3" t="str">
        <f ca="1">VLOOKUP($C1085&amp;"_"&amp;$F1085,OFFSET([1]stages!$A$1,0,0,COUNTA([1]stages!$A:$A),MATCH(H$1,[1]stages!$2:$2,0)-MATCH("temp_stage",[1]stages!$2:$2,0)+1),MATCH(H$1,[1]stages!$2:$2,0)-MATCH("temp_stage",[1]stages!$2:$2,0)+1,FALSE)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5" s="18">
        <v>0</v>
      </c>
      <c r="J1085" s="5">
        <f>COUNTIF(C$1:C1085,C1085)</f>
        <v>28</v>
      </c>
      <c r="K1085" s="34">
        <v>32</v>
      </c>
      <c r="L1085" s="5" t="s">
        <v>17</v>
      </c>
      <c r="M1085" s="38" t="str">
        <f>VLOOKUP(K1085,[2]stage_hints!$A:$C,3,FALSE)</f>
        <v>敵の連続攻撃には</v>
      </c>
      <c r="N1085" s="39" t="str">
        <f>VLOOKUP(K1085,[2]stage_hints!$A:$D,4,FALSE)</f>
        <v>カウンタースキルを持つユニットがいれば
ダメージ回数分の反撃ができます</v>
      </c>
      <c r="O1085" s="20" t="s">
        <v>24</v>
      </c>
      <c r="P1085">
        <v>32</v>
      </c>
    </row>
    <row r="1086" spans="1:16" x14ac:dyDescent="0.15">
      <c r="A1086" s="27" t="str">
        <f t="shared" si="80"/>
        <v>30008_2_29</v>
      </c>
      <c r="B1086" s="25" t="s">
        <v>34</v>
      </c>
      <c r="C1086" s="4">
        <v>30008</v>
      </c>
      <c r="D1086" s="3" t="str">
        <f ca="1">VLOOKUP($C1086,OFFSET([1]quests!$A$1,0,0,COUNTA([1]quests!$A:$A),MATCH(D$1,[1]quests!$1:$1,0)-MATCH($C$1,[1]quests!$1:$1,0)+1),MATCH(D$1,[1]quests!$1:$1,0)-MATCH($C$1,[1]quests!$1:$1,0)+1,FALSE)</f>
        <v>わたしの嫁を返してもらおう</v>
      </c>
      <c r="E1086" s="3" t="str">
        <f ca="1">VLOOKUP($C1086,OFFSET([1]quests!$A$1,0,0,COUNTA([1]quests!$A:$A),MATCH(E$1,[1]quests!$1:$1,0)-MATCH($C$1,[1]quests!$1:$1,0)+1),MATCH(E$1,[1]quests!$1:$1,0)-MATCH($C$1,[1]quests!$1:$1,0)+1,FALSE)</f>
        <v>ドロップイベント2-4（マルチ専用）</v>
      </c>
      <c r="F1086" s="5">
        <v>2</v>
      </c>
      <c r="G1086" s="3" t="str">
        <f ca="1">VLOOKUP($C1086&amp;"_"&amp;$F1086,OFFSET([1]stages!$A$1,0,0,COUNTA([1]stages!$A:$A),MATCH(G$1,[1]stages!$2:$2,0)-MATCH("temp_stage",[1]stages!$2:$2,0)+1),MATCH(G$1,[1]stages!$2:$2,0)-MATCH("temp_stage",[1]stages!$2:$2,0)+1,FALSE)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6" s="3" t="str">
        <f ca="1">VLOOKUP($C1086&amp;"_"&amp;$F1086,OFFSET([1]stages!$A$1,0,0,COUNTA([1]stages!$A:$A),MATCH(H$1,[1]stages!$2:$2,0)-MATCH("temp_stage",[1]stages!$2:$2,0)+1),MATCH(H$1,[1]stages!$2:$2,0)-MATCH("temp_stage",[1]stages!$2:$2,0)+1,FALSE)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6" s="18">
        <v>0</v>
      </c>
      <c r="J1086" s="5">
        <f>COUNTIF(C$1:C1086,C1086)</f>
        <v>29</v>
      </c>
      <c r="K1086" s="34">
        <v>33</v>
      </c>
      <c r="L1086" s="5" t="s">
        <v>17</v>
      </c>
      <c r="M1086" s="38" t="str">
        <f>VLOOKUP(K1086,[2]stage_hints!$A:$C,3,FALSE)</f>
        <v>敵のカウンター攻撃には</v>
      </c>
      <c r="N1086" s="39" t="str">
        <f>VLOOKUP(K1086,[2]stage_hints!$A:$D,4,FALSE)</f>
        <v>カウンターブレイクスキルを持っていれば
敵のカウンターを解除して攻撃ができます</v>
      </c>
      <c r="O1086" s="20" t="s">
        <v>24</v>
      </c>
      <c r="P1086">
        <v>33</v>
      </c>
    </row>
    <row r="1087" spans="1:16" x14ac:dyDescent="0.15">
      <c r="A1087" s="27" t="str">
        <f t="shared" si="80"/>
        <v>30008_2_30</v>
      </c>
      <c r="B1087" s="25" t="s">
        <v>34</v>
      </c>
      <c r="C1087" s="4">
        <v>30008</v>
      </c>
      <c r="D1087" s="3" t="str">
        <f ca="1">VLOOKUP($C1087,OFFSET([1]quests!$A$1,0,0,COUNTA([1]quests!$A:$A),MATCH(D$1,[1]quests!$1:$1,0)-MATCH($C$1,[1]quests!$1:$1,0)+1),MATCH(D$1,[1]quests!$1:$1,0)-MATCH($C$1,[1]quests!$1:$1,0)+1,FALSE)</f>
        <v>わたしの嫁を返してもらおう</v>
      </c>
      <c r="E1087" s="3" t="str">
        <f ca="1">VLOOKUP($C1087,OFFSET([1]quests!$A$1,0,0,COUNTA([1]quests!$A:$A),MATCH(E$1,[1]quests!$1:$1,0)-MATCH($C$1,[1]quests!$1:$1,0)+1),MATCH(E$1,[1]quests!$1:$1,0)-MATCH($C$1,[1]quests!$1:$1,0)+1,FALSE)</f>
        <v>ドロップイベント2-4（マルチ専用）</v>
      </c>
      <c r="F1087" s="5">
        <v>2</v>
      </c>
      <c r="G1087" s="3" t="str">
        <f ca="1">VLOOKUP($C1087&amp;"_"&amp;$F1087,OFFSET([1]stages!$A$1,0,0,COUNTA([1]stages!$A:$A),MATCH(G$1,[1]stages!$2:$2,0)-MATCH("temp_stage",[1]stages!$2:$2,0)+1),MATCH(G$1,[1]stages!$2:$2,0)-MATCH("temp_stage",[1]stages!$2:$2,0)+1,FALSE)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7" s="3" t="str">
        <f ca="1">VLOOKUP($C1087&amp;"_"&amp;$F1087,OFFSET([1]stages!$A$1,0,0,COUNTA([1]stages!$A:$A),MATCH(H$1,[1]stages!$2:$2,0)-MATCH("temp_stage",[1]stages!$2:$2,0)+1),MATCH(H$1,[1]stages!$2:$2,0)-MATCH("temp_stage",[1]stages!$2:$2,0)+1,FALSE)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7" s="18">
        <v>0</v>
      </c>
      <c r="J1087" s="5">
        <f>COUNTIF(C$1:C1087,C1087)</f>
        <v>30</v>
      </c>
      <c r="K1087" s="34">
        <v>34</v>
      </c>
      <c r="L1087" s="5" t="s">
        <v>17</v>
      </c>
      <c r="M1087" s="38" t="str">
        <f>VLOOKUP(K1087,[2]stage_hints!$A:$C,3,FALSE)</f>
        <v>ステータスをスキルで下げられたら</v>
      </c>
      <c r="N1087" s="39" t="str">
        <f>VLOOKUP(K1087,[2]stage_hints!$A:$D,4,FALSE)</f>
        <v>ステータスダウンのスキルを受けたら
ステータスアップスキルで上書きしましょう</v>
      </c>
      <c r="O1087" s="20" t="s">
        <v>24</v>
      </c>
      <c r="P1087">
        <v>34</v>
      </c>
    </row>
    <row r="1088" spans="1:16" x14ac:dyDescent="0.15">
      <c r="A1088" s="27" t="str">
        <f t="shared" si="80"/>
        <v>30008_2_31</v>
      </c>
      <c r="B1088" s="25" t="s">
        <v>34</v>
      </c>
      <c r="C1088" s="4">
        <v>30008</v>
      </c>
      <c r="D1088" s="3" t="str">
        <f ca="1">VLOOKUP($C1088,OFFSET([1]quests!$A$1,0,0,COUNTA([1]quests!$A:$A),MATCH(D$1,[1]quests!$1:$1,0)-MATCH($C$1,[1]quests!$1:$1,0)+1),MATCH(D$1,[1]quests!$1:$1,0)-MATCH($C$1,[1]quests!$1:$1,0)+1,FALSE)</f>
        <v>わたしの嫁を返してもらおう</v>
      </c>
      <c r="E1088" s="3" t="str">
        <f ca="1">VLOOKUP($C1088,OFFSET([1]quests!$A$1,0,0,COUNTA([1]quests!$A:$A),MATCH(E$1,[1]quests!$1:$1,0)-MATCH($C$1,[1]quests!$1:$1,0)+1),MATCH(E$1,[1]quests!$1:$1,0)-MATCH($C$1,[1]quests!$1:$1,0)+1,FALSE)</f>
        <v>ドロップイベント2-4（マルチ専用）</v>
      </c>
      <c r="F1088" s="5">
        <v>2</v>
      </c>
      <c r="G1088" s="3" t="str">
        <f ca="1">VLOOKUP($C1088&amp;"_"&amp;$F1088,OFFSET([1]stages!$A$1,0,0,COUNTA([1]stages!$A:$A),MATCH(G$1,[1]stages!$2:$2,0)-MATCH("temp_stage",[1]stages!$2:$2,0)+1),MATCH(G$1,[1]stages!$2:$2,0)-MATCH("temp_stage",[1]stages!$2:$2,0)+1,FALSE)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8" s="3" t="str">
        <f ca="1">VLOOKUP($C1088&amp;"_"&amp;$F1088,OFFSET([1]stages!$A$1,0,0,COUNTA([1]stages!$A:$A),MATCH(H$1,[1]stages!$2:$2,0)-MATCH("temp_stage",[1]stages!$2:$2,0)+1),MATCH(H$1,[1]stages!$2:$2,0)-MATCH("temp_stage",[1]stages!$2:$2,0)+1,FALSE)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8" s="18">
        <v>0</v>
      </c>
      <c r="J1088" s="5">
        <f>COUNTIF(C$1:C1088,C1088)</f>
        <v>31</v>
      </c>
      <c r="K1088" s="34">
        <v>35</v>
      </c>
      <c r="L1088" s="5" t="s">
        <v>17</v>
      </c>
      <c r="M1088" s="38" t="str">
        <f>VLOOKUP(K1088,[2]stage_hints!$A:$C,3,FALSE)</f>
        <v>敵のステータスがスキルで上がったら</v>
      </c>
      <c r="N1088" s="39" t="str">
        <f>VLOOKUP(K1088,[2]stage_hints!$A:$D,4,FALSE)</f>
        <v>敵のステータスがスキルでアップしたときは
ステータスダウンスキルで上書きしましょう</v>
      </c>
      <c r="O1088" s="20" t="s">
        <v>24</v>
      </c>
      <c r="P1088">
        <v>35</v>
      </c>
    </row>
    <row r="1089" spans="1:16" x14ac:dyDescent="0.15">
      <c r="A1089" s="27" t="str">
        <f t="shared" si="80"/>
        <v>30008_2_32</v>
      </c>
      <c r="B1089" s="25" t="s">
        <v>34</v>
      </c>
      <c r="C1089" s="4">
        <v>30008</v>
      </c>
      <c r="D1089" s="3" t="str">
        <f ca="1">VLOOKUP($C1089,OFFSET([1]quests!$A$1,0,0,COUNTA([1]quests!$A:$A),MATCH(D$1,[1]quests!$1:$1,0)-MATCH($C$1,[1]quests!$1:$1,0)+1),MATCH(D$1,[1]quests!$1:$1,0)-MATCH($C$1,[1]quests!$1:$1,0)+1,FALSE)</f>
        <v>わたしの嫁を返してもらおう</v>
      </c>
      <c r="E1089" s="3" t="str">
        <f ca="1">VLOOKUP($C1089,OFFSET([1]quests!$A$1,0,0,COUNTA([1]quests!$A:$A),MATCH(E$1,[1]quests!$1:$1,0)-MATCH($C$1,[1]quests!$1:$1,0)+1),MATCH(E$1,[1]quests!$1:$1,0)-MATCH($C$1,[1]quests!$1:$1,0)+1,FALSE)</f>
        <v>ドロップイベント2-4（マルチ専用）</v>
      </c>
      <c r="F1089" s="5">
        <v>2</v>
      </c>
      <c r="G1089" s="3" t="str">
        <f ca="1">VLOOKUP($C1089&amp;"_"&amp;$F1089,OFFSET([1]stages!$A$1,0,0,COUNTA([1]stages!$A:$A),MATCH(G$1,[1]stages!$2:$2,0)-MATCH("temp_stage",[1]stages!$2:$2,0)+1),MATCH(G$1,[1]stages!$2:$2,0)-MATCH("temp_stage",[1]stages!$2:$2,0)+1,FALSE)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89" s="3" t="str">
        <f ca="1">VLOOKUP($C1089&amp;"_"&amp;$F1089,OFFSET([1]stages!$A$1,0,0,COUNTA([1]stages!$A:$A),MATCH(H$1,[1]stages!$2:$2,0)-MATCH("temp_stage",[1]stages!$2:$2,0)+1),MATCH(H$1,[1]stages!$2:$2,0)-MATCH("temp_stage",[1]stages!$2:$2,0)+1,FALSE)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89" s="18">
        <v>0</v>
      </c>
      <c r="J1089" s="5">
        <f>COUNTIF(C$1:C1089,C1089)</f>
        <v>32</v>
      </c>
      <c r="K1089" s="34">
        <v>36</v>
      </c>
      <c r="L1089" s="5" t="s">
        <v>17</v>
      </c>
      <c r="M1089" s="38" t="str">
        <f>VLOOKUP(K1089,[2]stage_hints!$A:$C,3,FALSE)</f>
        <v>チャレンジタワーのボス</v>
      </c>
      <c r="N1089" s="39" t="str">
        <f>VLOOKUP(K1089,[2]stage_hints!$A:$D,4,FALSE)</f>
        <v>チャレンジタワーでのみ登場するボスは
一定確率で獲得することができます</v>
      </c>
      <c r="O1089" s="20" t="s">
        <v>24</v>
      </c>
      <c r="P1089">
        <v>36</v>
      </c>
    </row>
    <row r="1090" spans="1:16" x14ac:dyDescent="0.15">
      <c r="A1090" s="27" t="str">
        <f t="shared" si="80"/>
        <v>30008_2_33</v>
      </c>
      <c r="B1090" s="25" t="s">
        <v>34</v>
      </c>
      <c r="C1090" s="4">
        <v>30008</v>
      </c>
      <c r="D1090" s="3" t="str">
        <f ca="1">VLOOKUP($C1090,OFFSET([1]quests!$A$1,0,0,COUNTA([1]quests!$A:$A),MATCH(D$1,[1]quests!$1:$1,0)-MATCH($C$1,[1]quests!$1:$1,0)+1),MATCH(D$1,[1]quests!$1:$1,0)-MATCH($C$1,[1]quests!$1:$1,0)+1,FALSE)</f>
        <v>わたしの嫁を返してもらおう</v>
      </c>
      <c r="E1090" s="3" t="str">
        <f ca="1">VLOOKUP($C1090,OFFSET([1]quests!$A$1,0,0,COUNTA([1]quests!$A:$A),MATCH(E$1,[1]quests!$1:$1,0)-MATCH($C$1,[1]quests!$1:$1,0)+1),MATCH(E$1,[1]quests!$1:$1,0)-MATCH($C$1,[1]quests!$1:$1,0)+1,FALSE)</f>
        <v>ドロップイベント2-4（マルチ専用）</v>
      </c>
      <c r="F1090" s="5">
        <v>2</v>
      </c>
      <c r="G1090" s="3" t="str">
        <f ca="1">VLOOKUP($C1090&amp;"_"&amp;$F1090,OFFSET([1]stages!$A$1,0,0,COUNTA([1]stages!$A:$A),MATCH(G$1,[1]stages!$2:$2,0)-MATCH("temp_stage",[1]stages!$2:$2,0)+1),MATCH(G$1,[1]stages!$2:$2,0)-MATCH("temp_stage",[1]stages!$2:$2,0)+1,FALSE)</f>
        <v>【上級】わたしの嫁を返してもらおう</v>
      </c>
      <c r="H1090" s="3" t="str">
        <f ca="1">VLOOKUP($C1090&amp;"_"&amp;$F1090,OFFSET([1]stages!$A$1,0,0,COUNTA([1]stages!$A:$A),MATCH(H$1,[1]stages!$2:$2,0)-MATCH("temp_stage",[1]stages!$2:$2,0)+1),MATCH(H$1,[1]stages!$2:$2,0)-MATCH("temp_stage",[1]stages!$2:$2,0)+1,FALSE)</f>
        <v>ドロップイベント2-4（マルチ専用）</v>
      </c>
      <c r="I1090" s="18">
        <v>0</v>
      </c>
      <c r="J1090" s="5">
        <f>COUNTIF(C$1:C1090,C1090)</f>
        <v>33</v>
      </c>
      <c r="K1090" s="34">
        <v>37</v>
      </c>
      <c r="L1090" s="5" t="s">
        <v>17</v>
      </c>
      <c r="M1090" s="38" t="str">
        <f>VLOOKUP(K1090,[2]stage_hints!$A:$C,3,FALSE)</f>
        <v>限界突破値の引き継ぎ</v>
      </c>
      <c r="N1090" s="39" t="str">
        <f>VLOOKUP(K1090,[2]stage_hints!$A:$D,4,FALSE)</f>
        <v>同じユニットを強化で合成すると
限界突破値を引き継げます（覚醒前後も可）</v>
      </c>
      <c r="O1090" s="20" t="s">
        <v>24</v>
      </c>
      <c r="P1090">
        <v>37</v>
      </c>
    </row>
    <row r="1091" spans="1:16" x14ac:dyDescent="0.15">
      <c r="A1091" s="27" t="str">
        <f t="shared" si="80"/>
        <v>30010_1_1</v>
      </c>
      <c r="B1091" s="25" t="s">
        <v>34</v>
      </c>
      <c r="C1091" s="4">
        <v>30010</v>
      </c>
      <c r="D1091" s="3" t="str">
        <f ca="1">VLOOKUP($C1091,OFFSET([1]quests!$A$1,0,0,COUNTA([1]quests!$A:$A),MATCH(D$1,[1]quests!$1:$1,0)-MATCH($C$1,[1]quests!$1:$1,0)+1),MATCH(D$1,[1]quests!$1:$1,0)-MATCH($C$1,[1]quests!$1:$1,0)+1,FALSE)</f>
        <v>最大最凶</v>
      </c>
      <c r="E1091" s="3" t="str">
        <f ca="1">VLOOKUP($C1091,OFFSET([1]quests!$A$1,0,0,COUNTA([1]quests!$A:$A),MATCH(E$1,[1]quests!$1:$1,0)-MATCH($C$1,[1]quests!$1:$1,0)+1),MATCH(E$1,[1]quests!$1:$1,0)-MATCH($C$1,[1]quests!$1:$1,0)+1,FALSE)</f>
        <v>ドロップイベント3（マルチ専用）</v>
      </c>
      <c r="F1091" s="5">
        <v>1</v>
      </c>
      <c r="G1091" s="3" t="str">
        <f ca="1">VLOOKUP($C1091&amp;"_"&amp;$F1091,OFFSET([1]stages!$A$1,0,0,COUNTA([1]stages!$A:$A),MATCH(G$1,[1]stages!$2:$2,0)-MATCH("temp_stage",[1]stages!$2:$2,0)+1),MATCH(G$1,[1]stages!$2:$2,0)-MATCH("temp_stage",[1]stages!$2:$2,0)+1,FALSE)</f>
        <v>【上級】最大最凶</v>
      </c>
      <c r="H1091" s="3" t="str">
        <f ca="1">VLOOKUP($C1091&amp;"_"&amp;$F1091,OFFSET([1]stages!$A$1,0,0,COUNTA([1]stages!$A:$A),MATCH(H$1,[1]stages!$2:$2,0)-MATCH("temp_stage",[1]stages!$2:$2,0)+1),MATCH(H$1,[1]stages!$2:$2,0)-MATCH("temp_stage",[1]stages!$2:$2,0)+1,FALSE)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91" s="18">
        <v>0</v>
      </c>
      <c r="J1091" s="5">
        <f>COUNTIF(C$1:C1091,C1091)</f>
        <v>1</v>
      </c>
      <c r="K1091" s="34">
        <v>3</v>
      </c>
      <c r="L1091" s="5" t="s">
        <v>17</v>
      </c>
      <c r="M1091" s="38" t="str">
        <f>VLOOKUP(K1091,[2]stage_hints!$A:$C,3,FALSE)</f>
        <v>ターゲット</v>
      </c>
      <c r="N1091" s="39" t="str">
        <f>VLOOKUP(K1091,[2]stage_hints!$A:$D,4,FALSE)</f>
        <v>敵ユニットをタップすると
その敵を狙い撃ちできます</v>
      </c>
      <c r="O1091" s="20" t="s">
        <v>24</v>
      </c>
      <c r="P1091">
        <v>3</v>
      </c>
    </row>
    <row r="1092" spans="1:16" x14ac:dyDescent="0.15">
      <c r="A1092" s="27" t="str">
        <f t="shared" si="80"/>
        <v>30010_1_2</v>
      </c>
      <c r="B1092" s="25" t="s">
        <v>34</v>
      </c>
      <c r="C1092" s="4">
        <v>30010</v>
      </c>
      <c r="D1092" s="3" t="str">
        <f ca="1">VLOOKUP($C1092,OFFSET([1]quests!$A$1,0,0,COUNTA([1]quests!$A:$A),MATCH(D$1,[1]quests!$1:$1,0)-MATCH($C$1,[1]quests!$1:$1,0)+1),MATCH(D$1,[1]quests!$1:$1,0)-MATCH($C$1,[1]quests!$1:$1,0)+1,FALSE)</f>
        <v>最大最凶</v>
      </c>
      <c r="E1092" s="3" t="str">
        <f ca="1">VLOOKUP($C1092,OFFSET([1]quests!$A$1,0,0,COUNTA([1]quests!$A:$A),MATCH(E$1,[1]quests!$1:$1,0)-MATCH($C$1,[1]quests!$1:$1,0)+1),MATCH(E$1,[1]quests!$1:$1,0)-MATCH($C$1,[1]quests!$1:$1,0)+1,FALSE)</f>
        <v>ドロップイベント3（マルチ専用）</v>
      </c>
      <c r="F1092" s="5">
        <v>1</v>
      </c>
      <c r="G1092" s="3" t="str">
        <f ca="1">VLOOKUP($C1092&amp;"_"&amp;$F1092,OFFSET([1]stages!$A$1,0,0,COUNTA([1]stages!$A:$A),MATCH(G$1,[1]stages!$2:$2,0)-MATCH("temp_stage",[1]stages!$2:$2,0)+1),MATCH(G$1,[1]stages!$2:$2,0)-MATCH("temp_stage",[1]stages!$2:$2,0)+1,FALSE)</f>
        <v>【上級】最大最凶</v>
      </c>
      <c r="H1092" s="3" t="str">
        <f ca="1">VLOOKUP($C1092&amp;"_"&amp;$F1092,OFFSET([1]stages!$A$1,0,0,COUNTA([1]stages!$A:$A),MATCH(H$1,[1]stages!$2:$2,0)-MATCH("temp_stage",[1]stages!$2:$2,0)+1),MATCH(H$1,[1]stages!$2:$2,0)-MATCH("temp_stage",[1]stages!$2:$2,0)+1,FALSE)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92" s="18">
        <v>0</v>
      </c>
      <c r="J1092" s="5">
        <f>COUNTIF(C$1:C1092,C1092)</f>
        <v>2</v>
      </c>
      <c r="K1092" s="34">
        <v>6</v>
      </c>
      <c r="L1092" s="5" t="s">
        <v>17</v>
      </c>
      <c r="M1092" s="38" t="str">
        <f>VLOOKUP(K1092,[2]stage_hints!$A:$C,3,FALSE)</f>
        <v>ユニット強化の属性ボーナス</v>
      </c>
      <c r="N1092" s="39" t="str">
        <f>VLOOKUP(K1092,[2]stage_hints!$A:$D,4,FALSE)</f>
        <v>同属性ユニットを強化素材にすると
経験値が多くもらえます</v>
      </c>
      <c r="O1092" s="20" t="s">
        <v>24</v>
      </c>
      <c r="P1092">
        <v>6</v>
      </c>
    </row>
    <row r="1093" spans="1:16" x14ac:dyDescent="0.15">
      <c r="A1093" s="27" t="str">
        <f t="shared" si="80"/>
        <v>30010_1_3</v>
      </c>
      <c r="B1093" s="25" t="s">
        <v>34</v>
      </c>
      <c r="C1093" s="4">
        <v>30010</v>
      </c>
      <c r="D1093" s="3" t="str">
        <f ca="1">VLOOKUP($C1093,OFFSET([1]quests!$A$1,0,0,COUNTA([1]quests!$A:$A),MATCH(D$1,[1]quests!$1:$1,0)-MATCH($C$1,[1]quests!$1:$1,0)+1),MATCH(D$1,[1]quests!$1:$1,0)-MATCH($C$1,[1]quests!$1:$1,0)+1,FALSE)</f>
        <v>最大最凶</v>
      </c>
      <c r="E1093" s="3" t="str">
        <f ca="1">VLOOKUP($C1093,OFFSET([1]quests!$A$1,0,0,COUNTA([1]quests!$A:$A),MATCH(E$1,[1]quests!$1:$1,0)-MATCH($C$1,[1]quests!$1:$1,0)+1),MATCH(E$1,[1]quests!$1:$1,0)-MATCH($C$1,[1]quests!$1:$1,0)+1,FALSE)</f>
        <v>ドロップイベント3（マルチ専用）</v>
      </c>
      <c r="F1093" s="5">
        <v>1</v>
      </c>
      <c r="G1093" s="3" t="str">
        <f ca="1">VLOOKUP($C1093&amp;"_"&amp;$F1093,OFFSET([1]stages!$A$1,0,0,COUNTA([1]stages!$A:$A),MATCH(G$1,[1]stages!$2:$2,0)-MATCH("temp_stage",[1]stages!$2:$2,0)+1),MATCH(G$1,[1]stages!$2:$2,0)-MATCH("temp_stage",[1]stages!$2:$2,0)+1,FALSE)</f>
        <v>【上級】最大最凶</v>
      </c>
      <c r="H1093" s="3" t="str">
        <f ca="1">VLOOKUP($C1093&amp;"_"&amp;$F1093,OFFSET([1]stages!$A$1,0,0,COUNTA([1]stages!$A:$A),MATCH(H$1,[1]stages!$2:$2,0)-MATCH("temp_stage",[1]stages!$2:$2,0)+1),MATCH(H$1,[1]stages!$2:$2,0)-MATCH("temp_stage",[1]stages!$2:$2,0)+1,FALSE)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93" s="18">
        <v>0</v>
      </c>
      <c r="J1093" s="5">
        <f>COUNTIF(C$1:C1093,C1093)</f>
        <v>3</v>
      </c>
      <c r="K1093" s="34">
        <v>7</v>
      </c>
      <c r="L1093" s="5" t="s">
        <v>17</v>
      </c>
      <c r="M1093" s="38" t="str">
        <f>VLOOKUP(K1093,[2]stage_hints!$A:$C,3,FALSE)</f>
        <v>メタルダックで経験値を獲得</v>
      </c>
      <c r="N1093" s="39" t="str">
        <f>VLOOKUP(K1093,[2]stage_hints!$A:$D,4,FALSE)</f>
        <v>「メタルなアヒル」を強化素材にすると
大量の経験値がもらえます</v>
      </c>
      <c r="O1093" s="20" t="s">
        <v>24</v>
      </c>
      <c r="P1093">
        <v>7</v>
      </c>
    </row>
    <row r="1094" spans="1:16" x14ac:dyDescent="0.15">
      <c r="A1094" s="27" t="str">
        <f t="shared" si="80"/>
        <v>30010_1_4</v>
      </c>
      <c r="B1094" s="25" t="s">
        <v>34</v>
      </c>
      <c r="C1094" s="4">
        <v>30010</v>
      </c>
      <c r="D1094" s="3" t="str">
        <f ca="1">VLOOKUP($C1094,OFFSET([1]quests!$A$1,0,0,COUNTA([1]quests!$A:$A),MATCH(D$1,[1]quests!$1:$1,0)-MATCH($C$1,[1]quests!$1:$1,0)+1),MATCH(D$1,[1]quests!$1:$1,0)-MATCH($C$1,[1]quests!$1:$1,0)+1,FALSE)</f>
        <v>最大最凶</v>
      </c>
      <c r="E1094" s="3" t="str">
        <f ca="1">VLOOKUP($C1094,OFFSET([1]quests!$A$1,0,0,COUNTA([1]quests!$A:$A),MATCH(E$1,[1]quests!$1:$1,0)-MATCH($C$1,[1]quests!$1:$1,0)+1),MATCH(E$1,[1]quests!$1:$1,0)-MATCH($C$1,[1]quests!$1:$1,0)+1,FALSE)</f>
        <v>ドロップイベント3（マルチ専用）</v>
      </c>
      <c r="F1094" s="5">
        <v>1</v>
      </c>
      <c r="G1094" s="3" t="str">
        <f ca="1">VLOOKUP($C1094&amp;"_"&amp;$F1094,OFFSET([1]stages!$A$1,0,0,COUNTA([1]stages!$A:$A),MATCH(G$1,[1]stages!$2:$2,0)-MATCH("temp_stage",[1]stages!$2:$2,0)+1),MATCH(G$1,[1]stages!$2:$2,0)-MATCH("temp_stage",[1]stages!$2:$2,0)+1,FALSE)</f>
        <v>【上級】最大最凶</v>
      </c>
      <c r="H1094" s="3" t="str">
        <f ca="1">VLOOKUP($C1094&amp;"_"&amp;$F1094,OFFSET([1]stages!$A$1,0,0,COUNTA([1]stages!$A:$A),MATCH(H$1,[1]stages!$2:$2,0)-MATCH("temp_stage",[1]stages!$2:$2,0)+1),MATCH(H$1,[1]stages!$2:$2,0)-MATCH("temp_stage",[1]stages!$2:$2,0)+1,FALSE)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94" s="18">
        <v>0</v>
      </c>
      <c r="J1094" s="5">
        <f>COUNTIF(C$1:C1094,C1094)</f>
        <v>4</v>
      </c>
      <c r="K1094" s="34">
        <v>8</v>
      </c>
      <c r="L1094" s="5" t="s">
        <v>17</v>
      </c>
      <c r="M1094" s="38" t="str">
        <f>VLOOKUP(K1094,[2]stage_hints!$A:$C,3,FALSE)</f>
        <v>ゲリラクエストは要チェック</v>
      </c>
      <c r="N1094" s="39" t="str">
        <f>VLOOKUP(K1094,[2]stage_hints!$A:$D,4,FALSE)</f>
        <v>時間限定の「アヒル捕獲作戦」では
経験値素材ユニットが多く手に入ります</v>
      </c>
      <c r="O1094" s="20" t="s">
        <v>24</v>
      </c>
      <c r="P1094">
        <v>8</v>
      </c>
    </row>
    <row r="1095" spans="1:16" x14ac:dyDescent="0.15">
      <c r="A1095" s="27" t="str">
        <f t="shared" si="80"/>
        <v>30010_1_5</v>
      </c>
      <c r="B1095" s="25" t="s">
        <v>34</v>
      </c>
      <c r="C1095" s="4">
        <v>30010</v>
      </c>
      <c r="D1095" s="3" t="str">
        <f ca="1">VLOOKUP($C1095,OFFSET([1]quests!$A$1,0,0,COUNTA([1]quests!$A:$A),MATCH(D$1,[1]quests!$1:$1,0)-MATCH($C$1,[1]quests!$1:$1,0)+1),MATCH(D$1,[1]quests!$1:$1,0)-MATCH($C$1,[1]quests!$1:$1,0)+1,FALSE)</f>
        <v>最大最凶</v>
      </c>
      <c r="E1095" s="3" t="str">
        <f ca="1">VLOOKUP($C1095,OFFSET([1]quests!$A$1,0,0,COUNTA([1]quests!$A:$A),MATCH(E$1,[1]quests!$1:$1,0)-MATCH($C$1,[1]quests!$1:$1,0)+1),MATCH(E$1,[1]quests!$1:$1,0)-MATCH($C$1,[1]quests!$1:$1,0)+1,FALSE)</f>
        <v>ドロップイベント3（マルチ専用）</v>
      </c>
      <c r="F1095" s="5">
        <v>1</v>
      </c>
      <c r="G1095" s="3" t="str">
        <f ca="1">VLOOKUP($C1095&amp;"_"&amp;$F1095,OFFSET([1]stages!$A$1,0,0,COUNTA([1]stages!$A:$A),MATCH(G$1,[1]stages!$2:$2,0)-MATCH("temp_stage",[1]stages!$2:$2,0)+1),MATCH(G$1,[1]stages!$2:$2,0)-MATCH("temp_stage",[1]stages!$2:$2,0)+1,FALSE)</f>
        <v>【上級】最大最凶</v>
      </c>
      <c r="H1095" s="3" t="str">
        <f ca="1">VLOOKUP($C1095&amp;"_"&amp;$F1095,OFFSET([1]stages!$A$1,0,0,COUNTA([1]stages!$A:$A),MATCH(H$1,[1]stages!$2:$2,0)-MATCH("temp_stage",[1]stages!$2:$2,0)+1),MATCH(H$1,[1]stages!$2:$2,0)-MATCH("temp_stage",[1]stages!$2:$2,0)+1,FALSE)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95" s="18">
        <v>0</v>
      </c>
      <c r="J1095" s="5">
        <f>COUNTIF(C$1:C1095,C1095)</f>
        <v>5</v>
      </c>
      <c r="K1095" s="34">
        <v>9</v>
      </c>
      <c r="L1095" s="5" t="s">
        <v>17</v>
      </c>
      <c r="M1095" s="38" t="str">
        <f>VLOOKUP(K1095,[2]stage_hints!$A:$C,3,FALSE)</f>
        <v>ゴールドダックでビットを獲得</v>
      </c>
      <c r="N1095" s="39" t="str">
        <f>VLOOKUP(K1095,[2]stage_hints!$A:$D,4,FALSE)</f>
        <v>「ゴールドなアヒル」を売却すると
大量のビットがもらえます</v>
      </c>
      <c r="O1095" s="20" t="s">
        <v>24</v>
      </c>
      <c r="P1095">
        <v>9</v>
      </c>
    </row>
    <row r="1096" spans="1:16" x14ac:dyDescent="0.15">
      <c r="A1096" s="27" t="str">
        <f t="shared" si="80"/>
        <v>30010_1_6</v>
      </c>
      <c r="B1096" s="25" t="s">
        <v>34</v>
      </c>
      <c r="C1096" s="4">
        <v>30010</v>
      </c>
      <c r="D1096" s="3" t="str">
        <f ca="1">VLOOKUP($C1096,OFFSET([1]quests!$A$1,0,0,COUNTA([1]quests!$A:$A),MATCH(D$1,[1]quests!$1:$1,0)-MATCH($C$1,[1]quests!$1:$1,0)+1),MATCH(D$1,[1]quests!$1:$1,0)-MATCH($C$1,[1]quests!$1:$1,0)+1,FALSE)</f>
        <v>最大最凶</v>
      </c>
      <c r="E1096" s="3" t="str">
        <f ca="1">VLOOKUP($C1096,OFFSET([1]quests!$A$1,0,0,COUNTA([1]quests!$A:$A),MATCH(E$1,[1]quests!$1:$1,0)-MATCH($C$1,[1]quests!$1:$1,0)+1),MATCH(E$1,[1]quests!$1:$1,0)-MATCH($C$1,[1]quests!$1:$1,0)+1,FALSE)</f>
        <v>ドロップイベント3（マルチ専用）</v>
      </c>
      <c r="F1096" s="5">
        <v>1</v>
      </c>
      <c r="G1096" s="3" t="str">
        <f ca="1">VLOOKUP($C1096&amp;"_"&amp;$F1096,OFFSET([1]stages!$A$1,0,0,COUNTA([1]stages!$A:$A),MATCH(G$1,[1]stages!$2:$2,0)-MATCH("temp_stage",[1]stages!$2:$2,0)+1),MATCH(G$1,[1]stages!$2:$2,0)-MATCH("temp_stage",[1]stages!$2:$2,0)+1,FALSE)</f>
        <v>【上級】最大最凶</v>
      </c>
      <c r="H1096" s="3" t="str">
        <f ca="1">VLOOKUP($C1096&amp;"_"&amp;$F1096,OFFSET([1]stages!$A$1,0,0,COUNTA([1]stages!$A:$A),MATCH(H$1,[1]stages!$2:$2,0)-MATCH("temp_stage",[1]stages!$2:$2,0)+1),MATCH(H$1,[1]stages!$2:$2,0)-MATCH("temp_stage",[1]stages!$2:$2,0)+1,FALSE)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96" s="18">
        <v>0</v>
      </c>
      <c r="J1096" s="5">
        <f>COUNTIF(C$1:C1096,C1096)</f>
        <v>6</v>
      </c>
      <c r="K1096" s="34">
        <v>10</v>
      </c>
      <c r="L1096" s="5" t="s">
        <v>17</v>
      </c>
      <c r="M1096" s="38" t="str">
        <f>VLOOKUP(K1096,[2]stage_hints!$A:$C,3,FALSE)</f>
        <v>土日に大量のビットを獲得</v>
      </c>
      <c r="N1096" s="39" t="str">
        <f>VLOOKUP(K1096,[2]stage_hints!$A:$D,4,FALSE)</f>
        <v>土日限定の「ゴールドカジノ」では
売却素材ユニットが多く手に入ります</v>
      </c>
      <c r="O1096" s="20" t="s">
        <v>24</v>
      </c>
      <c r="P1096">
        <v>10</v>
      </c>
    </row>
    <row r="1097" spans="1:16" x14ac:dyDescent="0.15">
      <c r="A1097" s="27" t="str">
        <f t="shared" si="80"/>
        <v>30010_1_7</v>
      </c>
      <c r="B1097" s="25" t="s">
        <v>34</v>
      </c>
      <c r="C1097" s="4">
        <v>30010</v>
      </c>
      <c r="D1097" s="3" t="str">
        <f ca="1">VLOOKUP($C1097,OFFSET([1]quests!$A$1,0,0,COUNTA([1]quests!$A:$A),MATCH(D$1,[1]quests!$1:$1,0)-MATCH($C$1,[1]quests!$1:$1,0)+1),MATCH(D$1,[1]quests!$1:$1,0)-MATCH($C$1,[1]quests!$1:$1,0)+1,FALSE)</f>
        <v>最大最凶</v>
      </c>
      <c r="E1097" s="3" t="str">
        <f ca="1">VLOOKUP($C1097,OFFSET([1]quests!$A$1,0,0,COUNTA([1]quests!$A:$A),MATCH(E$1,[1]quests!$1:$1,0)-MATCH($C$1,[1]quests!$1:$1,0)+1),MATCH(E$1,[1]quests!$1:$1,0)-MATCH($C$1,[1]quests!$1:$1,0)+1,FALSE)</f>
        <v>ドロップイベント3（マルチ専用）</v>
      </c>
      <c r="F1097" s="5">
        <v>1</v>
      </c>
      <c r="G1097" s="3" t="str">
        <f ca="1">VLOOKUP($C1097&amp;"_"&amp;$F1097,OFFSET([1]stages!$A$1,0,0,COUNTA([1]stages!$A:$A),MATCH(G$1,[1]stages!$2:$2,0)-MATCH("temp_stage",[1]stages!$2:$2,0)+1),MATCH(G$1,[1]stages!$2:$2,0)-MATCH("temp_stage",[1]stages!$2:$2,0)+1,FALSE)</f>
        <v>【上級】最大最凶</v>
      </c>
      <c r="H1097" s="3" t="str">
        <f ca="1">VLOOKUP($C1097&amp;"_"&amp;$F1097,OFFSET([1]stages!$A$1,0,0,COUNTA([1]stages!$A:$A),MATCH(H$1,[1]stages!$2:$2,0)-MATCH("temp_stage",[1]stages!$2:$2,0)+1),MATCH(H$1,[1]stages!$2:$2,0)-MATCH("temp_stage",[1]stages!$2:$2,0)+1,FALSE)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97" s="18">
        <v>0</v>
      </c>
      <c r="J1097" s="5">
        <f>COUNTIF(C$1:C1097,C1097)</f>
        <v>7</v>
      </c>
      <c r="K1097" s="34">
        <v>11</v>
      </c>
      <c r="L1097" s="5" t="s">
        <v>17</v>
      </c>
      <c r="M1097" s="38" t="str">
        <f>VLOOKUP(K1097,[2]stage_hints!$A:$C,3,FALSE)</f>
        <v>ランク解放クエスト</v>
      </c>
      <c r="N1097" s="39" t="str">
        <f>VLOOKUP(K1097,[2]stage_hints!$A:$D,4,FALSE)</f>
        <v>一定ランクに到達すると
報酬付きのランク開放クエストが現れます</v>
      </c>
      <c r="O1097" s="20" t="s">
        <v>24</v>
      </c>
      <c r="P1097">
        <v>11</v>
      </c>
    </row>
    <row r="1098" spans="1:16" x14ac:dyDescent="0.15">
      <c r="A1098" s="27" t="str">
        <f t="shared" si="80"/>
        <v>30010_1_8</v>
      </c>
      <c r="B1098" s="25" t="s">
        <v>34</v>
      </c>
      <c r="C1098" s="4">
        <v>30010</v>
      </c>
      <c r="D1098" s="3" t="str">
        <f ca="1">VLOOKUP($C1098,OFFSET([1]quests!$A$1,0,0,COUNTA([1]quests!$A:$A),MATCH(D$1,[1]quests!$1:$1,0)-MATCH($C$1,[1]quests!$1:$1,0)+1),MATCH(D$1,[1]quests!$1:$1,0)-MATCH($C$1,[1]quests!$1:$1,0)+1,FALSE)</f>
        <v>最大最凶</v>
      </c>
      <c r="E1098" s="3" t="str">
        <f ca="1">VLOOKUP($C1098,OFFSET([1]quests!$A$1,0,0,COUNTA([1]quests!$A:$A),MATCH(E$1,[1]quests!$1:$1,0)-MATCH($C$1,[1]quests!$1:$1,0)+1),MATCH(E$1,[1]quests!$1:$1,0)-MATCH($C$1,[1]quests!$1:$1,0)+1,FALSE)</f>
        <v>ドロップイベント3（マルチ専用）</v>
      </c>
      <c r="F1098" s="5">
        <v>1</v>
      </c>
      <c r="G1098" s="3" t="str">
        <f ca="1">VLOOKUP($C1098&amp;"_"&amp;$F1098,OFFSET([1]stages!$A$1,0,0,COUNTA([1]stages!$A:$A),MATCH(G$1,[1]stages!$2:$2,0)-MATCH("temp_stage",[1]stages!$2:$2,0)+1),MATCH(G$1,[1]stages!$2:$2,0)-MATCH("temp_stage",[1]stages!$2:$2,0)+1,FALSE)</f>
        <v>【上級】最大最凶</v>
      </c>
      <c r="H1098" s="3" t="str">
        <f ca="1">VLOOKUP($C1098&amp;"_"&amp;$F1098,OFFSET([1]stages!$A$1,0,0,COUNTA([1]stages!$A:$A),MATCH(H$1,[1]stages!$2:$2,0)-MATCH("temp_stage",[1]stages!$2:$2,0)+1),MATCH(H$1,[1]stages!$2:$2,0)-MATCH("temp_stage",[1]stages!$2:$2,0)+1,FALSE)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98" s="18">
        <v>0</v>
      </c>
      <c r="J1098" s="5">
        <f>COUNTIF(C$1:C1098,C1098)</f>
        <v>8</v>
      </c>
      <c r="K1098" s="34">
        <v>12</v>
      </c>
      <c r="L1098" s="5" t="s">
        <v>17</v>
      </c>
      <c r="M1098" s="38" t="str">
        <f>VLOOKUP(K1098,[2]stage_hints!$A:$C,3,FALSE)</f>
        <v>ユニットのお気に入り登録</v>
      </c>
      <c r="N1098" s="39" t="str">
        <f>VLOOKUP(K1098,[2]stage_hints!$A:$D,4,FALSE)</f>
        <v>大事なユニットを誤って消さないように
フォルダから「お気に入り登録」しましょう</v>
      </c>
      <c r="O1098" s="20" t="s">
        <v>24</v>
      </c>
      <c r="P1098">
        <v>12</v>
      </c>
    </row>
    <row r="1099" spans="1:16" x14ac:dyDescent="0.15">
      <c r="A1099" s="27" t="str">
        <f t="shared" si="80"/>
        <v>30010_1_9</v>
      </c>
      <c r="B1099" s="25" t="s">
        <v>34</v>
      </c>
      <c r="C1099" s="4">
        <v>30010</v>
      </c>
      <c r="D1099" s="3" t="str">
        <f ca="1">VLOOKUP($C1099,OFFSET([1]quests!$A$1,0,0,COUNTA([1]quests!$A:$A),MATCH(D$1,[1]quests!$1:$1,0)-MATCH($C$1,[1]quests!$1:$1,0)+1),MATCH(D$1,[1]quests!$1:$1,0)-MATCH($C$1,[1]quests!$1:$1,0)+1,FALSE)</f>
        <v>最大最凶</v>
      </c>
      <c r="E1099" s="3" t="str">
        <f ca="1">VLOOKUP($C1099,OFFSET([1]quests!$A$1,0,0,COUNTA([1]quests!$A:$A),MATCH(E$1,[1]quests!$1:$1,0)-MATCH($C$1,[1]quests!$1:$1,0)+1),MATCH(E$1,[1]quests!$1:$1,0)-MATCH($C$1,[1]quests!$1:$1,0)+1,FALSE)</f>
        <v>ドロップイベント3（マルチ専用）</v>
      </c>
      <c r="F1099" s="5">
        <v>1</v>
      </c>
      <c r="G1099" s="3" t="str">
        <f ca="1">VLOOKUP($C1099&amp;"_"&amp;$F1099,OFFSET([1]stages!$A$1,0,0,COUNTA([1]stages!$A:$A),MATCH(G$1,[1]stages!$2:$2,0)-MATCH("temp_stage",[1]stages!$2:$2,0)+1),MATCH(G$1,[1]stages!$2:$2,0)-MATCH("temp_stage",[1]stages!$2:$2,0)+1,FALSE)</f>
        <v>【上級】最大最凶</v>
      </c>
      <c r="H1099" s="3" t="str">
        <f ca="1">VLOOKUP($C1099&amp;"_"&amp;$F1099,OFFSET([1]stages!$A$1,0,0,COUNTA([1]stages!$A:$A),MATCH(H$1,[1]stages!$2:$2,0)-MATCH("temp_stage",[1]stages!$2:$2,0)+1),MATCH(H$1,[1]stages!$2:$2,0)-MATCH("temp_stage",[1]stages!$2:$2,0)+1,FALSE)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099" s="18">
        <v>0</v>
      </c>
      <c r="J1099" s="5">
        <f>COUNTIF(C$1:C1099,C1099)</f>
        <v>9</v>
      </c>
      <c r="K1099" s="34">
        <v>13</v>
      </c>
      <c r="L1099" s="5" t="s">
        <v>17</v>
      </c>
      <c r="M1099" s="38" t="str">
        <f>VLOOKUP(K1099,[2]stage_hints!$A:$C,3,FALSE)</f>
        <v>ユニットの覚醒</v>
      </c>
      <c r="N1099" s="39" t="str">
        <f>VLOOKUP(K1099,[2]stage_hints!$A:$D,4,FALSE)</f>
        <v>ユニットを覚醒させると
比べものにならない強さが手に入ります</v>
      </c>
      <c r="O1099" s="20" t="s">
        <v>24</v>
      </c>
      <c r="P1099">
        <v>13</v>
      </c>
    </row>
    <row r="1100" spans="1:16" x14ac:dyDescent="0.15">
      <c r="A1100" s="27" t="str">
        <f t="shared" si="80"/>
        <v>30010_1_10</v>
      </c>
      <c r="B1100" s="25" t="s">
        <v>34</v>
      </c>
      <c r="C1100" s="4">
        <v>30010</v>
      </c>
      <c r="D1100" s="3" t="str">
        <f ca="1">VLOOKUP($C1100,OFFSET([1]quests!$A$1,0,0,COUNTA([1]quests!$A:$A),MATCH(D$1,[1]quests!$1:$1,0)-MATCH($C$1,[1]quests!$1:$1,0)+1),MATCH(D$1,[1]quests!$1:$1,0)-MATCH($C$1,[1]quests!$1:$1,0)+1,FALSE)</f>
        <v>最大最凶</v>
      </c>
      <c r="E1100" s="3" t="str">
        <f ca="1">VLOOKUP($C1100,OFFSET([1]quests!$A$1,0,0,COUNTA([1]quests!$A:$A),MATCH(E$1,[1]quests!$1:$1,0)-MATCH($C$1,[1]quests!$1:$1,0)+1),MATCH(E$1,[1]quests!$1:$1,0)-MATCH($C$1,[1]quests!$1:$1,0)+1,FALSE)</f>
        <v>ドロップイベント3（マルチ専用）</v>
      </c>
      <c r="F1100" s="5">
        <v>1</v>
      </c>
      <c r="G1100" s="3" t="str">
        <f ca="1">VLOOKUP($C1100&amp;"_"&amp;$F1100,OFFSET([1]stages!$A$1,0,0,COUNTA([1]stages!$A:$A),MATCH(G$1,[1]stages!$2:$2,0)-MATCH("temp_stage",[1]stages!$2:$2,0)+1),MATCH(G$1,[1]stages!$2:$2,0)-MATCH("temp_stage",[1]stages!$2:$2,0)+1,FALSE)</f>
        <v>【上級】最大最凶</v>
      </c>
      <c r="H1100" s="3" t="str">
        <f ca="1">VLOOKUP($C1100&amp;"_"&amp;$F1100,OFFSET([1]stages!$A$1,0,0,COUNTA([1]stages!$A:$A),MATCH(H$1,[1]stages!$2:$2,0)-MATCH("temp_stage",[1]stages!$2:$2,0)+1),MATCH(H$1,[1]stages!$2:$2,0)-MATCH("temp_stage",[1]stages!$2:$2,0)+1,FALSE)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0" s="18">
        <v>0</v>
      </c>
      <c r="J1100" s="5">
        <f>COUNTIF(C$1:C1100,C1100)</f>
        <v>10</v>
      </c>
      <c r="K1100" s="34">
        <v>14</v>
      </c>
      <c r="L1100" s="5" t="s">
        <v>17</v>
      </c>
      <c r="M1100" s="38" t="str">
        <f>VLOOKUP(K1100,[2]stage_hints!$A:$C,3,FALSE)</f>
        <v>覚醒するにはレベルを最大に</v>
      </c>
      <c r="N1100" s="39" t="str">
        <f>VLOOKUP(K1100,[2]stage_hints!$A:$D,4,FALSE)</f>
        <v>覚醒するにはユニットのレベルを
最大まで上げる必要があります</v>
      </c>
      <c r="O1100" s="20" t="s">
        <v>24</v>
      </c>
      <c r="P1100">
        <v>14</v>
      </c>
    </row>
    <row r="1101" spans="1:16" x14ac:dyDescent="0.15">
      <c r="A1101" s="27" t="str">
        <f t="shared" si="80"/>
        <v>30010_1_11</v>
      </c>
      <c r="B1101" s="25" t="s">
        <v>34</v>
      </c>
      <c r="C1101" s="4">
        <v>30010</v>
      </c>
      <c r="D1101" s="3" t="str">
        <f ca="1">VLOOKUP($C1101,OFFSET([1]quests!$A$1,0,0,COUNTA([1]quests!$A:$A),MATCH(D$1,[1]quests!$1:$1,0)-MATCH($C$1,[1]quests!$1:$1,0)+1),MATCH(D$1,[1]quests!$1:$1,0)-MATCH($C$1,[1]quests!$1:$1,0)+1,FALSE)</f>
        <v>最大最凶</v>
      </c>
      <c r="E1101" s="3" t="str">
        <f ca="1">VLOOKUP($C1101,OFFSET([1]quests!$A$1,0,0,COUNTA([1]quests!$A:$A),MATCH(E$1,[1]quests!$1:$1,0)-MATCH($C$1,[1]quests!$1:$1,0)+1),MATCH(E$1,[1]quests!$1:$1,0)-MATCH($C$1,[1]quests!$1:$1,0)+1,FALSE)</f>
        <v>ドロップイベント3（マルチ専用）</v>
      </c>
      <c r="F1101" s="5">
        <v>1</v>
      </c>
      <c r="G1101" s="3" t="str">
        <f ca="1">VLOOKUP($C1101&amp;"_"&amp;$F1101,OFFSET([1]stages!$A$1,0,0,COUNTA([1]stages!$A:$A),MATCH(G$1,[1]stages!$2:$2,0)-MATCH("temp_stage",[1]stages!$2:$2,0)+1),MATCH(G$1,[1]stages!$2:$2,0)-MATCH("temp_stage",[1]stages!$2:$2,0)+1,FALSE)</f>
        <v>【上級】最大最凶</v>
      </c>
      <c r="H1101" s="3" t="str">
        <f ca="1">VLOOKUP($C1101&amp;"_"&amp;$F1101,OFFSET([1]stages!$A$1,0,0,COUNTA([1]stages!$A:$A),MATCH(H$1,[1]stages!$2:$2,0)-MATCH("temp_stage",[1]stages!$2:$2,0)+1),MATCH(H$1,[1]stages!$2:$2,0)-MATCH("temp_stage",[1]stages!$2:$2,0)+1,FALSE)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1" s="18">
        <v>0</v>
      </c>
      <c r="J1101" s="5">
        <f>COUNTIF(C$1:C1101,C1101)</f>
        <v>11</v>
      </c>
      <c r="K1101" s="34">
        <v>15</v>
      </c>
      <c r="L1101" s="5" t="s">
        <v>17</v>
      </c>
      <c r="M1101" s="38" t="str">
        <f>VLOOKUP(K1101,[2]stage_hints!$A:$C,3,FALSE)</f>
        <v>覚醒素材を獲得</v>
      </c>
      <c r="N1101" s="39" t="str">
        <f>VLOOKUP(K1101,[2]stage_hints!$A:$D,4,FALSE)</f>
        <v>「曜日クエスト」では
ユニットの覚醒に必要な素材が手に入ります</v>
      </c>
      <c r="O1101" s="20" t="s">
        <v>24</v>
      </c>
      <c r="P1101">
        <v>15</v>
      </c>
    </row>
    <row r="1102" spans="1:16" x14ac:dyDescent="0.15">
      <c r="A1102" s="27" t="str">
        <f t="shared" si="80"/>
        <v>30010_1_12</v>
      </c>
      <c r="B1102" s="25" t="s">
        <v>34</v>
      </c>
      <c r="C1102" s="4">
        <v>30010</v>
      </c>
      <c r="D1102" s="3" t="str">
        <f ca="1">VLOOKUP($C1102,OFFSET([1]quests!$A$1,0,0,COUNTA([1]quests!$A:$A),MATCH(D$1,[1]quests!$1:$1,0)-MATCH($C$1,[1]quests!$1:$1,0)+1),MATCH(D$1,[1]quests!$1:$1,0)-MATCH($C$1,[1]quests!$1:$1,0)+1,FALSE)</f>
        <v>最大最凶</v>
      </c>
      <c r="E1102" s="3" t="str">
        <f ca="1">VLOOKUP($C1102,OFFSET([1]quests!$A$1,0,0,COUNTA([1]quests!$A:$A),MATCH(E$1,[1]quests!$1:$1,0)-MATCH($C$1,[1]quests!$1:$1,0)+1),MATCH(E$1,[1]quests!$1:$1,0)-MATCH($C$1,[1]quests!$1:$1,0)+1,FALSE)</f>
        <v>ドロップイベント3（マルチ専用）</v>
      </c>
      <c r="F1102" s="5">
        <v>1</v>
      </c>
      <c r="G1102" s="3" t="str">
        <f ca="1">VLOOKUP($C1102&amp;"_"&amp;$F1102,OFFSET([1]stages!$A$1,0,0,COUNTA([1]stages!$A:$A),MATCH(G$1,[1]stages!$2:$2,0)-MATCH("temp_stage",[1]stages!$2:$2,0)+1),MATCH(G$1,[1]stages!$2:$2,0)-MATCH("temp_stage",[1]stages!$2:$2,0)+1,FALSE)</f>
        <v>【上級】最大最凶</v>
      </c>
      <c r="H1102" s="3" t="str">
        <f ca="1">VLOOKUP($C1102&amp;"_"&amp;$F1102,OFFSET([1]stages!$A$1,0,0,COUNTA([1]stages!$A:$A),MATCH(H$1,[1]stages!$2:$2,0)-MATCH("temp_stage",[1]stages!$2:$2,0)+1),MATCH(H$1,[1]stages!$2:$2,0)-MATCH("temp_stage",[1]stages!$2:$2,0)+1,FALSE)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2" s="18">
        <v>0</v>
      </c>
      <c r="J1102" s="5">
        <f>COUNTIF(C$1:C1102,C1102)</f>
        <v>12</v>
      </c>
      <c r="K1102" s="34">
        <v>16</v>
      </c>
      <c r="L1102" s="5" t="s">
        <v>17</v>
      </c>
      <c r="M1102" s="38" t="str">
        <f>VLOOKUP(K1102,[2]stage_hints!$A:$C,3,FALSE)</f>
        <v>マルチプレイのメリット（その1）</v>
      </c>
      <c r="N1102" s="39" t="str">
        <f>VLOOKUP(K1102,[2]stage_hints!$A:$D,4,FALSE)</f>
        <v>他のプレイヤーとマルチプレイで遊ぶと
ポリゴンがもらえます（100人まで）</v>
      </c>
      <c r="O1102" s="20" t="s">
        <v>24</v>
      </c>
      <c r="P1102">
        <v>16</v>
      </c>
    </row>
    <row r="1103" spans="1:16" x14ac:dyDescent="0.15">
      <c r="A1103" s="27" t="str">
        <f t="shared" si="80"/>
        <v>30010_1_13</v>
      </c>
      <c r="B1103" s="25" t="s">
        <v>34</v>
      </c>
      <c r="C1103" s="4">
        <v>30010</v>
      </c>
      <c r="D1103" s="3" t="str">
        <f ca="1">VLOOKUP($C1103,OFFSET([1]quests!$A$1,0,0,COUNTA([1]quests!$A:$A),MATCH(D$1,[1]quests!$1:$1,0)-MATCH($C$1,[1]quests!$1:$1,0)+1),MATCH(D$1,[1]quests!$1:$1,0)-MATCH($C$1,[1]quests!$1:$1,0)+1,FALSE)</f>
        <v>最大最凶</v>
      </c>
      <c r="E1103" s="3" t="str">
        <f ca="1">VLOOKUP($C1103,OFFSET([1]quests!$A$1,0,0,COUNTA([1]quests!$A:$A),MATCH(E$1,[1]quests!$1:$1,0)-MATCH($C$1,[1]quests!$1:$1,0)+1),MATCH(E$1,[1]quests!$1:$1,0)-MATCH($C$1,[1]quests!$1:$1,0)+1,FALSE)</f>
        <v>ドロップイベント3（マルチ専用）</v>
      </c>
      <c r="F1103" s="5">
        <v>1</v>
      </c>
      <c r="G1103" s="3" t="str">
        <f ca="1">VLOOKUP($C1103&amp;"_"&amp;$F1103,OFFSET([1]stages!$A$1,0,0,COUNTA([1]stages!$A:$A),MATCH(G$1,[1]stages!$2:$2,0)-MATCH("temp_stage",[1]stages!$2:$2,0)+1),MATCH(G$1,[1]stages!$2:$2,0)-MATCH("temp_stage",[1]stages!$2:$2,0)+1,FALSE)</f>
        <v>【上級】最大最凶</v>
      </c>
      <c r="H1103" s="3" t="str">
        <f ca="1">VLOOKUP($C1103&amp;"_"&amp;$F1103,OFFSET([1]stages!$A$1,0,0,COUNTA([1]stages!$A:$A),MATCH(H$1,[1]stages!$2:$2,0)-MATCH("temp_stage",[1]stages!$2:$2,0)+1),MATCH(H$1,[1]stages!$2:$2,0)-MATCH("temp_stage",[1]stages!$2:$2,0)+1,FALSE)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3" s="18">
        <v>0</v>
      </c>
      <c r="J1103" s="5">
        <f>COUNTIF(C$1:C1103,C1103)</f>
        <v>13</v>
      </c>
      <c r="K1103" s="34">
        <v>17</v>
      </c>
      <c r="L1103" s="5" t="s">
        <v>17</v>
      </c>
      <c r="M1103" s="38" t="str">
        <f>VLOOKUP(K1103,[2]stage_hints!$A:$C,3,FALSE)</f>
        <v>リンクガチャ</v>
      </c>
      <c r="N1103" s="39" t="str">
        <f>VLOOKUP(K1103,[2]stage_hints!$A:$D,4,FALSE)</f>
        <v>無料のリンクガチャを回して
経験値素材や売却素材を獲得しましょう</v>
      </c>
      <c r="O1103" s="20" t="s">
        <v>24</v>
      </c>
      <c r="P1103">
        <v>17</v>
      </c>
    </row>
    <row r="1104" spans="1:16" x14ac:dyDescent="0.15">
      <c r="A1104" s="27" t="str">
        <f t="shared" si="80"/>
        <v>30010_1_14</v>
      </c>
      <c r="B1104" s="25" t="s">
        <v>34</v>
      </c>
      <c r="C1104" s="4">
        <v>30010</v>
      </c>
      <c r="D1104" s="3" t="str">
        <f ca="1">VLOOKUP($C1104,OFFSET([1]quests!$A$1,0,0,COUNTA([1]quests!$A:$A),MATCH(D$1,[1]quests!$1:$1,0)-MATCH($C$1,[1]quests!$1:$1,0)+1),MATCH(D$1,[1]quests!$1:$1,0)-MATCH($C$1,[1]quests!$1:$1,0)+1,FALSE)</f>
        <v>最大最凶</v>
      </c>
      <c r="E1104" s="3" t="str">
        <f ca="1">VLOOKUP($C1104,OFFSET([1]quests!$A$1,0,0,COUNTA([1]quests!$A:$A),MATCH(E$1,[1]quests!$1:$1,0)-MATCH($C$1,[1]quests!$1:$1,0)+1),MATCH(E$1,[1]quests!$1:$1,0)-MATCH($C$1,[1]quests!$1:$1,0)+1,FALSE)</f>
        <v>ドロップイベント3（マルチ専用）</v>
      </c>
      <c r="F1104" s="5">
        <v>1</v>
      </c>
      <c r="G1104" s="3" t="str">
        <f ca="1">VLOOKUP($C1104&amp;"_"&amp;$F1104,OFFSET([1]stages!$A$1,0,0,COUNTA([1]stages!$A:$A),MATCH(G$1,[1]stages!$2:$2,0)-MATCH("temp_stage",[1]stages!$2:$2,0)+1),MATCH(G$1,[1]stages!$2:$2,0)-MATCH("temp_stage",[1]stages!$2:$2,0)+1,FALSE)</f>
        <v>【上級】最大最凶</v>
      </c>
      <c r="H1104" s="3" t="str">
        <f ca="1">VLOOKUP($C1104&amp;"_"&amp;$F1104,OFFSET([1]stages!$A$1,0,0,COUNTA([1]stages!$A:$A),MATCH(H$1,[1]stages!$2:$2,0)-MATCH("temp_stage",[1]stages!$2:$2,0)+1),MATCH(H$1,[1]stages!$2:$2,0)-MATCH("temp_stage",[1]stages!$2:$2,0)+1,FALSE)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4" s="18">
        <v>0</v>
      </c>
      <c r="J1104" s="5">
        <f>COUNTIF(C$1:C1104,C1104)</f>
        <v>14</v>
      </c>
      <c r="K1104" s="34">
        <v>18</v>
      </c>
      <c r="L1104" s="5" t="s">
        <v>17</v>
      </c>
      <c r="M1104" s="38" t="str">
        <f>VLOOKUP(K1104,[2]stage_hints!$A:$C,3,FALSE)</f>
        <v>マルチプレイのメリット（その2）</v>
      </c>
      <c r="N1104" s="39" t="str">
        <f>VLOOKUP(K1104,[2]stage_hints!$A:$D,4,FALSE)</f>
        <v>マルチプレイならリンクが2倍もらえます
リンクガチャをたくさん回しましょう</v>
      </c>
      <c r="O1104" s="20" t="s">
        <v>24</v>
      </c>
      <c r="P1104">
        <v>18</v>
      </c>
    </row>
    <row r="1105" spans="1:16" x14ac:dyDescent="0.15">
      <c r="A1105" s="27" t="str">
        <f t="shared" si="80"/>
        <v>30010_1_15</v>
      </c>
      <c r="B1105" s="25" t="s">
        <v>34</v>
      </c>
      <c r="C1105" s="4">
        <v>30010</v>
      </c>
      <c r="D1105" s="3" t="str">
        <f ca="1">VLOOKUP($C1105,OFFSET([1]quests!$A$1,0,0,COUNTA([1]quests!$A:$A),MATCH(D$1,[1]quests!$1:$1,0)-MATCH($C$1,[1]quests!$1:$1,0)+1),MATCH(D$1,[1]quests!$1:$1,0)-MATCH($C$1,[1]quests!$1:$1,0)+1,FALSE)</f>
        <v>最大最凶</v>
      </c>
      <c r="E1105" s="3" t="str">
        <f ca="1">VLOOKUP($C1105,OFFSET([1]quests!$A$1,0,0,COUNTA([1]quests!$A:$A),MATCH(E$1,[1]quests!$1:$1,0)-MATCH($C$1,[1]quests!$1:$1,0)+1),MATCH(E$1,[1]quests!$1:$1,0)-MATCH($C$1,[1]quests!$1:$1,0)+1,FALSE)</f>
        <v>ドロップイベント3（マルチ専用）</v>
      </c>
      <c r="F1105" s="5">
        <v>1</v>
      </c>
      <c r="G1105" s="3" t="str">
        <f ca="1">VLOOKUP($C1105&amp;"_"&amp;$F1105,OFFSET([1]stages!$A$1,0,0,COUNTA([1]stages!$A:$A),MATCH(G$1,[1]stages!$2:$2,0)-MATCH("temp_stage",[1]stages!$2:$2,0)+1),MATCH(G$1,[1]stages!$2:$2,0)-MATCH("temp_stage",[1]stages!$2:$2,0)+1,FALSE)</f>
        <v>【上級】最大最凶</v>
      </c>
      <c r="H1105" s="3" t="str">
        <f ca="1">VLOOKUP($C1105&amp;"_"&amp;$F1105,OFFSET([1]stages!$A$1,0,0,COUNTA([1]stages!$A:$A),MATCH(H$1,[1]stages!$2:$2,0)-MATCH("temp_stage",[1]stages!$2:$2,0)+1),MATCH(H$1,[1]stages!$2:$2,0)-MATCH("temp_stage",[1]stages!$2:$2,0)+1,FALSE)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5" s="18">
        <v>0</v>
      </c>
      <c r="J1105" s="5">
        <f>COUNTIF(C$1:C1105,C1105)</f>
        <v>15</v>
      </c>
      <c r="K1105" s="34">
        <v>19</v>
      </c>
      <c r="L1105" s="5" t="s">
        <v>17</v>
      </c>
      <c r="M1105" s="38" t="str">
        <f>VLOOKUP(K1105,[2]stage_hints!$A:$C,3,FALSE)</f>
        <v>ソロ専用チャレンジタワー</v>
      </c>
      <c r="N1105" s="39" t="str">
        <f>VLOOKUP(K1105,[2]stage_hints!$A:$D,4,FALSE)</f>
        <v>ソロ専用の「チャレンジタワー」では
各フロアごとにクリア報酬がもらえます</v>
      </c>
      <c r="O1105" s="20" t="s">
        <v>24</v>
      </c>
      <c r="P1105">
        <v>19</v>
      </c>
    </row>
    <row r="1106" spans="1:16" x14ac:dyDescent="0.15">
      <c r="A1106" s="27" t="str">
        <f t="shared" si="80"/>
        <v>30010_1_16</v>
      </c>
      <c r="B1106" s="25" t="s">
        <v>34</v>
      </c>
      <c r="C1106" s="4">
        <v>30010</v>
      </c>
      <c r="D1106" s="3" t="str">
        <f ca="1">VLOOKUP($C1106,OFFSET([1]quests!$A$1,0,0,COUNTA([1]quests!$A:$A),MATCH(D$1,[1]quests!$1:$1,0)-MATCH($C$1,[1]quests!$1:$1,0)+1),MATCH(D$1,[1]quests!$1:$1,0)-MATCH($C$1,[1]quests!$1:$1,0)+1,FALSE)</f>
        <v>最大最凶</v>
      </c>
      <c r="E1106" s="3" t="str">
        <f ca="1">VLOOKUP($C1106,OFFSET([1]quests!$A$1,0,0,COUNTA([1]quests!$A:$A),MATCH(E$1,[1]quests!$1:$1,0)-MATCH($C$1,[1]quests!$1:$1,0)+1),MATCH(E$1,[1]quests!$1:$1,0)-MATCH($C$1,[1]quests!$1:$1,0)+1,FALSE)</f>
        <v>ドロップイベント3（マルチ専用）</v>
      </c>
      <c r="F1106" s="5">
        <v>1</v>
      </c>
      <c r="G1106" s="3" t="str">
        <f ca="1">VLOOKUP($C1106&amp;"_"&amp;$F1106,OFFSET([1]stages!$A$1,0,0,COUNTA([1]stages!$A:$A),MATCH(G$1,[1]stages!$2:$2,0)-MATCH("temp_stage",[1]stages!$2:$2,0)+1),MATCH(G$1,[1]stages!$2:$2,0)-MATCH("temp_stage",[1]stages!$2:$2,0)+1,FALSE)</f>
        <v>【上級】最大最凶</v>
      </c>
      <c r="H1106" s="3" t="str">
        <f ca="1">VLOOKUP($C1106&amp;"_"&amp;$F1106,OFFSET([1]stages!$A$1,0,0,COUNTA([1]stages!$A:$A),MATCH(H$1,[1]stages!$2:$2,0)-MATCH("temp_stage",[1]stages!$2:$2,0)+1),MATCH(H$1,[1]stages!$2:$2,0)-MATCH("temp_stage",[1]stages!$2:$2,0)+1,FALSE)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6" s="18">
        <v>0</v>
      </c>
      <c r="J1106" s="5">
        <f>COUNTIF(C$1:C1106,C1106)</f>
        <v>16</v>
      </c>
      <c r="K1106" s="34">
        <v>20</v>
      </c>
      <c r="L1106" s="5" t="s">
        <v>17</v>
      </c>
      <c r="M1106" s="38" t="str">
        <f>VLOOKUP(K1106,[2]stage_hints!$A:$C,3,FALSE)</f>
        <v>マルチプレイのメリット（その3）</v>
      </c>
      <c r="N1106" s="39" t="str">
        <f>VLOOKUP(K1106,[2]stage_hints!$A:$D,4,FALSE)</f>
        <v>マルチプレイへの参加はエナジー消費ゼロ
いつでも好きなだけ遊ぶことができます</v>
      </c>
      <c r="O1106" s="20" t="s">
        <v>24</v>
      </c>
      <c r="P1106">
        <v>20</v>
      </c>
    </row>
    <row r="1107" spans="1:16" x14ac:dyDescent="0.15">
      <c r="A1107" s="27" t="str">
        <f t="shared" si="80"/>
        <v>30010_1_17</v>
      </c>
      <c r="B1107" s="25" t="s">
        <v>34</v>
      </c>
      <c r="C1107" s="4">
        <v>30010</v>
      </c>
      <c r="D1107" s="3" t="str">
        <f ca="1">VLOOKUP($C1107,OFFSET([1]quests!$A$1,0,0,COUNTA([1]quests!$A:$A),MATCH(D$1,[1]quests!$1:$1,0)-MATCH($C$1,[1]quests!$1:$1,0)+1),MATCH(D$1,[1]quests!$1:$1,0)-MATCH($C$1,[1]quests!$1:$1,0)+1,FALSE)</f>
        <v>最大最凶</v>
      </c>
      <c r="E1107" s="3" t="str">
        <f ca="1">VLOOKUP($C1107,OFFSET([1]quests!$A$1,0,0,COUNTA([1]quests!$A:$A),MATCH(E$1,[1]quests!$1:$1,0)-MATCH($C$1,[1]quests!$1:$1,0)+1),MATCH(E$1,[1]quests!$1:$1,0)-MATCH($C$1,[1]quests!$1:$1,0)+1,FALSE)</f>
        <v>ドロップイベント3（マルチ専用）</v>
      </c>
      <c r="F1107" s="5">
        <v>1</v>
      </c>
      <c r="G1107" s="3" t="str">
        <f ca="1">VLOOKUP($C1107&amp;"_"&amp;$F1107,OFFSET([1]stages!$A$1,0,0,COUNTA([1]stages!$A:$A),MATCH(G$1,[1]stages!$2:$2,0)-MATCH("temp_stage",[1]stages!$2:$2,0)+1),MATCH(G$1,[1]stages!$2:$2,0)-MATCH("temp_stage",[1]stages!$2:$2,0)+1,FALSE)</f>
        <v>【上級】最大最凶</v>
      </c>
      <c r="H1107" s="3" t="str">
        <f ca="1">VLOOKUP($C1107&amp;"_"&amp;$F1107,OFFSET([1]stages!$A$1,0,0,COUNTA([1]stages!$A:$A),MATCH(H$1,[1]stages!$2:$2,0)-MATCH("temp_stage",[1]stages!$2:$2,0)+1),MATCH(H$1,[1]stages!$2:$2,0)-MATCH("temp_stage",[1]stages!$2:$2,0)+1,FALSE)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7" s="18">
        <v>0</v>
      </c>
      <c r="J1107" s="5">
        <f>COUNTIF(C$1:C1107,C1107)</f>
        <v>17</v>
      </c>
      <c r="K1107" s="34">
        <v>21</v>
      </c>
      <c r="L1107" s="5" t="s">
        <v>17</v>
      </c>
      <c r="M1107" s="38" t="str">
        <f>VLOOKUP(K1107,[2]stage_hints!$A:$C,3,FALSE)</f>
        <v>スキルを有効に</v>
      </c>
      <c r="N1107" s="39" t="str">
        <f>VLOOKUP(K1107,[2]stage_hints!$A:$D,4,FALSE)</f>
        <v>ターン経過でユニットのスキルが使えます
強力スキルでバトルを有利に進めましょう</v>
      </c>
      <c r="O1107" s="20" t="s">
        <v>24</v>
      </c>
      <c r="P1107">
        <v>21</v>
      </c>
    </row>
    <row r="1108" spans="1:16" x14ac:dyDescent="0.15">
      <c r="A1108" s="27" t="str">
        <f t="shared" si="80"/>
        <v>30010_1_18</v>
      </c>
      <c r="B1108" s="25" t="s">
        <v>34</v>
      </c>
      <c r="C1108" s="4">
        <v>30010</v>
      </c>
      <c r="D1108" s="3" t="str">
        <f ca="1">VLOOKUP($C1108,OFFSET([1]quests!$A$1,0,0,COUNTA([1]quests!$A:$A),MATCH(D$1,[1]quests!$1:$1,0)-MATCH($C$1,[1]quests!$1:$1,0)+1),MATCH(D$1,[1]quests!$1:$1,0)-MATCH($C$1,[1]quests!$1:$1,0)+1,FALSE)</f>
        <v>最大最凶</v>
      </c>
      <c r="E1108" s="3" t="str">
        <f ca="1">VLOOKUP($C1108,OFFSET([1]quests!$A$1,0,0,COUNTA([1]quests!$A:$A),MATCH(E$1,[1]quests!$1:$1,0)-MATCH($C$1,[1]quests!$1:$1,0)+1),MATCH(E$1,[1]quests!$1:$1,0)-MATCH($C$1,[1]quests!$1:$1,0)+1,FALSE)</f>
        <v>ドロップイベント3（マルチ専用）</v>
      </c>
      <c r="F1108" s="5">
        <v>1</v>
      </c>
      <c r="G1108" s="3" t="str">
        <f ca="1">VLOOKUP($C1108&amp;"_"&amp;$F1108,OFFSET([1]stages!$A$1,0,0,COUNTA([1]stages!$A:$A),MATCH(G$1,[1]stages!$2:$2,0)-MATCH("temp_stage",[1]stages!$2:$2,0)+1),MATCH(G$1,[1]stages!$2:$2,0)-MATCH("temp_stage",[1]stages!$2:$2,0)+1,FALSE)</f>
        <v>【上級】最大最凶</v>
      </c>
      <c r="H1108" s="3" t="str">
        <f ca="1">VLOOKUP($C1108&amp;"_"&amp;$F1108,OFFSET([1]stages!$A$1,0,0,COUNTA([1]stages!$A:$A),MATCH(H$1,[1]stages!$2:$2,0)-MATCH("temp_stage",[1]stages!$2:$2,0)+1),MATCH(H$1,[1]stages!$2:$2,0)-MATCH("temp_stage",[1]stages!$2:$2,0)+1,FALSE)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8" s="18">
        <v>0</v>
      </c>
      <c r="J1108" s="5">
        <f>COUNTIF(C$1:C1108,C1108)</f>
        <v>18</v>
      </c>
      <c r="K1108" s="34">
        <v>22</v>
      </c>
      <c r="L1108" s="5" t="s">
        <v>17</v>
      </c>
      <c r="M1108" s="38" t="str">
        <f>VLOOKUP(K1108,[2]stage_hints!$A:$C,3,FALSE)</f>
        <v>フィーバーで一発逆転（その1）</v>
      </c>
      <c r="N1108" s="39" t="str">
        <f>VLOOKUP(K1108,[2]stage_hints!$A:$D,4,FALSE)</f>
        <v>フィーバーは攻撃と回復を兼ね備えます
ピンチからの一発逆転を狙いましょう</v>
      </c>
      <c r="O1108" s="20" t="s">
        <v>24</v>
      </c>
      <c r="P1108">
        <v>22</v>
      </c>
    </row>
    <row r="1109" spans="1:16" x14ac:dyDescent="0.15">
      <c r="A1109" s="27" t="str">
        <f t="shared" si="80"/>
        <v>30010_1_19</v>
      </c>
      <c r="B1109" s="25" t="s">
        <v>34</v>
      </c>
      <c r="C1109" s="4">
        <v>30010</v>
      </c>
      <c r="D1109" s="3" t="str">
        <f ca="1">VLOOKUP($C1109,OFFSET([1]quests!$A$1,0,0,COUNTA([1]quests!$A:$A),MATCH(D$1,[1]quests!$1:$1,0)-MATCH($C$1,[1]quests!$1:$1,0)+1),MATCH(D$1,[1]quests!$1:$1,0)-MATCH($C$1,[1]quests!$1:$1,0)+1,FALSE)</f>
        <v>最大最凶</v>
      </c>
      <c r="E1109" s="3" t="str">
        <f ca="1">VLOOKUP($C1109,OFFSET([1]quests!$A$1,0,0,COUNTA([1]quests!$A:$A),MATCH(E$1,[1]quests!$1:$1,0)-MATCH($C$1,[1]quests!$1:$1,0)+1),MATCH(E$1,[1]quests!$1:$1,0)-MATCH($C$1,[1]quests!$1:$1,0)+1,FALSE)</f>
        <v>ドロップイベント3（マルチ専用）</v>
      </c>
      <c r="F1109" s="5">
        <v>1</v>
      </c>
      <c r="G1109" s="3" t="str">
        <f ca="1">VLOOKUP($C1109&amp;"_"&amp;$F1109,OFFSET([1]stages!$A$1,0,0,COUNTA([1]stages!$A:$A),MATCH(G$1,[1]stages!$2:$2,0)-MATCH("temp_stage",[1]stages!$2:$2,0)+1),MATCH(G$1,[1]stages!$2:$2,0)-MATCH("temp_stage",[1]stages!$2:$2,0)+1,FALSE)</f>
        <v>【上級】最大最凶</v>
      </c>
      <c r="H1109" s="3" t="str">
        <f ca="1">VLOOKUP($C1109&amp;"_"&amp;$F1109,OFFSET([1]stages!$A$1,0,0,COUNTA([1]stages!$A:$A),MATCH(H$1,[1]stages!$2:$2,0)-MATCH("temp_stage",[1]stages!$2:$2,0)+1),MATCH(H$1,[1]stages!$2:$2,0)-MATCH("temp_stage",[1]stages!$2:$2,0)+1,FALSE)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09" s="18">
        <v>0</v>
      </c>
      <c r="J1109" s="5">
        <f>COUNTIF(C$1:C1109,C1109)</f>
        <v>19</v>
      </c>
      <c r="K1109" s="34">
        <v>23</v>
      </c>
      <c r="L1109" s="5" t="s">
        <v>17</v>
      </c>
      <c r="M1109" s="38" t="str">
        <f>VLOOKUP(K1109,[2]stage_hints!$A:$C,3,FALSE)</f>
        <v>フィーバーで一発逆転（その2）</v>
      </c>
      <c r="N1109" s="39" t="str">
        <f>VLOOKUP(K1109,[2]stage_hints!$A:$D,4,FALSE)</f>
        <v>フィーバー中は虹色のボムパネルを狙って
画面上のパネルを一気に破壊しましょう</v>
      </c>
      <c r="O1109" s="20" t="s">
        <v>24</v>
      </c>
      <c r="P1109">
        <v>23</v>
      </c>
    </row>
    <row r="1110" spans="1:16" x14ac:dyDescent="0.15">
      <c r="A1110" s="27" t="str">
        <f t="shared" si="80"/>
        <v>30010_1_20</v>
      </c>
      <c r="B1110" s="25" t="s">
        <v>34</v>
      </c>
      <c r="C1110" s="4">
        <v>30010</v>
      </c>
      <c r="D1110" s="3" t="str">
        <f ca="1">VLOOKUP($C1110,OFFSET([1]quests!$A$1,0,0,COUNTA([1]quests!$A:$A),MATCH(D$1,[1]quests!$1:$1,0)-MATCH($C$1,[1]quests!$1:$1,0)+1),MATCH(D$1,[1]quests!$1:$1,0)-MATCH($C$1,[1]quests!$1:$1,0)+1,FALSE)</f>
        <v>最大最凶</v>
      </c>
      <c r="E1110" s="3" t="str">
        <f ca="1">VLOOKUP($C1110,OFFSET([1]quests!$A$1,0,0,COUNTA([1]quests!$A:$A),MATCH(E$1,[1]quests!$1:$1,0)-MATCH($C$1,[1]quests!$1:$1,0)+1),MATCH(E$1,[1]quests!$1:$1,0)-MATCH($C$1,[1]quests!$1:$1,0)+1,FALSE)</f>
        <v>ドロップイベント3（マルチ専用）</v>
      </c>
      <c r="F1110" s="5">
        <v>1</v>
      </c>
      <c r="G1110" s="3" t="str">
        <f ca="1">VLOOKUP($C1110&amp;"_"&amp;$F1110,OFFSET([1]stages!$A$1,0,0,COUNTA([1]stages!$A:$A),MATCH(G$1,[1]stages!$2:$2,0)-MATCH("temp_stage",[1]stages!$2:$2,0)+1),MATCH(G$1,[1]stages!$2:$2,0)-MATCH("temp_stage",[1]stages!$2:$2,0)+1,FALSE)</f>
        <v>【上級】最大最凶</v>
      </c>
      <c r="H1110" s="3" t="str">
        <f ca="1">VLOOKUP($C1110&amp;"_"&amp;$F1110,OFFSET([1]stages!$A$1,0,0,COUNTA([1]stages!$A:$A),MATCH(H$1,[1]stages!$2:$2,0)-MATCH("temp_stage",[1]stages!$2:$2,0)+1),MATCH(H$1,[1]stages!$2:$2,0)-MATCH("temp_stage",[1]stages!$2:$2,0)+1,FALSE)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0" s="18">
        <v>0</v>
      </c>
      <c r="J1110" s="5">
        <f>COUNTIF(C$1:C1110,C1110)</f>
        <v>20</v>
      </c>
      <c r="K1110" s="34">
        <v>24</v>
      </c>
      <c r="L1110" s="5" t="s">
        <v>17</v>
      </c>
      <c r="M1110" s="38" t="str">
        <f>VLOOKUP(K1110,[2]stage_hints!$A:$C,3,FALSE)</f>
        <v>りんごを使って限界突破</v>
      </c>
      <c r="N1110" s="39" t="str">
        <f>VLOOKUP(K1110,[2]stage_hints!$A:$D,4,FALSE)</f>
        <v>赤りんご(攻撃力) 青りんご(回復力)
緑りんご(体力)をユニット強化に使うと
ステータスが限界突破します（計99個迄）</v>
      </c>
      <c r="O1110" s="20" t="s">
        <v>24</v>
      </c>
      <c r="P1110">
        <v>24</v>
      </c>
    </row>
    <row r="1111" spans="1:16" x14ac:dyDescent="0.15">
      <c r="A1111" s="27" t="str">
        <f t="shared" si="80"/>
        <v>30010_1_21</v>
      </c>
      <c r="B1111" s="25" t="s">
        <v>34</v>
      </c>
      <c r="C1111" s="4">
        <v>30010</v>
      </c>
      <c r="D1111" s="3" t="str">
        <f ca="1">VLOOKUP($C1111,OFFSET([1]quests!$A$1,0,0,COUNTA([1]quests!$A:$A),MATCH(D$1,[1]quests!$1:$1,0)-MATCH($C$1,[1]quests!$1:$1,0)+1),MATCH(D$1,[1]quests!$1:$1,0)-MATCH($C$1,[1]quests!$1:$1,0)+1,FALSE)</f>
        <v>最大最凶</v>
      </c>
      <c r="E1111" s="3" t="str">
        <f ca="1">VLOOKUP($C1111,OFFSET([1]quests!$A$1,0,0,COUNTA([1]quests!$A:$A),MATCH(E$1,[1]quests!$1:$1,0)-MATCH($C$1,[1]quests!$1:$1,0)+1),MATCH(E$1,[1]quests!$1:$1,0)-MATCH($C$1,[1]quests!$1:$1,0)+1,FALSE)</f>
        <v>ドロップイベント3（マルチ専用）</v>
      </c>
      <c r="F1111" s="5">
        <v>1</v>
      </c>
      <c r="G1111" s="3" t="str">
        <f ca="1">VLOOKUP($C1111&amp;"_"&amp;$F1111,OFFSET([1]stages!$A$1,0,0,COUNTA([1]stages!$A:$A),MATCH(G$1,[1]stages!$2:$2,0)-MATCH("temp_stage",[1]stages!$2:$2,0)+1),MATCH(G$1,[1]stages!$2:$2,0)-MATCH("temp_stage",[1]stages!$2:$2,0)+1,FALSE)</f>
        <v>【上級】最大最凶</v>
      </c>
      <c r="H1111" s="3" t="str">
        <f ca="1">VLOOKUP($C1111&amp;"_"&amp;$F1111,OFFSET([1]stages!$A$1,0,0,COUNTA([1]stages!$A:$A),MATCH(H$1,[1]stages!$2:$2,0)-MATCH("temp_stage",[1]stages!$2:$2,0)+1),MATCH(H$1,[1]stages!$2:$2,0)-MATCH("temp_stage",[1]stages!$2:$2,0)+1,FALSE)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1" s="18">
        <v>0</v>
      </c>
      <c r="J1111" s="5">
        <f>COUNTIF(C$1:C1111,C1111)</f>
        <v>21</v>
      </c>
      <c r="K1111" s="34">
        <v>25</v>
      </c>
      <c r="L1111" s="5" t="s">
        <v>17</v>
      </c>
      <c r="M1111" s="38" t="str">
        <f>VLOOKUP(K1111,[2]stage_hints!$A:$C,3,FALSE)</f>
        <v>スキルレベルアップ</v>
      </c>
      <c r="N1111" s="39" t="str">
        <f>VLOOKUP(K1111,[2]stage_hints!$A:$D,4,FALSE)</f>
        <v>「クリスタルのりんご」を強化に使うと
スキルレベルを上げることができます</v>
      </c>
      <c r="O1111" s="20" t="s">
        <v>24</v>
      </c>
      <c r="P1111">
        <v>25</v>
      </c>
    </row>
    <row r="1112" spans="1:16" x14ac:dyDescent="0.15">
      <c r="A1112" s="27" t="str">
        <f t="shared" si="80"/>
        <v>30010_1_22</v>
      </c>
      <c r="B1112" s="25" t="s">
        <v>34</v>
      </c>
      <c r="C1112" s="4">
        <v>30010</v>
      </c>
      <c r="D1112" s="3" t="str">
        <f ca="1">VLOOKUP($C1112,OFFSET([1]quests!$A$1,0,0,COUNTA([1]quests!$A:$A),MATCH(D$1,[1]quests!$1:$1,0)-MATCH($C$1,[1]quests!$1:$1,0)+1),MATCH(D$1,[1]quests!$1:$1,0)-MATCH($C$1,[1]quests!$1:$1,0)+1,FALSE)</f>
        <v>最大最凶</v>
      </c>
      <c r="E1112" s="3" t="str">
        <f ca="1">VLOOKUP($C1112,OFFSET([1]quests!$A$1,0,0,COUNTA([1]quests!$A:$A),MATCH(E$1,[1]quests!$1:$1,0)-MATCH($C$1,[1]quests!$1:$1,0)+1),MATCH(E$1,[1]quests!$1:$1,0)-MATCH($C$1,[1]quests!$1:$1,0)+1,FALSE)</f>
        <v>ドロップイベント3（マルチ専用）</v>
      </c>
      <c r="F1112" s="5">
        <v>1</v>
      </c>
      <c r="G1112" s="3" t="str">
        <f ca="1">VLOOKUP($C1112&amp;"_"&amp;$F1112,OFFSET([1]stages!$A$1,0,0,COUNTA([1]stages!$A:$A),MATCH(G$1,[1]stages!$2:$2,0)-MATCH("temp_stage",[1]stages!$2:$2,0)+1),MATCH(G$1,[1]stages!$2:$2,0)-MATCH("temp_stage",[1]stages!$2:$2,0)+1,FALSE)</f>
        <v>【上級】最大最凶</v>
      </c>
      <c r="H1112" s="3" t="str">
        <f ca="1">VLOOKUP($C1112&amp;"_"&amp;$F1112,OFFSET([1]stages!$A$1,0,0,COUNTA([1]stages!$A:$A),MATCH(H$1,[1]stages!$2:$2,0)-MATCH("temp_stage",[1]stages!$2:$2,0)+1),MATCH(H$1,[1]stages!$2:$2,0)-MATCH("temp_stage",[1]stages!$2:$2,0)+1,FALSE)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2" s="18">
        <v>0</v>
      </c>
      <c r="J1112" s="5">
        <f>COUNTIF(C$1:C1112,C1112)</f>
        <v>22</v>
      </c>
      <c r="K1112" s="34">
        <v>26</v>
      </c>
      <c r="L1112" s="5" t="s">
        <v>17</v>
      </c>
      <c r="M1112" s="38" t="str">
        <f>VLOOKUP(K1112,[2]stage_hints!$A:$C,3,FALSE)</f>
        <v>スキルレベルの効果</v>
      </c>
      <c r="N1112" s="39" t="str">
        <f>VLOOKUP(K1112,[2]stage_hints!$A:$D,4,FALSE)</f>
        <v>スキルレベルが上がると
短いターンでスキルを使うことができます</v>
      </c>
      <c r="O1112" s="20" t="s">
        <v>24</v>
      </c>
      <c r="P1112">
        <v>26</v>
      </c>
    </row>
    <row r="1113" spans="1:16" x14ac:dyDescent="0.15">
      <c r="A1113" s="27" t="str">
        <f t="shared" si="80"/>
        <v>30010_1_23</v>
      </c>
      <c r="B1113" s="25" t="s">
        <v>34</v>
      </c>
      <c r="C1113" s="4">
        <v>30010</v>
      </c>
      <c r="D1113" s="3" t="str">
        <f ca="1">VLOOKUP($C1113,OFFSET([1]quests!$A$1,0,0,COUNTA([1]quests!$A:$A),MATCH(D$1,[1]quests!$1:$1,0)-MATCH($C$1,[1]quests!$1:$1,0)+1),MATCH(D$1,[1]quests!$1:$1,0)-MATCH($C$1,[1]quests!$1:$1,0)+1,FALSE)</f>
        <v>最大最凶</v>
      </c>
      <c r="E1113" s="3" t="str">
        <f ca="1">VLOOKUP($C1113,OFFSET([1]quests!$A$1,0,0,COUNTA([1]quests!$A:$A),MATCH(E$1,[1]quests!$1:$1,0)-MATCH($C$1,[1]quests!$1:$1,0)+1),MATCH(E$1,[1]quests!$1:$1,0)-MATCH($C$1,[1]quests!$1:$1,0)+1,FALSE)</f>
        <v>ドロップイベント3（マルチ専用）</v>
      </c>
      <c r="F1113" s="5">
        <v>1</v>
      </c>
      <c r="G1113" s="3" t="str">
        <f ca="1">VLOOKUP($C1113&amp;"_"&amp;$F1113,OFFSET([1]stages!$A$1,0,0,COUNTA([1]stages!$A:$A),MATCH(G$1,[1]stages!$2:$2,0)-MATCH("temp_stage",[1]stages!$2:$2,0)+1),MATCH(G$1,[1]stages!$2:$2,0)-MATCH("temp_stage",[1]stages!$2:$2,0)+1,FALSE)</f>
        <v>【上級】最大最凶</v>
      </c>
      <c r="H1113" s="3" t="str">
        <f ca="1">VLOOKUP($C1113&amp;"_"&amp;$F1113,OFFSET([1]stages!$A$1,0,0,COUNTA([1]stages!$A:$A),MATCH(H$1,[1]stages!$2:$2,0)-MATCH("temp_stage",[1]stages!$2:$2,0)+1),MATCH(H$1,[1]stages!$2:$2,0)-MATCH("temp_stage",[1]stages!$2:$2,0)+1,FALSE)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3" s="18">
        <v>0</v>
      </c>
      <c r="J1113" s="5">
        <f>COUNTIF(C$1:C1113,C1113)</f>
        <v>23</v>
      </c>
      <c r="K1113" s="34">
        <v>27</v>
      </c>
      <c r="L1113" s="5" t="s">
        <v>17</v>
      </c>
      <c r="M1113" s="38" t="str">
        <f>VLOOKUP(K1113,[2]stage_hints!$A:$C,3,FALSE)</f>
        <v>ホーム画面からデッキを編成</v>
      </c>
      <c r="N1113" s="39" t="str">
        <f>VLOOKUP(K1113,[2]stage_hints!$A:$D,4,FALSE)</f>
        <v>ホーム画面でユニットを長押しすると
すぐにパーティ編成に移動できます</v>
      </c>
      <c r="O1113" s="20" t="s">
        <v>24</v>
      </c>
      <c r="P1113">
        <v>27</v>
      </c>
    </row>
    <row r="1114" spans="1:16" x14ac:dyDescent="0.15">
      <c r="A1114" s="27" t="str">
        <f t="shared" si="80"/>
        <v>30010_1_24</v>
      </c>
      <c r="B1114" s="25" t="s">
        <v>34</v>
      </c>
      <c r="C1114" s="4">
        <v>30010</v>
      </c>
      <c r="D1114" s="3" t="str">
        <f ca="1">VLOOKUP($C1114,OFFSET([1]quests!$A$1,0,0,COUNTA([1]quests!$A:$A),MATCH(D$1,[1]quests!$1:$1,0)-MATCH($C$1,[1]quests!$1:$1,0)+1),MATCH(D$1,[1]quests!$1:$1,0)-MATCH($C$1,[1]quests!$1:$1,0)+1,FALSE)</f>
        <v>最大最凶</v>
      </c>
      <c r="E1114" s="3" t="str">
        <f ca="1">VLOOKUP($C1114,OFFSET([1]quests!$A$1,0,0,COUNTA([1]quests!$A:$A),MATCH(E$1,[1]quests!$1:$1,0)-MATCH($C$1,[1]quests!$1:$1,0)+1),MATCH(E$1,[1]quests!$1:$1,0)-MATCH($C$1,[1]quests!$1:$1,0)+1,FALSE)</f>
        <v>ドロップイベント3（マルチ専用）</v>
      </c>
      <c r="F1114" s="5">
        <v>1</v>
      </c>
      <c r="G1114" s="3" t="str">
        <f ca="1">VLOOKUP($C1114&amp;"_"&amp;$F1114,OFFSET([1]stages!$A$1,0,0,COUNTA([1]stages!$A:$A),MATCH(G$1,[1]stages!$2:$2,0)-MATCH("temp_stage",[1]stages!$2:$2,0)+1),MATCH(G$1,[1]stages!$2:$2,0)-MATCH("temp_stage",[1]stages!$2:$2,0)+1,FALSE)</f>
        <v>【上級】最大最凶</v>
      </c>
      <c r="H1114" s="3" t="str">
        <f ca="1">VLOOKUP($C1114&amp;"_"&amp;$F1114,OFFSET([1]stages!$A$1,0,0,COUNTA([1]stages!$A:$A),MATCH(H$1,[1]stages!$2:$2,0)-MATCH("temp_stage",[1]stages!$2:$2,0)+1),MATCH(H$1,[1]stages!$2:$2,0)-MATCH("temp_stage",[1]stages!$2:$2,0)+1,FALSE)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4" s="18">
        <v>0</v>
      </c>
      <c r="J1114" s="5">
        <f>COUNTIF(C$1:C1114,C1114)</f>
        <v>24</v>
      </c>
      <c r="K1114" s="34">
        <v>28</v>
      </c>
      <c r="L1114" s="5" t="s">
        <v>17</v>
      </c>
      <c r="M1114" s="38" t="str">
        <f>VLOOKUP(K1114,[2]stage_hints!$A:$C,3,FALSE)</f>
        <v>ステータス情報は長押しで</v>
      </c>
      <c r="N1114" s="39" t="str">
        <f>VLOOKUP(K1114,[2]stage_hints!$A:$D,4,FALSE)</f>
        <v>ユニットのアイコンを長押しすると
ステータス情報を確認することができます</v>
      </c>
      <c r="O1114" s="20" t="s">
        <v>24</v>
      </c>
      <c r="P1114">
        <v>28</v>
      </c>
    </row>
    <row r="1115" spans="1:16" x14ac:dyDescent="0.15">
      <c r="A1115" s="27" t="str">
        <f t="shared" si="80"/>
        <v>30010_1_25</v>
      </c>
      <c r="B1115" s="25" t="s">
        <v>34</v>
      </c>
      <c r="C1115" s="4">
        <v>30010</v>
      </c>
      <c r="D1115" s="3" t="str">
        <f ca="1">VLOOKUP($C1115,OFFSET([1]quests!$A$1,0,0,COUNTA([1]quests!$A:$A),MATCH(D$1,[1]quests!$1:$1,0)-MATCH($C$1,[1]quests!$1:$1,0)+1),MATCH(D$1,[1]quests!$1:$1,0)-MATCH($C$1,[1]quests!$1:$1,0)+1,FALSE)</f>
        <v>最大最凶</v>
      </c>
      <c r="E1115" s="3" t="str">
        <f ca="1">VLOOKUP($C1115,OFFSET([1]quests!$A$1,0,0,COUNTA([1]quests!$A:$A),MATCH(E$1,[1]quests!$1:$1,0)-MATCH($C$1,[1]quests!$1:$1,0)+1),MATCH(E$1,[1]quests!$1:$1,0)-MATCH($C$1,[1]quests!$1:$1,0)+1,FALSE)</f>
        <v>ドロップイベント3（マルチ専用）</v>
      </c>
      <c r="F1115" s="5">
        <v>1</v>
      </c>
      <c r="G1115" s="3" t="str">
        <f ca="1">VLOOKUP($C1115&amp;"_"&amp;$F1115,OFFSET([1]stages!$A$1,0,0,COUNTA([1]stages!$A:$A),MATCH(G$1,[1]stages!$2:$2,0)-MATCH("temp_stage",[1]stages!$2:$2,0)+1),MATCH(G$1,[1]stages!$2:$2,0)-MATCH("temp_stage",[1]stages!$2:$2,0)+1,FALSE)</f>
        <v>【上級】最大最凶</v>
      </c>
      <c r="H1115" s="3" t="str">
        <f ca="1">VLOOKUP($C1115&amp;"_"&amp;$F1115,OFFSET([1]stages!$A$1,0,0,COUNTA([1]stages!$A:$A),MATCH(H$1,[1]stages!$2:$2,0)-MATCH("temp_stage",[1]stages!$2:$2,0)+1),MATCH(H$1,[1]stages!$2:$2,0)-MATCH("temp_stage",[1]stages!$2:$2,0)+1,FALSE)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5" s="18">
        <v>0</v>
      </c>
      <c r="J1115" s="5">
        <f>COUNTIF(C$1:C1115,C1115)</f>
        <v>25</v>
      </c>
      <c r="K1115" s="34">
        <v>29</v>
      </c>
      <c r="L1115" s="5" t="s">
        <v>17</v>
      </c>
      <c r="M1115" s="38" t="str">
        <f>VLOOKUP(K1115,[2]stage_hints!$A:$C,3,FALSE)</f>
        <v>「バグ」のメリット</v>
      </c>
      <c r="N1115" s="39" t="str">
        <f>VLOOKUP(K1115,[2]stage_hints!$A:$D,4,FALSE)</f>
        <v>ユニットの「バグ」を増やすと
報酬をもらえる確率がアップします</v>
      </c>
      <c r="O1115" s="20" t="s">
        <v>24</v>
      </c>
      <c r="P1115">
        <v>29</v>
      </c>
    </row>
    <row r="1116" spans="1:16" x14ac:dyDescent="0.15">
      <c r="A1116" s="27" t="str">
        <f t="shared" si="80"/>
        <v>30010_1_26</v>
      </c>
      <c r="B1116" s="25" t="s">
        <v>34</v>
      </c>
      <c r="C1116" s="4">
        <v>30010</v>
      </c>
      <c r="D1116" s="3" t="str">
        <f ca="1">VLOOKUP($C1116,OFFSET([1]quests!$A$1,0,0,COUNTA([1]quests!$A:$A),MATCH(D$1,[1]quests!$1:$1,0)-MATCH($C$1,[1]quests!$1:$1,0)+1),MATCH(D$1,[1]quests!$1:$1,0)-MATCH($C$1,[1]quests!$1:$1,0)+1,FALSE)</f>
        <v>最大最凶</v>
      </c>
      <c r="E1116" s="3" t="str">
        <f ca="1">VLOOKUP($C1116,OFFSET([1]quests!$A$1,0,0,COUNTA([1]quests!$A:$A),MATCH(E$1,[1]quests!$1:$1,0)-MATCH($C$1,[1]quests!$1:$1,0)+1),MATCH(E$1,[1]quests!$1:$1,0)-MATCH($C$1,[1]quests!$1:$1,0)+1,FALSE)</f>
        <v>ドロップイベント3（マルチ専用）</v>
      </c>
      <c r="F1116" s="5">
        <v>1</v>
      </c>
      <c r="G1116" s="3" t="str">
        <f ca="1">VLOOKUP($C1116&amp;"_"&amp;$F1116,OFFSET([1]stages!$A$1,0,0,COUNTA([1]stages!$A:$A),MATCH(G$1,[1]stages!$2:$2,0)-MATCH("temp_stage",[1]stages!$2:$2,0)+1),MATCH(G$1,[1]stages!$2:$2,0)-MATCH("temp_stage",[1]stages!$2:$2,0)+1,FALSE)</f>
        <v>【上級】最大最凶</v>
      </c>
      <c r="H1116" s="3" t="str">
        <f ca="1">VLOOKUP($C1116&amp;"_"&amp;$F1116,OFFSET([1]stages!$A$1,0,0,COUNTA([1]stages!$A:$A),MATCH(H$1,[1]stages!$2:$2,0)-MATCH("temp_stage",[1]stages!$2:$2,0)+1),MATCH(H$1,[1]stages!$2:$2,0)-MATCH("temp_stage",[1]stages!$2:$2,0)+1,FALSE)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6" s="18">
        <v>0</v>
      </c>
      <c r="J1116" s="5">
        <f>COUNTIF(C$1:C1116,C1116)</f>
        <v>26</v>
      </c>
      <c r="K1116" s="34">
        <v>30</v>
      </c>
      <c r="L1116" s="5" t="s">
        <v>17</v>
      </c>
      <c r="M1116" s="38" t="str">
        <f>VLOOKUP(K1116,[2]stage_hints!$A:$C,3,FALSE)</f>
        <v>「バグ」の増やし方</v>
      </c>
      <c r="N1116" s="39" t="str">
        <f>VLOOKUP(K1116,[2]stage_hints!$A:$D,4,FALSE)</f>
        <v>同じユニット同士を強化で合成すると
「バグ」を増やすことができます</v>
      </c>
      <c r="O1116" s="20" t="s">
        <v>24</v>
      </c>
      <c r="P1116">
        <v>30</v>
      </c>
    </row>
    <row r="1117" spans="1:16" x14ac:dyDescent="0.15">
      <c r="A1117" s="27" t="str">
        <f t="shared" si="80"/>
        <v>30010_1_27</v>
      </c>
      <c r="B1117" s="25" t="s">
        <v>34</v>
      </c>
      <c r="C1117" s="4">
        <v>30010</v>
      </c>
      <c r="D1117" s="3" t="str">
        <f ca="1">VLOOKUP($C1117,OFFSET([1]quests!$A$1,0,0,COUNTA([1]quests!$A:$A),MATCH(D$1,[1]quests!$1:$1,0)-MATCH($C$1,[1]quests!$1:$1,0)+1),MATCH(D$1,[1]quests!$1:$1,0)-MATCH($C$1,[1]quests!$1:$1,0)+1,FALSE)</f>
        <v>最大最凶</v>
      </c>
      <c r="E1117" s="3" t="str">
        <f ca="1">VLOOKUP($C1117,OFFSET([1]quests!$A$1,0,0,COUNTA([1]quests!$A:$A),MATCH(E$1,[1]quests!$1:$1,0)-MATCH($C$1,[1]quests!$1:$1,0)+1),MATCH(E$1,[1]quests!$1:$1,0)-MATCH($C$1,[1]quests!$1:$1,0)+1,FALSE)</f>
        <v>ドロップイベント3（マルチ専用）</v>
      </c>
      <c r="F1117" s="5">
        <v>1</v>
      </c>
      <c r="G1117" s="3" t="str">
        <f ca="1">VLOOKUP($C1117&amp;"_"&amp;$F1117,OFFSET([1]stages!$A$1,0,0,COUNTA([1]stages!$A:$A),MATCH(G$1,[1]stages!$2:$2,0)-MATCH("temp_stage",[1]stages!$2:$2,0)+1),MATCH(G$1,[1]stages!$2:$2,0)-MATCH("temp_stage",[1]stages!$2:$2,0)+1,FALSE)</f>
        <v>【上級】最大最凶</v>
      </c>
      <c r="H1117" s="3" t="str">
        <f ca="1">VLOOKUP($C1117&amp;"_"&amp;$F1117,OFFSET([1]stages!$A$1,0,0,COUNTA([1]stages!$A:$A),MATCH(H$1,[1]stages!$2:$2,0)-MATCH("temp_stage",[1]stages!$2:$2,0)+1),MATCH(H$1,[1]stages!$2:$2,0)-MATCH("temp_stage",[1]stages!$2:$2,0)+1,FALSE)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7" s="18">
        <v>0</v>
      </c>
      <c r="J1117" s="5">
        <f>COUNTIF(C$1:C1117,C1117)</f>
        <v>27</v>
      </c>
      <c r="K1117" s="34">
        <v>31</v>
      </c>
      <c r="L1117" s="5" t="s">
        <v>17</v>
      </c>
      <c r="M1117" s="38" t="str">
        <f>VLOOKUP(K1117,[2]stage_hints!$A:$C,3,FALSE)</f>
        <v>イベントはお知らせでチェック</v>
      </c>
      <c r="N1117" s="39" t="str">
        <f>VLOOKUP(K1117,[2]stage_hints!$A:$D,4,FALSE)</f>
        <v>イベント限定ユニットを取り忘れないように
お知らせをこまめにチェックしましょう</v>
      </c>
      <c r="O1117" s="20" t="s">
        <v>24</v>
      </c>
      <c r="P1117">
        <v>31</v>
      </c>
    </row>
    <row r="1118" spans="1:16" x14ac:dyDescent="0.15">
      <c r="A1118" s="27" t="str">
        <f t="shared" si="80"/>
        <v>30010_1_28</v>
      </c>
      <c r="B1118" s="25" t="s">
        <v>34</v>
      </c>
      <c r="C1118" s="4">
        <v>30010</v>
      </c>
      <c r="D1118" s="3" t="str">
        <f ca="1">VLOOKUP($C1118,OFFSET([1]quests!$A$1,0,0,COUNTA([1]quests!$A:$A),MATCH(D$1,[1]quests!$1:$1,0)-MATCH($C$1,[1]quests!$1:$1,0)+1),MATCH(D$1,[1]quests!$1:$1,0)-MATCH($C$1,[1]quests!$1:$1,0)+1,FALSE)</f>
        <v>最大最凶</v>
      </c>
      <c r="E1118" s="3" t="str">
        <f ca="1">VLOOKUP($C1118,OFFSET([1]quests!$A$1,0,0,COUNTA([1]quests!$A:$A),MATCH(E$1,[1]quests!$1:$1,0)-MATCH($C$1,[1]quests!$1:$1,0)+1),MATCH(E$1,[1]quests!$1:$1,0)-MATCH($C$1,[1]quests!$1:$1,0)+1,FALSE)</f>
        <v>ドロップイベント3（マルチ専用）</v>
      </c>
      <c r="F1118" s="5">
        <v>1</v>
      </c>
      <c r="G1118" s="3" t="str">
        <f ca="1">VLOOKUP($C1118&amp;"_"&amp;$F1118,OFFSET([1]stages!$A$1,0,0,COUNTA([1]stages!$A:$A),MATCH(G$1,[1]stages!$2:$2,0)-MATCH("temp_stage",[1]stages!$2:$2,0)+1),MATCH(G$1,[1]stages!$2:$2,0)-MATCH("temp_stage",[1]stages!$2:$2,0)+1,FALSE)</f>
        <v>【上級】最大最凶</v>
      </c>
      <c r="H1118" s="3" t="str">
        <f ca="1">VLOOKUP($C1118&amp;"_"&amp;$F1118,OFFSET([1]stages!$A$1,0,0,COUNTA([1]stages!$A:$A),MATCH(H$1,[1]stages!$2:$2,0)-MATCH("temp_stage",[1]stages!$2:$2,0)+1),MATCH(H$1,[1]stages!$2:$2,0)-MATCH("temp_stage",[1]stages!$2:$2,0)+1,FALSE)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8" s="18">
        <v>0</v>
      </c>
      <c r="J1118" s="5">
        <f>COUNTIF(C$1:C1118,C1118)</f>
        <v>28</v>
      </c>
      <c r="K1118" s="34">
        <v>32</v>
      </c>
      <c r="L1118" s="5" t="s">
        <v>17</v>
      </c>
      <c r="M1118" s="38" t="str">
        <f>VLOOKUP(K1118,[2]stage_hints!$A:$C,3,FALSE)</f>
        <v>敵の連続攻撃には</v>
      </c>
      <c r="N1118" s="39" t="str">
        <f>VLOOKUP(K1118,[2]stage_hints!$A:$D,4,FALSE)</f>
        <v>カウンタースキルを持つユニットがいれば
ダメージ回数分の反撃ができます</v>
      </c>
      <c r="O1118" s="20" t="s">
        <v>24</v>
      </c>
      <c r="P1118">
        <v>32</v>
      </c>
    </row>
    <row r="1119" spans="1:16" x14ac:dyDescent="0.15">
      <c r="A1119" s="27" t="str">
        <f t="shared" si="80"/>
        <v>30010_1_29</v>
      </c>
      <c r="B1119" s="25" t="s">
        <v>34</v>
      </c>
      <c r="C1119" s="4">
        <v>30010</v>
      </c>
      <c r="D1119" s="3" t="str">
        <f ca="1">VLOOKUP($C1119,OFFSET([1]quests!$A$1,0,0,COUNTA([1]quests!$A:$A),MATCH(D$1,[1]quests!$1:$1,0)-MATCH($C$1,[1]quests!$1:$1,0)+1),MATCH(D$1,[1]quests!$1:$1,0)-MATCH($C$1,[1]quests!$1:$1,0)+1,FALSE)</f>
        <v>最大最凶</v>
      </c>
      <c r="E1119" s="3" t="str">
        <f ca="1">VLOOKUP($C1119,OFFSET([1]quests!$A$1,0,0,COUNTA([1]quests!$A:$A),MATCH(E$1,[1]quests!$1:$1,0)-MATCH($C$1,[1]quests!$1:$1,0)+1),MATCH(E$1,[1]quests!$1:$1,0)-MATCH($C$1,[1]quests!$1:$1,0)+1,FALSE)</f>
        <v>ドロップイベント3（マルチ専用）</v>
      </c>
      <c r="F1119" s="5">
        <v>1</v>
      </c>
      <c r="G1119" s="3" t="str">
        <f ca="1">VLOOKUP($C1119&amp;"_"&amp;$F1119,OFFSET([1]stages!$A$1,0,0,COUNTA([1]stages!$A:$A),MATCH(G$1,[1]stages!$2:$2,0)-MATCH("temp_stage",[1]stages!$2:$2,0)+1),MATCH(G$1,[1]stages!$2:$2,0)-MATCH("temp_stage",[1]stages!$2:$2,0)+1,FALSE)</f>
        <v>【上級】最大最凶</v>
      </c>
      <c r="H1119" s="3" t="str">
        <f ca="1">VLOOKUP($C1119&amp;"_"&amp;$F1119,OFFSET([1]stages!$A$1,0,0,COUNTA([1]stages!$A:$A),MATCH(H$1,[1]stages!$2:$2,0)-MATCH("temp_stage",[1]stages!$2:$2,0)+1),MATCH(H$1,[1]stages!$2:$2,0)-MATCH("temp_stage",[1]stages!$2:$2,0)+1,FALSE)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19" s="18">
        <v>0</v>
      </c>
      <c r="J1119" s="5">
        <f>COUNTIF(C$1:C1119,C1119)</f>
        <v>29</v>
      </c>
      <c r="K1119" s="34">
        <v>33</v>
      </c>
      <c r="L1119" s="5" t="s">
        <v>17</v>
      </c>
      <c r="M1119" s="38" t="str">
        <f>VLOOKUP(K1119,[2]stage_hints!$A:$C,3,FALSE)</f>
        <v>敵のカウンター攻撃には</v>
      </c>
      <c r="N1119" s="39" t="str">
        <f>VLOOKUP(K1119,[2]stage_hints!$A:$D,4,FALSE)</f>
        <v>カウンターブレイクスキルを持っていれば
敵のカウンターを解除して攻撃ができます</v>
      </c>
      <c r="O1119" s="20" t="s">
        <v>24</v>
      </c>
      <c r="P1119">
        <v>33</v>
      </c>
    </row>
    <row r="1120" spans="1:16" x14ac:dyDescent="0.15">
      <c r="A1120" s="27" t="str">
        <f t="shared" si="80"/>
        <v>30010_1_30</v>
      </c>
      <c r="B1120" s="25" t="s">
        <v>34</v>
      </c>
      <c r="C1120" s="4">
        <v>30010</v>
      </c>
      <c r="D1120" s="3" t="str">
        <f ca="1">VLOOKUP($C1120,OFFSET([1]quests!$A$1,0,0,COUNTA([1]quests!$A:$A),MATCH(D$1,[1]quests!$1:$1,0)-MATCH($C$1,[1]quests!$1:$1,0)+1),MATCH(D$1,[1]quests!$1:$1,0)-MATCH($C$1,[1]quests!$1:$1,0)+1,FALSE)</f>
        <v>最大最凶</v>
      </c>
      <c r="E1120" s="3" t="str">
        <f ca="1">VLOOKUP($C1120,OFFSET([1]quests!$A$1,0,0,COUNTA([1]quests!$A:$A),MATCH(E$1,[1]quests!$1:$1,0)-MATCH($C$1,[1]quests!$1:$1,0)+1),MATCH(E$1,[1]quests!$1:$1,0)-MATCH($C$1,[1]quests!$1:$1,0)+1,FALSE)</f>
        <v>ドロップイベント3（マルチ専用）</v>
      </c>
      <c r="F1120" s="5">
        <v>1</v>
      </c>
      <c r="G1120" s="3" t="str">
        <f ca="1">VLOOKUP($C1120&amp;"_"&amp;$F1120,OFFSET([1]stages!$A$1,0,0,COUNTA([1]stages!$A:$A),MATCH(G$1,[1]stages!$2:$2,0)-MATCH("temp_stage",[1]stages!$2:$2,0)+1),MATCH(G$1,[1]stages!$2:$2,0)-MATCH("temp_stage",[1]stages!$2:$2,0)+1,FALSE)</f>
        <v>【上級】最大最凶</v>
      </c>
      <c r="H1120" s="3" t="str">
        <f ca="1">VLOOKUP($C1120&amp;"_"&amp;$F1120,OFFSET([1]stages!$A$1,0,0,COUNTA([1]stages!$A:$A),MATCH(H$1,[1]stages!$2:$2,0)-MATCH("temp_stage",[1]stages!$2:$2,0)+1),MATCH(H$1,[1]stages!$2:$2,0)-MATCH("temp_stage",[1]stages!$2:$2,0)+1,FALSE)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0" s="18">
        <v>0</v>
      </c>
      <c r="J1120" s="5">
        <f>COUNTIF(C$1:C1120,C1120)</f>
        <v>30</v>
      </c>
      <c r="K1120" s="34">
        <v>34</v>
      </c>
      <c r="L1120" s="5" t="s">
        <v>17</v>
      </c>
      <c r="M1120" s="38" t="str">
        <f>VLOOKUP(K1120,[2]stage_hints!$A:$C,3,FALSE)</f>
        <v>ステータスをスキルで下げられたら</v>
      </c>
      <c r="N1120" s="39" t="str">
        <f>VLOOKUP(K1120,[2]stage_hints!$A:$D,4,FALSE)</f>
        <v>ステータスダウンのスキルを受けたら
ステータスアップスキルで上書きしましょう</v>
      </c>
      <c r="O1120" s="20" t="s">
        <v>24</v>
      </c>
      <c r="P1120">
        <v>34</v>
      </c>
    </row>
    <row r="1121" spans="1:16" x14ac:dyDescent="0.15">
      <c r="A1121" s="27" t="str">
        <f t="shared" si="80"/>
        <v>30010_1_31</v>
      </c>
      <c r="B1121" s="25" t="s">
        <v>34</v>
      </c>
      <c r="C1121" s="4">
        <v>30010</v>
      </c>
      <c r="D1121" s="3" t="str">
        <f ca="1">VLOOKUP($C1121,OFFSET([1]quests!$A$1,0,0,COUNTA([1]quests!$A:$A),MATCH(D$1,[1]quests!$1:$1,0)-MATCH($C$1,[1]quests!$1:$1,0)+1),MATCH(D$1,[1]quests!$1:$1,0)-MATCH($C$1,[1]quests!$1:$1,0)+1,FALSE)</f>
        <v>最大最凶</v>
      </c>
      <c r="E1121" s="3" t="str">
        <f ca="1">VLOOKUP($C1121,OFFSET([1]quests!$A$1,0,0,COUNTA([1]quests!$A:$A),MATCH(E$1,[1]quests!$1:$1,0)-MATCH($C$1,[1]quests!$1:$1,0)+1),MATCH(E$1,[1]quests!$1:$1,0)-MATCH($C$1,[1]quests!$1:$1,0)+1,FALSE)</f>
        <v>ドロップイベント3（マルチ専用）</v>
      </c>
      <c r="F1121" s="5">
        <v>1</v>
      </c>
      <c r="G1121" s="3" t="str">
        <f ca="1">VLOOKUP($C1121&amp;"_"&amp;$F1121,OFFSET([1]stages!$A$1,0,0,COUNTA([1]stages!$A:$A),MATCH(G$1,[1]stages!$2:$2,0)-MATCH("temp_stage",[1]stages!$2:$2,0)+1),MATCH(G$1,[1]stages!$2:$2,0)-MATCH("temp_stage",[1]stages!$2:$2,0)+1,FALSE)</f>
        <v>【上級】最大最凶</v>
      </c>
      <c r="H1121" s="3" t="str">
        <f ca="1">VLOOKUP($C1121&amp;"_"&amp;$F1121,OFFSET([1]stages!$A$1,0,0,COUNTA([1]stages!$A:$A),MATCH(H$1,[1]stages!$2:$2,0)-MATCH("temp_stage",[1]stages!$2:$2,0)+1),MATCH(H$1,[1]stages!$2:$2,0)-MATCH("temp_stage",[1]stages!$2:$2,0)+1,FALSE)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1" s="18">
        <v>0</v>
      </c>
      <c r="J1121" s="5">
        <f>COUNTIF(C$1:C1121,C1121)</f>
        <v>31</v>
      </c>
      <c r="K1121" s="34">
        <v>35</v>
      </c>
      <c r="L1121" s="5" t="s">
        <v>17</v>
      </c>
      <c r="M1121" s="38" t="str">
        <f>VLOOKUP(K1121,[2]stage_hints!$A:$C,3,FALSE)</f>
        <v>敵のステータスがスキルで上がったら</v>
      </c>
      <c r="N1121" s="39" t="str">
        <f>VLOOKUP(K1121,[2]stage_hints!$A:$D,4,FALSE)</f>
        <v>敵のステータスがスキルでアップしたときは
ステータスダウンスキルで上書きしましょう</v>
      </c>
      <c r="O1121" s="20" t="s">
        <v>24</v>
      </c>
      <c r="P1121">
        <v>35</v>
      </c>
    </row>
    <row r="1122" spans="1:16" x14ac:dyDescent="0.15">
      <c r="A1122" s="27" t="str">
        <f t="shared" si="80"/>
        <v>30010_1_32</v>
      </c>
      <c r="B1122" s="25" t="s">
        <v>34</v>
      </c>
      <c r="C1122" s="4">
        <v>30010</v>
      </c>
      <c r="D1122" s="3" t="str">
        <f ca="1">VLOOKUP($C1122,OFFSET([1]quests!$A$1,0,0,COUNTA([1]quests!$A:$A),MATCH(D$1,[1]quests!$1:$1,0)-MATCH($C$1,[1]quests!$1:$1,0)+1),MATCH(D$1,[1]quests!$1:$1,0)-MATCH($C$1,[1]quests!$1:$1,0)+1,FALSE)</f>
        <v>最大最凶</v>
      </c>
      <c r="E1122" s="3" t="str">
        <f ca="1">VLOOKUP($C1122,OFFSET([1]quests!$A$1,0,0,COUNTA([1]quests!$A:$A),MATCH(E$1,[1]quests!$1:$1,0)-MATCH($C$1,[1]quests!$1:$1,0)+1),MATCH(E$1,[1]quests!$1:$1,0)-MATCH($C$1,[1]quests!$1:$1,0)+1,FALSE)</f>
        <v>ドロップイベント3（マルチ専用）</v>
      </c>
      <c r="F1122" s="5">
        <v>1</v>
      </c>
      <c r="G1122" s="3" t="str">
        <f ca="1">VLOOKUP($C1122&amp;"_"&amp;$F1122,OFFSET([1]stages!$A$1,0,0,COUNTA([1]stages!$A:$A),MATCH(G$1,[1]stages!$2:$2,0)-MATCH("temp_stage",[1]stages!$2:$2,0)+1),MATCH(G$1,[1]stages!$2:$2,0)-MATCH("temp_stage",[1]stages!$2:$2,0)+1,FALSE)</f>
        <v>【上級】最大最凶</v>
      </c>
      <c r="H1122" s="3" t="str">
        <f ca="1">VLOOKUP($C1122&amp;"_"&amp;$F1122,OFFSET([1]stages!$A$1,0,0,COUNTA([1]stages!$A:$A),MATCH(H$1,[1]stages!$2:$2,0)-MATCH("temp_stage",[1]stages!$2:$2,0)+1),MATCH(H$1,[1]stages!$2:$2,0)-MATCH("temp_stage",[1]stages!$2:$2,0)+1,FALSE)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2" s="18">
        <v>0</v>
      </c>
      <c r="J1122" s="5">
        <f>COUNTIF(C$1:C1122,C1122)</f>
        <v>32</v>
      </c>
      <c r="K1122" s="34">
        <v>36</v>
      </c>
      <c r="L1122" s="5" t="s">
        <v>17</v>
      </c>
      <c r="M1122" s="38" t="str">
        <f>VLOOKUP(K1122,[2]stage_hints!$A:$C,3,FALSE)</f>
        <v>チャレンジタワーのボス</v>
      </c>
      <c r="N1122" s="39" t="str">
        <f>VLOOKUP(K1122,[2]stage_hints!$A:$D,4,FALSE)</f>
        <v>チャレンジタワーでのみ登場するボスは
一定確率で獲得することができます</v>
      </c>
      <c r="O1122" s="20" t="s">
        <v>24</v>
      </c>
      <c r="P1122">
        <v>36</v>
      </c>
    </row>
    <row r="1123" spans="1:16" x14ac:dyDescent="0.15">
      <c r="A1123" s="27" t="str">
        <f t="shared" si="80"/>
        <v>30010_1_33</v>
      </c>
      <c r="B1123" s="25" t="s">
        <v>34</v>
      </c>
      <c r="C1123" s="4">
        <v>30010</v>
      </c>
      <c r="D1123" s="3" t="str">
        <f ca="1">VLOOKUP($C1123,OFFSET([1]quests!$A$1,0,0,COUNTA([1]quests!$A:$A),MATCH(D$1,[1]quests!$1:$1,0)-MATCH($C$1,[1]quests!$1:$1,0)+1),MATCH(D$1,[1]quests!$1:$1,0)-MATCH($C$1,[1]quests!$1:$1,0)+1,FALSE)</f>
        <v>最大最凶</v>
      </c>
      <c r="E1123" s="3" t="str">
        <f ca="1">VLOOKUP($C1123,OFFSET([1]quests!$A$1,0,0,COUNTA([1]quests!$A:$A),MATCH(E$1,[1]quests!$1:$1,0)-MATCH($C$1,[1]quests!$1:$1,0)+1),MATCH(E$1,[1]quests!$1:$1,0)-MATCH($C$1,[1]quests!$1:$1,0)+1,FALSE)</f>
        <v>ドロップイベント3（マルチ専用）</v>
      </c>
      <c r="F1123" s="5">
        <v>1</v>
      </c>
      <c r="G1123" s="3" t="str">
        <f ca="1">VLOOKUP($C1123&amp;"_"&amp;$F1123,OFFSET([1]stages!$A$1,0,0,COUNTA([1]stages!$A:$A),MATCH(G$1,[1]stages!$2:$2,0)-MATCH("temp_stage",[1]stages!$2:$2,0)+1),MATCH(G$1,[1]stages!$2:$2,0)-MATCH("temp_stage",[1]stages!$2:$2,0)+1,FALSE)</f>
        <v>【上級】最大最凶</v>
      </c>
      <c r="H1123" s="3" t="str">
        <f ca="1">VLOOKUP($C1123&amp;"_"&amp;$F1123,OFFSET([1]stages!$A$1,0,0,COUNTA([1]stages!$A:$A),MATCH(H$1,[1]stages!$2:$2,0)-MATCH("temp_stage",[1]stages!$2:$2,0)+1),MATCH(H$1,[1]stages!$2:$2,0)-MATCH("temp_stage",[1]stages!$2:$2,0)+1,FALSE)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3" s="18">
        <v>0</v>
      </c>
      <c r="J1123" s="5">
        <f>COUNTIF(C$1:C1123,C1123)</f>
        <v>33</v>
      </c>
      <c r="K1123" s="34">
        <v>37</v>
      </c>
      <c r="L1123" s="5" t="s">
        <v>17</v>
      </c>
      <c r="M1123" s="38" t="str">
        <f>VLOOKUP(K1123,[2]stage_hints!$A:$C,3,FALSE)</f>
        <v>限界突破値の引き継ぎ</v>
      </c>
      <c r="N1123" s="39" t="str">
        <f>VLOOKUP(K1123,[2]stage_hints!$A:$D,4,FALSE)</f>
        <v>同じユニットを強化で合成すると
限界突破値を引き継げます（覚醒前後も可）</v>
      </c>
      <c r="O1123" s="20" t="s">
        <v>24</v>
      </c>
      <c r="P1123">
        <v>37</v>
      </c>
    </row>
    <row r="1124" spans="1:16" x14ac:dyDescent="0.15">
      <c r="A1124" s="27" t="str">
        <f t="shared" ref="A1124:A1187" si="81">C1124&amp;"_"&amp;F1124&amp;"_"&amp;J1124</f>
        <v>30011_1_1</v>
      </c>
      <c r="B1124" s="25" t="s">
        <v>34</v>
      </c>
      <c r="C1124" s="4">
        <v>30011</v>
      </c>
      <c r="D1124" s="3" t="str">
        <f ca="1">VLOOKUP($C1124,OFFSET([1]quests!$A$1,0,0,COUNTA([1]quests!$A:$A),MATCH(D$1,[1]quests!$1:$1,0)-MATCH($C$1,[1]quests!$1:$1,0)+1),MATCH(D$1,[1]quests!$1:$1,0)-MATCH($C$1,[1]quests!$1:$1,0)+1,FALSE)</f>
        <v>気怠い巨読者</v>
      </c>
      <c r="E1124" s="3" t="str">
        <f ca="1">VLOOKUP($C1124,OFFSET([1]quests!$A$1,0,0,COUNTA([1]quests!$A:$A),MATCH(E$1,[1]quests!$1:$1,0)-MATCH($C$1,[1]quests!$1:$1,0)+1),MATCH(E$1,[1]quests!$1:$1,0)-MATCH($C$1,[1]quests!$1:$1,0)+1,FALSE)</f>
        <v>ドロップイベント3（マルチ専用）</v>
      </c>
      <c r="F1124" s="5">
        <v>1</v>
      </c>
      <c r="G1124" s="3" t="str">
        <f ca="1">VLOOKUP($C1124&amp;"_"&amp;$F1124,OFFSET([1]stages!$A$1,0,0,COUNTA([1]stages!$A:$A),MATCH(G$1,[1]stages!$2:$2,0)-MATCH("temp_stage",[1]stages!$2:$2,0)+1),MATCH(G$1,[1]stages!$2:$2,0)-MATCH("temp_stage",[1]stages!$2:$2,0)+1,FALSE)</f>
        <v>【上級】気怠い巨読者</v>
      </c>
      <c r="H1124" s="3" t="str">
        <f ca="1">VLOOKUP($C1124&amp;"_"&amp;$F1124,OFFSET([1]stages!$A$1,0,0,COUNTA([1]stages!$A:$A),MATCH(H$1,[1]stages!$2:$2,0)-MATCH("temp_stage",[1]stages!$2:$2,0)+1),MATCH(H$1,[1]stages!$2:$2,0)-MATCH("temp_stage",[1]stages!$2:$2,0)+1,FALSE)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4" s="18">
        <v>0</v>
      </c>
      <c r="J1124" s="5">
        <f>COUNTIF(C$1:C1124,C1124)</f>
        <v>1</v>
      </c>
      <c r="K1124" s="34">
        <v>3</v>
      </c>
      <c r="L1124" s="5" t="s">
        <v>17</v>
      </c>
      <c r="M1124" s="38" t="str">
        <f>VLOOKUP(K1124,[2]stage_hints!$A:$C,3,FALSE)</f>
        <v>ターゲット</v>
      </c>
      <c r="N1124" s="39" t="str">
        <f>VLOOKUP(K1124,[2]stage_hints!$A:$D,4,FALSE)</f>
        <v>敵ユニットをタップすると
その敵を狙い撃ちできます</v>
      </c>
      <c r="O1124" s="20" t="s">
        <v>24</v>
      </c>
      <c r="P1124">
        <v>3</v>
      </c>
    </row>
    <row r="1125" spans="1:16" x14ac:dyDescent="0.15">
      <c r="A1125" s="27" t="str">
        <f t="shared" si="81"/>
        <v>30011_1_2</v>
      </c>
      <c r="B1125" s="25" t="s">
        <v>34</v>
      </c>
      <c r="C1125" s="4">
        <v>30011</v>
      </c>
      <c r="D1125" s="3" t="str">
        <f ca="1">VLOOKUP($C1125,OFFSET([1]quests!$A$1,0,0,COUNTA([1]quests!$A:$A),MATCH(D$1,[1]quests!$1:$1,0)-MATCH($C$1,[1]quests!$1:$1,0)+1),MATCH(D$1,[1]quests!$1:$1,0)-MATCH($C$1,[1]quests!$1:$1,0)+1,FALSE)</f>
        <v>気怠い巨読者</v>
      </c>
      <c r="E1125" s="3" t="str">
        <f ca="1">VLOOKUP($C1125,OFFSET([1]quests!$A$1,0,0,COUNTA([1]quests!$A:$A),MATCH(E$1,[1]quests!$1:$1,0)-MATCH($C$1,[1]quests!$1:$1,0)+1),MATCH(E$1,[1]quests!$1:$1,0)-MATCH($C$1,[1]quests!$1:$1,0)+1,FALSE)</f>
        <v>ドロップイベント3（マルチ専用）</v>
      </c>
      <c r="F1125" s="5">
        <v>1</v>
      </c>
      <c r="G1125" s="3" t="str">
        <f ca="1">VLOOKUP($C1125&amp;"_"&amp;$F1125,OFFSET([1]stages!$A$1,0,0,COUNTA([1]stages!$A:$A),MATCH(G$1,[1]stages!$2:$2,0)-MATCH("temp_stage",[1]stages!$2:$2,0)+1),MATCH(G$1,[1]stages!$2:$2,0)-MATCH("temp_stage",[1]stages!$2:$2,0)+1,FALSE)</f>
        <v>【上級】気怠い巨読者</v>
      </c>
      <c r="H1125" s="3" t="str">
        <f ca="1">VLOOKUP($C1125&amp;"_"&amp;$F1125,OFFSET([1]stages!$A$1,0,0,COUNTA([1]stages!$A:$A),MATCH(H$1,[1]stages!$2:$2,0)-MATCH("temp_stage",[1]stages!$2:$2,0)+1),MATCH(H$1,[1]stages!$2:$2,0)-MATCH("temp_stage",[1]stages!$2:$2,0)+1,FALSE)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5" s="18">
        <v>0</v>
      </c>
      <c r="J1125" s="5">
        <f>COUNTIF(C$1:C1125,C1125)</f>
        <v>2</v>
      </c>
      <c r="K1125" s="34">
        <v>6</v>
      </c>
      <c r="L1125" s="5" t="s">
        <v>17</v>
      </c>
      <c r="M1125" s="38" t="str">
        <f>VLOOKUP(K1125,[2]stage_hints!$A:$C,3,FALSE)</f>
        <v>ユニット強化の属性ボーナス</v>
      </c>
      <c r="N1125" s="39" t="str">
        <f>VLOOKUP(K1125,[2]stage_hints!$A:$D,4,FALSE)</f>
        <v>同属性ユニットを強化素材にすると
経験値が多くもらえます</v>
      </c>
      <c r="O1125" s="20" t="s">
        <v>24</v>
      </c>
      <c r="P1125">
        <v>6</v>
      </c>
    </row>
    <row r="1126" spans="1:16" x14ac:dyDescent="0.15">
      <c r="A1126" s="27" t="str">
        <f t="shared" si="81"/>
        <v>30011_1_3</v>
      </c>
      <c r="B1126" s="25" t="s">
        <v>34</v>
      </c>
      <c r="C1126" s="4">
        <v>30011</v>
      </c>
      <c r="D1126" s="3" t="str">
        <f ca="1">VLOOKUP($C1126,OFFSET([1]quests!$A$1,0,0,COUNTA([1]quests!$A:$A),MATCH(D$1,[1]quests!$1:$1,0)-MATCH($C$1,[1]quests!$1:$1,0)+1),MATCH(D$1,[1]quests!$1:$1,0)-MATCH($C$1,[1]quests!$1:$1,0)+1,FALSE)</f>
        <v>気怠い巨読者</v>
      </c>
      <c r="E1126" s="3" t="str">
        <f ca="1">VLOOKUP($C1126,OFFSET([1]quests!$A$1,0,0,COUNTA([1]quests!$A:$A),MATCH(E$1,[1]quests!$1:$1,0)-MATCH($C$1,[1]quests!$1:$1,0)+1),MATCH(E$1,[1]quests!$1:$1,0)-MATCH($C$1,[1]quests!$1:$1,0)+1,FALSE)</f>
        <v>ドロップイベント3（マルチ専用）</v>
      </c>
      <c r="F1126" s="5">
        <v>1</v>
      </c>
      <c r="G1126" s="3" t="str">
        <f ca="1">VLOOKUP($C1126&amp;"_"&amp;$F1126,OFFSET([1]stages!$A$1,0,0,COUNTA([1]stages!$A:$A),MATCH(G$1,[1]stages!$2:$2,0)-MATCH("temp_stage",[1]stages!$2:$2,0)+1),MATCH(G$1,[1]stages!$2:$2,0)-MATCH("temp_stage",[1]stages!$2:$2,0)+1,FALSE)</f>
        <v>【上級】気怠い巨読者</v>
      </c>
      <c r="H1126" s="3" t="str">
        <f ca="1">VLOOKUP($C1126&amp;"_"&amp;$F1126,OFFSET([1]stages!$A$1,0,0,COUNTA([1]stages!$A:$A),MATCH(H$1,[1]stages!$2:$2,0)-MATCH("temp_stage",[1]stages!$2:$2,0)+1),MATCH(H$1,[1]stages!$2:$2,0)-MATCH("temp_stage",[1]stages!$2:$2,0)+1,FALSE)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6" s="18">
        <v>0</v>
      </c>
      <c r="J1126" s="5">
        <f>COUNTIF(C$1:C1126,C1126)</f>
        <v>3</v>
      </c>
      <c r="K1126" s="34">
        <v>7</v>
      </c>
      <c r="L1126" s="5" t="s">
        <v>17</v>
      </c>
      <c r="M1126" s="38" t="str">
        <f>VLOOKUP(K1126,[2]stage_hints!$A:$C,3,FALSE)</f>
        <v>メタルダックで経験値を獲得</v>
      </c>
      <c r="N1126" s="39" t="str">
        <f>VLOOKUP(K1126,[2]stage_hints!$A:$D,4,FALSE)</f>
        <v>「メタルなアヒル」を強化素材にすると
大量の経験値がもらえます</v>
      </c>
      <c r="O1126" s="20" t="s">
        <v>24</v>
      </c>
      <c r="P1126">
        <v>7</v>
      </c>
    </row>
    <row r="1127" spans="1:16" x14ac:dyDescent="0.15">
      <c r="A1127" s="27" t="str">
        <f t="shared" si="81"/>
        <v>30011_1_4</v>
      </c>
      <c r="B1127" s="25" t="s">
        <v>34</v>
      </c>
      <c r="C1127" s="4">
        <v>30011</v>
      </c>
      <c r="D1127" s="3" t="str">
        <f ca="1">VLOOKUP($C1127,OFFSET([1]quests!$A$1,0,0,COUNTA([1]quests!$A:$A),MATCH(D$1,[1]quests!$1:$1,0)-MATCH($C$1,[1]quests!$1:$1,0)+1),MATCH(D$1,[1]quests!$1:$1,0)-MATCH($C$1,[1]quests!$1:$1,0)+1,FALSE)</f>
        <v>気怠い巨読者</v>
      </c>
      <c r="E1127" s="3" t="str">
        <f ca="1">VLOOKUP($C1127,OFFSET([1]quests!$A$1,0,0,COUNTA([1]quests!$A:$A),MATCH(E$1,[1]quests!$1:$1,0)-MATCH($C$1,[1]quests!$1:$1,0)+1),MATCH(E$1,[1]quests!$1:$1,0)-MATCH($C$1,[1]quests!$1:$1,0)+1,FALSE)</f>
        <v>ドロップイベント3（マルチ専用）</v>
      </c>
      <c r="F1127" s="5">
        <v>1</v>
      </c>
      <c r="G1127" s="3" t="str">
        <f ca="1">VLOOKUP($C1127&amp;"_"&amp;$F1127,OFFSET([1]stages!$A$1,0,0,COUNTA([1]stages!$A:$A),MATCH(G$1,[1]stages!$2:$2,0)-MATCH("temp_stage",[1]stages!$2:$2,0)+1),MATCH(G$1,[1]stages!$2:$2,0)-MATCH("temp_stage",[1]stages!$2:$2,0)+1,FALSE)</f>
        <v>【上級】気怠い巨読者</v>
      </c>
      <c r="H1127" s="3" t="str">
        <f ca="1">VLOOKUP($C1127&amp;"_"&amp;$F1127,OFFSET([1]stages!$A$1,0,0,COUNTA([1]stages!$A:$A),MATCH(H$1,[1]stages!$2:$2,0)-MATCH("temp_stage",[1]stages!$2:$2,0)+1),MATCH(H$1,[1]stages!$2:$2,0)-MATCH("temp_stage",[1]stages!$2:$2,0)+1,FALSE)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7" s="18">
        <v>0</v>
      </c>
      <c r="J1127" s="5">
        <f>COUNTIF(C$1:C1127,C1127)</f>
        <v>4</v>
      </c>
      <c r="K1127" s="34">
        <v>8</v>
      </c>
      <c r="L1127" s="5" t="s">
        <v>17</v>
      </c>
      <c r="M1127" s="38" t="str">
        <f>VLOOKUP(K1127,[2]stage_hints!$A:$C,3,FALSE)</f>
        <v>ゲリラクエストは要チェック</v>
      </c>
      <c r="N1127" s="39" t="str">
        <f>VLOOKUP(K1127,[2]stage_hints!$A:$D,4,FALSE)</f>
        <v>時間限定の「アヒル捕獲作戦」では
経験値素材ユニットが多く手に入ります</v>
      </c>
      <c r="O1127" s="20" t="s">
        <v>24</v>
      </c>
      <c r="P1127">
        <v>8</v>
      </c>
    </row>
    <row r="1128" spans="1:16" x14ac:dyDescent="0.15">
      <c r="A1128" s="27" t="str">
        <f t="shared" si="81"/>
        <v>30011_1_5</v>
      </c>
      <c r="B1128" s="25" t="s">
        <v>34</v>
      </c>
      <c r="C1128" s="4">
        <v>30011</v>
      </c>
      <c r="D1128" s="3" t="str">
        <f ca="1">VLOOKUP($C1128,OFFSET([1]quests!$A$1,0,0,COUNTA([1]quests!$A:$A),MATCH(D$1,[1]quests!$1:$1,0)-MATCH($C$1,[1]quests!$1:$1,0)+1),MATCH(D$1,[1]quests!$1:$1,0)-MATCH($C$1,[1]quests!$1:$1,0)+1,FALSE)</f>
        <v>気怠い巨読者</v>
      </c>
      <c r="E1128" s="3" t="str">
        <f ca="1">VLOOKUP($C1128,OFFSET([1]quests!$A$1,0,0,COUNTA([1]quests!$A:$A),MATCH(E$1,[1]quests!$1:$1,0)-MATCH($C$1,[1]quests!$1:$1,0)+1),MATCH(E$1,[1]quests!$1:$1,0)-MATCH($C$1,[1]quests!$1:$1,0)+1,FALSE)</f>
        <v>ドロップイベント3（マルチ専用）</v>
      </c>
      <c r="F1128" s="5">
        <v>1</v>
      </c>
      <c r="G1128" s="3" t="str">
        <f ca="1">VLOOKUP($C1128&amp;"_"&amp;$F1128,OFFSET([1]stages!$A$1,0,0,COUNTA([1]stages!$A:$A),MATCH(G$1,[1]stages!$2:$2,0)-MATCH("temp_stage",[1]stages!$2:$2,0)+1),MATCH(G$1,[1]stages!$2:$2,0)-MATCH("temp_stage",[1]stages!$2:$2,0)+1,FALSE)</f>
        <v>【上級】気怠い巨読者</v>
      </c>
      <c r="H1128" s="3" t="str">
        <f ca="1">VLOOKUP($C1128&amp;"_"&amp;$F1128,OFFSET([1]stages!$A$1,0,0,COUNTA([1]stages!$A:$A),MATCH(H$1,[1]stages!$2:$2,0)-MATCH("temp_stage",[1]stages!$2:$2,0)+1),MATCH(H$1,[1]stages!$2:$2,0)-MATCH("temp_stage",[1]stages!$2:$2,0)+1,FALSE)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8" s="18">
        <v>0</v>
      </c>
      <c r="J1128" s="5">
        <f>COUNTIF(C$1:C1128,C1128)</f>
        <v>5</v>
      </c>
      <c r="K1128" s="34">
        <v>9</v>
      </c>
      <c r="L1128" s="5" t="s">
        <v>17</v>
      </c>
      <c r="M1128" s="38" t="str">
        <f>VLOOKUP(K1128,[2]stage_hints!$A:$C,3,FALSE)</f>
        <v>ゴールドダックでビットを獲得</v>
      </c>
      <c r="N1128" s="39" t="str">
        <f>VLOOKUP(K1128,[2]stage_hints!$A:$D,4,FALSE)</f>
        <v>「ゴールドなアヒル」を売却すると
大量のビットがもらえます</v>
      </c>
      <c r="O1128" s="20" t="s">
        <v>24</v>
      </c>
      <c r="P1128">
        <v>9</v>
      </c>
    </row>
    <row r="1129" spans="1:16" x14ac:dyDescent="0.15">
      <c r="A1129" s="27" t="str">
        <f t="shared" si="81"/>
        <v>30011_1_6</v>
      </c>
      <c r="B1129" s="25" t="s">
        <v>34</v>
      </c>
      <c r="C1129" s="4">
        <v>30011</v>
      </c>
      <c r="D1129" s="3" t="str">
        <f ca="1">VLOOKUP($C1129,OFFSET([1]quests!$A$1,0,0,COUNTA([1]quests!$A:$A),MATCH(D$1,[1]quests!$1:$1,0)-MATCH($C$1,[1]quests!$1:$1,0)+1),MATCH(D$1,[1]quests!$1:$1,0)-MATCH($C$1,[1]quests!$1:$1,0)+1,FALSE)</f>
        <v>気怠い巨読者</v>
      </c>
      <c r="E1129" s="3" t="str">
        <f ca="1">VLOOKUP($C1129,OFFSET([1]quests!$A$1,0,0,COUNTA([1]quests!$A:$A),MATCH(E$1,[1]quests!$1:$1,0)-MATCH($C$1,[1]quests!$1:$1,0)+1),MATCH(E$1,[1]quests!$1:$1,0)-MATCH($C$1,[1]quests!$1:$1,0)+1,FALSE)</f>
        <v>ドロップイベント3（マルチ専用）</v>
      </c>
      <c r="F1129" s="5">
        <v>1</v>
      </c>
      <c r="G1129" s="3" t="str">
        <f ca="1">VLOOKUP($C1129&amp;"_"&amp;$F1129,OFFSET([1]stages!$A$1,0,0,COUNTA([1]stages!$A:$A),MATCH(G$1,[1]stages!$2:$2,0)-MATCH("temp_stage",[1]stages!$2:$2,0)+1),MATCH(G$1,[1]stages!$2:$2,0)-MATCH("temp_stage",[1]stages!$2:$2,0)+1,FALSE)</f>
        <v>【上級】気怠い巨読者</v>
      </c>
      <c r="H1129" s="3" t="str">
        <f ca="1">VLOOKUP($C1129&amp;"_"&amp;$F1129,OFFSET([1]stages!$A$1,0,0,COUNTA([1]stages!$A:$A),MATCH(H$1,[1]stages!$2:$2,0)-MATCH("temp_stage",[1]stages!$2:$2,0)+1),MATCH(H$1,[1]stages!$2:$2,0)-MATCH("temp_stage",[1]stages!$2:$2,0)+1,FALSE)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29" s="18">
        <v>0</v>
      </c>
      <c r="J1129" s="5">
        <f>COUNTIF(C$1:C1129,C1129)</f>
        <v>6</v>
      </c>
      <c r="K1129" s="34">
        <v>10</v>
      </c>
      <c r="L1129" s="5" t="s">
        <v>17</v>
      </c>
      <c r="M1129" s="38" t="str">
        <f>VLOOKUP(K1129,[2]stage_hints!$A:$C,3,FALSE)</f>
        <v>土日に大量のビットを獲得</v>
      </c>
      <c r="N1129" s="39" t="str">
        <f>VLOOKUP(K1129,[2]stage_hints!$A:$D,4,FALSE)</f>
        <v>土日限定の「ゴールドカジノ」では
売却素材ユニットが多く手に入ります</v>
      </c>
      <c r="O1129" s="20" t="s">
        <v>24</v>
      </c>
      <c r="P1129">
        <v>10</v>
      </c>
    </row>
    <row r="1130" spans="1:16" x14ac:dyDescent="0.15">
      <c r="A1130" s="27" t="str">
        <f t="shared" si="81"/>
        <v>30011_1_7</v>
      </c>
      <c r="B1130" s="25" t="s">
        <v>34</v>
      </c>
      <c r="C1130" s="4">
        <v>30011</v>
      </c>
      <c r="D1130" s="3" t="str">
        <f ca="1">VLOOKUP($C1130,OFFSET([1]quests!$A$1,0,0,COUNTA([1]quests!$A:$A),MATCH(D$1,[1]quests!$1:$1,0)-MATCH($C$1,[1]quests!$1:$1,0)+1),MATCH(D$1,[1]quests!$1:$1,0)-MATCH($C$1,[1]quests!$1:$1,0)+1,FALSE)</f>
        <v>気怠い巨読者</v>
      </c>
      <c r="E1130" s="3" t="str">
        <f ca="1">VLOOKUP($C1130,OFFSET([1]quests!$A$1,0,0,COUNTA([1]quests!$A:$A),MATCH(E$1,[1]quests!$1:$1,0)-MATCH($C$1,[1]quests!$1:$1,0)+1),MATCH(E$1,[1]quests!$1:$1,0)-MATCH($C$1,[1]quests!$1:$1,0)+1,FALSE)</f>
        <v>ドロップイベント3（マルチ専用）</v>
      </c>
      <c r="F1130" s="5">
        <v>1</v>
      </c>
      <c r="G1130" s="3" t="str">
        <f ca="1">VLOOKUP($C1130&amp;"_"&amp;$F1130,OFFSET([1]stages!$A$1,0,0,COUNTA([1]stages!$A:$A),MATCH(G$1,[1]stages!$2:$2,0)-MATCH("temp_stage",[1]stages!$2:$2,0)+1),MATCH(G$1,[1]stages!$2:$2,0)-MATCH("temp_stage",[1]stages!$2:$2,0)+1,FALSE)</f>
        <v>【上級】気怠い巨読者</v>
      </c>
      <c r="H1130" s="3" t="str">
        <f ca="1">VLOOKUP($C1130&amp;"_"&amp;$F1130,OFFSET([1]stages!$A$1,0,0,COUNTA([1]stages!$A:$A),MATCH(H$1,[1]stages!$2:$2,0)-MATCH("temp_stage",[1]stages!$2:$2,0)+1),MATCH(H$1,[1]stages!$2:$2,0)-MATCH("temp_stage",[1]stages!$2:$2,0)+1,FALSE)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0" s="18">
        <v>0</v>
      </c>
      <c r="J1130" s="5">
        <f>COUNTIF(C$1:C1130,C1130)</f>
        <v>7</v>
      </c>
      <c r="K1130" s="34">
        <v>11</v>
      </c>
      <c r="L1130" s="5" t="s">
        <v>17</v>
      </c>
      <c r="M1130" s="38" t="str">
        <f>VLOOKUP(K1130,[2]stage_hints!$A:$C,3,FALSE)</f>
        <v>ランク解放クエスト</v>
      </c>
      <c r="N1130" s="39" t="str">
        <f>VLOOKUP(K1130,[2]stage_hints!$A:$D,4,FALSE)</f>
        <v>一定ランクに到達すると
報酬付きのランク開放クエストが現れます</v>
      </c>
      <c r="O1130" s="20" t="s">
        <v>24</v>
      </c>
      <c r="P1130">
        <v>11</v>
      </c>
    </row>
    <row r="1131" spans="1:16" x14ac:dyDescent="0.15">
      <c r="A1131" s="27" t="str">
        <f t="shared" si="81"/>
        <v>30011_1_8</v>
      </c>
      <c r="B1131" s="25" t="s">
        <v>34</v>
      </c>
      <c r="C1131" s="4">
        <v>30011</v>
      </c>
      <c r="D1131" s="3" t="str">
        <f ca="1">VLOOKUP($C1131,OFFSET([1]quests!$A$1,0,0,COUNTA([1]quests!$A:$A),MATCH(D$1,[1]quests!$1:$1,0)-MATCH($C$1,[1]quests!$1:$1,0)+1),MATCH(D$1,[1]quests!$1:$1,0)-MATCH($C$1,[1]quests!$1:$1,0)+1,FALSE)</f>
        <v>気怠い巨読者</v>
      </c>
      <c r="E1131" s="3" t="str">
        <f ca="1">VLOOKUP($C1131,OFFSET([1]quests!$A$1,0,0,COUNTA([1]quests!$A:$A),MATCH(E$1,[1]quests!$1:$1,0)-MATCH($C$1,[1]quests!$1:$1,0)+1),MATCH(E$1,[1]quests!$1:$1,0)-MATCH($C$1,[1]quests!$1:$1,0)+1,FALSE)</f>
        <v>ドロップイベント3（マルチ専用）</v>
      </c>
      <c r="F1131" s="5">
        <v>1</v>
      </c>
      <c r="G1131" s="3" t="str">
        <f ca="1">VLOOKUP($C1131&amp;"_"&amp;$F1131,OFFSET([1]stages!$A$1,0,0,COUNTA([1]stages!$A:$A),MATCH(G$1,[1]stages!$2:$2,0)-MATCH("temp_stage",[1]stages!$2:$2,0)+1),MATCH(G$1,[1]stages!$2:$2,0)-MATCH("temp_stage",[1]stages!$2:$2,0)+1,FALSE)</f>
        <v>【上級】気怠い巨読者</v>
      </c>
      <c r="H1131" s="3" t="str">
        <f ca="1">VLOOKUP($C1131&amp;"_"&amp;$F1131,OFFSET([1]stages!$A$1,0,0,COUNTA([1]stages!$A:$A),MATCH(H$1,[1]stages!$2:$2,0)-MATCH("temp_stage",[1]stages!$2:$2,0)+1),MATCH(H$1,[1]stages!$2:$2,0)-MATCH("temp_stage",[1]stages!$2:$2,0)+1,FALSE)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1" s="18">
        <v>0</v>
      </c>
      <c r="J1131" s="5">
        <f>COUNTIF(C$1:C1131,C1131)</f>
        <v>8</v>
      </c>
      <c r="K1131" s="34">
        <v>12</v>
      </c>
      <c r="L1131" s="5" t="s">
        <v>17</v>
      </c>
      <c r="M1131" s="38" t="str">
        <f>VLOOKUP(K1131,[2]stage_hints!$A:$C,3,FALSE)</f>
        <v>ユニットのお気に入り登録</v>
      </c>
      <c r="N1131" s="39" t="str">
        <f>VLOOKUP(K1131,[2]stage_hints!$A:$D,4,FALSE)</f>
        <v>大事なユニットを誤って消さないように
フォルダから「お気に入り登録」しましょう</v>
      </c>
      <c r="O1131" s="20" t="s">
        <v>24</v>
      </c>
      <c r="P1131">
        <v>12</v>
      </c>
    </row>
    <row r="1132" spans="1:16" x14ac:dyDescent="0.15">
      <c r="A1132" s="27" t="str">
        <f t="shared" si="81"/>
        <v>30011_1_9</v>
      </c>
      <c r="B1132" s="25" t="s">
        <v>34</v>
      </c>
      <c r="C1132" s="4">
        <v>30011</v>
      </c>
      <c r="D1132" s="3" t="str">
        <f ca="1">VLOOKUP($C1132,OFFSET([1]quests!$A$1,0,0,COUNTA([1]quests!$A:$A),MATCH(D$1,[1]quests!$1:$1,0)-MATCH($C$1,[1]quests!$1:$1,0)+1),MATCH(D$1,[1]quests!$1:$1,0)-MATCH($C$1,[1]quests!$1:$1,0)+1,FALSE)</f>
        <v>気怠い巨読者</v>
      </c>
      <c r="E1132" s="3" t="str">
        <f ca="1">VLOOKUP($C1132,OFFSET([1]quests!$A$1,0,0,COUNTA([1]quests!$A:$A),MATCH(E$1,[1]quests!$1:$1,0)-MATCH($C$1,[1]quests!$1:$1,0)+1),MATCH(E$1,[1]quests!$1:$1,0)-MATCH($C$1,[1]quests!$1:$1,0)+1,FALSE)</f>
        <v>ドロップイベント3（マルチ専用）</v>
      </c>
      <c r="F1132" s="5">
        <v>1</v>
      </c>
      <c r="G1132" s="3" t="str">
        <f ca="1">VLOOKUP($C1132&amp;"_"&amp;$F1132,OFFSET([1]stages!$A$1,0,0,COUNTA([1]stages!$A:$A),MATCH(G$1,[1]stages!$2:$2,0)-MATCH("temp_stage",[1]stages!$2:$2,0)+1),MATCH(G$1,[1]stages!$2:$2,0)-MATCH("temp_stage",[1]stages!$2:$2,0)+1,FALSE)</f>
        <v>【上級】気怠い巨読者</v>
      </c>
      <c r="H1132" s="3" t="str">
        <f ca="1">VLOOKUP($C1132&amp;"_"&amp;$F1132,OFFSET([1]stages!$A$1,0,0,COUNTA([1]stages!$A:$A),MATCH(H$1,[1]stages!$2:$2,0)-MATCH("temp_stage",[1]stages!$2:$2,0)+1),MATCH(H$1,[1]stages!$2:$2,0)-MATCH("temp_stage",[1]stages!$2:$2,0)+1,FALSE)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2" s="18">
        <v>0</v>
      </c>
      <c r="J1132" s="5">
        <f>COUNTIF(C$1:C1132,C1132)</f>
        <v>9</v>
      </c>
      <c r="K1132" s="34">
        <v>13</v>
      </c>
      <c r="L1132" s="5" t="s">
        <v>17</v>
      </c>
      <c r="M1132" s="38" t="str">
        <f>VLOOKUP(K1132,[2]stage_hints!$A:$C,3,FALSE)</f>
        <v>ユニットの覚醒</v>
      </c>
      <c r="N1132" s="39" t="str">
        <f>VLOOKUP(K1132,[2]stage_hints!$A:$D,4,FALSE)</f>
        <v>ユニットを覚醒させると
比べものにならない強さが手に入ります</v>
      </c>
      <c r="O1132" s="20" t="s">
        <v>24</v>
      </c>
      <c r="P1132">
        <v>13</v>
      </c>
    </row>
    <row r="1133" spans="1:16" x14ac:dyDescent="0.15">
      <c r="A1133" s="27" t="str">
        <f t="shared" si="81"/>
        <v>30011_1_10</v>
      </c>
      <c r="B1133" s="25" t="s">
        <v>34</v>
      </c>
      <c r="C1133" s="4">
        <v>30011</v>
      </c>
      <c r="D1133" s="3" t="str">
        <f ca="1">VLOOKUP($C1133,OFFSET([1]quests!$A$1,0,0,COUNTA([1]quests!$A:$A),MATCH(D$1,[1]quests!$1:$1,0)-MATCH($C$1,[1]quests!$1:$1,0)+1),MATCH(D$1,[1]quests!$1:$1,0)-MATCH($C$1,[1]quests!$1:$1,0)+1,FALSE)</f>
        <v>気怠い巨読者</v>
      </c>
      <c r="E1133" s="3" t="str">
        <f ca="1">VLOOKUP($C1133,OFFSET([1]quests!$A$1,0,0,COUNTA([1]quests!$A:$A),MATCH(E$1,[1]quests!$1:$1,0)-MATCH($C$1,[1]quests!$1:$1,0)+1),MATCH(E$1,[1]quests!$1:$1,0)-MATCH($C$1,[1]quests!$1:$1,0)+1,FALSE)</f>
        <v>ドロップイベント3（マルチ専用）</v>
      </c>
      <c r="F1133" s="5">
        <v>1</v>
      </c>
      <c r="G1133" s="3" t="str">
        <f ca="1">VLOOKUP($C1133&amp;"_"&amp;$F1133,OFFSET([1]stages!$A$1,0,0,COUNTA([1]stages!$A:$A),MATCH(G$1,[1]stages!$2:$2,0)-MATCH("temp_stage",[1]stages!$2:$2,0)+1),MATCH(G$1,[1]stages!$2:$2,0)-MATCH("temp_stage",[1]stages!$2:$2,0)+1,FALSE)</f>
        <v>【上級】気怠い巨読者</v>
      </c>
      <c r="H1133" s="3" t="str">
        <f ca="1">VLOOKUP($C1133&amp;"_"&amp;$F1133,OFFSET([1]stages!$A$1,0,0,COUNTA([1]stages!$A:$A),MATCH(H$1,[1]stages!$2:$2,0)-MATCH("temp_stage",[1]stages!$2:$2,0)+1),MATCH(H$1,[1]stages!$2:$2,0)-MATCH("temp_stage",[1]stages!$2:$2,0)+1,FALSE)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3" s="18">
        <v>0</v>
      </c>
      <c r="J1133" s="5">
        <f>COUNTIF(C$1:C1133,C1133)</f>
        <v>10</v>
      </c>
      <c r="K1133" s="34">
        <v>14</v>
      </c>
      <c r="L1133" s="5" t="s">
        <v>17</v>
      </c>
      <c r="M1133" s="38" t="str">
        <f>VLOOKUP(K1133,[2]stage_hints!$A:$C,3,FALSE)</f>
        <v>覚醒するにはレベルを最大に</v>
      </c>
      <c r="N1133" s="39" t="str">
        <f>VLOOKUP(K1133,[2]stage_hints!$A:$D,4,FALSE)</f>
        <v>覚醒するにはユニットのレベルを
最大まで上げる必要があります</v>
      </c>
      <c r="O1133" s="20" t="s">
        <v>24</v>
      </c>
      <c r="P1133">
        <v>14</v>
      </c>
    </row>
    <row r="1134" spans="1:16" x14ac:dyDescent="0.15">
      <c r="A1134" s="27" t="str">
        <f t="shared" si="81"/>
        <v>30011_1_11</v>
      </c>
      <c r="B1134" s="25" t="s">
        <v>34</v>
      </c>
      <c r="C1134" s="4">
        <v>30011</v>
      </c>
      <c r="D1134" s="3" t="str">
        <f ca="1">VLOOKUP($C1134,OFFSET([1]quests!$A$1,0,0,COUNTA([1]quests!$A:$A),MATCH(D$1,[1]quests!$1:$1,0)-MATCH($C$1,[1]quests!$1:$1,0)+1),MATCH(D$1,[1]quests!$1:$1,0)-MATCH($C$1,[1]quests!$1:$1,0)+1,FALSE)</f>
        <v>気怠い巨読者</v>
      </c>
      <c r="E1134" s="3" t="str">
        <f ca="1">VLOOKUP($C1134,OFFSET([1]quests!$A$1,0,0,COUNTA([1]quests!$A:$A),MATCH(E$1,[1]quests!$1:$1,0)-MATCH($C$1,[1]quests!$1:$1,0)+1),MATCH(E$1,[1]quests!$1:$1,0)-MATCH($C$1,[1]quests!$1:$1,0)+1,FALSE)</f>
        <v>ドロップイベント3（マルチ専用）</v>
      </c>
      <c r="F1134" s="5">
        <v>1</v>
      </c>
      <c r="G1134" s="3" t="str">
        <f ca="1">VLOOKUP($C1134&amp;"_"&amp;$F1134,OFFSET([1]stages!$A$1,0,0,COUNTA([1]stages!$A:$A),MATCH(G$1,[1]stages!$2:$2,0)-MATCH("temp_stage",[1]stages!$2:$2,0)+1),MATCH(G$1,[1]stages!$2:$2,0)-MATCH("temp_stage",[1]stages!$2:$2,0)+1,FALSE)</f>
        <v>【上級】気怠い巨読者</v>
      </c>
      <c r="H1134" s="3" t="str">
        <f ca="1">VLOOKUP($C1134&amp;"_"&amp;$F1134,OFFSET([1]stages!$A$1,0,0,COUNTA([1]stages!$A:$A),MATCH(H$1,[1]stages!$2:$2,0)-MATCH("temp_stage",[1]stages!$2:$2,0)+1),MATCH(H$1,[1]stages!$2:$2,0)-MATCH("temp_stage",[1]stages!$2:$2,0)+1,FALSE)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4" s="18">
        <v>0</v>
      </c>
      <c r="J1134" s="5">
        <f>COUNTIF(C$1:C1134,C1134)</f>
        <v>11</v>
      </c>
      <c r="K1134" s="34">
        <v>15</v>
      </c>
      <c r="L1134" s="5" t="s">
        <v>17</v>
      </c>
      <c r="M1134" s="38" t="str">
        <f>VLOOKUP(K1134,[2]stage_hints!$A:$C,3,FALSE)</f>
        <v>覚醒素材を獲得</v>
      </c>
      <c r="N1134" s="39" t="str">
        <f>VLOOKUP(K1134,[2]stage_hints!$A:$D,4,FALSE)</f>
        <v>「曜日クエスト」では
ユニットの覚醒に必要な素材が手に入ります</v>
      </c>
      <c r="O1134" s="20" t="s">
        <v>24</v>
      </c>
      <c r="P1134">
        <v>15</v>
      </c>
    </row>
    <row r="1135" spans="1:16" x14ac:dyDescent="0.15">
      <c r="A1135" s="27" t="str">
        <f t="shared" si="81"/>
        <v>30011_1_12</v>
      </c>
      <c r="B1135" s="25" t="s">
        <v>34</v>
      </c>
      <c r="C1135" s="4">
        <v>30011</v>
      </c>
      <c r="D1135" s="3" t="str">
        <f ca="1">VLOOKUP($C1135,OFFSET([1]quests!$A$1,0,0,COUNTA([1]quests!$A:$A),MATCH(D$1,[1]quests!$1:$1,0)-MATCH($C$1,[1]quests!$1:$1,0)+1),MATCH(D$1,[1]quests!$1:$1,0)-MATCH($C$1,[1]quests!$1:$1,0)+1,FALSE)</f>
        <v>気怠い巨読者</v>
      </c>
      <c r="E1135" s="3" t="str">
        <f ca="1">VLOOKUP($C1135,OFFSET([1]quests!$A$1,0,0,COUNTA([1]quests!$A:$A),MATCH(E$1,[1]quests!$1:$1,0)-MATCH($C$1,[1]quests!$1:$1,0)+1),MATCH(E$1,[1]quests!$1:$1,0)-MATCH($C$1,[1]quests!$1:$1,0)+1,FALSE)</f>
        <v>ドロップイベント3（マルチ専用）</v>
      </c>
      <c r="F1135" s="5">
        <v>1</v>
      </c>
      <c r="G1135" s="3" t="str">
        <f ca="1">VLOOKUP($C1135&amp;"_"&amp;$F1135,OFFSET([1]stages!$A$1,0,0,COUNTA([1]stages!$A:$A),MATCH(G$1,[1]stages!$2:$2,0)-MATCH("temp_stage",[1]stages!$2:$2,0)+1),MATCH(G$1,[1]stages!$2:$2,0)-MATCH("temp_stage",[1]stages!$2:$2,0)+1,FALSE)</f>
        <v>【上級】気怠い巨読者</v>
      </c>
      <c r="H1135" s="3" t="str">
        <f ca="1">VLOOKUP($C1135&amp;"_"&amp;$F1135,OFFSET([1]stages!$A$1,0,0,COUNTA([1]stages!$A:$A),MATCH(H$1,[1]stages!$2:$2,0)-MATCH("temp_stage",[1]stages!$2:$2,0)+1),MATCH(H$1,[1]stages!$2:$2,0)-MATCH("temp_stage",[1]stages!$2:$2,0)+1,FALSE)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5" s="18">
        <v>0</v>
      </c>
      <c r="J1135" s="5">
        <f>COUNTIF(C$1:C1135,C1135)</f>
        <v>12</v>
      </c>
      <c r="K1135" s="34">
        <v>16</v>
      </c>
      <c r="L1135" s="5" t="s">
        <v>17</v>
      </c>
      <c r="M1135" s="38" t="str">
        <f>VLOOKUP(K1135,[2]stage_hints!$A:$C,3,FALSE)</f>
        <v>マルチプレイのメリット（その1）</v>
      </c>
      <c r="N1135" s="39" t="str">
        <f>VLOOKUP(K1135,[2]stage_hints!$A:$D,4,FALSE)</f>
        <v>他のプレイヤーとマルチプレイで遊ぶと
ポリゴンがもらえます（100人まで）</v>
      </c>
      <c r="O1135" s="20" t="s">
        <v>24</v>
      </c>
      <c r="P1135">
        <v>16</v>
      </c>
    </row>
    <row r="1136" spans="1:16" x14ac:dyDescent="0.15">
      <c r="A1136" s="27" t="str">
        <f t="shared" si="81"/>
        <v>30011_1_13</v>
      </c>
      <c r="B1136" s="25" t="s">
        <v>34</v>
      </c>
      <c r="C1136" s="4">
        <v>30011</v>
      </c>
      <c r="D1136" s="3" t="str">
        <f ca="1">VLOOKUP($C1136,OFFSET([1]quests!$A$1,0,0,COUNTA([1]quests!$A:$A),MATCH(D$1,[1]quests!$1:$1,0)-MATCH($C$1,[1]quests!$1:$1,0)+1),MATCH(D$1,[1]quests!$1:$1,0)-MATCH($C$1,[1]quests!$1:$1,0)+1,FALSE)</f>
        <v>気怠い巨読者</v>
      </c>
      <c r="E1136" s="3" t="str">
        <f ca="1">VLOOKUP($C1136,OFFSET([1]quests!$A$1,0,0,COUNTA([1]quests!$A:$A),MATCH(E$1,[1]quests!$1:$1,0)-MATCH($C$1,[1]quests!$1:$1,0)+1),MATCH(E$1,[1]quests!$1:$1,0)-MATCH($C$1,[1]quests!$1:$1,0)+1,FALSE)</f>
        <v>ドロップイベント3（マルチ専用）</v>
      </c>
      <c r="F1136" s="5">
        <v>1</v>
      </c>
      <c r="G1136" s="3" t="str">
        <f ca="1">VLOOKUP($C1136&amp;"_"&amp;$F1136,OFFSET([1]stages!$A$1,0,0,COUNTA([1]stages!$A:$A),MATCH(G$1,[1]stages!$2:$2,0)-MATCH("temp_stage",[1]stages!$2:$2,0)+1),MATCH(G$1,[1]stages!$2:$2,0)-MATCH("temp_stage",[1]stages!$2:$2,0)+1,FALSE)</f>
        <v>【上級】気怠い巨読者</v>
      </c>
      <c r="H1136" s="3" t="str">
        <f ca="1">VLOOKUP($C1136&amp;"_"&amp;$F1136,OFFSET([1]stages!$A$1,0,0,COUNTA([1]stages!$A:$A),MATCH(H$1,[1]stages!$2:$2,0)-MATCH("temp_stage",[1]stages!$2:$2,0)+1),MATCH(H$1,[1]stages!$2:$2,0)-MATCH("temp_stage",[1]stages!$2:$2,0)+1,FALSE)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6" s="18">
        <v>0</v>
      </c>
      <c r="J1136" s="5">
        <f>COUNTIF(C$1:C1136,C1136)</f>
        <v>13</v>
      </c>
      <c r="K1136" s="34">
        <v>17</v>
      </c>
      <c r="L1136" s="5" t="s">
        <v>17</v>
      </c>
      <c r="M1136" s="38" t="str">
        <f>VLOOKUP(K1136,[2]stage_hints!$A:$C,3,FALSE)</f>
        <v>リンクガチャ</v>
      </c>
      <c r="N1136" s="39" t="str">
        <f>VLOOKUP(K1136,[2]stage_hints!$A:$D,4,FALSE)</f>
        <v>無料のリンクガチャを回して
経験値素材や売却素材を獲得しましょう</v>
      </c>
      <c r="O1136" s="20" t="s">
        <v>24</v>
      </c>
      <c r="P1136">
        <v>17</v>
      </c>
    </row>
    <row r="1137" spans="1:16" x14ac:dyDescent="0.15">
      <c r="A1137" s="27" t="str">
        <f t="shared" si="81"/>
        <v>30011_1_14</v>
      </c>
      <c r="B1137" s="25" t="s">
        <v>34</v>
      </c>
      <c r="C1137" s="4">
        <v>30011</v>
      </c>
      <c r="D1137" s="3" t="str">
        <f ca="1">VLOOKUP($C1137,OFFSET([1]quests!$A$1,0,0,COUNTA([1]quests!$A:$A),MATCH(D$1,[1]quests!$1:$1,0)-MATCH($C$1,[1]quests!$1:$1,0)+1),MATCH(D$1,[1]quests!$1:$1,0)-MATCH($C$1,[1]quests!$1:$1,0)+1,FALSE)</f>
        <v>気怠い巨読者</v>
      </c>
      <c r="E1137" s="3" t="str">
        <f ca="1">VLOOKUP($C1137,OFFSET([1]quests!$A$1,0,0,COUNTA([1]quests!$A:$A),MATCH(E$1,[1]quests!$1:$1,0)-MATCH($C$1,[1]quests!$1:$1,0)+1),MATCH(E$1,[1]quests!$1:$1,0)-MATCH($C$1,[1]quests!$1:$1,0)+1,FALSE)</f>
        <v>ドロップイベント3（マルチ専用）</v>
      </c>
      <c r="F1137" s="5">
        <v>1</v>
      </c>
      <c r="G1137" s="3" t="str">
        <f ca="1">VLOOKUP($C1137&amp;"_"&amp;$F1137,OFFSET([1]stages!$A$1,0,0,COUNTA([1]stages!$A:$A),MATCH(G$1,[1]stages!$2:$2,0)-MATCH("temp_stage",[1]stages!$2:$2,0)+1),MATCH(G$1,[1]stages!$2:$2,0)-MATCH("temp_stage",[1]stages!$2:$2,0)+1,FALSE)</f>
        <v>【上級】気怠い巨読者</v>
      </c>
      <c r="H1137" s="3" t="str">
        <f ca="1">VLOOKUP($C1137&amp;"_"&amp;$F1137,OFFSET([1]stages!$A$1,0,0,COUNTA([1]stages!$A:$A),MATCH(H$1,[1]stages!$2:$2,0)-MATCH("temp_stage",[1]stages!$2:$2,0)+1),MATCH(H$1,[1]stages!$2:$2,0)-MATCH("temp_stage",[1]stages!$2:$2,0)+1,FALSE)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7" s="18">
        <v>0</v>
      </c>
      <c r="J1137" s="5">
        <f>COUNTIF(C$1:C1137,C1137)</f>
        <v>14</v>
      </c>
      <c r="K1137" s="34">
        <v>18</v>
      </c>
      <c r="L1137" s="5" t="s">
        <v>17</v>
      </c>
      <c r="M1137" s="38" t="str">
        <f>VLOOKUP(K1137,[2]stage_hints!$A:$C,3,FALSE)</f>
        <v>マルチプレイのメリット（その2）</v>
      </c>
      <c r="N1137" s="39" t="str">
        <f>VLOOKUP(K1137,[2]stage_hints!$A:$D,4,FALSE)</f>
        <v>マルチプレイならリンクが2倍もらえます
リンクガチャをたくさん回しましょう</v>
      </c>
      <c r="O1137" s="20" t="s">
        <v>24</v>
      </c>
      <c r="P1137">
        <v>18</v>
      </c>
    </row>
    <row r="1138" spans="1:16" x14ac:dyDescent="0.15">
      <c r="A1138" s="27" t="str">
        <f t="shared" si="81"/>
        <v>30011_1_15</v>
      </c>
      <c r="B1138" s="25" t="s">
        <v>34</v>
      </c>
      <c r="C1138" s="4">
        <v>30011</v>
      </c>
      <c r="D1138" s="3" t="str">
        <f ca="1">VLOOKUP($C1138,OFFSET([1]quests!$A$1,0,0,COUNTA([1]quests!$A:$A),MATCH(D$1,[1]quests!$1:$1,0)-MATCH($C$1,[1]quests!$1:$1,0)+1),MATCH(D$1,[1]quests!$1:$1,0)-MATCH($C$1,[1]quests!$1:$1,0)+1,FALSE)</f>
        <v>気怠い巨読者</v>
      </c>
      <c r="E1138" s="3" t="str">
        <f ca="1">VLOOKUP($C1138,OFFSET([1]quests!$A$1,0,0,COUNTA([1]quests!$A:$A),MATCH(E$1,[1]quests!$1:$1,0)-MATCH($C$1,[1]quests!$1:$1,0)+1),MATCH(E$1,[1]quests!$1:$1,0)-MATCH($C$1,[1]quests!$1:$1,0)+1,FALSE)</f>
        <v>ドロップイベント3（マルチ専用）</v>
      </c>
      <c r="F1138" s="5">
        <v>1</v>
      </c>
      <c r="G1138" s="3" t="str">
        <f ca="1">VLOOKUP($C1138&amp;"_"&amp;$F1138,OFFSET([1]stages!$A$1,0,0,COUNTA([1]stages!$A:$A),MATCH(G$1,[1]stages!$2:$2,0)-MATCH("temp_stage",[1]stages!$2:$2,0)+1),MATCH(G$1,[1]stages!$2:$2,0)-MATCH("temp_stage",[1]stages!$2:$2,0)+1,FALSE)</f>
        <v>【上級】気怠い巨読者</v>
      </c>
      <c r="H1138" s="3" t="str">
        <f ca="1">VLOOKUP($C1138&amp;"_"&amp;$F1138,OFFSET([1]stages!$A$1,0,0,COUNTA([1]stages!$A:$A),MATCH(H$1,[1]stages!$2:$2,0)-MATCH("temp_stage",[1]stages!$2:$2,0)+1),MATCH(H$1,[1]stages!$2:$2,0)-MATCH("temp_stage",[1]stages!$2:$2,0)+1,FALSE)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8" s="18">
        <v>0</v>
      </c>
      <c r="J1138" s="5">
        <f>COUNTIF(C$1:C1138,C1138)</f>
        <v>15</v>
      </c>
      <c r="K1138" s="34">
        <v>19</v>
      </c>
      <c r="L1138" s="5" t="s">
        <v>17</v>
      </c>
      <c r="M1138" s="38" t="str">
        <f>VLOOKUP(K1138,[2]stage_hints!$A:$C,3,FALSE)</f>
        <v>ソロ専用チャレンジタワー</v>
      </c>
      <c r="N1138" s="39" t="str">
        <f>VLOOKUP(K1138,[2]stage_hints!$A:$D,4,FALSE)</f>
        <v>ソロ専用の「チャレンジタワー」では
各フロアごとにクリア報酬がもらえます</v>
      </c>
      <c r="O1138" s="20" t="s">
        <v>24</v>
      </c>
      <c r="P1138">
        <v>19</v>
      </c>
    </row>
    <row r="1139" spans="1:16" x14ac:dyDescent="0.15">
      <c r="A1139" s="27" t="str">
        <f t="shared" si="81"/>
        <v>30011_1_16</v>
      </c>
      <c r="B1139" s="25" t="s">
        <v>34</v>
      </c>
      <c r="C1139" s="4">
        <v>30011</v>
      </c>
      <c r="D1139" s="3" t="str">
        <f ca="1">VLOOKUP($C1139,OFFSET([1]quests!$A$1,0,0,COUNTA([1]quests!$A:$A),MATCH(D$1,[1]quests!$1:$1,0)-MATCH($C$1,[1]quests!$1:$1,0)+1),MATCH(D$1,[1]quests!$1:$1,0)-MATCH($C$1,[1]quests!$1:$1,0)+1,FALSE)</f>
        <v>気怠い巨読者</v>
      </c>
      <c r="E1139" s="3" t="str">
        <f ca="1">VLOOKUP($C1139,OFFSET([1]quests!$A$1,0,0,COUNTA([1]quests!$A:$A),MATCH(E$1,[1]quests!$1:$1,0)-MATCH($C$1,[1]quests!$1:$1,0)+1),MATCH(E$1,[1]quests!$1:$1,0)-MATCH($C$1,[1]quests!$1:$1,0)+1,FALSE)</f>
        <v>ドロップイベント3（マルチ専用）</v>
      </c>
      <c r="F1139" s="5">
        <v>1</v>
      </c>
      <c r="G1139" s="3" t="str">
        <f ca="1">VLOOKUP($C1139&amp;"_"&amp;$F1139,OFFSET([1]stages!$A$1,0,0,COUNTA([1]stages!$A:$A),MATCH(G$1,[1]stages!$2:$2,0)-MATCH("temp_stage",[1]stages!$2:$2,0)+1),MATCH(G$1,[1]stages!$2:$2,0)-MATCH("temp_stage",[1]stages!$2:$2,0)+1,FALSE)</f>
        <v>【上級】気怠い巨読者</v>
      </c>
      <c r="H1139" s="3" t="str">
        <f ca="1">VLOOKUP($C1139&amp;"_"&amp;$F1139,OFFSET([1]stages!$A$1,0,0,COUNTA([1]stages!$A:$A),MATCH(H$1,[1]stages!$2:$2,0)-MATCH("temp_stage",[1]stages!$2:$2,0)+1),MATCH(H$1,[1]stages!$2:$2,0)-MATCH("temp_stage",[1]stages!$2:$2,0)+1,FALSE)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39" s="18">
        <v>0</v>
      </c>
      <c r="J1139" s="5">
        <f>COUNTIF(C$1:C1139,C1139)</f>
        <v>16</v>
      </c>
      <c r="K1139" s="34">
        <v>20</v>
      </c>
      <c r="L1139" s="5" t="s">
        <v>17</v>
      </c>
      <c r="M1139" s="38" t="str">
        <f>VLOOKUP(K1139,[2]stage_hints!$A:$C,3,FALSE)</f>
        <v>マルチプレイのメリット（その3）</v>
      </c>
      <c r="N1139" s="39" t="str">
        <f>VLOOKUP(K1139,[2]stage_hints!$A:$D,4,FALSE)</f>
        <v>マルチプレイへの参加はエナジー消費ゼロ
いつでも好きなだけ遊ぶことができます</v>
      </c>
      <c r="O1139" s="20" t="s">
        <v>24</v>
      </c>
      <c r="P1139">
        <v>20</v>
      </c>
    </row>
    <row r="1140" spans="1:16" x14ac:dyDescent="0.15">
      <c r="A1140" s="27" t="str">
        <f t="shared" si="81"/>
        <v>30011_1_17</v>
      </c>
      <c r="B1140" s="25" t="s">
        <v>34</v>
      </c>
      <c r="C1140" s="4">
        <v>30011</v>
      </c>
      <c r="D1140" s="3" t="str">
        <f ca="1">VLOOKUP($C1140,OFFSET([1]quests!$A$1,0,0,COUNTA([1]quests!$A:$A),MATCH(D$1,[1]quests!$1:$1,0)-MATCH($C$1,[1]quests!$1:$1,0)+1),MATCH(D$1,[1]quests!$1:$1,0)-MATCH($C$1,[1]quests!$1:$1,0)+1,FALSE)</f>
        <v>気怠い巨読者</v>
      </c>
      <c r="E1140" s="3" t="str">
        <f ca="1">VLOOKUP($C1140,OFFSET([1]quests!$A$1,0,0,COUNTA([1]quests!$A:$A),MATCH(E$1,[1]quests!$1:$1,0)-MATCH($C$1,[1]quests!$1:$1,0)+1),MATCH(E$1,[1]quests!$1:$1,0)-MATCH($C$1,[1]quests!$1:$1,0)+1,FALSE)</f>
        <v>ドロップイベント3（マルチ専用）</v>
      </c>
      <c r="F1140" s="5">
        <v>1</v>
      </c>
      <c r="G1140" s="3" t="str">
        <f ca="1">VLOOKUP($C1140&amp;"_"&amp;$F1140,OFFSET([1]stages!$A$1,0,0,COUNTA([1]stages!$A:$A),MATCH(G$1,[1]stages!$2:$2,0)-MATCH("temp_stage",[1]stages!$2:$2,0)+1),MATCH(G$1,[1]stages!$2:$2,0)-MATCH("temp_stage",[1]stages!$2:$2,0)+1,FALSE)</f>
        <v>【上級】気怠い巨読者</v>
      </c>
      <c r="H1140" s="3" t="str">
        <f ca="1">VLOOKUP($C1140&amp;"_"&amp;$F1140,OFFSET([1]stages!$A$1,0,0,COUNTA([1]stages!$A:$A),MATCH(H$1,[1]stages!$2:$2,0)-MATCH("temp_stage",[1]stages!$2:$2,0)+1),MATCH(H$1,[1]stages!$2:$2,0)-MATCH("temp_stage",[1]stages!$2:$2,0)+1,FALSE)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0" s="18">
        <v>0</v>
      </c>
      <c r="J1140" s="5">
        <f>COUNTIF(C$1:C1140,C1140)</f>
        <v>17</v>
      </c>
      <c r="K1140" s="34">
        <v>21</v>
      </c>
      <c r="L1140" s="5" t="s">
        <v>17</v>
      </c>
      <c r="M1140" s="38" t="str">
        <f>VLOOKUP(K1140,[2]stage_hints!$A:$C,3,FALSE)</f>
        <v>スキルを有効に</v>
      </c>
      <c r="N1140" s="39" t="str">
        <f>VLOOKUP(K1140,[2]stage_hints!$A:$D,4,FALSE)</f>
        <v>ターン経過でユニットのスキルが使えます
強力スキルでバトルを有利に進めましょう</v>
      </c>
      <c r="O1140" s="20" t="s">
        <v>24</v>
      </c>
      <c r="P1140">
        <v>21</v>
      </c>
    </row>
    <row r="1141" spans="1:16" x14ac:dyDescent="0.15">
      <c r="A1141" s="27" t="str">
        <f t="shared" si="81"/>
        <v>30011_1_18</v>
      </c>
      <c r="B1141" s="25" t="s">
        <v>34</v>
      </c>
      <c r="C1141" s="4">
        <v>30011</v>
      </c>
      <c r="D1141" s="3" t="str">
        <f ca="1">VLOOKUP($C1141,OFFSET([1]quests!$A$1,0,0,COUNTA([1]quests!$A:$A),MATCH(D$1,[1]quests!$1:$1,0)-MATCH($C$1,[1]quests!$1:$1,0)+1),MATCH(D$1,[1]quests!$1:$1,0)-MATCH($C$1,[1]quests!$1:$1,0)+1,FALSE)</f>
        <v>気怠い巨読者</v>
      </c>
      <c r="E1141" s="3" t="str">
        <f ca="1">VLOOKUP($C1141,OFFSET([1]quests!$A$1,0,0,COUNTA([1]quests!$A:$A),MATCH(E$1,[1]quests!$1:$1,0)-MATCH($C$1,[1]quests!$1:$1,0)+1),MATCH(E$1,[1]quests!$1:$1,0)-MATCH($C$1,[1]quests!$1:$1,0)+1,FALSE)</f>
        <v>ドロップイベント3（マルチ専用）</v>
      </c>
      <c r="F1141" s="5">
        <v>1</v>
      </c>
      <c r="G1141" s="3" t="str">
        <f ca="1">VLOOKUP($C1141&amp;"_"&amp;$F1141,OFFSET([1]stages!$A$1,0,0,COUNTA([1]stages!$A:$A),MATCH(G$1,[1]stages!$2:$2,0)-MATCH("temp_stage",[1]stages!$2:$2,0)+1),MATCH(G$1,[1]stages!$2:$2,0)-MATCH("temp_stage",[1]stages!$2:$2,0)+1,FALSE)</f>
        <v>【上級】気怠い巨読者</v>
      </c>
      <c r="H1141" s="3" t="str">
        <f ca="1">VLOOKUP($C1141&amp;"_"&amp;$F1141,OFFSET([1]stages!$A$1,0,0,COUNTA([1]stages!$A:$A),MATCH(H$1,[1]stages!$2:$2,0)-MATCH("temp_stage",[1]stages!$2:$2,0)+1),MATCH(H$1,[1]stages!$2:$2,0)-MATCH("temp_stage",[1]stages!$2:$2,0)+1,FALSE)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1" s="18">
        <v>0</v>
      </c>
      <c r="J1141" s="5">
        <f>COUNTIF(C$1:C1141,C1141)</f>
        <v>18</v>
      </c>
      <c r="K1141" s="34">
        <v>22</v>
      </c>
      <c r="L1141" s="5" t="s">
        <v>17</v>
      </c>
      <c r="M1141" s="38" t="str">
        <f>VLOOKUP(K1141,[2]stage_hints!$A:$C,3,FALSE)</f>
        <v>フィーバーで一発逆転（その1）</v>
      </c>
      <c r="N1141" s="39" t="str">
        <f>VLOOKUP(K1141,[2]stage_hints!$A:$D,4,FALSE)</f>
        <v>フィーバーは攻撃と回復を兼ね備えます
ピンチからの一発逆転を狙いましょう</v>
      </c>
      <c r="O1141" s="20" t="s">
        <v>24</v>
      </c>
      <c r="P1141">
        <v>22</v>
      </c>
    </row>
    <row r="1142" spans="1:16" x14ac:dyDescent="0.15">
      <c r="A1142" s="27" t="str">
        <f t="shared" si="81"/>
        <v>30011_1_19</v>
      </c>
      <c r="B1142" s="25" t="s">
        <v>34</v>
      </c>
      <c r="C1142" s="4">
        <v>30011</v>
      </c>
      <c r="D1142" s="3" t="str">
        <f ca="1">VLOOKUP($C1142,OFFSET([1]quests!$A$1,0,0,COUNTA([1]quests!$A:$A),MATCH(D$1,[1]quests!$1:$1,0)-MATCH($C$1,[1]quests!$1:$1,0)+1),MATCH(D$1,[1]quests!$1:$1,0)-MATCH($C$1,[1]quests!$1:$1,0)+1,FALSE)</f>
        <v>気怠い巨読者</v>
      </c>
      <c r="E1142" s="3" t="str">
        <f ca="1">VLOOKUP($C1142,OFFSET([1]quests!$A$1,0,0,COUNTA([1]quests!$A:$A),MATCH(E$1,[1]quests!$1:$1,0)-MATCH($C$1,[1]quests!$1:$1,0)+1),MATCH(E$1,[1]quests!$1:$1,0)-MATCH($C$1,[1]quests!$1:$1,0)+1,FALSE)</f>
        <v>ドロップイベント3（マルチ専用）</v>
      </c>
      <c r="F1142" s="5">
        <v>1</v>
      </c>
      <c r="G1142" s="3" t="str">
        <f ca="1">VLOOKUP($C1142&amp;"_"&amp;$F1142,OFFSET([1]stages!$A$1,0,0,COUNTA([1]stages!$A:$A),MATCH(G$1,[1]stages!$2:$2,0)-MATCH("temp_stage",[1]stages!$2:$2,0)+1),MATCH(G$1,[1]stages!$2:$2,0)-MATCH("temp_stage",[1]stages!$2:$2,0)+1,FALSE)</f>
        <v>【上級】気怠い巨読者</v>
      </c>
      <c r="H1142" s="3" t="str">
        <f ca="1">VLOOKUP($C1142&amp;"_"&amp;$F1142,OFFSET([1]stages!$A$1,0,0,COUNTA([1]stages!$A:$A),MATCH(H$1,[1]stages!$2:$2,0)-MATCH("temp_stage",[1]stages!$2:$2,0)+1),MATCH(H$1,[1]stages!$2:$2,0)-MATCH("temp_stage",[1]stages!$2:$2,0)+1,FALSE)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2" s="18">
        <v>0</v>
      </c>
      <c r="J1142" s="5">
        <f>COUNTIF(C$1:C1142,C1142)</f>
        <v>19</v>
      </c>
      <c r="K1142" s="34">
        <v>23</v>
      </c>
      <c r="L1142" s="5" t="s">
        <v>17</v>
      </c>
      <c r="M1142" s="38" t="str">
        <f>VLOOKUP(K1142,[2]stage_hints!$A:$C,3,FALSE)</f>
        <v>フィーバーで一発逆転（その2）</v>
      </c>
      <c r="N1142" s="39" t="str">
        <f>VLOOKUP(K1142,[2]stage_hints!$A:$D,4,FALSE)</f>
        <v>フィーバー中は虹色のボムパネルを狙って
画面上のパネルを一気に破壊しましょう</v>
      </c>
      <c r="O1142" s="20" t="s">
        <v>24</v>
      </c>
      <c r="P1142">
        <v>23</v>
      </c>
    </row>
    <row r="1143" spans="1:16" x14ac:dyDescent="0.15">
      <c r="A1143" s="27" t="str">
        <f t="shared" si="81"/>
        <v>30011_1_20</v>
      </c>
      <c r="B1143" s="25" t="s">
        <v>34</v>
      </c>
      <c r="C1143" s="4">
        <v>30011</v>
      </c>
      <c r="D1143" s="3" t="str">
        <f ca="1">VLOOKUP($C1143,OFFSET([1]quests!$A$1,0,0,COUNTA([1]quests!$A:$A),MATCH(D$1,[1]quests!$1:$1,0)-MATCH($C$1,[1]quests!$1:$1,0)+1),MATCH(D$1,[1]quests!$1:$1,0)-MATCH($C$1,[1]quests!$1:$1,0)+1,FALSE)</f>
        <v>気怠い巨読者</v>
      </c>
      <c r="E1143" s="3" t="str">
        <f ca="1">VLOOKUP($C1143,OFFSET([1]quests!$A$1,0,0,COUNTA([1]quests!$A:$A),MATCH(E$1,[1]quests!$1:$1,0)-MATCH($C$1,[1]quests!$1:$1,0)+1),MATCH(E$1,[1]quests!$1:$1,0)-MATCH($C$1,[1]quests!$1:$1,0)+1,FALSE)</f>
        <v>ドロップイベント3（マルチ専用）</v>
      </c>
      <c r="F1143" s="5">
        <v>1</v>
      </c>
      <c r="G1143" s="3" t="str">
        <f ca="1">VLOOKUP($C1143&amp;"_"&amp;$F1143,OFFSET([1]stages!$A$1,0,0,COUNTA([1]stages!$A:$A),MATCH(G$1,[1]stages!$2:$2,0)-MATCH("temp_stage",[1]stages!$2:$2,0)+1),MATCH(G$1,[1]stages!$2:$2,0)-MATCH("temp_stage",[1]stages!$2:$2,0)+1,FALSE)</f>
        <v>【上級】気怠い巨読者</v>
      </c>
      <c r="H1143" s="3" t="str">
        <f ca="1">VLOOKUP($C1143&amp;"_"&amp;$F1143,OFFSET([1]stages!$A$1,0,0,COUNTA([1]stages!$A:$A),MATCH(H$1,[1]stages!$2:$2,0)-MATCH("temp_stage",[1]stages!$2:$2,0)+1),MATCH(H$1,[1]stages!$2:$2,0)-MATCH("temp_stage",[1]stages!$2:$2,0)+1,FALSE)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3" s="18">
        <v>0</v>
      </c>
      <c r="J1143" s="5">
        <f>COUNTIF(C$1:C1143,C1143)</f>
        <v>20</v>
      </c>
      <c r="K1143" s="34">
        <v>24</v>
      </c>
      <c r="L1143" s="5" t="s">
        <v>17</v>
      </c>
      <c r="M1143" s="38" t="str">
        <f>VLOOKUP(K1143,[2]stage_hints!$A:$C,3,FALSE)</f>
        <v>りんごを使って限界突破</v>
      </c>
      <c r="N1143" s="39" t="str">
        <f>VLOOKUP(K1143,[2]stage_hints!$A:$D,4,FALSE)</f>
        <v>赤りんご(攻撃力) 青りんご(回復力)
緑りんご(体力)をユニット強化に使うと
ステータスが限界突破します（計99個迄）</v>
      </c>
      <c r="O1143" s="20" t="s">
        <v>24</v>
      </c>
      <c r="P1143">
        <v>24</v>
      </c>
    </row>
    <row r="1144" spans="1:16" x14ac:dyDescent="0.15">
      <c r="A1144" s="27" t="str">
        <f t="shared" si="81"/>
        <v>30011_1_21</v>
      </c>
      <c r="B1144" s="25" t="s">
        <v>34</v>
      </c>
      <c r="C1144" s="4">
        <v>30011</v>
      </c>
      <c r="D1144" s="3" t="str">
        <f ca="1">VLOOKUP($C1144,OFFSET([1]quests!$A$1,0,0,COUNTA([1]quests!$A:$A),MATCH(D$1,[1]quests!$1:$1,0)-MATCH($C$1,[1]quests!$1:$1,0)+1),MATCH(D$1,[1]quests!$1:$1,0)-MATCH($C$1,[1]quests!$1:$1,0)+1,FALSE)</f>
        <v>気怠い巨読者</v>
      </c>
      <c r="E1144" s="3" t="str">
        <f ca="1">VLOOKUP($C1144,OFFSET([1]quests!$A$1,0,0,COUNTA([1]quests!$A:$A),MATCH(E$1,[1]quests!$1:$1,0)-MATCH($C$1,[1]quests!$1:$1,0)+1),MATCH(E$1,[1]quests!$1:$1,0)-MATCH($C$1,[1]quests!$1:$1,0)+1,FALSE)</f>
        <v>ドロップイベント3（マルチ専用）</v>
      </c>
      <c r="F1144" s="5">
        <v>1</v>
      </c>
      <c r="G1144" s="3" t="str">
        <f ca="1">VLOOKUP($C1144&amp;"_"&amp;$F1144,OFFSET([1]stages!$A$1,0,0,COUNTA([1]stages!$A:$A),MATCH(G$1,[1]stages!$2:$2,0)-MATCH("temp_stage",[1]stages!$2:$2,0)+1),MATCH(G$1,[1]stages!$2:$2,0)-MATCH("temp_stage",[1]stages!$2:$2,0)+1,FALSE)</f>
        <v>【上級】気怠い巨読者</v>
      </c>
      <c r="H1144" s="3" t="str">
        <f ca="1">VLOOKUP($C1144&amp;"_"&amp;$F1144,OFFSET([1]stages!$A$1,0,0,COUNTA([1]stages!$A:$A),MATCH(H$1,[1]stages!$2:$2,0)-MATCH("temp_stage",[1]stages!$2:$2,0)+1),MATCH(H$1,[1]stages!$2:$2,0)-MATCH("temp_stage",[1]stages!$2:$2,0)+1,FALSE)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4" s="18">
        <v>0</v>
      </c>
      <c r="J1144" s="5">
        <f>COUNTIF(C$1:C1144,C1144)</f>
        <v>21</v>
      </c>
      <c r="K1144" s="34">
        <v>25</v>
      </c>
      <c r="L1144" s="5" t="s">
        <v>17</v>
      </c>
      <c r="M1144" s="38" t="str">
        <f>VLOOKUP(K1144,[2]stage_hints!$A:$C,3,FALSE)</f>
        <v>スキルレベルアップ</v>
      </c>
      <c r="N1144" s="39" t="str">
        <f>VLOOKUP(K1144,[2]stage_hints!$A:$D,4,FALSE)</f>
        <v>「クリスタルのりんご」を強化に使うと
スキルレベルを上げることができます</v>
      </c>
      <c r="O1144" s="20" t="s">
        <v>24</v>
      </c>
      <c r="P1144">
        <v>25</v>
      </c>
    </row>
    <row r="1145" spans="1:16" x14ac:dyDescent="0.15">
      <c r="A1145" s="27" t="str">
        <f t="shared" si="81"/>
        <v>30011_1_22</v>
      </c>
      <c r="B1145" s="25" t="s">
        <v>34</v>
      </c>
      <c r="C1145" s="4">
        <v>30011</v>
      </c>
      <c r="D1145" s="3" t="str">
        <f ca="1">VLOOKUP($C1145,OFFSET([1]quests!$A$1,0,0,COUNTA([1]quests!$A:$A),MATCH(D$1,[1]quests!$1:$1,0)-MATCH($C$1,[1]quests!$1:$1,0)+1),MATCH(D$1,[1]quests!$1:$1,0)-MATCH($C$1,[1]quests!$1:$1,0)+1,FALSE)</f>
        <v>気怠い巨読者</v>
      </c>
      <c r="E1145" s="3" t="str">
        <f ca="1">VLOOKUP($C1145,OFFSET([1]quests!$A$1,0,0,COUNTA([1]quests!$A:$A),MATCH(E$1,[1]quests!$1:$1,0)-MATCH($C$1,[1]quests!$1:$1,0)+1),MATCH(E$1,[1]quests!$1:$1,0)-MATCH($C$1,[1]quests!$1:$1,0)+1,FALSE)</f>
        <v>ドロップイベント3（マルチ専用）</v>
      </c>
      <c r="F1145" s="5">
        <v>1</v>
      </c>
      <c r="G1145" s="3" t="str">
        <f ca="1">VLOOKUP($C1145&amp;"_"&amp;$F1145,OFFSET([1]stages!$A$1,0,0,COUNTA([1]stages!$A:$A),MATCH(G$1,[1]stages!$2:$2,0)-MATCH("temp_stage",[1]stages!$2:$2,0)+1),MATCH(G$1,[1]stages!$2:$2,0)-MATCH("temp_stage",[1]stages!$2:$2,0)+1,FALSE)</f>
        <v>【上級】気怠い巨読者</v>
      </c>
      <c r="H1145" s="3" t="str">
        <f ca="1">VLOOKUP($C1145&amp;"_"&amp;$F1145,OFFSET([1]stages!$A$1,0,0,COUNTA([1]stages!$A:$A),MATCH(H$1,[1]stages!$2:$2,0)-MATCH("temp_stage",[1]stages!$2:$2,0)+1),MATCH(H$1,[1]stages!$2:$2,0)-MATCH("temp_stage",[1]stages!$2:$2,0)+1,FALSE)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5" s="18">
        <v>0</v>
      </c>
      <c r="J1145" s="5">
        <f>COUNTIF(C$1:C1145,C1145)</f>
        <v>22</v>
      </c>
      <c r="K1145" s="34">
        <v>26</v>
      </c>
      <c r="L1145" s="5" t="s">
        <v>17</v>
      </c>
      <c r="M1145" s="38" t="str">
        <f>VLOOKUP(K1145,[2]stage_hints!$A:$C,3,FALSE)</f>
        <v>スキルレベルの効果</v>
      </c>
      <c r="N1145" s="39" t="str">
        <f>VLOOKUP(K1145,[2]stage_hints!$A:$D,4,FALSE)</f>
        <v>スキルレベルが上がると
短いターンでスキルを使うことができます</v>
      </c>
      <c r="O1145" s="20" t="s">
        <v>24</v>
      </c>
      <c r="P1145">
        <v>26</v>
      </c>
    </row>
    <row r="1146" spans="1:16" x14ac:dyDescent="0.15">
      <c r="A1146" s="27" t="str">
        <f t="shared" si="81"/>
        <v>30011_1_23</v>
      </c>
      <c r="B1146" s="25" t="s">
        <v>34</v>
      </c>
      <c r="C1146" s="4">
        <v>30011</v>
      </c>
      <c r="D1146" s="3" t="str">
        <f ca="1">VLOOKUP($C1146,OFFSET([1]quests!$A$1,0,0,COUNTA([1]quests!$A:$A),MATCH(D$1,[1]quests!$1:$1,0)-MATCH($C$1,[1]quests!$1:$1,0)+1),MATCH(D$1,[1]quests!$1:$1,0)-MATCH($C$1,[1]quests!$1:$1,0)+1,FALSE)</f>
        <v>気怠い巨読者</v>
      </c>
      <c r="E1146" s="3" t="str">
        <f ca="1">VLOOKUP($C1146,OFFSET([1]quests!$A$1,0,0,COUNTA([1]quests!$A:$A),MATCH(E$1,[1]quests!$1:$1,0)-MATCH($C$1,[1]quests!$1:$1,0)+1),MATCH(E$1,[1]quests!$1:$1,0)-MATCH($C$1,[1]quests!$1:$1,0)+1,FALSE)</f>
        <v>ドロップイベント3（マルチ専用）</v>
      </c>
      <c r="F1146" s="5">
        <v>1</v>
      </c>
      <c r="G1146" s="3" t="str">
        <f ca="1">VLOOKUP($C1146&amp;"_"&amp;$F1146,OFFSET([1]stages!$A$1,0,0,COUNTA([1]stages!$A:$A),MATCH(G$1,[1]stages!$2:$2,0)-MATCH("temp_stage",[1]stages!$2:$2,0)+1),MATCH(G$1,[1]stages!$2:$2,0)-MATCH("temp_stage",[1]stages!$2:$2,0)+1,FALSE)</f>
        <v>【上級】気怠い巨読者</v>
      </c>
      <c r="H1146" s="3" t="str">
        <f ca="1">VLOOKUP($C1146&amp;"_"&amp;$F1146,OFFSET([1]stages!$A$1,0,0,COUNTA([1]stages!$A:$A),MATCH(H$1,[1]stages!$2:$2,0)-MATCH("temp_stage",[1]stages!$2:$2,0)+1),MATCH(H$1,[1]stages!$2:$2,0)-MATCH("temp_stage",[1]stages!$2:$2,0)+1,FALSE)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6" s="18">
        <v>0</v>
      </c>
      <c r="J1146" s="5">
        <f>COUNTIF(C$1:C1146,C1146)</f>
        <v>23</v>
      </c>
      <c r="K1146" s="34">
        <v>27</v>
      </c>
      <c r="L1146" s="5" t="s">
        <v>17</v>
      </c>
      <c r="M1146" s="38" t="str">
        <f>VLOOKUP(K1146,[2]stage_hints!$A:$C,3,FALSE)</f>
        <v>ホーム画面からデッキを編成</v>
      </c>
      <c r="N1146" s="39" t="str">
        <f>VLOOKUP(K1146,[2]stage_hints!$A:$D,4,FALSE)</f>
        <v>ホーム画面でユニットを長押しすると
すぐにパーティ編成に移動できます</v>
      </c>
      <c r="O1146" s="20" t="s">
        <v>24</v>
      </c>
      <c r="P1146">
        <v>27</v>
      </c>
    </row>
    <row r="1147" spans="1:16" x14ac:dyDescent="0.15">
      <c r="A1147" s="27" t="str">
        <f t="shared" si="81"/>
        <v>30011_1_24</v>
      </c>
      <c r="B1147" s="25" t="s">
        <v>34</v>
      </c>
      <c r="C1147" s="4">
        <v>30011</v>
      </c>
      <c r="D1147" s="3" t="str">
        <f ca="1">VLOOKUP($C1147,OFFSET([1]quests!$A$1,0,0,COUNTA([1]quests!$A:$A),MATCH(D$1,[1]quests!$1:$1,0)-MATCH($C$1,[1]quests!$1:$1,0)+1),MATCH(D$1,[1]quests!$1:$1,0)-MATCH($C$1,[1]quests!$1:$1,0)+1,FALSE)</f>
        <v>気怠い巨読者</v>
      </c>
      <c r="E1147" s="3" t="str">
        <f ca="1">VLOOKUP($C1147,OFFSET([1]quests!$A$1,0,0,COUNTA([1]quests!$A:$A),MATCH(E$1,[1]quests!$1:$1,0)-MATCH($C$1,[1]quests!$1:$1,0)+1),MATCH(E$1,[1]quests!$1:$1,0)-MATCH($C$1,[1]quests!$1:$1,0)+1,FALSE)</f>
        <v>ドロップイベント3（マルチ専用）</v>
      </c>
      <c r="F1147" s="5">
        <v>1</v>
      </c>
      <c r="G1147" s="3" t="str">
        <f ca="1">VLOOKUP($C1147&amp;"_"&amp;$F1147,OFFSET([1]stages!$A$1,0,0,COUNTA([1]stages!$A:$A),MATCH(G$1,[1]stages!$2:$2,0)-MATCH("temp_stage",[1]stages!$2:$2,0)+1),MATCH(G$1,[1]stages!$2:$2,0)-MATCH("temp_stage",[1]stages!$2:$2,0)+1,FALSE)</f>
        <v>【上級】気怠い巨読者</v>
      </c>
      <c r="H1147" s="3" t="str">
        <f ca="1">VLOOKUP($C1147&amp;"_"&amp;$F1147,OFFSET([1]stages!$A$1,0,0,COUNTA([1]stages!$A:$A),MATCH(H$1,[1]stages!$2:$2,0)-MATCH("temp_stage",[1]stages!$2:$2,0)+1),MATCH(H$1,[1]stages!$2:$2,0)-MATCH("temp_stage",[1]stages!$2:$2,0)+1,FALSE)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7" s="18">
        <v>0</v>
      </c>
      <c r="J1147" s="5">
        <f>COUNTIF(C$1:C1147,C1147)</f>
        <v>24</v>
      </c>
      <c r="K1147" s="34">
        <v>28</v>
      </c>
      <c r="L1147" s="5" t="s">
        <v>17</v>
      </c>
      <c r="M1147" s="38" t="str">
        <f>VLOOKUP(K1147,[2]stage_hints!$A:$C,3,FALSE)</f>
        <v>ステータス情報は長押しで</v>
      </c>
      <c r="N1147" s="39" t="str">
        <f>VLOOKUP(K1147,[2]stage_hints!$A:$D,4,FALSE)</f>
        <v>ユニットのアイコンを長押しすると
ステータス情報を確認することができます</v>
      </c>
      <c r="O1147" s="20" t="s">
        <v>24</v>
      </c>
      <c r="P1147">
        <v>28</v>
      </c>
    </row>
    <row r="1148" spans="1:16" x14ac:dyDescent="0.15">
      <c r="A1148" s="27" t="str">
        <f t="shared" si="81"/>
        <v>30011_1_25</v>
      </c>
      <c r="B1148" s="25" t="s">
        <v>34</v>
      </c>
      <c r="C1148" s="4">
        <v>30011</v>
      </c>
      <c r="D1148" s="3" t="str">
        <f ca="1">VLOOKUP($C1148,OFFSET([1]quests!$A$1,0,0,COUNTA([1]quests!$A:$A),MATCH(D$1,[1]quests!$1:$1,0)-MATCH($C$1,[1]quests!$1:$1,0)+1),MATCH(D$1,[1]quests!$1:$1,0)-MATCH($C$1,[1]quests!$1:$1,0)+1,FALSE)</f>
        <v>気怠い巨読者</v>
      </c>
      <c r="E1148" s="3" t="str">
        <f ca="1">VLOOKUP($C1148,OFFSET([1]quests!$A$1,0,0,COUNTA([1]quests!$A:$A),MATCH(E$1,[1]quests!$1:$1,0)-MATCH($C$1,[1]quests!$1:$1,0)+1),MATCH(E$1,[1]quests!$1:$1,0)-MATCH($C$1,[1]quests!$1:$1,0)+1,FALSE)</f>
        <v>ドロップイベント3（マルチ専用）</v>
      </c>
      <c r="F1148" s="5">
        <v>1</v>
      </c>
      <c r="G1148" s="3" t="str">
        <f ca="1">VLOOKUP($C1148&amp;"_"&amp;$F1148,OFFSET([1]stages!$A$1,0,0,COUNTA([1]stages!$A:$A),MATCH(G$1,[1]stages!$2:$2,0)-MATCH("temp_stage",[1]stages!$2:$2,0)+1),MATCH(G$1,[1]stages!$2:$2,0)-MATCH("temp_stage",[1]stages!$2:$2,0)+1,FALSE)</f>
        <v>【上級】気怠い巨読者</v>
      </c>
      <c r="H1148" s="3" t="str">
        <f ca="1">VLOOKUP($C1148&amp;"_"&amp;$F1148,OFFSET([1]stages!$A$1,0,0,COUNTA([1]stages!$A:$A),MATCH(H$1,[1]stages!$2:$2,0)-MATCH("temp_stage",[1]stages!$2:$2,0)+1),MATCH(H$1,[1]stages!$2:$2,0)-MATCH("temp_stage",[1]stages!$2:$2,0)+1,FALSE)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8" s="18">
        <v>0</v>
      </c>
      <c r="J1148" s="5">
        <f>COUNTIF(C$1:C1148,C1148)</f>
        <v>25</v>
      </c>
      <c r="K1148" s="34">
        <v>29</v>
      </c>
      <c r="L1148" s="5" t="s">
        <v>17</v>
      </c>
      <c r="M1148" s="38" t="str">
        <f>VLOOKUP(K1148,[2]stage_hints!$A:$C,3,FALSE)</f>
        <v>「バグ」のメリット</v>
      </c>
      <c r="N1148" s="39" t="str">
        <f>VLOOKUP(K1148,[2]stage_hints!$A:$D,4,FALSE)</f>
        <v>ユニットの「バグ」を増やすと
報酬をもらえる確率がアップします</v>
      </c>
      <c r="O1148" s="20" t="s">
        <v>24</v>
      </c>
      <c r="P1148">
        <v>29</v>
      </c>
    </row>
    <row r="1149" spans="1:16" x14ac:dyDescent="0.15">
      <c r="A1149" s="27" t="str">
        <f t="shared" si="81"/>
        <v>30011_1_26</v>
      </c>
      <c r="B1149" s="25" t="s">
        <v>34</v>
      </c>
      <c r="C1149" s="4">
        <v>30011</v>
      </c>
      <c r="D1149" s="3" t="str">
        <f ca="1">VLOOKUP($C1149,OFFSET([1]quests!$A$1,0,0,COUNTA([1]quests!$A:$A),MATCH(D$1,[1]quests!$1:$1,0)-MATCH($C$1,[1]quests!$1:$1,0)+1),MATCH(D$1,[1]quests!$1:$1,0)-MATCH($C$1,[1]quests!$1:$1,0)+1,FALSE)</f>
        <v>気怠い巨読者</v>
      </c>
      <c r="E1149" s="3" t="str">
        <f ca="1">VLOOKUP($C1149,OFFSET([1]quests!$A$1,0,0,COUNTA([1]quests!$A:$A),MATCH(E$1,[1]quests!$1:$1,0)-MATCH($C$1,[1]quests!$1:$1,0)+1),MATCH(E$1,[1]quests!$1:$1,0)-MATCH($C$1,[1]quests!$1:$1,0)+1,FALSE)</f>
        <v>ドロップイベント3（マルチ専用）</v>
      </c>
      <c r="F1149" s="5">
        <v>1</v>
      </c>
      <c r="G1149" s="3" t="str">
        <f ca="1">VLOOKUP($C1149&amp;"_"&amp;$F1149,OFFSET([1]stages!$A$1,0,0,COUNTA([1]stages!$A:$A),MATCH(G$1,[1]stages!$2:$2,0)-MATCH("temp_stage",[1]stages!$2:$2,0)+1),MATCH(G$1,[1]stages!$2:$2,0)-MATCH("temp_stage",[1]stages!$2:$2,0)+1,FALSE)</f>
        <v>【上級】気怠い巨読者</v>
      </c>
      <c r="H1149" s="3" t="str">
        <f ca="1">VLOOKUP($C1149&amp;"_"&amp;$F1149,OFFSET([1]stages!$A$1,0,0,COUNTA([1]stages!$A:$A),MATCH(H$1,[1]stages!$2:$2,0)-MATCH("temp_stage",[1]stages!$2:$2,0)+1),MATCH(H$1,[1]stages!$2:$2,0)-MATCH("temp_stage",[1]stages!$2:$2,0)+1,FALSE)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49" s="18">
        <v>0</v>
      </c>
      <c r="J1149" s="5">
        <f>COUNTIF(C$1:C1149,C1149)</f>
        <v>26</v>
      </c>
      <c r="K1149" s="34">
        <v>30</v>
      </c>
      <c r="L1149" s="5" t="s">
        <v>17</v>
      </c>
      <c r="M1149" s="38" t="str">
        <f>VLOOKUP(K1149,[2]stage_hints!$A:$C,3,FALSE)</f>
        <v>「バグ」の増やし方</v>
      </c>
      <c r="N1149" s="39" t="str">
        <f>VLOOKUP(K1149,[2]stage_hints!$A:$D,4,FALSE)</f>
        <v>同じユニット同士を強化で合成すると
「バグ」を増やすことができます</v>
      </c>
      <c r="O1149" s="20" t="s">
        <v>24</v>
      </c>
      <c r="P1149">
        <v>30</v>
      </c>
    </row>
    <row r="1150" spans="1:16" x14ac:dyDescent="0.15">
      <c r="A1150" s="27" t="str">
        <f t="shared" si="81"/>
        <v>30011_1_27</v>
      </c>
      <c r="B1150" s="25" t="s">
        <v>34</v>
      </c>
      <c r="C1150" s="4">
        <v>30011</v>
      </c>
      <c r="D1150" s="3" t="str">
        <f ca="1">VLOOKUP($C1150,OFFSET([1]quests!$A$1,0,0,COUNTA([1]quests!$A:$A),MATCH(D$1,[1]quests!$1:$1,0)-MATCH($C$1,[1]quests!$1:$1,0)+1),MATCH(D$1,[1]quests!$1:$1,0)-MATCH($C$1,[1]quests!$1:$1,0)+1,FALSE)</f>
        <v>気怠い巨読者</v>
      </c>
      <c r="E1150" s="3" t="str">
        <f ca="1">VLOOKUP($C1150,OFFSET([1]quests!$A$1,0,0,COUNTA([1]quests!$A:$A),MATCH(E$1,[1]quests!$1:$1,0)-MATCH($C$1,[1]quests!$1:$1,0)+1),MATCH(E$1,[1]quests!$1:$1,0)-MATCH($C$1,[1]quests!$1:$1,0)+1,FALSE)</f>
        <v>ドロップイベント3（マルチ専用）</v>
      </c>
      <c r="F1150" s="5">
        <v>1</v>
      </c>
      <c r="G1150" s="3" t="str">
        <f ca="1">VLOOKUP($C1150&amp;"_"&amp;$F1150,OFFSET([1]stages!$A$1,0,0,COUNTA([1]stages!$A:$A),MATCH(G$1,[1]stages!$2:$2,0)-MATCH("temp_stage",[1]stages!$2:$2,0)+1),MATCH(G$1,[1]stages!$2:$2,0)-MATCH("temp_stage",[1]stages!$2:$2,0)+1,FALSE)</f>
        <v>【上級】気怠い巨読者</v>
      </c>
      <c r="H1150" s="3" t="str">
        <f ca="1">VLOOKUP($C1150&amp;"_"&amp;$F1150,OFFSET([1]stages!$A$1,0,0,COUNTA([1]stages!$A:$A),MATCH(H$1,[1]stages!$2:$2,0)-MATCH("temp_stage",[1]stages!$2:$2,0)+1),MATCH(H$1,[1]stages!$2:$2,0)-MATCH("temp_stage",[1]stages!$2:$2,0)+1,FALSE)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0" s="18">
        <v>0</v>
      </c>
      <c r="J1150" s="5">
        <f>COUNTIF(C$1:C1150,C1150)</f>
        <v>27</v>
      </c>
      <c r="K1150" s="34">
        <v>31</v>
      </c>
      <c r="L1150" s="5" t="s">
        <v>17</v>
      </c>
      <c r="M1150" s="38" t="str">
        <f>VLOOKUP(K1150,[2]stage_hints!$A:$C,3,FALSE)</f>
        <v>イベントはお知らせでチェック</v>
      </c>
      <c r="N1150" s="39" t="str">
        <f>VLOOKUP(K1150,[2]stage_hints!$A:$D,4,FALSE)</f>
        <v>イベント限定ユニットを取り忘れないように
お知らせをこまめにチェックしましょう</v>
      </c>
      <c r="O1150" s="20" t="s">
        <v>24</v>
      </c>
      <c r="P1150">
        <v>31</v>
      </c>
    </row>
    <row r="1151" spans="1:16" x14ac:dyDescent="0.15">
      <c r="A1151" s="27" t="str">
        <f t="shared" si="81"/>
        <v>30011_1_28</v>
      </c>
      <c r="B1151" s="25" t="s">
        <v>34</v>
      </c>
      <c r="C1151" s="4">
        <v>30011</v>
      </c>
      <c r="D1151" s="3" t="str">
        <f ca="1">VLOOKUP($C1151,OFFSET([1]quests!$A$1,0,0,COUNTA([1]quests!$A:$A),MATCH(D$1,[1]quests!$1:$1,0)-MATCH($C$1,[1]quests!$1:$1,0)+1),MATCH(D$1,[1]quests!$1:$1,0)-MATCH($C$1,[1]quests!$1:$1,0)+1,FALSE)</f>
        <v>気怠い巨読者</v>
      </c>
      <c r="E1151" s="3" t="str">
        <f ca="1">VLOOKUP($C1151,OFFSET([1]quests!$A$1,0,0,COUNTA([1]quests!$A:$A),MATCH(E$1,[1]quests!$1:$1,0)-MATCH($C$1,[1]quests!$1:$1,0)+1),MATCH(E$1,[1]quests!$1:$1,0)-MATCH($C$1,[1]quests!$1:$1,0)+1,FALSE)</f>
        <v>ドロップイベント3（マルチ専用）</v>
      </c>
      <c r="F1151" s="5">
        <v>1</v>
      </c>
      <c r="G1151" s="3" t="str">
        <f ca="1">VLOOKUP($C1151&amp;"_"&amp;$F1151,OFFSET([1]stages!$A$1,0,0,COUNTA([1]stages!$A:$A),MATCH(G$1,[1]stages!$2:$2,0)-MATCH("temp_stage",[1]stages!$2:$2,0)+1),MATCH(G$1,[1]stages!$2:$2,0)-MATCH("temp_stage",[1]stages!$2:$2,0)+1,FALSE)</f>
        <v>【上級】気怠い巨読者</v>
      </c>
      <c r="H1151" s="3" t="str">
        <f ca="1">VLOOKUP($C1151&amp;"_"&amp;$F1151,OFFSET([1]stages!$A$1,0,0,COUNTA([1]stages!$A:$A),MATCH(H$1,[1]stages!$2:$2,0)-MATCH("temp_stage",[1]stages!$2:$2,0)+1),MATCH(H$1,[1]stages!$2:$2,0)-MATCH("temp_stage",[1]stages!$2:$2,0)+1,FALSE)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1" s="18">
        <v>0</v>
      </c>
      <c r="J1151" s="5">
        <f>COUNTIF(C$1:C1151,C1151)</f>
        <v>28</v>
      </c>
      <c r="K1151" s="34">
        <v>32</v>
      </c>
      <c r="L1151" s="5" t="s">
        <v>17</v>
      </c>
      <c r="M1151" s="38" t="str">
        <f>VLOOKUP(K1151,[2]stage_hints!$A:$C,3,FALSE)</f>
        <v>敵の連続攻撃には</v>
      </c>
      <c r="N1151" s="39" t="str">
        <f>VLOOKUP(K1151,[2]stage_hints!$A:$D,4,FALSE)</f>
        <v>カウンタースキルを持つユニットがいれば
ダメージ回数分の反撃ができます</v>
      </c>
      <c r="O1151" s="20" t="s">
        <v>24</v>
      </c>
      <c r="P1151">
        <v>32</v>
      </c>
    </row>
    <row r="1152" spans="1:16" x14ac:dyDescent="0.15">
      <c r="A1152" s="27" t="str">
        <f t="shared" si="81"/>
        <v>30011_1_29</v>
      </c>
      <c r="B1152" s="25" t="s">
        <v>34</v>
      </c>
      <c r="C1152" s="4">
        <v>30011</v>
      </c>
      <c r="D1152" s="3" t="str">
        <f ca="1">VLOOKUP($C1152,OFFSET([1]quests!$A$1,0,0,COUNTA([1]quests!$A:$A),MATCH(D$1,[1]quests!$1:$1,0)-MATCH($C$1,[1]quests!$1:$1,0)+1),MATCH(D$1,[1]quests!$1:$1,0)-MATCH($C$1,[1]quests!$1:$1,0)+1,FALSE)</f>
        <v>気怠い巨読者</v>
      </c>
      <c r="E1152" s="3" t="str">
        <f ca="1">VLOOKUP($C1152,OFFSET([1]quests!$A$1,0,0,COUNTA([1]quests!$A:$A),MATCH(E$1,[1]quests!$1:$1,0)-MATCH($C$1,[1]quests!$1:$1,0)+1),MATCH(E$1,[1]quests!$1:$1,0)-MATCH($C$1,[1]quests!$1:$1,0)+1,FALSE)</f>
        <v>ドロップイベント3（マルチ専用）</v>
      </c>
      <c r="F1152" s="5">
        <v>1</v>
      </c>
      <c r="G1152" s="3" t="str">
        <f ca="1">VLOOKUP($C1152&amp;"_"&amp;$F1152,OFFSET([1]stages!$A$1,0,0,COUNTA([1]stages!$A:$A),MATCH(G$1,[1]stages!$2:$2,0)-MATCH("temp_stage",[1]stages!$2:$2,0)+1),MATCH(G$1,[1]stages!$2:$2,0)-MATCH("temp_stage",[1]stages!$2:$2,0)+1,FALSE)</f>
        <v>【上級】気怠い巨読者</v>
      </c>
      <c r="H1152" s="3" t="str">
        <f ca="1">VLOOKUP($C1152&amp;"_"&amp;$F1152,OFFSET([1]stages!$A$1,0,0,COUNTA([1]stages!$A:$A),MATCH(H$1,[1]stages!$2:$2,0)-MATCH("temp_stage",[1]stages!$2:$2,0)+1),MATCH(H$1,[1]stages!$2:$2,0)-MATCH("temp_stage",[1]stages!$2:$2,0)+1,FALSE)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2" s="18">
        <v>0</v>
      </c>
      <c r="J1152" s="5">
        <f>COUNTIF(C$1:C1152,C1152)</f>
        <v>29</v>
      </c>
      <c r="K1152" s="34">
        <v>33</v>
      </c>
      <c r="L1152" s="5" t="s">
        <v>17</v>
      </c>
      <c r="M1152" s="38" t="str">
        <f>VLOOKUP(K1152,[2]stage_hints!$A:$C,3,FALSE)</f>
        <v>敵のカウンター攻撃には</v>
      </c>
      <c r="N1152" s="39" t="str">
        <f>VLOOKUP(K1152,[2]stage_hints!$A:$D,4,FALSE)</f>
        <v>カウンターブレイクスキルを持っていれば
敵のカウンターを解除して攻撃ができます</v>
      </c>
      <c r="O1152" s="20" t="s">
        <v>24</v>
      </c>
      <c r="P1152">
        <v>33</v>
      </c>
    </row>
    <row r="1153" spans="1:16" x14ac:dyDescent="0.15">
      <c r="A1153" s="27" t="str">
        <f t="shared" si="81"/>
        <v>30011_1_30</v>
      </c>
      <c r="B1153" s="25" t="s">
        <v>34</v>
      </c>
      <c r="C1153" s="4">
        <v>30011</v>
      </c>
      <c r="D1153" s="3" t="str">
        <f ca="1">VLOOKUP($C1153,OFFSET([1]quests!$A$1,0,0,COUNTA([1]quests!$A:$A),MATCH(D$1,[1]quests!$1:$1,0)-MATCH($C$1,[1]quests!$1:$1,0)+1),MATCH(D$1,[1]quests!$1:$1,0)-MATCH($C$1,[1]quests!$1:$1,0)+1,FALSE)</f>
        <v>気怠い巨読者</v>
      </c>
      <c r="E1153" s="3" t="str">
        <f ca="1">VLOOKUP($C1153,OFFSET([1]quests!$A$1,0,0,COUNTA([1]quests!$A:$A),MATCH(E$1,[1]quests!$1:$1,0)-MATCH($C$1,[1]quests!$1:$1,0)+1),MATCH(E$1,[1]quests!$1:$1,0)-MATCH($C$1,[1]quests!$1:$1,0)+1,FALSE)</f>
        <v>ドロップイベント3（マルチ専用）</v>
      </c>
      <c r="F1153" s="5">
        <v>1</v>
      </c>
      <c r="G1153" s="3" t="str">
        <f ca="1">VLOOKUP($C1153&amp;"_"&amp;$F1153,OFFSET([1]stages!$A$1,0,0,COUNTA([1]stages!$A:$A),MATCH(G$1,[1]stages!$2:$2,0)-MATCH("temp_stage",[1]stages!$2:$2,0)+1),MATCH(G$1,[1]stages!$2:$2,0)-MATCH("temp_stage",[1]stages!$2:$2,0)+1,FALSE)</f>
        <v>【上級】気怠い巨読者</v>
      </c>
      <c r="H1153" s="3" t="str">
        <f ca="1">VLOOKUP($C1153&amp;"_"&amp;$F1153,OFFSET([1]stages!$A$1,0,0,COUNTA([1]stages!$A:$A),MATCH(H$1,[1]stages!$2:$2,0)-MATCH("temp_stage",[1]stages!$2:$2,0)+1),MATCH(H$1,[1]stages!$2:$2,0)-MATCH("temp_stage",[1]stages!$2:$2,0)+1,FALSE)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3" s="18">
        <v>0</v>
      </c>
      <c r="J1153" s="5">
        <f>COUNTIF(C$1:C1153,C1153)</f>
        <v>30</v>
      </c>
      <c r="K1153" s="34">
        <v>34</v>
      </c>
      <c r="L1153" s="5" t="s">
        <v>17</v>
      </c>
      <c r="M1153" s="38" t="str">
        <f>VLOOKUP(K1153,[2]stage_hints!$A:$C,3,FALSE)</f>
        <v>ステータスをスキルで下げられたら</v>
      </c>
      <c r="N1153" s="39" t="str">
        <f>VLOOKUP(K1153,[2]stage_hints!$A:$D,4,FALSE)</f>
        <v>ステータスダウンのスキルを受けたら
ステータスアップスキルで上書きしましょう</v>
      </c>
      <c r="O1153" s="20" t="s">
        <v>24</v>
      </c>
      <c r="P1153">
        <v>34</v>
      </c>
    </row>
    <row r="1154" spans="1:16" x14ac:dyDescent="0.15">
      <c r="A1154" s="27" t="str">
        <f t="shared" si="81"/>
        <v>30011_1_31</v>
      </c>
      <c r="B1154" s="25" t="s">
        <v>34</v>
      </c>
      <c r="C1154" s="4">
        <v>30011</v>
      </c>
      <c r="D1154" s="3" t="str">
        <f ca="1">VLOOKUP($C1154,OFFSET([1]quests!$A$1,0,0,COUNTA([1]quests!$A:$A),MATCH(D$1,[1]quests!$1:$1,0)-MATCH($C$1,[1]quests!$1:$1,0)+1),MATCH(D$1,[1]quests!$1:$1,0)-MATCH($C$1,[1]quests!$1:$1,0)+1,FALSE)</f>
        <v>気怠い巨読者</v>
      </c>
      <c r="E1154" s="3" t="str">
        <f ca="1">VLOOKUP($C1154,OFFSET([1]quests!$A$1,0,0,COUNTA([1]quests!$A:$A),MATCH(E$1,[1]quests!$1:$1,0)-MATCH($C$1,[1]quests!$1:$1,0)+1),MATCH(E$1,[1]quests!$1:$1,0)-MATCH($C$1,[1]quests!$1:$1,0)+1,FALSE)</f>
        <v>ドロップイベント3（マルチ専用）</v>
      </c>
      <c r="F1154" s="5">
        <v>1</v>
      </c>
      <c r="G1154" s="3" t="str">
        <f ca="1">VLOOKUP($C1154&amp;"_"&amp;$F1154,OFFSET([1]stages!$A$1,0,0,COUNTA([1]stages!$A:$A),MATCH(G$1,[1]stages!$2:$2,0)-MATCH("temp_stage",[1]stages!$2:$2,0)+1),MATCH(G$1,[1]stages!$2:$2,0)-MATCH("temp_stage",[1]stages!$2:$2,0)+1,FALSE)</f>
        <v>【上級】気怠い巨読者</v>
      </c>
      <c r="H1154" s="3" t="str">
        <f ca="1">VLOOKUP($C1154&amp;"_"&amp;$F1154,OFFSET([1]stages!$A$1,0,0,COUNTA([1]stages!$A:$A),MATCH(H$1,[1]stages!$2:$2,0)-MATCH("temp_stage",[1]stages!$2:$2,0)+1),MATCH(H$1,[1]stages!$2:$2,0)-MATCH("temp_stage",[1]stages!$2:$2,0)+1,FALSE)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4" s="18">
        <v>0</v>
      </c>
      <c r="J1154" s="5">
        <f>COUNTIF(C$1:C1154,C1154)</f>
        <v>31</v>
      </c>
      <c r="K1154" s="34">
        <v>35</v>
      </c>
      <c r="L1154" s="5" t="s">
        <v>17</v>
      </c>
      <c r="M1154" s="38" t="str">
        <f>VLOOKUP(K1154,[2]stage_hints!$A:$C,3,FALSE)</f>
        <v>敵のステータスがスキルで上がったら</v>
      </c>
      <c r="N1154" s="39" t="str">
        <f>VLOOKUP(K1154,[2]stage_hints!$A:$D,4,FALSE)</f>
        <v>敵のステータスがスキルでアップしたときは
ステータスダウンスキルで上書きしましょう</v>
      </c>
      <c r="O1154" s="20" t="s">
        <v>24</v>
      </c>
      <c r="P1154">
        <v>35</v>
      </c>
    </row>
    <row r="1155" spans="1:16" x14ac:dyDescent="0.15">
      <c r="A1155" s="27" t="str">
        <f t="shared" si="81"/>
        <v>30011_1_32</v>
      </c>
      <c r="B1155" s="25" t="s">
        <v>34</v>
      </c>
      <c r="C1155" s="4">
        <v>30011</v>
      </c>
      <c r="D1155" s="3" t="str">
        <f ca="1">VLOOKUP($C1155,OFFSET([1]quests!$A$1,0,0,COUNTA([1]quests!$A:$A),MATCH(D$1,[1]quests!$1:$1,0)-MATCH($C$1,[1]quests!$1:$1,0)+1),MATCH(D$1,[1]quests!$1:$1,0)-MATCH($C$1,[1]quests!$1:$1,0)+1,FALSE)</f>
        <v>気怠い巨読者</v>
      </c>
      <c r="E1155" s="3" t="str">
        <f ca="1">VLOOKUP($C1155,OFFSET([1]quests!$A$1,0,0,COUNTA([1]quests!$A:$A),MATCH(E$1,[1]quests!$1:$1,0)-MATCH($C$1,[1]quests!$1:$1,0)+1),MATCH(E$1,[1]quests!$1:$1,0)-MATCH($C$1,[1]quests!$1:$1,0)+1,FALSE)</f>
        <v>ドロップイベント3（マルチ専用）</v>
      </c>
      <c r="F1155" s="5">
        <v>1</v>
      </c>
      <c r="G1155" s="3" t="str">
        <f ca="1">VLOOKUP($C1155&amp;"_"&amp;$F1155,OFFSET([1]stages!$A$1,0,0,COUNTA([1]stages!$A:$A),MATCH(G$1,[1]stages!$2:$2,0)-MATCH("temp_stage",[1]stages!$2:$2,0)+1),MATCH(G$1,[1]stages!$2:$2,0)-MATCH("temp_stage",[1]stages!$2:$2,0)+1,FALSE)</f>
        <v>【上級】気怠い巨読者</v>
      </c>
      <c r="H1155" s="3" t="str">
        <f ca="1">VLOOKUP($C1155&amp;"_"&amp;$F1155,OFFSET([1]stages!$A$1,0,0,COUNTA([1]stages!$A:$A),MATCH(H$1,[1]stages!$2:$2,0)-MATCH("temp_stage",[1]stages!$2:$2,0)+1),MATCH(H$1,[1]stages!$2:$2,0)-MATCH("temp_stage",[1]stages!$2:$2,0)+1,FALSE)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5" s="18">
        <v>0</v>
      </c>
      <c r="J1155" s="5">
        <f>COUNTIF(C$1:C1155,C1155)</f>
        <v>32</v>
      </c>
      <c r="K1155" s="34">
        <v>36</v>
      </c>
      <c r="L1155" s="5" t="s">
        <v>17</v>
      </c>
      <c r="M1155" s="38" t="str">
        <f>VLOOKUP(K1155,[2]stage_hints!$A:$C,3,FALSE)</f>
        <v>チャレンジタワーのボス</v>
      </c>
      <c r="N1155" s="39" t="str">
        <f>VLOOKUP(K1155,[2]stage_hints!$A:$D,4,FALSE)</f>
        <v>チャレンジタワーでのみ登場するボスは
一定確率で獲得することができます</v>
      </c>
      <c r="O1155" s="20" t="s">
        <v>24</v>
      </c>
      <c r="P1155">
        <v>36</v>
      </c>
    </row>
    <row r="1156" spans="1:16" x14ac:dyDescent="0.15">
      <c r="A1156" s="27" t="str">
        <f t="shared" si="81"/>
        <v>30011_1_33</v>
      </c>
      <c r="B1156" s="25" t="s">
        <v>34</v>
      </c>
      <c r="C1156" s="4">
        <v>30011</v>
      </c>
      <c r="D1156" s="3" t="str">
        <f ca="1">VLOOKUP($C1156,OFFSET([1]quests!$A$1,0,0,COUNTA([1]quests!$A:$A),MATCH(D$1,[1]quests!$1:$1,0)-MATCH($C$1,[1]quests!$1:$1,0)+1),MATCH(D$1,[1]quests!$1:$1,0)-MATCH($C$1,[1]quests!$1:$1,0)+1,FALSE)</f>
        <v>気怠い巨読者</v>
      </c>
      <c r="E1156" s="3" t="str">
        <f ca="1">VLOOKUP($C1156,OFFSET([1]quests!$A$1,0,0,COUNTA([1]quests!$A:$A),MATCH(E$1,[1]quests!$1:$1,0)-MATCH($C$1,[1]quests!$1:$1,0)+1),MATCH(E$1,[1]quests!$1:$1,0)-MATCH($C$1,[1]quests!$1:$1,0)+1,FALSE)</f>
        <v>ドロップイベント3（マルチ専用）</v>
      </c>
      <c r="F1156" s="5">
        <v>1</v>
      </c>
      <c r="G1156" s="3" t="str">
        <f ca="1">VLOOKUP($C1156&amp;"_"&amp;$F1156,OFFSET([1]stages!$A$1,0,0,COUNTA([1]stages!$A:$A),MATCH(G$1,[1]stages!$2:$2,0)-MATCH("temp_stage",[1]stages!$2:$2,0)+1),MATCH(G$1,[1]stages!$2:$2,0)-MATCH("temp_stage",[1]stages!$2:$2,0)+1,FALSE)</f>
        <v>【上級】気怠い巨読者</v>
      </c>
      <c r="H1156" s="3" t="str">
        <f ca="1">VLOOKUP($C1156&amp;"_"&amp;$F1156,OFFSET([1]stages!$A$1,0,0,COUNTA([1]stages!$A:$A),MATCH(H$1,[1]stages!$2:$2,0)-MATCH("temp_stage",[1]stages!$2:$2,0)+1),MATCH(H$1,[1]stages!$2:$2,0)-MATCH("temp_stage",[1]stages!$2:$2,0)+1,FALSE)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6" s="18">
        <v>0</v>
      </c>
      <c r="J1156" s="5">
        <f>COUNTIF(C$1:C1156,C1156)</f>
        <v>33</v>
      </c>
      <c r="K1156" s="34">
        <v>37</v>
      </c>
      <c r="L1156" s="5" t="s">
        <v>17</v>
      </c>
      <c r="M1156" s="38" t="str">
        <f>VLOOKUP(K1156,[2]stage_hints!$A:$C,3,FALSE)</f>
        <v>限界突破値の引き継ぎ</v>
      </c>
      <c r="N1156" s="39" t="str">
        <f>VLOOKUP(K1156,[2]stage_hints!$A:$D,4,FALSE)</f>
        <v>同じユニットを強化で合成すると
限界突破値を引き継げます（覚醒前後も可）</v>
      </c>
      <c r="O1156" s="20" t="s">
        <v>24</v>
      </c>
      <c r="P1156">
        <v>37</v>
      </c>
    </row>
    <row r="1157" spans="1:16" x14ac:dyDescent="0.15">
      <c r="A1157" s="27" t="str">
        <f t="shared" si="81"/>
        <v>30012_1_1</v>
      </c>
      <c r="B1157" s="25" t="s">
        <v>34</v>
      </c>
      <c r="C1157" s="4">
        <v>30012</v>
      </c>
      <c r="D1157" s="3" t="str">
        <f ca="1">VLOOKUP($C1157,OFFSET([1]quests!$A$1,0,0,COUNTA([1]quests!$A:$A),MATCH(D$1,[1]quests!$1:$1,0)-MATCH($C$1,[1]quests!$1:$1,0)+1),MATCH(D$1,[1]quests!$1:$1,0)-MATCH($C$1,[1]quests!$1:$1,0)+1,FALSE)</f>
        <v>底なしの胃袋</v>
      </c>
      <c r="E1157" s="3" t="str">
        <f ca="1">VLOOKUP($C1157,OFFSET([1]quests!$A$1,0,0,COUNTA([1]quests!$A:$A),MATCH(E$1,[1]quests!$1:$1,0)-MATCH($C$1,[1]quests!$1:$1,0)+1),MATCH(E$1,[1]quests!$1:$1,0)-MATCH($C$1,[1]quests!$1:$1,0)+1,FALSE)</f>
        <v>ドロップイベント3（マルチ専用）</v>
      </c>
      <c r="F1157" s="5">
        <v>1</v>
      </c>
      <c r="G1157" s="3" t="str">
        <f ca="1">VLOOKUP($C1157&amp;"_"&amp;$F1157,OFFSET([1]stages!$A$1,0,0,COUNTA([1]stages!$A:$A),MATCH(G$1,[1]stages!$2:$2,0)-MATCH("temp_stage",[1]stages!$2:$2,0)+1),MATCH(G$1,[1]stages!$2:$2,0)-MATCH("temp_stage",[1]stages!$2:$2,0)+1,FALSE)</f>
        <v>【上級】底なしの胃袋</v>
      </c>
      <c r="H1157" s="3" t="str">
        <f ca="1">VLOOKUP($C1157&amp;"_"&amp;$F1157,OFFSET([1]stages!$A$1,0,0,COUNTA([1]stages!$A:$A),MATCH(H$1,[1]stages!$2:$2,0)-MATCH("temp_stage",[1]stages!$2:$2,0)+1),MATCH(H$1,[1]stages!$2:$2,0)-MATCH("temp_stage",[1]stages!$2:$2,0)+1,FALSE)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7" s="18">
        <v>0</v>
      </c>
      <c r="J1157" s="5">
        <f>COUNTIF(C$1:C1157,C1157)</f>
        <v>1</v>
      </c>
      <c r="K1157" s="34">
        <v>3</v>
      </c>
      <c r="L1157" s="5" t="s">
        <v>17</v>
      </c>
      <c r="M1157" s="38" t="str">
        <f>VLOOKUP(K1157,[2]stage_hints!$A:$C,3,FALSE)</f>
        <v>ターゲット</v>
      </c>
      <c r="N1157" s="39" t="str">
        <f>VLOOKUP(K1157,[2]stage_hints!$A:$D,4,FALSE)</f>
        <v>敵ユニットをタップすると
その敵を狙い撃ちできます</v>
      </c>
      <c r="O1157" s="20" t="s">
        <v>24</v>
      </c>
      <c r="P1157">
        <v>3</v>
      </c>
    </row>
    <row r="1158" spans="1:16" x14ac:dyDescent="0.15">
      <c r="A1158" s="27" t="str">
        <f t="shared" si="81"/>
        <v>30012_1_2</v>
      </c>
      <c r="B1158" s="25" t="s">
        <v>34</v>
      </c>
      <c r="C1158" s="4">
        <v>30012</v>
      </c>
      <c r="D1158" s="3" t="str">
        <f ca="1">VLOOKUP($C1158,OFFSET([1]quests!$A$1,0,0,COUNTA([1]quests!$A:$A),MATCH(D$1,[1]quests!$1:$1,0)-MATCH($C$1,[1]quests!$1:$1,0)+1),MATCH(D$1,[1]quests!$1:$1,0)-MATCH($C$1,[1]quests!$1:$1,0)+1,FALSE)</f>
        <v>底なしの胃袋</v>
      </c>
      <c r="E1158" s="3" t="str">
        <f ca="1">VLOOKUP($C1158,OFFSET([1]quests!$A$1,0,0,COUNTA([1]quests!$A:$A),MATCH(E$1,[1]quests!$1:$1,0)-MATCH($C$1,[1]quests!$1:$1,0)+1),MATCH(E$1,[1]quests!$1:$1,0)-MATCH($C$1,[1]quests!$1:$1,0)+1,FALSE)</f>
        <v>ドロップイベント3（マルチ専用）</v>
      </c>
      <c r="F1158" s="5">
        <v>1</v>
      </c>
      <c r="G1158" s="3" t="str">
        <f ca="1">VLOOKUP($C1158&amp;"_"&amp;$F1158,OFFSET([1]stages!$A$1,0,0,COUNTA([1]stages!$A:$A),MATCH(G$1,[1]stages!$2:$2,0)-MATCH("temp_stage",[1]stages!$2:$2,0)+1),MATCH(G$1,[1]stages!$2:$2,0)-MATCH("temp_stage",[1]stages!$2:$2,0)+1,FALSE)</f>
        <v>【上級】底なしの胃袋</v>
      </c>
      <c r="H1158" s="3" t="str">
        <f ca="1">VLOOKUP($C1158&amp;"_"&amp;$F1158,OFFSET([1]stages!$A$1,0,0,COUNTA([1]stages!$A:$A),MATCH(H$1,[1]stages!$2:$2,0)-MATCH("temp_stage",[1]stages!$2:$2,0)+1),MATCH(H$1,[1]stages!$2:$2,0)-MATCH("temp_stage",[1]stages!$2:$2,0)+1,FALSE)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8" s="18">
        <v>0</v>
      </c>
      <c r="J1158" s="5">
        <f>COUNTIF(C$1:C1158,C1158)</f>
        <v>2</v>
      </c>
      <c r="K1158" s="34">
        <v>6</v>
      </c>
      <c r="L1158" s="5" t="s">
        <v>17</v>
      </c>
      <c r="M1158" s="38" t="str">
        <f>VLOOKUP(K1158,[2]stage_hints!$A:$C,3,FALSE)</f>
        <v>ユニット強化の属性ボーナス</v>
      </c>
      <c r="N1158" s="39" t="str">
        <f>VLOOKUP(K1158,[2]stage_hints!$A:$D,4,FALSE)</f>
        <v>同属性ユニットを強化素材にすると
経験値が多くもらえます</v>
      </c>
      <c r="O1158" s="20" t="s">
        <v>24</v>
      </c>
      <c r="P1158">
        <v>6</v>
      </c>
    </row>
    <row r="1159" spans="1:16" x14ac:dyDescent="0.15">
      <c r="A1159" s="27" t="str">
        <f t="shared" si="81"/>
        <v>30012_1_3</v>
      </c>
      <c r="B1159" s="25" t="s">
        <v>34</v>
      </c>
      <c r="C1159" s="4">
        <v>30012</v>
      </c>
      <c r="D1159" s="3" t="str">
        <f ca="1">VLOOKUP($C1159,OFFSET([1]quests!$A$1,0,0,COUNTA([1]quests!$A:$A),MATCH(D$1,[1]quests!$1:$1,0)-MATCH($C$1,[1]quests!$1:$1,0)+1),MATCH(D$1,[1]quests!$1:$1,0)-MATCH($C$1,[1]quests!$1:$1,0)+1,FALSE)</f>
        <v>底なしの胃袋</v>
      </c>
      <c r="E1159" s="3" t="str">
        <f ca="1">VLOOKUP($C1159,OFFSET([1]quests!$A$1,0,0,COUNTA([1]quests!$A:$A),MATCH(E$1,[1]quests!$1:$1,0)-MATCH($C$1,[1]quests!$1:$1,0)+1),MATCH(E$1,[1]quests!$1:$1,0)-MATCH($C$1,[1]quests!$1:$1,0)+1,FALSE)</f>
        <v>ドロップイベント3（マルチ専用）</v>
      </c>
      <c r="F1159" s="5">
        <v>1</v>
      </c>
      <c r="G1159" s="3" t="str">
        <f ca="1">VLOOKUP($C1159&amp;"_"&amp;$F1159,OFFSET([1]stages!$A$1,0,0,COUNTA([1]stages!$A:$A),MATCH(G$1,[1]stages!$2:$2,0)-MATCH("temp_stage",[1]stages!$2:$2,0)+1),MATCH(G$1,[1]stages!$2:$2,0)-MATCH("temp_stage",[1]stages!$2:$2,0)+1,FALSE)</f>
        <v>【上級】底なしの胃袋</v>
      </c>
      <c r="H1159" s="3" t="str">
        <f ca="1">VLOOKUP($C1159&amp;"_"&amp;$F1159,OFFSET([1]stages!$A$1,0,0,COUNTA([1]stages!$A:$A),MATCH(H$1,[1]stages!$2:$2,0)-MATCH("temp_stage",[1]stages!$2:$2,0)+1),MATCH(H$1,[1]stages!$2:$2,0)-MATCH("temp_stage",[1]stages!$2:$2,0)+1,FALSE)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59" s="18">
        <v>0</v>
      </c>
      <c r="J1159" s="5">
        <f>COUNTIF(C$1:C1159,C1159)</f>
        <v>3</v>
      </c>
      <c r="K1159" s="34">
        <v>7</v>
      </c>
      <c r="L1159" s="5" t="s">
        <v>17</v>
      </c>
      <c r="M1159" s="38" t="str">
        <f>VLOOKUP(K1159,[2]stage_hints!$A:$C,3,FALSE)</f>
        <v>メタルダックで経験値を獲得</v>
      </c>
      <c r="N1159" s="39" t="str">
        <f>VLOOKUP(K1159,[2]stage_hints!$A:$D,4,FALSE)</f>
        <v>「メタルなアヒル」を強化素材にすると
大量の経験値がもらえます</v>
      </c>
      <c r="O1159" s="20" t="s">
        <v>24</v>
      </c>
      <c r="P1159">
        <v>7</v>
      </c>
    </row>
    <row r="1160" spans="1:16" x14ac:dyDescent="0.15">
      <c r="A1160" s="27" t="str">
        <f t="shared" si="81"/>
        <v>30012_1_4</v>
      </c>
      <c r="B1160" s="25" t="s">
        <v>34</v>
      </c>
      <c r="C1160" s="4">
        <v>30012</v>
      </c>
      <c r="D1160" s="3" t="str">
        <f ca="1">VLOOKUP($C1160,OFFSET([1]quests!$A$1,0,0,COUNTA([1]quests!$A:$A),MATCH(D$1,[1]quests!$1:$1,0)-MATCH($C$1,[1]quests!$1:$1,0)+1),MATCH(D$1,[1]quests!$1:$1,0)-MATCH($C$1,[1]quests!$1:$1,0)+1,FALSE)</f>
        <v>底なしの胃袋</v>
      </c>
      <c r="E1160" s="3" t="str">
        <f ca="1">VLOOKUP($C1160,OFFSET([1]quests!$A$1,0,0,COUNTA([1]quests!$A:$A),MATCH(E$1,[1]quests!$1:$1,0)-MATCH($C$1,[1]quests!$1:$1,0)+1),MATCH(E$1,[1]quests!$1:$1,0)-MATCH($C$1,[1]quests!$1:$1,0)+1,FALSE)</f>
        <v>ドロップイベント3（マルチ専用）</v>
      </c>
      <c r="F1160" s="5">
        <v>1</v>
      </c>
      <c r="G1160" s="3" t="str">
        <f ca="1">VLOOKUP($C1160&amp;"_"&amp;$F1160,OFFSET([1]stages!$A$1,0,0,COUNTA([1]stages!$A:$A),MATCH(G$1,[1]stages!$2:$2,0)-MATCH("temp_stage",[1]stages!$2:$2,0)+1),MATCH(G$1,[1]stages!$2:$2,0)-MATCH("temp_stage",[1]stages!$2:$2,0)+1,FALSE)</f>
        <v>【上級】底なしの胃袋</v>
      </c>
      <c r="H1160" s="3" t="str">
        <f ca="1">VLOOKUP($C1160&amp;"_"&amp;$F1160,OFFSET([1]stages!$A$1,0,0,COUNTA([1]stages!$A:$A),MATCH(H$1,[1]stages!$2:$2,0)-MATCH("temp_stage",[1]stages!$2:$2,0)+1),MATCH(H$1,[1]stages!$2:$2,0)-MATCH("temp_stage",[1]stages!$2:$2,0)+1,FALSE)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0" s="18">
        <v>0</v>
      </c>
      <c r="J1160" s="5">
        <f>COUNTIF(C$1:C1160,C1160)</f>
        <v>4</v>
      </c>
      <c r="K1160" s="34">
        <v>8</v>
      </c>
      <c r="L1160" s="5" t="s">
        <v>17</v>
      </c>
      <c r="M1160" s="38" t="str">
        <f>VLOOKUP(K1160,[2]stage_hints!$A:$C,3,FALSE)</f>
        <v>ゲリラクエストは要チェック</v>
      </c>
      <c r="N1160" s="39" t="str">
        <f>VLOOKUP(K1160,[2]stage_hints!$A:$D,4,FALSE)</f>
        <v>時間限定の「アヒル捕獲作戦」では
経験値素材ユニットが多く手に入ります</v>
      </c>
      <c r="O1160" s="20" t="s">
        <v>24</v>
      </c>
      <c r="P1160">
        <v>8</v>
      </c>
    </row>
    <row r="1161" spans="1:16" x14ac:dyDescent="0.15">
      <c r="A1161" s="27" t="str">
        <f t="shared" si="81"/>
        <v>30012_1_5</v>
      </c>
      <c r="B1161" s="25" t="s">
        <v>34</v>
      </c>
      <c r="C1161" s="4">
        <v>30012</v>
      </c>
      <c r="D1161" s="3" t="str">
        <f ca="1">VLOOKUP($C1161,OFFSET([1]quests!$A$1,0,0,COUNTA([1]quests!$A:$A),MATCH(D$1,[1]quests!$1:$1,0)-MATCH($C$1,[1]quests!$1:$1,0)+1),MATCH(D$1,[1]quests!$1:$1,0)-MATCH($C$1,[1]quests!$1:$1,0)+1,FALSE)</f>
        <v>底なしの胃袋</v>
      </c>
      <c r="E1161" s="3" t="str">
        <f ca="1">VLOOKUP($C1161,OFFSET([1]quests!$A$1,0,0,COUNTA([1]quests!$A:$A),MATCH(E$1,[1]quests!$1:$1,0)-MATCH($C$1,[1]quests!$1:$1,0)+1),MATCH(E$1,[1]quests!$1:$1,0)-MATCH($C$1,[1]quests!$1:$1,0)+1,FALSE)</f>
        <v>ドロップイベント3（マルチ専用）</v>
      </c>
      <c r="F1161" s="5">
        <v>1</v>
      </c>
      <c r="G1161" s="3" t="str">
        <f ca="1">VLOOKUP($C1161&amp;"_"&amp;$F1161,OFFSET([1]stages!$A$1,0,0,COUNTA([1]stages!$A:$A),MATCH(G$1,[1]stages!$2:$2,0)-MATCH("temp_stage",[1]stages!$2:$2,0)+1),MATCH(G$1,[1]stages!$2:$2,0)-MATCH("temp_stage",[1]stages!$2:$2,0)+1,FALSE)</f>
        <v>【上級】底なしの胃袋</v>
      </c>
      <c r="H1161" s="3" t="str">
        <f ca="1">VLOOKUP($C1161&amp;"_"&amp;$F1161,OFFSET([1]stages!$A$1,0,0,COUNTA([1]stages!$A:$A),MATCH(H$1,[1]stages!$2:$2,0)-MATCH("temp_stage",[1]stages!$2:$2,0)+1),MATCH(H$1,[1]stages!$2:$2,0)-MATCH("temp_stage",[1]stages!$2:$2,0)+1,FALSE)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1" s="18">
        <v>0</v>
      </c>
      <c r="J1161" s="5">
        <f>COUNTIF(C$1:C1161,C1161)</f>
        <v>5</v>
      </c>
      <c r="K1161" s="34">
        <v>9</v>
      </c>
      <c r="L1161" s="5" t="s">
        <v>17</v>
      </c>
      <c r="M1161" s="38" t="str">
        <f>VLOOKUP(K1161,[2]stage_hints!$A:$C,3,FALSE)</f>
        <v>ゴールドダックでビットを獲得</v>
      </c>
      <c r="N1161" s="39" t="str">
        <f>VLOOKUP(K1161,[2]stage_hints!$A:$D,4,FALSE)</f>
        <v>「ゴールドなアヒル」を売却すると
大量のビットがもらえます</v>
      </c>
      <c r="O1161" s="20" t="s">
        <v>24</v>
      </c>
      <c r="P1161">
        <v>9</v>
      </c>
    </row>
    <row r="1162" spans="1:16" x14ac:dyDescent="0.15">
      <c r="A1162" s="27" t="str">
        <f t="shared" si="81"/>
        <v>30012_1_6</v>
      </c>
      <c r="B1162" s="25" t="s">
        <v>34</v>
      </c>
      <c r="C1162" s="4">
        <v>30012</v>
      </c>
      <c r="D1162" s="3" t="str">
        <f ca="1">VLOOKUP($C1162,OFFSET([1]quests!$A$1,0,0,COUNTA([1]quests!$A:$A),MATCH(D$1,[1]quests!$1:$1,0)-MATCH($C$1,[1]quests!$1:$1,0)+1),MATCH(D$1,[1]quests!$1:$1,0)-MATCH($C$1,[1]quests!$1:$1,0)+1,FALSE)</f>
        <v>底なしの胃袋</v>
      </c>
      <c r="E1162" s="3" t="str">
        <f ca="1">VLOOKUP($C1162,OFFSET([1]quests!$A$1,0,0,COUNTA([1]quests!$A:$A),MATCH(E$1,[1]quests!$1:$1,0)-MATCH($C$1,[1]quests!$1:$1,0)+1),MATCH(E$1,[1]quests!$1:$1,0)-MATCH($C$1,[1]quests!$1:$1,0)+1,FALSE)</f>
        <v>ドロップイベント3（マルチ専用）</v>
      </c>
      <c r="F1162" s="5">
        <v>1</v>
      </c>
      <c r="G1162" s="3" t="str">
        <f ca="1">VLOOKUP($C1162&amp;"_"&amp;$F1162,OFFSET([1]stages!$A$1,0,0,COUNTA([1]stages!$A:$A),MATCH(G$1,[1]stages!$2:$2,0)-MATCH("temp_stage",[1]stages!$2:$2,0)+1),MATCH(G$1,[1]stages!$2:$2,0)-MATCH("temp_stage",[1]stages!$2:$2,0)+1,FALSE)</f>
        <v>【上級】底なしの胃袋</v>
      </c>
      <c r="H1162" s="3" t="str">
        <f ca="1">VLOOKUP($C1162&amp;"_"&amp;$F1162,OFFSET([1]stages!$A$1,0,0,COUNTA([1]stages!$A:$A),MATCH(H$1,[1]stages!$2:$2,0)-MATCH("temp_stage",[1]stages!$2:$2,0)+1),MATCH(H$1,[1]stages!$2:$2,0)-MATCH("temp_stage",[1]stages!$2:$2,0)+1,FALSE)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2" s="18">
        <v>0</v>
      </c>
      <c r="J1162" s="5">
        <f>COUNTIF(C$1:C1162,C1162)</f>
        <v>6</v>
      </c>
      <c r="K1162" s="34">
        <v>10</v>
      </c>
      <c r="L1162" s="5" t="s">
        <v>17</v>
      </c>
      <c r="M1162" s="38" t="str">
        <f>VLOOKUP(K1162,[2]stage_hints!$A:$C,3,FALSE)</f>
        <v>土日に大量のビットを獲得</v>
      </c>
      <c r="N1162" s="39" t="str">
        <f>VLOOKUP(K1162,[2]stage_hints!$A:$D,4,FALSE)</f>
        <v>土日限定の「ゴールドカジノ」では
売却素材ユニットが多く手に入ります</v>
      </c>
      <c r="O1162" s="20" t="s">
        <v>24</v>
      </c>
      <c r="P1162">
        <v>10</v>
      </c>
    </row>
    <row r="1163" spans="1:16" x14ac:dyDescent="0.15">
      <c r="A1163" s="27" t="str">
        <f t="shared" si="81"/>
        <v>30012_1_7</v>
      </c>
      <c r="B1163" s="25" t="s">
        <v>34</v>
      </c>
      <c r="C1163" s="4">
        <v>30012</v>
      </c>
      <c r="D1163" s="3" t="str">
        <f ca="1">VLOOKUP($C1163,OFFSET([1]quests!$A$1,0,0,COUNTA([1]quests!$A:$A),MATCH(D$1,[1]quests!$1:$1,0)-MATCH($C$1,[1]quests!$1:$1,0)+1),MATCH(D$1,[1]quests!$1:$1,0)-MATCH($C$1,[1]quests!$1:$1,0)+1,FALSE)</f>
        <v>底なしの胃袋</v>
      </c>
      <c r="E1163" s="3" t="str">
        <f ca="1">VLOOKUP($C1163,OFFSET([1]quests!$A$1,0,0,COUNTA([1]quests!$A:$A),MATCH(E$1,[1]quests!$1:$1,0)-MATCH($C$1,[1]quests!$1:$1,0)+1),MATCH(E$1,[1]quests!$1:$1,0)-MATCH($C$1,[1]quests!$1:$1,0)+1,FALSE)</f>
        <v>ドロップイベント3（マルチ専用）</v>
      </c>
      <c r="F1163" s="5">
        <v>1</v>
      </c>
      <c r="G1163" s="3" t="str">
        <f ca="1">VLOOKUP($C1163&amp;"_"&amp;$F1163,OFFSET([1]stages!$A$1,0,0,COUNTA([1]stages!$A:$A),MATCH(G$1,[1]stages!$2:$2,0)-MATCH("temp_stage",[1]stages!$2:$2,0)+1),MATCH(G$1,[1]stages!$2:$2,0)-MATCH("temp_stage",[1]stages!$2:$2,0)+1,FALSE)</f>
        <v>【上級】底なしの胃袋</v>
      </c>
      <c r="H1163" s="3" t="str">
        <f ca="1">VLOOKUP($C1163&amp;"_"&amp;$F1163,OFFSET([1]stages!$A$1,0,0,COUNTA([1]stages!$A:$A),MATCH(H$1,[1]stages!$2:$2,0)-MATCH("temp_stage",[1]stages!$2:$2,0)+1),MATCH(H$1,[1]stages!$2:$2,0)-MATCH("temp_stage",[1]stages!$2:$2,0)+1,FALSE)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3" s="18">
        <v>0</v>
      </c>
      <c r="J1163" s="5">
        <f>COUNTIF(C$1:C1163,C1163)</f>
        <v>7</v>
      </c>
      <c r="K1163" s="34">
        <v>11</v>
      </c>
      <c r="L1163" s="5" t="s">
        <v>17</v>
      </c>
      <c r="M1163" s="38" t="str">
        <f>VLOOKUP(K1163,[2]stage_hints!$A:$C,3,FALSE)</f>
        <v>ランク解放クエスト</v>
      </c>
      <c r="N1163" s="39" t="str">
        <f>VLOOKUP(K1163,[2]stage_hints!$A:$D,4,FALSE)</f>
        <v>一定ランクに到達すると
報酬付きのランク開放クエストが現れます</v>
      </c>
      <c r="O1163" s="20" t="s">
        <v>24</v>
      </c>
      <c r="P1163">
        <v>11</v>
      </c>
    </row>
    <row r="1164" spans="1:16" x14ac:dyDescent="0.15">
      <c r="A1164" s="27" t="str">
        <f t="shared" si="81"/>
        <v>30012_1_8</v>
      </c>
      <c r="B1164" s="25" t="s">
        <v>34</v>
      </c>
      <c r="C1164" s="4">
        <v>30012</v>
      </c>
      <c r="D1164" s="3" t="str">
        <f ca="1">VLOOKUP($C1164,OFFSET([1]quests!$A$1,0,0,COUNTA([1]quests!$A:$A),MATCH(D$1,[1]quests!$1:$1,0)-MATCH($C$1,[1]quests!$1:$1,0)+1),MATCH(D$1,[1]quests!$1:$1,0)-MATCH($C$1,[1]quests!$1:$1,0)+1,FALSE)</f>
        <v>底なしの胃袋</v>
      </c>
      <c r="E1164" s="3" t="str">
        <f ca="1">VLOOKUP($C1164,OFFSET([1]quests!$A$1,0,0,COUNTA([1]quests!$A:$A),MATCH(E$1,[1]quests!$1:$1,0)-MATCH($C$1,[1]quests!$1:$1,0)+1),MATCH(E$1,[1]quests!$1:$1,0)-MATCH($C$1,[1]quests!$1:$1,0)+1,FALSE)</f>
        <v>ドロップイベント3（マルチ専用）</v>
      </c>
      <c r="F1164" s="5">
        <v>1</v>
      </c>
      <c r="G1164" s="3" t="str">
        <f ca="1">VLOOKUP($C1164&amp;"_"&amp;$F1164,OFFSET([1]stages!$A$1,0,0,COUNTA([1]stages!$A:$A),MATCH(G$1,[1]stages!$2:$2,0)-MATCH("temp_stage",[1]stages!$2:$2,0)+1),MATCH(G$1,[1]stages!$2:$2,0)-MATCH("temp_stage",[1]stages!$2:$2,0)+1,FALSE)</f>
        <v>【上級】底なしの胃袋</v>
      </c>
      <c r="H1164" s="3" t="str">
        <f ca="1">VLOOKUP($C1164&amp;"_"&amp;$F1164,OFFSET([1]stages!$A$1,0,0,COUNTA([1]stages!$A:$A),MATCH(H$1,[1]stages!$2:$2,0)-MATCH("temp_stage",[1]stages!$2:$2,0)+1),MATCH(H$1,[1]stages!$2:$2,0)-MATCH("temp_stage",[1]stages!$2:$2,0)+1,FALSE)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4" s="18">
        <v>0</v>
      </c>
      <c r="J1164" s="5">
        <f>COUNTIF(C$1:C1164,C1164)</f>
        <v>8</v>
      </c>
      <c r="K1164" s="34">
        <v>12</v>
      </c>
      <c r="L1164" s="5" t="s">
        <v>17</v>
      </c>
      <c r="M1164" s="38" t="str">
        <f>VLOOKUP(K1164,[2]stage_hints!$A:$C,3,FALSE)</f>
        <v>ユニットのお気に入り登録</v>
      </c>
      <c r="N1164" s="39" t="str">
        <f>VLOOKUP(K1164,[2]stage_hints!$A:$D,4,FALSE)</f>
        <v>大事なユニットを誤って消さないように
フォルダから「お気に入り登録」しましょう</v>
      </c>
      <c r="O1164" s="20" t="s">
        <v>24</v>
      </c>
      <c r="P1164">
        <v>12</v>
      </c>
    </row>
    <row r="1165" spans="1:16" x14ac:dyDescent="0.15">
      <c r="A1165" s="27" t="str">
        <f t="shared" si="81"/>
        <v>30012_1_9</v>
      </c>
      <c r="B1165" s="25" t="s">
        <v>34</v>
      </c>
      <c r="C1165" s="4">
        <v>30012</v>
      </c>
      <c r="D1165" s="3" t="str">
        <f ca="1">VLOOKUP($C1165,OFFSET([1]quests!$A$1,0,0,COUNTA([1]quests!$A:$A),MATCH(D$1,[1]quests!$1:$1,0)-MATCH($C$1,[1]quests!$1:$1,0)+1),MATCH(D$1,[1]quests!$1:$1,0)-MATCH($C$1,[1]quests!$1:$1,0)+1,FALSE)</f>
        <v>底なしの胃袋</v>
      </c>
      <c r="E1165" s="3" t="str">
        <f ca="1">VLOOKUP($C1165,OFFSET([1]quests!$A$1,0,0,COUNTA([1]quests!$A:$A),MATCH(E$1,[1]quests!$1:$1,0)-MATCH($C$1,[1]quests!$1:$1,0)+1),MATCH(E$1,[1]quests!$1:$1,0)-MATCH($C$1,[1]quests!$1:$1,0)+1,FALSE)</f>
        <v>ドロップイベント3（マルチ専用）</v>
      </c>
      <c r="F1165" s="5">
        <v>1</v>
      </c>
      <c r="G1165" s="3" t="str">
        <f ca="1">VLOOKUP($C1165&amp;"_"&amp;$F1165,OFFSET([1]stages!$A$1,0,0,COUNTA([1]stages!$A:$A),MATCH(G$1,[1]stages!$2:$2,0)-MATCH("temp_stage",[1]stages!$2:$2,0)+1),MATCH(G$1,[1]stages!$2:$2,0)-MATCH("temp_stage",[1]stages!$2:$2,0)+1,FALSE)</f>
        <v>【上級】底なしの胃袋</v>
      </c>
      <c r="H1165" s="3" t="str">
        <f ca="1">VLOOKUP($C1165&amp;"_"&amp;$F1165,OFFSET([1]stages!$A$1,0,0,COUNTA([1]stages!$A:$A),MATCH(H$1,[1]stages!$2:$2,0)-MATCH("temp_stage",[1]stages!$2:$2,0)+1),MATCH(H$1,[1]stages!$2:$2,0)-MATCH("temp_stage",[1]stages!$2:$2,0)+1,FALSE)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5" s="18">
        <v>0</v>
      </c>
      <c r="J1165" s="5">
        <f>COUNTIF(C$1:C1165,C1165)</f>
        <v>9</v>
      </c>
      <c r="K1165" s="34">
        <v>13</v>
      </c>
      <c r="L1165" s="5" t="s">
        <v>17</v>
      </c>
      <c r="M1165" s="38" t="str">
        <f>VLOOKUP(K1165,[2]stage_hints!$A:$C,3,FALSE)</f>
        <v>ユニットの覚醒</v>
      </c>
      <c r="N1165" s="39" t="str">
        <f>VLOOKUP(K1165,[2]stage_hints!$A:$D,4,FALSE)</f>
        <v>ユニットを覚醒させると
比べものにならない強さが手に入ります</v>
      </c>
      <c r="O1165" s="20" t="s">
        <v>24</v>
      </c>
      <c r="P1165">
        <v>13</v>
      </c>
    </row>
    <row r="1166" spans="1:16" x14ac:dyDescent="0.15">
      <c r="A1166" s="27" t="str">
        <f t="shared" si="81"/>
        <v>30012_1_10</v>
      </c>
      <c r="B1166" s="25" t="s">
        <v>34</v>
      </c>
      <c r="C1166" s="4">
        <v>30012</v>
      </c>
      <c r="D1166" s="3" t="str">
        <f ca="1">VLOOKUP($C1166,OFFSET([1]quests!$A$1,0,0,COUNTA([1]quests!$A:$A),MATCH(D$1,[1]quests!$1:$1,0)-MATCH($C$1,[1]quests!$1:$1,0)+1),MATCH(D$1,[1]quests!$1:$1,0)-MATCH($C$1,[1]quests!$1:$1,0)+1,FALSE)</f>
        <v>底なしの胃袋</v>
      </c>
      <c r="E1166" s="3" t="str">
        <f ca="1">VLOOKUP($C1166,OFFSET([1]quests!$A$1,0,0,COUNTA([1]quests!$A:$A),MATCH(E$1,[1]quests!$1:$1,0)-MATCH($C$1,[1]quests!$1:$1,0)+1),MATCH(E$1,[1]quests!$1:$1,0)-MATCH($C$1,[1]quests!$1:$1,0)+1,FALSE)</f>
        <v>ドロップイベント3（マルチ専用）</v>
      </c>
      <c r="F1166" s="5">
        <v>1</v>
      </c>
      <c r="G1166" s="3" t="str">
        <f ca="1">VLOOKUP($C1166&amp;"_"&amp;$F1166,OFFSET([1]stages!$A$1,0,0,COUNTA([1]stages!$A:$A),MATCH(G$1,[1]stages!$2:$2,0)-MATCH("temp_stage",[1]stages!$2:$2,0)+1),MATCH(G$1,[1]stages!$2:$2,0)-MATCH("temp_stage",[1]stages!$2:$2,0)+1,FALSE)</f>
        <v>【上級】底なしの胃袋</v>
      </c>
      <c r="H1166" s="3" t="str">
        <f ca="1">VLOOKUP($C1166&amp;"_"&amp;$F1166,OFFSET([1]stages!$A$1,0,0,COUNTA([1]stages!$A:$A),MATCH(H$1,[1]stages!$2:$2,0)-MATCH("temp_stage",[1]stages!$2:$2,0)+1),MATCH(H$1,[1]stages!$2:$2,0)-MATCH("temp_stage",[1]stages!$2:$2,0)+1,FALSE)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6" s="18">
        <v>0</v>
      </c>
      <c r="J1166" s="5">
        <f>COUNTIF(C$1:C1166,C1166)</f>
        <v>10</v>
      </c>
      <c r="K1166" s="34">
        <v>14</v>
      </c>
      <c r="L1166" s="5" t="s">
        <v>17</v>
      </c>
      <c r="M1166" s="38" t="str">
        <f>VLOOKUP(K1166,[2]stage_hints!$A:$C,3,FALSE)</f>
        <v>覚醒するにはレベルを最大に</v>
      </c>
      <c r="N1166" s="39" t="str">
        <f>VLOOKUP(K1166,[2]stage_hints!$A:$D,4,FALSE)</f>
        <v>覚醒するにはユニットのレベルを
最大まで上げる必要があります</v>
      </c>
      <c r="O1166" s="20" t="s">
        <v>24</v>
      </c>
      <c r="P1166">
        <v>14</v>
      </c>
    </row>
    <row r="1167" spans="1:16" x14ac:dyDescent="0.15">
      <c r="A1167" s="27" t="str">
        <f t="shared" si="81"/>
        <v>30012_1_11</v>
      </c>
      <c r="B1167" s="25" t="s">
        <v>34</v>
      </c>
      <c r="C1167" s="4">
        <v>30012</v>
      </c>
      <c r="D1167" s="3" t="str">
        <f ca="1">VLOOKUP($C1167,OFFSET([1]quests!$A$1,0,0,COUNTA([1]quests!$A:$A),MATCH(D$1,[1]quests!$1:$1,0)-MATCH($C$1,[1]quests!$1:$1,0)+1),MATCH(D$1,[1]quests!$1:$1,0)-MATCH($C$1,[1]quests!$1:$1,0)+1,FALSE)</f>
        <v>底なしの胃袋</v>
      </c>
      <c r="E1167" s="3" t="str">
        <f ca="1">VLOOKUP($C1167,OFFSET([1]quests!$A$1,0,0,COUNTA([1]quests!$A:$A),MATCH(E$1,[1]quests!$1:$1,0)-MATCH($C$1,[1]quests!$1:$1,0)+1),MATCH(E$1,[1]quests!$1:$1,0)-MATCH($C$1,[1]quests!$1:$1,0)+1,FALSE)</f>
        <v>ドロップイベント3（マルチ専用）</v>
      </c>
      <c r="F1167" s="5">
        <v>1</v>
      </c>
      <c r="G1167" s="3" t="str">
        <f ca="1">VLOOKUP($C1167&amp;"_"&amp;$F1167,OFFSET([1]stages!$A$1,0,0,COUNTA([1]stages!$A:$A),MATCH(G$1,[1]stages!$2:$2,0)-MATCH("temp_stage",[1]stages!$2:$2,0)+1),MATCH(G$1,[1]stages!$2:$2,0)-MATCH("temp_stage",[1]stages!$2:$2,0)+1,FALSE)</f>
        <v>【上級】底なしの胃袋</v>
      </c>
      <c r="H1167" s="3" t="str">
        <f ca="1">VLOOKUP($C1167&amp;"_"&amp;$F1167,OFFSET([1]stages!$A$1,0,0,COUNTA([1]stages!$A:$A),MATCH(H$1,[1]stages!$2:$2,0)-MATCH("temp_stage",[1]stages!$2:$2,0)+1),MATCH(H$1,[1]stages!$2:$2,0)-MATCH("temp_stage",[1]stages!$2:$2,0)+1,FALSE)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7" s="18">
        <v>0</v>
      </c>
      <c r="J1167" s="5">
        <f>COUNTIF(C$1:C1167,C1167)</f>
        <v>11</v>
      </c>
      <c r="K1167" s="34">
        <v>15</v>
      </c>
      <c r="L1167" s="5" t="s">
        <v>17</v>
      </c>
      <c r="M1167" s="38" t="str">
        <f>VLOOKUP(K1167,[2]stage_hints!$A:$C,3,FALSE)</f>
        <v>覚醒素材を獲得</v>
      </c>
      <c r="N1167" s="39" t="str">
        <f>VLOOKUP(K1167,[2]stage_hints!$A:$D,4,FALSE)</f>
        <v>「曜日クエスト」では
ユニットの覚醒に必要な素材が手に入ります</v>
      </c>
      <c r="O1167" s="20" t="s">
        <v>24</v>
      </c>
      <c r="P1167">
        <v>15</v>
      </c>
    </row>
    <row r="1168" spans="1:16" x14ac:dyDescent="0.15">
      <c r="A1168" s="27" t="str">
        <f t="shared" si="81"/>
        <v>30012_1_12</v>
      </c>
      <c r="B1168" s="25" t="s">
        <v>34</v>
      </c>
      <c r="C1168" s="4">
        <v>30012</v>
      </c>
      <c r="D1168" s="3" t="str">
        <f ca="1">VLOOKUP($C1168,OFFSET([1]quests!$A$1,0,0,COUNTA([1]quests!$A:$A),MATCH(D$1,[1]quests!$1:$1,0)-MATCH($C$1,[1]quests!$1:$1,0)+1),MATCH(D$1,[1]quests!$1:$1,0)-MATCH($C$1,[1]quests!$1:$1,0)+1,FALSE)</f>
        <v>底なしの胃袋</v>
      </c>
      <c r="E1168" s="3" t="str">
        <f ca="1">VLOOKUP($C1168,OFFSET([1]quests!$A$1,0,0,COUNTA([1]quests!$A:$A),MATCH(E$1,[1]quests!$1:$1,0)-MATCH($C$1,[1]quests!$1:$1,0)+1),MATCH(E$1,[1]quests!$1:$1,0)-MATCH($C$1,[1]quests!$1:$1,0)+1,FALSE)</f>
        <v>ドロップイベント3（マルチ専用）</v>
      </c>
      <c r="F1168" s="5">
        <v>1</v>
      </c>
      <c r="G1168" s="3" t="str">
        <f ca="1">VLOOKUP($C1168&amp;"_"&amp;$F1168,OFFSET([1]stages!$A$1,0,0,COUNTA([1]stages!$A:$A),MATCH(G$1,[1]stages!$2:$2,0)-MATCH("temp_stage",[1]stages!$2:$2,0)+1),MATCH(G$1,[1]stages!$2:$2,0)-MATCH("temp_stage",[1]stages!$2:$2,0)+1,FALSE)</f>
        <v>【上級】底なしの胃袋</v>
      </c>
      <c r="H1168" s="3" t="str">
        <f ca="1">VLOOKUP($C1168&amp;"_"&amp;$F1168,OFFSET([1]stages!$A$1,0,0,COUNTA([1]stages!$A:$A),MATCH(H$1,[1]stages!$2:$2,0)-MATCH("temp_stage",[1]stages!$2:$2,0)+1),MATCH(H$1,[1]stages!$2:$2,0)-MATCH("temp_stage",[1]stages!$2:$2,0)+1,FALSE)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8" s="18">
        <v>0</v>
      </c>
      <c r="J1168" s="5">
        <f>COUNTIF(C$1:C1168,C1168)</f>
        <v>12</v>
      </c>
      <c r="K1168" s="34">
        <v>16</v>
      </c>
      <c r="L1168" s="5" t="s">
        <v>17</v>
      </c>
      <c r="M1168" s="38" t="str">
        <f>VLOOKUP(K1168,[2]stage_hints!$A:$C,3,FALSE)</f>
        <v>マルチプレイのメリット（その1）</v>
      </c>
      <c r="N1168" s="39" t="str">
        <f>VLOOKUP(K1168,[2]stage_hints!$A:$D,4,FALSE)</f>
        <v>他のプレイヤーとマルチプレイで遊ぶと
ポリゴンがもらえます（100人まで）</v>
      </c>
      <c r="O1168" s="20" t="s">
        <v>24</v>
      </c>
      <c r="P1168">
        <v>16</v>
      </c>
    </row>
    <row r="1169" spans="1:16" x14ac:dyDescent="0.15">
      <c r="A1169" s="27" t="str">
        <f t="shared" si="81"/>
        <v>30012_1_13</v>
      </c>
      <c r="B1169" s="25" t="s">
        <v>34</v>
      </c>
      <c r="C1169" s="4">
        <v>30012</v>
      </c>
      <c r="D1169" s="3" t="str">
        <f ca="1">VLOOKUP($C1169,OFFSET([1]quests!$A$1,0,0,COUNTA([1]quests!$A:$A),MATCH(D$1,[1]quests!$1:$1,0)-MATCH($C$1,[1]quests!$1:$1,0)+1),MATCH(D$1,[1]quests!$1:$1,0)-MATCH($C$1,[1]quests!$1:$1,0)+1,FALSE)</f>
        <v>底なしの胃袋</v>
      </c>
      <c r="E1169" s="3" t="str">
        <f ca="1">VLOOKUP($C1169,OFFSET([1]quests!$A$1,0,0,COUNTA([1]quests!$A:$A),MATCH(E$1,[1]quests!$1:$1,0)-MATCH($C$1,[1]quests!$1:$1,0)+1),MATCH(E$1,[1]quests!$1:$1,0)-MATCH($C$1,[1]quests!$1:$1,0)+1,FALSE)</f>
        <v>ドロップイベント3（マルチ専用）</v>
      </c>
      <c r="F1169" s="5">
        <v>1</v>
      </c>
      <c r="G1169" s="3" t="str">
        <f ca="1">VLOOKUP($C1169&amp;"_"&amp;$F1169,OFFSET([1]stages!$A$1,0,0,COUNTA([1]stages!$A:$A),MATCH(G$1,[1]stages!$2:$2,0)-MATCH("temp_stage",[1]stages!$2:$2,0)+1),MATCH(G$1,[1]stages!$2:$2,0)-MATCH("temp_stage",[1]stages!$2:$2,0)+1,FALSE)</f>
        <v>【上級】底なしの胃袋</v>
      </c>
      <c r="H1169" s="3" t="str">
        <f ca="1">VLOOKUP($C1169&amp;"_"&amp;$F1169,OFFSET([1]stages!$A$1,0,0,COUNTA([1]stages!$A:$A),MATCH(H$1,[1]stages!$2:$2,0)-MATCH("temp_stage",[1]stages!$2:$2,0)+1),MATCH(H$1,[1]stages!$2:$2,0)-MATCH("temp_stage",[1]stages!$2:$2,0)+1,FALSE)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69" s="18">
        <v>0</v>
      </c>
      <c r="J1169" s="5">
        <f>COUNTIF(C$1:C1169,C1169)</f>
        <v>13</v>
      </c>
      <c r="K1169" s="34">
        <v>17</v>
      </c>
      <c r="L1169" s="5" t="s">
        <v>17</v>
      </c>
      <c r="M1169" s="38" t="str">
        <f>VLOOKUP(K1169,[2]stage_hints!$A:$C,3,FALSE)</f>
        <v>リンクガチャ</v>
      </c>
      <c r="N1169" s="39" t="str">
        <f>VLOOKUP(K1169,[2]stage_hints!$A:$D,4,FALSE)</f>
        <v>無料のリンクガチャを回して
経験値素材や売却素材を獲得しましょう</v>
      </c>
      <c r="O1169" s="20" t="s">
        <v>24</v>
      </c>
      <c r="P1169">
        <v>17</v>
      </c>
    </row>
    <row r="1170" spans="1:16" x14ac:dyDescent="0.15">
      <c r="A1170" s="27" t="str">
        <f t="shared" si="81"/>
        <v>30012_1_14</v>
      </c>
      <c r="B1170" s="25" t="s">
        <v>34</v>
      </c>
      <c r="C1170" s="4">
        <v>30012</v>
      </c>
      <c r="D1170" s="3" t="str">
        <f ca="1">VLOOKUP($C1170,OFFSET([1]quests!$A$1,0,0,COUNTA([1]quests!$A:$A),MATCH(D$1,[1]quests!$1:$1,0)-MATCH($C$1,[1]quests!$1:$1,0)+1),MATCH(D$1,[1]quests!$1:$1,0)-MATCH($C$1,[1]quests!$1:$1,0)+1,FALSE)</f>
        <v>底なしの胃袋</v>
      </c>
      <c r="E1170" s="3" t="str">
        <f ca="1">VLOOKUP($C1170,OFFSET([1]quests!$A$1,0,0,COUNTA([1]quests!$A:$A),MATCH(E$1,[1]quests!$1:$1,0)-MATCH($C$1,[1]quests!$1:$1,0)+1),MATCH(E$1,[1]quests!$1:$1,0)-MATCH($C$1,[1]quests!$1:$1,0)+1,FALSE)</f>
        <v>ドロップイベント3（マルチ専用）</v>
      </c>
      <c r="F1170" s="5">
        <v>1</v>
      </c>
      <c r="G1170" s="3" t="str">
        <f ca="1">VLOOKUP($C1170&amp;"_"&amp;$F1170,OFFSET([1]stages!$A$1,0,0,COUNTA([1]stages!$A:$A),MATCH(G$1,[1]stages!$2:$2,0)-MATCH("temp_stage",[1]stages!$2:$2,0)+1),MATCH(G$1,[1]stages!$2:$2,0)-MATCH("temp_stage",[1]stages!$2:$2,0)+1,FALSE)</f>
        <v>【上級】底なしの胃袋</v>
      </c>
      <c r="H1170" s="3" t="str">
        <f ca="1">VLOOKUP($C1170&amp;"_"&amp;$F1170,OFFSET([1]stages!$A$1,0,0,COUNTA([1]stages!$A:$A),MATCH(H$1,[1]stages!$2:$2,0)-MATCH("temp_stage",[1]stages!$2:$2,0)+1),MATCH(H$1,[1]stages!$2:$2,0)-MATCH("temp_stage",[1]stages!$2:$2,0)+1,FALSE)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0" s="18">
        <v>0</v>
      </c>
      <c r="J1170" s="5">
        <f>COUNTIF(C$1:C1170,C1170)</f>
        <v>14</v>
      </c>
      <c r="K1170" s="34">
        <v>18</v>
      </c>
      <c r="L1170" s="5" t="s">
        <v>17</v>
      </c>
      <c r="M1170" s="38" t="str">
        <f>VLOOKUP(K1170,[2]stage_hints!$A:$C,3,FALSE)</f>
        <v>マルチプレイのメリット（その2）</v>
      </c>
      <c r="N1170" s="39" t="str">
        <f>VLOOKUP(K1170,[2]stage_hints!$A:$D,4,FALSE)</f>
        <v>マルチプレイならリンクが2倍もらえます
リンクガチャをたくさん回しましょう</v>
      </c>
      <c r="O1170" s="20" t="s">
        <v>24</v>
      </c>
      <c r="P1170">
        <v>18</v>
      </c>
    </row>
    <row r="1171" spans="1:16" x14ac:dyDescent="0.15">
      <c r="A1171" s="27" t="str">
        <f t="shared" si="81"/>
        <v>30012_1_15</v>
      </c>
      <c r="B1171" s="25" t="s">
        <v>34</v>
      </c>
      <c r="C1171" s="4">
        <v>30012</v>
      </c>
      <c r="D1171" s="3" t="str">
        <f ca="1">VLOOKUP($C1171,OFFSET([1]quests!$A$1,0,0,COUNTA([1]quests!$A:$A),MATCH(D$1,[1]quests!$1:$1,0)-MATCH($C$1,[1]quests!$1:$1,0)+1),MATCH(D$1,[1]quests!$1:$1,0)-MATCH($C$1,[1]quests!$1:$1,0)+1,FALSE)</f>
        <v>底なしの胃袋</v>
      </c>
      <c r="E1171" s="3" t="str">
        <f ca="1">VLOOKUP($C1171,OFFSET([1]quests!$A$1,0,0,COUNTA([1]quests!$A:$A),MATCH(E$1,[1]quests!$1:$1,0)-MATCH($C$1,[1]quests!$1:$1,0)+1),MATCH(E$1,[1]quests!$1:$1,0)-MATCH($C$1,[1]quests!$1:$1,0)+1,FALSE)</f>
        <v>ドロップイベント3（マルチ専用）</v>
      </c>
      <c r="F1171" s="5">
        <v>1</v>
      </c>
      <c r="G1171" s="3" t="str">
        <f ca="1">VLOOKUP($C1171&amp;"_"&amp;$F1171,OFFSET([1]stages!$A$1,0,0,COUNTA([1]stages!$A:$A),MATCH(G$1,[1]stages!$2:$2,0)-MATCH("temp_stage",[1]stages!$2:$2,0)+1),MATCH(G$1,[1]stages!$2:$2,0)-MATCH("temp_stage",[1]stages!$2:$2,0)+1,FALSE)</f>
        <v>【上級】底なしの胃袋</v>
      </c>
      <c r="H1171" s="3" t="str">
        <f ca="1">VLOOKUP($C1171&amp;"_"&amp;$F1171,OFFSET([1]stages!$A$1,0,0,COUNTA([1]stages!$A:$A),MATCH(H$1,[1]stages!$2:$2,0)-MATCH("temp_stage",[1]stages!$2:$2,0)+1),MATCH(H$1,[1]stages!$2:$2,0)-MATCH("temp_stage",[1]stages!$2:$2,0)+1,FALSE)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1" s="18">
        <v>0</v>
      </c>
      <c r="J1171" s="5">
        <f>COUNTIF(C$1:C1171,C1171)</f>
        <v>15</v>
      </c>
      <c r="K1171" s="34">
        <v>19</v>
      </c>
      <c r="L1171" s="5" t="s">
        <v>17</v>
      </c>
      <c r="M1171" s="38" t="str">
        <f>VLOOKUP(K1171,[2]stage_hints!$A:$C,3,FALSE)</f>
        <v>ソロ専用チャレンジタワー</v>
      </c>
      <c r="N1171" s="39" t="str">
        <f>VLOOKUP(K1171,[2]stage_hints!$A:$D,4,FALSE)</f>
        <v>ソロ専用の「チャレンジタワー」では
各フロアごとにクリア報酬がもらえます</v>
      </c>
      <c r="O1171" s="20" t="s">
        <v>24</v>
      </c>
      <c r="P1171">
        <v>19</v>
      </c>
    </row>
    <row r="1172" spans="1:16" x14ac:dyDescent="0.15">
      <c r="A1172" s="27" t="str">
        <f t="shared" si="81"/>
        <v>30012_1_16</v>
      </c>
      <c r="B1172" s="25" t="s">
        <v>34</v>
      </c>
      <c r="C1172" s="4">
        <v>30012</v>
      </c>
      <c r="D1172" s="3" t="str">
        <f ca="1">VLOOKUP($C1172,OFFSET([1]quests!$A$1,0,0,COUNTA([1]quests!$A:$A),MATCH(D$1,[1]quests!$1:$1,0)-MATCH($C$1,[1]quests!$1:$1,0)+1),MATCH(D$1,[1]quests!$1:$1,0)-MATCH($C$1,[1]quests!$1:$1,0)+1,FALSE)</f>
        <v>底なしの胃袋</v>
      </c>
      <c r="E1172" s="3" t="str">
        <f ca="1">VLOOKUP($C1172,OFFSET([1]quests!$A$1,0,0,COUNTA([1]quests!$A:$A),MATCH(E$1,[1]quests!$1:$1,0)-MATCH($C$1,[1]quests!$1:$1,0)+1),MATCH(E$1,[1]quests!$1:$1,0)-MATCH($C$1,[1]quests!$1:$1,0)+1,FALSE)</f>
        <v>ドロップイベント3（マルチ専用）</v>
      </c>
      <c r="F1172" s="5">
        <v>1</v>
      </c>
      <c r="G1172" s="3" t="str">
        <f ca="1">VLOOKUP($C1172&amp;"_"&amp;$F1172,OFFSET([1]stages!$A$1,0,0,COUNTA([1]stages!$A:$A),MATCH(G$1,[1]stages!$2:$2,0)-MATCH("temp_stage",[1]stages!$2:$2,0)+1),MATCH(G$1,[1]stages!$2:$2,0)-MATCH("temp_stage",[1]stages!$2:$2,0)+1,FALSE)</f>
        <v>【上級】底なしの胃袋</v>
      </c>
      <c r="H1172" s="3" t="str">
        <f ca="1">VLOOKUP($C1172&amp;"_"&amp;$F1172,OFFSET([1]stages!$A$1,0,0,COUNTA([1]stages!$A:$A),MATCH(H$1,[1]stages!$2:$2,0)-MATCH("temp_stage",[1]stages!$2:$2,0)+1),MATCH(H$1,[1]stages!$2:$2,0)-MATCH("temp_stage",[1]stages!$2:$2,0)+1,FALSE)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2" s="18">
        <v>0</v>
      </c>
      <c r="J1172" s="5">
        <f>COUNTIF(C$1:C1172,C1172)</f>
        <v>16</v>
      </c>
      <c r="K1172" s="34">
        <v>20</v>
      </c>
      <c r="L1172" s="5" t="s">
        <v>17</v>
      </c>
      <c r="M1172" s="38" t="str">
        <f>VLOOKUP(K1172,[2]stage_hints!$A:$C,3,FALSE)</f>
        <v>マルチプレイのメリット（その3）</v>
      </c>
      <c r="N1172" s="39" t="str">
        <f>VLOOKUP(K1172,[2]stage_hints!$A:$D,4,FALSE)</f>
        <v>マルチプレイへの参加はエナジー消費ゼロ
いつでも好きなだけ遊ぶことができます</v>
      </c>
      <c r="O1172" s="20" t="s">
        <v>24</v>
      </c>
      <c r="P1172">
        <v>20</v>
      </c>
    </row>
    <row r="1173" spans="1:16" x14ac:dyDescent="0.15">
      <c r="A1173" s="27" t="str">
        <f t="shared" si="81"/>
        <v>30012_1_17</v>
      </c>
      <c r="B1173" s="25" t="s">
        <v>34</v>
      </c>
      <c r="C1173" s="4">
        <v>30012</v>
      </c>
      <c r="D1173" s="3" t="str">
        <f ca="1">VLOOKUP($C1173,OFFSET([1]quests!$A$1,0,0,COUNTA([1]quests!$A:$A),MATCH(D$1,[1]quests!$1:$1,0)-MATCH($C$1,[1]quests!$1:$1,0)+1),MATCH(D$1,[1]quests!$1:$1,0)-MATCH($C$1,[1]quests!$1:$1,0)+1,FALSE)</f>
        <v>底なしの胃袋</v>
      </c>
      <c r="E1173" s="3" t="str">
        <f ca="1">VLOOKUP($C1173,OFFSET([1]quests!$A$1,0,0,COUNTA([1]quests!$A:$A),MATCH(E$1,[1]quests!$1:$1,0)-MATCH($C$1,[1]quests!$1:$1,0)+1),MATCH(E$1,[1]quests!$1:$1,0)-MATCH($C$1,[1]quests!$1:$1,0)+1,FALSE)</f>
        <v>ドロップイベント3（マルチ専用）</v>
      </c>
      <c r="F1173" s="5">
        <v>1</v>
      </c>
      <c r="G1173" s="3" t="str">
        <f ca="1">VLOOKUP($C1173&amp;"_"&amp;$F1173,OFFSET([1]stages!$A$1,0,0,COUNTA([1]stages!$A:$A),MATCH(G$1,[1]stages!$2:$2,0)-MATCH("temp_stage",[1]stages!$2:$2,0)+1),MATCH(G$1,[1]stages!$2:$2,0)-MATCH("temp_stage",[1]stages!$2:$2,0)+1,FALSE)</f>
        <v>【上級】底なしの胃袋</v>
      </c>
      <c r="H1173" s="3" t="str">
        <f ca="1">VLOOKUP($C1173&amp;"_"&amp;$F1173,OFFSET([1]stages!$A$1,0,0,COUNTA([1]stages!$A:$A),MATCH(H$1,[1]stages!$2:$2,0)-MATCH("temp_stage",[1]stages!$2:$2,0)+1),MATCH(H$1,[1]stages!$2:$2,0)-MATCH("temp_stage",[1]stages!$2:$2,0)+1,FALSE)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3" s="18">
        <v>0</v>
      </c>
      <c r="J1173" s="5">
        <f>COUNTIF(C$1:C1173,C1173)</f>
        <v>17</v>
      </c>
      <c r="K1173" s="34">
        <v>21</v>
      </c>
      <c r="L1173" s="5" t="s">
        <v>17</v>
      </c>
      <c r="M1173" s="38" t="str">
        <f>VLOOKUP(K1173,[2]stage_hints!$A:$C,3,FALSE)</f>
        <v>スキルを有効に</v>
      </c>
      <c r="N1173" s="39" t="str">
        <f>VLOOKUP(K1173,[2]stage_hints!$A:$D,4,FALSE)</f>
        <v>ターン経過でユニットのスキルが使えます
強力スキルでバトルを有利に進めましょう</v>
      </c>
      <c r="O1173" s="20" t="s">
        <v>24</v>
      </c>
      <c r="P1173">
        <v>21</v>
      </c>
    </row>
    <row r="1174" spans="1:16" x14ac:dyDescent="0.15">
      <c r="A1174" s="27" t="str">
        <f t="shared" si="81"/>
        <v>30012_1_18</v>
      </c>
      <c r="B1174" s="25" t="s">
        <v>34</v>
      </c>
      <c r="C1174" s="4">
        <v>30012</v>
      </c>
      <c r="D1174" s="3" t="str">
        <f ca="1">VLOOKUP($C1174,OFFSET([1]quests!$A$1,0,0,COUNTA([1]quests!$A:$A),MATCH(D$1,[1]quests!$1:$1,0)-MATCH($C$1,[1]quests!$1:$1,0)+1),MATCH(D$1,[1]quests!$1:$1,0)-MATCH($C$1,[1]quests!$1:$1,0)+1,FALSE)</f>
        <v>底なしの胃袋</v>
      </c>
      <c r="E1174" s="3" t="str">
        <f ca="1">VLOOKUP($C1174,OFFSET([1]quests!$A$1,0,0,COUNTA([1]quests!$A:$A),MATCH(E$1,[1]quests!$1:$1,0)-MATCH($C$1,[1]quests!$1:$1,0)+1),MATCH(E$1,[1]quests!$1:$1,0)-MATCH($C$1,[1]quests!$1:$1,0)+1,FALSE)</f>
        <v>ドロップイベント3（マルチ専用）</v>
      </c>
      <c r="F1174" s="5">
        <v>1</v>
      </c>
      <c r="G1174" s="3" t="str">
        <f ca="1">VLOOKUP($C1174&amp;"_"&amp;$F1174,OFFSET([1]stages!$A$1,0,0,COUNTA([1]stages!$A:$A),MATCH(G$1,[1]stages!$2:$2,0)-MATCH("temp_stage",[1]stages!$2:$2,0)+1),MATCH(G$1,[1]stages!$2:$2,0)-MATCH("temp_stage",[1]stages!$2:$2,0)+1,FALSE)</f>
        <v>【上級】底なしの胃袋</v>
      </c>
      <c r="H1174" s="3" t="str">
        <f ca="1">VLOOKUP($C1174&amp;"_"&amp;$F1174,OFFSET([1]stages!$A$1,0,0,COUNTA([1]stages!$A:$A),MATCH(H$1,[1]stages!$2:$2,0)-MATCH("temp_stage",[1]stages!$2:$2,0)+1),MATCH(H$1,[1]stages!$2:$2,0)-MATCH("temp_stage",[1]stages!$2:$2,0)+1,FALSE)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4" s="18">
        <v>0</v>
      </c>
      <c r="J1174" s="5">
        <f>COUNTIF(C$1:C1174,C1174)</f>
        <v>18</v>
      </c>
      <c r="K1174" s="34">
        <v>22</v>
      </c>
      <c r="L1174" s="5" t="s">
        <v>17</v>
      </c>
      <c r="M1174" s="38" t="str">
        <f>VLOOKUP(K1174,[2]stage_hints!$A:$C,3,FALSE)</f>
        <v>フィーバーで一発逆転（その1）</v>
      </c>
      <c r="N1174" s="39" t="str">
        <f>VLOOKUP(K1174,[2]stage_hints!$A:$D,4,FALSE)</f>
        <v>フィーバーは攻撃と回復を兼ね備えます
ピンチからの一発逆転を狙いましょう</v>
      </c>
      <c r="O1174" s="20" t="s">
        <v>24</v>
      </c>
      <c r="P1174">
        <v>22</v>
      </c>
    </row>
    <row r="1175" spans="1:16" x14ac:dyDescent="0.15">
      <c r="A1175" s="27" t="str">
        <f t="shared" si="81"/>
        <v>30012_1_19</v>
      </c>
      <c r="B1175" s="25" t="s">
        <v>34</v>
      </c>
      <c r="C1175" s="4">
        <v>30012</v>
      </c>
      <c r="D1175" s="3" t="str">
        <f ca="1">VLOOKUP($C1175,OFFSET([1]quests!$A$1,0,0,COUNTA([1]quests!$A:$A),MATCH(D$1,[1]quests!$1:$1,0)-MATCH($C$1,[1]quests!$1:$1,0)+1),MATCH(D$1,[1]quests!$1:$1,0)-MATCH($C$1,[1]quests!$1:$1,0)+1,FALSE)</f>
        <v>底なしの胃袋</v>
      </c>
      <c r="E1175" s="3" t="str">
        <f ca="1">VLOOKUP($C1175,OFFSET([1]quests!$A$1,0,0,COUNTA([1]quests!$A:$A),MATCH(E$1,[1]quests!$1:$1,0)-MATCH($C$1,[1]quests!$1:$1,0)+1),MATCH(E$1,[1]quests!$1:$1,0)-MATCH($C$1,[1]quests!$1:$1,0)+1,FALSE)</f>
        <v>ドロップイベント3（マルチ専用）</v>
      </c>
      <c r="F1175" s="5">
        <v>1</v>
      </c>
      <c r="G1175" s="3" t="str">
        <f ca="1">VLOOKUP($C1175&amp;"_"&amp;$F1175,OFFSET([1]stages!$A$1,0,0,COUNTA([1]stages!$A:$A),MATCH(G$1,[1]stages!$2:$2,0)-MATCH("temp_stage",[1]stages!$2:$2,0)+1),MATCH(G$1,[1]stages!$2:$2,0)-MATCH("temp_stage",[1]stages!$2:$2,0)+1,FALSE)</f>
        <v>【上級】底なしの胃袋</v>
      </c>
      <c r="H1175" s="3" t="str">
        <f ca="1">VLOOKUP($C1175&amp;"_"&amp;$F1175,OFFSET([1]stages!$A$1,0,0,COUNTA([1]stages!$A:$A),MATCH(H$1,[1]stages!$2:$2,0)-MATCH("temp_stage",[1]stages!$2:$2,0)+1),MATCH(H$1,[1]stages!$2:$2,0)-MATCH("temp_stage",[1]stages!$2:$2,0)+1,FALSE)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5" s="18">
        <v>0</v>
      </c>
      <c r="J1175" s="5">
        <f>COUNTIF(C$1:C1175,C1175)</f>
        <v>19</v>
      </c>
      <c r="K1175" s="34">
        <v>23</v>
      </c>
      <c r="L1175" s="5" t="s">
        <v>17</v>
      </c>
      <c r="M1175" s="38" t="str">
        <f>VLOOKUP(K1175,[2]stage_hints!$A:$C,3,FALSE)</f>
        <v>フィーバーで一発逆転（その2）</v>
      </c>
      <c r="N1175" s="39" t="str">
        <f>VLOOKUP(K1175,[2]stage_hints!$A:$D,4,FALSE)</f>
        <v>フィーバー中は虹色のボムパネルを狙って
画面上のパネルを一気に破壊しましょう</v>
      </c>
      <c r="O1175" s="20" t="s">
        <v>24</v>
      </c>
      <c r="P1175">
        <v>23</v>
      </c>
    </row>
    <row r="1176" spans="1:16" x14ac:dyDescent="0.15">
      <c r="A1176" s="27" t="str">
        <f t="shared" si="81"/>
        <v>30012_1_20</v>
      </c>
      <c r="B1176" s="25" t="s">
        <v>34</v>
      </c>
      <c r="C1176" s="4">
        <v>30012</v>
      </c>
      <c r="D1176" s="3" t="str">
        <f ca="1">VLOOKUP($C1176,OFFSET([1]quests!$A$1,0,0,COUNTA([1]quests!$A:$A),MATCH(D$1,[1]quests!$1:$1,0)-MATCH($C$1,[1]quests!$1:$1,0)+1),MATCH(D$1,[1]quests!$1:$1,0)-MATCH($C$1,[1]quests!$1:$1,0)+1,FALSE)</f>
        <v>底なしの胃袋</v>
      </c>
      <c r="E1176" s="3" t="str">
        <f ca="1">VLOOKUP($C1176,OFFSET([1]quests!$A$1,0,0,COUNTA([1]quests!$A:$A),MATCH(E$1,[1]quests!$1:$1,0)-MATCH($C$1,[1]quests!$1:$1,0)+1),MATCH(E$1,[1]quests!$1:$1,0)-MATCH($C$1,[1]quests!$1:$1,0)+1,FALSE)</f>
        <v>ドロップイベント3（マルチ専用）</v>
      </c>
      <c r="F1176" s="5">
        <v>1</v>
      </c>
      <c r="G1176" s="3" t="str">
        <f ca="1">VLOOKUP($C1176&amp;"_"&amp;$F1176,OFFSET([1]stages!$A$1,0,0,COUNTA([1]stages!$A:$A),MATCH(G$1,[1]stages!$2:$2,0)-MATCH("temp_stage",[1]stages!$2:$2,0)+1),MATCH(G$1,[1]stages!$2:$2,0)-MATCH("temp_stage",[1]stages!$2:$2,0)+1,FALSE)</f>
        <v>【上級】底なしの胃袋</v>
      </c>
      <c r="H1176" s="3" t="str">
        <f ca="1">VLOOKUP($C1176&amp;"_"&amp;$F1176,OFFSET([1]stages!$A$1,0,0,COUNTA([1]stages!$A:$A),MATCH(H$1,[1]stages!$2:$2,0)-MATCH("temp_stage",[1]stages!$2:$2,0)+1),MATCH(H$1,[1]stages!$2:$2,0)-MATCH("temp_stage",[1]stages!$2:$2,0)+1,FALSE)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6" s="18">
        <v>0</v>
      </c>
      <c r="J1176" s="5">
        <f>COUNTIF(C$1:C1176,C1176)</f>
        <v>20</v>
      </c>
      <c r="K1176" s="34">
        <v>24</v>
      </c>
      <c r="L1176" s="5" t="s">
        <v>17</v>
      </c>
      <c r="M1176" s="38" t="str">
        <f>VLOOKUP(K1176,[2]stage_hints!$A:$C,3,FALSE)</f>
        <v>りんごを使って限界突破</v>
      </c>
      <c r="N1176" s="39" t="str">
        <f>VLOOKUP(K1176,[2]stage_hints!$A:$D,4,FALSE)</f>
        <v>赤りんご(攻撃力) 青りんご(回復力)
緑りんご(体力)をユニット強化に使うと
ステータスが限界突破します（計99個迄）</v>
      </c>
      <c r="O1176" s="20" t="s">
        <v>24</v>
      </c>
      <c r="P1176">
        <v>24</v>
      </c>
    </row>
    <row r="1177" spans="1:16" x14ac:dyDescent="0.15">
      <c r="A1177" s="27" t="str">
        <f t="shared" si="81"/>
        <v>30012_1_21</v>
      </c>
      <c r="B1177" s="25" t="s">
        <v>34</v>
      </c>
      <c r="C1177" s="4">
        <v>30012</v>
      </c>
      <c r="D1177" s="3" t="str">
        <f ca="1">VLOOKUP($C1177,OFFSET([1]quests!$A$1,0,0,COUNTA([1]quests!$A:$A),MATCH(D$1,[1]quests!$1:$1,0)-MATCH($C$1,[1]quests!$1:$1,0)+1),MATCH(D$1,[1]quests!$1:$1,0)-MATCH($C$1,[1]quests!$1:$1,0)+1,FALSE)</f>
        <v>底なしの胃袋</v>
      </c>
      <c r="E1177" s="3" t="str">
        <f ca="1">VLOOKUP($C1177,OFFSET([1]quests!$A$1,0,0,COUNTA([1]quests!$A:$A),MATCH(E$1,[1]quests!$1:$1,0)-MATCH($C$1,[1]quests!$1:$1,0)+1),MATCH(E$1,[1]quests!$1:$1,0)-MATCH($C$1,[1]quests!$1:$1,0)+1,FALSE)</f>
        <v>ドロップイベント3（マルチ専用）</v>
      </c>
      <c r="F1177" s="5">
        <v>1</v>
      </c>
      <c r="G1177" s="3" t="str">
        <f ca="1">VLOOKUP($C1177&amp;"_"&amp;$F1177,OFFSET([1]stages!$A$1,0,0,COUNTA([1]stages!$A:$A),MATCH(G$1,[1]stages!$2:$2,0)-MATCH("temp_stage",[1]stages!$2:$2,0)+1),MATCH(G$1,[1]stages!$2:$2,0)-MATCH("temp_stage",[1]stages!$2:$2,0)+1,FALSE)</f>
        <v>【上級】底なしの胃袋</v>
      </c>
      <c r="H1177" s="3" t="str">
        <f ca="1">VLOOKUP($C1177&amp;"_"&amp;$F1177,OFFSET([1]stages!$A$1,0,0,COUNTA([1]stages!$A:$A),MATCH(H$1,[1]stages!$2:$2,0)-MATCH("temp_stage",[1]stages!$2:$2,0)+1),MATCH(H$1,[1]stages!$2:$2,0)-MATCH("temp_stage",[1]stages!$2:$2,0)+1,FALSE)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7" s="18">
        <v>0</v>
      </c>
      <c r="J1177" s="5">
        <f>COUNTIF(C$1:C1177,C1177)</f>
        <v>21</v>
      </c>
      <c r="K1177" s="34">
        <v>25</v>
      </c>
      <c r="L1177" s="5" t="s">
        <v>17</v>
      </c>
      <c r="M1177" s="38" t="str">
        <f>VLOOKUP(K1177,[2]stage_hints!$A:$C,3,FALSE)</f>
        <v>スキルレベルアップ</v>
      </c>
      <c r="N1177" s="39" t="str">
        <f>VLOOKUP(K1177,[2]stage_hints!$A:$D,4,FALSE)</f>
        <v>「クリスタルのりんご」を強化に使うと
スキルレベルを上げることができます</v>
      </c>
      <c r="O1177" s="20" t="s">
        <v>24</v>
      </c>
      <c r="P1177">
        <v>25</v>
      </c>
    </row>
    <row r="1178" spans="1:16" x14ac:dyDescent="0.15">
      <c r="A1178" s="27" t="str">
        <f t="shared" si="81"/>
        <v>30012_1_22</v>
      </c>
      <c r="B1178" s="25" t="s">
        <v>34</v>
      </c>
      <c r="C1178" s="4">
        <v>30012</v>
      </c>
      <c r="D1178" s="3" t="str">
        <f ca="1">VLOOKUP($C1178,OFFSET([1]quests!$A$1,0,0,COUNTA([1]quests!$A:$A),MATCH(D$1,[1]quests!$1:$1,0)-MATCH($C$1,[1]quests!$1:$1,0)+1),MATCH(D$1,[1]quests!$1:$1,0)-MATCH($C$1,[1]quests!$1:$1,0)+1,FALSE)</f>
        <v>底なしの胃袋</v>
      </c>
      <c r="E1178" s="3" t="str">
        <f ca="1">VLOOKUP($C1178,OFFSET([1]quests!$A$1,0,0,COUNTA([1]quests!$A:$A),MATCH(E$1,[1]quests!$1:$1,0)-MATCH($C$1,[1]quests!$1:$1,0)+1),MATCH(E$1,[1]quests!$1:$1,0)-MATCH($C$1,[1]quests!$1:$1,0)+1,FALSE)</f>
        <v>ドロップイベント3（マルチ専用）</v>
      </c>
      <c r="F1178" s="5">
        <v>1</v>
      </c>
      <c r="G1178" s="3" t="str">
        <f ca="1">VLOOKUP($C1178&amp;"_"&amp;$F1178,OFFSET([1]stages!$A$1,0,0,COUNTA([1]stages!$A:$A),MATCH(G$1,[1]stages!$2:$2,0)-MATCH("temp_stage",[1]stages!$2:$2,0)+1),MATCH(G$1,[1]stages!$2:$2,0)-MATCH("temp_stage",[1]stages!$2:$2,0)+1,FALSE)</f>
        <v>【上級】底なしの胃袋</v>
      </c>
      <c r="H1178" s="3" t="str">
        <f ca="1">VLOOKUP($C1178&amp;"_"&amp;$F1178,OFFSET([1]stages!$A$1,0,0,COUNTA([1]stages!$A:$A),MATCH(H$1,[1]stages!$2:$2,0)-MATCH("temp_stage",[1]stages!$2:$2,0)+1),MATCH(H$1,[1]stages!$2:$2,0)-MATCH("temp_stage",[1]stages!$2:$2,0)+1,FALSE)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8" s="18">
        <v>0</v>
      </c>
      <c r="J1178" s="5">
        <f>COUNTIF(C$1:C1178,C1178)</f>
        <v>22</v>
      </c>
      <c r="K1178" s="34">
        <v>26</v>
      </c>
      <c r="L1178" s="5" t="s">
        <v>17</v>
      </c>
      <c r="M1178" s="38" t="str">
        <f>VLOOKUP(K1178,[2]stage_hints!$A:$C,3,FALSE)</f>
        <v>スキルレベルの効果</v>
      </c>
      <c r="N1178" s="39" t="str">
        <f>VLOOKUP(K1178,[2]stage_hints!$A:$D,4,FALSE)</f>
        <v>スキルレベルが上がると
短いターンでスキルを使うことができます</v>
      </c>
      <c r="O1178" s="20" t="s">
        <v>24</v>
      </c>
      <c r="P1178">
        <v>26</v>
      </c>
    </row>
    <row r="1179" spans="1:16" x14ac:dyDescent="0.15">
      <c r="A1179" s="27" t="str">
        <f t="shared" si="81"/>
        <v>30012_1_23</v>
      </c>
      <c r="B1179" s="25" t="s">
        <v>34</v>
      </c>
      <c r="C1179" s="4">
        <v>30012</v>
      </c>
      <c r="D1179" s="3" t="str">
        <f ca="1">VLOOKUP($C1179,OFFSET([1]quests!$A$1,0,0,COUNTA([1]quests!$A:$A),MATCH(D$1,[1]quests!$1:$1,0)-MATCH($C$1,[1]quests!$1:$1,0)+1),MATCH(D$1,[1]quests!$1:$1,0)-MATCH($C$1,[1]quests!$1:$1,0)+1,FALSE)</f>
        <v>底なしの胃袋</v>
      </c>
      <c r="E1179" s="3" t="str">
        <f ca="1">VLOOKUP($C1179,OFFSET([1]quests!$A$1,0,0,COUNTA([1]quests!$A:$A),MATCH(E$1,[1]quests!$1:$1,0)-MATCH($C$1,[1]quests!$1:$1,0)+1),MATCH(E$1,[1]quests!$1:$1,0)-MATCH($C$1,[1]quests!$1:$1,0)+1,FALSE)</f>
        <v>ドロップイベント3（マルチ専用）</v>
      </c>
      <c r="F1179" s="5">
        <v>1</v>
      </c>
      <c r="G1179" s="3" t="str">
        <f ca="1">VLOOKUP($C1179&amp;"_"&amp;$F1179,OFFSET([1]stages!$A$1,0,0,COUNTA([1]stages!$A:$A),MATCH(G$1,[1]stages!$2:$2,0)-MATCH("temp_stage",[1]stages!$2:$2,0)+1),MATCH(G$1,[1]stages!$2:$2,0)-MATCH("temp_stage",[1]stages!$2:$2,0)+1,FALSE)</f>
        <v>【上級】底なしの胃袋</v>
      </c>
      <c r="H1179" s="3" t="str">
        <f ca="1">VLOOKUP($C1179&amp;"_"&amp;$F1179,OFFSET([1]stages!$A$1,0,0,COUNTA([1]stages!$A:$A),MATCH(H$1,[1]stages!$2:$2,0)-MATCH("temp_stage",[1]stages!$2:$2,0)+1),MATCH(H$1,[1]stages!$2:$2,0)-MATCH("temp_stage",[1]stages!$2:$2,0)+1,FALSE)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79" s="18">
        <v>0</v>
      </c>
      <c r="J1179" s="5">
        <f>COUNTIF(C$1:C1179,C1179)</f>
        <v>23</v>
      </c>
      <c r="K1179" s="34">
        <v>27</v>
      </c>
      <c r="L1179" s="5" t="s">
        <v>17</v>
      </c>
      <c r="M1179" s="38" t="str">
        <f>VLOOKUP(K1179,[2]stage_hints!$A:$C,3,FALSE)</f>
        <v>ホーム画面からデッキを編成</v>
      </c>
      <c r="N1179" s="39" t="str">
        <f>VLOOKUP(K1179,[2]stage_hints!$A:$D,4,FALSE)</f>
        <v>ホーム画面でユニットを長押しすると
すぐにパーティ編成に移動できます</v>
      </c>
      <c r="O1179" s="20" t="s">
        <v>24</v>
      </c>
      <c r="P1179">
        <v>27</v>
      </c>
    </row>
    <row r="1180" spans="1:16" x14ac:dyDescent="0.15">
      <c r="A1180" s="27" t="str">
        <f t="shared" si="81"/>
        <v>30012_1_24</v>
      </c>
      <c r="B1180" s="25" t="s">
        <v>34</v>
      </c>
      <c r="C1180" s="4">
        <v>30012</v>
      </c>
      <c r="D1180" s="3" t="str">
        <f ca="1">VLOOKUP($C1180,OFFSET([1]quests!$A$1,0,0,COUNTA([1]quests!$A:$A),MATCH(D$1,[1]quests!$1:$1,0)-MATCH($C$1,[1]quests!$1:$1,0)+1),MATCH(D$1,[1]quests!$1:$1,0)-MATCH($C$1,[1]quests!$1:$1,0)+1,FALSE)</f>
        <v>底なしの胃袋</v>
      </c>
      <c r="E1180" s="3" t="str">
        <f ca="1">VLOOKUP($C1180,OFFSET([1]quests!$A$1,0,0,COUNTA([1]quests!$A:$A),MATCH(E$1,[1]quests!$1:$1,0)-MATCH($C$1,[1]quests!$1:$1,0)+1),MATCH(E$1,[1]quests!$1:$1,0)-MATCH($C$1,[1]quests!$1:$1,0)+1,FALSE)</f>
        <v>ドロップイベント3（マルチ専用）</v>
      </c>
      <c r="F1180" s="5">
        <v>1</v>
      </c>
      <c r="G1180" s="3" t="str">
        <f ca="1">VLOOKUP($C1180&amp;"_"&amp;$F1180,OFFSET([1]stages!$A$1,0,0,COUNTA([1]stages!$A:$A),MATCH(G$1,[1]stages!$2:$2,0)-MATCH("temp_stage",[1]stages!$2:$2,0)+1),MATCH(G$1,[1]stages!$2:$2,0)-MATCH("temp_stage",[1]stages!$2:$2,0)+1,FALSE)</f>
        <v>【上級】底なしの胃袋</v>
      </c>
      <c r="H1180" s="3" t="str">
        <f ca="1">VLOOKUP($C1180&amp;"_"&amp;$F1180,OFFSET([1]stages!$A$1,0,0,COUNTA([1]stages!$A:$A),MATCH(H$1,[1]stages!$2:$2,0)-MATCH("temp_stage",[1]stages!$2:$2,0)+1),MATCH(H$1,[1]stages!$2:$2,0)-MATCH("temp_stage",[1]stages!$2:$2,0)+1,FALSE)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0" s="18">
        <v>0</v>
      </c>
      <c r="J1180" s="5">
        <f>COUNTIF(C$1:C1180,C1180)</f>
        <v>24</v>
      </c>
      <c r="K1180" s="34">
        <v>28</v>
      </c>
      <c r="L1180" s="5" t="s">
        <v>17</v>
      </c>
      <c r="M1180" s="38" t="str">
        <f>VLOOKUP(K1180,[2]stage_hints!$A:$C,3,FALSE)</f>
        <v>ステータス情報は長押しで</v>
      </c>
      <c r="N1180" s="39" t="str">
        <f>VLOOKUP(K1180,[2]stage_hints!$A:$D,4,FALSE)</f>
        <v>ユニットのアイコンを長押しすると
ステータス情報を確認することができます</v>
      </c>
      <c r="O1180" s="20" t="s">
        <v>24</v>
      </c>
      <c r="P1180">
        <v>28</v>
      </c>
    </row>
    <row r="1181" spans="1:16" x14ac:dyDescent="0.15">
      <c r="A1181" s="27" t="str">
        <f t="shared" si="81"/>
        <v>30012_1_25</v>
      </c>
      <c r="B1181" s="25" t="s">
        <v>34</v>
      </c>
      <c r="C1181" s="4">
        <v>30012</v>
      </c>
      <c r="D1181" s="3" t="str">
        <f ca="1">VLOOKUP($C1181,OFFSET([1]quests!$A$1,0,0,COUNTA([1]quests!$A:$A),MATCH(D$1,[1]quests!$1:$1,0)-MATCH($C$1,[1]quests!$1:$1,0)+1),MATCH(D$1,[1]quests!$1:$1,0)-MATCH($C$1,[1]quests!$1:$1,0)+1,FALSE)</f>
        <v>底なしの胃袋</v>
      </c>
      <c r="E1181" s="3" t="str">
        <f ca="1">VLOOKUP($C1181,OFFSET([1]quests!$A$1,0,0,COUNTA([1]quests!$A:$A),MATCH(E$1,[1]quests!$1:$1,0)-MATCH($C$1,[1]quests!$1:$1,0)+1),MATCH(E$1,[1]quests!$1:$1,0)-MATCH($C$1,[1]quests!$1:$1,0)+1,FALSE)</f>
        <v>ドロップイベント3（マルチ専用）</v>
      </c>
      <c r="F1181" s="5">
        <v>1</v>
      </c>
      <c r="G1181" s="3" t="str">
        <f ca="1">VLOOKUP($C1181&amp;"_"&amp;$F1181,OFFSET([1]stages!$A$1,0,0,COUNTA([1]stages!$A:$A),MATCH(G$1,[1]stages!$2:$2,0)-MATCH("temp_stage",[1]stages!$2:$2,0)+1),MATCH(G$1,[1]stages!$2:$2,0)-MATCH("temp_stage",[1]stages!$2:$2,0)+1,FALSE)</f>
        <v>【上級】底なしの胃袋</v>
      </c>
      <c r="H1181" s="3" t="str">
        <f ca="1">VLOOKUP($C1181&amp;"_"&amp;$F1181,OFFSET([1]stages!$A$1,0,0,COUNTA([1]stages!$A:$A),MATCH(H$1,[1]stages!$2:$2,0)-MATCH("temp_stage",[1]stages!$2:$2,0)+1),MATCH(H$1,[1]stages!$2:$2,0)-MATCH("temp_stage",[1]stages!$2:$2,0)+1,FALSE)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1" s="18">
        <v>0</v>
      </c>
      <c r="J1181" s="5">
        <f>COUNTIF(C$1:C1181,C1181)</f>
        <v>25</v>
      </c>
      <c r="K1181" s="34">
        <v>29</v>
      </c>
      <c r="L1181" s="5" t="s">
        <v>17</v>
      </c>
      <c r="M1181" s="38" t="str">
        <f>VLOOKUP(K1181,[2]stage_hints!$A:$C,3,FALSE)</f>
        <v>「バグ」のメリット</v>
      </c>
      <c r="N1181" s="39" t="str">
        <f>VLOOKUP(K1181,[2]stage_hints!$A:$D,4,FALSE)</f>
        <v>ユニットの「バグ」を増やすと
報酬をもらえる確率がアップします</v>
      </c>
      <c r="O1181" s="20" t="s">
        <v>24</v>
      </c>
      <c r="P1181">
        <v>29</v>
      </c>
    </row>
    <row r="1182" spans="1:16" x14ac:dyDescent="0.15">
      <c r="A1182" s="27" t="str">
        <f t="shared" si="81"/>
        <v>30012_1_26</v>
      </c>
      <c r="B1182" s="25" t="s">
        <v>34</v>
      </c>
      <c r="C1182" s="4">
        <v>30012</v>
      </c>
      <c r="D1182" s="3" t="str">
        <f ca="1">VLOOKUP($C1182,OFFSET([1]quests!$A$1,0,0,COUNTA([1]quests!$A:$A),MATCH(D$1,[1]quests!$1:$1,0)-MATCH($C$1,[1]quests!$1:$1,0)+1),MATCH(D$1,[1]quests!$1:$1,0)-MATCH($C$1,[1]quests!$1:$1,0)+1,FALSE)</f>
        <v>底なしの胃袋</v>
      </c>
      <c r="E1182" s="3" t="str">
        <f ca="1">VLOOKUP($C1182,OFFSET([1]quests!$A$1,0,0,COUNTA([1]quests!$A:$A),MATCH(E$1,[1]quests!$1:$1,0)-MATCH($C$1,[1]quests!$1:$1,0)+1),MATCH(E$1,[1]quests!$1:$1,0)-MATCH($C$1,[1]quests!$1:$1,0)+1,FALSE)</f>
        <v>ドロップイベント3（マルチ専用）</v>
      </c>
      <c r="F1182" s="5">
        <v>1</v>
      </c>
      <c r="G1182" s="3" t="str">
        <f ca="1">VLOOKUP($C1182&amp;"_"&amp;$F1182,OFFSET([1]stages!$A$1,0,0,COUNTA([1]stages!$A:$A),MATCH(G$1,[1]stages!$2:$2,0)-MATCH("temp_stage",[1]stages!$2:$2,0)+1),MATCH(G$1,[1]stages!$2:$2,0)-MATCH("temp_stage",[1]stages!$2:$2,0)+1,FALSE)</f>
        <v>【上級】底なしの胃袋</v>
      </c>
      <c r="H1182" s="3" t="str">
        <f ca="1">VLOOKUP($C1182&amp;"_"&amp;$F1182,OFFSET([1]stages!$A$1,0,0,COUNTA([1]stages!$A:$A),MATCH(H$1,[1]stages!$2:$2,0)-MATCH("temp_stage",[1]stages!$2:$2,0)+1),MATCH(H$1,[1]stages!$2:$2,0)-MATCH("temp_stage",[1]stages!$2:$2,0)+1,FALSE)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2" s="18">
        <v>0</v>
      </c>
      <c r="J1182" s="5">
        <f>COUNTIF(C$1:C1182,C1182)</f>
        <v>26</v>
      </c>
      <c r="K1182" s="34">
        <v>30</v>
      </c>
      <c r="L1182" s="5" t="s">
        <v>17</v>
      </c>
      <c r="M1182" s="38" t="str">
        <f>VLOOKUP(K1182,[2]stage_hints!$A:$C,3,FALSE)</f>
        <v>「バグ」の増やし方</v>
      </c>
      <c r="N1182" s="39" t="str">
        <f>VLOOKUP(K1182,[2]stage_hints!$A:$D,4,FALSE)</f>
        <v>同じユニット同士を強化で合成すると
「バグ」を増やすことができます</v>
      </c>
      <c r="O1182" s="20" t="s">
        <v>24</v>
      </c>
      <c r="P1182">
        <v>30</v>
      </c>
    </row>
    <row r="1183" spans="1:16" x14ac:dyDescent="0.15">
      <c r="A1183" s="27" t="str">
        <f t="shared" si="81"/>
        <v>30012_1_27</v>
      </c>
      <c r="B1183" s="25" t="s">
        <v>34</v>
      </c>
      <c r="C1183" s="4">
        <v>30012</v>
      </c>
      <c r="D1183" s="3" t="str">
        <f ca="1">VLOOKUP($C1183,OFFSET([1]quests!$A$1,0,0,COUNTA([1]quests!$A:$A),MATCH(D$1,[1]quests!$1:$1,0)-MATCH($C$1,[1]quests!$1:$1,0)+1),MATCH(D$1,[1]quests!$1:$1,0)-MATCH($C$1,[1]quests!$1:$1,0)+1,FALSE)</f>
        <v>底なしの胃袋</v>
      </c>
      <c r="E1183" s="3" t="str">
        <f ca="1">VLOOKUP($C1183,OFFSET([1]quests!$A$1,0,0,COUNTA([1]quests!$A:$A),MATCH(E$1,[1]quests!$1:$1,0)-MATCH($C$1,[1]quests!$1:$1,0)+1),MATCH(E$1,[1]quests!$1:$1,0)-MATCH($C$1,[1]quests!$1:$1,0)+1,FALSE)</f>
        <v>ドロップイベント3（マルチ専用）</v>
      </c>
      <c r="F1183" s="5">
        <v>1</v>
      </c>
      <c r="G1183" s="3" t="str">
        <f ca="1">VLOOKUP($C1183&amp;"_"&amp;$F1183,OFFSET([1]stages!$A$1,0,0,COUNTA([1]stages!$A:$A),MATCH(G$1,[1]stages!$2:$2,0)-MATCH("temp_stage",[1]stages!$2:$2,0)+1),MATCH(G$1,[1]stages!$2:$2,0)-MATCH("temp_stage",[1]stages!$2:$2,0)+1,FALSE)</f>
        <v>【上級】底なしの胃袋</v>
      </c>
      <c r="H1183" s="3" t="str">
        <f ca="1">VLOOKUP($C1183&amp;"_"&amp;$F1183,OFFSET([1]stages!$A$1,0,0,COUNTA([1]stages!$A:$A),MATCH(H$1,[1]stages!$2:$2,0)-MATCH("temp_stage",[1]stages!$2:$2,0)+1),MATCH(H$1,[1]stages!$2:$2,0)-MATCH("temp_stage",[1]stages!$2:$2,0)+1,FALSE)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3" s="18">
        <v>0</v>
      </c>
      <c r="J1183" s="5">
        <f>COUNTIF(C$1:C1183,C1183)</f>
        <v>27</v>
      </c>
      <c r="K1183" s="34">
        <v>31</v>
      </c>
      <c r="L1183" s="5" t="s">
        <v>17</v>
      </c>
      <c r="M1183" s="38" t="str">
        <f>VLOOKUP(K1183,[2]stage_hints!$A:$C,3,FALSE)</f>
        <v>イベントはお知らせでチェック</v>
      </c>
      <c r="N1183" s="39" t="str">
        <f>VLOOKUP(K1183,[2]stage_hints!$A:$D,4,FALSE)</f>
        <v>イベント限定ユニットを取り忘れないように
お知らせをこまめにチェックしましょう</v>
      </c>
      <c r="O1183" s="20" t="s">
        <v>24</v>
      </c>
      <c r="P1183">
        <v>31</v>
      </c>
    </row>
    <row r="1184" spans="1:16" x14ac:dyDescent="0.15">
      <c r="A1184" s="27" t="str">
        <f t="shared" si="81"/>
        <v>30012_1_28</v>
      </c>
      <c r="B1184" s="25" t="s">
        <v>34</v>
      </c>
      <c r="C1184" s="4">
        <v>30012</v>
      </c>
      <c r="D1184" s="3" t="str">
        <f ca="1">VLOOKUP($C1184,OFFSET([1]quests!$A$1,0,0,COUNTA([1]quests!$A:$A),MATCH(D$1,[1]quests!$1:$1,0)-MATCH($C$1,[1]quests!$1:$1,0)+1),MATCH(D$1,[1]quests!$1:$1,0)-MATCH($C$1,[1]quests!$1:$1,0)+1,FALSE)</f>
        <v>底なしの胃袋</v>
      </c>
      <c r="E1184" s="3" t="str">
        <f ca="1">VLOOKUP($C1184,OFFSET([1]quests!$A$1,0,0,COUNTA([1]quests!$A:$A),MATCH(E$1,[1]quests!$1:$1,0)-MATCH($C$1,[1]quests!$1:$1,0)+1),MATCH(E$1,[1]quests!$1:$1,0)-MATCH($C$1,[1]quests!$1:$1,0)+1,FALSE)</f>
        <v>ドロップイベント3（マルチ専用）</v>
      </c>
      <c r="F1184" s="5">
        <v>1</v>
      </c>
      <c r="G1184" s="3" t="str">
        <f ca="1">VLOOKUP($C1184&amp;"_"&amp;$F1184,OFFSET([1]stages!$A$1,0,0,COUNTA([1]stages!$A:$A),MATCH(G$1,[1]stages!$2:$2,0)-MATCH("temp_stage",[1]stages!$2:$2,0)+1),MATCH(G$1,[1]stages!$2:$2,0)-MATCH("temp_stage",[1]stages!$2:$2,0)+1,FALSE)</f>
        <v>【上級】底なしの胃袋</v>
      </c>
      <c r="H1184" s="3" t="str">
        <f ca="1">VLOOKUP($C1184&amp;"_"&amp;$F1184,OFFSET([1]stages!$A$1,0,0,COUNTA([1]stages!$A:$A),MATCH(H$1,[1]stages!$2:$2,0)-MATCH("temp_stage",[1]stages!$2:$2,0)+1),MATCH(H$1,[1]stages!$2:$2,0)-MATCH("temp_stage",[1]stages!$2:$2,0)+1,FALSE)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4" s="18">
        <v>0</v>
      </c>
      <c r="J1184" s="5">
        <f>COUNTIF(C$1:C1184,C1184)</f>
        <v>28</v>
      </c>
      <c r="K1184" s="34">
        <v>32</v>
      </c>
      <c r="L1184" s="5" t="s">
        <v>17</v>
      </c>
      <c r="M1184" s="38" t="str">
        <f>VLOOKUP(K1184,[2]stage_hints!$A:$C,3,FALSE)</f>
        <v>敵の連続攻撃には</v>
      </c>
      <c r="N1184" s="39" t="str">
        <f>VLOOKUP(K1184,[2]stage_hints!$A:$D,4,FALSE)</f>
        <v>カウンタースキルを持つユニットがいれば
ダメージ回数分の反撃ができます</v>
      </c>
      <c r="O1184" s="20" t="s">
        <v>24</v>
      </c>
      <c r="P1184">
        <v>32</v>
      </c>
    </row>
    <row r="1185" spans="1:16" x14ac:dyDescent="0.15">
      <c r="A1185" s="27" t="str">
        <f t="shared" si="81"/>
        <v>30012_1_29</v>
      </c>
      <c r="B1185" s="25" t="s">
        <v>34</v>
      </c>
      <c r="C1185" s="4">
        <v>30012</v>
      </c>
      <c r="D1185" s="3" t="str">
        <f ca="1">VLOOKUP($C1185,OFFSET([1]quests!$A$1,0,0,COUNTA([1]quests!$A:$A),MATCH(D$1,[1]quests!$1:$1,0)-MATCH($C$1,[1]quests!$1:$1,0)+1),MATCH(D$1,[1]quests!$1:$1,0)-MATCH($C$1,[1]quests!$1:$1,0)+1,FALSE)</f>
        <v>底なしの胃袋</v>
      </c>
      <c r="E1185" s="3" t="str">
        <f ca="1">VLOOKUP($C1185,OFFSET([1]quests!$A$1,0,0,COUNTA([1]quests!$A:$A),MATCH(E$1,[1]quests!$1:$1,0)-MATCH($C$1,[1]quests!$1:$1,0)+1),MATCH(E$1,[1]quests!$1:$1,0)-MATCH($C$1,[1]quests!$1:$1,0)+1,FALSE)</f>
        <v>ドロップイベント3（マルチ専用）</v>
      </c>
      <c r="F1185" s="5">
        <v>1</v>
      </c>
      <c r="G1185" s="3" t="str">
        <f ca="1">VLOOKUP($C1185&amp;"_"&amp;$F1185,OFFSET([1]stages!$A$1,0,0,COUNTA([1]stages!$A:$A),MATCH(G$1,[1]stages!$2:$2,0)-MATCH("temp_stage",[1]stages!$2:$2,0)+1),MATCH(G$1,[1]stages!$2:$2,0)-MATCH("temp_stage",[1]stages!$2:$2,0)+1,FALSE)</f>
        <v>【上級】底なしの胃袋</v>
      </c>
      <c r="H1185" s="3" t="str">
        <f ca="1">VLOOKUP($C1185&amp;"_"&amp;$F1185,OFFSET([1]stages!$A$1,0,0,COUNTA([1]stages!$A:$A),MATCH(H$1,[1]stages!$2:$2,0)-MATCH("temp_stage",[1]stages!$2:$2,0)+1),MATCH(H$1,[1]stages!$2:$2,0)-MATCH("temp_stage",[1]stages!$2:$2,0)+1,FALSE)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5" s="18">
        <v>0</v>
      </c>
      <c r="J1185" s="5">
        <f>COUNTIF(C$1:C1185,C1185)</f>
        <v>29</v>
      </c>
      <c r="K1185" s="34">
        <v>33</v>
      </c>
      <c r="L1185" s="5" t="s">
        <v>17</v>
      </c>
      <c r="M1185" s="38" t="str">
        <f>VLOOKUP(K1185,[2]stage_hints!$A:$C,3,FALSE)</f>
        <v>敵のカウンター攻撃には</v>
      </c>
      <c r="N1185" s="39" t="str">
        <f>VLOOKUP(K1185,[2]stage_hints!$A:$D,4,FALSE)</f>
        <v>カウンターブレイクスキルを持っていれば
敵のカウンターを解除して攻撃ができます</v>
      </c>
      <c r="O1185" s="20" t="s">
        <v>24</v>
      </c>
      <c r="P1185">
        <v>33</v>
      </c>
    </row>
    <row r="1186" spans="1:16" x14ac:dyDescent="0.15">
      <c r="A1186" s="27" t="str">
        <f t="shared" si="81"/>
        <v>30012_1_30</v>
      </c>
      <c r="B1186" s="25" t="s">
        <v>34</v>
      </c>
      <c r="C1186" s="4">
        <v>30012</v>
      </c>
      <c r="D1186" s="3" t="str">
        <f ca="1">VLOOKUP($C1186,OFFSET([1]quests!$A$1,0,0,COUNTA([1]quests!$A:$A),MATCH(D$1,[1]quests!$1:$1,0)-MATCH($C$1,[1]quests!$1:$1,0)+1),MATCH(D$1,[1]quests!$1:$1,0)-MATCH($C$1,[1]quests!$1:$1,0)+1,FALSE)</f>
        <v>底なしの胃袋</v>
      </c>
      <c r="E1186" s="3" t="str">
        <f ca="1">VLOOKUP($C1186,OFFSET([1]quests!$A$1,0,0,COUNTA([1]quests!$A:$A),MATCH(E$1,[1]quests!$1:$1,0)-MATCH($C$1,[1]quests!$1:$1,0)+1),MATCH(E$1,[1]quests!$1:$1,0)-MATCH($C$1,[1]quests!$1:$1,0)+1,FALSE)</f>
        <v>ドロップイベント3（マルチ専用）</v>
      </c>
      <c r="F1186" s="5">
        <v>1</v>
      </c>
      <c r="G1186" s="3" t="str">
        <f ca="1">VLOOKUP($C1186&amp;"_"&amp;$F1186,OFFSET([1]stages!$A$1,0,0,COUNTA([1]stages!$A:$A),MATCH(G$1,[1]stages!$2:$2,0)-MATCH("temp_stage",[1]stages!$2:$2,0)+1),MATCH(G$1,[1]stages!$2:$2,0)-MATCH("temp_stage",[1]stages!$2:$2,0)+1,FALSE)</f>
        <v>【上級】底なしの胃袋</v>
      </c>
      <c r="H1186" s="3" t="str">
        <f ca="1">VLOOKUP($C1186&amp;"_"&amp;$F1186,OFFSET([1]stages!$A$1,0,0,COUNTA([1]stages!$A:$A),MATCH(H$1,[1]stages!$2:$2,0)-MATCH("temp_stage",[1]stages!$2:$2,0)+1),MATCH(H$1,[1]stages!$2:$2,0)-MATCH("temp_stage",[1]stages!$2:$2,0)+1,FALSE)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6" s="18">
        <v>0</v>
      </c>
      <c r="J1186" s="5">
        <f>COUNTIF(C$1:C1186,C1186)</f>
        <v>30</v>
      </c>
      <c r="K1186" s="34">
        <v>34</v>
      </c>
      <c r="L1186" s="5" t="s">
        <v>17</v>
      </c>
      <c r="M1186" s="38" t="str">
        <f>VLOOKUP(K1186,[2]stage_hints!$A:$C,3,FALSE)</f>
        <v>ステータスをスキルで下げられたら</v>
      </c>
      <c r="N1186" s="39" t="str">
        <f>VLOOKUP(K1186,[2]stage_hints!$A:$D,4,FALSE)</f>
        <v>ステータスダウンのスキルを受けたら
ステータスアップスキルで上書きしましょう</v>
      </c>
      <c r="O1186" s="20" t="s">
        <v>24</v>
      </c>
      <c r="P1186">
        <v>34</v>
      </c>
    </row>
    <row r="1187" spans="1:16" x14ac:dyDescent="0.15">
      <c r="A1187" s="27" t="str">
        <f t="shared" si="81"/>
        <v>30012_1_31</v>
      </c>
      <c r="B1187" s="25" t="s">
        <v>34</v>
      </c>
      <c r="C1187" s="4">
        <v>30012</v>
      </c>
      <c r="D1187" s="3" t="str">
        <f ca="1">VLOOKUP($C1187,OFFSET([1]quests!$A$1,0,0,COUNTA([1]quests!$A:$A),MATCH(D$1,[1]quests!$1:$1,0)-MATCH($C$1,[1]quests!$1:$1,0)+1),MATCH(D$1,[1]quests!$1:$1,0)-MATCH($C$1,[1]quests!$1:$1,0)+1,FALSE)</f>
        <v>底なしの胃袋</v>
      </c>
      <c r="E1187" s="3" t="str">
        <f ca="1">VLOOKUP($C1187,OFFSET([1]quests!$A$1,0,0,COUNTA([1]quests!$A:$A),MATCH(E$1,[1]quests!$1:$1,0)-MATCH($C$1,[1]quests!$1:$1,0)+1),MATCH(E$1,[1]quests!$1:$1,0)-MATCH($C$1,[1]quests!$1:$1,0)+1,FALSE)</f>
        <v>ドロップイベント3（マルチ専用）</v>
      </c>
      <c r="F1187" s="5">
        <v>1</v>
      </c>
      <c r="G1187" s="3" t="str">
        <f ca="1">VLOOKUP($C1187&amp;"_"&amp;$F1187,OFFSET([1]stages!$A$1,0,0,COUNTA([1]stages!$A:$A),MATCH(G$1,[1]stages!$2:$2,0)-MATCH("temp_stage",[1]stages!$2:$2,0)+1),MATCH(G$1,[1]stages!$2:$2,0)-MATCH("temp_stage",[1]stages!$2:$2,0)+1,FALSE)</f>
        <v>【上級】底なしの胃袋</v>
      </c>
      <c r="H1187" s="3" t="str">
        <f ca="1">VLOOKUP($C1187&amp;"_"&amp;$F1187,OFFSET([1]stages!$A$1,0,0,COUNTA([1]stages!$A:$A),MATCH(H$1,[1]stages!$2:$2,0)-MATCH("temp_stage",[1]stages!$2:$2,0)+1),MATCH(H$1,[1]stages!$2:$2,0)-MATCH("temp_stage",[1]stages!$2:$2,0)+1,FALSE)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7" s="18">
        <v>0</v>
      </c>
      <c r="J1187" s="5">
        <f>COUNTIF(C$1:C1187,C1187)</f>
        <v>31</v>
      </c>
      <c r="K1187" s="34">
        <v>35</v>
      </c>
      <c r="L1187" s="5" t="s">
        <v>17</v>
      </c>
      <c r="M1187" s="38" t="str">
        <f>VLOOKUP(K1187,[2]stage_hints!$A:$C,3,FALSE)</f>
        <v>敵のステータスがスキルで上がったら</v>
      </c>
      <c r="N1187" s="39" t="str">
        <f>VLOOKUP(K1187,[2]stage_hints!$A:$D,4,FALSE)</f>
        <v>敵のステータスがスキルでアップしたときは
ステータスダウンスキルで上書きしましょう</v>
      </c>
      <c r="O1187" s="20" t="s">
        <v>24</v>
      </c>
      <c r="P1187">
        <v>35</v>
      </c>
    </row>
    <row r="1188" spans="1:16" x14ac:dyDescent="0.15">
      <c r="A1188" s="27" t="str">
        <f t="shared" ref="A1188:A1251" si="82">C1188&amp;"_"&amp;F1188&amp;"_"&amp;J1188</f>
        <v>30012_1_32</v>
      </c>
      <c r="B1188" s="25" t="s">
        <v>34</v>
      </c>
      <c r="C1188" s="4">
        <v>30012</v>
      </c>
      <c r="D1188" s="3" t="str">
        <f ca="1">VLOOKUP($C1188,OFFSET([1]quests!$A$1,0,0,COUNTA([1]quests!$A:$A),MATCH(D$1,[1]quests!$1:$1,0)-MATCH($C$1,[1]quests!$1:$1,0)+1),MATCH(D$1,[1]quests!$1:$1,0)-MATCH($C$1,[1]quests!$1:$1,0)+1,FALSE)</f>
        <v>底なしの胃袋</v>
      </c>
      <c r="E1188" s="3" t="str">
        <f ca="1">VLOOKUP($C1188,OFFSET([1]quests!$A$1,0,0,COUNTA([1]quests!$A:$A),MATCH(E$1,[1]quests!$1:$1,0)-MATCH($C$1,[1]quests!$1:$1,0)+1),MATCH(E$1,[1]quests!$1:$1,0)-MATCH($C$1,[1]quests!$1:$1,0)+1,FALSE)</f>
        <v>ドロップイベント3（マルチ専用）</v>
      </c>
      <c r="F1188" s="5">
        <v>1</v>
      </c>
      <c r="G1188" s="3" t="str">
        <f ca="1">VLOOKUP($C1188&amp;"_"&amp;$F1188,OFFSET([1]stages!$A$1,0,0,COUNTA([1]stages!$A:$A),MATCH(G$1,[1]stages!$2:$2,0)-MATCH("temp_stage",[1]stages!$2:$2,0)+1),MATCH(G$1,[1]stages!$2:$2,0)-MATCH("temp_stage",[1]stages!$2:$2,0)+1,FALSE)</f>
        <v>【上級】底なしの胃袋</v>
      </c>
      <c r="H1188" s="3" t="str">
        <f ca="1">VLOOKUP($C1188&amp;"_"&amp;$F1188,OFFSET([1]stages!$A$1,0,0,COUNTA([1]stages!$A:$A),MATCH(H$1,[1]stages!$2:$2,0)-MATCH("temp_stage",[1]stages!$2:$2,0)+1),MATCH(H$1,[1]stages!$2:$2,0)-MATCH("temp_stage",[1]stages!$2:$2,0)+1,FALSE)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8" s="18">
        <v>0</v>
      </c>
      <c r="J1188" s="5">
        <f>COUNTIF(C$1:C1188,C1188)</f>
        <v>32</v>
      </c>
      <c r="K1188" s="34">
        <v>36</v>
      </c>
      <c r="L1188" s="5" t="s">
        <v>17</v>
      </c>
      <c r="M1188" s="38" t="str">
        <f>VLOOKUP(K1188,[2]stage_hints!$A:$C,3,FALSE)</f>
        <v>チャレンジタワーのボス</v>
      </c>
      <c r="N1188" s="39" t="str">
        <f>VLOOKUP(K1188,[2]stage_hints!$A:$D,4,FALSE)</f>
        <v>チャレンジタワーでのみ登場するボスは
一定確率で獲得することができます</v>
      </c>
      <c r="O1188" s="20" t="s">
        <v>24</v>
      </c>
      <c r="P1188">
        <v>36</v>
      </c>
    </row>
    <row r="1189" spans="1:16" x14ac:dyDescent="0.15">
      <c r="A1189" s="27" t="str">
        <f t="shared" si="82"/>
        <v>30012_1_33</v>
      </c>
      <c r="B1189" s="25" t="s">
        <v>34</v>
      </c>
      <c r="C1189" s="4">
        <v>30012</v>
      </c>
      <c r="D1189" s="3" t="str">
        <f ca="1">VLOOKUP($C1189,OFFSET([1]quests!$A$1,0,0,COUNTA([1]quests!$A:$A),MATCH(D$1,[1]quests!$1:$1,0)-MATCH($C$1,[1]quests!$1:$1,0)+1),MATCH(D$1,[1]quests!$1:$1,0)-MATCH($C$1,[1]quests!$1:$1,0)+1,FALSE)</f>
        <v>底なしの胃袋</v>
      </c>
      <c r="E1189" s="3" t="str">
        <f ca="1">VLOOKUP($C1189,OFFSET([1]quests!$A$1,0,0,COUNTA([1]quests!$A:$A),MATCH(E$1,[1]quests!$1:$1,0)-MATCH($C$1,[1]quests!$1:$1,0)+1),MATCH(E$1,[1]quests!$1:$1,0)-MATCH($C$1,[1]quests!$1:$1,0)+1,FALSE)</f>
        <v>ドロップイベント3（マルチ専用）</v>
      </c>
      <c r="F1189" s="5">
        <v>1</v>
      </c>
      <c r="G1189" s="3" t="str">
        <f ca="1">VLOOKUP($C1189&amp;"_"&amp;$F1189,OFFSET([1]stages!$A$1,0,0,COUNTA([1]stages!$A:$A),MATCH(G$1,[1]stages!$2:$2,0)-MATCH("temp_stage",[1]stages!$2:$2,0)+1),MATCH(G$1,[1]stages!$2:$2,0)-MATCH("temp_stage",[1]stages!$2:$2,0)+1,FALSE)</f>
        <v>【上級】底なしの胃袋</v>
      </c>
      <c r="H1189" s="3" t="str">
        <f ca="1">VLOOKUP($C1189&amp;"_"&amp;$F1189,OFFSET([1]stages!$A$1,0,0,COUNTA([1]stages!$A:$A),MATCH(H$1,[1]stages!$2:$2,0)-MATCH("temp_stage",[1]stages!$2:$2,0)+1),MATCH(H$1,[1]stages!$2:$2,0)-MATCH("temp_stage",[1]stages!$2:$2,0)+1,FALSE)</f>
        <v>ドロップイベント3（マルチ専用）</v>
      </c>
      <c r="I1189" s="18">
        <v>0</v>
      </c>
      <c r="J1189" s="5">
        <f>COUNTIF(C$1:C1189,C1189)</f>
        <v>33</v>
      </c>
      <c r="K1189" s="34">
        <v>37</v>
      </c>
      <c r="L1189" s="5" t="s">
        <v>17</v>
      </c>
      <c r="M1189" s="38" t="str">
        <f>VLOOKUP(K1189,[2]stage_hints!$A:$C,3,FALSE)</f>
        <v>限界突破値の引き継ぎ</v>
      </c>
      <c r="N1189" s="39" t="str">
        <f>VLOOKUP(K1189,[2]stage_hints!$A:$D,4,FALSE)</f>
        <v>同じユニットを強化で合成すると
限界突破値を引き継げます（覚醒前後も可）</v>
      </c>
      <c r="O1189" s="20" t="s">
        <v>24</v>
      </c>
      <c r="P1189">
        <v>37</v>
      </c>
    </row>
    <row r="1190" spans="1:16" x14ac:dyDescent="0.15">
      <c r="A1190" s="27" t="str">
        <f t="shared" si="82"/>
        <v>11207_1_1</v>
      </c>
      <c r="B1190" s="25" t="s">
        <v>34</v>
      </c>
      <c r="C1190" s="4">
        <v>11207</v>
      </c>
      <c r="D1190" s="3" t="str">
        <f ca="1">VLOOKUP($C1190,OFFSET([1]quests!$A$1,0,0,COUNTA([1]quests!$A:$A),MATCH(D$1,[1]quests!$1:$1,0)-MATCH($C$1,[1]quests!$1:$1,0)+1),MATCH(D$1,[1]quests!$1:$1,0)-MATCH($C$1,[1]quests!$1:$1,0)+1,FALSE)</f>
        <v>果実達の大宴会</v>
      </c>
      <c r="E1190" s="3">
        <f ca="1">VLOOKUP($C1190,OFFSET([1]quests!$A$1,0,0,COUNTA([1]quests!$A:$A),MATCH(E$1,[1]quests!$1:$1,0)-MATCH($C$1,[1]quests!$1:$1,0)+1),MATCH(E$1,[1]quests!$1:$1,0)-MATCH($C$1,[1]quests!$1:$1,0)+1,FALSE)</f>
        <v>0</v>
      </c>
      <c r="F1190" s="5">
        <v>1</v>
      </c>
      <c r="G1190" s="3" t="str">
        <f ca="1">VLOOKUP($C1190&amp;"_"&amp;$F1190,OFFSET([1]stages!$A$1,0,0,COUNTA([1]stages!$A:$A),MATCH(G$1,[1]stages!$2:$2,0)-MATCH("temp_stage",[1]stages!$2:$2,0)+1),MATCH(G$1,[1]stages!$2:$2,0)-MATCH("temp_stage",[1]stages!$2:$2,0)+1,FALSE)</f>
        <v>【上級】果実達の大宴会</v>
      </c>
      <c r="H1190" s="3">
        <f ca="1">VLOOKUP($C1190&amp;"_"&amp;$F1190,OFFSET([1]stages!$A$1,0,0,COUNTA([1]stages!$A:$A),MATCH(H$1,[1]stages!$2:$2,0)-MATCH("temp_stage",[1]stages!$2:$2,0)+1),MATCH(H$1,[1]stages!$2:$2,0)-MATCH("temp_stage",[1]stages!$2:$2,0)+1,FALSE)</f>
        <v>0</v>
      </c>
      <c r="I1190" s="18">
        <v>0</v>
      </c>
      <c r="J1190" s="5">
        <f>COUNTIF(C$1:C1190,C1190)</f>
        <v>1</v>
      </c>
      <c r="K1190" s="34">
        <v>3</v>
      </c>
      <c r="L1190" s="5" t="s">
        <v>17</v>
      </c>
      <c r="M1190" s="38" t="str">
        <f>VLOOKUP(K1190,[2]stage_hints!$A:$C,3,FALSE)</f>
        <v>ターゲット</v>
      </c>
      <c r="N1190" s="39" t="str">
        <f>VLOOKUP(K1190,[2]stage_hints!$A:$D,4,FALSE)</f>
        <v>敵ユニットをタップすると
その敵を狙い撃ちできます</v>
      </c>
      <c r="O1190" s="20" t="s">
        <v>24</v>
      </c>
      <c r="P1190">
        <v>3</v>
      </c>
    </row>
    <row r="1191" spans="1:16" x14ac:dyDescent="0.15">
      <c r="A1191" s="27" t="str">
        <f t="shared" si="82"/>
        <v>11207_1_2</v>
      </c>
      <c r="B1191" s="25" t="s">
        <v>34</v>
      </c>
      <c r="C1191" s="4">
        <v>11207</v>
      </c>
      <c r="D1191" s="3" t="str">
        <f ca="1">VLOOKUP($C1191,OFFSET([1]quests!$A$1,0,0,COUNTA([1]quests!$A:$A),MATCH(D$1,[1]quests!$1:$1,0)-MATCH($C$1,[1]quests!$1:$1,0)+1),MATCH(D$1,[1]quests!$1:$1,0)-MATCH($C$1,[1]quests!$1:$1,0)+1,FALSE)</f>
        <v>果実達の大宴会</v>
      </c>
      <c r="E1191" s="3">
        <f ca="1">VLOOKUP($C1191,OFFSET([1]quests!$A$1,0,0,COUNTA([1]quests!$A:$A),MATCH(E$1,[1]quests!$1:$1,0)-MATCH($C$1,[1]quests!$1:$1,0)+1),MATCH(E$1,[1]quests!$1:$1,0)-MATCH($C$1,[1]quests!$1:$1,0)+1,FALSE)</f>
        <v>0</v>
      </c>
      <c r="F1191" s="5">
        <v>1</v>
      </c>
      <c r="G1191" s="3" t="str">
        <f ca="1">VLOOKUP($C1191&amp;"_"&amp;$F1191,OFFSET([1]stages!$A$1,0,0,COUNTA([1]stages!$A:$A),MATCH(G$1,[1]stages!$2:$2,0)-MATCH("temp_stage",[1]stages!$2:$2,0)+1),MATCH(G$1,[1]stages!$2:$2,0)-MATCH("temp_stage",[1]stages!$2:$2,0)+1,FALSE)</f>
        <v>【上級】果実達の大宴会</v>
      </c>
      <c r="H1191" s="3">
        <f ca="1">VLOOKUP($C1191&amp;"_"&amp;$F1191,OFFSET([1]stages!$A$1,0,0,COUNTA([1]stages!$A:$A),MATCH(H$1,[1]stages!$2:$2,0)-MATCH("temp_stage",[1]stages!$2:$2,0)+1),MATCH(H$1,[1]stages!$2:$2,0)-MATCH("temp_stage",[1]stages!$2:$2,0)+1,FALSE)</f>
        <v>0</v>
      </c>
      <c r="I1191" s="18">
        <v>0</v>
      </c>
      <c r="J1191" s="5">
        <f>COUNTIF(C$1:C1191,C1191)</f>
        <v>2</v>
      </c>
      <c r="K1191" s="34">
        <v>6</v>
      </c>
      <c r="L1191" s="5" t="s">
        <v>17</v>
      </c>
      <c r="M1191" s="38" t="str">
        <f>VLOOKUP(K1191,[2]stage_hints!$A:$C,3,FALSE)</f>
        <v>ユニット強化の属性ボーナス</v>
      </c>
      <c r="N1191" s="39" t="str">
        <f>VLOOKUP(K1191,[2]stage_hints!$A:$D,4,FALSE)</f>
        <v>同属性ユニットを強化素材にすると
経験値が多くもらえます</v>
      </c>
      <c r="O1191" s="20" t="s">
        <v>24</v>
      </c>
      <c r="P1191">
        <v>6</v>
      </c>
    </row>
    <row r="1192" spans="1:16" x14ac:dyDescent="0.15">
      <c r="A1192" s="27" t="str">
        <f t="shared" si="82"/>
        <v>11207_1_3</v>
      </c>
      <c r="B1192" s="25" t="s">
        <v>34</v>
      </c>
      <c r="C1192" s="4">
        <v>11207</v>
      </c>
      <c r="D1192" s="3" t="str">
        <f ca="1">VLOOKUP($C1192,OFFSET([1]quests!$A$1,0,0,COUNTA([1]quests!$A:$A),MATCH(D$1,[1]quests!$1:$1,0)-MATCH($C$1,[1]quests!$1:$1,0)+1),MATCH(D$1,[1]quests!$1:$1,0)-MATCH($C$1,[1]quests!$1:$1,0)+1,FALSE)</f>
        <v>果実達の大宴会</v>
      </c>
      <c r="E1192" s="3">
        <f ca="1">VLOOKUP($C1192,OFFSET([1]quests!$A$1,0,0,COUNTA([1]quests!$A:$A),MATCH(E$1,[1]quests!$1:$1,0)-MATCH($C$1,[1]quests!$1:$1,0)+1),MATCH(E$1,[1]quests!$1:$1,0)-MATCH($C$1,[1]quests!$1:$1,0)+1,FALSE)</f>
        <v>0</v>
      </c>
      <c r="F1192" s="5">
        <v>1</v>
      </c>
      <c r="G1192" s="3" t="str">
        <f ca="1">VLOOKUP($C1192&amp;"_"&amp;$F1192,OFFSET([1]stages!$A$1,0,0,COUNTA([1]stages!$A:$A),MATCH(G$1,[1]stages!$2:$2,0)-MATCH("temp_stage",[1]stages!$2:$2,0)+1),MATCH(G$1,[1]stages!$2:$2,0)-MATCH("temp_stage",[1]stages!$2:$2,0)+1,FALSE)</f>
        <v>【上級】果実達の大宴会</v>
      </c>
      <c r="H1192" s="3">
        <f ca="1">VLOOKUP($C1192&amp;"_"&amp;$F1192,OFFSET([1]stages!$A$1,0,0,COUNTA([1]stages!$A:$A),MATCH(H$1,[1]stages!$2:$2,0)-MATCH("temp_stage",[1]stages!$2:$2,0)+1),MATCH(H$1,[1]stages!$2:$2,0)-MATCH("temp_stage",[1]stages!$2:$2,0)+1,FALSE)</f>
        <v>0</v>
      </c>
      <c r="I1192" s="18">
        <v>0</v>
      </c>
      <c r="J1192" s="5">
        <f>COUNTIF(C$1:C1192,C1192)</f>
        <v>3</v>
      </c>
      <c r="K1192" s="34">
        <v>7</v>
      </c>
      <c r="L1192" s="5" t="s">
        <v>17</v>
      </c>
      <c r="M1192" s="38" t="str">
        <f>VLOOKUP(K1192,[2]stage_hints!$A:$C,3,FALSE)</f>
        <v>メタルダックで経験値を獲得</v>
      </c>
      <c r="N1192" s="39" t="str">
        <f>VLOOKUP(K1192,[2]stage_hints!$A:$D,4,FALSE)</f>
        <v>「メタルなアヒル」を強化素材にすると
大量の経験値がもらえます</v>
      </c>
      <c r="O1192" s="20" t="s">
        <v>24</v>
      </c>
      <c r="P1192">
        <v>7</v>
      </c>
    </row>
    <row r="1193" spans="1:16" x14ac:dyDescent="0.15">
      <c r="A1193" s="27" t="str">
        <f t="shared" si="82"/>
        <v>11207_1_4</v>
      </c>
      <c r="B1193" s="25" t="s">
        <v>34</v>
      </c>
      <c r="C1193" s="4">
        <v>11207</v>
      </c>
      <c r="D1193" s="3" t="str">
        <f ca="1">VLOOKUP($C1193,OFFSET([1]quests!$A$1,0,0,COUNTA([1]quests!$A:$A),MATCH(D$1,[1]quests!$1:$1,0)-MATCH($C$1,[1]quests!$1:$1,0)+1),MATCH(D$1,[1]quests!$1:$1,0)-MATCH($C$1,[1]quests!$1:$1,0)+1,FALSE)</f>
        <v>果実達の大宴会</v>
      </c>
      <c r="E1193" s="3">
        <f ca="1">VLOOKUP($C1193,OFFSET([1]quests!$A$1,0,0,COUNTA([1]quests!$A:$A),MATCH(E$1,[1]quests!$1:$1,0)-MATCH($C$1,[1]quests!$1:$1,0)+1),MATCH(E$1,[1]quests!$1:$1,0)-MATCH($C$1,[1]quests!$1:$1,0)+1,FALSE)</f>
        <v>0</v>
      </c>
      <c r="F1193" s="5">
        <v>1</v>
      </c>
      <c r="G1193" s="3" t="str">
        <f ca="1">VLOOKUP($C1193&amp;"_"&amp;$F1193,OFFSET([1]stages!$A$1,0,0,COUNTA([1]stages!$A:$A),MATCH(G$1,[1]stages!$2:$2,0)-MATCH("temp_stage",[1]stages!$2:$2,0)+1),MATCH(G$1,[1]stages!$2:$2,0)-MATCH("temp_stage",[1]stages!$2:$2,0)+1,FALSE)</f>
        <v>【上級】果実達の大宴会</v>
      </c>
      <c r="H1193" s="3">
        <f ca="1">VLOOKUP($C1193&amp;"_"&amp;$F1193,OFFSET([1]stages!$A$1,0,0,COUNTA([1]stages!$A:$A),MATCH(H$1,[1]stages!$2:$2,0)-MATCH("temp_stage",[1]stages!$2:$2,0)+1),MATCH(H$1,[1]stages!$2:$2,0)-MATCH("temp_stage",[1]stages!$2:$2,0)+1,FALSE)</f>
        <v>0</v>
      </c>
      <c r="I1193" s="18">
        <v>0</v>
      </c>
      <c r="J1193" s="5">
        <f>COUNTIF(C$1:C1193,C1193)</f>
        <v>4</v>
      </c>
      <c r="K1193" s="34">
        <v>8</v>
      </c>
      <c r="L1193" s="5" t="s">
        <v>17</v>
      </c>
      <c r="M1193" s="38" t="str">
        <f>VLOOKUP(K1193,[2]stage_hints!$A:$C,3,FALSE)</f>
        <v>ゲリラクエストは要チェック</v>
      </c>
      <c r="N1193" s="39" t="str">
        <f>VLOOKUP(K1193,[2]stage_hints!$A:$D,4,FALSE)</f>
        <v>時間限定の「アヒル捕獲作戦」では
経験値素材ユニットが多く手に入ります</v>
      </c>
      <c r="O1193" s="20" t="s">
        <v>24</v>
      </c>
      <c r="P1193">
        <v>8</v>
      </c>
    </row>
    <row r="1194" spans="1:16" x14ac:dyDescent="0.15">
      <c r="A1194" s="27" t="str">
        <f t="shared" si="82"/>
        <v>11207_1_5</v>
      </c>
      <c r="B1194" s="25" t="s">
        <v>34</v>
      </c>
      <c r="C1194" s="4">
        <v>11207</v>
      </c>
      <c r="D1194" s="3" t="str">
        <f ca="1">VLOOKUP($C1194,OFFSET([1]quests!$A$1,0,0,COUNTA([1]quests!$A:$A),MATCH(D$1,[1]quests!$1:$1,0)-MATCH($C$1,[1]quests!$1:$1,0)+1),MATCH(D$1,[1]quests!$1:$1,0)-MATCH($C$1,[1]quests!$1:$1,0)+1,FALSE)</f>
        <v>果実達の大宴会</v>
      </c>
      <c r="E1194" s="3">
        <f ca="1">VLOOKUP($C1194,OFFSET([1]quests!$A$1,0,0,COUNTA([1]quests!$A:$A),MATCH(E$1,[1]quests!$1:$1,0)-MATCH($C$1,[1]quests!$1:$1,0)+1),MATCH(E$1,[1]quests!$1:$1,0)-MATCH($C$1,[1]quests!$1:$1,0)+1,FALSE)</f>
        <v>0</v>
      </c>
      <c r="F1194" s="5">
        <v>1</v>
      </c>
      <c r="G1194" s="3" t="str">
        <f ca="1">VLOOKUP($C1194&amp;"_"&amp;$F1194,OFFSET([1]stages!$A$1,0,0,COUNTA([1]stages!$A:$A),MATCH(G$1,[1]stages!$2:$2,0)-MATCH("temp_stage",[1]stages!$2:$2,0)+1),MATCH(G$1,[1]stages!$2:$2,0)-MATCH("temp_stage",[1]stages!$2:$2,0)+1,FALSE)</f>
        <v>【上級】果実達の大宴会</v>
      </c>
      <c r="H1194" s="3">
        <f ca="1">VLOOKUP($C1194&amp;"_"&amp;$F1194,OFFSET([1]stages!$A$1,0,0,COUNTA([1]stages!$A:$A),MATCH(H$1,[1]stages!$2:$2,0)-MATCH("temp_stage",[1]stages!$2:$2,0)+1),MATCH(H$1,[1]stages!$2:$2,0)-MATCH("temp_stage",[1]stages!$2:$2,0)+1,FALSE)</f>
        <v>0</v>
      </c>
      <c r="I1194" s="18">
        <v>0</v>
      </c>
      <c r="J1194" s="5">
        <f>COUNTIF(C$1:C1194,C1194)</f>
        <v>5</v>
      </c>
      <c r="K1194" s="34">
        <v>9</v>
      </c>
      <c r="L1194" s="5" t="s">
        <v>17</v>
      </c>
      <c r="M1194" s="38" t="str">
        <f>VLOOKUP(K1194,[2]stage_hints!$A:$C,3,FALSE)</f>
        <v>ゴールドダックでビットを獲得</v>
      </c>
      <c r="N1194" s="39" t="str">
        <f>VLOOKUP(K1194,[2]stage_hints!$A:$D,4,FALSE)</f>
        <v>「ゴールドなアヒル」を売却すると
大量のビットがもらえます</v>
      </c>
      <c r="O1194" s="20" t="s">
        <v>24</v>
      </c>
      <c r="P1194">
        <v>9</v>
      </c>
    </row>
    <row r="1195" spans="1:16" x14ac:dyDescent="0.15">
      <c r="A1195" s="27" t="str">
        <f t="shared" si="82"/>
        <v>11207_1_6</v>
      </c>
      <c r="B1195" s="25" t="s">
        <v>34</v>
      </c>
      <c r="C1195" s="4">
        <v>11207</v>
      </c>
      <c r="D1195" s="3" t="str">
        <f ca="1">VLOOKUP($C1195,OFFSET([1]quests!$A$1,0,0,COUNTA([1]quests!$A:$A),MATCH(D$1,[1]quests!$1:$1,0)-MATCH($C$1,[1]quests!$1:$1,0)+1),MATCH(D$1,[1]quests!$1:$1,0)-MATCH($C$1,[1]quests!$1:$1,0)+1,FALSE)</f>
        <v>果実達の大宴会</v>
      </c>
      <c r="E1195" s="3">
        <f ca="1">VLOOKUP($C1195,OFFSET([1]quests!$A$1,0,0,COUNTA([1]quests!$A:$A),MATCH(E$1,[1]quests!$1:$1,0)-MATCH($C$1,[1]quests!$1:$1,0)+1),MATCH(E$1,[1]quests!$1:$1,0)-MATCH($C$1,[1]quests!$1:$1,0)+1,FALSE)</f>
        <v>0</v>
      </c>
      <c r="F1195" s="5">
        <v>1</v>
      </c>
      <c r="G1195" s="3" t="str">
        <f ca="1">VLOOKUP($C1195&amp;"_"&amp;$F1195,OFFSET([1]stages!$A$1,0,0,COUNTA([1]stages!$A:$A),MATCH(G$1,[1]stages!$2:$2,0)-MATCH("temp_stage",[1]stages!$2:$2,0)+1),MATCH(G$1,[1]stages!$2:$2,0)-MATCH("temp_stage",[1]stages!$2:$2,0)+1,FALSE)</f>
        <v>【上級】果実達の大宴会</v>
      </c>
      <c r="H1195" s="3">
        <f ca="1">VLOOKUP($C1195&amp;"_"&amp;$F1195,OFFSET([1]stages!$A$1,0,0,COUNTA([1]stages!$A:$A),MATCH(H$1,[1]stages!$2:$2,0)-MATCH("temp_stage",[1]stages!$2:$2,0)+1),MATCH(H$1,[1]stages!$2:$2,0)-MATCH("temp_stage",[1]stages!$2:$2,0)+1,FALSE)</f>
        <v>0</v>
      </c>
      <c r="I1195" s="18">
        <v>0</v>
      </c>
      <c r="J1195" s="5">
        <f>COUNTIF(C$1:C1195,C1195)</f>
        <v>6</v>
      </c>
      <c r="K1195" s="34">
        <v>10</v>
      </c>
      <c r="L1195" s="5" t="s">
        <v>17</v>
      </c>
      <c r="M1195" s="38" t="str">
        <f>VLOOKUP(K1195,[2]stage_hints!$A:$C,3,FALSE)</f>
        <v>土日に大量のビットを獲得</v>
      </c>
      <c r="N1195" s="39" t="str">
        <f>VLOOKUP(K1195,[2]stage_hints!$A:$D,4,FALSE)</f>
        <v>土日限定の「ゴールドカジノ」では
売却素材ユニットが多く手に入ります</v>
      </c>
      <c r="O1195" s="20" t="s">
        <v>24</v>
      </c>
      <c r="P1195">
        <v>10</v>
      </c>
    </row>
    <row r="1196" spans="1:16" x14ac:dyDescent="0.15">
      <c r="A1196" s="27" t="str">
        <f t="shared" si="82"/>
        <v>11207_1_7</v>
      </c>
      <c r="B1196" s="25" t="s">
        <v>34</v>
      </c>
      <c r="C1196" s="4">
        <v>11207</v>
      </c>
      <c r="D1196" s="3" t="str">
        <f ca="1">VLOOKUP($C1196,OFFSET([1]quests!$A$1,0,0,COUNTA([1]quests!$A:$A),MATCH(D$1,[1]quests!$1:$1,0)-MATCH($C$1,[1]quests!$1:$1,0)+1),MATCH(D$1,[1]quests!$1:$1,0)-MATCH($C$1,[1]quests!$1:$1,0)+1,FALSE)</f>
        <v>果実達の大宴会</v>
      </c>
      <c r="E1196" s="3">
        <f ca="1">VLOOKUP($C1196,OFFSET([1]quests!$A$1,0,0,COUNTA([1]quests!$A:$A),MATCH(E$1,[1]quests!$1:$1,0)-MATCH($C$1,[1]quests!$1:$1,0)+1),MATCH(E$1,[1]quests!$1:$1,0)-MATCH($C$1,[1]quests!$1:$1,0)+1,FALSE)</f>
        <v>0</v>
      </c>
      <c r="F1196" s="5">
        <v>1</v>
      </c>
      <c r="G1196" s="3" t="str">
        <f ca="1">VLOOKUP($C1196&amp;"_"&amp;$F1196,OFFSET([1]stages!$A$1,0,0,COUNTA([1]stages!$A:$A),MATCH(G$1,[1]stages!$2:$2,0)-MATCH("temp_stage",[1]stages!$2:$2,0)+1),MATCH(G$1,[1]stages!$2:$2,0)-MATCH("temp_stage",[1]stages!$2:$2,0)+1,FALSE)</f>
        <v>【上級】果実達の大宴会</v>
      </c>
      <c r="H1196" s="3">
        <f ca="1">VLOOKUP($C1196&amp;"_"&amp;$F1196,OFFSET([1]stages!$A$1,0,0,COUNTA([1]stages!$A:$A),MATCH(H$1,[1]stages!$2:$2,0)-MATCH("temp_stage",[1]stages!$2:$2,0)+1),MATCH(H$1,[1]stages!$2:$2,0)-MATCH("temp_stage",[1]stages!$2:$2,0)+1,FALSE)</f>
        <v>0</v>
      </c>
      <c r="I1196" s="18">
        <v>0</v>
      </c>
      <c r="J1196" s="5">
        <f>COUNTIF(C$1:C1196,C1196)</f>
        <v>7</v>
      </c>
      <c r="K1196" s="34">
        <v>11</v>
      </c>
      <c r="L1196" s="5" t="s">
        <v>17</v>
      </c>
      <c r="M1196" s="38" t="str">
        <f>VLOOKUP(K1196,[2]stage_hints!$A:$C,3,FALSE)</f>
        <v>ランク解放クエスト</v>
      </c>
      <c r="N1196" s="39" t="str">
        <f>VLOOKUP(K1196,[2]stage_hints!$A:$D,4,FALSE)</f>
        <v>一定ランクに到達すると
報酬付きのランク開放クエストが現れます</v>
      </c>
      <c r="O1196" s="20" t="s">
        <v>24</v>
      </c>
      <c r="P1196">
        <v>11</v>
      </c>
    </row>
    <row r="1197" spans="1:16" x14ac:dyDescent="0.15">
      <c r="A1197" s="27" t="str">
        <f t="shared" si="82"/>
        <v>11207_1_8</v>
      </c>
      <c r="B1197" s="25" t="s">
        <v>34</v>
      </c>
      <c r="C1197" s="4">
        <v>11207</v>
      </c>
      <c r="D1197" s="3" t="str">
        <f ca="1">VLOOKUP($C1197,OFFSET([1]quests!$A$1,0,0,COUNTA([1]quests!$A:$A),MATCH(D$1,[1]quests!$1:$1,0)-MATCH($C$1,[1]quests!$1:$1,0)+1),MATCH(D$1,[1]quests!$1:$1,0)-MATCH($C$1,[1]quests!$1:$1,0)+1,FALSE)</f>
        <v>果実達の大宴会</v>
      </c>
      <c r="E1197" s="3">
        <f ca="1">VLOOKUP($C1197,OFFSET([1]quests!$A$1,0,0,COUNTA([1]quests!$A:$A),MATCH(E$1,[1]quests!$1:$1,0)-MATCH($C$1,[1]quests!$1:$1,0)+1),MATCH(E$1,[1]quests!$1:$1,0)-MATCH($C$1,[1]quests!$1:$1,0)+1,FALSE)</f>
        <v>0</v>
      </c>
      <c r="F1197" s="5">
        <v>1</v>
      </c>
      <c r="G1197" s="3" t="str">
        <f ca="1">VLOOKUP($C1197&amp;"_"&amp;$F1197,OFFSET([1]stages!$A$1,0,0,COUNTA([1]stages!$A:$A),MATCH(G$1,[1]stages!$2:$2,0)-MATCH("temp_stage",[1]stages!$2:$2,0)+1),MATCH(G$1,[1]stages!$2:$2,0)-MATCH("temp_stage",[1]stages!$2:$2,0)+1,FALSE)</f>
        <v>【上級】果実達の大宴会</v>
      </c>
      <c r="H1197" s="3">
        <f ca="1">VLOOKUP($C1197&amp;"_"&amp;$F1197,OFFSET([1]stages!$A$1,0,0,COUNTA([1]stages!$A:$A),MATCH(H$1,[1]stages!$2:$2,0)-MATCH("temp_stage",[1]stages!$2:$2,0)+1),MATCH(H$1,[1]stages!$2:$2,0)-MATCH("temp_stage",[1]stages!$2:$2,0)+1,FALSE)</f>
        <v>0</v>
      </c>
      <c r="I1197" s="18">
        <v>0</v>
      </c>
      <c r="J1197" s="5">
        <f>COUNTIF(C$1:C1197,C1197)</f>
        <v>8</v>
      </c>
      <c r="K1197" s="34">
        <v>12</v>
      </c>
      <c r="L1197" s="5" t="s">
        <v>17</v>
      </c>
      <c r="M1197" s="38" t="str">
        <f>VLOOKUP(K1197,[2]stage_hints!$A:$C,3,FALSE)</f>
        <v>ユニットのお気に入り登録</v>
      </c>
      <c r="N1197" s="39" t="str">
        <f>VLOOKUP(K1197,[2]stage_hints!$A:$D,4,FALSE)</f>
        <v>大事なユニットを誤って消さないように
フォルダから「お気に入り登録」しましょう</v>
      </c>
      <c r="O1197" s="20" t="s">
        <v>24</v>
      </c>
      <c r="P1197">
        <v>12</v>
      </c>
    </row>
    <row r="1198" spans="1:16" x14ac:dyDescent="0.15">
      <c r="A1198" s="27" t="str">
        <f t="shared" si="82"/>
        <v>11207_1_9</v>
      </c>
      <c r="B1198" s="25" t="s">
        <v>34</v>
      </c>
      <c r="C1198" s="4">
        <v>11207</v>
      </c>
      <c r="D1198" s="3" t="str">
        <f ca="1">VLOOKUP($C1198,OFFSET([1]quests!$A$1,0,0,COUNTA([1]quests!$A:$A),MATCH(D$1,[1]quests!$1:$1,0)-MATCH($C$1,[1]quests!$1:$1,0)+1),MATCH(D$1,[1]quests!$1:$1,0)-MATCH($C$1,[1]quests!$1:$1,0)+1,FALSE)</f>
        <v>果実達の大宴会</v>
      </c>
      <c r="E1198" s="3">
        <f ca="1">VLOOKUP($C1198,OFFSET([1]quests!$A$1,0,0,COUNTA([1]quests!$A:$A),MATCH(E$1,[1]quests!$1:$1,0)-MATCH($C$1,[1]quests!$1:$1,0)+1),MATCH(E$1,[1]quests!$1:$1,0)-MATCH($C$1,[1]quests!$1:$1,0)+1,FALSE)</f>
        <v>0</v>
      </c>
      <c r="F1198" s="5">
        <v>1</v>
      </c>
      <c r="G1198" s="3" t="str">
        <f ca="1">VLOOKUP($C1198&amp;"_"&amp;$F1198,OFFSET([1]stages!$A$1,0,0,COUNTA([1]stages!$A:$A),MATCH(G$1,[1]stages!$2:$2,0)-MATCH("temp_stage",[1]stages!$2:$2,0)+1),MATCH(G$1,[1]stages!$2:$2,0)-MATCH("temp_stage",[1]stages!$2:$2,0)+1,FALSE)</f>
        <v>【上級】果実達の大宴会</v>
      </c>
      <c r="H1198" s="3">
        <f ca="1">VLOOKUP($C1198&amp;"_"&amp;$F1198,OFFSET([1]stages!$A$1,0,0,COUNTA([1]stages!$A:$A),MATCH(H$1,[1]stages!$2:$2,0)-MATCH("temp_stage",[1]stages!$2:$2,0)+1),MATCH(H$1,[1]stages!$2:$2,0)-MATCH("temp_stage",[1]stages!$2:$2,0)+1,FALSE)</f>
        <v>0</v>
      </c>
      <c r="I1198" s="18">
        <v>0</v>
      </c>
      <c r="J1198" s="5">
        <f>COUNTIF(C$1:C1198,C1198)</f>
        <v>9</v>
      </c>
      <c r="K1198" s="34">
        <v>13</v>
      </c>
      <c r="L1198" s="5" t="s">
        <v>17</v>
      </c>
      <c r="M1198" s="38" t="str">
        <f>VLOOKUP(K1198,[2]stage_hints!$A:$C,3,FALSE)</f>
        <v>ユニットの覚醒</v>
      </c>
      <c r="N1198" s="39" t="str">
        <f>VLOOKUP(K1198,[2]stage_hints!$A:$D,4,FALSE)</f>
        <v>ユニットを覚醒させると
比べものにならない強さが手に入ります</v>
      </c>
      <c r="O1198" s="20" t="s">
        <v>24</v>
      </c>
      <c r="P1198">
        <v>13</v>
      </c>
    </row>
    <row r="1199" spans="1:16" x14ac:dyDescent="0.15">
      <c r="A1199" s="27" t="str">
        <f t="shared" si="82"/>
        <v>11207_1_10</v>
      </c>
      <c r="B1199" s="25" t="s">
        <v>34</v>
      </c>
      <c r="C1199" s="4">
        <v>11207</v>
      </c>
      <c r="D1199" s="3" t="str">
        <f ca="1">VLOOKUP($C1199,OFFSET([1]quests!$A$1,0,0,COUNTA([1]quests!$A:$A),MATCH(D$1,[1]quests!$1:$1,0)-MATCH($C$1,[1]quests!$1:$1,0)+1),MATCH(D$1,[1]quests!$1:$1,0)-MATCH($C$1,[1]quests!$1:$1,0)+1,FALSE)</f>
        <v>果実達の大宴会</v>
      </c>
      <c r="E1199" s="3">
        <f ca="1">VLOOKUP($C1199,OFFSET([1]quests!$A$1,0,0,COUNTA([1]quests!$A:$A),MATCH(E$1,[1]quests!$1:$1,0)-MATCH($C$1,[1]quests!$1:$1,0)+1),MATCH(E$1,[1]quests!$1:$1,0)-MATCH($C$1,[1]quests!$1:$1,0)+1,FALSE)</f>
        <v>0</v>
      </c>
      <c r="F1199" s="5">
        <v>1</v>
      </c>
      <c r="G1199" s="3" t="str">
        <f ca="1">VLOOKUP($C1199&amp;"_"&amp;$F1199,OFFSET([1]stages!$A$1,0,0,COUNTA([1]stages!$A:$A),MATCH(G$1,[1]stages!$2:$2,0)-MATCH("temp_stage",[1]stages!$2:$2,0)+1),MATCH(G$1,[1]stages!$2:$2,0)-MATCH("temp_stage",[1]stages!$2:$2,0)+1,FALSE)</f>
        <v>【上級】果実達の大宴会</v>
      </c>
      <c r="H1199" s="3">
        <f ca="1">VLOOKUP($C1199&amp;"_"&amp;$F1199,OFFSET([1]stages!$A$1,0,0,COUNTA([1]stages!$A:$A),MATCH(H$1,[1]stages!$2:$2,0)-MATCH("temp_stage",[1]stages!$2:$2,0)+1),MATCH(H$1,[1]stages!$2:$2,0)-MATCH("temp_stage",[1]stages!$2:$2,0)+1,FALSE)</f>
        <v>0</v>
      </c>
      <c r="I1199" s="18">
        <v>0</v>
      </c>
      <c r="J1199" s="5">
        <f>COUNTIF(C$1:C1199,C1199)</f>
        <v>10</v>
      </c>
      <c r="K1199" s="34">
        <v>14</v>
      </c>
      <c r="L1199" s="5" t="s">
        <v>17</v>
      </c>
      <c r="M1199" s="38" t="str">
        <f>VLOOKUP(K1199,[2]stage_hints!$A:$C,3,FALSE)</f>
        <v>覚醒するにはレベルを最大に</v>
      </c>
      <c r="N1199" s="39" t="str">
        <f>VLOOKUP(K1199,[2]stage_hints!$A:$D,4,FALSE)</f>
        <v>覚醒するにはユニットのレベルを
最大まで上げる必要があります</v>
      </c>
      <c r="O1199" s="20" t="s">
        <v>24</v>
      </c>
      <c r="P1199">
        <v>14</v>
      </c>
    </row>
    <row r="1200" spans="1:16" x14ac:dyDescent="0.15">
      <c r="A1200" s="27" t="str">
        <f t="shared" si="82"/>
        <v>11207_1_11</v>
      </c>
      <c r="B1200" s="25" t="s">
        <v>34</v>
      </c>
      <c r="C1200" s="4">
        <v>11207</v>
      </c>
      <c r="D1200" s="3" t="str">
        <f ca="1">VLOOKUP($C1200,OFFSET([1]quests!$A$1,0,0,COUNTA([1]quests!$A:$A),MATCH(D$1,[1]quests!$1:$1,0)-MATCH($C$1,[1]quests!$1:$1,0)+1),MATCH(D$1,[1]quests!$1:$1,0)-MATCH($C$1,[1]quests!$1:$1,0)+1,FALSE)</f>
        <v>果実達の大宴会</v>
      </c>
      <c r="E1200" s="3">
        <f ca="1">VLOOKUP($C1200,OFFSET([1]quests!$A$1,0,0,COUNTA([1]quests!$A:$A),MATCH(E$1,[1]quests!$1:$1,0)-MATCH($C$1,[1]quests!$1:$1,0)+1),MATCH(E$1,[1]quests!$1:$1,0)-MATCH($C$1,[1]quests!$1:$1,0)+1,FALSE)</f>
        <v>0</v>
      </c>
      <c r="F1200" s="5">
        <v>1</v>
      </c>
      <c r="G1200" s="3" t="str">
        <f ca="1">VLOOKUP($C1200&amp;"_"&amp;$F1200,OFFSET([1]stages!$A$1,0,0,COUNTA([1]stages!$A:$A),MATCH(G$1,[1]stages!$2:$2,0)-MATCH("temp_stage",[1]stages!$2:$2,0)+1),MATCH(G$1,[1]stages!$2:$2,0)-MATCH("temp_stage",[1]stages!$2:$2,0)+1,FALSE)</f>
        <v>【上級】果実達の大宴会</v>
      </c>
      <c r="H1200" s="3">
        <f ca="1">VLOOKUP($C1200&amp;"_"&amp;$F1200,OFFSET([1]stages!$A$1,0,0,COUNTA([1]stages!$A:$A),MATCH(H$1,[1]stages!$2:$2,0)-MATCH("temp_stage",[1]stages!$2:$2,0)+1),MATCH(H$1,[1]stages!$2:$2,0)-MATCH("temp_stage",[1]stages!$2:$2,0)+1,FALSE)</f>
        <v>0</v>
      </c>
      <c r="I1200" s="18">
        <v>0</v>
      </c>
      <c r="J1200" s="5">
        <f>COUNTIF(C$1:C1200,C1200)</f>
        <v>11</v>
      </c>
      <c r="K1200" s="34">
        <v>15</v>
      </c>
      <c r="L1200" s="5" t="s">
        <v>17</v>
      </c>
      <c r="M1200" s="38" t="str">
        <f>VLOOKUP(K1200,[2]stage_hints!$A:$C,3,FALSE)</f>
        <v>覚醒素材を獲得</v>
      </c>
      <c r="N1200" s="39" t="str">
        <f>VLOOKUP(K1200,[2]stage_hints!$A:$D,4,FALSE)</f>
        <v>「曜日クエスト」では
ユニットの覚醒に必要な素材が手に入ります</v>
      </c>
      <c r="O1200" s="20" t="s">
        <v>24</v>
      </c>
      <c r="P1200">
        <v>15</v>
      </c>
    </row>
    <row r="1201" spans="1:16" x14ac:dyDescent="0.15">
      <c r="A1201" s="27" t="str">
        <f t="shared" si="82"/>
        <v>11207_1_12</v>
      </c>
      <c r="B1201" s="25" t="s">
        <v>34</v>
      </c>
      <c r="C1201" s="4">
        <v>11207</v>
      </c>
      <c r="D1201" s="3" t="str">
        <f ca="1">VLOOKUP($C1201,OFFSET([1]quests!$A$1,0,0,COUNTA([1]quests!$A:$A),MATCH(D$1,[1]quests!$1:$1,0)-MATCH($C$1,[1]quests!$1:$1,0)+1),MATCH(D$1,[1]quests!$1:$1,0)-MATCH($C$1,[1]quests!$1:$1,0)+1,FALSE)</f>
        <v>果実達の大宴会</v>
      </c>
      <c r="E1201" s="3">
        <f ca="1">VLOOKUP($C1201,OFFSET([1]quests!$A$1,0,0,COUNTA([1]quests!$A:$A),MATCH(E$1,[1]quests!$1:$1,0)-MATCH($C$1,[1]quests!$1:$1,0)+1),MATCH(E$1,[1]quests!$1:$1,0)-MATCH($C$1,[1]quests!$1:$1,0)+1,FALSE)</f>
        <v>0</v>
      </c>
      <c r="F1201" s="5">
        <v>1</v>
      </c>
      <c r="G1201" s="3" t="str">
        <f ca="1">VLOOKUP($C1201&amp;"_"&amp;$F1201,OFFSET([1]stages!$A$1,0,0,COUNTA([1]stages!$A:$A),MATCH(G$1,[1]stages!$2:$2,0)-MATCH("temp_stage",[1]stages!$2:$2,0)+1),MATCH(G$1,[1]stages!$2:$2,0)-MATCH("temp_stage",[1]stages!$2:$2,0)+1,FALSE)</f>
        <v>【上級】果実達の大宴会</v>
      </c>
      <c r="H1201" s="3">
        <f ca="1">VLOOKUP($C1201&amp;"_"&amp;$F1201,OFFSET([1]stages!$A$1,0,0,COUNTA([1]stages!$A:$A),MATCH(H$1,[1]stages!$2:$2,0)-MATCH("temp_stage",[1]stages!$2:$2,0)+1),MATCH(H$1,[1]stages!$2:$2,0)-MATCH("temp_stage",[1]stages!$2:$2,0)+1,FALSE)</f>
        <v>0</v>
      </c>
      <c r="I1201" s="18">
        <v>0</v>
      </c>
      <c r="J1201" s="5">
        <f>COUNTIF(C$1:C1201,C1201)</f>
        <v>12</v>
      </c>
      <c r="K1201" s="34">
        <v>16</v>
      </c>
      <c r="L1201" s="5" t="s">
        <v>17</v>
      </c>
      <c r="M1201" s="38" t="str">
        <f>VLOOKUP(K1201,[2]stage_hints!$A:$C,3,FALSE)</f>
        <v>マルチプレイのメリット（その1）</v>
      </c>
      <c r="N1201" s="39" t="str">
        <f>VLOOKUP(K1201,[2]stage_hints!$A:$D,4,FALSE)</f>
        <v>他のプレイヤーとマルチプレイで遊ぶと
ポリゴンがもらえます（100人まで）</v>
      </c>
      <c r="O1201" s="20" t="s">
        <v>24</v>
      </c>
      <c r="P1201">
        <v>16</v>
      </c>
    </row>
    <row r="1202" spans="1:16" x14ac:dyDescent="0.15">
      <c r="A1202" s="27" t="str">
        <f t="shared" si="82"/>
        <v>11207_1_13</v>
      </c>
      <c r="B1202" s="25" t="s">
        <v>34</v>
      </c>
      <c r="C1202" s="4">
        <v>11207</v>
      </c>
      <c r="D1202" s="3" t="str">
        <f ca="1">VLOOKUP($C1202,OFFSET([1]quests!$A$1,0,0,COUNTA([1]quests!$A:$A),MATCH(D$1,[1]quests!$1:$1,0)-MATCH($C$1,[1]quests!$1:$1,0)+1),MATCH(D$1,[1]quests!$1:$1,0)-MATCH($C$1,[1]quests!$1:$1,0)+1,FALSE)</f>
        <v>果実達の大宴会</v>
      </c>
      <c r="E1202" s="3">
        <f ca="1">VLOOKUP($C1202,OFFSET([1]quests!$A$1,0,0,COUNTA([1]quests!$A:$A),MATCH(E$1,[1]quests!$1:$1,0)-MATCH($C$1,[1]quests!$1:$1,0)+1),MATCH(E$1,[1]quests!$1:$1,0)-MATCH($C$1,[1]quests!$1:$1,0)+1,FALSE)</f>
        <v>0</v>
      </c>
      <c r="F1202" s="5">
        <v>1</v>
      </c>
      <c r="G1202" s="3" t="str">
        <f ca="1">VLOOKUP($C1202&amp;"_"&amp;$F1202,OFFSET([1]stages!$A$1,0,0,COUNTA([1]stages!$A:$A),MATCH(G$1,[1]stages!$2:$2,0)-MATCH("temp_stage",[1]stages!$2:$2,0)+1),MATCH(G$1,[1]stages!$2:$2,0)-MATCH("temp_stage",[1]stages!$2:$2,0)+1,FALSE)</f>
        <v>【上級】果実達の大宴会</v>
      </c>
      <c r="H1202" s="3">
        <f ca="1">VLOOKUP($C1202&amp;"_"&amp;$F1202,OFFSET([1]stages!$A$1,0,0,COUNTA([1]stages!$A:$A),MATCH(H$1,[1]stages!$2:$2,0)-MATCH("temp_stage",[1]stages!$2:$2,0)+1),MATCH(H$1,[1]stages!$2:$2,0)-MATCH("temp_stage",[1]stages!$2:$2,0)+1,FALSE)</f>
        <v>0</v>
      </c>
      <c r="I1202" s="18">
        <v>0</v>
      </c>
      <c r="J1202" s="5">
        <f>COUNTIF(C$1:C1202,C1202)</f>
        <v>13</v>
      </c>
      <c r="K1202" s="34">
        <v>17</v>
      </c>
      <c r="L1202" s="5" t="s">
        <v>17</v>
      </c>
      <c r="M1202" s="38" t="str">
        <f>VLOOKUP(K1202,[2]stage_hints!$A:$C,3,FALSE)</f>
        <v>リンクガチャ</v>
      </c>
      <c r="N1202" s="39" t="str">
        <f>VLOOKUP(K1202,[2]stage_hints!$A:$D,4,FALSE)</f>
        <v>無料のリンクガチャを回して
経験値素材や売却素材を獲得しましょう</v>
      </c>
      <c r="O1202" s="20" t="s">
        <v>24</v>
      </c>
      <c r="P1202">
        <v>17</v>
      </c>
    </row>
    <row r="1203" spans="1:16" x14ac:dyDescent="0.15">
      <c r="A1203" s="27" t="str">
        <f t="shared" si="82"/>
        <v>11207_1_14</v>
      </c>
      <c r="B1203" s="25" t="s">
        <v>34</v>
      </c>
      <c r="C1203" s="4">
        <v>11207</v>
      </c>
      <c r="D1203" s="3" t="str">
        <f ca="1">VLOOKUP($C1203,OFFSET([1]quests!$A$1,0,0,COUNTA([1]quests!$A:$A),MATCH(D$1,[1]quests!$1:$1,0)-MATCH($C$1,[1]quests!$1:$1,0)+1),MATCH(D$1,[1]quests!$1:$1,0)-MATCH($C$1,[1]quests!$1:$1,0)+1,FALSE)</f>
        <v>果実達の大宴会</v>
      </c>
      <c r="E1203" s="3">
        <f ca="1">VLOOKUP($C1203,OFFSET([1]quests!$A$1,0,0,COUNTA([1]quests!$A:$A),MATCH(E$1,[1]quests!$1:$1,0)-MATCH($C$1,[1]quests!$1:$1,0)+1),MATCH(E$1,[1]quests!$1:$1,0)-MATCH($C$1,[1]quests!$1:$1,0)+1,FALSE)</f>
        <v>0</v>
      </c>
      <c r="F1203" s="5">
        <v>1</v>
      </c>
      <c r="G1203" s="3" t="str">
        <f ca="1">VLOOKUP($C1203&amp;"_"&amp;$F1203,OFFSET([1]stages!$A$1,0,0,COUNTA([1]stages!$A:$A),MATCH(G$1,[1]stages!$2:$2,0)-MATCH("temp_stage",[1]stages!$2:$2,0)+1),MATCH(G$1,[1]stages!$2:$2,0)-MATCH("temp_stage",[1]stages!$2:$2,0)+1,FALSE)</f>
        <v>【上級】果実達の大宴会</v>
      </c>
      <c r="H1203" s="3">
        <f ca="1">VLOOKUP($C1203&amp;"_"&amp;$F1203,OFFSET([1]stages!$A$1,0,0,COUNTA([1]stages!$A:$A),MATCH(H$1,[1]stages!$2:$2,0)-MATCH("temp_stage",[1]stages!$2:$2,0)+1),MATCH(H$1,[1]stages!$2:$2,0)-MATCH("temp_stage",[1]stages!$2:$2,0)+1,FALSE)</f>
        <v>0</v>
      </c>
      <c r="I1203" s="18">
        <v>0</v>
      </c>
      <c r="J1203" s="5">
        <f>COUNTIF(C$1:C1203,C1203)</f>
        <v>14</v>
      </c>
      <c r="K1203" s="34">
        <v>18</v>
      </c>
      <c r="L1203" s="5" t="s">
        <v>17</v>
      </c>
      <c r="M1203" s="38" t="str">
        <f>VLOOKUP(K1203,[2]stage_hints!$A:$C,3,FALSE)</f>
        <v>マルチプレイのメリット（その2）</v>
      </c>
      <c r="N1203" s="39" t="str">
        <f>VLOOKUP(K1203,[2]stage_hints!$A:$D,4,FALSE)</f>
        <v>マルチプレイならリンクが2倍もらえます
リンクガチャをたくさん回しましょう</v>
      </c>
      <c r="O1203" s="20" t="s">
        <v>24</v>
      </c>
      <c r="P1203">
        <v>18</v>
      </c>
    </row>
    <row r="1204" spans="1:16" x14ac:dyDescent="0.15">
      <c r="A1204" s="27" t="str">
        <f t="shared" si="82"/>
        <v>11207_1_15</v>
      </c>
      <c r="B1204" s="25" t="s">
        <v>34</v>
      </c>
      <c r="C1204" s="4">
        <v>11207</v>
      </c>
      <c r="D1204" s="3" t="str">
        <f ca="1">VLOOKUP($C1204,OFFSET([1]quests!$A$1,0,0,COUNTA([1]quests!$A:$A),MATCH(D$1,[1]quests!$1:$1,0)-MATCH($C$1,[1]quests!$1:$1,0)+1),MATCH(D$1,[1]quests!$1:$1,0)-MATCH($C$1,[1]quests!$1:$1,0)+1,FALSE)</f>
        <v>果実達の大宴会</v>
      </c>
      <c r="E1204" s="3">
        <f ca="1">VLOOKUP($C1204,OFFSET([1]quests!$A$1,0,0,COUNTA([1]quests!$A:$A),MATCH(E$1,[1]quests!$1:$1,0)-MATCH($C$1,[1]quests!$1:$1,0)+1),MATCH(E$1,[1]quests!$1:$1,0)-MATCH($C$1,[1]quests!$1:$1,0)+1,FALSE)</f>
        <v>0</v>
      </c>
      <c r="F1204" s="5">
        <v>1</v>
      </c>
      <c r="G1204" s="3" t="str">
        <f ca="1">VLOOKUP($C1204&amp;"_"&amp;$F1204,OFFSET([1]stages!$A$1,0,0,COUNTA([1]stages!$A:$A),MATCH(G$1,[1]stages!$2:$2,0)-MATCH("temp_stage",[1]stages!$2:$2,0)+1),MATCH(G$1,[1]stages!$2:$2,0)-MATCH("temp_stage",[1]stages!$2:$2,0)+1,FALSE)</f>
        <v>【上級】果実達の大宴会</v>
      </c>
      <c r="H1204" s="3">
        <f ca="1">VLOOKUP($C1204&amp;"_"&amp;$F1204,OFFSET([1]stages!$A$1,0,0,COUNTA([1]stages!$A:$A),MATCH(H$1,[1]stages!$2:$2,0)-MATCH("temp_stage",[1]stages!$2:$2,0)+1),MATCH(H$1,[1]stages!$2:$2,0)-MATCH("temp_stage",[1]stages!$2:$2,0)+1,FALSE)</f>
        <v>0</v>
      </c>
      <c r="I1204" s="18">
        <v>0</v>
      </c>
      <c r="J1204" s="5">
        <f>COUNTIF(C$1:C1204,C1204)</f>
        <v>15</v>
      </c>
      <c r="K1204" s="34">
        <v>19</v>
      </c>
      <c r="L1204" s="5" t="s">
        <v>17</v>
      </c>
      <c r="M1204" s="38" t="str">
        <f>VLOOKUP(K1204,[2]stage_hints!$A:$C,3,FALSE)</f>
        <v>ソロ専用チャレンジタワー</v>
      </c>
      <c r="N1204" s="39" t="str">
        <f>VLOOKUP(K1204,[2]stage_hints!$A:$D,4,FALSE)</f>
        <v>ソロ専用の「チャレンジタワー」では
各フロアごとにクリア報酬がもらえます</v>
      </c>
      <c r="O1204" s="20" t="s">
        <v>24</v>
      </c>
      <c r="P1204">
        <v>19</v>
      </c>
    </row>
    <row r="1205" spans="1:16" x14ac:dyDescent="0.15">
      <c r="A1205" s="27" t="str">
        <f t="shared" si="82"/>
        <v>11207_1_16</v>
      </c>
      <c r="B1205" s="25" t="s">
        <v>34</v>
      </c>
      <c r="C1205" s="4">
        <v>11207</v>
      </c>
      <c r="D1205" s="3" t="str">
        <f ca="1">VLOOKUP($C1205,OFFSET([1]quests!$A$1,0,0,COUNTA([1]quests!$A:$A),MATCH(D$1,[1]quests!$1:$1,0)-MATCH($C$1,[1]quests!$1:$1,0)+1),MATCH(D$1,[1]quests!$1:$1,0)-MATCH($C$1,[1]quests!$1:$1,0)+1,FALSE)</f>
        <v>果実達の大宴会</v>
      </c>
      <c r="E1205" s="3">
        <f ca="1">VLOOKUP($C1205,OFFSET([1]quests!$A$1,0,0,COUNTA([1]quests!$A:$A),MATCH(E$1,[1]quests!$1:$1,0)-MATCH($C$1,[1]quests!$1:$1,0)+1),MATCH(E$1,[1]quests!$1:$1,0)-MATCH($C$1,[1]quests!$1:$1,0)+1,FALSE)</f>
        <v>0</v>
      </c>
      <c r="F1205" s="5">
        <v>1</v>
      </c>
      <c r="G1205" s="3" t="str">
        <f ca="1">VLOOKUP($C1205&amp;"_"&amp;$F1205,OFFSET([1]stages!$A$1,0,0,COUNTA([1]stages!$A:$A),MATCH(G$1,[1]stages!$2:$2,0)-MATCH("temp_stage",[1]stages!$2:$2,0)+1),MATCH(G$1,[1]stages!$2:$2,0)-MATCH("temp_stage",[1]stages!$2:$2,0)+1,FALSE)</f>
        <v>【上級】果実達の大宴会</v>
      </c>
      <c r="H1205" s="3">
        <f ca="1">VLOOKUP($C1205&amp;"_"&amp;$F1205,OFFSET([1]stages!$A$1,0,0,COUNTA([1]stages!$A:$A),MATCH(H$1,[1]stages!$2:$2,0)-MATCH("temp_stage",[1]stages!$2:$2,0)+1),MATCH(H$1,[1]stages!$2:$2,0)-MATCH("temp_stage",[1]stages!$2:$2,0)+1,FALSE)</f>
        <v>0</v>
      </c>
      <c r="I1205" s="18">
        <v>0</v>
      </c>
      <c r="J1205" s="5">
        <f>COUNTIF(C$1:C1205,C1205)</f>
        <v>16</v>
      </c>
      <c r="K1205" s="34">
        <v>20</v>
      </c>
      <c r="L1205" s="5" t="s">
        <v>17</v>
      </c>
      <c r="M1205" s="38" t="str">
        <f>VLOOKUP(K1205,[2]stage_hints!$A:$C,3,FALSE)</f>
        <v>マルチプレイのメリット（その3）</v>
      </c>
      <c r="N1205" s="39" t="str">
        <f>VLOOKUP(K1205,[2]stage_hints!$A:$D,4,FALSE)</f>
        <v>マルチプレイへの参加はエナジー消費ゼロ
いつでも好きなだけ遊ぶことができます</v>
      </c>
      <c r="O1205" s="20" t="s">
        <v>24</v>
      </c>
      <c r="P1205">
        <v>20</v>
      </c>
    </row>
    <row r="1206" spans="1:16" x14ac:dyDescent="0.15">
      <c r="A1206" s="27" t="str">
        <f t="shared" si="82"/>
        <v>11207_1_17</v>
      </c>
      <c r="B1206" s="25" t="s">
        <v>34</v>
      </c>
      <c r="C1206" s="4">
        <v>11207</v>
      </c>
      <c r="D1206" s="3" t="str">
        <f ca="1">VLOOKUP($C1206,OFFSET([1]quests!$A$1,0,0,COUNTA([1]quests!$A:$A),MATCH(D$1,[1]quests!$1:$1,0)-MATCH($C$1,[1]quests!$1:$1,0)+1),MATCH(D$1,[1]quests!$1:$1,0)-MATCH($C$1,[1]quests!$1:$1,0)+1,FALSE)</f>
        <v>果実達の大宴会</v>
      </c>
      <c r="E1206" s="3">
        <f ca="1">VLOOKUP($C1206,OFFSET([1]quests!$A$1,0,0,COUNTA([1]quests!$A:$A),MATCH(E$1,[1]quests!$1:$1,0)-MATCH($C$1,[1]quests!$1:$1,0)+1),MATCH(E$1,[1]quests!$1:$1,0)-MATCH($C$1,[1]quests!$1:$1,0)+1,FALSE)</f>
        <v>0</v>
      </c>
      <c r="F1206" s="5">
        <v>1</v>
      </c>
      <c r="G1206" s="3" t="str">
        <f ca="1">VLOOKUP($C1206&amp;"_"&amp;$F1206,OFFSET([1]stages!$A$1,0,0,COUNTA([1]stages!$A:$A),MATCH(G$1,[1]stages!$2:$2,0)-MATCH("temp_stage",[1]stages!$2:$2,0)+1),MATCH(G$1,[1]stages!$2:$2,0)-MATCH("temp_stage",[1]stages!$2:$2,0)+1,FALSE)</f>
        <v>【上級】果実達の大宴会</v>
      </c>
      <c r="H1206" s="3">
        <f ca="1">VLOOKUP($C1206&amp;"_"&amp;$F1206,OFFSET([1]stages!$A$1,0,0,COUNTA([1]stages!$A:$A),MATCH(H$1,[1]stages!$2:$2,0)-MATCH("temp_stage",[1]stages!$2:$2,0)+1),MATCH(H$1,[1]stages!$2:$2,0)-MATCH("temp_stage",[1]stages!$2:$2,0)+1,FALSE)</f>
        <v>0</v>
      </c>
      <c r="I1206" s="18">
        <v>0</v>
      </c>
      <c r="J1206" s="5">
        <f>COUNTIF(C$1:C1206,C1206)</f>
        <v>17</v>
      </c>
      <c r="K1206" s="34">
        <v>21</v>
      </c>
      <c r="L1206" s="5" t="s">
        <v>17</v>
      </c>
      <c r="M1206" s="38" t="str">
        <f>VLOOKUP(K1206,[2]stage_hints!$A:$C,3,FALSE)</f>
        <v>スキルを有効に</v>
      </c>
      <c r="N1206" s="39" t="str">
        <f>VLOOKUP(K1206,[2]stage_hints!$A:$D,4,FALSE)</f>
        <v>ターン経過でユニットのスキルが使えます
強力スキルでバトルを有利に進めましょう</v>
      </c>
      <c r="O1206" s="20" t="s">
        <v>24</v>
      </c>
      <c r="P1206">
        <v>21</v>
      </c>
    </row>
    <row r="1207" spans="1:16" x14ac:dyDescent="0.15">
      <c r="A1207" s="27" t="str">
        <f t="shared" si="82"/>
        <v>11207_1_18</v>
      </c>
      <c r="B1207" s="25" t="s">
        <v>34</v>
      </c>
      <c r="C1207" s="4">
        <v>11207</v>
      </c>
      <c r="D1207" s="3" t="str">
        <f ca="1">VLOOKUP($C1207,OFFSET([1]quests!$A$1,0,0,COUNTA([1]quests!$A:$A),MATCH(D$1,[1]quests!$1:$1,0)-MATCH($C$1,[1]quests!$1:$1,0)+1),MATCH(D$1,[1]quests!$1:$1,0)-MATCH($C$1,[1]quests!$1:$1,0)+1,FALSE)</f>
        <v>果実達の大宴会</v>
      </c>
      <c r="E1207" s="3">
        <f ca="1">VLOOKUP($C1207,OFFSET([1]quests!$A$1,0,0,COUNTA([1]quests!$A:$A),MATCH(E$1,[1]quests!$1:$1,0)-MATCH($C$1,[1]quests!$1:$1,0)+1),MATCH(E$1,[1]quests!$1:$1,0)-MATCH($C$1,[1]quests!$1:$1,0)+1,FALSE)</f>
        <v>0</v>
      </c>
      <c r="F1207" s="5">
        <v>1</v>
      </c>
      <c r="G1207" s="3" t="str">
        <f ca="1">VLOOKUP($C1207&amp;"_"&amp;$F1207,OFFSET([1]stages!$A$1,0,0,COUNTA([1]stages!$A:$A),MATCH(G$1,[1]stages!$2:$2,0)-MATCH("temp_stage",[1]stages!$2:$2,0)+1),MATCH(G$1,[1]stages!$2:$2,0)-MATCH("temp_stage",[1]stages!$2:$2,0)+1,FALSE)</f>
        <v>【上級】果実達の大宴会</v>
      </c>
      <c r="H1207" s="3">
        <f ca="1">VLOOKUP($C1207&amp;"_"&amp;$F1207,OFFSET([1]stages!$A$1,0,0,COUNTA([1]stages!$A:$A),MATCH(H$1,[1]stages!$2:$2,0)-MATCH("temp_stage",[1]stages!$2:$2,0)+1),MATCH(H$1,[1]stages!$2:$2,0)-MATCH("temp_stage",[1]stages!$2:$2,0)+1,FALSE)</f>
        <v>0</v>
      </c>
      <c r="I1207" s="18">
        <v>0</v>
      </c>
      <c r="J1207" s="5">
        <f>COUNTIF(C$1:C1207,C1207)</f>
        <v>18</v>
      </c>
      <c r="K1207" s="34">
        <v>22</v>
      </c>
      <c r="L1207" s="5" t="s">
        <v>17</v>
      </c>
      <c r="M1207" s="38" t="str">
        <f>VLOOKUP(K1207,[2]stage_hints!$A:$C,3,FALSE)</f>
        <v>フィーバーで一発逆転（その1）</v>
      </c>
      <c r="N1207" s="39" t="str">
        <f>VLOOKUP(K1207,[2]stage_hints!$A:$D,4,FALSE)</f>
        <v>フィーバーは攻撃と回復を兼ね備えます
ピンチからの一発逆転を狙いましょう</v>
      </c>
      <c r="O1207" s="20" t="s">
        <v>24</v>
      </c>
      <c r="P1207">
        <v>22</v>
      </c>
    </row>
    <row r="1208" spans="1:16" x14ac:dyDescent="0.15">
      <c r="A1208" s="27" t="str">
        <f t="shared" si="82"/>
        <v>11207_1_19</v>
      </c>
      <c r="B1208" s="25" t="s">
        <v>34</v>
      </c>
      <c r="C1208" s="4">
        <v>11207</v>
      </c>
      <c r="D1208" s="3" t="str">
        <f ca="1">VLOOKUP($C1208,OFFSET([1]quests!$A$1,0,0,COUNTA([1]quests!$A:$A),MATCH(D$1,[1]quests!$1:$1,0)-MATCH($C$1,[1]quests!$1:$1,0)+1),MATCH(D$1,[1]quests!$1:$1,0)-MATCH($C$1,[1]quests!$1:$1,0)+1,FALSE)</f>
        <v>果実達の大宴会</v>
      </c>
      <c r="E1208" s="3">
        <f ca="1">VLOOKUP($C1208,OFFSET([1]quests!$A$1,0,0,COUNTA([1]quests!$A:$A),MATCH(E$1,[1]quests!$1:$1,0)-MATCH($C$1,[1]quests!$1:$1,0)+1),MATCH(E$1,[1]quests!$1:$1,0)-MATCH($C$1,[1]quests!$1:$1,0)+1,FALSE)</f>
        <v>0</v>
      </c>
      <c r="F1208" s="5">
        <v>1</v>
      </c>
      <c r="G1208" s="3" t="str">
        <f ca="1">VLOOKUP($C1208&amp;"_"&amp;$F1208,OFFSET([1]stages!$A$1,0,0,COUNTA([1]stages!$A:$A),MATCH(G$1,[1]stages!$2:$2,0)-MATCH("temp_stage",[1]stages!$2:$2,0)+1),MATCH(G$1,[1]stages!$2:$2,0)-MATCH("temp_stage",[1]stages!$2:$2,0)+1,FALSE)</f>
        <v>【上級】果実達の大宴会</v>
      </c>
      <c r="H1208" s="3">
        <f ca="1">VLOOKUP($C1208&amp;"_"&amp;$F1208,OFFSET([1]stages!$A$1,0,0,COUNTA([1]stages!$A:$A),MATCH(H$1,[1]stages!$2:$2,0)-MATCH("temp_stage",[1]stages!$2:$2,0)+1),MATCH(H$1,[1]stages!$2:$2,0)-MATCH("temp_stage",[1]stages!$2:$2,0)+1,FALSE)</f>
        <v>0</v>
      </c>
      <c r="I1208" s="18">
        <v>0</v>
      </c>
      <c r="J1208" s="5">
        <f>COUNTIF(C$1:C1208,C1208)</f>
        <v>19</v>
      </c>
      <c r="K1208" s="34">
        <v>23</v>
      </c>
      <c r="L1208" s="5" t="s">
        <v>17</v>
      </c>
      <c r="M1208" s="38" t="str">
        <f>VLOOKUP(K1208,[2]stage_hints!$A:$C,3,FALSE)</f>
        <v>フィーバーで一発逆転（その2）</v>
      </c>
      <c r="N1208" s="39" t="str">
        <f>VLOOKUP(K1208,[2]stage_hints!$A:$D,4,FALSE)</f>
        <v>フィーバー中は虹色のボムパネルを狙って
画面上のパネルを一気に破壊しましょう</v>
      </c>
      <c r="O1208" s="20" t="s">
        <v>24</v>
      </c>
      <c r="P1208">
        <v>23</v>
      </c>
    </row>
    <row r="1209" spans="1:16" x14ac:dyDescent="0.15">
      <c r="A1209" s="27" t="str">
        <f t="shared" si="82"/>
        <v>11207_1_20</v>
      </c>
      <c r="B1209" s="25" t="s">
        <v>34</v>
      </c>
      <c r="C1209" s="4">
        <v>11207</v>
      </c>
      <c r="D1209" s="3" t="str">
        <f ca="1">VLOOKUP($C1209,OFFSET([1]quests!$A$1,0,0,COUNTA([1]quests!$A:$A),MATCH(D$1,[1]quests!$1:$1,0)-MATCH($C$1,[1]quests!$1:$1,0)+1),MATCH(D$1,[1]quests!$1:$1,0)-MATCH($C$1,[1]quests!$1:$1,0)+1,FALSE)</f>
        <v>果実達の大宴会</v>
      </c>
      <c r="E1209" s="3">
        <f ca="1">VLOOKUP($C1209,OFFSET([1]quests!$A$1,0,0,COUNTA([1]quests!$A:$A),MATCH(E$1,[1]quests!$1:$1,0)-MATCH($C$1,[1]quests!$1:$1,0)+1),MATCH(E$1,[1]quests!$1:$1,0)-MATCH($C$1,[1]quests!$1:$1,0)+1,FALSE)</f>
        <v>0</v>
      </c>
      <c r="F1209" s="5">
        <v>1</v>
      </c>
      <c r="G1209" s="3" t="str">
        <f ca="1">VLOOKUP($C1209&amp;"_"&amp;$F1209,OFFSET([1]stages!$A$1,0,0,COUNTA([1]stages!$A:$A),MATCH(G$1,[1]stages!$2:$2,0)-MATCH("temp_stage",[1]stages!$2:$2,0)+1),MATCH(G$1,[1]stages!$2:$2,0)-MATCH("temp_stage",[1]stages!$2:$2,0)+1,FALSE)</f>
        <v>【上級】果実達の大宴会</v>
      </c>
      <c r="H1209" s="3">
        <f ca="1">VLOOKUP($C1209&amp;"_"&amp;$F1209,OFFSET([1]stages!$A$1,0,0,COUNTA([1]stages!$A:$A),MATCH(H$1,[1]stages!$2:$2,0)-MATCH("temp_stage",[1]stages!$2:$2,0)+1),MATCH(H$1,[1]stages!$2:$2,0)-MATCH("temp_stage",[1]stages!$2:$2,0)+1,FALSE)</f>
        <v>0</v>
      </c>
      <c r="I1209" s="18">
        <v>0</v>
      </c>
      <c r="J1209" s="5">
        <f>COUNTIF(C$1:C1209,C1209)</f>
        <v>20</v>
      </c>
      <c r="K1209" s="34">
        <v>24</v>
      </c>
      <c r="L1209" s="5" t="s">
        <v>17</v>
      </c>
      <c r="M1209" s="38" t="str">
        <f>VLOOKUP(K1209,[2]stage_hints!$A:$C,3,FALSE)</f>
        <v>りんごを使って限界突破</v>
      </c>
      <c r="N1209" s="39" t="str">
        <f>VLOOKUP(K1209,[2]stage_hints!$A:$D,4,FALSE)</f>
        <v>赤りんご(攻撃力) 青りんご(回復力)
緑りんご(体力)をユニット強化に使うと
ステータスが限界突破します（計99個迄）</v>
      </c>
      <c r="O1209" s="20" t="s">
        <v>24</v>
      </c>
      <c r="P1209">
        <v>24</v>
      </c>
    </row>
    <row r="1210" spans="1:16" x14ac:dyDescent="0.15">
      <c r="A1210" s="27" t="str">
        <f t="shared" si="82"/>
        <v>11207_1_21</v>
      </c>
      <c r="B1210" s="25" t="s">
        <v>34</v>
      </c>
      <c r="C1210" s="4">
        <v>11207</v>
      </c>
      <c r="D1210" s="3" t="str">
        <f ca="1">VLOOKUP($C1210,OFFSET([1]quests!$A$1,0,0,COUNTA([1]quests!$A:$A),MATCH(D$1,[1]quests!$1:$1,0)-MATCH($C$1,[1]quests!$1:$1,0)+1),MATCH(D$1,[1]quests!$1:$1,0)-MATCH($C$1,[1]quests!$1:$1,0)+1,FALSE)</f>
        <v>果実達の大宴会</v>
      </c>
      <c r="E1210" s="3">
        <f ca="1">VLOOKUP($C1210,OFFSET([1]quests!$A$1,0,0,COUNTA([1]quests!$A:$A),MATCH(E$1,[1]quests!$1:$1,0)-MATCH($C$1,[1]quests!$1:$1,0)+1),MATCH(E$1,[1]quests!$1:$1,0)-MATCH($C$1,[1]quests!$1:$1,0)+1,FALSE)</f>
        <v>0</v>
      </c>
      <c r="F1210" s="5">
        <v>1</v>
      </c>
      <c r="G1210" s="3" t="str">
        <f ca="1">VLOOKUP($C1210&amp;"_"&amp;$F1210,OFFSET([1]stages!$A$1,0,0,COUNTA([1]stages!$A:$A),MATCH(G$1,[1]stages!$2:$2,0)-MATCH("temp_stage",[1]stages!$2:$2,0)+1),MATCH(G$1,[1]stages!$2:$2,0)-MATCH("temp_stage",[1]stages!$2:$2,0)+1,FALSE)</f>
        <v>【上級】果実達の大宴会</v>
      </c>
      <c r="H1210" s="3">
        <f ca="1">VLOOKUP($C1210&amp;"_"&amp;$F1210,OFFSET([1]stages!$A$1,0,0,COUNTA([1]stages!$A:$A),MATCH(H$1,[1]stages!$2:$2,0)-MATCH("temp_stage",[1]stages!$2:$2,0)+1),MATCH(H$1,[1]stages!$2:$2,0)-MATCH("temp_stage",[1]stages!$2:$2,0)+1,FALSE)</f>
        <v>0</v>
      </c>
      <c r="I1210" s="18">
        <v>0</v>
      </c>
      <c r="J1210" s="5">
        <f>COUNTIF(C$1:C1210,C1210)</f>
        <v>21</v>
      </c>
      <c r="K1210" s="34">
        <v>25</v>
      </c>
      <c r="L1210" s="5" t="s">
        <v>17</v>
      </c>
      <c r="M1210" s="38" t="str">
        <f>VLOOKUP(K1210,[2]stage_hints!$A:$C,3,FALSE)</f>
        <v>スキルレベルアップ</v>
      </c>
      <c r="N1210" s="39" t="str">
        <f>VLOOKUP(K1210,[2]stage_hints!$A:$D,4,FALSE)</f>
        <v>「クリスタルのりんご」を強化に使うと
スキルレベルを上げることができます</v>
      </c>
      <c r="O1210" s="20" t="s">
        <v>24</v>
      </c>
      <c r="P1210">
        <v>25</v>
      </c>
    </row>
    <row r="1211" spans="1:16" x14ac:dyDescent="0.15">
      <c r="A1211" s="27" t="str">
        <f t="shared" si="82"/>
        <v>11207_1_22</v>
      </c>
      <c r="B1211" s="25" t="s">
        <v>34</v>
      </c>
      <c r="C1211" s="4">
        <v>11207</v>
      </c>
      <c r="D1211" s="3" t="str">
        <f ca="1">VLOOKUP($C1211,OFFSET([1]quests!$A$1,0,0,COUNTA([1]quests!$A:$A),MATCH(D$1,[1]quests!$1:$1,0)-MATCH($C$1,[1]quests!$1:$1,0)+1),MATCH(D$1,[1]quests!$1:$1,0)-MATCH($C$1,[1]quests!$1:$1,0)+1,FALSE)</f>
        <v>果実達の大宴会</v>
      </c>
      <c r="E1211" s="3">
        <f ca="1">VLOOKUP($C1211,OFFSET([1]quests!$A$1,0,0,COUNTA([1]quests!$A:$A),MATCH(E$1,[1]quests!$1:$1,0)-MATCH($C$1,[1]quests!$1:$1,0)+1),MATCH(E$1,[1]quests!$1:$1,0)-MATCH($C$1,[1]quests!$1:$1,0)+1,FALSE)</f>
        <v>0</v>
      </c>
      <c r="F1211" s="5">
        <v>1</v>
      </c>
      <c r="G1211" s="3" t="str">
        <f ca="1">VLOOKUP($C1211&amp;"_"&amp;$F1211,OFFSET([1]stages!$A$1,0,0,COUNTA([1]stages!$A:$A),MATCH(G$1,[1]stages!$2:$2,0)-MATCH("temp_stage",[1]stages!$2:$2,0)+1),MATCH(G$1,[1]stages!$2:$2,0)-MATCH("temp_stage",[1]stages!$2:$2,0)+1,FALSE)</f>
        <v>【上級】果実達の大宴会</v>
      </c>
      <c r="H1211" s="3">
        <f ca="1">VLOOKUP($C1211&amp;"_"&amp;$F1211,OFFSET([1]stages!$A$1,0,0,COUNTA([1]stages!$A:$A),MATCH(H$1,[1]stages!$2:$2,0)-MATCH("temp_stage",[1]stages!$2:$2,0)+1),MATCH(H$1,[1]stages!$2:$2,0)-MATCH("temp_stage",[1]stages!$2:$2,0)+1,FALSE)</f>
        <v>0</v>
      </c>
      <c r="I1211" s="18">
        <v>0</v>
      </c>
      <c r="J1211" s="5">
        <f>COUNTIF(C$1:C1211,C1211)</f>
        <v>22</v>
      </c>
      <c r="K1211" s="34">
        <v>26</v>
      </c>
      <c r="L1211" s="5" t="s">
        <v>17</v>
      </c>
      <c r="M1211" s="38" t="str">
        <f>VLOOKUP(K1211,[2]stage_hints!$A:$C,3,FALSE)</f>
        <v>スキルレベルの効果</v>
      </c>
      <c r="N1211" s="39" t="str">
        <f>VLOOKUP(K1211,[2]stage_hints!$A:$D,4,FALSE)</f>
        <v>スキルレベルが上がると
短いターンでスキルを使うことができます</v>
      </c>
      <c r="O1211" s="20" t="s">
        <v>24</v>
      </c>
      <c r="P1211">
        <v>26</v>
      </c>
    </row>
    <row r="1212" spans="1:16" x14ac:dyDescent="0.15">
      <c r="A1212" s="27" t="str">
        <f t="shared" si="82"/>
        <v>11207_1_23</v>
      </c>
      <c r="B1212" s="25" t="s">
        <v>34</v>
      </c>
      <c r="C1212" s="4">
        <v>11207</v>
      </c>
      <c r="D1212" s="3" t="str">
        <f ca="1">VLOOKUP($C1212,OFFSET([1]quests!$A$1,0,0,COUNTA([1]quests!$A:$A),MATCH(D$1,[1]quests!$1:$1,0)-MATCH($C$1,[1]quests!$1:$1,0)+1),MATCH(D$1,[1]quests!$1:$1,0)-MATCH($C$1,[1]quests!$1:$1,0)+1,FALSE)</f>
        <v>果実達の大宴会</v>
      </c>
      <c r="E1212" s="3">
        <f ca="1">VLOOKUP($C1212,OFFSET([1]quests!$A$1,0,0,COUNTA([1]quests!$A:$A),MATCH(E$1,[1]quests!$1:$1,0)-MATCH($C$1,[1]quests!$1:$1,0)+1),MATCH(E$1,[1]quests!$1:$1,0)-MATCH($C$1,[1]quests!$1:$1,0)+1,FALSE)</f>
        <v>0</v>
      </c>
      <c r="F1212" s="5">
        <v>1</v>
      </c>
      <c r="G1212" s="3" t="str">
        <f ca="1">VLOOKUP($C1212&amp;"_"&amp;$F1212,OFFSET([1]stages!$A$1,0,0,COUNTA([1]stages!$A:$A),MATCH(G$1,[1]stages!$2:$2,0)-MATCH("temp_stage",[1]stages!$2:$2,0)+1),MATCH(G$1,[1]stages!$2:$2,0)-MATCH("temp_stage",[1]stages!$2:$2,0)+1,FALSE)</f>
        <v>【上級】果実達の大宴会</v>
      </c>
      <c r="H1212" s="3">
        <f ca="1">VLOOKUP($C1212&amp;"_"&amp;$F1212,OFFSET([1]stages!$A$1,0,0,COUNTA([1]stages!$A:$A),MATCH(H$1,[1]stages!$2:$2,0)-MATCH("temp_stage",[1]stages!$2:$2,0)+1),MATCH(H$1,[1]stages!$2:$2,0)-MATCH("temp_stage",[1]stages!$2:$2,0)+1,FALSE)</f>
        <v>0</v>
      </c>
      <c r="I1212" s="18">
        <v>0</v>
      </c>
      <c r="J1212" s="5">
        <f>COUNTIF(C$1:C1212,C1212)</f>
        <v>23</v>
      </c>
      <c r="K1212" s="34">
        <v>27</v>
      </c>
      <c r="L1212" s="5" t="s">
        <v>17</v>
      </c>
      <c r="M1212" s="38" t="str">
        <f>VLOOKUP(K1212,[2]stage_hints!$A:$C,3,FALSE)</f>
        <v>ホーム画面からデッキを編成</v>
      </c>
      <c r="N1212" s="39" t="str">
        <f>VLOOKUP(K1212,[2]stage_hints!$A:$D,4,FALSE)</f>
        <v>ホーム画面でユニットを長押しすると
すぐにパーティ編成に移動できます</v>
      </c>
      <c r="O1212" s="20" t="s">
        <v>24</v>
      </c>
      <c r="P1212">
        <v>27</v>
      </c>
    </row>
    <row r="1213" spans="1:16" x14ac:dyDescent="0.15">
      <c r="A1213" s="27" t="str">
        <f t="shared" si="82"/>
        <v>11207_1_24</v>
      </c>
      <c r="B1213" s="25" t="s">
        <v>34</v>
      </c>
      <c r="C1213" s="4">
        <v>11207</v>
      </c>
      <c r="D1213" s="3" t="str">
        <f ca="1">VLOOKUP($C1213,OFFSET([1]quests!$A$1,0,0,COUNTA([1]quests!$A:$A),MATCH(D$1,[1]quests!$1:$1,0)-MATCH($C$1,[1]quests!$1:$1,0)+1),MATCH(D$1,[1]quests!$1:$1,0)-MATCH($C$1,[1]quests!$1:$1,0)+1,FALSE)</f>
        <v>果実達の大宴会</v>
      </c>
      <c r="E1213" s="3">
        <f ca="1">VLOOKUP($C1213,OFFSET([1]quests!$A$1,0,0,COUNTA([1]quests!$A:$A),MATCH(E$1,[1]quests!$1:$1,0)-MATCH($C$1,[1]quests!$1:$1,0)+1),MATCH(E$1,[1]quests!$1:$1,0)-MATCH($C$1,[1]quests!$1:$1,0)+1,FALSE)</f>
        <v>0</v>
      </c>
      <c r="F1213" s="5">
        <v>1</v>
      </c>
      <c r="G1213" s="3" t="str">
        <f ca="1">VLOOKUP($C1213&amp;"_"&amp;$F1213,OFFSET([1]stages!$A$1,0,0,COUNTA([1]stages!$A:$A),MATCH(G$1,[1]stages!$2:$2,0)-MATCH("temp_stage",[1]stages!$2:$2,0)+1),MATCH(G$1,[1]stages!$2:$2,0)-MATCH("temp_stage",[1]stages!$2:$2,0)+1,FALSE)</f>
        <v>【上級】果実達の大宴会</v>
      </c>
      <c r="H1213" s="3">
        <f ca="1">VLOOKUP($C1213&amp;"_"&amp;$F1213,OFFSET([1]stages!$A$1,0,0,COUNTA([1]stages!$A:$A),MATCH(H$1,[1]stages!$2:$2,0)-MATCH("temp_stage",[1]stages!$2:$2,0)+1),MATCH(H$1,[1]stages!$2:$2,0)-MATCH("temp_stage",[1]stages!$2:$2,0)+1,FALSE)</f>
        <v>0</v>
      </c>
      <c r="I1213" s="18">
        <v>0</v>
      </c>
      <c r="J1213" s="5">
        <f>COUNTIF(C$1:C1213,C1213)</f>
        <v>24</v>
      </c>
      <c r="K1213" s="34">
        <v>28</v>
      </c>
      <c r="L1213" s="5" t="s">
        <v>17</v>
      </c>
      <c r="M1213" s="38" t="str">
        <f>VLOOKUP(K1213,[2]stage_hints!$A:$C,3,FALSE)</f>
        <v>ステータス情報は長押しで</v>
      </c>
      <c r="N1213" s="39" t="str">
        <f>VLOOKUP(K1213,[2]stage_hints!$A:$D,4,FALSE)</f>
        <v>ユニットのアイコンを長押しすると
ステータス情報を確認することができます</v>
      </c>
      <c r="O1213" s="20" t="s">
        <v>24</v>
      </c>
      <c r="P1213">
        <v>28</v>
      </c>
    </row>
    <row r="1214" spans="1:16" x14ac:dyDescent="0.15">
      <c r="A1214" s="27" t="str">
        <f t="shared" si="82"/>
        <v>11207_1_25</v>
      </c>
      <c r="B1214" s="25" t="s">
        <v>34</v>
      </c>
      <c r="C1214" s="4">
        <v>11207</v>
      </c>
      <c r="D1214" s="3" t="str">
        <f ca="1">VLOOKUP($C1214,OFFSET([1]quests!$A$1,0,0,COUNTA([1]quests!$A:$A),MATCH(D$1,[1]quests!$1:$1,0)-MATCH($C$1,[1]quests!$1:$1,0)+1),MATCH(D$1,[1]quests!$1:$1,0)-MATCH($C$1,[1]quests!$1:$1,0)+1,FALSE)</f>
        <v>果実達の大宴会</v>
      </c>
      <c r="E1214" s="3">
        <f ca="1">VLOOKUP($C1214,OFFSET([1]quests!$A$1,0,0,COUNTA([1]quests!$A:$A),MATCH(E$1,[1]quests!$1:$1,0)-MATCH($C$1,[1]quests!$1:$1,0)+1),MATCH(E$1,[1]quests!$1:$1,0)-MATCH($C$1,[1]quests!$1:$1,0)+1,FALSE)</f>
        <v>0</v>
      </c>
      <c r="F1214" s="5">
        <v>1</v>
      </c>
      <c r="G1214" s="3" t="str">
        <f ca="1">VLOOKUP($C1214&amp;"_"&amp;$F1214,OFFSET([1]stages!$A$1,0,0,COUNTA([1]stages!$A:$A),MATCH(G$1,[1]stages!$2:$2,0)-MATCH("temp_stage",[1]stages!$2:$2,0)+1),MATCH(G$1,[1]stages!$2:$2,0)-MATCH("temp_stage",[1]stages!$2:$2,0)+1,FALSE)</f>
        <v>【上級】果実達の大宴会</v>
      </c>
      <c r="H1214" s="3">
        <f ca="1">VLOOKUP($C1214&amp;"_"&amp;$F1214,OFFSET([1]stages!$A$1,0,0,COUNTA([1]stages!$A:$A),MATCH(H$1,[1]stages!$2:$2,0)-MATCH("temp_stage",[1]stages!$2:$2,0)+1),MATCH(H$1,[1]stages!$2:$2,0)-MATCH("temp_stage",[1]stages!$2:$2,0)+1,FALSE)</f>
        <v>0</v>
      </c>
      <c r="I1214" s="18">
        <v>0</v>
      </c>
      <c r="J1214" s="5">
        <f>COUNTIF(C$1:C1214,C1214)</f>
        <v>25</v>
      </c>
      <c r="K1214" s="34">
        <v>29</v>
      </c>
      <c r="L1214" s="5" t="s">
        <v>17</v>
      </c>
      <c r="M1214" s="38" t="str">
        <f>VLOOKUP(K1214,[2]stage_hints!$A:$C,3,FALSE)</f>
        <v>「バグ」のメリット</v>
      </c>
      <c r="N1214" s="39" t="str">
        <f>VLOOKUP(K1214,[2]stage_hints!$A:$D,4,FALSE)</f>
        <v>ユニットの「バグ」を増やすと
報酬をもらえる確率がアップします</v>
      </c>
      <c r="O1214" s="20" t="s">
        <v>24</v>
      </c>
      <c r="P1214">
        <v>29</v>
      </c>
    </row>
    <row r="1215" spans="1:16" x14ac:dyDescent="0.15">
      <c r="A1215" s="27" t="str">
        <f t="shared" si="82"/>
        <v>11207_1_26</v>
      </c>
      <c r="B1215" s="25" t="s">
        <v>34</v>
      </c>
      <c r="C1215" s="4">
        <v>11207</v>
      </c>
      <c r="D1215" s="3" t="str">
        <f ca="1">VLOOKUP($C1215,OFFSET([1]quests!$A$1,0,0,COUNTA([1]quests!$A:$A),MATCH(D$1,[1]quests!$1:$1,0)-MATCH($C$1,[1]quests!$1:$1,0)+1),MATCH(D$1,[1]quests!$1:$1,0)-MATCH($C$1,[1]quests!$1:$1,0)+1,FALSE)</f>
        <v>果実達の大宴会</v>
      </c>
      <c r="E1215" s="3">
        <f ca="1">VLOOKUP($C1215,OFFSET([1]quests!$A$1,0,0,COUNTA([1]quests!$A:$A),MATCH(E$1,[1]quests!$1:$1,0)-MATCH($C$1,[1]quests!$1:$1,0)+1),MATCH(E$1,[1]quests!$1:$1,0)-MATCH($C$1,[1]quests!$1:$1,0)+1,FALSE)</f>
        <v>0</v>
      </c>
      <c r="F1215" s="5">
        <v>1</v>
      </c>
      <c r="G1215" s="3" t="str">
        <f ca="1">VLOOKUP($C1215&amp;"_"&amp;$F1215,OFFSET([1]stages!$A$1,0,0,COUNTA([1]stages!$A:$A),MATCH(G$1,[1]stages!$2:$2,0)-MATCH("temp_stage",[1]stages!$2:$2,0)+1),MATCH(G$1,[1]stages!$2:$2,0)-MATCH("temp_stage",[1]stages!$2:$2,0)+1,FALSE)</f>
        <v>【上級】果実達の大宴会</v>
      </c>
      <c r="H1215" s="3">
        <f ca="1">VLOOKUP($C1215&amp;"_"&amp;$F1215,OFFSET([1]stages!$A$1,0,0,COUNTA([1]stages!$A:$A),MATCH(H$1,[1]stages!$2:$2,0)-MATCH("temp_stage",[1]stages!$2:$2,0)+1),MATCH(H$1,[1]stages!$2:$2,0)-MATCH("temp_stage",[1]stages!$2:$2,0)+1,FALSE)</f>
        <v>0</v>
      </c>
      <c r="I1215" s="18">
        <v>0</v>
      </c>
      <c r="J1215" s="5">
        <f>COUNTIF(C$1:C1215,C1215)</f>
        <v>26</v>
      </c>
      <c r="K1215" s="34">
        <v>30</v>
      </c>
      <c r="L1215" s="5" t="s">
        <v>17</v>
      </c>
      <c r="M1215" s="38" t="str">
        <f>VLOOKUP(K1215,[2]stage_hints!$A:$C,3,FALSE)</f>
        <v>「バグ」の増やし方</v>
      </c>
      <c r="N1215" s="39" t="str">
        <f>VLOOKUP(K1215,[2]stage_hints!$A:$D,4,FALSE)</f>
        <v>同じユニット同士を強化で合成すると
「バグ」を増やすことができます</v>
      </c>
      <c r="O1215" s="20" t="s">
        <v>24</v>
      </c>
      <c r="P1215">
        <v>30</v>
      </c>
    </row>
    <row r="1216" spans="1:16" x14ac:dyDescent="0.15">
      <c r="A1216" s="27" t="str">
        <f t="shared" si="82"/>
        <v>11207_1_27</v>
      </c>
      <c r="B1216" s="25" t="s">
        <v>34</v>
      </c>
      <c r="C1216" s="4">
        <v>11207</v>
      </c>
      <c r="D1216" s="3" t="str">
        <f ca="1">VLOOKUP($C1216,OFFSET([1]quests!$A$1,0,0,COUNTA([1]quests!$A:$A),MATCH(D$1,[1]quests!$1:$1,0)-MATCH($C$1,[1]quests!$1:$1,0)+1),MATCH(D$1,[1]quests!$1:$1,0)-MATCH($C$1,[1]quests!$1:$1,0)+1,FALSE)</f>
        <v>果実達の大宴会</v>
      </c>
      <c r="E1216" s="3">
        <f ca="1">VLOOKUP($C1216,OFFSET([1]quests!$A$1,0,0,COUNTA([1]quests!$A:$A),MATCH(E$1,[1]quests!$1:$1,0)-MATCH($C$1,[1]quests!$1:$1,0)+1),MATCH(E$1,[1]quests!$1:$1,0)-MATCH($C$1,[1]quests!$1:$1,0)+1,FALSE)</f>
        <v>0</v>
      </c>
      <c r="F1216" s="5">
        <v>1</v>
      </c>
      <c r="G1216" s="3" t="str">
        <f ca="1">VLOOKUP($C1216&amp;"_"&amp;$F1216,OFFSET([1]stages!$A$1,0,0,COUNTA([1]stages!$A:$A),MATCH(G$1,[1]stages!$2:$2,0)-MATCH("temp_stage",[1]stages!$2:$2,0)+1),MATCH(G$1,[1]stages!$2:$2,0)-MATCH("temp_stage",[1]stages!$2:$2,0)+1,FALSE)</f>
        <v>【上級】果実達の大宴会</v>
      </c>
      <c r="H1216" s="3">
        <f ca="1">VLOOKUP($C1216&amp;"_"&amp;$F1216,OFFSET([1]stages!$A$1,0,0,COUNTA([1]stages!$A:$A),MATCH(H$1,[1]stages!$2:$2,0)-MATCH("temp_stage",[1]stages!$2:$2,0)+1),MATCH(H$1,[1]stages!$2:$2,0)-MATCH("temp_stage",[1]stages!$2:$2,0)+1,FALSE)</f>
        <v>0</v>
      </c>
      <c r="I1216" s="18">
        <v>0</v>
      </c>
      <c r="J1216" s="5">
        <f>COUNTIF(C$1:C1216,C1216)</f>
        <v>27</v>
      </c>
      <c r="K1216" s="34">
        <v>31</v>
      </c>
      <c r="L1216" s="5" t="s">
        <v>17</v>
      </c>
      <c r="M1216" s="38" t="str">
        <f>VLOOKUP(K1216,[2]stage_hints!$A:$C,3,FALSE)</f>
        <v>イベントはお知らせでチェック</v>
      </c>
      <c r="N1216" s="39" t="str">
        <f>VLOOKUP(K1216,[2]stage_hints!$A:$D,4,FALSE)</f>
        <v>イベント限定ユニットを取り忘れないように
お知らせをこまめにチェックしましょう</v>
      </c>
      <c r="O1216" s="20" t="s">
        <v>24</v>
      </c>
      <c r="P1216">
        <v>31</v>
      </c>
    </row>
    <row r="1217" spans="1:16" x14ac:dyDescent="0.15">
      <c r="A1217" s="27" t="str">
        <f t="shared" si="82"/>
        <v>11207_1_28</v>
      </c>
      <c r="B1217" s="25" t="s">
        <v>34</v>
      </c>
      <c r="C1217" s="4">
        <v>11207</v>
      </c>
      <c r="D1217" s="3" t="str">
        <f ca="1">VLOOKUP($C1217,OFFSET([1]quests!$A$1,0,0,COUNTA([1]quests!$A:$A),MATCH(D$1,[1]quests!$1:$1,0)-MATCH($C$1,[1]quests!$1:$1,0)+1),MATCH(D$1,[1]quests!$1:$1,0)-MATCH($C$1,[1]quests!$1:$1,0)+1,FALSE)</f>
        <v>果実達の大宴会</v>
      </c>
      <c r="E1217" s="3">
        <f ca="1">VLOOKUP($C1217,OFFSET([1]quests!$A$1,0,0,COUNTA([1]quests!$A:$A),MATCH(E$1,[1]quests!$1:$1,0)-MATCH($C$1,[1]quests!$1:$1,0)+1),MATCH(E$1,[1]quests!$1:$1,0)-MATCH($C$1,[1]quests!$1:$1,0)+1,FALSE)</f>
        <v>0</v>
      </c>
      <c r="F1217" s="5">
        <v>1</v>
      </c>
      <c r="G1217" s="3" t="str">
        <f ca="1">VLOOKUP($C1217&amp;"_"&amp;$F1217,OFFSET([1]stages!$A$1,0,0,COUNTA([1]stages!$A:$A),MATCH(G$1,[1]stages!$2:$2,0)-MATCH("temp_stage",[1]stages!$2:$2,0)+1),MATCH(G$1,[1]stages!$2:$2,0)-MATCH("temp_stage",[1]stages!$2:$2,0)+1,FALSE)</f>
        <v>【上級】果実達の大宴会</v>
      </c>
      <c r="H1217" s="3">
        <f ca="1">VLOOKUP($C1217&amp;"_"&amp;$F1217,OFFSET([1]stages!$A$1,0,0,COUNTA([1]stages!$A:$A),MATCH(H$1,[1]stages!$2:$2,0)-MATCH("temp_stage",[1]stages!$2:$2,0)+1),MATCH(H$1,[1]stages!$2:$2,0)-MATCH("temp_stage",[1]stages!$2:$2,0)+1,FALSE)</f>
        <v>0</v>
      </c>
      <c r="I1217" s="18">
        <v>0</v>
      </c>
      <c r="J1217" s="5">
        <f>COUNTIF(C$1:C1217,C1217)</f>
        <v>28</v>
      </c>
      <c r="K1217" s="34">
        <v>32</v>
      </c>
      <c r="L1217" s="5" t="s">
        <v>17</v>
      </c>
      <c r="M1217" s="38" t="str">
        <f>VLOOKUP(K1217,[2]stage_hints!$A:$C,3,FALSE)</f>
        <v>敵の連続攻撃には</v>
      </c>
      <c r="N1217" s="39" t="str">
        <f>VLOOKUP(K1217,[2]stage_hints!$A:$D,4,FALSE)</f>
        <v>カウンタースキルを持つユニットがいれば
ダメージ回数分の反撃ができます</v>
      </c>
      <c r="O1217" s="20" t="s">
        <v>24</v>
      </c>
      <c r="P1217">
        <v>32</v>
      </c>
    </row>
    <row r="1218" spans="1:16" x14ac:dyDescent="0.15">
      <c r="A1218" s="27" t="str">
        <f t="shared" si="82"/>
        <v>11207_1_29</v>
      </c>
      <c r="B1218" s="25" t="s">
        <v>34</v>
      </c>
      <c r="C1218" s="4">
        <v>11207</v>
      </c>
      <c r="D1218" s="3" t="str">
        <f ca="1">VLOOKUP($C1218,OFFSET([1]quests!$A$1,0,0,COUNTA([1]quests!$A:$A),MATCH(D$1,[1]quests!$1:$1,0)-MATCH($C$1,[1]quests!$1:$1,0)+1),MATCH(D$1,[1]quests!$1:$1,0)-MATCH($C$1,[1]quests!$1:$1,0)+1,FALSE)</f>
        <v>果実達の大宴会</v>
      </c>
      <c r="E1218" s="3">
        <f ca="1">VLOOKUP($C1218,OFFSET([1]quests!$A$1,0,0,COUNTA([1]quests!$A:$A),MATCH(E$1,[1]quests!$1:$1,0)-MATCH($C$1,[1]quests!$1:$1,0)+1),MATCH(E$1,[1]quests!$1:$1,0)-MATCH($C$1,[1]quests!$1:$1,0)+1,FALSE)</f>
        <v>0</v>
      </c>
      <c r="F1218" s="5">
        <v>1</v>
      </c>
      <c r="G1218" s="3" t="str">
        <f ca="1">VLOOKUP($C1218&amp;"_"&amp;$F1218,OFFSET([1]stages!$A$1,0,0,COUNTA([1]stages!$A:$A),MATCH(G$1,[1]stages!$2:$2,0)-MATCH("temp_stage",[1]stages!$2:$2,0)+1),MATCH(G$1,[1]stages!$2:$2,0)-MATCH("temp_stage",[1]stages!$2:$2,0)+1,FALSE)</f>
        <v>【上級】果実達の大宴会</v>
      </c>
      <c r="H1218" s="3">
        <f ca="1">VLOOKUP($C1218&amp;"_"&amp;$F1218,OFFSET([1]stages!$A$1,0,0,COUNTA([1]stages!$A:$A),MATCH(H$1,[1]stages!$2:$2,0)-MATCH("temp_stage",[1]stages!$2:$2,0)+1),MATCH(H$1,[1]stages!$2:$2,0)-MATCH("temp_stage",[1]stages!$2:$2,0)+1,FALSE)</f>
        <v>0</v>
      </c>
      <c r="I1218" s="18">
        <v>0</v>
      </c>
      <c r="J1218" s="5">
        <f>COUNTIF(C$1:C1218,C1218)</f>
        <v>29</v>
      </c>
      <c r="K1218" s="34">
        <v>33</v>
      </c>
      <c r="L1218" s="5" t="s">
        <v>17</v>
      </c>
      <c r="M1218" s="38" t="str">
        <f>VLOOKUP(K1218,[2]stage_hints!$A:$C,3,FALSE)</f>
        <v>敵のカウンター攻撃には</v>
      </c>
      <c r="N1218" s="39" t="str">
        <f>VLOOKUP(K1218,[2]stage_hints!$A:$D,4,FALSE)</f>
        <v>カウンターブレイクスキルを持っていれば
敵のカウンターを解除して攻撃ができます</v>
      </c>
      <c r="O1218" s="20" t="s">
        <v>24</v>
      </c>
      <c r="P1218">
        <v>33</v>
      </c>
    </row>
    <row r="1219" spans="1:16" x14ac:dyDescent="0.15">
      <c r="A1219" s="27" t="str">
        <f t="shared" si="82"/>
        <v>11207_1_30</v>
      </c>
      <c r="B1219" s="25" t="s">
        <v>34</v>
      </c>
      <c r="C1219" s="4">
        <v>11207</v>
      </c>
      <c r="D1219" s="3" t="str">
        <f ca="1">VLOOKUP($C1219,OFFSET([1]quests!$A$1,0,0,COUNTA([1]quests!$A:$A),MATCH(D$1,[1]quests!$1:$1,0)-MATCH($C$1,[1]quests!$1:$1,0)+1),MATCH(D$1,[1]quests!$1:$1,0)-MATCH($C$1,[1]quests!$1:$1,0)+1,FALSE)</f>
        <v>果実達の大宴会</v>
      </c>
      <c r="E1219" s="3">
        <f ca="1">VLOOKUP($C1219,OFFSET([1]quests!$A$1,0,0,COUNTA([1]quests!$A:$A),MATCH(E$1,[1]quests!$1:$1,0)-MATCH($C$1,[1]quests!$1:$1,0)+1),MATCH(E$1,[1]quests!$1:$1,0)-MATCH($C$1,[1]quests!$1:$1,0)+1,FALSE)</f>
        <v>0</v>
      </c>
      <c r="F1219" s="5">
        <v>1</v>
      </c>
      <c r="G1219" s="3" t="str">
        <f ca="1">VLOOKUP($C1219&amp;"_"&amp;$F1219,OFFSET([1]stages!$A$1,0,0,COUNTA([1]stages!$A:$A),MATCH(G$1,[1]stages!$2:$2,0)-MATCH("temp_stage",[1]stages!$2:$2,0)+1),MATCH(G$1,[1]stages!$2:$2,0)-MATCH("temp_stage",[1]stages!$2:$2,0)+1,FALSE)</f>
        <v>【上級】果実達の大宴会</v>
      </c>
      <c r="H1219" s="3">
        <f ca="1">VLOOKUP($C1219&amp;"_"&amp;$F1219,OFFSET([1]stages!$A$1,0,0,COUNTA([1]stages!$A:$A),MATCH(H$1,[1]stages!$2:$2,0)-MATCH("temp_stage",[1]stages!$2:$2,0)+1),MATCH(H$1,[1]stages!$2:$2,0)-MATCH("temp_stage",[1]stages!$2:$2,0)+1,FALSE)</f>
        <v>0</v>
      </c>
      <c r="I1219" s="18">
        <v>0</v>
      </c>
      <c r="J1219" s="5">
        <f>COUNTIF(C$1:C1219,C1219)</f>
        <v>30</v>
      </c>
      <c r="K1219" s="34">
        <v>34</v>
      </c>
      <c r="L1219" s="5" t="s">
        <v>17</v>
      </c>
      <c r="M1219" s="38" t="str">
        <f>VLOOKUP(K1219,[2]stage_hints!$A:$C,3,FALSE)</f>
        <v>ステータスをスキルで下げられたら</v>
      </c>
      <c r="N1219" s="39" t="str">
        <f>VLOOKUP(K1219,[2]stage_hints!$A:$D,4,FALSE)</f>
        <v>ステータスダウンのスキルを受けたら
ステータスアップスキルで上書きしましょう</v>
      </c>
      <c r="O1219" s="20" t="s">
        <v>24</v>
      </c>
      <c r="P1219">
        <v>34</v>
      </c>
    </row>
    <row r="1220" spans="1:16" x14ac:dyDescent="0.15">
      <c r="A1220" s="27" t="str">
        <f t="shared" si="82"/>
        <v>11207_1_31</v>
      </c>
      <c r="B1220" s="25" t="s">
        <v>34</v>
      </c>
      <c r="C1220" s="4">
        <v>11207</v>
      </c>
      <c r="D1220" s="3" t="str">
        <f ca="1">VLOOKUP($C1220,OFFSET([1]quests!$A$1,0,0,COUNTA([1]quests!$A:$A),MATCH(D$1,[1]quests!$1:$1,0)-MATCH($C$1,[1]quests!$1:$1,0)+1),MATCH(D$1,[1]quests!$1:$1,0)-MATCH($C$1,[1]quests!$1:$1,0)+1,FALSE)</f>
        <v>果実達の大宴会</v>
      </c>
      <c r="E1220" s="3">
        <f ca="1">VLOOKUP($C1220,OFFSET([1]quests!$A$1,0,0,COUNTA([1]quests!$A:$A),MATCH(E$1,[1]quests!$1:$1,0)-MATCH($C$1,[1]quests!$1:$1,0)+1),MATCH(E$1,[1]quests!$1:$1,0)-MATCH($C$1,[1]quests!$1:$1,0)+1,FALSE)</f>
        <v>0</v>
      </c>
      <c r="F1220" s="5">
        <v>1</v>
      </c>
      <c r="G1220" s="3" t="str">
        <f ca="1">VLOOKUP($C1220&amp;"_"&amp;$F1220,OFFSET([1]stages!$A$1,0,0,COUNTA([1]stages!$A:$A),MATCH(G$1,[1]stages!$2:$2,0)-MATCH("temp_stage",[1]stages!$2:$2,0)+1),MATCH(G$1,[1]stages!$2:$2,0)-MATCH("temp_stage",[1]stages!$2:$2,0)+1,FALSE)</f>
        <v>【上級】果実達の大宴会</v>
      </c>
      <c r="H1220" s="3">
        <f ca="1">VLOOKUP($C1220&amp;"_"&amp;$F1220,OFFSET([1]stages!$A$1,0,0,COUNTA([1]stages!$A:$A),MATCH(H$1,[1]stages!$2:$2,0)-MATCH("temp_stage",[1]stages!$2:$2,0)+1),MATCH(H$1,[1]stages!$2:$2,0)-MATCH("temp_stage",[1]stages!$2:$2,0)+1,FALSE)</f>
        <v>0</v>
      </c>
      <c r="I1220" s="18">
        <v>0</v>
      </c>
      <c r="J1220" s="5">
        <f>COUNTIF(C$1:C1220,C1220)</f>
        <v>31</v>
      </c>
      <c r="K1220" s="34">
        <v>35</v>
      </c>
      <c r="L1220" s="5" t="s">
        <v>17</v>
      </c>
      <c r="M1220" s="38" t="str">
        <f>VLOOKUP(K1220,[2]stage_hints!$A:$C,3,FALSE)</f>
        <v>敵のステータスがスキルで上がったら</v>
      </c>
      <c r="N1220" s="39" t="str">
        <f>VLOOKUP(K1220,[2]stage_hints!$A:$D,4,FALSE)</f>
        <v>敵のステータスがスキルでアップしたときは
ステータスダウンスキルで上書きしましょう</v>
      </c>
      <c r="O1220" s="20" t="s">
        <v>24</v>
      </c>
      <c r="P1220">
        <v>35</v>
      </c>
    </row>
    <row r="1221" spans="1:16" x14ac:dyDescent="0.15">
      <c r="A1221" s="27" t="str">
        <f t="shared" si="82"/>
        <v>11207_1_32</v>
      </c>
      <c r="B1221" s="25" t="s">
        <v>34</v>
      </c>
      <c r="C1221" s="4">
        <v>11207</v>
      </c>
      <c r="D1221" s="3" t="str">
        <f ca="1">VLOOKUP($C1221,OFFSET([1]quests!$A$1,0,0,COUNTA([1]quests!$A:$A),MATCH(D$1,[1]quests!$1:$1,0)-MATCH($C$1,[1]quests!$1:$1,0)+1),MATCH(D$1,[1]quests!$1:$1,0)-MATCH($C$1,[1]quests!$1:$1,0)+1,FALSE)</f>
        <v>果実達の大宴会</v>
      </c>
      <c r="E1221" s="3">
        <f ca="1">VLOOKUP($C1221,OFFSET([1]quests!$A$1,0,0,COUNTA([1]quests!$A:$A),MATCH(E$1,[1]quests!$1:$1,0)-MATCH($C$1,[1]quests!$1:$1,0)+1),MATCH(E$1,[1]quests!$1:$1,0)-MATCH($C$1,[1]quests!$1:$1,0)+1,FALSE)</f>
        <v>0</v>
      </c>
      <c r="F1221" s="5">
        <v>1</v>
      </c>
      <c r="G1221" s="3" t="str">
        <f ca="1">VLOOKUP($C1221&amp;"_"&amp;$F1221,OFFSET([1]stages!$A$1,0,0,COUNTA([1]stages!$A:$A),MATCH(G$1,[1]stages!$2:$2,0)-MATCH("temp_stage",[1]stages!$2:$2,0)+1),MATCH(G$1,[1]stages!$2:$2,0)-MATCH("temp_stage",[1]stages!$2:$2,0)+1,FALSE)</f>
        <v>【上級】果実達の大宴会</v>
      </c>
      <c r="H1221" s="3">
        <f ca="1">VLOOKUP($C1221&amp;"_"&amp;$F1221,OFFSET([1]stages!$A$1,0,0,COUNTA([1]stages!$A:$A),MATCH(H$1,[1]stages!$2:$2,0)-MATCH("temp_stage",[1]stages!$2:$2,0)+1),MATCH(H$1,[1]stages!$2:$2,0)-MATCH("temp_stage",[1]stages!$2:$2,0)+1,FALSE)</f>
        <v>0</v>
      </c>
      <c r="I1221" s="18">
        <v>0</v>
      </c>
      <c r="J1221" s="5">
        <f>COUNTIF(C$1:C1221,C1221)</f>
        <v>32</v>
      </c>
      <c r="K1221" s="34">
        <v>36</v>
      </c>
      <c r="L1221" s="5" t="s">
        <v>17</v>
      </c>
      <c r="M1221" s="38" t="str">
        <f>VLOOKUP(K1221,[2]stage_hints!$A:$C,3,FALSE)</f>
        <v>チャレンジタワーのボス</v>
      </c>
      <c r="N1221" s="39" t="str">
        <f>VLOOKUP(K1221,[2]stage_hints!$A:$D,4,FALSE)</f>
        <v>チャレンジタワーでのみ登場するボスは
一定確率で獲得することができます</v>
      </c>
      <c r="O1221" s="20" t="s">
        <v>24</v>
      </c>
      <c r="P1221">
        <v>36</v>
      </c>
    </row>
    <row r="1222" spans="1:16" x14ac:dyDescent="0.15">
      <c r="A1222" s="27" t="str">
        <f t="shared" si="82"/>
        <v>11207_1_33</v>
      </c>
      <c r="B1222" s="25" t="s">
        <v>34</v>
      </c>
      <c r="C1222" s="4">
        <v>11207</v>
      </c>
      <c r="D1222" s="3" t="str">
        <f ca="1">VLOOKUP($C1222,OFFSET([1]quests!$A$1,0,0,COUNTA([1]quests!$A:$A),MATCH(D$1,[1]quests!$1:$1,0)-MATCH($C$1,[1]quests!$1:$1,0)+1),MATCH(D$1,[1]quests!$1:$1,0)-MATCH($C$1,[1]quests!$1:$1,0)+1,FALSE)</f>
        <v>果実達の大宴会</v>
      </c>
      <c r="E1222" s="3">
        <f ca="1">VLOOKUP($C1222,OFFSET([1]quests!$A$1,0,0,COUNTA([1]quests!$A:$A),MATCH(E$1,[1]quests!$1:$1,0)-MATCH($C$1,[1]quests!$1:$1,0)+1),MATCH(E$1,[1]quests!$1:$1,0)-MATCH($C$1,[1]quests!$1:$1,0)+1,FALSE)</f>
        <v>0</v>
      </c>
      <c r="F1222" s="5">
        <v>1</v>
      </c>
      <c r="G1222" s="3" t="str">
        <f ca="1">VLOOKUP($C1222&amp;"_"&amp;$F1222,OFFSET([1]stages!$A$1,0,0,COUNTA([1]stages!$A:$A),MATCH(G$1,[1]stages!$2:$2,0)-MATCH("temp_stage",[1]stages!$2:$2,0)+1),MATCH(G$1,[1]stages!$2:$2,0)-MATCH("temp_stage",[1]stages!$2:$2,0)+1,FALSE)</f>
        <v>【上級】果実達の大宴会</v>
      </c>
      <c r="H1222" s="3">
        <f ca="1">VLOOKUP($C1222&amp;"_"&amp;$F1222,OFFSET([1]stages!$A$1,0,0,COUNTA([1]stages!$A:$A),MATCH(H$1,[1]stages!$2:$2,0)-MATCH("temp_stage",[1]stages!$2:$2,0)+1),MATCH(H$1,[1]stages!$2:$2,0)-MATCH("temp_stage",[1]stages!$2:$2,0)+1,FALSE)</f>
        <v>0</v>
      </c>
      <c r="I1222" s="18">
        <v>0</v>
      </c>
      <c r="J1222" s="5">
        <f>COUNTIF(C$1:C1222,C1222)</f>
        <v>33</v>
      </c>
      <c r="K1222" s="34">
        <v>37</v>
      </c>
      <c r="L1222" s="5" t="s">
        <v>17</v>
      </c>
      <c r="M1222" s="38" t="str">
        <f>VLOOKUP(K1222,[2]stage_hints!$A:$C,3,FALSE)</f>
        <v>限界突破値の引き継ぎ</v>
      </c>
      <c r="N1222" s="39" t="str">
        <f>VLOOKUP(K1222,[2]stage_hints!$A:$D,4,FALSE)</f>
        <v>同じユニットを強化で合成すると
限界突破値を引き継げます（覚醒前後も可）</v>
      </c>
      <c r="O1222" s="20" t="s">
        <v>24</v>
      </c>
      <c r="P1222">
        <v>37</v>
      </c>
    </row>
    <row r="1223" spans="1:16" x14ac:dyDescent="0.15">
      <c r="A1223" s="27" t="str">
        <f t="shared" si="82"/>
        <v>11018_1_1</v>
      </c>
      <c r="B1223" s="25" t="s">
        <v>34</v>
      </c>
      <c r="C1223" s="4">
        <v>11018</v>
      </c>
      <c r="D1223" s="3" t="str">
        <f ca="1">VLOOKUP($C1223,OFFSET([1]quests!$A$1,0,0,COUNTA([1]quests!$A:$A),MATCH(D$1,[1]quests!$1:$1,0)-MATCH($C$1,[1]quests!$1:$1,0)+1),MATCH(D$1,[1]quests!$1:$1,0)-MATCH($C$1,[1]quests!$1:$1,0)+1,FALSE)</f>
        <v>【エナジー1/2】 ゴールドカジノ</v>
      </c>
      <c r="E1223" s="3" t="str">
        <f ca="1">VLOOKUP($C1223,OFFSET([1]quests!$A$1,0,0,COUNTA([1]quests!$A:$A),MATCH(E$1,[1]quests!$1:$1,0)-MATCH($C$1,[1]quests!$1:$1,0)+1),MATCH(E$1,[1]quests!$1:$1,0)-MATCH($C$1,[1]quests!$1:$1,0)+1,FALSE)</f>
        <v>土日クエスト1</v>
      </c>
      <c r="F1223" s="5">
        <v>1</v>
      </c>
      <c r="G1223" s="3" t="str">
        <f ca="1">VLOOKUP($C1223&amp;"_"&amp;$F1223,OFFSET([1]stages!$A$1,0,0,COUNTA([1]stages!$A:$A),MATCH(G$1,[1]stages!$2:$2,0)-MATCH("temp_stage",[1]stages!$2:$2,0)+1),MATCH(G$1,[1]stages!$2:$2,0)-MATCH("temp_stage",[1]stages!$2:$2,0)+1,FALSE)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23" s="3" t="str">
        <f ca="1">VLOOKUP($C1223&amp;"_"&amp;$F1223,OFFSET([1]stages!$A$1,0,0,COUNTA([1]stages!$A:$A),MATCH(H$1,[1]stages!$2:$2,0)-MATCH("temp_stage",[1]stages!$2:$2,0)+1),MATCH(H$1,[1]stages!$2:$2,0)-MATCH("temp_stage",[1]stages!$2:$2,0)+1,FALSE)</f>
        <v>土日クエスト1</v>
      </c>
      <c r="I1223" s="18">
        <v>0</v>
      </c>
      <c r="J1223" s="5">
        <f>COUNTIF(C$1:C1223,C1223)</f>
        <v>1</v>
      </c>
      <c r="K1223" s="34">
        <v>3</v>
      </c>
      <c r="L1223" s="5" t="s">
        <v>17</v>
      </c>
      <c r="M1223" s="38" t="str">
        <f>VLOOKUP(K1223,[2]stage_hints!$A:$C,3,FALSE)</f>
        <v>ターゲット</v>
      </c>
      <c r="N1223" s="39" t="str">
        <f>VLOOKUP(K1223,[2]stage_hints!$A:$D,4,FALSE)</f>
        <v>敵ユニットをタップすると
その敵を狙い撃ちできます</v>
      </c>
      <c r="O1223" s="20" t="s">
        <v>24</v>
      </c>
      <c r="P1223">
        <v>3</v>
      </c>
    </row>
    <row r="1224" spans="1:16" x14ac:dyDescent="0.15">
      <c r="A1224" s="27" t="str">
        <f t="shared" si="82"/>
        <v>11018_1_2</v>
      </c>
      <c r="B1224" s="25" t="s">
        <v>34</v>
      </c>
      <c r="C1224" s="4">
        <v>11018</v>
      </c>
      <c r="D1224" s="3" t="str">
        <f ca="1">VLOOKUP($C1224,OFFSET([1]quests!$A$1,0,0,COUNTA([1]quests!$A:$A),MATCH(D$1,[1]quests!$1:$1,0)-MATCH($C$1,[1]quests!$1:$1,0)+1),MATCH(D$1,[1]quests!$1:$1,0)-MATCH($C$1,[1]quests!$1:$1,0)+1,FALSE)</f>
        <v>【エナジー1/2】 ゴールドカジノ</v>
      </c>
      <c r="E1224" s="3" t="str">
        <f ca="1">VLOOKUP($C1224,OFFSET([1]quests!$A$1,0,0,COUNTA([1]quests!$A:$A),MATCH(E$1,[1]quests!$1:$1,0)-MATCH($C$1,[1]quests!$1:$1,0)+1),MATCH(E$1,[1]quests!$1:$1,0)-MATCH($C$1,[1]quests!$1:$1,0)+1,FALSE)</f>
        <v>土日クエスト1</v>
      </c>
      <c r="F1224" s="5">
        <v>1</v>
      </c>
      <c r="G1224" s="3" t="str">
        <f ca="1">VLOOKUP($C1224&amp;"_"&amp;$F1224,OFFSET([1]stages!$A$1,0,0,COUNTA([1]stages!$A:$A),MATCH(G$1,[1]stages!$2:$2,0)-MATCH("temp_stage",[1]stages!$2:$2,0)+1),MATCH(G$1,[1]stages!$2:$2,0)-MATCH("temp_stage",[1]stages!$2:$2,0)+1,FALSE)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24" s="3" t="str">
        <f ca="1">VLOOKUP($C1224&amp;"_"&amp;$F1224,OFFSET([1]stages!$A$1,0,0,COUNTA([1]stages!$A:$A),MATCH(H$1,[1]stages!$2:$2,0)-MATCH("temp_stage",[1]stages!$2:$2,0)+1),MATCH(H$1,[1]stages!$2:$2,0)-MATCH("temp_stage",[1]stages!$2:$2,0)+1,FALSE)</f>
        <v>土日クエスト1</v>
      </c>
      <c r="I1224" s="18">
        <v>0</v>
      </c>
      <c r="J1224" s="5">
        <f>COUNTIF(C$1:C1224,C1224)</f>
        <v>2</v>
      </c>
      <c r="K1224" s="34">
        <v>6</v>
      </c>
      <c r="L1224" s="5" t="s">
        <v>17</v>
      </c>
      <c r="M1224" s="38" t="str">
        <f>VLOOKUP(K1224,[2]stage_hints!$A:$C,3,FALSE)</f>
        <v>ユニット強化の属性ボーナス</v>
      </c>
      <c r="N1224" s="39" t="str">
        <f>VLOOKUP(K1224,[2]stage_hints!$A:$D,4,FALSE)</f>
        <v>同属性ユニットを強化素材にすると
経験値が多くもらえます</v>
      </c>
      <c r="O1224" s="20" t="s">
        <v>24</v>
      </c>
      <c r="P1224">
        <v>6</v>
      </c>
    </row>
    <row r="1225" spans="1:16" x14ac:dyDescent="0.15">
      <c r="A1225" s="27" t="str">
        <f t="shared" si="82"/>
        <v>11018_1_3</v>
      </c>
      <c r="B1225" s="25" t="s">
        <v>34</v>
      </c>
      <c r="C1225" s="4">
        <v>11018</v>
      </c>
      <c r="D1225" s="3" t="str">
        <f ca="1">VLOOKUP($C1225,OFFSET([1]quests!$A$1,0,0,COUNTA([1]quests!$A:$A),MATCH(D$1,[1]quests!$1:$1,0)-MATCH($C$1,[1]quests!$1:$1,0)+1),MATCH(D$1,[1]quests!$1:$1,0)-MATCH($C$1,[1]quests!$1:$1,0)+1,FALSE)</f>
        <v>【エナジー1/2】 ゴールドカジノ</v>
      </c>
      <c r="E1225" s="3" t="str">
        <f ca="1">VLOOKUP($C1225,OFFSET([1]quests!$A$1,0,0,COUNTA([1]quests!$A:$A),MATCH(E$1,[1]quests!$1:$1,0)-MATCH($C$1,[1]quests!$1:$1,0)+1),MATCH(E$1,[1]quests!$1:$1,0)-MATCH($C$1,[1]quests!$1:$1,0)+1,FALSE)</f>
        <v>土日クエスト1</v>
      </c>
      <c r="F1225" s="5">
        <v>1</v>
      </c>
      <c r="G1225" s="3" t="str">
        <f ca="1">VLOOKUP($C1225&amp;"_"&amp;$F1225,OFFSET([1]stages!$A$1,0,0,COUNTA([1]stages!$A:$A),MATCH(G$1,[1]stages!$2:$2,0)-MATCH("temp_stage",[1]stages!$2:$2,0)+1),MATCH(G$1,[1]stages!$2:$2,0)-MATCH("temp_stage",[1]stages!$2:$2,0)+1,FALSE)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25" s="3" t="str">
        <f ca="1">VLOOKUP($C1225&amp;"_"&amp;$F1225,OFFSET([1]stages!$A$1,0,0,COUNTA([1]stages!$A:$A),MATCH(H$1,[1]stages!$2:$2,0)-MATCH("temp_stage",[1]stages!$2:$2,0)+1),MATCH(H$1,[1]stages!$2:$2,0)-MATCH("temp_stage",[1]stages!$2:$2,0)+1,FALSE)</f>
        <v>土日クエスト1</v>
      </c>
      <c r="I1225" s="18">
        <v>0</v>
      </c>
      <c r="J1225" s="5">
        <f>COUNTIF(C$1:C1225,C1225)</f>
        <v>3</v>
      </c>
      <c r="K1225" s="34">
        <v>7</v>
      </c>
      <c r="L1225" s="5" t="s">
        <v>17</v>
      </c>
      <c r="M1225" s="38" t="str">
        <f>VLOOKUP(K1225,[2]stage_hints!$A:$C,3,FALSE)</f>
        <v>メタルダックで経験値を獲得</v>
      </c>
      <c r="N1225" s="39" t="str">
        <f>VLOOKUP(K1225,[2]stage_hints!$A:$D,4,FALSE)</f>
        <v>「メタルなアヒル」を強化素材にすると
大量の経験値がもらえます</v>
      </c>
      <c r="O1225" s="20" t="s">
        <v>24</v>
      </c>
      <c r="P1225">
        <v>7</v>
      </c>
    </row>
    <row r="1226" spans="1:16" x14ac:dyDescent="0.15">
      <c r="A1226" s="27" t="str">
        <f t="shared" si="82"/>
        <v>11018_1_4</v>
      </c>
      <c r="B1226" s="25" t="s">
        <v>34</v>
      </c>
      <c r="C1226" s="4">
        <v>11018</v>
      </c>
      <c r="D1226" s="3" t="str">
        <f ca="1">VLOOKUP($C1226,OFFSET([1]quests!$A$1,0,0,COUNTA([1]quests!$A:$A),MATCH(D$1,[1]quests!$1:$1,0)-MATCH($C$1,[1]quests!$1:$1,0)+1),MATCH(D$1,[1]quests!$1:$1,0)-MATCH($C$1,[1]quests!$1:$1,0)+1,FALSE)</f>
        <v>【エナジー1/2】 ゴールドカジノ</v>
      </c>
      <c r="E1226" s="3" t="str">
        <f ca="1">VLOOKUP($C1226,OFFSET([1]quests!$A$1,0,0,COUNTA([1]quests!$A:$A),MATCH(E$1,[1]quests!$1:$1,0)-MATCH($C$1,[1]quests!$1:$1,0)+1),MATCH(E$1,[1]quests!$1:$1,0)-MATCH($C$1,[1]quests!$1:$1,0)+1,FALSE)</f>
        <v>土日クエスト1</v>
      </c>
      <c r="F1226" s="5">
        <v>1</v>
      </c>
      <c r="G1226" s="3" t="str">
        <f ca="1">VLOOKUP($C1226&amp;"_"&amp;$F1226,OFFSET([1]stages!$A$1,0,0,COUNTA([1]stages!$A:$A),MATCH(G$1,[1]stages!$2:$2,0)-MATCH("temp_stage",[1]stages!$2:$2,0)+1),MATCH(G$1,[1]stages!$2:$2,0)-MATCH("temp_stage",[1]stages!$2:$2,0)+1,FALSE)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26" s="3" t="str">
        <f ca="1">VLOOKUP($C1226&amp;"_"&amp;$F1226,OFFSET([1]stages!$A$1,0,0,COUNTA([1]stages!$A:$A),MATCH(H$1,[1]stages!$2:$2,0)-MATCH("temp_stage",[1]stages!$2:$2,0)+1),MATCH(H$1,[1]stages!$2:$2,0)-MATCH("temp_stage",[1]stages!$2:$2,0)+1,FALSE)</f>
        <v>土日クエスト1</v>
      </c>
      <c r="I1226" s="18">
        <v>0</v>
      </c>
      <c r="J1226" s="5">
        <f>COUNTIF(C$1:C1226,C1226)</f>
        <v>4</v>
      </c>
      <c r="K1226" s="34">
        <v>8</v>
      </c>
      <c r="L1226" s="5" t="s">
        <v>17</v>
      </c>
      <c r="M1226" s="38" t="str">
        <f>VLOOKUP(K1226,[2]stage_hints!$A:$C,3,FALSE)</f>
        <v>ゲリラクエストは要チェック</v>
      </c>
      <c r="N1226" s="39" t="str">
        <f>VLOOKUP(K1226,[2]stage_hints!$A:$D,4,FALSE)</f>
        <v>時間限定の「アヒル捕獲作戦」では
経験値素材ユニットが多く手に入ります</v>
      </c>
      <c r="O1226" s="20" t="s">
        <v>24</v>
      </c>
      <c r="P1226">
        <v>8</v>
      </c>
    </row>
    <row r="1227" spans="1:16" x14ac:dyDescent="0.15">
      <c r="A1227" s="27" t="str">
        <f t="shared" si="82"/>
        <v>11018_1_5</v>
      </c>
      <c r="B1227" s="25" t="s">
        <v>34</v>
      </c>
      <c r="C1227" s="4">
        <v>11018</v>
      </c>
      <c r="D1227" s="3" t="str">
        <f ca="1">VLOOKUP($C1227,OFFSET([1]quests!$A$1,0,0,COUNTA([1]quests!$A:$A),MATCH(D$1,[1]quests!$1:$1,0)-MATCH($C$1,[1]quests!$1:$1,0)+1),MATCH(D$1,[1]quests!$1:$1,0)-MATCH($C$1,[1]quests!$1:$1,0)+1,FALSE)</f>
        <v>【エナジー1/2】 ゴールドカジノ</v>
      </c>
      <c r="E1227" s="3" t="str">
        <f ca="1">VLOOKUP($C1227,OFFSET([1]quests!$A$1,0,0,COUNTA([1]quests!$A:$A),MATCH(E$1,[1]quests!$1:$1,0)-MATCH($C$1,[1]quests!$1:$1,0)+1),MATCH(E$1,[1]quests!$1:$1,0)-MATCH($C$1,[1]quests!$1:$1,0)+1,FALSE)</f>
        <v>土日クエスト1</v>
      </c>
      <c r="F1227" s="5">
        <v>1</v>
      </c>
      <c r="G1227" s="3" t="str">
        <f ca="1">VLOOKUP($C1227&amp;"_"&amp;$F1227,OFFSET([1]stages!$A$1,0,0,COUNTA([1]stages!$A:$A),MATCH(G$1,[1]stages!$2:$2,0)-MATCH("temp_stage",[1]stages!$2:$2,0)+1),MATCH(G$1,[1]stages!$2:$2,0)-MATCH("temp_stage",[1]stages!$2:$2,0)+1,FALSE)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27" s="3" t="str">
        <f ca="1">VLOOKUP($C1227&amp;"_"&amp;$F1227,OFFSET([1]stages!$A$1,0,0,COUNTA([1]stages!$A:$A),MATCH(H$1,[1]stages!$2:$2,0)-MATCH("temp_stage",[1]stages!$2:$2,0)+1),MATCH(H$1,[1]stages!$2:$2,0)-MATCH("temp_stage",[1]stages!$2:$2,0)+1,FALSE)</f>
        <v>土日クエスト1</v>
      </c>
      <c r="I1227" s="18">
        <v>0</v>
      </c>
      <c r="J1227" s="5">
        <f>COUNTIF(C$1:C1227,C1227)</f>
        <v>5</v>
      </c>
      <c r="K1227" s="34">
        <v>9</v>
      </c>
      <c r="L1227" s="5" t="s">
        <v>17</v>
      </c>
      <c r="M1227" s="38" t="str">
        <f>VLOOKUP(K1227,[2]stage_hints!$A:$C,3,FALSE)</f>
        <v>ゴールドダックでビットを獲得</v>
      </c>
      <c r="N1227" s="39" t="str">
        <f>VLOOKUP(K1227,[2]stage_hints!$A:$D,4,FALSE)</f>
        <v>「ゴールドなアヒル」を売却すると
大量のビットがもらえます</v>
      </c>
      <c r="O1227" s="20" t="s">
        <v>24</v>
      </c>
      <c r="P1227">
        <v>9</v>
      </c>
    </row>
    <row r="1228" spans="1:16" x14ac:dyDescent="0.15">
      <c r="A1228" s="27" t="str">
        <f t="shared" si="82"/>
        <v>11018_1_6</v>
      </c>
      <c r="B1228" s="25" t="s">
        <v>34</v>
      </c>
      <c r="C1228" s="4">
        <v>11018</v>
      </c>
      <c r="D1228" s="3" t="str">
        <f ca="1">VLOOKUP($C1228,OFFSET([1]quests!$A$1,0,0,COUNTA([1]quests!$A:$A),MATCH(D$1,[1]quests!$1:$1,0)-MATCH($C$1,[1]quests!$1:$1,0)+1),MATCH(D$1,[1]quests!$1:$1,0)-MATCH($C$1,[1]quests!$1:$1,0)+1,FALSE)</f>
        <v>【エナジー1/2】 ゴールドカジノ</v>
      </c>
      <c r="E1228" s="3" t="str">
        <f ca="1">VLOOKUP($C1228,OFFSET([1]quests!$A$1,0,0,COUNTA([1]quests!$A:$A),MATCH(E$1,[1]quests!$1:$1,0)-MATCH($C$1,[1]quests!$1:$1,0)+1),MATCH(E$1,[1]quests!$1:$1,0)-MATCH($C$1,[1]quests!$1:$1,0)+1,FALSE)</f>
        <v>土日クエスト1</v>
      </c>
      <c r="F1228" s="5">
        <v>1</v>
      </c>
      <c r="G1228" s="3" t="str">
        <f ca="1">VLOOKUP($C1228&amp;"_"&amp;$F1228,OFFSET([1]stages!$A$1,0,0,COUNTA([1]stages!$A:$A),MATCH(G$1,[1]stages!$2:$2,0)-MATCH("temp_stage",[1]stages!$2:$2,0)+1),MATCH(G$1,[1]stages!$2:$2,0)-MATCH("temp_stage",[1]stages!$2:$2,0)+1,FALSE)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28" s="3" t="str">
        <f ca="1">VLOOKUP($C1228&amp;"_"&amp;$F1228,OFFSET([1]stages!$A$1,0,0,COUNTA([1]stages!$A:$A),MATCH(H$1,[1]stages!$2:$2,0)-MATCH("temp_stage",[1]stages!$2:$2,0)+1),MATCH(H$1,[1]stages!$2:$2,0)-MATCH("temp_stage",[1]stages!$2:$2,0)+1,FALSE)</f>
        <v>土日クエスト1</v>
      </c>
      <c r="I1228" s="18">
        <v>0</v>
      </c>
      <c r="J1228" s="5">
        <f>COUNTIF(C$1:C1228,C1228)</f>
        <v>6</v>
      </c>
      <c r="K1228" s="34">
        <v>10</v>
      </c>
      <c r="L1228" s="5" t="s">
        <v>17</v>
      </c>
      <c r="M1228" s="38" t="str">
        <f>VLOOKUP(K1228,[2]stage_hints!$A:$C,3,FALSE)</f>
        <v>土日に大量のビットを獲得</v>
      </c>
      <c r="N1228" s="39" t="str">
        <f>VLOOKUP(K1228,[2]stage_hints!$A:$D,4,FALSE)</f>
        <v>土日限定の「ゴールドカジノ」では
売却素材ユニットが多く手に入ります</v>
      </c>
      <c r="O1228" s="20" t="s">
        <v>24</v>
      </c>
      <c r="P1228">
        <v>10</v>
      </c>
    </row>
    <row r="1229" spans="1:16" x14ac:dyDescent="0.15">
      <c r="A1229" s="27" t="str">
        <f t="shared" si="82"/>
        <v>11018_1_7</v>
      </c>
      <c r="B1229" s="25" t="s">
        <v>34</v>
      </c>
      <c r="C1229" s="4">
        <v>11018</v>
      </c>
      <c r="D1229" s="3" t="str">
        <f ca="1">VLOOKUP($C1229,OFFSET([1]quests!$A$1,0,0,COUNTA([1]quests!$A:$A),MATCH(D$1,[1]quests!$1:$1,0)-MATCH($C$1,[1]quests!$1:$1,0)+1),MATCH(D$1,[1]quests!$1:$1,0)-MATCH($C$1,[1]quests!$1:$1,0)+1,FALSE)</f>
        <v>【エナジー1/2】 ゴールドカジノ</v>
      </c>
      <c r="E1229" s="3" t="str">
        <f ca="1">VLOOKUP($C1229,OFFSET([1]quests!$A$1,0,0,COUNTA([1]quests!$A:$A),MATCH(E$1,[1]quests!$1:$1,0)-MATCH($C$1,[1]quests!$1:$1,0)+1),MATCH(E$1,[1]quests!$1:$1,0)-MATCH($C$1,[1]quests!$1:$1,0)+1,FALSE)</f>
        <v>土日クエスト1</v>
      </c>
      <c r="F1229" s="5">
        <v>1</v>
      </c>
      <c r="G1229" s="3" t="str">
        <f ca="1">VLOOKUP($C1229&amp;"_"&amp;$F1229,OFFSET([1]stages!$A$1,0,0,COUNTA([1]stages!$A:$A),MATCH(G$1,[1]stages!$2:$2,0)-MATCH("temp_stage",[1]stages!$2:$2,0)+1),MATCH(G$1,[1]stages!$2:$2,0)-MATCH("temp_stage",[1]stages!$2:$2,0)+1,FALSE)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29" s="3" t="str">
        <f ca="1">VLOOKUP($C1229&amp;"_"&amp;$F1229,OFFSET([1]stages!$A$1,0,0,COUNTA([1]stages!$A:$A),MATCH(H$1,[1]stages!$2:$2,0)-MATCH("temp_stage",[1]stages!$2:$2,0)+1),MATCH(H$1,[1]stages!$2:$2,0)-MATCH("temp_stage",[1]stages!$2:$2,0)+1,FALSE)</f>
        <v>土日クエスト1</v>
      </c>
      <c r="I1229" s="18">
        <v>0</v>
      </c>
      <c r="J1229" s="5">
        <f>COUNTIF(C$1:C1229,C1229)</f>
        <v>7</v>
      </c>
      <c r="K1229" s="34">
        <v>11</v>
      </c>
      <c r="L1229" s="5" t="s">
        <v>17</v>
      </c>
      <c r="M1229" s="38" t="str">
        <f>VLOOKUP(K1229,[2]stage_hints!$A:$C,3,FALSE)</f>
        <v>ランク解放クエスト</v>
      </c>
      <c r="N1229" s="39" t="str">
        <f>VLOOKUP(K1229,[2]stage_hints!$A:$D,4,FALSE)</f>
        <v>一定ランクに到達すると
報酬付きのランク開放クエストが現れます</v>
      </c>
      <c r="O1229" s="20" t="s">
        <v>24</v>
      </c>
      <c r="P1229">
        <v>11</v>
      </c>
    </row>
    <row r="1230" spans="1:16" x14ac:dyDescent="0.15">
      <c r="A1230" s="27" t="str">
        <f t="shared" si="82"/>
        <v>11018_1_8</v>
      </c>
      <c r="B1230" s="25" t="s">
        <v>34</v>
      </c>
      <c r="C1230" s="4">
        <v>11018</v>
      </c>
      <c r="D1230" s="3" t="str">
        <f ca="1">VLOOKUP($C1230,OFFSET([1]quests!$A$1,0,0,COUNTA([1]quests!$A:$A),MATCH(D$1,[1]quests!$1:$1,0)-MATCH($C$1,[1]quests!$1:$1,0)+1),MATCH(D$1,[1]quests!$1:$1,0)-MATCH($C$1,[1]quests!$1:$1,0)+1,FALSE)</f>
        <v>【エナジー1/2】 ゴールドカジノ</v>
      </c>
      <c r="E1230" s="3" t="str">
        <f ca="1">VLOOKUP($C1230,OFFSET([1]quests!$A$1,0,0,COUNTA([1]quests!$A:$A),MATCH(E$1,[1]quests!$1:$1,0)-MATCH($C$1,[1]quests!$1:$1,0)+1),MATCH(E$1,[1]quests!$1:$1,0)-MATCH($C$1,[1]quests!$1:$1,0)+1,FALSE)</f>
        <v>土日クエスト1</v>
      </c>
      <c r="F1230" s="5">
        <v>1</v>
      </c>
      <c r="G1230" s="3" t="str">
        <f ca="1">VLOOKUP($C1230&amp;"_"&amp;$F1230,OFFSET([1]stages!$A$1,0,0,COUNTA([1]stages!$A:$A),MATCH(G$1,[1]stages!$2:$2,0)-MATCH("temp_stage",[1]stages!$2:$2,0)+1),MATCH(G$1,[1]stages!$2:$2,0)-MATCH("temp_stage",[1]stages!$2:$2,0)+1,FALSE)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0" s="3" t="str">
        <f ca="1">VLOOKUP($C1230&amp;"_"&amp;$F1230,OFFSET([1]stages!$A$1,0,0,COUNTA([1]stages!$A:$A),MATCH(H$1,[1]stages!$2:$2,0)-MATCH("temp_stage",[1]stages!$2:$2,0)+1),MATCH(H$1,[1]stages!$2:$2,0)-MATCH("temp_stage",[1]stages!$2:$2,0)+1,FALSE)</f>
        <v>土日クエスト1</v>
      </c>
      <c r="I1230" s="18">
        <v>0</v>
      </c>
      <c r="J1230" s="5">
        <f>COUNTIF(C$1:C1230,C1230)</f>
        <v>8</v>
      </c>
      <c r="K1230" s="34">
        <v>12</v>
      </c>
      <c r="L1230" s="5" t="s">
        <v>17</v>
      </c>
      <c r="M1230" s="38" t="str">
        <f>VLOOKUP(K1230,[2]stage_hints!$A:$C,3,FALSE)</f>
        <v>ユニットのお気に入り登録</v>
      </c>
      <c r="N1230" s="39" t="str">
        <f>VLOOKUP(K1230,[2]stage_hints!$A:$D,4,FALSE)</f>
        <v>大事なユニットを誤って消さないように
フォルダから「お気に入り登録」しましょう</v>
      </c>
      <c r="O1230" s="20" t="s">
        <v>24</v>
      </c>
      <c r="P1230">
        <v>12</v>
      </c>
    </row>
    <row r="1231" spans="1:16" x14ac:dyDescent="0.15">
      <c r="A1231" s="27" t="str">
        <f t="shared" si="82"/>
        <v>11018_1_9</v>
      </c>
      <c r="B1231" s="25" t="s">
        <v>34</v>
      </c>
      <c r="C1231" s="4">
        <v>11018</v>
      </c>
      <c r="D1231" s="3" t="str">
        <f ca="1">VLOOKUP($C1231,OFFSET([1]quests!$A$1,0,0,COUNTA([1]quests!$A:$A),MATCH(D$1,[1]quests!$1:$1,0)-MATCH($C$1,[1]quests!$1:$1,0)+1),MATCH(D$1,[1]quests!$1:$1,0)-MATCH($C$1,[1]quests!$1:$1,0)+1,FALSE)</f>
        <v>【エナジー1/2】 ゴールドカジノ</v>
      </c>
      <c r="E1231" s="3" t="str">
        <f ca="1">VLOOKUP($C1231,OFFSET([1]quests!$A$1,0,0,COUNTA([1]quests!$A:$A),MATCH(E$1,[1]quests!$1:$1,0)-MATCH($C$1,[1]quests!$1:$1,0)+1),MATCH(E$1,[1]quests!$1:$1,0)-MATCH($C$1,[1]quests!$1:$1,0)+1,FALSE)</f>
        <v>土日クエスト1</v>
      </c>
      <c r="F1231" s="5">
        <v>1</v>
      </c>
      <c r="G1231" s="3" t="str">
        <f ca="1">VLOOKUP($C1231&amp;"_"&amp;$F1231,OFFSET([1]stages!$A$1,0,0,COUNTA([1]stages!$A:$A),MATCH(G$1,[1]stages!$2:$2,0)-MATCH("temp_stage",[1]stages!$2:$2,0)+1),MATCH(G$1,[1]stages!$2:$2,0)-MATCH("temp_stage",[1]stages!$2:$2,0)+1,FALSE)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1" s="3" t="str">
        <f ca="1">VLOOKUP($C1231&amp;"_"&amp;$F1231,OFFSET([1]stages!$A$1,0,0,COUNTA([1]stages!$A:$A),MATCH(H$1,[1]stages!$2:$2,0)-MATCH("temp_stage",[1]stages!$2:$2,0)+1),MATCH(H$1,[1]stages!$2:$2,0)-MATCH("temp_stage",[1]stages!$2:$2,0)+1,FALSE)</f>
        <v>土日クエスト1</v>
      </c>
      <c r="I1231" s="18">
        <v>0</v>
      </c>
      <c r="J1231" s="5">
        <f>COUNTIF(C$1:C1231,C1231)</f>
        <v>9</v>
      </c>
      <c r="K1231" s="34">
        <v>13</v>
      </c>
      <c r="L1231" s="5" t="s">
        <v>17</v>
      </c>
      <c r="M1231" s="38" t="str">
        <f>VLOOKUP(K1231,[2]stage_hints!$A:$C,3,FALSE)</f>
        <v>ユニットの覚醒</v>
      </c>
      <c r="N1231" s="39" t="str">
        <f>VLOOKUP(K1231,[2]stage_hints!$A:$D,4,FALSE)</f>
        <v>ユニットを覚醒させると
比べものにならない強さが手に入ります</v>
      </c>
      <c r="O1231" s="20" t="s">
        <v>24</v>
      </c>
      <c r="P1231">
        <v>13</v>
      </c>
    </row>
    <row r="1232" spans="1:16" x14ac:dyDescent="0.15">
      <c r="A1232" s="27" t="str">
        <f t="shared" si="82"/>
        <v>11018_1_10</v>
      </c>
      <c r="B1232" s="25" t="s">
        <v>34</v>
      </c>
      <c r="C1232" s="4">
        <v>11018</v>
      </c>
      <c r="D1232" s="3" t="str">
        <f ca="1">VLOOKUP($C1232,OFFSET([1]quests!$A$1,0,0,COUNTA([1]quests!$A:$A),MATCH(D$1,[1]quests!$1:$1,0)-MATCH($C$1,[1]quests!$1:$1,0)+1),MATCH(D$1,[1]quests!$1:$1,0)-MATCH($C$1,[1]quests!$1:$1,0)+1,FALSE)</f>
        <v>【エナジー1/2】 ゴールドカジノ</v>
      </c>
      <c r="E1232" s="3" t="str">
        <f ca="1">VLOOKUP($C1232,OFFSET([1]quests!$A$1,0,0,COUNTA([1]quests!$A:$A),MATCH(E$1,[1]quests!$1:$1,0)-MATCH($C$1,[1]quests!$1:$1,0)+1),MATCH(E$1,[1]quests!$1:$1,0)-MATCH($C$1,[1]quests!$1:$1,0)+1,FALSE)</f>
        <v>土日クエスト1</v>
      </c>
      <c r="F1232" s="5">
        <v>1</v>
      </c>
      <c r="G1232" s="3" t="str">
        <f ca="1">VLOOKUP($C1232&amp;"_"&amp;$F1232,OFFSET([1]stages!$A$1,0,0,COUNTA([1]stages!$A:$A),MATCH(G$1,[1]stages!$2:$2,0)-MATCH("temp_stage",[1]stages!$2:$2,0)+1),MATCH(G$1,[1]stages!$2:$2,0)-MATCH("temp_stage",[1]stages!$2:$2,0)+1,FALSE)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2" s="3" t="str">
        <f ca="1">VLOOKUP($C1232&amp;"_"&amp;$F1232,OFFSET([1]stages!$A$1,0,0,COUNTA([1]stages!$A:$A),MATCH(H$1,[1]stages!$2:$2,0)-MATCH("temp_stage",[1]stages!$2:$2,0)+1),MATCH(H$1,[1]stages!$2:$2,0)-MATCH("temp_stage",[1]stages!$2:$2,0)+1,FALSE)</f>
        <v>土日クエスト1</v>
      </c>
      <c r="I1232" s="18">
        <v>0</v>
      </c>
      <c r="J1232" s="5">
        <f>COUNTIF(C$1:C1232,C1232)</f>
        <v>10</v>
      </c>
      <c r="K1232" s="34">
        <v>14</v>
      </c>
      <c r="L1232" s="5" t="s">
        <v>17</v>
      </c>
      <c r="M1232" s="38" t="str">
        <f>VLOOKUP(K1232,[2]stage_hints!$A:$C,3,FALSE)</f>
        <v>覚醒するにはレベルを最大に</v>
      </c>
      <c r="N1232" s="39" t="str">
        <f>VLOOKUP(K1232,[2]stage_hints!$A:$D,4,FALSE)</f>
        <v>覚醒するにはユニットのレベルを
最大まで上げる必要があります</v>
      </c>
      <c r="O1232" s="20" t="s">
        <v>24</v>
      </c>
      <c r="P1232">
        <v>14</v>
      </c>
    </row>
    <row r="1233" spans="1:16" x14ac:dyDescent="0.15">
      <c r="A1233" s="27" t="str">
        <f t="shared" si="82"/>
        <v>11018_1_11</v>
      </c>
      <c r="B1233" s="25" t="s">
        <v>34</v>
      </c>
      <c r="C1233" s="4">
        <v>11018</v>
      </c>
      <c r="D1233" s="3" t="str">
        <f ca="1">VLOOKUP($C1233,OFFSET([1]quests!$A$1,0,0,COUNTA([1]quests!$A:$A),MATCH(D$1,[1]quests!$1:$1,0)-MATCH($C$1,[1]quests!$1:$1,0)+1),MATCH(D$1,[1]quests!$1:$1,0)-MATCH($C$1,[1]quests!$1:$1,0)+1,FALSE)</f>
        <v>【エナジー1/2】 ゴールドカジノ</v>
      </c>
      <c r="E1233" s="3" t="str">
        <f ca="1">VLOOKUP($C1233,OFFSET([1]quests!$A$1,0,0,COUNTA([1]quests!$A:$A),MATCH(E$1,[1]quests!$1:$1,0)-MATCH($C$1,[1]quests!$1:$1,0)+1),MATCH(E$1,[1]quests!$1:$1,0)-MATCH($C$1,[1]quests!$1:$1,0)+1,FALSE)</f>
        <v>土日クエスト1</v>
      </c>
      <c r="F1233" s="5">
        <v>1</v>
      </c>
      <c r="G1233" s="3" t="str">
        <f ca="1">VLOOKUP($C1233&amp;"_"&amp;$F1233,OFFSET([1]stages!$A$1,0,0,COUNTA([1]stages!$A:$A),MATCH(G$1,[1]stages!$2:$2,0)-MATCH("temp_stage",[1]stages!$2:$2,0)+1),MATCH(G$1,[1]stages!$2:$2,0)-MATCH("temp_stage",[1]stages!$2:$2,0)+1,FALSE)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3" s="3" t="str">
        <f ca="1">VLOOKUP($C1233&amp;"_"&amp;$F1233,OFFSET([1]stages!$A$1,0,0,COUNTA([1]stages!$A:$A),MATCH(H$1,[1]stages!$2:$2,0)-MATCH("temp_stage",[1]stages!$2:$2,0)+1),MATCH(H$1,[1]stages!$2:$2,0)-MATCH("temp_stage",[1]stages!$2:$2,0)+1,FALSE)</f>
        <v>土日クエスト1</v>
      </c>
      <c r="I1233" s="18">
        <v>0</v>
      </c>
      <c r="J1233" s="5">
        <f>COUNTIF(C$1:C1233,C1233)</f>
        <v>11</v>
      </c>
      <c r="K1233" s="34">
        <v>15</v>
      </c>
      <c r="L1233" s="5" t="s">
        <v>17</v>
      </c>
      <c r="M1233" s="38" t="str">
        <f>VLOOKUP(K1233,[2]stage_hints!$A:$C,3,FALSE)</f>
        <v>覚醒素材を獲得</v>
      </c>
      <c r="N1233" s="39" t="str">
        <f>VLOOKUP(K1233,[2]stage_hints!$A:$D,4,FALSE)</f>
        <v>「曜日クエスト」では
ユニットの覚醒に必要な素材が手に入ります</v>
      </c>
      <c r="O1233" s="20" t="s">
        <v>24</v>
      </c>
      <c r="P1233">
        <v>15</v>
      </c>
    </row>
    <row r="1234" spans="1:16" x14ac:dyDescent="0.15">
      <c r="A1234" s="27" t="str">
        <f t="shared" si="82"/>
        <v>11018_1_12</v>
      </c>
      <c r="B1234" s="25" t="s">
        <v>34</v>
      </c>
      <c r="C1234" s="4">
        <v>11018</v>
      </c>
      <c r="D1234" s="3" t="str">
        <f ca="1">VLOOKUP($C1234,OFFSET([1]quests!$A$1,0,0,COUNTA([1]quests!$A:$A),MATCH(D$1,[1]quests!$1:$1,0)-MATCH($C$1,[1]quests!$1:$1,0)+1),MATCH(D$1,[1]quests!$1:$1,0)-MATCH($C$1,[1]quests!$1:$1,0)+1,FALSE)</f>
        <v>【エナジー1/2】 ゴールドカジノ</v>
      </c>
      <c r="E1234" s="3" t="str">
        <f ca="1">VLOOKUP($C1234,OFFSET([1]quests!$A$1,0,0,COUNTA([1]quests!$A:$A),MATCH(E$1,[1]quests!$1:$1,0)-MATCH($C$1,[1]quests!$1:$1,0)+1),MATCH(E$1,[1]quests!$1:$1,0)-MATCH($C$1,[1]quests!$1:$1,0)+1,FALSE)</f>
        <v>土日クエスト1</v>
      </c>
      <c r="F1234" s="5">
        <v>1</v>
      </c>
      <c r="G1234" s="3" t="str">
        <f ca="1">VLOOKUP($C1234&amp;"_"&amp;$F1234,OFFSET([1]stages!$A$1,0,0,COUNTA([1]stages!$A:$A),MATCH(G$1,[1]stages!$2:$2,0)-MATCH("temp_stage",[1]stages!$2:$2,0)+1),MATCH(G$1,[1]stages!$2:$2,0)-MATCH("temp_stage",[1]stages!$2:$2,0)+1,FALSE)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4" s="3" t="str">
        <f ca="1">VLOOKUP($C1234&amp;"_"&amp;$F1234,OFFSET([1]stages!$A$1,0,0,COUNTA([1]stages!$A:$A),MATCH(H$1,[1]stages!$2:$2,0)-MATCH("temp_stage",[1]stages!$2:$2,0)+1),MATCH(H$1,[1]stages!$2:$2,0)-MATCH("temp_stage",[1]stages!$2:$2,0)+1,FALSE)</f>
        <v>土日クエスト1</v>
      </c>
      <c r="I1234" s="18">
        <v>0</v>
      </c>
      <c r="J1234" s="5">
        <f>COUNTIF(C$1:C1234,C1234)</f>
        <v>12</v>
      </c>
      <c r="K1234" s="34">
        <v>16</v>
      </c>
      <c r="L1234" s="5" t="s">
        <v>17</v>
      </c>
      <c r="M1234" s="38" t="str">
        <f>VLOOKUP(K1234,[2]stage_hints!$A:$C,3,FALSE)</f>
        <v>マルチプレイのメリット（その1）</v>
      </c>
      <c r="N1234" s="39" t="str">
        <f>VLOOKUP(K1234,[2]stage_hints!$A:$D,4,FALSE)</f>
        <v>他のプレイヤーとマルチプレイで遊ぶと
ポリゴンがもらえます（100人まで）</v>
      </c>
      <c r="O1234" s="20" t="s">
        <v>24</v>
      </c>
      <c r="P1234">
        <v>16</v>
      </c>
    </row>
    <row r="1235" spans="1:16" x14ac:dyDescent="0.15">
      <c r="A1235" s="27" t="str">
        <f t="shared" si="82"/>
        <v>11018_1_13</v>
      </c>
      <c r="B1235" s="25" t="s">
        <v>34</v>
      </c>
      <c r="C1235" s="4">
        <v>11018</v>
      </c>
      <c r="D1235" s="3" t="str">
        <f ca="1">VLOOKUP($C1235,OFFSET([1]quests!$A$1,0,0,COUNTA([1]quests!$A:$A),MATCH(D$1,[1]quests!$1:$1,0)-MATCH($C$1,[1]quests!$1:$1,0)+1),MATCH(D$1,[1]quests!$1:$1,0)-MATCH($C$1,[1]quests!$1:$1,0)+1,FALSE)</f>
        <v>【エナジー1/2】 ゴールドカジノ</v>
      </c>
      <c r="E1235" s="3" t="str">
        <f ca="1">VLOOKUP($C1235,OFFSET([1]quests!$A$1,0,0,COUNTA([1]quests!$A:$A),MATCH(E$1,[1]quests!$1:$1,0)-MATCH($C$1,[1]quests!$1:$1,0)+1),MATCH(E$1,[1]quests!$1:$1,0)-MATCH($C$1,[1]quests!$1:$1,0)+1,FALSE)</f>
        <v>土日クエスト1</v>
      </c>
      <c r="F1235" s="5">
        <v>1</v>
      </c>
      <c r="G1235" s="3" t="str">
        <f ca="1">VLOOKUP($C1235&amp;"_"&amp;$F1235,OFFSET([1]stages!$A$1,0,0,COUNTA([1]stages!$A:$A),MATCH(G$1,[1]stages!$2:$2,0)-MATCH("temp_stage",[1]stages!$2:$2,0)+1),MATCH(G$1,[1]stages!$2:$2,0)-MATCH("temp_stage",[1]stages!$2:$2,0)+1,FALSE)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5" s="3" t="str">
        <f ca="1">VLOOKUP($C1235&amp;"_"&amp;$F1235,OFFSET([1]stages!$A$1,0,0,COUNTA([1]stages!$A:$A),MATCH(H$1,[1]stages!$2:$2,0)-MATCH("temp_stage",[1]stages!$2:$2,0)+1),MATCH(H$1,[1]stages!$2:$2,0)-MATCH("temp_stage",[1]stages!$2:$2,0)+1,FALSE)</f>
        <v>土日クエスト1</v>
      </c>
      <c r="I1235" s="18">
        <v>0</v>
      </c>
      <c r="J1235" s="5">
        <f>COUNTIF(C$1:C1235,C1235)</f>
        <v>13</v>
      </c>
      <c r="K1235" s="34">
        <v>17</v>
      </c>
      <c r="L1235" s="5" t="s">
        <v>17</v>
      </c>
      <c r="M1235" s="38" t="str">
        <f>VLOOKUP(K1235,[2]stage_hints!$A:$C,3,FALSE)</f>
        <v>リンクガチャ</v>
      </c>
      <c r="N1235" s="39" t="str">
        <f>VLOOKUP(K1235,[2]stage_hints!$A:$D,4,FALSE)</f>
        <v>無料のリンクガチャを回して
経験値素材や売却素材を獲得しましょう</v>
      </c>
      <c r="O1235" s="20" t="s">
        <v>24</v>
      </c>
      <c r="P1235">
        <v>17</v>
      </c>
    </row>
    <row r="1236" spans="1:16" x14ac:dyDescent="0.15">
      <c r="A1236" s="27" t="str">
        <f t="shared" si="82"/>
        <v>11018_1_14</v>
      </c>
      <c r="B1236" s="25" t="s">
        <v>34</v>
      </c>
      <c r="C1236" s="4">
        <v>11018</v>
      </c>
      <c r="D1236" s="3" t="str">
        <f ca="1">VLOOKUP($C1236,OFFSET([1]quests!$A$1,0,0,COUNTA([1]quests!$A:$A),MATCH(D$1,[1]quests!$1:$1,0)-MATCH($C$1,[1]quests!$1:$1,0)+1),MATCH(D$1,[1]quests!$1:$1,0)-MATCH($C$1,[1]quests!$1:$1,0)+1,FALSE)</f>
        <v>【エナジー1/2】 ゴールドカジノ</v>
      </c>
      <c r="E1236" s="3" t="str">
        <f ca="1">VLOOKUP($C1236,OFFSET([1]quests!$A$1,0,0,COUNTA([1]quests!$A:$A),MATCH(E$1,[1]quests!$1:$1,0)-MATCH($C$1,[1]quests!$1:$1,0)+1),MATCH(E$1,[1]quests!$1:$1,0)-MATCH($C$1,[1]quests!$1:$1,0)+1,FALSE)</f>
        <v>土日クエスト1</v>
      </c>
      <c r="F1236" s="5">
        <v>1</v>
      </c>
      <c r="G1236" s="3" t="str">
        <f ca="1">VLOOKUP($C1236&amp;"_"&amp;$F1236,OFFSET([1]stages!$A$1,0,0,COUNTA([1]stages!$A:$A),MATCH(G$1,[1]stages!$2:$2,0)-MATCH("temp_stage",[1]stages!$2:$2,0)+1),MATCH(G$1,[1]stages!$2:$2,0)-MATCH("temp_stage",[1]stages!$2:$2,0)+1,FALSE)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6" s="3" t="str">
        <f ca="1">VLOOKUP($C1236&amp;"_"&amp;$F1236,OFFSET([1]stages!$A$1,0,0,COUNTA([1]stages!$A:$A),MATCH(H$1,[1]stages!$2:$2,0)-MATCH("temp_stage",[1]stages!$2:$2,0)+1),MATCH(H$1,[1]stages!$2:$2,0)-MATCH("temp_stage",[1]stages!$2:$2,0)+1,FALSE)</f>
        <v>土日クエスト1</v>
      </c>
      <c r="I1236" s="18">
        <v>0</v>
      </c>
      <c r="J1236" s="5">
        <f>COUNTIF(C$1:C1236,C1236)</f>
        <v>14</v>
      </c>
      <c r="K1236" s="34">
        <v>18</v>
      </c>
      <c r="L1236" s="5" t="s">
        <v>17</v>
      </c>
      <c r="M1236" s="38" t="str">
        <f>VLOOKUP(K1236,[2]stage_hints!$A:$C,3,FALSE)</f>
        <v>マルチプレイのメリット（その2）</v>
      </c>
      <c r="N1236" s="39" t="str">
        <f>VLOOKUP(K1236,[2]stage_hints!$A:$D,4,FALSE)</f>
        <v>マルチプレイならリンクが2倍もらえます
リンクガチャをたくさん回しましょう</v>
      </c>
      <c r="O1236" s="20" t="s">
        <v>24</v>
      </c>
      <c r="P1236">
        <v>18</v>
      </c>
    </row>
    <row r="1237" spans="1:16" x14ac:dyDescent="0.15">
      <c r="A1237" s="27" t="str">
        <f t="shared" si="82"/>
        <v>11018_1_15</v>
      </c>
      <c r="B1237" s="25" t="s">
        <v>34</v>
      </c>
      <c r="C1237" s="4">
        <v>11018</v>
      </c>
      <c r="D1237" s="3" t="str">
        <f ca="1">VLOOKUP($C1237,OFFSET([1]quests!$A$1,0,0,COUNTA([1]quests!$A:$A),MATCH(D$1,[1]quests!$1:$1,0)-MATCH($C$1,[1]quests!$1:$1,0)+1),MATCH(D$1,[1]quests!$1:$1,0)-MATCH($C$1,[1]quests!$1:$1,0)+1,FALSE)</f>
        <v>【エナジー1/2】 ゴールドカジノ</v>
      </c>
      <c r="E1237" s="3" t="str">
        <f ca="1">VLOOKUP($C1237,OFFSET([1]quests!$A$1,0,0,COUNTA([1]quests!$A:$A),MATCH(E$1,[1]quests!$1:$1,0)-MATCH($C$1,[1]quests!$1:$1,0)+1),MATCH(E$1,[1]quests!$1:$1,0)-MATCH($C$1,[1]quests!$1:$1,0)+1,FALSE)</f>
        <v>土日クエスト1</v>
      </c>
      <c r="F1237" s="5">
        <v>1</v>
      </c>
      <c r="G1237" s="3" t="str">
        <f ca="1">VLOOKUP($C1237&amp;"_"&amp;$F1237,OFFSET([1]stages!$A$1,0,0,COUNTA([1]stages!$A:$A),MATCH(G$1,[1]stages!$2:$2,0)-MATCH("temp_stage",[1]stages!$2:$2,0)+1),MATCH(G$1,[1]stages!$2:$2,0)-MATCH("temp_stage",[1]stages!$2:$2,0)+1,FALSE)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7" s="3" t="str">
        <f ca="1">VLOOKUP($C1237&amp;"_"&amp;$F1237,OFFSET([1]stages!$A$1,0,0,COUNTA([1]stages!$A:$A),MATCH(H$1,[1]stages!$2:$2,0)-MATCH("temp_stage",[1]stages!$2:$2,0)+1),MATCH(H$1,[1]stages!$2:$2,0)-MATCH("temp_stage",[1]stages!$2:$2,0)+1,FALSE)</f>
        <v>土日クエスト1</v>
      </c>
      <c r="I1237" s="18">
        <v>0</v>
      </c>
      <c r="J1237" s="5">
        <f>COUNTIF(C$1:C1237,C1237)</f>
        <v>15</v>
      </c>
      <c r="K1237" s="34">
        <v>19</v>
      </c>
      <c r="L1237" s="5" t="s">
        <v>17</v>
      </c>
      <c r="M1237" s="38" t="str">
        <f>VLOOKUP(K1237,[2]stage_hints!$A:$C,3,FALSE)</f>
        <v>ソロ専用チャレンジタワー</v>
      </c>
      <c r="N1237" s="39" t="str">
        <f>VLOOKUP(K1237,[2]stage_hints!$A:$D,4,FALSE)</f>
        <v>ソロ専用の「チャレンジタワー」では
各フロアごとにクリア報酬がもらえます</v>
      </c>
      <c r="O1237" s="20" t="s">
        <v>24</v>
      </c>
      <c r="P1237">
        <v>19</v>
      </c>
    </row>
    <row r="1238" spans="1:16" x14ac:dyDescent="0.15">
      <c r="A1238" s="27" t="str">
        <f t="shared" si="82"/>
        <v>11018_1_16</v>
      </c>
      <c r="B1238" s="25" t="s">
        <v>34</v>
      </c>
      <c r="C1238" s="4">
        <v>11018</v>
      </c>
      <c r="D1238" s="3" t="str">
        <f ca="1">VLOOKUP($C1238,OFFSET([1]quests!$A$1,0,0,COUNTA([1]quests!$A:$A),MATCH(D$1,[1]quests!$1:$1,0)-MATCH($C$1,[1]quests!$1:$1,0)+1),MATCH(D$1,[1]quests!$1:$1,0)-MATCH($C$1,[1]quests!$1:$1,0)+1,FALSE)</f>
        <v>【エナジー1/2】 ゴールドカジノ</v>
      </c>
      <c r="E1238" s="3" t="str">
        <f ca="1">VLOOKUP($C1238,OFFSET([1]quests!$A$1,0,0,COUNTA([1]quests!$A:$A),MATCH(E$1,[1]quests!$1:$1,0)-MATCH($C$1,[1]quests!$1:$1,0)+1),MATCH(E$1,[1]quests!$1:$1,0)-MATCH($C$1,[1]quests!$1:$1,0)+1,FALSE)</f>
        <v>土日クエスト1</v>
      </c>
      <c r="F1238" s="5">
        <v>1</v>
      </c>
      <c r="G1238" s="3" t="str">
        <f ca="1">VLOOKUP($C1238&amp;"_"&amp;$F1238,OFFSET([1]stages!$A$1,0,0,COUNTA([1]stages!$A:$A),MATCH(G$1,[1]stages!$2:$2,0)-MATCH("temp_stage",[1]stages!$2:$2,0)+1),MATCH(G$1,[1]stages!$2:$2,0)-MATCH("temp_stage",[1]stages!$2:$2,0)+1,FALSE)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8" s="3" t="str">
        <f ca="1">VLOOKUP($C1238&amp;"_"&amp;$F1238,OFFSET([1]stages!$A$1,0,0,COUNTA([1]stages!$A:$A),MATCH(H$1,[1]stages!$2:$2,0)-MATCH("temp_stage",[1]stages!$2:$2,0)+1),MATCH(H$1,[1]stages!$2:$2,0)-MATCH("temp_stage",[1]stages!$2:$2,0)+1,FALSE)</f>
        <v>土日クエスト1</v>
      </c>
      <c r="I1238" s="18">
        <v>0</v>
      </c>
      <c r="J1238" s="5">
        <f>COUNTIF(C$1:C1238,C1238)</f>
        <v>16</v>
      </c>
      <c r="K1238" s="34">
        <v>20</v>
      </c>
      <c r="L1238" s="5" t="s">
        <v>17</v>
      </c>
      <c r="M1238" s="38" t="str">
        <f>VLOOKUP(K1238,[2]stage_hints!$A:$C,3,FALSE)</f>
        <v>マルチプレイのメリット（その3）</v>
      </c>
      <c r="N1238" s="39" t="str">
        <f>VLOOKUP(K1238,[2]stage_hints!$A:$D,4,FALSE)</f>
        <v>マルチプレイへの参加はエナジー消費ゼロ
いつでも好きなだけ遊ぶことができます</v>
      </c>
      <c r="O1238" s="20" t="s">
        <v>24</v>
      </c>
      <c r="P1238">
        <v>20</v>
      </c>
    </row>
    <row r="1239" spans="1:16" x14ac:dyDescent="0.15">
      <c r="A1239" s="27" t="str">
        <f t="shared" si="82"/>
        <v>11018_1_17</v>
      </c>
      <c r="B1239" s="25" t="s">
        <v>34</v>
      </c>
      <c r="C1239" s="4">
        <v>11018</v>
      </c>
      <c r="D1239" s="3" t="str">
        <f ca="1">VLOOKUP($C1239,OFFSET([1]quests!$A$1,0,0,COUNTA([1]quests!$A:$A),MATCH(D$1,[1]quests!$1:$1,0)-MATCH($C$1,[1]quests!$1:$1,0)+1),MATCH(D$1,[1]quests!$1:$1,0)-MATCH($C$1,[1]quests!$1:$1,0)+1,FALSE)</f>
        <v>【エナジー1/2】 ゴールドカジノ</v>
      </c>
      <c r="E1239" s="3" t="str">
        <f ca="1">VLOOKUP($C1239,OFFSET([1]quests!$A$1,0,0,COUNTA([1]quests!$A:$A),MATCH(E$1,[1]quests!$1:$1,0)-MATCH($C$1,[1]quests!$1:$1,0)+1),MATCH(E$1,[1]quests!$1:$1,0)-MATCH($C$1,[1]quests!$1:$1,0)+1,FALSE)</f>
        <v>土日クエスト1</v>
      </c>
      <c r="F1239" s="5">
        <v>1</v>
      </c>
      <c r="G1239" s="3" t="str">
        <f ca="1">VLOOKUP($C1239&amp;"_"&amp;$F1239,OFFSET([1]stages!$A$1,0,0,COUNTA([1]stages!$A:$A),MATCH(G$1,[1]stages!$2:$2,0)-MATCH("temp_stage",[1]stages!$2:$2,0)+1),MATCH(G$1,[1]stages!$2:$2,0)-MATCH("temp_stage",[1]stages!$2:$2,0)+1,FALSE)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39" s="3" t="str">
        <f ca="1">VLOOKUP($C1239&amp;"_"&amp;$F1239,OFFSET([1]stages!$A$1,0,0,COUNTA([1]stages!$A:$A),MATCH(H$1,[1]stages!$2:$2,0)-MATCH("temp_stage",[1]stages!$2:$2,0)+1),MATCH(H$1,[1]stages!$2:$2,0)-MATCH("temp_stage",[1]stages!$2:$2,0)+1,FALSE)</f>
        <v>土日クエスト1</v>
      </c>
      <c r="I1239" s="18">
        <v>0</v>
      </c>
      <c r="J1239" s="5">
        <f>COUNTIF(C$1:C1239,C1239)</f>
        <v>17</v>
      </c>
      <c r="K1239" s="34">
        <v>21</v>
      </c>
      <c r="L1239" s="5" t="s">
        <v>17</v>
      </c>
      <c r="M1239" s="38" t="str">
        <f>VLOOKUP(K1239,[2]stage_hints!$A:$C,3,FALSE)</f>
        <v>スキルを有効に</v>
      </c>
      <c r="N1239" s="39" t="str">
        <f>VLOOKUP(K1239,[2]stage_hints!$A:$D,4,FALSE)</f>
        <v>ターン経過でユニットのスキルが使えます
強力スキルでバトルを有利に進めましょう</v>
      </c>
      <c r="O1239" s="20" t="s">
        <v>24</v>
      </c>
      <c r="P1239">
        <v>21</v>
      </c>
    </row>
    <row r="1240" spans="1:16" x14ac:dyDescent="0.15">
      <c r="A1240" s="27" t="str">
        <f t="shared" si="82"/>
        <v>11018_1_18</v>
      </c>
      <c r="B1240" s="25" t="s">
        <v>34</v>
      </c>
      <c r="C1240" s="4">
        <v>11018</v>
      </c>
      <c r="D1240" s="3" t="str">
        <f ca="1">VLOOKUP($C1240,OFFSET([1]quests!$A$1,0,0,COUNTA([1]quests!$A:$A),MATCH(D$1,[1]quests!$1:$1,0)-MATCH($C$1,[1]quests!$1:$1,0)+1),MATCH(D$1,[1]quests!$1:$1,0)-MATCH($C$1,[1]quests!$1:$1,0)+1,FALSE)</f>
        <v>【エナジー1/2】 ゴールドカジノ</v>
      </c>
      <c r="E1240" s="3" t="str">
        <f ca="1">VLOOKUP($C1240,OFFSET([1]quests!$A$1,0,0,COUNTA([1]quests!$A:$A),MATCH(E$1,[1]quests!$1:$1,0)-MATCH($C$1,[1]quests!$1:$1,0)+1),MATCH(E$1,[1]quests!$1:$1,0)-MATCH($C$1,[1]quests!$1:$1,0)+1,FALSE)</f>
        <v>土日クエスト1</v>
      </c>
      <c r="F1240" s="5">
        <v>1</v>
      </c>
      <c r="G1240" s="3" t="str">
        <f ca="1">VLOOKUP($C1240&amp;"_"&amp;$F1240,OFFSET([1]stages!$A$1,0,0,COUNTA([1]stages!$A:$A),MATCH(G$1,[1]stages!$2:$2,0)-MATCH("temp_stage",[1]stages!$2:$2,0)+1),MATCH(G$1,[1]stages!$2:$2,0)-MATCH("temp_stage",[1]stages!$2:$2,0)+1,FALSE)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0" s="3" t="str">
        <f ca="1">VLOOKUP($C1240&amp;"_"&amp;$F1240,OFFSET([1]stages!$A$1,0,0,COUNTA([1]stages!$A:$A),MATCH(H$1,[1]stages!$2:$2,0)-MATCH("temp_stage",[1]stages!$2:$2,0)+1),MATCH(H$1,[1]stages!$2:$2,0)-MATCH("temp_stage",[1]stages!$2:$2,0)+1,FALSE)</f>
        <v>土日クエスト1</v>
      </c>
      <c r="I1240" s="18">
        <v>0</v>
      </c>
      <c r="J1240" s="5">
        <f>COUNTIF(C$1:C1240,C1240)</f>
        <v>18</v>
      </c>
      <c r="K1240" s="34">
        <v>22</v>
      </c>
      <c r="L1240" s="5" t="s">
        <v>17</v>
      </c>
      <c r="M1240" s="38" t="str">
        <f>VLOOKUP(K1240,[2]stage_hints!$A:$C,3,FALSE)</f>
        <v>フィーバーで一発逆転（その1）</v>
      </c>
      <c r="N1240" s="39" t="str">
        <f>VLOOKUP(K1240,[2]stage_hints!$A:$D,4,FALSE)</f>
        <v>フィーバーは攻撃と回復を兼ね備えます
ピンチからの一発逆転を狙いましょう</v>
      </c>
      <c r="O1240" s="20" t="s">
        <v>24</v>
      </c>
      <c r="P1240">
        <v>22</v>
      </c>
    </row>
    <row r="1241" spans="1:16" x14ac:dyDescent="0.15">
      <c r="A1241" s="27" t="str">
        <f t="shared" si="82"/>
        <v>11018_1_19</v>
      </c>
      <c r="B1241" s="25" t="s">
        <v>34</v>
      </c>
      <c r="C1241" s="4">
        <v>11018</v>
      </c>
      <c r="D1241" s="3" t="str">
        <f ca="1">VLOOKUP($C1241,OFFSET([1]quests!$A$1,0,0,COUNTA([1]quests!$A:$A),MATCH(D$1,[1]quests!$1:$1,0)-MATCH($C$1,[1]quests!$1:$1,0)+1),MATCH(D$1,[1]quests!$1:$1,0)-MATCH($C$1,[1]quests!$1:$1,0)+1,FALSE)</f>
        <v>【エナジー1/2】 ゴールドカジノ</v>
      </c>
      <c r="E1241" s="3" t="str">
        <f ca="1">VLOOKUP($C1241,OFFSET([1]quests!$A$1,0,0,COUNTA([1]quests!$A:$A),MATCH(E$1,[1]quests!$1:$1,0)-MATCH($C$1,[1]quests!$1:$1,0)+1),MATCH(E$1,[1]quests!$1:$1,0)-MATCH($C$1,[1]quests!$1:$1,0)+1,FALSE)</f>
        <v>土日クエスト1</v>
      </c>
      <c r="F1241" s="5">
        <v>1</v>
      </c>
      <c r="G1241" s="3" t="str">
        <f ca="1">VLOOKUP($C1241&amp;"_"&amp;$F1241,OFFSET([1]stages!$A$1,0,0,COUNTA([1]stages!$A:$A),MATCH(G$1,[1]stages!$2:$2,0)-MATCH("temp_stage",[1]stages!$2:$2,0)+1),MATCH(G$1,[1]stages!$2:$2,0)-MATCH("temp_stage",[1]stages!$2:$2,0)+1,FALSE)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1" s="3" t="str">
        <f ca="1">VLOOKUP($C1241&amp;"_"&amp;$F1241,OFFSET([1]stages!$A$1,0,0,COUNTA([1]stages!$A:$A),MATCH(H$1,[1]stages!$2:$2,0)-MATCH("temp_stage",[1]stages!$2:$2,0)+1),MATCH(H$1,[1]stages!$2:$2,0)-MATCH("temp_stage",[1]stages!$2:$2,0)+1,FALSE)</f>
        <v>土日クエスト1</v>
      </c>
      <c r="I1241" s="18">
        <v>0</v>
      </c>
      <c r="J1241" s="5">
        <f>COUNTIF(C$1:C1241,C1241)</f>
        <v>19</v>
      </c>
      <c r="K1241" s="34">
        <v>23</v>
      </c>
      <c r="L1241" s="5" t="s">
        <v>17</v>
      </c>
      <c r="M1241" s="38" t="str">
        <f>VLOOKUP(K1241,[2]stage_hints!$A:$C,3,FALSE)</f>
        <v>フィーバーで一発逆転（その2）</v>
      </c>
      <c r="N1241" s="39" t="str">
        <f>VLOOKUP(K1241,[2]stage_hints!$A:$D,4,FALSE)</f>
        <v>フィーバー中は虹色のボムパネルを狙って
画面上のパネルを一気に破壊しましょう</v>
      </c>
      <c r="O1241" s="20" t="s">
        <v>24</v>
      </c>
      <c r="P1241">
        <v>23</v>
      </c>
    </row>
    <row r="1242" spans="1:16" x14ac:dyDescent="0.15">
      <c r="A1242" s="27" t="str">
        <f t="shared" si="82"/>
        <v>11018_1_20</v>
      </c>
      <c r="B1242" s="25" t="s">
        <v>34</v>
      </c>
      <c r="C1242" s="4">
        <v>11018</v>
      </c>
      <c r="D1242" s="3" t="str">
        <f ca="1">VLOOKUP($C1242,OFFSET([1]quests!$A$1,0,0,COUNTA([1]quests!$A:$A),MATCH(D$1,[1]quests!$1:$1,0)-MATCH($C$1,[1]quests!$1:$1,0)+1),MATCH(D$1,[1]quests!$1:$1,0)-MATCH($C$1,[1]quests!$1:$1,0)+1,FALSE)</f>
        <v>【エナジー1/2】 ゴールドカジノ</v>
      </c>
      <c r="E1242" s="3" t="str">
        <f ca="1">VLOOKUP($C1242,OFFSET([1]quests!$A$1,0,0,COUNTA([1]quests!$A:$A),MATCH(E$1,[1]quests!$1:$1,0)-MATCH($C$1,[1]quests!$1:$1,0)+1),MATCH(E$1,[1]quests!$1:$1,0)-MATCH($C$1,[1]quests!$1:$1,0)+1,FALSE)</f>
        <v>土日クエスト1</v>
      </c>
      <c r="F1242" s="5">
        <v>1</v>
      </c>
      <c r="G1242" s="3" t="str">
        <f ca="1">VLOOKUP($C1242&amp;"_"&amp;$F1242,OFFSET([1]stages!$A$1,0,0,COUNTA([1]stages!$A:$A),MATCH(G$1,[1]stages!$2:$2,0)-MATCH("temp_stage",[1]stages!$2:$2,0)+1),MATCH(G$1,[1]stages!$2:$2,0)-MATCH("temp_stage",[1]stages!$2:$2,0)+1,FALSE)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2" s="3" t="str">
        <f ca="1">VLOOKUP($C1242&amp;"_"&amp;$F1242,OFFSET([1]stages!$A$1,0,0,COUNTA([1]stages!$A:$A),MATCH(H$1,[1]stages!$2:$2,0)-MATCH("temp_stage",[1]stages!$2:$2,0)+1),MATCH(H$1,[1]stages!$2:$2,0)-MATCH("temp_stage",[1]stages!$2:$2,0)+1,FALSE)</f>
        <v>土日クエスト1</v>
      </c>
      <c r="I1242" s="18">
        <v>0</v>
      </c>
      <c r="J1242" s="5">
        <f>COUNTIF(C$1:C1242,C1242)</f>
        <v>20</v>
      </c>
      <c r="K1242" s="34">
        <v>24</v>
      </c>
      <c r="L1242" s="5" t="s">
        <v>17</v>
      </c>
      <c r="M1242" s="38" t="str">
        <f>VLOOKUP(K1242,[2]stage_hints!$A:$C,3,FALSE)</f>
        <v>りんごを使って限界突破</v>
      </c>
      <c r="N1242" s="39" t="str">
        <f>VLOOKUP(K1242,[2]stage_hints!$A:$D,4,FALSE)</f>
        <v>赤りんご(攻撃力) 青りんご(回復力)
緑りんご(体力)をユニット強化に使うと
ステータスが限界突破します（計99個迄）</v>
      </c>
      <c r="O1242" s="20" t="s">
        <v>24</v>
      </c>
      <c r="P1242">
        <v>24</v>
      </c>
    </row>
    <row r="1243" spans="1:16" x14ac:dyDescent="0.15">
      <c r="A1243" s="27" t="str">
        <f t="shared" si="82"/>
        <v>11018_1_21</v>
      </c>
      <c r="B1243" s="25" t="s">
        <v>34</v>
      </c>
      <c r="C1243" s="4">
        <v>11018</v>
      </c>
      <c r="D1243" s="3" t="str">
        <f ca="1">VLOOKUP($C1243,OFFSET([1]quests!$A$1,0,0,COUNTA([1]quests!$A:$A),MATCH(D$1,[1]quests!$1:$1,0)-MATCH($C$1,[1]quests!$1:$1,0)+1),MATCH(D$1,[1]quests!$1:$1,0)-MATCH($C$1,[1]quests!$1:$1,0)+1,FALSE)</f>
        <v>【エナジー1/2】 ゴールドカジノ</v>
      </c>
      <c r="E1243" s="3" t="str">
        <f ca="1">VLOOKUP($C1243,OFFSET([1]quests!$A$1,0,0,COUNTA([1]quests!$A:$A),MATCH(E$1,[1]quests!$1:$1,0)-MATCH($C$1,[1]quests!$1:$1,0)+1),MATCH(E$1,[1]quests!$1:$1,0)-MATCH($C$1,[1]quests!$1:$1,0)+1,FALSE)</f>
        <v>土日クエスト1</v>
      </c>
      <c r="F1243" s="5">
        <v>1</v>
      </c>
      <c r="G1243" s="3" t="str">
        <f ca="1">VLOOKUP($C1243&amp;"_"&amp;$F1243,OFFSET([1]stages!$A$1,0,0,COUNTA([1]stages!$A:$A),MATCH(G$1,[1]stages!$2:$2,0)-MATCH("temp_stage",[1]stages!$2:$2,0)+1),MATCH(G$1,[1]stages!$2:$2,0)-MATCH("temp_stage",[1]stages!$2:$2,0)+1,FALSE)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3" s="3" t="str">
        <f ca="1">VLOOKUP($C1243&amp;"_"&amp;$F1243,OFFSET([1]stages!$A$1,0,0,COUNTA([1]stages!$A:$A),MATCH(H$1,[1]stages!$2:$2,0)-MATCH("temp_stage",[1]stages!$2:$2,0)+1),MATCH(H$1,[1]stages!$2:$2,0)-MATCH("temp_stage",[1]stages!$2:$2,0)+1,FALSE)</f>
        <v>土日クエスト1</v>
      </c>
      <c r="I1243" s="18">
        <v>0</v>
      </c>
      <c r="J1243" s="5">
        <f>COUNTIF(C$1:C1243,C1243)</f>
        <v>21</v>
      </c>
      <c r="K1243" s="34">
        <v>25</v>
      </c>
      <c r="L1243" s="5" t="s">
        <v>17</v>
      </c>
      <c r="M1243" s="38" t="str">
        <f>VLOOKUP(K1243,[2]stage_hints!$A:$C,3,FALSE)</f>
        <v>スキルレベルアップ</v>
      </c>
      <c r="N1243" s="39" t="str">
        <f>VLOOKUP(K1243,[2]stage_hints!$A:$D,4,FALSE)</f>
        <v>「クリスタルのりんご」を強化に使うと
スキルレベルを上げることができます</v>
      </c>
      <c r="O1243" s="20" t="s">
        <v>24</v>
      </c>
      <c r="P1243">
        <v>25</v>
      </c>
    </row>
    <row r="1244" spans="1:16" x14ac:dyDescent="0.15">
      <c r="A1244" s="27" t="str">
        <f t="shared" si="82"/>
        <v>11018_1_22</v>
      </c>
      <c r="B1244" s="25" t="s">
        <v>34</v>
      </c>
      <c r="C1244" s="4">
        <v>11018</v>
      </c>
      <c r="D1244" s="3" t="str">
        <f ca="1">VLOOKUP($C1244,OFFSET([1]quests!$A$1,0,0,COUNTA([1]quests!$A:$A),MATCH(D$1,[1]quests!$1:$1,0)-MATCH($C$1,[1]quests!$1:$1,0)+1),MATCH(D$1,[1]quests!$1:$1,0)-MATCH($C$1,[1]quests!$1:$1,0)+1,FALSE)</f>
        <v>【エナジー1/2】 ゴールドカジノ</v>
      </c>
      <c r="E1244" s="3" t="str">
        <f ca="1">VLOOKUP($C1244,OFFSET([1]quests!$A$1,0,0,COUNTA([1]quests!$A:$A),MATCH(E$1,[1]quests!$1:$1,0)-MATCH($C$1,[1]quests!$1:$1,0)+1),MATCH(E$1,[1]quests!$1:$1,0)-MATCH($C$1,[1]quests!$1:$1,0)+1,FALSE)</f>
        <v>土日クエスト1</v>
      </c>
      <c r="F1244" s="5">
        <v>1</v>
      </c>
      <c r="G1244" s="3" t="str">
        <f ca="1">VLOOKUP($C1244&amp;"_"&amp;$F1244,OFFSET([1]stages!$A$1,0,0,COUNTA([1]stages!$A:$A),MATCH(G$1,[1]stages!$2:$2,0)-MATCH("temp_stage",[1]stages!$2:$2,0)+1),MATCH(G$1,[1]stages!$2:$2,0)-MATCH("temp_stage",[1]stages!$2:$2,0)+1,FALSE)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4" s="3" t="str">
        <f ca="1">VLOOKUP($C1244&amp;"_"&amp;$F1244,OFFSET([1]stages!$A$1,0,0,COUNTA([1]stages!$A:$A),MATCH(H$1,[1]stages!$2:$2,0)-MATCH("temp_stage",[1]stages!$2:$2,0)+1),MATCH(H$1,[1]stages!$2:$2,0)-MATCH("temp_stage",[1]stages!$2:$2,0)+1,FALSE)</f>
        <v>土日クエスト1</v>
      </c>
      <c r="I1244" s="18">
        <v>0</v>
      </c>
      <c r="J1244" s="5">
        <f>COUNTIF(C$1:C1244,C1244)</f>
        <v>22</v>
      </c>
      <c r="K1244" s="34">
        <v>26</v>
      </c>
      <c r="L1244" s="5" t="s">
        <v>17</v>
      </c>
      <c r="M1244" s="38" t="str">
        <f>VLOOKUP(K1244,[2]stage_hints!$A:$C,3,FALSE)</f>
        <v>スキルレベルの効果</v>
      </c>
      <c r="N1244" s="39" t="str">
        <f>VLOOKUP(K1244,[2]stage_hints!$A:$D,4,FALSE)</f>
        <v>スキルレベルが上がると
短いターンでスキルを使うことができます</v>
      </c>
      <c r="O1244" s="20" t="s">
        <v>24</v>
      </c>
      <c r="P1244">
        <v>26</v>
      </c>
    </row>
    <row r="1245" spans="1:16" x14ac:dyDescent="0.15">
      <c r="A1245" s="27" t="str">
        <f t="shared" si="82"/>
        <v>11018_1_23</v>
      </c>
      <c r="B1245" s="25" t="s">
        <v>34</v>
      </c>
      <c r="C1245" s="4">
        <v>11018</v>
      </c>
      <c r="D1245" s="3" t="str">
        <f ca="1">VLOOKUP($C1245,OFFSET([1]quests!$A$1,0,0,COUNTA([1]quests!$A:$A),MATCH(D$1,[1]quests!$1:$1,0)-MATCH($C$1,[1]quests!$1:$1,0)+1),MATCH(D$1,[1]quests!$1:$1,0)-MATCH($C$1,[1]quests!$1:$1,0)+1,FALSE)</f>
        <v>【エナジー1/2】 ゴールドカジノ</v>
      </c>
      <c r="E1245" s="3" t="str">
        <f ca="1">VLOOKUP($C1245,OFFSET([1]quests!$A$1,0,0,COUNTA([1]quests!$A:$A),MATCH(E$1,[1]quests!$1:$1,0)-MATCH($C$1,[1]quests!$1:$1,0)+1),MATCH(E$1,[1]quests!$1:$1,0)-MATCH($C$1,[1]quests!$1:$1,0)+1,FALSE)</f>
        <v>土日クエスト1</v>
      </c>
      <c r="F1245" s="5">
        <v>1</v>
      </c>
      <c r="G1245" s="3" t="str">
        <f ca="1">VLOOKUP($C1245&amp;"_"&amp;$F1245,OFFSET([1]stages!$A$1,0,0,COUNTA([1]stages!$A:$A),MATCH(G$1,[1]stages!$2:$2,0)-MATCH("temp_stage",[1]stages!$2:$2,0)+1),MATCH(G$1,[1]stages!$2:$2,0)-MATCH("temp_stage",[1]stages!$2:$2,0)+1,FALSE)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5" s="3" t="str">
        <f ca="1">VLOOKUP($C1245&amp;"_"&amp;$F1245,OFFSET([1]stages!$A$1,0,0,COUNTA([1]stages!$A:$A),MATCH(H$1,[1]stages!$2:$2,0)-MATCH("temp_stage",[1]stages!$2:$2,0)+1),MATCH(H$1,[1]stages!$2:$2,0)-MATCH("temp_stage",[1]stages!$2:$2,0)+1,FALSE)</f>
        <v>土日クエスト1</v>
      </c>
      <c r="I1245" s="18">
        <v>0</v>
      </c>
      <c r="J1245" s="5">
        <f>COUNTIF(C$1:C1245,C1245)</f>
        <v>23</v>
      </c>
      <c r="K1245" s="34">
        <v>27</v>
      </c>
      <c r="L1245" s="5" t="s">
        <v>17</v>
      </c>
      <c r="M1245" s="38" t="str">
        <f>VLOOKUP(K1245,[2]stage_hints!$A:$C,3,FALSE)</f>
        <v>ホーム画面からデッキを編成</v>
      </c>
      <c r="N1245" s="39" t="str">
        <f>VLOOKUP(K1245,[2]stage_hints!$A:$D,4,FALSE)</f>
        <v>ホーム画面でユニットを長押しすると
すぐにパーティ編成に移動できます</v>
      </c>
      <c r="O1245" s="20" t="s">
        <v>24</v>
      </c>
      <c r="P1245">
        <v>27</v>
      </c>
    </row>
    <row r="1246" spans="1:16" x14ac:dyDescent="0.15">
      <c r="A1246" s="27" t="str">
        <f t="shared" si="82"/>
        <v>11018_1_24</v>
      </c>
      <c r="B1246" s="25" t="s">
        <v>34</v>
      </c>
      <c r="C1246" s="4">
        <v>11018</v>
      </c>
      <c r="D1246" s="3" t="str">
        <f ca="1">VLOOKUP($C1246,OFFSET([1]quests!$A$1,0,0,COUNTA([1]quests!$A:$A),MATCH(D$1,[1]quests!$1:$1,0)-MATCH($C$1,[1]quests!$1:$1,0)+1),MATCH(D$1,[1]quests!$1:$1,0)-MATCH($C$1,[1]quests!$1:$1,0)+1,FALSE)</f>
        <v>【エナジー1/2】 ゴールドカジノ</v>
      </c>
      <c r="E1246" s="3" t="str">
        <f ca="1">VLOOKUP($C1246,OFFSET([1]quests!$A$1,0,0,COUNTA([1]quests!$A:$A),MATCH(E$1,[1]quests!$1:$1,0)-MATCH($C$1,[1]quests!$1:$1,0)+1),MATCH(E$1,[1]quests!$1:$1,0)-MATCH($C$1,[1]quests!$1:$1,0)+1,FALSE)</f>
        <v>土日クエスト1</v>
      </c>
      <c r="F1246" s="5">
        <v>1</v>
      </c>
      <c r="G1246" s="3" t="str">
        <f ca="1">VLOOKUP($C1246&amp;"_"&amp;$F1246,OFFSET([1]stages!$A$1,0,0,COUNTA([1]stages!$A:$A),MATCH(G$1,[1]stages!$2:$2,0)-MATCH("temp_stage",[1]stages!$2:$2,0)+1),MATCH(G$1,[1]stages!$2:$2,0)-MATCH("temp_stage",[1]stages!$2:$2,0)+1,FALSE)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6" s="3" t="str">
        <f ca="1">VLOOKUP($C1246&amp;"_"&amp;$F1246,OFFSET([1]stages!$A$1,0,0,COUNTA([1]stages!$A:$A),MATCH(H$1,[1]stages!$2:$2,0)-MATCH("temp_stage",[1]stages!$2:$2,0)+1),MATCH(H$1,[1]stages!$2:$2,0)-MATCH("temp_stage",[1]stages!$2:$2,0)+1,FALSE)</f>
        <v>土日クエスト1</v>
      </c>
      <c r="I1246" s="18">
        <v>0</v>
      </c>
      <c r="J1246" s="5">
        <f>COUNTIF(C$1:C1246,C1246)</f>
        <v>24</v>
      </c>
      <c r="K1246" s="34">
        <v>28</v>
      </c>
      <c r="L1246" s="5" t="s">
        <v>17</v>
      </c>
      <c r="M1246" s="38" t="str">
        <f>VLOOKUP(K1246,[2]stage_hints!$A:$C,3,FALSE)</f>
        <v>ステータス情報は長押しで</v>
      </c>
      <c r="N1246" s="39" t="str">
        <f>VLOOKUP(K1246,[2]stage_hints!$A:$D,4,FALSE)</f>
        <v>ユニットのアイコンを長押しすると
ステータス情報を確認することができます</v>
      </c>
      <c r="O1246" s="20" t="s">
        <v>24</v>
      </c>
      <c r="P1246">
        <v>28</v>
      </c>
    </row>
    <row r="1247" spans="1:16" x14ac:dyDescent="0.15">
      <c r="A1247" s="27" t="str">
        <f t="shared" si="82"/>
        <v>11018_1_25</v>
      </c>
      <c r="B1247" s="25" t="s">
        <v>34</v>
      </c>
      <c r="C1247" s="4">
        <v>11018</v>
      </c>
      <c r="D1247" s="3" t="str">
        <f ca="1">VLOOKUP($C1247,OFFSET([1]quests!$A$1,0,0,COUNTA([1]quests!$A:$A),MATCH(D$1,[1]quests!$1:$1,0)-MATCH($C$1,[1]quests!$1:$1,0)+1),MATCH(D$1,[1]quests!$1:$1,0)-MATCH($C$1,[1]quests!$1:$1,0)+1,FALSE)</f>
        <v>【エナジー1/2】 ゴールドカジノ</v>
      </c>
      <c r="E1247" s="3" t="str">
        <f ca="1">VLOOKUP($C1247,OFFSET([1]quests!$A$1,0,0,COUNTA([1]quests!$A:$A),MATCH(E$1,[1]quests!$1:$1,0)-MATCH($C$1,[1]quests!$1:$1,0)+1),MATCH(E$1,[1]quests!$1:$1,0)-MATCH($C$1,[1]quests!$1:$1,0)+1,FALSE)</f>
        <v>土日クエスト1</v>
      </c>
      <c r="F1247" s="5">
        <v>1</v>
      </c>
      <c r="G1247" s="3" t="str">
        <f ca="1">VLOOKUP($C1247&amp;"_"&amp;$F1247,OFFSET([1]stages!$A$1,0,0,COUNTA([1]stages!$A:$A),MATCH(G$1,[1]stages!$2:$2,0)-MATCH("temp_stage",[1]stages!$2:$2,0)+1),MATCH(G$1,[1]stages!$2:$2,0)-MATCH("temp_stage",[1]stages!$2:$2,0)+1,FALSE)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7" s="3" t="str">
        <f ca="1">VLOOKUP($C1247&amp;"_"&amp;$F1247,OFFSET([1]stages!$A$1,0,0,COUNTA([1]stages!$A:$A),MATCH(H$1,[1]stages!$2:$2,0)-MATCH("temp_stage",[1]stages!$2:$2,0)+1),MATCH(H$1,[1]stages!$2:$2,0)-MATCH("temp_stage",[1]stages!$2:$2,0)+1,FALSE)</f>
        <v>土日クエスト1</v>
      </c>
      <c r="I1247" s="18">
        <v>0</v>
      </c>
      <c r="J1247" s="5">
        <f>COUNTIF(C$1:C1247,C1247)</f>
        <v>25</v>
      </c>
      <c r="K1247" s="34">
        <v>29</v>
      </c>
      <c r="L1247" s="5" t="s">
        <v>17</v>
      </c>
      <c r="M1247" s="38" t="str">
        <f>VLOOKUP(K1247,[2]stage_hints!$A:$C,3,FALSE)</f>
        <v>「バグ」のメリット</v>
      </c>
      <c r="N1247" s="39" t="str">
        <f>VLOOKUP(K1247,[2]stage_hints!$A:$D,4,FALSE)</f>
        <v>ユニットの「バグ」を増やすと
報酬をもらえる確率がアップします</v>
      </c>
      <c r="O1247" s="20" t="s">
        <v>24</v>
      </c>
      <c r="P1247">
        <v>29</v>
      </c>
    </row>
    <row r="1248" spans="1:16" x14ac:dyDescent="0.15">
      <c r="A1248" s="27" t="str">
        <f t="shared" si="82"/>
        <v>11018_1_26</v>
      </c>
      <c r="B1248" s="25" t="s">
        <v>34</v>
      </c>
      <c r="C1248" s="4">
        <v>11018</v>
      </c>
      <c r="D1248" s="3" t="str">
        <f ca="1">VLOOKUP($C1248,OFFSET([1]quests!$A$1,0,0,COUNTA([1]quests!$A:$A),MATCH(D$1,[1]quests!$1:$1,0)-MATCH($C$1,[1]quests!$1:$1,0)+1),MATCH(D$1,[1]quests!$1:$1,0)-MATCH($C$1,[1]quests!$1:$1,0)+1,FALSE)</f>
        <v>【エナジー1/2】 ゴールドカジノ</v>
      </c>
      <c r="E1248" s="3" t="str">
        <f ca="1">VLOOKUP($C1248,OFFSET([1]quests!$A$1,0,0,COUNTA([1]quests!$A:$A),MATCH(E$1,[1]quests!$1:$1,0)-MATCH($C$1,[1]quests!$1:$1,0)+1),MATCH(E$1,[1]quests!$1:$1,0)-MATCH($C$1,[1]quests!$1:$1,0)+1,FALSE)</f>
        <v>土日クエスト1</v>
      </c>
      <c r="F1248" s="5">
        <v>1</v>
      </c>
      <c r="G1248" s="3" t="str">
        <f ca="1">VLOOKUP($C1248&amp;"_"&amp;$F1248,OFFSET([1]stages!$A$1,0,0,COUNTA([1]stages!$A:$A),MATCH(G$1,[1]stages!$2:$2,0)-MATCH("temp_stage",[1]stages!$2:$2,0)+1),MATCH(G$1,[1]stages!$2:$2,0)-MATCH("temp_stage",[1]stages!$2:$2,0)+1,FALSE)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8" s="3" t="str">
        <f ca="1">VLOOKUP($C1248&amp;"_"&amp;$F1248,OFFSET([1]stages!$A$1,0,0,COUNTA([1]stages!$A:$A),MATCH(H$1,[1]stages!$2:$2,0)-MATCH("temp_stage",[1]stages!$2:$2,0)+1),MATCH(H$1,[1]stages!$2:$2,0)-MATCH("temp_stage",[1]stages!$2:$2,0)+1,FALSE)</f>
        <v>土日クエスト1</v>
      </c>
      <c r="I1248" s="18">
        <v>0</v>
      </c>
      <c r="J1248" s="5">
        <f>COUNTIF(C$1:C1248,C1248)</f>
        <v>26</v>
      </c>
      <c r="K1248" s="34">
        <v>30</v>
      </c>
      <c r="L1248" s="5" t="s">
        <v>17</v>
      </c>
      <c r="M1248" s="38" t="str">
        <f>VLOOKUP(K1248,[2]stage_hints!$A:$C,3,FALSE)</f>
        <v>「バグ」の増やし方</v>
      </c>
      <c r="N1248" s="39" t="str">
        <f>VLOOKUP(K1248,[2]stage_hints!$A:$D,4,FALSE)</f>
        <v>同じユニット同士を強化で合成すると
「バグ」を増やすことができます</v>
      </c>
      <c r="O1248" s="20" t="s">
        <v>24</v>
      </c>
      <c r="P1248">
        <v>30</v>
      </c>
    </row>
    <row r="1249" spans="1:16" x14ac:dyDescent="0.15">
      <c r="A1249" s="27" t="str">
        <f t="shared" si="82"/>
        <v>11018_1_27</v>
      </c>
      <c r="B1249" s="25" t="s">
        <v>34</v>
      </c>
      <c r="C1249" s="4">
        <v>11018</v>
      </c>
      <c r="D1249" s="3" t="str">
        <f ca="1">VLOOKUP($C1249,OFFSET([1]quests!$A$1,0,0,COUNTA([1]quests!$A:$A),MATCH(D$1,[1]quests!$1:$1,0)-MATCH($C$1,[1]quests!$1:$1,0)+1),MATCH(D$1,[1]quests!$1:$1,0)-MATCH($C$1,[1]quests!$1:$1,0)+1,FALSE)</f>
        <v>【エナジー1/2】 ゴールドカジノ</v>
      </c>
      <c r="E1249" s="3" t="str">
        <f ca="1">VLOOKUP($C1249,OFFSET([1]quests!$A$1,0,0,COUNTA([1]quests!$A:$A),MATCH(E$1,[1]quests!$1:$1,0)-MATCH($C$1,[1]quests!$1:$1,0)+1),MATCH(E$1,[1]quests!$1:$1,0)-MATCH($C$1,[1]quests!$1:$1,0)+1,FALSE)</f>
        <v>土日クエスト1</v>
      </c>
      <c r="F1249" s="5">
        <v>1</v>
      </c>
      <c r="G1249" s="3" t="str">
        <f ca="1">VLOOKUP($C1249&amp;"_"&amp;$F1249,OFFSET([1]stages!$A$1,0,0,COUNTA([1]stages!$A:$A),MATCH(G$1,[1]stages!$2:$2,0)-MATCH("temp_stage",[1]stages!$2:$2,0)+1),MATCH(G$1,[1]stages!$2:$2,0)-MATCH("temp_stage",[1]stages!$2:$2,0)+1,FALSE)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49" s="3" t="str">
        <f ca="1">VLOOKUP($C1249&amp;"_"&amp;$F1249,OFFSET([1]stages!$A$1,0,0,COUNTA([1]stages!$A:$A),MATCH(H$1,[1]stages!$2:$2,0)-MATCH("temp_stage",[1]stages!$2:$2,0)+1),MATCH(H$1,[1]stages!$2:$2,0)-MATCH("temp_stage",[1]stages!$2:$2,0)+1,FALSE)</f>
        <v>土日クエスト1</v>
      </c>
      <c r="I1249" s="18">
        <v>0</v>
      </c>
      <c r="J1249" s="5">
        <f>COUNTIF(C$1:C1249,C1249)</f>
        <v>27</v>
      </c>
      <c r="K1249" s="34">
        <v>31</v>
      </c>
      <c r="L1249" s="5" t="s">
        <v>17</v>
      </c>
      <c r="M1249" s="38" t="str">
        <f>VLOOKUP(K1249,[2]stage_hints!$A:$C,3,FALSE)</f>
        <v>イベントはお知らせでチェック</v>
      </c>
      <c r="N1249" s="39" t="str">
        <f>VLOOKUP(K1249,[2]stage_hints!$A:$D,4,FALSE)</f>
        <v>イベント限定ユニットを取り忘れないように
お知らせをこまめにチェックしましょう</v>
      </c>
      <c r="O1249" s="20" t="s">
        <v>24</v>
      </c>
      <c r="P1249">
        <v>31</v>
      </c>
    </row>
    <row r="1250" spans="1:16" x14ac:dyDescent="0.15">
      <c r="A1250" s="27" t="str">
        <f t="shared" si="82"/>
        <v>11018_1_28</v>
      </c>
      <c r="B1250" s="25" t="s">
        <v>34</v>
      </c>
      <c r="C1250" s="4">
        <v>11018</v>
      </c>
      <c r="D1250" s="3" t="str">
        <f ca="1">VLOOKUP($C1250,OFFSET([1]quests!$A$1,0,0,COUNTA([1]quests!$A:$A),MATCH(D$1,[1]quests!$1:$1,0)-MATCH($C$1,[1]quests!$1:$1,0)+1),MATCH(D$1,[1]quests!$1:$1,0)-MATCH($C$1,[1]quests!$1:$1,0)+1,FALSE)</f>
        <v>【エナジー1/2】 ゴールドカジノ</v>
      </c>
      <c r="E1250" s="3" t="str">
        <f ca="1">VLOOKUP($C1250,OFFSET([1]quests!$A$1,0,0,COUNTA([1]quests!$A:$A),MATCH(E$1,[1]quests!$1:$1,0)-MATCH($C$1,[1]quests!$1:$1,0)+1),MATCH(E$1,[1]quests!$1:$1,0)-MATCH($C$1,[1]quests!$1:$1,0)+1,FALSE)</f>
        <v>土日クエスト1</v>
      </c>
      <c r="F1250" s="5">
        <v>1</v>
      </c>
      <c r="G1250" s="3" t="str">
        <f ca="1">VLOOKUP($C1250&amp;"_"&amp;$F1250,OFFSET([1]stages!$A$1,0,0,COUNTA([1]stages!$A:$A),MATCH(G$1,[1]stages!$2:$2,0)-MATCH("temp_stage",[1]stages!$2:$2,0)+1),MATCH(G$1,[1]stages!$2:$2,0)-MATCH("temp_stage",[1]stages!$2:$2,0)+1,FALSE)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50" s="3" t="str">
        <f ca="1">VLOOKUP($C1250&amp;"_"&amp;$F1250,OFFSET([1]stages!$A$1,0,0,COUNTA([1]stages!$A:$A),MATCH(H$1,[1]stages!$2:$2,0)-MATCH("temp_stage",[1]stages!$2:$2,0)+1),MATCH(H$1,[1]stages!$2:$2,0)-MATCH("temp_stage",[1]stages!$2:$2,0)+1,FALSE)</f>
        <v>土日クエスト1</v>
      </c>
      <c r="I1250" s="18">
        <v>0</v>
      </c>
      <c r="J1250" s="5">
        <f>COUNTIF(C$1:C1250,C1250)</f>
        <v>28</v>
      </c>
      <c r="K1250" s="34">
        <v>32</v>
      </c>
      <c r="L1250" s="5" t="s">
        <v>17</v>
      </c>
      <c r="M1250" s="38" t="str">
        <f>VLOOKUP(K1250,[2]stage_hints!$A:$C,3,FALSE)</f>
        <v>敵の連続攻撃には</v>
      </c>
      <c r="N1250" s="39" t="str">
        <f>VLOOKUP(K1250,[2]stage_hints!$A:$D,4,FALSE)</f>
        <v>カウンタースキルを持つユニットがいれば
ダメージ回数分の反撃ができます</v>
      </c>
      <c r="O1250" s="20" t="s">
        <v>24</v>
      </c>
      <c r="P1250">
        <v>32</v>
      </c>
    </row>
    <row r="1251" spans="1:16" x14ac:dyDescent="0.15">
      <c r="A1251" s="27" t="str">
        <f t="shared" si="82"/>
        <v>11018_1_29</v>
      </c>
      <c r="B1251" s="25" t="s">
        <v>34</v>
      </c>
      <c r="C1251" s="4">
        <v>11018</v>
      </c>
      <c r="D1251" s="3" t="str">
        <f ca="1">VLOOKUP($C1251,OFFSET([1]quests!$A$1,0,0,COUNTA([1]quests!$A:$A),MATCH(D$1,[1]quests!$1:$1,0)-MATCH($C$1,[1]quests!$1:$1,0)+1),MATCH(D$1,[1]quests!$1:$1,0)-MATCH($C$1,[1]quests!$1:$1,0)+1,FALSE)</f>
        <v>【エナジー1/2】 ゴールドカジノ</v>
      </c>
      <c r="E1251" s="3" t="str">
        <f ca="1">VLOOKUP($C1251,OFFSET([1]quests!$A$1,0,0,COUNTA([1]quests!$A:$A),MATCH(E$1,[1]quests!$1:$1,0)-MATCH($C$1,[1]quests!$1:$1,0)+1),MATCH(E$1,[1]quests!$1:$1,0)-MATCH($C$1,[1]quests!$1:$1,0)+1,FALSE)</f>
        <v>土日クエスト1</v>
      </c>
      <c r="F1251" s="5">
        <v>1</v>
      </c>
      <c r="G1251" s="3" t="str">
        <f ca="1">VLOOKUP($C1251&amp;"_"&amp;$F1251,OFFSET([1]stages!$A$1,0,0,COUNTA([1]stages!$A:$A),MATCH(G$1,[1]stages!$2:$2,0)-MATCH("temp_stage",[1]stages!$2:$2,0)+1),MATCH(G$1,[1]stages!$2:$2,0)-MATCH("temp_stage",[1]stages!$2:$2,0)+1,FALSE)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51" s="3" t="str">
        <f ca="1">VLOOKUP($C1251&amp;"_"&amp;$F1251,OFFSET([1]stages!$A$1,0,0,COUNTA([1]stages!$A:$A),MATCH(H$1,[1]stages!$2:$2,0)-MATCH("temp_stage",[1]stages!$2:$2,0)+1),MATCH(H$1,[1]stages!$2:$2,0)-MATCH("temp_stage",[1]stages!$2:$2,0)+1,FALSE)</f>
        <v>土日クエスト1</v>
      </c>
      <c r="I1251" s="18">
        <v>0</v>
      </c>
      <c r="J1251" s="5">
        <f>COUNTIF(C$1:C1251,C1251)</f>
        <v>29</v>
      </c>
      <c r="K1251" s="34">
        <v>33</v>
      </c>
      <c r="L1251" s="5" t="s">
        <v>17</v>
      </c>
      <c r="M1251" s="38" t="str">
        <f>VLOOKUP(K1251,[2]stage_hints!$A:$C,3,FALSE)</f>
        <v>敵のカウンター攻撃には</v>
      </c>
      <c r="N1251" s="39" t="str">
        <f>VLOOKUP(K1251,[2]stage_hints!$A:$D,4,FALSE)</f>
        <v>カウンターブレイクスキルを持っていれば
敵のカウンターを解除して攻撃ができます</v>
      </c>
      <c r="O1251" s="20" t="s">
        <v>24</v>
      </c>
      <c r="P1251">
        <v>33</v>
      </c>
    </row>
    <row r="1252" spans="1:16" x14ac:dyDescent="0.15">
      <c r="A1252" s="27" t="str">
        <f t="shared" ref="A1252:A1255" si="83">C1252&amp;"_"&amp;F1252&amp;"_"&amp;J1252</f>
        <v>11018_1_30</v>
      </c>
      <c r="B1252" s="25" t="s">
        <v>34</v>
      </c>
      <c r="C1252" s="4">
        <v>11018</v>
      </c>
      <c r="D1252" s="3" t="str">
        <f ca="1">VLOOKUP($C1252,OFFSET([1]quests!$A$1,0,0,COUNTA([1]quests!$A:$A),MATCH(D$1,[1]quests!$1:$1,0)-MATCH($C$1,[1]quests!$1:$1,0)+1),MATCH(D$1,[1]quests!$1:$1,0)-MATCH($C$1,[1]quests!$1:$1,0)+1,FALSE)</f>
        <v>【エナジー1/2】 ゴールドカジノ</v>
      </c>
      <c r="E1252" s="3" t="str">
        <f ca="1">VLOOKUP($C1252,OFFSET([1]quests!$A$1,0,0,COUNTA([1]quests!$A:$A),MATCH(E$1,[1]quests!$1:$1,0)-MATCH($C$1,[1]quests!$1:$1,0)+1),MATCH(E$1,[1]quests!$1:$1,0)-MATCH($C$1,[1]quests!$1:$1,0)+1,FALSE)</f>
        <v>土日クエスト1</v>
      </c>
      <c r="F1252" s="5">
        <v>1</v>
      </c>
      <c r="G1252" s="3" t="str">
        <f ca="1">VLOOKUP($C1252&amp;"_"&amp;$F1252,OFFSET([1]stages!$A$1,0,0,COUNTA([1]stages!$A:$A),MATCH(G$1,[1]stages!$2:$2,0)-MATCH("temp_stage",[1]stages!$2:$2,0)+1),MATCH(G$1,[1]stages!$2:$2,0)-MATCH("temp_stage",[1]stages!$2:$2,0)+1,FALSE)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52" s="3" t="str">
        <f ca="1">VLOOKUP($C1252&amp;"_"&amp;$F1252,OFFSET([1]stages!$A$1,0,0,COUNTA([1]stages!$A:$A),MATCH(H$1,[1]stages!$2:$2,0)-MATCH("temp_stage",[1]stages!$2:$2,0)+1),MATCH(H$1,[1]stages!$2:$2,0)-MATCH("temp_stage",[1]stages!$2:$2,0)+1,FALSE)</f>
        <v>土日クエスト1</v>
      </c>
      <c r="I1252" s="18">
        <v>0</v>
      </c>
      <c r="J1252" s="5">
        <f>COUNTIF(C$1:C1252,C1252)</f>
        <v>30</v>
      </c>
      <c r="K1252" s="34">
        <v>34</v>
      </c>
      <c r="L1252" s="5" t="s">
        <v>17</v>
      </c>
      <c r="M1252" s="38" t="str">
        <f>VLOOKUP(K1252,[2]stage_hints!$A:$C,3,FALSE)</f>
        <v>ステータスをスキルで下げられたら</v>
      </c>
      <c r="N1252" s="39" t="str">
        <f>VLOOKUP(K1252,[2]stage_hints!$A:$D,4,FALSE)</f>
        <v>ステータスダウンのスキルを受けたら
ステータスアップスキルで上書きしましょう</v>
      </c>
      <c r="O1252" s="20" t="s">
        <v>24</v>
      </c>
      <c r="P1252">
        <v>34</v>
      </c>
    </row>
    <row r="1253" spans="1:16" x14ac:dyDescent="0.15">
      <c r="A1253" s="27" t="str">
        <f t="shared" si="83"/>
        <v>11018_1_31</v>
      </c>
      <c r="B1253" s="25" t="s">
        <v>34</v>
      </c>
      <c r="C1253" s="4">
        <v>11018</v>
      </c>
      <c r="D1253" s="3" t="str">
        <f ca="1">VLOOKUP($C1253,OFFSET([1]quests!$A$1,0,0,COUNTA([1]quests!$A:$A),MATCH(D$1,[1]quests!$1:$1,0)-MATCH($C$1,[1]quests!$1:$1,0)+1),MATCH(D$1,[1]quests!$1:$1,0)-MATCH($C$1,[1]quests!$1:$1,0)+1,FALSE)</f>
        <v>【エナジー1/2】 ゴールドカジノ</v>
      </c>
      <c r="E1253" s="3" t="str">
        <f ca="1">VLOOKUP($C1253,OFFSET([1]quests!$A$1,0,0,COUNTA([1]quests!$A:$A),MATCH(E$1,[1]quests!$1:$1,0)-MATCH($C$1,[1]quests!$1:$1,0)+1),MATCH(E$1,[1]quests!$1:$1,0)-MATCH($C$1,[1]quests!$1:$1,0)+1,FALSE)</f>
        <v>土日クエスト1</v>
      </c>
      <c r="F1253" s="5">
        <v>1</v>
      </c>
      <c r="G1253" s="3" t="str">
        <f ca="1">VLOOKUP($C1253&amp;"_"&amp;$F1253,OFFSET([1]stages!$A$1,0,0,COUNTA([1]stages!$A:$A),MATCH(G$1,[1]stages!$2:$2,0)-MATCH("temp_stage",[1]stages!$2:$2,0)+1),MATCH(G$1,[1]stages!$2:$2,0)-MATCH("temp_stage",[1]stages!$2:$2,0)+1,FALSE)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53" s="3" t="str">
        <f ca="1">VLOOKUP($C1253&amp;"_"&amp;$F1253,OFFSET([1]stages!$A$1,0,0,COUNTA([1]stages!$A:$A),MATCH(H$1,[1]stages!$2:$2,0)-MATCH("temp_stage",[1]stages!$2:$2,0)+1),MATCH(H$1,[1]stages!$2:$2,0)-MATCH("temp_stage",[1]stages!$2:$2,0)+1,FALSE)</f>
        <v>土日クエスト1</v>
      </c>
      <c r="I1253" s="18">
        <v>0</v>
      </c>
      <c r="J1253" s="5">
        <f>COUNTIF(C$1:C1253,C1253)</f>
        <v>31</v>
      </c>
      <c r="K1253" s="34">
        <v>35</v>
      </c>
      <c r="L1253" s="5" t="s">
        <v>17</v>
      </c>
      <c r="M1253" s="38" t="str">
        <f>VLOOKUP(K1253,[2]stage_hints!$A:$C,3,FALSE)</f>
        <v>敵のステータスがスキルで上がったら</v>
      </c>
      <c r="N1253" s="39" t="str">
        <f>VLOOKUP(K1253,[2]stage_hints!$A:$D,4,FALSE)</f>
        <v>敵のステータスがスキルでアップしたときは
ステータスダウンスキルで上書きしましょう</v>
      </c>
      <c r="O1253" s="20" t="s">
        <v>24</v>
      </c>
      <c r="P1253">
        <v>35</v>
      </c>
    </row>
    <row r="1254" spans="1:16" x14ac:dyDescent="0.15">
      <c r="A1254" s="27" t="str">
        <f t="shared" si="83"/>
        <v>11018_1_32</v>
      </c>
      <c r="B1254" s="25" t="s">
        <v>34</v>
      </c>
      <c r="C1254" s="4">
        <v>11018</v>
      </c>
      <c r="D1254" s="3" t="str">
        <f ca="1">VLOOKUP($C1254,OFFSET([1]quests!$A$1,0,0,COUNTA([1]quests!$A:$A),MATCH(D$1,[1]quests!$1:$1,0)-MATCH($C$1,[1]quests!$1:$1,0)+1),MATCH(D$1,[1]quests!$1:$1,0)-MATCH($C$1,[1]quests!$1:$1,0)+1,FALSE)</f>
        <v>【エナジー1/2】 ゴールドカジノ</v>
      </c>
      <c r="E1254" s="3" t="str">
        <f ca="1">VLOOKUP($C1254,OFFSET([1]quests!$A$1,0,0,COUNTA([1]quests!$A:$A),MATCH(E$1,[1]quests!$1:$1,0)-MATCH($C$1,[1]quests!$1:$1,0)+1),MATCH(E$1,[1]quests!$1:$1,0)-MATCH($C$1,[1]quests!$1:$1,0)+1,FALSE)</f>
        <v>土日クエスト1</v>
      </c>
      <c r="F1254" s="5">
        <v>1</v>
      </c>
      <c r="G1254" s="3" t="str">
        <f ca="1">VLOOKUP($C1254&amp;"_"&amp;$F1254,OFFSET([1]stages!$A$1,0,0,COUNTA([1]stages!$A:$A),MATCH(G$1,[1]stages!$2:$2,0)-MATCH("temp_stage",[1]stages!$2:$2,0)+1),MATCH(G$1,[1]stages!$2:$2,0)-MATCH("temp_stage",[1]stages!$2:$2,0)+1,FALSE)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54" s="3" t="str">
        <f ca="1">VLOOKUP($C1254&amp;"_"&amp;$F1254,OFFSET([1]stages!$A$1,0,0,COUNTA([1]stages!$A:$A),MATCH(H$1,[1]stages!$2:$2,0)-MATCH("temp_stage",[1]stages!$2:$2,0)+1),MATCH(H$1,[1]stages!$2:$2,0)-MATCH("temp_stage",[1]stages!$2:$2,0)+1,FALSE)</f>
        <v>土日クエスト1</v>
      </c>
      <c r="I1254" s="18">
        <v>0</v>
      </c>
      <c r="J1254" s="5">
        <f>COUNTIF(C$1:C1254,C1254)</f>
        <v>32</v>
      </c>
      <c r="K1254" s="34">
        <v>36</v>
      </c>
      <c r="L1254" s="5" t="s">
        <v>17</v>
      </c>
      <c r="M1254" s="38" t="str">
        <f>VLOOKUP(K1254,[2]stage_hints!$A:$C,3,FALSE)</f>
        <v>チャレンジタワーのボス</v>
      </c>
      <c r="N1254" s="39" t="str">
        <f>VLOOKUP(K1254,[2]stage_hints!$A:$D,4,FALSE)</f>
        <v>チャレンジタワーでのみ登場するボスは
一定確率で獲得することができます</v>
      </c>
      <c r="O1254" s="20" t="s">
        <v>24</v>
      </c>
      <c r="P1254">
        <v>36</v>
      </c>
    </row>
    <row r="1255" spans="1:16" x14ac:dyDescent="0.15">
      <c r="A1255" s="27" t="str">
        <f t="shared" si="83"/>
        <v>11018_1_33</v>
      </c>
      <c r="B1255" s="25" t="s">
        <v>34</v>
      </c>
      <c r="C1255" s="4">
        <v>11018</v>
      </c>
      <c r="D1255" s="3" t="str">
        <f ca="1">VLOOKUP($C1255,OFFSET([1]quests!$A$1,0,0,COUNTA([1]quests!$A:$A),MATCH(D$1,[1]quests!$1:$1,0)-MATCH($C$1,[1]quests!$1:$1,0)+1),MATCH(D$1,[1]quests!$1:$1,0)-MATCH($C$1,[1]quests!$1:$1,0)+1,FALSE)</f>
        <v>【エナジー1/2】 ゴールドカジノ</v>
      </c>
      <c r="E1255" s="3" t="str">
        <f ca="1">VLOOKUP($C1255,OFFSET([1]quests!$A$1,0,0,COUNTA([1]quests!$A:$A),MATCH(E$1,[1]quests!$1:$1,0)-MATCH($C$1,[1]quests!$1:$1,0)+1),MATCH(E$1,[1]quests!$1:$1,0)-MATCH($C$1,[1]quests!$1:$1,0)+1,FALSE)</f>
        <v>土日クエスト1</v>
      </c>
      <c r="F1255" s="5">
        <v>1</v>
      </c>
      <c r="G1255" s="3" t="str">
        <f ca="1">VLOOKUP($C1255&amp;"_"&amp;$F1255,OFFSET([1]stages!$A$1,0,0,COUNTA([1]stages!$A:$A),MATCH(G$1,[1]stages!$2:$2,0)-MATCH("temp_stage",[1]stages!$2:$2,0)+1),MATCH(G$1,[1]stages!$2:$2,0)-MATCH("temp_stage",[1]stages!$2:$2,0)+1,FALSE)</f>
        <v xml:space="preserve">【上級】ゴールドカジノ </v>
      </c>
      <c r="H1255" s="3" t="str">
        <f ca="1">VLOOKUP($C1255&amp;"_"&amp;$F1255,OFFSET([1]stages!$A$1,0,0,COUNTA([1]stages!$A:$A),MATCH(H$1,[1]stages!$2:$2,0)-MATCH("temp_stage",[1]stages!$2:$2,0)+1),MATCH(H$1,[1]stages!$2:$2,0)-MATCH("temp_stage",[1]stages!$2:$2,0)+1,FALSE)</f>
        <v>土日クエスト1</v>
      </c>
      <c r="I1255" s="18">
        <v>0</v>
      </c>
      <c r="J1255" s="5">
        <f>COUNTIF(C$1:C1255,C1255)</f>
        <v>33</v>
      </c>
      <c r="K1255" s="34">
        <v>37</v>
      </c>
      <c r="L1255" s="5" t="s">
        <v>17</v>
      </c>
      <c r="M1255" s="38" t="str">
        <f>VLOOKUP(K1255,[2]stage_hints!$A:$C,3,FALSE)</f>
        <v>限界突破値の引き継ぎ</v>
      </c>
      <c r="N1255" s="39" t="str">
        <f>VLOOKUP(K1255,[2]stage_hints!$A:$D,4,FALSE)</f>
        <v>同じユニットを強化で合成すると
限界突破値を引き継げます（覚醒前後も可）</v>
      </c>
      <c r="O1255" s="20" t="s">
        <v>24</v>
      </c>
      <c r="P1255">
        <v>37</v>
      </c>
    </row>
  </sheetData>
  <phoneticPr fontId="5"/>
  <dataValidations count="1">
    <dataValidation type="list" allowBlank="1" showInputMessage="1" showErrorMessage="1" sqref="B2:B125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38"/>
  <sheetViews>
    <sheetView topLeftCell="A19" workbookViewId="0">
      <selection activeCell="C24" sqref="C24"/>
    </sheetView>
  </sheetViews>
  <sheetFormatPr baseColWidth="12" defaultRowHeight="15" x14ac:dyDescent="0.15"/>
  <cols>
    <col min="3" max="3" width="75.33203125" customWidth="1"/>
  </cols>
  <sheetData>
    <row r="1" spans="1:3" x14ac:dyDescent="0.15">
      <c r="A1" t="s">
        <v>73</v>
      </c>
      <c r="B1" t="s">
        <v>37</v>
      </c>
      <c r="C1" t="s">
        <v>38</v>
      </c>
    </row>
    <row r="2" spans="1:3" ht="28" x14ac:dyDescent="0.15">
      <c r="A2">
        <v>1</v>
      </c>
      <c r="B2" t="s">
        <v>39</v>
      </c>
      <c r="C2" s="28" t="s">
        <v>79</v>
      </c>
    </row>
    <row r="3" spans="1:3" ht="28" x14ac:dyDescent="0.15">
      <c r="A3">
        <v>2</v>
      </c>
      <c r="B3" t="s">
        <v>40</v>
      </c>
      <c r="C3" s="28" t="s">
        <v>80</v>
      </c>
    </row>
    <row r="4" spans="1:3" ht="28" x14ac:dyDescent="0.15">
      <c r="A4">
        <v>3</v>
      </c>
      <c r="B4" t="s">
        <v>41</v>
      </c>
      <c r="C4" s="28" t="s">
        <v>81</v>
      </c>
    </row>
    <row r="5" spans="1:3" ht="42" x14ac:dyDescent="0.15">
      <c r="A5">
        <v>4</v>
      </c>
      <c r="B5" t="s">
        <v>42</v>
      </c>
      <c r="C5" s="28" t="s">
        <v>82</v>
      </c>
    </row>
    <row r="6" spans="1:3" ht="42" x14ac:dyDescent="0.15">
      <c r="A6">
        <v>5</v>
      </c>
      <c r="B6" t="s">
        <v>43</v>
      </c>
      <c r="C6" s="28" t="s">
        <v>111</v>
      </c>
    </row>
    <row r="7" spans="1:3" ht="42" x14ac:dyDescent="0.15">
      <c r="A7">
        <v>6</v>
      </c>
      <c r="B7" t="s">
        <v>44</v>
      </c>
      <c r="C7" s="28" t="s">
        <v>83</v>
      </c>
    </row>
    <row r="8" spans="1:3" ht="42" x14ac:dyDescent="0.15">
      <c r="A8">
        <v>7</v>
      </c>
      <c r="B8" t="s">
        <v>45</v>
      </c>
      <c r="C8" s="28" t="s">
        <v>84</v>
      </c>
    </row>
    <row r="9" spans="1:3" ht="42" x14ac:dyDescent="0.15">
      <c r="A9">
        <v>8</v>
      </c>
      <c r="B9" t="s">
        <v>46</v>
      </c>
      <c r="C9" s="28" t="s">
        <v>109</v>
      </c>
    </row>
    <row r="10" spans="1:3" ht="42" x14ac:dyDescent="0.15">
      <c r="A10">
        <v>9</v>
      </c>
      <c r="B10" t="s">
        <v>47</v>
      </c>
      <c r="C10" s="28" t="s">
        <v>85</v>
      </c>
    </row>
    <row r="11" spans="1:3" ht="42" x14ac:dyDescent="0.15">
      <c r="A11">
        <v>10</v>
      </c>
      <c r="B11" t="s">
        <v>48</v>
      </c>
      <c r="C11" s="28" t="s">
        <v>86</v>
      </c>
    </row>
    <row r="12" spans="1:3" ht="42" x14ac:dyDescent="0.15">
      <c r="A12">
        <v>11</v>
      </c>
      <c r="B12" t="s">
        <v>49</v>
      </c>
      <c r="C12" s="29" t="s">
        <v>87</v>
      </c>
    </row>
    <row r="13" spans="1:3" ht="28" x14ac:dyDescent="0.15">
      <c r="A13">
        <v>12</v>
      </c>
      <c r="B13" t="s">
        <v>35</v>
      </c>
      <c r="C13" s="28" t="s">
        <v>88</v>
      </c>
    </row>
    <row r="14" spans="1:3" ht="28" x14ac:dyDescent="0.15">
      <c r="A14">
        <v>13</v>
      </c>
      <c r="B14" t="s">
        <v>50</v>
      </c>
      <c r="C14" s="28" t="s">
        <v>89</v>
      </c>
    </row>
    <row r="15" spans="1:3" ht="42" x14ac:dyDescent="0.15">
      <c r="A15">
        <v>14</v>
      </c>
      <c r="B15" t="s">
        <v>51</v>
      </c>
      <c r="C15" s="28" t="s">
        <v>90</v>
      </c>
    </row>
    <row r="16" spans="1:3" ht="28" x14ac:dyDescent="0.15">
      <c r="A16">
        <v>15</v>
      </c>
      <c r="B16" t="s">
        <v>52</v>
      </c>
      <c r="C16" s="28" t="s">
        <v>91</v>
      </c>
    </row>
    <row r="17" spans="1:3" ht="42" x14ac:dyDescent="0.15">
      <c r="A17">
        <v>16</v>
      </c>
      <c r="B17" t="s">
        <v>53</v>
      </c>
      <c r="C17" s="28" t="s">
        <v>92</v>
      </c>
    </row>
    <row r="18" spans="1:3" ht="42" x14ac:dyDescent="0.15">
      <c r="A18">
        <v>17</v>
      </c>
      <c r="B18" t="s">
        <v>54</v>
      </c>
      <c r="C18" s="29" t="s">
        <v>93</v>
      </c>
    </row>
    <row r="19" spans="1:3" ht="28" x14ac:dyDescent="0.15">
      <c r="A19">
        <v>18</v>
      </c>
      <c r="B19" t="s">
        <v>55</v>
      </c>
      <c r="C19" s="28" t="s">
        <v>94</v>
      </c>
    </row>
    <row r="20" spans="1:3" ht="42" x14ac:dyDescent="0.15">
      <c r="A20">
        <v>19</v>
      </c>
      <c r="B20" t="s">
        <v>56</v>
      </c>
      <c r="C20" s="29" t="s">
        <v>95</v>
      </c>
    </row>
    <row r="21" spans="1:3" ht="28" x14ac:dyDescent="0.15">
      <c r="A21">
        <v>20</v>
      </c>
      <c r="B21" t="s">
        <v>36</v>
      </c>
      <c r="C21" s="30" t="s">
        <v>110</v>
      </c>
    </row>
    <row r="22" spans="1:3" ht="56" x14ac:dyDescent="0.15">
      <c r="A22">
        <v>21</v>
      </c>
      <c r="B22" t="s">
        <v>57</v>
      </c>
      <c r="C22" s="29" t="s">
        <v>115</v>
      </c>
    </row>
    <row r="23" spans="1:3" x14ac:dyDescent="0.15">
      <c r="A23">
        <v>22</v>
      </c>
      <c r="B23" t="s">
        <v>58</v>
      </c>
      <c r="C23" s="29" t="s">
        <v>96</v>
      </c>
    </row>
    <row r="24" spans="1:3" ht="42" x14ac:dyDescent="0.15">
      <c r="A24">
        <v>23</v>
      </c>
      <c r="B24" t="s">
        <v>59</v>
      </c>
      <c r="C24" s="29" t="s">
        <v>97</v>
      </c>
    </row>
    <row r="25" spans="1:3" ht="56" x14ac:dyDescent="0.15">
      <c r="A25">
        <v>24</v>
      </c>
      <c r="B25" t="s">
        <v>60</v>
      </c>
      <c r="C25" s="29" t="s">
        <v>112</v>
      </c>
    </row>
    <row r="26" spans="1:3" ht="42" x14ac:dyDescent="0.15">
      <c r="A26">
        <v>25</v>
      </c>
      <c r="B26" t="s">
        <v>61</v>
      </c>
      <c r="C26" s="29" t="s">
        <v>98</v>
      </c>
    </row>
    <row r="27" spans="1:3" ht="28" x14ac:dyDescent="0.15">
      <c r="A27">
        <v>26</v>
      </c>
      <c r="B27" t="s">
        <v>62</v>
      </c>
      <c r="C27" s="29" t="s">
        <v>99</v>
      </c>
    </row>
    <row r="28" spans="1:3" ht="42" x14ac:dyDescent="0.15">
      <c r="A28">
        <v>27</v>
      </c>
      <c r="B28" t="s">
        <v>63</v>
      </c>
      <c r="C28" s="28" t="s">
        <v>100</v>
      </c>
    </row>
    <row r="29" spans="1:3" ht="42" x14ac:dyDescent="0.15">
      <c r="A29">
        <v>28</v>
      </c>
      <c r="B29" t="s">
        <v>64</v>
      </c>
      <c r="C29" s="28" t="s">
        <v>101</v>
      </c>
    </row>
    <row r="30" spans="1:3" x14ac:dyDescent="0.15">
      <c r="A30">
        <v>29</v>
      </c>
      <c r="B30" t="s">
        <v>65</v>
      </c>
      <c r="C30" s="31" t="s">
        <v>102</v>
      </c>
    </row>
    <row r="31" spans="1:3" ht="28" x14ac:dyDescent="0.15">
      <c r="A31">
        <v>30</v>
      </c>
      <c r="B31" t="s">
        <v>66</v>
      </c>
      <c r="C31" s="32" t="s">
        <v>103</v>
      </c>
    </row>
    <row r="32" spans="1:3" ht="28" x14ac:dyDescent="0.15">
      <c r="A32">
        <v>31</v>
      </c>
      <c r="B32" t="s">
        <v>74</v>
      </c>
      <c r="C32" s="33" t="s">
        <v>113</v>
      </c>
    </row>
    <row r="33" spans="1:3" ht="28" x14ac:dyDescent="0.15">
      <c r="A33">
        <v>32</v>
      </c>
      <c r="B33" t="s">
        <v>67</v>
      </c>
      <c r="C33" s="29" t="s">
        <v>104</v>
      </c>
    </row>
    <row r="34" spans="1:3" ht="56" x14ac:dyDescent="0.15">
      <c r="A34">
        <v>33</v>
      </c>
      <c r="B34" t="s">
        <v>68</v>
      </c>
      <c r="C34" s="28" t="s">
        <v>114</v>
      </c>
    </row>
    <row r="35" spans="1:3" ht="28" x14ac:dyDescent="0.15">
      <c r="A35">
        <v>34</v>
      </c>
      <c r="B35" t="s">
        <v>69</v>
      </c>
      <c r="C35" s="28" t="s">
        <v>105</v>
      </c>
    </row>
    <row r="36" spans="1:3" ht="42" x14ac:dyDescent="0.15">
      <c r="A36">
        <v>35</v>
      </c>
      <c r="B36" t="s">
        <v>70</v>
      </c>
      <c r="C36" s="28" t="s">
        <v>106</v>
      </c>
    </row>
    <row r="37" spans="1:3" ht="42" x14ac:dyDescent="0.15">
      <c r="A37">
        <v>36</v>
      </c>
      <c r="B37" t="s">
        <v>71</v>
      </c>
      <c r="C37" s="29" t="s">
        <v>107</v>
      </c>
    </row>
    <row r="38" spans="1:3" ht="42" x14ac:dyDescent="0.15">
      <c r="A38">
        <v>37</v>
      </c>
      <c r="B38" t="s">
        <v>72</v>
      </c>
      <c r="C38" s="29" t="s">
        <v>108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stage_hints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2016-09-15T09:22:35Z</dcterms:modified>
</cp:coreProperties>
</file>