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930" activeTab="6"/>
  </bookViews>
  <sheets>
    <sheet name="floors_drop_3_1" sheetId="2" r:id="rId1"/>
    <sheet name="enemy_habitats_drop_3_1" sheetId="1" r:id="rId2"/>
    <sheet name="enemy_skill_sets" sheetId="9" r:id="rId3"/>
    <sheet name="enemy_skills" sheetId="7" r:id="rId4"/>
    <sheet name="enemy_skill_triggers" sheetId="8" r:id="rId5"/>
    <sheet name="floors_drop_3_1.tmp" sheetId="5" r:id="rId6"/>
    <sheet name="enemy_habitats_drop_3_1.tmp" sheetId="6" r:id="rId7"/>
    <sheet name="enemy_skills_tmp_20009.tmp" sheetId="10" r:id="rId8"/>
    <sheet name="enemy_skills_i18n_20009.tmp" sheetId="11" r:id="rId9"/>
    <sheet name="enemy_skill_triggers_20009.tmp" sheetId="12" r:id="rId10"/>
    <sheet name="enemy_skill_sets_20009.tmp" sheetId="13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1" hidden="1">enemy_habitats_drop_3_1!$B$1:$AF$2</definedName>
    <definedName name="_xlnm._FilterDatabase" localSheetId="2" hidden="1">enemy_skill_sets!$A$1:$R$1</definedName>
    <definedName name="_xlnm._FilterDatabase" localSheetId="4" hidden="1">enemy_skill_triggers!$A$1:$G$1</definedName>
    <definedName name="_xlnm._FilterDatabase" localSheetId="3" hidden="1">enemy_skills!$A$1:$H$1</definedName>
    <definedName name="Excel_BuiltIn__FilterDatabase_1" localSheetId="8">#REF!</definedName>
    <definedName name="Excel_BuiltIn__FilterDatabase_2" localSheetId="8">#REF!</definedName>
    <definedName name="Excel_BuiltIn__FilterDatabase_2_1" localSheetId="8">#REF!</definedName>
    <definedName name="Excel_BuiltIn__FilterDatabase_2_1_1" localSheetId="8">#REF!</definedName>
    <definedName name="Excel_BuiltIn__FilterDatabase_3" localSheetId="8">#REF!</definedName>
    <definedName name="Excel_BuiltIn__FilterDatabase_3_1" localSheetId="8">#REF!</definedName>
    <definedName name="Excel_BuiltIn__FilterDatabase_4" localSheetId="8">#REF!</definedName>
    <definedName name="Excel_BuiltIn__FilterDatabase_4_1" localSheetId="8">#REF!</definedName>
    <definedName name="Excel_BuiltIn__FilterDatabase_4_1_1" localSheetId="8">#REF!</definedName>
    <definedName name="Excel_BuiltIn__FilterDatabase_5" localSheetId="8">#REF!</definedName>
    <definedName name="Excel_BuiltIn__FilterDatabase_5_1_1" localSheetId="8">#REF!</definedName>
    <definedName name="Excel_BuiltIn__FilterDatabase_6" localSheetId="8">#REF!</definedName>
    <definedName name="Excel_BuiltIn__FilterDatabase_6_1" localSheetId="2">[1]unit_skills!#REF!</definedName>
    <definedName name="Excel_BuiltIn__FilterDatabase_6_1" localSheetId="4">[1]unit_skills!#REF!</definedName>
    <definedName name="Excel_BuiltIn__FilterDatabase_6_1" localSheetId="8">[1]unit_skills!#REF!</definedName>
    <definedName name="Excel_BuiltIn__FilterDatabase_7" localSheetId="8">#REF!</definedName>
    <definedName name="Excel_BuiltIn__FilterDatabase_8" localSheetId="8">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5" i="6" l="1"/>
  <c r="R38" i="6"/>
  <c r="R11" i="6"/>
  <c r="AA3" i="1"/>
  <c r="AB3" i="1"/>
  <c r="AC3" i="1"/>
  <c r="AA4" i="1"/>
  <c r="AB4" i="1"/>
  <c r="AC4" i="1"/>
  <c r="AA5" i="1"/>
  <c r="AB5" i="1"/>
  <c r="AC5" i="1"/>
  <c r="AA6" i="1"/>
  <c r="AB6" i="1"/>
  <c r="AC6" i="1"/>
  <c r="AA7" i="1"/>
  <c r="AB7" i="1"/>
  <c r="AC7" i="1"/>
  <c r="AA8" i="1"/>
  <c r="AB8" i="1"/>
  <c r="AC8" i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C2" i="1"/>
  <c r="AB2" i="1"/>
  <c r="AA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2" i="1"/>
  <c r="T38" i="1"/>
  <c r="U38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T33" i="1"/>
  <c r="U33" i="1"/>
  <c r="T34" i="1"/>
  <c r="U34" i="1"/>
  <c r="T35" i="1"/>
  <c r="U35" i="1"/>
  <c r="T25" i="1"/>
  <c r="U25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11" i="1"/>
  <c r="U11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2" i="1"/>
  <c r="U2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N2" i="1"/>
  <c r="M2" i="1"/>
  <c r="L2" i="1"/>
  <c r="K2" i="1"/>
  <c r="J2" i="1"/>
  <c r="U24" i="1"/>
  <c r="U36" i="1"/>
  <c r="U37" i="1"/>
  <c r="U10" i="1"/>
  <c r="A1" i="10"/>
  <c r="A7" i="10"/>
  <c r="B1" i="10"/>
  <c r="C7" i="10"/>
  <c r="B7" i="10"/>
  <c r="A6" i="10"/>
  <c r="C6" i="10"/>
  <c r="B6" i="10"/>
  <c r="A5" i="10"/>
  <c r="C5" i="10"/>
  <c r="B5" i="10"/>
  <c r="A4" i="10"/>
  <c r="C4" i="10"/>
  <c r="B4" i="10"/>
  <c r="G5" i="9"/>
  <c r="H5" i="9"/>
  <c r="I5" i="9"/>
  <c r="J5" i="9"/>
  <c r="K5" i="9"/>
  <c r="L5" i="9"/>
  <c r="M5" i="9"/>
  <c r="N5" i="9"/>
  <c r="J7" i="8"/>
  <c r="O5" i="9"/>
  <c r="G6" i="9"/>
  <c r="H6" i="9"/>
  <c r="I6" i="9"/>
  <c r="J6" i="9"/>
  <c r="K6" i="9"/>
  <c r="L6" i="9"/>
  <c r="M6" i="9"/>
  <c r="N6" i="9"/>
  <c r="J2" i="8"/>
  <c r="O6" i="9"/>
  <c r="G7" i="9"/>
  <c r="H7" i="9"/>
  <c r="I7" i="9"/>
  <c r="J7" i="9"/>
  <c r="K7" i="9"/>
  <c r="L7" i="9"/>
  <c r="M7" i="9"/>
  <c r="N7" i="9"/>
  <c r="J3" i="8"/>
  <c r="O7" i="9"/>
  <c r="G8" i="9"/>
  <c r="H8" i="9"/>
  <c r="I8" i="9"/>
  <c r="J8" i="9"/>
  <c r="K8" i="9"/>
  <c r="L8" i="9"/>
  <c r="M8" i="9"/>
  <c r="N8" i="9"/>
  <c r="J6" i="8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J5" i="8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J4" i="8"/>
  <c r="O4" i="9"/>
  <c r="O2" i="9"/>
  <c r="N2" i="9"/>
  <c r="M2" i="9"/>
  <c r="L2" i="9"/>
  <c r="K2" i="9"/>
  <c r="J2" i="9"/>
  <c r="I2" i="9"/>
  <c r="H2" i="9"/>
  <c r="G2" i="9"/>
  <c r="E3" i="9"/>
  <c r="E4" i="9"/>
  <c r="E5" i="9"/>
  <c r="E6" i="9"/>
  <c r="E7" i="9"/>
  <c r="E8" i="9"/>
  <c r="E9" i="9"/>
  <c r="E10" i="9"/>
  <c r="E11" i="9"/>
  <c r="E12" i="9"/>
  <c r="E13" i="9"/>
  <c r="E2" i="9"/>
  <c r="D2" i="9"/>
  <c r="D3" i="9"/>
  <c r="D4" i="9"/>
  <c r="D5" i="9"/>
  <c r="D6" i="9"/>
  <c r="D7" i="9"/>
  <c r="D8" i="9"/>
  <c r="D9" i="9"/>
  <c r="D10" i="9"/>
  <c r="D11" i="9"/>
  <c r="D12" i="9"/>
  <c r="D13" i="9"/>
  <c r="A13" i="9"/>
  <c r="A12" i="9"/>
  <c r="A11" i="9"/>
  <c r="A10" i="9"/>
  <c r="A9" i="9"/>
  <c r="A8" i="9"/>
  <c r="A7" i="9"/>
  <c r="A6" i="9"/>
  <c r="A5" i="9"/>
  <c r="A4" i="9"/>
  <c r="A3" i="9"/>
  <c r="A2" i="9"/>
  <c r="A1" i="13"/>
  <c r="B1" i="13"/>
  <c r="A14" i="13"/>
  <c r="D14" i="13"/>
  <c r="C14" i="13"/>
  <c r="B14" i="13"/>
  <c r="A13" i="13"/>
  <c r="D13" i="13"/>
  <c r="C13" i="13"/>
  <c r="B13" i="13"/>
  <c r="A12" i="13"/>
  <c r="D12" i="13"/>
  <c r="C12" i="13"/>
  <c r="B12" i="13"/>
  <c r="A11" i="13"/>
  <c r="D11" i="13"/>
  <c r="C11" i="13"/>
  <c r="B11" i="13"/>
  <c r="A10" i="13"/>
  <c r="D10" i="13"/>
  <c r="C10" i="13"/>
  <c r="B10" i="13"/>
  <c r="A9" i="13"/>
  <c r="D9" i="13"/>
  <c r="C9" i="13"/>
  <c r="B9" i="13"/>
  <c r="A8" i="13"/>
  <c r="D8" i="13"/>
  <c r="C8" i="13"/>
  <c r="B8" i="13"/>
  <c r="A7" i="13"/>
  <c r="D7" i="13"/>
  <c r="C7" i="13"/>
  <c r="B7" i="13"/>
  <c r="A6" i="13"/>
  <c r="D6" i="13"/>
  <c r="C6" i="13"/>
  <c r="B6" i="13"/>
  <c r="A5" i="13"/>
  <c r="D5" i="13"/>
  <c r="C5" i="13"/>
  <c r="B5" i="13"/>
  <c r="A4" i="13"/>
  <c r="D4" i="13"/>
  <c r="C4" i="13"/>
  <c r="B4" i="13"/>
  <c r="A3" i="13"/>
  <c r="D3" i="13"/>
  <c r="C3" i="13"/>
  <c r="B3" i="13"/>
  <c r="A1" i="12"/>
  <c r="B1" i="12"/>
  <c r="A8" i="12"/>
  <c r="J8" i="12"/>
  <c r="I8" i="12"/>
  <c r="H8" i="12"/>
  <c r="G8" i="12"/>
  <c r="F8" i="12"/>
  <c r="E8" i="12"/>
  <c r="D8" i="12"/>
  <c r="C8" i="12"/>
  <c r="B8" i="12"/>
  <c r="A7" i="12"/>
  <c r="J7" i="12"/>
  <c r="I7" i="12"/>
  <c r="H7" i="12"/>
  <c r="G7" i="12"/>
  <c r="F7" i="12"/>
  <c r="E7" i="12"/>
  <c r="D7" i="12"/>
  <c r="C7" i="12"/>
  <c r="B7" i="12"/>
  <c r="A6" i="12"/>
  <c r="J6" i="12"/>
  <c r="I6" i="12"/>
  <c r="H6" i="12"/>
  <c r="G6" i="12"/>
  <c r="F6" i="12"/>
  <c r="E6" i="12"/>
  <c r="D6" i="12"/>
  <c r="C6" i="12"/>
  <c r="B6" i="12"/>
  <c r="A5" i="12"/>
  <c r="J5" i="12"/>
  <c r="I5" i="12"/>
  <c r="H5" i="12"/>
  <c r="G5" i="12"/>
  <c r="F5" i="12"/>
  <c r="E5" i="12"/>
  <c r="D5" i="12"/>
  <c r="C5" i="12"/>
  <c r="B5" i="12"/>
  <c r="A4" i="12"/>
  <c r="J4" i="12"/>
  <c r="I4" i="12"/>
  <c r="H4" i="12"/>
  <c r="G4" i="12"/>
  <c r="F4" i="12"/>
  <c r="E4" i="12"/>
  <c r="D4" i="12"/>
  <c r="C4" i="12"/>
  <c r="B4" i="12"/>
  <c r="A3" i="12"/>
  <c r="J3" i="12"/>
  <c r="I3" i="12"/>
  <c r="H3" i="12"/>
  <c r="G3" i="12"/>
  <c r="F3" i="12"/>
  <c r="E3" i="12"/>
  <c r="D3" i="12"/>
  <c r="C3" i="12"/>
  <c r="B3" i="12"/>
  <c r="A1" i="11"/>
  <c r="B1" i="11"/>
  <c r="A7" i="11"/>
  <c r="D7" i="11"/>
  <c r="C7" i="11"/>
  <c r="A6" i="11"/>
  <c r="D6" i="11"/>
  <c r="C6" i="11"/>
  <c r="A5" i="11"/>
  <c r="D5" i="11"/>
  <c r="C5" i="11"/>
  <c r="A4" i="11"/>
  <c r="D4" i="11"/>
  <c r="C4" i="11"/>
  <c r="A3" i="11"/>
  <c r="D3" i="11"/>
  <c r="C3" i="11"/>
  <c r="A3" i="10"/>
  <c r="C3" i="10"/>
  <c r="B3" i="10"/>
  <c r="C1" i="6"/>
  <c r="A1" i="6"/>
  <c r="A38" i="1"/>
  <c r="A39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B1" i="6"/>
  <c r="W39" i="6"/>
  <c r="V39" i="6"/>
  <c r="U39" i="6"/>
  <c r="T39" i="6"/>
  <c r="S39" i="6"/>
  <c r="R39" i="6"/>
  <c r="AE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AE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E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E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E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E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E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E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E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E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E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E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E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E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AE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E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E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E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E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E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E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E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E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E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E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E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E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E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AE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E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E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E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E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E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E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E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G5" i="2"/>
  <c r="A5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B5" i="2"/>
  <c r="G6" i="2"/>
  <c r="A6" i="2"/>
  <c r="B6" i="2"/>
  <c r="G7" i="2"/>
  <c r="A7" i="2"/>
  <c r="B7" i="2"/>
  <c r="G8" i="2"/>
  <c r="A8" i="2"/>
  <c r="B8" i="2"/>
  <c r="G9" i="2"/>
  <c r="A9" i="2"/>
  <c r="B9" i="2"/>
  <c r="G10" i="2"/>
  <c r="A10" i="2"/>
  <c r="B10" i="2"/>
  <c r="G2" i="2"/>
  <c r="A2" i="2"/>
  <c r="B2" i="2"/>
  <c r="G3" i="2"/>
  <c r="A3" i="2"/>
  <c r="B3" i="2"/>
  <c r="G4" i="2"/>
  <c r="A4" i="2"/>
  <c r="B4" i="2"/>
  <c r="D38" i="1"/>
  <c r="F38" i="1"/>
  <c r="E38" i="1"/>
  <c r="D35" i="1"/>
  <c r="F35" i="1"/>
  <c r="E35" i="1"/>
  <c r="D34" i="1"/>
  <c r="F34" i="1"/>
  <c r="E34" i="1"/>
  <c r="D33" i="1"/>
  <c r="F33" i="1"/>
  <c r="E33" i="1"/>
  <c r="D29" i="1"/>
  <c r="F29" i="1"/>
  <c r="E29" i="1"/>
  <c r="D32" i="1"/>
  <c r="F32" i="1"/>
  <c r="E32" i="1"/>
  <c r="D31" i="1"/>
  <c r="F31" i="1"/>
  <c r="E31" i="1"/>
  <c r="D30" i="1"/>
  <c r="F30" i="1"/>
  <c r="E30" i="1"/>
  <c r="D36" i="1"/>
  <c r="F36" i="1"/>
  <c r="E36" i="1"/>
  <c r="D28" i="1"/>
  <c r="F28" i="1"/>
  <c r="E28" i="1"/>
  <c r="D27" i="1"/>
  <c r="F27" i="1"/>
  <c r="E27" i="1"/>
  <c r="D26" i="1"/>
  <c r="F26" i="1"/>
  <c r="E26" i="1"/>
  <c r="D25" i="1"/>
  <c r="F25" i="1"/>
  <c r="E25" i="1"/>
  <c r="D24" i="1"/>
  <c r="F24" i="1"/>
  <c r="E24" i="1"/>
  <c r="D19" i="1"/>
  <c r="F19" i="1"/>
  <c r="E19" i="1"/>
  <c r="D22" i="1"/>
  <c r="F22" i="1"/>
  <c r="E22" i="1"/>
  <c r="D21" i="1"/>
  <c r="F21" i="1"/>
  <c r="E21" i="1"/>
  <c r="D20" i="1"/>
  <c r="F20" i="1"/>
  <c r="E20" i="1"/>
  <c r="D23" i="1"/>
  <c r="F23" i="1"/>
  <c r="E23" i="1"/>
  <c r="D18" i="1"/>
  <c r="F18" i="1"/>
  <c r="E18" i="1"/>
  <c r="D17" i="1"/>
  <c r="F17" i="1"/>
  <c r="E17" i="1"/>
  <c r="D16" i="1"/>
  <c r="F16" i="1"/>
  <c r="E16" i="1"/>
  <c r="D15" i="1"/>
  <c r="F15" i="1"/>
  <c r="E15" i="1"/>
  <c r="D14" i="1"/>
  <c r="F14" i="1"/>
  <c r="E14" i="1"/>
  <c r="C1" i="5"/>
  <c r="A1" i="5"/>
  <c r="A11" i="5"/>
  <c r="B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10" i="2"/>
  <c r="E10" i="2"/>
  <c r="D10" i="2"/>
  <c r="H9" i="2"/>
  <c r="E9" i="2"/>
  <c r="D9" i="2"/>
  <c r="H8" i="2"/>
  <c r="E8" i="2"/>
  <c r="D8" i="2"/>
  <c r="H7" i="2"/>
  <c r="E7" i="2"/>
  <c r="D7" i="2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D37" i="1"/>
  <c r="F37" i="1"/>
  <c r="E37" i="1"/>
  <c r="D13" i="1"/>
  <c r="F13" i="1"/>
  <c r="E13" i="1"/>
  <c r="D12" i="1"/>
  <c r="F12" i="1"/>
  <c r="E12" i="1"/>
  <c r="D11" i="1"/>
  <c r="F11" i="1"/>
  <c r="E11" i="1"/>
  <c r="D10" i="1"/>
  <c r="F10" i="1"/>
  <c r="E10" i="1"/>
  <c r="D9" i="1"/>
  <c r="F9" i="1"/>
  <c r="E9" i="1"/>
  <c r="D8" i="1"/>
  <c r="F8" i="1"/>
  <c r="E8" i="1"/>
  <c r="D7" i="1"/>
  <c r="F7" i="1"/>
  <c r="E7" i="1"/>
  <c r="D6" i="1"/>
  <c r="F6" i="1"/>
  <c r="E6" i="1"/>
  <c r="D5" i="1"/>
  <c r="F5" i="1"/>
  <c r="E5" i="1"/>
  <c r="D4" i="1"/>
  <c r="F4" i="1"/>
  <c r="E4" i="1"/>
  <c r="D3" i="1"/>
  <c r="F3" i="1"/>
  <c r="E3" i="1"/>
  <c r="AE2" i="1"/>
  <c r="D2" i="1"/>
  <c r="F2" i="1"/>
  <c r="E2" i="1"/>
  <c r="A3" i="6"/>
  <c r="I3" i="6"/>
  <c r="H3" i="6"/>
  <c r="G3" i="6"/>
  <c r="W3" i="6"/>
  <c r="V3" i="6"/>
  <c r="U3" i="6"/>
  <c r="T3" i="6"/>
  <c r="S3" i="6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comments1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3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3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3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3"/>
            <charset val="128"/>
          </rPr>
          <t>[UNUSED]
システム側では未使用。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3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3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3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3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<sst xmlns="http://schemas.openxmlformats.org/spreadsheetml/2006/main" count="219" uniqueCount="123">
  <si>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</si>
  <si>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</si>
  <si>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</si>
  <si>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</si>
  <si>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</si>
  <si>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</si>
  <si>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</si>
  <si>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</si>
  <si>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</si>
  <si>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</si>
  <si>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</si>
  <si>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</si>
  <si>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</si>
  <si>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</si>
  <si>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</si>
  <si>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</si>
  <si>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</si>
  <si>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</si>
  <si>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</si>
  <si>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</si>
  <si>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</si>
  <si>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</si>
  <si>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</si>
  <si>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</si>
  <si>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</si>
  <si>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</si>
  <si>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</si>
  <si>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</si>
  <si>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</si>
  <si>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</si>
  <si>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</si>
  <si>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</si>
  <si>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</si>
  <si>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</si>
  <si>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</si>
  <si>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</si>
  <si>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</si>
  <si>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</si>
  <si>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</si>
  <si>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</si>
  <si>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</si>
  <si>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</si>
  <si>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</si>
  <si>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</si>
  <si>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</si>
  <si>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</si>
  <si>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</si>
  <si>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</si>
  <si>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</si>
  <si>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</si>
  <si>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</si>
  <si>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</si>
  <si>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</si>
  <si>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</si>
  <si>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</si>
  <si>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</si>
  <si>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</si>
  <si>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</si>
  <si>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</si>
  <si>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</si>
  <si>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</si>
  <si>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</si>
  <si>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</si>
  <si>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LB藤井</t>
    <rPh sb="2" eb="4">
      <t>フジイ</t>
    </rPh>
    <phoneticPr fontId="3"/>
  </si>
  <si>
    <t>回復</t>
    <rPh sb="0" eb="2">
      <t>カイフク</t>
    </rPh>
    <phoneticPr fontId="3"/>
  </si>
  <si>
    <t>恍惚の表情を浮かべている</t>
    <rPh sb="0" eb="2">
      <t>コウコツ</t>
    </rPh>
    <rPh sb="3" eb="5">
      <t>ヒョウジョウ</t>
    </rPh>
    <rPh sb="6" eb="7">
      <t>ウ</t>
    </rPh>
    <phoneticPr fontId="3"/>
  </si>
  <si>
    <t>3ターンスキルが使えない！＋攻撃</t>
    <rPh sb="8" eb="9">
      <t>ツカ</t>
    </rPh>
    <rPh sb="14" eb="16">
      <t>コウゲキ</t>
    </rPh>
    <phoneticPr fontId="3"/>
  </si>
  <si>
    <t>3ターンスキルが使えない！＋全体攻撃</t>
    <rPh sb="8" eb="9">
      <t>ツカ</t>
    </rPh>
    <rPh sb="14" eb="16">
      <t>ゼンタイ</t>
    </rPh>
    <rPh sb="16" eb="18">
      <t>コウゲキ</t>
    </rPh>
    <phoneticPr fontId="3"/>
  </si>
  <si>
    <t>ドロップ3-1（スキル発動優先度制御のためID変更中）</t>
    <rPh sb="11" eb="13">
      <t>ハツドウ</t>
    </rPh>
    <rPh sb="13" eb="16">
      <t>ユウセンド</t>
    </rPh>
    <rPh sb="16" eb="18">
      <t>セイギョ</t>
    </rPh>
    <rPh sb="23" eb="26">
      <t>ヘンコウチュウ</t>
    </rPh>
    <phoneticPr fontId="3"/>
  </si>
  <si>
    <t>1ターンスキルが使えない！＋全体攻撃</t>
    <rPh sb="8" eb="9">
      <t>ツカ</t>
    </rPh>
    <rPh sb="14" eb="16">
      <t>ゼンタイ</t>
    </rPh>
    <rPh sb="16" eb="18">
      <t>コウゲキ</t>
    </rPh>
    <phoneticPr fontId="3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</si>
  <si>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</si>
  <si>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</si>
  <si>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</si>
  <si>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</si>
  <si>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</si>
  <si>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</si>
  <si>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</si>
  <si>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</si>
  <si>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</si>
  <si>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</si>
  <si>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重複チェック</t>
    <rPh sb="0" eb="2">
      <t>チョウフク</t>
    </rPh>
    <phoneticPr fontId="3"/>
  </si>
  <si>
    <t>null</t>
  </si>
  <si>
    <t>null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</si>
  <si>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</si>
  <si>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</si>
  <si>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</si>
  <si>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</si>
  <si>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</si>
  <si>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first_time</t>
  </si>
  <si>
    <t>invoke_rate</t>
  </si>
  <si>
    <t>hp_threshold</t>
  </si>
  <si>
    <t>invoke_times</t>
  </si>
  <si>
    <t>ドロップ3-1</t>
    <phoneticPr fontId="3"/>
  </si>
  <si>
    <t>ドロップ3-1</t>
  </si>
  <si>
    <t>enemy_skills</t>
    <phoneticPr fontId="3"/>
  </si>
  <si>
    <t>effect_param</t>
    <phoneticPr fontId="3"/>
  </si>
  <si>
    <t>enemy_skills</t>
    <phoneticPr fontId="3"/>
  </si>
  <si>
    <t>language</t>
  </si>
  <si>
    <t>name</t>
  </si>
  <si>
    <t>comment</t>
  </si>
  <si>
    <t>ja</t>
    <phoneticPr fontId="3"/>
  </si>
  <si>
    <t>enemy_skill_triggers</t>
  </si>
  <si>
    <t>skill_trigger_id</t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</si>
  <si>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</si>
  <si>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</si>
  <si>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</si>
  <si>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</si>
  <si>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priority</t>
    <phoneticPr fontId="3"/>
  </si>
  <si>
    <t>enemy_skill_sets</t>
  </si>
  <si>
    <t>skill_id</t>
  </si>
  <si>
    <t>skill_local_flg</t>
    <phoneticPr fontId="3"/>
  </si>
  <si>
    <t>[effect:heal, target:enemy_one, val:0.1, animation:enemy_heal]</t>
    <phoneticPr fontId="3"/>
  </si>
  <si>
    <t>[effect:hungup, target:unit_one, turn:3, rate:1.0, animation:enemy_hungup],[effect:rush, count:1, val:1.2]</t>
    <phoneticPr fontId="3"/>
  </si>
  <si>
    <t>ダメ…来ないで！</t>
    <phoneticPr fontId="5"/>
  </si>
  <si>
    <t>[effect:hungup, target:unit_all, turn:3, rate:1.0, animation:enemy_hungup],[effect:spread, val:0.4, animation:enemy_spread]</t>
    <phoneticPr fontId="3"/>
  </si>
  <si>
    <t>それ以上…近づかれたら…</t>
    <phoneticPr fontId="3"/>
  </si>
  <si>
    <t>[effect:hungup, target:unit_all, turn:1, rate:1.0, animation:enemy_hungup],[effect:spread, val:0.4, animation:enemy_spread]</t>
    <phoneticPr fontId="3"/>
  </si>
  <si>
    <t>すぐ楽になるわ…</t>
    <phoneticPr fontId="3"/>
  </si>
  <si>
    <t>[effect:spread, val:0.6, animation:enemy_spread]</t>
    <phoneticPr fontId="3"/>
  </si>
  <si>
    <t>抑えられないの…ッ！！</t>
    <phoneticPr fontId="3"/>
  </si>
  <si>
    <t>全体攻撃</t>
    <phoneticPr fontId="3"/>
  </si>
  <si>
    <t>ドロップ3-1（スキル発動優先度制御のためID変更中）</t>
    <phoneticPr fontId="3"/>
  </si>
  <si>
    <t>null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</si>
</sst>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0"/>
      <color indexed="81"/>
      <name val="ＭＳ Ｐ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indexed="2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8"/>
      </left>
      <right/>
      <top style="medium">
        <color auto="1"/>
      </top>
      <bottom style="thin">
        <color auto="1"/>
      </bottom>
      <diagonal/>
    </border>
  </borders>
  <cellStyleXfs count="628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17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" xfId="420" applyFont="1" applyFill="1" applyBorder="1" applyAlignment="1">
      <alignment horizontal="right" vertical="center"/>
    </xf>
    <xf numFmtId="0" fontId="2" fillId="0" borderId="7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0" borderId="7" xfId="420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178" fontId="6" fillId="0" borderId="13" xfId="0" applyNumberFormat="1" applyFont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2" fillId="0" borderId="15" xfId="420" applyFont="1" applyFill="1" applyBorder="1" applyAlignment="1">
      <alignment horizontal="right" vertical="center"/>
    </xf>
    <xf numFmtId="0" fontId="10" fillId="8" borderId="16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0" borderId="19" xfId="420" applyFont="1" applyFill="1" applyBorder="1" applyAlignment="1">
      <alignment horizontal="right" vertical="center"/>
    </xf>
    <xf numFmtId="0" fontId="6" fillId="0" borderId="21" xfId="0" applyFont="1" applyBorder="1" applyAlignment="1">
      <alignment vertical="center"/>
    </xf>
    <xf numFmtId="178" fontId="6" fillId="0" borderId="21" xfId="0" applyNumberFormat="1" applyFont="1" applyBorder="1" applyAlignment="1">
      <alignment vertical="center"/>
    </xf>
    <xf numFmtId="0" fontId="2" fillId="0" borderId="22" xfId="0" applyFont="1" applyBorder="1" applyAlignment="1">
      <alignment vertical="center"/>
    </xf>
    <xf numFmtId="0" fontId="2" fillId="0" borderId="18" xfId="42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10" fillId="8" borderId="23" xfId="0" applyFont="1" applyFill="1" applyBorder="1" applyAlignment="1">
      <alignment vertical="center"/>
    </xf>
    <xf numFmtId="177" fontId="2" fillId="0" borderId="24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10" fillId="8" borderId="27" xfId="0" applyFont="1" applyFill="1" applyBorder="1" applyAlignment="1">
      <alignment vertical="center"/>
    </xf>
    <xf numFmtId="177" fontId="2" fillId="0" borderId="13" xfId="0" applyNumberFormat="1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vertical="center"/>
    </xf>
    <xf numFmtId="0" fontId="2" fillId="0" borderId="29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10" fillId="8" borderId="31" xfId="0" applyFont="1" applyFill="1" applyBorder="1" applyAlignment="1">
      <alignment vertical="center"/>
    </xf>
    <xf numFmtId="177" fontId="2" fillId="0" borderId="4" xfId="0" applyNumberFormat="1" applyFont="1" applyFill="1" applyBorder="1" applyAlignment="1">
      <alignment horizontal="center" vertical="center"/>
    </xf>
    <xf numFmtId="0" fontId="4" fillId="5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1" xfId="0" applyFont="1" applyBorder="1" applyAlignment="1">
      <alignment vertical="center"/>
    </xf>
    <xf numFmtId="0" fontId="10" fillId="8" borderId="30" xfId="0" applyFont="1" applyFill="1" applyBorder="1" applyAlignment="1">
      <alignment vertical="center"/>
    </xf>
    <xf numFmtId="177" fontId="2" fillId="0" borderId="21" xfId="0" applyNumberFormat="1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vertical="center"/>
    </xf>
    <xf numFmtId="0" fontId="2" fillId="0" borderId="21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178" fontId="6" fillId="0" borderId="24" xfId="0" applyNumberFormat="1" applyFont="1" applyBorder="1" applyAlignment="1">
      <alignment vertical="center"/>
    </xf>
    <xf numFmtId="178" fontId="6" fillId="0" borderId="5" xfId="0" applyNumberFormat="1" applyFont="1" applyBorder="1" applyAlignment="1">
      <alignment vertical="center"/>
    </xf>
    <xf numFmtId="178" fontId="6" fillId="0" borderId="29" xfId="0" applyNumberFormat="1" applyFont="1" applyBorder="1" applyAlignment="1">
      <alignment vertical="center"/>
    </xf>
    <xf numFmtId="0" fontId="10" fillId="0" borderId="35" xfId="0" applyFont="1" applyFill="1" applyBorder="1" applyAlignment="1">
      <alignment vertical="center"/>
    </xf>
    <xf numFmtId="0" fontId="2" fillId="0" borderId="35" xfId="0" applyFont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177" fontId="2" fillId="12" borderId="3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vertical="center"/>
    </xf>
    <xf numFmtId="0" fontId="2" fillId="12" borderId="2" xfId="420" applyFont="1" applyFill="1" applyBorder="1" applyAlignment="1">
      <alignment horizontal="right" vertical="center"/>
    </xf>
    <xf numFmtId="0" fontId="2" fillId="12" borderId="7" xfId="420" applyFont="1" applyFill="1" applyBorder="1" applyAlignment="1">
      <alignment horizontal="right" vertical="center"/>
    </xf>
    <xf numFmtId="177" fontId="2" fillId="12" borderId="17" xfId="0" applyNumberFormat="1" applyFont="1" applyFill="1" applyBorder="1" applyAlignment="1">
      <alignment horizontal="center" vertical="center"/>
    </xf>
    <xf numFmtId="0" fontId="2" fillId="12" borderId="18" xfId="0" applyFont="1" applyFill="1" applyBorder="1" applyAlignment="1">
      <alignment horizontal="center" vertical="center"/>
    </xf>
    <xf numFmtId="0" fontId="4" fillId="13" borderId="17" xfId="0" applyFont="1" applyFill="1" applyBorder="1" applyAlignment="1">
      <alignment vertical="center"/>
    </xf>
    <xf numFmtId="0" fontId="2" fillId="12" borderId="19" xfId="420" applyFont="1" applyFill="1" applyBorder="1" applyAlignment="1">
      <alignment horizontal="right" vertical="center"/>
    </xf>
    <xf numFmtId="0" fontId="6" fillId="12" borderId="4" xfId="0" applyFont="1" applyFill="1" applyBorder="1" applyAlignment="1">
      <alignment vertical="center"/>
    </xf>
    <xf numFmtId="178" fontId="6" fillId="12" borderId="4" xfId="0" applyNumberFormat="1" applyFont="1" applyFill="1" applyBorder="1" applyAlignment="1">
      <alignment vertical="center"/>
    </xf>
    <xf numFmtId="0" fontId="6" fillId="12" borderId="21" xfId="0" applyFont="1" applyFill="1" applyBorder="1" applyAlignment="1">
      <alignment vertical="center"/>
    </xf>
    <xf numFmtId="178" fontId="6" fillId="12" borderId="21" xfId="0" applyNumberFormat="1" applyFont="1" applyFill="1" applyBorder="1" applyAlignment="1">
      <alignment vertical="center"/>
    </xf>
    <xf numFmtId="0" fontId="14" fillId="7" borderId="7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0" borderId="0" xfId="0" applyFont="1" applyFill="1" applyAlignment="1">
      <alignment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15" fillId="0" borderId="7" xfId="0" applyFont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/>
    </xf>
    <xf numFmtId="0" fontId="9" fillId="7" borderId="7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vertical="center"/>
    </xf>
    <xf numFmtId="0" fontId="12" fillId="8" borderId="0" xfId="0" applyFont="1" applyFill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18" borderId="7" xfId="0" applyFont="1" applyFill="1" applyBorder="1" applyAlignment="1">
      <alignment vertical="center"/>
    </xf>
    <xf numFmtId="0" fontId="0" fillId="6" borderId="0" xfId="0" applyFill="1"/>
    <xf numFmtId="176" fontId="0" fillId="6" borderId="0" xfId="0" applyNumberFormat="1" applyFill="1"/>
    <xf numFmtId="0" fontId="9" fillId="0" borderId="0" xfId="0" applyFont="1" applyFill="1" applyBorder="1"/>
    <xf numFmtId="0" fontId="12" fillId="8" borderId="0" xfId="0" applyFont="1" applyFill="1" applyBorder="1"/>
    <xf numFmtId="0" fontId="2" fillId="2" borderId="8" xfId="0" applyFont="1" applyFill="1" applyBorder="1" applyAlignment="1">
      <alignment horizontal="left" vertical="center"/>
    </xf>
    <xf numFmtId="0" fontId="6" fillId="12" borderId="32" xfId="0" applyFont="1" applyFill="1" applyBorder="1" applyAlignment="1">
      <alignment vertical="center"/>
    </xf>
    <xf numFmtId="0" fontId="6" fillId="12" borderId="34" xfId="0" applyFont="1" applyFill="1" applyBorder="1" applyAlignment="1">
      <alignment vertical="center"/>
    </xf>
    <xf numFmtId="0" fontId="6" fillId="0" borderId="37" xfId="0" applyFont="1" applyBorder="1" applyAlignment="1">
      <alignment vertical="center"/>
    </xf>
    <xf numFmtId="0" fontId="6" fillId="0" borderId="32" xfId="0" applyFont="1" applyBorder="1" applyAlignment="1">
      <alignment vertical="center"/>
    </xf>
    <xf numFmtId="0" fontId="6" fillId="0" borderId="34" xfId="0" applyFont="1" applyBorder="1" applyAlignment="1">
      <alignment vertical="center"/>
    </xf>
    <xf numFmtId="0" fontId="2" fillId="2" borderId="10" xfId="0" applyFont="1" applyFill="1" applyBorder="1" applyAlignment="1">
      <alignment horizontal="left" vertical="center"/>
    </xf>
    <xf numFmtId="0" fontId="4" fillId="11" borderId="20" xfId="0" applyFont="1" applyFill="1" applyBorder="1" applyAlignment="1">
      <alignment vertical="center"/>
    </xf>
    <xf numFmtId="0" fontId="4" fillId="11" borderId="33" xfId="0" applyFont="1" applyFill="1" applyBorder="1" applyAlignment="1">
      <alignment vertical="center"/>
    </xf>
    <xf numFmtId="0" fontId="4" fillId="11" borderId="28" xfId="0" applyFont="1" applyFill="1" applyBorder="1" applyAlignment="1">
      <alignment vertical="center"/>
    </xf>
    <xf numFmtId="0" fontId="4" fillId="11" borderId="11" xfId="0" applyFont="1" applyFill="1" applyBorder="1" applyAlignment="1">
      <alignment vertical="center"/>
    </xf>
    <xf numFmtId="0" fontId="6" fillId="12" borderId="7" xfId="0" applyFont="1" applyFill="1" applyBorder="1" applyAlignment="1">
      <alignment vertical="center"/>
    </xf>
    <xf numFmtId="0" fontId="6" fillId="0" borderId="7" xfId="0" applyFont="1" applyBorder="1" applyAlignment="1">
      <alignment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2" fillId="19" borderId="14" xfId="0" applyFont="1" applyFill="1" applyBorder="1" applyAlignment="1">
      <alignment vertical="center"/>
    </xf>
    <xf numFmtId="0" fontId="2" fillId="19" borderId="6" xfId="0" applyFont="1" applyFill="1" applyBorder="1" applyAlignment="1">
      <alignment vertical="center"/>
    </xf>
    <xf numFmtId="0" fontId="2" fillId="19" borderId="19" xfId="0" applyFont="1" applyFill="1" applyBorder="1" applyAlignment="1">
      <alignment vertical="center"/>
    </xf>
  </cellXfs>
  <cellStyles count="628">
    <cellStyle name="Excel Built-in Normal" xfId="579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桁区切り 2" xfId="580"/>
    <cellStyle name="標準" xfId="0" builtinId="0"/>
    <cellStyle name="標準 2" xfId="583"/>
    <cellStyle name="標準 2 2" xfId="420"/>
    <cellStyle name="標準 3" xfId="584"/>
    <cellStyle name="標準 4" xfId="11"/>
    <cellStyle name="無題1" xfId="58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赤字強調" xfId="582"/>
    <cellStyle name="青字強調" xfId="58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D2" sqref="D2"/>
    </sheetView>
  </sheetViews>
  <sheetFormatPr baseColWidth="12" defaultColWidth="13" defaultRowHeight="21" customHeight="1" outlineLevelCol="1" x14ac:dyDescent="0.15"/>
  <cols>
    <col min="1" max="1" width="8.83203125" style="22" bestFit="1" customWidth="1"/>
    <col min="2" max="2" width="5" style="22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2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7" t="s">
        <v>31</v>
      </c>
      <c r="B1" s="17" t="s">
        <v>38</v>
      </c>
      <c r="C1" s="1" t="s">
        <v>0</v>
      </c>
      <c r="D1" s="2" t="s">
        <v>18</v>
      </c>
      <c r="E1" s="16" t="s">
        <v>35</v>
      </c>
      <c r="F1" s="1" t="s">
        <v>1</v>
      </c>
      <c r="G1" s="24" t="s">
        <v>34</v>
      </c>
      <c r="H1" s="16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>G2&amp;"-"&amp;I2</f>
        <v>20009_1-1</v>
      </c>
      <c r="B2" s="17" t="str">
        <f>IF(COUNTIF(enemy_habitats_drop_3_1!$H:$H,A2),"OK","NG")</f>
        <v>OK</v>
      </c>
      <c r="C2" s="38">
        <v>20009</v>
      </c>
      <c r="D2" s="21" t="str">
        <f ca="1">VLOOKUP($C2,OFFSET([2]quests!$A$1,0,0,COUNTA([2]quests!$A:$A),MATCH(D$1,[2]quests!$1:$1,0)-MATCH($C$1,[2]quests!$1:$1,0)+1),MATCH(D$1,[2]quests!$1:$1,0)-MATCH($C$1,[2]quests!$1:$1,0)+1,FALSE)</f>
        <v>迫り来る窒息</v>
      </c>
      <c r="E2" s="21" t="str">
        <f ca="1">VLOOKUP($C2,OFFSET([2]quests!$A$1,0,0,COUNTA([2]quests!$A:$A),MATCH(E$1,[2]quests!$1:$1,0)-MATCH($C$1,[2]quests!$1:$1,0)+1),MATCH(E$1,[2]quests!$1:$1,0)-MATCH($C$1,[2]quests!$1:$1,0)+1,FALSE)</f>
        <v>ドロップイベント3</v>
      </c>
      <c r="F2" s="36">
        <v>1</v>
      </c>
      <c r="G2" s="24" t="str">
        <f>C2&amp;"_"&amp;F2</f>
        <v>20009_1</v>
      </c>
      <c r="H2" s="16" t="str">
        <f ca="1">VLOOKUP($G2,OFFSET([2]stages!$A$1,0,0,COUNTA([2]stages!$A:$A),MATCH(H$1,[2]stages!$2:$2,0)-MATCH($G$1,[2]stages!$2:$2,0)+1),MATCH(H$1,[2]stages!$2:$2,0)-MATCH($G$1,[2]stages!$2:$2,0)+1,FALSE)</f>
        <v>【初級】迫り来る窒息</v>
      </c>
      <c r="I2" s="36">
        <v>1</v>
      </c>
      <c r="J2" s="49">
        <v>30</v>
      </c>
      <c r="K2" s="49">
        <v>30</v>
      </c>
    </row>
    <row r="3" spans="1:11" ht="21" customHeight="1" x14ac:dyDescent="0.15">
      <c r="A3" s="17" t="str">
        <f t="shared" ref="A3:A10" si="0">G3&amp;"-"&amp;I3</f>
        <v>20009_1-2</v>
      </c>
      <c r="B3" s="17" t="str">
        <f>IF(COUNTIF(enemy_habitats_drop_3_1!$H:$H,A3),"OK","NG")</f>
        <v>OK</v>
      </c>
      <c r="C3" s="38">
        <v>20009</v>
      </c>
      <c r="D3" s="21" t="str">
        <f ca="1">VLOOKUP($C3,OFFSET([2]quests!$A$1,0,0,COUNTA([2]quests!$A:$A),MATCH(D$1,[2]quests!$1:$1,0)-MATCH($C$1,[2]quests!$1:$1,0)+1),MATCH(D$1,[2]quests!$1:$1,0)-MATCH($C$1,[2]quests!$1:$1,0)+1,FALSE)</f>
        <v>迫り来る窒息</v>
      </c>
      <c r="E3" s="21" t="str">
        <f ca="1">VLOOKUP($C3,OFFSET([2]quests!$A$1,0,0,COUNTA([2]quests!$A:$A),MATCH(E$1,[2]quests!$1:$1,0)-MATCH($C$1,[2]quests!$1:$1,0)+1),MATCH(E$1,[2]quests!$1:$1,0)-MATCH($C$1,[2]quests!$1:$1,0)+1,FALSE)</f>
        <v>ドロップイベント3</v>
      </c>
      <c r="F3" s="36">
        <v>1</v>
      </c>
      <c r="G3" s="24" t="str">
        <f t="shared" ref="G3:G4" si="1">C3&amp;"_"&amp;F3</f>
        <v>20009_1</v>
      </c>
      <c r="H3" s="16" t="str">
        <f ca="1">VLOOKUP($G3,OFFSET([2]stages!$A$1,0,0,COUNTA([2]stages!$A:$A),MATCH(H$1,[2]stages!$2:$2,0)-MATCH($G$1,[2]stages!$2:$2,0)+1),MATCH(H$1,[2]stages!$2:$2,0)-MATCH($G$1,[2]stages!$2:$2,0)+1,FALSE)</f>
        <v>【初級】迫り来る窒息</v>
      </c>
      <c r="I3" s="36">
        <v>2</v>
      </c>
      <c r="J3" s="49">
        <v>45</v>
      </c>
      <c r="K3" s="49">
        <v>45</v>
      </c>
    </row>
    <row r="4" spans="1:11" ht="21" customHeight="1" x14ac:dyDescent="0.15">
      <c r="A4" s="17" t="str">
        <f t="shared" si="0"/>
        <v>20009_1-3</v>
      </c>
      <c r="B4" s="17" t="str">
        <f>IF(COUNTIF(enemy_habitats_drop_3_1!$H:$H,A4),"OK","NG")</f>
        <v>OK</v>
      </c>
      <c r="C4" s="38">
        <v>20009</v>
      </c>
      <c r="D4" s="21" t="str">
        <f ca="1">VLOOKUP($C4,OFFSET([2]quests!$A$1,0,0,COUNTA([2]quests!$A:$A),MATCH(D$1,[2]quests!$1:$1,0)-MATCH($C$1,[2]quests!$1:$1,0)+1),MATCH(D$1,[2]quests!$1:$1,0)-MATCH($C$1,[2]quests!$1:$1,0)+1,FALSE)</f>
        <v>迫り来る窒息</v>
      </c>
      <c r="E4" s="21" t="str">
        <f ca="1">VLOOKUP($C4,OFFSET([2]quests!$A$1,0,0,COUNTA([2]quests!$A:$A),MATCH(E$1,[2]quests!$1:$1,0)-MATCH($C$1,[2]quests!$1:$1,0)+1),MATCH(E$1,[2]quests!$1:$1,0)-MATCH($C$1,[2]quests!$1:$1,0)+1,FALSE)</f>
        <v>ドロップイベント3</v>
      </c>
      <c r="F4" s="36">
        <v>1</v>
      </c>
      <c r="G4" s="24" t="str">
        <f t="shared" si="1"/>
        <v>20009_1</v>
      </c>
      <c r="H4" s="16" t="str">
        <f ca="1">VLOOKUP($G4,OFFSET([2]stages!$A$1,0,0,COUNTA([2]stages!$A:$A),MATCH(H$1,[2]stages!$2:$2,0)-MATCH($G$1,[2]stages!$2:$2,0)+1),MATCH(H$1,[2]stages!$2:$2,0)-MATCH($G$1,[2]stages!$2:$2,0)+1,FALSE)</f>
        <v>【初級】迫り来る窒息</v>
      </c>
      <c r="I4" s="36">
        <v>3</v>
      </c>
      <c r="J4" s="49">
        <v>20</v>
      </c>
      <c r="K4" s="49">
        <v>20</v>
      </c>
    </row>
    <row r="5" spans="1:11" ht="21" customHeight="1" x14ac:dyDescent="0.15">
      <c r="A5" s="17" t="str">
        <f t="shared" si="0"/>
        <v>20009_2-1</v>
      </c>
      <c r="B5" s="17" t="str">
        <f>IF(COUNTIF(enemy_habitats_drop_3_1!$H:$H,A5),"OK","NG")</f>
        <v>OK</v>
      </c>
      <c r="C5" s="38">
        <v>20009</v>
      </c>
      <c r="D5" s="21" t="str">
        <f ca="1">VLOOKUP($C5,OFFSET([2]quests!$A$1,0,0,COUNTA([2]quests!$A:$A),MATCH(D$1,[2]quests!$1:$1,0)-MATCH($C$1,[2]quests!$1:$1,0)+1),MATCH(D$1,[2]quests!$1:$1,0)-MATCH($C$1,[2]quests!$1:$1,0)+1,FALSE)</f>
        <v>迫り来る窒息</v>
      </c>
      <c r="E5" s="21" t="str">
        <f ca="1">VLOOKUP($C5,OFFSET([2]quests!$A$1,0,0,COUNTA([2]quests!$A:$A),MATCH(E$1,[2]quests!$1:$1,0)-MATCH($C$1,[2]quests!$1:$1,0)+1),MATCH(E$1,[2]quests!$1:$1,0)-MATCH($C$1,[2]quests!$1:$1,0)+1,FALSE)</f>
        <v>ドロップイベント3</v>
      </c>
      <c r="F5" s="36">
        <v>2</v>
      </c>
      <c r="G5" s="24" t="str">
        <f>C5&amp;"_"&amp;F5</f>
        <v>20009_2</v>
      </c>
      <c r="H5" s="16" t="str">
        <f ca="1">VLOOKUP($G5,OFFSET([2]stages!$A$1,0,0,COUNTA([2]stages!$A:$A),MATCH(H$1,[2]stages!$2:$2,0)-MATCH($G$1,[2]stages!$2:$2,0)+1),MATCH(H$1,[2]stages!$2:$2,0)-MATCH($G$1,[2]stages!$2:$2,0)+1,FALSE)</f>
        <v>【中級】迫り来る窒息</v>
      </c>
      <c r="I5" s="36">
        <v>1</v>
      </c>
      <c r="J5" s="49">
        <v>35</v>
      </c>
      <c r="K5" s="49">
        <v>35</v>
      </c>
    </row>
    <row r="6" spans="1:11" ht="21" customHeight="1" x14ac:dyDescent="0.15">
      <c r="A6" s="17" t="str">
        <f t="shared" si="0"/>
        <v>20009_2-2</v>
      </c>
      <c r="B6" s="17" t="str">
        <f>IF(COUNTIF(enemy_habitats_drop_3_1!$H:$H,A6),"OK","NG")</f>
        <v>OK</v>
      </c>
      <c r="C6" s="38">
        <v>20009</v>
      </c>
      <c r="D6" s="21" t="str">
        <f ca="1">VLOOKUP($C6,OFFSET([2]quests!$A$1,0,0,COUNTA([2]quests!$A:$A),MATCH(D$1,[2]quests!$1:$1,0)-MATCH($C$1,[2]quests!$1:$1,0)+1),MATCH(D$1,[2]quests!$1:$1,0)-MATCH($C$1,[2]quests!$1:$1,0)+1,FALSE)</f>
        <v>迫り来る窒息</v>
      </c>
      <c r="E6" s="21" t="str">
        <f ca="1">VLOOKUP($C6,OFFSET([2]quests!$A$1,0,0,COUNTA([2]quests!$A:$A),MATCH(E$1,[2]quests!$1:$1,0)-MATCH($C$1,[2]quests!$1:$1,0)+1),MATCH(E$1,[2]quests!$1:$1,0)-MATCH($C$1,[2]quests!$1:$1,0)+1,FALSE)</f>
        <v>ドロップイベント3</v>
      </c>
      <c r="F6" s="36">
        <v>2</v>
      </c>
      <c r="G6" s="24" t="str">
        <f t="shared" ref="G6:G7" si="2">C6&amp;"_"&amp;F6</f>
        <v>20009_2</v>
      </c>
      <c r="H6" s="16" t="str">
        <f ca="1">VLOOKUP($G6,OFFSET([2]stages!$A$1,0,0,COUNTA([2]stages!$A:$A),MATCH(H$1,[2]stages!$2:$2,0)-MATCH($G$1,[2]stages!$2:$2,0)+1),MATCH(H$1,[2]stages!$2:$2,0)-MATCH($G$1,[2]stages!$2:$2,0)+1,FALSE)</f>
        <v>【中級】迫り来る窒息</v>
      </c>
      <c r="I6" s="36">
        <v>2</v>
      </c>
      <c r="J6" s="49">
        <v>45</v>
      </c>
      <c r="K6" s="49">
        <v>45</v>
      </c>
    </row>
    <row r="7" spans="1:11" ht="21" customHeight="1" x14ac:dyDescent="0.15">
      <c r="A7" s="17" t="str">
        <f t="shared" si="0"/>
        <v>20009_2-3</v>
      </c>
      <c r="B7" s="17" t="str">
        <f>IF(COUNTIF(enemy_habitats_drop_3_1!$H:$H,A7),"OK","NG")</f>
        <v>OK</v>
      </c>
      <c r="C7" s="38">
        <v>20009</v>
      </c>
      <c r="D7" s="21" t="str">
        <f ca="1">VLOOKUP($C7,OFFSET([2]quests!$A$1,0,0,COUNTA([2]quests!$A:$A),MATCH(D$1,[2]quests!$1:$1,0)-MATCH($C$1,[2]quests!$1:$1,0)+1),MATCH(D$1,[2]quests!$1:$1,0)-MATCH($C$1,[2]quests!$1:$1,0)+1,FALSE)</f>
        <v>迫り来る窒息</v>
      </c>
      <c r="E7" s="21" t="str">
        <f ca="1">VLOOKUP($C7,OFFSET([2]quests!$A$1,0,0,COUNTA([2]quests!$A:$A),MATCH(E$1,[2]quests!$1:$1,0)-MATCH($C$1,[2]quests!$1:$1,0)+1),MATCH(E$1,[2]quests!$1:$1,0)-MATCH($C$1,[2]quests!$1:$1,0)+1,FALSE)</f>
        <v>ドロップイベント3</v>
      </c>
      <c r="F7" s="36">
        <v>2</v>
      </c>
      <c r="G7" s="24" t="str">
        <f t="shared" si="2"/>
        <v>20009_2</v>
      </c>
      <c r="H7" s="16" t="str">
        <f ca="1">VLOOKUP($G7,OFFSET([2]stages!$A$1,0,0,COUNTA([2]stages!$A:$A),MATCH(H$1,[2]stages!$2:$2,0)-MATCH($G$1,[2]stages!$2:$2,0)+1),MATCH(H$1,[2]stages!$2:$2,0)-MATCH($G$1,[2]stages!$2:$2,0)+1,FALSE)</f>
        <v>【中級】迫り来る窒息</v>
      </c>
      <c r="I7" s="36">
        <v>3</v>
      </c>
      <c r="J7" s="49">
        <v>50</v>
      </c>
      <c r="K7" s="49">
        <v>50</v>
      </c>
    </row>
    <row r="8" spans="1:11" ht="21" customHeight="1" x14ac:dyDescent="0.15">
      <c r="A8" s="17" t="str">
        <f t="shared" si="0"/>
        <v>20009_3-1</v>
      </c>
      <c r="B8" s="17" t="str">
        <f>IF(COUNTIF(enemy_habitats_drop_3_1!$H:$H,A8),"OK","NG")</f>
        <v>OK</v>
      </c>
      <c r="C8" s="38">
        <v>20009</v>
      </c>
      <c r="D8" s="21" t="str">
        <f ca="1">VLOOKUP($C8,OFFSET([2]quests!$A$1,0,0,COUNTA([2]quests!$A:$A),MATCH(D$1,[2]quests!$1:$1,0)-MATCH($C$1,[2]quests!$1:$1,0)+1),MATCH(D$1,[2]quests!$1:$1,0)-MATCH($C$1,[2]quests!$1:$1,0)+1,FALSE)</f>
        <v>迫り来る窒息</v>
      </c>
      <c r="E8" s="21" t="str">
        <f ca="1">VLOOKUP($C8,OFFSET([2]quests!$A$1,0,0,COUNTA([2]quests!$A:$A),MATCH(E$1,[2]quests!$1:$1,0)-MATCH($C$1,[2]quests!$1:$1,0)+1),MATCH(E$1,[2]quests!$1:$1,0)-MATCH($C$1,[2]quests!$1:$1,0)+1,FALSE)</f>
        <v>ドロップイベント3</v>
      </c>
      <c r="F8" s="36">
        <v>3</v>
      </c>
      <c r="G8" s="24" t="str">
        <f>C8&amp;"_"&amp;F8</f>
        <v>20009_3</v>
      </c>
      <c r="H8" s="16" t="str">
        <f ca="1">VLOOKUP($G8,OFFSET([2]stages!$A$1,0,0,COUNTA([2]stages!$A:$A),MATCH(H$1,[2]stages!$2:$2,0)-MATCH($G$1,[2]stages!$2:$2,0)+1),MATCH(H$1,[2]stages!$2:$2,0)-MATCH($G$1,[2]stages!$2:$2,0)+1,FALSE)</f>
        <v>【上級】迫り来る窒息</v>
      </c>
      <c r="I8" s="36">
        <v>1</v>
      </c>
      <c r="J8" s="49">
        <v>55</v>
      </c>
      <c r="K8" s="49">
        <v>55</v>
      </c>
    </row>
    <row r="9" spans="1:11" ht="21" customHeight="1" x14ac:dyDescent="0.15">
      <c r="A9" s="17" t="str">
        <f t="shared" si="0"/>
        <v>20009_3-2</v>
      </c>
      <c r="B9" s="17" t="str">
        <f>IF(COUNTIF(enemy_habitats_drop_3_1!$H:$H,A9),"OK","NG")</f>
        <v>OK</v>
      </c>
      <c r="C9" s="38">
        <v>20009</v>
      </c>
      <c r="D9" s="21" t="str">
        <f ca="1">VLOOKUP($C9,OFFSET([2]quests!$A$1,0,0,COUNTA([2]quests!$A:$A),MATCH(D$1,[2]quests!$1:$1,0)-MATCH($C$1,[2]quests!$1:$1,0)+1),MATCH(D$1,[2]quests!$1:$1,0)-MATCH($C$1,[2]quests!$1:$1,0)+1,FALSE)</f>
        <v>迫り来る窒息</v>
      </c>
      <c r="E9" s="21" t="str">
        <f ca="1">VLOOKUP($C9,OFFSET([2]quests!$A$1,0,0,COUNTA([2]quests!$A:$A),MATCH(E$1,[2]quests!$1:$1,0)-MATCH($C$1,[2]quests!$1:$1,0)+1),MATCH(E$1,[2]quests!$1:$1,0)-MATCH($C$1,[2]quests!$1:$1,0)+1,FALSE)</f>
        <v>ドロップイベント3</v>
      </c>
      <c r="F9" s="36">
        <v>3</v>
      </c>
      <c r="G9" s="24" t="str">
        <f t="shared" ref="G9:G10" si="3">C9&amp;"_"&amp;F9</f>
        <v>20009_3</v>
      </c>
      <c r="H9" s="16" t="str">
        <f ca="1">VLOOKUP($G9,OFFSET([2]stages!$A$1,0,0,COUNTA([2]stages!$A:$A),MATCH(H$1,[2]stages!$2:$2,0)-MATCH($G$1,[2]stages!$2:$2,0)+1),MATCH(H$1,[2]stages!$2:$2,0)-MATCH($G$1,[2]stages!$2:$2,0)+1,FALSE)</f>
        <v>【上級】迫り来る窒息</v>
      </c>
      <c r="I9" s="36">
        <v>2</v>
      </c>
      <c r="J9" s="49">
        <v>20</v>
      </c>
      <c r="K9" s="49">
        <v>20</v>
      </c>
    </row>
    <row r="10" spans="1:11" ht="21" customHeight="1" x14ac:dyDescent="0.15">
      <c r="A10" s="17" t="str">
        <f t="shared" si="0"/>
        <v>20009_3-3</v>
      </c>
      <c r="B10" s="17" t="str">
        <f>IF(COUNTIF(enemy_habitats_drop_3_1!$H:$H,A10),"OK","NG")</f>
        <v>OK</v>
      </c>
      <c r="C10" s="38">
        <v>20009</v>
      </c>
      <c r="D10" s="21" t="str">
        <f ca="1">VLOOKUP($C10,OFFSET([2]quests!$A$1,0,0,COUNTA([2]quests!$A:$A),MATCH(D$1,[2]quests!$1:$1,0)-MATCH($C$1,[2]quests!$1:$1,0)+1),MATCH(D$1,[2]quests!$1:$1,0)-MATCH($C$1,[2]quests!$1:$1,0)+1,FALSE)</f>
        <v>迫り来る窒息</v>
      </c>
      <c r="E10" s="21" t="str">
        <f ca="1">VLOOKUP($C10,OFFSET([2]quests!$A$1,0,0,COUNTA([2]quests!$A:$A),MATCH(E$1,[2]quests!$1:$1,0)-MATCH($C$1,[2]quests!$1:$1,0)+1),MATCH(E$1,[2]quests!$1:$1,0)-MATCH($C$1,[2]quests!$1:$1,0)+1,FALSE)</f>
        <v>ドロップイベント3</v>
      </c>
      <c r="F10" s="36">
        <v>3</v>
      </c>
      <c r="G10" s="24" t="str">
        <f t="shared" si="3"/>
        <v>20009_3</v>
      </c>
      <c r="H10" s="16" t="str">
        <f ca="1">VLOOKUP($G10,OFFSET([2]stages!$A$1,0,0,COUNTA([2]stages!$A:$A),MATCH(H$1,[2]stages!$2:$2,0)-MATCH($G$1,[2]stages!$2:$2,0)+1),MATCH(H$1,[2]stages!$2:$2,0)-MATCH($G$1,[2]stages!$2:$2,0)+1,FALSE)</f>
        <v>【上級】迫り来る窒息</v>
      </c>
      <c r="I10" s="36">
        <v>3</v>
      </c>
      <c r="J10" s="49">
        <v>60</v>
      </c>
      <c r="K10" s="49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L39"/>
  <sheetViews>
    <sheetView showGridLines="0" workbookViewId="0">
      <pane xSplit="14" ySplit="1" topLeftCell="AC6" activePane="bottomRight" state="frozen"/>
      <selection pane="topRight" activeCell="N1" sqref="N1"/>
      <selection pane="bottomLeft" activeCell="A2" sqref="A2"/>
      <selection pane="bottomRight" activeCell="AJ22" sqref="AJ22"/>
    </sheetView>
  </sheetViews>
  <sheetFormatPr baseColWidth="12" defaultColWidth="13" defaultRowHeight="21" customHeight="1" outlineLevelCol="1" x14ac:dyDescent="0.15"/>
  <cols>
    <col min="1" max="1" width="12.5" style="22" bestFit="1" customWidth="1"/>
    <col min="2" max="2" width="10.83203125" style="3" bestFit="1" customWidth="1"/>
    <col min="3" max="3" width="10.6640625" style="3" bestFit="1" customWidth="1" collapsed="1"/>
    <col min="4" max="4" width="13" style="11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8" width="12.33203125" style="3" hidden="1" customWidth="1" outlineLevel="1"/>
    <col min="9" max="9" width="13.5" style="8" bestFit="1" customWidth="1"/>
    <col min="10" max="10" width="28" style="3" customWidth="1" outlineLevel="1"/>
    <col min="11" max="11" width="8.6640625" style="3" customWidth="1" outlineLevel="1"/>
    <col min="12" max="12" width="12" style="3" customWidth="1" outlineLevel="1"/>
    <col min="13" max="13" width="21" style="3" customWidth="1" outlineLevel="1"/>
    <col min="14" max="14" width="8" style="3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2.6640625" style="3" bestFit="1" customWidth="1"/>
    <col min="20" max="20" width="12.1640625" style="3" bestFit="1" customWidth="1" outlineLevel="1"/>
    <col min="21" max="21" width="10" style="3" customWidth="1"/>
    <col min="22" max="22" width="11.33203125" style="3" bestFit="1" customWidth="1"/>
    <col min="23" max="23" width="11.6640625" style="3" bestFit="1" customWidth="1"/>
    <col min="24" max="24" width="10.6640625" style="3" bestFit="1" customWidth="1"/>
    <col min="25" max="25" width="9.33203125" style="3" bestFit="1" customWidth="1"/>
    <col min="26" max="26" width="13" style="3" bestFit="1" customWidth="1"/>
    <col min="27" max="27" width="8.83203125" style="10" bestFit="1" customWidth="1" outlineLevel="1"/>
    <col min="28" max="28" width="8" style="11" bestFit="1" customWidth="1" outlineLevel="1"/>
    <col min="29" max="29" width="12" style="11" bestFit="1" customWidth="1" outlineLevel="1"/>
    <col min="30" max="30" width="15" style="9" bestFit="1" customWidth="1" collapsed="1"/>
    <col min="31" max="32" width="14.83203125" style="3" bestFit="1" customWidth="1"/>
    <col min="33" max="33" width="6.6640625" style="3" bestFit="1" customWidth="1"/>
    <col min="34" max="34" width="9.33203125" style="3" bestFit="1" customWidth="1"/>
    <col min="35" max="35" width="10.33203125" style="3" bestFit="1" customWidth="1"/>
    <col min="36" max="36" width="7.6640625" style="3" bestFit="1" customWidth="1"/>
    <col min="37" max="37" width="4" style="3" bestFit="1" customWidth="1"/>
    <col min="38" max="16384" width="13" style="3"/>
  </cols>
  <sheetData>
    <row r="1" spans="1:38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37</v>
      </c>
      <c r="I1" s="28" t="s">
        <v>2</v>
      </c>
      <c r="J1" s="31" t="s">
        <v>21</v>
      </c>
      <c r="K1" s="29" t="s">
        <v>24</v>
      </c>
      <c r="L1" s="29" t="s">
        <v>23</v>
      </c>
      <c r="M1" s="32" t="s">
        <v>26</v>
      </c>
      <c r="N1" s="30" t="s">
        <v>25</v>
      </c>
      <c r="O1" s="28" t="s">
        <v>3</v>
      </c>
      <c r="P1" s="26" t="s">
        <v>50</v>
      </c>
      <c r="Q1" s="26" t="s">
        <v>52</v>
      </c>
      <c r="R1" s="138" t="s">
        <v>54</v>
      </c>
      <c r="S1" s="26" t="s">
        <v>110</v>
      </c>
      <c r="T1" s="144" t="s">
        <v>4</v>
      </c>
      <c r="U1" s="29" t="s">
        <v>33</v>
      </c>
      <c r="V1" s="28" t="s">
        <v>5</v>
      </c>
      <c r="W1" s="28" t="s">
        <v>6</v>
      </c>
      <c r="X1" s="28" t="s">
        <v>7</v>
      </c>
      <c r="Y1" s="28" t="s">
        <v>8</v>
      </c>
      <c r="Z1" s="33" t="s">
        <v>9</v>
      </c>
      <c r="AA1" s="34" t="s">
        <v>16</v>
      </c>
      <c r="AB1" s="34" t="s">
        <v>17</v>
      </c>
      <c r="AC1" s="34" t="s">
        <v>27</v>
      </c>
      <c r="AD1" s="33" t="s">
        <v>10</v>
      </c>
      <c r="AE1" s="28" t="s">
        <v>11</v>
      </c>
      <c r="AF1" s="28" t="s">
        <v>12</v>
      </c>
      <c r="AG1" s="28" t="s">
        <v>40</v>
      </c>
      <c r="AH1" s="28" t="s">
        <v>42</v>
      </c>
      <c r="AI1" s="28" t="s">
        <v>44</v>
      </c>
      <c r="AJ1" s="28" t="s">
        <v>46</v>
      </c>
      <c r="AK1" s="28" t="s">
        <v>48</v>
      </c>
    </row>
    <row r="2" spans="1:38" ht="21" customHeight="1" x14ac:dyDescent="0.15">
      <c r="A2" s="17" t="str">
        <f t="shared" ref="A2:A38" ca="1" si="0">B2&amp;"_"&amp;C2&amp;"-"&amp;G2&amp;"/"&amp;I2&amp;"&lt;lv"&amp;O2&amp;"&gt;s"&amp;Y2</f>
        <v>20009_1-1/5&lt;lv19&gt;s3</v>
      </c>
      <c r="B2" s="103">
        <v>20009</v>
      </c>
      <c r="C2" s="104">
        <v>1</v>
      </c>
      <c r="D2" s="104" t="str">
        <f>B2&amp;"_"&amp;C2</f>
        <v>20009_1</v>
      </c>
      <c r="E2" s="105" t="str">
        <f ca="1">VLOOKUP($B2,OFFSET([2]quests!$A$1,0,0,COUNTA([2]quests!$A:$A),MATCH(E$1,[2]quests!$1:$1,0)-MATCH($B$1,[2]quests!$1:$1,0)+1),MATCH(E$1,[2]quests!$1:$1,0)-MATCH($B$1,[2]quests!$1:$1,0)+1,FALSE)</f>
        <v>迫り来る窒息</v>
      </c>
      <c r="F2" s="105" t="str">
        <f ca="1">VLOOKUP($D2,OFFSET([2]stages!$A$1,0,0,COUNTA([2]stages!$A:$A),MATCH(F$1,[2]stages!$2:$2,0)-MATCH($D$1,[2]stages!$2:$2,0)+1),MATCH(F$1,[2]stages!$2:$2,0)-MATCH($D$1,[2]stages!$2:$2,0)+1,FALSE)</f>
        <v>【初級】迫り来る窒息</v>
      </c>
      <c r="G2" s="104">
        <v>1</v>
      </c>
      <c r="H2" s="104" t="str">
        <f>B2&amp;"_"&amp;C2&amp;"-"&amp;G2</f>
        <v>20009_1-1</v>
      </c>
      <c r="I2" s="106">
        <v>5</v>
      </c>
      <c r="J2" s="20" t="str">
        <f ca="1">VLOOKUP($I2,OFFSET([3]enemies!$A$1,0,0,COUNTA([3]enemies!$A:$A),MATCH(J$1,[3]enemies!$1:$1,0)-MATCH($I$1,[3]enemies!$1:$1,0)+1),MATCH(J$1,[3]enemies!$1:$1,0)-MATCH($I$1,[3]enemies!$1:$1,0)+1,FALSE)</f>
        <v>パトドッグ ポチ</v>
      </c>
      <c r="K2" s="20" t="str">
        <f ca="1">VLOOKUP($I2,OFFSET([3]enemies!$A$1,0,0,COUNTA([3]enemies!$A:$A),MATCH(K$1,[3]enemies!$1:$1,0)-MATCH($I$1,[3]enemies!$1:$1,0)+1),MATCH(K$1,[3]enemies!$1:$1,0)-MATCH($I$1,[3]enemies!$1:$1,0)+1,FALSE)</f>
        <v>blue</v>
      </c>
      <c r="L2" s="21" t="str">
        <f>VLOOKUP(I2,[4]characters!$A:$J,10,FALSE)</f>
        <v>Drop1T</v>
      </c>
      <c r="M2" s="20" t="str">
        <f ca="1">VLOOKUP($I2,OFFSET([3]enemies!$A$1,0,0,COUNTA([3]enemies!$A:$A),MATCH(M$1,[3]enemies!$1:$1,0)-MATCH($I$1,[3]enemies!$1:$1,0)+1),MATCH(M$1,[3]enemies!$1:$1,0)-MATCH($I$1,[3]enemies!$1:$1,0)+1,FALSE)</f>
        <v>unknown</v>
      </c>
      <c r="N2" s="20">
        <f ca="1">VLOOKUP($I2,OFFSET([3]enemies!$A$1,0,0,COUNTA([3]enemies!$A:$A),MATCH(N$1,[3]enemies!$1:$1,0)-MATCH($I$1,[3]enemies!$1:$1,0)+1),MATCH(N$1,[3]enemies!$1:$1,0)-MATCH($I$1,[3]enemies!$1:$1,0)+1,FALSE)</f>
        <v>15</v>
      </c>
      <c r="O2" s="112">
        <v>19</v>
      </c>
      <c r="P2" s="113">
        <v>1</v>
      </c>
      <c r="Q2" s="113">
        <v>1</v>
      </c>
      <c r="R2" s="139">
        <v>0</v>
      </c>
      <c r="S2" s="149"/>
      <c r="T2" s="20">
        <f ca="1">VLOOKUP($I2,OFFSET([3]enemies!$A$1,0,0,COUNTA([3]enemies!$A:$A),MATCH(T$1,[3]enemies!$1:$1,0)-MATCH($I$1,[3]enemies!$1:$1,0)+1),MATCH(T$1,[3]enemies!$1:$1,0)-MATCH($I$1,[3]enemies!$1:$1,0)+1,FALSE)</f>
        <v>0</v>
      </c>
      <c r="U2" s="4" t="str">
        <f ca="1">VLOOKUP(T2,[5]enemy_skill_sets!$B:$E,4,FALSE)</f>
        <v>なし</v>
      </c>
      <c r="V2" s="6">
        <v>0</v>
      </c>
      <c r="W2" s="6">
        <v>100</v>
      </c>
      <c r="X2" s="6">
        <v>0</v>
      </c>
      <c r="Y2" s="20">
        <f ca="1">VLOOKUP($I2,OFFSET([3]enemies!$A$1,0,0,COUNTA([3]enemies!$A:$A),MATCH(Y$1,[3]enemies!$1:$1,0)-MATCH($I$1,[3]enemies!$1:$1,0)+1),MATCH(Y$1,[3]enemies!$1:$1,0)-MATCH($I$1,[3]enemies!$1:$1,0)+1,FALSE)</f>
        <v>3</v>
      </c>
      <c r="Z2" s="37">
        <v>5</v>
      </c>
      <c r="AA2" s="4" t="str">
        <f ca="1">IFERROR(VLOOKUP($Z2,OFFSET([4]characters!$A$1,0,0,COUNTA([4]characters!$A:$A),MATCH(AA$1,[4]characters!$1:$1,0)-MATCH("character_id",[4]characters!$1:$1,0)+1),MATCH(AA$1,[4]characters!$1:$1,0)-MATCH("character_id",[4]characters!$1:$1,0)+1,FALSE),"")</f>
        <v>パトドッグ ポチ</v>
      </c>
      <c r="AB2" s="4">
        <f ca="1">IFERROR(VLOOKUP($Z2,OFFSET([4]characters!$A$1,0,0,COUNTA([4]characters!$A:$A),MATCH(AB$1,[4]characters!$1:$1,0)-MATCH("character_id",[4]characters!$1:$1,0)+1),MATCH(AB$1,[4]characters!$1:$1,0)-MATCH("character_id",[4]characters!$1:$1,0)+1,FALSE),"")</f>
        <v>1</v>
      </c>
      <c r="AC2" s="4" t="str">
        <f ca="1">IFERROR(VLOOKUP($Z2,OFFSET([4]characters!$A$1,0,0,COUNTA([4]characters!$A:$A),MATCH(AC$1,[4]characters!$1:$1,0)-MATCH("character_id",[4]characters!$1:$1,0)+1),MATCH(AC$1,[4]characters!$1:$1,0)-MATCH("character_id",[4]characters!$1:$1,0)+1,FALSE),"")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2" s="38">
        <v>1</v>
      </c>
      <c r="AE2" s="39">
        <f ca="1">AB2</f>
        <v>1</v>
      </c>
      <c r="AF2" s="7">
        <v>26</v>
      </c>
      <c r="AG2" s="38">
        <v>0</v>
      </c>
      <c r="AH2" s="38">
        <v>0</v>
      </c>
      <c r="AI2" s="38">
        <v>0</v>
      </c>
      <c r="AJ2" s="38">
        <v>0</v>
      </c>
      <c r="AK2" s="38">
        <v>1</v>
      </c>
    </row>
    <row r="3" spans="1:38" ht="21" customHeight="1" x14ac:dyDescent="0.15">
      <c r="A3" s="17" t="str">
        <f t="shared" ca="1" si="0"/>
        <v>20009_1-1/17&lt;lv19&gt;s2</v>
      </c>
      <c r="B3" s="103">
        <v>20009</v>
      </c>
      <c r="C3" s="104">
        <v>1</v>
      </c>
      <c r="D3" s="104" t="str">
        <f t="shared" ref="D3:D5" si="1">B3&amp;"_"&amp;C3</f>
        <v>20009_1</v>
      </c>
      <c r="E3" s="105" t="str">
        <f ca="1">VLOOKUP($B3,OFFSET([2]quests!$A$1,0,0,COUNTA([2]quests!$A:$A),MATCH(E$1,[2]quests!$1:$1,0)-MATCH($B$1,[2]quests!$1:$1,0)+1),MATCH(E$1,[2]quests!$1:$1,0)-MATCH($B$1,[2]quests!$1:$1,0)+1,FALSE)</f>
        <v>迫り来る窒息</v>
      </c>
      <c r="F3" s="105" t="str">
        <f ca="1">VLOOKUP($D3,OFFSET([2]stages!$A$1,0,0,COUNTA([2]stages!$A:$A),MATCH(F$1,[2]stages!$2:$2,0)-MATCH($D$1,[2]stages!$2:$2,0)+1),MATCH(F$1,[2]stages!$2:$2,0)-MATCH($D$1,[2]stages!$2:$2,0)+1,FALSE)</f>
        <v>【初級】迫り来る窒息</v>
      </c>
      <c r="G3" s="104">
        <v>1</v>
      </c>
      <c r="H3" s="104" t="str">
        <f t="shared" ref="H3:H5" si="2">B3&amp;"_"&amp;C3&amp;"-"&amp;G3</f>
        <v>20009_1-1</v>
      </c>
      <c r="I3" s="107">
        <v>17</v>
      </c>
      <c r="J3" s="20" t="str">
        <f ca="1">VLOOKUP($I3,OFFSET([3]enemies!$A$1,0,0,COUNTA([3]enemies!$A:$A),MATCH(J$1,[3]enemies!$1:$1,0)-MATCH($I$1,[3]enemies!$1:$1,0)+1),MATCH(J$1,[3]enemies!$1:$1,0)-MATCH($I$1,[3]enemies!$1:$1,0)+1,FALSE)</f>
        <v>リム</v>
      </c>
      <c r="K3" s="20" t="str">
        <f ca="1">VLOOKUP($I3,OFFSET([3]enemies!$A$1,0,0,COUNTA([3]enemies!$A:$A),MATCH(K$1,[3]enemies!$1:$1,0)-MATCH($I$1,[3]enemies!$1:$1,0)+1),MATCH(K$1,[3]enemies!$1:$1,0)-MATCH($I$1,[3]enemies!$1:$1,0)+1,FALSE)</f>
        <v>blue</v>
      </c>
      <c r="L3" s="21" t="str">
        <f>VLOOKUP(I3,[4]characters!$A:$J,10,FALSE)</f>
        <v>Drop1W</v>
      </c>
      <c r="M3" s="20" t="str">
        <f ca="1">VLOOKUP($I3,OFFSET([3]enemies!$A$1,0,0,COUNTA([3]enemies!$A:$A),MATCH(M$1,[3]enemies!$1:$1,0)-MATCH($I$1,[3]enemies!$1:$1,0)+1),MATCH(M$1,[3]enemies!$1:$1,0)-MATCH($I$1,[3]enemies!$1:$1,0)+1,FALSE)</f>
        <v>human</v>
      </c>
      <c r="N3" s="20">
        <f ca="1">VLOOKUP($I3,OFFSET([3]enemies!$A$1,0,0,COUNTA([3]enemies!$A:$A),MATCH(N$1,[3]enemies!$1:$1,0)-MATCH($I$1,[3]enemies!$1:$1,0)+1),MATCH(N$1,[3]enemies!$1:$1,0)-MATCH($I$1,[3]enemies!$1:$1,0)+1,FALSE)</f>
        <v>15</v>
      </c>
      <c r="O3" s="112">
        <v>19</v>
      </c>
      <c r="P3" s="113">
        <v>1</v>
      </c>
      <c r="Q3" s="113">
        <v>1</v>
      </c>
      <c r="R3" s="139">
        <v>0</v>
      </c>
      <c r="S3" s="149"/>
      <c r="T3" s="20">
        <f ca="1">VLOOKUP($I3,OFFSET([3]enemies!$A$1,0,0,COUNTA([3]enemies!$A:$A),MATCH(T$1,[3]enemies!$1:$1,0)-MATCH($I$1,[3]enemies!$1:$1,0)+1),MATCH(T$1,[3]enemies!$1:$1,0)-MATCH($I$1,[3]enemies!$1:$1,0)+1,FALSE)</f>
        <v>0</v>
      </c>
      <c r="U3" s="4" t="str">
        <f ca="1">VLOOKUP(T3,[5]enemy_skill_sets!$B:$E,4,FALSE)</f>
        <v>なし</v>
      </c>
      <c r="V3" s="6">
        <v>0</v>
      </c>
      <c r="W3" s="6">
        <v>100</v>
      </c>
      <c r="X3" s="6">
        <v>0</v>
      </c>
      <c r="Y3" s="20">
        <f ca="1">VLOOKUP($I3,OFFSET([3]enemies!$A$1,0,0,COUNTA([3]enemies!$A:$A),MATCH(Y$1,[3]enemies!$1:$1,0)-MATCH($I$1,[3]enemies!$1:$1,0)+1),MATCH(Y$1,[3]enemies!$1:$1,0)-MATCH($I$1,[3]enemies!$1:$1,0)+1,FALSE)</f>
        <v>2</v>
      </c>
      <c r="Z3" s="40">
        <v>17</v>
      </c>
      <c r="AA3" s="4" t="str">
        <f ca="1">IFERROR(VLOOKUP($Z3,OFFSET([4]characters!$A$1,0,0,COUNTA([4]characters!$A:$A),MATCH(AA$1,[4]characters!$1:$1,0)-MATCH("character_id",[4]characters!$1:$1,0)+1),MATCH(AA$1,[4]characters!$1:$1,0)-MATCH("character_id",[4]characters!$1:$1,0)+1,FALSE),"")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3" s="4">
        <f ca="1">IFERROR(VLOOKUP($Z3,OFFSET([4]characters!$A$1,0,0,COUNTA([4]characters!$A:$A),MATCH(AB$1,[4]characters!$1:$1,0)-MATCH("character_id",[4]characters!$1:$1,0)+1),MATCH(AB$1,[4]characters!$1:$1,0)-MATCH("character_id",[4]characters!$1:$1,0)+1,FALSE),"")</f>
        <v>1</v>
      </c>
      <c r="AC3" s="4" t="str">
        <f ca="1">IFERROR(VLOOKUP($Z3,OFFSET([4]characters!$A$1,0,0,COUNTA([4]characters!$A:$A),MATCH(AC$1,[4]characters!$1:$1,0)-MATCH("character_id",[4]characters!$1:$1,0)+1),MATCH(AC$1,[4]characters!$1:$1,0)-MATCH("character_id",[4]characters!$1:$1,0)+1,FALSE),"")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3" s="38">
        <v>1</v>
      </c>
      <c r="AE3" s="39">
        <f t="shared" ref="AE3:AE5" ca="1" si="3">AB3</f>
        <v>1</v>
      </c>
      <c r="AF3" s="7">
        <v>26</v>
      </c>
      <c r="AG3" s="38">
        <v>0</v>
      </c>
      <c r="AH3" s="38">
        <v>0</v>
      </c>
      <c r="AI3" s="38">
        <v>0</v>
      </c>
      <c r="AJ3" s="38">
        <v>0</v>
      </c>
      <c r="AK3" s="38">
        <v>1</v>
      </c>
    </row>
    <row r="4" spans="1:38" ht="21" customHeight="1" x14ac:dyDescent="0.15">
      <c r="A4" s="17" t="str">
        <f t="shared" ca="1" si="0"/>
        <v>20009_1-1/25&lt;lv19&gt;s3</v>
      </c>
      <c r="B4" s="103">
        <v>20009</v>
      </c>
      <c r="C4" s="104">
        <v>1</v>
      </c>
      <c r="D4" s="104" t="str">
        <f t="shared" si="1"/>
        <v>20009_1</v>
      </c>
      <c r="E4" s="105" t="str">
        <f ca="1">VLOOKUP($B4,OFFSET([2]quests!$A$1,0,0,COUNTA([2]quests!$A:$A),MATCH(E$1,[2]quests!$1:$1,0)-MATCH($B$1,[2]quests!$1:$1,0)+1),MATCH(E$1,[2]quests!$1:$1,0)-MATCH($B$1,[2]quests!$1:$1,0)+1,FALSE)</f>
        <v>迫り来る窒息</v>
      </c>
      <c r="F4" s="105" t="str">
        <f ca="1">VLOOKUP($D4,OFFSET([2]stages!$A$1,0,0,COUNTA([2]stages!$A:$A),MATCH(F$1,[2]stages!$2:$2,0)-MATCH($D$1,[2]stages!$2:$2,0)+1),MATCH(F$1,[2]stages!$2:$2,0)-MATCH($D$1,[2]stages!$2:$2,0)+1,FALSE)</f>
        <v>【初級】迫り来る窒息</v>
      </c>
      <c r="G4" s="104">
        <v>1</v>
      </c>
      <c r="H4" s="104" t="str">
        <f t="shared" si="2"/>
        <v>20009_1-1</v>
      </c>
      <c r="I4" s="107">
        <v>25</v>
      </c>
      <c r="J4" s="20" t="str">
        <f ca="1">VLOOKUP($I4,OFFSET([3]enemies!$A$1,0,0,COUNTA([3]enemies!$A:$A),MATCH(J$1,[3]enemies!$1:$1,0)-MATCH($I$1,[3]enemies!$1:$1,0)+1),MATCH(J$1,[3]enemies!$1:$1,0)-MATCH($I$1,[3]enemies!$1:$1,0)+1,FALSE)</f>
        <v>ハチ</v>
      </c>
      <c r="K4" s="20" t="str">
        <f ca="1">VLOOKUP($I4,OFFSET([3]enemies!$A$1,0,0,COUNTA([3]enemies!$A:$A),MATCH(K$1,[3]enemies!$1:$1,0)-MATCH($I$1,[3]enemies!$1:$1,0)+1),MATCH(K$1,[3]enemies!$1:$1,0)-MATCH($I$1,[3]enemies!$1:$1,0)+1,FALSE)</f>
        <v>blue</v>
      </c>
      <c r="L4" s="21" t="str">
        <f>VLOOKUP(I4,[4]characters!$A:$J,10,FALSE)</f>
        <v>Drop1N</v>
      </c>
      <c r="M4" s="20" t="str">
        <f ca="1">VLOOKUP($I4,OFFSET([3]enemies!$A$1,0,0,COUNTA([3]enemies!$A:$A),MATCH(M$1,[3]enemies!$1:$1,0)-MATCH($I$1,[3]enemies!$1:$1,0)+1),MATCH(M$1,[3]enemies!$1:$1,0)-MATCH($I$1,[3]enemies!$1:$1,0)+1,FALSE)</f>
        <v>animal</v>
      </c>
      <c r="N4" s="20">
        <f ca="1">VLOOKUP($I4,OFFSET([3]enemies!$A$1,0,0,COUNTA([3]enemies!$A:$A),MATCH(N$1,[3]enemies!$1:$1,0)-MATCH($I$1,[3]enemies!$1:$1,0)+1),MATCH(N$1,[3]enemies!$1:$1,0)-MATCH($I$1,[3]enemies!$1:$1,0)+1,FALSE)</f>
        <v>15</v>
      </c>
      <c r="O4" s="112">
        <v>19</v>
      </c>
      <c r="P4" s="113">
        <v>1</v>
      </c>
      <c r="Q4" s="113">
        <v>1</v>
      </c>
      <c r="R4" s="139">
        <v>0</v>
      </c>
      <c r="S4" s="149"/>
      <c r="T4" s="20">
        <f ca="1">VLOOKUP($I4,OFFSET([3]enemies!$A$1,0,0,COUNTA([3]enemies!$A:$A),MATCH(T$1,[3]enemies!$1:$1,0)-MATCH($I$1,[3]enemies!$1:$1,0)+1),MATCH(T$1,[3]enemies!$1:$1,0)-MATCH($I$1,[3]enemies!$1:$1,0)+1,FALSE)</f>
        <v>0</v>
      </c>
      <c r="U4" s="4" t="str">
        <f ca="1">VLOOKUP(T4,[5]enemy_skill_sets!$B:$E,4,FALSE)</f>
        <v>なし</v>
      </c>
      <c r="V4" s="6">
        <v>0</v>
      </c>
      <c r="W4" s="6">
        <v>100</v>
      </c>
      <c r="X4" s="6">
        <v>0</v>
      </c>
      <c r="Y4" s="20">
        <f ca="1">VLOOKUP($I4,OFFSET([3]enemies!$A$1,0,0,COUNTA([3]enemies!$A:$A),MATCH(Y$1,[3]enemies!$1:$1,0)-MATCH($I$1,[3]enemies!$1:$1,0)+1),MATCH(Y$1,[3]enemies!$1:$1,0)-MATCH($I$1,[3]enemies!$1:$1,0)+1,FALSE)</f>
        <v>3</v>
      </c>
      <c r="Z4" s="40">
        <v>25</v>
      </c>
      <c r="AA4" s="4" t="str">
        <f ca="1">IFERROR(VLOOKUP($Z4,OFFSET([4]characters!$A$1,0,0,COUNTA([4]characters!$A:$A),MATCH(AA$1,[4]characters!$1:$1,0)-MATCH("character_id",[4]characters!$1:$1,0)+1),MATCH(AA$1,[4]characters!$1:$1,0)-MATCH("character_id",[4]characters!$1:$1,0)+1,FALSE),"")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4" s="4">
        <f ca="1">IFERROR(VLOOKUP($Z4,OFFSET([4]characters!$A$1,0,0,COUNTA([4]characters!$A:$A),MATCH(AB$1,[4]characters!$1:$1,0)-MATCH("character_id",[4]characters!$1:$1,0)+1),MATCH(AB$1,[4]characters!$1:$1,0)-MATCH("character_id",[4]characters!$1:$1,0)+1,FALSE),"")</f>
        <v>1</v>
      </c>
      <c r="AC4" s="4" t="str">
        <f ca="1">IFERROR(VLOOKUP($Z4,OFFSET([4]characters!$A$1,0,0,COUNTA([4]characters!$A:$A),MATCH(AC$1,[4]characters!$1:$1,0)-MATCH("character_id",[4]characters!$1:$1,0)+1),MATCH(AC$1,[4]characters!$1:$1,0)-MATCH("character_id",[4]characters!$1:$1,0)+1,FALSE),"")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4" s="38">
        <v>1</v>
      </c>
      <c r="AE4" s="39">
        <f t="shared" ca="1" si="3"/>
        <v>1</v>
      </c>
      <c r="AF4" s="7">
        <v>26</v>
      </c>
      <c r="AG4" s="38">
        <v>0</v>
      </c>
      <c r="AH4" s="38">
        <v>0</v>
      </c>
      <c r="AI4" s="38">
        <v>0</v>
      </c>
      <c r="AJ4" s="38">
        <v>0</v>
      </c>
      <c r="AK4" s="38">
        <v>1</v>
      </c>
    </row>
    <row r="5" spans="1:38" ht="21" customHeight="1" x14ac:dyDescent="0.15">
      <c r="A5" s="17" t="str">
        <f t="shared" ca="1" si="0"/>
        <v>20009_1-1/29&lt;lv19&gt;s2</v>
      </c>
      <c r="B5" s="103">
        <v>20009</v>
      </c>
      <c r="C5" s="104">
        <v>1</v>
      </c>
      <c r="D5" s="104" t="str">
        <f t="shared" si="1"/>
        <v>20009_1</v>
      </c>
      <c r="E5" s="105" t="str">
        <f ca="1">VLOOKUP($B5,OFFSET([2]quests!$A$1,0,0,COUNTA([2]quests!$A:$A),MATCH(E$1,[2]quests!$1:$1,0)-MATCH($B$1,[2]quests!$1:$1,0)+1),MATCH(E$1,[2]quests!$1:$1,0)-MATCH($B$1,[2]quests!$1:$1,0)+1,FALSE)</f>
        <v>迫り来る窒息</v>
      </c>
      <c r="F5" s="105" t="str">
        <f ca="1">VLOOKUP($D5,OFFSET([2]stages!$A$1,0,0,COUNTA([2]stages!$A:$A),MATCH(F$1,[2]stages!$2:$2,0)-MATCH($D$1,[2]stages!$2:$2,0)+1),MATCH(F$1,[2]stages!$2:$2,0)-MATCH($D$1,[2]stages!$2:$2,0)+1,FALSE)</f>
        <v>【初級】迫り来る窒息</v>
      </c>
      <c r="G5" s="104">
        <v>1</v>
      </c>
      <c r="H5" s="104" t="str">
        <f t="shared" si="2"/>
        <v>20009_1-1</v>
      </c>
      <c r="I5" s="107">
        <v>29</v>
      </c>
      <c r="J5" s="20" t="str">
        <f ca="1">VLOOKUP($I5,OFFSET([3]enemies!$A$1,0,0,COUNTA([3]enemies!$A:$A),MATCH(J$1,[3]enemies!$1:$1,0)-MATCH($I$1,[3]enemies!$1:$1,0)+1),MATCH(J$1,[3]enemies!$1:$1,0)-MATCH($I$1,[3]enemies!$1:$1,0)+1,FALSE)</f>
        <v>スケアクロウ</v>
      </c>
      <c r="K5" s="20" t="str">
        <f ca="1">VLOOKUP($I5,OFFSET([3]enemies!$A$1,0,0,COUNTA([3]enemies!$A:$A),MATCH(K$1,[3]enemies!$1:$1,0)-MATCH($I$1,[3]enemies!$1:$1,0)+1),MATCH(K$1,[3]enemies!$1:$1,0)-MATCH($I$1,[3]enemies!$1:$1,0)+1,FALSE)</f>
        <v>blue</v>
      </c>
      <c r="L5" s="21" t="str">
        <f>VLOOKUP(I5,[4]characters!$A:$J,10,FALSE)</f>
        <v>Drop1N</v>
      </c>
      <c r="M5" s="20" t="str">
        <f ca="1">VLOOKUP($I5,OFFSET([3]enemies!$A$1,0,0,COUNTA([3]enemies!$A:$A),MATCH(M$1,[3]enemies!$1:$1,0)-MATCH($I$1,[3]enemies!$1:$1,0)+1),MATCH(M$1,[3]enemies!$1:$1,0)-MATCH($I$1,[3]enemies!$1:$1,0)+1,FALSE)</f>
        <v>machine</v>
      </c>
      <c r="N5" s="20">
        <f ca="1">VLOOKUP($I5,OFFSET([3]enemies!$A$1,0,0,COUNTA([3]enemies!$A:$A),MATCH(N$1,[3]enemies!$1:$1,0)-MATCH($I$1,[3]enemies!$1:$1,0)+1),MATCH(N$1,[3]enemies!$1:$1,0)-MATCH($I$1,[3]enemies!$1:$1,0)+1,FALSE)</f>
        <v>15</v>
      </c>
      <c r="O5" s="112">
        <v>19</v>
      </c>
      <c r="P5" s="113">
        <v>1</v>
      </c>
      <c r="Q5" s="113">
        <v>1</v>
      </c>
      <c r="R5" s="139">
        <v>0</v>
      </c>
      <c r="S5" s="149"/>
      <c r="T5" s="20">
        <f ca="1">VLOOKUP($I5,OFFSET([3]enemies!$A$1,0,0,COUNTA([3]enemies!$A:$A),MATCH(T$1,[3]enemies!$1:$1,0)-MATCH($I$1,[3]enemies!$1:$1,0)+1),MATCH(T$1,[3]enemies!$1:$1,0)-MATCH($I$1,[3]enemies!$1:$1,0)+1,FALSE)</f>
        <v>0</v>
      </c>
      <c r="U5" s="4" t="str">
        <f ca="1">VLOOKUP(T5,[5]enemy_skill_sets!$B:$E,4,FALSE)</f>
        <v>なし</v>
      </c>
      <c r="V5" s="6">
        <v>0</v>
      </c>
      <c r="W5" s="6">
        <v>100</v>
      </c>
      <c r="X5" s="6">
        <v>0</v>
      </c>
      <c r="Y5" s="20">
        <f ca="1">VLOOKUP($I5,OFFSET([3]enemies!$A$1,0,0,COUNTA([3]enemies!$A:$A),MATCH(Y$1,[3]enemies!$1:$1,0)-MATCH($I$1,[3]enemies!$1:$1,0)+1),MATCH(Y$1,[3]enemies!$1:$1,0)-MATCH($I$1,[3]enemies!$1:$1,0)+1,FALSE)</f>
        <v>2</v>
      </c>
      <c r="Z5" s="40">
        <v>29</v>
      </c>
      <c r="AA5" s="4" t="str">
        <f ca="1">IFERROR(VLOOKUP($Z5,OFFSET([4]characters!$A$1,0,0,COUNTA([4]characters!$A:$A),MATCH(AA$1,[4]characters!$1:$1,0)-MATCH("character_id",[4]characters!$1:$1,0)+1),MATCH(AA$1,[4]characters!$1:$1,0)-MATCH("character_id",[4]characters!$1:$1,0)+1,FALSE),"")</f>
        <v>スケアクロウ</v>
      </c>
      <c r="AB5" s="4">
        <f ca="1">IFERROR(VLOOKUP($Z5,OFFSET([4]characters!$A$1,0,0,COUNTA([4]characters!$A:$A),MATCH(AB$1,[4]characters!$1:$1,0)-MATCH("character_id",[4]characters!$1:$1,0)+1),MATCH(AB$1,[4]characters!$1:$1,0)-MATCH("character_id",[4]characters!$1:$1,0)+1,FALSE),"")</f>
        <v>1</v>
      </c>
      <c r="AC5" s="4" t="str">
        <f ca="1">IFERROR(VLOOKUP($Z5,OFFSET([4]characters!$A$1,0,0,COUNTA([4]characters!$A:$A),MATCH(AC$1,[4]characters!$1:$1,0)-MATCH("character_id",[4]characters!$1:$1,0)+1),MATCH(AC$1,[4]characters!$1:$1,0)-MATCH("character_id",[4]characters!$1:$1,0)+1,FALSE),"")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5" s="38">
        <v>1</v>
      </c>
      <c r="AE5" s="39">
        <f t="shared" ca="1" si="3"/>
        <v>1</v>
      </c>
      <c r="AF5" s="7">
        <v>26</v>
      </c>
      <c r="AG5" s="38">
        <v>0</v>
      </c>
      <c r="AH5" s="38">
        <v>0</v>
      </c>
      <c r="AI5" s="38">
        <v>0</v>
      </c>
      <c r="AJ5" s="38">
        <v>0</v>
      </c>
      <c r="AK5" s="38">
        <v>1</v>
      </c>
    </row>
    <row r="6" spans="1:38" ht="21" customHeight="1" x14ac:dyDescent="0.15">
      <c r="A6" s="17" t="str">
        <f t="shared" ca="1" si="0"/>
        <v>20009_1-2/6&lt;lv19&gt;s3</v>
      </c>
      <c r="B6" s="103">
        <v>20009</v>
      </c>
      <c r="C6" s="104">
        <v>1</v>
      </c>
      <c r="D6" s="104" t="str">
        <f>B6&amp;"_"&amp;C6</f>
        <v>20009_1</v>
      </c>
      <c r="E6" s="105" t="str">
        <f ca="1">VLOOKUP($B6,OFFSET([2]quests!$A$1,0,0,COUNTA([2]quests!$A:$A),MATCH(E$1,[2]quests!$1:$1,0)-MATCH($B$1,[2]quests!$1:$1,0)+1),MATCH(E$1,[2]quests!$1:$1,0)-MATCH($B$1,[2]quests!$1:$1,0)+1,FALSE)</f>
        <v>迫り来る窒息</v>
      </c>
      <c r="F6" s="105" t="str">
        <f ca="1">VLOOKUP($D6,OFFSET([2]stages!$A$1,0,0,COUNTA([2]stages!$A:$A),MATCH(F$1,[2]stages!$2:$2,0)-MATCH($D$1,[2]stages!$2:$2,0)+1),MATCH(F$1,[2]stages!$2:$2,0)-MATCH($D$1,[2]stages!$2:$2,0)+1,FALSE)</f>
        <v>【初級】迫り来る窒息</v>
      </c>
      <c r="G6" s="104">
        <v>2</v>
      </c>
      <c r="H6" s="104" t="str">
        <f>B6&amp;"_"&amp;C6&amp;"-"&amp;G6</f>
        <v>20009_1-2</v>
      </c>
      <c r="I6" s="106">
        <v>6</v>
      </c>
      <c r="J6" s="20" t="str">
        <f ca="1">VLOOKUP($I6,OFFSET([3]enemies!$A$1,0,0,COUNTA([3]enemies!$A:$A),MATCH(J$1,[3]enemies!$1:$1,0)-MATCH($I$1,[3]enemies!$1:$1,0)+1),MATCH(J$1,[3]enemies!$1:$1,0)-MATCH($I$1,[3]enemies!$1:$1,0)+1,FALSE)</f>
        <v>パトドッグリーダー ポチ</v>
      </c>
      <c r="K6" s="20" t="str">
        <f ca="1">VLOOKUP($I6,OFFSET([3]enemies!$A$1,0,0,COUNTA([3]enemies!$A:$A),MATCH(K$1,[3]enemies!$1:$1,0)-MATCH($I$1,[3]enemies!$1:$1,0)+1),MATCH(K$1,[3]enemies!$1:$1,0)-MATCH($I$1,[3]enemies!$1:$1,0)+1,FALSE)</f>
        <v>blue</v>
      </c>
      <c r="L6" s="21" t="str">
        <f>VLOOKUP(I6,[4]characters!$A:$J,10,FALSE)</f>
        <v>Drop1T</v>
      </c>
      <c r="M6" s="20" t="str">
        <f ca="1">VLOOKUP($I6,OFFSET([3]enemies!$A$1,0,0,COUNTA([3]enemies!$A:$A),MATCH(M$1,[3]enemies!$1:$1,0)-MATCH($I$1,[3]enemies!$1:$1,0)+1),MATCH(M$1,[3]enemies!$1:$1,0)-MATCH($I$1,[3]enemies!$1:$1,0)+1,FALSE)</f>
        <v>unknown</v>
      </c>
      <c r="N6" s="20">
        <f ca="1">VLOOKUP($I6,OFFSET([3]enemies!$A$1,0,0,COUNTA([3]enemies!$A:$A),MATCH(N$1,[3]enemies!$1:$1,0)-MATCH($I$1,[3]enemies!$1:$1,0)+1),MATCH(N$1,[3]enemies!$1:$1,0)-MATCH($I$1,[3]enemies!$1:$1,0)+1,FALSE)</f>
        <v>15</v>
      </c>
      <c r="O6" s="112">
        <v>19</v>
      </c>
      <c r="P6" s="113">
        <v>1.1000000000000001</v>
      </c>
      <c r="Q6" s="113">
        <v>1.1000000000000001</v>
      </c>
      <c r="R6" s="139">
        <v>0</v>
      </c>
      <c r="S6" s="149"/>
      <c r="T6" s="20">
        <f ca="1">VLOOKUP($I6,OFFSET([3]enemies!$A$1,0,0,COUNTA([3]enemies!$A:$A),MATCH(T$1,[3]enemies!$1:$1,0)-MATCH($I$1,[3]enemies!$1:$1,0)+1),MATCH(T$1,[3]enemies!$1:$1,0)-MATCH($I$1,[3]enemies!$1:$1,0)+1,FALSE)</f>
        <v>0</v>
      </c>
      <c r="U6" s="4" t="str">
        <f ca="1">VLOOKUP(T6,[5]enemy_skill_sets!$B:$E,4,FALSE)</f>
        <v>なし</v>
      </c>
      <c r="V6" s="6">
        <v>0</v>
      </c>
      <c r="W6" s="6">
        <v>100</v>
      </c>
      <c r="X6" s="6">
        <v>0</v>
      </c>
      <c r="Y6" s="20">
        <f ca="1">VLOOKUP($I6,OFFSET([3]enemies!$A$1,0,0,COUNTA([3]enemies!$A:$A),MATCH(Y$1,[3]enemies!$1:$1,0)-MATCH($I$1,[3]enemies!$1:$1,0)+1),MATCH(Y$1,[3]enemies!$1:$1,0)-MATCH($I$1,[3]enemies!$1:$1,0)+1,FALSE)</f>
        <v>3</v>
      </c>
      <c r="Z6" s="37">
        <v>6</v>
      </c>
      <c r="AA6" s="4" t="str">
        <f ca="1">IFERROR(VLOOKUP($Z6,OFFSET([4]characters!$A$1,0,0,COUNTA([4]characters!$A:$A),MATCH(AA$1,[4]characters!$1:$1,0)-MATCH("character_id",[4]characters!$1:$1,0)+1),MATCH(AA$1,[4]characters!$1:$1,0)-MATCH("character_id",[4]characters!$1:$1,0)+1,FALSE),"")</f>
        <v>パトドッグリーダー ポチ</v>
      </c>
      <c r="AB6" s="4">
        <f ca="1">IFERROR(VLOOKUP($Z6,OFFSET([4]characters!$A$1,0,0,COUNTA([4]characters!$A:$A),MATCH(AB$1,[4]characters!$1:$1,0)-MATCH("character_id",[4]characters!$1:$1,0)+1),MATCH(AB$1,[4]characters!$1:$1,0)-MATCH("character_id",[4]characters!$1:$1,0)+1,FALSE),"")</f>
        <v>2</v>
      </c>
      <c r="AC6" s="4" t="str">
        <f ca="1">IFERROR(VLOOKUP($Z6,OFFSET([4]characters!$A$1,0,0,COUNTA([4]characters!$A:$A),MATCH(AC$1,[4]characters!$1:$1,0)-MATCH("character_id",[4]characters!$1:$1,0)+1),MATCH(AC$1,[4]characters!$1:$1,0)-MATCH("character_id",[4]characters!$1:$1,0)+1,FALSE),"")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6" s="38">
        <v>1</v>
      </c>
      <c r="AE6" s="39">
        <f ca="1">AB6</f>
        <v>2</v>
      </c>
      <c r="AF6" s="7">
        <v>26</v>
      </c>
      <c r="AG6" s="38">
        <v>0</v>
      </c>
      <c r="AH6" s="38">
        <v>0</v>
      </c>
      <c r="AI6" s="38">
        <v>0</v>
      </c>
      <c r="AJ6" s="38">
        <v>0</v>
      </c>
      <c r="AK6" s="38">
        <v>1</v>
      </c>
    </row>
    <row r="7" spans="1:38" ht="21" customHeight="1" x14ac:dyDescent="0.15">
      <c r="A7" s="17" t="str">
        <f t="shared" ca="1" si="0"/>
        <v>20009_1-2/18&lt;lv19&gt;s2</v>
      </c>
      <c r="B7" s="103">
        <v>20009</v>
      </c>
      <c r="C7" s="104">
        <v>1</v>
      </c>
      <c r="D7" s="104" t="str">
        <f t="shared" ref="D7:D9" si="4">B7&amp;"_"&amp;C7</f>
        <v>20009_1</v>
      </c>
      <c r="E7" s="105" t="str">
        <f ca="1">VLOOKUP($B7,OFFSET([2]quests!$A$1,0,0,COUNTA([2]quests!$A:$A),MATCH(E$1,[2]quests!$1:$1,0)-MATCH($B$1,[2]quests!$1:$1,0)+1),MATCH(E$1,[2]quests!$1:$1,0)-MATCH($B$1,[2]quests!$1:$1,0)+1,FALSE)</f>
        <v>迫り来る窒息</v>
      </c>
      <c r="F7" s="105" t="str">
        <f ca="1">VLOOKUP($D7,OFFSET([2]stages!$A$1,0,0,COUNTA([2]stages!$A:$A),MATCH(F$1,[2]stages!$2:$2,0)-MATCH($D$1,[2]stages!$2:$2,0)+1),MATCH(F$1,[2]stages!$2:$2,0)-MATCH($D$1,[2]stages!$2:$2,0)+1,FALSE)</f>
        <v>【初級】迫り来る窒息</v>
      </c>
      <c r="G7" s="104">
        <v>2</v>
      </c>
      <c r="H7" s="104" t="str">
        <f t="shared" ref="H7:H9" si="5">B7&amp;"_"&amp;C7&amp;"-"&amp;G7</f>
        <v>20009_1-2</v>
      </c>
      <c r="I7" s="107">
        <v>18</v>
      </c>
      <c r="J7" s="20" t="str">
        <f ca="1">VLOOKUP($I7,OFFSET([3]enemies!$A$1,0,0,COUNTA([3]enemies!$A:$A),MATCH(J$1,[3]enemies!$1:$1,0)-MATCH($I$1,[3]enemies!$1:$1,0)+1),MATCH(J$1,[3]enemies!$1:$1,0)-MATCH($I$1,[3]enemies!$1:$1,0)+1,FALSE)</f>
        <v>戦闘案内人 リム</v>
      </c>
      <c r="K7" s="20" t="str">
        <f ca="1">VLOOKUP($I7,OFFSET([3]enemies!$A$1,0,0,COUNTA([3]enemies!$A:$A),MATCH(K$1,[3]enemies!$1:$1,0)-MATCH($I$1,[3]enemies!$1:$1,0)+1),MATCH(K$1,[3]enemies!$1:$1,0)-MATCH($I$1,[3]enemies!$1:$1,0)+1,FALSE)</f>
        <v>blue</v>
      </c>
      <c r="L7" s="21" t="str">
        <f>VLOOKUP(I7,[4]characters!$A:$J,10,FALSE)</f>
        <v>Drop1W</v>
      </c>
      <c r="M7" s="20" t="str">
        <f ca="1">VLOOKUP($I7,OFFSET([3]enemies!$A$1,0,0,COUNTA([3]enemies!$A:$A),MATCH(M$1,[3]enemies!$1:$1,0)-MATCH($I$1,[3]enemies!$1:$1,0)+1),MATCH(M$1,[3]enemies!$1:$1,0)-MATCH($I$1,[3]enemies!$1:$1,0)+1,FALSE)</f>
        <v>human</v>
      </c>
      <c r="N7" s="20">
        <f ca="1">VLOOKUP($I7,OFFSET([3]enemies!$A$1,0,0,COUNTA([3]enemies!$A:$A),MATCH(N$1,[3]enemies!$1:$1,0)-MATCH($I$1,[3]enemies!$1:$1,0)+1),MATCH(N$1,[3]enemies!$1:$1,0)-MATCH($I$1,[3]enemies!$1:$1,0)+1,FALSE)</f>
        <v>15</v>
      </c>
      <c r="O7" s="112">
        <v>19</v>
      </c>
      <c r="P7" s="113">
        <v>1.1000000000000001</v>
      </c>
      <c r="Q7" s="113">
        <v>1.1000000000000001</v>
      </c>
      <c r="R7" s="139">
        <v>0</v>
      </c>
      <c r="S7" s="149"/>
      <c r="T7" s="20">
        <f ca="1">VLOOKUP($I7,OFFSET([3]enemies!$A$1,0,0,COUNTA([3]enemies!$A:$A),MATCH(T$1,[3]enemies!$1:$1,0)-MATCH($I$1,[3]enemies!$1:$1,0)+1),MATCH(T$1,[3]enemies!$1:$1,0)-MATCH($I$1,[3]enemies!$1:$1,0)+1,FALSE)</f>
        <v>0</v>
      </c>
      <c r="U7" s="4" t="str">
        <f ca="1">VLOOKUP(T7,[5]enemy_skill_sets!$B:$E,4,FALSE)</f>
        <v>なし</v>
      </c>
      <c r="V7" s="6">
        <v>0</v>
      </c>
      <c r="W7" s="6">
        <v>100</v>
      </c>
      <c r="X7" s="6">
        <v>0</v>
      </c>
      <c r="Y7" s="20">
        <f ca="1">VLOOKUP($I7,OFFSET([3]enemies!$A$1,0,0,COUNTA([3]enemies!$A:$A),MATCH(Y$1,[3]enemies!$1:$1,0)-MATCH($I$1,[3]enemies!$1:$1,0)+1),MATCH(Y$1,[3]enemies!$1:$1,0)-MATCH($I$1,[3]enemies!$1:$1,0)+1,FALSE)</f>
        <v>2</v>
      </c>
      <c r="Z7" s="40">
        <v>18</v>
      </c>
      <c r="AA7" s="4" t="str">
        <f ca="1">IFERROR(VLOOKUP($Z7,OFFSET([4]characters!$A$1,0,0,COUNTA([4]characters!$A:$A),MATCH(AA$1,[4]characters!$1:$1,0)-MATCH("character_id",[4]characters!$1:$1,0)+1),MATCH(AA$1,[4]characters!$1:$1,0)-MATCH("character_id",[4]characters!$1:$1,0)+1,FALSE),"")</f>
        <v>戦闘案内人 リム</v>
      </c>
      <c r="AB7" s="4">
        <f ca="1">IFERROR(VLOOKUP($Z7,OFFSET([4]characters!$A$1,0,0,COUNTA([4]characters!$A:$A),MATCH(AB$1,[4]characters!$1:$1,0)-MATCH("character_id",[4]characters!$1:$1,0)+1),MATCH(AB$1,[4]characters!$1:$1,0)-MATCH("character_id",[4]characters!$1:$1,0)+1,FALSE),"")</f>
        <v>2</v>
      </c>
      <c r="AC7" s="4" t="str">
        <f ca="1">IFERROR(VLOOKUP($Z7,OFFSET([4]characters!$A$1,0,0,COUNTA([4]characters!$A:$A),MATCH(AC$1,[4]characters!$1:$1,0)-MATCH("character_id",[4]characters!$1:$1,0)+1),MATCH(AC$1,[4]characters!$1:$1,0)-MATCH("character_id",[4]characters!$1:$1,0)+1,FALSE),"")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7" s="38">
        <v>1</v>
      </c>
      <c r="AE7" s="39">
        <f t="shared" ref="AE7:AE9" ca="1" si="6">AB7</f>
        <v>2</v>
      </c>
      <c r="AF7" s="7">
        <v>26</v>
      </c>
      <c r="AG7" s="38">
        <v>0</v>
      </c>
      <c r="AH7" s="38">
        <v>0</v>
      </c>
      <c r="AI7" s="38">
        <v>0</v>
      </c>
      <c r="AJ7" s="38">
        <v>0</v>
      </c>
      <c r="AK7" s="38">
        <v>1</v>
      </c>
    </row>
    <row r="8" spans="1:38" ht="21" customHeight="1" x14ac:dyDescent="0.15">
      <c r="A8" s="17" t="str">
        <f t="shared" ca="1" si="0"/>
        <v>20009_1-2/26&lt;lv19&gt;s3</v>
      </c>
      <c r="B8" s="103">
        <v>20009</v>
      </c>
      <c r="C8" s="104">
        <v>1</v>
      </c>
      <c r="D8" s="104" t="str">
        <f t="shared" si="4"/>
        <v>20009_1</v>
      </c>
      <c r="E8" s="105" t="str">
        <f ca="1">VLOOKUP($B8,OFFSET([2]quests!$A$1,0,0,COUNTA([2]quests!$A:$A),MATCH(E$1,[2]quests!$1:$1,0)-MATCH($B$1,[2]quests!$1:$1,0)+1),MATCH(E$1,[2]quests!$1:$1,0)-MATCH($B$1,[2]quests!$1:$1,0)+1,FALSE)</f>
        <v>迫り来る窒息</v>
      </c>
      <c r="F8" s="105" t="str">
        <f ca="1">VLOOKUP($D8,OFFSET([2]stages!$A$1,0,0,COUNTA([2]stages!$A:$A),MATCH(F$1,[2]stages!$2:$2,0)-MATCH($D$1,[2]stages!$2:$2,0)+1),MATCH(F$1,[2]stages!$2:$2,0)-MATCH($D$1,[2]stages!$2:$2,0)+1,FALSE)</f>
        <v>【初級】迫り来る窒息</v>
      </c>
      <c r="G8" s="104">
        <v>2</v>
      </c>
      <c r="H8" s="104" t="str">
        <f t="shared" si="5"/>
        <v>20009_1-2</v>
      </c>
      <c r="I8" s="107">
        <v>26</v>
      </c>
      <c r="J8" s="20" t="str">
        <f ca="1">VLOOKUP($I8,OFFSET([3]enemies!$A$1,0,0,COUNTA([3]enemies!$A:$A),MATCH(J$1,[3]enemies!$1:$1,0)-MATCH($I$1,[3]enemies!$1:$1,0)+1),MATCH(J$1,[3]enemies!$1:$1,0)-MATCH($I$1,[3]enemies!$1:$1,0)+1,FALSE)</f>
        <v>勇犬 ハチ</v>
      </c>
      <c r="K8" s="20" t="str">
        <f ca="1">VLOOKUP($I8,OFFSET([3]enemies!$A$1,0,0,COUNTA([3]enemies!$A:$A),MATCH(K$1,[3]enemies!$1:$1,0)-MATCH($I$1,[3]enemies!$1:$1,0)+1),MATCH(K$1,[3]enemies!$1:$1,0)-MATCH($I$1,[3]enemies!$1:$1,0)+1,FALSE)</f>
        <v>blue</v>
      </c>
      <c r="L8" s="21" t="str">
        <f>VLOOKUP(I8,[4]characters!$A:$J,10,FALSE)</f>
        <v>Drop1N</v>
      </c>
      <c r="M8" s="20" t="str">
        <f ca="1">VLOOKUP($I8,OFFSET([3]enemies!$A$1,0,0,COUNTA([3]enemies!$A:$A),MATCH(M$1,[3]enemies!$1:$1,0)-MATCH($I$1,[3]enemies!$1:$1,0)+1),MATCH(M$1,[3]enemies!$1:$1,0)-MATCH($I$1,[3]enemies!$1:$1,0)+1,FALSE)</f>
        <v>animal</v>
      </c>
      <c r="N8" s="20">
        <f ca="1">VLOOKUP($I8,OFFSET([3]enemies!$A$1,0,0,COUNTA([3]enemies!$A:$A),MATCH(N$1,[3]enemies!$1:$1,0)-MATCH($I$1,[3]enemies!$1:$1,0)+1),MATCH(N$1,[3]enemies!$1:$1,0)-MATCH($I$1,[3]enemies!$1:$1,0)+1,FALSE)</f>
        <v>15</v>
      </c>
      <c r="O8" s="112">
        <v>19</v>
      </c>
      <c r="P8" s="113">
        <v>1.1000000000000001</v>
      </c>
      <c r="Q8" s="113">
        <v>1.1000000000000001</v>
      </c>
      <c r="R8" s="139">
        <v>0</v>
      </c>
      <c r="S8" s="149"/>
      <c r="T8" s="20">
        <f ca="1">VLOOKUP($I8,OFFSET([3]enemies!$A$1,0,0,COUNTA([3]enemies!$A:$A),MATCH(T$1,[3]enemies!$1:$1,0)-MATCH($I$1,[3]enemies!$1:$1,0)+1),MATCH(T$1,[3]enemies!$1:$1,0)-MATCH($I$1,[3]enemies!$1:$1,0)+1,FALSE)</f>
        <v>0</v>
      </c>
      <c r="U8" s="4" t="str">
        <f ca="1">VLOOKUP(T8,[5]enemy_skill_sets!$B:$E,4,FALSE)</f>
        <v>なし</v>
      </c>
      <c r="V8" s="6">
        <v>0</v>
      </c>
      <c r="W8" s="6">
        <v>100</v>
      </c>
      <c r="X8" s="6">
        <v>0</v>
      </c>
      <c r="Y8" s="20">
        <f ca="1">VLOOKUP($I8,OFFSET([3]enemies!$A$1,0,0,COUNTA([3]enemies!$A:$A),MATCH(Y$1,[3]enemies!$1:$1,0)-MATCH($I$1,[3]enemies!$1:$1,0)+1),MATCH(Y$1,[3]enemies!$1:$1,0)-MATCH($I$1,[3]enemies!$1:$1,0)+1,FALSE)</f>
        <v>3</v>
      </c>
      <c r="Z8" s="40">
        <v>26</v>
      </c>
      <c r="AA8" s="4" t="str">
        <f ca="1">IFERROR(VLOOKUP($Z8,OFFSET([4]characters!$A$1,0,0,COUNTA([4]characters!$A:$A),MATCH(AA$1,[4]characters!$1:$1,0)-MATCH("character_id",[4]characters!$1:$1,0)+1),MATCH(AA$1,[4]characters!$1:$1,0)-MATCH("character_id",[4]characters!$1:$1,0)+1,FALSE),"")</f>
        <v>勇犬 ハチ</v>
      </c>
      <c r="AB8" s="4">
        <f ca="1">IFERROR(VLOOKUP($Z8,OFFSET([4]characters!$A$1,0,0,COUNTA([4]characters!$A:$A),MATCH(AB$1,[4]characters!$1:$1,0)-MATCH("character_id",[4]characters!$1:$1,0)+1),MATCH(AB$1,[4]characters!$1:$1,0)-MATCH("character_id",[4]characters!$1:$1,0)+1,FALSE),"")</f>
        <v>2</v>
      </c>
      <c r="AC8" s="4" t="str">
        <f ca="1">IFERROR(VLOOKUP($Z8,OFFSET([4]characters!$A$1,0,0,COUNTA([4]characters!$A:$A),MATCH(AC$1,[4]characters!$1:$1,0)-MATCH("character_id",[4]characters!$1:$1,0)+1),MATCH(AC$1,[4]characters!$1:$1,0)-MATCH("character_id",[4]characters!$1:$1,0)+1,FALSE),"")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8" s="38">
        <v>1</v>
      </c>
      <c r="AE8" s="39">
        <f t="shared" ca="1" si="6"/>
        <v>2</v>
      </c>
      <c r="AF8" s="7">
        <v>26</v>
      </c>
      <c r="AG8" s="38">
        <v>0</v>
      </c>
      <c r="AH8" s="38">
        <v>0</v>
      </c>
      <c r="AI8" s="38">
        <v>0</v>
      </c>
      <c r="AJ8" s="38">
        <v>0</v>
      </c>
      <c r="AK8" s="38">
        <v>1</v>
      </c>
    </row>
    <row r="9" spans="1:38" ht="21" customHeight="1" x14ac:dyDescent="0.15">
      <c r="A9" s="17" t="str">
        <f t="shared" ca="1" si="0"/>
        <v>20009_1-2/30&lt;lv19&gt;s2</v>
      </c>
      <c r="B9" s="103">
        <v>20009</v>
      </c>
      <c r="C9" s="104">
        <v>1</v>
      </c>
      <c r="D9" s="104" t="str">
        <f t="shared" si="4"/>
        <v>20009_1</v>
      </c>
      <c r="E9" s="105" t="str">
        <f ca="1">VLOOKUP($B9,OFFSET([2]quests!$A$1,0,0,COUNTA([2]quests!$A:$A),MATCH(E$1,[2]quests!$1:$1,0)-MATCH($B$1,[2]quests!$1:$1,0)+1),MATCH(E$1,[2]quests!$1:$1,0)-MATCH($B$1,[2]quests!$1:$1,0)+1,FALSE)</f>
        <v>迫り来る窒息</v>
      </c>
      <c r="F9" s="105" t="str">
        <f ca="1">VLOOKUP($D9,OFFSET([2]stages!$A$1,0,0,COUNTA([2]stages!$A:$A),MATCH(F$1,[2]stages!$2:$2,0)-MATCH($D$1,[2]stages!$2:$2,0)+1),MATCH(F$1,[2]stages!$2:$2,0)-MATCH($D$1,[2]stages!$2:$2,0)+1,FALSE)</f>
        <v>【初級】迫り来る窒息</v>
      </c>
      <c r="G9" s="104">
        <v>2</v>
      </c>
      <c r="H9" s="104" t="str">
        <f t="shared" si="5"/>
        <v>20009_1-2</v>
      </c>
      <c r="I9" s="107">
        <v>30</v>
      </c>
      <c r="J9" s="20" t="str">
        <f ca="1">VLOOKUP($I9,OFFSET([3]enemies!$A$1,0,0,COUNTA([3]enemies!$A:$A),MATCH(J$1,[3]enemies!$1:$1,0)-MATCH($I$1,[3]enemies!$1:$1,0)+1),MATCH(J$1,[3]enemies!$1:$1,0)-MATCH($I$1,[3]enemies!$1:$1,0)+1,FALSE)</f>
        <v>護衛機人 スケアクロウ</v>
      </c>
      <c r="K9" s="20" t="str">
        <f ca="1">VLOOKUP($I9,OFFSET([3]enemies!$A$1,0,0,COUNTA([3]enemies!$A:$A),MATCH(K$1,[3]enemies!$1:$1,0)-MATCH($I$1,[3]enemies!$1:$1,0)+1),MATCH(K$1,[3]enemies!$1:$1,0)-MATCH($I$1,[3]enemies!$1:$1,0)+1,FALSE)</f>
        <v>blue</v>
      </c>
      <c r="L9" s="21" t="str">
        <f>VLOOKUP(I9,[4]characters!$A:$J,10,FALSE)</f>
        <v>Drop1N</v>
      </c>
      <c r="M9" s="20" t="str">
        <f ca="1">VLOOKUP($I9,OFFSET([3]enemies!$A$1,0,0,COUNTA([3]enemies!$A:$A),MATCH(M$1,[3]enemies!$1:$1,0)-MATCH($I$1,[3]enemies!$1:$1,0)+1),MATCH(M$1,[3]enemies!$1:$1,0)-MATCH($I$1,[3]enemies!$1:$1,0)+1,FALSE)</f>
        <v>machine</v>
      </c>
      <c r="N9" s="20">
        <f ca="1">VLOOKUP($I9,OFFSET([3]enemies!$A$1,0,0,COUNTA([3]enemies!$A:$A),MATCH(N$1,[3]enemies!$1:$1,0)-MATCH($I$1,[3]enemies!$1:$1,0)+1),MATCH(N$1,[3]enemies!$1:$1,0)-MATCH($I$1,[3]enemies!$1:$1,0)+1,FALSE)</f>
        <v>15</v>
      </c>
      <c r="O9" s="112">
        <v>19</v>
      </c>
      <c r="P9" s="113">
        <v>1.1000000000000001</v>
      </c>
      <c r="Q9" s="113">
        <v>1.1000000000000001</v>
      </c>
      <c r="R9" s="139">
        <v>0</v>
      </c>
      <c r="S9" s="149"/>
      <c r="T9" s="20">
        <f ca="1">VLOOKUP($I9,OFFSET([3]enemies!$A$1,0,0,COUNTA([3]enemies!$A:$A),MATCH(T$1,[3]enemies!$1:$1,0)-MATCH($I$1,[3]enemies!$1:$1,0)+1),MATCH(T$1,[3]enemies!$1:$1,0)-MATCH($I$1,[3]enemies!$1:$1,0)+1,FALSE)</f>
        <v>30</v>
      </c>
      <c r="U9" s="4" t="str">
        <f ca="1">VLOOKUP(T9,[5]enemy_skill_sets!$B:$E,4,FALSE)</f>
        <v>回復</v>
      </c>
      <c r="V9" s="6">
        <v>0</v>
      </c>
      <c r="W9" s="6">
        <v>100</v>
      </c>
      <c r="X9" s="6">
        <v>0</v>
      </c>
      <c r="Y9" s="20">
        <f ca="1">VLOOKUP($I9,OFFSET([3]enemies!$A$1,0,0,COUNTA([3]enemies!$A:$A),MATCH(Y$1,[3]enemies!$1:$1,0)-MATCH($I$1,[3]enemies!$1:$1,0)+1),MATCH(Y$1,[3]enemies!$1:$1,0)-MATCH($I$1,[3]enemies!$1:$1,0)+1,FALSE)</f>
        <v>2</v>
      </c>
      <c r="Z9" s="40">
        <v>30</v>
      </c>
      <c r="AA9" s="4" t="str">
        <f ca="1">IFERROR(VLOOKUP($Z9,OFFSET([4]characters!$A$1,0,0,COUNTA([4]characters!$A:$A),MATCH(AA$1,[4]characters!$1:$1,0)-MATCH("character_id",[4]characters!$1:$1,0)+1),MATCH(AA$1,[4]characters!$1:$1,0)-MATCH("character_id",[4]characters!$1:$1,0)+1,FALSE),"")</f>
        <v>護衛機人 スケアクロウ</v>
      </c>
      <c r="AB9" s="4">
        <f ca="1">IFERROR(VLOOKUP($Z9,OFFSET([4]characters!$A$1,0,0,COUNTA([4]characters!$A:$A),MATCH(AB$1,[4]characters!$1:$1,0)-MATCH("character_id",[4]characters!$1:$1,0)+1),MATCH(AB$1,[4]characters!$1:$1,0)-MATCH("character_id",[4]characters!$1:$1,0)+1,FALSE),"")</f>
        <v>2</v>
      </c>
      <c r="AC9" s="4" t="str">
        <f ca="1">IFERROR(VLOOKUP($Z9,OFFSET([4]characters!$A$1,0,0,COUNTA([4]characters!$A:$A),MATCH(AC$1,[4]characters!$1:$1,0)-MATCH("character_id",[4]characters!$1:$1,0)+1),MATCH(AC$1,[4]characters!$1:$1,0)-MATCH("character_id",[4]characters!$1:$1,0)+1,FALSE),"")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9" s="38">
        <v>1</v>
      </c>
      <c r="AE9" s="39">
        <f t="shared" ca="1" si="6"/>
        <v>2</v>
      </c>
      <c r="AF9" s="7">
        <v>26</v>
      </c>
      <c r="AG9" s="38">
        <v>0</v>
      </c>
      <c r="AH9" s="38">
        <v>0</v>
      </c>
      <c r="AI9" s="38">
        <v>0</v>
      </c>
      <c r="AJ9" s="38">
        <v>0</v>
      </c>
      <c r="AK9" s="38">
        <v>1</v>
      </c>
    </row>
    <row r="10" spans="1:38" s="62" customFormat="1" ht="21" customHeight="1" thickBot="1" x14ac:dyDescent="0.2">
      <c r="A10" s="51" t="str">
        <f t="shared" ca="1" si="0"/>
        <v>20009_1-3/302&lt;lv20&gt;s2</v>
      </c>
      <c r="B10" s="108">
        <v>20009</v>
      </c>
      <c r="C10" s="109">
        <v>1</v>
      </c>
      <c r="D10" s="109" t="str">
        <f>B10&amp;"_"&amp;C10</f>
        <v>20009_1</v>
      </c>
      <c r="E10" s="110" t="str">
        <f ca="1">VLOOKUP($B10,OFFSET([2]quests!$A$1,0,0,COUNTA([2]quests!$A:$A),MATCH(E$1,[2]quests!$1:$1,0)-MATCH($B$1,[2]quests!$1:$1,0)+1),MATCH(E$1,[2]quests!$1:$1,0)-MATCH($B$1,[2]quests!$1:$1,0)+1,FALSE)</f>
        <v>迫り来る窒息</v>
      </c>
      <c r="F10" s="110" t="str">
        <f ca="1">VLOOKUP($D10,OFFSET([2]stages!$A$1,0,0,COUNTA([2]stages!$A:$A),MATCH(F$1,[2]stages!$2:$2,0)-MATCH($D$1,[2]stages!$2:$2,0)+1),MATCH(F$1,[2]stages!$2:$2,0)-MATCH($D$1,[2]stages!$2:$2,0)+1,FALSE)</f>
        <v>【初級】迫り来る窒息</v>
      </c>
      <c r="G10" s="109">
        <v>3</v>
      </c>
      <c r="H10" s="109" t="str">
        <f>B10&amp;"_"&amp;C10&amp;"-"&amp;G10</f>
        <v>20009_1-3</v>
      </c>
      <c r="I10" s="111">
        <v>302</v>
      </c>
      <c r="J10" s="20" t="str">
        <f ca="1">VLOOKUP($I10,OFFSET([3]enemies!$A$1,0,0,COUNTA([3]enemies!$A:$A),MATCH(J$1,[3]enemies!$1:$1,0)-MATCH($I$1,[3]enemies!$1:$1,0)+1),MATCH(J$1,[3]enemies!$1:$1,0)-MATCH($I$1,[3]enemies!$1:$1,0)+1,FALSE)</f>
        <v>絞殺のリサ</v>
      </c>
      <c r="K10" s="20" t="str">
        <f ca="1">VLOOKUP($I10,OFFSET([3]enemies!$A$1,0,0,COUNTA([3]enemies!$A:$A),MATCH(K$1,[3]enemies!$1:$1,0)-MATCH($I$1,[3]enemies!$1:$1,0)+1),MATCH(K$1,[3]enemies!$1:$1,0)-MATCH($I$1,[3]enemies!$1:$1,0)+1,FALSE)</f>
        <v>blue</v>
      </c>
      <c r="L10" s="21" t="str">
        <f>VLOOKUP(I10,[4]characters!$A:$J,10,FALSE)</f>
        <v>Drop2W</v>
      </c>
      <c r="M10" s="20" t="str">
        <f ca="1">VLOOKUP($I10,OFFSET([3]enemies!$A$1,0,0,COUNTA([3]enemies!$A:$A),MATCH(M$1,[3]enemies!$1:$1,0)-MATCH($I$1,[3]enemies!$1:$1,0)+1),MATCH(M$1,[3]enemies!$1:$1,0)-MATCH($I$1,[3]enemies!$1:$1,0)+1,FALSE)</f>
        <v>human</v>
      </c>
      <c r="N10" s="20">
        <f ca="1">VLOOKUP($I10,OFFSET([3]enemies!$A$1,0,0,COUNTA([3]enemies!$A:$A),MATCH(N$1,[3]enemies!$1:$1,0)-MATCH($I$1,[3]enemies!$1:$1,0)+1),MATCH(N$1,[3]enemies!$1:$1,0)-MATCH($I$1,[3]enemies!$1:$1,0)+1,FALSE)</f>
        <v>20</v>
      </c>
      <c r="O10" s="114">
        <v>20</v>
      </c>
      <c r="P10" s="115">
        <v>3.5</v>
      </c>
      <c r="Q10" s="115">
        <v>1.3</v>
      </c>
      <c r="R10" s="140">
        <v>0</v>
      </c>
      <c r="S10" s="149"/>
      <c r="T10" s="145">
        <v>30201</v>
      </c>
      <c r="U10" s="81" t="str">
        <f ca="1">IFERROR(VLOOKUP($T10,OFFSET([5]enemy_skill_sets!$B$1,0,0,COUNTA([5]enemy_skill_sets!$B:$B),MATCH(J$1,[5]enemy_skill_sets!$1:$1,0)-MATCH($T$1,[5]enemy_skill_sets!$1:$1,0)+2),MATCH(J$1,[5]enemy_skill_sets!$1:$1,0)-MATCH($T$1,[5]enemy_skill_sets!$1:$1,0)+2,FALSE),VLOOKUP(VLOOKUP(T10,enemy_skill_sets!B:C,2,FALSE),enemy_skills!A:E,5,FALSE))</f>
        <v>回復</v>
      </c>
      <c r="V10" s="57">
        <v>1</v>
      </c>
      <c r="W10" s="57">
        <v>100</v>
      </c>
      <c r="X10" s="57">
        <v>1</v>
      </c>
      <c r="Y10" s="20">
        <f ca="1">VLOOKUP($I10,OFFSET([3]enemies!$A$1,0,0,COUNTA([3]enemies!$A:$A),MATCH(Y$1,[3]enemies!$1:$1,0)-MATCH($I$1,[3]enemies!$1:$1,0)+1),MATCH(Y$1,[3]enemies!$1:$1,0)-MATCH($I$1,[3]enemies!$1:$1,0)+1,FALSE)</f>
        <v>2</v>
      </c>
      <c r="Z10" s="58">
        <v>298</v>
      </c>
      <c r="AA10" s="4" t="str">
        <f ca="1">IFERROR(VLOOKUP($Z10,OFFSET([4]characters!$A$1,0,0,COUNTA([4]characters!$A:$A),MATCH(AA$1,[4]characters!$1:$1,0)-MATCH("character_id",[4]characters!$1:$1,0)+1),MATCH(AA$1,[4]characters!$1:$1,0)-MATCH("character_id",[4]characters!$1:$1,0)+1,FALSE),"")</f>
        <v>炎殺のミサコ</v>
      </c>
      <c r="AB10" s="4">
        <f ca="1">IFERROR(VLOOKUP($Z10,OFFSET([4]characters!$A$1,0,0,COUNTA([4]characters!$A:$A),MATCH(AB$1,[4]characters!$1:$1,0)-MATCH("character_id",[4]characters!$1:$1,0)+1),MATCH(AB$1,[4]characters!$1:$1,0)-MATCH("character_id",[4]characters!$1:$1,0)+1,FALSE),"")</f>
        <v>3</v>
      </c>
      <c r="AC10" s="4" t="str">
        <f ca="1">IFERROR(VLOOKUP($Z10,OFFSET([4]characters!$A$1,0,0,COUNTA([4]characters!$A:$A),MATCH(AC$1,[4]characters!$1:$1,0)-MATCH("character_id",[4]characters!$1:$1,0)+1),MATCH(AC$1,[4]characters!$1:$1,0)-MATCH("character_id",[4]characters!$1:$1,0)+1,FALSE),"")</f>
        <v>Drop2W</v>
      </c>
      <c r="AD10" s="59">
        <v>1</v>
      </c>
      <c r="AE10" s="60">
        <f ca="1">AB10</f>
        <v>3</v>
      </c>
      <c r="AF10" s="155">
        <v>20</v>
      </c>
      <c r="AG10" s="59">
        <v>0</v>
      </c>
      <c r="AH10" s="59">
        <v>0</v>
      </c>
      <c r="AI10" s="59">
        <v>0</v>
      </c>
      <c r="AJ10" s="59">
        <v>0</v>
      </c>
      <c r="AK10" s="59">
        <v>1</v>
      </c>
      <c r="AL10" s="99"/>
    </row>
    <row r="11" spans="1:38" s="72" customFormat="1" ht="21" customHeight="1" x14ac:dyDescent="0.15">
      <c r="A11" s="63" t="str">
        <f t="shared" ca="1" si="0"/>
        <v>20009_2-1/5&lt;lv22&gt;s3</v>
      </c>
      <c r="B11" s="64">
        <v>20009</v>
      </c>
      <c r="C11" s="65">
        <v>2</v>
      </c>
      <c r="D11" s="66" t="str">
        <f>B11&amp;"_"&amp;C11</f>
        <v>20009_2</v>
      </c>
      <c r="E11" s="67" t="str">
        <f ca="1">VLOOKUP($B11,OFFSET([2]quests!$A$1,0,0,COUNTA([2]quests!$A:$A),MATCH(E$1,[2]quests!$1:$1,0)-MATCH($B$1,[2]quests!$1:$1,0)+1),MATCH(E$1,[2]quests!$1:$1,0)-MATCH($B$1,[2]quests!$1:$1,0)+1,FALSE)</f>
        <v>迫り来る窒息</v>
      </c>
      <c r="F11" s="67" t="str">
        <f ca="1">VLOOKUP($D11,OFFSET([2]stages!$A$1,0,0,COUNTA([2]stages!$A:$A),MATCH(F$1,[2]stages!$2:$2,0)-MATCH($D$1,[2]stages!$2:$2,0)+1),MATCH(F$1,[2]stages!$2:$2,0)-MATCH($D$1,[2]stages!$2:$2,0)+1,FALSE)</f>
        <v>【中級】迫り来る窒息</v>
      </c>
      <c r="G11" s="65">
        <v>1</v>
      </c>
      <c r="H11" s="66" t="str">
        <f>B11&amp;"_"&amp;C11&amp;"-"&amp;G11</f>
        <v>20009_2-1</v>
      </c>
      <c r="I11" s="37">
        <v>5</v>
      </c>
      <c r="J11" s="20" t="str">
        <f ca="1">VLOOKUP($I11,OFFSET([3]enemies!$A$1,0,0,COUNTA([3]enemies!$A:$A),MATCH(J$1,[3]enemies!$1:$1,0)-MATCH($I$1,[3]enemies!$1:$1,0)+1),MATCH(J$1,[3]enemies!$1:$1,0)-MATCH($I$1,[3]enemies!$1:$1,0)+1,FALSE)</f>
        <v>パトドッグ ポチ</v>
      </c>
      <c r="K11" s="20" t="str">
        <f ca="1">VLOOKUP($I11,OFFSET([3]enemies!$A$1,0,0,COUNTA([3]enemies!$A:$A),MATCH(K$1,[3]enemies!$1:$1,0)-MATCH($I$1,[3]enemies!$1:$1,0)+1),MATCH(K$1,[3]enemies!$1:$1,0)-MATCH($I$1,[3]enemies!$1:$1,0)+1,FALSE)</f>
        <v>blue</v>
      </c>
      <c r="L11" s="21" t="str">
        <f>VLOOKUP(I11,[4]characters!$A:$J,10,FALSE)</f>
        <v>Drop1T</v>
      </c>
      <c r="M11" s="20" t="str">
        <f ca="1">VLOOKUP($I11,OFFSET([3]enemies!$A$1,0,0,COUNTA([3]enemies!$A:$A),MATCH(M$1,[3]enemies!$1:$1,0)-MATCH($I$1,[3]enemies!$1:$1,0)+1),MATCH(M$1,[3]enemies!$1:$1,0)-MATCH($I$1,[3]enemies!$1:$1,0)+1,FALSE)</f>
        <v>unknown</v>
      </c>
      <c r="N11" s="20">
        <f ca="1">VLOOKUP($I11,OFFSET([3]enemies!$A$1,0,0,COUNTA([3]enemies!$A:$A),MATCH(N$1,[3]enemies!$1:$1,0)-MATCH($I$1,[3]enemies!$1:$1,0)+1),MATCH(N$1,[3]enemies!$1:$1,0)-MATCH($I$1,[3]enemies!$1:$1,0)+1,FALSE)</f>
        <v>15</v>
      </c>
      <c r="O11" s="100">
        <v>22</v>
      </c>
      <c r="P11" s="89">
        <v>1.5</v>
      </c>
      <c r="Q11" s="89">
        <v>1.3</v>
      </c>
      <c r="R11" s="141">
        <v>0</v>
      </c>
      <c r="S11" s="150"/>
      <c r="T11" s="20">
        <f ca="1">VLOOKUP($I11,OFFSET([3]enemies!$A$1,0,0,COUNTA([3]enemies!$A:$A),MATCH(T$1,[3]enemies!$1:$1,0)-MATCH($I$1,[3]enemies!$1:$1,0)+1),MATCH(T$1,[3]enemies!$1:$1,0)-MATCH($I$1,[3]enemies!$1:$1,0)+1,FALSE)</f>
        <v>0</v>
      </c>
      <c r="U11" s="4" t="str">
        <f ca="1">VLOOKUP(T11,[5]enemy_skill_sets!$B:$E,4,FALSE)</f>
        <v>なし</v>
      </c>
      <c r="V11" s="68">
        <v>0</v>
      </c>
      <c r="W11" s="68">
        <v>100</v>
      </c>
      <c r="X11" s="68">
        <v>0</v>
      </c>
      <c r="Y11" s="20">
        <f ca="1">VLOOKUP($I11,OFFSET([3]enemies!$A$1,0,0,COUNTA([3]enemies!$A:$A),MATCH(Y$1,[3]enemies!$1:$1,0)-MATCH($I$1,[3]enemies!$1:$1,0)+1),MATCH(Y$1,[3]enemies!$1:$1,0)-MATCH($I$1,[3]enemies!$1:$1,0)+1,FALSE)</f>
        <v>3</v>
      </c>
      <c r="Z11" s="37">
        <v>5</v>
      </c>
      <c r="AA11" s="4" t="str">
        <f ca="1">IFERROR(VLOOKUP($Z11,OFFSET([4]characters!$A$1,0,0,COUNTA([4]characters!$A:$A),MATCH(AA$1,[4]characters!$1:$1,0)-MATCH("character_id",[4]characters!$1:$1,0)+1),MATCH(AA$1,[4]characters!$1:$1,0)-MATCH("character_id",[4]characters!$1:$1,0)+1,FALSE),"")</f>
        <v>パトドッグ ポチ</v>
      </c>
      <c r="AB11" s="4">
        <f ca="1">IFERROR(VLOOKUP($Z11,OFFSET([4]characters!$A$1,0,0,COUNTA([4]characters!$A:$A),MATCH(AB$1,[4]characters!$1:$1,0)-MATCH("character_id",[4]characters!$1:$1,0)+1),MATCH(AB$1,[4]characters!$1:$1,0)-MATCH("character_id",[4]characters!$1:$1,0)+1,FALSE),"")</f>
        <v>1</v>
      </c>
      <c r="AC11" s="4" t="str">
        <f ca="1">IFERROR(VLOOKUP($Z11,OFFSET([4]characters!$A$1,0,0,COUNTA([4]characters!$A:$A),MATCH(AC$1,[4]characters!$1:$1,0)-MATCH("character_id",[4]characters!$1:$1,0)+1),MATCH(AC$1,[4]characters!$1:$1,0)-MATCH("character_id",[4]characters!$1:$1,0)+1,FALSE),"")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11" s="69">
        <v>3</v>
      </c>
      <c r="AE11" s="70">
        <f ca="1">AB11</f>
        <v>1</v>
      </c>
      <c r="AF11" s="71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1</v>
      </c>
      <c r="AL11" s="99"/>
    </row>
    <row r="12" spans="1:38" ht="21" customHeight="1" x14ac:dyDescent="0.15">
      <c r="A12" s="17" t="str">
        <f t="shared" ca="1" si="0"/>
        <v>20009_2-1/17&lt;lv22&gt;s2</v>
      </c>
      <c r="B12" s="23">
        <v>20009</v>
      </c>
      <c r="C12" s="36">
        <v>2</v>
      </c>
      <c r="D12" s="16" t="str">
        <f t="shared" ref="D12:D13" si="7">B12&amp;"_"&amp;C12</f>
        <v>20009_2</v>
      </c>
      <c r="E12" s="4" t="str">
        <f ca="1">VLOOKUP($B12,OFFSET([2]quests!$A$1,0,0,COUNTA([2]quests!$A:$A),MATCH(E$1,[2]quests!$1:$1,0)-MATCH($B$1,[2]quests!$1:$1,0)+1),MATCH(E$1,[2]quests!$1:$1,0)-MATCH($B$1,[2]quests!$1:$1,0)+1,FALSE)</f>
        <v>迫り来る窒息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【中級】迫り来る窒息</v>
      </c>
      <c r="G12" s="36">
        <v>1</v>
      </c>
      <c r="H12" s="16" t="str">
        <f t="shared" ref="H12:H13" si="8">B12&amp;"_"&amp;C12&amp;"-"&amp;G12</f>
        <v>20009_2-1</v>
      </c>
      <c r="I12" s="40">
        <v>17</v>
      </c>
      <c r="J12" s="20" t="str">
        <f ca="1">VLOOKUP($I12,OFFSET([3]enemies!$A$1,0,0,COUNTA([3]enemies!$A:$A),MATCH(J$1,[3]enemies!$1:$1,0)-MATCH($I$1,[3]enemies!$1:$1,0)+1),MATCH(J$1,[3]enemies!$1:$1,0)-MATCH($I$1,[3]enemies!$1:$1,0)+1,FALSE)</f>
        <v>リム</v>
      </c>
      <c r="K12" s="20" t="str">
        <f ca="1">VLOOKUP($I12,OFFSET([3]enemies!$A$1,0,0,COUNTA([3]enemies!$A:$A),MATCH(K$1,[3]enemies!$1:$1,0)-MATCH($I$1,[3]enemies!$1:$1,0)+1),MATCH(K$1,[3]enemies!$1:$1,0)-MATCH($I$1,[3]enemies!$1:$1,0)+1,FALSE)</f>
        <v>blue</v>
      </c>
      <c r="L12" s="21" t="str">
        <f>VLOOKUP(I12,[4]characters!$A:$J,10,FALSE)</f>
        <v>Drop1W</v>
      </c>
      <c r="M12" s="20" t="str">
        <f ca="1">VLOOKUP($I12,OFFSET([3]enemies!$A$1,0,0,COUNTA([3]enemies!$A:$A),MATCH(M$1,[3]enemies!$1:$1,0)-MATCH($I$1,[3]enemies!$1:$1,0)+1),MATCH(M$1,[3]enemies!$1:$1,0)-MATCH($I$1,[3]enemies!$1:$1,0)+1,FALSE)</f>
        <v>human</v>
      </c>
      <c r="N12" s="20">
        <f ca="1">VLOOKUP($I12,OFFSET([3]enemies!$A$1,0,0,COUNTA([3]enemies!$A:$A),MATCH(N$1,[3]enemies!$1:$1,0)-MATCH($I$1,[3]enemies!$1:$1,0)+1),MATCH(N$1,[3]enemies!$1:$1,0)-MATCH($I$1,[3]enemies!$1:$1,0)+1,FALSE)</f>
        <v>15</v>
      </c>
      <c r="O12" s="101">
        <v>22</v>
      </c>
      <c r="P12" s="90">
        <v>1.5</v>
      </c>
      <c r="Q12" s="90">
        <v>1.3</v>
      </c>
      <c r="R12" s="142">
        <v>0</v>
      </c>
      <c r="S12" s="150"/>
      <c r="T12" s="20">
        <f ca="1">VLOOKUP($I12,OFFSET([3]enemies!$A$1,0,0,COUNTA([3]enemies!$A:$A),MATCH(T$1,[3]enemies!$1:$1,0)-MATCH($I$1,[3]enemies!$1:$1,0)+1),MATCH(T$1,[3]enemies!$1:$1,0)-MATCH($I$1,[3]enemies!$1:$1,0)+1,FALSE)</f>
        <v>0</v>
      </c>
      <c r="U12" s="4" t="str">
        <f ca="1">VLOOKUP(T12,[5]enemy_skill_sets!$B:$E,4,FALSE)</f>
        <v>なし</v>
      </c>
      <c r="V12" s="6">
        <v>0</v>
      </c>
      <c r="W12" s="6">
        <v>100</v>
      </c>
      <c r="X12" s="6">
        <v>0</v>
      </c>
      <c r="Y12" s="20">
        <f ca="1">VLOOKUP($I12,OFFSET([3]enemies!$A$1,0,0,COUNTA([3]enemies!$A:$A),MATCH(Y$1,[3]enemies!$1:$1,0)-MATCH($I$1,[3]enemies!$1:$1,0)+1),MATCH(Y$1,[3]enemies!$1:$1,0)-MATCH($I$1,[3]enemies!$1:$1,0)+1,FALSE)</f>
        <v>2</v>
      </c>
      <c r="Z12" s="40">
        <v>17</v>
      </c>
      <c r="AA12" s="4" t="str">
        <f ca="1">IFERROR(VLOOKUP($Z12,OFFSET([4]characters!$A$1,0,0,COUNTA([4]characters!$A:$A),MATCH(AA$1,[4]characters!$1:$1,0)-MATCH("character_id",[4]characters!$1:$1,0)+1),MATCH(AA$1,[4]characters!$1:$1,0)-MATCH("character_id",[4]characters!$1:$1,0)+1,FALSE),"")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12" s="4">
        <f ca="1">IFERROR(VLOOKUP($Z12,OFFSET([4]characters!$A$1,0,0,COUNTA([4]characters!$A:$A),MATCH(AB$1,[4]characters!$1:$1,0)-MATCH("character_id",[4]characters!$1:$1,0)+1),MATCH(AB$1,[4]characters!$1:$1,0)-MATCH("character_id",[4]characters!$1:$1,0)+1,FALSE),"")</f>
        <v>1</v>
      </c>
      <c r="AC12" s="4" t="str">
        <f ca="1">IFERROR(VLOOKUP($Z12,OFFSET([4]characters!$A$1,0,0,COUNTA([4]characters!$A:$A),MATCH(AC$1,[4]characters!$1:$1,0)-MATCH("character_id",[4]characters!$1:$1,0)+1),MATCH(AC$1,[4]characters!$1:$1,0)-MATCH("character_id",[4]characters!$1:$1,0)+1,FALSE),"")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2" s="38">
        <v>3</v>
      </c>
      <c r="AE12" s="39">
        <f t="shared" ref="AE12:AE13" ca="1" si="9">AB12</f>
        <v>1</v>
      </c>
      <c r="AF12" s="46">
        <v>0</v>
      </c>
      <c r="AG12" s="38">
        <v>0</v>
      </c>
      <c r="AH12" s="38">
        <v>0</v>
      </c>
      <c r="AI12" s="38">
        <v>0</v>
      </c>
      <c r="AJ12" s="38">
        <v>0</v>
      </c>
      <c r="AK12" s="38">
        <v>1</v>
      </c>
      <c r="AL12" s="99"/>
    </row>
    <row r="13" spans="1:38" ht="21" customHeight="1" x14ac:dyDescent="0.15">
      <c r="A13" s="17" t="str">
        <f t="shared" ca="1" si="0"/>
        <v>20009_2-1/25&lt;lv22&gt;s3</v>
      </c>
      <c r="B13" s="23">
        <v>20009</v>
      </c>
      <c r="C13" s="36">
        <v>2</v>
      </c>
      <c r="D13" s="16" t="str">
        <f t="shared" si="7"/>
        <v>20009_2</v>
      </c>
      <c r="E13" s="4" t="str">
        <f ca="1">VLOOKUP($B13,OFFSET([2]quests!$A$1,0,0,COUNTA([2]quests!$A:$A),MATCH(E$1,[2]quests!$1:$1,0)-MATCH($B$1,[2]quests!$1:$1,0)+1),MATCH(E$1,[2]quests!$1:$1,0)-MATCH($B$1,[2]quests!$1:$1,0)+1,FALSE)</f>
        <v>迫り来る窒息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【中級】迫り来る窒息</v>
      </c>
      <c r="G13" s="36">
        <v>1</v>
      </c>
      <c r="H13" s="16" t="str">
        <f t="shared" si="8"/>
        <v>20009_2-1</v>
      </c>
      <c r="I13" s="40">
        <v>25</v>
      </c>
      <c r="J13" s="20" t="str">
        <f ca="1">VLOOKUP($I13,OFFSET([3]enemies!$A$1,0,0,COUNTA([3]enemies!$A:$A),MATCH(J$1,[3]enemies!$1:$1,0)-MATCH($I$1,[3]enemies!$1:$1,0)+1),MATCH(J$1,[3]enemies!$1:$1,0)-MATCH($I$1,[3]enemies!$1:$1,0)+1,FALSE)</f>
        <v>ハチ</v>
      </c>
      <c r="K13" s="20" t="str">
        <f ca="1">VLOOKUP($I13,OFFSET([3]enemies!$A$1,0,0,COUNTA([3]enemies!$A:$A),MATCH(K$1,[3]enemies!$1:$1,0)-MATCH($I$1,[3]enemies!$1:$1,0)+1),MATCH(K$1,[3]enemies!$1:$1,0)-MATCH($I$1,[3]enemies!$1:$1,0)+1,FALSE)</f>
        <v>blue</v>
      </c>
      <c r="L13" s="21" t="str">
        <f>VLOOKUP(I13,[4]characters!$A:$J,10,FALSE)</f>
        <v>Drop1N</v>
      </c>
      <c r="M13" s="20" t="str">
        <f ca="1">VLOOKUP($I13,OFFSET([3]enemies!$A$1,0,0,COUNTA([3]enemies!$A:$A),MATCH(M$1,[3]enemies!$1:$1,0)-MATCH($I$1,[3]enemies!$1:$1,0)+1),MATCH(M$1,[3]enemies!$1:$1,0)-MATCH($I$1,[3]enemies!$1:$1,0)+1,FALSE)</f>
        <v>animal</v>
      </c>
      <c r="N13" s="20">
        <f ca="1">VLOOKUP($I13,OFFSET([3]enemies!$A$1,0,0,COUNTA([3]enemies!$A:$A),MATCH(N$1,[3]enemies!$1:$1,0)-MATCH($I$1,[3]enemies!$1:$1,0)+1),MATCH(N$1,[3]enemies!$1:$1,0)-MATCH($I$1,[3]enemies!$1:$1,0)+1,FALSE)</f>
        <v>15</v>
      </c>
      <c r="O13" s="101">
        <v>22</v>
      </c>
      <c r="P13" s="90">
        <v>1.5</v>
      </c>
      <c r="Q13" s="90">
        <v>1.3</v>
      </c>
      <c r="R13" s="142">
        <v>0</v>
      </c>
      <c r="S13" s="150"/>
      <c r="T13" s="20">
        <f ca="1">VLOOKUP($I13,OFFSET([3]enemies!$A$1,0,0,COUNTA([3]enemies!$A:$A),MATCH(T$1,[3]enemies!$1:$1,0)-MATCH($I$1,[3]enemies!$1:$1,0)+1),MATCH(T$1,[3]enemies!$1:$1,0)-MATCH($I$1,[3]enemies!$1:$1,0)+1,FALSE)</f>
        <v>0</v>
      </c>
      <c r="U13" s="4" t="str">
        <f ca="1">VLOOKUP(T13,[5]enemy_skill_sets!$B:$E,4,FALSE)</f>
        <v>なし</v>
      </c>
      <c r="V13" s="6">
        <v>0</v>
      </c>
      <c r="W13" s="6">
        <v>100</v>
      </c>
      <c r="X13" s="6">
        <v>0</v>
      </c>
      <c r="Y13" s="20">
        <f ca="1">VLOOKUP($I13,OFFSET([3]enemies!$A$1,0,0,COUNTA([3]enemies!$A:$A),MATCH(Y$1,[3]enemies!$1:$1,0)-MATCH($I$1,[3]enemies!$1:$1,0)+1),MATCH(Y$1,[3]enemies!$1:$1,0)-MATCH($I$1,[3]enemies!$1:$1,0)+1,FALSE)</f>
        <v>3</v>
      </c>
      <c r="Z13" s="40">
        <v>25</v>
      </c>
      <c r="AA13" s="4" t="str">
        <f ca="1">IFERROR(VLOOKUP($Z13,OFFSET([4]characters!$A$1,0,0,COUNTA([4]characters!$A:$A),MATCH(AA$1,[4]characters!$1:$1,0)-MATCH("character_id",[4]characters!$1:$1,0)+1),MATCH(AA$1,[4]characters!$1:$1,0)-MATCH("character_id",[4]characters!$1:$1,0)+1,FALSE),"")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13" s="4">
        <f ca="1">IFERROR(VLOOKUP($Z13,OFFSET([4]characters!$A$1,0,0,COUNTA([4]characters!$A:$A),MATCH(AB$1,[4]characters!$1:$1,0)-MATCH("character_id",[4]characters!$1:$1,0)+1),MATCH(AB$1,[4]characters!$1:$1,0)-MATCH("character_id",[4]characters!$1:$1,0)+1,FALSE),"")</f>
        <v>1</v>
      </c>
      <c r="AC13" s="4" t="str">
        <f ca="1">IFERROR(VLOOKUP($Z13,OFFSET([4]characters!$A$1,0,0,COUNTA([4]characters!$A:$A),MATCH(AC$1,[4]characters!$1:$1,0)-MATCH("character_id",[4]characters!$1:$1,0)+1),MATCH(AC$1,[4]characters!$1:$1,0)-MATCH("character_id",[4]characters!$1:$1,0)+1,FALSE),"")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3" s="38">
        <v>3</v>
      </c>
      <c r="AE13" s="39">
        <f t="shared" ca="1" si="9"/>
        <v>1</v>
      </c>
      <c r="AF13" s="46">
        <v>0</v>
      </c>
      <c r="AG13" s="38">
        <v>0</v>
      </c>
      <c r="AH13" s="38">
        <v>0</v>
      </c>
      <c r="AI13" s="38">
        <v>0</v>
      </c>
      <c r="AJ13" s="38">
        <v>0</v>
      </c>
      <c r="AK13" s="38">
        <v>1</v>
      </c>
      <c r="AL13" s="99"/>
    </row>
    <row r="14" spans="1:38" ht="21" customHeight="1" x14ac:dyDescent="0.15">
      <c r="A14" s="17" t="str">
        <f t="shared" ca="1" si="0"/>
        <v>20009_2-1/29&lt;lv22&gt;s2</v>
      </c>
      <c r="B14" s="23">
        <v>20009</v>
      </c>
      <c r="C14" s="36">
        <v>2</v>
      </c>
      <c r="D14" s="16" t="str">
        <f t="shared" ref="D14" si="10">B14&amp;"_"&amp;C14</f>
        <v>20009_2</v>
      </c>
      <c r="E14" s="4" t="str">
        <f ca="1">VLOOKUP($B14,OFFSET([2]quests!$A$1,0,0,COUNTA([2]quests!$A:$A),MATCH(E$1,[2]quests!$1:$1,0)-MATCH($B$1,[2]quests!$1:$1,0)+1),MATCH(E$1,[2]quests!$1:$1,0)-MATCH($B$1,[2]quests!$1:$1,0)+1,FALSE)</f>
        <v>迫り来る窒息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【中級】迫り来る窒息</v>
      </c>
      <c r="G14" s="36">
        <v>1</v>
      </c>
      <c r="H14" s="16" t="str">
        <f t="shared" ref="H14" si="11">B14&amp;"_"&amp;C14&amp;"-"&amp;G14</f>
        <v>20009_2-1</v>
      </c>
      <c r="I14" s="40">
        <v>29</v>
      </c>
      <c r="J14" s="20" t="str">
        <f ca="1">VLOOKUP($I14,OFFSET([3]enemies!$A$1,0,0,COUNTA([3]enemies!$A:$A),MATCH(J$1,[3]enemies!$1:$1,0)-MATCH($I$1,[3]enemies!$1:$1,0)+1),MATCH(J$1,[3]enemies!$1:$1,0)-MATCH($I$1,[3]enemies!$1:$1,0)+1,FALSE)</f>
        <v>スケアクロウ</v>
      </c>
      <c r="K14" s="20" t="str">
        <f ca="1">VLOOKUP($I14,OFFSET([3]enemies!$A$1,0,0,COUNTA([3]enemies!$A:$A),MATCH(K$1,[3]enemies!$1:$1,0)-MATCH($I$1,[3]enemies!$1:$1,0)+1),MATCH(K$1,[3]enemies!$1:$1,0)-MATCH($I$1,[3]enemies!$1:$1,0)+1,FALSE)</f>
        <v>blue</v>
      </c>
      <c r="L14" s="21" t="str">
        <f>VLOOKUP(I14,[4]characters!$A:$J,10,FALSE)</f>
        <v>Drop1N</v>
      </c>
      <c r="M14" s="20" t="str">
        <f ca="1">VLOOKUP($I14,OFFSET([3]enemies!$A$1,0,0,COUNTA([3]enemies!$A:$A),MATCH(M$1,[3]enemies!$1:$1,0)-MATCH($I$1,[3]enemies!$1:$1,0)+1),MATCH(M$1,[3]enemies!$1:$1,0)-MATCH($I$1,[3]enemies!$1:$1,0)+1,FALSE)</f>
        <v>machine</v>
      </c>
      <c r="N14" s="20">
        <f ca="1">VLOOKUP($I14,OFFSET([3]enemies!$A$1,0,0,COUNTA([3]enemies!$A:$A),MATCH(N$1,[3]enemies!$1:$1,0)-MATCH($I$1,[3]enemies!$1:$1,0)+1),MATCH(N$1,[3]enemies!$1:$1,0)-MATCH($I$1,[3]enemies!$1:$1,0)+1,FALSE)</f>
        <v>15</v>
      </c>
      <c r="O14" s="102">
        <v>22</v>
      </c>
      <c r="P14" s="90">
        <v>1.5</v>
      </c>
      <c r="Q14" s="91">
        <v>1.3</v>
      </c>
      <c r="R14" s="142">
        <v>0</v>
      </c>
      <c r="S14" s="150"/>
      <c r="T14" s="20">
        <f ca="1">VLOOKUP($I14,OFFSET([3]enemies!$A$1,0,0,COUNTA([3]enemies!$A:$A),MATCH(T$1,[3]enemies!$1:$1,0)-MATCH($I$1,[3]enemies!$1:$1,0)+1),MATCH(T$1,[3]enemies!$1:$1,0)-MATCH($I$1,[3]enemies!$1:$1,0)+1,FALSE)</f>
        <v>0</v>
      </c>
      <c r="U14" s="4" t="str">
        <f ca="1">VLOOKUP(T14,[5]enemy_skill_sets!$B:$E,4,FALSE)</f>
        <v>なし</v>
      </c>
      <c r="V14" s="6">
        <v>0</v>
      </c>
      <c r="W14" s="6">
        <v>100</v>
      </c>
      <c r="X14" s="6">
        <v>0</v>
      </c>
      <c r="Y14" s="20">
        <f ca="1">VLOOKUP($I14,OFFSET([3]enemies!$A$1,0,0,COUNTA([3]enemies!$A:$A),MATCH(Y$1,[3]enemies!$1:$1,0)-MATCH($I$1,[3]enemies!$1:$1,0)+1),MATCH(Y$1,[3]enemies!$1:$1,0)-MATCH($I$1,[3]enemies!$1:$1,0)+1,FALSE)</f>
        <v>2</v>
      </c>
      <c r="Z14" s="40">
        <v>29</v>
      </c>
      <c r="AA14" s="4" t="str">
        <f ca="1">IFERROR(VLOOKUP($Z14,OFFSET([4]characters!$A$1,0,0,COUNTA([4]characters!$A:$A),MATCH(AA$1,[4]characters!$1:$1,0)-MATCH("character_id",[4]characters!$1:$1,0)+1),MATCH(AA$1,[4]characters!$1:$1,0)-MATCH("character_id",[4]characters!$1:$1,0)+1,FALSE),"")</f>
        <v>スケアクロウ</v>
      </c>
      <c r="AB14" s="4">
        <f ca="1">IFERROR(VLOOKUP($Z14,OFFSET([4]characters!$A$1,0,0,COUNTA([4]characters!$A:$A),MATCH(AB$1,[4]characters!$1:$1,0)-MATCH("character_id",[4]characters!$1:$1,0)+1),MATCH(AB$1,[4]characters!$1:$1,0)-MATCH("character_id",[4]characters!$1:$1,0)+1,FALSE),"")</f>
        <v>1</v>
      </c>
      <c r="AC14" s="4" t="str">
        <f ca="1">IFERROR(VLOOKUP($Z14,OFFSET([4]characters!$A$1,0,0,COUNTA([4]characters!$A:$A),MATCH(AC$1,[4]characters!$1:$1,0)-MATCH("character_id",[4]characters!$1:$1,0)+1),MATCH(AC$1,[4]characters!$1:$1,0)-MATCH("character_id",[4]characters!$1:$1,0)+1,FALSE),"")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4" s="38">
        <v>3</v>
      </c>
      <c r="AE14" s="39">
        <f t="shared" ref="AE14" ca="1" si="12">AB14</f>
        <v>1</v>
      </c>
      <c r="AF14" s="46">
        <v>0</v>
      </c>
      <c r="AG14" s="38">
        <v>0</v>
      </c>
      <c r="AH14" s="38">
        <v>0</v>
      </c>
      <c r="AI14" s="38">
        <v>0</v>
      </c>
      <c r="AJ14" s="38">
        <v>0</v>
      </c>
      <c r="AK14" s="38">
        <v>1</v>
      </c>
      <c r="AL14" s="99"/>
    </row>
    <row r="15" spans="1:38" ht="21" customHeight="1" x14ac:dyDescent="0.15">
      <c r="A15" s="17" t="str">
        <f t="shared" ca="1" si="0"/>
        <v>20009_2-1/342&lt;lv7&gt;s3</v>
      </c>
      <c r="B15" s="23">
        <v>20009</v>
      </c>
      <c r="C15" s="36">
        <v>2</v>
      </c>
      <c r="D15" s="16" t="str">
        <f t="shared" ref="D15" si="13">B15&amp;"_"&amp;C15</f>
        <v>20009_2</v>
      </c>
      <c r="E15" s="4" t="str">
        <f ca="1">VLOOKUP($B15,OFFSET([2]quests!$A$1,0,0,COUNTA([2]quests!$A:$A),MATCH(E$1,[2]quests!$1:$1,0)-MATCH($B$1,[2]quests!$1:$1,0)+1),MATCH(E$1,[2]quests!$1:$1,0)-MATCH($B$1,[2]quests!$1:$1,0)+1,FALSE)</f>
        <v>迫り来る窒息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【中級】迫り来る窒息</v>
      </c>
      <c r="G15" s="47">
        <v>1</v>
      </c>
      <c r="H15" s="16" t="str">
        <f t="shared" ref="H15" si="14">B15&amp;"_"&amp;C15&amp;"-"&amp;G15</f>
        <v>20009_2-1</v>
      </c>
      <c r="I15" s="37">
        <v>342</v>
      </c>
      <c r="J15" s="20" t="str">
        <f ca="1">VLOOKUP($I15,OFFSET([3]enemies!$A$1,0,0,COUNTA([3]enemies!$A:$A),MATCH(J$1,[3]enemies!$1:$1,0)-MATCH($I$1,[3]enemies!$1:$1,0)+1),MATCH(J$1,[3]enemies!$1:$1,0)-MATCH($I$1,[3]enemies!$1:$1,0)+1,FALSE)</f>
        <v>水のメタルダック</v>
      </c>
      <c r="K15" s="20" t="str">
        <f ca="1">VLOOKUP($I15,OFFSET([3]enemies!$A$1,0,0,COUNTA([3]enemies!$A:$A),MATCH(K$1,[3]enemies!$1:$1,0)-MATCH($I$1,[3]enemies!$1:$1,0)+1),MATCH(K$1,[3]enemies!$1:$1,0)-MATCH($I$1,[3]enemies!$1:$1,0)+1,FALSE)</f>
        <v>blue</v>
      </c>
      <c r="L15" s="21" t="str">
        <f>VLOOKUP(I15,[4]characters!$A:$J,10,FALSE)</f>
        <v>Material</v>
      </c>
      <c r="M15" s="20" t="str">
        <f ca="1">VLOOKUP($I15,OFFSET([3]enemies!$A$1,0,0,COUNTA([3]enemies!$A:$A),MATCH(M$1,[3]enemies!$1:$1,0)-MATCH($I$1,[3]enemies!$1:$1,0)+1),MATCH(M$1,[3]enemies!$1:$1,0)-MATCH($I$1,[3]enemies!$1:$1,0)+1,FALSE)</f>
        <v>unknown</v>
      </c>
      <c r="N15" s="20">
        <f ca="1">VLOOKUP($I15,OFFSET([3]enemies!$A$1,0,0,COUNTA([3]enemies!$A:$A),MATCH(N$1,[3]enemies!$1:$1,0)-MATCH($I$1,[3]enemies!$1:$1,0)+1),MATCH(N$1,[3]enemies!$1:$1,0)-MATCH($I$1,[3]enemies!$1:$1,0)+1,FALSE)</f>
        <v>20</v>
      </c>
      <c r="O15" s="43">
        <v>7</v>
      </c>
      <c r="P15" s="91">
        <v>0.3</v>
      </c>
      <c r="Q15" s="44">
        <v>1</v>
      </c>
      <c r="R15" s="142">
        <v>0</v>
      </c>
      <c r="S15" s="150"/>
      <c r="T15" s="20">
        <f ca="1">VLOOKUP($I15,OFFSET([3]enemies!$A$1,0,0,COUNTA([3]enemies!$A:$A),MATCH(T$1,[3]enemies!$1:$1,0)-MATCH($I$1,[3]enemies!$1:$1,0)+1),MATCH(T$1,[3]enemies!$1:$1,0)-MATCH($I$1,[3]enemies!$1:$1,0)+1,FALSE)</f>
        <v>0</v>
      </c>
      <c r="U15" s="4" t="str">
        <f ca="1">VLOOKUP(T15,[5]enemy_skill_sets!$B:$E,4,FALSE)</f>
        <v>なし</v>
      </c>
      <c r="V15" s="6">
        <v>1</v>
      </c>
      <c r="W15" s="6">
        <v>100</v>
      </c>
      <c r="X15" s="6">
        <v>1</v>
      </c>
      <c r="Y15" s="20">
        <f ca="1">VLOOKUP($I15,OFFSET([3]enemies!$A$1,0,0,COUNTA([3]enemies!$A:$A),MATCH(Y$1,[3]enemies!$1:$1,0)-MATCH($I$1,[3]enemies!$1:$1,0)+1),MATCH(Y$1,[3]enemies!$1:$1,0)-MATCH($I$1,[3]enemies!$1:$1,0)+1,FALSE)</f>
        <v>3</v>
      </c>
      <c r="Z15" s="40">
        <v>342</v>
      </c>
      <c r="AA15" s="4" t="str">
        <f ca="1">IFERROR(VLOOKUP($Z15,OFFSET([4]characters!$A$1,0,0,COUNTA([4]characters!$A:$A),MATCH(AA$1,[4]characters!$1:$1,0)-MATCH("character_id",[4]characters!$1:$1,0)+1),MATCH(AA$1,[4]characters!$1:$1,0)-MATCH("character_id",[4]characters!$1:$1,0)+1,FALSE),"")</f>
        <v>水のメタルダック</v>
      </c>
      <c r="AB15" s="4">
        <f ca="1">IFERROR(VLOOKUP($Z15,OFFSET([4]characters!$A$1,0,0,COUNTA([4]characters!$A:$A),MATCH(AB$1,[4]characters!$1:$1,0)-MATCH("character_id",[4]characters!$1:$1,0)+1),MATCH(AB$1,[4]characters!$1:$1,0)-MATCH("character_id",[4]characters!$1:$1,0)+1,FALSE),"")</f>
        <v>5</v>
      </c>
      <c r="AC15" s="4" t="str">
        <f ca="1">IFERROR(VLOOKUP($Z15,OFFSET([4]characters!$A$1,0,0,COUNTA([4]characters!$A:$A),MATCH(AC$1,[4]characters!$1:$1,0)-MATCH("character_id",[4]characters!$1:$1,0)+1),MATCH(AC$1,[4]characters!$1:$1,0)-MATCH("character_id",[4]characters!$1:$1,0)+1,FALSE),"")</f>
        <v>Material</v>
      </c>
      <c r="AD15" s="38">
        <v>1</v>
      </c>
      <c r="AE15" s="39">
        <f t="shared" ref="AE15" ca="1" si="15">AB15</f>
        <v>5</v>
      </c>
      <c r="AF15" s="46">
        <v>25</v>
      </c>
      <c r="AG15" s="38">
        <v>0</v>
      </c>
      <c r="AH15" s="38">
        <v>0</v>
      </c>
      <c r="AI15" s="38">
        <v>0</v>
      </c>
      <c r="AJ15" s="38">
        <v>0</v>
      </c>
      <c r="AK15" s="38">
        <v>1</v>
      </c>
      <c r="AL15" s="99"/>
    </row>
    <row r="16" spans="1:38" ht="21" customHeight="1" x14ac:dyDescent="0.15">
      <c r="A16" s="17" t="str">
        <f t="shared" ca="1" si="0"/>
        <v>20009_2-2/6&lt;lv22&gt;s3</v>
      </c>
      <c r="B16" s="23">
        <v>20009</v>
      </c>
      <c r="C16" s="36">
        <v>2</v>
      </c>
      <c r="D16" s="16" t="str">
        <f>B16&amp;"_"&amp;C16</f>
        <v>20009_2</v>
      </c>
      <c r="E16" s="4" t="str">
        <f ca="1">VLOOKUP($B16,OFFSET([2]quests!$A$1,0,0,COUNTA([2]quests!$A:$A),MATCH(E$1,[2]quests!$1:$1,0)-MATCH($B$1,[2]quests!$1:$1,0)+1),MATCH(E$1,[2]quests!$1:$1,0)-MATCH($B$1,[2]quests!$1:$1,0)+1,FALSE)</f>
        <v>迫り来る窒息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【中級】迫り来る窒息</v>
      </c>
      <c r="G16" s="41">
        <v>2</v>
      </c>
      <c r="H16" s="16" t="str">
        <f>B16&amp;"_"&amp;C16&amp;"-"&amp;G16</f>
        <v>20009_2-2</v>
      </c>
      <c r="I16" s="40">
        <v>6</v>
      </c>
      <c r="J16" s="20" t="str">
        <f ca="1">VLOOKUP($I16,OFFSET([3]enemies!$A$1,0,0,COUNTA([3]enemies!$A:$A),MATCH(J$1,[3]enemies!$1:$1,0)-MATCH($I$1,[3]enemies!$1:$1,0)+1),MATCH(J$1,[3]enemies!$1:$1,0)-MATCH($I$1,[3]enemies!$1:$1,0)+1,FALSE)</f>
        <v>パトドッグリーダー ポチ</v>
      </c>
      <c r="K16" s="20" t="str">
        <f ca="1">VLOOKUP($I16,OFFSET([3]enemies!$A$1,0,0,COUNTA([3]enemies!$A:$A),MATCH(K$1,[3]enemies!$1:$1,0)-MATCH($I$1,[3]enemies!$1:$1,0)+1),MATCH(K$1,[3]enemies!$1:$1,0)-MATCH($I$1,[3]enemies!$1:$1,0)+1,FALSE)</f>
        <v>blue</v>
      </c>
      <c r="L16" s="21" t="str">
        <f>VLOOKUP(I16,[4]characters!$A:$J,10,FALSE)</f>
        <v>Drop1T</v>
      </c>
      <c r="M16" s="20" t="str">
        <f ca="1">VLOOKUP($I16,OFFSET([3]enemies!$A$1,0,0,COUNTA([3]enemies!$A:$A),MATCH(M$1,[3]enemies!$1:$1,0)-MATCH($I$1,[3]enemies!$1:$1,0)+1),MATCH(M$1,[3]enemies!$1:$1,0)-MATCH($I$1,[3]enemies!$1:$1,0)+1,FALSE)</f>
        <v>unknown</v>
      </c>
      <c r="N16" s="20">
        <f ca="1">VLOOKUP($I16,OFFSET([3]enemies!$A$1,0,0,COUNTA([3]enemies!$A:$A),MATCH(N$1,[3]enemies!$1:$1,0)-MATCH($I$1,[3]enemies!$1:$1,0)+1),MATCH(N$1,[3]enemies!$1:$1,0)-MATCH($I$1,[3]enemies!$1:$1,0)+1,FALSE)</f>
        <v>15</v>
      </c>
      <c r="O16" s="5">
        <v>22</v>
      </c>
      <c r="P16" s="25">
        <v>1.5</v>
      </c>
      <c r="Q16" s="25">
        <v>1.4</v>
      </c>
      <c r="R16" s="142">
        <v>0</v>
      </c>
      <c r="S16" s="150"/>
      <c r="T16" s="20">
        <f ca="1">VLOOKUP($I16,OFFSET([3]enemies!$A$1,0,0,COUNTA([3]enemies!$A:$A),MATCH(T$1,[3]enemies!$1:$1,0)-MATCH($I$1,[3]enemies!$1:$1,0)+1),MATCH(T$1,[3]enemies!$1:$1,0)-MATCH($I$1,[3]enemies!$1:$1,0)+1,FALSE)</f>
        <v>0</v>
      </c>
      <c r="U16" s="4" t="str">
        <f ca="1">VLOOKUP(T16,[5]enemy_skill_sets!$B:$E,4,FALSE)</f>
        <v>なし</v>
      </c>
      <c r="V16" s="6">
        <v>0</v>
      </c>
      <c r="W16" s="6">
        <v>100</v>
      </c>
      <c r="X16" s="6">
        <v>0</v>
      </c>
      <c r="Y16" s="20">
        <f ca="1">VLOOKUP($I16,OFFSET([3]enemies!$A$1,0,0,COUNTA([3]enemies!$A:$A),MATCH(Y$1,[3]enemies!$1:$1,0)-MATCH($I$1,[3]enemies!$1:$1,0)+1),MATCH(Y$1,[3]enemies!$1:$1,0)-MATCH($I$1,[3]enemies!$1:$1,0)+1,FALSE)</f>
        <v>3</v>
      </c>
      <c r="Z16" s="40">
        <v>6</v>
      </c>
      <c r="AA16" s="4" t="str">
        <f ca="1">IFERROR(VLOOKUP($Z16,OFFSET([4]characters!$A$1,0,0,COUNTA([4]characters!$A:$A),MATCH(AA$1,[4]characters!$1:$1,0)-MATCH("character_id",[4]characters!$1:$1,0)+1),MATCH(AA$1,[4]characters!$1:$1,0)-MATCH("character_id",[4]characters!$1:$1,0)+1,FALSE),"")</f>
        <v>パトドッグリーダー ポチ</v>
      </c>
      <c r="AB16" s="4">
        <f ca="1">IFERROR(VLOOKUP($Z16,OFFSET([4]characters!$A$1,0,0,COUNTA([4]characters!$A:$A),MATCH(AB$1,[4]characters!$1:$1,0)-MATCH("character_id",[4]characters!$1:$1,0)+1),MATCH(AB$1,[4]characters!$1:$1,0)-MATCH("character_id",[4]characters!$1:$1,0)+1,FALSE),"")</f>
        <v>2</v>
      </c>
      <c r="AC16" s="4" t="str">
        <f ca="1">IFERROR(VLOOKUP($Z16,OFFSET([4]characters!$A$1,0,0,COUNTA([4]characters!$A:$A),MATCH(AC$1,[4]characters!$1:$1,0)-MATCH("character_id",[4]characters!$1:$1,0)+1),MATCH(AC$1,[4]characters!$1:$1,0)-MATCH("character_id",[4]characters!$1:$1,0)+1,FALSE),"")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16" s="38">
        <v>3</v>
      </c>
      <c r="AE16" s="39">
        <f ca="1">AB16</f>
        <v>2</v>
      </c>
      <c r="AF16" s="7">
        <v>26</v>
      </c>
      <c r="AG16" s="38">
        <v>0</v>
      </c>
      <c r="AH16" s="38">
        <v>0</v>
      </c>
      <c r="AI16" s="38">
        <v>0</v>
      </c>
      <c r="AJ16" s="38">
        <v>0</v>
      </c>
      <c r="AK16" s="38">
        <v>1</v>
      </c>
      <c r="AL16" s="99"/>
    </row>
    <row r="17" spans="1:38" ht="21" customHeight="1" x14ac:dyDescent="0.15">
      <c r="A17" s="17" t="str">
        <f t="shared" ca="1" si="0"/>
        <v>20009_2-2/18&lt;lv22&gt;s2</v>
      </c>
      <c r="B17" s="23">
        <v>20009</v>
      </c>
      <c r="C17" s="36">
        <v>2</v>
      </c>
      <c r="D17" s="16" t="str">
        <f t="shared" ref="D17:D23" si="16">B17&amp;"_"&amp;C17</f>
        <v>20009_2</v>
      </c>
      <c r="E17" s="4" t="str">
        <f ca="1">VLOOKUP($B17,OFFSET([2]quests!$A$1,0,0,COUNTA([2]quests!$A:$A),MATCH(E$1,[2]quests!$1:$1,0)-MATCH($B$1,[2]quests!$1:$1,0)+1),MATCH(E$1,[2]quests!$1:$1,0)-MATCH($B$1,[2]quests!$1:$1,0)+1,FALSE)</f>
        <v>迫り来る窒息</v>
      </c>
      <c r="F17" s="4" t="str">
        <f ca="1">VLOOKUP($D17,OFFSET([2]stages!$A$1,0,0,COUNTA([2]stages!$A:$A),MATCH(F$1,[2]stages!$2:$2,0)-MATCH($D$1,[2]stages!$2:$2,0)+1),MATCH(F$1,[2]stages!$2:$2,0)-MATCH($D$1,[2]stages!$2:$2,0)+1,FALSE)</f>
        <v>【中級】迫り来る窒息</v>
      </c>
      <c r="G17" s="41">
        <v>2</v>
      </c>
      <c r="H17" s="16" t="str">
        <f t="shared" ref="H17:H23" si="17">B17&amp;"_"&amp;C17&amp;"-"&amp;G17</f>
        <v>20009_2-2</v>
      </c>
      <c r="I17" s="40">
        <v>18</v>
      </c>
      <c r="J17" s="20" t="str">
        <f ca="1">VLOOKUP($I17,OFFSET([3]enemies!$A$1,0,0,COUNTA([3]enemies!$A:$A),MATCH(J$1,[3]enemies!$1:$1,0)-MATCH($I$1,[3]enemies!$1:$1,0)+1),MATCH(J$1,[3]enemies!$1:$1,0)-MATCH($I$1,[3]enemies!$1:$1,0)+1,FALSE)</f>
        <v>戦闘案内人 リム</v>
      </c>
      <c r="K17" s="20" t="str">
        <f ca="1">VLOOKUP($I17,OFFSET([3]enemies!$A$1,0,0,COUNTA([3]enemies!$A:$A),MATCH(K$1,[3]enemies!$1:$1,0)-MATCH($I$1,[3]enemies!$1:$1,0)+1),MATCH(K$1,[3]enemies!$1:$1,0)-MATCH($I$1,[3]enemies!$1:$1,0)+1,FALSE)</f>
        <v>blue</v>
      </c>
      <c r="L17" s="21" t="str">
        <f>VLOOKUP(I17,[4]characters!$A:$J,10,FALSE)</f>
        <v>Drop1W</v>
      </c>
      <c r="M17" s="20" t="str">
        <f ca="1">VLOOKUP($I17,OFFSET([3]enemies!$A$1,0,0,COUNTA([3]enemies!$A:$A),MATCH(M$1,[3]enemies!$1:$1,0)-MATCH($I$1,[3]enemies!$1:$1,0)+1),MATCH(M$1,[3]enemies!$1:$1,0)-MATCH($I$1,[3]enemies!$1:$1,0)+1,FALSE)</f>
        <v>human</v>
      </c>
      <c r="N17" s="20">
        <f ca="1">VLOOKUP($I17,OFFSET([3]enemies!$A$1,0,0,COUNTA([3]enemies!$A:$A),MATCH(N$1,[3]enemies!$1:$1,0)-MATCH($I$1,[3]enemies!$1:$1,0)+1),MATCH(N$1,[3]enemies!$1:$1,0)-MATCH($I$1,[3]enemies!$1:$1,0)+1,FALSE)</f>
        <v>15</v>
      </c>
      <c r="O17" s="5">
        <v>22</v>
      </c>
      <c r="P17" s="25">
        <v>1.5</v>
      </c>
      <c r="Q17" s="25">
        <v>1.4</v>
      </c>
      <c r="R17" s="142">
        <v>0</v>
      </c>
      <c r="S17" s="150"/>
      <c r="T17" s="20">
        <f ca="1">VLOOKUP($I17,OFFSET([3]enemies!$A$1,0,0,COUNTA([3]enemies!$A:$A),MATCH(T$1,[3]enemies!$1:$1,0)-MATCH($I$1,[3]enemies!$1:$1,0)+1),MATCH(T$1,[3]enemies!$1:$1,0)-MATCH($I$1,[3]enemies!$1:$1,0)+1,FALSE)</f>
        <v>0</v>
      </c>
      <c r="U17" s="4" t="str">
        <f ca="1">VLOOKUP(T17,[5]enemy_skill_sets!$B:$E,4,FALSE)</f>
        <v>なし</v>
      </c>
      <c r="V17" s="6">
        <v>0</v>
      </c>
      <c r="W17" s="6">
        <v>100</v>
      </c>
      <c r="X17" s="6">
        <v>0</v>
      </c>
      <c r="Y17" s="20">
        <f ca="1">VLOOKUP($I17,OFFSET([3]enemies!$A$1,0,0,COUNTA([3]enemies!$A:$A),MATCH(Y$1,[3]enemies!$1:$1,0)-MATCH($I$1,[3]enemies!$1:$1,0)+1),MATCH(Y$1,[3]enemies!$1:$1,0)-MATCH($I$1,[3]enemies!$1:$1,0)+1,FALSE)</f>
        <v>2</v>
      </c>
      <c r="Z17" s="40">
        <v>18</v>
      </c>
      <c r="AA17" s="4" t="str">
        <f ca="1">IFERROR(VLOOKUP($Z17,OFFSET([4]characters!$A$1,0,0,COUNTA([4]characters!$A:$A),MATCH(AA$1,[4]characters!$1:$1,0)-MATCH("character_id",[4]characters!$1:$1,0)+1),MATCH(AA$1,[4]characters!$1:$1,0)-MATCH("character_id",[4]characters!$1:$1,0)+1,FALSE),"")</f>
        <v>戦闘案内人 リム</v>
      </c>
      <c r="AB17" s="4">
        <f ca="1">IFERROR(VLOOKUP($Z17,OFFSET([4]characters!$A$1,0,0,COUNTA([4]characters!$A:$A),MATCH(AB$1,[4]characters!$1:$1,0)-MATCH("character_id",[4]characters!$1:$1,0)+1),MATCH(AB$1,[4]characters!$1:$1,0)-MATCH("character_id",[4]characters!$1:$1,0)+1,FALSE),"")</f>
        <v>2</v>
      </c>
      <c r="AC17" s="4" t="str">
        <f ca="1">IFERROR(VLOOKUP($Z17,OFFSET([4]characters!$A$1,0,0,COUNTA([4]characters!$A:$A),MATCH(AC$1,[4]characters!$1:$1,0)-MATCH("character_id",[4]characters!$1:$1,0)+1),MATCH(AC$1,[4]characters!$1:$1,0)-MATCH("character_id",[4]characters!$1:$1,0)+1,FALSE),"")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7" s="38">
        <v>3</v>
      </c>
      <c r="AE17" s="39">
        <f t="shared" ref="AE17:AE23" ca="1" si="18">AB17</f>
        <v>2</v>
      </c>
      <c r="AF17" s="7">
        <v>26</v>
      </c>
      <c r="AG17" s="38">
        <v>0</v>
      </c>
      <c r="AH17" s="38">
        <v>0</v>
      </c>
      <c r="AI17" s="38">
        <v>0</v>
      </c>
      <c r="AJ17" s="38">
        <v>0</v>
      </c>
      <c r="AK17" s="38">
        <v>1</v>
      </c>
      <c r="AL17" s="99"/>
    </row>
    <row r="18" spans="1:38" ht="21" customHeight="1" x14ac:dyDescent="0.15">
      <c r="A18" s="17" t="str">
        <f t="shared" ca="1" si="0"/>
        <v>20009_2-2/26&lt;lv22&gt;s3</v>
      </c>
      <c r="B18" s="23">
        <v>20009</v>
      </c>
      <c r="C18" s="36">
        <v>2</v>
      </c>
      <c r="D18" s="16" t="str">
        <f t="shared" si="16"/>
        <v>20009_2</v>
      </c>
      <c r="E18" s="4" t="str">
        <f ca="1">VLOOKUP($B18,OFFSET([2]quests!$A$1,0,0,COUNTA([2]quests!$A:$A),MATCH(E$1,[2]quests!$1:$1,0)-MATCH($B$1,[2]quests!$1:$1,0)+1),MATCH(E$1,[2]quests!$1:$1,0)-MATCH($B$1,[2]quests!$1:$1,0)+1,FALSE)</f>
        <v>迫り来る窒息</v>
      </c>
      <c r="F18" s="4" t="str">
        <f ca="1">VLOOKUP($D18,OFFSET([2]stages!$A$1,0,0,COUNTA([2]stages!$A:$A),MATCH(F$1,[2]stages!$2:$2,0)-MATCH($D$1,[2]stages!$2:$2,0)+1),MATCH(F$1,[2]stages!$2:$2,0)-MATCH($D$1,[2]stages!$2:$2,0)+1,FALSE)</f>
        <v>【中級】迫り来る窒息</v>
      </c>
      <c r="G18" s="41">
        <v>2</v>
      </c>
      <c r="H18" s="16" t="str">
        <f t="shared" si="17"/>
        <v>20009_2-2</v>
      </c>
      <c r="I18" s="40">
        <v>26</v>
      </c>
      <c r="J18" s="20" t="str">
        <f ca="1">VLOOKUP($I18,OFFSET([3]enemies!$A$1,0,0,COUNTA([3]enemies!$A:$A),MATCH(J$1,[3]enemies!$1:$1,0)-MATCH($I$1,[3]enemies!$1:$1,0)+1),MATCH(J$1,[3]enemies!$1:$1,0)-MATCH($I$1,[3]enemies!$1:$1,0)+1,FALSE)</f>
        <v>勇犬 ハチ</v>
      </c>
      <c r="K18" s="20" t="str">
        <f ca="1">VLOOKUP($I18,OFFSET([3]enemies!$A$1,0,0,COUNTA([3]enemies!$A:$A),MATCH(K$1,[3]enemies!$1:$1,0)-MATCH($I$1,[3]enemies!$1:$1,0)+1),MATCH(K$1,[3]enemies!$1:$1,0)-MATCH($I$1,[3]enemies!$1:$1,0)+1,FALSE)</f>
        <v>blue</v>
      </c>
      <c r="L18" s="21" t="str">
        <f>VLOOKUP(I18,[4]characters!$A:$J,10,FALSE)</f>
        <v>Drop1N</v>
      </c>
      <c r="M18" s="20" t="str">
        <f ca="1">VLOOKUP($I18,OFFSET([3]enemies!$A$1,0,0,COUNTA([3]enemies!$A:$A),MATCH(M$1,[3]enemies!$1:$1,0)-MATCH($I$1,[3]enemies!$1:$1,0)+1),MATCH(M$1,[3]enemies!$1:$1,0)-MATCH($I$1,[3]enemies!$1:$1,0)+1,FALSE)</f>
        <v>animal</v>
      </c>
      <c r="N18" s="20">
        <f ca="1">VLOOKUP($I18,OFFSET([3]enemies!$A$1,0,0,COUNTA([3]enemies!$A:$A),MATCH(N$1,[3]enemies!$1:$1,0)-MATCH($I$1,[3]enemies!$1:$1,0)+1),MATCH(N$1,[3]enemies!$1:$1,0)-MATCH($I$1,[3]enemies!$1:$1,0)+1,FALSE)</f>
        <v>15</v>
      </c>
      <c r="O18" s="5">
        <v>22</v>
      </c>
      <c r="P18" s="25">
        <v>1.5</v>
      </c>
      <c r="Q18" s="25">
        <v>1.4</v>
      </c>
      <c r="R18" s="142">
        <v>0</v>
      </c>
      <c r="S18" s="150"/>
      <c r="T18" s="20">
        <f ca="1">VLOOKUP($I18,OFFSET([3]enemies!$A$1,0,0,COUNTA([3]enemies!$A:$A),MATCH(T$1,[3]enemies!$1:$1,0)-MATCH($I$1,[3]enemies!$1:$1,0)+1),MATCH(T$1,[3]enemies!$1:$1,0)-MATCH($I$1,[3]enemies!$1:$1,0)+1,FALSE)</f>
        <v>0</v>
      </c>
      <c r="U18" s="4" t="str">
        <f ca="1">VLOOKUP(T18,[5]enemy_skill_sets!$B:$E,4,FALSE)</f>
        <v>なし</v>
      </c>
      <c r="V18" s="6">
        <v>0</v>
      </c>
      <c r="W18" s="6">
        <v>100</v>
      </c>
      <c r="X18" s="6">
        <v>0</v>
      </c>
      <c r="Y18" s="20">
        <f ca="1">VLOOKUP($I18,OFFSET([3]enemies!$A$1,0,0,COUNTA([3]enemies!$A:$A),MATCH(Y$1,[3]enemies!$1:$1,0)-MATCH($I$1,[3]enemies!$1:$1,0)+1),MATCH(Y$1,[3]enemies!$1:$1,0)-MATCH($I$1,[3]enemies!$1:$1,0)+1,FALSE)</f>
        <v>3</v>
      </c>
      <c r="Z18" s="40">
        <v>26</v>
      </c>
      <c r="AA18" s="4" t="str">
        <f ca="1">IFERROR(VLOOKUP($Z18,OFFSET([4]characters!$A$1,0,0,COUNTA([4]characters!$A:$A),MATCH(AA$1,[4]characters!$1:$1,0)-MATCH("character_id",[4]characters!$1:$1,0)+1),MATCH(AA$1,[4]characters!$1:$1,0)-MATCH("character_id",[4]characters!$1:$1,0)+1,FALSE),"")</f>
        <v>勇犬 ハチ</v>
      </c>
      <c r="AB18" s="4">
        <f ca="1">IFERROR(VLOOKUP($Z18,OFFSET([4]characters!$A$1,0,0,COUNTA([4]characters!$A:$A),MATCH(AB$1,[4]characters!$1:$1,0)-MATCH("character_id",[4]characters!$1:$1,0)+1),MATCH(AB$1,[4]characters!$1:$1,0)-MATCH("character_id",[4]characters!$1:$1,0)+1,FALSE),"")</f>
        <v>2</v>
      </c>
      <c r="AC18" s="4" t="str">
        <f ca="1">IFERROR(VLOOKUP($Z18,OFFSET([4]characters!$A$1,0,0,COUNTA([4]characters!$A:$A),MATCH(AC$1,[4]characters!$1:$1,0)-MATCH("character_id",[4]characters!$1:$1,0)+1),MATCH(AC$1,[4]characters!$1:$1,0)-MATCH("character_id",[4]characters!$1:$1,0)+1,FALSE),"")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8" s="38">
        <v>3</v>
      </c>
      <c r="AE18" s="39">
        <f t="shared" ca="1" si="18"/>
        <v>2</v>
      </c>
      <c r="AF18" s="7">
        <v>26</v>
      </c>
      <c r="AG18" s="38">
        <v>0</v>
      </c>
      <c r="AH18" s="38">
        <v>0</v>
      </c>
      <c r="AI18" s="38">
        <v>0</v>
      </c>
      <c r="AJ18" s="38">
        <v>0</v>
      </c>
      <c r="AK18" s="38">
        <v>1</v>
      </c>
      <c r="AL18" s="99"/>
    </row>
    <row r="19" spans="1:38" ht="21" customHeight="1" x14ac:dyDescent="0.15">
      <c r="A19" s="17" t="str">
        <f t="shared" ca="1" si="0"/>
        <v>20009_2-2/30&lt;lv22&gt;s2</v>
      </c>
      <c r="B19" s="23">
        <v>20009</v>
      </c>
      <c r="C19" s="36">
        <v>2</v>
      </c>
      <c r="D19" s="16" t="str">
        <f>B19&amp;"_"&amp;C19</f>
        <v>20009_2</v>
      </c>
      <c r="E19" s="4" t="str">
        <f ca="1">VLOOKUP($B19,OFFSET([2]quests!$A$1,0,0,COUNTA([2]quests!$A:$A),MATCH(E$1,[2]quests!$1:$1,0)-MATCH($B$1,[2]quests!$1:$1,0)+1),MATCH(E$1,[2]quests!$1:$1,0)-MATCH($B$1,[2]quests!$1:$1,0)+1,FALSE)</f>
        <v>迫り来る窒息</v>
      </c>
      <c r="F19" s="4" t="str">
        <f ca="1">VLOOKUP($D19,OFFSET([2]stages!$A$1,0,0,COUNTA([2]stages!$A:$A),MATCH(F$1,[2]stages!$2:$2,0)-MATCH($D$1,[2]stages!$2:$2,0)+1),MATCH(F$1,[2]stages!$2:$2,0)-MATCH($D$1,[2]stages!$2:$2,0)+1,FALSE)</f>
        <v>【中級】迫り来る窒息</v>
      </c>
      <c r="G19" s="41">
        <v>2</v>
      </c>
      <c r="H19" s="16" t="str">
        <f>B19&amp;"_"&amp;C19&amp;"-"&amp;G19</f>
        <v>20009_2-2</v>
      </c>
      <c r="I19" s="40">
        <v>30</v>
      </c>
      <c r="J19" s="20" t="str">
        <f ca="1">VLOOKUP($I19,OFFSET([3]enemies!$A$1,0,0,COUNTA([3]enemies!$A:$A),MATCH(J$1,[3]enemies!$1:$1,0)-MATCH($I$1,[3]enemies!$1:$1,0)+1),MATCH(J$1,[3]enemies!$1:$1,0)-MATCH($I$1,[3]enemies!$1:$1,0)+1,FALSE)</f>
        <v>護衛機人 スケアクロウ</v>
      </c>
      <c r="K19" s="20" t="str">
        <f ca="1">VLOOKUP($I19,OFFSET([3]enemies!$A$1,0,0,COUNTA([3]enemies!$A:$A),MATCH(K$1,[3]enemies!$1:$1,0)-MATCH($I$1,[3]enemies!$1:$1,0)+1),MATCH(K$1,[3]enemies!$1:$1,0)-MATCH($I$1,[3]enemies!$1:$1,0)+1,FALSE)</f>
        <v>blue</v>
      </c>
      <c r="L19" s="21" t="str">
        <f>VLOOKUP(I19,[4]characters!$A:$J,10,FALSE)</f>
        <v>Drop1N</v>
      </c>
      <c r="M19" s="20" t="str">
        <f ca="1">VLOOKUP($I19,OFFSET([3]enemies!$A$1,0,0,COUNTA([3]enemies!$A:$A),MATCH(M$1,[3]enemies!$1:$1,0)-MATCH($I$1,[3]enemies!$1:$1,0)+1),MATCH(M$1,[3]enemies!$1:$1,0)-MATCH($I$1,[3]enemies!$1:$1,0)+1,FALSE)</f>
        <v>machine</v>
      </c>
      <c r="N19" s="20">
        <f ca="1">VLOOKUP($I19,OFFSET([3]enemies!$A$1,0,0,COUNTA([3]enemies!$A:$A),MATCH(N$1,[3]enemies!$1:$1,0)-MATCH($I$1,[3]enemies!$1:$1,0)+1),MATCH(N$1,[3]enemies!$1:$1,0)-MATCH($I$1,[3]enemies!$1:$1,0)+1,FALSE)</f>
        <v>15</v>
      </c>
      <c r="O19" s="5">
        <v>22</v>
      </c>
      <c r="P19" s="25">
        <v>1.5</v>
      </c>
      <c r="Q19" s="25">
        <v>1.4</v>
      </c>
      <c r="R19" s="142">
        <v>0</v>
      </c>
      <c r="S19" s="150"/>
      <c r="T19" s="20">
        <f ca="1">VLOOKUP($I19,OFFSET([3]enemies!$A$1,0,0,COUNTA([3]enemies!$A:$A),MATCH(T$1,[3]enemies!$1:$1,0)-MATCH($I$1,[3]enemies!$1:$1,0)+1),MATCH(T$1,[3]enemies!$1:$1,0)-MATCH($I$1,[3]enemies!$1:$1,0)+1,FALSE)</f>
        <v>30</v>
      </c>
      <c r="U19" s="4" t="str">
        <f ca="1">VLOOKUP(T19,[5]enemy_skill_sets!$B:$E,4,FALSE)</f>
        <v>回復</v>
      </c>
      <c r="V19" s="6">
        <v>0</v>
      </c>
      <c r="W19" s="6">
        <v>100</v>
      </c>
      <c r="X19" s="6">
        <v>0</v>
      </c>
      <c r="Y19" s="20">
        <f ca="1">VLOOKUP($I19,OFFSET([3]enemies!$A$1,0,0,COUNTA([3]enemies!$A:$A),MATCH(Y$1,[3]enemies!$1:$1,0)-MATCH($I$1,[3]enemies!$1:$1,0)+1),MATCH(Y$1,[3]enemies!$1:$1,0)-MATCH($I$1,[3]enemies!$1:$1,0)+1,FALSE)</f>
        <v>2</v>
      </c>
      <c r="Z19" s="40">
        <v>30</v>
      </c>
      <c r="AA19" s="4" t="str">
        <f ca="1">IFERROR(VLOOKUP($Z19,OFFSET([4]characters!$A$1,0,0,COUNTA([4]characters!$A:$A),MATCH(AA$1,[4]characters!$1:$1,0)-MATCH("character_id",[4]characters!$1:$1,0)+1),MATCH(AA$1,[4]characters!$1:$1,0)-MATCH("character_id",[4]characters!$1:$1,0)+1,FALSE),"")</f>
        <v>護衛機人 スケアクロウ</v>
      </c>
      <c r="AB19" s="4">
        <f ca="1">IFERROR(VLOOKUP($Z19,OFFSET([4]characters!$A$1,0,0,COUNTA([4]characters!$A:$A),MATCH(AB$1,[4]characters!$1:$1,0)-MATCH("character_id",[4]characters!$1:$1,0)+1),MATCH(AB$1,[4]characters!$1:$1,0)-MATCH("character_id",[4]characters!$1:$1,0)+1,FALSE),"")</f>
        <v>2</v>
      </c>
      <c r="AC19" s="4" t="str">
        <f ca="1">IFERROR(VLOOKUP($Z19,OFFSET([4]characters!$A$1,0,0,COUNTA([4]characters!$A:$A),MATCH(AC$1,[4]characters!$1:$1,0)-MATCH("character_id",[4]characters!$1:$1,0)+1),MATCH(AC$1,[4]characters!$1:$1,0)-MATCH("character_id",[4]characters!$1:$1,0)+1,FALSE),"")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" s="38">
        <v>3</v>
      </c>
      <c r="AE19" s="39">
        <f ca="1">AB19</f>
        <v>2</v>
      </c>
      <c r="AF19" s="7">
        <v>26</v>
      </c>
      <c r="AG19" s="38">
        <v>0</v>
      </c>
      <c r="AH19" s="38">
        <v>0</v>
      </c>
      <c r="AI19" s="38">
        <v>0</v>
      </c>
      <c r="AJ19" s="38">
        <v>0</v>
      </c>
      <c r="AK19" s="38">
        <v>1</v>
      </c>
      <c r="AL19" s="99"/>
    </row>
    <row r="20" spans="1:38" ht="21" customHeight="1" x14ac:dyDescent="0.15">
      <c r="A20" s="17" t="str">
        <f t="shared" ca="1" si="0"/>
        <v>20009_2-2/2&lt;lv22&gt;s1</v>
      </c>
      <c r="B20" s="23">
        <v>20009</v>
      </c>
      <c r="C20" s="36">
        <v>2</v>
      </c>
      <c r="D20" s="16" t="str">
        <f>B20&amp;"_"&amp;C20</f>
        <v>20009_2</v>
      </c>
      <c r="E20" s="4" t="str">
        <f ca="1">VLOOKUP($B20,OFFSET([2]quests!$A$1,0,0,COUNTA([2]quests!$A:$A),MATCH(E$1,[2]quests!$1:$1,0)-MATCH($B$1,[2]quests!$1:$1,0)+1),MATCH(E$1,[2]quests!$1:$1,0)-MATCH($B$1,[2]quests!$1:$1,0)+1,FALSE)</f>
        <v>迫り来る窒息</v>
      </c>
      <c r="F20" s="4" t="str">
        <f ca="1">VLOOKUP($D20,OFFSET([2]stages!$A$1,0,0,COUNTA([2]stages!$A:$A),MATCH(F$1,[2]stages!$2:$2,0)-MATCH($D$1,[2]stages!$2:$2,0)+1),MATCH(F$1,[2]stages!$2:$2,0)-MATCH($D$1,[2]stages!$2:$2,0)+1,FALSE)</f>
        <v>【中級】迫り来る窒息</v>
      </c>
      <c r="G20" s="41">
        <v>2</v>
      </c>
      <c r="H20" s="16" t="str">
        <f>B20&amp;"_"&amp;C20&amp;"-"&amp;G20</f>
        <v>20009_2-2</v>
      </c>
      <c r="I20" s="40">
        <v>2</v>
      </c>
      <c r="J20" s="20" t="str">
        <f ca="1">VLOOKUP($I20,OFFSET([3]enemies!$A$1,0,0,COUNTA([3]enemies!$A:$A),MATCH(J$1,[3]enemies!$1:$1,0)-MATCH($I$1,[3]enemies!$1:$1,0)+1),MATCH(J$1,[3]enemies!$1:$1,0)-MATCH($I$1,[3]enemies!$1:$1,0)+1,FALSE)</f>
        <v>イレギュラー・ジェリー</v>
      </c>
      <c r="K20" s="20" t="str">
        <f ca="1">VLOOKUP($I20,OFFSET([3]enemies!$A$1,0,0,COUNTA([3]enemies!$A:$A),MATCH(K$1,[3]enemies!$1:$1,0)-MATCH($I$1,[3]enemies!$1:$1,0)+1),MATCH(K$1,[3]enemies!$1:$1,0)-MATCH($I$1,[3]enemies!$1:$1,0)+1,FALSE)</f>
        <v>red</v>
      </c>
      <c r="L20" s="21" t="str">
        <f>VLOOKUP(I20,[4]characters!$A:$J,10,FALSE)</f>
        <v>Drop1T</v>
      </c>
      <c r="M20" s="20" t="str">
        <f ca="1">VLOOKUP($I20,OFFSET([3]enemies!$A$1,0,0,COUNTA([3]enemies!$A:$A),MATCH(M$1,[3]enemies!$1:$1,0)-MATCH($I$1,[3]enemies!$1:$1,0)+1),MATCH(M$1,[3]enemies!$1:$1,0)-MATCH($I$1,[3]enemies!$1:$1,0)+1,FALSE)</f>
        <v>unknown</v>
      </c>
      <c r="N20" s="20">
        <f ca="1">VLOOKUP($I20,OFFSET([3]enemies!$A$1,0,0,COUNTA([3]enemies!$A:$A),MATCH(N$1,[3]enemies!$1:$1,0)-MATCH($I$1,[3]enemies!$1:$1,0)+1),MATCH(N$1,[3]enemies!$1:$1,0)-MATCH($I$1,[3]enemies!$1:$1,0)+1,FALSE)</f>
        <v>15</v>
      </c>
      <c r="O20" s="5">
        <v>22</v>
      </c>
      <c r="P20" s="25">
        <v>1.5</v>
      </c>
      <c r="Q20" s="25">
        <v>1.4</v>
      </c>
      <c r="R20" s="142">
        <v>0</v>
      </c>
      <c r="S20" s="150"/>
      <c r="T20" s="20">
        <f ca="1">VLOOKUP($I20,OFFSET([3]enemies!$A$1,0,0,COUNTA([3]enemies!$A:$A),MATCH(T$1,[3]enemies!$1:$1,0)-MATCH($I$1,[3]enemies!$1:$1,0)+1),MATCH(T$1,[3]enemies!$1:$1,0)-MATCH($I$1,[3]enemies!$1:$1,0)+1,FALSE)</f>
        <v>0</v>
      </c>
      <c r="U20" s="4" t="str">
        <f ca="1">VLOOKUP(T20,[5]enemy_skill_sets!$B:$E,4,FALSE)</f>
        <v>なし</v>
      </c>
      <c r="V20" s="6">
        <v>0</v>
      </c>
      <c r="W20" s="6">
        <v>100</v>
      </c>
      <c r="X20" s="6">
        <v>0</v>
      </c>
      <c r="Y20" s="20">
        <f ca="1">VLOOKUP($I20,OFFSET([3]enemies!$A$1,0,0,COUNTA([3]enemies!$A:$A),MATCH(Y$1,[3]enemies!$1:$1,0)-MATCH($I$1,[3]enemies!$1:$1,0)+1),MATCH(Y$1,[3]enemies!$1:$1,0)-MATCH($I$1,[3]enemies!$1:$1,0)+1,FALSE)</f>
        <v>1</v>
      </c>
      <c r="Z20" s="37">
        <v>2</v>
      </c>
      <c r="AA20" s="4" t="str">
        <f ca="1">IFERROR(VLOOKUP($Z20,OFFSET([4]characters!$A$1,0,0,COUNTA([4]characters!$A:$A),MATCH(AA$1,[4]characters!$1:$1,0)-MATCH("character_id",[4]characters!$1:$1,0)+1),MATCH(AA$1,[4]characters!$1:$1,0)-MATCH("character_id",[4]characters!$1:$1,0)+1,FALSE),"")</f>
        <v>イレギュラー・ジェリー</v>
      </c>
      <c r="AB20" s="4">
        <f ca="1">IFERROR(VLOOKUP($Z20,OFFSET([4]characters!$A$1,0,0,COUNTA([4]characters!$A:$A),MATCH(AB$1,[4]characters!$1:$1,0)-MATCH("character_id",[4]characters!$1:$1,0)+1),MATCH(AB$1,[4]characters!$1:$1,0)-MATCH("character_id",[4]characters!$1:$1,0)+1,FALSE),"")</f>
        <v>2</v>
      </c>
      <c r="AC20" s="4" t="str">
        <f ca="1">IFERROR(VLOOKUP($Z20,OFFSET([4]characters!$A$1,0,0,COUNTA([4]characters!$A:$A),MATCH(AC$1,[4]characters!$1:$1,0)-MATCH("character_id",[4]characters!$1:$1,0)+1),MATCH(AC$1,[4]characters!$1:$1,0)-MATCH("character_id",[4]characters!$1:$1,0)+1,FALSE),"")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20" s="38">
        <v>3</v>
      </c>
      <c r="AE20" s="39">
        <f ca="1">AB20</f>
        <v>2</v>
      </c>
      <c r="AF20" s="7">
        <v>26</v>
      </c>
      <c r="AG20" s="38">
        <v>0</v>
      </c>
      <c r="AH20" s="38">
        <v>0</v>
      </c>
      <c r="AI20" s="38">
        <v>0</v>
      </c>
      <c r="AJ20" s="38">
        <v>0</v>
      </c>
      <c r="AK20" s="38">
        <v>1</v>
      </c>
      <c r="AL20" s="99"/>
    </row>
    <row r="21" spans="1:38" ht="21" customHeight="1" x14ac:dyDescent="0.15">
      <c r="A21" s="17" t="str">
        <f t="shared" ca="1" si="0"/>
        <v>20009_2-2/10&lt;lv22&gt;s2</v>
      </c>
      <c r="B21" s="23">
        <v>20009</v>
      </c>
      <c r="C21" s="36">
        <v>2</v>
      </c>
      <c r="D21" s="16" t="str">
        <f t="shared" ref="D21:D22" si="19">B21&amp;"_"&amp;C21</f>
        <v>20009_2</v>
      </c>
      <c r="E21" s="4" t="str">
        <f ca="1">VLOOKUP($B21,OFFSET([2]quests!$A$1,0,0,COUNTA([2]quests!$A:$A),MATCH(E$1,[2]quests!$1:$1,0)-MATCH($B$1,[2]quests!$1:$1,0)+1),MATCH(E$1,[2]quests!$1:$1,0)-MATCH($B$1,[2]quests!$1:$1,0)+1,FALSE)</f>
        <v>迫り来る窒息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【中級】迫り来る窒息</v>
      </c>
      <c r="G21" s="41">
        <v>2</v>
      </c>
      <c r="H21" s="16" t="str">
        <f t="shared" ref="H21:H22" si="20">B21&amp;"_"&amp;C21&amp;"-"&amp;G21</f>
        <v>20009_2-2</v>
      </c>
      <c r="I21" s="40">
        <v>10</v>
      </c>
      <c r="J21" s="20" t="str">
        <f ca="1">VLOOKUP($I21,OFFSET([3]enemies!$A$1,0,0,COUNTA([3]enemies!$A:$A),MATCH(J$1,[3]enemies!$1:$1,0)-MATCH($I$1,[3]enemies!$1:$1,0)+1),MATCH(J$1,[3]enemies!$1:$1,0)-MATCH($I$1,[3]enemies!$1:$1,0)+1,FALSE)</f>
        <v>燃える悪戯魂 ブレット</v>
      </c>
      <c r="K21" s="20" t="str">
        <f ca="1">VLOOKUP($I21,OFFSET([3]enemies!$A$1,0,0,COUNTA([3]enemies!$A:$A),MATCH(K$1,[3]enemies!$1:$1,0)-MATCH($I$1,[3]enemies!$1:$1,0)+1),MATCH(K$1,[3]enemies!$1:$1,0)-MATCH($I$1,[3]enemies!$1:$1,0)+1,FALSE)</f>
        <v>red</v>
      </c>
      <c r="L21" s="21" t="str">
        <f>VLOOKUP(I21,[4]characters!$A:$J,10,FALSE)</f>
        <v>Drop1W</v>
      </c>
      <c r="M21" s="20" t="str">
        <f ca="1">VLOOKUP($I21,OFFSET([3]enemies!$A$1,0,0,COUNTA([3]enemies!$A:$A),MATCH(M$1,[3]enemies!$1:$1,0)-MATCH($I$1,[3]enemies!$1:$1,0)+1),MATCH(M$1,[3]enemies!$1:$1,0)-MATCH($I$1,[3]enemies!$1:$1,0)+1,FALSE)</f>
        <v>animal</v>
      </c>
      <c r="N21" s="20">
        <f ca="1">VLOOKUP($I21,OFFSET([3]enemies!$A$1,0,0,COUNTA([3]enemies!$A:$A),MATCH(N$1,[3]enemies!$1:$1,0)-MATCH($I$1,[3]enemies!$1:$1,0)+1),MATCH(N$1,[3]enemies!$1:$1,0)-MATCH($I$1,[3]enemies!$1:$1,0)+1,FALSE)</f>
        <v>15</v>
      </c>
      <c r="O21" s="5">
        <v>22</v>
      </c>
      <c r="P21" s="25">
        <v>1.5</v>
      </c>
      <c r="Q21" s="25">
        <v>1.4</v>
      </c>
      <c r="R21" s="142">
        <v>0</v>
      </c>
      <c r="S21" s="150"/>
      <c r="T21" s="20">
        <f ca="1">VLOOKUP($I21,OFFSET([3]enemies!$A$1,0,0,COUNTA([3]enemies!$A:$A),MATCH(T$1,[3]enemies!$1:$1,0)-MATCH($I$1,[3]enemies!$1:$1,0)+1),MATCH(T$1,[3]enemies!$1:$1,0)-MATCH($I$1,[3]enemies!$1:$1,0)+1,FALSE)</f>
        <v>0</v>
      </c>
      <c r="U21" s="4" t="str">
        <f ca="1">VLOOKUP(T21,[5]enemy_skill_sets!$B:$E,4,FALSE)</f>
        <v>なし</v>
      </c>
      <c r="V21" s="6">
        <v>0</v>
      </c>
      <c r="W21" s="6">
        <v>100</v>
      </c>
      <c r="X21" s="6">
        <v>0</v>
      </c>
      <c r="Y21" s="20">
        <f ca="1">VLOOKUP($I21,OFFSET([3]enemies!$A$1,0,0,COUNTA([3]enemies!$A:$A),MATCH(Y$1,[3]enemies!$1:$1,0)-MATCH($I$1,[3]enemies!$1:$1,0)+1),MATCH(Y$1,[3]enemies!$1:$1,0)-MATCH($I$1,[3]enemies!$1:$1,0)+1,FALSE)</f>
        <v>2</v>
      </c>
      <c r="Z21" s="40">
        <v>10</v>
      </c>
      <c r="AA21" s="4" t="str">
        <f ca="1">IFERROR(VLOOKUP($Z21,OFFSET([4]characters!$A$1,0,0,COUNTA([4]characters!$A:$A),MATCH(AA$1,[4]characters!$1:$1,0)-MATCH("character_id",[4]characters!$1:$1,0)+1),MATCH(AA$1,[4]characters!$1:$1,0)-MATCH("character_id",[4]characters!$1:$1,0)+1,FALSE),"")</f>
        <v>燃える悪戯魂 ブレット</v>
      </c>
      <c r="AB21" s="4">
        <f ca="1">IFERROR(VLOOKUP($Z21,OFFSET([4]characters!$A$1,0,0,COUNTA([4]characters!$A:$A),MATCH(AB$1,[4]characters!$1:$1,0)-MATCH("character_id",[4]characters!$1:$1,0)+1),MATCH(AB$1,[4]characters!$1:$1,0)-MATCH("character_id",[4]characters!$1:$1,0)+1,FALSE),"")</f>
        <v>2</v>
      </c>
      <c r="AC21" s="4" t="str">
        <f ca="1">IFERROR(VLOOKUP($Z21,OFFSET([4]characters!$A$1,0,0,COUNTA([4]characters!$A:$A),MATCH(AC$1,[4]characters!$1:$1,0)-MATCH("character_id",[4]characters!$1:$1,0)+1),MATCH(AC$1,[4]characters!$1:$1,0)-MATCH("character_id",[4]characters!$1:$1,0)+1,FALSE),"")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1" s="38">
        <v>3</v>
      </c>
      <c r="AE21" s="39">
        <f t="shared" ref="AE21:AE22" ca="1" si="21">AB21</f>
        <v>2</v>
      </c>
      <c r="AF21" s="7">
        <v>26</v>
      </c>
      <c r="AG21" s="38">
        <v>0</v>
      </c>
      <c r="AH21" s="38">
        <v>0</v>
      </c>
      <c r="AI21" s="38">
        <v>0</v>
      </c>
      <c r="AJ21" s="38">
        <v>0</v>
      </c>
      <c r="AK21" s="38">
        <v>1</v>
      </c>
      <c r="AL21" s="99"/>
    </row>
    <row r="22" spans="1:38" ht="21" customHeight="1" x14ac:dyDescent="0.15">
      <c r="A22" s="17" t="str">
        <f t="shared" ca="1" si="0"/>
        <v>20009_2-2/16&lt;lv22&gt;s3</v>
      </c>
      <c r="B22" s="23">
        <v>20009</v>
      </c>
      <c r="C22" s="36">
        <v>2</v>
      </c>
      <c r="D22" s="16" t="str">
        <f t="shared" si="19"/>
        <v>20009_2</v>
      </c>
      <c r="E22" s="4" t="str">
        <f ca="1">VLOOKUP($B22,OFFSET([2]quests!$A$1,0,0,COUNTA([2]quests!$A:$A),MATCH(E$1,[2]quests!$1:$1,0)-MATCH($B$1,[2]quests!$1:$1,0)+1),MATCH(E$1,[2]quests!$1:$1,0)-MATCH($B$1,[2]quests!$1:$1,0)+1,FALSE)</f>
        <v>迫り来る窒息</v>
      </c>
      <c r="F22" s="4" t="str">
        <f ca="1">VLOOKUP($D22,OFFSET([2]stages!$A$1,0,0,COUNTA([2]stages!$A:$A),MATCH(F$1,[2]stages!$2:$2,0)-MATCH($D$1,[2]stages!$2:$2,0)+1),MATCH(F$1,[2]stages!$2:$2,0)-MATCH($D$1,[2]stages!$2:$2,0)+1,FALSE)</f>
        <v>【中級】迫り来る窒息</v>
      </c>
      <c r="G22" s="41">
        <v>2</v>
      </c>
      <c r="H22" s="16" t="str">
        <f t="shared" si="20"/>
        <v>20009_2-2</v>
      </c>
      <c r="I22" s="40">
        <v>16</v>
      </c>
      <c r="J22" s="20" t="str">
        <f ca="1">VLOOKUP($I22,OFFSET([3]enemies!$A$1,0,0,COUNTA([3]enemies!$A:$A),MATCH(J$1,[3]enemies!$1:$1,0)-MATCH($I$1,[3]enemies!$1:$1,0)+1),MATCH(J$1,[3]enemies!$1:$1,0)-MATCH($I$1,[3]enemies!$1:$1,0)+1,FALSE)</f>
        <v>炎戦少女 アカネ</v>
      </c>
      <c r="K22" s="20" t="str">
        <f ca="1">VLOOKUP($I22,OFFSET([3]enemies!$A$1,0,0,COUNTA([3]enemies!$A:$A),MATCH(K$1,[3]enemies!$1:$1,0)-MATCH($I$1,[3]enemies!$1:$1,0)+1),MATCH(K$1,[3]enemies!$1:$1,0)-MATCH($I$1,[3]enemies!$1:$1,0)+1,FALSE)</f>
        <v>red</v>
      </c>
      <c r="L22" s="21" t="str">
        <f>VLOOKUP(I22,[4]characters!$A:$J,10,FALSE)</f>
        <v>Drop1W</v>
      </c>
      <c r="M22" s="20" t="str">
        <f ca="1">VLOOKUP($I22,OFFSET([3]enemies!$A$1,0,0,COUNTA([3]enemies!$A:$A),MATCH(M$1,[3]enemies!$1:$1,0)-MATCH($I$1,[3]enemies!$1:$1,0)+1),MATCH(M$1,[3]enemies!$1:$1,0)-MATCH($I$1,[3]enemies!$1:$1,0)+1,FALSE)</f>
        <v>human</v>
      </c>
      <c r="N22" s="20">
        <f ca="1">VLOOKUP($I22,OFFSET([3]enemies!$A$1,0,0,COUNTA([3]enemies!$A:$A),MATCH(N$1,[3]enemies!$1:$1,0)-MATCH($I$1,[3]enemies!$1:$1,0)+1),MATCH(N$1,[3]enemies!$1:$1,0)-MATCH($I$1,[3]enemies!$1:$1,0)+1,FALSE)</f>
        <v>15</v>
      </c>
      <c r="O22" s="5">
        <v>22</v>
      </c>
      <c r="P22" s="25">
        <v>1.5</v>
      </c>
      <c r="Q22" s="25">
        <v>1.4</v>
      </c>
      <c r="R22" s="142">
        <v>0</v>
      </c>
      <c r="S22" s="150"/>
      <c r="T22" s="20">
        <f ca="1">VLOOKUP($I22,OFFSET([3]enemies!$A$1,0,0,COUNTA([3]enemies!$A:$A),MATCH(T$1,[3]enemies!$1:$1,0)-MATCH($I$1,[3]enemies!$1:$1,0)+1),MATCH(T$1,[3]enemies!$1:$1,0)-MATCH($I$1,[3]enemies!$1:$1,0)+1,FALSE)</f>
        <v>0</v>
      </c>
      <c r="U22" s="4" t="str">
        <f ca="1">VLOOKUP(T22,[5]enemy_skill_sets!$B:$E,4,FALSE)</f>
        <v>なし</v>
      </c>
      <c r="V22" s="6">
        <v>0</v>
      </c>
      <c r="W22" s="6">
        <v>100</v>
      </c>
      <c r="X22" s="6">
        <v>0</v>
      </c>
      <c r="Y22" s="20">
        <f ca="1">VLOOKUP($I22,OFFSET([3]enemies!$A$1,0,0,COUNTA([3]enemies!$A:$A),MATCH(Y$1,[3]enemies!$1:$1,0)-MATCH($I$1,[3]enemies!$1:$1,0)+1),MATCH(Y$1,[3]enemies!$1:$1,0)-MATCH($I$1,[3]enemies!$1:$1,0)+1,FALSE)</f>
        <v>3</v>
      </c>
      <c r="Z22" s="40">
        <v>16</v>
      </c>
      <c r="AA22" s="4" t="str">
        <f ca="1">IFERROR(VLOOKUP($Z22,OFFSET([4]characters!$A$1,0,0,COUNTA([4]characters!$A:$A),MATCH(AA$1,[4]characters!$1:$1,0)-MATCH("character_id",[4]characters!$1:$1,0)+1),MATCH(AA$1,[4]characters!$1:$1,0)-MATCH("character_id",[4]characters!$1:$1,0)+1,FALSE),"")</f>
        <v>炎戦少女 アカネ</v>
      </c>
      <c r="AB22" s="4">
        <f ca="1">IFERROR(VLOOKUP($Z22,OFFSET([4]characters!$A$1,0,0,COUNTA([4]characters!$A:$A),MATCH(AB$1,[4]characters!$1:$1,0)-MATCH("character_id",[4]characters!$1:$1,0)+1),MATCH(AB$1,[4]characters!$1:$1,0)-MATCH("character_id",[4]characters!$1:$1,0)+1,FALSE),"")</f>
        <v>2</v>
      </c>
      <c r="AC22" s="4" t="str">
        <f ca="1">IFERROR(VLOOKUP($Z22,OFFSET([4]characters!$A$1,0,0,COUNTA([4]characters!$A:$A),MATCH(AC$1,[4]characters!$1:$1,0)-MATCH("character_id",[4]characters!$1:$1,0)+1),MATCH(AC$1,[4]characters!$1:$1,0)-MATCH("character_id",[4]characters!$1:$1,0)+1,FALSE),"")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2" s="38">
        <v>3</v>
      </c>
      <c r="AE22" s="39">
        <f t="shared" ca="1" si="21"/>
        <v>2</v>
      </c>
      <c r="AF22" s="7">
        <v>26</v>
      </c>
      <c r="AG22" s="38">
        <v>0</v>
      </c>
      <c r="AH22" s="38">
        <v>0</v>
      </c>
      <c r="AI22" s="38">
        <v>0</v>
      </c>
      <c r="AJ22" s="38">
        <v>0</v>
      </c>
      <c r="AK22" s="38">
        <v>1</v>
      </c>
      <c r="AL22" s="99"/>
    </row>
    <row r="23" spans="1:38" s="78" customFormat="1" ht="21" customHeight="1" x14ac:dyDescent="0.15">
      <c r="A23" s="73" t="str">
        <f t="shared" ca="1" si="0"/>
        <v>20009_2-2/22&lt;lv22&gt;s2</v>
      </c>
      <c r="B23" s="74">
        <v>20009</v>
      </c>
      <c r="C23" s="36">
        <v>2</v>
      </c>
      <c r="D23" s="16" t="str">
        <f t="shared" si="16"/>
        <v>20009_2</v>
      </c>
      <c r="E23" s="75" t="str">
        <f ca="1">VLOOKUP($B23,OFFSET([2]quests!$A$1,0,0,COUNTA([2]quests!$A:$A),MATCH(E$1,[2]quests!$1:$1,0)-MATCH($B$1,[2]quests!$1:$1,0)+1),MATCH(E$1,[2]quests!$1:$1,0)-MATCH($B$1,[2]quests!$1:$1,0)+1,FALSE)</f>
        <v>迫り来る窒息</v>
      </c>
      <c r="F23" s="75" t="str">
        <f ca="1">VLOOKUP($D23,OFFSET([2]stages!$A$1,0,0,COUNTA([2]stages!$A:$A),MATCH(F$1,[2]stages!$2:$2,0)-MATCH($D$1,[2]stages!$2:$2,0)+1),MATCH(F$1,[2]stages!$2:$2,0)-MATCH($D$1,[2]stages!$2:$2,0)+1,FALSE)</f>
        <v>【中級】迫り来る窒息</v>
      </c>
      <c r="G23" s="41">
        <v>2</v>
      </c>
      <c r="H23" s="16" t="str">
        <f t="shared" si="17"/>
        <v>20009_2-2</v>
      </c>
      <c r="I23" s="40">
        <v>22</v>
      </c>
      <c r="J23" s="20" t="str">
        <f ca="1">VLOOKUP($I23,OFFSET([3]enemies!$A$1,0,0,COUNTA([3]enemies!$A:$A),MATCH(J$1,[3]enemies!$1:$1,0)-MATCH($I$1,[3]enemies!$1:$1,0)+1),MATCH(J$1,[3]enemies!$1:$1,0)-MATCH($I$1,[3]enemies!$1:$1,0)+1,FALSE)</f>
        <v>突然変異ヴェロキー</v>
      </c>
      <c r="K23" s="20" t="str">
        <f ca="1">VLOOKUP($I23,OFFSET([3]enemies!$A$1,0,0,COUNTA([3]enemies!$A:$A),MATCH(K$1,[3]enemies!$1:$1,0)-MATCH($I$1,[3]enemies!$1:$1,0)+1),MATCH(K$1,[3]enemies!$1:$1,0)-MATCH($I$1,[3]enemies!$1:$1,0)+1,FALSE)</f>
        <v>red</v>
      </c>
      <c r="L23" s="21" t="str">
        <f>VLOOKUP(I23,[4]characters!$A:$J,10,FALSE)</f>
        <v>Drop1N</v>
      </c>
      <c r="M23" s="20" t="str">
        <f ca="1">VLOOKUP($I23,OFFSET([3]enemies!$A$1,0,0,COUNTA([3]enemies!$A:$A),MATCH(M$1,[3]enemies!$1:$1,0)-MATCH($I$1,[3]enemies!$1:$1,0)+1),MATCH(M$1,[3]enemies!$1:$1,0)-MATCH($I$1,[3]enemies!$1:$1,0)+1,FALSE)</f>
        <v>dragon</v>
      </c>
      <c r="N23" s="20">
        <f ca="1">VLOOKUP($I23,OFFSET([3]enemies!$A$1,0,0,COUNTA([3]enemies!$A:$A),MATCH(N$1,[3]enemies!$1:$1,0)-MATCH($I$1,[3]enemies!$1:$1,0)+1),MATCH(N$1,[3]enemies!$1:$1,0)-MATCH($I$1,[3]enemies!$1:$1,0)+1,FALSE)</f>
        <v>15</v>
      </c>
      <c r="O23" s="5">
        <v>22</v>
      </c>
      <c r="P23" s="25">
        <v>1.5</v>
      </c>
      <c r="Q23" s="25">
        <v>1.4</v>
      </c>
      <c r="R23" s="142">
        <v>0</v>
      </c>
      <c r="S23" s="150"/>
      <c r="T23" s="20">
        <f ca="1">VLOOKUP($I23,OFFSET([3]enemies!$A$1,0,0,COUNTA([3]enemies!$A:$A),MATCH(T$1,[3]enemies!$1:$1,0)-MATCH($I$1,[3]enemies!$1:$1,0)+1),MATCH(T$1,[3]enemies!$1:$1,0)-MATCH($I$1,[3]enemies!$1:$1,0)+1,FALSE)</f>
        <v>0</v>
      </c>
      <c r="U23" s="4" t="str">
        <f ca="1">VLOOKUP(T23,[5]enemy_skill_sets!$B:$E,4,FALSE)</f>
        <v>なし</v>
      </c>
      <c r="V23" s="76">
        <v>0</v>
      </c>
      <c r="W23" s="76">
        <v>100</v>
      </c>
      <c r="X23" s="76">
        <v>0</v>
      </c>
      <c r="Y23" s="20">
        <f ca="1">VLOOKUP($I23,OFFSET([3]enemies!$A$1,0,0,COUNTA([3]enemies!$A:$A),MATCH(Y$1,[3]enemies!$1:$1,0)-MATCH($I$1,[3]enemies!$1:$1,0)+1),MATCH(Y$1,[3]enemies!$1:$1,0)-MATCH($I$1,[3]enemies!$1:$1,0)+1,FALSE)</f>
        <v>2</v>
      </c>
      <c r="Z23" s="40">
        <v>22</v>
      </c>
      <c r="AA23" s="4" t="str">
        <f ca="1">IFERROR(VLOOKUP($Z23,OFFSET([4]characters!$A$1,0,0,COUNTA([4]characters!$A:$A),MATCH(AA$1,[4]characters!$1:$1,0)-MATCH("character_id",[4]characters!$1:$1,0)+1),MATCH(AA$1,[4]characters!$1:$1,0)-MATCH("character_id",[4]characters!$1:$1,0)+1,FALSE),"")</f>
        <v>突然変異ヴェロキー</v>
      </c>
      <c r="AB23" s="4">
        <f ca="1">IFERROR(VLOOKUP($Z23,OFFSET([4]characters!$A$1,0,0,COUNTA([4]characters!$A:$A),MATCH(AB$1,[4]characters!$1:$1,0)-MATCH("character_id",[4]characters!$1:$1,0)+1),MATCH(AB$1,[4]characters!$1:$1,0)-MATCH("character_id",[4]characters!$1:$1,0)+1,FALSE),"")</f>
        <v>2</v>
      </c>
      <c r="AC23" s="4" t="str">
        <f ca="1">IFERROR(VLOOKUP($Z23,OFFSET([4]characters!$A$1,0,0,COUNTA([4]characters!$A:$A),MATCH(AC$1,[4]characters!$1:$1,0)-MATCH("character_id",[4]characters!$1:$1,0)+1),MATCH(AC$1,[4]characters!$1:$1,0)-MATCH("character_id",[4]characters!$1:$1,0)+1,FALSE),"")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3" s="38">
        <v>3</v>
      </c>
      <c r="AE23" s="39">
        <f t="shared" ca="1" si="18"/>
        <v>2</v>
      </c>
      <c r="AF23" s="77">
        <v>26</v>
      </c>
      <c r="AG23" s="38">
        <v>0</v>
      </c>
      <c r="AH23" s="38">
        <v>0</v>
      </c>
      <c r="AI23" s="38">
        <v>0</v>
      </c>
      <c r="AJ23" s="38">
        <v>0</v>
      </c>
      <c r="AK23" s="38">
        <v>1</v>
      </c>
      <c r="AL23" s="99"/>
    </row>
    <row r="24" spans="1:38" s="83" customFormat="1" ht="21" customHeight="1" x14ac:dyDescent="0.15">
      <c r="A24" s="79" t="str">
        <f t="shared" ca="1" si="0"/>
        <v>20009_2-3/302&lt;lv40&gt;s2</v>
      </c>
      <c r="B24" s="80">
        <v>20009</v>
      </c>
      <c r="C24" s="36">
        <v>2</v>
      </c>
      <c r="D24" s="16" t="str">
        <f>B24&amp;"_"&amp;C24</f>
        <v>20009_2</v>
      </c>
      <c r="E24" s="81" t="str">
        <f ca="1">VLOOKUP($B24,OFFSET([2]quests!$A$1,0,0,COUNTA([2]quests!$A:$A),MATCH(E$1,[2]quests!$1:$1,0)-MATCH($B$1,[2]quests!$1:$1,0)+1),MATCH(E$1,[2]quests!$1:$1,0)-MATCH($B$1,[2]quests!$1:$1,0)+1,FALSE)</f>
        <v>迫り来る窒息</v>
      </c>
      <c r="F24" s="81" t="str">
        <f ca="1">VLOOKUP($D24,OFFSET([2]stages!$A$1,0,0,COUNTA([2]stages!$A:$A),MATCH(F$1,[2]stages!$2:$2,0)-MATCH($D$1,[2]stages!$2:$2,0)+1),MATCH(F$1,[2]stages!$2:$2,0)-MATCH($D$1,[2]stages!$2:$2,0)+1,FALSE)</f>
        <v>【中級】迫り来る窒息</v>
      </c>
      <c r="G24" s="36">
        <v>3</v>
      </c>
      <c r="H24" s="16" t="str">
        <f>B24&amp;"_"&amp;C24&amp;"-"&amp;G24</f>
        <v>20009_2-3</v>
      </c>
      <c r="I24" s="50">
        <v>302</v>
      </c>
      <c r="J24" s="20" t="str">
        <f ca="1">VLOOKUP($I24,OFFSET([3]enemies!$A$1,0,0,COUNTA([3]enemies!$A:$A),MATCH(J$1,[3]enemies!$1:$1,0)-MATCH($I$1,[3]enemies!$1:$1,0)+1),MATCH(J$1,[3]enemies!$1:$1,0)-MATCH($I$1,[3]enemies!$1:$1,0)+1,FALSE)</f>
        <v>絞殺のリサ</v>
      </c>
      <c r="K24" s="20" t="str">
        <f ca="1">VLOOKUP($I24,OFFSET([3]enemies!$A$1,0,0,COUNTA([3]enemies!$A:$A),MATCH(K$1,[3]enemies!$1:$1,0)-MATCH($I$1,[3]enemies!$1:$1,0)+1),MATCH(K$1,[3]enemies!$1:$1,0)-MATCH($I$1,[3]enemies!$1:$1,0)+1,FALSE)</f>
        <v>blue</v>
      </c>
      <c r="L24" s="21" t="str">
        <f>VLOOKUP(I24,[4]characters!$A:$J,10,FALSE)</f>
        <v>Drop2W</v>
      </c>
      <c r="M24" s="20" t="str">
        <f ca="1">VLOOKUP($I24,OFFSET([3]enemies!$A$1,0,0,COUNTA([3]enemies!$A:$A),MATCH(M$1,[3]enemies!$1:$1,0)-MATCH($I$1,[3]enemies!$1:$1,0)+1),MATCH(M$1,[3]enemies!$1:$1,0)-MATCH($I$1,[3]enemies!$1:$1,0)+1,FALSE)</f>
        <v>human</v>
      </c>
      <c r="N24" s="20">
        <f ca="1">VLOOKUP($I24,OFFSET([3]enemies!$A$1,0,0,COUNTA([3]enemies!$A:$A),MATCH(N$1,[3]enemies!$1:$1,0)-MATCH($I$1,[3]enemies!$1:$1,0)+1),MATCH(N$1,[3]enemies!$1:$1,0)-MATCH($I$1,[3]enemies!$1:$1,0)+1,FALSE)</f>
        <v>20</v>
      </c>
      <c r="O24" s="5">
        <v>40</v>
      </c>
      <c r="P24" s="25">
        <v>3.2</v>
      </c>
      <c r="Q24" s="25">
        <v>1.5</v>
      </c>
      <c r="R24" s="142">
        <v>0</v>
      </c>
      <c r="S24" s="150"/>
      <c r="T24" s="146">
        <v>30202</v>
      </c>
      <c r="U24" s="81" t="str">
        <f ca="1">IFERROR(VLOOKUP($T24,OFFSET([5]enemy_skill_sets!$B$1,0,0,COUNTA([5]enemy_skill_sets!$B:$B),MATCH(J$1,[5]enemy_skill_sets!$1:$1,0)-MATCH($T$1,[5]enemy_skill_sets!$1:$1,0)+2),MATCH(J$1,[5]enemy_skill_sets!$1:$1,0)-MATCH($T$1,[5]enemy_skill_sets!$1:$1,0)+2,FALSE),VLOOKUP(VLOOKUP(T24,enemy_skill_sets!B:C,2,FALSE),enemy_skills!A:E,5,FALSE))</f>
        <v>3ターンスキルが使えない！＋全体攻撃</v>
      </c>
      <c r="V24" s="82">
        <v>1</v>
      </c>
      <c r="W24" s="82">
        <v>100</v>
      </c>
      <c r="X24" s="82">
        <v>1</v>
      </c>
      <c r="Y24" s="20">
        <f ca="1">VLOOKUP($I24,OFFSET([3]enemies!$A$1,0,0,COUNTA([3]enemies!$A:$A),MATCH(Y$1,[3]enemies!$1:$1,0)-MATCH($I$1,[3]enemies!$1:$1,0)+1),MATCH(Y$1,[3]enemies!$1:$1,0)-MATCH($I$1,[3]enemies!$1:$1,0)+1,FALSE)</f>
        <v>2</v>
      </c>
      <c r="Z24" s="40">
        <v>302</v>
      </c>
      <c r="AA24" s="4" t="str">
        <f ca="1">IFERROR(VLOOKUP($Z24,OFFSET([4]characters!$A$1,0,0,COUNTA([4]characters!$A:$A),MATCH(AA$1,[4]characters!$1:$1,0)-MATCH("character_id",[4]characters!$1:$1,0)+1),MATCH(AA$1,[4]characters!$1:$1,0)-MATCH("character_id",[4]characters!$1:$1,0)+1,FALSE),"")</f>
        <v>絞殺のリサ</v>
      </c>
      <c r="AB24" s="4">
        <f ca="1">IFERROR(VLOOKUP($Z24,OFFSET([4]characters!$A$1,0,0,COUNTA([4]characters!$A:$A),MATCH(AB$1,[4]characters!$1:$1,0)-MATCH("character_id",[4]characters!$1:$1,0)+1),MATCH(AB$1,[4]characters!$1:$1,0)-MATCH("character_id",[4]characters!$1:$1,0)+1,FALSE),"")</f>
        <v>3</v>
      </c>
      <c r="AC24" s="4" t="str">
        <f ca="1">IFERROR(VLOOKUP($Z24,OFFSET([4]characters!$A$1,0,0,COUNTA([4]characters!$A:$A),MATCH(AC$1,[4]characters!$1:$1,0)-MATCH("character_id",[4]characters!$1:$1,0)+1),MATCH(AC$1,[4]characters!$1:$1,0)-MATCH("character_id",[4]characters!$1:$1,0)+1,FALSE),"")</f>
        <v>Drop2W</v>
      </c>
      <c r="AD24" s="38">
        <v>1</v>
      </c>
      <c r="AE24" s="39">
        <f ca="1">AB24</f>
        <v>3</v>
      </c>
      <c r="AF24" s="154">
        <v>50</v>
      </c>
      <c r="AG24" s="38">
        <v>0</v>
      </c>
      <c r="AH24" s="38">
        <v>0</v>
      </c>
      <c r="AI24" s="38">
        <v>0</v>
      </c>
      <c r="AJ24" s="38">
        <v>0</v>
      </c>
      <c r="AK24" s="38">
        <v>1</v>
      </c>
      <c r="AL24" s="99"/>
    </row>
    <row r="25" spans="1:38" s="88" customFormat="1" ht="21" customHeight="1" thickBot="1" x14ac:dyDescent="0.2">
      <c r="A25" s="84" t="str">
        <f t="shared" ca="1" si="0"/>
        <v>20009_2-3/61&lt;lv25&gt;s2</v>
      </c>
      <c r="B25" s="85">
        <v>20009</v>
      </c>
      <c r="C25" s="52">
        <v>2</v>
      </c>
      <c r="D25" s="53" t="str">
        <f>B25&amp;"_"&amp;C25</f>
        <v>20009_2</v>
      </c>
      <c r="E25" s="86" t="str">
        <f ca="1">VLOOKUP($B25,OFFSET([2]quests!$A$1,0,0,COUNTA([2]quests!$A:$A),MATCH(E$1,[2]quests!$1:$1,0)-MATCH($B$1,[2]quests!$1:$1,0)+1),MATCH(E$1,[2]quests!$1:$1,0)-MATCH($B$1,[2]quests!$1:$1,0)+1,FALSE)</f>
        <v>迫り来る窒息</v>
      </c>
      <c r="F25" s="86" t="str">
        <f ca="1">VLOOKUP($D25,OFFSET([2]stages!$A$1,0,0,COUNTA([2]stages!$A:$A),MATCH(F$1,[2]stages!$2:$2,0)-MATCH($D$1,[2]stages!$2:$2,0)+1),MATCH(F$1,[2]stages!$2:$2,0)-MATCH($D$1,[2]stages!$2:$2,0)+1,FALSE)</f>
        <v>【中級】迫り来る窒息</v>
      </c>
      <c r="G25" s="52">
        <v>3</v>
      </c>
      <c r="H25" s="53" t="str">
        <f>B25&amp;"_"&amp;C25&amp;"-"&amp;G25</f>
        <v>20009_2-3</v>
      </c>
      <c r="I25" s="54">
        <v>61</v>
      </c>
      <c r="J25" s="20" t="str">
        <f ca="1">VLOOKUP($I25,OFFSET([3]enemies!$A$1,0,0,COUNTA([3]enemies!$A:$A),MATCH(J$1,[3]enemies!$1:$1,0)-MATCH($I$1,[3]enemies!$1:$1,0)+1),MATCH(J$1,[3]enemies!$1:$1,0)-MATCH($I$1,[3]enemies!$1:$1,0)+1,FALSE)</f>
        <v>クロウ</v>
      </c>
      <c r="K25" s="20" t="str">
        <f ca="1">VLOOKUP($I25,OFFSET([3]enemies!$A$1,0,0,COUNTA([3]enemies!$A:$A),MATCH(K$1,[3]enemies!$1:$1,0)-MATCH($I$1,[3]enemies!$1:$1,0)+1),MATCH(K$1,[3]enemies!$1:$1,0)-MATCH($I$1,[3]enemies!$1:$1,0)+1,FALSE)</f>
        <v>blue</v>
      </c>
      <c r="L25" s="21" t="str">
        <f>VLOOKUP(I25,[4]characters!$A:$J,10,FALSE)</f>
        <v>Drop1N</v>
      </c>
      <c r="M25" s="20" t="str">
        <f ca="1">VLOOKUP($I25,OFFSET([3]enemies!$A$1,0,0,COUNTA([3]enemies!$A:$A),MATCH(M$1,[3]enemies!$1:$1,0)-MATCH($I$1,[3]enemies!$1:$1,0)+1),MATCH(M$1,[3]enemies!$1:$1,0)-MATCH($I$1,[3]enemies!$1:$1,0)+1,FALSE)</f>
        <v>animal</v>
      </c>
      <c r="N25" s="20">
        <f ca="1">VLOOKUP($I25,OFFSET([3]enemies!$A$1,0,0,COUNTA([3]enemies!$A:$A),MATCH(N$1,[3]enemies!$1:$1,0)-MATCH($I$1,[3]enemies!$1:$1,0)+1),MATCH(N$1,[3]enemies!$1:$1,0)-MATCH($I$1,[3]enemies!$1:$1,0)+1,FALSE)</f>
        <v>15</v>
      </c>
      <c r="O25" s="55">
        <v>25</v>
      </c>
      <c r="P25" s="56">
        <v>2</v>
      </c>
      <c r="Q25" s="56">
        <v>1</v>
      </c>
      <c r="R25" s="143">
        <v>0</v>
      </c>
      <c r="S25" s="150"/>
      <c r="T25" s="20">
        <f ca="1">VLOOKUP($I25,OFFSET([3]enemies!$A$1,0,0,COUNTA([3]enemies!$A:$A),MATCH(T$1,[3]enemies!$1:$1,0)-MATCH($I$1,[3]enemies!$1:$1,0)+1),MATCH(T$1,[3]enemies!$1:$1,0)-MATCH($I$1,[3]enemies!$1:$1,0)+1,FALSE)</f>
        <v>61</v>
      </c>
      <c r="U25" s="4" t="str">
        <f ca="1">VLOOKUP(T25,[5]enemy_skill_sets!$B:$E,4,FALSE)</f>
        <v>回復</v>
      </c>
      <c r="V25" s="87">
        <v>2</v>
      </c>
      <c r="W25" s="87">
        <v>100</v>
      </c>
      <c r="X25" s="87">
        <v>0</v>
      </c>
      <c r="Y25" s="20">
        <f ca="1">VLOOKUP($I25,OFFSET([3]enemies!$A$1,0,0,COUNTA([3]enemies!$A:$A),MATCH(Y$1,[3]enemies!$1:$1,0)-MATCH($I$1,[3]enemies!$1:$1,0)+1),MATCH(Y$1,[3]enemies!$1:$1,0)-MATCH($I$1,[3]enemies!$1:$1,0)+1,FALSE)</f>
        <v>2</v>
      </c>
      <c r="Z25" s="58">
        <v>61</v>
      </c>
      <c r="AA25" s="4" t="str">
        <f ca="1">IFERROR(VLOOKUP($Z25,OFFSET([4]characters!$A$1,0,0,COUNTA([4]characters!$A:$A),MATCH(AA$1,[4]characters!$1:$1,0)-MATCH("character_id",[4]characters!$1:$1,0)+1),MATCH(AA$1,[4]characters!$1:$1,0)-MATCH("character_id",[4]characters!$1:$1,0)+1,FALSE),"")</f>
        <v>クロウ</v>
      </c>
      <c r="AB25" s="4">
        <f ca="1">IFERROR(VLOOKUP($Z25,OFFSET([4]characters!$A$1,0,0,COUNTA([4]characters!$A:$A),MATCH(AB$1,[4]characters!$1:$1,0)-MATCH("character_id",[4]characters!$1:$1,0)+1),MATCH(AB$1,[4]characters!$1:$1,0)-MATCH("character_id",[4]characters!$1:$1,0)+1,FALSE),"")</f>
        <v>2</v>
      </c>
      <c r="AC25" s="4" t="str">
        <f ca="1">IFERROR(VLOOKUP($Z25,OFFSET([4]characters!$A$1,0,0,COUNTA([4]characters!$A:$A),MATCH(AC$1,[4]characters!$1:$1,0)-MATCH("character_id",[4]characters!$1:$1,0)+1),MATCH(AC$1,[4]characters!$1:$1,0)-MATCH("character_id",[4]characters!$1:$1,0)+1,FALSE),"")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5" s="59">
        <v>1</v>
      </c>
      <c r="AE25" s="60">
        <f ca="1">AB25</f>
        <v>2</v>
      </c>
      <c r="AF25" s="61">
        <v>0</v>
      </c>
      <c r="AG25" s="59">
        <v>0</v>
      </c>
      <c r="AH25" s="59">
        <v>0</v>
      </c>
      <c r="AI25" s="59">
        <v>0</v>
      </c>
      <c r="AJ25" s="59">
        <v>0</v>
      </c>
      <c r="AK25" s="59">
        <v>1</v>
      </c>
      <c r="AL25" s="99"/>
    </row>
    <row r="26" spans="1:38" ht="21" customHeight="1" x14ac:dyDescent="0.15">
      <c r="A26" s="17" t="str">
        <f t="shared" ca="1" si="0"/>
        <v>20009_3-1/26&lt;lv30&gt;s3</v>
      </c>
      <c r="B26" s="23">
        <v>20009</v>
      </c>
      <c r="C26" s="36">
        <v>3</v>
      </c>
      <c r="D26" s="16" t="str">
        <f t="shared" ref="D26" si="22">B26&amp;"_"&amp;C26</f>
        <v>20009_3</v>
      </c>
      <c r="E26" s="4" t="str">
        <f ca="1">VLOOKUP($B26,OFFSET([2]quests!$A$1,0,0,COUNTA([2]quests!$A:$A),MATCH(E$1,[2]quests!$1:$1,0)-MATCH($B$1,[2]quests!$1:$1,0)+1),MATCH(E$1,[2]quests!$1:$1,0)-MATCH($B$1,[2]quests!$1:$1,0)+1,FALSE)</f>
        <v>迫り来る窒息</v>
      </c>
      <c r="F26" s="4" t="str">
        <f ca="1">VLOOKUP($D26,OFFSET([2]stages!$A$1,0,0,COUNTA([2]stages!$A:$A),MATCH(F$1,[2]stages!$2:$2,0)-MATCH($D$1,[2]stages!$2:$2,0)+1),MATCH(F$1,[2]stages!$2:$2,0)-MATCH($D$1,[2]stages!$2:$2,0)+1,FALSE)</f>
        <v>【上級】迫り来る窒息</v>
      </c>
      <c r="G26" s="47">
        <v>1</v>
      </c>
      <c r="H26" s="16" t="str">
        <f t="shared" ref="H26" si="23">B26&amp;"_"&amp;C26&amp;"-"&amp;G26</f>
        <v>20009_3-1</v>
      </c>
      <c r="I26" s="40">
        <v>26</v>
      </c>
      <c r="J26" s="20" t="str">
        <f ca="1">VLOOKUP($I26,OFFSET([3]enemies!$A$1,0,0,COUNTA([3]enemies!$A:$A),MATCH(J$1,[3]enemies!$1:$1,0)-MATCH($I$1,[3]enemies!$1:$1,0)+1),MATCH(J$1,[3]enemies!$1:$1,0)-MATCH($I$1,[3]enemies!$1:$1,0)+1,FALSE)</f>
        <v>勇犬 ハチ</v>
      </c>
      <c r="K26" s="20" t="str">
        <f ca="1">VLOOKUP($I26,OFFSET([3]enemies!$A$1,0,0,COUNTA([3]enemies!$A:$A),MATCH(K$1,[3]enemies!$1:$1,0)-MATCH($I$1,[3]enemies!$1:$1,0)+1),MATCH(K$1,[3]enemies!$1:$1,0)-MATCH($I$1,[3]enemies!$1:$1,0)+1,FALSE)</f>
        <v>blue</v>
      </c>
      <c r="L26" s="21" t="str">
        <f>VLOOKUP(I26,[4]characters!$A:$J,10,FALSE)</f>
        <v>Drop1N</v>
      </c>
      <c r="M26" s="20" t="str">
        <f ca="1">VLOOKUP($I26,OFFSET([3]enemies!$A$1,0,0,COUNTA([3]enemies!$A:$A),MATCH(M$1,[3]enemies!$1:$1,0)-MATCH($I$1,[3]enemies!$1:$1,0)+1),MATCH(M$1,[3]enemies!$1:$1,0)-MATCH($I$1,[3]enemies!$1:$1,0)+1,FALSE)</f>
        <v>animal</v>
      </c>
      <c r="N26" s="20">
        <f ca="1">VLOOKUP($I26,OFFSET([3]enemies!$A$1,0,0,COUNTA([3]enemies!$A:$A),MATCH(N$1,[3]enemies!$1:$1,0)-MATCH($I$1,[3]enemies!$1:$1,0)+1),MATCH(N$1,[3]enemies!$1:$1,0)-MATCH($I$1,[3]enemies!$1:$1,0)+1,FALSE)</f>
        <v>15</v>
      </c>
      <c r="O26" s="5">
        <v>30</v>
      </c>
      <c r="P26" s="25">
        <v>1.5</v>
      </c>
      <c r="Q26" s="25">
        <v>1.5</v>
      </c>
      <c r="R26" s="142">
        <v>0</v>
      </c>
      <c r="S26" s="150"/>
      <c r="T26" s="20">
        <f ca="1">VLOOKUP($I26,OFFSET([3]enemies!$A$1,0,0,COUNTA([3]enemies!$A:$A),MATCH(T$1,[3]enemies!$1:$1,0)-MATCH($I$1,[3]enemies!$1:$1,0)+1),MATCH(T$1,[3]enemies!$1:$1,0)-MATCH($I$1,[3]enemies!$1:$1,0)+1,FALSE)</f>
        <v>0</v>
      </c>
      <c r="U26" s="4" t="str">
        <f ca="1">VLOOKUP(T26,[5]enemy_skill_sets!$B:$E,4,FALSE)</f>
        <v>なし</v>
      </c>
      <c r="V26" s="6">
        <v>0</v>
      </c>
      <c r="W26" s="6">
        <v>100</v>
      </c>
      <c r="X26" s="6">
        <v>0</v>
      </c>
      <c r="Y26" s="20">
        <f ca="1">VLOOKUP($I26,OFFSET([3]enemies!$A$1,0,0,COUNTA([3]enemies!$A:$A),MATCH(Y$1,[3]enemies!$1:$1,0)-MATCH($I$1,[3]enemies!$1:$1,0)+1),MATCH(Y$1,[3]enemies!$1:$1,0)-MATCH($I$1,[3]enemies!$1:$1,0)+1,FALSE)</f>
        <v>3</v>
      </c>
      <c r="Z26" s="40">
        <v>26</v>
      </c>
      <c r="AA26" s="4" t="str">
        <f ca="1">IFERROR(VLOOKUP($Z26,OFFSET([4]characters!$A$1,0,0,COUNTA([4]characters!$A:$A),MATCH(AA$1,[4]characters!$1:$1,0)-MATCH("character_id",[4]characters!$1:$1,0)+1),MATCH(AA$1,[4]characters!$1:$1,0)-MATCH("character_id",[4]characters!$1:$1,0)+1,FALSE),"")</f>
        <v>勇犬 ハチ</v>
      </c>
      <c r="AB26" s="4">
        <f ca="1">IFERROR(VLOOKUP($Z26,OFFSET([4]characters!$A$1,0,0,COUNTA([4]characters!$A:$A),MATCH(AB$1,[4]characters!$1:$1,0)-MATCH("character_id",[4]characters!$1:$1,0)+1),MATCH(AB$1,[4]characters!$1:$1,0)-MATCH("character_id",[4]characters!$1:$1,0)+1,FALSE),"")</f>
        <v>2</v>
      </c>
      <c r="AC26" s="4" t="str">
        <f ca="1">IFERROR(VLOOKUP($Z26,OFFSET([4]characters!$A$1,0,0,COUNTA([4]characters!$A:$A),MATCH(AC$1,[4]characters!$1:$1,0)-MATCH("character_id",[4]characters!$1:$1,0)+1),MATCH(AC$1,[4]characters!$1:$1,0)-MATCH("character_id",[4]characters!$1:$1,0)+1,FALSE),"")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6" s="38">
        <v>3</v>
      </c>
      <c r="AE26" s="39">
        <f t="shared" ref="AE26" ca="1" si="24">AB26</f>
        <v>2</v>
      </c>
      <c r="AF26" s="7">
        <v>0</v>
      </c>
      <c r="AG26" s="38">
        <v>0</v>
      </c>
      <c r="AH26" s="38">
        <v>0</v>
      </c>
      <c r="AI26" s="38">
        <v>0</v>
      </c>
      <c r="AJ26" s="38">
        <v>0</v>
      </c>
      <c r="AK26" s="38">
        <v>1</v>
      </c>
      <c r="AL26" s="98"/>
    </row>
    <row r="27" spans="1:38" ht="21" customHeight="1" x14ac:dyDescent="0.15">
      <c r="A27" s="17" t="str">
        <f t="shared" ca="1" si="0"/>
        <v>20009_3-1/30&lt;lv30&gt;s2</v>
      </c>
      <c r="B27" s="23">
        <v>20009</v>
      </c>
      <c r="C27" s="36">
        <v>3</v>
      </c>
      <c r="D27" s="16" t="str">
        <f>B27&amp;"_"&amp;C27</f>
        <v>20009_3</v>
      </c>
      <c r="E27" s="4" t="str">
        <f ca="1">VLOOKUP($B27,OFFSET([2]quests!$A$1,0,0,COUNTA([2]quests!$A:$A),MATCH(E$1,[2]quests!$1:$1,0)-MATCH($B$1,[2]quests!$1:$1,0)+1),MATCH(E$1,[2]quests!$1:$1,0)-MATCH($B$1,[2]quests!$1:$1,0)+1,FALSE)</f>
        <v>迫り来る窒息</v>
      </c>
      <c r="F27" s="4" t="str">
        <f ca="1">VLOOKUP($D27,OFFSET([2]stages!$A$1,0,0,COUNTA([2]stages!$A:$A),MATCH(F$1,[2]stages!$2:$2,0)-MATCH($D$1,[2]stages!$2:$2,0)+1),MATCH(F$1,[2]stages!$2:$2,0)-MATCH($D$1,[2]stages!$2:$2,0)+1,FALSE)</f>
        <v>【上級】迫り来る窒息</v>
      </c>
      <c r="G27" s="47">
        <v>1</v>
      </c>
      <c r="H27" s="16" t="str">
        <f>B27&amp;"_"&amp;C27&amp;"-"&amp;G27</f>
        <v>20009_3-1</v>
      </c>
      <c r="I27" s="40">
        <v>30</v>
      </c>
      <c r="J27" s="20" t="str">
        <f ca="1">VLOOKUP($I27,OFFSET([3]enemies!$A$1,0,0,COUNTA([3]enemies!$A:$A),MATCH(J$1,[3]enemies!$1:$1,0)-MATCH($I$1,[3]enemies!$1:$1,0)+1),MATCH(J$1,[3]enemies!$1:$1,0)-MATCH($I$1,[3]enemies!$1:$1,0)+1,FALSE)</f>
        <v>護衛機人 スケアクロウ</v>
      </c>
      <c r="K27" s="20" t="str">
        <f ca="1">VLOOKUP($I27,OFFSET([3]enemies!$A$1,0,0,COUNTA([3]enemies!$A:$A),MATCH(K$1,[3]enemies!$1:$1,0)-MATCH($I$1,[3]enemies!$1:$1,0)+1),MATCH(K$1,[3]enemies!$1:$1,0)-MATCH($I$1,[3]enemies!$1:$1,0)+1,FALSE)</f>
        <v>blue</v>
      </c>
      <c r="L27" s="21" t="str">
        <f>VLOOKUP(I27,[4]characters!$A:$J,10,FALSE)</f>
        <v>Drop1N</v>
      </c>
      <c r="M27" s="20" t="str">
        <f ca="1">VLOOKUP($I27,OFFSET([3]enemies!$A$1,0,0,COUNTA([3]enemies!$A:$A),MATCH(M$1,[3]enemies!$1:$1,0)-MATCH($I$1,[3]enemies!$1:$1,0)+1),MATCH(M$1,[3]enemies!$1:$1,0)-MATCH($I$1,[3]enemies!$1:$1,0)+1,FALSE)</f>
        <v>machine</v>
      </c>
      <c r="N27" s="20">
        <f ca="1">VLOOKUP($I27,OFFSET([3]enemies!$A$1,0,0,COUNTA([3]enemies!$A:$A),MATCH(N$1,[3]enemies!$1:$1,0)-MATCH($I$1,[3]enemies!$1:$1,0)+1),MATCH(N$1,[3]enemies!$1:$1,0)-MATCH($I$1,[3]enemies!$1:$1,0)+1,FALSE)</f>
        <v>15</v>
      </c>
      <c r="O27" s="5">
        <v>30</v>
      </c>
      <c r="P27" s="25">
        <v>1.5</v>
      </c>
      <c r="Q27" s="25">
        <v>1.5</v>
      </c>
      <c r="R27" s="142">
        <v>0</v>
      </c>
      <c r="S27" s="150"/>
      <c r="T27" s="20">
        <f ca="1">VLOOKUP($I27,OFFSET([3]enemies!$A$1,0,0,COUNTA([3]enemies!$A:$A),MATCH(T$1,[3]enemies!$1:$1,0)-MATCH($I$1,[3]enemies!$1:$1,0)+1),MATCH(T$1,[3]enemies!$1:$1,0)-MATCH($I$1,[3]enemies!$1:$1,0)+1,FALSE)</f>
        <v>30</v>
      </c>
      <c r="U27" s="4" t="str">
        <f ca="1">VLOOKUP(T27,[5]enemy_skill_sets!$B:$E,4,FALSE)</f>
        <v>回復</v>
      </c>
      <c r="V27" s="6">
        <v>0</v>
      </c>
      <c r="W27" s="6">
        <v>100</v>
      </c>
      <c r="X27" s="6">
        <v>0</v>
      </c>
      <c r="Y27" s="20">
        <f ca="1">VLOOKUP($I27,OFFSET([3]enemies!$A$1,0,0,COUNTA([3]enemies!$A:$A),MATCH(Y$1,[3]enemies!$1:$1,0)-MATCH($I$1,[3]enemies!$1:$1,0)+1),MATCH(Y$1,[3]enemies!$1:$1,0)-MATCH($I$1,[3]enemies!$1:$1,0)+1,FALSE)</f>
        <v>2</v>
      </c>
      <c r="Z27" s="40">
        <v>30</v>
      </c>
      <c r="AA27" s="4" t="str">
        <f ca="1">IFERROR(VLOOKUP($Z27,OFFSET([4]characters!$A$1,0,0,COUNTA([4]characters!$A:$A),MATCH(AA$1,[4]characters!$1:$1,0)-MATCH("character_id",[4]characters!$1:$1,0)+1),MATCH(AA$1,[4]characters!$1:$1,0)-MATCH("character_id",[4]characters!$1:$1,0)+1,FALSE),"")</f>
        <v>護衛機人 スケアクロウ</v>
      </c>
      <c r="AB27" s="4">
        <f ca="1">IFERROR(VLOOKUP($Z27,OFFSET([4]characters!$A$1,0,0,COUNTA([4]characters!$A:$A),MATCH(AB$1,[4]characters!$1:$1,0)-MATCH("character_id",[4]characters!$1:$1,0)+1),MATCH(AB$1,[4]characters!$1:$1,0)-MATCH("character_id",[4]characters!$1:$1,0)+1,FALSE),"")</f>
        <v>2</v>
      </c>
      <c r="AC27" s="4" t="str">
        <f ca="1">IFERROR(VLOOKUP($Z27,OFFSET([4]characters!$A$1,0,0,COUNTA([4]characters!$A:$A),MATCH(AC$1,[4]characters!$1:$1,0)-MATCH("character_id",[4]characters!$1:$1,0)+1),MATCH(AC$1,[4]characters!$1:$1,0)-MATCH("character_id",[4]characters!$1:$1,0)+1,FALSE),"")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7" s="38">
        <v>3</v>
      </c>
      <c r="AE27" s="39">
        <f ca="1">AB27</f>
        <v>2</v>
      </c>
      <c r="AF27" s="7">
        <v>0</v>
      </c>
      <c r="AG27" s="38">
        <v>0</v>
      </c>
      <c r="AH27" s="38">
        <v>0</v>
      </c>
      <c r="AI27" s="38">
        <v>0</v>
      </c>
      <c r="AJ27" s="38">
        <v>0</v>
      </c>
      <c r="AK27" s="38">
        <v>1</v>
      </c>
      <c r="AL27" s="98"/>
    </row>
    <row r="28" spans="1:38" ht="21" customHeight="1" x14ac:dyDescent="0.15">
      <c r="A28" s="17" t="str">
        <f t="shared" ca="1" si="0"/>
        <v>20009_3-1/16&lt;lv30&gt;s3</v>
      </c>
      <c r="B28" s="23">
        <v>20009</v>
      </c>
      <c r="C28" s="36">
        <v>3</v>
      </c>
      <c r="D28" s="16" t="str">
        <f t="shared" ref="D28:D36" si="25">B28&amp;"_"&amp;C28</f>
        <v>20009_3</v>
      </c>
      <c r="E28" s="4" t="str">
        <f ca="1">VLOOKUP($B28,OFFSET([2]quests!$A$1,0,0,COUNTA([2]quests!$A:$A),MATCH(E$1,[2]quests!$1:$1,0)-MATCH($B$1,[2]quests!$1:$1,0)+1),MATCH(E$1,[2]quests!$1:$1,0)-MATCH($B$1,[2]quests!$1:$1,0)+1,FALSE)</f>
        <v>迫り来る窒息</v>
      </c>
      <c r="F28" s="4" t="str">
        <f ca="1">VLOOKUP($D28,OFFSET([2]stages!$A$1,0,0,COUNTA([2]stages!$A:$A),MATCH(F$1,[2]stages!$2:$2,0)-MATCH($D$1,[2]stages!$2:$2,0)+1),MATCH(F$1,[2]stages!$2:$2,0)-MATCH($D$1,[2]stages!$2:$2,0)+1,FALSE)</f>
        <v>【上級】迫り来る窒息</v>
      </c>
      <c r="G28" s="47">
        <v>1</v>
      </c>
      <c r="H28" s="16" t="str">
        <f t="shared" ref="H28:H36" si="26">B28&amp;"_"&amp;C28&amp;"-"&amp;G28</f>
        <v>20009_3-1</v>
      </c>
      <c r="I28" s="40">
        <v>16</v>
      </c>
      <c r="J28" s="20" t="str">
        <f ca="1">VLOOKUP($I28,OFFSET([3]enemies!$A$1,0,0,COUNTA([3]enemies!$A:$A),MATCH(J$1,[3]enemies!$1:$1,0)-MATCH($I$1,[3]enemies!$1:$1,0)+1),MATCH(J$1,[3]enemies!$1:$1,0)-MATCH($I$1,[3]enemies!$1:$1,0)+1,FALSE)</f>
        <v>炎戦少女 アカネ</v>
      </c>
      <c r="K28" s="20" t="str">
        <f ca="1">VLOOKUP($I28,OFFSET([3]enemies!$A$1,0,0,COUNTA([3]enemies!$A:$A),MATCH(K$1,[3]enemies!$1:$1,0)-MATCH($I$1,[3]enemies!$1:$1,0)+1),MATCH(K$1,[3]enemies!$1:$1,0)-MATCH($I$1,[3]enemies!$1:$1,0)+1,FALSE)</f>
        <v>red</v>
      </c>
      <c r="L28" s="21" t="str">
        <f>VLOOKUP(I28,[4]characters!$A:$J,10,FALSE)</f>
        <v>Drop1W</v>
      </c>
      <c r="M28" s="20" t="str">
        <f ca="1">VLOOKUP($I28,OFFSET([3]enemies!$A$1,0,0,COUNTA([3]enemies!$A:$A),MATCH(M$1,[3]enemies!$1:$1,0)-MATCH($I$1,[3]enemies!$1:$1,0)+1),MATCH(M$1,[3]enemies!$1:$1,0)-MATCH($I$1,[3]enemies!$1:$1,0)+1,FALSE)</f>
        <v>human</v>
      </c>
      <c r="N28" s="20">
        <f ca="1">VLOOKUP($I28,OFFSET([3]enemies!$A$1,0,0,COUNTA([3]enemies!$A:$A),MATCH(N$1,[3]enemies!$1:$1,0)-MATCH($I$1,[3]enemies!$1:$1,0)+1),MATCH(N$1,[3]enemies!$1:$1,0)-MATCH($I$1,[3]enemies!$1:$1,0)+1,FALSE)</f>
        <v>15</v>
      </c>
      <c r="O28" s="5">
        <v>30</v>
      </c>
      <c r="P28" s="25">
        <v>1.5</v>
      </c>
      <c r="Q28" s="25">
        <v>1.5</v>
      </c>
      <c r="R28" s="142">
        <v>0</v>
      </c>
      <c r="S28" s="150"/>
      <c r="T28" s="20">
        <f ca="1">VLOOKUP($I28,OFFSET([3]enemies!$A$1,0,0,COUNTA([3]enemies!$A:$A),MATCH(T$1,[3]enemies!$1:$1,0)-MATCH($I$1,[3]enemies!$1:$1,0)+1),MATCH(T$1,[3]enemies!$1:$1,0)-MATCH($I$1,[3]enemies!$1:$1,0)+1,FALSE)</f>
        <v>0</v>
      </c>
      <c r="U28" s="4" t="str">
        <f ca="1">VLOOKUP(T28,[5]enemy_skill_sets!$B:$E,4,FALSE)</f>
        <v>なし</v>
      </c>
      <c r="V28" s="6">
        <v>0</v>
      </c>
      <c r="W28" s="6">
        <v>100</v>
      </c>
      <c r="X28" s="6">
        <v>0</v>
      </c>
      <c r="Y28" s="20">
        <f ca="1">VLOOKUP($I28,OFFSET([3]enemies!$A$1,0,0,COUNTA([3]enemies!$A:$A),MATCH(Y$1,[3]enemies!$1:$1,0)-MATCH($I$1,[3]enemies!$1:$1,0)+1),MATCH(Y$1,[3]enemies!$1:$1,0)-MATCH($I$1,[3]enemies!$1:$1,0)+1,FALSE)</f>
        <v>3</v>
      </c>
      <c r="Z28" s="40">
        <v>16</v>
      </c>
      <c r="AA28" s="4" t="str">
        <f ca="1">IFERROR(VLOOKUP($Z28,OFFSET([4]characters!$A$1,0,0,COUNTA([4]characters!$A:$A),MATCH(AA$1,[4]characters!$1:$1,0)-MATCH("character_id",[4]characters!$1:$1,0)+1),MATCH(AA$1,[4]characters!$1:$1,0)-MATCH("character_id",[4]characters!$1:$1,0)+1,FALSE),"")</f>
        <v>炎戦少女 アカネ</v>
      </c>
      <c r="AB28" s="4">
        <f ca="1">IFERROR(VLOOKUP($Z28,OFFSET([4]characters!$A$1,0,0,COUNTA([4]characters!$A:$A),MATCH(AB$1,[4]characters!$1:$1,0)-MATCH("character_id",[4]characters!$1:$1,0)+1),MATCH(AB$1,[4]characters!$1:$1,0)-MATCH("character_id",[4]characters!$1:$1,0)+1,FALSE),"")</f>
        <v>2</v>
      </c>
      <c r="AC28" s="4" t="str">
        <f ca="1">IFERROR(VLOOKUP($Z28,OFFSET([4]characters!$A$1,0,0,COUNTA([4]characters!$A:$A),MATCH(AC$1,[4]characters!$1:$1,0)-MATCH("character_id",[4]characters!$1:$1,0)+1),MATCH(AC$1,[4]characters!$1:$1,0)-MATCH("character_id",[4]characters!$1:$1,0)+1,FALSE),"")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8" s="38">
        <v>3</v>
      </c>
      <c r="AE28" s="39">
        <f t="shared" ref="AE28:AE36" ca="1" si="27">AB28</f>
        <v>2</v>
      </c>
      <c r="AF28" s="7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1</v>
      </c>
      <c r="AL28" s="98"/>
    </row>
    <row r="29" spans="1:38" ht="21" customHeight="1" x14ac:dyDescent="0.15">
      <c r="A29" s="17" t="str">
        <f t="shared" ca="1" si="0"/>
        <v>20009_3-1/22&lt;lv30&gt;s2</v>
      </c>
      <c r="B29" s="23">
        <v>20009</v>
      </c>
      <c r="C29" s="36">
        <v>3</v>
      </c>
      <c r="D29" s="16" t="str">
        <f>B29&amp;"_"&amp;C29</f>
        <v>20009_3</v>
      </c>
      <c r="E29" s="4" t="str">
        <f ca="1">VLOOKUP($B29,OFFSET([2]quests!$A$1,0,0,COUNTA([2]quests!$A:$A),MATCH(E$1,[2]quests!$1:$1,0)-MATCH($B$1,[2]quests!$1:$1,0)+1),MATCH(E$1,[2]quests!$1:$1,0)-MATCH($B$1,[2]quests!$1:$1,0)+1,FALSE)</f>
        <v>迫り来る窒息</v>
      </c>
      <c r="F29" s="4" t="str">
        <f ca="1">VLOOKUP($D29,OFFSET([2]stages!$A$1,0,0,COUNTA([2]stages!$A:$A),MATCH(F$1,[2]stages!$2:$2,0)-MATCH($D$1,[2]stages!$2:$2,0)+1),MATCH(F$1,[2]stages!$2:$2,0)-MATCH($D$1,[2]stages!$2:$2,0)+1,FALSE)</f>
        <v>【上級】迫り来る窒息</v>
      </c>
      <c r="G29" s="47">
        <v>1</v>
      </c>
      <c r="H29" s="16" t="str">
        <f>B29&amp;"_"&amp;C29&amp;"-"&amp;G29</f>
        <v>20009_3-1</v>
      </c>
      <c r="I29" s="40">
        <v>22</v>
      </c>
      <c r="J29" s="20" t="str">
        <f ca="1">VLOOKUP($I29,OFFSET([3]enemies!$A$1,0,0,COUNTA([3]enemies!$A:$A),MATCH(J$1,[3]enemies!$1:$1,0)-MATCH($I$1,[3]enemies!$1:$1,0)+1),MATCH(J$1,[3]enemies!$1:$1,0)-MATCH($I$1,[3]enemies!$1:$1,0)+1,FALSE)</f>
        <v>突然変異ヴェロキー</v>
      </c>
      <c r="K29" s="20" t="str">
        <f ca="1">VLOOKUP($I29,OFFSET([3]enemies!$A$1,0,0,COUNTA([3]enemies!$A:$A),MATCH(K$1,[3]enemies!$1:$1,0)-MATCH($I$1,[3]enemies!$1:$1,0)+1),MATCH(K$1,[3]enemies!$1:$1,0)-MATCH($I$1,[3]enemies!$1:$1,0)+1,FALSE)</f>
        <v>red</v>
      </c>
      <c r="L29" s="21" t="str">
        <f>VLOOKUP(I29,[4]characters!$A:$J,10,FALSE)</f>
        <v>Drop1N</v>
      </c>
      <c r="M29" s="20" t="str">
        <f ca="1">VLOOKUP($I29,OFFSET([3]enemies!$A$1,0,0,COUNTA([3]enemies!$A:$A),MATCH(M$1,[3]enemies!$1:$1,0)-MATCH($I$1,[3]enemies!$1:$1,0)+1),MATCH(M$1,[3]enemies!$1:$1,0)-MATCH($I$1,[3]enemies!$1:$1,0)+1,FALSE)</f>
        <v>dragon</v>
      </c>
      <c r="N29" s="20">
        <f ca="1">VLOOKUP($I29,OFFSET([3]enemies!$A$1,0,0,COUNTA([3]enemies!$A:$A),MATCH(N$1,[3]enemies!$1:$1,0)-MATCH($I$1,[3]enemies!$1:$1,0)+1),MATCH(N$1,[3]enemies!$1:$1,0)-MATCH($I$1,[3]enemies!$1:$1,0)+1,FALSE)</f>
        <v>15</v>
      </c>
      <c r="O29" s="5">
        <v>30</v>
      </c>
      <c r="P29" s="25">
        <v>1.5</v>
      </c>
      <c r="Q29" s="25">
        <v>1.5</v>
      </c>
      <c r="R29" s="142">
        <v>0</v>
      </c>
      <c r="S29" s="150"/>
      <c r="T29" s="20">
        <f ca="1">VLOOKUP($I29,OFFSET([3]enemies!$A$1,0,0,COUNTA([3]enemies!$A:$A),MATCH(T$1,[3]enemies!$1:$1,0)-MATCH($I$1,[3]enemies!$1:$1,0)+1),MATCH(T$1,[3]enemies!$1:$1,0)-MATCH($I$1,[3]enemies!$1:$1,0)+1,FALSE)</f>
        <v>0</v>
      </c>
      <c r="U29" s="4" t="str">
        <f ca="1">VLOOKUP(T29,[5]enemy_skill_sets!$B:$E,4,FALSE)</f>
        <v>なし</v>
      </c>
      <c r="V29" s="6">
        <v>0</v>
      </c>
      <c r="W29" s="6">
        <v>100</v>
      </c>
      <c r="X29" s="6">
        <v>0</v>
      </c>
      <c r="Y29" s="20">
        <f ca="1">VLOOKUP($I29,OFFSET([3]enemies!$A$1,0,0,COUNTA([3]enemies!$A:$A),MATCH(Y$1,[3]enemies!$1:$1,0)-MATCH($I$1,[3]enemies!$1:$1,0)+1),MATCH(Y$1,[3]enemies!$1:$1,0)-MATCH($I$1,[3]enemies!$1:$1,0)+1,FALSE)</f>
        <v>2</v>
      </c>
      <c r="Z29" s="40">
        <v>22</v>
      </c>
      <c r="AA29" s="4" t="str">
        <f ca="1">IFERROR(VLOOKUP($Z29,OFFSET([4]characters!$A$1,0,0,COUNTA([4]characters!$A:$A),MATCH(AA$1,[4]characters!$1:$1,0)-MATCH("character_id",[4]characters!$1:$1,0)+1),MATCH(AA$1,[4]characters!$1:$1,0)-MATCH("character_id",[4]characters!$1:$1,0)+1,FALSE),"")</f>
        <v>突然変異ヴェロキー</v>
      </c>
      <c r="AB29" s="4">
        <f ca="1">IFERROR(VLOOKUP($Z29,OFFSET([4]characters!$A$1,0,0,COUNTA([4]characters!$A:$A),MATCH(AB$1,[4]characters!$1:$1,0)-MATCH("character_id",[4]characters!$1:$1,0)+1),MATCH(AB$1,[4]characters!$1:$1,0)-MATCH("character_id",[4]characters!$1:$1,0)+1,FALSE),"")</f>
        <v>2</v>
      </c>
      <c r="AC29" s="4" t="str">
        <f ca="1">IFERROR(VLOOKUP($Z29,OFFSET([4]characters!$A$1,0,0,COUNTA([4]characters!$A:$A),MATCH(AC$1,[4]characters!$1:$1,0)-MATCH("character_id",[4]characters!$1:$1,0)+1),MATCH(AC$1,[4]characters!$1:$1,0)-MATCH("character_id",[4]characters!$1:$1,0)+1,FALSE),"")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9" s="38">
        <v>3</v>
      </c>
      <c r="AE29" s="39">
        <f ca="1">AB29</f>
        <v>2</v>
      </c>
      <c r="AF29" s="7">
        <v>0</v>
      </c>
      <c r="AG29" s="38">
        <v>0</v>
      </c>
      <c r="AH29" s="38">
        <v>0</v>
      </c>
      <c r="AI29" s="38">
        <v>0</v>
      </c>
      <c r="AJ29" s="38">
        <v>0</v>
      </c>
      <c r="AK29" s="38">
        <v>1</v>
      </c>
      <c r="AL29" s="98"/>
    </row>
    <row r="30" spans="1:38" ht="21" customHeight="1" x14ac:dyDescent="0.15">
      <c r="A30" s="17" t="str">
        <f t="shared" ca="1" si="0"/>
        <v>20009_3-1/24&lt;lv30&gt;s4</v>
      </c>
      <c r="B30" s="23">
        <v>20009</v>
      </c>
      <c r="C30" s="36">
        <v>3</v>
      </c>
      <c r="D30" s="16" t="str">
        <f t="shared" ref="D30" si="28">B30&amp;"_"&amp;C30</f>
        <v>20009_3</v>
      </c>
      <c r="E30" s="4" t="str">
        <f ca="1">VLOOKUP($B30,OFFSET([2]quests!$A$1,0,0,COUNTA([2]quests!$A:$A),MATCH(E$1,[2]quests!$1:$1,0)-MATCH($B$1,[2]quests!$1:$1,0)+1),MATCH(E$1,[2]quests!$1:$1,0)-MATCH($B$1,[2]quests!$1:$1,0)+1,FALSE)</f>
        <v>迫り来る窒息</v>
      </c>
      <c r="F30" s="4" t="str">
        <f ca="1">VLOOKUP($D30,OFFSET([2]stages!$A$1,0,0,COUNTA([2]stages!$A:$A),MATCH(F$1,[2]stages!$2:$2,0)-MATCH($D$1,[2]stages!$2:$2,0)+1),MATCH(F$1,[2]stages!$2:$2,0)-MATCH($D$1,[2]stages!$2:$2,0)+1,FALSE)</f>
        <v>【上級】迫り来る窒息</v>
      </c>
      <c r="G30" s="47">
        <v>1</v>
      </c>
      <c r="H30" s="16" t="str">
        <f t="shared" ref="H30" si="29">B30&amp;"_"&amp;C30&amp;"-"&amp;G30</f>
        <v>20009_3-1</v>
      </c>
      <c r="I30" s="40">
        <v>24</v>
      </c>
      <c r="J30" s="20" t="str">
        <f ca="1">VLOOKUP($I30,OFFSET([3]enemies!$A$1,0,0,COUNTA([3]enemies!$A:$A),MATCH(J$1,[3]enemies!$1:$1,0)-MATCH($I$1,[3]enemies!$1:$1,0)+1),MATCH(J$1,[3]enemies!$1:$1,0)-MATCH($I$1,[3]enemies!$1:$1,0)+1,FALSE)</f>
        <v>天翔のミール</v>
      </c>
      <c r="K30" s="20" t="str">
        <f ca="1">VLOOKUP($I30,OFFSET([3]enemies!$A$1,0,0,COUNTA([3]enemies!$A:$A),MATCH(K$1,[3]enemies!$1:$1,0)-MATCH($I$1,[3]enemies!$1:$1,0)+1),MATCH(K$1,[3]enemies!$1:$1,0)-MATCH($I$1,[3]enemies!$1:$1,0)+1,FALSE)</f>
        <v>green</v>
      </c>
      <c r="L30" s="21" t="str">
        <f>VLOOKUP(I30,[4]characters!$A:$J,10,FALSE)</f>
        <v>Drop1N</v>
      </c>
      <c r="M30" s="20" t="str">
        <f ca="1">VLOOKUP($I30,OFFSET([3]enemies!$A$1,0,0,COUNTA([3]enemies!$A:$A),MATCH(M$1,[3]enemies!$1:$1,0)-MATCH($I$1,[3]enemies!$1:$1,0)+1),MATCH(M$1,[3]enemies!$1:$1,0)-MATCH($I$1,[3]enemies!$1:$1,0)+1,FALSE)</f>
        <v>animal</v>
      </c>
      <c r="N30" s="20">
        <f ca="1">VLOOKUP($I30,OFFSET([3]enemies!$A$1,0,0,COUNTA([3]enemies!$A:$A),MATCH(N$1,[3]enemies!$1:$1,0)-MATCH($I$1,[3]enemies!$1:$1,0)+1),MATCH(N$1,[3]enemies!$1:$1,0)-MATCH($I$1,[3]enemies!$1:$1,0)+1,FALSE)</f>
        <v>15</v>
      </c>
      <c r="O30" s="5">
        <v>30</v>
      </c>
      <c r="P30" s="25">
        <v>1.5</v>
      </c>
      <c r="Q30" s="25">
        <v>1.5</v>
      </c>
      <c r="R30" s="142">
        <v>0</v>
      </c>
      <c r="S30" s="150"/>
      <c r="T30" s="20">
        <f ca="1">VLOOKUP($I30,OFFSET([3]enemies!$A$1,0,0,COUNTA([3]enemies!$A:$A),MATCH(T$1,[3]enemies!$1:$1,0)-MATCH($I$1,[3]enemies!$1:$1,0)+1),MATCH(T$1,[3]enemies!$1:$1,0)-MATCH($I$1,[3]enemies!$1:$1,0)+1,FALSE)</f>
        <v>0</v>
      </c>
      <c r="U30" s="4" t="str">
        <f ca="1">VLOOKUP(T30,[5]enemy_skill_sets!$B:$E,4,FALSE)</f>
        <v>なし</v>
      </c>
      <c r="V30" s="6">
        <v>0</v>
      </c>
      <c r="W30" s="6">
        <v>100</v>
      </c>
      <c r="X30" s="6">
        <v>0</v>
      </c>
      <c r="Y30" s="20">
        <f ca="1">VLOOKUP($I30,OFFSET([3]enemies!$A$1,0,0,COUNTA([3]enemies!$A:$A),MATCH(Y$1,[3]enemies!$1:$1,0)-MATCH($I$1,[3]enemies!$1:$1,0)+1),MATCH(Y$1,[3]enemies!$1:$1,0)-MATCH($I$1,[3]enemies!$1:$1,0)+1,FALSE)</f>
        <v>4</v>
      </c>
      <c r="Z30" s="40">
        <v>24</v>
      </c>
      <c r="AA30" s="4" t="str">
        <f ca="1">IFERROR(VLOOKUP($Z30,OFFSET([4]characters!$A$1,0,0,COUNTA([4]characters!$A:$A),MATCH(AA$1,[4]characters!$1:$1,0)-MATCH("character_id",[4]characters!$1:$1,0)+1),MATCH(AA$1,[4]characters!$1:$1,0)-MATCH("character_id",[4]characters!$1:$1,0)+1,FALSE),"")</f>
        <v>天翔のミール</v>
      </c>
      <c r="AB30" s="4">
        <f ca="1">IFERROR(VLOOKUP($Z30,OFFSET([4]characters!$A$1,0,0,COUNTA([4]characters!$A:$A),MATCH(AB$1,[4]characters!$1:$1,0)-MATCH("character_id",[4]characters!$1:$1,0)+1),MATCH(AB$1,[4]characters!$1:$1,0)-MATCH("character_id",[4]characters!$1:$1,0)+1,FALSE),"")</f>
        <v>2</v>
      </c>
      <c r="AC30" s="4" t="str">
        <f ca="1">IFERROR(VLOOKUP($Z30,OFFSET([4]characters!$A$1,0,0,COUNTA([4]characters!$A:$A),MATCH(AC$1,[4]characters!$1:$1,0)-MATCH("character_id",[4]characters!$1:$1,0)+1),MATCH(AC$1,[4]characters!$1:$1,0)-MATCH("character_id",[4]characters!$1:$1,0)+1,FALSE),"")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30" s="38">
        <v>3</v>
      </c>
      <c r="AE30" s="39">
        <f t="shared" ref="AE30" ca="1" si="30">AB30</f>
        <v>2</v>
      </c>
      <c r="AF30" s="7">
        <v>0</v>
      </c>
      <c r="AG30" s="38">
        <v>0</v>
      </c>
      <c r="AH30" s="38">
        <v>0</v>
      </c>
      <c r="AI30" s="38">
        <v>0</v>
      </c>
      <c r="AJ30" s="38">
        <v>0</v>
      </c>
      <c r="AK30" s="38">
        <v>1</v>
      </c>
      <c r="AL30" s="98"/>
    </row>
    <row r="31" spans="1:38" ht="21" customHeight="1" x14ac:dyDescent="0.15">
      <c r="A31" s="17" t="str">
        <f t="shared" ca="1" si="0"/>
        <v>20009_3-1/28&lt;lv30&gt;s1</v>
      </c>
      <c r="B31" s="23">
        <v>20009</v>
      </c>
      <c r="C31" s="36">
        <v>3</v>
      </c>
      <c r="D31" s="16" t="str">
        <f>B31&amp;"_"&amp;C31</f>
        <v>20009_3</v>
      </c>
      <c r="E31" s="4" t="str">
        <f ca="1">VLOOKUP($B31,OFFSET([2]quests!$A$1,0,0,COUNTA([2]quests!$A:$A),MATCH(E$1,[2]quests!$1:$1,0)-MATCH($B$1,[2]quests!$1:$1,0)+1),MATCH(E$1,[2]quests!$1:$1,0)-MATCH($B$1,[2]quests!$1:$1,0)+1,FALSE)</f>
        <v>迫り来る窒息</v>
      </c>
      <c r="F31" s="4" t="str">
        <f ca="1">VLOOKUP($D31,OFFSET([2]stages!$A$1,0,0,COUNTA([2]stages!$A:$A),MATCH(F$1,[2]stages!$2:$2,0)-MATCH($D$1,[2]stages!$2:$2,0)+1),MATCH(F$1,[2]stages!$2:$2,0)-MATCH($D$1,[2]stages!$2:$2,0)+1,FALSE)</f>
        <v>【上級】迫り来る窒息</v>
      </c>
      <c r="G31" s="47">
        <v>1</v>
      </c>
      <c r="H31" s="16" t="str">
        <f>B31&amp;"_"&amp;C31&amp;"-"&amp;G31</f>
        <v>20009_3-1</v>
      </c>
      <c r="I31" s="40">
        <v>28</v>
      </c>
      <c r="J31" s="20" t="str">
        <f ca="1">VLOOKUP($I31,OFFSET([3]enemies!$A$1,0,0,COUNTA([3]enemies!$A:$A),MATCH(J$1,[3]enemies!$1:$1,0)-MATCH($I$1,[3]enemies!$1:$1,0)+1),MATCH(J$1,[3]enemies!$1:$1,0)-MATCH($I$1,[3]enemies!$1:$1,0)+1,FALSE)</f>
        <v>現場急行 パトラインカスタム</v>
      </c>
      <c r="K31" s="20" t="str">
        <f ca="1">VLOOKUP($I31,OFFSET([3]enemies!$A$1,0,0,COUNTA([3]enemies!$A:$A),MATCH(K$1,[3]enemies!$1:$1,0)-MATCH($I$1,[3]enemies!$1:$1,0)+1),MATCH(K$1,[3]enemies!$1:$1,0)-MATCH($I$1,[3]enemies!$1:$1,0)+1,FALSE)</f>
        <v>green</v>
      </c>
      <c r="L31" s="21" t="str">
        <f>VLOOKUP(I31,[4]characters!$A:$J,10,FALSE)</f>
        <v>Drop1N</v>
      </c>
      <c r="M31" s="20" t="str">
        <f ca="1">VLOOKUP($I31,OFFSET([3]enemies!$A$1,0,0,COUNTA([3]enemies!$A:$A),MATCH(M$1,[3]enemies!$1:$1,0)-MATCH($I$1,[3]enemies!$1:$1,0)+1),MATCH(M$1,[3]enemies!$1:$1,0)-MATCH($I$1,[3]enemies!$1:$1,0)+1,FALSE)</f>
        <v>machine</v>
      </c>
      <c r="N31" s="20">
        <f ca="1">VLOOKUP($I31,OFFSET([3]enemies!$A$1,0,0,COUNTA([3]enemies!$A:$A),MATCH(N$1,[3]enemies!$1:$1,0)-MATCH($I$1,[3]enemies!$1:$1,0)+1),MATCH(N$1,[3]enemies!$1:$1,0)-MATCH($I$1,[3]enemies!$1:$1,0)+1,FALSE)</f>
        <v>15</v>
      </c>
      <c r="O31" s="5">
        <v>30</v>
      </c>
      <c r="P31" s="25">
        <v>1.5</v>
      </c>
      <c r="Q31" s="25">
        <v>1.5</v>
      </c>
      <c r="R31" s="142">
        <v>0</v>
      </c>
      <c r="S31" s="150"/>
      <c r="T31" s="20">
        <f ca="1">VLOOKUP($I31,OFFSET([3]enemies!$A$1,0,0,COUNTA([3]enemies!$A:$A),MATCH(T$1,[3]enemies!$1:$1,0)-MATCH($I$1,[3]enemies!$1:$1,0)+1),MATCH(T$1,[3]enemies!$1:$1,0)-MATCH($I$1,[3]enemies!$1:$1,0)+1,FALSE)</f>
        <v>28</v>
      </c>
      <c r="U31" s="4" t="str">
        <f ca="1">VLOOKUP(T31,[5]enemy_skill_sets!$B:$E,4,FALSE)</f>
        <v>回復</v>
      </c>
      <c r="V31" s="6">
        <v>0</v>
      </c>
      <c r="W31" s="6">
        <v>100</v>
      </c>
      <c r="X31" s="6">
        <v>0</v>
      </c>
      <c r="Y31" s="20">
        <f ca="1">VLOOKUP($I31,OFFSET([3]enemies!$A$1,0,0,COUNTA([3]enemies!$A:$A),MATCH(Y$1,[3]enemies!$1:$1,0)-MATCH($I$1,[3]enemies!$1:$1,0)+1),MATCH(Y$1,[3]enemies!$1:$1,0)-MATCH($I$1,[3]enemies!$1:$1,0)+1,FALSE)</f>
        <v>1</v>
      </c>
      <c r="Z31" s="40">
        <v>28</v>
      </c>
      <c r="AA31" s="4" t="str">
        <f ca="1">IFERROR(VLOOKUP($Z31,OFFSET([4]characters!$A$1,0,0,COUNTA([4]characters!$A:$A),MATCH(AA$1,[4]characters!$1:$1,0)-MATCH("character_id",[4]characters!$1:$1,0)+1),MATCH(AA$1,[4]characters!$1:$1,0)-MATCH("character_id",[4]characters!$1:$1,0)+1,FALSE),"")</f>
        <v>現場急行 パトラインカスタム</v>
      </c>
      <c r="AB31" s="4">
        <f ca="1">IFERROR(VLOOKUP($Z31,OFFSET([4]characters!$A$1,0,0,COUNTA([4]characters!$A:$A),MATCH(AB$1,[4]characters!$1:$1,0)-MATCH("character_id",[4]characters!$1:$1,0)+1),MATCH(AB$1,[4]characters!$1:$1,0)-MATCH("character_id",[4]characters!$1:$1,0)+1,FALSE),"")</f>
        <v>2</v>
      </c>
      <c r="AC31" s="4" t="str">
        <f ca="1">IFERROR(VLOOKUP($Z31,OFFSET([4]characters!$A$1,0,0,COUNTA([4]characters!$A:$A),MATCH(AC$1,[4]characters!$1:$1,0)-MATCH("character_id",[4]characters!$1:$1,0)+1),MATCH(AC$1,[4]characters!$1:$1,0)-MATCH("character_id",[4]characters!$1:$1,0)+1,FALSE),"")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31" s="38">
        <v>3</v>
      </c>
      <c r="AE31" s="39">
        <f ca="1">AB31</f>
        <v>2</v>
      </c>
      <c r="AF31" s="7">
        <v>0</v>
      </c>
      <c r="AG31" s="38">
        <v>0</v>
      </c>
      <c r="AH31" s="38">
        <v>0</v>
      </c>
      <c r="AI31" s="38">
        <v>0</v>
      </c>
      <c r="AJ31" s="38">
        <v>0</v>
      </c>
      <c r="AK31" s="38">
        <v>1</v>
      </c>
      <c r="AL31" s="98"/>
    </row>
    <row r="32" spans="1:38" ht="21" customHeight="1" x14ac:dyDescent="0.15">
      <c r="A32" s="17" t="str">
        <f t="shared" ca="1" si="0"/>
        <v>20009_3-1/20&lt;lv30&gt;s3</v>
      </c>
      <c r="B32" s="23">
        <v>20009</v>
      </c>
      <c r="C32" s="36">
        <v>3</v>
      </c>
      <c r="D32" s="16" t="str">
        <f t="shared" ref="D32" si="31">B32&amp;"_"&amp;C32</f>
        <v>20009_3</v>
      </c>
      <c r="E32" s="4" t="str">
        <f ca="1">VLOOKUP($B32,OFFSET([2]quests!$A$1,0,0,COUNTA([2]quests!$A:$A),MATCH(E$1,[2]quests!$1:$1,0)-MATCH($B$1,[2]quests!$1:$1,0)+1),MATCH(E$1,[2]quests!$1:$1,0)-MATCH($B$1,[2]quests!$1:$1,0)+1,FALSE)</f>
        <v>迫り来る窒息</v>
      </c>
      <c r="F32" s="4" t="str">
        <f ca="1">VLOOKUP($D32,OFFSET([2]stages!$A$1,0,0,COUNTA([2]stages!$A:$A),MATCH(F$1,[2]stages!$2:$2,0)-MATCH($D$1,[2]stages!$2:$2,0)+1),MATCH(F$1,[2]stages!$2:$2,0)-MATCH($D$1,[2]stages!$2:$2,0)+1,FALSE)</f>
        <v>【上級】迫り来る窒息</v>
      </c>
      <c r="G32" s="47">
        <v>1</v>
      </c>
      <c r="H32" s="16" t="str">
        <f t="shared" ref="H32" si="32">B32&amp;"_"&amp;C32&amp;"-"&amp;G32</f>
        <v>20009_3-1</v>
      </c>
      <c r="I32" s="40">
        <v>20</v>
      </c>
      <c r="J32" s="20" t="str">
        <f ca="1">VLOOKUP($I32,OFFSET([3]enemies!$A$1,0,0,COUNTA([3]enemies!$A:$A),MATCH(J$1,[3]enemies!$1:$1,0)-MATCH($I$1,[3]enemies!$1:$1,0)+1),MATCH(J$1,[3]enemies!$1:$1,0)-MATCH($I$1,[3]enemies!$1:$1,0)+1,FALSE)</f>
        <v>電子妖精 ティンク</v>
      </c>
      <c r="K32" s="20" t="str">
        <f ca="1">VLOOKUP($I32,OFFSET([3]enemies!$A$1,0,0,COUNTA([3]enemies!$A:$A),MATCH(K$1,[3]enemies!$1:$1,0)-MATCH($I$1,[3]enemies!$1:$1,0)+1),MATCH(K$1,[3]enemies!$1:$1,0)-MATCH($I$1,[3]enemies!$1:$1,0)+1,FALSE)</f>
        <v>yellow</v>
      </c>
      <c r="L32" s="21" t="str">
        <f>VLOOKUP(I32,[4]characters!$A:$J,10,FALSE)</f>
        <v>Drop1W</v>
      </c>
      <c r="M32" s="20" t="str">
        <f ca="1">VLOOKUP($I32,OFFSET([3]enemies!$A$1,0,0,COUNTA([3]enemies!$A:$A),MATCH(M$1,[3]enemies!$1:$1,0)-MATCH($I$1,[3]enemies!$1:$1,0)+1),MATCH(M$1,[3]enemies!$1:$1,0)-MATCH($I$1,[3]enemies!$1:$1,0)+1,FALSE)</f>
        <v>human</v>
      </c>
      <c r="N32" s="20">
        <f ca="1">VLOOKUP($I32,OFFSET([3]enemies!$A$1,0,0,COUNTA([3]enemies!$A:$A),MATCH(N$1,[3]enemies!$1:$1,0)-MATCH($I$1,[3]enemies!$1:$1,0)+1),MATCH(N$1,[3]enemies!$1:$1,0)-MATCH($I$1,[3]enemies!$1:$1,0)+1,FALSE)</f>
        <v>15</v>
      </c>
      <c r="O32" s="5">
        <v>30</v>
      </c>
      <c r="P32" s="25">
        <v>1.5</v>
      </c>
      <c r="Q32" s="25">
        <v>1.5</v>
      </c>
      <c r="R32" s="142">
        <v>0</v>
      </c>
      <c r="S32" s="150"/>
      <c r="T32" s="20">
        <f ca="1">VLOOKUP($I32,OFFSET([3]enemies!$A$1,0,0,COUNTA([3]enemies!$A:$A),MATCH(T$1,[3]enemies!$1:$1,0)-MATCH($I$1,[3]enemies!$1:$1,0)+1),MATCH(T$1,[3]enemies!$1:$1,0)-MATCH($I$1,[3]enemies!$1:$1,0)+1,FALSE)</f>
        <v>0</v>
      </c>
      <c r="U32" s="4" t="str">
        <f ca="1">VLOOKUP(T32,[5]enemy_skill_sets!$B:$E,4,FALSE)</f>
        <v>なし</v>
      </c>
      <c r="V32" s="6">
        <v>0</v>
      </c>
      <c r="W32" s="6">
        <v>100</v>
      </c>
      <c r="X32" s="6">
        <v>0</v>
      </c>
      <c r="Y32" s="20">
        <f ca="1">VLOOKUP($I32,OFFSET([3]enemies!$A$1,0,0,COUNTA([3]enemies!$A:$A),MATCH(Y$1,[3]enemies!$1:$1,0)-MATCH($I$1,[3]enemies!$1:$1,0)+1),MATCH(Y$1,[3]enemies!$1:$1,0)-MATCH($I$1,[3]enemies!$1:$1,0)+1,FALSE)</f>
        <v>3</v>
      </c>
      <c r="Z32" s="40">
        <v>20</v>
      </c>
      <c r="AA32" s="4" t="str">
        <f ca="1">IFERROR(VLOOKUP($Z32,OFFSET([4]characters!$A$1,0,0,COUNTA([4]characters!$A:$A),MATCH(AA$1,[4]characters!$1:$1,0)-MATCH("character_id",[4]characters!$1:$1,0)+1),MATCH(AA$1,[4]characters!$1:$1,0)-MATCH("character_id",[4]characters!$1:$1,0)+1,FALSE),"")</f>
        <v>電子妖精 ティンク</v>
      </c>
      <c r="AB32" s="4">
        <f ca="1">IFERROR(VLOOKUP($Z32,OFFSET([4]characters!$A$1,0,0,COUNTA([4]characters!$A:$A),MATCH(AB$1,[4]characters!$1:$1,0)-MATCH("character_id",[4]characters!$1:$1,0)+1),MATCH(AB$1,[4]characters!$1:$1,0)-MATCH("character_id",[4]characters!$1:$1,0)+1,FALSE),"")</f>
        <v>2</v>
      </c>
      <c r="AC32" s="4" t="str">
        <f ca="1">IFERROR(VLOOKUP($Z32,OFFSET([4]characters!$A$1,0,0,COUNTA([4]characters!$A:$A),MATCH(AC$1,[4]characters!$1:$1,0)-MATCH("character_id",[4]characters!$1:$1,0)+1),MATCH(AC$1,[4]characters!$1:$1,0)-MATCH("character_id",[4]characters!$1:$1,0)+1,FALSE),"")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32" s="38">
        <v>3</v>
      </c>
      <c r="AE32" s="39">
        <f t="shared" ref="AE32" ca="1" si="33">AB32</f>
        <v>2</v>
      </c>
      <c r="AF32" s="7">
        <v>0</v>
      </c>
      <c r="AG32" s="38">
        <v>0</v>
      </c>
      <c r="AH32" s="38">
        <v>0</v>
      </c>
      <c r="AI32" s="38">
        <v>0</v>
      </c>
      <c r="AJ32" s="38">
        <v>0</v>
      </c>
      <c r="AK32" s="38">
        <v>1</v>
      </c>
      <c r="AL32" s="98"/>
    </row>
    <row r="33" spans="1:38" ht="21" customHeight="1" x14ac:dyDescent="0.15">
      <c r="A33" s="17" t="str">
        <f t="shared" ca="1" si="0"/>
        <v>20009_3-1/32&lt;lv30&gt;s5</v>
      </c>
      <c r="B33" s="23">
        <v>20009</v>
      </c>
      <c r="C33" s="36">
        <v>3</v>
      </c>
      <c r="D33" s="16" t="str">
        <f t="shared" ref="D33:D34" si="34">B33&amp;"_"&amp;C33</f>
        <v>20009_3</v>
      </c>
      <c r="E33" s="4" t="str">
        <f ca="1">VLOOKUP($B33,OFFSET([2]quests!$A$1,0,0,COUNTA([2]quests!$A:$A),MATCH(E$1,[2]quests!$1:$1,0)-MATCH($B$1,[2]quests!$1:$1,0)+1),MATCH(E$1,[2]quests!$1:$1,0)-MATCH($B$1,[2]quests!$1:$1,0)+1,FALSE)</f>
        <v>迫り来る窒息</v>
      </c>
      <c r="F33" s="4" t="str">
        <f ca="1">VLOOKUP($D33,OFFSET([2]stages!$A$1,0,0,COUNTA([2]stages!$A:$A),MATCH(F$1,[2]stages!$2:$2,0)-MATCH($D$1,[2]stages!$2:$2,0)+1),MATCH(F$1,[2]stages!$2:$2,0)-MATCH($D$1,[2]stages!$2:$2,0)+1,FALSE)</f>
        <v>【上級】迫り来る窒息</v>
      </c>
      <c r="G33" s="47">
        <v>1</v>
      </c>
      <c r="H33" s="16" t="str">
        <f t="shared" ref="H33:H34" si="35">B33&amp;"_"&amp;C33&amp;"-"&amp;G33</f>
        <v>20009_3-1</v>
      </c>
      <c r="I33" s="40">
        <v>32</v>
      </c>
      <c r="J33" s="20" t="str">
        <f ca="1">VLOOKUP($I33,OFFSET([3]enemies!$A$1,0,0,COUNTA([3]enemies!$A:$A),MATCH(J$1,[3]enemies!$1:$1,0)-MATCH($I$1,[3]enemies!$1:$1,0)+1),MATCH(J$1,[3]enemies!$1:$1,0)-MATCH($I$1,[3]enemies!$1:$1,0)+1,FALSE)</f>
        <v>沈黙のジャミング マービー</v>
      </c>
      <c r="K33" s="20" t="str">
        <f ca="1">VLOOKUP($I33,OFFSET([3]enemies!$A$1,0,0,COUNTA([3]enemies!$A:$A),MATCH(K$1,[3]enemies!$1:$1,0)-MATCH($I$1,[3]enemies!$1:$1,0)+1),MATCH(K$1,[3]enemies!$1:$1,0)-MATCH($I$1,[3]enemies!$1:$1,0)+1,FALSE)</f>
        <v>yellow</v>
      </c>
      <c r="L33" s="21" t="str">
        <f>VLOOKUP(I33,[4]characters!$A:$J,10,FALSE)</f>
        <v>Drop1N</v>
      </c>
      <c r="M33" s="20" t="str">
        <f ca="1">VLOOKUP($I33,OFFSET([3]enemies!$A$1,0,0,COUNTA([3]enemies!$A:$A),MATCH(M$1,[3]enemies!$1:$1,0)-MATCH($I$1,[3]enemies!$1:$1,0)+1),MATCH(M$1,[3]enemies!$1:$1,0)-MATCH($I$1,[3]enemies!$1:$1,0)+1,FALSE)</f>
        <v>machine</v>
      </c>
      <c r="N33" s="20">
        <f ca="1">VLOOKUP($I33,OFFSET([3]enemies!$A$1,0,0,COUNTA([3]enemies!$A:$A),MATCH(N$1,[3]enemies!$1:$1,0)-MATCH($I$1,[3]enemies!$1:$1,0)+1),MATCH(N$1,[3]enemies!$1:$1,0)-MATCH($I$1,[3]enemies!$1:$1,0)+1,FALSE)</f>
        <v>15</v>
      </c>
      <c r="O33" s="5">
        <v>30</v>
      </c>
      <c r="P33" s="25">
        <v>1.5</v>
      </c>
      <c r="Q33" s="25">
        <v>1.5</v>
      </c>
      <c r="R33" s="142">
        <v>0</v>
      </c>
      <c r="S33" s="150"/>
      <c r="T33" s="20">
        <f ca="1">VLOOKUP($I33,OFFSET([3]enemies!$A$1,0,0,COUNTA([3]enemies!$A:$A),MATCH(T$1,[3]enemies!$1:$1,0)-MATCH($I$1,[3]enemies!$1:$1,0)+1),MATCH(T$1,[3]enemies!$1:$1,0)-MATCH($I$1,[3]enemies!$1:$1,0)+1,FALSE)</f>
        <v>0</v>
      </c>
      <c r="U33" s="4" t="str">
        <f ca="1">VLOOKUP(T33,[5]enemy_skill_sets!$B:$E,4,FALSE)</f>
        <v>なし</v>
      </c>
      <c r="V33" s="6">
        <v>0</v>
      </c>
      <c r="W33" s="6">
        <v>100</v>
      </c>
      <c r="X33" s="6">
        <v>0</v>
      </c>
      <c r="Y33" s="20">
        <f ca="1">VLOOKUP($I33,OFFSET([3]enemies!$A$1,0,0,COUNTA([3]enemies!$A:$A),MATCH(Y$1,[3]enemies!$1:$1,0)-MATCH($I$1,[3]enemies!$1:$1,0)+1),MATCH(Y$1,[3]enemies!$1:$1,0)-MATCH($I$1,[3]enemies!$1:$1,0)+1,FALSE)</f>
        <v>5</v>
      </c>
      <c r="Z33" s="40">
        <v>32</v>
      </c>
      <c r="AA33" s="4" t="str">
        <f ca="1">IFERROR(VLOOKUP($Z33,OFFSET([4]characters!$A$1,0,0,COUNTA([4]characters!$A:$A),MATCH(AA$1,[4]characters!$1:$1,0)-MATCH("character_id",[4]characters!$1:$1,0)+1),MATCH(AA$1,[4]characters!$1:$1,0)-MATCH("character_id",[4]characters!$1:$1,0)+1,FALSE),"")</f>
        <v>沈黙のジャミング マービー</v>
      </c>
      <c r="AB33" s="4">
        <f ca="1">IFERROR(VLOOKUP($Z33,OFFSET([4]characters!$A$1,0,0,COUNTA([4]characters!$A:$A),MATCH(AB$1,[4]characters!$1:$1,0)-MATCH("character_id",[4]characters!$1:$1,0)+1),MATCH(AB$1,[4]characters!$1:$1,0)-MATCH("character_id",[4]characters!$1:$1,0)+1,FALSE),"")</f>
        <v>2</v>
      </c>
      <c r="AC33" s="4" t="str">
        <f ca="1">IFERROR(VLOOKUP($Z33,OFFSET([4]characters!$A$1,0,0,COUNTA([4]characters!$A:$A),MATCH(AC$1,[4]characters!$1:$1,0)-MATCH("character_id",[4]characters!$1:$1,0)+1),MATCH(AC$1,[4]characters!$1:$1,0)-MATCH("character_id",[4]characters!$1:$1,0)+1,FALSE),"")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33" s="38">
        <v>3</v>
      </c>
      <c r="AE33" s="39">
        <f t="shared" ref="AE33:AE34" ca="1" si="36">AB33</f>
        <v>2</v>
      </c>
      <c r="AF33" s="7">
        <v>0</v>
      </c>
      <c r="AG33" s="38">
        <v>0</v>
      </c>
      <c r="AH33" s="38">
        <v>0</v>
      </c>
      <c r="AI33" s="38">
        <v>0</v>
      </c>
      <c r="AJ33" s="38">
        <v>0</v>
      </c>
      <c r="AK33" s="38">
        <v>1</v>
      </c>
      <c r="AL33" s="98"/>
    </row>
    <row r="34" spans="1:38" ht="21" customHeight="1" x14ac:dyDescent="0.15">
      <c r="A34" s="17" t="str">
        <f t="shared" ca="1" si="0"/>
        <v>20009_3-1/342&lt;lv10&gt;s3</v>
      </c>
      <c r="B34" s="23">
        <v>20009</v>
      </c>
      <c r="C34" s="36">
        <v>3</v>
      </c>
      <c r="D34" s="16" t="str">
        <f t="shared" si="34"/>
        <v>20009_3</v>
      </c>
      <c r="E34" s="4" t="str">
        <f ca="1">VLOOKUP($B34,OFFSET([2]quests!$A$1,0,0,COUNTA([2]quests!$A:$A),MATCH(E$1,[2]quests!$1:$1,0)-MATCH($B$1,[2]quests!$1:$1,0)+1),MATCH(E$1,[2]quests!$1:$1,0)-MATCH($B$1,[2]quests!$1:$1,0)+1,FALSE)</f>
        <v>迫り来る窒息</v>
      </c>
      <c r="F34" s="4" t="str">
        <f ca="1">VLOOKUP($D34,OFFSET([2]stages!$A$1,0,0,COUNTA([2]stages!$A:$A),MATCH(F$1,[2]stages!$2:$2,0)-MATCH($D$1,[2]stages!$2:$2,0)+1),MATCH(F$1,[2]stages!$2:$2,0)-MATCH($D$1,[2]stages!$2:$2,0)+1,FALSE)</f>
        <v>【上級】迫り来る窒息</v>
      </c>
      <c r="G34" s="47">
        <v>1</v>
      </c>
      <c r="H34" s="16" t="str">
        <f t="shared" si="35"/>
        <v>20009_3-1</v>
      </c>
      <c r="I34" s="37">
        <v>342</v>
      </c>
      <c r="J34" s="20" t="str">
        <f ca="1">VLOOKUP($I34,OFFSET([3]enemies!$A$1,0,0,COUNTA([3]enemies!$A:$A),MATCH(J$1,[3]enemies!$1:$1,0)-MATCH($I$1,[3]enemies!$1:$1,0)+1),MATCH(J$1,[3]enemies!$1:$1,0)-MATCH($I$1,[3]enemies!$1:$1,0)+1,FALSE)</f>
        <v>水のメタルダック</v>
      </c>
      <c r="K34" s="20" t="str">
        <f ca="1">VLOOKUP($I34,OFFSET([3]enemies!$A$1,0,0,COUNTA([3]enemies!$A:$A),MATCH(K$1,[3]enemies!$1:$1,0)-MATCH($I$1,[3]enemies!$1:$1,0)+1),MATCH(K$1,[3]enemies!$1:$1,0)-MATCH($I$1,[3]enemies!$1:$1,0)+1,FALSE)</f>
        <v>blue</v>
      </c>
      <c r="L34" s="21" t="str">
        <f>VLOOKUP(I34,[4]characters!$A:$J,10,FALSE)</f>
        <v>Material</v>
      </c>
      <c r="M34" s="20" t="str">
        <f ca="1">VLOOKUP($I34,OFFSET([3]enemies!$A$1,0,0,COUNTA([3]enemies!$A:$A),MATCH(M$1,[3]enemies!$1:$1,0)-MATCH($I$1,[3]enemies!$1:$1,0)+1),MATCH(M$1,[3]enemies!$1:$1,0)-MATCH($I$1,[3]enemies!$1:$1,0)+1,FALSE)</f>
        <v>unknown</v>
      </c>
      <c r="N34" s="20">
        <f ca="1">VLOOKUP($I34,OFFSET([3]enemies!$A$1,0,0,COUNTA([3]enemies!$A:$A),MATCH(N$1,[3]enemies!$1:$1,0)-MATCH($I$1,[3]enemies!$1:$1,0)+1),MATCH(N$1,[3]enemies!$1:$1,0)-MATCH($I$1,[3]enemies!$1:$1,0)+1,FALSE)</f>
        <v>20</v>
      </c>
      <c r="O34" s="43">
        <v>10</v>
      </c>
      <c r="P34" s="44">
        <v>0.3</v>
      </c>
      <c r="Q34" s="44">
        <v>1</v>
      </c>
      <c r="R34" s="142">
        <v>0</v>
      </c>
      <c r="S34" s="150"/>
      <c r="T34" s="20">
        <f ca="1">VLOOKUP($I34,OFFSET([3]enemies!$A$1,0,0,COUNTA([3]enemies!$A:$A),MATCH(T$1,[3]enemies!$1:$1,0)-MATCH($I$1,[3]enemies!$1:$1,0)+1),MATCH(T$1,[3]enemies!$1:$1,0)-MATCH($I$1,[3]enemies!$1:$1,0)+1,FALSE)</f>
        <v>0</v>
      </c>
      <c r="U34" s="4" t="str">
        <f ca="1">VLOOKUP(T34,[5]enemy_skill_sets!$B:$E,4,FALSE)</f>
        <v>なし</v>
      </c>
      <c r="V34" s="6">
        <v>1</v>
      </c>
      <c r="W34" s="6">
        <v>100</v>
      </c>
      <c r="X34" s="6">
        <v>1</v>
      </c>
      <c r="Y34" s="20">
        <f ca="1">VLOOKUP($I34,OFFSET([3]enemies!$A$1,0,0,COUNTA([3]enemies!$A:$A),MATCH(Y$1,[3]enemies!$1:$1,0)-MATCH($I$1,[3]enemies!$1:$1,0)+1),MATCH(Y$1,[3]enemies!$1:$1,0)-MATCH($I$1,[3]enemies!$1:$1,0)+1,FALSE)</f>
        <v>3</v>
      </c>
      <c r="Z34" s="37">
        <v>342</v>
      </c>
      <c r="AA34" s="4" t="str">
        <f ca="1">IFERROR(VLOOKUP($Z34,OFFSET([4]characters!$A$1,0,0,COUNTA([4]characters!$A:$A),MATCH(AA$1,[4]characters!$1:$1,0)-MATCH("character_id",[4]characters!$1:$1,0)+1),MATCH(AA$1,[4]characters!$1:$1,0)-MATCH("character_id",[4]characters!$1:$1,0)+1,FALSE),"")</f>
        <v>水のメタルダック</v>
      </c>
      <c r="AB34" s="4">
        <f ca="1">IFERROR(VLOOKUP($Z34,OFFSET([4]characters!$A$1,0,0,COUNTA([4]characters!$A:$A),MATCH(AB$1,[4]characters!$1:$1,0)-MATCH("character_id",[4]characters!$1:$1,0)+1),MATCH(AB$1,[4]characters!$1:$1,0)-MATCH("character_id",[4]characters!$1:$1,0)+1,FALSE),"")</f>
        <v>5</v>
      </c>
      <c r="AC34" s="4" t="str">
        <f ca="1">IFERROR(VLOOKUP($Z34,OFFSET([4]characters!$A$1,0,0,COUNTA([4]characters!$A:$A),MATCH(AC$1,[4]characters!$1:$1,0)-MATCH("character_id",[4]characters!$1:$1,0)+1),MATCH(AC$1,[4]characters!$1:$1,0)-MATCH("character_id",[4]characters!$1:$1,0)+1,FALSE),"")</f>
        <v>Material</v>
      </c>
      <c r="AD34" s="38">
        <v>1</v>
      </c>
      <c r="AE34" s="39">
        <f t="shared" ca="1" si="36"/>
        <v>5</v>
      </c>
      <c r="AF34" s="46">
        <v>40</v>
      </c>
      <c r="AG34" s="38">
        <v>0</v>
      </c>
      <c r="AH34" s="38">
        <v>0</v>
      </c>
      <c r="AI34" s="38">
        <v>0</v>
      </c>
      <c r="AJ34" s="38">
        <v>0</v>
      </c>
      <c r="AK34" s="38">
        <v>1</v>
      </c>
      <c r="AL34" s="98"/>
    </row>
    <row r="35" spans="1:38" ht="21" customHeight="1" x14ac:dyDescent="0.15">
      <c r="A35" s="17" t="str">
        <f t="shared" ca="1" si="0"/>
        <v>20009_3-1/123&lt;lv10&gt;s2</v>
      </c>
      <c r="B35" s="23">
        <v>20009</v>
      </c>
      <c r="C35" s="36">
        <v>3</v>
      </c>
      <c r="D35" s="16" t="str">
        <f t="shared" ref="D35" si="37">B35&amp;"_"&amp;C35</f>
        <v>20009_3</v>
      </c>
      <c r="E35" s="4" t="str">
        <f ca="1">VLOOKUP($B35,OFFSET([2]quests!$A$1,0,0,COUNTA([2]quests!$A:$A),MATCH(E$1,[2]quests!$1:$1,0)-MATCH($B$1,[2]quests!$1:$1,0)+1),MATCH(E$1,[2]quests!$1:$1,0)-MATCH($B$1,[2]quests!$1:$1,0)+1,FALSE)</f>
        <v>迫り来る窒息</v>
      </c>
      <c r="F35" s="4" t="str">
        <f ca="1">VLOOKUP($D35,OFFSET([2]stages!$A$1,0,0,COUNTA([2]stages!$A:$A),MATCH(F$1,[2]stages!$2:$2,0)-MATCH($D$1,[2]stages!$2:$2,0)+1),MATCH(F$1,[2]stages!$2:$2,0)-MATCH($D$1,[2]stages!$2:$2,0)+1,FALSE)</f>
        <v>【上級】迫り来る窒息</v>
      </c>
      <c r="G35" s="47">
        <v>1</v>
      </c>
      <c r="H35" s="16" t="str">
        <f t="shared" ref="H35" si="38">B35&amp;"_"&amp;C35&amp;"-"&amp;G35</f>
        <v>20009_3-1</v>
      </c>
      <c r="I35" s="37">
        <v>123</v>
      </c>
      <c r="J35" s="20" t="str">
        <f ca="1">VLOOKUP($I35,OFFSET([3]enemies!$A$1,0,0,COUNTA([3]enemies!$A:$A),MATCH(J$1,[3]enemies!$1:$1,0)-MATCH($I$1,[3]enemies!$1:$1,0)+1),MATCH(J$1,[3]enemies!$1:$1,0)-MATCH($I$1,[3]enemies!$1:$1,0)+1,FALSE)</f>
        <v>癒しの果実</v>
      </c>
      <c r="K35" s="20" t="str">
        <f ca="1">VLOOKUP($I35,OFFSET([3]enemies!$A$1,0,0,COUNTA([3]enemies!$A:$A),MATCH(K$1,[3]enemies!$1:$1,0)-MATCH($I$1,[3]enemies!$1:$1,0)+1),MATCH(K$1,[3]enemies!$1:$1,0)-MATCH($I$1,[3]enemies!$1:$1,0)+1,FALSE)</f>
        <v>blue</v>
      </c>
      <c r="L35" s="21" t="str">
        <f>VLOOKUP(I35,[4]characters!$A:$J,10,FALSE)</f>
        <v>Material</v>
      </c>
      <c r="M35" s="20" t="str">
        <f ca="1">VLOOKUP($I35,OFFSET([3]enemies!$A$1,0,0,COUNTA([3]enemies!$A:$A),MATCH(M$1,[3]enemies!$1:$1,0)-MATCH($I$1,[3]enemies!$1:$1,0)+1),MATCH(M$1,[3]enemies!$1:$1,0)-MATCH($I$1,[3]enemies!$1:$1,0)+1,FALSE)</f>
        <v>unknown</v>
      </c>
      <c r="N35" s="20">
        <f ca="1">VLOOKUP($I35,OFFSET([3]enemies!$A$1,0,0,COUNTA([3]enemies!$A:$A),MATCH(N$1,[3]enemies!$1:$1,0)-MATCH($I$1,[3]enemies!$1:$1,0)+1),MATCH(N$1,[3]enemies!$1:$1,0)-MATCH($I$1,[3]enemies!$1:$1,0)+1,FALSE)</f>
        <v>20</v>
      </c>
      <c r="O35" s="43">
        <v>10</v>
      </c>
      <c r="P35" s="44">
        <v>0.3</v>
      </c>
      <c r="Q35" s="44">
        <v>1</v>
      </c>
      <c r="R35" s="142">
        <v>0</v>
      </c>
      <c r="S35" s="150"/>
      <c r="T35" s="20">
        <f ca="1">VLOOKUP($I35,OFFSET([3]enemies!$A$1,0,0,COUNTA([3]enemies!$A:$A),MATCH(T$1,[3]enemies!$1:$1,0)-MATCH($I$1,[3]enemies!$1:$1,0)+1),MATCH(T$1,[3]enemies!$1:$1,0)-MATCH($I$1,[3]enemies!$1:$1,0)+1,FALSE)</f>
        <v>0</v>
      </c>
      <c r="U35" s="4" t="str">
        <f ca="1">VLOOKUP(T35,[5]enemy_skill_sets!$B:$E,4,FALSE)</f>
        <v>なし</v>
      </c>
      <c r="V35" s="6">
        <v>0</v>
      </c>
      <c r="W35" s="6">
        <v>100</v>
      </c>
      <c r="X35" s="6">
        <v>0</v>
      </c>
      <c r="Y35" s="20">
        <f ca="1">VLOOKUP($I35,OFFSET([3]enemies!$A$1,0,0,COUNTA([3]enemies!$A:$A),MATCH(Y$1,[3]enemies!$1:$1,0)-MATCH($I$1,[3]enemies!$1:$1,0)+1),MATCH(Y$1,[3]enemies!$1:$1,0)-MATCH($I$1,[3]enemies!$1:$1,0)+1,FALSE)</f>
        <v>2</v>
      </c>
      <c r="Z35" s="37">
        <v>123</v>
      </c>
      <c r="AA35" s="4" t="str">
        <f ca="1">IFERROR(VLOOKUP($Z35,OFFSET([4]characters!$A$1,0,0,COUNTA([4]characters!$A:$A),MATCH(AA$1,[4]characters!$1:$1,0)-MATCH("character_id",[4]characters!$1:$1,0)+1),MATCH(AA$1,[4]characters!$1:$1,0)-MATCH("character_id",[4]characters!$1:$1,0)+1,FALSE),"")</f>
        <v>癒しの果実</v>
      </c>
      <c r="AB35" s="4">
        <f ca="1">IFERROR(VLOOKUP($Z35,OFFSET([4]characters!$A$1,0,0,COUNTA([4]characters!$A:$A),MATCH(AB$1,[4]characters!$1:$1,0)-MATCH("character_id",[4]characters!$1:$1,0)+1),MATCH(AB$1,[4]characters!$1:$1,0)-MATCH("character_id",[4]characters!$1:$1,0)+1,FALSE),"")</f>
        <v>3</v>
      </c>
      <c r="AC35" s="4" t="str">
        <f ca="1">IFERROR(VLOOKUP($Z35,OFFSET([4]characters!$A$1,0,0,COUNTA([4]characters!$A:$A),MATCH(AC$1,[4]characters!$1:$1,0)-MATCH("character_id",[4]characters!$1:$1,0)+1),MATCH(AC$1,[4]characters!$1:$1,0)-MATCH("character_id",[4]characters!$1:$1,0)+1,FALSE),"")</f>
        <v>Material</v>
      </c>
      <c r="AD35" s="38">
        <v>1</v>
      </c>
      <c r="AE35" s="39">
        <f t="shared" ref="AE35" ca="1" si="39">AB35</f>
        <v>3</v>
      </c>
      <c r="AF35" s="46">
        <v>40</v>
      </c>
      <c r="AG35" s="38">
        <v>0</v>
      </c>
      <c r="AH35" s="38">
        <v>0</v>
      </c>
      <c r="AI35" s="38">
        <v>0</v>
      </c>
      <c r="AJ35" s="38">
        <v>0</v>
      </c>
      <c r="AK35" s="38">
        <v>1</v>
      </c>
      <c r="AL35" s="98"/>
    </row>
    <row r="36" spans="1:38" s="78" customFormat="1" ht="21" customHeight="1" x14ac:dyDescent="0.15">
      <c r="A36" s="73" t="str">
        <f t="shared" ca="1" si="0"/>
        <v>20009_3-2/202&lt;lv35&gt;s3</v>
      </c>
      <c r="B36" s="74">
        <v>20009</v>
      </c>
      <c r="C36" s="36">
        <v>3</v>
      </c>
      <c r="D36" s="16" t="str">
        <f t="shared" si="25"/>
        <v>20009_3</v>
      </c>
      <c r="E36" s="75" t="str">
        <f ca="1">VLOOKUP($B36,OFFSET([2]quests!$A$1,0,0,COUNTA([2]quests!$A:$A),MATCH(E$1,[2]quests!$1:$1,0)-MATCH($B$1,[2]quests!$1:$1,0)+1),MATCH(E$1,[2]quests!$1:$1,0)-MATCH($B$1,[2]quests!$1:$1,0)+1,FALSE)</f>
        <v>迫り来る窒息</v>
      </c>
      <c r="F36" s="75" t="str">
        <f ca="1">VLOOKUP($D36,OFFSET([2]stages!$A$1,0,0,COUNTA([2]stages!$A:$A),MATCH(F$1,[2]stages!$2:$2,0)-MATCH($D$1,[2]stages!$2:$2,0)+1),MATCH(F$1,[2]stages!$2:$2,0)-MATCH($D$1,[2]stages!$2:$2,0)+1,FALSE)</f>
        <v>【上級】迫り来る窒息</v>
      </c>
      <c r="G36" s="41">
        <v>2</v>
      </c>
      <c r="H36" s="16" t="str">
        <f t="shared" si="26"/>
        <v>20009_3-2</v>
      </c>
      <c r="I36" s="40">
        <v>202</v>
      </c>
      <c r="J36" s="20" t="str">
        <f ca="1">VLOOKUP($I36,OFFSET([3]enemies!$A$1,0,0,COUNTA([3]enemies!$A:$A),MATCH(J$1,[3]enemies!$1:$1,0)-MATCH($I$1,[3]enemies!$1:$1,0)+1),MATCH(J$1,[3]enemies!$1:$1,0)-MATCH($I$1,[3]enemies!$1:$1,0)+1,FALSE)</f>
        <v>プロメテウス</v>
      </c>
      <c r="K36" s="20" t="str">
        <f ca="1">VLOOKUP($I36,OFFSET([3]enemies!$A$1,0,0,COUNTA([3]enemies!$A:$A),MATCH(K$1,[3]enemies!$1:$1,0)-MATCH($I$1,[3]enemies!$1:$1,0)+1),MATCH(K$1,[3]enemies!$1:$1,0)-MATCH($I$1,[3]enemies!$1:$1,0)+1,FALSE)</f>
        <v>red</v>
      </c>
      <c r="L36" s="21" t="str">
        <f>VLOOKUP(I36,[4]characters!$A:$J,10,FALSE)</f>
        <v>PremiumN</v>
      </c>
      <c r="M36" s="20" t="str">
        <f ca="1">VLOOKUP($I36,OFFSET([3]enemies!$A$1,0,0,COUNTA([3]enemies!$A:$A),MATCH(M$1,[3]enemies!$1:$1,0)-MATCH($I$1,[3]enemies!$1:$1,0)+1),MATCH(M$1,[3]enemies!$1:$1,0)-MATCH($I$1,[3]enemies!$1:$1,0)+1,FALSE)</f>
        <v>god</v>
      </c>
      <c r="N36" s="20">
        <f ca="1">VLOOKUP($I36,OFFSET([3]enemies!$A$1,0,0,COUNTA([3]enemies!$A:$A),MATCH(N$1,[3]enemies!$1:$1,0)-MATCH($I$1,[3]enemies!$1:$1,0)+1),MATCH(N$1,[3]enemies!$1:$1,0)-MATCH($I$1,[3]enemies!$1:$1,0)+1,FALSE)</f>
        <v>20</v>
      </c>
      <c r="O36" s="5">
        <v>35</v>
      </c>
      <c r="P36" s="25">
        <v>2.2000000000000002</v>
      </c>
      <c r="Q36" s="25">
        <v>1.1000000000000001</v>
      </c>
      <c r="R36" s="142">
        <v>0</v>
      </c>
      <c r="S36" s="150"/>
      <c r="T36" s="147">
        <v>20201</v>
      </c>
      <c r="U36" s="81" t="str">
        <f ca="1">IFERROR(VLOOKUP($T36,OFFSET([5]enemy_skill_sets!$B$1,0,0,COUNTA([5]enemy_skill_sets!$B:$B),MATCH(J$1,[5]enemy_skill_sets!$1:$1,0)-MATCH($T$1,[5]enemy_skill_sets!$1:$1,0)+2),MATCH(J$1,[5]enemy_skill_sets!$1:$1,0)-MATCH($T$1,[5]enemy_skill_sets!$1:$1,0)+2,FALSE),VLOOKUP(VLOOKUP(T36,enemy_skill_sets!B:C,2,FALSE),enemy_skills!A:E,5,FALSE))</f>
        <v>4ターン攻撃頻度が1ターンにUP</v>
      </c>
      <c r="V36" s="76">
        <v>1</v>
      </c>
      <c r="W36" s="76">
        <v>100</v>
      </c>
      <c r="X36" s="76">
        <v>1</v>
      </c>
      <c r="Y36" s="20">
        <f ca="1">VLOOKUP($I36,OFFSET([3]enemies!$A$1,0,0,COUNTA([3]enemies!$A:$A),MATCH(Y$1,[3]enemies!$1:$1,0)-MATCH($I$1,[3]enemies!$1:$1,0)+1),MATCH(Y$1,[3]enemies!$1:$1,0)-MATCH($I$1,[3]enemies!$1:$1,0)+1,FALSE)</f>
        <v>3</v>
      </c>
      <c r="Z36" s="40">
        <v>202</v>
      </c>
      <c r="AA36" s="4" t="str">
        <f ca="1">IFERROR(VLOOKUP($Z36,OFFSET([4]characters!$A$1,0,0,COUNTA([4]characters!$A:$A),MATCH(AA$1,[4]characters!$1:$1,0)-MATCH("character_id",[4]characters!$1:$1,0)+1),MATCH(AA$1,[4]characters!$1:$1,0)-MATCH("character_id",[4]characters!$1:$1,0)+1,FALSE),"")</f>
        <v>プロメテウス</v>
      </c>
      <c r="AB36" s="4">
        <f ca="1">IFERROR(VLOOKUP($Z36,OFFSET([4]characters!$A$1,0,0,COUNTA([4]characters!$A:$A),MATCH(AB$1,[4]characters!$1:$1,0)-MATCH("character_id",[4]characters!$1:$1,0)+1),MATCH(AB$1,[4]characters!$1:$1,0)-MATCH("character_id",[4]characters!$1:$1,0)+1,FALSE),"")</f>
        <v>3</v>
      </c>
      <c r="AC36" s="4" t="str">
        <f ca="1">IFERROR(VLOOKUP($Z36,OFFSET([4]characters!$A$1,0,0,COUNTA([4]characters!$A:$A),MATCH(AC$1,[4]characters!$1:$1,0)-MATCH("character_id",[4]characters!$1:$1,0)+1),MATCH(AC$1,[4]characters!$1:$1,0)-MATCH("character_id",[4]characters!$1:$1,0)+1,FALSE),"")</f>
        <v>PremiumN</v>
      </c>
      <c r="AD36" s="38">
        <v>1</v>
      </c>
      <c r="AE36" s="39">
        <f t="shared" ca="1" si="27"/>
        <v>3</v>
      </c>
      <c r="AF36" s="77">
        <v>0</v>
      </c>
      <c r="AG36" s="38">
        <v>0</v>
      </c>
      <c r="AH36" s="38">
        <v>0</v>
      </c>
      <c r="AI36" s="38">
        <v>0</v>
      </c>
      <c r="AJ36" s="38">
        <v>0</v>
      </c>
      <c r="AK36" s="38">
        <v>1</v>
      </c>
      <c r="AL36" s="98"/>
    </row>
    <row r="37" spans="1:38" ht="21" customHeight="1" x14ac:dyDescent="0.15">
      <c r="A37" s="17" t="str">
        <f t="shared" ca="1" si="0"/>
        <v>20009_3-3/303&lt;lv50&gt;s2</v>
      </c>
      <c r="B37" s="23">
        <v>20009</v>
      </c>
      <c r="C37" s="42">
        <v>3</v>
      </c>
      <c r="D37" s="16" t="str">
        <f t="shared" ref="D37" si="40">B37&amp;"_"&amp;C37</f>
        <v>20009_3</v>
      </c>
      <c r="E37" s="4" t="str">
        <f ca="1">VLOOKUP($B37,OFFSET([2]quests!$A$1,0,0,COUNTA([2]quests!$A:$A),MATCH(E$1,[2]quests!$1:$1,0)-MATCH($B$1,[2]quests!$1:$1,0)+1),MATCH(E$1,[2]quests!$1:$1,0)-MATCH($B$1,[2]quests!$1:$1,0)+1,FALSE)</f>
        <v>迫り来る窒息</v>
      </c>
      <c r="F37" s="4" t="str">
        <f ca="1">VLOOKUP($D37,OFFSET([2]stages!$A$1,0,0,COUNTA([2]stages!$A:$A),MATCH(F$1,[2]stages!$2:$2,0)-MATCH($D$1,[2]stages!$2:$2,0)+1),MATCH(F$1,[2]stages!$2:$2,0)-MATCH($D$1,[2]stages!$2:$2,0)+1,FALSE)</f>
        <v>【上級】迫り来る窒息</v>
      </c>
      <c r="G37" s="48">
        <v>3</v>
      </c>
      <c r="H37" s="16" t="str">
        <f t="shared" ref="H37" si="41">B37&amp;"_"&amp;C37&amp;"-"&amp;G37</f>
        <v>20009_3-3</v>
      </c>
      <c r="I37" s="40">
        <v>303</v>
      </c>
      <c r="J37" s="20" t="str">
        <f ca="1">VLOOKUP($I37,OFFSET([3]enemies!$A$1,0,0,COUNTA([3]enemies!$A:$A),MATCH(J$1,[3]enemies!$1:$1,0)-MATCH($I$1,[3]enemies!$1:$1,0)+1),MATCH(J$1,[3]enemies!$1:$1,0)-MATCH($I$1,[3]enemies!$1:$1,0)+1,FALSE)</f>
        <v>哄笑の禁縛 リサ</v>
      </c>
      <c r="K37" s="20" t="str">
        <f ca="1">VLOOKUP($I37,OFFSET([3]enemies!$A$1,0,0,COUNTA([3]enemies!$A:$A),MATCH(K$1,[3]enemies!$1:$1,0)-MATCH($I$1,[3]enemies!$1:$1,0)+1),MATCH(K$1,[3]enemies!$1:$1,0)-MATCH($I$1,[3]enemies!$1:$1,0)+1,FALSE)</f>
        <v>blue</v>
      </c>
      <c r="L37" s="21" t="str">
        <f>VLOOKUP(I37,[4]characters!$A:$J,10,FALSE)</f>
        <v>Drop2W</v>
      </c>
      <c r="M37" s="20" t="str">
        <f ca="1">VLOOKUP($I37,OFFSET([3]enemies!$A$1,0,0,COUNTA([3]enemies!$A:$A),MATCH(M$1,[3]enemies!$1:$1,0)-MATCH($I$1,[3]enemies!$1:$1,0)+1),MATCH(M$1,[3]enemies!$1:$1,0)-MATCH($I$1,[3]enemies!$1:$1,0)+1,FALSE)</f>
        <v>human</v>
      </c>
      <c r="N37" s="20">
        <f ca="1">VLOOKUP($I37,OFFSET([3]enemies!$A$1,0,0,COUNTA([3]enemies!$A:$A),MATCH(N$1,[3]enemies!$1:$1,0)-MATCH($I$1,[3]enemies!$1:$1,0)+1),MATCH(N$1,[3]enemies!$1:$1,0)-MATCH($I$1,[3]enemies!$1:$1,0)+1,FALSE)</f>
        <v>30</v>
      </c>
      <c r="O37" s="43">
        <v>50</v>
      </c>
      <c r="P37" s="44">
        <v>4.2</v>
      </c>
      <c r="Q37" s="44">
        <v>1.5</v>
      </c>
      <c r="R37" s="142">
        <v>0</v>
      </c>
      <c r="S37" s="150"/>
      <c r="T37" s="148">
        <v>30301</v>
      </c>
      <c r="U37" s="81" t="str">
        <f ca="1">IFERROR(VLOOKUP($T37,OFFSET([5]enemy_skill_sets!$B$1,0,0,COUNTA([5]enemy_skill_sets!$B:$B),MATCH(J$1,[5]enemy_skill_sets!$1:$1,0)-MATCH($T$1,[5]enemy_skill_sets!$1:$1,0)+2),MATCH(J$1,[5]enemy_skill_sets!$1:$1,0)-MATCH($T$1,[5]enemy_skill_sets!$1:$1,0)+2,FALSE),VLOOKUP(VLOOKUP(T37,enemy_skill_sets!B:C,2,FALSE),enemy_skills!A:E,5,FALSE))</f>
        <v>3ターンスキルが使えない！＋全体攻撃</v>
      </c>
      <c r="V37" s="6">
        <v>1</v>
      </c>
      <c r="W37" s="6">
        <v>100</v>
      </c>
      <c r="X37" s="6">
        <v>1</v>
      </c>
      <c r="Y37" s="20">
        <f ca="1">VLOOKUP($I37,OFFSET([3]enemies!$A$1,0,0,COUNTA([3]enemies!$A:$A),MATCH(Y$1,[3]enemies!$1:$1,0)-MATCH($I$1,[3]enemies!$1:$1,0)+1),MATCH(Y$1,[3]enemies!$1:$1,0)-MATCH($I$1,[3]enemies!$1:$1,0)+1,FALSE)</f>
        <v>2</v>
      </c>
      <c r="Z37" s="40">
        <v>302</v>
      </c>
      <c r="AA37" s="4" t="str">
        <f ca="1">IFERROR(VLOOKUP($Z37,OFFSET([4]characters!$A$1,0,0,COUNTA([4]characters!$A:$A),MATCH(AA$1,[4]characters!$1:$1,0)-MATCH("character_id",[4]characters!$1:$1,0)+1),MATCH(AA$1,[4]characters!$1:$1,0)-MATCH("character_id",[4]characters!$1:$1,0)+1,FALSE),"")</f>
        <v>絞殺のリサ</v>
      </c>
      <c r="AB37" s="4">
        <f ca="1">IFERROR(VLOOKUP($Z37,OFFSET([4]characters!$A$1,0,0,COUNTA([4]characters!$A:$A),MATCH(AB$1,[4]characters!$1:$1,0)-MATCH("character_id",[4]characters!$1:$1,0)+1),MATCH(AB$1,[4]characters!$1:$1,0)-MATCH("character_id",[4]characters!$1:$1,0)+1,FALSE),"")</f>
        <v>3</v>
      </c>
      <c r="AC37" s="4" t="str">
        <f ca="1">IFERROR(VLOOKUP($Z37,OFFSET([4]characters!$A$1,0,0,COUNTA([4]characters!$A:$A),MATCH(AC$1,[4]characters!$1:$1,0)-MATCH("character_id",[4]characters!$1:$1,0)+1),MATCH(AC$1,[4]characters!$1:$1,0)-MATCH("character_id",[4]characters!$1:$1,0)+1,FALSE),"")</f>
        <v>Drop2W</v>
      </c>
      <c r="AD37" s="45">
        <v>1</v>
      </c>
      <c r="AE37" s="39">
        <f t="shared" ref="AE37" ca="1" si="42">AB37</f>
        <v>3</v>
      </c>
      <c r="AF37" s="153">
        <v>100</v>
      </c>
      <c r="AG37" s="38">
        <v>0</v>
      </c>
      <c r="AH37" s="38">
        <v>0</v>
      </c>
      <c r="AI37" s="38">
        <v>0</v>
      </c>
      <c r="AJ37" s="38">
        <v>0</v>
      </c>
      <c r="AK37" s="38">
        <v>1</v>
      </c>
      <c r="AL37" s="98"/>
    </row>
    <row r="38" spans="1:38" s="88" customFormat="1" ht="21" customHeight="1" thickBot="1" x14ac:dyDescent="0.2">
      <c r="A38" s="79" t="str">
        <f t="shared" ca="1" si="0"/>
        <v>20009_3-3/61&lt;lv35&gt;s2</v>
      </c>
      <c r="B38" s="80">
        <v>20009</v>
      </c>
      <c r="C38" s="36">
        <v>3</v>
      </c>
      <c r="D38" s="16" t="str">
        <f>B38&amp;"_"&amp;C38</f>
        <v>20009_3</v>
      </c>
      <c r="E38" s="81" t="str">
        <f ca="1">VLOOKUP($B38,OFFSET([2]quests!$A$1,0,0,COUNTA([2]quests!$A:$A),MATCH(E$1,[2]quests!$1:$1,0)-MATCH($B$1,[2]quests!$1:$1,0)+1),MATCH(E$1,[2]quests!$1:$1,0)-MATCH($B$1,[2]quests!$1:$1,0)+1,FALSE)</f>
        <v>迫り来る窒息</v>
      </c>
      <c r="F38" s="81" t="str">
        <f ca="1">VLOOKUP($D38,OFFSET([2]stages!$A$1,0,0,COUNTA([2]stages!$A:$A),MATCH(F$1,[2]stages!$2:$2,0)-MATCH($D$1,[2]stages!$2:$2,0)+1),MATCH(F$1,[2]stages!$2:$2,0)-MATCH($D$1,[2]stages!$2:$2,0)+1,FALSE)</f>
        <v>【上級】迫り来る窒息</v>
      </c>
      <c r="G38" s="36">
        <v>3</v>
      </c>
      <c r="H38" s="16" t="str">
        <f>B38&amp;"_"&amp;C38&amp;"-"&amp;G38</f>
        <v>20009_3-3</v>
      </c>
      <c r="I38" s="50">
        <v>61</v>
      </c>
      <c r="J38" s="20" t="str">
        <f ca="1">VLOOKUP($I38,OFFSET([3]enemies!$A$1,0,0,COUNTA([3]enemies!$A:$A),MATCH(J$1,[3]enemies!$1:$1,0)-MATCH($I$1,[3]enemies!$1:$1,0)+1),MATCH(J$1,[3]enemies!$1:$1,0)-MATCH($I$1,[3]enemies!$1:$1,0)+1,FALSE)</f>
        <v>クロウ</v>
      </c>
      <c r="K38" s="20" t="str">
        <f ca="1">VLOOKUP($I38,OFFSET([3]enemies!$A$1,0,0,COUNTA([3]enemies!$A:$A),MATCH(K$1,[3]enemies!$1:$1,0)-MATCH($I$1,[3]enemies!$1:$1,0)+1),MATCH(K$1,[3]enemies!$1:$1,0)-MATCH($I$1,[3]enemies!$1:$1,0)+1,FALSE)</f>
        <v>blue</v>
      </c>
      <c r="L38" s="21" t="str">
        <f>VLOOKUP(I38,[4]characters!$A:$J,10,FALSE)</f>
        <v>Drop1N</v>
      </c>
      <c r="M38" s="20" t="str">
        <f ca="1">VLOOKUP($I38,OFFSET([3]enemies!$A$1,0,0,COUNTA([3]enemies!$A:$A),MATCH(M$1,[3]enemies!$1:$1,0)-MATCH($I$1,[3]enemies!$1:$1,0)+1),MATCH(M$1,[3]enemies!$1:$1,0)-MATCH($I$1,[3]enemies!$1:$1,0)+1,FALSE)</f>
        <v>animal</v>
      </c>
      <c r="N38" s="20">
        <f ca="1">VLOOKUP($I38,OFFSET([3]enemies!$A$1,0,0,COUNTA([3]enemies!$A:$A),MATCH(N$1,[3]enemies!$1:$1,0)-MATCH($I$1,[3]enemies!$1:$1,0)+1),MATCH(N$1,[3]enemies!$1:$1,0)-MATCH($I$1,[3]enemies!$1:$1,0)+1,FALSE)</f>
        <v>15</v>
      </c>
      <c r="O38" s="5">
        <v>35</v>
      </c>
      <c r="P38" s="25">
        <v>2.6</v>
      </c>
      <c r="Q38" s="25">
        <v>1</v>
      </c>
      <c r="R38" s="142">
        <v>0</v>
      </c>
      <c r="S38" s="150"/>
      <c r="T38" s="20">
        <f ca="1">VLOOKUP($I38,OFFSET([3]enemies!$A$1,0,0,COUNTA([3]enemies!$A:$A),MATCH(T$1,[3]enemies!$1:$1,0)-MATCH($I$1,[3]enemies!$1:$1,0)+1),MATCH(T$1,[3]enemies!$1:$1,0)-MATCH($I$1,[3]enemies!$1:$1,0)+1,FALSE)</f>
        <v>61</v>
      </c>
      <c r="U38" s="4" t="str">
        <f ca="1">VLOOKUP(T38,[5]enemy_skill_sets!$B:$E,4,FALSE)</f>
        <v>回復</v>
      </c>
      <c r="V38" s="82">
        <v>2</v>
      </c>
      <c r="W38" s="82">
        <v>100</v>
      </c>
      <c r="X38" s="82">
        <v>0</v>
      </c>
      <c r="Y38" s="20">
        <f ca="1">VLOOKUP($I38,OFFSET([3]enemies!$A$1,0,0,COUNTA([3]enemies!$A:$A),MATCH(Y$1,[3]enemies!$1:$1,0)-MATCH($I$1,[3]enemies!$1:$1,0)+1),MATCH(Y$1,[3]enemies!$1:$1,0)-MATCH($I$1,[3]enemies!$1:$1,0)+1,FALSE)</f>
        <v>2</v>
      </c>
      <c r="Z38" s="40">
        <v>61</v>
      </c>
      <c r="AA38" s="4" t="str">
        <f ca="1">IFERROR(VLOOKUP($Z38,OFFSET([4]characters!$A$1,0,0,COUNTA([4]characters!$A:$A),MATCH(AA$1,[4]characters!$1:$1,0)-MATCH("character_id",[4]characters!$1:$1,0)+1),MATCH(AA$1,[4]characters!$1:$1,0)-MATCH("character_id",[4]characters!$1:$1,0)+1,FALSE),"")</f>
        <v>クロウ</v>
      </c>
      <c r="AB38" s="4">
        <f ca="1">IFERROR(VLOOKUP($Z38,OFFSET([4]characters!$A$1,0,0,COUNTA([4]characters!$A:$A),MATCH(AB$1,[4]characters!$1:$1,0)-MATCH("character_id",[4]characters!$1:$1,0)+1),MATCH(AB$1,[4]characters!$1:$1,0)-MATCH("character_id",[4]characters!$1:$1,0)+1,FALSE),"")</f>
        <v>2</v>
      </c>
      <c r="AC38" s="4" t="str">
        <f ca="1">IFERROR(VLOOKUP($Z38,OFFSET([4]characters!$A$1,0,0,COUNTA([4]characters!$A:$A),MATCH(AC$1,[4]characters!$1:$1,0)-MATCH("character_id",[4]characters!$1:$1,0)+1),MATCH(AC$1,[4]characters!$1:$1,0)-MATCH("character_id",[4]characters!$1:$1,0)+1,FALSE),"")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38" s="38">
        <v>1</v>
      </c>
      <c r="AE38" s="39">
        <f ca="1">AB38</f>
        <v>2</v>
      </c>
      <c r="AF38" s="77">
        <v>0</v>
      </c>
      <c r="AG38" s="38">
        <v>0</v>
      </c>
      <c r="AH38" s="38">
        <v>0</v>
      </c>
      <c r="AI38" s="38">
        <v>0</v>
      </c>
      <c r="AJ38" s="38">
        <v>0</v>
      </c>
      <c r="AK38" s="38">
        <v>1</v>
      </c>
      <c r="AL38" s="98"/>
    </row>
    <row r="39" spans="1:38" ht="21" customHeight="1" x14ac:dyDescent="0.15">
      <c r="A39" s="92"/>
      <c r="B39" s="93"/>
      <c r="C39" s="93"/>
      <c r="D39" s="94"/>
      <c r="E39" s="93"/>
      <c r="F39" s="93"/>
      <c r="G39" s="93"/>
      <c r="H39" s="93"/>
      <c r="I39" s="95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8"/>
      <c r="V39" s="93"/>
      <c r="W39" s="93"/>
      <c r="X39" s="93"/>
      <c r="Y39" s="93"/>
      <c r="Z39" s="93"/>
      <c r="AA39" s="96"/>
      <c r="AB39" s="94"/>
      <c r="AC39" s="94"/>
      <c r="AD39" s="97"/>
      <c r="AE39" s="93"/>
      <c r="AF39" s="93"/>
      <c r="AG39" s="93"/>
      <c r="AH39" s="93"/>
      <c r="AI39" s="93"/>
      <c r="AJ39" s="93"/>
      <c r="AK39" s="93"/>
      <c r="AL39" s="98"/>
    </row>
  </sheetData>
  <sheetProtection selectLockedCells="1" selectUnlockedCells="1"/>
  <autoFilter ref="B1:AF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3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13" sqref="E13"/>
    </sheetView>
  </sheetViews>
  <sheetFormatPr baseColWidth="12" defaultColWidth="12.83203125" defaultRowHeight="21" customHeight="1" outlineLevelCol="1" x14ac:dyDescent="0.15"/>
  <cols>
    <col min="1" max="1" width="11.33203125" style="131" bestFit="1" customWidth="1"/>
    <col min="2" max="2" width="8.6640625" style="119" bestFit="1" customWidth="1"/>
    <col min="3" max="3" width="7.83203125" style="119" customWidth="1"/>
    <col min="4" max="4" width="18.5" style="119" customWidth="1" outlineLevel="1"/>
    <col min="5" max="5" width="44.1640625" style="119" bestFit="1" customWidth="1" outlineLevel="1"/>
    <col min="6" max="6" width="10.83203125" style="119" bestFit="1" customWidth="1"/>
    <col min="7" max="7" width="8.33203125" style="119" bestFit="1" customWidth="1" outlineLevel="1"/>
    <col min="8" max="9" width="12.83203125" style="119" outlineLevel="1"/>
    <col min="10" max="10" width="17.6640625" style="119" bestFit="1" customWidth="1" outlineLevel="1"/>
    <col min="11" max="15" width="12.83203125" style="119" outlineLevel="1"/>
    <col min="16" max="16" width="8.33203125" style="129" bestFit="1" customWidth="1"/>
    <col min="17" max="17" width="9.6640625" style="129" customWidth="1"/>
    <col min="18" max="18" width="56.5" style="129" bestFit="1" customWidth="1"/>
    <col min="19" max="16384" width="12.83203125" style="129"/>
  </cols>
  <sheetData>
    <row r="1" spans="1:18" ht="21" customHeight="1" x14ac:dyDescent="0.15">
      <c r="A1" s="131" t="s">
        <v>83</v>
      </c>
      <c r="B1" s="116" t="s">
        <v>84</v>
      </c>
      <c r="C1" s="116" t="s">
        <v>85</v>
      </c>
      <c r="D1" s="118" t="s">
        <v>86</v>
      </c>
      <c r="E1" s="118" t="s">
        <v>87</v>
      </c>
      <c r="F1" s="126" t="s">
        <v>70</v>
      </c>
      <c r="G1" s="151" t="s">
        <v>71</v>
      </c>
      <c r="H1" s="151" t="s">
        <v>72</v>
      </c>
      <c r="I1" s="151" t="s">
        <v>73</v>
      </c>
      <c r="J1" s="151" t="s">
        <v>74</v>
      </c>
      <c r="K1" s="152" t="s">
        <v>75</v>
      </c>
      <c r="L1" s="152" t="s">
        <v>76</v>
      </c>
      <c r="M1" s="151" t="s">
        <v>77</v>
      </c>
      <c r="N1" s="151" t="s">
        <v>78</v>
      </c>
      <c r="O1" s="151" t="s">
        <v>79</v>
      </c>
      <c r="P1" s="118" t="s">
        <v>60</v>
      </c>
      <c r="Q1" s="118" t="s">
        <v>61</v>
      </c>
      <c r="R1" s="118" t="s">
        <v>62</v>
      </c>
    </row>
    <row r="2" spans="1:18" ht="21" customHeight="1" x14ac:dyDescent="0.15">
      <c r="A2" s="131" t="str">
        <f t="shared" ref="A2:A8" si="0">B2&amp;"_"&amp;C2</f>
        <v>30201_300010</v>
      </c>
      <c r="B2" s="133">
        <v>30201</v>
      </c>
      <c r="C2" s="133">
        <v>300010</v>
      </c>
      <c r="D2" s="132" t="str">
        <f>VLOOKUP(C2,enemy_skills!A:E,4,FALSE)</f>
        <v>恍惚の表情を浮かべている</v>
      </c>
      <c r="E2" s="132" t="str">
        <f>VLOOKUP(C2,enemy_skills!A:E,5,FALSE)</f>
        <v>回復</v>
      </c>
      <c r="F2" s="121">
        <v>20009001</v>
      </c>
      <c r="G2" s="130">
        <f>VLOOKUP($F2,enemy_skill_triggers!$A:$J,2,FALSE)</f>
        <v>0</v>
      </c>
      <c r="H2" s="130" t="str">
        <f>VLOOKUP($F2,enemy_skill_triggers!$A:$J,3,FALSE)</f>
        <v>null</v>
      </c>
      <c r="I2" s="130">
        <f>VLOOKUP($F2,enemy_skill_triggers!$A:$J,4,FALSE)</f>
        <v>100</v>
      </c>
      <c r="J2" s="130">
        <f>VLOOKUP($F2,enemy_skill_triggers!$A:$J,5,FALSE)</f>
        <v>35</v>
      </c>
      <c r="K2" s="130" t="str">
        <f>VLOOKUP($F2,enemy_skill_triggers!$A:$J,6,FALSE)</f>
        <v>null</v>
      </c>
      <c r="L2" s="130">
        <f>VLOOKUP($F2,enemy_skill_triggers!$A:$J,7,FALSE)</f>
        <v>1</v>
      </c>
      <c r="M2" s="130" t="str">
        <f>VLOOKUP($F2,enemy_skill_triggers!$A:$J,8,FALSE)</f>
        <v>null</v>
      </c>
      <c r="N2" s="130" t="str">
        <f>VLOOKUP($F2,enemy_skill_triggers!$A:$J,9,FALSE)</f>
        <v>null</v>
      </c>
      <c r="O2" s="130">
        <f>VLOOKUP($F2,enemy_skill_triggers!$A:$J,10,FALSE)</f>
        <v>100</v>
      </c>
      <c r="P2" s="121" t="s">
        <v>63</v>
      </c>
      <c r="Q2" s="121"/>
      <c r="R2" s="121" t="s">
        <v>92</v>
      </c>
    </row>
    <row r="3" spans="1:18" ht="21" customHeight="1" x14ac:dyDescent="0.15">
      <c r="A3" s="131" t="str">
        <f t="shared" si="0"/>
        <v>30201_330011</v>
      </c>
      <c r="B3" s="133">
        <v>30201</v>
      </c>
      <c r="C3" s="133">
        <v>330011</v>
      </c>
      <c r="D3" s="132" t="str">
        <f>VLOOKUP(C3,enemy_skills!A:E,4,FALSE)</f>
        <v>ダメ…来ないで！</v>
      </c>
      <c r="E3" s="132" t="str">
        <f>VLOOKUP(C3,enemy_skills!A:E,5,FALSE)</f>
        <v>3ターンスキルが使えない！＋攻撃</v>
      </c>
      <c r="F3" s="121">
        <v>20009002</v>
      </c>
      <c r="G3" s="130">
        <f>VLOOKUP($F3,enemy_skill_triggers!$A:$J,2,FALSE)</f>
        <v>0</v>
      </c>
      <c r="H3" s="130" t="str">
        <f>VLOOKUP($F3,enemy_skill_triggers!$A:$J,3,FALSE)</f>
        <v>null</v>
      </c>
      <c r="I3" s="130">
        <f>VLOOKUP($F3,enemy_skill_triggers!$A:$J,4,FALSE)</f>
        <v>50</v>
      </c>
      <c r="J3" s="130" t="str">
        <f>VLOOKUP($F3,enemy_skill_triggers!$A:$J,5,FALSE)</f>
        <v>null</v>
      </c>
      <c r="K3" s="130" t="str">
        <f>VLOOKUP($F3,enemy_skill_triggers!$A:$J,6,FALSE)</f>
        <v>null</v>
      </c>
      <c r="L3" s="130" t="str">
        <f>VLOOKUP($F3,enemy_skill_triggers!$A:$J,7,FALSE)</f>
        <v>null</v>
      </c>
      <c r="M3" s="130" t="str">
        <f>VLOOKUP($F3,enemy_skill_triggers!$A:$J,8,FALSE)</f>
        <v>null</v>
      </c>
      <c r="N3" s="130" t="str">
        <f>VLOOKUP($F3,enemy_skill_triggers!$A:$J,9,FALSE)</f>
        <v>null</v>
      </c>
      <c r="O3" s="130">
        <f>VLOOKUP($F3,enemy_skill_triggers!$A:$J,10,FALSE)</f>
        <v>50</v>
      </c>
      <c r="P3" s="121" t="s">
        <v>63</v>
      </c>
      <c r="Q3" s="121"/>
      <c r="R3" s="121" t="s">
        <v>92</v>
      </c>
    </row>
    <row r="4" spans="1:18" ht="21" customHeight="1" x14ac:dyDescent="0.15">
      <c r="A4" s="131" t="str">
        <f t="shared" si="0"/>
        <v>30201_33012</v>
      </c>
      <c r="B4" s="133">
        <v>30201</v>
      </c>
      <c r="C4" s="133">
        <v>33012</v>
      </c>
      <c r="D4" s="132" t="str">
        <f>VLOOKUP(C4,enemy_skills!A:E,4,FALSE)</f>
        <v>それ以上…近づかれたら…</v>
      </c>
      <c r="E4" s="132" t="str">
        <f>VLOOKUP(C4,enemy_skills!A:E,5,FALSE)</f>
        <v>3ターンスキルが使えない！＋全体攻撃</v>
      </c>
      <c r="F4" s="121">
        <v>20009003</v>
      </c>
      <c r="G4" s="130">
        <f>VLOOKUP($F4,enemy_skill_triggers!$A:$J,2,FALSE)</f>
        <v>0</v>
      </c>
      <c r="H4" s="130" t="str">
        <f>VLOOKUP($F4,enemy_skill_triggers!$A:$J,3,FALSE)</f>
        <v>null</v>
      </c>
      <c r="I4" s="130">
        <f>VLOOKUP($F4,enemy_skill_triggers!$A:$J,4,FALSE)</f>
        <v>100</v>
      </c>
      <c r="J4" s="130">
        <f>VLOOKUP($F4,enemy_skill_triggers!$A:$J,5,FALSE)</f>
        <v>75</v>
      </c>
      <c r="K4" s="130" t="str">
        <f>VLOOKUP($F4,enemy_skill_triggers!$A:$J,6,FALSE)</f>
        <v>null</v>
      </c>
      <c r="L4" s="130">
        <f>VLOOKUP($F4,enemy_skill_triggers!$A:$J,7,FALSE)</f>
        <v>1</v>
      </c>
      <c r="M4" s="130" t="str">
        <f>VLOOKUP($F4,enemy_skill_triggers!$A:$J,8,FALSE)</f>
        <v>null</v>
      </c>
      <c r="N4" s="130" t="str">
        <f>VLOOKUP($F4,enemy_skill_triggers!$A:$J,9,FALSE)</f>
        <v>null</v>
      </c>
      <c r="O4" s="130">
        <f>VLOOKUP($F4,enemy_skill_triggers!$A:$J,10,FALSE)</f>
        <v>100</v>
      </c>
      <c r="P4" s="121" t="s">
        <v>63</v>
      </c>
      <c r="Q4" s="121"/>
      <c r="R4" s="121" t="s">
        <v>93</v>
      </c>
    </row>
    <row r="5" spans="1:18" ht="21" customHeight="1" x14ac:dyDescent="0.15">
      <c r="A5" s="131" t="str">
        <f t="shared" si="0"/>
        <v>30202_33012</v>
      </c>
      <c r="B5" s="121">
        <v>30202</v>
      </c>
      <c r="C5" s="121">
        <v>33012</v>
      </c>
      <c r="D5" s="132" t="str">
        <f>VLOOKUP(C5,enemy_skills!A:E,4,FALSE)</f>
        <v>それ以上…近づかれたら…</v>
      </c>
      <c r="E5" s="132" t="str">
        <f>VLOOKUP(C5,enemy_skills!A:E,5,FALSE)</f>
        <v>3ターンスキルが使えない！＋全体攻撃</v>
      </c>
      <c r="F5" s="121">
        <v>20009006</v>
      </c>
      <c r="G5" s="130">
        <f>VLOOKUP($F5,enemy_skill_triggers!$A:$J,2,FALSE)</f>
        <v>0</v>
      </c>
      <c r="H5" s="130" t="str">
        <f>VLOOKUP($F5,enemy_skill_triggers!$A:$J,3,FALSE)</f>
        <v>null</v>
      </c>
      <c r="I5" s="130">
        <f>VLOOKUP($F5,enemy_skill_triggers!$A:$J,4,FALSE)</f>
        <v>100</v>
      </c>
      <c r="J5" s="130">
        <f>VLOOKUP($F5,enemy_skill_triggers!$A:$J,5,FALSE)</f>
        <v>80</v>
      </c>
      <c r="K5" s="130" t="str">
        <f>VLOOKUP($F5,enemy_skill_triggers!$A:$J,6,FALSE)</f>
        <v>null</v>
      </c>
      <c r="L5" s="130">
        <f>VLOOKUP($F5,enemy_skill_triggers!$A:$J,7,FALSE)</f>
        <v>1</v>
      </c>
      <c r="M5" s="130" t="str">
        <f>VLOOKUP($F5,enemy_skill_triggers!$A:$J,8,FALSE)</f>
        <v>null</v>
      </c>
      <c r="N5" s="130" t="str">
        <f>VLOOKUP($F5,enemy_skill_triggers!$A:$J,9,FALSE)</f>
        <v>null</v>
      </c>
      <c r="O5" s="130">
        <f>VLOOKUP($F5,enemy_skill_triggers!$A:$J,10,FALSE)</f>
        <v>100</v>
      </c>
      <c r="P5" s="121" t="s">
        <v>63</v>
      </c>
      <c r="Q5" s="121"/>
      <c r="R5" s="121" t="s">
        <v>93</v>
      </c>
    </row>
    <row r="6" spans="1:18" ht="21" customHeight="1" x14ac:dyDescent="0.15">
      <c r="A6" s="131" t="str">
        <f t="shared" si="0"/>
        <v>30202_300010</v>
      </c>
      <c r="B6" s="121">
        <v>30202</v>
      </c>
      <c r="C6" s="121">
        <v>300010</v>
      </c>
      <c r="D6" s="132" t="str">
        <f>VLOOKUP(C6,enemy_skills!A:E,4,FALSE)</f>
        <v>恍惚の表情を浮かべている</v>
      </c>
      <c r="E6" s="132" t="str">
        <f>VLOOKUP(C6,enemy_skills!A:E,5,FALSE)</f>
        <v>回復</v>
      </c>
      <c r="F6" s="121">
        <v>20009001</v>
      </c>
      <c r="G6" s="130">
        <f>VLOOKUP($F6,enemy_skill_triggers!$A:$J,2,FALSE)</f>
        <v>0</v>
      </c>
      <c r="H6" s="130" t="str">
        <f>VLOOKUP($F6,enemy_skill_triggers!$A:$J,3,FALSE)</f>
        <v>null</v>
      </c>
      <c r="I6" s="130">
        <f>VLOOKUP($F6,enemy_skill_triggers!$A:$J,4,FALSE)</f>
        <v>100</v>
      </c>
      <c r="J6" s="130">
        <f>VLOOKUP($F6,enemy_skill_triggers!$A:$J,5,FALSE)</f>
        <v>35</v>
      </c>
      <c r="K6" s="130" t="str">
        <f>VLOOKUP($F6,enemy_skill_triggers!$A:$J,6,FALSE)</f>
        <v>null</v>
      </c>
      <c r="L6" s="130">
        <f>VLOOKUP($F6,enemy_skill_triggers!$A:$J,7,FALSE)</f>
        <v>1</v>
      </c>
      <c r="M6" s="130" t="str">
        <f>VLOOKUP($F6,enemy_skill_triggers!$A:$J,8,FALSE)</f>
        <v>null</v>
      </c>
      <c r="N6" s="130" t="str">
        <f>VLOOKUP($F6,enemy_skill_triggers!$A:$J,9,FALSE)</f>
        <v>null</v>
      </c>
      <c r="O6" s="130">
        <f>VLOOKUP($F6,enemy_skill_triggers!$A:$J,10,FALSE)</f>
        <v>100</v>
      </c>
      <c r="P6" s="121" t="s">
        <v>63</v>
      </c>
      <c r="Q6" s="121"/>
      <c r="R6" s="121" t="s">
        <v>93</v>
      </c>
    </row>
    <row r="7" spans="1:18" ht="21" customHeight="1" x14ac:dyDescent="0.15">
      <c r="A7" s="131" t="str">
        <f t="shared" si="0"/>
        <v>30202_330011</v>
      </c>
      <c r="B7" s="121">
        <v>30202</v>
      </c>
      <c r="C7" s="121">
        <v>330011</v>
      </c>
      <c r="D7" s="132" t="str">
        <f>VLOOKUP(C7,enemy_skills!A:E,4,FALSE)</f>
        <v>ダメ…来ないで！</v>
      </c>
      <c r="E7" s="132" t="str">
        <f>VLOOKUP(C7,enemy_skills!A:E,5,FALSE)</f>
        <v>3ターンスキルが使えない！＋攻撃</v>
      </c>
      <c r="F7" s="121">
        <v>20009002</v>
      </c>
      <c r="G7" s="130">
        <f>VLOOKUP($F7,enemy_skill_triggers!$A:$J,2,FALSE)</f>
        <v>0</v>
      </c>
      <c r="H7" s="130" t="str">
        <f>VLOOKUP($F7,enemy_skill_triggers!$A:$J,3,FALSE)</f>
        <v>null</v>
      </c>
      <c r="I7" s="130">
        <f>VLOOKUP($F7,enemy_skill_triggers!$A:$J,4,FALSE)</f>
        <v>50</v>
      </c>
      <c r="J7" s="130" t="str">
        <f>VLOOKUP($F7,enemy_skill_triggers!$A:$J,5,FALSE)</f>
        <v>null</v>
      </c>
      <c r="K7" s="130" t="str">
        <f>VLOOKUP($F7,enemy_skill_triggers!$A:$J,6,FALSE)</f>
        <v>null</v>
      </c>
      <c r="L7" s="130" t="str">
        <f>VLOOKUP($F7,enemy_skill_triggers!$A:$J,7,FALSE)</f>
        <v>null</v>
      </c>
      <c r="M7" s="130" t="str">
        <f>VLOOKUP($F7,enemy_skill_triggers!$A:$J,8,FALSE)</f>
        <v>null</v>
      </c>
      <c r="N7" s="130" t="str">
        <f>VLOOKUP($F7,enemy_skill_triggers!$A:$J,9,FALSE)</f>
        <v>null</v>
      </c>
      <c r="O7" s="130">
        <f>VLOOKUP($F7,enemy_skill_triggers!$A:$J,10,FALSE)</f>
        <v>50</v>
      </c>
      <c r="P7" s="121" t="s">
        <v>63</v>
      </c>
      <c r="Q7" s="121"/>
      <c r="R7" s="121" t="s">
        <v>93</v>
      </c>
    </row>
    <row r="8" spans="1:18" ht="21" customHeight="1" x14ac:dyDescent="0.15">
      <c r="A8" s="131" t="str">
        <f t="shared" si="0"/>
        <v>30202_330013</v>
      </c>
      <c r="B8" s="121">
        <v>30202</v>
      </c>
      <c r="C8" s="121">
        <v>330013</v>
      </c>
      <c r="D8" s="132" t="str">
        <f>VLOOKUP(C8,enemy_skills!A:E,4,FALSE)</f>
        <v>すぐ楽になるわ…</v>
      </c>
      <c r="E8" s="132" t="str">
        <f>VLOOKUP(C8,enemy_skills!A:E,5,FALSE)</f>
        <v>1ターンスキルが使えない！＋全体攻撃</v>
      </c>
      <c r="F8" s="121">
        <v>20009005</v>
      </c>
      <c r="G8" s="130">
        <f>VLOOKUP($F8,enemy_skill_triggers!$A:$J,2,FALSE)</f>
        <v>0</v>
      </c>
      <c r="H8" s="130" t="str">
        <f>VLOOKUP($F8,enemy_skill_triggers!$A:$J,3,FALSE)</f>
        <v>null</v>
      </c>
      <c r="I8" s="130">
        <f>VLOOKUP($F8,enemy_skill_triggers!$A:$J,4,FALSE)</f>
        <v>50</v>
      </c>
      <c r="J8" s="130">
        <f>VLOOKUP($F8,enemy_skill_triggers!$A:$J,5,FALSE)</f>
        <v>50</v>
      </c>
      <c r="K8" s="130" t="str">
        <f>VLOOKUP($F8,enemy_skill_triggers!$A:$J,6,FALSE)</f>
        <v>null</v>
      </c>
      <c r="L8" s="130">
        <f>VLOOKUP($F8,enemy_skill_triggers!$A:$J,7,FALSE)</f>
        <v>2</v>
      </c>
      <c r="M8" s="130" t="str">
        <f>VLOOKUP($F8,enemy_skill_triggers!$A:$J,8,FALSE)</f>
        <v>null</v>
      </c>
      <c r="N8" s="130" t="str">
        <f>VLOOKUP($F8,enemy_skill_triggers!$A:$J,9,FALSE)</f>
        <v>null</v>
      </c>
      <c r="O8" s="130">
        <f>VLOOKUP($F8,enemy_skill_triggers!$A:$J,10,FALSE)</f>
        <v>50</v>
      </c>
      <c r="P8" s="121" t="s">
        <v>63</v>
      </c>
      <c r="Q8" s="121"/>
      <c r="R8" s="121" t="s">
        <v>93</v>
      </c>
    </row>
    <row r="9" spans="1:18" ht="21" customHeight="1" x14ac:dyDescent="0.15">
      <c r="A9" s="131" t="str">
        <f>B9&amp;"_"&amp;C9</f>
        <v>30301_33012</v>
      </c>
      <c r="B9" s="121">
        <v>30301</v>
      </c>
      <c r="C9" s="121">
        <v>33012</v>
      </c>
      <c r="D9" s="132" t="str">
        <f>VLOOKUP(C9,enemy_skills!A:E,4,FALSE)</f>
        <v>それ以上…近づかれたら…</v>
      </c>
      <c r="E9" s="132" t="str">
        <f>VLOOKUP(C9,enemy_skills!A:E,5,FALSE)</f>
        <v>3ターンスキルが使えない！＋全体攻撃</v>
      </c>
      <c r="F9" s="121">
        <v>20009006</v>
      </c>
      <c r="G9" s="130">
        <f>VLOOKUP($F9,enemy_skill_triggers!$A:$J,2,FALSE)</f>
        <v>0</v>
      </c>
      <c r="H9" s="130" t="str">
        <f>VLOOKUP($F9,enemy_skill_triggers!$A:$J,3,FALSE)</f>
        <v>null</v>
      </c>
      <c r="I9" s="130">
        <f>VLOOKUP($F9,enemy_skill_triggers!$A:$J,4,FALSE)</f>
        <v>100</v>
      </c>
      <c r="J9" s="130">
        <f>VLOOKUP($F9,enemy_skill_triggers!$A:$J,5,FALSE)</f>
        <v>80</v>
      </c>
      <c r="K9" s="130" t="str">
        <f>VLOOKUP($F9,enemy_skill_triggers!$A:$J,6,FALSE)</f>
        <v>null</v>
      </c>
      <c r="L9" s="130">
        <f>VLOOKUP($F9,enemy_skill_triggers!$A:$J,7,FALSE)</f>
        <v>1</v>
      </c>
      <c r="M9" s="130" t="str">
        <f>VLOOKUP($F9,enemy_skill_triggers!$A:$J,8,FALSE)</f>
        <v>null</v>
      </c>
      <c r="N9" s="130" t="str">
        <f>VLOOKUP($F9,enemy_skill_triggers!$A:$J,9,FALSE)</f>
        <v>null</v>
      </c>
      <c r="O9" s="130">
        <f>VLOOKUP($F9,enemy_skill_triggers!$A:$J,10,FALSE)</f>
        <v>100</v>
      </c>
      <c r="P9" s="121" t="s">
        <v>63</v>
      </c>
      <c r="Q9" s="121"/>
      <c r="R9" s="121" t="s">
        <v>93</v>
      </c>
    </row>
    <row r="10" spans="1:18" ht="21" customHeight="1" x14ac:dyDescent="0.15">
      <c r="A10" s="131" t="str">
        <f t="shared" ref="A10:A13" si="1">B10&amp;"_"&amp;C10</f>
        <v>30301_23021</v>
      </c>
      <c r="B10" s="121">
        <v>30301</v>
      </c>
      <c r="C10" s="121">
        <v>23021</v>
      </c>
      <c r="D10" s="132" t="str">
        <f>VLOOKUP(C10,enemy_skills!A:E,4,FALSE)</f>
        <v>抑えられないの…ッ！！</v>
      </c>
      <c r="E10" s="132" t="str">
        <f>VLOOKUP(C10,enemy_skills!A:E,5,FALSE)</f>
        <v>全体攻撃</v>
      </c>
      <c r="F10" s="121">
        <v>20009004</v>
      </c>
      <c r="G10" s="130">
        <f>VLOOKUP($F10,enemy_skill_triggers!$A:$J,2,FALSE)</f>
        <v>0</v>
      </c>
      <c r="H10" s="130" t="str">
        <f>VLOOKUP($F10,enemy_skill_triggers!$A:$J,3,FALSE)</f>
        <v>null</v>
      </c>
      <c r="I10" s="130">
        <f>VLOOKUP($F10,enemy_skill_triggers!$A:$J,4,FALSE)</f>
        <v>100</v>
      </c>
      <c r="J10" s="130">
        <f>VLOOKUP($F10,enemy_skill_triggers!$A:$J,5,FALSE)</f>
        <v>50</v>
      </c>
      <c r="K10" s="130" t="str">
        <f>VLOOKUP($F10,enemy_skill_triggers!$A:$J,6,FALSE)</f>
        <v>null</v>
      </c>
      <c r="L10" s="130">
        <f>VLOOKUP($F10,enemy_skill_triggers!$A:$J,7,FALSE)</f>
        <v>1</v>
      </c>
      <c r="M10" s="130" t="str">
        <f>VLOOKUP($F10,enemy_skill_triggers!$A:$J,8,FALSE)</f>
        <v>null</v>
      </c>
      <c r="N10" s="130" t="str">
        <f>VLOOKUP($F10,enemy_skill_triggers!$A:$J,9,FALSE)</f>
        <v>null</v>
      </c>
      <c r="O10" s="130">
        <f>VLOOKUP($F10,enemy_skill_triggers!$A:$J,10,FALSE)</f>
        <v>100</v>
      </c>
      <c r="P10" s="121" t="s">
        <v>63</v>
      </c>
      <c r="Q10" s="121"/>
      <c r="R10" s="121" t="s">
        <v>93</v>
      </c>
    </row>
    <row r="11" spans="1:18" ht="21" customHeight="1" x14ac:dyDescent="0.15">
      <c r="A11" s="131" t="str">
        <f t="shared" si="1"/>
        <v>30301_300010</v>
      </c>
      <c r="B11" s="121">
        <v>30301</v>
      </c>
      <c r="C11" s="121">
        <v>300010</v>
      </c>
      <c r="D11" s="132" t="str">
        <f>VLOOKUP(C11,enemy_skills!A:E,4,FALSE)</f>
        <v>恍惚の表情を浮かべている</v>
      </c>
      <c r="E11" s="132" t="str">
        <f>VLOOKUP(C11,enemy_skills!A:E,5,FALSE)</f>
        <v>回復</v>
      </c>
      <c r="F11" s="121">
        <v>20009001</v>
      </c>
      <c r="G11" s="130">
        <f>VLOOKUP($F11,enemy_skill_triggers!$A:$J,2,FALSE)</f>
        <v>0</v>
      </c>
      <c r="H11" s="130" t="str">
        <f>VLOOKUP($F11,enemy_skill_triggers!$A:$J,3,FALSE)</f>
        <v>null</v>
      </c>
      <c r="I11" s="130">
        <f>VLOOKUP($F11,enemy_skill_triggers!$A:$J,4,FALSE)</f>
        <v>100</v>
      </c>
      <c r="J11" s="130">
        <f>VLOOKUP($F11,enemy_skill_triggers!$A:$J,5,FALSE)</f>
        <v>35</v>
      </c>
      <c r="K11" s="130" t="str">
        <f>VLOOKUP($F11,enemy_skill_triggers!$A:$J,6,FALSE)</f>
        <v>null</v>
      </c>
      <c r="L11" s="130">
        <f>VLOOKUP($F11,enemy_skill_triggers!$A:$J,7,FALSE)</f>
        <v>1</v>
      </c>
      <c r="M11" s="130" t="str">
        <f>VLOOKUP($F11,enemy_skill_triggers!$A:$J,8,FALSE)</f>
        <v>null</v>
      </c>
      <c r="N11" s="130" t="str">
        <f>VLOOKUP($F11,enemy_skill_triggers!$A:$J,9,FALSE)</f>
        <v>null</v>
      </c>
      <c r="O11" s="130">
        <f>VLOOKUP($F11,enemy_skill_triggers!$A:$J,10,FALSE)</f>
        <v>100</v>
      </c>
      <c r="P11" s="121" t="s">
        <v>63</v>
      </c>
      <c r="Q11" s="121"/>
      <c r="R11" s="121" t="s">
        <v>93</v>
      </c>
    </row>
    <row r="12" spans="1:18" ht="21" customHeight="1" x14ac:dyDescent="0.15">
      <c r="A12" s="131" t="str">
        <f t="shared" si="1"/>
        <v>30301_330011</v>
      </c>
      <c r="B12" s="121">
        <v>30301</v>
      </c>
      <c r="C12" s="121">
        <v>330011</v>
      </c>
      <c r="D12" s="132" t="str">
        <f>VLOOKUP(C12,enemy_skills!A:E,4,FALSE)</f>
        <v>ダメ…来ないで！</v>
      </c>
      <c r="E12" s="132" t="str">
        <f>VLOOKUP(C12,enemy_skills!A:E,5,FALSE)</f>
        <v>3ターンスキルが使えない！＋攻撃</v>
      </c>
      <c r="F12" s="121">
        <v>20009002</v>
      </c>
      <c r="G12" s="130">
        <f>VLOOKUP($F12,enemy_skill_triggers!$A:$J,2,FALSE)</f>
        <v>0</v>
      </c>
      <c r="H12" s="130" t="str">
        <f>VLOOKUP($F12,enemy_skill_triggers!$A:$J,3,FALSE)</f>
        <v>null</v>
      </c>
      <c r="I12" s="130">
        <f>VLOOKUP($F12,enemy_skill_triggers!$A:$J,4,FALSE)</f>
        <v>50</v>
      </c>
      <c r="J12" s="130" t="str">
        <f>VLOOKUP($F12,enemy_skill_triggers!$A:$J,5,FALSE)</f>
        <v>null</v>
      </c>
      <c r="K12" s="130" t="str">
        <f>VLOOKUP($F12,enemy_skill_triggers!$A:$J,6,FALSE)</f>
        <v>null</v>
      </c>
      <c r="L12" s="130" t="str">
        <f>VLOOKUP($F12,enemy_skill_triggers!$A:$J,7,FALSE)</f>
        <v>null</v>
      </c>
      <c r="M12" s="130" t="str">
        <f>VLOOKUP($F12,enemy_skill_triggers!$A:$J,8,FALSE)</f>
        <v>null</v>
      </c>
      <c r="N12" s="130" t="str">
        <f>VLOOKUP($F12,enemy_skill_triggers!$A:$J,9,FALSE)</f>
        <v>null</v>
      </c>
      <c r="O12" s="130">
        <f>VLOOKUP($F12,enemy_skill_triggers!$A:$J,10,FALSE)</f>
        <v>50</v>
      </c>
      <c r="P12" s="121" t="s">
        <v>63</v>
      </c>
      <c r="Q12" s="121"/>
      <c r="R12" s="121" t="s">
        <v>93</v>
      </c>
    </row>
    <row r="13" spans="1:18" ht="21" customHeight="1" x14ac:dyDescent="0.15">
      <c r="A13" s="131" t="str">
        <f t="shared" si="1"/>
        <v>30301_330013</v>
      </c>
      <c r="B13" s="121">
        <v>30301</v>
      </c>
      <c r="C13" s="121">
        <v>330013</v>
      </c>
      <c r="D13" s="132" t="str">
        <f>VLOOKUP(C13,enemy_skills!A:E,4,FALSE)</f>
        <v>すぐ楽になるわ…</v>
      </c>
      <c r="E13" s="132" t="str">
        <f>VLOOKUP(C13,enemy_skills!A:E,5,FALSE)</f>
        <v>1ターンスキルが使えない！＋全体攻撃</v>
      </c>
      <c r="F13" s="121">
        <v>20009005</v>
      </c>
      <c r="G13" s="130">
        <f>VLOOKUP($F13,enemy_skill_triggers!$A:$J,2,FALSE)</f>
        <v>0</v>
      </c>
      <c r="H13" s="130" t="str">
        <f>VLOOKUP($F13,enemy_skill_triggers!$A:$J,3,FALSE)</f>
        <v>null</v>
      </c>
      <c r="I13" s="130">
        <f>VLOOKUP($F13,enemy_skill_triggers!$A:$J,4,FALSE)</f>
        <v>50</v>
      </c>
      <c r="J13" s="130">
        <f>VLOOKUP($F13,enemy_skill_triggers!$A:$J,5,FALSE)</f>
        <v>50</v>
      </c>
      <c r="K13" s="130" t="str">
        <f>VLOOKUP($F13,enemy_skill_triggers!$A:$J,6,FALSE)</f>
        <v>null</v>
      </c>
      <c r="L13" s="130">
        <f>VLOOKUP($F13,enemy_skill_triggers!$A:$J,7,FALSE)</f>
        <v>2</v>
      </c>
      <c r="M13" s="130" t="str">
        <f>VLOOKUP($F13,enemy_skill_triggers!$A:$J,8,FALSE)</f>
        <v>null</v>
      </c>
      <c r="N13" s="130" t="str">
        <f>VLOOKUP($F13,enemy_skill_triggers!$A:$J,9,FALSE)</f>
        <v>null</v>
      </c>
      <c r="O13" s="130">
        <f>VLOOKUP($F13,enemy_skill_triggers!$A:$J,10,FALSE)</f>
        <v>50</v>
      </c>
      <c r="P13" s="121" t="s">
        <v>63</v>
      </c>
      <c r="Q13" s="121"/>
      <c r="R13" s="121" t="s">
        <v>93</v>
      </c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00FF"/>
  </sheetPr>
  <dimension ref="A1:H6"/>
  <sheetViews>
    <sheetView showGridLines="0" workbookViewId="0">
      <pane ySplit="1" topLeftCell="A2" activePane="bottomLeft" state="frozenSplit"/>
      <selection activeCell="D17" sqref="D17"/>
      <selection pane="bottomLeft" activeCell="B6" sqref="B6"/>
    </sheetView>
  </sheetViews>
  <sheetFormatPr baseColWidth="12" defaultColWidth="12.83203125" defaultRowHeight="21" customHeight="1" x14ac:dyDescent="0.15"/>
  <cols>
    <col min="1" max="1" width="12.83203125" style="119"/>
    <col min="2" max="2" width="67.1640625" style="119" customWidth="1"/>
    <col min="3" max="3" width="12.83203125" style="119"/>
    <col min="4" max="4" width="23.6640625" style="119" bestFit="1" customWidth="1"/>
    <col min="5" max="5" width="44.1640625" style="119" bestFit="1" customWidth="1"/>
    <col min="6" max="7" width="12.83203125" style="119"/>
    <col min="8" max="8" width="44.5" style="119" customWidth="1"/>
    <col min="9" max="16384" width="12.83203125" style="119"/>
  </cols>
  <sheetData>
    <row r="1" spans="1:8" ht="21" customHeight="1" x14ac:dyDescent="0.15">
      <c r="A1" s="116" t="s">
        <v>55</v>
      </c>
      <c r="B1" s="116" t="s">
        <v>56</v>
      </c>
      <c r="C1" s="116" t="s">
        <v>57</v>
      </c>
      <c r="D1" s="117" t="s">
        <v>58</v>
      </c>
      <c r="E1" s="117" t="s">
        <v>59</v>
      </c>
      <c r="F1" s="118" t="s">
        <v>60</v>
      </c>
      <c r="G1" s="118" t="s">
        <v>61</v>
      </c>
      <c r="H1" s="118" t="s">
        <v>62</v>
      </c>
    </row>
    <row r="2" spans="1:8" ht="21" customHeight="1" x14ac:dyDescent="0.15">
      <c r="A2" s="121">
        <v>300010</v>
      </c>
      <c r="B2" s="121" t="s">
        <v>111</v>
      </c>
      <c r="C2" s="120">
        <v>3</v>
      </c>
      <c r="D2" s="122" t="s">
        <v>65</v>
      </c>
      <c r="E2" s="122" t="s">
        <v>64</v>
      </c>
      <c r="F2" s="120" t="s">
        <v>63</v>
      </c>
      <c r="G2" s="123">
        <v>42276</v>
      </c>
      <c r="H2" s="120" t="s">
        <v>92</v>
      </c>
    </row>
    <row r="3" spans="1:8" ht="21" customHeight="1" x14ac:dyDescent="0.15">
      <c r="A3" s="121">
        <v>330011</v>
      </c>
      <c r="B3" s="121" t="s">
        <v>112</v>
      </c>
      <c r="C3" s="120">
        <v>3</v>
      </c>
      <c r="D3" s="121" t="s">
        <v>113</v>
      </c>
      <c r="E3" s="121" t="s">
        <v>66</v>
      </c>
      <c r="F3" s="120" t="s">
        <v>63</v>
      </c>
      <c r="G3" s="123">
        <v>42277</v>
      </c>
      <c r="H3" s="120" t="s">
        <v>92</v>
      </c>
    </row>
    <row r="4" spans="1:8" ht="21" customHeight="1" x14ac:dyDescent="0.15">
      <c r="A4" s="121">
        <v>33012</v>
      </c>
      <c r="B4" s="121" t="s">
        <v>114</v>
      </c>
      <c r="C4" s="120">
        <v>3</v>
      </c>
      <c r="D4" s="121" t="s">
        <v>115</v>
      </c>
      <c r="E4" s="121" t="s">
        <v>67</v>
      </c>
      <c r="F4" s="120" t="s">
        <v>63</v>
      </c>
      <c r="G4" s="123">
        <v>42276</v>
      </c>
      <c r="H4" s="125" t="s">
        <v>68</v>
      </c>
    </row>
    <row r="5" spans="1:8" ht="21" customHeight="1" x14ac:dyDescent="0.15">
      <c r="A5" s="121">
        <v>330013</v>
      </c>
      <c r="B5" s="121" t="s">
        <v>116</v>
      </c>
      <c r="C5" s="120">
        <v>3</v>
      </c>
      <c r="D5" s="121" t="s">
        <v>117</v>
      </c>
      <c r="E5" s="121" t="s">
        <v>69</v>
      </c>
      <c r="F5" s="120" t="s">
        <v>63</v>
      </c>
      <c r="G5" s="123">
        <v>42276</v>
      </c>
      <c r="H5" s="120" t="s">
        <v>92</v>
      </c>
    </row>
    <row r="6" spans="1:8" ht="21" customHeight="1" x14ac:dyDescent="0.15">
      <c r="A6" s="121">
        <v>23021</v>
      </c>
      <c r="B6" s="121" t="s">
        <v>118</v>
      </c>
      <c r="C6" s="120">
        <v>3</v>
      </c>
      <c r="D6" s="121" t="s">
        <v>119</v>
      </c>
      <c r="E6" s="121" t="s">
        <v>120</v>
      </c>
      <c r="F6" s="120" t="s">
        <v>63</v>
      </c>
      <c r="G6" s="123">
        <v>42276</v>
      </c>
      <c r="H6" s="124" t="s">
        <v>121</v>
      </c>
    </row>
  </sheetData>
  <autoFilter ref="A1:H1"/>
  <phoneticPr fontId="3"/>
  <pageMargins left="0.75" right="0.75" top="1" bottom="1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K7"/>
  <sheetViews>
    <sheetView showGridLines="0" workbookViewId="0">
      <pane ySplit="1" topLeftCell="A2" activePane="bottomLeft" state="frozenSplit"/>
      <selection activeCell="H205" sqref="H205"/>
      <selection pane="bottomLeft" activeCell="A7" sqref="A7"/>
    </sheetView>
  </sheetViews>
  <sheetFormatPr baseColWidth="12" defaultColWidth="12.83203125" defaultRowHeight="21" customHeight="1" x14ac:dyDescent="0.15"/>
  <cols>
    <col min="1" max="1" width="16.1640625" style="119" bestFit="1" customWidth="1"/>
    <col min="2" max="2" width="13.33203125" style="119" bestFit="1" customWidth="1"/>
    <col min="3" max="3" width="11.83203125" style="119" bestFit="1" customWidth="1"/>
    <col min="4" max="4" width="14.6640625" style="119" bestFit="1" customWidth="1"/>
    <col min="5" max="5" width="15.6640625" style="119" bestFit="1" customWidth="1"/>
    <col min="6" max="6" width="17" style="119" bestFit="1" customWidth="1"/>
    <col min="7" max="7" width="15.6640625" style="119" bestFit="1" customWidth="1"/>
    <col min="8" max="9" width="14.6640625" style="119" customWidth="1"/>
    <col min="10" max="10" width="14.6640625" style="119" bestFit="1" customWidth="1"/>
    <col min="11" max="11" width="22.83203125" style="131" bestFit="1" customWidth="1"/>
    <col min="12" max="16384" width="12.83203125" style="129"/>
  </cols>
  <sheetData>
    <row r="1" spans="1:11" ht="21" customHeight="1" x14ac:dyDescent="0.15">
      <c r="A1" s="126" t="s">
        <v>70</v>
      </c>
      <c r="B1" s="126" t="s">
        <v>71</v>
      </c>
      <c r="C1" s="126" t="s">
        <v>72</v>
      </c>
      <c r="D1" s="126" t="s">
        <v>73</v>
      </c>
      <c r="E1" s="126" t="s">
        <v>74</v>
      </c>
      <c r="F1" s="127" t="s">
        <v>75</v>
      </c>
      <c r="G1" s="127" t="s">
        <v>76</v>
      </c>
      <c r="H1" s="126" t="s">
        <v>77</v>
      </c>
      <c r="I1" s="126" t="s">
        <v>78</v>
      </c>
      <c r="J1" s="126" t="s">
        <v>79</v>
      </c>
      <c r="K1" s="128" t="s">
        <v>80</v>
      </c>
    </row>
    <row r="2" spans="1:11" ht="21" customHeight="1" x14ac:dyDescent="0.15">
      <c r="A2" s="121">
        <v>20009001</v>
      </c>
      <c r="B2" s="121">
        <v>0</v>
      </c>
      <c r="C2" s="121" t="s">
        <v>82</v>
      </c>
      <c r="D2" s="121">
        <v>100</v>
      </c>
      <c r="E2" s="121">
        <v>35</v>
      </c>
      <c r="F2" s="121" t="s">
        <v>82</v>
      </c>
      <c r="G2" s="121">
        <v>1</v>
      </c>
      <c r="H2" s="121" t="s">
        <v>82</v>
      </c>
      <c r="I2" s="121" t="s">
        <v>82</v>
      </c>
      <c r="J2" s="130">
        <f t="shared" ref="J2:J7" si="0">D2</f>
        <v>100</v>
      </c>
    </row>
    <row r="3" spans="1:11" ht="21" customHeight="1" x14ac:dyDescent="0.15">
      <c r="A3" s="121">
        <v>20009002</v>
      </c>
      <c r="B3" s="121">
        <v>0</v>
      </c>
      <c r="C3" s="121" t="s">
        <v>82</v>
      </c>
      <c r="D3" s="121">
        <v>50</v>
      </c>
      <c r="E3" s="121" t="s">
        <v>81</v>
      </c>
      <c r="F3" s="121" t="s">
        <v>82</v>
      </c>
      <c r="G3" s="121" t="s">
        <v>82</v>
      </c>
      <c r="H3" s="121" t="s">
        <v>82</v>
      </c>
      <c r="I3" s="121" t="s">
        <v>82</v>
      </c>
      <c r="J3" s="130">
        <f t="shared" si="0"/>
        <v>50</v>
      </c>
    </row>
    <row r="4" spans="1:11" ht="21" customHeight="1" x14ac:dyDescent="0.15">
      <c r="A4" s="121">
        <v>20009003</v>
      </c>
      <c r="B4" s="121">
        <v>0</v>
      </c>
      <c r="C4" s="121" t="s">
        <v>82</v>
      </c>
      <c r="D4" s="121">
        <v>100</v>
      </c>
      <c r="E4" s="121">
        <v>75</v>
      </c>
      <c r="F4" s="121" t="s">
        <v>82</v>
      </c>
      <c r="G4" s="121">
        <v>1</v>
      </c>
      <c r="H4" s="121" t="s">
        <v>82</v>
      </c>
      <c r="I4" s="121" t="s">
        <v>122</v>
      </c>
      <c r="J4" s="130">
        <f t="shared" si="0"/>
        <v>100</v>
      </c>
    </row>
    <row r="5" spans="1:11" ht="21" customHeight="1" x14ac:dyDescent="0.15">
      <c r="A5" s="121">
        <v>20009004</v>
      </c>
      <c r="B5" s="121">
        <v>0</v>
      </c>
      <c r="C5" s="121" t="s">
        <v>82</v>
      </c>
      <c r="D5" s="121">
        <v>100</v>
      </c>
      <c r="E5" s="121">
        <v>50</v>
      </c>
      <c r="F5" s="121" t="s">
        <v>82</v>
      </c>
      <c r="G5" s="121">
        <v>1</v>
      </c>
      <c r="H5" s="121" t="s">
        <v>82</v>
      </c>
      <c r="I5" s="121" t="s">
        <v>82</v>
      </c>
      <c r="J5" s="130">
        <f t="shared" si="0"/>
        <v>100</v>
      </c>
    </row>
    <row r="6" spans="1:11" ht="21" customHeight="1" x14ac:dyDescent="0.15">
      <c r="A6" s="121">
        <v>20009005</v>
      </c>
      <c r="B6" s="121">
        <v>0</v>
      </c>
      <c r="C6" s="121" t="s">
        <v>82</v>
      </c>
      <c r="D6" s="121">
        <v>50</v>
      </c>
      <c r="E6" s="121">
        <v>50</v>
      </c>
      <c r="F6" s="121" t="s">
        <v>82</v>
      </c>
      <c r="G6" s="121">
        <v>2</v>
      </c>
      <c r="H6" s="121" t="s">
        <v>82</v>
      </c>
      <c r="I6" s="121" t="s">
        <v>82</v>
      </c>
      <c r="J6" s="130">
        <f t="shared" si="0"/>
        <v>50</v>
      </c>
    </row>
    <row r="7" spans="1:11" ht="21" customHeight="1" x14ac:dyDescent="0.15">
      <c r="A7" s="121">
        <v>20009006</v>
      </c>
      <c r="B7" s="121">
        <v>0</v>
      </c>
      <c r="C7" s="121" t="s">
        <v>82</v>
      </c>
      <c r="D7" s="121">
        <v>100</v>
      </c>
      <c r="E7" s="121">
        <v>80</v>
      </c>
      <c r="F7" s="121" t="s">
        <v>82</v>
      </c>
      <c r="G7" s="121">
        <v>1</v>
      </c>
      <c r="H7" s="121" t="s">
        <v>82</v>
      </c>
      <c r="I7" s="121" t="s">
        <v>82</v>
      </c>
      <c r="J7" s="130">
        <f t="shared" si="0"/>
        <v>100</v>
      </c>
    </row>
  </sheetData>
  <autoFilter ref="A1:G1"/>
  <phoneticPr fontId="3"/>
  <conditionalFormatting sqref="K1:K1048576">
    <cfRule type="duplicateValues" dxfId="0" priority="5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1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22" sqref="J22"/>
    </sheetView>
  </sheetViews>
  <sheetFormatPr baseColWidth="12" defaultRowHeight="15" x14ac:dyDescent="0.15"/>
  <cols>
    <col min="1" max="1" width="10.1640625" style="18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2" customFormat="1" x14ac:dyDescent="0.15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floors_drop_3_1</v>
      </c>
    </row>
    <row r="2" spans="1:6" s="14" customFormat="1" x14ac:dyDescent="0.15">
      <c r="A2" s="18" t="s">
        <v>32</v>
      </c>
      <c r="B2" s="14" t="s">
        <v>0</v>
      </c>
      <c r="C2" s="14" t="s">
        <v>1</v>
      </c>
      <c r="D2" s="14" t="s">
        <v>13</v>
      </c>
      <c r="E2" s="14" t="s">
        <v>14</v>
      </c>
      <c r="F2" s="14" t="s">
        <v>15</v>
      </c>
    </row>
    <row r="3" spans="1:6" x14ac:dyDescent="0.15">
      <c r="A3" s="19" t="str">
        <f t="shared" ref="A3:A11" si="0">INDIRECT(ADDRESS(ROW()+$A$1,COLUMN(),1,TRUE,$C$1))</f>
        <v>20009_1-1</v>
      </c>
      <c r="B3" s="15">
        <f t="shared" ref="B3:F11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20009</v>
      </c>
      <c r="C3" s="15">
        <f t="shared" si="1"/>
        <v>1</v>
      </c>
      <c r="D3" s="15">
        <f t="shared" si="1"/>
        <v>1</v>
      </c>
      <c r="E3" s="15">
        <f t="shared" si="1"/>
        <v>30</v>
      </c>
      <c r="F3" s="15">
        <f t="shared" si="1"/>
        <v>30</v>
      </c>
    </row>
    <row r="4" spans="1:6" x14ac:dyDescent="0.15">
      <c r="A4" s="19" t="str">
        <f t="shared" si="0"/>
        <v>20009_1-2</v>
      </c>
      <c r="B4" s="15">
        <f t="shared" si="1"/>
        <v>20009</v>
      </c>
      <c r="C4" s="15">
        <f t="shared" si="1"/>
        <v>1</v>
      </c>
      <c r="D4" s="15">
        <f t="shared" si="1"/>
        <v>2</v>
      </c>
      <c r="E4" s="15">
        <f t="shared" si="1"/>
        <v>45</v>
      </c>
      <c r="F4" s="15">
        <f t="shared" si="1"/>
        <v>45</v>
      </c>
    </row>
    <row r="5" spans="1:6" x14ac:dyDescent="0.15">
      <c r="A5" s="19" t="str">
        <f t="shared" si="0"/>
        <v>20009_1-3</v>
      </c>
      <c r="B5" s="15">
        <f t="shared" si="1"/>
        <v>20009</v>
      </c>
      <c r="C5" s="15">
        <f t="shared" si="1"/>
        <v>1</v>
      </c>
      <c r="D5" s="15">
        <f t="shared" si="1"/>
        <v>3</v>
      </c>
      <c r="E5" s="15">
        <f t="shared" si="1"/>
        <v>20</v>
      </c>
      <c r="F5" s="15">
        <f t="shared" si="1"/>
        <v>20</v>
      </c>
    </row>
    <row r="6" spans="1:6" x14ac:dyDescent="0.15">
      <c r="A6" s="19" t="str">
        <f t="shared" si="0"/>
        <v>20009_2-1</v>
      </c>
      <c r="B6" s="15">
        <f t="shared" si="1"/>
        <v>20009</v>
      </c>
      <c r="C6" s="15">
        <f t="shared" si="1"/>
        <v>2</v>
      </c>
      <c r="D6" s="15">
        <f t="shared" si="1"/>
        <v>1</v>
      </c>
      <c r="E6" s="15">
        <f t="shared" si="1"/>
        <v>35</v>
      </c>
      <c r="F6" s="15">
        <f t="shared" si="1"/>
        <v>35</v>
      </c>
    </row>
    <row r="7" spans="1:6" x14ac:dyDescent="0.15">
      <c r="A7" s="19" t="str">
        <f t="shared" si="0"/>
        <v>20009_2-2</v>
      </c>
      <c r="B7" s="15">
        <f t="shared" si="1"/>
        <v>20009</v>
      </c>
      <c r="C7" s="15">
        <f t="shared" si="1"/>
        <v>2</v>
      </c>
      <c r="D7" s="15">
        <f t="shared" si="1"/>
        <v>2</v>
      </c>
      <c r="E7" s="15">
        <f t="shared" si="1"/>
        <v>45</v>
      </c>
      <c r="F7" s="15">
        <f t="shared" si="1"/>
        <v>45</v>
      </c>
    </row>
    <row r="8" spans="1:6" x14ac:dyDescent="0.15">
      <c r="A8" s="19" t="str">
        <f t="shared" si="0"/>
        <v>20009_2-3</v>
      </c>
      <c r="B8" s="15">
        <f t="shared" si="1"/>
        <v>20009</v>
      </c>
      <c r="C8" s="15">
        <f t="shared" si="1"/>
        <v>2</v>
      </c>
      <c r="D8" s="15">
        <f t="shared" si="1"/>
        <v>3</v>
      </c>
      <c r="E8" s="15">
        <f t="shared" si="1"/>
        <v>50</v>
      </c>
      <c r="F8" s="15">
        <f t="shared" si="1"/>
        <v>50</v>
      </c>
    </row>
    <row r="9" spans="1:6" x14ac:dyDescent="0.15">
      <c r="A9" s="19" t="str">
        <f t="shared" si="0"/>
        <v>20009_3-1</v>
      </c>
      <c r="B9" s="15">
        <f t="shared" si="1"/>
        <v>20009</v>
      </c>
      <c r="C9" s="15">
        <f t="shared" si="1"/>
        <v>3</v>
      </c>
      <c r="D9" s="15">
        <f t="shared" si="1"/>
        <v>1</v>
      </c>
      <c r="E9" s="15">
        <f t="shared" si="1"/>
        <v>55</v>
      </c>
      <c r="F9" s="15">
        <f t="shared" si="1"/>
        <v>55</v>
      </c>
    </row>
    <row r="10" spans="1:6" x14ac:dyDescent="0.15">
      <c r="A10" s="19" t="str">
        <f t="shared" si="0"/>
        <v>20009_3-2</v>
      </c>
      <c r="B10" s="15">
        <f t="shared" si="1"/>
        <v>20009</v>
      </c>
      <c r="C10" s="15">
        <f t="shared" si="1"/>
        <v>3</v>
      </c>
      <c r="D10" s="15">
        <f t="shared" si="1"/>
        <v>2</v>
      </c>
      <c r="E10" s="15">
        <f t="shared" si="1"/>
        <v>20</v>
      </c>
      <c r="F10" s="15">
        <f t="shared" si="1"/>
        <v>20</v>
      </c>
    </row>
    <row r="11" spans="1:6" x14ac:dyDescent="0.15">
      <c r="A11" s="19" t="str">
        <f t="shared" si="0"/>
        <v>20009_3-3</v>
      </c>
      <c r="B11" s="15">
        <f t="shared" si="1"/>
        <v>20009</v>
      </c>
      <c r="C11" s="15">
        <f t="shared" si="1"/>
        <v>3</v>
      </c>
      <c r="D11" s="15">
        <f t="shared" si="1"/>
        <v>3</v>
      </c>
      <c r="E11" s="15">
        <f t="shared" si="1"/>
        <v>60</v>
      </c>
      <c r="F11" s="15">
        <f t="shared" si="1"/>
        <v>60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47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41" sqref="G41"/>
    </sheetView>
  </sheetViews>
  <sheetFormatPr baseColWidth="12" defaultRowHeight="15" x14ac:dyDescent="0.15"/>
  <cols>
    <col min="1" max="1" width="13.5" style="18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2" customFormat="1" x14ac:dyDescent="0.15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enemy_habitats_drop_3_1</v>
      </c>
    </row>
    <row r="2" spans="1:23" s="14" customFormat="1" x14ac:dyDescent="0.15">
      <c r="A2" s="18" t="s">
        <v>30</v>
      </c>
      <c r="B2" s="14" t="s">
        <v>0</v>
      </c>
      <c r="C2" s="14" t="s">
        <v>1</v>
      </c>
      <c r="D2" s="14" t="s">
        <v>13</v>
      </c>
      <c r="E2" s="14" t="s">
        <v>2</v>
      </c>
      <c r="F2" s="14" t="s">
        <v>3</v>
      </c>
      <c r="G2" s="14" t="s">
        <v>49</v>
      </c>
      <c r="H2" s="14" t="s">
        <v>51</v>
      </c>
      <c r="I2" s="14" t="s">
        <v>53</v>
      </c>
      <c r="J2" s="14" t="s">
        <v>22</v>
      </c>
      <c r="K2" s="14" t="s">
        <v>5</v>
      </c>
      <c r="L2" s="14" t="s">
        <v>6</v>
      </c>
      <c r="M2" s="14" t="s">
        <v>7</v>
      </c>
      <c r="N2" s="14" t="s">
        <v>8</v>
      </c>
      <c r="O2" s="14" t="s">
        <v>9</v>
      </c>
      <c r="P2" s="14" t="s">
        <v>10</v>
      </c>
      <c r="Q2" s="14" t="s">
        <v>11</v>
      </c>
      <c r="R2" s="14" t="s">
        <v>12</v>
      </c>
      <c r="S2" s="14" t="s">
        <v>39</v>
      </c>
      <c r="T2" s="14" t="s">
        <v>41</v>
      </c>
      <c r="U2" s="14" t="s">
        <v>43</v>
      </c>
      <c r="V2" s="14" t="s">
        <v>45</v>
      </c>
      <c r="W2" s="14" t="s">
        <v>47</v>
      </c>
    </row>
    <row r="3" spans="1:23" x14ac:dyDescent="0.15">
      <c r="A3" s="19" t="str">
        <f>INDIRECT(ADDRESS(ROW()+$A$1,COLUMN(),1,TRUE,$C$1))</f>
        <v>20009_1-1/5&lt;lv19&gt;s3</v>
      </c>
      <c r="B3" s="15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20009</v>
      </c>
      <c r="C3" s="15">
        <f t="shared" si="0"/>
        <v>1</v>
      </c>
      <c r="D3" s="15">
        <f t="shared" si="0"/>
        <v>1</v>
      </c>
      <c r="E3" s="15">
        <f t="shared" si="0"/>
        <v>5</v>
      </c>
      <c r="F3" s="15">
        <f t="shared" si="0"/>
        <v>19</v>
      </c>
      <c r="G3" s="15">
        <f t="shared" si="0"/>
        <v>1</v>
      </c>
      <c r="H3" s="15">
        <f t="shared" si="0"/>
        <v>1</v>
      </c>
      <c r="I3" s="15">
        <f t="shared" si="0"/>
        <v>0</v>
      </c>
      <c r="J3" s="15">
        <f t="shared" si="0"/>
        <v>0</v>
      </c>
      <c r="K3" s="15">
        <f t="shared" si="0"/>
        <v>0</v>
      </c>
      <c r="L3" s="15">
        <f t="shared" si="0"/>
        <v>100</v>
      </c>
      <c r="M3" s="15">
        <f t="shared" si="0"/>
        <v>0</v>
      </c>
      <c r="N3" s="15">
        <f t="shared" si="0"/>
        <v>3</v>
      </c>
      <c r="O3" s="15">
        <f t="shared" si="0"/>
        <v>5</v>
      </c>
      <c r="P3" s="15">
        <f t="shared" si="0"/>
        <v>1</v>
      </c>
      <c r="Q3" s="15">
        <f t="shared" si="0"/>
        <v>1</v>
      </c>
      <c r="R3" s="15">
        <f t="shared" si="0"/>
        <v>26</v>
      </c>
      <c r="S3" s="15">
        <f t="shared" si="0"/>
        <v>0</v>
      </c>
      <c r="T3" s="15">
        <f t="shared" si="0"/>
        <v>0</v>
      </c>
      <c r="U3" s="15">
        <f t="shared" si="0"/>
        <v>0</v>
      </c>
      <c r="V3" s="15">
        <f t="shared" si="0"/>
        <v>0</v>
      </c>
      <c r="W3" s="15">
        <f t="shared" si="0"/>
        <v>1</v>
      </c>
    </row>
    <row r="4" spans="1:23" x14ac:dyDescent="0.15">
      <c r="A4" s="19" t="str">
        <f t="shared" ref="A4:A39" si="1">INDIRECT(ADDRESS(ROW()+$A$1,COLUMN(),1,TRUE,$C$1))</f>
        <v>20009_1-1/17&lt;lv19&gt;s2</v>
      </c>
      <c r="B4" s="15">
        <f t="shared" si="0"/>
        <v>20009</v>
      </c>
      <c r="C4" s="15">
        <f t="shared" si="0"/>
        <v>1</v>
      </c>
      <c r="D4" s="15">
        <f t="shared" si="0"/>
        <v>1</v>
      </c>
      <c r="E4" s="15">
        <f t="shared" si="0"/>
        <v>17</v>
      </c>
      <c r="F4" s="15">
        <f t="shared" si="0"/>
        <v>19</v>
      </c>
      <c r="G4" s="15">
        <f t="shared" si="0"/>
        <v>1</v>
      </c>
      <c r="H4" s="15">
        <f t="shared" si="0"/>
        <v>1</v>
      </c>
      <c r="I4" s="15">
        <f t="shared" si="0"/>
        <v>0</v>
      </c>
      <c r="J4" s="15">
        <f t="shared" si="0"/>
        <v>0</v>
      </c>
      <c r="K4" s="15">
        <f t="shared" si="0"/>
        <v>0</v>
      </c>
      <c r="L4" s="15">
        <f t="shared" si="0"/>
        <v>100</v>
      </c>
      <c r="M4" s="15">
        <f t="shared" si="0"/>
        <v>0</v>
      </c>
      <c r="N4" s="15">
        <f t="shared" si="0"/>
        <v>2</v>
      </c>
      <c r="O4" s="15">
        <f t="shared" si="0"/>
        <v>17</v>
      </c>
      <c r="P4" s="15">
        <f t="shared" si="0"/>
        <v>1</v>
      </c>
      <c r="Q4" s="15">
        <f t="shared" si="0"/>
        <v>1</v>
      </c>
      <c r="R4" s="15">
        <f t="shared" si="0"/>
        <v>26</v>
      </c>
      <c r="S4" s="15">
        <f t="shared" si="0"/>
        <v>0</v>
      </c>
      <c r="T4" s="15">
        <f t="shared" si="0"/>
        <v>0</v>
      </c>
      <c r="U4" s="15">
        <f t="shared" si="0"/>
        <v>0</v>
      </c>
      <c r="V4" s="15">
        <f t="shared" si="0"/>
        <v>0</v>
      </c>
      <c r="W4" s="15">
        <f t="shared" si="0"/>
        <v>1</v>
      </c>
    </row>
    <row r="5" spans="1:23" x14ac:dyDescent="0.15">
      <c r="A5" s="19" t="str">
        <f t="shared" si="1"/>
        <v>20009_1-1/25&lt;lv19&gt;s3</v>
      </c>
      <c r="B5" s="15">
        <f t="shared" si="0"/>
        <v>20009</v>
      </c>
      <c r="C5" s="15">
        <f t="shared" si="0"/>
        <v>1</v>
      </c>
      <c r="D5" s="15">
        <f t="shared" si="0"/>
        <v>1</v>
      </c>
      <c r="E5" s="15">
        <f t="shared" si="0"/>
        <v>25</v>
      </c>
      <c r="F5" s="15">
        <f t="shared" si="0"/>
        <v>19</v>
      </c>
      <c r="G5" s="15">
        <f t="shared" si="0"/>
        <v>1</v>
      </c>
      <c r="H5" s="15">
        <f t="shared" si="0"/>
        <v>1</v>
      </c>
      <c r="I5" s="15">
        <f t="shared" si="0"/>
        <v>0</v>
      </c>
      <c r="J5" s="15">
        <f t="shared" si="0"/>
        <v>0</v>
      </c>
      <c r="K5" s="15">
        <f t="shared" si="0"/>
        <v>0</v>
      </c>
      <c r="L5" s="15">
        <f t="shared" si="0"/>
        <v>100</v>
      </c>
      <c r="M5" s="15">
        <f t="shared" si="0"/>
        <v>0</v>
      </c>
      <c r="N5" s="15">
        <f t="shared" si="0"/>
        <v>3</v>
      </c>
      <c r="O5" s="15">
        <f t="shared" si="0"/>
        <v>25</v>
      </c>
      <c r="P5" s="15">
        <f t="shared" si="0"/>
        <v>1</v>
      </c>
      <c r="Q5" s="15">
        <f t="shared" si="0"/>
        <v>1</v>
      </c>
      <c r="R5" s="15">
        <f t="shared" si="0"/>
        <v>26</v>
      </c>
      <c r="S5" s="15">
        <f t="shared" si="0"/>
        <v>0</v>
      </c>
      <c r="T5" s="15">
        <f t="shared" si="0"/>
        <v>0</v>
      </c>
      <c r="U5" s="15">
        <f t="shared" si="0"/>
        <v>0</v>
      </c>
      <c r="V5" s="15">
        <f t="shared" si="0"/>
        <v>0</v>
      </c>
      <c r="W5" s="15">
        <f t="shared" si="0"/>
        <v>1</v>
      </c>
    </row>
    <row r="6" spans="1:23" x14ac:dyDescent="0.15">
      <c r="A6" s="19" t="str">
        <f t="shared" si="1"/>
        <v>20009_1-1/29&lt;lv19&gt;s2</v>
      </c>
      <c r="B6" s="15">
        <f t="shared" si="0"/>
        <v>20009</v>
      </c>
      <c r="C6" s="15">
        <f t="shared" si="0"/>
        <v>1</v>
      </c>
      <c r="D6" s="15">
        <f t="shared" si="0"/>
        <v>1</v>
      </c>
      <c r="E6" s="15">
        <f t="shared" si="0"/>
        <v>29</v>
      </c>
      <c r="F6" s="15">
        <f t="shared" si="0"/>
        <v>19</v>
      </c>
      <c r="G6" s="15">
        <f t="shared" si="0"/>
        <v>1</v>
      </c>
      <c r="H6" s="15">
        <f t="shared" si="0"/>
        <v>1</v>
      </c>
      <c r="I6" s="15">
        <f t="shared" si="0"/>
        <v>0</v>
      </c>
      <c r="J6" s="15">
        <f t="shared" si="0"/>
        <v>0</v>
      </c>
      <c r="K6" s="15">
        <f t="shared" si="0"/>
        <v>0</v>
      </c>
      <c r="L6" s="15">
        <f t="shared" si="0"/>
        <v>100</v>
      </c>
      <c r="M6" s="15">
        <f t="shared" si="0"/>
        <v>0</v>
      </c>
      <c r="N6" s="15">
        <f t="shared" si="0"/>
        <v>2</v>
      </c>
      <c r="O6" s="15">
        <f t="shared" si="0"/>
        <v>29</v>
      </c>
      <c r="P6" s="15">
        <f t="shared" si="0"/>
        <v>1</v>
      </c>
      <c r="Q6" s="15">
        <f t="shared" si="0"/>
        <v>1</v>
      </c>
      <c r="R6" s="15">
        <f t="shared" si="0"/>
        <v>26</v>
      </c>
      <c r="S6" s="15">
        <f t="shared" si="0"/>
        <v>0</v>
      </c>
      <c r="T6" s="15">
        <f t="shared" si="0"/>
        <v>0</v>
      </c>
      <c r="U6" s="15">
        <f t="shared" si="0"/>
        <v>0</v>
      </c>
      <c r="V6" s="15">
        <f t="shared" si="0"/>
        <v>0</v>
      </c>
      <c r="W6" s="15">
        <f t="shared" si="0"/>
        <v>1</v>
      </c>
    </row>
    <row r="7" spans="1:23" x14ac:dyDescent="0.15">
      <c r="A7" s="19" t="str">
        <f t="shared" si="1"/>
        <v>20009_1-2/6&lt;lv19&gt;s3</v>
      </c>
      <c r="B7" s="15">
        <f t="shared" si="0"/>
        <v>20009</v>
      </c>
      <c r="C7" s="15">
        <f t="shared" si="0"/>
        <v>1</v>
      </c>
      <c r="D7" s="15">
        <f t="shared" si="0"/>
        <v>2</v>
      </c>
      <c r="E7" s="15">
        <f t="shared" si="0"/>
        <v>6</v>
      </c>
      <c r="F7" s="15">
        <f t="shared" si="0"/>
        <v>19</v>
      </c>
      <c r="G7" s="15">
        <f t="shared" si="0"/>
        <v>1.1000000000000001</v>
      </c>
      <c r="H7" s="15">
        <f t="shared" si="0"/>
        <v>1.1000000000000001</v>
      </c>
      <c r="I7" s="15">
        <f t="shared" si="0"/>
        <v>0</v>
      </c>
      <c r="J7" s="15">
        <f t="shared" si="0"/>
        <v>0</v>
      </c>
      <c r="K7" s="15">
        <f t="shared" si="0"/>
        <v>0</v>
      </c>
      <c r="L7" s="15">
        <f t="shared" si="0"/>
        <v>100</v>
      </c>
      <c r="M7" s="15">
        <f t="shared" si="0"/>
        <v>0</v>
      </c>
      <c r="N7" s="15">
        <f t="shared" si="0"/>
        <v>3</v>
      </c>
      <c r="O7" s="15">
        <f t="shared" si="0"/>
        <v>6</v>
      </c>
      <c r="P7" s="15">
        <f t="shared" si="0"/>
        <v>1</v>
      </c>
      <c r="Q7" s="15">
        <f t="shared" si="0"/>
        <v>2</v>
      </c>
      <c r="R7" s="15">
        <f t="shared" si="0"/>
        <v>26</v>
      </c>
      <c r="S7" s="15">
        <f t="shared" si="0"/>
        <v>0</v>
      </c>
      <c r="T7" s="15">
        <f t="shared" si="0"/>
        <v>0</v>
      </c>
      <c r="U7" s="15">
        <f t="shared" si="0"/>
        <v>0</v>
      </c>
      <c r="V7" s="15">
        <f t="shared" si="0"/>
        <v>0</v>
      </c>
      <c r="W7" s="15">
        <f t="shared" si="0"/>
        <v>1</v>
      </c>
    </row>
    <row r="8" spans="1:23" x14ac:dyDescent="0.15">
      <c r="A8" s="19" t="str">
        <f t="shared" si="1"/>
        <v>20009_1-2/18&lt;lv19&gt;s2</v>
      </c>
      <c r="B8" s="15">
        <f t="shared" si="0"/>
        <v>20009</v>
      </c>
      <c r="C8" s="15">
        <f t="shared" si="0"/>
        <v>1</v>
      </c>
      <c r="D8" s="15">
        <f t="shared" si="0"/>
        <v>2</v>
      </c>
      <c r="E8" s="15">
        <f t="shared" si="0"/>
        <v>18</v>
      </c>
      <c r="F8" s="15">
        <f t="shared" si="0"/>
        <v>19</v>
      </c>
      <c r="G8" s="15">
        <f t="shared" si="0"/>
        <v>1.1000000000000001</v>
      </c>
      <c r="H8" s="15">
        <f t="shared" si="0"/>
        <v>1.1000000000000001</v>
      </c>
      <c r="I8" s="15">
        <f t="shared" si="0"/>
        <v>0</v>
      </c>
      <c r="J8" s="15">
        <f t="shared" si="0"/>
        <v>0</v>
      </c>
      <c r="K8" s="15">
        <f t="shared" si="0"/>
        <v>0</v>
      </c>
      <c r="L8" s="15">
        <f t="shared" si="0"/>
        <v>100</v>
      </c>
      <c r="M8" s="15">
        <f t="shared" si="0"/>
        <v>0</v>
      </c>
      <c r="N8" s="15">
        <f t="shared" si="0"/>
        <v>2</v>
      </c>
      <c r="O8" s="15">
        <f t="shared" si="0"/>
        <v>18</v>
      </c>
      <c r="P8" s="15">
        <f t="shared" si="0"/>
        <v>1</v>
      </c>
      <c r="Q8" s="15">
        <f t="shared" si="0"/>
        <v>2</v>
      </c>
      <c r="R8" s="15">
        <f t="shared" si="0"/>
        <v>26</v>
      </c>
      <c r="S8" s="15">
        <f t="shared" si="0"/>
        <v>0</v>
      </c>
      <c r="T8" s="15">
        <f t="shared" si="0"/>
        <v>0</v>
      </c>
      <c r="U8" s="15">
        <f t="shared" si="0"/>
        <v>0</v>
      </c>
      <c r="V8" s="15">
        <f t="shared" si="0"/>
        <v>0</v>
      </c>
      <c r="W8" s="15">
        <f t="shared" si="0"/>
        <v>1</v>
      </c>
    </row>
    <row r="9" spans="1:23" x14ac:dyDescent="0.15">
      <c r="A9" s="19" t="str">
        <f t="shared" si="1"/>
        <v>20009_1-2/26&lt;lv19&gt;s3</v>
      </c>
      <c r="B9" s="15">
        <f t="shared" si="0"/>
        <v>20009</v>
      </c>
      <c r="C9" s="15">
        <f t="shared" si="0"/>
        <v>1</v>
      </c>
      <c r="D9" s="15">
        <f t="shared" si="0"/>
        <v>2</v>
      </c>
      <c r="E9" s="15">
        <f t="shared" si="0"/>
        <v>26</v>
      </c>
      <c r="F9" s="15">
        <f t="shared" si="0"/>
        <v>19</v>
      </c>
      <c r="G9" s="15">
        <f t="shared" si="0"/>
        <v>1.1000000000000001</v>
      </c>
      <c r="H9" s="15">
        <f t="shared" si="0"/>
        <v>1.1000000000000001</v>
      </c>
      <c r="I9" s="15">
        <f t="shared" si="0"/>
        <v>0</v>
      </c>
      <c r="J9" s="15">
        <f t="shared" si="0"/>
        <v>0</v>
      </c>
      <c r="K9" s="15">
        <f t="shared" si="0"/>
        <v>0</v>
      </c>
      <c r="L9" s="15">
        <f t="shared" si="0"/>
        <v>100</v>
      </c>
      <c r="M9" s="15">
        <f t="shared" si="0"/>
        <v>0</v>
      </c>
      <c r="N9" s="15">
        <f t="shared" si="0"/>
        <v>3</v>
      </c>
      <c r="O9" s="15">
        <f t="shared" si="0"/>
        <v>26</v>
      </c>
      <c r="P9" s="15">
        <f t="shared" si="0"/>
        <v>1</v>
      </c>
      <c r="Q9" s="15">
        <f t="shared" si="0"/>
        <v>2</v>
      </c>
      <c r="R9" s="15">
        <f t="shared" si="0"/>
        <v>26</v>
      </c>
      <c r="S9" s="15">
        <f t="shared" si="0"/>
        <v>0</v>
      </c>
      <c r="T9" s="15">
        <f t="shared" si="0"/>
        <v>0</v>
      </c>
      <c r="U9" s="15">
        <f t="shared" si="0"/>
        <v>0</v>
      </c>
      <c r="V9" s="15">
        <f t="shared" si="0"/>
        <v>0</v>
      </c>
      <c r="W9" s="15">
        <f t="shared" si="0"/>
        <v>1</v>
      </c>
    </row>
    <row r="10" spans="1:23" x14ac:dyDescent="0.15">
      <c r="A10" s="19" t="str">
        <f t="shared" si="1"/>
        <v>20009_1-2/30&lt;lv19&gt;s2</v>
      </c>
      <c r="B10" s="15">
        <f t="shared" si="0"/>
        <v>20009</v>
      </c>
      <c r="C10" s="15">
        <f t="shared" si="0"/>
        <v>1</v>
      </c>
      <c r="D10" s="15">
        <f t="shared" si="0"/>
        <v>2</v>
      </c>
      <c r="E10" s="15">
        <f t="shared" si="0"/>
        <v>30</v>
      </c>
      <c r="F10" s="15">
        <f t="shared" si="0"/>
        <v>19</v>
      </c>
      <c r="G10" s="15">
        <f t="shared" si="0"/>
        <v>1.1000000000000001</v>
      </c>
      <c r="H10" s="15">
        <f t="shared" si="0"/>
        <v>1.1000000000000001</v>
      </c>
      <c r="I10" s="15">
        <f t="shared" si="0"/>
        <v>0</v>
      </c>
      <c r="J10" s="15">
        <f t="shared" si="0"/>
        <v>30</v>
      </c>
      <c r="K10" s="15">
        <f t="shared" si="0"/>
        <v>0</v>
      </c>
      <c r="L10" s="15">
        <f t="shared" si="0"/>
        <v>100</v>
      </c>
      <c r="M10" s="15">
        <f t="shared" si="0"/>
        <v>0</v>
      </c>
      <c r="N10" s="15">
        <f t="shared" si="0"/>
        <v>2</v>
      </c>
      <c r="O10" s="15">
        <f t="shared" si="0"/>
        <v>30</v>
      </c>
      <c r="P10" s="15">
        <f t="shared" si="0"/>
        <v>1</v>
      </c>
      <c r="Q10" s="15">
        <f t="shared" si="0"/>
        <v>2</v>
      </c>
      <c r="R10" s="15">
        <f t="shared" si="0"/>
        <v>26</v>
      </c>
      <c r="S10" s="15">
        <f t="shared" si="0"/>
        <v>0</v>
      </c>
      <c r="T10" s="15">
        <f t="shared" si="0"/>
        <v>0</v>
      </c>
      <c r="U10" s="15">
        <f t="shared" si="0"/>
        <v>0</v>
      </c>
      <c r="V10" s="15">
        <f t="shared" si="0"/>
        <v>0</v>
      </c>
      <c r="W10" s="15">
        <f t="shared" si="0"/>
        <v>1</v>
      </c>
    </row>
    <row r="11" spans="1:23" x14ac:dyDescent="0.15">
      <c r="A11" s="19" t="str">
        <f t="shared" si="1"/>
        <v>20009_1-3/302&lt;lv20&gt;s2</v>
      </c>
      <c r="B11" s="15">
        <f t="shared" si="0"/>
        <v>20009</v>
      </c>
      <c r="C11" s="15">
        <f t="shared" si="0"/>
        <v>1</v>
      </c>
      <c r="D11" s="15">
        <f t="shared" si="0"/>
        <v>3</v>
      </c>
      <c r="E11" s="15">
        <f t="shared" si="0"/>
        <v>302</v>
      </c>
      <c r="F11" s="15">
        <f t="shared" si="0"/>
        <v>20</v>
      </c>
      <c r="G11" s="15">
        <f t="shared" si="0"/>
        <v>3.5</v>
      </c>
      <c r="H11" s="15">
        <f t="shared" si="0"/>
        <v>1.3</v>
      </c>
      <c r="I11" s="15">
        <f t="shared" si="0"/>
        <v>0</v>
      </c>
      <c r="J11" s="15">
        <f t="shared" si="0"/>
        <v>30201</v>
      </c>
      <c r="K11" s="15">
        <f t="shared" si="0"/>
        <v>1</v>
      </c>
      <c r="L11" s="15">
        <f t="shared" si="0"/>
        <v>100</v>
      </c>
      <c r="M11" s="15">
        <f t="shared" si="0"/>
        <v>1</v>
      </c>
      <c r="N11" s="15">
        <f t="shared" si="0"/>
        <v>2</v>
      </c>
      <c r="O11" s="15">
        <f t="shared" si="0"/>
        <v>298</v>
      </c>
      <c r="P11" s="15">
        <f t="shared" si="0"/>
        <v>1</v>
      </c>
      <c r="Q11" s="15">
        <f t="shared" si="0"/>
        <v>3</v>
      </c>
      <c r="R11" s="15">
        <f>VLOOKUP($A11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11" s="15">
        <f t="shared" si="0"/>
        <v>0</v>
      </c>
      <c r="T11" s="15">
        <f t="shared" si="0"/>
        <v>0</v>
      </c>
      <c r="U11" s="15">
        <f t="shared" si="0"/>
        <v>0</v>
      </c>
      <c r="V11" s="15">
        <f t="shared" si="0"/>
        <v>0</v>
      </c>
      <c r="W11" s="15">
        <f t="shared" si="0"/>
        <v>1</v>
      </c>
    </row>
    <row r="12" spans="1:23" x14ac:dyDescent="0.15">
      <c r="A12" s="19" t="str">
        <f t="shared" si="1"/>
        <v>20009_2-1/5&lt;lv22&gt;s3</v>
      </c>
      <c r="B12" s="15">
        <f t="shared" si="0"/>
        <v>20009</v>
      </c>
      <c r="C12" s="15">
        <f t="shared" si="0"/>
        <v>2</v>
      </c>
      <c r="D12" s="15">
        <f t="shared" si="0"/>
        <v>1</v>
      </c>
      <c r="E12" s="15">
        <f t="shared" si="0"/>
        <v>5</v>
      </c>
      <c r="F12" s="15">
        <f t="shared" si="0"/>
        <v>22</v>
      </c>
      <c r="G12" s="15">
        <f t="shared" si="0"/>
        <v>1.5</v>
      </c>
      <c r="H12" s="15">
        <f t="shared" si="0"/>
        <v>1.3</v>
      </c>
      <c r="I12" s="15">
        <f t="shared" si="0"/>
        <v>0</v>
      </c>
      <c r="J12" s="15">
        <f t="shared" si="0"/>
        <v>0</v>
      </c>
      <c r="K12" s="15">
        <f t="shared" si="0"/>
        <v>0</v>
      </c>
      <c r="L12" s="15">
        <f t="shared" si="0"/>
        <v>100</v>
      </c>
      <c r="M12" s="15">
        <f t="shared" si="0"/>
        <v>0</v>
      </c>
      <c r="N12" s="15">
        <f t="shared" si="0"/>
        <v>3</v>
      </c>
      <c r="O12" s="15">
        <f t="shared" si="0"/>
        <v>5</v>
      </c>
      <c r="P12" s="15">
        <f t="shared" si="0"/>
        <v>3</v>
      </c>
      <c r="Q12" s="15">
        <f t="shared" si="0"/>
        <v>1</v>
      </c>
      <c r="R12" s="15">
        <f t="shared" si="0"/>
        <v>0</v>
      </c>
      <c r="S12" s="15">
        <f t="shared" si="0"/>
        <v>0</v>
      </c>
      <c r="T12" s="15">
        <f t="shared" si="0"/>
        <v>0</v>
      </c>
      <c r="U12" s="15">
        <f t="shared" si="0"/>
        <v>0</v>
      </c>
      <c r="V12" s="15">
        <f t="shared" si="0"/>
        <v>0</v>
      </c>
      <c r="W12" s="15">
        <f t="shared" si="0"/>
        <v>1</v>
      </c>
    </row>
    <row r="13" spans="1:23" x14ac:dyDescent="0.15">
      <c r="A13" s="19" t="str">
        <f t="shared" si="1"/>
        <v>20009_2-1/17&lt;lv22&gt;s2</v>
      </c>
      <c r="B13" s="15">
        <f t="shared" si="0"/>
        <v>20009</v>
      </c>
      <c r="C13" s="15">
        <f t="shared" si="0"/>
        <v>2</v>
      </c>
      <c r="D13" s="15">
        <f t="shared" si="0"/>
        <v>1</v>
      </c>
      <c r="E13" s="15">
        <f t="shared" si="0"/>
        <v>17</v>
      </c>
      <c r="F13" s="15">
        <f t="shared" si="0"/>
        <v>22</v>
      </c>
      <c r="G13" s="15">
        <f t="shared" si="0"/>
        <v>1.5</v>
      </c>
      <c r="H13" s="15">
        <f t="shared" si="0"/>
        <v>1.3</v>
      </c>
      <c r="I13" s="15">
        <f t="shared" si="0"/>
        <v>0</v>
      </c>
      <c r="J13" s="15">
        <f t="shared" si="0"/>
        <v>0</v>
      </c>
      <c r="K13" s="15">
        <f t="shared" si="0"/>
        <v>0</v>
      </c>
      <c r="L13" s="15">
        <f t="shared" si="0"/>
        <v>100</v>
      </c>
      <c r="M13" s="15">
        <f t="shared" si="0"/>
        <v>0</v>
      </c>
      <c r="N13" s="15">
        <f t="shared" si="0"/>
        <v>2</v>
      </c>
      <c r="O13" s="15">
        <f t="shared" si="0"/>
        <v>17</v>
      </c>
      <c r="P13" s="15">
        <f t="shared" si="0"/>
        <v>3</v>
      </c>
      <c r="Q13" s="15">
        <f t="shared" si="0"/>
        <v>1</v>
      </c>
      <c r="R13" s="15">
        <f t="shared" si="0"/>
        <v>0</v>
      </c>
      <c r="S13" s="15">
        <f t="shared" si="0"/>
        <v>0</v>
      </c>
      <c r="T13" s="15">
        <f t="shared" si="0"/>
        <v>0</v>
      </c>
      <c r="U13" s="15">
        <f t="shared" si="0"/>
        <v>0</v>
      </c>
      <c r="V13" s="15">
        <f t="shared" si="0"/>
        <v>0</v>
      </c>
      <c r="W13" s="15">
        <f t="shared" si="0"/>
        <v>1</v>
      </c>
    </row>
    <row r="14" spans="1:23" x14ac:dyDescent="0.15">
      <c r="A14" s="19" t="str">
        <f t="shared" si="1"/>
        <v>20009_2-1/25&lt;lv22&gt;s3</v>
      </c>
      <c r="B14" s="15">
        <f t="shared" si="0"/>
        <v>20009</v>
      </c>
      <c r="C14" s="15">
        <f t="shared" si="0"/>
        <v>2</v>
      </c>
      <c r="D14" s="15">
        <f t="shared" si="0"/>
        <v>1</v>
      </c>
      <c r="E14" s="15">
        <f t="shared" si="0"/>
        <v>25</v>
      </c>
      <c r="F14" s="15">
        <f t="shared" si="0"/>
        <v>22</v>
      </c>
      <c r="G14" s="15">
        <f t="shared" si="0"/>
        <v>1.5</v>
      </c>
      <c r="H14" s="15">
        <f t="shared" si="0"/>
        <v>1.3</v>
      </c>
      <c r="I14" s="15">
        <f t="shared" si="0"/>
        <v>0</v>
      </c>
      <c r="J14" s="15">
        <f t="shared" si="0"/>
        <v>0</v>
      </c>
      <c r="K14" s="15">
        <f t="shared" si="0"/>
        <v>0</v>
      </c>
      <c r="L14" s="15">
        <f t="shared" si="0"/>
        <v>100</v>
      </c>
      <c r="M14" s="15">
        <f t="shared" si="0"/>
        <v>0</v>
      </c>
      <c r="N14" s="15">
        <f t="shared" si="0"/>
        <v>3</v>
      </c>
      <c r="O14" s="15">
        <f t="shared" ref="O14:W29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25</v>
      </c>
      <c r="P14" s="15">
        <f t="shared" si="2"/>
        <v>3</v>
      </c>
      <c r="Q14" s="15">
        <f t="shared" si="2"/>
        <v>1</v>
      </c>
      <c r="R14" s="15">
        <f t="shared" si="2"/>
        <v>0</v>
      </c>
      <c r="S14" s="15">
        <f t="shared" si="2"/>
        <v>0</v>
      </c>
      <c r="T14" s="15">
        <f t="shared" si="2"/>
        <v>0</v>
      </c>
      <c r="U14" s="15">
        <f t="shared" si="2"/>
        <v>0</v>
      </c>
      <c r="V14" s="15">
        <f t="shared" si="2"/>
        <v>0</v>
      </c>
      <c r="W14" s="15">
        <f t="shared" si="2"/>
        <v>1</v>
      </c>
    </row>
    <row r="15" spans="1:23" x14ac:dyDescent="0.15">
      <c r="A15" s="19" t="str">
        <f t="shared" si="1"/>
        <v>20009_2-1/29&lt;lv22&gt;s2</v>
      </c>
      <c r="B15" s="15">
        <f t="shared" ref="B15:Q30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20009</v>
      </c>
      <c r="C15" s="15">
        <f t="shared" si="3"/>
        <v>2</v>
      </c>
      <c r="D15" s="15">
        <f t="shared" si="3"/>
        <v>1</v>
      </c>
      <c r="E15" s="15">
        <f t="shared" si="3"/>
        <v>29</v>
      </c>
      <c r="F15" s="15">
        <f t="shared" si="3"/>
        <v>22</v>
      </c>
      <c r="G15" s="15">
        <f t="shared" si="3"/>
        <v>1.5</v>
      </c>
      <c r="H15" s="15">
        <f t="shared" si="3"/>
        <v>1.3</v>
      </c>
      <c r="I15" s="15">
        <f t="shared" si="3"/>
        <v>0</v>
      </c>
      <c r="J15" s="15">
        <f t="shared" si="3"/>
        <v>0</v>
      </c>
      <c r="K15" s="15">
        <f t="shared" si="3"/>
        <v>0</v>
      </c>
      <c r="L15" s="15">
        <f t="shared" si="3"/>
        <v>100</v>
      </c>
      <c r="M15" s="15">
        <f t="shared" si="3"/>
        <v>0</v>
      </c>
      <c r="N15" s="15">
        <f t="shared" si="3"/>
        <v>2</v>
      </c>
      <c r="O15" s="15">
        <f t="shared" si="3"/>
        <v>29</v>
      </c>
      <c r="P15" s="15">
        <f t="shared" si="3"/>
        <v>3</v>
      </c>
      <c r="Q15" s="15">
        <f t="shared" si="3"/>
        <v>1</v>
      </c>
      <c r="R15" s="15">
        <f t="shared" si="2"/>
        <v>0</v>
      </c>
      <c r="S15" s="15">
        <f t="shared" si="2"/>
        <v>0</v>
      </c>
      <c r="T15" s="15">
        <f t="shared" si="2"/>
        <v>0</v>
      </c>
      <c r="U15" s="15">
        <f t="shared" si="2"/>
        <v>0</v>
      </c>
      <c r="V15" s="15">
        <f t="shared" si="2"/>
        <v>0</v>
      </c>
      <c r="W15" s="15">
        <f t="shared" si="2"/>
        <v>1</v>
      </c>
    </row>
    <row r="16" spans="1:23" x14ac:dyDescent="0.15">
      <c r="A16" s="19" t="str">
        <f t="shared" si="1"/>
        <v>20009_2-1/342&lt;lv7&gt;s3</v>
      </c>
      <c r="B16" s="15">
        <f t="shared" si="3"/>
        <v>20009</v>
      </c>
      <c r="C16" s="15">
        <f t="shared" si="3"/>
        <v>2</v>
      </c>
      <c r="D16" s="15">
        <f t="shared" si="3"/>
        <v>1</v>
      </c>
      <c r="E16" s="15">
        <f t="shared" si="3"/>
        <v>342</v>
      </c>
      <c r="F16" s="15">
        <f t="shared" si="3"/>
        <v>7</v>
      </c>
      <c r="G16" s="15">
        <f t="shared" si="3"/>
        <v>0.3</v>
      </c>
      <c r="H16" s="15">
        <f t="shared" si="3"/>
        <v>1</v>
      </c>
      <c r="I16" s="15">
        <f t="shared" si="3"/>
        <v>0</v>
      </c>
      <c r="J16" s="15">
        <f t="shared" si="3"/>
        <v>0</v>
      </c>
      <c r="K16" s="15">
        <f t="shared" si="3"/>
        <v>1</v>
      </c>
      <c r="L16" s="15">
        <f t="shared" si="3"/>
        <v>100</v>
      </c>
      <c r="M16" s="15">
        <f t="shared" si="3"/>
        <v>1</v>
      </c>
      <c r="N16" s="15">
        <f t="shared" si="3"/>
        <v>3</v>
      </c>
      <c r="O16" s="15">
        <f t="shared" si="3"/>
        <v>342</v>
      </c>
      <c r="P16" s="15">
        <f t="shared" si="3"/>
        <v>1</v>
      </c>
      <c r="Q16" s="15">
        <f t="shared" si="3"/>
        <v>5</v>
      </c>
      <c r="R16" s="15">
        <f t="shared" si="2"/>
        <v>25</v>
      </c>
      <c r="S16" s="15">
        <f t="shared" si="2"/>
        <v>0</v>
      </c>
      <c r="T16" s="15">
        <f t="shared" si="2"/>
        <v>0</v>
      </c>
      <c r="U16" s="15">
        <f t="shared" si="2"/>
        <v>0</v>
      </c>
      <c r="V16" s="15">
        <f t="shared" si="2"/>
        <v>0</v>
      </c>
      <c r="W16" s="15">
        <f t="shared" si="2"/>
        <v>1</v>
      </c>
    </row>
    <row r="17" spans="1:23" x14ac:dyDescent="0.15">
      <c r="A17" s="19" t="str">
        <f t="shared" si="1"/>
        <v>20009_2-2/6&lt;lv22&gt;s3</v>
      </c>
      <c r="B17" s="15">
        <f t="shared" si="3"/>
        <v>20009</v>
      </c>
      <c r="C17" s="15">
        <f t="shared" si="3"/>
        <v>2</v>
      </c>
      <c r="D17" s="15">
        <f t="shared" si="3"/>
        <v>2</v>
      </c>
      <c r="E17" s="15">
        <f t="shared" si="3"/>
        <v>6</v>
      </c>
      <c r="F17" s="15">
        <f t="shared" si="3"/>
        <v>22</v>
      </c>
      <c r="G17" s="15">
        <f t="shared" si="3"/>
        <v>1.5</v>
      </c>
      <c r="H17" s="15">
        <f t="shared" si="3"/>
        <v>1.4</v>
      </c>
      <c r="I17" s="15">
        <f t="shared" si="3"/>
        <v>0</v>
      </c>
      <c r="J17" s="15">
        <f t="shared" si="3"/>
        <v>0</v>
      </c>
      <c r="K17" s="15">
        <f t="shared" si="3"/>
        <v>0</v>
      </c>
      <c r="L17" s="15">
        <f t="shared" si="3"/>
        <v>100</v>
      </c>
      <c r="M17" s="15">
        <f t="shared" si="3"/>
        <v>0</v>
      </c>
      <c r="N17" s="15">
        <f t="shared" si="3"/>
        <v>3</v>
      </c>
      <c r="O17" s="15">
        <f t="shared" si="3"/>
        <v>6</v>
      </c>
      <c r="P17" s="15">
        <f t="shared" si="3"/>
        <v>3</v>
      </c>
      <c r="Q17" s="15">
        <f t="shared" si="3"/>
        <v>2</v>
      </c>
      <c r="R17" s="15">
        <f t="shared" si="2"/>
        <v>26</v>
      </c>
      <c r="S17" s="15">
        <f t="shared" si="2"/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1</v>
      </c>
    </row>
    <row r="18" spans="1:23" x14ac:dyDescent="0.15">
      <c r="A18" s="19" t="str">
        <f t="shared" si="1"/>
        <v>20009_2-2/18&lt;lv22&gt;s2</v>
      </c>
      <c r="B18" s="15">
        <f t="shared" si="3"/>
        <v>20009</v>
      </c>
      <c r="C18" s="15">
        <f t="shared" si="3"/>
        <v>2</v>
      </c>
      <c r="D18" s="15">
        <f t="shared" si="3"/>
        <v>2</v>
      </c>
      <c r="E18" s="15">
        <f t="shared" si="3"/>
        <v>18</v>
      </c>
      <c r="F18" s="15">
        <f t="shared" si="3"/>
        <v>22</v>
      </c>
      <c r="G18" s="15">
        <f t="shared" si="3"/>
        <v>1.5</v>
      </c>
      <c r="H18" s="15">
        <f t="shared" si="3"/>
        <v>1.4</v>
      </c>
      <c r="I18" s="15">
        <f t="shared" si="3"/>
        <v>0</v>
      </c>
      <c r="J18" s="15">
        <f t="shared" si="3"/>
        <v>0</v>
      </c>
      <c r="K18" s="15">
        <f t="shared" si="3"/>
        <v>0</v>
      </c>
      <c r="L18" s="15">
        <f t="shared" si="3"/>
        <v>100</v>
      </c>
      <c r="M18" s="15">
        <f t="shared" si="3"/>
        <v>0</v>
      </c>
      <c r="N18" s="15">
        <f t="shared" si="3"/>
        <v>2</v>
      </c>
      <c r="O18" s="15">
        <f t="shared" si="3"/>
        <v>18</v>
      </c>
      <c r="P18" s="15">
        <f t="shared" si="3"/>
        <v>3</v>
      </c>
      <c r="Q18" s="15">
        <f t="shared" si="3"/>
        <v>2</v>
      </c>
      <c r="R18" s="15">
        <f t="shared" si="2"/>
        <v>26</v>
      </c>
      <c r="S18" s="15">
        <f t="shared" si="2"/>
        <v>0</v>
      </c>
      <c r="T18" s="15">
        <f t="shared" si="2"/>
        <v>0</v>
      </c>
      <c r="U18" s="15">
        <f t="shared" si="2"/>
        <v>0</v>
      </c>
      <c r="V18" s="15">
        <f t="shared" si="2"/>
        <v>0</v>
      </c>
      <c r="W18" s="15">
        <f t="shared" si="2"/>
        <v>1</v>
      </c>
    </row>
    <row r="19" spans="1:23" x14ac:dyDescent="0.15">
      <c r="A19" s="19" t="str">
        <f t="shared" si="1"/>
        <v>20009_2-2/26&lt;lv22&gt;s3</v>
      </c>
      <c r="B19" s="15">
        <f t="shared" si="3"/>
        <v>20009</v>
      </c>
      <c r="C19" s="15">
        <f t="shared" si="3"/>
        <v>2</v>
      </c>
      <c r="D19" s="15">
        <f t="shared" si="3"/>
        <v>2</v>
      </c>
      <c r="E19" s="15">
        <f t="shared" si="3"/>
        <v>26</v>
      </c>
      <c r="F19" s="15">
        <f t="shared" si="3"/>
        <v>22</v>
      </c>
      <c r="G19" s="15">
        <f t="shared" si="3"/>
        <v>1.5</v>
      </c>
      <c r="H19" s="15">
        <f t="shared" si="3"/>
        <v>1.4</v>
      </c>
      <c r="I19" s="15">
        <f t="shared" si="3"/>
        <v>0</v>
      </c>
      <c r="J19" s="15">
        <f t="shared" si="3"/>
        <v>0</v>
      </c>
      <c r="K19" s="15">
        <f t="shared" si="3"/>
        <v>0</v>
      </c>
      <c r="L19" s="15">
        <f t="shared" si="3"/>
        <v>100</v>
      </c>
      <c r="M19" s="15">
        <f t="shared" si="3"/>
        <v>0</v>
      </c>
      <c r="N19" s="15">
        <f t="shared" si="3"/>
        <v>3</v>
      </c>
      <c r="O19" s="15">
        <f t="shared" si="3"/>
        <v>26</v>
      </c>
      <c r="P19" s="15">
        <f t="shared" si="3"/>
        <v>3</v>
      </c>
      <c r="Q19" s="15">
        <f t="shared" si="3"/>
        <v>2</v>
      </c>
      <c r="R19" s="15">
        <f t="shared" si="2"/>
        <v>26</v>
      </c>
      <c r="S19" s="15">
        <f t="shared" si="2"/>
        <v>0</v>
      </c>
      <c r="T19" s="15">
        <f t="shared" si="2"/>
        <v>0</v>
      </c>
      <c r="U19" s="15">
        <f t="shared" si="2"/>
        <v>0</v>
      </c>
      <c r="V19" s="15">
        <f t="shared" si="2"/>
        <v>0</v>
      </c>
      <c r="W19" s="15">
        <f t="shared" si="2"/>
        <v>1</v>
      </c>
    </row>
    <row r="20" spans="1:23" x14ac:dyDescent="0.15">
      <c r="A20" s="19" t="str">
        <f t="shared" si="1"/>
        <v>20009_2-2/30&lt;lv22&gt;s2</v>
      </c>
      <c r="B20" s="15">
        <f t="shared" si="3"/>
        <v>20009</v>
      </c>
      <c r="C20" s="15">
        <f t="shared" si="3"/>
        <v>2</v>
      </c>
      <c r="D20" s="15">
        <f t="shared" si="3"/>
        <v>2</v>
      </c>
      <c r="E20" s="15">
        <f t="shared" si="3"/>
        <v>30</v>
      </c>
      <c r="F20" s="15">
        <f t="shared" si="3"/>
        <v>22</v>
      </c>
      <c r="G20" s="15">
        <f t="shared" si="3"/>
        <v>1.5</v>
      </c>
      <c r="H20" s="15">
        <f t="shared" si="3"/>
        <v>1.4</v>
      </c>
      <c r="I20" s="15">
        <f t="shared" si="3"/>
        <v>0</v>
      </c>
      <c r="J20" s="15">
        <f t="shared" si="3"/>
        <v>30</v>
      </c>
      <c r="K20" s="15">
        <f t="shared" si="3"/>
        <v>0</v>
      </c>
      <c r="L20" s="15">
        <f t="shared" si="3"/>
        <v>100</v>
      </c>
      <c r="M20" s="15">
        <f t="shared" si="3"/>
        <v>0</v>
      </c>
      <c r="N20" s="15">
        <f t="shared" si="3"/>
        <v>2</v>
      </c>
      <c r="O20" s="15">
        <f t="shared" si="3"/>
        <v>30</v>
      </c>
      <c r="P20" s="15">
        <f t="shared" si="3"/>
        <v>3</v>
      </c>
      <c r="Q20" s="15">
        <f t="shared" si="3"/>
        <v>2</v>
      </c>
      <c r="R20" s="15">
        <f t="shared" si="2"/>
        <v>26</v>
      </c>
      <c r="S20" s="15">
        <f t="shared" si="2"/>
        <v>0</v>
      </c>
      <c r="T20" s="15">
        <f t="shared" si="2"/>
        <v>0</v>
      </c>
      <c r="U20" s="15">
        <f t="shared" si="2"/>
        <v>0</v>
      </c>
      <c r="V20" s="15">
        <f t="shared" si="2"/>
        <v>0</v>
      </c>
      <c r="W20" s="15">
        <f t="shared" si="2"/>
        <v>1</v>
      </c>
    </row>
    <row r="21" spans="1:23" x14ac:dyDescent="0.15">
      <c r="A21" s="19" t="str">
        <f t="shared" si="1"/>
        <v>20009_2-2/2&lt;lv22&gt;s1</v>
      </c>
      <c r="B21" s="15">
        <f t="shared" si="3"/>
        <v>20009</v>
      </c>
      <c r="C21" s="15">
        <f t="shared" si="3"/>
        <v>2</v>
      </c>
      <c r="D21" s="15">
        <f t="shared" si="3"/>
        <v>2</v>
      </c>
      <c r="E21" s="15">
        <f t="shared" si="3"/>
        <v>2</v>
      </c>
      <c r="F21" s="15">
        <f t="shared" si="3"/>
        <v>22</v>
      </c>
      <c r="G21" s="15">
        <f t="shared" si="3"/>
        <v>1.5</v>
      </c>
      <c r="H21" s="15">
        <f t="shared" si="3"/>
        <v>1.4</v>
      </c>
      <c r="I21" s="15">
        <f t="shared" si="3"/>
        <v>0</v>
      </c>
      <c r="J21" s="15">
        <f t="shared" si="3"/>
        <v>0</v>
      </c>
      <c r="K21" s="15">
        <f t="shared" si="3"/>
        <v>0</v>
      </c>
      <c r="L21" s="15">
        <f t="shared" si="3"/>
        <v>100</v>
      </c>
      <c r="M21" s="15">
        <f t="shared" si="3"/>
        <v>0</v>
      </c>
      <c r="N21" s="15">
        <f t="shared" si="3"/>
        <v>1</v>
      </c>
      <c r="O21" s="15">
        <f t="shared" si="3"/>
        <v>2</v>
      </c>
      <c r="P21" s="15">
        <f t="shared" si="3"/>
        <v>3</v>
      </c>
      <c r="Q21" s="15">
        <f t="shared" si="3"/>
        <v>2</v>
      </c>
      <c r="R21" s="15">
        <f t="shared" si="2"/>
        <v>26</v>
      </c>
      <c r="S21" s="15">
        <f t="shared" si="2"/>
        <v>0</v>
      </c>
      <c r="T21" s="15">
        <f t="shared" si="2"/>
        <v>0</v>
      </c>
      <c r="U21" s="15">
        <f t="shared" si="2"/>
        <v>0</v>
      </c>
      <c r="V21" s="15">
        <f t="shared" si="2"/>
        <v>0</v>
      </c>
      <c r="W21" s="15">
        <f t="shared" si="2"/>
        <v>1</v>
      </c>
    </row>
    <row r="22" spans="1:23" x14ac:dyDescent="0.15">
      <c r="A22" s="19" t="str">
        <f t="shared" si="1"/>
        <v>20009_2-2/10&lt;lv22&gt;s2</v>
      </c>
      <c r="B22" s="15">
        <f t="shared" si="3"/>
        <v>20009</v>
      </c>
      <c r="C22" s="15">
        <f t="shared" si="3"/>
        <v>2</v>
      </c>
      <c r="D22" s="15">
        <f t="shared" si="3"/>
        <v>2</v>
      </c>
      <c r="E22" s="15">
        <f t="shared" si="3"/>
        <v>10</v>
      </c>
      <c r="F22" s="15">
        <f t="shared" si="3"/>
        <v>22</v>
      </c>
      <c r="G22" s="15">
        <f t="shared" si="3"/>
        <v>1.5</v>
      </c>
      <c r="H22" s="15">
        <f t="shared" si="3"/>
        <v>1.4</v>
      </c>
      <c r="I22" s="15">
        <f t="shared" si="3"/>
        <v>0</v>
      </c>
      <c r="J22" s="15">
        <f t="shared" si="3"/>
        <v>0</v>
      </c>
      <c r="K22" s="15">
        <f t="shared" si="3"/>
        <v>0</v>
      </c>
      <c r="L22" s="15">
        <f t="shared" si="3"/>
        <v>100</v>
      </c>
      <c r="M22" s="15">
        <f t="shared" si="3"/>
        <v>0</v>
      </c>
      <c r="N22" s="15">
        <f t="shared" si="3"/>
        <v>2</v>
      </c>
      <c r="O22" s="15">
        <f t="shared" si="3"/>
        <v>10</v>
      </c>
      <c r="P22" s="15">
        <f t="shared" si="3"/>
        <v>3</v>
      </c>
      <c r="Q22" s="15">
        <f t="shared" si="3"/>
        <v>2</v>
      </c>
      <c r="R22" s="15">
        <f t="shared" si="2"/>
        <v>26</v>
      </c>
      <c r="S22" s="15">
        <f t="shared" si="2"/>
        <v>0</v>
      </c>
      <c r="T22" s="15">
        <f t="shared" si="2"/>
        <v>0</v>
      </c>
      <c r="U22" s="15">
        <f t="shared" si="2"/>
        <v>0</v>
      </c>
      <c r="V22" s="15">
        <f t="shared" si="2"/>
        <v>0</v>
      </c>
      <c r="W22" s="15">
        <f t="shared" si="2"/>
        <v>1</v>
      </c>
    </row>
    <row r="23" spans="1:23" x14ac:dyDescent="0.15">
      <c r="A23" s="19" t="str">
        <f t="shared" si="1"/>
        <v>20009_2-2/16&lt;lv22&gt;s3</v>
      </c>
      <c r="B23" s="15">
        <f t="shared" si="3"/>
        <v>20009</v>
      </c>
      <c r="C23" s="15">
        <f t="shared" si="3"/>
        <v>2</v>
      </c>
      <c r="D23" s="15">
        <f t="shared" si="3"/>
        <v>2</v>
      </c>
      <c r="E23" s="15">
        <f t="shared" si="3"/>
        <v>16</v>
      </c>
      <c r="F23" s="15">
        <f t="shared" si="3"/>
        <v>22</v>
      </c>
      <c r="G23" s="15">
        <f t="shared" si="3"/>
        <v>1.5</v>
      </c>
      <c r="H23" s="15">
        <f t="shared" si="3"/>
        <v>1.4</v>
      </c>
      <c r="I23" s="15">
        <f t="shared" si="3"/>
        <v>0</v>
      </c>
      <c r="J23" s="15">
        <f t="shared" si="3"/>
        <v>0</v>
      </c>
      <c r="K23" s="15">
        <f t="shared" si="3"/>
        <v>0</v>
      </c>
      <c r="L23" s="15">
        <f t="shared" si="3"/>
        <v>100</v>
      </c>
      <c r="M23" s="15">
        <f t="shared" si="3"/>
        <v>0</v>
      </c>
      <c r="N23" s="15">
        <f t="shared" si="3"/>
        <v>3</v>
      </c>
      <c r="O23" s="15">
        <f t="shared" si="3"/>
        <v>16</v>
      </c>
      <c r="P23" s="15">
        <f t="shared" si="3"/>
        <v>3</v>
      </c>
      <c r="Q23" s="15">
        <f t="shared" si="3"/>
        <v>2</v>
      </c>
      <c r="R23" s="15">
        <f t="shared" si="2"/>
        <v>26</v>
      </c>
      <c r="S23" s="15">
        <f t="shared" si="2"/>
        <v>0</v>
      </c>
      <c r="T23" s="15">
        <f t="shared" si="2"/>
        <v>0</v>
      </c>
      <c r="U23" s="15">
        <f t="shared" si="2"/>
        <v>0</v>
      </c>
      <c r="V23" s="15">
        <f t="shared" si="2"/>
        <v>0</v>
      </c>
      <c r="W23" s="15">
        <f t="shared" si="2"/>
        <v>1</v>
      </c>
    </row>
    <row r="24" spans="1:23" x14ac:dyDescent="0.15">
      <c r="A24" s="19" t="str">
        <f t="shared" si="1"/>
        <v>20009_2-2/22&lt;lv22&gt;s2</v>
      </c>
      <c r="B24" s="15">
        <f t="shared" si="3"/>
        <v>20009</v>
      </c>
      <c r="C24" s="15">
        <f t="shared" si="3"/>
        <v>2</v>
      </c>
      <c r="D24" s="15">
        <f t="shared" si="3"/>
        <v>2</v>
      </c>
      <c r="E24" s="15">
        <f t="shared" si="3"/>
        <v>22</v>
      </c>
      <c r="F24" s="15">
        <f t="shared" si="3"/>
        <v>22</v>
      </c>
      <c r="G24" s="15">
        <f t="shared" si="3"/>
        <v>1.5</v>
      </c>
      <c r="H24" s="15">
        <f t="shared" si="3"/>
        <v>1.4</v>
      </c>
      <c r="I24" s="15">
        <f t="shared" si="3"/>
        <v>0</v>
      </c>
      <c r="J24" s="15">
        <f t="shared" si="3"/>
        <v>0</v>
      </c>
      <c r="K24" s="15">
        <f t="shared" si="3"/>
        <v>0</v>
      </c>
      <c r="L24" s="15">
        <f t="shared" si="3"/>
        <v>100</v>
      </c>
      <c r="M24" s="15">
        <f t="shared" si="3"/>
        <v>0</v>
      </c>
      <c r="N24" s="15">
        <f t="shared" si="3"/>
        <v>2</v>
      </c>
      <c r="O24" s="15">
        <f t="shared" si="3"/>
        <v>22</v>
      </c>
      <c r="P24" s="15">
        <f t="shared" si="3"/>
        <v>3</v>
      </c>
      <c r="Q24" s="15">
        <f t="shared" si="3"/>
        <v>2</v>
      </c>
      <c r="R24" s="15">
        <f t="shared" si="2"/>
        <v>26</v>
      </c>
      <c r="S24" s="15">
        <f t="shared" si="2"/>
        <v>0</v>
      </c>
      <c r="T24" s="15">
        <f t="shared" si="2"/>
        <v>0</v>
      </c>
      <c r="U24" s="15">
        <f t="shared" si="2"/>
        <v>0</v>
      </c>
      <c r="V24" s="15">
        <f t="shared" si="2"/>
        <v>0</v>
      </c>
      <c r="W24" s="15">
        <f t="shared" si="2"/>
        <v>1</v>
      </c>
    </row>
    <row r="25" spans="1:23" x14ac:dyDescent="0.15">
      <c r="A25" s="19" t="str">
        <f t="shared" si="1"/>
        <v>20009_2-3/302&lt;lv40&gt;s2</v>
      </c>
      <c r="B25" s="15">
        <f t="shared" si="3"/>
        <v>20009</v>
      </c>
      <c r="C25" s="15">
        <f t="shared" si="3"/>
        <v>2</v>
      </c>
      <c r="D25" s="15">
        <f t="shared" si="3"/>
        <v>3</v>
      </c>
      <c r="E25" s="15">
        <f t="shared" si="3"/>
        <v>302</v>
      </c>
      <c r="F25" s="15">
        <f t="shared" si="3"/>
        <v>40</v>
      </c>
      <c r="G25" s="15">
        <f t="shared" si="3"/>
        <v>3.2</v>
      </c>
      <c r="H25" s="15">
        <f t="shared" si="3"/>
        <v>1.5</v>
      </c>
      <c r="I25" s="15">
        <f t="shared" si="3"/>
        <v>0</v>
      </c>
      <c r="J25" s="15">
        <f t="shared" si="3"/>
        <v>30202</v>
      </c>
      <c r="K25" s="15">
        <f t="shared" si="3"/>
        <v>1</v>
      </c>
      <c r="L25" s="15">
        <f t="shared" si="3"/>
        <v>100</v>
      </c>
      <c r="M25" s="15">
        <f t="shared" si="3"/>
        <v>1</v>
      </c>
      <c r="N25" s="15">
        <f t="shared" si="3"/>
        <v>2</v>
      </c>
      <c r="O25" s="15">
        <f t="shared" si="3"/>
        <v>302</v>
      </c>
      <c r="P25" s="15">
        <f t="shared" si="3"/>
        <v>1</v>
      </c>
      <c r="Q25" s="15">
        <f t="shared" si="3"/>
        <v>3</v>
      </c>
      <c r="R25" s="15">
        <f>VLOOKUP($A25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25" s="15">
        <f t="shared" si="2"/>
        <v>0</v>
      </c>
      <c r="T25" s="15">
        <f t="shared" si="2"/>
        <v>0</v>
      </c>
      <c r="U25" s="15">
        <f t="shared" si="2"/>
        <v>0</v>
      </c>
      <c r="V25" s="15">
        <f t="shared" si="2"/>
        <v>0</v>
      </c>
      <c r="W25" s="15">
        <f t="shared" si="2"/>
        <v>1</v>
      </c>
    </row>
    <row r="26" spans="1:23" x14ac:dyDescent="0.15">
      <c r="A26" s="19" t="str">
        <f t="shared" si="1"/>
        <v>20009_2-3/61&lt;lv25&gt;s2</v>
      </c>
      <c r="B26" s="15">
        <f t="shared" si="3"/>
        <v>20009</v>
      </c>
      <c r="C26" s="15">
        <f t="shared" si="3"/>
        <v>2</v>
      </c>
      <c r="D26" s="15">
        <f t="shared" si="3"/>
        <v>3</v>
      </c>
      <c r="E26" s="15">
        <f t="shared" si="3"/>
        <v>61</v>
      </c>
      <c r="F26" s="15">
        <f t="shared" si="3"/>
        <v>25</v>
      </c>
      <c r="G26" s="15">
        <f t="shared" si="3"/>
        <v>2</v>
      </c>
      <c r="H26" s="15">
        <f t="shared" si="3"/>
        <v>1</v>
      </c>
      <c r="I26" s="15">
        <f t="shared" si="3"/>
        <v>0</v>
      </c>
      <c r="J26" s="15">
        <f t="shared" si="3"/>
        <v>61</v>
      </c>
      <c r="K26" s="15">
        <f t="shared" si="3"/>
        <v>2</v>
      </c>
      <c r="L26" s="15">
        <f t="shared" si="3"/>
        <v>100</v>
      </c>
      <c r="M26" s="15">
        <f t="shared" si="3"/>
        <v>0</v>
      </c>
      <c r="N26" s="15">
        <f t="shared" si="3"/>
        <v>2</v>
      </c>
      <c r="O26" s="15">
        <f t="shared" si="3"/>
        <v>61</v>
      </c>
      <c r="P26" s="15">
        <f t="shared" si="3"/>
        <v>1</v>
      </c>
      <c r="Q26" s="15">
        <f t="shared" si="3"/>
        <v>2</v>
      </c>
      <c r="R26" s="15">
        <f t="shared" si="2"/>
        <v>0</v>
      </c>
      <c r="S26" s="15">
        <f t="shared" si="2"/>
        <v>0</v>
      </c>
      <c r="T26" s="15">
        <f t="shared" si="2"/>
        <v>0</v>
      </c>
      <c r="U26" s="15">
        <f t="shared" si="2"/>
        <v>0</v>
      </c>
      <c r="V26" s="15">
        <f t="shared" si="2"/>
        <v>0</v>
      </c>
      <c r="W26" s="15">
        <f t="shared" si="2"/>
        <v>1</v>
      </c>
    </row>
    <row r="27" spans="1:23" x14ac:dyDescent="0.15">
      <c r="A27" s="19" t="str">
        <f t="shared" si="1"/>
        <v>20009_3-1/26&lt;lv30&gt;s3</v>
      </c>
      <c r="B27" s="15">
        <f t="shared" si="3"/>
        <v>20009</v>
      </c>
      <c r="C27" s="15">
        <f t="shared" si="3"/>
        <v>3</v>
      </c>
      <c r="D27" s="15">
        <f t="shared" si="3"/>
        <v>1</v>
      </c>
      <c r="E27" s="15">
        <f t="shared" si="3"/>
        <v>26</v>
      </c>
      <c r="F27" s="15">
        <f t="shared" si="3"/>
        <v>30</v>
      </c>
      <c r="G27" s="15">
        <f t="shared" si="3"/>
        <v>1.5</v>
      </c>
      <c r="H27" s="15">
        <f t="shared" si="3"/>
        <v>1.5</v>
      </c>
      <c r="I27" s="15">
        <f t="shared" si="3"/>
        <v>0</v>
      </c>
      <c r="J27" s="15">
        <f t="shared" si="3"/>
        <v>0</v>
      </c>
      <c r="K27" s="15">
        <f t="shared" si="3"/>
        <v>0</v>
      </c>
      <c r="L27" s="15">
        <f t="shared" si="3"/>
        <v>100</v>
      </c>
      <c r="M27" s="15">
        <f t="shared" si="3"/>
        <v>0</v>
      </c>
      <c r="N27" s="15">
        <f t="shared" si="3"/>
        <v>3</v>
      </c>
      <c r="O27" s="15">
        <f t="shared" si="3"/>
        <v>26</v>
      </c>
      <c r="P27" s="15">
        <f t="shared" si="3"/>
        <v>3</v>
      </c>
      <c r="Q27" s="15">
        <f t="shared" si="3"/>
        <v>2</v>
      </c>
      <c r="R27" s="15">
        <f t="shared" si="2"/>
        <v>0</v>
      </c>
      <c r="S27" s="15">
        <f t="shared" si="2"/>
        <v>0</v>
      </c>
      <c r="T27" s="15">
        <f t="shared" si="2"/>
        <v>0</v>
      </c>
      <c r="U27" s="15">
        <f t="shared" si="2"/>
        <v>0</v>
      </c>
      <c r="V27" s="15">
        <f t="shared" si="2"/>
        <v>0</v>
      </c>
      <c r="W27" s="15">
        <f t="shared" si="2"/>
        <v>1</v>
      </c>
    </row>
    <row r="28" spans="1:23" x14ac:dyDescent="0.15">
      <c r="A28" s="19" t="str">
        <f t="shared" si="1"/>
        <v>20009_3-1/30&lt;lv30&gt;s2</v>
      </c>
      <c r="B28" s="15">
        <f t="shared" si="3"/>
        <v>20009</v>
      </c>
      <c r="C28" s="15">
        <f t="shared" si="3"/>
        <v>3</v>
      </c>
      <c r="D28" s="15">
        <f t="shared" si="3"/>
        <v>1</v>
      </c>
      <c r="E28" s="15">
        <f t="shared" si="3"/>
        <v>30</v>
      </c>
      <c r="F28" s="15">
        <f t="shared" si="3"/>
        <v>30</v>
      </c>
      <c r="G28" s="15">
        <f t="shared" si="3"/>
        <v>1.5</v>
      </c>
      <c r="H28" s="15">
        <f t="shared" si="3"/>
        <v>1.5</v>
      </c>
      <c r="I28" s="15">
        <f t="shared" si="3"/>
        <v>0</v>
      </c>
      <c r="J28" s="15">
        <f t="shared" si="3"/>
        <v>30</v>
      </c>
      <c r="K28" s="15">
        <f t="shared" si="3"/>
        <v>0</v>
      </c>
      <c r="L28" s="15">
        <f t="shared" si="3"/>
        <v>100</v>
      </c>
      <c r="M28" s="15">
        <f t="shared" si="3"/>
        <v>0</v>
      </c>
      <c r="N28" s="15">
        <f t="shared" si="3"/>
        <v>2</v>
      </c>
      <c r="O28" s="15">
        <f t="shared" si="3"/>
        <v>30</v>
      </c>
      <c r="P28" s="15">
        <f t="shared" si="3"/>
        <v>3</v>
      </c>
      <c r="Q28" s="15">
        <f t="shared" si="3"/>
        <v>2</v>
      </c>
      <c r="R28" s="15">
        <f t="shared" si="2"/>
        <v>0</v>
      </c>
      <c r="S28" s="15">
        <f t="shared" si="2"/>
        <v>0</v>
      </c>
      <c r="T28" s="15">
        <f t="shared" si="2"/>
        <v>0</v>
      </c>
      <c r="U28" s="15">
        <f t="shared" si="2"/>
        <v>0</v>
      </c>
      <c r="V28" s="15">
        <f t="shared" si="2"/>
        <v>0</v>
      </c>
      <c r="W28" s="15">
        <f t="shared" si="2"/>
        <v>1</v>
      </c>
    </row>
    <row r="29" spans="1:23" x14ac:dyDescent="0.15">
      <c r="A29" s="19" t="str">
        <f t="shared" si="1"/>
        <v>20009_3-1/16&lt;lv30&gt;s3</v>
      </c>
      <c r="B29" s="15">
        <f t="shared" si="3"/>
        <v>20009</v>
      </c>
      <c r="C29" s="15">
        <f t="shared" si="3"/>
        <v>3</v>
      </c>
      <c r="D29" s="15">
        <f t="shared" si="3"/>
        <v>1</v>
      </c>
      <c r="E29" s="15">
        <f t="shared" si="3"/>
        <v>16</v>
      </c>
      <c r="F29" s="15">
        <f t="shared" si="3"/>
        <v>30</v>
      </c>
      <c r="G29" s="15">
        <f t="shared" si="3"/>
        <v>1.5</v>
      </c>
      <c r="H29" s="15">
        <f t="shared" si="3"/>
        <v>1.5</v>
      </c>
      <c r="I29" s="15">
        <f t="shared" si="3"/>
        <v>0</v>
      </c>
      <c r="J29" s="15">
        <f t="shared" si="3"/>
        <v>0</v>
      </c>
      <c r="K29" s="15">
        <f t="shared" si="3"/>
        <v>0</v>
      </c>
      <c r="L29" s="15">
        <f t="shared" si="3"/>
        <v>100</v>
      </c>
      <c r="M29" s="15">
        <f t="shared" si="3"/>
        <v>0</v>
      </c>
      <c r="N29" s="15">
        <f t="shared" si="3"/>
        <v>3</v>
      </c>
      <c r="O29" s="15">
        <f t="shared" si="3"/>
        <v>16</v>
      </c>
      <c r="P29" s="15">
        <f t="shared" si="3"/>
        <v>3</v>
      </c>
      <c r="Q29" s="15">
        <f t="shared" si="3"/>
        <v>2</v>
      </c>
      <c r="R29" s="15">
        <f t="shared" si="2"/>
        <v>0</v>
      </c>
      <c r="S29" s="15">
        <f t="shared" si="2"/>
        <v>0</v>
      </c>
      <c r="T29" s="15">
        <f t="shared" si="2"/>
        <v>0</v>
      </c>
      <c r="U29" s="15">
        <f t="shared" si="2"/>
        <v>0</v>
      </c>
      <c r="V29" s="15">
        <f t="shared" si="2"/>
        <v>0</v>
      </c>
      <c r="W29" s="15">
        <f t="shared" si="2"/>
        <v>1</v>
      </c>
    </row>
    <row r="30" spans="1:23" x14ac:dyDescent="0.15">
      <c r="A30" s="19" t="str">
        <f t="shared" si="1"/>
        <v>20009_3-1/22&lt;lv30&gt;s2</v>
      </c>
      <c r="B30" s="15">
        <f t="shared" si="3"/>
        <v>20009</v>
      </c>
      <c r="C30" s="15">
        <f t="shared" si="3"/>
        <v>3</v>
      </c>
      <c r="D30" s="15">
        <f t="shared" si="3"/>
        <v>1</v>
      </c>
      <c r="E30" s="15">
        <f t="shared" si="3"/>
        <v>22</v>
      </c>
      <c r="F30" s="15">
        <f t="shared" si="3"/>
        <v>30</v>
      </c>
      <c r="G30" s="15">
        <f t="shared" si="3"/>
        <v>1.5</v>
      </c>
      <c r="H30" s="15">
        <f t="shared" si="3"/>
        <v>1.5</v>
      </c>
      <c r="I30" s="15">
        <f t="shared" si="3"/>
        <v>0</v>
      </c>
      <c r="J30" s="15">
        <f t="shared" si="3"/>
        <v>0</v>
      </c>
      <c r="K30" s="15">
        <f t="shared" si="3"/>
        <v>0</v>
      </c>
      <c r="L30" s="15">
        <f t="shared" si="3"/>
        <v>100</v>
      </c>
      <c r="M30" s="15">
        <f t="shared" si="3"/>
        <v>0</v>
      </c>
      <c r="N30" s="15">
        <f t="shared" si="3"/>
        <v>2</v>
      </c>
      <c r="O30" s="15">
        <f t="shared" si="3"/>
        <v>22</v>
      </c>
      <c r="P30" s="15">
        <f t="shared" si="3"/>
        <v>3</v>
      </c>
      <c r="Q30" s="15">
        <f t="shared" ref="Q30:W39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0" s="15">
        <f t="shared" si="4"/>
        <v>0</v>
      </c>
      <c r="S30" s="15">
        <f t="shared" si="4"/>
        <v>0</v>
      </c>
      <c r="T30" s="15">
        <f t="shared" si="4"/>
        <v>0</v>
      </c>
      <c r="U30" s="15">
        <f t="shared" si="4"/>
        <v>0</v>
      </c>
      <c r="V30" s="15">
        <f t="shared" si="4"/>
        <v>0</v>
      </c>
      <c r="W30" s="15">
        <f t="shared" si="4"/>
        <v>1</v>
      </c>
    </row>
    <row r="31" spans="1:23" x14ac:dyDescent="0.15">
      <c r="A31" s="19" t="str">
        <f t="shared" si="1"/>
        <v>20009_3-1/24&lt;lv30&gt;s4</v>
      </c>
      <c r="B31" s="15">
        <f t="shared" ref="B31:Q39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20009</v>
      </c>
      <c r="C31" s="15">
        <f t="shared" si="5"/>
        <v>3</v>
      </c>
      <c r="D31" s="15">
        <f t="shared" si="5"/>
        <v>1</v>
      </c>
      <c r="E31" s="15">
        <f t="shared" si="5"/>
        <v>24</v>
      </c>
      <c r="F31" s="15">
        <f t="shared" si="5"/>
        <v>30</v>
      </c>
      <c r="G31" s="15">
        <f t="shared" si="5"/>
        <v>1.5</v>
      </c>
      <c r="H31" s="15">
        <f t="shared" si="5"/>
        <v>1.5</v>
      </c>
      <c r="I31" s="15">
        <f t="shared" si="5"/>
        <v>0</v>
      </c>
      <c r="J31" s="15">
        <f t="shared" si="5"/>
        <v>0</v>
      </c>
      <c r="K31" s="15">
        <f t="shared" si="5"/>
        <v>0</v>
      </c>
      <c r="L31" s="15">
        <f t="shared" si="5"/>
        <v>100</v>
      </c>
      <c r="M31" s="15">
        <f t="shared" si="5"/>
        <v>0</v>
      </c>
      <c r="N31" s="15">
        <f t="shared" si="5"/>
        <v>4</v>
      </c>
      <c r="O31" s="15">
        <f t="shared" si="5"/>
        <v>24</v>
      </c>
      <c r="P31" s="15">
        <f t="shared" si="5"/>
        <v>3</v>
      </c>
      <c r="Q31" s="15">
        <f t="shared" si="5"/>
        <v>2</v>
      </c>
      <c r="R31" s="15">
        <f t="shared" si="4"/>
        <v>0</v>
      </c>
      <c r="S31" s="15">
        <f t="shared" si="4"/>
        <v>0</v>
      </c>
      <c r="T31" s="15">
        <f t="shared" si="4"/>
        <v>0</v>
      </c>
      <c r="U31" s="15">
        <f t="shared" si="4"/>
        <v>0</v>
      </c>
      <c r="V31" s="15">
        <f t="shared" si="4"/>
        <v>0</v>
      </c>
      <c r="W31" s="15">
        <f t="shared" si="4"/>
        <v>1</v>
      </c>
    </row>
    <row r="32" spans="1:23" x14ac:dyDescent="0.15">
      <c r="A32" s="19" t="str">
        <f t="shared" si="1"/>
        <v>20009_3-1/28&lt;lv30&gt;s1</v>
      </c>
      <c r="B32" s="15">
        <f t="shared" si="5"/>
        <v>20009</v>
      </c>
      <c r="C32" s="15">
        <f t="shared" si="5"/>
        <v>3</v>
      </c>
      <c r="D32" s="15">
        <f t="shared" si="5"/>
        <v>1</v>
      </c>
      <c r="E32" s="15">
        <f t="shared" si="5"/>
        <v>28</v>
      </c>
      <c r="F32" s="15">
        <f t="shared" si="5"/>
        <v>30</v>
      </c>
      <c r="G32" s="15">
        <f t="shared" si="5"/>
        <v>1.5</v>
      </c>
      <c r="H32" s="15">
        <f t="shared" si="5"/>
        <v>1.5</v>
      </c>
      <c r="I32" s="15">
        <f t="shared" si="5"/>
        <v>0</v>
      </c>
      <c r="J32" s="15">
        <f t="shared" si="5"/>
        <v>28</v>
      </c>
      <c r="K32" s="15">
        <f t="shared" si="5"/>
        <v>0</v>
      </c>
      <c r="L32" s="15">
        <f t="shared" si="5"/>
        <v>100</v>
      </c>
      <c r="M32" s="15">
        <f t="shared" si="5"/>
        <v>0</v>
      </c>
      <c r="N32" s="15">
        <f t="shared" si="5"/>
        <v>1</v>
      </c>
      <c r="O32" s="15">
        <f t="shared" si="5"/>
        <v>28</v>
      </c>
      <c r="P32" s="15">
        <f t="shared" si="5"/>
        <v>3</v>
      </c>
      <c r="Q32" s="15">
        <f t="shared" si="5"/>
        <v>2</v>
      </c>
      <c r="R32" s="15">
        <f t="shared" si="4"/>
        <v>0</v>
      </c>
      <c r="S32" s="15">
        <f t="shared" si="4"/>
        <v>0</v>
      </c>
      <c r="T32" s="15">
        <f t="shared" si="4"/>
        <v>0</v>
      </c>
      <c r="U32" s="15">
        <f t="shared" si="4"/>
        <v>0</v>
      </c>
      <c r="V32" s="15">
        <f t="shared" si="4"/>
        <v>0</v>
      </c>
      <c r="W32" s="15">
        <f t="shared" si="4"/>
        <v>1</v>
      </c>
    </row>
    <row r="33" spans="1:23" x14ac:dyDescent="0.15">
      <c r="A33" s="19" t="str">
        <f t="shared" si="1"/>
        <v>20009_3-1/20&lt;lv30&gt;s3</v>
      </c>
      <c r="B33" s="15">
        <f t="shared" si="5"/>
        <v>20009</v>
      </c>
      <c r="C33" s="15">
        <f t="shared" si="5"/>
        <v>3</v>
      </c>
      <c r="D33" s="15">
        <f t="shared" si="5"/>
        <v>1</v>
      </c>
      <c r="E33" s="15">
        <f t="shared" si="5"/>
        <v>20</v>
      </c>
      <c r="F33" s="15">
        <f t="shared" si="5"/>
        <v>30</v>
      </c>
      <c r="G33" s="15">
        <f t="shared" si="5"/>
        <v>1.5</v>
      </c>
      <c r="H33" s="15">
        <f t="shared" si="5"/>
        <v>1.5</v>
      </c>
      <c r="I33" s="15">
        <f t="shared" si="5"/>
        <v>0</v>
      </c>
      <c r="J33" s="15">
        <f t="shared" si="5"/>
        <v>0</v>
      </c>
      <c r="K33" s="15">
        <f t="shared" si="5"/>
        <v>0</v>
      </c>
      <c r="L33" s="15">
        <f t="shared" si="5"/>
        <v>100</v>
      </c>
      <c r="M33" s="15">
        <f t="shared" si="5"/>
        <v>0</v>
      </c>
      <c r="N33" s="15">
        <f t="shared" si="5"/>
        <v>3</v>
      </c>
      <c r="O33" s="15">
        <f t="shared" si="5"/>
        <v>20</v>
      </c>
      <c r="P33" s="15">
        <f t="shared" si="5"/>
        <v>3</v>
      </c>
      <c r="Q33" s="15">
        <f t="shared" si="5"/>
        <v>2</v>
      </c>
      <c r="R33" s="15">
        <f t="shared" si="4"/>
        <v>0</v>
      </c>
      <c r="S33" s="15">
        <f t="shared" si="4"/>
        <v>0</v>
      </c>
      <c r="T33" s="15">
        <f t="shared" si="4"/>
        <v>0</v>
      </c>
      <c r="U33" s="15">
        <f t="shared" si="4"/>
        <v>0</v>
      </c>
      <c r="V33" s="15">
        <f t="shared" si="4"/>
        <v>0</v>
      </c>
      <c r="W33" s="15">
        <f t="shared" si="4"/>
        <v>1</v>
      </c>
    </row>
    <row r="34" spans="1:23" x14ac:dyDescent="0.15">
      <c r="A34" s="19" t="str">
        <f t="shared" si="1"/>
        <v>20009_3-1/32&lt;lv30&gt;s5</v>
      </c>
      <c r="B34" s="15">
        <f t="shared" si="5"/>
        <v>20009</v>
      </c>
      <c r="C34" s="15">
        <f t="shared" si="5"/>
        <v>3</v>
      </c>
      <c r="D34" s="15">
        <f t="shared" si="5"/>
        <v>1</v>
      </c>
      <c r="E34" s="15">
        <f t="shared" si="5"/>
        <v>32</v>
      </c>
      <c r="F34" s="15">
        <f t="shared" si="5"/>
        <v>30</v>
      </c>
      <c r="G34" s="15">
        <f t="shared" si="5"/>
        <v>1.5</v>
      </c>
      <c r="H34" s="15">
        <f t="shared" si="5"/>
        <v>1.5</v>
      </c>
      <c r="I34" s="15">
        <f t="shared" si="5"/>
        <v>0</v>
      </c>
      <c r="J34" s="15">
        <f t="shared" si="5"/>
        <v>0</v>
      </c>
      <c r="K34" s="15">
        <f t="shared" si="5"/>
        <v>0</v>
      </c>
      <c r="L34" s="15">
        <f t="shared" si="5"/>
        <v>100</v>
      </c>
      <c r="M34" s="15">
        <f t="shared" si="5"/>
        <v>0</v>
      </c>
      <c r="N34" s="15">
        <f t="shared" si="5"/>
        <v>5</v>
      </c>
      <c r="O34" s="15">
        <f t="shared" si="5"/>
        <v>32</v>
      </c>
      <c r="P34" s="15">
        <f t="shared" si="5"/>
        <v>3</v>
      </c>
      <c r="Q34" s="15">
        <f t="shared" si="5"/>
        <v>2</v>
      </c>
      <c r="R34" s="15">
        <f t="shared" si="4"/>
        <v>0</v>
      </c>
      <c r="S34" s="15">
        <f t="shared" si="4"/>
        <v>0</v>
      </c>
      <c r="T34" s="15">
        <f t="shared" si="4"/>
        <v>0</v>
      </c>
      <c r="U34" s="15">
        <f t="shared" si="4"/>
        <v>0</v>
      </c>
      <c r="V34" s="15">
        <f t="shared" si="4"/>
        <v>0</v>
      </c>
      <c r="W34" s="15">
        <f t="shared" si="4"/>
        <v>1</v>
      </c>
    </row>
    <row r="35" spans="1:23" x14ac:dyDescent="0.15">
      <c r="A35" s="19" t="str">
        <f t="shared" si="1"/>
        <v>20009_3-1/342&lt;lv10&gt;s3</v>
      </c>
      <c r="B35" s="15">
        <f t="shared" si="5"/>
        <v>20009</v>
      </c>
      <c r="C35" s="15">
        <f t="shared" si="5"/>
        <v>3</v>
      </c>
      <c r="D35" s="15">
        <f t="shared" si="5"/>
        <v>1</v>
      </c>
      <c r="E35" s="15">
        <f t="shared" si="5"/>
        <v>342</v>
      </c>
      <c r="F35" s="15">
        <f t="shared" si="5"/>
        <v>10</v>
      </c>
      <c r="G35" s="15">
        <f t="shared" si="5"/>
        <v>0.3</v>
      </c>
      <c r="H35" s="15">
        <f t="shared" si="5"/>
        <v>1</v>
      </c>
      <c r="I35" s="15">
        <f t="shared" si="5"/>
        <v>0</v>
      </c>
      <c r="J35" s="15">
        <f t="shared" si="5"/>
        <v>0</v>
      </c>
      <c r="K35" s="15">
        <f t="shared" si="5"/>
        <v>1</v>
      </c>
      <c r="L35" s="15">
        <f t="shared" si="5"/>
        <v>100</v>
      </c>
      <c r="M35" s="15">
        <f t="shared" si="5"/>
        <v>1</v>
      </c>
      <c r="N35" s="15">
        <f t="shared" si="5"/>
        <v>3</v>
      </c>
      <c r="O35" s="15">
        <f t="shared" si="5"/>
        <v>342</v>
      </c>
      <c r="P35" s="15">
        <f t="shared" si="5"/>
        <v>1</v>
      </c>
      <c r="Q35" s="15">
        <f t="shared" si="5"/>
        <v>5</v>
      </c>
      <c r="R35" s="15">
        <f t="shared" si="4"/>
        <v>40</v>
      </c>
      <c r="S35" s="15">
        <f t="shared" si="4"/>
        <v>0</v>
      </c>
      <c r="T35" s="15">
        <f t="shared" si="4"/>
        <v>0</v>
      </c>
      <c r="U35" s="15">
        <f t="shared" si="4"/>
        <v>0</v>
      </c>
      <c r="V35" s="15">
        <f t="shared" si="4"/>
        <v>0</v>
      </c>
      <c r="W35" s="15">
        <f t="shared" si="4"/>
        <v>1</v>
      </c>
    </row>
    <row r="36" spans="1:23" x14ac:dyDescent="0.15">
      <c r="A36" s="19" t="str">
        <f t="shared" si="1"/>
        <v>20009_3-1/123&lt;lv10&gt;s2</v>
      </c>
      <c r="B36" s="15">
        <f t="shared" si="5"/>
        <v>20009</v>
      </c>
      <c r="C36" s="15">
        <f t="shared" si="5"/>
        <v>3</v>
      </c>
      <c r="D36" s="15">
        <f t="shared" si="5"/>
        <v>1</v>
      </c>
      <c r="E36" s="15">
        <f t="shared" si="5"/>
        <v>123</v>
      </c>
      <c r="F36" s="15">
        <f t="shared" si="5"/>
        <v>10</v>
      </c>
      <c r="G36" s="15">
        <f t="shared" si="5"/>
        <v>0.3</v>
      </c>
      <c r="H36" s="15">
        <f t="shared" si="5"/>
        <v>1</v>
      </c>
      <c r="I36" s="15">
        <f t="shared" si="5"/>
        <v>0</v>
      </c>
      <c r="J36" s="15">
        <f t="shared" si="5"/>
        <v>0</v>
      </c>
      <c r="K36" s="15">
        <f t="shared" si="5"/>
        <v>0</v>
      </c>
      <c r="L36" s="15">
        <f t="shared" si="5"/>
        <v>100</v>
      </c>
      <c r="M36" s="15">
        <f t="shared" si="5"/>
        <v>0</v>
      </c>
      <c r="N36" s="15">
        <f t="shared" si="5"/>
        <v>2</v>
      </c>
      <c r="O36" s="15">
        <f t="shared" si="5"/>
        <v>123</v>
      </c>
      <c r="P36" s="15">
        <f t="shared" si="5"/>
        <v>1</v>
      </c>
      <c r="Q36" s="15">
        <f t="shared" si="5"/>
        <v>3</v>
      </c>
      <c r="R36" s="15">
        <f t="shared" si="4"/>
        <v>40</v>
      </c>
      <c r="S36" s="15">
        <f t="shared" si="4"/>
        <v>0</v>
      </c>
      <c r="T36" s="15">
        <f t="shared" si="4"/>
        <v>0</v>
      </c>
      <c r="U36" s="15">
        <f t="shared" si="4"/>
        <v>0</v>
      </c>
      <c r="V36" s="15">
        <f t="shared" si="4"/>
        <v>0</v>
      </c>
      <c r="W36" s="15">
        <f t="shared" si="4"/>
        <v>1</v>
      </c>
    </row>
    <row r="37" spans="1:23" x14ac:dyDescent="0.15">
      <c r="A37" s="19" t="str">
        <f t="shared" si="1"/>
        <v>20009_3-2/202&lt;lv35&gt;s3</v>
      </c>
      <c r="B37" s="15">
        <f t="shared" si="5"/>
        <v>20009</v>
      </c>
      <c r="C37" s="15">
        <f t="shared" si="5"/>
        <v>3</v>
      </c>
      <c r="D37" s="15">
        <f t="shared" si="5"/>
        <v>2</v>
      </c>
      <c r="E37" s="15">
        <f t="shared" si="5"/>
        <v>202</v>
      </c>
      <c r="F37" s="15">
        <f t="shared" si="5"/>
        <v>35</v>
      </c>
      <c r="G37" s="15">
        <f t="shared" si="5"/>
        <v>2.2000000000000002</v>
      </c>
      <c r="H37" s="15">
        <f t="shared" si="5"/>
        <v>1.1000000000000001</v>
      </c>
      <c r="I37" s="15">
        <f t="shared" si="5"/>
        <v>0</v>
      </c>
      <c r="J37" s="15">
        <f t="shared" si="5"/>
        <v>20201</v>
      </c>
      <c r="K37" s="15">
        <f t="shared" si="5"/>
        <v>1</v>
      </c>
      <c r="L37" s="15">
        <f t="shared" si="5"/>
        <v>100</v>
      </c>
      <c r="M37" s="15">
        <f t="shared" si="5"/>
        <v>1</v>
      </c>
      <c r="N37" s="15">
        <f t="shared" si="5"/>
        <v>3</v>
      </c>
      <c r="O37" s="15">
        <f t="shared" si="5"/>
        <v>202</v>
      </c>
      <c r="P37" s="15">
        <f t="shared" si="5"/>
        <v>1</v>
      </c>
      <c r="Q37" s="15">
        <f t="shared" si="5"/>
        <v>3</v>
      </c>
      <c r="R37" s="15">
        <f t="shared" si="4"/>
        <v>0</v>
      </c>
      <c r="S37" s="15">
        <f t="shared" si="4"/>
        <v>0</v>
      </c>
      <c r="T37" s="15">
        <f t="shared" si="4"/>
        <v>0</v>
      </c>
      <c r="U37" s="15">
        <f t="shared" si="4"/>
        <v>0</v>
      </c>
      <c r="V37" s="15">
        <f t="shared" si="4"/>
        <v>0</v>
      </c>
      <c r="W37" s="15">
        <f t="shared" si="4"/>
        <v>1</v>
      </c>
    </row>
    <row r="38" spans="1:23" x14ac:dyDescent="0.15">
      <c r="A38" s="19" t="str">
        <f t="shared" si="1"/>
        <v>20009_3-3/303&lt;lv50&gt;s2</v>
      </c>
      <c r="B38" s="15">
        <f t="shared" si="5"/>
        <v>20009</v>
      </c>
      <c r="C38" s="15">
        <f t="shared" si="5"/>
        <v>3</v>
      </c>
      <c r="D38" s="15">
        <f t="shared" si="5"/>
        <v>3</v>
      </c>
      <c r="E38" s="15">
        <f t="shared" si="5"/>
        <v>303</v>
      </c>
      <c r="F38" s="15">
        <f t="shared" si="5"/>
        <v>50</v>
      </c>
      <c r="G38" s="15">
        <f t="shared" si="5"/>
        <v>4.2</v>
      </c>
      <c r="H38" s="15">
        <f t="shared" si="5"/>
        <v>1.5</v>
      </c>
      <c r="I38" s="15">
        <f t="shared" si="5"/>
        <v>0</v>
      </c>
      <c r="J38" s="15">
        <f t="shared" si="5"/>
        <v>30301</v>
      </c>
      <c r="K38" s="15">
        <f t="shared" si="5"/>
        <v>1</v>
      </c>
      <c r="L38" s="15">
        <f t="shared" si="5"/>
        <v>100</v>
      </c>
      <c r="M38" s="15">
        <f t="shared" si="5"/>
        <v>1</v>
      </c>
      <c r="N38" s="15">
        <f t="shared" si="5"/>
        <v>2</v>
      </c>
      <c r="O38" s="15">
        <f t="shared" si="5"/>
        <v>302</v>
      </c>
      <c r="P38" s="15">
        <f t="shared" si="5"/>
        <v>1</v>
      </c>
      <c r="Q38" s="15">
        <f t="shared" si="5"/>
        <v>3</v>
      </c>
      <c r="R38" s="15">
        <f>VLOOKUP($A38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38" s="15">
        <f t="shared" si="4"/>
        <v>0</v>
      </c>
      <c r="T38" s="15">
        <f t="shared" si="4"/>
        <v>0</v>
      </c>
      <c r="U38" s="15">
        <f t="shared" si="4"/>
        <v>0</v>
      </c>
      <c r="V38" s="15">
        <f t="shared" si="4"/>
        <v>0</v>
      </c>
      <c r="W38" s="15">
        <f t="shared" si="4"/>
        <v>1</v>
      </c>
    </row>
    <row r="39" spans="1:23" x14ac:dyDescent="0.15">
      <c r="A39" s="19" t="str">
        <f t="shared" si="1"/>
        <v>20009_3-3/61&lt;lv35&gt;s2</v>
      </c>
      <c r="B39" s="15">
        <f t="shared" si="5"/>
        <v>20009</v>
      </c>
      <c r="C39" s="15">
        <f t="shared" si="5"/>
        <v>3</v>
      </c>
      <c r="D39" s="15">
        <f t="shared" si="5"/>
        <v>3</v>
      </c>
      <c r="E39" s="15">
        <f t="shared" si="5"/>
        <v>61</v>
      </c>
      <c r="F39" s="15">
        <f t="shared" si="5"/>
        <v>35</v>
      </c>
      <c r="G39" s="15">
        <f t="shared" si="5"/>
        <v>2.6</v>
      </c>
      <c r="H39" s="15">
        <f t="shared" si="5"/>
        <v>1</v>
      </c>
      <c r="I39" s="15">
        <f t="shared" si="5"/>
        <v>0</v>
      </c>
      <c r="J39" s="15">
        <f t="shared" si="5"/>
        <v>61</v>
      </c>
      <c r="K39" s="15">
        <f t="shared" si="5"/>
        <v>2</v>
      </c>
      <c r="L39" s="15">
        <f t="shared" si="5"/>
        <v>100</v>
      </c>
      <c r="M39" s="15">
        <f t="shared" si="5"/>
        <v>0</v>
      </c>
      <c r="N39" s="15">
        <f t="shared" si="5"/>
        <v>2</v>
      </c>
      <c r="O39" s="15">
        <f t="shared" si="5"/>
        <v>61</v>
      </c>
      <c r="P39" s="15">
        <f t="shared" si="5"/>
        <v>1</v>
      </c>
      <c r="Q39" s="15">
        <f t="shared" si="5"/>
        <v>2</v>
      </c>
      <c r="R39" s="15">
        <f t="shared" si="4"/>
        <v>0</v>
      </c>
      <c r="S39" s="15">
        <f t="shared" si="4"/>
        <v>0</v>
      </c>
      <c r="T39" s="15">
        <f t="shared" si="4"/>
        <v>0</v>
      </c>
      <c r="U39" s="15">
        <f t="shared" si="4"/>
        <v>0</v>
      </c>
      <c r="V39" s="15">
        <f t="shared" si="4"/>
        <v>0</v>
      </c>
      <c r="W39" s="15">
        <f t="shared" si="4"/>
        <v>1</v>
      </c>
    </row>
    <row r="40" spans="1:23" x14ac:dyDescent="0.15">
      <c r="A40"/>
    </row>
    <row r="41" spans="1:23" x14ac:dyDescent="0.15">
      <c r="A41"/>
    </row>
    <row r="42" spans="1:23" x14ac:dyDescent="0.15">
      <c r="A42"/>
    </row>
    <row r="43" spans="1:23" x14ac:dyDescent="0.15">
      <c r="A43"/>
    </row>
    <row r="44" spans="1:23" x14ac:dyDescent="0.15">
      <c r="A44"/>
    </row>
    <row r="45" spans="1:23" x14ac:dyDescent="0.15">
      <c r="A45"/>
    </row>
    <row r="46" spans="1:23" x14ac:dyDescent="0.15">
      <c r="A46"/>
    </row>
    <row r="47" spans="1:23" x14ac:dyDescent="0.15">
      <c r="A47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C7"/>
  <sheetViews>
    <sheetView workbookViewId="0">
      <pane ySplit="2" topLeftCell="A3" activePane="bottomLeft" state="frozen"/>
      <selection activeCell="K21" sqref="K21"/>
      <selection pane="bottomLeft" activeCell="C1" sqref="C1"/>
    </sheetView>
  </sheetViews>
  <sheetFormatPr baseColWidth="12" defaultColWidth="13" defaultRowHeight="15" x14ac:dyDescent="0.15"/>
  <cols>
    <col min="1" max="1" width="12.6640625" bestFit="1" customWidth="1"/>
    <col min="2" max="2" width="66.5" bestFit="1" customWidth="1"/>
    <col min="3" max="3" width="11.6640625" bestFit="1" customWidth="1"/>
  </cols>
  <sheetData>
    <row r="1" spans="1:3" s="134" customFormat="1" x14ac:dyDescent="0.15">
      <c r="A1" s="134">
        <f>MATCH(A2,INDIRECT(C1&amp;"!A:A"),0)-2</f>
        <v>-1</v>
      </c>
      <c r="B1" s="135" t="str">
        <f>"$"&amp;2+$A$1&amp;":$"&amp;2+$A$1</f>
        <v>$1:$1</v>
      </c>
      <c r="C1" s="134" t="s">
        <v>94</v>
      </c>
    </row>
    <row r="2" spans="1:3" s="14" customFormat="1" x14ac:dyDescent="0.15">
      <c r="A2" s="14" t="s">
        <v>55</v>
      </c>
      <c r="B2" s="14" t="s">
        <v>95</v>
      </c>
      <c r="C2" s="14" t="s">
        <v>57</v>
      </c>
    </row>
    <row r="3" spans="1:3" x14ac:dyDescent="0.15">
      <c r="A3" s="136">
        <f t="shared" ref="A3:A7" si="0">INDIRECT(ADDRESS(ROW()+$A$1,COLUMN(),1,TRUE,$C$1))</f>
        <v>300010</v>
      </c>
      <c r="B3" s="136" t="str">
        <f>IF(ISBLANK(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),"",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)</f>
        <v>[effect:heal, target:enemy_one, val:0.1, animation:enemy_heal]</v>
      </c>
      <c r="C3" s="136">
        <f t="shared" ref="C3:C7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</v>
      </c>
    </row>
    <row r="4" spans="1:3" x14ac:dyDescent="0.15">
      <c r="A4" s="136">
        <f t="shared" si="0"/>
        <v>330011</v>
      </c>
      <c r="B4" s="136" t="str">
        <f t="shared" ref="B4:B7" si="2">IF(ISBLANK(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),"",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)</f>
        <v>[effect:hungup, target:unit_one, turn:3, rate:1.0, animation:enemy_hungup],[effect:rush, count:1, val:1.2]</v>
      </c>
      <c r="C4" s="136">
        <f t="shared" si="1"/>
        <v>3</v>
      </c>
    </row>
    <row r="5" spans="1:3" x14ac:dyDescent="0.15">
      <c r="A5" s="136">
        <f t="shared" si="0"/>
        <v>33012</v>
      </c>
      <c r="B5" s="136" t="str">
        <f t="shared" si="2"/>
        <v>[effect:hungup, target:unit_all, turn:3, rate:1.0, animation:enemy_hungup],[effect:spread, val:0.4, animation:enemy_spread]</v>
      </c>
      <c r="C5" s="136">
        <f t="shared" si="1"/>
        <v>3</v>
      </c>
    </row>
    <row r="6" spans="1:3" x14ac:dyDescent="0.15">
      <c r="A6" s="136">
        <f t="shared" si="0"/>
        <v>330013</v>
      </c>
      <c r="B6" s="136" t="str">
        <f t="shared" si="2"/>
        <v>[effect:hungup, target:unit_all, turn:1, rate:1.0, animation:enemy_hungup],[effect:spread, val:0.4, animation:enemy_spread]</v>
      </c>
      <c r="C6" s="136">
        <f t="shared" si="1"/>
        <v>3</v>
      </c>
    </row>
    <row r="7" spans="1:3" x14ac:dyDescent="0.15">
      <c r="A7" s="136">
        <f t="shared" si="0"/>
        <v>23021</v>
      </c>
      <c r="B7" s="136" t="str">
        <f t="shared" si="2"/>
        <v>[effect:spread, val:0.6, animation:enemy_spread]</v>
      </c>
      <c r="C7" s="136">
        <f t="shared" si="1"/>
        <v>3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D7"/>
  <sheetViews>
    <sheetView workbookViewId="0">
      <pane ySplit="2" topLeftCell="A3" activePane="bottomLeft" state="frozen"/>
      <selection activeCell="K21" sqref="K21"/>
      <selection pane="bottomLeft" activeCell="J206" sqref="J206"/>
    </sheetView>
  </sheetViews>
  <sheetFormatPr baseColWidth="12" defaultColWidth="13" defaultRowHeight="15" x14ac:dyDescent="0.15"/>
  <cols>
    <col min="1" max="1" width="12.6640625" bestFit="1" customWidth="1"/>
    <col min="2" max="2" width="8.6640625" bestFit="1" customWidth="1"/>
    <col min="3" max="3" width="15.6640625" bestFit="1" customWidth="1"/>
    <col min="4" max="4" width="44.1640625" bestFit="1" customWidth="1"/>
  </cols>
  <sheetData>
    <row r="1" spans="1:4" s="134" customFormat="1" x14ac:dyDescent="0.15">
      <c r="A1" s="134">
        <f>MATCH(A2,INDIRECT(C1&amp;"!A:A"),0)-2</f>
        <v>-1</v>
      </c>
      <c r="B1" s="135" t="str">
        <f>"$"&amp;2+$A$1&amp;":$"&amp;2+$A$1</f>
        <v>$1:$1</v>
      </c>
      <c r="C1" s="134" t="s">
        <v>96</v>
      </c>
    </row>
    <row r="2" spans="1:4" s="14" customFormat="1" ht="21" customHeight="1" x14ac:dyDescent="0.15">
      <c r="A2" s="14" t="s">
        <v>55</v>
      </c>
      <c r="B2" s="14" t="s">
        <v>97</v>
      </c>
      <c r="C2" s="14" t="s">
        <v>98</v>
      </c>
      <c r="D2" s="14" t="s">
        <v>99</v>
      </c>
    </row>
    <row r="3" spans="1:4" x14ac:dyDescent="0.15">
      <c r="A3" s="136">
        <f t="shared" ref="A3:A7" si="0">INDIRECT(ADDRESS(ROW()+$A$1,COLUMN(),1,TRUE,$C$1))</f>
        <v>300010</v>
      </c>
      <c r="B3" s="136" t="s">
        <v>100</v>
      </c>
      <c r="C3" s="136" t="str">
        <f t="shared" ref="C3:D7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恍惚の表情を浮かべている</v>
      </c>
      <c r="D3" s="136" t="str">
        <f t="shared" si="1"/>
        <v>回復</v>
      </c>
    </row>
    <row r="4" spans="1:4" x14ac:dyDescent="0.15">
      <c r="A4" s="136">
        <f t="shared" si="0"/>
        <v>330011</v>
      </c>
      <c r="B4" s="136" t="s">
        <v>100</v>
      </c>
      <c r="C4" s="136" t="str">
        <f t="shared" si="1"/>
        <v>ダメ…来ないで！</v>
      </c>
      <c r="D4" s="136" t="str">
        <f t="shared" si="1"/>
        <v>3ターンスキルが使えない！＋攻撃</v>
      </c>
    </row>
    <row r="5" spans="1:4" x14ac:dyDescent="0.15">
      <c r="A5" s="136">
        <f t="shared" si="0"/>
        <v>33012</v>
      </c>
      <c r="B5" s="136" t="s">
        <v>100</v>
      </c>
      <c r="C5" s="136" t="str">
        <f t="shared" si="1"/>
        <v>それ以上…近づかれたら…</v>
      </c>
      <c r="D5" s="136" t="str">
        <f t="shared" si="1"/>
        <v>3ターンスキルが使えない！＋全体攻撃</v>
      </c>
    </row>
    <row r="6" spans="1:4" x14ac:dyDescent="0.15">
      <c r="A6" s="136">
        <f t="shared" si="0"/>
        <v>330013</v>
      </c>
      <c r="B6" s="136" t="s">
        <v>100</v>
      </c>
      <c r="C6" s="136" t="str">
        <f t="shared" si="1"/>
        <v>すぐ楽になるわ…</v>
      </c>
      <c r="D6" s="136" t="str">
        <f t="shared" si="1"/>
        <v>1ターンスキルが使えない！＋全体攻撃</v>
      </c>
    </row>
    <row r="7" spans="1:4" x14ac:dyDescent="0.15">
      <c r="A7" s="136">
        <f t="shared" si="0"/>
        <v>23021</v>
      </c>
      <c r="B7" s="136" t="s">
        <v>100</v>
      </c>
      <c r="C7" s="136" t="str">
        <f t="shared" si="1"/>
        <v>抑えられないの…ッ！！</v>
      </c>
      <c r="D7" s="136" t="str">
        <f t="shared" si="1"/>
        <v>全体攻撃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J8"/>
  <sheetViews>
    <sheetView workbookViewId="0">
      <pane ySplit="2" topLeftCell="A3" activePane="bottomLeft" state="frozen"/>
      <selection activeCell="K21" sqref="K21"/>
      <selection pane="bottomLeft" activeCell="A9" sqref="A9:XFD101"/>
    </sheetView>
  </sheetViews>
  <sheetFormatPr baseColWidth="12" defaultColWidth="13" defaultRowHeight="15" x14ac:dyDescent="0.15"/>
  <cols>
    <col min="1" max="1" width="12.6640625" bestFit="1" customWidth="1"/>
    <col min="2" max="2" width="8.6640625" bestFit="1" customWidth="1"/>
    <col min="3" max="3" width="15.6640625" bestFit="1" customWidth="1"/>
    <col min="4" max="5" width="12" bestFit="1" customWidth="1"/>
  </cols>
  <sheetData>
    <row r="1" spans="1:10" s="134" customFormat="1" x14ac:dyDescent="0.15">
      <c r="A1" s="134">
        <f>MATCH(A2,INDIRECT(C1&amp;"!A:A"),0)-2</f>
        <v>-1</v>
      </c>
      <c r="B1" s="135" t="str">
        <f>"$"&amp;2+$A$1&amp;":$"&amp;2+$A$1</f>
        <v>$1:$1</v>
      </c>
      <c r="C1" s="134" t="s">
        <v>101</v>
      </c>
    </row>
    <row r="2" spans="1:10" s="14" customFormat="1" x14ac:dyDescent="0.15">
      <c r="A2" s="14" t="s">
        <v>102</v>
      </c>
      <c r="B2" s="14" t="s">
        <v>88</v>
      </c>
      <c r="C2" s="14" t="s">
        <v>89</v>
      </c>
      <c r="D2" s="14" t="s">
        <v>90</v>
      </c>
      <c r="E2" s="14" t="s">
        <v>103</v>
      </c>
      <c r="F2" s="14" t="s">
        <v>91</v>
      </c>
      <c r="G2" s="14" t="s">
        <v>104</v>
      </c>
      <c r="H2" s="14" t="s">
        <v>105</v>
      </c>
      <c r="I2" s="14" t="s">
        <v>106</v>
      </c>
      <c r="J2" s="14" t="s">
        <v>107</v>
      </c>
    </row>
    <row r="3" spans="1:10" x14ac:dyDescent="0.15">
      <c r="A3" s="136">
        <f t="shared" ref="A3:A8" si="0">INDIRECT(ADDRESS(ROW()+$A$1,COLUMN(),1,TRUE,$C$1))</f>
        <v>20009001</v>
      </c>
      <c r="B3" s="136">
        <f t="shared" ref="B3:C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</v>
      </c>
      <c r="C3" s="136">
        <f t="shared" si="1"/>
        <v>100</v>
      </c>
      <c r="D3" s="136">
        <f>IF(ISBLANK(VLOOKUP($A3,OFFSET(INDIRECT($C$1&amp;"!$A1"),0,0,COUNTA(INDIRECT($C$1&amp;"!$A:$A"))+1,MATCH(D$2,INDIRECT($C$1&amp;"!"&amp;$B$1),0)-MATCH($A$2,INDIRECT($C$1&amp;"!"&amp;$B$1),0)+1),MATCH(D$2,INDIRECT($C$1&amp;"!"&amp;$B$1),0)-MATCH($A$2,INDIRECT($C$1&amp;"!"&amp;$B$1),0)+1,FALSE)),"",VLOOKUP($A3,OFFSET(INDIRECT($C$1&amp;"!$A1"),0,0,COUNTA(INDIRECT($C$1&amp;"!$A:$A"))+1,MATCH(D$2,INDIRECT($C$1&amp;"!"&amp;$B$1),0)-MATCH($A$2,INDIRECT($C$1&amp;"!"&amp;$B$1),0)+1),MATCH(D$2,INDIRECT($C$1&amp;"!"&amp;$B$1),0)-MATCH($A$2,INDIRECT($C$1&amp;"!"&amp;$B$1),0)+1,FALSE))</f>
        <v>35</v>
      </c>
      <c r="E3" s="136" t="str">
        <f>IF(ISBLANK(VLOOKUP($A3,OFFSET(INDIRECT($C$1&amp;"!$A1"),0,0,COUNTA(INDIRECT($C$1&amp;"!$A:$A"))+1,MATCH(E$2,INDIRECT($C$1&amp;"!"&amp;$B$1),0)-MATCH($A$2,INDIRECT($C$1&amp;"!"&amp;$B$1),0)+1),MATCH(E$2,INDIRECT($C$1&amp;"!"&amp;$B$1),0)-MATCH($A$2,INDIRECT($C$1&amp;"!"&amp;$B$1),0)+1,FALSE)),"",VLOOKUP($A3,OFFSET(INDIRECT($C$1&amp;"!$A1"),0,0,COUNTA(INDIRECT($C$1&amp;"!$A:$A"))+1,MATCH(E$2,INDIRECT($C$1&amp;"!"&amp;$B$1),0)-MATCH($A$2,INDIRECT($C$1&amp;"!"&amp;$B$1),0)+1),MATCH(E$2,INDIRECT($C$1&amp;"!"&amp;$B$1),0)-MATCH($A$2,INDIRECT($C$1&amp;"!"&amp;$B$1),0)+1,FALSE))</f>
        <v>null</v>
      </c>
      <c r="F3" s="136">
        <f t="shared" ref="F3:F8" si="2">IF(ISBLANK(VLOOKUP($A3,OFFSET(INDIRECT($C$1&amp;"!$A1"),0,0,COUNTA(INDIRECT($C$1&amp;"!$A:$A"))+1,MATCH(F$2,INDIRECT($C$1&amp;"!"&amp;$B$1),0)-MATCH($A$2,INDIRECT($C$1&amp;"!"&amp;$B$1),0)+1),MATCH(F$2,INDIRECT($C$1&amp;"!"&amp;$B$1),0)-MATCH($A$2,INDIRECT($C$1&amp;"!"&amp;$B$1),0)+1,FALSE)),"",VLOOKUP($A3,OFFSET(INDIRECT($C$1&amp;"!$A1"),0,0,COUNTA(INDIRECT($C$1&amp;"!$A:$A"))+1,MATCH(F$2,INDIRECT($C$1&amp;"!"&amp;$B$1),0)-MATCH($A$2,INDIRECT($C$1&amp;"!"&amp;$B$1),0)+1),MATCH(F$2,INDIRECT($C$1&amp;"!"&amp;$B$1),0)-MATCH($A$2,INDIRECT($C$1&amp;"!"&amp;$B$1),0)+1,FALSE))</f>
        <v>1</v>
      </c>
      <c r="G3" s="136">
        <f t="shared" ref="G3:J8" si="3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100</v>
      </c>
      <c r="H3" s="136" t="str">
        <f t="shared" si="3"/>
        <v>null</v>
      </c>
      <c r="I3" s="136" t="str">
        <f t="shared" si="3"/>
        <v>null</v>
      </c>
      <c r="J3" s="136" t="str">
        <f t="shared" si="3"/>
        <v>null</v>
      </c>
    </row>
    <row r="4" spans="1:10" x14ac:dyDescent="0.15">
      <c r="A4" s="136">
        <f t="shared" si="0"/>
        <v>20009002</v>
      </c>
      <c r="B4" s="136">
        <f t="shared" si="1"/>
        <v>0</v>
      </c>
      <c r="C4" s="136">
        <f t="shared" si="1"/>
        <v>50</v>
      </c>
      <c r="D4" s="136" t="str">
        <f t="shared" ref="D4:E8" si="4">IF(ISBLANK(VLOOKUP($A4,OFFSET(INDIRECT($C$1&amp;"!$A1"),0,0,COUNTA(INDIRECT($C$1&amp;"!$A:$A"))+1,MATCH(D$2,INDIRECT($C$1&amp;"!"&amp;$B$1),0)-MATCH($A$2,INDIRECT($C$1&amp;"!"&amp;$B$1),0)+1),MATCH(D$2,INDIRECT($C$1&amp;"!"&amp;$B$1),0)-MATCH($A$2,INDIRECT($C$1&amp;"!"&amp;$B$1),0)+1,FALSE)),"",VLOOKUP($A4,OFFSET(INDIRECT($C$1&amp;"!$A1"),0,0,COUNTA(INDIRECT($C$1&amp;"!$A:$A"))+1,MATCH(D$2,INDIRECT($C$1&amp;"!"&amp;$B$1),0)-MATCH($A$2,INDIRECT($C$1&amp;"!"&amp;$B$1),0)+1),MATCH(D$2,INDIRECT($C$1&amp;"!"&amp;$B$1),0)-MATCH($A$2,INDIRECT($C$1&amp;"!"&amp;$B$1),0)+1,FALSE))</f>
        <v>null</v>
      </c>
      <c r="E4" s="136" t="str">
        <f t="shared" si="4"/>
        <v>null</v>
      </c>
      <c r="F4" s="136" t="str">
        <f t="shared" si="2"/>
        <v>null</v>
      </c>
      <c r="G4" s="136">
        <f t="shared" si="3"/>
        <v>50</v>
      </c>
      <c r="H4" s="136" t="str">
        <f t="shared" si="3"/>
        <v>null</v>
      </c>
      <c r="I4" s="136" t="str">
        <f t="shared" si="3"/>
        <v>null</v>
      </c>
      <c r="J4" s="136" t="str">
        <f t="shared" si="3"/>
        <v>null</v>
      </c>
    </row>
    <row r="5" spans="1:10" x14ac:dyDescent="0.15">
      <c r="A5" s="136">
        <f t="shared" si="0"/>
        <v>20009003</v>
      </c>
      <c r="B5" s="136">
        <f t="shared" si="1"/>
        <v>0</v>
      </c>
      <c r="C5" s="136">
        <f t="shared" si="1"/>
        <v>100</v>
      </c>
      <c r="D5" s="136">
        <f t="shared" si="4"/>
        <v>75</v>
      </c>
      <c r="E5" s="136" t="str">
        <f t="shared" si="4"/>
        <v>null</v>
      </c>
      <c r="F5" s="136">
        <f t="shared" si="2"/>
        <v>1</v>
      </c>
      <c r="G5" s="136">
        <f t="shared" si="3"/>
        <v>100</v>
      </c>
      <c r="H5" s="136" t="str">
        <f t="shared" si="3"/>
        <v>null</v>
      </c>
      <c r="I5" s="136" t="str">
        <f t="shared" si="3"/>
        <v>null</v>
      </c>
      <c r="J5" s="136" t="str">
        <f t="shared" si="3"/>
        <v>null</v>
      </c>
    </row>
    <row r="6" spans="1:10" x14ac:dyDescent="0.15">
      <c r="A6" s="136">
        <f t="shared" si="0"/>
        <v>20009004</v>
      </c>
      <c r="B6" s="136">
        <f t="shared" si="1"/>
        <v>0</v>
      </c>
      <c r="C6" s="136">
        <f t="shared" si="1"/>
        <v>100</v>
      </c>
      <c r="D6" s="136">
        <f t="shared" si="4"/>
        <v>50</v>
      </c>
      <c r="E6" s="136" t="str">
        <f t="shared" si="4"/>
        <v>null</v>
      </c>
      <c r="F6" s="136">
        <f t="shared" si="2"/>
        <v>1</v>
      </c>
      <c r="G6" s="136">
        <f t="shared" si="3"/>
        <v>100</v>
      </c>
      <c r="H6" s="136" t="str">
        <f t="shared" si="3"/>
        <v>null</v>
      </c>
      <c r="I6" s="136" t="str">
        <f t="shared" si="3"/>
        <v>null</v>
      </c>
      <c r="J6" s="136" t="str">
        <f t="shared" si="3"/>
        <v>null</v>
      </c>
    </row>
    <row r="7" spans="1:10" x14ac:dyDescent="0.15">
      <c r="A7" s="136">
        <f t="shared" si="0"/>
        <v>20009005</v>
      </c>
      <c r="B7" s="136">
        <f t="shared" si="1"/>
        <v>0</v>
      </c>
      <c r="C7" s="136">
        <f t="shared" si="1"/>
        <v>50</v>
      </c>
      <c r="D7" s="136">
        <f t="shared" si="4"/>
        <v>50</v>
      </c>
      <c r="E7" s="136" t="str">
        <f t="shared" si="4"/>
        <v>null</v>
      </c>
      <c r="F7" s="136">
        <f t="shared" si="2"/>
        <v>2</v>
      </c>
      <c r="G7" s="136">
        <f t="shared" si="3"/>
        <v>50</v>
      </c>
      <c r="H7" s="136" t="str">
        <f t="shared" si="3"/>
        <v>null</v>
      </c>
      <c r="I7" s="136" t="str">
        <f t="shared" si="3"/>
        <v>null</v>
      </c>
      <c r="J7" s="136" t="str">
        <f t="shared" si="3"/>
        <v>null</v>
      </c>
    </row>
    <row r="8" spans="1:10" x14ac:dyDescent="0.15">
      <c r="A8" s="136">
        <f t="shared" si="0"/>
        <v>20009006</v>
      </c>
      <c r="B8" s="136">
        <f t="shared" si="1"/>
        <v>0</v>
      </c>
      <c r="C8" s="136">
        <f t="shared" si="1"/>
        <v>100</v>
      </c>
      <c r="D8" s="136">
        <f t="shared" si="4"/>
        <v>80</v>
      </c>
      <c r="E8" s="136" t="str">
        <f t="shared" si="4"/>
        <v>null</v>
      </c>
      <c r="F8" s="136">
        <f t="shared" si="2"/>
        <v>1</v>
      </c>
      <c r="G8" s="136">
        <f t="shared" si="3"/>
        <v>100</v>
      </c>
      <c r="H8" s="136" t="str">
        <f t="shared" si="3"/>
        <v>null</v>
      </c>
      <c r="I8" s="136" t="str">
        <f t="shared" si="3"/>
        <v>null</v>
      </c>
      <c r="J8" s="136" t="str">
        <f t="shared" si="3"/>
        <v>null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D14"/>
  <sheetViews>
    <sheetView workbookViewId="0">
      <pane ySplit="2" topLeftCell="A3" activePane="bottomLeft" state="frozen"/>
      <selection activeCell="B3" sqref="B3"/>
      <selection pane="bottomLeft" activeCell="F22" sqref="F22"/>
    </sheetView>
  </sheetViews>
  <sheetFormatPr baseColWidth="12" defaultColWidth="13" defaultRowHeight="15" x14ac:dyDescent="0.15"/>
  <cols>
    <col min="1" max="1" width="7.83203125" bestFit="1" customWidth="1"/>
    <col min="2" max="2" width="8.6640625" bestFit="1" customWidth="1"/>
    <col min="3" max="3" width="15.6640625" bestFit="1" customWidth="1"/>
  </cols>
  <sheetData>
    <row r="1" spans="1:4" s="134" customFormat="1" x14ac:dyDescent="0.15">
      <c r="A1" s="134">
        <f>MATCH(A2,INDIRECT(C1&amp;"!A:A"),0)-2</f>
        <v>-1</v>
      </c>
      <c r="B1" s="135" t="str">
        <f>"$"&amp;2+$A$1&amp;":$"&amp;2+$A$1</f>
        <v>$1:$1</v>
      </c>
      <c r="C1" s="134" t="s">
        <v>108</v>
      </c>
    </row>
    <row r="2" spans="1:4" s="14" customFormat="1" x14ac:dyDescent="0.15">
      <c r="A2" s="18" t="s">
        <v>83</v>
      </c>
      <c r="B2" s="14" t="s">
        <v>22</v>
      </c>
      <c r="C2" s="14" t="s">
        <v>109</v>
      </c>
      <c r="D2" s="14" t="s">
        <v>102</v>
      </c>
    </row>
    <row r="3" spans="1:4" x14ac:dyDescent="0.15">
      <c r="A3" s="137" t="str">
        <f t="shared" ref="A3:A14" si="0">INDIRECT(ADDRESS(ROW()+$A$1,COLUMN(),1,TRUE,$C$1))</f>
        <v>30201_300010</v>
      </c>
      <c r="B3" s="136">
        <f t="shared" ref="B3:D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30201</v>
      </c>
      <c r="C3" s="136">
        <f t="shared" si="1"/>
        <v>300010</v>
      </c>
      <c r="D3" s="136">
        <f t="shared" si="1"/>
        <v>20009001</v>
      </c>
    </row>
    <row r="4" spans="1:4" x14ac:dyDescent="0.15">
      <c r="A4" s="137" t="str">
        <f t="shared" si="0"/>
        <v>30201_330011</v>
      </c>
      <c r="B4" s="136">
        <f t="shared" si="1"/>
        <v>30201</v>
      </c>
      <c r="C4" s="136">
        <f t="shared" si="1"/>
        <v>330011</v>
      </c>
      <c r="D4" s="136">
        <f t="shared" si="1"/>
        <v>20009002</v>
      </c>
    </row>
    <row r="5" spans="1:4" x14ac:dyDescent="0.15">
      <c r="A5" s="137" t="str">
        <f t="shared" si="0"/>
        <v>30201_33012</v>
      </c>
      <c r="B5" s="136">
        <f t="shared" si="1"/>
        <v>30201</v>
      </c>
      <c r="C5" s="136">
        <f t="shared" si="1"/>
        <v>33012</v>
      </c>
      <c r="D5" s="136">
        <f t="shared" si="1"/>
        <v>20009003</v>
      </c>
    </row>
    <row r="6" spans="1:4" x14ac:dyDescent="0.15">
      <c r="A6" s="137" t="str">
        <f t="shared" si="0"/>
        <v>30202_33012</v>
      </c>
      <c r="B6" s="136">
        <f t="shared" si="1"/>
        <v>30202</v>
      </c>
      <c r="C6" s="136">
        <f t="shared" si="1"/>
        <v>33012</v>
      </c>
      <c r="D6" s="136">
        <f t="shared" si="1"/>
        <v>20009006</v>
      </c>
    </row>
    <row r="7" spans="1:4" x14ac:dyDescent="0.15">
      <c r="A7" s="137" t="str">
        <f t="shared" si="0"/>
        <v>30202_300010</v>
      </c>
      <c r="B7" s="136">
        <f t="shared" si="1"/>
        <v>30202</v>
      </c>
      <c r="C7" s="136">
        <f t="shared" si="1"/>
        <v>300010</v>
      </c>
      <c r="D7" s="136">
        <f t="shared" si="1"/>
        <v>20009001</v>
      </c>
    </row>
    <row r="8" spans="1:4" x14ac:dyDescent="0.15">
      <c r="A8" s="137" t="str">
        <f t="shared" si="0"/>
        <v>30202_330011</v>
      </c>
      <c r="B8" s="136">
        <f t="shared" si="1"/>
        <v>30202</v>
      </c>
      <c r="C8" s="136">
        <f t="shared" si="1"/>
        <v>330011</v>
      </c>
      <c r="D8" s="136">
        <f t="shared" si="1"/>
        <v>20009002</v>
      </c>
    </row>
    <row r="9" spans="1:4" x14ac:dyDescent="0.15">
      <c r="A9" s="137" t="str">
        <f t="shared" si="0"/>
        <v>30202_330013</v>
      </c>
      <c r="B9" s="136">
        <f t="shared" si="1"/>
        <v>30202</v>
      </c>
      <c r="C9" s="136">
        <f t="shared" si="1"/>
        <v>330013</v>
      </c>
      <c r="D9" s="136">
        <f t="shared" si="1"/>
        <v>20009005</v>
      </c>
    </row>
    <row r="10" spans="1:4" x14ac:dyDescent="0.15">
      <c r="A10" s="137" t="str">
        <f t="shared" si="0"/>
        <v>30301_33012</v>
      </c>
      <c r="B10" s="136">
        <f t="shared" si="1"/>
        <v>30301</v>
      </c>
      <c r="C10" s="136">
        <f t="shared" si="1"/>
        <v>33012</v>
      </c>
      <c r="D10" s="136">
        <f t="shared" si="1"/>
        <v>20009006</v>
      </c>
    </row>
    <row r="11" spans="1:4" x14ac:dyDescent="0.15">
      <c r="A11" s="137" t="str">
        <f t="shared" si="0"/>
        <v>30301_23021</v>
      </c>
      <c r="B11" s="136">
        <f t="shared" si="1"/>
        <v>30301</v>
      </c>
      <c r="C11" s="136">
        <f t="shared" si="1"/>
        <v>23021</v>
      </c>
      <c r="D11" s="136">
        <f t="shared" si="1"/>
        <v>20009004</v>
      </c>
    </row>
    <row r="12" spans="1:4" x14ac:dyDescent="0.15">
      <c r="A12" s="137" t="str">
        <f t="shared" si="0"/>
        <v>30301_300010</v>
      </c>
      <c r="B12" s="136">
        <f t="shared" si="1"/>
        <v>30301</v>
      </c>
      <c r="C12" s="136">
        <f t="shared" si="1"/>
        <v>300010</v>
      </c>
      <c r="D12" s="136">
        <f t="shared" si="1"/>
        <v>20009001</v>
      </c>
    </row>
    <row r="13" spans="1:4" x14ac:dyDescent="0.15">
      <c r="A13" s="137" t="str">
        <f t="shared" si="0"/>
        <v>30301_330011</v>
      </c>
      <c r="B13" s="136">
        <f t="shared" si="1"/>
        <v>30301</v>
      </c>
      <c r="C13" s="136">
        <f t="shared" si="1"/>
        <v>330011</v>
      </c>
      <c r="D13" s="136">
        <f t="shared" si="1"/>
        <v>20009002</v>
      </c>
    </row>
    <row r="14" spans="1:4" x14ac:dyDescent="0.15">
      <c r="A14" s="137" t="str">
        <f t="shared" si="0"/>
        <v>30301_330013</v>
      </c>
      <c r="B14" s="136">
        <f t="shared" si="1"/>
        <v>30301</v>
      </c>
      <c r="C14" s="136">
        <f t="shared" si="1"/>
        <v>330013</v>
      </c>
      <c r="D14" s="136">
        <f t="shared" si="1"/>
        <v>20009005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floors_drop_3_1</vt:lpstr>
      <vt:lpstr>enemy_habitats_drop_3_1</vt:lpstr>
      <vt:lpstr>enemy_skill_sets</vt:lpstr>
      <vt:lpstr>enemy_skills</vt:lpstr>
      <vt:lpstr>enemy_skill_triggers</vt:lpstr>
      <vt:lpstr>floors_drop_3_1.tmp</vt:lpstr>
      <vt:lpstr>enemy_habitats_drop_3_1.tmp</vt:lpstr>
      <vt:lpstr>enemy_skills_tmp_20009.tmp</vt:lpstr>
      <vt:lpstr>enemy_skills_i18n_20009.tmp</vt:lpstr>
      <vt:lpstr>enemy_skill_triggers_20009.tmp</vt:lpstr>
      <vt:lpstr>enemy_skill_sets_20009.tmp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2017-03-08T04:14:22Z</dcterms:modified>
</cp:coreProperties>
</file>