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1480" yWindow="-18600" windowWidth="25600" windowHeight="15460" tabRatio="943" activeTab="5"/>
  </bookViews>
  <sheets>
    <sheet name="確率の考え方" sheetId="110" r:id="rId1"/>
    <sheet name="Sheet1" sheetId="107" r:id="rId2"/>
    <sheet name="output" sheetId="103" r:id="rId3"/>
    <sheet name="input_554100" sheetId="157" r:id="rId4"/>
    <sheet name="tables_554100" sheetId="158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tables_554100!$A$1:$V$346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8" l="1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F5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E28" i="157"/>
  <c r="B28" i="157"/>
  <c r="F6" i="157"/>
  <c r="E6" i="157"/>
  <c r="E26" i="157"/>
  <c r="B26" i="157"/>
  <c r="E23" i="157"/>
  <c r="B23" i="157"/>
  <c r="B21" i="157"/>
  <c r="E22" i="157"/>
  <c r="B22" i="157"/>
  <c r="E20" i="157"/>
  <c r="B20" i="157"/>
  <c r="E25" i="157"/>
  <c r="B25" i="157"/>
  <c r="E27" i="157"/>
  <c r="B27" i="157"/>
  <c r="B18" i="157"/>
  <c r="B2" i="98"/>
  <c r="F348" i="158"/>
  <c r="H348" i="158"/>
  <c r="K348" i="158"/>
  <c r="L348" i="158"/>
  <c r="M348" i="158"/>
  <c r="N348" i="158"/>
  <c r="A2" i="157"/>
  <c r="F349" i="158"/>
  <c r="F350" i="158"/>
  <c r="F351" i="158"/>
  <c r="F352" i="158"/>
  <c r="F353" i="158"/>
  <c r="F354" i="158"/>
  <c r="F355" i="158"/>
  <c r="A36" i="157"/>
  <c r="G29" i="157"/>
  <c r="H29" i="157"/>
  <c r="O348" i="158"/>
  <c r="B10" i="157"/>
  <c r="E19" i="157"/>
  <c r="B19" i="157"/>
  <c r="E24" i="157"/>
  <c r="B24" i="157"/>
  <c r="B17" i="157"/>
  <c r="G17" i="157"/>
  <c r="E17" i="157"/>
  <c r="H17" i="157"/>
  <c r="O2" i="158"/>
  <c r="B6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B3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9" i="158"/>
  <c r="O350" i="158"/>
  <c r="O351" i="158"/>
  <c r="O352" i="158"/>
  <c r="O353" i="158"/>
  <c r="O354" i="158"/>
  <c r="O355" i="158"/>
  <c r="G31" i="157"/>
  <c r="E31" i="157"/>
  <c r="H31" i="157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H351" i="158"/>
  <c r="K351" i="158"/>
  <c r="L351" i="158"/>
  <c r="M351" i="158"/>
  <c r="N351" i="158"/>
  <c r="P351" i="158"/>
  <c r="H352" i="158"/>
  <c r="K352" i="158"/>
  <c r="L352" i="158"/>
  <c r="M352" i="158"/>
  <c r="N352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H355" i="158"/>
  <c r="K355" i="158"/>
  <c r="L355" i="158"/>
  <c r="M355" i="158"/>
  <c r="N355" i="158"/>
  <c r="P355" i="158"/>
  <c r="A355" i="158"/>
  <c r="A354" i="158"/>
  <c r="A353" i="158"/>
  <c r="A352" i="158"/>
  <c r="A351" i="158"/>
  <c r="A350" i="158"/>
  <c r="A349" i="158"/>
  <c r="A348" i="158"/>
  <c r="A347" i="158"/>
  <c r="F347" i="158"/>
  <c r="H347" i="158"/>
  <c r="K347" i="158"/>
  <c r="L347" i="158"/>
  <c r="M347" i="158"/>
  <c r="N347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B30" i="157"/>
  <c r="P347" i="158"/>
  <c r="A2" i="158"/>
  <c r="H2" i="158"/>
  <c r="K2" i="158"/>
  <c r="L2" i="158"/>
  <c r="M2" i="158"/>
  <c r="N2" i="158"/>
  <c r="P2" i="158"/>
  <c r="A3" i="158"/>
  <c r="H3" i="158"/>
  <c r="K3" i="158"/>
  <c r="L3" i="158"/>
  <c r="M3" i="158"/>
  <c r="N3" i="158"/>
  <c r="P3" i="158"/>
  <c r="A4" i="158"/>
  <c r="H4" i="158"/>
  <c r="K4" i="158"/>
  <c r="L4" i="158"/>
  <c r="M4" i="158"/>
  <c r="N4" i="158"/>
  <c r="P4" i="158"/>
  <c r="A5" i="158"/>
  <c r="H5" i="158"/>
  <c r="K5" i="158"/>
  <c r="L5" i="158"/>
  <c r="M5" i="158"/>
  <c r="N5" i="158"/>
  <c r="P5" i="158"/>
  <c r="A6" i="158"/>
  <c r="H6" i="158"/>
  <c r="K6" i="158"/>
  <c r="L6" i="158"/>
  <c r="M6" i="158"/>
  <c r="N6" i="158"/>
  <c r="P6" i="158"/>
  <c r="A7" i="158"/>
  <c r="H7" i="158"/>
  <c r="K7" i="158"/>
  <c r="L7" i="158"/>
  <c r="M7" i="158"/>
  <c r="N7" i="158"/>
  <c r="P7" i="158"/>
  <c r="A8" i="158"/>
  <c r="H8" i="158"/>
  <c r="K8" i="158"/>
  <c r="L8" i="158"/>
  <c r="M8" i="158"/>
  <c r="N8" i="158"/>
  <c r="P8" i="158"/>
  <c r="A9" i="158"/>
  <c r="H9" i="158"/>
  <c r="K9" i="158"/>
  <c r="L9" i="158"/>
  <c r="M9" i="158"/>
  <c r="N9" i="158"/>
  <c r="P9" i="158"/>
  <c r="A10" i="158"/>
  <c r="H10" i="158"/>
  <c r="K10" i="158"/>
  <c r="L10" i="158"/>
  <c r="M10" i="158"/>
  <c r="N10" i="158"/>
  <c r="P10" i="158"/>
  <c r="A11" i="158"/>
  <c r="H11" i="158"/>
  <c r="K11" i="158"/>
  <c r="L11" i="158"/>
  <c r="M11" i="158"/>
  <c r="N11" i="158"/>
  <c r="P11" i="158"/>
  <c r="A12" i="158"/>
  <c r="H12" i="158"/>
  <c r="K12" i="158"/>
  <c r="L12" i="158"/>
  <c r="M12" i="158"/>
  <c r="N12" i="158"/>
  <c r="P12" i="158"/>
  <c r="A13" i="158"/>
  <c r="H13" i="158"/>
  <c r="K13" i="158"/>
  <c r="L13" i="158"/>
  <c r="M13" i="158"/>
  <c r="N13" i="158"/>
  <c r="P13" i="158"/>
  <c r="A14" i="158"/>
  <c r="H14" i="158"/>
  <c r="K14" i="158"/>
  <c r="L14" i="158"/>
  <c r="M14" i="158"/>
  <c r="N14" i="158"/>
  <c r="P14" i="158"/>
  <c r="A15" i="158"/>
  <c r="H15" i="158"/>
  <c r="K15" i="158"/>
  <c r="L15" i="158"/>
  <c r="M15" i="158"/>
  <c r="N15" i="158"/>
  <c r="P15" i="158"/>
  <c r="A16" i="158"/>
  <c r="H16" i="158"/>
  <c r="K16" i="158"/>
  <c r="L16" i="158"/>
  <c r="M16" i="158"/>
  <c r="N16" i="158"/>
  <c r="P16" i="158"/>
  <c r="A17" i="158"/>
  <c r="H17" i="158"/>
  <c r="K17" i="158"/>
  <c r="L17" i="158"/>
  <c r="M17" i="158"/>
  <c r="N17" i="158"/>
  <c r="P17" i="158"/>
  <c r="A18" i="158"/>
  <c r="H18" i="158"/>
  <c r="K18" i="158"/>
  <c r="L18" i="158"/>
  <c r="M18" i="158"/>
  <c r="N18" i="158"/>
  <c r="P18" i="158"/>
  <c r="A19" i="158"/>
  <c r="H19" i="158"/>
  <c r="K19" i="158"/>
  <c r="L19" i="158"/>
  <c r="M19" i="158"/>
  <c r="N19" i="158"/>
  <c r="P19" i="158"/>
  <c r="A20" i="158"/>
  <c r="H20" i="158"/>
  <c r="K20" i="158"/>
  <c r="L20" i="158"/>
  <c r="M20" i="158"/>
  <c r="N20" i="158"/>
  <c r="P20" i="158"/>
  <c r="A21" i="158"/>
  <c r="H21" i="158"/>
  <c r="K21" i="158"/>
  <c r="L21" i="158"/>
  <c r="M21" i="158"/>
  <c r="N21" i="158"/>
  <c r="P21" i="158"/>
  <c r="A22" i="158"/>
  <c r="H22" i="158"/>
  <c r="K22" i="158"/>
  <c r="L22" i="158"/>
  <c r="M22" i="158"/>
  <c r="N22" i="158"/>
  <c r="P22" i="158"/>
  <c r="A23" i="158"/>
  <c r="H23" i="158"/>
  <c r="K23" i="158"/>
  <c r="L23" i="158"/>
  <c r="M23" i="158"/>
  <c r="N23" i="158"/>
  <c r="P23" i="158"/>
  <c r="A24" i="158"/>
  <c r="H24" i="158"/>
  <c r="K24" i="158"/>
  <c r="L24" i="158"/>
  <c r="M24" i="158"/>
  <c r="N24" i="158"/>
  <c r="P24" i="158"/>
  <c r="A25" i="158"/>
  <c r="H25" i="158"/>
  <c r="K25" i="158"/>
  <c r="L25" i="158"/>
  <c r="M25" i="158"/>
  <c r="N25" i="158"/>
  <c r="P25" i="158"/>
  <c r="A26" i="158"/>
  <c r="H26" i="158"/>
  <c r="K26" i="158"/>
  <c r="L26" i="158"/>
  <c r="M26" i="158"/>
  <c r="N26" i="158"/>
  <c r="P26" i="158"/>
  <c r="A27" i="158"/>
  <c r="H27" i="158"/>
  <c r="K27" i="158"/>
  <c r="L27" i="158"/>
  <c r="M27" i="158"/>
  <c r="N27" i="158"/>
  <c r="P27" i="158"/>
  <c r="A28" i="158"/>
  <c r="H28" i="158"/>
  <c r="K28" i="158"/>
  <c r="L28" i="158"/>
  <c r="M28" i="158"/>
  <c r="N28" i="158"/>
  <c r="P28" i="158"/>
  <c r="A29" i="158"/>
  <c r="H29" i="158"/>
  <c r="K29" i="158"/>
  <c r="L29" i="158"/>
  <c r="M29" i="158"/>
  <c r="N29" i="158"/>
  <c r="P29" i="158"/>
  <c r="A30" i="158"/>
  <c r="H30" i="158"/>
  <c r="K30" i="158"/>
  <c r="L30" i="158"/>
  <c r="M30" i="158"/>
  <c r="N30" i="158"/>
  <c r="P30" i="158"/>
  <c r="A31" i="158"/>
  <c r="H31" i="158"/>
  <c r="K31" i="158"/>
  <c r="L31" i="158"/>
  <c r="M31" i="158"/>
  <c r="N31" i="158"/>
  <c r="P31" i="158"/>
  <c r="A32" i="158"/>
  <c r="H32" i="158"/>
  <c r="K32" i="158"/>
  <c r="L32" i="158"/>
  <c r="M32" i="158"/>
  <c r="N32" i="158"/>
  <c r="P32" i="158"/>
  <c r="A33" i="158"/>
  <c r="H33" i="158"/>
  <c r="K33" i="158"/>
  <c r="L33" i="158"/>
  <c r="M33" i="158"/>
  <c r="N33" i="158"/>
  <c r="P33" i="158"/>
  <c r="A34" i="158"/>
  <c r="H34" i="158"/>
  <c r="K34" i="158"/>
  <c r="L34" i="158"/>
  <c r="M34" i="158"/>
  <c r="N34" i="158"/>
  <c r="P34" i="158"/>
  <c r="A35" i="158"/>
  <c r="H35" i="158"/>
  <c r="K35" i="158"/>
  <c r="L35" i="158"/>
  <c r="M35" i="158"/>
  <c r="N35" i="158"/>
  <c r="P35" i="158"/>
  <c r="A36" i="158"/>
  <c r="H36" i="158"/>
  <c r="K36" i="158"/>
  <c r="L36" i="158"/>
  <c r="M36" i="158"/>
  <c r="N36" i="158"/>
  <c r="P36" i="158"/>
  <c r="A37" i="158"/>
  <c r="H37" i="158"/>
  <c r="K37" i="158"/>
  <c r="L37" i="158"/>
  <c r="M37" i="158"/>
  <c r="N37" i="158"/>
  <c r="P37" i="158"/>
  <c r="A38" i="158"/>
  <c r="H38" i="158"/>
  <c r="K38" i="158"/>
  <c r="L38" i="158"/>
  <c r="M38" i="158"/>
  <c r="N38" i="158"/>
  <c r="P38" i="158"/>
  <c r="A39" i="158"/>
  <c r="H39" i="158"/>
  <c r="K39" i="158"/>
  <c r="L39" i="158"/>
  <c r="M39" i="158"/>
  <c r="N39" i="158"/>
  <c r="P39" i="158"/>
  <c r="A40" i="158"/>
  <c r="H40" i="158"/>
  <c r="K40" i="158"/>
  <c r="L40" i="158"/>
  <c r="M40" i="158"/>
  <c r="N40" i="158"/>
  <c r="P40" i="158"/>
  <c r="A41" i="158"/>
  <c r="H41" i="158"/>
  <c r="K41" i="158"/>
  <c r="L41" i="158"/>
  <c r="M41" i="158"/>
  <c r="N41" i="158"/>
  <c r="P41" i="158"/>
  <c r="A42" i="158"/>
  <c r="H42" i="158"/>
  <c r="K42" i="158"/>
  <c r="L42" i="158"/>
  <c r="M42" i="158"/>
  <c r="N42" i="158"/>
  <c r="P42" i="158"/>
  <c r="A43" i="158"/>
  <c r="H43" i="158"/>
  <c r="K43" i="158"/>
  <c r="L43" i="158"/>
  <c r="M43" i="158"/>
  <c r="N43" i="158"/>
  <c r="P43" i="158"/>
  <c r="A44" i="158"/>
  <c r="H44" i="158"/>
  <c r="K44" i="158"/>
  <c r="L44" i="158"/>
  <c r="M44" i="158"/>
  <c r="N44" i="158"/>
  <c r="P44" i="158"/>
  <c r="A45" i="158"/>
  <c r="H45" i="158"/>
  <c r="K45" i="158"/>
  <c r="L45" i="158"/>
  <c r="M45" i="158"/>
  <c r="N45" i="158"/>
  <c r="P45" i="158"/>
  <c r="A46" i="158"/>
  <c r="H46" i="158"/>
  <c r="K46" i="158"/>
  <c r="L46" i="158"/>
  <c r="M46" i="158"/>
  <c r="N46" i="158"/>
  <c r="P46" i="158"/>
  <c r="A47" i="158"/>
  <c r="H47" i="158"/>
  <c r="K47" i="158"/>
  <c r="L47" i="158"/>
  <c r="M47" i="158"/>
  <c r="N47" i="158"/>
  <c r="P47" i="158"/>
  <c r="A48" i="158"/>
  <c r="H48" i="158"/>
  <c r="K48" i="158"/>
  <c r="L48" i="158"/>
  <c r="M48" i="158"/>
  <c r="N48" i="158"/>
  <c r="P48" i="158"/>
  <c r="A49" i="158"/>
  <c r="H49" i="158"/>
  <c r="K49" i="158"/>
  <c r="L49" i="158"/>
  <c r="M49" i="158"/>
  <c r="N49" i="158"/>
  <c r="P49" i="158"/>
  <c r="A50" i="158"/>
  <c r="H50" i="158"/>
  <c r="K50" i="158"/>
  <c r="L50" i="158"/>
  <c r="M50" i="158"/>
  <c r="N50" i="158"/>
  <c r="P50" i="158"/>
  <c r="A51" i="158"/>
  <c r="H51" i="158"/>
  <c r="K51" i="158"/>
  <c r="L51" i="158"/>
  <c r="M51" i="158"/>
  <c r="N51" i="158"/>
  <c r="P51" i="158"/>
  <c r="A52" i="158"/>
  <c r="H52" i="158"/>
  <c r="K52" i="158"/>
  <c r="L52" i="158"/>
  <c r="M52" i="158"/>
  <c r="N52" i="158"/>
  <c r="P52" i="158"/>
  <c r="A53" i="158"/>
  <c r="H53" i="158"/>
  <c r="K53" i="158"/>
  <c r="L53" i="158"/>
  <c r="M53" i="158"/>
  <c r="N53" i="158"/>
  <c r="P53" i="158"/>
  <c r="A54" i="158"/>
  <c r="H54" i="158"/>
  <c r="K54" i="158"/>
  <c r="L54" i="158"/>
  <c r="M54" i="158"/>
  <c r="N54" i="158"/>
  <c r="P54" i="158"/>
  <c r="A55" i="158"/>
  <c r="H55" i="158"/>
  <c r="K55" i="158"/>
  <c r="L55" i="158"/>
  <c r="M55" i="158"/>
  <c r="N55" i="158"/>
  <c r="P55" i="158"/>
  <c r="A56" i="158"/>
  <c r="H56" i="158"/>
  <c r="K56" i="158"/>
  <c r="L56" i="158"/>
  <c r="M56" i="158"/>
  <c r="N56" i="158"/>
  <c r="P56" i="158"/>
  <c r="A57" i="158"/>
  <c r="H57" i="158"/>
  <c r="K57" i="158"/>
  <c r="L57" i="158"/>
  <c r="M57" i="158"/>
  <c r="N57" i="158"/>
  <c r="P57" i="158"/>
  <c r="A58" i="158"/>
  <c r="H58" i="158"/>
  <c r="K58" i="158"/>
  <c r="L58" i="158"/>
  <c r="M58" i="158"/>
  <c r="N58" i="158"/>
  <c r="P58" i="158"/>
  <c r="A59" i="158"/>
  <c r="H59" i="158"/>
  <c r="K59" i="158"/>
  <c r="L59" i="158"/>
  <c r="M59" i="158"/>
  <c r="N59" i="158"/>
  <c r="P59" i="158"/>
  <c r="A60" i="158"/>
  <c r="H60" i="158"/>
  <c r="K60" i="158"/>
  <c r="L60" i="158"/>
  <c r="M60" i="158"/>
  <c r="N60" i="158"/>
  <c r="P60" i="158"/>
  <c r="A61" i="158"/>
  <c r="H61" i="158"/>
  <c r="K61" i="158"/>
  <c r="L61" i="158"/>
  <c r="M61" i="158"/>
  <c r="N61" i="158"/>
  <c r="P61" i="158"/>
  <c r="A62" i="158"/>
  <c r="H62" i="158"/>
  <c r="K62" i="158"/>
  <c r="L62" i="158"/>
  <c r="M62" i="158"/>
  <c r="N62" i="158"/>
  <c r="P62" i="158"/>
  <c r="A63" i="158"/>
  <c r="H63" i="158"/>
  <c r="K63" i="158"/>
  <c r="L63" i="158"/>
  <c r="M63" i="158"/>
  <c r="N63" i="158"/>
  <c r="P63" i="158"/>
  <c r="A64" i="158"/>
  <c r="H64" i="158"/>
  <c r="K64" i="158"/>
  <c r="L64" i="158"/>
  <c r="M64" i="158"/>
  <c r="N64" i="158"/>
  <c r="P64" i="158"/>
  <c r="A65" i="158"/>
  <c r="H65" i="158"/>
  <c r="K65" i="158"/>
  <c r="L65" i="158"/>
  <c r="M65" i="158"/>
  <c r="N65" i="158"/>
  <c r="P65" i="158"/>
  <c r="A66" i="158"/>
  <c r="H66" i="158"/>
  <c r="K66" i="158"/>
  <c r="L66" i="158"/>
  <c r="M66" i="158"/>
  <c r="N66" i="158"/>
  <c r="P66" i="158"/>
  <c r="A67" i="158"/>
  <c r="H67" i="158"/>
  <c r="K67" i="158"/>
  <c r="L67" i="158"/>
  <c r="M67" i="158"/>
  <c r="N67" i="158"/>
  <c r="P67" i="158"/>
  <c r="A68" i="158"/>
  <c r="H68" i="158"/>
  <c r="K68" i="158"/>
  <c r="L68" i="158"/>
  <c r="M68" i="158"/>
  <c r="N68" i="158"/>
  <c r="P68" i="158"/>
  <c r="A69" i="158"/>
  <c r="H69" i="158"/>
  <c r="K69" i="158"/>
  <c r="L69" i="158"/>
  <c r="M69" i="158"/>
  <c r="N69" i="158"/>
  <c r="P69" i="158"/>
  <c r="A70" i="158"/>
  <c r="H70" i="158"/>
  <c r="K70" i="158"/>
  <c r="L70" i="158"/>
  <c r="M70" i="158"/>
  <c r="N70" i="158"/>
  <c r="P70" i="158"/>
  <c r="A71" i="158"/>
  <c r="H71" i="158"/>
  <c r="K71" i="158"/>
  <c r="L71" i="158"/>
  <c r="M71" i="158"/>
  <c r="N71" i="158"/>
  <c r="P71" i="158"/>
  <c r="A72" i="158"/>
  <c r="H72" i="158"/>
  <c r="K72" i="158"/>
  <c r="L72" i="158"/>
  <c r="M72" i="158"/>
  <c r="N72" i="158"/>
  <c r="P72" i="158"/>
  <c r="A73" i="158"/>
  <c r="H73" i="158"/>
  <c r="K73" i="158"/>
  <c r="L73" i="158"/>
  <c r="M73" i="158"/>
  <c r="N73" i="158"/>
  <c r="P73" i="158"/>
  <c r="A74" i="158"/>
  <c r="H74" i="158"/>
  <c r="K74" i="158"/>
  <c r="L74" i="158"/>
  <c r="M74" i="158"/>
  <c r="N74" i="158"/>
  <c r="P74" i="158"/>
  <c r="A75" i="158"/>
  <c r="H75" i="158"/>
  <c r="K75" i="158"/>
  <c r="L75" i="158"/>
  <c r="M75" i="158"/>
  <c r="N75" i="158"/>
  <c r="P75" i="158"/>
  <c r="A76" i="158"/>
  <c r="H76" i="158"/>
  <c r="K76" i="158"/>
  <c r="L76" i="158"/>
  <c r="M76" i="158"/>
  <c r="N76" i="158"/>
  <c r="P76" i="158"/>
  <c r="A77" i="158"/>
  <c r="H77" i="158"/>
  <c r="K77" i="158"/>
  <c r="L77" i="158"/>
  <c r="M77" i="158"/>
  <c r="N77" i="158"/>
  <c r="P77" i="158"/>
  <c r="A78" i="158"/>
  <c r="H78" i="158"/>
  <c r="K78" i="158"/>
  <c r="L78" i="158"/>
  <c r="M78" i="158"/>
  <c r="N78" i="158"/>
  <c r="P78" i="158"/>
  <c r="A79" i="158"/>
  <c r="H79" i="158"/>
  <c r="K79" i="158"/>
  <c r="L79" i="158"/>
  <c r="M79" i="158"/>
  <c r="N79" i="158"/>
  <c r="P79" i="158"/>
  <c r="A80" i="158"/>
  <c r="H80" i="158"/>
  <c r="K80" i="158"/>
  <c r="L80" i="158"/>
  <c r="M80" i="158"/>
  <c r="N80" i="158"/>
  <c r="P80" i="158"/>
  <c r="A81" i="158"/>
  <c r="H81" i="158"/>
  <c r="K81" i="158"/>
  <c r="L81" i="158"/>
  <c r="M81" i="158"/>
  <c r="N81" i="158"/>
  <c r="P81" i="158"/>
  <c r="A82" i="158"/>
  <c r="H82" i="158"/>
  <c r="K82" i="158"/>
  <c r="L82" i="158"/>
  <c r="M82" i="158"/>
  <c r="N82" i="158"/>
  <c r="P82" i="158"/>
  <c r="A83" i="158"/>
  <c r="H83" i="158"/>
  <c r="K83" i="158"/>
  <c r="L83" i="158"/>
  <c r="M83" i="158"/>
  <c r="N83" i="158"/>
  <c r="P83" i="158"/>
  <c r="A84" i="158"/>
  <c r="H84" i="158"/>
  <c r="K84" i="158"/>
  <c r="L84" i="158"/>
  <c r="M84" i="158"/>
  <c r="N84" i="158"/>
  <c r="P84" i="158"/>
  <c r="A85" i="158"/>
  <c r="H85" i="158"/>
  <c r="K85" i="158"/>
  <c r="L85" i="158"/>
  <c r="M85" i="158"/>
  <c r="N85" i="158"/>
  <c r="P85" i="158"/>
  <c r="A86" i="158"/>
  <c r="H86" i="158"/>
  <c r="K86" i="158"/>
  <c r="L86" i="158"/>
  <c r="M86" i="158"/>
  <c r="N86" i="158"/>
  <c r="P86" i="158"/>
  <c r="A87" i="158"/>
  <c r="H87" i="158"/>
  <c r="K87" i="158"/>
  <c r="L87" i="158"/>
  <c r="M87" i="158"/>
  <c r="N87" i="158"/>
  <c r="P87" i="158"/>
  <c r="A88" i="158"/>
  <c r="H88" i="158"/>
  <c r="K88" i="158"/>
  <c r="L88" i="158"/>
  <c r="M88" i="158"/>
  <c r="N88" i="158"/>
  <c r="P88" i="158"/>
  <c r="A89" i="158"/>
  <c r="H89" i="158"/>
  <c r="K89" i="158"/>
  <c r="L89" i="158"/>
  <c r="M89" i="158"/>
  <c r="N89" i="158"/>
  <c r="P89" i="158"/>
  <c r="A90" i="158"/>
  <c r="H90" i="158"/>
  <c r="K90" i="158"/>
  <c r="L90" i="158"/>
  <c r="M90" i="158"/>
  <c r="N90" i="158"/>
  <c r="P90" i="158"/>
  <c r="A91" i="158"/>
  <c r="H91" i="158"/>
  <c r="K91" i="158"/>
  <c r="L91" i="158"/>
  <c r="M91" i="158"/>
  <c r="N91" i="158"/>
  <c r="P91" i="158"/>
  <c r="A92" i="158"/>
  <c r="H92" i="158"/>
  <c r="K92" i="158"/>
  <c r="L92" i="158"/>
  <c r="M92" i="158"/>
  <c r="N92" i="158"/>
  <c r="P92" i="158"/>
  <c r="A93" i="158"/>
  <c r="H93" i="158"/>
  <c r="K93" i="158"/>
  <c r="L93" i="158"/>
  <c r="M93" i="158"/>
  <c r="N93" i="158"/>
  <c r="P93" i="158"/>
  <c r="A94" i="158"/>
  <c r="H94" i="158"/>
  <c r="K94" i="158"/>
  <c r="L94" i="158"/>
  <c r="M94" i="158"/>
  <c r="N94" i="158"/>
  <c r="P94" i="158"/>
  <c r="A95" i="158"/>
  <c r="H95" i="158"/>
  <c r="K95" i="158"/>
  <c r="L95" i="158"/>
  <c r="M95" i="158"/>
  <c r="N95" i="158"/>
  <c r="P95" i="158"/>
  <c r="A96" i="158"/>
  <c r="H96" i="158"/>
  <c r="K96" i="158"/>
  <c r="L96" i="158"/>
  <c r="M96" i="158"/>
  <c r="N96" i="158"/>
  <c r="P96" i="158"/>
  <c r="A97" i="158"/>
  <c r="H97" i="158"/>
  <c r="K97" i="158"/>
  <c r="L97" i="158"/>
  <c r="M97" i="158"/>
  <c r="N97" i="158"/>
  <c r="P97" i="158"/>
  <c r="A98" i="158"/>
  <c r="H98" i="158"/>
  <c r="K98" i="158"/>
  <c r="L98" i="158"/>
  <c r="M98" i="158"/>
  <c r="N98" i="158"/>
  <c r="P98" i="158"/>
  <c r="A99" i="158"/>
  <c r="H99" i="158"/>
  <c r="K99" i="158"/>
  <c r="L99" i="158"/>
  <c r="M99" i="158"/>
  <c r="N99" i="158"/>
  <c r="P99" i="158"/>
  <c r="A100" i="158"/>
  <c r="H100" i="158"/>
  <c r="K100" i="158"/>
  <c r="L100" i="158"/>
  <c r="M100" i="158"/>
  <c r="N100" i="158"/>
  <c r="P100" i="158"/>
  <c r="A101" i="158"/>
  <c r="H101" i="158"/>
  <c r="K101" i="158"/>
  <c r="L101" i="158"/>
  <c r="M101" i="158"/>
  <c r="N101" i="158"/>
  <c r="P101" i="158"/>
  <c r="A102" i="158"/>
  <c r="H102" i="158"/>
  <c r="K102" i="158"/>
  <c r="L102" i="158"/>
  <c r="M102" i="158"/>
  <c r="N102" i="158"/>
  <c r="P102" i="158"/>
  <c r="A103" i="158"/>
  <c r="H103" i="158"/>
  <c r="K103" i="158"/>
  <c r="L103" i="158"/>
  <c r="M103" i="158"/>
  <c r="N103" i="158"/>
  <c r="P103" i="158"/>
  <c r="A104" i="158"/>
  <c r="H104" i="158"/>
  <c r="K104" i="158"/>
  <c r="L104" i="158"/>
  <c r="M104" i="158"/>
  <c r="N104" i="158"/>
  <c r="P104" i="158"/>
  <c r="A105" i="158"/>
  <c r="H105" i="158"/>
  <c r="K105" i="158"/>
  <c r="L105" i="158"/>
  <c r="M105" i="158"/>
  <c r="N105" i="158"/>
  <c r="P105" i="158"/>
  <c r="A106" i="158"/>
  <c r="H106" i="158"/>
  <c r="K106" i="158"/>
  <c r="L106" i="158"/>
  <c r="M106" i="158"/>
  <c r="N106" i="158"/>
  <c r="P106" i="158"/>
  <c r="A107" i="158"/>
  <c r="H107" i="158"/>
  <c r="K107" i="158"/>
  <c r="L107" i="158"/>
  <c r="M107" i="158"/>
  <c r="N107" i="158"/>
  <c r="P107" i="158"/>
  <c r="A108" i="158"/>
  <c r="H108" i="158"/>
  <c r="K108" i="158"/>
  <c r="L108" i="158"/>
  <c r="M108" i="158"/>
  <c r="N108" i="158"/>
  <c r="P108" i="158"/>
  <c r="A109" i="158"/>
  <c r="H109" i="158"/>
  <c r="K109" i="158"/>
  <c r="L109" i="158"/>
  <c r="M109" i="158"/>
  <c r="N109" i="158"/>
  <c r="P109" i="158"/>
  <c r="A110" i="158"/>
  <c r="H110" i="158"/>
  <c r="K110" i="158"/>
  <c r="L110" i="158"/>
  <c r="M110" i="158"/>
  <c r="N110" i="158"/>
  <c r="P110" i="158"/>
  <c r="A111" i="158"/>
  <c r="H111" i="158"/>
  <c r="K111" i="158"/>
  <c r="L111" i="158"/>
  <c r="M111" i="158"/>
  <c r="N111" i="158"/>
  <c r="P111" i="158"/>
  <c r="A112" i="158"/>
  <c r="H112" i="158"/>
  <c r="K112" i="158"/>
  <c r="L112" i="158"/>
  <c r="M112" i="158"/>
  <c r="N112" i="158"/>
  <c r="P112" i="158"/>
  <c r="A113" i="158"/>
  <c r="H113" i="158"/>
  <c r="K113" i="158"/>
  <c r="L113" i="158"/>
  <c r="M113" i="158"/>
  <c r="N113" i="158"/>
  <c r="P113" i="158"/>
  <c r="A114" i="158"/>
  <c r="H114" i="158"/>
  <c r="K114" i="158"/>
  <c r="L114" i="158"/>
  <c r="M114" i="158"/>
  <c r="N114" i="158"/>
  <c r="P114" i="158"/>
  <c r="A115" i="158"/>
  <c r="H115" i="158"/>
  <c r="K115" i="158"/>
  <c r="L115" i="158"/>
  <c r="M115" i="158"/>
  <c r="N115" i="158"/>
  <c r="P115" i="158"/>
  <c r="A116" i="158"/>
  <c r="H116" i="158"/>
  <c r="K116" i="158"/>
  <c r="L116" i="158"/>
  <c r="M116" i="158"/>
  <c r="N116" i="158"/>
  <c r="P116" i="158"/>
  <c r="A117" i="158"/>
  <c r="H117" i="158"/>
  <c r="K117" i="158"/>
  <c r="L117" i="158"/>
  <c r="M117" i="158"/>
  <c r="N117" i="158"/>
  <c r="P117" i="158"/>
  <c r="A118" i="158"/>
  <c r="H118" i="158"/>
  <c r="K118" i="158"/>
  <c r="L118" i="158"/>
  <c r="M118" i="158"/>
  <c r="N118" i="158"/>
  <c r="P118" i="158"/>
  <c r="A119" i="158"/>
  <c r="H119" i="158"/>
  <c r="K119" i="158"/>
  <c r="L119" i="158"/>
  <c r="M119" i="158"/>
  <c r="N119" i="158"/>
  <c r="P119" i="158"/>
  <c r="A120" i="158"/>
  <c r="H120" i="158"/>
  <c r="K120" i="158"/>
  <c r="L120" i="158"/>
  <c r="M120" i="158"/>
  <c r="N120" i="158"/>
  <c r="P120" i="158"/>
  <c r="A121" i="158"/>
  <c r="H121" i="158"/>
  <c r="K121" i="158"/>
  <c r="L121" i="158"/>
  <c r="M121" i="158"/>
  <c r="N121" i="158"/>
  <c r="P121" i="158"/>
  <c r="A122" i="158"/>
  <c r="H122" i="158"/>
  <c r="K122" i="158"/>
  <c r="L122" i="158"/>
  <c r="M122" i="158"/>
  <c r="N122" i="158"/>
  <c r="P122" i="158"/>
  <c r="A123" i="158"/>
  <c r="H123" i="158"/>
  <c r="K123" i="158"/>
  <c r="L123" i="158"/>
  <c r="M123" i="158"/>
  <c r="N123" i="158"/>
  <c r="P123" i="158"/>
  <c r="A124" i="158"/>
  <c r="H124" i="158"/>
  <c r="K124" i="158"/>
  <c r="L124" i="158"/>
  <c r="M124" i="158"/>
  <c r="N124" i="158"/>
  <c r="P124" i="158"/>
  <c r="A125" i="158"/>
  <c r="H125" i="158"/>
  <c r="K125" i="158"/>
  <c r="L125" i="158"/>
  <c r="M125" i="158"/>
  <c r="N125" i="158"/>
  <c r="P125" i="158"/>
  <c r="A126" i="158"/>
  <c r="H126" i="158"/>
  <c r="K126" i="158"/>
  <c r="L126" i="158"/>
  <c r="M126" i="158"/>
  <c r="N126" i="158"/>
  <c r="P126" i="158"/>
  <c r="A127" i="158"/>
  <c r="H127" i="158"/>
  <c r="K127" i="158"/>
  <c r="L127" i="158"/>
  <c r="M127" i="158"/>
  <c r="N127" i="158"/>
  <c r="P127" i="158"/>
  <c r="A128" i="158"/>
  <c r="H128" i="158"/>
  <c r="K128" i="158"/>
  <c r="L128" i="158"/>
  <c r="M128" i="158"/>
  <c r="N128" i="158"/>
  <c r="P128" i="158"/>
  <c r="A129" i="158"/>
  <c r="H129" i="158"/>
  <c r="K129" i="158"/>
  <c r="L129" i="158"/>
  <c r="M129" i="158"/>
  <c r="N129" i="158"/>
  <c r="P129" i="158"/>
  <c r="A130" i="158"/>
  <c r="H130" i="158"/>
  <c r="K130" i="158"/>
  <c r="L130" i="158"/>
  <c r="M130" i="158"/>
  <c r="N130" i="158"/>
  <c r="P130" i="158"/>
  <c r="A131" i="158"/>
  <c r="H131" i="158"/>
  <c r="K131" i="158"/>
  <c r="L131" i="158"/>
  <c r="M131" i="158"/>
  <c r="N131" i="158"/>
  <c r="P131" i="158"/>
  <c r="A132" i="158"/>
  <c r="H132" i="158"/>
  <c r="K132" i="158"/>
  <c r="L132" i="158"/>
  <c r="M132" i="158"/>
  <c r="N132" i="158"/>
  <c r="P132" i="158"/>
  <c r="A133" i="158"/>
  <c r="H133" i="158"/>
  <c r="K133" i="158"/>
  <c r="L133" i="158"/>
  <c r="M133" i="158"/>
  <c r="N133" i="158"/>
  <c r="P133" i="158"/>
  <c r="A134" i="158"/>
  <c r="H134" i="158"/>
  <c r="K134" i="158"/>
  <c r="L134" i="158"/>
  <c r="M134" i="158"/>
  <c r="N134" i="158"/>
  <c r="P134" i="158"/>
  <c r="A135" i="158"/>
  <c r="H135" i="158"/>
  <c r="K135" i="158"/>
  <c r="L135" i="158"/>
  <c r="M135" i="158"/>
  <c r="N135" i="158"/>
  <c r="P135" i="158"/>
  <c r="A136" i="158"/>
  <c r="H136" i="158"/>
  <c r="K136" i="158"/>
  <c r="L136" i="158"/>
  <c r="M136" i="158"/>
  <c r="N136" i="158"/>
  <c r="P136" i="158"/>
  <c r="A137" i="158"/>
  <c r="H137" i="158"/>
  <c r="K137" i="158"/>
  <c r="L137" i="158"/>
  <c r="M137" i="158"/>
  <c r="N137" i="158"/>
  <c r="P137" i="158"/>
  <c r="A138" i="158"/>
  <c r="H138" i="158"/>
  <c r="K138" i="158"/>
  <c r="L138" i="158"/>
  <c r="M138" i="158"/>
  <c r="N138" i="158"/>
  <c r="P138" i="158"/>
  <c r="A139" i="158"/>
  <c r="H139" i="158"/>
  <c r="K139" i="158"/>
  <c r="L139" i="158"/>
  <c r="M139" i="158"/>
  <c r="N139" i="158"/>
  <c r="P139" i="158"/>
  <c r="A140" i="158"/>
  <c r="H140" i="158"/>
  <c r="K140" i="158"/>
  <c r="L140" i="158"/>
  <c r="M140" i="158"/>
  <c r="N140" i="158"/>
  <c r="P140" i="158"/>
  <c r="A141" i="158"/>
  <c r="H141" i="158"/>
  <c r="K141" i="158"/>
  <c r="L141" i="158"/>
  <c r="M141" i="158"/>
  <c r="N141" i="158"/>
  <c r="P141" i="158"/>
  <c r="A142" i="158"/>
  <c r="H142" i="158"/>
  <c r="K142" i="158"/>
  <c r="L142" i="158"/>
  <c r="M142" i="158"/>
  <c r="N142" i="158"/>
  <c r="P142" i="158"/>
  <c r="A143" i="158"/>
  <c r="H143" i="158"/>
  <c r="K143" i="158"/>
  <c r="L143" i="158"/>
  <c r="M143" i="158"/>
  <c r="N143" i="158"/>
  <c r="P143" i="158"/>
  <c r="A144" i="158"/>
  <c r="H144" i="158"/>
  <c r="K144" i="158"/>
  <c r="L144" i="158"/>
  <c r="M144" i="158"/>
  <c r="N144" i="158"/>
  <c r="P144" i="158"/>
  <c r="A145" i="158"/>
  <c r="H145" i="158"/>
  <c r="K145" i="158"/>
  <c r="L145" i="158"/>
  <c r="M145" i="158"/>
  <c r="N145" i="158"/>
  <c r="P145" i="158"/>
  <c r="A146" i="158"/>
  <c r="H146" i="158"/>
  <c r="K146" i="158"/>
  <c r="L146" i="158"/>
  <c r="M146" i="158"/>
  <c r="N146" i="158"/>
  <c r="P146" i="158"/>
  <c r="A147" i="158"/>
  <c r="H147" i="158"/>
  <c r="K147" i="158"/>
  <c r="L147" i="158"/>
  <c r="M147" i="158"/>
  <c r="N147" i="158"/>
  <c r="P147" i="158"/>
  <c r="A148" i="158"/>
  <c r="H148" i="158"/>
  <c r="K148" i="158"/>
  <c r="L148" i="158"/>
  <c r="M148" i="158"/>
  <c r="N148" i="158"/>
  <c r="P148" i="158"/>
  <c r="A149" i="158"/>
  <c r="H149" i="158"/>
  <c r="K149" i="158"/>
  <c r="L149" i="158"/>
  <c r="M149" i="158"/>
  <c r="N149" i="158"/>
  <c r="P149" i="158"/>
  <c r="A150" i="158"/>
  <c r="H150" i="158"/>
  <c r="K150" i="158"/>
  <c r="L150" i="158"/>
  <c r="M150" i="158"/>
  <c r="N150" i="158"/>
  <c r="P150" i="158"/>
  <c r="A151" i="158"/>
  <c r="H151" i="158"/>
  <c r="K151" i="158"/>
  <c r="L151" i="158"/>
  <c r="M151" i="158"/>
  <c r="N151" i="158"/>
  <c r="P151" i="158"/>
  <c r="A152" i="158"/>
  <c r="H152" i="158"/>
  <c r="K152" i="158"/>
  <c r="L152" i="158"/>
  <c r="M152" i="158"/>
  <c r="N152" i="158"/>
  <c r="P152" i="158"/>
  <c r="A153" i="158"/>
  <c r="H153" i="158"/>
  <c r="K153" i="158"/>
  <c r="L153" i="158"/>
  <c r="M153" i="158"/>
  <c r="N153" i="158"/>
  <c r="P153" i="158"/>
  <c r="A154" i="158"/>
  <c r="H154" i="158"/>
  <c r="K154" i="158"/>
  <c r="L154" i="158"/>
  <c r="M154" i="158"/>
  <c r="N154" i="158"/>
  <c r="P154" i="158"/>
  <c r="A155" i="158"/>
  <c r="H155" i="158"/>
  <c r="K155" i="158"/>
  <c r="L155" i="158"/>
  <c r="M155" i="158"/>
  <c r="N155" i="158"/>
  <c r="P155" i="158"/>
  <c r="A156" i="158"/>
  <c r="H156" i="158"/>
  <c r="K156" i="158"/>
  <c r="L156" i="158"/>
  <c r="M156" i="158"/>
  <c r="N156" i="158"/>
  <c r="P156" i="158"/>
  <c r="A157" i="158"/>
  <c r="H157" i="158"/>
  <c r="K157" i="158"/>
  <c r="L157" i="158"/>
  <c r="M157" i="158"/>
  <c r="N157" i="158"/>
  <c r="P157" i="158"/>
  <c r="A158" i="158"/>
  <c r="H158" i="158"/>
  <c r="K158" i="158"/>
  <c r="L158" i="158"/>
  <c r="M158" i="158"/>
  <c r="N158" i="158"/>
  <c r="P158" i="158"/>
  <c r="A159" i="158"/>
  <c r="H159" i="158"/>
  <c r="K159" i="158"/>
  <c r="L159" i="158"/>
  <c r="M159" i="158"/>
  <c r="N159" i="158"/>
  <c r="P159" i="158"/>
  <c r="A160" i="158"/>
  <c r="H160" i="158"/>
  <c r="K160" i="158"/>
  <c r="L160" i="158"/>
  <c r="M160" i="158"/>
  <c r="N160" i="158"/>
  <c r="P160" i="158"/>
  <c r="A161" i="158"/>
  <c r="H161" i="158"/>
  <c r="K161" i="158"/>
  <c r="L161" i="158"/>
  <c r="M161" i="158"/>
  <c r="N161" i="158"/>
  <c r="P161" i="158"/>
  <c r="A162" i="158"/>
  <c r="H162" i="158"/>
  <c r="K162" i="158"/>
  <c r="L162" i="158"/>
  <c r="M162" i="158"/>
  <c r="N162" i="158"/>
  <c r="P162" i="158"/>
  <c r="A163" i="158"/>
  <c r="H163" i="158"/>
  <c r="K163" i="158"/>
  <c r="L163" i="158"/>
  <c r="M163" i="158"/>
  <c r="N163" i="158"/>
  <c r="P163" i="158"/>
  <c r="A164" i="158"/>
  <c r="H164" i="158"/>
  <c r="K164" i="158"/>
  <c r="L164" i="158"/>
  <c r="M164" i="158"/>
  <c r="N164" i="158"/>
  <c r="P164" i="158"/>
  <c r="A165" i="158"/>
  <c r="H165" i="158"/>
  <c r="K165" i="158"/>
  <c r="L165" i="158"/>
  <c r="M165" i="158"/>
  <c r="N165" i="158"/>
  <c r="P165" i="158"/>
  <c r="A166" i="158"/>
  <c r="H166" i="158"/>
  <c r="K166" i="158"/>
  <c r="L166" i="158"/>
  <c r="M166" i="158"/>
  <c r="N166" i="158"/>
  <c r="P166" i="158"/>
  <c r="A167" i="158"/>
  <c r="H167" i="158"/>
  <c r="K167" i="158"/>
  <c r="L167" i="158"/>
  <c r="M167" i="158"/>
  <c r="N167" i="158"/>
  <c r="P167" i="158"/>
  <c r="A168" i="158"/>
  <c r="H168" i="158"/>
  <c r="K168" i="158"/>
  <c r="L168" i="158"/>
  <c r="M168" i="158"/>
  <c r="N168" i="158"/>
  <c r="P168" i="158"/>
  <c r="A169" i="158"/>
  <c r="H169" i="158"/>
  <c r="K169" i="158"/>
  <c r="L169" i="158"/>
  <c r="M169" i="158"/>
  <c r="N169" i="158"/>
  <c r="P169" i="158"/>
  <c r="A170" i="158"/>
  <c r="H170" i="158"/>
  <c r="K170" i="158"/>
  <c r="L170" i="158"/>
  <c r="M170" i="158"/>
  <c r="N170" i="158"/>
  <c r="P170" i="158"/>
  <c r="A171" i="158"/>
  <c r="H171" i="158"/>
  <c r="K171" i="158"/>
  <c r="L171" i="158"/>
  <c r="M171" i="158"/>
  <c r="N171" i="158"/>
  <c r="P171" i="158"/>
  <c r="A172" i="158"/>
  <c r="H172" i="158"/>
  <c r="K172" i="158"/>
  <c r="L172" i="158"/>
  <c r="M172" i="158"/>
  <c r="N172" i="158"/>
  <c r="P172" i="158"/>
  <c r="A173" i="158"/>
  <c r="H173" i="158"/>
  <c r="K173" i="158"/>
  <c r="L173" i="158"/>
  <c r="M173" i="158"/>
  <c r="N173" i="158"/>
  <c r="P173" i="158"/>
  <c r="A174" i="158"/>
  <c r="H174" i="158"/>
  <c r="K174" i="158"/>
  <c r="L174" i="158"/>
  <c r="M174" i="158"/>
  <c r="N174" i="158"/>
  <c r="P174" i="158"/>
  <c r="A175" i="158"/>
  <c r="H175" i="158"/>
  <c r="K175" i="158"/>
  <c r="L175" i="158"/>
  <c r="M175" i="158"/>
  <c r="N175" i="158"/>
  <c r="P175" i="158"/>
  <c r="A176" i="158"/>
  <c r="H176" i="158"/>
  <c r="K176" i="158"/>
  <c r="L176" i="158"/>
  <c r="M176" i="158"/>
  <c r="N176" i="158"/>
  <c r="P176" i="158"/>
  <c r="A177" i="158"/>
  <c r="H177" i="158"/>
  <c r="K177" i="158"/>
  <c r="L177" i="158"/>
  <c r="M177" i="158"/>
  <c r="N177" i="158"/>
  <c r="P177" i="158"/>
  <c r="A178" i="158"/>
  <c r="H178" i="158"/>
  <c r="K178" i="158"/>
  <c r="L178" i="158"/>
  <c r="M178" i="158"/>
  <c r="N178" i="158"/>
  <c r="P178" i="158"/>
  <c r="A179" i="158"/>
  <c r="H179" i="158"/>
  <c r="K179" i="158"/>
  <c r="L179" i="158"/>
  <c r="M179" i="158"/>
  <c r="N179" i="158"/>
  <c r="P179" i="158"/>
  <c r="A180" i="158"/>
  <c r="H180" i="158"/>
  <c r="K180" i="158"/>
  <c r="L180" i="158"/>
  <c r="M180" i="158"/>
  <c r="N180" i="158"/>
  <c r="P180" i="158"/>
  <c r="A181" i="158"/>
  <c r="H181" i="158"/>
  <c r="K181" i="158"/>
  <c r="L181" i="158"/>
  <c r="M181" i="158"/>
  <c r="N181" i="158"/>
  <c r="P181" i="158"/>
  <c r="A182" i="158"/>
  <c r="H182" i="158"/>
  <c r="K182" i="158"/>
  <c r="L182" i="158"/>
  <c r="M182" i="158"/>
  <c r="N182" i="158"/>
  <c r="P182" i="158"/>
  <c r="A183" i="158"/>
  <c r="H183" i="158"/>
  <c r="K183" i="158"/>
  <c r="L183" i="158"/>
  <c r="M183" i="158"/>
  <c r="N183" i="158"/>
  <c r="P183" i="158"/>
  <c r="A184" i="158"/>
  <c r="H184" i="158"/>
  <c r="K184" i="158"/>
  <c r="L184" i="158"/>
  <c r="M184" i="158"/>
  <c r="N184" i="158"/>
  <c r="P184" i="158"/>
  <c r="A185" i="158"/>
  <c r="H185" i="158"/>
  <c r="K185" i="158"/>
  <c r="L185" i="158"/>
  <c r="M185" i="158"/>
  <c r="N185" i="158"/>
  <c r="P185" i="158"/>
  <c r="A186" i="158"/>
  <c r="H186" i="158"/>
  <c r="K186" i="158"/>
  <c r="L186" i="158"/>
  <c r="M186" i="158"/>
  <c r="N186" i="158"/>
  <c r="P186" i="158"/>
  <c r="A187" i="158"/>
  <c r="H187" i="158"/>
  <c r="K187" i="158"/>
  <c r="L187" i="158"/>
  <c r="M187" i="158"/>
  <c r="N187" i="158"/>
  <c r="P187" i="158"/>
  <c r="A188" i="158"/>
  <c r="H188" i="158"/>
  <c r="K188" i="158"/>
  <c r="L188" i="158"/>
  <c r="M188" i="158"/>
  <c r="N188" i="158"/>
  <c r="P188" i="158"/>
  <c r="A189" i="158"/>
  <c r="H189" i="158"/>
  <c r="K189" i="158"/>
  <c r="L189" i="158"/>
  <c r="M189" i="158"/>
  <c r="N189" i="158"/>
  <c r="P189" i="158"/>
  <c r="A190" i="158"/>
  <c r="H190" i="158"/>
  <c r="K190" i="158"/>
  <c r="L190" i="158"/>
  <c r="M190" i="158"/>
  <c r="N190" i="158"/>
  <c r="P190" i="158"/>
  <c r="A191" i="158"/>
  <c r="H191" i="158"/>
  <c r="K191" i="158"/>
  <c r="L191" i="158"/>
  <c r="M191" i="158"/>
  <c r="N191" i="158"/>
  <c r="P191" i="158"/>
  <c r="A192" i="158"/>
  <c r="H192" i="158"/>
  <c r="K192" i="158"/>
  <c r="L192" i="158"/>
  <c r="M192" i="158"/>
  <c r="N192" i="158"/>
  <c r="P192" i="158"/>
  <c r="A193" i="158"/>
  <c r="H193" i="158"/>
  <c r="K193" i="158"/>
  <c r="L193" i="158"/>
  <c r="M193" i="158"/>
  <c r="N193" i="158"/>
  <c r="P193" i="158"/>
  <c r="A194" i="158"/>
  <c r="H194" i="158"/>
  <c r="K194" i="158"/>
  <c r="L194" i="158"/>
  <c r="M194" i="158"/>
  <c r="N194" i="158"/>
  <c r="P194" i="158"/>
  <c r="A195" i="158"/>
  <c r="H195" i="158"/>
  <c r="K195" i="158"/>
  <c r="L195" i="158"/>
  <c r="M195" i="158"/>
  <c r="N195" i="158"/>
  <c r="P195" i="158"/>
  <c r="A196" i="158"/>
  <c r="H196" i="158"/>
  <c r="K196" i="158"/>
  <c r="L196" i="158"/>
  <c r="M196" i="158"/>
  <c r="N196" i="158"/>
  <c r="P196" i="158"/>
  <c r="A197" i="158"/>
  <c r="H197" i="158"/>
  <c r="K197" i="158"/>
  <c r="L197" i="158"/>
  <c r="M197" i="158"/>
  <c r="N197" i="158"/>
  <c r="P197" i="158"/>
  <c r="A198" i="158"/>
  <c r="H198" i="158"/>
  <c r="K198" i="158"/>
  <c r="L198" i="158"/>
  <c r="M198" i="158"/>
  <c r="N198" i="158"/>
  <c r="P198" i="158"/>
  <c r="A199" i="158"/>
  <c r="H199" i="158"/>
  <c r="K199" i="158"/>
  <c r="L199" i="158"/>
  <c r="M199" i="158"/>
  <c r="N199" i="158"/>
  <c r="P199" i="158"/>
  <c r="A200" i="158"/>
  <c r="H200" i="158"/>
  <c r="K200" i="158"/>
  <c r="L200" i="158"/>
  <c r="M200" i="158"/>
  <c r="N200" i="158"/>
  <c r="P200" i="158"/>
  <c r="A201" i="158"/>
  <c r="H201" i="158"/>
  <c r="K201" i="158"/>
  <c r="L201" i="158"/>
  <c r="M201" i="158"/>
  <c r="N201" i="158"/>
  <c r="P201" i="158"/>
  <c r="A202" i="158"/>
  <c r="H202" i="158"/>
  <c r="K202" i="158"/>
  <c r="L202" i="158"/>
  <c r="M202" i="158"/>
  <c r="N202" i="158"/>
  <c r="P202" i="158"/>
  <c r="A203" i="158"/>
  <c r="H203" i="158"/>
  <c r="K203" i="158"/>
  <c r="L203" i="158"/>
  <c r="M203" i="158"/>
  <c r="N203" i="158"/>
  <c r="P203" i="158"/>
  <c r="A204" i="158"/>
  <c r="H204" i="158"/>
  <c r="K204" i="158"/>
  <c r="L204" i="158"/>
  <c r="M204" i="158"/>
  <c r="N204" i="158"/>
  <c r="P204" i="158"/>
  <c r="A205" i="158"/>
  <c r="H205" i="158"/>
  <c r="K205" i="158"/>
  <c r="L205" i="158"/>
  <c r="M205" i="158"/>
  <c r="N205" i="158"/>
  <c r="P205" i="158"/>
  <c r="A206" i="158"/>
  <c r="H206" i="158"/>
  <c r="K206" i="158"/>
  <c r="L206" i="158"/>
  <c r="M206" i="158"/>
  <c r="N206" i="158"/>
  <c r="P206" i="158"/>
  <c r="A207" i="158"/>
  <c r="H207" i="158"/>
  <c r="K207" i="158"/>
  <c r="L207" i="158"/>
  <c r="M207" i="158"/>
  <c r="N207" i="158"/>
  <c r="P207" i="158"/>
  <c r="A208" i="158"/>
  <c r="H208" i="158"/>
  <c r="K208" i="158"/>
  <c r="L208" i="158"/>
  <c r="M208" i="158"/>
  <c r="N208" i="158"/>
  <c r="P208" i="158"/>
  <c r="A209" i="158"/>
  <c r="H209" i="158"/>
  <c r="K209" i="158"/>
  <c r="L209" i="158"/>
  <c r="M209" i="158"/>
  <c r="N209" i="158"/>
  <c r="P209" i="158"/>
  <c r="A210" i="158"/>
  <c r="H210" i="158"/>
  <c r="K210" i="158"/>
  <c r="L210" i="158"/>
  <c r="M210" i="158"/>
  <c r="N210" i="158"/>
  <c r="P210" i="158"/>
  <c r="A211" i="158"/>
  <c r="H211" i="158"/>
  <c r="K211" i="158"/>
  <c r="L211" i="158"/>
  <c r="M211" i="158"/>
  <c r="N211" i="158"/>
  <c r="P211" i="158"/>
  <c r="A212" i="158"/>
  <c r="H212" i="158"/>
  <c r="K212" i="158"/>
  <c r="L212" i="158"/>
  <c r="M212" i="158"/>
  <c r="N212" i="158"/>
  <c r="P212" i="158"/>
  <c r="A213" i="158"/>
  <c r="H213" i="158"/>
  <c r="K213" i="158"/>
  <c r="L213" i="158"/>
  <c r="M213" i="158"/>
  <c r="N213" i="158"/>
  <c r="P213" i="158"/>
  <c r="A214" i="158"/>
  <c r="H214" i="158"/>
  <c r="K214" i="158"/>
  <c r="L214" i="158"/>
  <c r="M214" i="158"/>
  <c r="N214" i="158"/>
  <c r="P214" i="158"/>
  <c r="A215" i="158"/>
  <c r="H215" i="158"/>
  <c r="K215" i="158"/>
  <c r="L215" i="158"/>
  <c r="M215" i="158"/>
  <c r="N215" i="158"/>
  <c r="P215" i="158"/>
  <c r="A216" i="158"/>
  <c r="H216" i="158"/>
  <c r="K216" i="158"/>
  <c r="L216" i="158"/>
  <c r="M216" i="158"/>
  <c r="N216" i="158"/>
  <c r="P216" i="158"/>
  <c r="A217" i="158"/>
  <c r="H217" i="158"/>
  <c r="K217" i="158"/>
  <c r="L217" i="158"/>
  <c r="M217" i="158"/>
  <c r="N217" i="158"/>
  <c r="P217" i="158"/>
  <c r="A218" i="158"/>
  <c r="H218" i="158"/>
  <c r="K218" i="158"/>
  <c r="L218" i="158"/>
  <c r="M218" i="158"/>
  <c r="N218" i="158"/>
  <c r="P218" i="158"/>
  <c r="A219" i="158"/>
  <c r="H219" i="158"/>
  <c r="K219" i="158"/>
  <c r="L219" i="158"/>
  <c r="M219" i="158"/>
  <c r="N219" i="158"/>
  <c r="P219" i="158"/>
  <c r="A220" i="158"/>
  <c r="H220" i="158"/>
  <c r="K220" i="158"/>
  <c r="L220" i="158"/>
  <c r="M220" i="158"/>
  <c r="N220" i="158"/>
  <c r="P220" i="158"/>
  <c r="A221" i="158"/>
  <c r="H221" i="158"/>
  <c r="K221" i="158"/>
  <c r="L221" i="158"/>
  <c r="M221" i="158"/>
  <c r="N221" i="158"/>
  <c r="P221" i="158"/>
  <c r="A222" i="158"/>
  <c r="H222" i="158"/>
  <c r="K222" i="158"/>
  <c r="L222" i="158"/>
  <c r="M222" i="158"/>
  <c r="N222" i="158"/>
  <c r="P222" i="158"/>
  <c r="A223" i="158"/>
  <c r="H223" i="158"/>
  <c r="K223" i="158"/>
  <c r="L223" i="158"/>
  <c r="M223" i="158"/>
  <c r="N223" i="158"/>
  <c r="P223" i="158"/>
  <c r="A224" i="158"/>
  <c r="H224" i="158"/>
  <c r="K224" i="158"/>
  <c r="L224" i="158"/>
  <c r="M224" i="158"/>
  <c r="N224" i="158"/>
  <c r="P224" i="158"/>
  <c r="A225" i="158"/>
  <c r="H225" i="158"/>
  <c r="K225" i="158"/>
  <c r="L225" i="158"/>
  <c r="M225" i="158"/>
  <c r="N225" i="158"/>
  <c r="P225" i="158"/>
  <c r="A226" i="158"/>
  <c r="H226" i="158"/>
  <c r="K226" i="158"/>
  <c r="L226" i="158"/>
  <c r="M226" i="158"/>
  <c r="N226" i="158"/>
  <c r="P226" i="158"/>
  <c r="A227" i="158"/>
  <c r="H227" i="158"/>
  <c r="K227" i="158"/>
  <c r="L227" i="158"/>
  <c r="M227" i="158"/>
  <c r="N227" i="158"/>
  <c r="P227" i="158"/>
  <c r="A228" i="158"/>
  <c r="H228" i="158"/>
  <c r="K228" i="158"/>
  <c r="L228" i="158"/>
  <c r="M228" i="158"/>
  <c r="N228" i="158"/>
  <c r="P228" i="158"/>
  <c r="A229" i="158"/>
  <c r="H229" i="158"/>
  <c r="K229" i="158"/>
  <c r="L229" i="158"/>
  <c r="M229" i="158"/>
  <c r="N229" i="158"/>
  <c r="P229" i="158"/>
  <c r="A230" i="158"/>
  <c r="H230" i="158"/>
  <c r="K230" i="158"/>
  <c r="L230" i="158"/>
  <c r="M230" i="158"/>
  <c r="N230" i="158"/>
  <c r="P230" i="158"/>
  <c r="A231" i="158"/>
  <c r="H231" i="158"/>
  <c r="K231" i="158"/>
  <c r="L231" i="158"/>
  <c r="M231" i="158"/>
  <c r="N231" i="158"/>
  <c r="P231" i="158"/>
  <c r="A232" i="158"/>
  <c r="H232" i="158"/>
  <c r="K232" i="158"/>
  <c r="L232" i="158"/>
  <c r="M232" i="158"/>
  <c r="N232" i="158"/>
  <c r="P232" i="158"/>
  <c r="A233" i="158"/>
  <c r="H233" i="158"/>
  <c r="K233" i="158"/>
  <c r="L233" i="158"/>
  <c r="M233" i="158"/>
  <c r="N233" i="158"/>
  <c r="P233" i="158"/>
  <c r="A234" i="158"/>
  <c r="H234" i="158"/>
  <c r="K234" i="158"/>
  <c r="L234" i="158"/>
  <c r="M234" i="158"/>
  <c r="N234" i="158"/>
  <c r="P234" i="158"/>
  <c r="A235" i="158"/>
  <c r="H235" i="158"/>
  <c r="K235" i="158"/>
  <c r="L235" i="158"/>
  <c r="M235" i="158"/>
  <c r="N235" i="158"/>
  <c r="P235" i="158"/>
  <c r="A236" i="158"/>
  <c r="H236" i="158"/>
  <c r="K236" i="158"/>
  <c r="L236" i="158"/>
  <c r="M236" i="158"/>
  <c r="N236" i="158"/>
  <c r="P236" i="158"/>
  <c r="A237" i="158"/>
  <c r="H237" i="158"/>
  <c r="K237" i="158"/>
  <c r="L237" i="158"/>
  <c r="M237" i="158"/>
  <c r="N237" i="158"/>
  <c r="P237" i="158"/>
  <c r="A238" i="158"/>
  <c r="H238" i="158"/>
  <c r="K238" i="158"/>
  <c r="L238" i="158"/>
  <c r="M238" i="158"/>
  <c r="N238" i="158"/>
  <c r="P238" i="158"/>
  <c r="A239" i="158"/>
  <c r="H239" i="158"/>
  <c r="K239" i="158"/>
  <c r="L239" i="158"/>
  <c r="M239" i="158"/>
  <c r="N239" i="158"/>
  <c r="P239" i="158"/>
  <c r="A240" i="158"/>
  <c r="H240" i="158"/>
  <c r="K240" i="158"/>
  <c r="L240" i="158"/>
  <c r="M240" i="158"/>
  <c r="N240" i="158"/>
  <c r="P240" i="158"/>
  <c r="A241" i="158"/>
  <c r="H241" i="158"/>
  <c r="K241" i="158"/>
  <c r="L241" i="158"/>
  <c r="M241" i="158"/>
  <c r="N241" i="158"/>
  <c r="P241" i="158"/>
  <c r="A242" i="158"/>
  <c r="H242" i="158"/>
  <c r="K242" i="158"/>
  <c r="L242" i="158"/>
  <c r="M242" i="158"/>
  <c r="N242" i="158"/>
  <c r="P242" i="158"/>
  <c r="A243" i="158"/>
  <c r="H243" i="158"/>
  <c r="K243" i="158"/>
  <c r="L243" i="158"/>
  <c r="M243" i="158"/>
  <c r="N243" i="158"/>
  <c r="P243" i="158"/>
  <c r="A244" i="158"/>
  <c r="H244" i="158"/>
  <c r="K244" i="158"/>
  <c r="L244" i="158"/>
  <c r="M244" i="158"/>
  <c r="N244" i="158"/>
  <c r="P244" i="158"/>
  <c r="A245" i="158"/>
  <c r="H245" i="158"/>
  <c r="K245" i="158"/>
  <c r="L245" i="158"/>
  <c r="M245" i="158"/>
  <c r="N245" i="158"/>
  <c r="P245" i="158"/>
  <c r="A246" i="158"/>
  <c r="H246" i="158"/>
  <c r="K246" i="158"/>
  <c r="L246" i="158"/>
  <c r="M246" i="158"/>
  <c r="N246" i="158"/>
  <c r="P246" i="158"/>
  <c r="A247" i="158"/>
  <c r="H247" i="158"/>
  <c r="K247" i="158"/>
  <c r="L247" i="158"/>
  <c r="M247" i="158"/>
  <c r="N247" i="158"/>
  <c r="P247" i="158"/>
  <c r="A248" i="158"/>
  <c r="H248" i="158"/>
  <c r="K248" i="158"/>
  <c r="L248" i="158"/>
  <c r="M248" i="158"/>
  <c r="N248" i="158"/>
  <c r="P248" i="158"/>
  <c r="A249" i="158"/>
  <c r="H249" i="158"/>
  <c r="K249" i="158"/>
  <c r="L249" i="158"/>
  <c r="M249" i="158"/>
  <c r="N249" i="158"/>
  <c r="P249" i="158"/>
  <c r="A250" i="158"/>
  <c r="H250" i="158"/>
  <c r="K250" i="158"/>
  <c r="L250" i="158"/>
  <c r="M250" i="158"/>
  <c r="N250" i="158"/>
  <c r="P250" i="158"/>
  <c r="A251" i="158"/>
  <c r="H251" i="158"/>
  <c r="K251" i="158"/>
  <c r="L251" i="158"/>
  <c r="M251" i="158"/>
  <c r="N251" i="158"/>
  <c r="P251" i="158"/>
  <c r="A252" i="158"/>
  <c r="H252" i="158"/>
  <c r="K252" i="158"/>
  <c r="L252" i="158"/>
  <c r="M252" i="158"/>
  <c r="N252" i="158"/>
  <c r="P252" i="158"/>
  <c r="A253" i="158"/>
  <c r="H253" i="158"/>
  <c r="K253" i="158"/>
  <c r="L253" i="158"/>
  <c r="M253" i="158"/>
  <c r="N253" i="158"/>
  <c r="P253" i="158"/>
  <c r="A254" i="158"/>
  <c r="H254" i="158"/>
  <c r="K254" i="158"/>
  <c r="L254" i="158"/>
  <c r="M254" i="158"/>
  <c r="N254" i="158"/>
  <c r="P254" i="158"/>
  <c r="A255" i="158"/>
  <c r="H255" i="158"/>
  <c r="K255" i="158"/>
  <c r="L255" i="158"/>
  <c r="M255" i="158"/>
  <c r="N255" i="158"/>
  <c r="P255" i="158"/>
  <c r="A256" i="158"/>
  <c r="H256" i="158"/>
  <c r="K256" i="158"/>
  <c r="L256" i="158"/>
  <c r="M256" i="158"/>
  <c r="N256" i="158"/>
  <c r="P256" i="158"/>
  <c r="A257" i="158"/>
  <c r="H257" i="158"/>
  <c r="K257" i="158"/>
  <c r="L257" i="158"/>
  <c r="M257" i="158"/>
  <c r="N257" i="158"/>
  <c r="P257" i="158"/>
  <c r="A258" i="158"/>
  <c r="H258" i="158"/>
  <c r="K258" i="158"/>
  <c r="L258" i="158"/>
  <c r="M258" i="158"/>
  <c r="N258" i="158"/>
  <c r="P258" i="158"/>
  <c r="A259" i="158"/>
  <c r="H259" i="158"/>
  <c r="K259" i="158"/>
  <c r="L259" i="158"/>
  <c r="M259" i="158"/>
  <c r="N259" i="158"/>
  <c r="P259" i="158"/>
  <c r="A260" i="158"/>
  <c r="H260" i="158"/>
  <c r="K260" i="158"/>
  <c r="L260" i="158"/>
  <c r="M260" i="158"/>
  <c r="N260" i="158"/>
  <c r="P260" i="158"/>
  <c r="A261" i="158"/>
  <c r="H261" i="158"/>
  <c r="K261" i="158"/>
  <c r="L261" i="158"/>
  <c r="M261" i="158"/>
  <c r="N261" i="158"/>
  <c r="P261" i="158"/>
  <c r="A262" i="158"/>
  <c r="H262" i="158"/>
  <c r="K262" i="158"/>
  <c r="L262" i="158"/>
  <c r="M262" i="158"/>
  <c r="N262" i="158"/>
  <c r="P262" i="158"/>
  <c r="A263" i="158"/>
  <c r="H263" i="158"/>
  <c r="K263" i="158"/>
  <c r="L263" i="158"/>
  <c r="M263" i="158"/>
  <c r="N263" i="158"/>
  <c r="P263" i="158"/>
  <c r="A264" i="158"/>
  <c r="H264" i="158"/>
  <c r="K264" i="158"/>
  <c r="L264" i="158"/>
  <c r="M264" i="158"/>
  <c r="N264" i="158"/>
  <c r="P264" i="158"/>
  <c r="A265" i="158"/>
  <c r="H265" i="158"/>
  <c r="K265" i="158"/>
  <c r="L265" i="158"/>
  <c r="M265" i="158"/>
  <c r="N265" i="158"/>
  <c r="P265" i="158"/>
  <c r="A266" i="158"/>
  <c r="H266" i="158"/>
  <c r="K266" i="158"/>
  <c r="L266" i="158"/>
  <c r="M266" i="158"/>
  <c r="N266" i="158"/>
  <c r="P266" i="158"/>
  <c r="A267" i="158"/>
  <c r="H267" i="158"/>
  <c r="K267" i="158"/>
  <c r="L267" i="158"/>
  <c r="M267" i="158"/>
  <c r="N267" i="158"/>
  <c r="P267" i="158"/>
  <c r="A268" i="158"/>
  <c r="H268" i="158"/>
  <c r="K268" i="158"/>
  <c r="L268" i="158"/>
  <c r="M268" i="158"/>
  <c r="N268" i="158"/>
  <c r="P268" i="158"/>
  <c r="A269" i="158"/>
  <c r="H269" i="158"/>
  <c r="K269" i="158"/>
  <c r="L269" i="158"/>
  <c r="M269" i="158"/>
  <c r="N269" i="158"/>
  <c r="P269" i="158"/>
  <c r="A270" i="158"/>
  <c r="H270" i="158"/>
  <c r="K270" i="158"/>
  <c r="L270" i="158"/>
  <c r="M270" i="158"/>
  <c r="N270" i="158"/>
  <c r="P270" i="158"/>
  <c r="A271" i="158"/>
  <c r="H271" i="158"/>
  <c r="K271" i="158"/>
  <c r="L271" i="158"/>
  <c r="M271" i="158"/>
  <c r="N271" i="158"/>
  <c r="P271" i="158"/>
  <c r="A272" i="158"/>
  <c r="H272" i="158"/>
  <c r="K272" i="158"/>
  <c r="L272" i="158"/>
  <c r="M272" i="158"/>
  <c r="N272" i="158"/>
  <c r="P272" i="158"/>
  <c r="A273" i="158"/>
  <c r="H273" i="158"/>
  <c r="K273" i="158"/>
  <c r="L273" i="158"/>
  <c r="M273" i="158"/>
  <c r="N273" i="158"/>
  <c r="P273" i="158"/>
  <c r="A274" i="158"/>
  <c r="H274" i="158"/>
  <c r="K274" i="158"/>
  <c r="L274" i="158"/>
  <c r="M274" i="158"/>
  <c r="N274" i="158"/>
  <c r="P274" i="158"/>
  <c r="A275" i="158"/>
  <c r="H275" i="158"/>
  <c r="K275" i="158"/>
  <c r="L275" i="158"/>
  <c r="M275" i="158"/>
  <c r="N275" i="158"/>
  <c r="P275" i="158"/>
  <c r="A276" i="158"/>
  <c r="H276" i="158"/>
  <c r="K276" i="158"/>
  <c r="L276" i="158"/>
  <c r="M276" i="158"/>
  <c r="N276" i="158"/>
  <c r="P276" i="158"/>
  <c r="A277" i="158"/>
  <c r="H277" i="158"/>
  <c r="K277" i="158"/>
  <c r="L277" i="158"/>
  <c r="M277" i="158"/>
  <c r="N277" i="158"/>
  <c r="P277" i="158"/>
  <c r="A278" i="158"/>
  <c r="H278" i="158"/>
  <c r="K278" i="158"/>
  <c r="L278" i="158"/>
  <c r="M278" i="158"/>
  <c r="N278" i="158"/>
  <c r="P278" i="158"/>
  <c r="A279" i="158"/>
  <c r="H279" i="158"/>
  <c r="K279" i="158"/>
  <c r="L279" i="158"/>
  <c r="M279" i="158"/>
  <c r="N279" i="158"/>
  <c r="P279" i="158"/>
  <c r="A280" i="158"/>
  <c r="H280" i="158"/>
  <c r="K280" i="158"/>
  <c r="L280" i="158"/>
  <c r="M280" i="158"/>
  <c r="N280" i="158"/>
  <c r="P280" i="158"/>
  <c r="A281" i="158"/>
  <c r="H281" i="158"/>
  <c r="K281" i="158"/>
  <c r="L281" i="158"/>
  <c r="M281" i="158"/>
  <c r="N281" i="158"/>
  <c r="P281" i="158"/>
  <c r="A282" i="158"/>
  <c r="H282" i="158"/>
  <c r="K282" i="158"/>
  <c r="L282" i="158"/>
  <c r="M282" i="158"/>
  <c r="N282" i="158"/>
  <c r="P282" i="158"/>
  <c r="A283" i="158"/>
  <c r="H283" i="158"/>
  <c r="K283" i="158"/>
  <c r="L283" i="158"/>
  <c r="M283" i="158"/>
  <c r="N283" i="158"/>
  <c r="P283" i="158"/>
  <c r="A284" i="158"/>
  <c r="H284" i="158"/>
  <c r="K284" i="158"/>
  <c r="L284" i="158"/>
  <c r="M284" i="158"/>
  <c r="N284" i="158"/>
  <c r="P284" i="158"/>
  <c r="A285" i="158"/>
  <c r="H285" i="158"/>
  <c r="K285" i="158"/>
  <c r="L285" i="158"/>
  <c r="M285" i="158"/>
  <c r="N285" i="158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A290" i="158"/>
  <c r="H290" i="158"/>
  <c r="K290" i="158"/>
  <c r="L290" i="158"/>
  <c r="M290" i="158"/>
  <c r="N290" i="158"/>
  <c r="P290" i="158"/>
  <c r="A291" i="158"/>
  <c r="H291" i="158"/>
  <c r="K291" i="158"/>
  <c r="L291" i="158"/>
  <c r="M291" i="158"/>
  <c r="N291" i="158"/>
  <c r="P291" i="158"/>
  <c r="A292" i="158"/>
  <c r="H292" i="158"/>
  <c r="K292" i="158"/>
  <c r="L292" i="158"/>
  <c r="M292" i="158"/>
  <c r="N292" i="158"/>
  <c r="P292" i="158"/>
  <c r="A293" i="158"/>
  <c r="H293" i="158"/>
  <c r="K293" i="158"/>
  <c r="L293" i="158"/>
  <c r="M293" i="158"/>
  <c r="N293" i="158"/>
  <c r="P293" i="158"/>
  <c r="A294" i="158"/>
  <c r="H294" i="158"/>
  <c r="K294" i="158"/>
  <c r="L294" i="158"/>
  <c r="M294" i="158"/>
  <c r="N294" i="158"/>
  <c r="P294" i="158"/>
  <c r="A295" i="158"/>
  <c r="H295" i="158"/>
  <c r="K295" i="158"/>
  <c r="L295" i="158"/>
  <c r="M295" i="158"/>
  <c r="N295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A300" i="158"/>
  <c r="H300" i="158"/>
  <c r="K300" i="158"/>
  <c r="L300" i="158"/>
  <c r="M300" i="158"/>
  <c r="N300" i="158"/>
  <c r="P300" i="158"/>
  <c r="A301" i="158"/>
  <c r="H301" i="158"/>
  <c r="K301" i="158"/>
  <c r="L301" i="158"/>
  <c r="M301" i="158"/>
  <c r="N301" i="158"/>
  <c r="P301" i="158"/>
  <c r="A302" i="158"/>
  <c r="H302" i="158"/>
  <c r="K302" i="158"/>
  <c r="L302" i="158"/>
  <c r="M302" i="158"/>
  <c r="N302" i="158"/>
  <c r="P302" i="158"/>
  <c r="A303" i="158"/>
  <c r="H303" i="158"/>
  <c r="K303" i="158"/>
  <c r="L303" i="158"/>
  <c r="M303" i="158"/>
  <c r="N303" i="158"/>
  <c r="P303" i="158"/>
  <c r="A304" i="158"/>
  <c r="H304" i="158"/>
  <c r="K304" i="158"/>
  <c r="L304" i="158"/>
  <c r="M304" i="158"/>
  <c r="N304" i="158"/>
  <c r="P304" i="158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A310" i="158"/>
  <c r="H310" i="158"/>
  <c r="K310" i="158"/>
  <c r="L310" i="158"/>
  <c r="M310" i="158"/>
  <c r="N310" i="158"/>
  <c r="P310" i="158"/>
  <c r="A311" i="158"/>
  <c r="H311" i="158"/>
  <c r="K311" i="158"/>
  <c r="L311" i="158"/>
  <c r="M311" i="158"/>
  <c r="N311" i="158"/>
  <c r="P311" i="158"/>
  <c r="A312" i="158"/>
  <c r="H312" i="158"/>
  <c r="K312" i="158"/>
  <c r="L312" i="158"/>
  <c r="M312" i="158"/>
  <c r="N312" i="158"/>
  <c r="P312" i="158"/>
  <c r="A313" i="158"/>
  <c r="H313" i="158"/>
  <c r="K313" i="158"/>
  <c r="L313" i="158"/>
  <c r="M313" i="158"/>
  <c r="N313" i="158"/>
  <c r="P313" i="158"/>
  <c r="A314" i="158"/>
  <c r="H314" i="158"/>
  <c r="K314" i="158"/>
  <c r="L314" i="158"/>
  <c r="M314" i="158"/>
  <c r="N314" i="158"/>
  <c r="P314" i="158"/>
  <c r="A315" i="158"/>
  <c r="H315" i="158"/>
  <c r="K315" i="158"/>
  <c r="L315" i="158"/>
  <c r="M315" i="158"/>
  <c r="N315" i="158"/>
  <c r="P315" i="158"/>
  <c r="A316" i="158"/>
  <c r="H316" i="158"/>
  <c r="K316" i="158"/>
  <c r="L316" i="158"/>
  <c r="M316" i="158"/>
  <c r="N316" i="158"/>
  <c r="P316" i="158"/>
  <c r="A317" i="158"/>
  <c r="H317" i="158"/>
  <c r="K317" i="158"/>
  <c r="L317" i="158"/>
  <c r="M317" i="158"/>
  <c r="N317" i="158"/>
  <c r="P317" i="158"/>
  <c r="A318" i="158"/>
  <c r="H318" i="158"/>
  <c r="K318" i="158"/>
  <c r="L318" i="158"/>
  <c r="M318" i="158"/>
  <c r="N318" i="158"/>
  <c r="P318" i="158"/>
  <c r="A319" i="158"/>
  <c r="H319" i="158"/>
  <c r="K319" i="158"/>
  <c r="L319" i="158"/>
  <c r="M319" i="158"/>
  <c r="N319" i="158"/>
  <c r="P319" i="158"/>
  <c r="A320" i="158"/>
  <c r="H320" i="158"/>
  <c r="K320" i="158"/>
  <c r="L320" i="158"/>
  <c r="M320" i="158"/>
  <c r="N320" i="158"/>
  <c r="P320" i="158"/>
  <c r="A321" i="158"/>
  <c r="H321" i="158"/>
  <c r="K321" i="158"/>
  <c r="L321" i="158"/>
  <c r="M321" i="158"/>
  <c r="N321" i="158"/>
  <c r="P321" i="158"/>
  <c r="A322" i="158"/>
  <c r="H322" i="158"/>
  <c r="K322" i="158"/>
  <c r="L322" i="158"/>
  <c r="M322" i="158"/>
  <c r="N322" i="158"/>
  <c r="P322" i="158"/>
  <c r="A323" i="158"/>
  <c r="H323" i="158"/>
  <c r="K323" i="158"/>
  <c r="L323" i="158"/>
  <c r="M323" i="158"/>
  <c r="N323" i="158"/>
  <c r="P323" i="158"/>
  <c r="A324" i="158"/>
  <c r="H324" i="158"/>
  <c r="K324" i="158"/>
  <c r="L324" i="158"/>
  <c r="M324" i="158"/>
  <c r="N324" i="158"/>
  <c r="P324" i="158"/>
  <c r="A325" i="158"/>
  <c r="H325" i="158"/>
  <c r="K325" i="158"/>
  <c r="L325" i="158"/>
  <c r="M325" i="158"/>
  <c r="N325" i="158"/>
  <c r="P325" i="158"/>
  <c r="A326" i="158"/>
  <c r="H326" i="158"/>
  <c r="K326" i="158"/>
  <c r="L326" i="158"/>
  <c r="M326" i="158"/>
  <c r="N326" i="158"/>
  <c r="P326" i="158"/>
  <c r="A327" i="158"/>
  <c r="H327" i="158"/>
  <c r="K327" i="158"/>
  <c r="L327" i="158"/>
  <c r="M327" i="158"/>
  <c r="N327" i="158"/>
  <c r="P327" i="158"/>
  <c r="A328" i="158"/>
  <c r="H328" i="158"/>
  <c r="K328" i="158"/>
  <c r="L328" i="158"/>
  <c r="M328" i="158"/>
  <c r="N328" i="158"/>
  <c r="P328" i="158"/>
  <c r="A329" i="158"/>
  <c r="H329" i="158"/>
  <c r="K329" i="158"/>
  <c r="L329" i="158"/>
  <c r="M329" i="158"/>
  <c r="N329" i="158"/>
  <c r="P329" i="158"/>
  <c r="A330" i="158"/>
  <c r="H330" i="158"/>
  <c r="K330" i="158"/>
  <c r="L330" i="158"/>
  <c r="M330" i="158"/>
  <c r="N330" i="158"/>
  <c r="P330" i="158"/>
  <c r="A331" i="158"/>
  <c r="H331" i="158"/>
  <c r="K331" i="158"/>
  <c r="L331" i="158"/>
  <c r="M331" i="158"/>
  <c r="N331" i="158"/>
  <c r="P331" i="158"/>
  <c r="A332" i="158"/>
  <c r="H332" i="158"/>
  <c r="K332" i="158"/>
  <c r="L332" i="158"/>
  <c r="M332" i="158"/>
  <c r="N332" i="158"/>
  <c r="P332" i="158"/>
  <c r="A333" i="158"/>
  <c r="H333" i="158"/>
  <c r="K333" i="158"/>
  <c r="L333" i="158"/>
  <c r="M333" i="158"/>
  <c r="N333" i="158"/>
  <c r="P333" i="158"/>
  <c r="A334" i="158"/>
  <c r="H334" i="158"/>
  <c r="K334" i="158"/>
  <c r="L334" i="158"/>
  <c r="M334" i="158"/>
  <c r="N334" i="158"/>
  <c r="P334" i="158"/>
  <c r="A335" i="158"/>
  <c r="H335" i="158"/>
  <c r="K335" i="158"/>
  <c r="L335" i="158"/>
  <c r="M335" i="158"/>
  <c r="N335" i="158"/>
  <c r="P335" i="158"/>
  <c r="A336" i="158"/>
  <c r="H336" i="158"/>
  <c r="K336" i="158"/>
  <c r="L336" i="158"/>
  <c r="M336" i="158"/>
  <c r="N336" i="158"/>
  <c r="P336" i="158"/>
  <c r="A337" i="158"/>
  <c r="H337" i="158"/>
  <c r="K337" i="158"/>
  <c r="L337" i="158"/>
  <c r="M337" i="158"/>
  <c r="N337" i="158"/>
  <c r="P337" i="158"/>
  <c r="A338" i="158"/>
  <c r="H338" i="158"/>
  <c r="K338" i="158"/>
  <c r="L338" i="158"/>
  <c r="M338" i="158"/>
  <c r="N338" i="158"/>
  <c r="P338" i="158"/>
  <c r="A339" i="158"/>
  <c r="H339" i="158"/>
  <c r="K339" i="158"/>
  <c r="L339" i="158"/>
  <c r="M339" i="158"/>
  <c r="N339" i="158"/>
  <c r="P339" i="158"/>
  <c r="A340" i="158"/>
  <c r="H340" i="158"/>
  <c r="K340" i="158"/>
  <c r="L340" i="158"/>
  <c r="M340" i="158"/>
  <c r="N340" i="158"/>
  <c r="P340" i="158"/>
  <c r="A341" i="158"/>
  <c r="H341" i="158"/>
  <c r="K341" i="158"/>
  <c r="L341" i="158"/>
  <c r="M341" i="158"/>
  <c r="N341" i="158"/>
  <c r="P341" i="158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A346" i="158"/>
  <c r="H346" i="158"/>
  <c r="K346" i="158"/>
  <c r="L346" i="158"/>
  <c r="M346" i="158"/>
  <c r="N346" i="158"/>
  <c r="P346" i="158"/>
  <c r="R3" i="157"/>
  <c r="R4" i="157"/>
  <c r="F48" i="157"/>
  <c r="F49" i="157"/>
  <c r="F41" i="157"/>
  <c r="G41" i="157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C4" i="103"/>
  <c r="E4" i="103"/>
  <c r="R8" i="157"/>
  <c r="R9" i="157"/>
  <c r="R10" i="157"/>
  <c r="E30" i="157"/>
  <c r="G30" i="157"/>
  <c r="H30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<sst xmlns="http://schemas.openxmlformats.org/spreadsheetml/2006/main" count="404" uniqueCount="261">
  <si>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</si>
  <si>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</si>
  <si>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</si>
  <si>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</si>
  <si>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</si>
  <si>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</si>
  <si>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</si>
  <si>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</si>
  <si>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</si>
  <si>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</si>
  <si>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</si>
  <si>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</si>
  <si>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</si>
  <si>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</si>
  <si>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</si>
  <si>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</si>
  <si>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</si>
  <si>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</si>
  <si>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</si>
  <si>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</si>
  <si>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</si>
  <si>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</si>
  <si>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</si>
  <si>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</si>
  <si>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</si>
  <si>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</si>
  <si>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</si>
  <si>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</si>
  <si>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</si>
  <si>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</si>
  <si>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</si>
  <si>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</si>
  <si>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</si>
  <si>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</si>
  <si>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</si>
  <si>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</si>
  <si>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</si>
  <si>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</si>
  <si>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</si>
  <si>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</si>
  <si>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</si>
  <si>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</si>
  <si>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</si>
  <si>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</si>
  <si>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</si>
  <si>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</si>
  <si>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</si>
  <si>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</si>
  <si>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</si>
  <si>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</si>
  <si>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</si>
  <si>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</si>
  <si>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</si>
  <si>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</si>
  <si>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</si>
  <si>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</si>
  <si>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</si>
  <si>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</si>
  <si>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</si>
  <si>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</si>
  <si>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</si>
  <si>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</si>
  <si>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</si>
  <si>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</si>
  <si>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</si>
  <si>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</si>
  <si>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</si>
  <si>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</si>
  <si>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</si>
  <si>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</si>
  <si>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</si>
  <si>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</si>
  <si>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</si>
  <si>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</si>
  <si>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</si>
  <si>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</si>
  <si>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</si>
  <si>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</si>
  <si>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</si>
  <si>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</si>
  <si>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</si>
  <si>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</si>
  <si>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</si>
  <si>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</si>
  <si>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</si>
  <si>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</si>
  <si>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</si>
  <si>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</si>
  <si>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</si>
  <si>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</si>
  <si>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</si>
  <si>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</si>
  <si>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</si>
  <si>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</si>
  <si>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</si>
  <si>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</si>
  <si>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</si>
  <si>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</si>
  <si>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</si>
  <si>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</si>
  <si>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</si>
  <si>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</si>
  <si>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</si>
  <si>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</si>
  <si>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</si>
  <si>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</si>
  <si>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</si>
  <si>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</si>
  <si>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</si>
  <si>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</si>
  <si>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</si>
  <si>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</si>
  <si>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</si>
  <si>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</si>
  <si>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</si>
  <si>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</si>
  <si>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</si>
  <si>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</si>
  <si>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</si>
  <si>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</si>
  <si>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</si>
  <si>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</si>
  <si>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</si>
  <si>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</si>
  <si>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</si>
  <si>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</si>
  <si>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</si>
  <si>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</si>
  <si>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</si>
  <si>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</si>
  <si>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</si>
  <si>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</si>
  <si>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</si>
  <si>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</si>
  <si>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</si>
  <si>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</si>
  <si>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</si>
  <si>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</si>
  <si>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</si>
  <si>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</si>
  <si>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</si>
  <si>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</si>
  <si>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</si>
  <si>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</si>
  <si>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</si>
  <si>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</si>
  <si>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</si>
  <si>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</si>
  <si>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</si>
  <si>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</si>
  <si>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</si>
  <si>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</si>
  <si>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</si>
  <si>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</si>
  <si>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</si>
  <si>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</si>
  <si>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</si>
  <si>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</si>
  <si>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</si>
  <si>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</si>
  <si>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</si>
  <si>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</si>
  <si>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</si>
  <si>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</si>
  <si>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</si>
  <si>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</si>
  <si>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</si>
  <si>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</si>
  <si>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</si>
  <si>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</si>
  <si>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</si>
  <si>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</si>
  <si>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</si>
  <si>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</si>
  <si>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</si>
  <si>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</si>
  <si>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</si>
  <si>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</si>
  <si>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</si>
  <si>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</si>
  <si>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</si>
  <si>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</si>
  <si>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</si>
  <si>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</si>
  <si>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</si>
  <si>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</si>
  <si>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</si>
  <si>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</si>
  <si>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</si>
  <si>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</si>
  <si>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</si>
  <si>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</si>
  <si>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</si>
  <si>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</si>
  <si>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</si>
  <si>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</si>
  <si>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</si>
  <si>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</si>
  <si>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</si>
  <si>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</si>
  <si>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</si>
  <si>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</si>
  <si>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</si>
  <si>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</si>
  <si>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</si>
  <si>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</si>
  <si>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</si>
  <si>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</si>
  <si>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</si>
  <si>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</si>
  <si>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</si>
  <si>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</si>
  <si>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</si>
  <si>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</si>
  <si>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</si>
  <si>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</si>
  <si>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</si>
  <si>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</si>
  <si>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</si>
  <si>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</si>
  <si>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</si>
  <si>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</si>
  <si>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</si>
  <si>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</si>
  <si>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</si>
  <si>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</si>
  <si>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</si>
  <si>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</si>
  <si>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</si>
  <si>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</si>
  <si>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</si>
  <si>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</si>
  <si>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</si>
  <si>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</si>
  <si>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</si>
  <si>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</si>
  <si>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</si>
  <si>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</si>
  <si>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</si>
  <si>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</si>
  <si>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</si>
  <si>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</si>
  <si>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</si>
  <si>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</si>
  <si>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</si>
  <si>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</si>
  <si>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</si>
  <si>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</si>
  <si>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</si>
  <si>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old</t>
    <phoneticPr fontId="22"/>
  </si>
  <si>
    <t>ja</t>
    <phoneticPr fontId="22"/>
  </si>
  <si>
    <t>old</t>
    <phoneticPr fontId="22"/>
  </si>
  <si>
    <t>old</t>
    <phoneticPr fontId="22"/>
  </si>
  <si>
    <t>通常確率</t>
    <rPh sb="0" eb="4">
      <t>ツウジョ</t>
    </rPh>
    <phoneticPr fontId="22"/>
  </si>
  <si>
    <t>tables_553104</t>
    <phoneticPr fontId="22"/>
  </si>
  <si>
    <t>tables_settle_553105</t>
    <phoneticPr fontId="22"/>
  </si>
  <si>
    <t>tables_554100</t>
    <phoneticPr fontId="22"/>
  </si>
  <si>
    <t>item</t>
    <phoneticPr fontId="22"/>
  </si>
  <si>
    <t>マスターキー × 3</t>
    <phoneticPr fontId="22"/>
  </si>
  <si>
    <t>１日１回マスターキー付きガチャ特典</t>
    <rPh sb="10" eb="11">
      <t>ツｋ</t>
    </rPh>
    <rPh sb="15" eb="17">
      <t>トクテｎ</t>
    </rPh>
    <phoneticPr fontId="22"/>
  </si>
  <si>
    <t>１日１回マスターキー付きガチャ特典として
マスターキーを3本プレゼント！</t>
    <rPh sb="10" eb="11">
      <t>ツｋ</t>
    </rPh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</si>
</sst>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1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6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5" fillId="0" borderId="1" xfId="2978" applyFont="1" applyBorder="1"/>
    <xf numFmtId="0" fontId="5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0" fontId="4" fillId="0" borderId="1" xfId="3036" applyFont="1" applyBorder="1"/>
    <xf numFmtId="184" fontId="27" fillId="4" borderId="1" xfId="3663" quotePrefix="1" applyNumberFormat="1" applyFont="1" applyFill="1" applyBorder="1" applyAlignment="1">
      <alignment vertical="center"/>
    </xf>
    <xf numFmtId="0" fontId="27" fillId="4" borderId="0" xfId="2" applyFont="1" applyFill="1" applyAlignment="1">
      <alignment vertical="center"/>
    </xf>
    <xf numFmtId="0" fontId="3" fillId="4" borderId="1" xfId="2978" applyFont="1" applyFill="1" applyBorder="1"/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シャルルR6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technical</v>
          </cell>
          <cell r="L1239" t="str">
            <v>テクニカルタイプ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technical</v>
          </cell>
          <cell r="L1240" t="str">
            <v>テクニカルタイプ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  <cell r="K1400" t="str">
            <v>attack</v>
          </cell>
          <cell r="L1400" t="str">
            <v>攻撃タイプ</v>
          </cell>
          <cell r="M1400" t="str">
            <v>academia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  <cell r="K1401" t="str">
            <v>attack</v>
          </cell>
          <cell r="L1401" t="str">
            <v>攻撃タイプ</v>
          </cell>
          <cell r="M1401" t="str">
            <v>academia</v>
          </cell>
        </row>
        <row r="1402">
          <cell r="A1402">
            <v>1431</v>
          </cell>
          <cell r="B1402" t="str">
            <v>ja</v>
          </cell>
          <cell r="C1402" t="str">
            <v>センコR5</v>
          </cell>
          <cell r="D1402" t="str">
            <v>未定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5</v>
          </cell>
          <cell r="J1402" t="str">
            <v>PremiumSS</v>
          </cell>
          <cell r="K1402" t="str">
            <v>technical</v>
          </cell>
          <cell r="L1402" t="str">
            <v>テクニカルタイプ</v>
          </cell>
          <cell r="M1402" t="str">
            <v>god</v>
          </cell>
        </row>
        <row r="1403">
          <cell r="A1403">
            <v>1432</v>
          </cell>
          <cell r="B1403" t="str">
            <v>ja</v>
          </cell>
          <cell r="C1403" t="str">
            <v>センコR6</v>
          </cell>
          <cell r="D1403" t="str">
            <v>未定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6</v>
          </cell>
          <cell r="J1403" t="str">
            <v>PremiumSS</v>
          </cell>
          <cell r="K1403" t="str">
            <v>technical</v>
          </cell>
          <cell r="L1403" t="str">
            <v>テクニカルタイプ</v>
          </cell>
          <cell r="M1403" t="str">
            <v>god</v>
          </cell>
        </row>
        <row r="1404">
          <cell r="A1404">
            <v>1433</v>
          </cell>
          <cell r="B1404" t="str">
            <v>ja</v>
          </cell>
          <cell r="C1404" t="str">
            <v>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3</v>
          </cell>
          <cell r="J1404" t="str">
            <v>Material</v>
          </cell>
          <cell r="K1404" t="str">
            <v>limitbreak</v>
          </cell>
          <cell r="L1404" t="str">
            <v>限界突破素材</v>
          </cell>
          <cell r="M1404" t="str">
            <v>unknown</v>
          </cell>
        </row>
        <row r="1405">
          <cell r="A1405">
            <v>1434</v>
          </cell>
          <cell r="B1405" t="str">
            <v>ja</v>
          </cell>
          <cell r="C1405" t="str">
            <v>メガ超越の果実</v>
          </cell>
          <cell r="D1405" t="str">
            <v>スキル進化素材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yellow</v>
          </cell>
          <cell r="I1405">
            <v>4</v>
          </cell>
          <cell r="J1405" t="str">
            <v>Material</v>
          </cell>
          <cell r="K1405" t="str">
            <v>limitbreak</v>
          </cell>
          <cell r="L1405" t="str">
            <v>限界突破素材</v>
          </cell>
          <cell r="M1405" t="str">
            <v>unknown</v>
          </cell>
        </row>
        <row r="1406">
          <cell r="A1406">
            <v>1435</v>
          </cell>
          <cell r="B1406" t="str">
            <v>ja</v>
          </cell>
          <cell r="C1406" t="str">
            <v>ギガ超越の果実</v>
          </cell>
          <cell r="D1406" t="str">
            <v>スキル進化素材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yellow</v>
          </cell>
          <cell r="I1406">
            <v>5</v>
          </cell>
          <cell r="J1406" t="str">
            <v>Material</v>
          </cell>
          <cell r="K1406" t="str">
            <v>limitbreak</v>
          </cell>
          <cell r="L1406" t="str">
            <v>限界突破素材</v>
          </cell>
          <cell r="M1406" t="str">
            <v>unknown</v>
          </cell>
        </row>
        <row r="1407">
          <cell r="A1407">
            <v>1452</v>
          </cell>
          <cell r="B1407" t="str">
            <v>ja</v>
          </cell>
          <cell r="C1407" t="str">
            <v>メルセンヌ</v>
          </cell>
          <cell r="D1407" t="str">
            <v>未定</v>
          </cell>
          <cell r="E1407" t="str">
            <v>アリス</v>
          </cell>
          <cell r="F1407" t="str">
            <v>世界観</v>
          </cell>
          <cell r="G1407" t="str">
            <v>不明</v>
          </cell>
          <cell r="H1407" t="str">
            <v>yellow</v>
          </cell>
          <cell r="I1407">
            <v>5</v>
          </cell>
          <cell r="J1407" t="str">
            <v>PremiumSSS</v>
          </cell>
          <cell r="K1407" t="str">
            <v>hp</v>
          </cell>
          <cell r="L1407" t="str">
            <v>体力タイプ</v>
          </cell>
          <cell r="M1407" t="str">
            <v>academia</v>
          </cell>
        </row>
        <row r="1408">
          <cell r="A1408">
            <v>1453</v>
          </cell>
          <cell r="B1408" t="str">
            <v>ja</v>
          </cell>
          <cell r="C1408" t="str">
            <v>数解の自鳴琴 メルセンヌ</v>
          </cell>
          <cell r="D1408" t="str">
            <v>未定</v>
          </cell>
          <cell r="E1408" t="str">
            <v>アリス</v>
          </cell>
          <cell r="F1408" t="str">
            <v>世界観</v>
          </cell>
          <cell r="G1408" t="str">
            <v>不明</v>
          </cell>
          <cell r="H1408" t="str">
            <v>yellow</v>
          </cell>
          <cell r="I1408">
            <v>6</v>
          </cell>
          <cell r="J1408" t="str">
            <v>PremiumSSS</v>
          </cell>
          <cell r="K1408" t="str">
            <v>hp</v>
          </cell>
          <cell r="L1408" t="str">
            <v>体力タイプ</v>
          </cell>
          <cell r="M1408" t="str">
            <v>academia</v>
          </cell>
        </row>
        <row r="1409">
          <cell r="A1409">
            <v>1454</v>
          </cell>
          <cell r="B1409" t="str">
            <v>ja</v>
          </cell>
          <cell r="C1409" t="str">
            <v>ストレングス</v>
          </cell>
          <cell r="D1409" t="str">
            <v>未定</v>
          </cell>
          <cell r="E1409" t="str">
            <v>アリス</v>
          </cell>
          <cell r="F1409" t="str">
            <v>世界観</v>
          </cell>
          <cell r="G1409" t="str">
            <v>不明</v>
          </cell>
          <cell r="H1409" t="str">
            <v>red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god</v>
          </cell>
        </row>
        <row r="1410">
          <cell r="A1410">
            <v>1455</v>
          </cell>
          <cell r="B1410" t="str">
            <v>ja</v>
          </cell>
          <cell r="C1410" t="str">
            <v>豪毅なる征獣師 ストレングス</v>
          </cell>
          <cell r="D1410" t="str">
            <v>未定</v>
          </cell>
          <cell r="E1410" t="str">
            <v>アリス</v>
          </cell>
          <cell r="F1410" t="str">
            <v>世界観</v>
          </cell>
          <cell r="G1410" t="str">
            <v>不明</v>
          </cell>
          <cell r="H1410" t="str">
            <v>red</v>
          </cell>
          <cell r="I1410">
            <v>6</v>
          </cell>
          <cell r="J1410" t="str">
            <v>PremiumSSS</v>
          </cell>
          <cell r="K1410" t="str">
            <v>balance</v>
          </cell>
          <cell r="L1410" t="str">
            <v>バランスタイプ</v>
          </cell>
          <cell r="M1410" t="str">
            <v>god</v>
          </cell>
        </row>
        <row r="1411">
          <cell r="A1411">
            <v>1456</v>
          </cell>
          <cell r="B1411" t="str">
            <v>ja</v>
          </cell>
          <cell r="C1411" t="str">
            <v>ネセバル</v>
          </cell>
          <cell r="H1411" t="str">
            <v>blue</v>
          </cell>
          <cell r="I1411">
            <v>5</v>
          </cell>
          <cell r="J1411" t="str">
            <v>PremiumSSw</v>
          </cell>
          <cell r="K1411" t="str">
            <v>attack</v>
          </cell>
          <cell r="L1411" t="str">
            <v>攻撃タイプ</v>
          </cell>
          <cell r="M1411" t="str">
            <v>hero</v>
          </cell>
        </row>
        <row r="1412">
          <cell r="A1412">
            <v>1457</v>
          </cell>
          <cell r="B1412" t="str">
            <v>ja</v>
          </cell>
          <cell r="C1412" t="str">
            <v>碧影の聖跡 ネセバル</v>
          </cell>
          <cell r="H1412" t="str">
            <v>blue</v>
          </cell>
          <cell r="I1412">
            <v>6</v>
          </cell>
          <cell r="J1412" t="str">
            <v>PremiumSSw</v>
          </cell>
          <cell r="K1412" t="str">
            <v>attack</v>
          </cell>
          <cell r="L1412" t="str">
            <v>攻撃タイプ</v>
          </cell>
          <cell r="M1412" t="str">
            <v>hero</v>
          </cell>
        </row>
        <row r="1413">
          <cell r="A1413">
            <v>1458</v>
          </cell>
          <cell r="B1413" t="str">
            <v>ja</v>
          </cell>
          <cell r="C1413" t="str">
            <v>diamond01</v>
          </cell>
          <cell r="H1413" t="str">
            <v>red</v>
          </cell>
          <cell r="I1413">
            <v>5</v>
          </cell>
          <cell r="J1413" t="str">
            <v>PremiumSS</v>
          </cell>
          <cell r="K1413" t="str">
            <v>attack</v>
          </cell>
          <cell r="L1413" t="str">
            <v>攻撃タイプ</v>
          </cell>
          <cell r="M1413" t="str">
            <v>human</v>
          </cell>
        </row>
        <row r="1414">
          <cell r="A1414">
            <v>1459</v>
          </cell>
          <cell r="B1414" t="str">
            <v>ja</v>
          </cell>
          <cell r="C1414" t="str">
            <v>diamond02</v>
          </cell>
          <cell r="H1414" t="str">
            <v>red</v>
          </cell>
          <cell r="I1414">
            <v>6</v>
          </cell>
          <cell r="J1414" t="str">
            <v>PremiumSS</v>
          </cell>
          <cell r="K1414" t="str">
            <v>attack</v>
          </cell>
          <cell r="L1414" t="str">
            <v>攻撃タイプ</v>
          </cell>
          <cell r="M1414" t="str">
            <v>human</v>
          </cell>
        </row>
        <row r="1415">
          <cell r="A1415">
            <v>1460</v>
          </cell>
          <cell r="B1415" t="str">
            <v>ja</v>
          </cell>
          <cell r="C1415" t="str">
            <v>opal01</v>
          </cell>
          <cell r="H1415" t="str">
            <v>blue</v>
          </cell>
          <cell r="I1415">
            <v>4</v>
          </cell>
          <cell r="J1415" t="str">
            <v>PremiumS</v>
          </cell>
          <cell r="K1415" t="str">
            <v>balance</v>
          </cell>
          <cell r="L1415" t="str">
            <v>バランスタイプ</v>
          </cell>
          <cell r="M1415" t="str">
            <v>human</v>
          </cell>
        </row>
        <row r="1416">
          <cell r="A1416">
            <v>1461</v>
          </cell>
          <cell r="B1416" t="str">
            <v>ja</v>
          </cell>
          <cell r="C1416" t="str">
            <v>opal02</v>
          </cell>
          <cell r="H1416" t="str">
            <v>blue</v>
          </cell>
          <cell r="I1416">
            <v>5</v>
          </cell>
          <cell r="J1416" t="str">
            <v>PremiumS</v>
          </cell>
          <cell r="K1416" t="str">
            <v>balance</v>
          </cell>
          <cell r="L1416" t="str">
            <v>バランスタイプ</v>
          </cell>
          <cell r="M1416" t="str">
            <v>human</v>
          </cell>
        </row>
        <row r="1417">
          <cell r="A1417">
            <v>1462</v>
          </cell>
          <cell r="B1417" t="str">
            <v>ja</v>
          </cell>
          <cell r="C1417" t="str">
            <v>ruby01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technical</v>
          </cell>
          <cell r="L1417" t="str">
            <v>テクニカルタイプ</v>
          </cell>
          <cell r="M1417" t="str">
            <v>human</v>
          </cell>
        </row>
        <row r="1418">
          <cell r="A1418">
            <v>1463</v>
          </cell>
          <cell r="B1418" t="str">
            <v>ja</v>
          </cell>
          <cell r="C1418" t="str">
            <v>ruby02</v>
          </cell>
          <cell r="H1418" t="str">
            <v>yellow</v>
          </cell>
          <cell r="I1418">
            <v>6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human</v>
          </cell>
        </row>
        <row r="1419">
          <cell r="A1419">
            <v>1464</v>
          </cell>
          <cell r="B1419" t="str">
            <v>ja</v>
          </cell>
          <cell r="C1419" t="str">
            <v>garnet01</v>
          </cell>
          <cell r="H1419" t="str">
            <v>yellow</v>
          </cell>
          <cell r="I1419">
            <v>5</v>
          </cell>
          <cell r="J1419" t="str">
            <v>PremiumSS</v>
          </cell>
          <cell r="K1419" t="str">
            <v>hp</v>
          </cell>
          <cell r="L1419" t="str">
            <v>体力タイプ</v>
          </cell>
          <cell r="M1419" t="str">
            <v>human</v>
          </cell>
        </row>
        <row r="1420">
          <cell r="A1420">
            <v>1465</v>
          </cell>
          <cell r="B1420" t="str">
            <v>ja</v>
          </cell>
          <cell r="C1420" t="str">
            <v>garnet02</v>
          </cell>
          <cell r="H1420" t="str">
            <v>yellow</v>
          </cell>
          <cell r="I1420">
            <v>6</v>
          </cell>
          <cell r="J1420" t="str">
            <v>PremiumSS</v>
          </cell>
          <cell r="K1420" t="str">
            <v>hp</v>
          </cell>
          <cell r="L1420" t="str">
            <v>体力タイプ</v>
          </cell>
          <cell r="M1420" t="str">
            <v>human</v>
          </cell>
        </row>
        <row r="1421">
          <cell r="A1421">
            <v>1466</v>
          </cell>
          <cell r="B1421" t="str">
            <v>ja</v>
          </cell>
          <cell r="C1421" t="str">
            <v>sapphire01</v>
          </cell>
          <cell r="H1421" t="str">
            <v>blue</v>
          </cell>
          <cell r="I1421">
            <v>5</v>
          </cell>
          <cell r="J1421" t="str">
            <v>DropWizS</v>
          </cell>
          <cell r="K1421" t="str">
            <v>attack</v>
          </cell>
          <cell r="L1421" t="str">
            <v>攻撃タイプ</v>
          </cell>
          <cell r="M1421" t="str">
            <v>human</v>
          </cell>
        </row>
        <row r="1422">
          <cell r="A1422">
            <v>1467</v>
          </cell>
          <cell r="B1422" t="str">
            <v>ja</v>
          </cell>
          <cell r="C1422" t="str">
            <v>sapphire02</v>
          </cell>
          <cell r="H1422" t="str">
            <v>blue</v>
          </cell>
          <cell r="I1422">
            <v>6</v>
          </cell>
          <cell r="J1422" t="str">
            <v>DropWizS</v>
          </cell>
          <cell r="K1422" t="str">
            <v>attack</v>
          </cell>
          <cell r="L1422" t="str">
            <v>攻撃タイプ</v>
          </cell>
          <cell r="M1422" t="str">
            <v>human</v>
          </cell>
        </row>
        <row r="1423">
          <cell r="A1423">
            <v>1468</v>
          </cell>
          <cell r="B1423" t="str">
            <v>ja</v>
          </cell>
          <cell r="C1423" t="str">
            <v>emerald01</v>
          </cell>
          <cell r="H1423" t="str">
            <v>green</v>
          </cell>
          <cell r="I1423">
            <v>5</v>
          </cell>
          <cell r="J1423" t="str">
            <v>Drop2N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1469</v>
          </cell>
          <cell r="B1424" t="str">
            <v>ja</v>
          </cell>
          <cell r="C1424" t="str">
            <v>aquamarine01</v>
          </cell>
          <cell r="H1424" t="str">
            <v>yellow</v>
          </cell>
          <cell r="I1424">
            <v>5</v>
          </cell>
          <cell r="J1424" t="str">
            <v>Drop2N</v>
          </cell>
          <cell r="K1424" t="str">
            <v>technical</v>
          </cell>
          <cell r="L1424" t="str">
            <v>テクニカルタイプ</v>
          </cell>
          <cell r="M1424" t="str">
            <v>unknown</v>
          </cell>
        </row>
        <row r="1425">
          <cell r="A1425">
            <v>1470</v>
          </cell>
          <cell r="B1425" t="str">
            <v>ja</v>
          </cell>
          <cell r="C1425" t="str">
            <v>amethyst01</v>
          </cell>
          <cell r="H1425" t="str">
            <v>red</v>
          </cell>
          <cell r="I1425">
            <v>5</v>
          </cell>
          <cell r="J1425" t="str">
            <v>Drop2N</v>
          </cell>
          <cell r="K1425" t="str">
            <v>balance</v>
          </cell>
          <cell r="L1425" t="str">
            <v>バランスタイプ</v>
          </cell>
          <cell r="M1425" t="str">
            <v>unknown</v>
          </cell>
        </row>
        <row r="1426">
          <cell r="A1426">
            <v>1488</v>
          </cell>
          <cell r="B1426" t="str">
            <v>ja</v>
          </cell>
          <cell r="C1426" t="str">
            <v>バクR5</v>
          </cell>
          <cell r="D1426" t="str">
            <v>未定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green</v>
          </cell>
          <cell r="I1426">
            <v>5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1489</v>
          </cell>
          <cell r="B1427" t="str">
            <v>ja</v>
          </cell>
          <cell r="C1427" t="str">
            <v>バクR6</v>
          </cell>
          <cell r="D1427" t="str">
            <v>未定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green</v>
          </cell>
          <cell r="I1427">
            <v>6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1497</v>
          </cell>
          <cell r="B1428" t="str">
            <v>ja</v>
          </cell>
          <cell r="C1428" t="str">
            <v>ヨシノ</v>
          </cell>
          <cell r="H1428" t="str">
            <v>yellow</v>
          </cell>
          <cell r="I1428">
            <v>5</v>
          </cell>
          <cell r="J1428" t="str">
            <v>PremiumSS</v>
          </cell>
          <cell r="K1428" t="str">
            <v>technical</v>
          </cell>
          <cell r="L1428" t="str">
            <v>テクニカルタイプ</v>
          </cell>
          <cell r="M1428" t="str">
            <v>human</v>
          </cell>
        </row>
        <row r="1429">
          <cell r="A1429">
            <v>1498</v>
          </cell>
          <cell r="B1429" t="str">
            <v>ja</v>
          </cell>
          <cell r="C1429" t="str">
            <v>咲誇る夢見草 ヨシノ</v>
          </cell>
          <cell r="H1429" t="str">
            <v>yellow</v>
          </cell>
          <cell r="I1429">
            <v>6</v>
          </cell>
          <cell r="J1429" t="str">
            <v>PremiumSS</v>
          </cell>
          <cell r="K1429" t="str">
            <v>technical</v>
          </cell>
          <cell r="L1429" t="str">
            <v>テクニカルタイプ</v>
          </cell>
          <cell r="M1429" t="str">
            <v>human</v>
          </cell>
        </row>
        <row r="1430">
          <cell r="A1430">
            <v>1499</v>
          </cell>
          <cell r="B1430" t="str">
            <v>ja</v>
          </cell>
          <cell r="C1430" t="str">
            <v>コノハナサクヤ</v>
          </cell>
          <cell r="D1430" t="str">
            <v>未定</v>
          </cell>
          <cell r="E1430" t="str">
            <v>アリス</v>
          </cell>
          <cell r="F1430" t="str">
            <v>世界観</v>
          </cell>
          <cell r="G1430" t="str">
            <v>不明</v>
          </cell>
          <cell r="H1430" t="str">
            <v>yellow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god</v>
          </cell>
        </row>
        <row r="1431">
          <cell r="A1431">
            <v>1500</v>
          </cell>
          <cell r="B1431" t="str">
            <v>ja</v>
          </cell>
          <cell r="C1431" t="str">
            <v>櫻歌する開華 コノハナサクヤ</v>
          </cell>
          <cell r="D1431" t="str">
            <v>未定</v>
          </cell>
          <cell r="E1431" t="str">
            <v>アリス</v>
          </cell>
          <cell r="F1431" t="str">
            <v>世界観</v>
          </cell>
          <cell r="G1431" t="str">
            <v>不明</v>
          </cell>
          <cell r="H1431" t="str">
            <v>yellow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god</v>
          </cell>
        </row>
        <row r="1432">
          <cell r="A1432">
            <v>1504</v>
          </cell>
          <cell r="B1432" t="str">
            <v>ja</v>
          </cell>
          <cell r="C1432" t="str">
            <v>ネコ</v>
          </cell>
          <cell r="H1432" t="str">
            <v>red</v>
          </cell>
          <cell r="I1432">
            <v>1</v>
          </cell>
          <cell r="J1432" t="str">
            <v>Drop1T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1505</v>
          </cell>
          <cell r="B1433" t="str">
            <v>ja</v>
          </cell>
          <cell r="C1433" t="str">
            <v>タンクネコ</v>
          </cell>
          <cell r="H1433" t="str">
            <v>green</v>
          </cell>
          <cell r="I1433">
            <v>1</v>
          </cell>
          <cell r="J1433" t="str">
            <v>Drop1T</v>
          </cell>
          <cell r="K1433" t="str">
            <v>hp</v>
          </cell>
          <cell r="L1433" t="str">
            <v>体力タイプ</v>
          </cell>
          <cell r="M1433" t="str">
            <v>unknown</v>
          </cell>
        </row>
        <row r="1434">
          <cell r="A1434">
            <v>1506</v>
          </cell>
          <cell r="B1434" t="str">
            <v>ja</v>
          </cell>
          <cell r="C1434" t="str">
            <v>バトルネコ</v>
          </cell>
          <cell r="H1434" t="str">
            <v>yellow</v>
          </cell>
          <cell r="I1434">
            <v>2</v>
          </cell>
          <cell r="J1434" t="str">
            <v>Drop1S</v>
          </cell>
          <cell r="K1434" t="str">
            <v>attack</v>
          </cell>
          <cell r="L1434" t="str">
            <v>攻撃タイプ</v>
          </cell>
          <cell r="M1434" t="str">
            <v>unknown</v>
          </cell>
        </row>
        <row r="1435">
          <cell r="A1435">
            <v>1507</v>
          </cell>
          <cell r="B1435" t="str">
            <v>ja</v>
          </cell>
          <cell r="C1435" t="str">
            <v>キモネコ</v>
          </cell>
          <cell r="H1435" t="str">
            <v>blue</v>
          </cell>
          <cell r="I1435">
            <v>3</v>
          </cell>
          <cell r="J1435" t="str">
            <v>Drop2N</v>
          </cell>
          <cell r="K1435" t="str">
            <v>technical</v>
          </cell>
          <cell r="L1435" t="str">
            <v>テクニカルタイプ</v>
          </cell>
          <cell r="M1435" t="str">
            <v>unknown</v>
          </cell>
        </row>
        <row r="1436">
          <cell r="A1436">
            <v>1508</v>
          </cell>
          <cell r="B1436" t="str">
            <v>ja</v>
          </cell>
          <cell r="C1436" t="str">
            <v>ネコノトリ</v>
          </cell>
          <cell r="H1436" t="str">
            <v>red</v>
          </cell>
          <cell r="I1436">
            <v>4</v>
          </cell>
          <cell r="J1436" t="str">
            <v>Drop2N</v>
          </cell>
          <cell r="K1436" t="str">
            <v>balance</v>
          </cell>
          <cell r="L1436" t="str">
            <v>バランスタイプ</v>
          </cell>
          <cell r="M1436" t="str">
            <v>unknown</v>
          </cell>
        </row>
        <row r="1437">
          <cell r="A1437">
            <v>1509</v>
          </cell>
          <cell r="B1437" t="str">
            <v>ja</v>
          </cell>
          <cell r="C1437" t="str">
            <v>巨神ネコ</v>
          </cell>
          <cell r="H1437" t="str">
            <v>green</v>
          </cell>
          <cell r="I1437">
            <v>5</v>
          </cell>
          <cell r="J1437" t="str">
            <v>Drop2N</v>
          </cell>
          <cell r="K1437" t="str">
            <v>hp</v>
          </cell>
          <cell r="L1437" t="str">
            <v>体力タイプ</v>
          </cell>
          <cell r="M1437" t="str">
            <v>god</v>
          </cell>
        </row>
        <row r="1438">
          <cell r="A1438">
            <v>1510</v>
          </cell>
          <cell r="B1438" t="str">
            <v>ja</v>
          </cell>
          <cell r="C1438" t="str">
            <v>ネコヴァルキリー</v>
          </cell>
          <cell r="H1438" t="str">
            <v>yellow</v>
          </cell>
          <cell r="I1438">
            <v>4</v>
          </cell>
          <cell r="J1438" t="str">
            <v>DropWizS</v>
          </cell>
          <cell r="K1438" t="str">
            <v>balance</v>
          </cell>
          <cell r="L1438" t="str">
            <v>バランスタイプ</v>
          </cell>
          <cell r="M1438" t="str">
            <v>god</v>
          </cell>
        </row>
        <row r="1439">
          <cell r="A1439">
            <v>1511</v>
          </cell>
          <cell r="B1439" t="str">
            <v>ja</v>
          </cell>
          <cell r="C1439" t="str">
            <v>ネコヴァルキリー･真</v>
          </cell>
          <cell r="H1439" t="str">
            <v>yellow</v>
          </cell>
          <cell r="I1439">
            <v>5</v>
          </cell>
          <cell r="J1439" t="str">
            <v>DropWizS</v>
          </cell>
          <cell r="K1439" t="str">
            <v>balance</v>
          </cell>
          <cell r="L1439" t="str">
            <v>バランスタイプ</v>
          </cell>
          <cell r="M1439" t="str">
            <v>god</v>
          </cell>
        </row>
        <row r="1440">
          <cell r="A1440">
            <v>1512</v>
          </cell>
          <cell r="B1440" t="str">
            <v>ja</v>
          </cell>
          <cell r="C1440" t="str">
            <v>ネコヴァルキリー･聖</v>
          </cell>
          <cell r="H1440" t="str">
            <v>yellow</v>
          </cell>
          <cell r="I1440">
            <v>6</v>
          </cell>
          <cell r="J1440" t="str">
            <v>DropWizS</v>
          </cell>
          <cell r="K1440" t="str">
            <v>balance</v>
          </cell>
          <cell r="L1440" t="str">
            <v>バランスタイプ</v>
          </cell>
          <cell r="M1440" t="str">
            <v>god</v>
          </cell>
        </row>
        <row r="1441">
          <cell r="A1441">
            <v>1513</v>
          </cell>
          <cell r="B1441" t="str">
            <v>ja</v>
          </cell>
          <cell r="C1441" t="str">
            <v>金ネコ</v>
          </cell>
          <cell r="H1441" t="str">
            <v>yellow</v>
          </cell>
          <cell r="I1441">
            <v>4</v>
          </cell>
          <cell r="J1441" t="str">
            <v>Material</v>
          </cell>
          <cell r="K1441" t="str">
            <v>coin</v>
          </cell>
          <cell r="L1441" t="str">
            <v>コインタイプ</v>
          </cell>
          <cell r="M1441" t="str">
            <v>unknown</v>
          </cell>
        </row>
        <row r="1442">
          <cell r="A1442">
            <v>1514</v>
          </cell>
          <cell r="B1442" t="str">
            <v>ja</v>
          </cell>
          <cell r="C1442" t="str">
            <v>金ネコビルダー</v>
          </cell>
          <cell r="H1442" t="str">
            <v>yellow</v>
          </cell>
          <cell r="I1442">
            <v>5</v>
          </cell>
          <cell r="J1442" t="str">
            <v>Material</v>
          </cell>
          <cell r="K1442" t="str">
            <v>coin</v>
          </cell>
          <cell r="L1442" t="str">
            <v>コインタイプ</v>
          </cell>
          <cell r="M1442" t="str">
            <v>unknown</v>
          </cell>
        </row>
        <row r="1443">
          <cell r="A1443">
            <v>1515</v>
          </cell>
          <cell r="B1443" t="str">
            <v>ja</v>
          </cell>
          <cell r="C1443" t="str">
            <v>赤メタルネコ</v>
          </cell>
          <cell r="H1443" t="str">
            <v>red</v>
          </cell>
          <cell r="I1443">
            <v>4</v>
          </cell>
          <cell r="J1443" t="str">
            <v>Material</v>
          </cell>
          <cell r="K1443" t="str">
            <v>exp</v>
          </cell>
          <cell r="L1443" t="str">
            <v>強化素材タイプ</v>
          </cell>
          <cell r="M1443" t="str">
            <v>unknown</v>
          </cell>
        </row>
        <row r="1444">
          <cell r="A1444">
            <v>1516</v>
          </cell>
          <cell r="B1444" t="str">
            <v>ja</v>
          </cell>
          <cell r="C1444" t="str">
            <v>赤メタルネコビルダー</v>
          </cell>
          <cell r="H1444" t="str">
            <v>red</v>
          </cell>
          <cell r="I1444">
            <v>5</v>
          </cell>
          <cell r="J1444" t="str">
            <v>Material</v>
          </cell>
          <cell r="K1444" t="str">
            <v>exp</v>
          </cell>
          <cell r="L1444" t="str">
            <v>強化素材タイプ</v>
          </cell>
          <cell r="M1444" t="str">
            <v>unknown</v>
          </cell>
        </row>
        <row r="1445">
          <cell r="A1445">
            <v>1517</v>
          </cell>
          <cell r="B1445" t="str">
            <v>ja</v>
          </cell>
          <cell r="C1445" t="str">
            <v>青メタルネコ</v>
          </cell>
          <cell r="H1445" t="str">
            <v>blue</v>
          </cell>
          <cell r="I1445">
            <v>4</v>
          </cell>
          <cell r="J1445" t="str">
            <v>Material</v>
          </cell>
          <cell r="K1445" t="str">
            <v>exp</v>
          </cell>
          <cell r="L1445" t="str">
            <v>強化素材タイプ</v>
          </cell>
          <cell r="M1445" t="str">
            <v>unknown</v>
          </cell>
        </row>
        <row r="1446">
          <cell r="A1446">
            <v>1518</v>
          </cell>
          <cell r="B1446" t="str">
            <v>ja</v>
          </cell>
          <cell r="C1446" t="str">
            <v>青メタルネコビルダー</v>
          </cell>
          <cell r="H1446" t="str">
            <v>blue</v>
          </cell>
          <cell r="I1446">
            <v>5</v>
          </cell>
          <cell r="J1446" t="str">
            <v>Material</v>
          </cell>
          <cell r="K1446" t="str">
            <v>exp</v>
          </cell>
          <cell r="L1446" t="str">
            <v>強化素材タイプ</v>
          </cell>
          <cell r="M1446" t="str">
            <v>unknown</v>
          </cell>
        </row>
        <row r="1447">
          <cell r="A1447">
            <v>1519</v>
          </cell>
          <cell r="B1447" t="str">
            <v>ja</v>
          </cell>
          <cell r="C1447" t="str">
            <v>緑メタルネコ</v>
          </cell>
          <cell r="H1447" t="str">
            <v>green</v>
          </cell>
          <cell r="I1447">
            <v>4</v>
          </cell>
          <cell r="J1447" t="str">
            <v>Material</v>
          </cell>
          <cell r="K1447" t="str">
            <v>exp</v>
          </cell>
          <cell r="L1447" t="str">
            <v>強化素材タイプ</v>
          </cell>
          <cell r="M1447" t="str">
            <v>unknown</v>
          </cell>
        </row>
        <row r="1448">
          <cell r="A1448">
            <v>1520</v>
          </cell>
          <cell r="B1448" t="str">
            <v>ja</v>
          </cell>
          <cell r="C1448" t="str">
            <v>緑メタルネコビルダー</v>
          </cell>
          <cell r="H1448" t="str">
            <v>green</v>
          </cell>
          <cell r="I1448">
            <v>5</v>
          </cell>
          <cell r="J1448" t="str">
            <v>Material</v>
          </cell>
          <cell r="K1448" t="str">
            <v>exp</v>
          </cell>
          <cell r="L1448" t="str">
            <v>強化素材タイプ</v>
          </cell>
          <cell r="M1448" t="str">
            <v>unknown</v>
          </cell>
        </row>
        <row r="1449">
          <cell r="A1449">
            <v>1521</v>
          </cell>
          <cell r="B1449" t="str">
            <v>ja</v>
          </cell>
          <cell r="C1449" t="str">
            <v>黄メタルネコ</v>
          </cell>
          <cell r="H1449" t="str">
            <v>yellow</v>
          </cell>
          <cell r="I1449">
            <v>4</v>
          </cell>
          <cell r="J1449" t="str">
            <v>Material</v>
          </cell>
          <cell r="K1449" t="str">
            <v>exp</v>
          </cell>
          <cell r="L1449" t="str">
            <v>強化素材タイプ</v>
          </cell>
          <cell r="M1449" t="str">
            <v>unknown</v>
          </cell>
        </row>
        <row r="1450">
          <cell r="A1450">
            <v>1522</v>
          </cell>
          <cell r="B1450" t="str">
            <v>ja</v>
          </cell>
          <cell r="C1450" t="str">
            <v>黄メタルネコビルダー</v>
          </cell>
          <cell r="H1450" t="str">
            <v>yellow</v>
          </cell>
          <cell r="I1450">
            <v>5</v>
          </cell>
          <cell r="J1450" t="str">
            <v>Material</v>
          </cell>
          <cell r="K1450" t="str">
            <v>exp</v>
          </cell>
          <cell r="L1450" t="str">
            <v>強化素材タイプ</v>
          </cell>
          <cell r="M1450" t="str">
            <v>unknown</v>
          </cell>
        </row>
        <row r="1451">
          <cell r="A1451">
            <v>1523</v>
          </cell>
          <cell r="B1451" t="str">
            <v>ja</v>
          </cell>
          <cell r="C1451" t="str">
            <v>ネコムート</v>
          </cell>
          <cell r="H1451" t="str">
            <v>blue</v>
          </cell>
          <cell r="I1451">
            <v>5</v>
          </cell>
          <cell r="J1451" t="str">
            <v>DropWizS</v>
          </cell>
          <cell r="K1451" t="str">
            <v>technical</v>
          </cell>
          <cell r="L1451" t="str">
            <v>テクニカルタイプ</v>
          </cell>
          <cell r="M1451" t="str">
            <v>animal</v>
          </cell>
        </row>
        <row r="1452">
          <cell r="A1452">
            <v>1524</v>
          </cell>
          <cell r="B1452" t="str">
            <v>ja</v>
          </cell>
          <cell r="C1452" t="str">
            <v>狂乱のネコムート</v>
          </cell>
          <cell r="H1452" t="str">
            <v>blue</v>
          </cell>
          <cell r="I1452">
            <v>6</v>
          </cell>
          <cell r="J1452" t="str">
            <v>DropWizS</v>
          </cell>
          <cell r="K1452" t="str">
            <v>technical</v>
          </cell>
          <cell r="L1452" t="str">
            <v>テクニカルタイプ</v>
          </cell>
          <cell r="M1452" t="str">
            <v>animal</v>
          </cell>
        </row>
        <row r="1453">
          <cell r="A1453">
            <v>1525</v>
          </cell>
          <cell r="B1453" t="str">
            <v>ja</v>
          </cell>
          <cell r="C1453" t="str">
            <v>狂乱のネコ</v>
          </cell>
          <cell r="H1453" t="str">
            <v>red</v>
          </cell>
          <cell r="I1453">
            <v>5</v>
          </cell>
          <cell r="J1453" t="str">
            <v>DropWizSS</v>
          </cell>
          <cell r="K1453" t="str">
            <v>attack</v>
          </cell>
          <cell r="L1453" t="str">
            <v>攻撃タイプ</v>
          </cell>
          <cell r="M1453" t="str">
            <v>animal</v>
          </cell>
        </row>
        <row r="1454">
          <cell r="A1454">
            <v>1526</v>
          </cell>
          <cell r="B1454" t="str">
            <v>ja</v>
          </cell>
          <cell r="C1454" t="str">
            <v>狂乱のネコビルダー</v>
          </cell>
          <cell r="H1454" t="str">
            <v>red</v>
          </cell>
          <cell r="I1454">
            <v>6</v>
          </cell>
          <cell r="J1454" t="str">
            <v>DropWizSS</v>
          </cell>
          <cell r="K1454" t="str">
            <v>attack</v>
          </cell>
          <cell r="L1454" t="str">
            <v>攻撃タイプ</v>
          </cell>
          <cell r="M1454" t="str">
            <v>animal</v>
          </cell>
        </row>
        <row r="1455">
          <cell r="A1455">
            <v>1527</v>
          </cell>
          <cell r="B1455" t="str">
            <v>ja</v>
          </cell>
          <cell r="C1455" t="str">
            <v>ネコ魔剣士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animal</v>
          </cell>
        </row>
        <row r="1456">
          <cell r="A1456">
            <v>1528</v>
          </cell>
          <cell r="B1456" t="str">
            <v>ja</v>
          </cell>
          <cell r="C1456" t="str">
            <v>双剣ネコ魔剣士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animal</v>
          </cell>
        </row>
        <row r="1457">
          <cell r="A1457">
            <v>1529</v>
          </cell>
          <cell r="B1457" t="str">
            <v>ja</v>
          </cell>
          <cell r="C1457" t="str">
            <v>ねこ海賊</v>
          </cell>
          <cell r="H1457" t="str">
            <v>blue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unknown</v>
          </cell>
        </row>
        <row r="1458">
          <cell r="A1458">
            <v>1530</v>
          </cell>
          <cell r="B1458" t="str">
            <v>ja</v>
          </cell>
          <cell r="C1458" t="str">
            <v>ニャーコック船長</v>
          </cell>
          <cell r="H1458" t="str">
            <v>blue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unknown</v>
          </cell>
        </row>
        <row r="1459">
          <cell r="A1459">
            <v>1531</v>
          </cell>
          <cell r="B1459" t="str">
            <v>ja</v>
          </cell>
          <cell r="C1459" t="str">
            <v>ねこジュラ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animal</v>
          </cell>
        </row>
        <row r="1460">
          <cell r="A1460">
            <v>1532</v>
          </cell>
          <cell r="B1460" t="str">
            <v>ja</v>
          </cell>
          <cell r="C1460" t="str">
            <v>ねこジュラシッター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animal</v>
          </cell>
        </row>
        <row r="1461">
          <cell r="A1461">
            <v>1533</v>
          </cell>
          <cell r="B1461" t="str">
            <v>ja</v>
          </cell>
          <cell r="C1461" t="str">
            <v>ネコエステ</v>
          </cell>
          <cell r="H1461" t="str">
            <v>yellow</v>
          </cell>
          <cell r="I1461">
            <v>4</v>
          </cell>
          <cell r="J1461" t="str">
            <v>PremiumS</v>
          </cell>
          <cell r="K1461" t="str">
            <v>attack</v>
          </cell>
          <cell r="L1461" t="str">
            <v>攻撃タイプ</v>
          </cell>
          <cell r="M1461" t="str">
            <v>animal</v>
          </cell>
        </row>
        <row r="1462">
          <cell r="A1462">
            <v>1534</v>
          </cell>
          <cell r="B1462" t="str">
            <v>ja</v>
          </cell>
          <cell r="C1462" t="str">
            <v>ネコジェンヌ</v>
          </cell>
          <cell r="H1462" t="str">
            <v>yellow</v>
          </cell>
          <cell r="I1462">
            <v>5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animal</v>
          </cell>
        </row>
        <row r="1463">
          <cell r="A1463">
            <v>1535</v>
          </cell>
          <cell r="B1463" t="str">
            <v>ja</v>
          </cell>
          <cell r="C1463" t="str">
            <v>ねこナース</v>
          </cell>
          <cell r="H1463" t="str">
            <v>red</v>
          </cell>
          <cell r="I1463">
            <v>5</v>
          </cell>
          <cell r="J1463" t="str">
            <v>PremiumSS</v>
          </cell>
          <cell r="K1463" t="str">
            <v>technical</v>
          </cell>
          <cell r="L1463" t="str">
            <v>テクニカルタイプ</v>
          </cell>
          <cell r="M1463" t="str">
            <v>god</v>
          </cell>
        </row>
        <row r="1464">
          <cell r="A1464">
            <v>1536</v>
          </cell>
          <cell r="B1464" t="str">
            <v>ja</v>
          </cell>
          <cell r="C1464" t="str">
            <v>ハートフルねこナース</v>
          </cell>
          <cell r="H1464" t="str">
            <v>red</v>
          </cell>
          <cell r="I1464">
            <v>6</v>
          </cell>
          <cell r="J1464" t="str">
            <v>PremiumSS</v>
          </cell>
          <cell r="K1464" t="str">
            <v>technical</v>
          </cell>
          <cell r="L1464" t="str">
            <v>テクニカルタイプ</v>
          </cell>
          <cell r="M1464" t="str">
            <v>god</v>
          </cell>
        </row>
        <row r="1465">
          <cell r="A1465">
            <v>1537</v>
          </cell>
          <cell r="B1465" t="str">
            <v>ja</v>
          </cell>
          <cell r="C1465" t="str">
            <v>キャットマンダディ</v>
          </cell>
          <cell r="H1465" t="str">
            <v>blue</v>
          </cell>
          <cell r="I1465">
            <v>5</v>
          </cell>
          <cell r="J1465" t="str">
            <v>PremiumSSS</v>
          </cell>
          <cell r="K1465" t="str">
            <v>attack</v>
          </cell>
          <cell r="L1465" t="str">
            <v>攻撃タイプ</v>
          </cell>
          <cell r="M1465" t="str">
            <v>unknown</v>
          </cell>
        </row>
        <row r="1466">
          <cell r="A1466">
            <v>1538</v>
          </cell>
          <cell r="B1466" t="str">
            <v>ja</v>
          </cell>
          <cell r="C1466" t="str">
            <v>キャットマンダーク</v>
          </cell>
          <cell r="H1466" t="str">
            <v>blue</v>
          </cell>
          <cell r="I1466">
            <v>6</v>
          </cell>
          <cell r="J1466" t="str">
            <v>PremiumSSS</v>
          </cell>
          <cell r="K1466" t="str">
            <v>attack</v>
          </cell>
          <cell r="L1466" t="str">
            <v>攻撃タイプ</v>
          </cell>
          <cell r="M1466" t="str">
            <v>unknown</v>
          </cell>
        </row>
        <row r="1467">
          <cell r="A1467">
            <v>1539</v>
          </cell>
          <cell r="B1467" t="str">
            <v>ja</v>
          </cell>
          <cell r="C1467" t="str">
            <v>雷神のサンディア</v>
          </cell>
          <cell r="H1467" t="str">
            <v>yellow</v>
          </cell>
          <cell r="I1467">
            <v>5</v>
          </cell>
          <cell r="J1467" t="str">
            <v>PremiumSS</v>
          </cell>
          <cell r="K1467" t="str">
            <v>attack</v>
          </cell>
          <cell r="L1467" t="str">
            <v>攻撃タイプ</v>
          </cell>
          <cell r="M1467" t="str">
            <v>god</v>
          </cell>
        </row>
        <row r="1468">
          <cell r="A1468">
            <v>1540</v>
          </cell>
          <cell r="B1468" t="str">
            <v>ja</v>
          </cell>
          <cell r="C1468" t="str">
            <v>雷神のサンディアβ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god</v>
          </cell>
        </row>
        <row r="1469">
          <cell r="A1469">
            <v>1541</v>
          </cell>
          <cell r="B1469" t="str">
            <v>ja</v>
          </cell>
          <cell r="C1469" t="str">
            <v>美女神アフロディーテ</v>
          </cell>
          <cell r="H1469" t="str">
            <v>red</v>
          </cell>
          <cell r="I1469">
            <v>5</v>
          </cell>
          <cell r="J1469" t="str">
            <v>PremiumSSS</v>
          </cell>
          <cell r="K1469" t="str">
            <v>technical</v>
          </cell>
          <cell r="L1469" t="str">
            <v>テクニカルタイプ</v>
          </cell>
          <cell r="M1469" t="str">
            <v>god</v>
          </cell>
        </row>
        <row r="1470">
          <cell r="A1470">
            <v>1542</v>
          </cell>
          <cell r="B1470" t="str">
            <v>ja</v>
          </cell>
          <cell r="C1470" t="str">
            <v>メガロディーテ</v>
          </cell>
          <cell r="H1470" t="str">
            <v>red</v>
          </cell>
          <cell r="I1470">
            <v>6</v>
          </cell>
          <cell r="J1470" t="str">
            <v>PremiumSSS</v>
          </cell>
          <cell r="K1470" t="str">
            <v>technical</v>
          </cell>
          <cell r="L1470" t="str">
            <v>テクニカルタイプ</v>
          </cell>
          <cell r="M1470" t="str">
            <v>god</v>
          </cell>
        </row>
        <row r="1471">
          <cell r="A1471">
            <v>1543</v>
          </cell>
          <cell r="B1471" t="str">
            <v>ja</v>
          </cell>
          <cell r="C1471" t="str">
            <v>ツルの恩返し</v>
          </cell>
          <cell r="H1471" t="str">
            <v>red</v>
          </cell>
          <cell r="I1471">
            <v>5</v>
          </cell>
          <cell r="J1471" t="str">
            <v>PremiumSS</v>
          </cell>
          <cell r="K1471" t="str">
            <v>balance</v>
          </cell>
          <cell r="L1471" t="str">
            <v>バランスタイプ</v>
          </cell>
          <cell r="M1471" t="str">
            <v>hero</v>
          </cell>
        </row>
        <row r="1472">
          <cell r="A1472">
            <v>1544</v>
          </cell>
          <cell r="B1472" t="str">
            <v>ja</v>
          </cell>
          <cell r="C1472" t="str">
            <v>銀河戦士コスモ</v>
          </cell>
          <cell r="H1472" t="str">
            <v>red</v>
          </cell>
          <cell r="I1472">
            <v>6</v>
          </cell>
          <cell r="J1472" t="str">
            <v>PremiumSS</v>
          </cell>
          <cell r="K1472" t="str">
            <v>balance</v>
          </cell>
          <cell r="L1472" t="str">
            <v>バランスタイプ</v>
          </cell>
          <cell r="M1472" t="str">
            <v>hero</v>
          </cell>
        </row>
        <row r="1473">
          <cell r="A1473">
            <v>1545</v>
          </cell>
          <cell r="B1473" t="str">
            <v>ja</v>
          </cell>
          <cell r="C1473" t="str">
            <v>ネコルガ</v>
          </cell>
          <cell r="H1473" t="str">
            <v>green</v>
          </cell>
          <cell r="I1473">
            <v>5</v>
          </cell>
          <cell r="J1473" t="str">
            <v>PremiumSS</v>
          </cell>
          <cell r="K1473" t="str">
            <v>hp</v>
          </cell>
          <cell r="L1473" t="str">
            <v>体力タイプ</v>
          </cell>
          <cell r="M1473" t="str">
            <v>unknown</v>
          </cell>
        </row>
        <row r="1474">
          <cell r="A1474">
            <v>1546</v>
          </cell>
          <cell r="B1474" t="str">
            <v>ja</v>
          </cell>
          <cell r="C1474" t="str">
            <v>ケサランパサラン</v>
          </cell>
          <cell r="H1474" t="str">
            <v>green</v>
          </cell>
          <cell r="I1474">
            <v>6</v>
          </cell>
          <cell r="J1474" t="str">
            <v>PremiumSS</v>
          </cell>
          <cell r="K1474" t="str">
            <v>hp</v>
          </cell>
          <cell r="L1474" t="str">
            <v>体力タイプ</v>
          </cell>
          <cell r="M1474" t="str">
            <v>unknown</v>
          </cell>
        </row>
        <row r="1475">
          <cell r="A1475">
            <v>1547</v>
          </cell>
          <cell r="B1475" t="str">
            <v>ja</v>
          </cell>
          <cell r="C1475" t="str">
            <v>ネコフラワー</v>
          </cell>
          <cell r="H1475" t="str">
            <v>green</v>
          </cell>
          <cell r="I1475">
            <v>4</v>
          </cell>
          <cell r="J1475" t="str">
            <v>Drop2N</v>
          </cell>
          <cell r="K1475" t="str">
            <v>hp</v>
          </cell>
          <cell r="L1475" t="str">
            <v>体力タイプ</v>
          </cell>
          <cell r="M1475" t="str">
            <v>animal</v>
          </cell>
        </row>
        <row r="1476">
          <cell r="A1476">
            <v>1548</v>
          </cell>
          <cell r="B1476" t="str">
            <v>ja</v>
          </cell>
          <cell r="C1476" t="str">
            <v>にゃんこ扇風</v>
          </cell>
          <cell r="H1476" t="str">
            <v>green</v>
          </cell>
          <cell r="I1476">
            <v>5</v>
          </cell>
          <cell r="J1476" t="str">
            <v>Drop2N</v>
          </cell>
          <cell r="K1476" t="str">
            <v>hp</v>
          </cell>
          <cell r="L1476" t="str">
            <v>体力タイプ</v>
          </cell>
          <cell r="M1476" t="str">
            <v>animal</v>
          </cell>
        </row>
        <row r="1477">
          <cell r="A1477">
            <v>1549</v>
          </cell>
          <cell r="B1477" t="str">
            <v>ja</v>
          </cell>
          <cell r="C1477" t="str">
            <v>ネコリンゴ</v>
          </cell>
          <cell r="H1477" t="str">
            <v>green</v>
          </cell>
          <cell r="I1477">
            <v>5</v>
          </cell>
          <cell r="J1477" t="str">
            <v>DropWizS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1550</v>
          </cell>
          <cell r="B1478" t="str">
            <v>ja</v>
          </cell>
          <cell r="C1478" t="str">
            <v>カオルくん</v>
          </cell>
          <cell r="H1478" t="str">
            <v>green</v>
          </cell>
          <cell r="I1478">
            <v>6</v>
          </cell>
          <cell r="J1478" t="str">
            <v>DropWizS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5001</v>
          </cell>
          <cell r="B1479" t="str">
            <v>ja</v>
          </cell>
          <cell r="C1479" t="str">
            <v>ガルーダ</v>
          </cell>
          <cell r="D1479" t="str">
            <v>ノーマルクエスト</v>
          </cell>
          <cell r="E1479" t="str">
            <v>QoH</v>
          </cell>
          <cell r="F1479" t="str">
            <v>世界観</v>
          </cell>
          <cell r="G1479" t="str">
            <v>不明</v>
          </cell>
          <cell r="H1479" t="str">
            <v>red</v>
          </cell>
          <cell r="I1479">
            <v>5</v>
          </cell>
          <cell r="J1479" t="str">
            <v>PremiumSSw</v>
          </cell>
          <cell r="K1479" t="str">
            <v>attack</v>
          </cell>
          <cell r="L1479" t="str">
            <v>攻撃タイプ</v>
          </cell>
          <cell r="M1479" t="str">
            <v>god</v>
          </cell>
        </row>
        <row r="1480">
          <cell r="A1480">
            <v>5002</v>
          </cell>
          <cell r="B1480" t="str">
            <v>ja</v>
          </cell>
          <cell r="C1480" t="str">
            <v>ガルーダ★６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男性</v>
          </cell>
          <cell r="H1480" t="str">
            <v>red</v>
          </cell>
          <cell r="I1480">
            <v>6</v>
          </cell>
          <cell r="J1480" t="str">
            <v>PremiumSSw</v>
          </cell>
          <cell r="K1480" t="str">
            <v>attack</v>
          </cell>
          <cell r="L1480" t="str">
            <v>攻撃タイプ</v>
          </cell>
          <cell r="M1480" t="str">
            <v>god</v>
          </cell>
        </row>
        <row r="1481">
          <cell r="A1481">
            <v>5003</v>
          </cell>
          <cell r="B1481" t="str">
            <v>ja</v>
          </cell>
          <cell r="C1481" t="str">
            <v>ナーガ</v>
          </cell>
          <cell r="D1481" t="str">
            <v>リンクガチャ:4神</v>
          </cell>
          <cell r="E1481" t="str">
            <v>守護神</v>
          </cell>
          <cell r="F1481" t="str">
            <v>格好いい</v>
          </cell>
          <cell r="G1481" t="str">
            <v>不明</v>
          </cell>
          <cell r="H1481" t="str">
            <v>green</v>
          </cell>
          <cell r="I1481">
            <v>5</v>
          </cell>
          <cell r="J1481" t="str">
            <v>DropWizS</v>
          </cell>
          <cell r="K1481" t="str">
            <v>technical</v>
          </cell>
          <cell r="L1481" t="str">
            <v>テクニカルタイプ</v>
          </cell>
          <cell r="M1481" t="str">
            <v>animal</v>
          </cell>
        </row>
        <row r="1482">
          <cell r="A1482">
            <v>5004</v>
          </cell>
          <cell r="B1482" t="str">
            <v>ja</v>
          </cell>
          <cell r="C1482" t="str">
            <v>ナーガ★６</v>
          </cell>
          <cell r="D1482" t="str">
            <v>ノーマルクエスト</v>
          </cell>
          <cell r="E1482" t="str">
            <v>アバター</v>
          </cell>
          <cell r="F1482" t="str">
            <v>世界観</v>
          </cell>
          <cell r="G1482" t="str">
            <v>不明</v>
          </cell>
          <cell r="H1482" t="str">
            <v>green</v>
          </cell>
          <cell r="I1482">
            <v>6</v>
          </cell>
          <cell r="J1482" t="str">
            <v>DropWizS</v>
          </cell>
          <cell r="K1482" t="str">
            <v>technical</v>
          </cell>
          <cell r="L1482" t="str">
            <v>テクニカルタイプ</v>
          </cell>
          <cell r="M1482" t="str">
            <v>animal</v>
          </cell>
        </row>
        <row r="1483">
          <cell r="A1483">
            <v>5005</v>
          </cell>
          <cell r="B1483" t="str">
            <v>ja</v>
          </cell>
          <cell r="C1483" t="str">
            <v>カーミラ</v>
          </cell>
          <cell r="D1483" t="str">
            <v>ノーマルクエスト</v>
          </cell>
          <cell r="E1483" t="str">
            <v>QoH</v>
          </cell>
          <cell r="F1483" t="str">
            <v>世界観</v>
          </cell>
          <cell r="G1483" t="str">
            <v>不明</v>
          </cell>
          <cell r="H1483" t="str">
            <v>green</v>
          </cell>
          <cell r="I1483">
            <v>5</v>
          </cell>
          <cell r="J1483" t="str">
            <v>PremiumSSw</v>
          </cell>
          <cell r="K1483" t="str">
            <v>balance</v>
          </cell>
          <cell r="L1483" t="str">
            <v>バランスタイプ</v>
          </cell>
          <cell r="M1483" t="str">
            <v>demon</v>
          </cell>
        </row>
        <row r="1484">
          <cell r="A1484">
            <v>5006</v>
          </cell>
          <cell r="B1484" t="str">
            <v>ja</v>
          </cell>
          <cell r="C1484" t="str">
            <v>カーミラ★６</v>
          </cell>
          <cell r="D1484" t="str">
            <v>ノーマルクエスト</v>
          </cell>
          <cell r="E1484" t="str">
            <v>アバター</v>
          </cell>
          <cell r="F1484" t="str">
            <v>世界観</v>
          </cell>
          <cell r="G1484" t="str">
            <v>男性</v>
          </cell>
          <cell r="H1484" t="str">
            <v>green</v>
          </cell>
          <cell r="I1484">
            <v>6</v>
          </cell>
          <cell r="J1484" t="str">
            <v>PremiumSSw</v>
          </cell>
          <cell r="K1484" t="str">
            <v>balance</v>
          </cell>
          <cell r="L1484" t="str">
            <v>バランスタイプ</v>
          </cell>
          <cell r="M1484" t="str">
            <v>demon</v>
          </cell>
        </row>
        <row r="1485">
          <cell r="A1485">
            <v>5007</v>
          </cell>
          <cell r="B1485" t="str">
            <v>ja</v>
          </cell>
          <cell r="C1485" t="str">
            <v>ヘルシング</v>
          </cell>
          <cell r="D1485" t="str">
            <v>リンクガチャ:4神</v>
          </cell>
          <cell r="E1485" t="str">
            <v>守護神</v>
          </cell>
          <cell r="F1485" t="str">
            <v>格好いい</v>
          </cell>
          <cell r="G1485" t="str">
            <v>不明</v>
          </cell>
          <cell r="H1485" t="str">
            <v>yellow</v>
          </cell>
          <cell r="I1485">
            <v>5</v>
          </cell>
          <cell r="J1485" t="str">
            <v>DropWizS</v>
          </cell>
          <cell r="K1485" t="str">
            <v>technical</v>
          </cell>
          <cell r="L1485" t="str">
            <v>テクニカルタイプ</v>
          </cell>
          <cell r="M1485" t="str">
            <v>human</v>
          </cell>
        </row>
        <row r="1486">
          <cell r="A1486">
            <v>5008</v>
          </cell>
          <cell r="B1486" t="str">
            <v>ja</v>
          </cell>
          <cell r="C1486" t="str">
            <v>ヘルシング★６</v>
          </cell>
          <cell r="D1486" t="str">
            <v>ノーマルクエスト</v>
          </cell>
          <cell r="E1486" t="str">
            <v>アバター</v>
          </cell>
          <cell r="F1486" t="str">
            <v>世界観</v>
          </cell>
          <cell r="G1486" t="str">
            <v>不明</v>
          </cell>
          <cell r="H1486" t="str">
            <v>yellow</v>
          </cell>
          <cell r="I1486">
            <v>6</v>
          </cell>
          <cell r="J1486" t="str">
            <v>DropWizS</v>
          </cell>
          <cell r="K1486" t="str">
            <v>technical</v>
          </cell>
          <cell r="L1486" t="str">
            <v>テクニカルタイプ</v>
          </cell>
          <cell r="M1486" t="str">
            <v>human</v>
          </cell>
        </row>
        <row r="1487">
          <cell r="A1487">
            <v>6001</v>
          </cell>
          <cell r="B1487" t="str">
            <v>ja</v>
          </cell>
          <cell r="C1487" t="str">
            <v>ジェリー</v>
          </cell>
          <cell r="D1487" t="str">
            <v>ノーマルクエスト</v>
          </cell>
          <cell r="E1487" t="str">
            <v>QoH</v>
          </cell>
          <cell r="F1487" t="str">
            <v>世界観</v>
          </cell>
          <cell r="G1487" t="str">
            <v>不明</v>
          </cell>
          <cell r="H1487" t="str">
            <v>red</v>
          </cell>
          <cell r="I1487">
            <v>1</v>
          </cell>
          <cell r="J1487" t="str">
            <v>Drop1T</v>
          </cell>
          <cell r="K1487" t="str">
            <v>ra</v>
          </cell>
          <cell r="L1487" t="str">
            <v>ラグランジュチャレンジ</v>
          </cell>
          <cell r="M1487" t="str">
            <v>unknown</v>
          </cell>
        </row>
        <row r="1488">
          <cell r="A1488">
            <v>6002</v>
          </cell>
          <cell r="B1488" t="str">
            <v>ja</v>
          </cell>
          <cell r="C1488" t="str">
            <v>ヨシタカ</v>
          </cell>
          <cell r="D1488" t="str">
            <v>ノーマルクエスト</v>
          </cell>
          <cell r="E1488" t="str">
            <v>アバター</v>
          </cell>
          <cell r="F1488" t="str">
            <v>世界観</v>
          </cell>
          <cell r="G1488" t="str">
            <v>男性</v>
          </cell>
          <cell r="H1488" t="str">
            <v>red</v>
          </cell>
          <cell r="I1488">
            <v>2</v>
          </cell>
          <cell r="J1488" t="str">
            <v>Drop1N</v>
          </cell>
          <cell r="K1488" t="str">
            <v>ra</v>
          </cell>
          <cell r="L1488" t="str">
            <v>ラグランジュチャレンジ</v>
          </cell>
          <cell r="M1488" t="str">
            <v>human</v>
          </cell>
        </row>
        <row r="1489">
          <cell r="A1489">
            <v>6003</v>
          </cell>
          <cell r="B1489" t="str">
            <v>ja</v>
          </cell>
          <cell r="C1489" t="str">
            <v>朱雀</v>
          </cell>
          <cell r="D1489" t="str">
            <v>リンクガチャ:4神</v>
          </cell>
          <cell r="E1489" t="str">
            <v>守護神</v>
          </cell>
          <cell r="F1489" t="str">
            <v>格好いい</v>
          </cell>
          <cell r="G1489" t="str">
            <v>不明</v>
          </cell>
          <cell r="H1489" t="str">
            <v>red</v>
          </cell>
          <cell r="I1489">
            <v>3</v>
          </cell>
          <cell r="J1489" t="str">
            <v>Drop2N</v>
          </cell>
          <cell r="K1489" t="str">
            <v>ra</v>
          </cell>
          <cell r="L1489" t="str">
            <v>ラグランジュチャレンジ</v>
          </cell>
          <cell r="M1489" t="str">
            <v>animal</v>
          </cell>
        </row>
        <row r="1490">
          <cell r="A1490">
            <v>6004</v>
          </cell>
          <cell r="B1490" t="str">
            <v>ja</v>
          </cell>
          <cell r="C1490" t="str">
            <v>ブレット</v>
          </cell>
          <cell r="D1490" t="str">
            <v>ノーマルクエスト</v>
          </cell>
          <cell r="E1490" t="str">
            <v>アバター</v>
          </cell>
          <cell r="F1490" t="str">
            <v>世界観</v>
          </cell>
          <cell r="G1490" t="str">
            <v>不明</v>
          </cell>
          <cell r="H1490" t="str">
            <v>red</v>
          </cell>
          <cell r="I1490">
            <v>1</v>
          </cell>
          <cell r="J1490" t="str">
            <v>Drop1W</v>
          </cell>
          <cell r="K1490" t="str">
            <v>ra</v>
          </cell>
          <cell r="L1490" t="str">
            <v>ラグランジュチャレンジ</v>
          </cell>
          <cell r="M1490" t="str">
            <v>animal</v>
          </cell>
        </row>
        <row r="1491">
          <cell r="A1491">
            <v>6005</v>
          </cell>
          <cell r="B1491" t="str">
            <v>ja</v>
          </cell>
          <cell r="C1491" t="str">
            <v>孤神 テティス</v>
          </cell>
          <cell r="D1491" t="str">
            <v>初期ガチャ</v>
          </cell>
          <cell r="E1491" t="str">
            <v>管理者</v>
          </cell>
          <cell r="F1491" t="str">
            <v>美しい</v>
          </cell>
          <cell r="G1491" t="str">
            <v>女性</v>
          </cell>
          <cell r="H1491" t="str">
            <v>blue</v>
          </cell>
          <cell r="I1491">
            <v>4</v>
          </cell>
          <cell r="J1491" t="str">
            <v>PremiumN</v>
          </cell>
          <cell r="K1491" t="str">
            <v>ra</v>
          </cell>
          <cell r="L1491" t="str">
            <v>ラグランジュチャレンジ</v>
          </cell>
          <cell r="M1491" t="str">
            <v>god</v>
          </cell>
        </row>
        <row r="1492">
          <cell r="A1492">
            <v>6006</v>
          </cell>
          <cell r="B1492" t="str">
            <v>ja</v>
          </cell>
          <cell r="C1492" t="str">
            <v>海底の孤高神 テティス</v>
          </cell>
          <cell r="D1492" t="str">
            <v>初期ガチャ</v>
          </cell>
          <cell r="E1492" t="str">
            <v>管理者</v>
          </cell>
          <cell r="F1492" t="str">
            <v>美しい</v>
          </cell>
          <cell r="G1492" t="str">
            <v>女性</v>
          </cell>
          <cell r="H1492" t="str">
            <v>blue</v>
          </cell>
          <cell r="I1492">
            <v>5</v>
          </cell>
          <cell r="J1492" t="str">
            <v>PremiumN</v>
          </cell>
          <cell r="K1492" t="str">
            <v>ra</v>
          </cell>
          <cell r="L1492" t="str">
            <v>ラグランジュチャレンジ</v>
          </cell>
          <cell r="M1492" t="str">
            <v>god</v>
          </cell>
        </row>
        <row r="1493">
          <cell r="A1493">
            <v>6007</v>
          </cell>
          <cell r="B1493" t="str">
            <v>ja</v>
          </cell>
          <cell r="C1493" t="str">
            <v>番犬 ケルベロス</v>
          </cell>
          <cell r="D1493" t="str">
            <v>初期ガチャ</v>
          </cell>
          <cell r="E1493" t="str">
            <v>破界者</v>
          </cell>
          <cell r="F1493" t="str">
            <v>可愛い</v>
          </cell>
          <cell r="G1493" t="str">
            <v>女性</v>
          </cell>
          <cell r="H1493" t="str">
            <v>red</v>
          </cell>
          <cell r="I1493">
            <v>4</v>
          </cell>
          <cell r="J1493" t="str">
            <v>PremiumN</v>
          </cell>
          <cell r="K1493" t="str">
            <v>ra</v>
          </cell>
          <cell r="L1493" t="str">
            <v>ラグランジュチャレンジ</v>
          </cell>
          <cell r="M1493" t="str">
            <v>animal</v>
          </cell>
        </row>
        <row r="1494">
          <cell r="A1494">
            <v>6008</v>
          </cell>
          <cell r="B1494" t="str">
            <v>ja</v>
          </cell>
          <cell r="C1494" t="str">
            <v>焔神 プロメテウス</v>
          </cell>
          <cell r="D1494" t="str">
            <v>初期ガチャ</v>
          </cell>
          <cell r="E1494" t="str">
            <v>管理者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PremiumN</v>
          </cell>
          <cell r="K1494" t="str">
            <v>ra</v>
          </cell>
          <cell r="L1494" t="str">
            <v>ラグランジュチャレンジ</v>
          </cell>
          <cell r="M1494" t="str">
            <v>god</v>
          </cell>
        </row>
        <row r="1495">
          <cell r="A1495">
            <v>6009</v>
          </cell>
          <cell r="B1495" t="str">
            <v>ja</v>
          </cell>
          <cell r="C1495" t="str">
            <v>超越自我 ラグランジュ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red</v>
          </cell>
          <cell r="I1495">
            <v>5</v>
          </cell>
          <cell r="J1495" t="str">
            <v>PremiumSSS</v>
          </cell>
          <cell r="K1495" t="str">
            <v>ra</v>
          </cell>
          <cell r="L1495" t="str">
            <v>ラグランジュチャレンジ</v>
          </cell>
          <cell r="M1495" t="str">
            <v>human</v>
          </cell>
        </row>
        <row r="1496">
          <cell r="A1496">
            <v>6010</v>
          </cell>
          <cell r="B1496" t="str">
            <v>ja</v>
          </cell>
          <cell r="C1496" t="str">
            <v>超越凌駕 ラグランジュ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red</v>
          </cell>
          <cell r="I1496">
            <v>6</v>
          </cell>
          <cell r="J1496" t="str">
            <v>PremiumSSS</v>
          </cell>
          <cell r="K1496" t="str">
            <v>ra</v>
          </cell>
          <cell r="L1496" t="str">
            <v>ラグランジュチャレンジ</v>
          </cell>
          <cell r="M1496" t="str">
            <v>human</v>
          </cell>
        </row>
        <row r="1497">
          <cell r="A1497">
            <v>6011</v>
          </cell>
          <cell r="B1497" t="str">
            <v>ja</v>
          </cell>
          <cell r="C1497" t="str">
            <v>パトドッグリーダー ポチ</v>
          </cell>
          <cell r="D1497" t="str">
            <v>ガチャ:フィーバーフェス02</v>
          </cell>
          <cell r="E1497" t="str">
            <v>執行者</v>
          </cell>
          <cell r="F1497" t="str">
            <v>格好いい</v>
          </cell>
          <cell r="G1497" t="str">
            <v>男性</v>
          </cell>
          <cell r="H1497" t="str">
            <v>blue</v>
          </cell>
          <cell r="I1497">
            <v>2</v>
          </cell>
          <cell r="J1497" t="str">
            <v>Drop1T</v>
          </cell>
          <cell r="K1497" t="str">
            <v>ra002</v>
          </cell>
          <cell r="L1497" t="str">
            <v>ユークリッドチャレンジ</v>
          </cell>
          <cell r="M1497" t="str">
            <v>unknown</v>
          </cell>
        </row>
        <row r="1498">
          <cell r="A1498">
            <v>6012</v>
          </cell>
          <cell r="B1498" t="str">
            <v>ja</v>
          </cell>
          <cell r="C1498" t="str">
            <v>ミミ</v>
          </cell>
          <cell r="D1498" t="str">
            <v>ガチャ:フィーバーフェス02</v>
          </cell>
          <cell r="E1498" t="str">
            <v>執行者</v>
          </cell>
          <cell r="F1498" t="str">
            <v>格好いい</v>
          </cell>
          <cell r="G1498" t="str">
            <v>男性</v>
          </cell>
          <cell r="H1498" t="str">
            <v>yellow</v>
          </cell>
          <cell r="I1498">
            <v>1</v>
          </cell>
          <cell r="J1498" t="str">
            <v>Drop1W</v>
          </cell>
          <cell r="K1498" t="str">
            <v>ra002</v>
          </cell>
          <cell r="L1498" t="str">
            <v>ユークリッドチャレンジ</v>
          </cell>
          <cell r="M1498" t="str">
            <v>animal</v>
          </cell>
        </row>
        <row r="1499">
          <cell r="A1499">
            <v>6013</v>
          </cell>
          <cell r="B1499" t="str">
            <v>ja</v>
          </cell>
          <cell r="C1499" t="str">
            <v>護衛機人 スケアクロウ</v>
          </cell>
          <cell r="D1499" t="str">
            <v>ガチャ:フィーバーフェス02</v>
          </cell>
          <cell r="E1499" t="str">
            <v>執行者</v>
          </cell>
          <cell r="F1499" t="str">
            <v>格好いい</v>
          </cell>
          <cell r="G1499" t="str">
            <v>男性</v>
          </cell>
          <cell r="H1499" t="str">
            <v>blue</v>
          </cell>
          <cell r="I1499">
            <v>2</v>
          </cell>
          <cell r="J1499" t="str">
            <v>Drop1N</v>
          </cell>
          <cell r="K1499" t="str">
            <v>ra002</v>
          </cell>
          <cell r="L1499" t="str">
            <v>ユークリッドチャレンジ</v>
          </cell>
          <cell r="M1499" t="str">
            <v>machine</v>
          </cell>
        </row>
        <row r="1500">
          <cell r="A1500">
            <v>6014</v>
          </cell>
          <cell r="B1500" t="str">
            <v>ja</v>
          </cell>
          <cell r="C1500" t="str">
            <v>月下の人狼 ローレンス</v>
          </cell>
          <cell r="D1500" t="str">
            <v>ガチャ:フィーバーフェス02</v>
          </cell>
          <cell r="E1500" t="str">
            <v>執行者</v>
          </cell>
          <cell r="F1500" t="str">
            <v>格好いい</v>
          </cell>
          <cell r="G1500" t="str">
            <v>男性</v>
          </cell>
          <cell r="H1500" t="str">
            <v>blue</v>
          </cell>
          <cell r="I1500">
            <v>4</v>
          </cell>
          <cell r="J1500" t="str">
            <v>PremiumW</v>
          </cell>
          <cell r="K1500" t="str">
            <v>ra002</v>
          </cell>
          <cell r="L1500" t="str">
            <v>ユークリッドチャレンジ</v>
          </cell>
          <cell r="M1500" t="str">
            <v>animal</v>
          </cell>
        </row>
        <row r="1501">
          <cell r="A1501">
            <v>6015</v>
          </cell>
          <cell r="B1501" t="str">
            <v>ja</v>
          </cell>
          <cell r="C1501" t="str">
            <v>フレイヤ</v>
          </cell>
          <cell r="D1501" t="str">
            <v>ガチャ:フィーバーフェス02</v>
          </cell>
          <cell r="E1501" t="str">
            <v>執行者</v>
          </cell>
          <cell r="F1501" t="str">
            <v>格好いい</v>
          </cell>
          <cell r="G1501" t="str">
            <v>男性</v>
          </cell>
          <cell r="H1501" t="str">
            <v>blue</v>
          </cell>
          <cell r="I1501">
            <v>4</v>
          </cell>
          <cell r="J1501" t="str">
            <v>PremiumSS</v>
          </cell>
          <cell r="K1501" t="str">
            <v>ra002</v>
          </cell>
          <cell r="L1501" t="str">
            <v>ユークリッドチャレンジ</v>
          </cell>
          <cell r="M1501" t="str">
            <v>animal</v>
          </cell>
        </row>
        <row r="1502">
          <cell r="A1502">
            <v>6016</v>
          </cell>
          <cell r="B1502" t="str">
            <v>ja</v>
          </cell>
          <cell r="C1502" t="str">
            <v>根原論理 ユークリッド</v>
          </cell>
          <cell r="D1502" t="str">
            <v>ガチャ:フィーバーフェス02</v>
          </cell>
          <cell r="E1502" t="str">
            <v>執行者</v>
          </cell>
          <cell r="F1502" t="str">
            <v>格好いい</v>
          </cell>
          <cell r="G1502" t="str">
            <v>男性</v>
          </cell>
          <cell r="H1502" t="str">
            <v>blue</v>
          </cell>
          <cell r="I1502">
            <v>5</v>
          </cell>
          <cell r="J1502" t="str">
            <v>PremiumSSS</v>
          </cell>
          <cell r="K1502" t="str">
            <v>ra002</v>
          </cell>
          <cell r="L1502" t="str">
            <v>ユークリッドチャレンジ</v>
          </cell>
          <cell r="M1502" t="str">
            <v>human</v>
          </cell>
        </row>
        <row r="1503">
          <cell r="A1503">
            <v>6017</v>
          </cell>
          <cell r="B1503" t="str">
            <v>ja</v>
          </cell>
          <cell r="C1503" t="str">
            <v>不朽の極論 ユークリッド</v>
          </cell>
          <cell r="D1503" t="str">
            <v>ガチャ:フィーバーフェス02</v>
          </cell>
          <cell r="E1503" t="str">
            <v>執行者</v>
          </cell>
          <cell r="F1503" t="str">
            <v>格好いい</v>
          </cell>
          <cell r="G1503" t="str">
            <v>男性</v>
          </cell>
          <cell r="H1503" t="str">
            <v>blue</v>
          </cell>
          <cell r="I1503">
            <v>6</v>
          </cell>
          <cell r="J1503" t="str">
            <v>PremiumSSS</v>
          </cell>
          <cell r="K1503" t="str">
            <v>ra002</v>
          </cell>
          <cell r="L1503" t="str">
            <v>ユークリッドチャレンジ</v>
          </cell>
          <cell r="M1503" t="str">
            <v>human</v>
          </cell>
        </row>
        <row r="1504">
          <cell r="A1504">
            <v>6018</v>
          </cell>
          <cell r="B1504" t="str">
            <v>ja</v>
          </cell>
          <cell r="C1504" t="str">
            <v>ハヅル</v>
          </cell>
          <cell r="D1504" t="str">
            <v>ガチャ:フィーバーフェス02</v>
          </cell>
          <cell r="E1504" t="str">
            <v>執行者</v>
          </cell>
          <cell r="F1504" t="str">
            <v>格好いい</v>
          </cell>
          <cell r="G1504" t="str">
            <v>男性</v>
          </cell>
          <cell r="H1504" t="str">
            <v>red</v>
          </cell>
          <cell r="I1504">
            <v>4</v>
          </cell>
          <cell r="J1504" t="str">
            <v>PremiumSS</v>
          </cell>
          <cell r="K1504" t="str">
            <v>ra002</v>
          </cell>
          <cell r="L1504" t="str">
            <v>ユークリッドチャレンジ</v>
          </cell>
          <cell r="M1504" t="str">
            <v>animal</v>
          </cell>
        </row>
        <row r="1505">
          <cell r="A1505">
            <v>6019</v>
          </cell>
          <cell r="B1505" t="str">
            <v>ja</v>
          </cell>
          <cell r="C1505" t="str">
            <v>天織羽鶴 ハヅル</v>
          </cell>
          <cell r="D1505" t="str">
            <v>ガチャ:フィーバーフェス02</v>
          </cell>
          <cell r="E1505" t="str">
            <v>執行者</v>
          </cell>
          <cell r="F1505" t="str">
            <v>格好いい</v>
          </cell>
          <cell r="G1505" t="str">
            <v>男性</v>
          </cell>
          <cell r="H1505" t="str">
            <v>red</v>
          </cell>
          <cell r="I1505">
            <v>5</v>
          </cell>
          <cell r="J1505" t="str">
            <v>PremiumSS</v>
          </cell>
          <cell r="K1505" t="str">
            <v>ra002</v>
          </cell>
          <cell r="L1505" t="str">
            <v>ユークリッドチャレンジ</v>
          </cell>
          <cell r="M1505" t="str">
            <v>animal</v>
          </cell>
        </row>
        <row r="1506">
          <cell r="A1506">
            <v>6020</v>
          </cell>
          <cell r="B1506" t="str">
            <v>ja</v>
          </cell>
          <cell r="C1506" t="str">
            <v>ミズチ</v>
          </cell>
          <cell r="D1506" t="str">
            <v>ガチャ:フィーバーフェス02</v>
          </cell>
          <cell r="E1506" t="str">
            <v>執行者</v>
          </cell>
          <cell r="F1506" t="str">
            <v>格好いい</v>
          </cell>
          <cell r="G1506" t="str">
            <v>男性</v>
          </cell>
          <cell r="H1506" t="str">
            <v>blue</v>
          </cell>
          <cell r="I1506">
            <v>4</v>
          </cell>
          <cell r="J1506" t="str">
            <v>PremiumS</v>
          </cell>
          <cell r="K1506" t="str">
            <v>ra002</v>
          </cell>
          <cell r="L1506" t="str">
            <v>ユークリッドチャレンジ</v>
          </cell>
          <cell r="M1506" t="str">
            <v>dragon</v>
          </cell>
        </row>
        <row r="1507">
          <cell r="A1507">
            <v>8001</v>
          </cell>
          <cell r="B1507" t="str">
            <v>ja</v>
          </cell>
          <cell r="C1507" t="str">
            <v>媽祖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PremiumSS</v>
          </cell>
          <cell r="K1507" t="str">
            <v>attack</v>
          </cell>
          <cell r="L1507" t="str">
            <v>攻撃タイプ</v>
          </cell>
          <cell r="M1507" t="str">
            <v>god</v>
          </cell>
        </row>
        <row r="1508">
          <cell r="A1508">
            <v>8002</v>
          </cell>
          <cell r="B1508" t="str">
            <v>ja</v>
          </cell>
          <cell r="C1508" t="str">
            <v>宣導する天海妃 媽祖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PremiumSS</v>
          </cell>
          <cell r="K1508" t="str">
            <v>attack</v>
          </cell>
          <cell r="L1508" t="str">
            <v>攻撃タイプ</v>
          </cell>
          <cell r="M1508" t="str">
            <v>god</v>
          </cell>
        </row>
        <row r="1509">
          <cell r="A1509">
            <v>8003</v>
          </cell>
          <cell r="B1509" t="str">
            <v>ja</v>
          </cell>
          <cell r="C1509" t="str">
            <v>蛟龍</v>
          </cell>
          <cell r="D1509" t="str">
            <v>イベント:ミクコラボ01</v>
          </cell>
          <cell r="E1509" t="str">
            <v>執行者</v>
          </cell>
          <cell r="F1509" t="str">
            <v>格好いい</v>
          </cell>
          <cell r="G1509" t="str">
            <v>不明</v>
          </cell>
          <cell r="H1509" t="str">
            <v>blue</v>
          </cell>
          <cell r="I1509">
            <v>5</v>
          </cell>
          <cell r="J1509" t="str">
            <v>DropWizS</v>
          </cell>
          <cell r="K1509" t="str">
            <v>hp</v>
          </cell>
          <cell r="L1509" t="str">
            <v>体力タイプ</v>
          </cell>
          <cell r="M1509" t="str">
            <v>dragon</v>
          </cell>
        </row>
        <row r="1510">
          <cell r="A1510">
            <v>8004</v>
          </cell>
          <cell r="B1510" t="str">
            <v>ja</v>
          </cell>
          <cell r="C1510" t="str">
            <v>呼嵐の蒼棲龍 蛟龍</v>
          </cell>
          <cell r="D1510" t="str">
            <v>イベント:ミクコラボ01</v>
          </cell>
          <cell r="E1510" t="str">
            <v>執行者</v>
          </cell>
          <cell r="F1510" t="str">
            <v>格好いい</v>
          </cell>
          <cell r="G1510" t="str">
            <v>不明</v>
          </cell>
          <cell r="H1510" t="str">
            <v>blue</v>
          </cell>
          <cell r="I1510">
            <v>6</v>
          </cell>
          <cell r="J1510" t="str">
            <v>DropWizS</v>
          </cell>
          <cell r="K1510" t="str">
            <v>hp</v>
          </cell>
          <cell r="L1510" t="str">
            <v>体力タイプ</v>
          </cell>
          <cell r="M1510" t="str">
            <v>dragon</v>
          </cell>
        </row>
        <row r="1511">
          <cell r="A1511">
            <v>8005</v>
          </cell>
          <cell r="B1511" t="str">
            <v>ja</v>
          </cell>
          <cell r="C1511" t="str">
            <v>三蔵法師</v>
          </cell>
          <cell r="D1511" t="str">
            <v>イベント:ミクコラボ01</v>
          </cell>
          <cell r="E1511" t="str">
            <v>執行者</v>
          </cell>
          <cell r="F1511" t="str">
            <v>格好いい</v>
          </cell>
          <cell r="G1511" t="str">
            <v>不明</v>
          </cell>
          <cell r="H1511" t="str">
            <v>blue</v>
          </cell>
          <cell r="I1511">
            <v>5</v>
          </cell>
          <cell r="J1511" t="str">
            <v>PremiumSS</v>
          </cell>
          <cell r="K1511" t="str">
            <v>balance</v>
          </cell>
          <cell r="L1511" t="str">
            <v>バランスタイプ</v>
          </cell>
          <cell r="M1511" t="str">
            <v>human</v>
          </cell>
        </row>
        <row r="1512">
          <cell r="A1512">
            <v>8006</v>
          </cell>
          <cell r="B1512" t="str">
            <v>ja</v>
          </cell>
          <cell r="C1512" t="str">
            <v>慈戒の呪封使 三蔵法師</v>
          </cell>
          <cell r="D1512" t="str">
            <v>イベント:ミクコラボ01</v>
          </cell>
          <cell r="E1512" t="str">
            <v>執行者</v>
          </cell>
          <cell r="F1512" t="str">
            <v>格好いい</v>
          </cell>
          <cell r="G1512" t="str">
            <v>不明</v>
          </cell>
          <cell r="H1512" t="str">
            <v>blue</v>
          </cell>
          <cell r="I1512">
            <v>6</v>
          </cell>
          <cell r="J1512" t="str">
            <v>PremiumSS</v>
          </cell>
          <cell r="K1512" t="str">
            <v>balance</v>
          </cell>
          <cell r="L1512" t="str">
            <v>バランスタイプ</v>
          </cell>
          <cell r="M1512" t="str">
            <v>human</v>
          </cell>
        </row>
        <row r="1513">
          <cell r="A1513">
            <v>8007</v>
          </cell>
          <cell r="B1513" t="str">
            <v>ja</v>
          </cell>
          <cell r="C1513" t="str">
            <v>孫悟空</v>
          </cell>
          <cell r="D1513" t="str">
            <v>イベント:ミクコラボ01</v>
          </cell>
          <cell r="E1513" t="str">
            <v>執行者</v>
          </cell>
          <cell r="F1513" t="str">
            <v>格好いい</v>
          </cell>
          <cell r="G1513" t="str">
            <v>不明</v>
          </cell>
          <cell r="H1513" t="str">
            <v>red</v>
          </cell>
          <cell r="I1513">
            <v>5</v>
          </cell>
          <cell r="J1513" t="str">
            <v>DropWizS</v>
          </cell>
          <cell r="K1513" t="str">
            <v>attack</v>
          </cell>
          <cell r="L1513" t="str">
            <v>攻撃タイプ</v>
          </cell>
          <cell r="M1513" t="str">
            <v>animal</v>
          </cell>
        </row>
        <row r="1514">
          <cell r="A1514">
            <v>8008</v>
          </cell>
          <cell r="B1514" t="str">
            <v>ja</v>
          </cell>
          <cell r="C1514" t="str">
            <v>花果の天猿仙人 孫悟空</v>
          </cell>
          <cell r="D1514" t="str">
            <v>イベント:ミクコラボ01</v>
          </cell>
          <cell r="E1514" t="str">
            <v>執行者</v>
          </cell>
          <cell r="F1514" t="str">
            <v>格好いい</v>
          </cell>
          <cell r="G1514" t="str">
            <v>不明</v>
          </cell>
          <cell r="H1514" t="str">
            <v>red</v>
          </cell>
          <cell r="I1514">
            <v>6</v>
          </cell>
          <cell r="J1514" t="str">
            <v>DropWizS</v>
          </cell>
          <cell r="K1514" t="str">
            <v>attack</v>
          </cell>
          <cell r="L1514" t="str">
            <v>攻撃タイプ</v>
          </cell>
          <cell r="M1514" t="str">
            <v>animal</v>
          </cell>
        </row>
        <row r="1515">
          <cell r="A1515">
            <v>8009</v>
          </cell>
          <cell r="B1515" t="str">
            <v>ja</v>
          </cell>
          <cell r="C1515" t="str">
            <v>西王娘娘</v>
          </cell>
          <cell r="D1515" t="str">
            <v>イベント:ミクコラボ01</v>
          </cell>
          <cell r="E1515" t="str">
            <v>執行者</v>
          </cell>
          <cell r="F1515" t="str">
            <v>格好いい</v>
          </cell>
          <cell r="G1515" t="str">
            <v>不明</v>
          </cell>
          <cell r="H1515" t="str">
            <v>green</v>
          </cell>
          <cell r="I1515">
            <v>5</v>
          </cell>
          <cell r="J1515" t="str">
            <v>PremiumSS</v>
          </cell>
          <cell r="K1515" t="str">
            <v>attack</v>
          </cell>
          <cell r="L1515" t="str">
            <v>攻撃タイプ</v>
          </cell>
          <cell r="M1515" t="str">
            <v>god</v>
          </cell>
        </row>
        <row r="1516">
          <cell r="A1516">
            <v>8010</v>
          </cell>
          <cell r="B1516" t="str">
            <v>ja</v>
          </cell>
          <cell r="C1516" t="str">
            <v>極楽瑶池の聖母 西王娘娘</v>
          </cell>
          <cell r="D1516" t="str">
            <v>イベント:ミクコラボ01</v>
          </cell>
          <cell r="E1516" t="str">
            <v>執行者</v>
          </cell>
          <cell r="F1516" t="str">
            <v>格好いい</v>
          </cell>
          <cell r="G1516" t="str">
            <v>不明</v>
          </cell>
          <cell r="H1516" t="str">
            <v>green</v>
          </cell>
          <cell r="I1516">
            <v>6</v>
          </cell>
          <cell r="J1516" t="str">
            <v>PremiumSS</v>
          </cell>
          <cell r="K1516" t="str">
            <v>attack</v>
          </cell>
          <cell r="L1516" t="str">
            <v>攻撃タイプ</v>
          </cell>
          <cell r="M1516" t="str">
            <v>god</v>
          </cell>
        </row>
        <row r="1517">
          <cell r="A1517">
            <v>8011</v>
          </cell>
          <cell r="B1517" t="str">
            <v>ja</v>
          </cell>
          <cell r="C1517" t="str">
            <v>月下老人</v>
          </cell>
          <cell r="D1517" t="str">
            <v>イベント:ミクコラボ01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5</v>
          </cell>
          <cell r="J1517" t="str">
            <v>DropWizS</v>
          </cell>
          <cell r="K1517" t="str">
            <v>balance</v>
          </cell>
          <cell r="L1517" t="str">
            <v>バランスタイプ</v>
          </cell>
          <cell r="M1517" t="str">
            <v>god</v>
          </cell>
        </row>
        <row r="1518">
          <cell r="A1518">
            <v>8012</v>
          </cell>
          <cell r="B1518" t="str">
            <v>ja</v>
          </cell>
          <cell r="C1518" t="str">
            <v>破戀斬る縁剣 月下老人</v>
          </cell>
          <cell r="D1518" t="str">
            <v>イベント:ミクコラボ01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6</v>
          </cell>
          <cell r="J1518" t="str">
            <v>DropWizS</v>
          </cell>
          <cell r="K1518" t="str">
            <v>balance</v>
          </cell>
          <cell r="L1518" t="str">
            <v>バランスタイプ</v>
          </cell>
          <cell r="M1518" t="str">
            <v>god</v>
          </cell>
        </row>
        <row r="1519">
          <cell r="A1519">
            <v>8013</v>
          </cell>
          <cell r="B1519" t="str">
            <v>ja</v>
          </cell>
          <cell r="C1519" t="str">
            <v>初音ミクV3</v>
          </cell>
          <cell r="D1519" t="str">
            <v>初音ミクV3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yellow</v>
          </cell>
          <cell r="I1519">
            <v>4</v>
          </cell>
          <cell r="J1519" t="str">
            <v>DropWizS</v>
          </cell>
          <cell r="K1519" t="str">
            <v>balance</v>
          </cell>
          <cell r="L1519" t="str">
            <v>バランスタイプ</v>
          </cell>
          <cell r="M1519" t="str">
            <v>unknown</v>
          </cell>
        </row>
        <row r="1520">
          <cell r="A1520">
            <v>8014</v>
          </cell>
          <cell r="B1520" t="str">
            <v>ja</v>
          </cell>
          <cell r="C1520" t="str">
            <v>初音ミクV3</v>
          </cell>
          <cell r="D1520" t="str">
            <v>初音ミクV3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yellow</v>
          </cell>
          <cell r="I1520">
            <v>5</v>
          </cell>
          <cell r="J1520" t="str">
            <v>DropWizS</v>
          </cell>
          <cell r="K1520" t="str">
            <v>balance</v>
          </cell>
          <cell r="L1520" t="str">
            <v>バランスタイプ</v>
          </cell>
          <cell r="M1520" t="str">
            <v>unknown</v>
          </cell>
        </row>
        <row r="1521">
          <cell r="A1521">
            <v>8015</v>
          </cell>
          <cell r="B1521" t="str">
            <v>ja</v>
          </cell>
          <cell r="C1521" t="str">
            <v>初音ミク・アペンド</v>
          </cell>
          <cell r="D1521" t="str">
            <v>初音ミク・アペンド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4</v>
          </cell>
          <cell r="J1521" t="str">
            <v>PremiumSSS</v>
          </cell>
          <cell r="K1521" t="str">
            <v>technical</v>
          </cell>
          <cell r="L1521" t="str">
            <v>テクニカルタイプ</v>
          </cell>
          <cell r="M1521" t="str">
            <v>unknown</v>
          </cell>
        </row>
        <row r="1522">
          <cell r="A1522">
            <v>8016</v>
          </cell>
          <cell r="B1522" t="str">
            <v>ja</v>
          </cell>
          <cell r="C1522" t="str">
            <v>初音ミク・アペンド</v>
          </cell>
          <cell r="D1522" t="str">
            <v>初音ミク・アペンド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5</v>
          </cell>
          <cell r="J1522" t="str">
            <v>PremiumSSS</v>
          </cell>
          <cell r="K1522" t="str">
            <v>technical</v>
          </cell>
          <cell r="L1522" t="str">
            <v>テクニカルタイプ</v>
          </cell>
          <cell r="M1522" t="str">
            <v>unknown</v>
          </cell>
        </row>
        <row r="1523">
          <cell r="A1523">
            <v>8017</v>
          </cell>
          <cell r="B1523" t="str">
            <v>ja</v>
          </cell>
          <cell r="C1523" t="str">
            <v>初音ミク</v>
          </cell>
          <cell r="D1523" t="str">
            <v>初音ミク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4</v>
          </cell>
          <cell r="J1523" t="str">
            <v>PremiumSSS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8018</v>
          </cell>
          <cell r="B1524" t="str">
            <v>ja</v>
          </cell>
          <cell r="C1524" t="str">
            <v>初音ミク</v>
          </cell>
          <cell r="D1524" t="str">
            <v>初音ミク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green</v>
          </cell>
          <cell r="I1524">
            <v>5</v>
          </cell>
          <cell r="J1524" t="str">
            <v>PremiumSSS</v>
          </cell>
          <cell r="K1524" t="str">
            <v>balance</v>
          </cell>
          <cell r="L1524" t="str">
            <v>バランスタイプ</v>
          </cell>
          <cell r="M1524" t="str">
            <v>unknown</v>
          </cell>
        </row>
        <row r="1525">
          <cell r="A1525">
            <v>8019</v>
          </cell>
          <cell r="B1525" t="str">
            <v>ja</v>
          </cell>
          <cell r="C1525" t="str">
            <v>鏡音リン</v>
          </cell>
          <cell r="D1525" t="str">
            <v>鏡音リン</v>
          </cell>
          <cell r="E1525" t="str">
            <v>執行者</v>
          </cell>
          <cell r="F1525" t="str">
            <v>格好いい</v>
          </cell>
          <cell r="G1525" t="str">
            <v>男性</v>
          </cell>
          <cell r="H1525" t="str">
            <v>yellow</v>
          </cell>
          <cell r="I1525">
            <v>4</v>
          </cell>
          <cell r="J1525" t="str">
            <v>PremiumSS</v>
          </cell>
          <cell r="K1525" t="str">
            <v>balance</v>
          </cell>
          <cell r="L1525" t="str">
            <v>バランスタイプ</v>
          </cell>
          <cell r="M1525" t="str">
            <v>unknown</v>
          </cell>
        </row>
        <row r="1526">
          <cell r="A1526">
            <v>8020</v>
          </cell>
          <cell r="B1526" t="str">
            <v>ja</v>
          </cell>
          <cell r="C1526" t="str">
            <v>鏡音リン</v>
          </cell>
          <cell r="D1526" t="str">
            <v>鏡音リン</v>
          </cell>
          <cell r="E1526" t="str">
            <v>執行者</v>
          </cell>
          <cell r="F1526" t="str">
            <v>格好いい</v>
          </cell>
          <cell r="G1526" t="str">
            <v>男性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balance</v>
          </cell>
          <cell r="L1526" t="str">
            <v>バランスタイプ</v>
          </cell>
          <cell r="M1526" t="str">
            <v>unknown</v>
          </cell>
        </row>
        <row r="1527">
          <cell r="A1527">
            <v>8021</v>
          </cell>
          <cell r="B1527" t="str">
            <v>ja</v>
          </cell>
          <cell r="C1527" t="str">
            <v>鏡音レン</v>
          </cell>
          <cell r="D1527" t="str">
            <v>鏡音レン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yellow</v>
          </cell>
          <cell r="I1527">
            <v>4</v>
          </cell>
          <cell r="J1527" t="str">
            <v>PremiumSS</v>
          </cell>
          <cell r="K1527" t="str">
            <v>heal</v>
          </cell>
          <cell r="L1527" t="str">
            <v>回復タイプ</v>
          </cell>
          <cell r="M1527" t="str">
            <v>unknown</v>
          </cell>
        </row>
        <row r="1528">
          <cell r="A1528">
            <v>8022</v>
          </cell>
          <cell r="B1528" t="str">
            <v>ja</v>
          </cell>
          <cell r="C1528" t="str">
            <v>鏡音レン</v>
          </cell>
          <cell r="D1528" t="str">
            <v>鏡音レン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yellow</v>
          </cell>
          <cell r="I1528">
            <v>5</v>
          </cell>
          <cell r="J1528" t="str">
            <v>PremiumSS</v>
          </cell>
          <cell r="K1528" t="str">
            <v>heal</v>
          </cell>
          <cell r="L1528" t="str">
            <v>回復タイプ</v>
          </cell>
          <cell r="M1528" t="str">
            <v>unknown</v>
          </cell>
        </row>
        <row r="1529">
          <cell r="A1529">
            <v>8023</v>
          </cell>
          <cell r="B1529" t="str">
            <v>ja</v>
          </cell>
          <cell r="C1529" t="str">
            <v>巡音ルカ</v>
          </cell>
          <cell r="D1529" t="str">
            <v>巡音ルカ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red</v>
          </cell>
          <cell r="I1529">
            <v>3</v>
          </cell>
          <cell r="J1529" t="str">
            <v>PremiumS</v>
          </cell>
          <cell r="K1529" t="str">
            <v>attack</v>
          </cell>
          <cell r="L1529" t="str">
            <v>攻撃タイプ</v>
          </cell>
          <cell r="M1529" t="str">
            <v>unknown</v>
          </cell>
        </row>
        <row r="1530">
          <cell r="A1530">
            <v>8024</v>
          </cell>
          <cell r="B1530" t="str">
            <v>ja</v>
          </cell>
          <cell r="C1530" t="str">
            <v>巡音ルカ</v>
          </cell>
          <cell r="D1530" t="str">
            <v>巡音ルカ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red</v>
          </cell>
          <cell r="I1530">
            <v>4</v>
          </cell>
          <cell r="J1530" t="str">
            <v>PremiumS</v>
          </cell>
          <cell r="K1530" t="str">
            <v>attack</v>
          </cell>
          <cell r="L1530" t="str">
            <v>攻撃タイプ</v>
          </cell>
          <cell r="M1530" t="str">
            <v>unknown</v>
          </cell>
        </row>
        <row r="1531">
          <cell r="A1531">
            <v>8025</v>
          </cell>
          <cell r="B1531" t="str">
            <v>ja</v>
          </cell>
          <cell r="C1531" t="str">
            <v>MEIKO</v>
          </cell>
          <cell r="D1531" t="str">
            <v>MEIKO</v>
          </cell>
          <cell r="E1531" t="str">
            <v>執行者</v>
          </cell>
          <cell r="F1531" t="str">
            <v>格好いい</v>
          </cell>
          <cell r="G1531" t="str">
            <v>男性</v>
          </cell>
          <cell r="H1531" t="str">
            <v>red</v>
          </cell>
          <cell r="I1531">
            <v>3</v>
          </cell>
          <cell r="J1531" t="str">
            <v>PremiumS</v>
          </cell>
          <cell r="K1531" t="str">
            <v>hp</v>
          </cell>
          <cell r="L1531" t="str">
            <v>体力タイプ</v>
          </cell>
          <cell r="M1531" t="str">
            <v>unknown</v>
          </cell>
        </row>
        <row r="1532">
          <cell r="A1532">
            <v>8026</v>
          </cell>
          <cell r="B1532" t="str">
            <v>ja</v>
          </cell>
          <cell r="C1532" t="str">
            <v>MEIKO</v>
          </cell>
          <cell r="D1532" t="str">
            <v>MEIKO</v>
          </cell>
          <cell r="E1532" t="str">
            <v>執行者</v>
          </cell>
          <cell r="F1532" t="str">
            <v>格好いい</v>
          </cell>
          <cell r="G1532" t="str">
            <v>男性</v>
          </cell>
          <cell r="H1532" t="str">
            <v>red</v>
          </cell>
          <cell r="I1532">
            <v>4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unknown</v>
          </cell>
        </row>
        <row r="1533">
          <cell r="A1533">
            <v>8027</v>
          </cell>
          <cell r="B1533" t="str">
            <v>ja</v>
          </cell>
          <cell r="C1533" t="str">
            <v>KAITO</v>
          </cell>
          <cell r="D1533" t="str">
            <v>KAITO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blue</v>
          </cell>
          <cell r="I1533">
            <v>3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unknown</v>
          </cell>
        </row>
        <row r="1534">
          <cell r="A1534">
            <v>8028</v>
          </cell>
          <cell r="B1534" t="str">
            <v>ja</v>
          </cell>
          <cell r="C1534" t="str">
            <v>KAITO</v>
          </cell>
          <cell r="D1534" t="str">
            <v>KAITO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blue</v>
          </cell>
          <cell r="I1534">
            <v>4</v>
          </cell>
          <cell r="J1534" t="str">
            <v>PremiumS</v>
          </cell>
          <cell r="K1534" t="str">
            <v>technical</v>
          </cell>
          <cell r="L1534" t="str">
            <v>テクニカルタイプ</v>
          </cell>
          <cell r="M1534" t="str">
            <v>unknown</v>
          </cell>
        </row>
        <row r="1535">
          <cell r="A1535">
            <v>8029</v>
          </cell>
          <cell r="B1535" t="str">
            <v>ja</v>
          </cell>
          <cell r="C1535" t="str">
            <v>Expoミク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4</v>
          </cell>
          <cell r="J1535" t="str">
            <v>Drop2N</v>
          </cell>
          <cell r="K1535" t="str">
            <v>heal</v>
          </cell>
          <cell r="L1535" t="str">
            <v>回復タイプ</v>
          </cell>
          <cell r="M1535" t="str">
            <v>unknown</v>
          </cell>
        </row>
        <row r="1536">
          <cell r="A1536">
            <v>8030</v>
          </cell>
          <cell r="B1536" t="str">
            <v>ja</v>
          </cell>
          <cell r="C1536" t="str">
            <v>Expoミク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5</v>
          </cell>
          <cell r="J1536" t="str">
            <v>Drop2N</v>
          </cell>
          <cell r="K1536" t="str">
            <v>heal</v>
          </cell>
          <cell r="L1536" t="str">
            <v>回復タイプ</v>
          </cell>
          <cell r="M1536" t="str">
            <v>unknown</v>
          </cell>
        </row>
        <row r="1537">
          <cell r="A1537">
            <v>8031</v>
          </cell>
          <cell r="B1537" t="str">
            <v>ja</v>
          </cell>
          <cell r="C1537" t="str">
            <v>閻羅王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5</v>
          </cell>
          <cell r="J1537" t="str">
            <v>PremiumSS</v>
          </cell>
          <cell r="K1537" t="str">
            <v>balance</v>
          </cell>
          <cell r="L1537" t="str">
            <v>バランスタイプ</v>
          </cell>
          <cell r="M1537" t="str">
            <v>god</v>
          </cell>
        </row>
        <row r="1538">
          <cell r="A1538">
            <v>8032</v>
          </cell>
          <cell r="B1538" t="str">
            <v>ja</v>
          </cell>
          <cell r="C1538" t="str">
            <v>六道輪廻の絶獄 閻羅王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red</v>
          </cell>
          <cell r="I1538">
            <v>6</v>
          </cell>
          <cell r="J1538" t="str">
            <v>PremiumSS</v>
          </cell>
          <cell r="K1538" t="str">
            <v>balance</v>
          </cell>
          <cell r="L1538" t="str">
            <v>バランスタイプ</v>
          </cell>
          <cell r="M1538" t="str">
            <v>god</v>
          </cell>
        </row>
        <row r="1539">
          <cell r="A1539">
            <v>8033</v>
          </cell>
          <cell r="B1539" t="str">
            <v>ja</v>
          </cell>
          <cell r="C1539" t="str">
            <v>牛頭馬面</v>
          </cell>
          <cell r="D1539" t="str">
            <v>Expoミク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  <cell r="K1539" t="str">
            <v>attack</v>
          </cell>
          <cell r="L1539" t="str">
            <v>攻撃タイプ</v>
          </cell>
          <cell r="M1539" t="str">
            <v>god</v>
          </cell>
        </row>
        <row r="1540">
          <cell r="A1540">
            <v>8034</v>
          </cell>
          <cell r="B1540" t="str">
            <v>ja</v>
          </cell>
          <cell r="C1540" t="str">
            <v>冥府狩る魂使 牛頭馬面</v>
          </cell>
          <cell r="D1540" t="str">
            <v>Expoミク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  <cell r="K1540" t="str">
            <v>attack</v>
          </cell>
          <cell r="L1540" t="str">
            <v>攻撃タイプ</v>
          </cell>
          <cell r="M1540" t="str">
            <v>god</v>
          </cell>
        </row>
        <row r="1541">
          <cell r="A1541">
            <v>8035</v>
          </cell>
          <cell r="B1541" t="str">
            <v>ja</v>
          </cell>
          <cell r="C1541" t="str">
            <v>飛衛</v>
          </cell>
          <cell r="D1541" t="str">
            <v>Expoミク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blue</v>
          </cell>
          <cell r="I1541">
            <v>5</v>
          </cell>
          <cell r="J1541" t="str">
            <v>PremiumSS</v>
          </cell>
          <cell r="K1541" t="str">
            <v>heal</v>
          </cell>
          <cell r="L1541" t="str">
            <v>回復タイプ</v>
          </cell>
          <cell r="M1541" t="str">
            <v>human</v>
          </cell>
        </row>
        <row r="1542">
          <cell r="A1542">
            <v>8036</v>
          </cell>
          <cell r="B1542" t="str">
            <v>ja</v>
          </cell>
          <cell r="C1542" t="str">
            <v>レア６飛衛</v>
          </cell>
          <cell r="D1542" t="str">
            <v>Expoミク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blue</v>
          </cell>
          <cell r="I1542">
            <v>6</v>
          </cell>
          <cell r="J1542" t="str">
            <v>PremiumSS</v>
          </cell>
          <cell r="K1542" t="str">
            <v>heal</v>
          </cell>
          <cell r="L1542" t="str">
            <v>回復タイプ</v>
          </cell>
          <cell r="M1542" t="str">
            <v>human</v>
          </cell>
        </row>
        <row r="1543">
          <cell r="A1543">
            <v>8037</v>
          </cell>
          <cell r="B1543" t="str">
            <v>ja</v>
          </cell>
          <cell r="C1543" t="str">
            <v>紀昌</v>
          </cell>
          <cell r="D1543" t="str">
            <v>Expoミク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5</v>
          </cell>
          <cell r="J1543" t="str">
            <v>DropWizS</v>
          </cell>
          <cell r="K1543" t="str">
            <v>attack</v>
          </cell>
          <cell r="L1543" t="str">
            <v>攻撃タイプ</v>
          </cell>
          <cell r="M1543" t="str">
            <v>human</v>
          </cell>
        </row>
        <row r="1544">
          <cell r="A1544">
            <v>8038</v>
          </cell>
          <cell r="B1544" t="str">
            <v>ja</v>
          </cell>
          <cell r="C1544" t="str">
            <v>レア６紀昌</v>
          </cell>
          <cell r="D1544" t="str">
            <v>Expoミク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6</v>
          </cell>
          <cell r="J1544" t="str">
            <v>DropWizS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8039</v>
          </cell>
          <cell r="B1545" t="str">
            <v>ja</v>
          </cell>
          <cell r="C1545" t="str">
            <v>何仙姑</v>
          </cell>
          <cell r="D1545" t="str">
            <v>Expoミク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yellow</v>
          </cell>
          <cell r="I1545">
            <v>5</v>
          </cell>
          <cell r="J1545" t="str">
            <v>PremiumSSw</v>
          </cell>
          <cell r="K1545" t="str">
            <v>hp</v>
          </cell>
          <cell r="L1545" t="str">
            <v>体力タイプ</v>
          </cell>
          <cell r="M1545" t="str">
            <v>god</v>
          </cell>
        </row>
        <row r="1546">
          <cell r="A1546">
            <v>8040</v>
          </cell>
          <cell r="B1546" t="str">
            <v>ja</v>
          </cell>
          <cell r="C1546" t="str">
            <v>レア６何仙姑</v>
          </cell>
          <cell r="D1546" t="str">
            <v>Expoミク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yellow</v>
          </cell>
          <cell r="I1546">
            <v>6</v>
          </cell>
          <cell r="J1546" t="str">
            <v>PremiumSSw</v>
          </cell>
          <cell r="K1546" t="str">
            <v>hp</v>
          </cell>
          <cell r="L1546" t="str">
            <v>体力タイプ</v>
          </cell>
          <cell r="M1546" t="str">
            <v>god</v>
          </cell>
        </row>
        <row r="1547">
          <cell r="A1547">
            <v>8041</v>
          </cell>
          <cell r="B1547" t="str">
            <v>ja</v>
          </cell>
          <cell r="C1547" t="str">
            <v>藍采和</v>
          </cell>
          <cell r="D1547" t="str">
            <v>Expoミク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blue</v>
          </cell>
          <cell r="I1547">
            <v>5</v>
          </cell>
          <cell r="J1547" t="str">
            <v>DropWizS</v>
          </cell>
          <cell r="K1547" t="str">
            <v>balance</v>
          </cell>
          <cell r="L1547" t="str">
            <v>バランスタイプ</v>
          </cell>
          <cell r="M1547" t="str">
            <v>god</v>
          </cell>
        </row>
        <row r="1548">
          <cell r="A1548">
            <v>8042</v>
          </cell>
          <cell r="B1548" t="str">
            <v>ja</v>
          </cell>
          <cell r="C1548" t="str">
            <v>レア６藍采和</v>
          </cell>
          <cell r="D1548" t="str">
            <v>Expoミク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blue</v>
          </cell>
          <cell r="I1548">
            <v>6</v>
          </cell>
          <cell r="J1548" t="str">
            <v>DropWizS</v>
          </cell>
          <cell r="K1548" t="str">
            <v>balance</v>
          </cell>
          <cell r="L1548" t="str">
            <v>バランスタイプ</v>
          </cell>
          <cell r="M1548" t="str">
            <v>god</v>
          </cell>
        </row>
        <row r="1549">
          <cell r="A1549">
            <v>8043</v>
          </cell>
          <cell r="B1549" t="str">
            <v>ja</v>
          </cell>
          <cell r="C1549" t="str">
            <v>サンリオキャラ大集合+アザゼル</v>
          </cell>
          <cell r="D1549" t="str">
            <v>サンリオキャラ大集合+アザゼル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green</v>
          </cell>
          <cell r="I1549">
            <v>5</v>
          </cell>
          <cell r="J1549" t="str">
            <v>DropWizS</v>
          </cell>
          <cell r="K1549" t="str">
            <v>technical</v>
          </cell>
          <cell r="L1549" t="str">
            <v>テクニカルタイプ</v>
          </cell>
          <cell r="M1549" t="str">
            <v>ss</v>
          </cell>
        </row>
        <row r="1550">
          <cell r="A1550">
            <v>8044</v>
          </cell>
          <cell r="B1550" t="str">
            <v>ja</v>
          </cell>
          <cell r="C1550" t="str">
            <v>サンリオキャラ大集合+アザゼル</v>
          </cell>
          <cell r="D1550" t="str">
            <v>サンリオキャラ大集合+アザゼル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green</v>
          </cell>
          <cell r="I1550">
            <v>6</v>
          </cell>
          <cell r="J1550" t="str">
            <v>DropWizS</v>
          </cell>
          <cell r="K1550" t="str">
            <v>technical</v>
          </cell>
          <cell r="L1550" t="str">
            <v>テクニカルタイプ</v>
          </cell>
          <cell r="M1550" t="str">
            <v>ss</v>
          </cell>
        </row>
        <row r="1551">
          <cell r="A1551">
            <v>8045</v>
          </cell>
          <cell r="B1551" t="str">
            <v>ja</v>
          </cell>
          <cell r="C1551" t="str">
            <v>ニムダ_サンリオキャラ混じり</v>
          </cell>
          <cell r="D1551" t="str">
            <v>ニムダ_サンリオキャラ混じり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yellow</v>
          </cell>
          <cell r="I1551">
            <v>4</v>
          </cell>
          <cell r="J1551" t="str">
            <v>Drop2N</v>
          </cell>
          <cell r="K1551" t="str">
            <v>technical</v>
          </cell>
          <cell r="L1551" t="str">
            <v>テクニカルタイプ</v>
          </cell>
          <cell r="M1551" t="str">
            <v>ss</v>
          </cell>
        </row>
        <row r="1552">
          <cell r="A1552">
            <v>8046</v>
          </cell>
          <cell r="B1552" t="str">
            <v>ja</v>
          </cell>
          <cell r="C1552" t="str">
            <v>ニムダ_サンリオキャラ混じり</v>
          </cell>
          <cell r="D1552" t="str">
            <v>ニムダ_サンリオキャラ混じり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yellow</v>
          </cell>
          <cell r="I1552">
            <v>5</v>
          </cell>
          <cell r="J1552" t="str">
            <v>Drop2N</v>
          </cell>
          <cell r="K1552" t="str">
            <v>technical</v>
          </cell>
          <cell r="L1552" t="str">
            <v>テクニカルタイプ</v>
          </cell>
          <cell r="M1552" t="str">
            <v>ss</v>
          </cell>
        </row>
        <row r="1553">
          <cell r="A1553">
            <v>8047</v>
          </cell>
          <cell r="B1553" t="str">
            <v>ja</v>
          </cell>
          <cell r="C1553" t="str">
            <v>ハローキティ</v>
          </cell>
          <cell r="D1553" t="str">
            <v>ハローキティ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red</v>
          </cell>
          <cell r="I1553">
            <v>4</v>
          </cell>
          <cell r="J1553" t="str">
            <v>Drop2N</v>
          </cell>
          <cell r="K1553" t="str">
            <v>balance</v>
          </cell>
          <cell r="L1553" t="str">
            <v>バランスタイプ</v>
          </cell>
          <cell r="M1553" t="str">
            <v>ss</v>
          </cell>
        </row>
        <row r="1554">
          <cell r="A1554">
            <v>8048</v>
          </cell>
          <cell r="B1554" t="str">
            <v>ja</v>
          </cell>
          <cell r="C1554" t="str">
            <v>ハローキティ</v>
          </cell>
          <cell r="D1554" t="str">
            <v>ハローキティ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red</v>
          </cell>
          <cell r="I1554">
            <v>5</v>
          </cell>
          <cell r="J1554" t="str">
            <v>Drop2N</v>
          </cell>
          <cell r="K1554" t="str">
            <v>balance</v>
          </cell>
          <cell r="L1554" t="str">
            <v>バランスタイプ</v>
          </cell>
          <cell r="M1554" t="str">
            <v>ss</v>
          </cell>
        </row>
        <row r="1555">
          <cell r="A1555">
            <v>8049</v>
          </cell>
          <cell r="B1555" t="str">
            <v>ja</v>
          </cell>
          <cell r="C1555" t="str">
            <v>KIRIMIちゃん</v>
          </cell>
          <cell r="D1555" t="str">
            <v>KIRIMIちゃん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red</v>
          </cell>
          <cell r="I1555">
            <v>4</v>
          </cell>
          <cell r="J1555" t="str">
            <v>Drop2N</v>
          </cell>
          <cell r="K1555" t="str">
            <v>hp</v>
          </cell>
          <cell r="L1555" t="str">
            <v>体力タイプ</v>
          </cell>
          <cell r="M1555" t="str">
            <v>ss</v>
          </cell>
        </row>
        <row r="1556">
          <cell r="A1556">
            <v>8050</v>
          </cell>
          <cell r="B1556" t="str">
            <v>ja</v>
          </cell>
          <cell r="C1556" t="str">
            <v>KIRIMIちゃん</v>
          </cell>
          <cell r="D1556" t="str">
            <v>KIRIMIちゃん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red</v>
          </cell>
          <cell r="I1556">
            <v>5</v>
          </cell>
          <cell r="J1556" t="str">
            <v>Drop2N</v>
          </cell>
          <cell r="K1556" t="str">
            <v>hp</v>
          </cell>
          <cell r="L1556" t="str">
            <v>体力タイプ</v>
          </cell>
          <cell r="M1556" t="str">
            <v>ss</v>
          </cell>
        </row>
        <row r="1557">
          <cell r="A1557">
            <v>8051</v>
          </cell>
          <cell r="B1557" t="str">
            <v>ja</v>
          </cell>
          <cell r="C1557" t="str">
            <v>ハローキティのリボン</v>
          </cell>
          <cell r="D1557" t="str">
            <v>ハローキティのリボン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red</v>
          </cell>
          <cell r="I1557">
            <v>5</v>
          </cell>
          <cell r="J1557" t="str">
            <v>Drop2N</v>
          </cell>
          <cell r="K1557" t="str">
            <v>evolution</v>
          </cell>
          <cell r="L1557" t="str">
            <v>覚醒素材タイプ</v>
          </cell>
          <cell r="M1557" t="str">
            <v>ss</v>
          </cell>
        </row>
        <row r="1558">
          <cell r="A1558">
            <v>8052</v>
          </cell>
          <cell r="B1558" t="str">
            <v>ja</v>
          </cell>
          <cell r="C1558" t="str">
            <v>ママの作ったアップルパイ</v>
          </cell>
          <cell r="D1558" t="str">
            <v>ママの作ったアップルパイ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red</v>
          </cell>
          <cell r="I1558">
            <v>4</v>
          </cell>
          <cell r="J1558" t="str">
            <v>Drop2N</v>
          </cell>
          <cell r="K1558" t="str">
            <v>evolution</v>
          </cell>
          <cell r="L1558" t="str">
            <v>覚醒素材タイプ</v>
          </cell>
          <cell r="M1558" t="str">
            <v>ss</v>
          </cell>
        </row>
        <row r="1559">
          <cell r="A1559">
            <v>8053</v>
          </cell>
          <cell r="B1559" t="str">
            <v>ja</v>
          </cell>
          <cell r="C1559" t="str">
            <v>D.R.T.H__キティコスプレ</v>
          </cell>
          <cell r="D1559" t="str">
            <v>D.R.T.H__キティコスプレ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red</v>
          </cell>
          <cell r="I1559">
            <v>5</v>
          </cell>
          <cell r="J1559" t="str">
            <v>PremiumSS</v>
          </cell>
          <cell r="K1559" t="str">
            <v>balance</v>
          </cell>
          <cell r="L1559" t="str">
            <v>バランスタイプ</v>
          </cell>
          <cell r="M1559" t="str">
            <v>ss</v>
          </cell>
        </row>
        <row r="1560">
          <cell r="A1560">
            <v>8054</v>
          </cell>
          <cell r="B1560" t="str">
            <v>ja</v>
          </cell>
          <cell r="C1560" t="str">
            <v>D.R.T.H__キティコスプレ</v>
          </cell>
          <cell r="D1560" t="str">
            <v>D.R.T.H__キティコスプレ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red</v>
          </cell>
          <cell r="I1560">
            <v>6</v>
          </cell>
          <cell r="J1560" t="str">
            <v>PremiumSS</v>
          </cell>
          <cell r="K1560" t="str">
            <v>balance</v>
          </cell>
          <cell r="L1560" t="str">
            <v>バランスタイプ</v>
          </cell>
          <cell r="M1560" t="str">
            <v>ss</v>
          </cell>
        </row>
        <row r="1561">
          <cell r="A1561">
            <v>8055</v>
          </cell>
          <cell r="B1561" t="str">
            <v>ja</v>
          </cell>
          <cell r="C1561" t="str">
            <v>マイメロディ</v>
          </cell>
          <cell r="D1561" t="str">
            <v>マイメロディ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red</v>
          </cell>
          <cell r="I1561">
            <v>4</v>
          </cell>
          <cell r="J1561" t="str">
            <v>PremiumS</v>
          </cell>
          <cell r="K1561" t="str">
            <v>attack</v>
          </cell>
          <cell r="L1561" t="str">
            <v>攻撃タイプ</v>
          </cell>
          <cell r="M1561" t="str">
            <v>ss</v>
          </cell>
        </row>
        <row r="1562">
          <cell r="A1562">
            <v>8056</v>
          </cell>
          <cell r="B1562" t="str">
            <v>ja</v>
          </cell>
          <cell r="C1562" t="str">
            <v>マイメロディ</v>
          </cell>
          <cell r="D1562" t="str">
            <v>マイメロディ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red</v>
          </cell>
          <cell r="I1562">
            <v>5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ss</v>
          </cell>
        </row>
        <row r="1563">
          <cell r="A1563">
            <v>8057</v>
          </cell>
          <cell r="B1563" t="str">
            <v>ja</v>
          </cell>
          <cell r="C1563" t="str">
            <v>ニーベルゲン_シナモロールコスプレ</v>
          </cell>
          <cell r="D1563" t="str">
            <v>ニーベルゲン_シナモロールコスプレ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green</v>
          </cell>
          <cell r="I1563">
            <v>4</v>
          </cell>
          <cell r="J1563" t="str">
            <v>PremiumS</v>
          </cell>
          <cell r="K1563" t="str">
            <v>balance</v>
          </cell>
          <cell r="L1563" t="str">
            <v>バランスタイプ</v>
          </cell>
          <cell r="M1563" t="str">
            <v>ss</v>
          </cell>
        </row>
        <row r="1564">
          <cell r="A1564">
            <v>8058</v>
          </cell>
          <cell r="B1564" t="str">
            <v>ja</v>
          </cell>
          <cell r="C1564" t="str">
            <v>ニーベルゲン_シナモロールコスプレ</v>
          </cell>
          <cell r="D1564" t="str">
            <v>ニーベルゲン_シナモロールコスプレ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green</v>
          </cell>
          <cell r="I1564">
            <v>5</v>
          </cell>
          <cell r="J1564" t="str">
            <v>PremiumS</v>
          </cell>
          <cell r="K1564" t="str">
            <v>balance</v>
          </cell>
          <cell r="L1564" t="str">
            <v>バランスタイプ</v>
          </cell>
          <cell r="M1564" t="str">
            <v>ss</v>
          </cell>
        </row>
        <row r="1565">
          <cell r="A1565">
            <v>8059</v>
          </cell>
          <cell r="B1565" t="str">
            <v>ja</v>
          </cell>
          <cell r="C1565" t="str">
            <v>カカシ_マイメロディコスプレ</v>
          </cell>
          <cell r="D1565" t="str">
            <v>カカシ_マイメロディコスプレ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green</v>
          </cell>
          <cell r="I1565">
            <v>4</v>
          </cell>
          <cell r="J1565" t="str">
            <v>PremiumS</v>
          </cell>
          <cell r="K1565" t="str">
            <v>technical</v>
          </cell>
          <cell r="L1565" t="str">
            <v>テクニカルタイプ</v>
          </cell>
          <cell r="M1565" t="str">
            <v>ss</v>
          </cell>
        </row>
        <row r="1566">
          <cell r="A1566">
            <v>8060</v>
          </cell>
          <cell r="B1566" t="str">
            <v>ja</v>
          </cell>
          <cell r="C1566" t="str">
            <v>カカシ_マイメロディコスプレ</v>
          </cell>
          <cell r="D1566" t="str">
            <v>カカシ_マイメロディコスプレ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green</v>
          </cell>
          <cell r="I1566">
            <v>5</v>
          </cell>
          <cell r="J1566" t="str">
            <v>PremiumS</v>
          </cell>
          <cell r="K1566" t="str">
            <v>technical</v>
          </cell>
          <cell r="L1566" t="str">
            <v>テクニカルタイプ</v>
          </cell>
          <cell r="M1566" t="str">
            <v>ss</v>
          </cell>
        </row>
        <row r="1567">
          <cell r="A1567">
            <v>8061</v>
          </cell>
          <cell r="B1567" t="str">
            <v>ja</v>
          </cell>
          <cell r="C1567" t="str">
            <v>ケロケロけろっぴ</v>
          </cell>
          <cell r="D1567" t="str">
            <v>ケロケロけろっぴ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green</v>
          </cell>
          <cell r="I1567">
            <v>3</v>
          </cell>
          <cell r="J1567" t="str">
            <v>PremiumS</v>
          </cell>
          <cell r="K1567" t="str">
            <v>balance</v>
          </cell>
          <cell r="L1567" t="str">
            <v>バランスタイプ</v>
          </cell>
          <cell r="M1567" t="str">
            <v>ss</v>
          </cell>
        </row>
        <row r="1568">
          <cell r="A1568">
            <v>8062</v>
          </cell>
          <cell r="B1568" t="str">
            <v>ja</v>
          </cell>
          <cell r="C1568" t="str">
            <v>ケロケロけろっぴ</v>
          </cell>
          <cell r="D1568" t="str">
            <v>ケロケロけろっぴ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green</v>
          </cell>
          <cell r="I1568">
            <v>4</v>
          </cell>
          <cell r="J1568" t="str">
            <v>PremiumS</v>
          </cell>
          <cell r="K1568" t="str">
            <v>balance</v>
          </cell>
          <cell r="L1568" t="str">
            <v>バランスタイプ</v>
          </cell>
          <cell r="M1568" t="str">
            <v>ss</v>
          </cell>
        </row>
        <row r="1569">
          <cell r="A1569">
            <v>8063</v>
          </cell>
          <cell r="B1569" t="str">
            <v>ja</v>
          </cell>
          <cell r="C1569" t="str">
            <v>モルドレッド_ポムポムプリンコスプレ</v>
          </cell>
          <cell r="D1569" t="str">
            <v>モルドレッド_ポムポムプリンコスプレ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blue</v>
          </cell>
          <cell r="I1569">
            <v>5</v>
          </cell>
          <cell r="J1569" t="str">
            <v>PremiumSS</v>
          </cell>
          <cell r="K1569" t="str">
            <v>heal</v>
          </cell>
          <cell r="L1569" t="str">
            <v>回復タイプ</v>
          </cell>
          <cell r="M1569" t="str">
            <v>ss</v>
          </cell>
        </row>
        <row r="1570">
          <cell r="A1570">
            <v>8064</v>
          </cell>
          <cell r="B1570" t="str">
            <v>ja</v>
          </cell>
          <cell r="C1570" t="str">
            <v>モルドレッド_ポムポムプリンコスプレ</v>
          </cell>
          <cell r="D1570" t="str">
            <v>モルドレッド_ポムポムプリンコスプレ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ss</v>
          </cell>
        </row>
        <row r="1571">
          <cell r="A1571">
            <v>8065</v>
          </cell>
          <cell r="B1571" t="str">
            <v>ja</v>
          </cell>
          <cell r="C1571" t="str">
            <v>クロミ</v>
          </cell>
          <cell r="D1571" t="str">
            <v>クロミ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3</v>
          </cell>
          <cell r="J1571" t="str">
            <v>PremiumS</v>
          </cell>
          <cell r="K1571" t="str">
            <v>technical</v>
          </cell>
          <cell r="L1571" t="str">
            <v>テクニカルタイプ</v>
          </cell>
          <cell r="M1571" t="str">
            <v>ss</v>
          </cell>
        </row>
        <row r="1572">
          <cell r="A1572">
            <v>8066</v>
          </cell>
          <cell r="B1572" t="str">
            <v>ja</v>
          </cell>
          <cell r="C1572" t="str">
            <v>クロミ</v>
          </cell>
          <cell r="D1572" t="str">
            <v>クロミ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blue</v>
          </cell>
          <cell r="I1572">
            <v>4</v>
          </cell>
          <cell r="J1572" t="str">
            <v>PremiumS</v>
          </cell>
          <cell r="K1572" t="str">
            <v>technical</v>
          </cell>
          <cell r="L1572" t="str">
            <v>テクニカルタイプ</v>
          </cell>
          <cell r="M1572" t="str">
            <v>ss</v>
          </cell>
        </row>
        <row r="1573">
          <cell r="A1573">
            <v>8067</v>
          </cell>
          <cell r="B1573" t="str">
            <v>ja</v>
          </cell>
          <cell r="C1573" t="str">
            <v>バッドばつ丸</v>
          </cell>
          <cell r="D1573" t="str">
            <v>バッドばつ丸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3</v>
          </cell>
          <cell r="J1573" t="str">
            <v>PremiumS</v>
          </cell>
          <cell r="K1573" t="str">
            <v>attack</v>
          </cell>
          <cell r="L1573" t="str">
            <v>攻撃タイプ</v>
          </cell>
          <cell r="M1573" t="str">
            <v>ss</v>
          </cell>
        </row>
        <row r="1574">
          <cell r="A1574">
            <v>8068</v>
          </cell>
          <cell r="B1574" t="str">
            <v>ja</v>
          </cell>
          <cell r="C1574" t="str">
            <v>バッドばつ丸</v>
          </cell>
          <cell r="D1574" t="str">
            <v>バッドばつ丸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4</v>
          </cell>
          <cell r="J1574" t="str">
            <v>PremiumS</v>
          </cell>
          <cell r="K1574" t="str">
            <v>attack</v>
          </cell>
          <cell r="L1574" t="str">
            <v>攻撃タイプ</v>
          </cell>
          <cell r="M1574" t="str">
            <v>ss</v>
          </cell>
        </row>
        <row r="1575">
          <cell r="A1575">
            <v>8069</v>
          </cell>
          <cell r="B1575" t="str">
            <v>ja</v>
          </cell>
          <cell r="C1575" t="str">
            <v>シナモロール</v>
          </cell>
          <cell r="D1575" t="str">
            <v>シナモロール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yellow</v>
          </cell>
          <cell r="I1575">
            <v>4</v>
          </cell>
          <cell r="J1575" t="str">
            <v>PremiumS</v>
          </cell>
          <cell r="K1575" t="str">
            <v>heal</v>
          </cell>
          <cell r="L1575" t="str">
            <v>回復タイプ</v>
          </cell>
          <cell r="M1575" t="str">
            <v>ss</v>
          </cell>
        </row>
        <row r="1576">
          <cell r="A1576">
            <v>8070</v>
          </cell>
          <cell r="B1576" t="str">
            <v>ja</v>
          </cell>
          <cell r="C1576" t="str">
            <v>シナモロール</v>
          </cell>
          <cell r="D1576" t="str">
            <v>シナモロール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yellow</v>
          </cell>
          <cell r="I1576">
            <v>5</v>
          </cell>
          <cell r="J1576" t="str">
            <v>PremiumS</v>
          </cell>
          <cell r="K1576" t="str">
            <v>heal</v>
          </cell>
          <cell r="L1576" t="str">
            <v>回復タイプ</v>
          </cell>
          <cell r="M1576" t="str">
            <v>ss</v>
          </cell>
        </row>
        <row r="1577">
          <cell r="A1577">
            <v>8071</v>
          </cell>
          <cell r="B1577" t="str">
            <v>ja</v>
          </cell>
          <cell r="C1577" t="str">
            <v>ポムポムプリン</v>
          </cell>
          <cell r="D1577" t="str">
            <v>ポムポムプリン</v>
          </cell>
          <cell r="E1577" t="str">
            <v>執行者</v>
          </cell>
          <cell r="F1577" t="str">
            <v>格好いい</v>
          </cell>
          <cell r="G1577" t="str">
            <v>女性</v>
          </cell>
          <cell r="H1577" t="str">
            <v>yellow</v>
          </cell>
          <cell r="I1577">
            <v>3</v>
          </cell>
          <cell r="J1577" t="str">
            <v>PremiumS</v>
          </cell>
          <cell r="K1577" t="str">
            <v>hp</v>
          </cell>
          <cell r="L1577" t="str">
            <v>体力タイプ</v>
          </cell>
          <cell r="M1577" t="str">
            <v>ss</v>
          </cell>
        </row>
        <row r="1578">
          <cell r="A1578">
            <v>8072</v>
          </cell>
          <cell r="B1578" t="str">
            <v>ja</v>
          </cell>
          <cell r="C1578" t="str">
            <v>ポムポムプリン</v>
          </cell>
          <cell r="D1578" t="str">
            <v>ポムポムプリン</v>
          </cell>
          <cell r="E1578" t="str">
            <v>執行者</v>
          </cell>
          <cell r="F1578" t="str">
            <v>格好いい</v>
          </cell>
          <cell r="G1578" t="str">
            <v>女性</v>
          </cell>
          <cell r="H1578" t="str">
            <v>yellow</v>
          </cell>
          <cell r="I1578">
            <v>4</v>
          </cell>
          <cell r="J1578" t="str">
            <v>PremiumS</v>
          </cell>
          <cell r="K1578" t="str">
            <v>hp</v>
          </cell>
          <cell r="L1578" t="str">
            <v>体力タイプ</v>
          </cell>
          <cell r="M1578" t="str">
            <v>ss</v>
          </cell>
        </row>
        <row r="1579">
          <cell r="A1579">
            <v>8073</v>
          </cell>
          <cell r="B1579" t="str">
            <v>ja</v>
          </cell>
          <cell r="C1579" t="str">
            <v>星海祈る天光妃 媽祖</v>
          </cell>
          <cell r="D1579" t="str">
            <v>Expoミク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yellow</v>
          </cell>
          <cell r="I1579">
            <v>6</v>
          </cell>
          <cell r="J1579" t="str">
            <v>PremiumSS</v>
          </cell>
          <cell r="K1579" t="str">
            <v>attack</v>
          </cell>
          <cell r="L1579" t="str">
            <v>攻撃タイプ</v>
          </cell>
          <cell r="M1579" t="str">
            <v>human</v>
          </cell>
        </row>
        <row r="1580">
          <cell r="A1580">
            <v>8074</v>
          </cell>
          <cell r="B1580" t="str">
            <v>ja</v>
          </cell>
          <cell r="C1580" t="str">
            <v>海戀の絶龍姫 蛟龍</v>
          </cell>
          <cell r="D1580" t="str">
            <v>Expoミク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blue</v>
          </cell>
          <cell r="I1580">
            <v>6</v>
          </cell>
          <cell r="J1580" t="str">
            <v>DropWizS</v>
          </cell>
          <cell r="K1580" t="str">
            <v>hp</v>
          </cell>
          <cell r="L1580" t="str">
            <v>体力タイプ</v>
          </cell>
          <cell r="M1580" t="str">
            <v>dragon</v>
          </cell>
        </row>
        <row r="1581">
          <cell r="A1581">
            <v>8075</v>
          </cell>
          <cell r="B1581" t="str">
            <v>ja</v>
          </cell>
          <cell r="C1581" t="str">
            <v>三蔵法師_超覚醒</v>
          </cell>
          <cell r="D1581" t="str">
            <v>Expoミク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blue</v>
          </cell>
          <cell r="I1581">
            <v>6</v>
          </cell>
          <cell r="J1581" t="str">
            <v>PremiumSS</v>
          </cell>
          <cell r="K1581" t="str">
            <v>balance</v>
          </cell>
          <cell r="L1581" t="str">
            <v>バランスタイプ</v>
          </cell>
          <cell r="M1581" t="str">
            <v>god</v>
          </cell>
        </row>
        <row r="1582">
          <cell r="A1582">
            <v>8076</v>
          </cell>
          <cell r="B1582" t="str">
            <v>ja</v>
          </cell>
          <cell r="C1582" t="str">
            <v>孫悟空_超覚醒</v>
          </cell>
          <cell r="D1582" t="str">
            <v>Expoミク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red</v>
          </cell>
          <cell r="I1582">
            <v>6</v>
          </cell>
          <cell r="J1582" t="str">
            <v>DropWizS</v>
          </cell>
          <cell r="K1582" t="str">
            <v>attack</v>
          </cell>
          <cell r="L1582" t="str">
            <v>攻撃タイプ</v>
          </cell>
          <cell r="M1582" t="str">
            <v>unknown</v>
          </cell>
        </row>
        <row r="1583">
          <cell r="A1583">
            <v>8077</v>
          </cell>
          <cell r="B1583" t="str">
            <v>ja</v>
          </cell>
          <cell r="C1583" t="str">
            <v>鄭成功</v>
          </cell>
          <cell r="D1583" t="str">
            <v>ポムポムプリン</v>
          </cell>
          <cell r="E1583" t="str">
            <v>執行者</v>
          </cell>
          <cell r="F1583" t="str">
            <v>格好いい</v>
          </cell>
          <cell r="G1583" t="str">
            <v>女性</v>
          </cell>
          <cell r="H1583" t="str">
            <v>blue</v>
          </cell>
          <cell r="I1583">
            <v>5</v>
          </cell>
          <cell r="J1583" t="str">
            <v>PremiumSS</v>
          </cell>
          <cell r="K1583" t="str">
            <v>attack</v>
          </cell>
          <cell r="L1583" t="str">
            <v>攻撃タイプ</v>
          </cell>
          <cell r="M1583" t="str">
            <v>human</v>
          </cell>
        </row>
        <row r="1584">
          <cell r="A1584">
            <v>8078</v>
          </cell>
          <cell r="B1584" t="str">
            <v>ja</v>
          </cell>
          <cell r="C1584" t="str">
            <v>レア６鄭成功</v>
          </cell>
          <cell r="D1584" t="str">
            <v>ポムポムプリン</v>
          </cell>
          <cell r="E1584" t="str">
            <v>執行者</v>
          </cell>
          <cell r="F1584" t="str">
            <v>格好いい</v>
          </cell>
          <cell r="G1584" t="str">
            <v>女性</v>
          </cell>
          <cell r="H1584" t="str">
            <v>blue</v>
          </cell>
          <cell r="I1584">
            <v>6</v>
          </cell>
          <cell r="J1584" t="str">
            <v>PremiumSS</v>
          </cell>
          <cell r="K1584" t="str">
            <v>attack</v>
          </cell>
          <cell r="L1584" t="str">
            <v>攻撃タイプ</v>
          </cell>
          <cell r="M1584" t="str">
            <v>human</v>
          </cell>
        </row>
        <row r="1585">
          <cell r="A1585">
            <v>8079</v>
          </cell>
          <cell r="B1585" t="str">
            <v>ja</v>
          </cell>
          <cell r="C1585" t="str">
            <v>赤鬼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5</v>
          </cell>
          <cell r="J1585" t="str">
            <v>DropWizS</v>
          </cell>
          <cell r="K1585" t="str">
            <v>hp</v>
          </cell>
          <cell r="L1585" t="str">
            <v>体力タイプ</v>
          </cell>
          <cell r="M1585" t="str">
            <v>dragon</v>
          </cell>
        </row>
        <row r="1586">
          <cell r="A1586">
            <v>8080</v>
          </cell>
          <cell r="B1586" t="str">
            <v>ja</v>
          </cell>
          <cell r="C1586" t="str">
            <v>レア６赤鬼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dragon</v>
          </cell>
        </row>
        <row r="1587">
          <cell r="A1587">
            <v>8081</v>
          </cell>
          <cell r="B1587" t="str">
            <v>ja</v>
          </cell>
          <cell r="C1587" t="str">
            <v>関羽</v>
          </cell>
          <cell r="H1587" t="str">
            <v>green</v>
          </cell>
          <cell r="I1587">
            <v>5</v>
          </cell>
          <cell r="J1587" t="str">
            <v>PremiumSSS</v>
          </cell>
          <cell r="K1587" t="str">
            <v>balance</v>
          </cell>
          <cell r="L1587" t="str">
            <v>バランスタイプ</v>
          </cell>
          <cell r="M1587" t="str">
            <v>samurai</v>
          </cell>
        </row>
        <row r="1588">
          <cell r="A1588">
            <v>8082</v>
          </cell>
          <cell r="B1588" t="str">
            <v>ja</v>
          </cell>
          <cell r="C1588" t="str">
            <v>★６関羽</v>
          </cell>
          <cell r="H1588" t="str">
            <v>green</v>
          </cell>
          <cell r="I1588">
            <v>6</v>
          </cell>
          <cell r="J1588" t="str">
            <v>PremiumSSS</v>
          </cell>
          <cell r="K1588" t="str">
            <v>balance</v>
          </cell>
          <cell r="L1588" t="str">
            <v>バランスタイプ</v>
          </cell>
          <cell r="M1588" t="str">
            <v>samurai</v>
          </cell>
        </row>
        <row r="1589">
          <cell r="A1589">
            <v>8083</v>
          </cell>
          <cell r="B1589" t="str">
            <v>ja</v>
          </cell>
          <cell r="C1589" t="str">
            <v>曹操</v>
          </cell>
          <cell r="H1589" t="str">
            <v>yellow</v>
          </cell>
          <cell r="I1589">
            <v>5</v>
          </cell>
          <cell r="J1589" t="str">
            <v>DropWizSS</v>
          </cell>
          <cell r="K1589" t="str">
            <v>technical</v>
          </cell>
          <cell r="L1589" t="str">
            <v>テクニカルタイプ</v>
          </cell>
          <cell r="M1589" t="str">
            <v>samurai</v>
          </cell>
        </row>
        <row r="1590">
          <cell r="A1590">
            <v>8084</v>
          </cell>
          <cell r="B1590" t="str">
            <v>ja</v>
          </cell>
          <cell r="C1590" t="str">
            <v>★６曹操</v>
          </cell>
          <cell r="H1590" t="str">
            <v>yellow</v>
          </cell>
          <cell r="I1590">
            <v>6</v>
          </cell>
          <cell r="J1590" t="str">
            <v>DropWizSS</v>
          </cell>
          <cell r="K1590" t="str">
            <v>technical</v>
          </cell>
          <cell r="L1590" t="str">
            <v>テクニカルタイプ</v>
          </cell>
          <cell r="M1590" t="str">
            <v>samurai</v>
          </cell>
        </row>
        <row r="1591">
          <cell r="A1591">
            <v>8087</v>
          </cell>
          <cell r="B1591" t="str">
            <v>ja</v>
          </cell>
          <cell r="C1591" t="str">
            <v>財神</v>
          </cell>
          <cell r="H1591" t="str">
            <v>red</v>
          </cell>
          <cell r="I1591">
            <v>5</v>
          </cell>
          <cell r="J1591" t="str">
            <v>PremiumSSS</v>
          </cell>
          <cell r="K1591" t="str">
            <v>technical</v>
          </cell>
          <cell r="L1591" t="str">
            <v>テクニカルタイプ</v>
          </cell>
          <cell r="M1591" t="str">
            <v>god</v>
          </cell>
        </row>
        <row r="1592">
          <cell r="A1592">
            <v>8088</v>
          </cell>
          <cell r="B1592" t="str">
            <v>ja</v>
          </cell>
          <cell r="C1592" t="str">
            <v>★６財神</v>
          </cell>
          <cell r="H1592" t="str">
            <v>red</v>
          </cell>
          <cell r="I1592">
            <v>6</v>
          </cell>
          <cell r="J1592" t="str">
            <v>PremiumSSS</v>
          </cell>
          <cell r="K1592" t="str">
            <v>technical</v>
          </cell>
          <cell r="L1592" t="str">
            <v>テクニカルタイプ</v>
          </cell>
          <cell r="M1592" t="str">
            <v>god</v>
          </cell>
        </row>
        <row r="1593">
          <cell r="A1593">
            <v>8089</v>
          </cell>
          <cell r="B1593" t="str">
            <v>ja</v>
          </cell>
          <cell r="C1593" t="str">
            <v>年獣</v>
          </cell>
          <cell r="H1593" t="str">
            <v>green</v>
          </cell>
          <cell r="I1593">
            <v>5</v>
          </cell>
          <cell r="J1593" t="str">
            <v>DropWizS</v>
          </cell>
          <cell r="K1593" t="str">
            <v>attack</v>
          </cell>
          <cell r="L1593" t="str">
            <v>攻撃タイプ</v>
          </cell>
          <cell r="M1593" t="str">
            <v>animal</v>
          </cell>
        </row>
        <row r="1594">
          <cell r="A1594">
            <v>8090</v>
          </cell>
          <cell r="B1594" t="str">
            <v>ja</v>
          </cell>
          <cell r="C1594" t="str">
            <v>★６年獣</v>
          </cell>
          <cell r="H1594" t="str">
            <v>green</v>
          </cell>
          <cell r="I1594">
            <v>6</v>
          </cell>
          <cell r="J1594" t="str">
            <v>DropWizS</v>
          </cell>
          <cell r="K1594" t="str">
            <v>attack</v>
          </cell>
          <cell r="L1594" t="str">
            <v>攻撃タイプ</v>
          </cell>
          <cell r="M1594" t="str">
            <v>animal</v>
          </cell>
        </row>
        <row r="1595">
          <cell r="A1595">
            <v>8095</v>
          </cell>
          <cell r="B1595" t="str">
            <v>ja</v>
          </cell>
          <cell r="C1595" t="str">
            <v>バハムートダック赤</v>
          </cell>
          <cell r="D1595" t="str">
            <v>ポムポムプリン</v>
          </cell>
          <cell r="E1595" t="str">
            <v>執行者</v>
          </cell>
          <cell r="F1595" t="str">
            <v>格好いい</v>
          </cell>
          <cell r="G1595" t="str">
            <v>女性</v>
          </cell>
          <cell r="H1595" t="str">
            <v>red</v>
          </cell>
          <cell r="I1595">
            <v>6</v>
          </cell>
          <cell r="J1595" t="str">
            <v>Material</v>
          </cell>
          <cell r="K1595" t="str">
            <v>exp</v>
          </cell>
          <cell r="L1595" t="str">
            <v>強化素材タイプ</v>
          </cell>
          <cell r="M1595" t="str">
            <v>unknown</v>
          </cell>
        </row>
        <row r="1596">
          <cell r="A1596">
            <v>8096</v>
          </cell>
          <cell r="B1596" t="str">
            <v>ja</v>
          </cell>
          <cell r="C1596" t="str">
            <v>バハムートダック緑</v>
          </cell>
          <cell r="D1596" t="str">
            <v>ポムポムプリン</v>
          </cell>
          <cell r="E1596" t="str">
            <v>執行者</v>
          </cell>
          <cell r="F1596" t="str">
            <v>格好いい</v>
          </cell>
          <cell r="G1596" t="str">
            <v>女性</v>
          </cell>
          <cell r="H1596" t="str">
            <v>green</v>
          </cell>
          <cell r="I1596">
            <v>6</v>
          </cell>
          <cell r="J1596" t="str">
            <v>Material</v>
          </cell>
          <cell r="K1596" t="str">
            <v>exp</v>
          </cell>
          <cell r="L1596" t="str">
            <v>強化素材タイプ</v>
          </cell>
          <cell r="M1596" t="str">
            <v>unknown</v>
          </cell>
        </row>
        <row r="1597">
          <cell r="A1597">
            <v>8097</v>
          </cell>
          <cell r="B1597" t="str">
            <v>ja</v>
          </cell>
          <cell r="C1597" t="str">
            <v>バハムートダック青</v>
          </cell>
          <cell r="D1597" t="str">
            <v>ポムポムプリン</v>
          </cell>
          <cell r="E1597" t="str">
            <v>執行者</v>
          </cell>
          <cell r="F1597" t="str">
            <v>格好いい</v>
          </cell>
          <cell r="G1597" t="str">
            <v>女性</v>
          </cell>
          <cell r="H1597" t="str">
            <v>blue</v>
          </cell>
          <cell r="I1597">
            <v>6</v>
          </cell>
          <cell r="J1597" t="str">
            <v>Material</v>
          </cell>
          <cell r="K1597" t="str">
            <v>exp</v>
          </cell>
          <cell r="L1597" t="str">
            <v>強化素材タイプ</v>
          </cell>
          <cell r="M1597" t="str">
            <v>unknown</v>
          </cell>
        </row>
        <row r="1598">
          <cell r="A1598">
            <v>8098</v>
          </cell>
          <cell r="B1598" t="str">
            <v>ja</v>
          </cell>
          <cell r="C1598" t="str">
            <v>バハムートダック黄</v>
          </cell>
          <cell r="D1598" t="str">
            <v>ポムポムプリン</v>
          </cell>
          <cell r="E1598" t="str">
            <v>執行者</v>
          </cell>
          <cell r="F1598" t="str">
            <v>格好いい</v>
          </cell>
          <cell r="G1598" t="str">
            <v>女性</v>
          </cell>
          <cell r="H1598" t="str">
            <v>yellow</v>
          </cell>
          <cell r="I1598">
            <v>6</v>
          </cell>
          <cell r="J1598" t="str">
            <v>Material</v>
          </cell>
          <cell r="K1598" t="str">
            <v>exp</v>
          </cell>
          <cell r="L1598" t="str">
            <v>強化素材タイプ</v>
          </cell>
          <cell r="M1598" t="str">
            <v>unknown</v>
          </cell>
        </row>
        <row r="1599">
          <cell r="A1599">
            <v>8099</v>
          </cell>
          <cell r="B1599" t="str">
            <v>ja</v>
          </cell>
          <cell r="C1599" t="str">
            <v>リトルハンプティ</v>
          </cell>
          <cell r="D1599" t="str">
            <v>各属性相性良3・黄・R455</v>
          </cell>
          <cell r="E1599" t="str">
            <v>執行者</v>
          </cell>
          <cell r="F1599" t="str">
            <v>格好いい</v>
          </cell>
          <cell r="G1599" t="str">
            <v>男性</v>
          </cell>
          <cell r="H1599" t="str">
            <v>green</v>
          </cell>
          <cell r="I1599">
            <v>6</v>
          </cell>
          <cell r="J1599" t="str">
            <v>Material</v>
          </cell>
          <cell r="K1599" t="str">
            <v>evolution</v>
          </cell>
          <cell r="L1599" t="str">
            <v>覚醒素材タイプ</v>
          </cell>
          <cell r="M1599" t="str">
            <v>unknown</v>
          </cell>
        </row>
        <row r="1600">
          <cell r="A1600">
            <v>9001</v>
          </cell>
          <cell r="B1600" t="str">
            <v>ja</v>
          </cell>
          <cell r="C1600" t="str">
            <v>春香</v>
          </cell>
          <cell r="D1600" t="str">
            <v>ポムポムプリン</v>
          </cell>
          <cell r="E1600" t="str">
            <v>執行者</v>
          </cell>
          <cell r="F1600" t="str">
            <v>格好いい</v>
          </cell>
          <cell r="G1600" t="str">
            <v>女性</v>
          </cell>
          <cell r="H1600" t="str">
            <v>red</v>
          </cell>
          <cell r="I1600">
            <v>5</v>
          </cell>
          <cell r="J1600" t="str">
            <v>PremiumSSw</v>
          </cell>
          <cell r="K1600" t="str">
            <v>attack</v>
          </cell>
          <cell r="L1600" t="str">
            <v>攻撃タイプ</v>
          </cell>
          <cell r="M1600" t="str">
            <v>human</v>
          </cell>
        </row>
        <row r="1601">
          <cell r="A1601">
            <v>9002</v>
          </cell>
          <cell r="B1601" t="str">
            <v>ja</v>
          </cell>
          <cell r="C1601" t="str">
            <v>春香★６</v>
          </cell>
          <cell r="D1601" t="str">
            <v>ポムポムプリン</v>
          </cell>
          <cell r="E1601" t="str">
            <v>執行者</v>
          </cell>
          <cell r="F1601" t="str">
            <v>格好いい</v>
          </cell>
          <cell r="G1601" t="str">
            <v>女性</v>
          </cell>
          <cell r="H1601" t="str">
            <v>red</v>
          </cell>
          <cell r="I1601">
            <v>6</v>
          </cell>
          <cell r="J1601" t="str">
            <v>PremiumSSw</v>
          </cell>
          <cell r="K1601" t="str">
            <v>attack</v>
          </cell>
          <cell r="L1601" t="str">
            <v>攻撃タイプ</v>
          </cell>
          <cell r="M1601" t="str">
            <v>human</v>
          </cell>
        </row>
        <row r="1602">
          <cell r="A1602">
            <v>9003</v>
          </cell>
          <cell r="B1602" t="str">
            <v>ja</v>
          </cell>
          <cell r="C1602" t="str">
            <v>夢龍</v>
          </cell>
          <cell r="D1602" t="str">
            <v>ポムポムプリン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green</v>
          </cell>
          <cell r="I1602">
            <v>5</v>
          </cell>
          <cell r="J1602" t="str">
            <v>DropWizS</v>
          </cell>
          <cell r="K1602" t="str">
            <v>technical</v>
          </cell>
          <cell r="L1602" t="str">
            <v>テクニカルタイプ</v>
          </cell>
          <cell r="M1602" t="str">
            <v>human</v>
          </cell>
        </row>
        <row r="1603">
          <cell r="A1603">
            <v>9004</v>
          </cell>
          <cell r="B1603" t="str">
            <v>ja</v>
          </cell>
          <cell r="C1603" t="str">
            <v>夢龍★６</v>
          </cell>
          <cell r="D1603" t="str">
            <v>各属性相性良3・黄・R455</v>
          </cell>
          <cell r="E1603" t="str">
            <v>執行者</v>
          </cell>
          <cell r="F1603" t="str">
            <v>格好いい</v>
          </cell>
          <cell r="G1603" t="str">
            <v>男性</v>
          </cell>
          <cell r="H1603" t="str">
            <v>green</v>
          </cell>
          <cell r="I1603">
            <v>6</v>
          </cell>
          <cell r="J1603" t="str">
            <v>DropWizS</v>
          </cell>
          <cell r="K1603" t="str">
            <v>technical</v>
          </cell>
          <cell r="L1603" t="str">
            <v>テクニカルタイプ</v>
          </cell>
          <cell r="M1603" t="str">
            <v>human</v>
          </cell>
        </row>
        <row r="1604">
          <cell r="A1604">
            <v>10001</v>
          </cell>
          <cell r="B1604" t="str">
            <v>ja</v>
          </cell>
          <cell r="C1604" t="str">
            <v>テストユニット01</v>
          </cell>
          <cell r="H1604" t="str">
            <v>yellow</v>
          </cell>
          <cell r="I1604">
            <v>6</v>
          </cell>
          <cell r="J1604" t="str">
            <v>DropWizS</v>
          </cell>
          <cell r="K1604" t="str">
            <v>heal</v>
          </cell>
          <cell r="L1604" t="str">
            <v>回復タイプ</v>
          </cell>
          <cell r="M1604" t="str">
            <v>human</v>
          </cell>
        </row>
        <row r="1605">
          <cell r="A1605">
            <v>10002</v>
          </cell>
          <cell r="B1605" t="str">
            <v>ja</v>
          </cell>
          <cell r="C1605" t="str">
            <v>テストユニット02</v>
          </cell>
          <cell r="H1605" t="str">
            <v>yellow</v>
          </cell>
          <cell r="I1605">
            <v>6</v>
          </cell>
          <cell r="J1605" t="str">
            <v>PremiumSS</v>
          </cell>
          <cell r="K1605" t="str">
            <v>technical</v>
          </cell>
          <cell r="L1605" t="str">
            <v>テクニカルタイプ</v>
          </cell>
          <cell r="M1605" t="str">
            <v>animal</v>
          </cell>
        </row>
        <row r="1606">
          <cell r="A1606">
            <v>10003</v>
          </cell>
          <cell r="B1606" t="str">
            <v>ja</v>
          </cell>
          <cell r="C1606" t="str">
            <v>テストユニット03</v>
          </cell>
          <cell r="H1606" t="str">
            <v>red</v>
          </cell>
          <cell r="I1606">
            <v>5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academia</v>
          </cell>
        </row>
        <row r="1607">
          <cell r="A1607">
            <v>10004</v>
          </cell>
          <cell r="B1607" t="str">
            <v>ja</v>
          </cell>
          <cell r="C1607" t="str">
            <v>テストユニット04</v>
          </cell>
          <cell r="H1607" t="str">
            <v>red</v>
          </cell>
          <cell r="I1607">
            <v>6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academia</v>
          </cell>
        </row>
        <row r="1608">
          <cell r="A1608">
            <v>10005</v>
          </cell>
          <cell r="B1608" t="str">
            <v>ja</v>
          </cell>
          <cell r="C1608" t="str">
            <v>テストユニット05</v>
          </cell>
          <cell r="H1608" t="str">
            <v>yellow</v>
          </cell>
          <cell r="I1608">
            <v>6</v>
          </cell>
          <cell r="J1608" t="str">
            <v>PremiumSS</v>
          </cell>
          <cell r="K1608" t="str">
            <v>technical</v>
          </cell>
          <cell r="L1608" t="str">
            <v>テクニカルタイプ</v>
          </cell>
          <cell r="M1608" t="str">
            <v>human</v>
          </cell>
        </row>
        <row r="1609">
          <cell r="A1609">
            <v>10006</v>
          </cell>
          <cell r="B1609" t="str">
            <v>ja</v>
          </cell>
          <cell r="C1609" t="str">
            <v>テストユニット06</v>
          </cell>
          <cell r="H1609" t="str">
            <v>yellow</v>
          </cell>
          <cell r="I1609">
            <v>6</v>
          </cell>
          <cell r="J1609" t="str">
            <v>PremiumSS</v>
          </cell>
          <cell r="K1609" t="str">
            <v>attack</v>
          </cell>
          <cell r="L1609" t="str">
            <v>攻撃タイプ</v>
          </cell>
          <cell r="M1609" t="str">
            <v>animal</v>
          </cell>
        </row>
        <row r="1610">
          <cell r="A1610">
            <v>10007</v>
          </cell>
          <cell r="B1610" t="str">
            <v>ja</v>
          </cell>
          <cell r="C1610" t="str">
            <v>テストユニット07</v>
          </cell>
          <cell r="H1610" t="str">
            <v>yellow</v>
          </cell>
          <cell r="I1610">
            <v>5</v>
          </cell>
          <cell r="J1610" t="str">
            <v>PremiumSSS</v>
          </cell>
          <cell r="K1610" t="str">
            <v>technical</v>
          </cell>
          <cell r="L1610" t="str">
            <v>テクニカルタイプ</v>
          </cell>
          <cell r="M1610" t="str">
            <v>machine</v>
          </cell>
        </row>
        <row r="1611">
          <cell r="A1611">
            <v>10008</v>
          </cell>
          <cell r="B1611" t="str">
            <v>ja</v>
          </cell>
          <cell r="C1611" t="str">
            <v>テストユニット08</v>
          </cell>
          <cell r="H1611" t="str">
            <v>yellow</v>
          </cell>
          <cell r="I1611">
            <v>6</v>
          </cell>
          <cell r="J1611" t="str">
            <v>PremiumSSS</v>
          </cell>
          <cell r="K1611" t="str">
            <v>technical</v>
          </cell>
          <cell r="L1611" t="str">
            <v>テクニカルタイプ</v>
          </cell>
          <cell r="M1611" t="str">
            <v>machine</v>
          </cell>
        </row>
        <row r="1612">
          <cell r="A1612">
            <v>10009</v>
          </cell>
          <cell r="B1612" t="str">
            <v>ja</v>
          </cell>
          <cell r="C1612" t="str">
            <v>青テスト01</v>
          </cell>
          <cell r="H1612" t="str">
            <v>blue</v>
          </cell>
          <cell r="I1612">
            <v>6</v>
          </cell>
          <cell r="J1612" t="str">
            <v>DropWizS</v>
          </cell>
          <cell r="K1612" t="str">
            <v>heal</v>
          </cell>
          <cell r="L1612" t="str">
            <v>回復タイプ</v>
          </cell>
          <cell r="M1612" t="str">
            <v>human</v>
          </cell>
        </row>
        <row r="1613">
          <cell r="A1613">
            <v>10010</v>
          </cell>
          <cell r="B1613" t="str">
            <v>ja</v>
          </cell>
          <cell r="C1613" t="str">
            <v>赤テスト01</v>
          </cell>
          <cell r="H1613" t="str">
            <v>red</v>
          </cell>
          <cell r="I1613">
            <v>6</v>
          </cell>
          <cell r="J1613" t="str">
            <v>PremiumSSS</v>
          </cell>
          <cell r="K1613" t="str">
            <v>technical</v>
          </cell>
          <cell r="L1613" t="str">
            <v>テクニカルタイプ</v>
          </cell>
          <cell r="M1613" t="str">
            <v>human</v>
          </cell>
        </row>
        <row r="1614">
          <cell r="A1614">
            <v>10011</v>
          </cell>
          <cell r="B1614" t="str">
            <v>ja</v>
          </cell>
          <cell r="C1614" t="str">
            <v>テストユニット11</v>
          </cell>
          <cell r="H1614" t="str">
            <v>red</v>
          </cell>
          <cell r="I1614">
            <v>5</v>
          </cell>
          <cell r="J1614" t="str">
            <v>PremiumSSS</v>
          </cell>
          <cell r="K1614" t="str">
            <v>technical</v>
          </cell>
          <cell r="L1614" t="str">
            <v>テクニカルタイプ</v>
          </cell>
          <cell r="M1614" t="str">
            <v>academia</v>
          </cell>
        </row>
        <row r="1615">
          <cell r="A1615">
            <v>10012</v>
          </cell>
          <cell r="B1615" t="str">
            <v>ja</v>
          </cell>
          <cell r="C1615" t="str">
            <v>テストユニット12</v>
          </cell>
          <cell r="H1615" t="str">
            <v>red</v>
          </cell>
          <cell r="I1615">
            <v>6</v>
          </cell>
          <cell r="J1615" t="str">
            <v>PremiumSSS</v>
          </cell>
          <cell r="K1615" t="str">
            <v>technical</v>
          </cell>
          <cell r="L1615" t="str">
            <v>テクニカルタイプ</v>
          </cell>
          <cell r="M1615" t="str">
            <v>academia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A2" sqref="A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245</v>
      </c>
      <c r="B2" s="61" t="s">
        <v>110</v>
      </c>
      <c r="C2" s="50" t="str">
        <f t="shared" ref="C2" si="0">RIGHT(F2,6)</f>
        <v>554100</v>
      </c>
      <c r="D2" s="19" t="s">
        <v>45</v>
      </c>
      <c r="E2" s="17" t="str">
        <f t="shared" ref="E2" si="1">B2&amp;C2&amp;D2</f>
        <v>gacha_select_tables_554100.tmp</v>
      </c>
      <c r="F2" s="100" t="s">
        <v>256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241</v>
      </c>
      <c r="B3" s="61" t="s">
        <v>110</v>
      </c>
      <c r="C3" s="50" t="str">
        <f t="shared" ref="C3:C7" si="2">RIGHT(F3,6)</f>
        <v>553104</v>
      </c>
      <c r="D3" s="19" t="s">
        <v>45</v>
      </c>
      <c r="E3" s="17" t="str">
        <f t="shared" ref="E3:E10" si="3">B3&amp;C3&amp;D3</f>
        <v>gacha_select_tables_553104.tmp</v>
      </c>
      <c r="F3" s="99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5" t="s">
        <v>241</v>
      </c>
      <c r="B4" s="92" t="s">
        <v>246</v>
      </c>
      <c r="C4" s="93" t="str">
        <f t="shared" si="2"/>
        <v>553105</v>
      </c>
      <c r="D4" s="19" t="s">
        <v>247</v>
      </c>
      <c r="E4" s="17" t="str">
        <f t="shared" si="3"/>
        <v>gacha_settle_tables_553105.tmp</v>
      </c>
      <c r="F4" s="99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8" t="s">
        <v>242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8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8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6" t="s">
        <v>249</v>
      </c>
      <c r="B8" s="27" t="s">
        <v>50</v>
      </c>
      <c r="C8" s="32">
        <v>554</v>
      </c>
      <c r="D8" s="19" t="s">
        <v>46</v>
      </c>
      <c r="E8" s="17" t="str">
        <f t="shared" si="3"/>
        <v>gacha_bonus_tables_554.tmp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6" t="s">
        <v>251</v>
      </c>
      <c r="B9" s="19" t="s">
        <v>48</v>
      </c>
      <c r="C9" s="32">
        <v>554</v>
      </c>
      <c r="D9" s="19" t="s">
        <v>46</v>
      </c>
      <c r="E9" s="17" t="str">
        <f t="shared" si="3"/>
        <v>gifts_tmp_554.tmp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6" t="s">
        <v>252</v>
      </c>
      <c r="B10" s="19" t="s">
        <v>49</v>
      </c>
      <c r="C10" s="32">
        <v>554</v>
      </c>
      <c r="D10" s="19" t="s">
        <v>46</v>
      </c>
      <c r="E10" s="17" t="str">
        <f t="shared" si="3"/>
        <v>gifts_i18n_554.tmp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F45" sqref="F45:F5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554100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VLOOKUP(L3,tables_554100!B:C,2,FALSE)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VLOOKUP(L4,tables_554100!B:C,2,FALSE)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6.9444444444444447E-4</v>
      </c>
      <c r="F5">
        <f>(COUNTIF(tables_554100!C:C,input_554100!A28)+COUNTIF(tables_554100!C:C,input_554100!A29))</f>
        <v>72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VLOOKUP(L5,tables_554100!B:C,2,FALSE)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</v>
      </c>
      <c r="D6" t="s">
        <v>202</v>
      </c>
      <c r="E6" s="76">
        <f>(B10-H6)/(F6-I6)</f>
        <v>9.8958333333333329E-3</v>
      </c>
      <c r="F6">
        <f>(COUNTIF(tables_554100!C:C,input_554100!A25)+COUNTIF(tables_554100!C:C,input_554100!A18)+COUNTIF(tables_554100!C:C,input_554100!A20)+COUNTIF(tables_554100!C:C,input_554100!A22))</f>
        <v>96</v>
      </c>
      <c r="H6" s="87">
        <v>0</v>
      </c>
      <c r="I6" s="31">
        <v>0</v>
      </c>
      <c r="L6" s="90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VLOOKUP(L6,tables_554100!B:C,2,FALSE)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VLOOKUP(L7,tables_554100!B:C,2,FALSE)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VLOOKUP(L8,tables_554100!B:C,2,FALSE)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VLOOKUP(L9,tables_554100!B:C,2,FALSE)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VLOOKUP(L10,tables_554100!B:C,2,FALSE)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253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VLOOKUP(L11,tables_554100!B:C,2,FALSE)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VLOOKUP(L12,tables_554100!B:C,2,FALSE)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VLOOKUP(L13,tables_554100!B:C,2,FALSE)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VLOOKUP(L14,tables_554100!B:C,2,FALSE)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VLOOKUP(L15,tables_554100!B:C,2,FALSE)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VLOOKUP(L16,tables_554100!B:C,2,FALSE)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COUNTIF(tables_554100!C:C,input_554100!A17)-COUNTIF(Q:Q,A17)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VLOOKUP(L17,tables_554100!B:C,2,FALSE)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0</v>
      </c>
      <c r="C18" s="84">
        <f t="shared" si="2"/>
        <v>0</v>
      </c>
      <c r="D18" s="74">
        <f t="shared" si="3"/>
        <v>0</v>
      </c>
      <c r="E18">
        <f>COUNTIF(tables_554100!C:C,input_554100!A18)-COUNTIF(Q:Q,A18)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VLOOKUP(L18,tables_554100!B:C,2,FALSE)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COUNTIF(tables_554100!C:C,input_554100!A19)-COUNTIF(Q:Q,A19)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VLOOKUP(L19,tables_554100!B:C,2,FALSE)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1">
        <f>E$6*E20*B$6</f>
        <v>0</v>
      </c>
      <c r="C20" s="84">
        <f t="shared" si="2"/>
        <v>0</v>
      </c>
      <c r="D20" s="74">
        <f t="shared" si="3"/>
        <v>0</v>
      </c>
      <c r="E20">
        <f>COUNTIF(tables_554100!C:C,input_554100!A20)-COUNTIF(Q:Q,A20)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VLOOKUP(L20,tables_554100!B:C,2,FALSE)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0.59375</v>
      </c>
      <c r="C21" s="84">
        <f t="shared" si="2"/>
        <v>0</v>
      </c>
      <c r="D21" s="74">
        <f t="shared" si="3"/>
        <v>0.59375</v>
      </c>
      <c r="E21">
        <f>COUNTIF(tables_554100!C:C,input_554100!A21)-COUNTIF(Q:Q,A21)</f>
        <v>52</v>
      </c>
      <c r="F21" s="43">
        <f t="shared" si="8"/>
        <v>1.141826923076923E-2</v>
      </c>
      <c r="G21">
        <f t="shared" si="4"/>
        <v>3420000</v>
      </c>
      <c r="H21">
        <f t="shared" si="5"/>
        <v>65769.230769999995</v>
      </c>
      <c r="I21">
        <f t="shared" si="6"/>
        <v>0.23076999999466352</v>
      </c>
      <c r="J21">
        <f t="shared" si="7"/>
        <v>4.3333188890372432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E$6*E22*B6</f>
        <v>0</v>
      </c>
      <c r="C22" s="84">
        <f t="shared" si="2"/>
        <v>0</v>
      </c>
      <c r="D22" s="74">
        <f t="shared" si="3"/>
        <v>0</v>
      </c>
      <c r="E22">
        <f>COUNTIF(tables_554100!C:C,input_554100!A22)-COUNTIF(Q:Q,A22)</f>
        <v>20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E23*E6*B7*1.2</f>
        <v>0.30874999999999997</v>
      </c>
      <c r="C23" s="84">
        <f t="shared" si="2"/>
        <v>0</v>
      </c>
      <c r="D23" s="74">
        <f t="shared" si="3"/>
        <v>0.30874999999999997</v>
      </c>
      <c r="E23">
        <f>COUNTIF(tables_554100!C:C,input_554100!A23)-COUNTIF(Q:Q,A23)</f>
        <v>26</v>
      </c>
      <c r="F23" s="43">
        <f t="shared" si="8"/>
        <v>1.1874999999999998E-2</v>
      </c>
      <c r="G23">
        <f t="shared" si="4"/>
        <v>1778399.9999999998</v>
      </c>
      <c r="H23">
        <f t="shared" si="5"/>
        <v>68400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COUNTIF(tables_554100!C:C,input_554100!A24)-COUNTIF(Q:Q,A24)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4">
        <f t="shared" si="2"/>
        <v>0</v>
      </c>
      <c r="D25" s="74">
        <f t="shared" si="3"/>
        <v>0</v>
      </c>
      <c r="E25">
        <f>COUNTIF(tables_554100!C:C,input_554100!A25)-COUNTIF(Q:Q,A25)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E$6*B$7*E26*1.2</f>
        <v>4.7499999999999994E-2</v>
      </c>
      <c r="C26" s="84">
        <f t="shared" si="2"/>
        <v>0</v>
      </c>
      <c r="D26" s="74">
        <f t="shared" si="3"/>
        <v>4.7499999999999994E-2</v>
      </c>
      <c r="E26">
        <f>COUNTIF(tables_554100!C:C,input_554100!A26)-COUNTIF(Q:Q,A26)</f>
        <v>4</v>
      </c>
      <c r="F26" s="43">
        <f t="shared" si="8"/>
        <v>1.1874999999999998E-2</v>
      </c>
      <c r="G26">
        <f t="shared" si="4"/>
        <v>273599.99999999994</v>
      </c>
      <c r="H26">
        <f t="shared" si="5"/>
        <v>68400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4">
        <f t="shared" si="2"/>
        <v>0</v>
      </c>
      <c r="D27" s="74">
        <f t="shared" si="3"/>
        <v>0</v>
      </c>
      <c r="E27">
        <f>COUNTIF(tables_554100!C:C,input_554100!A27)-COUNTIF(Q:Q,A27)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1.9444444444444445E-2</v>
      </c>
      <c r="C28" s="84">
        <f t="shared" si="2"/>
        <v>0</v>
      </c>
      <c r="D28" s="74">
        <f t="shared" si="3"/>
        <v>1.9444444444444445E-2</v>
      </c>
      <c r="E28">
        <f>COUNTIF(tables_554100!C:C,input_554100!A28)-COUNTIF(Q:Q,A28)</f>
        <v>28</v>
      </c>
      <c r="F28" s="43">
        <f t="shared" si="8"/>
        <v>6.9444444444444447E-4</v>
      </c>
      <c r="G28">
        <f t="shared" si="4"/>
        <v>112000</v>
      </c>
      <c r="H28">
        <f t="shared" si="5"/>
        <v>4000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3.0555555555555558E-2</v>
      </c>
      <c r="C29" s="84">
        <f t="shared" si="2"/>
        <v>0</v>
      </c>
      <c r="D29" s="74">
        <f t="shared" si="3"/>
        <v>3.0555555555555558E-2</v>
      </c>
      <c r="E29">
        <f>COUNTIF(tables_554100!C:C,input_554100!A29)-COUNTIF(Q:Q,A29)</f>
        <v>44</v>
      </c>
      <c r="F29" s="43">
        <f t="shared" si="8"/>
        <v>6.9444444444444447E-4</v>
      </c>
      <c r="G29">
        <f t="shared" si="4"/>
        <v>176000</v>
      </c>
      <c r="H29">
        <f t="shared" si="5"/>
        <v>4000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COUNTIF(tables_554100!C:C,input_554100!A30)-COUNTIF(Q:Q,A30)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</v>
      </c>
      <c r="C31" s="84">
        <f t="shared" si="2"/>
        <v>0</v>
      </c>
      <c r="D31" s="74">
        <f t="shared" si="3"/>
        <v>0</v>
      </c>
      <c r="E31">
        <f>COUNTIF(tables_554100!C:C,input_554100!A31)-COUNTIF(Q:Q,A31)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5760000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SUMIF(tables_554100!C:C,input_554100!A40,tables_554100!O:O)</f>
        <v>0</v>
      </c>
      <c r="C40" s="54">
        <f t="shared" ref="C40:C46" ca="1" si="9">B40/B$47</f>
        <v>0</v>
      </c>
      <c r="E40">
        <v>3</v>
      </c>
      <c r="F40">
        <f ca="1">SUMIF(tables_554100!J:J,input_554100!E40,tables_554100!O:O)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SUMIF(tables_554100!C:C,input_554100!A41,tables_554100!O:O)</f>
        <v>0</v>
      </c>
      <c r="C41" s="54">
        <f t="shared" ca="1" si="9"/>
        <v>0</v>
      </c>
      <c r="E41">
        <v>4</v>
      </c>
      <c r="F41">
        <f ca="1">SUMIF(tables_554100!J:J,input_554100!E41,tables_554100!O:O)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SUMIF(tables_554100!C:C,input_554100!A42,tables_554100!O:O)</f>
        <v>0</v>
      </c>
      <c r="C42" s="54">
        <f t="shared" ca="1" si="9"/>
        <v>0</v>
      </c>
      <c r="E42">
        <v>5</v>
      </c>
      <c r="F42">
        <f ca="1">SUMIF(tables_554100!J:J,input_554100!E42,tables_554100!O:O)</f>
        <v>5760000.0000399966</v>
      </c>
      <c r="G42">
        <f ca="1">F42/A36</f>
        <v>1.0000000000069438</v>
      </c>
    </row>
    <row r="43" spans="1:7" x14ac:dyDescent="0.15">
      <c r="A43" s="33" t="s">
        <v>109</v>
      </c>
      <c r="B43">
        <f>SUMIF(tables_554100!C:C,input_554100!A43,tables_554100!O:O)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SUMIF(tables_554100!C:C,input_554100!A44,tables_554100!O:O)</f>
        <v>3420000.0000399961</v>
      </c>
      <c r="C44" s="54">
        <f t="shared" ca="1" si="9"/>
        <v>0.96828992072516085</v>
      </c>
      <c r="E44" t="s">
        <v>54</v>
      </c>
      <c r="F44" s="55"/>
    </row>
    <row r="45" spans="1:7" x14ac:dyDescent="0.15">
      <c r="A45" s="33" t="s">
        <v>107</v>
      </c>
      <c r="B45">
        <f ca="1">SUMIF(tables_554100!C:C,input_554100!A45,tables_554100!O:O)</f>
        <v>112000</v>
      </c>
      <c r="C45" s="54">
        <f t="shared" ca="1" si="9"/>
        <v>3.1710079274839105E-2</v>
      </c>
      <c r="E45" t="s">
        <v>204</v>
      </c>
      <c r="F45" s="55">
        <f ca="1">SUMIF(tables_554100!I:I,input_554100!E45,tables_554100!P:P)</f>
        <v>7.1249999999505251E-2</v>
      </c>
    </row>
    <row r="46" spans="1:7" x14ac:dyDescent="0.15">
      <c r="A46" s="33" t="s">
        <v>108</v>
      </c>
      <c r="B46">
        <f>SUMIF(tables_554100!C:C,input_554100!A46,tables_554100!O:O)</f>
        <v>0</v>
      </c>
      <c r="C46" s="54">
        <f t="shared" ca="1" si="9"/>
        <v>0</v>
      </c>
      <c r="E46" t="s">
        <v>205</v>
      </c>
      <c r="F46" s="55">
        <f ca="1">SUMIF(tables_554100!I:I,input_554100!E46,tables_554100!P:P)</f>
        <v>0.22973557692375188</v>
      </c>
    </row>
    <row r="47" spans="1:7" x14ac:dyDescent="0.15">
      <c r="A47" s="39" t="s">
        <v>59</v>
      </c>
      <c r="B47">
        <f ca="1">SUM(B40:B46)</f>
        <v>3532000.0000399961</v>
      </c>
      <c r="C47" s="55">
        <f ca="1">SUM(C40:C46)</f>
        <v>1</v>
      </c>
      <c r="E47" t="s">
        <v>206</v>
      </c>
      <c r="F47" s="55">
        <f ca="1">SUMIF(tables_554100!I:I,input_554100!E47,tables_554100!P:P)</f>
        <v>0.64901442307709123</v>
      </c>
    </row>
    <row r="48" spans="1:7" x14ac:dyDescent="0.15">
      <c r="E48" t="s">
        <v>207</v>
      </c>
      <c r="F48" s="55">
        <f ca="1">SUMIF(tables_554100!I:I,input_554100!E48,tables_554100!P:P)</f>
        <v>4.3749999999696171E-2</v>
      </c>
      <c r="G48" s="55"/>
    </row>
    <row r="49" spans="5:6" x14ac:dyDescent="0.15">
      <c r="E49" t="s">
        <v>248</v>
      </c>
      <c r="F49" s="55">
        <f ca="1">SUMIF(tables_554100!I:I,input_554100!E49,tables_554100!P:P)</f>
        <v>6.2499999999566002E-3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1"/>
  <sheetViews>
    <sheetView showGridLines="0" zoomScale="75" zoomScaleNormal="75" zoomScalePageLayoutView="75" workbookViewId="0">
      <pane ySplit="1" topLeftCell="A328" activePane="bottomLeft" state="frozen"/>
      <selection activeCell="H276" sqref="H276"/>
      <selection pane="bottomLeft" activeCell="C355" sqref="C3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input_554100!A$2</f>
        <v>554100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IFERROR(VLOOKUP(B2,input_554100!L:R,7,FALSE),VLOOKUP(tables_554100!C2,input_554100!A:H,8,FALSE))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input_554100!A$2</f>
        <v>554100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IFERROR(VLOOKUP(B3,input_554100!L:R,7,FALSE),VLOOKUP(tables_554100!C3,input_554100!A:H,8,FALSE))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input_554100!A$2</f>
        <v>554100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IFERROR(VLOOKUP(B4,input_554100!L:R,7,FALSE),VLOOKUP(tables_554100!C4,input_554100!A:H,8,FALSE))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input_554100!A$2</f>
        <v>554100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IFERROR(VLOOKUP(B5,input_554100!L:R,7,FALSE),VLOOKUP(tables_554100!C5,input_554100!A:H,8,FALSE))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input_554100!A$2</f>
        <v>554100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IFERROR(VLOOKUP(B6,input_554100!L:R,7,FALSE),VLOOKUP(tables_554100!C6,input_554100!A:H,8,FALSE))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input_554100!A$2</f>
        <v>554100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IFERROR(VLOOKUP(B7,input_554100!L:R,7,FALSE),VLOOKUP(tables_554100!C7,input_554100!A:H,8,FALSE))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input_554100!A$2</f>
        <v>554100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IFERROR(VLOOKUP(B8,input_554100!L:R,7,FALSE),VLOOKUP(tables_554100!C8,input_554100!A:H,8,FALSE))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input_554100!A$2</f>
        <v>554100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IFERROR(VLOOKUP(B9,input_554100!L:R,7,FALSE),VLOOKUP(tables_554100!C9,input_554100!A:H,8,FALSE))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input_554100!A$2</f>
        <v>554100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IFERROR(VLOOKUP(B10,input_554100!L:R,7,FALSE),VLOOKUP(tables_554100!C10,input_554100!A:H,8,FALSE))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input_554100!A$2</f>
        <v>554100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IFERROR(VLOOKUP(B11,input_554100!L:R,7,FALSE),VLOOKUP(tables_554100!C11,input_554100!A:H,8,FALSE))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input_554100!A$2</f>
        <v>554100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IFERROR(VLOOKUP(B12,input_554100!L:R,7,FALSE),VLOOKUP(tables_554100!C12,input_554100!A:H,8,FALSE))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input_554100!A$2</f>
        <v>554100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IFERROR(VLOOKUP(B13,input_554100!L:R,7,FALSE),VLOOKUP(tables_554100!C13,input_554100!A:H,8,FALSE))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input_554100!A$2</f>
        <v>554100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IFERROR(VLOOKUP(B14,input_554100!L:R,7,FALSE),VLOOKUP(tables_554100!C14,input_554100!A:H,8,FALSE))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input_554100!A$2</f>
        <v>554100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IFERROR(VLOOKUP(B15,input_554100!L:R,7,FALSE),VLOOKUP(tables_554100!C15,input_554100!A:H,8,FALSE))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input_554100!A$2</f>
        <v>554100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IFERROR(VLOOKUP(B16,input_554100!L:R,7,FALSE),VLOOKUP(tables_554100!C16,input_554100!A:H,8,FALSE))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input_554100!A$2</f>
        <v>554100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IFERROR(VLOOKUP(B17,input_554100!L:R,7,FALSE),VLOOKUP(tables_554100!C17,input_554100!A:H,8,FALSE))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input_554100!A$2</f>
        <v>554100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IFERROR(VLOOKUP(B18,input_554100!L:R,7,FALSE),VLOOKUP(tables_554100!C18,input_554100!A:H,8,FALSE))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input_554100!A$2</f>
        <v>554100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IFERROR(VLOOKUP(B19,input_554100!L:R,7,FALSE),VLOOKUP(tables_554100!C19,input_554100!A:H,8,FALSE))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input_554100!A$2</f>
        <v>554100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IFERROR(VLOOKUP(B20,input_554100!L:R,7,FALSE),VLOOKUP(tables_554100!C20,input_554100!A:H,8,FALSE))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input_554100!A$2</f>
        <v>554100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IFERROR(VLOOKUP(B21,input_554100!L:R,7,FALSE),VLOOKUP(tables_554100!C21,input_554100!A:H,8,FALSE))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input_554100!A$2</f>
        <v>554100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IFERROR(VLOOKUP(B22,input_554100!L:R,7,FALSE),VLOOKUP(tables_554100!C22,input_554100!A:H,8,FALSE))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input_554100!A$2</f>
        <v>554100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IFERROR(VLOOKUP(B23,input_554100!L:R,7,FALSE),VLOOKUP(tables_554100!C23,input_554100!A:H,8,FALSE))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input_554100!A$2</f>
        <v>554100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IFERROR(VLOOKUP(B24,input_554100!L:R,7,FALSE),VLOOKUP(tables_554100!C24,input_554100!A:H,8,FALSE))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input_554100!A$2</f>
        <v>554100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IFERROR(VLOOKUP(B25,input_554100!L:R,7,FALSE),VLOOKUP(tables_554100!C25,input_554100!A:H,8,FALSE))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input_554100!A$2</f>
        <v>554100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IFERROR(VLOOKUP(B26,input_554100!L:R,7,FALSE),VLOOKUP(tables_554100!C26,input_554100!A:H,8,FALSE))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input_554100!A$2</f>
        <v>554100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IFERROR(VLOOKUP(B27,input_554100!L:R,7,FALSE),VLOOKUP(tables_554100!C27,input_554100!A:H,8,FALSE))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input_554100!A$2</f>
        <v>554100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IFERROR(VLOOKUP(B28,input_554100!L:R,7,FALSE),VLOOKUP(tables_554100!C28,input_554100!A:H,8,FALSE))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input_554100!A$2</f>
        <v>554100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IFERROR(VLOOKUP(B29,input_554100!L:R,7,FALSE),VLOOKUP(tables_554100!C29,input_554100!A:H,8,FALSE))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input_554100!A$2</f>
        <v>554100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IFERROR(VLOOKUP(B30,input_554100!L:R,7,FALSE),VLOOKUP(tables_554100!C30,input_554100!A:H,8,FALSE))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input_554100!A$2</f>
        <v>554100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IFERROR(VLOOKUP(B31,input_554100!L:R,7,FALSE),VLOOKUP(tables_554100!C31,input_554100!A:H,8,FALSE))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input_554100!A$2</f>
        <v>554100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IFERROR(VLOOKUP(B32,input_554100!L:R,7,FALSE),VLOOKUP(tables_554100!C32,input_554100!A:H,8,FALSE))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input_554100!A$2</f>
        <v>554100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IFERROR(VLOOKUP(B33,input_554100!L:R,7,FALSE),VLOOKUP(tables_554100!C33,input_554100!A:H,8,FALSE))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input_554100!A$2</f>
        <v>554100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IFERROR(VLOOKUP(B34,input_554100!L:R,7,FALSE),VLOOKUP(tables_554100!C34,input_554100!A:H,8,FALSE))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input_554100!A$2</f>
        <v>554100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IFERROR(VLOOKUP(B35,input_554100!L:R,7,FALSE),VLOOKUP(tables_554100!C35,input_554100!A:H,8,FALSE))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input_554100!A$2</f>
        <v>554100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IFERROR(VLOOKUP(B36,input_554100!L:R,7,FALSE),VLOOKUP(tables_554100!C36,input_554100!A:H,8,FALSE))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input_554100!A$2</f>
        <v>554100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IFERROR(VLOOKUP(B37,input_554100!L:R,7,FALSE),VLOOKUP(tables_554100!C37,input_554100!A:H,8,FALSE))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input_554100!A$2</f>
        <v>554100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IFERROR(VLOOKUP(B38,input_554100!L:R,7,FALSE),VLOOKUP(tables_554100!C38,input_554100!A:H,8,FALSE))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input_554100!A$2</f>
        <v>554100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IFERROR(VLOOKUP(B39,input_554100!L:R,7,FALSE),VLOOKUP(tables_554100!C39,input_554100!A:H,8,FALSE))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input_554100!A$2</f>
        <v>554100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IFERROR(VLOOKUP(B40,input_554100!L:R,7,FALSE),VLOOKUP(tables_554100!C40,input_554100!A:H,8,FALSE))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input_554100!A$2</f>
        <v>554100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IFERROR(VLOOKUP(B41,input_554100!L:R,7,FALSE),VLOOKUP(tables_554100!C41,input_554100!A:H,8,FALSE))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input_554100!A$2</f>
        <v>554100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IFERROR(VLOOKUP(B42,input_554100!L:R,7,FALSE),VLOOKUP(tables_554100!C42,input_554100!A:H,8,FALSE))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input_554100!A$2</f>
        <v>554100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IFERROR(VLOOKUP(B43,input_554100!L:R,7,FALSE),VLOOKUP(tables_554100!C43,input_554100!A:H,8,FALSE))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input_554100!A$2</f>
        <v>554100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IFERROR(VLOOKUP(B44,input_554100!L:R,7,FALSE),VLOOKUP(tables_554100!C44,input_554100!A:H,8,FALSE))</f>
        <v>68400</v>
      </c>
      <c r="P44" s="46">
        <f t="shared" ca="1" si="1"/>
        <v>1.1874999999917542E-2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input_554100!A$2</f>
        <v>554100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IFERROR(VLOOKUP(B45,input_554100!L:R,7,FALSE),VLOOKUP(tables_554100!C45,input_554100!A:H,8,FALSE))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input_554100!A$2</f>
        <v>554100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IFERROR(VLOOKUP(B46,input_554100!L:R,7,FALSE),VLOOKUP(tables_554100!C46,input_554100!A:H,8,FALSE))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input_554100!A$2</f>
        <v>554100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IFERROR(VLOOKUP(B47,input_554100!L:R,7,FALSE),VLOOKUP(tables_554100!C47,input_554100!A:H,8,FALSE))</f>
        <v>68400</v>
      </c>
      <c r="P47" s="46">
        <f t="shared" ca="1" si="1"/>
        <v>1.1874999999917542E-2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input_554100!A$2</f>
        <v>554100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IFERROR(VLOOKUP(B48,input_554100!L:R,7,FALSE),VLOOKUP(tables_554100!C48,input_554100!A:H,8,FALSE))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input_554100!A$2</f>
        <v>554100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IFERROR(VLOOKUP(B49,input_554100!L:R,7,FALSE),VLOOKUP(tables_554100!C49,input_554100!A:H,8,FALSE))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input_554100!A$2</f>
        <v>554100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IFERROR(VLOOKUP(B50,input_554100!L:R,7,FALSE),VLOOKUP(tables_554100!C50,input_554100!A:H,8,FALSE))</f>
        <v>68400</v>
      </c>
      <c r="P50" s="46">
        <f t="shared" ca="1" si="1"/>
        <v>1.1874999999917542E-2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input_554100!A$2</f>
        <v>554100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IFERROR(VLOOKUP(B51,input_554100!L:R,7,FALSE),VLOOKUP(tables_554100!C51,input_554100!A:H,8,FALSE))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input_554100!A$2</f>
        <v>554100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IFERROR(VLOOKUP(B52,input_554100!L:R,7,FALSE),VLOOKUP(tables_554100!C52,input_554100!A:H,8,FALSE))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input_554100!A$2</f>
        <v>554100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IFERROR(VLOOKUP(B53,input_554100!L:R,7,FALSE),VLOOKUP(tables_554100!C53,input_554100!A:H,8,FALSE))</f>
        <v>65769.230769999995</v>
      </c>
      <c r="P53" s="46">
        <f t="shared" ca="1" si="1"/>
        <v>1.1418269230823491E-2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input_554100!A$2</f>
        <v>554100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IFERROR(VLOOKUP(B54,input_554100!L:R,7,FALSE),VLOOKUP(tables_554100!C54,input_554100!A:H,8,FALSE))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input_554100!A$2</f>
        <v>554100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IFERROR(VLOOKUP(B55,input_554100!L:R,7,FALSE),VLOOKUP(tables_554100!C55,input_554100!A:H,8,FALSE))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input_554100!A$2</f>
        <v>554100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IFERROR(VLOOKUP(B56,input_554100!L:R,7,FALSE),VLOOKUP(tables_554100!C56,input_554100!A:H,8,FALSE))</f>
        <v>65769.230769999995</v>
      </c>
      <c r="P56" s="46">
        <f t="shared" ca="1" si="1"/>
        <v>1.1418269230823491E-2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input_554100!A$2</f>
        <v>554100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IFERROR(VLOOKUP(B57,input_554100!L:R,7,FALSE),VLOOKUP(tables_554100!C57,input_554100!A:H,8,FALSE))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input_554100!A$2</f>
        <v>554100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IFERROR(VLOOKUP(B58,input_554100!L:R,7,FALSE),VLOOKUP(tables_554100!C58,input_554100!A:H,8,FALSE))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input_554100!A$2</f>
        <v>554100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IFERROR(VLOOKUP(B59,input_554100!L:R,7,FALSE),VLOOKUP(tables_554100!C59,input_554100!A:H,8,FALSE))</f>
        <v>65769.230769999995</v>
      </c>
      <c r="P59" s="46">
        <f t="shared" ca="1" si="1"/>
        <v>1.1418269230823491E-2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input_554100!A$2</f>
        <v>554100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IFERROR(VLOOKUP(B60,input_554100!L:R,7,FALSE),VLOOKUP(tables_554100!C60,input_554100!A:H,8,FALSE))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input_554100!A$2</f>
        <v>554100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IFERROR(VLOOKUP(B61,input_554100!L:R,7,FALSE),VLOOKUP(tables_554100!C61,input_554100!A:H,8,FALSE))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input_554100!A$2</f>
        <v>554100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IFERROR(VLOOKUP(B62,input_554100!L:R,7,FALSE),VLOOKUP(tables_554100!C62,input_554100!A:H,8,FALSE))</f>
        <v>65769.230769999995</v>
      </c>
      <c r="P62" s="46">
        <f t="shared" ca="1" si="1"/>
        <v>1.1418269230823491E-2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input_554100!A$2</f>
        <v>554100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IFERROR(VLOOKUP(B63,input_554100!L:R,7,FALSE),VLOOKUP(tables_554100!C63,input_554100!A:H,8,FALSE))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input_554100!A$2</f>
        <v>554100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IFERROR(VLOOKUP(B64,input_554100!L:R,7,FALSE),VLOOKUP(tables_554100!C64,input_554100!A:H,8,FALSE))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input_554100!A$2</f>
        <v>554100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IFERROR(VLOOKUP(B65,input_554100!L:R,7,FALSE),VLOOKUP(tables_554100!C65,input_554100!A:H,8,FALSE))</f>
        <v>65769.230769999995</v>
      </c>
      <c r="P65" s="46">
        <f t="shared" ca="1" si="1"/>
        <v>1.1418269230823491E-2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input_554100!A$2</f>
        <v>554100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IFERROR(VLOOKUP(B66,input_554100!L:R,7,FALSE),VLOOKUP(tables_554100!C66,input_554100!A:H,8,FALSE))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input_554100!A$2</f>
        <v>554100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IFERROR(VLOOKUP(B67,input_554100!L:R,7,FALSE),VLOOKUP(tables_554100!C67,input_554100!A:H,8,FALSE))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input_554100!A$2</f>
        <v>554100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IFERROR(VLOOKUP(B68,input_554100!L:R,7,FALSE),VLOOKUP(tables_554100!C68,input_554100!A:H,8,FALSE))</f>
        <v>65769.230769999995</v>
      </c>
      <c r="P68" s="46">
        <f t="shared" ca="1" si="4"/>
        <v>1.1418269230823491E-2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input_554100!A$2</f>
        <v>554100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IFERROR(VLOOKUP(B69,input_554100!L:R,7,FALSE),VLOOKUP(tables_554100!C69,input_554100!A:H,8,FALSE))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input_554100!A$2</f>
        <v>554100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IFERROR(VLOOKUP(B70,input_554100!L:R,7,FALSE),VLOOKUP(tables_554100!C70,input_554100!A:H,8,FALSE))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input_554100!A$2</f>
        <v>554100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IFERROR(VLOOKUP(B71,input_554100!L:R,7,FALSE),VLOOKUP(tables_554100!C71,input_554100!A:H,8,FALSE))</f>
        <v>65769.230769999995</v>
      </c>
      <c r="P71" s="46">
        <f t="shared" ca="1" si="4"/>
        <v>1.1418269230823491E-2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input_554100!A$2</f>
        <v>554100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IFERROR(VLOOKUP(B72,input_554100!L:R,7,FALSE),VLOOKUP(tables_554100!C72,input_554100!A:H,8,FALSE))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input_554100!A$2</f>
        <v>554100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IFERROR(VLOOKUP(B73,input_554100!L:R,7,FALSE),VLOOKUP(tables_554100!C73,input_554100!A:H,8,FALSE))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input_554100!A$2</f>
        <v>554100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IFERROR(VLOOKUP(B74,input_554100!L:R,7,FALSE),VLOOKUP(tables_554100!C74,input_554100!A:H,8,FALSE))</f>
        <v>65769.230769999995</v>
      </c>
      <c r="P74" s="46">
        <f t="shared" ca="1" si="4"/>
        <v>1.1418269230823491E-2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input_554100!A$2</f>
        <v>554100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IFERROR(VLOOKUP(B75,input_554100!L:R,7,FALSE),VLOOKUP(tables_554100!C75,input_554100!A:H,8,FALSE))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input_554100!A$2</f>
        <v>554100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IFERROR(VLOOKUP(B76,input_554100!L:R,7,FALSE),VLOOKUP(tables_554100!C76,input_554100!A:H,8,FALSE))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input_554100!A$2</f>
        <v>554100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IFERROR(VLOOKUP(B77,input_554100!L:R,7,FALSE),VLOOKUP(tables_554100!C77,input_554100!A:H,8,FALSE))</f>
        <v>65769.230769999995</v>
      </c>
      <c r="P77" s="46">
        <f t="shared" ca="1" si="4"/>
        <v>1.1418269230823491E-2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input_554100!A$2</f>
        <v>554100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IFERROR(VLOOKUP(B78,input_554100!L:R,7,FALSE),VLOOKUP(tables_554100!C78,input_554100!A:H,8,FALSE))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input_554100!A$2</f>
        <v>554100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IFERROR(VLOOKUP(B79,input_554100!L:R,7,FALSE),VLOOKUP(tables_554100!C79,input_554100!A:H,8,FALSE))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input_554100!A$2</f>
        <v>554100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IFERROR(VLOOKUP(B80,input_554100!L:R,7,FALSE),VLOOKUP(tables_554100!C80,input_554100!A:H,8,FALSE))</f>
        <v>65769.230769999995</v>
      </c>
      <c r="P80" s="46">
        <f t="shared" ca="1" si="4"/>
        <v>1.1418269230823491E-2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input_554100!A$2</f>
        <v>554100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IFERROR(VLOOKUP(B81,input_554100!L:R,7,FALSE),VLOOKUP(tables_554100!C81,input_554100!A:H,8,FALSE))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input_554100!A$2</f>
        <v>554100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IFERROR(VLOOKUP(B82,input_554100!L:R,7,FALSE),VLOOKUP(tables_554100!C82,input_554100!A:H,8,FALSE))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input_554100!A$2</f>
        <v>554100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IFERROR(VLOOKUP(B83,input_554100!L:R,7,FALSE),VLOOKUP(tables_554100!C83,input_554100!A:H,8,FALSE))</f>
        <v>65769.230769999995</v>
      </c>
      <c r="P83" s="46">
        <f t="shared" ca="1" si="4"/>
        <v>1.1418269230823491E-2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input_554100!A$2</f>
        <v>554100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IFERROR(VLOOKUP(B84,input_554100!L:R,7,FALSE),VLOOKUP(tables_554100!C84,input_554100!A:H,8,FALSE))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input_554100!A$2</f>
        <v>554100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IFERROR(VLOOKUP(B85,input_554100!L:R,7,FALSE),VLOOKUP(tables_554100!C85,input_554100!A:H,8,FALSE))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input_554100!A$2</f>
        <v>554100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IFERROR(VLOOKUP(B86,input_554100!L:R,7,FALSE),VLOOKUP(tables_554100!C86,input_554100!A:H,8,FALSE))</f>
        <v>65769.230769999995</v>
      </c>
      <c r="P86" s="46">
        <f t="shared" ca="1" si="4"/>
        <v>1.1418269230823491E-2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input_554100!A$2</f>
        <v>554100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IFERROR(VLOOKUP(B87,input_554100!L:R,7,FALSE),VLOOKUP(tables_554100!C87,input_554100!A:H,8,FALSE))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input_554100!A$2</f>
        <v>554100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IFERROR(VLOOKUP(B88,input_554100!L:R,7,FALSE),VLOOKUP(tables_554100!C88,input_554100!A:H,8,FALSE))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input_554100!A$2</f>
        <v>554100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IFERROR(VLOOKUP(B89,input_554100!L:R,7,FALSE),VLOOKUP(tables_554100!C89,input_554100!A:H,8,FALSE))</f>
        <v>65769.230769999995</v>
      </c>
      <c r="P89" s="46">
        <f t="shared" ca="1" si="4"/>
        <v>1.1418269230823491E-2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input_554100!A$2</f>
        <v>554100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IFERROR(VLOOKUP(B90,input_554100!L:R,7,FALSE),VLOOKUP(tables_554100!C90,input_554100!A:H,8,FALSE))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input_554100!A$2</f>
        <v>554100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IFERROR(VLOOKUP(B91,input_554100!L:R,7,FALSE),VLOOKUP(tables_554100!C91,input_554100!A:H,8,FALSE))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input_554100!A$2</f>
        <v>554100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IFERROR(VLOOKUP(B92,input_554100!L:R,7,FALSE),VLOOKUP(tables_554100!C92,input_554100!A:H,8,FALSE))</f>
        <v>65769.230769999995</v>
      </c>
      <c r="P92" s="46">
        <f t="shared" ca="1" si="4"/>
        <v>1.1418269230823491E-2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input_554100!A$2</f>
        <v>554100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IFERROR(VLOOKUP(B93,input_554100!L:R,7,FALSE),VLOOKUP(tables_554100!C93,input_554100!A:H,8,FALSE))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input_554100!A$2</f>
        <v>554100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IFERROR(VLOOKUP(B94,input_554100!L:R,7,FALSE),VLOOKUP(tables_554100!C94,input_554100!A:H,8,FALSE))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input_554100!A$2</f>
        <v>554100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IFERROR(VLOOKUP(B95,input_554100!L:R,7,FALSE),VLOOKUP(tables_554100!C95,input_554100!A:H,8,FALSE))</f>
        <v>65769.230769999995</v>
      </c>
      <c r="P95" s="46">
        <f t="shared" ca="1" si="4"/>
        <v>1.1418269230823491E-2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input_554100!A$2</f>
        <v>554100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IFERROR(VLOOKUP(B96,input_554100!L:R,7,FALSE),VLOOKUP(tables_554100!C96,input_554100!A:H,8,FALSE))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input_554100!A$2</f>
        <v>554100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IFERROR(VLOOKUP(B97,input_554100!L:R,7,FALSE),VLOOKUP(tables_554100!C97,input_554100!A:H,8,FALSE))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input_554100!A$2</f>
        <v>554100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IFERROR(VLOOKUP(B98,input_554100!L:R,7,FALSE),VLOOKUP(tables_554100!C98,input_554100!A:H,8,FALSE))</f>
        <v>65769.230769999995</v>
      </c>
      <c r="P98" s="46">
        <f t="shared" ca="1" si="4"/>
        <v>1.1418269230823491E-2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input_554100!A$2</f>
        <v>554100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IFERROR(VLOOKUP(B99,input_554100!L:R,7,FALSE),VLOOKUP(tables_554100!C99,input_554100!A:H,8,FALSE))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input_554100!A$2</f>
        <v>554100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IFERROR(VLOOKUP(B100,input_554100!L:R,7,FALSE),VLOOKUP(tables_554100!C100,input_554100!A:H,8,FALSE))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input_554100!A$2</f>
        <v>554100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IFERROR(VLOOKUP(B101,input_554100!L:R,7,FALSE),VLOOKUP(tables_554100!C101,input_554100!A:H,8,FALSE))</f>
        <v>65769.230769999995</v>
      </c>
      <c r="P101" s="46">
        <f t="shared" ca="1" si="4"/>
        <v>1.1418269230823491E-2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input_554100!A$2</f>
        <v>554100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IFERROR(VLOOKUP(B102,input_554100!L:R,7,FALSE),VLOOKUP(tables_554100!C102,input_554100!A:H,8,FALSE))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input_554100!A$2</f>
        <v>554100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IFERROR(VLOOKUP(B103,input_554100!L:R,7,FALSE),VLOOKUP(tables_554100!C103,input_554100!A:H,8,FALSE))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input_554100!A$2</f>
        <v>554100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IFERROR(VLOOKUP(B104,input_554100!L:R,7,FALSE),VLOOKUP(tables_554100!C104,input_554100!A:H,8,FALSE))</f>
        <v>65769.230769999995</v>
      </c>
      <c r="P104" s="46">
        <f t="shared" ca="1" si="4"/>
        <v>1.1418269230823491E-2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input_554100!A$2</f>
        <v>554100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IFERROR(VLOOKUP(B105,input_554100!L:R,7,FALSE),VLOOKUP(tables_554100!C105,input_554100!A:H,8,FALSE))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input_554100!A$2</f>
        <v>554100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IFERROR(VLOOKUP(B106,input_554100!L:R,7,FALSE),VLOOKUP(tables_554100!C106,input_554100!A:H,8,FALSE))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input_554100!A$2</f>
        <v>554100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IFERROR(VLOOKUP(B107,input_554100!L:R,7,FALSE),VLOOKUP(tables_554100!C107,input_554100!A:H,8,FALSE))</f>
        <v>65769.230769999995</v>
      </c>
      <c r="P107" s="46">
        <f t="shared" ca="1" si="4"/>
        <v>1.1418269230823491E-2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input_554100!A$2</f>
        <v>554100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IFERROR(VLOOKUP(B108,input_554100!L:R,7,FALSE),VLOOKUP(tables_554100!C108,input_554100!A:H,8,FALSE))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input_554100!A$2</f>
        <v>554100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IFERROR(VLOOKUP(B109,input_554100!L:R,7,FALSE),VLOOKUP(tables_554100!C109,input_554100!A:H,8,FALSE))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input_554100!A$2</f>
        <v>554100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IFERROR(VLOOKUP(B110,input_554100!L:R,7,FALSE),VLOOKUP(tables_554100!C110,input_554100!A:H,8,FALSE))</f>
        <v>65769.230769999995</v>
      </c>
      <c r="P110" s="46">
        <f t="shared" ca="1" si="4"/>
        <v>1.1418269230823491E-2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input_554100!A$2</f>
        <v>554100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IFERROR(VLOOKUP(B111,input_554100!L:R,7,FALSE),VLOOKUP(tables_554100!C111,input_554100!A:H,8,FALSE))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input_554100!A$2</f>
        <v>554100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IFERROR(VLOOKUP(B112,input_554100!L:R,7,FALSE),VLOOKUP(tables_554100!C112,input_554100!A:H,8,FALSE))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input_554100!A$2</f>
        <v>554100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IFERROR(VLOOKUP(B113,input_554100!L:R,7,FALSE),VLOOKUP(tables_554100!C113,input_554100!A:H,8,FALSE))</f>
        <v>68400</v>
      </c>
      <c r="P113" s="46">
        <f t="shared" ca="1" si="4"/>
        <v>1.1874999999917542E-2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input_554100!A$2</f>
        <v>554100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IFERROR(VLOOKUP(B114,input_554100!L:R,7,FALSE),VLOOKUP(tables_554100!C114,input_554100!A:H,8,FALSE))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input_554100!A$2</f>
        <v>554100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IFERROR(VLOOKUP(B115,input_554100!L:R,7,FALSE),VLOOKUP(tables_554100!C115,input_554100!A:H,8,FALSE))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input_554100!A$2</f>
        <v>554100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IFERROR(VLOOKUP(B116,input_554100!L:R,7,FALSE),VLOOKUP(tables_554100!C116,input_554100!A:H,8,FALSE))</f>
        <v>65769.230769999995</v>
      </c>
      <c r="P116" s="46">
        <f t="shared" ca="1" si="4"/>
        <v>1.1418269230823491E-2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input_554100!A$2</f>
        <v>554100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IFERROR(VLOOKUP(B117,input_554100!L:R,7,FALSE),VLOOKUP(tables_554100!C117,input_554100!A:H,8,FALSE))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input_554100!A$2</f>
        <v>554100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IFERROR(VLOOKUP(B118,input_554100!L:R,7,FALSE),VLOOKUP(tables_554100!C118,input_554100!A:H,8,FALSE))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input_554100!A$2</f>
        <v>554100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IFERROR(VLOOKUP(B119,input_554100!L:R,7,FALSE),VLOOKUP(tables_554100!C119,input_554100!A:H,8,FALSE))</f>
        <v>65769.230769999995</v>
      </c>
      <c r="P119" s="46">
        <f t="shared" ca="1" si="4"/>
        <v>1.1418269230823491E-2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input_554100!A$2</f>
        <v>554100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IFERROR(VLOOKUP(B120,input_554100!L:R,7,FALSE),VLOOKUP(tables_554100!C120,input_554100!A:H,8,FALSE))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input_554100!A$2</f>
        <v>554100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IFERROR(VLOOKUP(B121,input_554100!L:R,7,FALSE),VLOOKUP(tables_554100!C121,input_554100!A:H,8,FALSE))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input_554100!A$2</f>
        <v>554100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IFERROR(VLOOKUP(B122,input_554100!L:R,7,FALSE),VLOOKUP(tables_554100!C122,input_554100!A:H,8,FALSE))</f>
        <v>65769.230769999995</v>
      </c>
      <c r="P122" s="46">
        <f t="shared" ca="1" si="4"/>
        <v>1.1418269230823491E-2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input_554100!A$2</f>
        <v>554100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IFERROR(VLOOKUP(B123,input_554100!L:R,7,FALSE),VLOOKUP(tables_554100!C123,input_554100!A:H,8,FALSE))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input_554100!A$2</f>
        <v>554100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IFERROR(VLOOKUP(B124,input_554100!L:R,7,FALSE),VLOOKUP(tables_554100!C124,input_554100!A:H,8,FALSE))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input_554100!A$2</f>
        <v>554100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IFERROR(VLOOKUP(B125,input_554100!L:R,7,FALSE),VLOOKUP(tables_554100!C125,input_554100!A:H,8,FALSE))</f>
        <v>65769.230769999995</v>
      </c>
      <c r="P125" s="46">
        <f t="shared" ca="1" si="4"/>
        <v>1.1418269230823491E-2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input_554100!A$2</f>
        <v>554100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IFERROR(VLOOKUP(B126,input_554100!L:R,7,FALSE),VLOOKUP(tables_554100!C126,input_554100!A:H,8,FALSE))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input_554100!A$2</f>
        <v>554100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IFERROR(VLOOKUP(B127,input_554100!L:R,7,FALSE),VLOOKUP(tables_554100!C127,input_554100!A:H,8,FALSE))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input_554100!A$2</f>
        <v>554100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IFERROR(VLOOKUP(B128,input_554100!L:R,7,FALSE),VLOOKUP(tables_554100!C128,input_554100!A:H,8,FALSE))</f>
        <v>65769.230769999995</v>
      </c>
      <c r="P128" s="46">
        <f t="shared" ca="1" si="4"/>
        <v>1.1418269230823491E-2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input_554100!A$2</f>
        <v>554100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IFERROR(VLOOKUP(B129,input_554100!L:R,7,FALSE),VLOOKUP(tables_554100!C129,input_554100!A:H,8,FALSE))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input_554100!A$2</f>
        <v>554100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IFERROR(VLOOKUP(B130,input_554100!L:R,7,FALSE),VLOOKUP(tables_554100!C130,input_554100!A:H,8,FALSE))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input_554100!A$2</f>
        <v>554100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IFERROR(VLOOKUP(B131,input_554100!L:R,7,FALSE),VLOOKUP(tables_554100!C131,input_554100!A:H,8,FALSE))</f>
        <v>65769.230769999995</v>
      </c>
      <c r="P131" s="46">
        <f t="shared" ca="1" si="7"/>
        <v>1.1418269230823491E-2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input_554100!A$2</f>
        <v>554100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IFERROR(VLOOKUP(B132,input_554100!L:R,7,FALSE),VLOOKUP(tables_554100!C132,input_554100!A:H,8,FALSE))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input_554100!A$2</f>
        <v>554100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IFERROR(VLOOKUP(B133,input_554100!L:R,7,FALSE),VLOOKUP(tables_554100!C133,input_554100!A:H,8,FALSE))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input_554100!A$2</f>
        <v>554100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IFERROR(VLOOKUP(B134,input_554100!L:R,7,FALSE),VLOOKUP(tables_554100!C134,input_554100!A:H,8,FALSE))</f>
        <v>65769.230769999995</v>
      </c>
      <c r="P134" s="46">
        <f t="shared" ca="1" si="7"/>
        <v>1.1418269230823491E-2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input_554100!A$2</f>
        <v>554100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IFERROR(VLOOKUP(B135,input_554100!L:R,7,FALSE),VLOOKUP(tables_554100!C135,input_554100!A:H,8,FALSE))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input_554100!A$2</f>
        <v>554100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IFERROR(VLOOKUP(B136,input_554100!L:R,7,FALSE),VLOOKUP(tables_554100!C136,input_554100!A:H,8,FALSE))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input_554100!A$2</f>
        <v>554100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IFERROR(VLOOKUP(B137,input_554100!L:R,7,FALSE),VLOOKUP(tables_554100!C137,input_554100!A:H,8,FALSE))</f>
        <v>65769.230769999995</v>
      </c>
      <c r="P137" s="46">
        <f t="shared" ca="1" si="7"/>
        <v>1.1418269230823491E-2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input_554100!A$2</f>
        <v>554100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IFERROR(VLOOKUP(B138,input_554100!L:R,7,FALSE),VLOOKUP(tables_554100!C138,input_554100!A:H,8,FALSE))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input_554100!A$2</f>
        <v>554100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IFERROR(VLOOKUP(B139,input_554100!L:R,7,FALSE),VLOOKUP(tables_554100!C139,input_554100!A:H,8,FALSE))</f>
        <v>4000</v>
      </c>
      <c r="P139" s="46">
        <f t="shared" ca="1" si="7"/>
        <v>6.9444444443962237E-4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input_554100!A$2</f>
        <v>554100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IFERROR(VLOOKUP(B140,input_554100!L:R,7,FALSE),VLOOKUP(tables_554100!C140,input_554100!A:H,8,FALSE))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input_554100!A$2</f>
        <v>554100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IFERROR(VLOOKUP(B141,input_554100!L:R,7,FALSE),VLOOKUP(tables_554100!C141,input_554100!A:H,8,FALSE))</f>
        <v>4000</v>
      </c>
      <c r="P141" s="46">
        <f t="shared" ca="1" si="7"/>
        <v>6.9444444443962237E-4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input_554100!A$2</f>
        <v>554100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IFERROR(VLOOKUP(B142,input_554100!L:R,7,FALSE),VLOOKUP(tables_554100!C142,input_554100!A:H,8,FALSE))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input_554100!A$2</f>
        <v>554100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IFERROR(VLOOKUP(B143,input_554100!L:R,7,FALSE),VLOOKUP(tables_554100!C143,input_554100!A:H,8,FALSE))</f>
        <v>4000</v>
      </c>
      <c r="P143" s="46">
        <f t="shared" ca="1" si="7"/>
        <v>6.9444444443962237E-4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input_554100!A$2</f>
        <v>554100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IFERROR(VLOOKUP(B144,input_554100!L:R,7,FALSE),VLOOKUP(tables_554100!C144,input_554100!A:H,8,FALSE))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input_554100!A$2</f>
        <v>554100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IFERROR(VLOOKUP(B145,input_554100!L:R,7,FALSE),VLOOKUP(tables_554100!C145,input_554100!A:H,8,FALSE))</f>
        <v>4000</v>
      </c>
      <c r="P145" s="46">
        <f t="shared" ca="1" si="7"/>
        <v>6.9444444443962237E-4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input_554100!A$2</f>
        <v>554100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IFERROR(VLOOKUP(B146,input_554100!L:R,7,FALSE),VLOOKUP(tables_554100!C146,input_554100!A:H,8,FALSE))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input_554100!A$2</f>
        <v>554100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IFERROR(VLOOKUP(B147,input_554100!L:R,7,FALSE),VLOOKUP(tables_554100!C147,input_554100!A:H,8,FALSE))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input_554100!A$2</f>
        <v>554100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IFERROR(VLOOKUP(B148,input_554100!L:R,7,FALSE),VLOOKUP(tables_554100!C148,input_554100!A:H,8,FALSE))</f>
        <v>65769.230769999995</v>
      </c>
      <c r="P148" s="46">
        <f t="shared" ca="1" si="7"/>
        <v>1.1418269230823491E-2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input_554100!A$2</f>
        <v>554100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IFERROR(VLOOKUP(B149,input_554100!L:R,7,FALSE),VLOOKUP(tables_554100!C149,input_554100!A:H,8,FALSE))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input_554100!A$2</f>
        <v>554100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IFERROR(VLOOKUP(B150,input_554100!L:R,7,FALSE),VLOOKUP(tables_554100!C150,input_554100!A:H,8,FALSE))</f>
        <v>4000</v>
      </c>
      <c r="P150" s="46">
        <f t="shared" ca="1" si="7"/>
        <v>6.9444444443962237E-4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input_554100!A$2</f>
        <v>554100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IFERROR(VLOOKUP(B151,input_554100!L:R,7,FALSE),VLOOKUP(tables_554100!C151,input_554100!A:H,8,FALSE))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input_554100!A$2</f>
        <v>554100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IFERROR(VLOOKUP(B152,input_554100!L:R,7,FALSE),VLOOKUP(tables_554100!C152,input_554100!A:H,8,FALSE))</f>
        <v>4000</v>
      </c>
      <c r="P152" s="46">
        <f t="shared" ca="1" si="7"/>
        <v>6.9444444443962237E-4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input_554100!A$2</f>
        <v>554100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IFERROR(VLOOKUP(B153,input_554100!L:R,7,FALSE),VLOOKUP(tables_554100!C153,input_554100!A:H,8,FALSE))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input_554100!A$2</f>
        <v>554100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IFERROR(VLOOKUP(B154,input_554100!L:R,7,FALSE),VLOOKUP(tables_554100!C154,input_554100!A:H,8,FALSE))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input_554100!A$2</f>
        <v>554100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IFERROR(VLOOKUP(B155,input_554100!L:R,7,FALSE),VLOOKUP(tables_554100!C155,input_554100!A:H,8,FALSE))</f>
        <v>65769.230769999995</v>
      </c>
      <c r="P155" s="46">
        <f t="shared" ca="1" si="7"/>
        <v>1.1418269230823491E-2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input_554100!A$2</f>
        <v>554100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IFERROR(VLOOKUP(B156,input_554100!L:R,7,FALSE),VLOOKUP(tables_554100!C156,input_554100!A:H,8,FALSE))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input_554100!A$2</f>
        <v>554100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IFERROR(VLOOKUP(B157,input_554100!L:R,7,FALSE),VLOOKUP(tables_554100!C157,input_554100!A:H,8,FALSE))</f>
        <v>4000</v>
      </c>
      <c r="P157" s="46">
        <f t="shared" ca="1" si="7"/>
        <v>6.9444444443962237E-4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input_554100!A$2</f>
        <v>554100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IFERROR(VLOOKUP(B158,input_554100!L:R,7,FALSE),VLOOKUP(tables_554100!C158,input_554100!A:H,8,FALSE))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input_554100!A$2</f>
        <v>554100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IFERROR(VLOOKUP(B159,input_554100!L:R,7,FALSE),VLOOKUP(tables_554100!C159,input_554100!A:H,8,FALSE))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input_554100!A$2</f>
        <v>554100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IFERROR(VLOOKUP(B160,input_554100!L:R,7,FALSE),VLOOKUP(tables_554100!C160,input_554100!A:H,8,FALSE))</f>
        <v>65769.230769999995</v>
      </c>
      <c r="P160" s="46">
        <f t="shared" ca="1" si="7"/>
        <v>1.1418269230823491E-2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input_554100!A$2</f>
        <v>554100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IFERROR(VLOOKUP(B161,input_554100!L:R,7,FALSE),VLOOKUP(tables_554100!C161,input_554100!A:H,8,FALSE))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input_554100!A$2</f>
        <v>554100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IFERROR(VLOOKUP(B162,input_554100!L:R,7,FALSE),VLOOKUP(tables_554100!C162,input_554100!A:H,8,FALSE))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input_554100!A$2</f>
        <v>554100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IFERROR(VLOOKUP(B163,input_554100!L:R,7,FALSE),VLOOKUP(tables_554100!C163,input_554100!A:H,8,FALSE))</f>
        <v>65769.230769999995</v>
      </c>
      <c r="P163" s="46">
        <f t="shared" ca="1" si="7"/>
        <v>1.1418269230823491E-2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input_554100!A$2</f>
        <v>554100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IFERROR(VLOOKUP(B164,input_554100!L:R,7,FALSE),VLOOKUP(tables_554100!C164,input_554100!A:H,8,FALSE))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input_554100!A$2</f>
        <v>554100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IFERROR(VLOOKUP(B165,input_554100!L:R,7,FALSE),VLOOKUP(tables_554100!C165,input_554100!A:H,8,FALSE))</f>
        <v>4000</v>
      </c>
      <c r="P165" s="46">
        <f t="shared" ca="1" si="7"/>
        <v>6.9444444443962237E-4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input_554100!A$2</f>
        <v>554100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IFERROR(VLOOKUP(B166,input_554100!L:R,7,FALSE),VLOOKUP(tables_554100!C166,input_554100!A:H,8,FALSE))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input_554100!A$2</f>
        <v>554100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IFERROR(VLOOKUP(B167,input_554100!L:R,7,FALSE),VLOOKUP(tables_554100!C167,input_554100!A:H,8,FALSE))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input_554100!A$2</f>
        <v>554100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IFERROR(VLOOKUP(B168,input_554100!L:R,7,FALSE),VLOOKUP(tables_554100!C168,input_554100!A:H,8,FALSE))</f>
        <v>65769.230769999995</v>
      </c>
      <c r="P168" s="46">
        <f t="shared" ca="1" si="7"/>
        <v>1.1418269230823491E-2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input_554100!A$2</f>
        <v>554100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IFERROR(VLOOKUP(B169,input_554100!L:R,7,FALSE),VLOOKUP(tables_554100!C169,input_554100!A:H,8,FALSE))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input_554100!A$2</f>
        <v>554100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IFERROR(VLOOKUP(B170,input_554100!L:R,7,FALSE),VLOOKUP(tables_554100!C170,input_554100!A:H,8,FALSE))</f>
        <v>4000</v>
      </c>
      <c r="P170" s="46">
        <f t="shared" ca="1" si="7"/>
        <v>6.9444444443962237E-4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input_554100!A$2</f>
        <v>554100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IFERROR(VLOOKUP(B171,input_554100!L:R,7,FALSE),VLOOKUP(tables_554100!C171,input_554100!A:H,8,FALSE))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input_554100!A$2</f>
        <v>554100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IFERROR(VLOOKUP(B172,input_554100!L:R,7,FALSE),VLOOKUP(tables_554100!C172,input_554100!A:H,8,FALSE))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input_554100!A$2</f>
        <v>554100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IFERROR(VLOOKUP(B173,input_554100!L:R,7,FALSE),VLOOKUP(tables_554100!C173,input_554100!A:H,8,FALSE))</f>
        <v>65769.230769999995</v>
      </c>
      <c r="P173" s="46">
        <f t="shared" ca="1" si="7"/>
        <v>1.1418269230823491E-2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input_554100!A$2</f>
        <v>554100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IFERROR(VLOOKUP(B174,input_554100!L:R,7,FALSE),VLOOKUP(tables_554100!C174,input_554100!A:H,8,FALSE))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input_554100!A$2</f>
        <v>554100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IFERROR(VLOOKUP(B175,input_554100!L:R,7,FALSE),VLOOKUP(tables_554100!C175,input_554100!A:H,8,FALSE))</f>
        <v>4000</v>
      </c>
      <c r="P175" s="46">
        <f t="shared" ca="1" si="7"/>
        <v>6.9444444443962237E-4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input_554100!A$2</f>
        <v>554100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IFERROR(VLOOKUP(B176,input_554100!L:R,7,FALSE),VLOOKUP(tables_554100!C176,input_554100!A:H,8,FALSE))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input_554100!A$2</f>
        <v>554100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IFERROR(VLOOKUP(B177,input_554100!L:R,7,FALSE),VLOOKUP(tables_554100!C177,input_554100!A:H,8,FALSE))</f>
        <v>4000</v>
      </c>
      <c r="P177" s="46">
        <f t="shared" ca="1" si="7"/>
        <v>6.9444444443962237E-4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input_554100!A$2</f>
        <v>554100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IFERROR(VLOOKUP(B178,input_554100!L:R,7,FALSE),VLOOKUP(tables_554100!C178,input_554100!A:H,8,FALSE))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input_554100!A$2</f>
        <v>554100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IFERROR(VLOOKUP(B179,input_554100!L:R,7,FALSE),VLOOKUP(tables_554100!C179,input_554100!A:H,8,FALSE))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input_554100!A$2</f>
        <v>554100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IFERROR(VLOOKUP(B180,input_554100!L:R,7,FALSE),VLOOKUP(tables_554100!C180,input_554100!A:H,8,FALSE))</f>
        <v>65769.230769999995</v>
      </c>
      <c r="P180" s="46">
        <f t="shared" ca="1" si="7"/>
        <v>1.1418269230823491E-2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input_554100!A$2</f>
        <v>554100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IFERROR(VLOOKUP(B181,input_554100!L:R,7,FALSE),VLOOKUP(tables_554100!C181,input_554100!A:H,8,FALSE))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input_554100!A$2</f>
        <v>554100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IFERROR(VLOOKUP(B182,input_554100!L:R,7,FALSE),VLOOKUP(tables_554100!C182,input_554100!A:H,8,FALSE))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input_554100!A$2</f>
        <v>554100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IFERROR(VLOOKUP(B183,input_554100!L:R,7,FALSE),VLOOKUP(tables_554100!C183,input_554100!A:H,8,FALSE))</f>
        <v>65769.230769999995</v>
      </c>
      <c r="P183" s="46">
        <f t="shared" ca="1" si="7"/>
        <v>1.1418269230823491E-2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input_554100!A$2</f>
        <v>554100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IFERROR(VLOOKUP(B184,input_554100!L:R,7,FALSE),VLOOKUP(tables_554100!C184,input_554100!A:H,8,FALSE))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input_554100!A$2</f>
        <v>554100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IFERROR(VLOOKUP(B185,input_554100!L:R,7,FALSE),VLOOKUP(tables_554100!C185,input_554100!A:H,8,FALSE))</f>
        <v>4000</v>
      </c>
      <c r="P185" s="46">
        <f t="shared" ca="1" si="7"/>
        <v>6.9444444443962237E-4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input_554100!A$2</f>
        <v>554100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IFERROR(VLOOKUP(B186,input_554100!L:R,7,FALSE),VLOOKUP(tables_554100!C186,input_554100!A:H,8,FALSE))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input_554100!A$2</f>
        <v>554100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IFERROR(VLOOKUP(B187,input_554100!L:R,7,FALSE),VLOOKUP(tables_554100!C187,input_554100!A:H,8,FALSE))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input_554100!A$2</f>
        <v>554100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IFERROR(VLOOKUP(B188,input_554100!L:R,7,FALSE),VLOOKUP(tables_554100!C188,input_554100!A:H,8,FALSE))</f>
        <v>65769.230769999995</v>
      </c>
      <c r="P188" s="46">
        <f t="shared" ca="1" si="7"/>
        <v>1.1418269230823491E-2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input_554100!A$2</f>
        <v>554100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IFERROR(VLOOKUP(B189,input_554100!L:R,7,FALSE),VLOOKUP(tables_554100!C189,input_554100!A:H,8,FALSE))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input_554100!A$2</f>
        <v>554100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IFERROR(VLOOKUP(B190,input_554100!L:R,7,FALSE),VLOOKUP(tables_554100!C190,input_554100!A:H,8,FALSE))</f>
        <v>4000</v>
      </c>
      <c r="P190" s="46">
        <f t="shared" ca="1" si="7"/>
        <v>6.9444444443962237E-4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input_554100!A$2</f>
        <v>554100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IFERROR(VLOOKUP(B191,input_554100!L:R,7,FALSE),VLOOKUP(tables_554100!C191,input_554100!A:H,8,FALSE))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input_554100!A$2</f>
        <v>554100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IFERROR(VLOOKUP(B192,input_554100!L:R,7,FALSE),VLOOKUP(tables_554100!C192,input_554100!A:H,8,FALSE))</f>
        <v>4000</v>
      </c>
      <c r="P192" s="46">
        <f t="shared" ca="1" si="7"/>
        <v>6.9444444443962237E-4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input_554100!A$2</f>
        <v>554100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IFERROR(VLOOKUP(B193,input_554100!L:R,7,FALSE),VLOOKUP(tables_554100!C193,input_554100!A:H,8,FALSE))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input_554100!A$2</f>
        <v>554100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IFERROR(VLOOKUP(B194,input_554100!L:R,7,FALSE),VLOOKUP(tables_554100!C194,input_554100!A:H,8,FALSE))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input_554100!A$2</f>
        <v>554100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IFERROR(VLOOKUP(B195,input_554100!L:R,7,FALSE),VLOOKUP(tables_554100!C195,input_554100!A:H,8,FALSE))</f>
        <v>65769.230769999995</v>
      </c>
      <c r="P195" s="46">
        <f t="shared" ca="1" si="10"/>
        <v>1.1418269230823491E-2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input_554100!A$2</f>
        <v>554100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IFERROR(VLOOKUP(B196,input_554100!L:R,7,FALSE),VLOOKUP(tables_554100!C196,input_554100!A:H,8,FALSE))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input_554100!A$2</f>
        <v>554100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IFERROR(VLOOKUP(B197,input_554100!L:R,7,FALSE),VLOOKUP(tables_554100!C197,input_554100!A:H,8,FALSE))</f>
        <v>4000</v>
      </c>
      <c r="P197" s="46">
        <f t="shared" ca="1" si="10"/>
        <v>6.9444444443962237E-4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input_554100!A$2</f>
        <v>554100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IFERROR(VLOOKUP(B198,input_554100!L:R,7,FALSE),VLOOKUP(tables_554100!C198,input_554100!A:H,8,FALSE))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input_554100!A$2</f>
        <v>554100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IFERROR(VLOOKUP(B199,input_554100!L:R,7,FALSE),VLOOKUP(tables_554100!C199,input_554100!A:H,8,FALSE))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input_554100!A$2</f>
        <v>554100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IFERROR(VLOOKUP(B200,input_554100!L:R,7,FALSE),VLOOKUP(tables_554100!C200,input_554100!A:H,8,FALSE))</f>
        <v>65769.230769999995</v>
      </c>
      <c r="P200" s="46">
        <f t="shared" ca="1" si="10"/>
        <v>1.1418269230823491E-2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input_554100!A$2</f>
        <v>554100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IFERROR(VLOOKUP(B201,input_554100!L:R,7,FALSE),VLOOKUP(tables_554100!C201,input_554100!A:H,8,FALSE))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input_554100!A$2</f>
        <v>554100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IFERROR(VLOOKUP(B202,input_554100!L:R,7,FALSE),VLOOKUP(tables_554100!C202,input_554100!A:H,8,FALSE))</f>
        <v>4000</v>
      </c>
      <c r="P202" s="46">
        <f t="shared" ca="1" si="10"/>
        <v>6.9444444443962237E-4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input_554100!A$2</f>
        <v>554100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IFERROR(VLOOKUP(B203,input_554100!L:R,7,FALSE),VLOOKUP(tables_554100!C203,input_554100!A:H,8,FALSE))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input_554100!A$2</f>
        <v>554100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IFERROR(VLOOKUP(B204,input_554100!L:R,7,FALSE),VLOOKUP(tables_554100!C204,input_554100!A:H,8,FALSE))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input_554100!A$2</f>
        <v>554100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IFERROR(VLOOKUP(B205,input_554100!L:R,7,FALSE),VLOOKUP(tables_554100!C205,input_554100!A:H,8,FALSE))</f>
        <v>65769.230769999995</v>
      </c>
      <c r="P205" s="46">
        <f t="shared" ca="1" si="10"/>
        <v>1.1418269230823491E-2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input_554100!A$2</f>
        <v>554100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IFERROR(VLOOKUP(B206,input_554100!L:R,7,FALSE),VLOOKUP(tables_554100!C206,input_554100!A:H,8,FALSE))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input_554100!A$2</f>
        <v>554100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IFERROR(VLOOKUP(B207,input_554100!L:R,7,FALSE),VLOOKUP(tables_554100!C207,input_554100!A:H,8,FALSE))</f>
        <v>4000</v>
      </c>
      <c r="P207" s="46">
        <f t="shared" ca="1" si="10"/>
        <v>6.9444444443962237E-4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input_554100!A$2</f>
        <v>554100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IFERROR(VLOOKUP(B208,input_554100!L:R,7,FALSE),VLOOKUP(tables_554100!C208,input_554100!A:H,8,FALSE))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input_554100!A$2</f>
        <v>554100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IFERROR(VLOOKUP(B209,input_554100!L:R,7,FALSE),VLOOKUP(tables_554100!C209,input_554100!A:H,8,FALSE))</f>
        <v>4000</v>
      </c>
      <c r="P209" s="46">
        <f t="shared" ca="1" si="10"/>
        <v>6.9444444443962237E-4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input_554100!A$2</f>
        <v>554100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IFERROR(VLOOKUP(B210,input_554100!L:R,7,FALSE),VLOOKUP(tables_554100!C210,input_554100!A:H,8,FALSE))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input_554100!A$2</f>
        <v>554100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IFERROR(VLOOKUP(B211,input_554100!L:R,7,FALSE),VLOOKUP(tables_554100!C211,input_554100!A:H,8,FALSE))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input_554100!A$2</f>
        <v>554100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IFERROR(VLOOKUP(B212,input_554100!L:R,7,FALSE),VLOOKUP(tables_554100!C212,input_554100!A:H,8,FALSE))</f>
        <v>65769.230769999995</v>
      </c>
      <c r="P212" s="46">
        <f t="shared" ca="1" si="10"/>
        <v>1.1418269230823491E-2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input_554100!A$2</f>
        <v>554100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IFERROR(VLOOKUP(B213,input_554100!L:R,7,FALSE),VLOOKUP(tables_554100!C213,input_554100!A:H,8,FALSE))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input_554100!A$2</f>
        <v>554100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IFERROR(VLOOKUP(B214,input_554100!L:R,7,FALSE),VLOOKUP(tables_554100!C214,input_554100!A:H,8,FALSE))</f>
        <v>4000</v>
      </c>
      <c r="P214" s="46">
        <f t="shared" ca="1" si="10"/>
        <v>6.9444444443962237E-4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input_554100!A$2</f>
        <v>554100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IFERROR(VLOOKUP(B215,input_554100!L:R,7,FALSE),VLOOKUP(tables_554100!C215,input_554100!A:H,8,FALSE))</f>
        <v>68400</v>
      </c>
      <c r="P215" s="46">
        <f t="shared" ca="1" si="10"/>
        <v>1.1874999999917542E-2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input_554100!A$2</f>
        <v>554100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IFERROR(VLOOKUP(B216,input_554100!L:R,7,FALSE),VLOOKUP(tables_554100!C216,input_554100!A:H,8,FALSE))</f>
        <v>68400</v>
      </c>
      <c r="P216" s="46">
        <f t="shared" ca="1" si="10"/>
        <v>1.1874999999917542E-2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input_554100!A$2</f>
        <v>554100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IFERROR(VLOOKUP(B217,input_554100!L:R,7,FALSE),VLOOKUP(tables_554100!C217,input_554100!A:H,8,FALSE))</f>
        <v>68400</v>
      </c>
      <c r="P217" s="46">
        <f t="shared" ca="1" si="10"/>
        <v>1.1874999999917542E-2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input_554100!A$2</f>
        <v>554100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IFERROR(VLOOKUP(B218,input_554100!L:R,7,FALSE),VLOOKUP(tables_554100!C218,input_554100!A:H,8,FALSE))</f>
        <v>68400</v>
      </c>
      <c r="P218" s="46">
        <f t="shared" ca="1" si="10"/>
        <v>1.1874999999917542E-2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input_554100!A$2</f>
        <v>554100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IFERROR(VLOOKUP(B219,input_554100!L:R,7,FALSE),VLOOKUP(tables_554100!C219,input_554100!A:H,8,FALSE))</f>
        <v>68400</v>
      </c>
      <c r="P219" s="46">
        <f t="shared" ca="1" si="10"/>
        <v>1.1874999999917542E-2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input_554100!A$2</f>
        <v>554100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IFERROR(VLOOKUP(B220,input_554100!L:R,7,FALSE),VLOOKUP(tables_554100!C220,input_554100!A:H,8,FALSE))</f>
        <v>68400</v>
      </c>
      <c r="P220" s="46">
        <f t="shared" ca="1" si="10"/>
        <v>1.1874999999917542E-2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input_554100!A$2</f>
        <v>554100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IFERROR(VLOOKUP(B221,input_554100!L:R,7,FALSE),VLOOKUP(tables_554100!C221,input_554100!A:H,8,FALSE))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input_554100!A$2</f>
        <v>554100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IFERROR(VLOOKUP(B222,input_554100!L:R,7,FALSE),VLOOKUP(tables_554100!C222,input_554100!A:H,8,FALSE))</f>
        <v>4000</v>
      </c>
      <c r="P222" s="46">
        <f t="shared" ca="1" si="10"/>
        <v>6.9444444443962237E-4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input_554100!A$2</f>
        <v>554100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IFERROR(VLOOKUP(B223,input_554100!L:R,7,FALSE),VLOOKUP(tables_554100!C223,input_554100!A:H,8,FALSE))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input_554100!A$2</f>
        <v>554100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IFERROR(VLOOKUP(B224,input_554100!L:R,7,FALSE),VLOOKUP(tables_554100!C224,input_554100!A:H,8,FALSE))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input_554100!A$2</f>
        <v>554100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IFERROR(VLOOKUP(B225,input_554100!L:R,7,FALSE),VLOOKUP(tables_554100!C225,input_554100!A:H,8,FALSE))</f>
        <v>65769.230769999995</v>
      </c>
      <c r="P225" s="46">
        <f t="shared" ca="1" si="10"/>
        <v>1.1418269230823491E-2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input_554100!A$2</f>
        <v>554100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IFERROR(VLOOKUP(B226,input_554100!L:R,7,FALSE),VLOOKUP(tables_554100!C226,input_554100!A:H,8,FALSE))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input_554100!A$2</f>
        <v>554100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IFERROR(VLOOKUP(B227,input_554100!L:R,7,FALSE),VLOOKUP(tables_554100!C227,input_554100!A:H,8,FALSE))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input_554100!A$2</f>
        <v>554100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IFERROR(VLOOKUP(B228,input_554100!L:R,7,FALSE),VLOOKUP(tables_554100!C228,input_554100!A:H,8,FALSE))</f>
        <v>65769.230769999995</v>
      </c>
      <c r="P228" s="46">
        <f t="shared" ca="1" si="10"/>
        <v>1.1418269230823491E-2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input_554100!A$2</f>
        <v>554100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IFERROR(VLOOKUP(B229,input_554100!L:R,7,FALSE),VLOOKUP(tables_554100!C229,input_554100!A:H,8,FALSE))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input_554100!A$2</f>
        <v>554100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IFERROR(VLOOKUP(B230,input_554100!L:R,7,FALSE),VLOOKUP(tables_554100!C230,input_554100!A:H,8,FALSE))</f>
        <v>4000</v>
      </c>
      <c r="P230" s="46">
        <f t="shared" ca="1" si="10"/>
        <v>6.9444444443962237E-4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input_554100!A$2</f>
        <v>554100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IFERROR(VLOOKUP(B231,input_554100!L:R,7,FALSE),VLOOKUP(tables_554100!C231,input_554100!A:H,8,FALSE))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input_554100!A$2</f>
        <v>554100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IFERROR(VLOOKUP(B232,input_554100!L:R,7,FALSE),VLOOKUP(tables_554100!C232,input_554100!A:H,8,FALSE))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input_554100!A$2</f>
        <v>554100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IFERROR(VLOOKUP(B233,input_554100!L:R,7,FALSE),VLOOKUP(tables_554100!C233,input_554100!A:H,8,FALSE))</f>
        <v>65769.230769999995</v>
      </c>
      <c r="P233" s="46">
        <f t="shared" ca="1" si="10"/>
        <v>1.1418269230823491E-2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input_554100!A$2</f>
        <v>554100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IFERROR(VLOOKUP(B234,input_554100!L:R,7,FALSE),VLOOKUP(tables_554100!C234,input_554100!A:H,8,FALSE))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input_554100!A$2</f>
        <v>554100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IFERROR(VLOOKUP(B235,input_554100!L:R,7,FALSE),VLOOKUP(tables_554100!C235,input_554100!A:H,8,FALSE))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input_554100!A$2</f>
        <v>554100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IFERROR(VLOOKUP(B236,input_554100!L:R,7,FALSE),VLOOKUP(tables_554100!C236,input_554100!A:H,8,FALSE))</f>
        <v>65769.230769999995</v>
      </c>
      <c r="P236" s="46">
        <f t="shared" ca="1" si="10"/>
        <v>1.1418269230823491E-2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input_554100!A$2</f>
        <v>554100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IFERROR(VLOOKUP(B237,input_554100!L:R,7,FALSE),VLOOKUP(tables_554100!C237,input_554100!A:H,8,FALSE))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input_554100!A$2</f>
        <v>554100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IFERROR(VLOOKUP(B238,input_554100!L:R,7,FALSE),VLOOKUP(tables_554100!C238,input_554100!A:H,8,FALSE))</f>
        <v>4000</v>
      </c>
      <c r="P238" s="46">
        <f t="shared" ca="1" si="10"/>
        <v>6.9444444443962237E-4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input_554100!A$2</f>
        <v>554100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IFERROR(VLOOKUP(B239,input_554100!L:R,7,FALSE),VLOOKUP(tables_554100!C239,input_554100!A:H,8,FALSE))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input_554100!A$2</f>
        <v>554100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IFERROR(VLOOKUP(B240,input_554100!L:R,7,FALSE),VLOOKUP(tables_554100!C240,input_554100!A:H,8,FALSE))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input_554100!A$2</f>
        <v>554100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IFERROR(VLOOKUP(B241,input_554100!L:R,7,FALSE),VLOOKUP(tables_554100!C241,input_554100!A:H,8,FALSE))</f>
        <v>65769.230769999995</v>
      </c>
      <c r="P241" s="46">
        <f t="shared" ca="1" si="10"/>
        <v>1.1418269230823491E-2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input_554100!A$2</f>
        <v>554100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IFERROR(VLOOKUP(B242,input_554100!L:R,7,FALSE),VLOOKUP(tables_554100!C242,input_554100!A:H,8,FALSE))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input_554100!A$2</f>
        <v>554100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IFERROR(VLOOKUP(B243,input_554100!L:R,7,FALSE),VLOOKUP(tables_554100!C243,input_554100!A:H,8,FALSE))</f>
        <v>4000</v>
      </c>
      <c r="P243" s="46">
        <f t="shared" ca="1" si="10"/>
        <v>6.9444444443962237E-4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input_554100!A$2</f>
        <v>554100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IFERROR(VLOOKUP(B244,input_554100!L:R,7,FALSE),VLOOKUP(tables_554100!C244,input_554100!A:H,8,FALSE))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input_554100!A$2</f>
        <v>554100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IFERROR(VLOOKUP(B245,input_554100!L:R,7,FALSE),VLOOKUP(tables_554100!C245,input_554100!A:H,8,FALSE))</f>
        <v>4000</v>
      </c>
      <c r="P245" s="46">
        <f t="shared" ca="1" si="10"/>
        <v>6.9444444443962237E-4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input_554100!A$2</f>
        <v>554100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IFERROR(VLOOKUP(B246,input_554100!L:R,7,FALSE),VLOOKUP(tables_554100!C246,input_554100!A:H,8,FALSE))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input_554100!A$2</f>
        <v>554100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IFERROR(VLOOKUP(B247,input_554100!L:R,7,FALSE),VLOOKUP(tables_554100!C247,input_554100!A:H,8,FALSE))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input_554100!A$2</f>
        <v>554100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IFERROR(VLOOKUP(B248,input_554100!L:R,7,FALSE),VLOOKUP(tables_554100!C248,input_554100!A:H,8,FALSE))</f>
        <v>65769.230769999995</v>
      </c>
      <c r="P248" s="46">
        <f t="shared" ca="1" si="10"/>
        <v>1.1418269230823491E-2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input_554100!A$2</f>
        <v>554100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IFERROR(VLOOKUP(B249,input_554100!L:R,7,FALSE),VLOOKUP(tables_554100!C249,input_554100!A:H,8,FALSE))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input_554100!A$2</f>
        <v>554100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IFERROR(VLOOKUP(B250,input_554100!L:R,7,FALSE),VLOOKUP(tables_554100!C250,input_554100!A:H,8,FALSE))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input_554100!A$2</f>
        <v>554100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IFERROR(VLOOKUP(B251,input_554100!L:R,7,FALSE),VLOOKUP(tables_554100!C251,input_554100!A:H,8,FALSE))</f>
        <v>65769.230769999995</v>
      </c>
      <c r="P251" s="46">
        <f t="shared" ca="1" si="10"/>
        <v>1.1418269230823491E-2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input_554100!A$2</f>
        <v>554100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IFERROR(VLOOKUP(B252,input_554100!L:R,7,FALSE),VLOOKUP(tables_554100!C252,input_554100!A:H,8,FALSE))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input_554100!A$2</f>
        <v>554100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IFERROR(VLOOKUP(B253,input_554100!L:R,7,FALSE),VLOOKUP(tables_554100!C253,input_554100!A:H,8,FALSE))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input_554100!A$2</f>
        <v>554100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IFERROR(VLOOKUP(B254,input_554100!L:R,7,FALSE),VLOOKUP(tables_554100!C254,input_554100!A:H,8,FALSE))</f>
        <v>65769.230769999995</v>
      </c>
      <c r="P254" s="46">
        <f t="shared" ca="1" si="10"/>
        <v>1.1418269230823491E-2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input_554100!A$2</f>
        <v>554100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IFERROR(VLOOKUP(B255,input_554100!L:R,7,FALSE),VLOOKUP(tables_554100!C255,input_554100!A:H,8,FALSE))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input_554100!A$2</f>
        <v>554100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IFERROR(VLOOKUP(B256,input_554100!L:R,7,FALSE),VLOOKUP(tables_554100!C256,input_554100!A:H,8,FALSE))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input_554100!A$2</f>
        <v>554100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IFERROR(VLOOKUP(B257,input_554100!L:R,7,FALSE),VLOOKUP(tables_554100!C257,input_554100!A:H,8,FALSE))</f>
        <v>65769.230769999995</v>
      </c>
      <c r="P257" s="46">
        <f t="shared" ca="1" si="10"/>
        <v>1.1418269230823491E-2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input_554100!A$2</f>
        <v>554100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IFERROR(VLOOKUP(B258,input_554100!L:R,7,FALSE),VLOOKUP(tables_554100!C258,input_554100!A:H,8,FALSE))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input_554100!A$2</f>
        <v>554100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IFERROR(VLOOKUP(B259,input_554100!L:R,7,FALSE),VLOOKUP(tables_554100!C259,input_554100!A:H,8,FALSE))</f>
        <v>4000</v>
      </c>
      <c r="P259" s="46">
        <f t="shared" ca="1" si="13"/>
        <v>6.9444444443962237E-4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input_554100!A$2</f>
        <v>554100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IFERROR(VLOOKUP(B260,input_554100!L:R,7,FALSE),VLOOKUP(tables_554100!C260,input_554100!A:H,8,FALSE))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input_554100!A$2</f>
        <v>554100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IFERROR(VLOOKUP(B261,input_554100!L:R,7,FALSE),VLOOKUP(tables_554100!C261,input_554100!A:H,8,FALSE))</f>
        <v>4000</v>
      </c>
      <c r="P261" s="46">
        <f t="shared" ca="1" si="13"/>
        <v>6.9444444443962237E-4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input_554100!A$2</f>
        <v>554100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IFERROR(VLOOKUP(B262,input_554100!L:R,7,FALSE),VLOOKUP(tables_554100!C262,input_554100!A:H,8,FALSE))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input_554100!A$2</f>
        <v>554100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IFERROR(VLOOKUP(B263,input_554100!L:R,7,FALSE),VLOOKUP(tables_554100!C263,input_554100!A:H,8,FALSE))</f>
        <v>68400</v>
      </c>
      <c r="P263" s="46">
        <f t="shared" ca="1" si="13"/>
        <v>1.1874999999917542E-2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input_554100!A$2</f>
        <v>554100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IFERROR(VLOOKUP(B264,input_554100!L:R,7,FALSE),VLOOKUP(tables_554100!C264,input_554100!A:H,8,FALSE))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input_554100!A$2</f>
        <v>554100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IFERROR(VLOOKUP(B265,input_554100!L:R,7,FALSE),VLOOKUP(tables_554100!C265,input_554100!A:H,8,FALSE))</f>
        <v>68400</v>
      </c>
      <c r="P265" s="46">
        <f t="shared" ca="1" si="13"/>
        <v>1.1874999999917542E-2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input_554100!A$2</f>
        <v>554100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IFERROR(VLOOKUP(B266,input_554100!L:R,7,FALSE),VLOOKUP(tables_554100!C266,input_554100!A:H,8,FALSE))</f>
        <v>4000</v>
      </c>
      <c r="P266" s="46">
        <f t="shared" ca="1" si="13"/>
        <v>6.9444444443962237E-4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input_554100!A$2</f>
        <v>554100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IFERROR(VLOOKUP(B267,input_554100!L:R,7,FALSE),VLOOKUP(tables_554100!C267,input_554100!A:H,8,FALSE))</f>
        <v>4000</v>
      </c>
      <c r="P267" s="46">
        <f t="shared" ca="1" si="13"/>
        <v>6.9444444443962237E-4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input_554100!A$2</f>
        <v>554100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IFERROR(VLOOKUP(B268,input_554100!L:R,7,FALSE),VLOOKUP(tables_554100!C268,input_554100!A:H,8,FALSE))</f>
        <v>4000</v>
      </c>
      <c r="P268" s="46">
        <f t="shared" ca="1" si="13"/>
        <v>6.9444444443962237E-4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input_554100!A$2</f>
        <v>554100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IFERROR(VLOOKUP(B269,input_554100!L:R,7,FALSE),VLOOKUP(tables_554100!C269,input_554100!A:H,8,FALSE))</f>
        <v>4000</v>
      </c>
      <c r="P269" s="46">
        <f t="shared" ca="1" si="13"/>
        <v>6.9444444443962237E-4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input_554100!A$2</f>
        <v>554100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IFERROR(VLOOKUP(B270,input_554100!L:R,7,FALSE),VLOOKUP(tables_554100!C270,input_554100!A:H,8,FALSE))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input_554100!A$2</f>
        <v>554100</v>
      </c>
      <c r="B271" s="8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IFERROR(VLOOKUP(B271,input_554100!L:R,7,FALSE),VLOOKUP(tables_554100!C271,input_554100!A:H,8,FALSE))</f>
        <v>68400</v>
      </c>
      <c r="P271" s="46">
        <f t="shared" ca="1" si="13"/>
        <v>1.1874999999917542E-2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input_554100!A$2</f>
        <v>554100</v>
      </c>
      <c r="B272" s="8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IFERROR(VLOOKUP(B272,input_554100!L:R,7,FALSE),VLOOKUP(tables_554100!C272,input_554100!A:H,8,FALSE))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input_554100!A$2</f>
        <v>554100</v>
      </c>
      <c r="B273" s="8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IFERROR(VLOOKUP(B273,input_554100!L:R,7,FALSE),VLOOKUP(tables_554100!C273,input_554100!A:H,8,FALSE))</f>
        <v>68400</v>
      </c>
      <c r="P273" s="46">
        <f t="shared" ca="1" si="13"/>
        <v>1.1874999999917542E-2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input_554100!A$2</f>
        <v>554100</v>
      </c>
      <c r="B274" s="8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IFERROR(VLOOKUP(B274,input_554100!L:R,7,FALSE),VLOOKUP(tables_554100!C274,input_554100!A:H,8,FALSE))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input_554100!A$2</f>
        <v>554100</v>
      </c>
      <c r="B275" s="8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IFERROR(VLOOKUP(B275,input_554100!L:R,7,FALSE),VLOOKUP(tables_554100!C275,input_554100!A:H,8,FALSE))</f>
        <v>4000</v>
      </c>
      <c r="P275" s="46">
        <f t="shared" ca="1" si="13"/>
        <v>6.9444444443962237E-4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input_554100!A$2</f>
        <v>554100</v>
      </c>
      <c r="B276" s="8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IFERROR(VLOOKUP(B276,input_554100!L:R,7,FALSE),VLOOKUP(tables_554100!C276,input_554100!A:H,8,FALSE))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input_554100!A$2</f>
        <v>554100</v>
      </c>
      <c r="B277" s="8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IFERROR(VLOOKUP(B277,input_554100!L:R,7,FALSE),VLOOKUP(tables_554100!C277,input_554100!A:H,8,FALSE))</f>
        <v>4000</v>
      </c>
      <c r="P277" s="46">
        <f t="shared" ca="1" si="13"/>
        <v>6.9444444443962237E-4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input_554100!A$2</f>
        <v>554100</v>
      </c>
      <c r="B278" s="8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IFERROR(VLOOKUP(B278,input_554100!L:R,7,FALSE),VLOOKUP(tables_554100!C278,input_554100!A:H,8,FALSE))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input_554100!A$2</f>
        <v>554100</v>
      </c>
      <c r="B279" s="8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IFERROR(VLOOKUP(B279,input_554100!L:R,7,FALSE),VLOOKUP(tables_554100!C279,input_554100!A:H,8,FALSE))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input_554100!A$2</f>
        <v>554100</v>
      </c>
      <c r="B280" s="8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IFERROR(VLOOKUP(B280,input_554100!L:R,7,FALSE),VLOOKUP(tables_554100!C280,input_554100!A:H,8,FALSE))</f>
        <v>65769.230769999995</v>
      </c>
      <c r="P280" s="46">
        <f t="shared" ca="1" si="13"/>
        <v>1.1418269230823491E-2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input_554100!A$2</f>
        <v>554100</v>
      </c>
      <c r="B281" s="8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IFERROR(VLOOKUP(B281,input_554100!L:R,7,FALSE),VLOOKUP(tables_554100!C281,input_554100!A:H,8,FALSE))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input_554100!A$2</f>
        <v>554100</v>
      </c>
      <c r="B282" s="8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IFERROR(VLOOKUP(B282,input_554100!L:R,7,FALSE),VLOOKUP(tables_554100!C282,input_554100!A:H,8,FALSE))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input_554100!A$2</f>
        <v>554100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IFERROR(VLOOKUP(B283,input_554100!L:R,7,FALSE),VLOOKUP(tables_554100!C283,input_554100!A:H,8,FALSE))</f>
        <v>65769.230769999995</v>
      </c>
      <c r="P283" s="46">
        <f t="shared" ca="1" si="13"/>
        <v>1.1418269230823491E-2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input_554100!A$2</f>
        <v>554100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IFERROR(VLOOKUP(B284,input_554100!L:R,7,FALSE),VLOOKUP(tables_554100!C284,input_554100!A:H,8,FALSE))</f>
        <v>4000</v>
      </c>
      <c r="P284" s="46">
        <f t="shared" ca="1" si="13"/>
        <v>6.9444444443962237E-4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input_554100!A$2</f>
        <v>554100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IFERROR(VLOOKUP(B285,input_554100!L:R,7,FALSE),VLOOKUP(tables_554100!C285,input_554100!A:H,8,FALSE))</f>
        <v>4000</v>
      </c>
      <c r="P285" s="46">
        <f t="shared" ca="1" si="13"/>
        <v>6.9444444443962237E-4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input_554100!A$2</f>
        <v>554100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IFERROR(VLOOKUP(B286,input_554100!L:R,7,FALSE),VLOOKUP(tables_554100!C286,input_554100!A:H,8,FALSE))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input_554100!A$2</f>
        <v>554100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IFERROR(VLOOKUP(B287,input_554100!L:R,7,FALSE),VLOOKUP(tables_554100!C287,input_554100!A:H,8,FALSE))</f>
        <v>68400</v>
      </c>
      <c r="P287" s="46">
        <f t="shared" ca="1" si="13"/>
        <v>1.1874999999917542E-2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input_554100!A$2</f>
        <v>554100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IFERROR(VLOOKUP(B288,input_554100!L:R,7,FALSE),VLOOKUP(tables_554100!C288,input_554100!A:H,8,FALSE))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input_554100!A$2</f>
        <v>554100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IFERROR(VLOOKUP(B289,input_554100!L:R,7,FALSE),VLOOKUP(tables_554100!C289,input_554100!A:H,8,FALSE))</f>
        <v>68400</v>
      </c>
      <c r="P289" s="46">
        <f t="shared" ca="1" si="13"/>
        <v>1.1874999999917542E-2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input_554100!A$2</f>
        <v>554100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IFERROR(VLOOKUP(B290,input_554100!L:R,7,FALSE),VLOOKUP(tables_554100!C290,input_554100!A:H,8,FALSE))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input_554100!A$2</f>
        <v>554100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IFERROR(VLOOKUP(B291,input_554100!L:R,7,FALSE),VLOOKUP(tables_554100!C291,input_554100!A:H,8,FALSE))</f>
        <v>68400</v>
      </c>
      <c r="P291" s="46">
        <f t="shared" ca="1" si="13"/>
        <v>1.1874999999917542E-2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input_554100!A$2</f>
        <v>554100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IFERROR(VLOOKUP(B292,input_554100!L:R,7,FALSE),VLOOKUP(tables_554100!C292,input_554100!A:H,8,FALSE))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input_554100!A$2</f>
        <v>554100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IFERROR(VLOOKUP(B293,input_554100!L:R,7,FALSE),VLOOKUP(tables_554100!C293,input_554100!A:H,8,FALSE))</f>
        <v>68400</v>
      </c>
      <c r="P293" s="46">
        <f t="shared" ca="1" si="13"/>
        <v>1.1874999999917542E-2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input_554100!A$2</f>
        <v>554100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IFERROR(VLOOKUP(B294,input_554100!L:R,7,FALSE),VLOOKUP(tables_554100!C294,input_554100!A:H,8,FALSE))</f>
        <v>4000</v>
      </c>
      <c r="P294" s="46">
        <f t="shared" ca="1" si="13"/>
        <v>6.9444444443962237E-4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input_554100!A$2</f>
        <v>554100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IFERROR(VLOOKUP(B295,input_554100!L:R,7,FALSE),VLOOKUP(tables_554100!C295,input_554100!A:H,8,FALSE))</f>
        <v>4000</v>
      </c>
      <c r="P295" s="46">
        <f t="shared" ca="1" si="13"/>
        <v>6.9444444443962237E-4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input_554100!A$2</f>
        <v>554100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IFERROR(VLOOKUP(B296,input_554100!L:R,7,FALSE),VLOOKUP(tables_554100!C296,input_554100!A:H,8,FALSE))</f>
        <v>4000</v>
      </c>
      <c r="P296" s="46">
        <f t="shared" ca="1" si="13"/>
        <v>6.9444444443962237E-4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input_554100!A$2</f>
        <v>554100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IFERROR(VLOOKUP(B297,input_554100!L:R,7,FALSE),VLOOKUP(tables_554100!C297,input_554100!A:H,8,FALSE))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input_554100!A$2</f>
        <v>554100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IFERROR(VLOOKUP(B298,input_554100!L:R,7,FALSE),VLOOKUP(tables_554100!C298,input_554100!A:H,8,FALSE))</f>
        <v>68400</v>
      </c>
      <c r="P298" s="46">
        <f t="shared" ca="1" si="13"/>
        <v>1.1874999999917542E-2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input_554100!A$2</f>
        <v>554100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IFERROR(VLOOKUP(B299,input_554100!L:R,7,FALSE),VLOOKUP(tables_554100!C299,input_554100!A:H,8,FALSE))</f>
        <v>4000</v>
      </c>
      <c r="P299" s="46">
        <f t="shared" ca="1" si="13"/>
        <v>6.9444444443962237E-4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input_554100!A$2</f>
        <v>554100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IFERROR(VLOOKUP(B300,input_554100!L:R,7,FALSE),VLOOKUP(tables_554100!C300,input_554100!A:H,8,FALSE))</f>
        <v>4000</v>
      </c>
      <c r="P300" s="46">
        <f t="shared" ca="1" si="13"/>
        <v>6.9444444443962237E-4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input_554100!A$2</f>
        <v>554100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IFERROR(VLOOKUP(B301,input_554100!L:R,7,FALSE),VLOOKUP(tables_554100!C301,input_554100!A:H,8,FALSE))</f>
        <v>4000</v>
      </c>
      <c r="P301" s="46">
        <f t="shared" ca="1" si="13"/>
        <v>6.9444444443962237E-4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input_554100!A$2</f>
        <v>554100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IFERROR(VLOOKUP(B302,input_554100!L:R,7,FALSE),VLOOKUP(tables_554100!C302,input_554100!A:H,8,FALSE))</f>
        <v>4000</v>
      </c>
      <c r="P302" s="46">
        <f t="shared" ca="1" si="13"/>
        <v>6.9444444443962237E-4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input_554100!A$2</f>
        <v>554100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IFERROR(VLOOKUP(B303,input_554100!L:R,7,FALSE),VLOOKUP(tables_554100!C303,input_554100!A:H,8,FALSE))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input_554100!A$2</f>
        <v>554100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IFERROR(VLOOKUP(B304,input_554100!L:R,7,FALSE),VLOOKUP(tables_554100!C304,input_554100!A:H,8,FALSE))</f>
        <v>68400</v>
      </c>
      <c r="P304" s="46">
        <f t="shared" ca="1" si="13"/>
        <v>1.1874999999917542E-2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input_554100!A$2</f>
        <v>554100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IFERROR(VLOOKUP(B305,input_554100!L:R,7,FALSE),VLOOKUP(tables_554100!C305,input_554100!A:H,8,FALSE))</f>
        <v>4000</v>
      </c>
      <c r="P305" s="46">
        <f t="shared" ca="1" si="13"/>
        <v>6.9444444443962237E-4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input_554100!A$2</f>
        <v>554100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IFERROR(VLOOKUP(B306,input_554100!L:R,7,FALSE),VLOOKUP(tables_554100!C306,input_554100!A:H,8,FALSE))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input_554100!A$2</f>
        <v>554100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IFERROR(VLOOKUP(B307,input_554100!L:R,7,FALSE),VLOOKUP(tables_554100!C307,input_554100!A:H,8,FALSE))</f>
        <v>68400</v>
      </c>
      <c r="P307" s="46">
        <f t="shared" ca="1" si="13"/>
        <v>1.1874999999917542E-2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input_554100!A$2</f>
        <v>554100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IFERROR(VLOOKUP(B308,input_554100!L:R,7,FALSE),VLOOKUP(tables_554100!C308,input_554100!A:H,8,FALSE))</f>
        <v>4000</v>
      </c>
      <c r="P308" s="46">
        <f t="shared" ca="1" si="13"/>
        <v>6.9444444443962237E-4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input_554100!A$2</f>
        <v>554100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IFERROR(VLOOKUP(B309,input_554100!L:R,7,FALSE),VLOOKUP(tables_554100!C309,input_554100!A:H,8,FALSE))</f>
        <v>4000</v>
      </c>
      <c r="P309" s="46">
        <f t="shared" ca="1" si="13"/>
        <v>6.9444444443962237E-4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input_554100!A$2</f>
        <v>554100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IFERROR(VLOOKUP(B310,input_554100!L:R,7,FALSE),VLOOKUP(tables_554100!C310,input_554100!A:H,8,FALSE))</f>
        <v>4000</v>
      </c>
      <c r="P310" s="46">
        <f t="shared" ca="1" si="13"/>
        <v>6.9444444443962237E-4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input_554100!A$2</f>
        <v>554100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IFERROR(VLOOKUP(B311,input_554100!L:R,7,FALSE),VLOOKUP(tables_554100!C311,input_554100!A:H,8,FALSE))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input_554100!A$2</f>
        <v>554100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IFERROR(VLOOKUP(B312,input_554100!L:R,7,FALSE),VLOOKUP(tables_554100!C312,input_554100!A:H,8,FALSE))</f>
        <v>68400</v>
      </c>
      <c r="P312" s="46">
        <f t="shared" ca="1" si="13"/>
        <v>1.1874999999917542E-2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input_554100!A$2</f>
        <v>554100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IFERROR(VLOOKUP(B313,input_554100!L:R,7,FALSE),VLOOKUP(tables_554100!C313,input_554100!A:H,8,FALSE))</f>
        <v>4000</v>
      </c>
      <c r="P313" s="46">
        <f t="shared" ca="1" si="13"/>
        <v>6.9444444443962237E-4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input_554100!A$2</f>
        <v>554100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IFERROR(VLOOKUP(B314,input_554100!L:R,7,FALSE),VLOOKUP(tables_554100!C314,input_554100!A:H,8,FALSE))</f>
        <v>4000</v>
      </c>
      <c r="P314" s="46">
        <f t="shared" ca="1" si="13"/>
        <v>6.9444444443962237E-4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input_554100!A$2</f>
        <v>554100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IFERROR(VLOOKUP(B315,input_554100!L:R,7,FALSE),VLOOKUP(tables_554100!C315,input_554100!A:H,8,FALSE))</f>
        <v>4000</v>
      </c>
      <c r="P315" s="46">
        <f t="shared" ca="1" si="13"/>
        <v>6.9444444443962237E-4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input_554100!A$2</f>
        <v>554100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IFERROR(VLOOKUP(B316,input_554100!L:R,7,FALSE),VLOOKUP(tables_554100!C316,input_554100!A:H,8,FALSE))</f>
        <v>4000</v>
      </c>
      <c r="P316" s="46">
        <f t="shared" ca="1" si="13"/>
        <v>6.9444444443962237E-4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input_554100!A$2</f>
        <v>554100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IFERROR(VLOOKUP(B317,input_554100!L:R,7,FALSE),VLOOKUP(tables_554100!C317,input_554100!A:H,8,FALSE))</f>
        <v>4000</v>
      </c>
      <c r="P317" s="46">
        <f t="shared" ca="1" si="13"/>
        <v>6.9444444443962237E-4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input_554100!A$2</f>
        <v>554100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IFERROR(VLOOKUP(B318,input_554100!L:R,7,FALSE),VLOOKUP(tables_554100!C318,input_554100!A:H,8,FALSE))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input_554100!A$2</f>
        <v>554100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IFERROR(VLOOKUP(B319,input_554100!L:R,7,FALSE),VLOOKUP(tables_554100!C319,input_554100!A:H,8,FALSE))</f>
        <v>68400</v>
      </c>
      <c r="P319" s="46">
        <f t="shared" ca="1" si="13"/>
        <v>1.1874999999917542E-2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input_554100!A$2</f>
        <v>554100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IFERROR(VLOOKUP(B320,input_554100!L:R,7,FALSE),VLOOKUP(tables_554100!C320,input_554100!A:H,8,FALSE))</f>
        <v>4000</v>
      </c>
      <c r="P320" s="46">
        <f t="shared" ca="1" si="13"/>
        <v>6.9444444443962237E-4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input_554100!A$2</f>
        <v>554100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IFERROR(VLOOKUP(B321,input_554100!L:R,7,FALSE),VLOOKUP(tables_554100!C321,input_554100!A:H,8,FALSE))</f>
        <v>4000</v>
      </c>
      <c r="P321" s="46">
        <f t="shared" ca="1" si="13"/>
        <v>6.9444444443962237E-4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input_554100!A$2</f>
        <v>554100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IFERROR(VLOOKUP(B322,input_554100!L:R,7,FALSE),VLOOKUP(tables_554100!C322,input_554100!A:H,8,FALSE))</f>
        <v>4000</v>
      </c>
      <c r="P322" s="46">
        <f t="shared" ref="P322:P346" ca="1" si="23">O322/SUM(O:O)</f>
        <v>6.9444444443962237E-4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input_554100!A$2</f>
        <v>554100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IFERROR(VLOOKUP(B323,input_554100!L:R,7,FALSE),VLOOKUP(tables_554100!C323,input_554100!A:H,8,FALSE))</f>
        <v>4000</v>
      </c>
      <c r="P323" s="46">
        <f t="shared" ca="1" si="23"/>
        <v>6.9444444443962237E-4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input_554100!A$2</f>
        <v>554100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IFERROR(VLOOKUP(B324,input_554100!L:R,7,FALSE),VLOOKUP(tables_554100!C324,input_554100!A:H,8,FALSE))</f>
        <v>0</v>
      </c>
      <c r="P324" s="46">
        <f t="shared" ca="1" si="23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input_554100!A$2</f>
        <v>554100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IFERROR(VLOOKUP(B325,input_554100!L:R,7,FALSE),VLOOKUP(tables_554100!C325,input_554100!A:H,8,FALSE))</f>
        <v>68400</v>
      </c>
      <c r="P325" s="46">
        <f t="shared" ca="1" si="23"/>
        <v>1.1874999999917542E-2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input_554100!A$2</f>
        <v>554100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IFERROR(VLOOKUP(B326,input_554100!L:R,7,FALSE),VLOOKUP(tables_554100!C326,input_554100!A:H,8,FALSE))</f>
        <v>0</v>
      </c>
      <c r="P326" s="46">
        <f t="shared" ca="1" si="23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input_554100!A$2</f>
        <v>554100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IFERROR(VLOOKUP(B327,input_554100!L:R,7,FALSE),VLOOKUP(tables_554100!C327,input_554100!A:H,8,FALSE))</f>
        <v>68400</v>
      </c>
      <c r="P327" s="46">
        <f t="shared" ca="1" si="23"/>
        <v>1.1874999999917542E-2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input_554100!A$2</f>
        <v>554100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IFERROR(VLOOKUP(B328,input_554100!L:R,7,FALSE),VLOOKUP(tables_554100!C328,input_554100!A:H,8,FALSE))</f>
        <v>4000</v>
      </c>
      <c r="P328" s="46">
        <f t="shared" ca="1" si="23"/>
        <v>6.9444444443962237E-4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input_554100!A$2</f>
        <v>554100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IFERROR(VLOOKUP(B329,input_554100!L:R,7,FALSE),VLOOKUP(tables_554100!C329,input_554100!A:H,8,FALSE))</f>
        <v>4000</v>
      </c>
      <c r="P329" s="46">
        <f t="shared" ca="1" si="23"/>
        <v>6.9444444443962237E-4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input_554100!A$2</f>
        <v>554100</v>
      </c>
      <c r="B330" s="2">
        <v>1157</v>
      </c>
      <c r="C330" s="7" t="str">
        <f t="shared" si="25"/>
        <v>PremiumSS5R5only</v>
      </c>
      <c r="D330" s="94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IFERROR(VLOOKUP(B330,input_554100!L:R,7,FALSE),VLOOKUP(tables_554100!C330,input_554100!A:H,8,FALSE))</f>
        <v>4000</v>
      </c>
      <c r="P330" s="46">
        <f t="shared" ca="1" si="23"/>
        <v>6.9444444443962237E-4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input_554100!A$2</f>
        <v>554100</v>
      </c>
      <c r="B331" s="60">
        <v>1214</v>
      </c>
      <c r="C331" s="7" t="str">
        <f t="shared" ref="C331:C335" si="26">D331&amp;J331&amp;E331&amp;F331&amp;G331</f>
        <v>PremiumSS5R5only</v>
      </c>
      <c r="D331" s="94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IFERROR(VLOOKUP(B331,input_554100!L:R,7,FALSE),VLOOKUP(tables_554100!C331,input_554100!A:H,8,FALSE))</f>
        <v>4000</v>
      </c>
      <c r="P331" s="46">
        <f t="shared" ca="1" si="23"/>
        <v>6.9444444443962237E-4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input_554100!A$2</f>
        <v>554100</v>
      </c>
      <c r="B332" s="60">
        <v>1212</v>
      </c>
      <c r="C332" s="7" t="str">
        <f t="shared" si="26"/>
        <v>PremiumSS5R5only</v>
      </c>
      <c r="D332" s="94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IFERROR(VLOOKUP(B332,input_554100!L:R,7,FALSE),VLOOKUP(tables_554100!C332,input_554100!A:H,8,FALSE))</f>
        <v>4000</v>
      </c>
      <c r="P332" s="46">
        <f t="shared" ca="1" si="23"/>
        <v>6.9444444443962237E-4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input_554100!A$2</f>
        <v>554100</v>
      </c>
      <c r="B333" s="60">
        <v>1208</v>
      </c>
      <c r="C333" s="7" t="str">
        <f t="shared" si="26"/>
        <v>PremiumSS5R5only</v>
      </c>
      <c r="D333" s="94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IFERROR(VLOOKUP(B333,input_554100!L:R,7,FALSE),VLOOKUP(tables_554100!C333,input_554100!A:H,8,FALSE))</f>
        <v>4000</v>
      </c>
      <c r="P333" s="46">
        <f t="shared" ca="1" si="23"/>
        <v>6.9444444443962237E-4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input_554100!A$2</f>
        <v>554100</v>
      </c>
      <c r="B334" s="90">
        <v>1210</v>
      </c>
      <c r="C334" s="7" t="str">
        <f t="shared" si="26"/>
        <v>Premium4R3less</v>
      </c>
      <c r="D334" s="94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IFERROR(VLOOKUP(B334,input_554100!L:R,7,FALSE),VLOOKUP(tables_554100!C334,input_554100!A:H,8,FALSE))</f>
        <v>0</v>
      </c>
      <c r="P334" s="46">
        <f t="shared" ca="1" si="23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input_554100!A$2</f>
        <v>554100</v>
      </c>
      <c r="B335" s="60">
        <v>1211</v>
      </c>
      <c r="C335" s="7" t="str">
        <f t="shared" si="26"/>
        <v>Premium5R3less</v>
      </c>
      <c r="D335" s="94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IFERROR(VLOOKUP(B335,input_554100!L:R,7,FALSE),VLOOKUP(tables_554100!C335,input_554100!A:H,8,FALSE))</f>
        <v>68400</v>
      </c>
      <c r="P335" s="46">
        <f t="shared" ca="1" si="23"/>
        <v>1.1874999999917542E-2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input_554100!A$2</f>
        <v>554100</v>
      </c>
      <c r="B336" s="2">
        <v>1224</v>
      </c>
      <c r="C336" s="7" t="str">
        <f t="shared" ref="C336:C340" si="28">D336&amp;J336&amp;E336&amp;F336&amp;G336</f>
        <v>Premium4R3less</v>
      </c>
      <c r="D336" s="94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IFERROR(VLOOKUP(B336,input_554100!L:R,7,FALSE),VLOOKUP(tables_554100!C336,input_554100!A:H,8,FALSE))</f>
        <v>0</v>
      </c>
      <c r="P336" s="46">
        <f t="shared" ca="1" si="23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input_554100!A$2</f>
        <v>554100</v>
      </c>
      <c r="B337" s="2">
        <v>1225</v>
      </c>
      <c r="C337" s="7" t="str">
        <f t="shared" si="28"/>
        <v>Premium5R3less</v>
      </c>
      <c r="D337" s="94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IFERROR(VLOOKUP(B337,input_554100!L:R,7,FALSE),VLOOKUP(tables_554100!C337,input_554100!A:H,8,FALSE))</f>
        <v>68400</v>
      </c>
      <c r="P337" s="46">
        <f t="shared" ca="1" si="23"/>
        <v>1.1874999999917542E-2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input_554100!A$2</f>
        <v>554100</v>
      </c>
      <c r="B338" s="2">
        <v>1226</v>
      </c>
      <c r="C338" s="7" t="str">
        <f t="shared" si="28"/>
        <v>PremiumSS5R5only</v>
      </c>
      <c r="D338" s="94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IFERROR(VLOOKUP(B338,input_554100!L:R,7,FALSE),VLOOKUP(tables_554100!C338,input_554100!A:H,8,FALSE))</f>
        <v>4000</v>
      </c>
      <c r="P338" s="46">
        <f t="shared" ca="1" si="23"/>
        <v>6.9444444443962237E-4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input_554100!A$2</f>
        <v>554100</v>
      </c>
      <c r="B339" s="2">
        <v>1228</v>
      </c>
      <c r="C339" s="7" t="str">
        <f t="shared" si="28"/>
        <v>PremiumSS5R5only</v>
      </c>
      <c r="D339" s="94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IFERROR(VLOOKUP(B339,input_554100!L:R,7,FALSE),VLOOKUP(tables_554100!C339,input_554100!A:H,8,FALSE))</f>
        <v>4000</v>
      </c>
      <c r="P339" s="46">
        <f t="shared" ca="1" si="23"/>
        <v>6.9444444443962237E-4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input_554100!A$2</f>
        <v>554100</v>
      </c>
      <c r="B340" s="2">
        <v>1230</v>
      </c>
      <c r="C340" s="7" t="str">
        <f t="shared" si="28"/>
        <v>PremiumSS5R5only</v>
      </c>
      <c r="D340" s="94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IFERROR(VLOOKUP(B340,input_554100!L:R,7,FALSE),VLOOKUP(tables_554100!C340,input_554100!A:H,8,FALSE))</f>
        <v>4000</v>
      </c>
      <c r="P340" s="46">
        <f t="shared" ca="1" si="23"/>
        <v>6.9444444443962237E-4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input_554100!A$2</f>
        <v>554100</v>
      </c>
      <c r="B341" s="95">
        <v>1244</v>
      </c>
      <c r="C341" s="7" t="str">
        <f t="shared" ref="C341:C342" si="30">D341&amp;J341&amp;E341&amp;F341&amp;G341</f>
        <v>PremiumSS5R5only</v>
      </c>
      <c r="D341" s="94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IFERROR(VLOOKUP(B341,input_554100!L:R,7,FALSE),VLOOKUP(tables_554100!C341,input_554100!A:H,8,FALSE))</f>
        <v>4000</v>
      </c>
      <c r="P341" s="46">
        <f t="shared" ca="1" si="23"/>
        <v>6.9444444443962237E-4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input_554100!A$2</f>
        <v>554100</v>
      </c>
      <c r="B342" s="95">
        <v>1246</v>
      </c>
      <c r="C342" s="7" t="str">
        <f t="shared" si="30"/>
        <v>PremiumSS5R5only</v>
      </c>
      <c r="D342" s="94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IFERROR(VLOOKUP(B342,input_554100!L:R,7,FALSE),VLOOKUP(tables_554100!C342,input_554100!A:H,8,FALSE))</f>
        <v>4000</v>
      </c>
      <c r="P342" s="46">
        <f t="shared" ca="1" si="23"/>
        <v>6.9444444443962237E-4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input_554100!A$2</f>
        <v>554100</v>
      </c>
      <c r="B343" s="95">
        <v>1248</v>
      </c>
      <c r="C343" s="7" t="str">
        <f t="shared" ref="C343:C345" si="32">D343&amp;J343&amp;E343&amp;F343&amp;G343</f>
        <v>Premium4R3less</v>
      </c>
      <c r="D343" s="94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IFERROR(VLOOKUP(B343,input_554100!L:R,7,FALSE),VLOOKUP(tables_554100!C343,input_554100!A:H,8,FALSE))</f>
        <v>0</v>
      </c>
      <c r="P343" s="46">
        <f t="shared" ca="1" si="23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input_554100!A$2</f>
        <v>554100</v>
      </c>
      <c r="B344" s="95">
        <v>1249</v>
      </c>
      <c r="C344" s="7" t="str">
        <f t="shared" si="32"/>
        <v>Premium5R3less</v>
      </c>
      <c r="D344" s="94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IFERROR(VLOOKUP(B344,input_554100!L:R,7,FALSE),VLOOKUP(tables_554100!C344,input_554100!A:H,8,FALSE))</f>
        <v>68400</v>
      </c>
      <c r="P344" s="46">
        <f t="shared" ca="1" si="23"/>
        <v>1.1874999999917542E-2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input_554100!A$2</f>
        <v>554100</v>
      </c>
      <c r="B345" s="95">
        <v>1250</v>
      </c>
      <c r="C345" s="7" t="str">
        <f t="shared" si="32"/>
        <v>PremiumSS5R5only</v>
      </c>
      <c r="D345" s="94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IFERROR(VLOOKUP(B345,input_554100!L:R,7,FALSE),VLOOKUP(tables_554100!C345,input_554100!A:H,8,FALSE))</f>
        <v>4000</v>
      </c>
      <c r="P345" s="46">
        <f t="shared" ca="1" si="23"/>
        <v>6.9444444443962237E-4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input_554100!A$2</f>
        <v>554100</v>
      </c>
      <c r="B346" s="1">
        <v>1260</v>
      </c>
      <c r="C346" s="7" t="str">
        <f t="shared" ref="C346" si="34">D346&amp;J346&amp;E346&amp;F346&amp;G346</f>
        <v>PremiumSS5R5only</v>
      </c>
      <c r="D346" s="94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IFERROR(VLOOKUP(B346,input_554100!L:R,7,FALSE),VLOOKUP(tables_554100!C346,input_554100!A:H,8,FALSE))</f>
        <v>4000</v>
      </c>
      <c r="P346" s="46">
        <f t="shared" ca="1" si="23"/>
        <v>6.9444444443962237E-4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input_554100!A$2</f>
        <v>554100</v>
      </c>
      <c r="B347" s="1">
        <v>1262</v>
      </c>
      <c r="C347" s="7" t="str">
        <f t="shared" ref="C347:C348" si="36">D347&amp;J347&amp;E347&amp;F347&amp;G347</f>
        <v>PremiumSS5R5only</v>
      </c>
      <c r="D347" s="94" t="str">
        <f t="shared" ref="D347:D348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IFERROR(VLOOKUP(B347,input_554100!L:R,7,FALSE),VLOOKUP(tables_554100!C347,input_554100!A:H,8,FALSE))</f>
        <v>4000</v>
      </c>
      <c r="P347" s="46">
        <f t="shared" ref="P347:P348" ca="1" si="38">O347/SUM(O:O)</f>
        <v>6.9444444443962237E-4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input_554100!A$2</f>
        <v>554100</v>
      </c>
      <c r="B348" s="1">
        <v>1264</v>
      </c>
      <c r="C348" s="7" t="str">
        <f t="shared" si="36"/>
        <v>PremiumSS5R5only</v>
      </c>
      <c r="D348" s="94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IFERROR(VLOOKUP(B348,input_554100!L:R,7,FALSE),VLOOKUP(tables_554100!C348,input_554100!A:H,8,FALSE))</f>
        <v>4000</v>
      </c>
      <c r="P348" s="46">
        <f t="shared" ca="1" si="38"/>
        <v>6.9444444443962237E-4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input_554100!A$2</f>
        <v>554100</v>
      </c>
      <c r="B349" s="1">
        <v>1266</v>
      </c>
      <c r="C349" s="7" t="str">
        <f t="shared" ref="C349:C355" si="39">D349&amp;J349&amp;E349&amp;F349&amp;G349</f>
        <v>Premium4R3less</v>
      </c>
      <c r="D349" s="94" t="str">
        <f t="shared" ref="D349:D355" si="40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IFERROR(VLOOKUP(B349,input_554100!L:R,7,FALSE),VLOOKUP(tables_554100!C349,input_554100!A:H,8,FALSE))</f>
        <v>0</v>
      </c>
      <c r="P349" s="46">
        <f t="shared" ref="P349:P355" ca="1" si="41">O349/SUM(O:O)</f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input_554100!A$2</f>
        <v>554100</v>
      </c>
      <c r="B350" s="1">
        <v>1267</v>
      </c>
      <c r="C350" s="7" t="str">
        <f t="shared" si="39"/>
        <v>Premium5R3less</v>
      </c>
      <c r="D350" s="94" t="str">
        <f t="shared" si="40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IFERROR(VLOOKUP(B350,input_554100!L:R,7,FALSE),VLOOKUP(tables_554100!C350,input_554100!A:H,8,FALSE))</f>
        <v>68400</v>
      </c>
      <c r="P350" s="46">
        <f t="shared" ca="1" si="41"/>
        <v>1.1874999999917542E-2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input_554100!A$2</f>
        <v>554100</v>
      </c>
      <c r="B351" s="98">
        <v>1332</v>
      </c>
      <c r="C351" s="7" t="str">
        <f t="shared" si="39"/>
        <v>PremiumSS5R5only</v>
      </c>
      <c r="D351" s="94" t="str">
        <f t="shared" si="40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IFERROR(VLOOKUP(B351,input_554100!L:R,7,FALSE),VLOOKUP(tables_554100!C351,input_554100!A:H,8,FALSE))</f>
        <v>4000</v>
      </c>
      <c r="P351" s="46">
        <f t="shared" ca="1" si="41"/>
        <v>6.9444444443962237E-4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input_554100!A$2</f>
        <v>554100</v>
      </c>
      <c r="B352" s="98">
        <v>1336</v>
      </c>
      <c r="C352" s="7" t="str">
        <f t="shared" si="39"/>
        <v>PremiumSS5R5only</v>
      </c>
      <c r="D352" s="94" t="str">
        <f t="shared" si="40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IFERROR(VLOOKUP(B352,input_554100!L:R,7,FALSE),VLOOKUP(tables_554100!C352,input_554100!A:H,8,FALSE))</f>
        <v>4000</v>
      </c>
      <c r="P352" s="46">
        <f t="shared" ca="1" si="41"/>
        <v>6.9444444443962237E-4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input_554100!A$2</f>
        <v>554100</v>
      </c>
      <c r="B353" s="98">
        <v>1338</v>
      </c>
      <c r="C353" s="7" t="str">
        <f t="shared" si="39"/>
        <v>PremiumSS5R5only</v>
      </c>
      <c r="D353" s="94" t="str">
        <f t="shared" si="40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IFERROR(VLOOKUP(B353,input_554100!L:R,7,FALSE),VLOOKUP(tables_554100!C353,input_554100!A:H,8,FALSE))</f>
        <v>4000</v>
      </c>
      <c r="P353" s="46">
        <f t="shared" ca="1" si="41"/>
        <v>6.9444444443962237E-4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input_554100!A$2</f>
        <v>554100</v>
      </c>
      <c r="B354" s="98">
        <v>1334</v>
      </c>
      <c r="C354" s="7" t="str">
        <f t="shared" si="39"/>
        <v>Premium4R3less</v>
      </c>
      <c r="D354" s="94" t="str">
        <f t="shared" si="40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IFERROR(VLOOKUP(B354,input_554100!L:R,7,FALSE),VLOOKUP(tables_554100!C354,input_554100!A:H,8,FALSE))</f>
        <v>0</v>
      </c>
      <c r="P354" s="46">
        <f t="shared" ca="1" si="41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input_554100!A$2</f>
        <v>554100</v>
      </c>
      <c r="B355" s="98">
        <v>1335</v>
      </c>
      <c r="C355" s="7" t="str">
        <f t="shared" si="39"/>
        <v>Premium5R3less</v>
      </c>
      <c r="D355" s="94" t="str">
        <f t="shared" si="40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IFERROR(VLOOKUP(B355,input_554100!L:R,7,FALSE),VLOOKUP(tables_554100!C355,input_554100!A:H,8,FALSE))</f>
        <v>68400</v>
      </c>
      <c r="P355" s="46">
        <f t="shared" ca="1" si="41"/>
        <v>1.1874999999917542E-2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customFormat="1" ht="21" customHeight="1" x14ac:dyDescent="0.15"/>
    <row r="357" spans="1:22" customFormat="1" ht="21" customHeight="1" x14ac:dyDescent="0.15"/>
    <row r="358" spans="1:22" customFormat="1" ht="21" customHeight="1" x14ac:dyDescent="0.15"/>
    <row r="359" spans="1:22" customFormat="1" ht="21" customHeight="1" x14ac:dyDescent="0.15"/>
    <row r="360" spans="1:22" customFormat="1" ht="21" customHeight="1" x14ac:dyDescent="0.15"/>
    <row r="361" spans="1:22" customFormat="1" ht="21" customHeight="1" x14ac:dyDescent="0.15"/>
  </sheetData>
  <autoFilter ref="A1:V346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19"/>
  <sheetViews>
    <sheetView showGridLines="0" tabSelected="1" workbookViewId="0">
      <pane ySplit="1" topLeftCell="A2" activePane="bottomLeft" state="frozen"/>
      <selection activeCell="M24" sqref="M24"/>
      <selection pane="bottomLeft" activeCell="P2" sqref="P2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>
        <v>554100</v>
      </c>
      <c r="B2" s="97" t="str">
        <f>A2&amp;1</f>
        <v>5541001</v>
      </c>
      <c r="C2" s="78" t="s">
        <v>257</v>
      </c>
      <c r="D2" s="78">
        <v>1</v>
      </c>
      <c r="E2" s="78">
        <v>3</v>
      </c>
      <c r="F2" s="78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8" t="s">
        <v>250</v>
      </c>
      <c r="O2" s="78" t="s">
        <v>258</v>
      </c>
      <c r="P2" s="78" t="s">
        <v>259</v>
      </c>
      <c r="Q2" s="79" t="s">
        <v>260</v>
      </c>
    </row>
    <row r="3" spans="1:17" customFormat="1" ht="22" customHeight="1" x14ac:dyDescent="0.15"/>
    <row r="4" spans="1:17" customFormat="1" ht="22" customHeight="1" x14ac:dyDescent="0.15"/>
    <row r="5" spans="1:17" customFormat="1" ht="22" customHeight="1" x14ac:dyDescent="0.15"/>
    <row r="6" spans="1:17" customFormat="1" ht="21" customHeight="1" x14ac:dyDescent="0.15"/>
    <row r="7" spans="1:17" customFormat="1" ht="21" customHeight="1" x14ac:dyDescent="0.15"/>
    <row r="8" spans="1:17" customFormat="1" ht="21" customHeight="1" x14ac:dyDescent="0.15"/>
    <row r="9" spans="1:17" customFormat="1" ht="21" customHeight="1" x14ac:dyDescent="0.15"/>
    <row r="10" spans="1:17" customFormat="1" ht="21" customHeight="1" x14ac:dyDescent="0.15"/>
    <row r="11" spans="1:17" customFormat="1" ht="21" customHeight="1" x14ac:dyDescent="0.15"/>
    <row r="12" spans="1:17" customFormat="1" ht="21" customHeight="1" x14ac:dyDescent="0.15"/>
    <row r="13" spans="1:17" customFormat="1" ht="21" customHeight="1" x14ac:dyDescent="0.15"/>
    <row r="14" spans="1:17" customFormat="1" ht="21" customHeight="1" x14ac:dyDescent="0.15"/>
    <row r="15" spans="1:17" customFormat="1" ht="21" customHeight="1" x14ac:dyDescent="0.15"/>
    <row r="16" spans="1:17" customFormat="1" ht="21" customHeight="1" x14ac:dyDescent="0.15"/>
    <row r="17" customFormat="1" ht="21" customHeight="1" x14ac:dyDescent="0.15"/>
    <row r="18" customFormat="1" ht="21" customHeight="1" x14ac:dyDescent="0.15"/>
    <row r="19" customFormat="1" ht="21" customHeight="1" x14ac:dyDescent="0.15"/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input_554100</vt:lpstr>
      <vt:lpstr>tables_554100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2017-03-17T05:15:57Z</dcterms:modified>
</cp:coreProperties>
</file>