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62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52" l="1"/>
  <c r="K3" i="52"/>
  <c r="H3" i="23"/>
  <c r="BR3" i="23"/>
  <c r="H2" i="23"/>
  <c r="BR2" i="23"/>
  <c r="B3" i="57"/>
  <c r="E3" i="57"/>
  <c r="F3" i="57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<sst xmlns="http://schemas.openxmlformats.org/spreadsheetml/2006/main" count="885" uniqueCount="361">
  <si>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</si>
  <si>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</si>
  <si>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</si>
  <si>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</si>
  <si>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</si>
  <si>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</si>
  <si>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</si>
  <si>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</si>
  <si>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</si>
  <si>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</si>
  <si>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</si>
  <si>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</si>
  <si>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</si>
  <si>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</si>
  <si>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</si>
  <si>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</si>
  <si>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</si>
  <si>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</si>
  <si>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</si>
  <si>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</si>
  <si>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</si>
  <si>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</si>
  <si>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</si>
  <si>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</si>
  <si>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</si>
  <si>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</si>
  <si>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</si>
  <si>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</si>
  <si>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</si>
  <si>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</si>
  <si>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</si>
  <si>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</si>
  <si>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</si>
  <si>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</si>
  <si>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</si>
  <si>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</si>
  <si>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</si>
  <si>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</si>
  <si>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</si>
  <si>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</si>
  <si>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</si>
  <si>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</si>
  <si>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</si>
  <si>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</si>
  <si>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</si>
  <si>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</si>
  <si>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</si>
  <si>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</si>
  <si>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</si>
  <si>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</si>
  <si>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</si>
  <si>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</si>
  <si>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</si>
  <si>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</si>
  <si>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</si>
  <si>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</si>
  <si>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</si>
  <si>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</si>
  <si>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</si>
  <si>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</si>
  <si>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</si>
  <si>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</si>
  <si>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</si>
  <si>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</si>
  <si>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</si>
  <si>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</si>
  <si>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</si>
  <si>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</si>
  <si>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</si>
  <si>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</si>
  <si>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</si>
  <si>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</si>
  <si>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</si>
  <si>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</si>
  <si>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</si>
  <si>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</si>
  <si>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</si>
  <si>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</si>
  <si>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</si>
  <si>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</si>
  <si>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</si>
  <si>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</si>
  <si>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</si>
  <si>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</si>
  <si>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</si>
  <si>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</si>
  <si>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</si>
  <si>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</si>
  <si>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</si>
  <si>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</si>
  <si>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</si>
  <si>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</si>
  <si>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</si>
  <si>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</si>
  <si>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</si>
  <si>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</si>
  <si>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</si>
  <si>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</si>
  <si>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</si>
  <si>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</si>
  <si>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</si>
  <si>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</si>
  <si>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</si>
  <si>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</si>
  <si>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</si>
  <si>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</si>
  <si>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</si>
  <si>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</si>
  <si>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</si>
  <si>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</si>
  <si>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</si>
  <si>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</si>
  <si>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</si>
  <si>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</si>
  <si>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</si>
  <si>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</si>
  <si>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</si>
  <si>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</si>
  <si>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</si>
  <si>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</si>
  <si>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</si>
  <si>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</si>
  <si>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</si>
  <si>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</si>
  <si>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</si>
  <si>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</si>
  <si>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</si>
  <si>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</si>
  <si>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</si>
  <si>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</si>
  <si>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</si>
  <si>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</si>
  <si>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</si>
  <si>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</si>
  <si>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</si>
  <si>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</si>
  <si>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</si>
  <si>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</si>
  <si>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</si>
  <si>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</si>
  <si>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</si>
  <si>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</si>
  <si>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</si>
  <si>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</si>
  <si>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</si>
  <si>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</si>
  <si>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</si>
  <si>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</si>
  <si>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</si>
  <si>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</si>
  <si>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</si>
  <si>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</si>
  <si>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</si>
  <si>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</si>
  <si>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</si>
  <si>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</si>
  <si>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</si>
  <si>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</si>
  <si>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</si>
  <si>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</si>
  <si>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</si>
  <si>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</si>
  <si>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</si>
  <si>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</si>
  <si>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</si>
  <si>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</si>
  <si>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</si>
  <si>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</si>
  <si>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</si>
  <si>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</si>
  <si>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</si>
  <si>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</si>
  <si>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</si>
  <si>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</si>
  <si>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</si>
  <si>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</si>
  <si>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</si>
  <si>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</si>
  <si>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</si>
  <si>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</si>
  <si>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</si>
  <si>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</si>
  <si>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</si>
  <si>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</si>
  <si>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</si>
  <si>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</si>
  <si>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</si>
  <si>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</si>
  <si>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</si>
  <si>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</si>
  <si>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</si>
  <si>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</si>
  <si>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</si>
  <si>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</si>
  <si>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</si>
  <si>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</si>
  <si>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</si>
  <si>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</si>
  <si>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</si>
  <si>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</si>
  <si>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</si>
  <si>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</si>
  <si>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</si>
  <si>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</si>
  <si>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</si>
  <si>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</si>
  <si>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</si>
  <si>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</si>
  <si>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</si>
  <si>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</si>
  <si>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</si>
  <si>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</si>
  <si>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</si>
  <si>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</si>
  <si>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</si>
  <si>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</si>
  <si>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</si>
  <si>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</si>
  <si>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</si>
  <si>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</si>
  <si>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</si>
  <si>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</si>
  <si>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</si>
  <si>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</si>
  <si>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</si>
  <si>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</si>
  <si>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</si>
  <si>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</si>
  <si>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</si>
  <si>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</si>
  <si>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</si>
  <si>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</si>
  <si>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</si>
  <si>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</si>
  <si>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</si>
  <si>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</si>
  <si>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</si>
  <si>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</si>
  <si>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</si>
  <si>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</si>
  <si>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</si>
  <si>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</si>
  <si>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</si>
  <si>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</si>
  <si>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</si>
  <si>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</si>
  <si>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</si>
  <si>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</si>
  <si>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</si>
  <si>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</si>
  <si>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</si>
  <si>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</si>
  <si>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</si>
  <si>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</si>
  <si>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</si>
  <si>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</si>
  <si>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</si>
  <si>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</si>
  <si>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</si>
  <si>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</si>
  <si>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</si>
  <si>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</si>
  <si>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</si>
  <si>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</si>
  <si>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</si>
  <si>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</si>
  <si>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</si>
  <si>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</si>
  <si>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</si>
  <si>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</si>
  <si>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</si>
  <si>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</si>
  <si>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</si>
  <si>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</si>
  <si>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</si>
  <si>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</si>
  <si>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</si>
  <si>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</si>
  <si>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</si>
  <si>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</si>
  <si>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</si>
  <si>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</si>
  <si>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</si>
  <si>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</si>
  <si>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</si>
  <si>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</si>
  <si>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</si>
  <si>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</si>
  <si>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</si>
  <si>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</si>
  <si>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</si>
  <si>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</si>
  <si>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</si>
  <si>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</si>
  <si>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</si>
  <si>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</si>
  <si>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</si>
  <si>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</si>
  <si>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</si>
  <si>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</si>
  <si>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</si>
  <si>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</si>
  <si>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</si>
  <si>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</si>
  <si>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</si>
  <si>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</si>
  <si>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</si>
  <si>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</si>
  <si>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</si>
  <si>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</si>
  <si>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</si>
  <si>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</si>
  <si>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</si>
  <si>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</si>
  <si>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</si>
  <si>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</si>
  <si>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</si>
  <si>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</si>
  <si>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</si>
  <si>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</si>
  <si>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</si>
  <si>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</si>
  <si>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</si>
  <si>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</si>
  <si>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</si>
  <si>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</si>
  <si>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</si>
  <si>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</si>
  <si>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</si>
  <si>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</si>
  <si>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</si>
  <si>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</si>
  <si>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</si>
  <si>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</si>
  <si>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</si>
  <si>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</si>
  <si>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</si>
  <si>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</si>
  <si>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鳥力解放・初詣</t>
    <phoneticPr fontId="22"/>
  </si>
  <si>
    <t>翔力解禁・燦我日</t>
    <phoneticPr fontId="22"/>
  </si>
  <si>
    <t>羽根突き刀技・カガミモチ</t>
    <phoneticPr fontId="22"/>
  </si>
  <si>
    <t>羽根突き奥義・オトシダマ</t>
    <phoneticPr fontId="22"/>
  </si>
  <si>
    <t>まずは神様にご挨拶だよ！</t>
    <phoneticPr fontId="22"/>
  </si>
  <si>
    <t>giza</t>
  </si>
  <si>
    <t>顔に墨じゃ済まないよ！</t>
  </si>
  <si>
    <t>神聖な技なんだからね！</t>
  </si>
  <si>
    <t>新年初勝負といこう！</t>
  </si>
  <si>
    <t>新春の空に羽ばたけー！</t>
  </si>
  <si>
    <t>どこ見てるの？上だよ！</t>
  </si>
  <si>
    <t>60</t>
    <phoneticPr fontId="22"/>
  </si>
  <si>
    <t>Earthly_Branches</t>
    <phoneticPr fontId="22"/>
  </si>
  <si>
    <t>1</t>
    <phoneticPr fontId="22"/>
  </si>
  <si>
    <t>old</t>
  </si>
  <si>
    <t>1体に大ダメージ</t>
    <phoneticPr fontId="22"/>
  </si>
  <si>
    <t>1体に特大ダメージ</t>
    <phoneticPr fontId="22"/>
  </si>
  <si>
    <t>[effect:damage, target:enemy_one, color:red, val:2, animation:damage_one_red03]</t>
    <phoneticPr fontId="22"/>
  </si>
  <si>
    <t>青パネルをハートパネルに変換+2ターン種族アニマル・Unknownユニットのタップ回数を1増やす</t>
    <phoneticPr fontId="22"/>
  </si>
  <si>
    <t>青パネルをハートパネルに変換+3ターン種族アニマル・Unknownユニットのタップ回数を1増やす</t>
    <phoneticPr fontId="22"/>
  </si>
  <si>
    <t>[effect:force_change_block, new_block:block_heart, target:block_blue, count:0, val:0, animation:change_block],[effect:enhance_unit, target:unit_animal/unit_unknown/or, turn:2, status:action, val:1, calc:add, animation:enhance_unit_one_action01]</t>
    <phoneticPr fontId="22"/>
  </si>
  <si>
    <t>[effect:force_change_block, new_block:block_heart, target:block_blue, count:0, val:0, animation:change_block],[effect:enhance_unit, target:unit_animal/unit_unknown/or, turn:3, status:action, val:1, calc:add, animation:enhance_unit_one_action01]</t>
    <phoneticPr fontId="22"/>
  </si>
  <si>
    <t>[effect:damage, target:enemy_one, color:red, val:2.25, animation:damage_one_red04]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</si>
</sst>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700</v>
          </cell>
          <cell r="B118" t="str">
            <v>ja</v>
          </cell>
          <cell r="C118" t="str">
            <v>フロア 回復</v>
          </cell>
          <cell r="D118" t="str">
            <v>全フロアの1ターン目終了時にパーティの合計HPの20％を回復する</v>
          </cell>
        </row>
        <row r="119">
          <cell r="A119">
            <v>800</v>
          </cell>
          <cell r="B119" t="str">
            <v>ja</v>
          </cell>
          <cell r="C119" t="str">
            <v>パネルブレイク30 攻撃力UP</v>
          </cell>
          <cell r="D119" t="str">
            <v>自身が先頭の時、1ターンの間に合計30個以上パネルを破壊した場合に攻撃力UP</v>
          </cell>
        </row>
        <row r="120">
          <cell r="A120">
            <v>801</v>
          </cell>
          <cell r="B120" t="str">
            <v>ja</v>
          </cell>
          <cell r="C120" t="str">
            <v>パネルブレイク30 回復力UP</v>
          </cell>
          <cell r="D120" t="str">
            <v>自身が先頭の時、1ターンの間に合計30個以上パネルを破壊した場合に回復力UP</v>
          </cell>
        </row>
        <row r="121">
          <cell r="A121">
            <v>802</v>
          </cell>
          <cell r="B121" t="str">
            <v>ja</v>
          </cell>
          <cell r="C121" t="str">
            <v>パネルブレイク30 防御力小UP</v>
          </cell>
          <cell r="D121" t="str">
            <v>自身が先頭の時、1ターンの間に合計30個以上パネルを破壊した場合に防御力小UP</v>
          </cell>
        </row>
        <row r="122">
          <cell r="A122">
            <v>803</v>
          </cell>
          <cell r="B122" t="str">
            <v>ja</v>
          </cell>
          <cell r="C122" t="str">
            <v>パネルブレイク30 防御力UP</v>
          </cell>
          <cell r="D122" t="str">
            <v>自身が先頭の時、1ターンの間に合計30個以上パネルを破壊した場合に防御力UP</v>
          </cell>
        </row>
        <row r="123">
          <cell r="A123">
            <v>804</v>
          </cell>
          <cell r="B123" t="str">
            <v>ja</v>
          </cell>
          <cell r="C123" t="str">
            <v>パネルブレイク30 防御力大UP</v>
          </cell>
          <cell r="D123" t="str">
            <v>自身が先頭の時、1ターンの間に合計30個以上パネルを破壊した場合に防御力大UP</v>
          </cell>
        </row>
        <row r="124">
          <cell r="A124">
            <v>805</v>
          </cell>
          <cell r="B124" t="str">
            <v>ja</v>
          </cell>
          <cell r="C124" t="str">
            <v>パネルブレイク30 防御力特大UP</v>
          </cell>
          <cell r="D124" t="str">
            <v>自身が先頭の時、1ターンの間に合計30個以上パネルを破壊した場合に防御力特大UP</v>
          </cell>
        </row>
        <row r="125">
          <cell r="A125">
            <v>806</v>
          </cell>
          <cell r="B125" t="str">
            <v>ja</v>
          </cell>
          <cell r="C125" t="str">
            <v>ボムブレイク10 防御力UP</v>
          </cell>
          <cell r="D125" t="str">
            <v>自身または味方が1ターンの間に合計10個以上ボムパネルを破壊した場合に防御力UP</v>
          </cell>
        </row>
        <row r="126">
          <cell r="A126">
            <v>807</v>
          </cell>
          <cell r="B126" t="str">
            <v>ja</v>
          </cell>
          <cell r="C126" t="str">
            <v>パネル18 破壊フィーバーゲージ上昇</v>
          </cell>
          <cell r="D126" t="str">
            <v>自身が先頭の時、1ターンの間に合計18個以上パネルを破壊した場合にフィーバーゲージ上昇</v>
          </cell>
        </row>
        <row r="127">
          <cell r="A127">
            <v>808</v>
          </cell>
          <cell r="B127" t="str">
            <v>ja</v>
          </cell>
          <cell r="C127" t="str">
            <v>パネルブレイク40 防御力UP</v>
          </cell>
          <cell r="D127" t="str">
            <v>自身が先頭の時、1ターンの間に合計40個以上パネルを破壊した場合に青属性ユニットの防御力を400UP</v>
          </cell>
        </row>
        <row r="128">
          <cell r="A128">
            <v>809</v>
          </cell>
          <cell r="B128" t="str">
            <v>ja</v>
          </cell>
          <cell r="C128" t="str">
            <v>パネルブレイク40 攻撃力UP</v>
          </cell>
          <cell r="D128" t="str">
            <v>自身が先頭の時、1ターンの間に合計40個以上パネルを破壊した場合に攻撃力UP</v>
          </cell>
        </row>
        <row r="129">
          <cell r="A129">
            <v>810</v>
          </cell>
          <cell r="B129" t="str">
            <v>ja</v>
          </cell>
          <cell r="C129" t="str">
            <v>パネルブレイク40 攻撃力小UP</v>
          </cell>
          <cell r="D129" t="str">
            <v>自身が先頭の時、1ターンの間に合計40個以上パネルを破壊した場合に攻撃力UP</v>
          </cell>
        </row>
        <row r="130">
          <cell r="A130">
            <v>811</v>
          </cell>
          <cell r="B130" t="str">
            <v>ja</v>
          </cell>
          <cell r="C130" t="str">
            <v>パネルブレイク30 攻撃力小UP</v>
          </cell>
          <cell r="D130" t="str">
            <v>自身が先頭の時、1ターンの間に合計30個以上パネルを破壊した場合に攻撃力UP</v>
          </cell>
        </row>
        <row r="131">
          <cell r="A131">
            <v>812</v>
          </cell>
          <cell r="B131" t="str">
            <v>ja</v>
          </cell>
          <cell r="C131" t="str">
            <v>パネルブレイク40 HP小回復</v>
          </cell>
          <cell r="D131" t="str">
            <v>自身が先頭の時、1ターンの間に合計40個以上パネルを破壊した場合にターン終了時HP小回復</v>
          </cell>
        </row>
        <row r="132">
          <cell r="A132">
            <v>900</v>
          </cell>
          <cell r="B132" t="str">
            <v>ja</v>
          </cell>
          <cell r="C132" t="str">
            <v>チェイン12 攻撃力UP</v>
          </cell>
          <cell r="D132" t="str">
            <v>自身が先頭の時、1タップで12個以上パネルを繋げた場合に攻撃力UP</v>
          </cell>
        </row>
        <row r="133">
          <cell r="A133">
            <v>901</v>
          </cell>
          <cell r="B133" t="str">
            <v>ja</v>
          </cell>
          <cell r="C133" t="str">
            <v>チェイン12 回復力UP</v>
          </cell>
          <cell r="D133" t="str">
            <v>自身が先頭の時、1タップで12個以上パネルを繋げた場合に回復力UP</v>
          </cell>
        </row>
        <row r="134">
          <cell r="A134">
            <v>902</v>
          </cell>
          <cell r="B134" t="str">
            <v>ja</v>
          </cell>
          <cell r="C134" t="str">
            <v>チェイン12 タップ回数UP</v>
          </cell>
          <cell r="D134" t="str">
            <v>自身が先頭の時、1タップで12個以上パネルを繋げた場合にタップ回数を1回増やす</v>
          </cell>
        </row>
        <row r="135">
          <cell r="A135">
            <v>903</v>
          </cell>
          <cell r="B135" t="str">
            <v>ja</v>
          </cell>
          <cell r="C135" t="str">
            <v>チェイン18 スキルゲージUP</v>
          </cell>
          <cell r="D135" t="str">
            <v>自身が先頭の時、1タップで18個以上パネルを繋げた場合に自身のスキルゲージを1増やす(1ターンに1度だけ発動)</v>
          </cell>
        </row>
        <row r="136">
          <cell r="A136">
            <v>904</v>
          </cell>
          <cell r="B136" t="str">
            <v>ja</v>
          </cell>
          <cell r="C136" t="str">
            <v>チェイン17 回復力UP</v>
          </cell>
          <cell r="D136" t="str">
            <v>自身が先頭の時、1タップで17個以上パネルを繋げた場合に自身の回復力を2017UP</v>
          </cell>
        </row>
        <row r="137">
          <cell r="A137">
            <v>905</v>
          </cell>
          <cell r="B137" t="str">
            <v>ja</v>
          </cell>
          <cell r="C137" t="str">
            <v>チェイン12 攻撃力小UP</v>
          </cell>
          <cell r="D137" t="str">
            <v>自身が先頭の時、1タップで12個以上パネルを繋げた場合に攻撃力小UP</v>
          </cell>
        </row>
        <row r="138">
          <cell r="A138">
            <v>1100</v>
          </cell>
          <cell r="B138" t="str">
            <v>ja</v>
          </cell>
          <cell r="C138" t="str">
            <v>Cパネル生成短縮</v>
          </cell>
          <cell r="D138" t="str">
            <v>自身が先頭の時、Cパネル生成に必要なチェイン数を1短縮する</v>
          </cell>
        </row>
        <row r="139">
          <cell r="A139">
            <v>1101</v>
          </cell>
          <cell r="B139" t="str">
            <v>ja</v>
          </cell>
          <cell r="C139" t="str">
            <v>Cパネル生成短縮(大)</v>
          </cell>
          <cell r="D139" t="str">
            <v>自身が先頭の時、Cパネル生成に必要なチェイン数を2短縮する</v>
          </cell>
        </row>
        <row r="140">
          <cell r="A140">
            <v>1200</v>
          </cell>
          <cell r="B140" t="str">
            <v>ja</v>
          </cell>
          <cell r="C140" t="str">
            <v>フィーバー攻撃UP</v>
          </cell>
          <cell r="D140" t="str">
            <v>自身が先頭の時、フィーバー発動時に緑属性の攻撃力と回復力UP</v>
          </cell>
        </row>
        <row r="141">
          <cell r="A141">
            <v>1300</v>
          </cell>
          <cell r="B141" t="str">
            <v>ja</v>
          </cell>
          <cell r="C141" t="str">
            <v>チェイン12 HP回復</v>
          </cell>
          <cell r="D141" t="str">
            <v>自身が先頭の時、1タップで12個以上パネルを繋げた場合にHPを2000回復(1ターンに1度だけ発動)</v>
          </cell>
        </row>
        <row r="142">
          <cell r="A142">
            <v>1400</v>
          </cell>
          <cell r="B142" t="str">
            <v>ja</v>
          </cell>
          <cell r="C142" t="str">
            <v>カウンター威力UP</v>
          </cell>
          <cell r="D142" t="str">
            <v>4ターン毎に自身のカウンタースキルの威力が1ターンの間UP</v>
          </cell>
        </row>
        <row r="143">
          <cell r="A143">
            <v>1500</v>
          </cell>
          <cell r="B143" t="str">
            <v>ja</v>
          </cell>
          <cell r="C143" t="str">
            <v>バリア15000</v>
          </cell>
          <cell r="D143" t="str">
            <v>戦闘開始時に、自身への直接ダメージを15000まで防ぐバリアを一度だけ展開(バリアは破壊されると復活しない)</v>
          </cell>
        </row>
        <row r="144">
          <cell r="A144">
            <v>1501</v>
          </cell>
          <cell r="B144" t="str">
            <v>ja</v>
          </cell>
          <cell r="C144" t="str">
            <v>バリア</v>
          </cell>
          <cell r="D144" t="str">
            <v>戦闘開始時に、ダメージを25000まで防ぐバリアを一度だけ展開</v>
          </cell>
        </row>
        <row r="145">
          <cell r="A145">
            <v>1502</v>
          </cell>
          <cell r="B145" t="str">
            <v>ja</v>
          </cell>
          <cell r="C145" t="str">
            <v>バリア</v>
          </cell>
          <cell r="D145" t="str">
            <v>戦闘開始時に、ダメージを50000まで防ぐバリアを一度だけ展開</v>
          </cell>
        </row>
        <row r="146">
          <cell r="A146">
            <v>1503</v>
          </cell>
          <cell r="B146" t="str">
            <v>ja</v>
          </cell>
          <cell r="C146" t="str">
            <v>バリア8000</v>
          </cell>
          <cell r="D146" t="str">
            <v>戦闘開始時に、自身への直接ダメージを8000まで防ぐバリアを一度だけ展開(バリアは破壊されると復活しない)</v>
          </cell>
        </row>
        <row r="147">
          <cell r="A147">
            <v>1504</v>
          </cell>
          <cell r="B147" t="str">
            <v>ja</v>
          </cell>
          <cell r="C147" t="str">
            <v>バリア10000</v>
          </cell>
          <cell r="D147" t="str">
            <v>戦闘開始時に、自身への直接ダメージを10000まで防ぐバリアを一度だけ展開(バリアは破壊されると復活しない)</v>
          </cell>
        </row>
        <row r="148">
          <cell r="A148">
            <v>1600</v>
          </cell>
          <cell r="B148" t="str">
            <v>ja</v>
          </cell>
          <cell r="C148" t="str">
            <v>攻撃力・回復力UP</v>
          </cell>
          <cell r="D148" t="str">
            <v>自身の攻撃力と回復力をUP</v>
          </cell>
        </row>
        <row r="149">
          <cell r="A149">
            <v>1700</v>
          </cell>
          <cell r="B149" t="str">
            <v>ja</v>
          </cell>
          <cell r="C149" t="str">
            <v>パネルブレイク30 ターンHP小回復</v>
          </cell>
          <cell r="D149" t="str">
            <v>自身が先頭の時、1ターンの間に合計30個以上パネルを破壊した場合に1ターン HP小回復</v>
          </cell>
        </row>
        <row r="150">
          <cell r="A150">
            <v>1800</v>
          </cell>
          <cell r="B150" t="str">
            <v>ja</v>
          </cell>
          <cell r="C150" t="str">
            <v>フィーバー強化</v>
          </cell>
          <cell r="D150" t="str">
            <v>フィーバー時自身の攻撃力、回復力を特大UP</v>
          </cell>
        </row>
        <row r="151">
          <cell r="A151">
            <v>1900</v>
          </cell>
          <cell r="B151" t="str">
            <v>ja</v>
          </cell>
          <cell r="C151" t="str">
            <v>ハート出現率UP</v>
          </cell>
          <cell r="D151" t="str">
            <v>自身が先頭の時、ハートパネルの出現率UP</v>
          </cell>
        </row>
        <row r="152">
          <cell r="A152">
            <v>2000</v>
          </cell>
          <cell r="B152" t="str">
            <v>ja</v>
          </cell>
          <cell r="C152" t="str">
            <v>赤パネル出現率UP</v>
          </cell>
          <cell r="D152" t="str">
            <v>自身が先頭の時、赤パネルの出現率UP</v>
          </cell>
        </row>
        <row r="153">
          <cell r="A153">
            <v>2100</v>
          </cell>
          <cell r="B153" t="str">
            <v>ja</v>
          </cell>
          <cell r="C153" t="str">
            <v>緑パネル出現率UP</v>
          </cell>
          <cell r="D153" t="str">
            <v>自身が先頭の時、緑パネルの出現率UP</v>
          </cell>
        </row>
        <row r="154">
          <cell r="A154">
            <v>2200</v>
          </cell>
          <cell r="B154" t="str">
            <v>ja</v>
          </cell>
          <cell r="C154" t="str">
            <v>青パネル出現率UP</v>
          </cell>
          <cell r="D154" t="str">
            <v>自身が先頭の時、青パネルの出現率UP</v>
          </cell>
        </row>
        <row r="155">
          <cell r="A155">
            <v>2300</v>
          </cell>
          <cell r="B155" t="str">
            <v>ja</v>
          </cell>
          <cell r="C155" t="str">
            <v>黄パネル出現率UP</v>
          </cell>
          <cell r="D155" t="str">
            <v>自身が先頭の時、黄パネルの出現率UP</v>
          </cell>
        </row>
        <row r="156">
          <cell r="A156">
            <v>2400</v>
          </cell>
          <cell r="B156" t="str">
            <v>ja</v>
          </cell>
          <cell r="C156" t="str">
            <v>ハートボムパネルドロップ</v>
          </cell>
          <cell r="D156" t="str">
            <v>自身が先頭の時、ハートパネルを確率でハートボムパネルに変換しドロップ</v>
          </cell>
        </row>
        <row r="157">
          <cell r="A157">
            <v>2500</v>
          </cell>
          <cell r="B157" t="str">
            <v>ja</v>
          </cell>
          <cell r="C157" t="str">
            <v>青パネルドロップ</v>
          </cell>
          <cell r="D157" t="str">
            <v>自身が先頭の時、緑パネルを確率で青パネルに変換しドロップ</v>
          </cell>
        </row>
        <row r="158">
          <cell r="A158">
            <v>2501</v>
          </cell>
          <cell r="B158" t="str">
            <v>ja</v>
          </cell>
          <cell r="C158" t="str">
            <v>黄パネルドロップ</v>
          </cell>
          <cell r="D158" t="str">
            <v>自身が先頭の時、青パネルを確率で黄パネルに変換しドロップ</v>
          </cell>
        </row>
        <row r="159">
          <cell r="A159">
            <v>2502</v>
          </cell>
          <cell r="B159" t="str">
            <v>ja</v>
          </cell>
          <cell r="C159" t="str">
            <v>赤パネルドロップ</v>
          </cell>
          <cell r="D159" t="str">
            <v>自身が先頭の時、黄パネルを確率で赤パネルに変換しドロップ</v>
          </cell>
        </row>
        <row r="160">
          <cell r="A160">
            <v>2503</v>
          </cell>
          <cell r="B160" t="str">
            <v>ja</v>
          </cell>
          <cell r="C160" t="str">
            <v>黄パネルドロップ</v>
          </cell>
          <cell r="D160" t="str">
            <v>自身が先頭の時、赤パネルを確率で黄パネルに変換しドロップ</v>
          </cell>
        </row>
        <row r="161">
          <cell r="A161">
            <v>2600</v>
          </cell>
          <cell r="B161" t="str">
            <v>ja</v>
          </cell>
          <cell r="C161" t="str">
            <v>回復力400UP</v>
          </cell>
          <cell r="D161" t="str">
            <v>自身の回復力を400UP</v>
          </cell>
        </row>
        <row r="162">
          <cell r="A162">
            <v>2601</v>
          </cell>
          <cell r="B162" t="str">
            <v>ja</v>
          </cell>
          <cell r="C162" t="str">
            <v>回復力300UP</v>
          </cell>
          <cell r="D162" t="str">
            <v>自身の回復力を300UP</v>
          </cell>
        </row>
        <row r="163">
          <cell r="A163">
            <v>2700</v>
          </cell>
          <cell r="B163" t="str">
            <v>ja</v>
          </cell>
          <cell r="C163" t="str">
            <v>攻撃力UP</v>
          </cell>
          <cell r="D163" t="str">
            <v>自身の攻撃力を300UP</v>
          </cell>
        </row>
        <row r="164">
          <cell r="A164">
            <v>2800</v>
          </cell>
          <cell r="B164" t="str">
            <v>ja</v>
          </cell>
          <cell r="C164" t="str">
            <v>防御力UP</v>
          </cell>
          <cell r="D164" t="str">
            <v>自身の防御力を250UP</v>
          </cell>
        </row>
        <row r="165">
          <cell r="A165">
            <v>2900</v>
          </cell>
          <cell r="B165" t="str">
            <v>ja</v>
          </cell>
          <cell r="C165" t="str">
            <v>フィーバー50 攻撃力小UP</v>
          </cell>
          <cell r="D165" t="str">
            <v>フィーバーゲージが50％以上の時、自身の攻撃力小UP</v>
          </cell>
        </row>
        <row r="166">
          <cell r="A166">
            <v>119402</v>
          </cell>
          <cell r="B166" t="str">
            <v>ja</v>
          </cell>
          <cell r="C166" t="str">
            <v>ハロウィンナイトパニック！ 威力UP</v>
          </cell>
          <cell r="D166" t="str">
            <v>ハロウィンナイトパニック！内で自身の全ての攻撃の威力を究極UP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3202</v>
          </cell>
          <cell r="B260" t="str">
            <v>ja</v>
          </cell>
          <cell r="C260" t="str">
            <v>HP90%以上 全属性耐性15</v>
          </cell>
          <cell r="D260" t="str">
            <v>自身が先頭の時、残りHPが90%以上で全ユニットに対する全属性の敵からの攻撃を15％軽減</v>
          </cell>
        </row>
        <row r="261">
          <cell r="A261">
            <v>3203</v>
          </cell>
          <cell r="B261" t="str">
            <v>ja</v>
          </cell>
          <cell r="C261" t="str">
            <v>HP50%以下 防御力UP</v>
          </cell>
          <cell r="D261" t="str">
            <v>自身が先頭の時、残りHPが50%以下で防御力398UP</v>
          </cell>
        </row>
        <row r="262">
          <cell r="A262">
            <v>3204</v>
          </cell>
          <cell r="B262" t="str">
            <v>ja</v>
          </cell>
          <cell r="C262" t="str">
            <v>HP30%以下 攻撃力大UP</v>
          </cell>
          <cell r="D262" t="str">
            <v>自身が先頭の時、残りHPが30%以下で攻撃力大UP</v>
          </cell>
        </row>
        <row r="263">
          <cell r="A263">
            <v>3205</v>
          </cell>
          <cell r="B263" t="str">
            <v>ja</v>
          </cell>
          <cell r="C263" t="str">
            <v>HP90%以上 ダメージ軽減</v>
          </cell>
          <cell r="D263" t="str">
            <v>残りHPが90%以上の時、全ユニットが敵からの攻撃を15％軽減</v>
          </cell>
        </row>
        <row r="264">
          <cell r="A264">
            <v>3206</v>
          </cell>
          <cell r="B264" t="str">
            <v>ja</v>
          </cell>
          <cell r="C264" t="str">
            <v>HP30%以下 回復力UP</v>
          </cell>
          <cell r="D264" t="str">
            <v>残りHPが30%以下の時、全ユニットの回復力20%UP</v>
          </cell>
        </row>
        <row r="265">
          <cell r="A265">
            <v>4000</v>
          </cell>
          <cell r="B265" t="str">
            <v>ja</v>
          </cell>
          <cell r="C265" t="str">
            <v>被ダメージ時 HP回復</v>
          </cell>
          <cell r="D265" t="str">
            <v>自身が攻撃を受けた場合、次のターンの開始時にHP500回復する</v>
          </cell>
        </row>
        <row r="266">
          <cell r="A266">
            <v>5000</v>
          </cell>
          <cell r="B266" t="str">
            <v>ja</v>
          </cell>
          <cell r="C266" t="str">
            <v>パーティー内ゴッド 攻撃力UP</v>
          </cell>
          <cell r="D266" t="str">
            <v>パーティー内に種族ゴッドがいる時、全ユニットの攻撃力を500UP</v>
          </cell>
        </row>
        <row r="267">
          <cell r="A267">
            <v>5001</v>
          </cell>
          <cell r="B267" t="str">
            <v>ja</v>
          </cell>
          <cell r="C267" t="str">
            <v>パーティー内バランス 回復力UP</v>
          </cell>
          <cell r="D267" t="str">
            <v>パーティー内にバランスタイプがいる時、全ユニットの回復力を500UP</v>
          </cell>
        </row>
        <row r="268">
          <cell r="A268">
            <v>5002</v>
          </cell>
          <cell r="B268" t="str">
            <v>ja</v>
          </cell>
          <cell r="C268" t="str">
            <v>パーティー内青属性 攻撃力UP</v>
          </cell>
          <cell r="D268" t="str">
            <v>パーティー内に青属性ユニットがいる時、全ユニットの攻撃力を700UP</v>
          </cell>
        </row>
        <row r="269">
          <cell r="A269">
            <v>5003</v>
          </cell>
          <cell r="B269" t="str">
            <v>ja</v>
          </cell>
          <cell r="C269" t="str">
            <v>パーティー内赤属性 自身攻撃力UP</v>
          </cell>
          <cell r="D269" t="str">
            <v>パーティー内に赤属性ユニットがいる時、自身の攻撃力を1500UP</v>
          </cell>
        </row>
        <row r="270">
          <cell r="A270">
            <v>8000</v>
          </cell>
          <cell r="B270" t="str">
            <v>ja</v>
          </cell>
          <cell r="C270" t="str">
            <v>ユニットが一番右にいるとき 攻撃力UP</v>
          </cell>
          <cell r="D270" t="str">
            <v>自身が一番右にいる場合、全ユニットの攻撃力UP</v>
          </cell>
        </row>
        <row r="271">
          <cell r="A271">
            <v>8001</v>
          </cell>
          <cell r="B271" t="str">
            <v>ja</v>
          </cell>
          <cell r="C271" t="str">
            <v>敵に青属性がいる場合 小カウンター</v>
          </cell>
          <cell r="D271" t="str">
            <v>敵に青属性がいる場合、小カウンター</v>
          </cell>
        </row>
        <row r="272">
          <cell r="A272">
            <v>8002</v>
          </cell>
          <cell r="B272" t="str">
            <v>ja</v>
          </cell>
          <cell r="C272" t="str">
            <v>テスト</v>
          </cell>
          <cell r="D272" t="str">
            <v>フロアスタート時、1ターン全ユニットの攻撃力UP</v>
          </cell>
        </row>
        <row r="273">
          <cell r="A273">
            <v>8003</v>
          </cell>
          <cell r="B273" t="str">
            <v>ja</v>
          </cell>
          <cell r="C273" t="str">
            <v>HP70%以上 ウィルス無効</v>
          </cell>
          <cell r="D273" t="str">
            <v>残りHPが70%以上で自身にかかるウィルスを無効化する</v>
          </cell>
        </row>
        <row r="274">
          <cell r="A274">
            <v>8004</v>
          </cell>
          <cell r="B274" t="str">
            <v>ja</v>
          </cell>
          <cell r="C274" t="str">
            <v>フロアスタート時 スキルブースト</v>
          </cell>
          <cell r="D274" t="str">
            <v>フロアスタート時、1ターンスキルブースト</v>
          </cell>
        </row>
        <row r="275">
          <cell r="A275">
            <v>8005</v>
          </cell>
          <cell r="B275" t="str">
            <v>ja</v>
          </cell>
          <cell r="C275" t="str">
            <v>ハートがハートボム大</v>
          </cell>
          <cell r="D275" t="str">
            <v>ハートがハートボム大</v>
          </cell>
        </row>
        <row r="276">
          <cell r="A276">
            <v>8006</v>
          </cell>
          <cell r="B276" t="str">
            <v>ja</v>
          </cell>
          <cell r="C276" t="str">
            <v>攻撃、回復、体力のCP短縮1</v>
          </cell>
          <cell r="D276" t="str">
            <v>攻撃、回復、体力のCP短縮1</v>
          </cell>
        </row>
        <row r="277">
          <cell r="A277">
            <v>8007</v>
          </cell>
          <cell r="B277" t="str">
            <v>ja</v>
          </cell>
          <cell r="C277" t="str">
            <v>自身の左ユニットが攻撃参加</v>
          </cell>
          <cell r="D277" t="str">
            <v>自身の左ユニットが攻撃参加</v>
          </cell>
        </row>
        <row r="278">
          <cell r="A278">
            <v>9000</v>
          </cell>
          <cell r="B278" t="str">
            <v>ja</v>
          </cell>
          <cell r="C278" t="str">
            <v>ハップルチャレンジ ダメージUP</v>
          </cell>
          <cell r="D278" t="str">
            <v>ハップルチャレンジ内で自身の全ての攻撃の威力をUP</v>
          </cell>
        </row>
        <row r="279">
          <cell r="A279">
            <v>9001</v>
          </cell>
          <cell r="B279" t="str">
            <v>ja</v>
          </cell>
          <cell r="C279" t="str">
            <v>クロネッカーチャレンジ ダメージUP</v>
          </cell>
          <cell r="D279" t="str">
            <v>クロネッカーチャレンジ内で自身の全ての攻撃の威力をUP</v>
          </cell>
        </row>
        <row r="280">
          <cell r="A280">
            <v>9002</v>
          </cell>
          <cell r="B280" t="str">
            <v>ja</v>
          </cell>
          <cell r="C280" t="str">
            <v>クロネッカーチャレンジ ダメージUP</v>
          </cell>
          <cell r="D280" t="str">
            <v>クロネッカーチャレンジ内で自身の全ての攻撃+カウンターの威力をUP</v>
          </cell>
        </row>
        <row r="281">
          <cell r="A281">
            <v>9003</v>
          </cell>
          <cell r="B281" t="str">
            <v>ja</v>
          </cell>
          <cell r="C281" t="str">
            <v>オイラーチャレンジ ダメージUP</v>
          </cell>
          <cell r="D281" t="str">
            <v>オイラーチャレンジ内で自身の全ての攻撃の威力をUP</v>
          </cell>
        </row>
        <row r="282">
          <cell r="A282">
            <v>9004</v>
          </cell>
          <cell r="B282" t="str">
            <v>ja</v>
          </cell>
          <cell r="C282" t="str">
            <v>オイラーチャレンジ ダメージ究極UP</v>
          </cell>
          <cell r="D282" t="str">
            <v>オイラーチャレンジ内で自身の全ての攻撃の威力を究極UP</v>
          </cell>
        </row>
        <row r="283">
          <cell r="A283">
            <v>9005</v>
          </cell>
          <cell r="B283" t="str">
            <v>ja</v>
          </cell>
          <cell r="C283" t="str">
            <v>ヘンペルチャレンジ ダメージUP</v>
          </cell>
          <cell r="D283" t="str">
            <v>ヘンペルチャレンジ内で自身の全ての攻撃の威力をUP</v>
          </cell>
        </row>
        <row r="284">
          <cell r="A284">
            <v>9006</v>
          </cell>
          <cell r="B284" t="str">
            <v>ja</v>
          </cell>
          <cell r="C284" t="str">
            <v>ヘンペルチャレンジ ダメージUP</v>
          </cell>
          <cell r="D284" t="str">
            <v>ヘンペルチャレンジ内で自身の全ての攻撃+カウンターの威力をUP</v>
          </cell>
        </row>
        <row r="285">
          <cell r="A285">
            <v>9007</v>
          </cell>
          <cell r="B285" t="str">
            <v>ja</v>
          </cell>
          <cell r="C285" t="str">
            <v>フロイトチャレンジ ダメージ究極UP</v>
          </cell>
          <cell r="D285" t="str">
            <v>フロイトチャレンジ内で自身の全ての攻撃の威力を究極UP</v>
          </cell>
        </row>
        <row r="286">
          <cell r="A286">
            <v>9008</v>
          </cell>
          <cell r="B286" t="str">
            <v>ja</v>
          </cell>
          <cell r="C286" t="str">
            <v>フロイトチャレンジ ダメージUP</v>
          </cell>
          <cell r="D286" t="str">
            <v>フロイトチャレンジ内で自身の全ての攻撃の威力をUP</v>
          </cell>
        </row>
        <row r="287">
          <cell r="A287">
            <v>9009</v>
          </cell>
          <cell r="B287" t="str">
            <v>ja</v>
          </cell>
          <cell r="C287" t="str">
            <v>フロイトチャレンジ ダメージUP</v>
          </cell>
          <cell r="D287" t="str">
            <v>フロイトチャレンジ内で自身の全ての攻撃+カウンターの威力をUP</v>
          </cell>
        </row>
        <row r="288">
          <cell r="A288">
            <v>119402</v>
          </cell>
          <cell r="B288" t="str">
            <v>ja</v>
          </cell>
          <cell r="C288" t="str">
            <v>ハロウィンナイトパニック！ 威力UP</v>
          </cell>
          <cell r="D288" t="str">
            <v>ハロウィンナイトパニック！内で自身の全ての攻撃の威力を究極UP</v>
          </cell>
        </row>
        <row r="289">
          <cell r="A289">
            <v>500801</v>
          </cell>
          <cell r="B289" t="str">
            <v>ja</v>
          </cell>
          <cell r="C289" t="str">
            <v>パネルブレイク35 攻撃力小UP</v>
          </cell>
          <cell r="D289" t="str">
            <v>自身が先頭の時、1ターンの間に合計35個以上パネルを破壊した場合に攻撃力小UP</v>
          </cell>
        </row>
        <row r="290">
          <cell r="A290">
            <v>808082</v>
          </cell>
          <cell r="B290" t="str">
            <v>ja</v>
          </cell>
          <cell r="C290" t="str">
            <v>Cパネルドロップ</v>
          </cell>
          <cell r="D290" t="str">
            <v>自身が先頭の時、低確率でCパネルをドロップ</v>
          </cell>
        </row>
        <row r="291">
          <cell r="A291">
            <v>900000</v>
          </cell>
          <cell r="B291" t="str">
            <v>ja</v>
          </cell>
          <cell r="C291" t="str">
            <v>フィーバー100 プロテクトブレイク</v>
          </cell>
          <cell r="D291" t="str">
            <v>フィーバーゲージが100％以上の時、1ターンプロテクトブレイク</v>
          </cell>
        </row>
        <row r="292">
          <cell r="A292">
            <v>900001</v>
          </cell>
          <cell r="B292" t="str">
            <v>ja</v>
          </cell>
          <cell r="C292" t="str">
            <v>フィーバー100 お邪魔ブレイク</v>
          </cell>
          <cell r="D292" t="str">
            <v>フィーバーゲージが100％以上の時、1ターンお邪魔ブレイク</v>
          </cell>
        </row>
        <row r="293">
          <cell r="A293">
            <v>900402</v>
          </cell>
          <cell r="B293" t="str">
            <v>ja</v>
          </cell>
          <cell r="C293" t="str">
            <v>バリア3500</v>
          </cell>
          <cell r="D293" t="str">
            <v>戦闘開始時に、自身への直接ダメージを3500まで防ぐバリアを一度だけ展開(バリアは破壊されると復活しない)</v>
          </cell>
        </row>
        <row r="294">
          <cell r="A294">
            <v>810202</v>
          </cell>
          <cell r="B294" t="str">
            <v>ja</v>
          </cell>
          <cell r="C294" t="str">
            <v>パネルブレイク50 ダメージ軽減</v>
          </cell>
          <cell r="D294" t="str">
            <v>自身が先頭の時、1ターンの間に合計50個以上パネルを破壊した場合敵からのダメージを15%軽減（1ターンに1度だけ発動）</v>
          </cell>
        </row>
        <row r="295">
          <cell r="A295">
            <v>811802</v>
          </cell>
          <cell r="B295" t="str">
            <v>ja</v>
          </cell>
          <cell r="C295" t="str">
            <v>ターン攻撃力UP</v>
          </cell>
          <cell r="D295" t="str">
            <v>最初の1ターン目と、その後6ターン毎に1ターン種族ドラゴン・ファンタジー・アニマルの攻撃力1000UP</v>
          </cell>
        </row>
        <row r="296">
          <cell r="A296">
            <v>812002</v>
          </cell>
          <cell r="B296" t="str">
            <v>ja</v>
          </cell>
          <cell r="C296" t="str">
            <v>ターンタップ増加</v>
          </cell>
          <cell r="D296" t="str">
            <v>最初の1ターン目と、その後6ターン毎に1ターン種族ドラゴン・ファンタジー・アニマルのタップ数1増加</v>
          </cell>
        </row>
        <row r="297">
          <cell r="A297">
            <v>811803</v>
          </cell>
          <cell r="B297" t="str">
            <v>ja</v>
          </cell>
          <cell r="C297" t="str">
            <v>端午クエスト ダメージUP</v>
          </cell>
          <cell r="D297" t="str">
            <v>端午クエスト内で自身の全ての攻撃の威力をUP</v>
          </cell>
        </row>
        <row r="298">
          <cell r="A298">
            <v>900802</v>
          </cell>
          <cell r="B298" t="str">
            <v>ja</v>
          </cell>
          <cell r="C298" t="str">
            <v>ターン攻撃力UP</v>
          </cell>
          <cell r="D29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E17" sqref="E17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352</v>
      </c>
      <c r="B2" s="105" t="s">
        <v>129</v>
      </c>
      <c r="C2" s="162" t="s">
        <v>350</v>
      </c>
      <c r="D2" s="105" t="s">
        <v>128</v>
      </c>
      <c r="E2" s="104" t="str">
        <f>B2&amp;C2&amp;D2</f>
        <v>units_Earthly_Branches.tmp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316</v>
      </c>
      <c r="S2" s="105"/>
      <c r="T2" s="105"/>
      <c r="U2" s="105"/>
      <c r="V2" s="105"/>
      <c r="W2" s="105"/>
    </row>
    <row r="3" spans="1:29" x14ac:dyDescent="0.15">
      <c r="A3" s="105" t="s">
        <v>352</v>
      </c>
      <c r="B3" s="105" t="s">
        <v>293</v>
      </c>
      <c r="C3" s="162" t="s">
        <v>350</v>
      </c>
      <c r="D3" s="105" t="s">
        <v>128</v>
      </c>
      <c r="E3" s="104" t="str">
        <f>B3&amp;C3&amp;D3</f>
        <v>fork_awake_units_Earthly_Branches.tmp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352</v>
      </c>
      <c r="B4" s="105" t="s">
        <v>130</v>
      </c>
      <c r="C4" s="162" t="s">
        <v>350</v>
      </c>
      <c r="D4" s="105" t="s">
        <v>128</v>
      </c>
      <c r="E4" s="104" t="str">
        <f>B4&amp;C4&amp;D4</f>
        <v>awake_materials_Earthly_Branches.tmp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352</v>
      </c>
      <c r="B5" s="105" t="s">
        <v>292</v>
      </c>
      <c r="C5" s="162" t="s">
        <v>350</v>
      </c>
      <c r="D5" s="105" t="s">
        <v>128</v>
      </c>
      <c r="E5" s="104" t="str">
        <f>B5&amp;C5&amp;D5</f>
        <v>fork_awake_materials_Earthly_Branches.tmp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352</v>
      </c>
      <c r="B6" s="105" t="s">
        <v>131</v>
      </c>
      <c r="C6" s="162" t="s">
        <v>350</v>
      </c>
      <c r="D6" s="105" t="s">
        <v>132</v>
      </c>
      <c r="E6" s="104" t="str">
        <f t="shared" ref="E6" si="0">B6&amp;C6&amp;D6</f>
        <v>unit_levels_calc_Earthly_Branches.tmp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352</v>
      </c>
      <c r="B7" s="105" t="s">
        <v>143</v>
      </c>
      <c r="C7" s="162" t="s">
        <v>350</v>
      </c>
      <c r="D7" s="105" t="s">
        <v>144</v>
      </c>
      <c r="E7" s="104" t="str">
        <f>B7&amp;C7&amp;D7</f>
        <v>unit_skills_data_Earthly_Branches.tmp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352</v>
      </c>
      <c r="B8" s="105" t="s">
        <v>149</v>
      </c>
      <c r="C8" s="162" t="s">
        <v>350</v>
      </c>
      <c r="D8" s="105" t="s">
        <v>128</v>
      </c>
      <c r="E8" s="104" t="str">
        <f>B8&amp;C8&amp;D8</f>
        <v>unit_skills_i18n_Earthly_Branches.tmp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352</v>
      </c>
      <c r="B9" s="105" t="s">
        <v>153</v>
      </c>
      <c r="C9" s="162" t="s">
        <v>350</v>
      </c>
      <c r="D9" s="105" t="s">
        <v>154</v>
      </c>
      <c r="E9" s="104" t="str">
        <f>B9&amp;C9&amp;D9</f>
        <v>crash_skills_data_Earthly_Branches.tmp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352</v>
      </c>
      <c r="B10" s="105" t="s">
        <v>157</v>
      </c>
      <c r="C10" s="162" t="s">
        <v>350</v>
      </c>
      <c r="D10" s="105" t="s">
        <v>158</v>
      </c>
      <c r="E10" s="104" t="str">
        <f t="shared" ref="E10" si="1">B10&amp;C10&amp;D10</f>
        <v>crash_skills_i18n_Earthly_Branches.tmp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352</v>
      </c>
      <c r="B11" s="108" t="s">
        <v>135</v>
      </c>
      <c r="C11" s="162" t="s">
        <v>350</v>
      </c>
      <c r="D11" s="105" t="s">
        <v>158</v>
      </c>
      <c r="E11" s="104" t="str">
        <f t="shared" ref="E11:E12" si="2">B11&amp;C11&amp;D11</f>
        <v>unit_serifs_data_Earthly_Branches.tmp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352</v>
      </c>
      <c r="B12" s="108" t="s">
        <v>136</v>
      </c>
      <c r="C12" s="162" t="s">
        <v>350</v>
      </c>
      <c r="D12" s="105" t="s">
        <v>158</v>
      </c>
      <c r="E12" s="104" t="str">
        <f t="shared" si="2"/>
        <v>unit_serifs_i18n_Earthly_Branches.tmp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352</v>
      </c>
      <c r="B13" s="105" t="s">
        <v>315</v>
      </c>
      <c r="C13" s="162" t="s">
        <v>350</v>
      </c>
      <c r="D13" s="105" t="s">
        <v>253</v>
      </c>
      <c r="E13" s="104" t="str">
        <f>B13&amp;C13&amp;D13</f>
        <v>abilities_tmp_Earthly_Branches.tmp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352</v>
      </c>
      <c r="B14" s="105" t="s">
        <v>258</v>
      </c>
      <c r="C14" s="162" t="s">
        <v>350</v>
      </c>
      <c r="D14" s="105" t="s">
        <v>128</v>
      </c>
      <c r="E14" s="104" t="str">
        <f>B14&amp;C14&amp;D14</f>
        <v>abilities_i18n_Earthly_Branches.tmp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352</v>
      </c>
      <c r="B15" s="105" t="s">
        <v>261</v>
      </c>
      <c r="C15" s="162" t="s">
        <v>350</v>
      </c>
      <c r="D15" s="105" t="s">
        <v>128</v>
      </c>
      <c r="E15" s="104" t="str">
        <f>B15&amp;C15&amp;D15</f>
        <v>unit_abilities_Earthly_Branches.tmp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B8" sqref="B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317</v>
      </c>
    </row>
    <row r="2" spans="1:70" ht="26" customHeight="1" x14ac:dyDescent="0.15">
      <c r="A2" s="186">
        <v>1293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トトリ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god</v>
      </c>
      <c r="Z2" s="5" t="str">
        <f ca="1">VLOOKUP(Y2,[1]character_tribe_i18n!$A:$H,3,FALSE)</f>
        <v>ゴッド</v>
      </c>
      <c r="AA2" s="10">
        <f ca="1">VLOOKUP(W2,[1]character_tribe_i18n!$A:$H,4,FALSE)</f>
        <v>1</v>
      </c>
      <c r="AB2" s="10">
        <f ca="1">VLOOKUP(W2,[1]character_tribe_i18n!$A:$H,5,FALSE)</f>
        <v>1.1000000000000001</v>
      </c>
      <c r="AC2" s="10">
        <f ca="1">VLOOKUP(W2,[1]character_tribe_i18n!$A:$H,6,FALSE)</f>
        <v>1</v>
      </c>
      <c r="AD2" s="10">
        <f ca="1">VLOOKUP(W2,[1]character_tribe_i18n!$A:$H,7,FALSE)</f>
        <v>0.9</v>
      </c>
      <c r="AE2" s="187">
        <v>1294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酉賀なる初飛翔 トトリ</v>
      </c>
      <c r="AG2" s="187">
        <v>1293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トトリ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1293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鳥力解放・初詣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青パネルをハートパネルに変換+2ターン種族アニマル・Unknownユニットのタップ回数を1増やす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1293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羽根突き刀技・カガミモチ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1.0027999999999999</v>
      </c>
      <c r="AZ2" s="64">
        <v>0.99450000000000005</v>
      </c>
      <c r="BA2" s="64">
        <v>0</v>
      </c>
      <c r="BB2" s="64">
        <v>0.76229999999999998</v>
      </c>
      <c r="BC2" s="10">
        <f ca="1">INDEX('RC6SV'!$A$1:$G$21,MATCH(H2,'RC6SV'!$A$1:$A$21,FALSE),MATCH(G2,'RC6SV'!$A$1:$G$1,FALSE))</f>
        <v>9000</v>
      </c>
      <c r="BD2" s="44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2257</v>
      </c>
      <c r="BH2" s="15">
        <f ca="1">IF($BE2&lt;=0,ROUND(BL2*0.5,0), ROUND($BE2*T2*AB2*K2*AZ2*0.8*[1]ステータス!$C$2,0))</f>
        <v>1507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757</v>
      </c>
      <c r="BK2" s="10">
        <f ca="1">ROUND(BD2*S2*AA2*J2*AY2*[1]ステータス!$B$2,0)</f>
        <v>4513</v>
      </c>
      <c r="BL2" s="10">
        <f ca="1">ROUND(BD2*T2*AB2*K2*AZ2*[1]ステータス!$C$2,0)</f>
        <v>3013</v>
      </c>
      <c r="BM2" s="10">
        <f ca="1">ROUND(BD2*U2*AC2*L2*BA2*[1]ステータス!$D$2,0)</f>
        <v>0</v>
      </c>
      <c r="BN2" s="10">
        <f ca="1">ROUND(BD2*V2*AD2*M2*BB2*[1]ステータス!$E$2,0)</f>
        <v>1513</v>
      </c>
      <c r="BO2" s="9">
        <v>0</v>
      </c>
      <c r="BP2" s="9">
        <v>1</v>
      </c>
      <c r="BQ2" s="36" t="s">
        <v>47</v>
      </c>
      <c r="BR2" s="9">
        <f ca="1">VLOOKUP(H2,ghosts_label!$A$2:$B$19,2,FALSE)</f>
        <v>1</v>
      </c>
    </row>
    <row r="3" spans="1:70" ht="26" customHeight="1" x14ac:dyDescent="0.15">
      <c r="A3" s="186">
        <v>1294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酉賀なる初飛翔 トトリ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god</v>
      </c>
      <c r="Z3" s="5" t="str">
        <f ca="1">VLOOKUP(Y3,[1]character_tribe_i18n!$A:$H,3,FALSE)</f>
        <v>ゴッド</v>
      </c>
      <c r="AA3" s="10">
        <f ca="1">VLOOKUP(W3,[1]character_tribe_i18n!$A:$H,4,FALSE)</f>
        <v>1</v>
      </c>
      <c r="AB3" s="10">
        <f ca="1">VLOOKUP(W3,[1]character_tribe_i18n!$A:$H,5,FALSE)</f>
        <v>1.1000000000000001</v>
      </c>
      <c r="AC3" s="10">
        <f ca="1">VLOOKUP(W3,[1]character_tribe_i18n!$A:$H,6,FALSE)</f>
        <v>1</v>
      </c>
      <c r="AD3" s="10">
        <f ca="1">VLOOKUP(W3,[1]character_tribe_i18n!$A:$H,7,FALSE)</f>
        <v>0.9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1293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トトリ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1294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翔力解禁・燦我日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青パネルをハートパネルに変換+3ターン種族アニマル・Unknownユニットのタップ回数を1増やす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1294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羽根突き奥義・オトシダマ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1.0027999999999999</v>
      </c>
      <c r="AZ3" s="64">
        <v>0.99450000000000005</v>
      </c>
      <c r="BA3" s="64">
        <v>0</v>
      </c>
      <c r="BB3" s="64">
        <v>0.76229999999999998</v>
      </c>
      <c r="BC3" s="10">
        <f ca="1">INDEX('RC6SV'!$A$1:$G$21,MATCH(H3,'RC6SV'!$A$1:$A$21,FALSE),MATCH(G3,'RC6SV'!$A$1:$G$1,FALSE))</f>
        <v>12000</v>
      </c>
      <c r="BD3" s="44">
        <f t="shared" ref="BD3" ca="1" si="4">ROUND(BC3*IF(AJ3=1,0.95,IF(AJ3=2,1,IF(AJ3,1.05,0))),0)</f>
        <v>12000</v>
      </c>
      <c r="BE3" s="10">
        <f ca="1">ROUND(IFERROR(INDIRECT(ADDRESS(MATCH($A3,$AE:$AE,0),MATCH($BC$1,$1:$1,0))),0),0)</f>
        <v>9000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3610</v>
      </c>
      <c r="BH3" s="15">
        <f ca="1">IF($BE3&lt;=0,ROUND(BL3*0.5,0), ROUND($BE3*T3*AB3*K3*AZ3*0.8*[1]ステータス!$C$2,0))</f>
        <v>2410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1210</v>
      </c>
      <c r="BK3" s="10">
        <f ca="1">ROUND(BD3*S3*AA3*J3*AY3*[1]ステータス!$B$2,0)</f>
        <v>6017</v>
      </c>
      <c r="BL3" s="10">
        <f ca="1">ROUND(BD3*T3*AB3*K3*AZ3*[1]ステータス!$C$2,0)</f>
        <v>4017</v>
      </c>
      <c r="BM3" s="10">
        <f ca="1">ROUND(BD3*U3*AC3*L3*BA3*[1]ステータス!$D$2,0)</f>
        <v>0</v>
      </c>
      <c r="BN3" s="10">
        <f ca="1">ROUND(BD3*V3*AD3*M3*BB3*[1]ステータス!$E$2,0)</f>
        <v>2017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selection activeCell="I8" sqref="I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9" width="48.6640625" style="126" customWidth="1"/>
    <col min="10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1293</v>
      </c>
      <c r="B2" s="129" t="s">
        <v>185</v>
      </c>
      <c r="C2" s="188" t="s">
        <v>338</v>
      </c>
      <c r="D2" s="188" t="s">
        <v>356</v>
      </c>
      <c r="E2" s="131">
        <f t="shared" ref="E2" si="0">LEN(D2)</f>
        <v>48</v>
      </c>
      <c r="F2" s="63">
        <v>14</v>
      </c>
      <c r="G2" s="113">
        <v>7</v>
      </c>
      <c r="H2" s="132">
        <f>2001</f>
        <v>2001</v>
      </c>
      <c r="I2" s="189" t="s">
        <v>358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トトリ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1294</v>
      </c>
      <c r="B3" s="129" t="s">
        <v>185</v>
      </c>
      <c r="C3" s="188" t="s">
        <v>339</v>
      </c>
      <c r="D3" s="188" t="s">
        <v>357</v>
      </c>
      <c r="E3" s="131">
        <f t="shared" ref="E3" si="1">LEN(D3)</f>
        <v>48</v>
      </c>
      <c r="F3" s="63">
        <v>13</v>
      </c>
      <c r="G3" s="113">
        <v>7</v>
      </c>
      <c r="H3" s="132">
        <f>2001</f>
        <v>2001</v>
      </c>
      <c r="I3" s="189" t="s">
        <v>359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酉賀なる初飛翔 トトリ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1293</v>
      </c>
      <c r="B2" s="129" t="s">
        <v>186</v>
      </c>
      <c r="C2" s="188" t="s">
        <v>340</v>
      </c>
      <c r="D2" s="188" t="s">
        <v>353</v>
      </c>
      <c r="E2" s="131">
        <f t="shared" ref="E2" si="0">LEN(D2)</f>
        <v>8</v>
      </c>
      <c r="F2" s="190" t="s">
        <v>355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トトリ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1294</v>
      </c>
      <c r="B3" s="129" t="s">
        <v>186</v>
      </c>
      <c r="C3" s="188" t="s">
        <v>341</v>
      </c>
      <c r="D3" s="188" t="s">
        <v>354</v>
      </c>
      <c r="E3" s="131">
        <f t="shared" ref="E3" si="1">LEN(D3)</f>
        <v>9</v>
      </c>
      <c r="F3" s="190" t="s">
        <v>360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酉賀なる初飛翔 トトリ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J18" sqref="J18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1293</v>
      </c>
      <c r="B2" s="138" t="str">
        <f>VLOOKUP(A2,[1]characters!$A:$C,3,FALSE)</f>
        <v>トトリ</v>
      </c>
      <c r="C2" s="105" t="s">
        <v>195</v>
      </c>
      <c r="D2" s="138" t="str">
        <f t="shared" ref="D2" si="0">A2&amp;C2</f>
        <v>1293skill</v>
      </c>
      <c r="E2" s="138" t="str">
        <f>A2&amp;+(COUNTIF(A2:A$100,A2)-1)</f>
        <v>12933</v>
      </c>
      <c r="F2" s="105" t="s">
        <v>197</v>
      </c>
      <c r="G2" s="162" t="s">
        <v>343</v>
      </c>
      <c r="H2" s="162" t="s">
        <v>342</v>
      </c>
    </row>
    <row r="3" spans="1:8" x14ac:dyDescent="0.15">
      <c r="A3" s="105">
        <v>1293</v>
      </c>
      <c r="B3" s="138" t="str">
        <f>VLOOKUP(A3,[1]characters!$A:$C,3,FALSE)</f>
        <v>トトリ</v>
      </c>
      <c r="C3" s="105" t="s">
        <v>198</v>
      </c>
      <c r="D3" s="138" t="str">
        <f>A3&amp;C3</f>
        <v>1293cskill</v>
      </c>
      <c r="E3" s="138" t="str">
        <f>A3&amp;+(COUNTIF(A3:A$100,A3)-1)</f>
        <v>12932</v>
      </c>
      <c r="F3" s="105" t="s">
        <v>186</v>
      </c>
      <c r="G3" s="162" t="s">
        <v>343</v>
      </c>
      <c r="H3" s="162" t="s">
        <v>344</v>
      </c>
    </row>
    <row r="4" spans="1:8" x14ac:dyDescent="0.15">
      <c r="A4" s="105">
        <v>1293</v>
      </c>
      <c r="B4" s="138" t="str">
        <f>VLOOKUP(A4,[1]characters!$A:$C,3,FALSE)</f>
        <v>トトリ</v>
      </c>
      <c r="C4" s="105" t="s">
        <v>198</v>
      </c>
      <c r="D4" s="138" t="str">
        <f>A4&amp;C4</f>
        <v>1293cskill</v>
      </c>
      <c r="E4" s="138" t="str">
        <f>A4&amp;+(COUNTIF(A4:A$100,A4)-1)</f>
        <v>12931</v>
      </c>
      <c r="F4" s="105" t="s">
        <v>186</v>
      </c>
      <c r="G4" s="162" t="s">
        <v>343</v>
      </c>
      <c r="H4" s="162" t="s">
        <v>345</v>
      </c>
    </row>
    <row r="5" spans="1:8" x14ac:dyDescent="0.15">
      <c r="A5" s="105">
        <v>1293</v>
      </c>
      <c r="B5" s="138" t="str">
        <f>VLOOKUP(A5,[1]characters!$A:$C,3,FALSE)</f>
        <v>トトリ</v>
      </c>
      <c r="C5" s="105" t="s">
        <v>198</v>
      </c>
      <c r="D5" s="138" t="str">
        <f>A5&amp;C5</f>
        <v>1293cskill</v>
      </c>
      <c r="E5" s="138" t="str">
        <f>A5&amp;+(COUNTIF(A5:A$100,A5)-1)</f>
        <v>12930</v>
      </c>
      <c r="F5" s="105" t="s">
        <v>197</v>
      </c>
      <c r="G5" s="162" t="s">
        <v>196</v>
      </c>
      <c r="H5" s="162" t="s">
        <v>346</v>
      </c>
    </row>
    <row r="6" spans="1:8" x14ac:dyDescent="0.15">
      <c r="A6" s="105">
        <v>1294</v>
      </c>
      <c r="B6" s="138" t="str">
        <f>VLOOKUP(A6,[1]characters!$A:$C,3,FALSE)</f>
        <v>酉賀なる初飛翔 トトリ</v>
      </c>
      <c r="C6" s="105" t="s">
        <v>195</v>
      </c>
      <c r="D6" s="138" t="str">
        <f t="shared" ref="D6" si="1">A6&amp;C6</f>
        <v>1294skill</v>
      </c>
      <c r="E6" s="138" t="str">
        <f>A6&amp;+(COUNTIF(A6:A$100,A6)-1)</f>
        <v>12944</v>
      </c>
      <c r="F6" s="105" t="s">
        <v>186</v>
      </c>
      <c r="G6" s="162" t="s">
        <v>343</v>
      </c>
      <c r="H6" s="162" t="s">
        <v>347</v>
      </c>
    </row>
    <row r="7" spans="1:8" x14ac:dyDescent="0.15">
      <c r="A7" s="105">
        <v>1294</v>
      </c>
      <c r="B7" s="138" t="str">
        <f>VLOOKUP(A7,[1]characters!$A:$C,3,FALSE)</f>
        <v>酉賀なる初飛翔 トトリ</v>
      </c>
      <c r="C7" s="105" t="s">
        <v>198</v>
      </c>
      <c r="D7" s="138" t="str">
        <f>A7&amp;C7</f>
        <v>1294cskill</v>
      </c>
      <c r="E7" s="138" t="str">
        <f>A7&amp;+(COUNTIF(A7:A$100,A7)-1)</f>
        <v>12943</v>
      </c>
      <c r="F7" s="105" t="s">
        <v>186</v>
      </c>
      <c r="G7" s="162" t="s">
        <v>343</v>
      </c>
      <c r="H7" s="162" t="s">
        <v>348</v>
      </c>
    </row>
    <row r="8" spans="1:8" x14ac:dyDescent="0.15">
      <c r="A8" s="105">
        <v>1294</v>
      </c>
      <c r="B8" s="138" t="str">
        <f>VLOOKUP(A8,[1]characters!$A:$C,3,FALSE)</f>
        <v>酉賀なる初飛翔 トトリ</v>
      </c>
      <c r="C8" s="105" t="s">
        <v>198</v>
      </c>
      <c r="D8" s="138" t="str">
        <f>A8&amp;C8</f>
        <v>1294cskill</v>
      </c>
      <c r="E8" s="138" t="str">
        <f>A8&amp;+(COUNTIF(A8:A$100,A8)-1)</f>
        <v>12942</v>
      </c>
      <c r="F8" s="105" t="s">
        <v>186</v>
      </c>
      <c r="G8" s="162" t="s">
        <v>343</v>
      </c>
      <c r="H8" s="162" t="s">
        <v>344</v>
      </c>
    </row>
    <row r="9" spans="1:8" x14ac:dyDescent="0.15">
      <c r="A9" s="105">
        <v>1294</v>
      </c>
      <c r="B9" s="138" t="str">
        <f>VLOOKUP(A9,[1]characters!$A:$C,3,FALSE)</f>
        <v>酉賀なる初飛翔 トトリ</v>
      </c>
      <c r="C9" s="105" t="s">
        <v>198</v>
      </c>
      <c r="D9" s="138" t="str">
        <f>A9&amp;C9</f>
        <v>1294cskill</v>
      </c>
      <c r="E9" s="138" t="str">
        <f>A9&amp;+(COUNTIF(A9:A$100,A9)-1)</f>
        <v>12941</v>
      </c>
      <c r="F9" s="105" t="s">
        <v>186</v>
      </c>
      <c r="G9" s="162" t="s">
        <v>343</v>
      </c>
      <c r="H9" s="162" t="s">
        <v>345</v>
      </c>
    </row>
    <row r="10" spans="1:8" x14ac:dyDescent="0.15">
      <c r="A10" s="105">
        <v>1294</v>
      </c>
      <c r="B10" s="138" t="str">
        <f>VLOOKUP(A10,[1]characters!$A:$C,3,FALSE)</f>
        <v>酉賀なる初飛翔 トトリ</v>
      </c>
      <c r="C10" s="105" t="s">
        <v>198</v>
      </c>
      <c r="D10" s="138" t="str">
        <f>A10&amp;C10</f>
        <v>1294cskill</v>
      </c>
      <c r="E10" s="138" t="str">
        <f>A10&amp;+(COUNTIF(A10:A$100,A10)-1)</f>
        <v>12940</v>
      </c>
      <c r="F10" s="105" t="s">
        <v>186</v>
      </c>
      <c r="G10" s="162" t="s">
        <v>196</v>
      </c>
      <c r="H10" s="162" t="s">
        <v>346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1293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トトリ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god</v>
      </c>
      <c r="K2" s="5" t="str">
        <f ca="1">VLOOKUP(J2,[1]character_tribe_i18n!$A:$H,3,FALSE)</f>
        <v>ゴッド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1294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酉賀なる初飛翔 トトリ</v>
      </c>
      <c r="S2" s="5">
        <f ca="1">IF(ISNA(MATCH(A2,Q:Q,0)),A2,INDIRECT(ADDRESS(MATCH(A2,Q:Q,0),COLUMN())))</f>
        <v>1293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トトリ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G18" sqref="G18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>B2&amp;"_"&amp;I2</f>
        <v>1293_837</v>
      </c>
      <c r="B2" s="195">
        <v>1293</v>
      </c>
      <c r="C2" s="178">
        <f>B2</f>
        <v>1293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トトリ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1294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酉賀なる初飛翔 トトリ</v>
      </c>
      <c r="I2" s="194">
        <v>837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リトルハンプティ</v>
      </c>
      <c r="K2" s="192">
        <v>1</v>
      </c>
      <c r="L2" s="193">
        <v>1</v>
      </c>
      <c r="M2" s="193">
        <v>1000</v>
      </c>
      <c r="N2" s="2" t="s">
        <v>290</v>
      </c>
    </row>
    <row r="3" spans="1:14" ht="21" customHeight="1" x14ac:dyDescent="0.15">
      <c r="A3" s="61" t="str">
        <f>B3&amp;"_"&amp;I3</f>
        <v>1293_104</v>
      </c>
      <c r="B3" s="195">
        <v>1293</v>
      </c>
      <c r="C3" s="178">
        <f>B3</f>
        <v>1293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トトリ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1294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酉賀なる初飛翔 トトリ</v>
      </c>
      <c r="I3" s="194">
        <v>104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炎のマッドハッター</v>
      </c>
      <c r="K3" s="192">
        <v>1</v>
      </c>
      <c r="L3" s="193">
        <v>1</v>
      </c>
      <c r="M3" s="193">
        <v>10</v>
      </c>
      <c r="N3" s="2" t="s">
        <v>290</v>
      </c>
    </row>
    <row r="4" spans="1:14" ht="21" customHeight="1" x14ac:dyDescent="0.15">
      <c r="A4" s="61" t="str">
        <f>B4&amp;"_"&amp;I4</f>
        <v>1293_736</v>
      </c>
      <c r="B4" s="195">
        <v>1293</v>
      </c>
      <c r="C4" s="178">
        <f>B4</f>
        <v>1293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トトリ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1294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酉賀なる初飛翔 トトリ</v>
      </c>
      <c r="I4" s="194">
        <v>736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オルトロス</v>
      </c>
      <c r="K4" s="192">
        <v>1</v>
      </c>
      <c r="L4" s="193">
        <v>2</v>
      </c>
      <c r="M4" s="193">
        <v>100</v>
      </c>
      <c r="N4" s="2" t="s">
        <v>290</v>
      </c>
    </row>
    <row r="5" spans="1:14" ht="21" customHeight="1" x14ac:dyDescent="0.15">
      <c r="A5" s="61" t="str">
        <f>B5&amp;"_"&amp;I5</f>
        <v>1293_840</v>
      </c>
      <c r="B5" s="195">
        <v>1293</v>
      </c>
      <c r="C5" s="178">
        <f>B5</f>
        <v>1293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トトリ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1294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酉賀なる初飛翔 トトリ</v>
      </c>
      <c r="I5" s="194">
        <v>840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フェニックス</v>
      </c>
      <c r="K5" s="192">
        <v>1</v>
      </c>
      <c r="L5" s="193">
        <v>3</v>
      </c>
      <c r="M5" s="193">
        <v>100</v>
      </c>
      <c r="N5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" sqref="D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G13" sqref="G13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1294</v>
      </c>
      <c r="B2" s="172" t="str">
        <f>VLOOKUP(A2,[1]characters!$A:$C,3)</f>
        <v>酉賀なる初飛翔 トトリ</v>
      </c>
      <c r="C2" s="196">
        <v>1</v>
      </c>
      <c r="D2" s="196">
        <v>100</v>
      </c>
      <c r="E2" s="173" t="str">
        <f>IF(ISERROR(VLOOKUP(D2,[3]abilities!A:D,3,FALSE))=FALSE,VLOOKUP(D2,[3]abilities!A:D,3),IF(ISERROR(VLOOKUP(D2,abilities!A:D,3,FALSE))=FALSE,VLOOKUP(D2,abilities!A:D,3),"なし"))</f>
        <v>プロテクトブレイク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4" t="s">
        <v>274</v>
      </c>
      <c r="H2" s="197" t="s">
        <v>351</v>
      </c>
    </row>
    <row r="3" spans="1:8" s="4" customFormat="1" ht="21" customHeight="1" x14ac:dyDescent="0.15">
      <c r="A3" s="169">
        <v>1294</v>
      </c>
      <c r="B3" s="172" t="str">
        <f>VLOOKUP(A3,[1]characters!$A:$C,3)</f>
        <v>酉賀なる初飛翔 トトリ</v>
      </c>
      <c r="C3" s="196">
        <v>2</v>
      </c>
      <c r="D3" s="196">
        <v>904</v>
      </c>
      <c r="E3" s="173" t="str">
        <f>IF(ISERROR(VLOOKUP(D3,[3]abilities!A:D,3,FALSE))=FALSE,VLOOKUP(D3,[3]abilities!A:D,3),IF(ISERROR(VLOOKUP(D3,abilities!A:D,3,FALSE))=FALSE,VLOOKUP(D3,abilities!A:D,3),"なし"))</f>
        <v>チェイン17 回復力UP</v>
      </c>
      <c r="F3" s="173" t="str">
        <f>IF(ISERROR(VLOOKUP(D3,[3]abilities!A:D,4,FALSE))=FALSE,VLOOKUP(D3,[3]abilities!A:D,4),IF(ISERROR(VLOOKUP(D3,abilities!A:D,4,FALSE))=FALSE,VLOOKUP(D3,abilities!A:D,4),"なし"))</f>
        <v>自身が先頭の時、1タップで17個以上パネルを繋げた場合に自身の回復力を2017UP</v>
      </c>
      <c r="G3" s="174" t="s">
        <v>274</v>
      </c>
      <c r="H3" s="197" t="s">
        <v>349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325</v>
      </c>
      <c r="B7">
        <v>1</v>
      </c>
    </row>
    <row r="8" spans="1:2" x14ac:dyDescent="0.15">
      <c r="A8" t="s">
        <v>326</v>
      </c>
      <c r="B8">
        <v>1</v>
      </c>
    </row>
    <row r="9" spans="1:2" x14ac:dyDescent="0.15">
      <c r="A9" t="s">
        <v>327</v>
      </c>
      <c r="B9">
        <v>1</v>
      </c>
    </row>
    <row r="10" spans="1:2" x14ac:dyDescent="0.15">
      <c r="A10" t="s">
        <v>328</v>
      </c>
      <c r="B10">
        <v>1</v>
      </c>
    </row>
    <row r="11" spans="1:2" x14ac:dyDescent="0.15">
      <c r="A11" t="s">
        <v>329</v>
      </c>
      <c r="B11">
        <v>1</v>
      </c>
    </row>
    <row r="12" spans="1:2" x14ac:dyDescent="0.15">
      <c r="A12" t="s">
        <v>330</v>
      </c>
      <c r="B12">
        <v>1</v>
      </c>
    </row>
    <row r="13" spans="1:2" x14ac:dyDescent="0.15">
      <c r="A13" t="s">
        <v>331</v>
      </c>
      <c r="B13">
        <v>0</v>
      </c>
    </row>
    <row r="14" spans="1:2" x14ac:dyDescent="0.15">
      <c r="A14" t="s">
        <v>332</v>
      </c>
      <c r="B14">
        <v>500</v>
      </c>
    </row>
    <row r="15" spans="1:2" x14ac:dyDescent="0.15">
      <c r="A15" t="s">
        <v>333</v>
      </c>
      <c r="B15">
        <v>600</v>
      </c>
    </row>
    <row r="16" spans="1:2" x14ac:dyDescent="0.15">
      <c r="A16" t="s">
        <v>334</v>
      </c>
      <c r="B16">
        <v>700</v>
      </c>
    </row>
    <row r="17" spans="1:2" x14ac:dyDescent="0.15">
      <c r="A17" t="s">
        <v>335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2017-06-06T07:44:53Z</dcterms:modified>
</cp:coreProperties>
</file>