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1200" yWindow="1200" windowWidth="24400" windowHeight="14860" tabRatio="963" activeTab="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コスト" sheetId="13" r:id="rId8"/>
    <sheet name="レベル" sheetId="12" r:id="rId9"/>
    <sheet name="経験値" sheetId="10" r:id="rId10"/>
    <sheet name="RC6SV" sheetId="11" r:id="rId11"/>
    <sheet name="ビット" sheetId="15" r:id="rId12"/>
    <sheet name="チェックシート" sheetId="55" r:id="rId13"/>
  </sheets>
  <externalReferences>
    <externalReference r:id="rId14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23" l="1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B10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B12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B14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B15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B16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B17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B2" i="23"/>
  <c r="C2" i="23"/>
  <c r="D2" i="23"/>
  <c r="E2" i="23"/>
  <c r="F2" i="23"/>
  <c r="G2" i="23"/>
  <c r="H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4" i="23"/>
  <c r="C4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G2" i="53"/>
  <c r="C2" i="53"/>
  <c r="J2" i="52"/>
  <c r="C2" i="52"/>
  <c r="B15" i="55"/>
  <c r="C15" i="55"/>
  <c r="D15" i="55"/>
  <c r="B16" i="55"/>
  <c r="C16" i="55"/>
  <c r="D16" i="55"/>
  <c r="D14" i="55"/>
  <c r="C14" i="55"/>
  <c r="B14" i="55"/>
  <c r="A21" i="55"/>
  <c r="G6" i="11"/>
  <c r="G5" i="11"/>
  <c r="G4" i="11"/>
  <c r="G3" i="11"/>
  <c r="G6" i="13"/>
  <c r="G5" i="13"/>
  <c r="G4" i="13"/>
  <c r="G3" i="13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3" i="54"/>
  <c r="D2" i="54"/>
  <c r="E3" i="54"/>
  <c r="B3" i="54"/>
  <c r="E2" i="54"/>
  <c r="B2" i="54"/>
  <c r="E2" i="53"/>
  <c r="H2" i="52"/>
  <c r="E2" i="52"/>
  <c r="G2" i="3"/>
  <c r="C2" i="3"/>
  <c r="E8" i="49"/>
  <c r="E7" i="49"/>
  <c r="E6" i="49"/>
  <c r="E5" i="49"/>
  <c r="E9" i="49"/>
  <c r="E10" i="49"/>
  <c r="E3" i="49"/>
  <c r="E4" i="49"/>
  <c r="E2" i="49"/>
  <c r="A2" i="3"/>
  <c r="E2" i="3"/>
  <c r="D2" i="3"/>
</calcChain>
</file>

<file path=xl/sharedStrings.xml><?xml version="1.0" encoding="utf-8"?>
<sst xmlns="http://schemas.openxmlformats.org/spreadsheetml/2006/main" count="675" uniqueCount="249">
  <si>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</si>
  <si>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</si>
  <si>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</si>
  <si>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</si>
  <si>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</si>
  <si>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</si>
  <si>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</si>
  <si>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</si>
  <si>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</si>
  <si>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</si>
  <si>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</si>
  <si>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</si>
  <si>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</si>
  <si>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</si>
  <si>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</si>
  <si>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</si>
  <si>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</si>
  <si>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</si>
  <si>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</si>
  <si>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</si>
  <si>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</si>
  <si>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</si>
  <si>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</si>
  <si>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</si>
  <si>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</si>
  <si>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</si>
  <si>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</si>
  <si>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</si>
  <si>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</si>
  <si>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</si>
  <si>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</si>
  <si>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</si>
  <si>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</si>
  <si>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</si>
  <si>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</si>
  <si>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</si>
  <si>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</si>
  <si>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</si>
  <si>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</si>
  <si>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</si>
  <si>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</si>
  <si>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</si>
  <si>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</si>
  <si>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</si>
  <si>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</si>
  <si>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</si>
  <si>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</si>
  <si>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</si>
  <si>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</si>
  <si>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</si>
  <si>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</si>
  <si>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</si>
  <si>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</si>
  <si>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</si>
  <si>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</si>
  <si>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</si>
  <si>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</si>
  <si>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</si>
  <si>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</si>
  <si>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</si>
  <si>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</si>
  <si>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</si>
  <si>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</si>
  <si>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</si>
  <si>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</si>
  <si>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</si>
  <si>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</si>
  <si>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</si>
  <si>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</si>
  <si>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</si>
  <si>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</si>
  <si>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</si>
  <si>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</si>
  <si>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</si>
  <si>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</si>
  <si>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</si>
  <si>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</si>
  <si>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</si>
  <si>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</si>
  <si>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</si>
  <si>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</si>
  <si>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</si>
  <si>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</si>
  <si>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</si>
  <si>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</si>
  <si>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</si>
  <si>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</si>
  <si>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</si>
  <si>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</si>
  <si>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</si>
  <si>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</si>
  <si>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</si>
  <si>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</si>
  <si>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</si>
  <si>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</si>
  <si>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</si>
  <si>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</si>
  <si>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</si>
  <si>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</si>
  <si>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</si>
  <si>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</si>
  <si>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</si>
  <si>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</si>
  <si>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</si>
  <si>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</si>
  <si>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</si>
  <si>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</si>
  <si>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</si>
  <si>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</si>
  <si>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</si>
  <si>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</si>
  <si>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</si>
  <si>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</si>
  <si>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</si>
  <si>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</si>
  <si>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</si>
  <si>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</si>
  <si>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</si>
  <si>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</si>
  <si>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</si>
  <si>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</si>
  <si>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</si>
  <si>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</si>
  <si>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</si>
  <si>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</si>
  <si>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</si>
  <si>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</si>
  <si>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</si>
  <si>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</si>
  <si>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</si>
  <si>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</si>
  <si>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</si>
  <si>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</si>
  <si>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</si>
  <si>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</si>
  <si>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</si>
  <si>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</si>
  <si>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</si>
  <si>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</si>
  <si>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</si>
  <si>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</si>
  <si>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</si>
  <si>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</si>
  <si>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</si>
  <si>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</si>
  <si>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</si>
  <si>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</si>
  <si>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</si>
  <si>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</si>
  <si>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</si>
  <si>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</si>
  <si>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</si>
  <si>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</si>
  <si>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</si>
  <si>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</si>
  <si>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</si>
  <si>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</si>
  <si>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</si>
  <si>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</si>
  <si>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</si>
  <si>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</si>
  <si>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</si>
  <si>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</si>
  <si>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</si>
  <si>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</si>
  <si>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</si>
  <si>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</si>
  <si>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</si>
  <si>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</si>
  <si>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</si>
  <si>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</si>
  <si>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</si>
  <si>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</si>
  <si>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</si>
  <si>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</si>
  <si>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</si>
  <si>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</si>
  <si>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</si>
  <si>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</si>
  <si>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</si>
  <si>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</si>
  <si>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</si>
  <si>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</si>
  <si>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</si>
  <si>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</si>
  <si>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</si>
  <si>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</si>
  <si>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</si>
  <si>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</si>
  <si>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template</t>
    <phoneticPr fontId="22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</si>
  <si>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</si>
  <si>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</si>
  <si>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</si>
  <si>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</si>
  <si>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3ターンの間体力タイプの攻撃力と防御力を大UP+自身の最大HPで攻撃</t>
    <rPh sb="5" eb="6">
      <t>ア</t>
    </rPh>
    <rPh sb="6" eb="8">
      <t>タイリョk</t>
    </rPh>
    <rPh sb="12" eb="15">
      <t>コウゲk</t>
    </rPh>
    <rPh sb="16" eb="19">
      <t>ボ</t>
    </rPh>
    <rPh sb="20" eb="21">
      <t>ダ</t>
    </rPh>
    <rPh sb="24" eb="26">
      <t>ジシン</t>
    </rPh>
    <rPh sb="27" eb="29">
      <t>サイダイ</t>
    </rPh>
    <rPh sb="32" eb="34">
      <t>コウゲk</t>
    </rPh>
    <phoneticPr fontId="22"/>
  </si>
  <si>
    <t>[effect:enhance_unit, target:unit_hp, turn:4, status:attack, val:0.25, calc:add, animation:enhance_unit_all_attack04],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</si>
  <si>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</si>
  <si>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</si>
  <si>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</si>
  <si>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</si>
  <si>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</si>
  <si>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</si>
  <si>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</si>
  <si>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</si>
  <si>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</si>
  <si>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</si>
  <si>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</si>
  <si>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</si>
  <si>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あああ</t>
    <phoneticPr fontId="22"/>
  </si>
  <si>
    <t>cskill</t>
  </si>
  <si>
    <t>いいい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</si>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</sst>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53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</cellXfs>
  <cellStyles count="453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桁区切り 2" xfId="2"/>
    <cellStyle name="青字強調" xfId="3"/>
    <cellStyle name="赤字強調" xfId="4"/>
    <cellStyle name="標準" xfId="0" builtinId="0"/>
    <cellStyle name="標準 2" xfId="5"/>
    <cellStyle name="標準 2 2" xfId="4373"/>
    <cellStyle name="標準 3" xfId="6"/>
    <cellStyle name="標準 4" xfId="7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無題1" xfId="8"/>
  </cellStyles>
  <dxfs count="2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空を駆る神脳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</row>
        <row r="691">
          <cell r="A691">
            <v>690</v>
          </cell>
          <cell r="B691" t="str">
            <v>ja</v>
          </cell>
          <cell r="C691" t="str">
            <v>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skilllevel</v>
          </cell>
          <cell r="B9" t="str">
            <v>ja</v>
          </cell>
          <cell r="C9" t="str">
            <v>スキルレベルアップ素材</v>
          </cell>
          <cell r="D9">
            <v>0.1</v>
          </cell>
          <cell r="E9">
            <v>0.1</v>
          </cell>
          <cell r="F9">
            <v>1</v>
          </cell>
          <cell r="G9">
            <v>0.1</v>
          </cell>
          <cell r="H9">
            <v>0.30000000000000004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F22" sqref="F22"/>
    </sheetView>
  </sheetViews>
  <sheetFormatPr baseColWidth="12" defaultRowHeight="18" x14ac:dyDescent="0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>
      <c r="A1" s="113" t="s">
        <v>131</v>
      </c>
      <c r="B1" s="113" t="s">
        <v>122</v>
      </c>
      <c r="C1" s="113" t="s">
        <v>123</v>
      </c>
      <c r="D1" s="113" t="s">
        <v>124</v>
      </c>
      <c r="E1" s="113" t="s">
        <v>125</v>
      </c>
      <c r="F1" s="113" t="s">
        <v>126</v>
      </c>
      <c r="G1" s="113" t="s">
        <v>127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>
      <c r="A2" s="115" t="s">
        <v>191</v>
      </c>
      <c r="B2" s="115" t="s">
        <v>135</v>
      </c>
      <c r="C2" s="115" t="s">
        <v>189</v>
      </c>
      <c r="D2" s="115" t="s">
        <v>134</v>
      </c>
      <c r="E2" s="114" t="str">
        <f>B2&amp;C2&amp;D2</f>
        <v>units_template.tmp</v>
      </c>
      <c r="F2" s="115" t="s">
        <v>130</v>
      </c>
      <c r="G2" s="65" t="s">
        <v>17</v>
      </c>
      <c r="H2" s="66" t="s">
        <v>102</v>
      </c>
      <c r="I2" s="66" t="s">
        <v>1</v>
      </c>
      <c r="J2" s="66" t="s">
        <v>3</v>
      </c>
      <c r="K2" s="66" t="s">
        <v>2</v>
      </c>
      <c r="L2" s="66" t="s">
        <v>104</v>
      </c>
      <c r="M2" s="66" t="s">
        <v>20</v>
      </c>
      <c r="N2" s="66" t="s">
        <v>109</v>
      </c>
      <c r="O2" s="66" t="s">
        <v>107</v>
      </c>
      <c r="P2" s="66" t="s">
        <v>45</v>
      </c>
      <c r="Q2" s="66" t="s">
        <v>63</v>
      </c>
      <c r="R2" s="115"/>
      <c r="S2" s="115"/>
      <c r="T2" s="115"/>
      <c r="U2" s="115"/>
      <c r="V2" s="115"/>
      <c r="W2" s="115"/>
    </row>
    <row r="3" spans="1:23">
      <c r="A3" s="115" t="s">
        <v>191</v>
      </c>
      <c r="B3" s="115" t="s">
        <v>136</v>
      </c>
      <c r="C3" s="115" t="s">
        <v>189</v>
      </c>
      <c r="D3" s="115" t="s">
        <v>134</v>
      </c>
      <c r="E3" s="114" t="str">
        <f>B3&amp;C3&amp;D3</f>
        <v>awake_materials_template.tmp</v>
      </c>
      <c r="F3" s="115" t="s">
        <v>129</v>
      </c>
      <c r="G3" s="116" t="s">
        <v>44</v>
      </c>
      <c r="H3" s="117" t="s">
        <v>42</v>
      </c>
      <c r="I3" s="117" t="s">
        <v>43</v>
      </c>
      <c r="J3" s="119" t="s">
        <v>132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>
      <c r="A4" s="115" t="s">
        <v>191</v>
      </c>
      <c r="B4" s="115" t="s">
        <v>137</v>
      </c>
      <c r="C4" s="115" t="s">
        <v>189</v>
      </c>
      <c r="D4" s="115" t="s">
        <v>138</v>
      </c>
      <c r="E4" s="114" t="str">
        <f t="shared" ref="E4" si="0">B4&amp;C4&amp;D4</f>
        <v>unit_levels_calc_template.tmp</v>
      </c>
      <c r="F4" s="115" t="s">
        <v>128</v>
      </c>
      <c r="G4" s="61" t="s">
        <v>17</v>
      </c>
      <c r="H4" s="62" t="s">
        <v>2</v>
      </c>
      <c r="I4" s="63" t="s">
        <v>85</v>
      </c>
      <c r="J4" s="63" t="s">
        <v>86</v>
      </c>
      <c r="K4" s="63" t="s">
        <v>87</v>
      </c>
      <c r="L4" s="63" t="s">
        <v>88</v>
      </c>
      <c r="M4" s="63" t="s">
        <v>93</v>
      </c>
      <c r="N4" s="63" t="s">
        <v>94</v>
      </c>
      <c r="O4" s="63" t="s">
        <v>95</v>
      </c>
      <c r="P4" s="63" t="s">
        <v>96</v>
      </c>
      <c r="Q4" s="63" t="s">
        <v>97</v>
      </c>
      <c r="R4" s="63" t="s">
        <v>100</v>
      </c>
      <c r="S4" s="63" t="s">
        <v>98</v>
      </c>
      <c r="T4" s="63" t="s">
        <v>99</v>
      </c>
      <c r="U4" s="63" t="s">
        <v>89</v>
      </c>
      <c r="V4" s="63" t="s">
        <v>90</v>
      </c>
      <c r="W4" s="63" t="s">
        <v>91</v>
      </c>
    </row>
    <row r="5" spans="1:23">
      <c r="A5" s="115" t="s">
        <v>191</v>
      </c>
      <c r="B5" s="115" t="s">
        <v>149</v>
      </c>
      <c r="C5" s="115" t="s">
        <v>189</v>
      </c>
      <c r="D5" s="115" t="s">
        <v>150</v>
      </c>
      <c r="E5" s="114" t="str">
        <f>B5&amp;C5&amp;D5</f>
        <v>unit_skills_data_template.tmp</v>
      </c>
      <c r="F5" s="115" t="s">
        <v>151</v>
      </c>
      <c r="G5" s="124" t="s">
        <v>20</v>
      </c>
      <c r="H5" s="124" t="s">
        <v>152</v>
      </c>
      <c r="I5" s="124" t="s">
        <v>2</v>
      </c>
      <c r="J5" s="124" t="s">
        <v>153</v>
      </c>
      <c r="K5" s="124" t="s">
        <v>154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>
      <c r="A6" s="115" t="s">
        <v>191</v>
      </c>
      <c r="B6" s="115" t="s">
        <v>155</v>
      </c>
      <c r="C6" s="115" t="s">
        <v>189</v>
      </c>
      <c r="D6" s="115" t="s">
        <v>134</v>
      </c>
      <c r="E6" s="114" t="str">
        <f>B6&amp;C6&amp;D6</f>
        <v>unit_skills_i18n_template.tmp</v>
      </c>
      <c r="F6" s="115" t="s">
        <v>151</v>
      </c>
      <c r="G6" s="124" t="s">
        <v>156</v>
      </c>
      <c r="H6" s="124" t="s">
        <v>140</v>
      </c>
      <c r="I6" s="124" t="s">
        <v>157</v>
      </c>
      <c r="J6" s="124" t="s">
        <v>158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>
      <c r="A7" s="115" t="s">
        <v>191</v>
      </c>
      <c r="B7" s="115" t="s">
        <v>159</v>
      </c>
      <c r="C7" s="115" t="s">
        <v>189</v>
      </c>
      <c r="D7" s="115" t="s">
        <v>160</v>
      </c>
      <c r="E7" s="114" t="str">
        <f>B7&amp;C7&amp;D7</f>
        <v>crash_skills_data_template.tmp</v>
      </c>
      <c r="F7" s="115" t="s">
        <v>161</v>
      </c>
      <c r="G7" s="124" t="s">
        <v>162</v>
      </c>
      <c r="H7" s="124" t="s">
        <v>154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>
      <c r="A8" s="115" t="s">
        <v>191</v>
      </c>
      <c r="B8" s="115" t="s">
        <v>163</v>
      </c>
      <c r="C8" s="115" t="s">
        <v>189</v>
      </c>
      <c r="D8" s="115" t="s">
        <v>164</v>
      </c>
      <c r="E8" s="114" t="str">
        <f t="shared" ref="E8" si="1">B8&amp;C8&amp;D8</f>
        <v>crash_skills_i18n_template.tmp</v>
      </c>
      <c r="F8" s="115" t="s">
        <v>161</v>
      </c>
      <c r="G8" s="124" t="s">
        <v>165</v>
      </c>
      <c r="H8" s="124" t="s">
        <v>166</v>
      </c>
      <c r="I8" s="124" t="s">
        <v>167</v>
      </c>
      <c r="J8" s="124" t="s">
        <v>168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>
      <c r="A9" s="115" t="s">
        <v>191</v>
      </c>
      <c r="B9" s="118" t="s">
        <v>141</v>
      </c>
      <c r="C9" s="115" t="s">
        <v>189</v>
      </c>
      <c r="D9" s="115" t="s">
        <v>164</v>
      </c>
      <c r="E9" s="114" t="str">
        <f t="shared" ref="E9:E10" si="2">B9&amp;C9&amp;D9</f>
        <v>unit_serifs_data_template.tmp</v>
      </c>
      <c r="F9" s="118" t="s">
        <v>143</v>
      </c>
      <c r="G9" s="123" t="s">
        <v>144</v>
      </c>
      <c r="H9" s="124" t="s">
        <v>145</v>
      </c>
      <c r="I9" s="124" t="s">
        <v>139</v>
      </c>
      <c r="J9" s="122" t="s">
        <v>200</v>
      </c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>
      <c r="A10" s="115" t="s">
        <v>191</v>
      </c>
      <c r="B10" s="118" t="s">
        <v>142</v>
      </c>
      <c r="C10" s="115" t="s">
        <v>189</v>
      </c>
      <c r="D10" s="115" t="s">
        <v>164</v>
      </c>
      <c r="E10" s="114" t="str">
        <f t="shared" si="2"/>
        <v>unit_serifs_i18n_template.tmp</v>
      </c>
      <c r="F10" s="118" t="s">
        <v>143</v>
      </c>
      <c r="G10" s="123" t="s">
        <v>146</v>
      </c>
      <c r="H10" s="124" t="s">
        <v>147</v>
      </c>
      <c r="I10" s="124" t="s">
        <v>148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Q17"/>
  <sheetViews>
    <sheetView showGridLines="0" tabSelected="1" workbookViewId="0">
      <pane xSplit="9" ySplit="1" topLeftCell="J2" activePane="bottomRight" state="frozen"/>
      <selection pane="topRight" activeCell="J1" sqref="J1"/>
      <selection pane="bottomLeft" activeCell="A3" sqref="A3"/>
      <selection pane="bottomRight" activeCell="B19" sqref="B19"/>
    </sheetView>
  </sheetViews>
  <sheetFormatPr baseColWidth="12" defaultColWidth="8.83203125" defaultRowHeight="21" customHeight="1" outlineLevelCol="1" x14ac:dyDescent="0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69" ht="21" customHeight="1">
      <c r="A1" s="87" t="s">
        <v>114</v>
      </c>
      <c r="B1" s="89" t="s">
        <v>50</v>
      </c>
      <c r="C1" s="92" t="s">
        <v>27</v>
      </c>
      <c r="D1" s="92" t="s">
        <v>30</v>
      </c>
      <c r="E1" s="92" t="s">
        <v>28</v>
      </c>
      <c r="F1" s="92" t="s">
        <v>29</v>
      </c>
      <c r="G1" s="87" t="s">
        <v>1</v>
      </c>
      <c r="H1" s="90" t="s">
        <v>19</v>
      </c>
      <c r="I1" s="91" t="s">
        <v>0</v>
      </c>
      <c r="J1" s="93" t="s">
        <v>55</v>
      </c>
      <c r="K1" s="93" t="s">
        <v>54</v>
      </c>
      <c r="L1" s="93" t="s">
        <v>56</v>
      </c>
      <c r="M1" s="93" t="s">
        <v>57</v>
      </c>
      <c r="N1" s="87" t="s">
        <v>3</v>
      </c>
      <c r="O1" s="94" t="s">
        <v>2</v>
      </c>
      <c r="P1" s="87" t="s">
        <v>103</v>
      </c>
      <c r="Q1" s="95" t="s">
        <v>18</v>
      </c>
      <c r="R1" s="86" t="s">
        <v>58</v>
      </c>
      <c r="S1" s="96" t="s">
        <v>23</v>
      </c>
      <c r="T1" s="96" t="s">
        <v>24</v>
      </c>
      <c r="U1" s="96" t="s">
        <v>26</v>
      </c>
      <c r="V1" s="96" t="s">
        <v>25</v>
      </c>
      <c r="W1" s="91" t="s">
        <v>32</v>
      </c>
      <c r="X1" s="92" t="s">
        <v>59</v>
      </c>
      <c r="Y1" s="91" t="s">
        <v>33</v>
      </c>
      <c r="Z1" s="92" t="s">
        <v>59</v>
      </c>
      <c r="AA1" s="93" t="s">
        <v>23</v>
      </c>
      <c r="AB1" s="93" t="s">
        <v>24</v>
      </c>
      <c r="AC1" s="93" t="s">
        <v>26</v>
      </c>
      <c r="AD1" s="93" t="s">
        <v>25</v>
      </c>
      <c r="AE1" s="97" t="s">
        <v>106</v>
      </c>
      <c r="AF1" s="86" t="s">
        <v>51</v>
      </c>
      <c r="AG1" s="98" t="s">
        <v>64</v>
      </c>
      <c r="AH1" s="86" t="s">
        <v>51</v>
      </c>
      <c r="AI1" s="98" t="s">
        <v>52</v>
      </c>
      <c r="AJ1" s="88" t="s">
        <v>73</v>
      </c>
      <c r="AK1" s="86" t="s">
        <v>21</v>
      </c>
      <c r="AL1" s="99" t="s">
        <v>74</v>
      </c>
      <c r="AM1" s="100" t="s">
        <v>72</v>
      </c>
      <c r="AN1" s="100" t="s">
        <v>75</v>
      </c>
      <c r="AO1" s="101" t="s">
        <v>31</v>
      </c>
      <c r="AP1" s="97" t="s">
        <v>20</v>
      </c>
      <c r="AQ1" s="102" t="s">
        <v>119</v>
      </c>
      <c r="AR1" s="102" t="s">
        <v>113</v>
      </c>
      <c r="AS1" s="86" t="s">
        <v>110</v>
      </c>
      <c r="AT1" s="97" t="s">
        <v>108</v>
      </c>
      <c r="AU1" s="86" t="s">
        <v>116</v>
      </c>
      <c r="AV1" s="102" t="s">
        <v>113</v>
      </c>
      <c r="AW1" s="86" t="s">
        <v>110</v>
      </c>
      <c r="AX1" s="92" t="s">
        <v>4</v>
      </c>
      <c r="AY1" s="103" t="s">
        <v>60</v>
      </c>
      <c r="AZ1" s="103" t="s">
        <v>61</v>
      </c>
      <c r="BA1" s="103" t="s">
        <v>120</v>
      </c>
      <c r="BB1" s="103" t="s">
        <v>62</v>
      </c>
      <c r="BC1" s="5" t="s">
        <v>22</v>
      </c>
      <c r="BD1" s="106" t="s">
        <v>34</v>
      </c>
      <c r="BE1" s="104" t="s">
        <v>5</v>
      </c>
      <c r="BF1" s="105" t="s">
        <v>6</v>
      </c>
      <c r="BG1" s="107" t="s">
        <v>76</v>
      </c>
      <c r="BH1" s="107" t="s">
        <v>77</v>
      </c>
      <c r="BI1" s="107" t="s">
        <v>78</v>
      </c>
      <c r="BJ1" s="107" t="s">
        <v>79</v>
      </c>
      <c r="BK1" s="108" t="s">
        <v>80</v>
      </c>
      <c r="BL1" s="108" t="s">
        <v>101</v>
      </c>
      <c r="BM1" s="108" t="s">
        <v>81</v>
      </c>
      <c r="BN1" s="108" t="s">
        <v>82</v>
      </c>
      <c r="BO1" s="109" t="s">
        <v>83</v>
      </c>
      <c r="BP1" s="110" t="s">
        <v>84</v>
      </c>
      <c r="BQ1" s="110" t="s">
        <v>92</v>
      </c>
    </row>
    <row r="2" spans="1:69" ht="21" customHeight="1">
      <c r="A2" s="12">
        <v>642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マーラ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各属性相性良3・黄・R261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20</v>
      </c>
      <c r="O2" s="11">
        <f ca="1">INDEX(レベル!$A$1:$I$16,MATCH(H2,レベル!$A$1:$A$16,FALSE),MATCH(G2,レベル!$A$1:$I$1,FALSE))</f>
        <v>60</v>
      </c>
      <c r="P2" s="49">
        <f t="shared" ref="P2:P6" ca="1" si="0">G2*15</f>
        <v>60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 t="s">
        <v>190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ca="1">IF(ISNA(MATCH(A2,AE:AE,0)),A2,INDIRECT(ADDRESS(MATCH(A2,AE:AE,0),COLUMN())))</f>
        <v>642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マーラ</v>
      </c>
      <c r="AI2" s="11" t="str">
        <f>IF(AE2="NULL","NULL",VLOOKUP(G2,ビット!$A$2:$B$7,2))</f>
        <v>NULL</v>
      </c>
      <c r="AJ2" s="6">
        <v>38</v>
      </c>
      <c r="AK2" s="7" t="str">
        <f t="shared" ref="AK2:AK6" si="1">IF(AJ2=1,"早熟",IF(AJ2=2,"普通",IF(AJ2=3,"晩成","")))</f>
        <v/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3400</v>
      </c>
      <c r="AN2" s="17">
        <f ca="1">VLOOKUP(G2,ビット!$G$2:$H$7,2)</f>
        <v>600</v>
      </c>
      <c r="AO2" s="46"/>
      <c r="AP2" s="69">
        <v>36</v>
      </c>
      <c r="AQ2" s="59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9" t="e">
        <f ca="1">VLOOKUP($AP2,OFFSET(unit_skills!$A$1,0,0,COUNTA(unit_skills!$A:$A),MATCH(AR$1,unit_skills!$1:$1,0)-MATCH($AP$1,unit_skills!$1:$1,0)+1),MATCH(AR$1,unit_skills!$1:$1,0)-MATCH($AP$1,unit_skills!$1:$1,0)+1,FALSE)</f>
        <v>#N/A</v>
      </c>
      <c r="AS2" s="59" t="e">
        <f ca="1">VLOOKUP($AP2,OFFSET(unit_skills!$A$1,0,0,COUNTA(unit_skills!$A:$A),MATCH(AS$1,unit_skills!$1:$1,0)-MATCH($AP$1,unit_skills!$1:$1,0)+1),MATCH(AS$1,unit_skills!$1:$1,0)-MATCH($AP$1,unit_skills!$1:$1,0)+1,FALSE)</f>
        <v>#N/A</v>
      </c>
      <c r="AT2" s="42">
        <v>36</v>
      </c>
      <c r="AU2" s="59" t="e">
        <f ca="1">VLOOKUP($AT2,OFFSET(crash_skills!$A$1,0,0,COUNTA(crash_skills!$A:$A),MATCH(AU$1,crash_skills!$1:$1,0)-MATCH($AT$1,crash_skills!$1:$1,0)+1),MATCH(AU$1,crash_skills!$1:$1,0)-MATCH($AT$1,crash_skills!$1:$1,0)+1,FALSE)</f>
        <v>#N/A</v>
      </c>
      <c r="AV2" s="59" t="e">
        <f ca="1">VLOOKUP($AT2,OFFSET(crash_skills!$A$1,0,0,COUNTA(crash_skills!$A:$A),MATCH(AV$1,crash_skills!$1:$1,0)-MATCH($AT$1,crash_skills!$1:$1,0)+1),MATCH(AV$1,crash_skills!$1:$1,0)-MATCH($AT$1,crash_skills!$1:$1,0)+1,FALSE)</f>
        <v>#N/A</v>
      </c>
      <c r="AW2" s="59" t="e">
        <f ca="1">VLOOKUP($AT2,OFFSET(crash_skills!$A$1,0,0,COUNTA(crash_skills!$A:$A),MATCH(AW$1,crash_skills!$1:$1,0)-MATCH($AT$1,crash_skills!$1:$1,0)+1),MATCH(AW$1,crash_skills!$1:$1,0)-MATCH($AT$1,crash_skills!$1:$1,0)+1,FALSE)</f>
        <v>#N/A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70">
        <v>37</v>
      </c>
      <c r="AZ2" s="70">
        <v>37</v>
      </c>
      <c r="BA2" s="70">
        <v>36</v>
      </c>
      <c r="BB2" s="70">
        <v>37</v>
      </c>
      <c r="BC2" s="11">
        <f ca="1">INDEX('RC6SV'!$A$1:$G$15,MATCH(H2,'RC6SV'!$A$1:$A$15,FALSE),MATCH(G2,'RC6SV'!$A$1:$G$1,FALSE))</f>
        <v>7000</v>
      </c>
      <c r="BD2" s="49">
        <f t="shared" ref="BD2:BD6" ca="1" si="2">ROUND(BC2*IF(AJ2=1,0.95,IF(AJ2=2,1,IF(AJ2,1.05,0))),0)</f>
        <v>7350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63909</v>
      </c>
      <c r="BH2" s="16">
        <f ca="1">IF($BE2&lt;=0,ROUND(BL2*0.5,0), ROUND($BE2*T2*AB2*K2*AZ2*0.8*[1]ステータス!$C$2,0))</f>
        <v>54786</v>
      </c>
      <c r="BI2" s="16">
        <f ca="1">IF($BE2&lt;=0,ROUND(BM2*0.5,0), ROUND($BE2*U2*AC2*L2*BA2*0.8*[1]ステータス!$D$2,0))</f>
        <v>132300</v>
      </c>
      <c r="BJ2" s="16">
        <f ca="1">IF($BE2&lt;=0,ROUND(BN2*0.5,0), ROUND($BE2*V2*AD2*M2*BB2*0.8*[1]ステータス!$E$2,0))</f>
        <v>23883</v>
      </c>
      <c r="BK2" s="11">
        <f ca="1">ROUND(BD2*S2*AA2*J2*AY2*[1]ステータス!$B$2,0)</f>
        <v>127817</v>
      </c>
      <c r="BL2" s="11">
        <f ca="1">ROUND(BD2*T2*AB2*K2*AZ2*[1]ステータス!$C$2,0)</f>
        <v>109571</v>
      </c>
      <c r="BM2" s="11">
        <f ca="1">ROUND(BD2*U2*AC2*L2*BA2*[1]ステータス!$D$2,0)</f>
        <v>264600</v>
      </c>
      <c r="BN2" s="11">
        <f ca="1">ROUND(BD2*V2*AD2*M2*BB2*[1]ステータス!$E$2,0)</f>
        <v>47765</v>
      </c>
      <c r="BO2" s="10">
        <v>36</v>
      </c>
      <c r="BP2" s="10">
        <v>37</v>
      </c>
      <c r="BQ2" s="39" t="s">
        <v>53</v>
      </c>
    </row>
    <row r="3" spans="1:69" ht="21" customHeight="1">
      <c r="A3" s="12">
        <v>643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マーラ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各属性相性良3・黄・R262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30</v>
      </c>
      <c r="O3" s="11">
        <f ca="1">INDEX(レベル!$A$1:$I$16,MATCH(H3,レベル!$A$1:$A$16,FALSE),MATCH(G3,レベル!$A$1:$I$1,FALSE))</f>
        <v>80</v>
      </c>
      <c r="P3" s="49">
        <f t="shared" ca="1" si="0"/>
        <v>75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190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ca="1">IF(ISNA(MATCH(A3,AE:AE,0)),A3,INDIRECT(ADDRESS(MATCH(A3,AE:AE,0),COLUMN())))</f>
        <v>643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マーラ</v>
      </c>
      <c r="AI3" s="11" t="str">
        <f>IF(AE3="NULL","NULL",VLOOKUP(G3,ビット!$A$2:$B$7,2))</f>
        <v>NULL</v>
      </c>
      <c r="AJ3" s="6">
        <v>39</v>
      </c>
      <c r="AK3" s="7" t="str">
        <f t="shared" si="1"/>
        <v/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6400</v>
      </c>
      <c r="AN3" s="17">
        <f ca="1">VLOOKUP(G3,ビット!$G$2:$H$7,2)</f>
        <v>900</v>
      </c>
      <c r="AO3" s="46"/>
      <c r="AP3" s="69">
        <v>37</v>
      </c>
      <c r="AQ3" s="59" t="e">
        <f ca="1">VLOOKUP($AP3,OFFSET(unit_skills!$A$1,0,0,COUNTA(unit_skills!$A:$A),MATCH(AQ$1,unit_skills!$1:$1,0)-MATCH($AP$1,unit_skills!$1:$1,0)+1),MATCH(AQ$1,unit_skills!$1:$1,0)-MATCH($AP$1,unit_skills!$1:$1,0)+1,FALSE)</f>
        <v>#N/A</v>
      </c>
      <c r="AR3" s="59" t="e">
        <f ca="1">VLOOKUP($AP3,OFFSET(unit_skills!$A$1,0,0,COUNTA(unit_skills!$A:$A),MATCH(AR$1,unit_skills!$1:$1,0)-MATCH($AP$1,unit_skills!$1:$1,0)+1),MATCH(AR$1,unit_skills!$1:$1,0)-MATCH($AP$1,unit_skills!$1:$1,0)+1,FALSE)</f>
        <v>#N/A</v>
      </c>
      <c r="AS3" s="59" t="e">
        <f ca="1">VLOOKUP($AP3,OFFSET(unit_skills!$A$1,0,0,COUNTA(unit_skills!$A:$A),MATCH(AS$1,unit_skills!$1:$1,0)-MATCH($AP$1,unit_skills!$1:$1,0)+1),MATCH(AS$1,unit_skills!$1:$1,0)-MATCH($AP$1,unit_skills!$1:$1,0)+1,FALSE)</f>
        <v>#N/A</v>
      </c>
      <c r="AT3" s="42">
        <v>37</v>
      </c>
      <c r="AU3" s="59" t="e">
        <f ca="1">VLOOKUP($AT3,OFFSET(crash_skills!$A$1,0,0,COUNTA(crash_skills!$A:$A),MATCH(AU$1,crash_skills!$1:$1,0)-MATCH($AT$1,crash_skills!$1:$1,0)+1),MATCH(AU$1,crash_skills!$1:$1,0)-MATCH($AT$1,crash_skills!$1:$1,0)+1,FALSE)</f>
        <v>#N/A</v>
      </c>
      <c r="AV3" s="59" t="e">
        <f ca="1">VLOOKUP($AT3,OFFSET(crash_skills!$A$1,0,0,COUNTA(crash_skills!$A:$A),MATCH(AV$1,crash_skills!$1:$1,0)-MATCH($AT$1,crash_skills!$1:$1,0)+1),MATCH(AV$1,crash_skills!$1:$1,0)-MATCH($AT$1,crash_skills!$1:$1,0)+1,FALSE)</f>
        <v>#N/A</v>
      </c>
      <c r="AW3" s="59" t="e">
        <f ca="1">VLOOKUP($AT3,OFFSET(crash_skills!$A$1,0,0,COUNTA(crash_skills!$A:$A),MATCH(AW$1,crash_skills!$1:$1,0)-MATCH($AT$1,crash_skills!$1:$1,0)+1),MATCH(AW$1,crash_skills!$1:$1,0)-MATCH($AT$1,crash_skills!$1:$1,0)+1,FALSE)</f>
        <v>#N/A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70">
        <v>38</v>
      </c>
      <c r="AZ3" s="70">
        <v>38</v>
      </c>
      <c r="BA3" s="70">
        <v>37</v>
      </c>
      <c r="BB3" s="70">
        <v>38</v>
      </c>
      <c r="BC3" s="11">
        <f ca="1">INDEX('RC6SV'!$A$1:$G$15,MATCH(H3,'RC6SV'!$A$1:$A$15,FALSE),MATCH(G3,'RC6SV'!$A$1:$G$1,FALSE))</f>
        <v>9000</v>
      </c>
      <c r="BD3" s="49">
        <f t="shared" ca="1" si="2"/>
        <v>9450</v>
      </c>
      <c r="BE3" s="11">
        <f ca="1">ROUND(IFERROR(INDIRECT(ADDRESS(MATCH($A3,$AE:$AE,0),MATCH($BC$1,$1:$1,0))),0),0)</f>
        <v>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84389</v>
      </c>
      <c r="BH3" s="16">
        <f ca="1">IF($BE3&lt;=0,ROUND(BL3*0.5,0), ROUND($BE3*T3*AB3*K3*AZ3*0.8*[1]ステータス!$C$2,0))</f>
        <v>72343</v>
      </c>
      <c r="BI3" s="16">
        <f ca="1">IF($BE3&lt;=0,ROUND(BM3*0.5,0), ROUND($BE3*U3*AC3*L3*BA3*0.8*[1]ステータス!$D$2,0))</f>
        <v>174825</v>
      </c>
      <c r="BJ3" s="16">
        <f ca="1">IF($BE3&lt;=0,ROUND(BN3*0.5,0), ROUND($BE3*V3*AD3*M3*BB3*0.8*[1]ステータス!$E$2,0))</f>
        <v>31537</v>
      </c>
      <c r="BK3" s="11">
        <f ca="1">ROUND(BD3*S3*AA3*J3*AY3*[1]ステータス!$B$2,0)</f>
        <v>168777</v>
      </c>
      <c r="BL3" s="11">
        <f ca="1">ROUND(BD3*T3*AB3*K3*AZ3*[1]ステータス!$C$2,0)</f>
        <v>144685</v>
      </c>
      <c r="BM3" s="11">
        <f ca="1">ROUND(BD3*U3*AC3*L3*BA3*[1]ステータス!$D$2,0)</f>
        <v>349650</v>
      </c>
      <c r="BN3" s="11">
        <f ca="1">ROUND(BD3*V3*AD3*M3*BB3*[1]ステータス!$E$2,0)</f>
        <v>63073</v>
      </c>
      <c r="BO3" s="10">
        <v>37</v>
      </c>
      <c r="BP3" s="10">
        <v>38</v>
      </c>
      <c r="BQ3" s="39" t="s">
        <v>53</v>
      </c>
    </row>
    <row r="4" spans="1:69" ht="21" customHeight="1">
      <c r="A4" s="12">
        <v>644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カラス天狗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各属性相性良3・黄・R263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INDEX(コスト!$A$1:$I$15,MATCH(H4,コスト!$A$1:$A$15,FALSE),MATCH(G4,コスト!$A$1:$I$1,FALSE))</f>
        <v>20</v>
      </c>
      <c r="O4" s="11">
        <f ca="1">INDEX(レベル!$A$1:$I$16,MATCH(H4,レベル!$A$1:$A$16,FALSE),MATCH(G4,レベル!$A$1:$I$1,FALSE))</f>
        <v>60</v>
      </c>
      <c r="P4" s="49">
        <f t="shared" ca="1" si="0"/>
        <v>60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1">
        <f ca="1">VLOOKUP(Q4,[1]character_type_i18n!$A:$H,4,FALSE)</f>
        <v>1</v>
      </c>
      <c r="T4" s="11">
        <f ca="1">VLOOKUP(Q4,[1]character_type_i18n!$A:$H,5,FALSE)</f>
        <v>1.33</v>
      </c>
      <c r="U4" s="11">
        <f ca="1">VLOOKUP(Q4,[1]character_type_i18n!$A:$H,6,FALSE)</f>
        <v>1</v>
      </c>
      <c r="V4" s="11">
        <f ca="1">VLOOKUP(Q4,[1]character_type_i18n!$A:$H,7,FALSE)</f>
        <v>0.67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0.94</v>
      </c>
      <c r="AB4" s="11">
        <f ca="1">VLOOKUP(W4,[1]character_tribe_i18n!$A:$H,5,FALSE)</f>
        <v>0.99</v>
      </c>
      <c r="AC4" s="11">
        <f ca="1">VLOOKUP(W4,[1]character_tribe_i18n!$A:$H,6,FALSE)</f>
        <v>1</v>
      </c>
      <c r="AD4" s="11">
        <f ca="1">VLOOKUP(W4,[1]character_tribe_i18n!$A:$H,7,FALSE)</f>
        <v>1.07</v>
      </c>
      <c r="AE4" s="9" t="s">
        <v>190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ca="1">IF(ISNA(MATCH(A4,AE:AE,0)),A4,INDIRECT(ADDRESS(MATCH(A4,AE:AE,0),COLUMN())))</f>
        <v>644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カラス天狗</v>
      </c>
      <c r="AI4" s="11" t="str">
        <f>IF(AE4="NULL","NULL",VLOOKUP(G4,ビット!$A$2:$B$7,2))</f>
        <v>NULL</v>
      </c>
      <c r="AJ4" s="6">
        <v>40</v>
      </c>
      <c r="AK4" s="7" t="str">
        <f t="shared" si="1"/>
        <v/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3400</v>
      </c>
      <c r="AN4" s="17">
        <f ca="1">VLOOKUP(G4,ビット!$G$2:$H$7,2)</f>
        <v>600</v>
      </c>
      <c r="AO4" s="46"/>
      <c r="AP4" s="69">
        <v>38</v>
      </c>
      <c r="AQ4" s="59" t="e">
        <f ca="1">VLOOKUP($AP4,OFFSET(unit_skills!$A$1,0,0,COUNTA(unit_skills!$A:$A),MATCH(AQ$1,unit_skills!$1:$1,0)-MATCH($AP$1,unit_skills!$1:$1,0)+1),MATCH(AQ$1,unit_skills!$1:$1,0)-MATCH($AP$1,unit_skills!$1:$1,0)+1,FALSE)</f>
        <v>#N/A</v>
      </c>
      <c r="AR4" s="59" t="e">
        <f ca="1">VLOOKUP($AP4,OFFSET(unit_skills!$A$1,0,0,COUNTA(unit_skills!$A:$A),MATCH(AR$1,unit_skills!$1:$1,0)-MATCH($AP$1,unit_skills!$1:$1,0)+1),MATCH(AR$1,unit_skills!$1:$1,0)-MATCH($AP$1,unit_skills!$1:$1,0)+1,FALSE)</f>
        <v>#N/A</v>
      </c>
      <c r="AS4" s="59" t="e">
        <f ca="1">VLOOKUP($AP4,OFFSET(unit_skills!$A$1,0,0,COUNTA(unit_skills!$A:$A),MATCH(AS$1,unit_skills!$1:$1,0)-MATCH($AP$1,unit_skills!$1:$1,0)+1),MATCH(AS$1,unit_skills!$1:$1,0)-MATCH($AP$1,unit_skills!$1:$1,0)+1,FALSE)</f>
        <v>#N/A</v>
      </c>
      <c r="AT4" s="42">
        <v>38</v>
      </c>
      <c r="AU4" s="59" t="e">
        <f ca="1">VLOOKUP($AT4,OFFSET(crash_skills!$A$1,0,0,COUNTA(crash_skills!$A:$A),MATCH(AU$1,crash_skills!$1:$1,0)-MATCH($AT$1,crash_skills!$1:$1,0)+1),MATCH(AU$1,crash_skills!$1:$1,0)-MATCH($AT$1,crash_skills!$1:$1,0)+1,FALSE)</f>
        <v>#N/A</v>
      </c>
      <c r="AV4" s="59" t="e">
        <f ca="1">VLOOKUP($AT4,OFFSET(crash_skills!$A$1,0,0,COUNTA(crash_skills!$A:$A),MATCH(AV$1,crash_skills!$1:$1,0)-MATCH($AT$1,crash_skills!$1:$1,0)+1),MATCH(AV$1,crash_skills!$1:$1,0)-MATCH($AT$1,crash_skills!$1:$1,0)+1,FALSE)</f>
        <v>#N/A</v>
      </c>
      <c r="AW4" s="59" t="e">
        <f ca="1">VLOOKUP($AT4,OFFSET(crash_skills!$A$1,0,0,COUNTA(crash_skills!$A:$A),MATCH(AW$1,crash_skills!$1:$1,0)-MATCH($AT$1,crash_skills!$1:$1,0)+1),MATCH(AW$1,crash_skills!$1:$1,0)-MATCH($AT$1,crash_skills!$1:$1,0)+1,FALSE)</f>
        <v>#N/A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70">
        <v>39</v>
      </c>
      <c r="AZ4" s="70">
        <v>39</v>
      </c>
      <c r="BA4" s="70">
        <v>38</v>
      </c>
      <c r="BB4" s="70">
        <v>39</v>
      </c>
      <c r="BC4" s="11">
        <f ca="1">INDEX('RC6SV'!$A$1:$G$15,MATCH(H4,'RC6SV'!$A$1:$A$15,FALSE),MATCH(G4,'RC6SV'!$A$1:$G$1,FALSE))</f>
        <v>7000</v>
      </c>
      <c r="BD4" s="49">
        <f t="shared" ca="1" si="2"/>
        <v>7350</v>
      </c>
      <c r="BE4" s="11">
        <f ca="1">ROUND(IFERROR(INDIRECT(ADDRESS(MATCH($A4,$AE:$AE,0),MATCH($BC$1,$1:$1,0))),0),0)</f>
        <v>0</v>
      </c>
      <c r="BF4" s="11">
        <f ca="1">ROUND(IFERROR(INDIRECT(ADDRESS(MATCH($A4,$AE:$AE,0),10)),INDIRECT(ADDRESS(MATCH($A4,$A:$A,0),10))),0)</f>
        <v>1</v>
      </c>
      <c r="BG4" s="16">
        <f ca="1">IF($BE4&lt;=0,ROUND(BK4*0.5,0), ROUND($BE4*S4*AA4*J4*AY4*0.8*[1]ステータス!$B$2,0))</f>
        <v>68710</v>
      </c>
      <c r="BH4" s="16">
        <f ca="1">IF($BE4&lt;=0,ROUND(BL4*0.5,0), ROUND($BE4*T4*AB4*K4*AZ4*0.8*[1]ステータス!$C$2,0))</f>
        <v>55483</v>
      </c>
      <c r="BI4" s="16">
        <f ca="1">IF($BE4&lt;=0,ROUND(BM4*0.5,0), ROUND($BE4*U4*AC4*L4*BA4*0.8*[1]ステータス!$D$2,0))</f>
        <v>139650</v>
      </c>
      <c r="BJ4" s="16">
        <f ca="1">IF($BE4&lt;=0,ROUND(BN4*0.5,0), ROUND($BE4*V4*AD4*M4*BB4*0.8*[1]ステータス!$E$2,0))</f>
        <v>25688</v>
      </c>
      <c r="BK4" s="11">
        <f ca="1">ROUND(BD4*S4*AA4*J4*AY4*[1]ステータス!$B$2,0)</f>
        <v>137420</v>
      </c>
      <c r="BL4" s="11">
        <f ca="1">ROUND(BD4*T4*AB4*K4*AZ4*[1]ステータス!$C$2,0)</f>
        <v>110965</v>
      </c>
      <c r="BM4" s="11">
        <f ca="1">ROUND(BD4*U4*AC4*L4*BA4*[1]ステータス!$D$2,0)</f>
        <v>279300</v>
      </c>
      <c r="BN4" s="11">
        <f ca="1">ROUND(BD4*V4*AD4*M4*BB4*[1]ステータス!$E$2,0)</f>
        <v>51375</v>
      </c>
      <c r="BO4" s="10">
        <v>38</v>
      </c>
      <c r="BP4" s="10">
        <v>39</v>
      </c>
      <c r="BQ4" s="39" t="s">
        <v>53</v>
      </c>
    </row>
    <row r="5" spans="1:69" ht="21" customHeight="1">
      <c r="A5" s="12">
        <v>645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カラス天狗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各属性相性良3・黄・R264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30</v>
      </c>
      <c r="O5" s="11">
        <f ca="1">INDEX(レベル!$A$1:$I$16,MATCH(H5,レベル!$A$1:$A$16,FALSE),MATCH(G5,レベル!$A$1:$I$1,FALSE))</f>
        <v>80</v>
      </c>
      <c r="P5" s="49">
        <f t="shared" ca="1" si="0"/>
        <v>75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 t="s">
        <v>190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ca="1">IF(ISNA(MATCH(A5,AE:AE,0)),A5,INDIRECT(ADDRESS(MATCH(A5,AE:AE,0),COLUMN())))</f>
        <v>645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カラス天狗</v>
      </c>
      <c r="AI5" s="11" t="str">
        <f>IF(AE5="NULL","NULL",VLOOKUP(G5,ビット!$A$2:$B$7,2))</f>
        <v>NULL</v>
      </c>
      <c r="AJ5" s="6">
        <v>41</v>
      </c>
      <c r="AK5" s="7" t="str">
        <f t="shared" si="1"/>
        <v/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6400</v>
      </c>
      <c r="AN5" s="17">
        <f ca="1">VLOOKUP(G5,ビット!$G$2:$H$7,2)</f>
        <v>900</v>
      </c>
      <c r="AO5" s="46"/>
      <c r="AP5" s="69">
        <v>39</v>
      </c>
      <c r="AQ5" s="59" t="e">
        <f ca="1">VLOOKUP($AP5,OFFSET(unit_skills!$A$1,0,0,COUNTA(unit_skills!$A:$A),MATCH(AQ$1,unit_skills!$1:$1,0)-MATCH($AP$1,unit_skills!$1:$1,0)+1),MATCH(AQ$1,unit_skills!$1:$1,0)-MATCH($AP$1,unit_skills!$1:$1,0)+1,FALSE)</f>
        <v>#N/A</v>
      </c>
      <c r="AR5" s="59" t="e">
        <f ca="1">VLOOKUP($AP5,OFFSET(unit_skills!$A$1,0,0,COUNTA(unit_skills!$A:$A),MATCH(AR$1,unit_skills!$1:$1,0)-MATCH($AP$1,unit_skills!$1:$1,0)+1),MATCH(AR$1,unit_skills!$1:$1,0)-MATCH($AP$1,unit_skills!$1:$1,0)+1,FALSE)</f>
        <v>#N/A</v>
      </c>
      <c r="AS5" s="59" t="e">
        <f ca="1">VLOOKUP($AP5,OFFSET(unit_skills!$A$1,0,0,COUNTA(unit_skills!$A:$A),MATCH(AS$1,unit_skills!$1:$1,0)-MATCH($AP$1,unit_skills!$1:$1,0)+1),MATCH(AS$1,unit_skills!$1:$1,0)-MATCH($AP$1,unit_skills!$1:$1,0)+1,FALSE)</f>
        <v>#N/A</v>
      </c>
      <c r="AT5" s="42">
        <v>39</v>
      </c>
      <c r="AU5" s="59" t="e">
        <f ca="1">VLOOKUP($AT5,OFFSET(crash_skills!$A$1,0,0,COUNTA(crash_skills!$A:$A),MATCH(AU$1,crash_skills!$1:$1,0)-MATCH($AT$1,crash_skills!$1:$1,0)+1),MATCH(AU$1,crash_skills!$1:$1,0)-MATCH($AT$1,crash_skills!$1:$1,0)+1,FALSE)</f>
        <v>#N/A</v>
      </c>
      <c r="AV5" s="59" t="e">
        <f ca="1">VLOOKUP($AT5,OFFSET(crash_skills!$A$1,0,0,COUNTA(crash_skills!$A:$A),MATCH(AV$1,crash_skills!$1:$1,0)-MATCH($AT$1,crash_skills!$1:$1,0)+1),MATCH(AV$1,crash_skills!$1:$1,0)-MATCH($AT$1,crash_skills!$1:$1,0)+1,FALSE)</f>
        <v>#N/A</v>
      </c>
      <c r="AW5" s="59" t="e">
        <f ca="1">VLOOKUP($AT5,OFFSET(crash_skills!$A$1,0,0,COUNTA(crash_skills!$A:$A),MATCH(AW$1,crash_skills!$1:$1,0)-MATCH($AT$1,crash_skills!$1:$1,0)+1),MATCH(AW$1,crash_skills!$1:$1,0)-MATCH($AT$1,crash_skills!$1:$1,0)+1,FALSE)</f>
        <v>#N/A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70">
        <v>40</v>
      </c>
      <c r="AZ5" s="70">
        <v>40</v>
      </c>
      <c r="BA5" s="70">
        <v>39</v>
      </c>
      <c r="BB5" s="70">
        <v>40</v>
      </c>
      <c r="BC5" s="11">
        <f ca="1">INDEX('RC6SV'!$A$1:$G$15,MATCH(H5,'RC6SV'!$A$1:$A$15,FALSE),MATCH(G5,'RC6SV'!$A$1:$G$1,FALSE))</f>
        <v>9000</v>
      </c>
      <c r="BD5" s="49">
        <f t="shared" ca="1" si="2"/>
        <v>9450</v>
      </c>
      <c r="BE5" s="11">
        <f ca="1">ROUND(IFERROR(INDIRECT(ADDRESS(MATCH($A5,$AE:$AE,0),MATCH($BC$1,$1:$1,0))),0),0)</f>
        <v>0</v>
      </c>
      <c r="BF5" s="11">
        <f ca="1">ROUND(IFERROR(INDIRECT(ADDRESS(MATCH($A5,$AE:$AE,0),10)),INDIRECT(ADDRESS(MATCH($A5,$A:$A,0),10))),0)</f>
        <v>1</v>
      </c>
      <c r="BG5" s="16">
        <f ca="1">IF($BE5&lt;=0,ROUND(BK5*0.5,0), ROUND($BE5*S5*AA5*J5*AY5*0.8*[1]ステータス!$B$2,0))</f>
        <v>90607</v>
      </c>
      <c r="BH5" s="16">
        <f ca="1">IF($BE5&lt;=0,ROUND(BL5*0.5,0), ROUND($BE5*T5*AB5*K5*AZ5*0.8*[1]ステータス!$C$2,0))</f>
        <v>73164</v>
      </c>
      <c r="BI5" s="16">
        <f ca="1">IF($BE5&lt;=0,ROUND(BM5*0.5,0), ROUND($BE5*U5*AC5*L5*BA5*0.8*[1]ステータス!$D$2,0))</f>
        <v>184275</v>
      </c>
      <c r="BJ5" s="16">
        <f ca="1">IF($BE5&lt;=0,ROUND(BN5*0.5,0), ROUND($BE5*V5*AD5*M5*BB5*0.8*[1]ステータス!$E$2,0))</f>
        <v>33874</v>
      </c>
      <c r="BK5" s="11">
        <f ca="1">ROUND(BD5*S5*AA5*J5*AY5*[1]ステータス!$B$2,0)</f>
        <v>181213</v>
      </c>
      <c r="BL5" s="11">
        <f ca="1">ROUND(BD5*T5*AB5*K5*AZ5*[1]ステータス!$C$2,0)</f>
        <v>146328</v>
      </c>
      <c r="BM5" s="11">
        <f ca="1">ROUND(BD5*U5*AC5*L5*BA5*[1]ステータス!$D$2,0)</f>
        <v>368550</v>
      </c>
      <c r="BN5" s="11">
        <f ca="1">ROUND(BD5*V5*AD5*M5*BB5*[1]ステータス!$E$2,0)</f>
        <v>67747</v>
      </c>
      <c r="BO5" s="10">
        <v>39</v>
      </c>
      <c r="BP5" s="10">
        <v>40</v>
      </c>
      <c r="BQ5" s="39" t="s">
        <v>53</v>
      </c>
    </row>
    <row r="6" spans="1:69" ht="21" customHeight="1">
      <c r="A6" s="12">
        <v>646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雪女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各属性相性良3・黄・R265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INDEX(コスト!$A$1:$I$15,MATCH(H6,コスト!$A$1:$A$15,FALSE),MATCH(G6,コスト!$A$1:$I$1,FALSE))</f>
        <v>17</v>
      </c>
      <c r="O6" s="11">
        <f ca="1">INDEX(レベル!$A$1:$I$16,MATCH(H6,レベル!$A$1:$A$16,FALSE),MATCH(G6,レベル!$A$1:$I$1,FALSE))</f>
        <v>60</v>
      </c>
      <c r="P6" s="49">
        <f t="shared" ca="1" si="0"/>
        <v>60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 t="s">
        <v>190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ca="1">IF(ISNA(MATCH(A6,AE:AE,0)),A6,INDIRECT(ADDRESS(MATCH(A6,AE:AE,0),COLUMN())))</f>
        <v>646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雪女</v>
      </c>
      <c r="AI6" s="11" t="str">
        <f>IF(AE6="NULL","NULL",VLOOKUP(G6,ビット!$A$2:$B$7,2))</f>
        <v>NULL</v>
      </c>
      <c r="AJ6" s="6">
        <v>42</v>
      </c>
      <c r="AK6" s="7" t="str">
        <f t="shared" si="1"/>
        <v/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3400</v>
      </c>
      <c r="AN6" s="17">
        <f ca="1">VLOOKUP(G6,ビット!$G$2:$H$7,2)</f>
        <v>600</v>
      </c>
      <c r="AO6" s="46"/>
      <c r="AP6" s="69">
        <v>40</v>
      </c>
      <c r="AQ6" s="59" t="e">
        <f ca="1">VLOOKUP($AP6,OFFSET(unit_skills!$A$1,0,0,COUNTA(unit_skills!$A:$A),MATCH(AQ$1,unit_skills!$1:$1,0)-MATCH($AP$1,unit_skills!$1:$1,0)+1),MATCH(AQ$1,unit_skills!$1:$1,0)-MATCH($AP$1,unit_skills!$1:$1,0)+1,FALSE)</f>
        <v>#N/A</v>
      </c>
      <c r="AR6" s="59" t="e">
        <f ca="1">VLOOKUP($AP6,OFFSET(unit_skills!$A$1,0,0,COUNTA(unit_skills!$A:$A),MATCH(AR$1,unit_skills!$1:$1,0)-MATCH($AP$1,unit_skills!$1:$1,0)+1),MATCH(AR$1,unit_skills!$1:$1,0)-MATCH($AP$1,unit_skills!$1:$1,0)+1,FALSE)</f>
        <v>#N/A</v>
      </c>
      <c r="AS6" s="59" t="e">
        <f ca="1">VLOOKUP($AP6,OFFSET(unit_skills!$A$1,0,0,COUNTA(unit_skills!$A:$A),MATCH(AS$1,unit_skills!$1:$1,0)-MATCH($AP$1,unit_skills!$1:$1,0)+1),MATCH(AS$1,unit_skills!$1:$1,0)-MATCH($AP$1,unit_skills!$1:$1,0)+1,FALSE)</f>
        <v>#N/A</v>
      </c>
      <c r="AT6" s="42">
        <v>40</v>
      </c>
      <c r="AU6" s="59" t="e">
        <f ca="1">VLOOKUP($AT6,OFFSET(crash_skills!$A$1,0,0,COUNTA(crash_skills!$A:$A),MATCH(AU$1,crash_skills!$1:$1,0)-MATCH($AT$1,crash_skills!$1:$1,0)+1),MATCH(AU$1,crash_skills!$1:$1,0)-MATCH($AT$1,crash_skills!$1:$1,0)+1,FALSE)</f>
        <v>#N/A</v>
      </c>
      <c r="AV6" s="59" t="e">
        <f ca="1">VLOOKUP($AT6,OFFSET(crash_skills!$A$1,0,0,COUNTA(crash_skills!$A:$A),MATCH(AV$1,crash_skills!$1:$1,0)-MATCH($AT$1,crash_skills!$1:$1,0)+1),MATCH(AV$1,crash_skills!$1:$1,0)-MATCH($AT$1,crash_skills!$1:$1,0)+1,FALSE)</f>
        <v>#N/A</v>
      </c>
      <c r="AW6" s="59" t="e">
        <f ca="1">VLOOKUP($AT6,OFFSET(crash_skills!$A$1,0,0,COUNTA(crash_skills!$A:$A),MATCH(AW$1,crash_skills!$1:$1,0)-MATCH($AT$1,crash_skills!$1:$1,0)+1),MATCH(AW$1,crash_skills!$1:$1,0)-MATCH($AT$1,crash_skills!$1:$1,0)+1,FALSE)</f>
        <v>#N/A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70">
        <v>41</v>
      </c>
      <c r="AZ6" s="70">
        <v>41</v>
      </c>
      <c r="BA6" s="70">
        <v>40</v>
      </c>
      <c r="BB6" s="70">
        <v>41</v>
      </c>
      <c r="BC6" s="11">
        <f ca="1">INDEX('RC6SV'!$A$1:$G$15,MATCH(H6,'RC6SV'!$A$1:$A$15,FALSE),MATCH(G6,'RC6SV'!$A$1:$G$1,FALSE))</f>
        <v>5800</v>
      </c>
      <c r="BD6" s="49">
        <f t="shared" ca="1" si="2"/>
        <v>6090</v>
      </c>
      <c r="BE6" s="11">
        <f ca="1">ROUND(IFERROR(INDIRECT(ADDRESS(MATCH($A6,$AE:$AE,0),MATCH($BC$1,$1:$1,0))),0),0)</f>
        <v>0</v>
      </c>
      <c r="BF6" s="11">
        <f ca="1">ROUND(IFERROR(INDIRECT(ADDRESS(MATCH($A6,$AE:$AE,0),10)),INDIRECT(ADDRESS(MATCH($A6,$A:$A,0),10))),0)</f>
        <v>1</v>
      </c>
      <c r="BG6" s="16">
        <f ca="1">IF($BE6&lt;=0,ROUND(BK6*0.5,0), ROUND($BE6*S6*AA6*J6*AY6*0.8*[1]ステータス!$B$2,0))</f>
        <v>58677</v>
      </c>
      <c r="BH6" s="16">
        <f ca="1">IF($BE6&lt;=0,ROUND(BL6*0.5,0), ROUND($BE6*T6*AB6*K6*AZ6*0.8*[1]ステータス!$C$2,0))</f>
        <v>36338</v>
      </c>
      <c r="BI6" s="16">
        <f ca="1">IF($BE6&lt;=0,ROUND(BM6*0.5,0), ROUND($BE6*U6*AC6*L6*BA6*0.8*[1]ステータス!$D$2,0))</f>
        <v>121800</v>
      </c>
      <c r="BJ6" s="16">
        <f ca="1">IF($BE6&lt;=0,ROUND(BN6*0.5,0), ROUND($BE6*V6*AD6*M6*BB6*0.8*[1]ステータス!$E$2,0))</f>
        <v>34064</v>
      </c>
      <c r="BK6" s="11">
        <f ca="1">ROUND(BD6*S6*AA6*J6*AY6*[1]ステータス!$B$2,0)</f>
        <v>117354</v>
      </c>
      <c r="BL6" s="11">
        <f ca="1">ROUND(BD6*T6*AB6*K6*AZ6*[1]ステータス!$C$2,0)</f>
        <v>72675</v>
      </c>
      <c r="BM6" s="11">
        <f ca="1">ROUND(BD6*U6*AC6*L6*BA6*[1]ステータス!$D$2,0)</f>
        <v>243600</v>
      </c>
      <c r="BN6" s="11">
        <f ca="1">ROUND(BD6*V6*AD6*M6*BB6*[1]ステータス!$E$2,0)</f>
        <v>68128</v>
      </c>
      <c r="BO6" s="10">
        <v>40</v>
      </c>
      <c r="BP6" s="10">
        <v>41</v>
      </c>
      <c r="BQ6" s="39" t="s">
        <v>53</v>
      </c>
    </row>
    <row r="7" spans="1:69" ht="21" customHeight="1">
      <c r="A7" s="12">
        <v>647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雪女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各属性相性良3・黄・R266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INDEX(コスト!$A$1:$I$15,MATCH(H7,コスト!$A$1:$A$15,FALSE),MATCH(G7,コスト!$A$1:$I$1,FALSE))</f>
        <v>26</v>
      </c>
      <c r="O7" s="11">
        <f ca="1">INDEX(レベル!$A$1:$I$16,MATCH(H7,レベル!$A$1:$A$16,FALSE),MATCH(G7,レベル!$A$1:$I$1,FALSE))</f>
        <v>80</v>
      </c>
      <c r="P7" s="49">
        <f t="shared" ref="P7:P17" ca="1" si="3">G7*15</f>
        <v>75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190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ca="1">IF(ISNA(MATCH(A7,AE:AE,0)),A7,INDIRECT(ADDRESS(MATCH(A7,AE:AE,0),COLUMN())))</f>
        <v>647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雪女</v>
      </c>
      <c r="AI7" s="11" t="str">
        <f>IF(AE7="NULL","NULL",VLOOKUP(G7,ビット!$A$2:$B$7,2))</f>
        <v>NULL</v>
      </c>
      <c r="AJ7" s="6">
        <v>43</v>
      </c>
      <c r="AK7" s="7" t="str">
        <f t="shared" ref="AK7:AK17" si="4">IF(AJ7=1,"早熟",IF(AJ7=2,"普通",IF(AJ7=3,"晩成","")))</f>
        <v/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6400</v>
      </c>
      <c r="AN7" s="17">
        <f ca="1">VLOOKUP(G7,ビット!$G$2:$H$7,2)</f>
        <v>900</v>
      </c>
      <c r="AO7" s="46"/>
      <c r="AP7" s="69">
        <v>41</v>
      </c>
      <c r="AQ7" s="59" t="e">
        <f ca="1">VLOOKUP($AP7,OFFSET(unit_skills!$A$1,0,0,COUNTA(unit_skills!$A:$A),MATCH(AQ$1,unit_skills!$1:$1,0)-MATCH($AP$1,unit_skills!$1:$1,0)+1),MATCH(AQ$1,unit_skills!$1:$1,0)-MATCH($AP$1,unit_skills!$1:$1,0)+1,FALSE)</f>
        <v>#N/A</v>
      </c>
      <c r="AR7" s="59" t="e">
        <f ca="1">VLOOKUP($AP7,OFFSET(unit_skills!$A$1,0,0,COUNTA(unit_skills!$A:$A),MATCH(AR$1,unit_skills!$1:$1,0)-MATCH($AP$1,unit_skills!$1:$1,0)+1),MATCH(AR$1,unit_skills!$1:$1,0)-MATCH($AP$1,unit_skills!$1:$1,0)+1,FALSE)</f>
        <v>#N/A</v>
      </c>
      <c r="AS7" s="59" t="e">
        <f ca="1">VLOOKUP($AP7,OFFSET(unit_skills!$A$1,0,0,COUNTA(unit_skills!$A:$A),MATCH(AS$1,unit_skills!$1:$1,0)-MATCH($AP$1,unit_skills!$1:$1,0)+1),MATCH(AS$1,unit_skills!$1:$1,0)-MATCH($AP$1,unit_skills!$1:$1,0)+1,FALSE)</f>
        <v>#N/A</v>
      </c>
      <c r="AT7" s="42">
        <v>41</v>
      </c>
      <c r="AU7" s="59" t="e">
        <f ca="1">VLOOKUP($AT7,OFFSET(crash_skills!$A$1,0,0,COUNTA(crash_skills!$A:$A),MATCH(AU$1,crash_skills!$1:$1,0)-MATCH($AT$1,crash_skills!$1:$1,0)+1),MATCH(AU$1,crash_skills!$1:$1,0)-MATCH($AT$1,crash_skills!$1:$1,0)+1,FALSE)</f>
        <v>#N/A</v>
      </c>
      <c r="AV7" s="59" t="e">
        <f ca="1">VLOOKUP($AT7,OFFSET(crash_skills!$A$1,0,0,COUNTA(crash_skills!$A:$A),MATCH(AV$1,crash_skills!$1:$1,0)-MATCH($AT$1,crash_skills!$1:$1,0)+1),MATCH(AV$1,crash_skills!$1:$1,0)-MATCH($AT$1,crash_skills!$1:$1,0)+1,FALSE)</f>
        <v>#N/A</v>
      </c>
      <c r="AW7" s="59" t="e">
        <f ca="1">VLOOKUP($AT7,OFFSET(crash_skills!$A$1,0,0,COUNTA(crash_skills!$A:$A),MATCH(AW$1,crash_skills!$1:$1,0)-MATCH($AT$1,crash_skills!$1:$1,0)+1),MATCH(AW$1,crash_skills!$1:$1,0)-MATCH($AT$1,crash_skills!$1:$1,0)+1,FALSE)</f>
        <v>#N/A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70">
        <v>42</v>
      </c>
      <c r="AZ7" s="70">
        <v>42</v>
      </c>
      <c r="BA7" s="70">
        <v>41</v>
      </c>
      <c r="BB7" s="70">
        <v>42</v>
      </c>
      <c r="BC7" s="11">
        <f ca="1">INDEX('RC6SV'!$A$1:$G$15,MATCH(H7,'RC6SV'!$A$1:$A$15,FALSE),MATCH(G7,'RC6SV'!$A$1:$G$1,FALSE))</f>
        <v>7600</v>
      </c>
      <c r="BD7" s="49">
        <f t="shared" ref="BD7:BD17" ca="1" si="5">ROUND(BC7*IF(AJ7=1,0.95,IF(AJ7=2,1,IF(AJ7,1.05,0))),0)</f>
        <v>7980</v>
      </c>
      <c r="BE7" s="11">
        <f ca="1">ROUND(IFERROR(INDIRECT(ADDRESS(MATCH($A7,$AE:$AE,0),MATCH($BC$1,$1:$1,0))),0),0)</f>
        <v>0</v>
      </c>
      <c r="BF7" s="11">
        <f ca="1">ROUND(IFERROR(INDIRECT(ADDRESS(MATCH($A7,$AE:$AE,0),10)),INDIRECT(ADDRESS(MATCH($A7,$A:$A,0),10))),0)</f>
        <v>1</v>
      </c>
      <c r="BG7" s="16">
        <f ca="1">IF($BE7&lt;=0,ROUND(BK7*0.5,0), ROUND($BE7*S7*AA7*J7*AY7*0.8*[1]ステータス!$B$2,0))</f>
        <v>78763</v>
      </c>
      <c r="BH7" s="16">
        <f ca="1">IF($BE7&lt;=0,ROUND(BL7*0.5,0), ROUND($BE7*T7*AB7*K7*AZ7*0.8*[1]ステータス!$C$2,0))</f>
        <v>48776</v>
      </c>
      <c r="BI7" s="16">
        <f ca="1">IF($BE7&lt;=0,ROUND(BM7*0.5,0), ROUND($BE7*U7*AC7*L7*BA7*0.8*[1]ステータス!$D$2,0))</f>
        <v>163590</v>
      </c>
      <c r="BJ7" s="16">
        <f ca="1">IF($BE7&lt;=0,ROUND(BN7*0.5,0), ROUND($BE7*V7*AD7*M7*BB7*0.8*[1]ステータス!$E$2,0))</f>
        <v>45724</v>
      </c>
      <c r="BK7" s="11">
        <f ca="1">ROUND(BD7*S7*AA7*J7*AY7*[1]ステータス!$B$2,0)</f>
        <v>157525</v>
      </c>
      <c r="BL7" s="11">
        <f ca="1">ROUND(BD7*T7*AB7*K7*AZ7*[1]ステータス!$C$2,0)</f>
        <v>97552</v>
      </c>
      <c r="BM7" s="11">
        <f ca="1">ROUND(BD7*U7*AC7*L7*BA7*[1]ステータス!$D$2,0)</f>
        <v>327180</v>
      </c>
      <c r="BN7" s="11">
        <f ca="1">ROUND(BD7*V7*AD7*M7*BB7*[1]ステータス!$E$2,0)</f>
        <v>91448</v>
      </c>
      <c r="BO7" s="10">
        <v>41</v>
      </c>
      <c r="BP7" s="10">
        <v>42</v>
      </c>
      <c r="BQ7" s="39" t="s">
        <v>53</v>
      </c>
    </row>
    <row r="8" spans="1:69" ht="21" customHeight="1">
      <c r="A8" s="12">
        <v>648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パールヴァティ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各属性相性良3・黄・R267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INDEX(コスト!$A$1:$I$15,MATCH(H8,コスト!$A$1:$A$15,FALSE),MATCH(G8,コスト!$A$1:$I$1,FALSE))</f>
        <v>20</v>
      </c>
      <c r="O8" s="11">
        <f ca="1">INDEX(レベル!$A$1:$I$16,MATCH(H8,レベル!$A$1:$A$16,FALSE),MATCH(G8,レベル!$A$1:$I$1,FALSE))</f>
        <v>60</v>
      </c>
      <c r="P8" s="49">
        <f t="shared" ca="1" si="3"/>
        <v>60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 t="s">
        <v>190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ca="1">IF(ISNA(MATCH(A8,AE:AE,0)),A8,INDIRECT(ADDRESS(MATCH(A8,AE:AE,0),COLUMN())))</f>
        <v>648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パールヴァティ</v>
      </c>
      <c r="AI8" s="11" t="str">
        <f>IF(AE8="NULL","NULL",VLOOKUP(G8,ビット!$A$2:$B$7,2))</f>
        <v>NULL</v>
      </c>
      <c r="AJ8" s="6">
        <v>44</v>
      </c>
      <c r="AK8" s="7" t="str">
        <f t="shared" si="4"/>
        <v/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3400</v>
      </c>
      <c r="AN8" s="17">
        <f ca="1">VLOOKUP(G8,ビット!$G$2:$H$7,2)</f>
        <v>600</v>
      </c>
      <c r="AO8" s="46"/>
      <c r="AP8" s="69">
        <v>42</v>
      </c>
      <c r="AQ8" s="59" t="e">
        <f ca="1">VLOOKUP($AP8,OFFSET(unit_skills!$A$1,0,0,COUNTA(unit_skills!$A:$A),MATCH(AQ$1,unit_skills!$1:$1,0)-MATCH($AP$1,unit_skills!$1:$1,0)+1),MATCH(AQ$1,unit_skills!$1:$1,0)-MATCH($AP$1,unit_skills!$1:$1,0)+1,FALSE)</f>
        <v>#N/A</v>
      </c>
      <c r="AR8" s="59" t="e">
        <f ca="1">VLOOKUP($AP8,OFFSET(unit_skills!$A$1,0,0,COUNTA(unit_skills!$A:$A),MATCH(AR$1,unit_skills!$1:$1,0)-MATCH($AP$1,unit_skills!$1:$1,0)+1),MATCH(AR$1,unit_skills!$1:$1,0)-MATCH($AP$1,unit_skills!$1:$1,0)+1,FALSE)</f>
        <v>#N/A</v>
      </c>
      <c r="AS8" s="59" t="e">
        <f ca="1">VLOOKUP($AP8,OFFSET(unit_skills!$A$1,0,0,COUNTA(unit_skills!$A:$A),MATCH(AS$1,unit_skills!$1:$1,0)-MATCH($AP$1,unit_skills!$1:$1,0)+1),MATCH(AS$1,unit_skills!$1:$1,0)-MATCH($AP$1,unit_skills!$1:$1,0)+1,FALSE)</f>
        <v>#N/A</v>
      </c>
      <c r="AT8" s="42">
        <v>42</v>
      </c>
      <c r="AU8" s="59" t="e">
        <f ca="1">VLOOKUP($AT8,OFFSET(crash_skills!$A$1,0,0,COUNTA(crash_skills!$A:$A),MATCH(AU$1,crash_skills!$1:$1,0)-MATCH($AT$1,crash_skills!$1:$1,0)+1),MATCH(AU$1,crash_skills!$1:$1,0)-MATCH($AT$1,crash_skills!$1:$1,0)+1,FALSE)</f>
        <v>#N/A</v>
      </c>
      <c r="AV8" s="59" t="e">
        <f ca="1">VLOOKUP($AT8,OFFSET(crash_skills!$A$1,0,0,COUNTA(crash_skills!$A:$A),MATCH(AV$1,crash_skills!$1:$1,0)-MATCH($AT$1,crash_skills!$1:$1,0)+1),MATCH(AV$1,crash_skills!$1:$1,0)-MATCH($AT$1,crash_skills!$1:$1,0)+1,FALSE)</f>
        <v>#N/A</v>
      </c>
      <c r="AW8" s="59" t="e">
        <f ca="1">VLOOKUP($AT8,OFFSET(crash_skills!$A$1,0,0,COUNTA(crash_skills!$A:$A),MATCH(AW$1,crash_skills!$1:$1,0)-MATCH($AT$1,crash_skills!$1:$1,0)+1),MATCH(AW$1,crash_skills!$1:$1,0)-MATCH($AT$1,crash_skills!$1:$1,0)+1,FALSE)</f>
        <v>#N/A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70">
        <v>43</v>
      </c>
      <c r="AZ8" s="70">
        <v>43</v>
      </c>
      <c r="BA8" s="70">
        <v>42</v>
      </c>
      <c r="BB8" s="70">
        <v>43</v>
      </c>
      <c r="BC8" s="11">
        <f ca="1">INDEX('RC6SV'!$A$1:$G$15,MATCH(H8,'RC6SV'!$A$1:$A$15,FALSE),MATCH(G8,'RC6SV'!$A$1:$G$1,FALSE))</f>
        <v>7000</v>
      </c>
      <c r="BD8" s="49">
        <f t="shared" ca="1" si="5"/>
        <v>7350</v>
      </c>
      <c r="BE8" s="11">
        <f ca="1">ROUND(IFERROR(INDIRECT(ADDRESS(MATCH($A8,$AE:$AE,0),MATCH($BC$1,$1:$1,0))),0),0)</f>
        <v>0</v>
      </c>
      <c r="BF8" s="11">
        <f ca="1">ROUND(IFERROR(INDIRECT(ADDRESS(MATCH($A8,$AE:$AE,0),10)),INDIRECT(ADDRESS(MATCH($A8,$A:$A,0),10))),0)</f>
        <v>1</v>
      </c>
      <c r="BG8" s="16">
        <f ca="1">IF($BE8&lt;=0,ROUND(BK8*0.5,0), ROUND($BE8*S8*AA8*J8*AY8*0.8*[1]ステータス!$B$2,0))</f>
        <v>74272</v>
      </c>
      <c r="BH8" s="16">
        <f ca="1">IF($BE8&lt;=0,ROUND(BL8*0.5,0), ROUND($BE8*T8*AB8*K8*AZ8*0.8*[1]ステータス!$C$2,0))</f>
        <v>61173</v>
      </c>
      <c r="BI8" s="16">
        <f ca="1">IF($BE8&lt;=0,ROUND(BM8*0.5,0), ROUND($BE8*U8*AC8*L8*BA8*0.8*[1]ステータス!$D$2,0))</f>
        <v>154350</v>
      </c>
      <c r="BJ8" s="16">
        <f ca="1">IF($BE8&lt;=0,ROUND(BN8*0.5,0), ROUND($BE8*V8*AD8*M8*BB8*0.8*[1]ステータス!$E$2,0))</f>
        <v>28889</v>
      </c>
      <c r="BK8" s="11">
        <f ca="1">ROUND(BD8*S8*AA8*J8*AY8*[1]ステータス!$B$2,0)</f>
        <v>148544</v>
      </c>
      <c r="BL8" s="11">
        <f ca="1">ROUND(BD8*T8*AB8*K8*AZ8*[1]ステータス!$C$2,0)</f>
        <v>122346</v>
      </c>
      <c r="BM8" s="11">
        <f ca="1">ROUND(BD8*U8*AC8*L8*BA8*[1]ステータス!$D$2,0)</f>
        <v>308700</v>
      </c>
      <c r="BN8" s="11">
        <f ca="1">ROUND(BD8*V8*AD8*M8*BB8*[1]ステータス!$E$2,0)</f>
        <v>57777</v>
      </c>
      <c r="BO8" s="10">
        <v>42</v>
      </c>
      <c r="BP8" s="10">
        <v>43</v>
      </c>
      <c r="BQ8" s="39" t="s">
        <v>53</v>
      </c>
    </row>
    <row r="9" spans="1:69" ht="21" customHeight="1">
      <c r="A9" s="12">
        <v>649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パールヴァティ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各属性相性良3・黄・R268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INDEX(コスト!$A$1:$I$15,MATCH(H9,コスト!$A$1:$A$15,FALSE),MATCH(G9,コスト!$A$1:$I$1,FALSE))</f>
        <v>30</v>
      </c>
      <c r="O9" s="11">
        <f ca="1">INDEX(レベル!$A$1:$I$16,MATCH(H9,レベル!$A$1:$A$16,FALSE),MATCH(G9,レベル!$A$1:$I$1,FALSE))</f>
        <v>80</v>
      </c>
      <c r="P9" s="49">
        <f t="shared" ca="1" si="3"/>
        <v>75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190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ca="1">IF(ISNA(MATCH(A9,AE:AE,0)),A9,INDIRECT(ADDRESS(MATCH(A9,AE:AE,0),COLUMN())))</f>
        <v>649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パールヴァティ</v>
      </c>
      <c r="AI9" s="11" t="str">
        <f>IF(AE9="NULL","NULL",VLOOKUP(G9,ビット!$A$2:$B$7,2))</f>
        <v>NULL</v>
      </c>
      <c r="AJ9" s="6">
        <v>45</v>
      </c>
      <c r="AK9" s="7" t="str">
        <f t="shared" si="4"/>
        <v/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6400</v>
      </c>
      <c r="AN9" s="17">
        <f ca="1">VLOOKUP(G9,ビット!$G$2:$H$7,2)</f>
        <v>900</v>
      </c>
      <c r="AO9" s="46"/>
      <c r="AP9" s="69">
        <v>43</v>
      </c>
      <c r="AQ9" s="59" t="e">
        <f ca="1">VLOOKUP($AP9,OFFSET(unit_skills!$A$1,0,0,COUNTA(unit_skills!$A:$A),MATCH(AQ$1,unit_skills!$1:$1,0)-MATCH($AP$1,unit_skills!$1:$1,0)+1),MATCH(AQ$1,unit_skills!$1:$1,0)-MATCH($AP$1,unit_skills!$1:$1,0)+1,FALSE)</f>
        <v>#N/A</v>
      </c>
      <c r="AR9" s="59" t="e">
        <f ca="1">VLOOKUP($AP9,OFFSET(unit_skills!$A$1,0,0,COUNTA(unit_skills!$A:$A),MATCH(AR$1,unit_skills!$1:$1,0)-MATCH($AP$1,unit_skills!$1:$1,0)+1),MATCH(AR$1,unit_skills!$1:$1,0)-MATCH($AP$1,unit_skills!$1:$1,0)+1,FALSE)</f>
        <v>#N/A</v>
      </c>
      <c r="AS9" s="59" t="e">
        <f ca="1">VLOOKUP($AP9,OFFSET(unit_skills!$A$1,0,0,COUNTA(unit_skills!$A:$A),MATCH(AS$1,unit_skills!$1:$1,0)-MATCH($AP$1,unit_skills!$1:$1,0)+1),MATCH(AS$1,unit_skills!$1:$1,0)-MATCH($AP$1,unit_skills!$1:$1,0)+1,FALSE)</f>
        <v>#N/A</v>
      </c>
      <c r="AT9" s="42">
        <v>43</v>
      </c>
      <c r="AU9" s="59" t="e">
        <f ca="1">VLOOKUP($AT9,OFFSET(crash_skills!$A$1,0,0,COUNTA(crash_skills!$A:$A),MATCH(AU$1,crash_skills!$1:$1,0)-MATCH($AT$1,crash_skills!$1:$1,0)+1),MATCH(AU$1,crash_skills!$1:$1,0)-MATCH($AT$1,crash_skills!$1:$1,0)+1,FALSE)</f>
        <v>#N/A</v>
      </c>
      <c r="AV9" s="59" t="e">
        <f ca="1">VLOOKUP($AT9,OFFSET(crash_skills!$A$1,0,0,COUNTA(crash_skills!$A:$A),MATCH(AV$1,crash_skills!$1:$1,0)-MATCH($AT$1,crash_skills!$1:$1,0)+1),MATCH(AV$1,crash_skills!$1:$1,0)-MATCH($AT$1,crash_skills!$1:$1,0)+1,FALSE)</f>
        <v>#N/A</v>
      </c>
      <c r="AW9" s="59" t="e">
        <f ca="1">VLOOKUP($AT9,OFFSET(crash_skills!$A$1,0,0,COUNTA(crash_skills!$A:$A),MATCH(AW$1,crash_skills!$1:$1,0)-MATCH($AT$1,crash_skills!$1:$1,0)+1),MATCH(AW$1,crash_skills!$1:$1,0)-MATCH($AT$1,crash_skills!$1:$1,0)+1,FALSE)</f>
        <v>#N/A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70">
        <v>44</v>
      </c>
      <c r="AZ9" s="70">
        <v>44</v>
      </c>
      <c r="BA9" s="70">
        <v>43</v>
      </c>
      <c r="BB9" s="70">
        <v>44</v>
      </c>
      <c r="BC9" s="11">
        <f ca="1">INDEX('RC6SV'!$A$1:$G$15,MATCH(H9,'RC6SV'!$A$1:$A$15,FALSE),MATCH(G9,'RC6SV'!$A$1:$G$1,FALSE))</f>
        <v>9000</v>
      </c>
      <c r="BD9" s="49">
        <f t="shared" ca="1" si="5"/>
        <v>9450</v>
      </c>
      <c r="BE9" s="11">
        <f ca="1">ROUND(IFERROR(INDIRECT(ADDRESS(MATCH($A9,$AE:$AE,0),MATCH($BC$1,$1:$1,0))),0),0)</f>
        <v>0</v>
      </c>
      <c r="BF9" s="11">
        <f ca="1">ROUND(IFERROR(INDIRECT(ADDRESS(MATCH($A9,$AE:$AE,0),10)),INDIRECT(ADDRESS(MATCH($A9,$A:$A,0),10))),0)</f>
        <v>1</v>
      </c>
      <c r="BG9" s="16">
        <f ca="1">IF($BE9&lt;=0,ROUND(BK9*0.5,0), ROUND($BE9*S9*AA9*J9*AY9*0.8*[1]ステータス!$B$2,0))</f>
        <v>97713</v>
      </c>
      <c r="BH9" s="16">
        <f ca="1">IF($BE9&lt;=0,ROUND(BL9*0.5,0), ROUND($BE9*T9*AB9*K9*AZ9*0.8*[1]ステータス!$C$2,0))</f>
        <v>80480</v>
      </c>
      <c r="BI9" s="16">
        <f ca="1">IF($BE9&lt;=0,ROUND(BM9*0.5,0), ROUND($BE9*U9*AC9*L9*BA9*0.8*[1]ステータス!$D$2,0))</f>
        <v>203175</v>
      </c>
      <c r="BJ9" s="16">
        <f ca="1">IF($BE9&lt;=0,ROUND(BN9*0.5,0), ROUND($BE9*V9*AD9*M9*BB9*0.8*[1]ステータス!$E$2,0))</f>
        <v>38006</v>
      </c>
      <c r="BK9" s="11">
        <f ca="1">ROUND(BD9*S9*AA9*J9*AY9*[1]ステータス!$B$2,0)</f>
        <v>195426</v>
      </c>
      <c r="BL9" s="11">
        <f ca="1">ROUND(BD9*T9*AB9*K9*AZ9*[1]ステータス!$C$2,0)</f>
        <v>160960</v>
      </c>
      <c r="BM9" s="11">
        <f ca="1">ROUND(BD9*U9*AC9*L9*BA9*[1]ステータス!$D$2,0)</f>
        <v>406350</v>
      </c>
      <c r="BN9" s="11">
        <f ca="1">ROUND(BD9*V9*AD9*M9*BB9*[1]ステータス!$E$2,0)</f>
        <v>76012</v>
      </c>
      <c r="BO9" s="10">
        <v>43</v>
      </c>
      <c r="BP9" s="10">
        <v>44</v>
      </c>
      <c r="BQ9" s="39" t="s">
        <v>53</v>
      </c>
    </row>
    <row r="10" spans="1:69" ht="21" customHeight="1">
      <c r="A10" s="12">
        <v>650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土蜘蛛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各属性相性良3・黄・R269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Drop2N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INDEX(コスト!$A$1:$I$15,MATCH(H10,コスト!$A$1:$A$15,FALSE),MATCH(G10,コスト!$A$1:$I$1,FALSE))</f>
        <v>17</v>
      </c>
      <c r="O10" s="11">
        <f ca="1">INDEX(レベル!$A$1:$I$16,MATCH(H10,レベル!$A$1:$A$16,FALSE),MATCH(G10,レベル!$A$1:$I$1,FALSE))</f>
        <v>60</v>
      </c>
      <c r="P10" s="49">
        <f t="shared" ca="1" si="3"/>
        <v>60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technical</v>
      </c>
      <c r="R10" s="5" t="str">
        <f ca="1">VLOOKUP(Q10,[1]character_type_i18n!$A:$H,3,FALSE)</f>
        <v>テクニカルタイプ</v>
      </c>
      <c r="S10" s="11">
        <f ca="1">VLOOKUP(Q10,[1]character_type_i18n!$A:$H,4,FALSE)</f>
        <v>0.9</v>
      </c>
      <c r="T10" s="11">
        <f ca="1">VLOOKUP(Q10,[1]character_type_i18n!$A:$H,5,FALSE)</f>
        <v>0.9</v>
      </c>
      <c r="U10" s="11">
        <f ca="1">VLOOKUP(Q10,[1]character_type_i18n!$A:$H,6,FALSE)</f>
        <v>1</v>
      </c>
      <c r="V10" s="11">
        <f ca="1">VLOOKUP(Q10,[1]character_type_i18n!$A:$H,7,FALSE)</f>
        <v>0.9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 t="s">
        <v>190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ca="1">IF(ISNA(MATCH(A10,AE:AE,0)),A10,INDIRECT(ADDRESS(MATCH(A10,AE:AE,0),COLUMN())))</f>
        <v>650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土蜘蛛</v>
      </c>
      <c r="AI10" s="11" t="str">
        <f>IF(AE10="NULL","NULL",VLOOKUP(G10,ビット!$A$2:$B$7,2))</f>
        <v>NULL</v>
      </c>
      <c r="AJ10" s="6">
        <v>46</v>
      </c>
      <c r="AK10" s="7" t="str">
        <f t="shared" si="4"/>
        <v/>
      </c>
      <c r="AL10" s="11" t="str">
        <f ca="1">INDEX(経験値!$A$1:$I$15,MATCH(H10,経験値!$A$1:$A$15,FALSE),MATCH(G10,経験値!$A$1:$I$1,FALSE))</f>
        <v>required_exp_200</v>
      </c>
      <c r="AM10" s="8">
        <f ca="1">VLOOKUP(G10,経験値!$A$22:$B$26,2)</f>
        <v>3400</v>
      </c>
      <c r="AN10" s="17">
        <f ca="1">VLOOKUP(G10,ビット!$G$2:$H$7,2)</f>
        <v>600</v>
      </c>
      <c r="AO10" s="46"/>
      <c r="AP10" s="69">
        <v>44</v>
      </c>
      <c r="AQ10" s="59" t="e">
        <f ca="1">VLOOKUP($AP10,OFFSET(unit_skills!$A$1,0,0,COUNTA(unit_skills!$A:$A),MATCH(AQ$1,unit_skills!$1:$1,0)-MATCH($AP$1,unit_skills!$1:$1,0)+1),MATCH(AQ$1,unit_skills!$1:$1,0)-MATCH($AP$1,unit_skills!$1:$1,0)+1,FALSE)</f>
        <v>#N/A</v>
      </c>
      <c r="AR10" s="59" t="e">
        <f ca="1">VLOOKUP($AP10,OFFSET(unit_skills!$A$1,0,0,COUNTA(unit_skills!$A:$A),MATCH(AR$1,unit_skills!$1:$1,0)-MATCH($AP$1,unit_skills!$1:$1,0)+1),MATCH(AR$1,unit_skills!$1:$1,0)-MATCH($AP$1,unit_skills!$1:$1,0)+1,FALSE)</f>
        <v>#N/A</v>
      </c>
      <c r="AS10" s="59" t="e">
        <f ca="1">VLOOKUP($AP10,OFFSET(unit_skills!$A$1,0,0,COUNTA(unit_skills!$A:$A),MATCH(AS$1,unit_skills!$1:$1,0)-MATCH($AP$1,unit_skills!$1:$1,0)+1),MATCH(AS$1,unit_skills!$1:$1,0)-MATCH($AP$1,unit_skills!$1:$1,0)+1,FALSE)</f>
        <v>#N/A</v>
      </c>
      <c r="AT10" s="42">
        <v>44</v>
      </c>
      <c r="AU10" s="59" t="e">
        <f ca="1">VLOOKUP($AT10,OFFSET(crash_skills!$A$1,0,0,COUNTA(crash_skills!$A:$A),MATCH(AU$1,crash_skills!$1:$1,0)-MATCH($AT$1,crash_skills!$1:$1,0)+1),MATCH(AU$1,crash_skills!$1:$1,0)-MATCH($AT$1,crash_skills!$1:$1,0)+1,FALSE)</f>
        <v>#N/A</v>
      </c>
      <c r="AV10" s="59" t="e">
        <f ca="1">VLOOKUP($AT10,OFFSET(crash_skills!$A$1,0,0,COUNTA(crash_skills!$A:$A),MATCH(AV$1,crash_skills!$1:$1,0)-MATCH($AT$1,crash_skills!$1:$1,0)+1),MATCH(AV$1,crash_skills!$1:$1,0)-MATCH($AT$1,crash_skills!$1:$1,0)+1,FALSE)</f>
        <v>#N/A</v>
      </c>
      <c r="AW10" s="59" t="e">
        <f ca="1">VLOOKUP($AT10,OFFSET(crash_skills!$A$1,0,0,COUNTA(crash_skills!$A:$A),MATCH(AW$1,crash_skills!$1:$1,0)-MATCH($AT$1,crash_skills!$1:$1,0)+1),MATCH(AW$1,crash_skills!$1:$1,0)-MATCH($AT$1,crash_skills!$1:$1,0)+1,FALSE)</f>
        <v>#N/A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1</v>
      </c>
      <c r="AY10" s="70">
        <v>45</v>
      </c>
      <c r="AZ10" s="70">
        <v>45</v>
      </c>
      <c r="BA10" s="70">
        <v>44</v>
      </c>
      <c r="BB10" s="70">
        <v>45</v>
      </c>
      <c r="BC10" s="11">
        <f ca="1">INDEX('RC6SV'!$A$1:$G$15,MATCH(H10,'RC6SV'!$A$1:$A$15,FALSE),MATCH(G10,'RC6SV'!$A$1:$G$1,FALSE))</f>
        <v>5800</v>
      </c>
      <c r="BD10" s="49">
        <f t="shared" ca="1" si="5"/>
        <v>6090</v>
      </c>
      <c r="BE10" s="11">
        <f ca="1">ROUND(IFERROR(INDIRECT(ADDRESS(MATCH($A10,$AE:$AE,0),MATCH($BC$1,$1:$1,0))),0),0)</f>
        <v>0</v>
      </c>
      <c r="BF10" s="11">
        <f ca="1">ROUND(IFERROR(INDIRECT(ADDRESS(MATCH($A10,$AE:$AE,0),10)),INDIRECT(ADDRESS(MATCH($A10,$A:$A,0),10))),0)</f>
        <v>1</v>
      </c>
      <c r="BG10" s="16">
        <f ca="1">IF($BE10&lt;=0,ROUND(BK10*0.5,0), ROUND($BE10*S10*AA10*J10*AY10*0.8*[1]ステータス!$B$2,0))</f>
        <v>56803</v>
      </c>
      <c r="BH10" s="16">
        <f ca="1">IF($BE10&lt;=0,ROUND(BL10*0.5,0), ROUND($BE10*T10*AB10*K10*AZ10*0.8*[1]ステータス!$C$2,0))</f>
        <v>36993</v>
      </c>
      <c r="BI10" s="16">
        <f ca="1">IF($BE10&lt;=0,ROUND(BM10*0.5,0), ROUND($BE10*U10*AC10*L10*BA10*0.8*[1]ステータス!$D$2,0))</f>
        <v>133980</v>
      </c>
      <c r="BJ10" s="16">
        <f ca="1">IF($BE10&lt;=0,ROUND(BN10*0.5,0), ROUND($BE10*V10*AD10*M10*BB10*0.8*[1]ステータス!$E$2,0))</f>
        <v>33319</v>
      </c>
      <c r="BK10" s="11">
        <f ca="1">ROUND(BD10*S10*AA10*J10*AY10*[1]ステータス!$B$2,0)</f>
        <v>113605</v>
      </c>
      <c r="BL10" s="11">
        <f ca="1">ROUND(BD10*T10*AB10*K10*AZ10*[1]ステータス!$C$2,0)</f>
        <v>73986</v>
      </c>
      <c r="BM10" s="11">
        <f ca="1">ROUND(BD10*U10*AC10*L10*BA10*[1]ステータス!$D$2,0)</f>
        <v>267960</v>
      </c>
      <c r="BN10" s="11">
        <f ca="1">ROUND(BD10*V10*AD10*M10*BB10*[1]ステータス!$E$2,0)</f>
        <v>66637</v>
      </c>
      <c r="BO10" s="10">
        <v>44</v>
      </c>
      <c r="BP10" s="10">
        <v>45</v>
      </c>
      <c r="BQ10" s="39" t="s">
        <v>53</v>
      </c>
    </row>
    <row r="11" spans="1:69" ht="21" customHeight="1">
      <c r="A11" s="12">
        <v>651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土蜘蛛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各属性相性良3・黄・R270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Drop2N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INDEX(コスト!$A$1:$I$15,MATCH(H11,コスト!$A$1:$A$15,FALSE),MATCH(G11,コスト!$A$1:$I$1,FALSE))</f>
        <v>26</v>
      </c>
      <c r="O11" s="11">
        <f ca="1">INDEX(レベル!$A$1:$I$16,MATCH(H11,レベル!$A$1:$A$16,FALSE),MATCH(G11,レベル!$A$1:$I$1,FALSE))</f>
        <v>80</v>
      </c>
      <c r="P11" s="49">
        <f t="shared" ca="1" si="3"/>
        <v>75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technical</v>
      </c>
      <c r="R11" s="5" t="str">
        <f ca="1">VLOOKUP(Q11,[1]character_type_i18n!$A:$H,3,FALSE)</f>
        <v>テクニカルタイプ</v>
      </c>
      <c r="S11" s="11">
        <f ca="1">VLOOKUP(Q11,[1]character_type_i18n!$A:$H,4,FALSE)</f>
        <v>0.9</v>
      </c>
      <c r="T11" s="11">
        <f ca="1">VLOOKUP(Q11,[1]character_type_i18n!$A:$H,5,FALSE)</f>
        <v>0.9</v>
      </c>
      <c r="U11" s="11">
        <f ca="1">VLOOKUP(Q11,[1]character_type_i18n!$A:$H,6,FALSE)</f>
        <v>1</v>
      </c>
      <c r="V11" s="11">
        <f ca="1">VLOOKUP(Q11,[1]character_type_i18n!$A:$H,7,FALSE)</f>
        <v>0.9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 t="s">
        <v>190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ca="1">IF(ISNA(MATCH(A11,AE:AE,0)),A11,INDIRECT(ADDRESS(MATCH(A11,AE:AE,0),COLUMN())))</f>
        <v>651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土蜘蛛</v>
      </c>
      <c r="AI11" s="11" t="str">
        <f>IF(AE11="NULL","NULL",VLOOKUP(G11,ビット!$A$2:$B$7,2))</f>
        <v>NULL</v>
      </c>
      <c r="AJ11" s="6">
        <v>47</v>
      </c>
      <c r="AK11" s="7" t="str">
        <f t="shared" si="4"/>
        <v/>
      </c>
      <c r="AL11" s="11" t="str">
        <f ca="1">INDEX(経験値!$A$1:$I$15,MATCH(H11,経験値!$A$1:$A$15,FALSE),MATCH(G11,経験値!$A$1:$I$1,FALSE))</f>
        <v>required_exp_200</v>
      </c>
      <c r="AM11" s="8">
        <f ca="1">VLOOKUP(G11,経験値!$A$22:$B$26,2)</f>
        <v>6400</v>
      </c>
      <c r="AN11" s="17">
        <f ca="1">VLOOKUP(G11,ビット!$G$2:$H$7,2)</f>
        <v>900</v>
      </c>
      <c r="AO11" s="46"/>
      <c r="AP11" s="69">
        <v>45</v>
      </c>
      <c r="AQ11" s="59" t="e">
        <f ca="1">VLOOKUP($AP11,OFFSET(unit_skills!$A$1,0,0,COUNTA(unit_skills!$A:$A),MATCH(AQ$1,unit_skills!$1:$1,0)-MATCH($AP$1,unit_skills!$1:$1,0)+1),MATCH(AQ$1,unit_skills!$1:$1,0)-MATCH($AP$1,unit_skills!$1:$1,0)+1,FALSE)</f>
        <v>#N/A</v>
      </c>
      <c r="AR11" s="59" t="e">
        <f ca="1">VLOOKUP($AP11,OFFSET(unit_skills!$A$1,0,0,COUNTA(unit_skills!$A:$A),MATCH(AR$1,unit_skills!$1:$1,0)-MATCH($AP$1,unit_skills!$1:$1,0)+1),MATCH(AR$1,unit_skills!$1:$1,0)-MATCH($AP$1,unit_skills!$1:$1,0)+1,FALSE)</f>
        <v>#N/A</v>
      </c>
      <c r="AS11" s="59" t="e">
        <f ca="1">VLOOKUP($AP11,OFFSET(unit_skills!$A$1,0,0,COUNTA(unit_skills!$A:$A),MATCH(AS$1,unit_skills!$1:$1,0)-MATCH($AP$1,unit_skills!$1:$1,0)+1),MATCH(AS$1,unit_skills!$1:$1,0)-MATCH($AP$1,unit_skills!$1:$1,0)+1,FALSE)</f>
        <v>#N/A</v>
      </c>
      <c r="AT11" s="42">
        <v>45</v>
      </c>
      <c r="AU11" s="59" t="e">
        <f ca="1">VLOOKUP($AT11,OFFSET(crash_skills!$A$1,0,0,COUNTA(crash_skills!$A:$A),MATCH(AU$1,crash_skills!$1:$1,0)-MATCH($AT$1,crash_skills!$1:$1,0)+1),MATCH(AU$1,crash_skills!$1:$1,0)-MATCH($AT$1,crash_skills!$1:$1,0)+1,FALSE)</f>
        <v>#N/A</v>
      </c>
      <c r="AV11" s="59" t="e">
        <f ca="1">VLOOKUP($AT11,OFFSET(crash_skills!$A$1,0,0,COUNTA(crash_skills!$A:$A),MATCH(AV$1,crash_skills!$1:$1,0)-MATCH($AT$1,crash_skills!$1:$1,0)+1),MATCH(AV$1,crash_skills!$1:$1,0)-MATCH($AT$1,crash_skills!$1:$1,0)+1,FALSE)</f>
        <v>#N/A</v>
      </c>
      <c r="AW11" s="59" t="e">
        <f ca="1">VLOOKUP($AT11,OFFSET(crash_skills!$A$1,0,0,COUNTA(crash_skills!$A:$A),MATCH(AW$1,crash_skills!$1:$1,0)-MATCH($AT$1,crash_skills!$1:$1,0)+1),MATCH(AW$1,crash_skills!$1:$1,0)-MATCH($AT$1,crash_skills!$1:$1,0)+1,FALSE)</f>
        <v>#N/A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1</v>
      </c>
      <c r="AY11" s="70">
        <v>46</v>
      </c>
      <c r="AZ11" s="70">
        <v>46</v>
      </c>
      <c r="BA11" s="70">
        <v>45</v>
      </c>
      <c r="BB11" s="70">
        <v>46</v>
      </c>
      <c r="BC11" s="11">
        <f ca="1">INDEX('RC6SV'!$A$1:$G$15,MATCH(H11,'RC6SV'!$A$1:$A$15,FALSE),MATCH(G11,'RC6SV'!$A$1:$G$1,FALSE))</f>
        <v>7600</v>
      </c>
      <c r="BD11" s="49">
        <f t="shared" ca="1" si="5"/>
        <v>7980</v>
      </c>
      <c r="BE11" s="11">
        <f ca="1">ROUND(IFERROR(INDIRECT(ADDRESS(MATCH($A11,$AE:$AE,0),MATCH($BC$1,$1:$1,0))),0),0)</f>
        <v>0</v>
      </c>
      <c r="BF11" s="11">
        <f ca="1">ROUND(IFERROR(INDIRECT(ADDRESS(MATCH($A11,$AE:$AE,0),10)),INDIRECT(ADDRESS(MATCH($A11,$A:$A,0),10))),0)</f>
        <v>1</v>
      </c>
      <c r="BG11" s="16">
        <f ca="1">IF($BE11&lt;=0,ROUND(BK11*0.5,0), ROUND($BE11*S11*AA11*J11*AY11*0.8*[1]ステータス!$B$2,0))</f>
        <v>76085</v>
      </c>
      <c r="BH11" s="16">
        <f ca="1">IF($BE11&lt;=0,ROUND(BL11*0.5,0), ROUND($BE11*T11*AB11*K11*AZ11*0.8*[1]ステータス!$C$2,0))</f>
        <v>49551</v>
      </c>
      <c r="BI11" s="16">
        <f ca="1">IF($BE11&lt;=0,ROUND(BM11*0.5,0), ROUND($BE11*U11*AC11*L11*BA11*0.8*[1]ステータス!$D$2,0))</f>
        <v>179550</v>
      </c>
      <c r="BJ11" s="16">
        <f ca="1">IF($BE11&lt;=0,ROUND(BN11*0.5,0), ROUND($BE11*V11*AD11*M11*BB11*0.8*[1]ステータス!$E$2,0))</f>
        <v>44629</v>
      </c>
      <c r="BK11" s="11">
        <f ca="1">ROUND(BD11*S11*AA11*J11*AY11*[1]ステータス!$B$2,0)</f>
        <v>152169</v>
      </c>
      <c r="BL11" s="11">
        <f ca="1">ROUND(BD11*T11*AB11*K11*AZ11*[1]ステータス!$C$2,0)</f>
        <v>99102</v>
      </c>
      <c r="BM11" s="11">
        <f ca="1">ROUND(BD11*U11*AC11*L11*BA11*[1]ステータス!$D$2,0)</f>
        <v>359100</v>
      </c>
      <c r="BN11" s="11">
        <f ca="1">ROUND(BD11*V11*AD11*M11*BB11*[1]ステータス!$E$2,0)</f>
        <v>89258</v>
      </c>
      <c r="BO11" s="10">
        <v>45</v>
      </c>
      <c r="BP11" s="10">
        <v>46</v>
      </c>
      <c r="BQ11" s="39" t="s">
        <v>53</v>
      </c>
    </row>
    <row r="12" spans="1:69" ht="21" customHeight="1">
      <c r="A12" s="12">
        <v>652</v>
      </c>
      <c r="B12" s="59" t="str">
        <f ca="1">VLOOKUP($A12,OFFSET([1]characters!$A$1,0,0,COUNTA([1]characters!$A:$A),MATCH(B$1,[1]characters!$1:$1,0)-MATCH($A$1,[1]characters!$1:$1,0)+1),MATCH(B$1,[1]characters!$1:$1,0)-MATCH($A$1,[1]characters!$1:$1,0)+1,FALSE)</f>
        <v>アナンタ</v>
      </c>
      <c r="C12" s="59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各属性相性良3・黄・R271</v>
      </c>
      <c r="D12" s="59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9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9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9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9" t="str">
        <f ca="1">VLOOKUP($A12,OFFSET([1]characters!$A$1,0,0,COUNTA([1]characters!$A:$A),MATCH(H$1,[1]characters!$1:$1,0)-MATCH($A$1,[1]characters!$1:$1,0)+1),MATCH(H$1,[1]characters!$1:$1,0)-MATCH($A$1,[1]characters!$1:$1,0)+1,FALSE)</f>
        <v>Drop2N</v>
      </c>
      <c r="I12" s="59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11">
        <f ca="1">VLOOKUP(I12,[1]属性!$A:$E,2,FALSE)</f>
        <v>0.98</v>
      </c>
      <c r="K12" s="11">
        <f ca="1">VLOOKUP(I12,[1]属性!$A:$E,3,FALSE)</f>
        <v>1.01</v>
      </c>
      <c r="L12" s="11">
        <f ca="1">VLOOKUP(I12,[1]属性!$A:$E,4,FALSE)</f>
        <v>1</v>
      </c>
      <c r="M12" s="11">
        <f ca="1">VLOOKUP(I12,[1]属性!$A:$E,5,FALSE)</f>
        <v>1.01</v>
      </c>
      <c r="N12" s="11">
        <f ca="1">INDEX(コスト!$A$1:$I$15,MATCH(H12,コスト!$A$1:$A$15,FALSE),MATCH(G12,コスト!$A$1:$I$1,FALSE))</f>
        <v>17</v>
      </c>
      <c r="O12" s="11">
        <f ca="1">INDEX(レベル!$A$1:$I$16,MATCH(H12,レベル!$A$1:$A$16,FALSE),MATCH(G12,レベル!$A$1:$I$1,FALSE))</f>
        <v>60</v>
      </c>
      <c r="P12" s="49">
        <f t="shared" ca="1" si="3"/>
        <v>60</v>
      </c>
      <c r="Q12" s="59" t="str">
        <f ca="1">VLOOKUP($A12,OFFSET([1]characters!$A$1,0,0,COUNTA([1]characters!$A:$A),MATCH(Q$1,[1]characters!$1:$1,0)-MATCH($A$1,[1]characters!$1:$1,0)+1),MATCH(Q$1,[1]characters!$1:$1,0)-MATCH($A$1,[1]characters!$1:$1,0)+1,FALSE)</f>
        <v>attack</v>
      </c>
      <c r="R12" s="5" t="str">
        <f ca="1">VLOOKUP(Q12,[1]character_type_i18n!$A:$H,3,FALSE)</f>
        <v>攻撃タイプ</v>
      </c>
      <c r="S12" s="11">
        <f ca="1">VLOOKUP(Q12,[1]character_type_i18n!$A:$H,4,FALSE)</f>
        <v>1</v>
      </c>
      <c r="T12" s="11">
        <f ca="1">VLOOKUP(Q12,[1]character_type_i18n!$A:$H,5,FALSE)</f>
        <v>1.33</v>
      </c>
      <c r="U12" s="11">
        <f ca="1">VLOOKUP(Q12,[1]character_type_i18n!$A:$H,6,FALSE)</f>
        <v>1</v>
      </c>
      <c r="V12" s="11">
        <f ca="1">VLOOKUP(Q12,[1]character_type_i18n!$A:$H,7,FALSE)</f>
        <v>0.67</v>
      </c>
      <c r="W12" s="59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9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 t="s">
        <v>190</v>
      </c>
      <c r="AF12" s="64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ca="1">IF(ISNA(MATCH(A12,AE:AE,0)),A12,INDIRECT(ADDRESS(MATCH(A12,AE:AE,0),COLUMN())))</f>
        <v>652</v>
      </c>
      <c r="AH12" s="64" t="str">
        <f ca="1">VLOOKUP($AG12,OFFSET([1]characters!$A$1,0,0,COUNTA([1]characters!$A:$A),MATCH(AH$1,[1]characters!$1:$1,0)-MATCH($A$1,[1]characters!$1:$1,0)+1),MATCH(AH$1,[1]characters!$1:$1,0)-MATCH($A$1,[1]characters!$1:$1,0)+1,FALSE)</f>
        <v>アナンタ</v>
      </c>
      <c r="AI12" s="11" t="str">
        <f>IF(AE12="NULL","NULL",VLOOKUP(G12,ビット!$A$2:$B$7,2))</f>
        <v>NULL</v>
      </c>
      <c r="AJ12" s="6">
        <v>48</v>
      </c>
      <c r="AK12" s="7" t="str">
        <f t="shared" si="4"/>
        <v/>
      </c>
      <c r="AL12" s="11" t="str">
        <f ca="1">INDEX(経験値!$A$1:$I$15,MATCH(H12,経験値!$A$1:$A$15,FALSE),MATCH(G12,経験値!$A$1:$I$1,FALSE))</f>
        <v>required_exp_200</v>
      </c>
      <c r="AM12" s="8">
        <f ca="1">VLOOKUP(G12,経験値!$A$22:$B$26,2)</f>
        <v>3400</v>
      </c>
      <c r="AN12" s="17">
        <f ca="1">VLOOKUP(G12,ビット!$G$2:$H$7,2)</f>
        <v>600</v>
      </c>
      <c r="AO12" s="46"/>
      <c r="AP12" s="69">
        <v>46</v>
      </c>
      <c r="AQ12" s="59" t="e">
        <f ca="1">VLOOKUP($AP12,OFFSET(unit_skills!$A$1,0,0,COUNTA(unit_skills!$A:$A),MATCH(AQ$1,unit_skills!$1:$1,0)-MATCH($AP$1,unit_skills!$1:$1,0)+1),MATCH(AQ$1,unit_skills!$1:$1,0)-MATCH($AP$1,unit_skills!$1:$1,0)+1,FALSE)</f>
        <v>#N/A</v>
      </c>
      <c r="AR12" s="59" t="e">
        <f ca="1">VLOOKUP($AP12,OFFSET(unit_skills!$A$1,0,0,COUNTA(unit_skills!$A:$A),MATCH(AR$1,unit_skills!$1:$1,0)-MATCH($AP$1,unit_skills!$1:$1,0)+1),MATCH(AR$1,unit_skills!$1:$1,0)-MATCH($AP$1,unit_skills!$1:$1,0)+1,FALSE)</f>
        <v>#N/A</v>
      </c>
      <c r="AS12" s="59" t="e">
        <f ca="1">VLOOKUP($AP12,OFFSET(unit_skills!$A$1,0,0,COUNTA(unit_skills!$A:$A),MATCH(AS$1,unit_skills!$1:$1,0)-MATCH($AP$1,unit_skills!$1:$1,0)+1),MATCH(AS$1,unit_skills!$1:$1,0)-MATCH($AP$1,unit_skills!$1:$1,0)+1,FALSE)</f>
        <v>#N/A</v>
      </c>
      <c r="AT12" s="42">
        <v>46</v>
      </c>
      <c r="AU12" s="59" t="e">
        <f ca="1">VLOOKUP($AT12,OFFSET(crash_skills!$A$1,0,0,COUNTA(crash_skills!$A:$A),MATCH(AU$1,crash_skills!$1:$1,0)-MATCH($AT$1,crash_skills!$1:$1,0)+1),MATCH(AU$1,crash_skills!$1:$1,0)-MATCH($AT$1,crash_skills!$1:$1,0)+1,FALSE)</f>
        <v>#N/A</v>
      </c>
      <c r="AV12" s="59" t="e">
        <f ca="1">VLOOKUP($AT12,OFFSET(crash_skills!$A$1,0,0,COUNTA(crash_skills!$A:$A),MATCH(AV$1,crash_skills!$1:$1,0)-MATCH($AT$1,crash_skills!$1:$1,0)+1),MATCH(AV$1,crash_skills!$1:$1,0)-MATCH($AT$1,crash_skills!$1:$1,0)+1,FALSE)</f>
        <v>#N/A</v>
      </c>
      <c r="AW12" s="59" t="e">
        <f ca="1">VLOOKUP($AT12,OFFSET(crash_skills!$A$1,0,0,COUNTA(crash_skills!$A:$A),MATCH(AW$1,crash_skills!$1:$1,0)-MATCH($AT$1,crash_skills!$1:$1,0)+1),MATCH(AW$1,crash_skills!$1:$1,0)-MATCH($AT$1,crash_skills!$1:$1,0)+1,FALSE)</f>
        <v>#N/A</v>
      </c>
      <c r="AX12" s="60">
        <f ca="1">VLOOKUP($A12,OFFSET([1]characters!$A$1,0,0,COUNTA([1]characters!$A:$A),MATCH(AX$1,[1]characters!$1:$1,0)-MATCH($A$1,[1]characters!$1:$1,0)+1),MATCH(AX$1,[1]characters!$1:$1,0)-MATCH($A$1,[1]characters!$1:$1,0)+1,FALSE)</f>
        <v>1</v>
      </c>
      <c r="AY12" s="70">
        <v>47</v>
      </c>
      <c r="AZ12" s="70">
        <v>47</v>
      </c>
      <c r="BA12" s="70">
        <v>46</v>
      </c>
      <c r="BB12" s="70">
        <v>47</v>
      </c>
      <c r="BC12" s="11">
        <f ca="1">INDEX('RC6SV'!$A$1:$G$15,MATCH(H12,'RC6SV'!$A$1:$A$15,FALSE),MATCH(G12,'RC6SV'!$A$1:$G$1,FALSE))</f>
        <v>5800</v>
      </c>
      <c r="BD12" s="49">
        <f t="shared" ca="1" si="5"/>
        <v>6090</v>
      </c>
      <c r="BE12" s="11">
        <f ca="1">ROUND(IFERROR(INDIRECT(ADDRESS(MATCH($A12,$AE:$AE,0),MATCH($BC$1,$1:$1,0))),0),0)</f>
        <v>0</v>
      </c>
      <c r="BF12" s="11">
        <f ca="1">ROUND(IFERROR(INDIRECT(ADDRESS(MATCH($A12,$AE:$AE,0),10)),INDIRECT(ADDRESS(MATCH($A12,$A:$A,0),10))),0)</f>
        <v>1</v>
      </c>
      <c r="BG12" s="16">
        <f ca="1">IF($BE12&lt;=0,ROUND(BK12*0.5,0), ROUND($BE12*S12*AA12*J12*AY12*0.8*[1]ステータス!$B$2,0))</f>
        <v>65919</v>
      </c>
      <c r="BH12" s="16">
        <f ca="1">IF($BE12&lt;=0,ROUND(BL12*0.5,0), ROUND($BE12*T12*AB12*K12*AZ12*0.8*[1]ステータス!$C$2,0))</f>
        <v>57097</v>
      </c>
      <c r="BI12" s="16">
        <f ca="1">IF($BE12&lt;=0,ROUND(BM12*0.5,0), ROUND($BE12*U12*AC12*L12*BA12*0.8*[1]ステータス!$D$2,0))</f>
        <v>140070</v>
      </c>
      <c r="BJ12" s="16">
        <f ca="1">IF($BE12&lt;=0,ROUND(BN12*0.5,0), ROUND($BE12*V12*AD12*M12*BB12*0.8*[1]ステータス!$E$2,0))</f>
        <v>25907</v>
      </c>
      <c r="BK12" s="11">
        <f ca="1">ROUND(BD12*S12*AA12*J12*AY12*[1]ステータス!$B$2,0)</f>
        <v>131838</v>
      </c>
      <c r="BL12" s="11">
        <f ca="1">ROUND(BD12*T12*AB12*K12*AZ12*[1]ステータス!$C$2,0)</f>
        <v>114194</v>
      </c>
      <c r="BM12" s="11">
        <f ca="1">ROUND(BD12*U12*AC12*L12*BA12*[1]ステータス!$D$2,0)</f>
        <v>280140</v>
      </c>
      <c r="BN12" s="11">
        <f ca="1">ROUND(BD12*V12*AD12*M12*BB12*[1]ステータス!$E$2,0)</f>
        <v>51813</v>
      </c>
      <c r="BO12" s="10">
        <v>46</v>
      </c>
      <c r="BP12" s="10">
        <v>47</v>
      </c>
      <c r="BQ12" s="39" t="s">
        <v>53</v>
      </c>
    </row>
    <row r="13" spans="1:69" ht="21" customHeight="1">
      <c r="A13" s="12">
        <v>653</v>
      </c>
      <c r="B13" s="59" t="str">
        <f ca="1">VLOOKUP($A13,OFFSET([1]characters!$A$1,0,0,COUNTA([1]characters!$A:$A),MATCH(B$1,[1]characters!$1:$1,0)-MATCH($A$1,[1]characters!$1:$1,0)+1),MATCH(B$1,[1]characters!$1:$1,0)-MATCH($A$1,[1]characters!$1:$1,0)+1,FALSE)</f>
        <v>アナンタ</v>
      </c>
      <c r="C13" s="59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各属性相性良3・黄・R272</v>
      </c>
      <c r="D13" s="59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9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9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9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9" t="str">
        <f ca="1">VLOOKUP($A13,OFFSET([1]characters!$A$1,0,0,COUNTA([1]characters!$A:$A),MATCH(H$1,[1]characters!$1:$1,0)-MATCH($A$1,[1]characters!$1:$1,0)+1),MATCH(H$1,[1]characters!$1:$1,0)-MATCH($A$1,[1]characters!$1:$1,0)+1,FALSE)</f>
        <v>Drop2N</v>
      </c>
      <c r="I13" s="59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11">
        <f ca="1">VLOOKUP(I13,[1]属性!$A:$E,2,FALSE)</f>
        <v>0.98</v>
      </c>
      <c r="K13" s="11">
        <f ca="1">VLOOKUP(I13,[1]属性!$A:$E,3,FALSE)</f>
        <v>1.01</v>
      </c>
      <c r="L13" s="11">
        <f ca="1">VLOOKUP(I13,[1]属性!$A:$E,4,FALSE)</f>
        <v>1</v>
      </c>
      <c r="M13" s="11">
        <f ca="1">VLOOKUP(I13,[1]属性!$A:$E,5,FALSE)</f>
        <v>1.01</v>
      </c>
      <c r="N13" s="11">
        <f ca="1">INDEX(コスト!$A$1:$I$15,MATCH(H13,コスト!$A$1:$A$15,FALSE),MATCH(G13,コスト!$A$1:$I$1,FALSE))</f>
        <v>26</v>
      </c>
      <c r="O13" s="11">
        <f ca="1">INDEX(レベル!$A$1:$I$16,MATCH(H13,レベル!$A$1:$A$16,FALSE),MATCH(G13,レベル!$A$1:$I$1,FALSE))</f>
        <v>80</v>
      </c>
      <c r="P13" s="49">
        <f t="shared" ca="1" si="3"/>
        <v>75</v>
      </c>
      <c r="Q13" s="59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1">
        <f ca="1">VLOOKUP(Q13,[1]character_type_i18n!$A:$H,4,FALSE)</f>
        <v>1</v>
      </c>
      <c r="T13" s="11">
        <f ca="1">VLOOKUP(Q13,[1]character_type_i18n!$A:$H,5,FALSE)</f>
        <v>1.33</v>
      </c>
      <c r="U13" s="11">
        <f ca="1">VLOOKUP(Q13,[1]character_type_i18n!$A:$H,6,FALSE)</f>
        <v>1</v>
      </c>
      <c r="V13" s="11">
        <f ca="1">VLOOKUP(Q13,[1]character_type_i18n!$A:$H,7,FALSE)</f>
        <v>0.67</v>
      </c>
      <c r="W13" s="59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9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 t="s">
        <v>190</v>
      </c>
      <c r="AF13" s="64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ca="1">IF(ISNA(MATCH(A13,AE:AE,0)),A13,INDIRECT(ADDRESS(MATCH(A13,AE:AE,0),COLUMN())))</f>
        <v>653</v>
      </c>
      <c r="AH13" s="64" t="str">
        <f ca="1">VLOOKUP($AG13,OFFSET([1]characters!$A$1,0,0,COUNTA([1]characters!$A:$A),MATCH(AH$1,[1]characters!$1:$1,0)-MATCH($A$1,[1]characters!$1:$1,0)+1),MATCH(AH$1,[1]characters!$1:$1,0)-MATCH($A$1,[1]characters!$1:$1,0)+1,FALSE)</f>
        <v>アナンタ</v>
      </c>
      <c r="AI13" s="11" t="str">
        <f>IF(AE13="NULL","NULL",VLOOKUP(G13,ビット!$A$2:$B$7,2))</f>
        <v>NULL</v>
      </c>
      <c r="AJ13" s="6">
        <v>49</v>
      </c>
      <c r="AK13" s="7" t="str">
        <f t="shared" si="4"/>
        <v/>
      </c>
      <c r="AL13" s="11" t="str">
        <f ca="1">INDEX(経験値!$A$1:$I$15,MATCH(H13,経験値!$A$1:$A$15,FALSE),MATCH(G13,経験値!$A$1:$I$1,FALSE))</f>
        <v>required_exp_200</v>
      </c>
      <c r="AM13" s="8">
        <f ca="1">VLOOKUP(G13,経験値!$A$22:$B$26,2)</f>
        <v>6400</v>
      </c>
      <c r="AN13" s="17">
        <f ca="1">VLOOKUP(G13,ビット!$G$2:$H$7,2)</f>
        <v>900</v>
      </c>
      <c r="AO13" s="46"/>
      <c r="AP13" s="69">
        <v>47</v>
      </c>
      <c r="AQ13" s="59" t="e">
        <f ca="1">VLOOKUP($AP13,OFFSET(unit_skills!$A$1,0,0,COUNTA(unit_skills!$A:$A),MATCH(AQ$1,unit_skills!$1:$1,0)-MATCH($AP$1,unit_skills!$1:$1,0)+1),MATCH(AQ$1,unit_skills!$1:$1,0)-MATCH($AP$1,unit_skills!$1:$1,0)+1,FALSE)</f>
        <v>#N/A</v>
      </c>
      <c r="AR13" s="59" t="e">
        <f ca="1">VLOOKUP($AP13,OFFSET(unit_skills!$A$1,0,0,COUNTA(unit_skills!$A:$A),MATCH(AR$1,unit_skills!$1:$1,0)-MATCH($AP$1,unit_skills!$1:$1,0)+1),MATCH(AR$1,unit_skills!$1:$1,0)-MATCH($AP$1,unit_skills!$1:$1,0)+1,FALSE)</f>
        <v>#N/A</v>
      </c>
      <c r="AS13" s="59" t="e">
        <f ca="1">VLOOKUP($AP13,OFFSET(unit_skills!$A$1,0,0,COUNTA(unit_skills!$A:$A),MATCH(AS$1,unit_skills!$1:$1,0)-MATCH($AP$1,unit_skills!$1:$1,0)+1),MATCH(AS$1,unit_skills!$1:$1,0)-MATCH($AP$1,unit_skills!$1:$1,0)+1,FALSE)</f>
        <v>#N/A</v>
      </c>
      <c r="AT13" s="42">
        <v>47</v>
      </c>
      <c r="AU13" s="59" t="e">
        <f ca="1">VLOOKUP($AT13,OFFSET(crash_skills!$A$1,0,0,COUNTA(crash_skills!$A:$A),MATCH(AU$1,crash_skills!$1:$1,0)-MATCH($AT$1,crash_skills!$1:$1,0)+1),MATCH(AU$1,crash_skills!$1:$1,0)-MATCH($AT$1,crash_skills!$1:$1,0)+1,FALSE)</f>
        <v>#N/A</v>
      </c>
      <c r="AV13" s="59" t="e">
        <f ca="1">VLOOKUP($AT13,OFFSET(crash_skills!$A$1,0,0,COUNTA(crash_skills!$A:$A),MATCH(AV$1,crash_skills!$1:$1,0)-MATCH($AT$1,crash_skills!$1:$1,0)+1),MATCH(AV$1,crash_skills!$1:$1,0)-MATCH($AT$1,crash_skills!$1:$1,0)+1,FALSE)</f>
        <v>#N/A</v>
      </c>
      <c r="AW13" s="59" t="e">
        <f ca="1">VLOOKUP($AT13,OFFSET(crash_skills!$A$1,0,0,COUNTA(crash_skills!$A:$A),MATCH(AW$1,crash_skills!$1:$1,0)-MATCH($AT$1,crash_skills!$1:$1,0)+1),MATCH(AW$1,crash_skills!$1:$1,0)-MATCH($AT$1,crash_skills!$1:$1,0)+1,FALSE)</f>
        <v>#N/A</v>
      </c>
      <c r="AX13" s="60">
        <f ca="1">VLOOKUP($A13,OFFSET([1]characters!$A$1,0,0,COUNTA([1]characters!$A:$A),MATCH(AX$1,[1]characters!$1:$1,0)-MATCH($A$1,[1]characters!$1:$1,0)+1),MATCH(AX$1,[1]characters!$1:$1,0)-MATCH($A$1,[1]characters!$1:$1,0)+1,FALSE)</f>
        <v>1</v>
      </c>
      <c r="AY13" s="70">
        <v>48</v>
      </c>
      <c r="AZ13" s="70">
        <v>48</v>
      </c>
      <c r="BA13" s="70">
        <v>47</v>
      </c>
      <c r="BB13" s="70">
        <v>48</v>
      </c>
      <c r="BC13" s="11">
        <f ca="1">INDEX('RC6SV'!$A$1:$G$15,MATCH(H13,'RC6SV'!$A$1:$A$15,FALSE),MATCH(G13,'RC6SV'!$A$1:$G$1,FALSE))</f>
        <v>7600</v>
      </c>
      <c r="BD13" s="49">
        <f t="shared" ca="1" si="5"/>
        <v>7980</v>
      </c>
      <c r="BE13" s="11">
        <f ca="1">ROUND(IFERROR(INDIRECT(ADDRESS(MATCH($A13,$AE:$AE,0),MATCH($BC$1,$1:$1,0))),0),0)</f>
        <v>0</v>
      </c>
      <c r="BF13" s="11">
        <f ca="1">ROUND(IFERROR(INDIRECT(ADDRESS(MATCH($A13,$AE:$AE,0),10)),INDIRECT(ADDRESS(MATCH($A13,$A:$A,0),10))),0)</f>
        <v>1</v>
      </c>
      <c r="BG13" s="16">
        <f ca="1">IF($BE13&lt;=0,ROUND(BK13*0.5,0), ROUND($BE13*S13*AA13*J13*AY13*0.8*[1]ステータス!$B$2,0))</f>
        <v>88214</v>
      </c>
      <c r="BH13" s="16">
        <f ca="1">IF($BE13&lt;=0,ROUND(BL13*0.5,0), ROUND($BE13*T13*AB13*K13*AZ13*0.8*[1]ステータス!$C$2,0))</f>
        <v>76409</v>
      </c>
      <c r="BI13" s="16">
        <f ca="1">IF($BE13&lt;=0,ROUND(BM13*0.5,0), ROUND($BE13*U13*AC13*L13*BA13*0.8*[1]ステータス!$D$2,0))</f>
        <v>187530</v>
      </c>
      <c r="BJ13" s="16">
        <f ca="1">IF($BE13&lt;=0,ROUND(BN13*0.5,0), ROUND($BE13*V13*AD13*M13*BB13*0.8*[1]ステータス!$E$2,0))</f>
        <v>34669</v>
      </c>
      <c r="BK13" s="11">
        <f ca="1">ROUND(BD13*S13*AA13*J13*AY13*[1]ステータス!$B$2,0)</f>
        <v>176428</v>
      </c>
      <c r="BL13" s="11">
        <f ca="1">ROUND(BD13*T13*AB13*K13*AZ13*[1]ステータス!$C$2,0)</f>
        <v>152818</v>
      </c>
      <c r="BM13" s="11">
        <f ca="1">ROUND(BD13*U13*AC13*L13*BA13*[1]ステータス!$D$2,0)</f>
        <v>375060</v>
      </c>
      <c r="BN13" s="11">
        <f ca="1">ROUND(BD13*V13*AD13*M13*BB13*[1]ステータス!$E$2,0)</f>
        <v>69337</v>
      </c>
      <c r="BO13" s="10">
        <v>47</v>
      </c>
      <c r="BP13" s="10">
        <v>48</v>
      </c>
      <c r="BQ13" s="39" t="s">
        <v>53</v>
      </c>
    </row>
    <row r="14" spans="1:69" ht="21" customHeight="1">
      <c r="A14" s="12">
        <v>654</v>
      </c>
      <c r="B14" s="59" t="str">
        <f ca="1">VLOOKUP($A14,OFFSET([1]characters!$A$1,0,0,COUNTA([1]characters!$A:$A),MATCH(B$1,[1]characters!$1:$1,0)-MATCH($A$1,[1]characters!$1:$1,0)+1),MATCH(B$1,[1]characters!$1:$1,0)-MATCH($A$1,[1]characters!$1:$1,0)+1,FALSE)</f>
        <v>鬼（酒呑童子）</v>
      </c>
      <c r="C14" s="59" t="str">
        <f ca="1">VLOOKUP($A14,OFFSET([1]characters!$A$1,0,0,COUNTA([1]characters!$A:$A),MATCH(C$1,[1]characters!$1:$1,0)-MATCH($A$1,[1]characters!$1:$1,0)+1),MATCH(C$1,[1]characters!$1:$1,0)-MATCH($A$1,[1]characters!$1:$1,0)+1,FALSE)</f>
        <v>各属性相性良3・黄・R273</v>
      </c>
      <c r="D14" s="59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9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9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9">
        <f ca="1">VLOOKUP($A14,OFFSET([1]characters!$A$1,0,0,COUNTA([1]characters!$A:$A),MATCH(G$1,[1]characters!$1:$1,0)-MATCH($A$1,[1]characters!$1:$1,0)+1),MATCH(G$1,[1]characters!$1:$1,0)-MATCH($A$1,[1]characters!$1:$1,0)+1,FALSE)</f>
        <v>4</v>
      </c>
      <c r="H14" s="59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9" t="str">
        <f ca="1">VLOOKUP($A14,OFFSET([1]characters!$A$1,0,0,COUNTA([1]characters!$A:$A),MATCH(I$1,[1]characters!$1:$1,0)-MATCH($A$1,[1]characters!$1:$1,0)+1),MATCH(I$1,[1]characters!$1:$1,0)-MATCH($A$1,[1]characters!$1:$1,0)+1,FALSE)</f>
        <v>yellow</v>
      </c>
      <c r="J14" s="11">
        <f ca="1">VLOOKUP(I14,[1]属性!$A:$E,2,FALSE)</f>
        <v>0.98</v>
      </c>
      <c r="K14" s="11">
        <f ca="1">VLOOKUP(I14,[1]属性!$A:$E,3,FALSE)</f>
        <v>1.01</v>
      </c>
      <c r="L14" s="11">
        <f ca="1">VLOOKUP(I14,[1]属性!$A:$E,4,FALSE)</f>
        <v>1</v>
      </c>
      <c r="M14" s="11">
        <f ca="1">VLOOKUP(I14,[1]属性!$A:$E,5,FALSE)</f>
        <v>1.01</v>
      </c>
      <c r="N14" s="11">
        <f ca="1">INDEX(コスト!$A$1:$I$15,MATCH(H14,コスト!$A$1:$A$15,FALSE),MATCH(G14,コスト!$A$1:$I$1,FALSE))</f>
        <v>20</v>
      </c>
      <c r="O14" s="11">
        <f ca="1">INDEX(レベル!$A$1:$I$16,MATCH(H14,レベル!$A$1:$A$16,FALSE),MATCH(G14,レベル!$A$1:$I$1,FALSE))</f>
        <v>60</v>
      </c>
      <c r="P14" s="49">
        <f t="shared" ca="1" si="3"/>
        <v>60</v>
      </c>
      <c r="Q14" s="59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9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9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 t="s">
        <v>190</v>
      </c>
      <c r="AF14" s="64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5">
        <f ca="1">IF(ISNA(MATCH(A14,AE:AE,0)),A14,INDIRECT(ADDRESS(MATCH(A14,AE:AE,0),COLUMN())))</f>
        <v>654</v>
      </c>
      <c r="AH14" s="64" t="str">
        <f ca="1">VLOOKUP($AG14,OFFSET([1]characters!$A$1,0,0,COUNTA([1]characters!$A:$A),MATCH(AH$1,[1]characters!$1:$1,0)-MATCH($A$1,[1]characters!$1:$1,0)+1),MATCH(AH$1,[1]characters!$1:$1,0)-MATCH($A$1,[1]characters!$1:$1,0)+1,FALSE)</f>
        <v>鬼（酒呑童子）</v>
      </c>
      <c r="AI14" s="11" t="str">
        <f>IF(AE14="NULL","NULL",VLOOKUP(G14,ビット!$A$2:$B$7,2))</f>
        <v>NULL</v>
      </c>
      <c r="AJ14" s="6">
        <v>50</v>
      </c>
      <c r="AK14" s="7" t="str">
        <f t="shared" si="4"/>
        <v/>
      </c>
      <c r="AL14" s="11" t="str">
        <f ca="1">INDEX(経験値!$A$1:$I$15,MATCH(H14,経験値!$A$1:$A$15,FALSE),MATCH(G14,経験値!$A$1:$I$1,FALSE))</f>
        <v>required_exp_200</v>
      </c>
      <c r="AM14" s="8">
        <f ca="1">VLOOKUP(G14,経験値!$A$22:$B$26,2)</f>
        <v>3400</v>
      </c>
      <c r="AN14" s="17">
        <f ca="1">VLOOKUP(G14,ビット!$G$2:$H$7,2)</f>
        <v>600</v>
      </c>
      <c r="AO14" s="46"/>
      <c r="AP14" s="69">
        <v>48</v>
      </c>
      <c r="AQ14" s="59" t="e">
        <f ca="1">VLOOKUP($AP14,OFFSET(unit_skills!$A$1,0,0,COUNTA(unit_skills!$A:$A),MATCH(AQ$1,unit_skills!$1:$1,0)-MATCH($AP$1,unit_skills!$1:$1,0)+1),MATCH(AQ$1,unit_skills!$1:$1,0)-MATCH($AP$1,unit_skills!$1:$1,0)+1,FALSE)</f>
        <v>#N/A</v>
      </c>
      <c r="AR14" s="59" t="e">
        <f ca="1">VLOOKUP($AP14,OFFSET(unit_skills!$A$1,0,0,COUNTA(unit_skills!$A:$A),MATCH(AR$1,unit_skills!$1:$1,0)-MATCH($AP$1,unit_skills!$1:$1,0)+1),MATCH(AR$1,unit_skills!$1:$1,0)-MATCH($AP$1,unit_skills!$1:$1,0)+1,FALSE)</f>
        <v>#N/A</v>
      </c>
      <c r="AS14" s="59" t="e">
        <f ca="1">VLOOKUP($AP14,OFFSET(unit_skills!$A$1,0,0,COUNTA(unit_skills!$A:$A),MATCH(AS$1,unit_skills!$1:$1,0)-MATCH($AP$1,unit_skills!$1:$1,0)+1),MATCH(AS$1,unit_skills!$1:$1,0)-MATCH($AP$1,unit_skills!$1:$1,0)+1,FALSE)</f>
        <v>#N/A</v>
      </c>
      <c r="AT14" s="42">
        <v>48</v>
      </c>
      <c r="AU14" s="59" t="e">
        <f ca="1">VLOOKUP($AT14,OFFSET(crash_skills!$A$1,0,0,COUNTA(crash_skills!$A:$A),MATCH(AU$1,crash_skills!$1:$1,0)-MATCH($AT$1,crash_skills!$1:$1,0)+1),MATCH(AU$1,crash_skills!$1:$1,0)-MATCH($AT$1,crash_skills!$1:$1,0)+1,FALSE)</f>
        <v>#N/A</v>
      </c>
      <c r="AV14" s="59" t="e">
        <f ca="1">VLOOKUP($AT14,OFFSET(crash_skills!$A$1,0,0,COUNTA(crash_skills!$A:$A),MATCH(AV$1,crash_skills!$1:$1,0)-MATCH($AT$1,crash_skills!$1:$1,0)+1),MATCH(AV$1,crash_skills!$1:$1,0)-MATCH($AT$1,crash_skills!$1:$1,0)+1,FALSE)</f>
        <v>#N/A</v>
      </c>
      <c r="AW14" s="59" t="e">
        <f ca="1">VLOOKUP($AT14,OFFSET(crash_skills!$A$1,0,0,COUNTA(crash_skills!$A:$A),MATCH(AW$1,crash_skills!$1:$1,0)-MATCH($AT$1,crash_skills!$1:$1,0)+1),MATCH(AW$1,crash_skills!$1:$1,0)-MATCH($AT$1,crash_skills!$1:$1,0)+1,FALSE)</f>
        <v>#N/A</v>
      </c>
      <c r="AX14" s="60">
        <f ca="1">VLOOKUP($A14,OFFSET([1]characters!$A$1,0,0,COUNTA([1]characters!$A:$A),MATCH(AX$1,[1]characters!$1:$1,0)-MATCH($A$1,[1]characters!$1:$1,0)+1),MATCH(AX$1,[1]characters!$1:$1,0)-MATCH($A$1,[1]characters!$1:$1,0)+1,FALSE)</f>
        <v>1</v>
      </c>
      <c r="AY14" s="70">
        <v>49</v>
      </c>
      <c r="AZ14" s="70">
        <v>49</v>
      </c>
      <c r="BA14" s="70">
        <v>48</v>
      </c>
      <c r="BB14" s="70">
        <v>49</v>
      </c>
      <c r="BC14" s="11">
        <f ca="1">INDEX('RC6SV'!$A$1:$G$15,MATCH(H14,'RC6SV'!$A$1:$A$15,FALSE),MATCH(G14,'RC6SV'!$A$1:$G$1,FALSE))</f>
        <v>7000</v>
      </c>
      <c r="BD14" s="49">
        <f t="shared" ca="1" si="5"/>
        <v>7350</v>
      </c>
      <c r="BE14" s="11">
        <f ca="1">ROUND(IFERROR(INDIRECT(ADDRESS(MATCH($A14,$AE:$AE,0),MATCH($BC$1,$1:$1,0))),0),0)</f>
        <v>0</v>
      </c>
      <c r="BF14" s="11">
        <f ca="1">ROUND(IFERROR(INDIRECT(ADDRESS(MATCH($A14,$AE:$AE,0),10)),INDIRECT(ADDRESS(MATCH($A14,$A:$A,0),10))),0)</f>
        <v>1</v>
      </c>
      <c r="BG14" s="16">
        <f ca="1">IF($BE14&lt;=0,ROUND(BK14*0.5,0), ROUND($BE14*S14*AA14*J14*AY14*0.8*[1]ステータス!$B$2,0))</f>
        <v>82943</v>
      </c>
      <c r="BH14" s="16">
        <f ca="1">IF($BE14&lt;=0,ROUND(BL14*0.5,0), ROUND($BE14*T14*AB14*K14*AZ14*0.8*[1]ステータス!$C$2,0))</f>
        <v>71843</v>
      </c>
      <c r="BI14" s="16">
        <f ca="1">IF($BE14&lt;=0,ROUND(BM14*0.5,0), ROUND($BE14*U14*AC14*L14*BA14*0.8*[1]ステータス!$D$2,0))</f>
        <v>176400</v>
      </c>
      <c r="BJ14" s="16">
        <f ca="1">IF($BE14&lt;=0,ROUND(BN14*0.5,0), ROUND($BE14*V14*AD14*M14*BB14*0.8*[1]ステータス!$E$2,0))</f>
        <v>32597</v>
      </c>
      <c r="BK14" s="11">
        <f ca="1">ROUND(BD14*S14*AA14*J14*AY14*[1]ステータス!$B$2,0)</f>
        <v>165885</v>
      </c>
      <c r="BL14" s="11">
        <f ca="1">ROUND(BD14*T14*AB14*K14*AZ14*[1]ステータス!$C$2,0)</f>
        <v>143685</v>
      </c>
      <c r="BM14" s="11">
        <f ca="1">ROUND(BD14*U14*AC14*L14*BA14*[1]ステータス!$D$2,0)</f>
        <v>352800</v>
      </c>
      <c r="BN14" s="11">
        <f ca="1">ROUND(BD14*V14*AD14*M14*BB14*[1]ステータス!$E$2,0)</f>
        <v>65193</v>
      </c>
      <c r="BO14" s="10">
        <v>48</v>
      </c>
      <c r="BP14" s="10">
        <v>49</v>
      </c>
      <c r="BQ14" s="39" t="s">
        <v>53</v>
      </c>
    </row>
    <row r="15" spans="1:69" ht="21" customHeight="1">
      <c r="A15" s="12">
        <v>655</v>
      </c>
      <c r="B15" s="59" t="str">
        <f ca="1">VLOOKUP($A15,OFFSET([1]characters!$A$1,0,0,COUNTA([1]characters!$A:$A),MATCH(B$1,[1]characters!$1:$1,0)-MATCH($A$1,[1]characters!$1:$1,0)+1),MATCH(B$1,[1]characters!$1:$1,0)-MATCH($A$1,[1]characters!$1:$1,0)+1,FALSE)</f>
        <v>鬼（酒呑童子）</v>
      </c>
      <c r="C15" s="59" t="str">
        <f ca="1">VLOOKUP($A15,OFFSET([1]characters!$A$1,0,0,COUNTA([1]characters!$A:$A),MATCH(C$1,[1]characters!$1:$1,0)-MATCH($A$1,[1]characters!$1:$1,0)+1),MATCH(C$1,[1]characters!$1:$1,0)-MATCH($A$1,[1]characters!$1:$1,0)+1,FALSE)</f>
        <v>各属性相性良3・黄・R274</v>
      </c>
      <c r="D15" s="59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9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9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9">
        <f ca="1">VLOOKUP($A15,OFFSET([1]characters!$A$1,0,0,COUNTA([1]characters!$A:$A),MATCH(G$1,[1]characters!$1:$1,0)-MATCH($A$1,[1]characters!$1:$1,0)+1),MATCH(G$1,[1]characters!$1:$1,0)-MATCH($A$1,[1]characters!$1:$1,0)+1,FALSE)</f>
        <v>5</v>
      </c>
      <c r="H15" s="59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9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INDEX(コスト!$A$1:$I$15,MATCH(H15,コスト!$A$1:$A$15,FALSE),MATCH(G15,コスト!$A$1:$I$1,FALSE))</f>
        <v>30</v>
      </c>
      <c r="O15" s="11">
        <f ca="1">INDEX(レベル!$A$1:$I$16,MATCH(H15,レベル!$A$1:$A$16,FALSE),MATCH(G15,レベル!$A$1:$I$1,FALSE))</f>
        <v>80</v>
      </c>
      <c r="P15" s="49">
        <f t="shared" ca="1" si="3"/>
        <v>75</v>
      </c>
      <c r="Q15" s="59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9" t="str">
        <f ca="1">VLOOKUP($A15,OFFSET([1]characters!$A$1,0,0,COUNTA([1]characters!$A:$A),MATCH(W$1,[1]characters!$1:$1,0)-MATCH($A$1,[1]characters!$1:$1,0)+1),MATCH(W$1,[1]characters!$1:$1,0)-MATCH($A$1,[1]characters!$1:$1,0)+1,FALSE)</f>
        <v>human</v>
      </c>
      <c r="X15" s="5" t="str">
        <f ca="1">VLOOKUP(W15,[1]character_tribe_i18n!$A:$H,3,FALSE)</f>
        <v>ヒューマン</v>
      </c>
      <c r="Y15" s="59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0.94</v>
      </c>
      <c r="AB15" s="11">
        <f ca="1">VLOOKUP(W15,[1]character_tribe_i18n!$A:$H,5,FALSE)</f>
        <v>0.99</v>
      </c>
      <c r="AC15" s="11">
        <f ca="1">VLOOKUP(W15,[1]character_tribe_i18n!$A:$H,6,FALSE)</f>
        <v>1</v>
      </c>
      <c r="AD15" s="11">
        <f ca="1">VLOOKUP(W15,[1]character_tribe_i18n!$A:$H,7,FALSE)</f>
        <v>1.07</v>
      </c>
      <c r="AE15" s="9" t="s">
        <v>190</v>
      </c>
      <c r="AF15" s="64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ca="1">IF(ISNA(MATCH(A15,AE:AE,0)),A15,INDIRECT(ADDRESS(MATCH(A15,AE:AE,0),COLUMN())))</f>
        <v>655</v>
      </c>
      <c r="AH15" s="64" t="str">
        <f ca="1">VLOOKUP($AG15,OFFSET([1]characters!$A$1,0,0,COUNTA([1]characters!$A:$A),MATCH(AH$1,[1]characters!$1:$1,0)-MATCH($A$1,[1]characters!$1:$1,0)+1),MATCH(AH$1,[1]characters!$1:$1,0)-MATCH($A$1,[1]characters!$1:$1,0)+1,FALSE)</f>
        <v>鬼（酒呑童子）</v>
      </c>
      <c r="AI15" s="11" t="str">
        <f>IF(AE15="NULL","NULL",VLOOKUP(G15,ビット!$A$2:$B$7,2))</f>
        <v>NULL</v>
      </c>
      <c r="AJ15" s="6">
        <v>51</v>
      </c>
      <c r="AK15" s="7" t="str">
        <f t="shared" si="4"/>
        <v/>
      </c>
      <c r="AL15" s="11" t="str">
        <f ca="1">INDEX(経験値!$A$1:$I$15,MATCH(H15,経験値!$A$1:$A$15,FALSE),MATCH(G15,経験値!$A$1:$I$1,FALSE))</f>
        <v>required_exp_200</v>
      </c>
      <c r="AM15" s="8">
        <f ca="1">VLOOKUP(G15,経験値!$A$22:$B$26,2)</f>
        <v>6400</v>
      </c>
      <c r="AN15" s="17">
        <f ca="1">VLOOKUP(G15,ビット!$G$2:$H$7,2)</f>
        <v>900</v>
      </c>
      <c r="AO15" s="46"/>
      <c r="AP15" s="69">
        <v>49</v>
      </c>
      <c r="AQ15" s="59" t="e">
        <f ca="1">VLOOKUP($AP15,OFFSET(unit_skills!$A$1,0,0,COUNTA(unit_skills!$A:$A),MATCH(AQ$1,unit_skills!$1:$1,0)-MATCH($AP$1,unit_skills!$1:$1,0)+1),MATCH(AQ$1,unit_skills!$1:$1,0)-MATCH($AP$1,unit_skills!$1:$1,0)+1,FALSE)</f>
        <v>#N/A</v>
      </c>
      <c r="AR15" s="59" t="e">
        <f ca="1">VLOOKUP($AP15,OFFSET(unit_skills!$A$1,0,0,COUNTA(unit_skills!$A:$A),MATCH(AR$1,unit_skills!$1:$1,0)-MATCH($AP$1,unit_skills!$1:$1,0)+1),MATCH(AR$1,unit_skills!$1:$1,0)-MATCH($AP$1,unit_skills!$1:$1,0)+1,FALSE)</f>
        <v>#N/A</v>
      </c>
      <c r="AS15" s="59" t="e">
        <f ca="1">VLOOKUP($AP15,OFFSET(unit_skills!$A$1,0,0,COUNTA(unit_skills!$A:$A),MATCH(AS$1,unit_skills!$1:$1,0)-MATCH($AP$1,unit_skills!$1:$1,0)+1),MATCH(AS$1,unit_skills!$1:$1,0)-MATCH($AP$1,unit_skills!$1:$1,0)+1,FALSE)</f>
        <v>#N/A</v>
      </c>
      <c r="AT15" s="42">
        <v>49</v>
      </c>
      <c r="AU15" s="59" t="e">
        <f ca="1">VLOOKUP($AT15,OFFSET(crash_skills!$A$1,0,0,COUNTA(crash_skills!$A:$A),MATCH(AU$1,crash_skills!$1:$1,0)-MATCH($AT$1,crash_skills!$1:$1,0)+1),MATCH(AU$1,crash_skills!$1:$1,0)-MATCH($AT$1,crash_skills!$1:$1,0)+1,FALSE)</f>
        <v>#N/A</v>
      </c>
      <c r="AV15" s="59" t="e">
        <f ca="1">VLOOKUP($AT15,OFFSET(crash_skills!$A$1,0,0,COUNTA(crash_skills!$A:$A),MATCH(AV$1,crash_skills!$1:$1,0)-MATCH($AT$1,crash_skills!$1:$1,0)+1),MATCH(AV$1,crash_skills!$1:$1,0)-MATCH($AT$1,crash_skills!$1:$1,0)+1,FALSE)</f>
        <v>#N/A</v>
      </c>
      <c r="AW15" s="59" t="e">
        <f ca="1">VLOOKUP($AT15,OFFSET(crash_skills!$A$1,0,0,COUNTA(crash_skills!$A:$A),MATCH(AW$1,crash_skills!$1:$1,0)-MATCH($AT$1,crash_skills!$1:$1,0)+1),MATCH(AW$1,crash_skills!$1:$1,0)-MATCH($AT$1,crash_skills!$1:$1,0)+1,FALSE)</f>
        <v>#N/A</v>
      </c>
      <c r="AX15" s="60">
        <f ca="1">VLOOKUP($A15,OFFSET([1]characters!$A$1,0,0,COUNTA([1]characters!$A:$A),MATCH(AX$1,[1]characters!$1:$1,0)-MATCH($A$1,[1]characters!$1:$1,0)+1),MATCH(AX$1,[1]characters!$1:$1,0)-MATCH($A$1,[1]characters!$1:$1,0)+1,FALSE)</f>
        <v>1</v>
      </c>
      <c r="AY15" s="70">
        <v>50</v>
      </c>
      <c r="AZ15" s="70">
        <v>50</v>
      </c>
      <c r="BA15" s="70">
        <v>49</v>
      </c>
      <c r="BB15" s="70">
        <v>50</v>
      </c>
      <c r="BC15" s="11">
        <f ca="1">INDEX('RC6SV'!$A$1:$G$15,MATCH(H15,'RC6SV'!$A$1:$A$15,FALSE),MATCH(G15,'RC6SV'!$A$1:$G$1,FALSE))</f>
        <v>9000</v>
      </c>
      <c r="BD15" s="49">
        <f t="shared" ca="1" si="5"/>
        <v>9450</v>
      </c>
      <c r="BE15" s="11">
        <f ca="1">ROUND(IFERROR(INDIRECT(ADDRESS(MATCH($A15,$AE:$AE,0),MATCH($BC$1,$1:$1,0))),0),0)</f>
        <v>0</v>
      </c>
      <c r="BF15" s="11">
        <f ca="1">ROUND(IFERROR(INDIRECT(ADDRESS(MATCH($A15,$AE:$AE,0),10)),INDIRECT(ADDRESS(MATCH($A15,$A:$A,0),10))),0)</f>
        <v>1</v>
      </c>
      <c r="BG15" s="16">
        <f ca="1">IF($BE15&lt;=0,ROUND(BK15*0.5,0), ROUND($BE15*S15*AA15*J15*AY15*0.8*[1]ステータス!$B$2,0))</f>
        <v>108817</v>
      </c>
      <c r="BH15" s="16">
        <f ca="1">IF($BE15&lt;=0,ROUND(BL15*0.5,0), ROUND($BE15*T15*AB15*K15*AZ15*0.8*[1]ステータス!$C$2,0))</f>
        <v>94255</v>
      </c>
      <c r="BI15" s="16">
        <f ca="1">IF($BE15&lt;=0,ROUND(BM15*0.5,0), ROUND($BE15*U15*AC15*L15*BA15*0.8*[1]ステータス!$D$2,0))</f>
        <v>231525</v>
      </c>
      <c r="BJ15" s="16">
        <f ca="1">IF($BE15&lt;=0,ROUND(BN15*0.5,0), ROUND($BE15*V15*AD15*M15*BB15*0.8*[1]ステータス!$E$2,0))</f>
        <v>42766</v>
      </c>
      <c r="BK15" s="11">
        <f ca="1">ROUND(BD15*S15*AA15*J15*AY15*[1]ステータス!$B$2,0)</f>
        <v>217634</v>
      </c>
      <c r="BL15" s="11">
        <f ca="1">ROUND(BD15*T15*AB15*K15*AZ15*[1]ステータス!$C$2,0)</f>
        <v>188509</v>
      </c>
      <c r="BM15" s="11">
        <f ca="1">ROUND(BD15*U15*AC15*L15*BA15*[1]ステータス!$D$2,0)</f>
        <v>463050</v>
      </c>
      <c r="BN15" s="11">
        <f ca="1">ROUND(BD15*V15*AD15*M15*BB15*[1]ステータス!$E$2,0)</f>
        <v>85531</v>
      </c>
      <c r="BO15" s="10">
        <v>49</v>
      </c>
      <c r="BP15" s="10">
        <v>50</v>
      </c>
      <c r="BQ15" s="39" t="s">
        <v>53</v>
      </c>
    </row>
    <row r="16" spans="1:69" ht="21" customHeight="1">
      <c r="A16" s="12">
        <v>656</v>
      </c>
      <c r="B16" s="59" t="str">
        <f ca="1">VLOOKUP($A16,OFFSET([1]characters!$A$1,0,0,COUNTA([1]characters!$A:$A),MATCH(B$1,[1]characters!$1:$1,0)-MATCH($A$1,[1]characters!$1:$1,0)+1),MATCH(B$1,[1]characters!$1:$1,0)-MATCH($A$1,[1]characters!$1:$1,0)+1,FALSE)</f>
        <v>シヴァ</v>
      </c>
      <c r="C16" s="59" t="str">
        <f ca="1">VLOOKUP($A16,OFFSET([1]characters!$A$1,0,0,COUNTA([1]characters!$A:$A),MATCH(C$1,[1]characters!$1:$1,0)-MATCH($A$1,[1]characters!$1:$1,0)+1),MATCH(C$1,[1]characters!$1:$1,0)-MATCH($A$1,[1]characters!$1:$1,0)+1,FALSE)</f>
        <v>各属性相性良3・黄・R275</v>
      </c>
      <c r="D16" s="59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9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9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9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9" t="str">
        <f ca="1">VLOOKUP($A16,OFFSET([1]characters!$A$1,0,0,COUNTA([1]characters!$A:$A),MATCH(H$1,[1]characters!$1:$1,0)-MATCH($A$1,[1]characters!$1:$1,0)+1),MATCH(H$1,[1]characters!$1:$1,0)-MATCH($A$1,[1]characters!$1:$1,0)+1,FALSE)</f>
        <v>PremiumS</v>
      </c>
      <c r="I16" s="59" t="str">
        <f ca="1">VLOOKUP($A16,OFFSET([1]characters!$A$1,0,0,COUNTA([1]characters!$A:$A),MATCH(I$1,[1]characters!$1:$1,0)-MATCH($A$1,[1]characters!$1:$1,0)+1),MATCH(I$1,[1]characters!$1:$1,0)-MATCH($A$1,[1]characters!$1:$1,0)+1,FALSE)</f>
        <v>blue</v>
      </c>
      <c r="J16" s="11">
        <f ca="1">VLOOKUP(I16,[1]属性!$A:$E,2,FALSE)</f>
        <v>1</v>
      </c>
      <c r="K16" s="11">
        <f ca="1">VLOOKUP(I16,[1]属性!$A:$E,3,FALSE)</f>
        <v>0.98</v>
      </c>
      <c r="L16" s="11">
        <f ca="1">VLOOKUP(I16,[1]属性!$A:$E,4,FALSE)</f>
        <v>1</v>
      </c>
      <c r="M16" s="11">
        <f ca="1">VLOOKUP(I16,[1]属性!$A:$E,5,FALSE)</f>
        <v>1.02</v>
      </c>
      <c r="N16" s="11">
        <f ca="1">INDEX(コスト!$A$1:$I$15,MATCH(H16,コスト!$A$1:$A$15,FALSE),MATCH(G16,コスト!$A$1:$I$1,FALSE))</f>
        <v>20</v>
      </c>
      <c r="O16" s="11">
        <f ca="1">INDEX(レベル!$A$1:$I$16,MATCH(H16,レベル!$A$1:$A$16,FALSE),MATCH(G16,レベル!$A$1:$I$1,FALSE))</f>
        <v>60</v>
      </c>
      <c r="P16" s="49">
        <f t="shared" ca="1" si="3"/>
        <v>60</v>
      </c>
      <c r="Q16" s="59" t="str">
        <f ca="1">VLOOKUP($A16,OFFSET([1]characters!$A$1,0,0,COUNTA([1]characters!$A:$A),MATCH(Q$1,[1]characters!$1:$1,0)-MATCH($A$1,[1]characters!$1:$1,0)+1),MATCH(Q$1,[1]characters!$1:$1,0)-MATCH($A$1,[1]characters!$1:$1,0)+1,FALSE)</f>
        <v>attack</v>
      </c>
      <c r="R16" s="5" t="str">
        <f ca="1">VLOOKUP(Q16,[1]character_type_i18n!$A:$H,3,FALSE)</f>
        <v>攻撃タイプ</v>
      </c>
      <c r="S16" s="11">
        <f ca="1">VLOOKUP(Q16,[1]character_type_i18n!$A:$H,4,FALSE)</f>
        <v>1</v>
      </c>
      <c r="T16" s="11">
        <f ca="1">VLOOKUP(Q16,[1]character_type_i18n!$A:$H,5,FALSE)</f>
        <v>1.33</v>
      </c>
      <c r="U16" s="11">
        <f ca="1">VLOOKUP(Q16,[1]character_type_i18n!$A:$H,6,FALSE)</f>
        <v>1</v>
      </c>
      <c r="V16" s="11">
        <f ca="1">VLOOKUP(Q16,[1]character_type_i18n!$A:$H,7,FALSE)</f>
        <v>0.67</v>
      </c>
      <c r="W16" s="59" t="str">
        <f ca="1">VLOOKUP($A16,OFFSET([1]characters!$A$1,0,0,COUNTA([1]characters!$A:$A),MATCH(W$1,[1]characters!$1:$1,0)-MATCH($A$1,[1]characters!$1:$1,0)+1),MATCH(W$1,[1]characters!$1:$1,0)-MATCH($A$1,[1]characters!$1:$1,0)+1,FALSE)</f>
        <v>human</v>
      </c>
      <c r="X16" s="5" t="str">
        <f ca="1">VLOOKUP(W16,[1]character_tribe_i18n!$A:$H,3,FALSE)</f>
        <v>ヒューマン</v>
      </c>
      <c r="Y16" s="59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0.94</v>
      </c>
      <c r="AB16" s="11">
        <f ca="1">VLOOKUP(W16,[1]character_tribe_i18n!$A:$H,5,FALSE)</f>
        <v>0.99</v>
      </c>
      <c r="AC16" s="11">
        <f ca="1">VLOOKUP(W16,[1]character_tribe_i18n!$A:$H,6,FALSE)</f>
        <v>1</v>
      </c>
      <c r="AD16" s="11">
        <f ca="1">VLOOKUP(W16,[1]character_tribe_i18n!$A:$H,7,FALSE)</f>
        <v>1.07</v>
      </c>
      <c r="AE16" s="9" t="s">
        <v>190</v>
      </c>
      <c r="AF16" s="64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/>
      </c>
      <c r="AG16" s="5">
        <f ca="1">IF(ISNA(MATCH(A16,AE:AE,0)),A16,INDIRECT(ADDRESS(MATCH(A16,AE:AE,0),COLUMN())))</f>
        <v>656</v>
      </c>
      <c r="AH16" s="64" t="str">
        <f ca="1">VLOOKUP($AG16,OFFSET([1]characters!$A$1,0,0,COUNTA([1]characters!$A:$A),MATCH(AH$1,[1]characters!$1:$1,0)-MATCH($A$1,[1]characters!$1:$1,0)+1),MATCH(AH$1,[1]characters!$1:$1,0)-MATCH($A$1,[1]characters!$1:$1,0)+1,FALSE)</f>
        <v>シヴァ</v>
      </c>
      <c r="AI16" s="11" t="str">
        <f>IF(AE16="NULL","NULL",VLOOKUP(G16,ビット!$A$2:$B$7,2))</f>
        <v>NULL</v>
      </c>
      <c r="AJ16" s="6">
        <v>52</v>
      </c>
      <c r="AK16" s="7" t="str">
        <f t="shared" si="4"/>
        <v/>
      </c>
      <c r="AL16" s="11" t="str">
        <f ca="1">INDEX(経験値!$A$1:$I$15,MATCH(H16,経験値!$A$1:$A$15,FALSE),MATCH(G16,経験値!$A$1:$I$1,FALSE))</f>
        <v>required_exp_200</v>
      </c>
      <c r="AM16" s="8">
        <f ca="1">VLOOKUP(G16,経験値!$A$22:$B$26,2)</f>
        <v>3400</v>
      </c>
      <c r="AN16" s="17">
        <f ca="1">VLOOKUP(G16,ビット!$G$2:$H$7,2)</f>
        <v>600</v>
      </c>
      <c r="AO16" s="46"/>
      <c r="AP16" s="69">
        <v>50</v>
      </c>
      <c r="AQ16" s="59" t="e">
        <f ca="1">VLOOKUP($AP16,OFFSET(unit_skills!$A$1,0,0,COUNTA(unit_skills!$A:$A),MATCH(AQ$1,unit_skills!$1:$1,0)-MATCH($AP$1,unit_skills!$1:$1,0)+1),MATCH(AQ$1,unit_skills!$1:$1,0)-MATCH($AP$1,unit_skills!$1:$1,0)+1,FALSE)</f>
        <v>#N/A</v>
      </c>
      <c r="AR16" s="59" t="e">
        <f ca="1">VLOOKUP($AP16,OFFSET(unit_skills!$A$1,0,0,COUNTA(unit_skills!$A:$A),MATCH(AR$1,unit_skills!$1:$1,0)-MATCH($AP$1,unit_skills!$1:$1,0)+1),MATCH(AR$1,unit_skills!$1:$1,0)-MATCH($AP$1,unit_skills!$1:$1,0)+1,FALSE)</f>
        <v>#N/A</v>
      </c>
      <c r="AS16" s="59" t="e">
        <f ca="1">VLOOKUP($AP16,OFFSET(unit_skills!$A$1,0,0,COUNTA(unit_skills!$A:$A),MATCH(AS$1,unit_skills!$1:$1,0)-MATCH($AP$1,unit_skills!$1:$1,0)+1),MATCH(AS$1,unit_skills!$1:$1,0)-MATCH($AP$1,unit_skills!$1:$1,0)+1,FALSE)</f>
        <v>#N/A</v>
      </c>
      <c r="AT16" s="42">
        <v>50</v>
      </c>
      <c r="AU16" s="59" t="e">
        <f ca="1">VLOOKUP($AT16,OFFSET(crash_skills!$A$1,0,0,COUNTA(crash_skills!$A:$A),MATCH(AU$1,crash_skills!$1:$1,0)-MATCH($AT$1,crash_skills!$1:$1,0)+1),MATCH(AU$1,crash_skills!$1:$1,0)-MATCH($AT$1,crash_skills!$1:$1,0)+1,FALSE)</f>
        <v>#N/A</v>
      </c>
      <c r="AV16" s="59" t="e">
        <f ca="1">VLOOKUP($AT16,OFFSET(crash_skills!$A$1,0,0,COUNTA(crash_skills!$A:$A),MATCH(AV$1,crash_skills!$1:$1,0)-MATCH($AT$1,crash_skills!$1:$1,0)+1),MATCH(AV$1,crash_skills!$1:$1,0)-MATCH($AT$1,crash_skills!$1:$1,0)+1,FALSE)</f>
        <v>#N/A</v>
      </c>
      <c r="AW16" s="59" t="e">
        <f ca="1">VLOOKUP($AT16,OFFSET(crash_skills!$A$1,0,0,COUNTA(crash_skills!$A:$A),MATCH(AW$1,crash_skills!$1:$1,0)-MATCH($AT$1,crash_skills!$1:$1,0)+1),MATCH(AW$1,crash_skills!$1:$1,0)-MATCH($AT$1,crash_skills!$1:$1,0)+1,FALSE)</f>
        <v>#N/A</v>
      </c>
      <c r="AX16" s="60">
        <f ca="1">VLOOKUP($A16,OFFSET([1]characters!$A$1,0,0,COUNTA([1]characters!$A:$A),MATCH(AX$1,[1]characters!$1:$1,0)-MATCH($A$1,[1]characters!$1:$1,0)+1),MATCH(AX$1,[1]characters!$1:$1,0)-MATCH($A$1,[1]characters!$1:$1,0)+1,FALSE)</f>
        <v>1</v>
      </c>
      <c r="AY16" s="70">
        <v>51</v>
      </c>
      <c r="AZ16" s="70">
        <v>51</v>
      </c>
      <c r="BA16" s="70">
        <v>50</v>
      </c>
      <c r="BB16" s="70">
        <v>51</v>
      </c>
      <c r="BC16" s="11">
        <f ca="1">INDEX('RC6SV'!$A$1:$G$15,MATCH(H16,'RC6SV'!$A$1:$A$15,FALSE),MATCH(G16,'RC6SV'!$A$1:$G$1,FALSE))</f>
        <v>7000</v>
      </c>
      <c r="BD16" s="49">
        <f t="shared" ca="1" si="5"/>
        <v>7350</v>
      </c>
      <c r="BE16" s="11">
        <f ca="1">ROUND(IFERROR(INDIRECT(ADDRESS(MATCH($A16,$AE:$AE,0),MATCH($BC$1,$1:$1,0))),0),0)</f>
        <v>0</v>
      </c>
      <c r="BF16" s="11">
        <f ca="1">ROUND(IFERROR(INDIRECT(ADDRESS(MATCH($A16,$AE:$AE,0),10)),INDIRECT(ADDRESS(MATCH($A16,$A:$A,0),10))),0)</f>
        <v>1</v>
      </c>
      <c r="BG16" s="16">
        <f ca="1">IF($BE16&lt;=0,ROUND(BK16*0.5,0), ROUND($BE16*S16*AA16*J16*AY16*0.8*[1]ステータス!$B$2,0))</f>
        <v>88090</v>
      </c>
      <c r="BH16" s="16">
        <f ca="1">IF($BE16&lt;=0,ROUND(BL16*0.5,0), ROUND($BE16*T16*AB16*K16*AZ16*0.8*[1]ステータス!$C$2,0))</f>
        <v>72554</v>
      </c>
      <c r="BI16" s="16">
        <f ca="1">IF($BE16&lt;=0,ROUND(BM16*0.5,0), ROUND($BE16*U16*AC16*L16*BA16*0.8*[1]ステータス!$D$2,0))</f>
        <v>183750</v>
      </c>
      <c r="BJ16" s="16">
        <f ca="1">IF($BE16&lt;=0,ROUND(BN16*0.5,0), ROUND($BE16*V16*AD16*M16*BB16*0.8*[1]ステータス!$E$2,0))</f>
        <v>34263</v>
      </c>
      <c r="BK16" s="11">
        <f ca="1">ROUND(BD16*S16*AA16*J16*AY16*[1]ステータス!$B$2,0)</f>
        <v>176180</v>
      </c>
      <c r="BL16" s="11">
        <f ca="1">ROUND(BD16*T16*AB16*K16*AZ16*[1]ステータス!$C$2,0)</f>
        <v>145108</v>
      </c>
      <c r="BM16" s="11">
        <f ca="1">ROUND(BD16*U16*AC16*L16*BA16*[1]ステータス!$D$2,0)</f>
        <v>367500</v>
      </c>
      <c r="BN16" s="11">
        <f ca="1">ROUND(BD16*V16*AD16*M16*BB16*[1]ステータス!$E$2,0)</f>
        <v>68526</v>
      </c>
      <c r="BO16" s="10">
        <v>50</v>
      </c>
      <c r="BP16" s="10">
        <v>51</v>
      </c>
      <c r="BQ16" s="39" t="s">
        <v>53</v>
      </c>
    </row>
    <row r="17" spans="1:69" ht="21" customHeight="1">
      <c r="A17" s="12">
        <v>657</v>
      </c>
      <c r="B17" s="59" t="str">
        <f ca="1">VLOOKUP($A17,OFFSET([1]characters!$A$1,0,0,COUNTA([1]characters!$A:$A),MATCH(B$1,[1]characters!$1:$1,0)-MATCH($A$1,[1]characters!$1:$1,0)+1),MATCH(B$1,[1]characters!$1:$1,0)-MATCH($A$1,[1]characters!$1:$1,0)+1,FALSE)</f>
        <v>シヴァ</v>
      </c>
      <c r="C17" s="59" t="str">
        <f ca="1">VLOOKUP($A17,OFFSET([1]characters!$A$1,0,0,COUNTA([1]characters!$A:$A),MATCH(C$1,[1]characters!$1:$1,0)-MATCH($A$1,[1]characters!$1:$1,0)+1),MATCH(C$1,[1]characters!$1:$1,0)-MATCH($A$1,[1]characters!$1:$1,0)+1,FALSE)</f>
        <v>各属性相性良3・黄・R276</v>
      </c>
      <c r="D17" s="59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9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9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9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9" t="str">
        <f ca="1">VLOOKUP($A17,OFFSET([1]characters!$A$1,0,0,COUNTA([1]characters!$A:$A),MATCH(H$1,[1]characters!$1:$1,0)-MATCH($A$1,[1]characters!$1:$1,0)+1),MATCH(H$1,[1]characters!$1:$1,0)-MATCH($A$1,[1]characters!$1:$1,0)+1,FALSE)</f>
        <v>PremiumS</v>
      </c>
      <c r="I17" s="59" t="str">
        <f ca="1">VLOOKUP($A17,OFFSET([1]characters!$A$1,0,0,COUNTA([1]characters!$A:$A),MATCH(I$1,[1]characters!$1:$1,0)-MATCH($A$1,[1]characters!$1:$1,0)+1),MATCH(I$1,[1]characters!$1:$1,0)-MATCH($A$1,[1]characters!$1:$1,0)+1,FALSE)</f>
        <v>blue</v>
      </c>
      <c r="J17" s="11">
        <f ca="1">VLOOKUP(I17,[1]属性!$A:$E,2,FALSE)</f>
        <v>1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1.02</v>
      </c>
      <c r="N17" s="11">
        <f ca="1">INDEX(コスト!$A$1:$I$15,MATCH(H17,コスト!$A$1:$A$15,FALSE),MATCH(G17,コスト!$A$1:$I$1,FALSE))</f>
        <v>30</v>
      </c>
      <c r="O17" s="11">
        <f ca="1">INDEX(レベル!$A$1:$I$16,MATCH(H17,レベル!$A$1:$A$16,FALSE),MATCH(G17,レベル!$A$1:$I$1,FALSE))</f>
        <v>80</v>
      </c>
      <c r="P17" s="49">
        <f t="shared" ca="1" si="3"/>
        <v>75</v>
      </c>
      <c r="Q17" s="59" t="str">
        <f ca="1">VLOOKUP($A17,OFFSET([1]characters!$A$1,0,0,COUNTA([1]characters!$A:$A),MATCH(Q$1,[1]characters!$1:$1,0)-MATCH($A$1,[1]characters!$1:$1,0)+1),MATCH(Q$1,[1]characters!$1:$1,0)-MATCH($A$1,[1]characters!$1:$1,0)+1,FALSE)</f>
        <v>attack</v>
      </c>
      <c r="R17" s="5" t="str">
        <f ca="1">VLOOKUP(Q17,[1]character_type_i18n!$A:$H,3,FALSE)</f>
        <v>攻撃タイプ</v>
      </c>
      <c r="S17" s="11">
        <f ca="1">VLOOKUP(Q17,[1]character_type_i18n!$A:$H,4,FALSE)</f>
        <v>1</v>
      </c>
      <c r="T17" s="11">
        <f ca="1">VLOOKUP(Q17,[1]character_type_i18n!$A:$H,5,FALSE)</f>
        <v>1.33</v>
      </c>
      <c r="U17" s="11">
        <f ca="1">VLOOKUP(Q17,[1]character_type_i18n!$A:$H,6,FALSE)</f>
        <v>1</v>
      </c>
      <c r="V17" s="11">
        <f ca="1">VLOOKUP(Q17,[1]character_type_i18n!$A:$H,7,FALSE)</f>
        <v>0.67</v>
      </c>
      <c r="W17" s="59" t="str">
        <f ca="1">VLOOKUP($A17,OFFSET([1]characters!$A$1,0,0,COUNTA([1]characters!$A:$A),MATCH(W$1,[1]characters!$1:$1,0)-MATCH($A$1,[1]characters!$1:$1,0)+1),MATCH(W$1,[1]characters!$1:$1,0)-MATCH($A$1,[1]characters!$1:$1,0)+1,FALSE)</f>
        <v>human</v>
      </c>
      <c r="X17" s="5" t="str">
        <f ca="1">VLOOKUP(W17,[1]character_tribe_i18n!$A:$H,3,FALSE)</f>
        <v>ヒューマン</v>
      </c>
      <c r="Y17" s="59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0.94</v>
      </c>
      <c r="AB17" s="11">
        <f ca="1">VLOOKUP(W17,[1]character_tribe_i18n!$A:$H,5,FALSE)</f>
        <v>0.99</v>
      </c>
      <c r="AC17" s="11">
        <f ca="1">VLOOKUP(W17,[1]character_tribe_i18n!$A:$H,6,FALSE)</f>
        <v>1</v>
      </c>
      <c r="AD17" s="11">
        <f ca="1">VLOOKUP(W17,[1]character_tribe_i18n!$A:$H,7,FALSE)</f>
        <v>1.07</v>
      </c>
      <c r="AE17" s="9" t="s">
        <v>190</v>
      </c>
      <c r="AF17" s="64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ca="1">IF(ISNA(MATCH(A17,AE:AE,0)),A17,INDIRECT(ADDRESS(MATCH(A17,AE:AE,0),COLUMN())))</f>
        <v>657</v>
      </c>
      <c r="AH17" s="64" t="str">
        <f ca="1">VLOOKUP($AG17,OFFSET([1]characters!$A$1,0,0,COUNTA([1]characters!$A:$A),MATCH(AH$1,[1]characters!$1:$1,0)-MATCH($A$1,[1]characters!$1:$1,0)+1),MATCH(AH$1,[1]characters!$1:$1,0)-MATCH($A$1,[1]characters!$1:$1,0)+1,FALSE)</f>
        <v>シヴァ</v>
      </c>
      <c r="AI17" s="11" t="str">
        <f>IF(AE17="NULL","NULL",VLOOKUP(G17,ビット!$A$2:$B$7,2))</f>
        <v>NULL</v>
      </c>
      <c r="AJ17" s="6">
        <v>53</v>
      </c>
      <c r="AK17" s="7" t="str">
        <f t="shared" si="4"/>
        <v/>
      </c>
      <c r="AL17" s="11" t="str">
        <f ca="1">INDEX(経験値!$A$1:$I$15,MATCH(H17,経験値!$A$1:$A$15,FALSE),MATCH(G17,経験値!$A$1:$I$1,FALSE))</f>
        <v>required_exp_200</v>
      </c>
      <c r="AM17" s="8">
        <f ca="1">VLOOKUP(G17,経験値!$A$22:$B$26,2)</f>
        <v>6400</v>
      </c>
      <c r="AN17" s="17">
        <f ca="1">VLOOKUP(G17,ビット!$G$2:$H$7,2)</f>
        <v>900</v>
      </c>
      <c r="AO17" s="46"/>
      <c r="AP17" s="69">
        <v>51</v>
      </c>
      <c r="AQ17" s="59" t="e">
        <f ca="1">VLOOKUP($AP17,OFFSET(unit_skills!$A$1,0,0,COUNTA(unit_skills!$A:$A),MATCH(AQ$1,unit_skills!$1:$1,0)-MATCH($AP$1,unit_skills!$1:$1,0)+1),MATCH(AQ$1,unit_skills!$1:$1,0)-MATCH($AP$1,unit_skills!$1:$1,0)+1,FALSE)</f>
        <v>#N/A</v>
      </c>
      <c r="AR17" s="59" t="e">
        <f ca="1">VLOOKUP($AP17,OFFSET(unit_skills!$A$1,0,0,COUNTA(unit_skills!$A:$A),MATCH(AR$1,unit_skills!$1:$1,0)-MATCH($AP$1,unit_skills!$1:$1,0)+1),MATCH(AR$1,unit_skills!$1:$1,0)-MATCH($AP$1,unit_skills!$1:$1,0)+1,FALSE)</f>
        <v>#N/A</v>
      </c>
      <c r="AS17" s="59" t="e">
        <f ca="1">VLOOKUP($AP17,OFFSET(unit_skills!$A$1,0,0,COUNTA(unit_skills!$A:$A),MATCH(AS$1,unit_skills!$1:$1,0)-MATCH($AP$1,unit_skills!$1:$1,0)+1),MATCH(AS$1,unit_skills!$1:$1,0)-MATCH($AP$1,unit_skills!$1:$1,0)+1,FALSE)</f>
        <v>#N/A</v>
      </c>
      <c r="AT17" s="42">
        <v>51</v>
      </c>
      <c r="AU17" s="59" t="e">
        <f ca="1">VLOOKUP($AT17,OFFSET(crash_skills!$A$1,0,0,COUNTA(crash_skills!$A:$A),MATCH(AU$1,crash_skills!$1:$1,0)-MATCH($AT$1,crash_skills!$1:$1,0)+1),MATCH(AU$1,crash_skills!$1:$1,0)-MATCH($AT$1,crash_skills!$1:$1,0)+1,FALSE)</f>
        <v>#N/A</v>
      </c>
      <c r="AV17" s="59" t="e">
        <f ca="1">VLOOKUP($AT17,OFFSET(crash_skills!$A$1,0,0,COUNTA(crash_skills!$A:$A),MATCH(AV$1,crash_skills!$1:$1,0)-MATCH($AT$1,crash_skills!$1:$1,0)+1),MATCH(AV$1,crash_skills!$1:$1,0)-MATCH($AT$1,crash_skills!$1:$1,0)+1,FALSE)</f>
        <v>#N/A</v>
      </c>
      <c r="AW17" s="59" t="e">
        <f ca="1">VLOOKUP($AT17,OFFSET(crash_skills!$A$1,0,0,COUNTA(crash_skills!$A:$A),MATCH(AW$1,crash_skills!$1:$1,0)-MATCH($AT$1,crash_skills!$1:$1,0)+1),MATCH(AW$1,crash_skills!$1:$1,0)-MATCH($AT$1,crash_skills!$1:$1,0)+1,FALSE)</f>
        <v>#N/A</v>
      </c>
      <c r="AX17" s="60">
        <f ca="1">VLOOKUP($A17,OFFSET([1]characters!$A$1,0,0,COUNTA([1]characters!$A:$A),MATCH(AX$1,[1]characters!$1:$1,0)-MATCH($A$1,[1]characters!$1:$1,0)+1),MATCH(AX$1,[1]characters!$1:$1,0)-MATCH($A$1,[1]characters!$1:$1,0)+1,FALSE)</f>
        <v>1</v>
      </c>
      <c r="AY17" s="70">
        <v>52</v>
      </c>
      <c r="AZ17" s="70">
        <v>52</v>
      </c>
      <c r="BA17" s="70">
        <v>51</v>
      </c>
      <c r="BB17" s="70">
        <v>52</v>
      </c>
      <c r="BC17" s="11">
        <f ca="1">INDEX('RC6SV'!$A$1:$G$15,MATCH(H17,'RC6SV'!$A$1:$A$15,FALSE),MATCH(G17,'RC6SV'!$A$1:$G$1,FALSE))</f>
        <v>9000</v>
      </c>
      <c r="BD17" s="49">
        <f t="shared" ca="1" si="5"/>
        <v>9450</v>
      </c>
      <c r="BE17" s="11">
        <f ca="1">ROUND(IFERROR(INDIRECT(ADDRESS(MATCH($A17,$AE:$AE,0),MATCH($BC$1,$1:$1,0))),0),0)</f>
        <v>0</v>
      </c>
      <c r="BF17" s="11">
        <f ca="1">ROUND(IFERROR(INDIRECT(ADDRESS(MATCH($A17,$AE:$AE,0),10)),INDIRECT(ADDRESS(MATCH($A17,$A:$A,0),10))),0)</f>
        <v>1</v>
      </c>
      <c r="BG17" s="16">
        <f ca="1">IF($BE17&lt;=0,ROUND(BK17*0.5,0), ROUND($BE17*S17*AA17*J17*AY17*0.8*[1]ステータス!$B$2,0))</f>
        <v>115479</v>
      </c>
      <c r="BH17" s="16">
        <f ca="1">IF($BE17&lt;=0,ROUND(BL17*0.5,0), ROUND($BE17*T17*AB17*K17*AZ17*0.8*[1]ステータス!$C$2,0))</f>
        <v>95113</v>
      </c>
      <c r="BI17" s="16">
        <f ca="1">IF($BE17&lt;=0,ROUND(BM17*0.5,0), ROUND($BE17*U17*AC17*L17*BA17*0.8*[1]ステータス!$D$2,0))</f>
        <v>240975</v>
      </c>
      <c r="BJ17" s="16">
        <f ca="1">IF($BE17&lt;=0,ROUND(BN17*0.5,0), ROUND($BE17*V17*AD17*M17*BB17*0.8*[1]ステータス!$E$2,0))</f>
        <v>44917</v>
      </c>
      <c r="BK17" s="11">
        <f ca="1">ROUND(BD17*S17*AA17*J17*AY17*[1]ステータス!$B$2,0)</f>
        <v>230958</v>
      </c>
      <c r="BL17" s="11">
        <f ca="1">ROUND(BD17*T17*AB17*K17*AZ17*[1]ステータス!$C$2,0)</f>
        <v>190226</v>
      </c>
      <c r="BM17" s="11">
        <f ca="1">ROUND(BD17*U17*AC17*L17*BA17*[1]ステータス!$D$2,0)</f>
        <v>481950</v>
      </c>
      <c r="BN17" s="11">
        <f ca="1">ROUND(BD17*V17*AD17*M17*BB17*[1]ステータス!$E$2,0)</f>
        <v>89833</v>
      </c>
      <c r="BO17" s="10">
        <v>51</v>
      </c>
      <c r="BP17" s="10">
        <v>52</v>
      </c>
      <c r="BQ17" s="39" t="s">
        <v>53</v>
      </c>
    </row>
  </sheetData>
  <autoFilter ref="A1:BQ1"/>
  <phoneticPr fontId="10"/>
  <conditionalFormatting sqref="BO1">
    <cfRule type="cellIs" dxfId="22" priority="120" stopIfTrue="1" operator="equal">
      <formula>1</formula>
    </cfRule>
  </conditionalFormatting>
  <conditionalFormatting sqref="BQ1">
    <cfRule type="cellIs" dxfId="21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C24" sqref="C24"/>
    </sheetView>
  </sheetViews>
  <sheetFormatPr baseColWidth="12" defaultColWidth="13" defaultRowHeight="21" customHeight="1" outlineLevelCol="1" x14ac:dyDescent="0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>
      <c r="A1" s="126" t="s">
        <v>20</v>
      </c>
      <c r="B1" s="127" t="s">
        <v>140</v>
      </c>
      <c r="C1" s="128" t="s">
        <v>46</v>
      </c>
      <c r="D1" s="129" t="s">
        <v>169</v>
      </c>
      <c r="E1" s="129" t="s">
        <v>170</v>
      </c>
      <c r="F1" s="126" t="s">
        <v>152</v>
      </c>
      <c r="G1" s="130" t="s">
        <v>2</v>
      </c>
      <c r="H1" s="130" t="s">
        <v>171</v>
      </c>
      <c r="I1" s="130" t="s">
        <v>172</v>
      </c>
      <c r="J1" s="131" t="s">
        <v>192</v>
      </c>
      <c r="K1" s="130" t="s">
        <v>4</v>
      </c>
      <c r="L1" s="132" t="s">
        <v>173</v>
      </c>
      <c r="M1" s="133" t="s">
        <v>174</v>
      </c>
      <c r="N1" s="133" t="s">
        <v>175</v>
      </c>
      <c r="O1" s="133" t="s">
        <v>176</v>
      </c>
      <c r="P1" s="133" t="s">
        <v>177</v>
      </c>
      <c r="Q1" s="134" t="s">
        <v>178</v>
      </c>
      <c r="R1" s="135" t="s">
        <v>179</v>
      </c>
      <c r="S1" s="136" t="s">
        <v>180</v>
      </c>
    </row>
    <row r="2" spans="1:19" ht="21" customHeight="1">
      <c r="A2" s="12">
        <v>0</v>
      </c>
      <c r="B2" s="141" t="s">
        <v>193</v>
      </c>
      <c r="C2" s="142" t="e">
        <f ca="1">J2&amp;"の技"</f>
        <v>#N/A</v>
      </c>
      <c r="D2" s="142" t="s">
        <v>194</v>
      </c>
      <c r="E2" s="143">
        <f t="shared" ref="E2" si="0">LEN(D2)</f>
        <v>34</v>
      </c>
      <c r="F2" s="125">
        <v>18</v>
      </c>
      <c r="G2" s="125">
        <v>5</v>
      </c>
      <c r="H2" s="144">
        <f>2001</f>
        <v>2001</v>
      </c>
      <c r="I2" s="144" t="s">
        <v>195</v>
      </c>
      <c r="J2" s="59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K2" s="145">
        <v>1</v>
      </c>
      <c r="L2" s="146"/>
      <c r="M2" s="147"/>
      <c r="N2" s="147"/>
      <c r="O2" s="147"/>
      <c r="P2" s="147"/>
      <c r="Q2" s="147"/>
      <c r="R2" s="142"/>
      <c r="S2" s="14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20" priority="7" operator="greaterThan">
      <formula>41</formula>
    </cfRule>
  </conditionalFormatting>
  <conditionalFormatting sqref="E2">
    <cfRule type="cellIs" dxfId="19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7" sqref="C17"/>
    </sheetView>
  </sheetViews>
  <sheetFormatPr baseColWidth="12" defaultColWidth="13" defaultRowHeight="21" customHeight="1" x14ac:dyDescent="0"/>
  <cols>
    <col min="1" max="2" width="12.1640625" style="138" customWidth="1"/>
    <col min="3" max="3" width="48.83203125" style="139" customWidth="1"/>
    <col min="4" max="4" width="23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>
      <c r="A1" s="126" t="s">
        <v>188</v>
      </c>
      <c r="B1" s="127" t="s">
        <v>187</v>
      </c>
      <c r="C1" s="128" t="s">
        <v>186</v>
      </c>
      <c r="D1" s="129" t="s">
        <v>185</v>
      </c>
      <c r="E1" s="129" t="s">
        <v>184</v>
      </c>
      <c r="F1" s="130" t="s">
        <v>183</v>
      </c>
      <c r="G1" s="131" t="s">
        <v>192</v>
      </c>
      <c r="H1" s="130" t="s">
        <v>182</v>
      </c>
      <c r="I1" s="131" t="s">
        <v>181</v>
      </c>
      <c r="J1" s="135" t="s">
        <v>180</v>
      </c>
    </row>
    <row r="2" spans="1:19" ht="21" customHeight="1">
      <c r="A2" s="12">
        <v>0</v>
      </c>
      <c r="B2" s="141" t="s">
        <v>196</v>
      </c>
      <c r="C2" s="142" t="e">
        <f ca="1">G2&amp;"の技"</f>
        <v>#N/A</v>
      </c>
      <c r="D2" s="142"/>
      <c r="E2" s="143">
        <f t="shared" ref="E2" si="0">LEN(D2)</f>
        <v>0</v>
      </c>
      <c r="F2" s="125"/>
      <c r="G2" s="59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H2" s="144">
        <v>1</v>
      </c>
      <c r="I2" s="144"/>
      <c r="J2" s="149"/>
      <c r="K2" s="145">
        <v>1</v>
      </c>
      <c r="L2" s="146"/>
      <c r="M2" s="147"/>
      <c r="N2" s="147"/>
      <c r="O2" s="147"/>
      <c r="P2" s="147"/>
      <c r="Q2" s="147"/>
      <c r="R2" s="142"/>
      <c r="S2" s="148"/>
    </row>
  </sheetData>
  <sheetProtection selectLockedCells="1" selectUnlockedCells="1"/>
  <autoFilter ref="A1:J1"/>
  <phoneticPr fontId="22"/>
  <conditionalFormatting sqref="E2">
    <cfRule type="cellIs" dxfId="18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workbookViewId="0">
      <selection activeCell="L28" sqref="L28"/>
    </sheetView>
  </sheetViews>
  <sheetFormatPr baseColWidth="12" defaultRowHeight="18" outlineLevelCol="1" x14ac:dyDescent="0"/>
  <cols>
    <col min="2" max="2" width="12.83203125" style="151"/>
    <col min="4" max="4" width="12.83203125" style="151" customWidth="1" outlineLevel="1"/>
    <col min="5" max="5" width="12.83203125" style="151"/>
  </cols>
  <sheetData>
    <row r="1" spans="1:8">
      <c r="A1" s="122" t="s">
        <v>197</v>
      </c>
      <c r="B1" s="150" t="s">
        <v>198</v>
      </c>
      <c r="C1" s="122" t="s">
        <v>199</v>
      </c>
      <c r="D1" s="150" t="s">
        <v>201</v>
      </c>
      <c r="E1" s="150" t="s">
        <v>202</v>
      </c>
      <c r="F1" s="119" t="s">
        <v>203</v>
      </c>
      <c r="G1" s="122" t="s">
        <v>200</v>
      </c>
      <c r="H1" s="119" t="s">
        <v>204</v>
      </c>
    </row>
    <row r="2" spans="1:8">
      <c r="A2" s="115">
        <v>1</v>
      </c>
      <c r="B2" s="150" t="str">
        <f>VLOOKUP(A2,[1]characters!$A:$C,3,FALSE)</f>
        <v>ジェリー</v>
      </c>
      <c r="C2" s="115" t="s">
        <v>205</v>
      </c>
      <c r="D2" s="150" t="str">
        <f>A2&amp;C2</f>
        <v>1skill</v>
      </c>
      <c r="E2" s="150">
        <f>COUNTIF(D$2:D2,D2)</f>
        <v>1</v>
      </c>
      <c r="F2" s="115" t="s">
        <v>207</v>
      </c>
      <c r="G2" s="115" t="s">
        <v>206</v>
      </c>
      <c r="H2" s="115" t="s">
        <v>208</v>
      </c>
    </row>
    <row r="3" spans="1:8">
      <c r="A3" s="115">
        <v>1</v>
      </c>
      <c r="B3" s="150" t="str">
        <f>VLOOKUP(A3,[1]characters!$A:$C,3,FALSE)</f>
        <v>ジェリー</v>
      </c>
      <c r="C3" s="115" t="s">
        <v>209</v>
      </c>
      <c r="D3" s="150" t="str">
        <f>A3&amp;C3</f>
        <v>1cskill</v>
      </c>
      <c r="E3" s="150">
        <f>COUNTIF(D$2:D3,D3)</f>
        <v>1</v>
      </c>
      <c r="F3" s="115" t="s">
        <v>207</v>
      </c>
      <c r="G3" s="115" t="s">
        <v>206</v>
      </c>
      <c r="H3" s="115" t="s">
        <v>210</v>
      </c>
    </row>
    <row r="4" spans="1:8">
      <c r="A4" s="115"/>
      <c r="B4" s="150"/>
      <c r="C4" s="115"/>
      <c r="D4" s="150"/>
      <c r="E4" s="150"/>
      <c r="F4" s="115"/>
      <c r="G4" s="115"/>
      <c r="H4" s="115"/>
    </row>
    <row r="5" spans="1:8">
      <c r="A5" s="115"/>
      <c r="B5" s="150"/>
      <c r="C5" s="115"/>
      <c r="D5" s="150"/>
      <c r="E5" s="150"/>
      <c r="F5" s="115"/>
      <c r="G5" s="115"/>
      <c r="H5" s="115"/>
    </row>
    <row r="6" spans="1:8">
      <c r="A6" s="115"/>
      <c r="B6" s="150"/>
      <c r="C6" s="115"/>
      <c r="D6" s="150"/>
      <c r="E6" s="150"/>
      <c r="F6" s="115"/>
      <c r="G6" s="115"/>
      <c r="H6" s="115"/>
    </row>
    <row r="7" spans="1:8">
      <c r="A7" s="115"/>
      <c r="B7" s="150"/>
      <c r="C7" s="115"/>
      <c r="D7" s="150"/>
      <c r="E7" s="150"/>
      <c r="F7" s="115"/>
      <c r="G7" s="115"/>
      <c r="H7" s="115"/>
    </row>
    <row r="8" spans="1:8">
      <c r="A8" s="115"/>
      <c r="B8" s="150"/>
      <c r="C8" s="115"/>
      <c r="D8" s="150"/>
      <c r="E8" s="150"/>
      <c r="F8" s="115"/>
      <c r="G8" s="115"/>
      <c r="H8" s="115"/>
    </row>
    <row r="9" spans="1:8">
      <c r="A9" s="115"/>
      <c r="B9" s="150"/>
      <c r="C9" s="115"/>
      <c r="D9" s="150"/>
      <c r="E9" s="150"/>
      <c r="F9" s="115"/>
      <c r="G9" s="115"/>
      <c r="H9" s="115"/>
    </row>
    <row r="10" spans="1:8">
      <c r="A10" s="115"/>
      <c r="B10" s="150"/>
      <c r="C10" s="115"/>
      <c r="D10" s="150"/>
      <c r="E10" s="150"/>
      <c r="F10" s="115"/>
      <c r="G10" s="115"/>
      <c r="H10" s="115"/>
    </row>
    <row r="11" spans="1:8">
      <c r="A11" s="115"/>
      <c r="B11" s="150"/>
      <c r="C11" s="115"/>
      <c r="D11" s="150"/>
      <c r="E11" s="150"/>
      <c r="F11" s="115"/>
      <c r="G11" s="115"/>
      <c r="H11" s="115"/>
    </row>
    <row r="12" spans="1:8">
      <c r="A12" s="115"/>
      <c r="B12" s="150"/>
      <c r="C12" s="115"/>
      <c r="D12" s="150"/>
      <c r="E12" s="150"/>
      <c r="F12" s="115"/>
      <c r="G12" s="115"/>
      <c r="H12" s="115"/>
    </row>
    <row r="13" spans="1:8">
      <c r="A13" s="115"/>
      <c r="B13" s="150"/>
      <c r="C13" s="115"/>
      <c r="D13" s="150"/>
      <c r="E13" s="150"/>
      <c r="F13" s="115"/>
      <c r="G13" s="115"/>
      <c r="H13" s="115"/>
    </row>
    <row r="14" spans="1:8">
      <c r="A14" s="115"/>
      <c r="B14" s="150"/>
      <c r="C14" s="115"/>
      <c r="D14" s="150"/>
      <c r="E14" s="150"/>
      <c r="F14" s="115"/>
      <c r="G14" s="115"/>
      <c r="H14" s="115"/>
    </row>
    <row r="15" spans="1:8">
      <c r="A15" s="115"/>
      <c r="B15" s="150"/>
      <c r="C15" s="115"/>
      <c r="D15" s="150"/>
      <c r="E15" s="150"/>
      <c r="F15" s="115"/>
      <c r="G15" s="115"/>
      <c r="H15" s="115"/>
    </row>
    <row r="16" spans="1:8">
      <c r="A16" s="115"/>
      <c r="B16" s="150"/>
      <c r="C16" s="115"/>
      <c r="D16" s="150"/>
      <c r="E16" s="150"/>
      <c r="F16" s="115"/>
      <c r="G16" s="115"/>
      <c r="H16" s="115"/>
    </row>
    <row r="17" spans="1:8">
      <c r="A17" s="115"/>
      <c r="B17" s="150"/>
      <c r="C17" s="115"/>
      <c r="D17" s="150"/>
      <c r="E17" s="150"/>
      <c r="F17" s="115"/>
      <c r="G17" s="115"/>
      <c r="H17" s="115"/>
    </row>
    <row r="18" spans="1:8">
      <c r="A18" s="115"/>
      <c r="B18" s="150"/>
      <c r="C18" s="115"/>
      <c r="D18" s="150"/>
      <c r="E18" s="150"/>
      <c r="F18" s="115"/>
      <c r="G18" s="115"/>
      <c r="H18" s="115"/>
    </row>
    <row r="19" spans="1:8">
      <c r="A19" s="115"/>
      <c r="B19" s="150"/>
      <c r="C19" s="115"/>
      <c r="D19" s="150"/>
      <c r="E19" s="150"/>
      <c r="F19" s="115"/>
      <c r="G19" s="115"/>
      <c r="H19" s="115"/>
    </row>
    <row r="20" spans="1:8">
      <c r="A20" s="115"/>
      <c r="B20" s="150"/>
      <c r="C20" s="115"/>
      <c r="D20" s="150"/>
      <c r="E20" s="150"/>
      <c r="F20" s="115"/>
      <c r="G20" s="115"/>
      <c r="H20" s="115"/>
    </row>
    <row r="21" spans="1:8">
      <c r="A21" s="115"/>
      <c r="B21" s="150"/>
      <c r="C21" s="115"/>
      <c r="D21" s="150"/>
      <c r="E21" s="150"/>
      <c r="F21" s="115"/>
      <c r="G21" s="115"/>
      <c r="H21" s="115"/>
    </row>
    <row r="22" spans="1:8">
      <c r="A22" s="115"/>
      <c r="B22" s="150"/>
      <c r="C22" s="115"/>
      <c r="D22" s="150"/>
      <c r="E22" s="150"/>
      <c r="F22" s="115"/>
      <c r="G22" s="115"/>
      <c r="H22" s="115"/>
    </row>
    <row r="23" spans="1:8">
      <c r="A23" s="115"/>
      <c r="B23" s="150"/>
      <c r="C23" s="115"/>
      <c r="D23" s="150"/>
      <c r="E23" s="150"/>
      <c r="F23" s="115"/>
      <c r="G23" s="115"/>
      <c r="H23" s="115"/>
    </row>
    <row r="24" spans="1:8">
      <c r="A24" s="115"/>
      <c r="B24" s="150"/>
      <c r="C24" s="115"/>
      <c r="D24" s="150"/>
      <c r="E24" s="150"/>
      <c r="F24" s="115"/>
      <c r="G24" s="115"/>
      <c r="H24" s="115"/>
    </row>
    <row r="25" spans="1:8">
      <c r="A25" s="115"/>
      <c r="B25" s="150"/>
      <c r="C25" s="115"/>
      <c r="D25" s="150"/>
      <c r="E25" s="150"/>
      <c r="F25" s="115"/>
      <c r="G25" s="115"/>
      <c r="H25" s="115"/>
    </row>
  </sheetData>
  <phoneticPr fontId="22"/>
  <dataValidations count="2">
    <dataValidation type="list" allowBlank="1" showInputMessage="1" showErrorMessage="1" sqref="G2:G3">
      <formula1>"maru,giza,kumo"</formula1>
    </dataValidation>
    <dataValidation type="list" allowBlank="1" showInputMessage="1" showErrorMessage="1" sqref="C2:C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"/>
  <sheetViews>
    <sheetView showGridLines="0" topLeftCell="B1" workbookViewId="0">
      <pane ySplit="1" topLeftCell="A2" activePane="bottomLeft" state="frozen"/>
      <selection pane="bottomLeft" activeCell="I16" sqref="I16"/>
    </sheetView>
  </sheetViews>
  <sheetFormatPr baseColWidth="12" defaultColWidth="13" defaultRowHeight="18" x14ac:dyDescent="0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>
      <c r="A1" s="67" t="s">
        <v>105</v>
      </c>
      <c r="B1" s="43" t="s">
        <v>44</v>
      </c>
      <c r="C1" s="20" t="s">
        <v>46</v>
      </c>
      <c r="D1" s="20" t="s">
        <v>48</v>
      </c>
      <c r="E1" s="20" t="s">
        <v>49</v>
      </c>
      <c r="F1" s="44" t="s">
        <v>42</v>
      </c>
      <c r="G1" s="20" t="s">
        <v>47</v>
      </c>
      <c r="H1" s="19" t="s">
        <v>43</v>
      </c>
      <c r="I1" s="120" t="s">
        <v>133</v>
      </c>
    </row>
    <row r="2" spans="1:9" ht="21" customHeight="1">
      <c r="A2" s="67" t="str">
        <f>B2&amp;"_"&amp;F2</f>
        <v>410_101</v>
      </c>
      <c r="B2" s="45">
        <v>410</v>
      </c>
      <c r="C2" s="21" t="e">
        <f ca="1">VLOOKUP($B2,OFFSET(units!$A$1,0,0,COUNTA(units!$A:$A),MATCH(C$1,units!$1:$1,0)-COLUMN(INDIRECT("character_id"))+1),MATCH(C$1,units!$1:$1,0)-COLUMN(INDIRECT("character_id"))+1,FALSE)</f>
        <v>#N/A</v>
      </c>
      <c r="D2" s="21" t="e">
        <f ca="1">VLOOKUP($B2,OFFSET(units!$A$1,0,0,COUNTA(units!$A:$A),MATCH(D$1,units!$1:$1,0)-COLUMN(INDIRECT("character_id"))+1),MATCH(D$1,units!$1:$1,0)-COLUMN(INDIRECT("character_id"))+1,FALSE)</f>
        <v>#N/A</v>
      </c>
      <c r="E2" s="21" t="e">
        <f ca="1">VLOOKUP($B2,OFFSET(units!$A$1,0,0,COUNTA(units!$A:$A),MATCH(E$1,units!$1:$1,0)-COLUMN(INDIRECT("character_id"))+1),MATCH(E$1,units!$1:$1,0)-COLUMN(INDIRECT("character_id"))+1,FALSE)</f>
        <v>#N/A</v>
      </c>
      <c r="F2" s="45">
        <v>101</v>
      </c>
      <c r="G2" s="21" t="str">
        <f>VLOOKUP(F2,[1]characters!$A:$C,3,FALSE)</f>
        <v>レッドチェシャ</v>
      </c>
      <c r="H2" s="18">
        <v>1</v>
      </c>
      <c r="I2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8" x14ac:dyDescent="0"/>
  <sheetData/>
  <phoneticPr fontId="2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workbookViewId="0">
      <selection activeCell="H12" sqref="H12"/>
    </sheetView>
  </sheetViews>
  <sheetFormatPr baseColWidth="12" defaultColWidth="13" defaultRowHeight="21" customHeight="1" x14ac:dyDescent="0"/>
  <cols>
    <col min="1" max="1" width="13" style="4"/>
    <col min="2" max="16384" width="13" style="24"/>
  </cols>
  <sheetData>
    <row r="1" spans="1:9" s="4" customFormat="1" ht="21" customHeight="1">
      <c r="A1" s="31" t="s">
        <v>223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>
      <c r="A2" s="80" t="s">
        <v>224</v>
      </c>
      <c r="B2" s="48" t="s">
        <v>11</v>
      </c>
      <c r="C2" s="48" t="s">
        <v>11</v>
      </c>
      <c r="D2" s="40" t="s">
        <v>115</v>
      </c>
      <c r="E2" s="40" t="s">
        <v>225</v>
      </c>
      <c r="F2" s="40" t="s">
        <v>225</v>
      </c>
      <c r="G2" s="40" t="s">
        <v>225</v>
      </c>
      <c r="H2" s="40" t="s">
        <v>225</v>
      </c>
      <c r="I2" s="40" t="s">
        <v>225</v>
      </c>
    </row>
    <row r="3" spans="1:9" ht="21" customHeight="1">
      <c r="A3" s="81" t="s">
        <v>218</v>
      </c>
      <c r="B3" s="48" t="s">
        <v>11</v>
      </c>
      <c r="C3" s="48" t="s">
        <v>11</v>
      </c>
      <c r="D3" s="40" t="s">
        <v>115</v>
      </c>
      <c r="E3" s="40">
        <v>30</v>
      </c>
      <c r="F3" s="40">
        <v>40</v>
      </c>
      <c r="G3" s="40">
        <f>15+F3</f>
        <v>55</v>
      </c>
      <c r="H3" s="40" t="s">
        <v>115</v>
      </c>
      <c r="I3" s="40" t="s">
        <v>115</v>
      </c>
    </row>
    <row r="4" spans="1:9" s="47" customFormat="1" ht="21" customHeight="1">
      <c r="A4" s="82" t="s">
        <v>219</v>
      </c>
      <c r="B4" s="29" t="s">
        <v>11</v>
      </c>
      <c r="C4" s="29" t="s">
        <v>11</v>
      </c>
      <c r="D4" s="112" t="s">
        <v>115</v>
      </c>
      <c r="E4" s="112">
        <v>25</v>
      </c>
      <c r="F4" s="112">
        <v>35</v>
      </c>
      <c r="G4" s="40">
        <f t="shared" ref="G4:G6" si="0">15+F4</f>
        <v>50</v>
      </c>
      <c r="H4" s="112" t="s">
        <v>115</v>
      </c>
      <c r="I4" s="112" t="s">
        <v>115</v>
      </c>
    </row>
    <row r="5" spans="1:9" ht="21" customHeight="1">
      <c r="A5" s="82" t="s">
        <v>9</v>
      </c>
      <c r="B5" s="71" t="s">
        <v>11</v>
      </c>
      <c r="C5" s="71" t="s">
        <v>11</v>
      </c>
      <c r="D5" s="29">
        <v>10</v>
      </c>
      <c r="E5" s="29">
        <v>20</v>
      </c>
      <c r="F5" s="29">
        <v>30</v>
      </c>
      <c r="G5" s="40">
        <f t="shared" si="0"/>
        <v>45</v>
      </c>
      <c r="H5" s="71" t="s">
        <v>11</v>
      </c>
      <c r="I5" s="71" t="s">
        <v>11</v>
      </c>
    </row>
    <row r="6" spans="1:9" ht="21" customHeight="1">
      <c r="A6" s="82" t="s">
        <v>228</v>
      </c>
      <c r="B6" s="71" t="s">
        <v>11</v>
      </c>
      <c r="C6" s="71" t="s">
        <v>11</v>
      </c>
      <c r="D6" s="29">
        <v>9</v>
      </c>
      <c r="E6" s="29">
        <v>18</v>
      </c>
      <c r="F6" s="29">
        <v>28</v>
      </c>
      <c r="G6" s="40">
        <f t="shared" si="0"/>
        <v>43</v>
      </c>
      <c r="H6" s="71" t="s">
        <v>11</v>
      </c>
      <c r="I6" s="71" t="s">
        <v>11</v>
      </c>
    </row>
    <row r="7" spans="1:9" ht="21" customHeight="1">
      <c r="A7" s="82" t="s">
        <v>112</v>
      </c>
      <c r="B7" s="71" t="s">
        <v>11</v>
      </c>
      <c r="C7" s="71" t="s">
        <v>11</v>
      </c>
      <c r="D7" s="29">
        <v>7</v>
      </c>
      <c r="E7" s="29">
        <v>16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>
      <c r="A8" s="111" t="s">
        <v>229</v>
      </c>
      <c r="B8" s="71" t="s">
        <v>11</v>
      </c>
      <c r="C8" s="71" t="s">
        <v>11</v>
      </c>
      <c r="D8" s="29">
        <v>8</v>
      </c>
      <c r="E8" s="29">
        <v>17</v>
      </c>
      <c r="F8" s="29">
        <v>26</v>
      </c>
      <c r="G8" s="71" t="s">
        <v>11</v>
      </c>
      <c r="H8" s="71" t="s">
        <v>11</v>
      </c>
      <c r="I8" s="71" t="s">
        <v>11</v>
      </c>
    </row>
    <row r="9" spans="1:9" ht="21" customHeight="1">
      <c r="A9" s="82" t="s">
        <v>230</v>
      </c>
      <c r="B9" s="71" t="s">
        <v>11</v>
      </c>
      <c r="C9" s="71" t="s">
        <v>11</v>
      </c>
      <c r="D9" s="29">
        <v>8</v>
      </c>
      <c r="E9" s="29">
        <v>17</v>
      </c>
      <c r="F9" s="29">
        <v>26</v>
      </c>
      <c r="G9" s="71" t="s">
        <v>11</v>
      </c>
      <c r="H9" s="71" t="s">
        <v>11</v>
      </c>
      <c r="I9" s="71" t="s">
        <v>11</v>
      </c>
    </row>
    <row r="10" spans="1:9" ht="21" customHeight="1">
      <c r="A10" s="82" t="s">
        <v>111</v>
      </c>
      <c r="B10" s="71" t="s">
        <v>11</v>
      </c>
      <c r="C10" s="71" t="s">
        <v>11</v>
      </c>
      <c r="D10" s="29">
        <v>6</v>
      </c>
      <c r="E10" s="29">
        <v>14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>
      <c r="A11" s="82" t="s">
        <v>231</v>
      </c>
      <c r="B11" s="71" t="s">
        <v>11</v>
      </c>
      <c r="C11" s="29">
        <v>4</v>
      </c>
      <c r="D11" s="29">
        <v>6</v>
      </c>
      <c r="E11" s="29">
        <v>14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>
      <c r="A12" s="82" t="s">
        <v>8</v>
      </c>
      <c r="B12" s="29">
        <v>2</v>
      </c>
      <c r="C12" s="29">
        <v>4</v>
      </c>
      <c r="D12" s="29">
        <v>6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>
      <c r="A13" s="83" t="s">
        <v>7</v>
      </c>
      <c r="B13" s="32">
        <v>1</v>
      </c>
      <c r="C13" s="32">
        <v>2</v>
      </c>
      <c r="D13" s="72" t="s">
        <v>11</v>
      </c>
      <c r="E13" s="72" t="s">
        <v>11</v>
      </c>
      <c r="F13" s="72" t="s">
        <v>11</v>
      </c>
      <c r="G13" s="72" t="s">
        <v>11</v>
      </c>
      <c r="H13" s="72" t="s">
        <v>11</v>
      </c>
      <c r="I13" s="72" t="s">
        <v>11</v>
      </c>
    </row>
    <row r="14" spans="1:9" ht="21" customHeight="1">
      <c r="A14" s="84" t="s">
        <v>232</v>
      </c>
      <c r="B14" s="27">
        <v>1</v>
      </c>
      <c r="C14" s="27">
        <v>1</v>
      </c>
      <c r="D14" s="72" t="s">
        <v>11</v>
      </c>
      <c r="E14" s="72" t="s">
        <v>11</v>
      </c>
      <c r="F14" s="72" t="s">
        <v>11</v>
      </c>
      <c r="G14" s="72" t="s">
        <v>11</v>
      </c>
      <c r="H14" s="72" t="s">
        <v>11</v>
      </c>
      <c r="I14" s="72" t="s">
        <v>11</v>
      </c>
    </row>
    <row r="15" spans="1:9" ht="21" customHeight="1">
      <c r="A15" s="38" t="s">
        <v>233</v>
      </c>
      <c r="B15" s="37">
        <v>99</v>
      </c>
      <c r="C15" s="37">
        <v>99</v>
      </c>
      <c r="D15" s="37">
        <v>99</v>
      </c>
      <c r="E15" s="37">
        <v>99</v>
      </c>
      <c r="F15" s="37">
        <v>99</v>
      </c>
      <c r="G15" s="37">
        <v>99</v>
      </c>
      <c r="H15" s="37">
        <v>99</v>
      </c>
      <c r="I15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20" sqref="I20"/>
    </sheetView>
  </sheetViews>
  <sheetFormatPr baseColWidth="12" defaultColWidth="13" defaultRowHeight="21" customHeight="1" x14ac:dyDescent="0"/>
  <cols>
    <col min="1" max="1" width="13" style="4"/>
    <col min="2" max="16384" width="13" style="24"/>
  </cols>
  <sheetData>
    <row r="1" spans="1:9" ht="21" customHeight="1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>
      <c r="A2" s="76" t="s">
        <v>234</v>
      </c>
      <c r="B2" s="41" t="s">
        <v>115</v>
      </c>
      <c r="C2" s="41" t="s">
        <v>115</v>
      </c>
      <c r="D2" s="41" t="s">
        <v>115</v>
      </c>
      <c r="E2" s="41" t="s">
        <v>115</v>
      </c>
      <c r="F2" s="41" t="s">
        <v>115</v>
      </c>
      <c r="G2" s="41" t="s">
        <v>115</v>
      </c>
      <c r="H2" s="41" t="s">
        <v>115</v>
      </c>
      <c r="I2" s="41" t="s">
        <v>115</v>
      </c>
    </row>
    <row r="3" spans="1:9" ht="21" customHeight="1">
      <c r="A3" s="76" t="s">
        <v>218</v>
      </c>
      <c r="B3" s="41" t="s">
        <v>115</v>
      </c>
      <c r="C3" s="41" t="s">
        <v>115</v>
      </c>
      <c r="D3" s="41" t="s">
        <v>115</v>
      </c>
      <c r="E3" s="41">
        <v>60</v>
      </c>
      <c r="F3" s="41">
        <v>80</v>
      </c>
      <c r="G3" s="41">
        <v>100</v>
      </c>
      <c r="H3" s="41" t="s">
        <v>115</v>
      </c>
      <c r="I3" s="41" t="s">
        <v>115</v>
      </c>
    </row>
    <row r="4" spans="1:9" s="47" customFormat="1" ht="21" customHeight="1">
      <c r="A4" s="77" t="s">
        <v>219</v>
      </c>
      <c r="B4" s="68" t="s">
        <v>115</v>
      </c>
      <c r="C4" s="68" t="s">
        <v>115</v>
      </c>
      <c r="D4" s="68" t="s">
        <v>115</v>
      </c>
      <c r="E4" s="68">
        <v>60</v>
      </c>
      <c r="F4" s="68">
        <v>80</v>
      </c>
      <c r="G4" s="68">
        <v>100</v>
      </c>
      <c r="H4" s="68" t="s">
        <v>115</v>
      </c>
      <c r="I4" s="68" t="s">
        <v>115</v>
      </c>
    </row>
    <row r="5" spans="1:9" ht="21" customHeight="1">
      <c r="A5" s="77" t="s">
        <v>9</v>
      </c>
      <c r="B5" s="73" t="s">
        <v>115</v>
      </c>
      <c r="C5" s="73" t="s">
        <v>115</v>
      </c>
      <c r="D5" s="37">
        <v>40</v>
      </c>
      <c r="E5" s="37">
        <v>60</v>
      </c>
      <c r="F5" s="37">
        <v>80</v>
      </c>
      <c r="G5" s="41">
        <v>100</v>
      </c>
      <c r="H5" s="73" t="s">
        <v>115</v>
      </c>
      <c r="I5" s="73" t="s">
        <v>115</v>
      </c>
    </row>
    <row r="6" spans="1:9" ht="21" customHeight="1">
      <c r="A6" s="77" t="s">
        <v>220</v>
      </c>
      <c r="B6" s="73" t="s">
        <v>115</v>
      </c>
      <c r="C6" s="73" t="s">
        <v>115</v>
      </c>
      <c r="D6" s="37">
        <v>40</v>
      </c>
      <c r="E6" s="37">
        <v>60</v>
      </c>
      <c r="F6" s="37">
        <v>80</v>
      </c>
      <c r="G6" s="68">
        <v>100</v>
      </c>
      <c r="H6" s="73" t="s">
        <v>115</v>
      </c>
      <c r="I6" s="73" t="s">
        <v>115</v>
      </c>
    </row>
    <row r="7" spans="1:9" ht="21" customHeight="1">
      <c r="A7" s="77" t="s">
        <v>221</v>
      </c>
      <c r="B7" s="73" t="s">
        <v>115</v>
      </c>
      <c r="C7" s="73" t="s">
        <v>115</v>
      </c>
      <c r="D7" s="37">
        <v>40</v>
      </c>
      <c r="E7" s="37">
        <v>60</v>
      </c>
      <c r="F7" s="73" t="s">
        <v>115</v>
      </c>
      <c r="G7" s="73" t="s">
        <v>115</v>
      </c>
      <c r="H7" s="73" t="s">
        <v>115</v>
      </c>
      <c r="I7" s="73" t="s">
        <v>115</v>
      </c>
    </row>
    <row r="8" spans="1:9" ht="21" customHeight="1">
      <c r="A8" s="78" t="s">
        <v>222</v>
      </c>
      <c r="B8" s="73" t="s">
        <v>115</v>
      </c>
      <c r="C8" s="73" t="s">
        <v>115</v>
      </c>
      <c r="D8" s="37">
        <v>40</v>
      </c>
      <c r="E8" s="37">
        <v>60</v>
      </c>
      <c r="F8" s="37">
        <v>80</v>
      </c>
      <c r="G8" s="73" t="s">
        <v>115</v>
      </c>
      <c r="H8" s="73" t="s">
        <v>115</v>
      </c>
      <c r="I8" s="73" t="s">
        <v>115</v>
      </c>
    </row>
    <row r="9" spans="1:9" ht="21" customHeight="1">
      <c r="A9" s="57" t="s">
        <v>37</v>
      </c>
      <c r="B9" s="73" t="s">
        <v>115</v>
      </c>
      <c r="C9" s="73" t="s">
        <v>115</v>
      </c>
      <c r="D9" s="37">
        <v>40</v>
      </c>
      <c r="E9" s="37">
        <v>60</v>
      </c>
      <c r="F9" s="37">
        <v>80</v>
      </c>
      <c r="G9" s="73" t="s">
        <v>115</v>
      </c>
      <c r="H9" s="73" t="s">
        <v>115</v>
      </c>
      <c r="I9" s="73" t="s">
        <v>115</v>
      </c>
    </row>
    <row r="10" spans="1:9" ht="21" customHeight="1">
      <c r="A10" s="57" t="s">
        <v>38</v>
      </c>
      <c r="B10" s="73" t="s">
        <v>115</v>
      </c>
      <c r="C10" s="37">
        <v>30</v>
      </c>
      <c r="D10" s="37">
        <v>40</v>
      </c>
      <c r="E10" s="37">
        <v>60</v>
      </c>
      <c r="F10" s="73" t="s">
        <v>115</v>
      </c>
      <c r="G10" s="73" t="s">
        <v>115</v>
      </c>
      <c r="H10" s="73" t="s">
        <v>115</v>
      </c>
      <c r="I10" s="73" t="s">
        <v>115</v>
      </c>
    </row>
    <row r="11" spans="1:9" ht="21" customHeight="1">
      <c r="A11" s="57" t="s">
        <v>39</v>
      </c>
      <c r="B11" s="73" t="s">
        <v>115</v>
      </c>
      <c r="C11" s="37">
        <v>30</v>
      </c>
      <c r="D11" s="37">
        <v>40</v>
      </c>
      <c r="E11" s="37">
        <v>60</v>
      </c>
      <c r="F11" s="73" t="s">
        <v>115</v>
      </c>
      <c r="G11" s="73" t="s">
        <v>115</v>
      </c>
      <c r="H11" s="73" t="s">
        <v>115</v>
      </c>
      <c r="I11" s="73" t="s">
        <v>115</v>
      </c>
    </row>
    <row r="12" spans="1:9" ht="21" customHeight="1">
      <c r="A12" s="58" t="s">
        <v>8</v>
      </c>
      <c r="B12" s="37">
        <v>15</v>
      </c>
      <c r="C12" s="37">
        <v>30</v>
      </c>
      <c r="D12" s="37">
        <v>40</v>
      </c>
      <c r="E12" s="73" t="s">
        <v>115</v>
      </c>
      <c r="F12" s="73" t="s">
        <v>115</v>
      </c>
      <c r="G12" s="73" t="s">
        <v>115</v>
      </c>
      <c r="H12" s="73" t="s">
        <v>115</v>
      </c>
      <c r="I12" s="73" t="s">
        <v>115</v>
      </c>
    </row>
    <row r="13" spans="1:9" ht="21" customHeight="1">
      <c r="A13" s="53" t="s">
        <v>7</v>
      </c>
      <c r="B13" s="37">
        <v>15</v>
      </c>
      <c r="C13" s="37">
        <v>30</v>
      </c>
      <c r="D13" s="37">
        <v>40</v>
      </c>
      <c r="E13" s="73" t="s">
        <v>235</v>
      </c>
      <c r="F13" s="73" t="s">
        <v>235</v>
      </c>
      <c r="G13" s="73" t="s">
        <v>235</v>
      </c>
      <c r="H13" s="73" t="s">
        <v>235</v>
      </c>
      <c r="I13" s="73" t="s">
        <v>235</v>
      </c>
    </row>
    <row r="14" spans="1:9" ht="21" customHeight="1">
      <c r="A14" s="55" t="s">
        <v>40</v>
      </c>
      <c r="B14" s="37">
        <v>10</v>
      </c>
      <c r="C14" s="37">
        <v>20</v>
      </c>
      <c r="D14" s="73" t="s">
        <v>235</v>
      </c>
      <c r="E14" s="73" t="s">
        <v>235</v>
      </c>
      <c r="F14" s="73" t="s">
        <v>235</v>
      </c>
      <c r="G14" s="73" t="s">
        <v>235</v>
      </c>
      <c r="H14" s="73" t="s">
        <v>235</v>
      </c>
      <c r="I14" s="73" t="s">
        <v>235</v>
      </c>
    </row>
    <row r="15" spans="1:9" ht="21" customHeight="1">
      <c r="A15" s="79" t="s">
        <v>236</v>
      </c>
      <c r="B15" s="37">
        <v>1</v>
      </c>
      <c r="C15" s="37">
        <v>1</v>
      </c>
      <c r="D15" s="37">
        <v>1</v>
      </c>
      <c r="E15" s="37">
        <v>1</v>
      </c>
      <c r="F15" s="37">
        <v>1</v>
      </c>
      <c r="G15" s="37">
        <v>1</v>
      </c>
      <c r="H15" s="37">
        <v>1</v>
      </c>
      <c r="I15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"/>
  <cols>
    <col min="1" max="16384" width="13" style="24"/>
  </cols>
  <sheetData>
    <row r="1" spans="1:11" ht="21" customHeight="1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ht="21" customHeight="1">
      <c r="A2" s="52" t="s">
        <v>234</v>
      </c>
      <c r="B2" s="41" t="s">
        <v>115</v>
      </c>
      <c r="C2" s="41" t="s">
        <v>115</v>
      </c>
      <c r="D2" s="41" t="s">
        <v>115</v>
      </c>
      <c r="E2" s="41" t="s">
        <v>115</v>
      </c>
      <c r="F2" s="41" t="s">
        <v>115</v>
      </c>
      <c r="G2" s="41" t="s">
        <v>115</v>
      </c>
      <c r="H2" s="41" t="s">
        <v>115</v>
      </c>
      <c r="I2" s="41" t="s">
        <v>115</v>
      </c>
    </row>
    <row r="3" spans="1:11" ht="21" customHeight="1">
      <c r="A3" s="52" t="s">
        <v>226</v>
      </c>
      <c r="B3" s="41" t="s">
        <v>115</v>
      </c>
      <c r="C3" s="41" t="s">
        <v>115</v>
      </c>
      <c r="D3" s="41" t="s">
        <v>237</v>
      </c>
      <c r="E3" s="54" t="s">
        <v>121</v>
      </c>
      <c r="F3" s="54" t="s">
        <v>121</v>
      </c>
      <c r="G3" s="54" t="s">
        <v>238</v>
      </c>
      <c r="H3" s="41" t="s">
        <v>237</v>
      </c>
      <c r="I3" s="41" t="s">
        <v>115</v>
      </c>
    </row>
    <row r="4" spans="1:11" s="47" customFormat="1" ht="21" customHeight="1">
      <c r="A4" s="52" t="s">
        <v>219</v>
      </c>
      <c r="B4" s="68" t="s">
        <v>115</v>
      </c>
      <c r="C4" s="68" t="s">
        <v>115</v>
      </c>
      <c r="D4" s="68" t="s">
        <v>115</v>
      </c>
      <c r="E4" s="54" t="s">
        <v>65</v>
      </c>
      <c r="F4" s="54" t="s">
        <v>65</v>
      </c>
      <c r="G4" s="54" t="s">
        <v>121</v>
      </c>
      <c r="H4" s="68" t="s">
        <v>239</v>
      </c>
      <c r="I4" s="68" t="s">
        <v>239</v>
      </c>
    </row>
    <row r="5" spans="1:11" ht="21" customHeight="1">
      <c r="A5" s="53" t="s">
        <v>9</v>
      </c>
      <c r="B5" s="73" t="s">
        <v>115</v>
      </c>
      <c r="C5" s="73" t="s">
        <v>115</v>
      </c>
      <c r="D5" s="54" t="s">
        <v>65</v>
      </c>
      <c r="E5" s="54" t="s">
        <v>65</v>
      </c>
      <c r="F5" s="54" t="s">
        <v>65</v>
      </c>
      <c r="G5" s="54" t="s">
        <v>240</v>
      </c>
      <c r="H5" s="73" t="s">
        <v>239</v>
      </c>
      <c r="I5" s="73" t="s">
        <v>239</v>
      </c>
      <c r="K5" s="28" t="s">
        <v>12</v>
      </c>
    </row>
    <row r="6" spans="1:11" ht="21" customHeight="1">
      <c r="A6" s="55" t="s">
        <v>35</v>
      </c>
      <c r="B6" s="73" t="s">
        <v>115</v>
      </c>
      <c r="C6" s="73" t="s">
        <v>115</v>
      </c>
      <c r="D6" s="55" t="s">
        <v>65</v>
      </c>
      <c r="E6" s="55" t="s">
        <v>65</v>
      </c>
      <c r="F6" s="55" t="s">
        <v>65</v>
      </c>
      <c r="G6" s="54" t="s">
        <v>240</v>
      </c>
      <c r="H6" s="73" t="s">
        <v>239</v>
      </c>
      <c r="I6" s="73" t="s">
        <v>239</v>
      </c>
      <c r="K6" s="30" t="s">
        <v>13</v>
      </c>
    </row>
    <row r="7" spans="1:11" ht="21" customHeight="1">
      <c r="A7" s="56" t="s">
        <v>36</v>
      </c>
      <c r="B7" s="73" t="s">
        <v>115</v>
      </c>
      <c r="C7" s="73" t="s">
        <v>115</v>
      </c>
      <c r="D7" s="56" t="s">
        <v>66</v>
      </c>
      <c r="E7" s="56" t="s">
        <v>66</v>
      </c>
      <c r="F7" s="73" t="s">
        <v>115</v>
      </c>
      <c r="G7" s="73" t="s">
        <v>115</v>
      </c>
      <c r="H7" s="73" t="s">
        <v>115</v>
      </c>
      <c r="I7" s="73" t="s">
        <v>115</v>
      </c>
      <c r="K7" s="74" t="s">
        <v>41</v>
      </c>
    </row>
    <row r="8" spans="1:11" ht="21" customHeight="1">
      <c r="A8" s="56" t="s">
        <v>241</v>
      </c>
      <c r="B8" s="73" t="s">
        <v>115</v>
      </c>
      <c r="C8" s="73" t="s">
        <v>115</v>
      </c>
      <c r="D8" s="57" t="s">
        <v>65</v>
      </c>
      <c r="E8" s="57" t="s">
        <v>65</v>
      </c>
      <c r="F8" s="57" t="s">
        <v>65</v>
      </c>
      <c r="G8" s="73" t="s">
        <v>115</v>
      </c>
      <c r="H8" s="73" t="s">
        <v>115</v>
      </c>
      <c r="I8" s="73" t="s">
        <v>115</v>
      </c>
      <c r="K8" s="75"/>
    </row>
    <row r="9" spans="1:11" ht="21" customHeight="1">
      <c r="A9" s="57" t="s">
        <v>37</v>
      </c>
      <c r="B9" s="73" t="s">
        <v>115</v>
      </c>
      <c r="C9" s="73" t="s">
        <v>115</v>
      </c>
      <c r="D9" s="57" t="s">
        <v>65</v>
      </c>
      <c r="E9" s="57" t="s">
        <v>65</v>
      </c>
      <c r="F9" s="57" t="s">
        <v>65</v>
      </c>
      <c r="G9" s="73" t="s">
        <v>115</v>
      </c>
      <c r="H9" s="73" t="s">
        <v>115</v>
      </c>
      <c r="I9" s="73" t="s">
        <v>115</v>
      </c>
    </row>
    <row r="10" spans="1:11" ht="21" customHeight="1">
      <c r="A10" s="57" t="s">
        <v>38</v>
      </c>
      <c r="B10" s="73" t="s">
        <v>115</v>
      </c>
      <c r="C10" s="73" t="s">
        <v>115</v>
      </c>
      <c r="D10" s="57" t="s">
        <v>66</v>
      </c>
      <c r="E10" s="57" t="s">
        <v>66</v>
      </c>
      <c r="F10" s="73" t="s">
        <v>115</v>
      </c>
      <c r="G10" s="73" t="s">
        <v>115</v>
      </c>
      <c r="H10" s="73" t="s">
        <v>115</v>
      </c>
      <c r="I10" s="73" t="s">
        <v>115</v>
      </c>
    </row>
    <row r="11" spans="1:11" ht="21" customHeight="1">
      <c r="A11" s="57" t="s">
        <v>39</v>
      </c>
      <c r="B11" s="73" t="s">
        <v>115</v>
      </c>
      <c r="C11" s="57" t="s">
        <v>66</v>
      </c>
      <c r="D11" s="57" t="s">
        <v>66</v>
      </c>
      <c r="E11" s="57" t="s">
        <v>66</v>
      </c>
      <c r="F11" s="73" t="s">
        <v>115</v>
      </c>
      <c r="G11" s="73" t="s">
        <v>115</v>
      </c>
      <c r="H11" s="73" t="s">
        <v>115</v>
      </c>
      <c r="I11" s="73" t="s">
        <v>115</v>
      </c>
    </row>
    <row r="12" spans="1:11" ht="21" customHeight="1">
      <c r="A12" s="58" t="s">
        <v>8</v>
      </c>
      <c r="B12" s="58" t="s">
        <v>67</v>
      </c>
      <c r="C12" s="58" t="s">
        <v>67</v>
      </c>
      <c r="D12" s="58" t="s">
        <v>67</v>
      </c>
      <c r="E12" s="73" t="s">
        <v>115</v>
      </c>
      <c r="F12" s="73" t="s">
        <v>115</v>
      </c>
      <c r="G12" s="73" t="s">
        <v>115</v>
      </c>
      <c r="H12" s="73" t="s">
        <v>115</v>
      </c>
      <c r="I12" s="73" t="s">
        <v>115</v>
      </c>
    </row>
    <row r="13" spans="1:11" ht="21" customHeight="1">
      <c r="A13" s="53" t="s">
        <v>7</v>
      </c>
      <c r="B13" s="53" t="s">
        <v>68</v>
      </c>
      <c r="C13" s="53" t="s">
        <v>68</v>
      </c>
      <c r="D13" s="73" t="s">
        <v>115</v>
      </c>
      <c r="E13" s="73" t="s">
        <v>115</v>
      </c>
      <c r="F13" s="73" t="s">
        <v>115</v>
      </c>
      <c r="G13" s="73" t="s">
        <v>115</v>
      </c>
      <c r="H13" s="73" t="s">
        <v>115</v>
      </c>
      <c r="I13" s="73" t="s">
        <v>115</v>
      </c>
    </row>
    <row r="14" spans="1:11" ht="21" customHeight="1">
      <c r="A14" s="55" t="s">
        <v>40</v>
      </c>
      <c r="B14" s="55" t="s">
        <v>69</v>
      </c>
      <c r="C14" s="55" t="s">
        <v>69</v>
      </c>
      <c r="D14" s="73" t="s">
        <v>115</v>
      </c>
      <c r="E14" s="73" t="s">
        <v>115</v>
      </c>
      <c r="F14" s="73" t="s">
        <v>115</v>
      </c>
      <c r="G14" s="73" t="s">
        <v>115</v>
      </c>
      <c r="H14" s="73" t="s">
        <v>115</v>
      </c>
      <c r="I14" s="73" t="s">
        <v>115</v>
      </c>
    </row>
    <row r="15" spans="1:11" ht="21" customHeight="1">
      <c r="A15" s="38" t="s">
        <v>233</v>
      </c>
      <c r="B15" s="85" t="s">
        <v>53</v>
      </c>
      <c r="C15" s="85" t="s">
        <v>53</v>
      </c>
      <c r="D15" s="85" t="s">
        <v>53</v>
      </c>
      <c r="E15" s="85" t="s">
        <v>53</v>
      </c>
      <c r="F15" s="85" t="s">
        <v>53</v>
      </c>
      <c r="G15" s="85" t="s">
        <v>53</v>
      </c>
      <c r="H15" s="85" t="s">
        <v>53</v>
      </c>
      <c r="I15" s="85" t="s">
        <v>53</v>
      </c>
    </row>
    <row r="20" spans="1:2" ht="21" customHeight="1">
      <c r="A20" s="24" t="s">
        <v>14</v>
      </c>
    </row>
    <row r="21" spans="1:2" ht="21" customHeight="1">
      <c r="A21" s="22" t="s">
        <v>70</v>
      </c>
      <c r="B21" s="22" t="s">
        <v>71</v>
      </c>
    </row>
    <row r="22" spans="1:2" ht="21" customHeight="1">
      <c r="A22" s="25">
        <v>1</v>
      </c>
      <c r="B22" s="25">
        <v>200</v>
      </c>
    </row>
    <row r="23" spans="1:2" ht="21" customHeight="1">
      <c r="A23" s="25">
        <v>2</v>
      </c>
      <c r="B23" s="25">
        <v>600</v>
      </c>
    </row>
    <row r="24" spans="1:2" ht="21" customHeight="1">
      <c r="A24" s="25">
        <v>3</v>
      </c>
      <c r="B24" s="25">
        <v>1500</v>
      </c>
    </row>
    <row r="25" spans="1:2" ht="21" customHeight="1">
      <c r="A25" s="25">
        <v>4</v>
      </c>
      <c r="B25" s="25">
        <v>3400</v>
      </c>
    </row>
    <row r="26" spans="1:2" ht="21" customHeight="1">
      <c r="A26" s="25">
        <v>5</v>
      </c>
      <c r="B26" s="25">
        <v>6400</v>
      </c>
    </row>
  </sheetData>
  <sheetProtection selectLockedCells="1" selectUnlockedCells="1"/>
  <phoneticPr fontId="9"/>
  <conditionalFormatting sqref="A29:I65535 J1:IV2 J5:J8 L5:IV8 J9:IV65535">
    <cfRule type="cellIs" dxfId="17" priority="24" stopIfTrue="1" operator="equal">
      <formula>1</formula>
    </cfRule>
  </conditionalFormatting>
  <conditionalFormatting sqref="A19:B20 A27:B28 C19:I28">
    <cfRule type="cellIs" dxfId="16" priority="23" stopIfTrue="1" operator="equal">
      <formula>1</formula>
    </cfRule>
  </conditionalFormatting>
  <conditionalFormatting sqref="K5:K8">
    <cfRule type="cellIs" dxfId="15" priority="19" stopIfTrue="1" operator="equal">
      <formula>1</formula>
    </cfRule>
  </conditionalFormatting>
  <conditionalFormatting sqref="J3:IV3">
    <cfRule type="cellIs" dxfId="14" priority="18" stopIfTrue="1" operator="equal">
      <formula>1</formula>
    </cfRule>
  </conditionalFormatting>
  <conditionalFormatting sqref="J4:IV4">
    <cfRule type="cellIs" dxfId="13" priority="17" stopIfTrue="1" operator="equal">
      <formula>1</formula>
    </cfRule>
  </conditionalFormatting>
  <conditionalFormatting sqref="G14:I14">
    <cfRule type="cellIs" dxfId="12" priority="9" stopIfTrue="1" operator="equal">
      <formula>1</formula>
    </cfRule>
  </conditionalFormatting>
  <conditionalFormatting sqref="D13:G13 F10:G12 H10:I13">
    <cfRule type="cellIs" dxfId="11" priority="8" stopIfTrue="1" operator="equal">
      <formula>1</formula>
    </cfRule>
  </conditionalFormatting>
  <conditionalFormatting sqref="F12:G12">
    <cfRule type="cellIs" dxfId="10" priority="7" stopIfTrue="1" operator="equal">
      <formula>1</formula>
    </cfRule>
  </conditionalFormatting>
  <conditionalFormatting sqref="A15">
    <cfRule type="cellIs" dxfId="9" priority="6" stopIfTrue="1" operator="equal">
      <formula>1</formula>
    </cfRule>
  </conditionalFormatting>
  <conditionalFormatting sqref="G7:I9 H5:I6">
    <cfRule type="cellIs" dxfId="8" priority="5" stopIfTrue="1" operator="equal">
      <formula>1</formula>
    </cfRule>
  </conditionalFormatting>
  <conditionalFormatting sqref="B5:C10">
    <cfRule type="cellIs" dxfId="7" priority="4" stopIfTrue="1" operator="equal">
      <formula>1</formula>
    </cfRule>
  </conditionalFormatting>
  <conditionalFormatting sqref="B11">
    <cfRule type="cellIs" dxfId="6" priority="3" stopIfTrue="1" operator="equal">
      <formula>1</formula>
    </cfRule>
  </conditionalFormatting>
  <conditionalFormatting sqref="E12">
    <cfRule type="cellIs" dxfId="5" priority="2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J21" sqref="J21"/>
    </sheetView>
  </sheetViews>
  <sheetFormatPr baseColWidth="12" defaultColWidth="13" defaultRowHeight="21" customHeight="1" x14ac:dyDescent="0"/>
  <cols>
    <col min="1" max="1" width="13" style="4"/>
    <col min="2" max="16384" width="13" style="24"/>
  </cols>
  <sheetData>
    <row r="1" spans="1:9" s="4" customFormat="1" ht="21" customHeight="1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>
      <c r="A2" s="80" t="s">
        <v>224</v>
      </c>
      <c r="B2" s="48" t="s">
        <v>11</v>
      </c>
      <c r="C2" s="48" t="s">
        <v>11</v>
      </c>
      <c r="D2" s="48" t="s">
        <v>11</v>
      </c>
      <c r="E2" s="48" t="s">
        <v>11</v>
      </c>
      <c r="F2" s="48" t="s">
        <v>11</v>
      </c>
      <c r="G2" s="48" t="s">
        <v>11</v>
      </c>
      <c r="H2" s="48" t="s">
        <v>11</v>
      </c>
      <c r="I2" s="48" t="s">
        <v>11</v>
      </c>
    </row>
    <row r="3" spans="1:9" ht="21" customHeight="1">
      <c r="A3" s="81" t="s">
        <v>226</v>
      </c>
      <c r="B3" s="48" t="s">
        <v>11</v>
      </c>
      <c r="C3" s="48" t="s">
        <v>11</v>
      </c>
      <c r="D3" s="48" t="s">
        <v>11</v>
      </c>
      <c r="E3" s="48">
        <v>8000</v>
      </c>
      <c r="F3" s="29">
        <v>10000</v>
      </c>
      <c r="G3" s="48">
        <f>5000+F3</f>
        <v>15000</v>
      </c>
      <c r="H3" s="48" t="s">
        <v>11</v>
      </c>
      <c r="I3" s="48" t="s">
        <v>11</v>
      </c>
    </row>
    <row r="4" spans="1:9" s="47" customFormat="1" ht="21" customHeight="1">
      <c r="A4" s="82" t="s">
        <v>227</v>
      </c>
      <c r="B4" s="29" t="s">
        <v>11</v>
      </c>
      <c r="C4" s="29" t="s">
        <v>11</v>
      </c>
      <c r="D4" s="29" t="s">
        <v>11</v>
      </c>
      <c r="E4" s="29">
        <v>7500</v>
      </c>
      <c r="F4" s="29">
        <v>9500</v>
      </c>
      <c r="G4" s="48">
        <f t="shared" ref="G4:G6" si="0">5000+F4</f>
        <v>14500</v>
      </c>
      <c r="H4" s="29" t="s">
        <v>11</v>
      </c>
      <c r="I4" s="29" t="s">
        <v>11</v>
      </c>
    </row>
    <row r="5" spans="1:9" ht="21" customHeight="1">
      <c r="A5" s="82" t="s">
        <v>9</v>
      </c>
      <c r="B5" s="71" t="s">
        <v>11</v>
      </c>
      <c r="C5" s="71" t="s">
        <v>11</v>
      </c>
      <c r="D5" s="29">
        <v>5000</v>
      </c>
      <c r="E5" s="29">
        <v>7000</v>
      </c>
      <c r="F5" s="29">
        <v>9000</v>
      </c>
      <c r="G5" s="48">
        <f t="shared" si="0"/>
        <v>14000</v>
      </c>
      <c r="H5" s="71" t="s">
        <v>11</v>
      </c>
      <c r="I5" s="71" t="s">
        <v>11</v>
      </c>
    </row>
    <row r="6" spans="1:9" ht="21" customHeight="1">
      <c r="A6" s="82" t="s">
        <v>228</v>
      </c>
      <c r="B6" s="71" t="s">
        <v>11</v>
      </c>
      <c r="C6" s="71" t="s">
        <v>11</v>
      </c>
      <c r="D6" s="29">
        <v>4900</v>
      </c>
      <c r="E6" s="29">
        <v>6700</v>
      </c>
      <c r="F6" s="29">
        <v>8500</v>
      </c>
      <c r="G6" s="48">
        <f t="shared" si="0"/>
        <v>13500</v>
      </c>
      <c r="H6" s="71" t="s">
        <v>11</v>
      </c>
      <c r="I6" s="71" t="s">
        <v>11</v>
      </c>
    </row>
    <row r="7" spans="1:9" ht="21" customHeight="1">
      <c r="A7" s="82" t="s">
        <v>112</v>
      </c>
      <c r="B7" s="71" t="s">
        <v>11</v>
      </c>
      <c r="C7" s="71" t="s">
        <v>11</v>
      </c>
      <c r="D7" s="29">
        <v>4800</v>
      </c>
      <c r="E7" s="29">
        <v>6600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>
      <c r="A8" s="82" t="s">
        <v>229</v>
      </c>
      <c r="B8" s="71" t="s">
        <v>11</v>
      </c>
      <c r="C8" s="71" t="s">
        <v>11</v>
      </c>
      <c r="D8" s="71" t="s">
        <v>11</v>
      </c>
      <c r="E8" s="29">
        <v>6300</v>
      </c>
      <c r="F8" s="71" t="s">
        <v>11</v>
      </c>
      <c r="G8" s="71" t="s">
        <v>11</v>
      </c>
      <c r="H8" s="71" t="s">
        <v>11</v>
      </c>
      <c r="I8" s="71" t="s">
        <v>11</v>
      </c>
    </row>
    <row r="9" spans="1:9" ht="21" customHeight="1">
      <c r="A9" s="82" t="s">
        <v>230</v>
      </c>
      <c r="B9" s="71" t="s">
        <v>11</v>
      </c>
      <c r="C9" s="71" t="s">
        <v>11</v>
      </c>
      <c r="D9" s="29">
        <v>4600</v>
      </c>
      <c r="E9" s="29">
        <v>5800</v>
      </c>
      <c r="F9" s="29">
        <v>7600</v>
      </c>
      <c r="G9" s="71" t="s">
        <v>11</v>
      </c>
      <c r="H9" s="71" t="s">
        <v>11</v>
      </c>
      <c r="I9" s="71" t="s">
        <v>11</v>
      </c>
    </row>
    <row r="10" spans="1:9" ht="21" customHeight="1">
      <c r="A10" s="82" t="s">
        <v>111</v>
      </c>
      <c r="B10" s="71" t="s">
        <v>11</v>
      </c>
      <c r="C10" s="71" t="s">
        <v>11</v>
      </c>
      <c r="D10" s="29">
        <v>4400</v>
      </c>
      <c r="E10" s="29">
        <v>5600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>
      <c r="A11" s="82" t="s">
        <v>231</v>
      </c>
      <c r="B11" s="71" t="s">
        <v>11</v>
      </c>
      <c r="C11" s="29">
        <v>3000</v>
      </c>
      <c r="D11" s="29">
        <v>4200</v>
      </c>
      <c r="E11" s="29">
        <v>5400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>
      <c r="A12" s="82" t="s">
        <v>8</v>
      </c>
      <c r="B12" s="29">
        <v>2000</v>
      </c>
      <c r="C12" s="29">
        <v>2800</v>
      </c>
      <c r="D12" s="29">
        <v>4000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>
      <c r="A13" s="83" t="s">
        <v>7</v>
      </c>
      <c r="B13" s="29">
        <v>1750</v>
      </c>
      <c r="C13" s="29">
        <v>2550</v>
      </c>
      <c r="D13" s="71" t="s">
        <v>11</v>
      </c>
      <c r="E13" s="71" t="s">
        <v>11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>
      <c r="A14" s="83" t="s">
        <v>232</v>
      </c>
      <c r="B14" s="29">
        <v>1500</v>
      </c>
      <c r="C14" s="29">
        <v>2300</v>
      </c>
      <c r="D14" s="71" t="s">
        <v>11</v>
      </c>
      <c r="E14" s="71" t="s">
        <v>11</v>
      </c>
      <c r="F14" s="71" t="s">
        <v>11</v>
      </c>
      <c r="G14" s="71" t="s">
        <v>11</v>
      </c>
      <c r="H14" s="71" t="s">
        <v>11</v>
      </c>
      <c r="I14" s="71" t="s">
        <v>11</v>
      </c>
    </row>
    <row r="15" spans="1:9" ht="21" customHeight="1">
      <c r="A15" s="38" t="s">
        <v>233</v>
      </c>
      <c r="B15" s="37">
        <v>1000</v>
      </c>
      <c r="C15" s="37">
        <v>1000</v>
      </c>
      <c r="D15" s="37">
        <v>1000</v>
      </c>
      <c r="E15" s="37">
        <v>1000</v>
      </c>
      <c r="F15" s="37">
        <v>1000</v>
      </c>
      <c r="G15" s="37">
        <v>1000</v>
      </c>
      <c r="H15" s="37">
        <v>1000</v>
      </c>
      <c r="I15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3" stopIfTrue="1" operator="equal">
      <formula>1</formula>
    </cfRule>
  </conditionalFormatting>
  <conditionalFormatting sqref="A16:I65536">
    <cfRule type="cellIs" dxfId="2" priority="4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H13" sqref="H13"/>
    </sheetView>
  </sheetViews>
  <sheetFormatPr baseColWidth="12" defaultColWidth="13" defaultRowHeight="21" customHeight="1" x14ac:dyDescent="0"/>
  <cols>
    <col min="1" max="16384" width="13" style="24"/>
  </cols>
  <sheetData>
    <row r="1" spans="1:8" ht="21" customHeight="1">
      <c r="A1" s="24" t="s">
        <v>117</v>
      </c>
      <c r="G1" s="24" t="s">
        <v>118</v>
      </c>
    </row>
    <row r="2" spans="1:8" ht="21" customHeight="1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>
      <c r="A3" s="25">
        <v>1</v>
      </c>
      <c r="B3" s="34">
        <v>5000</v>
      </c>
      <c r="G3" s="25">
        <v>1</v>
      </c>
      <c r="H3" s="25">
        <v>75</v>
      </c>
    </row>
    <row r="4" spans="1:8" ht="21" customHeight="1">
      <c r="A4" s="25">
        <v>2</v>
      </c>
      <c r="B4" s="26">
        <v>10000</v>
      </c>
      <c r="G4" s="25">
        <v>2</v>
      </c>
      <c r="H4" s="25">
        <v>150</v>
      </c>
    </row>
    <row r="5" spans="1:8" ht="21" customHeight="1">
      <c r="A5" s="25">
        <v>3</v>
      </c>
      <c r="B5" s="26">
        <v>20000</v>
      </c>
      <c r="G5" s="25">
        <v>3</v>
      </c>
      <c r="H5" s="25">
        <v>300</v>
      </c>
    </row>
    <row r="6" spans="1:8" ht="21" customHeight="1">
      <c r="A6" s="25">
        <v>4</v>
      </c>
      <c r="B6" s="26">
        <v>50000</v>
      </c>
      <c r="G6" s="25">
        <v>4</v>
      </c>
      <c r="H6" s="25">
        <v>600</v>
      </c>
    </row>
    <row r="7" spans="1:8" ht="21" customHeight="1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>
      <c r="A8" s="25">
        <v>6</v>
      </c>
      <c r="B8" s="35">
        <v>0</v>
      </c>
      <c r="G8" s="25">
        <v>6</v>
      </c>
      <c r="H8" s="36">
        <v>1200</v>
      </c>
    </row>
    <row r="9" spans="1:8" ht="21" customHeight="1">
      <c r="A9" s="25">
        <v>7</v>
      </c>
      <c r="B9" s="35"/>
      <c r="G9" s="25">
        <v>7</v>
      </c>
      <c r="H9" s="35"/>
    </row>
    <row r="10" spans="1:8" ht="21" customHeight="1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E15" sqref="E15"/>
    </sheetView>
  </sheetViews>
  <sheetFormatPr baseColWidth="12" defaultRowHeight="18" x14ac:dyDescent="0"/>
  <sheetData>
    <row r="2" spans="1:4">
      <c r="A2" t="s">
        <v>211</v>
      </c>
      <c r="B2" s="12">
        <v>591</v>
      </c>
    </row>
    <row r="3" spans="1:4">
      <c r="A3" t="s">
        <v>212</v>
      </c>
      <c r="B3" s="140">
        <v>592</v>
      </c>
    </row>
    <row r="4" spans="1:4">
      <c r="A4" t="s">
        <v>213</v>
      </c>
      <c r="B4" s="140">
        <v>593</v>
      </c>
    </row>
    <row r="7" spans="1:4">
      <c r="A7" t="s">
        <v>214</v>
      </c>
    </row>
    <row r="8" spans="1:4">
      <c r="A8" t="str">
        <f>A2 &amp;" "&amp;IF(B2="","",B2)&amp;" "&amp; IFERROR(VLOOKUP(B2,units!A:B,2),"なし")</f>
        <v>R3 591 なし</v>
      </c>
    </row>
    <row r="9" spans="1:4">
      <c r="A9" t="str">
        <f>A3 &amp;" "&amp;IF(B3="","",B3)&amp;" "&amp; IFERROR(VLOOKUP(B3,units!A:B,2),"なし")</f>
        <v>R4 592 なし</v>
      </c>
    </row>
    <row r="10" spans="1:4">
      <c r="A10" t="str">
        <f>A4 &amp;" "&amp;IF(B4="","",B4)&amp;" "&amp; IFERROR(VLOOKUP(B4,units!A:B,2),"なし")</f>
        <v>R5 593 なし</v>
      </c>
    </row>
    <row r="12" spans="1:4">
      <c r="A12" t="s">
        <v>242</v>
      </c>
    </row>
    <row r="13" spans="1:4">
      <c r="B13" t="s">
        <v>246</v>
      </c>
      <c r="C13" t="s">
        <v>247</v>
      </c>
      <c r="D13" t="s">
        <v>248</v>
      </c>
    </row>
    <row r="14" spans="1:4">
      <c r="A14" t="s">
        <v>244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>
      <c r="A15" t="s">
        <v>245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>
      <c r="A16" t="s">
        <v>243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>
      <c r="A19" t="s">
        <v>215</v>
      </c>
    </row>
    <row r="20" spans="1:1">
      <c r="A20" t="str">
        <f ca="1">IFERROR(VLOOKUP($B$2,unit_skills!A:I,3),"なし")</f>
        <v>なし</v>
      </c>
    </row>
    <row r="21" spans="1:1">
      <c r="A21" t="str">
        <f>IFERROR(VLOOKUP($B$2,unit_skills!A:I,4),"なし")</f>
        <v>3ターンの間体力タイプの攻撃力と防御力を大UP+自身の最大HPで攻撃</v>
      </c>
    </row>
    <row r="22" spans="1:1">
      <c r="A22" t="str">
        <f>"cost:"&amp;IFERROR(VLOOKUP($B$2,unit_skills!A:I,6),"なし")</f>
        <v>cost:18</v>
      </c>
    </row>
    <row r="23" spans="1:1">
      <c r="A23" t="str">
        <f>IFERROR(VLOOKUP($B$2,unit_skills!A:I,9),"なし")</f>
        <v>[effect:enhance_unit, target:unit_hp, turn:4, status:attack, val:0.25, calc:add, animation:enhance_unit_all_attack04],</v>
      </c>
    </row>
    <row r="25" spans="1:1">
      <c r="A25" t="str">
        <f ca="1">IFERROR(VLOOKUP($B$3,unit_skills!A:I,3),"なし")</f>
        <v>なし</v>
      </c>
    </row>
    <row r="26" spans="1:1">
      <c r="A26" t="str">
        <f>IFERROR(VLOOKUP($B$3,unit_skills!A:I,4),"なし")</f>
        <v>3ターンの間体力タイプの攻撃力と防御力を大UP+自身の最大HPで攻撃</v>
      </c>
    </row>
    <row r="27" spans="1:1">
      <c r="A27" t="str">
        <f>"cost:"&amp;IFERROR(VLOOKUP($B$3,unit_skills!A:I,6),"なし")</f>
        <v>cost:18</v>
      </c>
    </row>
    <row r="28" spans="1:1">
      <c r="A28" t="str">
        <f>IFERROR(VLOOKUP($B$3,unit_skills!A:I,9),"なし")</f>
        <v>[effect:enhance_unit, target:unit_hp, turn:4, status:attack, val:0.25, calc:add, animation:enhance_unit_all_attack04],</v>
      </c>
    </row>
    <row r="30" spans="1:1">
      <c r="A30" t="str">
        <f ca="1">IFERROR(VLOOKUP($B$4,unit_skills!A:I,3),"なし")</f>
        <v>なし</v>
      </c>
    </row>
    <row r="31" spans="1:1">
      <c r="A31" t="str">
        <f>IFERROR(VLOOKUP($B$4,unit_skills!A:I,4),"なし")</f>
        <v>3ターンの間体力タイプの攻撃力と防御力を大UP+自身の最大HPで攻撃</v>
      </c>
    </row>
    <row r="32" spans="1:1">
      <c r="A32" t="str">
        <f>"cost:"&amp;IFERROR(VLOOKUP($B$4,unit_skills!A:I,6),"なし")</f>
        <v>cost:18</v>
      </c>
    </row>
    <row r="33" spans="1:1">
      <c r="A33" t="str">
        <f>IFERROR(VLOOKUP($B$4,unit_skills!A:I,9),"なし")</f>
        <v>[effect:enhance_unit, target:unit_hp, turn:4, status:attack, val:0.25, calc:add, animation:enhance_unit_all_attack04],</v>
      </c>
    </row>
    <row r="35" spans="1:1">
      <c r="A35" t="s">
        <v>216</v>
      </c>
    </row>
    <row r="36" spans="1:1">
      <c r="A36" t="str">
        <f ca="1">IFERROR(VLOOKUP($B$2,crash_skills!A:I,3),"なし")</f>
        <v>なし</v>
      </c>
    </row>
    <row r="37" spans="1:1">
      <c r="A37">
        <f>IFERROR(VLOOKUP($B$2,crash_skills!A:I,4),"なし")</f>
        <v>0</v>
      </c>
    </row>
    <row r="38" spans="1:1">
      <c r="A38">
        <f>IFERROR(VLOOKUP($B$2,crash_skills!A:I,6),"なし")</f>
        <v>0</v>
      </c>
    </row>
    <row r="40" spans="1:1">
      <c r="A40" t="str">
        <f ca="1">IFERROR(VLOOKUP($B$3,crash_skills!A:I,3),"なし")</f>
        <v>なし</v>
      </c>
    </row>
    <row r="41" spans="1:1">
      <c r="A41">
        <f>IFERROR(VLOOKUP($B$3,crash_skills!A:I,4),"なし")</f>
        <v>0</v>
      </c>
    </row>
    <row r="42" spans="1:1">
      <c r="A42">
        <f>IFERROR(VLOOKUP($B$3,crash_skills!A:I,6),"なし")</f>
        <v>0</v>
      </c>
    </row>
    <row r="44" spans="1:1">
      <c r="A44" t="str">
        <f ca="1">IFERROR(VLOOKUP($B$4,crash_skills!A:I,3),"なし")</f>
        <v>なし</v>
      </c>
    </row>
    <row r="45" spans="1:1">
      <c r="A45">
        <f>IFERROR(VLOOKUP($B$4,crash_skills!A:I,4),"なし")</f>
        <v>0</v>
      </c>
    </row>
    <row r="46" spans="1:1">
      <c r="A46">
        <f>IFERROR(VLOOKUP($B$4,crash_skills!A:I,6),"なし")</f>
        <v>0</v>
      </c>
    </row>
    <row r="48" spans="1:1">
      <c r="A48" t="s">
        <v>217</v>
      </c>
    </row>
    <row r="49" spans="1:1">
      <c r="A49" t="str">
        <f>IFERROR(VLOOKUP($B$3,awake_materials!A:I,2),"なし")</f>
        <v>なし</v>
      </c>
    </row>
    <row r="50" spans="1:1">
      <c r="A50" t="str">
        <f>IFERROR(VLOOKUP($B$3,awake_materials!A:I,2),"なし")</f>
        <v>なし</v>
      </c>
    </row>
    <row r="51" spans="1:1">
      <c r="A51" t="str">
        <f>IFERROR(VLOOKUP($B$3,awake_materials!A:I,2),"なし")</f>
        <v>なし</v>
      </c>
    </row>
    <row r="52" spans="1:1">
      <c r="A52" t="str">
        <f>IFERROR(VLOOKUP($B$3,awake_materials!A:I,2),"なし")</f>
        <v>なし</v>
      </c>
    </row>
    <row r="53" spans="1:1">
      <c r="A53" t="str">
        <f>IFERROR(VLOOKUP($B$3,awake_materials!A:I,2),"なし")</f>
        <v>なし</v>
      </c>
    </row>
    <row r="55" spans="1:1">
      <c r="A55" s="152"/>
    </row>
  </sheetData>
  <phoneticPr fontId="2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福谷 優大</cp:lastModifiedBy>
  <dcterms:created xsi:type="dcterms:W3CDTF">2014-07-07T06:45:59Z</dcterms:created>
  <dcterms:modified xsi:type="dcterms:W3CDTF">2016-02-04T05:59:16Z</dcterms:modified>
</cp:coreProperties>
</file>